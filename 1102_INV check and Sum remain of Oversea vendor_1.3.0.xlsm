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2.100\12_qa\06_Non_Conforming\Material_claim\02_Material_NG_Oversea\2026\"/>
    </mc:Choice>
  </mc:AlternateContent>
  <xr:revisionPtr revIDLastSave="0" documentId="13_ncr:1_{EA77BAC7-6CA1-4956-AC8E-019FC515FC9B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Vendor" sheetId="5" r:id="rId1"/>
    <sheet name="DATA (2)" sheetId="3" state="hidden" r:id="rId2"/>
    <sheet name="Data" sheetId="1" r:id="rId3"/>
    <sheet name="Backup" sheetId="9" state="hidden" r:id="rId4"/>
    <sheet name="Sheet3" sheetId="8" r:id="rId5"/>
    <sheet name="Sheet2" sheetId="7" r:id="rId6"/>
    <sheet name="INV" sheetId="2" r:id="rId7"/>
    <sheet name="Sheet1" sheetId="6" r:id="rId8"/>
  </sheets>
  <functionGroups builtInGroupCount="19"/>
  <externalReferences>
    <externalReference r:id="rId9"/>
  </externalReferences>
  <definedNames>
    <definedName name="_xlnm._FilterDatabase" localSheetId="3" hidden="1">Backup!$A$1:$AT$123</definedName>
    <definedName name="_xlnm._FilterDatabase" localSheetId="2" hidden="1">Data!$A$1:$AU$1060</definedName>
    <definedName name="_xlnm._FilterDatabase" localSheetId="1" hidden="1">'DATA (2)'!$F$1:$F$8814</definedName>
    <definedName name="_xlnm.Print_Area" localSheetId="6">INV!$A$1:$K$115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1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3" i="1"/>
  <c r="AC74" i="1"/>
  <c r="AF220" i="1"/>
  <c r="AF48" i="1"/>
  <c r="AF12" i="1"/>
  <c r="AF219" i="1"/>
  <c r="AC79" i="1"/>
  <c r="A139" i="2" l="1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B4" i="2" a="1"/>
  <c r="AJ1060" i="1"/>
  <c r="AI1060" i="1"/>
  <c r="AH1060" i="1"/>
  <c r="AG1060" i="1"/>
  <c r="S1060" i="1"/>
  <c r="AJ1059" i="1"/>
  <c r="AI1059" i="1"/>
  <c r="AH1059" i="1"/>
  <c r="AG1059" i="1"/>
  <c r="S1059" i="1"/>
  <c r="AJ1058" i="1"/>
  <c r="AI1058" i="1"/>
  <c r="AH1058" i="1"/>
  <c r="AG1058" i="1"/>
  <c r="S1058" i="1"/>
  <c r="AJ1057" i="1"/>
  <c r="AI1057" i="1"/>
  <c r="AH1057" i="1"/>
  <c r="AG1057" i="1"/>
  <c r="S1057" i="1"/>
  <c r="AJ1056" i="1"/>
  <c r="AI1056" i="1"/>
  <c r="AH1056" i="1"/>
  <c r="AG1056" i="1"/>
  <c r="S1056" i="1"/>
  <c r="AJ1055" i="1"/>
  <c r="AI1055" i="1"/>
  <c r="AH1055" i="1"/>
  <c r="AG1055" i="1"/>
  <c r="S1055" i="1"/>
  <c r="AJ1054" i="1"/>
  <c r="AI1054" i="1"/>
  <c r="AH1054" i="1"/>
  <c r="AG1054" i="1"/>
  <c r="S1054" i="1"/>
  <c r="AJ1053" i="1"/>
  <c r="AI1053" i="1"/>
  <c r="AH1053" i="1"/>
  <c r="AG1053" i="1"/>
  <c r="S1053" i="1"/>
  <c r="AJ1052" i="1"/>
  <c r="AI1052" i="1"/>
  <c r="AH1052" i="1"/>
  <c r="AG1052" i="1"/>
  <c r="S1052" i="1"/>
  <c r="AJ1051" i="1"/>
  <c r="AI1051" i="1"/>
  <c r="AH1051" i="1"/>
  <c r="AG1051" i="1"/>
  <c r="S1051" i="1"/>
  <c r="AJ1050" i="1"/>
  <c r="AI1050" i="1"/>
  <c r="AH1050" i="1"/>
  <c r="AG1050" i="1"/>
  <c r="S1050" i="1"/>
  <c r="AJ1049" i="1"/>
  <c r="AI1049" i="1"/>
  <c r="AH1049" i="1"/>
  <c r="AG1049" i="1"/>
  <c r="S1049" i="1"/>
  <c r="AJ1048" i="1"/>
  <c r="AI1048" i="1"/>
  <c r="AH1048" i="1"/>
  <c r="AG1048" i="1"/>
  <c r="S1048" i="1"/>
  <c r="AJ1047" i="1"/>
  <c r="AI1047" i="1"/>
  <c r="AH1047" i="1"/>
  <c r="AG1047" i="1"/>
  <c r="S1047" i="1"/>
  <c r="AJ1046" i="1"/>
  <c r="AI1046" i="1"/>
  <c r="AH1046" i="1"/>
  <c r="AG1046" i="1"/>
  <c r="S1046" i="1"/>
  <c r="AJ1045" i="1"/>
  <c r="AI1045" i="1"/>
  <c r="AH1045" i="1"/>
  <c r="AG1045" i="1"/>
  <c r="S1045" i="1"/>
  <c r="AJ1044" i="1"/>
  <c r="AI1044" i="1"/>
  <c r="AH1044" i="1"/>
  <c r="AG1044" i="1"/>
  <c r="S1044" i="1"/>
  <c r="AJ1043" i="1"/>
  <c r="AI1043" i="1"/>
  <c r="AH1043" i="1"/>
  <c r="AG1043" i="1"/>
  <c r="S1043" i="1"/>
  <c r="AJ1042" i="1"/>
  <c r="AI1042" i="1"/>
  <c r="AH1042" i="1"/>
  <c r="AG1042" i="1"/>
  <c r="S1042" i="1"/>
  <c r="AJ1041" i="1"/>
  <c r="AI1041" i="1"/>
  <c r="AH1041" i="1"/>
  <c r="AG1041" i="1"/>
  <c r="S1041" i="1"/>
  <c r="AJ1040" i="1"/>
  <c r="AI1040" i="1"/>
  <c r="AH1040" i="1"/>
  <c r="AG1040" i="1"/>
  <c r="S1040" i="1"/>
  <c r="AJ1039" i="1"/>
  <c r="AI1039" i="1"/>
  <c r="AH1039" i="1"/>
  <c r="AG1039" i="1"/>
  <c r="S1039" i="1"/>
  <c r="AJ1038" i="1"/>
  <c r="AI1038" i="1"/>
  <c r="AH1038" i="1"/>
  <c r="AG1038" i="1"/>
  <c r="S1038" i="1"/>
  <c r="AJ1037" i="1"/>
  <c r="AI1037" i="1"/>
  <c r="AH1037" i="1"/>
  <c r="AG1037" i="1"/>
  <c r="S1037" i="1"/>
  <c r="AJ1036" i="1"/>
  <c r="AI1036" i="1"/>
  <c r="AH1036" i="1"/>
  <c r="AG1036" i="1"/>
  <c r="S1036" i="1"/>
  <c r="AJ1035" i="1"/>
  <c r="AI1035" i="1"/>
  <c r="AH1035" i="1"/>
  <c r="AG1035" i="1"/>
  <c r="S1035" i="1"/>
  <c r="AJ1034" i="1"/>
  <c r="AI1034" i="1"/>
  <c r="AH1034" i="1"/>
  <c r="AG1034" i="1"/>
  <c r="S1034" i="1"/>
  <c r="AJ1033" i="1"/>
  <c r="AI1033" i="1"/>
  <c r="AH1033" i="1"/>
  <c r="AG1033" i="1"/>
  <c r="S1033" i="1"/>
  <c r="AJ1032" i="1"/>
  <c r="AI1032" i="1"/>
  <c r="AH1032" i="1"/>
  <c r="AG1032" i="1"/>
  <c r="S1032" i="1"/>
  <c r="AJ1031" i="1"/>
  <c r="AI1031" i="1"/>
  <c r="AH1031" i="1"/>
  <c r="AG1031" i="1"/>
  <c r="S1031" i="1"/>
  <c r="AJ1030" i="1"/>
  <c r="AI1030" i="1"/>
  <c r="AH1030" i="1"/>
  <c r="AG1030" i="1"/>
  <c r="S1030" i="1"/>
  <c r="AJ1029" i="1"/>
  <c r="AI1029" i="1"/>
  <c r="AH1029" i="1"/>
  <c r="AG1029" i="1"/>
  <c r="S1029" i="1"/>
  <c r="AJ1028" i="1"/>
  <c r="AI1028" i="1"/>
  <c r="AH1028" i="1"/>
  <c r="AG1028" i="1"/>
  <c r="S1028" i="1"/>
  <c r="AJ1027" i="1"/>
  <c r="AI1027" i="1"/>
  <c r="AH1027" i="1"/>
  <c r="AG1027" i="1"/>
  <c r="S1027" i="1"/>
  <c r="AJ1026" i="1"/>
  <c r="AI1026" i="1"/>
  <c r="AH1026" i="1"/>
  <c r="AG1026" i="1"/>
  <c r="S1026" i="1"/>
  <c r="AJ1025" i="1"/>
  <c r="AI1025" i="1"/>
  <c r="AH1025" i="1"/>
  <c r="AG1025" i="1"/>
  <c r="S1025" i="1"/>
  <c r="AJ1024" i="1"/>
  <c r="AI1024" i="1"/>
  <c r="AH1024" i="1"/>
  <c r="AG1024" i="1"/>
  <c r="S1024" i="1"/>
  <c r="AJ1023" i="1"/>
  <c r="AI1023" i="1"/>
  <c r="AH1023" i="1"/>
  <c r="AG1023" i="1"/>
  <c r="S1023" i="1"/>
  <c r="AJ1022" i="1"/>
  <c r="AI1022" i="1"/>
  <c r="AH1022" i="1"/>
  <c r="AG1022" i="1"/>
  <c r="S1022" i="1"/>
  <c r="AJ1021" i="1"/>
  <c r="AI1021" i="1"/>
  <c r="AH1021" i="1"/>
  <c r="AG1021" i="1"/>
  <c r="S1021" i="1"/>
  <c r="AJ1020" i="1"/>
  <c r="AI1020" i="1"/>
  <c r="AH1020" i="1"/>
  <c r="AG1020" i="1"/>
  <c r="S1020" i="1"/>
  <c r="AJ1019" i="1"/>
  <c r="AI1019" i="1"/>
  <c r="AH1019" i="1"/>
  <c r="AG1019" i="1"/>
  <c r="S1019" i="1"/>
  <c r="AJ1018" i="1"/>
  <c r="AI1018" i="1"/>
  <c r="AH1018" i="1"/>
  <c r="AG1018" i="1"/>
  <c r="S1018" i="1"/>
  <c r="AJ1017" i="1"/>
  <c r="AI1017" i="1"/>
  <c r="AH1017" i="1"/>
  <c r="AG1017" i="1"/>
  <c r="S1017" i="1"/>
  <c r="AJ1016" i="1"/>
  <c r="AI1016" i="1"/>
  <c r="AH1016" i="1"/>
  <c r="AG1016" i="1"/>
  <c r="S1016" i="1"/>
  <c r="AJ1015" i="1"/>
  <c r="AI1015" i="1"/>
  <c r="AH1015" i="1"/>
  <c r="AG1015" i="1"/>
  <c r="S1015" i="1"/>
  <c r="AJ1014" i="1"/>
  <c r="AI1014" i="1"/>
  <c r="AH1014" i="1"/>
  <c r="AG1014" i="1"/>
  <c r="S1014" i="1"/>
  <c r="AJ1013" i="1"/>
  <c r="AI1013" i="1"/>
  <c r="AH1013" i="1"/>
  <c r="AG1013" i="1"/>
  <c r="S1013" i="1"/>
  <c r="AJ1012" i="1"/>
  <c r="AI1012" i="1"/>
  <c r="AH1012" i="1"/>
  <c r="AG1012" i="1"/>
  <c r="S1012" i="1"/>
  <c r="AJ1011" i="1"/>
  <c r="AI1011" i="1"/>
  <c r="AH1011" i="1"/>
  <c r="AG1011" i="1"/>
  <c r="S1011" i="1"/>
  <c r="AJ1010" i="1"/>
  <c r="AI1010" i="1"/>
  <c r="AH1010" i="1"/>
  <c r="AG1010" i="1"/>
  <c r="S1010" i="1"/>
  <c r="AJ1009" i="1"/>
  <c r="AI1009" i="1"/>
  <c r="AH1009" i="1"/>
  <c r="AG1009" i="1"/>
  <c r="S1009" i="1"/>
  <c r="AJ1008" i="1"/>
  <c r="AI1008" i="1"/>
  <c r="AH1008" i="1"/>
  <c r="AG1008" i="1"/>
  <c r="S1008" i="1"/>
  <c r="AJ1007" i="1"/>
  <c r="AI1007" i="1"/>
  <c r="AH1007" i="1"/>
  <c r="AG1007" i="1"/>
  <c r="S1007" i="1"/>
  <c r="AJ1006" i="1"/>
  <c r="AI1006" i="1"/>
  <c r="AH1006" i="1"/>
  <c r="AG1006" i="1"/>
  <c r="S1006" i="1"/>
  <c r="AJ1005" i="1"/>
  <c r="AI1005" i="1"/>
  <c r="AH1005" i="1"/>
  <c r="AG1005" i="1"/>
  <c r="S1005" i="1"/>
  <c r="AJ1004" i="1"/>
  <c r="AI1004" i="1"/>
  <c r="AH1004" i="1"/>
  <c r="AG1004" i="1"/>
  <c r="S1004" i="1"/>
  <c r="AJ1003" i="1"/>
  <c r="AI1003" i="1"/>
  <c r="AH1003" i="1"/>
  <c r="AG1003" i="1"/>
  <c r="S1003" i="1"/>
  <c r="AJ1002" i="1"/>
  <c r="AI1002" i="1"/>
  <c r="AH1002" i="1"/>
  <c r="AG1002" i="1"/>
  <c r="S1002" i="1"/>
  <c r="AJ1001" i="1"/>
  <c r="AI1001" i="1"/>
  <c r="AH1001" i="1"/>
  <c r="AG1001" i="1"/>
  <c r="S1001" i="1"/>
  <c r="AJ1000" i="1"/>
  <c r="AI1000" i="1"/>
  <c r="AH1000" i="1"/>
  <c r="AG1000" i="1"/>
  <c r="S1000" i="1"/>
  <c r="AJ999" i="1"/>
  <c r="AI999" i="1"/>
  <c r="AH999" i="1"/>
  <c r="AG999" i="1"/>
  <c r="S999" i="1"/>
  <c r="AJ998" i="1"/>
  <c r="AI998" i="1"/>
  <c r="AH998" i="1"/>
  <c r="AG998" i="1"/>
  <c r="S998" i="1"/>
  <c r="AJ997" i="1"/>
  <c r="AI997" i="1"/>
  <c r="AH997" i="1"/>
  <c r="AG997" i="1"/>
  <c r="S997" i="1"/>
  <c r="AJ996" i="1"/>
  <c r="AI996" i="1"/>
  <c r="AH996" i="1"/>
  <c r="AG996" i="1"/>
  <c r="S996" i="1"/>
  <c r="AJ995" i="1"/>
  <c r="AI995" i="1"/>
  <c r="AH995" i="1"/>
  <c r="AG995" i="1"/>
  <c r="S995" i="1"/>
  <c r="AJ994" i="1"/>
  <c r="AI994" i="1"/>
  <c r="AH994" i="1"/>
  <c r="AG994" i="1"/>
  <c r="S994" i="1"/>
  <c r="AJ993" i="1"/>
  <c r="AI993" i="1"/>
  <c r="AH993" i="1"/>
  <c r="AG993" i="1"/>
  <c r="S993" i="1"/>
  <c r="AJ992" i="1"/>
  <c r="AI992" i="1"/>
  <c r="AH992" i="1"/>
  <c r="AG992" i="1"/>
  <c r="S992" i="1"/>
  <c r="AJ991" i="1"/>
  <c r="AI991" i="1"/>
  <c r="AH991" i="1"/>
  <c r="AG991" i="1"/>
  <c r="S991" i="1"/>
  <c r="AJ990" i="1"/>
  <c r="AI990" i="1"/>
  <c r="AH990" i="1"/>
  <c r="AG990" i="1"/>
  <c r="S990" i="1"/>
  <c r="AJ989" i="1"/>
  <c r="AI989" i="1"/>
  <c r="AH989" i="1"/>
  <c r="AG989" i="1"/>
  <c r="S989" i="1"/>
  <c r="AJ988" i="1"/>
  <c r="AI988" i="1"/>
  <c r="AH988" i="1"/>
  <c r="AG988" i="1"/>
  <c r="S988" i="1"/>
  <c r="AJ987" i="1"/>
  <c r="AI987" i="1"/>
  <c r="AH987" i="1"/>
  <c r="AG987" i="1"/>
  <c r="S987" i="1"/>
  <c r="AJ986" i="1"/>
  <c r="AI986" i="1"/>
  <c r="AH986" i="1"/>
  <c r="AG986" i="1"/>
  <c r="S986" i="1"/>
  <c r="AJ985" i="1"/>
  <c r="AI985" i="1"/>
  <c r="AH985" i="1"/>
  <c r="AG985" i="1"/>
  <c r="S985" i="1"/>
  <c r="AJ984" i="1"/>
  <c r="AI984" i="1"/>
  <c r="AH984" i="1"/>
  <c r="AG984" i="1"/>
  <c r="S984" i="1"/>
  <c r="AJ983" i="1"/>
  <c r="AI983" i="1"/>
  <c r="AH983" i="1"/>
  <c r="AG983" i="1"/>
  <c r="S983" i="1"/>
  <c r="AJ982" i="1"/>
  <c r="AI982" i="1"/>
  <c r="AH982" i="1"/>
  <c r="AG982" i="1"/>
  <c r="S982" i="1"/>
  <c r="AJ981" i="1"/>
  <c r="AI981" i="1"/>
  <c r="AH981" i="1"/>
  <c r="AG981" i="1"/>
  <c r="S981" i="1"/>
  <c r="AJ980" i="1"/>
  <c r="AI980" i="1"/>
  <c r="AH980" i="1"/>
  <c r="AG980" i="1"/>
  <c r="S980" i="1"/>
  <c r="AJ979" i="1"/>
  <c r="AI979" i="1"/>
  <c r="AH979" i="1"/>
  <c r="AG979" i="1"/>
  <c r="S979" i="1"/>
  <c r="AJ978" i="1"/>
  <c r="AI978" i="1"/>
  <c r="AH978" i="1"/>
  <c r="AG978" i="1"/>
  <c r="S978" i="1"/>
  <c r="AJ977" i="1"/>
  <c r="AI977" i="1"/>
  <c r="AH977" i="1"/>
  <c r="AG977" i="1"/>
  <c r="S977" i="1"/>
  <c r="AJ976" i="1"/>
  <c r="AI976" i="1"/>
  <c r="AH976" i="1"/>
  <c r="AG976" i="1"/>
  <c r="S976" i="1"/>
  <c r="AJ975" i="1"/>
  <c r="AI975" i="1"/>
  <c r="AH975" i="1"/>
  <c r="AG975" i="1"/>
  <c r="S975" i="1"/>
  <c r="AJ974" i="1"/>
  <c r="AI974" i="1"/>
  <c r="AH974" i="1"/>
  <c r="AG974" i="1"/>
  <c r="S974" i="1"/>
  <c r="AJ973" i="1"/>
  <c r="AI973" i="1"/>
  <c r="AH973" i="1"/>
  <c r="AG973" i="1"/>
  <c r="S973" i="1"/>
  <c r="AJ972" i="1"/>
  <c r="AI972" i="1"/>
  <c r="AH972" i="1"/>
  <c r="AG972" i="1"/>
  <c r="S972" i="1"/>
  <c r="AJ971" i="1"/>
  <c r="AI971" i="1"/>
  <c r="AH971" i="1"/>
  <c r="AG971" i="1"/>
  <c r="S971" i="1"/>
  <c r="AJ970" i="1"/>
  <c r="AI970" i="1"/>
  <c r="AH970" i="1"/>
  <c r="AG970" i="1"/>
  <c r="S970" i="1"/>
  <c r="AJ969" i="1"/>
  <c r="AI969" i="1"/>
  <c r="AH969" i="1"/>
  <c r="AG969" i="1"/>
  <c r="S969" i="1"/>
  <c r="AJ968" i="1"/>
  <c r="AI968" i="1"/>
  <c r="AH968" i="1"/>
  <c r="AG968" i="1"/>
  <c r="S968" i="1"/>
  <c r="AJ967" i="1"/>
  <c r="AI967" i="1"/>
  <c r="AH967" i="1"/>
  <c r="AG967" i="1"/>
  <c r="S967" i="1"/>
  <c r="AJ966" i="1"/>
  <c r="AI966" i="1"/>
  <c r="AH966" i="1"/>
  <c r="AG966" i="1"/>
  <c r="S966" i="1"/>
  <c r="AJ965" i="1"/>
  <c r="AI965" i="1"/>
  <c r="AH965" i="1"/>
  <c r="AG965" i="1"/>
  <c r="S965" i="1"/>
  <c r="AJ964" i="1"/>
  <c r="AI964" i="1"/>
  <c r="AH964" i="1"/>
  <c r="AG964" i="1"/>
  <c r="S964" i="1"/>
  <c r="AJ963" i="1"/>
  <c r="AI963" i="1"/>
  <c r="AH963" i="1"/>
  <c r="AG963" i="1"/>
  <c r="S963" i="1"/>
  <c r="AJ962" i="1"/>
  <c r="AI962" i="1"/>
  <c r="AH962" i="1"/>
  <c r="AG962" i="1"/>
  <c r="S962" i="1"/>
  <c r="AJ961" i="1"/>
  <c r="AI961" i="1"/>
  <c r="AH961" i="1"/>
  <c r="AG961" i="1"/>
  <c r="S961" i="1"/>
  <c r="AJ960" i="1"/>
  <c r="AI960" i="1"/>
  <c r="AH960" i="1"/>
  <c r="AG960" i="1"/>
  <c r="S960" i="1"/>
  <c r="AJ959" i="1"/>
  <c r="AI959" i="1"/>
  <c r="AH959" i="1"/>
  <c r="AG959" i="1"/>
  <c r="S959" i="1"/>
  <c r="AJ958" i="1"/>
  <c r="AI958" i="1"/>
  <c r="AH958" i="1"/>
  <c r="AG958" i="1"/>
  <c r="S958" i="1"/>
  <c r="AJ957" i="1"/>
  <c r="AI957" i="1"/>
  <c r="AH957" i="1"/>
  <c r="AG957" i="1"/>
  <c r="S957" i="1"/>
  <c r="AJ956" i="1"/>
  <c r="AI956" i="1"/>
  <c r="AH956" i="1"/>
  <c r="AG956" i="1"/>
  <c r="S956" i="1"/>
  <c r="AJ955" i="1"/>
  <c r="AI955" i="1"/>
  <c r="AH955" i="1"/>
  <c r="AG955" i="1"/>
  <c r="S955" i="1"/>
  <c r="AJ954" i="1"/>
  <c r="AI954" i="1"/>
  <c r="AH954" i="1"/>
  <c r="AG954" i="1"/>
  <c r="S954" i="1"/>
  <c r="AJ953" i="1"/>
  <c r="AI953" i="1"/>
  <c r="AH953" i="1"/>
  <c r="AG953" i="1"/>
  <c r="S953" i="1"/>
  <c r="AJ952" i="1"/>
  <c r="AI952" i="1"/>
  <c r="AH952" i="1"/>
  <c r="AG952" i="1"/>
  <c r="S952" i="1"/>
  <c r="AJ951" i="1"/>
  <c r="AI951" i="1"/>
  <c r="AH951" i="1"/>
  <c r="AG951" i="1"/>
  <c r="S951" i="1"/>
  <c r="AJ950" i="1"/>
  <c r="AI950" i="1"/>
  <c r="AH950" i="1"/>
  <c r="AG950" i="1"/>
  <c r="S950" i="1"/>
  <c r="AJ949" i="1"/>
  <c r="AI949" i="1"/>
  <c r="AH949" i="1"/>
  <c r="AG949" i="1"/>
  <c r="S949" i="1"/>
  <c r="AJ948" i="1"/>
  <c r="AI948" i="1"/>
  <c r="AH948" i="1"/>
  <c r="AG948" i="1"/>
  <c r="S948" i="1"/>
  <c r="AJ947" i="1"/>
  <c r="AI947" i="1"/>
  <c r="AH947" i="1"/>
  <c r="AG947" i="1"/>
  <c r="S947" i="1"/>
  <c r="AJ946" i="1"/>
  <c r="AI946" i="1"/>
  <c r="AH946" i="1"/>
  <c r="AG946" i="1"/>
  <c r="S946" i="1"/>
  <c r="AJ945" i="1"/>
  <c r="AI945" i="1"/>
  <c r="AH945" i="1"/>
  <c r="AG945" i="1"/>
  <c r="S945" i="1"/>
  <c r="AJ944" i="1"/>
  <c r="AI944" i="1"/>
  <c r="AH944" i="1"/>
  <c r="AG944" i="1"/>
  <c r="S944" i="1"/>
  <c r="AJ943" i="1"/>
  <c r="AI943" i="1"/>
  <c r="AH943" i="1"/>
  <c r="AG943" i="1"/>
  <c r="S943" i="1"/>
  <c r="AJ942" i="1"/>
  <c r="AI942" i="1"/>
  <c r="AH942" i="1"/>
  <c r="AG942" i="1"/>
  <c r="S942" i="1"/>
  <c r="AJ941" i="1"/>
  <c r="AI941" i="1"/>
  <c r="AH941" i="1"/>
  <c r="AG941" i="1"/>
  <c r="S941" i="1"/>
  <c r="AJ940" i="1"/>
  <c r="AI940" i="1"/>
  <c r="AH940" i="1"/>
  <c r="AG940" i="1"/>
  <c r="S940" i="1"/>
  <c r="AJ939" i="1"/>
  <c r="AI939" i="1"/>
  <c r="AH939" i="1"/>
  <c r="AG939" i="1"/>
  <c r="S939" i="1"/>
  <c r="AJ938" i="1"/>
  <c r="AI938" i="1"/>
  <c r="AH938" i="1"/>
  <c r="AG938" i="1"/>
  <c r="S938" i="1"/>
  <c r="AJ937" i="1"/>
  <c r="AI937" i="1"/>
  <c r="AH937" i="1"/>
  <c r="AG937" i="1"/>
  <c r="S937" i="1"/>
  <c r="AJ936" i="1"/>
  <c r="AI936" i="1"/>
  <c r="AH936" i="1"/>
  <c r="AG936" i="1"/>
  <c r="S936" i="1"/>
  <c r="AJ935" i="1"/>
  <c r="AI935" i="1"/>
  <c r="AH935" i="1"/>
  <c r="AG935" i="1"/>
  <c r="S935" i="1"/>
  <c r="AJ934" i="1"/>
  <c r="AI934" i="1"/>
  <c r="AH934" i="1"/>
  <c r="AG934" i="1"/>
  <c r="S934" i="1"/>
  <c r="AJ933" i="1"/>
  <c r="AI933" i="1"/>
  <c r="AH933" i="1"/>
  <c r="AG933" i="1"/>
  <c r="S933" i="1"/>
  <c r="AJ932" i="1"/>
  <c r="AI932" i="1"/>
  <c r="AH932" i="1"/>
  <c r="AG932" i="1"/>
  <c r="S932" i="1"/>
  <c r="AJ931" i="1"/>
  <c r="AI931" i="1"/>
  <c r="AH931" i="1"/>
  <c r="AG931" i="1"/>
  <c r="S931" i="1"/>
  <c r="AJ930" i="1"/>
  <c r="AI930" i="1"/>
  <c r="AH930" i="1"/>
  <c r="AG930" i="1"/>
  <c r="S930" i="1"/>
  <c r="AJ929" i="1"/>
  <c r="AI929" i="1"/>
  <c r="AH929" i="1"/>
  <c r="AG929" i="1"/>
  <c r="S929" i="1"/>
  <c r="AJ928" i="1"/>
  <c r="AI928" i="1"/>
  <c r="AH928" i="1"/>
  <c r="AG928" i="1"/>
  <c r="S928" i="1"/>
  <c r="AJ927" i="1"/>
  <c r="AI927" i="1"/>
  <c r="AH927" i="1"/>
  <c r="AG927" i="1"/>
  <c r="S927" i="1"/>
  <c r="AJ926" i="1"/>
  <c r="AI926" i="1"/>
  <c r="AH926" i="1"/>
  <c r="AG926" i="1"/>
  <c r="S926" i="1"/>
  <c r="AJ925" i="1"/>
  <c r="AI925" i="1"/>
  <c r="AH925" i="1"/>
  <c r="AG925" i="1"/>
  <c r="S925" i="1"/>
  <c r="AJ924" i="1"/>
  <c r="AI924" i="1"/>
  <c r="AH924" i="1"/>
  <c r="AG924" i="1"/>
  <c r="S924" i="1"/>
  <c r="AJ923" i="1"/>
  <c r="AI923" i="1"/>
  <c r="AH923" i="1"/>
  <c r="AG923" i="1"/>
  <c r="S923" i="1"/>
  <c r="AJ922" i="1"/>
  <c r="AI922" i="1"/>
  <c r="AH922" i="1"/>
  <c r="AG922" i="1"/>
  <c r="S922" i="1"/>
  <c r="AJ921" i="1"/>
  <c r="AI921" i="1"/>
  <c r="AH921" i="1"/>
  <c r="AG921" i="1"/>
  <c r="S921" i="1"/>
  <c r="AJ920" i="1"/>
  <c r="AI920" i="1"/>
  <c r="AH920" i="1"/>
  <c r="AG920" i="1"/>
  <c r="S920" i="1"/>
  <c r="AJ919" i="1"/>
  <c r="AI919" i="1"/>
  <c r="AH919" i="1"/>
  <c r="AG919" i="1"/>
  <c r="S919" i="1"/>
  <c r="AJ918" i="1"/>
  <c r="AI918" i="1"/>
  <c r="AH918" i="1"/>
  <c r="AG918" i="1"/>
  <c r="S918" i="1"/>
  <c r="AJ917" i="1"/>
  <c r="AI917" i="1"/>
  <c r="AH917" i="1"/>
  <c r="AG917" i="1"/>
  <c r="S917" i="1"/>
  <c r="AJ916" i="1"/>
  <c r="AI916" i="1"/>
  <c r="AH916" i="1"/>
  <c r="AG916" i="1"/>
  <c r="S916" i="1"/>
  <c r="AJ915" i="1"/>
  <c r="AI915" i="1"/>
  <c r="AH915" i="1"/>
  <c r="AG915" i="1"/>
  <c r="S915" i="1"/>
  <c r="AJ914" i="1"/>
  <c r="AI914" i="1"/>
  <c r="AH914" i="1"/>
  <c r="AG914" i="1"/>
  <c r="S914" i="1"/>
  <c r="AJ913" i="1"/>
  <c r="AI913" i="1"/>
  <c r="AH913" i="1"/>
  <c r="AG913" i="1"/>
  <c r="S913" i="1"/>
  <c r="AJ912" i="1"/>
  <c r="AI912" i="1"/>
  <c r="AH912" i="1"/>
  <c r="AG912" i="1"/>
  <c r="S912" i="1"/>
  <c r="AJ911" i="1"/>
  <c r="AI911" i="1"/>
  <c r="AH911" i="1"/>
  <c r="AG911" i="1"/>
  <c r="S911" i="1"/>
  <c r="AJ910" i="1"/>
  <c r="AI910" i="1"/>
  <c r="AH910" i="1"/>
  <c r="AG910" i="1"/>
  <c r="S910" i="1"/>
  <c r="AJ909" i="1"/>
  <c r="AI909" i="1"/>
  <c r="AH909" i="1"/>
  <c r="AG909" i="1"/>
  <c r="S909" i="1"/>
  <c r="AJ908" i="1"/>
  <c r="AI908" i="1"/>
  <c r="AH908" i="1"/>
  <c r="AG908" i="1"/>
  <c r="S908" i="1"/>
  <c r="AJ907" i="1"/>
  <c r="AI907" i="1"/>
  <c r="AH907" i="1"/>
  <c r="AG907" i="1"/>
  <c r="S907" i="1"/>
  <c r="AJ906" i="1"/>
  <c r="AI906" i="1"/>
  <c r="AH906" i="1"/>
  <c r="AG906" i="1"/>
  <c r="S906" i="1"/>
  <c r="AJ905" i="1"/>
  <c r="AI905" i="1"/>
  <c r="AH905" i="1"/>
  <c r="AG905" i="1"/>
  <c r="S905" i="1"/>
  <c r="AJ904" i="1"/>
  <c r="AI904" i="1"/>
  <c r="AH904" i="1"/>
  <c r="AG904" i="1"/>
  <c r="S904" i="1"/>
  <c r="AJ903" i="1"/>
  <c r="AI903" i="1"/>
  <c r="AH903" i="1"/>
  <c r="AG903" i="1"/>
  <c r="S903" i="1"/>
  <c r="AJ902" i="1"/>
  <c r="AI902" i="1"/>
  <c r="AH902" i="1"/>
  <c r="AG902" i="1"/>
  <c r="S902" i="1"/>
  <c r="AJ901" i="1"/>
  <c r="AI901" i="1"/>
  <c r="AH901" i="1"/>
  <c r="AG901" i="1"/>
  <c r="S901" i="1"/>
  <c r="AJ900" i="1"/>
  <c r="AI900" i="1"/>
  <c r="AH900" i="1"/>
  <c r="AG900" i="1"/>
  <c r="S900" i="1"/>
  <c r="AJ899" i="1"/>
  <c r="AI899" i="1"/>
  <c r="AH899" i="1"/>
  <c r="AG899" i="1"/>
  <c r="S899" i="1"/>
  <c r="AJ898" i="1"/>
  <c r="AI898" i="1"/>
  <c r="AH898" i="1"/>
  <c r="AG898" i="1"/>
  <c r="S898" i="1"/>
  <c r="AJ897" i="1"/>
  <c r="AI897" i="1"/>
  <c r="AH897" i="1"/>
  <c r="AG897" i="1"/>
  <c r="S897" i="1"/>
  <c r="AJ896" i="1"/>
  <c r="AI896" i="1"/>
  <c r="AH896" i="1"/>
  <c r="AG896" i="1"/>
  <c r="S896" i="1"/>
  <c r="AJ895" i="1"/>
  <c r="AI895" i="1"/>
  <c r="AH895" i="1"/>
  <c r="AG895" i="1"/>
  <c r="S895" i="1"/>
  <c r="AJ894" i="1"/>
  <c r="AI894" i="1"/>
  <c r="AH894" i="1"/>
  <c r="AG894" i="1"/>
  <c r="S894" i="1"/>
  <c r="AJ893" i="1"/>
  <c r="AI893" i="1"/>
  <c r="AH893" i="1"/>
  <c r="AG893" i="1"/>
  <c r="S893" i="1"/>
  <c r="AJ892" i="1"/>
  <c r="AI892" i="1"/>
  <c r="AH892" i="1"/>
  <c r="AG892" i="1"/>
  <c r="S892" i="1"/>
  <c r="AJ891" i="1"/>
  <c r="AI891" i="1"/>
  <c r="AH891" i="1"/>
  <c r="AG891" i="1"/>
  <c r="S891" i="1"/>
  <c r="AJ890" i="1"/>
  <c r="AI890" i="1"/>
  <c r="AH890" i="1"/>
  <c r="AG890" i="1"/>
  <c r="S890" i="1"/>
  <c r="AJ889" i="1"/>
  <c r="AI889" i="1"/>
  <c r="AH889" i="1"/>
  <c r="AG889" i="1"/>
  <c r="S889" i="1"/>
  <c r="AJ888" i="1"/>
  <c r="AI888" i="1"/>
  <c r="AH888" i="1"/>
  <c r="AG888" i="1"/>
  <c r="S888" i="1"/>
  <c r="AJ887" i="1"/>
  <c r="AI887" i="1"/>
  <c r="AH887" i="1"/>
  <c r="AG887" i="1"/>
  <c r="S887" i="1"/>
  <c r="AJ886" i="1"/>
  <c r="AI886" i="1"/>
  <c r="AH886" i="1"/>
  <c r="AG886" i="1"/>
  <c r="S886" i="1"/>
  <c r="AJ885" i="1"/>
  <c r="AI885" i="1"/>
  <c r="AH885" i="1"/>
  <c r="AG885" i="1"/>
  <c r="S885" i="1"/>
  <c r="AJ884" i="1"/>
  <c r="AI884" i="1"/>
  <c r="AH884" i="1"/>
  <c r="AG884" i="1"/>
  <c r="S884" i="1"/>
  <c r="AJ883" i="1"/>
  <c r="AI883" i="1"/>
  <c r="AH883" i="1"/>
  <c r="AG883" i="1"/>
  <c r="S883" i="1"/>
  <c r="AJ882" i="1"/>
  <c r="AI882" i="1"/>
  <c r="AH882" i="1"/>
  <c r="AG882" i="1"/>
  <c r="S882" i="1"/>
  <c r="AJ881" i="1"/>
  <c r="AI881" i="1"/>
  <c r="AH881" i="1"/>
  <c r="AG881" i="1"/>
  <c r="S881" i="1"/>
  <c r="AJ880" i="1"/>
  <c r="AI880" i="1"/>
  <c r="AH880" i="1"/>
  <c r="AG880" i="1"/>
  <c r="S880" i="1"/>
  <c r="AJ879" i="1"/>
  <c r="AI879" i="1"/>
  <c r="AH879" i="1"/>
  <c r="AG879" i="1"/>
  <c r="S879" i="1"/>
  <c r="AJ878" i="1"/>
  <c r="AI878" i="1"/>
  <c r="AH878" i="1"/>
  <c r="AG878" i="1"/>
  <c r="S878" i="1"/>
  <c r="AJ877" i="1"/>
  <c r="AI877" i="1"/>
  <c r="AH877" i="1"/>
  <c r="AG877" i="1"/>
  <c r="S877" i="1"/>
  <c r="AJ876" i="1"/>
  <c r="AI876" i="1"/>
  <c r="AH876" i="1"/>
  <c r="AG876" i="1"/>
  <c r="S876" i="1"/>
  <c r="AJ875" i="1"/>
  <c r="AI875" i="1"/>
  <c r="AH875" i="1"/>
  <c r="AG875" i="1"/>
  <c r="S875" i="1"/>
  <c r="AJ874" i="1"/>
  <c r="AI874" i="1"/>
  <c r="AH874" i="1"/>
  <c r="AG874" i="1"/>
  <c r="S874" i="1"/>
  <c r="AJ873" i="1"/>
  <c r="AI873" i="1"/>
  <c r="AH873" i="1"/>
  <c r="AG873" i="1"/>
  <c r="S873" i="1"/>
  <c r="AJ872" i="1"/>
  <c r="AI872" i="1"/>
  <c r="AH872" i="1"/>
  <c r="AG872" i="1"/>
  <c r="S872" i="1"/>
  <c r="AJ871" i="1"/>
  <c r="AI871" i="1"/>
  <c r="AH871" i="1"/>
  <c r="AG871" i="1"/>
  <c r="S871" i="1"/>
  <c r="AJ870" i="1"/>
  <c r="AI870" i="1"/>
  <c r="AH870" i="1"/>
  <c r="AG870" i="1"/>
  <c r="S870" i="1"/>
  <c r="AJ869" i="1"/>
  <c r="AI869" i="1"/>
  <c r="AH869" i="1"/>
  <c r="AG869" i="1"/>
  <c r="S869" i="1"/>
  <c r="AJ868" i="1"/>
  <c r="AI868" i="1"/>
  <c r="AH868" i="1"/>
  <c r="AG868" i="1"/>
  <c r="S868" i="1"/>
  <c r="AJ867" i="1"/>
  <c r="AI867" i="1"/>
  <c r="AH867" i="1"/>
  <c r="AG867" i="1"/>
  <c r="S867" i="1"/>
  <c r="AJ866" i="1"/>
  <c r="AI866" i="1"/>
  <c r="AH866" i="1"/>
  <c r="AG866" i="1"/>
  <c r="S866" i="1"/>
  <c r="AJ865" i="1"/>
  <c r="AI865" i="1"/>
  <c r="AH865" i="1"/>
  <c r="AG865" i="1"/>
  <c r="S865" i="1"/>
  <c r="AJ864" i="1"/>
  <c r="AI864" i="1"/>
  <c r="AH864" i="1"/>
  <c r="AG864" i="1"/>
  <c r="S864" i="1"/>
  <c r="AJ863" i="1"/>
  <c r="AI863" i="1"/>
  <c r="AH863" i="1"/>
  <c r="AG863" i="1"/>
  <c r="S863" i="1"/>
  <c r="AJ862" i="1"/>
  <c r="AI862" i="1"/>
  <c r="AH862" i="1"/>
  <c r="AG862" i="1"/>
  <c r="S862" i="1"/>
  <c r="AJ861" i="1"/>
  <c r="AI861" i="1"/>
  <c r="AH861" i="1"/>
  <c r="AG861" i="1"/>
  <c r="S861" i="1"/>
  <c r="AJ860" i="1"/>
  <c r="AI860" i="1"/>
  <c r="AH860" i="1"/>
  <c r="AG860" i="1"/>
  <c r="S860" i="1"/>
  <c r="AJ859" i="1"/>
  <c r="AI859" i="1"/>
  <c r="AH859" i="1"/>
  <c r="AG859" i="1"/>
  <c r="S859" i="1"/>
  <c r="AJ858" i="1"/>
  <c r="AI858" i="1"/>
  <c r="AH858" i="1"/>
  <c r="AG858" i="1"/>
  <c r="S858" i="1"/>
  <c r="AJ857" i="1"/>
  <c r="AI857" i="1"/>
  <c r="AH857" i="1"/>
  <c r="AG857" i="1"/>
  <c r="S857" i="1"/>
  <c r="AJ856" i="1"/>
  <c r="AI856" i="1"/>
  <c r="AH856" i="1"/>
  <c r="AG856" i="1"/>
  <c r="S856" i="1"/>
  <c r="AJ855" i="1"/>
  <c r="AI855" i="1"/>
  <c r="AH855" i="1"/>
  <c r="AG855" i="1"/>
  <c r="S855" i="1"/>
  <c r="AJ854" i="1"/>
  <c r="AI854" i="1"/>
  <c r="AH854" i="1"/>
  <c r="AG854" i="1"/>
  <c r="S854" i="1"/>
  <c r="AJ853" i="1"/>
  <c r="AI853" i="1"/>
  <c r="AH853" i="1"/>
  <c r="AG853" i="1"/>
  <c r="S853" i="1"/>
  <c r="AJ852" i="1"/>
  <c r="AI852" i="1"/>
  <c r="AH852" i="1"/>
  <c r="AG852" i="1"/>
  <c r="S852" i="1"/>
  <c r="AJ851" i="1"/>
  <c r="AI851" i="1"/>
  <c r="AH851" i="1"/>
  <c r="AG851" i="1"/>
  <c r="S851" i="1"/>
  <c r="AJ850" i="1"/>
  <c r="AI850" i="1"/>
  <c r="AH850" i="1"/>
  <c r="AG850" i="1"/>
  <c r="S850" i="1"/>
  <c r="AJ849" i="1"/>
  <c r="AI849" i="1"/>
  <c r="AH849" i="1"/>
  <c r="AG849" i="1"/>
  <c r="S849" i="1"/>
  <c r="AJ848" i="1"/>
  <c r="AI848" i="1"/>
  <c r="AH848" i="1"/>
  <c r="AG848" i="1"/>
  <c r="S848" i="1"/>
  <c r="AJ847" i="1"/>
  <c r="AI847" i="1"/>
  <c r="AH847" i="1"/>
  <c r="AG847" i="1"/>
  <c r="S847" i="1"/>
  <c r="AJ846" i="1"/>
  <c r="AI846" i="1"/>
  <c r="AH846" i="1"/>
  <c r="AG846" i="1"/>
  <c r="S846" i="1"/>
  <c r="AJ845" i="1"/>
  <c r="AI845" i="1"/>
  <c r="AH845" i="1"/>
  <c r="AG845" i="1"/>
  <c r="S845" i="1"/>
  <c r="AJ844" i="1"/>
  <c r="AI844" i="1"/>
  <c r="AH844" i="1"/>
  <c r="AG844" i="1"/>
  <c r="S844" i="1"/>
  <c r="AJ843" i="1"/>
  <c r="AI843" i="1"/>
  <c r="AH843" i="1"/>
  <c r="AG843" i="1"/>
  <c r="S843" i="1"/>
  <c r="AJ842" i="1"/>
  <c r="AI842" i="1"/>
  <c r="AH842" i="1"/>
  <c r="AG842" i="1"/>
  <c r="S842" i="1"/>
  <c r="AJ841" i="1"/>
  <c r="AI841" i="1"/>
  <c r="AH841" i="1"/>
  <c r="AG841" i="1"/>
  <c r="S841" i="1"/>
  <c r="AJ840" i="1"/>
  <c r="AI840" i="1"/>
  <c r="AH840" i="1"/>
  <c r="AG840" i="1"/>
  <c r="S840" i="1"/>
  <c r="AJ839" i="1"/>
  <c r="AI839" i="1"/>
  <c r="AH839" i="1"/>
  <c r="AG839" i="1"/>
  <c r="S839" i="1"/>
  <c r="AJ838" i="1"/>
  <c r="AI838" i="1"/>
  <c r="AH838" i="1"/>
  <c r="AG838" i="1"/>
  <c r="S838" i="1"/>
  <c r="AJ837" i="1"/>
  <c r="AI837" i="1"/>
  <c r="AH837" i="1"/>
  <c r="AG837" i="1"/>
  <c r="S837" i="1"/>
  <c r="AJ836" i="1"/>
  <c r="AI836" i="1"/>
  <c r="AH836" i="1"/>
  <c r="AG836" i="1"/>
  <c r="S836" i="1"/>
  <c r="AJ835" i="1"/>
  <c r="AI835" i="1"/>
  <c r="AH835" i="1"/>
  <c r="AG835" i="1"/>
  <c r="S835" i="1"/>
  <c r="AJ834" i="1"/>
  <c r="AI834" i="1"/>
  <c r="AH834" i="1"/>
  <c r="AG834" i="1"/>
  <c r="S834" i="1"/>
  <c r="AJ833" i="1"/>
  <c r="AI833" i="1"/>
  <c r="AH833" i="1"/>
  <c r="AG833" i="1"/>
  <c r="S833" i="1"/>
  <c r="AJ832" i="1"/>
  <c r="AI832" i="1"/>
  <c r="AH832" i="1"/>
  <c r="AG832" i="1"/>
  <c r="S832" i="1"/>
  <c r="AJ831" i="1"/>
  <c r="AI831" i="1"/>
  <c r="AH831" i="1"/>
  <c r="AG831" i="1"/>
  <c r="S831" i="1"/>
  <c r="AJ830" i="1"/>
  <c r="AI830" i="1"/>
  <c r="AH830" i="1"/>
  <c r="AG830" i="1"/>
  <c r="S830" i="1"/>
  <c r="AJ829" i="1"/>
  <c r="AI829" i="1"/>
  <c r="AH829" i="1"/>
  <c r="AG829" i="1"/>
  <c r="S829" i="1"/>
  <c r="AJ828" i="1"/>
  <c r="AI828" i="1"/>
  <c r="AH828" i="1"/>
  <c r="AG828" i="1"/>
  <c r="S828" i="1"/>
  <c r="AJ827" i="1"/>
  <c r="AI827" i="1"/>
  <c r="AH827" i="1"/>
  <c r="AG827" i="1"/>
  <c r="S827" i="1"/>
  <c r="AJ826" i="1"/>
  <c r="AI826" i="1"/>
  <c r="AH826" i="1"/>
  <c r="AG826" i="1"/>
  <c r="S826" i="1"/>
  <c r="AJ825" i="1"/>
  <c r="AI825" i="1"/>
  <c r="AH825" i="1"/>
  <c r="AG825" i="1"/>
  <c r="S825" i="1"/>
  <c r="AJ824" i="1"/>
  <c r="AI824" i="1"/>
  <c r="AH824" i="1"/>
  <c r="AG824" i="1"/>
  <c r="S824" i="1"/>
  <c r="AJ823" i="1"/>
  <c r="AI823" i="1"/>
  <c r="AH823" i="1"/>
  <c r="AG823" i="1"/>
  <c r="S823" i="1"/>
  <c r="AJ822" i="1"/>
  <c r="AI822" i="1"/>
  <c r="AH822" i="1"/>
  <c r="AG822" i="1"/>
  <c r="S822" i="1"/>
  <c r="AJ821" i="1"/>
  <c r="AI821" i="1"/>
  <c r="AH821" i="1"/>
  <c r="AG821" i="1"/>
  <c r="S821" i="1"/>
  <c r="AJ820" i="1"/>
  <c r="AI820" i="1"/>
  <c r="AH820" i="1"/>
  <c r="AG820" i="1"/>
  <c r="S820" i="1"/>
  <c r="AJ819" i="1"/>
  <c r="AI819" i="1"/>
  <c r="AH819" i="1"/>
  <c r="AG819" i="1"/>
  <c r="S819" i="1"/>
  <c r="AJ818" i="1"/>
  <c r="AI818" i="1"/>
  <c r="AH818" i="1"/>
  <c r="AG818" i="1"/>
  <c r="S818" i="1"/>
  <c r="AJ817" i="1"/>
  <c r="AI817" i="1"/>
  <c r="AH817" i="1"/>
  <c r="AG817" i="1"/>
  <c r="S817" i="1"/>
  <c r="AJ816" i="1"/>
  <c r="AI816" i="1"/>
  <c r="AH816" i="1"/>
  <c r="AG816" i="1"/>
  <c r="S816" i="1"/>
  <c r="AJ815" i="1"/>
  <c r="AI815" i="1"/>
  <c r="AH815" i="1"/>
  <c r="AG815" i="1"/>
  <c r="S815" i="1"/>
  <c r="AJ814" i="1"/>
  <c r="AI814" i="1"/>
  <c r="AH814" i="1"/>
  <c r="AG814" i="1"/>
  <c r="S814" i="1"/>
  <c r="AJ813" i="1"/>
  <c r="AI813" i="1"/>
  <c r="AH813" i="1"/>
  <c r="AG813" i="1"/>
  <c r="S813" i="1"/>
  <c r="AJ812" i="1"/>
  <c r="AI812" i="1"/>
  <c r="AH812" i="1"/>
  <c r="AG812" i="1"/>
  <c r="S812" i="1"/>
  <c r="AJ811" i="1"/>
  <c r="AI811" i="1"/>
  <c r="AH811" i="1"/>
  <c r="AG811" i="1"/>
  <c r="S811" i="1"/>
  <c r="AJ810" i="1"/>
  <c r="AI810" i="1"/>
  <c r="AH810" i="1"/>
  <c r="AG810" i="1"/>
  <c r="S810" i="1"/>
  <c r="AJ809" i="1"/>
  <c r="AI809" i="1"/>
  <c r="AH809" i="1"/>
  <c r="AG809" i="1"/>
  <c r="S809" i="1"/>
  <c r="AJ808" i="1"/>
  <c r="AI808" i="1"/>
  <c r="AH808" i="1"/>
  <c r="AG808" i="1"/>
  <c r="S808" i="1"/>
  <c r="AJ807" i="1"/>
  <c r="AI807" i="1"/>
  <c r="AH807" i="1"/>
  <c r="AG807" i="1"/>
  <c r="S807" i="1"/>
  <c r="AJ806" i="1"/>
  <c r="AI806" i="1"/>
  <c r="AH806" i="1"/>
  <c r="AG806" i="1"/>
  <c r="S806" i="1"/>
  <c r="AJ805" i="1"/>
  <c r="AI805" i="1"/>
  <c r="AH805" i="1"/>
  <c r="AG805" i="1"/>
  <c r="S805" i="1"/>
  <c r="AJ804" i="1"/>
  <c r="AI804" i="1"/>
  <c r="AH804" i="1"/>
  <c r="AG804" i="1"/>
  <c r="S804" i="1"/>
  <c r="AJ803" i="1"/>
  <c r="AI803" i="1"/>
  <c r="AH803" i="1"/>
  <c r="AG803" i="1"/>
  <c r="S803" i="1"/>
  <c r="AJ802" i="1"/>
  <c r="AI802" i="1"/>
  <c r="AH802" i="1"/>
  <c r="AG802" i="1"/>
  <c r="S802" i="1"/>
  <c r="AJ801" i="1"/>
  <c r="AI801" i="1"/>
  <c r="AH801" i="1"/>
  <c r="AG801" i="1"/>
  <c r="S801" i="1"/>
  <c r="AJ800" i="1"/>
  <c r="AI800" i="1"/>
  <c r="AH800" i="1"/>
  <c r="AG800" i="1"/>
  <c r="S800" i="1"/>
  <c r="AJ799" i="1"/>
  <c r="AI799" i="1"/>
  <c r="AH799" i="1"/>
  <c r="AG799" i="1"/>
  <c r="S799" i="1"/>
  <c r="AJ798" i="1"/>
  <c r="AI798" i="1"/>
  <c r="AH798" i="1"/>
  <c r="AG798" i="1"/>
  <c r="S798" i="1"/>
  <c r="AJ797" i="1"/>
  <c r="AI797" i="1"/>
  <c r="AH797" i="1"/>
  <c r="AG797" i="1"/>
  <c r="S797" i="1"/>
  <c r="AJ796" i="1"/>
  <c r="AI796" i="1"/>
  <c r="AH796" i="1"/>
  <c r="AG796" i="1"/>
  <c r="S796" i="1"/>
  <c r="AJ795" i="1"/>
  <c r="AI795" i="1"/>
  <c r="AH795" i="1"/>
  <c r="AG795" i="1"/>
  <c r="S795" i="1"/>
  <c r="AJ794" i="1"/>
  <c r="AI794" i="1"/>
  <c r="AH794" i="1"/>
  <c r="AG794" i="1"/>
  <c r="S794" i="1"/>
  <c r="AJ793" i="1"/>
  <c r="AI793" i="1"/>
  <c r="AH793" i="1"/>
  <c r="AG793" i="1"/>
  <c r="S793" i="1"/>
  <c r="AJ792" i="1"/>
  <c r="AI792" i="1"/>
  <c r="AH792" i="1"/>
  <c r="AG792" i="1"/>
  <c r="S792" i="1"/>
  <c r="AJ791" i="1"/>
  <c r="AI791" i="1"/>
  <c r="AH791" i="1"/>
  <c r="AG791" i="1"/>
  <c r="S791" i="1"/>
  <c r="AJ790" i="1"/>
  <c r="AI790" i="1"/>
  <c r="AH790" i="1"/>
  <c r="AG790" i="1"/>
  <c r="S790" i="1"/>
  <c r="AJ789" i="1"/>
  <c r="AI789" i="1"/>
  <c r="AH789" i="1"/>
  <c r="AG789" i="1"/>
  <c r="S789" i="1"/>
  <c r="AJ788" i="1"/>
  <c r="AI788" i="1"/>
  <c r="AH788" i="1"/>
  <c r="AG788" i="1"/>
  <c r="S788" i="1"/>
  <c r="AJ787" i="1"/>
  <c r="AI787" i="1"/>
  <c r="AH787" i="1"/>
  <c r="AG787" i="1"/>
  <c r="S787" i="1"/>
  <c r="AJ786" i="1"/>
  <c r="AI786" i="1"/>
  <c r="AH786" i="1"/>
  <c r="AG786" i="1"/>
  <c r="S786" i="1"/>
  <c r="AJ785" i="1"/>
  <c r="AI785" i="1"/>
  <c r="AH785" i="1"/>
  <c r="AG785" i="1"/>
  <c r="S785" i="1"/>
  <c r="AJ784" i="1"/>
  <c r="AI784" i="1"/>
  <c r="AH784" i="1"/>
  <c r="AG784" i="1"/>
  <c r="S784" i="1"/>
  <c r="AJ783" i="1"/>
  <c r="AI783" i="1"/>
  <c r="AH783" i="1"/>
  <c r="AG783" i="1"/>
  <c r="S783" i="1"/>
  <c r="AJ782" i="1"/>
  <c r="AI782" i="1"/>
  <c r="AH782" i="1"/>
  <c r="AG782" i="1"/>
  <c r="S782" i="1"/>
  <c r="AJ781" i="1"/>
  <c r="AI781" i="1"/>
  <c r="AH781" i="1"/>
  <c r="AG781" i="1"/>
  <c r="S781" i="1"/>
  <c r="AJ780" i="1"/>
  <c r="AI780" i="1"/>
  <c r="AH780" i="1"/>
  <c r="AG780" i="1"/>
  <c r="S780" i="1"/>
  <c r="AJ779" i="1"/>
  <c r="AI779" i="1"/>
  <c r="AH779" i="1"/>
  <c r="AG779" i="1"/>
  <c r="S779" i="1"/>
  <c r="AJ778" i="1"/>
  <c r="AI778" i="1"/>
  <c r="AH778" i="1"/>
  <c r="AG778" i="1"/>
  <c r="S778" i="1"/>
  <c r="AJ777" i="1"/>
  <c r="AI777" i="1"/>
  <c r="AH777" i="1"/>
  <c r="AG777" i="1"/>
  <c r="S777" i="1"/>
  <c r="AJ776" i="1"/>
  <c r="AI776" i="1"/>
  <c r="AH776" i="1"/>
  <c r="AG776" i="1"/>
  <c r="S776" i="1"/>
  <c r="AJ775" i="1"/>
  <c r="AI775" i="1"/>
  <c r="AH775" i="1"/>
  <c r="AG775" i="1"/>
  <c r="S775" i="1"/>
  <c r="AJ774" i="1"/>
  <c r="AI774" i="1"/>
  <c r="AH774" i="1"/>
  <c r="AG774" i="1"/>
  <c r="S774" i="1"/>
  <c r="AJ773" i="1"/>
  <c r="AI773" i="1"/>
  <c r="AH773" i="1"/>
  <c r="AG773" i="1"/>
  <c r="S773" i="1"/>
  <c r="AJ772" i="1"/>
  <c r="AI772" i="1"/>
  <c r="AH772" i="1"/>
  <c r="AG772" i="1"/>
  <c r="S772" i="1"/>
  <c r="AJ771" i="1"/>
  <c r="AI771" i="1"/>
  <c r="AH771" i="1"/>
  <c r="AG771" i="1"/>
  <c r="S771" i="1"/>
  <c r="AJ770" i="1"/>
  <c r="AI770" i="1"/>
  <c r="AH770" i="1"/>
  <c r="AG770" i="1"/>
  <c r="S770" i="1"/>
  <c r="AJ769" i="1"/>
  <c r="AI769" i="1"/>
  <c r="AH769" i="1"/>
  <c r="AG769" i="1"/>
  <c r="S769" i="1"/>
  <c r="AJ768" i="1"/>
  <c r="AI768" i="1"/>
  <c r="AH768" i="1"/>
  <c r="AG768" i="1"/>
  <c r="S768" i="1"/>
  <c r="AJ767" i="1"/>
  <c r="AI767" i="1"/>
  <c r="AH767" i="1"/>
  <c r="AG767" i="1"/>
  <c r="S767" i="1"/>
  <c r="AJ766" i="1"/>
  <c r="AI766" i="1"/>
  <c r="AH766" i="1"/>
  <c r="AG766" i="1"/>
  <c r="S766" i="1"/>
  <c r="AJ765" i="1"/>
  <c r="AI765" i="1"/>
  <c r="AH765" i="1"/>
  <c r="AG765" i="1"/>
  <c r="S765" i="1"/>
  <c r="AJ764" i="1"/>
  <c r="AI764" i="1"/>
  <c r="AH764" i="1"/>
  <c r="AG764" i="1"/>
  <c r="S764" i="1"/>
  <c r="AJ763" i="1"/>
  <c r="AI763" i="1"/>
  <c r="AH763" i="1"/>
  <c r="AG763" i="1"/>
  <c r="S763" i="1"/>
  <c r="AJ762" i="1"/>
  <c r="AI762" i="1"/>
  <c r="AH762" i="1"/>
  <c r="AG762" i="1"/>
  <c r="S762" i="1"/>
  <c r="AJ761" i="1"/>
  <c r="AI761" i="1"/>
  <c r="AH761" i="1"/>
  <c r="AG761" i="1"/>
  <c r="S761" i="1"/>
  <c r="AJ760" i="1"/>
  <c r="AI760" i="1"/>
  <c r="AH760" i="1"/>
  <c r="AG760" i="1"/>
  <c r="S760" i="1"/>
  <c r="AJ759" i="1"/>
  <c r="AI759" i="1"/>
  <c r="AH759" i="1"/>
  <c r="AG759" i="1"/>
  <c r="S759" i="1"/>
  <c r="AJ758" i="1"/>
  <c r="AI758" i="1"/>
  <c r="AH758" i="1"/>
  <c r="AG758" i="1"/>
  <c r="S758" i="1"/>
  <c r="AJ757" i="1"/>
  <c r="AI757" i="1"/>
  <c r="AH757" i="1"/>
  <c r="AG757" i="1"/>
  <c r="S757" i="1"/>
  <c r="AJ756" i="1"/>
  <c r="AI756" i="1"/>
  <c r="AH756" i="1"/>
  <c r="AG756" i="1"/>
  <c r="S756" i="1"/>
  <c r="AJ755" i="1"/>
  <c r="AI755" i="1"/>
  <c r="AH755" i="1"/>
  <c r="AG755" i="1"/>
  <c r="S755" i="1"/>
  <c r="AJ754" i="1"/>
  <c r="AI754" i="1"/>
  <c r="AH754" i="1"/>
  <c r="AG754" i="1"/>
  <c r="S754" i="1"/>
  <c r="AJ753" i="1"/>
  <c r="AI753" i="1"/>
  <c r="AH753" i="1"/>
  <c r="AG753" i="1"/>
  <c r="S753" i="1"/>
  <c r="AJ752" i="1"/>
  <c r="AI752" i="1"/>
  <c r="AH752" i="1"/>
  <c r="AG752" i="1"/>
  <c r="S752" i="1"/>
  <c r="AJ751" i="1"/>
  <c r="AI751" i="1"/>
  <c r="AH751" i="1"/>
  <c r="AG751" i="1"/>
  <c r="S751" i="1"/>
  <c r="AJ750" i="1"/>
  <c r="AI750" i="1"/>
  <c r="AH750" i="1"/>
  <c r="AG750" i="1"/>
  <c r="S750" i="1"/>
  <c r="AJ749" i="1"/>
  <c r="AI749" i="1"/>
  <c r="AH749" i="1"/>
  <c r="AG749" i="1"/>
  <c r="S749" i="1"/>
  <c r="AJ748" i="1"/>
  <c r="AI748" i="1"/>
  <c r="AH748" i="1"/>
  <c r="AG748" i="1"/>
  <c r="S748" i="1"/>
  <c r="AJ747" i="1"/>
  <c r="AI747" i="1"/>
  <c r="AH747" i="1"/>
  <c r="AG747" i="1"/>
  <c r="S747" i="1"/>
  <c r="AJ746" i="1"/>
  <c r="AI746" i="1"/>
  <c r="AH746" i="1"/>
  <c r="AG746" i="1"/>
  <c r="S746" i="1"/>
  <c r="AJ745" i="1"/>
  <c r="AI745" i="1"/>
  <c r="AH745" i="1"/>
  <c r="AG745" i="1"/>
  <c r="S745" i="1"/>
  <c r="AJ744" i="1"/>
  <c r="AI744" i="1"/>
  <c r="AH744" i="1"/>
  <c r="AG744" i="1"/>
  <c r="S744" i="1"/>
  <c r="AJ743" i="1"/>
  <c r="AI743" i="1"/>
  <c r="AH743" i="1"/>
  <c r="AG743" i="1"/>
  <c r="S743" i="1"/>
  <c r="AJ742" i="1"/>
  <c r="AI742" i="1"/>
  <c r="AH742" i="1"/>
  <c r="AG742" i="1"/>
  <c r="S742" i="1"/>
  <c r="AJ741" i="1"/>
  <c r="AI741" i="1"/>
  <c r="AH741" i="1"/>
  <c r="AG741" i="1"/>
  <c r="S741" i="1"/>
  <c r="AJ740" i="1"/>
  <c r="AI740" i="1"/>
  <c r="AH740" i="1"/>
  <c r="AG740" i="1"/>
  <c r="S740" i="1"/>
  <c r="AJ739" i="1"/>
  <c r="AI739" i="1"/>
  <c r="AH739" i="1"/>
  <c r="AG739" i="1"/>
  <c r="S739" i="1"/>
  <c r="AJ738" i="1"/>
  <c r="AI738" i="1"/>
  <c r="AH738" i="1"/>
  <c r="AG738" i="1"/>
  <c r="S738" i="1"/>
  <c r="AJ737" i="1"/>
  <c r="AI737" i="1"/>
  <c r="AH737" i="1"/>
  <c r="AG737" i="1"/>
  <c r="S737" i="1"/>
  <c r="AJ736" i="1"/>
  <c r="AI736" i="1"/>
  <c r="AH736" i="1"/>
  <c r="AG736" i="1"/>
  <c r="S736" i="1"/>
  <c r="AJ735" i="1"/>
  <c r="AI735" i="1"/>
  <c r="AH735" i="1"/>
  <c r="AG735" i="1"/>
  <c r="S735" i="1"/>
  <c r="AJ734" i="1"/>
  <c r="AI734" i="1"/>
  <c r="AH734" i="1"/>
  <c r="AG734" i="1"/>
  <c r="S734" i="1"/>
  <c r="AJ733" i="1"/>
  <c r="AI733" i="1"/>
  <c r="AH733" i="1"/>
  <c r="AG733" i="1"/>
  <c r="S733" i="1"/>
  <c r="AJ732" i="1"/>
  <c r="AI732" i="1"/>
  <c r="AH732" i="1"/>
  <c r="AG732" i="1"/>
  <c r="S732" i="1"/>
  <c r="AJ731" i="1"/>
  <c r="AI731" i="1"/>
  <c r="AH731" i="1"/>
  <c r="AG731" i="1"/>
  <c r="S731" i="1"/>
  <c r="AJ730" i="1"/>
  <c r="AI730" i="1"/>
  <c r="AH730" i="1"/>
  <c r="AG730" i="1"/>
  <c r="S730" i="1"/>
  <c r="AJ729" i="1"/>
  <c r="AI729" i="1"/>
  <c r="AH729" i="1"/>
  <c r="AG729" i="1"/>
  <c r="S729" i="1"/>
  <c r="AJ728" i="1"/>
  <c r="AI728" i="1"/>
  <c r="AH728" i="1"/>
  <c r="AG728" i="1"/>
  <c r="S728" i="1"/>
  <c r="AJ727" i="1"/>
  <c r="AI727" i="1"/>
  <c r="AH727" i="1"/>
  <c r="AG727" i="1"/>
  <c r="S727" i="1"/>
  <c r="AJ726" i="1"/>
  <c r="AI726" i="1"/>
  <c r="AH726" i="1"/>
  <c r="AG726" i="1"/>
  <c r="S726" i="1"/>
  <c r="AJ725" i="1"/>
  <c r="AI725" i="1"/>
  <c r="AH725" i="1"/>
  <c r="AG725" i="1"/>
  <c r="S725" i="1"/>
  <c r="AJ724" i="1"/>
  <c r="AI724" i="1"/>
  <c r="AH724" i="1"/>
  <c r="AG724" i="1"/>
  <c r="S724" i="1"/>
  <c r="AJ723" i="1"/>
  <c r="AI723" i="1"/>
  <c r="AH723" i="1"/>
  <c r="AG723" i="1"/>
  <c r="S723" i="1"/>
  <c r="AJ722" i="1"/>
  <c r="AI722" i="1"/>
  <c r="AH722" i="1"/>
  <c r="AG722" i="1"/>
  <c r="S722" i="1"/>
  <c r="AJ721" i="1"/>
  <c r="AI721" i="1"/>
  <c r="AH721" i="1"/>
  <c r="AG721" i="1"/>
  <c r="S721" i="1"/>
  <c r="AJ720" i="1"/>
  <c r="AI720" i="1"/>
  <c r="AH720" i="1"/>
  <c r="AG720" i="1"/>
  <c r="S720" i="1"/>
  <c r="AJ719" i="1"/>
  <c r="AI719" i="1"/>
  <c r="AH719" i="1"/>
  <c r="AG719" i="1"/>
  <c r="S719" i="1"/>
  <c r="AJ718" i="1"/>
  <c r="AI718" i="1"/>
  <c r="AH718" i="1"/>
  <c r="AG718" i="1"/>
  <c r="S718" i="1"/>
  <c r="AJ717" i="1"/>
  <c r="AI717" i="1"/>
  <c r="AH717" i="1"/>
  <c r="AG717" i="1"/>
  <c r="S717" i="1"/>
  <c r="AJ716" i="1"/>
  <c r="AI716" i="1"/>
  <c r="AH716" i="1"/>
  <c r="AG716" i="1"/>
  <c r="S716" i="1"/>
  <c r="AJ715" i="1"/>
  <c r="AI715" i="1"/>
  <c r="AH715" i="1"/>
  <c r="AG715" i="1"/>
  <c r="S715" i="1"/>
  <c r="AJ714" i="1"/>
  <c r="AI714" i="1"/>
  <c r="AH714" i="1"/>
  <c r="AG714" i="1"/>
  <c r="S714" i="1"/>
  <c r="AJ713" i="1"/>
  <c r="AI713" i="1"/>
  <c r="AH713" i="1"/>
  <c r="AG713" i="1"/>
  <c r="S713" i="1"/>
  <c r="AJ712" i="1"/>
  <c r="AI712" i="1"/>
  <c r="AH712" i="1"/>
  <c r="AG712" i="1"/>
  <c r="S712" i="1"/>
  <c r="AJ711" i="1"/>
  <c r="AI711" i="1"/>
  <c r="AH711" i="1"/>
  <c r="AG711" i="1"/>
  <c r="S711" i="1"/>
  <c r="AJ710" i="1"/>
  <c r="AI710" i="1"/>
  <c r="AH710" i="1"/>
  <c r="AG710" i="1"/>
  <c r="S710" i="1"/>
  <c r="AJ709" i="1"/>
  <c r="AI709" i="1"/>
  <c r="AH709" i="1"/>
  <c r="AG709" i="1"/>
  <c r="S709" i="1"/>
  <c r="AJ708" i="1"/>
  <c r="AI708" i="1"/>
  <c r="AH708" i="1"/>
  <c r="AG708" i="1"/>
  <c r="S708" i="1"/>
  <c r="AJ707" i="1"/>
  <c r="AI707" i="1"/>
  <c r="AH707" i="1"/>
  <c r="AG707" i="1"/>
  <c r="S707" i="1"/>
  <c r="AJ706" i="1"/>
  <c r="AI706" i="1"/>
  <c r="AH706" i="1"/>
  <c r="AG706" i="1"/>
  <c r="S706" i="1"/>
  <c r="AJ705" i="1"/>
  <c r="AI705" i="1"/>
  <c r="AH705" i="1"/>
  <c r="AG705" i="1"/>
  <c r="S705" i="1"/>
  <c r="AJ704" i="1"/>
  <c r="AI704" i="1"/>
  <c r="AH704" i="1"/>
  <c r="AG704" i="1"/>
  <c r="S704" i="1"/>
  <c r="AJ703" i="1"/>
  <c r="AI703" i="1"/>
  <c r="AH703" i="1"/>
  <c r="AG703" i="1"/>
  <c r="S703" i="1"/>
  <c r="AJ702" i="1"/>
  <c r="AI702" i="1"/>
  <c r="AH702" i="1"/>
  <c r="AG702" i="1"/>
  <c r="S702" i="1"/>
  <c r="AJ701" i="1"/>
  <c r="AI701" i="1"/>
  <c r="AH701" i="1"/>
  <c r="AG701" i="1"/>
  <c r="S701" i="1"/>
  <c r="AJ700" i="1"/>
  <c r="AI700" i="1"/>
  <c r="AH700" i="1"/>
  <c r="AG700" i="1"/>
  <c r="S700" i="1"/>
  <c r="AJ699" i="1"/>
  <c r="AI699" i="1"/>
  <c r="AH699" i="1"/>
  <c r="AG699" i="1"/>
  <c r="S699" i="1"/>
  <c r="AJ698" i="1"/>
  <c r="AI698" i="1"/>
  <c r="AH698" i="1"/>
  <c r="AG698" i="1"/>
  <c r="S698" i="1"/>
  <c r="AJ697" i="1"/>
  <c r="AI697" i="1"/>
  <c r="AH697" i="1"/>
  <c r="AG697" i="1"/>
  <c r="S697" i="1"/>
  <c r="AJ696" i="1"/>
  <c r="AI696" i="1"/>
  <c r="AH696" i="1"/>
  <c r="AG696" i="1"/>
  <c r="S696" i="1"/>
  <c r="AJ695" i="1"/>
  <c r="AI695" i="1"/>
  <c r="AH695" i="1"/>
  <c r="AG695" i="1"/>
  <c r="S695" i="1"/>
  <c r="AJ694" i="1"/>
  <c r="AI694" i="1"/>
  <c r="AH694" i="1"/>
  <c r="AG694" i="1"/>
  <c r="S694" i="1"/>
  <c r="AJ693" i="1"/>
  <c r="AI693" i="1"/>
  <c r="AH693" i="1"/>
  <c r="AG693" i="1"/>
  <c r="S693" i="1"/>
  <c r="AJ692" i="1"/>
  <c r="AI692" i="1"/>
  <c r="AH692" i="1"/>
  <c r="AG692" i="1"/>
  <c r="S692" i="1"/>
  <c r="AJ691" i="1"/>
  <c r="AI691" i="1"/>
  <c r="AH691" i="1"/>
  <c r="AG691" i="1"/>
  <c r="S691" i="1"/>
  <c r="AJ690" i="1"/>
  <c r="AI690" i="1"/>
  <c r="AH690" i="1"/>
  <c r="AG690" i="1"/>
  <c r="S690" i="1"/>
  <c r="AJ689" i="1"/>
  <c r="AI689" i="1"/>
  <c r="AH689" i="1"/>
  <c r="AG689" i="1"/>
  <c r="S689" i="1"/>
  <c r="AJ688" i="1"/>
  <c r="AI688" i="1"/>
  <c r="AH688" i="1"/>
  <c r="AG688" i="1"/>
  <c r="S688" i="1"/>
  <c r="AJ687" i="1"/>
  <c r="AI687" i="1"/>
  <c r="AH687" i="1"/>
  <c r="AG687" i="1"/>
  <c r="S687" i="1"/>
  <c r="AJ686" i="1"/>
  <c r="AI686" i="1"/>
  <c r="AH686" i="1"/>
  <c r="AG686" i="1"/>
  <c r="S686" i="1"/>
  <c r="AJ685" i="1"/>
  <c r="AI685" i="1"/>
  <c r="AH685" i="1"/>
  <c r="AG685" i="1"/>
  <c r="S685" i="1"/>
  <c r="AJ684" i="1"/>
  <c r="AI684" i="1"/>
  <c r="AH684" i="1"/>
  <c r="AG684" i="1"/>
  <c r="S684" i="1"/>
  <c r="AJ683" i="1"/>
  <c r="AI683" i="1"/>
  <c r="AH683" i="1"/>
  <c r="AG683" i="1"/>
  <c r="S683" i="1"/>
  <c r="AJ682" i="1"/>
  <c r="AI682" i="1"/>
  <c r="AH682" i="1"/>
  <c r="AG682" i="1"/>
  <c r="S682" i="1"/>
  <c r="AJ681" i="1"/>
  <c r="AI681" i="1"/>
  <c r="AH681" i="1"/>
  <c r="AG681" i="1"/>
  <c r="S681" i="1"/>
  <c r="AJ680" i="1"/>
  <c r="AI680" i="1"/>
  <c r="AH680" i="1"/>
  <c r="AG680" i="1"/>
  <c r="S680" i="1"/>
  <c r="AJ679" i="1"/>
  <c r="AI679" i="1"/>
  <c r="AH679" i="1"/>
  <c r="AG679" i="1"/>
  <c r="S679" i="1"/>
  <c r="AJ678" i="1"/>
  <c r="AI678" i="1"/>
  <c r="AH678" i="1"/>
  <c r="AG678" i="1"/>
  <c r="S678" i="1"/>
  <c r="AJ677" i="1"/>
  <c r="AI677" i="1"/>
  <c r="AH677" i="1"/>
  <c r="AG677" i="1"/>
  <c r="S677" i="1"/>
  <c r="AJ676" i="1"/>
  <c r="AI676" i="1"/>
  <c r="AH676" i="1"/>
  <c r="AG676" i="1"/>
  <c r="S676" i="1"/>
  <c r="AJ675" i="1"/>
  <c r="AI675" i="1"/>
  <c r="AH675" i="1"/>
  <c r="AG675" i="1"/>
  <c r="S675" i="1"/>
  <c r="AJ674" i="1"/>
  <c r="AI674" i="1"/>
  <c r="AH674" i="1"/>
  <c r="AG674" i="1"/>
  <c r="S674" i="1"/>
  <c r="AJ673" i="1"/>
  <c r="AI673" i="1"/>
  <c r="AH673" i="1"/>
  <c r="AG673" i="1"/>
  <c r="S673" i="1"/>
  <c r="AJ672" i="1"/>
  <c r="AI672" i="1"/>
  <c r="AH672" i="1"/>
  <c r="AG672" i="1"/>
  <c r="S672" i="1"/>
  <c r="AJ671" i="1"/>
  <c r="AI671" i="1"/>
  <c r="AH671" i="1"/>
  <c r="AG671" i="1"/>
  <c r="S671" i="1"/>
  <c r="AJ670" i="1"/>
  <c r="AI670" i="1"/>
  <c r="AH670" i="1"/>
  <c r="AG670" i="1"/>
  <c r="S670" i="1"/>
  <c r="AJ669" i="1"/>
  <c r="AI669" i="1"/>
  <c r="AH669" i="1"/>
  <c r="AG669" i="1"/>
  <c r="S669" i="1"/>
  <c r="AJ668" i="1"/>
  <c r="AI668" i="1"/>
  <c r="AH668" i="1"/>
  <c r="AG668" i="1"/>
  <c r="S668" i="1"/>
  <c r="AJ667" i="1"/>
  <c r="AI667" i="1"/>
  <c r="AH667" i="1"/>
  <c r="AG667" i="1"/>
  <c r="S667" i="1"/>
  <c r="AJ666" i="1"/>
  <c r="AI666" i="1"/>
  <c r="AH666" i="1"/>
  <c r="AG666" i="1"/>
  <c r="S666" i="1"/>
  <c r="AJ665" i="1"/>
  <c r="AI665" i="1"/>
  <c r="AH665" i="1"/>
  <c r="AG665" i="1"/>
  <c r="S665" i="1"/>
  <c r="AJ664" i="1"/>
  <c r="AI664" i="1"/>
  <c r="AH664" i="1"/>
  <c r="AG664" i="1"/>
  <c r="S664" i="1"/>
  <c r="AJ663" i="1"/>
  <c r="AI663" i="1"/>
  <c r="AH663" i="1"/>
  <c r="AG663" i="1"/>
  <c r="S663" i="1"/>
  <c r="AJ662" i="1"/>
  <c r="AI662" i="1"/>
  <c r="AH662" i="1"/>
  <c r="AG662" i="1"/>
  <c r="S662" i="1"/>
  <c r="AJ661" i="1"/>
  <c r="AI661" i="1"/>
  <c r="AH661" i="1"/>
  <c r="AG661" i="1"/>
  <c r="S661" i="1"/>
  <c r="AJ660" i="1"/>
  <c r="AI660" i="1"/>
  <c r="AH660" i="1"/>
  <c r="AG660" i="1"/>
  <c r="S660" i="1"/>
  <c r="AJ659" i="1"/>
  <c r="AI659" i="1"/>
  <c r="AH659" i="1"/>
  <c r="AG659" i="1"/>
  <c r="S659" i="1"/>
  <c r="AJ658" i="1"/>
  <c r="AI658" i="1"/>
  <c r="AH658" i="1"/>
  <c r="AG658" i="1"/>
  <c r="S658" i="1"/>
  <c r="AJ657" i="1"/>
  <c r="AI657" i="1"/>
  <c r="AH657" i="1"/>
  <c r="AG657" i="1"/>
  <c r="S657" i="1"/>
  <c r="AJ656" i="1"/>
  <c r="AI656" i="1"/>
  <c r="AH656" i="1"/>
  <c r="AG656" i="1"/>
  <c r="S656" i="1"/>
  <c r="AJ655" i="1"/>
  <c r="AI655" i="1"/>
  <c r="AH655" i="1"/>
  <c r="AG655" i="1"/>
  <c r="S655" i="1"/>
  <c r="AJ654" i="1"/>
  <c r="AI654" i="1"/>
  <c r="AH654" i="1"/>
  <c r="AG654" i="1"/>
  <c r="S654" i="1"/>
  <c r="AJ653" i="1"/>
  <c r="AI653" i="1"/>
  <c r="AH653" i="1"/>
  <c r="AG653" i="1"/>
  <c r="S653" i="1"/>
  <c r="AJ652" i="1"/>
  <c r="AI652" i="1"/>
  <c r="AH652" i="1"/>
  <c r="AG652" i="1"/>
  <c r="S652" i="1"/>
  <c r="AJ651" i="1"/>
  <c r="AI651" i="1"/>
  <c r="AH651" i="1"/>
  <c r="AG651" i="1"/>
  <c r="S651" i="1"/>
  <c r="AJ650" i="1"/>
  <c r="AI650" i="1"/>
  <c r="AH650" i="1"/>
  <c r="AG650" i="1"/>
  <c r="S650" i="1"/>
  <c r="AJ649" i="1"/>
  <c r="AI649" i="1"/>
  <c r="AH649" i="1"/>
  <c r="AG649" i="1"/>
  <c r="S649" i="1"/>
  <c r="AJ648" i="1"/>
  <c r="AI648" i="1"/>
  <c r="AH648" i="1"/>
  <c r="AG648" i="1"/>
  <c r="S648" i="1"/>
  <c r="AJ647" i="1"/>
  <c r="AI647" i="1"/>
  <c r="AH647" i="1"/>
  <c r="AG647" i="1"/>
  <c r="S647" i="1"/>
  <c r="AJ646" i="1"/>
  <c r="AI646" i="1"/>
  <c r="AH646" i="1"/>
  <c r="AG646" i="1"/>
  <c r="S646" i="1"/>
  <c r="AJ645" i="1"/>
  <c r="AI645" i="1"/>
  <c r="AH645" i="1"/>
  <c r="AG645" i="1"/>
  <c r="S645" i="1"/>
  <c r="AJ644" i="1"/>
  <c r="AI644" i="1"/>
  <c r="AH644" i="1"/>
  <c r="AG644" i="1"/>
  <c r="S644" i="1"/>
  <c r="AJ643" i="1"/>
  <c r="AI643" i="1"/>
  <c r="AH643" i="1"/>
  <c r="AG643" i="1"/>
  <c r="S643" i="1"/>
  <c r="AJ642" i="1"/>
  <c r="AI642" i="1"/>
  <c r="AH642" i="1"/>
  <c r="AG642" i="1"/>
  <c r="S642" i="1"/>
  <c r="AJ641" i="1"/>
  <c r="AI641" i="1"/>
  <c r="AH641" i="1"/>
  <c r="AG641" i="1"/>
  <c r="S641" i="1"/>
  <c r="AJ640" i="1"/>
  <c r="AI640" i="1"/>
  <c r="AH640" i="1"/>
  <c r="AG640" i="1"/>
  <c r="S640" i="1"/>
  <c r="AJ639" i="1"/>
  <c r="AI639" i="1"/>
  <c r="AH639" i="1"/>
  <c r="AG639" i="1"/>
  <c r="S639" i="1"/>
  <c r="AJ638" i="1"/>
  <c r="AI638" i="1"/>
  <c r="AH638" i="1"/>
  <c r="AG638" i="1"/>
  <c r="S638" i="1"/>
  <c r="AJ637" i="1"/>
  <c r="AI637" i="1"/>
  <c r="AH637" i="1"/>
  <c r="AG637" i="1"/>
  <c r="S637" i="1"/>
  <c r="AJ636" i="1"/>
  <c r="AI636" i="1"/>
  <c r="AH636" i="1"/>
  <c r="AG636" i="1"/>
  <c r="S636" i="1"/>
  <c r="AJ635" i="1"/>
  <c r="AI635" i="1"/>
  <c r="AH635" i="1"/>
  <c r="AG635" i="1"/>
  <c r="S635" i="1"/>
  <c r="AJ634" i="1"/>
  <c r="AI634" i="1"/>
  <c r="AH634" i="1"/>
  <c r="AG634" i="1"/>
  <c r="S634" i="1"/>
  <c r="AJ633" i="1"/>
  <c r="AI633" i="1"/>
  <c r="AH633" i="1"/>
  <c r="AG633" i="1"/>
  <c r="S633" i="1"/>
  <c r="AJ632" i="1"/>
  <c r="AI632" i="1"/>
  <c r="AH632" i="1"/>
  <c r="AG632" i="1"/>
  <c r="S632" i="1"/>
  <c r="AJ631" i="1"/>
  <c r="AI631" i="1"/>
  <c r="AH631" i="1"/>
  <c r="AG631" i="1"/>
  <c r="S631" i="1"/>
  <c r="AJ630" i="1"/>
  <c r="AI630" i="1"/>
  <c r="AH630" i="1"/>
  <c r="AG630" i="1"/>
  <c r="S630" i="1"/>
  <c r="AJ629" i="1"/>
  <c r="AI629" i="1"/>
  <c r="AH629" i="1"/>
  <c r="AG629" i="1"/>
  <c r="S629" i="1"/>
  <c r="AJ628" i="1"/>
  <c r="AI628" i="1"/>
  <c r="AH628" i="1"/>
  <c r="AG628" i="1"/>
  <c r="S628" i="1"/>
  <c r="AJ627" i="1"/>
  <c r="AI627" i="1"/>
  <c r="AH627" i="1"/>
  <c r="AG627" i="1"/>
  <c r="S627" i="1"/>
  <c r="AJ626" i="1"/>
  <c r="AI626" i="1"/>
  <c r="AH626" i="1"/>
  <c r="AG626" i="1"/>
  <c r="S626" i="1"/>
  <c r="AJ625" i="1"/>
  <c r="AI625" i="1"/>
  <c r="AH625" i="1"/>
  <c r="AG625" i="1"/>
  <c r="S625" i="1"/>
  <c r="AJ624" i="1"/>
  <c r="AI624" i="1"/>
  <c r="AH624" i="1"/>
  <c r="AG624" i="1"/>
  <c r="S624" i="1"/>
  <c r="AJ623" i="1"/>
  <c r="AI623" i="1"/>
  <c r="AH623" i="1"/>
  <c r="AG623" i="1"/>
  <c r="S623" i="1"/>
  <c r="AJ622" i="1"/>
  <c r="AI622" i="1"/>
  <c r="AH622" i="1"/>
  <c r="AG622" i="1"/>
  <c r="S622" i="1"/>
  <c r="AJ621" i="1"/>
  <c r="AI621" i="1"/>
  <c r="AH621" i="1"/>
  <c r="AG621" i="1"/>
  <c r="S621" i="1"/>
  <c r="AJ620" i="1"/>
  <c r="AI620" i="1"/>
  <c r="AH620" i="1"/>
  <c r="AG620" i="1"/>
  <c r="S620" i="1"/>
  <c r="AJ619" i="1"/>
  <c r="AI619" i="1"/>
  <c r="AH619" i="1"/>
  <c r="AG619" i="1"/>
  <c r="S619" i="1"/>
  <c r="AJ618" i="1"/>
  <c r="AI618" i="1"/>
  <c r="AH618" i="1"/>
  <c r="AG618" i="1"/>
  <c r="S618" i="1"/>
  <c r="AJ617" i="1"/>
  <c r="AI617" i="1"/>
  <c r="AH617" i="1"/>
  <c r="AG617" i="1"/>
  <c r="S617" i="1"/>
  <c r="AJ616" i="1"/>
  <c r="AI616" i="1"/>
  <c r="AH616" i="1"/>
  <c r="AG616" i="1"/>
  <c r="S616" i="1"/>
  <c r="AJ615" i="1"/>
  <c r="AI615" i="1"/>
  <c r="AH615" i="1"/>
  <c r="AG615" i="1"/>
  <c r="S615" i="1"/>
  <c r="AJ614" i="1"/>
  <c r="AI614" i="1"/>
  <c r="AH614" i="1"/>
  <c r="AG614" i="1"/>
  <c r="S614" i="1"/>
  <c r="AJ613" i="1"/>
  <c r="AI613" i="1"/>
  <c r="AH613" i="1"/>
  <c r="AG613" i="1"/>
  <c r="S613" i="1"/>
  <c r="AJ612" i="1"/>
  <c r="AI612" i="1"/>
  <c r="AH612" i="1"/>
  <c r="AG612" i="1"/>
  <c r="S612" i="1"/>
  <c r="AJ611" i="1"/>
  <c r="AI611" i="1"/>
  <c r="AH611" i="1"/>
  <c r="AG611" i="1"/>
  <c r="S611" i="1"/>
  <c r="AJ610" i="1"/>
  <c r="AI610" i="1"/>
  <c r="AH610" i="1"/>
  <c r="AG610" i="1"/>
  <c r="S610" i="1"/>
  <c r="AJ609" i="1"/>
  <c r="AI609" i="1"/>
  <c r="AH609" i="1"/>
  <c r="AG609" i="1"/>
  <c r="S609" i="1"/>
  <c r="AJ608" i="1"/>
  <c r="AI608" i="1"/>
  <c r="AH608" i="1"/>
  <c r="AG608" i="1"/>
  <c r="S608" i="1"/>
  <c r="AJ607" i="1"/>
  <c r="AI607" i="1"/>
  <c r="AH607" i="1"/>
  <c r="AG607" i="1"/>
  <c r="S607" i="1"/>
  <c r="AJ606" i="1"/>
  <c r="AI606" i="1"/>
  <c r="AH606" i="1"/>
  <c r="AG606" i="1"/>
  <c r="S606" i="1"/>
  <c r="AJ605" i="1"/>
  <c r="AI605" i="1"/>
  <c r="AH605" i="1"/>
  <c r="AG605" i="1"/>
  <c r="S605" i="1"/>
  <c r="AJ604" i="1"/>
  <c r="AI604" i="1"/>
  <c r="AH604" i="1"/>
  <c r="AG604" i="1"/>
  <c r="S604" i="1"/>
  <c r="AJ603" i="1"/>
  <c r="AI603" i="1"/>
  <c r="AH603" i="1"/>
  <c r="AG603" i="1"/>
  <c r="S603" i="1"/>
  <c r="AJ602" i="1"/>
  <c r="AI602" i="1"/>
  <c r="AH602" i="1"/>
  <c r="AG602" i="1"/>
  <c r="S602" i="1"/>
  <c r="AJ601" i="1"/>
  <c r="AI601" i="1"/>
  <c r="AH601" i="1"/>
  <c r="AG601" i="1"/>
  <c r="S601" i="1"/>
  <c r="AJ600" i="1"/>
  <c r="AI600" i="1"/>
  <c r="AH600" i="1"/>
  <c r="AG600" i="1"/>
  <c r="S600" i="1"/>
  <c r="AJ599" i="1"/>
  <c r="AI599" i="1"/>
  <c r="AH599" i="1"/>
  <c r="AG599" i="1"/>
  <c r="S599" i="1"/>
  <c r="AJ598" i="1"/>
  <c r="AI598" i="1"/>
  <c r="AH598" i="1"/>
  <c r="AG598" i="1"/>
  <c r="S598" i="1"/>
  <c r="AJ597" i="1"/>
  <c r="AI597" i="1"/>
  <c r="AH597" i="1"/>
  <c r="AG597" i="1"/>
  <c r="S597" i="1"/>
  <c r="AJ596" i="1"/>
  <c r="AI596" i="1"/>
  <c r="AH596" i="1"/>
  <c r="AG596" i="1"/>
  <c r="S596" i="1"/>
  <c r="AJ595" i="1"/>
  <c r="AI595" i="1"/>
  <c r="AH595" i="1"/>
  <c r="AG595" i="1"/>
  <c r="S595" i="1"/>
  <c r="AJ594" i="1"/>
  <c r="AI594" i="1"/>
  <c r="AH594" i="1"/>
  <c r="AG594" i="1"/>
  <c r="S594" i="1"/>
  <c r="AJ593" i="1"/>
  <c r="AI593" i="1"/>
  <c r="AH593" i="1"/>
  <c r="AG593" i="1"/>
  <c r="S593" i="1"/>
  <c r="AJ592" i="1"/>
  <c r="AI592" i="1"/>
  <c r="AH592" i="1"/>
  <c r="AG592" i="1"/>
  <c r="S592" i="1"/>
  <c r="AJ591" i="1"/>
  <c r="AI591" i="1"/>
  <c r="AH591" i="1"/>
  <c r="AG591" i="1"/>
  <c r="S591" i="1"/>
  <c r="AJ590" i="1"/>
  <c r="AI590" i="1"/>
  <c r="AH590" i="1"/>
  <c r="AG590" i="1"/>
  <c r="S590" i="1"/>
  <c r="AJ589" i="1"/>
  <c r="AI589" i="1"/>
  <c r="AH589" i="1"/>
  <c r="AG589" i="1"/>
  <c r="S589" i="1"/>
  <c r="AJ588" i="1"/>
  <c r="AI588" i="1"/>
  <c r="AH588" i="1"/>
  <c r="AG588" i="1"/>
  <c r="S588" i="1"/>
  <c r="AJ587" i="1"/>
  <c r="AI587" i="1"/>
  <c r="AH587" i="1"/>
  <c r="AG587" i="1"/>
  <c r="S587" i="1"/>
  <c r="AJ586" i="1"/>
  <c r="AI586" i="1"/>
  <c r="AH586" i="1"/>
  <c r="AG586" i="1"/>
  <c r="S586" i="1"/>
  <c r="AJ585" i="1"/>
  <c r="AI585" i="1"/>
  <c r="AH585" i="1"/>
  <c r="AG585" i="1"/>
  <c r="S585" i="1"/>
  <c r="AJ584" i="1"/>
  <c r="AI584" i="1"/>
  <c r="AH584" i="1"/>
  <c r="AG584" i="1"/>
  <c r="S584" i="1"/>
  <c r="AJ583" i="1"/>
  <c r="AI583" i="1"/>
  <c r="AH583" i="1"/>
  <c r="AG583" i="1"/>
  <c r="S583" i="1"/>
  <c r="AJ582" i="1"/>
  <c r="AI582" i="1"/>
  <c r="AH582" i="1"/>
  <c r="AG582" i="1"/>
  <c r="S582" i="1"/>
  <c r="AJ581" i="1"/>
  <c r="AI581" i="1"/>
  <c r="AH581" i="1"/>
  <c r="AG581" i="1"/>
  <c r="S581" i="1"/>
  <c r="AJ580" i="1"/>
  <c r="AI580" i="1"/>
  <c r="AH580" i="1"/>
  <c r="AG580" i="1"/>
  <c r="S580" i="1"/>
  <c r="AJ579" i="1"/>
  <c r="AI579" i="1"/>
  <c r="AH579" i="1"/>
  <c r="AG579" i="1"/>
  <c r="S579" i="1"/>
  <c r="AJ578" i="1"/>
  <c r="AI578" i="1"/>
  <c r="AH578" i="1"/>
  <c r="AG578" i="1"/>
  <c r="S578" i="1"/>
  <c r="AJ577" i="1"/>
  <c r="AI577" i="1"/>
  <c r="AH577" i="1"/>
  <c r="AG577" i="1"/>
  <c r="S577" i="1"/>
  <c r="AJ576" i="1"/>
  <c r="AI576" i="1"/>
  <c r="AH576" i="1"/>
  <c r="AG576" i="1"/>
  <c r="S576" i="1"/>
  <c r="AJ575" i="1"/>
  <c r="AI575" i="1"/>
  <c r="AH575" i="1"/>
  <c r="AG575" i="1"/>
  <c r="S575" i="1"/>
  <c r="AJ574" i="1"/>
  <c r="AI574" i="1"/>
  <c r="AH574" i="1"/>
  <c r="AG574" i="1"/>
  <c r="S574" i="1"/>
  <c r="AJ573" i="1"/>
  <c r="AI573" i="1"/>
  <c r="AH573" i="1"/>
  <c r="AG573" i="1"/>
  <c r="S573" i="1"/>
  <c r="AJ572" i="1"/>
  <c r="AI572" i="1"/>
  <c r="AH572" i="1"/>
  <c r="AG572" i="1"/>
  <c r="S572" i="1"/>
  <c r="AJ571" i="1"/>
  <c r="AI571" i="1"/>
  <c r="AH571" i="1"/>
  <c r="AG571" i="1"/>
  <c r="S571" i="1"/>
  <c r="AJ570" i="1"/>
  <c r="AI570" i="1"/>
  <c r="AH570" i="1"/>
  <c r="AG570" i="1"/>
  <c r="S570" i="1"/>
  <c r="AJ569" i="1"/>
  <c r="AI569" i="1"/>
  <c r="AH569" i="1"/>
  <c r="AG569" i="1"/>
  <c r="S569" i="1"/>
  <c r="AJ568" i="1"/>
  <c r="AI568" i="1"/>
  <c r="AH568" i="1"/>
  <c r="AG568" i="1"/>
  <c r="S568" i="1"/>
  <c r="AJ567" i="1"/>
  <c r="AI567" i="1"/>
  <c r="AH567" i="1"/>
  <c r="AG567" i="1"/>
  <c r="S567" i="1"/>
  <c r="AJ566" i="1"/>
  <c r="AI566" i="1"/>
  <c r="AH566" i="1"/>
  <c r="AG566" i="1"/>
  <c r="S566" i="1"/>
  <c r="AJ565" i="1"/>
  <c r="AI565" i="1"/>
  <c r="AH565" i="1"/>
  <c r="AG565" i="1"/>
  <c r="S565" i="1"/>
  <c r="AJ564" i="1"/>
  <c r="AI564" i="1"/>
  <c r="AH564" i="1"/>
  <c r="AG564" i="1"/>
  <c r="S564" i="1"/>
  <c r="AJ563" i="1"/>
  <c r="AI563" i="1"/>
  <c r="AH563" i="1"/>
  <c r="AG563" i="1"/>
  <c r="S563" i="1"/>
  <c r="AJ562" i="1"/>
  <c r="AI562" i="1"/>
  <c r="AH562" i="1"/>
  <c r="AG562" i="1"/>
  <c r="S562" i="1"/>
  <c r="AJ561" i="1"/>
  <c r="AI561" i="1"/>
  <c r="AH561" i="1"/>
  <c r="AG561" i="1"/>
  <c r="S561" i="1"/>
  <c r="AJ560" i="1"/>
  <c r="AI560" i="1"/>
  <c r="AH560" i="1"/>
  <c r="AG560" i="1"/>
  <c r="S560" i="1"/>
  <c r="AJ559" i="1"/>
  <c r="AI559" i="1"/>
  <c r="AH559" i="1"/>
  <c r="AG559" i="1"/>
  <c r="S559" i="1"/>
  <c r="AJ558" i="1"/>
  <c r="AI558" i="1"/>
  <c r="AH558" i="1"/>
  <c r="AG558" i="1"/>
  <c r="S558" i="1"/>
  <c r="AJ557" i="1"/>
  <c r="AI557" i="1"/>
  <c r="AH557" i="1"/>
  <c r="AG557" i="1"/>
  <c r="S557" i="1"/>
  <c r="AJ556" i="1"/>
  <c r="AI556" i="1"/>
  <c r="AH556" i="1"/>
  <c r="AG556" i="1"/>
  <c r="S556" i="1"/>
  <c r="AJ555" i="1"/>
  <c r="AI555" i="1"/>
  <c r="AH555" i="1"/>
  <c r="AG555" i="1"/>
  <c r="S555" i="1"/>
  <c r="AJ554" i="1"/>
  <c r="AI554" i="1"/>
  <c r="AH554" i="1"/>
  <c r="AG554" i="1"/>
  <c r="S554" i="1"/>
  <c r="AJ553" i="1"/>
  <c r="AI553" i="1"/>
  <c r="AH553" i="1"/>
  <c r="AG553" i="1"/>
  <c r="S553" i="1"/>
  <c r="AJ552" i="1"/>
  <c r="AI552" i="1"/>
  <c r="AH552" i="1"/>
  <c r="AG552" i="1"/>
  <c r="S552" i="1"/>
  <c r="AJ551" i="1"/>
  <c r="AI551" i="1"/>
  <c r="AH551" i="1"/>
  <c r="AG551" i="1"/>
  <c r="S551" i="1"/>
  <c r="AJ550" i="1"/>
  <c r="AI550" i="1"/>
  <c r="AH550" i="1"/>
  <c r="AG550" i="1"/>
  <c r="S550" i="1"/>
  <c r="AJ549" i="1"/>
  <c r="AI549" i="1"/>
  <c r="AH549" i="1"/>
  <c r="AG549" i="1"/>
  <c r="S549" i="1"/>
  <c r="AJ548" i="1"/>
  <c r="AI548" i="1"/>
  <c r="AH548" i="1"/>
  <c r="AG548" i="1"/>
  <c r="S548" i="1"/>
  <c r="AJ547" i="1"/>
  <c r="AI547" i="1"/>
  <c r="AH547" i="1"/>
  <c r="AG547" i="1"/>
  <c r="S547" i="1"/>
  <c r="AJ546" i="1"/>
  <c r="AI546" i="1"/>
  <c r="AH546" i="1"/>
  <c r="AG546" i="1"/>
  <c r="S546" i="1"/>
  <c r="AJ545" i="1"/>
  <c r="AI545" i="1"/>
  <c r="AH545" i="1"/>
  <c r="AG545" i="1"/>
  <c r="S545" i="1"/>
  <c r="AJ544" i="1"/>
  <c r="AI544" i="1"/>
  <c r="AH544" i="1"/>
  <c r="AG544" i="1"/>
  <c r="S544" i="1"/>
  <c r="AJ543" i="1"/>
  <c r="AI543" i="1"/>
  <c r="AH543" i="1"/>
  <c r="AG543" i="1"/>
  <c r="S543" i="1"/>
  <c r="AJ542" i="1"/>
  <c r="AI542" i="1"/>
  <c r="AH542" i="1"/>
  <c r="AG542" i="1"/>
  <c r="S542" i="1"/>
  <c r="AJ541" i="1"/>
  <c r="AI541" i="1"/>
  <c r="AH541" i="1"/>
  <c r="AG541" i="1"/>
  <c r="S541" i="1"/>
  <c r="AJ540" i="1"/>
  <c r="AI540" i="1"/>
  <c r="AH540" i="1"/>
  <c r="AG540" i="1"/>
  <c r="S540" i="1"/>
  <c r="AJ539" i="1"/>
  <c r="AI539" i="1"/>
  <c r="AH539" i="1"/>
  <c r="AG539" i="1"/>
  <c r="S539" i="1"/>
  <c r="AJ538" i="1"/>
  <c r="AI538" i="1"/>
  <c r="AH538" i="1"/>
  <c r="AG538" i="1"/>
  <c r="S538" i="1"/>
  <c r="AJ537" i="1"/>
  <c r="AI537" i="1"/>
  <c r="AH537" i="1"/>
  <c r="AG537" i="1"/>
  <c r="S537" i="1"/>
  <c r="AJ536" i="1"/>
  <c r="AI536" i="1"/>
  <c r="AH536" i="1"/>
  <c r="AG536" i="1"/>
  <c r="S536" i="1"/>
  <c r="AJ535" i="1"/>
  <c r="AI535" i="1"/>
  <c r="AH535" i="1"/>
  <c r="AG535" i="1"/>
  <c r="S535" i="1"/>
  <c r="AJ534" i="1"/>
  <c r="AI534" i="1"/>
  <c r="AH534" i="1"/>
  <c r="AG534" i="1"/>
  <c r="S534" i="1"/>
  <c r="AJ533" i="1"/>
  <c r="AI533" i="1"/>
  <c r="AH533" i="1"/>
  <c r="AG533" i="1"/>
  <c r="S533" i="1"/>
  <c r="AJ532" i="1"/>
  <c r="AI532" i="1"/>
  <c r="AH532" i="1"/>
  <c r="AG532" i="1"/>
  <c r="S532" i="1"/>
  <c r="AJ531" i="1"/>
  <c r="AI531" i="1"/>
  <c r="AH531" i="1"/>
  <c r="AG531" i="1"/>
  <c r="S531" i="1"/>
  <c r="AJ530" i="1"/>
  <c r="AI530" i="1"/>
  <c r="AH530" i="1"/>
  <c r="AG530" i="1"/>
  <c r="S530" i="1"/>
  <c r="AJ529" i="1"/>
  <c r="AI529" i="1"/>
  <c r="AH529" i="1"/>
  <c r="AG529" i="1"/>
  <c r="S529" i="1"/>
  <c r="AJ528" i="1"/>
  <c r="AI528" i="1"/>
  <c r="AH528" i="1"/>
  <c r="AG528" i="1"/>
  <c r="S528" i="1"/>
  <c r="AJ527" i="1"/>
  <c r="AI527" i="1"/>
  <c r="AH527" i="1"/>
  <c r="AG527" i="1"/>
  <c r="S527" i="1"/>
  <c r="AJ526" i="1"/>
  <c r="AI526" i="1"/>
  <c r="AH526" i="1"/>
  <c r="AG526" i="1"/>
  <c r="S526" i="1"/>
  <c r="AJ525" i="1"/>
  <c r="AI525" i="1"/>
  <c r="AH525" i="1"/>
  <c r="AG525" i="1"/>
  <c r="S525" i="1"/>
  <c r="AJ524" i="1"/>
  <c r="AI524" i="1"/>
  <c r="AH524" i="1"/>
  <c r="AG524" i="1"/>
  <c r="S524" i="1"/>
  <c r="AJ523" i="1"/>
  <c r="AI523" i="1"/>
  <c r="AH523" i="1"/>
  <c r="AG523" i="1"/>
  <c r="S523" i="1"/>
  <c r="AJ522" i="1"/>
  <c r="AI522" i="1"/>
  <c r="AH522" i="1"/>
  <c r="AG522" i="1"/>
  <c r="S522" i="1"/>
  <c r="AJ521" i="1"/>
  <c r="AI521" i="1"/>
  <c r="AH521" i="1"/>
  <c r="AG521" i="1"/>
  <c r="S521" i="1"/>
  <c r="AJ520" i="1"/>
  <c r="AI520" i="1"/>
  <c r="AH520" i="1"/>
  <c r="AG520" i="1"/>
  <c r="S520" i="1"/>
  <c r="AJ519" i="1"/>
  <c r="AI519" i="1"/>
  <c r="AH519" i="1"/>
  <c r="AG519" i="1"/>
  <c r="S519" i="1"/>
  <c r="AJ518" i="1"/>
  <c r="AI518" i="1"/>
  <c r="AH518" i="1"/>
  <c r="AG518" i="1"/>
  <c r="S518" i="1"/>
  <c r="AJ517" i="1"/>
  <c r="AI517" i="1"/>
  <c r="AH517" i="1"/>
  <c r="AG517" i="1"/>
  <c r="S517" i="1"/>
  <c r="AJ516" i="1"/>
  <c r="AI516" i="1"/>
  <c r="AH516" i="1"/>
  <c r="AG516" i="1"/>
  <c r="S516" i="1"/>
  <c r="AJ515" i="1"/>
  <c r="AI515" i="1"/>
  <c r="AH515" i="1"/>
  <c r="AG515" i="1"/>
  <c r="S515" i="1"/>
  <c r="AJ514" i="1"/>
  <c r="AI514" i="1"/>
  <c r="AH514" i="1"/>
  <c r="AG514" i="1"/>
  <c r="S514" i="1"/>
  <c r="AJ513" i="1"/>
  <c r="AI513" i="1"/>
  <c r="AH513" i="1"/>
  <c r="AG513" i="1"/>
  <c r="S513" i="1"/>
  <c r="AJ512" i="1"/>
  <c r="AI512" i="1"/>
  <c r="AH512" i="1"/>
  <c r="AG512" i="1"/>
  <c r="S512" i="1"/>
  <c r="AJ511" i="1"/>
  <c r="AI511" i="1"/>
  <c r="AH511" i="1"/>
  <c r="AG511" i="1"/>
  <c r="S511" i="1"/>
  <c r="AJ510" i="1"/>
  <c r="AI510" i="1"/>
  <c r="AH510" i="1"/>
  <c r="AG510" i="1"/>
  <c r="S510" i="1"/>
  <c r="AJ509" i="1"/>
  <c r="AI509" i="1"/>
  <c r="AH509" i="1"/>
  <c r="AG509" i="1"/>
  <c r="S509" i="1"/>
  <c r="AJ508" i="1"/>
  <c r="AI508" i="1"/>
  <c r="AH508" i="1"/>
  <c r="AG508" i="1"/>
  <c r="S508" i="1"/>
  <c r="AJ507" i="1"/>
  <c r="AI507" i="1"/>
  <c r="AH507" i="1"/>
  <c r="AG507" i="1"/>
  <c r="S507" i="1"/>
  <c r="AJ506" i="1"/>
  <c r="AI506" i="1"/>
  <c r="AH506" i="1"/>
  <c r="AG506" i="1"/>
  <c r="S506" i="1"/>
  <c r="AJ505" i="1"/>
  <c r="AI505" i="1"/>
  <c r="AH505" i="1"/>
  <c r="AG505" i="1"/>
  <c r="S505" i="1"/>
  <c r="AJ504" i="1"/>
  <c r="AI504" i="1"/>
  <c r="AH504" i="1"/>
  <c r="AG504" i="1"/>
  <c r="S504" i="1"/>
  <c r="AJ503" i="1"/>
  <c r="AI503" i="1"/>
  <c r="AH503" i="1"/>
  <c r="AG503" i="1"/>
  <c r="S503" i="1"/>
  <c r="AJ502" i="1"/>
  <c r="AI502" i="1"/>
  <c r="AH502" i="1"/>
  <c r="AG502" i="1"/>
  <c r="S502" i="1"/>
  <c r="AJ501" i="1"/>
  <c r="AI501" i="1"/>
  <c r="AH501" i="1"/>
  <c r="AG501" i="1"/>
  <c r="S501" i="1"/>
  <c r="AJ500" i="1"/>
  <c r="AI500" i="1"/>
  <c r="AH500" i="1"/>
  <c r="AG500" i="1"/>
  <c r="S500" i="1"/>
  <c r="AJ499" i="1"/>
  <c r="AI499" i="1"/>
  <c r="AH499" i="1"/>
  <c r="AG499" i="1"/>
  <c r="S499" i="1"/>
  <c r="AJ498" i="1"/>
  <c r="AI498" i="1"/>
  <c r="AH498" i="1"/>
  <c r="AG498" i="1"/>
  <c r="S498" i="1"/>
  <c r="AJ497" i="1"/>
  <c r="AI497" i="1"/>
  <c r="AH497" i="1"/>
  <c r="AG497" i="1"/>
  <c r="S497" i="1"/>
  <c r="AJ496" i="1"/>
  <c r="AI496" i="1"/>
  <c r="AH496" i="1"/>
  <c r="AG496" i="1"/>
  <c r="S496" i="1"/>
  <c r="AJ495" i="1"/>
  <c r="AI495" i="1"/>
  <c r="AH495" i="1"/>
  <c r="AG495" i="1"/>
  <c r="S495" i="1"/>
  <c r="AJ494" i="1"/>
  <c r="AI494" i="1"/>
  <c r="AH494" i="1"/>
  <c r="AG494" i="1"/>
  <c r="S494" i="1"/>
  <c r="AJ493" i="1"/>
  <c r="AI493" i="1"/>
  <c r="AH493" i="1"/>
  <c r="AG493" i="1"/>
  <c r="S493" i="1"/>
  <c r="AJ492" i="1"/>
  <c r="AI492" i="1"/>
  <c r="AH492" i="1"/>
  <c r="AG492" i="1"/>
  <c r="S492" i="1"/>
  <c r="AJ491" i="1"/>
  <c r="AI491" i="1"/>
  <c r="AH491" i="1"/>
  <c r="AG491" i="1"/>
  <c r="S491" i="1"/>
  <c r="AJ490" i="1"/>
  <c r="AI490" i="1"/>
  <c r="AH490" i="1"/>
  <c r="AG490" i="1"/>
  <c r="S490" i="1"/>
  <c r="AJ489" i="1"/>
  <c r="AI489" i="1"/>
  <c r="AH489" i="1"/>
  <c r="AG489" i="1"/>
  <c r="S489" i="1"/>
  <c r="AJ488" i="1"/>
  <c r="AI488" i="1"/>
  <c r="AH488" i="1"/>
  <c r="AG488" i="1"/>
  <c r="S488" i="1"/>
  <c r="AJ487" i="1"/>
  <c r="AI487" i="1"/>
  <c r="AH487" i="1"/>
  <c r="AG487" i="1"/>
  <c r="S487" i="1"/>
  <c r="AJ486" i="1"/>
  <c r="AI486" i="1"/>
  <c r="AH486" i="1"/>
  <c r="AG486" i="1"/>
  <c r="S486" i="1"/>
  <c r="AJ485" i="1"/>
  <c r="AI485" i="1"/>
  <c r="AH485" i="1"/>
  <c r="AG485" i="1"/>
  <c r="S485" i="1"/>
  <c r="AJ484" i="1"/>
  <c r="AI484" i="1"/>
  <c r="AH484" i="1"/>
  <c r="AG484" i="1"/>
  <c r="S484" i="1"/>
  <c r="AJ483" i="1"/>
  <c r="AI483" i="1"/>
  <c r="AH483" i="1"/>
  <c r="AG483" i="1"/>
  <c r="S483" i="1"/>
  <c r="AJ482" i="1"/>
  <c r="AI482" i="1"/>
  <c r="AH482" i="1"/>
  <c r="AG482" i="1"/>
  <c r="S482" i="1"/>
  <c r="AJ481" i="1"/>
  <c r="AI481" i="1"/>
  <c r="AH481" i="1"/>
  <c r="AG481" i="1"/>
  <c r="S481" i="1"/>
  <c r="AJ480" i="1"/>
  <c r="AI480" i="1"/>
  <c r="AH480" i="1"/>
  <c r="AG480" i="1"/>
  <c r="S480" i="1"/>
  <c r="AJ479" i="1"/>
  <c r="AI479" i="1"/>
  <c r="AH479" i="1"/>
  <c r="AG479" i="1"/>
  <c r="S479" i="1"/>
  <c r="AJ478" i="1"/>
  <c r="AI478" i="1"/>
  <c r="AH478" i="1"/>
  <c r="AG478" i="1"/>
  <c r="S478" i="1"/>
  <c r="AJ477" i="1"/>
  <c r="AI477" i="1"/>
  <c r="AH477" i="1"/>
  <c r="AG477" i="1"/>
  <c r="S477" i="1"/>
  <c r="AJ476" i="1"/>
  <c r="AI476" i="1"/>
  <c r="AH476" i="1"/>
  <c r="AG476" i="1"/>
  <c r="S476" i="1"/>
  <c r="AJ475" i="1"/>
  <c r="AI475" i="1"/>
  <c r="AH475" i="1"/>
  <c r="AG475" i="1"/>
  <c r="S475" i="1"/>
  <c r="AJ474" i="1"/>
  <c r="AI474" i="1"/>
  <c r="AH474" i="1"/>
  <c r="AG474" i="1"/>
  <c r="S474" i="1"/>
  <c r="AJ473" i="1"/>
  <c r="AI473" i="1"/>
  <c r="AH473" i="1"/>
  <c r="AG473" i="1"/>
  <c r="S473" i="1"/>
  <c r="AJ472" i="1"/>
  <c r="AI472" i="1"/>
  <c r="AH472" i="1"/>
  <c r="AG472" i="1"/>
  <c r="S472" i="1"/>
  <c r="AJ471" i="1"/>
  <c r="AI471" i="1"/>
  <c r="AH471" i="1"/>
  <c r="AG471" i="1"/>
  <c r="S471" i="1"/>
  <c r="AJ470" i="1"/>
  <c r="AI470" i="1"/>
  <c r="AH470" i="1"/>
  <c r="AG470" i="1"/>
  <c r="S470" i="1"/>
  <c r="AJ469" i="1"/>
  <c r="AI469" i="1"/>
  <c r="AH469" i="1"/>
  <c r="AG469" i="1"/>
  <c r="S469" i="1"/>
  <c r="AJ468" i="1"/>
  <c r="AI468" i="1"/>
  <c r="AH468" i="1"/>
  <c r="AG468" i="1"/>
  <c r="S468" i="1"/>
  <c r="AJ467" i="1"/>
  <c r="AI467" i="1"/>
  <c r="AH467" i="1"/>
  <c r="AG467" i="1"/>
  <c r="S467" i="1"/>
  <c r="AJ466" i="1"/>
  <c r="AI466" i="1"/>
  <c r="AH466" i="1"/>
  <c r="AG466" i="1"/>
  <c r="S466" i="1"/>
  <c r="AJ465" i="1"/>
  <c r="AI465" i="1"/>
  <c r="AH465" i="1"/>
  <c r="AG465" i="1"/>
  <c r="S465" i="1"/>
  <c r="AJ464" i="1"/>
  <c r="AI464" i="1"/>
  <c r="AH464" i="1"/>
  <c r="AG464" i="1"/>
  <c r="S464" i="1"/>
  <c r="AJ463" i="1"/>
  <c r="AI463" i="1"/>
  <c r="AH463" i="1"/>
  <c r="AG463" i="1"/>
  <c r="S463" i="1"/>
  <c r="AJ462" i="1"/>
  <c r="AI462" i="1"/>
  <c r="AH462" i="1"/>
  <c r="AG462" i="1"/>
  <c r="S462" i="1"/>
  <c r="AJ461" i="1"/>
  <c r="AI461" i="1"/>
  <c r="AH461" i="1"/>
  <c r="AG461" i="1"/>
  <c r="S461" i="1"/>
  <c r="AJ460" i="1"/>
  <c r="AI460" i="1"/>
  <c r="AH460" i="1"/>
  <c r="AG460" i="1"/>
  <c r="S460" i="1"/>
  <c r="AJ459" i="1"/>
  <c r="AI459" i="1"/>
  <c r="AH459" i="1"/>
  <c r="AG459" i="1"/>
  <c r="S459" i="1"/>
  <c r="AJ458" i="1"/>
  <c r="AI458" i="1"/>
  <c r="AH458" i="1"/>
  <c r="AG458" i="1"/>
  <c r="S458" i="1"/>
  <c r="AJ457" i="1"/>
  <c r="AI457" i="1"/>
  <c r="AH457" i="1"/>
  <c r="AG457" i="1"/>
  <c r="S457" i="1"/>
  <c r="AJ456" i="1"/>
  <c r="AI456" i="1"/>
  <c r="AH456" i="1"/>
  <c r="AG456" i="1"/>
  <c r="S456" i="1"/>
  <c r="AJ455" i="1"/>
  <c r="AI455" i="1"/>
  <c r="AH455" i="1"/>
  <c r="AG455" i="1"/>
  <c r="S455" i="1"/>
  <c r="AJ454" i="1"/>
  <c r="AI454" i="1"/>
  <c r="AH454" i="1"/>
  <c r="AG454" i="1"/>
  <c r="S454" i="1"/>
  <c r="AJ453" i="1"/>
  <c r="AI453" i="1"/>
  <c r="AH453" i="1"/>
  <c r="AG453" i="1"/>
  <c r="S453" i="1"/>
  <c r="AJ452" i="1"/>
  <c r="AI452" i="1"/>
  <c r="AH452" i="1"/>
  <c r="AG452" i="1"/>
  <c r="S452" i="1"/>
  <c r="AJ451" i="1"/>
  <c r="AI451" i="1"/>
  <c r="AH451" i="1"/>
  <c r="AG451" i="1"/>
  <c r="S451" i="1"/>
  <c r="AJ450" i="1"/>
  <c r="AI450" i="1"/>
  <c r="AH450" i="1"/>
  <c r="AG450" i="1"/>
  <c r="S450" i="1"/>
  <c r="AJ449" i="1"/>
  <c r="AI449" i="1"/>
  <c r="AH449" i="1"/>
  <c r="AG449" i="1"/>
  <c r="S449" i="1"/>
  <c r="AJ448" i="1"/>
  <c r="AI448" i="1"/>
  <c r="AH448" i="1"/>
  <c r="AG448" i="1"/>
  <c r="S448" i="1"/>
  <c r="AJ447" i="1"/>
  <c r="AI447" i="1"/>
  <c r="AH447" i="1"/>
  <c r="AG447" i="1"/>
  <c r="S447" i="1"/>
  <c r="AJ446" i="1"/>
  <c r="AI446" i="1"/>
  <c r="AH446" i="1"/>
  <c r="AG446" i="1"/>
  <c r="S446" i="1"/>
  <c r="AJ445" i="1"/>
  <c r="AI445" i="1"/>
  <c r="AH445" i="1"/>
  <c r="AG445" i="1"/>
  <c r="S445" i="1"/>
  <c r="AJ444" i="1"/>
  <c r="AI444" i="1"/>
  <c r="AH444" i="1"/>
  <c r="AG444" i="1"/>
  <c r="S444" i="1"/>
  <c r="AJ443" i="1"/>
  <c r="AI443" i="1"/>
  <c r="AH443" i="1"/>
  <c r="AG443" i="1"/>
  <c r="S443" i="1"/>
  <c r="AJ442" i="1"/>
  <c r="AI442" i="1"/>
  <c r="AH442" i="1"/>
  <c r="AG442" i="1"/>
  <c r="S442" i="1"/>
  <c r="AJ441" i="1"/>
  <c r="AI441" i="1"/>
  <c r="AH441" i="1"/>
  <c r="AG441" i="1"/>
  <c r="S441" i="1"/>
  <c r="AJ440" i="1"/>
  <c r="AI440" i="1"/>
  <c r="AH440" i="1"/>
  <c r="AG440" i="1"/>
  <c r="S440" i="1"/>
  <c r="AJ439" i="1"/>
  <c r="AI439" i="1"/>
  <c r="AH439" i="1"/>
  <c r="AG439" i="1"/>
  <c r="S439" i="1"/>
  <c r="AJ438" i="1"/>
  <c r="AI438" i="1"/>
  <c r="AH438" i="1"/>
  <c r="AG438" i="1"/>
  <c r="S438" i="1"/>
  <c r="AJ437" i="1"/>
  <c r="AI437" i="1"/>
  <c r="AH437" i="1"/>
  <c r="AG437" i="1"/>
  <c r="S437" i="1"/>
  <c r="AJ436" i="1"/>
  <c r="AI436" i="1"/>
  <c r="AH436" i="1"/>
  <c r="AG436" i="1"/>
  <c r="S436" i="1"/>
  <c r="AJ435" i="1"/>
  <c r="AI435" i="1"/>
  <c r="AH435" i="1"/>
  <c r="AG435" i="1"/>
  <c r="S435" i="1"/>
  <c r="AJ434" i="1"/>
  <c r="AI434" i="1"/>
  <c r="AH434" i="1"/>
  <c r="AG434" i="1"/>
  <c r="S434" i="1"/>
  <c r="AJ433" i="1"/>
  <c r="AI433" i="1"/>
  <c r="AH433" i="1"/>
  <c r="AG433" i="1"/>
  <c r="S433" i="1"/>
  <c r="AJ432" i="1"/>
  <c r="AI432" i="1"/>
  <c r="AH432" i="1"/>
  <c r="AG432" i="1"/>
  <c r="S432" i="1"/>
  <c r="AJ431" i="1"/>
  <c r="AI431" i="1"/>
  <c r="AH431" i="1"/>
  <c r="AG431" i="1"/>
  <c r="S431" i="1"/>
  <c r="AJ430" i="1"/>
  <c r="AI430" i="1"/>
  <c r="AH430" i="1"/>
  <c r="AG430" i="1"/>
  <c r="S430" i="1"/>
  <c r="AJ429" i="1"/>
  <c r="AI429" i="1"/>
  <c r="AH429" i="1"/>
  <c r="AG429" i="1"/>
  <c r="S429" i="1"/>
  <c r="AJ428" i="1"/>
  <c r="AI428" i="1"/>
  <c r="AH428" i="1"/>
  <c r="AG428" i="1"/>
  <c r="S428" i="1"/>
  <c r="AJ427" i="1"/>
  <c r="AI427" i="1"/>
  <c r="AH427" i="1"/>
  <c r="AG427" i="1"/>
  <c r="S427" i="1"/>
  <c r="AJ426" i="1"/>
  <c r="AI426" i="1"/>
  <c r="AH426" i="1"/>
  <c r="AG426" i="1"/>
  <c r="S426" i="1"/>
  <c r="AJ425" i="1"/>
  <c r="AI425" i="1"/>
  <c r="AH425" i="1"/>
  <c r="AG425" i="1"/>
  <c r="S425" i="1"/>
  <c r="AJ424" i="1"/>
  <c r="AI424" i="1"/>
  <c r="AH424" i="1"/>
  <c r="AG424" i="1"/>
  <c r="S424" i="1"/>
  <c r="AJ423" i="1"/>
  <c r="AI423" i="1"/>
  <c r="AH423" i="1"/>
  <c r="AG423" i="1"/>
  <c r="S423" i="1"/>
  <c r="AJ422" i="1"/>
  <c r="AI422" i="1"/>
  <c r="AH422" i="1"/>
  <c r="AG422" i="1"/>
  <c r="S422" i="1"/>
  <c r="AJ421" i="1"/>
  <c r="AI421" i="1"/>
  <c r="AH421" i="1"/>
  <c r="AG421" i="1"/>
  <c r="S421" i="1"/>
  <c r="AJ420" i="1"/>
  <c r="AI420" i="1"/>
  <c r="AH420" i="1"/>
  <c r="AG420" i="1"/>
  <c r="S420" i="1"/>
  <c r="AJ419" i="1"/>
  <c r="AI419" i="1"/>
  <c r="AH419" i="1"/>
  <c r="AG419" i="1"/>
  <c r="S419" i="1"/>
  <c r="AJ418" i="1"/>
  <c r="AI418" i="1"/>
  <c r="AH418" i="1"/>
  <c r="AG418" i="1"/>
  <c r="S418" i="1"/>
  <c r="AJ417" i="1"/>
  <c r="AI417" i="1"/>
  <c r="AH417" i="1"/>
  <c r="AG417" i="1"/>
  <c r="S417" i="1"/>
  <c r="AJ416" i="1"/>
  <c r="AI416" i="1"/>
  <c r="AH416" i="1"/>
  <c r="AG416" i="1"/>
  <c r="S416" i="1"/>
  <c r="AJ415" i="1"/>
  <c r="AI415" i="1"/>
  <c r="AH415" i="1"/>
  <c r="AG415" i="1"/>
  <c r="S415" i="1"/>
  <c r="AJ414" i="1"/>
  <c r="AI414" i="1"/>
  <c r="AH414" i="1"/>
  <c r="AG414" i="1"/>
  <c r="S414" i="1"/>
  <c r="AJ413" i="1"/>
  <c r="AI413" i="1"/>
  <c r="AH413" i="1"/>
  <c r="AG413" i="1"/>
  <c r="S413" i="1"/>
  <c r="AJ412" i="1"/>
  <c r="AI412" i="1"/>
  <c r="AH412" i="1"/>
  <c r="AG412" i="1"/>
  <c r="S412" i="1"/>
  <c r="AJ411" i="1"/>
  <c r="AI411" i="1"/>
  <c r="AH411" i="1"/>
  <c r="AG411" i="1"/>
  <c r="S411" i="1"/>
  <c r="AJ410" i="1"/>
  <c r="AI410" i="1"/>
  <c r="AH410" i="1"/>
  <c r="AG410" i="1"/>
  <c r="S410" i="1"/>
  <c r="AJ409" i="1"/>
  <c r="AI409" i="1"/>
  <c r="AH409" i="1"/>
  <c r="AG409" i="1"/>
  <c r="S409" i="1"/>
  <c r="AJ408" i="1"/>
  <c r="AI408" i="1"/>
  <c r="AH408" i="1"/>
  <c r="AG408" i="1"/>
  <c r="S408" i="1"/>
  <c r="AJ407" i="1"/>
  <c r="AI407" i="1"/>
  <c r="AH407" i="1"/>
  <c r="AG407" i="1"/>
  <c r="S407" i="1"/>
  <c r="AJ406" i="1"/>
  <c r="AI406" i="1"/>
  <c r="AH406" i="1"/>
  <c r="AG406" i="1"/>
  <c r="S406" i="1"/>
  <c r="AJ405" i="1"/>
  <c r="AI405" i="1"/>
  <c r="AH405" i="1"/>
  <c r="AG405" i="1"/>
  <c r="S405" i="1"/>
  <c r="AJ404" i="1"/>
  <c r="AI404" i="1"/>
  <c r="AH404" i="1"/>
  <c r="AG404" i="1"/>
  <c r="S404" i="1"/>
  <c r="AJ403" i="1"/>
  <c r="AI403" i="1"/>
  <c r="AH403" i="1"/>
  <c r="AG403" i="1"/>
  <c r="S403" i="1"/>
  <c r="AJ402" i="1"/>
  <c r="AI402" i="1"/>
  <c r="AH402" i="1"/>
  <c r="AG402" i="1"/>
  <c r="S402" i="1"/>
  <c r="AJ401" i="1"/>
  <c r="AI401" i="1"/>
  <c r="AH401" i="1"/>
  <c r="AG401" i="1"/>
  <c r="S401" i="1"/>
  <c r="AJ400" i="1"/>
  <c r="AI400" i="1"/>
  <c r="AH400" i="1"/>
  <c r="AG400" i="1"/>
  <c r="S400" i="1"/>
  <c r="AJ399" i="1"/>
  <c r="AI399" i="1"/>
  <c r="AH399" i="1"/>
  <c r="AG399" i="1"/>
  <c r="S399" i="1"/>
  <c r="AJ398" i="1"/>
  <c r="AI398" i="1"/>
  <c r="AH398" i="1"/>
  <c r="AG398" i="1"/>
  <c r="S398" i="1"/>
  <c r="AJ397" i="1"/>
  <c r="AI397" i="1"/>
  <c r="AH397" i="1"/>
  <c r="AG397" i="1"/>
  <c r="S397" i="1"/>
  <c r="AJ396" i="1"/>
  <c r="AI396" i="1"/>
  <c r="AH396" i="1"/>
  <c r="AG396" i="1"/>
  <c r="S396" i="1"/>
  <c r="AJ395" i="1"/>
  <c r="AI395" i="1"/>
  <c r="AH395" i="1"/>
  <c r="AG395" i="1"/>
  <c r="S395" i="1"/>
  <c r="AJ394" i="1"/>
  <c r="AI394" i="1"/>
  <c r="AH394" i="1"/>
  <c r="AG394" i="1"/>
  <c r="S394" i="1"/>
  <c r="AJ393" i="1"/>
  <c r="AI393" i="1"/>
  <c r="AH393" i="1"/>
  <c r="AG393" i="1"/>
  <c r="S393" i="1"/>
  <c r="AJ392" i="1"/>
  <c r="AI392" i="1"/>
  <c r="AH392" i="1"/>
  <c r="AG392" i="1"/>
  <c r="S392" i="1"/>
  <c r="AJ391" i="1"/>
  <c r="AI391" i="1"/>
  <c r="AH391" i="1"/>
  <c r="AG391" i="1"/>
  <c r="S391" i="1"/>
  <c r="AJ390" i="1"/>
  <c r="AI390" i="1"/>
  <c r="AH390" i="1"/>
  <c r="AG390" i="1"/>
  <c r="S390" i="1"/>
  <c r="AJ389" i="1"/>
  <c r="AI389" i="1"/>
  <c r="AH389" i="1"/>
  <c r="AG389" i="1"/>
  <c r="S389" i="1"/>
  <c r="AJ388" i="1"/>
  <c r="AI388" i="1"/>
  <c r="AH388" i="1"/>
  <c r="AG388" i="1"/>
  <c r="S388" i="1"/>
  <c r="AJ387" i="1"/>
  <c r="AI387" i="1"/>
  <c r="AH387" i="1"/>
  <c r="AG387" i="1"/>
  <c r="S387" i="1"/>
  <c r="AJ386" i="1"/>
  <c r="AI386" i="1"/>
  <c r="AH386" i="1"/>
  <c r="AG386" i="1"/>
  <c r="S386" i="1"/>
  <c r="AJ385" i="1"/>
  <c r="AI385" i="1"/>
  <c r="AH385" i="1"/>
  <c r="AG385" i="1"/>
  <c r="S385" i="1"/>
  <c r="AJ384" i="1"/>
  <c r="AI384" i="1"/>
  <c r="AH384" i="1"/>
  <c r="AG384" i="1"/>
  <c r="S384" i="1"/>
  <c r="AJ383" i="1"/>
  <c r="AI383" i="1"/>
  <c r="AH383" i="1"/>
  <c r="AG383" i="1"/>
  <c r="S383" i="1"/>
  <c r="AJ382" i="1"/>
  <c r="AI382" i="1"/>
  <c r="AH382" i="1"/>
  <c r="AG382" i="1"/>
  <c r="S382" i="1"/>
  <c r="AJ381" i="1"/>
  <c r="AI381" i="1"/>
  <c r="AH381" i="1"/>
  <c r="AG381" i="1"/>
  <c r="S381" i="1"/>
  <c r="AJ380" i="1"/>
  <c r="AI380" i="1"/>
  <c r="AH380" i="1"/>
  <c r="AG380" i="1"/>
  <c r="S380" i="1"/>
  <c r="AJ379" i="1"/>
  <c r="AI379" i="1"/>
  <c r="AH379" i="1"/>
  <c r="AG379" i="1"/>
  <c r="S379" i="1"/>
  <c r="AJ378" i="1"/>
  <c r="AI378" i="1"/>
  <c r="AH378" i="1"/>
  <c r="AG378" i="1"/>
  <c r="S378" i="1"/>
  <c r="AJ377" i="1"/>
  <c r="AI377" i="1"/>
  <c r="AH377" i="1"/>
  <c r="AG377" i="1"/>
  <c r="S377" i="1"/>
  <c r="AJ376" i="1"/>
  <c r="AI376" i="1"/>
  <c r="AH376" i="1"/>
  <c r="AG376" i="1"/>
  <c r="S376" i="1"/>
  <c r="AJ375" i="1"/>
  <c r="AI375" i="1"/>
  <c r="AH375" i="1"/>
  <c r="AG375" i="1"/>
  <c r="S375" i="1"/>
  <c r="AJ374" i="1"/>
  <c r="AI374" i="1"/>
  <c r="AH374" i="1"/>
  <c r="AG374" i="1"/>
  <c r="S374" i="1"/>
  <c r="AJ373" i="1"/>
  <c r="AI373" i="1"/>
  <c r="AH373" i="1"/>
  <c r="AG373" i="1"/>
  <c r="S373" i="1"/>
  <c r="AJ372" i="1"/>
  <c r="AI372" i="1"/>
  <c r="AH372" i="1"/>
  <c r="AG372" i="1"/>
  <c r="S372" i="1"/>
  <c r="AJ371" i="1"/>
  <c r="AI371" i="1"/>
  <c r="AH371" i="1"/>
  <c r="AG371" i="1"/>
  <c r="S371" i="1"/>
  <c r="AJ370" i="1"/>
  <c r="AI370" i="1"/>
  <c r="AH370" i="1"/>
  <c r="AG370" i="1"/>
  <c r="S370" i="1"/>
  <c r="AJ369" i="1"/>
  <c r="AI369" i="1"/>
  <c r="AH369" i="1"/>
  <c r="AG369" i="1"/>
  <c r="S369" i="1"/>
  <c r="AJ368" i="1"/>
  <c r="AI368" i="1"/>
  <c r="AH368" i="1"/>
  <c r="AG368" i="1"/>
  <c r="S368" i="1"/>
  <c r="AJ367" i="1"/>
  <c r="AI367" i="1"/>
  <c r="AH367" i="1"/>
  <c r="AG367" i="1"/>
  <c r="S367" i="1"/>
  <c r="AJ366" i="1"/>
  <c r="AI366" i="1"/>
  <c r="AH366" i="1"/>
  <c r="AG366" i="1"/>
  <c r="S366" i="1"/>
  <c r="AJ365" i="1"/>
  <c r="AI365" i="1"/>
  <c r="AH365" i="1"/>
  <c r="AG365" i="1"/>
  <c r="S365" i="1"/>
  <c r="AJ364" i="1"/>
  <c r="AI364" i="1"/>
  <c r="AH364" i="1"/>
  <c r="AG364" i="1"/>
  <c r="S364" i="1"/>
  <c r="AJ363" i="1"/>
  <c r="AI363" i="1"/>
  <c r="AH363" i="1"/>
  <c r="AG363" i="1"/>
  <c r="S363" i="1"/>
  <c r="AJ362" i="1"/>
  <c r="AI362" i="1"/>
  <c r="AH362" i="1"/>
  <c r="AG362" i="1"/>
  <c r="S362" i="1"/>
  <c r="AJ361" i="1"/>
  <c r="AI361" i="1"/>
  <c r="AH361" i="1"/>
  <c r="AG361" i="1"/>
  <c r="S361" i="1"/>
  <c r="AJ360" i="1"/>
  <c r="AI360" i="1"/>
  <c r="AH360" i="1"/>
  <c r="AG360" i="1"/>
  <c r="S360" i="1"/>
  <c r="AJ359" i="1"/>
  <c r="AI359" i="1"/>
  <c r="AH359" i="1"/>
  <c r="AG359" i="1"/>
  <c r="S359" i="1"/>
  <c r="AJ358" i="1"/>
  <c r="AI358" i="1"/>
  <c r="AH358" i="1"/>
  <c r="AG358" i="1"/>
  <c r="S358" i="1"/>
  <c r="AJ357" i="1"/>
  <c r="AI357" i="1"/>
  <c r="AH357" i="1"/>
  <c r="AG357" i="1"/>
  <c r="S357" i="1"/>
  <c r="AJ356" i="1"/>
  <c r="AI356" i="1"/>
  <c r="AH356" i="1"/>
  <c r="AG356" i="1"/>
  <c r="S356" i="1"/>
  <c r="AJ355" i="1"/>
  <c r="AI355" i="1"/>
  <c r="AH355" i="1"/>
  <c r="AG355" i="1"/>
  <c r="S355" i="1"/>
  <c r="AJ354" i="1"/>
  <c r="AI354" i="1"/>
  <c r="AH354" i="1"/>
  <c r="AG354" i="1"/>
  <c r="S354" i="1"/>
  <c r="AJ353" i="1"/>
  <c r="AI353" i="1"/>
  <c r="AH353" i="1"/>
  <c r="AG353" i="1"/>
  <c r="S353" i="1"/>
  <c r="AJ352" i="1"/>
  <c r="AI352" i="1"/>
  <c r="AH352" i="1"/>
  <c r="AG352" i="1"/>
  <c r="S352" i="1"/>
  <c r="AJ351" i="1"/>
  <c r="AI351" i="1"/>
  <c r="AH351" i="1"/>
  <c r="AG351" i="1"/>
  <c r="S351" i="1"/>
  <c r="AJ350" i="1"/>
  <c r="AI350" i="1"/>
  <c r="AH350" i="1"/>
  <c r="AG350" i="1"/>
  <c r="S350" i="1"/>
  <c r="AJ349" i="1"/>
  <c r="AI349" i="1"/>
  <c r="AH349" i="1"/>
  <c r="AG349" i="1"/>
  <c r="S349" i="1"/>
  <c r="AJ348" i="1"/>
  <c r="AI348" i="1"/>
  <c r="AH348" i="1"/>
  <c r="AG348" i="1"/>
  <c r="S348" i="1"/>
  <c r="AJ347" i="1"/>
  <c r="AI347" i="1"/>
  <c r="AH347" i="1"/>
  <c r="AG347" i="1"/>
  <c r="S347" i="1"/>
  <c r="AJ346" i="1"/>
  <c r="AI346" i="1"/>
  <c r="AH346" i="1"/>
  <c r="AG346" i="1"/>
  <c r="S346" i="1"/>
  <c r="AJ345" i="1"/>
  <c r="AI345" i="1"/>
  <c r="AH345" i="1"/>
  <c r="AG345" i="1"/>
  <c r="S345" i="1"/>
  <c r="AJ344" i="1"/>
  <c r="AI344" i="1"/>
  <c r="AH344" i="1"/>
  <c r="AG344" i="1"/>
  <c r="S344" i="1"/>
  <c r="AJ343" i="1"/>
  <c r="AI343" i="1"/>
  <c r="AH343" i="1"/>
  <c r="AG343" i="1"/>
  <c r="S343" i="1"/>
  <c r="AJ342" i="1"/>
  <c r="AI342" i="1"/>
  <c r="AH342" i="1"/>
  <c r="AG342" i="1"/>
  <c r="S342" i="1"/>
  <c r="AJ341" i="1"/>
  <c r="AI341" i="1"/>
  <c r="AH341" i="1"/>
  <c r="AG341" i="1"/>
  <c r="S341" i="1"/>
  <c r="AJ340" i="1"/>
  <c r="AI340" i="1"/>
  <c r="AH340" i="1"/>
  <c r="AG340" i="1"/>
  <c r="S340" i="1"/>
  <c r="AJ339" i="1"/>
  <c r="AI339" i="1"/>
  <c r="AH339" i="1"/>
  <c r="AG339" i="1"/>
  <c r="S339" i="1"/>
  <c r="AJ338" i="1"/>
  <c r="AI338" i="1"/>
  <c r="AH338" i="1"/>
  <c r="AG338" i="1"/>
  <c r="S338" i="1"/>
  <c r="AJ337" i="1"/>
  <c r="AI337" i="1"/>
  <c r="AH337" i="1"/>
  <c r="AG337" i="1"/>
  <c r="S337" i="1"/>
  <c r="AJ336" i="1"/>
  <c r="AI336" i="1"/>
  <c r="AH336" i="1"/>
  <c r="AG336" i="1"/>
  <c r="S336" i="1"/>
  <c r="AJ335" i="1"/>
  <c r="AI335" i="1"/>
  <c r="AH335" i="1"/>
  <c r="AG335" i="1"/>
  <c r="S335" i="1"/>
  <c r="AJ334" i="1"/>
  <c r="AI334" i="1"/>
  <c r="AH334" i="1"/>
  <c r="AG334" i="1"/>
  <c r="S334" i="1"/>
  <c r="AJ333" i="1"/>
  <c r="AI333" i="1"/>
  <c r="AH333" i="1"/>
  <c r="AG333" i="1"/>
  <c r="S333" i="1"/>
  <c r="AJ332" i="1"/>
  <c r="AI332" i="1"/>
  <c r="AH332" i="1"/>
  <c r="AG332" i="1"/>
  <c r="S332" i="1"/>
  <c r="AJ331" i="1"/>
  <c r="AI331" i="1"/>
  <c r="AH331" i="1"/>
  <c r="AG331" i="1"/>
  <c r="S331" i="1"/>
  <c r="AJ330" i="1"/>
  <c r="AI330" i="1"/>
  <c r="AH330" i="1"/>
  <c r="AG330" i="1"/>
  <c r="S330" i="1"/>
  <c r="AJ329" i="1"/>
  <c r="AI329" i="1"/>
  <c r="AH329" i="1"/>
  <c r="AG329" i="1"/>
  <c r="S329" i="1"/>
  <c r="AJ328" i="1"/>
  <c r="AI328" i="1"/>
  <c r="AH328" i="1"/>
  <c r="AG328" i="1"/>
  <c r="S328" i="1"/>
  <c r="AJ327" i="1"/>
  <c r="AI327" i="1"/>
  <c r="AH327" i="1"/>
  <c r="AG327" i="1"/>
  <c r="S327" i="1"/>
  <c r="AJ326" i="1"/>
  <c r="AI326" i="1"/>
  <c r="AH326" i="1"/>
  <c r="AG326" i="1"/>
  <c r="S326" i="1"/>
  <c r="AJ325" i="1"/>
  <c r="AI325" i="1"/>
  <c r="AH325" i="1"/>
  <c r="AG325" i="1"/>
  <c r="S325" i="1"/>
  <c r="AJ324" i="1"/>
  <c r="AI324" i="1"/>
  <c r="AH324" i="1"/>
  <c r="AG324" i="1"/>
  <c r="S324" i="1"/>
  <c r="AJ323" i="1"/>
  <c r="AI323" i="1"/>
  <c r="AH323" i="1"/>
  <c r="AG323" i="1"/>
  <c r="S323" i="1"/>
  <c r="AJ322" i="1"/>
  <c r="AI322" i="1"/>
  <c r="AH322" i="1"/>
  <c r="AG322" i="1"/>
  <c r="S322" i="1"/>
  <c r="AJ321" i="1"/>
  <c r="AI321" i="1"/>
  <c r="AH321" i="1"/>
  <c r="AG321" i="1"/>
  <c r="S321" i="1"/>
  <c r="AJ320" i="1"/>
  <c r="AI320" i="1"/>
  <c r="AH320" i="1"/>
  <c r="AG320" i="1"/>
  <c r="S320" i="1"/>
  <c r="AJ319" i="1"/>
  <c r="AH319" i="1"/>
  <c r="S319" i="1"/>
  <c r="AG319" i="1" s="1"/>
  <c r="AI319" i="1" s="1"/>
  <c r="AJ318" i="1"/>
  <c r="AH318" i="1"/>
  <c r="S318" i="1"/>
  <c r="AG318" i="1" s="1"/>
  <c r="AJ317" i="1"/>
  <c r="AH317" i="1"/>
  <c r="S317" i="1"/>
  <c r="AG317" i="1" s="1"/>
  <c r="AJ316" i="1"/>
  <c r="AH316" i="1"/>
  <c r="S316" i="1"/>
  <c r="AG316" i="1" s="1"/>
  <c r="AJ315" i="1"/>
  <c r="AH315" i="1"/>
  <c r="S315" i="1"/>
  <c r="AG315" i="1" s="1"/>
  <c r="AI315" i="1" s="1"/>
  <c r="AJ314" i="1"/>
  <c r="AH314" i="1"/>
  <c r="S314" i="1"/>
  <c r="AG314" i="1" s="1"/>
  <c r="AJ313" i="1"/>
  <c r="AH313" i="1"/>
  <c r="S313" i="1"/>
  <c r="AG313" i="1" s="1"/>
  <c r="AJ312" i="1"/>
  <c r="AH312" i="1"/>
  <c r="S312" i="1"/>
  <c r="AG312" i="1" s="1"/>
  <c r="AJ311" i="1"/>
  <c r="AH311" i="1"/>
  <c r="S311" i="1"/>
  <c r="AG311" i="1" s="1"/>
  <c r="AI311" i="1" s="1"/>
  <c r="AJ310" i="1"/>
  <c r="AH310" i="1"/>
  <c r="S310" i="1"/>
  <c r="AG310" i="1" s="1"/>
  <c r="AI310" i="1" s="1"/>
  <c r="AJ309" i="1"/>
  <c r="AH309" i="1"/>
  <c r="S309" i="1"/>
  <c r="AG309" i="1" s="1"/>
  <c r="AJ308" i="1"/>
  <c r="AH308" i="1"/>
  <c r="S308" i="1"/>
  <c r="AG308" i="1" s="1"/>
  <c r="AJ307" i="1"/>
  <c r="AH307" i="1"/>
  <c r="S307" i="1"/>
  <c r="AG307" i="1" s="1"/>
  <c r="AJ306" i="1"/>
  <c r="AH306" i="1"/>
  <c r="S306" i="1"/>
  <c r="AG306" i="1" s="1"/>
  <c r="AI306" i="1" s="1"/>
  <c r="AJ305" i="1"/>
  <c r="AH305" i="1"/>
  <c r="S305" i="1"/>
  <c r="AG305" i="1" s="1"/>
  <c r="AJ304" i="1"/>
  <c r="AH304" i="1"/>
  <c r="S304" i="1"/>
  <c r="AG304" i="1" s="1"/>
  <c r="AJ303" i="1"/>
  <c r="AH303" i="1"/>
  <c r="S303" i="1"/>
  <c r="AG303" i="1" s="1"/>
  <c r="AJ302" i="1"/>
  <c r="AH302" i="1"/>
  <c r="S302" i="1"/>
  <c r="AG302" i="1" s="1"/>
  <c r="AJ301" i="1"/>
  <c r="AH301" i="1"/>
  <c r="S301" i="1"/>
  <c r="AG301" i="1" s="1"/>
  <c r="AJ300" i="1"/>
  <c r="AH300" i="1"/>
  <c r="S300" i="1"/>
  <c r="AG300" i="1" s="1"/>
  <c r="AJ299" i="1"/>
  <c r="AH299" i="1"/>
  <c r="S299" i="1"/>
  <c r="AG299" i="1" s="1"/>
  <c r="AJ298" i="1"/>
  <c r="AH298" i="1"/>
  <c r="S298" i="1"/>
  <c r="AG298" i="1" s="1"/>
  <c r="AJ297" i="1"/>
  <c r="AH297" i="1"/>
  <c r="S297" i="1"/>
  <c r="AG297" i="1" s="1"/>
  <c r="AJ296" i="1"/>
  <c r="AH296" i="1"/>
  <c r="S296" i="1"/>
  <c r="AG296" i="1" s="1"/>
  <c r="AH295" i="1"/>
  <c r="S295" i="1"/>
  <c r="AG295" i="1" s="1"/>
  <c r="AJ294" i="1"/>
  <c r="AH294" i="1"/>
  <c r="S294" i="1"/>
  <c r="AG294" i="1" s="1"/>
  <c r="AJ293" i="1"/>
  <c r="AH293" i="1"/>
  <c r="S293" i="1"/>
  <c r="AG293" i="1" s="1"/>
  <c r="AJ292" i="1"/>
  <c r="AH292" i="1"/>
  <c r="S292" i="1"/>
  <c r="AG292" i="1" s="1"/>
  <c r="AJ291" i="1"/>
  <c r="AH291" i="1"/>
  <c r="S291" i="1"/>
  <c r="AG291" i="1" s="1"/>
  <c r="AJ290" i="1"/>
  <c r="AH290" i="1"/>
  <c r="S290" i="1"/>
  <c r="AG290" i="1" s="1"/>
  <c r="AJ289" i="1"/>
  <c r="AH289" i="1"/>
  <c r="S289" i="1"/>
  <c r="AG289" i="1" s="1"/>
  <c r="AJ288" i="1"/>
  <c r="AH288" i="1"/>
  <c r="S288" i="1"/>
  <c r="AG288" i="1" s="1"/>
  <c r="AJ287" i="1"/>
  <c r="AH287" i="1"/>
  <c r="S287" i="1"/>
  <c r="AG287" i="1" s="1"/>
  <c r="AJ286" i="1"/>
  <c r="AH286" i="1"/>
  <c r="S286" i="1"/>
  <c r="AG286" i="1" s="1"/>
  <c r="AJ285" i="1"/>
  <c r="AH285" i="1"/>
  <c r="AG285" i="1"/>
  <c r="AJ284" i="1"/>
  <c r="AH284" i="1"/>
  <c r="S284" i="1"/>
  <c r="AG284" i="1" s="1"/>
  <c r="AJ283" i="1"/>
  <c r="AH283" i="1"/>
  <c r="S283" i="1"/>
  <c r="AG283" i="1" s="1"/>
  <c r="AJ282" i="1"/>
  <c r="AH282" i="1"/>
  <c r="S282" i="1"/>
  <c r="AG282" i="1" s="1"/>
  <c r="AJ281" i="1"/>
  <c r="AH281" i="1"/>
  <c r="S281" i="1"/>
  <c r="AG281" i="1" s="1"/>
  <c r="AJ280" i="1"/>
  <c r="AH280" i="1"/>
  <c r="S280" i="1"/>
  <c r="AG280" i="1" s="1"/>
  <c r="AJ279" i="1"/>
  <c r="AH279" i="1"/>
  <c r="S279" i="1"/>
  <c r="AG279" i="1" s="1"/>
  <c r="AJ278" i="1"/>
  <c r="AH278" i="1"/>
  <c r="S278" i="1"/>
  <c r="AG278" i="1" s="1"/>
  <c r="AJ277" i="1"/>
  <c r="AH277" i="1"/>
  <c r="S277" i="1"/>
  <c r="AG277" i="1" s="1"/>
  <c r="AJ276" i="1"/>
  <c r="AH276" i="1"/>
  <c r="S276" i="1"/>
  <c r="AG276" i="1" s="1"/>
  <c r="AJ275" i="1"/>
  <c r="AH275" i="1"/>
  <c r="S275" i="1"/>
  <c r="AG275" i="1" s="1"/>
  <c r="AJ274" i="1"/>
  <c r="AH274" i="1"/>
  <c r="S274" i="1"/>
  <c r="AG274" i="1" s="1"/>
  <c r="AJ273" i="1"/>
  <c r="AH273" i="1"/>
  <c r="S273" i="1"/>
  <c r="AG273" i="1" s="1"/>
  <c r="AJ272" i="1"/>
  <c r="AH272" i="1"/>
  <c r="S272" i="1"/>
  <c r="AG272" i="1" s="1"/>
  <c r="AJ271" i="1"/>
  <c r="AH271" i="1"/>
  <c r="S271" i="1"/>
  <c r="AG271" i="1" s="1"/>
  <c r="AJ270" i="1"/>
  <c r="AH270" i="1"/>
  <c r="S270" i="1"/>
  <c r="AG270" i="1" s="1"/>
  <c r="AJ269" i="1"/>
  <c r="AH269" i="1"/>
  <c r="S269" i="1"/>
  <c r="AG269" i="1" s="1"/>
  <c r="AJ268" i="1"/>
  <c r="AH268" i="1"/>
  <c r="S268" i="1"/>
  <c r="AG268" i="1" s="1"/>
  <c r="AJ267" i="1"/>
  <c r="AH267" i="1"/>
  <c r="S267" i="1"/>
  <c r="AG267" i="1" s="1"/>
  <c r="AJ266" i="1"/>
  <c r="AH266" i="1"/>
  <c r="S266" i="1"/>
  <c r="AG266" i="1" s="1"/>
  <c r="AJ265" i="1"/>
  <c r="AH265" i="1"/>
  <c r="S265" i="1"/>
  <c r="AJ264" i="1"/>
  <c r="AH264" i="1"/>
  <c r="S264" i="1"/>
  <c r="AJ263" i="1"/>
  <c r="AH263" i="1"/>
  <c r="S263" i="1"/>
  <c r="AG263" i="1" s="1"/>
  <c r="AJ262" i="1"/>
  <c r="AH262" i="1"/>
  <c r="S262" i="1"/>
  <c r="AG262" i="1" s="1"/>
  <c r="AJ261" i="1"/>
  <c r="AH261" i="1"/>
  <c r="S261" i="1"/>
  <c r="AG261" i="1" s="1"/>
  <c r="AJ260" i="1"/>
  <c r="AH260" i="1"/>
  <c r="S260" i="1"/>
  <c r="AG260" i="1" s="1"/>
  <c r="AJ259" i="1"/>
  <c r="AH259" i="1"/>
  <c r="S259" i="1"/>
  <c r="AG259" i="1" s="1"/>
  <c r="AJ258" i="1"/>
  <c r="AH258" i="1"/>
  <c r="S258" i="1"/>
  <c r="AG258" i="1" s="1"/>
  <c r="AJ257" i="1"/>
  <c r="AH257" i="1"/>
  <c r="S257" i="1"/>
  <c r="AG257" i="1" s="1"/>
  <c r="AJ256" i="1"/>
  <c r="AH256" i="1"/>
  <c r="S256" i="1"/>
  <c r="AG256" i="1" s="1"/>
  <c r="AJ255" i="1"/>
  <c r="AH255" i="1"/>
  <c r="S255" i="1"/>
  <c r="AG255" i="1" s="1"/>
  <c r="AJ254" i="1"/>
  <c r="AH254" i="1"/>
  <c r="S254" i="1"/>
  <c r="AG254" i="1" s="1"/>
  <c r="AJ253" i="1"/>
  <c r="AH253" i="1"/>
  <c r="S253" i="1"/>
  <c r="AG253" i="1" s="1"/>
  <c r="AJ252" i="1"/>
  <c r="AH252" i="1"/>
  <c r="S252" i="1"/>
  <c r="AG252" i="1" s="1"/>
  <c r="AJ251" i="1"/>
  <c r="AH251" i="1"/>
  <c r="S251" i="1"/>
  <c r="AG251" i="1" s="1"/>
  <c r="AJ250" i="1"/>
  <c r="AH250" i="1"/>
  <c r="S250" i="1"/>
  <c r="AG250" i="1" s="1"/>
  <c r="AJ249" i="1"/>
  <c r="AH249" i="1"/>
  <c r="S249" i="1"/>
  <c r="AG249" i="1" s="1"/>
  <c r="AJ248" i="1"/>
  <c r="AH248" i="1"/>
  <c r="S248" i="1"/>
  <c r="AG248" i="1" s="1"/>
  <c r="AJ247" i="1"/>
  <c r="AH247" i="1"/>
  <c r="AG247" i="1"/>
  <c r="AJ246" i="1"/>
  <c r="AH246" i="1"/>
  <c r="S246" i="1"/>
  <c r="AG246" i="1" s="1"/>
  <c r="AJ245" i="1"/>
  <c r="AH245" i="1"/>
  <c r="S245" i="1"/>
  <c r="AG245" i="1" s="1"/>
  <c r="AJ244" i="1"/>
  <c r="AH244" i="1"/>
  <c r="S244" i="1"/>
  <c r="AG244" i="1" s="1"/>
  <c r="AJ243" i="1"/>
  <c r="AH243" i="1"/>
  <c r="S243" i="1"/>
  <c r="AG243" i="1" s="1"/>
  <c r="AJ242" i="1"/>
  <c r="AH242" i="1"/>
  <c r="S242" i="1"/>
  <c r="AG242" i="1" s="1"/>
  <c r="AJ241" i="1"/>
  <c r="AH241" i="1"/>
  <c r="S241" i="1"/>
  <c r="AG241" i="1" s="1"/>
  <c r="AJ240" i="1"/>
  <c r="AH240" i="1"/>
  <c r="S240" i="1"/>
  <c r="AG240" i="1" s="1"/>
  <c r="AJ239" i="1"/>
  <c r="AH239" i="1"/>
  <c r="S239" i="1"/>
  <c r="AG239" i="1" s="1"/>
  <c r="AJ238" i="1"/>
  <c r="AH238" i="1"/>
  <c r="S238" i="1"/>
  <c r="AG238" i="1" s="1"/>
  <c r="AJ237" i="1"/>
  <c r="AH237" i="1"/>
  <c r="S237" i="1"/>
  <c r="AG237" i="1" s="1"/>
  <c r="AJ236" i="1"/>
  <c r="AH236" i="1"/>
  <c r="S236" i="1"/>
  <c r="AG236" i="1" s="1"/>
  <c r="AJ235" i="1"/>
  <c r="AH235" i="1"/>
  <c r="S235" i="1"/>
  <c r="AG235" i="1" s="1"/>
  <c r="AJ234" i="1"/>
  <c r="AH234" i="1"/>
  <c r="S234" i="1"/>
  <c r="AG234" i="1" s="1"/>
  <c r="AJ233" i="1"/>
  <c r="AH233" i="1"/>
  <c r="S233" i="1"/>
  <c r="AG233" i="1" s="1"/>
  <c r="AJ232" i="1"/>
  <c r="AH232" i="1"/>
  <c r="S232" i="1"/>
  <c r="AG232" i="1" s="1"/>
  <c r="AJ231" i="1"/>
  <c r="AH231" i="1"/>
  <c r="S231" i="1"/>
  <c r="AG231" i="1" s="1"/>
  <c r="AJ230" i="1"/>
  <c r="AH230" i="1"/>
  <c r="S230" i="1"/>
  <c r="AG230" i="1" s="1"/>
  <c r="AJ229" i="1"/>
  <c r="AH229" i="1"/>
  <c r="S229" i="1"/>
  <c r="AG229" i="1" s="1"/>
  <c r="AJ228" i="1"/>
  <c r="AH228" i="1"/>
  <c r="S228" i="1"/>
  <c r="AG228" i="1" s="1"/>
  <c r="AJ227" i="1"/>
  <c r="AH227" i="1"/>
  <c r="S227" i="1"/>
  <c r="AG227" i="1" s="1"/>
  <c r="AJ226" i="1"/>
  <c r="AH226" i="1"/>
  <c r="S226" i="1"/>
  <c r="AG226" i="1" s="1"/>
  <c r="AJ225" i="1"/>
  <c r="AH225" i="1"/>
  <c r="S225" i="1"/>
  <c r="AG225" i="1" s="1"/>
  <c r="AJ224" i="1"/>
  <c r="AH224" i="1"/>
  <c r="S224" i="1"/>
  <c r="AG224" i="1" s="1"/>
  <c r="AJ223" i="1"/>
  <c r="AH223" i="1"/>
  <c r="S223" i="1"/>
  <c r="AG223" i="1" s="1"/>
  <c r="AJ222" i="1"/>
  <c r="AH222" i="1"/>
  <c r="S222" i="1"/>
  <c r="AG222" i="1" s="1"/>
  <c r="AJ221" i="1"/>
  <c r="AH221" i="1"/>
  <c r="S221" i="1"/>
  <c r="AG221" i="1" s="1"/>
  <c r="AJ220" i="1"/>
  <c r="AH220" i="1"/>
  <c r="S220" i="1"/>
  <c r="AG220" i="1" s="1"/>
  <c r="AJ219" i="1"/>
  <c r="AH219" i="1"/>
  <c r="S219" i="1"/>
  <c r="AG219" i="1" s="1"/>
  <c r="AJ218" i="1"/>
  <c r="AH218" i="1"/>
  <c r="S218" i="1"/>
  <c r="AG218" i="1" s="1"/>
  <c r="AJ217" i="1"/>
  <c r="AH217" i="1"/>
  <c r="S217" i="1"/>
  <c r="AG217" i="1" s="1"/>
  <c r="AJ216" i="1"/>
  <c r="AH216" i="1"/>
  <c r="S216" i="1"/>
  <c r="AG216" i="1" s="1"/>
  <c r="AJ215" i="1"/>
  <c r="AH215" i="1"/>
  <c r="S215" i="1"/>
  <c r="AG215" i="1" s="1"/>
  <c r="AJ214" i="1"/>
  <c r="AH214" i="1"/>
  <c r="S214" i="1"/>
  <c r="AG214" i="1" s="1"/>
  <c r="AJ213" i="1"/>
  <c r="AH213" i="1"/>
  <c r="S213" i="1"/>
  <c r="AG213" i="1" s="1"/>
  <c r="AJ212" i="1"/>
  <c r="AH212" i="1"/>
  <c r="S212" i="1"/>
  <c r="AG212" i="1" s="1"/>
  <c r="AJ211" i="1"/>
  <c r="AH211" i="1"/>
  <c r="S211" i="1"/>
  <c r="AG211" i="1" s="1"/>
  <c r="AJ210" i="1"/>
  <c r="AH210" i="1"/>
  <c r="S210" i="1"/>
  <c r="AG210" i="1" s="1"/>
  <c r="AH209" i="1"/>
  <c r="S209" i="1"/>
  <c r="AG209" i="1" s="1"/>
  <c r="AJ208" i="1"/>
  <c r="AH208" i="1"/>
  <c r="S208" i="1"/>
  <c r="AG208" i="1" s="1"/>
  <c r="AJ207" i="1"/>
  <c r="AH207" i="1"/>
  <c r="S207" i="1"/>
  <c r="AG207" i="1" s="1"/>
  <c r="AJ206" i="1"/>
  <c r="AH206" i="1"/>
  <c r="S206" i="1"/>
  <c r="AG206" i="1" s="1"/>
  <c r="AJ205" i="1"/>
  <c r="AH205" i="1"/>
  <c r="S205" i="1"/>
  <c r="AG205" i="1" s="1"/>
  <c r="AJ204" i="1"/>
  <c r="AH204" i="1"/>
  <c r="S204" i="1"/>
  <c r="AG204" i="1" s="1"/>
  <c r="AJ203" i="1"/>
  <c r="AH203" i="1"/>
  <c r="S203" i="1"/>
  <c r="AG203" i="1" s="1"/>
  <c r="AJ202" i="1"/>
  <c r="AH202" i="1"/>
  <c r="S202" i="1"/>
  <c r="AG202" i="1" s="1"/>
  <c r="AJ201" i="1"/>
  <c r="AH201" i="1"/>
  <c r="S201" i="1"/>
  <c r="AG201" i="1" s="1"/>
  <c r="AJ200" i="1"/>
  <c r="AH200" i="1"/>
  <c r="S200" i="1"/>
  <c r="AG200" i="1" s="1"/>
  <c r="AJ199" i="1"/>
  <c r="AH199" i="1"/>
  <c r="S199" i="1"/>
  <c r="AG199" i="1" s="1"/>
  <c r="AJ198" i="1"/>
  <c r="AH198" i="1"/>
  <c r="S198" i="1"/>
  <c r="AG198" i="1" s="1"/>
  <c r="AJ197" i="1"/>
  <c r="AH197" i="1"/>
  <c r="S197" i="1"/>
  <c r="AG197" i="1" s="1"/>
  <c r="AJ196" i="1"/>
  <c r="AH196" i="1"/>
  <c r="S196" i="1"/>
  <c r="AG196" i="1" s="1"/>
  <c r="AJ195" i="1"/>
  <c r="AH195" i="1"/>
  <c r="S195" i="1"/>
  <c r="AG195" i="1" s="1"/>
  <c r="AJ194" i="1"/>
  <c r="AH194" i="1"/>
  <c r="S194" i="1"/>
  <c r="AG194" i="1" s="1"/>
  <c r="AJ193" i="1"/>
  <c r="AH193" i="1"/>
  <c r="S193" i="1"/>
  <c r="AG193" i="1" s="1"/>
  <c r="AJ192" i="1"/>
  <c r="AH192" i="1"/>
  <c r="S192" i="1"/>
  <c r="AG192" i="1" s="1"/>
  <c r="AJ191" i="1"/>
  <c r="AH191" i="1"/>
  <c r="S191" i="1"/>
  <c r="AG191" i="1" s="1"/>
  <c r="AJ190" i="1"/>
  <c r="AH190" i="1"/>
  <c r="S190" i="1"/>
  <c r="AG190" i="1" s="1"/>
  <c r="AJ189" i="1"/>
  <c r="AH189" i="1"/>
  <c r="S189" i="1"/>
  <c r="AG189" i="1" s="1"/>
  <c r="AJ188" i="1"/>
  <c r="AH188" i="1"/>
  <c r="S188" i="1"/>
  <c r="AG188" i="1" s="1"/>
  <c r="AJ187" i="1"/>
  <c r="AH187" i="1"/>
  <c r="S187" i="1"/>
  <c r="AG187" i="1" s="1"/>
  <c r="AJ186" i="1"/>
  <c r="AH186" i="1"/>
  <c r="S186" i="1"/>
  <c r="AG186" i="1" s="1"/>
  <c r="AJ185" i="1"/>
  <c r="AH185" i="1"/>
  <c r="S185" i="1"/>
  <c r="AG185" i="1" s="1"/>
  <c r="AJ184" i="1"/>
  <c r="AH184" i="1"/>
  <c r="S184" i="1"/>
  <c r="AG184" i="1" s="1"/>
  <c r="AJ183" i="1"/>
  <c r="AH183" i="1"/>
  <c r="S183" i="1"/>
  <c r="AG183" i="1" s="1"/>
  <c r="AJ182" i="1"/>
  <c r="AH182" i="1"/>
  <c r="S182" i="1"/>
  <c r="AG182" i="1" s="1"/>
  <c r="AJ181" i="1"/>
  <c r="AH181" i="1"/>
  <c r="S181" i="1"/>
  <c r="AG181" i="1" s="1"/>
  <c r="AJ180" i="1"/>
  <c r="AH180" i="1"/>
  <c r="S180" i="1"/>
  <c r="AG180" i="1" s="1"/>
  <c r="AJ179" i="1"/>
  <c r="AH179" i="1"/>
  <c r="S179" i="1"/>
  <c r="AG179" i="1" s="1"/>
  <c r="AJ178" i="1"/>
  <c r="AH178" i="1"/>
  <c r="S178" i="1"/>
  <c r="AG178" i="1" s="1"/>
  <c r="AJ177" i="1"/>
  <c r="AH177" i="1"/>
  <c r="S177" i="1"/>
  <c r="AG177" i="1" s="1"/>
  <c r="AJ176" i="1"/>
  <c r="AH176" i="1"/>
  <c r="S176" i="1"/>
  <c r="AG176" i="1" s="1"/>
  <c r="AJ175" i="1"/>
  <c r="AH175" i="1"/>
  <c r="S175" i="1"/>
  <c r="AG175" i="1" s="1"/>
  <c r="AJ174" i="1"/>
  <c r="AH174" i="1"/>
  <c r="S174" i="1"/>
  <c r="AG174" i="1" s="1"/>
  <c r="AJ173" i="1"/>
  <c r="AH173" i="1"/>
  <c r="S173" i="1"/>
  <c r="AG173" i="1" s="1"/>
  <c r="AJ172" i="1"/>
  <c r="AH172" i="1"/>
  <c r="S172" i="1"/>
  <c r="AG172" i="1" s="1"/>
  <c r="AJ171" i="1"/>
  <c r="AH171" i="1"/>
  <c r="S171" i="1"/>
  <c r="AG171" i="1" s="1"/>
  <c r="AJ170" i="1"/>
  <c r="AH170" i="1"/>
  <c r="S170" i="1"/>
  <c r="AG170" i="1" s="1"/>
  <c r="AJ169" i="1"/>
  <c r="AH169" i="1"/>
  <c r="S169" i="1"/>
  <c r="AG169" i="1" s="1"/>
  <c r="AJ168" i="1"/>
  <c r="AH168" i="1"/>
  <c r="S168" i="1"/>
  <c r="AG168" i="1" s="1"/>
  <c r="AJ167" i="1"/>
  <c r="AH167" i="1"/>
  <c r="S167" i="1"/>
  <c r="AG167" i="1" s="1"/>
  <c r="AJ166" i="1"/>
  <c r="AH166" i="1"/>
  <c r="S166" i="1"/>
  <c r="AG166" i="1" s="1"/>
  <c r="AJ165" i="1"/>
  <c r="AH165" i="1"/>
  <c r="S165" i="1"/>
  <c r="AG165" i="1" s="1"/>
  <c r="AJ164" i="1"/>
  <c r="AH164" i="1"/>
  <c r="S164" i="1"/>
  <c r="AG164" i="1" s="1"/>
  <c r="AJ163" i="1"/>
  <c r="AH163" i="1"/>
  <c r="S163" i="1"/>
  <c r="AG163" i="1" s="1"/>
  <c r="AJ162" i="1"/>
  <c r="AH162" i="1"/>
  <c r="S162" i="1"/>
  <c r="AG162" i="1" s="1"/>
  <c r="AJ161" i="1"/>
  <c r="AH161" i="1"/>
  <c r="S161" i="1"/>
  <c r="AG161" i="1" s="1"/>
  <c r="AJ160" i="1"/>
  <c r="AH160" i="1"/>
  <c r="S160" i="1"/>
  <c r="AG160" i="1" s="1"/>
  <c r="AJ159" i="1"/>
  <c r="AH159" i="1"/>
  <c r="S159" i="1"/>
  <c r="AG159" i="1" s="1"/>
  <c r="AJ158" i="1"/>
  <c r="AH158" i="1"/>
  <c r="S158" i="1"/>
  <c r="AG158" i="1" s="1"/>
  <c r="AJ157" i="1"/>
  <c r="AH157" i="1"/>
  <c r="S157" i="1"/>
  <c r="AG157" i="1" s="1"/>
  <c r="AJ156" i="1"/>
  <c r="AH156" i="1"/>
  <c r="S156" i="1"/>
  <c r="AG156" i="1" s="1"/>
  <c r="AJ155" i="1"/>
  <c r="AH155" i="1"/>
  <c r="S155" i="1"/>
  <c r="AG155" i="1" s="1"/>
  <c r="AJ154" i="1"/>
  <c r="AH154" i="1"/>
  <c r="S154" i="1"/>
  <c r="AG154" i="1" s="1"/>
  <c r="AJ153" i="1"/>
  <c r="AH153" i="1"/>
  <c r="S153" i="1"/>
  <c r="AG153" i="1" s="1"/>
  <c r="AJ152" i="1"/>
  <c r="AH152" i="1"/>
  <c r="S152" i="1"/>
  <c r="AG152" i="1" s="1"/>
  <c r="AJ151" i="1"/>
  <c r="AH151" i="1"/>
  <c r="S151" i="1"/>
  <c r="AG151" i="1" s="1"/>
  <c r="AJ150" i="1"/>
  <c r="AH150" i="1"/>
  <c r="S150" i="1"/>
  <c r="AG150" i="1" s="1"/>
  <c r="AJ149" i="1"/>
  <c r="AH149" i="1"/>
  <c r="S149" i="1"/>
  <c r="AG149" i="1" s="1"/>
  <c r="AJ148" i="1"/>
  <c r="AH148" i="1"/>
  <c r="S148" i="1"/>
  <c r="AG148" i="1" s="1"/>
  <c r="AJ147" i="1"/>
  <c r="AH147" i="1"/>
  <c r="S147" i="1"/>
  <c r="AG147" i="1" s="1"/>
  <c r="AJ146" i="1"/>
  <c r="AH146" i="1"/>
  <c r="S146" i="1"/>
  <c r="AG146" i="1" s="1"/>
  <c r="AJ145" i="1"/>
  <c r="AH145" i="1"/>
  <c r="S145" i="1"/>
  <c r="AG145" i="1" s="1"/>
  <c r="AJ144" i="1"/>
  <c r="AH144" i="1"/>
  <c r="S144" i="1"/>
  <c r="AG144" i="1" s="1"/>
  <c r="AJ143" i="1"/>
  <c r="AH143" i="1"/>
  <c r="S143" i="1"/>
  <c r="AG143" i="1" s="1"/>
  <c r="AJ142" i="1"/>
  <c r="AH142" i="1"/>
  <c r="S142" i="1"/>
  <c r="AG142" i="1" s="1"/>
  <c r="AJ141" i="1"/>
  <c r="AH141" i="1"/>
  <c r="S141" i="1"/>
  <c r="AG141" i="1" s="1"/>
  <c r="AJ140" i="1"/>
  <c r="AH140" i="1"/>
  <c r="S140" i="1"/>
  <c r="AG140" i="1" s="1"/>
  <c r="AJ139" i="1"/>
  <c r="AH139" i="1"/>
  <c r="S139" i="1"/>
  <c r="AG139" i="1" s="1"/>
  <c r="AJ138" i="1"/>
  <c r="AH138" i="1"/>
  <c r="S138" i="1"/>
  <c r="AG138" i="1" s="1"/>
  <c r="AJ137" i="1"/>
  <c r="AH137" i="1"/>
  <c r="S137" i="1"/>
  <c r="AG137" i="1" s="1"/>
  <c r="AJ136" i="1"/>
  <c r="AH136" i="1"/>
  <c r="S136" i="1"/>
  <c r="AG136" i="1" s="1"/>
  <c r="AJ135" i="1"/>
  <c r="AH135" i="1"/>
  <c r="S135" i="1"/>
  <c r="AG135" i="1" s="1"/>
  <c r="AJ134" i="1"/>
  <c r="AH134" i="1"/>
  <c r="S134" i="1"/>
  <c r="AG134" i="1" s="1"/>
  <c r="AJ133" i="1"/>
  <c r="AH133" i="1"/>
  <c r="S133" i="1"/>
  <c r="AG133" i="1" s="1"/>
  <c r="AJ132" i="1"/>
  <c r="AH132" i="1"/>
  <c r="S132" i="1"/>
  <c r="AG132" i="1" s="1"/>
  <c r="AJ131" i="1"/>
  <c r="AH131" i="1"/>
  <c r="S131" i="1"/>
  <c r="AG131" i="1" s="1"/>
  <c r="AJ130" i="1"/>
  <c r="AH130" i="1"/>
  <c r="S130" i="1"/>
  <c r="AG130" i="1" s="1"/>
  <c r="AJ129" i="1"/>
  <c r="AH129" i="1"/>
  <c r="S129" i="1"/>
  <c r="AG129" i="1" s="1"/>
  <c r="AJ128" i="1"/>
  <c r="AH128" i="1"/>
  <c r="S128" i="1"/>
  <c r="AG128" i="1" s="1"/>
  <c r="AJ127" i="1"/>
  <c r="AH127" i="1"/>
  <c r="S127" i="1"/>
  <c r="AG127" i="1" s="1"/>
  <c r="AJ126" i="1"/>
  <c r="AH126" i="1"/>
  <c r="S126" i="1"/>
  <c r="AG126" i="1" s="1"/>
  <c r="AJ125" i="1"/>
  <c r="AH125" i="1"/>
  <c r="S125" i="1"/>
  <c r="AG125" i="1" s="1"/>
  <c r="AJ124" i="1"/>
  <c r="AH124" i="1"/>
  <c r="S124" i="1"/>
  <c r="AG124" i="1" s="1"/>
  <c r="AJ123" i="1"/>
  <c r="AH123" i="1"/>
  <c r="S123" i="1"/>
  <c r="AG123" i="1" s="1"/>
  <c r="AJ122" i="1"/>
  <c r="AH122" i="1"/>
  <c r="S122" i="1"/>
  <c r="AG122" i="1" s="1"/>
  <c r="AJ121" i="1"/>
  <c r="AH121" i="1"/>
  <c r="S121" i="1"/>
  <c r="AG121" i="1" s="1"/>
  <c r="AJ120" i="1"/>
  <c r="AH120" i="1"/>
  <c r="S120" i="1"/>
  <c r="AG120" i="1" s="1"/>
  <c r="AJ119" i="1"/>
  <c r="AH119" i="1"/>
  <c r="S119" i="1"/>
  <c r="AG119" i="1" s="1"/>
  <c r="AJ118" i="1"/>
  <c r="AH118" i="1"/>
  <c r="S118" i="1"/>
  <c r="AG118" i="1" s="1"/>
  <c r="AJ117" i="1"/>
  <c r="AH117" i="1"/>
  <c r="S117" i="1"/>
  <c r="AG117" i="1" s="1"/>
  <c r="AJ116" i="1"/>
  <c r="AH116" i="1"/>
  <c r="S116" i="1"/>
  <c r="AG116" i="1" s="1"/>
  <c r="AJ115" i="1"/>
  <c r="AH115" i="1"/>
  <c r="S115" i="1"/>
  <c r="AG115" i="1" s="1"/>
  <c r="AJ114" i="1"/>
  <c r="AH114" i="1"/>
  <c r="S114" i="1"/>
  <c r="AG114" i="1" s="1"/>
  <c r="AJ113" i="1"/>
  <c r="AH113" i="1"/>
  <c r="S113" i="1"/>
  <c r="AG113" i="1" s="1"/>
  <c r="AJ112" i="1"/>
  <c r="AH112" i="1"/>
  <c r="S112" i="1"/>
  <c r="AG112" i="1" s="1"/>
  <c r="AJ111" i="1"/>
  <c r="AH111" i="1"/>
  <c r="S111" i="1"/>
  <c r="AG111" i="1" s="1"/>
  <c r="AJ110" i="1"/>
  <c r="AH110" i="1"/>
  <c r="S110" i="1"/>
  <c r="AG110" i="1" s="1"/>
  <c r="AJ109" i="1"/>
  <c r="AH109" i="1"/>
  <c r="S109" i="1"/>
  <c r="AG109" i="1" s="1"/>
  <c r="AJ108" i="1"/>
  <c r="AH108" i="1"/>
  <c r="S108" i="1"/>
  <c r="AG108" i="1" s="1"/>
  <c r="AJ107" i="1"/>
  <c r="AH107" i="1"/>
  <c r="S107" i="1"/>
  <c r="AG107" i="1" s="1"/>
  <c r="AJ106" i="1"/>
  <c r="AH106" i="1"/>
  <c r="S106" i="1"/>
  <c r="AG106" i="1" s="1"/>
  <c r="AJ105" i="1"/>
  <c r="AH105" i="1"/>
  <c r="S105" i="1"/>
  <c r="AG105" i="1" s="1"/>
  <c r="AH104" i="1"/>
  <c r="S104" i="1"/>
  <c r="AG104" i="1" s="1"/>
  <c r="AJ103" i="1"/>
  <c r="AH103" i="1"/>
  <c r="S103" i="1"/>
  <c r="AG103" i="1" s="1"/>
  <c r="AJ102" i="1"/>
  <c r="AH102" i="1"/>
  <c r="S102" i="1"/>
  <c r="AG102" i="1" s="1"/>
  <c r="AJ101" i="1"/>
  <c r="AH101" i="1"/>
  <c r="S101" i="1"/>
  <c r="AG101" i="1" s="1"/>
  <c r="AJ100" i="1"/>
  <c r="AH100" i="1"/>
  <c r="S100" i="1"/>
  <c r="AG100" i="1" s="1"/>
  <c r="AJ99" i="1"/>
  <c r="AH99" i="1"/>
  <c r="S99" i="1"/>
  <c r="AG99" i="1" s="1"/>
  <c r="AH98" i="1"/>
  <c r="S98" i="1"/>
  <c r="AG98" i="1" s="1"/>
  <c r="AJ97" i="1"/>
  <c r="AH97" i="1"/>
  <c r="S97" i="1"/>
  <c r="AG97" i="1" s="1"/>
  <c r="AJ96" i="1"/>
  <c r="AH96" i="1"/>
  <c r="S96" i="1"/>
  <c r="AG96" i="1" s="1"/>
  <c r="AJ95" i="1"/>
  <c r="AH95" i="1"/>
  <c r="S95" i="1"/>
  <c r="AG95" i="1" s="1"/>
  <c r="AJ94" i="1"/>
  <c r="AH94" i="1"/>
  <c r="S94" i="1"/>
  <c r="AG94" i="1" s="1"/>
  <c r="AJ93" i="1"/>
  <c r="AH93" i="1"/>
  <c r="S93" i="1"/>
  <c r="AG93" i="1" s="1"/>
  <c r="AJ92" i="1"/>
  <c r="AH92" i="1"/>
  <c r="S92" i="1"/>
  <c r="AG92" i="1" s="1"/>
  <c r="AJ91" i="1"/>
  <c r="AH91" i="1"/>
  <c r="S91" i="1"/>
  <c r="AG91" i="1" s="1"/>
  <c r="AJ90" i="1"/>
  <c r="AH90" i="1"/>
  <c r="S90" i="1"/>
  <c r="AG90" i="1" s="1"/>
  <c r="AJ89" i="1"/>
  <c r="AH89" i="1"/>
  <c r="S89" i="1"/>
  <c r="AG89" i="1" s="1"/>
  <c r="AJ88" i="1"/>
  <c r="AH88" i="1"/>
  <c r="S88" i="1"/>
  <c r="AG88" i="1" s="1"/>
  <c r="AJ87" i="1"/>
  <c r="AH87" i="1"/>
  <c r="S87" i="1"/>
  <c r="AG87" i="1" s="1"/>
  <c r="AJ86" i="1"/>
  <c r="AH86" i="1"/>
  <c r="S86" i="1"/>
  <c r="AG86" i="1" s="1"/>
  <c r="AJ85" i="1"/>
  <c r="AH85" i="1"/>
  <c r="S85" i="1"/>
  <c r="AG85" i="1" s="1"/>
  <c r="AJ84" i="1"/>
  <c r="AH84" i="1"/>
  <c r="S84" i="1"/>
  <c r="AG84" i="1" s="1"/>
  <c r="AJ83" i="1"/>
  <c r="AH83" i="1"/>
  <c r="S83" i="1"/>
  <c r="AG83" i="1" s="1"/>
  <c r="AJ82" i="1"/>
  <c r="AH82" i="1"/>
  <c r="S82" i="1"/>
  <c r="AG82" i="1" s="1"/>
  <c r="AJ81" i="1"/>
  <c r="AH81" i="1"/>
  <c r="S81" i="1"/>
  <c r="AG81" i="1" s="1"/>
  <c r="AJ80" i="1"/>
  <c r="AH80" i="1"/>
  <c r="S80" i="1"/>
  <c r="AG80" i="1" s="1"/>
  <c r="AJ79" i="1"/>
  <c r="Y79" i="1"/>
  <c r="AH79" i="1" s="1"/>
  <c r="S79" i="1"/>
  <c r="AJ78" i="1"/>
  <c r="AH78" i="1"/>
  <c r="S78" i="1"/>
  <c r="AG78" i="1" s="1"/>
  <c r="AJ77" i="1"/>
  <c r="AH77" i="1"/>
  <c r="S77" i="1"/>
  <c r="AG77" i="1" s="1"/>
  <c r="AJ76" i="1"/>
  <c r="AH76" i="1"/>
  <c r="S76" i="1"/>
  <c r="AG76" i="1" s="1"/>
  <c r="AJ75" i="1"/>
  <c r="AH75" i="1"/>
  <c r="S75" i="1"/>
  <c r="AG75" i="1" s="1"/>
  <c r="AJ74" i="1"/>
  <c r="AH74" i="1"/>
  <c r="S74" i="1"/>
  <c r="AG74" i="1" s="1"/>
  <c r="AJ73" i="1"/>
  <c r="AH73" i="1"/>
  <c r="S73" i="1"/>
  <c r="AG73" i="1" s="1"/>
  <c r="AJ72" i="1"/>
  <c r="AH72" i="1"/>
  <c r="S72" i="1"/>
  <c r="AG72" i="1" s="1"/>
  <c r="AJ71" i="1"/>
  <c r="AH71" i="1"/>
  <c r="S71" i="1"/>
  <c r="AG71" i="1" s="1"/>
  <c r="AJ70" i="1"/>
  <c r="AH70" i="1"/>
  <c r="S70" i="1"/>
  <c r="AG70" i="1" s="1"/>
  <c r="AJ69" i="1"/>
  <c r="AC69" i="1"/>
  <c r="AH69" i="1" s="1"/>
  <c r="S69" i="1"/>
  <c r="AG69" i="1" s="1"/>
  <c r="AJ68" i="1"/>
  <c r="AH68" i="1"/>
  <c r="S68" i="1"/>
  <c r="AG68" i="1" s="1"/>
  <c r="AJ67" i="1"/>
  <c r="AH67" i="1"/>
  <c r="S67" i="1"/>
  <c r="AG67" i="1" s="1"/>
  <c r="AJ66" i="1"/>
  <c r="AH66" i="1"/>
  <c r="S66" i="1"/>
  <c r="AG66" i="1" s="1"/>
  <c r="AJ65" i="1"/>
  <c r="AH65" i="1"/>
  <c r="S65" i="1"/>
  <c r="AG65" i="1" s="1"/>
  <c r="AJ64" i="1"/>
  <c r="AH64" i="1"/>
  <c r="S64" i="1"/>
  <c r="AG64" i="1" s="1"/>
  <c r="AJ63" i="1"/>
  <c r="AH63" i="1"/>
  <c r="S63" i="1"/>
  <c r="AG63" i="1" s="1"/>
  <c r="AJ62" i="1"/>
  <c r="AH62" i="1"/>
  <c r="S62" i="1"/>
  <c r="AG62" i="1" s="1"/>
  <c r="AJ61" i="1"/>
  <c r="AH61" i="1"/>
  <c r="S61" i="1"/>
  <c r="AG61" i="1" s="1"/>
  <c r="AJ60" i="1"/>
  <c r="AH60" i="1"/>
  <c r="S60" i="1"/>
  <c r="AG60" i="1" s="1"/>
  <c r="AH59" i="1"/>
  <c r="S59" i="1"/>
  <c r="AG59" i="1" s="1"/>
  <c r="AH58" i="1"/>
  <c r="S58" i="1"/>
  <c r="AG58" i="1" s="1"/>
  <c r="AH57" i="1"/>
  <c r="S57" i="1"/>
  <c r="AG57" i="1" s="1"/>
  <c r="AH56" i="1"/>
  <c r="S56" i="1"/>
  <c r="AG56" i="1" s="1"/>
  <c r="AH55" i="1"/>
  <c r="S55" i="1"/>
  <c r="AG55" i="1" s="1"/>
  <c r="AH54" i="1"/>
  <c r="S54" i="1"/>
  <c r="AG54" i="1" s="1"/>
  <c r="AH53" i="1"/>
  <c r="S53" i="1"/>
  <c r="AG53" i="1" s="1"/>
  <c r="AH52" i="1"/>
  <c r="S52" i="1"/>
  <c r="AG52" i="1" s="1"/>
  <c r="AH51" i="1"/>
  <c r="S51" i="1"/>
  <c r="AG51" i="1" s="1"/>
  <c r="AH50" i="1"/>
  <c r="S50" i="1"/>
  <c r="AG50" i="1" s="1"/>
  <c r="AH49" i="1"/>
  <c r="S49" i="1"/>
  <c r="AG49" i="1" s="1"/>
  <c r="AH48" i="1"/>
  <c r="S48" i="1"/>
  <c r="AG48" i="1" s="1"/>
  <c r="AH47" i="1"/>
  <c r="S47" i="1"/>
  <c r="AG47" i="1" s="1"/>
  <c r="AH46" i="1"/>
  <c r="S46" i="1"/>
  <c r="AG46" i="1" s="1"/>
  <c r="AH45" i="1"/>
  <c r="S45" i="1"/>
  <c r="AG45" i="1" s="1"/>
  <c r="AH44" i="1"/>
  <c r="S44" i="1"/>
  <c r="AG44" i="1" s="1"/>
  <c r="AH43" i="1"/>
  <c r="S43" i="1"/>
  <c r="AG43" i="1" s="1"/>
  <c r="AH42" i="1"/>
  <c r="S42" i="1"/>
  <c r="AG42" i="1" s="1"/>
  <c r="AH41" i="1"/>
  <c r="S41" i="1"/>
  <c r="AG41" i="1" s="1"/>
  <c r="AH40" i="1"/>
  <c r="S40" i="1"/>
  <c r="AG40" i="1" s="1"/>
  <c r="AH39" i="1"/>
  <c r="S39" i="1"/>
  <c r="AG39" i="1" s="1"/>
  <c r="AH38" i="1"/>
  <c r="S38" i="1"/>
  <c r="AG38" i="1" s="1"/>
  <c r="AH37" i="1"/>
  <c r="S37" i="1"/>
  <c r="AG37" i="1" s="1"/>
  <c r="AH36" i="1"/>
  <c r="S36" i="1"/>
  <c r="AG36" i="1" s="1"/>
  <c r="AH35" i="1"/>
  <c r="S35" i="1"/>
  <c r="AG35" i="1" s="1"/>
  <c r="AH34" i="1"/>
  <c r="S34" i="1"/>
  <c r="AG34" i="1" s="1"/>
  <c r="AH33" i="1"/>
  <c r="S33" i="1"/>
  <c r="AG33" i="1" s="1"/>
  <c r="AH32" i="1"/>
  <c r="S32" i="1"/>
  <c r="AG32" i="1" s="1"/>
  <c r="AH31" i="1"/>
  <c r="S31" i="1"/>
  <c r="AG31" i="1" s="1"/>
  <c r="AH30" i="1"/>
  <c r="S30" i="1"/>
  <c r="AG30" i="1" s="1"/>
  <c r="AH29" i="1"/>
  <c r="S29" i="1"/>
  <c r="AG29" i="1" s="1"/>
  <c r="AH28" i="1"/>
  <c r="S28" i="1"/>
  <c r="AG28" i="1" s="1"/>
  <c r="AH27" i="1"/>
  <c r="S27" i="1"/>
  <c r="AG27" i="1" s="1"/>
  <c r="AH26" i="1"/>
  <c r="S26" i="1"/>
  <c r="AG26" i="1" s="1"/>
  <c r="AH25" i="1"/>
  <c r="S25" i="1"/>
  <c r="AG25" i="1" s="1"/>
  <c r="AH24" i="1"/>
  <c r="S24" i="1"/>
  <c r="AG24" i="1" s="1"/>
  <c r="AH23" i="1"/>
  <c r="S23" i="1"/>
  <c r="AG23" i="1" s="1"/>
  <c r="AH22" i="1"/>
  <c r="S22" i="1"/>
  <c r="AG22" i="1" s="1"/>
  <c r="AH21" i="1"/>
  <c r="S21" i="1"/>
  <c r="AG21" i="1" s="1"/>
  <c r="AH20" i="1"/>
  <c r="S20" i="1"/>
  <c r="AG20" i="1" s="1"/>
  <c r="S19" i="1"/>
  <c r="S18" i="1"/>
  <c r="S17" i="1"/>
  <c r="AH16" i="1"/>
  <c r="S16" i="1"/>
  <c r="AG16" i="1" s="1"/>
  <c r="S15" i="1"/>
  <c r="AH14" i="1"/>
  <c r="S14" i="1"/>
  <c r="AG14" i="1" s="1"/>
  <c r="AF13" i="1"/>
  <c r="AH13" i="1" s="1"/>
  <c r="S13" i="1"/>
  <c r="AG13" i="1" s="1"/>
  <c r="AH12" i="1"/>
  <c r="S12" i="1"/>
  <c r="AG12" i="1" s="1"/>
  <c r="AH11" i="1"/>
  <c r="S11" i="1"/>
  <c r="AG11" i="1" s="1"/>
  <c r="AH10" i="1"/>
  <c r="S10" i="1"/>
  <c r="AG10" i="1" s="1"/>
  <c r="AH9" i="1"/>
  <c r="S9" i="1"/>
  <c r="AG9" i="1" s="1"/>
  <c r="AH8" i="1"/>
  <c r="S8" i="1"/>
  <c r="AG8" i="1" s="1"/>
  <c r="AH7" i="1"/>
  <c r="S7" i="1"/>
  <c r="AG7" i="1" s="1"/>
  <c r="AH6" i="1"/>
  <c r="S6" i="1"/>
  <c r="AG6" i="1" s="1"/>
  <c r="AH5" i="1"/>
  <c r="S5" i="1"/>
  <c r="AG5" i="1" s="1"/>
  <c r="AH4" i="1"/>
  <c r="S4" i="1"/>
  <c r="AG4" i="1" s="1"/>
  <c r="AH3" i="1"/>
  <c r="S3" i="1"/>
  <c r="AG3" i="1" s="1"/>
  <c r="AI313" i="1" l="1"/>
  <c r="AI309" i="1"/>
  <c r="AI312" i="1"/>
  <c r="AI317" i="1"/>
  <c r="AI307" i="1"/>
  <c r="AI316" i="1"/>
  <c r="AI314" i="1"/>
  <c r="AI318" i="1"/>
  <c r="E138" i="2"/>
  <c r="J138" i="2"/>
  <c r="A138" i="2"/>
  <c r="I138" i="2"/>
  <c r="C138" i="2"/>
  <c r="I137" i="2"/>
  <c r="C137" i="2"/>
  <c r="A137" i="2"/>
  <c r="E137" i="2"/>
  <c r="J137" i="2"/>
  <c r="A136" i="2"/>
  <c r="E136" i="2"/>
  <c r="C136" i="2"/>
  <c r="J136" i="2"/>
  <c r="I136" i="2"/>
  <c r="AI308" i="1"/>
  <c r="AI305" i="1"/>
  <c r="A135" i="2"/>
  <c r="J135" i="2"/>
  <c r="I135" i="2"/>
  <c r="E135" i="2"/>
  <c r="C135" i="2"/>
  <c r="A132" i="2"/>
  <c r="AI304" i="1"/>
  <c r="AI301" i="1"/>
  <c r="AI302" i="1"/>
  <c r="AI303" i="1"/>
  <c r="E134" i="2"/>
  <c r="J134" i="2"/>
  <c r="I134" i="2"/>
  <c r="C134" i="2"/>
  <c r="A134" i="2"/>
  <c r="C133" i="2"/>
  <c r="E133" i="2"/>
  <c r="J133" i="2"/>
  <c r="I133" i="2"/>
  <c r="A133" i="2"/>
  <c r="AI296" i="1"/>
  <c r="AI300" i="1"/>
  <c r="AI299" i="1"/>
  <c r="AI297" i="1"/>
  <c r="AI298" i="1"/>
  <c r="AI293" i="1"/>
  <c r="AI295" i="1"/>
  <c r="AI294" i="1"/>
  <c r="J132" i="2"/>
  <c r="I132" i="2"/>
  <c r="J131" i="2"/>
  <c r="I131" i="2"/>
  <c r="E132" i="2"/>
  <c r="C132" i="2"/>
  <c r="A131" i="2"/>
  <c r="C131" i="2"/>
  <c r="E131" i="2"/>
  <c r="A130" i="2"/>
  <c r="J130" i="2"/>
  <c r="I130" i="2"/>
  <c r="E130" i="2"/>
  <c r="C130" i="2"/>
  <c r="A129" i="2"/>
  <c r="J129" i="2"/>
  <c r="I129" i="2"/>
  <c r="E129" i="2"/>
  <c r="C129" i="2"/>
  <c r="AI292" i="1"/>
  <c r="A128" i="2"/>
  <c r="I128" i="2"/>
  <c r="C128" i="2"/>
  <c r="E128" i="2"/>
  <c r="J128" i="2"/>
  <c r="AI289" i="1"/>
  <c r="AI291" i="1"/>
  <c r="AI285" i="1"/>
  <c r="AI290" i="1"/>
  <c r="AI288" i="1"/>
  <c r="AI286" i="1"/>
  <c r="AI287" i="1"/>
  <c r="I127" i="2"/>
  <c r="C127" i="2"/>
  <c r="E127" i="2"/>
  <c r="A127" i="2"/>
  <c r="J127" i="2"/>
  <c r="AG79" i="1"/>
  <c r="AI79" i="1" s="1"/>
  <c r="AI281" i="1"/>
  <c r="AI282" i="1"/>
  <c r="AI283" i="1"/>
  <c r="AI284" i="1"/>
  <c r="AI280" i="1"/>
  <c r="AI279" i="1"/>
  <c r="AI277" i="1"/>
  <c r="AI278" i="1"/>
  <c r="AI275" i="1"/>
  <c r="AI271" i="1"/>
  <c r="AI276" i="1"/>
  <c r="AI272" i="1"/>
  <c r="AI274" i="1"/>
  <c r="AI269" i="1"/>
  <c r="AI270" i="1"/>
  <c r="AI273" i="1"/>
  <c r="AI268" i="1"/>
  <c r="AI267" i="1"/>
  <c r="AI266" i="1"/>
  <c r="AG265" i="1"/>
  <c r="AG264" i="1"/>
  <c r="AI263" i="1"/>
  <c r="AI255" i="1"/>
  <c r="AI259" i="1"/>
  <c r="AI262" i="1"/>
  <c r="AI261" i="1"/>
  <c r="AI256" i="1"/>
  <c r="AI260" i="1"/>
  <c r="AI253" i="1"/>
  <c r="AI254" i="1"/>
  <c r="AI258" i="1"/>
  <c r="AI257" i="1"/>
  <c r="AI252" i="1"/>
  <c r="AI217" i="1"/>
  <c r="AI233" i="1"/>
  <c r="AQ233" i="1" s="1"/>
  <c r="AI251" i="1"/>
  <c r="AI7" i="1"/>
  <c r="AI15" i="1"/>
  <c r="AI23" i="1"/>
  <c r="AI31" i="1"/>
  <c r="AI47" i="1"/>
  <c r="AI55" i="1"/>
  <c r="AI62" i="1"/>
  <c r="AI78" i="1"/>
  <c r="AI137" i="1"/>
  <c r="AI185" i="1"/>
  <c r="AI191" i="1"/>
  <c r="AI70" i="1"/>
  <c r="AI113" i="1"/>
  <c r="AI177" i="1"/>
  <c r="AI205" i="1"/>
  <c r="AI216" i="1"/>
  <c r="AI123" i="1"/>
  <c r="AI203" i="1"/>
  <c r="AI246" i="1"/>
  <c r="AQ246" i="1" s="1"/>
  <c r="AI144" i="1"/>
  <c r="AI180" i="1"/>
  <c r="AI159" i="1"/>
  <c r="AI122" i="1"/>
  <c r="AI170" i="1"/>
  <c r="AI140" i="1"/>
  <c r="AI156" i="1"/>
  <c r="AI245" i="1"/>
  <c r="AQ245" i="1" s="1"/>
  <c r="AI149" i="1"/>
  <c r="AI197" i="1"/>
  <c r="AI182" i="1"/>
  <c r="AI198" i="1"/>
  <c r="AI76" i="1"/>
  <c r="AI97" i="1"/>
  <c r="AI114" i="1"/>
  <c r="AI130" i="1"/>
  <c r="AI141" i="1"/>
  <c r="AI232" i="1"/>
  <c r="AQ232" i="1" s="1"/>
  <c r="AI82" i="1"/>
  <c r="AI200" i="1"/>
  <c r="AI86" i="1"/>
  <c r="AI145" i="1"/>
  <c r="AI192" i="1"/>
  <c r="AI224" i="1"/>
  <c r="AQ224" i="1" s="1"/>
  <c r="AI240" i="1"/>
  <c r="AQ240" i="1" s="1"/>
  <c r="AI87" i="1"/>
  <c r="AI109" i="1"/>
  <c r="AI172" i="1"/>
  <c r="AI14" i="1"/>
  <c r="AI22" i="1"/>
  <c r="AI30" i="1"/>
  <c r="AI38" i="1"/>
  <c r="AI46" i="1"/>
  <c r="AI54" i="1"/>
  <c r="AI115" i="1"/>
  <c r="AI131" i="1"/>
  <c r="AI142" i="1"/>
  <c r="AI249" i="1"/>
  <c r="AQ249" i="1" s="1"/>
  <c r="AI5" i="1"/>
  <c r="AI21" i="1"/>
  <c r="AI29" i="1"/>
  <c r="AI124" i="1"/>
  <c r="AI165" i="1"/>
  <c r="AI202" i="1"/>
  <c r="AI207" i="1"/>
  <c r="AI218" i="1"/>
  <c r="AI93" i="1"/>
  <c r="AI98" i="1"/>
  <c r="AI125" i="1"/>
  <c r="AI151" i="1"/>
  <c r="AI161" i="1"/>
  <c r="AI219" i="1"/>
  <c r="AI235" i="1"/>
  <c r="AQ235" i="1" s="1"/>
  <c r="AI8" i="1"/>
  <c r="AI16" i="1"/>
  <c r="AI24" i="1"/>
  <c r="AI32" i="1"/>
  <c r="AI40" i="1"/>
  <c r="AI48" i="1"/>
  <c r="AI73" i="1"/>
  <c r="AI105" i="1"/>
  <c r="AI126" i="1"/>
  <c r="AI167" i="1"/>
  <c r="AI39" i="1"/>
  <c r="AI89" i="1"/>
  <c r="AI204" i="1"/>
  <c r="AI100" i="1"/>
  <c r="AI173" i="1"/>
  <c r="AI210" i="1"/>
  <c r="AI242" i="1"/>
  <c r="AQ242" i="1" s="1"/>
  <c r="AI168" i="1"/>
  <c r="AI189" i="1"/>
  <c r="AI221" i="1"/>
  <c r="AI101" i="1"/>
  <c r="AI117" i="1"/>
  <c r="AI138" i="1"/>
  <c r="AI174" i="1"/>
  <c r="AI195" i="1"/>
  <c r="AI211" i="1"/>
  <c r="AI11" i="1"/>
  <c r="AI19" i="1"/>
  <c r="AI27" i="1"/>
  <c r="AI35" i="1"/>
  <c r="AI43" i="1"/>
  <c r="AI51" i="1"/>
  <c r="AI59" i="1"/>
  <c r="AI75" i="1"/>
  <c r="AI91" i="1"/>
  <c r="AI107" i="1"/>
  <c r="AI128" i="1"/>
  <c r="AI143" i="1"/>
  <c r="AI153" i="1"/>
  <c r="AI163" i="1"/>
  <c r="AI178" i="1"/>
  <c r="AI183" i="1"/>
  <c r="AI223" i="1"/>
  <c r="AQ223" i="1" s="1"/>
  <c r="AI228" i="1"/>
  <c r="AQ228" i="1" s="1"/>
  <c r="AI238" i="1"/>
  <c r="AQ238" i="1" s="1"/>
  <c r="AI9" i="1"/>
  <c r="AI63" i="1"/>
  <c r="AI102" i="1"/>
  <c r="AI193" i="1"/>
  <c r="AI119" i="1"/>
  <c r="AI135" i="1"/>
  <c r="AI155" i="1"/>
  <c r="AI209" i="1"/>
  <c r="AI250" i="1"/>
  <c r="AQ250" i="1" s="1"/>
  <c r="AI81" i="1"/>
  <c r="AI3" i="1"/>
  <c r="AI120" i="1"/>
  <c r="AI136" i="1"/>
  <c r="AI65" i="1"/>
  <c r="AI241" i="1"/>
  <c r="AQ241" i="1" s="1"/>
  <c r="AI37" i="1"/>
  <c r="AI45" i="1"/>
  <c r="AI53" i="1"/>
  <c r="AI146" i="1"/>
  <c r="AI61" i="1"/>
  <c r="AI66" i="1"/>
  <c r="AI71" i="1"/>
  <c r="AI80" i="1"/>
  <c r="AI95" i="1"/>
  <c r="AI111" i="1"/>
  <c r="AI201" i="1"/>
  <c r="AI247" i="1"/>
  <c r="AQ247" i="1" s="1"/>
  <c r="AI92" i="1"/>
  <c r="AI213" i="1"/>
  <c r="AI4" i="1"/>
  <c r="AI18" i="1"/>
  <c r="AI26" i="1"/>
  <c r="AI34" i="1"/>
  <c r="AI42" i="1"/>
  <c r="AI50" i="1"/>
  <c r="AI58" i="1"/>
  <c r="AI68" i="1"/>
  <c r="AI83" i="1"/>
  <c r="AI88" i="1"/>
  <c r="AI162" i="1"/>
  <c r="AI187" i="1"/>
  <c r="AI104" i="1"/>
  <c r="AI237" i="1"/>
  <c r="AQ237" i="1" s="1"/>
  <c r="AI225" i="1"/>
  <c r="AQ225" i="1" s="1"/>
  <c r="AI230" i="1"/>
  <c r="AQ230" i="1" s="1"/>
  <c r="AI239" i="1"/>
  <c r="AQ239" i="1" s="1"/>
  <c r="AI133" i="1"/>
  <c r="AI244" i="1"/>
  <c r="AQ244" i="1" s="1"/>
  <c r="AI147" i="1"/>
  <c r="AI152" i="1"/>
  <c r="AI175" i="1"/>
  <c r="AI194" i="1"/>
  <c r="AI212" i="1"/>
  <c r="AI226" i="1"/>
  <c r="AQ226" i="1" s="1"/>
  <c r="AI6" i="1"/>
  <c r="AI12" i="1"/>
  <c r="AI20" i="1"/>
  <c r="AI28" i="1"/>
  <c r="AI36" i="1"/>
  <c r="AI44" i="1"/>
  <c r="AI52" i="1"/>
  <c r="AI60" i="1"/>
  <c r="AI69" i="1"/>
  <c r="AI96" i="1"/>
  <c r="AI110" i="1"/>
  <c r="AI129" i="1"/>
  <c r="AI181" i="1"/>
  <c r="AI190" i="1"/>
  <c r="AI208" i="1"/>
  <c r="AI222" i="1"/>
  <c r="AQ222" i="1" s="1"/>
  <c r="AI236" i="1"/>
  <c r="AQ236" i="1" s="1"/>
  <c r="AI74" i="1"/>
  <c r="AI106" i="1"/>
  <c r="AI139" i="1"/>
  <c r="AI148" i="1"/>
  <c r="AI157" i="1"/>
  <c r="AI166" i="1"/>
  <c r="AI171" i="1"/>
  <c r="AI176" i="1"/>
  <c r="AI186" i="1"/>
  <c r="AI199" i="1"/>
  <c r="AI227" i="1"/>
  <c r="AQ227" i="1" s="1"/>
  <c r="AI84" i="1"/>
  <c r="AI116" i="1"/>
  <c r="AI121" i="1"/>
  <c r="AI154" i="1"/>
  <c r="AI158" i="1"/>
  <c r="AI196" i="1"/>
  <c r="AI214" i="1"/>
  <c r="AI112" i="1"/>
  <c r="AI56" i="1"/>
  <c r="AI215" i="1"/>
  <c r="AI229" i="1"/>
  <c r="AQ229" i="1" s="1"/>
  <c r="AI85" i="1"/>
  <c r="AI94" i="1"/>
  <c r="AI103" i="1"/>
  <c r="AI108" i="1"/>
  <c r="AI132" i="1"/>
  <c r="AI164" i="1"/>
  <c r="AI188" i="1"/>
  <c r="AI243" i="1"/>
  <c r="AQ243" i="1" s="1"/>
  <c r="AI248" i="1"/>
  <c r="AQ248" i="1" s="1"/>
  <c r="AI10" i="1"/>
  <c r="AI17" i="1"/>
  <c r="AI25" i="1"/>
  <c r="AI33" i="1"/>
  <c r="AI41" i="1"/>
  <c r="AI49" i="1"/>
  <c r="AI57" i="1"/>
  <c r="AI67" i="1"/>
  <c r="AI72" i="1"/>
  <c r="AI77" i="1"/>
  <c r="AI90" i="1"/>
  <c r="AI99" i="1"/>
  <c r="AI127" i="1"/>
  <c r="AI160" i="1"/>
  <c r="AI169" i="1"/>
  <c r="AI179" i="1"/>
  <c r="AI184" i="1"/>
  <c r="AI206" i="1"/>
  <c r="AI220" i="1"/>
  <c r="AI234" i="1"/>
  <c r="AQ234" i="1" s="1"/>
  <c r="AI64" i="1"/>
  <c r="AI118" i="1"/>
  <c r="AI134" i="1"/>
  <c r="AI231" i="1"/>
  <c r="AQ231" i="1" s="1"/>
  <c r="AI13" i="1"/>
  <c r="AI150" i="1"/>
  <c r="AI265" i="1" l="1"/>
  <c r="AI264" i="1"/>
  <c r="H1151" i="9" l="1"/>
  <c r="H1150" i="9"/>
  <c r="H1149" i="9"/>
  <c r="H1148" i="9"/>
  <c r="H1147" i="9"/>
  <c r="H1146" i="9"/>
  <c r="H1145" i="9"/>
  <c r="H1144" i="9"/>
  <c r="H1143" i="9"/>
  <c r="H1141" i="9"/>
  <c r="H1140" i="9"/>
  <c r="H1139" i="9"/>
  <c r="AI1131" i="9"/>
  <c r="AH1131" i="9"/>
  <c r="AG1131" i="9"/>
  <c r="AF1131" i="9"/>
  <c r="S1131" i="9"/>
  <c r="AI1130" i="9"/>
  <c r="AH1130" i="9"/>
  <c r="AG1130" i="9"/>
  <c r="AF1130" i="9"/>
  <c r="S1130" i="9"/>
  <c r="AI1129" i="9"/>
  <c r="AH1129" i="9"/>
  <c r="AG1129" i="9"/>
  <c r="AF1129" i="9"/>
  <c r="S1129" i="9"/>
  <c r="AI1128" i="9"/>
  <c r="AH1128" i="9"/>
  <c r="AG1128" i="9"/>
  <c r="AF1128" i="9"/>
  <c r="S1128" i="9"/>
  <c r="AI1127" i="9"/>
  <c r="AH1127" i="9"/>
  <c r="AG1127" i="9"/>
  <c r="AF1127" i="9"/>
  <c r="S1127" i="9"/>
  <c r="AI1126" i="9"/>
  <c r="AH1126" i="9"/>
  <c r="AG1126" i="9"/>
  <c r="AF1126" i="9"/>
  <c r="S1126" i="9"/>
  <c r="AI1125" i="9"/>
  <c r="AH1125" i="9"/>
  <c r="AG1125" i="9"/>
  <c r="AF1125" i="9"/>
  <c r="S1125" i="9"/>
  <c r="AI1124" i="9"/>
  <c r="AH1124" i="9"/>
  <c r="AG1124" i="9"/>
  <c r="AF1124" i="9"/>
  <c r="S1124" i="9"/>
  <c r="AI1123" i="9"/>
  <c r="AH1123" i="9"/>
  <c r="AG1123" i="9"/>
  <c r="AF1123" i="9"/>
  <c r="S1123" i="9"/>
  <c r="AI1122" i="9"/>
  <c r="AH1122" i="9"/>
  <c r="AG1122" i="9"/>
  <c r="AF1122" i="9"/>
  <c r="S1122" i="9"/>
  <c r="AI1121" i="9"/>
  <c r="AH1121" i="9"/>
  <c r="AG1121" i="9"/>
  <c r="AF1121" i="9"/>
  <c r="S1121" i="9"/>
  <c r="AI1120" i="9"/>
  <c r="AH1120" i="9"/>
  <c r="AG1120" i="9"/>
  <c r="AF1120" i="9"/>
  <c r="S1120" i="9"/>
  <c r="AI1119" i="9"/>
  <c r="AH1119" i="9"/>
  <c r="AG1119" i="9"/>
  <c r="AF1119" i="9"/>
  <c r="S1119" i="9"/>
  <c r="AI1118" i="9"/>
  <c r="AH1118" i="9"/>
  <c r="AG1118" i="9"/>
  <c r="AF1118" i="9"/>
  <c r="S1118" i="9"/>
  <c r="AI1117" i="9"/>
  <c r="AH1117" i="9"/>
  <c r="AG1117" i="9"/>
  <c r="AF1117" i="9"/>
  <c r="S1117" i="9"/>
  <c r="AI1116" i="9"/>
  <c r="AH1116" i="9"/>
  <c r="AG1116" i="9"/>
  <c r="AF1116" i="9"/>
  <c r="S1116" i="9"/>
  <c r="AI1115" i="9"/>
  <c r="AH1115" i="9"/>
  <c r="AG1115" i="9"/>
  <c r="AF1115" i="9"/>
  <c r="S1115" i="9"/>
  <c r="AI1114" i="9"/>
  <c r="AH1114" i="9"/>
  <c r="AG1114" i="9"/>
  <c r="AF1114" i="9"/>
  <c r="S1114" i="9"/>
  <c r="AI1113" i="9"/>
  <c r="AH1113" i="9"/>
  <c r="AG1113" i="9"/>
  <c r="AF1113" i="9"/>
  <c r="S1113" i="9"/>
  <c r="AI1112" i="9"/>
  <c r="AH1112" i="9"/>
  <c r="AG1112" i="9"/>
  <c r="AF1112" i="9"/>
  <c r="S1112" i="9"/>
  <c r="AI1111" i="9"/>
  <c r="AH1111" i="9"/>
  <c r="AG1111" i="9"/>
  <c r="AF1111" i="9"/>
  <c r="S1111" i="9"/>
  <c r="AI1110" i="9"/>
  <c r="AH1110" i="9"/>
  <c r="AG1110" i="9"/>
  <c r="AF1110" i="9"/>
  <c r="S1110" i="9"/>
  <c r="AI1109" i="9"/>
  <c r="AH1109" i="9"/>
  <c r="AG1109" i="9"/>
  <c r="AF1109" i="9"/>
  <c r="S1109" i="9"/>
  <c r="AI1108" i="9"/>
  <c r="AH1108" i="9"/>
  <c r="AG1108" i="9"/>
  <c r="AF1108" i="9"/>
  <c r="S1108" i="9"/>
  <c r="AI1107" i="9"/>
  <c r="AH1107" i="9"/>
  <c r="AG1107" i="9"/>
  <c r="AF1107" i="9"/>
  <c r="S1107" i="9"/>
  <c r="AI1106" i="9"/>
  <c r="AH1106" i="9"/>
  <c r="AG1106" i="9"/>
  <c r="AF1106" i="9"/>
  <c r="S1106" i="9"/>
  <c r="AI1105" i="9"/>
  <c r="AH1105" i="9"/>
  <c r="AG1105" i="9"/>
  <c r="AF1105" i="9"/>
  <c r="S1105" i="9"/>
  <c r="AI1104" i="9"/>
  <c r="AH1104" i="9"/>
  <c r="AG1104" i="9"/>
  <c r="AF1104" i="9"/>
  <c r="S1104" i="9"/>
  <c r="AI1103" i="9"/>
  <c r="AH1103" i="9"/>
  <c r="AG1103" i="9"/>
  <c r="AF1103" i="9"/>
  <c r="S1103" i="9"/>
  <c r="AI1102" i="9"/>
  <c r="AH1102" i="9"/>
  <c r="AG1102" i="9"/>
  <c r="AF1102" i="9"/>
  <c r="S1102" i="9"/>
  <c r="AI1101" i="9"/>
  <c r="AH1101" i="9"/>
  <c r="AG1101" i="9"/>
  <c r="AF1101" i="9"/>
  <c r="S1101" i="9"/>
  <c r="AI1100" i="9"/>
  <c r="AH1100" i="9"/>
  <c r="AG1100" i="9"/>
  <c r="AF1100" i="9"/>
  <c r="S1100" i="9"/>
  <c r="AI1099" i="9"/>
  <c r="AH1099" i="9"/>
  <c r="AG1099" i="9"/>
  <c r="AF1099" i="9"/>
  <c r="S1099" i="9"/>
  <c r="AI1098" i="9"/>
  <c r="AH1098" i="9"/>
  <c r="AG1098" i="9"/>
  <c r="AF1098" i="9"/>
  <c r="S1098" i="9"/>
  <c r="AI1097" i="9"/>
  <c r="AH1097" i="9"/>
  <c r="AG1097" i="9"/>
  <c r="AF1097" i="9"/>
  <c r="S1097" i="9"/>
  <c r="AI1096" i="9"/>
  <c r="AH1096" i="9"/>
  <c r="AG1096" i="9"/>
  <c r="AF1096" i="9"/>
  <c r="S1096" i="9"/>
  <c r="AI1095" i="9"/>
  <c r="AH1095" i="9"/>
  <c r="AG1095" i="9"/>
  <c r="AF1095" i="9"/>
  <c r="S1095" i="9"/>
  <c r="AI1094" i="9"/>
  <c r="AH1094" i="9"/>
  <c r="AG1094" i="9"/>
  <c r="AF1094" i="9"/>
  <c r="S1094" i="9"/>
  <c r="AI1093" i="9"/>
  <c r="AH1093" i="9"/>
  <c r="AG1093" i="9"/>
  <c r="AF1093" i="9"/>
  <c r="S1093" i="9"/>
  <c r="AI1092" i="9"/>
  <c r="AH1092" i="9"/>
  <c r="AG1092" i="9"/>
  <c r="AF1092" i="9"/>
  <c r="S1092" i="9"/>
  <c r="AI1091" i="9"/>
  <c r="AH1091" i="9"/>
  <c r="AG1091" i="9"/>
  <c r="AF1091" i="9"/>
  <c r="S1091" i="9"/>
  <c r="AI1090" i="9"/>
  <c r="AH1090" i="9"/>
  <c r="AG1090" i="9"/>
  <c r="AF1090" i="9"/>
  <c r="S1090" i="9"/>
  <c r="AI1089" i="9"/>
  <c r="AH1089" i="9"/>
  <c r="AG1089" i="9"/>
  <c r="AF1089" i="9"/>
  <c r="S1089" i="9"/>
  <c r="AI1088" i="9"/>
  <c r="AH1088" i="9"/>
  <c r="AG1088" i="9"/>
  <c r="AF1088" i="9"/>
  <c r="S1088" i="9"/>
  <c r="AI1087" i="9"/>
  <c r="AH1087" i="9"/>
  <c r="AG1087" i="9"/>
  <c r="AF1087" i="9"/>
  <c r="S1087" i="9"/>
  <c r="AI1086" i="9"/>
  <c r="AH1086" i="9"/>
  <c r="AG1086" i="9"/>
  <c r="AF1086" i="9"/>
  <c r="S1086" i="9"/>
  <c r="AI1085" i="9"/>
  <c r="AH1085" i="9"/>
  <c r="AG1085" i="9"/>
  <c r="AF1085" i="9"/>
  <c r="S1085" i="9"/>
  <c r="AI1084" i="9"/>
  <c r="AH1084" i="9"/>
  <c r="AG1084" i="9"/>
  <c r="AF1084" i="9"/>
  <c r="S1084" i="9"/>
  <c r="AI1083" i="9"/>
  <c r="AH1083" i="9"/>
  <c r="AG1083" i="9"/>
  <c r="AF1083" i="9"/>
  <c r="S1083" i="9"/>
  <c r="AI1082" i="9"/>
  <c r="AH1082" i="9"/>
  <c r="AG1082" i="9"/>
  <c r="AF1082" i="9"/>
  <c r="S1082" i="9"/>
  <c r="AI1081" i="9"/>
  <c r="AH1081" i="9"/>
  <c r="AG1081" i="9"/>
  <c r="AF1081" i="9"/>
  <c r="S1081" i="9"/>
  <c r="AI1080" i="9"/>
  <c r="AH1080" i="9"/>
  <c r="AG1080" i="9"/>
  <c r="AF1080" i="9"/>
  <c r="S1080" i="9"/>
  <c r="AI1079" i="9"/>
  <c r="AH1079" i="9"/>
  <c r="AG1079" i="9"/>
  <c r="AF1079" i="9"/>
  <c r="S1079" i="9"/>
  <c r="AI1078" i="9"/>
  <c r="AH1078" i="9"/>
  <c r="AG1078" i="9"/>
  <c r="AF1078" i="9"/>
  <c r="S1078" i="9"/>
  <c r="AI1077" i="9"/>
  <c r="AH1077" i="9"/>
  <c r="AG1077" i="9"/>
  <c r="AF1077" i="9"/>
  <c r="S1077" i="9"/>
  <c r="AI1076" i="9"/>
  <c r="AH1076" i="9"/>
  <c r="AG1076" i="9"/>
  <c r="AF1076" i="9"/>
  <c r="S1076" i="9"/>
  <c r="AI1075" i="9"/>
  <c r="AH1075" i="9"/>
  <c r="AG1075" i="9"/>
  <c r="AF1075" i="9"/>
  <c r="S1075" i="9"/>
  <c r="AI1074" i="9"/>
  <c r="AH1074" i="9"/>
  <c r="AG1074" i="9"/>
  <c r="AF1074" i="9"/>
  <c r="S1074" i="9"/>
  <c r="AI1073" i="9"/>
  <c r="AH1073" i="9"/>
  <c r="AG1073" i="9"/>
  <c r="AF1073" i="9"/>
  <c r="S1073" i="9"/>
  <c r="AI1072" i="9"/>
  <c r="AH1072" i="9"/>
  <c r="AG1072" i="9"/>
  <c r="AF1072" i="9"/>
  <c r="S1072" i="9"/>
  <c r="AI1071" i="9"/>
  <c r="AH1071" i="9"/>
  <c r="AG1071" i="9"/>
  <c r="AF1071" i="9"/>
  <c r="S1071" i="9"/>
  <c r="AI1070" i="9"/>
  <c r="AH1070" i="9"/>
  <c r="AG1070" i="9"/>
  <c r="AF1070" i="9"/>
  <c r="S1070" i="9"/>
  <c r="AI1069" i="9"/>
  <c r="AH1069" i="9"/>
  <c r="AG1069" i="9"/>
  <c r="AF1069" i="9"/>
  <c r="S1069" i="9"/>
  <c r="AI1068" i="9"/>
  <c r="AH1068" i="9"/>
  <c r="AG1068" i="9"/>
  <c r="AF1068" i="9"/>
  <c r="S1068" i="9"/>
  <c r="AI1067" i="9"/>
  <c r="AH1067" i="9"/>
  <c r="AG1067" i="9"/>
  <c r="AF1067" i="9"/>
  <c r="S1067" i="9"/>
  <c r="AI1066" i="9"/>
  <c r="AH1066" i="9"/>
  <c r="AG1066" i="9"/>
  <c r="AF1066" i="9"/>
  <c r="S1066" i="9"/>
  <c r="AI1065" i="9"/>
  <c r="AH1065" i="9"/>
  <c r="AG1065" i="9"/>
  <c r="AF1065" i="9"/>
  <c r="S1065" i="9"/>
  <c r="AI1064" i="9"/>
  <c r="AH1064" i="9"/>
  <c r="AG1064" i="9"/>
  <c r="AF1064" i="9"/>
  <c r="S1064" i="9"/>
  <c r="AI1063" i="9"/>
  <c r="AH1063" i="9"/>
  <c r="AG1063" i="9"/>
  <c r="AF1063" i="9"/>
  <c r="S1063" i="9"/>
  <c r="AI1062" i="9"/>
  <c r="AH1062" i="9"/>
  <c r="AG1062" i="9"/>
  <c r="AF1062" i="9"/>
  <c r="S1062" i="9"/>
  <c r="AI1061" i="9"/>
  <c r="AH1061" i="9"/>
  <c r="AG1061" i="9"/>
  <c r="AF1061" i="9"/>
  <c r="S1061" i="9"/>
  <c r="AI1060" i="9"/>
  <c r="AH1060" i="9"/>
  <c r="AG1060" i="9"/>
  <c r="AF1060" i="9"/>
  <c r="S1060" i="9"/>
  <c r="AI1059" i="9"/>
  <c r="AH1059" i="9"/>
  <c r="AG1059" i="9"/>
  <c r="AF1059" i="9"/>
  <c r="S1059" i="9"/>
  <c r="AI1058" i="9"/>
  <c r="AH1058" i="9"/>
  <c r="AG1058" i="9"/>
  <c r="AF1058" i="9"/>
  <c r="S1058" i="9"/>
  <c r="AI1057" i="9"/>
  <c r="AH1057" i="9"/>
  <c r="AG1057" i="9"/>
  <c r="AF1057" i="9"/>
  <c r="S1057" i="9"/>
  <c r="AI1056" i="9"/>
  <c r="AH1056" i="9"/>
  <c r="AG1056" i="9"/>
  <c r="AF1056" i="9"/>
  <c r="S1056" i="9"/>
  <c r="AI1055" i="9"/>
  <c r="AH1055" i="9"/>
  <c r="AG1055" i="9"/>
  <c r="AF1055" i="9"/>
  <c r="S1055" i="9"/>
  <c r="AI1054" i="9"/>
  <c r="AH1054" i="9"/>
  <c r="AG1054" i="9"/>
  <c r="AF1054" i="9"/>
  <c r="S1054" i="9"/>
  <c r="AI1053" i="9"/>
  <c r="AH1053" i="9"/>
  <c r="AG1053" i="9"/>
  <c r="AF1053" i="9"/>
  <c r="S1053" i="9"/>
  <c r="AI1052" i="9"/>
  <c r="AH1052" i="9"/>
  <c r="AG1052" i="9"/>
  <c r="AF1052" i="9"/>
  <c r="S1052" i="9"/>
  <c r="AI1051" i="9"/>
  <c r="AH1051" i="9"/>
  <c r="AG1051" i="9"/>
  <c r="AF1051" i="9"/>
  <c r="S1051" i="9"/>
  <c r="AI1050" i="9"/>
  <c r="AH1050" i="9"/>
  <c r="AG1050" i="9"/>
  <c r="AF1050" i="9"/>
  <c r="S1050" i="9"/>
  <c r="AI1049" i="9"/>
  <c r="AH1049" i="9"/>
  <c r="AG1049" i="9"/>
  <c r="AF1049" i="9"/>
  <c r="S1049" i="9"/>
  <c r="AI1048" i="9"/>
  <c r="AH1048" i="9"/>
  <c r="AG1048" i="9"/>
  <c r="AF1048" i="9"/>
  <c r="S1048" i="9"/>
  <c r="AI1047" i="9"/>
  <c r="AH1047" i="9"/>
  <c r="AG1047" i="9"/>
  <c r="AF1047" i="9"/>
  <c r="S1047" i="9"/>
  <c r="AI1046" i="9"/>
  <c r="AH1046" i="9"/>
  <c r="AG1046" i="9"/>
  <c r="AF1046" i="9"/>
  <c r="S1046" i="9"/>
  <c r="AI1045" i="9"/>
  <c r="AH1045" i="9"/>
  <c r="AG1045" i="9"/>
  <c r="AF1045" i="9"/>
  <c r="S1045" i="9"/>
  <c r="AI1044" i="9"/>
  <c r="AH1044" i="9"/>
  <c r="AG1044" i="9"/>
  <c r="AF1044" i="9"/>
  <c r="S1044" i="9"/>
  <c r="AI1043" i="9"/>
  <c r="AH1043" i="9"/>
  <c r="AG1043" i="9"/>
  <c r="AF1043" i="9"/>
  <c r="S1043" i="9"/>
  <c r="AI1042" i="9"/>
  <c r="AH1042" i="9"/>
  <c r="AG1042" i="9"/>
  <c r="AF1042" i="9"/>
  <c r="S1042" i="9"/>
  <c r="AI1041" i="9"/>
  <c r="AH1041" i="9"/>
  <c r="AG1041" i="9"/>
  <c r="AF1041" i="9"/>
  <c r="S1041" i="9"/>
  <c r="AI1040" i="9"/>
  <c r="AH1040" i="9"/>
  <c r="AG1040" i="9"/>
  <c r="AF1040" i="9"/>
  <c r="S1040" i="9"/>
  <c r="AI1039" i="9"/>
  <c r="AH1039" i="9"/>
  <c r="AG1039" i="9"/>
  <c r="AF1039" i="9"/>
  <c r="S1039" i="9"/>
  <c r="AI1038" i="9"/>
  <c r="AH1038" i="9"/>
  <c r="AG1038" i="9"/>
  <c r="AF1038" i="9"/>
  <c r="S1038" i="9"/>
  <c r="AI1037" i="9"/>
  <c r="AH1037" i="9"/>
  <c r="AG1037" i="9"/>
  <c r="AF1037" i="9"/>
  <c r="S1037" i="9"/>
  <c r="AI1036" i="9"/>
  <c r="AH1036" i="9"/>
  <c r="AG1036" i="9"/>
  <c r="AF1036" i="9"/>
  <c r="S1036" i="9"/>
  <c r="AI1035" i="9"/>
  <c r="AH1035" i="9"/>
  <c r="AG1035" i="9"/>
  <c r="AF1035" i="9"/>
  <c r="S1035" i="9"/>
  <c r="AI1034" i="9"/>
  <c r="AH1034" i="9"/>
  <c r="AG1034" i="9"/>
  <c r="AF1034" i="9"/>
  <c r="S1034" i="9"/>
  <c r="AI1033" i="9"/>
  <c r="AH1033" i="9"/>
  <c r="AG1033" i="9"/>
  <c r="AF1033" i="9"/>
  <c r="S1033" i="9"/>
  <c r="AI1032" i="9"/>
  <c r="AH1032" i="9"/>
  <c r="AG1032" i="9"/>
  <c r="AF1032" i="9"/>
  <c r="S1032" i="9"/>
  <c r="AI1031" i="9"/>
  <c r="AH1031" i="9"/>
  <c r="AG1031" i="9"/>
  <c r="AF1031" i="9"/>
  <c r="S1031" i="9"/>
  <c r="AI1030" i="9"/>
  <c r="AH1030" i="9"/>
  <c r="AG1030" i="9"/>
  <c r="AF1030" i="9"/>
  <c r="S1030" i="9"/>
  <c r="AI1029" i="9"/>
  <c r="AH1029" i="9"/>
  <c r="AG1029" i="9"/>
  <c r="AF1029" i="9"/>
  <c r="S1029" i="9"/>
  <c r="AI1028" i="9"/>
  <c r="AH1028" i="9"/>
  <c r="AG1028" i="9"/>
  <c r="AF1028" i="9"/>
  <c r="S1028" i="9"/>
  <c r="AI1027" i="9"/>
  <c r="AH1027" i="9"/>
  <c r="AG1027" i="9"/>
  <c r="AF1027" i="9"/>
  <c r="S1027" i="9"/>
  <c r="AI1026" i="9"/>
  <c r="AH1026" i="9"/>
  <c r="AG1026" i="9"/>
  <c r="AF1026" i="9"/>
  <c r="S1026" i="9"/>
  <c r="AI1025" i="9"/>
  <c r="AH1025" i="9"/>
  <c r="AG1025" i="9"/>
  <c r="AF1025" i="9"/>
  <c r="S1025" i="9"/>
  <c r="AI1024" i="9"/>
  <c r="AH1024" i="9"/>
  <c r="AG1024" i="9"/>
  <c r="AF1024" i="9"/>
  <c r="S1024" i="9"/>
  <c r="AI1023" i="9"/>
  <c r="AH1023" i="9"/>
  <c r="AG1023" i="9"/>
  <c r="AF1023" i="9"/>
  <c r="S1023" i="9"/>
  <c r="AI1022" i="9"/>
  <c r="AH1022" i="9"/>
  <c r="AG1022" i="9"/>
  <c r="AF1022" i="9"/>
  <c r="S1022" i="9"/>
  <c r="AI1021" i="9"/>
  <c r="AH1021" i="9"/>
  <c r="AG1021" i="9"/>
  <c r="AF1021" i="9"/>
  <c r="S1021" i="9"/>
  <c r="AI1020" i="9"/>
  <c r="AH1020" i="9"/>
  <c r="AG1020" i="9"/>
  <c r="AF1020" i="9"/>
  <c r="S1020" i="9"/>
  <c r="AI1019" i="9"/>
  <c r="AH1019" i="9"/>
  <c r="AG1019" i="9"/>
  <c r="AF1019" i="9"/>
  <c r="S1019" i="9"/>
  <c r="AI1018" i="9"/>
  <c r="AH1018" i="9"/>
  <c r="AG1018" i="9"/>
  <c r="AF1018" i="9"/>
  <c r="S1018" i="9"/>
  <c r="AI1017" i="9"/>
  <c r="AH1017" i="9"/>
  <c r="AG1017" i="9"/>
  <c r="AF1017" i="9"/>
  <c r="S1017" i="9"/>
  <c r="AI1016" i="9"/>
  <c r="AH1016" i="9"/>
  <c r="AG1016" i="9"/>
  <c r="AF1016" i="9"/>
  <c r="S1016" i="9"/>
  <c r="AI1015" i="9"/>
  <c r="AH1015" i="9"/>
  <c r="AG1015" i="9"/>
  <c r="AF1015" i="9"/>
  <c r="S1015" i="9"/>
  <c r="AI1014" i="9"/>
  <c r="AH1014" i="9"/>
  <c r="AG1014" i="9"/>
  <c r="AF1014" i="9"/>
  <c r="S1014" i="9"/>
  <c r="AI1013" i="9"/>
  <c r="AH1013" i="9"/>
  <c r="AG1013" i="9"/>
  <c r="AF1013" i="9"/>
  <c r="S1013" i="9"/>
  <c r="AI1012" i="9"/>
  <c r="AH1012" i="9"/>
  <c r="AG1012" i="9"/>
  <c r="AF1012" i="9"/>
  <c r="S1012" i="9"/>
  <c r="AI1011" i="9"/>
  <c r="AH1011" i="9"/>
  <c r="AG1011" i="9"/>
  <c r="AF1011" i="9"/>
  <c r="S1011" i="9"/>
  <c r="AI1010" i="9"/>
  <c r="AH1010" i="9"/>
  <c r="AG1010" i="9"/>
  <c r="AF1010" i="9"/>
  <c r="S1010" i="9"/>
  <c r="AI1009" i="9"/>
  <c r="AH1009" i="9"/>
  <c r="AG1009" i="9"/>
  <c r="AF1009" i="9"/>
  <c r="S1009" i="9"/>
  <c r="AI1008" i="9"/>
  <c r="AH1008" i="9"/>
  <c r="AG1008" i="9"/>
  <c r="AF1008" i="9"/>
  <c r="S1008" i="9"/>
  <c r="AI1007" i="9"/>
  <c r="AH1007" i="9"/>
  <c r="AG1007" i="9"/>
  <c r="AF1007" i="9"/>
  <c r="S1007" i="9"/>
  <c r="AI1006" i="9"/>
  <c r="AH1006" i="9"/>
  <c r="AG1006" i="9"/>
  <c r="AF1006" i="9"/>
  <c r="S1006" i="9"/>
  <c r="AI1005" i="9"/>
  <c r="AH1005" i="9"/>
  <c r="AG1005" i="9"/>
  <c r="AF1005" i="9"/>
  <c r="S1005" i="9"/>
  <c r="AI1004" i="9"/>
  <c r="AH1004" i="9"/>
  <c r="AG1004" i="9"/>
  <c r="AF1004" i="9"/>
  <c r="S1004" i="9"/>
  <c r="AI1003" i="9"/>
  <c r="AH1003" i="9"/>
  <c r="AG1003" i="9"/>
  <c r="AF1003" i="9"/>
  <c r="S1003" i="9"/>
  <c r="AI1002" i="9"/>
  <c r="AH1002" i="9"/>
  <c r="AG1002" i="9"/>
  <c r="AF1002" i="9"/>
  <c r="S1002" i="9"/>
  <c r="AI1001" i="9"/>
  <c r="AH1001" i="9"/>
  <c r="AG1001" i="9"/>
  <c r="AF1001" i="9"/>
  <c r="S1001" i="9"/>
  <c r="AI1000" i="9"/>
  <c r="AH1000" i="9"/>
  <c r="AG1000" i="9"/>
  <c r="AF1000" i="9"/>
  <c r="S1000" i="9"/>
  <c r="AI999" i="9"/>
  <c r="AH999" i="9"/>
  <c r="AG999" i="9"/>
  <c r="AF999" i="9"/>
  <c r="S999" i="9"/>
  <c r="AI998" i="9"/>
  <c r="AH998" i="9"/>
  <c r="AG998" i="9"/>
  <c r="AF998" i="9"/>
  <c r="S998" i="9"/>
  <c r="AI997" i="9"/>
  <c r="AH997" i="9"/>
  <c r="AG997" i="9"/>
  <c r="AF997" i="9"/>
  <c r="S997" i="9"/>
  <c r="AI996" i="9"/>
  <c r="AH996" i="9"/>
  <c r="AG996" i="9"/>
  <c r="AF996" i="9"/>
  <c r="S996" i="9"/>
  <c r="AI995" i="9"/>
  <c r="AH995" i="9"/>
  <c r="AG995" i="9"/>
  <c r="AF995" i="9"/>
  <c r="S995" i="9"/>
  <c r="AI994" i="9"/>
  <c r="AH994" i="9"/>
  <c r="AG994" i="9"/>
  <c r="AF994" i="9"/>
  <c r="S994" i="9"/>
  <c r="AI993" i="9"/>
  <c r="AH993" i="9"/>
  <c r="AG993" i="9"/>
  <c r="AF993" i="9"/>
  <c r="S993" i="9"/>
  <c r="AI992" i="9"/>
  <c r="AH992" i="9"/>
  <c r="AG992" i="9"/>
  <c r="AF992" i="9"/>
  <c r="S992" i="9"/>
  <c r="AI991" i="9"/>
  <c r="AH991" i="9"/>
  <c r="AG991" i="9"/>
  <c r="AF991" i="9"/>
  <c r="S991" i="9"/>
  <c r="AI990" i="9"/>
  <c r="AH990" i="9"/>
  <c r="AG990" i="9"/>
  <c r="AF990" i="9"/>
  <c r="S990" i="9"/>
  <c r="AI989" i="9"/>
  <c r="AH989" i="9"/>
  <c r="AG989" i="9"/>
  <c r="AF989" i="9"/>
  <c r="S989" i="9"/>
  <c r="AI988" i="9"/>
  <c r="AH988" i="9"/>
  <c r="AG988" i="9"/>
  <c r="AF988" i="9"/>
  <c r="S988" i="9"/>
  <c r="AI987" i="9"/>
  <c r="AH987" i="9"/>
  <c r="AG987" i="9"/>
  <c r="AF987" i="9"/>
  <c r="S987" i="9"/>
  <c r="AI986" i="9"/>
  <c r="AH986" i="9"/>
  <c r="AG986" i="9"/>
  <c r="AF986" i="9"/>
  <c r="S986" i="9"/>
  <c r="AI985" i="9"/>
  <c r="AH985" i="9"/>
  <c r="AG985" i="9"/>
  <c r="AF985" i="9"/>
  <c r="S985" i="9"/>
  <c r="AI984" i="9"/>
  <c r="AH984" i="9"/>
  <c r="AG984" i="9"/>
  <c r="AF984" i="9"/>
  <c r="S984" i="9"/>
  <c r="AI983" i="9"/>
  <c r="AH983" i="9"/>
  <c r="AG983" i="9"/>
  <c r="AF983" i="9"/>
  <c r="S983" i="9"/>
  <c r="AI982" i="9"/>
  <c r="AH982" i="9"/>
  <c r="AG982" i="9"/>
  <c r="AF982" i="9"/>
  <c r="S982" i="9"/>
  <c r="AI981" i="9"/>
  <c r="AH981" i="9"/>
  <c r="AG981" i="9"/>
  <c r="AF981" i="9"/>
  <c r="S981" i="9"/>
  <c r="AI980" i="9"/>
  <c r="AH980" i="9"/>
  <c r="AG980" i="9"/>
  <c r="AF980" i="9"/>
  <c r="S980" i="9"/>
  <c r="AI979" i="9"/>
  <c r="AH979" i="9"/>
  <c r="AG979" i="9"/>
  <c r="AF979" i="9"/>
  <c r="S979" i="9"/>
  <c r="AI978" i="9"/>
  <c r="AH978" i="9"/>
  <c r="AG978" i="9"/>
  <c r="AF978" i="9"/>
  <c r="S978" i="9"/>
  <c r="AI977" i="9"/>
  <c r="AH977" i="9"/>
  <c r="AG977" i="9"/>
  <c r="AF977" i="9"/>
  <c r="S977" i="9"/>
  <c r="AI976" i="9"/>
  <c r="AH976" i="9"/>
  <c r="AG976" i="9"/>
  <c r="AF976" i="9"/>
  <c r="S976" i="9"/>
  <c r="AI975" i="9"/>
  <c r="AH975" i="9"/>
  <c r="AG975" i="9"/>
  <c r="AF975" i="9"/>
  <c r="S975" i="9"/>
  <c r="AI974" i="9"/>
  <c r="AH974" i="9"/>
  <c r="AG974" i="9"/>
  <c r="AF974" i="9"/>
  <c r="S974" i="9"/>
  <c r="AI973" i="9"/>
  <c r="AH973" i="9"/>
  <c r="AG973" i="9"/>
  <c r="AF973" i="9"/>
  <c r="S973" i="9"/>
  <c r="AI972" i="9"/>
  <c r="AH972" i="9"/>
  <c r="AG972" i="9"/>
  <c r="AF972" i="9"/>
  <c r="S972" i="9"/>
  <c r="AI971" i="9"/>
  <c r="AH971" i="9"/>
  <c r="AG971" i="9"/>
  <c r="AF971" i="9"/>
  <c r="S971" i="9"/>
  <c r="AI970" i="9"/>
  <c r="AH970" i="9"/>
  <c r="AG970" i="9"/>
  <c r="AF970" i="9"/>
  <c r="S970" i="9"/>
  <c r="AI969" i="9"/>
  <c r="AH969" i="9"/>
  <c r="AG969" i="9"/>
  <c r="AF969" i="9"/>
  <c r="S969" i="9"/>
  <c r="AI968" i="9"/>
  <c r="AH968" i="9"/>
  <c r="AG968" i="9"/>
  <c r="AF968" i="9"/>
  <c r="S968" i="9"/>
  <c r="AI967" i="9"/>
  <c r="AH967" i="9"/>
  <c r="AG967" i="9"/>
  <c r="AF967" i="9"/>
  <c r="S967" i="9"/>
  <c r="AI966" i="9"/>
  <c r="AH966" i="9"/>
  <c r="AG966" i="9"/>
  <c r="AF966" i="9"/>
  <c r="S966" i="9"/>
  <c r="AI965" i="9"/>
  <c r="AH965" i="9"/>
  <c r="AG965" i="9"/>
  <c r="AF965" i="9"/>
  <c r="S965" i="9"/>
  <c r="AI964" i="9"/>
  <c r="AH964" i="9"/>
  <c r="AG964" i="9"/>
  <c r="AF964" i="9"/>
  <c r="S964" i="9"/>
  <c r="AI963" i="9"/>
  <c r="AH963" i="9"/>
  <c r="AG963" i="9"/>
  <c r="AF963" i="9"/>
  <c r="S963" i="9"/>
  <c r="AI962" i="9"/>
  <c r="AH962" i="9"/>
  <c r="AG962" i="9"/>
  <c r="AF962" i="9"/>
  <c r="S962" i="9"/>
  <c r="AI961" i="9"/>
  <c r="AH961" i="9"/>
  <c r="AG961" i="9"/>
  <c r="AF961" i="9"/>
  <c r="S961" i="9"/>
  <c r="AI960" i="9"/>
  <c r="AH960" i="9"/>
  <c r="AG960" i="9"/>
  <c r="AF960" i="9"/>
  <c r="S960" i="9"/>
  <c r="AI959" i="9"/>
  <c r="AH959" i="9"/>
  <c r="AG959" i="9"/>
  <c r="AF959" i="9"/>
  <c r="S959" i="9"/>
  <c r="AI958" i="9"/>
  <c r="AH958" i="9"/>
  <c r="AG958" i="9"/>
  <c r="AF958" i="9"/>
  <c r="S958" i="9"/>
  <c r="AI957" i="9"/>
  <c r="AH957" i="9"/>
  <c r="AG957" i="9"/>
  <c r="AF957" i="9"/>
  <c r="S957" i="9"/>
  <c r="AI956" i="9"/>
  <c r="AH956" i="9"/>
  <c r="AG956" i="9"/>
  <c r="AF956" i="9"/>
  <c r="S956" i="9"/>
  <c r="AI955" i="9"/>
  <c r="AH955" i="9"/>
  <c r="AG955" i="9"/>
  <c r="AF955" i="9"/>
  <c r="S955" i="9"/>
  <c r="AI954" i="9"/>
  <c r="AH954" i="9"/>
  <c r="AG954" i="9"/>
  <c r="AF954" i="9"/>
  <c r="S954" i="9"/>
  <c r="AI953" i="9"/>
  <c r="AH953" i="9"/>
  <c r="AG953" i="9"/>
  <c r="AF953" i="9"/>
  <c r="S953" i="9"/>
  <c r="AI952" i="9"/>
  <c r="AH952" i="9"/>
  <c r="AG952" i="9"/>
  <c r="AF952" i="9"/>
  <c r="S952" i="9"/>
  <c r="AI951" i="9"/>
  <c r="AH951" i="9"/>
  <c r="AG951" i="9"/>
  <c r="AF951" i="9"/>
  <c r="S951" i="9"/>
  <c r="AI950" i="9"/>
  <c r="AH950" i="9"/>
  <c r="AG950" i="9"/>
  <c r="AF950" i="9"/>
  <c r="S950" i="9"/>
  <c r="AI949" i="9"/>
  <c r="AH949" i="9"/>
  <c r="AG949" i="9"/>
  <c r="AF949" i="9"/>
  <c r="S949" i="9"/>
  <c r="AI948" i="9"/>
  <c r="AH948" i="9"/>
  <c r="AG948" i="9"/>
  <c r="AF948" i="9"/>
  <c r="S948" i="9"/>
  <c r="AI947" i="9"/>
  <c r="AH947" i="9"/>
  <c r="AG947" i="9"/>
  <c r="AF947" i="9"/>
  <c r="S947" i="9"/>
  <c r="AI946" i="9"/>
  <c r="AH946" i="9"/>
  <c r="AG946" i="9"/>
  <c r="AF946" i="9"/>
  <c r="S946" i="9"/>
  <c r="AI945" i="9"/>
  <c r="AH945" i="9"/>
  <c r="AG945" i="9"/>
  <c r="AF945" i="9"/>
  <c r="S945" i="9"/>
  <c r="AI944" i="9"/>
  <c r="AH944" i="9"/>
  <c r="AG944" i="9"/>
  <c r="AF944" i="9"/>
  <c r="S944" i="9"/>
  <c r="AI943" i="9"/>
  <c r="AH943" i="9"/>
  <c r="AG943" i="9"/>
  <c r="AF943" i="9"/>
  <c r="S943" i="9"/>
  <c r="AI942" i="9"/>
  <c r="AH942" i="9"/>
  <c r="AG942" i="9"/>
  <c r="AF942" i="9"/>
  <c r="S942" i="9"/>
  <c r="AI941" i="9"/>
  <c r="AH941" i="9"/>
  <c r="AG941" i="9"/>
  <c r="AF941" i="9"/>
  <c r="S941" i="9"/>
  <c r="AI940" i="9"/>
  <c r="AH940" i="9"/>
  <c r="AG940" i="9"/>
  <c r="AF940" i="9"/>
  <c r="S940" i="9"/>
  <c r="AI939" i="9"/>
  <c r="AH939" i="9"/>
  <c r="AG939" i="9"/>
  <c r="AF939" i="9"/>
  <c r="S939" i="9"/>
  <c r="AI938" i="9"/>
  <c r="AH938" i="9"/>
  <c r="AG938" i="9"/>
  <c r="AF938" i="9"/>
  <c r="S938" i="9"/>
  <c r="AI937" i="9"/>
  <c r="AH937" i="9"/>
  <c r="AG937" i="9"/>
  <c r="AF937" i="9"/>
  <c r="S937" i="9"/>
  <c r="AI936" i="9"/>
  <c r="AH936" i="9"/>
  <c r="AG936" i="9"/>
  <c r="AF936" i="9"/>
  <c r="S936" i="9"/>
  <c r="AI935" i="9"/>
  <c r="AH935" i="9"/>
  <c r="AG935" i="9"/>
  <c r="AF935" i="9"/>
  <c r="S935" i="9"/>
  <c r="AI934" i="9"/>
  <c r="AH934" i="9"/>
  <c r="AG934" i="9"/>
  <c r="AF934" i="9"/>
  <c r="S934" i="9"/>
  <c r="AI933" i="9"/>
  <c r="AH933" i="9"/>
  <c r="AG933" i="9"/>
  <c r="AF933" i="9"/>
  <c r="S933" i="9"/>
  <c r="AI932" i="9"/>
  <c r="AH932" i="9"/>
  <c r="AG932" i="9"/>
  <c r="AF932" i="9"/>
  <c r="S932" i="9"/>
  <c r="AI931" i="9"/>
  <c r="AH931" i="9"/>
  <c r="AG931" i="9"/>
  <c r="AF931" i="9"/>
  <c r="S931" i="9"/>
  <c r="AI930" i="9"/>
  <c r="AH930" i="9"/>
  <c r="AG930" i="9"/>
  <c r="AF930" i="9"/>
  <c r="S930" i="9"/>
  <c r="AI929" i="9"/>
  <c r="AH929" i="9"/>
  <c r="AG929" i="9"/>
  <c r="AF929" i="9"/>
  <c r="S929" i="9"/>
  <c r="AI928" i="9"/>
  <c r="AH928" i="9"/>
  <c r="AG928" i="9"/>
  <c r="AF928" i="9"/>
  <c r="S928" i="9"/>
  <c r="AI927" i="9"/>
  <c r="AH927" i="9"/>
  <c r="AG927" i="9"/>
  <c r="AF927" i="9"/>
  <c r="S927" i="9"/>
  <c r="AI926" i="9"/>
  <c r="AH926" i="9"/>
  <c r="AG926" i="9"/>
  <c r="AF926" i="9"/>
  <c r="S926" i="9"/>
  <c r="AI925" i="9"/>
  <c r="AH925" i="9"/>
  <c r="AG925" i="9"/>
  <c r="AF925" i="9"/>
  <c r="S925" i="9"/>
  <c r="AI924" i="9"/>
  <c r="AH924" i="9"/>
  <c r="AG924" i="9"/>
  <c r="AF924" i="9"/>
  <c r="S924" i="9"/>
  <c r="AI923" i="9"/>
  <c r="AH923" i="9"/>
  <c r="AG923" i="9"/>
  <c r="AF923" i="9"/>
  <c r="S923" i="9"/>
  <c r="AI922" i="9"/>
  <c r="AH922" i="9"/>
  <c r="AG922" i="9"/>
  <c r="AF922" i="9"/>
  <c r="S922" i="9"/>
  <c r="AI921" i="9"/>
  <c r="AH921" i="9"/>
  <c r="AG921" i="9"/>
  <c r="AF921" i="9"/>
  <c r="S921" i="9"/>
  <c r="AI920" i="9"/>
  <c r="AH920" i="9"/>
  <c r="AG920" i="9"/>
  <c r="AF920" i="9"/>
  <c r="S920" i="9"/>
  <c r="AI919" i="9"/>
  <c r="AH919" i="9"/>
  <c r="AG919" i="9"/>
  <c r="AF919" i="9"/>
  <c r="S919" i="9"/>
  <c r="AI918" i="9"/>
  <c r="AH918" i="9"/>
  <c r="AG918" i="9"/>
  <c r="AF918" i="9"/>
  <c r="S918" i="9"/>
  <c r="AI917" i="9"/>
  <c r="AH917" i="9"/>
  <c r="AG917" i="9"/>
  <c r="AF917" i="9"/>
  <c r="S917" i="9"/>
  <c r="AI916" i="9"/>
  <c r="AH916" i="9"/>
  <c r="AG916" i="9"/>
  <c r="AF916" i="9"/>
  <c r="S916" i="9"/>
  <c r="AI915" i="9"/>
  <c r="AH915" i="9"/>
  <c r="AG915" i="9"/>
  <c r="AF915" i="9"/>
  <c r="S915" i="9"/>
  <c r="AI914" i="9"/>
  <c r="AH914" i="9"/>
  <c r="AG914" i="9"/>
  <c r="AF914" i="9"/>
  <c r="S914" i="9"/>
  <c r="AI913" i="9"/>
  <c r="AH913" i="9"/>
  <c r="AG913" i="9"/>
  <c r="AF913" i="9"/>
  <c r="S913" i="9"/>
  <c r="AI912" i="9"/>
  <c r="AH912" i="9"/>
  <c r="AG912" i="9"/>
  <c r="AF912" i="9"/>
  <c r="S912" i="9"/>
  <c r="AI911" i="9"/>
  <c r="AH911" i="9"/>
  <c r="AG911" i="9"/>
  <c r="AF911" i="9"/>
  <c r="S911" i="9"/>
  <c r="AI910" i="9"/>
  <c r="AH910" i="9"/>
  <c r="AG910" i="9"/>
  <c r="AF910" i="9"/>
  <c r="S910" i="9"/>
  <c r="AI909" i="9"/>
  <c r="AH909" i="9"/>
  <c r="AG909" i="9"/>
  <c r="AF909" i="9"/>
  <c r="S909" i="9"/>
  <c r="AI908" i="9"/>
  <c r="AH908" i="9"/>
  <c r="AG908" i="9"/>
  <c r="AF908" i="9"/>
  <c r="S908" i="9"/>
  <c r="AI907" i="9"/>
  <c r="AH907" i="9"/>
  <c r="AG907" i="9"/>
  <c r="AF907" i="9"/>
  <c r="S907" i="9"/>
  <c r="AI906" i="9"/>
  <c r="AH906" i="9"/>
  <c r="AG906" i="9"/>
  <c r="AF906" i="9"/>
  <c r="S906" i="9"/>
  <c r="AI905" i="9"/>
  <c r="AH905" i="9"/>
  <c r="AG905" i="9"/>
  <c r="AF905" i="9"/>
  <c r="S905" i="9"/>
  <c r="AI904" i="9"/>
  <c r="AH904" i="9"/>
  <c r="AG904" i="9"/>
  <c r="AF904" i="9"/>
  <c r="S904" i="9"/>
  <c r="AI903" i="9"/>
  <c r="AH903" i="9"/>
  <c r="AG903" i="9"/>
  <c r="AF903" i="9"/>
  <c r="S903" i="9"/>
  <c r="AI902" i="9"/>
  <c r="AH902" i="9"/>
  <c r="AG902" i="9"/>
  <c r="AF902" i="9"/>
  <c r="S902" i="9"/>
  <c r="AI901" i="9"/>
  <c r="AH901" i="9"/>
  <c r="AG901" i="9"/>
  <c r="AF901" i="9"/>
  <c r="S901" i="9"/>
  <c r="AI900" i="9"/>
  <c r="AH900" i="9"/>
  <c r="AG900" i="9"/>
  <c r="AF900" i="9"/>
  <c r="S900" i="9"/>
  <c r="AI899" i="9"/>
  <c r="AH899" i="9"/>
  <c r="AG899" i="9"/>
  <c r="AF899" i="9"/>
  <c r="S899" i="9"/>
  <c r="AI898" i="9"/>
  <c r="AH898" i="9"/>
  <c r="AG898" i="9"/>
  <c r="AF898" i="9"/>
  <c r="S898" i="9"/>
  <c r="AI897" i="9"/>
  <c r="AH897" i="9"/>
  <c r="AG897" i="9"/>
  <c r="AF897" i="9"/>
  <c r="S897" i="9"/>
  <c r="AI896" i="9"/>
  <c r="AH896" i="9"/>
  <c r="AG896" i="9"/>
  <c r="AF896" i="9"/>
  <c r="S896" i="9"/>
  <c r="AI895" i="9"/>
  <c r="AH895" i="9"/>
  <c r="AG895" i="9"/>
  <c r="AF895" i="9"/>
  <c r="S895" i="9"/>
  <c r="AI894" i="9"/>
  <c r="AH894" i="9"/>
  <c r="AG894" i="9"/>
  <c r="AF894" i="9"/>
  <c r="S894" i="9"/>
  <c r="AI893" i="9"/>
  <c r="AH893" i="9"/>
  <c r="AG893" i="9"/>
  <c r="AF893" i="9"/>
  <c r="S893" i="9"/>
  <c r="AI892" i="9"/>
  <c r="AH892" i="9"/>
  <c r="AG892" i="9"/>
  <c r="AF892" i="9"/>
  <c r="S892" i="9"/>
  <c r="AI891" i="9"/>
  <c r="AH891" i="9"/>
  <c r="AG891" i="9"/>
  <c r="AF891" i="9"/>
  <c r="S891" i="9"/>
  <c r="AI890" i="9"/>
  <c r="AH890" i="9"/>
  <c r="AG890" i="9"/>
  <c r="AF890" i="9"/>
  <c r="S890" i="9"/>
  <c r="AI889" i="9"/>
  <c r="AH889" i="9"/>
  <c r="AG889" i="9"/>
  <c r="AF889" i="9"/>
  <c r="S889" i="9"/>
  <c r="AI888" i="9"/>
  <c r="AH888" i="9"/>
  <c r="AG888" i="9"/>
  <c r="AF888" i="9"/>
  <c r="S888" i="9"/>
  <c r="AI887" i="9"/>
  <c r="AH887" i="9"/>
  <c r="AG887" i="9"/>
  <c r="AF887" i="9"/>
  <c r="S887" i="9"/>
  <c r="AI886" i="9"/>
  <c r="AH886" i="9"/>
  <c r="AG886" i="9"/>
  <c r="AF886" i="9"/>
  <c r="S886" i="9"/>
  <c r="AI885" i="9"/>
  <c r="AH885" i="9"/>
  <c r="AG885" i="9"/>
  <c r="AF885" i="9"/>
  <c r="S885" i="9"/>
  <c r="AI884" i="9"/>
  <c r="AH884" i="9"/>
  <c r="AG884" i="9"/>
  <c r="AF884" i="9"/>
  <c r="S884" i="9"/>
  <c r="AI883" i="9"/>
  <c r="AH883" i="9"/>
  <c r="AG883" i="9"/>
  <c r="AF883" i="9"/>
  <c r="S883" i="9"/>
  <c r="AI882" i="9"/>
  <c r="AH882" i="9"/>
  <c r="AG882" i="9"/>
  <c r="AF882" i="9"/>
  <c r="S882" i="9"/>
  <c r="AI881" i="9"/>
  <c r="AH881" i="9"/>
  <c r="AG881" i="9"/>
  <c r="AF881" i="9"/>
  <c r="S881" i="9"/>
  <c r="AI880" i="9"/>
  <c r="AH880" i="9"/>
  <c r="AG880" i="9"/>
  <c r="AF880" i="9"/>
  <c r="S880" i="9"/>
  <c r="AI879" i="9"/>
  <c r="AH879" i="9"/>
  <c r="AG879" i="9"/>
  <c r="AF879" i="9"/>
  <c r="S879" i="9"/>
  <c r="AI878" i="9"/>
  <c r="AH878" i="9"/>
  <c r="AG878" i="9"/>
  <c r="AF878" i="9"/>
  <c r="S878" i="9"/>
  <c r="AI877" i="9"/>
  <c r="AH877" i="9"/>
  <c r="AG877" i="9"/>
  <c r="AF877" i="9"/>
  <c r="S877" i="9"/>
  <c r="AI876" i="9"/>
  <c r="AH876" i="9"/>
  <c r="AG876" i="9"/>
  <c r="AF876" i="9"/>
  <c r="S876" i="9"/>
  <c r="AI875" i="9"/>
  <c r="AH875" i="9"/>
  <c r="AG875" i="9"/>
  <c r="AF875" i="9"/>
  <c r="S875" i="9"/>
  <c r="AI874" i="9"/>
  <c r="AH874" i="9"/>
  <c r="AG874" i="9"/>
  <c r="AF874" i="9"/>
  <c r="S874" i="9"/>
  <c r="AI873" i="9"/>
  <c r="AH873" i="9"/>
  <c r="AG873" i="9"/>
  <c r="AF873" i="9"/>
  <c r="S873" i="9"/>
  <c r="AI872" i="9"/>
  <c r="AH872" i="9"/>
  <c r="AG872" i="9"/>
  <c r="AF872" i="9"/>
  <c r="S872" i="9"/>
  <c r="AI871" i="9"/>
  <c r="AH871" i="9"/>
  <c r="AG871" i="9"/>
  <c r="AF871" i="9"/>
  <c r="S871" i="9"/>
  <c r="AI870" i="9"/>
  <c r="AH870" i="9"/>
  <c r="AG870" i="9"/>
  <c r="AF870" i="9"/>
  <c r="S870" i="9"/>
  <c r="AI869" i="9"/>
  <c r="AH869" i="9"/>
  <c r="AG869" i="9"/>
  <c r="AF869" i="9"/>
  <c r="S869" i="9"/>
  <c r="AI868" i="9"/>
  <c r="AH868" i="9"/>
  <c r="AG868" i="9"/>
  <c r="AF868" i="9"/>
  <c r="S868" i="9"/>
  <c r="AI867" i="9"/>
  <c r="AH867" i="9"/>
  <c r="AG867" i="9"/>
  <c r="AF867" i="9"/>
  <c r="S867" i="9"/>
  <c r="AI866" i="9"/>
  <c r="AH866" i="9"/>
  <c r="AG866" i="9"/>
  <c r="AF866" i="9"/>
  <c r="S866" i="9"/>
  <c r="AI865" i="9"/>
  <c r="AH865" i="9"/>
  <c r="AG865" i="9"/>
  <c r="AF865" i="9"/>
  <c r="S865" i="9"/>
  <c r="AI864" i="9"/>
  <c r="AH864" i="9"/>
  <c r="AG864" i="9"/>
  <c r="AF864" i="9"/>
  <c r="S864" i="9"/>
  <c r="AI863" i="9"/>
  <c r="AH863" i="9"/>
  <c r="AG863" i="9"/>
  <c r="AF863" i="9"/>
  <c r="S863" i="9"/>
  <c r="AI862" i="9"/>
  <c r="AH862" i="9"/>
  <c r="AG862" i="9"/>
  <c r="AF862" i="9"/>
  <c r="S862" i="9"/>
  <c r="AI861" i="9"/>
  <c r="AH861" i="9"/>
  <c r="AG861" i="9"/>
  <c r="AF861" i="9"/>
  <c r="S861" i="9"/>
  <c r="AI860" i="9"/>
  <c r="AH860" i="9"/>
  <c r="AG860" i="9"/>
  <c r="AF860" i="9"/>
  <c r="S860" i="9"/>
  <c r="AI859" i="9"/>
  <c r="AH859" i="9"/>
  <c r="AG859" i="9"/>
  <c r="AF859" i="9"/>
  <c r="S859" i="9"/>
  <c r="AI858" i="9"/>
  <c r="AH858" i="9"/>
  <c r="AG858" i="9"/>
  <c r="AF858" i="9"/>
  <c r="S858" i="9"/>
  <c r="AI857" i="9"/>
  <c r="AH857" i="9"/>
  <c r="AG857" i="9"/>
  <c r="AF857" i="9"/>
  <c r="S857" i="9"/>
  <c r="AI856" i="9"/>
  <c r="AH856" i="9"/>
  <c r="AG856" i="9"/>
  <c r="AF856" i="9"/>
  <c r="S856" i="9"/>
  <c r="AI855" i="9"/>
  <c r="AH855" i="9"/>
  <c r="AG855" i="9"/>
  <c r="AF855" i="9"/>
  <c r="S855" i="9"/>
  <c r="AI854" i="9"/>
  <c r="AH854" i="9"/>
  <c r="AG854" i="9"/>
  <c r="AF854" i="9"/>
  <c r="S854" i="9"/>
  <c r="AI853" i="9"/>
  <c r="AH853" i="9"/>
  <c r="AG853" i="9"/>
  <c r="AF853" i="9"/>
  <c r="S853" i="9"/>
  <c r="AI852" i="9"/>
  <c r="AH852" i="9"/>
  <c r="AG852" i="9"/>
  <c r="AF852" i="9"/>
  <c r="S852" i="9"/>
  <c r="AI851" i="9"/>
  <c r="AH851" i="9"/>
  <c r="AG851" i="9"/>
  <c r="AF851" i="9"/>
  <c r="S851" i="9"/>
  <c r="AI850" i="9"/>
  <c r="AH850" i="9"/>
  <c r="AG850" i="9"/>
  <c r="AF850" i="9"/>
  <c r="S850" i="9"/>
  <c r="AI849" i="9"/>
  <c r="AH849" i="9"/>
  <c r="AG849" i="9"/>
  <c r="AF849" i="9"/>
  <c r="S849" i="9"/>
  <c r="AI848" i="9"/>
  <c r="AH848" i="9"/>
  <c r="AG848" i="9"/>
  <c r="AF848" i="9"/>
  <c r="S848" i="9"/>
  <c r="AI847" i="9"/>
  <c r="AH847" i="9"/>
  <c r="AG847" i="9"/>
  <c r="AF847" i="9"/>
  <c r="S847" i="9"/>
  <c r="AI846" i="9"/>
  <c r="AH846" i="9"/>
  <c r="AG846" i="9"/>
  <c r="AF846" i="9"/>
  <c r="S846" i="9"/>
  <c r="AI845" i="9"/>
  <c r="AH845" i="9"/>
  <c r="AG845" i="9"/>
  <c r="AF845" i="9"/>
  <c r="S845" i="9"/>
  <c r="AI844" i="9"/>
  <c r="AH844" i="9"/>
  <c r="AG844" i="9"/>
  <c r="AF844" i="9"/>
  <c r="S844" i="9"/>
  <c r="AI843" i="9"/>
  <c r="AH843" i="9"/>
  <c r="AG843" i="9"/>
  <c r="AF843" i="9"/>
  <c r="S843" i="9"/>
  <c r="AI842" i="9"/>
  <c r="AH842" i="9"/>
  <c r="AG842" i="9"/>
  <c r="AF842" i="9"/>
  <c r="S842" i="9"/>
  <c r="AI841" i="9"/>
  <c r="AH841" i="9"/>
  <c r="AG841" i="9"/>
  <c r="AF841" i="9"/>
  <c r="S841" i="9"/>
  <c r="AI840" i="9"/>
  <c r="AH840" i="9"/>
  <c r="AG840" i="9"/>
  <c r="AF840" i="9"/>
  <c r="S840" i="9"/>
  <c r="AI839" i="9"/>
  <c r="AH839" i="9"/>
  <c r="AG839" i="9"/>
  <c r="AF839" i="9"/>
  <c r="S839" i="9"/>
  <c r="AI838" i="9"/>
  <c r="AH838" i="9"/>
  <c r="AG838" i="9"/>
  <c r="AF838" i="9"/>
  <c r="S838" i="9"/>
  <c r="AI837" i="9"/>
  <c r="AH837" i="9"/>
  <c r="AG837" i="9"/>
  <c r="AF837" i="9"/>
  <c r="S837" i="9"/>
  <c r="AI836" i="9"/>
  <c r="AH836" i="9"/>
  <c r="AG836" i="9"/>
  <c r="AF836" i="9"/>
  <c r="S836" i="9"/>
  <c r="AI835" i="9"/>
  <c r="AH835" i="9"/>
  <c r="AG835" i="9"/>
  <c r="AF835" i="9"/>
  <c r="S835" i="9"/>
  <c r="AI834" i="9"/>
  <c r="AH834" i="9"/>
  <c r="AG834" i="9"/>
  <c r="AF834" i="9"/>
  <c r="S834" i="9"/>
  <c r="AI833" i="9"/>
  <c r="AH833" i="9"/>
  <c r="AG833" i="9"/>
  <c r="AF833" i="9"/>
  <c r="S833" i="9"/>
  <c r="AI832" i="9"/>
  <c r="AH832" i="9"/>
  <c r="AG832" i="9"/>
  <c r="AF832" i="9"/>
  <c r="S832" i="9"/>
  <c r="AI831" i="9"/>
  <c r="AH831" i="9"/>
  <c r="AG831" i="9"/>
  <c r="AF831" i="9"/>
  <c r="S831" i="9"/>
  <c r="AI830" i="9"/>
  <c r="AH830" i="9"/>
  <c r="AG830" i="9"/>
  <c r="AF830" i="9"/>
  <c r="S830" i="9"/>
  <c r="AI829" i="9"/>
  <c r="AH829" i="9"/>
  <c r="AG829" i="9"/>
  <c r="AF829" i="9"/>
  <c r="S829" i="9"/>
  <c r="AI828" i="9"/>
  <c r="AH828" i="9"/>
  <c r="AG828" i="9"/>
  <c r="AF828" i="9"/>
  <c r="S828" i="9"/>
  <c r="AI827" i="9"/>
  <c r="AH827" i="9"/>
  <c r="AG827" i="9"/>
  <c r="AF827" i="9"/>
  <c r="S827" i="9"/>
  <c r="AI826" i="9"/>
  <c r="AH826" i="9"/>
  <c r="AG826" i="9"/>
  <c r="AF826" i="9"/>
  <c r="S826" i="9"/>
  <c r="AI825" i="9"/>
  <c r="AH825" i="9"/>
  <c r="AG825" i="9"/>
  <c r="AF825" i="9"/>
  <c r="S825" i="9"/>
  <c r="AI824" i="9"/>
  <c r="AH824" i="9"/>
  <c r="AG824" i="9"/>
  <c r="AF824" i="9"/>
  <c r="S824" i="9"/>
  <c r="AI823" i="9"/>
  <c r="AH823" i="9"/>
  <c r="AG823" i="9"/>
  <c r="AF823" i="9"/>
  <c r="S823" i="9"/>
  <c r="AI822" i="9"/>
  <c r="AH822" i="9"/>
  <c r="AG822" i="9"/>
  <c r="AF822" i="9"/>
  <c r="S822" i="9"/>
  <c r="AI821" i="9"/>
  <c r="AH821" i="9"/>
  <c r="AG821" i="9"/>
  <c r="AF821" i="9"/>
  <c r="S821" i="9"/>
  <c r="AI820" i="9"/>
  <c r="AH820" i="9"/>
  <c r="AG820" i="9"/>
  <c r="AF820" i="9"/>
  <c r="S820" i="9"/>
  <c r="AI819" i="9"/>
  <c r="AH819" i="9"/>
  <c r="AG819" i="9"/>
  <c r="AF819" i="9"/>
  <c r="S819" i="9"/>
  <c r="AI818" i="9"/>
  <c r="AH818" i="9"/>
  <c r="AG818" i="9"/>
  <c r="AF818" i="9"/>
  <c r="S818" i="9"/>
  <c r="AI817" i="9"/>
  <c r="AH817" i="9"/>
  <c r="AG817" i="9"/>
  <c r="AF817" i="9"/>
  <c r="S817" i="9"/>
  <c r="AI816" i="9"/>
  <c r="AH816" i="9"/>
  <c r="AG816" i="9"/>
  <c r="AF816" i="9"/>
  <c r="S816" i="9"/>
  <c r="AI815" i="9"/>
  <c r="AH815" i="9"/>
  <c r="AG815" i="9"/>
  <c r="AF815" i="9"/>
  <c r="S815" i="9"/>
  <c r="AI814" i="9"/>
  <c r="AH814" i="9"/>
  <c r="AG814" i="9"/>
  <c r="AF814" i="9"/>
  <c r="S814" i="9"/>
  <c r="AI813" i="9"/>
  <c r="AH813" i="9"/>
  <c r="AG813" i="9"/>
  <c r="AF813" i="9"/>
  <c r="S813" i="9"/>
  <c r="AI812" i="9"/>
  <c r="AH812" i="9"/>
  <c r="AG812" i="9"/>
  <c r="AF812" i="9"/>
  <c r="S812" i="9"/>
  <c r="AI811" i="9"/>
  <c r="AH811" i="9"/>
  <c r="AG811" i="9"/>
  <c r="AF811" i="9"/>
  <c r="S811" i="9"/>
  <c r="AI810" i="9"/>
  <c r="AH810" i="9"/>
  <c r="AG810" i="9"/>
  <c r="AF810" i="9"/>
  <c r="S810" i="9"/>
  <c r="AI809" i="9"/>
  <c r="AH809" i="9"/>
  <c r="AG809" i="9"/>
  <c r="AF809" i="9"/>
  <c r="S809" i="9"/>
  <c r="AI808" i="9"/>
  <c r="AH808" i="9"/>
  <c r="AG808" i="9"/>
  <c r="AF808" i="9"/>
  <c r="S808" i="9"/>
  <c r="AI807" i="9"/>
  <c r="AH807" i="9"/>
  <c r="AG807" i="9"/>
  <c r="AF807" i="9"/>
  <c r="S807" i="9"/>
  <c r="AI806" i="9"/>
  <c r="AH806" i="9"/>
  <c r="AG806" i="9"/>
  <c r="AF806" i="9"/>
  <c r="S806" i="9"/>
  <c r="AI805" i="9"/>
  <c r="AH805" i="9"/>
  <c r="AG805" i="9"/>
  <c r="AF805" i="9"/>
  <c r="S805" i="9"/>
  <c r="AI804" i="9"/>
  <c r="AH804" i="9"/>
  <c r="AG804" i="9"/>
  <c r="AF804" i="9"/>
  <c r="S804" i="9"/>
  <c r="AI803" i="9"/>
  <c r="AH803" i="9"/>
  <c r="AG803" i="9"/>
  <c r="AF803" i="9"/>
  <c r="S803" i="9"/>
  <c r="AI802" i="9"/>
  <c r="AH802" i="9"/>
  <c r="AG802" i="9"/>
  <c r="AF802" i="9"/>
  <c r="S802" i="9"/>
  <c r="AI801" i="9"/>
  <c r="AH801" i="9"/>
  <c r="AG801" i="9"/>
  <c r="AF801" i="9"/>
  <c r="S801" i="9"/>
  <c r="AI800" i="9"/>
  <c r="AH800" i="9"/>
  <c r="AG800" i="9"/>
  <c r="AF800" i="9"/>
  <c r="S800" i="9"/>
  <c r="AI799" i="9"/>
  <c r="AH799" i="9"/>
  <c r="AG799" i="9"/>
  <c r="AF799" i="9"/>
  <c r="S799" i="9"/>
  <c r="AI798" i="9"/>
  <c r="AH798" i="9"/>
  <c r="AG798" i="9"/>
  <c r="AF798" i="9"/>
  <c r="S798" i="9"/>
  <c r="AI797" i="9"/>
  <c r="AH797" i="9"/>
  <c r="AG797" i="9"/>
  <c r="AF797" i="9"/>
  <c r="S797" i="9"/>
  <c r="AI796" i="9"/>
  <c r="AH796" i="9"/>
  <c r="AG796" i="9"/>
  <c r="AF796" i="9"/>
  <c r="S796" i="9"/>
  <c r="AI795" i="9"/>
  <c r="AH795" i="9"/>
  <c r="AG795" i="9"/>
  <c r="AF795" i="9"/>
  <c r="S795" i="9"/>
  <c r="AI794" i="9"/>
  <c r="AH794" i="9"/>
  <c r="AG794" i="9"/>
  <c r="AF794" i="9"/>
  <c r="S794" i="9"/>
  <c r="AI793" i="9"/>
  <c r="AH793" i="9"/>
  <c r="AG793" i="9"/>
  <c r="AF793" i="9"/>
  <c r="S793" i="9"/>
  <c r="AI792" i="9"/>
  <c r="AH792" i="9"/>
  <c r="AG792" i="9"/>
  <c r="AF792" i="9"/>
  <c r="S792" i="9"/>
  <c r="AI791" i="9"/>
  <c r="AH791" i="9"/>
  <c r="AG791" i="9"/>
  <c r="AF791" i="9"/>
  <c r="S791" i="9"/>
  <c r="AI790" i="9"/>
  <c r="AH790" i="9"/>
  <c r="AG790" i="9"/>
  <c r="AF790" i="9"/>
  <c r="S790" i="9"/>
  <c r="AI789" i="9"/>
  <c r="AH789" i="9"/>
  <c r="AG789" i="9"/>
  <c r="AF789" i="9"/>
  <c r="S789" i="9"/>
  <c r="AI788" i="9"/>
  <c r="AH788" i="9"/>
  <c r="AG788" i="9"/>
  <c r="AF788" i="9"/>
  <c r="S788" i="9"/>
  <c r="AI787" i="9"/>
  <c r="AH787" i="9"/>
  <c r="AG787" i="9"/>
  <c r="AF787" i="9"/>
  <c r="S787" i="9"/>
  <c r="AI786" i="9"/>
  <c r="AH786" i="9"/>
  <c r="AG786" i="9"/>
  <c r="AF786" i="9"/>
  <c r="S786" i="9"/>
  <c r="AI785" i="9"/>
  <c r="AH785" i="9"/>
  <c r="AG785" i="9"/>
  <c r="AF785" i="9"/>
  <c r="S785" i="9"/>
  <c r="AI784" i="9"/>
  <c r="AH784" i="9"/>
  <c r="AG784" i="9"/>
  <c r="AF784" i="9"/>
  <c r="S784" i="9"/>
  <c r="AI783" i="9"/>
  <c r="AH783" i="9"/>
  <c r="AG783" i="9"/>
  <c r="AF783" i="9"/>
  <c r="S783" i="9"/>
  <c r="AI782" i="9"/>
  <c r="AH782" i="9"/>
  <c r="AG782" i="9"/>
  <c r="AF782" i="9"/>
  <c r="S782" i="9"/>
  <c r="AI781" i="9"/>
  <c r="AH781" i="9"/>
  <c r="AG781" i="9"/>
  <c r="AF781" i="9"/>
  <c r="S781" i="9"/>
  <c r="AI780" i="9"/>
  <c r="AH780" i="9"/>
  <c r="AG780" i="9"/>
  <c r="AF780" i="9"/>
  <c r="S780" i="9"/>
  <c r="AI779" i="9"/>
  <c r="AH779" i="9"/>
  <c r="AG779" i="9"/>
  <c r="AF779" i="9"/>
  <c r="S779" i="9"/>
  <c r="AI778" i="9"/>
  <c r="AH778" i="9"/>
  <c r="AG778" i="9"/>
  <c r="AF778" i="9"/>
  <c r="S778" i="9"/>
  <c r="AI777" i="9"/>
  <c r="AH777" i="9"/>
  <c r="AG777" i="9"/>
  <c r="AF777" i="9"/>
  <c r="S777" i="9"/>
  <c r="AI776" i="9"/>
  <c r="AH776" i="9"/>
  <c r="AG776" i="9"/>
  <c r="AF776" i="9"/>
  <c r="S776" i="9"/>
  <c r="AI775" i="9"/>
  <c r="AH775" i="9"/>
  <c r="AG775" i="9"/>
  <c r="AF775" i="9"/>
  <c r="S775" i="9"/>
  <c r="AI774" i="9"/>
  <c r="AH774" i="9"/>
  <c r="AG774" i="9"/>
  <c r="AF774" i="9"/>
  <c r="S774" i="9"/>
  <c r="AI773" i="9"/>
  <c r="AH773" i="9"/>
  <c r="AG773" i="9"/>
  <c r="AF773" i="9"/>
  <c r="S773" i="9"/>
  <c r="AI772" i="9"/>
  <c r="AH772" i="9"/>
  <c r="AG772" i="9"/>
  <c r="AF772" i="9"/>
  <c r="S772" i="9"/>
  <c r="AI771" i="9"/>
  <c r="AH771" i="9"/>
  <c r="AG771" i="9"/>
  <c r="AF771" i="9"/>
  <c r="S771" i="9"/>
  <c r="AI770" i="9"/>
  <c r="AH770" i="9"/>
  <c r="AG770" i="9"/>
  <c r="AF770" i="9"/>
  <c r="S770" i="9"/>
  <c r="AI769" i="9"/>
  <c r="AH769" i="9"/>
  <c r="AG769" i="9"/>
  <c r="AF769" i="9"/>
  <c r="S769" i="9"/>
  <c r="AI768" i="9"/>
  <c r="AH768" i="9"/>
  <c r="AG768" i="9"/>
  <c r="AF768" i="9"/>
  <c r="S768" i="9"/>
  <c r="AI767" i="9"/>
  <c r="AH767" i="9"/>
  <c r="AG767" i="9"/>
  <c r="AF767" i="9"/>
  <c r="S767" i="9"/>
  <c r="AI766" i="9"/>
  <c r="AH766" i="9"/>
  <c r="AG766" i="9"/>
  <c r="AF766" i="9"/>
  <c r="S766" i="9"/>
  <c r="AI765" i="9"/>
  <c r="AH765" i="9"/>
  <c r="AG765" i="9"/>
  <c r="AF765" i="9"/>
  <c r="S765" i="9"/>
  <c r="AI764" i="9"/>
  <c r="AH764" i="9"/>
  <c r="AG764" i="9"/>
  <c r="AF764" i="9"/>
  <c r="S764" i="9"/>
  <c r="AI763" i="9"/>
  <c r="AH763" i="9"/>
  <c r="AG763" i="9"/>
  <c r="AF763" i="9"/>
  <c r="S763" i="9"/>
  <c r="AI762" i="9"/>
  <c r="AH762" i="9"/>
  <c r="AG762" i="9"/>
  <c r="AF762" i="9"/>
  <c r="S762" i="9"/>
  <c r="AI761" i="9"/>
  <c r="AH761" i="9"/>
  <c r="AG761" i="9"/>
  <c r="AF761" i="9"/>
  <c r="S761" i="9"/>
  <c r="AI760" i="9"/>
  <c r="AH760" i="9"/>
  <c r="AG760" i="9"/>
  <c r="AF760" i="9"/>
  <c r="S760" i="9"/>
  <c r="AI759" i="9"/>
  <c r="AH759" i="9"/>
  <c r="AG759" i="9"/>
  <c r="AF759" i="9"/>
  <c r="S759" i="9"/>
  <c r="AI758" i="9"/>
  <c r="AH758" i="9"/>
  <c r="AG758" i="9"/>
  <c r="AF758" i="9"/>
  <c r="S758" i="9"/>
  <c r="AI757" i="9"/>
  <c r="AH757" i="9"/>
  <c r="AG757" i="9"/>
  <c r="AF757" i="9"/>
  <c r="S757" i="9"/>
  <c r="AI756" i="9"/>
  <c r="AH756" i="9"/>
  <c r="AG756" i="9"/>
  <c r="AF756" i="9"/>
  <c r="S756" i="9"/>
  <c r="AI755" i="9"/>
  <c r="AH755" i="9"/>
  <c r="AG755" i="9"/>
  <c r="AF755" i="9"/>
  <c r="S755" i="9"/>
  <c r="AI754" i="9"/>
  <c r="AH754" i="9"/>
  <c r="AG754" i="9"/>
  <c r="AF754" i="9"/>
  <c r="S754" i="9"/>
  <c r="AI753" i="9"/>
  <c r="AH753" i="9"/>
  <c r="AG753" i="9"/>
  <c r="AF753" i="9"/>
  <c r="S753" i="9"/>
  <c r="AI752" i="9"/>
  <c r="AH752" i="9"/>
  <c r="AG752" i="9"/>
  <c r="AF752" i="9"/>
  <c r="S752" i="9"/>
  <c r="AI751" i="9"/>
  <c r="AH751" i="9"/>
  <c r="AG751" i="9"/>
  <c r="AF751" i="9"/>
  <c r="S751" i="9"/>
  <c r="AI750" i="9"/>
  <c r="AH750" i="9"/>
  <c r="AG750" i="9"/>
  <c r="AF750" i="9"/>
  <c r="S750" i="9"/>
  <c r="AI749" i="9"/>
  <c r="AH749" i="9"/>
  <c r="AG749" i="9"/>
  <c r="AF749" i="9"/>
  <c r="S749" i="9"/>
  <c r="AI748" i="9"/>
  <c r="AH748" i="9"/>
  <c r="AG748" i="9"/>
  <c r="AF748" i="9"/>
  <c r="S748" i="9"/>
  <c r="AI747" i="9"/>
  <c r="AH747" i="9"/>
  <c r="AG747" i="9"/>
  <c r="AF747" i="9"/>
  <c r="S747" i="9"/>
  <c r="AI746" i="9"/>
  <c r="AH746" i="9"/>
  <c r="AG746" i="9"/>
  <c r="AF746" i="9"/>
  <c r="S746" i="9"/>
  <c r="AI745" i="9"/>
  <c r="AH745" i="9"/>
  <c r="AG745" i="9"/>
  <c r="AF745" i="9"/>
  <c r="S745" i="9"/>
  <c r="AI744" i="9"/>
  <c r="AH744" i="9"/>
  <c r="AG744" i="9"/>
  <c r="AF744" i="9"/>
  <c r="S744" i="9"/>
  <c r="AI743" i="9"/>
  <c r="AH743" i="9"/>
  <c r="AG743" i="9"/>
  <c r="AF743" i="9"/>
  <c r="S743" i="9"/>
  <c r="AI742" i="9"/>
  <c r="AH742" i="9"/>
  <c r="AG742" i="9"/>
  <c r="AF742" i="9"/>
  <c r="S742" i="9"/>
  <c r="AI741" i="9"/>
  <c r="AH741" i="9"/>
  <c r="AG741" i="9"/>
  <c r="AF741" i="9"/>
  <c r="S741" i="9"/>
  <c r="AI740" i="9"/>
  <c r="AH740" i="9"/>
  <c r="AG740" i="9"/>
  <c r="AF740" i="9"/>
  <c r="S740" i="9"/>
  <c r="AI739" i="9"/>
  <c r="AH739" i="9"/>
  <c r="AG739" i="9"/>
  <c r="AF739" i="9"/>
  <c r="S739" i="9"/>
  <c r="AI738" i="9"/>
  <c r="AH738" i="9"/>
  <c r="AG738" i="9"/>
  <c r="AF738" i="9"/>
  <c r="S738" i="9"/>
  <c r="AI737" i="9"/>
  <c r="AH737" i="9"/>
  <c r="AG737" i="9"/>
  <c r="AF737" i="9"/>
  <c r="S737" i="9"/>
  <c r="AI736" i="9"/>
  <c r="AH736" i="9"/>
  <c r="AG736" i="9"/>
  <c r="AF736" i="9"/>
  <c r="S736" i="9"/>
  <c r="AI735" i="9"/>
  <c r="AH735" i="9"/>
  <c r="AG735" i="9"/>
  <c r="AF735" i="9"/>
  <c r="S735" i="9"/>
  <c r="AI734" i="9"/>
  <c r="AH734" i="9"/>
  <c r="AG734" i="9"/>
  <c r="AF734" i="9"/>
  <c r="S734" i="9"/>
  <c r="AI733" i="9"/>
  <c r="AH733" i="9"/>
  <c r="AG733" i="9"/>
  <c r="AF733" i="9"/>
  <c r="S733" i="9"/>
  <c r="AI732" i="9"/>
  <c r="AH732" i="9"/>
  <c r="AG732" i="9"/>
  <c r="AF732" i="9"/>
  <c r="S732" i="9"/>
  <c r="AI731" i="9"/>
  <c r="AH731" i="9"/>
  <c r="AG731" i="9"/>
  <c r="AF731" i="9"/>
  <c r="S731" i="9"/>
  <c r="AI730" i="9"/>
  <c r="AH730" i="9"/>
  <c r="AG730" i="9"/>
  <c r="AF730" i="9"/>
  <c r="S730" i="9"/>
  <c r="AI729" i="9"/>
  <c r="AH729" i="9"/>
  <c r="AG729" i="9"/>
  <c r="AF729" i="9"/>
  <c r="S729" i="9"/>
  <c r="AI728" i="9"/>
  <c r="AH728" i="9"/>
  <c r="AG728" i="9"/>
  <c r="AF728" i="9"/>
  <c r="S728" i="9"/>
  <c r="AI727" i="9"/>
  <c r="AH727" i="9"/>
  <c r="AG727" i="9"/>
  <c r="AF727" i="9"/>
  <c r="S727" i="9"/>
  <c r="AI726" i="9"/>
  <c r="AH726" i="9"/>
  <c r="AG726" i="9"/>
  <c r="AF726" i="9"/>
  <c r="S726" i="9"/>
  <c r="AI725" i="9"/>
  <c r="AH725" i="9"/>
  <c r="AG725" i="9"/>
  <c r="AF725" i="9"/>
  <c r="S725" i="9"/>
  <c r="AI724" i="9"/>
  <c r="AH724" i="9"/>
  <c r="AG724" i="9"/>
  <c r="AF724" i="9"/>
  <c r="S724" i="9"/>
  <c r="AI723" i="9"/>
  <c r="AH723" i="9"/>
  <c r="AG723" i="9"/>
  <c r="AF723" i="9"/>
  <c r="S723" i="9"/>
  <c r="AI722" i="9"/>
  <c r="AH722" i="9"/>
  <c r="AG722" i="9"/>
  <c r="AF722" i="9"/>
  <c r="S722" i="9"/>
  <c r="AI721" i="9"/>
  <c r="AH721" i="9"/>
  <c r="AG721" i="9"/>
  <c r="AF721" i="9"/>
  <c r="S721" i="9"/>
  <c r="AI720" i="9"/>
  <c r="AH720" i="9"/>
  <c r="AG720" i="9"/>
  <c r="AF720" i="9"/>
  <c r="S720" i="9"/>
  <c r="AI719" i="9"/>
  <c r="AH719" i="9"/>
  <c r="AG719" i="9"/>
  <c r="AF719" i="9"/>
  <c r="S719" i="9"/>
  <c r="AI718" i="9"/>
  <c r="AH718" i="9"/>
  <c r="AG718" i="9"/>
  <c r="AF718" i="9"/>
  <c r="S718" i="9"/>
  <c r="AI717" i="9"/>
  <c r="AH717" i="9"/>
  <c r="AG717" i="9"/>
  <c r="AF717" i="9"/>
  <c r="S717" i="9"/>
  <c r="AI716" i="9"/>
  <c r="AH716" i="9"/>
  <c r="AG716" i="9"/>
  <c r="AF716" i="9"/>
  <c r="S716" i="9"/>
  <c r="AI715" i="9"/>
  <c r="AH715" i="9"/>
  <c r="AG715" i="9"/>
  <c r="AF715" i="9"/>
  <c r="S715" i="9"/>
  <c r="AI714" i="9"/>
  <c r="AH714" i="9"/>
  <c r="AG714" i="9"/>
  <c r="AF714" i="9"/>
  <c r="S714" i="9"/>
  <c r="AI713" i="9"/>
  <c r="AH713" i="9"/>
  <c r="AG713" i="9"/>
  <c r="AF713" i="9"/>
  <c r="S713" i="9"/>
  <c r="AI712" i="9"/>
  <c r="AH712" i="9"/>
  <c r="AG712" i="9"/>
  <c r="AF712" i="9"/>
  <c r="S712" i="9"/>
  <c r="AI711" i="9"/>
  <c r="AH711" i="9"/>
  <c r="AG711" i="9"/>
  <c r="AF711" i="9"/>
  <c r="S711" i="9"/>
  <c r="AI710" i="9"/>
  <c r="AH710" i="9"/>
  <c r="AG710" i="9"/>
  <c r="AF710" i="9"/>
  <c r="S710" i="9"/>
  <c r="AI709" i="9"/>
  <c r="AH709" i="9"/>
  <c r="AG709" i="9"/>
  <c r="AF709" i="9"/>
  <c r="S709" i="9"/>
  <c r="AI708" i="9"/>
  <c r="AH708" i="9"/>
  <c r="AG708" i="9"/>
  <c r="AF708" i="9"/>
  <c r="S708" i="9"/>
  <c r="AI707" i="9"/>
  <c r="AH707" i="9"/>
  <c r="AG707" i="9"/>
  <c r="AF707" i="9"/>
  <c r="S707" i="9"/>
  <c r="AI706" i="9"/>
  <c r="AH706" i="9"/>
  <c r="AG706" i="9"/>
  <c r="AF706" i="9"/>
  <c r="S706" i="9"/>
  <c r="AI705" i="9"/>
  <c r="AH705" i="9"/>
  <c r="AG705" i="9"/>
  <c r="AF705" i="9"/>
  <c r="S705" i="9"/>
  <c r="AI704" i="9"/>
  <c r="AH704" i="9"/>
  <c r="AG704" i="9"/>
  <c r="AF704" i="9"/>
  <c r="S704" i="9"/>
  <c r="AI703" i="9"/>
  <c r="AH703" i="9"/>
  <c r="AG703" i="9"/>
  <c r="AF703" i="9"/>
  <c r="S703" i="9"/>
  <c r="AI702" i="9"/>
  <c r="AH702" i="9"/>
  <c r="AG702" i="9"/>
  <c r="AF702" i="9"/>
  <c r="S702" i="9"/>
  <c r="AI701" i="9"/>
  <c r="AH701" i="9"/>
  <c r="AG701" i="9"/>
  <c r="AF701" i="9"/>
  <c r="S701" i="9"/>
  <c r="AI700" i="9"/>
  <c r="AH700" i="9"/>
  <c r="AG700" i="9"/>
  <c r="AF700" i="9"/>
  <c r="S700" i="9"/>
  <c r="AI699" i="9"/>
  <c r="AH699" i="9"/>
  <c r="AG699" i="9"/>
  <c r="AF699" i="9"/>
  <c r="S699" i="9"/>
  <c r="AI698" i="9"/>
  <c r="AH698" i="9"/>
  <c r="AG698" i="9"/>
  <c r="AF698" i="9"/>
  <c r="S698" i="9"/>
  <c r="AI697" i="9"/>
  <c r="AH697" i="9"/>
  <c r="AG697" i="9"/>
  <c r="AF697" i="9"/>
  <c r="S697" i="9"/>
  <c r="AI696" i="9"/>
  <c r="AH696" i="9"/>
  <c r="AG696" i="9"/>
  <c r="AF696" i="9"/>
  <c r="S696" i="9"/>
  <c r="AI695" i="9"/>
  <c r="AH695" i="9"/>
  <c r="AG695" i="9"/>
  <c r="AF695" i="9"/>
  <c r="S695" i="9"/>
  <c r="AI694" i="9"/>
  <c r="AH694" i="9"/>
  <c r="AG694" i="9"/>
  <c r="AF694" i="9"/>
  <c r="S694" i="9"/>
  <c r="AI693" i="9"/>
  <c r="AH693" i="9"/>
  <c r="AG693" i="9"/>
  <c r="AF693" i="9"/>
  <c r="S693" i="9"/>
  <c r="AI692" i="9"/>
  <c r="AH692" i="9"/>
  <c r="AG692" i="9"/>
  <c r="AF692" i="9"/>
  <c r="S692" i="9"/>
  <c r="AI691" i="9"/>
  <c r="AH691" i="9"/>
  <c r="AG691" i="9"/>
  <c r="AF691" i="9"/>
  <c r="S691" i="9"/>
  <c r="AI690" i="9"/>
  <c r="AH690" i="9"/>
  <c r="AG690" i="9"/>
  <c r="AF690" i="9"/>
  <c r="S690" i="9"/>
  <c r="AI689" i="9"/>
  <c r="AH689" i="9"/>
  <c r="AG689" i="9"/>
  <c r="AF689" i="9"/>
  <c r="S689" i="9"/>
  <c r="AI688" i="9"/>
  <c r="AH688" i="9"/>
  <c r="AG688" i="9"/>
  <c r="AF688" i="9"/>
  <c r="S688" i="9"/>
  <c r="AI687" i="9"/>
  <c r="AH687" i="9"/>
  <c r="AG687" i="9"/>
  <c r="AF687" i="9"/>
  <c r="S687" i="9"/>
  <c r="AI686" i="9"/>
  <c r="AH686" i="9"/>
  <c r="AG686" i="9"/>
  <c r="AF686" i="9"/>
  <c r="S686" i="9"/>
  <c r="AI685" i="9"/>
  <c r="AH685" i="9"/>
  <c r="AG685" i="9"/>
  <c r="AF685" i="9"/>
  <c r="S685" i="9"/>
  <c r="AI684" i="9"/>
  <c r="AH684" i="9"/>
  <c r="AG684" i="9"/>
  <c r="AF684" i="9"/>
  <c r="S684" i="9"/>
  <c r="AI683" i="9"/>
  <c r="AH683" i="9"/>
  <c r="AG683" i="9"/>
  <c r="AF683" i="9"/>
  <c r="S683" i="9"/>
  <c r="AI682" i="9"/>
  <c r="AH682" i="9"/>
  <c r="AG682" i="9"/>
  <c r="AF682" i="9"/>
  <c r="S682" i="9"/>
  <c r="AI681" i="9"/>
  <c r="AH681" i="9"/>
  <c r="AG681" i="9"/>
  <c r="AF681" i="9"/>
  <c r="S681" i="9"/>
  <c r="AI680" i="9"/>
  <c r="AH680" i="9"/>
  <c r="AG680" i="9"/>
  <c r="AF680" i="9"/>
  <c r="S680" i="9"/>
  <c r="AI679" i="9"/>
  <c r="AH679" i="9"/>
  <c r="AG679" i="9"/>
  <c r="AF679" i="9"/>
  <c r="S679" i="9"/>
  <c r="AI678" i="9"/>
  <c r="AH678" i="9"/>
  <c r="AG678" i="9"/>
  <c r="AF678" i="9"/>
  <c r="S678" i="9"/>
  <c r="AI677" i="9"/>
  <c r="AH677" i="9"/>
  <c r="AG677" i="9"/>
  <c r="AF677" i="9"/>
  <c r="S677" i="9"/>
  <c r="AI676" i="9"/>
  <c r="AH676" i="9"/>
  <c r="AG676" i="9"/>
  <c r="AF676" i="9"/>
  <c r="S676" i="9"/>
  <c r="AI675" i="9"/>
  <c r="AH675" i="9"/>
  <c r="AG675" i="9"/>
  <c r="AF675" i="9"/>
  <c r="S675" i="9"/>
  <c r="AI674" i="9"/>
  <c r="AH674" i="9"/>
  <c r="AG674" i="9"/>
  <c r="AF674" i="9"/>
  <c r="S674" i="9"/>
  <c r="AI673" i="9"/>
  <c r="AH673" i="9"/>
  <c r="AG673" i="9"/>
  <c r="AF673" i="9"/>
  <c r="S673" i="9"/>
  <c r="AI672" i="9"/>
  <c r="AH672" i="9"/>
  <c r="AG672" i="9"/>
  <c r="AF672" i="9"/>
  <c r="S672" i="9"/>
  <c r="AI671" i="9"/>
  <c r="AH671" i="9"/>
  <c r="AG671" i="9"/>
  <c r="AF671" i="9"/>
  <c r="S671" i="9"/>
  <c r="AI670" i="9"/>
  <c r="AH670" i="9"/>
  <c r="AG670" i="9"/>
  <c r="AF670" i="9"/>
  <c r="S670" i="9"/>
  <c r="AI669" i="9"/>
  <c r="AH669" i="9"/>
  <c r="AG669" i="9"/>
  <c r="AF669" i="9"/>
  <c r="S669" i="9"/>
  <c r="AI668" i="9"/>
  <c r="AH668" i="9"/>
  <c r="AG668" i="9"/>
  <c r="AF668" i="9"/>
  <c r="S668" i="9"/>
  <c r="AI667" i="9"/>
  <c r="AH667" i="9"/>
  <c r="AG667" i="9"/>
  <c r="AF667" i="9"/>
  <c r="S667" i="9"/>
  <c r="AI666" i="9"/>
  <c r="AH666" i="9"/>
  <c r="AG666" i="9"/>
  <c r="AF666" i="9"/>
  <c r="S666" i="9"/>
  <c r="AI665" i="9"/>
  <c r="AH665" i="9"/>
  <c r="AG665" i="9"/>
  <c r="AF665" i="9"/>
  <c r="S665" i="9"/>
  <c r="AI664" i="9"/>
  <c r="AH664" i="9"/>
  <c r="AG664" i="9"/>
  <c r="AF664" i="9"/>
  <c r="S664" i="9"/>
  <c r="AI663" i="9"/>
  <c r="AH663" i="9"/>
  <c r="AG663" i="9"/>
  <c r="AF663" i="9"/>
  <c r="S663" i="9"/>
  <c r="AI662" i="9"/>
  <c r="AH662" i="9"/>
  <c r="AG662" i="9"/>
  <c r="AF662" i="9"/>
  <c r="S662" i="9"/>
  <c r="AI661" i="9"/>
  <c r="AH661" i="9"/>
  <c r="AG661" i="9"/>
  <c r="AF661" i="9"/>
  <c r="S661" i="9"/>
  <c r="AI660" i="9"/>
  <c r="AH660" i="9"/>
  <c r="AG660" i="9"/>
  <c r="AF660" i="9"/>
  <c r="S660" i="9"/>
  <c r="AI659" i="9"/>
  <c r="AH659" i="9"/>
  <c r="AG659" i="9"/>
  <c r="AF659" i="9"/>
  <c r="S659" i="9"/>
  <c r="AI658" i="9"/>
  <c r="AH658" i="9"/>
  <c r="AG658" i="9"/>
  <c r="AF658" i="9"/>
  <c r="S658" i="9"/>
  <c r="AI657" i="9"/>
  <c r="AH657" i="9"/>
  <c r="AG657" i="9"/>
  <c r="AF657" i="9"/>
  <c r="S657" i="9"/>
  <c r="AI656" i="9"/>
  <c r="AH656" i="9"/>
  <c r="AG656" i="9"/>
  <c r="AF656" i="9"/>
  <c r="S656" i="9"/>
  <c r="AI655" i="9"/>
  <c r="AH655" i="9"/>
  <c r="AG655" i="9"/>
  <c r="AF655" i="9"/>
  <c r="S655" i="9"/>
  <c r="AI654" i="9"/>
  <c r="AH654" i="9"/>
  <c r="AG654" i="9"/>
  <c r="AF654" i="9"/>
  <c r="S654" i="9"/>
  <c r="AI653" i="9"/>
  <c r="AH653" i="9"/>
  <c r="AG653" i="9"/>
  <c r="AF653" i="9"/>
  <c r="S653" i="9"/>
  <c r="AI652" i="9"/>
  <c r="AH652" i="9"/>
  <c r="AG652" i="9"/>
  <c r="AF652" i="9"/>
  <c r="S652" i="9"/>
  <c r="AI651" i="9"/>
  <c r="AH651" i="9"/>
  <c r="AG651" i="9"/>
  <c r="AF651" i="9"/>
  <c r="S651" i="9"/>
  <c r="AI650" i="9"/>
  <c r="AH650" i="9"/>
  <c r="AG650" i="9"/>
  <c r="AF650" i="9"/>
  <c r="S650" i="9"/>
  <c r="AI649" i="9"/>
  <c r="AH649" i="9"/>
  <c r="AG649" i="9"/>
  <c r="AF649" i="9"/>
  <c r="S649" i="9"/>
  <c r="AI648" i="9"/>
  <c r="AH648" i="9"/>
  <c r="AG648" i="9"/>
  <c r="AF648" i="9"/>
  <c r="S648" i="9"/>
  <c r="AI647" i="9"/>
  <c r="AH647" i="9"/>
  <c r="AG647" i="9"/>
  <c r="AF647" i="9"/>
  <c r="S647" i="9"/>
  <c r="AI646" i="9"/>
  <c r="AH646" i="9"/>
  <c r="AG646" i="9"/>
  <c r="AF646" i="9"/>
  <c r="S646" i="9"/>
  <c r="AI645" i="9"/>
  <c r="AH645" i="9"/>
  <c r="AG645" i="9"/>
  <c r="AF645" i="9"/>
  <c r="S645" i="9"/>
  <c r="AI644" i="9"/>
  <c r="AH644" i="9"/>
  <c r="AG644" i="9"/>
  <c r="AF644" i="9"/>
  <c r="S644" i="9"/>
  <c r="AI643" i="9"/>
  <c r="AH643" i="9"/>
  <c r="AG643" i="9"/>
  <c r="AF643" i="9"/>
  <c r="S643" i="9"/>
  <c r="AI642" i="9"/>
  <c r="AH642" i="9"/>
  <c r="AG642" i="9"/>
  <c r="AF642" i="9"/>
  <c r="S642" i="9"/>
  <c r="AI641" i="9"/>
  <c r="AH641" i="9"/>
  <c r="AG641" i="9"/>
  <c r="AF641" i="9"/>
  <c r="S641" i="9"/>
  <c r="AI640" i="9"/>
  <c r="AH640" i="9"/>
  <c r="AG640" i="9"/>
  <c r="AF640" i="9"/>
  <c r="S640" i="9"/>
  <c r="AI639" i="9"/>
  <c r="AH639" i="9"/>
  <c r="AG639" i="9"/>
  <c r="AF639" i="9"/>
  <c r="S639" i="9"/>
  <c r="AI638" i="9"/>
  <c r="AH638" i="9"/>
  <c r="AG638" i="9"/>
  <c r="AF638" i="9"/>
  <c r="S638" i="9"/>
  <c r="AI637" i="9"/>
  <c r="AH637" i="9"/>
  <c r="AG637" i="9"/>
  <c r="AF637" i="9"/>
  <c r="S637" i="9"/>
  <c r="AI636" i="9"/>
  <c r="AH636" i="9"/>
  <c r="AG636" i="9"/>
  <c r="AF636" i="9"/>
  <c r="S636" i="9"/>
  <c r="AI635" i="9"/>
  <c r="AH635" i="9"/>
  <c r="AG635" i="9"/>
  <c r="AF635" i="9"/>
  <c r="S635" i="9"/>
  <c r="AI634" i="9"/>
  <c r="AH634" i="9"/>
  <c r="AG634" i="9"/>
  <c r="AF634" i="9"/>
  <c r="S634" i="9"/>
  <c r="AI633" i="9"/>
  <c r="AH633" i="9"/>
  <c r="AG633" i="9"/>
  <c r="AF633" i="9"/>
  <c r="S633" i="9"/>
  <c r="AI632" i="9"/>
  <c r="AH632" i="9"/>
  <c r="AG632" i="9"/>
  <c r="AF632" i="9"/>
  <c r="S632" i="9"/>
  <c r="AI631" i="9"/>
  <c r="AH631" i="9"/>
  <c r="AG631" i="9"/>
  <c r="AF631" i="9"/>
  <c r="S631" i="9"/>
  <c r="AI630" i="9"/>
  <c r="AH630" i="9"/>
  <c r="AG630" i="9"/>
  <c r="AF630" i="9"/>
  <c r="S630" i="9"/>
  <c r="AI629" i="9"/>
  <c r="AH629" i="9"/>
  <c r="AG629" i="9"/>
  <c r="AF629" i="9"/>
  <c r="S629" i="9"/>
  <c r="AI628" i="9"/>
  <c r="AH628" i="9"/>
  <c r="AG628" i="9"/>
  <c r="AF628" i="9"/>
  <c r="S628" i="9"/>
  <c r="AI627" i="9"/>
  <c r="AH627" i="9"/>
  <c r="AG627" i="9"/>
  <c r="AF627" i="9"/>
  <c r="S627" i="9"/>
  <c r="AI626" i="9"/>
  <c r="AH626" i="9"/>
  <c r="AG626" i="9"/>
  <c r="AF626" i="9"/>
  <c r="S626" i="9"/>
  <c r="AI625" i="9"/>
  <c r="AH625" i="9"/>
  <c r="AG625" i="9"/>
  <c r="AF625" i="9"/>
  <c r="S625" i="9"/>
  <c r="AI624" i="9"/>
  <c r="AH624" i="9"/>
  <c r="AG624" i="9"/>
  <c r="AF624" i="9"/>
  <c r="S624" i="9"/>
  <c r="AI623" i="9"/>
  <c r="AH623" i="9"/>
  <c r="AG623" i="9"/>
  <c r="AF623" i="9"/>
  <c r="S623" i="9"/>
  <c r="AI622" i="9"/>
  <c r="AH622" i="9"/>
  <c r="AG622" i="9"/>
  <c r="AF622" i="9"/>
  <c r="S622" i="9"/>
  <c r="AI621" i="9"/>
  <c r="AH621" i="9"/>
  <c r="AG621" i="9"/>
  <c r="AF621" i="9"/>
  <c r="S621" i="9"/>
  <c r="AI620" i="9"/>
  <c r="AH620" i="9"/>
  <c r="AG620" i="9"/>
  <c r="AF620" i="9"/>
  <c r="S620" i="9"/>
  <c r="AI619" i="9"/>
  <c r="AH619" i="9"/>
  <c r="AG619" i="9"/>
  <c r="AF619" i="9"/>
  <c r="S619" i="9"/>
  <c r="AI618" i="9"/>
  <c r="AH618" i="9"/>
  <c r="AG618" i="9"/>
  <c r="AF618" i="9"/>
  <c r="S618" i="9"/>
  <c r="AI617" i="9"/>
  <c r="AH617" i="9"/>
  <c r="AG617" i="9"/>
  <c r="AF617" i="9"/>
  <c r="S617" i="9"/>
  <c r="AI616" i="9"/>
  <c r="AH616" i="9"/>
  <c r="AG616" i="9"/>
  <c r="AF616" i="9"/>
  <c r="S616" i="9"/>
  <c r="AI615" i="9"/>
  <c r="AH615" i="9"/>
  <c r="AG615" i="9"/>
  <c r="AF615" i="9"/>
  <c r="S615" i="9"/>
  <c r="AI614" i="9"/>
  <c r="AH614" i="9"/>
  <c r="AG614" i="9"/>
  <c r="AF614" i="9"/>
  <c r="S614" i="9"/>
  <c r="AI613" i="9"/>
  <c r="AH613" i="9"/>
  <c r="AG613" i="9"/>
  <c r="AF613" i="9"/>
  <c r="S613" i="9"/>
  <c r="AI612" i="9"/>
  <c r="AH612" i="9"/>
  <c r="AG612" i="9"/>
  <c r="AF612" i="9"/>
  <c r="S612" i="9"/>
  <c r="AI611" i="9"/>
  <c r="AH611" i="9"/>
  <c r="AG611" i="9"/>
  <c r="AF611" i="9"/>
  <c r="S611" i="9"/>
  <c r="AI610" i="9"/>
  <c r="AH610" i="9"/>
  <c r="AG610" i="9"/>
  <c r="AF610" i="9"/>
  <c r="S610" i="9"/>
  <c r="AI609" i="9"/>
  <c r="AH609" i="9"/>
  <c r="AG609" i="9"/>
  <c r="AF609" i="9"/>
  <c r="S609" i="9"/>
  <c r="AI608" i="9"/>
  <c r="AH608" i="9"/>
  <c r="AG608" i="9"/>
  <c r="AF608" i="9"/>
  <c r="S608" i="9"/>
  <c r="AI607" i="9"/>
  <c r="AH607" i="9"/>
  <c r="AG607" i="9"/>
  <c r="AF607" i="9"/>
  <c r="S607" i="9"/>
  <c r="AI606" i="9"/>
  <c r="AH606" i="9"/>
  <c r="AG606" i="9"/>
  <c r="AF606" i="9"/>
  <c r="S606" i="9"/>
  <c r="AI605" i="9"/>
  <c r="AH605" i="9"/>
  <c r="AG605" i="9"/>
  <c r="AF605" i="9"/>
  <c r="S605" i="9"/>
  <c r="AI604" i="9"/>
  <c r="AH604" i="9"/>
  <c r="AG604" i="9"/>
  <c r="AF604" i="9"/>
  <c r="S604" i="9"/>
  <c r="AI603" i="9"/>
  <c r="AH603" i="9"/>
  <c r="AG603" i="9"/>
  <c r="AF603" i="9"/>
  <c r="S603" i="9"/>
  <c r="AI602" i="9"/>
  <c r="AH602" i="9"/>
  <c r="AG602" i="9"/>
  <c r="AF602" i="9"/>
  <c r="S602" i="9"/>
  <c r="AI601" i="9"/>
  <c r="AH601" i="9"/>
  <c r="AG601" i="9"/>
  <c r="AF601" i="9"/>
  <c r="S601" i="9"/>
  <c r="AI600" i="9"/>
  <c r="AH600" i="9"/>
  <c r="AG600" i="9"/>
  <c r="AF600" i="9"/>
  <c r="S600" i="9"/>
  <c r="AI599" i="9"/>
  <c r="AH599" i="9"/>
  <c r="AG599" i="9"/>
  <c r="AF599" i="9"/>
  <c r="S599" i="9"/>
  <c r="AI598" i="9"/>
  <c r="AH598" i="9"/>
  <c r="AG598" i="9"/>
  <c r="AF598" i="9"/>
  <c r="S598" i="9"/>
  <c r="AI597" i="9"/>
  <c r="AH597" i="9"/>
  <c r="AG597" i="9"/>
  <c r="AF597" i="9"/>
  <c r="S597" i="9"/>
  <c r="AI596" i="9"/>
  <c r="AH596" i="9"/>
  <c r="AG596" i="9"/>
  <c r="AF596" i="9"/>
  <c r="S596" i="9"/>
  <c r="AI595" i="9"/>
  <c r="AH595" i="9"/>
  <c r="AG595" i="9"/>
  <c r="AF595" i="9"/>
  <c r="S595" i="9"/>
  <c r="AI594" i="9"/>
  <c r="AH594" i="9"/>
  <c r="AG594" i="9"/>
  <c r="AF594" i="9"/>
  <c r="S594" i="9"/>
  <c r="AI593" i="9"/>
  <c r="AH593" i="9"/>
  <c r="AG593" i="9"/>
  <c r="AF593" i="9"/>
  <c r="S593" i="9"/>
  <c r="AI592" i="9"/>
  <c r="AH592" i="9"/>
  <c r="AG592" i="9"/>
  <c r="AF592" i="9"/>
  <c r="S592" i="9"/>
  <c r="AI591" i="9"/>
  <c r="AH591" i="9"/>
  <c r="AG591" i="9"/>
  <c r="AF591" i="9"/>
  <c r="S591" i="9"/>
  <c r="AI590" i="9"/>
  <c r="AH590" i="9"/>
  <c r="AG590" i="9"/>
  <c r="AF590" i="9"/>
  <c r="S590" i="9"/>
  <c r="AI589" i="9"/>
  <c r="AH589" i="9"/>
  <c r="AG589" i="9"/>
  <c r="AF589" i="9"/>
  <c r="S589" i="9"/>
  <c r="AI588" i="9"/>
  <c r="AH588" i="9"/>
  <c r="AG588" i="9"/>
  <c r="AF588" i="9"/>
  <c r="S588" i="9"/>
  <c r="AI587" i="9"/>
  <c r="AH587" i="9"/>
  <c r="AG587" i="9"/>
  <c r="AF587" i="9"/>
  <c r="S587" i="9"/>
  <c r="AI586" i="9"/>
  <c r="AH586" i="9"/>
  <c r="AG586" i="9"/>
  <c r="AF586" i="9"/>
  <c r="S586" i="9"/>
  <c r="AI585" i="9"/>
  <c r="AH585" i="9"/>
  <c r="AG585" i="9"/>
  <c r="AF585" i="9"/>
  <c r="S585" i="9"/>
  <c r="AI584" i="9"/>
  <c r="AH584" i="9"/>
  <c r="AG584" i="9"/>
  <c r="AF584" i="9"/>
  <c r="S584" i="9"/>
  <c r="AI583" i="9"/>
  <c r="AH583" i="9"/>
  <c r="AG583" i="9"/>
  <c r="AF583" i="9"/>
  <c r="S583" i="9"/>
  <c r="AI582" i="9"/>
  <c r="AH582" i="9"/>
  <c r="AG582" i="9"/>
  <c r="AF582" i="9"/>
  <c r="S582" i="9"/>
  <c r="AI581" i="9"/>
  <c r="AH581" i="9"/>
  <c r="AG581" i="9"/>
  <c r="AF581" i="9"/>
  <c r="S581" i="9"/>
  <c r="AI580" i="9"/>
  <c r="AH580" i="9"/>
  <c r="AG580" i="9"/>
  <c r="AF580" i="9"/>
  <c r="S580" i="9"/>
  <c r="AI579" i="9"/>
  <c r="AH579" i="9"/>
  <c r="AG579" i="9"/>
  <c r="AF579" i="9"/>
  <c r="S579" i="9"/>
  <c r="AI578" i="9"/>
  <c r="AH578" i="9"/>
  <c r="AG578" i="9"/>
  <c r="AF578" i="9"/>
  <c r="S578" i="9"/>
  <c r="AI577" i="9"/>
  <c r="AH577" i="9"/>
  <c r="AG577" i="9"/>
  <c r="AF577" i="9"/>
  <c r="S577" i="9"/>
  <c r="AI576" i="9"/>
  <c r="AH576" i="9"/>
  <c r="AG576" i="9"/>
  <c r="AF576" i="9"/>
  <c r="S576" i="9"/>
  <c r="AI575" i="9"/>
  <c r="AH575" i="9"/>
  <c r="AG575" i="9"/>
  <c r="AF575" i="9"/>
  <c r="S575" i="9"/>
  <c r="AI574" i="9"/>
  <c r="AH574" i="9"/>
  <c r="AG574" i="9"/>
  <c r="AF574" i="9"/>
  <c r="S574" i="9"/>
  <c r="AI573" i="9"/>
  <c r="AH573" i="9"/>
  <c r="AG573" i="9"/>
  <c r="AF573" i="9"/>
  <c r="S573" i="9"/>
  <c r="AI572" i="9"/>
  <c r="AH572" i="9"/>
  <c r="AG572" i="9"/>
  <c r="AF572" i="9"/>
  <c r="S572" i="9"/>
  <c r="AI571" i="9"/>
  <c r="AH571" i="9"/>
  <c r="AG571" i="9"/>
  <c r="AF571" i="9"/>
  <c r="S571" i="9"/>
  <c r="AI570" i="9"/>
  <c r="AH570" i="9"/>
  <c r="AG570" i="9"/>
  <c r="AF570" i="9"/>
  <c r="S570" i="9"/>
  <c r="AI569" i="9"/>
  <c r="AH569" i="9"/>
  <c r="AG569" i="9"/>
  <c r="AF569" i="9"/>
  <c r="S569" i="9"/>
  <c r="AI568" i="9"/>
  <c r="AH568" i="9"/>
  <c r="AG568" i="9"/>
  <c r="AF568" i="9"/>
  <c r="S568" i="9"/>
  <c r="AI567" i="9"/>
  <c r="AH567" i="9"/>
  <c r="AG567" i="9"/>
  <c r="AF567" i="9"/>
  <c r="S567" i="9"/>
  <c r="AI566" i="9"/>
  <c r="AH566" i="9"/>
  <c r="AG566" i="9"/>
  <c r="AF566" i="9"/>
  <c r="S566" i="9"/>
  <c r="AI565" i="9"/>
  <c r="AH565" i="9"/>
  <c r="AG565" i="9"/>
  <c r="AF565" i="9"/>
  <c r="S565" i="9"/>
  <c r="AI564" i="9"/>
  <c r="AH564" i="9"/>
  <c r="AG564" i="9"/>
  <c r="AF564" i="9"/>
  <c r="S564" i="9"/>
  <c r="AI563" i="9"/>
  <c r="AH563" i="9"/>
  <c r="AG563" i="9"/>
  <c r="AF563" i="9"/>
  <c r="S563" i="9"/>
  <c r="AI562" i="9"/>
  <c r="AH562" i="9"/>
  <c r="AG562" i="9"/>
  <c r="AF562" i="9"/>
  <c r="S562" i="9"/>
  <c r="AI561" i="9"/>
  <c r="AH561" i="9"/>
  <c r="AG561" i="9"/>
  <c r="AF561" i="9"/>
  <c r="S561" i="9"/>
  <c r="AI560" i="9"/>
  <c r="AH560" i="9"/>
  <c r="AG560" i="9"/>
  <c r="AF560" i="9"/>
  <c r="S560" i="9"/>
  <c r="AI559" i="9"/>
  <c r="AH559" i="9"/>
  <c r="AG559" i="9"/>
  <c r="AF559" i="9"/>
  <c r="S559" i="9"/>
  <c r="AI558" i="9"/>
  <c r="AH558" i="9"/>
  <c r="AG558" i="9"/>
  <c r="AF558" i="9"/>
  <c r="S558" i="9"/>
  <c r="AI557" i="9"/>
  <c r="AH557" i="9"/>
  <c r="AG557" i="9"/>
  <c r="AF557" i="9"/>
  <c r="S557" i="9"/>
  <c r="AI556" i="9"/>
  <c r="AH556" i="9"/>
  <c r="AG556" i="9"/>
  <c r="AF556" i="9"/>
  <c r="S556" i="9"/>
  <c r="AI555" i="9"/>
  <c r="AH555" i="9"/>
  <c r="AG555" i="9"/>
  <c r="AF555" i="9"/>
  <c r="S555" i="9"/>
  <c r="AI554" i="9"/>
  <c r="AH554" i="9"/>
  <c r="AG554" i="9"/>
  <c r="AF554" i="9"/>
  <c r="S554" i="9"/>
  <c r="AI553" i="9"/>
  <c r="AH553" i="9"/>
  <c r="AG553" i="9"/>
  <c r="AF553" i="9"/>
  <c r="S553" i="9"/>
  <c r="AI552" i="9"/>
  <c r="AH552" i="9"/>
  <c r="AG552" i="9"/>
  <c r="AF552" i="9"/>
  <c r="S552" i="9"/>
  <c r="AI551" i="9"/>
  <c r="AH551" i="9"/>
  <c r="AG551" i="9"/>
  <c r="AF551" i="9"/>
  <c r="S551" i="9"/>
  <c r="AI550" i="9"/>
  <c r="AH550" i="9"/>
  <c r="AG550" i="9"/>
  <c r="AF550" i="9"/>
  <c r="S550" i="9"/>
  <c r="AI549" i="9"/>
  <c r="AH549" i="9"/>
  <c r="AG549" i="9"/>
  <c r="AF549" i="9"/>
  <c r="S549" i="9"/>
  <c r="AI548" i="9"/>
  <c r="AH548" i="9"/>
  <c r="AG548" i="9"/>
  <c r="AF548" i="9"/>
  <c r="S548" i="9"/>
  <c r="AI547" i="9"/>
  <c r="AH547" i="9"/>
  <c r="AG547" i="9"/>
  <c r="AF547" i="9"/>
  <c r="S547" i="9"/>
  <c r="AI546" i="9"/>
  <c r="AH546" i="9"/>
  <c r="AG546" i="9"/>
  <c r="AF546" i="9"/>
  <c r="S546" i="9"/>
  <c r="AI545" i="9"/>
  <c r="AH545" i="9"/>
  <c r="AG545" i="9"/>
  <c r="AF545" i="9"/>
  <c r="S545" i="9"/>
  <c r="AI544" i="9"/>
  <c r="AH544" i="9"/>
  <c r="AG544" i="9"/>
  <c r="AF544" i="9"/>
  <c r="S544" i="9"/>
  <c r="AI543" i="9"/>
  <c r="AH543" i="9"/>
  <c r="AG543" i="9"/>
  <c r="AF543" i="9"/>
  <c r="S543" i="9"/>
  <c r="AI542" i="9"/>
  <c r="AH542" i="9"/>
  <c r="AG542" i="9"/>
  <c r="AF542" i="9"/>
  <c r="S542" i="9"/>
  <c r="AI541" i="9"/>
  <c r="AH541" i="9"/>
  <c r="AG541" i="9"/>
  <c r="AF541" i="9"/>
  <c r="S541" i="9"/>
  <c r="AI540" i="9"/>
  <c r="AH540" i="9"/>
  <c r="AG540" i="9"/>
  <c r="AF540" i="9"/>
  <c r="S540" i="9"/>
  <c r="AI539" i="9"/>
  <c r="AH539" i="9"/>
  <c r="AG539" i="9"/>
  <c r="AF539" i="9"/>
  <c r="S539" i="9"/>
  <c r="AI538" i="9"/>
  <c r="AH538" i="9"/>
  <c r="AG538" i="9"/>
  <c r="AF538" i="9"/>
  <c r="S538" i="9"/>
  <c r="AI537" i="9"/>
  <c r="AH537" i="9"/>
  <c r="AG537" i="9"/>
  <c r="AF537" i="9"/>
  <c r="S537" i="9"/>
  <c r="AI536" i="9"/>
  <c r="AH536" i="9"/>
  <c r="AG536" i="9"/>
  <c r="AF536" i="9"/>
  <c r="S536" i="9"/>
  <c r="AI535" i="9"/>
  <c r="AH535" i="9"/>
  <c r="AG535" i="9"/>
  <c r="AF535" i="9"/>
  <c r="S535" i="9"/>
  <c r="AI534" i="9"/>
  <c r="AH534" i="9"/>
  <c r="AG534" i="9"/>
  <c r="AF534" i="9"/>
  <c r="S534" i="9"/>
  <c r="AI533" i="9"/>
  <c r="AH533" i="9"/>
  <c r="AG533" i="9"/>
  <c r="AF533" i="9"/>
  <c r="S533" i="9"/>
  <c r="AI532" i="9"/>
  <c r="AH532" i="9"/>
  <c r="AG532" i="9"/>
  <c r="AF532" i="9"/>
  <c r="S532" i="9"/>
  <c r="AI531" i="9"/>
  <c r="AH531" i="9"/>
  <c r="AG531" i="9"/>
  <c r="AF531" i="9"/>
  <c r="S531" i="9"/>
  <c r="AI530" i="9"/>
  <c r="AH530" i="9"/>
  <c r="AG530" i="9"/>
  <c r="AF530" i="9"/>
  <c r="S530" i="9"/>
  <c r="AI529" i="9"/>
  <c r="AH529" i="9"/>
  <c r="AG529" i="9"/>
  <c r="AF529" i="9"/>
  <c r="S529" i="9"/>
  <c r="AI528" i="9"/>
  <c r="AH528" i="9"/>
  <c r="AG528" i="9"/>
  <c r="AF528" i="9"/>
  <c r="S528" i="9"/>
  <c r="AI527" i="9"/>
  <c r="AH527" i="9"/>
  <c r="AG527" i="9"/>
  <c r="AF527" i="9"/>
  <c r="S527" i="9"/>
  <c r="AI526" i="9"/>
  <c r="AH526" i="9"/>
  <c r="AG526" i="9"/>
  <c r="AF526" i="9"/>
  <c r="S526" i="9"/>
  <c r="AI525" i="9"/>
  <c r="AH525" i="9"/>
  <c r="AG525" i="9"/>
  <c r="AF525" i="9"/>
  <c r="S525" i="9"/>
  <c r="AI524" i="9"/>
  <c r="AH524" i="9"/>
  <c r="AG524" i="9"/>
  <c r="AF524" i="9"/>
  <c r="S524" i="9"/>
  <c r="AI523" i="9"/>
  <c r="AH523" i="9"/>
  <c r="AG523" i="9"/>
  <c r="AF523" i="9"/>
  <c r="S523" i="9"/>
  <c r="AI522" i="9"/>
  <c r="AH522" i="9"/>
  <c r="AG522" i="9"/>
  <c r="AF522" i="9"/>
  <c r="S522" i="9"/>
  <c r="AI521" i="9"/>
  <c r="AH521" i="9"/>
  <c r="AG521" i="9"/>
  <c r="AF521" i="9"/>
  <c r="S521" i="9"/>
  <c r="AI520" i="9"/>
  <c r="AH520" i="9"/>
  <c r="AG520" i="9"/>
  <c r="AF520" i="9"/>
  <c r="S520" i="9"/>
  <c r="AI519" i="9"/>
  <c r="AH519" i="9"/>
  <c r="AG519" i="9"/>
  <c r="AF519" i="9"/>
  <c r="S519" i="9"/>
  <c r="AI518" i="9"/>
  <c r="AH518" i="9"/>
  <c r="AG518" i="9"/>
  <c r="AF518" i="9"/>
  <c r="S518" i="9"/>
  <c r="AI517" i="9"/>
  <c r="AH517" i="9"/>
  <c r="AG517" i="9"/>
  <c r="AF517" i="9"/>
  <c r="S517" i="9"/>
  <c r="AI516" i="9"/>
  <c r="AH516" i="9"/>
  <c r="AG516" i="9"/>
  <c r="AF516" i="9"/>
  <c r="S516" i="9"/>
  <c r="AI515" i="9"/>
  <c r="AH515" i="9"/>
  <c r="AG515" i="9"/>
  <c r="AF515" i="9"/>
  <c r="S515" i="9"/>
  <c r="AI514" i="9"/>
  <c r="AH514" i="9"/>
  <c r="AG514" i="9"/>
  <c r="AF514" i="9"/>
  <c r="S514" i="9"/>
  <c r="AI513" i="9"/>
  <c r="AH513" i="9"/>
  <c r="AG513" i="9"/>
  <c r="AF513" i="9"/>
  <c r="S513" i="9"/>
  <c r="AI512" i="9"/>
  <c r="AH512" i="9"/>
  <c r="AG512" i="9"/>
  <c r="AF512" i="9"/>
  <c r="S512" i="9"/>
  <c r="AI511" i="9"/>
  <c r="AH511" i="9"/>
  <c r="AG511" i="9"/>
  <c r="AF511" i="9"/>
  <c r="S511" i="9"/>
  <c r="AI510" i="9"/>
  <c r="AH510" i="9"/>
  <c r="AG510" i="9"/>
  <c r="AF510" i="9"/>
  <c r="S510" i="9"/>
  <c r="AI509" i="9"/>
  <c r="AH509" i="9"/>
  <c r="AG509" i="9"/>
  <c r="AF509" i="9"/>
  <c r="S509" i="9"/>
  <c r="AI508" i="9"/>
  <c r="AH508" i="9"/>
  <c r="AG508" i="9"/>
  <c r="AF508" i="9"/>
  <c r="S508" i="9"/>
  <c r="AI507" i="9"/>
  <c r="AH507" i="9"/>
  <c r="AG507" i="9"/>
  <c r="AF507" i="9"/>
  <c r="S507" i="9"/>
  <c r="AI506" i="9"/>
  <c r="AH506" i="9"/>
  <c r="AG506" i="9"/>
  <c r="AF506" i="9"/>
  <c r="S506" i="9"/>
  <c r="AI505" i="9"/>
  <c r="AH505" i="9"/>
  <c r="AG505" i="9"/>
  <c r="AF505" i="9"/>
  <c r="S505" i="9"/>
  <c r="AI504" i="9"/>
  <c r="AH504" i="9"/>
  <c r="AG504" i="9"/>
  <c r="AF504" i="9"/>
  <c r="S504" i="9"/>
  <c r="AI503" i="9"/>
  <c r="AH503" i="9"/>
  <c r="AG503" i="9"/>
  <c r="AF503" i="9"/>
  <c r="S503" i="9"/>
  <c r="AI502" i="9"/>
  <c r="AH502" i="9"/>
  <c r="AG502" i="9"/>
  <c r="AF502" i="9"/>
  <c r="S502" i="9"/>
  <c r="AI501" i="9"/>
  <c r="AH501" i="9"/>
  <c r="AG501" i="9"/>
  <c r="AF501" i="9"/>
  <c r="S501" i="9"/>
  <c r="AI500" i="9"/>
  <c r="AH500" i="9"/>
  <c r="AG500" i="9"/>
  <c r="AF500" i="9"/>
  <c r="S500" i="9"/>
  <c r="AI499" i="9"/>
  <c r="AH499" i="9"/>
  <c r="AG499" i="9"/>
  <c r="AF499" i="9"/>
  <c r="S499" i="9"/>
  <c r="AI498" i="9"/>
  <c r="AH498" i="9"/>
  <c r="AG498" i="9"/>
  <c r="AF498" i="9"/>
  <c r="S498" i="9"/>
  <c r="AI497" i="9"/>
  <c r="AH497" i="9"/>
  <c r="AG497" i="9"/>
  <c r="AF497" i="9"/>
  <c r="S497" i="9"/>
  <c r="AI496" i="9"/>
  <c r="AH496" i="9"/>
  <c r="AG496" i="9"/>
  <c r="AF496" i="9"/>
  <c r="S496" i="9"/>
  <c r="AI495" i="9"/>
  <c r="AH495" i="9"/>
  <c r="AG495" i="9"/>
  <c r="AF495" i="9"/>
  <c r="S495" i="9"/>
  <c r="AI494" i="9"/>
  <c r="AH494" i="9"/>
  <c r="AG494" i="9"/>
  <c r="AF494" i="9"/>
  <c r="S494" i="9"/>
  <c r="AI493" i="9"/>
  <c r="AH493" i="9"/>
  <c r="AG493" i="9"/>
  <c r="AF493" i="9"/>
  <c r="S493" i="9"/>
  <c r="AI492" i="9"/>
  <c r="AH492" i="9"/>
  <c r="AG492" i="9"/>
  <c r="AF492" i="9"/>
  <c r="S492" i="9"/>
  <c r="AI491" i="9"/>
  <c r="AH491" i="9"/>
  <c r="AG491" i="9"/>
  <c r="AF491" i="9"/>
  <c r="S491" i="9"/>
  <c r="AI490" i="9"/>
  <c r="AH490" i="9"/>
  <c r="AG490" i="9"/>
  <c r="AF490" i="9"/>
  <c r="S490" i="9"/>
  <c r="AI489" i="9"/>
  <c r="AH489" i="9"/>
  <c r="AG489" i="9"/>
  <c r="AF489" i="9"/>
  <c r="S489" i="9"/>
  <c r="AI488" i="9"/>
  <c r="AH488" i="9"/>
  <c r="AG488" i="9"/>
  <c r="AF488" i="9"/>
  <c r="S488" i="9"/>
  <c r="AI487" i="9"/>
  <c r="AH487" i="9"/>
  <c r="AG487" i="9"/>
  <c r="AF487" i="9"/>
  <c r="S487" i="9"/>
  <c r="AI486" i="9"/>
  <c r="AH486" i="9"/>
  <c r="AG486" i="9"/>
  <c r="AF486" i="9"/>
  <c r="S486" i="9"/>
  <c r="AI485" i="9"/>
  <c r="AH485" i="9"/>
  <c r="AG485" i="9"/>
  <c r="AF485" i="9"/>
  <c r="S485" i="9"/>
  <c r="AI484" i="9"/>
  <c r="AH484" i="9"/>
  <c r="AG484" i="9"/>
  <c r="AF484" i="9"/>
  <c r="S484" i="9"/>
  <c r="AI483" i="9"/>
  <c r="AH483" i="9"/>
  <c r="AG483" i="9"/>
  <c r="AF483" i="9"/>
  <c r="S483" i="9"/>
  <c r="AI482" i="9"/>
  <c r="AH482" i="9"/>
  <c r="AG482" i="9"/>
  <c r="AF482" i="9"/>
  <c r="S482" i="9"/>
  <c r="AI481" i="9"/>
  <c r="AH481" i="9"/>
  <c r="AG481" i="9"/>
  <c r="AF481" i="9"/>
  <c r="S481" i="9"/>
  <c r="AI480" i="9"/>
  <c r="AH480" i="9"/>
  <c r="AG480" i="9"/>
  <c r="AF480" i="9"/>
  <c r="S480" i="9"/>
  <c r="AI479" i="9"/>
  <c r="AH479" i="9"/>
  <c r="AG479" i="9"/>
  <c r="AF479" i="9"/>
  <c r="S479" i="9"/>
  <c r="AI478" i="9"/>
  <c r="AH478" i="9"/>
  <c r="AG478" i="9"/>
  <c r="AF478" i="9"/>
  <c r="S478" i="9"/>
  <c r="AI477" i="9"/>
  <c r="AH477" i="9"/>
  <c r="AG477" i="9"/>
  <c r="AF477" i="9"/>
  <c r="S477" i="9"/>
  <c r="AI476" i="9"/>
  <c r="AH476" i="9"/>
  <c r="AG476" i="9"/>
  <c r="AF476" i="9"/>
  <c r="S476" i="9"/>
  <c r="AI475" i="9"/>
  <c r="AH475" i="9"/>
  <c r="AG475" i="9"/>
  <c r="AF475" i="9"/>
  <c r="S475" i="9"/>
  <c r="AI474" i="9"/>
  <c r="AH474" i="9"/>
  <c r="AG474" i="9"/>
  <c r="AF474" i="9"/>
  <c r="S474" i="9"/>
  <c r="AI473" i="9"/>
  <c r="AH473" i="9"/>
  <c r="AG473" i="9"/>
  <c r="AF473" i="9"/>
  <c r="S473" i="9"/>
  <c r="AI472" i="9"/>
  <c r="AH472" i="9"/>
  <c r="AG472" i="9"/>
  <c r="AF472" i="9"/>
  <c r="S472" i="9"/>
  <c r="AI471" i="9"/>
  <c r="AH471" i="9"/>
  <c r="AG471" i="9"/>
  <c r="AF471" i="9"/>
  <c r="S471" i="9"/>
  <c r="AI470" i="9"/>
  <c r="AH470" i="9"/>
  <c r="AG470" i="9"/>
  <c r="AF470" i="9"/>
  <c r="S470" i="9"/>
  <c r="AI469" i="9"/>
  <c r="AH469" i="9"/>
  <c r="AG469" i="9"/>
  <c r="AF469" i="9"/>
  <c r="S469" i="9"/>
  <c r="AI468" i="9"/>
  <c r="AH468" i="9"/>
  <c r="AG468" i="9"/>
  <c r="AF468" i="9"/>
  <c r="S468" i="9"/>
  <c r="AI467" i="9"/>
  <c r="AH467" i="9"/>
  <c r="AG467" i="9"/>
  <c r="AF467" i="9"/>
  <c r="S467" i="9"/>
  <c r="AI466" i="9"/>
  <c r="AH466" i="9"/>
  <c r="AG466" i="9"/>
  <c r="AF466" i="9"/>
  <c r="S466" i="9"/>
  <c r="AI465" i="9"/>
  <c r="AH465" i="9"/>
  <c r="AG465" i="9"/>
  <c r="AF465" i="9"/>
  <c r="S465" i="9"/>
  <c r="AI464" i="9"/>
  <c r="AH464" i="9"/>
  <c r="AG464" i="9"/>
  <c r="AF464" i="9"/>
  <c r="S464" i="9"/>
  <c r="AI463" i="9"/>
  <c r="AH463" i="9"/>
  <c r="AG463" i="9"/>
  <c r="AF463" i="9"/>
  <c r="S463" i="9"/>
  <c r="AI462" i="9"/>
  <c r="AH462" i="9"/>
  <c r="AG462" i="9"/>
  <c r="AF462" i="9"/>
  <c r="S462" i="9"/>
  <c r="AI461" i="9"/>
  <c r="AH461" i="9"/>
  <c r="AG461" i="9"/>
  <c r="AF461" i="9"/>
  <c r="S461" i="9"/>
  <c r="AI460" i="9"/>
  <c r="AH460" i="9"/>
  <c r="AG460" i="9"/>
  <c r="AF460" i="9"/>
  <c r="S460" i="9"/>
  <c r="AI459" i="9"/>
  <c r="AH459" i="9"/>
  <c r="AG459" i="9"/>
  <c r="AF459" i="9"/>
  <c r="S459" i="9"/>
  <c r="AI458" i="9"/>
  <c r="AH458" i="9"/>
  <c r="AG458" i="9"/>
  <c r="AF458" i="9"/>
  <c r="S458" i="9"/>
  <c r="AI457" i="9"/>
  <c r="AH457" i="9"/>
  <c r="AG457" i="9"/>
  <c r="AF457" i="9"/>
  <c r="S457" i="9"/>
  <c r="AI456" i="9"/>
  <c r="AH456" i="9"/>
  <c r="AG456" i="9"/>
  <c r="AF456" i="9"/>
  <c r="S456" i="9"/>
  <c r="AI455" i="9"/>
  <c r="AH455" i="9"/>
  <c r="AG455" i="9"/>
  <c r="AF455" i="9"/>
  <c r="S455" i="9"/>
  <c r="AI454" i="9"/>
  <c r="AH454" i="9"/>
  <c r="AG454" i="9"/>
  <c r="AF454" i="9"/>
  <c r="S454" i="9"/>
  <c r="AI453" i="9"/>
  <c r="AH453" i="9"/>
  <c r="AG453" i="9"/>
  <c r="AF453" i="9"/>
  <c r="S453" i="9"/>
  <c r="AI452" i="9"/>
  <c r="AH452" i="9"/>
  <c r="AG452" i="9"/>
  <c r="AF452" i="9"/>
  <c r="S452" i="9"/>
  <c r="AI451" i="9"/>
  <c r="AH451" i="9"/>
  <c r="AG451" i="9"/>
  <c r="AF451" i="9"/>
  <c r="S451" i="9"/>
  <c r="AI450" i="9"/>
  <c r="AH450" i="9"/>
  <c r="AG450" i="9"/>
  <c r="AF450" i="9"/>
  <c r="S450" i="9"/>
  <c r="AI449" i="9"/>
  <c r="AH449" i="9"/>
  <c r="AG449" i="9"/>
  <c r="AF449" i="9"/>
  <c r="S449" i="9"/>
  <c r="AI448" i="9"/>
  <c r="AH448" i="9"/>
  <c r="AG448" i="9"/>
  <c r="AF448" i="9"/>
  <c r="S448" i="9"/>
  <c r="AI447" i="9"/>
  <c r="AH447" i="9"/>
  <c r="AG447" i="9"/>
  <c r="AF447" i="9"/>
  <c r="S447" i="9"/>
  <c r="AI446" i="9"/>
  <c r="AH446" i="9"/>
  <c r="AG446" i="9"/>
  <c r="AF446" i="9"/>
  <c r="S446" i="9"/>
  <c r="AI445" i="9"/>
  <c r="AH445" i="9"/>
  <c r="AG445" i="9"/>
  <c r="AF445" i="9"/>
  <c r="S445" i="9"/>
  <c r="AI444" i="9"/>
  <c r="AH444" i="9"/>
  <c r="AG444" i="9"/>
  <c r="AF444" i="9"/>
  <c r="S444" i="9"/>
  <c r="AI443" i="9"/>
  <c r="AH443" i="9"/>
  <c r="AG443" i="9"/>
  <c r="AF443" i="9"/>
  <c r="S443" i="9"/>
  <c r="AI442" i="9"/>
  <c r="AH442" i="9"/>
  <c r="AG442" i="9"/>
  <c r="AF442" i="9"/>
  <c r="S442" i="9"/>
  <c r="AI441" i="9"/>
  <c r="AH441" i="9"/>
  <c r="AG441" i="9"/>
  <c r="AF441" i="9"/>
  <c r="S441" i="9"/>
  <c r="AI440" i="9"/>
  <c r="AH440" i="9"/>
  <c r="AG440" i="9"/>
  <c r="AF440" i="9"/>
  <c r="S440" i="9"/>
  <c r="AI439" i="9"/>
  <c r="AH439" i="9"/>
  <c r="AG439" i="9"/>
  <c r="AF439" i="9"/>
  <c r="S439" i="9"/>
  <c r="AI438" i="9"/>
  <c r="AH438" i="9"/>
  <c r="AG438" i="9"/>
  <c r="AF438" i="9"/>
  <c r="S438" i="9"/>
  <c r="AI437" i="9"/>
  <c r="AH437" i="9"/>
  <c r="AG437" i="9"/>
  <c r="AF437" i="9"/>
  <c r="S437" i="9"/>
  <c r="AI436" i="9"/>
  <c r="AH436" i="9"/>
  <c r="AG436" i="9"/>
  <c r="AF436" i="9"/>
  <c r="S436" i="9"/>
  <c r="AI435" i="9"/>
  <c r="AH435" i="9"/>
  <c r="AG435" i="9"/>
  <c r="AF435" i="9"/>
  <c r="S435" i="9"/>
  <c r="AI434" i="9"/>
  <c r="AH434" i="9"/>
  <c r="AG434" i="9"/>
  <c r="AF434" i="9"/>
  <c r="S434" i="9"/>
  <c r="AI433" i="9"/>
  <c r="AH433" i="9"/>
  <c r="AG433" i="9"/>
  <c r="AF433" i="9"/>
  <c r="S433" i="9"/>
  <c r="AI432" i="9"/>
  <c r="AH432" i="9"/>
  <c r="AG432" i="9"/>
  <c r="AF432" i="9"/>
  <c r="S432" i="9"/>
  <c r="AI431" i="9"/>
  <c r="AH431" i="9"/>
  <c r="AG431" i="9"/>
  <c r="AF431" i="9"/>
  <c r="S431" i="9"/>
  <c r="AI430" i="9"/>
  <c r="AH430" i="9"/>
  <c r="AG430" i="9"/>
  <c r="AF430" i="9"/>
  <c r="S430" i="9"/>
  <c r="AI429" i="9"/>
  <c r="AH429" i="9"/>
  <c r="AG429" i="9"/>
  <c r="AF429" i="9"/>
  <c r="S429" i="9"/>
  <c r="AI428" i="9"/>
  <c r="AH428" i="9"/>
  <c r="AG428" i="9"/>
  <c r="AF428" i="9"/>
  <c r="S428" i="9"/>
  <c r="AI427" i="9"/>
  <c r="AH427" i="9"/>
  <c r="AG427" i="9"/>
  <c r="AF427" i="9"/>
  <c r="S427" i="9"/>
  <c r="AI426" i="9"/>
  <c r="AH426" i="9"/>
  <c r="AG426" i="9"/>
  <c r="AF426" i="9"/>
  <c r="S426" i="9"/>
  <c r="AI425" i="9"/>
  <c r="AH425" i="9"/>
  <c r="AG425" i="9"/>
  <c r="AF425" i="9"/>
  <c r="S425" i="9"/>
  <c r="AI424" i="9"/>
  <c r="AH424" i="9"/>
  <c r="AG424" i="9"/>
  <c r="AF424" i="9"/>
  <c r="S424" i="9"/>
  <c r="AI423" i="9"/>
  <c r="AH423" i="9"/>
  <c r="AG423" i="9"/>
  <c r="AF423" i="9"/>
  <c r="S423" i="9"/>
  <c r="AI422" i="9"/>
  <c r="AH422" i="9"/>
  <c r="AG422" i="9"/>
  <c r="AF422" i="9"/>
  <c r="S422" i="9"/>
  <c r="AI421" i="9"/>
  <c r="AH421" i="9"/>
  <c r="AG421" i="9"/>
  <c r="AF421" i="9"/>
  <c r="S421" i="9"/>
  <c r="AI420" i="9"/>
  <c r="AH420" i="9"/>
  <c r="AG420" i="9"/>
  <c r="AF420" i="9"/>
  <c r="S420" i="9"/>
  <c r="AI419" i="9"/>
  <c r="AH419" i="9"/>
  <c r="AG419" i="9"/>
  <c r="AF419" i="9"/>
  <c r="S419" i="9"/>
  <c r="AI418" i="9"/>
  <c r="AH418" i="9"/>
  <c r="AG418" i="9"/>
  <c r="AF418" i="9"/>
  <c r="S418" i="9"/>
  <c r="AI417" i="9"/>
  <c r="AH417" i="9"/>
  <c r="AG417" i="9"/>
  <c r="AF417" i="9"/>
  <c r="S417" i="9"/>
  <c r="AI416" i="9"/>
  <c r="AH416" i="9"/>
  <c r="AG416" i="9"/>
  <c r="AF416" i="9"/>
  <c r="S416" i="9"/>
  <c r="AI415" i="9"/>
  <c r="AH415" i="9"/>
  <c r="AG415" i="9"/>
  <c r="AF415" i="9"/>
  <c r="S415" i="9"/>
  <c r="AI414" i="9"/>
  <c r="AH414" i="9"/>
  <c r="AG414" i="9"/>
  <c r="AF414" i="9"/>
  <c r="S414" i="9"/>
  <c r="AI413" i="9"/>
  <c r="AH413" i="9"/>
  <c r="AG413" i="9"/>
  <c r="AF413" i="9"/>
  <c r="S413" i="9"/>
  <c r="AI412" i="9"/>
  <c r="AH412" i="9"/>
  <c r="AG412" i="9"/>
  <c r="AF412" i="9"/>
  <c r="S412" i="9"/>
  <c r="AI411" i="9"/>
  <c r="AH411" i="9"/>
  <c r="AG411" i="9"/>
  <c r="AF411" i="9"/>
  <c r="S411" i="9"/>
  <c r="AI410" i="9"/>
  <c r="AH410" i="9"/>
  <c r="AG410" i="9"/>
  <c r="AF410" i="9"/>
  <c r="S410" i="9"/>
  <c r="AI409" i="9"/>
  <c r="AH409" i="9"/>
  <c r="AG409" i="9"/>
  <c r="AF409" i="9"/>
  <c r="S409" i="9"/>
  <c r="AI408" i="9"/>
  <c r="AH408" i="9"/>
  <c r="AG408" i="9"/>
  <c r="AF408" i="9"/>
  <c r="S408" i="9"/>
  <c r="AI407" i="9"/>
  <c r="AH407" i="9"/>
  <c r="AG407" i="9"/>
  <c r="AF407" i="9"/>
  <c r="S407" i="9"/>
  <c r="AI406" i="9"/>
  <c r="AH406" i="9"/>
  <c r="AG406" i="9"/>
  <c r="AF406" i="9"/>
  <c r="S406" i="9"/>
  <c r="AI405" i="9"/>
  <c r="AH405" i="9"/>
  <c r="AG405" i="9"/>
  <c r="AF405" i="9"/>
  <c r="S405" i="9"/>
  <c r="AI404" i="9"/>
  <c r="AH404" i="9"/>
  <c r="AG404" i="9"/>
  <c r="AF404" i="9"/>
  <c r="S404" i="9"/>
  <c r="AI403" i="9"/>
  <c r="AH403" i="9"/>
  <c r="AG403" i="9"/>
  <c r="AF403" i="9"/>
  <c r="S403" i="9"/>
  <c r="AI402" i="9"/>
  <c r="AH402" i="9"/>
  <c r="AG402" i="9"/>
  <c r="AF402" i="9"/>
  <c r="S402" i="9"/>
  <c r="AI401" i="9"/>
  <c r="AH401" i="9"/>
  <c r="AG401" i="9"/>
  <c r="AF401" i="9"/>
  <c r="S401" i="9"/>
  <c r="AI400" i="9"/>
  <c r="AH400" i="9"/>
  <c r="AG400" i="9"/>
  <c r="AF400" i="9"/>
  <c r="S400" i="9"/>
  <c r="AI399" i="9"/>
  <c r="AH399" i="9"/>
  <c r="AG399" i="9"/>
  <c r="AF399" i="9"/>
  <c r="S399" i="9"/>
  <c r="AI398" i="9"/>
  <c r="AH398" i="9"/>
  <c r="AG398" i="9"/>
  <c r="AF398" i="9"/>
  <c r="S398" i="9"/>
  <c r="AI397" i="9"/>
  <c r="AH397" i="9"/>
  <c r="AG397" i="9"/>
  <c r="AF397" i="9"/>
  <c r="S397" i="9"/>
  <c r="AI396" i="9"/>
  <c r="AH396" i="9"/>
  <c r="AG396" i="9"/>
  <c r="AF396" i="9"/>
  <c r="S396" i="9"/>
  <c r="AI395" i="9"/>
  <c r="AH395" i="9"/>
  <c r="AG395" i="9"/>
  <c r="AF395" i="9"/>
  <c r="S395" i="9"/>
  <c r="AI394" i="9"/>
  <c r="AH394" i="9"/>
  <c r="AG394" i="9"/>
  <c r="AF394" i="9"/>
  <c r="S394" i="9"/>
  <c r="AI393" i="9"/>
  <c r="AH393" i="9"/>
  <c r="AG393" i="9"/>
  <c r="AF393" i="9"/>
  <c r="S393" i="9"/>
  <c r="AI392" i="9"/>
  <c r="AH392" i="9"/>
  <c r="AG392" i="9"/>
  <c r="AF392" i="9"/>
  <c r="S392" i="9"/>
  <c r="AI391" i="9"/>
  <c r="AH391" i="9"/>
  <c r="AG391" i="9"/>
  <c r="AF391" i="9"/>
  <c r="S391" i="9"/>
  <c r="AI390" i="9"/>
  <c r="AH390" i="9"/>
  <c r="AG390" i="9"/>
  <c r="AF390" i="9"/>
  <c r="S390" i="9"/>
  <c r="AI389" i="9"/>
  <c r="AH389" i="9"/>
  <c r="AG389" i="9"/>
  <c r="AF389" i="9"/>
  <c r="S389" i="9"/>
  <c r="AI388" i="9"/>
  <c r="AH388" i="9"/>
  <c r="AG388" i="9"/>
  <c r="AF388" i="9"/>
  <c r="S388" i="9"/>
  <c r="AI387" i="9"/>
  <c r="AH387" i="9"/>
  <c r="AG387" i="9"/>
  <c r="AF387" i="9"/>
  <c r="S387" i="9"/>
  <c r="AI386" i="9"/>
  <c r="AH386" i="9"/>
  <c r="AG386" i="9"/>
  <c r="AF386" i="9"/>
  <c r="S386" i="9"/>
  <c r="AI385" i="9"/>
  <c r="AH385" i="9"/>
  <c r="AG385" i="9"/>
  <c r="AF385" i="9"/>
  <c r="S385" i="9"/>
  <c r="AI384" i="9"/>
  <c r="AH384" i="9"/>
  <c r="AG384" i="9"/>
  <c r="AF384" i="9"/>
  <c r="S384" i="9"/>
  <c r="AI383" i="9"/>
  <c r="AH383" i="9"/>
  <c r="AG383" i="9"/>
  <c r="AF383" i="9"/>
  <c r="S383" i="9"/>
  <c r="AI382" i="9"/>
  <c r="AH382" i="9"/>
  <c r="AG382" i="9"/>
  <c r="AF382" i="9"/>
  <c r="S382" i="9"/>
  <c r="AI381" i="9"/>
  <c r="AH381" i="9"/>
  <c r="AG381" i="9"/>
  <c r="AF381" i="9"/>
  <c r="S381" i="9"/>
  <c r="AI380" i="9"/>
  <c r="AH380" i="9"/>
  <c r="AG380" i="9"/>
  <c r="AF380" i="9"/>
  <c r="S380" i="9"/>
  <c r="AI379" i="9"/>
  <c r="AH379" i="9"/>
  <c r="AG379" i="9"/>
  <c r="AF379" i="9"/>
  <c r="S379" i="9"/>
  <c r="AI378" i="9"/>
  <c r="AH378" i="9"/>
  <c r="AG378" i="9"/>
  <c r="AF378" i="9"/>
  <c r="S378" i="9"/>
  <c r="AI377" i="9"/>
  <c r="AH377" i="9"/>
  <c r="AG377" i="9"/>
  <c r="AF377" i="9"/>
  <c r="S377" i="9"/>
  <c r="AI376" i="9"/>
  <c r="AH376" i="9"/>
  <c r="AG376" i="9"/>
  <c r="AF376" i="9"/>
  <c r="S376" i="9"/>
  <c r="AI375" i="9"/>
  <c r="AH375" i="9"/>
  <c r="AG375" i="9"/>
  <c r="AF375" i="9"/>
  <c r="S375" i="9"/>
  <c r="AI374" i="9"/>
  <c r="AH374" i="9"/>
  <c r="AG374" i="9"/>
  <c r="AF374" i="9"/>
  <c r="S374" i="9"/>
  <c r="AI373" i="9"/>
  <c r="AH373" i="9"/>
  <c r="AG373" i="9"/>
  <c r="AF373" i="9"/>
  <c r="S373" i="9"/>
  <c r="AI372" i="9"/>
  <c r="AH372" i="9"/>
  <c r="AG372" i="9"/>
  <c r="AF372" i="9"/>
  <c r="S372" i="9"/>
  <c r="AI371" i="9"/>
  <c r="AH371" i="9"/>
  <c r="AG371" i="9"/>
  <c r="AF371" i="9"/>
  <c r="S371" i="9"/>
  <c r="AI370" i="9"/>
  <c r="AH370" i="9"/>
  <c r="AG370" i="9"/>
  <c r="AF370" i="9"/>
  <c r="S370" i="9"/>
  <c r="AI369" i="9"/>
  <c r="AH369" i="9"/>
  <c r="AG369" i="9"/>
  <c r="AF369" i="9"/>
  <c r="S369" i="9"/>
  <c r="AI368" i="9"/>
  <c r="AH368" i="9"/>
  <c r="AG368" i="9"/>
  <c r="AF368" i="9"/>
  <c r="S368" i="9"/>
  <c r="AI367" i="9"/>
  <c r="AH367" i="9"/>
  <c r="AG367" i="9"/>
  <c r="AF367" i="9"/>
  <c r="S367" i="9"/>
  <c r="AI366" i="9"/>
  <c r="AH366" i="9"/>
  <c r="AG366" i="9"/>
  <c r="AF366" i="9"/>
  <c r="S366" i="9"/>
  <c r="AI365" i="9"/>
  <c r="AH365" i="9"/>
  <c r="AG365" i="9"/>
  <c r="AF365" i="9"/>
  <c r="S365" i="9"/>
  <c r="AI364" i="9"/>
  <c r="AH364" i="9"/>
  <c r="AG364" i="9"/>
  <c r="AF364" i="9"/>
  <c r="S364" i="9"/>
  <c r="AI363" i="9"/>
  <c r="AH363" i="9"/>
  <c r="AG363" i="9"/>
  <c r="AF363" i="9"/>
  <c r="S363" i="9"/>
  <c r="AI362" i="9"/>
  <c r="AH362" i="9"/>
  <c r="AG362" i="9"/>
  <c r="AF362" i="9"/>
  <c r="S362" i="9"/>
  <c r="AI361" i="9"/>
  <c r="AH361" i="9"/>
  <c r="AG361" i="9"/>
  <c r="AF361" i="9"/>
  <c r="S361" i="9"/>
  <c r="AI360" i="9"/>
  <c r="AH360" i="9"/>
  <c r="AG360" i="9"/>
  <c r="AF360" i="9"/>
  <c r="S360" i="9"/>
  <c r="AI359" i="9"/>
  <c r="AH359" i="9"/>
  <c r="AG359" i="9"/>
  <c r="AF359" i="9"/>
  <c r="S359" i="9"/>
  <c r="AI358" i="9"/>
  <c r="AH358" i="9"/>
  <c r="AG358" i="9"/>
  <c r="AF358" i="9"/>
  <c r="S358" i="9"/>
  <c r="AI357" i="9"/>
  <c r="AH357" i="9"/>
  <c r="AG357" i="9"/>
  <c r="AF357" i="9"/>
  <c r="S357" i="9"/>
  <c r="AI356" i="9"/>
  <c r="AH356" i="9"/>
  <c r="AG356" i="9"/>
  <c r="AF356" i="9"/>
  <c r="S356" i="9"/>
  <c r="AI355" i="9"/>
  <c r="AH355" i="9"/>
  <c r="AG355" i="9"/>
  <c r="AF355" i="9"/>
  <c r="S355" i="9"/>
  <c r="AI354" i="9"/>
  <c r="AH354" i="9"/>
  <c r="AG354" i="9"/>
  <c r="AF354" i="9"/>
  <c r="S354" i="9"/>
  <c r="AI353" i="9"/>
  <c r="AH353" i="9"/>
  <c r="AG353" i="9"/>
  <c r="AF353" i="9"/>
  <c r="S353" i="9"/>
  <c r="AI352" i="9"/>
  <c r="AH352" i="9"/>
  <c r="AG352" i="9"/>
  <c r="AF352" i="9"/>
  <c r="S352" i="9"/>
  <c r="AI351" i="9"/>
  <c r="AH351" i="9"/>
  <c r="AG351" i="9"/>
  <c r="AF351" i="9"/>
  <c r="S351" i="9"/>
  <c r="AI350" i="9"/>
  <c r="AH350" i="9"/>
  <c r="AG350" i="9"/>
  <c r="AF350" i="9"/>
  <c r="S350" i="9"/>
  <c r="AI349" i="9"/>
  <c r="AH349" i="9"/>
  <c r="AG349" i="9"/>
  <c r="AF349" i="9"/>
  <c r="S349" i="9"/>
  <c r="AI348" i="9"/>
  <c r="AH348" i="9"/>
  <c r="AG348" i="9"/>
  <c r="AF348" i="9"/>
  <c r="S348" i="9"/>
  <c r="AI347" i="9"/>
  <c r="AH347" i="9"/>
  <c r="AG347" i="9"/>
  <c r="AF347" i="9"/>
  <c r="S347" i="9"/>
  <c r="AI346" i="9"/>
  <c r="AH346" i="9"/>
  <c r="AG346" i="9"/>
  <c r="AF346" i="9"/>
  <c r="S346" i="9"/>
  <c r="AI345" i="9"/>
  <c r="AH345" i="9"/>
  <c r="AG345" i="9"/>
  <c r="AF345" i="9"/>
  <c r="S345" i="9"/>
  <c r="AI344" i="9"/>
  <c r="AH344" i="9"/>
  <c r="AG344" i="9"/>
  <c r="AF344" i="9"/>
  <c r="S344" i="9"/>
  <c r="AI343" i="9"/>
  <c r="AH343" i="9"/>
  <c r="AG343" i="9"/>
  <c r="AF343" i="9"/>
  <c r="S343" i="9"/>
  <c r="AI292" i="9"/>
  <c r="AG292" i="9"/>
  <c r="S292" i="9"/>
  <c r="AF292" i="9" s="1"/>
  <c r="AI291" i="9"/>
  <c r="AG291" i="9"/>
  <c r="S291" i="9"/>
  <c r="AF291" i="9" s="1"/>
  <c r="AI290" i="9"/>
  <c r="AG290" i="9"/>
  <c r="S290" i="9"/>
  <c r="AF290" i="9" s="1"/>
  <c r="AI289" i="9"/>
  <c r="AG289" i="9"/>
  <c r="S289" i="9"/>
  <c r="AF289" i="9" s="1"/>
  <c r="AI288" i="9"/>
  <c r="AG288" i="9"/>
  <c r="S288" i="9"/>
  <c r="AF288" i="9" s="1"/>
  <c r="AI287" i="9"/>
  <c r="AG287" i="9"/>
  <c r="S287" i="9"/>
  <c r="AF287" i="9" s="1"/>
  <c r="AI286" i="9"/>
  <c r="AG286" i="9"/>
  <c r="S286" i="9"/>
  <c r="AF286" i="9" s="1"/>
  <c r="AI285" i="9"/>
  <c r="AG285" i="9"/>
  <c r="S285" i="9"/>
  <c r="AF285" i="9" s="1"/>
  <c r="AI284" i="9"/>
  <c r="AG284" i="9"/>
  <c r="S284" i="9"/>
  <c r="AF284" i="9" s="1"/>
  <c r="AI283" i="9"/>
  <c r="AG283" i="9"/>
  <c r="S283" i="9"/>
  <c r="AF283" i="9" s="1"/>
  <c r="AI282" i="9"/>
  <c r="AG282" i="9"/>
  <c r="S282" i="9"/>
  <c r="AF282" i="9" s="1"/>
  <c r="AI281" i="9"/>
  <c r="AG281" i="9"/>
  <c r="S281" i="9"/>
  <c r="AF281" i="9" s="1"/>
  <c r="AG280" i="9"/>
  <c r="S280" i="9"/>
  <c r="AF280" i="9" s="1"/>
  <c r="AI279" i="9"/>
  <c r="AG279" i="9"/>
  <c r="S279" i="9"/>
  <c r="AF279" i="9" s="1"/>
  <c r="AI278" i="9"/>
  <c r="AG278" i="9"/>
  <c r="S278" i="9"/>
  <c r="AF278" i="9" s="1"/>
  <c r="AI277" i="9"/>
  <c r="AG277" i="9"/>
  <c r="S277" i="9"/>
  <c r="AF277" i="9" s="1"/>
  <c r="AI276" i="9"/>
  <c r="AG276" i="9"/>
  <c r="S276" i="9"/>
  <c r="AF276" i="9" s="1"/>
  <c r="AI275" i="9"/>
  <c r="AG275" i="9"/>
  <c r="S275" i="9"/>
  <c r="AF275" i="9" s="1"/>
  <c r="AI274" i="9"/>
  <c r="AG274" i="9"/>
  <c r="S274" i="9"/>
  <c r="AF274" i="9" s="1"/>
  <c r="AI273" i="9"/>
  <c r="AG273" i="9"/>
  <c r="S273" i="9"/>
  <c r="AF273" i="9" s="1"/>
  <c r="AI272" i="9"/>
  <c r="AG272" i="9"/>
  <c r="S272" i="9"/>
  <c r="AF272" i="9" s="1"/>
  <c r="AI271" i="9"/>
  <c r="AG271" i="9"/>
  <c r="S271" i="9"/>
  <c r="AF271" i="9" s="1"/>
  <c r="AI270" i="9"/>
  <c r="AG270" i="9"/>
  <c r="S270" i="9"/>
  <c r="AF270" i="9" s="1"/>
  <c r="AI269" i="9"/>
  <c r="AG269" i="9"/>
  <c r="S269" i="9"/>
  <c r="AF269" i="9" s="1"/>
  <c r="AI268" i="9"/>
  <c r="AG268" i="9"/>
  <c r="S268" i="9"/>
  <c r="AF268" i="9" s="1"/>
  <c r="AI267" i="9"/>
  <c r="AG267" i="9"/>
  <c r="S267" i="9"/>
  <c r="AF267" i="9" s="1"/>
  <c r="AI266" i="9"/>
  <c r="AG266" i="9"/>
  <c r="S266" i="9"/>
  <c r="AF266" i="9" s="1"/>
  <c r="AI265" i="9"/>
  <c r="AG265" i="9"/>
  <c r="S265" i="9"/>
  <c r="AF265" i="9" s="1"/>
  <c r="AI264" i="9"/>
  <c r="AG264" i="9"/>
  <c r="S264" i="9"/>
  <c r="AF264" i="9" s="1"/>
  <c r="AH264" i="9" s="1"/>
  <c r="AI263" i="9"/>
  <c r="AG263" i="9"/>
  <c r="S263" i="9"/>
  <c r="AF263" i="9" s="1"/>
  <c r="AI262" i="9"/>
  <c r="AG262" i="9"/>
  <c r="S262" i="9"/>
  <c r="AF262" i="9" s="1"/>
  <c r="AI261" i="9"/>
  <c r="AG261" i="9"/>
  <c r="S261" i="9"/>
  <c r="AF261" i="9" s="1"/>
  <c r="AI260" i="9"/>
  <c r="AG260" i="9"/>
  <c r="S260" i="9"/>
  <c r="AF260" i="9" s="1"/>
  <c r="AI259" i="9"/>
  <c r="AG259" i="9"/>
  <c r="S259" i="9"/>
  <c r="AF259" i="9" s="1"/>
  <c r="AI258" i="9"/>
  <c r="AG258" i="9"/>
  <c r="S258" i="9"/>
  <c r="AF258" i="9" s="1"/>
  <c r="AI257" i="9"/>
  <c r="AG257" i="9"/>
  <c r="S257" i="9"/>
  <c r="AF257" i="9" s="1"/>
  <c r="AI256" i="9"/>
  <c r="AG256" i="9"/>
  <c r="S256" i="9"/>
  <c r="AF256" i="9" s="1"/>
  <c r="AI255" i="9"/>
  <c r="AG255" i="9"/>
  <c r="S255" i="9"/>
  <c r="AF255" i="9" s="1"/>
  <c r="AI254" i="9"/>
  <c r="AG254" i="9"/>
  <c r="S254" i="9"/>
  <c r="AF254" i="9" s="1"/>
  <c r="AI253" i="9"/>
  <c r="AG253" i="9"/>
  <c r="S253" i="9"/>
  <c r="AF253" i="9" s="1"/>
  <c r="AI252" i="9"/>
  <c r="AG252" i="9"/>
  <c r="S252" i="9"/>
  <c r="AF252" i="9" s="1"/>
  <c r="AI251" i="9"/>
  <c r="AG251" i="9"/>
  <c r="S251" i="9"/>
  <c r="AF251" i="9" s="1"/>
  <c r="AI250" i="9"/>
  <c r="AG250" i="9"/>
  <c r="S250" i="9"/>
  <c r="AF250" i="9" s="1"/>
  <c r="AI249" i="9"/>
  <c r="AG249" i="9"/>
  <c r="S249" i="9"/>
  <c r="AF249" i="9" s="1"/>
  <c r="AI248" i="9"/>
  <c r="AG248" i="9"/>
  <c r="S248" i="9"/>
  <c r="AF248" i="9" s="1"/>
  <c r="AH248" i="9" s="1"/>
  <c r="AI247" i="9"/>
  <c r="AG247" i="9"/>
  <c r="S247" i="9"/>
  <c r="AF247" i="9" s="1"/>
  <c r="AI246" i="9"/>
  <c r="AG246" i="9"/>
  <c r="S246" i="9"/>
  <c r="AF246" i="9" s="1"/>
  <c r="AI245" i="9"/>
  <c r="AG245" i="9"/>
  <c r="S245" i="9"/>
  <c r="AF245" i="9" s="1"/>
  <c r="AI244" i="9"/>
  <c r="AG244" i="9"/>
  <c r="S244" i="9"/>
  <c r="AF244" i="9" s="1"/>
  <c r="AI243" i="9"/>
  <c r="AG243" i="9"/>
  <c r="S243" i="9"/>
  <c r="AF243" i="9" s="1"/>
  <c r="AI242" i="9"/>
  <c r="AG242" i="9"/>
  <c r="S242" i="9"/>
  <c r="AF242" i="9" s="1"/>
  <c r="AI241" i="9"/>
  <c r="AG241" i="9"/>
  <c r="S241" i="9"/>
  <c r="AF241" i="9" s="1"/>
  <c r="AI240" i="9"/>
  <c r="AG240" i="9"/>
  <c r="S240" i="9"/>
  <c r="AF240" i="9" s="1"/>
  <c r="AI239" i="9"/>
  <c r="AG239" i="9"/>
  <c r="S239" i="9"/>
  <c r="AF239" i="9" s="1"/>
  <c r="AI238" i="9"/>
  <c r="AG238" i="9"/>
  <c r="S238" i="9"/>
  <c r="AF238" i="9" s="1"/>
  <c r="AI237" i="9"/>
  <c r="AG237" i="9"/>
  <c r="S237" i="9"/>
  <c r="AF237" i="9" s="1"/>
  <c r="AI236" i="9"/>
  <c r="AG236" i="9"/>
  <c r="S236" i="9"/>
  <c r="AF236" i="9" s="1"/>
  <c r="AI235" i="9"/>
  <c r="AG235" i="9"/>
  <c r="S235" i="9"/>
  <c r="AF235" i="9" s="1"/>
  <c r="AI234" i="9"/>
  <c r="AG234" i="9"/>
  <c r="S234" i="9"/>
  <c r="AF234" i="9" s="1"/>
  <c r="AI233" i="9"/>
  <c r="AG233" i="9"/>
  <c r="S233" i="9"/>
  <c r="AF233" i="9" s="1"/>
  <c r="AI232" i="9"/>
  <c r="AG232" i="9"/>
  <c r="S232" i="9"/>
  <c r="AF232" i="9" s="1"/>
  <c r="AI231" i="9"/>
  <c r="AG231" i="9"/>
  <c r="S231" i="9"/>
  <c r="AF231" i="9" s="1"/>
  <c r="AI230" i="9"/>
  <c r="AG230" i="9"/>
  <c r="S230" i="9"/>
  <c r="AF230" i="9" s="1"/>
  <c r="AI229" i="9"/>
  <c r="AG229" i="9"/>
  <c r="S229" i="9"/>
  <c r="AF229" i="9" s="1"/>
  <c r="AI228" i="9"/>
  <c r="AG228" i="9"/>
  <c r="S228" i="9"/>
  <c r="AF228" i="9" s="1"/>
  <c r="AI227" i="9"/>
  <c r="AG227" i="9"/>
  <c r="S227" i="9"/>
  <c r="AF227" i="9" s="1"/>
  <c r="AI226" i="9"/>
  <c r="AG226" i="9"/>
  <c r="S226" i="9"/>
  <c r="AF226" i="9" s="1"/>
  <c r="AI225" i="9"/>
  <c r="AG225" i="9"/>
  <c r="S225" i="9"/>
  <c r="AF225" i="9" s="1"/>
  <c r="AI224" i="9"/>
  <c r="AG224" i="9"/>
  <c r="S224" i="9"/>
  <c r="AF224" i="9" s="1"/>
  <c r="AI223" i="9"/>
  <c r="AG223" i="9"/>
  <c r="S223" i="9"/>
  <c r="AF223" i="9" s="1"/>
  <c r="AI222" i="9"/>
  <c r="AG222" i="9"/>
  <c r="S222" i="9"/>
  <c r="AF222" i="9" s="1"/>
  <c r="AI221" i="9"/>
  <c r="AG221" i="9"/>
  <c r="S221" i="9"/>
  <c r="AF221" i="9" s="1"/>
  <c r="AI220" i="9"/>
  <c r="AG220" i="9"/>
  <c r="S220" i="9"/>
  <c r="AF220" i="9" s="1"/>
  <c r="AI219" i="9"/>
  <c r="AG219" i="9"/>
  <c r="S219" i="9"/>
  <c r="AF219" i="9" s="1"/>
  <c r="AI218" i="9"/>
  <c r="AG218" i="9"/>
  <c r="S218" i="9"/>
  <c r="AF218" i="9" s="1"/>
  <c r="AI217" i="9"/>
  <c r="AG217" i="9"/>
  <c r="S217" i="9"/>
  <c r="AF217" i="9" s="1"/>
  <c r="AI216" i="9"/>
  <c r="AG216" i="9"/>
  <c r="S216" i="9"/>
  <c r="AF216" i="9" s="1"/>
  <c r="AI215" i="9"/>
  <c r="AG215" i="9"/>
  <c r="S215" i="9"/>
  <c r="AF215" i="9" s="1"/>
  <c r="AI214" i="9"/>
  <c r="AG214" i="9"/>
  <c r="S214" i="9"/>
  <c r="AF214" i="9" s="1"/>
  <c r="AI213" i="9"/>
  <c r="AG213" i="9"/>
  <c r="S213" i="9"/>
  <c r="AF213" i="9" s="1"/>
  <c r="AI212" i="9"/>
  <c r="AG212" i="9"/>
  <c r="S212" i="9"/>
  <c r="AF212" i="9" s="1"/>
  <c r="AI211" i="9"/>
  <c r="AG211" i="9"/>
  <c r="S211" i="9"/>
  <c r="AF211" i="9" s="1"/>
  <c r="AI210" i="9"/>
  <c r="AG210" i="9"/>
  <c r="S210" i="9"/>
  <c r="AF210" i="9" s="1"/>
  <c r="AI209" i="9"/>
  <c r="AG209" i="9"/>
  <c r="S209" i="9"/>
  <c r="AF209" i="9" s="1"/>
  <c r="AI208" i="9"/>
  <c r="AG208" i="9"/>
  <c r="S208" i="9"/>
  <c r="AF208" i="9" s="1"/>
  <c r="AI207" i="9"/>
  <c r="AG207" i="9"/>
  <c r="S207" i="9"/>
  <c r="AF207" i="9" s="1"/>
  <c r="AI206" i="9"/>
  <c r="AG206" i="9"/>
  <c r="S206" i="9"/>
  <c r="AF206" i="9" s="1"/>
  <c r="AI205" i="9"/>
  <c r="AG205" i="9"/>
  <c r="S205" i="9"/>
  <c r="AF205" i="9" s="1"/>
  <c r="AH205" i="9" s="1"/>
  <c r="AI204" i="9"/>
  <c r="AG204" i="9"/>
  <c r="S204" i="9"/>
  <c r="AF204" i="9" s="1"/>
  <c r="AI203" i="9"/>
  <c r="AG203" i="9"/>
  <c r="S203" i="9"/>
  <c r="AF203" i="9" s="1"/>
  <c r="AI202" i="9"/>
  <c r="AG202" i="9"/>
  <c r="S202" i="9"/>
  <c r="AF202" i="9" s="1"/>
  <c r="AI201" i="9"/>
  <c r="AG201" i="9"/>
  <c r="S201" i="9"/>
  <c r="AF201" i="9" s="1"/>
  <c r="AI200" i="9"/>
  <c r="AG200" i="9"/>
  <c r="S200" i="9"/>
  <c r="AF200" i="9" s="1"/>
  <c r="AH200" i="9" s="1"/>
  <c r="AI199" i="9"/>
  <c r="AG199" i="9"/>
  <c r="S199" i="9"/>
  <c r="AF199" i="9" s="1"/>
  <c r="AI198" i="9"/>
  <c r="AG198" i="9"/>
  <c r="S198" i="9"/>
  <c r="AF198" i="9" s="1"/>
  <c r="AI197" i="9"/>
  <c r="AG197" i="9"/>
  <c r="S197" i="9"/>
  <c r="AF197" i="9" s="1"/>
  <c r="AI196" i="9"/>
  <c r="AG196" i="9"/>
  <c r="S196" i="9"/>
  <c r="AF196" i="9" s="1"/>
  <c r="AI195" i="9"/>
  <c r="AG195" i="9"/>
  <c r="S195" i="9"/>
  <c r="AF195" i="9" s="1"/>
  <c r="AI194" i="9"/>
  <c r="AG194" i="9"/>
  <c r="S194" i="9"/>
  <c r="AF194" i="9" s="1"/>
  <c r="AI193" i="9"/>
  <c r="AG193" i="9"/>
  <c r="S193" i="9"/>
  <c r="AF193" i="9" s="1"/>
  <c r="AI192" i="9"/>
  <c r="AG192" i="9"/>
  <c r="S192" i="9"/>
  <c r="AF192" i="9" s="1"/>
  <c r="AI191" i="9"/>
  <c r="AG191" i="9"/>
  <c r="S191" i="9"/>
  <c r="AF191" i="9" s="1"/>
  <c r="AI190" i="9"/>
  <c r="AG190" i="9"/>
  <c r="S190" i="9"/>
  <c r="AF190" i="9" s="1"/>
  <c r="AI189" i="9"/>
  <c r="AG189" i="9"/>
  <c r="S189" i="9"/>
  <c r="AF189" i="9" s="1"/>
  <c r="AI188" i="9"/>
  <c r="AG188" i="9"/>
  <c r="S188" i="9"/>
  <c r="AF188" i="9" s="1"/>
  <c r="AI187" i="9"/>
  <c r="AG187" i="9"/>
  <c r="S187" i="9"/>
  <c r="AF187" i="9" s="1"/>
  <c r="AI186" i="9"/>
  <c r="AG186" i="9"/>
  <c r="S186" i="9"/>
  <c r="AF186" i="9" s="1"/>
  <c r="AH186" i="9" s="1"/>
  <c r="AI185" i="9"/>
  <c r="AG185" i="9"/>
  <c r="S185" i="9"/>
  <c r="AF185" i="9" s="1"/>
  <c r="AI184" i="9"/>
  <c r="AG184" i="9"/>
  <c r="S184" i="9"/>
  <c r="AF184" i="9" s="1"/>
  <c r="AH184" i="9" s="1"/>
  <c r="AI183" i="9"/>
  <c r="AG183" i="9"/>
  <c r="S183" i="9"/>
  <c r="AF183" i="9" s="1"/>
  <c r="AI182" i="9"/>
  <c r="AG182" i="9"/>
  <c r="S182" i="9"/>
  <c r="AF182" i="9" s="1"/>
  <c r="AI181" i="9"/>
  <c r="AG181" i="9"/>
  <c r="S181" i="9"/>
  <c r="AF181" i="9" s="1"/>
  <c r="AI180" i="9"/>
  <c r="AG180" i="9"/>
  <c r="S180" i="9"/>
  <c r="AF180" i="9" s="1"/>
  <c r="AI179" i="9"/>
  <c r="AG179" i="9"/>
  <c r="S179" i="9"/>
  <c r="AF179" i="9" s="1"/>
  <c r="AI178" i="9"/>
  <c r="AG178" i="9"/>
  <c r="S178" i="9"/>
  <c r="AF178" i="9" s="1"/>
  <c r="AI177" i="9"/>
  <c r="AG177" i="9"/>
  <c r="S177" i="9"/>
  <c r="AF177" i="9" s="1"/>
  <c r="AI176" i="9"/>
  <c r="AG176" i="9"/>
  <c r="S176" i="9"/>
  <c r="AF176" i="9" s="1"/>
  <c r="AI175" i="9"/>
  <c r="AG175" i="9"/>
  <c r="S175" i="9"/>
  <c r="AF175" i="9" s="1"/>
  <c r="AI174" i="9"/>
  <c r="AG174" i="9"/>
  <c r="S174" i="9"/>
  <c r="AF174" i="9" s="1"/>
  <c r="AI173" i="9"/>
  <c r="AG173" i="9"/>
  <c r="S173" i="9"/>
  <c r="AF173" i="9" s="1"/>
  <c r="AH173" i="9" s="1"/>
  <c r="AI172" i="9"/>
  <c r="AG172" i="9"/>
  <c r="S172" i="9"/>
  <c r="AF172" i="9" s="1"/>
  <c r="AI171" i="9"/>
  <c r="AG171" i="9"/>
  <c r="S171" i="9"/>
  <c r="AF171" i="9" s="1"/>
  <c r="AI170" i="9"/>
  <c r="AG170" i="9"/>
  <c r="S170" i="9"/>
  <c r="AF170" i="9" s="1"/>
  <c r="AG169" i="9"/>
  <c r="S169" i="9"/>
  <c r="AF169" i="9" s="1"/>
  <c r="AI168" i="9"/>
  <c r="AG168" i="9"/>
  <c r="S168" i="9"/>
  <c r="AF168" i="9" s="1"/>
  <c r="AI167" i="9"/>
  <c r="AG167" i="9"/>
  <c r="S167" i="9"/>
  <c r="AF167" i="9" s="1"/>
  <c r="AI166" i="9"/>
  <c r="AG166" i="9"/>
  <c r="S166" i="9"/>
  <c r="AF166" i="9" s="1"/>
  <c r="AI165" i="9"/>
  <c r="AG165" i="9"/>
  <c r="S165" i="9"/>
  <c r="AF165" i="9" s="1"/>
  <c r="AI164" i="9"/>
  <c r="AG164" i="9"/>
  <c r="S164" i="9"/>
  <c r="AF164" i="9" s="1"/>
  <c r="AG163" i="9"/>
  <c r="S163" i="9"/>
  <c r="AF163" i="9" s="1"/>
  <c r="AI162" i="9"/>
  <c r="AG162" i="9"/>
  <c r="S162" i="9"/>
  <c r="AF162" i="9" s="1"/>
  <c r="AI161" i="9"/>
  <c r="AG161" i="9"/>
  <c r="S161" i="9"/>
  <c r="AF161" i="9" s="1"/>
  <c r="AI160" i="9"/>
  <c r="AG160" i="9"/>
  <c r="S160" i="9"/>
  <c r="AF160" i="9" s="1"/>
  <c r="AI159" i="9"/>
  <c r="AG159" i="9"/>
  <c r="S159" i="9"/>
  <c r="AF159" i="9" s="1"/>
  <c r="AI158" i="9"/>
  <c r="AG158" i="9"/>
  <c r="S158" i="9"/>
  <c r="AF158" i="9" s="1"/>
  <c r="AI157" i="9"/>
  <c r="AG157" i="9"/>
  <c r="S157" i="9"/>
  <c r="AF157" i="9" s="1"/>
  <c r="AI156" i="9"/>
  <c r="AG156" i="9"/>
  <c r="S156" i="9"/>
  <c r="AF156" i="9" s="1"/>
  <c r="AI155" i="9"/>
  <c r="AG155" i="9"/>
  <c r="S155" i="9"/>
  <c r="AF155" i="9" s="1"/>
  <c r="AI154" i="9"/>
  <c r="AG154" i="9"/>
  <c r="S154" i="9"/>
  <c r="AF154" i="9" s="1"/>
  <c r="AI153" i="9"/>
  <c r="AG153" i="9"/>
  <c r="S153" i="9"/>
  <c r="AF153" i="9" s="1"/>
  <c r="AI152" i="9"/>
  <c r="AG152" i="9"/>
  <c r="S152" i="9"/>
  <c r="AF152" i="9" s="1"/>
  <c r="AI151" i="9"/>
  <c r="AG151" i="9"/>
  <c r="S151" i="9"/>
  <c r="AF151" i="9" s="1"/>
  <c r="AH151" i="9" s="1"/>
  <c r="AI150" i="9"/>
  <c r="AG150" i="9"/>
  <c r="S150" i="9"/>
  <c r="AF150" i="9" s="1"/>
  <c r="AI149" i="9"/>
  <c r="AG149" i="9"/>
  <c r="S149" i="9"/>
  <c r="AF149" i="9" s="1"/>
  <c r="AI148" i="9"/>
  <c r="AG148" i="9"/>
  <c r="S148" i="9"/>
  <c r="AF148" i="9" s="1"/>
  <c r="AI147" i="9"/>
  <c r="AG147" i="9"/>
  <c r="S147" i="9"/>
  <c r="AF147" i="9" s="1"/>
  <c r="AI146" i="9"/>
  <c r="AG146" i="9"/>
  <c r="S146" i="9"/>
  <c r="AF146" i="9" s="1"/>
  <c r="AI145" i="9"/>
  <c r="AG145" i="9"/>
  <c r="S145" i="9"/>
  <c r="AF145" i="9" s="1"/>
  <c r="AI144" i="9"/>
  <c r="AG144" i="9"/>
  <c r="S144" i="9"/>
  <c r="AF144" i="9" s="1"/>
  <c r="AI143" i="9"/>
  <c r="AG143" i="9"/>
  <c r="S143" i="9"/>
  <c r="AF143" i="9" s="1"/>
  <c r="AI142" i="9"/>
  <c r="AG142" i="9"/>
  <c r="S142" i="9"/>
  <c r="AF142" i="9" s="1"/>
  <c r="AI141" i="9"/>
  <c r="AG141" i="9"/>
  <c r="S141" i="9"/>
  <c r="AF141" i="9" s="1"/>
  <c r="AI140" i="9"/>
  <c r="AG140" i="9"/>
  <c r="S140" i="9"/>
  <c r="AF140" i="9" s="1"/>
  <c r="AI139" i="9"/>
  <c r="AG139" i="9"/>
  <c r="S139" i="9"/>
  <c r="AF139" i="9" s="1"/>
  <c r="AI138" i="9"/>
  <c r="AG138" i="9"/>
  <c r="S138" i="9"/>
  <c r="AF138" i="9" s="1"/>
  <c r="AI137" i="9"/>
  <c r="AG137" i="9"/>
  <c r="S137" i="9"/>
  <c r="AF137" i="9" s="1"/>
  <c r="AI136" i="9"/>
  <c r="AG136" i="9"/>
  <c r="S136" i="9"/>
  <c r="AF136" i="9" s="1"/>
  <c r="AI135" i="9"/>
  <c r="AG135" i="9"/>
  <c r="S135" i="9"/>
  <c r="AF135" i="9" s="1"/>
  <c r="AI134" i="9"/>
  <c r="AG134" i="9"/>
  <c r="S134" i="9"/>
  <c r="AF134" i="9" s="1"/>
  <c r="AI133" i="9"/>
  <c r="AG133" i="9"/>
  <c r="S133" i="9"/>
  <c r="AF133" i="9" s="1"/>
  <c r="AI132" i="9"/>
  <c r="AG132" i="9"/>
  <c r="S132" i="9"/>
  <c r="AF132" i="9" s="1"/>
  <c r="AH132" i="9" s="1"/>
  <c r="AI131" i="9"/>
  <c r="AG131" i="9"/>
  <c r="S131" i="9"/>
  <c r="AF131" i="9" s="1"/>
  <c r="AI130" i="9"/>
  <c r="AG130" i="9"/>
  <c r="S130" i="9"/>
  <c r="AF130" i="9" s="1"/>
  <c r="AH130" i="9" s="1"/>
  <c r="AI129" i="9"/>
  <c r="AG129" i="9"/>
  <c r="S129" i="9"/>
  <c r="AF129" i="9" s="1"/>
  <c r="AI128" i="9"/>
  <c r="AG128" i="9"/>
  <c r="S128" i="9"/>
  <c r="AF128" i="9" s="1"/>
  <c r="AI127" i="9"/>
  <c r="AG127" i="9"/>
  <c r="S127" i="9"/>
  <c r="AF127" i="9" s="1"/>
  <c r="AI126" i="9"/>
  <c r="AG126" i="9"/>
  <c r="S126" i="9"/>
  <c r="AF126" i="9" s="1"/>
  <c r="AI125" i="9"/>
  <c r="AG125" i="9"/>
  <c r="S125" i="9"/>
  <c r="AF125" i="9" s="1"/>
  <c r="AI124" i="9"/>
  <c r="AG124" i="9"/>
  <c r="S124" i="9"/>
  <c r="AF124" i="9" s="1"/>
  <c r="AI123" i="9"/>
  <c r="AG123" i="9"/>
  <c r="AF123" i="9"/>
  <c r="AG122" i="9"/>
  <c r="S122" i="9"/>
  <c r="AF122" i="9" s="1"/>
  <c r="AH122" i="9" s="1"/>
  <c r="AG121" i="9"/>
  <c r="S121" i="9"/>
  <c r="AF121" i="9" s="1"/>
  <c r="AG120" i="9"/>
  <c r="S120" i="9"/>
  <c r="AF120" i="9" s="1"/>
  <c r="AG119" i="9"/>
  <c r="S119" i="9"/>
  <c r="AF119" i="9" s="1"/>
  <c r="AG118" i="9"/>
  <c r="S118" i="9"/>
  <c r="AF118" i="9" s="1"/>
  <c r="AG117" i="9"/>
  <c r="S117" i="9"/>
  <c r="AF117" i="9" s="1"/>
  <c r="AG116" i="9"/>
  <c r="S116" i="9"/>
  <c r="AF116" i="9" s="1"/>
  <c r="AG115" i="9"/>
  <c r="S115" i="9"/>
  <c r="AF115" i="9" s="1"/>
  <c r="AG114" i="9"/>
  <c r="S114" i="9"/>
  <c r="AF114" i="9" s="1"/>
  <c r="AG113" i="9"/>
  <c r="S113" i="9"/>
  <c r="AF113" i="9" s="1"/>
  <c r="AG112" i="9"/>
  <c r="S112" i="9"/>
  <c r="AF112" i="9" s="1"/>
  <c r="AG111" i="9"/>
  <c r="S111" i="9"/>
  <c r="AF111" i="9" s="1"/>
  <c r="AG110" i="9"/>
  <c r="S110" i="9"/>
  <c r="AF110" i="9" s="1"/>
  <c r="AG109" i="9"/>
  <c r="S109" i="9"/>
  <c r="AF109" i="9" s="1"/>
  <c r="AG108" i="9"/>
  <c r="S108" i="9"/>
  <c r="AF108" i="9" s="1"/>
  <c r="AG107" i="9"/>
  <c r="S107" i="9"/>
  <c r="AF107" i="9" s="1"/>
  <c r="AG106" i="9"/>
  <c r="S106" i="9"/>
  <c r="AF106" i="9" s="1"/>
  <c r="AI105" i="9"/>
  <c r="AG105" i="9"/>
  <c r="S105" i="9"/>
  <c r="AF105" i="9" s="1"/>
  <c r="AH105" i="9" s="1"/>
  <c r="AI104" i="9"/>
  <c r="AG104" i="9"/>
  <c r="S104" i="9"/>
  <c r="AF104" i="9" s="1"/>
  <c r="AG103" i="9"/>
  <c r="S103" i="9"/>
  <c r="AF103" i="9" s="1"/>
  <c r="AG102" i="9"/>
  <c r="S102" i="9"/>
  <c r="AF102" i="9" s="1"/>
  <c r="AB101" i="9"/>
  <c r="AG101" i="9" s="1"/>
  <c r="S101" i="9"/>
  <c r="AF101" i="9" s="1"/>
  <c r="AG100" i="9"/>
  <c r="S100" i="9"/>
  <c r="AF100" i="9" s="1"/>
  <c r="AG99" i="9"/>
  <c r="S99" i="9"/>
  <c r="AF99" i="9" s="1"/>
  <c r="AG98" i="9"/>
  <c r="S98" i="9"/>
  <c r="AF98" i="9" s="1"/>
  <c r="AG97" i="9"/>
  <c r="S97" i="9"/>
  <c r="AF97" i="9" s="1"/>
  <c r="AG96" i="9"/>
  <c r="S96" i="9"/>
  <c r="AF96" i="9" s="1"/>
  <c r="AG95" i="9"/>
  <c r="S95" i="9"/>
  <c r="AF95" i="9" s="1"/>
  <c r="AG94" i="9"/>
  <c r="S94" i="9"/>
  <c r="AF94" i="9" s="1"/>
  <c r="AH94" i="9" s="1"/>
  <c r="AG93" i="9"/>
  <c r="S93" i="9"/>
  <c r="AF93" i="9" s="1"/>
  <c r="AG92" i="9"/>
  <c r="S92" i="9"/>
  <c r="AF92" i="9" s="1"/>
  <c r="AG91" i="9"/>
  <c r="S91" i="9"/>
  <c r="AF91" i="9" s="1"/>
  <c r="AG90" i="9"/>
  <c r="S90" i="9"/>
  <c r="AF90" i="9" s="1"/>
  <c r="AG89" i="9"/>
  <c r="S89" i="9"/>
  <c r="AF89" i="9" s="1"/>
  <c r="AG88" i="9"/>
  <c r="S88" i="9"/>
  <c r="AF88" i="9" s="1"/>
  <c r="AG87" i="9"/>
  <c r="S87" i="9"/>
  <c r="AF87" i="9" s="1"/>
  <c r="AB86" i="9"/>
  <c r="AG86" i="9" s="1"/>
  <c r="S86" i="9"/>
  <c r="AF86" i="9" s="1"/>
  <c r="AG85" i="9"/>
  <c r="S85" i="9"/>
  <c r="AF85" i="9" s="1"/>
  <c r="AG84" i="9"/>
  <c r="S84" i="9"/>
  <c r="AF84" i="9" s="1"/>
  <c r="AG83" i="9"/>
  <c r="S83" i="9"/>
  <c r="AF83" i="9" s="1"/>
  <c r="AH83" i="9" s="1"/>
  <c r="AG82" i="9"/>
  <c r="S82" i="9"/>
  <c r="AF82" i="9" s="1"/>
  <c r="AG81" i="9"/>
  <c r="S81" i="9"/>
  <c r="AF81" i="9" s="1"/>
  <c r="AG80" i="9"/>
  <c r="S80" i="9"/>
  <c r="AF80" i="9" s="1"/>
  <c r="AG79" i="9"/>
  <c r="S79" i="9"/>
  <c r="AF79" i="9" s="1"/>
  <c r="AG78" i="9"/>
  <c r="S78" i="9"/>
  <c r="AF78" i="9" s="1"/>
  <c r="AG77" i="9"/>
  <c r="S77" i="9"/>
  <c r="AF77" i="9" s="1"/>
  <c r="AG76" i="9"/>
  <c r="S76" i="9"/>
  <c r="AF76" i="9" s="1"/>
  <c r="AG75" i="9"/>
  <c r="S75" i="9"/>
  <c r="AF75" i="9" s="1"/>
  <c r="AH75" i="9" s="1"/>
  <c r="AG74" i="9"/>
  <c r="S74" i="9"/>
  <c r="AF74" i="9" s="1"/>
  <c r="AG73" i="9"/>
  <c r="S73" i="9"/>
  <c r="AF73" i="9" s="1"/>
  <c r="AG72" i="9"/>
  <c r="S72" i="9"/>
  <c r="AF72" i="9" s="1"/>
  <c r="AG71" i="9"/>
  <c r="S71" i="9"/>
  <c r="AF71" i="9" s="1"/>
  <c r="AG70" i="9"/>
  <c r="S70" i="9"/>
  <c r="AF70" i="9" s="1"/>
  <c r="AH70" i="9" s="1"/>
  <c r="AG69" i="9"/>
  <c r="S69" i="9"/>
  <c r="AF69" i="9" s="1"/>
  <c r="AG68" i="9"/>
  <c r="S68" i="9"/>
  <c r="AF68" i="9" s="1"/>
  <c r="AG67" i="9"/>
  <c r="S67" i="9"/>
  <c r="AF67" i="9" s="1"/>
  <c r="AH67" i="9" s="1"/>
  <c r="AG66" i="9"/>
  <c r="S66" i="9"/>
  <c r="AF66" i="9" s="1"/>
  <c r="AG65" i="9"/>
  <c r="S65" i="9"/>
  <c r="AF65" i="9" s="1"/>
  <c r="AB64" i="9"/>
  <c r="AG64" i="9" s="1"/>
  <c r="S64" i="9"/>
  <c r="AF64" i="9" s="1"/>
  <c r="AG63" i="9"/>
  <c r="S63" i="9"/>
  <c r="AF63" i="9" s="1"/>
  <c r="AG62" i="9"/>
  <c r="S62" i="9"/>
  <c r="AF62" i="9" s="1"/>
  <c r="AG61" i="9"/>
  <c r="S61" i="9"/>
  <c r="AF61" i="9" s="1"/>
  <c r="AG60" i="9"/>
  <c r="S60" i="9"/>
  <c r="AF60" i="9" s="1"/>
  <c r="AG59" i="9"/>
  <c r="S59" i="9"/>
  <c r="AF59" i="9" s="1"/>
  <c r="AG58" i="9"/>
  <c r="S58" i="9"/>
  <c r="AF58" i="9" s="1"/>
  <c r="AG57" i="9"/>
  <c r="S57" i="9"/>
  <c r="AF57" i="9" s="1"/>
  <c r="AG56" i="9"/>
  <c r="S56" i="9"/>
  <c r="AF56" i="9" s="1"/>
  <c r="AG55" i="9"/>
  <c r="S55" i="9"/>
  <c r="AF55" i="9" s="1"/>
  <c r="AG54" i="9"/>
  <c r="S54" i="9"/>
  <c r="AF54" i="9" s="1"/>
  <c r="AG53" i="9"/>
  <c r="S53" i="9"/>
  <c r="AF53" i="9" s="1"/>
  <c r="AG52" i="9"/>
  <c r="S52" i="9"/>
  <c r="AF52" i="9" s="1"/>
  <c r="AB51" i="9"/>
  <c r="AG51" i="9" s="1"/>
  <c r="S51" i="9"/>
  <c r="AF51" i="9" s="1"/>
  <c r="AG50" i="9"/>
  <c r="S50" i="9"/>
  <c r="AF50" i="9" s="1"/>
  <c r="AG49" i="9"/>
  <c r="S49" i="9"/>
  <c r="AF49" i="9" s="1"/>
  <c r="AG48" i="9"/>
  <c r="S48" i="9"/>
  <c r="AF48" i="9" s="1"/>
  <c r="AG47" i="9"/>
  <c r="S47" i="9"/>
  <c r="AF47" i="9" s="1"/>
  <c r="AG46" i="9"/>
  <c r="S46" i="9"/>
  <c r="AF46" i="9" s="1"/>
  <c r="AH46" i="9" s="1"/>
  <c r="AG45" i="9"/>
  <c r="S45" i="9"/>
  <c r="AF45" i="9" s="1"/>
  <c r="AG44" i="9"/>
  <c r="S44" i="9"/>
  <c r="AF44" i="9" s="1"/>
  <c r="AG43" i="9"/>
  <c r="S43" i="9"/>
  <c r="AF43" i="9" s="1"/>
  <c r="AG42" i="9"/>
  <c r="S42" i="9"/>
  <c r="AF42" i="9" s="1"/>
  <c r="AG41" i="9"/>
  <c r="S41" i="9"/>
  <c r="AF41" i="9" s="1"/>
  <c r="AG40" i="9"/>
  <c r="S40" i="9"/>
  <c r="AF40" i="9" s="1"/>
  <c r="AG39" i="9"/>
  <c r="S39" i="9"/>
  <c r="AF39" i="9" s="1"/>
  <c r="AE38" i="9"/>
  <c r="AG38" i="9" s="1"/>
  <c r="S38" i="9"/>
  <c r="AF38" i="9" s="1"/>
  <c r="AH38" i="9" s="1"/>
  <c r="AG37" i="9"/>
  <c r="S37" i="9"/>
  <c r="AF37" i="9" s="1"/>
  <c r="AG36" i="9"/>
  <c r="S36" i="9"/>
  <c r="AF36" i="9" s="1"/>
  <c r="AG35" i="9"/>
  <c r="S35" i="9"/>
  <c r="AF35" i="9" s="1"/>
  <c r="AB34" i="9"/>
  <c r="AG34" i="9" s="1"/>
  <c r="S34" i="9"/>
  <c r="AF34" i="9" s="1"/>
  <c r="AG33" i="9"/>
  <c r="S33" i="9"/>
  <c r="AF33" i="9" s="1"/>
  <c r="AG32" i="9"/>
  <c r="S32" i="9"/>
  <c r="AF32" i="9" s="1"/>
  <c r="AG31" i="9"/>
  <c r="S31" i="9"/>
  <c r="AF31" i="9" s="1"/>
  <c r="AG30" i="9"/>
  <c r="S30" i="9"/>
  <c r="AF30" i="9" s="1"/>
  <c r="AG29" i="9"/>
  <c r="S29" i="9"/>
  <c r="AF29" i="9" s="1"/>
  <c r="AG28" i="9"/>
  <c r="S28" i="9"/>
  <c r="AF28" i="9" s="1"/>
  <c r="AG27" i="9"/>
  <c r="S27" i="9"/>
  <c r="AF27" i="9" s="1"/>
  <c r="AG26" i="9"/>
  <c r="S26" i="9"/>
  <c r="AF26" i="9" s="1"/>
  <c r="AG25" i="9"/>
  <c r="S25" i="9"/>
  <c r="AF25" i="9" s="1"/>
  <c r="AG24" i="9"/>
  <c r="S24" i="9"/>
  <c r="AF24" i="9" s="1"/>
  <c r="AG23" i="9"/>
  <c r="S23" i="9"/>
  <c r="AF23" i="9" s="1"/>
  <c r="AG22" i="9"/>
  <c r="S22" i="9"/>
  <c r="AF22" i="9" s="1"/>
  <c r="AG21" i="9"/>
  <c r="S21" i="9"/>
  <c r="AF21" i="9" s="1"/>
  <c r="AG20" i="9"/>
  <c r="S20" i="9"/>
  <c r="AF20" i="9" s="1"/>
  <c r="AG19" i="9"/>
  <c r="S19" i="9"/>
  <c r="AF19" i="9" s="1"/>
  <c r="AG18" i="9"/>
  <c r="S18" i="9"/>
  <c r="AF18" i="9" s="1"/>
  <c r="AG17" i="9"/>
  <c r="S17" i="9"/>
  <c r="AF17" i="9" s="1"/>
  <c r="AG16" i="9"/>
  <c r="S16" i="9"/>
  <c r="AF16" i="9" s="1"/>
  <c r="AG15" i="9"/>
  <c r="S15" i="9"/>
  <c r="AF15" i="9" s="1"/>
  <c r="AG14" i="9"/>
  <c r="S14" i="9"/>
  <c r="AF14" i="9" s="1"/>
  <c r="AG13" i="9"/>
  <c r="S13" i="9"/>
  <c r="AF13" i="9" s="1"/>
  <c r="AG12" i="9"/>
  <c r="S12" i="9"/>
  <c r="AF12" i="9" s="1"/>
  <c r="AG11" i="9"/>
  <c r="S11" i="9"/>
  <c r="AF11" i="9" s="1"/>
  <c r="AG10" i="9"/>
  <c r="S10" i="9"/>
  <c r="AF10" i="9" s="1"/>
  <c r="AG9" i="9"/>
  <c r="S9" i="9"/>
  <c r="AF9" i="9" s="1"/>
  <c r="AG8" i="9"/>
  <c r="S8" i="9"/>
  <c r="AF8" i="9" s="1"/>
  <c r="AG7" i="9"/>
  <c r="S7" i="9"/>
  <c r="AF7" i="9" s="1"/>
  <c r="AG6" i="9"/>
  <c r="S6" i="9"/>
  <c r="AF6" i="9" s="1"/>
  <c r="AG5" i="9"/>
  <c r="S5" i="9"/>
  <c r="AF5" i="9" s="1"/>
  <c r="AG4" i="9"/>
  <c r="S4" i="9"/>
  <c r="AF4" i="9" s="1"/>
  <c r="AG3" i="9"/>
  <c r="S3" i="9"/>
  <c r="AF3" i="9" s="1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D8772" i="3"/>
  <c r="D8771" i="3"/>
  <c r="D8770" i="3"/>
  <c r="D8769" i="3"/>
  <c r="D8768" i="3"/>
  <c r="D8767" i="3"/>
  <c r="D8766" i="3"/>
  <c r="D8765" i="3"/>
  <c r="D8764" i="3"/>
  <c r="D8763" i="3"/>
  <c r="D8762" i="3"/>
  <c r="D8761" i="3"/>
  <c r="D8760" i="3"/>
  <c r="D8759" i="3"/>
  <c r="D8758" i="3"/>
  <c r="D8757" i="3"/>
  <c r="D8756" i="3"/>
  <c r="D8755" i="3"/>
  <c r="D8754" i="3"/>
  <c r="D8753" i="3"/>
  <c r="D8752" i="3"/>
  <c r="D8751" i="3"/>
  <c r="D8750" i="3"/>
  <c r="D8749" i="3"/>
  <c r="D8748" i="3"/>
  <c r="D8747" i="3"/>
  <c r="D8746" i="3"/>
  <c r="D8745" i="3"/>
  <c r="D8744" i="3"/>
  <c r="D8743" i="3"/>
  <c r="D8742" i="3"/>
  <c r="D8741" i="3"/>
  <c r="D8740" i="3"/>
  <c r="D8739" i="3"/>
  <c r="D8738" i="3"/>
  <c r="D8737" i="3"/>
  <c r="D8736" i="3"/>
  <c r="D8735" i="3"/>
  <c r="D8734" i="3"/>
  <c r="D8733" i="3"/>
  <c r="D8732" i="3"/>
  <c r="D8731" i="3"/>
  <c r="D8730" i="3"/>
  <c r="D8729" i="3"/>
  <c r="D8728" i="3"/>
  <c r="D8727" i="3"/>
  <c r="D8726" i="3"/>
  <c r="D8725" i="3"/>
  <c r="D8724" i="3"/>
  <c r="D8723" i="3"/>
  <c r="D8722" i="3"/>
  <c r="D8721" i="3"/>
  <c r="D8720" i="3"/>
  <c r="D8719" i="3"/>
  <c r="D8718" i="3"/>
  <c r="D8717" i="3"/>
  <c r="D8716" i="3"/>
  <c r="D8715" i="3"/>
  <c r="D8714" i="3"/>
  <c r="D8713" i="3"/>
  <c r="D8712" i="3"/>
  <c r="D8711" i="3"/>
  <c r="D8710" i="3"/>
  <c r="D8709" i="3"/>
  <c r="D8708" i="3"/>
  <c r="D8707" i="3"/>
  <c r="D8706" i="3"/>
  <c r="D8705" i="3"/>
  <c r="D8704" i="3"/>
  <c r="D8703" i="3"/>
  <c r="D8702" i="3"/>
  <c r="D8701" i="3"/>
  <c r="D8700" i="3"/>
  <c r="D8699" i="3"/>
  <c r="D8698" i="3"/>
  <c r="D8697" i="3"/>
  <c r="D8696" i="3"/>
  <c r="D8695" i="3"/>
  <c r="D8694" i="3"/>
  <c r="D8693" i="3"/>
  <c r="D8692" i="3"/>
  <c r="D8691" i="3"/>
  <c r="D8690" i="3"/>
  <c r="D8689" i="3"/>
  <c r="D8688" i="3"/>
  <c r="D8687" i="3"/>
  <c r="D8686" i="3"/>
  <c r="D8685" i="3"/>
  <c r="D8684" i="3"/>
  <c r="D8683" i="3"/>
  <c r="D8682" i="3"/>
  <c r="D8681" i="3"/>
  <c r="D8680" i="3"/>
  <c r="D8679" i="3"/>
  <c r="D8678" i="3"/>
  <c r="D8677" i="3"/>
  <c r="D8676" i="3"/>
  <c r="D8675" i="3"/>
  <c r="D8674" i="3"/>
  <c r="D8673" i="3"/>
  <c r="D8672" i="3"/>
  <c r="D8671" i="3"/>
  <c r="D8670" i="3"/>
  <c r="D8669" i="3"/>
  <c r="D8668" i="3"/>
  <c r="D8667" i="3"/>
  <c r="D8666" i="3"/>
  <c r="D8665" i="3"/>
  <c r="D8664" i="3"/>
  <c r="D8663" i="3"/>
  <c r="D8662" i="3"/>
  <c r="D8661" i="3"/>
  <c r="D8660" i="3"/>
  <c r="D8659" i="3"/>
  <c r="D8658" i="3"/>
  <c r="D8657" i="3"/>
  <c r="D8656" i="3"/>
  <c r="D8655" i="3"/>
  <c r="D8654" i="3"/>
  <c r="D8653" i="3"/>
  <c r="D8652" i="3"/>
  <c r="D8651" i="3"/>
  <c r="D8650" i="3"/>
  <c r="D8649" i="3"/>
  <c r="D8648" i="3"/>
  <c r="D8647" i="3"/>
  <c r="D8646" i="3"/>
  <c r="D8645" i="3"/>
  <c r="D8644" i="3"/>
  <c r="D8643" i="3"/>
  <c r="D8642" i="3"/>
  <c r="D8641" i="3"/>
  <c r="D8640" i="3"/>
  <c r="D8639" i="3"/>
  <c r="D8638" i="3"/>
  <c r="D8637" i="3"/>
  <c r="D8636" i="3"/>
  <c r="D8635" i="3"/>
  <c r="D8634" i="3"/>
  <c r="D8633" i="3"/>
  <c r="D8632" i="3"/>
  <c r="D8631" i="3"/>
  <c r="D8630" i="3"/>
  <c r="D8629" i="3"/>
  <c r="D8628" i="3"/>
  <c r="D8627" i="3"/>
  <c r="D8626" i="3"/>
  <c r="D8625" i="3"/>
  <c r="D8624" i="3"/>
  <c r="D8623" i="3"/>
  <c r="D8622" i="3"/>
  <c r="D8621" i="3"/>
  <c r="D8620" i="3"/>
  <c r="D8619" i="3"/>
  <c r="D8618" i="3"/>
  <c r="D8617" i="3"/>
  <c r="D8616" i="3"/>
  <c r="D8615" i="3"/>
  <c r="D8614" i="3"/>
  <c r="D8613" i="3"/>
  <c r="D8612" i="3"/>
  <c r="D8611" i="3"/>
  <c r="D8610" i="3"/>
  <c r="D8609" i="3"/>
  <c r="D8608" i="3"/>
  <c r="D8607" i="3"/>
  <c r="D8606" i="3"/>
  <c r="D8605" i="3"/>
  <c r="D8604" i="3"/>
  <c r="D8603" i="3"/>
  <c r="D8602" i="3"/>
  <c r="D8601" i="3"/>
  <c r="D8600" i="3"/>
  <c r="D8599" i="3"/>
  <c r="D8598" i="3"/>
  <c r="D8597" i="3"/>
  <c r="D8596" i="3"/>
  <c r="D8595" i="3"/>
  <c r="D8594" i="3"/>
  <c r="D8593" i="3"/>
  <c r="D8592" i="3"/>
  <c r="D8591" i="3"/>
  <c r="D8590" i="3"/>
  <c r="D8589" i="3"/>
  <c r="D8588" i="3"/>
  <c r="D8587" i="3"/>
  <c r="D8586" i="3"/>
  <c r="D8585" i="3"/>
  <c r="D8584" i="3"/>
  <c r="D8583" i="3"/>
  <c r="D8582" i="3"/>
  <c r="D8581" i="3"/>
  <c r="D8580" i="3"/>
  <c r="D8579" i="3"/>
  <c r="D8578" i="3"/>
  <c r="D8577" i="3"/>
  <c r="D8576" i="3"/>
  <c r="D8575" i="3"/>
  <c r="D8574" i="3"/>
  <c r="D8573" i="3"/>
  <c r="D8572" i="3"/>
  <c r="D8571" i="3"/>
  <c r="D8570" i="3"/>
  <c r="D8569" i="3"/>
  <c r="D8568" i="3"/>
  <c r="D8567" i="3"/>
  <c r="D8566" i="3"/>
  <c r="D8565" i="3"/>
  <c r="D8564" i="3"/>
  <c r="D8563" i="3"/>
  <c r="D8562" i="3"/>
  <c r="D8561" i="3"/>
  <c r="D8560" i="3"/>
  <c r="D8559" i="3"/>
  <c r="D8558" i="3"/>
  <c r="D8557" i="3"/>
  <c r="D8556" i="3"/>
  <c r="D8555" i="3"/>
  <c r="D8554" i="3"/>
  <c r="D8553" i="3"/>
  <c r="D8552" i="3"/>
  <c r="D8551" i="3"/>
  <c r="D8550" i="3"/>
  <c r="D8549" i="3"/>
  <c r="D8548" i="3"/>
  <c r="D8547" i="3"/>
  <c r="D8546" i="3"/>
  <c r="D8545" i="3"/>
  <c r="D8544" i="3"/>
  <c r="D8543" i="3"/>
  <c r="D8542" i="3"/>
  <c r="D8541" i="3"/>
  <c r="D8540" i="3"/>
  <c r="D8539" i="3"/>
  <c r="D8538" i="3"/>
  <c r="D8537" i="3"/>
  <c r="D8536" i="3"/>
  <c r="D8535" i="3"/>
  <c r="D8534" i="3"/>
  <c r="D8533" i="3"/>
  <c r="D8532" i="3"/>
  <c r="D8531" i="3"/>
  <c r="D8530" i="3"/>
  <c r="D8529" i="3"/>
  <c r="D8528" i="3"/>
  <c r="D8527" i="3"/>
  <c r="D8526" i="3"/>
  <c r="D8525" i="3"/>
  <c r="D8524" i="3"/>
  <c r="D8523" i="3"/>
  <c r="D8522" i="3"/>
  <c r="D8521" i="3"/>
  <c r="D8520" i="3"/>
  <c r="D8519" i="3"/>
  <c r="D8518" i="3"/>
  <c r="D8517" i="3"/>
  <c r="D8516" i="3"/>
  <c r="D8515" i="3"/>
  <c r="D8514" i="3"/>
  <c r="D8513" i="3"/>
  <c r="D8512" i="3"/>
  <c r="D8511" i="3"/>
  <c r="D8510" i="3"/>
  <c r="D8509" i="3"/>
  <c r="D8508" i="3"/>
  <c r="D8507" i="3"/>
  <c r="D8506" i="3"/>
  <c r="D8505" i="3"/>
  <c r="D8504" i="3"/>
  <c r="D8503" i="3"/>
  <c r="D8502" i="3"/>
  <c r="D8501" i="3"/>
  <c r="D8500" i="3"/>
  <c r="D8499" i="3"/>
  <c r="D8498" i="3"/>
  <c r="D8497" i="3"/>
  <c r="D8496" i="3"/>
  <c r="D8495" i="3"/>
  <c r="D8494" i="3"/>
  <c r="D8493" i="3"/>
  <c r="D8492" i="3"/>
  <c r="D8491" i="3"/>
  <c r="D8490" i="3"/>
  <c r="D8489" i="3"/>
  <c r="D8488" i="3"/>
  <c r="D8487" i="3"/>
  <c r="D8486" i="3"/>
  <c r="D8485" i="3"/>
  <c r="D8484" i="3"/>
  <c r="D8483" i="3"/>
  <c r="D8482" i="3"/>
  <c r="D8481" i="3"/>
  <c r="D8480" i="3"/>
  <c r="D8479" i="3"/>
  <c r="D8478" i="3"/>
  <c r="D8477" i="3"/>
  <c r="D8476" i="3"/>
  <c r="D8475" i="3"/>
  <c r="D8474" i="3"/>
  <c r="D8473" i="3"/>
  <c r="D8472" i="3"/>
  <c r="D8471" i="3"/>
  <c r="D8470" i="3"/>
  <c r="D8469" i="3"/>
  <c r="D8468" i="3"/>
  <c r="D8467" i="3"/>
  <c r="D8466" i="3"/>
  <c r="D8465" i="3"/>
  <c r="D8464" i="3"/>
  <c r="D8463" i="3"/>
  <c r="D8462" i="3"/>
  <c r="D8461" i="3"/>
  <c r="D8460" i="3"/>
  <c r="D8459" i="3"/>
  <c r="D8458" i="3"/>
  <c r="D8457" i="3"/>
  <c r="D8456" i="3"/>
  <c r="D8455" i="3"/>
  <c r="D8454" i="3"/>
  <c r="D8453" i="3"/>
  <c r="D8452" i="3"/>
  <c r="D8451" i="3"/>
  <c r="D8450" i="3"/>
  <c r="D8449" i="3"/>
  <c r="D8448" i="3"/>
  <c r="D8447" i="3"/>
  <c r="D8446" i="3"/>
  <c r="D8445" i="3"/>
  <c r="D8444" i="3"/>
  <c r="D8443" i="3"/>
  <c r="D8442" i="3"/>
  <c r="D8441" i="3"/>
  <c r="D8440" i="3"/>
  <c r="D8439" i="3"/>
  <c r="D8438" i="3"/>
  <c r="D8437" i="3"/>
  <c r="D8436" i="3"/>
  <c r="D8435" i="3"/>
  <c r="D8434" i="3"/>
  <c r="D8433" i="3"/>
  <c r="D8432" i="3"/>
  <c r="D8431" i="3"/>
  <c r="D8430" i="3"/>
  <c r="D8429" i="3"/>
  <c r="D8428" i="3"/>
  <c r="D8427" i="3"/>
  <c r="D8426" i="3"/>
  <c r="D8425" i="3"/>
  <c r="D8424" i="3"/>
  <c r="D8423" i="3"/>
  <c r="D8422" i="3"/>
  <c r="D8421" i="3"/>
  <c r="D8420" i="3"/>
  <c r="D8419" i="3"/>
  <c r="D8418" i="3"/>
  <c r="D8417" i="3"/>
  <c r="D8416" i="3"/>
  <c r="D8415" i="3"/>
  <c r="D8414" i="3"/>
  <c r="D8413" i="3"/>
  <c r="D8412" i="3"/>
  <c r="D8411" i="3"/>
  <c r="D8410" i="3"/>
  <c r="D8409" i="3"/>
  <c r="D8408" i="3"/>
  <c r="D8407" i="3"/>
  <c r="D8406" i="3"/>
  <c r="D8405" i="3"/>
  <c r="D8404" i="3"/>
  <c r="D8403" i="3"/>
  <c r="D8402" i="3"/>
  <c r="D8401" i="3"/>
  <c r="D8400" i="3"/>
  <c r="D8399" i="3"/>
  <c r="D8398" i="3"/>
  <c r="D8397" i="3"/>
  <c r="D8396" i="3"/>
  <c r="D8395" i="3"/>
  <c r="D8394" i="3"/>
  <c r="D8393" i="3"/>
  <c r="D8392" i="3"/>
  <c r="D8391" i="3"/>
  <c r="D8390" i="3"/>
  <c r="D8389" i="3"/>
  <c r="D8388" i="3"/>
  <c r="D8387" i="3"/>
  <c r="D8386" i="3"/>
  <c r="D8385" i="3"/>
  <c r="D8384" i="3"/>
  <c r="D8383" i="3"/>
  <c r="D8382" i="3"/>
  <c r="D8381" i="3"/>
  <c r="D8380" i="3"/>
  <c r="D8379" i="3"/>
  <c r="D8378" i="3"/>
  <c r="D8377" i="3"/>
  <c r="D8376" i="3"/>
  <c r="D8375" i="3"/>
  <c r="D8374" i="3"/>
  <c r="D8373" i="3"/>
  <c r="D8372" i="3"/>
  <c r="D8371" i="3"/>
  <c r="D8370" i="3"/>
  <c r="D8369" i="3"/>
  <c r="D8368" i="3"/>
  <c r="D8367" i="3"/>
  <c r="D8366" i="3"/>
  <c r="D8365" i="3"/>
  <c r="D8364" i="3"/>
  <c r="D8363" i="3"/>
  <c r="D8362" i="3"/>
  <c r="D8361" i="3"/>
  <c r="D8360" i="3"/>
  <c r="D8359" i="3"/>
  <c r="D8358" i="3"/>
  <c r="D8357" i="3"/>
  <c r="D8356" i="3"/>
  <c r="D8355" i="3"/>
  <c r="D8354" i="3"/>
  <c r="D8353" i="3"/>
  <c r="D8352" i="3"/>
  <c r="D8351" i="3"/>
  <c r="D8350" i="3"/>
  <c r="D8349" i="3"/>
  <c r="D8348" i="3"/>
  <c r="D8347" i="3"/>
  <c r="D8346" i="3"/>
  <c r="D8345" i="3"/>
  <c r="D8344" i="3"/>
  <c r="D8343" i="3"/>
  <c r="D8342" i="3"/>
  <c r="D8341" i="3"/>
  <c r="D8340" i="3"/>
  <c r="D8339" i="3"/>
  <c r="D8338" i="3"/>
  <c r="D8337" i="3"/>
  <c r="D8336" i="3"/>
  <c r="D8335" i="3"/>
  <c r="D8334" i="3"/>
  <c r="D8333" i="3"/>
  <c r="D8332" i="3"/>
  <c r="D8331" i="3"/>
  <c r="D8330" i="3"/>
  <c r="D8329" i="3"/>
  <c r="D8328" i="3"/>
  <c r="D8327" i="3"/>
  <c r="D8326" i="3"/>
  <c r="D8325" i="3"/>
  <c r="D8324" i="3"/>
  <c r="D8323" i="3"/>
  <c r="D8322" i="3"/>
  <c r="D8321" i="3"/>
  <c r="D8320" i="3"/>
  <c r="D8319" i="3"/>
  <c r="D8318" i="3"/>
  <c r="D8317" i="3"/>
  <c r="D8316" i="3"/>
  <c r="D8315" i="3"/>
  <c r="D8314" i="3"/>
  <c r="D8313" i="3"/>
  <c r="D8312" i="3"/>
  <c r="D8311" i="3"/>
  <c r="D8310" i="3"/>
  <c r="D8309" i="3"/>
  <c r="D8308" i="3"/>
  <c r="D8307" i="3"/>
  <c r="D8306" i="3"/>
  <c r="D8305" i="3"/>
  <c r="D8304" i="3"/>
  <c r="D8303" i="3"/>
  <c r="D8302" i="3"/>
  <c r="D8301" i="3"/>
  <c r="D8300" i="3"/>
  <c r="D8299" i="3"/>
  <c r="D8298" i="3"/>
  <c r="D8297" i="3"/>
  <c r="D8296" i="3"/>
  <c r="D8295" i="3"/>
  <c r="D8294" i="3"/>
  <c r="D8293" i="3"/>
  <c r="D8292" i="3"/>
  <c r="D8291" i="3"/>
  <c r="D8290" i="3"/>
  <c r="D8289" i="3"/>
  <c r="D8288" i="3"/>
  <c r="D8287" i="3"/>
  <c r="D8286" i="3"/>
  <c r="D8285" i="3"/>
  <c r="D8284" i="3"/>
  <c r="D8283" i="3"/>
  <c r="D8282" i="3"/>
  <c r="D8281" i="3"/>
  <c r="D8280" i="3"/>
  <c r="D8279" i="3"/>
  <c r="D8278" i="3"/>
  <c r="D8277" i="3"/>
  <c r="D8276" i="3"/>
  <c r="D8275" i="3"/>
  <c r="D8274" i="3"/>
  <c r="D8273" i="3"/>
  <c r="D8272" i="3"/>
  <c r="D8271" i="3"/>
  <c r="D8270" i="3"/>
  <c r="D8269" i="3"/>
  <c r="D8268" i="3"/>
  <c r="D8267" i="3"/>
  <c r="D8266" i="3"/>
  <c r="D8265" i="3"/>
  <c r="D8264" i="3"/>
  <c r="D8263" i="3"/>
  <c r="D8262" i="3"/>
  <c r="D8261" i="3"/>
  <c r="D8260" i="3"/>
  <c r="D8259" i="3"/>
  <c r="D8258" i="3"/>
  <c r="D8257" i="3"/>
  <c r="D8256" i="3"/>
  <c r="D8255" i="3"/>
  <c r="D8254" i="3"/>
  <c r="D8253" i="3"/>
  <c r="D8252" i="3"/>
  <c r="D8251" i="3"/>
  <c r="D8250" i="3"/>
  <c r="D8249" i="3"/>
  <c r="D8248" i="3"/>
  <c r="D8247" i="3"/>
  <c r="D8246" i="3"/>
  <c r="D8245" i="3"/>
  <c r="D8244" i="3"/>
  <c r="D8243" i="3"/>
  <c r="D8242" i="3"/>
  <c r="D8241" i="3"/>
  <c r="D8240" i="3"/>
  <c r="D8239" i="3"/>
  <c r="D8238" i="3"/>
  <c r="D8237" i="3"/>
  <c r="D8236" i="3"/>
  <c r="D8235" i="3"/>
  <c r="D8234" i="3"/>
  <c r="D8233" i="3"/>
  <c r="D8232" i="3"/>
  <c r="D8231" i="3"/>
  <c r="D8230" i="3"/>
  <c r="D8229" i="3"/>
  <c r="D8228" i="3"/>
  <c r="D8227" i="3"/>
  <c r="D8226" i="3"/>
  <c r="D8225" i="3"/>
  <c r="D8224" i="3"/>
  <c r="D8223" i="3"/>
  <c r="D8222" i="3"/>
  <c r="D8221" i="3"/>
  <c r="D8220" i="3"/>
  <c r="D8219" i="3"/>
  <c r="D8218" i="3"/>
  <c r="D8217" i="3"/>
  <c r="D8216" i="3"/>
  <c r="D8215" i="3"/>
  <c r="D8214" i="3"/>
  <c r="D8213" i="3"/>
  <c r="D8212" i="3"/>
  <c r="D8211" i="3"/>
  <c r="D8210" i="3"/>
  <c r="D8209" i="3"/>
  <c r="D8208" i="3"/>
  <c r="D8207" i="3"/>
  <c r="D8206" i="3"/>
  <c r="D8205" i="3"/>
  <c r="D8204" i="3"/>
  <c r="D8203" i="3"/>
  <c r="D8202" i="3"/>
  <c r="D8201" i="3"/>
  <c r="D8200" i="3"/>
  <c r="D8199" i="3"/>
  <c r="D8198" i="3"/>
  <c r="D8197" i="3"/>
  <c r="D8196" i="3"/>
  <c r="D8195" i="3"/>
  <c r="D8194" i="3"/>
  <c r="D8193" i="3"/>
  <c r="D8192" i="3"/>
  <c r="D8191" i="3"/>
  <c r="D8190" i="3"/>
  <c r="D8189" i="3"/>
  <c r="D8188" i="3"/>
  <c r="D8187" i="3"/>
  <c r="D8186" i="3"/>
  <c r="D8185" i="3"/>
  <c r="D8184" i="3"/>
  <c r="D8183" i="3"/>
  <c r="D8182" i="3"/>
  <c r="D8181" i="3"/>
  <c r="D8180" i="3"/>
  <c r="D8179" i="3"/>
  <c r="D8178" i="3"/>
  <c r="D8177" i="3"/>
  <c r="D8176" i="3"/>
  <c r="D8175" i="3"/>
  <c r="D8174" i="3"/>
  <c r="D8173" i="3"/>
  <c r="D8172" i="3"/>
  <c r="D8171" i="3"/>
  <c r="D8170" i="3"/>
  <c r="D8169" i="3"/>
  <c r="D8168" i="3"/>
  <c r="D8167" i="3"/>
  <c r="D8166" i="3"/>
  <c r="D8165" i="3"/>
  <c r="D8164" i="3"/>
  <c r="D8163" i="3"/>
  <c r="D8162" i="3"/>
  <c r="D8161" i="3"/>
  <c r="D8160" i="3"/>
  <c r="D8159" i="3"/>
  <c r="D8158" i="3"/>
  <c r="D8157" i="3"/>
  <c r="D8156" i="3"/>
  <c r="D8155" i="3"/>
  <c r="D8154" i="3"/>
  <c r="D8153" i="3"/>
  <c r="D8152" i="3"/>
  <c r="D8151" i="3"/>
  <c r="D8150" i="3"/>
  <c r="D8149" i="3"/>
  <c r="D8148" i="3"/>
  <c r="D8147" i="3"/>
  <c r="D8146" i="3"/>
  <c r="D8145" i="3"/>
  <c r="D8144" i="3"/>
  <c r="D8143" i="3"/>
  <c r="D8142" i="3"/>
  <c r="D8141" i="3"/>
  <c r="D8140" i="3"/>
  <c r="D8139" i="3"/>
  <c r="D8138" i="3"/>
  <c r="D8137" i="3"/>
  <c r="D8136" i="3"/>
  <c r="D8135" i="3"/>
  <c r="D8134" i="3"/>
  <c r="D8133" i="3"/>
  <c r="D8132" i="3"/>
  <c r="D8131" i="3"/>
  <c r="D8130" i="3"/>
  <c r="D8129" i="3"/>
  <c r="D8128" i="3"/>
  <c r="D8127" i="3"/>
  <c r="D8126" i="3"/>
  <c r="D8125" i="3"/>
  <c r="D8124" i="3"/>
  <c r="D8123" i="3"/>
  <c r="D8122" i="3"/>
  <c r="D8121" i="3"/>
  <c r="D8120" i="3"/>
  <c r="D8119" i="3"/>
  <c r="D8118" i="3"/>
  <c r="D8117" i="3"/>
  <c r="D8116" i="3"/>
  <c r="D8115" i="3"/>
  <c r="D8114" i="3"/>
  <c r="D8113" i="3"/>
  <c r="D8112" i="3"/>
  <c r="D8111" i="3"/>
  <c r="D8110" i="3"/>
  <c r="D8109" i="3"/>
  <c r="D8108" i="3"/>
  <c r="D8107" i="3"/>
  <c r="D8106" i="3"/>
  <c r="D8105" i="3"/>
  <c r="D8104" i="3"/>
  <c r="D8103" i="3"/>
  <c r="D8102" i="3"/>
  <c r="D8101" i="3"/>
  <c r="D8100" i="3"/>
  <c r="D8099" i="3"/>
  <c r="D8098" i="3"/>
  <c r="D8097" i="3"/>
  <c r="D8096" i="3"/>
  <c r="D8095" i="3"/>
  <c r="D8094" i="3"/>
  <c r="D8093" i="3"/>
  <c r="D8092" i="3"/>
  <c r="D8091" i="3"/>
  <c r="D8090" i="3"/>
  <c r="D8089" i="3"/>
  <c r="D8088" i="3"/>
  <c r="D8087" i="3"/>
  <c r="D8086" i="3"/>
  <c r="D8085" i="3"/>
  <c r="D8084" i="3"/>
  <c r="D8083" i="3"/>
  <c r="D8082" i="3"/>
  <c r="D8081" i="3"/>
  <c r="D8080" i="3"/>
  <c r="D8079" i="3"/>
  <c r="D8078" i="3"/>
  <c r="D8077" i="3"/>
  <c r="D8076" i="3"/>
  <c r="D8075" i="3"/>
  <c r="D8074" i="3"/>
  <c r="D8073" i="3"/>
  <c r="D8072" i="3"/>
  <c r="D8071" i="3"/>
  <c r="D8070" i="3"/>
  <c r="D8069" i="3"/>
  <c r="D8068" i="3"/>
  <c r="D8067" i="3"/>
  <c r="D8066" i="3"/>
  <c r="D8065" i="3"/>
  <c r="D8064" i="3"/>
  <c r="D8063" i="3"/>
  <c r="D8062" i="3"/>
  <c r="D8061" i="3"/>
  <c r="D8060" i="3"/>
  <c r="D8059" i="3"/>
  <c r="D8058" i="3"/>
  <c r="D8057" i="3"/>
  <c r="D8056" i="3"/>
  <c r="D8055" i="3"/>
  <c r="D8054" i="3"/>
  <c r="D8053" i="3"/>
  <c r="D8052" i="3"/>
  <c r="D8051" i="3"/>
  <c r="D8050" i="3"/>
  <c r="D8049" i="3"/>
  <c r="D8048" i="3"/>
  <c r="D8047" i="3"/>
  <c r="D8046" i="3"/>
  <c r="D8045" i="3"/>
  <c r="D8044" i="3"/>
  <c r="D8043" i="3"/>
  <c r="D8042" i="3"/>
  <c r="D8041" i="3"/>
  <c r="D8040" i="3"/>
  <c r="D8039" i="3"/>
  <c r="D8038" i="3"/>
  <c r="D8037" i="3"/>
  <c r="D8036" i="3"/>
  <c r="D8035" i="3"/>
  <c r="D8034" i="3"/>
  <c r="D8033" i="3"/>
  <c r="D8032" i="3"/>
  <c r="D8031" i="3"/>
  <c r="D8030" i="3"/>
  <c r="D8029" i="3"/>
  <c r="D8028" i="3"/>
  <c r="D8027" i="3"/>
  <c r="D8026" i="3"/>
  <c r="D8025" i="3"/>
  <c r="D8024" i="3"/>
  <c r="D8023" i="3"/>
  <c r="D8022" i="3"/>
  <c r="D8021" i="3"/>
  <c r="D8020" i="3"/>
  <c r="D8019" i="3"/>
  <c r="D8018" i="3"/>
  <c r="D8017" i="3"/>
  <c r="D8016" i="3"/>
  <c r="D8015" i="3"/>
  <c r="D8014" i="3"/>
  <c r="D8013" i="3"/>
  <c r="D8012" i="3"/>
  <c r="D8011" i="3"/>
  <c r="D8010" i="3"/>
  <c r="D8009" i="3"/>
  <c r="D8008" i="3"/>
  <c r="D8007" i="3"/>
  <c r="D8006" i="3"/>
  <c r="D8005" i="3"/>
  <c r="D8004" i="3"/>
  <c r="D8003" i="3"/>
  <c r="D8002" i="3"/>
  <c r="D8001" i="3"/>
  <c r="D8000" i="3"/>
  <c r="D7999" i="3"/>
  <c r="D7998" i="3"/>
  <c r="D7997" i="3"/>
  <c r="D7996" i="3"/>
  <c r="D7995" i="3"/>
  <c r="D7994" i="3"/>
  <c r="D7993" i="3"/>
  <c r="D7992" i="3"/>
  <c r="D7991" i="3"/>
  <c r="D7990" i="3"/>
  <c r="D7989" i="3"/>
  <c r="D7988" i="3"/>
  <c r="D7987" i="3"/>
  <c r="D7986" i="3"/>
  <c r="D7985" i="3"/>
  <c r="D7984" i="3"/>
  <c r="D7983" i="3"/>
  <c r="D7982" i="3"/>
  <c r="D7981" i="3"/>
  <c r="D7980" i="3"/>
  <c r="D7979" i="3"/>
  <c r="D7978" i="3"/>
  <c r="D7977" i="3"/>
  <c r="D7976" i="3"/>
  <c r="D7975" i="3"/>
  <c r="D7974" i="3"/>
  <c r="D7973" i="3"/>
  <c r="D7972" i="3"/>
  <c r="D7971" i="3"/>
  <c r="D7970" i="3"/>
  <c r="D7969" i="3"/>
  <c r="D7968" i="3"/>
  <c r="D7967" i="3"/>
  <c r="D7966" i="3"/>
  <c r="D7965" i="3"/>
  <c r="D7964" i="3"/>
  <c r="D7963" i="3"/>
  <c r="D7962" i="3"/>
  <c r="D7961" i="3"/>
  <c r="D7960" i="3"/>
  <c r="D7959" i="3"/>
  <c r="D7958" i="3"/>
  <c r="D7957" i="3"/>
  <c r="D7956" i="3"/>
  <c r="D7955" i="3"/>
  <c r="D7954" i="3"/>
  <c r="D7953" i="3"/>
  <c r="D7952" i="3"/>
  <c r="D7951" i="3"/>
  <c r="D7950" i="3"/>
  <c r="D7949" i="3"/>
  <c r="D7948" i="3"/>
  <c r="D7947" i="3"/>
  <c r="D7946" i="3"/>
  <c r="D7945" i="3"/>
  <c r="D7944" i="3"/>
  <c r="D7943" i="3"/>
  <c r="D7942" i="3"/>
  <c r="D7941" i="3"/>
  <c r="D7940" i="3"/>
  <c r="D7939" i="3"/>
  <c r="D7938" i="3"/>
  <c r="D7937" i="3"/>
  <c r="D7936" i="3"/>
  <c r="D7935" i="3"/>
  <c r="D7934" i="3"/>
  <c r="D7933" i="3"/>
  <c r="D7932" i="3"/>
  <c r="D7931" i="3"/>
  <c r="D7930" i="3"/>
  <c r="D7929" i="3"/>
  <c r="D7928" i="3"/>
  <c r="D7927" i="3"/>
  <c r="D7926" i="3"/>
  <c r="D7925" i="3"/>
  <c r="D7924" i="3"/>
  <c r="D7923" i="3"/>
  <c r="D7922" i="3"/>
  <c r="D7921" i="3"/>
  <c r="D7920" i="3"/>
  <c r="D7919" i="3"/>
  <c r="D7918" i="3"/>
  <c r="D7917" i="3"/>
  <c r="D7916" i="3"/>
  <c r="D7915" i="3"/>
  <c r="D7914" i="3"/>
  <c r="D7913" i="3"/>
  <c r="D7912" i="3"/>
  <c r="D7911" i="3"/>
  <c r="D7910" i="3"/>
  <c r="D7909" i="3"/>
  <c r="D7908" i="3"/>
  <c r="D7907" i="3"/>
  <c r="D7906" i="3"/>
  <c r="D7905" i="3"/>
  <c r="D7904" i="3"/>
  <c r="D7903" i="3"/>
  <c r="D7902" i="3"/>
  <c r="D7901" i="3"/>
  <c r="D7900" i="3"/>
  <c r="D7899" i="3"/>
  <c r="D7898" i="3"/>
  <c r="D7897" i="3"/>
  <c r="D7896" i="3"/>
  <c r="D7895" i="3"/>
  <c r="D7894" i="3"/>
  <c r="D7893" i="3"/>
  <c r="D7892" i="3"/>
  <c r="D7891" i="3"/>
  <c r="D7890" i="3"/>
  <c r="D7889" i="3"/>
  <c r="D7888" i="3"/>
  <c r="D7887" i="3"/>
  <c r="D7886" i="3"/>
  <c r="D7885" i="3"/>
  <c r="D7884" i="3"/>
  <c r="D7883" i="3"/>
  <c r="D7882" i="3"/>
  <c r="D7881" i="3"/>
  <c r="D7880" i="3"/>
  <c r="D7879" i="3"/>
  <c r="D7878" i="3"/>
  <c r="D7877" i="3"/>
  <c r="D7876" i="3"/>
  <c r="D7875" i="3"/>
  <c r="D7874" i="3"/>
  <c r="D7873" i="3"/>
  <c r="D7872" i="3"/>
  <c r="D7871" i="3"/>
  <c r="D7870" i="3"/>
  <c r="D7869" i="3"/>
  <c r="D7868" i="3"/>
  <c r="D7867" i="3"/>
  <c r="D7866" i="3"/>
  <c r="D7865" i="3"/>
  <c r="D7864" i="3"/>
  <c r="D7863" i="3"/>
  <c r="D7862" i="3"/>
  <c r="D7861" i="3"/>
  <c r="D7860" i="3"/>
  <c r="D7859" i="3"/>
  <c r="D7858" i="3"/>
  <c r="D7857" i="3"/>
  <c r="D7856" i="3"/>
  <c r="D7855" i="3"/>
  <c r="D7854" i="3"/>
  <c r="D7853" i="3"/>
  <c r="D7852" i="3"/>
  <c r="D7851" i="3"/>
  <c r="D7850" i="3"/>
  <c r="D7849" i="3"/>
  <c r="D7848" i="3"/>
  <c r="D7847" i="3"/>
  <c r="D7846" i="3"/>
  <c r="D7845" i="3"/>
  <c r="D7844" i="3"/>
  <c r="D7843" i="3"/>
  <c r="D7842" i="3"/>
  <c r="D7841" i="3"/>
  <c r="D7840" i="3"/>
  <c r="D7839" i="3"/>
  <c r="D7838" i="3"/>
  <c r="D7837" i="3"/>
  <c r="D7836" i="3"/>
  <c r="D7835" i="3"/>
  <c r="D7834" i="3"/>
  <c r="D7833" i="3"/>
  <c r="D7832" i="3"/>
  <c r="D7831" i="3"/>
  <c r="D7830" i="3"/>
  <c r="D7829" i="3"/>
  <c r="D7828" i="3"/>
  <c r="D7827" i="3"/>
  <c r="D7826" i="3"/>
  <c r="D7825" i="3"/>
  <c r="D7824" i="3"/>
  <c r="D7823" i="3"/>
  <c r="D7822" i="3"/>
  <c r="D7821" i="3"/>
  <c r="D7820" i="3"/>
  <c r="D7819" i="3"/>
  <c r="D7818" i="3"/>
  <c r="D7817" i="3"/>
  <c r="D7816" i="3"/>
  <c r="D7815" i="3"/>
  <c r="D7814" i="3"/>
  <c r="D7813" i="3"/>
  <c r="D7812" i="3"/>
  <c r="D7811" i="3"/>
  <c r="D7810" i="3"/>
  <c r="D7809" i="3"/>
  <c r="D7808" i="3"/>
  <c r="D7807" i="3"/>
  <c r="D7806" i="3"/>
  <c r="D7805" i="3"/>
  <c r="D7804" i="3"/>
  <c r="D7803" i="3"/>
  <c r="D7802" i="3"/>
  <c r="D7801" i="3"/>
  <c r="D7800" i="3"/>
  <c r="D7799" i="3"/>
  <c r="D7798" i="3"/>
  <c r="D7797" i="3"/>
  <c r="D7796" i="3"/>
  <c r="D7795" i="3"/>
  <c r="D7794" i="3"/>
  <c r="D7793" i="3"/>
  <c r="D7792" i="3"/>
  <c r="D7791" i="3"/>
  <c r="D7790" i="3"/>
  <c r="D7789" i="3"/>
  <c r="D7788" i="3"/>
  <c r="D7787" i="3"/>
  <c r="D7786" i="3"/>
  <c r="D7785" i="3"/>
  <c r="D7784" i="3"/>
  <c r="D7783" i="3"/>
  <c r="D7782" i="3"/>
  <c r="D7781" i="3"/>
  <c r="D7780" i="3"/>
  <c r="D7779" i="3"/>
  <c r="D7778" i="3"/>
  <c r="D7777" i="3"/>
  <c r="D7776" i="3"/>
  <c r="D7775" i="3"/>
  <c r="D7774" i="3"/>
  <c r="D7773" i="3"/>
  <c r="D7772" i="3"/>
  <c r="D7771" i="3"/>
  <c r="D7770" i="3"/>
  <c r="D7769" i="3"/>
  <c r="D7768" i="3"/>
  <c r="D7767" i="3"/>
  <c r="D7766" i="3"/>
  <c r="D7765" i="3"/>
  <c r="D7764" i="3"/>
  <c r="D7763" i="3"/>
  <c r="D7762" i="3"/>
  <c r="D7761" i="3"/>
  <c r="D7760" i="3"/>
  <c r="D7759" i="3"/>
  <c r="D7758" i="3"/>
  <c r="D7757" i="3"/>
  <c r="D7756" i="3"/>
  <c r="D7755" i="3"/>
  <c r="D7754" i="3"/>
  <c r="D7753" i="3"/>
  <c r="D7752" i="3"/>
  <c r="D7751" i="3"/>
  <c r="D7750" i="3"/>
  <c r="D7749" i="3"/>
  <c r="D7748" i="3"/>
  <c r="D7747" i="3"/>
  <c r="D7746" i="3"/>
  <c r="D7745" i="3"/>
  <c r="D7744" i="3"/>
  <c r="D7743" i="3"/>
  <c r="D7742" i="3"/>
  <c r="D7741" i="3"/>
  <c r="D7740" i="3"/>
  <c r="D7739" i="3"/>
  <c r="D7738" i="3"/>
  <c r="D7737" i="3"/>
  <c r="D7736" i="3"/>
  <c r="D7735" i="3"/>
  <c r="D7734" i="3"/>
  <c r="D7733" i="3"/>
  <c r="D7732" i="3"/>
  <c r="D7731" i="3"/>
  <c r="D7730" i="3"/>
  <c r="D7729" i="3"/>
  <c r="D7728" i="3"/>
  <c r="D7727" i="3"/>
  <c r="D7726" i="3"/>
  <c r="D7725" i="3"/>
  <c r="D7724" i="3"/>
  <c r="D7723" i="3"/>
  <c r="D7722" i="3"/>
  <c r="D7721" i="3"/>
  <c r="D7720" i="3"/>
  <c r="D7719" i="3"/>
  <c r="D7718" i="3"/>
  <c r="D7717" i="3"/>
  <c r="D7716" i="3"/>
  <c r="D7715" i="3"/>
  <c r="D7714" i="3"/>
  <c r="D7713" i="3"/>
  <c r="D7712" i="3"/>
  <c r="D7711" i="3"/>
  <c r="D7710" i="3"/>
  <c r="D7709" i="3"/>
  <c r="D7708" i="3"/>
  <c r="D7707" i="3"/>
  <c r="D7706" i="3"/>
  <c r="D7705" i="3"/>
  <c r="D7704" i="3"/>
  <c r="D7703" i="3"/>
  <c r="D7702" i="3"/>
  <c r="D7701" i="3"/>
  <c r="D7700" i="3"/>
  <c r="D7699" i="3"/>
  <c r="D7698" i="3"/>
  <c r="D7697" i="3"/>
  <c r="D7696" i="3"/>
  <c r="D7695" i="3"/>
  <c r="D7694" i="3"/>
  <c r="D7693" i="3"/>
  <c r="D7692" i="3"/>
  <c r="D7691" i="3"/>
  <c r="D7690" i="3"/>
  <c r="D7689" i="3"/>
  <c r="D7688" i="3"/>
  <c r="D7687" i="3"/>
  <c r="D7686" i="3"/>
  <c r="D7685" i="3"/>
  <c r="D7684" i="3"/>
  <c r="D7683" i="3"/>
  <c r="D7682" i="3"/>
  <c r="D7681" i="3"/>
  <c r="D7680" i="3"/>
  <c r="D7679" i="3"/>
  <c r="D7678" i="3"/>
  <c r="D7677" i="3"/>
  <c r="D7676" i="3"/>
  <c r="D7675" i="3"/>
  <c r="D7674" i="3"/>
  <c r="D7673" i="3"/>
  <c r="D7672" i="3"/>
  <c r="D7671" i="3"/>
  <c r="D7670" i="3"/>
  <c r="D7669" i="3"/>
  <c r="D7668" i="3"/>
  <c r="D7667" i="3"/>
  <c r="D7666" i="3"/>
  <c r="D7665" i="3"/>
  <c r="D7664" i="3"/>
  <c r="D7663" i="3"/>
  <c r="D7662" i="3"/>
  <c r="D7661" i="3"/>
  <c r="D7660" i="3"/>
  <c r="D7659" i="3"/>
  <c r="D7658" i="3"/>
  <c r="D7657" i="3"/>
  <c r="D7656" i="3"/>
  <c r="D7655" i="3"/>
  <c r="D7654" i="3"/>
  <c r="D7653" i="3"/>
  <c r="D7652" i="3"/>
  <c r="D7651" i="3"/>
  <c r="D7650" i="3"/>
  <c r="D7649" i="3"/>
  <c r="D7648" i="3"/>
  <c r="D7647" i="3"/>
  <c r="D7646" i="3"/>
  <c r="D7645" i="3"/>
  <c r="D7644" i="3"/>
  <c r="D7643" i="3"/>
  <c r="D7642" i="3"/>
  <c r="D7641" i="3"/>
  <c r="D7640" i="3"/>
  <c r="D7639" i="3"/>
  <c r="D7638" i="3"/>
  <c r="D7637" i="3"/>
  <c r="D7636" i="3"/>
  <c r="D7635" i="3"/>
  <c r="D7634" i="3"/>
  <c r="D7633" i="3"/>
  <c r="D7632" i="3"/>
  <c r="D7631" i="3"/>
  <c r="D7630" i="3"/>
  <c r="D7629" i="3"/>
  <c r="D7628" i="3"/>
  <c r="D7627" i="3"/>
  <c r="D7626" i="3"/>
  <c r="D7625" i="3"/>
  <c r="D7624" i="3"/>
  <c r="D7623" i="3"/>
  <c r="D7622" i="3"/>
  <c r="D7621" i="3"/>
  <c r="D7620" i="3"/>
  <c r="D7619" i="3"/>
  <c r="D7618" i="3"/>
  <c r="D7617" i="3"/>
  <c r="D7616" i="3"/>
  <c r="D7615" i="3"/>
  <c r="D7614" i="3"/>
  <c r="D7613" i="3"/>
  <c r="D7612" i="3"/>
  <c r="D7611" i="3"/>
  <c r="D7610" i="3"/>
  <c r="D7609" i="3"/>
  <c r="D7608" i="3"/>
  <c r="D7607" i="3"/>
  <c r="D7606" i="3"/>
  <c r="D7605" i="3"/>
  <c r="D7604" i="3"/>
  <c r="D7603" i="3"/>
  <c r="D7602" i="3"/>
  <c r="D7601" i="3"/>
  <c r="D7600" i="3"/>
  <c r="D7599" i="3"/>
  <c r="D7598" i="3"/>
  <c r="D7597" i="3"/>
  <c r="D7596" i="3"/>
  <c r="D7595" i="3"/>
  <c r="D7594" i="3"/>
  <c r="D7593" i="3"/>
  <c r="D7592" i="3"/>
  <c r="D7591" i="3"/>
  <c r="D7590" i="3"/>
  <c r="D7589" i="3"/>
  <c r="D7588" i="3"/>
  <c r="D7587" i="3"/>
  <c r="D7586" i="3"/>
  <c r="D7585" i="3"/>
  <c r="D7584" i="3"/>
  <c r="D7583" i="3"/>
  <c r="D7582" i="3"/>
  <c r="D7581" i="3"/>
  <c r="D7580" i="3"/>
  <c r="D7579" i="3"/>
  <c r="D7578" i="3"/>
  <c r="D7577" i="3"/>
  <c r="D7576" i="3"/>
  <c r="D7575" i="3"/>
  <c r="D7574" i="3"/>
  <c r="D7573" i="3"/>
  <c r="D7572" i="3"/>
  <c r="D7571" i="3"/>
  <c r="D7570" i="3"/>
  <c r="D7569" i="3"/>
  <c r="D7568" i="3"/>
  <c r="D7567" i="3"/>
  <c r="D7566" i="3"/>
  <c r="D7565" i="3"/>
  <c r="D7564" i="3"/>
  <c r="D7563" i="3"/>
  <c r="D7562" i="3"/>
  <c r="D7561" i="3"/>
  <c r="D7560" i="3"/>
  <c r="D7559" i="3"/>
  <c r="D7558" i="3"/>
  <c r="D7557" i="3"/>
  <c r="D7556" i="3"/>
  <c r="D7555" i="3"/>
  <c r="D7554" i="3"/>
  <c r="D7553" i="3"/>
  <c r="D7552" i="3"/>
  <c r="D7551" i="3"/>
  <c r="D7550" i="3"/>
  <c r="D7549" i="3"/>
  <c r="D7548" i="3"/>
  <c r="D7547" i="3"/>
  <c r="D7546" i="3"/>
  <c r="D7545" i="3"/>
  <c r="D7544" i="3"/>
  <c r="D7543" i="3"/>
  <c r="D7542" i="3"/>
  <c r="D7541" i="3"/>
  <c r="D7540" i="3"/>
  <c r="D7539" i="3"/>
  <c r="D7538" i="3"/>
  <c r="D7537" i="3"/>
  <c r="D7536" i="3"/>
  <c r="D7535" i="3"/>
  <c r="D7534" i="3"/>
  <c r="D7533" i="3"/>
  <c r="D7532" i="3"/>
  <c r="D7531" i="3"/>
  <c r="D7530" i="3"/>
  <c r="D7529" i="3"/>
  <c r="D7528" i="3"/>
  <c r="D7527" i="3"/>
  <c r="D7526" i="3"/>
  <c r="D7525" i="3"/>
  <c r="D7524" i="3"/>
  <c r="D7523" i="3"/>
  <c r="D7522" i="3"/>
  <c r="D7521" i="3"/>
  <c r="D7520" i="3"/>
  <c r="D7519" i="3"/>
  <c r="D7518" i="3"/>
  <c r="D7517" i="3"/>
  <c r="D7516" i="3"/>
  <c r="D7515" i="3"/>
  <c r="D7514" i="3"/>
  <c r="D7513" i="3"/>
  <c r="D7512" i="3"/>
  <c r="D7511" i="3"/>
  <c r="D7510" i="3"/>
  <c r="D7509" i="3"/>
  <c r="D7508" i="3"/>
  <c r="D7507" i="3"/>
  <c r="D7506" i="3"/>
  <c r="D7505" i="3"/>
  <c r="D7504" i="3"/>
  <c r="D7503" i="3"/>
  <c r="D7502" i="3"/>
  <c r="D7501" i="3"/>
  <c r="D7500" i="3"/>
  <c r="D7499" i="3"/>
  <c r="D7498" i="3"/>
  <c r="D7497" i="3"/>
  <c r="D7496" i="3"/>
  <c r="D7495" i="3"/>
  <c r="D7494" i="3"/>
  <c r="D7493" i="3"/>
  <c r="D7492" i="3"/>
  <c r="D7491" i="3"/>
  <c r="D7490" i="3"/>
  <c r="D7489" i="3"/>
  <c r="D7488" i="3"/>
  <c r="D7487" i="3"/>
  <c r="D7486" i="3"/>
  <c r="D7485" i="3"/>
  <c r="D7484" i="3"/>
  <c r="D7483" i="3"/>
  <c r="D7482" i="3"/>
  <c r="D7481" i="3"/>
  <c r="D7480" i="3"/>
  <c r="D7479" i="3"/>
  <c r="D7478" i="3"/>
  <c r="D7477" i="3"/>
  <c r="D7476" i="3"/>
  <c r="D7475" i="3"/>
  <c r="D7474" i="3"/>
  <c r="D7473" i="3"/>
  <c r="D7472" i="3"/>
  <c r="D7471" i="3"/>
  <c r="D7470" i="3"/>
  <c r="D7469" i="3"/>
  <c r="D7468" i="3"/>
  <c r="D7467" i="3"/>
  <c r="D7466" i="3"/>
  <c r="D7465" i="3"/>
  <c r="D7464" i="3"/>
  <c r="D7463" i="3"/>
  <c r="D7462" i="3"/>
  <c r="D7461" i="3"/>
  <c r="D7460" i="3"/>
  <c r="D7459" i="3"/>
  <c r="D7458" i="3"/>
  <c r="D7457" i="3"/>
  <c r="D7456" i="3"/>
  <c r="D7455" i="3"/>
  <c r="D7454" i="3"/>
  <c r="D7453" i="3"/>
  <c r="D7452" i="3"/>
  <c r="D7451" i="3"/>
  <c r="D7450" i="3"/>
  <c r="D7449" i="3"/>
  <c r="D7448" i="3"/>
  <c r="D7447" i="3"/>
  <c r="D7446" i="3"/>
  <c r="D7445" i="3"/>
  <c r="D7444" i="3"/>
  <c r="D7443" i="3"/>
  <c r="D7442" i="3"/>
  <c r="D7441" i="3"/>
  <c r="D7440" i="3"/>
  <c r="D7439" i="3"/>
  <c r="D7438" i="3"/>
  <c r="D7437" i="3"/>
  <c r="D7436" i="3"/>
  <c r="D7435" i="3"/>
  <c r="D7434" i="3"/>
  <c r="D7433" i="3"/>
  <c r="D7432" i="3"/>
  <c r="D7431" i="3"/>
  <c r="D7430" i="3"/>
  <c r="D7429" i="3"/>
  <c r="D7428" i="3"/>
  <c r="D7427" i="3"/>
  <c r="D7426" i="3"/>
  <c r="D7425" i="3"/>
  <c r="D7424" i="3"/>
  <c r="D7423" i="3"/>
  <c r="D7422" i="3"/>
  <c r="D7421" i="3"/>
  <c r="D7420" i="3"/>
  <c r="D7419" i="3"/>
  <c r="D7418" i="3"/>
  <c r="D7417" i="3"/>
  <c r="D7416" i="3"/>
  <c r="D7415" i="3"/>
  <c r="D7414" i="3"/>
  <c r="D7413" i="3"/>
  <c r="D7412" i="3"/>
  <c r="D7411" i="3"/>
  <c r="D7410" i="3"/>
  <c r="D7409" i="3"/>
  <c r="D7408" i="3"/>
  <c r="D7407" i="3"/>
  <c r="D7406" i="3"/>
  <c r="D7405" i="3"/>
  <c r="D7404" i="3"/>
  <c r="D7403" i="3"/>
  <c r="D7402" i="3"/>
  <c r="D7401" i="3"/>
  <c r="D7400" i="3"/>
  <c r="D7399" i="3"/>
  <c r="D7398" i="3"/>
  <c r="D7397" i="3"/>
  <c r="D7396" i="3"/>
  <c r="D7395" i="3"/>
  <c r="D7394" i="3"/>
  <c r="D7393" i="3"/>
  <c r="D7392" i="3"/>
  <c r="D7391" i="3"/>
  <c r="D7390" i="3"/>
  <c r="D7389" i="3"/>
  <c r="D7388" i="3"/>
  <c r="D7387" i="3"/>
  <c r="D7386" i="3"/>
  <c r="D7385" i="3"/>
  <c r="D7384" i="3"/>
  <c r="D7383" i="3"/>
  <c r="D7382" i="3"/>
  <c r="D7381" i="3"/>
  <c r="D7380" i="3"/>
  <c r="D7379" i="3"/>
  <c r="D7378" i="3"/>
  <c r="D7377" i="3"/>
  <c r="D7376" i="3"/>
  <c r="D7375" i="3"/>
  <c r="D7374" i="3"/>
  <c r="D7373" i="3"/>
  <c r="D7372" i="3"/>
  <c r="D7371" i="3"/>
  <c r="D7370" i="3"/>
  <c r="D7369" i="3"/>
  <c r="D7368" i="3"/>
  <c r="D7367" i="3"/>
  <c r="D7366" i="3"/>
  <c r="D7365" i="3"/>
  <c r="D7364" i="3"/>
  <c r="D7363" i="3"/>
  <c r="D7362" i="3"/>
  <c r="D7361" i="3"/>
  <c r="D7360" i="3"/>
  <c r="D7359" i="3"/>
  <c r="D7358" i="3"/>
  <c r="D7357" i="3"/>
  <c r="D7356" i="3"/>
  <c r="D7355" i="3"/>
  <c r="D7354" i="3"/>
  <c r="D7353" i="3"/>
  <c r="D7352" i="3"/>
  <c r="D7351" i="3"/>
  <c r="D7350" i="3"/>
  <c r="D7349" i="3"/>
  <c r="D7348" i="3"/>
  <c r="D7347" i="3"/>
  <c r="D7346" i="3"/>
  <c r="D7345" i="3"/>
  <c r="D7344" i="3"/>
  <c r="D7343" i="3"/>
  <c r="D7342" i="3"/>
  <c r="D7341" i="3"/>
  <c r="D7340" i="3"/>
  <c r="D7339" i="3"/>
  <c r="D7338" i="3"/>
  <c r="D7337" i="3"/>
  <c r="D7336" i="3"/>
  <c r="D7335" i="3"/>
  <c r="D7334" i="3"/>
  <c r="D7333" i="3"/>
  <c r="D7332" i="3"/>
  <c r="D7331" i="3"/>
  <c r="D7330" i="3"/>
  <c r="D7329" i="3"/>
  <c r="D7328" i="3"/>
  <c r="D7327" i="3"/>
  <c r="D7326" i="3"/>
  <c r="D7325" i="3"/>
  <c r="D7324" i="3"/>
  <c r="D7323" i="3"/>
  <c r="D7322" i="3"/>
  <c r="D7321" i="3"/>
  <c r="D7320" i="3"/>
  <c r="D7319" i="3"/>
  <c r="D7318" i="3"/>
  <c r="D7317" i="3"/>
  <c r="D7316" i="3"/>
  <c r="D7315" i="3"/>
  <c r="D7314" i="3"/>
  <c r="D7313" i="3"/>
  <c r="D7312" i="3"/>
  <c r="D7311" i="3"/>
  <c r="D7310" i="3"/>
  <c r="D7309" i="3"/>
  <c r="D7308" i="3"/>
  <c r="D7307" i="3"/>
  <c r="D7306" i="3"/>
  <c r="D7305" i="3"/>
  <c r="D7304" i="3"/>
  <c r="D7303" i="3"/>
  <c r="D7302" i="3"/>
  <c r="D7301" i="3"/>
  <c r="D7300" i="3"/>
  <c r="D7299" i="3"/>
  <c r="D7298" i="3"/>
  <c r="D7297" i="3"/>
  <c r="D7296" i="3"/>
  <c r="D7295" i="3"/>
  <c r="D7294" i="3"/>
  <c r="D7293" i="3"/>
  <c r="D7292" i="3"/>
  <c r="D7291" i="3"/>
  <c r="D7290" i="3"/>
  <c r="D7289" i="3"/>
  <c r="D7288" i="3"/>
  <c r="D7287" i="3"/>
  <c r="D7286" i="3"/>
  <c r="D7285" i="3"/>
  <c r="D7284" i="3"/>
  <c r="D7283" i="3"/>
  <c r="D7282" i="3"/>
  <c r="D7281" i="3"/>
  <c r="D7280" i="3"/>
  <c r="D7279" i="3"/>
  <c r="D7278" i="3"/>
  <c r="D7277" i="3"/>
  <c r="D7276" i="3"/>
  <c r="D7275" i="3"/>
  <c r="D7274" i="3"/>
  <c r="D7273" i="3"/>
  <c r="D7272" i="3"/>
  <c r="D7271" i="3"/>
  <c r="D7270" i="3"/>
  <c r="D7269" i="3"/>
  <c r="D7268" i="3"/>
  <c r="D7267" i="3"/>
  <c r="D7266" i="3"/>
  <c r="D7265" i="3"/>
  <c r="D7264" i="3"/>
  <c r="D7263" i="3"/>
  <c r="D7262" i="3"/>
  <c r="D7261" i="3"/>
  <c r="D7260" i="3"/>
  <c r="D7259" i="3"/>
  <c r="D7258" i="3"/>
  <c r="D7257" i="3"/>
  <c r="D7256" i="3"/>
  <c r="D7255" i="3"/>
  <c r="D7254" i="3"/>
  <c r="D7253" i="3"/>
  <c r="D7252" i="3"/>
  <c r="D7251" i="3"/>
  <c r="D7250" i="3"/>
  <c r="D7249" i="3"/>
  <c r="D7248" i="3"/>
  <c r="D7247" i="3"/>
  <c r="D7246" i="3"/>
  <c r="D7245" i="3"/>
  <c r="D7244" i="3"/>
  <c r="D7243" i="3"/>
  <c r="D7242" i="3"/>
  <c r="D7241" i="3"/>
  <c r="D7240" i="3"/>
  <c r="D7239" i="3"/>
  <c r="D7238" i="3"/>
  <c r="D7237" i="3"/>
  <c r="D7236" i="3"/>
  <c r="D7235" i="3"/>
  <c r="D7234" i="3"/>
  <c r="D7233" i="3"/>
  <c r="D7232" i="3"/>
  <c r="D7231" i="3"/>
  <c r="D7230" i="3"/>
  <c r="D7229" i="3"/>
  <c r="D7228" i="3"/>
  <c r="D7227" i="3"/>
  <c r="D7226" i="3"/>
  <c r="D7225" i="3"/>
  <c r="D7224" i="3"/>
  <c r="D7223" i="3"/>
  <c r="D7222" i="3"/>
  <c r="D7221" i="3"/>
  <c r="D7220" i="3"/>
  <c r="D7219" i="3"/>
  <c r="D7218" i="3"/>
  <c r="D7217" i="3"/>
  <c r="D7216" i="3"/>
  <c r="D7215" i="3"/>
  <c r="D7214" i="3"/>
  <c r="D7213" i="3"/>
  <c r="D7212" i="3"/>
  <c r="D7211" i="3"/>
  <c r="D7210" i="3"/>
  <c r="D7209" i="3"/>
  <c r="D7208" i="3"/>
  <c r="D7207" i="3"/>
  <c r="D7206" i="3"/>
  <c r="D7205" i="3"/>
  <c r="D7204" i="3"/>
  <c r="D7203" i="3"/>
  <c r="D7202" i="3"/>
  <c r="D7201" i="3"/>
  <c r="D7200" i="3"/>
  <c r="D7199" i="3"/>
  <c r="D7198" i="3"/>
  <c r="D7197" i="3"/>
  <c r="D7196" i="3"/>
  <c r="D7195" i="3"/>
  <c r="D7194" i="3"/>
  <c r="D7193" i="3"/>
  <c r="D7192" i="3"/>
  <c r="D7191" i="3"/>
  <c r="D7190" i="3"/>
  <c r="D7189" i="3"/>
  <c r="D7188" i="3"/>
  <c r="D7187" i="3"/>
  <c r="D7186" i="3"/>
  <c r="D7185" i="3"/>
  <c r="D7184" i="3"/>
  <c r="D7183" i="3"/>
  <c r="D7182" i="3"/>
  <c r="D7181" i="3"/>
  <c r="D7180" i="3"/>
  <c r="D7179" i="3"/>
  <c r="D7178" i="3"/>
  <c r="D7177" i="3"/>
  <c r="D7176" i="3"/>
  <c r="D7175" i="3"/>
  <c r="D7174" i="3"/>
  <c r="D7173" i="3"/>
  <c r="D7172" i="3"/>
  <c r="D7171" i="3"/>
  <c r="D7170" i="3"/>
  <c r="D7169" i="3"/>
  <c r="D7168" i="3"/>
  <c r="D7167" i="3"/>
  <c r="D7166" i="3"/>
  <c r="D7165" i="3"/>
  <c r="D7164" i="3"/>
  <c r="D7163" i="3"/>
  <c r="D7162" i="3"/>
  <c r="D7161" i="3"/>
  <c r="D7160" i="3"/>
  <c r="D7159" i="3"/>
  <c r="D7158" i="3"/>
  <c r="D7157" i="3"/>
  <c r="D7156" i="3"/>
  <c r="D7155" i="3"/>
  <c r="D7154" i="3"/>
  <c r="D7153" i="3"/>
  <c r="D7152" i="3"/>
  <c r="D7151" i="3"/>
  <c r="D7150" i="3"/>
  <c r="D7149" i="3"/>
  <c r="D7148" i="3"/>
  <c r="D7147" i="3"/>
  <c r="D7146" i="3"/>
  <c r="D7145" i="3"/>
  <c r="D7144" i="3"/>
  <c r="D7143" i="3"/>
  <c r="D7142" i="3"/>
  <c r="D7141" i="3"/>
  <c r="D7140" i="3"/>
  <c r="D7139" i="3"/>
  <c r="D7138" i="3"/>
  <c r="D7137" i="3"/>
  <c r="D7136" i="3"/>
  <c r="D7135" i="3"/>
  <c r="D7134" i="3"/>
  <c r="D7133" i="3"/>
  <c r="D7132" i="3"/>
  <c r="D7131" i="3"/>
  <c r="D7130" i="3"/>
  <c r="D7129" i="3"/>
  <c r="D7128" i="3"/>
  <c r="D7127" i="3"/>
  <c r="D7126" i="3"/>
  <c r="D7125" i="3"/>
  <c r="D7124" i="3"/>
  <c r="D7123" i="3"/>
  <c r="D7122" i="3"/>
  <c r="D7121" i="3"/>
  <c r="D7120" i="3"/>
  <c r="D7119" i="3"/>
  <c r="D7118" i="3"/>
  <c r="D7117" i="3"/>
  <c r="D7116" i="3"/>
  <c r="D7115" i="3"/>
  <c r="D7114" i="3"/>
  <c r="D7113" i="3"/>
  <c r="D7112" i="3"/>
  <c r="D7111" i="3"/>
  <c r="D7110" i="3"/>
  <c r="D7109" i="3"/>
  <c r="D7108" i="3"/>
  <c r="D7107" i="3"/>
  <c r="D7106" i="3"/>
  <c r="D7105" i="3"/>
  <c r="D7104" i="3"/>
  <c r="D7103" i="3"/>
  <c r="D7102" i="3"/>
  <c r="D7101" i="3"/>
  <c r="D7100" i="3"/>
  <c r="D7099" i="3"/>
  <c r="D7098" i="3"/>
  <c r="D7097" i="3"/>
  <c r="D7096" i="3"/>
  <c r="D7095" i="3"/>
  <c r="D7094" i="3"/>
  <c r="D7093" i="3"/>
  <c r="D7092" i="3"/>
  <c r="D7091" i="3"/>
  <c r="D7090" i="3"/>
  <c r="D7089" i="3"/>
  <c r="D7088" i="3"/>
  <c r="D7087" i="3"/>
  <c r="D7086" i="3"/>
  <c r="D7085" i="3"/>
  <c r="D7084" i="3"/>
  <c r="D7083" i="3"/>
  <c r="D7082" i="3"/>
  <c r="D7081" i="3"/>
  <c r="D7080" i="3"/>
  <c r="D7079" i="3"/>
  <c r="D7078" i="3"/>
  <c r="D7077" i="3"/>
  <c r="D7076" i="3"/>
  <c r="D7075" i="3"/>
  <c r="D7074" i="3"/>
  <c r="D7073" i="3"/>
  <c r="D7072" i="3"/>
  <c r="D7071" i="3"/>
  <c r="D7070" i="3"/>
  <c r="D7069" i="3"/>
  <c r="D7068" i="3"/>
  <c r="D7067" i="3"/>
  <c r="D7066" i="3"/>
  <c r="D7065" i="3"/>
  <c r="D7064" i="3"/>
  <c r="D7063" i="3"/>
  <c r="D7062" i="3"/>
  <c r="D7061" i="3"/>
  <c r="D7060" i="3"/>
  <c r="D7059" i="3"/>
  <c r="D7058" i="3"/>
  <c r="D7057" i="3"/>
  <c r="D7056" i="3"/>
  <c r="D7055" i="3"/>
  <c r="D7054" i="3"/>
  <c r="D7053" i="3"/>
  <c r="D7052" i="3"/>
  <c r="D7051" i="3"/>
  <c r="D7050" i="3"/>
  <c r="D7049" i="3"/>
  <c r="D7048" i="3"/>
  <c r="D7047" i="3"/>
  <c r="D7046" i="3"/>
  <c r="D7045" i="3"/>
  <c r="D7044" i="3"/>
  <c r="D7043" i="3"/>
  <c r="D7042" i="3"/>
  <c r="D7041" i="3"/>
  <c r="D7040" i="3"/>
  <c r="D7039" i="3"/>
  <c r="D7038" i="3"/>
  <c r="D7037" i="3"/>
  <c r="D7036" i="3"/>
  <c r="D7035" i="3"/>
  <c r="D7034" i="3"/>
  <c r="D7033" i="3"/>
  <c r="D7032" i="3"/>
  <c r="D7031" i="3"/>
  <c r="D7030" i="3"/>
  <c r="D7029" i="3"/>
  <c r="D7028" i="3"/>
  <c r="D7027" i="3"/>
  <c r="D7026" i="3"/>
  <c r="D7025" i="3"/>
  <c r="D7024" i="3"/>
  <c r="D7023" i="3"/>
  <c r="D7022" i="3"/>
  <c r="D7021" i="3"/>
  <c r="D7020" i="3"/>
  <c r="D7019" i="3"/>
  <c r="D7018" i="3"/>
  <c r="D7017" i="3"/>
  <c r="D7016" i="3"/>
  <c r="D7015" i="3"/>
  <c r="D7014" i="3"/>
  <c r="D7013" i="3"/>
  <c r="D7012" i="3"/>
  <c r="D7011" i="3"/>
  <c r="D7010" i="3"/>
  <c r="D7009" i="3"/>
  <c r="D7008" i="3"/>
  <c r="D7007" i="3"/>
  <c r="D7006" i="3"/>
  <c r="D7005" i="3"/>
  <c r="D7004" i="3"/>
  <c r="D7003" i="3"/>
  <c r="D7002" i="3"/>
  <c r="D7001" i="3"/>
  <c r="D7000" i="3"/>
  <c r="D6999" i="3"/>
  <c r="D6998" i="3"/>
  <c r="D6997" i="3"/>
  <c r="D6996" i="3"/>
  <c r="D6995" i="3"/>
  <c r="D6994" i="3"/>
  <c r="D6993" i="3"/>
  <c r="D6992" i="3"/>
  <c r="D6991" i="3"/>
  <c r="D6990" i="3"/>
  <c r="D6989" i="3"/>
  <c r="D6988" i="3"/>
  <c r="D6987" i="3"/>
  <c r="D6986" i="3"/>
  <c r="D6985" i="3"/>
  <c r="D6984" i="3"/>
  <c r="D6983" i="3"/>
  <c r="D6982" i="3"/>
  <c r="D6981" i="3"/>
  <c r="D6980" i="3"/>
  <c r="D6979" i="3"/>
  <c r="D6978" i="3"/>
  <c r="D6977" i="3"/>
  <c r="D6976" i="3"/>
  <c r="D6975" i="3"/>
  <c r="D6974" i="3"/>
  <c r="D6973" i="3"/>
  <c r="D6972" i="3"/>
  <c r="D6971" i="3"/>
  <c r="D6970" i="3"/>
  <c r="D6969" i="3"/>
  <c r="D6968" i="3"/>
  <c r="D6967" i="3"/>
  <c r="D6966" i="3"/>
  <c r="D6965" i="3"/>
  <c r="D6964" i="3"/>
  <c r="D6963" i="3"/>
  <c r="D6962" i="3"/>
  <c r="D6961" i="3"/>
  <c r="D6960" i="3"/>
  <c r="D6959" i="3"/>
  <c r="D6958" i="3"/>
  <c r="D6957" i="3"/>
  <c r="D6956" i="3"/>
  <c r="D6955" i="3"/>
  <c r="D6954" i="3"/>
  <c r="D6953" i="3"/>
  <c r="D6952" i="3"/>
  <c r="D6951" i="3"/>
  <c r="D6950" i="3"/>
  <c r="D6949" i="3"/>
  <c r="D6948" i="3"/>
  <c r="D6947" i="3"/>
  <c r="D6946" i="3"/>
  <c r="D6945" i="3"/>
  <c r="D6944" i="3"/>
  <c r="D6943" i="3"/>
  <c r="D6942" i="3"/>
  <c r="D6941" i="3"/>
  <c r="D6940" i="3"/>
  <c r="D6939" i="3"/>
  <c r="D6938" i="3"/>
  <c r="D6937" i="3"/>
  <c r="D6936" i="3"/>
  <c r="D6935" i="3"/>
  <c r="D6934" i="3"/>
  <c r="D6933" i="3"/>
  <c r="D6932" i="3"/>
  <c r="D6931" i="3"/>
  <c r="D6930" i="3"/>
  <c r="D6929" i="3"/>
  <c r="D6928" i="3"/>
  <c r="D6927" i="3"/>
  <c r="D6926" i="3"/>
  <c r="D6925" i="3"/>
  <c r="D6924" i="3"/>
  <c r="D6923" i="3"/>
  <c r="D6922" i="3"/>
  <c r="D6921" i="3"/>
  <c r="D6920" i="3"/>
  <c r="D6919" i="3"/>
  <c r="D6918" i="3"/>
  <c r="D6917" i="3"/>
  <c r="D6916" i="3"/>
  <c r="D6915" i="3"/>
  <c r="D6914" i="3"/>
  <c r="D6913" i="3"/>
  <c r="D6912" i="3"/>
  <c r="D6911" i="3"/>
  <c r="D6910" i="3"/>
  <c r="D6909" i="3"/>
  <c r="D6908" i="3"/>
  <c r="D6907" i="3"/>
  <c r="D6906" i="3"/>
  <c r="D6905" i="3"/>
  <c r="D6904" i="3"/>
  <c r="D6903" i="3"/>
  <c r="D6902" i="3"/>
  <c r="D6901" i="3"/>
  <c r="D6900" i="3"/>
  <c r="D6899" i="3"/>
  <c r="D6898" i="3"/>
  <c r="D6897" i="3"/>
  <c r="D6896" i="3"/>
  <c r="D6895" i="3"/>
  <c r="D6894" i="3"/>
  <c r="D6893" i="3"/>
  <c r="D6892" i="3"/>
  <c r="D6891" i="3"/>
  <c r="D6890" i="3"/>
  <c r="D6889" i="3"/>
  <c r="D6888" i="3"/>
  <c r="D6887" i="3"/>
  <c r="D6886" i="3"/>
  <c r="D6885" i="3"/>
  <c r="D6884" i="3"/>
  <c r="D6883" i="3"/>
  <c r="D6882" i="3"/>
  <c r="D6881" i="3"/>
  <c r="D6880" i="3"/>
  <c r="D6879" i="3"/>
  <c r="D6878" i="3"/>
  <c r="D6877" i="3"/>
  <c r="D6876" i="3"/>
  <c r="D6875" i="3"/>
  <c r="D6874" i="3"/>
  <c r="D6873" i="3"/>
  <c r="D6872" i="3"/>
  <c r="D6871" i="3"/>
  <c r="D6870" i="3"/>
  <c r="D6869" i="3"/>
  <c r="D6868" i="3"/>
  <c r="D6867" i="3"/>
  <c r="D6866" i="3"/>
  <c r="D6865" i="3"/>
  <c r="D6864" i="3"/>
  <c r="D6863" i="3"/>
  <c r="D6862" i="3"/>
  <c r="D6861" i="3"/>
  <c r="D6860" i="3"/>
  <c r="D6859" i="3"/>
  <c r="D6858" i="3"/>
  <c r="D6857" i="3"/>
  <c r="D6856" i="3"/>
  <c r="D6855" i="3"/>
  <c r="D6854" i="3"/>
  <c r="D6853" i="3"/>
  <c r="D6852" i="3"/>
  <c r="D6851" i="3"/>
  <c r="D6850" i="3"/>
  <c r="D6849" i="3"/>
  <c r="D6848" i="3"/>
  <c r="D6847" i="3"/>
  <c r="D6846" i="3"/>
  <c r="D6845" i="3"/>
  <c r="D6844" i="3"/>
  <c r="D6843" i="3"/>
  <c r="D6842" i="3"/>
  <c r="D6841" i="3"/>
  <c r="D6840" i="3"/>
  <c r="D6839" i="3"/>
  <c r="D6838" i="3"/>
  <c r="D6837" i="3"/>
  <c r="D6836" i="3"/>
  <c r="D6835" i="3"/>
  <c r="D6834" i="3"/>
  <c r="D6833" i="3"/>
  <c r="D6832" i="3"/>
  <c r="D6831" i="3"/>
  <c r="D6830" i="3"/>
  <c r="D6829" i="3"/>
  <c r="D6828" i="3"/>
  <c r="D6827" i="3"/>
  <c r="D6826" i="3"/>
  <c r="D6825" i="3"/>
  <c r="D6824" i="3"/>
  <c r="D6823" i="3"/>
  <c r="D6822" i="3"/>
  <c r="D6821" i="3"/>
  <c r="D6820" i="3"/>
  <c r="D6819" i="3"/>
  <c r="D6818" i="3"/>
  <c r="D6817" i="3"/>
  <c r="D6816" i="3"/>
  <c r="D6815" i="3"/>
  <c r="D6814" i="3"/>
  <c r="D6813" i="3"/>
  <c r="D6812" i="3"/>
  <c r="D6811" i="3"/>
  <c r="D6810" i="3"/>
  <c r="D6809" i="3"/>
  <c r="D6808" i="3"/>
  <c r="D6807" i="3"/>
  <c r="D6806" i="3"/>
  <c r="D6805" i="3"/>
  <c r="D6804" i="3"/>
  <c r="D6803" i="3"/>
  <c r="D6802" i="3"/>
  <c r="D6801" i="3"/>
  <c r="D6800" i="3"/>
  <c r="D6799" i="3"/>
  <c r="D6798" i="3"/>
  <c r="D6797" i="3"/>
  <c r="D6796" i="3"/>
  <c r="D6795" i="3"/>
  <c r="D6794" i="3"/>
  <c r="D6793" i="3"/>
  <c r="D6792" i="3"/>
  <c r="D6791" i="3"/>
  <c r="D6790" i="3"/>
  <c r="D6789" i="3"/>
  <c r="D6788" i="3"/>
  <c r="D6787" i="3"/>
  <c r="D6786" i="3"/>
  <c r="D6785" i="3"/>
  <c r="D6784" i="3"/>
  <c r="D6783" i="3"/>
  <c r="D6782" i="3"/>
  <c r="D6781" i="3"/>
  <c r="D6780" i="3"/>
  <c r="D6779" i="3"/>
  <c r="D6778" i="3"/>
  <c r="D6777" i="3"/>
  <c r="D6776" i="3"/>
  <c r="D6775" i="3"/>
  <c r="D6774" i="3"/>
  <c r="D6773" i="3"/>
  <c r="D6772" i="3"/>
  <c r="D6771" i="3"/>
  <c r="D6770" i="3"/>
  <c r="D6769" i="3"/>
  <c r="D6768" i="3"/>
  <c r="D6767" i="3"/>
  <c r="D6766" i="3"/>
  <c r="D6765" i="3"/>
  <c r="D6764" i="3"/>
  <c r="D6763" i="3"/>
  <c r="D6762" i="3"/>
  <c r="D6761" i="3"/>
  <c r="D6760" i="3"/>
  <c r="D6759" i="3"/>
  <c r="D6758" i="3"/>
  <c r="D6757" i="3"/>
  <c r="D6756" i="3"/>
  <c r="D6755" i="3"/>
  <c r="D6754" i="3"/>
  <c r="D6753" i="3"/>
  <c r="D6752" i="3"/>
  <c r="D6751" i="3"/>
  <c r="D6750" i="3"/>
  <c r="D6749" i="3"/>
  <c r="D6748" i="3"/>
  <c r="D6747" i="3"/>
  <c r="D6746" i="3"/>
  <c r="D6745" i="3"/>
  <c r="D6744" i="3"/>
  <c r="D6743" i="3"/>
  <c r="D6742" i="3"/>
  <c r="D6741" i="3"/>
  <c r="D6740" i="3"/>
  <c r="D6739" i="3"/>
  <c r="D6738" i="3"/>
  <c r="D6737" i="3"/>
  <c r="D6736" i="3"/>
  <c r="D6735" i="3"/>
  <c r="D6734" i="3"/>
  <c r="D6733" i="3"/>
  <c r="D6732" i="3"/>
  <c r="D6731" i="3"/>
  <c r="D6730" i="3"/>
  <c r="D6729" i="3"/>
  <c r="D6728" i="3"/>
  <c r="D6727" i="3"/>
  <c r="D6726" i="3"/>
  <c r="D6725" i="3"/>
  <c r="D6724" i="3"/>
  <c r="D6723" i="3"/>
  <c r="D6722" i="3"/>
  <c r="D6721" i="3"/>
  <c r="D6720" i="3"/>
  <c r="D6719" i="3"/>
  <c r="D6718" i="3"/>
  <c r="D6717" i="3"/>
  <c r="D6716" i="3"/>
  <c r="D6715" i="3"/>
  <c r="D6714" i="3"/>
  <c r="D6713" i="3"/>
  <c r="D6712" i="3"/>
  <c r="D6711" i="3"/>
  <c r="D6710" i="3"/>
  <c r="D6709" i="3"/>
  <c r="D6708" i="3"/>
  <c r="D6707" i="3"/>
  <c r="D6706" i="3"/>
  <c r="D6705" i="3"/>
  <c r="D6704" i="3"/>
  <c r="D6703" i="3"/>
  <c r="D6702" i="3"/>
  <c r="D6701" i="3"/>
  <c r="D6700" i="3"/>
  <c r="D6699" i="3"/>
  <c r="D6698" i="3"/>
  <c r="D6697" i="3"/>
  <c r="D6696" i="3"/>
  <c r="D6695" i="3"/>
  <c r="D6694" i="3"/>
  <c r="D6693" i="3"/>
  <c r="D6692" i="3"/>
  <c r="D6691" i="3"/>
  <c r="D6690" i="3"/>
  <c r="D6689" i="3"/>
  <c r="D6688" i="3"/>
  <c r="D6687" i="3"/>
  <c r="D6686" i="3"/>
  <c r="D6685" i="3"/>
  <c r="D6684" i="3"/>
  <c r="D6683" i="3"/>
  <c r="D6682" i="3"/>
  <c r="D6681" i="3"/>
  <c r="D6680" i="3"/>
  <c r="D6679" i="3"/>
  <c r="D6678" i="3"/>
  <c r="D6677" i="3"/>
  <c r="D6676" i="3"/>
  <c r="D6675" i="3"/>
  <c r="D6674" i="3"/>
  <c r="D6673" i="3"/>
  <c r="D6672" i="3"/>
  <c r="D6671" i="3"/>
  <c r="D6670" i="3"/>
  <c r="D6669" i="3"/>
  <c r="D6668" i="3"/>
  <c r="D6667" i="3"/>
  <c r="D6666" i="3"/>
  <c r="D6665" i="3"/>
  <c r="D6664" i="3"/>
  <c r="D6663" i="3"/>
  <c r="D6662" i="3"/>
  <c r="D6661" i="3"/>
  <c r="D6660" i="3"/>
  <c r="D6659" i="3"/>
  <c r="D6658" i="3"/>
  <c r="D6657" i="3"/>
  <c r="D6656" i="3"/>
  <c r="D6655" i="3"/>
  <c r="D6654" i="3"/>
  <c r="D6653" i="3"/>
  <c r="D6652" i="3"/>
  <c r="D6651" i="3"/>
  <c r="D6650" i="3"/>
  <c r="D6649" i="3"/>
  <c r="D6648" i="3"/>
  <c r="D6647" i="3"/>
  <c r="D6646" i="3"/>
  <c r="D6645" i="3"/>
  <c r="D6644" i="3"/>
  <c r="D6643" i="3"/>
  <c r="D6642" i="3"/>
  <c r="D6641" i="3"/>
  <c r="D6640" i="3"/>
  <c r="D6639" i="3"/>
  <c r="D6638" i="3"/>
  <c r="D6637" i="3"/>
  <c r="D6636" i="3"/>
  <c r="D6635" i="3"/>
  <c r="D6634" i="3"/>
  <c r="D6633" i="3"/>
  <c r="D6632" i="3"/>
  <c r="D6631" i="3"/>
  <c r="D6630" i="3"/>
  <c r="D6629" i="3"/>
  <c r="D6628" i="3"/>
  <c r="D6627" i="3"/>
  <c r="D6626" i="3"/>
  <c r="D6625" i="3"/>
  <c r="D6624" i="3"/>
  <c r="D6623" i="3"/>
  <c r="D6622" i="3"/>
  <c r="D6621" i="3"/>
  <c r="D6620" i="3"/>
  <c r="D6619" i="3"/>
  <c r="D6618" i="3"/>
  <c r="D6617" i="3"/>
  <c r="D6616" i="3"/>
  <c r="D6615" i="3"/>
  <c r="D6614" i="3"/>
  <c r="D6613" i="3"/>
  <c r="D6612" i="3"/>
  <c r="D6611" i="3"/>
  <c r="D6610" i="3"/>
  <c r="D6609" i="3"/>
  <c r="D6608" i="3"/>
  <c r="D6607" i="3"/>
  <c r="D6606" i="3"/>
  <c r="D6605" i="3"/>
  <c r="D6604" i="3"/>
  <c r="D6603" i="3"/>
  <c r="D6602" i="3"/>
  <c r="D6601" i="3"/>
  <c r="D6600" i="3"/>
  <c r="D6599" i="3"/>
  <c r="D6598" i="3"/>
  <c r="D6597" i="3"/>
  <c r="D6596" i="3"/>
  <c r="D6595" i="3"/>
  <c r="D6594" i="3"/>
  <c r="D6593" i="3"/>
  <c r="D6592" i="3"/>
  <c r="D6591" i="3"/>
  <c r="D6590" i="3"/>
  <c r="D6589" i="3"/>
  <c r="D6588" i="3"/>
  <c r="D6587" i="3"/>
  <c r="D6586" i="3"/>
  <c r="D6585" i="3"/>
  <c r="D6584" i="3"/>
  <c r="D6583" i="3"/>
  <c r="D6582" i="3"/>
  <c r="D6581" i="3"/>
  <c r="D6580" i="3"/>
  <c r="D6579" i="3"/>
  <c r="D6578" i="3"/>
  <c r="D6577" i="3"/>
  <c r="D6576" i="3"/>
  <c r="D6575" i="3"/>
  <c r="D6574" i="3"/>
  <c r="D6573" i="3"/>
  <c r="D6572" i="3"/>
  <c r="D6571" i="3"/>
  <c r="D6570" i="3"/>
  <c r="D6569" i="3"/>
  <c r="D6568" i="3"/>
  <c r="D6567" i="3"/>
  <c r="D6566" i="3"/>
  <c r="D6565" i="3"/>
  <c r="D6564" i="3"/>
  <c r="D6563" i="3"/>
  <c r="D6562" i="3"/>
  <c r="D6561" i="3"/>
  <c r="D6560" i="3"/>
  <c r="D6559" i="3"/>
  <c r="D6558" i="3"/>
  <c r="D6557" i="3"/>
  <c r="D6556" i="3"/>
  <c r="D6555" i="3"/>
  <c r="D6554" i="3"/>
  <c r="D6553" i="3"/>
  <c r="D6552" i="3"/>
  <c r="D6551" i="3"/>
  <c r="D6550" i="3"/>
  <c r="D6549" i="3"/>
  <c r="D6548" i="3"/>
  <c r="D6547" i="3"/>
  <c r="D6546" i="3"/>
  <c r="D6545" i="3"/>
  <c r="D6544" i="3"/>
  <c r="D6543" i="3"/>
  <c r="D6542" i="3"/>
  <c r="D6541" i="3"/>
  <c r="D6540" i="3"/>
  <c r="D6539" i="3"/>
  <c r="D6538" i="3"/>
  <c r="D6537" i="3"/>
  <c r="D6536" i="3"/>
  <c r="D6535" i="3"/>
  <c r="D6534" i="3"/>
  <c r="D6533" i="3"/>
  <c r="D6532" i="3"/>
  <c r="D6531" i="3"/>
  <c r="D6530" i="3"/>
  <c r="D6529" i="3"/>
  <c r="D6528" i="3"/>
  <c r="D6527" i="3"/>
  <c r="D6526" i="3"/>
  <c r="D6525" i="3"/>
  <c r="D6524" i="3"/>
  <c r="D6523" i="3"/>
  <c r="D6522" i="3"/>
  <c r="D6521" i="3"/>
  <c r="D6520" i="3"/>
  <c r="D6519" i="3"/>
  <c r="D6518" i="3"/>
  <c r="D6517" i="3"/>
  <c r="D6516" i="3"/>
  <c r="D6515" i="3"/>
  <c r="D6514" i="3"/>
  <c r="D6513" i="3"/>
  <c r="D6512" i="3"/>
  <c r="D6511" i="3"/>
  <c r="D6510" i="3"/>
  <c r="D6509" i="3"/>
  <c r="D6508" i="3"/>
  <c r="D6507" i="3"/>
  <c r="D6506" i="3"/>
  <c r="D6505" i="3"/>
  <c r="D6504" i="3"/>
  <c r="D6503" i="3"/>
  <c r="D6502" i="3"/>
  <c r="D6501" i="3"/>
  <c r="D6500" i="3"/>
  <c r="D6499" i="3"/>
  <c r="D6498" i="3"/>
  <c r="D6497" i="3"/>
  <c r="D6496" i="3"/>
  <c r="D6495" i="3"/>
  <c r="D6494" i="3"/>
  <c r="D6493" i="3"/>
  <c r="D6492" i="3"/>
  <c r="D6491" i="3"/>
  <c r="D6490" i="3"/>
  <c r="D6489" i="3"/>
  <c r="D6488" i="3"/>
  <c r="D6487" i="3"/>
  <c r="D6486" i="3"/>
  <c r="D6485" i="3"/>
  <c r="D6484" i="3"/>
  <c r="D6483" i="3"/>
  <c r="D6482" i="3"/>
  <c r="D6481" i="3"/>
  <c r="D6480" i="3"/>
  <c r="D6479" i="3"/>
  <c r="D6478" i="3"/>
  <c r="D6477" i="3"/>
  <c r="D6476" i="3"/>
  <c r="D6475" i="3"/>
  <c r="D6474" i="3"/>
  <c r="D6473" i="3"/>
  <c r="D6472" i="3"/>
  <c r="D6471" i="3"/>
  <c r="D6470" i="3"/>
  <c r="D6469" i="3"/>
  <c r="D6468" i="3"/>
  <c r="D6467" i="3"/>
  <c r="D6466" i="3"/>
  <c r="D6465" i="3"/>
  <c r="D6464" i="3"/>
  <c r="D6463" i="3"/>
  <c r="D6462" i="3"/>
  <c r="D6461" i="3"/>
  <c r="D6460" i="3"/>
  <c r="D6459" i="3"/>
  <c r="D6458" i="3"/>
  <c r="D6457" i="3"/>
  <c r="D6456" i="3"/>
  <c r="D6455" i="3"/>
  <c r="D6454" i="3"/>
  <c r="D6453" i="3"/>
  <c r="D6452" i="3"/>
  <c r="D6451" i="3"/>
  <c r="D6450" i="3"/>
  <c r="D6449" i="3"/>
  <c r="D6448" i="3"/>
  <c r="D6447" i="3"/>
  <c r="D6446" i="3"/>
  <c r="D6445" i="3"/>
  <c r="D6444" i="3"/>
  <c r="D6443" i="3"/>
  <c r="D6442" i="3"/>
  <c r="D6441" i="3"/>
  <c r="D6440" i="3"/>
  <c r="D6439" i="3"/>
  <c r="D6438" i="3"/>
  <c r="D6437" i="3"/>
  <c r="D6436" i="3"/>
  <c r="D6435" i="3"/>
  <c r="D6434" i="3"/>
  <c r="D6433" i="3"/>
  <c r="D6432" i="3"/>
  <c r="D6431" i="3"/>
  <c r="D6430" i="3"/>
  <c r="D6429" i="3"/>
  <c r="D6428" i="3"/>
  <c r="D6427" i="3"/>
  <c r="D6426" i="3"/>
  <c r="D6425" i="3"/>
  <c r="D6424" i="3"/>
  <c r="D6423" i="3"/>
  <c r="D6422" i="3"/>
  <c r="D6421" i="3"/>
  <c r="D6420" i="3"/>
  <c r="D6419" i="3"/>
  <c r="D6418" i="3"/>
  <c r="D6417" i="3"/>
  <c r="D6416" i="3"/>
  <c r="D6415" i="3"/>
  <c r="D6414" i="3"/>
  <c r="D6413" i="3"/>
  <c r="D6412" i="3"/>
  <c r="D6411" i="3"/>
  <c r="D6410" i="3"/>
  <c r="D6409" i="3"/>
  <c r="D6408" i="3"/>
  <c r="D6407" i="3"/>
  <c r="D6406" i="3"/>
  <c r="D6405" i="3"/>
  <c r="D6404" i="3"/>
  <c r="D6403" i="3"/>
  <c r="D6402" i="3"/>
  <c r="D6401" i="3"/>
  <c r="D6400" i="3"/>
  <c r="D6399" i="3"/>
  <c r="D6398" i="3"/>
  <c r="D6397" i="3"/>
  <c r="D6396" i="3"/>
  <c r="D6395" i="3"/>
  <c r="D6394" i="3"/>
  <c r="D6393" i="3"/>
  <c r="D6392" i="3"/>
  <c r="D6391" i="3"/>
  <c r="D6390" i="3"/>
  <c r="D6389" i="3"/>
  <c r="D6388" i="3"/>
  <c r="D6387" i="3"/>
  <c r="D6386" i="3"/>
  <c r="D6385" i="3"/>
  <c r="D6384" i="3"/>
  <c r="D6383" i="3"/>
  <c r="D6382" i="3"/>
  <c r="D6381" i="3"/>
  <c r="D6380" i="3"/>
  <c r="D6379" i="3"/>
  <c r="D6378" i="3"/>
  <c r="D6377" i="3"/>
  <c r="D6376" i="3"/>
  <c r="D6375" i="3"/>
  <c r="D6374" i="3"/>
  <c r="D6373" i="3"/>
  <c r="D6372" i="3"/>
  <c r="D6371" i="3"/>
  <c r="D6370" i="3"/>
  <c r="D6369" i="3"/>
  <c r="D6368" i="3"/>
  <c r="D6367" i="3"/>
  <c r="D6366" i="3"/>
  <c r="D6365" i="3"/>
  <c r="D6364" i="3"/>
  <c r="D6363" i="3"/>
  <c r="D6362" i="3"/>
  <c r="D6361" i="3"/>
  <c r="D6360" i="3"/>
  <c r="D6359" i="3"/>
  <c r="D6358" i="3"/>
  <c r="D6357" i="3"/>
  <c r="D6356" i="3"/>
  <c r="D6355" i="3"/>
  <c r="D6354" i="3"/>
  <c r="D6353" i="3"/>
  <c r="D6352" i="3"/>
  <c r="D6351" i="3"/>
  <c r="D6350" i="3"/>
  <c r="D6349" i="3"/>
  <c r="D6348" i="3"/>
  <c r="D6347" i="3"/>
  <c r="D6346" i="3"/>
  <c r="D6345" i="3"/>
  <c r="D6344" i="3"/>
  <c r="D6343" i="3"/>
  <c r="D6342" i="3"/>
  <c r="D6341" i="3"/>
  <c r="D6340" i="3"/>
  <c r="D6339" i="3"/>
  <c r="D6338" i="3"/>
  <c r="D6337" i="3"/>
  <c r="D6336" i="3"/>
  <c r="D6335" i="3"/>
  <c r="D6334" i="3"/>
  <c r="D6333" i="3"/>
  <c r="D6332" i="3"/>
  <c r="D6331" i="3"/>
  <c r="D6330" i="3"/>
  <c r="D6329" i="3"/>
  <c r="D6328" i="3"/>
  <c r="D6327" i="3"/>
  <c r="D6326" i="3"/>
  <c r="D6325" i="3"/>
  <c r="D6324" i="3"/>
  <c r="D6323" i="3"/>
  <c r="D6322" i="3"/>
  <c r="D6321" i="3"/>
  <c r="D6320" i="3"/>
  <c r="D6319" i="3"/>
  <c r="D6318" i="3"/>
  <c r="D6317" i="3"/>
  <c r="D6316" i="3"/>
  <c r="D6315" i="3"/>
  <c r="D6314" i="3"/>
  <c r="D6313" i="3"/>
  <c r="D6312" i="3"/>
  <c r="D6311" i="3"/>
  <c r="D6310" i="3"/>
  <c r="D6309" i="3"/>
  <c r="D6308" i="3"/>
  <c r="D6307" i="3"/>
  <c r="D6306" i="3"/>
  <c r="D6305" i="3"/>
  <c r="D6304" i="3"/>
  <c r="D6303" i="3"/>
  <c r="D6302" i="3"/>
  <c r="D6301" i="3"/>
  <c r="D6300" i="3"/>
  <c r="D6299" i="3"/>
  <c r="D6298" i="3"/>
  <c r="D6297" i="3"/>
  <c r="D6296" i="3"/>
  <c r="D6295" i="3"/>
  <c r="D6294" i="3"/>
  <c r="D6293" i="3"/>
  <c r="D6292" i="3"/>
  <c r="D6291" i="3"/>
  <c r="D6290" i="3"/>
  <c r="D6289" i="3"/>
  <c r="D6288" i="3"/>
  <c r="D6287" i="3"/>
  <c r="D6286" i="3"/>
  <c r="D6285" i="3"/>
  <c r="D6284" i="3"/>
  <c r="D6283" i="3"/>
  <c r="D6282" i="3"/>
  <c r="D6281" i="3"/>
  <c r="D6280" i="3"/>
  <c r="D6279" i="3"/>
  <c r="D6278" i="3"/>
  <c r="D6277" i="3"/>
  <c r="D6276" i="3"/>
  <c r="D6275" i="3"/>
  <c r="D6274" i="3"/>
  <c r="D6273" i="3"/>
  <c r="D6272" i="3"/>
  <c r="D6271" i="3"/>
  <c r="D6270" i="3"/>
  <c r="D6269" i="3"/>
  <c r="D6268" i="3"/>
  <c r="D6267" i="3"/>
  <c r="D6266" i="3"/>
  <c r="D6265" i="3"/>
  <c r="D6264" i="3"/>
  <c r="D6263" i="3"/>
  <c r="D6262" i="3"/>
  <c r="D6261" i="3"/>
  <c r="D6260" i="3"/>
  <c r="D6259" i="3"/>
  <c r="D6258" i="3"/>
  <c r="D6257" i="3"/>
  <c r="D6256" i="3"/>
  <c r="D6255" i="3"/>
  <c r="D6254" i="3"/>
  <c r="D6253" i="3"/>
  <c r="D6252" i="3"/>
  <c r="D6251" i="3"/>
  <c r="D6250" i="3"/>
  <c r="D6249" i="3"/>
  <c r="D6248" i="3"/>
  <c r="D6247" i="3"/>
  <c r="D6246" i="3"/>
  <c r="D6245" i="3"/>
  <c r="D6244" i="3"/>
  <c r="D6243" i="3"/>
  <c r="D6242" i="3"/>
  <c r="D6241" i="3"/>
  <c r="D6240" i="3"/>
  <c r="D6239" i="3"/>
  <c r="D6238" i="3"/>
  <c r="D6237" i="3"/>
  <c r="D6236" i="3"/>
  <c r="D6235" i="3"/>
  <c r="D6234" i="3"/>
  <c r="D6233" i="3"/>
  <c r="D6232" i="3"/>
  <c r="D6231" i="3"/>
  <c r="D6230" i="3"/>
  <c r="D6229" i="3"/>
  <c r="D6228" i="3"/>
  <c r="D6227" i="3"/>
  <c r="D6226" i="3"/>
  <c r="D6225" i="3"/>
  <c r="D6224" i="3"/>
  <c r="D6223" i="3"/>
  <c r="D6222" i="3"/>
  <c r="D6221" i="3"/>
  <c r="D6220" i="3"/>
  <c r="D6219" i="3"/>
  <c r="D6218" i="3"/>
  <c r="D6217" i="3"/>
  <c r="D6216" i="3"/>
  <c r="D6215" i="3"/>
  <c r="D6214" i="3"/>
  <c r="D6213" i="3"/>
  <c r="D6212" i="3"/>
  <c r="D6211" i="3"/>
  <c r="D6210" i="3"/>
  <c r="D6209" i="3"/>
  <c r="D6208" i="3"/>
  <c r="D6207" i="3"/>
  <c r="D6206" i="3"/>
  <c r="D6205" i="3"/>
  <c r="D6204" i="3"/>
  <c r="D6203" i="3"/>
  <c r="D6202" i="3"/>
  <c r="D6201" i="3"/>
  <c r="D6200" i="3"/>
  <c r="D6199" i="3"/>
  <c r="D6198" i="3"/>
  <c r="D6197" i="3"/>
  <c r="D6196" i="3"/>
  <c r="D6195" i="3"/>
  <c r="D6194" i="3"/>
  <c r="D6193" i="3"/>
  <c r="D6192" i="3"/>
  <c r="D6191" i="3"/>
  <c r="D6190" i="3"/>
  <c r="D6189" i="3"/>
  <c r="D6188" i="3"/>
  <c r="D6187" i="3"/>
  <c r="D6186" i="3"/>
  <c r="D6185" i="3"/>
  <c r="D6184" i="3"/>
  <c r="D6183" i="3"/>
  <c r="D6182" i="3"/>
  <c r="D6181" i="3"/>
  <c r="D6180" i="3"/>
  <c r="D6179" i="3"/>
  <c r="D6178" i="3"/>
  <c r="D6177" i="3"/>
  <c r="D6176" i="3"/>
  <c r="D6175" i="3"/>
  <c r="D6174" i="3"/>
  <c r="D6173" i="3"/>
  <c r="D6172" i="3"/>
  <c r="D6171" i="3"/>
  <c r="D6170" i="3"/>
  <c r="D6169" i="3"/>
  <c r="D6168" i="3"/>
  <c r="D6167" i="3"/>
  <c r="D6166" i="3"/>
  <c r="D6165" i="3"/>
  <c r="D6164" i="3"/>
  <c r="D6163" i="3"/>
  <c r="D6162" i="3"/>
  <c r="D6161" i="3"/>
  <c r="D6160" i="3"/>
  <c r="D6159" i="3"/>
  <c r="D6158" i="3"/>
  <c r="D6157" i="3"/>
  <c r="D6156" i="3"/>
  <c r="D6155" i="3"/>
  <c r="D6154" i="3"/>
  <c r="D6153" i="3"/>
  <c r="D6152" i="3"/>
  <c r="D6151" i="3"/>
  <c r="D6150" i="3"/>
  <c r="D6149" i="3"/>
  <c r="D6148" i="3"/>
  <c r="D6147" i="3"/>
  <c r="D6146" i="3"/>
  <c r="D6145" i="3"/>
  <c r="D6144" i="3"/>
  <c r="D6143" i="3"/>
  <c r="D6142" i="3"/>
  <c r="D6141" i="3"/>
  <c r="D6140" i="3"/>
  <c r="D6139" i="3"/>
  <c r="D6138" i="3"/>
  <c r="D6137" i="3"/>
  <c r="D6136" i="3"/>
  <c r="D6135" i="3"/>
  <c r="D6134" i="3"/>
  <c r="D6133" i="3"/>
  <c r="D6132" i="3"/>
  <c r="D6131" i="3"/>
  <c r="D6130" i="3"/>
  <c r="D6129" i="3"/>
  <c r="D6128" i="3"/>
  <c r="D6127" i="3"/>
  <c r="D6126" i="3"/>
  <c r="D6125" i="3"/>
  <c r="D6124" i="3"/>
  <c r="D6123" i="3"/>
  <c r="D6122" i="3"/>
  <c r="D6121" i="3"/>
  <c r="D6120" i="3"/>
  <c r="D6119" i="3"/>
  <c r="D6118" i="3"/>
  <c r="D6117" i="3"/>
  <c r="D6116" i="3"/>
  <c r="D6115" i="3"/>
  <c r="D6114" i="3"/>
  <c r="D6113" i="3"/>
  <c r="D6112" i="3"/>
  <c r="D6111" i="3"/>
  <c r="D6110" i="3"/>
  <c r="D6109" i="3"/>
  <c r="D6108" i="3"/>
  <c r="D6107" i="3"/>
  <c r="D6106" i="3"/>
  <c r="D6105" i="3"/>
  <c r="D6104" i="3"/>
  <c r="D6103" i="3"/>
  <c r="D6102" i="3"/>
  <c r="D6101" i="3"/>
  <c r="D6100" i="3"/>
  <c r="D6099" i="3"/>
  <c r="D6098" i="3"/>
  <c r="D6097" i="3"/>
  <c r="D6096" i="3"/>
  <c r="D6095" i="3"/>
  <c r="D6094" i="3"/>
  <c r="D6093" i="3"/>
  <c r="D6092" i="3"/>
  <c r="D6091" i="3"/>
  <c r="D6090" i="3"/>
  <c r="D6089" i="3"/>
  <c r="D6088" i="3"/>
  <c r="D6087" i="3"/>
  <c r="D6086" i="3"/>
  <c r="D6085" i="3"/>
  <c r="D6084" i="3"/>
  <c r="D6083" i="3"/>
  <c r="D6082" i="3"/>
  <c r="D6081" i="3"/>
  <c r="D6080" i="3"/>
  <c r="D6079" i="3"/>
  <c r="D6078" i="3"/>
  <c r="D6077" i="3"/>
  <c r="D6076" i="3"/>
  <c r="D6075" i="3"/>
  <c r="D6074" i="3"/>
  <c r="D6073" i="3"/>
  <c r="D6072" i="3"/>
  <c r="D6071" i="3"/>
  <c r="D6070" i="3"/>
  <c r="D6069" i="3"/>
  <c r="D6068" i="3"/>
  <c r="D6067" i="3"/>
  <c r="D6066" i="3"/>
  <c r="D6065" i="3"/>
  <c r="D6064" i="3"/>
  <c r="D6063" i="3"/>
  <c r="D6062" i="3"/>
  <c r="D6061" i="3"/>
  <c r="D6060" i="3"/>
  <c r="D6059" i="3"/>
  <c r="D6058" i="3"/>
  <c r="D6057" i="3"/>
  <c r="D6056" i="3"/>
  <c r="D6055" i="3"/>
  <c r="D6054" i="3"/>
  <c r="D6053" i="3"/>
  <c r="D6052" i="3"/>
  <c r="D6051" i="3"/>
  <c r="D6050" i="3"/>
  <c r="D6049" i="3"/>
  <c r="D6048" i="3"/>
  <c r="D6047" i="3"/>
  <c r="D6046" i="3"/>
  <c r="D6045" i="3"/>
  <c r="D6044" i="3"/>
  <c r="D6043" i="3"/>
  <c r="D6042" i="3"/>
  <c r="D6041" i="3"/>
  <c r="D6040" i="3"/>
  <c r="D6039" i="3"/>
  <c r="D6038" i="3"/>
  <c r="D6037" i="3"/>
  <c r="D6036" i="3"/>
  <c r="D6035" i="3"/>
  <c r="D6034" i="3"/>
  <c r="D6033" i="3"/>
  <c r="D6032" i="3"/>
  <c r="D6031" i="3"/>
  <c r="D6030" i="3"/>
  <c r="D6029" i="3"/>
  <c r="D6028" i="3"/>
  <c r="D6027" i="3"/>
  <c r="D6026" i="3"/>
  <c r="D6025" i="3"/>
  <c r="D6024" i="3"/>
  <c r="D6023" i="3"/>
  <c r="D6022" i="3"/>
  <c r="D6021" i="3"/>
  <c r="D6020" i="3"/>
  <c r="D6019" i="3"/>
  <c r="D6018" i="3"/>
  <c r="D6017" i="3"/>
  <c r="D6016" i="3"/>
  <c r="D6015" i="3"/>
  <c r="D6014" i="3"/>
  <c r="D6013" i="3"/>
  <c r="D6012" i="3"/>
  <c r="D6011" i="3"/>
  <c r="D6010" i="3"/>
  <c r="D6009" i="3"/>
  <c r="D6008" i="3"/>
  <c r="D6007" i="3"/>
  <c r="D6006" i="3"/>
  <c r="D6005" i="3"/>
  <c r="D6004" i="3"/>
  <c r="D6003" i="3"/>
  <c r="D6002" i="3"/>
  <c r="D6001" i="3"/>
  <c r="D6000" i="3"/>
  <c r="D5999" i="3"/>
  <c r="D5998" i="3"/>
  <c r="D5997" i="3"/>
  <c r="D5996" i="3"/>
  <c r="D5995" i="3"/>
  <c r="D5994" i="3"/>
  <c r="D5993" i="3"/>
  <c r="D5992" i="3"/>
  <c r="D5991" i="3"/>
  <c r="D5990" i="3"/>
  <c r="D5989" i="3"/>
  <c r="D5988" i="3"/>
  <c r="D5987" i="3"/>
  <c r="D5986" i="3"/>
  <c r="D5985" i="3"/>
  <c r="D5984" i="3"/>
  <c r="D5983" i="3"/>
  <c r="D5982" i="3"/>
  <c r="D5981" i="3"/>
  <c r="D5980" i="3"/>
  <c r="D5979" i="3"/>
  <c r="D5978" i="3"/>
  <c r="D5977" i="3"/>
  <c r="D5976" i="3"/>
  <c r="D5975" i="3"/>
  <c r="D5974" i="3"/>
  <c r="D5973" i="3"/>
  <c r="D5972" i="3"/>
  <c r="D5971" i="3"/>
  <c r="D5970" i="3"/>
  <c r="D5969" i="3"/>
  <c r="D5968" i="3"/>
  <c r="D5967" i="3"/>
  <c r="D5966" i="3"/>
  <c r="D5965" i="3"/>
  <c r="D5964" i="3"/>
  <c r="D5963" i="3"/>
  <c r="D5962" i="3"/>
  <c r="D5961" i="3"/>
  <c r="D5960" i="3"/>
  <c r="D5959" i="3"/>
  <c r="D5958" i="3"/>
  <c r="D5957" i="3"/>
  <c r="D5956" i="3"/>
  <c r="D5955" i="3"/>
  <c r="D5954" i="3"/>
  <c r="D5953" i="3"/>
  <c r="D5952" i="3"/>
  <c r="D5951" i="3"/>
  <c r="D5950" i="3"/>
  <c r="D5949" i="3"/>
  <c r="D5948" i="3"/>
  <c r="D5947" i="3"/>
  <c r="D5946" i="3"/>
  <c r="D5945" i="3"/>
  <c r="D5944" i="3"/>
  <c r="D5943" i="3"/>
  <c r="D5942" i="3"/>
  <c r="D5941" i="3"/>
  <c r="D5940" i="3"/>
  <c r="D5939" i="3"/>
  <c r="D5938" i="3"/>
  <c r="D5937" i="3"/>
  <c r="D5936" i="3"/>
  <c r="D5935" i="3"/>
  <c r="D5934" i="3"/>
  <c r="D5933" i="3"/>
  <c r="D5932" i="3"/>
  <c r="D5931" i="3"/>
  <c r="D5930" i="3"/>
  <c r="D5929" i="3"/>
  <c r="D5928" i="3"/>
  <c r="D5927" i="3"/>
  <c r="D5926" i="3"/>
  <c r="D5925" i="3"/>
  <c r="D5924" i="3"/>
  <c r="D5923" i="3"/>
  <c r="D5922" i="3"/>
  <c r="D5921" i="3"/>
  <c r="D5920" i="3"/>
  <c r="D5919" i="3"/>
  <c r="D5918" i="3"/>
  <c r="D5917" i="3"/>
  <c r="D5916" i="3"/>
  <c r="D5915" i="3"/>
  <c r="D5914" i="3"/>
  <c r="D5913" i="3"/>
  <c r="D5912" i="3"/>
  <c r="D5911" i="3"/>
  <c r="D5910" i="3"/>
  <c r="D5909" i="3"/>
  <c r="D5908" i="3"/>
  <c r="D5907" i="3"/>
  <c r="D5906" i="3"/>
  <c r="D5905" i="3"/>
  <c r="D5904" i="3"/>
  <c r="D5903" i="3"/>
  <c r="D5902" i="3"/>
  <c r="D5901" i="3"/>
  <c r="D5900" i="3"/>
  <c r="D5899" i="3"/>
  <c r="D5898" i="3"/>
  <c r="D5897" i="3"/>
  <c r="D5896" i="3"/>
  <c r="D5895" i="3"/>
  <c r="D5894" i="3"/>
  <c r="D5893" i="3"/>
  <c r="D5892" i="3"/>
  <c r="D5891" i="3"/>
  <c r="D5890" i="3"/>
  <c r="D5889" i="3"/>
  <c r="D5888" i="3"/>
  <c r="D5887" i="3"/>
  <c r="D5886" i="3"/>
  <c r="D5885" i="3"/>
  <c r="D5884" i="3"/>
  <c r="D5883" i="3"/>
  <c r="D5882" i="3"/>
  <c r="D5881" i="3"/>
  <c r="D5880" i="3"/>
  <c r="D5879" i="3"/>
  <c r="D5878" i="3"/>
  <c r="D5877" i="3"/>
  <c r="D5876" i="3"/>
  <c r="D5875" i="3"/>
  <c r="D5874" i="3"/>
  <c r="D5873" i="3"/>
  <c r="D5872" i="3"/>
  <c r="D5871" i="3"/>
  <c r="D5870" i="3"/>
  <c r="D5869" i="3"/>
  <c r="D5868" i="3"/>
  <c r="D5867" i="3"/>
  <c r="D5866" i="3"/>
  <c r="D5865" i="3"/>
  <c r="D5864" i="3"/>
  <c r="D5863" i="3"/>
  <c r="D5862" i="3"/>
  <c r="D5861" i="3"/>
  <c r="D5860" i="3"/>
  <c r="D5859" i="3"/>
  <c r="D5858" i="3"/>
  <c r="D5857" i="3"/>
  <c r="D5856" i="3"/>
  <c r="D5855" i="3"/>
  <c r="D5854" i="3"/>
  <c r="D5853" i="3"/>
  <c r="D5852" i="3"/>
  <c r="D5851" i="3"/>
  <c r="D5850" i="3"/>
  <c r="D5849" i="3"/>
  <c r="D5848" i="3"/>
  <c r="D5847" i="3"/>
  <c r="D5846" i="3"/>
  <c r="D5845" i="3"/>
  <c r="D5844" i="3"/>
  <c r="D5843" i="3"/>
  <c r="D5842" i="3"/>
  <c r="D5841" i="3"/>
  <c r="D5840" i="3"/>
  <c r="D5839" i="3"/>
  <c r="D5838" i="3"/>
  <c r="D5837" i="3"/>
  <c r="D5836" i="3"/>
  <c r="D5835" i="3"/>
  <c r="D5834" i="3"/>
  <c r="D5833" i="3"/>
  <c r="D5832" i="3"/>
  <c r="D5831" i="3"/>
  <c r="D5830" i="3"/>
  <c r="D5829" i="3"/>
  <c r="D5828" i="3"/>
  <c r="D5827" i="3"/>
  <c r="D5826" i="3"/>
  <c r="D5825" i="3"/>
  <c r="D5824" i="3"/>
  <c r="D5823" i="3"/>
  <c r="D5822" i="3"/>
  <c r="D5821" i="3"/>
  <c r="D5820" i="3"/>
  <c r="D5819" i="3"/>
  <c r="D5818" i="3"/>
  <c r="D5817" i="3"/>
  <c r="D5816" i="3"/>
  <c r="D5815" i="3"/>
  <c r="D5814" i="3"/>
  <c r="D5813" i="3"/>
  <c r="D5812" i="3"/>
  <c r="D5811" i="3"/>
  <c r="D5810" i="3"/>
  <c r="D5809" i="3"/>
  <c r="D5808" i="3"/>
  <c r="D5807" i="3"/>
  <c r="D5806" i="3"/>
  <c r="D5805" i="3"/>
  <c r="D5804" i="3"/>
  <c r="D5803" i="3"/>
  <c r="D5802" i="3"/>
  <c r="D5801" i="3"/>
  <c r="D5800" i="3"/>
  <c r="D5799" i="3"/>
  <c r="D5798" i="3"/>
  <c r="D5797" i="3"/>
  <c r="D5796" i="3"/>
  <c r="D5795" i="3"/>
  <c r="D5794" i="3"/>
  <c r="D5793" i="3"/>
  <c r="D5792" i="3"/>
  <c r="D5791" i="3"/>
  <c r="D5790" i="3"/>
  <c r="D5789" i="3"/>
  <c r="D5788" i="3"/>
  <c r="D5787" i="3"/>
  <c r="D5786" i="3"/>
  <c r="D5785" i="3"/>
  <c r="D5784" i="3"/>
  <c r="D5783" i="3"/>
  <c r="D5782" i="3"/>
  <c r="D5781" i="3"/>
  <c r="D5780" i="3"/>
  <c r="D5779" i="3"/>
  <c r="D5778" i="3"/>
  <c r="D5777" i="3"/>
  <c r="D5776" i="3"/>
  <c r="D5775" i="3"/>
  <c r="D5774" i="3"/>
  <c r="D5773" i="3"/>
  <c r="D5772" i="3"/>
  <c r="D5771" i="3"/>
  <c r="D5770" i="3"/>
  <c r="D5769" i="3"/>
  <c r="D5768" i="3"/>
  <c r="D5767" i="3"/>
  <c r="D5766" i="3"/>
  <c r="D5765" i="3"/>
  <c r="D5764" i="3"/>
  <c r="D5763" i="3"/>
  <c r="D5762" i="3"/>
  <c r="D5761" i="3"/>
  <c r="D5760" i="3"/>
  <c r="D5759" i="3"/>
  <c r="D5758" i="3"/>
  <c r="D5757" i="3"/>
  <c r="D5756" i="3"/>
  <c r="D5755" i="3"/>
  <c r="D5754" i="3"/>
  <c r="D5753" i="3"/>
  <c r="D5752" i="3"/>
  <c r="D5751" i="3"/>
  <c r="D5750" i="3"/>
  <c r="D5749" i="3"/>
  <c r="D5748" i="3"/>
  <c r="D5747" i="3"/>
  <c r="D5746" i="3"/>
  <c r="D5745" i="3"/>
  <c r="D5744" i="3"/>
  <c r="D5743" i="3"/>
  <c r="D5742" i="3"/>
  <c r="D5741" i="3"/>
  <c r="D5740" i="3"/>
  <c r="D5739" i="3"/>
  <c r="D5738" i="3"/>
  <c r="D5737" i="3"/>
  <c r="D5736" i="3"/>
  <c r="D5735" i="3"/>
  <c r="D5734" i="3"/>
  <c r="D5733" i="3"/>
  <c r="D5732" i="3"/>
  <c r="D5731" i="3"/>
  <c r="D5730" i="3"/>
  <c r="D5729" i="3"/>
  <c r="D5728" i="3"/>
  <c r="D5727" i="3"/>
  <c r="D5726" i="3"/>
  <c r="D5725" i="3"/>
  <c r="D5724" i="3"/>
  <c r="D5723" i="3"/>
  <c r="D5722" i="3"/>
  <c r="D5721" i="3"/>
  <c r="D5720" i="3"/>
  <c r="D5719" i="3"/>
  <c r="D5718" i="3"/>
  <c r="D5717" i="3"/>
  <c r="D5716" i="3"/>
  <c r="D5715" i="3"/>
  <c r="D5714" i="3"/>
  <c r="D5713" i="3"/>
  <c r="D5712" i="3"/>
  <c r="D5711" i="3"/>
  <c r="D5710" i="3"/>
  <c r="D5709" i="3"/>
  <c r="D5708" i="3"/>
  <c r="D5707" i="3"/>
  <c r="D5706" i="3"/>
  <c r="D5705" i="3"/>
  <c r="D5704" i="3"/>
  <c r="D5703" i="3"/>
  <c r="D5702" i="3"/>
  <c r="D5701" i="3"/>
  <c r="D5700" i="3"/>
  <c r="D5699" i="3"/>
  <c r="D5698" i="3"/>
  <c r="D5697" i="3"/>
  <c r="D5696" i="3"/>
  <c r="D5695" i="3"/>
  <c r="D5694" i="3"/>
  <c r="D5693" i="3"/>
  <c r="D5692" i="3"/>
  <c r="D5691" i="3"/>
  <c r="D5690" i="3"/>
  <c r="D5689" i="3"/>
  <c r="D5688" i="3"/>
  <c r="D5687" i="3"/>
  <c r="D5686" i="3"/>
  <c r="D5685" i="3"/>
  <c r="D5684" i="3"/>
  <c r="D5683" i="3"/>
  <c r="D5682" i="3"/>
  <c r="D5681" i="3"/>
  <c r="D5680" i="3"/>
  <c r="D5679" i="3"/>
  <c r="D5678" i="3"/>
  <c r="D5677" i="3"/>
  <c r="D5676" i="3"/>
  <c r="D5675" i="3"/>
  <c r="D5674" i="3"/>
  <c r="D5673" i="3"/>
  <c r="D5672" i="3"/>
  <c r="D5671" i="3"/>
  <c r="D5670" i="3"/>
  <c r="D5669" i="3"/>
  <c r="D5668" i="3"/>
  <c r="D5667" i="3"/>
  <c r="D5666" i="3"/>
  <c r="D5665" i="3"/>
  <c r="D5664" i="3"/>
  <c r="D5663" i="3"/>
  <c r="D5662" i="3"/>
  <c r="D5661" i="3"/>
  <c r="D5660" i="3"/>
  <c r="D5659" i="3"/>
  <c r="D5658" i="3"/>
  <c r="D5657" i="3"/>
  <c r="D5656" i="3"/>
  <c r="D5655" i="3"/>
  <c r="D5654" i="3"/>
  <c r="D5653" i="3"/>
  <c r="D5652" i="3"/>
  <c r="D5651" i="3"/>
  <c r="D5650" i="3"/>
  <c r="D5649" i="3"/>
  <c r="D5648" i="3"/>
  <c r="D5647" i="3"/>
  <c r="D5646" i="3"/>
  <c r="D5645" i="3"/>
  <c r="D5644" i="3"/>
  <c r="D5643" i="3"/>
  <c r="D5642" i="3"/>
  <c r="D5641" i="3"/>
  <c r="D5640" i="3"/>
  <c r="D5639" i="3"/>
  <c r="D5638" i="3"/>
  <c r="D5637" i="3"/>
  <c r="D5636" i="3"/>
  <c r="D5635" i="3"/>
  <c r="D5634" i="3"/>
  <c r="D5633" i="3"/>
  <c r="D5632" i="3"/>
  <c r="D5631" i="3"/>
  <c r="D5630" i="3"/>
  <c r="D5629" i="3"/>
  <c r="D5628" i="3"/>
  <c r="D5627" i="3"/>
  <c r="D5626" i="3"/>
  <c r="D5625" i="3"/>
  <c r="D5624" i="3"/>
  <c r="D5623" i="3"/>
  <c r="D5622" i="3"/>
  <c r="D5621" i="3"/>
  <c r="D5620" i="3"/>
  <c r="D5619" i="3"/>
  <c r="D5618" i="3"/>
  <c r="D5617" i="3"/>
  <c r="D5616" i="3"/>
  <c r="D5615" i="3"/>
  <c r="D5614" i="3"/>
  <c r="D5613" i="3"/>
  <c r="D5612" i="3"/>
  <c r="D5611" i="3"/>
  <c r="D5610" i="3"/>
  <c r="D5609" i="3"/>
  <c r="D5608" i="3"/>
  <c r="D5607" i="3"/>
  <c r="D5606" i="3"/>
  <c r="D5605" i="3"/>
  <c r="D5604" i="3"/>
  <c r="D5603" i="3"/>
  <c r="D5602" i="3"/>
  <c r="D5601" i="3"/>
  <c r="D5600" i="3"/>
  <c r="D5599" i="3"/>
  <c r="D5598" i="3"/>
  <c r="D5597" i="3"/>
  <c r="D5596" i="3"/>
  <c r="D5595" i="3"/>
  <c r="D5594" i="3"/>
  <c r="D5593" i="3"/>
  <c r="D5592" i="3"/>
  <c r="D5591" i="3"/>
  <c r="D5590" i="3"/>
  <c r="D5589" i="3"/>
  <c r="D5588" i="3"/>
  <c r="D5587" i="3"/>
  <c r="D5586" i="3"/>
  <c r="D5585" i="3"/>
  <c r="D5584" i="3"/>
  <c r="D5583" i="3"/>
  <c r="D5582" i="3"/>
  <c r="D5581" i="3"/>
  <c r="D5580" i="3"/>
  <c r="D5579" i="3"/>
  <c r="D5578" i="3"/>
  <c r="D5577" i="3"/>
  <c r="D5576" i="3"/>
  <c r="D5575" i="3"/>
  <c r="D5574" i="3"/>
  <c r="D5573" i="3"/>
  <c r="D5572" i="3"/>
  <c r="D5571" i="3"/>
  <c r="D5570" i="3"/>
  <c r="D5569" i="3"/>
  <c r="D5568" i="3"/>
  <c r="D5567" i="3"/>
  <c r="D5566" i="3"/>
  <c r="D5565" i="3"/>
  <c r="D5564" i="3"/>
  <c r="D5563" i="3"/>
  <c r="D5562" i="3"/>
  <c r="D5561" i="3"/>
  <c r="D5560" i="3"/>
  <c r="D5559" i="3"/>
  <c r="D5558" i="3"/>
  <c r="D5557" i="3"/>
  <c r="D5556" i="3"/>
  <c r="D5555" i="3"/>
  <c r="D5554" i="3"/>
  <c r="D5553" i="3"/>
  <c r="D5552" i="3"/>
  <c r="D5551" i="3"/>
  <c r="D5550" i="3"/>
  <c r="D5549" i="3"/>
  <c r="D5548" i="3"/>
  <c r="D5547" i="3"/>
  <c r="D5546" i="3"/>
  <c r="D5545" i="3"/>
  <c r="D5544" i="3"/>
  <c r="D5543" i="3"/>
  <c r="D5542" i="3"/>
  <c r="D5541" i="3"/>
  <c r="D5540" i="3"/>
  <c r="D5539" i="3"/>
  <c r="D5538" i="3"/>
  <c r="D5537" i="3"/>
  <c r="D5536" i="3"/>
  <c r="D5535" i="3"/>
  <c r="D5534" i="3"/>
  <c r="D5533" i="3"/>
  <c r="D5532" i="3"/>
  <c r="D5531" i="3"/>
  <c r="D5530" i="3"/>
  <c r="D5529" i="3"/>
  <c r="D5528" i="3"/>
  <c r="D5527" i="3"/>
  <c r="D5526" i="3"/>
  <c r="D5525" i="3"/>
  <c r="D5524" i="3"/>
  <c r="D5523" i="3"/>
  <c r="D5522" i="3"/>
  <c r="D5521" i="3"/>
  <c r="D5520" i="3"/>
  <c r="D5519" i="3"/>
  <c r="D5518" i="3"/>
  <c r="D5517" i="3"/>
  <c r="D5516" i="3"/>
  <c r="D5515" i="3"/>
  <c r="D5514" i="3"/>
  <c r="D5513" i="3"/>
  <c r="D5512" i="3"/>
  <c r="D5511" i="3"/>
  <c r="D5510" i="3"/>
  <c r="D5509" i="3"/>
  <c r="D5508" i="3"/>
  <c r="D5507" i="3"/>
  <c r="D5506" i="3"/>
  <c r="D5505" i="3"/>
  <c r="D5504" i="3"/>
  <c r="D5503" i="3"/>
  <c r="D5502" i="3"/>
  <c r="D5501" i="3"/>
  <c r="D5500" i="3"/>
  <c r="D5499" i="3"/>
  <c r="D5498" i="3"/>
  <c r="D5497" i="3"/>
  <c r="D5496" i="3"/>
  <c r="D5495" i="3"/>
  <c r="D5494" i="3"/>
  <c r="D5493" i="3"/>
  <c r="D5492" i="3"/>
  <c r="D5491" i="3"/>
  <c r="D5490" i="3"/>
  <c r="D5489" i="3"/>
  <c r="D5488" i="3"/>
  <c r="D5487" i="3"/>
  <c r="D5486" i="3"/>
  <c r="D5485" i="3"/>
  <c r="D5484" i="3"/>
  <c r="D5483" i="3"/>
  <c r="D5482" i="3"/>
  <c r="D5481" i="3"/>
  <c r="D5480" i="3"/>
  <c r="D5479" i="3"/>
  <c r="D5478" i="3"/>
  <c r="D5477" i="3"/>
  <c r="D5476" i="3"/>
  <c r="D5475" i="3"/>
  <c r="D5474" i="3"/>
  <c r="D5473" i="3"/>
  <c r="D5472" i="3"/>
  <c r="D5471" i="3"/>
  <c r="D5470" i="3"/>
  <c r="D5469" i="3"/>
  <c r="D5468" i="3"/>
  <c r="D5467" i="3"/>
  <c r="D5466" i="3"/>
  <c r="D5465" i="3"/>
  <c r="D5464" i="3"/>
  <c r="D5463" i="3"/>
  <c r="D5462" i="3"/>
  <c r="D5461" i="3"/>
  <c r="D5460" i="3"/>
  <c r="D5459" i="3"/>
  <c r="D5458" i="3"/>
  <c r="D5457" i="3"/>
  <c r="D5456" i="3"/>
  <c r="D5455" i="3"/>
  <c r="D5454" i="3"/>
  <c r="D5453" i="3"/>
  <c r="D5452" i="3"/>
  <c r="D5451" i="3"/>
  <c r="D5450" i="3"/>
  <c r="D5449" i="3"/>
  <c r="D5448" i="3"/>
  <c r="D5447" i="3"/>
  <c r="D5446" i="3"/>
  <c r="D5445" i="3"/>
  <c r="D5444" i="3"/>
  <c r="D5443" i="3"/>
  <c r="D5442" i="3"/>
  <c r="D5441" i="3"/>
  <c r="D5440" i="3"/>
  <c r="D5439" i="3"/>
  <c r="D5438" i="3"/>
  <c r="D5437" i="3"/>
  <c r="D5436" i="3"/>
  <c r="D5435" i="3"/>
  <c r="D5434" i="3"/>
  <c r="D5433" i="3"/>
  <c r="D5432" i="3"/>
  <c r="D5431" i="3"/>
  <c r="D5430" i="3"/>
  <c r="D5429" i="3"/>
  <c r="D5428" i="3"/>
  <c r="D5427" i="3"/>
  <c r="D5426" i="3"/>
  <c r="D5425" i="3"/>
  <c r="D5424" i="3"/>
  <c r="D5423" i="3"/>
  <c r="D5422" i="3"/>
  <c r="D5421" i="3"/>
  <c r="D5420" i="3"/>
  <c r="D5419" i="3"/>
  <c r="D5418" i="3"/>
  <c r="D5417" i="3"/>
  <c r="D5416" i="3"/>
  <c r="D5415" i="3"/>
  <c r="D5414" i="3"/>
  <c r="D5413" i="3"/>
  <c r="D5412" i="3"/>
  <c r="D5411" i="3"/>
  <c r="D5410" i="3"/>
  <c r="D5409" i="3"/>
  <c r="D5408" i="3"/>
  <c r="D5407" i="3"/>
  <c r="D5406" i="3"/>
  <c r="D5405" i="3"/>
  <c r="D5404" i="3"/>
  <c r="D5403" i="3"/>
  <c r="D5402" i="3"/>
  <c r="D5401" i="3"/>
  <c r="D5400" i="3"/>
  <c r="D5399" i="3"/>
  <c r="D5398" i="3"/>
  <c r="D5397" i="3"/>
  <c r="D5396" i="3"/>
  <c r="D5395" i="3"/>
  <c r="D5394" i="3"/>
  <c r="D5393" i="3"/>
  <c r="D5392" i="3"/>
  <c r="D5391" i="3"/>
  <c r="D5390" i="3"/>
  <c r="D5389" i="3"/>
  <c r="D5388" i="3"/>
  <c r="D5387" i="3"/>
  <c r="D5386" i="3"/>
  <c r="D5385" i="3"/>
  <c r="D5384" i="3"/>
  <c r="D5383" i="3"/>
  <c r="D5382" i="3"/>
  <c r="D5381" i="3"/>
  <c r="D5380" i="3"/>
  <c r="D5379" i="3"/>
  <c r="D5378" i="3"/>
  <c r="D5377" i="3"/>
  <c r="D5376" i="3"/>
  <c r="D5375" i="3"/>
  <c r="D5374" i="3"/>
  <c r="D5373" i="3"/>
  <c r="D5372" i="3"/>
  <c r="D5371" i="3"/>
  <c r="D5370" i="3"/>
  <c r="D5369" i="3"/>
  <c r="D5368" i="3"/>
  <c r="D5367" i="3"/>
  <c r="D5366" i="3"/>
  <c r="D5365" i="3"/>
  <c r="D5364" i="3"/>
  <c r="D5363" i="3"/>
  <c r="D5362" i="3"/>
  <c r="D5361" i="3"/>
  <c r="D5360" i="3"/>
  <c r="D5359" i="3"/>
  <c r="D5358" i="3"/>
  <c r="D5357" i="3"/>
  <c r="D5356" i="3"/>
  <c r="D5355" i="3"/>
  <c r="D5354" i="3"/>
  <c r="D5353" i="3"/>
  <c r="D5352" i="3"/>
  <c r="D5351" i="3"/>
  <c r="D5350" i="3"/>
  <c r="D5349" i="3"/>
  <c r="D5348" i="3"/>
  <c r="D5347" i="3"/>
  <c r="D5346" i="3"/>
  <c r="D5345" i="3"/>
  <c r="D5344" i="3"/>
  <c r="D5343" i="3"/>
  <c r="D5342" i="3"/>
  <c r="D5341" i="3"/>
  <c r="D5340" i="3"/>
  <c r="D5339" i="3"/>
  <c r="D5338" i="3"/>
  <c r="D5337" i="3"/>
  <c r="D5336" i="3"/>
  <c r="D5335" i="3"/>
  <c r="D5334" i="3"/>
  <c r="D5333" i="3"/>
  <c r="D5332" i="3"/>
  <c r="D5331" i="3"/>
  <c r="D5330" i="3"/>
  <c r="D5329" i="3"/>
  <c r="D5328" i="3"/>
  <c r="D5327" i="3"/>
  <c r="D5326" i="3"/>
  <c r="D5325" i="3"/>
  <c r="D5324" i="3"/>
  <c r="D5323" i="3"/>
  <c r="D5322" i="3"/>
  <c r="D5321" i="3"/>
  <c r="D5320" i="3"/>
  <c r="D5319" i="3"/>
  <c r="D5318" i="3"/>
  <c r="D5317" i="3"/>
  <c r="D5316" i="3"/>
  <c r="D5315" i="3"/>
  <c r="D5314" i="3"/>
  <c r="D5313" i="3"/>
  <c r="D5312" i="3"/>
  <c r="D5311" i="3"/>
  <c r="D5310" i="3"/>
  <c r="D5309" i="3"/>
  <c r="D5308" i="3"/>
  <c r="D5307" i="3"/>
  <c r="D5306" i="3"/>
  <c r="D5305" i="3"/>
  <c r="D5304" i="3"/>
  <c r="D5303" i="3"/>
  <c r="D5302" i="3"/>
  <c r="D5301" i="3"/>
  <c r="D5300" i="3"/>
  <c r="D5299" i="3"/>
  <c r="D5298" i="3"/>
  <c r="D5297" i="3"/>
  <c r="D5296" i="3"/>
  <c r="D5295" i="3"/>
  <c r="D5294" i="3"/>
  <c r="D5293" i="3"/>
  <c r="D5292" i="3"/>
  <c r="D5291" i="3"/>
  <c r="D5290" i="3"/>
  <c r="D5289" i="3"/>
  <c r="D5288" i="3"/>
  <c r="D5287" i="3"/>
  <c r="D5286" i="3"/>
  <c r="D5285" i="3"/>
  <c r="D5284" i="3"/>
  <c r="D5283" i="3"/>
  <c r="D5282" i="3"/>
  <c r="D5281" i="3"/>
  <c r="D5280" i="3"/>
  <c r="D5279" i="3"/>
  <c r="D5278" i="3"/>
  <c r="D5277" i="3"/>
  <c r="D5276" i="3"/>
  <c r="D5275" i="3"/>
  <c r="D5274" i="3"/>
  <c r="D5273" i="3"/>
  <c r="D5272" i="3"/>
  <c r="D5271" i="3"/>
  <c r="D5270" i="3"/>
  <c r="D5269" i="3"/>
  <c r="D5268" i="3"/>
  <c r="D5267" i="3"/>
  <c r="D5266" i="3"/>
  <c r="D5265" i="3"/>
  <c r="D5264" i="3"/>
  <c r="D5263" i="3"/>
  <c r="D5262" i="3"/>
  <c r="D5261" i="3"/>
  <c r="D5260" i="3"/>
  <c r="D5259" i="3"/>
  <c r="D5258" i="3"/>
  <c r="D5257" i="3"/>
  <c r="D5256" i="3"/>
  <c r="D5255" i="3"/>
  <c r="D5254" i="3"/>
  <c r="D5253" i="3"/>
  <c r="D5252" i="3"/>
  <c r="D5251" i="3"/>
  <c r="D5250" i="3"/>
  <c r="D5249" i="3"/>
  <c r="D5248" i="3"/>
  <c r="D5247" i="3"/>
  <c r="D5246" i="3"/>
  <c r="D5245" i="3"/>
  <c r="D5244" i="3"/>
  <c r="D5243" i="3"/>
  <c r="D5242" i="3"/>
  <c r="D5241" i="3"/>
  <c r="D5240" i="3"/>
  <c r="D5239" i="3"/>
  <c r="D5238" i="3"/>
  <c r="D5237" i="3"/>
  <c r="D5236" i="3"/>
  <c r="D5235" i="3"/>
  <c r="D5234" i="3"/>
  <c r="D5233" i="3"/>
  <c r="D5232" i="3"/>
  <c r="D5231" i="3"/>
  <c r="D5230" i="3"/>
  <c r="D5229" i="3"/>
  <c r="D5228" i="3"/>
  <c r="D5227" i="3"/>
  <c r="D5226" i="3"/>
  <c r="D5225" i="3"/>
  <c r="D5224" i="3"/>
  <c r="D5223" i="3"/>
  <c r="D5222" i="3"/>
  <c r="D5221" i="3"/>
  <c r="D5220" i="3"/>
  <c r="D5219" i="3"/>
  <c r="D5218" i="3"/>
  <c r="D5217" i="3"/>
  <c r="D5216" i="3"/>
  <c r="D5215" i="3"/>
  <c r="D5214" i="3"/>
  <c r="D5213" i="3"/>
  <c r="D5212" i="3"/>
  <c r="D5211" i="3"/>
  <c r="D5210" i="3"/>
  <c r="D5209" i="3"/>
  <c r="D5208" i="3"/>
  <c r="D5207" i="3"/>
  <c r="D5206" i="3"/>
  <c r="D5205" i="3"/>
  <c r="D5204" i="3"/>
  <c r="D5203" i="3"/>
  <c r="D5202" i="3"/>
  <c r="D5201" i="3"/>
  <c r="D5200" i="3"/>
  <c r="D5199" i="3"/>
  <c r="D5198" i="3"/>
  <c r="D5197" i="3"/>
  <c r="D5196" i="3"/>
  <c r="D5195" i="3"/>
  <c r="D5194" i="3"/>
  <c r="D5193" i="3"/>
  <c r="D5192" i="3"/>
  <c r="D5191" i="3"/>
  <c r="D5190" i="3"/>
  <c r="D5189" i="3"/>
  <c r="D5188" i="3"/>
  <c r="D5187" i="3"/>
  <c r="D5186" i="3"/>
  <c r="D5185" i="3"/>
  <c r="D5184" i="3"/>
  <c r="D5183" i="3"/>
  <c r="D5182" i="3"/>
  <c r="D5181" i="3"/>
  <c r="D5180" i="3"/>
  <c r="D5179" i="3"/>
  <c r="D5178" i="3"/>
  <c r="D5177" i="3"/>
  <c r="D5176" i="3"/>
  <c r="D5175" i="3"/>
  <c r="D5174" i="3"/>
  <c r="D5173" i="3"/>
  <c r="D5172" i="3"/>
  <c r="D5171" i="3"/>
  <c r="D5170" i="3"/>
  <c r="D5169" i="3"/>
  <c r="D5168" i="3"/>
  <c r="D5167" i="3"/>
  <c r="D5166" i="3"/>
  <c r="D5165" i="3"/>
  <c r="D5164" i="3"/>
  <c r="D5163" i="3"/>
  <c r="D5162" i="3"/>
  <c r="D5161" i="3"/>
  <c r="D5160" i="3"/>
  <c r="D5159" i="3"/>
  <c r="D5158" i="3"/>
  <c r="D5157" i="3"/>
  <c r="D5156" i="3"/>
  <c r="D5155" i="3"/>
  <c r="D5154" i="3"/>
  <c r="D5153" i="3"/>
  <c r="D5152" i="3"/>
  <c r="D5151" i="3"/>
  <c r="D5150" i="3"/>
  <c r="D5149" i="3"/>
  <c r="D5148" i="3"/>
  <c r="D5147" i="3"/>
  <c r="D5146" i="3"/>
  <c r="D5145" i="3"/>
  <c r="D5144" i="3"/>
  <c r="D5143" i="3"/>
  <c r="D5142" i="3"/>
  <c r="D5141" i="3"/>
  <c r="D5140" i="3"/>
  <c r="D5139" i="3"/>
  <c r="D5138" i="3"/>
  <c r="D5137" i="3"/>
  <c r="D5136" i="3"/>
  <c r="D5135" i="3"/>
  <c r="D5134" i="3"/>
  <c r="D5133" i="3"/>
  <c r="D5132" i="3"/>
  <c r="D5131" i="3"/>
  <c r="D5130" i="3"/>
  <c r="D5129" i="3"/>
  <c r="D5128" i="3"/>
  <c r="D5127" i="3"/>
  <c r="D5126" i="3"/>
  <c r="D5125" i="3"/>
  <c r="D5124" i="3"/>
  <c r="D5123" i="3"/>
  <c r="D5122" i="3"/>
  <c r="D5121" i="3"/>
  <c r="D5120" i="3"/>
  <c r="D5119" i="3"/>
  <c r="D5118" i="3"/>
  <c r="D5117" i="3"/>
  <c r="D5116" i="3"/>
  <c r="D5115" i="3"/>
  <c r="D5114" i="3"/>
  <c r="D5113" i="3"/>
  <c r="D5112" i="3"/>
  <c r="D5111" i="3"/>
  <c r="D5110" i="3"/>
  <c r="D5109" i="3"/>
  <c r="D5108" i="3"/>
  <c r="D5107" i="3"/>
  <c r="D5106" i="3"/>
  <c r="D5105" i="3"/>
  <c r="D5104" i="3"/>
  <c r="D5103" i="3"/>
  <c r="D5102" i="3"/>
  <c r="D5101" i="3"/>
  <c r="D5100" i="3"/>
  <c r="D5099" i="3"/>
  <c r="D5098" i="3"/>
  <c r="D5097" i="3"/>
  <c r="D5096" i="3"/>
  <c r="D5095" i="3"/>
  <c r="D5094" i="3"/>
  <c r="D5093" i="3"/>
  <c r="D5092" i="3"/>
  <c r="D5091" i="3"/>
  <c r="D5090" i="3"/>
  <c r="D5089" i="3"/>
  <c r="D5088" i="3"/>
  <c r="D5087" i="3"/>
  <c r="D5086" i="3"/>
  <c r="D5085" i="3"/>
  <c r="D5084" i="3"/>
  <c r="D5083" i="3"/>
  <c r="D5082" i="3"/>
  <c r="D5081" i="3"/>
  <c r="D5080" i="3"/>
  <c r="D5079" i="3"/>
  <c r="D5078" i="3"/>
  <c r="D5077" i="3"/>
  <c r="D5076" i="3"/>
  <c r="D5075" i="3"/>
  <c r="D5074" i="3"/>
  <c r="D5073" i="3"/>
  <c r="D5072" i="3"/>
  <c r="D5071" i="3"/>
  <c r="D5070" i="3"/>
  <c r="D5069" i="3"/>
  <c r="D5068" i="3"/>
  <c r="D5067" i="3"/>
  <c r="D5066" i="3"/>
  <c r="D5065" i="3"/>
  <c r="D5064" i="3"/>
  <c r="D5063" i="3"/>
  <c r="D5062" i="3"/>
  <c r="D5061" i="3"/>
  <c r="D5060" i="3"/>
  <c r="D5059" i="3"/>
  <c r="D5058" i="3"/>
  <c r="D5057" i="3"/>
  <c r="D5056" i="3"/>
  <c r="D5055" i="3"/>
  <c r="D5054" i="3"/>
  <c r="D5053" i="3"/>
  <c r="D5052" i="3"/>
  <c r="D5051" i="3"/>
  <c r="D5050" i="3"/>
  <c r="D5049" i="3"/>
  <c r="D5048" i="3"/>
  <c r="D5047" i="3"/>
  <c r="D5046" i="3"/>
  <c r="D5045" i="3"/>
  <c r="D5044" i="3"/>
  <c r="D5043" i="3"/>
  <c r="D5042" i="3"/>
  <c r="D5041" i="3"/>
  <c r="D5040" i="3"/>
  <c r="D5039" i="3"/>
  <c r="D5038" i="3"/>
  <c r="D5037" i="3"/>
  <c r="D5036" i="3"/>
  <c r="D5035" i="3"/>
  <c r="D5034" i="3"/>
  <c r="D5033" i="3"/>
  <c r="D5032" i="3"/>
  <c r="D5031" i="3"/>
  <c r="D5030" i="3"/>
  <c r="D5029" i="3"/>
  <c r="D5028" i="3"/>
  <c r="D5027" i="3"/>
  <c r="D5026" i="3"/>
  <c r="D5025" i="3"/>
  <c r="D5024" i="3"/>
  <c r="D5023" i="3"/>
  <c r="D5022" i="3"/>
  <c r="D5021" i="3"/>
  <c r="D5020" i="3"/>
  <c r="D5019" i="3"/>
  <c r="D5018" i="3"/>
  <c r="D5017" i="3"/>
  <c r="D5016" i="3"/>
  <c r="D5015" i="3"/>
  <c r="D5014" i="3"/>
  <c r="D5013" i="3"/>
  <c r="D5012" i="3"/>
  <c r="D5011" i="3"/>
  <c r="D5010" i="3"/>
  <c r="D5009" i="3"/>
  <c r="D5008" i="3"/>
  <c r="D5007" i="3"/>
  <c r="D5006" i="3"/>
  <c r="D5005" i="3"/>
  <c r="D5004" i="3"/>
  <c r="D5003" i="3"/>
  <c r="D5002" i="3"/>
  <c r="D5001" i="3"/>
  <c r="D5000" i="3"/>
  <c r="D4999" i="3"/>
  <c r="D4998" i="3"/>
  <c r="D4997" i="3"/>
  <c r="D4996" i="3"/>
  <c r="D4995" i="3"/>
  <c r="D4994" i="3"/>
  <c r="D4993" i="3"/>
  <c r="D4992" i="3"/>
  <c r="D4991" i="3"/>
  <c r="D4990" i="3"/>
  <c r="D4989" i="3"/>
  <c r="D4988" i="3"/>
  <c r="D4987" i="3"/>
  <c r="D4986" i="3"/>
  <c r="D4985" i="3"/>
  <c r="D4984" i="3"/>
  <c r="D4983" i="3"/>
  <c r="D4982" i="3"/>
  <c r="D4981" i="3"/>
  <c r="D4980" i="3"/>
  <c r="D4979" i="3"/>
  <c r="D4978" i="3"/>
  <c r="D4977" i="3"/>
  <c r="D4976" i="3"/>
  <c r="D4975" i="3"/>
  <c r="D4974" i="3"/>
  <c r="D4973" i="3"/>
  <c r="D4972" i="3"/>
  <c r="D4971" i="3"/>
  <c r="D4970" i="3"/>
  <c r="D4969" i="3"/>
  <c r="D4968" i="3"/>
  <c r="D4967" i="3"/>
  <c r="D4966" i="3"/>
  <c r="D4965" i="3"/>
  <c r="D4964" i="3"/>
  <c r="D4963" i="3"/>
  <c r="D4962" i="3"/>
  <c r="D4961" i="3"/>
  <c r="D4960" i="3"/>
  <c r="D4959" i="3"/>
  <c r="D4958" i="3"/>
  <c r="D4957" i="3"/>
  <c r="D4956" i="3"/>
  <c r="D4955" i="3"/>
  <c r="D4954" i="3"/>
  <c r="D4953" i="3"/>
  <c r="D4952" i="3"/>
  <c r="D4951" i="3"/>
  <c r="D4950" i="3"/>
  <c r="D4949" i="3"/>
  <c r="D4948" i="3"/>
  <c r="D4947" i="3"/>
  <c r="D4946" i="3"/>
  <c r="D4945" i="3"/>
  <c r="D4944" i="3"/>
  <c r="D4943" i="3"/>
  <c r="D4942" i="3"/>
  <c r="D4941" i="3"/>
  <c r="D4940" i="3"/>
  <c r="D4939" i="3"/>
  <c r="D4938" i="3"/>
  <c r="D4937" i="3"/>
  <c r="D4936" i="3"/>
  <c r="D4935" i="3"/>
  <c r="D4934" i="3"/>
  <c r="D4933" i="3"/>
  <c r="D4932" i="3"/>
  <c r="D4931" i="3"/>
  <c r="D4930" i="3"/>
  <c r="D4929" i="3"/>
  <c r="D4928" i="3"/>
  <c r="D4927" i="3"/>
  <c r="D4926" i="3"/>
  <c r="D4925" i="3"/>
  <c r="D4924" i="3"/>
  <c r="D4923" i="3"/>
  <c r="D4922" i="3"/>
  <c r="D4921" i="3"/>
  <c r="D4920" i="3"/>
  <c r="D4919" i="3"/>
  <c r="D4918" i="3"/>
  <c r="D4917" i="3"/>
  <c r="D4916" i="3"/>
  <c r="D4915" i="3"/>
  <c r="D4914" i="3"/>
  <c r="D4913" i="3"/>
  <c r="D4912" i="3"/>
  <c r="D4911" i="3"/>
  <c r="D4910" i="3"/>
  <c r="D4909" i="3"/>
  <c r="D4908" i="3"/>
  <c r="D4907" i="3"/>
  <c r="D4906" i="3"/>
  <c r="D4905" i="3"/>
  <c r="D4904" i="3"/>
  <c r="D4903" i="3"/>
  <c r="D4902" i="3"/>
  <c r="D4901" i="3"/>
  <c r="D4900" i="3"/>
  <c r="D4899" i="3"/>
  <c r="D4898" i="3"/>
  <c r="D4897" i="3"/>
  <c r="D4896" i="3"/>
  <c r="D4895" i="3"/>
  <c r="D4894" i="3"/>
  <c r="D4893" i="3"/>
  <c r="D4892" i="3"/>
  <c r="D4891" i="3"/>
  <c r="D4890" i="3"/>
  <c r="D4889" i="3"/>
  <c r="D4888" i="3"/>
  <c r="D4887" i="3"/>
  <c r="D4886" i="3"/>
  <c r="D4885" i="3"/>
  <c r="D4884" i="3"/>
  <c r="D4883" i="3"/>
  <c r="D4882" i="3"/>
  <c r="D4881" i="3"/>
  <c r="D4880" i="3"/>
  <c r="D4879" i="3"/>
  <c r="D4878" i="3"/>
  <c r="D4877" i="3"/>
  <c r="D4876" i="3"/>
  <c r="D4875" i="3"/>
  <c r="D4874" i="3"/>
  <c r="D4873" i="3"/>
  <c r="D4872" i="3"/>
  <c r="D4871" i="3"/>
  <c r="D4870" i="3"/>
  <c r="D4869" i="3"/>
  <c r="D4868" i="3"/>
  <c r="D4867" i="3"/>
  <c r="D4866" i="3"/>
  <c r="D4865" i="3"/>
  <c r="D4864" i="3"/>
  <c r="D4863" i="3"/>
  <c r="D4862" i="3"/>
  <c r="D4861" i="3"/>
  <c r="D4860" i="3"/>
  <c r="D4859" i="3"/>
  <c r="D4858" i="3"/>
  <c r="D4857" i="3"/>
  <c r="D4856" i="3"/>
  <c r="D4855" i="3"/>
  <c r="D4854" i="3"/>
  <c r="D4853" i="3"/>
  <c r="D4852" i="3"/>
  <c r="D4851" i="3"/>
  <c r="D4850" i="3"/>
  <c r="D4849" i="3"/>
  <c r="D4848" i="3"/>
  <c r="D4847" i="3"/>
  <c r="D4846" i="3"/>
  <c r="D4845" i="3"/>
  <c r="D4844" i="3"/>
  <c r="D4843" i="3"/>
  <c r="D4842" i="3"/>
  <c r="D4841" i="3"/>
  <c r="D4840" i="3"/>
  <c r="D4839" i="3"/>
  <c r="D4838" i="3"/>
  <c r="D4837" i="3"/>
  <c r="D4836" i="3"/>
  <c r="D4835" i="3"/>
  <c r="D4834" i="3"/>
  <c r="D4833" i="3"/>
  <c r="D4832" i="3"/>
  <c r="D4831" i="3"/>
  <c r="D4830" i="3"/>
  <c r="D4829" i="3"/>
  <c r="D4828" i="3"/>
  <c r="D4827" i="3"/>
  <c r="D4826" i="3"/>
  <c r="D4825" i="3"/>
  <c r="D4824" i="3"/>
  <c r="D4823" i="3"/>
  <c r="D4822" i="3"/>
  <c r="D4821" i="3"/>
  <c r="D4820" i="3"/>
  <c r="D4819" i="3"/>
  <c r="D4818" i="3"/>
  <c r="D4817" i="3"/>
  <c r="D4816" i="3"/>
  <c r="D4815" i="3"/>
  <c r="D4814" i="3"/>
  <c r="D4813" i="3"/>
  <c r="D4812" i="3"/>
  <c r="D4811" i="3"/>
  <c r="D4810" i="3"/>
  <c r="D4809" i="3"/>
  <c r="D4808" i="3"/>
  <c r="D4807" i="3"/>
  <c r="D4806" i="3"/>
  <c r="D4805" i="3"/>
  <c r="D4804" i="3"/>
  <c r="D4803" i="3"/>
  <c r="D4802" i="3"/>
  <c r="D4801" i="3"/>
  <c r="D4800" i="3"/>
  <c r="D4799" i="3"/>
  <c r="D4798" i="3"/>
  <c r="D4797" i="3"/>
  <c r="D4796" i="3"/>
  <c r="D4795" i="3"/>
  <c r="D4794" i="3"/>
  <c r="D4793" i="3"/>
  <c r="D4792" i="3"/>
  <c r="D4791" i="3"/>
  <c r="D4790" i="3"/>
  <c r="D4789" i="3"/>
  <c r="D4788" i="3"/>
  <c r="D4787" i="3"/>
  <c r="D4786" i="3"/>
  <c r="D4785" i="3"/>
  <c r="D4784" i="3"/>
  <c r="D4783" i="3"/>
  <c r="D4782" i="3"/>
  <c r="D4781" i="3"/>
  <c r="D4780" i="3"/>
  <c r="D4779" i="3"/>
  <c r="D4778" i="3"/>
  <c r="D4777" i="3"/>
  <c r="D4776" i="3"/>
  <c r="D4775" i="3"/>
  <c r="D4774" i="3"/>
  <c r="D4773" i="3"/>
  <c r="D4772" i="3"/>
  <c r="D4771" i="3"/>
  <c r="D4770" i="3"/>
  <c r="D4769" i="3"/>
  <c r="D4768" i="3"/>
  <c r="D4767" i="3"/>
  <c r="D4766" i="3"/>
  <c r="D4765" i="3"/>
  <c r="D4764" i="3"/>
  <c r="D4763" i="3"/>
  <c r="D4762" i="3"/>
  <c r="D4761" i="3"/>
  <c r="D4760" i="3"/>
  <c r="D4759" i="3"/>
  <c r="D4758" i="3"/>
  <c r="D4757" i="3"/>
  <c r="D4756" i="3"/>
  <c r="D4755" i="3"/>
  <c r="D4754" i="3"/>
  <c r="D4753" i="3"/>
  <c r="D4752" i="3"/>
  <c r="D4751" i="3"/>
  <c r="D4750" i="3"/>
  <c r="D4749" i="3"/>
  <c r="D4748" i="3"/>
  <c r="D4747" i="3"/>
  <c r="D4746" i="3"/>
  <c r="D4745" i="3"/>
  <c r="D4744" i="3"/>
  <c r="D4743" i="3"/>
  <c r="D4742" i="3"/>
  <c r="D4741" i="3"/>
  <c r="D4740" i="3"/>
  <c r="D4739" i="3"/>
  <c r="D4738" i="3"/>
  <c r="D4737" i="3"/>
  <c r="D4736" i="3"/>
  <c r="D4735" i="3"/>
  <c r="D4734" i="3"/>
  <c r="D4733" i="3"/>
  <c r="D4732" i="3"/>
  <c r="D4731" i="3"/>
  <c r="D4730" i="3"/>
  <c r="D4729" i="3"/>
  <c r="D4728" i="3"/>
  <c r="D4727" i="3"/>
  <c r="D4726" i="3"/>
  <c r="D4725" i="3"/>
  <c r="D4724" i="3"/>
  <c r="D4723" i="3"/>
  <c r="D4722" i="3"/>
  <c r="D4721" i="3"/>
  <c r="D4720" i="3"/>
  <c r="D4719" i="3"/>
  <c r="D4718" i="3"/>
  <c r="D4717" i="3"/>
  <c r="D4716" i="3"/>
  <c r="D4715" i="3"/>
  <c r="D4714" i="3"/>
  <c r="D4713" i="3"/>
  <c r="D4712" i="3"/>
  <c r="D4711" i="3"/>
  <c r="D4710" i="3"/>
  <c r="D4709" i="3"/>
  <c r="D4708" i="3"/>
  <c r="D4707" i="3"/>
  <c r="D4706" i="3"/>
  <c r="D4705" i="3"/>
  <c r="D4704" i="3"/>
  <c r="D4703" i="3"/>
  <c r="D4702" i="3"/>
  <c r="D4701" i="3"/>
  <c r="D4700" i="3"/>
  <c r="D4699" i="3"/>
  <c r="D4698" i="3"/>
  <c r="D4697" i="3"/>
  <c r="D4696" i="3"/>
  <c r="D4695" i="3"/>
  <c r="D4694" i="3"/>
  <c r="D4693" i="3"/>
  <c r="D4692" i="3"/>
  <c r="D4691" i="3"/>
  <c r="D4690" i="3"/>
  <c r="D4689" i="3"/>
  <c r="D4688" i="3"/>
  <c r="D4687" i="3"/>
  <c r="D4686" i="3"/>
  <c r="D4685" i="3"/>
  <c r="D4684" i="3"/>
  <c r="D4683" i="3"/>
  <c r="D4682" i="3"/>
  <c r="D4681" i="3"/>
  <c r="D4680" i="3"/>
  <c r="D4679" i="3"/>
  <c r="D4678" i="3"/>
  <c r="D4677" i="3"/>
  <c r="D4676" i="3"/>
  <c r="D4675" i="3"/>
  <c r="D4674" i="3"/>
  <c r="D4673" i="3"/>
  <c r="D4672" i="3"/>
  <c r="D4671" i="3"/>
  <c r="D4670" i="3"/>
  <c r="D4669" i="3"/>
  <c r="D4668" i="3"/>
  <c r="D4667" i="3"/>
  <c r="D4666" i="3"/>
  <c r="D4665" i="3"/>
  <c r="D4664" i="3"/>
  <c r="D4663" i="3"/>
  <c r="D4662" i="3"/>
  <c r="D4661" i="3"/>
  <c r="D4660" i="3"/>
  <c r="D4659" i="3"/>
  <c r="D4658" i="3"/>
  <c r="D4657" i="3"/>
  <c r="D4656" i="3"/>
  <c r="D4655" i="3"/>
  <c r="D4654" i="3"/>
  <c r="D4653" i="3"/>
  <c r="D4652" i="3"/>
  <c r="D4651" i="3"/>
  <c r="D4650" i="3"/>
  <c r="D4649" i="3"/>
  <c r="D4648" i="3"/>
  <c r="D4647" i="3"/>
  <c r="D4646" i="3"/>
  <c r="D4645" i="3"/>
  <c r="D4644" i="3"/>
  <c r="D4643" i="3"/>
  <c r="D4642" i="3"/>
  <c r="D4641" i="3"/>
  <c r="D4640" i="3"/>
  <c r="D4639" i="3"/>
  <c r="D4638" i="3"/>
  <c r="D4637" i="3"/>
  <c r="D4636" i="3"/>
  <c r="D4635" i="3"/>
  <c r="D4634" i="3"/>
  <c r="D4633" i="3"/>
  <c r="D4632" i="3"/>
  <c r="D4631" i="3"/>
  <c r="D4630" i="3"/>
  <c r="D4629" i="3"/>
  <c r="D4628" i="3"/>
  <c r="D4627" i="3"/>
  <c r="D4626" i="3"/>
  <c r="D4625" i="3"/>
  <c r="D4624" i="3"/>
  <c r="D4623" i="3"/>
  <c r="D4622" i="3"/>
  <c r="D4621" i="3"/>
  <c r="D4620" i="3"/>
  <c r="D4619" i="3"/>
  <c r="D4618" i="3"/>
  <c r="D4617" i="3"/>
  <c r="D4616" i="3"/>
  <c r="D4615" i="3"/>
  <c r="D4614" i="3"/>
  <c r="D4613" i="3"/>
  <c r="D4612" i="3"/>
  <c r="D4611" i="3"/>
  <c r="D4610" i="3"/>
  <c r="D4609" i="3"/>
  <c r="D4608" i="3"/>
  <c r="D4607" i="3"/>
  <c r="D4606" i="3"/>
  <c r="D4605" i="3"/>
  <c r="D4604" i="3"/>
  <c r="D4603" i="3"/>
  <c r="D4602" i="3"/>
  <c r="D4601" i="3"/>
  <c r="D4600" i="3"/>
  <c r="D4599" i="3"/>
  <c r="D4598" i="3"/>
  <c r="D4597" i="3"/>
  <c r="D4596" i="3"/>
  <c r="D4595" i="3"/>
  <c r="D4594" i="3"/>
  <c r="D4593" i="3"/>
  <c r="D4592" i="3"/>
  <c r="D4591" i="3"/>
  <c r="D4590" i="3"/>
  <c r="D4589" i="3"/>
  <c r="D4588" i="3"/>
  <c r="D4587" i="3"/>
  <c r="D4586" i="3"/>
  <c r="D4585" i="3"/>
  <c r="D4584" i="3"/>
  <c r="D4583" i="3"/>
  <c r="D4582" i="3"/>
  <c r="D4581" i="3"/>
  <c r="D4580" i="3"/>
  <c r="D4579" i="3"/>
  <c r="D4578" i="3"/>
  <c r="D4577" i="3"/>
  <c r="D4576" i="3"/>
  <c r="D4575" i="3"/>
  <c r="D4574" i="3"/>
  <c r="D4573" i="3"/>
  <c r="D4572" i="3"/>
  <c r="D4571" i="3"/>
  <c r="D4570" i="3"/>
  <c r="D4569" i="3"/>
  <c r="D4568" i="3"/>
  <c r="D4567" i="3"/>
  <c r="D4566" i="3"/>
  <c r="D4565" i="3"/>
  <c r="D4564" i="3"/>
  <c r="D4563" i="3"/>
  <c r="D4562" i="3"/>
  <c r="D4561" i="3"/>
  <c r="D4560" i="3"/>
  <c r="D4559" i="3"/>
  <c r="D4558" i="3"/>
  <c r="D4557" i="3"/>
  <c r="D4556" i="3"/>
  <c r="D4555" i="3"/>
  <c r="D4554" i="3"/>
  <c r="D4553" i="3"/>
  <c r="D4552" i="3"/>
  <c r="D4551" i="3"/>
  <c r="D4550" i="3"/>
  <c r="D4549" i="3"/>
  <c r="D4548" i="3"/>
  <c r="D4547" i="3"/>
  <c r="D4546" i="3"/>
  <c r="D4545" i="3"/>
  <c r="D4544" i="3"/>
  <c r="D4543" i="3"/>
  <c r="D4542" i="3"/>
  <c r="D4541" i="3"/>
  <c r="D4540" i="3"/>
  <c r="D4539" i="3"/>
  <c r="D4538" i="3"/>
  <c r="D4537" i="3"/>
  <c r="D4536" i="3"/>
  <c r="D4535" i="3"/>
  <c r="D4534" i="3"/>
  <c r="D4533" i="3"/>
  <c r="D4532" i="3"/>
  <c r="D4531" i="3"/>
  <c r="D4530" i="3"/>
  <c r="D4529" i="3"/>
  <c r="D4528" i="3"/>
  <c r="D4527" i="3"/>
  <c r="D4526" i="3"/>
  <c r="D4525" i="3"/>
  <c r="D4524" i="3"/>
  <c r="D4523" i="3"/>
  <c r="D4522" i="3"/>
  <c r="D4521" i="3"/>
  <c r="D4520" i="3"/>
  <c r="D4519" i="3"/>
  <c r="D4518" i="3"/>
  <c r="D4517" i="3"/>
  <c r="D4516" i="3"/>
  <c r="D4515" i="3"/>
  <c r="D4514" i="3"/>
  <c r="D4513" i="3"/>
  <c r="D4512" i="3"/>
  <c r="D4511" i="3"/>
  <c r="D4510" i="3"/>
  <c r="D4509" i="3"/>
  <c r="D4508" i="3"/>
  <c r="D4507" i="3"/>
  <c r="D4506" i="3"/>
  <c r="D4505" i="3"/>
  <c r="D4504" i="3"/>
  <c r="D4503" i="3"/>
  <c r="D4502" i="3"/>
  <c r="D4501" i="3"/>
  <c r="D4500" i="3"/>
  <c r="D4499" i="3"/>
  <c r="D4498" i="3"/>
  <c r="D4497" i="3"/>
  <c r="D4496" i="3"/>
  <c r="D4495" i="3"/>
  <c r="D4494" i="3"/>
  <c r="D4493" i="3"/>
  <c r="D4492" i="3"/>
  <c r="D4491" i="3"/>
  <c r="D4490" i="3"/>
  <c r="D4489" i="3"/>
  <c r="D4488" i="3"/>
  <c r="D4487" i="3"/>
  <c r="D4486" i="3"/>
  <c r="D4485" i="3"/>
  <c r="D4484" i="3"/>
  <c r="D4483" i="3"/>
  <c r="D4482" i="3"/>
  <c r="D4481" i="3"/>
  <c r="D4480" i="3"/>
  <c r="D4479" i="3"/>
  <c r="D4478" i="3"/>
  <c r="D4477" i="3"/>
  <c r="D4476" i="3"/>
  <c r="D4475" i="3"/>
  <c r="D4474" i="3"/>
  <c r="D4473" i="3"/>
  <c r="D4472" i="3"/>
  <c r="D4471" i="3"/>
  <c r="D4470" i="3"/>
  <c r="D4469" i="3"/>
  <c r="D4468" i="3"/>
  <c r="D4467" i="3"/>
  <c r="D4466" i="3"/>
  <c r="D4465" i="3"/>
  <c r="D4464" i="3"/>
  <c r="D4463" i="3"/>
  <c r="D4462" i="3"/>
  <c r="D4461" i="3"/>
  <c r="D4460" i="3"/>
  <c r="D4459" i="3"/>
  <c r="D4458" i="3"/>
  <c r="D4457" i="3"/>
  <c r="D4456" i="3"/>
  <c r="D4455" i="3"/>
  <c r="D4454" i="3"/>
  <c r="D4453" i="3"/>
  <c r="D4452" i="3"/>
  <c r="D4451" i="3"/>
  <c r="D4450" i="3"/>
  <c r="D4449" i="3"/>
  <c r="D4448" i="3"/>
  <c r="D4447" i="3"/>
  <c r="D4446" i="3"/>
  <c r="D4445" i="3"/>
  <c r="D4444" i="3"/>
  <c r="D4443" i="3"/>
  <c r="D4442" i="3"/>
  <c r="D4441" i="3"/>
  <c r="D4440" i="3"/>
  <c r="D4439" i="3"/>
  <c r="D4438" i="3"/>
  <c r="D4437" i="3"/>
  <c r="D4436" i="3"/>
  <c r="D4435" i="3"/>
  <c r="D4434" i="3"/>
  <c r="D4433" i="3"/>
  <c r="D4432" i="3"/>
  <c r="D4431" i="3"/>
  <c r="D4430" i="3"/>
  <c r="D4429" i="3"/>
  <c r="D4428" i="3"/>
  <c r="D4427" i="3"/>
  <c r="D4426" i="3"/>
  <c r="D4425" i="3"/>
  <c r="D4424" i="3"/>
  <c r="D4423" i="3"/>
  <c r="D4422" i="3"/>
  <c r="D4421" i="3"/>
  <c r="D4420" i="3"/>
  <c r="D4419" i="3"/>
  <c r="D4418" i="3"/>
  <c r="D4417" i="3"/>
  <c r="D4416" i="3"/>
  <c r="D4415" i="3"/>
  <c r="D4414" i="3"/>
  <c r="D4413" i="3"/>
  <c r="D4412" i="3"/>
  <c r="D4411" i="3"/>
  <c r="D4410" i="3"/>
  <c r="D4409" i="3"/>
  <c r="D4408" i="3"/>
  <c r="D4407" i="3"/>
  <c r="D4406" i="3"/>
  <c r="D4405" i="3"/>
  <c r="D4404" i="3"/>
  <c r="D4403" i="3"/>
  <c r="D4402" i="3"/>
  <c r="D4401" i="3"/>
  <c r="D4400" i="3"/>
  <c r="D4399" i="3"/>
  <c r="D4398" i="3"/>
  <c r="D4397" i="3"/>
  <c r="D4396" i="3"/>
  <c r="D4395" i="3"/>
  <c r="D4394" i="3"/>
  <c r="D4393" i="3"/>
  <c r="D4392" i="3"/>
  <c r="D4391" i="3"/>
  <c r="D4390" i="3"/>
  <c r="D4389" i="3"/>
  <c r="D4388" i="3"/>
  <c r="D4387" i="3"/>
  <c r="D4386" i="3"/>
  <c r="D4385" i="3"/>
  <c r="D4384" i="3"/>
  <c r="D4383" i="3"/>
  <c r="D4382" i="3"/>
  <c r="D4381" i="3"/>
  <c r="D4380" i="3"/>
  <c r="D4379" i="3"/>
  <c r="D4378" i="3"/>
  <c r="D4377" i="3"/>
  <c r="D4376" i="3"/>
  <c r="D4375" i="3"/>
  <c r="D4374" i="3"/>
  <c r="D4373" i="3"/>
  <c r="D4372" i="3"/>
  <c r="D4371" i="3"/>
  <c r="D4370" i="3"/>
  <c r="D4369" i="3"/>
  <c r="D4368" i="3"/>
  <c r="D4367" i="3"/>
  <c r="D4366" i="3"/>
  <c r="D4365" i="3"/>
  <c r="D4364" i="3"/>
  <c r="D4363" i="3"/>
  <c r="D4362" i="3"/>
  <c r="D4361" i="3"/>
  <c r="D4360" i="3"/>
  <c r="D4359" i="3"/>
  <c r="D4358" i="3"/>
  <c r="D4357" i="3"/>
  <c r="D4356" i="3"/>
  <c r="D4355" i="3"/>
  <c r="D4354" i="3"/>
  <c r="D4353" i="3"/>
  <c r="D4352" i="3"/>
  <c r="D4351" i="3"/>
  <c r="D4350" i="3"/>
  <c r="D4349" i="3"/>
  <c r="D4348" i="3"/>
  <c r="D4347" i="3"/>
  <c r="D4346" i="3"/>
  <c r="D4345" i="3"/>
  <c r="D4344" i="3"/>
  <c r="D4343" i="3"/>
  <c r="D4342" i="3"/>
  <c r="D4341" i="3"/>
  <c r="D4340" i="3"/>
  <c r="D4339" i="3"/>
  <c r="D4338" i="3"/>
  <c r="D4337" i="3"/>
  <c r="D4336" i="3"/>
  <c r="D4335" i="3"/>
  <c r="D4334" i="3"/>
  <c r="D4333" i="3"/>
  <c r="D4332" i="3"/>
  <c r="D4331" i="3"/>
  <c r="D4330" i="3"/>
  <c r="D4329" i="3"/>
  <c r="D4328" i="3"/>
  <c r="D4327" i="3"/>
  <c r="D4326" i="3"/>
  <c r="D4325" i="3"/>
  <c r="D4324" i="3"/>
  <c r="D4323" i="3"/>
  <c r="D4322" i="3"/>
  <c r="D4321" i="3"/>
  <c r="D4320" i="3"/>
  <c r="D4319" i="3"/>
  <c r="D4318" i="3"/>
  <c r="D4317" i="3"/>
  <c r="D4316" i="3"/>
  <c r="D4315" i="3"/>
  <c r="D4314" i="3"/>
  <c r="D4313" i="3"/>
  <c r="D4312" i="3"/>
  <c r="D4311" i="3"/>
  <c r="D4310" i="3"/>
  <c r="D4309" i="3"/>
  <c r="D4308" i="3"/>
  <c r="D4307" i="3"/>
  <c r="D4306" i="3"/>
  <c r="D4305" i="3"/>
  <c r="D4304" i="3"/>
  <c r="D4303" i="3"/>
  <c r="D4302" i="3"/>
  <c r="D4301" i="3"/>
  <c r="D4300" i="3"/>
  <c r="D4299" i="3"/>
  <c r="D4298" i="3"/>
  <c r="D4297" i="3"/>
  <c r="D4296" i="3"/>
  <c r="D4295" i="3"/>
  <c r="D4294" i="3"/>
  <c r="D4293" i="3"/>
  <c r="D4292" i="3"/>
  <c r="D4291" i="3"/>
  <c r="D4290" i="3"/>
  <c r="D4289" i="3"/>
  <c r="D4288" i="3"/>
  <c r="D4287" i="3"/>
  <c r="D4286" i="3"/>
  <c r="D4285" i="3"/>
  <c r="D4284" i="3"/>
  <c r="D4283" i="3"/>
  <c r="D4282" i="3"/>
  <c r="D4281" i="3"/>
  <c r="D4280" i="3"/>
  <c r="D4279" i="3"/>
  <c r="D4278" i="3"/>
  <c r="D4277" i="3"/>
  <c r="D4276" i="3"/>
  <c r="D4275" i="3"/>
  <c r="D4274" i="3"/>
  <c r="D4273" i="3"/>
  <c r="D4272" i="3"/>
  <c r="D4271" i="3"/>
  <c r="D4270" i="3"/>
  <c r="D4269" i="3"/>
  <c r="D4268" i="3"/>
  <c r="D4267" i="3"/>
  <c r="D4266" i="3"/>
  <c r="D4265" i="3"/>
  <c r="D4264" i="3"/>
  <c r="D4263" i="3"/>
  <c r="D4262" i="3"/>
  <c r="D4261" i="3"/>
  <c r="D4260" i="3"/>
  <c r="D4259" i="3"/>
  <c r="D4258" i="3"/>
  <c r="D4257" i="3"/>
  <c r="D4256" i="3"/>
  <c r="D4255" i="3"/>
  <c r="D4254" i="3"/>
  <c r="D4253" i="3"/>
  <c r="D4252" i="3"/>
  <c r="D4251" i="3"/>
  <c r="D4250" i="3"/>
  <c r="D4249" i="3"/>
  <c r="D4248" i="3"/>
  <c r="D4247" i="3"/>
  <c r="D4246" i="3"/>
  <c r="D4245" i="3"/>
  <c r="D4244" i="3"/>
  <c r="D4243" i="3"/>
  <c r="D4242" i="3"/>
  <c r="D4241" i="3"/>
  <c r="D4240" i="3"/>
  <c r="D4239" i="3"/>
  <c r="D4238" i="3"/>
  <c r="D4237" i="3"/>
  <c r="D4236" i="3"/>
  <c r="D4235" i="3"/>
  <c r="D4234" i="3"/>
  <c r="D4233" i="3"/>
  <c r="D4232" i="3"/>
  <c r="D4231" i="3"/>
  <c r="D4230" i="3"/>
  <c r="D4229" i="3"/>
  <c r="D4228" i="3"/>
  <c r="D4227" i="3"/>
  <c r="D4226" i="3"/>
  <c r="D4225" i="3"/>
  <c r="D4224" i="3"/>
  <c r="D4223" i="3"/>
  <c r="D4222" i="3"/>
  <c r="D4221" i="3"/>
  <c r="D4220" i="3"/>
  <c r="D4219" i="3"/>
  <c r="D4218" i="3"/>
  <c r="D4217" i="3"/>
  <c r="D4216" i="3"/>
  <c r="D4215" i="3"/>
  <c r="D4214" i="3"/>
  <c r="D4213" i="3"/>
  <c r="D4212" i="3"/>
  <c r="D4211" i="3"/>
  <c r="D4210" i="3"/>
  <c r="D4209" i="3"/>
  <c r="D4208" i="3"/>
  <c r="D4207" i="3"/>
  <c r="D4206" i="3"/>
  <c r="D4205" i="3"/>
  <c r="D4204" i="3"/>
  <c r="D4203" i="3"/>
  <c r="D4202" i="3"/>
  <c r="D4201" i="3"/>
  <c r="D4200" i="3"/>
  <c r="D4199" i="3"/>
  <c r="D4198" i="3"/>
  <c r="D4197" i="3"/>
  <c r="D4196" i="3"/>
  <c r="D4195" i="3"/>
  <c r="D4194" i="3"/>
  <c r="D4193" i="3"/>
  <c r="D4192" i="3"/>
  <c r="D4191" i="3"/>
  <c r="D4190" i="3"/>
  <c r="D4189" i="3"/>
  <c r="D4188" i="3"/>
  <c r="D4187" i="3"/>
  <c r="D4186" i="3"/>
  <c r="D4185" i="3"/>
  <c r="D4184" i="3"/>
  <c r="D4183" i="3"/>
  <c r="D4182" i="3"/>
  <c r="D4181" i="3"/>
  <c r="D4180" i="3"/>
  <c r="D4179" i="3"/>
  <c r="D4178" i="3"/>
  <c r="D4177" i="3"/>
  <c r="D4176" i="3"/>
  <c r="D4175" i="3"/>
  <c r="D4174" i="3"/>
  <c r="D4173" i="3"/>
  <c r="D4172" i="3"/>
  <c r="D4171" i="3"/>
  <c r="D4170" i="3"/>
  <c r="D4169" i="3"/>
  <c r="D4168" i="3"/>
  <c r="D4167" i="3"/>
  <c r="D4166" i="3"/>
  <c r="D4165" i="3"/>
  <c r="D4164" i="3"/>
  <c r="D4163" i="3"/>
  <c r="D4162" i="3"/>
  <c r="D4161" i="3"/>
  <c r="D4160" i="3"/>
  <c r="D4159" i="3"/>
  <c r="D4158" i="3"/>
  <c r="D4157" i="3"/>
  <c r="D4156" i="3"/>
  <c r="D4155" i="3"/>
  <c r="D4154" i="3"/>
  <c r="D4153" i="3"/>
  <c r="D4152" i="3"/>
  <c r="D4151" i="3"/>
  <c r="D4150" i="3"/>
  <c r="D4149" i="3"/>
  <c r="D4148" i="3"/>
  <c r="D4147" i="3"/>
  <c r="D4146" i="3"/>
  <c r="D4145" i="3"/>
  <c r="D4144" i="3"/>
  <c r="D4143" i="3"/>
  <c r="D4142" i="3"/>
  <c r="D4141" i="3"/>
  <c r="D4140" i="3"/>
  <c r="D4139" i="3"/>
  <c r="D4138" i="3"/>
  <c r="D4137" i="3"/>
  <c r="D4136" i="3"/>
  <c r="D4135" i="3"/>
  <c r="D4134" i="3"/>
  <c r="D4133" i="3"/>
  <c r="D4132" i="3"/>
  <c r="D4131" i="3"/>
  <c r="D4130" i="3"/>
  <c r="D4129" i="3"/>
  <c r="D4128" i="3"/>
  <c r="D4127" i="3"/>
  <c r="D4126" i="3"/>
  <c r="D4125" i="3"/>
  <c r="D4124" i="3"/>
  <c r="D4123" i="3"/>
  <c r="D4122" i="3"/>
  <c r="D4121" i="3"/>
  <c r="D4120" i="3"/>
  <c r="D4119" i="3"/>
  <c r="D4118" i="3"/>
  <c r="D4117" i="3"/>
  <c r="D4116" i="3"/>
  <c r="D4115" i="3"/>
  <c r="D4114" i="3"/>
  <c r="D4113" i="3"/>
  <c r="D4112" i="3"/>
  <c r="D4111" i="3"/>
  <c r="D4110" i="3"/>
  <c r="D4109" i="3"/>
  <c r="D4108" i="3"/>
  <c r="D4107" i="3"/>
  <c r="D4106" i="3"/>
  <c r="D4105" i="3"/>
  <c r="D4104" i="3"/>
  <c r="D4103" i="3"/>
  <c r="D4102" i="3"/>
  <c r="D4101" i="3"/>
  <c r="D4100" i="3"/>
  <c r="D4099" i="3"/>
  <c r="D4098" i="3"/>
  <c r="D4097" i="3"/>
  <c r="D4096" i="3"/>
  <c r="D4095" i="3"/>
  <c r="D4094" i="3"/>
  <c r="D4093" i="3"/>
  <c r="D4092" i="3"/>
  <c r="D4091" i="3"/>
  <c r="D4090" i="3"/>
  <c r="D4089" i="3"/>
  <c r="D4088" i="3"/>
  <c r="D4087" i="3"/>
  <c r="D4086" i="3"/>
  <c r="D4085" i="3"/>
  <c r="D4084" i="3"/>
  <c r="D4083" i="3"/>
  <c r="D4082" i="3"/>
  <c r="D4081" i="3"/>
  <c r="D4080" i="3"/>
  <c r="D4079" i="3"/>
  <c r="D4078" i="3"/>
  <c r="D4077" i="3"/>
  <c r="D4076" i="3"/>
  <c r="D4075" i="3"/>
  <c r="D4074" i="3"/>
  <c r="D4073" i="3"/>
  <c r="D4072" i="3"/>
  <c r="D4071" i="3"/>
  <c r="D4070" i="3"/>
  <c r="D4069" i="3"/>
  <c r="D4068" i="3"/>
  <c r="D4067" i="3"/>
  <c r="D4066" i="3"/>
  <c r="D4065" i="3"/>
  <c r="D4064" i="3"/>
  <c r="D4063" i="3"/>
  <c r="D4062" i="3"/>
  <c r="D4061" i="3"/>
  <c r="D4060" i="3"/>
  <c r="D4059" i="3"/>
  <c r="D4058" i="3"/>
  <c r="D4057" i="3"/>
  <c r="D4056" i="3"/>
  <c r="D4055" i="3"/>
  <c r="D4054" i="3"/>
  <c r="D4053" i="3"/>
  <c r="D4052" i="3"/>
  <c r="D4051" i="3"/>
  <c r="D4050" i="3"/>
  <c r="D4049" i="3"/>
  <c r="D4048" i="3"/>
  <c r="D4047" i="3"/>
  <c r="D4046" i="3"/>
  <c r="D4045" i="3"/>
  <c r="D4044" i="3"/>
  <c r="D4043" i="3"/>
  <c r="D4042" i="3"/>
  <c r="D4041" i="3"/>
  <c r="D4040" i="3"/>
  <c r="D4039" i="3"/>
  <c r="D4038" i="3"/>
  <c r="D4037" i="3"/>
  <c r="D4036" i="3"/>
  <c r="D4035" i="3"/>
  <c r="D4034" i="3"/>
  <c r="D4033" i="3"/>
  <c r="D4032" i="3"/>
  <c r="D4031" i="3"/>
  <c r="D4030" i="3"/>
  <c r="D4029" i="3"/>
  <c r="D4028" i="3"/>
  <c r="D4027" i="3"/>
  <c r="D4026" i="3"/>
  <c r="D4025" i="3"/>
  <c r="D4024" i="3"/>
  <c r="D4023" i="3"/>
  <c r="D4022" i="3"/>
  <c r="D4021" i="3"/>
  <c r="D4020" i="3"/>
  <c r="D4019" i="3"/>
  <c r="D4018" i="3"/>
  <c r="D4017" i="3"/>
  <c r="D4016" i="3"/>
  <c r="D4015" i="3"/>
  <c r="D4014" i="3"/>
  <c r="D4013" i="3"/>
  <c r="D4012" i="3"/>
  <c r="D4011" i="3"/>
  <c r="D4010" i="3"/>
  <c r="D4009" i="3"/>
  <c r="D4008" i="3"/>
  <c r="D4007" i="3"/>
  <c r="D4006" i="3"/>
  <c r="D4005" i="3"/>
  <c r="D4004" i="3"/>
  <c r="D4003" i="3"/>
  <c r="D4002" i="3"/>
  <c r="D4001" i="3"/>
  <c r="D4000" i="3"/>
  <c r="D3999" i="3"/>
  <c r="D3998" i="3"/>
  <c r="D3997" i="3"/>
  <c r="D3996" i="3"/>
  <c r="D3995" i="3"/>
  <c r="D3994" i="3"/>
  <c r="D3993" i="3"/>
  <c r="D3992" i="3"/>
  <c r="D3991" i="3"/>
  <c r="D3990" i="3"/>
  <c r="D3989" i="3"/>
  <c r="D3988" i="3"/>
  <c r="D3987" i="3"/>
  <c r="D3986" i="3"/>
  <c r="D3985" i="3"/>
  <c r="D3984" i="3"/>
  <c r="D3983" i="3"/>
  <c r="D3982" i="3"/>
  <c r="D3981" i="3"/>
  <c r="D3980" i="3"/>
  <c r="D3979" i="3"/>
  <c r="D3978" i="3"/>
  <c r="D3977" i="3"/>
  <c r="D3976" i="3"/>
  <c r="D3975" i="3"/>
  <c r="D3974" i="3"/>
  <c r="D3973" i="3"/>
  <c r="D3972" i="3"/>
  <c r="D3971" i="3"/>
  <c r="D3970" i="3"/>
  <c r="D3969" i="3"/>
  <c r="D3968" i="3"/>
  <c r="D3967" i="3"/>
  <c r="D3966" i="3"/>
  <c r="D3965" i="3"/>
  <c r="D3964" i="3"/>
  <c r="D3963" i="3"/>
  <c r="D3962" i="3"/>
  <c r="D3961" i="3"/>
  <c r="D3960" i="3"/>
  <c r="D3959" i="3"/>
  <c r="D3958" i="3"/>
  <c r="D3957" i="3"/>
  <c r="D3956" i="3"/>
  <c r="D3955" i="3"/>
  <c r="D3954" i="3"/>
  <c r="D3953" i="3"/>
  <c r="D3952" i="3"/>
  <c r="D3951" i="3"/>
  <c r="D3950" i="3"/>
  <c r="D3949" i="3"/>
  <c r="D3948" i="3"/>
  <c r="D3947" i="3"/>
  <c r="D3946" i="3"/>
  <c r="D3945" i="3"/>
  <c r="D3944" i="3"/>
  <c r="D3943" i="3"/>
  <c r="D3942" i="3"/>
  <c r="D3941" i="3"/>
  <c r="D3940" i="3"/>
  <c r="D3939" i="3"/>
  <c r="D3938" i="3"/>
  <c r="D3937" i="3"/>
  <c r="D3936" i="3"/>
  <c r="D3935" i="3"/>
  <c r="D3934" i="3"/>
  <c r="D3933" i="3"/>
  <c r="D3932" i="3"/>
  <c r="D3931" i="3"/>
  <c r="D3930" i="3"/>
  <c r="D3929" i="3"/>
  <c r="D3928" i="3"/>
  <c r="D3927" i="3"/>
  <c r="D3926" i="3"/>
  <c r="D3925" i="3"/>
  <c r="D3924" i="3"/>
  <c r="D3923" i="3"/>
  <c r="D3922" i="3"/>
  <c r="D3921" i="3"/>
  <c r="D3920" i="3"/>
  <c r="D3919" i="3"/>
  <c r="D3918" i="3"/>
  <c r="D3917" i="3"/>
  <c r="D3916" i="3"/>
  <c r="D3915" i="3"/>
  <c r="D3914" i="3"/>
  <c r="D3913" i="3"/>
  <c r="D3912" i="3"/>
  <c r="D3911" i="3"/>
  <c r="D3910" i="3"/>
  <c r="D3909" i="3"/>
  <c r="D3908" i="3"/>
  <c r="D3907" i="3"/>
  <c r="D3906" i="3"/>
  <c r="D3905" i="3"/>
  <c r="D3904" i="3"/>
  <c r="D3903" i="3"/>
  <c r="D3902" i="3"/>
  <c r="D3901" i="3"/>
  <c r="D3900" i="3"/>
  <c r="D3899" i="3"/>
  <c r="D3898" i="3"/>
  <c r="D3897" i="3"/>
  <c r="D3896" i="3"/>
  <c r="D3895" i="3"/>
  <c r="D3894" i="3"/>
  <c r="D3893" i="3"/>
  <c r="D3892" i="3"/>
  <c r="D3891" i="3"/>
  <c r="D3890" i="3"/>
  <c r="D3889" i="3"/>
  <c r="D3888" i="3"/>
  <c r="D3887" i="3"/>
  <c r="D3886" i="3"/>
  <c r="D3885" i="3"/>
  <c r="D3884" i="3"/>
  <c r="D3883" i="3"/>
  <c r="D3882" i="3"/>
  <c r="D3881" i="3"/>
  <c r="D3880" i="3"/>
  <c r="D3879" i="3"/>
  <c r="D3878" i="3"/>
  <c r="D3877" i="3"/>
  <c r="D3876" i="3"/>
  <c r="D3875" i="3"/>
  <c r="D3874" i="3"/>
  <c r="D3873" i="3"/>
  <c r="D3872" i="3"/>
  <c r="D3871" i="3"/>
  <c r="D3870" i="3"/>
  <c r="D3869" i="3"/>
  <c r="D3868" i="3"/>
  <c r="D3867" i="3"/>
  <c r="D3866" i="3"/>
  <c r="D3865" i="3"/>
  <c r="D3864" i="3"/>
  <c r="D3863" i="3"/>
  <c r="D3862" i="3"/>
  <c r="D3861" i="3"/>
  <c r="D3860" i="3"/>
  <c r="D3859" i="3"/>
  <c r="D3858" i="3"/>
  <c r="D3857" i="3"/>
  <c r="D3856" i="3"/>
  <c r="D3855" i="3"/>
  <c r="D3854" i="3"/>
  <c r="D3853" i="3"/>
  <c r="D3852" i="3"/>
  <c r="D3851" i="3"/>
  <c r="D3850" i="3"/>
  <c r="D3849" i="3"/>
  <c r="D3848" i="3"/>
  <c r="D3847" i="3"/>
  <c r="D3846" i="3"/>
  <c r="D3845" i="3"/>
  <c r="D3844" i="3"/>
  <c r="D3843" i="3"/>
  <c r="D3842" i="3"/>
  <c r="D3841" i="3"/>
  <c r="D3840" i="3"/>
  <c r="D3839" i="3"/>
  <c r="D3838" i="3"/>
  <c r="D3837" i="3"/>
  <c r="D3836" i="3"/>
  <c r="D3835" i="3"/>
  <c r="D3834" i="3"/>
  <c r="D3833" i="3"/>
  <c r="D3832" i="3"/>
  <c r="D3831" i="3"/>
  <c r="D3830" i="3"/>
  <c r="D3829" i="3"/>
  <c r="D3828" i="3"/>
  <c r="D3827" i="3"/>
  <c r="D3826" i="3"/>
  <c r="D3825" i="3"/>
  <c r="D3824" i="3"/>
  <c r="D3823" i="3"/>
  <c r="D3822" i="3"/>
  <c r="D3821" i="3"/>
  <c r="D3820" i="3"/>
  <c r="D3819" i="3"/>
  <c r="D3818" i="3"/>
  <c r="D3817" i="3"/>
  <c r="D3816" i="3"/>
  <c r="D3815" i="3"/>
  <c r="D3814" i="3"/>
  <c r="D3813" i="3"/>
  <c r="D3812" i="3"/>
  <c r="D3811" i="3"/>
  <c r="D3810" i="3"/>
  <c r="D3809" i="3"/>
  <c r="D3808" i="3"/>
  <c r="D3807" i="3"/>
  <c r="D3806" i="3"/>
  <c r="D3805" i="3"/>
  <c r="D3804" i="3"/>
  <c r="D3803" i="3"/>
  <c r="D3802" i="3"/>
  <c r="D3801" i="3"/>
  <c r="D3800" i="3"/>
  <c r="D3799" i="3"/>
  <c r="D3798" i="3"/>
  <c r="D3797" i="3"/>
  <c r="D3796" i="3"/>
  <c r="D3795" i="3"/>
  <c r="D3794" i="3"/>
  <c r="D3793" i="3"/>
  <c r="D3792" i="3"/>
  <c r="D3791" i="3"/>
  <c r="D3790" i="3"/>
  <c r="D3789" i="3"/>
  <c r="D3788" i="3"/>
  <c r="D3787" i="3"/>
  <c r="D3786" i="3"/>
  <c r="D3785" i="3"/>
  <c r="D3784" i="3"/>
  <c r="D3783" i="3"/>
  <c r="D3782" i="3"/>
  <c r="D3781" i="3"/>
  <c r="D3780" i="3"/>
  <c r="D3779" i="3"/>
  <c r="D3778" i="3"/>
  <c r="D3777" i="3"/>
  <c r="D3776" i="3"/>
  <c r="D3775" i="3"/>
  <c r="D3774" i="3"/>
  <c r="D3773" i="3"/>
  <c r="D3772" i="3"/>
  <c r="D3771" i="3"/>
  <c r="D3770" i="3"/>
  <c r="D3769" i="3"/>
  <c r="D3768" i="3"/>
  <c r="D3767" i="3"/>
  <c r="D3766" i="3"/>
  <c r="D3765" i="3"/>
  <c r="D3764" i="3"/>
  <c r="D3763" i="3"/>
  <c r="D3762" i="3"/>
  <c r="D3761" i="3"/>
  <c r="D3760" i="3"/>
  <c r="D3759" i="3"/>
  <c r="D3758" i="3"/>
  <c r="D3757" i="3"/>
  <c r="D3756" i="3"/>
  <c r="D3755" i="3"/>
  <c r="D3754" i="3"/>
  <c r="D3753" i="3"/>
  <c r="D3752" i="3"/>
  <c r="D3751" i="3"/>
  <c r="D3750" i="3"/>
  <c r="D3749" i="3"/>
  <c r="D3748" i="3"/>
  <c r="D3747" i="3"/>
  <c r="D3746" i="3"/>
  <c r="D3745" i="3"/>
  <c r="D3744" i="3"/>
  <c r="D3743" i="3"/>
  <c r="D3742" i="3"/>
  <c r="D3741" i="3"/>
  <c r="D3740" i="3"/>
  <c r="D3739" i="3"/>
  <c r="D3738" i="3"/>
  <c r="D3737" i="3"/>
  <c r="D3736" i="3"/>
  <c r="D3735" i="3"/>
  <c r="D3734" i="3"/>
  <c r="D3733" i="3"/>
  <c r="D3732" i="3"/>
  <c r="D3731" i="3"/>
  <c r="D3730" i="3"/>
  <c r="D3729" i="3"/>
  <c r="D3728" i="3"/>
  <c r="D3727" i="3"/>
  <c r="D3726" i="3"/>
  <c r="D3725" i="3"/>
  <c r="D3724" i="3"/>
  <c r="D3723" i="3"/>
  <c r="D3722" i="3"/>
  <c r="D3721" i="3"/>
  <c r="D3720" i="3"/>
  <c r="D3719" i="3"/>
  <c r="D3718" i="3"/>
  <c r="D3717" i="3"/>
  <c r="D3716" i="3"/>
  <c r="D3715" i="3"/>
  <c r="D3714" i="3"/>
  <c r="D3713" i="3"/>
  <c r="D3712" i="3"/>
  <c r="D3711" i="3"/>
  <c r="D3710" i="3"/>
  <c r="D3709" i="3"/>
  <c r="D3708" i="3"/>
  <c r="D3707" i="3"/>
  <c r="D3706" i="3"/>
  <c r="D3705" i="3"/>
  <c r="D3704" i="3"/>
  <c r="D3703" i="3"/>
  <c r="D3702" i="3"/>
  <c r="D3701" i="3"/>
  <c r="D3700" i="3"/>
  <c r="D3699" i="3"/>
  <c r="D3698" i="3"/>
  <c r="D3697" i="3"/>
  <c r="D3696" i="3"/>
  <c r="D3695" i="3"/>
  <c r="D3694" i="3"/>
  <c r="D3693" i="3"/>
  <c r="D3692" i="3"/>
  <c r="D3691" i="3"/>
  <c r="D3690" i="3"/>
  <c r="D3689" i="3"/>
  <c r="D3688" i="3"/>
  <c r="D3687" i="3"/>
  <c r="D3686" i="3"/>
  <c r="D3685" i="3"/>
  <c r="D3684" i="3"/>
  <c r="D3683" i="3"/>
  <c r="D3682" i="3"/>
  <c r="D3681" i="3"/>
  <c r="D3680" i="3"/>
  <c r="D3679" i="3"/>
  <c r="D3678" i="3"/>
  <c r="D3677" i="3"/>
  <c r="D3676" i="3"/>
  <c r="D3675" i="3"/>
  <c r="D3674" i="3"/>
  <c r="D3673" i="3"/>
  <c r="D3672" i="3"/>
  <c r="D3671" i="3"/>
  <c r="D3670" i="3"/>
  <c r="D3669" i="3"/>
  <c r="D3668" i="3"/>
  <c r="D3667" i="3"/>
  <c r="D3666" i="3"/>
  <c r="D3665" i="3"/>
  <c r="D3664" i="3"/>
  <c r="D3663" i="3"/>
  <c r="D3662" i="3"/>
  <c r="D3661" i="3"/>
  <c r="D3660" i="3"/>
  <c r="D3659" i="3"/>
  <c r="D3658" i="3"/>
  <c r="D3657" i="3"/>
  <c r="D3656" i="3"/>
  <c r="D3655" i="3"/>
  <c r="D3654" i="3"/>
  <c r="D3653" i="3"/>
  <c r="D3652" i="3"/>
  <c r="D3651" i="3"/>
  <c r="D3650" i="3"/>
  <c r="D3649" i="3"/>
  <c r="D3648" i="3"/>
  <c r="D3647" i="3"/>
  <c r="D3646" i="3"/>
  <c r="D3645" i="3"/>
  <c r="D3644" i="3"/>
  <c r="D3643" i="3"/>
  <c r="D3642" i="3"/>
  <c r="D3641" i="3"/>
  <c r="D3640" i="3"/>
  <c r="D3639" i="3"/>
  <c r="D3638" i="3"/>
  <c r="D3637" i="3"/>
  <c r="D3636" i="3"/>
  <c r="D3635" i="3"/>
  <c r="D3634" i="3"/>
  <c r="D3633" i="3"/>
  <c r="D3632" i="3"/>
  <c r="D3631" i="3"/>
  <c r="D3630" i="3"/>
  <c r="D3629" i="3"/>
  <c r="D3628" i="3"/>
  <c r="D3627" i="3"/>
  <c r="D3626" i="3"/>
  <c r="D3625" i="3"/>
  <c r="D3624" i="3"/>
  <c r="D3623" i="3"/>
  <c r="D3622" i="3"/>
  <c r="D3621" i="3"/>
  <c r="D3620" i="3"/>
  <c r="D3619" i="3"/>
  <c r="D3618" i="3"/>
  <c r="D3617" i="3"/>
  <c r="D3616" i="3"/>
  <c r="D3615" i="3"/>
  <c r="D3614" i="3"/>
  <c r="D3613" i="3"/>
  <c r="D3612" i="3"/>
  <c r="D3611" i="3"/>
  <c r="D3610" i="3"/>
  <c r="D3609" i="3"/>
  <c r="D3608" i="3"/>
  <c r="D3607" i="3"/>
  <c r="D3606" i="3"/>
  <c r="D3605" i="3"/>
  <c r="D3604" i="3"/>
  <c r="D3603" i="3"/>
  <c r="D3602" i="3"/>
  <c r="D3601" i="3"/>
  <c r="D3600" i="3"/>
  <c r="D3599" i="3"/>
  <c r="D3598" i="3"/>
  <c r="D3597" i="3"/>
  <c r="D3596" i="3"/>
  <c r="D3595" i="3"/>
  <c r="D3594" i="3"/>
  <c r="D3593" i="3"/>
  <c r="D3592" i="3"/>
  <c r="D3591" i="3"/>
  <c r="D3590" i="3"/>
  <c r="D3589" i="3"/>
  <c r="D3588" i="3"/>
  <c r="D3587" i="3"/>
  <c r="D3586" i="3"/>
  <c r="D3585" i="3"/>
  <c r="D3584" i="3"/>
  <c r="D3583" i="3"/>
  <c r="D3582" i="3"/>
  <c r="D3581" i="3"/>
  <c r="D3580" i="3"/>
  <c r="D3579" i="3"/>
  <c r="D3578" i="3"/>
  <c r="D3577" i="3"/>
  <c r="D3576" i="3"/>
  <c r="D3575" i="3"/>
  <c r="D3574" i="3"/>
  <c r="D3573" i="3"/>
  <c r="D3572" i="3"/>
  <c r="D3571" i="3"/>
  <c r="D3570" i="3"/>
  <c r="D3569" i="3"/>
  <c r="D3568" i="3"/>
  <c r="D3567" i="3"/>
  <c r="D3566" i="3"/>
  <c r="D3565" i="3"/>
  <c r="D3564" i="3"/>
  <c r="D3563" i="3"/>
  <c r="D3562" i="3"/>
  <c r="D3561" i="3"/>
  <c r="D3560" i="3"/>
  <c r="D3559" i="3"/>
  <c r="D3558" i="3"/>
  <c r="D3557" i="3"/>
  <c r="D3556" i="3"/>
  <c r="D3555" i="3"/>
  <c r="D3554" i="3"/>
  <c r="D3553" i="3"/>
  <c r="D3552" i="3"/>
  <c r="D3551" i="3"/>
  <c r="D3550" i="3"/>
  <c r="D3549" i="3"/>
  <c r="D3548" i="3"/>
  <c r="D3547" i="3"/>
  <c r="D3546" i="3"/>
  <c r="D3545" i="3"/>
  <c r="D3544" i="3"/>
  <c r="D3543" i="3"/>
  <c r="D3542" i="3"/>
  <c r="D3541" i="3"/>
  <c r="D3540" i="3"/>
  <c r="D3539" i="3"/>
  <c r="D3538" i="3"/>
  <c r="D3537" i="3"/>
  <c r="D3536" i="3"/>
  <c r="D3535" i="3"/>
  <c r="D3534" i="3"/>
  <c r="D3533" i="3"/>
  <c r="D3532" i="3"/>
  <c r="D3531" i="3"/>
  <c r="D3530" i="3"/>
  <c r="D3529" i="3"/>
  <c r="D3528" i="3"/>
  <c r="D3527" i="3"/>
  <c r="D3526" i="3"/>
  <c r="D3525" i="3"/>
  <c r="D3524" i="3"/>
  <c r="D3523" i="3"/>
  <c r="D3522" i="3"/>
  <c r="D3521" i="3"/>
  <c r="D3520" i="3"/>
  <c r="D3519" i="3"/>
  <c r="D3518" i="3"/>
  <c r="D3517" i="3"/>
  <c r="D3516" i="3"/>
  <c r="D3515" i="3"/>
  <c r="D3514" i="3"/>
  <c r="D3513" i="3"/>
  <c r="D3512" i="3"/>
  <c r="D3511" i="3"/>
  <c r="D3510" i="3"/>
  <c r="D3509" i="3"/>
  <c r="D3508" i="3"/>
  <c r="D3507" i="3"/>
  <c r="D3506" i="3"/>
  <c r="D3505" i="3"/>
  <c r="D3504" i="3"/>
  <c r="D3503" i="3"/>
  <c r="D3502" i="3"/>
  <c r="D3501" i="3"/>
  <c r="D3500" i="3"/>
  <c r="D3499" i="3"/>
  <c r="D3498" i="3"/>
  <c r="D3497" i="3"/>
  <c r="D3496" i="3"/>
  <c r="D3495" i="3"/>
  <c r="D3494" i="3"/>
  <c r="D3493" i="3"/>
  <c r="D3492" i="3"/>
  <c r="D3491" i="3"/>
  <c r="D3490" i="3"/>
  <c r="D3489" i="3"/>
  <c r="D3488" i="3"/>
  <c r="D3487" i="3"/>
  <c r="D3486" i="3"/>
  <c r="D3485" i="3"/>
  <c r="D3484" i="3"/>
  <c r="D3483" i="3"/>
  <c r="D3482" i="3"/>
  <c r="D3481" i="3"/>
  <c r="D3480" i="3"/>
  <c r="D3479" i="3"/>
  <c r="D3478" i="3"/>
  <c r="D3477" i="3"/>
  <c r="D3476" i="3"/>
  <c r="D3475" i="3"/>
  <c r="D3474" i="3"/>
  <c r="D3473" i="3"/>
  <c r="D3472" i="3"/>
  <c r="D3471" i="3"/>
  <c r="D3470" i="3"/>
  <c r="D3469" i="3"/>
  <c r="D3468" i="3"/>
  <c r="D3467" i="3"/>
  <c r="D3466" i="3"/>
  <c r="D3465" i="3"/>
  <c r="D3464" i="3"/>
  <c r="D3463" i="3"/>
  <c r="D3462" i="3"/>
  <c r="D3461" i="3"/>
  <c r="D3460" i="3"/>
  <c r="D3459" i="3"/>
  <c r="D3458" i="3"/>
  <c r="D3457" i="3"/>
  <c r="D3456" i="3"/>
  <c r="D3455" i="3"/>
  <c r="D3454" i="3"/>
  <c r="D3453" i="3"/>
  <c r="D3452" i="3"/>
  <c r="D3451" i="3"/>
  <c r="D3450" i="3"/>
  <c r="D3449" i="3"/>
  <c r="D3448" i="3"/>
  <c r="D3447" i="3"/>
  <c r="D3446" i="3"/>
  <c r="D3445" i="3"/>
  <c r="D3444" i="3"/>
  <c r="D3443" i="3"/>
  <c r="D3442" i="3"/>
  <c r="D3441" i="3"/>
  <c r="D3440" i="3"/>
  <c r="D3439" i="3"/>
  <c r="D3438" i="3"/>
  <c r="D3437" i="3"/>
  <c r="D3436" i="3"/>
  <c r="D3435" i="3"/>
  <c r="D3434" i="3"/>
  <c r="D3433" i="3"/>
  <c r="D3432" i="3"/>
  <c r="D3431" i="3"/>
  <c r="D3430" i="3"/>
  <c r="D3429" i="3"/>
  <c r="D3428" i="3"/>
  <c r="D3427" i="3"/>
  <c r="D3426" i="3"/>
  <c r="D3425" i="3"/>
  <c r="D3424" i="3"/>
  <c r="D3423" i="3"/>
  <c r="D3422" i="3"/>
  <c r="D3421" i="3"/>
  <c r="D3420" i="3"/>
  <c r="D3419" i="3"/>
  <c r="D3418" i="3"/>
  <c r="D3417" i="3"/>
  <c r="D3416" i="3"/>
  <c r="D3415" i="3"/>
  <c r="D3414" i="3"/>
  <c r="D3413" i="3"/>
  <c r="D3412" i="3"/>
  <c r="D3411" i="3"/>
  <c r="D3410" i="3"/>
  <c r="D3409" i="3"/>
  <c r="D3408" i="3"/>
  <c r="D3407" i="3"/>
  <c r="D3406" i="3"/>
  <c r="D3405" i="3"/>
  <c r="D3404" i="3"/>
  <c r="D3403" i="3"/>
  <c r="D3402" i="3"/>
  <c r="D3401" i="3"/>
  <c r="D3400" i="3"/>
  <c r="D3399" i="3"/>
  <c r="D3398" i="3"/>
  <c r="D3397" i="3"/>
  <c r="D3396" i="3"/>
  <c r="D3395" i="3"/>
  <c r="D3394" i="3"/>
  <c r="D3393" i="3"/>
  <c r="D3392" i="3"/>
  <c r="D3391" i="3"/>
  <c r="D3390" i="3"/>
  <c r="D3389" i="3"/>
  <c r="D3388" i="3"/>
  <c r="D3387" i="3"/>
  <c r="D3386" i="3"/>
  <c r="D3385" i="3"/>
  <c r="D3384" i="3"/>
  <c r="D3383" i="3"/>
  <c r="D3382" i="3"/>
  <c r="D3381" i="3"/>
  <c r="D3380" i="3"/>
  <c r="D3379" i="3"/>
  <c r="D3378" i="3"/>
  <c r="D3377" i="3"/>
  <c r="D3376" i="3"/>
  <c r="D3375" i="3"/>
  <c r="D3374" i="3"/>
  <c r="D3373" i="3"/>
  <c r="D3372" i="3"/>
  <c r="D3371" i="3"/>
  <c r="D3370" i="3"/>
  <c r="D3369" i="3"/>
  <c r="D3368" i="3"/>
  <c r="D3367" i="3"/>
  <c r="D3366" i="3"/>
  <c r="D3365" i="3"/>
  <c r="D3364" i="3"/>
  <c r="D3363" i="3"/>
  <c r="D3362" i="3"/>
  <c r="D3361" i="3"/>
  <c r="D3360" i="3"/>
  <c r="D3359" i="3"/>
  <c r="D3358" i="3"/>
  <c r="D3357" i="3"/>
  <c r="D3356" i="3"/>
  <c r="D3355" i="3"/>
  <c r="D3354" i="3"/>
  <c r="D3353" i="3"/>
  <c r="D3352" i="3"/>
  <c r="D3351" i="3"/>
  <c r="D3350" i="3"/>
  <c r="D3349" i="3"/>
  <c r="D3348" i="3"/>
  <c r="D3347" i="3"/>
  <c r="D3346" i="3"/>
  <c r="D3345" i="3"/>
  <c r="D3344" i="3"/>
  <c r="D3343" i="3"/>
  <c r="D3342" i="3"/>
  <c r="D3341" i="3"/>
  <c r="D3340" i="3"/>
  <c r="D3339" i="3"/>
  <c r="D3338" i="3"/>
  <c r="D3337" i="3"/>
  <c r="D3336" i="3"/>
  <c r="D3335" i="3"/>
  <c r="D3334" i="3"/>
  <c r="D3333" i="3"/>
  <c r="D3332" i="3"/>
  <c r="D3331" i="3"/>
  <c r="D3330" i="3"/>
  <c r="D3329" i="3"/>
  <c r="D3328" i="3"/>
  <c r="D3327" i="3"/>
  <c r="D3326" i="3"/>
  <c r="D3325" i="3"/>
  <c r="D3324" i="3"/>
  <c r="D3323" i="3"/>
  <c r="D3322" i="3"/>
  <c r="D3321" i="3"/>
  <c r="D3320" i="3"/>
  <c r="D3319" i="3"/>
  <c r="D3318" i="3"/>
  <c r="D3317" i="3"/>
  <c r="D3316" i="3"/>
  <c r="D3315" i="3"/>
  <c r="D3314" i="3"/>
  <c r="D3313" i="3"/>
  <c r="D3312" i="3"/>
  <c r="D3311" i="3"/>
  <c r="D3310" i="3"/>
  <c r="D3309" i="3"/>
  <c r="D3308" i="3"/>
  <c r="D3307" i="3"/>
  <c r="D3306" i="3"/>
  <c r="D3305" i="3"/>
  <c r="D3304" i="3"/>
  <c r="D3303" i="3"/>
  <c r="D3302" i="3"/>
  <c r="D3301" i="3"/>
  <c r="D3300" i="3"/>
  <c r="D3299" i="3"/>
  <c r="D3298" i="3"/>
  <c r="D3297" i="3"/>
  <c r="D3296" i="3"/>
  <c r="D3295" i="3"/>
  <c r="D3294" i="3"/>
  <c r="D3293" i="3"/>
  <c r="D3292" i="3"/>
  <c r="D3291" i="3"/>
  <c r="D3290" i="3"/>
  <c r="D3289" i="3"/>
  <c r="D3288" i="3"/>
  <c r="D3287" i="3"/>
  <c r="D3286" i="3"/>
  <c r="D3285" i="3"/>
  <c r="D3284" i="3"/>
  <c r="D3283" i="3"/>
  <c r="D3282" i="3"/>
  <c r="D3281" i="3"/>
  <c r="D3280" i="3"/>
  <c r="D3279" i="3"/>
  <c r="D3278" i="3"/>
  <c r="D3277" i="3"/>
  <c r="D3276" i="3"/>
  <c r="D3275" i="3"/>
  <c r="D3274" i="3"/>
  <c r="D3273" i="3"/>
  <c r="D3272" i="3"/>
  <c r="D3271" i="3"/>
  <c r="D3270" i="3"/>
  <c r="D3269" i="3"/>
  <c r="D3268" i="3"/>
  <c r="D3267" i="3"/>
  <c r="D3266" i="3"/>
  <c r="D3265" i="3"/>
  <c r="D3264" i="3"/>
  <c r="D3263" i="3"/>
  <c r="D3262" i="3"/>
  <c r="D3261" i="3"/>
  <c r="D3260" i="3"/>
  <c r="D3259" i="3"/>
  <c r="D3258" i="3"/>
  <c r="D3257" i="3"/>
  <c r="D3256" i="3"/>
  <c r="D3255" i="3"/>
  <c r="D3254" i="3"/>
  <c r="D3253" i="3"/>
  <c r="D3252" i="3"/>
  <c r="D3251" i="3"/>
  <c r="D3250" i="3"/>
  <c r="D3249" i="3"/>
  <c r="D3248" i="3"/>
  <c r="D3247" i="3"/>
  <c r="D3246" i="3"/>
  <c r="D3245" i="3"/>
  <c r="D3244" i="3"/>
  <c r="D3243" i="3"/>
  <c r="D3242" i="3"/>
  <c r="D3241" i="3"/>
  <c r="D3240" i="3"/>
  <c r="D3239" i="3"/>
  <c r="D3238" i="3"/>
  <c r="D3237" i="3"/>
  <c r="D3236" i="3"/>
  <c r="D3235" i="3"/>
  <c r="D3234" i="3"/>
  <c r="D3233" i="3"/>
  <c r="D3232" i="3"/>
  <c r="D3231" i="3"/>
  <c r="D3230" i="3"/>
  <c r="D3229" i="3"/>
  <c r="D3228" i="3"/>
  <c r="D3227" i="3"/>
  <c r="D3226" i="3"/>
  <c r="D3225" i="3"/>
  <c r="D3224" i="3"/>
  <c r="D3223" i="3"/>
  <c r="D3222" i="3"/>
  <c r="D3221" i="3"/>
  <c r="D3220" i="3"/>
  <c r="D3219" i="3"/>
  <c r="D3218" i="3"/>
  <c r="D3217" i="3"/>
  <c r="D3216" i="3"/>
  <c r="D3215" i="3"/>
  <c r="D3214" i="3"/>
  <c r="D3213" i="3"/>
  <c r="D3212" i="3"/>
  <c r="D3211" i="3"/>
  <c r="D3210" i="3"/>
  <c r="D3209" i="3"/>
  <c r="D3208" i="3"/>
  <c r="D3207" i="3"/>
  <c r="D3206" i="3"/>
  <c r="D3205" i="3"/>
  <c r="D3204" i="3"/>
  <c r="D3203" i="3"/>
  <c r="D3202" i="3"/>
  <c r="D3201" i="3"/>
  <c r="D3200" i="3"/>
  <c r="D3199" i="3"/>
  <c r="D3198" i="3"/>
  <c r="D3197" i="3"/>
  <c r="D3196" i="3"/>
  <c r="D3195" i="3"/>
  <c r="D3194" i="3"/>
  <c r="D3193" i="3"/>
  <c r="D3192" i="3"/>
  <c r="D3191" i="3"/>
  <c r="D3190" i="3"/>
  <c r="D3189" i="3"/>
  <c r="D3188" i="3"/>
  <c r="D3187" i="3"/>
  <c r="D3186" i="3"/>
  <c r="D3185" i="3"/>
  <c r="D3184" i="3"/>
  <c r="D3183" i="3"/>
  <c r="D3182" i="3"/>
  <c r="D3181" i="3"/>
  <c r="D3180" i="3"/>
  <c r="D3179" i="3"/>
  <c r="D3178" i="3"/>
  <c r="D3177" i="3"/>
  <c r="D3176" i="3"/>
  <c r="D3175" i="3"/>
  <c r="D3174" i="3"/>
  <c r="D3173" i="3"/>
  <c r="D3172" i="3"/>
  <c r="D3171" i="3"/>
  <c r="D3170" i="3"/>
  <c r="D3169" i="3"/>
  <c r="D3168" i="3"/>
  <c r="D3167" i="3"/>
  <c r="D3166" i="3"/>
  <c r="D3165" i="3"/>
  <c r="D3164" i="3"/>
  <c r="D3163" i="3"/>
  <c r="D3162" i="3"/>
  <c r="D3161" i="3"/>
  <c r="D3160" i="3"/>
  <c r="D3159" i="3"/>
  <c r="D3158" i="3"/>
  <c r="D3157" i="3"/>
  <c r="D3156" i="3"/>
  <c r="D3155" i="3"/>
  <c r="D3154" i="3"/>
  <c r="D3153" i="3"/>
  <c r="D3152" i="3"/>
  <c r="D3151" i="3"/>
  <c r="D3150" i="3"/>
  <c r="D3149" i="3"/>
  <c r="D3148" i="3"/>
  <c r="D3147" i="3"/>
  <c r="D3146" i="3"/>
  <c r="D3145" i="3"/>
  <c r="D3144" i="3"/>
  <c r="D3143" i="3"/>
  <c r="D3142" i="3"/>
  <c r="D3141" i="3"/>
  <c r="D3140" i="3"/>
  <c r="D3139" i="3"/>
  <c r="D3138" i="3"/>
  <c r="D3137" i="3"/>
  <c r="D3136" i="3"/>
  <c r="D3135" i="3"/>
  <c r="D3134" i="3"/>
  <c r="D3133" i="3"/>
  <c r="D3132" i="3"/>
  <c r="D3131" i="3"/>
  <c r="D3130" i="3"/>
  <c r="D3129" i="3"/>
  <c r="D3128" i="3"/>
  <c r="D3127" i="3"/>
  <c r="D3126" i="3"/>
  <c r="D3125" i="3"/>
  <c r="D3124" i="3"/>
  <c r="D3123" i="3"/>
  <c r="D3122" i="3"/>
  <c r="D3121" i="3"/>
  <c r="D3120" i="3"/>
  <c r="D3119" i="3"/>
  <c r="D3118" i="3"/>
  <c r="D3117" i="3"/>
  <c r="D3116" i="3"/>
  <c r="D3115" i="3"/>
  <c r="D3114" i="3"/>
  <c r="D3113" i="3"/>
  <c r="D3112" i="3"/>
  <c r="D3111" i="3"/>
  <c r="D3110" i="3"/>
  <c r="D3109" i="3"/>
  <c r="D3108" i="3"/>
  <c r="D3107" i="3"/>
  <c r="D3106" i="3"/>
  <c r="D3105" i="3"/>
  <c r="D3104" i="3"/>
  <c r="D3103" i="3"/>
  <c r="D3102" i="3"/>
  <c r="D3101" i="3"/>
  <c r="D3100" i="3"/>
  <c r="D3099" i="3"/>
  <c r="D3098" i="3"/>
  <c r="D3097" i="3"/>
  <c r="D3096" i="3"/>
  <c r="D3095" i="3"/>
  <c r="D3094" i="3"/>
  <c r="D3093" i="3"/>
  <c r="D3092" i="3"/>
  <c r="D3091" i="3"/>
  <c r="D3090" i="3"/>
  <c r="D3089" i="3"/>
  <c r="D3088" i="3"/>
  <c r="D3087" i="3"/>
  <c r="D3086" i="3"/>
  <c r="D3085" i="3"/>
  <c r="D3084" i="3"/>
  <c r="D3083" i="3"/>
  <c r="D3082" i="3"/>
  <c r="D3081" i="3"/>
  <c r="D3080" i="3"/>
  <c r="D3079" i="3"/>
  <c r="D3078" i="3"/>
  <c r="D3077" i="3"/>
  <c r="D3076" i="3"/>
  <c r="D3075" i="3"/>
  <c r="D3074" i="3"/>
  <c r="D3073" i="3"/>
  <c r="D3072" i="3"/>
  <c r="D3071" i="3"/>
  <c r="D3070" i="3"/>
  <c r="D3069" i="3"/>
  <c r="D3068" i="3"/>
  <c r="D3067" i="3"/>
  <c r="D3066" i="3"/>
  <c r="D3065" i="3"/>
  <c r="D3064" i="3"/>
  <c r="D3063" i="3"/>
  <c r="D3062" i="3"/>
  <c r="D3061" i="3"/>
  <c r="D3060" i="3"/>
  <c r="D3059" i="3"/>
  <c r="D3058" i="3"/>
  <c r="D3057" i="3"/>
  <c r="D3056" i="3"/>
  <c r="D3055" i="3"/>
  <c r="D3054" i="3"/>
  <c r="D3053" i="3"/>
  <c r="D3052" i="3"/>
  <c r="D3051" i="3"/>
  <c r="D3050" i="3"/>
  <c r="D3049" i="3"/>
  <c r="D3048" i="3"/>
  <c r="D3047" i="3"/>
  <c r="D3046" i="3"/>
  <c r="D3045" i="3"/>
  <c r="D3044" i="3"/>
  <c r="D3043" i="3"/>
  <c r="D3042" i="3"/>
  <c r="D3041" i="3"/>
  <c r="D3040" i="3"/>
  <c r="D3039" i="3"/>
  <c r="D3038" i="3"/>
  <c r="D3037" i="3"/>
  <c r="D3036" i="3"/>
  <c r="D3035" i="3"/>
  <c r="D3034" i="3"/>
  <c r="D3033" i="3"/>
  <c r="D3032" i="3"/>
  <c r="D3031" i="3"/>
  <c r="D3030" i="3"/>
  <c r="D3029" i="3"/>
  <c r="D3028" i="3"/>
  <c r="D3027" i="3"/>
  <c r="D3026" i="3"/>
  <c r="D3025" i="3"/>
  <c r="D3024" i="3"/>
  <c r="D3023" i="3"/>
  <c r="D3022" i="3"/>
  <c r="D3021" i="3"/>
  <c r="D3020" i="3"/>
  <c r="D3019" i="3"/>
  <c r="D3018" i="3"/>
  <c r="D3017" i="3"/>
  <c r="D3016" i="3"/>
  <c r="D3015" i="3"/>
  <c r="D3014" i="3"/>
  <c r="D3013" i="3"/>
  <c r="D3012" i="3"/>
  <c r="D3011" i="3"/>
  <c r="D3010" i="3"/>
  <c r="D3009" i="3"/>
  <c r="D3008" i="3"/>
  <c r="D3007" i="3"/>
  <c r="D3006" i="3"/>
  <c r="D3005" i="3"/>
  <c r="D3004" i="3"/>
  <c r="D3003" i="3"/>
  <c r="D3002" i="3"/>
  <c r="D3001" i="3"/>
  <c r="D3000" i="3"/>
  <c r="D2999" i="3"/>
  <c r="D2998" i="3"/>
  <c r="D2997" i="3"/>
  <c r="D2996" i="3"/>
  <c r="D2995" i="3"/>
  <c r="D2994" i="3"/>
  <c r="D2993" i="3"/>
  <c r="D2992" i="3"/>
  <c r="D2991" i="3"/>
  <c r="D2990" i="3"/>
  <c r="D2989" i="3"/>
  <c r="D2988" i="3"/>
  <c r="D2987" i="3"/>
  <c r="D2986" i="3"/>
  <c r="D2985" i="3"/>
  <c r="D2984" i="3"/>
  <c r="D2983" i="3"/>
  <c r="D2982" i="3"/>
  <c r="D2981" i="3"/>
  <c r="D2980" i="3"/>
  <c r="D2979" i="3"/>
  <c r="D2978" i="3"/>
  <c r="D2977" i="3"/>
  <c r="D2976" i="3"/>
  <c r="D2975" i="3"/>
  <c r="D2974" i="3"/>
  <c r="D2973" i="3"/>
  <c r="D2972" i="3"/>
  <c r="D2971" i="3"/>
  <c r="D2970" i="3"/>
  <c r="D2969" i="3"/>
  <c r="D2968" i="3"/>
  <c r="D2967" i="3"/>
  <c r="D2966" i="3"/>
  <c r="D2965" i="3"/>
  <c r="D2964" i="3"/>
  <c r="D2963" i="3"/>
  <c r="D2962" i="3"/>
  <c r="D2961" i="3"/>
  <c r="D2960" i="3"/>
  <c r="D2959" i="3"/>
  <c r="D2958" i="3"/>
  <c r="D2957" i="3"/>
  <c r="D2956" i="3"/>
  <c r="D2955" i="3"/>
  <c r="D2954" i="3"/>
  <c r="D2953" i="3"/>
  <c r="D2952" i="3"/>
  <c r="D2951" i="3"/>
  <c r="D2950" i="3"/>
  <c r="D2949" i="3"/>
  <c r="D2948" i="3"/>
  <c r="D2947" i="3"/>
  <c r="D2946" i="3"/>
  <c r="D2945" i="3"/>
  <c r="D2944" i="3"/>
  <c r="D2943" i="3"/>
  <c r="D2942" i="3"/>
  <c r="D2941" i="3"/>
  <c r="D2940" i="3"/>
  <c r="D2939" i="3"/>
  <c r="D2938" i="3"/>
  <c r="D2937" i="3"/>
  <c r="D2936" i="3"/>
  <c r="D2935" i="3"/>
  <c r="D2934" i="3"/>
  <c r="D2933" i="3"/>
  <c r="D2932" i="3"/>
  <c r="D2931" i="3"/>
  <c r="D2930" i="3"/>
  <c r="D2929" i="3"/>
  <c r="D2928" i="3"/>
  <c r="D2927" i="3"/>
  <c r="D2926" i="3"/>
  <c r="D2925" i="3"/>
  <c r="D2924" i="3"/>
  <c r="D2923" i="3"/>
  <c r="D2922" i="3"/>
  <c r="D2921" i="3"/>
  <c r="D2920" i="3"/>
  <c r="D2919" i="3"/>
  <c r="D2918" i="3"/>
  <c r="D2917" i="3"/>
  <c r="D2916" i="3"/>
  <c r="D2915" i="3"/>
  <c r="D2914" i="3"/>
  <c r="D2913" i="3"/>
  <c r="D2912" i="3"/>
  <c r="D2911" i="3"/>
  <c r="D2910" i="3"/>
  <c r="D2909" i="3"/>
  <c r="D2908" i="3"/>
  <c r="D2907" i="3"/>
  <c r="D2906" i="3"/>
  <c r="D2905" i="3"/>
  <c r="D2904" i="3"/>
  <c r="D2903" i="3"/>
  <c r="D2902" i="3"/>
  <c r="D2901" i="3"/>
  <c r="D2900" i="3"/>
  <c r="D2899" i="3"/>
  <c r="D2898" i="3"/>
  <c r="D2897" i="3"/>
  <c r="D2896" i="3"/>
  <c r="D2895" i="3"/>
  <c r="D2894" i="3"/>
  <c r="D2893" i="3"/>
  <c r="D2892" i="3"/>
  <c r="D2891" i="3"/>
  <c r="D2890" i="3"/>
  <c r="D2889" i="3"/>
  <c r="D2888" i="3"/>
  <c r="D2887" i="3"/>
  <c r="D2886" i="3"/>
  <c r="D2885" i="3"/>
  <c r="D2884" i="3"/>
  <c r="D2883" i="3"/>
  <c r="D2882" i="3"/>
  <c r="D2881" i="3"/>
  <c r="D2880" i="3"/>
  <c r="D2879" i="3"/>
  <c r="D2878" i="3"/>
  <c r="D2877" i="3"/>
  <c r="D2876" i="3"/>
  <c r="D2875" i="3"/>
  <c r="D2874" i="3"/>
  <c r="D2873" i="3"/>
  <c r="D2872" i="3"/>
  <c r="D2871" i="3"/>
  <c r="D2870" i="3"/>
  <c r="D2869" i="3"/>
  <c r="D2868" i="3"/>
  <c r="D2867" i="3"/>
  <c r="D2866" i="3"/>
  <c r="D2865" i="3"/>
  <c r="D2864" i="3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B4" i="3"/>
  <c r="C1" i="2"/>
  <c r="D2" i="5" a="1"/>
  <c r="AH178" i="9" l="1"/>
  <c r="AH210" i="9"/>
  <c r="AH274" i="9"/>
  <c r="AH152" i="9"/>
  <c r="AH174" i="9"/>
  <c r="AH190" i="9"/>
  <c r="AH238" i="9"/>
  <c r="AH254" i="9"/>
  <c r="AH12" i="9"/>
  <c r="AH20" i="9"/>
  <c r="AH28" i="9"/>
  <c r="AH44" i="9"/>
  <c r="AH68" i="9"/>
  <c r="AH76" i="9"/>
  <c r="AH84" i="9"/>
  <c r="AH115" i="9"/>
  <c r="AH24" i="9"/>
  <c r="AH32" i="9"/>
  <c r="AH48" i="9"/>
  <c r="AH56" i="9"/>
  <c r="AH104" i="9"/>
  <c r="AH119" i="9"/>
  <c r="AH147" i="9"/>
  <c r="AH217" i="9"/>
  <c r="AH138" i="9"/>
  <c r="AH154" i="9"/>
  <c r="AH165" i="9"/>
  <c r="AH192" i="9"/>
  <c r="AH208" i="9"/>
  <c r="AH256" i="9"/>
  <c r="AH272" i="9"/>
  <c r="AH283" i="9"/>
  <c r="AH123" i="9"/>
  <c r="AH225" i="9"/>
  <c r="AH134" i="9"/>
  <c r="AH188" i="9"/>
  <c r="AH236" i="9"/>
  <c r="AH252" i="9"/>
  <c r="AH13" i="9"/>
  <c r="AH21" i="9"/>
  <c r="AH93" i="9"/>
  <c r="AH129" i="9"/>
  <c r="AH161" i="9"/>
  <c r="AH183" i="9"/>
  <c r="AH199" i="9"/>
  <c r="AH231" i="9"/>
  <c r="AH279" i="9"/>
  <c r="AH31" i="9"/>
  <c r="AH63" i="9"/>
  <c r="AH71" i="9"/>
  <c r="AH103" i="9"/>
  <c r="AH110" i="9"/>
  <c r="AH118" i="9"/>
  <c r="AH125" i="9"/>
  <c r="AH243" i="9"/>
  <c r="AH126" i="9"/>
  <c r="AH142" i="9"/>
  <c r="AH260" i="9"/>
  <c r="AH287" i="9"/>
  <c r="AH17" i="9"/>
  <c r="AH33" i="9"/>
  <c r="AH49" i="9"/>
  <c r="AH81" i="9"/>
  <c r="AH282" i="9"/>
  <c r="AH26" i="9"/>
  <c r="AH90" i="9"/>
  <c r="AH98" i="9"/>
  <c r="AH127" i="9"/>
  <c r="AH213" i="9"/>
  <c r="AH229" i="9"/>
  <c r="AH288" i="9"/>
  <c r="AH182" i="9"/>
  <c r="AH278" i="9"/>
  <c r="AH206" i="9"/>
  <c r="AH120" i="9"/>
  <c r="AH85" i="9"/>
  <c r="AH80" i="9"/>
  <c r="AH65" i="9"/>
  <c r="AH64" i="9"/>
  <c r="AH5" i="9"/>
  <c r="AH4" i="9"/>
  <c r="AH79" i="9"/>
  <c r="AH107" i="9"/>
  <c r="AH124" i="9"/>
  <c r="AH141" i="9"/>
  <c r="AH158" i="9"/>
  <c r="AH167" i="9"/>
  <c r="AH172" i="9"/>
  <c r="AH181" i="9"/>
  <c r="AH211" i="9"/>
  <c r="AH246" i="9"/>
  <c r="AH263" i="9"/>
  <c r="AH281" i="9"/>
  <c r="AH54" i="9"/>
  <c r="AH61" i="9"/>
  <c r="AH108" i="9"/>
  <c r="AH150" i="9"/>
  <c r="AH163" i="9"/>
  <c r="AH203" i="9"/>
  <c r="AH233" i="9"/>
  <c r="AH242" i="9"/>
  <c r="AH268" i="9"/>
  <c r="AH25" i="9"/>
  <c r="AH43" i="9"/>
  <c r="AH55" i="9"/>
  <c r="AH62" i="9"/>
  <c r="AH114" i="9"/>
  <c r="AH133" i="9"/>
  <c r="AH164" i="9"/>
  <c r="AH187" i="9"/>
  <c r="AH291" i="9"/>
  <c r="AH69" i="9"/>
  <c r="AH191" i="9"/>
  <c r="AH196" i="9"/>
  <c r="AH209" i="9"/>
  <c r="AH222" i="9"/>
  <c r="AH244" i="9"/>
  <c r="AH270" i="9"/>
  <c r="AH77" i="9"/>
  <c r="AH157" i="9"/>
  <c r="AH257" i="9"/>
  <c r="AH8" i="9"/>
  <c r="AH148" i="9"/>
  <c r="AH175" i="9"/>
  <c r="AH3" i="9"/>
  <c r="AH9" i="9"/>
  <c r="AH52" i="9"/>
  <c r="AH59" i="9"/>
  <c r="AH78" i="9"/>
  <c r="AH106" i="9"/>
  <c r="AH128" i="9"/>
  <c r="AH185" i="9"/>
  <c r="AH280" i="9"/>
  <c r="AH289" i="9"/>
  <c r="AH16" i="9"/>
  <c r="AH41" i="9"/>
  <c r="AH95" i="9"/>
  <c r="AH145" i="9"/>
  <c r="AH176" i="9"/>
  <c r="AH215" i="9"/>
  <c r="AH232" i="9"/>
  <c r="AH250" i="9"/>
  <c r="AH267" i="9"/>
  <c r="AH271" i="9"/>
  <c r="AH11" i="9"/>
  <c r="AH22" i="9"/>
  <c r="AH82" i="9"/>
  <c r="AH86" i="9"/>
  <c r="AH111" i="9"/>
  <c r="AH117" i="9"/>
  <c r="AH146" i="9"/>
  <c r="AH162" i="9"/>
  <c r="AH204" i="9"/>
  <c r="AH212" i="9"/>
  <c r="AH216" i="9"/>
  <c r="AH224" i="9"/>
  <c r="AH237" i="9"/>
  <c r="AH245" i="9"/>
  <c r="AH249" i="9"/>
  <c r="AH273" i="9"/>
  <c r="AH290" i="9"/>
  <c r="AH6" i="9"/>
  <c r="AH23" i="9"/>
  <c r="AH72" i="9"/>
  <c r="AH87" i="9"/>
  <c r="AH112" i="9"/>
  <c r="AH180" i="9"/>
  <c r="AH221" i="9"/>
  <c r="AH241" i="9"/>
  <c r="AH262" i="9"/>
  <c r="AH266" i="9"/>
  <c r="AH286" i="9"/>
  <c r="AH34" i="9"/>
  <c r="AH7" i="9"/>
  <c r="AH18" i="9"/>
  <c r="AH29" i="9"/>
  <c r="AH39" i="9"/>
  <c r="AH73" i="9"/>
  <c r="AH99" i="9"/>
  <c r="AH113" i="9"/>
  <c r="AH131" i="9"/>
  <c r="AH139" i="9"/>
  <c r="AH143" i="9"/>
  <c r="AH155" i="9"/>
  <c r="AH159" i="9"/>
  <c r="AH168" i="9"/>
  <c r="AH189" i="9"/>
  <c r="AH197" i="9"/>
  <c r="AH201" i="9"/>
  <c r="AH230" i="9"/>
  <c r="AH234" i="9"/>
  <c r="AH258" i="9"/>
  <c r="AH19" i="9"/>
  <c r="AH30" i="9"/>
  <c r="AH74" i="9"/>
  <c r="AH135" i="9"/>
  <c r="AH193" i="9"/>
  <c r="AH214" i="9"/>
  <c r="AH218" i="9"/>
  <c r="AH226" i="9"/>
  <c r="AH251" i="9"/>
  <c r="AH275" i="9"/>
  <c r="AH14" i="9"/>
  <c r="AH35" i="9"/>
  <c r="AH40" i="9"/>
  <c r="AH45" i="9"/>
  <c r="AH50" i="9"/>
  <c r="AH57" i="9"/>
  <c r="AH89" i="9"/>
  <c r="AH109" i="9"/>
  <c r="AH140" i="9"/>
  <c r="AH144" i="9"/>
  <c r="AH156" i="9"/>
  <c r="AH160" i="9"/>
  <c r="AH169" i="9"/>
  <c r="AH177" i="9"/>
  <c r="AH198" i="9"/>
  <c r="AH202" i="9"/>
  <c r="AH235" i="9"/>
  <c r="AH247" i="9"/>
  <c r="AH259" i="9"/>
  <c r="AH292" i="9"/>
  <c r="AH15" i="9"/>
  <c r="AH36" i="9"/>
  <c r="AH51" i="9"/>
  <c r="AH58" i="9"/>
  <c r="AH136" i="9"/>
  <c r="AH170" i="9"/>
  <c r="AH194" i="9"/>
  <c r="AH219" i="9"/>
  <c r="AH227" i="9"/>
  <c r="AH276" i="9"/>
  <c r="AH239" i="9"/>
  <c r="AH101" i="9"/>
  <c r="AH223" i="9"/>
  <c r="AH284" i="9"/>
  <c r="AH10" i="9"/>
  <c r="AH27" i="9"/>
  <c r="AH47" i="9"/>
  <c r="AH66" i="9"/>
  <c r="AH91" i="9"/>
  <c r="AH96" i="9"/>
  <c r="AH116" i="9"/>
  <c r="AH121" i="9"/>
  <c r="AH137" i="9"/>
  <c r="AH153" i="9"/>
  <c r="AH166" i="9"/>
  <c r="AH171" i="9"/>
  <c r="AH195" i="9"/>
  <c r="AH228" i="9"/>
  <c r="AH269" i="9"/>
  <c r="AH277" i="9"/>
  <c r="AH37" i="9"/>
  <c r="AH42" i="9"/>
  <c r="AH53" i="9"/>
  <c r="AH60" i="9"/>
  <c r="AH97" i="9"/>
  <c r="AH102" i="9"/>
  <c r="AH179" i="9"/>
  <c r="AH220" i="9"/>
  <c r="AH240" i="9"/>
  <c r="AH253" i="9"/>
  <c r="AH261" i="9"/>
  <c r="AH265" i="9"/>
  <c r="AH285" i="9"/>
  <c r="AH92" i="9"/>
  <c r="AH207" i="9"/>
  <c r="AH88" i="9"/>
  <c r="AH100" i="9"/>
  <c r="AH149" i="9"/>
  <c r="AH255" i="9"/>
  <c r="C5" i="2" l="1"/>
  <c r="A5" i="2"/>
  <c r="E5" i="2"/>
  <c r="I5" i="2"/>
  <c r="J5" i="2"/>
  <c r="E13" i="2"/>
  <c r="C13" i="2"/>
  <c r="I13" i="2"/>
  <c r="J13" i="2"/>
  <c r="A13" i="2"/>
  <c r="J17" i="2"/>
  <c r="I17" i="2"/>
  <c r="E17" i="2"/>
  <c r="C17" i="2"/>
  <c r="A17" i="2"/>
  <c r="J25" i="2"/>
  <c r="I25" i="2"/>
  <c r="C25" i="2"/>
  <c r="A25" i="2"/>
  <c r="E25" i="2"/>
  <c r="E29" i="2"/>
  <c r="J29" i="2"/>
  <c r="C29" i="2"/>
  <c r="A29" i="2"/>
  <c r="I29" i="2"/>
  <c r="A37" i="2"/>
  <c r="J37" i="2"/>
  <c r="C37" i="2"/>
  <c r="E37" i="2"/>
  <c r="I37" i="2"/>
  <c r="J45" i="2"/>
  <c r="C45" i="2"/>
  <c r="E45" i="2"/>
  <c r="I45" i="2"/>
  <c r="A45" i="2"/>
  <c r="J49" i="2"/>
  <c r="A49" i="2"/>
  <c r="C49" i="2"/>
  <c r="I49" i="2"/>
  <c r="E49" i="2"/>
  <c r="C53" i="2"/>
  <c r="I53" i="2"/>
  <c r="A53" i="2"/>
  <c r="J53" i="2"/>
  <c r="E53" i="2"/>
  <c r="I61" i="2"/>
  <c r="C61" i="2"/>
  <c r="E61" i="2"/>
  <c r="J61" i="2"/>
  <c r="A61" i="2"/>
  <c r="J65" i="2"/>
  <c r="A65" i="2"/>
  <c r="E65" i="2"/>
  <c r="C65" i="2"/>
  <c r="I65" i="2"/>
  <c r="E73" i="2"/>
  <c r="A73" i="2"/>
  <c r="I73" i="2"/>
  <c r="C73" i="2"/>
  <c r="J73" i="2"/>
  <c r="A81" i="2"/>
  <c r="J81" i="2"/>
  <c r="C81" i="2"/>
  <c r="I81" i="2"/>
  <c r="E81" i="2"/>
  <c r="A89" i="2"/>
  <c r="C89" i="2"/>
  <c r="J89" i="2"/>
  <c r="E89" i="2"/>
  <c r="I89" i="2"/>
  <c r="A97" i="2"/>
  <c r="I97" i="2"/>
  <c r="E97" i="2"/>
  <c r="J97" i="2"/>
  <c r="C97" i="2"/>
  <c r="E105" i="2"/>
  <c r="I105" i="2"/>
  <c r="C105" i="2"/>
  <c r="J105" i="2"/>
  <c r="A105" i="2"/>
  <c r="E113" i="2"/>
  <c r="I113" i="2"/>
  <c r="J113" i="2"/>
  <c r="A113" i="2"/>
  <c r="C113" i="2"/>
  <c r="A117" i="2"/>
  <c r="J117" i="2"/>
  <c r="E117" i="2"/>
  <c r="C117" i="2"/>
  <c r="I117" i="2"/>
  <c r="I125" i="2"/>
  <c r="J125" i="2"/>
  <c r="C125" i="2"/>
  <c r="A125" i="2"/>
  <c r="E125" i="2"/>
  <c r="E10" i="2"/>
  <c r="A10" i="2"/>
  <c r="C10" i="2"/>
  <c r="J10" i="2"/>
  <c r="I10" i="2"/>
  <c r="I18" i="2"/>
  <c r="C18" i="2"/>
  <c r="A18" i="2"/>
  <c r="E18" i="2"/>
  <c r="J18" i="2"/>
  <c r="E30" i="2"/>
  <c r="J30" i="2"/>
  <c r="A30" i="2"/>
  <c r="C30" i="2"/>
  <c r="I30" i="2"/>
  <c r="E38" i="2"/>
  <c r="I38" i="2"/>
  <c r="J38" i="2"/>
  <c r="A38" i="2"/>
  <c r="C38" i="2"/>
  <c r="A50" i="2"/>
  <c r="C50" i="2"/>
  <c r="I50" i="2"/>
  <c r="J50" i="2"/>
  <c r="E50" i="2"/>
  <c r="I58" i="2"/>
  <c r="E58" i="2"/>
  <c r="J58" i="2"/>
  <c r="A58" i="2"/>
  <c r="C58" i="2"/>
  <c r="C62" i="2"/>
  <c r="I62" i="2"/>
  <c r="A62" i="2"/>
  <c r="J62" i="2"/>
  <c r="E62" i="2"/>
  <c r="A70" i="2"/>
  <c r="E70" i="2"/>
  <c r="I70" i="2"/>
  <c r="C70" i="2"/>
  <c r="J70" i="2"/>
  <c r="C82" i="2"/>
  <c r="E82" i="2"/>
  <c r="I82" i="2"/>
  <c r="J82" i="2"/>
  <c r="A82" i="2"/>
  <c r="E94" i="2"/>
  <c r="J94" i="2"/>
  <c r="A94" i="2"/>
  <c r="C94" i="2"/>
  <c r="I94" i="2"/>
  <c r="E106" i="2"/>
  <c r="A106" i="2"/>
  <c r="C106" i="2"/>
  <c r="J106" i="2"/>
  <c r="I106" i="2"/>
  <c r="I118" i="2"/>
  <c r="J118" i="2"/>
  <c r="C118" i="2"/>
  <c r="E118" i="2"/>
  <c r="A118" i="2"/>
  <c r="J7" i="2"/>
  <c r="C7" i="2"/>
  <c r="E7" i="2"/>
  <c r="I7" i="2"/>
  <c r="A7" i="2"/>
  <c r="A11" i="2"/>
  <c r="E11" i="2"/>
  <c r="J11" i="2"/>
  <c r="C11" i="2"/>
  <c r="I11" i="2"/>
  <c r="C15" i="2"/>
  <c r="J15" i="2"/>
  <c r="I15" i="2"/>
  <c r="E15" i="2"/>
  <c r="A15" i="2"/>
  <c r="I19" i="2"/>
  <c r="C19" i="2"/>
  <c r="J19" i="2"/>
  <c r="A19" i="2"/>
  <c r="E19" i="2"/>
  <c r="A23" i="2"/>
  <c r="I23" i="2"/>
  <c r="C23" i="2"/>
  <c r="E23" i="2"/>
  <c r="J23" i="2"/>
  <c r="A27" i="2"/>
  <c r="I27" i="2"/>
  <c r="J27" i="2"/>
  <c r="C27" i="2"/>
  <c r="E27" i="2"/>
  <c r="E31" i="2"/>
  <c r="I31" i="2"/>
  <c r="J31" i="2"/>
  <c r="A31" i="2"/>
  <c r="C31" i="2"/>
  <c r="I35" i="2"/>
  <c r="C35" i="2"/>
  <c r="A35" i="2"/>
  <c r="J35" i="2"/>
  <c r="E35" i="2"/>
  <c r="I39" i="2"/>
  <c r="C39" i="2"/>
  <c r="A39" i="2"/>
  <c r="E39" i="2"/>
  <c r="J39" i="2"/>
  <c r="J43" i="2"/>
  <c r="A43" i="2"/>
  <c r="I43" i="2"/>
  <c r="C43" i="2"/>
  <c r="E43" i="2"/>
  <c r="C47" i="2"/>
  <c r="E47" i="2"/>
  <c r="J47" i="2"/>
  <c r="A47" i="2"/>
  <c r="I47" i="2"/>
  <c r="A51" i="2"/>
  <c r="C51" i="2"/>
  <c r="I51" i="2"/>
  <c r="J51" i="2"/>
  <c r="E51" i="2"/>
  <c r="J55" i="2"/>
  <c r="E55" i="2"/>
  <c r="I55" i="2"/>
  <c r="A55" i="2"/>
  <c r="C55" i="2"/>
  <c r="A59" i="2"/>
  <c r="E59" i="2"/>
  <c r="I59" i="2"/>
  <c r="C59" i="2"/>
  <c r="J59" i="2"/>
  <c r="E63" i="2"/>
  <c r="A63" i="2"/>
  <c r="C63" i="2"/>
  <c r="I63" i="2"/>
  <c r="J63" i="2"/>
  <c r="I67" i="2"/>
  <c r="J67" i="2"/>
  <c r="E67" i="2"/>
  <c r="A67" i="2"/>
  <c r="C67" i="2"/>
  <c r="A71" i="2"/>
  <c r="E71" i="2"/>
  <c r="C71" i="2"/>
  <c r="I71" i="2"/>
  <c r="J71" i="2"/>
  <c r="E75" i="2"/>
  <c r="J75" i="2"/>
  <c r="C75" i="2"/>
  <c r="A75" i="2"/>
  <c r="I75" i="2"/>
  <c r="I79" i="2"/>
  <c r="C79" i="2"/>
  <c r="J79" i="2"/>
  <c r="E79" i="2"/>
  <c r="A79" i="2"/>
  <c r="I83" i="2"/>
  <c r="E83" i="2"/>
  <c r="J83" i="2"/>
  <c r="A83" i="2"/>
  <c r="C83" i="2"/>
  <c r="C87" i="2"/>
  <c r="A87" i="2"/>
  <c r="E87" i="2"/>
  <c r="J87" i="2"/>
  <c r="I87" i="2"/>
  <c r="A91" i="2"/>
  <c r="I91" i="2"/>
  <c r="E91" i="2"/>
  <c r="C91" i="2"/>
  <c r="J91" i="2"/>
  <c r="I95" i="2"/>
  <c r="C95" i="2"/>
  <c r="J95" i="2"/>
  <c r="A95" i="2"/>
  <c r="E95" i="2"/>
  <c r="I99" i="2"/>
  <c r="J99" i="2"/>
  <c r="E99" i="2"/>
  <c r="C99" i="2"/>
  <c r="A99" i="2"/>
  <c r="I103" i="2"/>
  <c r="A103" i="2"/>
  <c r="E103" i="2"/>
  <c r="J103" i="2"/>
  <c r="C103" i="2"/>
  <c r="C107" i="2"/>
  <c r="A107" i="2"/>
  <c r="E107" i="2"/>
  <c r="I107" i="2"/>
  <c r="J107" i="2"/>
  <c r="C111" i="2"/>
  <c r="E111" i="2"/>
  <c r="J111" i="2"/>
  <c r="I111" i="2"/>
  <c r="A111" i="2"/>
  <c r="I115" i="2"/>
  <c r="J115" i="2"/>
  <c r="A115" i="2"/>
  <c r="C115" i="2"/>
  <c r="E115" i="2"/>
  <c r="C119" i="2"/>
  <c r="J119" i="2"/>
  <c r="A119" i="2"/>
  <c r="I119" i="2"/>
  <c r="E119" i="2"/>
  <c r="E123" i="2"/>
  <c r="A123" i="2"/>
  <c r="J123" i="2"/>
  <c r="I123" i="2"/>
  <c r="C123" i="2"/>
  <c r="C9" i="2"/>
  <c r="I9" i="2"/>
  <c r="A9" i="2"/>
  <c r="E9" i="2"/>
  <c r="J9" i="2"/>
  <c r="C21" i="2"/>
  <c r="A21" i="2"/>
  <c r="I21" i="2"/>
  <c r="J21" i="2"/>
  <c r="E21" i="2"/>
  <c r="A33" i="2"/>
  <c r="J33" i="2"/>
  <c r="I33" i="2"/>
  <c r="E33" i="2"/>
  <c r="C33" i="2"/>
  <c r="J41" i="2"/>
  <c r="I41" i="2"/>
  <c r="E41" i="2"/>
  <c r="A41" i="2"/>
  <c r="C41" i="2"/>
  <c r="E57" i="2"/>
  <c r="I57" i="2"/>
  <c r="C57" i="2"/>
  <c r="A57" i="2"/>
  <c r="J57" i="2"/>
  <c r="J69" i="2"/>
  <c r="I69" i="2"/>
  <c r="A69" i="2"/>
  <c r="E69" i="2"/>
  <c r="C69" i="2"/>
  <c r="J77" i="2"/>
  <c r="C77" i="2"/>
  <c r="A77" i="2"/>
  <c r="E77" i="2"/>
  <c r="I77" i="2"/>
  <c r="C85" i="2"/>
  <c r="E85" i="2"/>
  <c r="J85" i="2"/>
  <c r="A85" i="2"/>
  <c r="I85" i="2"/>
  <c r="I93" i="2"/>
  <c r="A93" i="2"/>
  <c r="J93" i="2"/>
  <c r="C93" i="2"/>
  <c r="E93" i="2"/>
  <c r="I101" i="2"/>
  <c r="A101" i="2"/>
  <c r="E101" i="2"/>
  <c r="J101" i="2"/>
  <c r="C101" i="2"/>
  <c r="E109" i="2"/>
  <c r="I109" i="2"/>
  <c r="C109" i="2"/>
  <c r="A109" i="2"/>
  <c r="J109" i="2"/>
  <c r="I121" i="2"/>
  <c r="E121" i="2"/>
  <c r="C121" i="2"/>
  <c r="A121" i="2"/>
  <c r="J121" i="2"/>
  <c r="A6" i="2"/>
  <c r="J6" i="2"/>
  <c r="E6" i="2"/>
  <c r="I6" i="2"/>
  <c r="C6" i="2"/>
  <c r="J14" i="2"/>
  <c r="C14" i="2"/>
  <c r="A14" i="2"/>
  <c r="I14" i="2"/>
  <c r="E14" i="2"/>
  <c r="I22" i="2"/>
  <c r="C22" i="2"/>
  <c r="E22" i="2"/>
  <c r="A22" i="2"/>
  <c r="J22" i="2"/>
  <c r="E26" i="2"/>
  <c r="J26" i="2"/>
  <c r="I26" i="2"/>
  <c r="C26" i="2"/>
  <c r="A26" i="2"/>
  <c r="J34" i="2"/>
  <c r="A34" i="2"/>
  <c r="C34" i="2"/>
  <c r="I34" i="2"/>
  <c r="E34" i="2"/>
  <c r="E42" i="2"/>
  <c r="J42" i="2"/>
  <c r="I42" i="2"/>
  <c r="A42" i="2"/>
  <c r="C42" i="2"/>
  <c r="J46" i="2"/>
  <c r="C46" i="2"/>
  <c r="I46" i="2"/>
  <c r="E46" i="2"/>
  <c r="A46" i="2"/>
  <c r="I54" i="2"/>
  <c r="E54" i="2"/>
  <c r="C54" i="2"/>
  <c r="A54" i="2"/>
  <c r="J54" i="2"/>
  <c r="J66" i="2"/>
  <c r="C66" i="2"/>
  <c r="A66" i="2"/>
  <c r="E66" i="2"/>
  <c r="I66" i="2"/>
  <c r="E74" i="2"/>
  <c r="I74" i="2"/>
  <c r="J74" i="2"/>
  <c r="A74" i="2"/>
  <c r="C74" i="2"/>
  <c r="J78" i="2"/>
  <c r="E78" i="2"/>
  <c r="C78" i="2"/>
  <c r="A78" i="2"/>
  <c r="I78" i="2"/>
  <c r="I86" i="2"/>
  <c r="C86" i="2"/>
  <c r="J86" i="2"/>
  <c r="E86" i="2"/>
  <c r="A86" i="2"/>
  <c r="A90" i="2"/>
  <c r="C90" i="2"/>
  <c r="J90" i="2"/>
  <c r="E90" i="2"/>
  <c r="I90" i="2"/>
  <c r="C98" i="2"/>
  <c r="J98" i="2"/>
  <c r="I98" i="2"/>
  <c r="A98" i="2"/>
  <c r="E98" i="2"/>
  <c r="A102" i="2"/>
  <c r="J102" i="2"/>
  <c r="C102" i="2"/>
  <c r="I102" i="2"/>
  <c r="E102" i="2"/>
  <c r="E110" i="2"/>
  <c r="A110" i="2"/>
  <c r="C110" i="2"/>
  <c r="J110" i="2"/>
  <c r="I110" i="2"/>
  <c r="J114" i="2"/>
  <c r="E114" i="2"/>
  <c r="C114" i="2"/>
  <c r="I114" i="2"/>
  <c r="A114" i="2"/>
  <c r="J122" i="2"/>
  <c r="A122" i="2"/>
  <c r="E122" i="2"/>
  <c r="I122" i="2"/>
  <c r="C122" i="2"/>
  <c r="I126" i="2"/>
  <c r="A126" i="2"/>
  <c r="E126" i="2"/>
  <c r="J126" i="2"/>
  <c r="C126" i="2"/>
  <c r="A8" i="2"/>
  <c r="J8" i="2"/>
  <c r="C8" i="2"/>
  <c r="E8" i="2"/>
  <c r="I8" i="2"/>
  <c r="E12" i="2"/>
  <c r="I12" i="2"/>
  <c r="C12" i="2"/>
  <c r="A12" i="2"/>
  <c r="J12" i="2"/>
  <c r="I16" i="2"/>
  <c r="A16" i="2"/>
  <c r="E16" i="2"/>
  <c r="J16" i="2"/>
  <c r="C16" i="2"/>
  <c r="I20" i="2"/>
  <c r="J20" i="2"/>
  <c r="A20" i="2"/>
  <c r="C20" i="2"/>
  <c r="E20" i="2"/>
  <c r="J24" i="2"/>
  <c r="I24" i="2"/>
  <c r="E24" i="2"/>
  <c r="C24" i="2"/>
  <c r="A24" i="2"/>
  <c r="A28" i="2"/>
  <c r="I28" i="2"/>
  <c r="E28" i="2"/>
  <c r="J28" i="2"/>
  <c r="C28" i="2"/>
  <c r="A32" i="2"/>
  <c r="I32" i="2"/>
  <c r="E32" i="2"/>
  <c r="C32" i="2"/>
  <c r="J32" i="2"/>
  <c r="A36" i="2"/>
  <c r="J36" i="2"/>
  <c r="E36" i="2"/>
  <c r="I36" i="2"/>
  <c r="C36" i="2"/>
  <c r="J40" i="2"/>
  <c r="A40" i="2"/>
  <c r="C40" i="2"/>
  <c r="I40" i="2"/>
  <c r="E40" i="2"/>
  <c r="I44" i="2"/>
  <c r="A44" i="2"/>
  <c r="J44" i="2"/>
  <c r="C44" i="2"/>
  <c r="E44" i="2"/>
  <c r="C48" i="2"/>
  <c r="A48" i="2"/>
  <c r="E48" i="2"/>
  <c r="J48" i="2"/>
  <c r="I48" i="2"/>
  <c r="J52" i="2"/>
  <c r="C52" i="2"/>
  <c r="A52" i="2"/>
  <c r="I52" i="2"/>
  <c r="E52" i="2"/>
  <c r="C56" i="2"/>
  <c r="A56" i="2"/>
  <c r="I56" i="2"/>
  <c r="E56" i="2"/>
  <c r="J56" i="2"/>
  <c r="A60" i="2"/>
  <c r="J60" i="2"/>
  <c r="C60" i="2"/>
  <c r="I60" i="2"/>
  <c r="E60" i="2"/>
  <c r="I64" i="2"/>
  <c r="E64" i="2"/>
  <c r="A64" i="2"/>
  <c r="C64" i="2"/>
  <c r="J64" i="2"/>
  <c r="J68" i="2"/>
  <c r="I68" i="2"/>
  <c r="E68" i="2"/>
  <c r="A68" i="2"/>
  <c r="C68" i="2"/>
  <c r="I72" i="2"/>
  <c r="A72" i="2"/>
  <c r="E72" i="2"/>
  <c r="C72" i="2"/>
  <c r="J72" i="2"/>
  <c r="E76" i="2"/>
  <c r="A76" i="2"/>
  <c r="C76" i="2"/>
  <c r="I76" i="2"/>
  <c r="J76" i="2"/>
  <c r="C80" i="2"/>
  <c r="E80" i="2"/>
  <c r="A80" i="2"/>
  <c r="I80" i="2"/>
  <c r="J80" i="2"/>
  <c r="E84" i="2"/>
  <c r="A84" i="2"/>
  <c r="J84" i="2"/>
  <c r="C84" i="2"/>
  <c r="I84" i="2"/>
  <c r="J88" i="2"/>
  <c r="E88" i="2"/>
  <c r="C88" i="2"/>
  <c r="I88" i="2"/>
  <c r="A88" i="2"/>
  <c r="A92" i="2"/>
  <c r="J92" i="2"/>
  <c r="I92" i="2"/>
  <c r="C92" i="2"/>
  <c r="E92" i="2"/>
  <c r="C96" i="2"/>
  <c r="J96" i="2"/>
  <c r="I96" i="2"/>
  <c r="E96" i="2"/>
  <c r="A96" i="2"/>
  <c r="E100" i="2"/>
  <c r="A100" i="2"/>
  <c r="I100" i="2"/>
  <c r="J100" i="2"/>
  <c r="C100" i="2"/>
  <c r="I104" i="2"/>
  <c r="C104" i="2"/>
  <c r="A104" i="2"/>
  <c r="J104" i="2"/>
  <c r="E104" i="2"/>
  <c r="I108" i="2"/>
  <c r="J108" i="2"/>
  <c r="E108" i="2"/>
  <c r="A108" i="2"/>
  <c r="C108" i="2"/>
  <c r="A112" i="2"/>
  <c r="J112" i="2"/>
  <c r="I112" i="2"/>
  <c r="E112" i="2"/>
  <c r="C112" i="2"/>
  <c r="C116" i="2"/>
  <c r="A116" i="2"/>
  <c r="I116" i="2"/>
  <c r="E116" i="2"/>
  <c r="J116" i="2"/>
  <c r="A120" i="2"/>
  <c r="C120" i="2"/>
  <c r="I120" i="2"/>
  <c r="E120" i="2"/>
  <c r="J120" i="2"/>
  <c r="C124" i="2"/>
  <c r="J124" i="2"/>
  <c r="A124" i="2"/>
  <c r="I124" i="2"/>
  <c r="E124" i="2"/>
  <c r="K69" i="2" l="1"/>
  <c r="K17" i="2"/>
  <c r="K119" i="2"/>
  <c r="K33" i="2"/>
  <c r="K29" i="2"/>
  <c r="K102" i="2"/>
  <c r="K65" i="2"/>
  <c r="K122" i="2"/>
  <c r="K89" i="2"/>
  <c r="K66" i="2"/>
  <c r="K107" i="2"/>
  <c r="K78" i="2"/>
  <c r="K124" i="2"/>
  <c r="K98" i="2"/>
  <c r="K92" i="2"/>
  <c r="K88" i="2"/>
  <c r="K48" i="2"/>
  <c r="K55" i="2"/>
  <c r="K117" i="2"/>
  <c r="K6" i="2"/>
  <c r="K45" i="2"/>
  <c r="K26" i="2"/>
  <c r="K51" i="2"/>
  <c r="K28" i="2"/>
  <c r="K87" i="2"/>
  <c r="K97" i="2"/>
  <c r="K18" i="2"/>
  <c r="K71" i="2"/>
  <c r="K5" i="2"/>
  <c r="K13" i="2"/>
  <c r="K113" i="2"/>
  <c r="K106" i="2"/>
  <c r="K99" i="2"/>
  <c r="K36" i="2"/>
  <c r="K68" i="2"/>
  <c r="K105" i="2"/>
  <c r="K73" i="2"/>
  <c r="K38" i="2"/>
  <c r="K10" i="2"/>
  <c r="K53" i="2"/>
  <c r="K39" i="2"/>
  <c r="K63" i="2"/>
  <c r="K21" i="2"/>
  <c r="K34" i="2"/>
  <c r="K61" i="2"/>
  <c r="K125" i="2"/>
  <c r="K82" i="2"/>
  <c r="K15" i="2"/>
  <c r="K67" i="2"/>
  <c r="K83" i="2"/>
  <c r="K115" i="2"/>
  <c r="K57" i="2"/>
  <c r="K85" i="2"/>
  <c r="K101" i="2"/>
  <c r="K109" i="2"/>
  <c r="K22" i="2"/>
  <c r="K54" i="2"/>
  <c r="K74" i="2"/>
  <c r="K91" i="2"/>
  <c r="K56" i="2"/>
  <c r="K64" i="2"/>
  <c r="K104" i="2"/>
  <c r="K116" i="2"/>
  <c r="K81" i="2"/>
  <c r="K80" i="2"/>
  <c r="K44" i="2"/>
  <c r="K43" i="2"/>
  <c r="K37" i="2"/>
  <c r="K24" i="2"/>
  <c r="K42" i="2"/>
  <c r="K103" i="2"/>
  <c r="K70" i="2"/>
  <c r="K72" i="2"/>
  <c r="K49" i="2"/>
  <c r="K47" i="2"/>
  <c r="K111" i="2"/>
  <c r="K23" i="2"/>
  <c r="K126" i="2"/>
  <c r="K123" i="2" s="1"/>
  <c r="K121" i="2" s="1"/>
  <c r="K120" i="2" s="1"/>
  <c r="K118" i="2" s="1"/>
  <c r="K114" i="2" s="1"/>
  <c r="K112" i="2" s="1"/>
  <c r="K110" i="2" s="1"/>
  <c r="K108" i="2" s="1"/>
  <c r="K100" i="2" s="1"/>
  <c r="K96" i="2" s="1"/>
  <c r="K95" i="2" s="1"/>
  <c r="K94" i="2" s="1"/>
  <c r="K93" i="2" s="1"/>
  <c r="K90" i="2" s="1"/>
  <c r="K86" i="2" s="1"/>
  <c r="K84" i="2" s="1"/>
  <c r="K79" i="2" s="1"/>
  <c r="K77" i="2" s="1"/>
  <c r="K76" i="2" s="1"/>
  <c r="K75" i="2" s="1"/>
  <c r="K60" i="2" s="1"/>
  <c r="K58" i="2" s="1"/>
  <c r="K50" i="2" s="1"/>
  <c r="K46" i="2" s="1"/>
  <c r="K41" i="2" s="1"/>
  <c r="K40" i="2" s="1"/>
  <c r="K32" i="2" s="1"/>
  <c r="K31" i="2" s="1"/>
  <c r="K27" i="2" s="1"/>
  <c r="K20" i="2" s="1"/>
  <c r="K19" i="2" s="1"/>
  <c r="K14" i="2" s="1"/>
  <c r="K12" i="2" s="1"/>
  <c r="K11" i="2" s="1"/>
  <c r="K8" i="2" s="1"/>
  <c r="K59" i="2"/>
  <c r="K35" i="2"/>
  <c r="K7" i="2"/>
  <c r="K62" i="2"/>
  <c r="K9" i="2"/>
  <c r="K52" i="2"/>
  <c r="K16" i="2"/>
  <c r="K30" i="2"/>
  <c r="K25" i="2"/>
  <c r="J4" i="2" l="1"/>
  <c r="A4" i="2"/>
  <c r="E4" i="2"/>
  <c r="I4" i="2"/>
  <c r="C4" i="2"/>
  <c r="K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Jirawan Wongkum</author>
    <author>Prapa Himploy</author>
    <author>Doungdeun Thippawan</author>
  </authors>
  <commentList>
    <comment ref="M15" authorId="0" shapeId="0" xr:uid="{8505AB50-41B3-415D-B946-7A48699CF646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มีการ Issue เอกสารขอ Scrap  Approved แล้ว
No. DIS-260402-01</t>
        </r>
      </text>
    </comment>
    <comment ref="M17" authorId="0" shapeId="0" xr:uid="{A4A140BE-8F06-4929-9300-F554148A4577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มีการ Issue เอกสารขอ Scrap  Approved แล้ว
No. DIS-260402-01</t>
        </r>
      </text>
    </comment>
    <comment ref="M18" authorId="0" shapeId="0" xr:uid="{5FD6CFD0-F94D-43F2-AB07-D330E0E833AC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มีการ Issue เอกสารขอ Scrap  Approved แล้ว
No. DIS-260402-01</t>
        </r>
      </text>
    </comment>
    <comment ref="M19" authorId="0" shapeId="0" xr:uid="{26AED53D-A97C-4B61-9BF6-B6456D1AE601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มีการ Issue เอกสารขอ Scrap  Approved แล้ว
No. DIS-260402-01</t>
        </r>
      </text>
    </comment>
    <comment ref="T54" authorId="1" shapeId="0" xr:uid="{536A7CEE-9301-4B6F-87A9-05BF7FBE0951}">
      <text>
        <r>
          <rPr>
            <b/>
            <sz val="9"/>
            <color indexed="81"/>
            <rFont val="Tahoma"/>
            <family val="2"/>
          </rPr>
          <t>Prapa Himploy:</t>
        </r>
        <r>
          <rPr>
            <sz val="9"/>
            <color indexed="81"/>
            <rFont val="Tahoma"/>
            <family val="2"/>
          </rPr>
          <t xml:space="preserve">
พี่ควีนแจ้ง</t>
        </r>
      </text>
    </comment>
    <comment ref="T60" authorId="0" shapeId="0" xr:uid="{F4B68C7E-E0AC-460F-8AA3-A8DF31772037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71" authorId="0" shapeId="0" xr:uid="{BBEF6574-DCE5-4B26-88CD-124A2B5BC927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P103" authorId="0" shapeId="0" xr:uid="{3DC61095-0C2B-4351-9D6C-5D7B7CCC4655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ส่งไปPALTEK</t>
        </r>
      </text>
    </comment>
    <comment ref="T103" authorId="0" shapeId="0" xr:uid="{B5258040-D621-40B0-AB0F-7FC7A34C47CA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04" authorId="0" shapeId="0" xr:uid="{86C47AF9-C396-4020-AEC6-FB3092B7B414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05" authorId="0" shapeId="0" xr:uid="{2AFF9B07-0C15-4CB1-8710-9CD0938EAB29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17" authorId="0" shapeId="0" xr:uid="{AD907326-A03D-4113-A3E9-DD3741FF7A7E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 แจ้งเองแบบแมนนวล</t>
        </r>
      </text>
    </comment>
    <comment ref="Z121" authorId="0" shapeId="0" xr:uid="{355986BA-ACCC-4164-A422-3624231975A4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ยังไม่ได้ move scrap รอ Replacement</t>
        </r>
      </text>
    </comment>
    <comment ref="AK134" authorId="0" shapeId="0" xr:uid="{6DF03F9F-7C11-403E-9A50-62E91C93D523}">
      <text>
        <r>
          <rPr>
            <sz val="9"/>
            <color indexed="81"/>
            <rFont val="Tahoma"/>
            <family val="2"/>
          </rPr>
          <t xml:space="preserve">น้ำตาลแจ้ง ว่าไม่เอา corrective
</t>
        </r>
      </text>
    </comment>
    <comment ref="T144" authorId="0" shapeId="0" xr:uid="{B498C5CE-D1CD-4E30-A6F3-6FEDB14F293F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145" authorId="0" shapeId="0" xr:uid="{4AC8B531-FC5C-45D8-A31B-E1F3CD8F2D37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146" authorId="0" shapeId="0" xr:uid="{F999C7A2-B8D2-42B7-82CD-8EC4A7445533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149" authorId="0" shapeId="0" xr:uid="{01C49F40-3528-492B-AFDB-D74546B1B0B9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50" authorId="0" shapeId="0" xr:uid="{A15FB681-2776-4811-976A-35BDEECFD66F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51" authorId="0" shapeId="0" xr:uid="{0A58E946-199A-43FD-ACB5-6BD629600369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52" authorId="0" shapeId="0" xr:uid="{E13B3661-6125-4878-AA8C-4845AC4A876F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216" authorId="0" shapeId="0" xr:uid="{7C0A8E96-F39A-4FFC-8DC9-9C5E024D287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แจ้งครั้งแรก</t>
        </r>
      </text>
    </comment>
    <comment ref="T218" authorId="0" shapeId="0" xr:uid="{28DAF2AD-E45B-4C5E-9D5B-93F0590C73EB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แจ้งครั้งแรก</t>
        </r>
      </text>
    </comment>
    <comment ref="AK218" authorId="2" shapeId="0" xr:uid="{BC737FF4-E265-43FB-89DA-56721F6FB909}">
      <text>
        <r>
          <rPr>
            <b/>
            <sz val="9"/>
            <color indexed="81"/>
            <rFont val="Tahoma"/>
            <family val="2"/>
          </rPr>
          <t>Doungdeun Thippawan:</t>
        </r>
        <r>
          <rPr>
            <sz val="9"/>
            <color indexed="81"/>
            <rFont val="Tahoma"/>
            <family val="2"/>
          </rPr>
          <t xml:space="preserve">
เอกสารไม่ครบ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Pornphen Korakotkiangkai</author>
    <author>Prapa Himploy</author>
    <author>Jirawan Wongkum</author>
  </authors>
  <commentList>
    <comment ref="AM77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QA25-271
</t>
        </r>
      </text>
    </comment>
    <comment ref="T112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Prapa Himploy:</t>
        </r>
        <r>
          <rPr>
            <sz val="9"/>
            <color indexed="81"/>
            <rFont val="Tahoma"/>
            <family val="2"/>
          </rPr>
          <t xml:space="preserve">
พี่ควีนแจ้ง</t>
        </r>
      </text>
    </comment>
    <comment ref="T119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Prapa Himploy:</t>
        </r>
        <r>
          <rPr>
            <sz val="9"/>
            <color indexed="81"/>
            <rFont val="Tahoma"/>
            <family val="2"/>
          </rPr>
          <t xml:space="preserve">
พี่ควีนแจ้ง</t>
        </r>
      </text>
    </comment>
    <comment ref="T123" authorId="2" shapeId="0" xr:uid="{00000000-0006-0000-0300-000004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24" authorId="2" shapeId="0" xr:uid="{00000000-0006-0000-0300-000005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25" authorId="2" shapeId="0" xr:uid="{00000000-0006-0000-0300-000006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136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P168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ส่งไปPALTEK</t>
        </r>
      </text>
    </comment>
    <comment ref="T168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69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70" authorId="2" shapeId="0" xr:uid="{00000000-0006-0000-0300-00000B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T182" authorId="2" shapeId="0" xr:uid="{00000000-0006-0000-0300-00000C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 แจ้งเองแบบแมนนวล</t>
        </r>
      </text>
    </comment>
    <comment ref="Y186" authorId="2" shapeId="0" xr:uid="{00000000-0006-0000-0300-00000D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ยังไม่ได้ move scrap รอ Replacement</t>
        </r>
      </text>
    </comment>
    <comment ref="T209" authorId="2" shapeId="0" xr:uid="{00000000-0006-0000-0300-00000E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210" authorId="2" shapeId="0" xr:uid="{00000000-0006-0000-0300-00000F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211" authorId="2" shapeId="0" xr:uid="{00000000-0006-0000-0300-000010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พี่ภาแจ้งแบบ Manual</t>
        </r>
      </text>
    </comment>
    <comment ref="T214" authorId="2" shapeId="0" xr:uid="{00000000-0006-0000-0300-000011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215" authorId="2" shapeId="0" xr:uid="{00000000-0006-0000-0300-000012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216" authorId="2" shapeId="0" xr:uid="{00000000-0006-0000-0300-000013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T217" authorId="2" shapeId="0" xr:uid="{00000000-0006-0000-0300-000014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เจแจ้งเอง</t>
        </r>
      </text>
    </comment>
    <comment ref="R276" authorId="2" shapeId="0" xr:uid="{00000000-0006-0000-0300-000015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พี่หนูให้ Cancel</t>
        </r>
      </text>
    </comment>
    <comment ref="T287" authorId="2" shapeId="0" xr:uid="{00000000-0006-0000-0300-000016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แจ้งครั้งแรก</t>
        </r>
      </text>
    </comment>
    <comment ref="T289" authorId="2" shapeId="0" xr:uid="{00000000-0006-0000-0300-000017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แจ้งครั้งแรก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Jirawan Wongkum</author>
  </authors>
  <commentList>
    <comment ref="P1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ส่งไปPALTEK</t>
        </r>
      </text>
    </comment>
    <comment ref="T1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P1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ส่งไป PALTEK</t>
        </r>
      </text>
    </comment>
    <comment ref="T1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  <comment ref="P18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Jirawan Wongkum:</t>
        </r>
        <r>
          <rPr>
            <sz val="9"/>
            <color indexed="81"/>
            <rFont val="Tahoma"/>
            <family val="2"/>
          </rPr>
          <t xml:space="preserve">
ส่งไป PALTEK</t>
        </r>
      </text>
    </comment>
    <comment ref="T18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Jirawan Wongkum:
เจแจ้งเอง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<sst xmlns="http://schemas.openxmlformats.org/spreadsheetml/2006/main" count="45642" uniqueCount="19593">
  <si>
    <t>Issue NCR</t>
    <phoneticPr fontId="3"/>
  </si>
  <si>
    <t>Return to vender</t>
  </si>
  <si>
    <t>Replacement form vender</t>
  </si>
  <si>
    <t>Credit Note form vender</t>
  </si>
  <si>
    <t>INV</t>
    <phoneticPr fontId="8" type="noConversion"/>
  </si>
  <si>
    <t>Follow up</t>
    <phoneticPr fontId="8" type="noConversion"/>
  </si>
  <si>
    <t>NCR No.</t>
  </si>
  <si>
    <t>Found at</t>
  </si>
  <si>
    <t>Occur Date</t>
  </si>
  <si>
    <t>Delivery
Date</t>
  </si>
  <si>
    <t>Invoice No.</t>
  </si>
  <si>
    <t>Lot Size</t>
  </si>
  <si>
    <t>Lot No.</t>
  </si>
  <si>
    <t>M-Code</t>
  </si>
  <si>
    <t>Material Name</t>
  </si>
  <si>
    <t>Product</t>
  </si>
  <si>
    <t>Unit</t>
  </si>
  <si>
    <t>NG Q'ty</t>
  </si>
  <si>
    <t>Content</t>
  </si>
  <si>
    <t>Sorting Q'ty</t>
  </si>
  <si>
    <t>Supplier</t>
  </si>
  <si>
    <t>Replacement
Arrive Date</t>
  </si>
  <si>
    <t>INV No.</t>
  </si>
  <si>
    <t>Quantity</t>
  </si>
  <si>
    <t>Credit Note Receipt Date</t>
  </si>
  <si>
    <t>Credit Note No.</t>
  </si>
  <si>
    <t xml:space="preserve"> At FFT
 Waiting Return
(WH-REJ)</t>
    <phoneticPr fontId="8" type="noConversion"/>
  </si>
  <si>
    <t>At Vendor 
Waiting Replacement</t>
    <phoneticPr fontId="8" type="noConversion"/>
  </si>
  <si>
    <t>Total
Remain</t>
  </si>
  <si>
    <t>Corrective action request date</t>
  </si>
  <si>
    <t>Corrective action reply date</t>
    <phoneticPr fontId="8" type="noConversion"/>
  </si>
  <si>
    <t>Effective date</t>
  </si>
  <si>
    <t>Follow up result</t>
  </si>
  <si>
    <t>-</t>
  </si>
  <si>
    <t>ROSET003-HIQ</t>
  </si>
  <si>
    <t>RS001001-TEC</t>
  </si>
  <si>
    <t>RS001009-TEC</t>
  </si>
  <si>
    <t>R00FA039-SHI</t>
  </si>
  <si>
    <t/>
  </si>
  <si>
    <t>SHIN005-07</t>
  </si>
  <si>
    <t>KDK006</t>
  </si>
  <si>
    <t>ROSET001-HIQ</t>
  </si>
  <si>
    <t>BS220L</t>
  </si>
  <si>
    <t xml:space="preserve">Issue   </t>
  </si>
  <si>
    <t xml:space="preserve">Accountant </t>
  </si>
  <si>
    <t>Vendor name</t>
  </si>
  <si>
    <t xml:space="preserve">Material Name </t>
  </si>
  <si>
    <t>AT Vendor 
Waiting Replacement</t>
  </si>
  <si>
    <t xml:space="preserve"> AT FFT
 Waiting Return
(WH-REJ)</t>
  </si>
  <si>
    <t>Claim+Sorting</t>
    <phoneticPr fontId="3"/>
  </si>
  <si>
    <t>Receive Inspection</t>
  </si>
  <si>
    <t>S001</t>
  </si>
  <si>
    <t>pc</t>
  </si>
  <si>
    <r>
      <rPr>
        <b/>
        <sz val="22"/>
        <color rgb="FFFF00FF"/>
        <rFont val="Tahoma"/>
        <family val="2"/>
      </rPr>
      <t>Oversea</t>
    </r>
    <r>
      <rPr>
        <b/>
        <sz val="16"/>
        <rFont val="Tahoma"/>
        <family val="2"/>
      </rPr>
      <t xml:space="preserve">
Material NG inventory </t>
    </r>
    <phoneticPr fontId="3"/>
  </si>
  <si>
    <t>FFT-QA-24-M089</t>
  </si>
  <si>
    <t>IDH/Body process</t>
  </si>
  <si>
    <t>G241011-4</t>
  </si>
  <si>
    <t>PLASTIC COVER</t>
  </si>
  <si>
    <t>BATTERY COVER (84B2003A)</t>
  </si>
  <si>
    <t>IDH</t>
  </si>
  <si>
    <t>PC</t>
  </si>
  <si>
    <t>Silver 1 Pc.</t>
  </si>
  <si>
    <t>CASE UPPER (84B2001A)</t>
  </si>
  <si>
    <t>FFT-QA-24-M108</t>
  </si>
  <si>
    <t>Small 8 Bunki/Tube Anealing</t>
  </si>
  <si>
    <t>Jun - Nov 2024</t>
  </si>
  <si>
    <t>See below</t>
  </si>
  <si>
    <t>Attached sheet</t>
  </si>
  <si>
    <t>TUBE</t>
  </si>
  <si>
    <t>PIPE</t>
  </si>
  <si>
    <t>Small 8 Bunki</t>
  </si>
  <si>
    <t>ME</t>
  </si>
  <si>
    <t>After anneking, tube was bent</t>
  </si>
  <si>
    <t>FFT-QA-24-M064</t>
  </si>
  <si>
    <t>Dc splitter product/Final process</t>
  </si>
  <si>
    <t>SCREW</t>
  </si>
  <si>
    <t>M3.8x16 (ST@2PC)</t>
  </si>
  <si>
    <t>DC SPLITTER</t>
  </si>
  <si>
    <t>Washer more then 2 PCS NG 1 Pc.,Washer Less then 2 PCS NG 2 Pcs.</t>
  </si>
  <si>
    <t>FFT-QA-24-M066</t>
  </si>
  <si>
    <t>20240717</t>
  </si>
  <si>
    <t>2304</t>
  </si>
  <si>
    <t>BS269</t>
  </si>
  <si>
    <t>LID</t>
  </si>
  <si>
    <t>Cover for Splitter</t>
  </si>
  <si>
    <t>E Splitter</t>
  </si>
  <si>
    <t>Bari 33 Pcs.,Water mark 2 Pcs.,Scratch 21 Pcs.,Bari+Scratch 5 Pcs.</t>
  </si>
  <si>
    <t>FFT-QA-24-M072</t>
  </si>
  <si>
    <t>Scratch 8 Pcs.,Water Mark 1 Pc.</t>
  </si>
  <si>
    <t>FFT-QA-24-M082</t>
  </si>
  <si>
    <t>PLASTIC LABEL</t>
  </si>
  <si>
    <t>FURUKAWA LOGO SEAL (BLUE)</t>
  </si>
  <si>
    <t>Dc splitter</t>
  </si>
  <si>
    <t>Dirty 2 Pcs.</t>
  </si>
  <si>
    <t xml:space="preserve">Production </t>
  </si>
  <si>
    <t>S1909600</t>
  </si>
  <si>
    <t>CARD BOARD</t>
  </si>
  <si>
    <t>CARDBOARD BOX S178</t>
  </si>
  <si>
    <t>FUSION SPLICE</t>
  </si>
  <si>
    <t>SET</t>
  </si>
  <si>
    <t>Tear 1 Pc.</t>
  </si>
  <si>
    <t>FFT-QA-20-M011</t>
  </si>
  <si>
    <t>S1915043</t>
  </si>
  <si>
    <t>RFICL170-FEC</t>
  </si>
  <si>
    <t>METAL HOLDER</t>
  </si>
  <si>
    <t>BLADE HOLDER : 81B2710A</t>
  </si>
  <si>
    <t>FIBER CUTTER</t>
  </si>
  <si>
    <t>Dirty 4 Pcs.</t>
  </si>
  <si>
    <t>FFT-QA-20-M021</t>
  </si>
  <si>
    <t>24 Dec 19,10 Jan 20</t>
  </si>
  <si>
    <t>(2,13)Dec 19</t>
  </si>
  <si>
    <t>S1915575,S1915043</t>
  </si>
  <si>
    <t>Dent 6 Pcs.</t>
  </si>
  <si>
    <t>FFT-QA-20-M041</t>
  </si>
  <si>
    <t>S1915575</t>
  </si>
  <si>
    <t>Can't insert screw 1 Pc.,Chip at edge  3 Pc.</t>
  </si>
  <si>
    <t>FFT-QA-20-M062</t>
  </si>
  <si>
    <t>S2003491</t>
  </si>
  <si>
    <t>RFICL178-FEC</t>
  </si>
  <si>
    <t>CLAMP</t>
  </si>
  <si>
    <t>FR ARM WITH ANTI STATIC MIST 81B2803</t>
  </si>
  <si>
    <t>Crack 1 Pc., Scratch 1 Pc.</t>
  </si>
  <si>
    <t>FFT-QA-20-M068</t>
  </si>
  <si>
    <t xml:space="preserve">26 Mar-14 Apr </t>
  </si>
  <si>
    <t>24-Jan</t>
  </si>
  <si>
    <t>S2000750</t>
  </si>
  <si>
    <t>Scratch 3 Pcs.,can’t insert  jig 13 Pcs.</t>
  </si>
  <si>
    <t>FFT-QA-20-M235</t>
  </si>
  <si>
    <t>S2006654</t>
  </si>
  <si>
    <t>Convex 2 Pcs.</t>
  </si>
  <si>
    <t>FFT-QA-21-M002</t>
  </si>
  <si>
    <t>Prod.</t>
  </si>
  <si>
    <t>Dent 1 Pc.</t>
  </si>
  <si>
    <t>FFT-QA-21-M013</t>
  </si>
  <si>
    <t>(6-18)Jan 21</t>
  </si>
  <si>
    <t>S2008189</t>
  </si>
  <si>
    <t>Convex 4 Pcs.</t>
  </si>
  <si>
    <t>FFT-QA-21-M035</t>
  </si>
  <si>
    <t>Production</t>
  </si>
  <si>
    <t>14 May20-22 Jan 21</t>
  </si>
  <si>
    <t>24 Jan 20,13 Mar 20,(10,17,21)Apr 20,17 Jul 20</t>
  </si>
  <si>
    <t>S2000750,S2002888,S2004262,S2004621,S2004667,S2008189</t>
  </si>
  <si>
    <t>Convex 53 Pcs.</t>
  </si>
  <si>
    <t>FFT-QA-21-M038</t>
  </si>
  <si>
    <t>21 Dec 20-9-Feb 21</t>
  </si>
  <si>
    <t>17 Jul 20,8 Jan 21</t>
  </si>
  <si>
    <t>S2008189 , SV210008</t>
  </si>
  <si>
    <t>Convex 10 Pcs.</t>
  </si>
  <si>
    <t>FFT-QA-21-M060</t>
  </si>
  <si>
    <t>6 Jan 21-15 Mar 21</t>
  </si>
  <si>
    <t>17 Jul 20,8 Jan 21,9 Feb 21</t>
  </si>
  <si>
    <t>S2008189 ,SV210008,SV210165</t>
  </si>
  <si>
    <t>Convex 9 Pcs.,Damage in hole 1 Pc.</t>
  </si>
  <si>
    <t>FFT-QA-21-M074</t>
  </si>
  <si>
    <t>16 Feb 21-19 Mar 21</t>
  </si>
  <si>
    <t>8 Jun 20,19 Feb 21 ,8 Jan 21</t>
  </si>
  <si>
    <t>S2006654 , SV210165 ,SV210008</t>
  </si>
  <si>
    <t>Dirty 1 Pc.,Convex 3 Pcs.</t>
  </si>
  <si>
    <t>FFT-QA-21-M083</t>
  </si>
  <si>
    <t>18 Feb 21-29 Mar 21</t>
  </si>
  <si>
    <t>SV210008</t>
  </si>
  <si>
    <t>FFT-QA-21-M107</t>
  </si>
  <si>
    <t>6 Apr 21-24 May 21</t>
  </si>
  <si>
    <t>19 Feb 21,19 Mar 21</t>
  </si>
  <si>
    <t>SV210281,SV210165</t>
  </si>
  <si>
    <t>Convex 6 Pcs.</t>
  </si>
  <si>
    <t>FFT-QA-21-M115</t>
  </si>
  <si>
    <t>SV210281</t>
  </si>
  <si>
    <t>Convex 3 Pcs.</t>
  </si>
  <si>
    <t>FFT-QA-21-M195</t>
  </si>
  <si>
    <t>SV210575</t>
  </si>
  <si>
    <t>Convex 1 Pc.</t>
  </si>
  <si>
    <t>FFT-QA-22-M080</t>
  </si>
  <si>
    <t>SV2201052</t>
  </si>
  <si>
    <t>PCB ASSEMBLY</t>
  </si>
  <si>
    <t>FCS-X ASSEMBLY and FCS-Y ASSEMBLY</t>
  </si>
  <si>
    <t>Yellow dots</t>
  </si>
  <si>
    <t>FFT-QA-22-M106</t>
  </si>
  <si>
    <t>R124S073-FEC</t>
  </si>
  <si>
    <t>FCS-Y ASSEMBLY</t>
  </si>
  <si>
    <t>FFT-QA-22-M093</t>
  </si>
  <si>
    <t>SV2202036</t>
  </si>
  <si>
    <t>RNJFS168-FEC</t>
  </si>
  <si>
    <t>FIBER HOLDER</t>
  </si>
  <si>
    <t>TIGHT HOLDER 10MM S712T-10</t>
  </si>
  <si>
    <t>set</t>
  </si>
  <si>
    <t xml:space="preserve"> Rubber inside not smooth 1 Pc.</t>
  </si>
  <si>
    <t>FFT-QA-22-M102</t>
  </si>
  <si>
    <t>SV2202001</t>
  </si>
  <si>
    <t>FC100</t>
  </si>
  <si>
    <t>WRENCH</t>
  </si>
  <si>
    <t>HEXAGONAL WRENCH</t>
  </si>
  <si>
    <t>Bending 3 Pcs.</t>
  </si>
  <si>
    <t>FFT-QA-22-M169</t>
  </si>
  <si>
    <t>SV2202104</t>
  </si>
  <si>
    <t>Same side of holder 1 SET.</t>
  </si>
  <si>
    <t>FFT-QA-22-M170</t>
  </si>
  <si>
    <t>SV2204033</t>
  </si>
  <si>
    <t>Bubble in Y-camera(Can't clean) 1 Pc.</t>
  </si>
  <si>
    <t>FFT-QA-22-M171</t>
  </si>
  <si>
    <t>SV2201004</t>
  </si>
  <si>
    <t>Scratch 1 Pc</t>
  </si>
  <si>
    <t>19 Jun 22-1 Sep 22</t>
  </si>
  <si>
    <t>4 Feb 22,8 Apr 22,6 May 22,9 Jun 22</t>
  </si>
  <si>
    <t>SV2202002 ,SV2204014 ,SV2205002 ,SV2206034</t>
  </si>
  <si>
    <t>RSL00019-FEC</t>
  </si>
  <si>
    <t>COVER GLASS</t>
  </si>
  <si>
    <t>TENSION MEMBER NEOCERAM</t>
  </si>
  <si>
    <t>SLEEVE</t>
  </si>
  <si>
    <t>Crack 1894 Pcs.,Scratch 7 Pcs.,Broken 84 Pcs.Broken line 1 Pc.</t>
  </si>
  <si>
    <t>FFT-QA-22-M264</t>
  </si>
  <si>
    <t>SV2209081</t>
  </si>
  <si>
    <t>R1540001-FEC</t>
  </si>
  <si>
    <t>LENS</t>
  </si>
  <si>
    <t>LENS S153 NC : 10TD014</t>
  </si>
  <si>
    <t>S179</t>
  </si>
  <si>
    <t>Material wrong type</t>
  </si>
  <si>
    <t>FFT-QA-22-M268</t>
  </si>
  <si>
    <t>SV2208024</t>
  </si>
  <si>
    <t>FS524</t>
  </si>
  <si>
    <t>HEATER CLAMP BASE R 33A1042F (33A2910B)</t>
  </si>
  <si>
    <t>Hole is not through 300 Pcs.</t>
  </si>
  <si>
    <t>FFT-QA-23-M024</t>
  </si>
  <si>
    <t>QA</t>
  </si>
  <si>
    <t>SV2301072</t>
  </si>
  <si>
    <t>221122</t>
  </si>
  <si>
    <t>Silver 2 Pcs.</t>
  </si>
  <si>
    <t>FFT-QA-23-M054</t>
  </si>
  <si>
    <t>13 Jun 22,11 Nov 22</t>
  </si>
  <si>
    <t>SV2206034,SV2211043</t>
  </si>
  <si>
    <t>Scratch 64 Pcs.,Crack 24 Pcs.,Broken 15 Pcs.</t>
  </si>
  <si>
    <t>FFT-QA-23-M063</t>
  </si>
  <si>
    <t>SV2301017</t>
  </si>
  <si>
    <t>RS001002-FEC</t>
  </si>
  <si>
    <t>I/O BOARD : 37A5010F</t>
  </si>
  <si>
    <t>S002</t>
  </si>
  <si>
    <t>Silicone washer tear and move out 2 Pcs.</t>
  </si>
  <si>
    <t>FFT-QA-23-M084</t>
  </si>
  <si>
    <t>FRONT COVER 33A2110C</t>
  </si>
  <si>
    <t>PC.</t>
  </si>
  <si>
    <t>FFT-QA-23-M088</t>
  </si>
  <si>
    <t>21 Nov 22,6 Feb 23</t>
  </si>
  <si>
    <t>SV2211077 , SV2302017</t>
  </si>
  <si>
    <t>Crack 11 Pcs.,Broken 6 Pcs.,Tension short 1 Pc.,Scratch 2 Pcs.</t>
  </si>
  <si>
    <t>FFT-QA-23-M132</t>
  </si>
  <si>
    <t>Sleeve/Assembling</t>
  </si>
  <si>
    <t>(2-22)May-23</t>
  </si>
  <si>
    <t>6-Feb-23,12-May-23</t>
  </si>
  <si>
    <t>SV2302017,SV2305008</t>
  </si>
  <si>
    <t>Crack 6 Pcs.,Broken 11 Pcs.</t>
  </si>
  <si>
    <t>FFT-QA-23-M175</t>
  </si>
  <si>
    <t>Fiber cutter  Product</t>
  </si>
  <si>
    <t>SV2304080</t>
  </si>
  <si>
    <t>PIN ROLLER</t>
  </si>
  <si>
    <t>PINCH ROLLER</t>
  </si>
  <si>
    <t>Rubber loose 1 Pc.</t>
  </si>
  <si>
    <t>FFT-QA-23-M173</t>
  </si>
  <si>
    <t>(11-13)Jul-23</t>
  </si>
  <si>
    <t>SV2306111</t>
  </si>
  <si>
    <t>JX220204001-62,JX220204001-64,JX220204001-63,JX220204001-57,JX220204001-60</t>
  </si>
  <si>
    <t>RSL00003-FEC</t>
  </si>
  <si>
    <t xml:space="preserve">TENSION MEMBER </t>
  </si>
  <si>
    <t>Broken  39 Pcs.</t>
  </si>
  <si>
    <t>FFT-QA-23-M174</t>
  </si>
  <si>
    <t>Sleeve Product /  Assembling process</t>
  </si>
  <si>
    <t>(3,6)Jul-23</t>
  </si>
  <si>
    <t>SV2305008</t>
  </si>
  <si>
    <t>Crack 2 Pcs.,Broken 96 Pcs.</t>
  </si>
  <si>
    <t>FFT-QA-23-M148</t>
  </si>
  <si>
    <t>Sleeve product/Assembling process</t>
  </si>
  <si>
    <t>(24-30)May23,(01-05)Jun-23</t>
  </si>
  <si>
    <t>Crack 1  Pc.,Broken 40 Pcs.</t>
  </si>
  <si>
    <t>FFT-QA-23-M190</t>
  </si>
  <si>
    <t xml:space="preserve">S001 Product </t>
  </si>
  <si>
    <t>SV2304071</t>
  </si>
  <si>
    <t>Brass socket move out from I/O board 1 Pc.</t>
  </si>
  <si>
    <t>FFT-QA-23-M207</t>
  </si>
  <si>
    <t>S179 Product /  Prepare Heater Process</t>
  </si>
  <si>
    <t>SV2306028</t>
  </si>
  <si>
    <t>SUB CASE</t>
  </si>
  <si>
    <t>HEATER CASE 33A1041I</t>
  </si>
  <si>
    <t>Short shot 1 Pc.</t>
  </si>
  <si>
    <t>FFT-QA-23-M208</t>
  </si>
  <si>
    <t xml:space="preserve">Sleeve Product </t>
  </si>
  <si>
    <t>SV2306073</t>
  </si>
  <si>
    <t>Broken 134 Pcs.</t>
  </si>
  <si>
    <t>FFT-QA-24-M058</t>
  </si>
  <si>
    <t>S001 Product / Part Preparetion process</t>
  </si>
  <si>
    <t>SVY240712</t>
  </si>
  <si>
    <t>There is 4 resistors on I/O Board 90 Pcs.</t>
  </si>
  <si>
    <t>FFT-QA-24-M073</t>
  </si>
  <si>
    <t>S179 Product/Packing process</t>
  </si>
  <si>
    <t>18-Jun-24,(3,10)Jul-24</t>
  </si>
  <si>
    <t>SVY240208</t>
  </si>
  <si>
    <t>This are found Short shot and bari, at Fiber groove area. 1 Pc.,The rubber fell off. 1 Pc.,Rubber peel off.
The tire fell off and is stuck on the top.2 Pcs.</t>
  </si>
  <si>
    <t>FFT-QA-24-M084</t>
  </si>
  <si>
    <t>23-Sep-24,09-Oct-24</t>
  </si>
  <si>
    <t>30-Apr-24,24-Sep-24</t>
  </si>
  <si>
    <t>SVY240407,SVY240915</t>
  </si>
  <si>
    <t>Broken 14 Pcs.</t>
  </si>
  <si>
    <t>FFT-QA-24-M088</t>
  </si>
  <si>
    <t>Ninja Product/Body process</t>
  </si>
  <si>
    <t>SVY240705</t>
  </si>
  <si>
    <t>RNJFS190-FEC</t>
  </si>
  <si>
    <t>BATTERY</t>
  </si>
  <si>
    <t>S946B LITHIUM POLYMER BATTERY</t>
  </si>
  <si>
    <t>doesn't have power 1 Pc.</t>
  </si>
  <si>
    <t>FFT-QA-24-M094</t>
  </si>
  <si>
    <t>Ninja Product/Canopy process</t>
  </si>
  <si>
    <t>SVY240306</t>
  </si>
  <si>
    <t>CERAMIC CLAMP</t>
  </si>
  <si>
    <t>FIBER CLAMP</t>
  </si>
  <si>
    <t>FUSION SPLICER</t>
  </si>
  <si>
    <t>Scratch can feel by nail 1 Pc.</t>
  </si>
  <si>
    <t>FFT-QA-24-M095</t>
  </si>
  <si>
    <t>Ninja Product/Top cover process</t>
  </si>
  <si>
    <t>SVY240101</t>
  </si>
  <si>
    <t>LCD</t>
  </si>
  <si>
    <t>Particle inside of LCD 1 Pc.</t>
  </si>
  <si>
    <t>FFT-QA-24-M096</t>
  </si>
  <si>
    <t>S124 Product/Packing process</t>
  </si>
  <si>
    <t>SV2301021</t>
  </si>
  <si>
    <t>R179S636-FEC</t>
  </si>
  <si>
    <t>BELT</t>
  </si>
  <si>
    <t>SHOULDER BELT (HCC-11B)</t>
  </si>
  <si>
    <t>Dent can feel by nail 1 Pc.</t>
  </si>
  <si>
    <t>FFT-QA-24-M097</t>
  </si>
  <si>
    <t>SVY240305</t>
  </si>
  <si>
    <t>Don't have serial No. 1 Pc.</t>
  </si>
  <si>
    <t>FFT-QA-24-M098</t>
  </si>
  <si>
    <t>S124 Product/Mainbase</t>
  </si>
  <si>
    <t>SV2306029</t>
  </si>
  <si>
    <t>R124S072-FEC</t>
  </si>
  <si>
    <t>FCS-X ASSEMBLY</t>
  </si>
  <si>
    <t>Can't Connect 1 Pc.</t>
  </si>
  <si>
    <t>FFT-QA-24-M099</t>
  </si>
  <si>
    <t>S001 Product/Part preparetion process</t>
  </si>
  <si>
    <t>19-Feb-24,25-Nov-24</t>
  </si>
  <si>
    <t>26-Jun-23,29-Aug-24</t>
  </si>
  <si>
    <t>FSFFT230622,FSFFT240828-NB</t>
  </si>
  <si>
    <t>Can't adjust the voltage of I/O Board until 11.57 - 11.77 mVAC. 1 Pc.,Can't arc discharge because Fuse(F1)is not good 1 Pc.</t>
  </si>
  <si>
    <t>FFT-QA-20-M197</t>
  </si>
  <si>
    <t>Aug-Sep 20</t>
  </si>
  <si>
    <t>R98MM029-FEC</t>
  </si>
  <si>
    <t>AR-COATED FIBER</t>
  </si>
  <si>
    <t>FLM-FB15A(B)</t>
  </si>
  <si>
    <t>980MM</t>
  </si>
  <si>
    <t>Fiber facet dirty</t>
  </si>
  <si>
    <t>98MM009</t>
  </si>
  <si>
    <t>GLASS CAPILLARY</t>
  </si>
  <si>
    <t>FLM-GC01</t>
  </si>
  <si>
    <t>98MM029</t>
  </si>
  <si>
    <t>WAVELENGTH FILTERS</t>
  </si>
  <si>
    <t>FLM-FB02A</t>
  </si>
  <si>
    <t>98MM036</t>
  </si>
  <si>
    <t>SHELL PIPE</t>
  </si>
  <si>
    <t>FLM-AP02</t>
  </si>
  <si>
    <t>Strip edge NG</t>
  </si>
  <si>
    <t>FFT-QA-24-M034</t>
  </si>
  <si>
    <t>FBT Prepare CB</t>
  </si>
  <si>
    <t>Mar'24</t>
  </si>
  <si>
    <t>RJN00034-FEC</t>
  </si>
  <si>
    <t>COS</t>
  </si>
  <si>
    <t>FOL15VCDV1</t>
  </si>
  <si>
    <t>NANO</t>
  </si>
  <si>
    <t>COS performance NG</t>
  </si>
  <si>
    <t>98MM006</t>
  </si>
  <si>
    <t>FOL09M1D8</t>
  </si>
  <si>
    <t>FFT-QA-24-M069</t>
  </si>
  <si>
    <t>SV2407049</t>
  </si>
  <si>
    <t>GL01871710</t>
  </si>
  <si>
    <t>FOCUSING LENS</t>
  </si>
  <si>
    <t>SL22B</t>
  </si>
  <si>
    <t>2nd Lens be off from the tray</t>
  </si>
  <si>
    <t>SV2405080</t>
  </si>
  <si>
    <t>FFT-QA-24-M077</t>
  </si>
  <si>
    <t>HB-CDM</t>
  </si>
  <si>
    <t>Feb-Jul'24</t>
  </si>
  <si>
    <t>RHB00002-FEC</t>
  </si>
  <si>
    <t>CHIP MODULATOR</t>
  </si>
  <si>
    <t>SUB ASSEMBLY FOR NLK7L3ER2UM</t>
  </si>
  <si>
    <t>HBCDM</t>
  </si>
  <si>
    <t>Chip Modulator MOD Scratch, Broken</t>
  </si>
  <si>
    <t>FFT-QA-24-M078</t>
  </si>
  <si>
    <t>RHB00014-FEC</t>
  </si>
  <si>
    <t>SUB ASSEMBLY FOR NLK7C3ER2UM (Macmom)</t>
  </si>
  <si>
    <t>Chip Modulator Broken, Mod contamination, MOD Wire Deforming</t>
  </si>
  <si>
    <t>FFT-QA-24-M079</t>
  </si>
  <si>
    <t>Jul'24</t>
  </si>
  <si>
    <t>RHB00015-FEC</t>
  </si>
  <si>
    <t>Chip Modulator Broken, Modulator contamination, Modulator crack</t>
  </si>
  <si>
    <t>FFT-QA-24-M085</t>
  </si>
  <si>
    <t>19-Sep - 30-Oct'24</t>
  </si>
  <si>
    <t>LD chipping 19 pcs ,AR Coating 1 pc ,AR particle 1 pc</t>
  </si>
  <si>
    <t>FFT-QA-24-M086</t>
  </si>
  <si>
    <t>09-Oct-23 - 06-Sep-24</t>
  </si>
  <si>
    <t>98MM040</t>
  </si>
  <si>
    <t>PACKAGE</t>
  </si>
  <si>
    <t>FLM-PK64</t>
  </si>
  <si>
    <t>Package contaminate</t>
  </si>
  <si>
    <t>FFT-QA-24-M092</t>
  </si>
  <si>
    <t>FBT NANO production</t>
  </si>
  <si>
    <t>Oct-Nov'24</t>
  </si>
  <si>
    <t>RJN00023-FEC</t>
  </si>
  <si>
    <t>FIBER ASSEMBLY</t>
  </si>
  <si>
    <t>FLM-FAW27CA-1.3F</t>
  </si>
  <si>
    <t>NANO TOSA</t>
  </si>
  <si>
    <t>Ferrule color change 166 pcs, Water drop on surface 38 pcs, Tube NG 3 pcs, Scratch 2 pcs</t>
  </si>
  <si>
    <t>FFT-QA-24-M093</t>
  </si>
  <si>
    <t>FBT JU production</t>
  </si>
  <si>
    <t>R1904029-FEC</t>
  </si>
  <si>
    <t>FLM-FAW26AC-1.3F</t>
  </si>
  <si>
    <t>JU TOSA</t>
  </si>
  <si>
    <t xml:space="preserve">Water drop on surface 228 pcs, Ferrule scratch 25 pcs,
Resin color change 95 pcs, Adhesive stick on ferrule 2 pcs
</t>
  </si>
  <si>
    <t>FFT-QA-24-M100</t>
  </si>
  <si>
    <t>30'Oct-25'Nov</t>
  </si>
  <si>
    <t>Strip edge NG 2 pcs. ,Particle on fiber in part AR 1 pc ,Fiber chipping on fiber in part AR 1 pc</t>
  </si>
  <si>
    <t>FFT-QA-24-M101</t>
  </si>
  <si>
    <t>Apr'24 - Nov'24</t>
  </si>
  <si>
    <t>Driver Wire Peeling,  Package Scratch, Package Rust, Waveguide Broken, Package Scrape, MOD Wire Peeling</t>
  </si>
  <si>
    <t>FFT-QA-24-M102</t>
  </si>
  <si>
    <t>Augr'24 - Nov'25</t>
  </si>
  <si>
    <t>SUB ASSEMBLY FOR NLK7L3ER2UM (Macmom)</t>
  </si>
  <si>
    <t>FFT-QA-24-M103</t>
  </si>
  <si>
    <t>Sep'24</t>
  </si>
  <si>
    <t>240005676</t>
  </si>
  <si>
    <t>FFT-QA-24-M104</t>
  </si>
  <si>
    <t>Panda angle NG</t>
  </si>
  <si>
    <t>FFT-QA-24-M105</t>
  </si>
  <si>
    <t>25-Nov-24 to 2-Dec-24</t>
  </si>
  <si>
    <t>R1480052-FEC</t>
  </si>
  <si>
    <t>FLM-FAR26BB-0.6N</t>
  </si>
  <si>
    <t>Butterfly1480</t>
  </si>
  <si>
    <t>30'Oct - 27'Nov</t>
  </si>
  <si>
    <t>LD chipping 15 pccs ,LD over pattern 1 pc</t>
  </si>
  <si>
    <t>FFT-QA-24-M107</t>
  </si>
  <si>
    <t xml:space="preserve"> Contaminate on Cu-pipe 45 pcs ,Cu-pipe have orange color 13 pcs ,Color change (see orange) on surface in hole 11 pcs ,Burr on
Cu-pipe 6 pcs</t>
  </si>
  <si>
    <t>FFT-QA-23-M062</t>
  </si>
  <si>
    <t>TWI-2206019</t>
  </si>
  <si>
    <t>FS301-REN</t>
  </si>
  <si>
    <t>LCD DISPLAY</t>
  </si>
  <si>
    <t>4.3 INCH TFT LCD MODULE+COVER G</t>
  </si>
  <si>
    <t>Dirty 1 Pc.</t>
  </si>
  <si>
    <t>FFT-QA-23-M090</t>
  </si>
  <si>
    <t>(10,15)Mar 23</t>
  </si>
  <si>
    <t>Dirty 3 Pcs.</t>
  </si>
  <si>
    <t>FFT-QA-23-M094</t>
  </si>
  <si>
    <t>Incoming Inspection</t>
  </si>
  <si>
    <t>REPLACEMENT</t>
  </si>
  <si>
    <t xml:space="preserve">Printing area ng 1 Pc. </t>
  </si>
  <si>
    <t>FFT-QA-23-M116</t>
  </si>
  <si>
    <t xml:space="preserve"> Production line</t>
  </si>
  <si>
    <t>TWI-2208021</t>
  </si>
  <si>
    <t>IMAGE SENSOR WITH LENS</t>
  </si>
  <si>
    <t>CAMERA (KNB) 14TD027-1</t>
  </si>
  <si>
    <t>Receive Inspection,S179 Product/ Top cover Process</t>
  </si>
  <si>
    <t>(6-Jun,10-Oct)-23,8-May-24,25-Jul-24,(1,5,6)Aug-24</t>
  </si>
  <si>
    <t>18-Jan-23,8-Aug-23,25-Jun-24</t>
  </si>
  <si>
    <t>TWI-2301005,TWI-2308002,TWI-2406008</t>
  </si>
  <si>
    <t>24053517,24053214</t>
  </si>
  <si>
    <t>Pixel blink 1 point. 1 Pc.,Pixel bright dot 2 points.1 Pc.,Scratch 5 Pcs.,White haze mark 6 Pcs.,Dent 1 Pc.,Broken 2 Pcs.,Contamination 4 Pcs.,Bubble 1 Pc.,Dirty 1 Pc.</t>
  </si>
  <si>
    <t>FFT-QA-24-M091</t>
  </si>
  <si>
    <t>S124 Product/Top cover process</t>
  </si>
  <si>
    <t>TWI/2308002</t>
  </si>
  <si>
    <t>4.3 INCH TFT LCD MODULE + COVER GLASS</t>
  </si>
  <si>
    <t>White haze mark 1 Pc.</t>
  </si>
  <si>
    <t>FFT-QA-23-M123</t>
  </si>
  <si>
    <t>Ninja Product/   Sew Process</t>
  </si>
  <si>
    <t>B4928</t>
  </si>
  <si>
    <t>RNJFS001-PAL</t>
  </si>
  <si>
    <t>MAIN BOARD (NJ001 M1)</t>
  </si>
  <si>
    <t>Show message fiber number error 1 Pc.</t>
  </si>
  <si>
    <t>FFT-QA-23-M137</t>
  </si>
  <si>
    <t>13-Jul-22,14-Sep-22</t>
  </si>
  <si>
    <t>B5104,B5431</t>
  </si>
  <si>
    <t>R179S626-PAL</t>
  </si>
  <si>
    <t>MAIN BOARD</t>
  </si>
  <si>
    <t xml:space="preserve">  Can't adjust the arc frequency value 2 Pcs.,White display 1 Pc.</t>
  </si>
  <si>
    <t>FFT-QA-23-M140</t>
  </si>
  <si>
    <t>Ninja Product /Assembling process</t>
  </si>
  <si>
    <t>4-Feb-23,10-Mar-23,(15-22)May-23</t>
  </si>
  <si>
    <t>07-Jun-22,22-Aug-2022</t>
  </si>
  <si>
    <t>B4928,B5292</t>
  </si>
  <si>
    <t>Can't ture on machine 6 Pcs.,Componanc fall out1 Pc.</t>
  </si>
  <si>
    <t>FFT-QA-23-M152</t>
  </si>
  <si>
    <t>S179 Product/Semi process</t>
  </si>
  <si>
    <t>B6049</t>
  </si>
  <si>
    <t>Cannot chargimg battery 1 Pc.</t>
  </si>
  <si>
    <t>FFT-QA-23-M163</t>
  </si>
  <si>
    <t>S124 Product/Semi process</t>
  </si>
  <si>
    <t>B5292</t>
  </si>
  <si>
    <t>R124S062-PAL</t>
  </si>
  <si>
    <t>MAIN BOARD (36A505X)</t>
  </si>
  <si>
    <t>S124</t>
  </si>
  <si>
    <t>Can not operate 1 Pc.</t>
  </si>
  <si>
    <t>FFT-QA-23-M186</t>
  </si>
  <si>
    <t>Ninja Product</t>
  </si>
  <si>
    <t>RNJFS006-PAL</t>
  </si>
  <si>
    <t>SENSOR BOARD FOR HEATER</t>
  </si>
  <si>
    <t>NINJA</t>
  </si>
  <si>
    <t>Connector broken 1 Pc.</t>
  </si>
  <si>
    <t>FFT-QA-23-M198</t>
  </si>
  <si>
    <t>S179  Product/ Arc Adjust Process</t>
  </si>
  <si>
    <t>22-May-23,(5,6,8,15,27)Jun-23</t>
  </si>
  <si>
    <t>(9-10)Jan-23,13-Feb-23,19-Apr-23</t>
  </si>
  <si>
    <t>REPLACEMENT,B6049,B6565</t>
  </si>
  <si>
    <t>Battery NG (Low Voltage) 1 Pc.,Cannot measure frequency 4 Pcs.,Camera show abnormol display while connect to board 1 Pc.,Battery NG (low Voltage) component brokan 1 Pc.,Conponent broken Board Cannot control arc power 1 Pc.,Board cannot conneet to camera 2 Pcs.,Board cannot control arc power1 Pc.,Component fall out and forgot remove yellow tape 1 Pc.</t>
  </si>
  <si>
    <t>FFT-QA-24-M046</t>
  </si>
  <si>
    <t>S179  Product/ Semi ,Arc Adjust Process</t>
  </si>
  <si>
    <t>(14,22)Nov-23,(6,7)Mar-24</t>
  </si>
  <si>
    <t>19-Apr-23,22-Jun-23</t>
  </si>
  <si>
    <t>B6565,B6827</t>
  </si>
  <si>
    <t>Cannot adjust frequency 1 Pc.Solder point NG 2 Pcs.,Cannot connect to camera 1 Pc.,cannot turn on screen 1 Pc.</t>
  </si>
  <si>
    <t>FFT-QA-24-M047</t>
  </si>
  <si>
    <t>S179  Product/ Top cover Process</t>
  </si>
  <si>
    <t>B6827</t>
  </si>
  <si>
    <t>R179S627-PAL</t>
  </si>
  <si>
    <t>LCD BOARD</t>
  </si>
  <si>
    <t>Cannot touch screen LCD 1 Pc.</t>
  </si>
  <si>
    <t>FFT-QA-24-M048</t>
  </si>
  <si>
    <t>S124  Product/Optical, Semi, Heater Adjust Process</t>
  </si>
  <si>
    <t>(9,13)Nov-23,(24,27)Jan-24</t>
  </si>
  <si>
    <t>Can not operate 2 Pcs.,Can not measure the current at process Arc. 1 Pc.,Pixel blink on the LCD monitor.1 Pc.</t>
  </si>
  <si>
    <t>FFT-QA-24-M049</t>
  </si>
  <si>
    <t>Ninja product/LED,Semi,Heater Adjust Process</t>
  </si>
  <si>
    <t>12 Sep 23 , (4,12)Oct 23, 6-Nov-23 ,30-Jan 24 , (01,08,12)Feb 24</t>
  </si>
  <si>
    <t>(10,22)Mar-23,15-Dec-23</t>
  </si>
  <si>
    <t>Replacement,B6445,B7576</t>
  </si>
  <si>
    <t>Can't turn on machine with power 16.8 V 12 Pcs.,When turn on machine we found boot mode in 1st step 1 Pc.,Power consumption is over spec.
1 Pc.,The red LED is not active when charging. 1 Pc.,Can't turn on machine 1 Pc.,These board are main board (NJ001 M1)
When scan QR code and read actual code on board are M4 there model NG 5 Pcs.</t>
  </si>
  <si>
    <t>FFT-QA-23-M155</t>
  </si>
  <si>
    <t>S124 Product/Bottom process</t>
  </si>
  <si>
    <t>50000XXX-01</t>
  </si>
  <si>
    <t>R179S001-SKT</t>
  </si>
  <si>
    <t>BATTERY S947C</t>
  </si>
  <si>
    <t>Can't turn on the machine 1 Pc.</t>
  </si>
  <si>
    <t>FFT-QA-23-M171</t>
  </si>
  <si>
    <t>S124  Product / Bottom process</t>
  </si>
  <si>
    <t>FFT-QA-23-M196</t>
  </si>
  <si>
    <t>S179  Product / Bottom process</t>
  </si>
  <si>
    <t>Can not charge battery 17 Pcs.</t>
  </si>
  <si>
    <t>FFT-QA-23-M213</t>
  </si>
  <si>
    <t>20-Sep-23,8-Nov-23</t>
  </si>
  <si>
    <t>17-Aug-22,2-Feb-23</t>
  </si>
  <si>
    <t>50000XXX-01,50000XXX-01B</t>
  </si>
  <si>
    <t>Cannot Charge battery 8 Pcs.</t>
  </si>
  <si>
    <t>FFT-QA-24-M055</t>
  </si>
  <si>
    <t>S179 product / Bottom process</t>
  </si>
  <si>
    <t>9-Jan-24,19-Jun-24,09-Jul-24</t>
  </si>
  <si>
    <t>02-Feb-23,18-Oct-23</t>
  </si>
  <si>
    <t>50000xxx-01B,50002045-01a</t>
  </si>
  <si>
    <t>Cannot Charge battery 31 Pcs.</t>
  </si>
  <si>
    <t>FFT-QA-24-M044</t>
  </si>
  <si>
    <t>IDM Cable product/Cord Prepare process</t>
  </si>
  <si>
    <t>F20240420</t>
  </si>
  <si>
    <t>RIDCA087-OKA</t>
  </si>
  <si>
    <t>FIBER</t>
  </si>
  <si>
    <t>OPTICAL FIBER CABLE 64C (R15)</t>
  </si>
  <si>
    <t>IDM CABLE</t>
  </si>
  <si>
    <t>Cord swell 15 ME.</t>
  </si>
  <si>
    <t>FFT-QA-24-M067</t>
  </si>
  <si>
    <t>F20240601</t>
  </si>
  <si>
    <t>Cord Swell 25 ME.</t>
  </si>
  <si>
    <t>FFT-QA-24-M087</t>
  </si>
  <si>
    <t>F20240917</t>
  </si>
  <si>
    <t>155</t>
  </si>
  <si>
    <t>Cord swell 25 ME(Cord no.17 at 300 mm. from connector)</t>
  </si>
  <si>
    <t>Inform to BOI</t>
    <phoneticPr fontId="3"/>
  </si>
  <si>
    <t>Return Date</t>
    <phoneticPr fontId="3"/>
  </si>
  <si>
    <t>S/O No.</t>
    <phoneticPr fontId="3"/>
  </si>
  <si>
    <t>24/12/2024</t>
  </si>
  <si>
    <t>SO00044217</t>
  </si>
  <si>
    <t>Scrap at FFT</t>
  </si>
  <si>
    <t>SO00043334</t>
  </si>
  <si>
    <t>SO00043825</t>
  </si>
  <si>
    <t>SO00030750</t>
  </si>
  <si>
    <t>SO00030893</t>
  </si>
  <si>
    <t>SO00031343</t>
  </si>
  <si>
    <t>SO00031480</t>
  </si>
  <si>
    <t>SO00033258</t>
  </si>
  <si>
    <t>SO00033334</t>
  </si>
  <si>
    <t>SO0033692</t>
  </si>
  <si>
    <t>SO00033873</t>
  </si>
  <si>
    <t>SO00034147</t>
  </si>
  <si>
    <t>SO00034429</t>
  </si>
  <si>
    <t>SO00034536</t>
  </si>
  <si>
    <t>SO00035165</t>
  </si>
  <si>
    <t>SO00037148</t>
  </si>
  <si>
    <t>scrap at FFT</t>
  </si>
  <si>
    <t>SO00037907</t>
  </si>
  <si>
    <t>SO00038178</t>
  </si>
  <si>
    <t>SO00038887</t>
  </si>
  <si>
    <t>SO00039500</t>
  </si>
  <si>
    <t>SO00039859</t>
  </si>
  <si>
    <t>SO00040550</t>
  </si>
  <si>
    <t>31/07/2024ไป PALTEK</t>
  </si>
  <si>
    <t>SO00042925</t>
  </si>
  <si>
    <t>SO00043392</t>
  </si>
  <si>
    <t>24/12/2027</t>
  </si>
  <si>
    <t>SO00044218</t>
  </si>
  <si>
    <t>SO00033487</t>
  </si>
  <si>
    <t>SO00042319</t>
  </si>
  <si>
    <t>SO00043930</t>
  </si>
  <si>
    <t>SO00043824</t>
  </si>
  <si>
    <t>SO00044088</t>
  </si>
  <si>
    <t>04/12/2024/ไป -A-ONE</t>
  </si>
  <si>
    <t>SO00044089</t>
  </si>
  <si>
    <t>10/12/2024/ไป -A-ONE</t>
  </si>
  <si>
    <t>SO00044090</t>
  </si>
  <si>
    <t>SO00044212</t>
  </si>
  <si>
    <t>12/12/2024/ไป -A-ONE</t>
  </si>
  <si>
    <t>SO00044160</t>
  </si>
  <si>
    <t>16/12/2024/ไป -A-ONE</t>
  </si>
  <si>
    <t>SO00039899</t>
  </si>
  <si>
    <t>SO00040921</t>
  </si>
  <si>
    <t>SO00043390</t>
  </si>
  <si>
    <t>SO00041228</t>
  </si>
  <si>
    <t>SO00043391</t>
  </si>
  <si>
    <t>SO0041385</t>
  </si>
  <si>
    <t>17-Jan-24 = 2 Pc.</t>
  </si>
  <si>
    <t>15/01/2024=2,6/8/24=4</t>
  </si>
  <si>
    <t>SO0041385,SO00042992</t>
  </si>
  <si>
    <t>SO00042992</t>
  </si>
  <si>
    <t>SO00042839</t>
  </si>
  <si>
    <t>SO00043407</t>
  </si>
  <si>
    <t>SO00044018</t>
  </si>
  <si>
    <t>Q'ty of return/ scrap</t>
    <phoneticPr fontId="8" type="noConversion"/>
  </si>
  <si>
    <t>FFT-QA-25-M001</t>
  </si>
  <si>
    <t>Inspection at production line</t>
  </si>
  <si>
    <t>Issue date</t>
    <phoneticPr fontId="3"/>
  </si>
  <si>
    <t>RIDMJ152-SEI</t>
  </si>
  <si>
    <t>FILTER</t>
  </si>
  <si>
    <t>8 Core 1625/1645WPF</t>
  </si>
  <si>
    <t>IDM-Jumper</t>
  </si>
  <si>
    <t>SDSE TOKE</t>
  </si>
  <si>
    <t>INV</t>
    <phoneticPr fontId="3"/>
  </si>
  <si>
    <t>NG1-FEC2002003</t>
  </si>
  <si>
    <t>NG1-FEC2002004</t>
  </si>
  <si>
    <t>NG1-FEC2005002</t>
  </si>
  <si>
    <t>NG1-FEC2102002</t>
  </si>
  <si>
    <t xml:space="preserve"> NG1-FEC2101002 </t>
  </si>
  <si>
    <t>NG1-FEC2101005</t>
  </si>
  <si>
    <t>NG1-FEC2102005</t>
  </si>
  <si>
    <t>NG1-FEC2103003</t>
  </si>
  <si>
    <t>NG1-FEC2104001</t>
  </si>
  <si>
    <t>NG1-FEC2105002</t>
  </si>
  <si>
    <t>NG1-FEC2106002</t>
  </si>
  <si>
    <t>NG1-FEC2106009</t>
  </si>
  <si>
    <t>NG1-FEC2109010</t>
  </si>
  <si>
    <t>NG2-FEC2206001</t>
  </si>
  <si>
    <t>NG1-FEC2209002</t>
  </si>
  <si>
    <t>NB-FEC2210005</t>
  </si>
  <si>
    <t>NB-FEC2301002</t>
  </si>
  <si>
    <t>NG2-FEC2302001</t>
  </si>
  <si>
    <t xml:space="preserve">	NG2-URT2305001</t>
  </si>
  <si>
    <t>NG1-FEC2303003</t>
  </si>
  <si>
    <t>NG2-FEC2305002</t>
  </si>
  <si>
    <t>NG2-URT2311001</t>
  </si>
  <si>
    <t>NG2-PAL2312001</t>
  </si>
  <si>
    <t>NG2-SKT2401001</t>
  </si>
  <si>
    <t>NG2-FEC2309001</t>
  </si>
  <si>
    <t xml:space="preserve">NG4-FEC2405003	</t>
  </si>
  <si>
    <t>NG1-OKA2407001</t>
  </si>
  <si>
    <t>NG2-PAL2409001</t>
  </si>
  <si>
    <t>NG2-SKT2408001</t>
  </si>
  <si>
    <t>NG2-PAL2407001</t>
  </si>
  <si>
    <t>F1-SHO2409005</t>
  </si>
  <si>
    <t>NG1-OKA2409001</t>
  </si>
  <si>
    <t>NG2-URT2409001</t>
  </si>
  <si>
    <t>NG2-FEC2409002</t>
  </si>
  <si>
    <t>NG4-FEC2411002</t>
  </si>
  <si>
    <t>NB-SHO2411001</t>
  </si>
  <si>
    <t>NG1-FEC2411003</t>
  </si>
  <si>
    <t>NG1-FEC2412002</t>
  </si>
  <si>
    <t>NG1-OKA2412001</t>
  </si>
  <si>
    <t>NB-SEI2412005</t>
  </si>
  <si>
    <t>NG4-AON2412001</t>
  </si>
  <si>
    <t>NB-FEC2412014</t>
  </si>
  <si>
    <t xml:space="preserve">NB-FEC2412014	</t>
  </si>
  <si>
    <t>NG1-FEC2412006</t>
  </si>
  <si>
    <t>NG4-AON2412002</t>
  </si>
  <si>
    <t>GLOSEL</t>
  </si>
  <si>
    <t>FEC-OC</t>
  </si>
  <si>
    <t>OKANO</t>
  </si>
  <si>
    <t>PALTEK</t>
  </si>
  <si>
    <t>SK TECH</t>
  </si>
  <si>
    <t>FEC-FS</t>
  </si>
  <si>
    <t>SDSE SAITAMA</t>
  </si>
  <si>
    <t>Optical inspection RL NG</t>
  </si>
  <si>
    <t>IDM-Jumper product</t>
  </si>
  <si>
    <t>FFT-QA-25-M002</t>
  </si>
  <si>
    <t>20-23 Dec'24</t>
  </si>
  <si>
    <t>SV2408088</t>
  </si>
  <si>
    <t>PO190701</t>
  </si>
  <si>
    <t>Contaminate on cu-pipe 31 pcs. ,Color change (see orange) on surface in hold 7 pcs. ,Cu-pipe have orange color 4 pcs.</t>
  </si>
  <si>
    <t>SO00044364</t>
  </si>
  <si>
    <t>SO00044366</t>
  </si>
  <si>
    <t>SO00044367</t>
  </si>
  <si>
    <t>NG1-FEC2501001</t>
  </si>
  <si>
    <t>NG2-FEC2501001</t>
  </si>
  <si>
    <t>NG2-GLO2501001</t>
  </si>
  <si>
    <t>FFT-QA-25-M003</t>
  </si>
  <si>
    <t>Dc splitter product/Cutting Process</t>
  </si>
  <si>
    <t>BDX-240583</t>
  </si>
  <si>
    <t>RMUTI003-BRO</t>
  </si>
  <si>
    <t>SPLITTER</t>
  </si>
  <si>
    <t>1x8 PLC SPLITTER BPS-108-B-X</t>
  </si>
  <si>
    <t>Fiber size over spec 2 Pcs.</t>
  </si>
  <si>
    <t>BROADEX</t>
  </si>
  <si>
    <t>FFT-QA-25-M004</t>
  </si>
  <si>
    <t>S179 product/Packing process</t>
  </si>
  <si>
    <t>26-Aug-24,9-Sep-24</t>
  </si>
  <si>
    <t>TIGHT HOLDER 10MM S712T-10 (L-R=1,S=4)</t>
  </si>
  <si>
    <t>S179 product</t>
  </si>
  <si>
    <t>(Bari L &amp; dent R )1 Pc.,Bari R 1 Pc.</t>
  </si>
  <si>
    <t>FFT-QA-25-M005</t>
  </si>
  <si>
    <t>FS045</t>
  </si>
  <si>
    <t>S124 product/Packing process</t>
  </si>
  <si>
    <t>5-Aug-24,10-Oct-24</t>
  </si>
  <si>
    <t>21-May-24,9-Sep-24</t>
  </si>
  <si>
    <t>SVY240507,SVY240901</t>
  </si>
  <si>
    <t>S124 product</t>
  </si>
  <si>
    <t>Swell The surface of the hook is swollen; can feel when touched.1 Pc.,Peeling The surface of the hook is peeling off. 1 Pc.</t>
  </si>
  <si>
    <t>SO00044491</t>
  </si>
  <si>
    <t>NG1-SEI2501002</t>
  </si>
  <si>
    <t>FFT-QA-25-M007</t>
  </si>
  <si>
    <t>20250110</t>
  </si>
  <si>
    <t>2404</t>
  </si>
  <si>
    <t>Scratch can be felt with fingers &amp; long &gt;3 cm 1 Pc.,Gate&gt;0.2 mm. 17 Pcs.,Bending  &gt;2mm. 7 Pcs., Scratch which can feel by finger 3 Pcs.,Gate  No cutting  1 Pc.</t>
  </si>
  <si>
    <t>Appearance check 100%</t>
  </si>
  <si>
    <t>FFT-QA-25-M008</t>
  </si>
  <si>
    <t xml:space="preserve">IDM-Jumper,IDM-C product/Cutting process </t>
  </si>
  <si>
    <t>14-May-24,2-Dec-24</t>
  </si>
  <si>
    <t>G240510-1,G241129-1</t>
  </si>
  <si>
    <t>IDM-Jumper,IDM-C</t>
  </si>
  <si>
    <t>(3,9,14)Dec 24</t>
  </si>
  <si>
    <t>FFT-QA-25-M009</t>
  </si>
  <si>
    <t xml:space="preserve">IDM-C product/Cutting process </t>
  </si>
  <si>
    <t>G241108-1</t>
  </si>
  <si>
    <t>IJ04</t>
  </si>
  <si>
    <t>JP/E0507</t>
  </si>
  <si>
    <t>Fiber damage 1 Pc.</t>
  </si>
  <si>
    <t>FFT-QA-25-M010</t>
  </si>
  <si>
    <t>FFT-QA-25-M011</t>
  </si>
  <si>
    <t>(14,18) Dec 24</t>
  </si>
  <si>
    <t>IJ93</t>
  </si>
  <si>
    <t>OPTICAL SPLITTER</t>
  </si>
  <si>
    <t>Splitter (4x4)</t>
  </si>
  <si>
    <t xml:space="preserve">IDM-Jumper,IDM-C </t>
  </si>
  <si>
    <t>IDH Product/Body process</t>
  </si>
  <si>
    <t>13-Nov-24,06-Jan-25</t>
  </si>
  <si>
    <t>14-Aug-24,24-Dec-24</t>
  </si>
  <si>
    <t>G240809-3,G241220-3</t>
  </si>
  <si>
    <t>Painting NG 18 Pcs.</t>
  </si>
  <si>
    <t>FFT-QA-24-M090(R1)</t>
  </si>
  <si>
    <t>GCN250101</t>
  </si>
  <si>
    <t>SVC250101</t>
  </si>
  <si>
    <t>SVC250102</t>
  </si>
  <si>
    <t>SVC250103</t>
  </si>
  <si>
    <t>Material PLC IJ93 Ng 6 Pcs.,Fiber hakuri 1 Pc.</t>
  </si>
  <si>
    <t>Fiber damage 2 Pc.,Material filter Ng optical IL NG 1 Pc.,optical PDL NG 3 Pcs.</t>
  </si>
  <si>
    <t>IDM-C</t>
  </si>
  <si>
    <r>
      <rPr>
        <b/>
        <sz val="12"/>
        <color theme="0"/>
        <rFont val="Tahoma"/>
        <family val="2"/>
        <charset val="222"/>
      </rPr>
      <t xml:space="preserve">พาทสำหรับ </t>
    </r>
    <r>
      <rPr>
        <b/>
        <sz val="12"/>
        <color theme="0"/>
        <rFont val="游ゴシック"/>
        <family val="2"/>
        <charset val="128"/>
      </rPr>
      <t>Macro</t>
    </r>
    <r>
      <rPr>
        <b/>
        <sz val="12"/>
        <color theme="0"/>
        <rFont val="Arial"/>
        <family val="2"/>
        <charset val="222"/>
      </rPr>
      <t>(</t>
    </r>
    <r>
      <rPr>
        <b/>
        <sz val="12"/>
        <color theme="0"/>
        <rFont val="Tahoma"/>
        <family val="2"/>
        <charset val="222"/>
      </rPr>
      <t>ห้ามลบ)</t>
    </r>
    <phoneticPr fontId="27"/>
  </si>
  <si>
    <t>Start Time</t>
  </si>
  <si>
    <t>NCR</t>
    <phoneticPr fontId="27"/>
  </si>
  <si>
    <t>\\192.168.2.100\12_qa\06_Non_Conforming\Material_claim\NCRForm\Non-conformingSheet.xlsx</t>
    <phoneticPr fontId="27"/>
  </si>
  <si>
    <t>Finish Time</t>
  </si>
  <si>
    <t>FOLDER</t>
    <phoneticPr fontId="27"/>
  </si>
  <si>
    <t>\\192.168.2.100\12_qa\06_Non_Conforming\Material_claim\02_Material_NG_Oversea\2025\Excel file</t>
    <phoneticPr fontId="8" type="noConversion"/>
  </si>
  <si>
    <t>Diff Time</t>
  </si>
  <si>
    <t>NCR List</t>
    <phoneticPr fontId="27"/>
  </si>
  <si>
    <r>
      <t>For update neme (Data form Data material and packing for pending process 1.0.0)
(</t>
    </r>
    <r>
      <rPr>
        <b/>
        <sz val="10"/>
        <color theme="0"/>
        <rFont val="Tahoma"/>
        <family val="2"/>
        <charset val="222"/>
      </rPr>
      <t>ก๊อปดาต้ามาวางแค่คอลัมน์สีเทา</t>
    </r>
    <r>
      <rPr>
        <b/>
        <sz val="10"/>
        <color theme="0"/>
        <rFont val="Arial"/>
        <family val="2"/>
      </rPr>
      <t xml:space="preserve">)
</t>
    </r>
    <phoneticPr fontId="27"/>
  </si>
  <si>
    <r>
      <t xml:space="preserve">Data link form ST-QA-ZZ5
</t>
    </r>
    <r>
      <rPr>
        <b/>
        <sz val="10"/>
        <color theme="0"/>
        <rFont val="Tahoma"/>
        <family val="2"/>
        <charset val="222"/>
      </rPr>
      <t>(สูตรห้ามลบ)</t>
    </r>
    <phoneticPr fontId="27"/>
  </si>
  <si>
    <r>
      <t xml:space="preserve">For setting vendor name and unit
</t>
    </r>
    <r>
      <rPr>
        <b/>
        <sz val="10"/>
        <color theme="0"/>
        <rFont val="Tahoma"/>
        <family val="2"/>
        <charset val="222"/>
      </rPr>
      <t xml:space="preserve">(ถ้ามีการเพิ่ม </t>
    </r>
    <r>
      <rPr>
        <b/>
        <sz val="10"/>
        <color theme="0"/>
        <rFont val="游ゴシック"/>
        <family val="2"/>
        <charset val="128"/>
      </rPr>
      <t xml:space="preserve">M-code </t>
    </r>
    <r>
      <rPr>
        <b/>
        <sz val="10"/>
        <color theme="0"/>
        <rFont val="Tahoma"/>
        <family val="2"/>
        <charset val="222"/>
      </rPr>
      <t>ต้องมาเพิ่มข้อมูลด้วย)</t>
    </r>
    <phoneticPr fontId="27"/>
  </si>
  <si>
    <t>\\192.168.2.100\12_qa\01_Material\Material Pending\Data of material and packing\Data material and packing for pending process 1.0.0.xls</t>
    <phoneticPr fontId="27"/>
  </si>
  <si>
    <t>Item Code</t>
  </si>
  <si>
    <t>Item Desc</t>
  </si>
  <si>
    <t>Model</t>
  </si>
  <si>
    <t>Ins. Level</t>
    <phoneticPr fontId="27"/>
  </si>
  <si>
    <t>M-coe</t>
    <phoneticPr fontId="27"/>
  </si>
  <si>
    <t>Name</t>
    <phoneticPr fontId="27"/>
  </si>
  <si>
    <t>type</t>
    <phoneticPr fontId="27"/>
  </si>
  <si>
    <t>Vendor</t>
    <phoneticPr fontId="27"/>
  </si>
  <si>
    <t>LASER MODULE ASSY</t>
  </si>
  <si>
    <t>FOL1402XXX</t>
  </si>
  <si>
    <t>RSBNP001-FEL</t>
  </si>
  <si>
    <t>PLASTIC PRODUCT CASE</t>
  </si>
  <si>
    <t>42001542:R2097F-NAP006F2B-2</t>
  </si>
  <si>
    <t>FEL MODULE</t>
  </si>
  <si>
    <t>COLOMBIA</t>
  </si>
  <si>
    <t>OPTICAL COMPONENT</t>
  </si>
  <si>
    <t>16AC/430-R0644-0001</t>
  </si>
  <si>
    <t>RSBNP006-FEL</t>
  </si>
  <si>
    <t>35500007 PLC SPLITTER 1X6 NC/SC-AP</t>
  </si>
  <si>
    <t>249-1</t>
  </si>
  <si>
    <t>COUPLER</t>
  </si>
  <si>
    <t>16P-WINC/430-R0693-0002</t>
  </si>
  <si>
    <t>R00FA017-FEL</t>
  </si>
  <si>
    <t>SPRING</t>
  </si>
  <si>
    <t>SPRING FOR SC/APC OPT CONN</t>
  </si>
  <si>
    <t>FA</t>
  </si>
  <si>
    <t>1X8/Nitta/430-R0662-00011</t>
  </si>
  <si>
    <t>S039</t>
  </si>
  <si>
    <t>JDSU HI-1060-200(RL@2000 ME) NEW COATING</t>
  </si>
  <si>
    <t>STABILIZER</t>
  </si>
  <si>
    <t>CORNING</t>
  </si>
  <si>
    <t>MU FERRULE</t>
  </si>
  <si>
    <t>MU</t>
  </si>
  <si>
    <t>LD CHIP</t>
  </si>
  <si>
    <t>BUTTERFLY980</t>
  </si>
  <si>
    <t>MULTIPLE RECEPTACLE</t>
  </si>
  <si>
    <t>MU-16</t>
  </si>
  <si>
    <t>METAL SLEEVE</t>
  </si>
  <si>
    <t>MU/0459</t>
  </si>
  <si>
    <t>PD CARRIER</t>
  </si>
  <si>
    <t>RUBBER BOOT</t>
  </si>
  <si>
    <t>8MT</t>
  </si>
  <si>
    <t>THERMOELECTRIC ASSEMBLY</t>
  </si>
  <si>
    <t>16MT</t>
  </si>
  <si>
    <t>BASE</t>
  </si>
  <si>
    <t>MT FERRULE</t>
  </si>
  <si>
    <t>8MT (125.5-G1-S-S)</t>
  </si>
  <si>
    <t>LENSED FIBER ASSEMBLY</t>
  </si>
  <si>
    <t>307-1</t>
  </si>
  <si>
    <t>8MTR-125.5-G1</t>
  </si>
  <si>
    <t>8MT (125.5-G2-S-S)</t>
  </si>
  <si>
    <t>308-1</t>
  </si>
  <si>
    <t>8MTR-125.5-G2</t>
  </si>
  <si>
    <t>FIBER GUIDE</t>
  </si>
  <si>
    <t>RUBBER CAP</t>
  </si>
  <si>
    <t>MT</t>
  </si>
  <si>
    <t>TUBE HOLDER</t>
  </si>
  <si>
    <t>16MT (Y1)</t>
  </si>
  <si>
    <t>16MT (Y2)</t>
  </si>
  <si>
    <t>Q E-0025-1</t>
  </si>
  <si>
    <t>IDM</t>
  </si>
  <si>
    <t>SOLDER</t>
  </si>
  <si>
    <t>M3X6</t>
  </si>
  <si>
    <t>IDM-C (HGIM0010T)(ST@ 3 PC)</t>
  </si>
  <si>
    <t>UV RESIN</t>
  </si>
  <si>
    <t>f0.9</t>
  </si>
  <si>
    <t>326-1</t>
  </si>
  <si>
    <t>Base</t>
  </si>
  <si>
    <t>327-1</t>
  </si>
  <si>
    <t>LOWER CASE</t>
  </si>
  <si>
    <t>NEW TYPE (E-0025)</t>
  </si>
  <si>
    <t>PLASTIC SLEEVE</t>
  </si>
  <si>
    <t>FTM</t>
  </si>
  <si>
    <t>FTM (AM80021A)</t>
  </si>
  <si>
    <t>FTM (AM80055B)</t>
  </si>
  <si>
    <t>RUBBER HOLDER</t>
  </si>
  <si>
    <t>TYPE 1</t>
  </si>
  <si>
    <t>256</t>
  </si>
  <si>
    <t>Multiclosure</t>
  </si>
  <si>
    <t>TYPE 2</t>
  </si>
  <si>
    <t>98MM001</t>
  </si>
  <si>
    <t>FLM-PK63</t>
  </si>
  <si>
    <t>406L</t>
  </si>
  <si>
    <t>CANCEL</t>
  </si>
  <si>
    <t>SPONGE V2 TYPE A BK/AE90009B</t>
  </si>
  <si>
    <t>98MM002</t>
  </si>
  <si>
    <t>FLM-SP01-NECK PART</t>
  </si>
  <si>
    <t>407L</t>
  </si>
  <si>
    <t>SPONGE TYPE C</t>
  </si>
  <si>
    <t>SPONGE V2 TYPE C BK/AE90011A</t>
  </si>
  <si>
    <t>98MM003</t>
  </si>
  <si>
    <t>SOLDER SHEET</t>
  </si>
  <si>
    <t>FLM-HN58</t>
  </si>
  <si>
    <t>408L</t>
  </si>
  <si>
    <t>SPONGE TYPE D</t>
  </si>
  <si>
    <t>SPONGE V2 TYPE D BK/AE90012A</t>
  </si>
  <si>
    <t>98MM004</t>
  </si>
  <si>
    <t>FLM-BS87A-CUW</t>
  </si>
  <si>
    <t>409L</t>
  </si>
  <si>
    <t>SPONGE E</t>
  </si>
  <si>
    <t>AURORA V2 SPONGE E</t>
  </si>
  <si>
    <t>98MM005</t>
  </si>
  <si>
    <t>FLM-HN57</t>
  </si>
  <si>
    <t>REINFORCING SLEEVE</t>
  </si>
  <si>
    <t>S-927</t>
  </si>
  <si>
    <t>98MM007</t>
  </si>
  <si>
    <t>FLM-HN55</t>
  </si>
  <si>
    <t>M2*L5</t>
  </si>
  <si>
    <t>98MM008</t>
  </si>
  <si>
    <t>FLM-FB01A</t>
  </si>
  <si>
    <t>M2*L6</t>
  </si>
  <si>
    <t>429-2</t>
  </si>
  <si>
    <t>8AC-DOKEI</t>
  </si>
  <si>
    <t>98MM010</t>
  </si>
  <si>
    <t>FLM-AP01</t>
  </si>
  <si>
    <t>8AC NEW TYPE</t>
  </si>
  <si>
    <t>98MM011</t>
  </si>
  <si>
    <t>METAL STOPPER</t>
  </si>
  <si>
    <t>FLM-EC01-END GAP</t>
  </si>
  <si>
    <t>8P-WINC NEW TYPE</t>
  </si>
  <si>
    <t>98MM012</t>
  </si>
  <si>
    <t>FLM-CB01</t>
  </si>
  <si>
    <t>8P-WINC</t>
  </si>
  <si>
    <t>98MM013</t>
  </si>
  <si>
    <t>COLLIMATOR LENS</t>
  </si>
  <si>
    <t>FLM-AL01-FIRST LENS</t>
  </si>
  <si>
    <t>SPONGE</t>
  </si>
  <si>
    <t>Coupler Fixing Sponge for CTF</t>
  </si>
  <si>
    <t>98MM014</t>
  </si>
  <si>
    <t>METAL PLATE</t>
  </si>
  <si>
    <t>FLM-WL01-INNERWALL</t>
  </si>
  <si>
    <t>SC FERRULE</t>
  </si>
  <si>
    <t>SC</t>
  </si>
  <si>
    <t>98MM015</t>
  </si>
  <si>
    <t>FOCUSSING LENS</t>
  </si>
  <si>
    <t>FLM-LH01A-3RD H LENS</t>
  </si>
  <si>
    <t>SC/8</t>
  </si>
  <si>
    <t>98MM016</t>
  </si>
  <si>
    <t>OPTICAL ELEMENT</t>
  </si>
  <si>
    <t>FLM-FT01-FILTER</t>
  </si>
  <si>
    <t>98MM017</t>
  </si>
  <si>
    <t>FLM-LV01A-3RD V LENS</t>
  </si>
  <si>
    <t>RIBBON OPTICAL FIBER 8CORE</t>
  </si>
  <si>
    <t>G-313005</t>
  </si>
  <si>
    <t>98MM018</t>
  </si>
  <si>
    <t>FLM-NL01A-2ND LENS</t>
  </si>
  <si>
    <t>505-1</t>
  </si>
  <si>
    <t>f0.9(L-1940)</t>
  </si>
  <si>
    <t>98MM019</t>
  </si>
  <si>
    <t>MIRROR</t>
  </si>
  <si>
    <t>FLM-MR01</t>
  </si>
  <si>
    <t>G-365004</t>
  </si>
  <si>
    <t>98MM020</t>
  </si>
  <si>
    <t>BONDING WIRE</t>
  </si>
  <si>
    <t>FLM-GW03-50UM AU WIRE (RL@200ME)</t>
  </si>
  <si>
    <t>RL</t>
  </si>
  <si>
    <t>G-369042H/T-Pig FW-04/8T(B)/OTB405</t>
  </si>
  <si>
    <t>98MM021</t>
  </si>
  <si>
    <t>FIBER WITH CONNECTOR</t>
  </si>
  <si>
    <t>FLM-FAX-31A-2.0FF</t>
  </si>
  <si>
    <t>G-770008/T-Pig</t>
  </si>
  <si>
    <t>98MM022</t>
  </si>
  <si>
    <t>LID PACKAGE</t>
  </si>
  <si>
    <t>FLM-PL30</t>
  </si>
  <si>
    <t>497-N0463/LGR</t>
  </si>
  <si>
    <t>98MM023</t>
  </si>
  <si>
    <t>MATALIC LABEL</t>
  </si>
  <si>
    <t>FRAME</t>
  </si>
  <si>
    <t>497-N0463/SC</t>
  </si>
  <si>
    <t>98MM024</t>
  </si>
  <si>
    <t>FLUX</t>
  </si>
  <si>
    <t>PO-F-1010S (1BTL@50cc)</t>
  </si>
  <si>
    <t>KNOB</t>
  </si>
  <si>
    <t>98MM025</t>
  </si>
  <si>
    <t>FLM-HN56</t>
  </si>
  <si>
    <t>PLASTIC CAP</t>
  </si>
  <si>
    <t>98MM026</t>
  </si>
  <si>
    <t xml:space="preserve">CONDUCTIVE CUSHION </t>
  </si>
  <si>
    <t>IC Foam</t>
  </si>
  <si>
    <t>METAL RING</t>
  </si>
  <si>
    <t>98MM027</t>
  </si>
  <si>
    <t xml:space="preserve">COLLIMATOR LENS </t>
  </si>
  <si>
    <t>FLM-AL02-FIRST LENS</t>
  </si>
  <si>
    <t>CLAMP RING</t>
  </si>
  <si>
    <t>98MM028</t>
  </si>
  <si>
    <t>SILICONE TUBE</t>
  </si>
  <si>
    <t>SILICONE TUBE 1.0X1.5DB (RL@200ME))</t>
  </si>
  <si>
    <t>PLASTIC STOP RING</t>
  </si>
  <si>
    <t>98MM030</t>
  </si>
  <si>
    <t>FLM-LH02A-3RD H LENS</t>
  </si>
  <si>
    <t>497-N0463/LMR</t>
  </si>
  <si>
    <t>98MM031</t>
  </si>
  <si>
    <t>FLM-FAU71A-1.1F</t>
  </si>
  <si>
    <t>497-N0493-0001/Long</t>
  </si>
  <si>
    <t>98MM038</t>
  </si>
  <si>
    <t>FLM-PK63B</t>
  </si>
  <si>
    <t>S924</t>
  </si>
  <si>
    <t>C225</t>
  </si>
  <si>
    <t>CUTTING SLIT</t>
  </si>
  <si>
    <t>XY-KANA BLADE (CIRCLE)</t>
  </si>
  <si>
    <t>Stabilizer</t>
  </si>
  <si>
    <t>RIBBON OPTICAL FIBER 4CORE</t>
  </si>
  <si>
    <t>S-0.4/4T G368011</t>
  </si>
  <si>
    <t>C602</t>
  </si>
  <si>
    <t>ADHESIVES</t>
  </si>
  <si>
    <t>ADHESIVES E-5063C  (BTL@1000GM)</t>
  </si>
  <si>
    <t>FBT</t>
  </si>
  <si>
    <t>S924 for Shinsui Kenchi</t>
  </si>
  <si>
    <t>C603</t>
  </si>
  <si>
    <t xml:space="preserve">WORLD ROCK </t>
  </si>
  <si>
    <t>WORLD ROCK 8774N1 (PC@5GM)</t>
  </si>
  <si>
    <t>MIL-LT-3/16-4 /Yellow ( PC@1.2 ME )</t>
  </si>
  <si>
    <t>C604</t>
  </si>
  <si>
    <t>WORLD ROCK 8775S8 (PC@5GM)</t>
  </si>
  <si>
    <t>497-N0508-0001</t>
  </si>
  <si>
    <t>C627</t>
  </si>
  <si>
    <t>STAYDRY HICAP</t>
  </si>
  <si>
    <t>Staydry Hicap 2000 Black (3cc syringe)</t>
  </si>
  <si>
    <t>TPIG KANTAN 20DB/BKKM0270</t>
  </si>
  <si>
    <t>D02</t>
  </si>
  <si>
    <t>LD CARRIER</t>
  </si>
  <si>
    <t>1413 C9</t>
  </si>
  <si>
    <t>BUTTERFLY1480</t>
  </si>
  <si>
    <t>SLEEVE HOLDER</t>
  </si>
  <si>
    <t>FH03W-IR31(S)</t>
  </si>
  <si>
    <t>D03</t>
  </si>
  <si>
    <t>1414 C9</t>
  </si>
  <si>
    <t>LD CAN</t>
  </si>
  <si>
    <t>FOL14Q9Y6-H-B</t>
  </si>
  <si>
    <t>D04</t>
  </si>
  <si>
    <t>1415 C9</t>
  </si>
  <si>
    <t>FOL15Q1Y6-H-B</t>
  </si>
  <si>
    <t>D05</t>
  </si>
  <si>
    <t>1425 FC2</t>
  </si>
  <si>
    <t>FOL15G5Y6-L-A</t>
  </si>
  <si>
    <t>D06</t>
  </si>
  <si>
    <t>FOP1332E10</t>
  </si>
  <si>
    <t>FOL15F5Y6-M-A</t>
  </si>
  <si>
    <t>D10</t>
  </si>
  <si>
    <t>CH24 A</t>
  </si>
  <si>
    <t>FOL15Q3Y6-H-B</t>
  </si>
  <si>
    <t>D12</t>
  </si>
  <si>
    <t>ISOLATOR</t>
  </si>
  <si>
    <t>IS11</t>
  </si>
  <si>
    <t>FOL14Q7Y6-H-E</t>
  </si>
  <si>
    <t>D15</t>
  </si>
  <si>
    <t>1371Y4</t>
  </si>
  <si>
    <t>D16</t>
  </si>
  <si>
    <t>PL07</t>
  </si>
  <si>
    <t>FOL13F1Y6-H-A-BAK</t>
  </si>
  <si>
    <t>D20</t>
  </si>
  <si>
    <t>FLM-FAS12F</t>
  </si>
  <si>
    <t>FH02-A01-IR55(S)</t>
  </si>
  <si>
    <t>D22</t>
  </si>
  <si>
    <t>FLM-FAS21J</t>
  </si>
  <si>
    <t>FOL13F1Y6-H-A-BAK-I</t>
  </si>
  <si>
    <t>D25</t>
  </si>
  <si>
    <t>FLM-FAS26G</t>
  </si>
  <si>
    <t>FOL15C3Y6-L-B</t>
  </si>
  <si>
    <t>D26</t>
  </si>
  <si>
    <t>FLM-FAR21A</t>
  </si>
  <si>
    <t>FOL15C3Y6-H-E</t>
  </si>
  <si>
    <t>D27</t>
  </si>
  <si>
    <t>FLM-FAS11H</t>
  </si>
  <si>
    <t>FOL16C1Y6-H-E</t>
  </si>
  <si>
    <t>D34</t>
  </si>
  <si>
    <t>HN30 AuSn(PC@0.005GM)</t>
  </si>
  <si>
    <t>FOL16Q1Y6-H-B</t>
  </si>
  <si>
    <t>D35</t>
  </si>
  <si>
    <t>FS25</t>
  </si>
  <si>
    <t>FOL14C7Y6-H-B</t>
  </si>
  <si>
    <t>D36</t>
  </si>
  <si>
    <t>AU WIRE</t>
  </si>
  <si>
    <t>Au wire (RL@500ME)</t>
  </si>
  <si>
    <t>FOL15C5Y6-H-B</t>
  </si>
  <si>
    <t>D37</t>
  </si>
  <si>
    <t>CLIP</t>
  </si>
  <si>
    <t>Clip</t>
  </si>
  <si>
    <t>FOL14C9Y6-H-B</t>
  </si>
  <si>
    <t>D41</t>
  </si>
  <si>
    <t>Silver Label</t>
  </si>
  <si>
    <t>FH02-A01-IR49(S)</t>
  </si>
  <si>
    <t>D43</t>
  </si>
  <si>
    <t>CONDUCTIVE CUSHION</t>
  </si>
  <si>
    <t>FOL15G5Y6-L-P</t>
  </si>
  <si>
    <t>D46</t>
  </si>
  <si>
    <t>40 mm</t>
  </si>
  <si>
    <t>FOL14C9Y6-H-E</t>
  </si>
  <si>
    <t>D50</t>
  </si>
  <si>
    <t>LENS SLEEVE</t>
  </si>
  <si>
    <t>CS18(MADE BY SUNRISE)</t>
  </si>
  <si>
    <t>FOL14C9Y6-L-B</t>
  </si>
  <si>
    <t>D54</t>
  </si>
  <si>
    <t>FLM-BS46</t>
  </si>
  <si>
    <t>FOL15G5Y6-H-A</t>
  </si>
  <si>
    <t>D55</t>
  </si>
  <si>
    <t>PAPER LABEL</t>
  </si>
  <si>
    <t>Serial Label 11 x 19 mm</t>
  </si>
  <si>
    <t>FOL14Q9Y6-H-E</t>
  </si>
  <si>
    <t>D56</t>
  </si>
  <si>
    <t>Plain Label 60 x 8 mm</t>
  </si>
  <si>
    <t>FOL14C7Y6-H-E</t>
  </si>
  <si>
    <t>D59</t>
  </si>
  <si>
    <t>FLM-BS23</t>
  </si>
  <si>
    <t>FOL15Q1Y6-H-E</t>
  </si>
  <si>
    <t>D60</t>
  </si>
  <si>
    <t>FLM-FAS21N</t>
  </si>
  <si>
    <t>FOL15C1Y6-H-E</t>
  </si>
  <si>
    <t>D62</t>
  </si>
  <si>
    <t>FLM-FAS26G 1.2F</t>
  </si>
  <si>
    <t>FOL15Q3Y6-H-E</t>
  </si>
  <si>
    <t>D63</t>
  </si>
  <si>
    <t>1416 FC6</t>
  </si>
  <si>
    <t>FOL15Q7Y6-H-E</t>
  </si>
  <si>
    <t>D67</t>
  </si>
  <si>
    <t>HN42 AuSn(PC@0.0075GM)</t>
  </si>
  <si>
    <t>FOL15C7Y6-H-E</t>
  </si>
  <si>
    <t>D69</t>
  </si>
  <si>
    <t>FLM-GB24</t>
  </si>
  <si>
    <t>FOL15Q9Y6-H-E</t>
  </si>
  <si>
    <t>D70</t>
  </si>
  <si>
    <t>FLM-HN31</t>
  </si>
  <si>
    <t>FOL15C9Y6-H-E</t>
  </si>
  <si>
    <t>D71</t>
  </si>
  <si>
    <t>RoHS Compliant</t>
  </si>
  <si>
    <t>FOL14C7Y6-M-C</t>
  </si>
  <si>
    <t>D73</t>
  </si>
  <si>
    <t>1417 FC6</t>
  </si>
  <si>
    <t>FOL16Q1Y6-H-E</t>
  </si>
  <si>
    <t>D74</t>
  </si>
  <si>
    <t>FLM-GB23</t>
  </si>
  <si>
    <t>FS33</t>
  </si>
  <si>
    <t>D75</t>
  </si>
  <si>
    <t>FLM-FAS11A</t>
  </si>
  <si>
    <t>FOL15G5Y6-M-E</t>
  </si>
  <si>
    <t>D76</t>
  </si>
  <si>
    <t>FLM-IS11L</t>
  </si>
  <si>
    <t>FOL15C5Y6-M-E</t>
  </si>
  <si>
    <t>D77</t>
  </si>
  <si>
    <t>FLM-FAS26GB</t>
  </si>
  <si>
    <t>BPF</t>
  </si>
  <si>
    <t>EF03</t>
  </si>
  <si>
    <t>D78</t>
  </si>
  <si>
    <t>Silicone Tube 1.0x1.5DB</t>
  </si>
  <si>
    <t>EF04</t>
  </si>
  <si>
    <t>D79</t>
  </si>
  <si>
    <t xml:space="preserve">BONDING WIRE </t>
  </si>
  <si>
    <t>Bonding wire 2000m/roll</t>
  </si>
  <si>
    <t>BODY</t>
  </si>
  <si>
    <t>BD03</t>
  </si>
  <si>
    <t>D80</t>
  </si>
  <si>
    <t>1427 FC6</t>
  </si>
  <si>
    <t>FOL14C9Y6-M-C</t>
  </si>
  <si>
    <t>D81</t>
  </si>
  <si>
    <t>FLM-FAS26G*-0.9N</t>
  </si>
  <si>
    <t>FOL15C3Y6-M-C</t>
  </si>
  <si>
    <t>D82</t>
  </si>
  <si>
    <t>FLM-FAS26G*-0.6N</t>
  </si>
  <si>
    <t>FOL15C7Y6-M-C</t>
  </si>
  <si>
    <t>D83</t>
  </si>
  <si>
    <t>FLM-FAS26G*-1.2FF</t>
  </si>
  <si>
    <t>FOL16C1Y6-M-C</t>
  </si>
  <si>
    <t>D84</t>
  </si>
  <si>
    <t>FLM-FAS26G*-2.5FF</t>
  </si>
  <si>
    <t>LENS HOLDER</t>
  </si>
  <si>
    <t>CH39</t>
  </si>
  <si>
    <t>D85</t>
  </si>
  <si>
    <t>FLM-FAS11H*-1.6N</t>
  </si>
  <si>
    <t>FOL15C5Y6-H-E</t>
  </si>
  <si>
    <t>D86</t>
  </si>
  <si>
    <t>FLM-FAS11H*-2.5FF</t>
  </si>
  <si>
    <t>FOL15G5Y6-M-A</t>
  </si>
  <si>
    <t>D89</t>
  </si>
  <si>
    <t>1414 FC7</t>
  </si>
  <si>
    <t>FH02-A01-IR47(S)</t>
  </si>
  <si>
    <t>D94</t>
  </si>
  <si>
    <t>1419FC6</t>
  </si>
  <si>
    <t>NCP-06</t>
  </si>
  <si>
    <t>D95</t>
  </si>
  <si>
    <t>FLM-FAR26B*-1.2FF</t>
  </si>
  <si>
    <t>NCP-10</t>
  </si>
  <si>
    <t>DFBT101</t>
  </si>
  <si>
    <t>Package</t>
  </si>
  <si>
    <t>TEC Assembly</t>
  </si>
  <si>
    <t>PIGTAIL</t>
  </si>
  <si>
    <t>FA36R</t>
  </si>
  <si>
    <t>DFBT102</t>
  </si>
  <si>
    <t>FLM-PK53</t>
  </si>
  <si>
    <t>FOL15C1Y6-L-B</t>
  </si>
  <si>
    <t>DFBT201</t>
  </si>
  <si>
    <t>Thermoelectric Cooler</t>
  </si>
  <si>
    <t>FOL16C1Y6-L-B</t>
  </si>
  <si>
    <t>DFBT202</t>
  </si>
  <si>
    <t>THERMOELECTRIC COOLER</t>
  </si>
  <si>
    <t>FLM-PE32</t>
  </si>
  <si>
    <t>FOL15C7Y6-M-E</t>
  </si>
  <si>
    <t>DFBT301</t>
  </si>
  <si>
    <t>FLM-IN01</t>
  </si>
  <si>
    <t>FH02</t>
  </si>
  <si>
    <t>DFBT302</t>
  </si>
  <si>
    <t>FLM-IN02</t>
  </si>
  <si>
    <t>FOL15C7Y6-L-B</t>
  </si>
  <si>
    <t>DFBT401</t>
  </si>
  <si>
    <t>PLASTIC HOLDER</t>
  </si>
  <si>
    <t>POLYIMIDE TUBE 4mm (PC@0.004ME)</t>
  </si>
  <si>
    <t>FOL13G1Y6-H-A-BAK</t>
  </si>
  <si>
    <t>DFBT402</t>
  </si>
  <si>
    <t>Isolating Tube</t>
  </si>
  <si>
    <t>FOL13F1Y6-M-P</t>
  </si>
  <si>
    <t>DFBT403</t>
  </si>
  <si>
    <t>POLYIMIDE TUBE 10mm</t>
  </si>
  <si>
    <t>FA36R-IR31(s)</t>
  </si>
  <si>
    <t>DFBT501</t>
  </si>
  <si>
    <t>Solder</t>
  </si>
  <si>
    <t>FA38R-IR55(s)</t>
  </si>
  <si>
    <t>DFBT502</t>
  </si>
  <si>
    <t>FLM-HN33(PC@0.05GM)</t>
  </si>
  <si>
    <t>FH02-A01</t>
  </si>
  <si>
    <t>DFBT503</t>
  </si>
  <si>
    <t>SOLDER WIRE</t>
  </si>
  <si>
    <t>Pb free LFM-48X HA2-RA(SnAgCu)BTL@500GM</t>
  </si>
  <si>
    <t>FA38R-IR31(s)</t>
  </si>
  <si>
    <t>DFBT504</t>
  </si>
  <si>
    <t>FA36R-IR55(s)</t>
  </si>
  <si>
    <t>DP002</t>
  </si>
  <si>
    <t>V-GROOVED GLASS PLATE</t>
  </si>
  <si>
    <t>100mmX100mm t1.5(486-N0497-0001)</t>
  </si>
  <si>
    <t>DPQPSK</t>
  </si>
  <si>
    <t>FOL15Q5Y6-H-E</t>
  </si>
  <si>
    <t>DP003</t>
  </si>
  <si>
    <t>WAVELENGTH FILM</t>
  </si>
  <si>
    <t>C-band ( 430-V0538-0001)</t>
  </si>
  <si>
    <t>FOL15C9Y6-H-B</t>
  </si>
  <si>
    <t>DP004</t>
  </si>
  <si>
    <t>PACKING BOX</t>
  </si>
  <si>
    <t>1-4630-41 Case 1 type (488-N0850-0001)</t>
  </si>
  <si>
    <t>FS22</t>
  </si>
  <si>
    <t>DP005</t>
  </si>
  <si>
    <t>CUSHION</t>
  </si>
  <si>
    <t>TAC Sheet C-01H-30(488-N0851-0001)</t>
  </si>
  <si>
    <t>FOL13F1Y6-H-B BAK.</t>
  </si>
  <si>
    <t>DP006</t>
  </si>
  <si>
    <t>For2D barcord 20mmx20mm (487-N0573-0001)</t>
  </si>
  <si>
    <t>FOL16C1Y6-H-B</t>
  </si>
  <si>
    <t>DP007</t>
  </si>
  <si>
    <t>THERMAL SHEET</t>
  </si>
  <si>
    <t>TM Sheet EE-R 150MM X 230MM T=0.5MM</t>
  </si>
  <si>
    <t>FOL1371Y4D0</t>
  </si>
  <si>
    <t>DP008</t>
  </si>
  <si>
    <t>UV ADHESIVE</t>
  </si>
  <si>
    <t>#6678 (BTL@2.5gm)</t>
  </si>
  <si>
    <t>FOL14G9Y4D0</t>
  </si>
  <si>
    <t>DP009</t>
  </si>
  <si>
    <t>AT6001 (1 BTL=2.5G)</t>
  </si>
  <si>
    <t>FA24R-IR31(s)</t>
  </si>
  <si>
    <t>DP010</t>
  </si>
  <si>
    <t>L-band (1pcs for 4pcs of DP Module)</t>
  </si>
  <si>
    <t>FOL15G5Y4D0</t>
  </si>
  <si>
    <t>DP011</t>
  </si>
  <si>
    <t>OPTICAL CHIP</t>
  </si>
  <si>
    <t>TypeH</t>
  </si>
  <si>
    <t>FOL15C9Y6-M-C</t>
  </si>
  <si>
    <t>DP013</t>
  </si>
  <si>
    <t>DP-QPSK TYPE M</t>
  </si>
  <si>
    <t>FS23R</t>
  </si>
  <si>
    <t>DP012</t>
  </si>
  <si>
    <t>DP-QPSK TYPE L</t>
  </si>
  <si>
    <t>FOL13G1Y4D0</t>
  </si>
  <si>
    <t>FBT011</t>
  </si>
  <si>
    <t>FLM-PK49(Kyocera)</t>
  </si>
  <si>
    <t>FOL15C1Y6-M-C</t>
  </si>
  <si>
    <t>FBT011M</t>
  </si>
  <si>
    <t>FLM-PK61(Kyocera)</t>
  </si>
  <si>
    <t>FOL15G5Y6-M-P</t>
  </si>
  <si>
    <t>FBT012</t>
  </si>
  <si>
    <t>FLM-PK57(Kyocera)</t>
  </si>
  <si>
    <t>FOL15C5Y6-M-C</t>
  </si>
  <si>
    <t>FBT012M</t>
  </si>
  <si>
    <t>FLM-PK61B(Sumitomo)</t>
  </si>
  <si>
    <t>PIGTAIL CASE</t>
  </si>
  <si>
    <t>Green pigtail case</t>
  </si>
  <si>
    <t>FBT013</t>
  </si>
  <si>
    <t>FLM-PK49B(Sumitomo)</t>
  </si>
  <si>
    <t>PRODUCT LABEL</t>
  </si>
  <si>
    <t>RoHs Compliant</t>
  </si>
  <si>
    <t>FBT014</t>
  </si>
  <si>
    <t>FLM-PK57B(SUMITOMO)</t>
  </si>
  <si>
    <t>LS09</t>
  </si>
  <si>
    <t>FBT021</t>
  </si>
  <si>
    <t>FLM-PE28 (TEC1)</t>
  </si>
  <si>
    <t>FA38R</t>
  </si>
  <si>
    <t>FBT021M</t>
  </si>
  <si>
    <t>FLM-PE59(TEC1)</t>
  </si>
  <si>
    <t>FOL13F1Y6-H-B-BAK-I</t>
  </si>
  <si>
    <t>FBT022</t>
  </si>
  <si>
    <t>FLM-PE26 (TEC2)</t>
  </si>
  <si>
    <t>NC07</t>
  </si>
  <si>
    <t>FBT022M</t>
  </si>
  <si>
    <t>FLM-PE51(TEC2)</t>
  </si>
  <si>
    <t>CAP</t>
  </si>
  <si>
    <t>LC</t>
  </si>
  <si>
    <t>FBT024</t>
  </si>
  <si>
    <t>FLM-PE38B (TEC1)</t>
  </si>
  <si>
    <t>FBT025</t>
  </si>
  <si>
    <t>FLM-PE40 (TEC2)</t>
  </si>
  <si>
    <t>LDM(RL@ 4000 PC)</t>
  </si>
  <si>
    <t>FBT027</t>
  </si>
  <si>
    <t>FLM-PE42 (TEC2)</t>
  </si>
  <si>
    <t>FS20</t>
  </si>
  <si>
    <t>FBT028</t>
  </si>
  <si>
    <t>FLM-PE43 (TEC1)</t>
  </si>
  <si>
    <t>FLANGE</t>
  </si>
  <si>
    <t>HS09</t>
  </si>
  <si>
    <t>FBT031</t>
  </si>
  <si>
    <t>Poliimide Tube 4mm</t>
  </si>
  <si>
    <t>FA65</t>
  </si>
  <si>
    <t>FBT032</t>
  </si>
  <si>
    <t>Poliimide Tube 9mm</t>
  </si>
  <si>
    <t>CONDUCTIVE</t>
  </si>
  <si>
    <t>LDM(20x23 mm)(PC@0.00046 SM)</t>
  </si>
  <si>
    <t>FBT034</t>
  </si>
  <si>
    <t>Poliimide Tube 5mm</t>
  </si>
  <si>
    <t>LDM</t>
  </si>
  <si>
    <t>FBT035</t>
  </si>
  <si>
    <t>HEAT SHRINKABLE SUMI-TUBE</t>
  </si>
  <si>
    <t>CONDUCTIVE AIR BUBBLE</t>
  </si>
  <si>
    <t>LDM-Pig(PC@0.00046sm)</t>
  </si>
  <si>
    <t>FBT041</t>
  </si>
  <si>
    <t>CHIP ON SUBMOUNT</t>
  </si>
  <si>
    <t>Full band  LD_cos (C-Band)</t>
  </si>
  <si>
    <t>HS05</t>
  </si>
  <si>
    <t>FBT042</t>
  </si>
  <si>
    <t>Chip On Submount</t>
  </si>
  <si>
    <t>FA24</t>
  </si>
  <si>
    <t>FBT051M</t>
  </si>
  <si>
    <t>FLM-BS11</t>
  </si>
  <si>
    <t>1377Y4</t>
  </si>
  <si>
    <t>FBT052M</t>
  </si>
  <si>
    <t>FLM-BS11B</t>
  </si>
  <si>
    <t>FH03W</t>
  </si>
  <si>
    <t>FBT053</t>
  </si>
  <si>
    <t>BASE ASSEMBLY</t>
  </si>
  <si>
    <t>BS84+PDx2+PC16+TH10+TS03</t>
  </si>
  <si>
    <t>EF02(LWPF)</t>
  </si>
  <si>
    <t>FBT053M</t>
  </si>
  <si>
    <t>FLM-BS12</t>
  </si>
  <si>
    <t>FS32</t>
  </si>
  <si>
    <t>FBT054M</t>
  </si>
  <si>
    <t>FLM-BS12B</t>
  </si>
  <si>
    <t>FH05</t>
  </si>
  <si>
    <t>FBT055</t>
  </si>
  <si>
    <t>BS86</t>
  </si>
  <si>
    <t>CH42</t>
  </si>
  <si>
    <t>FBT055M</t>
  </si>
  <si>
    <t>FLM-BS13</t>
  </si>
  <si>
    <t>1377Y6(1376)</t>
  </si>
  <si>
    <t>FBT056M</t>
  </si>
  <si>
    <t>FLM-BS13B</t>
  </si>
  <si>
    <t>FA38(ST)</t>
  </si>
  <si>
    <t>FBT057</t>
  </si>
  <si>
    <t>BS88</t>
  </si>
  <si>
    <t>FOL15G5Y6-M-B</t>
  </si>
  <si>
    <t>FBT061</t>
  </si>
  <si>
    <t>FLM-CH24A</t>
  </si>
  <si>
    <t>FOL15G5Y6-L-B</t>
  </si>
  <si>
    <t>FBT061M</t>
  </si>
  <si>
    <t>FLM-CH47</t>
  </si>
  <si>
    <t>FOL15G5Y6-H-B</t>
  </si>
  <si>
    <t>FBT062</t>
  </si>
  <si>
    <t>FLM-CH46</t>
  </si>
  <si>
    <t>CH41</t>
  </si>
  <si>
    <t>FBT071</t>
  </si>
  <si>
    <t>FLM-CS18</t>
  </si>
  <si>
    <t>FOL13F1Y6-H-B</t>
  </si>
  <si>
    <t>FBT082</t>
  </si>
  <si>
    <t>Au wire (2000m/roll)</t>
  </si>
  <si>
    <t>CH33</t>
  </si>
  <si>
    <t>FH03W-A01-IR55(S)</t>
  </si>
  <si>
    <t>FBT091</t>
  </si>
  <si>
    <t>FLM-IS36</t>
  </si>
  <si>
    <t>FOL15C5Y6-M-B</t>
  </si>
  <si>
    <t>FBT092M</t>
  </si>
  <si>
    <t>FLM-PR21 (Mirror)</t>
  </si>
  <si>
    <t>FOL15C5Y6-L-B</t>
  </si>
  <si>
    <t>FBT093</t>
  </si>
  <si>
    <t>BEAM SPLITTER</t>
  </si>
  <si>
    <t>FLM-PR17</t>
  </si>
  <si>
    <t>FOL15C1Y6-H-B</t>
  </si>
  <si>
    <t>FBT093M</t>
  </si>
  <si>
    <t>FLM-PR22</t>
  </si>
  <si>
    <t>FOL14Q7Y6-H-B</t>
  </si>
  <si>
    <t>FBT096</t>
  </si>
  <si>
    <t>FLM-IS47</t>
  </si>
  <si>
    <t>FOL14C7Y6-M-B</t>
  </si>
  <si>
    <t>FBT102</t>
  </si>
  <si>
    <t>ETALON</t>
  </si>
  <si>
    <t>FLM-ET21(A-Crystal)</t>
  </si>
  <si>
    <t>FH03W-A01-IR47(S)</t>
  </si>
  <si>
    <t>FBT102M</t>
  </si>
  <si>
    <t>FLM-ET22B</t>
  </si>
  <si>
    <t>FOL14C9Y6-M-B</t>
  </si>
  <si>
    <t>FBT104</t>
  </si>
  <si>
    <t>FLM-ET15B(Quartz)</t>
  </si>
  <si>
    <t>FOL15C3Y6-M-B</t>
  </si>
  <si>
    <t>FBT112</t>
  </si>
  <si>
    <t xml:space="preserve">SLEEVE HOLDER	</t>
  </si>
  <si>
    <t>FH03W-A01-IR53(S)</t>
  </si>
  <si>
    <t>FBT112M</t>
  </si>
  <si>
    <t>FLM-PL29</t>
  </si>
  <si>
    <t>FOL15C7Y6-M-B</t>
  </si>
  <si>
    <t>FBT113</t>
  </si>
  <si>
    <t>SKIRT</t>
  </si>
  <si>
    <t>FLM-PL27</t>
  </si>
  <si>
    <t>FH03W-A01-IR57(S)</t>
  </si>
  <si>
    <t>FBT121</t>
  </si>
  <si>
    <t>FLM-SL22B</t>
  </si>
  <si>
    <t>FOL15C9Y6-M-B</t>
  </si>
  <si>
    <t>FBT121M</t>
  </si>
  <si>
    <t>FLM-SL23</t>
  </si>
  <si>
    <t>FH03W-A01-IR59(S)</t>
  </si>
  <si>
    <t>FBT131</t>
  </si>
  <si>
    <t>FLM-FAR22J-1.2F</t>
  </si>
  <si>
    <t>FOL16C1Y6-M-B</t>
  </si>
  <si>
    <t>FBT131M</t>
  </si>
  <si>
    <t>FLM-FAW21A-1.3F</t>
  </si>
  <si>
    <t>FH03W-A01-IR61(S)</t>
  </si>
  <si>
    <t>FBT132M</t>
  </si>
  <si>
    <t>FLM-FAW21B-1.3F</t>
  </si>
  <si>
    <t>FOL15C1Y6-M-B</t>
  </si>
  <si>
    <t>FBT133M</t>
  </si>
  <si>
    <t>FLM-FAW21C-1.3F</t>
  </si>
  <si>
    <t>FOL15C3Y6-H-B</t>
  </si>
  <si>
    <t>FBT134</t>
  </si>
  <si>
    <t>FLM-FAR21D</t>
  </si>
  <si>
    <t>FH03W-A01-IR51(S)</t>
  </si>
  <si>
    <t>FBT141</t>
  </si>
  <si>
    <t>FLM-FS25</t>
  </si>
  <si>
    <t>FOL15Q5Y6-H-B</t>
  </si>
  <si>
    <t>FBT141M</t>
  </si>
  <si>
    <t>FLM-FS37</t>
  </si>
  <si>
    <t>FOL15F5Y6-M-B</t>
  </si>
  <si>
    <t>FBT151</t>
  </si>
  <si>
    <t>FH03W-A01-IR49(S)</t>
  </si>
  <si>
    <t>FBT161M</t>
  </si>
  <si>
    <t>FLM-HN54</t>
  </si>
  <si>
    <t>FOL15Q7Y6-H-B</t>
  </si>
  <si>
    <t>FBT163</t>
  </si>
  <si>
    <t>FLM-HN29 (PKG-TEC)</t>
  </si>
  <si>
    <t>FOL15Q9Y6-H-B</t>
  </si>
  <si>
    <t>FBT164</t>
  </si>
  <si>
    <t>FLM-HN35 (TEC-BASE)</t>
  </si>
  <si>
    <t>4MTR-125.5-G1</t>
  </si>
  <si>
    <t>FBT165</t>
  </si>
  <si>
    <t>M705 0.6mm(500gm@RL)</t>
  </si>
  <si>
    <t>801-1</t>
  </si>
  <si>
    <t>FBT166</t>
  </si>
  <si>
    <t>FLM-HN45</t>
  </si>
  <si>
    <t>4MTR-125.5-G2</t>
  </si>
  <si>
    <t>FBT167</t>
  </si>
  <si>
    <t>FLM-HN46(TEC-BASE)</t>
  </si>
  <si>
    <t>802-1</t>
  </si>
  <si>
    <t>FBT168</t>
  </si>
  <si>
    <t>FLM-HN47(PD)</t>
  </si>
  <si>
    <t>8MTR-125.5-Y1</t>
  </si>
  <si>
    <t>FBT169</t>
  </si>
  <si>
    <t>FLM-HN48(TH)</t>
  </si>
  <si>
    <t>803-1</t>
  </si>
  <si>
    <t>FBT172</t>
  </si>
  <si>
    <t>8MTR-125.5-Y2</t>
  </si>
  <si>
    <t>FBT181</t>
  </si>
  <si>
    <t>Packing Label 60*8</t>
  </si>
  <si>
    <t>804-1</t>
  </si>
  <si>
    <t>FBT182</t>
  </si>
  <si>
    <t>Matalic Label</t>
  </si>
  <si>
    <t>4MT</t>
  </si>
  <si>
    <t>FBT183</t>
  </si>
  <si>
    <t>FBT184</t>
  </si>
  <si>
    <t>SERIAL LABEL</t>
  </si>
  <si>
    <t>FBT184M</t>
  </si>
  <si>
    <t>Serial Label for TOSA</t>
  </si>
  <si>
    <t>G-365040/Blue</t>
  </si>
  <si>
    <t>FBT185</t>
  </si>
  <si>
    <t xml:space="preserve">PRINTING RIBBON </t>
  </si>
  <si>
    <t>RS-111 64MMX300MM(RL@300ME)</t>
  </si>
  <si>
    <t>G-365040/Yellow</t>
  </si>
  <si>
    <t>FBT191</t>
  </si>
  <si>
    <t>G-369028/Green1</t>
  </si>
  <si>
    <t>FBT201</t>
  </si>
  <si>
    <t>FLM-LC24 (C-Band)</t>
  </si>
  <si>
    <t>G-369028/Yellow2</t>
  </si>
  <si>
    <t>FBT201M</t>
  </si>
  <si>
    <t>FLM-LC26</t>
  </si>
  <si>
    <t>BODY CASE - 8P (LILAC)</t>
  </si>
  <si>
    <t>FBT202</t>
  </si>
  <si>
    <t>FLM-LC24 (L-Band)</t>
  </si>
  <si>
    <t>SPONGE G</t>
  </si>
  <si>
    <t>FBT202M</t>
  </si>
  <si>
    <t>FLM-LC26A</t>
  </si>
  <si>
    <t>BOTTOM CASE</t>
  </si>
  <si>
    <t>BODY CASE FOR FTM5 RELAY</t>
  </si>
  <si>
    <t>FBT203</t>
  </si>
  <si>
    <t>FLM-C_NLW</t>
  </si>
  <si>
    <t>INTERMEDIATE PLATE FOR FTM5 RELAY</t>
  </si>
  <si>
    <t>FBT203M</t>
  </si>
  <si>
    <t>FOL15TD04DF5</t>
  </si>
  <si>
    <t>LID FOR FTM5 RELAY</t>
  </si>
  <si>
    <t>FBT204</t>
  </si>
  <si>
    <t>FLM-L_NLW</t>
  </si>
  <si>
    <t>LID B FOR FTM5 RELAY</t>
  </si>
  <si>
    <t>FBT204M</t>
  </si>
  <si>
    <t>FOL15TS04DF5</t>
  </si>
  <si>
    <t>RUBBER HOLDER/FOR FTM5 RELAY</t>
  </si>
  <si>
    <t>FBT205M</t>
  </si>
  <si>
    <t>FLM-LC27(00)</t>
  </si>
  <si>
    <t>ADAPTER PANEL</t>
  </si>
  <si>
    <t>FBT301</t>
  </si>
  <si>
    <t>FLM-PC18</t>
  </si>
  <si>
    <t>ADAPTER</t>
  </si>
  <si>
    <t>SC ADAPTER</t>
  </si>
  <si>
    <t>FBT401</t>
  </si>
  <si>
    <t>THERMISTER</t>
  </si>
  <si>
    <t>PAN HAND SCREW/M2*L5</t>
  </si>
  <si>
    <t>FBT901</t>
  </si>
  <si>
    <t>FLM-HN49(PKG-TEC)</t>
  </si>
  <si>
    <t>COUNTER SUNK SCREW/M2*L6</t>
  </si>
  <si>
    <t>FBT902</t>
  </si>
  <si>
    <t>FLM-HN51(Base Bonding)</t>
  </si>
  <si>
    <t>PRODUCT CARD</t>
  </si>
  <si>
    <t>FBT903</t>
  </si>
  <si>
    <t>FLM-HN52</t>
  </si>
  <si>
    <t>CTF MODULE CASE</t>
  </si>
  <si>
    <t>FBT904</t>
  </si>
  <si>
    <t>FLM-HN53(TEC-BASE)</t>
  </si>
  <si>
    <t>CTF HOLDER A</t>
  </si>
  <si>
    <t>FC001</t>
  </si>
  <si>
    <t>METAL CLAMP</t>
  </si>
  <si>
    <t>CLAMP ARM : 81B2341K</t>
  </si>
  <si>
    <t>CTF HOLDER B</t>
  </si>
  <si>
    <t>FC002</t>
  </si>
  <si>
    <t>MAGNET</t>
  </si>
  <si>
    <t>MAGNET # 1 (7x10 mm)</t>
  </si>
  <si>
    <t>CTF PLATE</t>
  </si>
  <si>
    <t>FC003</t>
  </si>
  <si>
    <t>PLASTIC SPACER</t>
  </si>
  <si>
    <t>CLOSING PLATE</t>
  </si>
  <si>
    <t>FC004</t>
  </si>
  <si>
    <t>SCREW M2x4L</t>
  </si>
  <si>
    <t>PAN HEAD SCREW/M2*L7</t>
  </si>
  <si>
    <t>FC005</t>
  </si>
  <si>
    <t>SHAFT</t>
  </si>
  <si>
    <t>HINGE SHAFT</t>
  </si>
  <si>
    <t>CTF BUSH A</t>
  </si>
  <si>
    <t>FC006</t>
  </si>
  <si>
    <t>E-RING 4</t>
  </si>
  <si>
    <t>CTF BUSH B</t>
  </si>
  <si>
    <t>FC007</t>
  </si>
  <si>
    <t>COLLAR</t>
  </si>
  <si>
    <t>COLLAR OT</t>
  </si>
  <si>
    <t>CTF SPONGE</t>
  </si>
  <si>
    <t>FC008</t>
  </si>
  <si>
    <t>BEARING</t>
  </si>
  <si>
    <t>BALL BEARING WITH FLANGE</t>
  </si>
  <si>
    <t>COUNTER SUNK SCREW/M3*L6</t>
  </si>
  <si>
    <t>FC009</t>
  </si>
  <si>
    <t>COLLAR IT</t>
  </si>
  <si>
    <t>PAN HEAD SCREW/M3*L6</t>
  </si>
  <si>
    <t>FC010</t>
  </si>
  <si>
    <t>METAL HINGE</t>
  </si>
  <si>
    <t>HINGE BLOCK : 81B2344F</t>
  </si>
  <si>
    <t>NUT</t>
  </si>
  <si>
    <t>FLANGED NUT, SERRATED</t>
  </si>
  <si>
    <t>FC011</t>
  </si>
  <si>
    <t>NUT M5</t>
  </si>
  <si>
    <t>COVER FOR AURORA</t>
  </si>
  <si>
    <t>FC012</t>
  </si>
  <si>
    <t>CTF PRODUCT CARD WITH SOFT CASE</t>
  </si>
  <si>
    <t>FC013</t>
  </si>
  <si>
    <t>OILES BUSH 80F</t>
  </si>
  <si>
    <t>PRODUCT LABEL W40 X H33(Roll@4100)</t>
  </si>
  <si>
    <t>FC014</t>
  </si>
  <si>
    <t>WASHER</t>
  </si>
  <si>
    <t>TEFLON WASHER # 1 (TT-0204)</t>
  </si>
  <si>
    <t>FOL0907XXX</t>
  </si>
  <si>
    <t>FC015</t>
  </si>
  <si>
    <t>980-1</t>
  </si>
  <si>
    <t>980 MODULE</t>
  </si>
  <si>
    <t>FC016</t>
  </si>
  <si>
    <t>E-RING 1.2</t>
  </si>
  <si>
    <t>980-2</t>
  </si>
  <si>
    <t>LASER MODULE ASSEMBLY</t>
  </si>
  <si>
    <t>980 MODULE FOL0909A55-J17-974</t>
  </si>
  <si>
    <t>FC017</t>
  </si>
  <si>
    <t>IDLER SHAFT</t>
  </si>
  <si>
    <t>980-3</t>
  </si>
  <si>
    <t>980 MODULE FOL0907A18-D17-974</t>
  </si>
  <si>
    <t>FC019</t>
  </si>
  <si>
    <t>MAGNET # 2</t>
  </si>
  <si>
    <t>980-4</t>
  </si>
  <si>
    <t>980 MODULE FOL0906A27-D17-974</t>
  </si>
  <si>
    <t>FC021</t>
  </si>
  <si>
    <t>PLASTIC GEAR</t>
  </si>
  <si>
    <t>CL GEAR</t>
  </si>
  <si>
    <t>980-5</t>
  </si>
  <si>
    <t>980 MODULE FOL0907A13-D17-976</t>
  </si>
  <si>
    <t>FC022</t>
  </si>
  <si>
    <t>CLUTCH SHAFT</t>
  </si>
  <si>
    <t>980-6</t>
  </si>
  <si>
    <t>980 MODULE FOL0907A13-D17-976-S</t>
  </si>
  <si>
    <t>FC026</t>
  </si>
  <si>
    <t>NUT M3</t>
  </si>
  <si>
    <t>FOL0907D6(FM2)</t>
  </si>
  <si>
    <t>FC028</t>
  </si>
  <si>
    <t>COIL SPRING # WR3-30</t>
  </si>
  <si>
    <t>FOL0908D6(FM3)</t>
  </si>
  <si>
    <t>FC029</t>
  </si>
  <si>
    <t>SCREW M3x8L</t>
  </si>
  <si>
    <t>FOP1332E6</t>
  </si>
  <si>
    <t>FC031</t>
  </si>
  <si>
    <t>PIN</t>
  </si>
  <si>
    <t>PIN 2x22L</t>
  </si>
  <si>
    <t>THERMOCOUPLE</t>
  </si>
  <si>
    <t>FLM-TS02+ FLM-TH04</t>
  </si>
  <si>
    <t>FC032</t>
  </si>
  <si>
    <t>SCREW M2x6L</t>
  </si>
  <si>
    <t>FLM-BS63</t>
  </si>
  <si>
    <t>FC034</t>
  </si>
  <si>
    <t>ROLLER</t>
  </si>
  <si>
    <t>FREE ROLLER</t>
  </si>
  <si>
    <t>FLM-LF11(SMF)</t>
  </si>
  <si>
    <t>FC035</t>
  </si>
  <si>
    <t>FR ARM SHAFT</t>
  </si>
  <si>
    <t>FLM-LF12(PMF)</t>
  </si>
  <si>
    <t>FC036</t>
  </si>
  <si>
    <t>SNAP RING CR</t>
  </si>
  <si>
    <t>FLM-GB22B</t>
  </si>
  <si>
    <t>FC037</t>
  </si>
  <si>
    <t>TORSION SPRING (1)</t>
  </si>
  <si>
    <t>FLM-GB22R</t>
  </si>
  <si>
    <t>FC038</t>
  </si>
  <si>
    <t>SNAP RING CS</t>
  </si>
  <si>
    <t>METAL GUIDE PART</t>
  </si>
  <si>
    <t>FLM-ZB04</t>
  </si>
  <si>
    <t>FC039</t>
  </si>
  <si>
    <t>TEFLON WASHER #2 (TT-0308)</t>
  </si>
  <si>
    <t>CATALOUE No.803(PC@0.03ME)</t>
  </si>
  <si>
    <t>FC041</t>
  </si>
  <si>
    <t>CAM SHAFT</t>
  </si>
  <si>
    <t>FLM-PL16 (Lid with getter)</t>
  </si>
  <si>
    <t>FC042</t>
  </si>
  <si>
    <t>BUMPON</t>
  </si>
  <si>
    <t>FLM-FAU66M-976</t>
  </si>
  <si>
    <t>FC043</t>
  </si>
  <si>
    <t>BLADE HOLDER : 81B2321G</t>
  </si>
  <si>
    <t>FLM-FAT26A (PMF)</t>
  </si>
  <si>
    <t>FC044</t>
  </si>
  <si>
    <t>PIN(1.6X4L MM) : 81B2321E5</t>
  </si>
  <si>
    <t>FLM-FAU11A-J(SMF)</t>
  </si>
  <si>
    <t>FC045</t>
  </si>
  <si>
    <t>PIN 1.2x12L</t>
  </si>
  <si>
    <t>FLM-HN13</t>
  </si>
  <si>
    <t>FC046</t>
  </si>
  <si>
    <t>BLADE SHAFT</t>
  </si>
  <si>
    <t>FLM-HN26</t>
  </si>
  <si>
    <t>FC047</t>
  </si>
  <si>
    <t>METAL CAM</t>
  </si>
  <si>
    <t>CAM</t>
  </si>
  <si>
    <t>FLM-HN27</t>
  </si>
  <si>
    <t>FC048</t>
  </si>
  <si>
    <t>CROSS SCREW M2X5 : 81B2321E6</t>
  </si>
  <si>
    <t>FLM-HN24</t>
  </si>
  <si>
    <t>FC049</t>
  </si>
  <si>
    <t>METAL BASE</t>
  </si>
  <si>
    <t>BLADE BASE : 81B2323F</t>
  </si>
  <si>
    <t>950Y200 (BTL@ 50 GM)</t>
  </si>
  <si>
    <t>FC050</t>
  </si>
  <si>
    <t>FEED PIN</t>
  </si>
  <si>
    <t>M705  0.8mm (RL@1000GM)</t>
  </si>
  <si>
    <t>FC051</t>
  </si>
  <si>
    <t>PIN 1.5x8L</t>
  </si>
  <si>
    <t>FOL0909D6</t>
  </si>
  <si>
    <t>FC052</t>
  </si>
  <si>
    <t>COMPRESSION SPRING # 5113</t>
  </si>
  <si>
    <t>FLM-LF13(PMF)</t>
  </si>
  <si>
    <t>FC053</t>
  </si>
  <si>
    <t>FLM-FAT27A (PMF)</t>
  </si>
  <si>
    <t>FC054</t>
  </si>
  <si>
    <t>SCREW M2.5x8L</t>
  </si>
  <si>
    <t>FLM-GB22G</t>
  </si>
  <si>
    <t>FC055</t>
    <phoneticPr fontId="27"/>
  </si>
  <si>
    <t>SCREW M2.5x3L</t>
  </si>
  <si>
    <t>FC056</t>
  </si>
  <si>
    <t>MAIN BASE : 81B2301K</t>
  </si>
  <si>
    <t>FC057</t>
  </si>
  <si>
    <t>HD PIN</t>
  </si>
  <si>
    <t>FC058</t>
  </si>
  <si>
    <t>LINEAR GUIDE</t>
  </si>
  <si>
    <t>MINIATURE LINEAR GUIDE</t>
  </si>
  <si>
    <t>FC059</t>
  </si>
  <si>
    <t>SCREW M2x5L</t>
  </si>
  <si>
    <t>FC060</t>
  </si>
  <si>
    <t>SCREW M2.5x10L</t>
  </si>
  <si>
    <t>FC061</t>
  </si>
  <si>
    <t>SCREW M3x4L</t>
  </si>
  <si>
    <t>FC062</t>
  </si>
  <si>
    <t>CONNECTOR HOUSING</t>
  </si>
  <si>
    <t>SET OF PUSHER</t>
  </si>
  <si>
    <t>FC063</t>
  </si>
  <si>
    <t>COMPRESSION SPRING (1)</t>
  </si>
  <si>
    <t>FC065</t>
  </si>
  <si>
    <t>BRASS BUSHING</t>
  </si>
  <si>
    <t>SET PIECE</t>
  </si>
  <si>
    <t>FC066</t>
  </si>
  <si>
    <t>COIL SPRING # WL2-5</t>
  </si>
  <si>
    <t>FC067</t>
  </si>
  <si>
    <t>SCREW M3x3L</t>
  </si>
  <si>
    <t>FLM-CB01(PC@10ME)</t>
  </si>
  <si>
    <t>FC069</t>
  </si>
  <si>
    <t>MAGNET # 3 (4x10 mm)</t>
  </si>
  <si>
    <t>FC071</t>
  </si>
  <si>
    <t>FC072</t>
  </si>
  <si>
    <t>PIN 1.6x24L</t>
  </si>
  <si>
    <t>FC073</t>
  </si>
  <si>
    <t>FIXING SCREW</t>
  </si>
  <si>
    <t>FC074</t>
  </si>
  <si>
    <t>BLADE</t>
  </si>
  <si>
    <t>F20 BLADE</t>
  </si>
  <si>
    <t>FC075</t>
  </si>
  <si>
    <t>BLADE LABEL</t>
  </si>
  <si>
    <t>FC076</t>
  </si>
  <si>
    <t>FLM-MR01A</t>
  </si>
  <si>
    <t>FC077</t>
  </si>
  <si>
    <t>PIN 3x10L</t>
  </si>
  <si>
    <t>FLM-GW03-50UM AU WIRE (RL@2000ME)</t>
  </si>
  <si>
    <t>FC078</t>
  </si>
  <si>
    <t>SCREW M2x3L</t>
  </si>
  <si>
    <t>FC080</t>
  </si>
  <si>
    <t>FC081</t>
  </si>
  <si>
    <t>POST</t>
  </si>
  <si>
    <t>FC082</t>
  </si>
  <si>
    <t>TENSION SPRING # 2</t>
  </si>
  <si>
    <t>FC083</t>
  </si>
  <si>
    <t>E-RING 2</t>
  </si>
  <si>
    <t>FC084</t>
  </si>
  <si>
    <t>LEVER SHAFT</t>
  </si>
  <si>
    <t>SILICONE TUBE 1.0X1.5DB (RL@200ME)</t>
  </si>
  <si>
    <t>FC086</t>
  </si>
  <si>
    <t>PIN 1x6L</t>
  </si>
  <si>
    <t>FC087</t>
  </si>
  <si>
    <t>BEARING  (SMALL) # 681H</t>
  </si>
  <si>
    <t>FC090</t>
  </si>
  <si>
    <t>TORSION SPRING # 2</t>
  </si>
  <si>
    <t>FC092</t>
  </si>
  <si>
    <t>ROD SHAFT (RDOF 3-42)</t>
  </si>
  <si>
    <t>98MM032</t>
  </si>
  <si>
    <t>98MM Label  (SHEET@ 6 PC)</t>
  </si>
  <si>
    <t>FC093</t>
  </si>
  <si>
    <t>SCREW M3x12L</t>
  </si>
  <si>
    <t>98MM033</t>
  </si>
  <si>
    <t>FLM-FAU71BA-1.1F</t>
  </si>
  <si>
    <t>FC094</t>
  </si>
  <si>
    <t>SCREW M3x6L</t>
  </si>
  <si>
    <t>98MM034</t>
  </si>
  <si>
    <t>FC095</t>
  </si>
  <si>
    <t>PRODUCT TYPE LABEL</t>
  </si>
  <si>
    <t>98MM035</t>
  </si>
  <si>
    <t>Serial Label for 980MM (RL@5100 PC)</t>
  </si>
  <si>
    <t>FC096</t>
  </si>
  <si>
    <t>FC097</t>
  </si>
  <si>
    <t>FACEPLATE LABEL</t>
  </si>
  <si>
    <t>98MM037</t>
  </si>
  <si>
    <t>FLM-EC02</t>
  </si>
  <si>
    <t>FC101</t>
  </si>
  <si>
    <t>SCALE LABEL</t>
  </si>
  <si>
    <t>98MM039</t>
  </si>
  <si>
    <t>FLM-PL30B</t>
  </si>
  <si>
    <t>FC102</t>
  </si>
  <si>
    <t>COIL SPRING (WR3-5)</t>
  </si>
  <si>
    <t>FC104</t>
  </si>
  <si>
    <t>81B2325A, 81B2327B</t>
  </si>
  <si>
    <t>98MM041</t>
  </si>
  <si>
    <t>FLM-PL31</t>
  </si>
  <si>
    <t>FC105</t>
  </si>
  <si>
    <t>SCREW M2.5x10L SUS</t>
  </si>
  <si>
    <t>98MM042</t>
  </si>
  <si>
    <t>FLM-WL02</t>
  </si>
  <si>
    <t>FC106</t>
  </si>
  <si>
    <t>METAL WASHER</t>
  </si>
  <si>
    <t>SW SUS M2.5</t>
  </si>
  <si>
    <t>98SM001</t>
  </si>
  <si>
    <t>FLM-PK66A</t>
  </si>
  <si>
    <t>FC116</t>
  </si>
  <si>
    <t>PLATE WASHER M3</t>
  </si>
  <si>
    <t>98SM002</t>
  </si>
  <si>
    <t>FLM-BS24A</t>
  </si>
  <si>
    <t>FC119</t>
  </si>
  <si>
    <t>PLATE WASHER M2 SMALL TYPE</t>
  </si>
  <si>
    <t>98SM003</t>
  </si>
  <si>
    <t>FLM-ZB08A</t>
  </si>
  <si>
    <t>98SM004</t>
  </si>
  <si>
    <t>FOL0910FC8</t>
  </si>
  <si>
    <t>FS001</t>
  </si>
  <si>
    <t>V GROOVE</t>
  </si>
  <si>
    <t>98SM005</t>
  </si>
  <si>
    <t>FOP1332E12</t>
  </si>
  <si>
    <t>FS002</t>
  </si>
  <si>
    <t>98SM006</t>
  </si>
  <si>
    <t>FS003</t>
  </si>
  <si>
    <t>ELECTRODE</t>
  </si>
  <si>
    <t>ERL-01 ELECTRODE (SET@2PCS)</t>
  </si>
  <si>
    <t>98SM007</t>
  </si>
  <si>
    <t>FS004</t>
  </si>
  <si>
    <t>SQUARE MAGNET　8×3×4</t>
  </si>
  <si>
    <t>98SM008</t>
  </si>
  <si>
    <t>FS005</t>
  </si>
  <si>
    <t>MAGNET DIA 6x4</t>
  </si>
  <si>
    <t>98SM009</t>
  </si>
  <si>
    <t>METALIC LABEL</t>
  </si>
  <si>
    <t>FS006</t>
  </si>
  <si>
    <t>MAGNET DIA 4x2</t>
  </si>
  <si>
    <t>98SM010</t>
  </si>
  <si>
    <t>FLM-HN33</t>
  </si>
  <si>
    <t>FS007</t>
  </si>
  <si>
    <t xml:space="preserve">#0 PEN HEAD SCREW M2×3L </t>
  </si>
  <si>
    <t>98SM011</t>
  </si>
  <si>
    <t>FLM-PE05</t>
  </si>
  <si>
    <t>FS008</t>
  </si>
  <si>
    <t xml:space="preserve">#0 PEN HEAD SCREW M2×6L </t>
  </si>
  <si>
    <t>ABAG0013-PAT</t>
  </si>
  <si>
    <t>ZIP BAG SEAL WITH SCREEN PET12/LLDPE65</t>
  </si>
  <si>
    <t>FS009</t>
  </si>
  <si>
    <t>HEX S/HEAD CAP SCREW M2x4L</t>
  </si>
  <si>
    <t>ABAG0014-FEC</t>
  </si>
  <si>
    <t>PLASTIC BAG</t>
  </si>
  <si>
    <t>PLASTIC BAG WITH ZIPPER 50MM*70MM</t>
  </si>
  <si>
    <t>FS010</t>
  </si>
  <si>
    <t>HEX S/HEAD CAP SCREW M2x5L</t>
  </si>
  <si>
    <t>ABAG0015-FEC</t>
  </si>
  <si>
    <t>PLASTIC BAG WITH ZIPPER 70MM*100MM</t>
  </si>
  <si>
    <t>FS011</t>
  </si>
  <si>
    <t>HEXAGON THIN NUT M3</t>
  </si>
  <si>
    <t>ABAG0016-FEC</t>
  </si>
  <si>
    <t>PLASTIC BAG WITH ZIPPER 85MM*120MM</t>
  </si>
  <si>
    <t>FS012</t>
  </si>
  <si>
    <t>HEX S/HEAD SET SCREW FLAT M2x3L</t>
  </si>
  <si>
    <t>ABAG0017-FEC</t>
  </si>
  <si>
    <t>"PLASTIC BAG WITH ZIPPER
240MM*340MM"</t>
  </si>
  <si>
    <t>FS013</t>
  </si>
  <si>
    <t>EXTRA LOW HEAD SCREW M3×6L　</t>
  </si>
  <si>
    <t>ABAG0018-IDE</t>
  </si>
  <si>
    <t>BAG ZIP (Pink) 6X8 CM.</t>
  </si>
  <si>
    <t>BAG ZIP LDPE Normal(Pink color)6x8cm</t>
  </si>
  <si>
    <t>FS014</t>
  </si>
  <si>
    <t>CROSS RECESSED PAN HEAD SCREW  M2×4L</t>
  </si>
  <si>
    <t>ABAG0020-IDE</t>
  </si>
  <si>
    <t>LDPE BAG WITH ZIP LOCK WITH 2 HOLES</t>
  </si>
  <si>
    <t>SIZE 130  MM x 146 MM x 0.14 MM (PINK)</t>
  </si>
  <si>
    <t>FS015</t>
  </si>
  <si>
    <t>CROSS RECESSED PAN HEAD SCREW  M3×6L</t>
  </si>
  <si>
    <t>ABAG0023-SEI</t>
  </si>
  <si>
    <t>PACKING BAG</t>
  </si>
  <si>
    <t>PLASTIC BAG (50MMx120MMx0.14MM/2 side)</t>
  </si>
  <si>
    <t>FS016</t>
  </si>
  <si>
    <t>P TIGHT NOMAINAL DIAMETER 2×5L</t>
  </si>
  <si>
    <t>ABAG0025-IDE</t>
  </si>
  <si>
    <t>ESD SHIELDING BAG W/O SCREEN LOGO 3 SIDE</t>
  </si>
  <si>
    <t>ESD SHIELDING BAG 10 MM.SIZE 40 CM.x50CM</t>
  </si>
  <si>
    <t>FS017</t>
  </si>
  <si>
    <t>P TIGHT NOMAINAL DIAMETER 2×12L</t>
  </si>
  <si>
    <t>ABAG0026-UEN</t>
  </si>
  <si>
    <t>ESD SHIELD BAG (AS ONE)</t>
  </si>
  <si>
    <t>3-6921-01(100PCS/PACK)</t>
  </si>
  <si>
    <t>FS018</t>
  </si>
  <si>
    <t>CRP/HEAD SCREW W SEMS M3x6L</t>
  </si>
  <si>
    <t>ABAG0027-IDE</t>
  </si>
  <si>
    <t>ZIP LOCK PLASTIC BAG PINK</t>
  </si>
  <si>
    <t>LDPE BAG WITH ZIP (NORMAL PINK)</t>
  </si>
  <si>
    <t>FS019</t>
  </si>
  <si>
    <t>CRP/HEAD SCREW S SEMS M3x6L</t>
  </si>
  <si>
    <t>ABOX0037-AMP</t>
  </si>
  <si>
    <t>BOX KANTAN CORD CARDBOARD(42010670)</t>
  </si>
  <si>
    <t>FS020</t>
  </si>
  <si>
    <t>HEX S/HEAD CAP SCREW W SEMS M3x6L</t>
  </si>
  <si>
    <t>ABOX0038-AMP</t>
  </si>
  <si>
    <t>BOX KANTAN KL175/KL175 /SIZE250X245X300M</t>
  </si>
  <si>
    <t>FS021</t>
  </si>
  <si>
    <t>HEX S/HEAD CAP SCREW W/S WASHER M3x6L</t>
  </si>
  <si>
    <t>ABOX0039-PAP</t>
  </si>
  <si>
    <t>MIDDLE BOX SMALL 8 BUNKI</t>
  </si>
  <si>
    <t>MIDDLE BOX SMALL 8BUNKI(192X290X240MM.)</t>
  </si>
  <si>
    <t>FS022</t>
  </si>
  <si>
    <t xml:space="preserve">#0 PEN HEAD SCREW M2.5×4L </t>
  </si>
  <si>
    <t>ABOX0040-WEA</t>
  </si>
  <si>
    <t>ADHESIVEBOX156x42x133mmBarrier40.2x154mm</t>
  </si>
  <si>
    <t>FS023</t>
  </si>
  <si>
    <t>SMALL TYPE PLAIN WASHER/NOMINAL DIA 2</t>
  </si>
  <si>
    <t>ABOX0041-LSS</t>
  </si>
  <si>
    <t>BOX KANTAN CORD CARDBOARD(KL125/KL125)</t>
  </si>
  <si>
    <t>FS024</t>
  </si>
  <si>
    <t>ABOX0042-LSS</t>
  </si>
  <si>
    <t>BOX KANTAN KL175/KL175 (SIZE250X245X300M</t>
  </si>
  <si>
    <t>FS025</t>
  </si>
  <si>
    <t>BALL PLUNGER</t>
  </si>
  <si>
    <t>BALL PLUNGER BSZF-3</t>
  </si>
  <si>
    <t>ABOX0043-PAP</t>
  </si>
  <si>
    <t>CARTON BOX(OD 502x237 MM.)</t>
  </si>
  <si>
    <t>FS026</t>
  </si>
  <si>
    <t>SPACER</t>
  </si>
  <si>
    <t>SENSOR BOARD SPACER</t>
  </si>
  <si>
    <t>ABOX0044-PAP</t>
  </si>
  <si>
    <t>CATRON BOX SET PRINTING RED AND BLACK</t>
  </si>
  <si>
    <t>FS027</t>
  </si>
  <si>
    <t>SUS PIN</t>
  </si>
  <si>
    <t>SUS PARALLEL PIN DIA 1.5H7×20L</t>
  </si>
  <si>
    <t>ABOX0046-LSS</t>
  </si>
  <si>
    <t>CARTON BOX FOR SLEEVE</t>
  </si>
  <si>
    <t>SLBOX-POO-01-D</t>
  </si>
  <si>
    <t>FS028</t>
  </si>
  <si>
    <t>SUS PARALLEL PIN DIA 5H7×20L</t>
  </si>
  <si>
    <t>ABOX0047-ASI</t>
  </si>
  <si>
    <t>FOAM BOX FOR ADHESIVE PACKING</t>
  </si>
  <si>
    <t>FOAM BOX SIZE 35.0*47.5*35.0</t>
  </si>
  <si>
    <t>FS029</t>
  </si>
  <si>
    <t>RING</t>
  </si>
  <si>
    <t>C RING TYPE B (NOMAINAL DIAMETER1.6）</t>
  </si>
  <si>
    <t>ABOX0048-THA</t>
  </si>
  <si>
    <t>MIDDLE BOX FOR KOUNAI 8B</t>
  </si>
  <si>
    <t>KA 185/CA 125/KA 185 C-F</t>
  </si>
  <si>
    <t>FS030</t>
  </si>
  <si>
    <t>PARALLEL PIN DIA 2H7×6L</t>
  </si>
  <si>
    <t>ABOX0049-SEI</t>
  </si>
  <si>
    <t>SHIPPING BOX</t>
  </si>
  <si>
    <t>SHIPPING BOX KEYLESS</t>
  </si>
  <si>
    <t>FS031</t>
  </si>
  <si>
    <t>RING E / NOMINAL DIA 1.6</t>
  </si>
  <si>
    <t>ABOX0051-LSS</t>
  </si>
  <si>
    <t>CARTON BOX KL150/CA125/KL150 BF</t>
  </si>
  <si>
    <t>CARTON BOX FOR CTF</t>
  </si>
  <si>
    <t>FS032</t>
  </si>
  <si>
    <t>SUS PARALLEL PIN DIA 2H7×10L</t>
  </si>
  <si>
    <t>ABOX0052-LSS</t>
  </si>
  <si>
    <t>CARTON BOX FOR FTM HACHO</t>
  </si>
  <si>
    <t>FS033</t>
  </si>
  <si>
    <t>PLASTIC BUSHING</t>
  </si>
  <si>
    <t>OILES 80 FLANGE BUSHING  0507</t>
  </si>
  <si>
    <t>ABOXKOSA-SEI</t>
  </si>
  <si>
    <t>MIDDLE BOX OF IDM JUMPER</t>
  </si>
  <si>
    <t>FS034</t>
  </si>
  <si>
    <t>OILES 80 FLANGE BUSHING  0202</t>
  </si>
  <si>
    <t>ABUB0011-SEA</t>
  </si>
  <si>
    <t>BUBBLE BAG 47 GSM 90X100MM</t>
  </si>
  <si>
    <t>FS035</t>
  </si>
  <si>
    <t>OILES 80 FLANGE BUSHING  0303</t>
  </si>
  <si>
    <t>ACASE0001-GUN</t>
  </si>
  <si>
    <t>PELICAN 1615 AIR CASE WITH FOAM, BLACK</t>
  </si>
  <si>
    <t>FS036</t>
  </si>
  <si>
    <t>CAUTION HOT LABEL</t>
  </si>
  <si>
    <t>ACOV0001-TEX</t>
  </si>
  <si>
    <t>COVER OF  SMALL 8BUNKI (GRADE B)</t>
  </si>
  <si>
    <t>COVER OF  SMALL 8BUNKI(A-PET dim.0.50mm.</t>
  </si>
  <si>
    <t>FS037</t>
  </si>
  <si>
    <t>BAN ON SPRAY LABEL</t>
  </si>
  <si>
    <t>ACOV0002-VAJ</t>
  </si>
  <si>
    <t>TRAY CX FIBER COVER SIZE 126x230x37mm.</t>
  </si>
  <si>
    <t>FS038</t>
  </si>
  <si>
    <t>LINER GUIDEWAY</t>
  </si>
  <si>
    <t>ACOV0003-DSI</t>
  </si>
  <si>
    <t>LID  (7.945 x 12.445 x 0.375 inch)</t>
  </si>
  <si>
    <t>LID (ED-DD-18-183)APET CLEAR</t>
  </si>
  <si>
    <t>FS039</t>
  </si>
  <si>
    <t>LITHIUM BATTERY</t>
  </si>
  <si>
    <t>LITHIUM POLYMER BATTERY PACK</t>
  </si>
  <si>
    <t>ACOV0005-FEC</t>
  </si>
  <si>
    <t>CONDUCTIVE TOP CASE</t>
  </si>
  <si>
    <t>CONDUCTIVE TOP PACKING CASE 98MM 100W</t>
  </si>
  <si>
    <t>FS040</t>
  </si>
  <si>
    <t>HEATER ELEMENT</t>
  </si>
  <si>
    <t>ACOV0007-FEC</t>
  </si>
  <si>
    <t>PACKING</t>
  </si>
  <si>
    <t>HBCDM TOP PACKING CASE</t>
  </si>
  <si>
    <t>FS041</t>
  </si>
  <si>
    <t>HARNESS</t>
  </si>
  <si>
    <t>HARNESS SET (SET@7PCS)</t>
  </si>
  <si>
    <t>ACUS0004-APE</t>
  </si>
  <si>
    <t>CUSION FOAM PE LAMINATE 1.7 PCF. ANTI ST</t>
  </si>
  <si>
    <t>FS042</t>
  </si>
  <si>
    <t>MOTOR</t>
  </si>
  <si>
    <t>ACUS0005-EPE</t>
  </si>
  <si>
    <t>CUSHION FOAM FIBER LASER</t>
  </si>
  <si>
    <t>CUSHION FOAM FIBER LASER : 440X535X29 MM</t>
  </si>
  <si>
    <t>FS043</t>
  </si>
  <si>
    <t>ARC UNIT</t>
  </si>
  <si>
    <t>ACUS0006-EPE</t>
  </si>
  <si>
    <t>CUSHION FOAM FIBER LASER 444x535x12 MM.</t>
  </si>
  <si>
    <t>FS044</t>
  </si>
  <si>
    <t>FAN</t>
  </si>
  <si>
    <t>HEATER FAN</t>
  </si>
  <si>
    <t>ACUS0007-FEC</t>
  </si>
  <si>
    <t>CUSHION (SET@4PC)</t>
  </si>
  <si>
    <t>ACUS0008-FEC</t>
  </si>
  <si>
    <t>PACKING MATERIAL (CABLE PAD)</t>
  </si>
  <si>
    <t>FS046</t>
  </si>
  <si>
    <t>SWITCH PANEL</t>
  </si>
  <si>
    <t>OPERATION SW</t>
  </si>
  <si>
    <t>ACUS0009-FEC</t>
  </si>
  <si>
    <t>PACKING MATERIAL (BUFFER MATERIAL)</t>
  </si>
  <si>
    <t>FS047</t>
  </si>
  <si>
    <t>AC ADAPTOR</t>
  </si>
  <si>
    <t>AC ADAPTER</t>
  </si>
  <si>
    <t>ACUS0010-FEC</t>
  </si>
  <si>
    <t>PACKAGING CUSHIONING MATERIAL FOR W1000</t>
  </si>
  <si>
    <t>FS048</t>
  </si>
  <si>
    <t>BRASS BLOCK</t>
  </si>
  <si>
    <t>TERMINAL BLOCK</t>
  </si>
  <si>
    <t>ACUS0011-FEC</t>
  </si>
  <si>
    <t>98MM CONDUCTIVE CUSHION FOR FLM-PK71</t>
  </si>
  <si>
    <t>FS049</t>
  </si>
  <si>
    <t>BASE SIDE ELECTRODE</t>
  </si>
  <si>
    <t>ACUS0012-FEC</t>
  </si>
  <si>
    <t>HBCDM CONDUCTIVE CUSHION</t>
  </si>
  <si>
    <t>FS050</t>
  </si>
  <si>
    <t>ALUMINIUM BLOCK</t>
  </si>
  <si>
    <t>HINGE BLOCK</t>
  </si>
  <si>
    <t>ACUS0013-OIZ</t>
  </si>
  <si>
    <t>CUSHION 488-N0961-1001 (SET@4PCS.)</t>
  </si>
  <si>
    <t>FS051</t>
  </si>
  <si>
    <t>CTL BOARD</t>
  </si>
  <si>
    <t>ACUS0015-OIZ</t>
  </si>
  <si>
    <t>FS052</t>
  </si>
  <si>
    <t>ACUS0016-FEC</t>
  </si>
  <si>
    <t>PACKING BOX FOR KTR-W</t>
  </si>
  <si>
    <t>FS053</t>
  </si>
  <si>
    <t>SENSOR BOARD FOR CANOPY</t>
  </si>
  <si>
    <t>ACUS0017-FEC</t>
  </si>
  <si>
    <t>PACKING BOX FOR RAM-K</t>
  </si>
  <si>
    <t>FS054</t>
  </si>
  <si>
    <t>ACUS0018-FEC</t>
  </si>
  <si>
    <t>PACKING BOX FOR RDM</t>
  </si>
  <si>
    <t>FS055</t>
  </si>
  <si>
    <t>CAM_LED BOARD</t>
  </si>
  <si>
    <t>AENV0001-GEN</t>
  </si>
  <si>
    <t>ENVELOPE PAPER WINDOW</t>
  </si>
  <si>
    <t>FS056</t>
  </si>
  <si>
    <t>LED BOARD</t>
  </si>
  <si>
    <t>AENV0002-NGE</t>
  </si>
  <si>
    <t>BROWN EXPASION ENVELOPE C4(9x12.75 INCH)</t>
  </si>
  <si>
    <t>FS057</t>
  </si>
  <si>
    <t>CAMERA　WITH　LENS</t>
  </si>
  <si>
    <t>AENV0003-NGE</t>
  </si>
  <si>
    <t>BROWN ENVELOPE C4(9x12.75 INCH) KA125G</t>
  </si>
  <si>
    <t>FS058</t>
  </si>
  <si>
    <t>OPTICAL FIBER</t>
  </si>
  <si>
    <t>FIBER SM DIA 0.9</t>
  </si>
  <si>
    <t>AICE0001-OMM</t>
  </si>
  <si>
    <t>ICE PACK 340g. 200mm(L)x175mm(W) 20PK/CT</t>
  </si>
  <si>
    <t>FS059</t>
  </si>
  <si>
    <t>FIBER SM DIA 0.25</t>
  </si>
  <si>
    <t>AINB0019-PRA</t>
  </si>
  <si>
    <t>FOAM BOX SIZE 34.6*47.5*33.7</t>
  </si>
  <si>
    <t>FS060</t>
  </si>
  <si>
    <t>FIBER MM DIA 0.25</t>
  </si>
  <si>
    <t>AINB0020-THA</t>
  </si>
  <si>
    <t>INNER BOX SO-NET</t>
  </si>
  <si>
    <t>FS061</t>
  </si>
  <si>
    <t>BRAND LABEL</t>
  </si>
  <si>
    <t>AINB0021-LSS</t>
  </si>
  <si>
    <t>INNER BOX SIZE 441*504 MM.</t>
  </si>
  <si>
    <t>FS068</t>
  </si>
  <si>
    <t>REINFORCED SLEEVE</t>
  </si>
  <si>
    <t>SLEEVE-S921</t>
  </si>
  <si>
    <t>AINB0023-LSS</t>
  </si>
  <si>
    <t>INNER PAD SIZE W515XL515 MM. M(CA)</t>
  </si>
  <si>
    <t>FS069</t>
  </si>
  <si>
    <t>SLEEVE-S924</t>
  </si>
  <si>
    <t>AINB0023-OKA</t>
  </si>
  <si>
    <t>FS070</t>
  </si>
  <si>
    <t>PLASTIC WASHER</t>
  </si>
  <si>
    <t>Teflon washer （CC-0204-3)</t>
  </si>
  <si>
    <t>AINB0024-THA</t>
  </si>
  <si>
    <t>INNER BOX FOR FFTJ428N(OPTR-1)</t>
  </si>
  <si>
    <t>KA185/M/KA185 E-F</t>
  </si>
  <si>
    <t>FS071</t>
  </si>
  <si>
    <t>Teflon washer （CC-0204-5)</t>
  </si>
  <si>
    <t>AINB0025-THA</t>
  </si>
  <si>
    <t>INNER BOX FOR DC-KOUNAI 8B(SHODENSEIWA)</t>
  </si>
  <si>
    <t>INNER BOX FOR DC-KOUNAI 8B</t>
  </si>
  <si>
    <t>FS072</t>
  </si>
  <si>
    <t>Teflon washer （CC-0204-8)</t>
  </si>
  <si>
    <t>AINB0026-SEI</t>
  </si>
  <si>
    <t>INNER BOX KEYLESS (W130 x D90 x H34)</t>
  </si>
  <si>
    <t>FS073</t>
  </si>
  <si>
    <t>Teflon washer （CC-0204-10)</t>
  </si>
  <si>
    <t>AINB0028-PAP</t>
  </si>
  <si>
    <t>INNER BOX COATED BOARD</t>
  </si>
  <si>
    <t>ED-DD-24-040 SE230027G</t>
  </si>
  <si>
    <t>FS074</t>
  </si>
  <si>
    <t>FLEXIBLE CABLE</t>
  </si>
  <si>
    <t>For SENSOR WITH LENS</t>
  </si>
  <si>
    <t>AKOS010000001</t>
  </si>
  <si>
    <t>KA185/KA185-BC+B</t>
  </si>
  <si>
    <t>FS075</t>
  </si>
  <si>
    <t>SUS PLATE</t>
  </si>
  <si>
    <t>FT PLATE SPRING</t>
  </si>
  <si>
    <t>AKOS030000001</t>
  </si>
  <si>
    <t>KA185/KA185-2B+BC</t>
  </si>
  <si>
    <t>ITLA010M</t>
  </si>
  <si>
    <t>PRINTED CIRCUIT BOARD ASSEMBLY</t>
  </si>
  <si>
    <t>FLM-EB-VN03</t>
  </si>
  <si>
    <t>ITLA</t>
  </si>
  <si>
    <t>ALAB0020-SAT</t>
  </si>
  <si>
    <t>LABEL70X100MM PETWHITE50AA142(1RL/500PC)</t>
  </si>
  <si>
    <t>ITLA010N</t>
  </si>
  <si>
    <t>T-LD control substrate</t>
  </si>
  <si>
    <t>ALAB0021-SAT</t>
  </si>
  <si>
    <t>PRODUCT LABEL 55X80MM PETWHITE PERMANENT</t>
  </si>
  <si>
    <t>ITLA011N</t>
  </si>
  <si>
    <t>FLM-EB-NP03</t>
  </si>
  <si>
    <t>ALAB0033-JIN</t>
  </si>
  <si>
    <t>CIRCLE STICKER 8 MM. GREEN</t>
  </si>
  <si>
    <t>ITLA012N</t>
  </si>
  <si>
    <t>FLM-EB-NP04</t>
  </si>
  <si>
    <t>ALAB0035-AST</t>
  </si>
  <si>
    <t>PAPER MATTE WHITE SIZE 4IX6I PRINTTING 2</t>
  </si>
  <si>
    <t>ITLA013N</t>
  </si>
  <si>
    <t>FLM-EB-NP05</t>
  </si>
  <si>
    <t>ALAB0036-PKP</t>
  </si>
  <si>
    <t>LABEL FOR S921DC SIZE 37x55mm.</t>
  </si>
  <si>
    <t>ITLA014N</t>
  </si>
  <si>
    <t>FLM-EB-NP06</t>
  </si>
  <si>
    <t>ALAB0037-PKP</t>
  </si>
  <si>
    <t>LABEL FOR S924 SIZE 37x55mm.</t>
  </si>
  <si>
    <t>ITLA015N</t>
  </si>
  <si>
    <t>FLM-EB-NP07</t>
  </si>
  <si>
    <t>ALAB0038-PKP</t>
  </si>
  <si>
    <t>LABEL FOR KTS-5  SIZE 37x55mm.</t>
  </si>
  <si>
    <t>ITLA016N</t>
  </si>
  <si>
    <t>FLM-EB-NP08</t>
  </si>
  <si>
    <t>ALAB0039-PKP</t>
  </si>
  <si>
    <t>LABEL FOR S927A  SIZE 37x55mm.</t>
  </si>
  <si>
    <t>ITLA021N</t>
  </si>
  <si>
    <t>FX01</t>
  </si>
  <si>
    <t>ALAB0040-PKP</t>
  </si>
  <si>
    <t>LABEL FOR S927B  SIZE 37x55mm.</t>
  </si>
  <si>
    <t>ITLA022N</t>
  </si>
  <si>
    <t>Flexible cable</t>
  </si>
  <si>
    <t>ALAB0041-PKP</t>
  </si>
  <si>
    <t>LABEL FOR S921  SIZE 37x55mm.</t>
  </si>
  <si>
    <t>ITLA023N</t>
  </si>
  <si>
    <t>FX07</t>
  </si>
  <si>
    <t>ALAB0042-PKP</t>
  </si>
  <si>
    <t>LABEL FOR S922  SIZE 37x55mm.</t>
  </si>
  <si>
    <t>ITLA024N</t>
  </si>
  <si>
    <t>FX08</t>
  </si>
  <si>
    <t>ALAB0043-PKP</t>
  </si>
  <si>
    <t>LABEL FOR S928A-35  SIZE 37x55mm.</t>
  </si>
  <si>
    <t>ITLA025N</t>
  </si>
  <si>
    <t>FX05</t>
  </si>
  <si>
    <t>ALAB0044-PKP</t>
  </si>
  <si>
    <t>DANGER LABEL SIZE 4.4 x 5.2 CM.</t>
  </si>
  <si>
    <t>ITLA026N</t>
  </si>
  <si>
    <t>FX10</t>
  </si>
  <si>
    <t>ALAB0045-AST</t>
  </si>
  <si>
    <t>BLANK LABEL 80X55 MM. (1RL/5000PC)</t>
  </si>
  <si>
    <t>ITLA031M</t>
  </si>
  <si>
    <t>ALUMINIUM PLATE</t>
  </si>
  <si>
    <t>FLM-IH09</t>
  </si>
  <si>
    <t>ALAB0045-PKP</t>
  </si>
  <si>
    <t>LABEL FOR S928A-20  SIZE 37x55mm.</t>
  </si>
  <si>
    <t>ITLA031N</t>
  </si>
  <si>
    <t>Aluminum plate</t>
  </si>
  <si>
    <t>ALAB0046-AST</t>
  </si>
  <si>
    <t>BLANK LABEL 100X70 MM. (1RL/500PC)</t>
  </si>
  <si>
    <t>ITLA032M</t>
  </si>
  <si>
    <t>FLM-IH11</t>
  </si>
  <si>
    <t>ALAB0047-PKP</t>
  </si>
  <si>
    <t>LABEL FOR REINFORCING SLEEVE S927R(25PCS</t>
  </si>
  <si>
    <t>LABEL FOR SLEEVE SIZE3.7x5.5cm</t>
  </si>
  <si>
    <t>ITLA032N</t>
  </si>
  <si>
    <t>FLM-IH05</t>
  </si>
  <si>
    <t>ALAB0048-PKP</t>
  </si>
  <si>
    <t>LABEL FOR PROTECTION SLEEVE</t>
  </si>
  <si>
    <t>LABEL FOR PROTECTION SLEEVE SIZE 31x55 m</t>
  </si>
  <si>
    <t>ITLA033M</t>
  </si>
  <si>
    <t>Aluminum pole : FLM-IH16</t>
  </si>
  <si>
    <t>ALAB0049-PKP</t>
  </si>
  <si>
    <t>LABEL FOR REINFORCING SLEEVE S928A25(100</t>
  </si>
  <si>
    <t>ITLA033N</t>
  </si>
  <si>
    <t>FLM-IH06</t>
  </si>
  <si>
    <t>ALAB0051-LAB</t>
  </si>
  <si>
    <t>STICKERLABEL CLEAN EDGES</t>
  </si>
  <si>
    <t>STICKERLABEL(FX-191 SIZE 105x74.61 MM.)</t>
  </si>
  <si>
    <t>ITLA034M</t>
  </si>
  <si>
    <t>Aluminum cover : FLM-IH15</t>
  </si>
  <si>
    <t>ALAB0052-AST</t>
  </si>
  <si>
    <t>PREPRINT COLOR FRAGILE LABEL (1000Pcs/RO</t>
  </si>
  <si>
    <t>AST PART:SPA-W4P-127X76.1-P1-FRAGILE</t>
  </si>
  <si>
    <t>ITLA034N</t>
  </si>
  <si>
    <t>FLM-IH07</t>
  </si>
  <si>
    <t>ALAB0053-AST</t>
  </si>
  <si>
    <t>PREPRINT COLOR LABEL SIZE 145X60 MM</t>
  </si>
  <si>
    <t>PREPRINT COLOR LABEL (1000 PCS/ROLL)</t>
  </si>
  <si>
    <t>ITLA036M</t>
  </si>
  <si>
    <t>FLM-IH12</t>
  </si>
  <si>
    <t>ALAB0054-AST</t>
  </si>
  <si>
    <t>PREPRINT COLOR LABEL SIZE 200X50 MM</t>
  </si>
  <si>
    <t>COLOR LABEL(6PCS/SHEET=1PACK/100SHEET)</t>
  </si>
  <si>
    <t>ITLA037M</t>
  </si>
  <si>
    <t>Aluminum pole：FLM-IH28</t>
  </si>
  <si>
    <t>ALAB0055-PKP</t>
  </si>
  <si>
    <t>LABEL FOR SLEEVE TYPE MF-2(SIZE 37 x55 M</t>
  </si>
  <si>
    <t>ITLA038M</t>
  </si>
  <si>
    <t>FLM-IH22</t>
  </si>
  <si>
    <t>ALAB0056-WEL</t>
  </si>
  <si>
    <t>LABEL SEMI GLOSS PAPER L55mm.xW44mm.</t>
  </si>
  <si>
    <t>ALAB0058-SEI</t>
  </si>
  <si>
    <t>THERMO LABEL 8E-50</t>
  </si>
  <si>
    <t>ITLA039M</t>
  </si>
  <si>
    <t>HOLDING PIN</t>
  </si>
  <si>
    <t>ALUMINIUM POLE : FLM-IH20</t>
  </si>
  <si>
    <t>ALAB0060-FEC</t>
  </si>
  <si>
    <t>ITLA040M</t>
  </si>
  <si>
    <t>ALUMINIUM POLE : FLM-IH21</t>
  </si>
  <si>
    <t>ALAB0061-JSG</t>
  </si>
  <si>
    <t>DANGER LABEL SIZE 4.4 x 5.2CM.(BLACK/RED</t>
  </si>
  <si>
    <t>ITLA041M</t>
  </si>
  <si>
    <t>GRAPHITE SHEET</t>
  </si>
  <si>
    <t>FLM-TC03</t>
  </si>
  <si>
    <t>ALAB0062-FEC</t>
  </si>
  <si>
    <t>ITLA LABEL (SHEET@6PC)</t>
  </si>
  <si>
    <t>ITLA042M</t>
  </si>
  <si>
    <t>ALUMINIUM POLE : FLM-IH29</t>
  </si>
  <si>
    <t>ALAB0068-FEC</t>
  </si>
  <si>
    <t>LABEL</t>
  </si>
  <si>
    <t>LABEL (BC-487-N0573)</t>
  </si>
  <si>
    <t>ITLA043N</t>
  </si>
  <si>
    <t>FLM-TC01</t>
  </si>
  <si>
    <t>ALAB0069-AST</t>
  </si>
  <si>
    <t>UL LABEL BLACK COLOR</t>
  </si>
  <si>
    <t>PET REMOVABLE ADHESIVE (22X9MM,3 ACROSS)</t>
  </si>
  <si>
    <t>ITLA051N</t>
  </si>
  <si>
    <t>F-0240EB-01</t>
  </si>
  <si>
    <t>ALID0002-FEC</t>
  </si>
  <si>
    <t>PACKING LID</t>
  </si>
  <si>
    <t>LID : FLM-T11</t>
  </si>
  <si>
    <t>ITLA052M</t>
  </si>
  <si>
    <t>F-1718N-03</t>
  </si>
  <si>
    <t>ALID0002-NIS</t>
  </si>
  <si>
    <t>ITLA052N</t>
  </si>
  <si>
    <t>F-0222EB-01</t>
  </si>
  <si>
    <t>AMAN00018-SEI</t>
  </si>
  <si>
    <t>INSTRUCTION MANUAL</t>
  </si>
  <si>
    <t>KY-FAC Plug SC(ACTT-17022)</t>
  </si>
  <si>
    <t>ITLA054M</t>
  </si>
  <si>
    <t>U-1650-03</t>
  </si>
  <si>
    <t>AMAN0014-PKP</t>
  </si>
  <si>
    <t>MANUAL KANTAN(MFP000103) REV.09 A4</t>
  </si>
  <si>
    <t>MANUAL (MFP000103) REV.09 A4</t>
  </si>
  <si>
    <t>ITLA055M</t>
  </si>
  <si>
    <t>F-1730N-03</t>
  </si>
  <si>
    <t>AMAN0015-PKP</t>
  </si>
  <si>
    <t>MANUAL FA PLUG SC(ACTT-17016)</t>
  </si>
  <si>
    <t>ITLA056M</t>
  </si>
  <si>
    <t>SUS #0-1(+) 1.6*10</t>
  </si>
  <si>
    <t>AMAN0017-PKP</t>
  </si>
  <si>
    <t>MANUAL FA SOCKET STRAIGHT(ACTT-17018)</t>
  </si>
  <si>
    <t>ITLA057M</t>
  </si>
  <si>
    <t>U-1630-03</t>
  </si>
  <si>
    <t>AMAN0018-PKP</t>
  </si>
  <si>
    <t>MANUAL FAS PLUG D(ACTT-17019)</t>
  </si>
  <si>
    <t>ITLA058M</t>
  </si>
  <si>
    <t>SUS #0-1(+) 1.6*3.0</t>
  </si>
  <si>
    <t>AMAN0019-PKP</t>
  </si>
  <si>
    <t>MANUAL FBS REV.03/ABR17</t>
  </si>
  <si>
    <t>MFP000183 /REV03 PN42001863</t>
  </si>
  <si>
    <t>ITLA059M</t>
  </si>
  <si>
    <t>SUS NUT M1.6</t>
  </si>
  <si>
    <t>AMAN0021-PKP</t>
  </si>
  <si>
    <t>MANUAL ACTT-17022 (2019)</t>
  </si>
  <si>
    <t>ITLA061N</t>
  </si>
  <si>
    <t>TT0204-08</t>
  </si>
  <si>
    <t>AMAN0022-PKP</t>
  </si>
  <si>
    <t>MANUAL FOR EZ CONNECTON(MFP000237)REV.07</t>
  </si>
  <si>
    <t>ITLA071</t>
  </si>
  <si>
    <t>M705 0.3mm (RL@250 GM)</t>
  </si>
  <si>
    <t>AMAN0023-PKP</t>
  </si>
  <si>
    <t>CE AND UKCA DECLARATION OF CONFORMIT SHE</t>
  </si>
  <si>
    <t>ITLA081</t>
  </si>
  <si>
    <t>LOCTITE</t>
  </si>
  <si>
    <t>LOCTITE271 (PC@50ML)</t>
  </si>
  <si>
    <t>AMAN0024-PKP</t>
  </si>
  <si>
    <t>Product Warranty 1Y</t>
  </si>
  <si>
    <t>for Fusion A5 (Fold 1/2)</t>
  </si>
  <si>
    <t>ITLA091M</t>
  </si>
  <si>
    <t>CPVS-0.5F-008008</t>
  </si>
  <si>
    <t>AMAN0025-PKP</t>
  </si>
  <si>
    <t>MANUAL PRODUCT WARRANTY MMG-135-9 APR17</t>
  </si>
  <si>
    <t>ITLA091N</t>
  </si>
  <si>
    <t>CPVS-1.0F-011018</t>
  </si>
  <si>
    <t>AMAN0026-PKP</t>
  </si>
  <si>
    <t>MANUAL FOR SPLITTER MODULE-4(SO-NET)</t>
  </si>
  <si>
    <t>ITLA141</t>
  </si>
  <si>
    <t>ITLA Label  (SHEET@ 6 PC)</t>
  </si>
  <si>
    <t>AMAN0028-PKP</t>
  </si>
  <si>
    <t>MANURE PAPER FOR   INSTRUCTION ET001</t>
  </si>
  <si>
    <t>ITLA141M</t>
  </si>
  <si>
    <t>Matalic Label for TOSA</t>
  </si>
  <si>
    <t>AMAN0029-PKP</t>
  </si>
  <si>
    <t>MANUAL CEP-T-09025 B</t>
  </si>
  <si>
    <t>MANUALCEP-T-09025 B (TYPE OPTION)</t>
  </si>
  <si>
    <t>ITLA142</t>
  </si>
  <si>
    <t>Blank Label</t>
  </si>
  <si>
    <t>AMAN0030-PKP</t>
  </si>
  <si>
    <t>MANUAL CEP-T-09060 C</t>
  </si>
  <si>
    <t>MANUALCEP-T-09060 C (TYPE OPTION)</t>
  </si>
  <si>
    <t>ITLA143</t>
  </si>
  <si>
    <t>INSULATOR</t>
  </si>
  <si>
    <t>FLEX SUPRESSOR P/N;:FK(03)-240x240T0800</t>
  </si>
  <si>
    <t>AMAN0031-PKP</t>
  </si>
  <si>
    <t>MANUAL CEP-T-09029 D</t>
  </si>
  <si>
    <t>MANUALCEP-T-09029 D (TYPE OPTION)</t>
  </si>
  <si>
    <t>ITLA144</t>
  </si>
  <si>
    <t>NON-GLUED  TAPE</t>
  </si>
  <si>
    <t>Nitoflon tape ( Roll@10ME)</t>
  </si>
  <si>
    <t>AMAN0032-PKP</t>
  </si>
  <si>
    <t>CE AND UKCA  DECLARATION OF CONFORMITY</t>
  </si>
  <si>
    <t>OE007</t>
  </si>
  <si>
    <t>FLM-FSA01(4ch-FSA)</t>
  </si>
  <si>
    <t>OPTICAL ENGINE</t>
  </si>
  <si>
    <t>AMAN0033-PKP</t>
  </si>
  <si>
    <t>MANUAL PRODUCT WARRANTY</t>
  </si>
  <si>
    <t>MMG-140-1B 3 YEAR SIZE A5</t>
  </si>
  <si>
    <t>OE008</t>
  </si>
  <si>
    <t>HEAT SPREADER</t>
  </si>
  <si>
    <t>HEAT SPREADER J</t>
  </si>
  <si>
    <t>AMAN0034-PKP</t>
  </si>
  <si>
    <t>MMG-140-1A 2 YEAR SIZE A5</t>
  </si>
  <si>
    <t>OE009</t>
  </si>
  <si>
    <t>12CH OPTICAL ENGINE SUB-ASSEMBLY (FLM-BA03)</t>
  </si>
  <si>
    <t>AMAN0035-PKP</t>
  </si>
  <si>
    <t>MANUAL FOR FEL 35400093</t>
  </si>
  <si>
    <t>(MFP000322 42000495 REV02)</t>
  </si>
  <si>
    <t>OFS48-PMF</t>
  </si>
  <si>
    <t>AMAN0036-PKP</t>
  </si>
  <si>
    <t>MANUAL SPLITTER MODULE - 8(PB-4B2006D)</t>
  </si>
  <si>
    <t>GM</t>
  </si>
  <si>
    <t>AMAN0037-PKP</t>
  </si>
  <si>
    <t>MANUAL SPLITTER MODULE - 4(PB-4B2006D)</t>
  </si>
  <si>
    <t>S003</t>
  </si>
  <si>
    <t xml:space="preserve">Fiber </t>
  </si>
  <si>
    <t>AMAN0038-PKP</t>
  </si>
  <si>
    <t>MANUAL FTS-B546-1</t>
  </si>
  <si>
    <t>S004</t>
  </si>
  <si>
    <t>OFS98-PMF</t>
  </si>
  <si>
    <t>AMAN0039-PKP</t>
  </si>
  <si>
    <t>Manual FTS-B581-3 FOR S326R (3:MAY 22)</t>
  </si>
  <si>
    <t>S005</t>
  </si>
  <si>
    <t>0.4F-PMF</t>
  </si>
  <si>
    <t>AMAN0040-PKP</t>
  </si>
  <si>
    <t>MANUAL FTS-B600-02 SIZE A4(S179)</t>
  </si>
  <si>
    <t>S009</t>
  </si>
  <si>
    <t>AMAN0041-PKP</t>
  </si>
  <si>
    <t>MANUAL FTS-B571 ISSUE1 (SIZE A4)</t>
  </si>
  <si>
    <t>S010</t>
  </si>
  <si>
    <t>Product Label</t>
  </si>
  <si>
    <t>AMAN0042-PKP</t>
  </si>
  <si>
    <t>MANUAL FTS-B495 ISSUE4 (SIZE A4)</t>
  </si>
  <si>
    <t>S011</t>
  </si>
  <si>
    <t>Product Packing</t>
  </si>
  <si>
    <t>AMAN0043-PKP</t>
  </si>
  <si>
    <t>MANUAL FTS-B523 ISSUE3 (SIZE A4)</t>
  </si>
  <si>
    <t>S012</t>
  </si>
  <si>
    <t>Sponge</t>
  </si>
  <si>
    <t>AMAN0044-PKP</t>
  </si>
  <si>
    <t>MANUAL FTS-B526 ISSUE4 (SIZE A4)</t>
  </si>
  <si>
    <t>S013</t>
  </si>
  <si>
    <t>AMAN0045-PKP</t>
  </si>
  <si>
    <t>MANUAL FTS-B535-07 (SIZE A4)</t>
  </si>
  <si>
    <t>S024</t>
  </si>
  <si>
    <t>AMAN0046-PKP</t>
  </si>
  <si>
    <t>MANUAL FTS-B611(ISSUE 1.)</t>
  </si>
  <si>
    <t>MANUAL FTS-B611(ISSUE 1.) SIZE A4</t>
  </si>
  <si>
    <t>S025</t>
  </si>
  <si>
    <t>Fixing Tape</t>
  </si>
  <si>
    <t>AMAN0047-PKP</t>
  </si>
  <si>
    <t>MANUAL FTS-B612-01</t>
  </si>
  <si>
    <t>MANUAL FTS-B612-01 (SIZE A4)</t>
  </si>
  <si>
    <t>S026</t>
  </si>
  <si>
    <t>AMAN0048-PKP</t>
  </si>
  <si>
    <t>MANUAL FTS-B613(ISSUE 1.)</t>
  </si>
  <si>
    <t>MANUAL FTS-B613(ISSUE 1.) SIZE A4</t>
  </si>
  <si>
    <t>T01</t>
  </si>
  <si>
    <t>PK20</t>
  </si>
  <si>
    <t>AMAN0049-PKP</t>
  </si>
  <si>
    <t>MANUAL SPLITTER -4(SONET)CEP-T-19039</t>
  </si>
  <si>
    <t>T02</t>
  </si>
  <si>
    <t>PE05</t>
  </si>
  <si>
    <t>AMAN0050-PKP</t>
  </si>
  <si>
    <t>MANUAL SPLITTER-8(PB-4B200D) CEP-T-15085</t>
  </si>
  <si>
    <t>T03</t>
  </si>
  <si>
    <t>PE06</t>
  </si>
  <si>
    <t>AMAN0051-PKP</t>
  </si>
  <si>
    <t>MANUAL SPLITTER-4 (PB-4B200D) CEP-T-1508</t>
  </si>
  <si>
    <t>T04</t>
  </si>
  <si>
    <t>PE10</t>
  </si>
  <si>
    <t>AMAN0052-PKP</t>
  </si>
  <si>
    <t>MANUAL CEP-T-09025 C (ADD QR)</t>
  </si>
  <si>
    <t>MANUAL CEP-T-09025 C (ADD QR)TYPE OPTION</t>
  </si>
  <si>
    <t>T05</t>
  </si>
  <si>
    <t>SnPb HN20 (PC@0.04GM)</t>
  </si>
  <si>
    <t>AMAN0053-PKP</t>
  </si>
  <si>
    <t>MANUAL CEP-T-09060 C (ADD QR)</t>
  </si>
  <si>
    <t>MANUAL CEP-T-09060 C (ADD QR)TYPE OPTION</t>
  </si>
  <si>
    <t>T06</t>
  </si>
  <si>
    <t>SnPb HN10 (PC@0.05GM)</t>
  </si>
  <si>
    <t>AMAN0054-PKP</t>
  </si>
  <si>
    <t>MANUAL CEP-T-09029 D (ADD QR)</t>
  </si>
  <si>
    <t>MANUAL CEP-T-09029 D (ADD QR)TYPE OPTION</t>
  </si>
  <si>
    <t>T07</t>
  </si>
  <si>
    <t>SnPb+Flux (RL@200GM)</t>
  </si>
  <si>
    <t>AMAN0055-PKP</t>
  </si>
  <si>
    <t>MANUAL CE.UKCA DECLARATION (S154)</t>
  </si>
  <si>
    <t>MANUAL CE .UKCA DECLARATION (S154)</t>
  </si>
  <si>
    <t>T08</t>
  </si>
  <si>
    <t>PK47</t>
  </si>
  <si>
    <t>AMAN0056-PKP</t>
  </si>
  <si>
    <t>MANUAL (REV.1)(S179+)</t>
  </si>
  <si>
    <t>CE DECLARATION CONFORMITY (REV.1)(S179+)</t>
  </si>
  <si>
    <t>T-RM006</t>
  </si>
  <si>
    <t>AMAN0057-PKP</t>
  </si>
  <si>
    <t>MANUAL (FTS-B632-01)</t>
  </si>
  <si>
    <t>STANDARD COMPONENTS (FTS-B632-01)</t>
  </si>
  <si>
    <t>ZSFBG01</t>
  </si>
  <si>
    <t>PRODUCT CASE FOR 9xx RECOATED FBG</t>
  </si>
  <si>
    <t>AMAN0058-PKP</t>
  </si>
  <si>
    <t>MANUAL (FTS-B628-01 S179+)</t>
  </si>
  <si>
    <t>QUICK REFERENCE GUIDE(FTS-B628-01 S179+)</t>
  </si>
  <si>
    <t>ZSFBG02</t>
  </si>
  <si>
    <t>RUBBER ROLLER</t>
  </si>
  <si>
    <t>REEL FOR PACKING</t>
  </si>
  <si>
    <t>AMAN0059-PKP</t>
  </si>
  <si>
    <t>MANUAL (FTS-B631-01)</t>
  </si>
  <si>
    <t>STANDARD COMPONENTS (FTS-B631-01)</t>
  </si>
  <si>
    <t>AMAN0060-PKP</t>
  </si>
  <si>
    <t>MANUAL (FTS-B630-01-S179+)</t>
  </si>
  <si>
    <t>FS420</t>
  </si>
  <si>
    <t xml:space="preserve">GUIDE ARM </t>
  </si>
  <si>
    <t>AMAR0001-OFF</t>
  </si>
  <si>
    <t>PAINT MARKER BLACK</t>
  </si>
  <si>
    <t>MOP-200 1005314 (SIZE 1.5 MM)</t>
  </si>
  <si>
    <t>FS421</t>
  </si>
  <si>
    <t>GUIDE BASE</t>
  </si>
  <si>
    <t>GUIDE BASE （PRESS FIT）</t>
  </si>
  <si>
    <t>AMAR0002-OFF</t>
  </si>
  <si>
    <t>PAINT MARKER SILVER</t>
  </si>
  <si>
    <t>MOP-200 1005318 (SIZE 1.5 MM)</t>
  </si>
  <si>
    <t>FS422</t>
  </si>
  <si>
    <t>LEAD SCREW （ＬＭ）</t>
  </si>
  <si>
    <t>AMID0012-THA</t>
  </si>
  <si>
    <t>MIDDLE BOX SO-NET</t>
  </si>
  <si>
    <t>FS424</t>
  </si>
  <si>
    <t xml:space="preserve">SHAFT LEAD FCS </t>
  </si>
  <si>
    <t>AMID0013-THA</t>
  </si>
  <si>
    <t>MIDDLE BOX FOR SPLITTER MODULE-8</t>
  </si>
  <si>
    <t>(PB-4B2006D)(PRINT-SCREEN)REFER QUOTATIO</t>
  </si>
  <si>
    <t>FS407</t>
  </si>
  <si>
    <t>TOP COVER</t>
  </si>
  <si>
    <t>TOP COVER（PRESS FIT）</t>
  </si>
  <si>
    <t>AMID0014-LSS</t>
  </si>
  <si>
    <t>MIDDLE BOX SIZE W525XL525XH315 MM.</t>
  </si>
  <si>
    <t>MIDDLE BOX (K6/3M/K6-C)</t>
  </si>
  <si>
    <t>FS408</t>
  </si>
  <si>
    <t>BOTTOM COVER</t>
  </si>
  <si>
    <t>BOTTOM COVER（PRESS FIT）</t>
  </si>
  <si>
    <t>AMID0014-OKA</t>
  </si>
  <si>
    <t>FS409</t>
  </si>
  <si>
    <t xml:space="preserve">FRONT COVER </t>
  </si>
  <si>
    <t>AMID0015-THA</t>
  </si>
  <si>
    <t>OUTER BOX FFTJ428N (OPTR-1)</t>
  </si>
  <si>
    <t>KA230/M/KA230 C-F</t>
  </si>
  <si>
    <t>FS411</t>
  </si>
  <si>
    <t>BATTERY CASE (TOP)</t>
  </si>
  <si>
    <t>AMID0016-THA</t>
  </si>
  <si>
    <t>MIDDEL BOX FOR HENKAN SC (MID08)</t>
  </si>
  <si>
    <t>KA230/M/KA230 C-F PRINT 1 COLOR</t>
  </si>
  <si>
    <t>FS412</t>
  </si>
  <si>
    <t>BATTERY CASE (BOTTOM)</t>
  </si>
  <si>
    <t>AMID0017-FEC</t>
  </si>
  <si>
    <t>OUTTER BOX</t>
  </si>
  <si>
    <t>FS413</t>
  </si>
  <si>
    <t xml:space="preserve">CANOPY COVER </t>
  </si>
  <si>
    <t>AMID0018-FEC</t>
  </si>
  <si>
    <t>CARTON BOX</t>
  </si>
  <si>
    <t>PACKING MATERIAL (CARDBOARD BOX)</t>
  </si>
  <si>
    <t>FS431</t>
  </si>
  <si>
    <t xml:space="preserve">HEATER CASE </t>
  </si>
  <si>
    <t>AMID0019-FEC</t>
  </si>
  <si>
    <t>PACKING CARDBOARD BOX FOR W1000</t>
  </si>
  <si>
    <t>FS432</t>
  </si>
  <si>
    <t xml:space="preserve">HEATER COVER </t>
  </si>
  <si>
    <t>AMID0020-THA</t>
  </si>
  <si>
    <t>MIDDLE BOX FOR DC-KOUNAI 4B</t>
  </si>
  <si>
    <t>KA185/CA125/KA185 C-F PRINT 1COLOR</t>
  </si>
  <si>
    <t>FS433</t>
  </si>
  <si>
    <t xml:space="preserve">HEATER CLAMP BASE R </t>
  </si>
  <si>
    <t>AMID0021-SEI</t>
  </si>
  <si>
    <t>MIDDLE BOX KEYLESS (W272 x D182 x H104)</t>
  </si>
  <si>
    <t>FS434</t>
  </si>
  <si>
    <t>HEATER ELEMENT HOLDER</t>
  </si>
  <si>
    <t>AMID0022-PAP</t>
  </si>
  <si>
    <t>CARTON BOX KRAFT PAPER</t>
  </si>
  <si>
    <t>ED-DD-24-009 SE230016D W177XL270XH100 MM</t>
  </si>
  <si>
    <t>AP001</t>
  </si>
  <si>
    <t>SM TAPE 4CORE/G310003/E0221</t>
  </si>
  <si>
    <t>FS406</t>
  </si>
  <si>
    <t>ARC UNIT ASSY</t>
  </si>
  <si>
    <t>AP002</t>
  </si>
  <si>
    <t>REINFORCED TUBE</t>
  </si>
  <si>
    <t>4CORE (A1712)</t>
  </si>
  <si>
    <t>FS414</t>
  </si>
  <si>
    <t>END CAP</t>
  </si>
  <si>
    <t>ABSORBER 01</t>
  </si>
  <si>
    <t>AP003</t>
  </si>
  <si>
    <t>2MM</t>
  </si>
  <si>
    <t>FS485</t>
  </si>
  <si>
    <t>AP004</t>
  </si>
  <si>
    <t>CORD HOLDING CLAMP RING</t>
  </si>
  <si>
    <t>FS426</t>
  </si>
  <si>
    <t>LED ARM</t>
  </si>
  <si>
    <t>AP005</t>
  </si>
  <si>
    <t>CORD HOLDING RING</t>
  </si>
  <si>
    <t>DP014</t>
  </si>
  <si>
    <t>WAVELENGTH FLIM</t>
  </si>
  <si>
    <t>QWP-1550-0508-15-F01K</t>
  </si>
  <si>
    <t>AP006</t>
  </si>
  <si>
    <t>METAL STOP RING</t>
  </si>
  <si>
    <t>CORD HOLDING BODY</t>
  </si>
  <si>
    <t>L-band (1pcs for 4 pcs of dp module)</t>
  </si>
  <si>
    <t>AP007</t>
  </si>
  <si>
    <t>PLASTIC BOOT</t>
  </si>
  <si>
    <t>CORD HOLDING BOOT FOR CORD</t>
  </si>
  <si>
    <t>DP001</t>
  </si>
  <si>
    <t xml:space="preserve">OPTICAL CHIP </t>
  </si>
  <si>
    <t>TYPE H</t>
  </si>
  <si>
    <t>AP008</t>
  </si>
  <si>
    <t>CORD HOLDING BOOT FOR TUBE</t>
  </si>
  <si>
    <t>V GROOVED GLASS PLATE</t>
  </si>
  <si>
    <t>100mmX100mm t1.5 (486-N0497-0001)</t>
  </si>
  <si>
    <t>AP009</t>
  </si>
  <si>
    <t>STOP RING A</t>
  </si>
  <si>
    <t>AP010</t>
  </si>
  <si>
    <t>RING FOR REINFORCING RUBE</t>
  </si>
  <si>
    <t>FOL9010FC8</t>
  </si>
  <si>
    <t>AP011</t>
  </si>
  <si>
    <t>CLAMP RING A</t>
  </si>
  <si>
    <t>FS522</t>
  </si>
  <si>
    <t>MAIN BASE PP4239-408439(40285)</t>
  </si>
  <si>
    <t>AP012</t>
  </si>
  <si>
    <t>STOP RING C</t>
  </si>
  <si>
    <t>FS578</t>
  </si>
  <si>
    <t>SUS SUB CASE</t>
  </si>
  <si>
    <t>SUB BASE L 33A2224D</t>
  </si>
  <si>
    <t>AP013</t>
  </si>
  <si>
    <t>CLAMP RING D</t>
  </si>
  <si>
    <t>FS579</t>
  </si>
  <si>
    <t>SUB BASE R 33A2225D</t>
  </si>
  <si>
    <t>AP014</t>
  </si>
  <si>
    <t>BRANCHING PART</t>
  </si>
  <si>
    <t>FS567</t>
  </si>
  <si>
    <t>ABSORBER-RIGHT-BACK 33A2220E-1</t>
  </si>
  <si>
    <t>AP015</t>
  </si>
  <si>
    <t>FS568</t>
  </si>
  <si>
    <t>ABSORBER-REFT-BACK 33A2220E-2</t>
  </si>
  <si>
    <t>AP016</t>
  </si>
  <si>
    <t>PLUG FRAME</t>
  </si>
  <si>
    <t>SC-PH PLUG FRAME 2B VA</t>
  </si>
  <si>
    <t>FS569</t>
  </si>
  <si>
    <t>ABSORBER-RIGHT-FRONT 33A2222D-1</t>
  </si>
  <si>
    <t>AP017</t>
  </si>
  <si>
    <t>SPRING VA</t>
  </si>
  <si>
    <t>FS570</t>
  </si>
  <si>
    <t>ABSORBER-LEFT-FRONT 33A2222D-2</t>
  </si>
  <si>
    <t>AP018</t>
  </si>
  <si>
    <t>SC-PH STOP RING VA</t>
  </si>
  <si>
    <t>R1901001-FEC</t>
  </si>
  <si>
    <t>FOL15UxDUx</t>
  </si>
  <si>
    <t>AP019</t>
  </si>
  <si>
    <t>SC-PH2 CLAMP RING</t>
  </si>
  <si>
    <t>AP020</t>
  </si>
  <si>
    <t>SC-PH2 RING</t>
  </si>
  <si>
    <t>PLATE WASHER M2</t>
  </si>
  <si>
    <t>AP021</t>
  </si>
  <si>
    <t>SSC-PH20 [LA]BOOT</t>
  </si>
  <si>
    <t>FS554</t>
  </si>
  <si>
    <t>COVER</t>
  </si>
  <si>
    <t>FIX COVER 33A1034K</t>
  </si>
  <si>
    <t>AP022</t>
  </si>
  <si>
    <t>SC-PH CAP VA</t>
  </si>
  <si>
    <t>FS525</t>
  </si>
  <si>
    <t>HEATER COVER HEAT PRESS FIT 33A21</t>
  </si>
  <si>
    <t>AP023</t>
  </si>
  <si>
    <t>0.9 SC FERRULE 125.5</t>
  </si>
  <si>
    <t>FS553</t>
  </si>
  <si>
    <t xml:space="preserve">SUS PLATE </t>
  </si>
  <si>
    <t>MOTER PLATE(CAULKING)33A2033C</t>
  </si>
  <si>
    <t>AP024</t>
  </si>
  <si>
    <t>MARK BAND</t>
  </si>
  <si>
    <t>S-1 No.1</t>
  </si>
  <si>
    <t>FS477</t>
  </si>
  <si>
    <t>AP025</t>
  </si>
  <si>
    <t>S-1 No.2</t>
  </si>
  <si>
    <t>FS531</t>
  </si>
  <si>
    <t>PLASTIC FRAME</t>
  </si>
  <si>
    <t>Z CARRIAGE HEAT PRESS FIT 33A2201C</t>
  </si>
  <si>
    <t>AP026</t>
  </si>
  <si>
    <t>S-1 No.3</t>
  </si>
  <si>
    <t>FS536</t>
  </si>
  <si>
    <t>AP027</t>
  </si>
  <si>
    <t>S-1 No.4</t>
  </si>
  <si>
    <t>FS529</t>
  </si>
  <si>
    <t xml:space="preserve">PLASTIC COVER </t>
  </si>
  <si>
    <t>BOTTOM COVER(PRESS FIT)33A2106C</t>
  </si>
  <si>
    <t>APAD0001-FEC</t>
  </si>
  <si>
    <t>FLE CABLE PAD</t>
  </si>
  <si>
    <t>FLE CABLE PAD(SET@2PC)</t>
  </si>
  <si>
    <t>FS552</t>
  </si>
  <si>
    <t>FIX ARM PLATE 33A2132E</t>
  </si>
  <si>
    <t>APAD0002-OIZ</t>
  </si>
  <si>
    <t>CABLE PAD 488-N0964-1001 (SET@2PCS)</t>
  </si>
  <si>
    <t>FS547</t>
  </si>
  <si>
    <t>HOLDER HOOK</t>
  </si>
  <si>
    <t>LENS-FIX-PLATE</t>
  </si>
  <si>
    <t>ASIL0001-FEC</t>
  </si>
  <si>
    <t>SILICA GEL</t>
  </si>
  <si>
    <t>SILICA GEL 30MM*40MM</t>
  </si>
  <si>
    <t>ASPO0008-TOP</t>
  </si>
  <si>
    <t>SPONGE FOR 98MM FIBER ASSEMBLING (100W)</t>
  </si>
  <si>
    <t>FS589</t>
  </si>
  <si>
    <t>MAIN BASE 33A2236A</t>
  </si>
  <si>
    <t>ASPO0009-TOP</t>
  </si>
  <si>
    <t>PACKAGE TRAY SPONG   FOR PE</t>
  </si>
  <si>
    <t>PACKING TRAY SPONG A (PE CONDUCTIVE)</t>
  </si>
  <si>
    <t>ASPO0010-DAI</t>
  </si>
  <si>
    <t>ANTI-STATIC SPONGE  SIZE T2x127x127mm.</t>
  </si>
  <si>
    <t>FS484</t>
  </si>
  <si>
    <t>CMOS CAMERA(IIB)</t>
  </si>
  <si>
    <t>ASPO0011-DAI</t>
  </si>
  <si>
    <t>SPONGE A233 (T=2.2MM)</t>
  </si>
  <si>
    <t>FS419</t>
  </si>
  <si>
    <t>ASPO0012-DAI</t>
  </si>
  <si>
    <t>SPONGE A233 SIZE 2.2 MM.*150+/1MM</t>
  </si>
  <si>
    <t>FS530</t>
  </si>
  <si>
    <t>TOP COVER(PRESS FIT)</t>
  </si>
  <si>
    <t>ASPO0013-TOP</t>
  </si>
  <si>
    <t>DUAL JU CONDUCTIVE SPONGE 1</t>
  </si>
  <si>
    <t>PE CONDUCTIVE FOAM LCX-200#2</t>
  </si>
  <si>
    <t>FS521</t>
  </si>
  <si>
    <t>GUIDE ARM</t>
  </si>
  <si>
    <t>GUIDE ARM 33A2007C</t>
  </si>
  <si>
    <t>ASPO0014-TOP</t>
  </si>
  <si>
    <t>DUAL JU CONDUCTIVE SPONGE 2</t>
  </si>
  <si>
    <t>R179S596-FEC</t>
  </si>
  <si>
    <t>ASPO0015-NAF</t>
  </si>
  <si>
    <t>CARRYING FOAM BAG (S179)</t>
  </si>
  <si>
    <t>FS483</t>
  </si>
  <si>
    <t>ASUB0003-FEC</t>
  </si>
  <si>
    <t>SUB PACKING</t>
  </si>
  <si>
    <t>FIBER BUFFER : FLM-T10</t>
  </si>
  <si>
    <t>FS591</t>
  </si>
  <si>
    <t>LENS MOUNT E</t>
  </si>
  <si>
    <t>ASUB0003-NIS</t>
  </si>
  <si>
    <t>FS590</t>
  </si>
  <si>
    <t>FRAME FCS 33A2226C</t>
  </si>
  <si>
    <t>ASUB0005-FEC</t>
  </si>
  <si>
    <t>TRAY DEVICE BUFFER : FLM-T13</t>
  </si>
  <si>
    <t>RSL00001-FEC</t>
  </si>
  <si>
    <t>EXTERNAL TUBE RNF100-4.5/1.9-CL-ST</t>
  </si>
  <si>
    <t>ATBAG0000001</t>
  </si>
  <si>
    <t>RECLOSABLE POLY BAGS (F-4-CR)</t>
  </si>
  <si>
    <t>RFLFLE01-FEC</t>
  </si>
  <si>
    <t>ALUMINIUM HEATSINK</t>
  </si>
  <si>
    <t>HEATSINK</t>
  </si>
  <si>
    <t>FIBER LASER</t>
  </si>
  <si>
    <t>FEC-FL</t>
  </si>
  <si>
    <t>ATBAG0000002</t>
  </si>
  <si>
    <t>LDPE ANTI STATIC BAG WITH ZIP LOCK</t>
  </si>
  <si>
    <t>FS532</t>
  </si>
  <si>
    <t>RUBBER PLATE</t>
  </si>
  <si>
    <t>TOP COVER RUBBER 33A2087C</t>
  </si>
  <si>
    <t>ATBAG0000003</t>
  </si>
  <si>
    <t>ZIPLOCK PLASTIC BAG(SEINICHI)</t>
  </si>
  <si>
    <t xml:space="preserve">Base </t>
  </si>
  <si>
    <t>ATBAG0000004</t>
  </si>
  <si>
    <t>LDPD BAG WITH ZIP LOOK50MM.X130MM.X0.07M</t>
  </si>
  <si>
    <t>LDPD BAG WITH ZIP LOOK (820 PCS/Kg)</t>
  </si>
  <si>
    <t>ATBAG0000005</t>
  </si>
  <si>
    <t>LDPD BAG WITH ZIP LOCK50 MMx120MMx0.14MM</t>
  </si>
  <si>
    <t>RFLFLE08-FEC</t>
  </si>
  <si>
    <t>ALUMINIUM PLAET</t>
  </si>
  <si>
    <t>COVER PLATE</t>
  </si>
  <si>
    <t>ATBAG000006</t>
  </si>
  <si>
    <t>ZIP LOCK PLASTIC BAG CLEAR</t>
  </si>
  <si>
    <t>LDPE BAG WITH ZIP (NORMAL CLEAR)</t>
  </si>
  <si>
    <t>RFICL168-FEC</t>
  </si>
  <si>
    <t>LINEAR GUIDE :LWLC7C1R40BT1PS2</t>
  </si>
  <si>
    <t>ATBAG000007</t>
  </si>
  <si>
    <t>16P-WINC/430-R0693-0001</t>
  </si>
  <si>
    <t>FFOS</t>
  </si>
  <si>
    <t>ATBAG000008</t>
  </si>
  <si>
    <t>LDPE ANTISTATIC ZIP BAG BLUE</t>
  </si>
  <si>
    <t>SIZE 6x8x0.12 MM.</t>
  </si>
  <si>
    <t>BS272</t>
  </si>
  <si>
    <t>PS202-KSD-1x8FFB13032</t>
  </si>
  <si>
    <t>KOUNAI</t>
  </si>
  <si>
    <t>ATBAG000009</t>
  </si>
  <si>
    <t>SEINICHI GRIPS UNI PACK</t>
  </si>
  <si>
    <t>F-4-100 (368-8980)</t>
  </si>
  <si>
    <t>NSP18-A2-100100-S7059</t>
  </si>
  <si>
    <t>ATBAG000010</t>
  </si>
  <si>
    <t>PLASTIC ZIP BAG (CLEAR)</t>
  </si>
  <si>
    <t>LDPE BAG WITH ZIP 12*17CM*0.10MM (2SIDE)</t>
  </si>
  <si>
    <t>IJ78-1</t>
  </si>
  <si>
    <t>8X1X4 SPLITTER NITTA(430-R0666-0001)</t>
  </si>
  <si>
    <t>IDM-JUMPERumper</t>
  </si>
  <si>
    <t>ATCOV0000001</t>
  </si>
  <si>
    <t>LID 7.945x12.445x0.375 INCH</t>
  </si>
  <si>
    <t>SP084</t>
  </si>
  <si>
    <t>1X8/Nitta/QS tape/430-R0669-0001</t>
  </si>
  <si>
    <t>ATCUS0000001</t>
  </si>
  <si>
    <t>CUSHION FOAM MATERIAL:LCX-200#2</t>
  </si>
  <si>
    <t>SP086</t>
  </si>
  <si>
    <t>1X8/Nitta/430-R0703-0011</t>
  </si>
  <si>
    <t>ATINNERBOXA1</t>
  </si>
  <si>
    <t>INNER BOX</t>
  </si>
  <si>
    <t>INNER BOX A</t>
  </si>
  <si>
    <t>ATKOS02A0001</t>
  </si>
  <si>
    <t>KOSOUBAKO IDM-J 382X488X80MM.</t>
  </si>
  <si>
    <t>KA185/3CA125/KA185-BC+C</t>
  </si>
  <si>
    <t>FTM5</t>
  </si>
  <si>
    <t>ATKOS02B0001</t>
  </si>
  <si>
    <t>MIDDLE BOX IDM-J</t>
  </si>
  <si>
    <t>KA185/CA125/KA185-C</t>
  </si>
  <si>
    <t>RFTM4034-FFO</t>
  </si>
  <si>
    <t>4P-WINC</t>
  </si>
  <si>
    <t>FTM4</t>
  </si>
  <si>
    <t>ATKOS02C0001</t>
  </si>
  <si>
    <t>PAPER SHEET IDM-J</t>
  </si>
  <si>
    <t>KA185/3CA125/KA185-BC</t>
  </si>
  <si>
    <t>B001</t>
  </si>
  <si>
    <t>TUBE COVER</t>
  </si>
  <si>
    <t>483-N0903-0003/Brown</t>
  </si>
  <si>
    <t>HENKAN</t>
  </si>
  <si>
    <t>ATKOS0300001</t>
  </si>
  <si>
    <t>KOSOUBAKO IDM 252X400X15 MM</t>
  </si>
  <si>
    <t>B002</t>
  </si>
  <si>
    <t>483-N0903-0004/Gray</t>
  </si>
  <si>
    <t>ATLABDC00002</t>
  </si>
  <si>
    <t>BLANK LABEL SIZE 43X13MM.1 ACROSS</t>
  </si>
  <si>
    <t>B003</t>
  </si>
  <si>
    <t>483-N0903-0002/White</t>
  </si>
  <si>
    <t>ATLABDC00003</t>
  </si>
  <si>
    <t>WHITE PET 50 PERMANENT LABEL</t>
  </si>
  <si>
    <t>(AA309) P20×W62（BackP23×W27）mm</t>
  </si>
  <si>
    <t>B004</t>
  </si>
  <si>
    <t>483-N0903-0001/blue</t>
  </si>
  <si>
    <t>ATLF0001-FEC</t>
  </si>
  <si>
    <t>PACKING MATERIALS FOR FIBER LASER ENGINE</t>
  </si>
  <si>
    <t>B005</t>
  </si>
  <si>
    <t>SSR132PFPD-12509(PREDOME TYPE)</t>
  </si>
  <si>
    <t>ATMID0000001</t>
  </si>
  <si>
    <t>CARDBOARD BOX S304</t>
  </si>
  <si>
    <t>B006</t>
  </si>
  <si>
    <t>497-N0445-0002/SC</t>
  </si>
  <si>
    <t>ATMID0000002</t>
  </si>
  <si>
    <t>BLACK BOX</t>
  </si>
  <si>
    <t>B007</t>
  </si>
  <si>
    <t>Sleeve</t>
  </si>
  <si>
    <t>ATP0000001</t>
  </si>
  <si>
    <t>ESD TAPE DESCRIPTION (50.8 MM* 36 MM.)</t>
  </si>
  <si>
    <t>B008</t>
  </si>
  <si>
    <t>497-N0444-0001/4MT-S</t>
  </si>
  <si>
    <t>ATP00001-SAN</t>
  </si>
  <si>
    <t>ESD TAPE (50.8mm*36mm)</t>
  </si>
  <si>
    <t>B009</t>
  </si>
  <si>
    <t>ATP00002-MIS</t>
  </si>
  <si>
    <t>GNT-100 ADHESIVE CLOTH TAPES</t>
  </si>
  <si>
    <t>B010</t>
  </si>
  <si>
    <t>ATP00003-NIT</t>
  </si>
  <si>
    <t>TRANSPARENT TAPE NO.3301</t>
  </si>
  <si>
    <t>NITTO MATEX (SIZE 75Mx100M)</t>
  </si>
  <si>
    <t>B011</t>
  </si>
  <si>
    <t>430-U0818-0003/Henkan</t>
  </si>
  <si>
    <t>ATRA0001-NIS</t>
  </si>
  <si>
    <t>PACKING TRAY</t>
  </si>
  <si>
    <t>TRAY : FLM-T09</t>
  </si>
  <si>
    <t>B012</t>
  </si>
  <si>
    <t>483-N0905-0001/Henkan</t>
  </si>
  <si>
    <t>ATRA0004-FEC</t>
  </si>
  <si>
    <t>TRAY : FLM-T12</t>
  </si>
  <si>
    <t>B013</t>
  </si>
  <si>
    <t>483-N0905-0002/Henkan</t>
  </si>
  <si>
    <t>ATRA0005-FEC</t>
  </si>
  <si>
    <t>CASE WITH CONDUCTIVE CUSION (SCS-N-A-PET</t>
  </si>
  <si>
    <t>B014</t>
  </si>
  <si>
    <t>430-N0904-0001/Henkan</t>
  </si>
  <si>
    <t>ATRA0008-TEX</t>
  </si>
  <si>
    <t>TRAY OF  SMALL 8BUNKI (GRADE  B)</t>
  </si>
  <si>
    <t>TRAY OF  SMALL 8BUNKI(A-PET dim.0.50mm.)</t>
  </si>
  <si>
    <t>B015</t>
  </si>
  <si>
    <t>430-U0818-0002/Henkan</t>
  </si>
  <si>
    <t>ATRA0009-VAJ</t>
  </si>
  <si>
    <t>TRAY CX FIBER BASE SIZE 126x230x37mm.</t>
  </si>
  <si>
    <t>B016</t>
  </si>
  <si>
    <t>UPPER CASE</t>
  </si>
  <si>
    <t>430-U0818-0001/Henkan</t>
  </si>
  <si>
    <t>ATRA0010-DSI</t>
  </si>
  <si>
    <t>TRAY  (7.945 x 12.445 x 0.625 inch)</t>
  </si>
  <si>
    <t>TRAY (ED-DD-18-183)PS BLACK</t>
  </si>
  <si>
    <t>B017</t>
  </si>
  <si>
    <t>G-769017/B/Henkan</t>
  </si>
  <si>
    <t>ATRA0011-MIS</t>
  </si>
  <si>
    <t>PACKING CASE AND COVER (1-4630-41)</t>
  </si>
  <si>
    <t>PACKING CASE AND COVER SIZE 36x36x14 MM.</t>
  </si>
  <si>
    <t>B018</t>
  </si>
  <si>
    <t>483-N0879-0001/f0.9</t>
  </si>
  <si>
    <t>ATRA0012-TOP</t>
  </si>
  <si>
    <t>DUAL JU CONDUCTIVE TRAY</t>
  </si>
  <si>
    <t>A-PET CONDUCTIVE(GREEN)T:0:60MM.</t>
  </si>
  <si>
    <t>B019</t>
  </si>
  <si>
    <t>ATRA0016-FEC</t>
  </si>
  <si>
    <t>HBCDM BOTTOM PACKING CASE</t>
  </si>
  <si>
    <t>B020</t>
  </si>
  <si>
    <t>ATRAY000-KSD</t>
  </si>
  <si>
    <t>BLUE TRAY</t>
  </si>
  <si>
    <t>B021</t>
  </si>
  <si>
    <t>SC-T</t>
  </si>
  <si>
    <t>ATSPO0000001</t>
  </si>
  <si>
    <t>B022</t>
  </si>
  <si>
    <t>ATTRA0000001</t>
  </si>
  <si>
    <t>TRAY 7.945x12.445x0.625 INCH</t>
  </si>
  <si>
    <t>BS005</t>
  </si>
  <si>
    <t>4SC/497-N0452-0001</t>
  </si>
  <si>
    <t>BS039</t>
  </si>
  <si>
    <t>S9-M-07430</t>
  </si>
  <si>
    <t>E-SEITAN PF</t>
  </si>
  <si>
    <t>BS042</t>
  </si>
  <si>
    <t>Ferrule</t>
  </si>
  <si>
    <t>BS044</t>
  </si>
  <si>
    <t>Tube</t>
  </si>
  <si>
    <t>BS054</t>
  </si>
  <si>
    <t>BS056</t>
  </si>
  <si>
    <t>PL SEAL</t>
  </si>
  <si>
    <t>HEKIMEN</t>
  </si>
  <si>
    <t>BS223</t>
  </si>
  <si>
    <t>581143</t>
  </si>
  <si>
    <t>95ZD185/SC</t>
  </si>
  <si>
    <t>BS224</t>
  </si>
  <si>
    <t>581144</t>
  </si>
  <si>
    <t>BS225</t>
  </si>
  <si>
    <t>SSC-SR2-SN-MN-DPBL</t>
  </si>
  <si>
    <t>485-N0511-0001/4MT</t>
  </si>
  <si>
    <t>BS231</t>
  </si>
  <si>
    <t>485-N0515-0001/MT</t>
  </si>
  <si>
    <t>BS232</t>
  </si>
  <si>
    <t>QR Cord Seal 4IDF</t>
  </si>
  <si>
    <t>BS233</t>
  </si>
  <si>
    <t>QR Cord Seal 8IDBF</t>
  </si>
  <si>
    <t>S9-M-0704-C</t>
  </si>
  <si>
    <t>BS234</t>
  </si>
  <si>
    <t>QR Cord Seal 4outdoor</t>
  </si>
  <si>
    <t>BS235</t>
  </si>
  <si>
    <t>QR Cord Seal 8outdoor</t>
  </si>
  <si>
    <t>BS236</t>
  </si>
  <si>
    <t>DC</t>
  </si>
  <si>
    <t>BS240</t>
  </si>
  <si>
    <t>NS43</t>
  </si>
  <si>
    <t>BS241</t>
  </si>
  <si>
    <t>RIVET</t>
  </si>
  <si>
    <t>RB-312(BK)</t>
  </si>
  <si>
    <t>SM Fiber tape Blue/O.3-4</t>
  </si>
  <si>
    <t>BS250</t>
  </si>
  <si>
    <t>G-767003/Blue</t>
  </si>
  <si>
    <t>BS251</t>
  </si>
  <si>
    <t>G-767003/Yellow</t>
  </si>
  <si>
    <t>BS252A</t>
  </si>
  <si>
    <t>S9-MM-07620</t>
  </si>
  <si>
    <t>SC-4MTS-T</t>
  </si>
  <si>
    <t>BS253A</t>
  </si>
  <si>
    <t>S9-MM-07621</t>
  </si>
  <si>
    <t>BAG05</t>
  </si>
  <si>
    <t>BAG ZIP 12"X17"</t>
  </si>
  <si>
    <t>BAG ZIP  12"X17"</t>
  </si>
  <si>
    <t>BS254</t>
    <phoneticPr fontId="27"/>
  </si>
  <si>
    <t>S9-MM-07625</t>
  </si>
  <si>
    <t>BAG06</t>
  </si>
  <si>
    <t>BAG ZIP  9X13 CM</t>
  </si>
  <si>
    <t>BS255</t>
  </si>
  <si>
    <t>S9-MM-07622</t>
  </si>
  <si>
    <t>BAG06P</t>
  </si>
  <si>
    <t>BAG ZIP 9X13 CM</t>
  </si>
  <si>
    <t>BS255A</t>
  </si>
  <si>
    <t>BAG08</t>
  </si>
  <si>
    <t>BAG ZIP  13X20 CM</t>
  </si>
  <si>
    <t>BS256</t>
  </si>
  <si>
    <t>S9-MM-07623</t>
  </si>
  <si>
    <t>BAG08P</t>
  </si>
  <si>
    <t>BAG ZIP 13X20 CM</t>
  </si>
  <si>
    <t>BS257</t>
  </si>
  <si>
    <t>QR Cord Seal E4PF</t>
  </si>
  <si>
    <t>BAG10</t>
  </si>
  <si>
    <t>BAGZIP 7X10 CM</t>
  </si>
  <si>
    <t>BAG ZIP 7X10 CM</t>
  </si>
  <si>
    <t>BS258</t>
  </si>
  <si>
    <t>QR Cord Seal E8PF</t>
  </si>
  <si>
    <t>BAG18</t>
  </si>
  <si>
    <t>BAG ZIP 23X35 CM.</t>
  </si>
  <si>
    <t>BS259</t>
  </si>
  <si>
    <t>PL(White)</t>
  </si>
  <si>
    <t>BAG19</t>
  </si>
  <si>
    <t>BAG ZIP 6X8 CM.</t>
  </si>
  <si>
    <t>BS260</t>
  </si>
  <si>
    <t>E SeitanPF(Small box)</t>
  </si>
  <si>
    <t>BAG19P</t>
  </si>
  <si>
    <t>BAG ZIP 6X8 CM.(8.8X6 CMX0.14 MM/2 SIDE)</t>
  </si>
  <si>
    <t>BS261</t>
  </si>
  <si>
    <t>E 4Seitan/Splitter4</t>
  </si>
  <si>
    <t>BAG21</t>
  </si>
  <si>
    <t>BAG ZIP  20X30 CM.</t>
  </si>
  <si>
    <t>BS262</t>
  </si>
  <si>
    <t>E SeitanPF(Middle box)</t>
  </si>
  <si>
    <t>BAG21P</t>
  </si>
  <si>
    <t>BS263</t>
  </si>
  <si>
    <t>BAG22</t>
  </si>
  <si>
    <t>BAG ZIP 50X130 MM.</t>
  </si>
  <si>
    <t>BS265</t>
  </si>
  <si>
    <t>E 8Seitan/Splitter8</t>
  </si>
  <si>
    <t>BAG22-P</t>
  </si>
  <si>
    <t>BS267</t>
  </si>
  <si>
    <t>QR Cord Seal for E Splitter 4</t>
  </si>
  <si>
    <t>BAG22P</t>
  </si>
  <si>
    <t>BAG ZIP 50X130 MM. (KG@800PCS)</t>
  </si>
  <si>
    <t>BS268</t>
  </si>
  <si>
    <t>QR Cord Seal for E Splitter 8</t>
  </si>
  <si>
    <t>BAG29</t>
  </si>
  <si>
    <t>POLY BAG FOR AWG NORTEL 488-N0782-1001</t>
  </si>
  <si>
    <t>BAG30</t>
  </si>
  <si>
    <t>BAG ZIP 18X28 CM (133 PCS/KG)</t>
  </si>
  <si>
    <t>BAG ZIP 18X28 CM(133 PCS/KG)</t>
  </si>
  <si>
    <t>BS270</t>
  </si>
  <si>
    <t>Short Boot (Purple)</t>
  </si>
  <si>
    <t>BAG31</t>
  </si>
  <si>
    <t>BAG ZIP (60CM X 85CM X 0.14MM)</t>
  </si>
  <si>
    <t>BS271</t>
  </si>
  <si>
    <t>S9-MM-07431-(Newest)</t>
  </si>
  <si>
    <t>BAG32</t>
  </si>
  <si>
    <t>BAG ZIP (20CMX30CMX0.12MM)</t>
  </si>
  <si>
    <t>BS273</t>
  </si>
  <si>
    <t>SSR-132PFCN-125U-AP</t>
  </si>
  <si>
    <t>BAG35</t>
  </si>
  <si>
    <t>PLASTIC BAG ( COFFEE ) SIZE 5"x11"</t>
  </si>
  <si>
    <t>BS274</t>
  </si>
  <si>
    <t>SSC-SR2-SN-APMN-SCDP</t>
  </si>
  <si>
    <t>BAG36</t>
  </si>
  <si>
    <t>BAG LDPE GRAED A</t>
  </si>
  <si>
    <t>BS275</t>
  </si>
  <si>
    <t>BAG37</t>
  </si>
  <si>
    <t>ALUMINIUM LAMINETED BAG</t>
  </si>
  <si>
    <t>FO001</t>
  </si>
  <si>
    <t>S9-MM-07207-B</t>
  </si>
  <si>
    <t>FO MODULE</t>
  </si>
  <si>
    <t>BAG38</t>
  </si>
  <si>
    <t>OE SHIELDING BAG 30X45 CM</t>
  </si>
  <si>
    <t>FO002</t>
  </si>
  <si>
    <t>S9-MM-07205</t>
  </si>
  <si>
    <t>BAG39</t>
  </si>
  <si>
    <t>PE A BAG 70X150X0.06MM</t>
  </si>
  <si>
    <t>FO003</t>
  </si>
  <si>
    <t>S9-MM-07201</t>
  </si>
  <si>
    <t>BAG42</t>
  </si>
  <si>
    <t>THICKNESS 0.03 x 180 x 270</t>
  </si>
  <si>
    <t>FO004</t>
  </si>
  <si>
    <t>S9-MM-07321</t>
  </si>
  <si>
    <t>BAG43</t>
  </si>
  <si>
    <t>LPDE ZIP LOCK BAG (CLEAR)</t>
  </si>
  <si>
    <t>FO005</t>
  </si>
  <si>
    <t>S9-MM-07202</t>
  </si>
  <si>
    <t>BC001</t>
  </si>
  <si>
    <t>PULL TUBE (4X1) Q-1.5MX1.8M-400M</t>
  </si>
  <si>
    <t>FO006</t>
  </si>
  <si>
    <t>S9-MM-07284</t>
  </si>
  <si>
    <t>BC003</t>
  </si>
  <si>
    <t>CANCLE</t>
  </si>
  <si>
    <t>50UM-CORELESS FIBER : 7000414</t>
  </si>
  <si>
    <t>FO007</t>
  </si>
  <si>
    <t>RIBBON OPTICAL FFIBER 4 CORE</t>
  </si>
  <si>
    <t>SM Fiber tape Yellow/０．３－４</t>
  </si>
  <si>
    <t>BC004</t>
  </si>
  <si>
    <t>GLASS TUBE</t>
  </si>
  <si>
    <t>F-TUBE (4X1) :7000415</t>
  </si>
  <si>
    <t>FO008</t>
  </si>
  <si>
    <t>SM G365004</t>
  </si>
  <si>
    <t>BC005</t>
  </si>
  <si>
    <t>F-TUBE(F520)SILICA FLUORINE 6X1 7000419</t>
  </si>
  <si>
    <t>FO010</t>
  </si>
  <si>
    <t>SSC132PFCPD-125.5SF</t>
  </si>
  <si>
    <t>BC006</t>
  </si>
  <si>
    <t>PULL TUBE (6X1) Q-.6M-.8M-0-400M</t>
  </si>
  <si>
    <t>FO011</t>
  </si>
  <si>
    <t>Mark band # 1</t>
  </si>
  <si>
    <t>BC007</t>
  </si>
  <si>
    <t>LC14-125LI : 81197</t>
  </si>
  <si>
    <t>FO012</t>
  </si>
  <si>
    <t>Mark band # 2</t>
  </si>
  <si>
    <t>BC008</t>
  </si>
  <si>
    <t>DCT16-200HI : 85343</t>
  </si>
  <si>
    <t>FO013</t>
  </si>
  <si>
    <t>Mark band # 3</t>
  </si>
  <si>
    <t>BC009</t>
  </si>
  <si>
    <t>80/360/460/650 Sil/ETFE : F77859</t>
  </si>
  <si>
    <t>FO014</t>
  </si>
  <si>
    <t>Mark band # 4</t>
  </si>
  <si>
    <t>BC010</t>
  </si>
  <si>
    <t>50/70/360UM NA 0.2 MMF : 2-1067X01</t>
  </si>
  <si>
    <t>FO015</t>
  </si>
  <si>
    <t>Mark band # 5</t>
  </si>
  <si>
    <t>BC013</t>
  </si>
  <si>
    <t>HNAP : 552HPWR036</t>
  </si>
  <si>
    <t>FO016</t>
  </si>
  <si>
    <t>Mark band # 6</t>
  </si>
  <si>
    <t>BC015</t>
  </si>
  <si>
    <t>PLASTIC TUBE</t>
  </si>
  <si>
    <t>SHRINK TUBE :7856K673(BAG@3ME/PC@0.3ME)</t>
  </si>
  <si>
    <t>FO017</t>
  </si>
  <si>
    <t>Mark band # 7</t>
  </si>
  <si>
    <t>BC016</t>
  </si>
  <si>
    <t>SHRINK TUBE 103-0053 (TUBE@1.27ME)</t>
  </si>
  <si>
    <t>FO018</t>
  </si>
  <si>
    <t>Mark band # 8</t>
  </si>
  <si>
    <t>BC017</t>
  </si>
  <si>
    <t>SP047</t>
  </si>
  <si>
    <t>BM-POT-08094F</t>
  </si>
  <si>
    <t>BC018</t>
  </si>
  <si>
    <t>SP048</t>
  </si>
  <si>
    <t>BM-POT-09505B</t>
  </si>
  <si>
    <t>BC019</t>
  </si>
  <si>
    <t>HPH0008</t>
  </si>
  <si>
    <t>SP049</t>
  </si>
  <si>
    <t>BM-POT-94058D</t>
  </si>
  <si>
    <t>BC019-1</t>
  </si>
  <si>
    <t>SUB COMBINER PACKAGE</t>
  </si>
  <si>
    <t>SP052</t>
  </si>
  <si>
    <t>M2*L8</t>
  </si>
  <si>
    <t>BC021</t>
  </si>
  <si>
    <t>SP053</t>
  </si>
  <si>
    <t>BM-POT-09501B</t>
  </si>
  <si>
    <t>BC022</t>
  </si>
  <si>
    <t>SP054</t>
  </si>
  <si>
    <t>PLUG</t>
  </si>
  <si>
    <t>S-070126B</t>
  </si>
  <si>
    <t>BC023</t>
  </si>
  <si>
    <t>SP055</t>
  </si>
  <si>
    <t>BC024</t>
  </si>
  <si>
    <t>SP056</t>
  </si>
  <si>
    <t>BC025</t>
  </si>
  <si>
    <t>SP057</t>
  </si>
  <si>
    <t>SSR132PF-125S09</t>
  </si>
  <si>
    <t>BC026</t>
  </si>
  <si>
    <t>STRIPPER IN</t>
  </si>
  <si>
    <t>SP066</t>
  </si>
  <si>
    <t>G34842</t>
  </si>
  <si>
    <t>BC030</t>
  </si>
  <si>
    <t>M3X4 SHCS SCREWS</t>
  </si>
  <si>
    <t>SP068</t>
  </si>
  <si>
    <t>WLA-7305260</t>
  </si>
  <si>
    <t>BC032</t>
  </si>
  <si>
    <t>M4X8 FHMS SCREWS</t>
  </si>
  <si>
    <t>SP069</t>
  </si>
  <si>
    <t>WLA-7108050</t>
  </si>
  <si>
    <t>BC034</t>
  </si>
  <si>
    <t>M2X6 FHMS SCREWS</t>
  </si>
  <si>
    <t>SP070</t>
  </si>
  <si>
    <t>WLA-7302170</t>
  </si>
  <si>
    <t>BC035</t>
  </si>
  <si>
    <t>M2X8 FHMS SCREWS</t>
  </si>
  <si>
    <t>SP071</t>
  </si>
  <si>
    <t>WLA-6311274</t>
  </si>
  <si>
    <t>BC037</t>
  </si>
  <si>
    <t>BEAM COMBINER BOX INSERT 7000328</t>
  </si>
  <si>
    <t>SP072</t>
  </si>
  <si>
    <t>WLA-6303155</t>
  </si>
  <si>
    <t>BC039</t>
  </si>
  <si>
    <t>SP073</t>
  </si>
  <si>
    <t>WLA-6311275</t>
  </si>
  <si>
    <t>BC042</t>
  </si>
  <si>
    <t>M3X6 FHMS SCREWS</t>
  </si>
  <si>
    <t>SP074</t>
  </si>
  <si>
    <t>WLA-6806070</t>
  </si>
  <si>
    <t>BC051</t>
  </si>
  <si>
    <t>PRECUT ARMORED CABLE :7000410</t>
  </si>
  <si>
    <t>SP075</t>
  </si>
  <si>
    <t>ASC-PSB10-XXX</t>
  </si>
  <si>
    <t>BC052</t>
  </si>
  <si>
    <t>ALUMINIUM  PLATE</t>
  </si>
  <si>
    <t>ALUMINIUM PACKAGE BASE 7000053</t>
  </si>
  <si>
    <t>SP085</t>
  </si>
  <si>
    <t>FOR  J396L3</t>
  </si>
  <si>
    <t>BC053</t>
  </si>
  <si>
    <t>ALUMINIUM LID</t>
  </si>
  <si>
    <t>ALUMINIUM PACKAGE LID 7000054</t>
  </si>
  <si>
    <t>SP087</t>
  </si>
  <si>
    <t>1X8/NEL/430-R0706-0001</t>
  </si>
  <si>
    <t>BC054</t>
  </si>
  <si>
    <t>ALUMINIUM WIRE CLAMP</t>
  </si>
  <si>
    <t>ALUMINIUM WIRE CLAMP 7000157</t>
  </si>
  <si>
    <t>RB005</t>
  </si>
  <si>
    <t>SCREW M 3.1x1.3x16 MM. HT CR+3W</t>
  </si>
  <si>
    <t>Rosette B</t>
  </si>
  <si>
    <t>BEL01</t>
  </si>
  <si>
    <t>BELT 1 METER  # 908677</t>
  </si>
  <si>
    <t>BS085</t>
  </si>
  <si>
    <t>ADHESIVE MARK TAPE</t>
  </si>
  <si>
    <t>Y-4932 20 MM</t>
  </si>
  <si>
    <t>BOX01</t>
  </si>
  <si>
    <t>CARTON BOX DEVICE2 W165XL245XH75MM.</t>
  </si>
  <si>
    <t>FL001-1</t>
  </si>
  <si>
    <t>TRUEMODE SPIRAL BASEPLATE0.8</t>
  </si>
  <si>
    <t>7000291-1</t>
  </si>
  <si>
    <t>OFS</t>
  </si>
  <si>
    <t>BOX02</t>
  </si>
  <si>
    <t>CARTON BOX DEVICE5  W170XL245XH150 MM.</t>
  </si>
  <si>
    <t>FL001</t>
  </si>
  <si>
    <t>BASE PLATE</t>
  </si>
  <si>
    <t>TRUEMODE SPIRAL BASEPLATE 0.8</t>
  </si>
  <si>
    <t>BOX03</t>
  </si>
  <si>
    <t>CARTON BOX DEVICE BIG W165XL247XH225 MM.</t>
  </si>
  <si>
    <t>FL005</t>
  </si>
  <si>
    <t>14UM 18+1:1 HP COMBINER</t>
  </si>
  <si>
    <t>7000337 (IJWOC)</t>
  </si>
  <si>
    <t>BOX04</t>
  </si>
  <si>
    <t>CARTON BOX DEVICE20 W250XL350XH250 MM.</t>
  </si>
  <si>
    <t>FL007</t>
  </si>
  <si>
    <t>1070NM CHRPED HR FOR YB CAVITY</t>
  </si>
  <si>
    <t>BOX05</t>
  </si>
  <si>
    <t>CARTON BOX DEVICE 30P  515X250X250MM.</t>
  </si>
  <si>
    <t>FL002</t>
  </si>
  <si>
    <t>TRUEMODE LID</t>
  </si>
  <si>
    <t>BOX07</t>
  </si>
  <si>
    <t>CARTON BOX FTM W540XL540XH580MM</t>
  </si>
  <si>
    <t>FL003</t>
  </si>
  <si>
    <t>SIDE WALL</t>
  </si>
  <si>
    <t>TrueMode Side Wall</t>
  </si>
  <si>
    <t>BOX10</t>
  </si>
  <si>
    <t>CARTON BOX IDM BIG W470XL580XH490 MM</t>
  </si>
  <si>
    <t>FL004</t>
  </si>
  <si>
    <t>YBT14-250, PREM CERT FIBER</t>
  </si>
  <si>
    <t>BOX13</t>
  </si>
  <si>
    <t>CARTON BOX LDM 490X280X245</t>
  </si>
  <si>
    <t>FL006</t>
  </si>
  <si>
    <t>7000337 (IJWOW)</t>
  </si>
  <si>
    <t>BOX17</t>
  </si>
  <si>
    <t>CARTON BOX FOR FA PLUG</t>
  </si>
  <si>
    <t>FL008</t>
  </si>
  <si>
    <t>1070NM CHRPED OC FOR YB CAVITY</t>
  </si>
  <si>
    <t>BOX18</t>
  </si>
  <si>
    <t>MIDDLE BOX FOR IDM-C W255XL420XH200 MM</t>
  </si>
  <si>
    <t>FL009</t>
  </si>
  <si>
    <t>PD SPACER</t>
  </si>
  <si>
    <t>BOX19</t>
  </si>
  <si>
    <t>CARTON BOX FOR FA W210XL333XH129 MM</t>
  </si>
  <si>
    <t>FL010</t>
  </si>
  <si>
    <t>DCT14-200HI, CERTIFIED FIBER</t>
  </si>
  <si>
    <t>BOX19-1</t>
  </si>
  <si>
    <t>CARTON BOX GAIHI/FAS W204XL315XH125 MM</t>
  </si>
  <si>
    <t>FL013</t>
  </si>
  <si>
    <t>PRECUT ARMORED CABLE -2.125</t>
  </si>
  <si>
    <t>BOX20</t>
  </si>
  <si>
    <t>CARTON BOX FAS BIG  W565XL555XH425 MM</t>
  </si>
  <si>
    <t>FL014</t>
  </si>
  <si>
    <t>CUSTOM LC RIBBON CABLE</t>
  </si>
  <si>
    <t>BOX26</t>
  </si>
  <si>
    <t>CARTON BOX NO LOGO W500XL550XH390 MM</t>
  </si>
  <si>
    <t>S043</t>
  </si>
  <si>
    <t>GEFT14-250LI FIBER TYPE 80852</t>
  </si>
  <si>
    <t>BOX27</t>
  </si>
  <si>
    <t>CARTON BOX PLC NO LOGO W395XL640XH390 MM</t>
  </si>
  <si>
    <t>IDC001-1GRMU</t>
  </si>
  <si>
    <t>64-Fiber IDM cable G-R MU(PC@15ME)</t>
  </si>
  <si>
    <t>IDM cable</t>
  </si>
  <si>
    <t>BOX29</t>
  </si>
  <si>
    <t>CARTON BOX LDM  T-PIG NO LOGO</t>
  </si>
  <si>
    <t>IDC001-3GRMU</t>
  </si>
  <si>
    <t>64-fiber IDM cable G-R (25m)</t>
  </si>
  <si>
    <t>BOX30</t>
  </si>
  <si>
    <t>CARTON BOX FTM  W470XL510XH380 MM</t>
  </si>
  <si>
    <t>IDC001-4GRMU</t>
  </si>
  <si>
    <t>64-fiber IDM cable G-R (30m)</t>
  </si>
  <si>
    <t>BOX31</t>
  </si>
  <si>
    <t>CARTON BOX IDM-J  W520XL790XH420 MM</t>
  </si>
  <si>
    <t>IDC001-1SC2</t>
  </si>
  <si>
    <t>64-fiber IDM cable SC2 (15m)</t>
  </si>
  <si>
    <t>BOX35</t>
  </si>
  <si>
    <t>MIDDLE BOX FOR DC-PF</t>
  </si>
  <si>
    <t>IDC001-2SC2</t>
  </si>
  <si>
    <t>64-fiber IDM cable SC2 (20m)</t>
  </si>
  <si>
    <t>BOX36</t>
  </si>
  <si>
    <t>OUTER BOX FOR 8BUNKI SPLITTER</t>
  </si>
  <si>
    <t>IDC001-3SC2</t>
  </si>
  <si>
    <t>64-fiber IDM cable SC2 (25m)</t>
  </si>
  <si>
    <t>BOX37</t>
  </si>
  <si>
    <t>OUTER BOX</t>
  </si>
  <si>
    <t>IDC001-4SC2</t>
  </si>
  <si>
    <t>64-fiber IDM cable SC2 (30m)</t>
  </si>
  <si>
    <t>BOX40</t>
  </si>
  <si>
    <t>DC-4SC BOX SET (SCREEN)</t>
  </si>
  <si>
    <t>IDC001-1GPRMU</t>
  </si>
  <si>
    <t>64-fiber IDM cable GP-R (15m)</t>
  </si>
  <si>
    <t>BOX41</t>
  </si>
  <si>
    <t>DC-8SC BOX SET (SCREEN)</t>
  </si>
  <si>
    <t>IDC001-2GPRMU</t>
  </si>
  <si>
    <t>64-fiber IDM cable GP-R (20m)</t>
  </si>
  <si>
    <t>BOX42</t>
  </si>
  <si>
    <t>MIDDLE BOX  FOR DC-4FA (SCREEN)</t>
  </si>
  <si>
    <t>IDC001-3GPRMU</t>
  </si>
  <si>
    <t>64-fiber IDM cable GP-R (25m)</t>
  </si>
  <si>
    <t>BOX43</t>
  </si>
  <si>
    <t>DC-8FA BOX SET (SCREEN)</t>
  </si>
  <si>
    <t>IDC001-4GPRMU</t>
  </si>
  <si>
    <t>64-fiber IDM cable GP-R (30m)</t>
  </si>
  <si>
    <t>BOX45</t>
  </si>
  <si>
    <t>DOCUMENT BOX  W211XL314XH140 MM</t>
  </si>
  <si>
    <t>FL057</t>
  </si>
  <si>
    <t>Opt Fiber 50/70/360,NA0.20:2-1067X01</t>
  </si>
  <si>
    <t>m.</t>
  </si>
  <si>
    <t>OPTOSKAND AB</t>
  </si>
  <si>
    <t>BOX46</t>
  </si>
  <si>
    <t>BOX47</t>
  </si>
  <si>
    <t>CARTON BOX HW NO LOGO W315XL525XH360MM</t>
  </si>
  <si>
    <t>RET001</t>
  </si>
  <si>
    <t>CTL BOARD 14TD023-1-NO.1</t>
  </si>
  <si>
    <t>RENESAS</t>
  </si>
  <si>
    <t>BOX49</t>
  </si>
  <si>
    <t>MIDDLE BOX FOR 2XN CABINET (SET)</t>
  </si>
  <si>
    <t>RET002</t>
  </si>
  <si>
    <t>HALL_TEMP BOARD 14TD023-1-NO.3</t>
  </si>
  <si>
    <t>BOX50</t>
  </si>
  <si>
    <t>CARTON BOX HEKIMEN 170x373x180 MM</t>
  </si>
  <si>
    <t>RET003</t>
  </si>
  <si>
    <t>POS_SEN BOARD 14TD023-1-NO.6</t>
  </si>
  <si>
    <t>BOX51</t>
  </si>
  <si>
    <t>CARTON BOX FOR KOUNAI</t>
  </si>
  <si>
    <t>RET004</t>
  </si>
  <si>
    <t>CAM_LED BOARD 14TD023-1-NO.4</t>
  </si>
  <si>
    <t>BOX52</t>
  </si>
  <si>
    <t>MIDDLE BOX MULT SECONDARY 248x592x190 MM</t>
  </si>
  <si>
    <t>RET005</t>
  </si>
  <si>
    <t>IL_LED BOARD 14TD023-1-NO.5</t>
  </si>
  <si>
    <t>BOX53</t>
  </si>
  <si>
    <t>MIDDLE BOX MULTI PRIM W240XL670XH240 MM</t>
  </si>
  <si>
    <t>RET006</t>
  </si>
  <si>
    <t>LCD_IF BOARD 14TD023-1-NO.2</t>
  </si>
  <si>
    <t>BOX54</t>
  </si>
  <si>
    <t>OUTER BOX FOR AWG NORTAL 488-N07121-1001</t>
  </si>
  <si>
    <t>RET007</t>
  </si>
  <si>
    <t>CAMERA FFC 14TD027-1-NO.2</t>
  </si>
  <si>
    <t>BOX55</t>
  </si>
  <si>
    <t>OUTER BOX SML 8BUNKI  W290XL290XH240 MM</t>
  </si>
  <si>
    <t>RET008</t>
  </si>
  <si>
    <t>LCD FFC 14TD023-1-NO.7</t>
  </si>
  <si>
    <t>BOX56</t>
  </si>
  <si>
    <t>OUTER BOX FOR BUTTERFLY BLUE BOX</t>
  </si>
  <si>
    <t>RET009</t>
  </si>
  <si>
    <t>BOX57</t>
  </si>
  <si>
    <t>CARTON BOX WITH PATITION</t>
  </si>
  <si>
    <t>BOX58</t>
  </si>
  <si>
    <t>CARTON BOX (NEL)385 X 625 X 360 MM.</t>
  </si>
  <si>
    <t>BOX59</t>
  </si>
  <si>
    <t>CARTON BOX (NEL)385 x 625 x 315 mm.</t>
  </si>
  <si>
    <t>BOX60</t>
  </si>
  <si>
    <t>OUTER BOX CEINA (488-N0833-1001-01)</t>
  </si>
  <si>
    <t>Plug</t>
  </si>
  <si>
    <t>BOX61</t>
  </si>
  <si>
    <t>MIDDLE BOX FOR KOUNAI4B W124XL215XH87 MM</t>
  </si>
  <si>
    <t>BOX62</t>
  </si>
  <si>
    <t>OUTER BOX FOR KOUNAI8B W135XL198XH110 MM</t>
  </si>
  <si>
    <t>BOX63</t>
  </si>
  <si>
    <t>OUTER BOX FOR IDM-J W405XL525XH415 MM</t>
  </si>
  <si>
    <t>BOX64</t>
  </si>
  <si>
    <t>CARTON BOX DEVICE30 W320XL530XH250 MM</t>
  </si>
  <si>
    <t>BOX65</t>
  </si>
  <si>
    <t>CARTON BOX DEVICE20 W250XL340XH250 MM</t>
  </si>
  <si>
    <t>BOX66</t>
  </si>
  <si>
    <t>CARTON BOX HEKIMEN W238XL382XH345 MM</t>
  </si>
  <si>
    <t>BOX67</t>
  </si>
  <si>
    <t>OUTER BOX FOR ROSETTEB W295XL340XH123 MM</t>
  </si>
  <si>
    <t>BOX68</t>
  </si>
  <si>
    <t>OUTER BOX B-KOTEI W199XL132XH104 MM</t>
  </si>
  <si>
    <t>BOX69</t>
  </si>
  <si>
    <t>OUTER BOX II-VI W355XL550XH324 MM</t>
  </si>
  <si>
    <t>BOX70</t>
  </si>
  <si>
    <t>OUTER BOX OE W420XL425XH178 MM</t>
  </si>
  <si>
    <t>BOX71</t>
  </si>
  <si>
    <t>OUTER BOX ADAMANT W425XL570XH428 MM</t>
  </si>
  <si>
    <t>BOX72</t>
  </si>
  <si>
    <t>OUTER BOX J428NROSETTEB W295XL340XH123MM</t>
  </si>
  <si>
    <t>BOX73</t>
  </si>
  <si>
    <t>OUTER BOX KOUNAI 8B W137XL197XH110 MM</t>
  </si>
  <si>
    <t>BOX74</t>
  </si>
  <si>
    <t>OUTER BOX FUSION SPLICE 310X370X124MM</t>
  </si>
  <si>
    <t>Fiber</t>
  </si>
  <si>
    <t>T-Pig</t>
  </si>
  <si>
    <t>BOX75</t>
  </si>
  <si>
    <t>OUTER BOX FOR DC-KOUNAI 4B (NO PRINT)</t>
  </si>
  <si>
    <t>BOX76</t>
  </si>
  <si>
    <t>CARTON BOX FL W506XL662XH511MM PRINT</t>
  </si>
  <si>
    <t>Boot20dB(LG-R )</t>
  </si>
  <si>
    <t>BOX77</t>
  </si>
  <si>
    <t>CARTON BOX FUSION SPLICER S179</t>
  </si>
  <si>
    <t>Frame</t>
  </si>
  <si>
    <t>BOX80</t>
  </si>
  <si>
    <t>CARTON BOX FL KA125/3CA125/KA125 BC</t>
  </si>
  <si>
    <t>Knob</t>
  </si>
  <si>
    <t>BOX81</t>
  </si>
  <si>
    <t>Cap</t>
  </si>
  <si>
    <t>BOX82</t>
  </si>
  <si>
    <t>CARTON BOX KL150/CA125/KL150BF</t>
  </si>
  <si>
    <t>Ring</t>
  </si>
  <si>
    <t>Clamp Ring</t>
  </si>
  <si>
    <t>BS006</t>
  </si>
  <si>
    <t>4SC/497-N0454-0001</t>
  </si>
  <si>
    <t>Stop Ring</t>
  </si>
  <si>
    <t>BS007</t>
  </si>
  <si>
    <t>4SC/430-U0863-0002</t>
  </si>
  <si>
    <t>Spring</t>
  </si>
  <si>
    <t>BS008</t>
  </si>
  <si>
    <t>4SC/430-U0863-0001</t>
  </si>
  <si>
    <t>Boot40dB(LM-R )</t>
  </si>
  <si>
    <t>BS009</t>
  </si>
  <si>
    <t>FIXING PART</t>
  </si>
  <si>
    <t>4SC/430-U0863-0003</t>
  </si>
  <si>
    <t>Zircore Ferrule</t>
  </si>
  <si>
    <t>BS012</t>
  </si>
  <si>
    <t>4SC/430-D0645-0001</t>
  </si>
  <si>
    <t>Pigtail case</t>
  </si>
  <si>
    <t>BS013</t>
  </si>
  <si>
    <t>4SC/485-N0547-0001</t>
  </si>
  <si>
    <t>BS014</t>
  </si>
  <si>
    <t>SSC-PHE17LA</t>
  </si>
  <si>
    <t>Reinforcing Sleeve</t>
  </si>
  <si>
    <t>BS015</t>
  </si>
  <si>
    <t>SC-PH 6</t>
  </si>
  <si>
    <t>Ribbon Optical Fiber 1 core</t>
  </si>
  <si>
    <t>BS016</t>
  </si>
  <si>
    <t>4SC/497-N0453-0003</t>
  </si>
  <si>
    <t>Ribbon Optical Fiber 4 core</t>
  </si>
  <si>
    <t>BS017</t>
  </si>
  <si>
    <t>4SC/497-N0453-0004</t>
  </si>
  <si>
    <t>BS018</t>
  </si>
  <si>
    <t>SSC-PHE15LA</t>
  </si>
  <si>
    <t>BS019</t>
  </si>
  <si>
    <t>BS020</t>
  </si>
  <si>
    <t>SC-PH</t>
  </si>
  <si>
    <t>Boot</t>
  </si>
  <si>
    <t>BS021</t>
  </si>
  <si>
    <t>4SC/497-N0453-0008</t>
  </si>
  <si>
    <t>BS023</t>
  </si>
  <si>
    <t>MARKING BAND</t>
  </si>
  <si>
    <t>4SC/4A3-N0403-0001</t>
  </si>
  <si>
    <t>BS028</t>
  </si>
  <si>
    <t>dai 1.5 tube : NO.G379031</t>
  </si>
  <si>
    <t>BS029</t>
  </si>
  <si>
    <t>4-SC(ST@3pc)</t>
  </si>
  <si>
    <t>BS031</t>
  </si>
  <si>
    <t>2-SC/485-N0572-001</t>
  </si>
  <si>
    <t>BS032</t>
  </si>
  <si>
    <t>2-SC/485-N0573-0001</t>
  </si>
  <si>
    <t>BS033</t>
  </si>
  <si>
    <t>2-SC/430-R0109-0002/SKM</t>
  </si>
  <si>
    <t>BS034</t>
  </si>
  <si>
    <t>2-SC(ST@3PC)</t>
  </si>
  <si>
    <t>BS036</t>
  </si>
  <si>
    <t>S9-M-07414</t>
  </si>
  <si>
    <t>BS037</t>
  </si>
  <si>
    <t>S9-M-07415</t>
  </si>
  <si>
    <t>BS038</t>
  </si>
  <si>
    <t>S9-M-07416</t>
  </si>
  <si>
    <t>BS040</t>
  </si>
  <si>
    <t>S9-M-07431</t>
  </si>
  <si>
    <t>BS041</t>
  </si>
  <si>
    <t>No.G-766002</t>
  </si>
  <si>
    <t>633</t>
  </si>
  <si>
    <t>T-PIG</t>
  </si>
  <si>
    <t>FERRULE</t>
  </si>
  <si>
    <t>NF-FTM A Port Cord</t>
  </si>
  <si>
    <t>BS043</t>
  </si>
  <si>
    <t>SSC132PFC-125SF</t>
  </si>
  <si>
    <t>BS045</t>
  </si>
  <si>
    <t>KM-POT-06S064</t>
  </si>
  <si>
    <t>BS046</t>
  </si>
  <si>
    <t>KM-POT-06S134</t>
  </si>
  <si>
    <t>BS047</t>
  </si>
  <si>
    <t>SUPPORTING PART</t>
  </si>
  <si>
    <t>SC ATTACHMENT A</t>
  </si>
  <si>
    <t>BS048</t>
  </si>
  <si>
    <t>FAS DUST CAP</t>
  </si>
  <si>
    <t>BS050</t>
  </si>
  <si>
    <t xml:space="preserve">PRODUCT LABEL	</t>
  </si>
  <si>
    <t>BS051</t>
  </si>
  <si>
    <t>3.8 x 16</t>
  </si>
  <si>
    <t>BS052</t>
  </si>
  <si>
    <t>M4x22</t>
  </si>
  <si>
    <t>BS053</t>
  </si>
  <si>
    <t>BS055</t>
  </si>
  <si>
    <t>QR CORD SEAL</t>
  </si>
  <si>
    <t>BS057</t>
  </si>
  <si>
    <t>S9-M-07417</t>
  </si>
  <si>
    <t>BS057L</t>
  </si>
  <si>
    <t>BODY S9-07478-G</t>
  </si>
  <si>
    <t>BS058L</t>
  </si>
  <si>
    <t>LID S9-MM-07477-G</t>
  </si>
  <si>
    <t>BS059L</t>
  </si>
  <si>
    <t>SUB CASE  S9-MM-07479C</t>
  </si>
  <si>
    <t>BS060</t>
  </si>
  <si>
    <t>S9-M-07419</t>
  </si>
  <si>
    <t>BS061</t>
  </si>
  <si>
    <t>S9-M-07446</t>
  </si>
  <si>
    <t>BS062</t>
  </si>
  <si>
    <t>BS063</t>
  </si>
  <si>
    <t>BS064</t>
  </si>
  <si>
    <t>BS065</t>
  </si>
  <si>
    <t>SSC-PHE LA</t>
  </si>
  <si>
    <t>BS066</t>
  </si>
  <si>
    <t>BS067</t>
  </si>
  <si>
    <t>SC-PH Plug Frame 6</t>
  </si>
  <si>
    <t>BS068</t>
  </si>
  <si>
    <t>SC-PH Plastic Stop Ring</t>
  </si>
  <si>
    <t>BS069</t>
  </si>
  <si>
    <t>BS101</t>
  </si>
  <si>
    <t>SOCKET CAP</t>
  </si>
  <si>
    <t>BS070</t>
  </si>
  <si>
    <t>BS103B</t>
  </si>
  <si>
    <t>ZIRCONIA SLEEVE</t>
  </si>
  <si>
    <t>SC ZIRCONIA SLEEVE /ASC-SL05-003</t>
  </si>
  <si>
    <t>BS071</t>
  </si>
  <si>
    <t>BOOT</t>
  </si>
  <si>
    <t>BS105</t>
  </si>
  <si>
    <t>SC FERRULE-0.9</t>
  </si>
  <si>
    <t>BS072</t>
  </si>
  <si>
    <t>G-312268</t>
  </si>
  <si>
    <t>BS106</t>
  </si>
  <si>
    <t>BS073</t>
  </si>
  <si>
    <t>S-1[0]</t>
  </si>
  <si>
    <t>BS108</t>
  </si>
  <si>
    <t>SC BOOT</t>
  </si>
  <si>
    <t>BS074</t>
  </si>
  <si>
    <t>S-1[1]</t>
  </si>
  <si>
    <t>BS110</t>
  </si>
  <si>
    <t>BS075</t>
  </si>
  <si>
    <t>S-1[2]</t>
  </si>
  <si>
    <t>BS121</t>
  </si>
  <si>
    <t>BS076</t>
  </si>
  <si>
    <t>S-1[3]</t>
  </si>
  <si>
    <t>BS122</t>
  </si>
  <si>
    <t>BS077</t>
  </si>
  <si>
    <t>S-1[4]</t>
  </si>
  <si>
    <t>BS125</t>
  </si>
  <si>
    <t>SC-PH CLAMP RING</t>
  </si>
  <si>
    <t>BS078</t>
  </si>
  <si>
    <t>S-1[5]</t>
  </si>
  <si>
    <t>BS126</t>
  </si>
  <si>
    <t>SC-PH RING</t>
  </si>
  <si>
    <t>BS079</t>
  </si>
  <si>
    <t>S-1[6]</t>
  </si>
  <si>
    <t>BS127</t>
  </si>
  <si>
    <t>SC-PH BOOT</t>
  </si>
  <si>
    <t>BS080</t>
  </si>
  <si>
    <t>S-1[7]</t>
  </si>
  <si>
    <t>BS161</t>
  </si>
  <si>
    <t>SC FERRULE-0.65/E-1079</t>
  </si>
  <si>
    <t>BS081</t>
  </si>
  <si>
    <t>S-1[8]</t>
  </si>
  <si>
    <t>BS163</t>
  </si>
  <si>
    <t>BS082</t>
  </si>
  <si>
    <t>GUIDE PART</t>
  </si>
  <si>
    <t>NK CLAMP DKN-5G</t>
  </si>
  <si>
    <t>BS164</t>
  </si>
  <si>
    <t>Optical Splitter</t>
  </si>
  <si>
    <t>BS083</t>
  </si>
  <si>
    <t>CKN CLAMP CKN-13SP</t>
  </si>
  <si>
    <t>BS164A</t>
  </si>
  <si>
    <t>Splitter (R15)</t>
  </si>
  <si>
    <t>BS084</t>
  </si>
  <si>
    <t>MARK TAPE</t>
  </si>
  <si>
    <t>Y-4932 22 MM</t>
  </si>
  <si>
    <t>CON001</t>
  </si>
  <si>
    <t>Connector</t>
  </si>
  <si>
    <t>CON002</t>
  </si>
  <si>
    <t>PLUG FIBER COVER</t>
  </si>
  <si>
    <t>FIBER FIXING PART</t>
  </si>
  <si>
    <t>BS086</t>
  </si>
  <si>
    <t>S9-M-07425</t>
  </si>
  <si>
    <t>CON003</t>
  </si>
  <si>
    <t>PLUG HIFUKU COVER</t>
  </si>
  <si>
    <t>HIFUKU FIXING PART</t>
  </si>
  <si>
    <t>BS087</t>
  </si>
  <si>
    <t>S9-M-07426</t>
  </si>
  <si>
    <t>F001</t>
  </si>
  <si>
    <t>FTM 4/E-0240</t>
  </si>
  <si>
    <t>BS088</t>
  </si>
  <si>
    <t>SEPARATING PART</t>
  </si>
  <si>
    <t>S9-M-07427 No.1</t>
  </si>
  <si>
    <t>F005</t>
  </si>
  <si>
    <t>BS089</t>
  </si>
  <si>
    <t>S9-M-07427 No.2</t>
  </si>
  <si>
    <t>F006</t>
  </si>
  <si>
    <t>Protecting Part</t>
  </si>
  <si>
    <t>BS090</t>
  </si>
  <si>
    <t>PROTECTING PART</t>
  </si>
  <si>
    <t>S9-M-07428</t>
  </si>
  <si>
    <t>F007</t>
  </si>
  <si>
    <t>NYLON TUBE 4CORE (A-1712)</t>
  </si>
  <si>
    <t>BS091</t>
  </si>
  <si>
    <t>S9-M-07447</t>
  </si>
  <si>
    <t>F008</t>
  </si>
  <si>
    <t>Nylon Tube 8Core (L-1940)</t>
  </si>
  <si>
    <t>BS092</t>
  </si>
  <si>
    <t>QR CORD SEAL 4FA</t>
  </si>
  <si>
    <t>F011</t>
  </si>
  <si>
    <t>BS093</t>
  </si>
  <si>
    <t>QR CORD SEAL 8FA</t>
  </si>
  <si>
    <t>F012</t>
  </si>
  <si>
    <t>NF</t>
  </si>
  <si>
    <t>BS094</t>
  </si>
  <si>
    <t>QR CORD SEAL 4SC</t>
  </si>
  <si>
    <t>F013</t>
  </si>
  <si>
    <t>Black</t>
  </si>
  <si>
    <t>BS095</t>
  </si>
  <si>
    <t>QR CORD SEAL 8SC</t>
  </si>
  <si>
    <t>F016-1</t>
  </si>
  <si>
    <t>4MTR125.5</t>
  </si>
  <si>
    <t>F018</t>
  </si>
  <si>
    <t>4TAPE  COUPLER</t>
  </si>
  <si>
    <t>BS103</t>
  </si>
  <si>
    <t>SC ZIRCONIA SLEEVE</t>
  </si>
  <si>
    <t>F019</t>
  </si>
  <si>
    <t>4TAPE COUPLER</t>
  </si>
  <si>
    <t>F020</t>
  </si>
  <si>
    <t>BS104A</t>
  </si>
  <si>
    <t>BACK FRAME</t>
  </si>
  <si>
    <t>BACK FRAME SOCKET FRAME H (R)</t>
  </si>
  <si>
    <t>F021</t>
  </si>
  <si>
    <t>BS104B</t>
  </si>
  <si>
    <t>SOCKET FRAME</t>
  </si>
  <si>
    <t>SOCKET FRAME S</t>
  </si>
  <si>
    <t>F022</t>
  </si>
  <si>
    <t>F023</t>
  </si>
  <si>
    <t>F024</t>
  </si>
  <si>
    <t>Plastic Zipper bag A-4</t>
  </si>
  <si>
    <t>BS107</t>
  </si>
  <si>
    <t>STOP RING</t>
  </si>
  <si>
    <t>FA105</t>
  </si>
  <si>
    <t>FIBER/G-364308</t>
  </si>
  <si>
    <t>FAS Connector</t>
  </si>
  <si>
    <t>FA106</t>
  </si>
  <si>
    <t>CLAMP SPRING A</t>
  </si>
  <si>
    <t>BS109L</t>
  </si>
  <si>
    <t>TUBE HOLDER  E-1193-4 / BSSC0110</t>
  </si>
  <si>
    <t>FA108</t>
  </si>
  <si>
    <t>BACK FRAME SOCKET FRAME D (R)</t>
  </si>
  <si>
    <t>FA109-1</t>
  </si>
  <si>
    <t>E-1206</t>
  </si>
  <si>
    <t>FA111</t>
  </si>
  <si>
    <t>STOPPER</t>
  </si>
  <si>
    <t>FAS Stopper L</t>
  </si>
  <si>
    <t>FA114</t>
  </si>
  <si>
    <t>WLA6303155</t>
  </si>
  <si>
    <t>BS123</t>
  </si>
  <si>
    <t>SC FERRULE-0.5</t>
  </si>
  <si>
    <t>FA115</t>
  </si>
  <si>
    <t>SC ZIRCONIASLEEVE/ASC-SL05-003</t>
  </si>
  <si>
    <t>BS124</t>
  </si>
  <si>
    <t>SC-PH STOP RING</t>
  </si>
  <si>
    <t>FA118</t>
  </si>
  <si>
    <t>E-1182</t>
  </si>
  <si>
    <t>FA119</t>
  </si>
  <si>
    <t>FERRULE CAP</t>
  </si>
  <si>
    <t>FA123</t>
  </si>
  <si>
    <t>INSPECTION FIBER</t>
  </si>
  <si>
    <t>FA130</t>
  </si>
  <si>
    <t>ATTACHING PART (F-GUIDE F)</t>
  </si>
  <si>
    <t>BS128L</t>
  </si>
  <si>
    <t>CORD HOLDER E-1191-4 / BSS0160</t>
  </si>
  <si>
    <t>FA136-1</t>
  </si>
  <si>
    <t>PLUG KUSABI</t>
  </si>
  <si>
    <t>K Kusabi R-2</t>
  </si>
  <si>
    <t>BS129</t>
  </si>
  <si>
    <t>DROP CABLE</t>
  </si>
  <si>
    <t>FIBER CORD/E-1194</t>
  </si>
  <si>
    <t>FA137</t>
  </si>
  <si>
    <t>Cabel Holder for FAS</t>
  </si>
  <si>
    <t>BS131</t>
  </si>
  <si>
    <t>SN01108RNS-A684A</t>
  </si>
  <si>
    <t>FA139</t>
  </si>
  <si>
    <t>BS135</t>
  </si>
  <si>
    <t>EINFORCING SLEEVE</t>
  </si>
  <si>
    <t>S922 SLEEVE</t>
  </si>
  <si>
    <t>FAC003-1</t>
  </si>
  <si>
    <t>SPRING F/KM-POT-04S055</t>
  </si>
  <si>
    <t>FAC Connector</t>
  </si>
  <si>
    <t>BS137</t>
  </si>
  <si>
    <t>PRODUCT LABEL LARGE</t>
  </si>
  <si>
    <t>FAC009</t>
  </si>
  <si>
    <t>FAP HOUSING</t>
  </si>
  <si>
    <t>BS138</t>
  </si>
  <si>
    <t>PRODUCT LABEL SMALL</t>
  </si>
  <si>
    <t>FAC015</t>
  </si>
  <si>
    <t>PLUG DUST CAP/E-1004</t>
  </si>
  <si>
    <t>BS142</t>
  </si>
  <si>
    <t>CAP FOR 4 CORE</t>
  </si>
  <si>
    <t>FAC017</t>
  </si>
  <si>
    <t>SOCKET FERRULE  (PD)</t>
  </si>
  <si>
    <t>BS142L</t>
  </si>
  <si>
    <t>FIXING PART E-1298-3/BSSC0180</t>
  </si>
  <si>
    <t>FAC018</t>
  </si>
  <si>
    <t>SOCKET FIBER FIXING PART</t>
  </si>
  <si>
    <t>BS144</t>
  </si>
  <si>
    <t>PLASTIC RING</t>
  </si>
  <si>
    <t>Spring for Back Frame</t>
  </si>
  <si>
    <t>FAC019</t>
  </si>
  <si>
    <t>SOCKET HIFUKU FIXING PART</t>
  </si>
  <si>
    <t>BS145</t>
  </si>
  <si>
    <t>FRONT FRAME</t>
  </si>
  <si>
    <t>FRONT FRAME SOCKET FRAME D (F)</t>
  </si>
  <si>
    <t>FAC021</t>
  </si>
  <si>
    <t>SOCKET FRONT V3</t>
  </si>
  <si>
    <t>BS146</t>
  </si>
  <si>
    <t>FAC023</t>
  </si>
  <si>
    <t>SOCKET</t>
  </si>
  <si>
    <t>Socket 90 rotate V3</t>
  </si>
  <si>
    <t>BS147</t>
  </si>
  <si>
    <t>FAC024</t>
  </si>
  <si>
    <t>PLASTIC GUIDE PART</t>
  </si>
  <si>
    <t>SOCKET 90 REAR BODY V3</t>
  </si>
  <si>
    <t>BS148</t>
  </si>
  <si>
    <t>FAC028</t>
  </si>
  <si>
    <t>SOCKET KUSABI</t>
  </si>
  <si>
    <t>K-KUSABI FOR FA SOCKET</t>
  </si>
  <si>
    <t>BS149</t>
  </si>
  <si>
    <t>FAC034</t>
  </si>
  <si>
    <t>FAP FRAME</t>
  </si>
  <si>
    <t>BS150</t>
  </si>
  <si>
    <t>FAC035L</t>
  </si>
  <si>
    <t>Guide Part</t>
  </si>
  <si>
    <t>BS151</t>
  </si>
  <si>
    <t>FAC040</t>
  </si>
  <si>
    <t>P Kusabi-2</t>
  </si>
  <si>
    <t>BS152</t>
  </si>
  <si>
    <t>FAC041L</t>
  </si>
  <si>
    <t>BS153L</t>
  </si>
  <si>
    <t>SPONGE MF-50 V2 BK/SE060101A</t>
  </si>
  <si>
    <t>FAC043</t>
  </si>
  <si>
    <t>SOCKET HOLDER</t>
  </si>
  <si>
    <t>BS154L</t>
  </si>
  <si>
    <t>BODY CASE  E-1285-4 / BSSB0160</t>
  </si>
  <si>
    <t>FAT001</t>
  </si>
  <si>
    <t>ADAPTER FERRULE(PILOT)</t>
  </si>
  <si>
    <t>Filter Adapter</t>
  </si>
  <si>
    <t>BS155L</t>
  </si>
  <si>
    <t>LID E-1286-5 / BSSB0180</t>
  </si>
  <si>
    <t>FAT001-2</t>
  </si>
  <si>
    <t>BS157</t>
  </si>
  <si>
    <t>25*31.5 (SILVER)</t>
  </si>
  <si>
    <t>FAT002</t>
  </si>
  <si>
    <t>ADAPTOR</t>
  </si>
  <si>
    <t>ADAPTER BODY</t>
  </si>
  <si>
    <t>BS160L</t>
  </si>
  <si>
    <t>E-1708</t>
  </si>
  <si>
    <t>FAT003</t>
  </si>
  <si>
    <t>ADAPTER SLIDER</t>
  </si>
  <si>
    <t>FAT004</t>
  </si>
  <si>
    <t>PLUG FRAME B</t>
  </si>
  <si>
    <t>BS162L</t>
  </si>
  <si>
    <t>1.7  CORD HOLDER E-1709</t>
  </si>
  <si>
    <t>FAT005</t>
  </si>
  <si>
    <t>FAT006</t>
  </si>
  <si>
    <t>FAT007</t>
  </si>
  <si>
    <t>FAT008</t>
  </si>
  <si>
    <t>Connector Cap</t>
  </si>
  <si>
    <t>BS165L</t>
  </si>
  <si>
    <t>SPLITTER COVER</t>
  </si>
  <si>
    <t>FC071-1</t>
  </si>
  <si>
    <t>81EB2436</t>
  </si>
  <si>
    <t>BS166L</t>
  </si>
  <si>
    <t>PRODUCT LABEL A</t>
  </si>
  <si>
    <t>FP001</t>
  </si>
  <si>
    <t>FW FIBER CORD</t>
  </si>
  <si>
    <t>FAS Connector Fiber</t>
  </si>
  <si>
    <t>BS167</t>
  </si>
  <si>
    <t>FP002</t>
  </si>
  <si>
    <t>SC-PH BOOTS[BL]</t>
  </si>
  <si>
    <t>BS200</t>
  </si>
  <si>
    <t>S9-MM-07488-D</t>
  </si>
  <si>
    <t>FP003</t>
  </si>
  <si>
    <t>-2 SC BOOTS</t>
  </si>
  <si>
    <t>BS201</t>
  </si>
  <si>
    <t>S9-MM-07489-C</t>
  </si>
  <si>
    <t>FP004</t>
  </si>
  <si>
    <t>BS202</t>
  </si>
  <si>
    <t>S9-MM-07490-C</t>
  </si>
  <si>
    <t>FP005</t>
  </si>
  <si>
    <t>BS203</t>
  </si>
  <si>
    <t>S9-MM-07491-B</t>
  </si>
  <si>
    <t>FP008</t>
  </si>
  <si>
    <t>BS204</t>
  </si>
  <si>
    <t>S9-MM-07492-B</t>
  </si>
  <si>
    <t>FP009</t>
  </si>
  <si>
    <t>BS205</t>
  </si>
  <si>
    <t>S9-MM-07493-B</t>
  </si>
  <si>
    <t>FP010</t>
  </si>
  <si>
    <t>BS206</t>
  </si>
  <si>
    <t>FP011</t>
  </si>
  <si>
    <t>PLUG CAP</t>
  </si>
  <si>
    <t>BS207</t>
  </si>
  <si>
    <t>LABEL FOR 4 SC CORDS</t>
  </si>
  <si>
    <t>FP014</t>
  </si>
  <si>
    <t>BS208</t>
  </si>
  <si>
    <t>QR CORD SEAL 4SC-S</t>
  </si>
  <si>
    <t>FP016</t>
  </si>
  <si>
    <t>SOCKET CAP  B</t>
  </si>
  <si>
    <t>BS209</t>
  </si>
  <si>
    <t>PACKING CASE</t>
  </si>
  <si>
    <t>SC CORD-S (SMALL BOX)</t>
  </si>
  <si>
    <t>FPS011</t>
  </si>
  <si>
    <t>FSC KNOB</t>
  </si>
  <si>
    <t>Plug SC&amp;Socket Staright</t>
  </si>
  <si>
    <t>BS210</t>
  </si>
  <si>
    <t>QR CORD 8SC-S</t>
  </si>
  <si>
    <t>FPS019</t>
  </si>
  <si>
    <t>GAIHIHAJI HOUSING</t>
  </si>
  <si>
    <t>BS211</t>
  </si>
  <si>
    <t>LABEL FOR 8 SC CORDS</t>
  </si>
  <si>
    <t>FPS019-1</t>
  </si>
  <si>
    <t>BS212</t>
  </si>
  <si>
    <t>SC CORD-S (SET BOX)</t>
  </si>
  <si>
    <t>FPS024</t>
  </si>
  <si>
    <t>SC ATTACHMENT</t>
  </si>
  <si>
    <t>BS213</t>
  </si>
  <si>
    <t>SC CORD-S CUSHION</t>
  </si>
  <si>
    <t>FPS027</t>
  </si>
  <si>
    <t>SOCKET DUST CAP</t>
  </si>
  <si>
    <t>BS214</t>
  </si>
  <si>
    <t>S9-MM-07513</t>
  </si>
  <si>
    <t>FPS033</t>
  </si>
  <si>
    <t>CABLE HOLDER L  FOR FSC</t>
  </si>
  <si>
    <t>BS214L</t>
  </si>
  <si>
    <t>BODY  S9-MM-07513-H</t>
  </si>
  <si>
    <t>FPS036</t>
  </si>
  <si>
    <t>Cover Holder</t>
  </si>
  <si>
    <t>BS215</t>
  </si>
  <si>
    <t>S9-MM-07512</t>
  </si>
  <si>
    <t>FPS037</t>
  </si>
  <si>
    <t>STOPRING FOR KANTAN SC</t>
  </si>
  <si>
    <t>BS215L</t>
  </si>
  <si>
    <t>UPPER CASE S9-M-07512-G</t>
  </si>
  <si>
    <t>FPS038</t>
  </si>
  <si>
    <t>BOOT (LILAC)</t>
  </si>
  <si>
    <t>BS216</t>
  </si>
  <si>
    <t>S9-MM-07511</t>
  </si>
  <si>
    <t>FPS039</t>
  </si>
  <si>
    <t>BS216L</t>
  </si>
  <si>
    <t>LID S9-MM-07511-G</t>
  </si>
  <si>
    <t>FPS043</t>
  </si>
  <si>
    <t>KSC GUIDE</t>
  </si>
  <si>
    <t>BS217</t>
  </si>
  <si>
    <t>SUB CASE [NO USE]</t>
  </si>
  <si>
    <t>S9-MM-07517</t>
  </si>
  <si>
    <t>FPS044</t>
  </si>
  <si>
    <t>Low-reflection Ferrule</t>
  </si>
  <si>
    <t>BS217L</t>
  </si>
  <si>
    <t>SUB CASE  S9-MM-07517-C</t>
  </si>
  <si>
    <t>FPS045</t>
  </si>
  <si>
    <t>FSC Knob (Green)</t>
  </si>
  <si>
    <t>BS218</t>
  </si>
  <si>
    <t>S9-MM-07514</t>
  </si>
  <si>
    <t>FPS046</t>
  </si>
  <si>
    <t>FA-501B</t>
  </si>
  <si>
    <t>BS219</t>
  </si>
  <si>
    <t>S9-MM-07515</t>
  </si>
  <si>
    <t>FPS048</t>
  </si>
  <si>
    <t>BS220</t>
  </si>
  <si>
    <t>S9-MM-07509</t>
  </si>
  <si>
    <t>FPS049</t>
  </si>
  <si>
    <t>CABLE HOLDER K</t>
  </si>
  <si>
    <t>LID : S9-M-07509-E</t>
  </si>
  <si>
    <t>G001-2</t>
  </si>
  <si>
    <t>BASIS</t>
  </si>
  <si>
    <t>GAIHIHAJI</t>
  </si>
  <si>
    <t>BS221</t>
  </si>
  <si>
    <t>S9-MM-07510</t>
  </si>
  <si>
    <t>G002-2</t>
  </si>
  <si>
    <t>FIBER STRIPPER LID</t>
  </si>
  <si>
    <t>BS221L</t>
  </si>
  <si>
    <t>LOWER CASE : BODY S9-MM-07510-D</t>
  </si>
  <si>
    <t>LOWER CASE : BODY  S9-MM-07510-D</t>
  </si>
  <si>
    <t>G003-2</t>
  </si>
  <si>
    <t>HIFUKU STRIPPER LID</t>
  </si>
  <si>
    <t>BS222</t>
  </si>
  <si>
    <t>S9-MM-07518</t>
  </si>
  <si>
    <t>G004</t>
  </si>
  <si>
    <t>SPRING G/E-1088</t>
  </si>
  <si>
    <t>BS222L</t>
  </si>
  <si>
    <t>SUB CASE S9-M-07518</t>
  </si>
  <si>
    <t>G008</t>
  </si>
  <si>
    <t>KANTAN SC HOUSING</t>
  </si>
  <si>
    <t>G009</t>
  </si>
  <si>
    <t>FSC KNOP</t>
  </si>
  <si>
    <t>G017</t>
  </si>
  <si>
    <t>RUBBER CAP-GAIHI</t>
  </si>
  <si>
    <t>G035</t>
  </si>
  <si>
    <t>FINE CABLE HOLDER FOR FSC</t>
  </si>
  <si>
    <t>BS226</t>
  </si>
  <si>
    <t>M3.8x13</t>
  </si>
  <si>
    <t>G037</t>
  </si>
  <si>
    <t>LMR FERRULE</t>
  </si>
  <si>
    <t>BS227</t>
  </si>
  <si>
    <t>IDF(Small box)</t>
  </si>
  <si>
    <t>G038</t>
  </si>
  <si>
    <t>BS228</t>
  </si>
  <si>
    <t>IDF(Middle box)</t>
  </si>
  <si>
    <t>G039</t>
  </si>
  <si>
    <t>LMR COVER 2</t>
  </si>
  <si>
    <t>BS229</t>
  </si>
  <si>
    <t>Gaiheki(Small box)</t>
  </si>
  <si>
    <t>G040</t>
  </si>
  <si>
    <t>FSC Stopper L(Black) LMR</t>
  </si>
  <si>
    <t>BS230</t>
  </si>
  <si>
    <t>Gaiheki(Middle box)</t>
  </si>
  <si>
    <t>G042</t>
  </si>
  <si>
    <t>FSC Common Holder</t>
  </si>
  <si>
    <t>GAIHIAHJI</t>
  </si>
  <si>
    <t>G043</t>
  </si>
  <si>
    <t>FSC Kusabi-2</t>
  </si>
  <si>
    <t>IJ03</t>
  </si>
  <si>
    <t>J/E0456</t>
  </si>
  <si>
    <t>IJ06</t>
  </si>
  <si>
    <t>J/E0476/QR</t>
  </si>
  <si>
    <t>IJ08</t>
  </si>
  <si>
    <t>J/E0812 (4x47x28)</t>
  </si>
  <si>
    <t>IJ09</t>
  </si>
  <si>
    <t>J/E0812 (3x47x8)</t>
  </si>
  <si>
    <t>BS237</t>
  </si>
  <si>
    <t>SCA-DP Cap</t>
  </si>
  <si>
    <t>IJ10</t>
  </si>
  <si>
    <t>J/E0812 (7x77x9)</t>
  </si>
  <si>
    <t>BS238</t>
  </si>
  <si>
    <t>S9-MM-07564-C</t>
  </si>
  <si>
    <t>IJ100</t>
  </si>
  <si>
    <t>8 Parallel 1x2 WDM Module</t>
  </si>
  <si>
    <t>BS239</t>
  </si>
  <si>
    <t>S9-MM-07565</t>
  </si>
  <si>
    <t xml:space="preserve">8 Parallel 1x2 WDM Module </t>
  </si>
  <si>
    <t>IDM-JUMPERUMPER</t>
  </si>
  <si>
    <t>IJ101</t>
  </si>
  <si>
    <t>ID Sheet - ZW4-R</t>
  </si>
  <si>
    <t>BS240L</t>
  </si>
  <si>
    <t>MAGNET SIZE 20X10X2 MM</t>
  </si>
  <si>
    <t>IJ102</t>
  </si>
  <si>
    <t>QR(ZW4-R)</t>
  </si>
  <si>
    <t>IJ103</t>
  </si>
  <si>
    <t>4 Parallel 1x8 Splitter</t>
  </si>
  <si>
    <t>BS242</t>
  </si>
  <si>
    <t>Manual</t>
  </si>
  <si>
    <t>KAIGAISETSU10-006</t>
  </si>
  <si>
    <t>IJ104</t>
  </si>
  <si>
    <t>ID Sheet - P8-R</t>
  </si>
  <si>
    <t>BS243</t>
  </si>
  <si>
    <t>Leaflet</t>
  </si>
  <si>
    <t>Kounai</t>
  </si>
  <si>
    <t>IJ105</t>
  </si>
  <si>
    <t>QR(P8-R)</t>
  </si>
  <si>
    <t>BS244</t>
  </si>
  <si>
    <t>INNER SHIPPING CASE</t>
  </si>
  <si>
    <t>Kounai4B(Small box)</t>
  </si>
  <si>
    <t>IJ106</t>
  </si>
  <si>
    <t>ID Sheet - DNS-R</t>
  </si>
  <si>
    <t>BS245</t>
  </si>
  <si>
    <t>Kounai8B(Small box)</t>
  </si>
  <si>
    <t>IJ107</t>
  </si>
  <si>
    <t>QR(DNS-R)</t>
  </si>
  <si>
    <t>BS246</t>
  </si>
  <si>
    <t>SHIPPING CASE</t>
  </si>
  <si>
    <t>Kounai4B(Middle box)</t>
  </si>
  <si>
    <t>IJ108</t>
  </si>
  <si>
    <t>ID SHEET - ZNS-R</t>
  </si>
  <si>
    <t>BS247</t>
  </si>
  <si>
    <t>Kounai8B(Middle box)</t>
  </si>
  <si>
    <t>IJ109</t>
  </si>
  <si>
    <t>QR(ZNS-R)</t>
  </si>
  <si>
    <t>BS248</t>
  </si>
  <si>
    <t>S9-MM-07563-D</t>
  </si>
  <si>
    <t>IJ11</t>
  </si>
  <si>
    <t>J/95ZD237</t>
  </si>
  <si>
    <t>IJ110</t>
  </si>
  <si>
    <t>ID SHEET - D4-R</t>
  </si>
  <si>
    <t>IJ111</t>
  </si>
  <si>
    <t>QR(D4-R)</t>
  </si>
  <si>
    <t>BS252</t>
  </si>
  <si>
    <t>IJ112</t>
  </si>
  <si>
    <t>ID SHEET - FW4-R</t>
  </si>
  <si>
    <t>IJ113</t>
  </si>
  <si>
    <t>QR(FW4-R)</t>
  </si>
  <si>
    <t>BS253</t>
  </si>
  <si>
    <t>IJ12</t>
  </si>
  <si>
    <t>J/E0462(MU-8)</t>
  </si>
  <si>
    <t>IJ15</t>
  </si>
  <si>
    <t>BS254</t>
  </si>
  <si>
    <t>IJ16</t>
  </si>
  <si>
    <t>WHITE</t>
  </si>
  <si>
    <t>IJ20</t>
  </si>
  <si>
    <t>Screw for IDM-J</t>
  </si>
  <si>
    <t>IJ22-1</t>
  </si>
  <si>
    <t>MU16-adapter (Zirconia) SMUV-16A1-3CZR</t>
  </si>
  <si>
    <t>IJ23</t>
  </si>
  <si>
    <t>IJ25</t>
  </si>
  <si>
    <t>IJ28</t>
  </si>
  <si>
    <t>IJ29</t>
  </si>
  <si>
    <t>ID Sheet - F4</t>
  </si>
  <si>
    <t>IJ30</t>
  </si>
  <si>
    <t>IJ31</t>
  </si>
  <si>
    <t>SS</t>
  </si>
  <si>
    <t>IJ32</t>
  </si>
  <si>
    <t>IJ33</t>
  </si>
  <si>
    <t>ID Sheet-SS</t>
  </si>
  <si>
    <t>BS264</t>
  </si>
  <si>
    <t>IJ34</t>
  </si>
  <si>
    <t>QR(SS)</t>
  </si>
  <si>
    <t>IJ36</t>
  </si>
  <si>
    <t>ID Sheet-CSS</t>
  </si>
  <si>
    <t>IJ37</t>
  </si>
  <si>
    <t>QR(CSS)</t>
  </si>
  <si>
    <t>IJ39</t>
  </si>
  <si>
    <t>ID Sheet-FSS</t>
  </si>
  <si>
    <t>IJ40</t>
  </si>
  <si>
    <t>QR(FSS)</t>
  </si>
  <si>
    <t>IJ42</t>
  </si>
  <si>
    <t>ID Sheet-NS</t>
  </si>
  <si>
    <t>IJ43</t>
  </si>
  <si>
    <t>QR(NS)</t>
  </si>
  <si>
    <t>IJ45</t>
  </si>
  <si>
    <t>IJ46</t>
  </si>
  <si>
    <t>QR(CNS)</t>
  </si>
  <si>
    <t>IJ48</t>
  </si>
  <si>
    <t>ID Sheet-FNS</t>
  </si>
  <si>
    <t>IJ49</t>
  </si>
  <si>
    <t>QR(FNS)</t>
  </si>
  <si>
    <t>BS276</t>
  </si>
  <si>
    <t>NSP14-A2-100/100-S7058</t>
  </si>
  <si>
    <t>IJ53</t>
  </si>
  <si>
    <t>ID Sheet-Z4</t>
  </si>
  <si>
    <t>BUB01</t>
  </si>
  <si>
    <t>ABB 25MM 35X104 CM NORMAL</t>
  </si>
  <si>
    <t>IJ54</t>
  </si>
  <si>
    <t>QR (Z4)</t>
  </si>
  <si>
    <t>BUB01S</t>
  </si>
  <si>
    <t>IJ56</t>
  </si>
  <si>
    <t>BUB02</t>
  </si>
  <si>
    <t>AIR BUBBLE 25MM 35X104CM(ANTI)</t>
  </si>
  <si>
    <t>IJ57</t>
  </si>
  <si>
    <t>BUB03</t>
  </si>
  <si>
    <t>ABB 10MM 21X83 CM ANTISTATIC</t>
  </si>
  <si>
    <t>IJ58</t>
  </si>
  <si>
    <t>BUB04</t>
  </si>
  <si>
    <t>AIR BUBBLE 10MM 94X64 CM 10MM 94X64 CM</t>
  </si>
  <si>
    <t>IJ59</t>
  </si>
  <si>
    <t>BUB05</t>
  </si>
  <si>
    <t>ABB 10MM 21X41.5CM  ANTISTATIC</t>
  </si>
  <si>
    <t>IJ63</t>
  </si>
  <si>
    <t>BUB06</t>
  </si>
  <si>
    <t>AIR BUBBLE (BAG) NO COVER 25X25CM.+8.5CM</t>
  </si>
  <si>
    <t>IJ64</t>
  </si>
  <si>
    <t>BUB06-1</t>
  </si>
  <si>
    <t>AIR BUBBLE BAG 25X25CM NORMAL(Not</t>
  </si>
  <si>
    <t>IJ67</t>
  </si>
  <si>
    <t>(blank)</t>
  </si>
  <si>
    <t>BUB07</t>
  </si>
  <si>
    <t>ABB BAG 250X350+70MM. NORMAL</t>
  </si>
  <si>
    <t>IJ68</t>
  </si>
  <si>
    <t>P4H-R , C4H-R</t>
  </si>
  <si>
    <t>BUB10</t>
  </si>
  <si>
    <t>ABB 10MM 21X110 CM ANTISTATIC</t>
  </si>
  <si>
    <t>IJ69</t>
  </si>
  <si>
    <t>IDENTIFICATION INFORMATION SHEET</t>
  </si>
  <si>
    <t>BUB11</t>
  </si>
  <si>
    <t>ABB 1.50MX100M NORMAL ABB  1.50MX100M.NO</t>
  </si>
  <si>
    <t>IJ70</t>
  </si>
  <si>
    <t>QR LABEL</t>
  </si>
  <si>
    <t>BUB12</t>
  </si>
  <si>
    <t>ABB BAG 135X115 MM NORMAL</t>
  </si>
  <si>
    <t>IJ71</t>
  </si>
  <si>
    <t>BUB14</t>
  </si>
  <si>
    <t>ABB BAG 75X110 MM. NORMAL</t>
  </si>
  <si>
    <t>IJ72</t>
  </si>
  <si>
    <t>BUB15</t>
  </si>
  <si>
    <t>ABB  1.50MX100M.NORMAL (19CM)</t>
  </si>
  <si>
    <t>IJ73</t>
  </si>
  <si>
    <t>Sponge (ver HD)</t>
  </si>
  <si>
    <t>BUB16</t>
  </si>
  <si>
    <t>AIR BUBBLE 1.3MX100M ANTI 11CM</t>
  </si>
  <si>
    <t>AIR BUBBLE 1.3X100M ANTI 11CM 1ROLL/12PC</t>
  </si>
  <si>
    <t>IJ80</t>
  </si>
  <si>
    <t>Element Part A/ B (E-0454)</t>
  </si>
  <si>
    <t>BUB17</t>
  </si>
  <si>
    <t>AIR BUBBLE  ABB 1.3mx100m.Anti (15cm.)</t>
  </si>
  <si>
    <t>IJ81</t>
  </si>
  <si>
    <t>E-2039</t>
  </si>
  <si>
    <t>BUB19</t>
  </si>
  <si>
    <t>AIR BUBBLE 10 MM  250X410 MM ANTI</t>
  </si>
  <si>
    <t>IJ82</t>
  </si>
  <si>
    <t>E-2040</t>
  </si>
  <si>
    <t>BUB21</t>
  </si>
  <si>
    <t>ABB 25MM W130CM x L50CM  NORMAL</t>
  </si>
  <si>
    <t>IJ83</t>
  </si>
  <si>
    <t>WM4-R/CW4-R</t>
  </si>
  <si>
    <t>BUB22</t>
  </si>
  <si>
    <t>AIR BUBBLE 10MM 94X32 CM 5MM 94X32 CM</t>
  </si>
  <si>
    <t>IJ84</t>
  </si>
  <si>
    <t>BUB23</t>
  </si>
  <si>
    <t>ABB 1.50MX100M NORMAL  (150MMX210MM)</t>
  </si>
  <si>
    <t>IJ85</t>
  </si>
  <si>
    <t>for PLC / IDM-J 4 series</t>
  </si>
  <si>
    <t>BUB24</t>
  </si>
  <si>
    <t>BUBBLE BAG (310x310x400) (WACC003200)</t>
  </si>
  <si>
    <t>IJ86</t>
  </si>
  <si>
    <t>for fusion part / IDM-J 4 series</t>
  </si>
  <si>
    <t>BUB25</t>
  </si>
  <si>
    <t>BUBBLE BAG FOR ID-H</t>
  </si>
  <si>
    <t>IJ87</t>
  </si>
  <si>
    <t>ID Sheet-WM4-R</t>
  </si>
  <si>
    <t>BUB26</t>
  </si>
  <si>
    <t>BUBBLE BAG FOR E PF</t>
  </si>
  <si>
    <t>IJ88</t>
  </si>
  <si>
    <t>QR(WM4-R)</t>
  </si>
  <si>
    <t>C727</t>
  </si>
  <si>
    <t>CONDUCTIVE BOTTOM CASE</t>
  </si>
  <si>
    <t>CARRIER TAPE (RL@900PC)</t>
  </si>
  <si>
    <t>IJ89</t>
  </si>
  <si>
    <t>ID Sheet-CW4-R</t>
  </si>
  <si>
    <t>CAM001</t>
  </si>
  <si>
    <t>FSC STOPPER L (BLACK) : SE080136G</t>
  </si>
  <si>
    <t>IJ90</t>
  </si>
  <si>
    <t>QR(CW4-R)</t>
  </si>
  <si>
    <t>CAM002</t>
  </si>
  <si>
    <t>CABLE HOLDER : SE080168E</t>
  </si>
  <si>
    <t>IJ91</t>
  </si>
  <si>
    <t>MU-16 (Black/White)</t>
  </si>
  <si>
    <t>CAM003</t>
  </si>
  <si>
    <t>RING FOR BACK FRAME : SE060052C</t>
  </si>
  <si>
    <t>IJ92</t>
  </si>
  <si>
    <t>8 Core 1490/1550SWPF</t>
  </si>
  <si>
    <t>CAM004</t>
  </si>
  <si>
    <t>GAIHIHAJI COVER L (BLACK) : SE080137F</t>
  </si>
  <si>
    <t>CAM005</t>
  </si>
  <si>
    <t>FSC STOPPER L (GRAY) : SE080136I</t>
  </si>
  <si>
    <t>IJ94</t>
  </si>
  <si>
    <t>ID Sheet - RSS-R</t>
  </si>
  <si>
    <t>CAM005-NB</t>
  </si>
  <si>
    <t>FSC STOPPER L (GRAY) : SE080136G</t>
  </si>
  <si>
    <t>CAM006</t>
  </si>
  <si>
    <t>GAIHIHAJI COVER L (GRAY) : SE080137G</t>
  </si>
  <si>
    <t>IJ95</t>
  </si>
  <si>
    <t>QR(RSS-R)</t>
  </si>
  <si>
    <t>CAM006-NB</t>
  </si>
  <si>
    <t>GAIHIHAJI COVER L (GRAY) : SE080137F</t>
  </si>
  <si>
    <t>CAM007</t>
  </si>
  <si>
    <t>FSC CABLE HOLDER PP(SE130023B)</t>
  </si>
  <si>
    <t>IJ96</t>
  </si>
  <si>
    <t>ID Sheet - ZSS-R</t>
  </si>
  <si>
    <t>CAM008</t>
  </si>
  <si>
    <t>FSC BUNDLE TRIM (SE140033B)</t>
  </si>
  <si>
    <t>CAM008-NB</t>
  </si>
  <si>
    <t>IJ97</t>
  </si>
  <si>
    <t>QR(ZSS-R)</t>
  </si>
  <si>
    <t>CAM009</t>
  </si>
  <si>
    <t>PIN : FSC PIN</t>
  </si>
  <si>
    <t>CAM009-NB</t>
  </si>
  <si>
    <t>IJ98</t>
  </si>
  <si>
    <t>ID Sheet - CW1-R</t>
  </si>
  <si>
    <t>CAM010</t>
  </si>
  <si>
    <t>FSC STOPRING</t>
  </si>
  <si>
    <t>CAM010-NB</t>
  </si>
  <si>
    <t>IJ99</t>
  </si>
  <si>
    <t>QR(CW1-R)</t>
  </si>
  <si>
    <t>CAM100</t>
  </si>
  <si>
    <t>F SPRING COVER/14TD040-1-No.4</t>
  </si>
  <si>
    <t>CAM101</t>
  </si>
  <si>
    <t>ELECTRODE TERMINAL COVER/14TD040-1-No.3</t>
  </si>
  <si>
    <t>JC001</t>
  </si>
  <si>
    <t>Ferrule for 0.5 MU</t>
  </si>
  <si>
    <t>Jumper Cord</t>
  </si>
  <si>
    <t>CAM102</t>
  </si>
  <si>
    <t>Z COVER/14TD040-1-No.9</t>
  </si>
  <si>
    <t>JC002</t>
  </si>
  <si>
    <t>Ferrule for 0.5 SC</t>
  </si>
  <si>
    <t>CAM103</t>
  </si>
  <si>
    <t>PLASTIC BASE</t>
  </si>
  <si>
    <t>Z CARRIAGE HEAT /14TD040-1-NO.11</t>
  </si>
  <si>
    <t>JC005</t>
  </si>
  <si>
    <t>TAGGING BAND</t>
  </si>
  <si>
    <t>Tag for 1.1</t>
  </si>
  <si>
    <t>CAM104</t>
  </si>
  <si>
    <t>PLASTIC BRACKET</t>
  </si>
  <si>
    <t>V GROOVE BRACKET HEAT : 30A2342D</t>
  </si>
  <si>
    <t>JC006</t>
  </si>
  <si>
    <t>Tag for f1.7</t>
  </si>
  <si>
    <t>CAM105</t>
  </si>
  <si>
    <t>CAMERA BRACKER HEAT /14TD040-1-NO.2</t>
  </si>
  <si>
    <t>JC007</t>
  </si>
  <si>
    <t>f1.8 sleeve</t>
  </si>
  <si>
    <t>CAM106</t>
  </si>
  <si>
    <t>PLASTIC BLOCK</t>
  </si>
  <si>
    <t>GUIDE BLOCK/14TD040-1-NO.7</t>
  </si>
  <si>
    <t>JC008</t>
  </si>
  <si>
    <t>HOLDER</t>
  </si>
  <si>
    <t>Tag holder</t>
  </si>
  <si>
    <t>CAM107</t>
  </si>
  <si>
    <t>CARRIAGE FRAME R HEAT /30A3222F</t>
  </si>
  <si>
    <t>JC009</t>
  </si>
  <si>
    <t>f1.1 cord (NO1)</t>
  </si>
  <si>
    <t>CAM108</t>
  </si>
  <si>
    <t>CARRIAGE FRAME L HEAT /30A3223F</t>
  </si>
  <si>
    <t>JC010</t>
  </si>
  <si>
    <t>f1.1 cord (NO2)</t>
  </si>
  <si>
    <t>CAM109</t>
  </si>
  <si>
    <t>PLASTIC SENSOR TRACK</t>
  </si>
  <si>
    <t>SENSOR DOG MOLDING/14TD040-1-NO.8</t>
  </si>
  <si>
    <t>JC011</t>
  </si>
  <si>
    <t>f1.1 cord (NO3)</t>
  </si>
  <si>
    <t>CAM110</t>
  </si>
  <si>
    <t>GEAR SH/14TD040-1-NO.10</t>
  </si>
  <si>
    <t>JC012</t>
  </si>
  <si>
    <t>f1.1 cord (NO4)</t>
  </si>
  <si>
    <t>CASE02</t>
  </si>
  <si>
    <t>Z202004001001/CORD STORAGE PACK NO.1</t>
  </si>
  <si>
    <t>JC013</t>
  </si>
  <si>
    <t>f1.1 cord (NO5)</t>
  </si>
  <si>
    <t>CASE13</t>
  </si>
  <si>
    <t>HARD CASE : 81B2504E</t>
  </si>
  <si>
    <t>JC014</t>
  </si>
  <si>
    <t>f1.1 cord (NO6)</t>
  </si>
  <si>
    <t>CENT001</t>
  </si>
  <si>
    <t>JC015</t>
  </si>
  <si>
    <t>f1.1 cord (NO7)</t>
  </si>
  <si>
    <t>CENT001-01</t>
  </si>
  <si>
    <t>FRONT FRAME : SOCKET FRAME-D (FRONT)</t>
  </si>
  <si>
    <t>JC016</t>
  </si>
  <si>
    <t>f1.1 cord (NO8)</t>
  </si>
  <si>
    <t>CENT001-02</t>
  </si>
  <si>
    <t>JC017</t>
  </si>
  <si>
    <t>f1.1 cord (NO9)</t>
  </si>
  <si>
    <t>CENT001-03</t>
  </si>
  <si>
    <t>JC018</t>
  </si>
  <si>
    <t>f1.1 cord (NO10)</t>
  </si>
  <si>
    <t>CENT001-04</t>
  </si>
  <si>
    <t>JC019</t>
  </si>
  <si>
    <t>f1.1 cord (NO11)</t>
  </si>
  <si>
    <t>CENT001-05</t>
  </si>
  <si>
    <t>JC020</t>
  </si>
  <si>
    <t>f1.1 cord (NO12)</t>
  </si>
  <si>
    <t>CENT001-06</t>
  </si>
  <si>
    <t>JC021</t>
  </si>
  <si>
    <t>f1.1 cord (NO13)</t>
  </si>
  <si>
    <t>CENT001-07</t>
  </si>
  <si>
    <t>JC022</t>
  </si>
  <si>
    <t>f1.1 cord (NO14)</t>
  </si>
  <si>
    <t>CENT001-08</t>
  </si>
  <si>
    <t>JC023</t>
  </si>
  <si>
    <t>f1.1 cord (NO15)</t>
  </si>
  <si>
    <t>CENT002</t>
  </si>
  <si>
    <t>JC024</t>
  </si>
  <si>
    <t>f1.1 cord (NO16)</t>
  </si>
  <si>
    <t>CENT003</t>
  </si>
  <si>
    <t>SOCKET FRAME-E (REAR)</t>
  </si>
  <si>
    <t>JC025</t>
  </si>
  <si>
    <t>f1.1 cord (NO17)</t>
  </si>
  <si>
    <t>CENT005</t>
  </si>
  <si>
    <t>JC026</t>
  </si>
  <si>
    <t>f1.1 cord (NO18)</t>
  </si>
  <si>
    <t>CENT006</t>
  </si>
  <si>
    <t>SOCKET FRAME-D (REAR)</t>
  </si>
  <si>
    <t>JC027</t>
  </si>
  <si>
    <t>f1.1 cord (NO19)</t>
  </si>
  <si>
    <t>CENT007</t>
  </si>
  <si>
    <t>STOPPER : STOPPER FOR FIBER</t>
  </si>
  <si>
    <t>JC028</t>
  </si>
  <si>
    <t>f1.1 cord (NO20)</t>
  </si>
  <si>
    <t>CENT008</t>
  </si>
  <si>
    <t>CABLE STOPPER</t>
  </si>
  <si>
    <t>JC029</t>
  </si>
  <si>
    <t>f1.1 cord (NO21)</t>
  </si>
  <si>
    <t>CENT009</t>
  </si>
  <si>
    <t>GAIHIHAJI COVER (BLACK)</t>
  </si>
  <si>
    <t>JC030</t>
  </si>
  <si>
    <t>f1.1 cord (NO22)</t>
  </si>
  <si>
    <t>CENT010</t>
  </si>
  <si>
    <t>STOPPER : FIBER STOPPER PLUG F</t>
  </si>
  <si>
    <t>JC031</t>
  </si>
  <si>
    <t>f1.1 cord (NO23)</t>
  </si>
  <si>
    <t>CENT011</t>
  </si>
  <si>
    <t>JC032</t>
  </si>
  <si>
    <t>f1.1 cord (NO24)</t>
  </si>
  <si>
    <t>CENT012</t>
  </si>
  <si>
    <t>JC033</t>
  </si>
  <si>
    <t>f1.1 cord (NO25)</t>
  </si>
  <si>
    <t>CENT013</t>
  </si>
  <si>
    <t>PLASTIC STOP RING : FSC STOPRING</t>
  </si>
  <si>
    <t>JC034</t>
  </si>
  <si>
    <t>f1.1 cord (NO26)</t>
  </si>
  <si>
    <t>CENT014</t>
  </si>
  <si>
    <t>FSC STOPPER (GREY)</t>
  </si>
  <si>
    <t>JC035</t>
  </si>
  <si>
    <t>f1.1 cord (NO27)</t>
  </si>
  <si>
    <t>CENT015</t>
  </si>
  <si>
    <t>GAIHIHAJI COVER(GREY)</t>
  </si>
  <si>
    <t>JC036</t>
  </si>
  <si>
    <t>f1.1 cord (NO28)</t>
  </si>
  <si>
    <t>CENT016</t>
  </si>
  <si>
    <t>STOPPER : KUSABI STOPPER</t>
  </si>
  <si>
    <t>JC037</t>
  </si>
  <si>
    <t>f1.1 cord (NO29)</t>
  </si>
  <si>
    <t>CENT017</t>
  </si>
  <si>
    <t>COVER : SPLITTER COVER</t>
  </si>
  <si>
    <t>JC038</t>
  </si>
  <si>
    <t>f1.1 cord (NO30)</t>
  </si>
  <si>
    <t>CENT018</t>
  </si>
  <si>
    <t>HOLDER : NY TUBE HOLDER</t>
  </si>
  <si>
    <t>JC039</t>
  </si>
  <si>
    <t>f1.1 cord (NO31)</t>
  </si>
  <si>
    <t>CENT019</t>
  </si>
  <si>
    <t>HOLDER : 1.7 CORD HOLDER</t>
  </si>
  <si>
    <t>JC040</t>
  </si>
  <si>
    <t>f1.1 cord (NO32)</t>
  </si>
  <si>
    <t>CENT020</t>
  </si>
  <si>
    <t>SOCKET FRAME : SOCKET FRAME-S</t>
  </si>
  <si>
    <t>JC041</t>
  </si>
  <si>
    <t>1.1 cord (NO33)</t>
  </si>
  <si>
    <t>CENT021</t>
  </si>
  <si>
    <t>FIBER HOLDER  BKTC0371</t>
  </si>
  <si>
    <t>JC042</t>
  </si>
  <si>
    <t>1.1 cord (NO34)</t>
  </si>
  <si>
    <t>CENT022</t>
  </si>
  <si>
    <t>PLASTIC RAIL : FIBER HOLDER BODY</t>
  </si>
  <si>
    <t>JC043</t>
  </si>
  <si>
    <t>1.1 cord (NO35)</t>
  </si>
  <si>
    <t>CENT023</t>
  </si>
  <si>
    <t>COVER : FIBER HOLDER COVER</t>
  </si>
  <si>
    <t>JC044</t>
  </si>
  <si>
    <t>1.1 cord (NO36)</t>
  </si>
  <si>
    <t>CENT024</t>
  </si>
  <si>
    <t>SLIDER CAP : FIBER HOLDER SLIDER</t>
  </si>
  <si>
    <t>JC045</t>
  </si>
  <si>
    <t>1.1 cord (NO37)</t>
  </si>
  <si>
    <t>CLE03</t>
  </si>
  <si>
    <t>CLEANING SOLVENT WS-1014U</t>
  </si>
  <si>
    <t>JC046</t>
  </si>
  <si>
    <t>1.1 cord (NO38)</t>
  </si>
  <si>
    <t>CLS01</t>
  </si>
  <si>
    <t>CLAMSHEEL</t>
  </si>
  <si>
    <t>JC047</t>
  </si>
  <si>
    <t>1.1 cord (NO39)</t>
  </si>
  <si>
    <t>CLS02</t>
  </si>
  <si>
    <t>JC048</t>
  </si>
  <si>
    <t>1.1 cord (NO40)</t>
  </si>
  <si>
    <t>COLON001</t>
  </si>
  <si>
    <t>JC049</t>
  </si>
  <si>
    <t>1.1 cord (NO41)</t>
  </si>
  <si>
    <t>COLON002</t>
  </si>
  <si>
    <t>F GUIDE-F   E-1440-2/BKTC0382</t>
  </si>
  <si>
    <t>JC050</t>
  </si>
  <si>
    <t>1.1 cord (NO42)</t>
  </si>
  <si>
    <t>COLON003</t>
  </si>
  <si>
    <t>F GUIDE S E-1516-1/BKTC0386</t>
  </si>
  <si>
    <t>JC051</t>
  </si>
  <si>
    <t>1.1 cord (NO43)</t>
  </si>
  <si>
    <t>COLON004</t>
  </si>
  <si>
    <t>F GUIDE L     E-1661-1/BKTC0387</t>
  </si>
  <si>
    <t>JC052</t>
  </si>
  <si>
    <t>1.1 cord (NO44)</t>
  </si>
  <si>
    <t>COLON005</t>
  </si>
  <si>
    <t>KUSABI STOPPER  E-1684 / BKTC0790</t>
  </si>
  <si>
    <t>JC053</t>
  </si>
  <si>
    <t>1.1 cord (NO45)</t>
  </si>
  <si>
    <t>COLON006</t>
  </si>
  <si>
    <t>F GUIDE PL     E-1713/BKTC0388</t>
  </si>
  <si>
    <t>JC054</t>
  </si>
  <si>
    <t>1.1 cord (NO46)</t>
  </si>
  <si>
    <t>JC055</t>
  </si>
  <si>
    <t>1.1 cord (NO47)</t>
  </si>
  <si>
    <t>FIBER FIXING PART-COVER1</t>
  </si>
  <si>
    <t>JC056</t>
  </si>
  <si>
    <t>1.1 cord (NO48)</t>
  </si>
  <si>
    <t>HIFUKU FIXING PART-COVER2</t>
  </si>
  <si>
    <t>JC057</t>
  </si>
  <si>
    <t>1.1 cord (NO49)</t>
  </si>
  <si>
    <t>COV12</t>
  </si>
  <si>
    <t>8 BUNKI SPLITTER COVER</t>
  </si>
  <si>
    <t>JC058</t>
  </si>
  <si>
    <t>1.1 cord (NO50)</t>
  </si>
  <si>
    <t>COV12T</t>
  </si>
  <si>
    <t>COVER OF SMALL 8BUNKI</t>
  </si>
  <si>
    <t>COVER OF  SMALL 8BUNKI</t>
  </si>
  <si>
    <t>JC059</t>
  </si>
  <si>
    <t>1.1 cord (NO51)</t>
  </si>
  <si>
    <t>COV16</t>
  </si>
  <si>
    <t>JC060</t>
  </si>
  <si>
    <t>1.1 cord (NO52)</t>
  </si>
  <si>
    <t>CP002</t>
  </si>
  <si>
    <t>DC202-135-01-B-3-N2.0</t>
  </si>
  <si>
    <t>JC061</t>
  </si>
  <si>
    <t>1.1 cord (NO53)</t>
  </si>
  <si>
    <t>CP003</t>
  </si>
  <si>
    <t>SSC-PHM09BL</t>
  </si>
  <si>
    <t>JC062</t>
  </si>
  <si>
    <t>1.1 cord (NO54)</t>
  </si>
  <si>
    <t>CP004</t>
  </si>
  <si>
    <t>JC063</t>
  </si>
  <si>
    <t>1.1 cord (NO55)</t>
  </si>
  <si>
    <t>CP005</t>
  </si>
  <si>
    <t>Slider</t>
  </si>
  <si>
    <t>JC064</t>
  </si>
  <si>
    <t>1.1 cord (NO56)</t>
  </si>
  <si>
    <t>CP006</t>
  </si>
  <si>
    <t>JC065</t>
  </si>
  <si>
    <t>1.1 cord (NO57)</t>
  </si>
  <si>
    <t>CP007</t>
  </si>
  <si>
    <t>JC066</t>
  </si>
  <si>
    <t>1.1 cord (NO58)</t>
  </si>
  <si>
    <t>CP008</t>
  </si>
  <si>
    <t>JC067</t>
  </si>
  <si>
    <t>1.1 cord (NO59)</t>
  </si>
  <si>
    <t>CP009</t>
  </si>
  <si>
    <t>SC Ferrule</t>
  </si>
  <si>
    <t>JC068</t>
  </si>
  <si>
    <t>1.1 cord (NO60)</t>
  </si>
  <si>
    <t>CT0034</t>
  </si>
  <si>
    <t>POLISHING FILM 0.2um size 70mm(D0.2-AF)</t>
  </si>
  <si>
    <t>JC069</t>
  </si>
  <si>
    <t>1.1 cord (NO61)</t>
  </si>
  <si>
    <t>CUS01</t>
  </si>
  <si>
    <t>SUNTEC FOAM CUSHION(CURRENT DESIGN)</t>
  </si>
  <si>
    <t>JC070</t>
  </si>
  <si>
    <t>1.1 cord (NO62)</t>
  </si>
  <si>
    <t>CUS02</t>
  </si>
  <si>
    <t>CUSHION BAG 23G.</t>
  </si>
  <si>
    <t>JC071</t>
  </si>
  <si>
    <t>1.1 cord (NO63)</t>
  </si>
  <si>
    <t>CUS03</t>
  </si>
  <si>
    <t>CUSHIONFOAM LCX-200#2</t>
  </si>
  <si>
    <t>JC072</t>
  </si>
  <si>
    <t>1.1 cord (NO64)</t>
  </si>
  <si>
    <t>D00</t>
  </si>
  <si>
    <t>JC073</t>
  </si>
  <si>
    <t>SMUV-PH-TS rear pre-assy</t>
  </si>
  <si>
    <t>D01</t>
  </si>
  <si>
    <t>1403 C9</t>
  </si>
  <si>
    <t>JC074</t>
  </si>
  <si>
    <t>SMUV-PH clamp ring</t>
  </si>
  <si>
    <t>FOL1413 C9</t>
  </si>
  <si>
    <t>JC075</t>
  </si>
  <si>
    <t>SMUV-PH clamp stopper</t>
  </si>
  <si>
    <t>FOL1414 C9</t>
  </si>
  <si>
    <t>JC076</t>
  </si>
  <si>
    <t>SMUV-PH11 front pre-assy</t>
  </si>
  <si>
    <t>FOL1415 C9</t>
  </si>
  <si>
    <t>JC077</t>
  </si>
  <si>
    <t>SMUV cap</t>
  </si>
  <si>
    <t>FOL1415FC2</t>
  </si>
  <si>
    <t>JC078</t>
  </si>
  <si>
    <t>SSC2-PH17 boot</t>
  </si>
  <si>
    <t>JC079</t>
  </si>
  <si>
    <t>SC-PH11 clamp ring</t>
  </si>
  <si>
    <t>JC080</t>
  </si>
  <si>
    <t>D10-VA-1</t>
  </si>
  <si>
    <t>CH24 D-MORITEX</t>
  </si>
  <si>
    <t>JC081</t>
  </si>
  <si>
    <t>D10-VA-2</t>
  </si>
  <si>
    <t>CH24E-ALPS</t>
  </si>
  <si>
    <t>JC082</t>
  </si>
  <si>
    <t>Clamp pipe</t>
  </si>
  <si>
    <t>JC083</t>
  </si>
  <si>
    <t>SC-PH plug frame 2B</t>
  </si>
  <si>
    <t>D12-VA</t>
  </si>
  <si>
    <t>IS11J-KYOCERA</t>
  </si>
  <si>
    <t>JC084</t>
  </si>
  <si>
    <t>SCPH-T cap</t>
  </si>
  <si>
    <t>MPLC01</t>
  </si>
  <si>
    <t>RLCSM11255-1 LC SPRING</t>
  </si>
  <si>
    <t>MPO</t>
  </si>
  <si>
    <t>D15-A</t>
  </si>
  <si>
    <t>MPLC02</t>
  </si>
  <si>
    <t>RLCSM11255-2 TEFLON TUBE</t>
  </si>
  <si>
    <t>D15-VA</t>
  </si>
  <si>
    <t>SL30B-MORITEX</t>
  </si>
  <si>
    <t>MPLC03</t>
  </si>
  <si>
    <t>RLCSM11255-3 LC FERRULE</t>
  </si>
  <si>
    <t>MPLC04</t>
  </si>
  <si>
    <t>RLCSM11255-4 LC EXTENDER CAP S/M</t>
  </si>
  <si>
    <t>D18</t>
  </si>
  <si>
    <t>GB11K</t>
  </si>
  <si>
    <t>MPLC05</t>
  </si>
  <si>
    <t>RLCSM11255-5 LC BTW BUFFER ADAPTER</t>
  </si>
  <si>
    <t>MPLC06</t>
  </si>
  <si>
    <t xml:space="preserve">HOUSING </t>
  </si>
  <si>
    <t>RLCSM11255-6 LC PLUG HOUSING S/M</t>
  </si>
  <si>
    <t>MPLC07</t>
  </si>
  <si>
    <t>RLCSM11255-7 LC DUST CAP</t>
  </si>
  <si>
    <t>D22-VA</t>
  </si>
  <si>
    <t>FLM-FAS21L-KOHOKU</t>
  </si>
  <si>
    <t>MPMP01</t>
  </si>
  <si>
    <t>NCN7201010-1 MPO SPRING PUSH</t>
  </si>
  <si>
    <t>MPMP02</t>
  </si>
  <si>
    <t>NCN7201010-2 MPO SPRING (1.7mm)</t>
  </si>
  <si>
    <t>MPMP03</t>
  </si>
  <si>
    <t>NCN7201010-3 MPO PIN KEEPER</t>
  </si>
  <si>
    <t>MPMP04</t>
  </si>
  <si>
    <t>NCN7201010-4 MPO SPRING</t>
  </si>
  <si>
    <t>D27-VA</t>
  </si>
  <si>
    <t>FLM-FAS11H-KOHOKU</t>
  </si>
  <si>
    <t>MPMP05</t>
  </si>
  <si>
    <t>NCN7201010-5 MPO SLIDER</t>
  </si>
  <si>
    <t>D28</t>
  </si>
  <si>
    <t>PK20+PE05</t>
  </si>
  <si>
    <t>MPO001</t>
  </si>
  <si>
    <t>G310252SM Tape 8Core</t>
  </si>
  <si>
    <t>MTR</t>
  </si>
  <si>
    <t>D29</t>
  </si>
  <si>
    <t>PK20+PE06</t>
  </si>
  <si>
    <t>MPO002</t>
  </si>
  <si>
    <t>G312040 SM Tape 4Core</t>
  </si>
  <si>
    <t>D30</t>
  </si>
  <si>
    <t>PK20+PE10</t>
  </si>
  <si>
    <t>MPO003</t>
  </si>
  <si>
    <t>G312277 SM Tape 8Core</t>
  </si>
  <si>
    <t>D31</t>
  </si>
  <si>
    <t>CONDUCTIVE TOP PACKING CASE- NOT USE</t>
  </si>
  <si>
    <t>Top Case</t>
  </si>
  <si>
    <t>MPO004</t>
  </si>
  <si>
    <t>G318016B REINFORCED TUBE (2mm)</t>
  </si>
  <si>
    <t>D31L</t>
  </si>
  <si>
    <t>TOP CASE</t>
  </si>
  <si>
    <t>MPO005</t>
  </si>
  <si>
    <t>G375045 4CORE (A1712)</t>
  </si>
  <si>
    <t>D32</t>
  </si>
  <si>
    <t>CONDUCTIVE BOTTOM PACKING CASE - NOT USE</t>
  </si>
  <si>
    <t>Bottom Case</t>
  </si>
  <si>
    <t>MPO006</t>
  </si>
  <si>
    <t>G766014 SM Fiber</t>
  </si>
  <si>
    <t>D32L</t>
  </si>
  <si>
    <t>MPO007</t>
  </si>
  <si>
    <t>G776017 REINFORCED TUBE (2mm)</t>
  </si>
  <si>
    <t>D33</t>
  </si>
  <si>
    <t>HN30 InPbAg</t>
  </si>
  <si>
    <t>MPO008</t>
  </si>
  <si>
    <t>GBF0110136 HYTREL 7237F WHITE</t>
  </si>
  <si>
    <t>SOLDER SHEET AU</t>
  </si>
  <si>
    <t>HN30 AuSn</t>
  </si>
  <si>
    <t>MPO009</t>
  </si>
  <si>
    <t>NCN1720010 SPO CAP</t>
  </si>
  <si>
    <t>MPO010</t>
  </si>
  <si>
    <t>NCN7180010 MPO CLAMP RING (CODE TYPE)</t>
  </si>
  <si>
    <t>D35-VA</t>
  </si>
  <si>
    <t>FIBER SLEEVE</t>
  </si>
  <si>
    <t>FS25B-MICROCUT</t>
  </si>
  <si>
    <t>MPO011</t>
  </si>
  <si>
    <t>NCN7205100 MPO STOPPER　</t>
  </si>
  <si>
    <t>MPO012</t>
  </si>
  <si>
    <t>NCN7300010 4MT 8MT CAP</t>
  </si>
  <si>
    <t>MPO013</t>
  </si>
  <si>
    <t>NCN8700010 MPO/MPX/MT-RJ GUIDE PIN(Elite)</t>
  </si>
  <si>
    <t>D38</t>
  </si>
  <si>
    <t>FLM-FAS66L(PC@2.1ME)</t>
  </si>
  <si>
    <t>MPO014</t>
  </si>
  <si>
    <t>NCP7420010 8MT BOOT　0.4t</t>
  </si>
  <si>
    <t>D39</t>
  </si>
  <si>
    <t>FLM-FAS61K (PC@1.62ME)</t>
  </si>
  <si>
    <t>MPO015</t>
  </si>
  <si>
    <t>NCP7480010 MT8 Low-loss Angle INJ w/o boot</t>
  </si>
  <si>
    <t>D40</t>
  </si>
  <si>
    <t>FLM-FAS66K (PC@1.4ME)</t>
  </si>
  <si>
    <t>MPO016</t>
  </si>
  <si>
    <t>NCQ0210010 2CORE BOOT</t>
  </si>
  <si>
    <t>MPO017</t>
  </si>
  <si>
    <t>NCQ0430010 RING FOR REINFORCING RUBE</t>
  </si>
  <si>
    <t>D42</t>
  </si>
  <si>
    <t>PACKING BOX (NO USE)</t>
  </si>
  <si>
    <t>Packing box</t>
  </si>
  <si>
    <t>MPO018</t>
  </si>
  <si>
    <t>NCQ0440010 STOP RING A</t>
  </si>
  <si>
    <t>D42L</t>
  </si>
  <si>
    <t>BUTTERFLY BLUE BOX</t>
  </si>
  <si>
    <t>MPO019</t>
  </si>
  <si>
    <t>NCQ0450010 STOP RING B</t>
  </si>
  <si>
    <t>MPO020</t>
  </si>
  <si>
    <t>NCQ0450030 CLAMP RING B</t>
  </si>
  <si>
    <t>D44</t>
  </si>
  <si>
    <t>PACKING LABEL</t>
  </si>
  <si>
    <t>Packing label</t>
  </si>
  <si>
    <t>MPO021</t>
  </si>
  <si>
    <t>NCQ5130010 CORD HOLDING BODY</t>
  </si>
  <si>
    <t>D45</t>
  </si>
  <si>
    <t>PO-F-1010S (1BTL@50cc)EXP DATE &gt; 5MONTHS</t>
  </si>
  <si>
    <t>MPO022</t>
  </si>
  <si>
    <t>NCQ5140010 CORD HOLDING CLAMP RING</t>
  </si>
  <si>
    <t>40mm</t>
  </si>
  <si>
    <t>MPO023</t>
  </si>
  <si>
    <t>NCQ5150010 CORD HOLDING RING</t>
  </si>
  <si>
    <t>MPO024</t>
  </si>
  <si>
    <t>NCQ5160010 CORD HOLDING BOOT FOR CORD</t>
  </si>
  <si>
    <t>MPO025</t>
  </si>
  <si>
    <t>NCQ5160020 CORD HOLDING BOOT FOR TUBE</t>
  </si>
  <si>
    <t>D54-VA</t>
  </si>
  <si>
    <t>FLM-BS45B-TECNISCO</t>
  </si>
  <si>
    <t>MPO026</t>
  </si>
  <si>
    <t>RCN7190010 MPO SPRING PUSH (CODE TYPE)</t>
  </si>
  <si>
    <t>MPO027</t>
  </si>
  <si>
    <t>RCN722010A MPO BOOT (CODE TYPE)</t>
  </si>
  <si>
    <t>MPO028</t>
  </si>
  <si>
    <t>RCN7220201 MPO SHORT BOOT (FIBER TYPE)</t>
  </si>
  <si>
    <t>D57</t>
  </si>
  <si>
    <t>PRINTING RIBBON</t>
  </si>
  <si>
    <t>MPO029</t>
  </si>
  <si>
    <t>RCN7540031 MPO DUST CAP</t>
  </si>
  <si>
    <t>MPO030</t>
  </si>
  <si>
    <t>RCP7310612 4MT-R-125.5-N</t>
  </si>
  <si>
    <t>MPO031</t>
  </si>
  <si>
    <t>RCP7420011 8MT BOOT　WHITE</t>
  </si>
  <si>
    <t>MPO032</t>
  </si>
  <si>
    <t>RCP8090255 SC/PC/SM FERRULE (125.5um)</t>
  </si>
  <si>
    <t>FOL1416 FC6</t>
  </si>
  <si>
    <t>MPO033</t>
  </si>
  <si>
    <t>RCQ0420010 BRANCHING PART R-4B 8A</t>
  </si>
  <si>
    <t>D64L</t>
  </si>
  <si>
    <t>Bottom and Top Cover Case</t>
  </si>
  <si>
    <t>MPO034</t>
  </si>
  <si>
    <t>G310258 SM TVFRT8CORE</t>
  </si>
  <si>
    <t>D66</t>
  </si>
  <si>
    <t>MPO035</t>
  </si>
  <si>
    <t>G311901B SM TAPE 8CORE</t>
  </si>
  <si>
    <t>HN42 AuSn</t>
  </si>
  <si>
    <t>MPO036</t>
  </si>
  <si>
    <t>NCD9100010 BRANCH PROTECTIVE H40847</t>
  </si>
  <si>
    <t>D68</t>
  </si>
  <si>
    <t>FLM-SL35</t>
  </si>
  <si>
    <t>MPO037</t>
  </si>
  <si>
    <t>NCN7220300 MPO SHORT BOOTS TIGHT COATING</t>
  </si>
  <si>
    <t>MPO038</t>
  </si>
  <si>
    <t>NCN7540030 MPO DUST CAP ANITERU</t>
  </si>
  <si>
    <t>MPO039</t>
  </si>
  <si>
    <t>RCN2660020 SSC-PH20 BL BOOT</t>
  </si>
  <si>
    <t>MPO040</t>
  </si>
  <si>
    <t>RCN2660025 SC2-PH CAP VA GOODS</t>
  </si>
  <si>
    <t>D72</t>
  </si>
  <si>
    <t>LOOSE TUBE 1.2x1.8DB (RL@ 200 ME)</t>
  </si>
  <si>
    <t>MPO041</t>
  </si>
  <si>
    <t>RCN5060001 LC CONNECTOR CAP CONNECTION PLATE</t>
  </si>
  <si>
    <t>FOL1417 FC6</t>
  </si>
  <si>
    <t>MPSC01</t>
  </si>
  <si>
    <t>RCN2660021-1 SC SPRING</t>
  </si>
  <si>
    <t>MPSC02</t>
  </si>
  <si>
    <t>RCN2660021-2 SC STOP RING</t>
  </si>
  <si>
    <t>MPSC03</t>
  </si>
  <si>
    <t>RCN2660021-3 SC CLAMP RING</t>
  </si>
  <si>
    <t>MPSC04</t>
  </si>
  <si>
    <t>RCN2660021-4 SC RING</t>
  </si>
  <si>
    <t>MPSC05</t>
  </si>
  <si>
    <t>RCN2660021-5 SC (LA)BOOT</t>
  </si>
  <si>
    <t>Silicone Tube 1.0x1.5DB (200 m/ Roll )</t>
  </si>
  <si>
    <t>MPSC06</t>
  </si>
  <si>
    <t>RCN2660021-6 SC PLUG FRAME 2B</t>
  </si>
  <si>
    <t>Bonding wire ( 2000ME/Roll )</t>
  </si>
  <si>
    <t>MPSC07</t>
  </si>
  <si>
    <t>RCN2660021-7 SC DUST CAP</t>
  </si>
  <si>
    <t>FOL1427 FC6</t>
  </si>
  <si>
    <t>MTC001</t>
  </si>
  <si>
    <t>G323007 SM TAPE 1CORE S.045/CS</t>
  </si>
  <si>
    <t>MTC002</t>
  </si>
  <si>
    <t>G323007 SM TAPE 1CORE 04.03/NY</t>
  </si>
  <si>
    <t>MTC003</t>
  </si>
  <si>
    <t>G317303 GI TAPE 1CORE</t>
  </si>
  <si>
    <t>MTC004</t>
  </si>
  <si>
    <t>G710018 SI Type 1Core 100/140</t>
  </si>
  <si>
    <t>MTC005</t>
  </si>
  <si>
    <t>RCN2660021 SC SPRING</t>
  </si>
  <si>
    <t>MTC006</t>
  </si>
  <si>
    <t>RCN2660021 SC STOP RING</t>
  </si>
  <si>
    <t>MTC007</t>
  </si>
  <si>
    <t>RCN2660021 SC CLAMP RING</t>
  </si>
  <si>
    <t>D87</t>
  </si>
  <si>
    <t>FLM-FAR21BB-1.1F</t>
  </si>
  <si>
    <t>MTC008</t>
  </si>
  <si>
    <t>RCN2660021 SC RING</t>
  </si>
  <si>
    <t>D88</t>
  </si>
  <si>
    <t>FOL1413 FC7</t>
  </si>
  <si>
    <t>MTC009</t>
  </si>
  <si>
    <t>RCN2660021 SC LA BOOT</t>
  </si>
  <si>
    <t>FOL1414 FC7</t>
  </si>
  <si>
    <t>MTC010</t>
  </si>
  <si>
    <t>RCN2660021 SC PLUG FRAME 2B</t>
  </si>
  <si>
    <t>D91</t>
  </si>
  <si>
    <t>FOL1417 FC8</t>
  </si>
  <si>
    <t>MTC011</t>
  </si>
  <si>
    <t>RCN2660022 SC GRIP</t>
  </si>
  <si>
    <t>FOL1419 FC6</t>
  </si>
  <si>
    <t>MTC012</t>
  </si>
  <si>
    <t>RCN2660021 SC DUST CAP</t>
  </si>
  <si>
    <t>MTC013</t>
  </si>
  <si>
    <t>RCN2660023 SC SPRING</t>
  </si>
  <si>
    <t>DAI001</t>
  </si>
  <si>
    <t>LED COVER : 30A3111D</t>
  </si>
  <si>
    <t>MTC014</t>
  </si>
  <si>
    <t>RCN2660023 SC STOP RING</t>
  </si>
  <si>
    <t>DAI002</t>
  </si>
  <si>
    <t>LCD COVER : 30A3109I</t>
  </si>
  <si>
    <t>MTC015</t>
  </si>
  <si>
    <t>RCN2660023 SC CLAMP RING</t>
  </si>
  <si>
    <t>DAI003</t>
  </si>
  <si>
    <t>CORK PLATE</t>
  </si>
  <si>
    <t>CLAMP CORK : 30A2309B</t>
  </si>
  <si>
    <t>MTC016</t>
  </si>
  <si>
    <t>RCN2660023 SC RING</t>
  </si>
  <si>
    <t>DAI004</t>
  </si>
  <si>
    <t>CLAMP RUBBER : 30A2308A</t>
  </si>
  <si>
    <t>MTC017</t>
  </si>
  <si>
    <t>RCN2660023 SC LA BOOT</t>
  </si>
  <si>
    <t>DAI005</t>
  </si>
  <si>
    <t>BATTERY FIXED SPONGE: 30A3227B</t>
  </si>
  <si>
    <t>MTC018</t>
  </si>
  <si>
    <t>RCN2660023 SC PLUG FRAME 2B</t>
  </si>
  <si>
    <t>DAI006</t>
  </si>
  <si>
    <t>TOP COVER SPONGE: 30A3145C</t>
  </si>
  <si>
    <t>MTC019</t>
  </si>
  <si>
    <t>RCN2660023 SC GRIP</t>
  </si>
  <si>
    <t>DAI007</t>
  </si>
  <si>
    <t>CANOPY SPONGE A : 30A3144E</t>
  </si>
  <si>
    <t>MTC020</t>
  </si>
  <si>
    <t>RCN2660023 SC DUST CAP</t>
  </si>
  <si>
    <t>DAI008</t>
  </si>
  <si>
    <t>CANOPY SPONGE B : 30A3208B</t>
  </si>
  <si>
    <t>MTC021</t>
  </si>
  <si>
    <t>LC(MM) DUST CAP</t>
  </si>
  <si>
    <t>DAI009</t>
  </si>
  <si>
    <t>WIRE HARNESS FIX SPONGE : 30A3262B</t>
  </si>
  <si>
    <t>MTC022</t>
  </si>
  <si>
    <t>LC(MM) FERRULE</t>
  </si>
  <si>
    <t>DAI010</t>
  </si>
  <si>
    <t>RUBBER SEAL</t>
  </si>
  <si>
    <t>HB RUBBER SEAL : 30A3264A</t>
  </si>
  <si>
    <t>MTC023</t>
  </si>
  <si>
    <t>LC(MM) TEFLON TUBE</t>
  </si>
  <si>
    <t>DAI011</t>
  </si>
  <si>
    <t>HEATER SPONGE SEAL : 30A3267A</t>
  </si>
  <si>
    <t>MTC024</t>
  </si>
  <si>
    <t>LC(MM) SPRING</t>
  </si>
  <si>
    <t>DAI012</t>
  </si>
  <si>
    <t>PLASTIC COVER SHEET</t>
  </si>
  <si>
    <t>LCD BASAL SHEET : 30A3134B</t>
  </si>
  <si>
    <t>MTC025</t>
  </si>
  <si>
    <t>HOUSING</t>
  </si>
  <si>
    <t>LC(MM) PLUG HOUSING</t>
  </si>
  <si>
    <t>DAI013</t>
  </si>
  <si>
    <t>PLASTIC SPACER : 30A3271A</t>
  </si>
  <si>
    <t>MTC026</t>
  </si>
  <si>
    <t>LC(MM) EXTENDER CAP</t>
  </si>
  <si>
    <t>FLM-PK35</t>
  </si>
  <si>
    <t>MTC027</t>
  </si>
  <si>
    <t>LC(MM) CRIMP SLEEVE</t>
  </si>
  <si>
    <t>MTC028</t>
  </si>
  <si>
    <t>LC(MM) BOOT</t>
  </si>
  <si>
    <t>FLM-PE18</t>
  </si>
  <si>
    <t>MTC029</t>
  </si>
  <si>
    <t>LC(SM) DUST CAP</t>
  </si>
  <si>
    <t>MTC030</t>
  </si>
  <si>
    <t>LC(SM) FERRULE</t>
  </si>
  <si>
    <t>MTC031</t>
  </si>
  <si>
    <t>LC(SM) TEFLON TUBE</t>
  </si>
  <si>
    <t>MTC032</t>
  </si>
  <si>
    <t>LC(SM) SPRING</t>
  </si>
  <si>
    <t>MTC033</t>
  </si>
  <si>
    <t>LC(SM) PLUG HOUSING</t>
  </si>
  <si>
    <t>POLYIMIDE TUBE 9mm(PC@0.009ME)</t>
  </si>
  <si>
    <t>MTC034</t>
  </si>
  <si>
    <t>LC(SM) EXTENDER CAP</t>
  </si>
  <si>
    <t>MTC035</t>
  </si>
  <si>
    <t>LC(SM) CRIMP SLEEVE</t>
  </si>
  <si>
    <t>FLM-HN12 (PC@0.05GM)</t>
  </si>
  <si>
    <t>MTC036</t>
  </si>
  <si>
    <t>LC(SM) BOOT</t>
  </si>
  <si>
    <t>MTC037</t>
  </si>
  <si>
    <t>DJ SLEEVE</t>
  </si>
  <si>
    <t>MTC038</t>
  </si>
  <si>
    <t>METAL BUSHING</t>
  </si>
  <si>
    <t>DJ BUSH</t>
  </si>
  <si>
    <t>Solder Paste Pb (SnPb ) BTL@500GM</t>
  </si>
  <si>
    <t>MTC039</t>
  </si>
  <si>
    <t>DJ SPRING</t>
  </si>
  <si>
    <t>MTC040</t>
  </si>
  <si>
    <t>DJ BODY(B)</t>
  </si>
  <si>
    <t>DP001-D</t>
  </si>
  <si>
    <t>DP-QPSK CHIP</t>
  </si>
  <si>
    <t>MTC041</t>
  </si>
  <si>
    <t>DJ BODY(A)</t>
  </si>
  <si>
    <t>MTC042</t>
  </si>
  <si>
    <t>DJ STOPPER</t>
  </si>
  <si>
    <t>MTC043</t>
  </si>
  <si>
    <t>DJ CAP</t>
  </si>
  <si>
    <t>MTC044</t>
  </si>
  <si>
    <t>DJ BUSH A</t>
  </si>
  <si>
    <t>MTC045</t>
  </si>
  <si>
    <t>DP 1/8 20MM</t>
  </si>
  <si>
    <t>MTC046</t>
  </si>
  <si>
    <t>DP STOP PIN</t>
  </si>
  <si>
    <t>MTC047</t>
  </si>
  <si>
    <t>DP HOLDER</t>
  </si>
  <si>
    <t>#6678 (BTL@2.5GM)</t>
  </si>
  <si>
    <t>MTC048</t>
  </si>
  <si>
    <t>DP BODY</t>
  </si>
  <si>
    <t>AT6001 (1 BTL=2.5GM)</t>
  </si>
  <si>
    <t>MTC049</t>
  </si>
  <si>
    <t>DP DUST CAP</t>
  </si>
  <si>
    <t>MTC050</t>
  </si>
  <si>
    <t>DP CLAMP RING</t>
  </si>
  <si>
    <t>MTC051</t>
  </si>
  <si>
    <t>DP RING</t>
  </si>
  <si>
    <t>DP011-D</t>
  </si>
  <si>
    <t>DP-QPSK WAFER</t>
  </si>
  <si>
    <t>MTC052</t>
  </si>
  <si>
    <t>DP SPRING</t>
  </si>
  <si>
    <t>DP011-F</t>
  </si>
  <si>
    <t>Type H (Mask F #1198)</t>
  </si>
  <si>
    <t>MTC053</t>
  </si>
  <si>
    <t>DP BOOT</t>
  </si>
  <si>
    <t>DP-QPSK CHIP TypeL</t>
  </si>
  <si>
    <t>MTC054</t>
  </si>
  <si>
    <t>FC APC DUST CAP</t>
  </si>
  <si>
    <t>DP-QPSK TypeM</t>
  </si>
  <si>
    <t>MTC055</t>
  </si>
  <si>
    <t>FC APC FRAME</t>
  </si>
  <si>
    <t>MTC056</t>
  </si>
  <si>
    <t>FC APC COUPLING NUT</t>
  </si>
  <si>
    <t>DQ001</t>
  </si>
  <si>
    <t>PLC CHIP</t>
  </si>
  <si>
    <t>DQPSK PLC CHIP</t>
  </si>
  <si>
    <t>MTC057</t>
  </si>
  <si>
    <t>FC APC SPRING</t>
  </si>
  <si>
    <t>DQ001A</t>
  </si>
  <si>
    <t>MTC058</t>
  </si>
  <si>
    <t>FC APC STOPPER</t>
  </si>
  <si>
    <t>DQ001D</t>
  </si>
  <si>
    <t>MTC059</t>
  </si>
  <si>
    <t>FC APC CLAMP RING</t>
  </si>
  <si>
    <t>DQ002</t>
  </si>
  <si>
    <t>GLASS PLATE</t>
  </si>
  <si>
    <t>GLASS UPPER PLATE (SMALL)</t>
  </si>
  <si>
    <t>MTC060</t>
  </si>
  <si>
    <t>FC APC RING</t>
  </si>
  <si>
    <t>DQ003</t>
  </si>
  <si>
    <t>GLASS UPPER PLATE (MEDIUM)</t>
  </si>
  <si>
    <t>MTC061</t>
  </si>
  <si>
    <t>FC APC BOOT</t>
  </si>
  <si>
    <t>DQ004</t>
  </si>
  <si>
    <t>GLASS UPPER PLATE (LARGE)</t>
  </si>
  <si>
    <t>MTC062</t>
  </si>
  <si>
    <t>MU DUST CAP</t>
  </si>
  <si>
    <t>DQ005</t>
  </si>
  <si>
    <t>POLYMIDE FILMS (HALF WAVE PLATE)</t>
  </si>
  <si>
    <t>MTC063</t>
  </si>
  <si>
    <t>MU FRAME</t>
  </si>
  <si>
    <t>DQ006</t>
  </si>
  <si>
    <t>RETARDER FILM</t>
  </si>
  <si>
    <t>POLYMIDE FILMS (RETARDER)</t>
  </si>
  <si>
    <t>MTC064</t>
  </si>
  <si>
    <t>MU SLIDER</t>
  </si>
  <si>
    <t>DQ007</t>
  </si>
  <si>
    <t>POLYMIDE FILMS (STRIP)</t>
  </si>
  <si>
    <t>MTC065</t>
  </si>
  <si>
    <t>MU SPRING</t>
  </si>
  <si>
    <t>DQ008</t>
  </si>
  <si>
    <t>UV CURING ADHESIVE AT6001 (1BTL@10GM)</t>
  </si>
  <si>
    <t>MTC066</t>
  </si>
  <si>
    <t>MU STOP RING</t>
  </si>
  <si>
    <t>DQ009</t>
  </si>
  <si>
    <t>CHIP THERMISTER</t>
  </si>
  <si>
    <t>MTC067</t>
  </si>
  <si>
    <t>MU CLAMP RING</t>
  </si>
  <si>
    <t>DQ010</t>
  </si>
  <si>
    <t>AG EPOXY ADHESIVE CA-40 (1BTL@40GM)</t>
  </si>
  <si>
    <t>MTC068</t>
  </si>
  <si>
    <t>MU BOOT</t>
  </si>
  <si>
    <t>DQ011</t>
  </si>
  <si>
    <t>ADHESIVE</t>
  </si>
  <si>
    <t>SE 4486 (1BTL@250GM)</t>
  </si>
  <si>
    <t>MTC069</t>
  </si>
  <si>
    <t>CONNECTOR</t>
  </si>
  <si>
    <t>C341PC CONNECTOR</t>
  </si>
  <si>
    <t>DQ013</t>
  </si>
  <si>
    <t>FIBER ARRAY 2GV</t>
  </si>
  <si>
    <t>FIBER ARRAY 2GV (TYPE M2)</t>
  </si>
  <si>
    <t>MTC070</t>
  </si>
  <si>
    <t>ST DUST CAP</t>
  </si>
  <si>
    <t>DQ014</t>
  </si>
  <si>
    <t>TEC-AS</t>
  </si>
  <si>
    <t>MTC071</t>
  </si>
  <si>
    <t>ST MAIN BODY OF CONNECTOR</t>
  </si>
  <si>
    <t>DQ015</t>
  </si>
  <si>
    <t>HEAT CONDUCTION SHEET (SHEET@144PC)</t>
  </si>
  <si>
    <t>MTC072</t>
  </si>
  <si>
    <t>ST CLAMP RING</t>
  </si>
  <si>
    <t>DQ016</t>
  </si>
  <si>
    <t>GREASE</t>
  </si>
  <si>
    <t>GREASE SF 401 (BTL@120GM)</t>
  </si>
  <si>
    <t>MTC073</t>
  </si>
  <si>
    <t>ST BOOT</t>
  </si>
  <si>
    <t>DQ016-T</t>
  </si>
  <si>
    <t>GREASE SF 401 (BTL@35GM)</t>
  </si>
  <si>
    <t>MTC074</t>
  </si>
  <si>
    <t>125.5UM</t>
  </si>
  <si>
    <t>DQ017</t>
  </si>
  <si>
    <t>CUTTER</t>
  </si>
  <si>
    <t>MTC075</t>
  </si>
  <si>
    <t>125.0-125.5UM</t>
  </si>
  <si>
    <t>DQ018</t>
  </si>
  <si>
    <t>VACUUM PACK</t>
  </si>
  <si>
    <t>MTC076</t>
  </si>
  <si>
    <t>DQ019</t>
  </si>
  <si>
    <t>UV CURING ADHESIVE #6678 (BTL@2.5GM)</t>
  </si>
  <si>
    <t>MTC077</t>
  </si>
  <si>
    <t>125.2-125.7UM</t>
  </si>
  <si>
    <t>DQ020</t>
  </si>
  <si>
    <t>A-02BC-4010</t>
  </si>
  <si>
    <t>MTC078</t>
  </si>
  <si>
    <t>DQ021</t>
  </si>
  <si>
    <t>MTC079</t>
  </si>
  <si>
    <t>FC ADPC DUST CAP</t>
  </si>
  <si>
    <t>DQ021A</t>
  </si>
  <si>
    <t>DQPSK PLC CHIP L-band (Strip)</t>
  </si>
  <si>
    <t>MTC080</t>
  </si>
  <si>
    <t>FC ADPC FRAME</t>
  </si>
  <si>
    <t>DQ022</t>
  </si>
  <si>
    <t>Polyimide films</t>
  </si>
  <si>
    <t>MTC081</t>
  </si>
  <si>
    <t>FC ADPC WASHER</t>
  </si>
  <si>
    <t>DQ023</t>
  </si>
  <si>
    <t>AU WIRE (RL@500 ME)</t>
  </si>
  <si>
    <t>MTC082</t>
  </si>
  <si>
    <t>FC ADPC COUPLING NUT</t>
  </si>
  <si>
    <t>DQ024</t>
  </si>
  <si>
    <t>PLCAS LABEL (RL@5,000 PC)</t>
  </si>
  <si>
    <t>MTC083</t>
  </si>
  <si>
    <t>FC ADPC SPRING</t>
  </si>
  <si>
    <t>DQ025</t>
  </si>
  <si>
    <t>AGENTS ABSORBS MOISTURE</t>
  </si>
  <si>
    <t>RP agent RP3A (BOX @ 1000 PC)</t>
  </si>
  <si>
    <t>MTC084</t>
  </si>
  <si>
    <t>FC ADPC STOPPER</t>
  </si>
  <si>
    <t>DQ026</t>
  </si>
  <si>
    <t>PTS BAG (BOX @ 1000 PC)</t>
  </si>
  <si>
    <t>MTC085</t>
  </si>
  <si>
    <t>FC ADPC CLAMP RING</t>
  </si>
  <si>
    <t>DQ027</t>
  </si>
  <si>
    <t>Hiryu N-9/200MMX300MM (SHEET@216PC)</t>
  </si>
  <si>
    <t>MTC086</t>
  </si>
  <si>
    <t>FC ADPC RING</t>
  </si>
  <si>
    <t>DQ028</t>
  </si>
  <si>
    <t>AU WIRE 25um  (RL@100 ME)</t>
  </si>
  <si>
    <t>MTC087</t>
  </si>
  <si>
    <t>FC ADPC BOOT</t>
  </si>
  <si>
    <t>DQ029</t>
  </si>
  <si>
    <t>SF401(BTL@320GM)</t>
  </si>
  <si>
    <t>MTC088</t>
  </si>
  <si>
    <t>NIX MARK BAND VS-1 M (0.9)</t>
  </si>
  <si>
    <t>DQ030</t>
  </si>
  <si>
    <t>BC-486-N0494</t>
  </si>
  <si>
    <t>MTC089</t>
  </si>
  <si>
    <t>NIX MARK BAND S-1 M (1.8)</t>
  </si>
  <si>
    <t>DQ031</t>
  </si>
  <si>
    <t>FIBER ARRAY 1GV</t>
  </si>
  <si>
    <t>FIBER ARRAY 1GV 430-S0474-0001</t>
  </si>
  <si>
    <t>MTC090</t>
  </si>
  <si>
    <t>NIX MARK BAND N-2 M (2.9)</t>
  </si>
  <si>
    <t>DQ032</t>
  </si>
  <si>
    <t>430-S0473-0001 YELLOW/GREEN</t>
  </si>
  <si>
    <t>P002</t>
  </si>
  <si>
    <t>Rubber Cap</t>
  </si>
  <si>
    <t>MT-PIGTAIL</t>
  </si>
  <si>
    <t>DQ033</t>
  </si>
  <si>
    <t>430-S0473-0002 RED/GRAY</t>
  </si>
  <si>
    <t>P004</t>
  </si>
  <si>
    <t>Ribbon Optical Fiber 4 Core</t>
  </si>
  <si>
    <t>DQ034</t>
  </si>
  <si>
    <t>1-4630-10 Type 2</t>
  </si>
  <si>
    <t>P005</t>
  </si>
  <si>
    <t>DQ035</t>
  </si>
  <si>
    <t>C-01H-40(Sheet@400PC)</t>
  </si>
  <si>
    <t>P006</t>
  </si>
  <si>
    <t>BLUE (G369024)</t>
  </si>
  <si>
    <t>DQ036</t>
  </si>
  <si>
    <t>487-N0573-0001</t>
  </si>
  <si>
    <t>P007</t>
  </si>
  <si>
    <t>RED (G369024)</t>
  </si>
  <si>
    <t>DQ037</t>
  </si>
  <si>
    <t>PLCAS</t>
  </si>
  <si>
    <t>P008</t>
  </si>
  <si>
    <t>16MT (125.5-N-B)</t>
  </si>
  <si>
    <t>ENV06</t>
  </si>
  <si>
    <t>ENVELOPE BROWN COLOR  A4</t>
  </si>
  <si>
    <t>P009</t>
  </si>
  <si>
    <t>ENV07</t>
  </si>
  <si>
    <t>BROWN ENVELOPE 8X11</t>
  </si>
  <si>
    <t>P010</t>
  </si>
  <si>
    <t>ENV08</t>
  </si>
  <si>
    <t>BROWN EXPASION ENVELOPE 9X12.75(PK@50PC)</t>
  </si>
  <si>
    <t>P011</t>
  </si>
  <si>
    <t>ENV09</t>
  </si>
  <si>
    <t>BROWN ENVELOPE 9X12.75KA (PACK@50PCS)</t>
  </si>
  <si>
    <t>P012</t>
  </si>
  <si>
    <t>QR Label-16MT</t>
  </si>
  <si>
    <t>ENV10</t>
  </si>
  <si>
    <t>ENVELOPE NO. 9 NO SCREEN (PACK@500PCS)</t>
  </si>
  <si>
    <t>P013</t>
  </si>
  <si>
    <t>MT(RE USED)</t>
  </si>
  <si>
    <t>FTM 4/E-0240 (SET@4 PC)</t>
  </si>
  <si>
    <t>P013-1</t>
  </si>
  <si>
    <t>PROTECTION PARTS</t>
  </si>
  <si>
    <t>PROTECTING PART-FTM</t>
  </si>
  <si>
    <t>P014</t>
  </si>
  <si>
    <t>QR Label-8MT-FT-G</t>
  </si>
  <si>
    <t>P015</t>
  </si>
  <si>
    <t>QR Label-8MT-FT-H</t>
  </si>
  <si>
    <t>P016</t>
  </si>
  <si>
    <t>QR Label-8MT-FT-E</t>
  </si>
  <si>
    <t>P017</t>
  </si>
  <si>
    <t>P018</t>
  </si>
  <si>
    <t>8MTR-125.5-N</t>
  </si>
  <si>
    <t>F016</t>
  </si>
  <si>
    <t>FRONT FRAME SOCKET FRAME D(F)No.1</t>
  </si>
  <si>
    <t>SMALL8-BUNKI SPLITTER</t>
  </si>
  <si>
    <t>FRONT FRAME SOCKET FRAME D(F)No.2</t>
  </si>
  <si>
    <t>FRONT FRAME SOCKET FRAME D(F)No.3</t>
  </si>
  <si>
    <t>F019-1</t>
  </si>
  <si>
    <t>FRONT FRAME SOCKET FRAME D(F)No.4</t>
  </si>
  <si>
    <t>FRONT FRAME SOCKET FRAME D(F)No.5</t>
  </si>
  <si>
    <t>F020-1</t>
  </si>
  <si>
    <t>FRONT FRAME SOCKET FRAME D(F)No.6</t>
  </si>
  <si>
    <t>4Tape Coupler</t>
  </si>
  <si>
    <t>FRONT FRAME SOCKET FRAME D(F)No.7</t>
  </si>
  <si>
    <t>PLASTIC ZIPPER BAG A-4</t>
  </si>
  <si>
    <t>FRONT FRAME SOCKET FRAME D(F)No.8</t>
  </si>
  <si>
    <t>MPO104</t>
  </si>
  <si>
    <t xml:space="preserve">MARK BAND </t>
  </si>
  <si>
    <t>S-1 NO.3</t>
  </si>
  <si>
    <t>FA105-NB</t>
  </si>
  <si>
    <t>IDH002</t>
  </si>
  <si>
    <t>CASE BOTTOM(84B2002A)</t>
  </si>
  <si>
    <t>IDH035-KDK</t>
  </si>
  <si>
    <t>WIRE HARNESS(PD BOARD) (84B5005A)</t>
  </si>
  <si>
    <t>FA106-NB</t>
  </si>
  <si>
    <t>IDH036-KDK</t>
  </si>
  <si>
    <t>WIRE HARNESS(SWITCH BOARD) (84B5006A)</t>
  </si>
  <si>
    <t>IDH037-KDK</t>
  </si>
  <si>
    <t>WIRE HARNESS(LEVER SWITCH BOARD) (84B5007A)</t>
  </si>
  <si>
    <t>IDH012</t>
  </si>
  <si>
    <t>PD HEAD (84B2013A)</t>
  </si>
  <si>
    <t>FA110</t>
  </si>
  <si>
    <t>FIBER STOPPER</t>
  </si>
  <si>
    <t>IDH001</t>
  </si>
  <si>
    <t>FTM(AM80021A)</t>
  </si>
  <si>
    <t>FA112</t>
  </si>
  <si>
    <t>Gaihihaji Cover L(Black)</t>
  </si>
  <si>
    <t>R00FA034-SEI</t>
  </si>
  <si>
    <t>PLASTIC STOPPER</t>
  </si>
  <si>
    <t>FSC STOPPER L(GRAY)</t>
  </si>
  <si>
    <t>EASY Connector</t>
  </si>
  <si>
    <t>IDH003</t>
  </si>
  <si>
    <t>R00FA036-SEI</t>
  </si>
  <si>
    <t>LOW-REFLECTION FERRULE</t>
  </si>
  <si>
    <t>IDH006</t>
  </si>
  <si>
    <t>LEVER</t>
  </si>
  <si>
    <t>LEVER(84B2006A)</t>
  </si>
  <si>
    <t>FA119-NB</t>
  </si>
  <si>
    <t>IDH009</t>
  </si>
  <si>
    <t>MECH BASE(84B2010A)</t>
  </si>
  <si>
    <t>FPS044-NB</t>
  </si>
  <si>
    <t>FA123-NB</t>
  </si>
  <si>
    <t>R00FA037-SEI</t>
  </si>
  <si>
    <t>SC FERRUE</t>
  </si>
  <si>
    <t>UPC FERRULE</t>
  </si>
  <si>
    <t>FA127</t>
  </si>
  <si>
    <t>E-1266</t>
  </si>
  <si>
    <t>INTERMEDIATE PLATE FOR FTM5</t>
  </si>
  <si>
    <t>FA128</t>
  </si>
  <si>
    <t>R0MTC093-SEN</t>
  </si>
  <si>
    <t>SC SM FERRULE 125.0-125.3 UM</t>
  </si>
  <si>
    <t>MASTER FIBER</t>
  </si>
  <si>
    <t>SENKO</t>
  </si>
  <si>
    <t>SKT001</t>
  </si>
  <si>
    <t>S946 : 14TD060-1</t>
  </si>
  <si>
    <t>FA131</t>
  </si>
  <si>
    <t>E-1449</t>
  </si>
  <si>
    <t>FA133</t>
  </si>
  <si>
    <t>KUSABI STOPPER</t>
  </si>
  <si>
    <t>FS386-SKT</t>
  </si>
  <si>
    <t xml:space="preserve">BATTERY </t>
  </si>
  <si>
    <t>S947 BATTERY(5S1P 18.5V3,000MAH)</t>
  </si>
  <si>
    <t>FA134</t>
  </si>
  <si>
    <t>PRODUCT CASE PACKING</t>
  </si>
  <si>
    <t>R179S601-TOY</t>
  </si>
  <si>
    <t>FOR S947B LITHIUM BATTERY 5S1P</t>
  </si>
  <si>
    <t>TOYO ELECTRO</t>
  </si>
  <si>
    <t>FA135</t>
  </si>
  <si>
    <t>FS092-TOY</t>
  </si>
  <si>
    <t>R00FA004-FEL</t>
  </si>
  <si>
    <t>FSC STOPPER L FOR SC/APC</t>
  </si>
  <si>
    <t>FA136D</t>
  </si>
  <si>
    <t>R1901002-FEC</t>
  </si>
  <si>
    <t>FOL15BxDBx</t>
  </si>
  <si>
    <t>RFLFLE66-FEC</t>
  </si>
  <si>
    <t>ALUMINIUM SUB BASE</t>
  </si>
  <si>
    <t>BOARD PANEL:482-N2883-0001</t>
  </si>
  <si>
    <t>FA138</t>
  </si>
  <si>
    <t xml:space="preserve">F guide-L				</t>
  </si>
  <si>
    <t>RFLFLE07-FEC</t>
  </si>
  <si>
    <t>BOTTOM PLATE</t>
  </si>
  <si>
    <t>R00FA012-FEL</t>
  </si>
  <si>
    <t>COVER AND BASE OF CABLE HOLDER</t>
  </si>
  <si>
    <t>FAC003</t>
  </si>
  <si>
    <t>R00FA002-FEL</t>
  </si>
  <si>
    <t>FSC PIN</t>
  </si>
  <si>
    <t>FSC PIN SC/APC OPT CONNERTOR</t>
  </si>
  <si>
    <t>R98MM027-FEC</t>
  </si>
  <si>
    <t>MBC-API07-08</t>
  </si>
  <si>
    <t>FAC010L</t>
  </si>
  <si>
    <t>FSC STOP RING</t>
  </si>
  <si>
    <t>R124S074-FEC</t>
  </si>
  <si>
    <t>G315253 SM12_fiber (Blue) RL@1,000ME</t>
  </si>
  <si>
    <t>R124S075-FEC</t>
  </si>
  <si>
    <t>G311210 SM 8-fiber (RL@1,000ME)</t>
  </si>
  <si>
    <t>R124S076-FEC</t>
  </si>
  <si>
    <t>G312075B SM 4-fiber (RL@1,000ME)</t>
  </si>
  <si>
    <t>R124S077-FEC</t>
  </si>
  <si>
    <t>REINFORCED SLEEVE (S927B)</t>
  </si>
  <si>
    <t>R00FA006-FEL</t>
  </si>
  <si>
    <t>FSC HOUSING SC/APC OPT.CONNECT(42001742)</t>
  </si>
  <si>
    <t>RKNAI049-KSD</t>
  </si>
  <si>
    <t>1x4 SPLITTER WITH 4x44x38MM PACKAGE</t>
  </si>
  <si>
    <t>KONAI</t>
  </si>
  <si>
    <t>RSBNP007-FEL</t>
  </si>
  <si>
    <t>35500006 PLC SPLITTER 1X8 NC/SC-APC</t>
  </si>
  <si>
    <t>CTO</t>
  </si>
  <si>
    <t>RFB01012-FEC</t>
  </si>
  <si>
    <t>FOL15TS04DF5_DR-LD</t>
  </si>
  <si>
    <t>FAC033L</t>
  </si>
  <si>
    <t>BEAM COMBINER</t>
  </si>
  <si>
    <t>R179S635-FEC</t>
  </si>
  <si>
    <t>HARD CARRY CASE</t>
  </si>
  <si>
    <t>CARRYING CASE (HCC-11B)</t>
  </si>
  <si>
    <t>FA SOCKET GUIDE</t>
  </si>
  <si>
    <t>RSBNP005-FEL</t>
  </si>
  <si>
    <t>42001592 : LB00N368-F2</t>
  </si>
  <si>
    <t>FAC038L</t>
  </si>
  <si>
    <t>RNJFS173-FEC</t>
  </si>
  <si>
    <t>TOOL BAG</t>
  </si>
  <si>
    <t>TOOL CASE TCC-01</t>
  </si>
  <si>
    <t>F GUIDE L</t>
  </si>
  <si>
    <t>RSL00006-FEC</t>
  </si>
  <si>
    <t>TENSION MEMBER SUS 1.5x60</t>
  </si>
  <si>
    <t>RSL00010-FEC</t>
  </si>
  <si>
    <t>TENSION MEMBER ALUMINA R1.75</t>
  </si>
  <si>
    <t>R124S062-FEC</t>
  </si>
  <si>
    <t>S124 MAIN BOARD</t>
  </si>
  <si>
    <t>IDH010</t>
  </si>
  <si>
    <t>PD HOLDER BASE (84B2011A)</t>
  </si>
  <si>
    <t>LF001</t>
  </si>
  <si>
    <t>OFS98-PMF(F9920-08)</t>
  </si>
  <si>
    <t>LENSED FIBER</t>
  </si>
  <si>
    <t>R124S025-FEC</t>
  </si>
  <si>
    <t>LED ARM-M</t>
  </si>
  <si>
    <t>RFLFLE02-FEC</t>
  </si>
  <si>
    <t>FRONT PANE</t>
  </si>
  <si>
    <t>RNJFS163-FEC</t>
  </si>
  <si>
    <t>AC ADAPTER S978A</t>
  </si>
  <si>
    <t>RNJFS166-FEC</t>
  </si>
  <si>
    <t>BRUSH</t>
  </si>
  <si>
    <t>CLEANING BRUSH VGC-01</t>
  </si>
  <si>
    <t>FBT005</t>
  </si>
  <si>
    <t>MPSC29-2</t>
  </si>
  <si>
    <t>RCN2660026- SC (LA)BOOT</t>
  </si>
  <si>
    <t>CONNECTOR ASSEMBLY</t>
  </si>
  <si>
    <t>FBT01</t>
  </si>
  <si>
    <t>FRL15TCWE-D86-19****</t>
  </si>
  <si>
    <t>R124S008-FEC</t>
  </si>
  <si>
    <t>BACK HOLD BASE -C HEAT PRESS FIT</t>
  </si>
  <si>
    <t>FBT01-1</t>
  </si>
  <si>
    <t>FRL15TCWC-D66-19210_19605-D</t>
  </si>
  <si>
    <t>R00FA007-FEL</t>
  </si>
  <si>
    <t>FSC WEDGE FOR SC/APC OPT. CONN(42001743)</t>
  </si>
  <si>
    <t>FBT01-2</t>
  </si>
  <si>
    <t>FBT MODULES</t>
  </si>
  <si>
    <t>RFLFLE13-FEC</t>
  </si>
  <si>
    <t>CAVITY COVER PLATE</t>
  </si>
  <si>
    <t>FBT01-3</t>
  </si>
  <si>
    <t>FOL0908A41**</t>
  </si>
  <si>
    <t>RNJFS171-FEC</t>
  </si>
  <si>
    <t>HARD CARRYING CASE HCC-01</t>
  </si>
  <si>
    <t>R179S637-FEC</t>
  </si>
  <si>
    <t>RSL00008-FEC</t>
  </si>
  <si>
    <t>INTERNAL TUBE 4.7-4.1</t>
  </si>
  <si>
    <t>FBT011M-T</t>
  </si>
  <si>
    <t>SAMPLE-FLM-PK61(Kyocera)</t>
  </si>
  <si>
    <t>FL069</t>
  </si>
  <si>
    <t>YB16-250 ; 80874</t>
  </si>
  <si>
    <t>FBT0120M-T</t>
  </si>
  <si>
    <t>RFLFLE77-FEC</t>
  </si>
  <si>
    <t>PROTECTION TUBE</t>
  </si>
  <si>
    <t>PTFE TUBE : 244-1031-55 L840</t>
  </si>
  <si>
    <t>RKNAI050-BRO</t>
  </si>
  <si>
    <t>1x4 SPLITTER WITH 4x4x38MM PACKAGE</t>
  </si>
  <si>
    <t>FBT012M-T</t>
  </si>
  <si>
    <t>SAMPLE-FLM-PK61B(Sumitomo)</t>
  </si>
  <si>
    <t>RFLFLE89-FEC</t>
  </si>
  <si>
    <t>ELECTRIC CIRCUIT BOARD</t>
  </si>
  <si>
    <t>SUB -ACC2 CIRCUIT BOARD:430-J1011-0001</t>
  </si>
  <si>
    <t>FBT013M</t>
  </si>
  <si>
    <t>FLM-PK62</t>
  </si>
  <si>
    <t>RFLFLE90-FEC</t>
  </si>
  <si>
    <t>PD HARNESS : 430-L1001-0001</t>
  </si>
  <si>
    <t>FBT013M-T</t>
  </si>
  <si>
    <t>PK62</t>
  </si>
  <si>
    <t>RFLFLE91-FEC</t>
  </si>
  <si>
    <t>TH HARNESS : 430-L0999-0001</t>
  </si>
  <si>
    <t>FBT014M-T</t>
  </si>
  <si>
    <t>RFICL167-FEC</t>
  </si>
  <si>
    <t>SHIM RING PCIMRS6-8-0.05 (PK@30PC)</t>
  </si>
  <si>
    <t>FBT015M-T</t>
  </si>
  <si>
    <t>FLM-PK62B</t>
  </si>
  <si>
    <t>R179S628-PAL</t>
  </si>
  <si>
    <t>UPPER LED BOARD</t>
  </si>
  <si>
    <t>FBT02</t>
  </si>
  <si>
    <t>FRL15TCWA-D86-19****</t>
  </si>
  <si>
    <t>RFLFLE39-FEC</t>
  </si>
  <si>
    <t>MAIN-ACC2 CIRCUIT BOARD</t>
  </si>
  <si>
    <t>R179S629-PAL</t>
  </si>
  <si>
    <t>FBT021M-T</t>
  </si>
  <si>
    <t>SAMPLE-FLM-PE59(TEC1)</t>
  </si>
  <si>
    <t>R124S007-FEC</t>
  </si>
  <si>
    <t>ELECTRODE COVER</t>
  </si>
  <si>
    <t>R124S046-FEC</t>
  </si>
  <si>
    <t>ALIGNMENT ASSEMBLY</t>
  </si>
  <si>
    <t>ALIGNMENT MECHANISM ASSEMBLY</t>
  </si>
  <si>
    <t>FBT022M-T</t>
  </si>
  <si>
    <t>SAMPLE-FLM-PE51(TEC2)</t>
  </si>
  <si>
    <t>FS474</t>
  </si>
  <si>
    <t>RETAINING RING - E TYPE (DIAMETER 3)</t>
  </si>
  <si>
    <t>FBT023</t>
  </si>
  <si>
    <t>FLM-PE29 (TEC2)</t>
  </si>
  <si>
    <t>FS526</t>
  </si>
  <si>
    <t>FBT023M</t>
  </si>
  <si>
    <t>FLM-PE52</t>
  </si>
  <si>
    <t>R00FA004-SUR</t>
  </si>
  <si>
    <t>FSC STOPPER L FOR SC/APC(RLP3146-4A241)</t>
  </si>
  <si>
    <t>SURTEC</t>
  </si>
  <si>
    <t>FBT023M-T</t>
  </si>
  <si>
    <t>FLM-PE52A</t>
  </si>
  <si>
    <t>R00FA012-SUR</t>
  </si>
  <si>
    <t>COVER AND BASE ASSY(RNRLP3156-027F2B)</t>
  </si>
  <si>
    <t>R98MM028-FEC</t>
  </si>
  <si>
    <t>MBC-CA07-END CAP</t>
  </si>
  <si>
    <t>FBT024M-T</t>
  </si>
  <si>
    <t>FLM-PE59B</t>
  </si>
  <si>
    <t>RFLFLE93-FEC</t>
  </si>
  <si>
    <t>PACKING MATERIAL</t>
  </si>
  <si>
    <t>FBT025M-T</t>
  </si>
  <si>
    <t>FLM-PE60B</t>
  </si>
  <si>
    <t>RFB01013-FEC</t>
  </si>
  <si>
    <t>FBT-15TE04DF5(LC27)</t>
  </si>
  <si>
    <t>FBT026</t>
  </si>
  <si>
    <t>FLM-PE43</t>
  </si>
  <si>
    <t>RFB01014-FEC</t>
  </si>
  <si>
    <t>FOL15TD0xDF5 Special COS</t>
  </si>
  <si>
    <t>R124S063-PAL</t>
  </si>
  <si>
    <t>LCD BOARD (33A506X)</t>
  </si>
  <si>
    <t>FBT029-T</t>
  </si>
  <si>
    <t>FLM-PE42</t>
  </si>
  <si>
    <t>R1901003-FEC</t>
  </si>
  <si>
    <t>FOL15UPDU1</t>
  </si>
  <si>
    <t>FBT033</t>
  </si>
  <si>
    <t>POLYMER TUBE</t>
  </si>
  <si>
    <t>Poliimide Tube 6mm</t>
  </si>
  <si>
    <t>R1901005-FEC</t>
  </si>
  <si>
    <t>FOL15UBDU1</t>
  </si>
  <si>
    <t>FS080</t>
  </si>
  <si>
    <t>V GROOVE FOR NINJAM4</t>
  </si>
  <si>
    <t>FS429</t>
  </si>
  <si>
    <t>ARC BASE</t>
  </si>
  <si>
    <t>R00FA006-SUR</t>
  </si>
  <si>
    <t>FSC HOUSING SC/APC(RLP3148-4A240) GREEN</t>
  </si>
  <si>
    <t>Full band  LD_cos (L-Band)</t>
  </si>
  <si>
    <t>R00FA003-SUR</t>
  </si>
  <si>
    <t>FSC STOP RING FOR SC/APC (RLP3145-4A241)</t>
  </si>
  <si>
    <t>FBT043</t>
  </si>
  <si>
    <t>FOL15TBX</t>
  </si>
  <si>
    <t>RNJFS002-PAL</t>
  </si>
  <si>
    <t>FBT051</t>
  </si>
  <si>
    <t>BS80+PDx2+PC16+TH10+TS03</t>
  </si>
  <si>
    <t>RNJFS003-PAL</t>
  </si>
  <si>
    <t>RNJFS004-PAL</t>
  </si>
  <si>
    <t>IL LED BOARD</t>
  </si>
  <si>
    <t>FBT052-T</t>
  </si>
  <si>
    <t>FLM-BS88B</t>
  </si>
  <si>
    <t>RNJFS005-PAL</t>
  </si>
  <si>
    <t>RNJFS007-PAL</t>
  </si>
  <si>
    <t>MAIN BOARD (NJ001 M4)</t>
  </si>
  <si>
    <t>RNJFS008-PAL</t>
  </si>
  <si>
    <t>FBT053M-T</t>
  </si>
  <si>
    <t>SAMPLE-FLM-BS12</t>
  </si>
  <si>
    <t>RNJFS009-PAL</t>
  </si>
  <si>
    <t>FBT054</t>
  </si>
  <si>
    <t>BS84+PDX2+PC16+TH10+TS03</t>
  </si>
  <si>
    <t>RNJFS010-PAL</t>
  </si>
  <si>
    <t>RNJFS011-PAL</t>
  </si>
  <si>
    <t>FLM-BS86</t>
  </si>
  <si>
    <t>RNJFS012-PAL</t>
  </si>
  <si>
    <t>R00FA007-SUR</t>
  </si>
  <si>
    <t>FSC WEDGE FOR SC/APC(RLP3149-11089)</t>
  </si>
  <si>
    <t>RKNAI050-FOC</t>
  </si>
  <si>
    <t>1x4 SPLITTER WITH 38x4x4MM PACKAGE</t>
  </si>
  <si>
    <t>FOCI</t>
  </si>
  <si>
    <t>FLM-BS88</t>
  </si>
  <si>
    <t>FBT058</t>
  </si>
  <si>
    <t>BS86+PDx2+PC16+TH10+TS03</t>
  </si>
  <si>
    <t>FBT059</t>
  </si>
  <si>
    <t>BS88+PDx2+PC16+TH10+TS03</t>
  </si>
  <si>
    <t>RFLTFB21-AVO</t>
  </si>
  <si>
    <t>HNAP111-125 HI, Certified Fiber:7000510</t>
  </si>
  <si>
    <t>RFOMD063-KSD</t>
  </si>
  <si>
    <t>METAL BASE ASSEMBLY</t>
  </si>
  <si>
    <t>GPX11X4-1ULC 24 CORE (PANEL BODY)</t>
  </si>
  <si>
    <t>RFOMD059-KSD</t>
  </si>
  <si>
    <t>1 U PROTECTION SHEET A</t>
  </si>
  <si>
    <t>FBT061M-T</t>
  </si>
  <si>
    <t>SAMPLE-FLM-CH47</t>
  </si>
  <si>
    <t>RFOMD060-KSD</t>
  </si>
  <si>
    <t>1 U PROTECTION SHEET B</t>
  </si>
  <si>
    <t>RFOMD061-KSD</t>
  </si>
  <si>
    <t>LC PLUG SM BTW</t>
  </si>
  <si>
    <t>RFOMD062-KSD</t>
  </si>
  <si>
    <t>GPX11X4-1ULC 96 CORE (PANEL BODY)</t>
  </si>
  <si>
    <t>FBT081</t>
  </si>
  <si>
    <t>RFOMD064-KSD</t>
  </si>
  <si>
    <t>GPX11X4-1ULC 48 CORE (PANEL BODY)</t>
  </si>
  <si>
    <t>RFOMD065-KSD</t>
  </si>
  <si>
    <t>2U PROTECTION SHEET A (FOR 96 CORES)</t>
  </si>
  <si>
    <t>RFOMD066-KSD</t>
  </si>
  <si>
    <t>2U PROTECTION SHEET B (FOR 96 CORES)</t>
  </si>
  <si>
    <t>FBT091M</t>
  </si>
  <si>
    <t>FLM-PR20</t>
  </si>
  <si>
    <t>FBT091M-T</t>
  </si>
  <si>
    <t>SAMPLE-FLM-PR20 (Beam spliter)</t>
  </si>
  <si>
    <t>FBT092</t>
  </si>
  <si>
    <t>FLM-IS37</t>
  </si>
  <si>
    <t>RKNAI055-SHO</t>
  </si>
  <si>
    <t>1X8 PLC SPLITTER(40X4X4)(PSD-5811174-03)</t>
  </si>
  <si>
    <t>FBT092M-T</t>
  </si>
  <si>
    <t>SAMPLE-FLM-PR21 (Mirror)</t>
  </si>
  <si>
    <t>RIDMJ157-SEI</t>
  </si>
  <si>
    <t>Element Part A/B (Blue)</t>
  </si>
  <si>
    <t>IDM-JUMPER</t>
  </si>
  <si>
    <t>RIDMJ149-SEI</t>
  </si>
  <si>
    <t>LID FOR WM4 (BLUE)</t>
  </si>
  <si>
    <t>FBT094</t>
  </si>
  <si>
    <t>FLM-IS46B</t>
  </si>
  <si>
    <t>FBT094M</t>
  </si>
  <si>
    <t>FLM-IS48</t>
  </si>
  <si>
    <t>RNJFS164-FEC</t>
  </si>
  <si>
    <t>AC CORD</t>
  </si>
  <si>
    <t>AC CABLE CORD(CCC)</t>
  </si>
  <si>
    <t>FBT095</t>
  </si>
  <si>
    <t>FLM-IS46</t>
  </si>
  <si>
    <t>MTC093-1</t>
  </si>
  <si>
    <t>SC SM FERRULE 126 UM</t>
  </si>
  <si>
    <t>FBT097</t>
  </si>
  <si>
    <t>FLM-I0411004A</t>
  </si>
  <si>
    <t>IDH00001-SEI</t>
  </si>
  <si>
    <t>FBT098-T</t>
  </si>
  <si>
    <t>RIDMJ154-SEI</t>
  </si>
  <si>
    <t>VIDEO COMBINER</t>
  </si>
  <si>
    <t>FBT101</t>
  </si>
  <si>
    <t>ETALON ASSEMBLY</t>
  </si>
  <si>
    <t>FLM-ES18(Quartz)</t>
  </si>
  <si>
    <t>IDC004</t>
  </si>
  <si>
    <t>Cable Stopper</t>
  </si>
  <si>
    <t>IDM-CABLE</t>
  </si>
  <si>
    <t>FBT101M</t>
  </si>
  <si>
    <t>FLM-ET22</t>
  </si>
  <si>
    <t>FBT101M-T</t>
  </si>
  <si>
    <t>SAMPLE-FLM-ET22</t>
  </si>
  <si>
    <t>IDH00002-SEI</t>
  </si>
  <si>
    <t>SWITCH  BOARD</t>
  </si>
  <si>
    <t>R124S128-FSL</t>
  </si>
  <si>
    <t>FIBER CLAMP : 27A1014C</t>
  </si>
  <si>
    <t>FURUKAWA SHANGHAI</t>
  </si>
  <si>
    <t>RFLFLE97-FEC</t>
  </si>
  <si>
    <t>CAVITY</t>
  </si>
  <si>
    <t>KWCAVITY_7001000-03MSR2.0BI:10HR(R80)</t>
  </si>
  <si>
    <t>FBT103</t>
  </si>
  <si>
    <t>FLM-ET20(BGO)</t>
  </si>
  <si>
    <t>R179S652-FEC</t>
  </si>
  <si>
    <t>D0059-ASSY3X</t>
  </si>
  <si>
    <t>R124S103-STG</t>
  </si>
  <si>
    <t>MAIN-BASE-MPRESS FIT</t>
  </si>
  <si>
    <t>SANKI FINE TECHNOLOGY</t>
  </si>
  <si>
    <t>FBT105-T</t>
  </si>
  <si>
    <t>FLM-ET21B</t>
  </si>
  <si>
    <t>FBT111</t>
  </si>
  <si>
    <t>FLM-PL27SAY</t>
  </si>
  <si>
    <t>RSL00001-KNS</t>
  </si>
  <si>
    <t>EXTERNAL TUBE RNF-100-4.5/1.9-CL-STK</t>
  </si>
  <si>
    <t>KANETSU VIETNAM</t>
  </si>
  <si>
    <t>FLM-PL07</t>
  </si>
  <si>
    <t>RFLFLE27-FEC</t>
  </si>
  <si>
    <t>PLASTIC CLAMP</t>
  </si>
  <si>
    <t>CLAMP M(RLSC-1V0)</t>
  </si>
  <si>
    <t>RFLFE107-FEC</t>
  </si>
  <si>
    <t>FBT112M-T</t>
  </si>
  <si>
    <t>SAMPLE-FLM-PL29</t>
  </si>
  <si>
    <t>R179S657-FEC</t>
  </si>
  <si>
    <t>R124S002-FEC</t>
  </si>
  <si>
    <t>36A ARC BASE ASSEMBLY M4</t>
  </si>
  <si>
    <t>FBT113M</t>
  </si>
  <si>
    <t>FLM-PL28</t>
  </si>
  <si>
    <t>FBT113M-T</t>
  </si>
  <si>
    <t>SAMPLE-FLM-PL28</t>
  </si>
  <si>
    <t>RKNAI051-BRO</t>
  </si>
  <si>
    <t>1x2 SPLITTER (38X4X4)</t>
  </si>
  <si>
    <t>T01-A</t>
  </si>
  <si>
    <t>RTA900000068</t>
  </si>
  <si>
    <t>FLM-PK66(GMS-C1121)</t>
  </si>
  <si>
    <t>FBT121M-T</t>
  </si>
  <si>
    <t>SAMPLE-FLCR2SH11A</t>
  </si>
  <si>
    <t>R98DU004-FEC</t>
  </si>
  <si>
    <t>FLM-PK73A</t>
  </si>
  <si>
    <t>FBT122M</t>
  </si>
  <si>
    <t>FLM-SL24</t>
  </si>
  <si>
    <t>RFLTFB20-MAC</t>
  </si>
  <si>
    <t>MEDIUM LENGTH PACKAGE: 7000061</t>
  </si>
  <si>
    <t>MACHINIST GROUP CORP</t>
  </si>
  <si>
    <t>FBT122M-T</t>
  </si>
  <si>
    <t>FLCR2SH11A</t>
  </si>
  <si>
    <t>FBT123M-T</t>
  </si>
  <si>
    <t>FLM-SL24A</t>
  </si>
  <si>
    <t>RFLSD033-FEC</t>
  </si>
  <si>
    <t>PILLARS 2</t>
  </si>
  <si>
    <t>RFLSD013-FEC</t>
  </si>
  <si>
    <t>TERMINAL BLOCK-ACC1 HARNESS</t>
  </si>
  <si>
    <t>ME</t>
    <phoneticPr fontId="8" type="noConversion"/>
  </si>
  <si>
    <t>OKANO</t>
    <phoneticPr fontId="8" type="noConversion"/>
  </si>
  <si>
    <t>FBT131M-T</t>
  </si>
  <si>
    <t>SAMPLE-FLM-FAW21A-1.3F</t>
  </si>
  <si>
    <t>RSL00018-FEC</t>
  </si>
  <si>
    <t>FBT132</t>
  </si>
  <si>
    <t>FLM-FAR-22L-1.2S</t>
  </si>
  <si>
    <t>R124S131-FEC</t>
  </si>
  <si>
    <t>SR WASHER : 36A1176A</t>
  </si>
  <si>
    <t>RFLSD177-FEC</t>
  </si>
  <si>
    <t>BRACKET</t>
  </si>
  <si>
    <t>ACC PCB BRACKET C : 482-N2925-0002</t>
  </si>
  <si>
    <t>STANDARD FIBER LASER</t>
  </si>
  <si>
    <t>RFLFE101-FEC</t>
  </si>
  <si>
    <t>BOTTOM PLATE:NEW SPECIFICATION</t>
  </si>
  <si>
    <t>FIBER LASER ENGINE</t>
  </si>
  <si>
    <t>FBT133M-T</t>
  </si>
  <si>
    <t>TX-FLM-007(Kohoku)</t>
  </si>
  <si>
    <t>RS001028-FEC</t>
  </si>
  <si>
    <t>ABSORBER FRONT : 37A1051A</t>
  </si>
  <si>
    <t>FBT135</t>
  </si>
  <si>
    <t>FLM-FAR21 DB-1.2F</t>
  </si>
  <si>
    <t>RFLSD026-FEC</t>
  </si>
  <si>
    <t>REMAINING PORT PROCESSING MODULE</t>
  </si>
  <si>
    <t>RFLSD031-FEC</t>
  </si>
  <si>
    <t>REAR PANEL</t>
  </si>
  <si>
    <t>FBT141M-T</t>
  </si>
  <si>
    <t>FERRULE SLEEVE</t>
  </si>
  <si>
    <t>SAMPLE-FLM-FS37</t>
  </si>
  <si>
    <t>RFLSD002-FEC</t>
  </si>
  <si>
    <t>ACC1 CIRCUIT BOARD:430-J0983-0001</t>
  </si>
  <si>
    <t>FBT142M</t>
  </si>
  <si>
    <t>FLM-FS38</t>
  </si>
  <si>
    <t>RFLSD003-FEC</t>
  </si>
  <si>
    <t>ACC2 CIRCUIT BOARD:430-J0984-0001</t>
  </si>
  <si>
    <t>FBT142M-T</t>
  </si>
  <si>
    <t>FLM-FS38A</t>
  </si>
  <si>
    <t>RFLSD105-FEC</t>
  </si>
  <si>
    <t>FL2 CIRCUIT BOARD</t>
  </si>
  <si>
    <t>RFLSD131-FEC</t>
  </si>
  <si>
    <t>FBT161</t>
  </si>
  <si>
    <t>RFLSD039-FEC</t>
  </si>
  <si>
    <t>MOVABLE PLATE  FFP1412-M112</t>
  </si>
  <si>
    <t>RFLSD028-FEC</t>
  </si>
  <si>
    <t>SUS CHASSIS</t>
  </si>
  <si>
    <t>FBT161M-T</t>
  </si>
  <si>
    <t>FLM-HN59</t>
  </si>
  <si>
    <t>RFLSD029-FEC</t>
  </si>
  <si>
    <t>FBT162</t>
  </si>
  <si>
    <t>FLM-HN32 (Base-TEC)</t>
  </si>
  <si>
    <t>RS001018-FEC</t>
  </si>
  <si>
    <t>MAIN BASE : 37A3065B</t>
  </si>
  <si>
    <t>FBT162M</t>
  </si>
  <si>
    <t>RFLSD040-FEC</t>
  </si>
  <si>
    <t>PANEL FOR DELIVERY CABLE  FFP1412-M113</t>
  </si>
  <si>
    <t>RFLSD020-FEC</t>
  </si>
  <si>
    <t>QBH FIBER OPTIC CABLE 4-9588X07</t>
  </si>
  <si>
    <t>RFLSD130-FEC</t>
  </si>
  <si>
    <t>ECO SOLDER RMA02 P3 M705 0.6MM</t>
  </si>
  <si>
    <t>RFLSD021-FEC</t>
  </si>
  <si>
    <t>OUTPUT MONITOR PD MODULE</t>
  </si>
  <si>
    <t>RS001016-FEC</t>
  </si>
  <si>
    <t>CLAMP ARM-L : 37A3025C</t>
  </si>
  <si>
    <t>RIDMJ148-SEI</t>
  </si>
  <si>
    <t>BODY CASE FOR WM4 (BLUE)</t>
  </si>
  <si>
    <t>MTC093-5</t>
  </si>
  <si>
    <t>FC (AdPC) COUPLING NUT</t>
  </si>
  <si>
    <t>RS001021-FEC</t>
  </si>
  <si>
    <t>TOP COVER : 37A1041C</t>
  </si>
  <si>
    <t>FS528</t>
  </si>
  <si>
    <t>RS001013-FEC</t>
  </si>
  <si>
    <t>LCD_2.8INCH</t>
  </si>
  <si>
    <t>RFLSD173-FEC</t>
  </si>
  <si>
    <t>HEATSINK : 484-N2668-0001</t>
  </si>
  <si>
    <t>Serial Label</t>
  </si>
  <si>
    <t>RFLSD133-FEC</t>
  </si>
  <si>
    <t>REAR PANEL(A)(B)</t>
  </si>
  <si>
    <t>Serial Label for TOSA (RL@5100 PC)</t>
  </si>
  <si>
    <t>RFLSD134-FEC</t>
  </si>
  <si>
    <t>REAR PANEL(C)</t>
  </si>
  <si>
    <t>RFLSD135-FEC</t>
  </si>
  <si>
    <t>BRACKET(1)</t>
  </si>
  <si>
    <t>FBT186</t>
  </si>
  <si>
    <t>Attention Label</t>
  </si>
  <si>
    <t>R179S662-FEC</t>
  </si>
  <si>
    <t>20030FEC01</t>
  </si>
  <si>
    <t>RKNAI054-SHO</t>
  </si>
  <si>
    <t>RFLFE129-FEC</t>
  </si>
  <si>
    <t>SPACER :484-N2576-1002</t>
  </si>
  <si>
    <t>FBT201M-T</t>
  </si>
  <si>
    <t>SAMPLE-FLM-LC26 (C-Band)</t>
  </si>
  <si>
    <t>RFLFE123-FEC</t>
  </si>
  <si>
    <t>BOARD PANEL :482-N2883-1004</t>
  </si>
  <si>
    <t>RFLSD166-FEC</t>
  </si>
  <si>
    <t>TRUEMODE 1KW FWD PUMPED:7001000-08</t>
  </si>
  <si>
    <t>C345</t>
  </si>
  <si>
    <t xml:space="preserve">MASTER FIBER </t>
  </si>
  <si>
    <t>FBT202M-T</t>
  </si>
  <si>
    <t>SAMPLE-FLM-LC26A (L-Band)</t>
  </si>
  <si>
    <t>RFLSD148-FEC</t>
  </si>
  <si>
    <t>FUSION PLATE</t>
  </si>
  <si>
    <t>RFLFLE16-FEC</t>
  </si>
  <si>
    <t>SUS BAR</t>
  </si>
  <si>
    <t>SHORT BAR 1</t>
  </si>
  <si>
    <t>RFLFLE09-FEC</t>
  </si>
  <si>
    <t>ALUMINIUM GUIDE</t>
  </si>
  <si>
    <t>LD GUIDE 1</t>
  </si>
  <si>
    <t>RFLFE100-FEC</t>
  </si>
  <si>
    <t>HEATSINK:NEW SPECIFICATION</t>
  </si>
  <si>
    <t>FLE</t>
  </si>
  <si>
    <t>FBT204-T</t>
  </si>
  <si>
    <t>SAMPLE-FLM-LC25</t>
  </si>
  <si>
    <t>RSD00021-FEC</t>
  </si>
  <si>
    <t>NLK1E5F1CZ-F</t>
  </si>
  <si>
    <t>Sensor DFB</t>
  </si>
  <si>
    <t>Gaihihaji and Filter Adapter</t>
  </si>
  <si>
    <t>RFLBC112-FEC</t>
  </si>
  <si>
    <t>MEDIUM LENGTH PACKAGE</t>
  </si>
  <si>
    <t>6X1 FLAT TOP MEDIUM PKG:484-N2945-0001</t>
  </si>
  <si>
    <t>R00FA044-SUR</t>
  </si>
  <si>
    <t>PLASTIC BODY FOR FIBER 0,9MM</t>
  </si>
  <si>
    <t>FLM-TH10</t>
  </si>
  <si>
    <t>FBT502</t>
  </si>
  <si>
    <t>HN51</t>
  </si>
  <si>
    <t>RJN00025-FEC</t>
  </si>
  <si>
    <t>FOL15VPDV1</t>
  </si>
  <si>
    <t>FLM-HN49</t>
  </si>
  <si>
    <t>RJN00027-FEC</t>
  </si>
  <si>
    <t>FOL15VBDV1</t>
  </si>
  <si>
    <t>RJN00016-FEC</t>
  </si>
  <si>
    <t>FOL15VADV1</t>
  </si>
  <si>
    <t>RFLSD128-FEC</t>
  </si>
  <si>
    <t>RQB FIBER OPTIC CABLE 103931X07</t>
  </si>
  <si>
    <t>RHB00002-FEC</t>
    <phoneticPr fontId="8" type="noConversion"/>
  </si>
  <si>
    <t>HBCDM</t>
    <phoneticPr fontId="8" type="noConversion"/>
  </si>
  <si>
    <t>PC</t>
    <phoneticPr fontId="8" type="noConversion"/>
  </si>
  <si>
    <t>MAGNET # 1 (8x10 MM)</t>
  </si>
  <si>
    <t>FC002-HASE</t>
  </si>
  <si>
    <t>81B2342B MAGNET#1(8X10 MM)</t>
  </si>
  <si>
    <t>D15-A</t>
    <phoneticPr fontId="8" type="noConversion"/>
  </si>
  <si>
    <t>R1904029-FEC</t>
    <phoneticPr fontId="8" type="noConversion"/>
  </si>
  <si>
    <t>NANO TOSA</t>
    <phoneticPr fontId="8" type="noConversion"/>
  </si>
  <si>
    <t>FC005-PT</t>
  </si>
  <si>
    <t>SHAFT : HINGE SHAFT (81B2345E)</t>
  </si>
  <si>
    <t>FC007-PT</t>
  </si>
  <si>
    <t>COLLAR :OT COLLAR/81B2346A</t>
  </si>
  <si>
    <t>FC008-SUN</t>
  </si>
  <si>
    <t>BEARING : 81B2345A2 WITH FLANGE</t>
  </si>
  <si>
    <t>FC009-PT</t>
  </si>
  <si>
    <t>COLLAR : IN COLLAR (81B2347C)</t>
  </si>
  <si>
    <t>COIL SPRING #WR3-5 : 81B2381</t>
  </si>
  <si>
    <t>FC017-PT</t>
  </si>
  <si>
    <t>SHAFT : IDLER SHAFT (81B2391B)</t>
  </si>
  <si>
    <t>FC018</t>
  </si>
  <si>
    <t>GEAR BOX  : 81B2382I</t>
  </si>
  <si>
    <t>MAGNET # 2 (3x2 MM)</t>
  </si>
  <si>
    <t>FC019-HASE</t>
  </si>
  <si>
    <t>81B2366C MAGNET # 2 (3X2 MM)</t>
  </si>
  <si>
    <t>FC020</t>
  </si>
  <si>
    <t>GEAR PR : 81B2384D</t>
  </si>
  <si>
    <t>FC022-OT</t>
  </si>
  <si>
    <t>SHAFT : CLUTCH SHAFT (81B2386G)</t>
  </si>
  <si>
    <t>FC023</t>
  </si>
  <si>
    <t>GEAR PI : 81B2389E</t>
  </si>
  <si>
    <t>FC024</t>
  </si>
  <si>
    <t>GEAR ID : 81B2390C</t>
  </si>
  <si>
    <t>FC025</t>
  </si>
  <si>
    <t>GEAR BOX COVER : 81B2383G</t>
  </si>
  <si>
    <t>FC027</t>
  </si>
  <si>
    <t>GEAR LA : 81B2388E</t>
  </si>
  <si>
    <t>FC028-KMC</t>
  </si>
  <si>
    <t>SPRING:LA GEAR SPRING (81B2556C)</t>
  </si>
  <si>
    <t>FC030</t>
  </si>
  <si>
    <t>FR ARM : 81B2392I</t>
  </si>
  <si>
    <t>FC031-PT</t>
  </si>
  <si>
    <t>PIN : PARALLEL PIN 2X22 (81B2544B)</t>
  </si>
  <si>
    <t>FC033</t>
  </si>
  <si>
    <t>CAM COVER : 81B2402</t>
  </si>
  <si>
    <t>FC034-OHT</t>
  </si>
  <si>
    <t>ROLLER : 81B2573A</t>
  </si>
  <si>
    <t>FC035-PT</t>
  </si>
  <si>
    <t>SHAFT : FR ARM SHAFT (81B2399B)</t>
  </si>
  <si>
    <t>FC040</t>
  </si>
  <si>
    <t>FRA ARM : 81B2393</t>
  </si>
  <si>
    <t>FC041-PT</t>
  </si>
  <si>
    <t>SHAFT : CAM SHAFT (81B2398C)</t>
  </si>
  <si>
    <t>FC042-BOR</t>
  </si>
  <si>
    <t>CLEAR BUMPON 81B2363E3</t>
  </si>
  <si>
    <t>FC046-OHT</t>
  </si>
  <si>
    <t>SHAFT : BLADE SHAFT (81B2322A)</t>
  </si>
  <si>
    <t>FC050-PT</t>
  </si>
  <si>
    <t>PIN : FEED PIN (81B2327D)</t>
  </si>
  <si>
    <t>FC052-KMC</t>
  </si>
  <si>
    <t>SPRING #5113 : 81B2517A</t>
  </si>
  <si>
    <t>FC055</t>
  </si>
  <si>
    <t>FC057-PT</t>
  </si>
  <si>
    <t>PIN : HD PIN (81B2302E)</t>
  </si>
  <si>
    <t>FC058-RLB</t>
  </si>
  <si>
    <t>LINEAR GUIDE : LWLC7C1R40BE1011</t>
  </si>
  <si>
    <t>FC064</t>
  </si>
  <si>
    <t>TOP COVER : 81B2343G</t>
  </si>
  <si>
    <t>FC066-KMC</t>
  </si>
  <si>
    <t>SPRING #WL2-5 : 81B2522A</t>
  </si>
  <si>
    <t>FC068</t>
  </si>
  <si>
    <t>ADAPTER BASE : 81B2438D</t>
  </si>
  <si>
    <t>FC069-HASE</t>
  </si>
  <si>
    <t>81B2435B MAGNET # 3(10X4X2 MM)</t>
  </si>
  <si>
    <t>FC070</t>
  </si>
  <si>
    <t>ATTACH PLATE : 81B2432</t>
  </si>
  <si>
    <t>FC077-PT</t>
  </si>
  <si>
    <t>PIN : PARALLEL PIN 3X10 (81B2545B)</t>
  </si>
  <si>
    <t>FC079</t>
  </si>
  <si>
    <t>HOOK : 81B2306</t>
  </si>
  <si>
    <t>FC084-PT</t>
  </si>
  <si>
    <t>SHAFT : LEVER SHAFT (81B2312C)</t>
  </si>
  <si>
    <t>FC085</t>
  </si>
  <si>
    <t>FEED CAM : 81B2305H</t>
  </si>
  <si>
    <t>FC087-SUN</t>
  </si>
  <si>
    <t>BEARING : 81B2305E3 SMALL #681H</t>
  </si>
  <si>
    <t>FC088</t>
  </si>
  <si>
    <t>MG RECEIPT PLATE : 81B2304</t>
  </si>
  <si>
    <t>FC089</t>
  </si>
  <si>
    <t>HOLDER STAND (ASSEMBLY) : 81B2361E</t>
  </si>
  <si>
    <t>FC091</t>
  </si>
  <si>
    <t>LEVER : 81B2311G</t>
  </si>
  <si>
    <t>FC092-PT</t>
  </si>
  <si>
    <t>SHAFT : SHAFT (81B2511A)</t>
  </si>
  <si>
    <t>FC098</t>
  </si>
  <si>
    <t>WASTE BOX FOR MIDDLE : 48B2104J</t>
  </si>
  <si>
    <t>FC099</t>
  </si>
  <si>
    <t>WASTE BOX FOR LARGE : 48B2102C</t>
  </si>
  <si>
    <t>FC107</t>
  </si>
  <si>
    <t>FC115</t>
  </si>
  <si>
    <t>SPRING WASHER M3</t>
  </si>
  <si>
    <t>FC117</t>
  </si>
  <si>
    <t>CROSS RECESSED HEAD SCREW M2 X L6,</t>
  </si>
  <si>
    <t>FC118</t>
  </si>
  <si>
    <t>SPRING WASHER M2</t>
  </si>
  <si>
    <t>PLATE WASHER, M2, SMALL TYPE</t>
  </si>
  <si>
    <t>FC120</t>
  </si>
  <si>
    <t>MGP SIM 0.2MM.</t>
  </si>
  <si>
    <t>FC121</t>
  </si>
  <si>
    <t>MGP SIM 0.1MM.</t>
  </si>
  <si>
    <t>FCP01</t>
  </si>
  <si>
    <t>HARD CASE</t>
  </si>
  <si>
    <t>81B2501</t>
  </si>
  <si>
    <t>FCP02</t>
  </si>
  <si>
    <t>150x100</t>
  </si>
  <si>
    <t>FCP03</t>
  </si>
  <si>
    <t>PLASTIC ZIP BAG</t>
  </si>
  <si>
    <t>115x70</t>
  </si>
  <si>
    <t>FCP04</t>
  </si>
  <si>
    <t>125x130x85</t>
  </si>
  <si>
    <t>SPIRAL BASE PLATE</t>
  </si>
  <si>
    <t>FL001-JIN</t>
  </si>
  <si>
    <t>FL002-JIN</t>
  </si>
  <si>
    <t>TRUEMODE LID : 70000314</t>
  </si>
  <si>
    <t>7000292 CLEAR CHROMATE</t>
  </si>
  <si>
    <t>FL003-1</t>
  </si>
  <si>
    <t>FL003-JIN</t>
  </si>
  <si>
    <t>TRUEMODE SIDEWALL</t>
  </si>
  <si>
    <t>TRUEMODE SIDEWALL A : 7000292</t>
  </si>
  <si>
    <t>YBT14-250, PREM CERT FIBER 7000285</t>
  </si>
  <si>
    <t>OPTICAL COMBINER</t>
  </si>
  <si>
    <t>14UM 18+1:1 HP 7000337 (IJWOC)</t>
  </si>
  <si>
    <t>14UM 18+1:1 HP 7000290 (IJWOW)</t>
  </si>
  <si>
    <t>FIBER BRAGG GRATING</t>
  </si>
  <si>
    <t>1070NM CHRPED HR FOR YB CAVITY 7000336</t>
  </si>
  <si>
    <t>1070NM CHRPED OC FOR YB CAVITY 7000413</t>
  </si>
  <si>
    <t>PD SPACER 7000341</t>
  </si>
  <si>
    <t>FL009-PT</t>
  </si>
  <si>
    <t>MATL NYLON : 7000341</t>
  </si>
  <si>
    <t>DCT16-200HI, CERTIFIED FIBER 80851</t>
  </si>
  <si>
    <t>FL011</t>
  </si>
  <si>
    <t>TRUEMODE SIDEWALL 1-INPUT 7000317</t>
  </si>
  <si>
    <t>FL011-1</t>
  </si>
  <si>
    <t>FL011-JIN</t>
  </si>
  <si>
    <t>TRUEMODE SIDEWALL B:7000317CLEAR CHROMAT</t>
  </si>
  <si>
    <t>FL012</t>
  </si>
  <si>
    <t>TRUEMODE SIDEWALL 2-INPUT 7000294</t>
  </si>
  <si>
    <t>FL012-1</t>
  </si>
  <si>
    <t>FL012-JIN</t>
  </si>
  <si>
    <t>TRUEMODE SIDEWALL D:7000294CLEAR CHROMAT</t>
  </si>
  <si>
    <t>PRECUT ARMORED CABLE - 2.125 7000410</t>
  </si>
  <si>
    <t>FL019</t>
  </si>
  <si>
    <t>18-8SS SOCKET HEAD CAPM2/10MM(BX@100PC)</t>
  </si>
  <si>
    <t>FL020</t>
  </si>
  <si>
    <t>ALUM. UNTHREADED SPACER 3/4"OD</t>
  </si>
  <si>
    <t>FL020-1</t>
  </si>
  <si>
    <t>FL020-PT</t>
  </si>
  <si>
    <t>TRUEMODE STANDOFF</t>
  </si>
  <si>
    <t>MATL A 6061 : 7000425</t>
  </si>
  <si>
    <t>FL021</t>
  </si>
  <si>
    <t>MACHINE SCREW, M3 SIZE,10MML(BX@100PC)</t>
  </si>
  <si>
    <t>FL022</t>
  </si>
  <si>
    <t>12 GA PFTE TUBING SWTT-12-C (PC@0.65ME)</t>
  </si>
  <si>
    <t>FL022-CSC</t>
  </si>
  <si>
    <t>12 GA PTFE TUBING (SWTT-12-C)1PC@30.48ME</t>
  </si>
  <si>
    <t>FL023</t>
  </si>
  <si>
    <t>9 GA PFTE TUBING SWTT-09-C (PC@15ME)</t>
  </si>
  <si>
    <t>FL023-CSC</t>
  </si>
  <si>
    <t>9 GA PFTE TUBING (SWTT-09-C)</t>
  </si>
  <si>
    <t>FL024</t>
  </si>
  <si>
    <t>18-8SS SOCKET HEAD M2/8MM(BX@100PC)</t>
  </si>
  <si>
    <t>FL025</t>
  </si>
  <si>
    <t>92010A116  M3 SIZE,6MML(BX@100PC)</t>
  </si>
  <si>
    <t>FL025-EXI</t>
  </si>
  <si>
    <t>92010A116  M3 SIZE,6MML</t>
  </si>
  <si>
    <t>FL026</t>
  </si>
  <si>
    <t>1/8X5/32X0.096 CLAMP 1EMT2 (PK@25PC)</t>
  </si>
  <si>
    <t>FL027</t>
  </si>
  <si>
    <t>18-8 LOCK WASHER M2 93925A210 (BG@100PC)</t>
  </si>
  <si>
    <t>FL027-EXI</t>
  </si>
  <si>
    <t>18-8 LOCK WASHER M2 (93925A210)</t>
  </si>
  <si>
    <t>FL028</t>
  </si>
  <si>
    <t>76555A642 (ROLL@1.5ME)</t>
  </si>
  <si>
    <t>FL028-EXI</t>
  </si>
  <si>
    <t>COPPER TAPE</t>
  </si>
  <si>
    <t>COPPER TAPE: 76555A642 (ROLL@16ME)</t>
  </si>
  <si>
    <t>FL029</t>
  </si>
  <si>
    <t>FLAT POINT 91217A105 SET 2X3 (BG@50PC)</t>
  </si>
  <si>
    <t>FL030</t>
  </si>
  <si>
    <t>TAMPER EVIDENT LABEL (RL@1000PC)</t>
  </si>
  <si>
    <t>FL031</t>
  </si>
  <si>
    <t>SILVER TAPE</t>
  </si>
  <si>
    <t>FOR TERMISTER S-18658 (PC@5ME)</t>
  </si>
  <si>
    <t>FL032</t>
  </si>
  <si>
    <t>BC/LC KRAFT CORRUGATED BOX 7000329</t>
  </si>
  <si>
    <t>FL033</t>
  </si>
  <si>
    <t>FL033-EPE</t>
  </si>
  <si>
    <t>LASER CAVITY FOAM ASSEMBLY</t>
  </si>
  <si>
    <t>PU CUSHION FIBER LASER</t>
  </si>
  <si>
    <t>FL034</t>
  </si>
  <si>
    <t>FL035</t>
  </si>
  <si>
    <t>ULINE POLY BAG S-10947 (PK@100PC)</t>
  </si>
  <si>
    <t>FL037</t>
  </si>
  <si>
    <t>S-6197(ROLL@500PC)</t>
  </si>
  <si>
    <t>FL038</t>
  </si>
  <si>
    <t>4X6 LABEL OFS (ROLL@500PC)</t>
  </si>
  <si>
    <t>FL039</t>
  </si>
  <si>
    <t>DOUBLE-SIDED TAPE 649280</t>
  </si>
  <si>
    <t>FL042</t>
  </si>
  <si>
    <t>FL043</t>
  </si>
  <si>
    <t>4.5X0.50-TT700P</t>
  </si>
  <si>
    <t>FL044</t>
  </si>
  <si>
    <t>KIMTECH WIPES LOW-LINT 1 PLY 4.4 X 8.4</t>
  </si>
  <si>
    <t>FL045</t>
  </si>
  <si>
    <t>TX761</t>
  </si>
  <si>
    <t>FL046</t>
  </si>
  <si>
    <t>CLEAN FOAM SWABS TX751B</t>
  </si>
  <si>
    <t>FL047</t>
  </si>
  <si>
    <t>DCT14/250HI FIBER : 80872</t>
  </si>
  <si>
    <t>FL048</t>
  </si>
  <si>
    <t>DP110 EPOXY 3M 7467A22 (PC@50CC)</t>
  </si>
  <si>
    <t>FL049</t>
  </si>
  <si>
    <t>TL-42 THREADLOCK 92934A420 (BOT@10CC)</t>
  </si>
  <si>
    <t>FL050</t>
  </si>
  <si>
    <t>65-00-T644-0045 (PC@45CC)</t>
  </si>
  <si>
    <t>FL052</t>
  </si>
  <si>
    <t>DOW CORNING SE4486 (PC@330CC)</t>
  </si>
  <si>
    <t>FL054</t>
  </si>
  <si>
    <t>DCT 14-250LI FIBER : 80843</t>
  </si>
  <si>
    <t>FL055</t>
  </si>
  <si>
    <t>PI1463 SMF28/ AK02094-23</t>
  </si>
  <si>
    <t>FL056</t>
  </si>
  <si>
    <t>7000185 HNAP</t>
  </si>
  <si>
    <t>Opt Fiber 50/70/360,NA0.20 : 2-1067X01</t>
  </si>
  <si>
    <t>FL058</t>
  </si>
  <si>
    <t>BLACK SHARPIE MARKER (BOX @12PC)</t>
  </si>
  <si>
    <t>FL059</t>
  </si>
  <si>
    <t>18-8SS SOCKET HEAD 91292A832  (BX@100PC)</t>
  </si>
  <si>
    <t>FL059-MIS</t>
  </si>
  <si>
    <t>18-8SS SOCKET HEAD CAP 2/8MML (SCB2-8)</t>
  </si>
  <si>
    <t>FL060</t>
  </si>
  <si>
    <t>MACHINE SCREW, M3  93705A814 (BX@25PC)</t>
  </si>
  <si>
    <t>FL060-MIS</t>
  </si>
  <si>
    <t>MACHINE SCREW, M3 SIZE, 8M MML (SCB3-8)</t>
  </si>
  <si>
    <t>FL061</t>
  </si>
  <si>
    <t>PD SPACER SCREW, M2x6 91292A831</t>
  </si>
  <si>
    <t>FL061-MIS</t>
  </si>
  <si>
    <t>SCREW, M2X6 SHCS (CSH-SUS-M2-6)</t>
  </si>
  <si>
    <t>FL062</t>
  </si>
  <si>
    <t>93705A802 NYLON CABLE CLAMP SCREW, M2X6</t>
  </si>
  <si>
    <t>FL064</t>
  </si>
  <si>
    <t>7000431:14UM 18+1:1 HP COMBINER TC (XOC)</t>
  </si>
  <si>
    <t>FL065</t>
  </si>
  <si>
    <t>7000430:14UM 18+1:1 HP COMBINER TC (XOW)</t>
  </si>
  <si>
    <t>FL066</t>
  </si>
  <si>
    <t>7000428 : 1070 CHRP HRGEF14/250 TC</t>
  </si>
  <si>
    <t>FL067</t>
  </si>
  <si>
    <t>7000429 : 1070 WIDE CHRP OC GEFT14/250TC</t>
  </si>
  <si>
    <t>YB16-250 : 80874</t>
  </si>
  <si>
    <t>FL070</t>
  </si>
  <si>
    <t>EFIRON UVF PC 373LD (PC@45GRM)</t>
  </si>
  <si>
    <t>FL071</t>
  </si>
  <si>
    <t>DCT16/125LI : 80845</t>
  </si>
  <si>
    <t>FL072</t>
  </si>
  <si>
    <t>Spiral Baseplate : 7000291-1</t>
  </si>
  <si>
    <t>FL073</t>
  </si>
  <si>
    <t>Mode Stripper Lid : 7000473</t>
  </si>
  <si>
    <t>FL074</t>
  </si>
  <si>
    <t>PD Cover Mount : 7000472</t>
  </si>
  <si>
    <t>FL075</t>
  </si>
  <si>
    <t>HEAT TRANSFER TAPE ADHESIVE ROLL@3.66M</t>
  </si>
  <si>
    <t>FL076</t>
  </si>
  <si>
    <t>SCREW M2X4 FOR MS 1BAG/100PC</t>
  </si>
  <si>
    <t>FL077</t>
  </si>
  <si>
    <t>NYLON SOCKET 1/8 1BAG/100PC 95868A130</t>
  </si>
  <si>
    <t>FL078-HAK</t>
  </si>
  <si>
    <t>SI PIN PHOTODIODE</t>
  </si>
  <si>
    <t>SM Fiber tape Yellow/0.3-4</t>
  </si>
  <si>
    <t>FO020</t>
  </si>
  <si>
    <t>WLA-7708119</t>
  </si>
  <si>
    <t>FO021</t>
  </si>
  <si>
    <t>SC FERRULE FOR APC</t>
  </si>
  <si>
    <t>FO022</t>
  </si>
  <si>
    <t>B5404011</t>
  </si>
  <si>
    <t>FO023</t>
  </si>
  <si>
    <t>B5404012</t>
  </si>
  <si>
    <t>FO024</t>
  </si>
  <si>
    <t>B5404013</t>
  </si>
  <si>
    <t>FO025</t>
  </si>
  <si>
    <t>B5404014</t>
  </si>
  <si>
    <t>FO026</t>
  </si>
  <si>
    <t>B5404015</t>
  </si>
  <si>
    <t>FO027</t>
  </si>
  <si>
    <t>B5404016</t>
  </si>
  <si>
    <t>FO028</t>
  </si>
  <si>
    <t>B5404017</t>
  </si>
  <si>
    <t>FO029</t>
  </si>
  <si>
    <t>B5404018</t>
  </si>
  <si>
    <t>FP007</t>
  </si>
  <si>
    <t>FP012</t>
  </si>
  <si>
    <t>SOCKET FRAME  H</t>
  </si>
  <si>
    <t>FP012A</t>
  </si>
  <si>
    <t>FP013</t>
  </si>
  <si>
    <t>SOCKET RING</t>
  </si>
  <si>
    <t>FP015</t>
  </si>
  <si>
    <t>SOCKET FRAME D</t>
  </si>
  <si>
    <t>FPS006</t>
  </si>
  <si>
    <t>FPS007</t>
  </si>
  <si>
    <t>SC-PH PLUG FRAME</t>
  </si>
  <si>
    <t>FPS009</t>
  </si>
  <si>
    <t>FSC STOPPER L (Gray)</t>
  </si>
  <si>
    <t>FPS013</t>
  </si>
  <si>
    <t>Gaihihaji Cover L (Gray)</t>
  </si>
  <si>
    <t>FPS028L</t>
  </si>
  <si>
    <t>F GUIDE-L</t>
  </si>
  <si>
    <t>FPS031L</t>
  </si>
  <si>
    <t>FPS032</t>
  </si>
  <si>
    <t>CABLE HOLDER L FOR FSC</t>
  </si>
  <si>
    <t>COVER HOLDER FOR FAS</t>
  </si>
  <si>
    <t>FPS037-SAN</t>
  </si>
  <si>
    <t>FPS047</t>
  </si>
  <si>
    <t>KSC/APC-F-SM-250-IUN</t>
  </si>
  <si>
    <t>FPS050</t>
  </si>
  <si>
    <t>FPS050-NB</t>
  </si>
  <si>
    <t>FPS051</t>
  </si>
  <si>
    <t>FPS051-NB</t>
  </si>
  <si>
    <t>SQUARE MAGNET 8X3X4</t>
  </si>
  <si>
    <t>MAGNET DIA 6X4</t>
  </si>
  <si>
    <t>MAGNET DIA 4X2</t>
  </si>
  <si>
    <t>#0 PEN HEAD SCREW M2X3L</t>
  </si>
  <si>
    <t>#0 PEN HEAD SCREW M2X6L</t>
  </si>
  <si>
    <t>HEX S/HEAD CAP SCREW M2X4L</t>
  </si>
  <si>
    <t>HEX S/HEAD CAP SCREW M2X5L</t>
  </si>
  <si>
    <t>HEX S/HEAD SET SCREW FLAT M2X3L</t>
  </si>
  <si>
    <t>EXTRA LOW HEAD SCREW M3X6L</t>
  </si>
  <si>
    <t>CROSS RECESSED PAN HEAD SCREW  M2X4L</t>
  </si>
  <si>
    <t>CROSS RECESSED PAN HEAD SCREW  M3X6L</t>
  </si>
  <si>
    <t>P TIGHT NOMAINAL DIAMETER 2X5L</t>
  </si>
  <si>
    <t>P TIGHT NOMAINAL DIAMETER 2X12L</t>
  </si>
  <si>
    <t>CRP/HEAD SCREW W SEMS M3X6L</t>
  </si>
  <si>
    <t>CRP/HEAD SCREW S SEMS M3X6L</t>
  </si>
  <si>
    <t>HEX S/HEAD CAP SCREW W SEMS M3X6L</t>
  </si>
  <si>
    <t>HEX S/HEAD CAP SCREW W/S WASHER M3X6L</t>
  </si>
  <si>
    <t>#0 PEN HEAD SCREW M2.5X4L</t>
  </si>
  <si>
    <t>SUS PARALLEL PIN DIA 1.5H7X20L</t>
  </si>
  <si>
    <t>SUS PARALLEL PIN DIA 5H7X20L</t>
  </si>
  <si>
    <t>C RING TYPE B (NOMAINAL DIAMETER1.6)</t>
  </si>
  <si>
    <t>PARALLEL PIN DIA 2H7X6L</t>
  </si>
  <si>
    <t>SUS PARALLEL PIN DIA 2H7X10L</t>
  </si>
  <si>
    <t>OILES 80 FLANGE BUSHING 0202</t>
  </si>
  <si>
    <t>OILES 80 FLANGE BUSHING 0303</t>
  </si>
  <si>
    <t>HEATER ELEMENT (X178-0007B)</t>
  </si>
  <si>
    <t>ARC UNIT FSU-04S</t>
  </si>
  <si>
    <t>FS048-FTC</t>
  </si>
  <si>
    <t>BRASS BLOCK : 30A2285D</t>
  </si>
  <si>
    <t>FS049-FTC</t>
  </si>
  <si>
    <t>BASE : 30A2337D</t>
  </si>
  <si>
    <t>FS050-FTC</t>
  </si>
  <si>
    <t>ALUMINIUM BLOCK: 30A3100E</t>
  </si>
  <si>
    <t>CAMERA WITH LENS</t>
  </si>
  <si>
    <t>FS064-GEN</t>
  </si>
  <si>
    <t>CD MANUAL_NINJA WITH BOX (14TD069-06)</t>
  </si>
  <si>
    <t>Teflon washer (CC-0204-3)</t>
  </si>
  <si>
    <t>Teflon washer (CC-0204-5)</t>
  </si>
  <si>
    <t>Teflon washer (CC-0204-8)</t>
  </si>
  <si>
    <t>Teflon washer (CC-0204-10)</t>
  </si>
  <si>
    <t>FS076</t>
  </si>
  <si>
    <t>SOCKET HEAD CAP SCREW W SEMS M2X5L</t>
  </si>
  <si>
    <t>FS077</t>
  </si>
  <si>
    <t>BENDING WASHER #3</t>
  </si>
  <si>
    <t>FS078</t>
  </si>
  <si>
    <t>CROSS RECESSED PAN HEAD SCREW S SEMS M3X</t>
  </si>
  <si>
    <t>FS079-SUN</t>
  </si>
  <si>
    <t>MOTOR WITH HARNESS : PG15S-J20-JBB6</t>
  </si>
  <si>
    <t>FS081</t>
  </si>
  <si>
    <t>FIBER CLAMP PIN</t>
  </si>
  <si>
    <t>FS082</t>
  </si>
  <si>
    <t>FS083</t>
  </si>
  <si>
    <t>SPRING COVER (FOR NJ001 M4)</t>
  </si>
  <si>
    <t>FS084</t>
  </si>
  <si>
    <t>ELR-02 ELECTRODE</t>
  </si>
  <si>
    <t>FS085</t>
  </si>
  <si>
    <t>FIBER CLAMP SPRING</t>
  </si>
  <si>
    <t>FS086</t>
  </si>
  <si>
    <t>CANOPY</t>
  </si>
  <si>
    <t>CANOPY FOR NJ001M4</t>
  </si>
  <si>
    <t>FS087</t>
  </si>
  <si>
    <t>SINGLE MODE OPTICAL FIBER</t>
  </si>
  <si>
    <t>DS 0.25MM SINGLE FIBER</t>
  </si>
  <si>
    <t>FS088</t>
  </si>
  <si>
    <t>SM 2-FIBER RIBBON</t>
  </si>
  <si>
    <t>FS089</t>
  </si>
  <si>
    <t>SM 4-FIBER RIBBON</t>
  </si>
  <si>
    <t>FS090</t>
  </si>
  <si>
    <t>DSF 4-FIBER RIBBON</t>
  </si>
  <si>
    <t>FS091</t>
  </si>
  <si>
    <t>NJ001M4 BRAND LABEL</t>
  </si>
  <si>
    <t>FS092-PT</t>
  </si>
  <si>
    <t>CLAMP : SHAFT PARTS 30A2363B</t>
  </si>
  <si>
    <t>FS093-MIZ</t>
  </si>
  <si>
    <t>SUS BAR : PLATE HORN 30A3258G</t>
  </si>
  <si>
    <t>FS094-TNM</t>
  </si>
  <si>
    <t>CANOPY: NJ001M4 30A2361C</t>
  </si>
  <si>
    <t>FS095-KMC</t>
  </si>
  <si>
    <t>SUS LEVER : HEATER CLAMP LEVER/30A3211I</t>
  </si>
  <si>
    <t>FS096-KMC</t>
  </si>
  <si>
    <t>CLAMP : FIBER CLAMP SPRING/30A2369B</t>
  </si>
  <si>
    <t>FS097</t>
  </si>
  <si>
    <t>DS 4-FIBER RIBBON G-316224</t>
  </si>
  <si>
    <t>FS098</t>
  </si>
  <si>
    <t>G316225 FIBER DS 0.25 (Green)</t>
  </si>
  <si>
    <t>FS099-SVI</t>
  </si>
  <si>
    <t>FRW214576LF(PCB1)</t>
  </si>
  <si>
    <t>FS100-SVI</t>
  </si>
  <si>
    <t>FRW214578LF(PCB3)</t>
  </si>
  <si>
    <t>FS101-SVI</t>
  </si>
  <si>
    <t>FRW214581LF(PCB6)</t>
  </si>
  <si>
    <t>FS102-SVI</t>
  </si>
  <si>
    <t>FRW214580LF(PCB5)</t>
  </si>
  <si>
    <t>FS103-SVI</t>
  </si>
  <si>
    <t>FRW214579LF(PCB4)</t>
  </si>
  <si>
    <t>FS104-SVI</t>
  </si>
  <si>
    <t>FRW214577LF(PCB2)</t>
  </si>
  <si>
    <t>FS105</t>
  </si>
  <si>
    <t>SUS HINGE SHAFT</t>
  </si>
  <si>
    <t>HEATER HINGE SHAFT B /30A2321D</t>
  </si>
  <si>
    <t>FS302</t>
  </si>
  <si>
    <t>MOTOR : PG15S-D20-JBV4</t>
  </si>
  <si>
    <t>FS302-SUN</t>
  </si>
  <si>
    <t>MOTOR2(S) : PG15S-D20-JBV4</t>
  </si>
  <si>
    <t>FS303</t>
  </si>
  <si>
    <t>MOTOR : PG15S-D20-JBX8</t>
  </si>
  <si>
    <t>FS303-SUN</t>
  </si>
  <si>
    <t>MOTOR1(L) : PG15S-D20-JBX8</t>
  </si>
  <si>
    <t>FS304-SUN</t>
  </si>
  <si>
    <t>BEARING: PP4239-3709P1</t>
  </si>
  <si>
    <t>BALL BEARING : L-630ZZH P0P25L Y121</t>
  </si>
  <si>
    <t>FS305-SUN</t>
  </si>
  <si>
    <t>BEARING: PP4239-3709P2</t>
  </si>
  <si>
    <t>BALL BEARING(3X7X3) : L-730ZZH P0P24LY12</t>
  </si>
  <si>
    <t>FS306-SUN</t>
  </si>
  <si>
    <t>BEARING: PP4239-3709P4</t>
  </si>
  <si>
    <t>BALL BEARING(4X10X4) : L-1040X2ZZR P0P25</t>
  </si>
  <si>
    <t>FS307-SUN</t>
  </si>
  <si>
    <t>BEARING: PP4239-3709P3</t>
  </si>
  <si>
    <t>BALL BEARING(4X8X3) : L-840ZZH P0P25LY12</t>
  </si>
  <si>
    <t>FS308-SUN</t>
  </si>
  <si>
    <t>BEARING: PP4239-3709P6</t>
  </si>
  <si>
    <t>BALL BEARING(6X10X3) : L-1060ZZH P0P25LY</t>
  </si>
  <si>
    <t>FS309-SUN</t>
  </si>
  <si>
    <t>BEARING: PP4239-3709P5</t>
  </si>
  <si>
    <t>FS310</t>
  </si>
  <si>
    <t>LINEAR GUIDE: LWL5C1R23NE669</t>
  </si>
  <si>
    <t>FS310-RLB</t>
  </si>
  <si>
    <t>LINEAR GUIDE: LWL5C1R23NE702</t>
  </si>
  <si>
    <t>FS311-MIZ</t>
  </si>
  <si>
    <t>SUB BASE: 3PP4239-3617-03</t>
  </si>
  <si>
    <t>FS312-MIZ</t>
  </si>
  <si>
    <t>STOPPER PLATE (LM): 33A2057B</t>
  </si>
  <si>
    <t>FS313-MIZ</t>
  </si>
  <si>
    <t>PLATE-CMOS: 33A2048C</t>
  </si>
  <si>
    <t>FS314-MIZ</t>
  </si>
  <si>
    <t>PLATE-LEAD (PRESS-FIT): 4PP4239-3689-1</t>
  </si>
  <si>
    <t>FS315-MIZ</t>
  </si>
  <si>
    <t>TOP COVER BASE PLATE: 33A2097C</t>
  </si>
  <si>
    <t>FS316-MIZ</t>
  </si>
  <si>
    <t>HEATER UPPER CLAMP: 33A2162D [33A1077D]</t>
  </si>
  <si>
    <t>FS317-MIZ</t>
  </si>
  <si>
    <t>HEATER UNDER CLAMP: 33A1044B</t>
  </si>
  <si>
    <t>FS318-MIZ</t>
  </si>
  <si>
    <t>HC LEVER: 33A1037E</t>
  </si>
  <si>
    <t>FS319-MIZ</t>
  </si>
  <si>
    <t>MAGNET COVER A: 33A1029B</t>
  </si>
  <si>
    <t>FS320-MIZ</t>
  </si>
  <si>
    <t>FIX COVER: 33A1034G</t>
  </si>
  <si>
    <t>FS321-MIZ</t>
  </si>
  <si>
    <t>GND PLATE: 33A2117A</t>
  </si>
  <si>
    <t>FS322-MIZ</t>
  </si>
  <si>
    <t>MOTOR PLATE (CAULKING): 4PP4239-3632-2</t>
  </si>
  <si>
    <t>FS323-MIZ</t>
  </si>
  <si>
    <t>ARC TERMINAL: 33A2080D</t>
  </si>
  <si>
    <t>FS324-MIZ</t>
  </si>
  <si>
    <t>COOLING PLATE: 33A1120E</t>
  </si>
  <si>
    <t>FS325-KMC</t>
  </si>
  <si>
    <t>Z SIM</t>
  </si>
  <si>
    <t>Z SIM: 30A3302B</t>
  </si>
  <si>
    <t>FS326-KMC</t>
  </si>
  <si>
    <t>MG PLATE B</t>
  </si>
  <si>
    <t>MG PLATE B: 33A1069B</t>
  </si>
  <si>
    <t>FS327-KMC</t>
  </si>
  <si>
    <t>LENS-FIX-PLATE: 4PP4239-3682_02</t>
  </si>
  <si>
    <t>FS328-KMC</t>
  </si>
  <si>
    <t>SLE CLAMP SP: 33A1033B</t>
  </si>
  <si>
    <t>FS329-KMC</t>
  </si>
  <si>
    <t>CARRIAGE SPRING : 33A2237C</t>
  </si>
  <si>
    <t>FS330-KMC</t>
  </si>
  <si>
    <t>SPRING-RESET-FCS-M: 4PP4239-3694</t>
  </si>
  <si>
    <t>FS331-KMC</t>
  </si>
  <si>
    <t>LED ARM SPRING: 4PP4239-3661</t>
  </si>
  <si>
    <t>FS332-KMC</t>
  </si>
  <si>
    <t>FB CLAM SP: 33A1053D</t>
  </si>
  <si>
    <t>FS333-KMC</t>
  </si>
  <si>
    <t>SPRING-RESET-FCS: 4PP4239-3692</t>
  </si>
  <si>
    <t>FS334-KMC</t>
  </si>
  <si>
    <t>ARM SPRING</t>
  </si>
  <si>
    <t>ARM SPRING: 33A2013C</t>
  </si>
  <si>
    <t>FS335-OHT</t>
  </si>
  <si>
    <t>CANOPY SHAFT</t>
  </si>
  <si>
    <t>CANOPY SHAFT: 33A2096A</t>
  </si>
  <si>
    <t>FS336-OHT</t>
  </si>
  <si>
    <t>FB SLEEVE: 33A1054B</t>
  </si>
  <si>
    <t>FS337-OHT</t>
  </si>
  <si>
    <t>ARC TERMINAL BASE: 33A2076A</t>
  </si>
  <si>
    <t>FS338-OHT</t>
  </si>
  <si>
    <t>SHOULDER SCREW: 33A2012A</t>
  </si>
  <si>
    <t>FS339-OHT</t>
  </si>
  <si>
    <t>CLAMP WASHER: 33A2069</t>
  </si>
  <si>
    <t>FS340-OHT</t>
  </si>
  <si>
    <t>HINGE : HINGE PIN A/33A2122A</t>
  </si>
  <si>
    <t>FS341-OHT</t>
  </si>
  <si>
    <t>LED ARM SHAFT A: 33A2067A</t>
  </si>
  <si>
    <t>FS342-OHT</t>
  </si>
  <si>
    <t>LED ARM SHAFT B: 33A2068A</t>
  </si>
  <si>
    <t>FS343-OHT</t>
  </si>
  <si>
    <t>GUIDE SHAFT (LM): 33A2019A</t>
  </si>
  <si>
    <t>FS344-OHT</t>
  </si>
  <si>
    <t>WASHER (4X8X1): 33A2041A</t>
  </si>
  <si>
    <t>FS345-OHT</t>
  </si>
  <si>
    <t>WASHER (4X6X1): 33A2037A</t>
  </si>
  <si>
    <t>FS346-OHT</t>
  </si>
  <si>
    <t>SUS SHAFT</t>
  </si>
  <si>
    <t>SUS SHAFT 2X6: 33A2118A</t>
  </si>
  <si>
    <t>FS348-PT</t>
  </si>
  <si>
    <t>HINGE : HINGE PIN B/33A1047D</t>
  </si>
  <si>
    <t>FS349-PT</t>
  </si>
  <si>
    <t>SUS SHAFT 2X 15L: 33A2121A</t>
  </si>
  <si>
    <t>FS350-PT</t>
  </si>
  <si>
    <t>FIX SCREW: 33A2111A</t>
  </si>
  <si>
    <t>FS351-HASE</t>
  </si>
  <si>
    <t>ND-FE-B MAGNET: 33A1061A</t>
  </si>
  <si>
    <t>FS352-HASE</t>
  </si>
  <si>
    <t>ND-FE-B MAGNET: 33A1063A</t>
  </si>
  <si>
    <t>FS353-KDK</t>
  </si>
  <si>
    <t>ARC LOW LINE A: 33A5030</t>
  </si>
  <si>
    <t>FS354-KDK</t>
  </si>
  <si>
    <t>ARC LOW LINE B: 33A5031</t>
  </si>
  <si>
    <t>FS355-NEW</t>
  </si>
  <si>
    <t>SEAL RING : O-RING NBR ID5X1MM</t>
  </si>
  <si>
    <t>FS356-KAN</t>
  </si>
  <si>
    <t>HOLDER : CMOS_IS_SHEET_: 33A2046B</t>
  </si>
  <si>
    <t>FS357-KAN</t>
  </si>
  <si>
    <t>COVER : LED ARM COVER: 33A2094A</t>
  </si>
  <si>
    <t>FS358-KAN</t>
  </si>
  <si>
    <t>RUBBER PLATE:TOP COVER RUBER2: 33A2088B</t>
  </si>
  <si>
    <t>FS359-KAN</t>
  </si>
  <si>
    <t>LCD BASAL SHEET : 33A2120B</t>
  </si>
  <si>
    <t>FS360-KAN</t>
  </si>
  <si>
    <t>RUBBER PLATE:CANOPY RUBBER:4PP4239-3652</t>
  </si>
  <si>
    <t>FS361-KAN</t>
  </si>
  <si>
    <t>RUBBER PLATE:TOP COVER RUBBER:4PP4239-36</t>
  </si>
  <si>
    <t>FS362-FAB</t>
  </si>
  <si>
    <t>PCB ASSEMBLY :LCD MONITOR NO AGING TEST</t>
  </si>
  <si>
    <t>FS363-KDK</t>
  </si>
  <si>
    <t>HARNESS : MOTOR SENSOR HARNESS 105 33A50</t>
  </si>
  <si>
    <t>FS364-KDK</t>
  </si>
  <si>
    <t>HARNESS : MOTOR SENSOR HARNESS 130 33A50</t>
  </si>
  <si>
    <t>FS365-KDK</t>
  </si>
  <si>
    <t>HARNESS : MOTOR SENSOR HARNESS 165 33A50</t>
  </si>
  <si>
    <t>FS366-KDK</t>
  </si>
  <si>
    <t>HARNESS : FIBER SENSOR HARNESS 33A5018</t>
  </si>
  <si>
    <t>FS367-KDK</t>
  </si>
  <si>
    <t>HARNESS : HALL SENSOR HARNESS 33A5019</t>
  </si>
  <si>
    <t>FS368-KDK</t>
  </si>
  <si>
    <t>HARNESS : LOW LED HARNESS 33A5020</t>
  </si>
  <si>
    <t>FS369-KDK</t>
  </si>
  <si>
    <t>FAN : FAN ASSY 33A5021</t>
  </si>
  <si>
    <t>FS370-KDK</t>
  </si>
  <si>
    <t>ARC UNIT : 33A5022</t>
  </si>
  <si>
    <t>FS371-KDK</t>
  </si>
  <si>
    <t>HARNESS : HEATER HALL SENSOR HARNESS 33A</t>
  </si>
  <si>
    <t>FS372-KDK</t>
  </si>
  <si>
    <t>HARNESS : BATTERY HARNESS: 33A5025</t>
  </si>
  <si>
    <t>FS373-KDK</t>
  </si>
  <si>
    <t>FLEXIBLE CABLE : FFC 20P-165: 33A5026</t>
  </si>
  <si>
    <t>FS374-KDK</t>
  </si>
  <si>
    <t>FLEXIBLE CABLE : FFC 20P-115: 33A5027</t>
  </si>
  <si>
    <t>FS375-KDK</t>
  </si>
  <si>
    <t>FLEXIBLE CABLE : FFC 60P-86: 33A5028</t>
  </si>
  <si>
    <t>FS376-KDK</t>
  </si>
  <si>
    <t>FLEXIBLE CABLE : FFC 8P-140: 33A5029</t>
  </si>
  <si>
    <t>FS377-MIZ</t>
  </si>
  <si>
    <t>CLAMP : FIX ARM PLATE 33A2132C</t>
  </si>
  <si>
    <t>FS378-TFJ</t>
  </si>
  <si>
    <t>GEAR : Z-PINION GEAR</t>
  </si>
  <si>
    <t>FS379-TFJ</t>
  </si>
  <si>
    <t>GEAR : XY-GEAR E</t>
  </si>
  <si>
    <t>FS380-TFJ</t>
  </si>
  <si>
    <t>GEAR : GEAR-PINOIN-FCS (Z42)</t>
  </si>
  <si>
    <t>FS381-TFJ</t>
  </si>
  <si>
    <t>GEAR : XY-PINOIN GEAR</t>
  </si>
  <si>
    <t>FS382-FTC</t>
  </si>
  <si>
    <t>PLATE : LED PLATE 33A2063A</t>
  </si>
  <si>
    <t>FS383-FTC</t>
  </si>
  <si>
    <t>MAGNET : MG YOKE 33A1076B</t>
  </si>
  <si>
    <t>FS384-FTC</t>
  </si>
  <si>
    <t>ARC COVER NUT : 33A2071C</t>
  </si>
  <si>
    <t>FS385-FTC</t>
  </si>
  <si>
    <t>BACK HOLD BASE (PRESS-FIT): 3PP4239-3734</t>
  </si>
  <si>
    <t>S947 BATTERY (5S1P 18.5V 3,000MAH)</t>
  </si>
  <si>
    <t>FS387-OHT</t>
  </si>
  <si>
    <t>GEAR : Z-PINOIN GEAR/4PP4239-3628-02</t>
  </si>
  <si>
    <t>FS388-OHT</t>
  </si>
  <si>
    <t>GEAR : XY GEAR E/3PP4239-3635-03</t>
  </si>
  <si>
    <t>FS389-OHT</t>
  </si>
  <si>
    <t>GEAR : GEAR PINION FCS/4PP4239-3686-02</t>
  </si>
  <si>
    <t>FS390-OHT</t>
  </si>
  <si>
    <t>GEAR : XY PINION GEAR/4PP4239-3636-02</t>
  </si>
  <si>
    <t>FS391-CAM</t>
  </si>
  <si>
    <t>ARC TERMINAL BASE COVER:4PP4239-3668</t>
  </si>
  <si>
    <t>FS392-CAM</t>
  </si>
  <si>
    <t>ARC COVER TOP:4PP4239-3676</t>
  </si>
  <si>
    <t>FS393-CAM</t>
  </si>
  <si>
    <t>FB CLAMP BASE:33A1052G</t>
  </si>
  <si>
    <t>FS394-CAM</t>
  </si>
  <si>
    <t>Z-LEAD GEAR(LM):4PP4239-3625</t>
  </si>
  <si>
    <t>FS395-CAM</t>
  </si>
  <si>
    <t>GEAR(Z49):4PP4239-3688</t>
  </si>
  <si>
    <t>FS396-CAM</t>
  </si>
  <si>
    <t>GUIDE LEVER(LM):4PP4239-3743</t>
  </si>
  <si>
    <t>FS397-CAM</t>
  </si>
  <si>
    <t>LINK ARM:4PP4239-3655</t>
  </si>
  <si>
    <t>FS398-CAM</t>
  </si>
  <si>
    <t>NFC HOLDER:4PP4239-3653</t>
  </si>
  <si>
    <t>FS399-CAM</t>
  </si>
  <si>
    <t>Z-COVER(LM):4PP4239-3629</t>
  </si>
  <si>
    <t>FS400-CAM</t>
  </si>
  <si>
    <t>FRAME-FCS:4PP4239-3685</t>
  </si>
  <si>
    <t>FS401-CAM</t>
  </si>
  <si>
    <t>FEED PIECE:33A1059A</t>
  </si>
  <si>
    <t>FS402-CAM</t>
  </si>
  <si>
    <t>ARC COVER BOTTOM:1PP4239-3666</t>
  </si>
  <si>
    <t>FS403-CAM</t>
  </si>
  <si>
    <t>CARRIAGE BASE(LM):4PP4239-3619</t>
  </si>
  <si>
    <t>FS404-CAM</t>
  </si>
  <si>
    <t>Z-FRAME LM(PRESS FIT):PP4239-3646</t>
  </si>
  <si>
    <t>FS405</t>
  </si>
  <si>
    <t>Z CARRIAGE HEAR /14TD040-1-NO.11</t>
  </si>
  <si>
    <t>FS405-CAM</t>
  </si>
  <si>
    <t>BOTTOM COVER(PRESS FIT)</t>
  </si>
  <si>
    <t>FRONT COVER</t>
  </si>
  <si>
    <t>FS410</t>
  </si>
  <si>
    <t>BATTERY CUSHION</t>
  </si>
  <si>
    <t>BATTERY CASE (BOTTOM) PRESS-FIT</t>
  </si>
  <si>
    <t>CANOPY COVER</t>
  </si>
  <si>
    <t>FS414-FTC</t>
  </si>
  <si>
    <t>ABSORBER 01: 33A2113C</t>
  </si>
  <si>
    <t>FS415</t>
  </si>
  <si>
    <t>ABSORBER 02</t>
  </si>
  <si>
    <t>FS415-FTC</t>
  </si>
  <si>
    <t>ABSORBER 02: 33A2114C</t>
  </si>
  <si>
    <t>FS416-FTC</t>
  </si>
  <si>
    <t>PLASTIC COVER : TERMINAL COVER/33A2127E</t>
  </si>
  <si>
    <t>FS418</t>
  </si>
  <si>
    <t>MAIN BASE</t>
  </si>
  <si>
    <t>GUIDE BASE (PRESS FIT)</t>
  </si>
  <si>
    <t>LEAD SCREW (LM)</t>
  </si>
  <si>
    <t>FS423</t>
  </si>
  <si>
    <t>LENS MOUNT D</t>
  </si>
  <si>
    <t>SHAFT LEAD FCS</t>
  </si>
  <si>
    <t>FS425</t>
  </si>
  <si>
    <t>SENSOR SPACER</t>
  </si>
  <si>
    <t>FS427</t>
  </si>
  <si>
    <t>DIFFUSER</t>
  </si>
  <si>
    <t>FS428</t>
  </si>
  <si>
    <t>FS430</t>
  </si>
  <si>
    <t>PLASTIC SUB CASE</t>
  </si>
  <si>
    <t>HEATER CASE</t>
  </si>
  <si>
    <t>HEATER COVER</t>
  </si>
  <si>
    <t>HEATER CLAMP BASE R</t>
  </si>
  <si>
    <t>FS435</t>
  </si>
  <si>
    <t>ASSIST TSP</t>
  </si>
  <si>
    <t>FS435-KMC</t>
  </si>
  <si>
    <t>SPRING : ASSIST TSP/33A1072C</t>
  </si>
  <si>
    <t>FS436</t>
  </si>
  <si>
    <t>CLAMP R-SP50</t>
  </si>
  <si>
    <t>FS436-KMC</t>
  </si>
  <si>
    <t>SPRING : CLAMP R-SP/33A2154A</t>
  </si>
  <si>
    <t>FS437-FTC</t>
  </si>
  <si>
    <t>RUBBER SEAL: PRESSING RUBBER/33A2133A</t>
  </si>
  <si>
    <t>FS439</t>
  </si>
  <si>
    <t>FS440</t>
  </si>
  <si>
    <t>CROSS RECESSED PAN HEAD SCREW  M2X5L</t>
  </si>
  <si>
    <t>FS441</t>
  </si>
  <si>
    <t>CROSS RECESSED PAN HEAD SCREW  M2X3L</t>
  </si>
  <si>
    <t>FS442</t>
  </si>
  <si>
    <t>CROSS RECESSED PAN HEAD SCREW  M2.5X5L</t>
  </si>
  <si>
    <t>FS443</t>
  </si>
  <si>
    <t>CRO.REC.PAN HEAD SCREW S SEMS P=2 3X8L</t>
  </si>
  <si>
    <t>FS444</t>
  </si>
  <si>
    <t>CRO.REC.PAN HEAD SCREW W SEMS I=4 2X5L</t>
  </si>
  <si>
    <t>FS445</t>
  </si>
  <si>
    <t>CRO.REC.PAN HEAD SCREW W SEMS I=4 M3X40L</t>
  </si>
  <si>
    <t>FS446</t>
  </si>
  <si>
    <t>CRO.REC.PAN HEAD SCREW W SEMS I=4 M3X5L</t>
  </si>
  <si>
    <t>FS447</t>
  </si>
  <si>
    <t>CRO.REC.PAN HEAD SCREW W SEMS I=4 M3X8L</t>
  </si>
  <si>
    <t>FS448</t>
  </si>
  <si>
    <t>CRO.REC.PAN HEAD SCREW W SEMS I=3 M2X4L</t>
  </si>
  <si>
    <t>FS449</t>
  </si>
  <si>
    <t>CR0.RE.PAN H.SCREW W SEMS P3(OLD JIS)2X4</t>
  </si>
  <si>
    <t>FS450</t>
  </si>
  <si>
    <t>#0 PEN HEAD SCREW M1.6X4L</t>
  </si>
  <si>
    <t>FS451</t>
  </si>
  <si>
    <t>FS452</t>
  </si>
  <si>
    <t>#0 PEN HEAD SCREW M2X5L</t>
  </si>
  <si>
    <t>FS453</t>
  </si>
  <si>
    <t>HEXAGON SOCKET HEAD CAP SCREW M2X4L</t>
  </si>
  <si>
    <t>FS454</t>
  </si>
  <si>
    <t>HEXAGON SOCKET HEAD CAP SCREW M2X5L</t>
  </si>
  <si>
    <t>FS455</t>
  </si>
  <si>
    <t>HEXAGON SOCKET HEAD CAP SCREW M2X6L</t>
  </si>
  <si>
    <t>FS456</t>
  </si>
  <si>
    <t>HEX.SOCKET H.CAP SCREW S SEMS P2 M2X6L</t>
  </si>
  <si>
    <t>FS457</t>
  </si>
  <si>
    <t>HEX.SOCKET H.CAP SCREW W SEMS I=3 M2X6L</t>
  </si>
  <si>
    <t>FS458</t>
  </si>
  <si>
    <t>HEX.SOCKET H.CAP SCREW W SEMS I3 2.5X5L</t>
  </si>
  <si>
    <t>FS459</t>
  </si>
  <si>
    <t>HEX.SOCKET H.CAP SCREW W SEM I4 M2.5X6L</t>
  </si>
  <si>
    <t>FS460</t>
  </si>
  <si>
    <t>FS461</t>
  </si>
  <si>
    <t>FS462</t>
  </si>
  <si>
    <t>HEX.SOCKET H.CAP SCREW M2X3L FLAT POINT</t>
  </si>
  <si>
    <t>FS463</t>
  </si>
  <si>
    <t>HEX.SOCKET H.CAP SCREW M3X10L FLAT POINT</t>
  </si>
  <si>
    <t>FS464</t>
  </si>
  <si>
    <t>HEX.SCK H.CAP SCREW M3X3L TRUNCATED CONE</t>
  </si>
  <si>
    <t>FS465</t>
  </si>
  <si>
    <t>HEXAGON SOCKET BUTTON HEAD SCREW M3X6L</t>
  </si>
  <si>
    <t>FS466</t>
  </si>
  <si>
    <t>WAVE WASHER MB3212</t>
  </si>
  <si>
    <t>FS467</t>
  </si>
  <si>
    <t>PLAIN WASHER (NOMINAL DIAMETER 2.3)</t>
  </si>
  <si>
    <t>FS468</t>
  </si>
  <si>
    <t>PLAIN WASHER (NOMINAL DIAMETER 2.6)</t>
  </si>
  <si>
    <t>FS469</t>
  </si>
  <si>
    <t>SMALL PLAIN WASHER (NOMINAL DIAMETER 3)</t>
  </si>
  <si>
    <t>FS470</t>
  </si>
  <si>
    <t>HEXAGON NUT M2 TYPE 2</t>
  </si>
  <si>
    <t>FS471</t>
  </si>
  <si>
    <t>HEXAGON NUT M2.5 TYPE 2</t>
  </si>
  <si>
    <t>FS472</t>
  </si>
  <si>
    <t>HEXAGON NUT M3 TYPE 2</t>
  </si>
  <si>
    <t>FS473</t>
  </si>
  <si>
    <t>RETAINING RING - E TYPE (DIAMETER 2)</t>
  </si>
  <si>
    <t>FS475</t>
  </si>
  <si>
    <t>SPRING WASHER M4</t>
  </si>
  <si>
    <t>FS476</t>
  </si>
  <si>
    <t>HEAT SHRINKABLE TUBE 8</t>
  </si>
  <si>
    <t>FS478</t>
  </si>
  <si>
    <t>FS479</t>
  </si>
  <si>
    <t>NFC BOARD</t>
  </si>
  <si>
    <t>FS480</t>
  </si>
  <si>
    <t>FS481</t>
  </si>
  <si>
    <t>FS482</t>
  </si>
  <si>
    <t>HALL ELEMENT BOARD</t>
  </si>
  <si>
    <t>CMOS CAMERA (IIB)</t>
  </si>
  <si>
    <t>FS488</t>
  </si>
  <si>
    <t>FS490-NAK</t>
  </si>
  <si>
    <t>FS493</t>
  </si>
  <si>
    <t>GEAR</t>
  </si>
  <si>
    <t>Z-PINION GEAR</t>
  </si>
  <si>
    <t>FS494</t>
  </si>
  <si>
    <t>XY GEAR</t>
  </si>
  <si>
    <t>FS495</t>
  </si>
  <si>
    <t>XY PINION GEAR</t>
  </si>
  <si>
    <t>FS496</t>
  </si>
  <si>
    <t>FCS PINION GEAR</t>
  </si>
  <si>
    <t>FS497</t>
  </si>
  <si>
    <t>RETAINING RING - E TYPE (DIAMETER 1.5)</t>
  </si>
  <si>
    <t>FS498</t>
  </si>
  <si>
    <t>LICENESE LABEL</t>
  </si>
  <si>
    <t>FS499</t>
  </si>
  <si>
    <t>SHIELD FILM</t>
  </si>
  <si>
    <t>FS500</t>
  </si>
  <si>
    <t>PCB ASSEMBLY : PCBA LED PART</t>
  </si>
  <si>
    <t>FS501</t>
  </si>
  <si>
    <t>HEAT TRANSFER SHEET</t>
  </si>
  <si>
    <t>FS502</t>
  </si>
  <si>
    <t>V SIM 0.1</t>
  </si>
  <si>
    <t>FS505</t>
  </si>
  <si>
    <t>HEXAGON SOCKET HEAD CAP SCREW W SEMS I=4</t>
  </si>
  <si>
    <t>FS506</t>
  </si>
  <si>
    <t>V SIM 0.05</t>
  </si>
  <si>
    <t>FS507</t>
  </si>
  <si>
    <t>HEXAGON SOCKET HEAD CAP SCREW M2X3L FLA</t>
  </si>
  <si>
    <t>FS508-BOR</t>
  </si>
  <si>
    <t>BUMPON : CLEAR BUMPON</t>
  </si>
  <si>
    <t>FS509</t>
  </si>
  <si>
    <t>SQUARE MAGNET 8X3X5MM</t>
  </si>
  <si>
    <t>FS510</t>
  </si>
  <si>
    <t>SPRING-RESET-FCS-M</t>
  </si>
  <si>
    <t>FS511</t>
  </si>
  <si>
    <t>3X3 MAGNET N-40 (NEO035)</t>
  </si>
  <si>
    <t>FS512</t>
  </si>
  <si>
    <t>PLATE</t>
  </si>
  <si>
    <t>WATER PROOF PLATE</t>
  </si>
  <si>
    <t>FS513</t>
  </si>
  <si>
    <t>SPONGE SEAL</t>
  </si>
  <si>
    <t>HEATER SPONGE SEAL</t>
  </si>
  <si>
    <t>FS514</t>
  </si>
  <si>
    <t>HF CLAMP SPRING</t>
  </si>
  <si>
    <t>FS515-JPM</t>
  </si>
  <si>
    <t>CABLE TIES INSULATION LOCK : T18S</t>
  </si>
  <si>
    <t>FS516-GEN</t>
  </si>
  <si>
    <t>CD MANUAL FOR FUSION SPLICER S179</t>
  </si>
  <si>
    <t>CD MANUAL_FUSION SPLICER S179 (33A1130C)</t>
  </si>
  <si>
    <t>FS517</t>
  </si>
  <si>
    <t>TOP COVER BASE PLATE: 33A2097</t>
  </si>
  <si>
    <t>FS518-MIZ</t>
  </si>
  <si>
    <t>STOPPER PLATE (LM)-T1.0 : 33A2146A</t>
  </si>
  <si>
    <t>FS519-RLB</t>
  </si>
  <si>
    <t>LINEAR GUIDE: LWL7C1R30BT1H</t>
  </si>
  <si>
    <t>GUIDE ARM 33A2007D</t>
  </si>
  <si>
    <t>MAIN BASE PP4239-40843 [40285]</t>
  </si>
  <si>
    <t>FS523</t>
  </si>
  <si>
    <t>FRAME FCS 33A2212E</t>
  </si>
  <si>
    <t>HEATER COVER HEAT PRESS FIT 33A2125C [33</t>
  </si>
  <si>
    <t>FS527</t>
  </si>
  <si>
    <t>BATTERY CASE (BOTTOM) PRESS-FIT 33A2099D</t>
  </si>
  <si>
    <t>BOTTOM COVER(PRESS FIT) 33A2106C [33A210</t>
  </si>
  <si>
    <t>TOP COVER(PRESS FIT) 33A2082K [33A2083K]</t>
  </si>
  <si>
    <t>Z CARRIAGE HEAT PRESS FIT 33A2201C [33A2</t>
  </si>
  <si>
    <t>FS533</t>
  </si>
  <si>
    <t>CANOPY RUBBER 33A2091C</t>
  </si>
  <si>
    <t>FS534</t>
  </si>
  <si>
    <t>FS535</t>
  </si>
  <si>
    <t>LEAD SCREW (LM) 33A2024D</t>
  </si>
  <si>
    <t>HEATER ELEMENT  ( X179-0241A)</t>
  </si>
  <si>
    <t>FS537-CAM</t>
  </si>
  <si>
    <t>Z-FRAME LM (PRESS FIT) 33A2020E</t>
  </si>
  <si>
    <t>FS538-CAM</t>
  </si>
  <si>
    <t>CARRIAGE BASE (LM) 33A2017D</t>
  </si>
  <si>
    <t>FS539-CAM</t>
  </si>
  <si>
    <t>ARC COVER BOTTOM 33A2075G</t>
  </si>
  <si>
    <t>FS540-CAM</t>
  </si>
  <si>
    <t>FEED PIECE 33A1059G</t>
  </si>
  <si>
    <t>FS541-FTC</t>
  </si>
  <si>
    <t>ARC COVER NUT (PRESS FIT) 33A2071D [33A2</t>
  </si>
  <si>
    <t>FS542-HASE</t>
  </si>
  <si>
    <t>NEODYMIUM MAGNET 3X3 33A1078B</t>
  </si>
  <si>
    <t>FS543-KAN</t>
  </si>
  <si>
    <t>LED ARM COVER : 33A2094C</t>
  </si>
  <si>
    <t>FS544-KMC</t>
  </si>
  <si>
    <t>HF CLAMP SP 33A2159C</t>
  </si>
  <si>
    <t>FS545-KMC</t>
  </si>
  <si>
    <t>LED ARM SPRING 33A2064C</t>
  </si>
  <si>
    <t>FS546-KMC</t>
  </si>
  <si>
    <t>SLE CLAMP SP 33A1033F</t>
  </si>
  <si>
    <t>FS547-KMC</t>
  </si>
  <si>
    <t>LENS-FIX-PLATE 33A2045D</t>
  </si>
  <si>
    <t>FS548</t>
  </si>
  <si>
    <t>MG PLATE B 33A1069D</t>
  </si>
  <si>
    <t>FS548-KMC</t>
  </si>
  <si>
    <t>MG PLATE B 33A1069G</t>
  </si>
  <si>
    <t>FS549</t>
  </si>
  <si>
    <t>Z SIM T0.1</t>
  </si>
  <si>
    <t>FS549-KMC</t>
  </si>
  <si>
    <t>Z SIM T0.1 33A2206B</t>
  </si>
  <si>
    <t>FS550</t>
  </si>
  <si>
    <t>Z SIM T0.05</t>
  </si>
  <si>
    <t>FS550-KMC</t>
  </si>
  <si>
    <t>Z SIM T0.05 33A2207B</t>
  </si>
  <si>
    <t>FS551</t>
  </si>
  <si>
    <t>PLATE HORN 1A 33A2202B</t>
  </si>
  <si>
    <t>FS551-MIZ</t>
  </si>
  <si>
    <t>MOTOR PLATE (CAULKING) 33A2033C [2034G,2</t>
  </si>
  <si>
    <t>FS553-MIZ</t>
  </si>
  <si>
    <t>MOTOR PLATE (CAULKING) 33A2033C</t>
  </si>
  <si>
    <t>FS557</t>
  </si>
  <si>
    <t>HEXAGON SOCKET SET SCREW M2.5X3L FLAT PO</t>
  </si>
  <si>
    <t>FS558</t>
  </si>
  <si>
    <t>TOOTHED WASHER EXTERNAL M3</t>
  </si>
  <si>
    <t>FS559</t>
  </si>
  <si>
    <t>LENS MOUNT E PP4239-4054_01 [40454]</t>
  </si>
  <si>
    <t>FS560</t>
  </si>
  <si>
    <t>SILICONE WASHER</t>
  </si>
  <si>
    <t>SILICONE WASHER 33A2216B</t>
  </si>
  <si>
    <t>FS561</t>
  </si>
  <si>
    <t>CROSS RECESSED PAN HEAD SCREW S SEMS P=1</t>
  </si>
  <si>
    <t>FS562</t>
  </si>
  <si>
    <t>HEXAGON SOCKET HEAD CAP SCREW W SEMS I=3</t>
  </si>
  <si>
    <t>FS563</t>
  </si>
  <si>
    <t>FS564</t>
  </si>
  <si>
    <t>FS565</t>
  </si>
  <si>
    <t>FS566-FTC</t>
  </si>
  <si>
    <t>FCS-LM-FIX-PLATE 33A2227C</t>
  </si>
  <si>
    <t>FS567-FTC</t>
  </si>
  <si>
    <t>ABSORBER-BACK-RIGHT  : 33A2220F-1</t>
  </si>
  <si>
    <t>ABSORBER-LEFT-BACK 33A2220E-2</t>
  </si>
  <si>
    <t>FS568-FTC</t>
  </si>
  <si>
    <t>ABSORBER-BACK-LEFT  : 33A2220F-2</t>
  </si>
  <si>
    <t>FS569-FTC</t>
  </si>
  <si>
    <t>ABSORBER-FRONT-RIGHT  : 33A2222E-1</t>
  </si>
  <si>
    <t>FS570-FTC</t>
  </si>
  <si>
    <t>ABSORBER-FRONT-LEFT  : 33A2222E-2</t>
  </si>
  <si>
    <t>FS571-JIN</t>
  </si>
  <si>
    <t>PLATE-NUT</t>
  </si>
  <si>
    <t>FS572-KDK</t>
  </si>
  <si>
    <t>GND HARNESS 33A2252A</t>
  </si>
  <si>
    <t>FS573-KMC</t>
  </si>
  <si>
    <t>SPRING-RESET-FCS 33A2056C</t>
  </si>
  <si>
    <t>FS574-KMC</t>
  </si>
  <si>
    <t>TENSION SPRING 33A2258B</t>
  </si>
  <si>
    <t>FS575</t>
  </si>
  <si>
    <t>CARRIAGE-ARM-B 33A2245D</t>
  </si>
  <si>
    <t>FS575-KMC</t>
  </si>
  <si>
    <t>CARRIAGE-ARM-B 33A2245G</t>
  </si>
  <si>
    <t>FS577</t>
  </si>
  <si>
    <t>WASHER 7.8X3.3X0.5 33A2217A</t>
  </si>
  <si>
    <t>FS577-MIZ</t>
  </si>
  <si>
    <t>FS581-OHT</t>
  </si>
  <si>
    <t>SUS BASE</t>
  </si>
  <si>
    <t>MAIN-BASE-COLLAR 33A2215C</t>
  </si>
  <si>
    <t>FS582</t>
  </si>
  <si>
    <t>SHIM RINGS 0.1 (FOR OUTER RING)</t>
  </si>
  <si>
    <t>FS583</t>
  </si>
  <si>
    <t>SHIM RINGS 0.1 (FOR INNER RING)</t>
  </si>
  <si>
    <t>FS584</t>
  </si>
  <si>
    <t>SHIM RINGS 0.05 (FOR OUTER RING)</t>
  </si>
  <si>
    <t>FS585</t>
  </si>
  <si>
    <t>SHIM RINGS 0.05 (FOR INNER RING)</t>
  </si>
  <si>
    <t>FS586-HASE</t>
  </si>
  <si>
    <t>SQUARE MAGNET 8X3X5(N46H) 33A1074B</t>
  </si>
  <si>
    <t>FS587</t>
  </si>
  <si>
    <t>TOP COVER INSIDE SPONGE 33A2269A</t>
  </si>
  <si>
    <t>FS588</t>
  </si>
  <si>
    <t>Z SIM t0.2 33A2257B</t>
  </si>
  <si>
    <t>LENS MOUNT E 33A2239B</t>
  </si>
  <si>
    <t>FS592</t>
  </si>
  <si>
    <t>Z SIM T0.02 : 33A2270A</t>
  </si>
  <si>
    <t>FS593-NAK</t>
  </si>
  <si>
    <t>HARD CARRING CASE</t>
  </si>
  <si>
    <t>CARRYING CASE NEW-S179</t>
  </si>
  <si>
    <t>G007</t>
  </si>
  <si>
    <t>KANTAN SC HOUSING /E-0995</t>
  </si>
  <si>
    <t>G011</t>
  </si>
  <si>
    <t>CABLE HOLDER</t>
  </si>
  <si>
    <t>G019</t>
  </si>
  <si>
    <t xml:space="preserve">F GUIDE-L		</t>
  </si>
  <si>
    <t>G022</t>
  </si>
  <si>
    <t>G024</t>
  </si>
  <si>
    <t>LMR COVER 1</t>
  </si>
  <si>
    <t>G043-SHIN</t>
  </si>
  <si>
    <t>FSC KUSABI-2</t>
  </si>
  <si>
    <t>G043-SHIN-NB</t>
  </si>
  <si>
    <t>G044-GOKO</t>
  </si>
  <si>
    <t>SPRING : SE110138B</t>
  </si>
  <si>
    <t>G045</t>
  </si>
  <si>
    <t>GLU001</t>
  </si>
  <si>
    <t>EPOXY ADHESIVE</t>
  </si>
  <si>
    <t>EPICLON 830-S</t>
  </si>
  <si>
    <t>GLU002</t>
  </si>
  <si>
    <t>PHOTO-ACID CPI-101A</t>
  </si>
  <si>
    <t>GLU003</t>
  </si>
  <si>
    <t>SAN-AID SI-80L</t>
  </si>
  <si>
    <t>GLU004</t>
  </si>
  <si>
    <t>COUPLING SOLVENT</t>
  </si>
  <si>
    <t>COUPLING KBM-403(KG@1000CC)</t>
  </si>
  <si>
    <t>GLU005</t>
  </si>
  <si>
    <t>LIQUID EPOXY RESIN</t>
  </si>
  <si>
    <t>FILLER FG-15(KG@1000GM)</t>
  </si>
  <si>
    <t>GLU006</t>
  </si>
  <si>
    <t>FILLER SG-95</t>
  </si>
  <si>
    <t>ICR001</t>
  </si>
  <si>
    <t>TIA</t>
  </si>
  <si>
    <t>ICR002</t>
  </si>
  <si>
    <t>CERAMIC CAPACITOR</t>
  </si>
  <si>
    <t>2ARRAY-LPF</t>
  </si>
  <si>
    <t>ICR003</t>
  </si>
  <si>
    <t>100pF-CAPACITOR</t>
  </si>
  <si>
    <t>ICR004</t>
  </si>
  <si>
    <t>0.1uF-CAPACITOR (GMA05XB30J104ME12T)</t>
  </si>
  <si>
    <t>ICR005</t>
  </si>
  <si>
    <t>2200pF-CAPACITOR (GMA05XB11C222MA01T)</t>
  </si>
  <si>
    <t>ICR006</t>
  </si>
  <si>
    <t>CuW CARRIER 2.4</t>
  </si>
  <si>
    <t>ICR007</t>
  </si>
  <si>
    <t>DC BLOCK (0.1uF)  (GMD033R60J104KE11)</t>
  </si>
  <si>
    <t>ICR008</t>
  </si>
  <si>
    <t>PACKAGE 2.0 16x30</t>
  </si>
  <si>
    <t>ICR009</t>
  </si>
  <si>
    <t>DPOH  SUB ASSY</t>
  </si>
  <si>
    <t>ICR010</t>
  </si>
  <si>
    <t>LID 2.0 16x30</t>
  </si>
  <si>
    <t>ICR011</t>
  </si>
  <si>
    <t>FLAPASG01E</t>
  </si>
  <si>
    <t>ICR012</t>
  </si>
  <si>
    <t>SM FIBER</t>
  </si>
  <si>
    <t>ICR013</t>
  </si>
  <si>
    <t>PM FIBER</t>
  </si>
  <si>
    <t>ICR014</t>
  </si>
  <si>
    <t>FERRULE COLLAR 3.5</t>
  </si>
  <si>
    <t>ICR015</t>
  </si>
  <si>
    <t>ICR016</t>
  </si>
  <si>
    <t>ICR017</t>
  </si>
  <si>
    <t>ICR018</t>
  </si>
  <si>
    <t>CONDUCTIVE SPONGE</t>
  </si>
  <si>
    <t>ICR019</t>
  </si>
  <si>
    <t>GEN2.0 TIA ASSY.</t>
  </si>
  <si>
    <t>ICR020</t>
  </si>
  <si>
    <t>SERIAL LABEL 11X19</t>
  </si>
  <si>
    <t>IDC001-1</t>
  </si>
  <si>
    <t>64-fiber IDM cable (PC@15ME)</t>
  </si>
  <si>
    <t>64-fiber IDM cable GP-R MU (PC@15ME)</t>
  </si>
  <si>
    <t>64-fiber IDM cable G-R MU (PC@15ME)</t>
  </si>
  <si>
    <t>64-fiber IDM cable SC2 (PC@15ME)</t>
  </si>
  <si>
    <t>64-fiber IDM cable GP-R MU (PC@20ME)</t>
  </si>
  <si>
    <t>IDC001-2GRMU</t>
  </si>
  <si>
    <t>64-fiber IDM cable G-R MU (PC@20ME)</t>
  </si>
  <si>
    <t>64-fiber IDM cable SC2 (PC@20ME)</t>
  </si>
  <si>
    <t>64-fiber IDM cable GP-R MU (PC@25ME)</t>
  </si>
  <si>
    <t>64-fiber IDM cable G-R MU (PC@25ME)</t>
  </si>
  <si>
    <t>64-fiber IDM cable SC2 (PC@25ME)</t>
  </si>
  <si>
    <t>64-fiber IDM cable GP-R MU (PC@30ME)</t>
  </si>
  <si>
    <t>64-fiber IDM cable G-R MU (PC@30ME)</t>
  </si>
  <si>
    <t>64-fiber IDM cable SC2 (PC@30ME)</t>
  </si>
  <si>
    <t>IDC002</t>
  </si>
  <si>
    <t>Silicone tube</t>
  </si>
  <si>
    <t>IDC003</t>
  </si>
  <si>
    <t>Snake tube</t>
  </si>
  <si>
    <t>IDC005</t>
  </si>
  <si>
    <t>Red tape (Roll@30ME)</t>
  </si>
  <si>
    <t>IDC006</t>
  </si>
  <si>
    <t>Blue tape (Roll@30ME)</t>
  </si>
  <si>
    <t>IDC007</t>
  </si>
  <si>
    <t>Clear sheet for product  Label</t>
  </si>
  <si>
    <t>IDC009</t>
  </si>
  <si>
    <t>PLASTIC SHEET</t>
  </si>
  <si>
    <t>CALCIUM CARBONATE PLASTIC SHEET (R@1000)</t>
  </si>
  <si>
    <t>IDC010</t>
  </si>
  <si>
    <t>PLASTIC ROPE</t>
  </si>
  <si>
    <t>Cable ties string (Vinyl string@3600ME)</t>
  </si>
  <si>
    <t>IDC011</t>
  </si>
  <si>
    <t>Zip bag for MU</t>
  </si>
  <si>
    <t>IDC012</t>
  </si>
  <si>
    <t>Zip bag for SC2</t>
  </si>
  <si>
    <t>IDC013</t>
  </si>
  <si>
    <t>White tape SPV-202 (Roll@30ME)</t>
  </si>
  <si>
    <t>IDC014</t>
  </si>
  <si>
    <t>White masking tape #251 (Roll@18ME)</t>
  </si>
  <si>
    <t>IDC015</t>
  </si>
  <si>
    <t>ADHESIVE SCOTCH TAPE</t>
  </si>
  <si>
    <t>Yellow tape #247N (Roll@50ME)</t>
  </si>
  <si>
    <t>IDC016</t>
  </si>
  <si>
    <t>Clear PE tape #631S (Roll@30ME)</t>
  </si>
  <si>
    <t>IDC017</t>
  </si>
  <si>
    <t>Double side tape (Roll@18ME)</t>
  </si>
  <si>
    <t>IDH00003-SEI</t>
  </si>
  <si>
    <t>LEVER SWITCH BOARD</t>
  </si>
  <si>
    <t>IDH00004-SEI</t>
  </si>
  <si>
    <t>PD BOARD</t>
  </si>
  <si>
    <t>IDH00005-SEI</t>
  </si>
  <si>
    <t>WIRE HARNESS(SWITCH BOARD)</t>
  </si>
  <si>
    <t>CASE BOTTOM (84B2002A)</t>
  </si>
  <si>
    <t>IDH004</t>
  </si>
  <si>
    <t>HEAD COVER (84B2004A)</t>
  </si>
  <si>
    <t>IDH005</t>
  </si>
  <si>
    <t>BATTERY LOCK (84B2005A)</t>
  </si>
  <si>
    <t>LEVER (84B2006A)</t>
  </si>
  <si>
    <t>IDH007</t>
  </si>
  <si>
    <t>OPERATION PANEL (84B2008A)</t>
  </si>
  <si>
    <t>IDH008</t>
  </si>
  <si>
    <t>PISTON SHAFT (84B2009A)</t>
  </si>
  <si>
    <t>MECH. BASE (84B2010A)</t>
  </si>
  <si>
    <t>IDH011</t>
  </si>
  <si>
    <t>PD HOLDER (84B2012A)</t>
  </si>
  <si>
    <t>IDH013</t>
  </si>
  <si>
    <t>SPRING END (84B2014A)</t>
  </si>
  <si>
    <t>IDH014</t>
  </si>
  <si>
    <t>BATTERY LOCK SPRING (84B2015A)</t>
  </si>
  <si>
    <t>IDH015</t>
  </si>
  <si>
    <t>BATTERY KANAGU (84B2016A)</t>
  </si>
  <si>
    <t>IDH016</t>
  </si>
  <si>
    <t>BATTERY LEVER</t>
  </si>
  <si>
    <t>BATTERY KANAGU PLUS (84B2018A)</t>
  </si>
  <si>
    <t>IDH017</t>
  </si>
  <si>
    <t>BATTERY KANAGU MINUS (84B2019A)</t>
  </si>
  <si>
    <t>IDH018</t>
  </si>
  <si>
    <t>CROSS RECESSED COUNTERSUNK H. SCREW</t>
  </si>
  <si>
    <t>IDH019</t>
  </si>
  <si>
    <t>P TIGHT NOMINAL DIAMETER 2.5X6L</t>
  </si>
  <si>
    <t>IDH020</t>
  </si>
  <si>
    <t>P TIGHT NOMINAL DIAMETER 2X6L</t>
  </si>
  <si>
    <t>IDH021</t>
  </si>
  <si>
    <t>P TIGHT NOMINAL DIAMETER 3X8L</t>
  </si>
  <si>
    <t>IDH022</t>
  </si>
  <si>
    <t>CROSS RECESSED PAN HEAD SCREW M2.5X</t>
  </si>
  <si>
    <t>IDH023</t>
  </si>
  <si>
    <t>CROSS RECESSED P. H. SCREW W SEMS M2.5X6</t>
  </si>
  <si>
    <t>IDH024</t>
  </si>
  <si>
    <t>PHOTO DIODE</t>
  </si>
  <si>
    <t>F1.5MM PHOTO DIODE KPDE150-H45</t>
  </si>
  <si>
    <t>IDH026-KMC</t>
  </si>
  <si>
    <t>LEVER SPRING (84B2021A)</t>
  </si>
  <si>
    <t>IDH027-KMC</t>
  </si>
  <si>
    <t>HOLDER BASE SPRING (84B2022B)</t>
  </si>
  <si>
    <t>IDH028-OHT</t>
  </si>
  <si>
    <t>PD SCREW (84B2017A)</t>
  </si>
  <si>
    <t>IDH029-DAI</t>
  </si>
  <si>
    <t>LCD COVER (GS230006B)</t>
  </si>
  <si>
    <t>IDH030-DAI</t>
  </si>
  <si>
    <t>END CAP (84B2020A)</t>
  </si>
  <si>
    <t>IDH031-DAI</t>
  </si>
  <si>
    <t>PD HEAD SPONGE 1 (84B2023A)</t>
  </si>
  <si>
    <t>IDH032-DAI</t>
  </si>
  <si>
    <t>PD HOLDER SPONGE 1 (84B2024A)</t>
  </si>
  <si>
    <t>IDH033-DAI</t>
  </si>
  <si>
    <t>PD HOLDER SPONGE 2 (84B2025A)</t>
  </si>
  <si>
    <t>IDH034-DAI</t>
  </si>
  <si>
    <t>BATTERY COVER SPONGE (84B2026A)</t>
  </si>
  <si>
    <t>HARNESS FOR PD BOARD (84B5005A)</t>
  </si>
  <si>
    <t>HARNESS FOR SWITCH BOARD (84B5006A)</t>
  </si>
  <si>
    <t>HARNESS FOR LEVER SWITCH BOARD (84B5007A</t>
  </si>
  <si>
    <t>IDH038-SVI</t>
  </si>
  <si>
    <t>MAIN BOARD (84B5001A)</t>
  </si>
  <si>
    <t>IDH039-SVI</t>
  </si>
  <si>
    <t>SWITCH BOARD (84B5002A)</t>
  </si>
  <si>
    <t>IDH040-SVI</t>
  </si>
  <si>
    <t>PD BOARD (84B5003A)</t>
  </si>
  <si>
    <t>IDH041-SVI</t>
  </si>
  <si>
    <t>LEVER SWITCH BOARD (84B5004A)</t>
  </si>
  <si>
    <t>IJ01</t>
  </si>
  <si>
    <t>J/E0450</t>
  </si>
  <si>
    <t>IJ02</t>
  </si>
  <si>
    <t>J/E0451</t>
  </si>
  <si>
    <t>IJ13</t>
  </si>
  <si>
    <t>IJ17</t>
  </si>
  <si>
    <t>J/E0454 (Part A)</t>
  </si>
  <si>
    <t>IJ18</t>
  </si>
  <si>
    <t>J/E0455 (Part B)</t>
  </si>
  <si>
    <t>IJ22</t>
  </si>
  <si>
    <t>E-0717</t>
  </si>
  <si>
    <t>J/E0476/QR (C4)</t>
  </si>
  <si>
    <t>J/E0476/QR (P4)</t>
  </si>
  <si>
    <t>ID Sheet - P4</t>
  </si>
  <si>
    <t>ID SHEET - C4</t>
  </si>
  <si>
    <t>ID Sheet-CNS</t>
  </si>
  <si>
    <t>ID SHEET-C8</t>
  </si>
  <si>
    <t>QR(C8)</t>
  </si>
  <si>
    <t>ID SHEET-P8</t>
  </si>
  <si>
    <t>QR(P8)</t>
  </si>
  <si>
    <t>PAPER LABEL P4H-R</t>
  </si>
  <si>
    <t>QR LABEL P4H-R</t>
  </si>
  <si>
    <t>QR LABEL C4H-R</t>
  </si>
  <si>
    <t>IJ74</t>
  </si>
  <si>
    <t>IJ75</t>
  </si>
  <si>
    <t>E-1941</t>
  </si>
  <si>
    <t>IJ77</t>
  </si>
  <si>
    <t>MU/E-1650</t>
  </si>
  <si>
    <t>IJ78</t>
  </si>
  <si>
    <t>8X(1X4) SMALL PACKAGE/430-R0676-0003</t>
  </si>
  <si>
    <t>IJ79</t>
  </si>
  <si>
    <t>8x(1x4) /430-R0676-0002</t>
  </si>
  <si>
    <t>INB01</t>
  </si>
  <si>
    <t>LDM PIGTAIL BOX</t>
  </si>
  <si>
    <t>INB02</t>
  </si>
  <si>
    <t>INNER BOX MT-OPTICAL W344XL450XH140 MM</t>
  </si>
  <si>
    <t>INB06</t>
  </si>
  <si>
    <t>INNER BOX FOR 4-SC</t>
  </si>
  <si>
    <t>INB10</t>
  </si>
  <si>
    <t>BOX T-PIG W70XL183XH145 MM</t>
  </si>
  <si>
    <t>INB13</t>
  </si>
  <si>
    <t>INNER BOX HENKAN</t>
  </si>
  <si>
    <t>INB14</t>
  </si>
  <si>
    <t>INNER BOX FOR 2-SC</t>
  </si>
  <si>
    <t>INB15</t>
  </si>
  <si>
    <t>INNER BOX FOR DC-4PF</t>
  </si>
  <si>
    <t>INB16</t>
  </si>
  <si>
    <t>INNER BOX AND PAD HEKIMEN 127X107X64 MM</t>
  </si>
  <si>
    <t>INB17</t>
  </si>
  <si>
    <t>INNER BOX KOUNAI(5 PCS /1 SET)</t>
  </si>
  <si>
    <t>INB18</t>
  </si>
  <si>
    <t>INNER  PAD FOR KOUNAI</t>
  </si>
  <si>
    <t>INB19</t>
  </si>
  <si>
    <t>INNER PAD MULTI PRIMARY</t>
  </si>
  <si>
    <t>INNER  PAD FOR MULTI PRIMARY</t>
  </si>
  <si>
    <t>INB20</t>
  </si>
  <si>
    <t>INNER BOX FOR DC-SC CORD S</t>
  </si>
  <si>
    <t>INB21</t>
  </si>
  <si>
    <t>INNER PAD FOR  DC-SC-S</t>
  </si>
  <si>
    <t>INB22</t>
  </si>
  <si>
    <t>INNER BOX  FOR AWG NORTAL 488-N0711-1001</t>
  </si>
  <si>
    <t>INB23</t>
  </si>
  <si>
    <t>INNER PAD FOR AWG NORTAL 488-N0783-1001</t>
  </si>
  <si>
    <t>INB27</t>
  </si>
  <si>
    <t>INNER BOX FOR DC-4FA (SCREEN)</t>
  </si>
  <si>
    <t>INB28</t>
  </si>
  <si>
    <t>INNER BOX FOR DC-8FA (SCREEN)</t>
  </si>
  <si>
    <t>INB29</t>
  </si>
  <si>
    <t>INNER BOX CEINA  (488-N0832-1001-01)</t>
  </si>
  <si>
    <t>INB30</t>
  </si>
  <si>
    <t>INNER BOX FOR DC-KOUNAI 4B</t>
  </si>
  <si>
    <t>INB31</t>
  </si>
  <si>
    <t>INB32</t>
  </si>
  <si>
    <t>INNER BOX J CORD W380XL380XH120 MM</t>
  </si>
  <si>
    <t>INB33</t>
  </si>
  <si>
    <t>INNER BOX OF OPTICAL ROSETTE</t>
  </si>
  <si>
    <t>INB34</t>
  </si>
  <si>
    <t>INNER BOX FOR OE ID 340X340X37 MM</t>
  </si>
  <si>
    <t>INB35</t>
  </si>
  <si>
    <t>INNER BOX OF J428N OPTICAL ROSETTE</t>
  </si>
  <si>
    <t>INB36</t>
  </si>
  <si>
    <t>INNER BOX FIBER CUTTER W72XL153XH160 MM</t>
  </si>
  <si>
    <t>INB37</t>
  </si>
  <si>
    <t>INNER BOX FOR DC-KOUNAI 8B (NO PRINT)</t>
  </si>
  <si>
    <t>INB38</t>
  </si>
  <si>
    <t>INNER BOX E PF/E SPLITTER 4-8</t>
  </si>
  <si>
    <t>INB39</t>
  </si>
  <si>
    <t>INNER CASE E PF/E SPLITTER 4</t>
  </si>
  <si>
    <t>INB40</t>
  </si>
  <si>
    <t>INNER CASE E PF/E SPLITTER 8</t>
  </si>
  <si>
    <t>INB40-A</t>
  </si>
  <si>
    <t>LOWER CASE E PF/E SPLITTER 8</t>
  </si>
  <si>
    <t>INB40-B</t>
  </si>
  <si>
    <t>UPPER CASE E PF/E SPLITTER 8</t>
  </si>
  <si>
    <t>INB41</t>
  </si>
  <si>
    <t>INNER BOX FOR DC-KOUNAI 4B (NO PRINT)</t>
  </si>
  <si>
    <t>INB42</t>
  </si>
  <si>
    <t>INNER BOX OF FIBER LASER W444XL542XH52MM</t>
  </si>
  <si>
    <t>ITLA010M-T</t>
  </si>
  <si>
    <t>FLM-EB-ER01</t>
  </si>
  <si>
    <t>ITLA010ML</t>
  </si>
  <si>
    <t>FLM-EB-VN03 (FBN)</t>
  </si>
  <si>
    <t>ITLA010ML-SVI</t>
  </si>
  <si>
    <t>PCB ASSEMBLY : FLM-EB-VN03</t>
  </si>
  <si>
    <t>FLM-EB-NP01</t>
  </si>
  <si>
    <t>ITLA011M-T</t>
  </si>
  <si>
    <t>FLM-EB-ER02</t>
  </si>
  <si>
    <t>ITLA011ML</t>
  </si>
  <si>
    <t>PCB ASSEMBLY : 214126ALF / FLM-EB-ER04</t>
  </si>
  <si>
    <t>FLM-EB-ER04 (FBN)</t>
  </si>
  <si>
    <t>ITLA011ML-SVI</t>
  </si>
  <si>
    <t>214126AFL : FLM-EB-ER04 (SVI)</t>
  </si>
  <si>
    <t>ITLA011NL-SVI</t>
  </si>
  <si>
    <t>PCB ASSEMBLY : FLM-EB-NP03</t>
  </si>
  <si>
    <t>ITLA012M-T</t>
  </si>
  <si>
    <t>FLM-EB-ER03</t>
  </si>
  <si>
    <t>ITLA012ML</t>
  </si>
  <si>
    <t>FLM-EB-ER02 (FBN)</t>
  </si>
  <si>
    <t>ITLA012ML-OKI</t>
  </si>
  <si>
    <t>FLM-EB-ER02(OKI)</t>
  </si>
  <si>
    <t>ITLA013M-T</t>
  </si>
  <si>
    <t>FLM-EB-ER04</t>
  </si>
  <si>
    <t>ITLA013NL</t>
  </si>
  <si>
    <t>213623LF : 213-623LF (NP05 : SVI)</t>
  </si>
  <si>
    <t>ITLA014ML-FBN</t>
  </si>
  <si>
    <t>PCB ASSEMBLY : FLM-EB-ER06 (FBN)</t>
  </si>
  <si>
    <t>ITLA014ML-SVI</t>
  </si>
  <si>
    <t>214126BLF : FLM-EB-ER06 (SVI)</t>
  </si>
  <si>
    <t>ITLA014NL-FBN</t>
  </si>
  <si>
    <t>PCB ASSEMBLY : FLM-EB-NP06</t>
  </si>
  <si>
    <t>ITLA015ML-FBN</t>
  </si>
  <si>
    <t>PCB ASSEMBLY : FLM-EB-ER05 (FBN)</t>
  </si>
  <si>
    <t>ITLA015NL</t>
  </si>
  <si>
    <t>213544LF : 213-544LF (NP07 : SVI)</t>
  </si>
  <si>
    <t>ITLA015NL-FBN</t>
  </si>
  <si>
    <t>PCB ASSEMBLY : FLM-EB-NP07</t>
  </si>
  <si>
    <t>ITLA016ML-FBN</t>
  </si>
  <si>
    <t>PCB ASSEMBLY : FLM-EB-ER07</t>
  </si>
  <si>
    <t>ITLA016NL-SVI</t>
  </si>
  <si>
    <t>ITLA017N</t>
  </si>
  <si>
    <t>PCB ASSEMBLY : 213-544LF (NP07)</t>
  </si>
  <si>
    <t>ITLA021</t>
  </si>
  <si>
    <t>FLEXIBLE CABLE (WITH SHROUD)</t>
  </si>
  <si>
    <t>FX06</t>
  </si>
  <si>
    <t>ITLA027N</t>
  </si>
  <si>
    <t>FX04</t>
  </si>
  <si>
    <t>ITLA031M-T</t>
  </si>
  <si>
    <t>FLM-IH03</t>
  </si>
  <si>
    <t>ITLA032M-T</t>
  </si>
  <si>
    <t>FLM-IH24</t>
  </si>
  <si>
    <t>ITLA033</t>
  </si>
  <si>
    <t>FLM-IH02</t>
  </si>
  <si>
    <t>ITLA033M-T</t>
  </si>
  <si>
    <t>FLM-IH29</t>
  </si>
  <si>
    <t>ITLA034M-T</t>
  </si>
  <si>
    <t>ITLA035M</t>
  </si>
  <si>
    <t>FLM-IH27</t>
  </si>
  <si>
    <t>ITLA035M-T</t>
  </si>
  <si>
    <t>FLM-IH20</t>
  </si>
  <si>
    <t>ITLA036M-T</t>
  </si>
  <si>
    <t>FLM-IH21</t>
  </si>
  <si>
    <t>Aluminum pole:FLM-IH28</t>
  </si>
  <si>
    <t>ITLA037M-T</t>
  </si>
  <si>
    <t>FLM-IH23</t>
  </si>
  <si>
    <t>ITLA038M-T</t>
  </si>
  <si>
    <t>FLM-IH26</t>
  </si>
  <si>
    <t>ITLA039M-T</t>
  </si>
  <si>
    <t>FLM-IH25</t>
  </si>
  <si>
    <t>ITLA041ML</t>
  </si>
  <si>
    <t>GRAPHITE SHEET : FLM-TC03/NCL70000220</t>
  </si>
  <si>
    <t>ITLA041ML-SMK</t>
  </si>
  <si>
    <t>ITLA042</t>
  </si>
  <si>
    <t>ITLA043M</t>
  </si>
  <si>
    <t>COVER FLM-IH30</t>
  </si>
  <si>
    <t>ITLA043NL</t>
  </si>
  <si>
    <t>GRAPHITE SHEET : FLM-TC01/NCL70000210</t>
  </si>
  <si>
    <t>ITLA043NL-SMK</t>
  </si>
  <si>
    <t>ITLA044M</t>
  </si>
  <si>
    <t>FLM-IH38</t>
  </si>
  <si>
    <t>ITLA045M</t>
  </si>
  <si>
    <t>FLM-IH35A</t>
  </si>
  <si>
    <t>ITLA046M</t>
  </si>
  <si>
    <t>FLM-IH36A</t>
  </si>
  <si>
    <t>ITLA047M</t>
  </si>
  <si>
    <t>ALUMINUM POLE : FLM-IH21Z</t>
  </si>
  <si>
    <t>ITLA048M</t>
  </si>
  <si>
    <t>FLM-IH39</t>
  </si>
  <si>
    <t>ITLA049M</t>
  </si>
  <si>
    <t>FLM-IH40</t>
  </si>
  <si>
    <t>ITLA050M</t>
  </si>
  <si>
    <t>FLM-IH44</t>
  </si>
  <si>
    <t>ITLA051M</t>
  </si>
  <si>
    <t>F-1735N-03</t>
  </si>
  <si>
    <t>ITLA051M-T</t>
  </si>
  <si>
    <t>SNZFS-M1.6x3</t>
  </si>
  <si>
    <t>ITLA052M-T</t>
  </si>
  <si>
    <t>ITLA053M-T</t>
  </si>
  <si>
    <t>FLM-IH13</t>
  </si>
  <si>
    <t>ITLA053N-T</t>
  </si>
  <si>
    <t>FLM-FX07</t>
  </si>
  <si>
    <t>ITLA054M-T</t>
  </si>
  <si>
    <t>SHNS M1.6</t>
  </si>
  <si>
    <t>ITLA054N-T</t>
  </si>
  <si>
    <t>FTMH and DHS series</t>
  </si>
  <si>
    <t>ITLA055M-T</t>
  </si>
  <si>
    <t>M1.6 NUT(SHNS-M1.6)</t>
  </si>
  <si>
    <t>ITLA056M-T</t>
  </si>
  <si>
    <t>M1.6 SCREW(SNZFS-M1.6*3)</t>
  </si>
  <si>
    <t>ITLA060M</t>
  </si>
  <si>
    <t>FLM-IH34</t>
  </si>
  <si>
    <t>ITLA061M</t>
  </si>
  <si>
    <t>FLM-IH37A</t>
  </si>
  <si>
    <t>ITLA062</t>
  </si>
  <si>
    <t>HCT-2001.8B</t>
  </si>
  <si>
    <t>ITLA062M</t>
  </si>
  <si>
    <t>SUS #0-1(+)sarako 1.6*10</t>
  </si>
  <si>
    <t>ITLA063M</t>
  </si>
  <si>
    <t>SUS1.7x2.0</t>
  </si>
  <si>
    <t>ITLA064M</t>
  </si>
  <si>
    <t>FLM-IH45</t>
  </si>
  <si>
    <t>ITLA065M</t>
  </si>
  <si>
    <t>FLM-IH46</t>
  </si>
  <si>
    <t>ITLA071L</t>
  </si>
  <si>
    <t>ECO SOLDER RMA02 P3 M705 0.3MM</t>
  </si>
  <si>
    <t>LOCTITE271 (PC@50CC)</t>
  </si>
  <si>
    <t>ITLA091</t>
  </si>
  <si>
    <t>TBD</t>
  </si>
  <si>
    <t>ITLA092M</t>
  </si>
  <si>
    <t>FLM-TC05</t>
  </si>
  <si>
    <t>ITLA093M</t>
  </si>
  <si>
    <t>FLM-TC06</t>
  </si>
  <si>
    <t>ITLA111</t>
  </si>
  <si>
    <t>for ITLA</t>
  </si>
  <si>
    <t>ITLA111L</t>
  </si>
  <si>
    <t>CONDUCTIVE TOP PACKING CASE</t>
  </si>
  <si>
    <t>CONDUCTIVE TOP PACKING CASE FOR ITLA</t>
  </si>
  <si>
    <t>ITLA112</t>
  </si>
  <si>
    <t>ITLA112L</t>
  </si>
  <si>
    <t>CONDUCTIVE BOTTOM PACKING CASE</t>
  </si>
  <si>
    <t>CONDUCTIVE BOTTOM PACKING CASE for ITLA</t>
  </si>
  <si>
    <t>ITLA121</t>
  </si>
  <si>
    <t>IC Foam (for ITLA)</t>
  </si>
  <si>
    <t>ITLA121L</t>
  </si>
  <si>
    <t>CONDUCTIVE Cushion for ITLA</t>
  </si>
  <si>
    <t>ITLA122L</t>
  </si>
  <si>
    <t>CONDUCTIVE Cushion for Micro ITLA</t>
  </si>
  <si>
    <t>ITLA131</t>
  </si>
  <si>
    <t>substrate for training</t>
  </si>
  <si>
    <t>ITLA131N</t>
  </si>
  <si>
    <t>substrate for training (FLM-EB-NP01)</t>
  </si>
  <si>
    <t>Matalic Label for TOSA (RL@ 5100 PC)</t>
  </si>
  <si>
    <t>ITLA145</t>
  </si>
  <si>
    <t>PETP/HI(7237F)-0.5+0.9 NATURAL</t>
  </si>
  <si>
    <t>SC-PH stop ring</t>
  </si>
  <si>
    <t>KDK001</t>
  </si>
  <si>
    <t>HALL ELEMENT HARNESS : 1O10018</t>
  </si>
  <si>
    <t>KDK002</t>
  </si>
  <si>
    <t>SENSOR HARNESS : 1O10012</t>
  </si>
  <si>
    <t>KDK003</t>
  </si>
  <si>
    <t>LOW VOLTAGE HARNESS : 1O10016</t>
  </si>
  <si>
    <t>KDK004</t>
  </si>
  <si>
    <t>LED HARNESS : 1O10013</t>
  </si>
  <si>
    <t>KDK005</t>
  </si>
  <si>
    <t>DISCHARGER HARNESS : 1O10015</t>
  </si>
  <si>
    <t>FAN HARNESS : 1O10017</t>
  </si>
  <si>
    <t>KDK007</t>
  </si>
  <si>
    <t>MOTOR HARNESS : 1O10014</t>
  </si>
  <si>
    <t>KORAT001</t>
  </si>
  <si>
    <t>SUS PLATE : 30A3238A /14TD038-1-No.6</t>
  </si>
  <si>
    <t>KORAT002</t>
  </si>
  <si>
    <t>SUS PACER : 30A3256C/14TD038-1-No.1</t>
  </si>
  <si>
    <t>KORAT003</t>
  </si>
  <si>
    <t>SUS SPACER</t>
  </si>
  <si>
    <t>SUS SPACER : 30A3257C/14TD038-1-No.2</t>
  </si>
  <si>
    <t>KORAT004</t>
  </si>
  <si>
    <t>HELICAL COMPRESSION SPRING 2 : 30A3110B/</t>
  </si>
  <si>
    <t>KORAT005</t>
  </si>
  <si>
    <t>SCREENING SPRING 2 : 30A3263A/14TD038-1-</t>
  </si>
  <si>
    <t>KORAT006</t>
  </si>
  <si>
    <t>SENSOR SPRING : 30A3300D/14TD038-1-No.11</t>
  </si>
  <si>
    <t>KORAT007</t>
  </si>
  <si>
    <t>CLAMP SPRING : 30A2328B/14TD038-1-No.12</t>
  </si>
  <si>
    <t>KORAT008</t>
  </si>
  <si>
    <t>SUS CLAMP</t>
  </si>
  <si>
    <t>SUS CLAMP : 30A2305D/14TD038-1-No.8</t>
  </si>
  <si>
    <t>KORAT009</t>
  </si>
  <si>
    <t>SUS CLAMP : 30A2322D/14TD038-1-No.9</t>
  </si>
  <si>
    <t>KORAT010</t>
  </si>
  <si>
    <t>SUS BAR : 30A3161B/14TD038-1-No.4</t>
  </si>
  <si>
    <t>KORAT011</t>
  </si>
  <si>
    <t>SUS BAR : 30A3239B/14TD038-1-No.7</t>
  </si>
  <si>
    <t>KORAT012</t>
  </si>
  <si>
    <t>SUS LEVER</t>
  </si>
  <si>
    <t>SUS LEVER : 30A3211F/14TD038-1-No.10</t>
  </si>
  <si>
    <t>KOS01</t>
  </si>
  <si>
    <t>KOSOUBAKO FTM4 240X460X22 MM</t>
  </si>
  <si>
    <t>KOS02</t>
  </si>
  <si>
    <t>KOSOUBAKO FOR IDM - JUMPER SET</t>
  </si>
  <si>
    <t>KOS02-A</t>
  </si>
  <si>
    <t>KOSOUBAKO IDM-JUMPER 382 x 488 x 80 mm.</t>
  </si>
  <si>
    <t>KOS02-B</t>
  </si>
  <si>
    <t>MIDDLE BOX  IDM-J W375XL485XH60 MM</t>
  </si>
  <si>
    <t>KOS02-C</t>
  </si>
  <si>
    <t>PAPER SHEET IDM-JUMPER</t>
  </si>
  <si>
    <t>KOS02-S</t>
  </si>
  <si>
    <t>KOS03</t>
  </si>
  <si>
    <t>KOS03N</t>
  </si>
  <si>
    <t>KOSOUBAKO IDM</t>
  </si>
  <si>
    <t>KOS05</t>
  </si>
  <si>
    <t>KOSOUBAKO FTM5+DAMY 240X460X22 MM</t>
  </si>
  <si>
    <t>LAB08</t>
  </si>
  <si>
    <t>LAB09</t>
  </si>
  <si>
    <t>LAB10</t>
  </si>
  <si>
    <t>STICKER LABEL FOR LDM PIGTAIL</t>
  </si>
  <si>
    <t>LAB16</t>
  </si>
  <si>
    <t>LAB26</t>
  </si>
  <si>
    <t>CIRCLE STICKER 8 MM.RED</t>
  </si>
  <si>
    <t>CIRCLE STICKER 8 MM. RED</t>
  </si>
  <si>
    <t>LAB27</t>
  </si>
  <si>
    <t>CIRCLE STICKER 8 MM.BLACK</t>
  </si>
  <si>
    <t>CIRCLE STICKER 8 MM. BLACK</t>
  </si>
  <si>
    <t>LAB28</t>
  </si>
  <si>
    <t>CIRCLE STICKER 8 MM.BLUE</t>
  </si>
  <si>
    <t>CIRCLE STICKER 8 MM. BLUE</t>
  </si>
  <si>
    <t>LAB39</t>
  </si>
  <si>
    <t>STICKER LABEL 50X130 MM. PVC</t>
  </si>
  <si>
    <t>LAB47</t>
  </si>
  <si>
    <t>CIRCLE STICKER 5 MM. BLACK</t>
  </si>
  <si>
    <t>LAB49</t>
  </si>
  <si>
    <t>CIRCLE STICKER 5 MM. RED</t>
  </si>
  <si>
    <t>LAB50</t>
  </si>
  <si>
    <t>CIRCLE STICKER 5 MM. BLUE</t>
  </si>
  <si>
    <t>LAB53</t>
  </si>
  <si>
    <t>LAB56</t>
  </si>
  <si>
    <t>CIRCLE STICKER 8 MM. YELLOW</t>
  </si>
  <si>
    <t>LAB61</t>
  </si>
  <si>
    <t>STICKERLABEL18-037 ELEPHANT</t>
  </si>
  <si>
    <t>LAB62</t>
  </si>
  <si>
    <t>FM-QA-M152-C KOUNAI (8B) INSIDE</t>
  </si>
  <si>
    <t>LAB63</t>
  </si>
  <si>
    <t>STICKER LABEL CARE MARK 200X50MM.</t>
  </si>
  <si>
    <t>LAB64</t>
  </si>
  <si>
    <t>LABEL STICKER A2</t>
  </si>
  <si>
    <t>LAB65</t>
  </si>
  <si>
    <t>LABEL STICKER PAPER (50x30mm)</t>
  </si>
  <si>
    <t>LAB66</t>
  </si>
  <si>
    <t>LABEL STICKER CARE MARK</t>
  </si>
  <si>
    <t>LAB67</t>
  </si>
  <si>
    <t>LABEL STICKER A4 SIZE 8X8 MM</t>
  </si>
  <si>
    <t>LAB68</t>
  </si>
  <si>
    <t>STICKER TRANSFER 6cm.x16.5cm.(200PCS/RL)</t>
  </si>
  <si>
    <t>LAB69</t>
  </si>
  <si>
    <t>DENGER STICKER : 4.4x5.2 CM. BLACK/RED</t>
  </si>
  <si>
    <t>LAB70</t>
  </si>
  <si>
    <t>STICKER  LABEL  SIZE 86.4 x 50.8 MM</t>
  </si>
  <si>
    <t>LAB71</t>
  </si>
  <si>
    <t>STICKER LABEL A4 CLICK LABEL # E101</t>
  </si>
  <si>
    <t>LAB72</t>
  </si>
  <si>
    <t>STICKER LABEL LJ-216 (105X36MM.)</t>
  </si>
  <si>
    <t>LAB73</t>
  </si>
  <si>
    <t>THERMO LABEL 3E-60 (PK@10PC)</t>
  </si>
  <si>
    <t>LAB74</t>
  </si>
  <si>
    <t>BLANK LABEL PP SYNTHETIC (AVERY)61x164mm</t>
  </si>
  <si>
    <t>LAB75</t>
  </si>
  <si>
    <t>PAPER LABEL ROHS COMPLIANT 40X28MM</t>
  </si>
  <si>
    <t>LAB76</t>
  </si>
  <si>
    <t>LABEL 18X37MM FOR KSD PL WHITE LABEL</t>
  </si>
  <si>
    <t>LAB77</t>
  </si>
  <si>
    <t>LABEL LITHIUM ION BATTERIES 110X120MM</t>
  </si>
  <si>
    <t>LAB78</t>
  </si>
  <si>
    <t>LABEL APL-443-4.5IX0.5I-1-P2-RL@5000PCS</t>
  </si>
  <si>
    <t>LAB79</t>
  </si>
  <si>
    <t>VOID LABEL 16X24MM 4COL. (1500pcs/Roll)</t>
  </si>
  <si>
    <t>LAB80</t>
  </si>
  <si>
    <t>FA PLUG SC(ACTT-17016)</t>
  </si>
  <si>
    <t>LAB81</t>
  </si>
  <si>
    <t>FA PLUG(ACTT-17017)</t>
  </si>
  <si>
    <t>LAB82</t>
  </si>
  <si>
    <t>FA SOCKET STRAIGHT(ACTT-17018)</t>
  </si>
  <si>
    <t>LAB83</t>
  </si>
  <si>
    <t>FAS PLUG D(ACTT-17019)</t>
  </si>
  <si>
    <t>LF001A-FBN</t>
  </si>
  <si>
    <t>250UM LENSED FIBER WITH METALIZED AND AR</t>
  </si>
  <si>
    <t>LF002</t>
  </si>
  <si>
    <t>F9920-08(Roll@290ME)</t>
  </si>
  <si>
    <t>LF002A-FBN</t>
  </si>
  <si>
    <t>250UM FOR 1480 WITH METALIZED AND AR</t>
  </si>
  <si>
    <t>LF003</t>
  </si>
  <si>
    <t>OFS98-PMF(F9920-08) A-FBG</t>
  </si>
  <si>
    <t>MAK01</t>
  </si>
  <si>
    <t>MANCHUBANKO FOR LDM BODY</t>
  </si>
  <si>
    <t>MAK02</t>
  </si>
  <si>
    <t>MANCHUBANKO FOR LDM FILTER</t>
  </si>
  <si>
    <t>MAK03</t>
  </si>
  <si>
    <t>MANCHUBANKO FOR LDM COVER</t>
  </si>
  <si>
    <t>MAN024</t>
  </si>
  <si>
    <t>MANUAL FOR GA MO07019C B/W</t>
  </si>
  <si>
    <t>MAN12</t>
  </si>
  <si>
    <t>MANUAL  8BUNKI OM05009B YELLOW</t>
  </si>
  <si>
    <t>MAN14</t>
  </si>
  <si>
    <t>MANUAL FOR  ST PRODUCT 08N049A</t>
  </si>
  <si>
    <t>MAN15-1</t>
  </si>
  <si>
    <t>MANUAL FOR FAC SOCKET 04N143I</t>
  </si>
  <si>
    <t>MAN19</t>
  </si>
  <si>
    <t>MANUAL DC SPLITTER 06-018-2 B/W</t>
  </si>
  <si>
    <t>MAN23</t>
  </si>
  <si>
    <t>MANUAL FOR FAS 05N076G</t>
  </si>
  <si>
    <t>MAN24-1</t>
  </si>
  <si>
    <t>Manual for GA MO07019D B/W</t>
  </si>
  <si>
    <t>MAN27</t>
  </si>
  <si>
    <t>MANUAL IDM-J  A4</t>
  </si>
  <si>
    <t>MAN28</t>
  </si>
  <si>
    <t>MANUAL FOR FAC PLUG 06N044E</t>
  </si>
  <si>
    <t>MAN29</t>
  </si>
  <si>
    <t>MANUAL FOR FAC SOCKET 06N043D</t>
  </si>
  <si>
    <t>MAN30</t>
  </si>
  <si>
    <t>MANUAL FILTER ADAPTER OM07004B A4 CUT</t>
  </si>
  <si>
    <t>MANUAL FILTER ADAPTER OM07004B  A4 CUT</t>
  </si>
  <si>
    <t>MAN32</t>
  </si>
  <si>
    <t>MANUAL FOR DC-KOUNAI 10-006</t>
  </si>
  <si>
    <t>MAN33</t>
  </si>
  <si>
    <t>MANUAL MULTICLOSURE(ID TYPE)</t>
  </si>
  <si>
    <t>MAN34</t>
  </si>
  <si>
    <t>MANUAL FOR ROSTTE 12-011(2019)</t>
  </si>
  <si>
    <t>MAN35</t>
  </si>
  <si>
    <t>MANUAL FOR ROSTTE 121003B</t>
  </si>
  <si>
    <t>MAN37</t>
  </si>
  <si>
    <t>MANUAL FOR KANTAN SC APC-F(G303306)</t>
  </si>
  <si>
    <t>MAN38</t>
  </si>
  <si>
    <t>MAN39</t>
  </si>
  <si>
    <t>MANUAL FTS-B423-8 FOR S326 (8:MAY 2022)</t>
  </si>
  <si>
    <t>MAN40</t>
  </si>
  <si>
    <t>MANUAL FOR KANTAN SC APC-F-SM-250 2019</t>
  </si>
  <si>
    <t>MAN41</t>
  </si>
  <si>
    <t>MANUAL KANTAN SC (ESC-SM-250-AQ2-TB)2019</t>
  </si>
  <si>
    <t>MANUAL FOR KANTAN SC (ESC-SM-250-AQ2-TB)</t>
  </si>
  <si>
    <t>MAN43</t>
  </si>
  <si>
    <t>MANUAL FOR KANTAN SC(AQ-TB)OM07021E</t>
  </si>
  <si>
    <t>MANUAL FOR KANTAN SC (AQ-TB)OM07021E</t>
  </si>
  <si>
    <t>MAN44</t>
  </si>
  <si>
    <t>MANUAL FOR KANTAN SC (F-TB)OM07020D</t>
  </si>
  <si>
    <t>MAN45</t>
  </si>
  <si>
    <t>MANUAL(KSCAPC-F-SM-250-IKY)(G305315)</t>
  </si>
  <si>
    <t>MAN46</t>
  </si>
  <si>
    <t>MANUAL KANTAN SC (ACTT-15052B) 2019</t>
  </si>
  <si>
    <t>MANUAL(ESC-SM-250-KY-TB-APC)(G305602)</t>
  </si>
  <si>
    <t>MC02</t>
  </si>
  <si>
    <t>MU/SMU-PHJ09[LA]</t>
  </si>
  <si>
    <t>MC03</t>
  </si>
  <si>
    <t>MC04</t>
  </si>
  <si>
    <t>MC05</t>
  </si>
  <si>
    <t>MC06</t>
  </si>
  <si>
    <t>MID04</t>
  </si>
  <si>
    <t>MIDDLE BOX GA</t>
  </si>
  <si>
    <t>MIDDLE BOX FOR GA</t>
  </si>
  <si>
    <t>MID04-1</t>
  </si>
  <si>
    <t>INNER BOX GAIHI/FAS 110X153X37 MM</t>
  </si>
  <si>
    <t>MID04-1S</t>
  </si>
  <si>
    <t>INNER BOX FOR  GAIHI/FAS</t>
  </si>
  <si>
    <t>MID04-2</t>
  </si>
  <si>
    <t>INNER BOX FOR LATCH 195X115X29MM</t>
  </si>
  <si>
    <t>MID04-SEI</t>
  </si>
  <si>
    <t>MID04N</t>
  </si>
  <si>
    <t>MID07</t>
  </si>
  <si>
    <t>MIDDLE BOX PLC FLUTE E 113X313X167 MM</t>
  </si>
  <si>
    <t>MID08</t>
  </si>
  <si>
    <t>MIDDLE BOX HEN SC W165XL265XH100 MM</t>
  </si>
  <si>
    <t>MID09</t>
  </si>
  <si>
    <t>MIDDLE BOX HEN 4MT W165XL265XH100 MM</t>
  </si>
  <si>
    <t>MID10</t>
  </si>
  <si>
    <t>MIDDLE BOX FOR 4-SC</t>
  </si>
  <si>
    <t>MID11</t>
  </si>
  <si>
    <t>MIDDLE BOX FOR 2-SC</t>
  </si>
  <si>
    <t>MID12</t>
  </si>
  <si>
    <t>MIDDLE BOX FOR AWG (E)</t>
  </si>
  <si>
    <t>MID14</t>
  </si>
  <si>
    <t>MIDDLE BOX FOR 1X8(NEL)</t>
  </si>
  <si>
    <t>MID15</t>
  </si>
  <si>
    <t>MIDDLE BOX II-VI W150XL250XH265 MM</t>
  </si>
  <si>
    <t>MID16</t>
  </si>
  <si>
    <t>MIDDLE BOX ADAMANT W175XL250XH217 MM</t>
  </si>
  <si>
    <t>MID17</t>
  </si>
  <si>
    <t>MIDDLE BOX FOR S326(432X414X534 MM)</t>
  </si>
  <si>
    <t>MID18</t>
  </si>
  <si>
    <t>MIDDLE BOX E PF/SPLT4-8 W175XL187XH196MM</t>
  </si>
  <si>
    <t>MID19</t>
  </si>
  <si>
    <t>MIDDLE BOX E PF</t>
  </si>
  <si>
    <t>CARTON BOX NO PRINT(ID 155X125X125 MM)</t>
  </si>
  <si>
    <t>MIZ001</t>
  </si>
  <si>
    <t>MIZ002</t>
  </si>
  <si>
    <t>CLAMP ARM : 81B2341O</t>
  </si>
  <si>
    <t>MIZ003</t>
  </si>
  <si>
    <t>BLADE HOLDER : 81B2321H</t>
  </si>
  <si>
    <t>MIZ004</t>
  </si>
  <si>
    <t>MIZ005</t>
  </si>
  <si>
    <t>MMC-MOL006</t>
  </si>
  <si>
    <t>MOLD OF BASE AND COVER TRAY CX FIBER</t>
  </si>
  <si>
    <t>MPLC37</t>
  </si>
  <si>
    <t>LC DUST CAP</t>
  </si>
  <si>
    <t>MPLC38</t>
  </si>
  <si>
    <t>LC PLUG HOUSING MM</t>
  </si>
  <si>
    <t>MPLC39</t>
  </si>
  <si>
    <t>LC MULTI FERRULE</t>
  </si>
  <si>
    <t>MPLC40</t>
  </si>
  <si>
    <t>FIBER COVER TUBE</t>
  </si>
  <si>
    <t>TEFLON TUBE</t>
  </si>
  <si>
    <t>MPLC41</t>
  </si>
  <si>
    <t>LC SPRING</t>
  </si>
  <si>
    <t>MPLC42</t>
  </si>
  <si>
    <t>LC DLC EXTENDER CAP</t>
  </si>
  <si>
    <t>MPLC43</t>
  </si>
  <si>
    <t>LC SIDE CAP</t>
  </si>
  <si>
    <t>MPLC44</t>
  </si>
  <si>
    <t>LC CRIMP SLEEVE</t>
  </si>
  <si>
    <t>MPLC45</t>
  </si>
  <si>
    <t>LC BOOT</t>
  </si>
  <si>
    <t>MPLC47</t>
  </si>
  <si>
    <t>MPLC48</t>
  </si>
  <si>
    <t>MPLC49</t>
  </si>
  <si>
    <t>LC SINGLE FERRULE</t>
  </si>
  <si>
    <t>MPLC50</t>
  </si>
  <si>
    <t>MPLC51</t>
  </si>
  <si>
    <t>MPLC52</t>
  </si>
  <si>
    <t>LC EXTENDER CAP</t>
  </si>
  <si>
    <t>MPLC53</t>
  </si>
  <si>
    <t>LC CLAMP RING</t>
  </si>
  <si>
    <t>MPLC54</t>
  </si>
  <si>
    <t>LC RING</t>
  </si>
  <si>
    <t>MPLC55</t>
  </si>
  <si>
    <t>MPLC56</t>
  </si>
  <si>
    <t>RLCSM21256 LC DUST CAP</t>
  </si>
  <si>
    <t>MPLC57</t>
  </si>
  <si>
    <t xml:space="preserve">RLCSM21256 LC PLUG HOUSING SM
</t>
  </si>
  <si>
    <t>MPLC58</t>
  </si>
  <si>
    <t>RLCSM21256 LC SINGLE FERRULE</t>
  </si>
  <si>
    <t>MPLC59</t>
  </si>
  <si>
    <t>RLCSM21256 TEFLON TUBE</t>
  </si>
  <si>
    <t>MPLC60</t>
  </si>
  <si>
    <t>RLCSM21256 LC SPRING</t>
  </si>
  <si>
    <t>MPLC61</t>
  </si>
  <si>
    <t>RLCSM21256 LC DLC EXTENDER CAP</t>
  </si>
  <si>
    <t>MPLC62</t>
  </si>
  <si>
    <t>RLCSM21256 LC CRIMP SLEEVE</t>
  </si>
  <si>
    <t>MPLC63</t>
  </si>
  <si>
    <t>RLCSM21256 LC BOOT</t>
  </si>
  <si>
    <t>NCN7205100 MPO STOPPER</t>
  </si>
  <si>
    <t>NCN8700010 MPO/MPX/MT-RJ GUIDE PIN ELITE</t>
  </si>
  <si>
    <t>8MT BOOT 0.4T</t>
  </si>
  <si>
    <t>MT8 LOW-LOSS ANGLE INJ W/O BOOT</t>
  </si>
  <si>
    <t>2CORE BOOT</t>
  </si>
  <si>
    <t>RCP7420011 8MT BOOT WHITE</t>
  </si>
  <si>
    <t>RCN5060001 LC CONNECTOR CAP</t>
  </si>
  <si>
    <t>MPO044</t>
  </si>
  <si>
    <t>G.3005.1006/CSD</t>
  </si>
  <si>
    <t>MPO048</t>
  </si>
  <si>
    <t>G310203/G.3005.1006/CS (R15)</t>
  </si>
  <si>
    <t>MPO050</t>
  </si>
  <si>
    <t>G317209/S.04.03/CSNH</t>
  </si>
  <si>
    <t>MPO053</t>
  </si>
  <si>
    <t>G316227B/S.04.03/4TCF</t>
  </si>
  <si>
    <t>MPO054</t>
  </si>
  <si>
    <t>RIBBON OPTICAL FIBER</t>
  </si>
  <si>
    <t>G.3005/12TCFNL(Orange)</t>
  </si>
  <si>
    <t>MPO055</t>
  </si>
  <si>
    <t>G710104/2MM REINFORCED TUBE(YELLOW)</t>
  </si>
  <si>
    <t>MPO056</t>
  </si>
  <si>
    <t>GAG0630010/TUBE S925*1500(PC@5ME)</t>
  </si>
  <si>
    <t>MPO057</t>
  </si>
  <si>
    <t>GFG0240030/TUBE HTAT-4/1-01.2M(PC@1.2ME)</t>
  </si>
  <si>
    <t>MPO058</t>
  </si>
  <si>
    <t>GFG0241080/TUBE HTAT-8/2-STK(PC@1.2ME)</t>
  </si>
  <si>
    <t>MPO059</t>
  </si>
  <si>
    <t>RCN2660022/SSC-PH GRIP</t>
  </si>
  <si>
    <t>MPO060</t>
  </si>
  <si>
    <t>RCN2660022/SC-PH PLUG FRAME 2B</t>
  </si>
  <si>
    <t>MPO061</t>
  </si>
  <si>
    <t>RCN2660022/SC SPRING</t>
  </si>
  <si>
    <t>MPO062</t>
  </si>
  <si>
    <t>RCN2660022/SC-PH METAL STOP RING</t>
  </si>
  <si>
    <t>MPO063</t>
  </si>
  <si>
    <t>RCN2660022/SC-PH2 CLAMP RING</t>
  </si>
  <si>
    <t>MPO064</t>
  </si>
  <si>
    <t>RCN2660022/SC-PH RING</t>
  </si>
  <si>
    <t>MPO065</t>
  </si>
  <si>
    <t>RCN2660022/SC-PH DUST CAP</t>
  </si>
  <si>
    <t>MPO066</t>
  </si>
  <si>
    <t>RCN2660022/SSC-PH20WH BOOT</t>
  </si>
  <si>
    <t>MPO067</t>
  </si>
  <si>
    <t>RCN2660023/SSC-PH GRIP</t>
  </si>
  <si>
    <t>MPO068</t>
  </si>
  <si>
    <t>RCN2660023/SC-PH PLUG FRAME 2B</t>
  </si>
  <si>
    <t>MPO069</t>
  </si>
  <si>
    <t>RCN2660023/SC SPRING</t>
  </si>
  <si>
    <t>MPO070</t>
  </si>
  <si>
    <t>RCN2660023/SC-PH METAL STOP RING</t>
  </si>
  <si>
    <t>MPO071</t>
  </si>
  <si>
    <t>RCN2660023/SC-PH2 CLAMP RING</t>
  </si>
  <si>
    <t>MPO072</t>
  </si>
  <si>
    <t>RCN2660023/SC-PH RING</t>
  </si>
  <si>
    <t>MPO073</t>
  </si>
  <si>
    <t>RCN2660023/SC-PH DUST CAP</t>
  </si>
  <si>
    <t>MPO074</t>
  </si>
  <si>
    <t>RCN2660023/SSC-PH20GR BOOT</t>
  </si>
  <si>
    <t>MPO075</t>
  </si>
  <si>
    <t>RDLC021260/LC DUST CAP</t>
  </si>
  <si>
    <t>MPO076</t>
  </si>
  <si>
    <t>RDLC021260/LC PLUG HOUSING MM</t>
  </si>
  <si>
    <t>MPO077</t>
  </si>
  <si>
    <t>RDLC021260/LC MULTI FERRULE</t>
  </si>
  <si>
    <t>MPO078</t>
  </si>
  <si>
    <t>RDLC021260/TEFLON TUBE</t>
  </si>
  <si>
    <t>MPO079</t>
  </si>
  <si>
    <t>RDLC021260/LC SPRING</t>
  </si>
  <si>
    <t>MPO080</t>
  </si>
  <si>
    <t>RDLC021260/LC DLC EXTENDER CAP</t>
  </si>
  <si>
    <t>MPO081</t>
  </si>
  <si>
    <t>RDLC021260/LC SIDE CAP</t>
  </si>
  <si>
    <t>MPO082</t>
  </si>
  <si>
    <t>RDLC021260/LC CRIMP SLEEVE</t>
  </si>
  <si>
    <t>MPO083</t>
  </si>
  <si>
    <t>RDLC021260/LC BOOT</t>
  </si>
  <si>
    <t>MPO084</t>
  </si>
  <si>
    <t>RLCMM21260/LC DUST CAP</t>
  </si>
  <si>
    <t>MPO085</t>
  </si>
  <si>
    <t>RLCMM21260/LC PLUG HOUSING MM</t>
  </si>
  <si>
    <t>MPO086</t>
  </si>
  <si>
    <t>RLCMM21260/LC MULTI FERRULE</t>
  </si>
  <si>
    <t>MPO087</t>
  </si>
  <si>
    <t>RLCMM21260/TEFLON TUBE</t>
  </si>
  <si>
    <t>MPO088</t>
  </si>
  <si>
    <t>RLCMM21260/LC SPRING</t>
  </si>
  <si>
    <t>MPO089</t>
  </si>
  <si>
    <t>RLCMM21260/LC DLC EXTENDER CAP</t>
  </si>
  <si>
    <t>MPO090</t>
  </si>
  <si>
    <t>RLCMM21260/LC CRIMP SLEEVE</t>
  </si>
  <si>
    <t>MPO091</t>
  </si>
  <si>
    <t>RLCMM21260/LC BOOT</t>
  </si>
  <si>
    <t>MPO092</t>
  </si>
  <si>
    <t>RLCSM21255/LC DUST CAP</t>
  </si>
  <si>
    <t>MPO093</t>
  </si>
  <si>
    <t>RLCSM21255/LC PLUG HOUSING SM</t>
  </si>
  <si>
    <t>MPO094</t>
  </si>
  <si>
    <t>RLCSM21255/LC SINGLE FERRULE</t>
  </si>
  <si>
    <t>MPO095</t>
  </si>
  <si>
    <t>RLCSM21255/TEFLON TUBE</t>
  </si>
  <si>
    <t>MPO096</t>
  </si>
  <si>
    <t>RLCSM21255/LC SPRING</t>
  </si>
  <si>
    <t>MPO097</t>
  </si>
  <si>
    <t>RLCSM21255/LC DLC EXTENDER CAP(SM)</t>
  </si>
  <si>
    <t>MPO098</t>
  </si>
  <si>
    <t>+</t>
  </si>
  <si>
    <t>RLCSM21255/LC CRIMP SLEEVE</t>
  </si>
  <si>
    <t>MPO099</t>
  </si>
  <si>
    <t>RLCSM21255/LC BOOT</t>
  </si>
  <si>
    <t>MPO100</t>
  </si>
  <si>
    <t>XCQ1450010/4E BRANCH BODY</t>
  </si>
  <si>
    <t>MPO101</t>
  </si>
  <si>
    <t>Z202005003001/TERMINAL CAP V-2B</t>
  </si>
  <si>
    <t>MPO102</t>
  </si>
  <si>
    <t>S-1 NO.1</t>
  </si>
  <si>
    <t>MPO103</t>
  </si>
  <si>
    <t>S-1 NO.2</t>
  </si>
  <si>
    <t>MPO105</t>
  </si>
  <si>
    <t>S-1 NO.4</t>
  </si>
  <si>
    <t>MPO113</t>
  </si>
  <si>
    <t>RCN2660026- SC SPRING</t>
  </si>
  <si>
    <t>MPO114</t>
  </si>
  <si>
    <t>RCN2660026- SC STOP RING</t>
  </si>
  <si>
    <t>MPO115</t>
  </si>
  <si>
    <t>RCN2660026-SC CLAMP RING</t>
  </si>
  <si>
    <t>MPO116</t>
  </si>
  <si>
    <t>RCN2660026- SC RING</t>
  </si>
  <si>
    <t>MPO117</t>
  </si>
  <si>
    <t>MPO118</t>
  </si>
  <si>
    <t>RCN2660026- SC PLUG FRAME 2B</t>
  </si>
  <si>
    <t>MPO119</t>
  </si>
  <si>
    <t>RCN2660026 SC DUST CAP</t>
  </si>
  <si>
    <t>MPO120</t>
  </si>
  <si>
    <t>0.9 HYTREL GI50</t>
  </si>
  <si>
    <t>MPO121</t>
  </si>
  <si>
    <t>04 f2 PROTECTION TUBE(BLACK)</t>
  </si>
  <si>
    <t>MPO122</t>
  </si>
  <si>
    <t>0.25 OPTICAL FIBER</t>
  </si>
  <si>
    <t>MPO123</t>
  </si>
  <si>
    <t>f2 CORD (0.9 NYLON FW)</t>
  </si>
  <si>
    <t>MPO124</t>
  </si>
  <si>
    <t>12 CORE TAPE FIBER</t>
  </si>
  <si>
    <t>MPO125</t>
  </si>
  <si>
    <t>G359507 MT12 LOW-LOSS ANGLE INJ W/O BOOT</t>
  </si>
  <si>
    <t>MPO126</t>
  </si>
  <si>
    <t>12MT BOOT 5.5</t>
  </si>
  <si>
    <t>MPO127</t>
  </si>
  <si>
    <t>S.04.03/CG(G314372)</t>
  </si>
  <si>
    <t>MPO128</t>
  </si>
  <si>
    <t>SM Fiber G766005</t>
  </si>
  <si>
    <t>MPO129</t>
  </si>
  <si>
    <t>REINFORCED TUBE (1.5mm) G374130</t>
  </si>
  <si>
    <t>MPO130</t>
  </si>
  <si>
    <t>S-1 NO.5</t>
  </si>
  <si>
    <t>MPO131</t>
  </si>
  <si>
    <t>S-1 NO.6</t>
  </si>
  <si>
    <t>MPO132</t>
  </si>
  <si>
    <t>S-1 NO.7</t>
  </si>
  <si>
    <t>MPO133</t>
  </si>
  <si>
    <t>S-1 NO.8</t>
  </si>
  <si>
    <t>MPO134</t>
  </si>
  <si>
    <t>S-1 NO.9</t>
  </si>
  <si>
    <t>MPO135</t>
  </si>
  <si>
    <t>S-1 NO.0</t>
  </si>
  <si>
    <t>MPO136</t>
  </si>
  <si>
    <t>S-1 No.L</t>
  </si>
  <si>
    <t>MPO137</t>
  </si>
  <si>
    <t>S-1 No.R</t>
  </si>
  <si>
    <t>MPO138</t>
  </si>
  <si>
    <t>Optical cord(G316277) Yellow</t>
  </si>
  <si>
    <t>MPO139</t>
  </si>
  <si>
    <t>Optical cord(G316287) Blue</t>
  </si>
  <si>
    <t>MPO140</t>
  </si>
  <si>
    <t>8-fiber round cable (@2.3m)</t>
  </si>
  <si>
    <t>MPO141</t>
  </si>
  <si>
    <t>MT ferule (FM type)</t>
  </si>
  <si>
    <t>MPO142</t>
  </si>
  <si>
    <t>2H boot(MT boot )</t>
  </si>
  <si>
    <t>MPO143</t>
  </si>
  <si>
    <t>MTRJ Clamp Ring</t>
  </si>
  <si>
    <t>MPO144</t>
  </si>
  <si>
    <t>Stopper for FC connecter</t>
  </si>
  <si>
    <t>MPO145</t>
  </si>
  <si>
    <t>RUBBER CAP(4MT?8MT CAP)</t>
  </si>
  <si>
    <t>MPO146</t>
  </si>
  <si>
    <t>BUBBLE BAG (70x100x180)</t>
  </si>
  <si>
    <t>MPO147</t>
  </si>
  <si>
    <t>BUBBLE BAG (350x350x430)</t>
  </si>
  <si>
    <t>MPO148</t>
  </si>
  <si>
    <t>G315219:TAPE CORD (AWL/4TCF)</t>
  </si>
  <si>
    <t>MPO149</t>
  </si>
  <si>
    <t>1.7MM ZIP CORD (LW) (G316235)</t>
  </si>
  <si>
    <t>MPO150</t>
  </si>
  <si>
    <t>MPO151</t>
  </si>
  <si>
    <t>MPO152</t>
  </si>
  <si>
    <t>MPO153</t>
  </si>
  <si>
    <t>MPO154</t>
  </si>
  <si>
    <t>MPO155</t>
  </si>
  <si>
    <t>MPO156</t>
  </si>
  <si>
    <t>MPO157</t>
  </si>
  <si>
    <t>MPO158</t>
  </si>
  <si>
    <t>LC SIDE CLIP</t>
  </si>
  <si>
    <t>MPO159</t>
  </si>
  <si>
    <t>SSC-PH17 [BL] BOOT</t>
  </si>
  <si>
    <t>MPO160</t>
  </si>
  <si>
    <t>SC-PH1.7 RING</t>
  </si>
  <si>
    <t>MPO161</t>
  </si>
  <si>
    <t>SC-PH1.7 CLAMP RING</t>
  </si>
  <si>
    <t>MPO162</t>
  </si>
  <si>
    <t>MPO163</t>
  </si>
  <si>
    <t>SC-PH PLUG FRAME 2B</t>
  </si>
  <si>
    <t>MPO164</t>
  </si>
  <si>
    <t>SC SPRING</t>
  </si>
  <si>
    <t>MPO165</t>
  </si>
  <si>
    <t>SSC-PH GRIP</t>
  </si>
  <si>
    <t>MPO166</t>
  </si>
  <si>
    <t>MPO167</t>
  </si>
  <si>
    <t>DSC CLIPPER (TOP)</t>
  </si>
  <si>
    <t>MPO168</t>
  </si>
  <si>
    <t>DSC CLIPPER (BOTTOM)</t>
  </si>
  <si>
    <t>MPO169</t>
  </si>
  <si>
    <t>Optical Fiber(G316295)</t>
  </si>
  <si>
    <t>MPSC01-2</t>
  </si>
  <si>
    <t>RCN2660025-SC SPRING</t>
  </si>
  <si>
    <t>MPSC02-2</t>
  </si>
  <si>
    <t>RCN2660025-SC STOP RING</t>
  </si>
  <si>
    <t>MPSC03-2</t>
  </si>
  <si>
    <t>RCN2660025-SC CLAMP RING</t>
  </si>
  <si>
    <t>MPSC04-2</t>
  </si>
  <si>
    <t>RCN2660025-SC RING</t>
  </si>
  <si>
    <t>MPSC05-2</t>
  </si>
  <si>
    <t>RCN2660025-SC PLUG FRAME 2B</t>
  </si>
  <si>
    <t>MPSC06-2</t>
  </si>
  <si>
    <t>RCN2660025-SSC-PH20?BL?BOOT</t>
  </si>
  <si>
    <t>MPSC07-2</t>
  </si>
  <si>
    <t>RCN2660025-SC2-PH CAP?(VA GOODS)</t>
  </si>
  <si>
    <t>MPSC08</t>
  </si>
  <si>
    <t>RCN2660021 SSC PH GRIP</t>
  </si>
  <si>
    <t>MPSC11-2</t>
  </si>
  <si>
    <t>MPSC12-2</t>
  </si>
  <si>
    <t>MPSC13-2</t>
  </si>
  <si>
    <t>MPSC14-2</t>
  </si>
  <si>
    <t>MPSC15-2</t>
  </si>
  <si>
    <t>MPSC16-2</t>
  </si>
  <si>
    <t>MPSC17-2</t>
  </si>
  <si>
    <t>MPSC18-2</t>
  </si>
  <si>
    <t>MPSC19-2</t>
  </si>
  <si>
    <t>MPSC20-2</t>
  </si>
  <si>
    <t>MPSC21-2</t>
  </si>
  <si>
    <t>MPSC22-2</t>
  </si>
  <si>
    <t>MPSC23-2</t>
  </si>
  <si>
    <t>MPSC24-2</t>
  </si>
  <si>
    <t>MPSC25-2</t>
  </si>
  <si>
    <t>MPSC26-2</t>
  </si>
  <si>
    <t>MPSC27-2</t>
  </si>
  <si>
    <t>MPSC28-2</t>
  </si>
  <si>
    <t>MPSC30-2</t>
  </si>
  <si>
    <t>MPSC31-2</t>
  </si>
  <si>
    <t>MPSC38</t>
  </si>
  <si>
    <t>GAG0630010/TUBE S925(@1.5M)</t>
  </si>
  <si>
    <t>MPSC39</t>
  </si>
  <si>
    <t>MPSC40</t>
  </si>
  <si>
    <t>MPSC41</t>
  </si>
  <si>
    <t>RCN2490120 SC APC SPRING</t>
  </si>
  <si>
    <t>MPSC42</t>
  </si>
  <si>
    <t>RCN2490120 SC APC STOP RING</t>
  </si>
  <si>
    <t>MPSC43</t>
  </si>
  <si>
    <t>RCN2490120 SC APC CLAMP RING</t>
  </si>
  <si>
    <t>MPSC44</t>
  </si>
  <si>
    <t>RCN2490120 SC APC RING</t>
  </si>
  <si>
    <t>MPSC45</t>
  </si>
  <si>
    <t>RCN2490120 SC APC LA BOOT</t>
  </si>
  <si>
    <t>MPSC46</t>
  </si>
  <si>
    <t>RCN2490120 SC APC PLUG FRAME 2B</t>
  </si>
  <si>
    <t>MPSC47</t>
  </si>
  <si>
    <t>RCN2490120 SC APC GRIP</t>
  </si>
  <si>
    <t>MPSC48</t>
  </si>
  <si>
    <t>RCN2490120 SC APC DUST CAP</t>
  </si>
  <si>
    <t>MPSC49</t>
  </si>
  <si>
    <t>MPSC50</t>
  </si>
  <si>
    <t>SM Fiber G315218</t>
  </si>
  <si>
    <t>MPSC52</t>
  </si>
  <si>
    <t>Dia 0.65MM 125.5UM</t>
  </si>
  <si>
    <t>MPSC53</t>
  </si>
  <si>
    <t>MPSC60</t>
  </si>
  <si>
    <t>CAP B</t>
  </si>
  <si>
    <t>MPSC61</t>
  </si>
  <si>
    <t>PLASTIC STOP RING : WLA-7306050</t>
  </si>
  <si>
    <t>MPSC62</t>
  </si>
  <si>
    <t>PLASTIC BOOT : WLA-6404292</t>
  </si>
  <si>
    <t>MPSC63</t>
  </si>
  <si>
    <t>SC CAP:WLA-7511290</t>
  </si>
  <si>
    <t>MS001</t>
  </si>
  <si>
    <t>SUBSTRATE</t>
  </si>
  <si>
    <t>MS002</t>
  </si>
  <si>
    <t>MS003</t>
  </si>
  <si>
    <t>PLUG ATTACH PART</t>
  </si>
  <si>
    <t>PLUG ATTACH PART(LEFT)</t>
  </si>
  <si>
    <t>MS004</t>
  </si>
  <si>
    <t>PLUG ATTACH PART (RIGHT)</t>
  </si>
  <si>
    <t>MS005</t>
  </si>
  <si>
    <t>CLAMP SPRING</t>
  </si>
  <si>
    <t>CLAMP SPRING IJ</t>
  </si>
  <si>
    <t>MS006</t>
  </si>
  <si>
    <t>Product Case Packing</t>
  </si>
  <si>
    <t>MS007</t>
  </si>
  <si>
    <t>PRODUCT PACKING</t>
  </si>
  <si>
    <t>MS008</t>
  </si>
  <si>
    <t>LAPPING SHEET</t>
  </si>
  <si>
    <t>Lapping Sheet</t>
  </si>
  <si>
    <t>MS009</t>
  </si>
  <si>
    <t>PRODUCT LID PACKING</t>
  </si>
  <si>
    <t>Product Lid Packing</t>
  </si>
  <si>
    <t>MS010</t>
  </si>
  <si>
    <t>PRODUCT PRESSER BAR</t>
  </si>
  <si>
    <t>G315230 SM TAPE 1CORE S.045/CS</t>
  </si>
  <si>
    <t>MU FERRULE 125.0-125.5UM</t>
  </si>
  <si>
    <t>SC FERRULE 125.0-125.5UM</t>
  </si>
  <si>
    <t>NIX MARK BAND S-1 M 1.8(SET@300PC)</t>
  </si>
  <si>
    <t>MTC091</t>
  </si>
  <si>
    <t>FC FERRULE (125.2-125.7)</t>
  </si>
  <si>
    <t>MTC093-2</t>
  </si>
  <si>
    <t>FC (AdPC) DUST CAP</t>
  </si>
  <si>
    <t>MTC093-3</t>
  </si>
  <si>
    <t>FC (AdPC) FRAME</t>
  </si>
  <si>
    <t>MTC093-4</t>
  </si>
  <si>
    <t>FC (AdPC) WASHER</t>
  </si>
  <si>
    <t>MTC093-6</t>
  </si>
  <si>
    <t>FC (AdPC) SPRING</t>
  </si>
  <si>
    <t>MTC093-7</t>
  </si>
  <si>
    <t>FC (AdPC) STOPPER</t>
  </si>
  <si>
    <t>MTC093-8</t>
  </si>
  <si>
    <t>FC (AdPC) BOOT</t>
  </si>
  <si>
    <t>NAK001</t>
  </si>
  <si>
    <t>NBAWC001</t>
  </si>
  <si>
    <t>SCREW(NUT)</t>
  </si>
  <si>
    <t>FEX-440</t>
  </si>
  <si>
    <t>NBAWC002</t>
  </si>
  <si>
    <t>FEX-832</t>
  </si>
  <si>
    <t>NBAWC003</t>
  </si>
  <si>
    <t>FH-632-16-ZI</t>
  </si>
  <si>
    <t>NBAWC004</t>
  </si>
  <si>
    <t>FHL-032-6-ZI</t>
  </si>
  <si>
    <t>NBAWC005</t>
  </si>
  <si>
    <t>RAS632-10-10-ZI</t>
  </si>
  <si>
    <t>NBAWC006</t>
  </si>
  <si>
    <t>S0-632-34-ZI</t>
  </si>
  <si>
    <t>NBAWC007</t>
  </si>
  <si>
    <t>S0-632-8-ZI</t>
  </si>
  <si>
    <t>NBAWC008</t>
  </si>
  <si>
    <t>S0-84-1-14</t>
  </si>
  <si>
    <t>NBAWC009</t>
  </si>
  <si>
    <t>S-440-2-ZI</t>
  </si>
  <si>
    <t>NBAWC010</t>
  </si>
  <si>
    <t>SO-440-8-ZI</t>
  </si>
  <si>
    <t>OE001</t>
  </si>
  <si>
    <t>12ch OPTICAL ENGINE SUB-ASSEMBLY(TX)</t>
  </si>
  <si>
    <t>OE002</t>
  </si>
  <si>
    <t>12ch OPTICAL ENGINE SUB-ASSEMBLY(RX)</t>
  </si>
  <si>
    <t>OE003</t>
  </si>
  <si>
    <t>METAL COVER</t>
  </si>
  <si>
    <t>OE003-S</t>
  </si>
  <si>
    <t>OE004</t>
  </si>
  <si>
    <t>LENS ARRAY   FLM-LA02</t>
  </si>
  <si>
    <t>OE005</t>
  </si>
  <si>
    <t>GUIDE PIN</t>
  </si>
  <si>
    <t>OE006</t>
  </si>
  <si>
    <t>12CH OPTICAL ENGINE SUB-ASSEMBLY (FLM-BA</t>
  </si>
  <si>
    <t>OE010</t>
  </si>
  <si>
    <t>12CH OE SUB-ASSEMBLY (1060NM-RX)</t>
  </si>
  <si>
    <t>OE011-FBN</t>
  </si>
  <si>
    <t>PCB ASSEMBLY /TX : FLM-BA03B-LE</t>
  </si>
  <si>
    <t>OE012-FBN</t>
  </si>
  <si>
    <t>PCB ASSEMBLY /12ch: FLM-BA04B-RX</t>
  </si>
  <si>
    <t>OE013</t>
  </si>
  <si>
    <t>4ch OE SubstrateAssembly-transceiver</t>
  </si>
  <si>
    <t>OE013-FBN</t>
  </si>
  <si>
    <t>PCB ASSEMBLY : 4CH/FLM-BA07-DQ4</t>
  </si>
  <si>
    <t>OE014</t>
  </si>
  <si>
    <t>FLM-CC03 (CLIP)</t>
  </si>
  <si>
    <t>OE015</t>
  </si>
  <si>
    <t>12CH_1060nm-TX (FLM-BA16)</t>
  </si>
  <si>
    <t>OHTA001</t>
  </si>
  <si>
    <t>MG PLATE /14TD043-2-No.1</t>
  </si>
  <si>
    <t>OHTA002</t>
  </si>
  <si>
    <t>SENSOR DOG PIN/14TD043-2-No.4</t>
  </si>
  <si>
    <t>OHTA003</t>
  </si>
  <si>
    <t>HOLDER HOOK /14TD043-2-No.8</t>
  </si>
  <si>
    <t>OHTA004</t>
  </si>
  <si>
    <t>ELECTRODE SCREW 30A2297E</t>
  </si>
  <si>
    <t>OHTA005</t>
  </si>
  <si>
    <t>BRASS NUT</t>
  </si>
  <si>
    <t>FEED NUT P0.7 : 30A3121J</t>
  </si>
  <si>
    <t>OHTA006</t>
  </si>
  <si>
    <t>HINGE SHAFT A /14TD043-2-No.3</t>
  </si>
  <si>
    <t>OHTA007</t>
  </si>
  <si>
    <t>HEATER HINGE SHAFT B /14TD043-2-No.10</t>
  </si>
  <si>
    <t>OHTA008</t>
  </si>
  <si>
    <t>HEATER HINGE SHAFT A /14TD043-2-No.9</t>
  </si>
  <si>
    <t>OHTA009</t>
  </si>
  <si>
    <t>SUS GEAR</t>
  </si>
  <si>
    <t>GEAR M /14TD043-2-No.7</t>
  </si>
  <si>
    <t>OHTA010</t>
  </si>
  <si>
    <t>M4 SHAFT P0.7 14TD043-2-NO.5</t>
  </si>
  <si>
    <t>P010L</t>
  </si>
  <si>
    <t>BLANK LABEL # 55 PZ2 8E LINTEC</t>
  </si>
  <si>
    <t>QR Label - 8MT-FT-C</t>
  </si>
  <si>
    <t>P018-1</t>
  </si>
  <si>
    <t>P019</t>
  </si>
  <si>
    <t>PAB01</t>
  </si>
  <si>
    <t>PAPER BOARD FOR T-PIG 155x310 MM.</t>
  </si>
  <si>
    <t>PAB02</t>
  </si>
  <si>
    <t>PAPER BOARD FOR T-PIG 143x180 MM.</t>
  </si>
  <si>
    <t>PAB08</t>
  </si>
  <si>
    <t>PAPER BOARD FOR AWG</t>
  </si>
  <si>
    <t>PAD04</t>
  </si>
  <si>
    <t>PAD FOR 4-SC/2-SC</t>
  </si>
  <si>
    <t>PAD05</t>
  </si>
  <si>
    <t>INNER PAD FOR DC-PF</t>
  </si>
  <si>
    <t>PAD06</t>
  </si>
  <si>
    <t>PAD FOR FAS CONNECTOR FIBER</t>
  </si>
  <si>
    <t>PAD08</t>
  </si>
  <si>
    <t>INNER PAD FOR DC-FA</t>
  </si>
  <si>
    <t>PAD09</t>
  </si>
  <si>
    <t>CARTON PAD (A) 354 X 990 MM.</t>
  </si>
  <si>
    <t>PAD10</t>
  </si>
  <si>
    <t>CARTON PAD (B) 365 X 605 MM.</t>
  </si>
  <si>
    <t>PAD11</t>
  </si>
  <si>
    <t>CARTON PAD (A) 310 x 990 mm.</t>
  </si>
  <si>
    <t>PAD12</t>
  </si>
  <si>
    <t>PAD FOR JUMPER CORD I185-I185 (C)</t>
  </si>
  <si>
    <t>PAD13</t>
  </si>
  <si>
    <t>INNER PAD FOR KOUNAI 4B</t>
  </si>
  <si>
    <t>PAD14</t>
  </si>
  <si>
    <t>INNER PAD FOR KOUNAI 8B</t>
  </si>
  <si>
    <t>PAL01</t>
  </si>
  <si>
    <t>STRAP ROPE (YELLOW)</t>
  </si>
  <si>
    <t>STRAP ROPE FOR PALLET PACKING</t>
  </si>
  <si>
    <t>PAL02</t>
  </si>
  <si>
    <t>STRETCH FILM 15 MIC PACK</t>
  </si>
  <si>
    <t>STFH15-W500-L300-D2-PACK (PACK@6 PCS)</t>
  </si>
  <si>
    <t>PAL04</t>
  </si>
  <si>
    <t>STEEL GIFT FOR STRAP</t>
  </si>
  <si>
    <t>PAL05B</t>
  </si>
  <si>
    <t>CORNER GUARD-B</t>
  </si>
  <si>
    <t>CORNER GUARD (690x50x50 MM)</t>
  </si>
  <si>
    <t>PAL09</t>
  </si>
  <si>
    <t>WOODEN PALLET 118X118X13.7CM</t>
  </si>
  <si>
    <t>PAL10</t>
  </si>
  <si>
    <t>PAPER SHEET FOR WOODEN PALLET1180X1180MM</t>
  </si>
  <si>
    <t>PAL12</t>
  </si>
  <si>
    <t>PAPER SHEET SIZE 1040x910 MM.</t>
  </si>
  <si>
    <t>PAL13</t>
  </si>
  <si>
    <t>WOODEN PALLET 1040x910x137 MM.</t>
  </si>
  <si>
    <t>PAP29</t>
  </si>
  <si>
    <t>PAPER B5 70 GM</t>
  </si>
  <si>
    <t>PAS04</t>
  </si>
  <si>
    <t>PAPER SHEET IDM 250X400 MM</t>
  </si>
  <si>
    <t>PAS05</t>
  </si>
  <si>
    <t>SUPPORT SHEET FOR 4-SC/2-SC</t>
  </si>
  <si>
    <t>PAS06</t>
  </si>
  <si>
    <t>PARTITION FOR 4-SC 1 SET = 4PC</t>
  </si>
  <si>
    <t>PAS08</t>
  </si>
  <si>
    <t>PAPER SHEET FTM 485X460 MM NEW</t>
  </si>
  <si>
    <t>PAS09</t>
  </si>
  <si>
    <t>PAS15</t>
  </si>
  <si>
    <t>PARTITION FOR DC-SC CORD FL</t>
  </si>
  <si>
    <t>PAS16</t>
  </si>
  <si>
    <t>SUPPORT SHEET</t>
  </si>
  <si>
    <t>PAS17</t>
  </si>
  <si>
    <t>PARTITION A+B FOR HEKIMEN(1PAIR /1 SET)</t>
  </si>
  <si>
    <t>PAS18</t>
  </si>
  <si>
    <t>SUPPORT SHEET FOR HEKIMEN</t>
  </si>
  <si>
    <t>PAS19</t>
  </si>
  <si>
    <t>SUPPORT SHEET FOR KOUNAI</t>
  </si>
  <si>
    <t>PAS20</t>
  </si>
  <si>
    <t>PARTITION A+B FOR KOUNAI(1PAIR/1 SET)</t>
  </si>
  <si>
    <t>PAS21</t>
  </si>
  <si>
    <t>PARTITION A+B FOR MULTI (1PAIR/1 SET)</t>
  </si>
  <si>
    <t>PAS22</t>
  </si>
  <si>
    <t>PAD FOR MULTI SECONDARY</t>
  </si>
  <si>
    <t>PAS23</t>
  </si>
  <si>
    <t>PARTITION FOR MULTI PRIMARY</t>
  </si>
  <si>
    <t>PAS24</t>
  </si>
  <si>
    <t>PAD FOR MULTI PRIMARY</t>
  </si>
  <si>
    <t>PAS25</t>
  </si>
  <si>
    <t>PAPER SHEET FOR DEVICE (24X34.5CM)</t>
  </si>
  <si>
    <t>PAS26</t>
  </si>
  <si>
    <t>SUPPORT SHEET OF MIDDLE E PF/E SPLITTER</t>
  </si>
  <si>
    <t>PAS28</t>
  </si>
  <si>
    <t>PARTTION FOR DC-FA</t>
  </si>
  <si>
    <t>PAS29</t>
  </si>
  <si>
    <t>SUPPORT SHEET (PAD) FOR DC-FA</t>
  </si>
  <si>
    <t>PLC019</t>
  </si>
  <si>
    <t>1GV/430-S0423-0005</t>
  </si>
  <si>
    <t>R-AW001</t>
  </si>
  <si>
    <t>BC-494-N0416-02</t>
  </si>
  <si>
    <t>R-AW002</t>
  </si>
  <si>
    <t>430-S0405</t>
  </si>
  <si>
    <t>R-AWC056</t>
  </si>
  <si>
    <t>487-N0510 (repair)</t>
  </si>
  <si>
    <t>R00FA001-FEL</t>
  </si>
  <si>
    <t>L COVER FOR SC/APC OPTICAL OPT(42001736)</t>
  </si>
  <si>
    <t>R00FA001-LAT</t>
  </si>
  <si>
    <t>L COVER FOR SC/APC(RLP3143-4A241)</t>
  </si>
  <si>
    <t>R00FA001-SUR</t>
  </si>
  <si>
    <t>FSC PIN SC/APC OPT. CONNECTOR(42001738)</t>
  </si>
  <si>
    <t>R00FA002-LAT</t>
  </si>
  <si>
    <t>FSC PIN FOR SC/APC(RLP3144-K1000)</t>
  </si>
  <si>
    <t>R00FA002-SUR</t>
  </si>
  <si>
    <t>R00FA003-FEL</t>
  </si>
  <si>
    <t>FSC STOPRING SC/APC OP. CONNECT 42001739</t>
  </si>
  <si>
    <t>R00FA003-LAT</t>
  </si>
  <si>
    <t>FSC STOPPER L FOR SC/APC CON.(42001740)</t>
  </si>
  <si>
    <t>R00FA004-LAT</t>
  </si>
  <si>
    <t>R00FA005-FEL</t>
  </si>
  <si>
    <t>SC-PH PLUG FRAME SC/APC CONN.(42001741)</t>
  </si>
  <si>
    <t>R00FA005-LAT</t>
  </si>
  <si>
    <t>SC-PH PLUG FRAME (RLP3147-4A019)</t>
  </si>
  <si>
    <t>R00FA005-SUR</t>
  </si>
  <si>
    <t>R00FA006-LAT</t>
  </si>
  <si>
    <t>R00FA007-LAT</t>
  </si>
  <si>
    <t>R00FA008-FEL</t>
  </si>
  <si>
    <t>CAP FOR SC/APC OPT.CONNECTOR(42001744)</t>
  </si>
  <si>
    <t>R00FA008-SUR</t>
  </si>
  <si>
    <t>CAP FOR SC/APC (RLP3150-AA000)</t>
  </si>
  <si>
    <t>R00FA009-FEL</t>
  </si>
  <si>
    <t>WEDGE LOCK FOR SC/APC OPT. CON(42001746)</t>
  </si>
  <si>
    <t>R00FA009-LAT</t>
  </si>
  <si>
    <t>WEDGE LOCK FOR SC/APC(RLP3151-11000)</t>
  </si>
  <si>
    <t>R00FA009-SUR</t>
  </si>
  <si>
    <t>R00FA010-FEL</t>
  </si>
  <si>
    <t>CABLE CLAMP FOR SC/APC OPT.(42001747)</t>
  </si>
  <si>
    <t>R00FA010-LAT</t>
  </si>
  <si>
    <t>CABLE CLAMP FOR SC/APC(RLP3152-AB239)</t>
  </si>
  <si>
    <t>R00FA010-SUR</t>
  </si>
  <si>
    <t>R00FA011-FEL</t>
  </si>
  <si>
    <t>F GUIDE FOR SC/APC OPT CONNECT(42001748)</t>
  </si>
  <si>
    <t>R00FA011-LAT</t>
  </si>
  <si>
    <t>F GUIDE FOR SC/APC (RLP3153-01238)</t>
  </si>
  <si>
    <t>R00FA011-SUR</t>
  </si>
  <si>
    <t>COVER AND BASE OF CABLE HOLDER(42002425)</t>
  </si>
  <si>
    <t>R00FA012-LAT</t>
  </si>
  <si>
    <t>COVER AND BASE OF CABLE HOLDER FOR SC/AP</t>
  </si>
  <si>
    <t>R00FA013-FEL</t>
  </si>
  <si>
    <t>ROUNDCABLE BOOT SC/APC OPT.CON(42000307)</t>
  </si>
  <si>
    <t>R00FA013-LAT</t>
  </si>
  <si>
    <t>ROUNDCABLE BOOT SC/APC OPTICAL CONNECTOR</t>
  </si>
  <si>
    <t>R00FA013-SUR</t>
  </si>
  <si>
    <t>R00FA014-FEL</t>
  </si>
  <si>
    <t>ROUND CABLE CLAMP SC/APC OPT. (42000308)</t>
  </si>
  <si>
    <t>R00FA014-LAT</t>
  </si>
  <si>
    <t>ROUND CABLE CLAMP SC/APC OPT. CONNECTOR</t>
  </si>
  <si>
    <t>R00FA014-SUR</t>
  </si>
  <si>
    <t>R00FA015-FEL</t>
  </si>
  <si>
    <t>F GUIDE SC/APC CON. ROUNDCABLE(42000312)</t>
  </si>
  <si>
    <t>R00FA015-LAT</t>
  </si>
  <si>
    <t>F GUIDE SC/APC OPT CONNECTOR ROUNDCABLE</t>
  </si>
  <si>
    <t>R00FA015-SUR</t>
  </si>
  <si>
    <t>R00FA016-FEL</t>
  </si>
  <si>
    <t>COVER AND BASE OF CABLE HOLDER(42002668)</t>
  </si>
  <si>
    <t>R00FA016-SUR</t>
  </si>
  <si>
    <t>COVER AND BASE OF SC/APC CABLE HOLDER</t>
  </si>
  <si>
    <t>SPRING FOR SC/APC OPT. CONN (42002341)</t>
  </si>
  <si>
    <t>R00FA018-FEL</t>
  </si>
  <si>
    <t>FSC HOUSING FOR SC/UPC (42002157)</t>
  </si>
  <si>
    <t>R00FA018-LAT</t>
  </si>
  <si>
    <t>FSC HOUSING FOR SC/UPC (42002157) BLUE</t>
  </si>
  <si>
    <t>R00FA018-SUR</t>
  </si>
  <si>
    <t>R00FA019-FEL</t>
  </si>
  <si>
    <t>BASE OF CABLEHOLDER SC/APC (42000309)</t>
  </si>
  <si>
    <t>R00FA019-LAT</t>
  </si>
  <si>
    <t>R00FA020-FEL</t>
  </si>
  <si>
    <t>COVER OF CABLEHOLDER SC/APC (42000310)</t>
  </si>
  <si>
    <t>R00FA020-LAT</t>
  </si>
  <si>
    <t>R00FA033-SEI</t>
  </si>
  <si>
    <t>FAS STOPPER L</t>
  </si>
  <si>
    <t>FSC STOPPER L (GRAY)</t>
  </si>
  <si>
    <t>R00FA036-LAT</t>
  </si>
  <si>
    <t>R00FA037-LAT</t>
  </si>
  <si>
    <t>R00FA040-SAN</t>
  </si>
  <si>
    <t>R00FA041-SEI</t>
  </si>
  <si>
    <t>R00FA042-ADV</t>
  </si>
  <si>
    <t>R00FA043-LAT</t>
  </si>
  <si>
    <t>GREEN BOOT FOR FIBER 0,9MM</t>
  </si>
  <si>
    <t>R00FA043-SUR</t>
  </si>
  <si>
    <t>R00FA044-LAT</t>
  </si>
  <si>
    <t>R00FA045-LAT</t>
  </si>
  <si>
    <t>FIBER GUIDE FOR FIBER 0,9MM</t>
  </si>
  <si>
    <t>R00FA045-SUR</t>
  </si>
  <si>
    <t>R00FA046-LAT</t>
  </si>
  <si>
    <t>COMMON COVERING PRESSER PART (SE070156C)</t>
  </si>
  <si>
    <t>R00FA046-SEI</t>
  </si>
  <si>
    <t>R00FA047-LAT</t>
  </si>
  <si>
    <t>FERRULE PART FOR FIBER 0,9MM (KBM-POT-14</t>
  </si>
  <si>
    <t>R00FA047-SEI</t>
  </si>
  <si>
    <t>R00FA048-LAT</t>
  </si>
  <si>
    <t>R00FA049-LAT</t>
  </si>
  <si>
    <t>R00FA050-LAT</t>
  </si>
  <si>
    <t>R00FA051-SUR</t>
  </si>
  <si>
    <t>R00FA052-SUR</t>
  </si>
  <si>
    <t>R00FA053-SUR</t>
  </si>
  <si>
    <t>INTERNAL BODY</t>
  </si>
  <si>
    <t>R00FA054-SUR</t>
  </si>
  <si>
    <t>CRIMP</t>
  </si>
  <si>
    <t>R00FA058-CHA</t>
  </si>
  <si>
    <t>CAP FOR SC/APC OPTICAL CONNECTOR</t>
  </si>
  <si>
    <t>R00FA059-SEI</t>
  </si>
  <si>
    <t>F0.25 GI (50) FIBER (GREEN)</t>
  </si>
  <si>
    <t>R00FA061-SEI</t>
  </si>
  <si>
    <t>R00FA062-SEI</t>
  </si>
  <si>
    <t>R00FA063-SEI</t>
  </si>
  <si>
    <t>R00MP178-SEI</t>
  </si>
  <si>
    <t>OPTICAL CORD (G317263)</t>
  </si>
  <si>
    <t>R0MTC001-SEI</t>
  </si>
  <si>
    <t>MU FERRULE 124.8-125.2UM</t>
  </si>
  <si>
    <t>R0MTC092-SEI</t>
  </si>
  <si>
    <t>125 (SGZ-1A1412500G-X)</t>
  </si>
  <si>
    <t>R0MTC093-SEI</t>
  </si>
  <si>
    <t>SC SM FERRULE 125.0-125.3 UM CSAS-MTR-FA</t>
  </si>
  <si>
    <t>R0MTC094-SEN</t>
  </si>
  <si>
    <t>FERRULE ON TYPE DUST CAP, 2.5MM, WHITE</t>
  </si>
  <si>
    <t>R0MTC095-SEN</t>
  </si>
  <si>
    <t>FC STANDARD INNER FRAME, INNER KEY TYPE</t>
  </si>
  <si>
    <t>R0MTC096-SEN</t>
  </si>
  <si>
    <t>FC STANDARD WASHER</t>
  </si>
  <si>
    <t>R0MTC097-SEN</t>
  </si>
  <si>
    <t>FC SPRING</t>
  </si>
  <si>
    <t>R0MTC098-SEN</t>
  </si>
  <si>
    <t>FC STANDARD COUPLING NUT</t>
  </si>
  <si>
    <t>R0MTC099-SEN</t>
  </si>
  <si>
    <t>FC STANDARD 3MM STOPPER</t>
  </si>
  <si>
    <t>R0MTC100-SEN</t>
  </si>
  <si>
    <t>3MM STANDARD CRIMP RING</t>
  </si>
  <si>
    <t>R0MTC101-SEN</t>
  </si>
  <si>
    <t>STANDARD 3MM BLUE BOOT</t>
  </si>
  <si>
    <t>R0MTC102-SEN</t>
  </si>
  <si>
    <t>MM UPC 127UM FERRULE</t>
  </si>
  <si>
    <t>R0MTC103-SEN</t>
  </si>
  <si>
    <t>SC SM FERRULE 125.0+0.1 UM</t>
  </si>
  <si>
    <t>R0MTC105-SEN</t>
  </si>
  <si>
    <t>FC APC STEP FERRULE</t>
  </si>
  <si>
    <t>R0MTC106-SEN</t>
  </si>
  <si>
    <t>FC DUST CAP</t>
  </si>
  <si>
    <t>R0MTC107-SEN</t>
  </si>
  <si>
    <t>MINI GREEN BOOT</t>
  </si>
  <si>
    <t>R0MTC108-SEI</t>
  </si>
  <si>
    <t>G313220 SM TAPE 1CORE S.045/CS</t>
  </si>
  <si>
    <t>R0MTC108-SEN</t>
  </si>
  <si>
    <t>SC MASTER FERRULE WITH FLANGE ID 124.8UM</t>
  </si>
  <si>
    <t>R0MTC109-SEN</t>
  </si>
  <si>
    <t>SC DUST ADAPTER:A0200024</t>
  </si>
  <si>
    <t>R124S001-CAS</t>
  </si>
  <si>
    <t>CLAMP BASE-M (36A1129J)</t>
  </si>
  <si>
    <t>R124S001-CIT</t>
  </si>
  <si>
    <t>DIFFUSER (36A1180A)</t>
  </si>
  <si>
    <t>R124S001-FEC</t>
  </si>
  <si>
    <t>36A ARC BASE ASSEMBLY M12</t>
  </si>
  <si>
    <t>R124S001-OHJ</t>
  </si>
  <si>
    <t>SMALL DIAMETER BALL BEARING SFL674ZZ</t>
  </si>
  <si>
    <t>R124S001-TEC</t>
  </si>
  <si>
    <t>ARC COVER BOTTOM (36A1836H)</t>
  </si>
  <si>
    <t>R124S001-TFJ</t>
  </si>
  <si>
    <t>ARC B SPACER : 36A1826A</t>
  </si>
  <si>
    <t>R124S001-TOK</t>
  </si>
  <si>
    <t>SUSXM7 ARC FIX SCREW (36A1166B)</t>
  </si>
  <si>
    <t>R124S002-CAS</t>
  </si>
  <si>
    <t>CLAMP ARM-R (36A1123J)</t>
  </si>
  <si>
    <t>R124S002-TEC</t>
  </si>
  <si>
    <t>ARC COVER TOP (36A1848C)</t>
  </si>
  <si>
    <t>R124S002-TFJ</t>
  </si>
  <si>
    <t>CLAMP GUIDE : 36A1815A</t>
  </si>
  <si>
    <t>R124S003-CAS</t>
  </si>
  <si>
    <t>CLAMP ARM-L (36A1122J)</t>
  </si>
  <si>
    <t>R124S003-FEC</t>
  </si>
  <si>
    <t>36A ARC BASE ASSEMBLY M8</t>
  </si>
  <si>
    <t>R124S003-TEC</t>
  </si>
  <si>
    <t>ELECTRODE COVER-E (36A1850D)</t>
  </si>
  <si>
    <t>R124S003-TFJ</t>
  </si>
  <si>
    <t>PLATE HORN M24 : 36A1202A</t>
  </si>
  <si>
    <t>R124S004-OHJ</t>
  </si>
  <si>
    <t>0 PEN HEAD SCREW M1.6X3L</t>
  </si>
  <si>
    <t>R124S004-TEC</t>
  </si>
  <si>
    <t>REFORMER-12 PRO : 66B1046B (GREEN)</t>
  </si>
  <si>
    <t>R124S004-TFJ</t>
  </si>
  <si>
    <t>CMOS PLATE : FS-S124A-RM00-101-D</t>
  </si>
  <si>
    <t>R124S005-FEC</t>
  </si>
  <si>
    <t>ARC COVER BAR-MEA</t>
  </si>
  <si>
    <t>R124S005-OHJ</t>
  </si>
  <si>
    <t>F-WA674ASSA/1K</t>
  </si>
  <si>
    <t>R124S005-TEC</t>
  </si>
  <si>
    <t>REFORMER-4 : 66B1047B (BLUE)</t>
  </si>
  <si>
    <t>R124S006-FEC</t>
  </si>
  <si>
    <t>ARC COVER BBR-MEA</t>
  </si>
  <si>
    <t>R124S006-OHJ</t>
  </si>
  <si>
    <t>CROSS PAN HEAD SCREW I=4 M3X6L</t>
  </si>
  <si>
    <t>R124S006-TEC</t>
  </si>
  <si>
    <t>LENS_CYLINDER_NC : S124-R01-01-H</t>
  </si>
  <si>
    <t>R124S007-OHJ</t>
  </si>
  <si>
    <t>PLAIN WASHER (NOMINAL DIAMETER 3)</t>
  </si>
  <si>
    <t>R124S008-OHJ</t>
  </si>
  <si>
    <t>CROSS PAN HEAD SCREW I=4 M2X12L</t>
  </si>
  <si>
    <t>R124S009-FEC</t>
  </si>
  <si>
    <t>LINK ARM</t>
  </si>
  <si>
    <t>CLAMP ARM JOINT-L</t>
  </si>
  <si>
    <t>R124S009-OHJ</t>
  </si>
  <si>
    <t>HEXAGON NUT M2 TYPE 1</t>
  </si>
  <si>
    <t>R124S010-FEC</t>
  </si>
  <si>
    <t>CLAMP ARM JOINT-R</t>
  </si>
  <si>
    <t>R124S010-OHJ</t>
  </si>
  <si>
    <t>0 PEN HEAD SCREW M2×8L</t>
  </si>
  <si>
    <t>R124S011-FEC</t>
  </si>
  <si>
    <t>R124S011-OHJ</t>
  </si>
  <si>
    <t>PLAIN WASHER (NOMINAL DIAMETER 2)</t>
  </si>
  <si>
    <t>R124S012-FEC</t>
  </si>
  <si>
    <t>NFC HOLDER-M</t>
  </si>
  <si>
    <t>R124S012-OHJ</t>
  </si>
  <si>
    <t>HEXAGON HEAD CAP SCREW I=3 M2X5L</t>
  </si>
  <si>
    <t>R124S013-FEC</t>
  </si>
  <si>
    <t>CLAMP ARM BUSH</t>
  </si>
  <si>
    <t>R124S013-OHJ</t>
  </si>
  <si>
    <t>HEXAGON SUPER LOW HEAD SCREW M3X6L</t>
  </si>
  <si>
    <t>R124S014-FEC</t>
  </si>
  <si>
    <t>MG PIN</t>
  </si>
  <si>
    <t>R124S014-OHJ</t>
  </si>
  <si>
    <t>SUS HEX SOCKET SET SCREWS-FLATEND 3X04</t>
  </si>
  <si>
    <t>R124S015-FEC</t>
  </si>
  <si>
    <t>ARC FIX SCREW</t>
  </si>
  <si>
    <t>R124S016-FEC</t>
  </si>
  <si>
    <t>BRAND LABEL M4</t>
  </si>
  <si>
    <t>R124S017-FEC</t>
  </si>
  <si>
    <t>BRAND LABEL M8</t>
  </si>
  <si>
    <t>R124S018-FEC</t>
  </si>
  <si>
    <t>BRAND LABEL M12</t>
  </si>
  <si>
    <t>R124S019-FEC</t>
  </si>
  <si>
    <t>CENTER HING BLOCK</t>
  </si>
  <si>
    <t>R124S020-FEC</t>
  </si>
  <si>
    <t>CLAMP GUIDE</t>
  </si>
  <si>
    <t>R124S021-FEC</t>
  </si>
  <si>
    <t>ARC TERMINAL BASE-MEA</t>
  </si>
  <si>
    <t>R124S022-FEC</t>
  </si>
  <si>
    <t>ARC TERMINAL-PSP</t>
  </si>
  <si>
    <t>R124S023-FEC</t>
  </si>
  <si>
    <t>ELECTRODE TERMINAL</t>
  </si>
  <si>
    <t>R124S024-FEC</t>
  </si>
  <si>
    <t>R124S026-FEC</t>
  </si>
  <si>
    <t>MAIN BASE-M PRESS FIT</t>
  </si>
  <si>
    <t>R124S027-FEC</t>
  </si>
  <si>
    <t>R124S028-FEC</t>
  </si>
  <si>
    <t>FIBER CLAMP ARM-R</t>
  </si>
  <si>
    <t>R124S029-FEC</t>
  </si>
  <si>
    <t>FIBER CLAMP ARM-L</t>
  </si>
  <si>
    <t>R124S030-FEC</t>
  </si>
  <si>
    <t>CLAMP BASE-M</t>
  </si>
  <si>
    <t>R124S031-FEC</t>
  </si>
  <si>
    <t>HINGE</t>
  </si>
  <si>
    <t>HING COLLAR</t>
  </si>
  <si>
    <t>R124S032-FEC</t>
  </si>
  <si>
    <t>BUSHING</t>
  </si>
  <si>
    <t>OIRES BUSH 80B-0306</t>
  </si>
  <si>
    <t>R124S033-FEC</t>
  </si>
  <si>
    <t>JOINT SCREW</t>
  </si>
  <si>
    <t>R124S034-FEC</t>
  </si>
  <si>
    <t>LED ARM SHAFT</t>
  </si>
  <si>
    <t>R124S035-FEC</t>
  </si>
  <si>
    <t>CLAMP ARM WASHER</t>
  </si>
  <si>
    <t>R124S036-FEC</t>
  </si>
  <si>
    <t>CLAMP ARM SHAFT</t>
  </si>
  <si>
    <t>R124S037-FEC</t>
  </si>
  <si>
    <t>BEARING WASHER</t>
  </si>
  <si>
    <t>R124S038-FEC</t>
  </si>
  <si>
    <t>SUS SCREW</t>
  </si>
  <si>
    <t>ELECTRODE COVER FIX SCREW</t>
  </si>
  <si>
    <t>R124S039-FEC</t>
  </si>
  <si>
    <t>SR PUSH SHAFT</t>
  </si>
  <si>
    <t>R124S040-FEC</t>
  </si>
  <si>
    <t>CARRIAGE SP-M</t>
  </si>
  <si>
    <t>R124S041-FEC</t>
  </si>
  <si>
    <t>HING BLOCK SIM-01</t>
  </si>
  <si>
    <t>R124S042-FEC</t>
  </si>
  <si>
    <t>HING BLOCK SIM-005</t>
  </si>
  <si>
    <t>R124S043-FEC</t>
  </si>
  <si>
    <t>SR COMP SP</t>
  </si>
  <si>
    <t>R124S044-FEC</t>
  </si>
  <si>
    <t>SR MOTOR  SENSOR ASSEMBLY</t>
  </si>
  <si>
    <t>R124S045-FEC</t>
  </si>
  <si>
    <t>LED ARM BEARING SFL674ZZ</t>
  </si>
  <si>
    <t>R124S047-FEC</t>
  </si>
  <si>
    <t>HEXAGON SOCKET SET SCREW M1.6X2L</t>
  </si>
  <si>
    <t>R124S048-FEC</t>
  </si>
  <si>
    <t>NEODYMIUM MAGNET</t>
  </si>
  <si>
    <t>R124S049-FEC</t>
  </si>
  <si>
    <t>CLAMP SHAFT</t>
  </si>
  <si>
    <t>R124S050-FEC</t>
  </si>
  <si>
    <t>PARARELL PIN</t>
  </si>
  <si>
    <t>SUS PARARELL PIN</t>
  </si>
  <si>
    <t>R124S051-FEC</t>
  </si>
  <si>
    <t>R124S052-FEC</t>
  </si>
  <si>
    <t>CLAMP ARM BEARING F-WA674ASSA/1K</t>
  </si>
  <si>
    <t>R124S053-FEC</t>
  </si>
  <si>
    <t>CROSS RECESSED PAN HEAD SCREW W SEMS I=4</t>
  </si>
  <si>
    <t>R124S054-FEC</t>
  </si>
  <si>
    <t>R124S055-FEC</t>
  </si>
  <si>
    <t>R124S056-FEC</t>
  </si>
  <si>
    <t>R124S057-FEC</t>
  </si>
  <si>
    <t>0 PEN HEAD SCREW M2*8L</t>
  </si>
  <si>
    <t>R124S058-FEC</t>
  </si>
  <si>
    <t>R124S059-FEC</t>
  </si>
  <si>
    <t>GND WIRE</t>
  </si>
  <si>
    <t>R124S060-FEC</t>
  </si>
  <si>
    <t>LOW VOLTAGE WIRE</t>
  </si>
  <si>
    <t>R124S061-FEC</t>
  </si>
  <si>
    <t>CAMERA GND WIRE</t>
  </si>
  <si>
    <t>R124S063-FEC</t>
  </si>
  <si>
    <t>R124S064-FEC</t>
  </si>
  <si>
    <t>R124S064-PAL</t>
  </si>
  <si>
    <t>SENSOR BOARD FOR CANOPY (33A508X)</t>
  </si>
  <si>
    <t>R124S065-FEC</t>
  </si>
  <si>
    <t>R124S065-PAL</t>
  </si>
  <si>
    <t>UPPER LED BOARD (33A509X)</t>
  </si>
  <si>
    <t>R124S066-FEC</t>
  </si>
  <si>
    <t>R124S066-PAL</t>
  </si>
  <si>
    <t>SENSOR BOARD FOR HEATER (33A507X)</t>
  </si>
  <si>
    <t>R124S067-FEC</t>
  </si>
  <si>
    <t>CLAMP SP-30</t>
  </si>
  <si>
    <t>R124S068-FEC</t>
  </si>
  <si>
    <t>HIGH VOLTAGE MODULE ASSY (FSU-08M)</t>
  </si>
  <si>
    <t>R124S070-FEC</t>
  </si>
  <si>
    <t>R124S071-FEC</t>
  </si>
  <si>
    <t>CAM LED FPC</t>
  </si>
  <si>
    <t>R124S078-FEC</t>
  </si>
  <si>
    <t>HOLDER HOOK 4.1</t>
  </si>
  <si>
    <t>R124S079-OHT</t>
  </si>
  <si>
    <t>HOLDER HOOK 4.1 : 36A1198A</t>
  </si>
  <si>
    <t>R124S080-OHT</t>
  </si>
  <si>
    <t>HING COLLAR : 36A1116B</t>
  </si>
  <si>
    <t>R124S081-OHT</t>
  </si>
  <si>
    <t>JOINT SCREW  : 36A1142B</t>
  </si>
  <si>
    <t>R124S082-OHT</t>
  </si>
  <si>
    <t>LED ARM SHAFT : 36A1134C</t>
  </si>
  <si>
    <t>R124S083-OHT</t>
  </si>
  <si>
    <t>CLAMP ARM WASHER : 36A1137B</t>
  </si>
  <si>
    <t>R124S084-OHT</t>
  </si>
  <si>
    <t>CLAMP ARM SHAFT : 36A1138C</t>
  </si>
  <si>
    <t>R124S085-OHT</t>
  </si>
  <si>
    <t>BEARING WASHER : 36A1145B</t>
  </si>
  <si>
    <t>R124S086-OHT</t>
  </si>
  <si>
    <t>ELECTRODE COVER FIX SCREW : 36A1109B</t>
  </si>
  <si>
    <t>R124S087-OHT</t>
  </si>
  <si>
    <t>SR PUSH SHAFT : 36A1140E</t>
  </si>
  <si>
    <t>R124S088-OHT</t>
  </si>
  <si>
    <t>CLAMP SHAFT : 36A1168A</t>
  </si>
  <si>
    <t>R124S089-KMC</t>
  </si>
  <si>
    <t>CARRIAGE SP-M : 36A1150B</t>
  </si>
  <si>
    <t>R124S090-KMC</t>
  </si>
  <si>
    <t>HING BLOCK SIM-01 : 36A1157A</t>
  </si>
  <si>
    <t>R124S091-KMC</t>
  </si>
  <si>
    <t>HING BLOCK SIM-005 : 36A1158A</t>
  </si>
  <si>
    <t>R124S092-KMC</t>
  </si>
  <si>
    <t>SR COMP SP : 36A1146A</t>
  </si>
  <si>
    <t>R124S093-FAB</t>
  </si>
  <si>
    <t>CAM LED FPC : 36A5021C</t>
  </si>
  <si>
    <t>R124S094-CAM</t>
  </si>
  <si>
    <t>.LINK ARM</t>
  </si>
  <si>
    <t>LINK ARM-M : 36A1102A</t>
  </si>
  <si>
    <t>R124S095-FEC</t>
  </si>
  <si>
    <t>LCD FFC SHIELD FILM</t>
  </si>
  <si>
    <t>R124S095-KMC</t>
  </si>
  <si>
    <t>CLAMP SP-30 : 36A1182A</t>
  </si>
  <si>
    <t>R124S096-FEC</t>
  </si>
  <si>
    <t>LABEL VG12F/P250</t>
  </si>
  <si>
    <t>R124S097-FEC</t>
  </si>
  <si>
    <t>LABEL VG08F/P250</t>
  </si>
  <si>
    <t>R124S098-FEC</t>
  </si>
  <si>
    <t>LABEL VG04F/P250</t>
  </si>
  <si>
    <t>R124S099-FEC</t>
  </si>
  <si>
    <t>LABEL VG12F/P200</t>
  </si>
  <si>
    <t>R124S100-FEC</t>
  </si>
  <si>
    <t>G364009 SM 8-FIBER RIBBON(RED) RL@1,000M</t>
  </si>
  <si>
    <t>R124S101-HAM</t>
  </si>
  <si>
    <t>COATING SOLDERLESS TERMINAL: TGV 1.25-3S</t>
  </si>
  <si>
    <t>R124S102-STG</t>
  </si>
  <si>
    <t>R124S104-FEC</t>
  </si>
  <si>
    <t>CAP SCREW W SEMS I=3 M2*5L</t>
  </si>
  <si>
    <t>R124S105-FEC</t>
  </si>
  <si>
    <t>SUPER LOW HEAD SCREW M3*6L</t>
  </si>
  <si>
    <t>R124S106-FEC</t>
  </si>
  <si>
    <t>PLATE HORN M24</t>
  </si>
  <si>
    <t>R124S107-FEC</t>
  </si>
  <si>
    <t>GUIDE PIN-T</t>
  </si>
  <si>
    <t>R124S108-FEC</t>
  </si>
  <si>
    <t>ERL-01 M ELECTRODE</t>
  </si>
  <si>
    <t>R124S109-MIS</t>
  </si>
  <si>
    <t>SHIMS : PCIMRS4-5-0.2</t>
  </si>
  <si>
    <t>R124S110-FEC</t>
  </si>
  <si>
    <t>Z SIM t0.2</t>
  </si>
  <si>
    <t>R124S110-MIS</t>
  </si>
  <si>
    <t>SHIMS : PCIMRS4-5-0.3</t>
  </si>
  <si>
    <t>R124S112-MIS</t>
  </si>
  <si>
    <t>SHIM RING PCIMRS3-6-0.1</t>
  </si>
  <si>
    <t>R124S113-FEC</t>
  </si>
  <si>
    <t>ARC B SPACER (36A1826A)</t>
  </si>
  <si>
    <t>R124S115-FEC</t>
  </si>
  <si>
    <t>R124S116-OHT</t>
  </si>
  <si>
    <t>MG PIN 4x1.1 (36A1832 A)</t>
  </si>
  <si>
    <t>R124S117-FEC</t>
  </si>
  <si>
    <t>S124 SHIELD FILM (36A5001C)</t>
  </si>
  <si>
    <t>R124S118-SSE</t>
  </si>
  <si>
    <t>TERMINAL TMEX 1.25-3S</t>
  </si>
  <si>
    <t>R124S119-MIS</t>
  </si>
  <si>
    <t>HSK DURACON WASHER</t>
  </si>
  <si>
    <t>HSK DURACON WASHER (CC-0306-05)</t>
  </si>
  <si>
    <t>R124S120-NIS</t>
  </si>
  <si>
    <t>GND WIRE ASSY: 36A5003B</t>
  </si>
  <si>
    <t>R124S121-NIS</t>
  </si>
  <si>
    <t>CAMERA GND WIRE ASSY: 36A5005B</t>
  </si>
  <si>
    <t>R124S122-NIS</t>
  </si>
  <si>
    <t>LOW VOLTAGE WIRE-B : 36A5008A</t>
  </si>
  <si>
    <t>R124S123-NIS</t>
  </si>
  <si>
    <t>HIGH VOLTAGE MODULE: 36A5004D (MODIFY)</t>
  </si>
  <si>
    <t>R124S124-FEC</t>
  </si>
  <si>
    <t>HIGH VOLTAGE MODULE ASSY</t>
  </si>
  <si>
    <t>R124S125-OHT</t>
  </si>
  <si>
    <t>ARC TERMINAL BASE(36A1833C)</t>
  </si>
  <si>
    <t>R124S126-OHT</t>
  </si>
  <si>
    <t>CENTER HINGE BLOCK</t>
  </si>
  <si>
    <t>R124S127-FSL</t>
  </si>
  <si>
    <t>FIBER CLAMP PIN : 27A1015C</t>
  </si>
  <si>
    <t>R124S127-INT</t>
  </si>
  <si>
    <t>E-TERMINAL (36A1852C)</t>
  </si>
  <si>
    <t>R124S129-FEC</t>
  </si>
  <si>
    <t>SM12 ROLLABLE RIBBON P-200 (ROLL@1721ME)</t>
  </si>
  <si>
    <t>R124S129-OHT</t>
  </si>
  <si>
    <t>SR GUIDE PIN (36A1172B)</t>
  </si>
  <si>
    <t>R124S130-FEC</t>
  </si>
  <si>
    <t>S124 SHIELD FILM(36A5001D)</t>
  </si>
  <si>
    <t>R124S130-OHT</t>
  </si>
  <si>
    <t>SR ACT PIN : 36A1173B</t>
  </si>
  <si>
    <t>R124S131-INT</t>
  </si>
  <si>
    <t>SR BASE BRACKET : 36A1126E</t>
  </si>
  <si>
    <t>R124S132-FEC</t>
  </si>
  <si>
    <t>MAGNET NE182 N 40SH</t>
  </si>
  <si>
    <t>R124S132-INT</t>
  </si>
  <si>
    <t>SR LEVER : 36A1169C</t>
  </si>
  <si>
    <t>R124S133-FEC</t>
  </si>
  <si>
    <t>SENSOR TRACK</t>
  </si>
  <si>
    <t>SR SENSOR DOG : 36A1127A</t>
  </si>
  <si>
    <t>R124S133-INT</t>
  </si>
  <si>
    <t>SR PUSH BR R : 36A1170C</t>
  </si>
  <si>
    <t>R124S134-FEC</t>
  </si>
  <si>
    <t>MOTOR and SENSOR : 36A3301E</t>
  </si>
  <si>
    <t>R124S134-INT</t>
  </si>
  <si>
    <t>SR PUSH BR L : 36A1171C</t>
  </si>
  <si>
    <t>R124S135-FEC</t>
  </si>
  <si>
    <t>Z CARRIAGE SCREW (33A1366)</t>
  </si>
  <si>
    <t>R124S135-INT</t>
  </si>
  <si>
    <t>SR MOTOR BRACKET (36A1125A)</t>
  </si>
  <si>
    <t>SR-MOTOR-BRACKET (36A1125A)</t>
  </si>
  <si>
    <t>R124S136-FEC</t>
  </si>
  <si>
    <t>NBR WASHER DIA 9x14x1 (36A1368C)</t>
  </si>
  <si>
    <t>R124S136-KMC</t>
  </si>
  <si>
    <t>F CLAMP SP-0.5N-COM : 36A1365A</t>
  </si>
  <si>
    <t>R124S137-FEC</t>
  </si>
  <si>
    <t>LENS DUSTPROOF SHEET (36A1746A)</t>
  </si>
  <si>
    <t>R124S137-OHT</t>
  </si>
  <si>
    <t>CLAMP SHAFT (36A1168B)-SUS304</t>
  </si>
  <si>
    <t>R124S138-MIS</t>
  </si>
  <si>
    <t>SCREW SNZS-M2X2-VA</t>
  </si>
  <si>
    <t>R124S139-OHT</t>
  </si>
  <si>
    <t>HOLDER HOOK PF4 (36A1355A)</t>
  </si>
  <si>
    <t>R124S140-OHT</t>
  </si>
  <si>
    <t>MG PIN 5X1.1 (36A1357A)</t>
  </si>
  <si>
    <t>R124S141-KMC</t>
  </si>
  <si>
    <t>SR MOTOR BRACKET (36A1125C)</t>
  </si>
  <si>
    <t>R124S142-FSL</t>
  </si>
  <si>
    <t>Z CARRIAGE SCREW (36A1366C)</t>
  </si>
  <si>
    <t>R124S143-HAS</t>
  </si>
  <si>
    <t>MAGNET (D5x5)</t>
  </si>
  <si>
    <t>R124S144-FUJ</t>
  </si>
  <si>
    <t>FJ1227 LENS M NC : 10TD004-1</t>
  </si>
  <si>
    <t>R1480048-FEC</t>
  </si>
  <si>
    <t>FOP1333E10</t>
  </si>
  <si>
    <t>R1480050-FEC</t>
  </si>
  <si>
    <t>PO-F-1010S (1BTL@1000CC)</t>
  </si>
  <si>
    <t>R1480051-FEC</t>
  </si>
  <si>
    <t>FLM-BS48</t>
  </si>
  <si>
    <t>R1480052-AON</t>
  </si>
  <si>
    <t>R154S001-FBN</t>
  </si>
  <si>
    <t>LED FPC S154</t>
  </si>
  <si>
    <t>R154S001-INT</t>
  </si>
  <si>
    <t>LENS MOUNT 154 (33A4501A)</t>
  </si>
  <si>
    <t>R154S002-OHJ</t>
  </si>
  <si>
    <t>CROSS PEN HEAD SCREW W SEMS I=3 M2X6</t>
  </si>
  <si>
    <t>R154S003-OHJ</t>
  </si>
  <si>
    <t>HEXAGON HEAD SET SCREW CUP POINT M3×3</t>
  </si>
  <si>
    <t>R154S004-FEC</t>
  </si>
  <si>
    <t>LENS S153 NC(FUJII)</t>
  </si>
  <si>
    <t>R154S005-FEC</t>
  </si>
  <si>
    <t>LENS MOUNT S154</t>
  </si>
  <si>
    <t>R154S006-FEC</t>
  </si>
  <si>
    <t>LED FPC</t>
  </si>
  <si>
    <t>R154S007-MIS</t>
  </si>
  <si>
    <t>O-RINGS</t>
  </si>
  <si>
    <t>R154S008-FTC</t>
  </si>
  <si>
    <t>S154 BRAND LABEL : 33A4507B</t>
  </si>
  <si>
    <t>R179S001-AST</t>
  </si>
  <si>
    <t>LABEL ON BATTERY : ZC223310F</t>
  </si>
  <si>
    <t>R179S001-FTC</t>
  </si>
  <si>
    <t>S179 BRAND LABEL : 33A2131B</t>
  </si>
  <si>
    <t>R179S001-GEN</t>
  </si>
  <si>
    <t>R179S001-HOF</t>
  </si>
  <si>
    <t>HEATER SPONGE SEAL : 33A2161</t>
  </si>
  <si>
    <t>R179S001-OHJ</t>
  </si>
  <si>
    <t>0 PEN HEAD SCREW M1.6×4L</t>
  </si>
  <si>
    <t>R179S002-FTC</t>
  </si>
  <si>
    <t>S179 PLUS BRAND LABEL : 33A1132A</t>
  </si>
  <si>
    <t>R179S002-HOF</t>
  </si>
  <si>
    <t>CANOPY RUBBER: 33A2091</t>
  </si>
  <si>
    <t>R179S002-OHJ</t>
  </si>
  <si>
    <t>0 PEN HEAD SCREW M2×3.5L</t>
  </si>
  <si>
    <t>R179S003-HOF</t>
  </si>
  <si>
    <t>TOP COVER RUBBER : 33A2087</t>
  </si>
  <si>
    <t>R179S003-OHJ</t>
  </si>
  <si>
    <t>0 PEN HEAD SCREW M2×3L</t>
  </si>
  <si>
    <t>R179S004-OHJ</t>
  </si>
  <si>
    <t>0 PEN HEAD SCREW M2×5L</t>
  </si>
  <si>
    <t>R179S005-OHJ</t>
  </si>
  <si>
    <t>0 TYPE1 P TIGHT NOMAINAL DIAMETER 2X5L</t>
  </si>
  <si>
    <t>R179S006-OHJ</t>
  </si>
  <si>
    <t>B TIGHT NOMAINAL DIAMETER1.7×12L</t>
  </si>
  <si>
    <t>R179S007-OHJ</t>
  </si>
  <si>
    <t>CROSS PAN HEAD SCREW  M2.5×5L</t>
  </si>
  <si>
    <t>R179S008-OHJ</t>
  </si>
  <si>
    <t>CROSS PAN HEAD SCREW  M2×3L</t>
  </si>
  <si>
    <t>R179S009-OHJ</t>
  </si>
  <si>
    <t>CROSS PAN HEAD SCREW  M2×5L</t>
  </si>
  <si>
    <t>R179S010-OHJ</t>
  </si>
  <si>
    <t>CROSS PAN HEAD SCREW S SEMS P=1 M2X4L</t>
  </si>
  <si>
    <t>R179S011-OHJ</t>
  </si>
  <si>
    <t>CROSS PAN HEAD SCREW S SEMS P=2 M3×8L</t>
  </si>
  <si>
    <t>R179S012-OHJ</t>
  </si>
  <si>
    <t>CROSS PAN HEAD SCREW W SEMS I=3 M2×4L</t>
  </si>
  <si>
    <t>R179S013-OHJ</t>
  </si>
  <si>
    <t>CROSS PAN HEAD SCREW W SEMS I=4 M2×5L</t>
  </si>
  <si>
    <t>R179S014-OHJ</t>
  </si>
  <si>
    <t>CROSS PAN HEAD SCREW W SEMS I=4 M3×40L</t>
  </si>
  <si>
    <t>R179S015-OHJ</t>
  </si>
  <si>
    <t>CROSS PAN HEAD SCREW W SEMS I=4 M3×8L</t>
  </si>
  <si>
    <t>R179S016-OHJ</t>
  </si>
  <si>
    <t>CROSS PAN HEAD SCREW W SEMS P=3 M2×4L</t>
  </si>
  <si>
    <t>R179S017-OHJ</t>
  </si>
  <si>
    <t>E TYPE RETAINING RING 1.5</t>
  </si>
  <si>
    <t>R179S018-OHJ</t>
  </si>
  <si>
    <t>E TYPE RETAINING RING 2</t>
  </si>
  <si>
    <t>R179S019-OHJ</t>
  </si>
  <si>
    <t>E TYPE RETAINING RING 3</t>
  </si>
  <si>
    <t>R179S020-OHJ</t>
  </si>
  <si>
    <t>HEXAGON NUT M2</t>
  </si>
  <si>
    <t>R179S021-OHJ</t>
  </si>
  <si>
    <t>HEXAGON NUT M2.5</t>
  </si>
  <si>
    <t>R179S022-OHJ</t>
  </si>
  <si>
    <t>HEXAGON BUTTON HEAD CAP SCREW M3×6L</t>
  </si>
  <si>
    <t>R179S023-OHJ</t>
  </si>
  <si>
    <t>HEXAGON HEAD CAP SCREW M2×5L</t>
  </si>
  <si>
    <t>R179S024-OHJ</t>
  </si>
  <si>
    <t>HEXAGON HEAD CAP SCREW M2×6L</t>
  </si>
  <si>
    <t>R179S025-OHJ</t>
  </si>
  <si>
    <t>HEXAGON HEAD CAP SCREW M2X4L</t>
  </si>
  <si>
    <t>R179S026-OHJ</t>
  </si>
  <si>
    <t>HEXAGON HEAD CAP SCREW W SEMS I=3 M2.5×5</t>
  </si>
  <si>
    <t>R179S027-OHJ</t>
  </si>
  <si>
    <t>HEXAGON HEAD CAP SCREW W SEMS I=3 M2×6L</t>
  </si>
  <si>
    <t>R179S028-OHJ</t>
  </si>
  <si>
    <t>HEXAGON HEAD CAP SCREW W SEMS I=3 M3X10L</t>
  </si>
  <si>
    <t>R179S029-OHJ</t>
  </si>
  <si>
    <t>HEXAGON HEAD CAP SCREW W SEMS I=3 M3X8L</t>
  </si>
  <si>
    <t>R179S030-OHJ</t>
  </si>
  <si>
    <t>HEXAGON HEAD CAP SCREW W SEMS I=4 M2.5×6</t>
  </si>
  <si>
    <t>R179S031-OHJ</t>
  </si>
  <si>
    <t>HEXAGON HEAD SET SCREW FLAT POINT M2×3L</t>
  </si>
  <si>
    <t>R179S032-OHJ</t>
  </si>
  <si>
    <t>HEXAGON SET SCREW M2.5X3L FLAT POINT</t>
  </si>
  <si>
    <t>R179S033-OHJ</t>
  </si>
  <si>
    <t>HEXAGON TRUNCATED CONE POINT M3×3L</t>
  </si>
  <si>
    <t>R179S034-OHJ</t>
  </si>
  <si>
    <t>PLAIN WASHER (M2)</t>
  </si>
  <si>
    <t>R179S035-OHJ</t>
  </si>
  <si>
    <t>PLAIN WASHER (M2.5)</t>
  </si>
  <si>
    <t>R179S036-OHJ</t>
  </si>
  <si>
    <t>PLAIN WASHER (M4)</t>
  </si>
  <si>
    <t>R179S037-OHJ</t>
  </si>
  <si>
    <t>HEXAGON HEAD CAP SCREW W SEMS I=4 M2×5L</t>
  </si>
  <si>
    <t>R179S038-OHJ</t>
  </si>
  <si>
    <t>R179S039-OHJ</t>
  </si>
  <si>
    <t>HEXAGON HEAD CAP SCREW M2.5X6L</t>
  </si>
  <si>
    <t>R179S040-OHJ</t>
  </si>
  <si>
    <t>SPRING WASHER (M2.5)</t>
  </si>
  <si>
    <t>R179S594-FEC</t>
  </si>
  <si>
    <t>R179S595-CAM</t>
  </si>
  <si>
    <t>NFC HOLDER : 33A2092I</t>
  </si>
  <si>
    <t>R179S597-FEC</t>
  </si>
  <si>
    <t>R179S598-FEC</t>
  </si>
  <si>
    <t>R179S599-FEC</t>
  </si>
  <si>
    <t>R179S600-FEC</t>
  </si>
  <si>
    <t>S947B LITHIUM BATTERY</t>
  </si>
  <si>
    <t>R179S602-CAM</t>
  </si>
  <si>
    <t>Z-CARRIAGE PRESS FIT : 33A2201F</t>
  </si>
  <si>
    <t>R179S603-FEC</t>
  </si>
  <si>
    <t>TILT SIM 0.5x1-t0.04 : 33A2273A</t>
  </si>
  <si>
    <t>R179S604-OHT</t>
  </si>
  <si>
    <t>CANOPY SHAFT SUS303: 33A2240A</t>
  </si>
  <si>
    <t>R179S605-CAM</t>
  </si>
  <si>
    <t>CARRIAGE BASE : 33A2017H</t>
  </si>
  <si>
    <t>R179S606-YTC</t>
  </si>
  <si>
    <t>COOLING PLATE: 33A1120H</t>
  </si>
  <si>
    <t>R179S607-YTC</t>
  </si>
  <si>
    <t>SUB BASE L : 33A2224F</t>
  </si>
  <si>
    <t>R179S608-YTC</t>
  </si>
  <si>
    <t>SUB BASE R : 33A2225G</t>
  </si>
  <si>
    <t>R179S609-YTC</t>
  </si>
  <si>
    <t>STOPPER PLATE (LM) : 33A2143B</t>
  </si>
  <si>
    <t>R179S610-YTC</t>
  </si>
  <si>
    <t>PLATE-CMOS : 33A2048D</t>
  </si>
  <si>
    <t>R179S611-YTC</t>
  </si>
  <si>
    <t>HEATER UPPER CLAMP : 33A2162E</t>
  </si>
  <si>
    <t>R179S612-YTC</t>
  </si>
  <si>
    <t>HEATER UNDER CLAMP : 33A1044C</t>
  </si>
  <si>
    <t>R179S613-YTC</t>
  </si>
  <si>
    <t>HC LEVER : 33A1037G</t>
  </si>
  <si>
    <t>R179S614-YTC</t>
  </si>
  <si>
    <t>FIX COVER : 33A1034M</t>
  </si>
  <si>
    <t>R179S615-YTC</t>
  </si>
  <si>
    <t>MOTOR PLATE (CAULKING) : 33A2033D</t>
  </si>
  <si>
    <t>R179S616-YTC</t>
  </si>
  <si>
    <t>ARC TERMINAL : 33A2080F</t>
  </si>
  <si>
    <t>R179S617-YTC</t>
  </si>
  <si>
    <t>PLATE HORN 1A : 33A2202C</t>
  </si>
  <si>
    <t>R179S618-YTC</t>
  </si>
  <si>
    <t>FIX ARM PLATE : 33A2132G</t>
  </si>
  <si>
    <t>R179S619-YTC</t>
  </si>
  <si>
    <t>COOLING TRAY ASSEMBLY : 33A2128E</t>
  </si>
  <si>
    <t>R179S620-YTC</t>
  </si>
  <si>
    <t>WASHER 7.8X3.3X0.5 : 33A2217A</t>
  </si>
  <si>
    <t>R179S622-FEC</t>
  </si>
  <si>
    <t>TILT SIM 0.5 x 1-t0.02  : 33A2271</t>
  </si>
  <si>
    <t>R179S622-YTC</t>
  </si>
  <si>
    <t>PLATE-CMOS : 33A2361B</t>
  </si>
  <si>
    <t>R179S623-FEC</t>
  </si>
  <si>
    <t>Pen Head Screw M2?3.5L</t>
  </si>
  <si>
    <t>R179S624-KAN</t>
  </si>
  <si>
    <t>TOP COVER INSIDE SPONGE : 33A2269B</t>
  </si>
  <si>
    <t>R179S625-FEC</t>
  </si>
  <si>
    <t>R179S625-KAN</t>
  </si>
  <si>
    <t>CMOS IS SHEET NC : 33A2358A</t>
  </si>
  <si>
    <t>R179S630-PAL</t>
  </si>
  <si>
    <t>R179S631-FEC</t>
  </si>
  <si>
    <t>CARDBOARD BOX : 33A2267B</t>
  </si>
  <si>
    <t>R179S632-KAN</t>
  </si>
  <si>
    <t>LCD BASAL SHEET</t>
  </si>
  <si>
    <t>PROTECTION FILM 105X125 MM : 33A3275B</t>
  </si>
  <si>
    <t>R179S633-FEC</t>
  </si>
  <si>
    <t>B TIGHT: NOMINAL DIAMETER 1.7X12L</t>
  </si>
  <si>
    <t>R179S634-FEC</t>
  </si>
  <si>
    <t>3.85N SPRING  : 33A2321A</t>
  </si>
  <si>
    <t>R179S635-KMC</t>
  </si>
  <si>
    <t>R179S636-KMC</t>
  </si>
  <si>
    <t>TILT SIM 0.5 X 1-t0.02 : 33A2271A</t>
  </si>
  <si>
    <t>R179S637-KMC</t>
  </si>
  <si>
    <t>TILT SIM 0.5 X 1-t0.04 : 33A2273A</t>
  </si>
  <si>
    <t>R179S638-FEC</t>
  </si>
  <si>
    <t>TILT SIM 0.5 x 1-t0.06  : 17TD023</t>
  </si>
  <si>
    <t>R179S639-FEC</t>
  </si>
  <si>
    <t>CLAMP CORK : 30A2309A</t>
  </si>
  <si>
    <t>R179S641-FEC</t>
  </si>
  <si>
    <t>LENS FDPC3-10</t>
  </si>
  <si>
    <t>R179S643-FEC</t>
  </si>
  <si>
    <t>FFC60P WITH SHIELD</t>
  </si>
  <si>
    <t>R179S644-FEC</t>
  </si>
  <si>
    <t>AC ADAPTOR S979A : 16TD053</t>
  </si>
  <si>
    <t>R179S645-FEC</t>
  </si>
  <si>
    <t>LCD ANT-REFLECTIVE SHEET ARS-01 : 16TD07</t>
  </si>
  <si>
    <t>R179S646-FEC</t>
  </si>
  <si>
    <t>RUBBER CUSHION : 16TD076</t>
  </si>
  <si>
    <t>R179S647-FEC</t>
  </si>
  <si>
    <t>USB ADAPTER</t>
  </si>
  <si>
    <t>WIFI DONGLE WFD-01 : X</t>
  </si>
  <si>
    <t>R179S648-FEC</t>
  </si>
  <si>
    <t>MANUAL</t>
  </si>
  <si>
    <t>QUICK REFERENCE GUIDE (FTS-B526 : 16TD06</t>
  </si>
  <si>
    <t>R179S649-FEC</t>
  </si>
  <si>
    <t>STANDARD COMPONENTS (FTS-B535 : 16TD066)</t>
  </si>
  <si>
    <t>R179S650-FEC</t>
  </si>
  <si>
    <t>AC CABLE CORD(EU)</t>
  </si>
  <si>
    <t>R179S651-FEC</t>
  </si>
  <si>
    <t>FIBER STRIPPER</t>
  </si>
  <si>
    <t>S211B STRIPPER</t>
  </si>
  <si>
    <t>R179S651-SUN</t>
  </si>
  <si>
    <t>NUT C3604 : 33A2194D</t>
  </si>
  <si>
    <t>R179S653-OHT</t>
  </si>
  <si>
    <t>MG PLATE SCR : 33A2329B</t>
  </si>
  <si>
    <t>R179S654-FEC</t>
  </si>
  <si>
    <t>ATS065T-P240 (LEVEL VI) (COC TIER2)</t>
  </si>
  <si>
    <t>R179S654-OHT</t>
  </si>
  <si>
    <t>LEAD SCREW</t>
  </si>
  <si>
    <t>LEAD SCREW (33A2024E)</t>
  </si>
  <si>
    <t>R179S655-FEC</t>
  </si>
  <si>
    <t>LINEAR GUIDEWAY SEBS5BUU1-22.5N/CU</t>
  </si>
  <si>
    <t>R179S655-MIT</t>
  </si>
  <si>
    <t>R179S656-FEC</t>
  </si>
  <si>
    <t>LINEAR GUIDEWAY SEBS5BUU1TS-30/CU</t>
  </si>
  <si>
    <t>R179S656-MIT</t>
  </si>
  <si>
    <t>LINEAR GUIDEWAY SEBS7BUU1TS-30/CU</t>
  </si>
  <si>
    <t>R179S658-FEC</t>
  </si>
  <si>
    <t>PLATE WASHER  M3 SMALL TYPE</t>
  </si>
  <si>
    <t>R179S658-INT</t>
  </si>
  <si>
    <t>FCS-LM-FIX-PLATE (33A2227C)</t>
  </si>
  <si>
    <t>R179S659-FEC</t>
  </si>
  <si>
    <t>FIBER CLAMP : 33A1051E</t>
  </si>
  <si>
    <t>R179S660-FEC</t>
  </si>
  <si>
    <t>ARC BASE : 33A1022N</t>
  </si>
  <si>
    <t>R179S661-FEC</t>
  </si>
  <si>
    <t>AC ADAPTOR S979C</t>
  </si>
  <si>
    <t>R179S663-FEC</t>
  </si>
  <si>
    <t>CMOS CAMERA (IID) X178-0003D</t>
  </si>
  <si>
    <t>R179S664-FEC</t>
  </si>
  <si>
    <t>CMOS CAMERA (IID) X178-0003C</t>
  </si>
  <si>
    <t>R179S665-FEC</t>
  </si>
  <si>
    <t>FIBER LENS D0256-312</t>
  </si>
  <si>
    <t>R179S666-FEC</t>
  </si>
  <si>
    <t>CE MARK STICKER</t>
  </si>
  <si>
    <t>R1900001-FEC</t>
  </si>
  <si>
    <t>FLM-PK67A</t>
  </si>
  <si>
    <t>R1900002-FEC</t>
  </si>
  <si>
    <t>FLM-PE55A</t>
  </si>
  <si>
    <t>R1900003-FEC</t>
  </si>
  <si>
    <t>FLM-PE55B</t>
  </si>
  <si>
    <t>R1900004-FEC</t>
  </si>
  <si>
    <t>FLM-HN62</t>
  </si>
  <si>
    <t>R1900005-FEC</t>
  </si>
  <si>
    <t>FLM-PK67M</t>
  </si>
  <si>
    <t>R1900006-FEC</t>
  </si>
  <si>
    <t>FLM-PE55C</t>
  </si>
  <si>
    <t>FOL15UADU1</t>
  </si>
  <si>
    <t>FOL15BADB1</t>
  </si>
  <si>
    <t>R1901004-FEC</t>
  </si>
  <si>
    <t>FOL15BPDB1</t>
  </si>
  <si>
    <t>R1901006-FEC</t>
  </si>
  <si>
    <t>FOL15UQDU1</t>
  </si>
  <si>
    <t>R1901007-FEC</t>
  </si>
  <si>
    <t>FOL15BQDB1</t>
  </si>
  <si>
    <t>R1902001-FEC</t>
  </si>
  <si>
    <t>FLM-TH07</t>
  </si>
  <si>
    <t>R1902002-FEC</t>
  </si>
  <si>
    <t>FLM-BS14A</t>
  </si>
  <si>
    <t>R1902003-FEC</t>
  </si>
  <si>
    <t>FLM-BS14B</t>
  </si>
  <si>
    <t>R1902004-FEC</t>
  </si>
  <si>
    <t>FLM-BS14C</t>
  </si>
  <si>
    <t>R1902005-FEC</t>
  </si>
  <si>
    <t>FLM-PD10A</t>
  </si>
  <si>
    <t>R1902006-FEC</t>
  </si>
  <si>
    <t>FLM-HN63</t>
  </si>
  <si>
    <t>R1902007-FEC</t>
  </si>
  <si>
    <t>FLM-HN64</t>
  </si>
  <si>
    <t>R1902008-FEC</t>
  </si>
  <si>
    <t>VH05-6D103FC-FKD105P</t>
  </si>
  <si>
    <t>R1902009-FEC</t>
  </si>
  <si>
    <t>FLM-BS14A-T1</t>
  </si>
  <si>
    <t>R1902010-FEC</t>
  </si>
  <si>
    <t>FLM-BS14A-T2</t>
  </si>
  <si>
    <t>R1902011-FEC</t>
  </si>
  <si>
    <t>FLM-PD10B</t>
  </si>
  <si>
    <t>R1902012-FEC</t>
  </si>
  <si>
    <t>FLM-BS14A-T3</t>
  </si>
  <si>
    <t>R1902013-FEC</t>
  </si>
  <si>
    <t>FLM-BS14B-T4</t>
  </si>
  <si>
    <t>R1902014-FEC</t>
  </si>
  <si>
    <t>FLM-BS14B-T5</t>
  </si>
  <si>
    <t>R1902015-FEC</t>
  </si>
  <si>
    <t>FLM-BS14A-T6</t>
  </si>
  <si>
    <t>R1902016-FEC</t>
  </si>
  <si>
    <t>FLM-PD10C</t>
  </si>
  <si>
    <t>R1903001-FEC</t>
  </si>
  <si>
    <t>FLM-PL19A</t>
  </si>
  <si>
    <t>R1903002-FEC</t>
  </si>
  <si>
    <t>FLM-PL19B</t>
  </si>
  <si>
    <t>R1903003-FEC</t>
  </si>
  <si>
    <t>FLM-PL19C</t>
  </si>
  <si>
    <t>R1903004-ALP</t>
  </si>
  <si>
    <t>STAYDRY HICAP 2000 BLACK /3CC (PK@70PCS)</t>
  </si>
  <si>
    <t>R1904001-FEC</t>
  </si>
  <si>
    <t>FLM-PR24B</t>
  </si>
  <si>
    <t>R1904002-FEC</t>
  </si>
  <si>
    <t>FLM-PR24A</t>
  </si>
  <si>
    <t>R1904003-FEC</t>
  </si>
  <si>
    <t>FLM-PR25A</t>
  </si>
  <si>
    <t>R1904004-FEC</t>
  </si>
  <si>
    <t>FLM-PR25B</t>
  </si>
  <si>
    <t>R1904005-FEC</t>
  </si>
  <si>
    <t>FLM-IS55A</t>
  </si>
  <si>
    <t>R1904006-FEC</t>
  </si>
  <si>
    <t>FLM-IS55B</t>
  </si>
  <si>
    <t>R1904007-FEC</t>
  </si>
  <si>
    <t>FLM-IS57A</t>
  </si>
  <si>
    <t>R1904008-FEC</t>
  </si>
  <si>
    <t>FLM-IS57B</t>
  </si>
  <si>
    <t>R1904009-FEC</t>
  </si>
  <si>
    <t>OPTICAL LENS</t>
  </si>
  <si>
    <t>FLM-CH55A</t>
  </si>
  <si>
    <t>R1904010-FEC</t>
  </si>
  <si>
    <t>FLM-CH55B</t>
  </si>
  <si>
    <t>R1904011-FEC</t>
  </si>
  <si>
    <t>FLM-CH46B</t>
  </si>
  <si>
    <t>R1904012-FEC</t>
  </si>
  <si>
    <t>FLM-ET25A</t>
  </si>
  <si>
    <t>R1904013-FEC</t>
  </si>
  <si>
    <t>FLM-ET25B</t>
  </si>
  <si>
    <t>R1904014-FEC</t>
  </si>
  <si>
    <t>FLM-FAW21DB-1.3F</t>
  </si>
  <si>
    <t>R1904015-FEC</t>
  </si>
  <si>
    <t>FLM-FAW21DC-1.3F</t>
  </si>
  <si>
    <t>R1904016-FEC</t>
  </si>
  <si>
    <t>FLM-FAW21EB-1.3F</t>
  </si>
  <si>
    <t>R1904017-FEC</t>
  </si>
  <si>
    <t>FLM-FAW21EC-1.3F</t>
  </si>
  <si>
    <t>R1904018-FEC</t>
  </si>
  <si>
    <t>SUMI-F4Z-2x0.1</t>
  </si>
  <si>
    <t>R1904019-FEC</t>
  </si>
  <si>
    <t>R1904020-FBN</t>
  </si>
  <si>
    <t>FLM-EB-EU01</t>
  </si>
  <si>
    <t>R1904022-FEC</t>
  </si>
  <si>
    <t>FLM-CH47A</t>
  </si>
  <si>
    <t>R1904023-FBN</t>
  </si>
  <si>
    <t>FLM-EB-EU01B</t>
  </si>
  <si>
    <t>R1904024-SVI</t>
  </si>
  <si>
    <t>R1904025-FEC</t>
  </si>
  <si>
    <t>FLM-FAW26AB-1.3F</t>
  </si>
  <si>
    <t>R1904026-FEC</t>
  </si>
  <si>
    <t>TABL-FRU-15782(RL@5000PC)</t>
  </si>
  <si>
    <t>R1904028-FEC</t>
  </si>
  <si>
    <t>FLM-ET25C</t>
  </si>
  <si>
    <t>R1904030-FEC</t>
  </si>
  <si>
    <t>FLM-IS56A</t>
  </si>
  <si>
    <t>R1904031-FEC</t>
  </si>
  <si>
    <t>FLM-FAW26BB-1.3F</t>
  </si>
  <si>
    <t>R1904032-FEC</t>
  </si>
  <si>
    <t>FLM-IS61A</t>
  </si>
  <si>
    <t>R1904033-KAT</t>
  </si>
  <si>
    <t>FLM-EB-EU02-C96</t>
  </si>
  <si>
    <t>R1904034-KAT</t>
  </si>
  <si>
    <t>FLM-EB-EU02-C120</t>
  </si>
  <si>
    <t>R1904035-FEC</t>
  </si>
  <si>
    <t>FLM-PR24A-T2</t>
  </si>
  <si>
    <t>R1904036-FEC</t>
  </si>
  <si>
    <t>FLM-PR24B-T2</t>
  </si>
  <si>
    <t>R1904037-FEC</t>
  </si>
  <si>
    <t>FLM-CH55C</t>
  </si>
  <si>
    <t>R4800001-FEC</t>
  </si>
  <si>
    <t>FLM-BS48B</t>
  </si>
  <si>
    <t>R4800002-SHE</t>
  </si>
  <si>
    <t>SCREW : GB823-88 (M2*3)</t>
  </si>
  <si>
    <t>R4800003-FET</t>
  </si>
  <si>
    <t>R4800003-SHE</t>
  </si>
  <si>
    <t>GB823-88 M2X3</t>
  </si>
  <si>
    <t>R4800004-FEC</t>
  </si>
  <si>
    <t>FLM-PE45</t>
  </si>
  <si>
    <t>R4800005-FEC</t>
  </si>
  <si>
    <t>FOP1332E10-B</t>
  </si>
  <si>
    <t>R4800006-KIS</t>
  </si>
  <si>
    <t>R98DU001-FEC</t>
  </si>
  <si>
    <t>FLM-GB72A</t>
  </si>
  <si>
    <t>R98DU002-FEC</t>
  </si>
  <si>
    <t>FLM-HN69</t>
  </si>
  <si>
    <t>R98DU003-FEC</t>
  </si>
  <si>
    <t>FLM-ZB10B</t>
  </si>
  <si>
    <t>R98DU005-FEC</t>
  </si>
  <si>
    <t>FLM-PE72A</t>
  </si>
  <si>
    <t>R98DU006-FEC</t>
  </si>
  <si>
    <t>FLM-BS72</t>
  </si>
  <si>
    <t>R98DU007-FEC</t>
  </si>
  <si>
    <t>FLM-PL34A</t>
  </si>
  <si>
    <t>R98DU008-FEC</t>
  </si>
  <si>
    <t>FLM-TH08</t>
  </si>
  <si>
    <t>R98DU009-FEC</t>
  </si>
  <si>
    <t>FOL0910FC11</t>
  </si>
  <si>
    <t>R98DU011-FEC</t>
  </si>
  <si>
    <t>FLM-HN68(PE)</t>
  </si>
  <si>
    <t>R98DU012-FEC</t>
  </si>
  <si>
    <t>FLM-HN70(BB)</t>
  </si>
  <si>
    <t>R98DU013-FEC</t>
  </si>
  <si>
    <t>FLM-HN64(TH)</t>
  </si>
  <si>
    <t>R98DU014-FEC</t>
  </si>
  <si>
    <t>FLM-HN63(PD)</t>
  </si>
  <si>
    <t>R98DU015-FEC</t>
  </si>
  <si>
    <t>FLM-PD20A</t>
  </si>
  <si>
    <t>R98DU016-SANO</t>
  </si>
  <si>
    <t>RUBBER BOOT : FLM-GB72B</t>
  </si>
  <si>
    <t>R98MM030-FEC</t>
  </si>
  <si>
    <t>PETP/HI(7237F)-0.7x1.1</t>
  </si>
  <si>
    <t>R98MM031-FEC</t>
  </si>
  <si>
    <t>FOL09M2D8</t>
  </si>
  <si>
    <t>R98MM033-FEC</t>
  </si>
  <si>
    <t>FLM-SP07</t>
  </si>
  <si>
    <t>R98MM034-FEC</t>
  </si>
  <si>
    <t>FLM-HN66</t>
  </si>
  <si>
    <t>R98MM035-FEC</t>
  </si>
  <si>
    <t>FLM-PK71A</t>
  </si>
  <si>
    <t>R98MM036-FEC</t>
  </si>
  <si>
    <t>FLM-HN65</t>
  </si>
  <si>
    <t>R98MM037-FEC</t>
  </si>
  <si>
    <t>FLM-FA57A</t>
  </si>
  <si>
    <t>R98MM038-FEC</t>
  </si>
  <si>
    <t>FLM-LH05A-3RD H LENS</t>
  </si>
  <si>
    <t>R98MM040-FEC</t>
  </si>
  <si>
    <t>FLM-LV05B-3RD V LENS</t>
  </si>
  <si>
    <t>R98MM042-FEC</t>
  </si>
  <si>
    <t>FLM-FT05A-FILTER</t>
  </si>
  <si>
    <t>R98MM043-FEC</t>
  </si>
  <si>
    <t>FLM-WL05A-INNERWALL</t>
  </si>
  <si>
    <t>R98MM046-FEC</t>
  </si>
  <si>
    <t>FLM-NL05A</t>
  </si>
  <si>
    <t>R98MM049-FEC</t>
  </si>
  <si>
    <t>FLM-MR05A</t>
  </si>
  <si>
    <t>R98MM050-FEC</t>
  </si>
  <si>
    <t>Al WIRE(FLM-GW05)</t>
  </si>
  <si>
    <t>R98MM051-FEC</t>
  </si>
  <si>
    <t>FLM-PL32C</t>
  </si>
  <si>
    <t>R98MM054-FEC</t>
  </si>
  <si>
    <t>FLM-SP17</t>
  </si>
  <si>
    <t>R98MM055-FEC</t>
  </si>
  <si>
    <t>YB-5010 (PC@700GM)</t>
  </si>
  <si>
    <t>R98MM056-FEC</t>
  </si>
  <si>
    <t>R98SM011-FEC</t>
  </si>
  <si>
    <t>FLM-LF08B</t>
  </si>
  <si>
    <t>R98SM012-MIS</t>
  </si>
  <si>
    <t>NKJ2-4 PAN HEAD SCREWS</t>
  </si>
  <si>
    <t>R98SM012-SHE</t>
  </si>
  <si>
    <t>GB818-85(M2*4)</t>
  </si>
  <si>
    <t>R98SM013-FEC</t>
  </si>
  <si>
    <t>FRL0910D52-D18-974.5</t>
  </si>
  <si>
    <t>R98SM014-FEC</t>
  </si>
  <si>
    <t>FRL0910B7X-J17-λ</t>
  </si>
  <si>
    <t>R98SM015-FEC</t>
  </si>
  <si>
    <t>FRL0910BXX-J17-λ</t>
  </si>
  <si>
    <t>RAD00001-FEC</t>
  </si>
  <si>
    <t>RETURN PARTS FOR TELECOMMUNICATION</t>
  </si>
  <si>
    <t>1480 MODULE (FOL1439R50-667-1454)</t>
  </si>
  <si>
    <t>RAD00002-FEC</t>
  </si>
  <si>
    <t>DFB MODULE</t>
  </si>
  <si>
    <t>SEMIFG-FRL1XDDxx-Axx</t>
  </si>
  <si>
    <t>RAD00003-FEC</t>
  </si>
  <si>
    <t>SEMIFG-FRL1XD/TCWx-Axx</t>
  </si>
  <si>
    <t>RAD00005-SAN</t>
  </si>
  <si>
    <t>OPTICAL FIBER ASSEMBLY</t>
  </si>
  <si>
    <t>FLM-FAS66AJC-2.4N(WLA-9505145)</t>
  </si>
  <si>
    <t>RB001</t>
  </si>
  <si>
    <t>LID : S9-MM-02131</t>
  </si>
  <si>
    <t>RB002</t>
  </si>
  <si>
    <t>BM -12524-01 / B Cover with not NTT mark</t>
  </si>
  <si>
    <t>RB003</t>
  </si>
  <si>
    <t>BODY : S9-MM-02130</t>
  </si>
  <si>
    <t>RB004</t>
  </si>
  <si>
    <t>WLA-8701250 / SC Adaptor with shutter</t>
  </si>
  <si>
    <t>RB006</t>
  </si>
  <si>
    <t>STICKER PET WHITE</t>
  </si>
  <si>
    <t>RB007</t>
  </si>
  <si>
    <t>S9-MM-02134 /  PL Seal  (in English)</t>
  </si>
  <si>
    <t>RCAFI001-FEC</t>
  </si>
  <si>
    <t>METAL PIN</t>
  </si>
  <si>
    <t>DA PIN / 81B2577B</t>
  </si>
  <si>
    <t>RCAFI001-FTC</t>
  </si>
  <si>
    <t>BASE : DA BASE / 17TD0027-5</t>
  </si>
  <si>
    <t>RCAFI001-HAS</t>
  </si>
  <si>
    <t>MAGNET 10X3X3</t>
  </si>
  <si>
    <t>RCHFU001-FEC</t>
  </si>
  <si>
    <t>CH CLAMP CORK / 76B3044C</t>
  </si>
  <si>
    <t>RCHFU001-FTC</t>
  </si>
  <si>
    <t>PLASTIC BASE : CH BASE L / 76B3037L</t>
  </si>
  <si>
    <t>RCHFU001-HAS</t>
  </si>
  <si>
    <t>MAGNET 10x4x4 / 76B3058A</t>
  </si>
  <si>
    <t>RCHFU001-KMC</t>
  </si>
  <si>
    <t>COVER : CH BOTTOM COVER / 76B3066E</t>
  </si>
  <si>
    <t>RCHFU002-FEC</t>
  </si>
  <si>
    <t>CH HINGE PIN / 76B3045A</t>
  </si>
  <si>
    <t>RCHFU002-FTC</t>
  </si>
  <si>
    <t>PLASTIC BASE : CH BASE R / 76B3037L</t>
  </si>
  <si>
    <t>RCHFU002-KMC</t>
  </si>
  <si>
    <t>SUS CLAMP : CH CLAMP COVER / 76B3040C</t>
  </si>
  <si>
    <t>RCHFU003-FEC</t>
  </si>
  <si>
    <t>CH BASE RUBBER / 76B3046E</t>
  </si>
  <si>
    <t>RCHFU003-FTC</t>
  </si>
  <si>
    <t>PLASTIC COVER : CH COVER L / 76B3039K</t>
  </si>
  <si>
    <t>RCHFU003-KMC</t>
  </si>
  <si>
    <t>SUS CLAMP : CH CLAMP PIECE / 76B3051D</t>
  </si>
  <si>
    <t>RCHFU004-FEC</t>
  </si>
  <si>
    <t>CH SUPPORT RUBBER / 76B3067B</t>
  </si>
  <si>
    <t>RCHFU004-FTC</t>
  </si>
  <si>
    <t>PLASTIC COVER : CH COVER R / 76B3039K</t>
  </si>
  <si>
    <t>RCHFU004-KMC</t>
  </si>
  <si>
    <t>COVER : MG COVER SQ / 76B3065A</t>
  </si>
  <si>
    <t>RCHFU005-FEC</t>
  </si>
  <si>
    <t>CROSS RECESSED PAN HEAD SCREW M2x4L</t>
  </si>
  <si>
    <t>RCHFU005-KMC</t>
  </si>
  <si>
    <t>SPRING : CH CLAMP SPRING / 76B3042D</t>
  </si>
  <si>
    <t>RCHFU006-FEC</t>
  </si>
  <si>
    <t>CROSS RECESSED PAN HEAD SCREW M2x5L</t>
  </si>
  <si>
    <t>RCHFU007-FEC</t>
  </si>
  <si>
    <t>P TIGHT SCREW 2x3L</t>
  </si>
  <si>
    <t>RCMCT001-NIH</t>
  </si>
  <si>
    <t>PLUNGER</t>
  </si>
  <si>
    <t>SYRINGE PLUNGER  FLP-5E</t>
  </si>
  <si>
    <t>RCMCT002-SAN</t>
  </si>
  <si>
    <t>NEEDLE CAP</t>
  </si>
  <si>
    <t>NEEDLE CAP  NC-7EU-B</t>
  </si>
  <si>
    <t>RCMCT003-SAN</t>
  </si>
  <si>
    <t>SYRINGE</t>
  </si>
  <si>
    <t>UV BLOCK SYRINGE  PSY-5EU-OR</t>
  </si>
  <si>
    <t>RCMCT004-SAN</t>
  </si>
  <si>
    <t>BOTTOM SYRINGE CAP</t>
  </si>
  <si>
    <t>HEAD CAP  HC-5EU-B</t>
  </si>
  <si>
    <t>RCMLB001-JIN</t>
  </si>
  <si>
    <t>LABEL STICKER A5 ( PP SYNTHETIC )</t>
  </si>
  <si>
    <t>RCMLB003-FTC</t>
  </si>
  <si>
    <t>PRODUCT LABEL : FILM (ROLL@1000PC)</t>
  </si>
  <si>
    <t>RCMLB004-AST</t>
  </si>
  <si>
    <t>PAPER BLANK LABEL SIZE 95X144MM.</t>
  </si>
  <si>
    <t>SPA-AGP-95X144-1</t>
  </si>
  <si>
    <t>RCMLB005-LAB</t>
  </si>
  <si>
    <t>LABEL STICKER</t>
  </si>
  <si>
    <t>LABEL STICKER A4 LJ-104 99*144 MM.</t>
  </si>
  <si>
    <t>RCMLB006-THE</t>
  </si>
  <si>
    <t>PRODUCT LABLE</t>
  </si>
  <si>
    <t>PRODUCT LABLE P35MM*W85MM(1310PCS/ROLL)</t>
  </si>
  <si>
    <t>RCMLB008-SAT</t>
  </si>
  <si>
    <t>Product Lable : 40mmX90mm.</t>
  </si>
  <si>
    <t>RCMLB009-SAT</t>
  </si>
  <si>
    <t>PRODUCT LABLE P20MM*W83MM</t>
  </si>
  <si>
    <t>RCMLB010-MNA</t>
  </si>
  <si>
    <t>Label semi gloss paper 45 mm x 10 mm</t>
  </si>
  <si>
    <t>RCMLB010-WEL</t>
  </si>
  <si>
    <t>RCMLB011-DEE</t>
  </si>
  <si>
    <t>STICKER LABEL A13 38X50MM (PAPER)</t>
  </si>
  <si>
    <t>RCMLB012-SAT</t>
  </si>
  <si>
    <t>PRODUCT LABLE P30MM*W70MM (1510PC)</t>
  </si>
  <si>
    <t>RCMLB013-SAT</t>
  </si>
  <si>
    <t>PRODUCT LABEL 15mm*W75mm 2500(5000@RL)</t>
  </si>
  <si>
    <t>RCMLB014-SAT</t>
  </si>
  <si>
    <t>Product LableP30mm*W103mm(30*50mm*2PCS)</t>
  </si>
  <si>
    <t>RCMLB015-LAB</t>
  </si>
  <si>
    <t>LABEL STICKER FX-049 WHITE (13.5X65mm)</t>
  </si>
  <si>
    <t>RCMLB016-SAT</t>
  </si>
  <si>
    <t>LABLE SIZE 30x50MM (MATERIAL PP FROZEN)</t>
  </si>
  <si>
    <t>RCMLB017-AST</t>
  </si>
  <si>
    <t>STICKER "ATTENTION" 1.5X4.5CM</t>
  </si>
  <si>
    <t>RCMLB019-WEL</t>
  </si>
  <si>
    <t>WHITE PET BLANK LABEL (LINTEC 50 um) 22m</t>
  </si>
  <si>
    <t>RCMLB020-AST</t>
  </si>
  <si>
    <t>STICKER PP PET 6X0.8 CM (5,000 PCS/RL)</t>
  </si>
  <si>
    <t>RCMLB021-AST</t>
  </si>
  <si>
    <t>LABEL 10X3MM WHITE (RL@5000PC)</t>
  </si>
  <si>
    <t>RCMLB023-AST</t>
  </si>
  <si>
    <t>SILVER LABEL SIZE : 25.5X9.5MM</t>
  </si>
  <si>
    <t>SILVER LABEL SIZE : 25.5X9.5MM (RL@500PC</t>
  </si>
  <si>
    <t>RCMLB025-SAT</t>
  </si>
  <si>
    <t>(AA309)WHITE PET50PERMANENT3900pcs/roll</t>
  </si>
  <si>
    <t>RCMMK001-TEI</t>
  </si>
  <si>
    <t>BLUE INK (1CAN=1000GRAM)</t>
  </si>
  <si>
    <t>BLUE INK VAR-391 (1CAN=1000GRAM)</t>
  </si>
  <si>
    <t>RCMMK002-TEI</t>
  </si>
  <si>
    <t>SOLVENT  G-002  (1BTL=1000GRAM)</t>
  </si>
  <si>
    <t>RCMMK003-PRA</t>
  </si>
  <si>
    <t>TWIN PERMANANT ZEBRA RED</t>
  </si>
  <si>
    <t>RCMMK004-PRA</t>
  </si>
  <si>
    <t>MARKER  MO-120 BLUE</t>
  </si>
  <si>
    <t>MARKER MO-120-MC-BLUE (Model: Zebra and</t>
  </si>
  <si>
    <t>RCMMK005-UEN</t>
  </si>
  <si>
    <t>ZEBRA MARKER HI MCKEE</t>
  </si>
  <si>
    <t>MO-150-MC-BK(10PCS/PACK)</t>
  </si>
  <si>
    <t>RCMMK006-DEE</t>
  </si>
  <si>
    <t>TWIN PERMANENT ZEBRA BLACK MO-120</t>
  </si>
  <si>
    <t>MO-120(10PCS/PACK)</t>
  </si>
  <si>
    <t>RCMMK007-UEN</t>
  </si>
  <si>
    <t>High-Mckee-Marker-Pen-Zebra-MO-150-MC-R</t>
  </si>
  <si>
    <t>RCMMK008-UEN</t>
  </si>
  <si>
    <t>High-Mckee-Marker-Pen-Zebra-MO-150-MC-BL</t>
  </si>
  <si>
    <t>RCMMK009-UEN</t>
  </si>
  <si>
    <t>High-Mckee-Marker-Pen-Zebra-MO-150-MC-G</t>
  </si>
  <si>
    <t>RCMPP001-PRA</t>
  </si>
  <si>
    <t>PAPER A4 70 GRAM (BOX)</t>
  </si>
  <si>
    <t>RCMSD001-KIS</t>
  </si>
  <si>
    <t>RMA02-P3-M705-0.3mm(1RL@250GM)</t>
  </si>
  <si>
    <t>RCMST001-ASK</t>
  </si>
  <si>
    <t>CAMEDINE</t>
  </si>
  <si>
    <t>CAMEDINE EP001K(ST@320gm)</t>
  </si>
  <si>
    <t>RCMST001-TPM</t>
  </si>
  <si>
    <t>LOCTITE 425(PC@20GM)</t>
  </si>
  <si>
    <t>RCMST002-PAS</t>
  </si>
  <si>
    <t>EPO-TEK</t>
  </si>
  <si>
    <t>353ND A and B (ST@454GM)</t>
  </si>
  <si>
    <t>RCMST003-MAT</t>
  </si>
  <si>
    <t>STYCAST</t>
  </si>
  <si>
    <t>Loctite Stycast 2057(CAN@1,000GM)</t>
  </si>
  <si>
    <t>RCMST004-MAT</t>
  </si>
  <si>
    <t>CATALYSY 9 (BTL@100GM)</t>
  </si>
  <si>
    <t>RCMST005-SHO</t>
  </si>
  <si>
    <t>GLUE</t>
  </si>
  <si>
    <t>Yanoman(BTL@120gm)</t>
  </si>
  <si>
    <t>RCMST006-KIS</t>
  </si>
  <si>
    <t>SILICONE RUBBER RVT  KE-3475T</t>
  </si>
  <si>
    <t>RCMST007-FEC</t>
  </si>
  <si>
    <t>SILICONE ADHESIVE</t>
  </si>
  <si>
    <t>FOR ELECTRONIC KE-347B(TUBE@100GM)</t>
  </si>
  <si>
    <t>RCMST008-LUV</t>
  </si>
  <si>
    <t>UV RECOATING RESIN</t>
  </si>
  <si>
    <t>PC 373LD (PC@45GRM)</t>
  </si>
  <si>
    <t>RCMST009-LUV</t>
  </si>
  <si>
    <t>UV RECOATING</t>
  </si>
  <si>
    <t>PC 373 LD (PC@45GRM)</t>
  </si>
  <si>
    <t>RCMST010-ELL</t>
  </si>
  <si>
    <t>DOW CORNING</t>
  </si>
  <si>
    <t>DOW CORNING SE 4486 330ML</t>
  </si>
  <si>
    <t>RCMST011-NOR</t>
  </si>
  <si>
    <t>NORLAND 61: 6101(PC@28.5GM)</t>
  </si>
  <si>
    <t>RCMST012-ASI</t>
  </si>
  <si>
    <t>HIGH SUPER 5(ST@25GM)</t>
  </si>
  <si>
    <t>RCMST013-KIS</t>
  </si>
  <si>
    <t>SILICON ADHESIVES  KE347W(TUBE@ 100 GM)</t>
  </si>
  <si>
    <t>RCMST014-SHO</t>
  </si>
  <si>
    <t>GEL FOR RIBBONIZE</t>
  </si>
  <si>
    <t>OPTSEAL-L (BTL@50GM)</t>
  </si>
  <si>
    <t>RCMST016-THR</t>
  </si>
  <si>
    <t>THREE BOND</t>
  </si>
  <si>
    <t>THREE BOND 2086M(ST@50GM)</t>
  </si>
  <si>
    <t>RCMST019-HEX</t>
  </si>
  <si>
    <t>KLEARSHIELD</t>
  </si>
  <si>
    <t>Klearshield 2-002 (BLT@10,000GM)</t>
  </si>
  <si>
    <t>RCMST020-SHO</t>
  </si>
  <si>
    <t>Cemedine # 10832 (PC@180 GM)</t>
  </si>
  <si>
    <t>RCMST021-FEC</t>
  </si>
  <si>
    <t>SILICONE:KE4897(PC@100GM)</t>
  </si>
  <si>
    <t>RCMST022-NOR</t>
  </si>
  <si>
    <t>NOA 13825:1382530B UV POWER CLAD:PC@30GM</t>
  </si>
  <si>
    <t>RCMST023-OFS</t>
  </si>
  <si>
    <t>SILICA SOLUTION</t>
  </si>
  <si>
    <t>SOL-GEL (600 GM) 7004026</t>
  </si>
  <si>
    <t>RCMST024-FEC</t>
  </si>
  <si>
    <t>RCMST025-FEC</t>
  </si>
  <si>
    <t>WORLD ROCK</t>
  </si>
  <si>
    <t>RCMST026-FEC</t>
  </si>
  <si>
    <t>RCMST029-PDS</t>
  </si>
  <si>
    <t>LOCTITE 243 THREADLOCK 50ML</t>
  </si>
  <si>
    <t>RCMST030-PDS</t>
  </si>
  <si>
    <t>LOCTITE 401 INSTANT ADHESIVE 20GM</t>
  </si>
  <si>
    <t>RCMST031-THR</t>
  </si>
  <si>
    <t>THREEBOND 1401C (200ML)</t>
  </si>
  <si>
    <t>RCMST033-FEC</t>
  </si>
  <si>
    <t>FLM-AD13-UV-3100(TUBE@5GM)</t>
  </si>
  <si>
    <t>RCMST034-KIT</t>
  </si>
  <si>
    <t>RESIN FW-L1460</t>
  </si>
  <si>
    <t>RCMST035-KIT</t>
  </si>
  <si>
    <t>HARDENER FW-H</t>
  </si>
  <si>
    <t>RCMST037-VLK</t>
  </si>
  <si>
    <t>LOCTITE 410 INSTANT ADHESIVE (BLT@20GM)</t>
  </si>
  <si>
    <t>RCMST038-MIS</t>
  </si>
  <si>
    <t>GREASE SUMICO MOLY PASTE 500 /50g.</t>
  </si>
  <si>
    <t>GREASE  MOLY PASTE 50 : LP-005 (50g.)</t>
  </si>
  <si>
    <t>RCMST040-FEC</t>
  </si>
  <si>
    <t>RCMST041-FEC</t>
  </si>
  <si>
    <t>KE-1831(TUBE@100GM)</t>
  </si>
  <si>
    <t>RCMST041-SHO</t>
  </si>
  <si>
    <t>LIQUID SILICONE RUBBER KE-45B(PC@100GM)</t>
  </si>
  <si>
    <t>RCMST042-LUV</t>
  </si>
  <si>
    <t>EFIRON UVF PC 373L AP (PC@45GRM)</t>
  </si>
  <si>
    <t>RCMST044-BOR</t>
  </si>
  <si>
    <t>DP110 GLUE EPOXY ADHESIVE TL 48.5ML</t>
  </si>
  <si>
    <t>DP110GLUE EPOXY ADHESIVE TL48.5ML 12/CV</t>
  </si>
  <si>
    <t>RCMST048-FIB</t>
  </si>
  <si>
    <t>DSM 950-200(BTL@60GM)</t>
  </si>
  <si>
    <t>RCMST049-BAN</t>
  </si>
  <si>
    <t>IPA   PURIFIED 99.9999  AR 4L</t>
  </si>
  <si>
    <t>RCMST050-UNI</t>
  </si>
  <si>
    <t>ARON ALPHA #GEL-10 (TUBE@20GM)</t>
  </si>
  <si>
    <t>RCMTB001-HAG</t>
  </si>
  <si>
    <t>SPIRAL TUBE (KEPSi-1-2 L=20mm +/-2mm)</t>
  </si>
  <si>
    <t>RCMTB002-HAG</t>
  </si>
  <si>
    <t>SPIRAL TUBE(KEPSi-1.5-2.5 L=20mm +/-2mm)</t>
  </si>
  <si>
    <t>RCMTB003-FEC</t>
  </si>
  <si>
    <t>S-922</t>
  </si>
  <si>
    <t>RCMTN001-BAC</t>
  </si>
  <si>
    <t>B110C 50 MM(PC@ 300 ME)</t>
  </si>
  <si>
    <t>RCMTN004-BAC</t>
  </si>
  <si>
    <t>RIBON RASIN B110C 114MMX300M(RICOH)</t>
  </si>
  <si>
    <t>RCMTN005-SAT</t>
  </si>
  <si>
    <t>INK RIBBON</t>
  </si>
  <si>
    <t>RIBBON R335F  W11MM*300MM</t>
  </si>
  <si>
    <t>RCMTN006-SAT</t>
  </si>
  <si>
    <t>INK  RIBBON&gt;R335A110MM*100M</t>
  </si>
  <si>
    <t>RCMTN007-IDS</t>
  </si>
  <si>
    <t>PRINTER TONER 325 FOR LBP6000</t>
  </si>
  <si>
    <t>RCMTN008-ITS</t>
  </si>
  <si>
    <t>TONER CE278A HP LASER JET P1566/P1606</t>
  </si>
  <si>
    <t>RCMTN014-ITS</t>
  </si>
  <si>
    <t>HP107A BLACK ORIGINAL LASER TONER-W1107A</t>
  </si>
  <si>
    <t>RCMTP001-SHO</t>
  </si>
  <si>
    <t>#247N/Red 9mm(RL@50ME)</t>
  </si>
  <si>
    <t>RCMTP003-BOR</t>
  </si>
  <si>
    <t>3M 810 MAGIC TAPE 3/4"X36</t>
  </si>
  <si>
    <t>RCMTP004-TNT</t>
  </si>
  <si>
    <t>ADHESIVE TEFLON TAPE</t>
  </si>
  <si>
    <t>#2265-2 HIGH-MODULUS(PTFE-FILM)</t>
  </si>
  <si>
    <t>RCMTP005-NIR</t>
  </si>
  <si>
    <t>NON-GLUED TAPE</t>
  </si>
  <si>
    <t>MC18W-50-10(W18MM*L50M)</t>
  </si>
  <si>
    <t>RCMTP007-BOR</t>
  </si>
  <si>
    <t>SCOTCH TAPE #244 (3M)18MM*18M</t>
  </si>
  <si>
    <t>SCOTCH TAPE #244 (3M) 18MM*18M(PK@7RL)</t>
  </si>
  <si>
    <t>RCMTP008-FOR</t>
  </si>
  <si>
    <t>MARKING TAPE 9MM"*10Y  ( YELLOW)</t>
  </si>
  <si>
    <t>RCMTP009-CRO</t>
  </si>
  <si>
    <t>DOUBLE TAPE CROCO 24MM.*9M.# DT2410</t>
  </si>
  <si>
    <t>RCMTP010-TNT</t>
  </si>
  <si>
    <t>TEFLON TAPE (PTFE- FILM) SIZE 12 MM x 33</t>
  </si>
  <si>
    <t>RCMTP012-BOR</t>
  </si>
  <si>
    <t>MARK TAPE #244/YELLOW (9MM*100M)</t>
  </si>
  <si>
    <t>RCMTP014-DEE</t>
  </si>
  <si>
    <t>SCOTH TAPE 3/4*72YARD</t>
  </si>
  <si>
    <t>RCMTP015-DEE</t>
  </si>
  <si>
    <t>SCOTCHTAPE1/2"X36UNITAPE</t>
  </si>
  <si>
    <t>RCMTP016-IDE</t>
  </si>
  <si>
    <t>ANTISTATIC ESD CLEAR TAPE 3/4 INX66M</t>
  </si>
  <si>
    <t>RCMTP018-TEC</t>
  </si>
  <si>
    <t>POLYMIDE TAPE 12MM.*33M.</t>
  </si>
  <si>
    <t>RCMTP019-ITS</t>
  </si>
  <si>
    <t>LAMINATED TAPE TZE 631 12MM</t>
  </si>
  <si>
    <t>RCMTP020-ITS</t>
  </si>
  <si>
    <t>LAMINATED TAPE TZE 231 12MM</t>
  </si>
  <si>
    <t>RCMTP021-OFF</t>
  </si>
  <si>
    <t>SCOTCH TAPE 810 1/2INC X36Y (3090040)</t>
  </si>
  <si>
    <t>RCOMM001-SAN</t>
  </si>
  <si>
    <t>FSC KEYLESS KNOB (BLUE)</t>
  </si>
  <si>
    <t>RCOMM002-SAN</t>
  </si>
  <si>
    <t>FSC KEYLESS KNOB (GREEN)</t>
  </si>
  <si>
    <t>RCOMM015-CAM</t>
  </si>
  <si>
    <t>STOPPER / KUSABI STOPPER : SE090007E</t>
  </si>
  <si>
    <t>RCOMM016-CAM</t>
  </si>
  <si>
    <t>CABLE HOLDER (TOOL)</t>
  </si>
  <si>
    <t>RCOMM017-CAM</t>
  </si>
  <si>
    <t>FSC STOPPER L (BLACK) LGR</t>
  </si>
  <si>
    <t>RCOMM018-CAM</t>
  </si>
  <si>
    <t>FSC STOPPER L (BLACK) LMR</t>
  </si>
  <si>
    <t>RCOMM019-CAM</t>
  </si>
  <si>
    <t>RCOMM020-CAM</t>
  </si>
  <si>
    <t>RCOMM057-SAN</t>
  </si>
  <si>
    <t>PLASTIC CONNECTOR</t>
  </si>
  <si>
    <t>SMUV-PH-TS REAR PRE-ASSY5 : WLA-8605317</t>
  </si>
  <si>
    <t>RCOMM076-SAN</t>
  </si>
  <si>
    <t>COUPLING SLEEVE</t>
  </si>
  <si>
    <t>SSC-PHD COUPLING SLEEVE (WLA-7608271)</t>
  </si>
  <si>
    <t>RCOMM077-SAN</t>
  </si>
  <si>
    <t>SSC-PH11LA BOOT-D (2) (WLA-8611031-02)</t>
  </si>
  <si>
    <t>RCOMM088-SAN</t>
  </si>
  <si>
    <t>SC-PH PLUG FRAME 6</t>
  </si>
  <si>
    <t>RCOMM089-ADA</t>
  </si>
  <si>
    <t>SC FERRULE (C-01-1878-0A-255)</t>
  </si>
  <si>
    <t>RCOMM090-FEC</t>
  </si>
  <si>
    <t>SLEEVE : S924 (PACK@25PC)</t>
  </si>
  <si>
    <t>RDCSP001-SAN</t>
  </si>
  <si>
    <t>SC FERRULE (PRE-DOME): SSC132PFCPD-125.5</t>
  </si>
  <si>
    <t>RDEPF002-FEC</t>
  </si>
  <si>
    <t>RDEPF003-FEC</t>
  </si>
  <si>
    <t>RDEPF009-SAN</t>
  </si>
  <si>
    <t>LOWER CASE / E 4 BODY : S9-MM-07620-D</t>
  </si>
  <si>
    <t>RDEPF010-SAN</t>
  </si>
  <si>
    <t>LOWER CASE / E 8 BODY : S9-MM-07621-C</t>
  </si>
  <si>
    <t>RDEPF011-SAN</t>
  </si>
  <si>
    <t>LID / E PF : S9-MM-07625-B</t>
  </si>
  <si>
    <t>RDEPF012-SAN</t>
  </si>
  <si>
    <t>SUB CASE / E LOWER CASE : S9-MM-07622-B</t>
  </si>
  <si>
    <t>RDEPF013-SAN</t>
  </si>
  <si>
    <t>UPPER CASE / E  : S9-MM-07623-D</t>
  </si>
  <si>
    <t>RDP00012-FEC</t>
  </si>
  <si>
    <t>CHIP FOR DPOH</t>
  </si>
  <si>
    <t>RDP00013-FEC</t>
  </si>
  <si>
    <t>PPWLPLTL402 1/4</t>
  </si>
  <si>
    <t>RDP00014-FEC</t>
  </si>
  <si>
    <t>PPWLPLTL01S 1/2</t>
  </si>
  <si>
    <t>RDP00015-FEC</t>
  </si>
  <si>
    <t>PHOTOBOND 300K</t>
  </si>
  <si>
    <t>RDP00016-FEC</t>
  </si>
  <si>
    <t>V-GROOVED GLASS BOARD</t>
  </si>
  <si>
    <t>TEMPAX Float glass TYPE3.3</t>
  </si>
  <si>
    <t>REEL01</t>
  </si>
  <si>
    <t>CONDUCTIVE REEL</t>
  </si>
  <si>
    <t>CTL BOARD (14TD023-1-NO.1)</t>
  </si>
  <si>
    <t>RET001-SVI</t>
  </si>
  <si>
    <t>NJ001M PCBA REWORK R331 AND C311</t>
  </si>
  <si>
    <t>RET001-SVI-1</t>
  </si>
  <si>
    <t>HALL_TEMP BOARD  (14TD023-1-NO.3)</t>
  </si>
  <si>
    <t>POS_SEN BOARD (14TD023-1-NO.6)</t>
  </si>
  <si>
    <t>CAM_LED BOARD (14TD023-1-NO.4)</t>
  </si>
  <si>
    <t>IL_LED BOARD (14TD023-1-NO.5)</t>
  </si>
  <si>
    <t>LCD_IF BOARD (14TD023-1-NO.2)</t>
  </si>
  <si>
    <t>CAMERA FFC (14TD027-1-NO.2)</t>
  </si>
  <si>
    <t>LCD FFC (14TD023-1-NO.7)</t>
  </si>
  <si>
    <t>CAMERA (KNB) (14TD027-1)</t>
  </si>
  <si>
    <t>RFB00017-FEC</t>
  </si>
  <si>
    <t>FLM-PE52 (FERROTEC)</t>
  </si>
  <si>
    <t>RFB00019-FEC</t>
  </si>
  <si>
    <t>FLM-FAR22LB-1.2S</t>
  </si>
  <si>
    <t>RFB00020-FEC</t>
  </si>
  <si>
    <t>FPS01-900-15</t>
  </si>
  <si>
    <t>RFB02013-TKK</t>
  </si>
  <si>
    <t>RFB02014-TKK</t>
  </si>
  <si>
    <t>RFB02015-FEC</t>
  </si>
  <si>
    <t>FLM-PC18-B</t>
  </si>
  <si>
    <t>RFB03004-ALP</t>
  </si>
  <si>
    <t>STAYDRY HICAP 2000 BLUE/ 3CC (PK@70PCS)</t>
  </si>
  <si>
    <t>RFB04024-FEC</t>
  </si>
  <si>
    <t>FLM-SL22B(PB FREE)</t>
  </si>
  <si>
    <t>RFICL001-CIT</t>
  </si>
  <si>
    <t>HOLDER (85B2735E)</t>
  </si>
  <si>
    <t>RFICL001-HIQ</t>
  </si>
  <si>
    <t>HOLDER BASE</t>
  </si>
  <si>
    <t>RFICL001-KMC</t>
  </si>
  <si>
    <t>CLUTCH SPRING : 81B2405A</t>
  </si>
  <si>
    <t>RFICL001-MIS</t>
  </si>
  <si>
    <t>TORSION SPRING : 33-0443</t>
  </si>
  <si>
    <t>RFICL001-MIT</t>
  </si>
  <si>
    <t>SEBS7BS1-40P/CU</t>
  </si>
  <si>
    <t>RFICL001-PPO</t>
  </si>
  <si>
    <t>TORSION SPRING : 85B2696A</t>
  </si>
  <si>
    <t>RFICL002-CIT</t>
  </si>
  <si>
    <t>HOLDER BASE SIZE 71.7 x 46.4 MM.</t>
  </si>
  <si>
    <t>RFICL002-KMC</t>
  </si>
  <si>
    <t>SPRING : 81B2407B</t>
  </si>
  <si>
    <t>RFICL002-MIS</t>
  </si>
  <si>
    <t>SCREW : SSHHB-SUS-M2-4</t>
  </si>
  <si>
    <t>RFICL003-MIS</t>
  </si>
  <si>
    <t>SCREW : CSHHNDPK1-SUS-M3-8</t>
  </si>
  <si>
    <t>RFICL166-FEC</t>
  </si>
  <si>
    <t>CROSS SCREW M1.7x5</t>
  </si>
  <si>
    <t>RFICL166-YTC</t>
  </si>
  <si>
    <t>HINGE BLOCK : 81B2344I</t>
  </si>
  <si>
    <t>RFICL167-YTC</t>
  </si>
  <si>
    <t>CLAMP ARM</t>
  </si>
  <si>
    <t>LINEAR GUIDE: LWLC7C1R40BT1PS2(SEBS8-40)</t>
  </si>
  <si>
    <t>RFICL168-YTC</t>
  </si>
  <si>
    <t>BLADE HOLDER</t>
  </si>
  <si>
    <t>RFICL169-FEC</t>
  </si>
  <si>
    <t>"BLADE HOLDER : 81B2321H
"</t>
  </si>
  <si>
    <t>RFICL169-YTC</t>
  </si>
  <si>
    <t>BLADE BASE</t>
  </si>
  <si>
    <t>BLADE BASE : 81B2323H</t>
  </si>
  <si>
    <t>RFICL170-YTC</t>
  </si>
  <si>
    <t>MAIN BASE : 81B2301N</t>
  </si>
  <si>
    <t>RFICL171-FEC</t>
  </si>
  <si>
    <t>20 BLADE 85B2362B</t>
  </si>
  <si>
    <t>RFICL171-OHT</t>
  </si>
  <si>
    <t>ROLLER : 81B2595C</t>
  </si>
  <si>
    <t>RFICL171-YTC</t>
  </si>
  <si>
    <t>MAIN BASE : 81B4031A</t>
  </si>
  <si>
    <t>RFICL172-FEC</t>
  </si>
  <si>
    <t>HOLDR BASE PRESS FIT 81B4032D</t>
  </si>
  <si>
    <t>RFICL172-OHT</t>
  </si>
  <si>
    <t>PUSH SHAFT (81B4033A)</t>
  </si>
  <si>
    <t>RFICL173-FEC</t>
  </si>
  <si>
    <t>PUSH SHAFT 81B4033A</t>
  </si>
  <si>
    <t>RFICL174-FEC</t>
  </si>
  <si>
    <t>HOLDER 58B2735</t>
  </si>
  <si>
    <t>RFICL175-FEC</t>
  </si>
  <si>
    <t>MAIN BASE 81B4031A</t>
  </si>
  <si>
    <t>RFICL176-FEC</t>
  </si>
  <si>
    <t>HOLDER STAGE 81B4022A</t>
  </si>
  <si>
    <t>RFICL177-FEC</t>
  </si>
  <si>
    <t>LARGE DUST BOX WITH ANTI STATIC MIST 48B</t>
  </si>
  <si>
    <t>RFICL179-FEC</t>
  </si>
  <si>
    <t>PRODUCT TYPE LABEL S326R 81B2424A</t>
  </si>
  <si>
    <t>RFICL180-FEC</t>
  </si>
  <si>
    <t>BRAND LABEL S326R 81B2802A</t>
  </si>
  <si>
    <t>RFICL182-FEC</t>
  </si>
  <si>
    <t>RFICL185-FEC</t>
  </si>
  <si>
    <t>CROSS RECESSED PAN HEAD SCREW M2X5L</t>
  </si>
  <si>
    <t>RFICL186-FEC</t>
  </si>
  <si>
    <t>PRODUCT TYPE LABEL S326R 81B4052A</t>
  </si>
  <si>
    <t>RFICL187-FEC</t>
  </si>
  <si>
    <t>RFLBC014-MAC</t>
  </si>
  <si>
    <t>RFLBC014-OHT</t>
  </si>
  <si>
    <t>RFLBC015-FEC</t>
  </si>
  <si>
    <t>MEDIUM LENGTH PACKAGE LID</t>
  </si>
  <si>
    <t>MEDIUM PACKAGE LID:7000062</t>
  </si>
  <si>
    <t>RFLBC015-JIN</t>
  </si>
  <si>
    <t>MEDIUM PACKAGE LID : 7000062 (AL6061-T4)</t>
  </si>
  <si>
    <t>RFLBC016-VEN</t>
  </si>
  <si>
    <t>HEAT SHRINK103-0053:B(PC@50IN=1.27ME)</t>
  </si>
  <si>
    <t>RFLBC019-INT</t>
  </si>
  <si>
    <t>SUB PACKAGE : ED-DD-17-117 : HPH0008</t>
  </si>
  <si>
    <t>RFLBC022-FEC</t>
  </si>
  <si>
    <t>BASEPLATE : P16CZ036-030-01</t>
  </si>
  <si>
    <t>RFLBC022-INT</t>
  </si>
  <si>
    <t>.BASE PLATE : ED-DD-17-209</t>
  </si>
  <si>
    <t>BEAM COMBINER BASE PLATE : ED-DD-17-209</t>
  </si>
  <si>
    <t>RFLBC023-FEC</t>
  </si>
  <si>
    <t>BEAM COMBINER LID : 7000421</t>
  </si>
  <si>
    <t>RFLBC023-INT</t>
  </si>
  <si>
    <t>LID : ED-DD-17-119</t>
  </si>
  <si>
    <t>BEAM COMBINER LID : ED-DD-17-119</t>
  </si>
  <si>
    <t>RFLBC024-FEC</t>
  </si>
  <si>
    <t>SIDE WALL : 7000422</t>
  </si>
  <si>
    <t>RFLBC024-INT</t>
  </si>
  <si>
    <t>SIDE WALL : ED-DD-17-120</t>
  </si>
  <si>
    <t>BEAM COMBINER SIDE WALL : ED-DD-17-120</t>
  </si>
  <si>
    <t>RFLBC025-FEC</t>
  </si>
  <si>
    <t>SPLICE INSERT</t>
  </si>
  <si>
    <t>SPLICE INSERT : P16CZ036-030-02</t>
  </si>
  <si>
    <t>RFLBC025-INT</t>
  </si>
  <si>
    <t>SPLICE INSERT:ED-DD-17-210:7000423</t>
  </si>
  <si>
    <t>RFLBC025-MIS</t>
  </si>
  <si>
    <t>M3X4 SHCS SCREWS : SCB3-4 BOLTS</t>
  </si>
  <si>
    <t>RFLBC027-MIS</t>
  </si>
  <si>
    <t>FLAT HEAD M4-8 : UF-0408</t>
  </si>
  <si>
    <t>RFLBC028-MIS</t>
  </si>
  <si>
    <t>FLAT HEAD M2-6 : UF-0206</t>
  </si>
  <si>
    <t>RFLBC029-MIS</t>
  </si>
  <si>
    <t>SA11 FASTENING : SSHT-SUS-M4-4</t>
  </si>
  <si>
    <t>RFLBC032-MIS</t>
  </si>
  <si>
    <t>FLAT HEAD M3-6 : UF-0306</t>
  </si>
  <si>
    <t>RFLBC034-MIS</t>
  </si>
  <si>
    <t>FLAT HEAD M2-8 : UF-0208</t>
  </si>
  <si>
    <t>RFLBC040-COR</t>
  </si>
  <si>
    <t>JDSU HI-1060-200(RL@500 ME) NEW COATING</t>
  </si>
  <si>
    <t>RFLBC041-CSC</t>
  </si>
  <si>
    <t>12 GA PTFE TUBING (SWTT-12-C) 1PC@100FT</t>
  </si>
  <si>
    <t>RFLBC042-COR</t>
  </si>
  <si>
    <t>SMF28E FOR ARC CALIBRATION (UNIT@1000ME)</t>
  </si>
  <si>
    <t>RFLBC043-PAT</t>
  </si>
  <si>
    <t>RFLBC044-MIS</t>
  </si>
  <si>
    <t>BOLT</t>
  </si>
  <si>
    <t>SA1 BOLT CSPCS3-SUS-M1.6-4 (PK@2000PC)</t>
  </si>
  <si>
    <t>RFLBC045-MIS</t>
  </si>
  <si>
    <t>SCREW : UF-0410</t>
  </si>
  <si>
    <t>HSK SCREW FLAT HEAD M4-10</t>
  </si>
  <si>
    <t>RFLBC051-CON</t>
  </si>
  <si>
    <t>SPIRAL PIPE</t>
  </si>
  <si>
    <t>197207x2.125CD:REV:0:STAINLESS STEEL</t>
  </si>
  <si>
    <t>RFLBC053-INT</t>
  </si>
  <si>
    <t>PACKAGE LID NO.ED-DD-17-124:7000054</t>
  </si>
  <si>
    <t>RFLBC054-INT</t>
  </si>
  <si>
    <t>WIRE CLAMP : ED-DD-17-125 : 7000157</t>
  </si>
  <si>
    <t>RFLBC060-OFS</t>
  </si>
  <si>
    <t>POWER CLAD 330 (PC@ 100GM)</t>
  </si>
  <si>
    <t>RFLBC061-MIS</t>
  </si>
  <si>
    <t>SCREW / SCB2-8:BOLTS</t>
  </si>
  <si>
    <t>RFLBC061-OFS</t>
  </si>
  <si>
    <t>M2X8 SHCS SCREWS</t>
  </si>
  <si>
    <t>RFLBC063-OFS</t>
  </si>
  <si>
    <t>M1.6X.35 4MM : FMSP1604(BAG@20PC)</t>
  </si>
  <si>
    <t>RFLBC064-EXI</t>
  </si>
  <si>
    <t>TEFLON TUBING : 5041K604</t>
  </si>
  <si>
    <t>RFLBC064-OFS</t>
  </si>
  <si>
    <t>TEFLON TUBING FOR 6X1 5041K62 FT@0.3048M</t>
  </si>
  <si>
    <t>RFLBC065-FEC</t>
  </si>
  <si>
    <t>STRAIN RELIEF : 7000487</t>
  </si>
  <si>
    <t>RFLBC065-INT</t>
  </si>
  <si>
    <t>CONNECTOR :ED-DD-18-008:7000487</t>
  </si>
  <si>
    <t>RFLBC065-OFS</t>
  </si>
  <si>
    <t>STRAIN RELIEF TUBING 20 GAGE P/N 7000487</t>
  </si>
  <si>
    <t>RFLBC066-OFS</t>
  </si>
  <si>
    <t>TEFLON TUBING : 5239K23  (FT@0.3048ME)</t>
  </si>
  <si>
    <t>RFLBC066-UGS</t>
  </si>
  <si>
    <t>TEFLON TUBING : 5239K23</t>
  </si>
  <si>
    <t>TEFLON TUBING : 5239K23(1 Roll@25FT)</t>
  </si>
  <si>
    <t>RFLBC067-MIS</t>
  </si>
  <si>
    <t>SCREW M2x4  : SCB2-4 BOLTS</t>
  </si>
  <si>
    <t>RFLBC068-WAR</t>
  </si>
  <si>
    <t>SS:BC_PCB : 1.46X0.51</t>
  </si>
  <si>
    <t>RFLBC069-FEC</t>
  </si>
  <si>
    <t>DCT14-200LI (491-N0922-0001)</t>
  </si>
  <si>
    <t>RFLBC070-DEN</t>
  </si>
  <si>
    <t>F-TUBE:F520_-0.006 2000x500TUBE:7000680</t>
  </si>
  <si>
    <t>RFLBC070-OFS</t>
  </si>
  <si>
    <t>RFLBC071-CSC</t>
  </si>
  <si>
    <t>PTFE HEATSHRINK2:1,SM2TSW-20-48 PC@1.2ME</t>
  </si>
  <si>
    <t>RFLBC072-CSC</t>
  </si>
  <si>
    <t>PTFE TUBING:SWTT-21-C(1PC@ 3048 CM)</t>
  </si>
  <si>
    <t>RFLBC073-DEN</t>
  </si>
  <si>
    <t>50-360 COMBINER FIBER:83257</t>
  </si>
  <si>
    <t>RFLBC074-MOU</t>
  </si>
  <si>
    <t>ALUMINIUM SPACER</t>
  </si>
  <si>
    <t>M3X0.5 : 761-M2105-3005-SS</t>
  </si>
  <si>
    <t>RFLBC075-EXI</t>
  </si>
  <si>
    <t>KAPTON POLYIMIDE FILM : P/N#2271K73</t>
  </si>
  <si>
    <t>RFLBC076-MIS</t>
  </si>
  <si>
    <t>SCREW FASTENINING CSPCSZ-316L-M2-5</t>
  </si>
  <si>
    <t>RFLBC079-MIS</t>
  </si>
  <si>
    <t>FASTENING : CSPSL-SUS-M2-4</t>
  </si>
  <si>
    <t>RFLBC080-MIS</t>
  </si>
  <si>
    <t>HSK TEFLON WASHER : TT-0204-10</t>
  </si>
  <si>
    <t>RFLBC080-UEN</t>
  </si>
  <si>
    <t>WASHER : TT-0204-10</t>
  </si>
  <si>
    <t>RFLBC081-MIS</t>
  </si>
  <si>
    <t>HSK TEFLON WASHER : TT-0204-03</t>
  </si>
  <si>
    <t>RFLBC082-FEC</t>
  </si>
  <si>
    <t>BD-S50/70/360-STN</t>
  </si>
  <si>
    <t>RFLBC083-MIS</t>
  </si>
  <si>
    <t>BOLTS:BOX-SCB3-6(PK@1000PC)</t>
  </si>
  <si>
    <t>RFLBC084-MIS</t>
  </si>
  <si>
    <t>BOLTS:SCB2-5</t>
  </si>
  <si>
    <t>RFLBC085-UGS</t>
  </si>
  <si>
    <t>LOW-FRICTION TAPE WITH TEFLON:76025A717</t>
  </si>
  <si>
    <t>76025A717 (RL@15FT)</t>
  </si>
  <si>
    <t>RFLBC086-COH</t>
  </si>
  <si>
    <t>FIBER : BD-S50/70/360-STN</t>
  </si>
  <si>
    <t>RFLBC086-FEC</t>
  </si>
  <si>
    <t>50-360 DELIVERY FIBER: 86820</t>
  </si>
  <si>
    <t>RFLBC089-DEN</t>
  </si>
  <si>
    <t>MM20-125HI FIBER : 82869</t>
  </si>
  <si>
    <t>RFLBC090-INT</t>
  </si>
  <si>
    <t>18X1 MEDIUM PACKAGE:7000691 REV.B</t>
  </si>
  <si>
    <t>RFLBC091-INT</t>
  </si>
  <si>
    <t>18X1 MEDIUM PACKAGE LID:7000692 REV.A</t>
  </si>
  <si>
    <t>RFLBC092-INT</t>
  </si>
  <si>
    <t>18X1 BASEPLATE:484-N2847-1001 REV.G</t>
  </si>
  <si>
    <t>RFLBC093-INT</t>
  </si>
  <si>
    <t>18X1 BEAM COMBINER LID:7000660 REV.C</t>
  </si>
  <si>
    <t>RFLBC094-INT</t>
  </si>
  <si>
    <t>18X1 SHIPPING PLATE:7000678 REV.B</t>
  </si>
  <si>
    <t>RFLBC095-INT</t>
  </si>
  <si>
    <t>18X1 SHIPPING COVER:7000679 REV.B</t>
  </si>
  <si>
    <t>RFLBC096-INT</t>
  </si>
  <si>
    <t>18X1 PCB LID (7000677) REV.B</t>
  </si>
  <si>
    <t>RFLBC097-MIS</t>
  </si>
  <si>
    <t>SA11 FASTENING:CSPCSZ-316L-M2-4</t>
  </si>
  <si>
    <t>RFLBC098-FEC</t>
  </si>
  <si>
    <t>100-360 DELIVERY FIBER : 86821</t>
  </si>
  <si>
    <t>RFLBC099-UGS</t>
  </si>
  <si>
    <t>TYVEK POLYETHYLENE FABRIC:1650T11</t>
  </si>
  <si>
    <t>RFLBC102-FEC</t>
  </si>
  <si>
    <t>6X1 FLAT TOP MEDIUM PKG : FL-DRW-3000-A</t>
  </si>
  <si>
    <t>RFLBC102-OHT</t>
  </si>
  <si>
    <t>6X1 FLAT TOP MEDIUM PACKAGE:A6061</t>
  </si>
  <si>
    <t>RFLBC104-COH</t>
  </si>
  <si>
    <t>FIBER BD-S100/120/360-STN</t>
  </si>
  <si>
    <t>RFLBC105-FEC</t>
  </si>
  <si>
    <t>MULTIMODE OPTICAL FIBER</t>
  </si>
  <si>
    <t>MM FIBER:WFNS294/340/400/500 T, NA=0.22</t>
  </si>
  <si>
    <t>RFLBC106-FEC</t>
  </si>
  <si>
    <t>INVAR PKG (NI COAT):CSD-2-EX-200306-6</t>
  </si>
  <si>
    <t>RFLBC107-FEC</t>
  </si>
  <si>
    <t>INVAR LID (NI COAT):CSD-2-EX-200306-6</t>
  </si>
  <si>
    <t>RFLBC108-AVO</t>
  </si>
  <si>
    <t>HNAP111-125LI:7000503</t>
  </si>
  <si>
    <t>RFLBC109-BRI</t>
  </si>
  <si>
    <t>TEFLON SHRINK TUBING(FT@30CM)SH250-30</t>
  </si>
  <si>
    <t>RFLBC110-INT</t>
  </si>
  <si>
    <t>BASEPLATE : ED-DD-23-059</t>
  </si>
  <si>
    <t>RFLBC111-FEC</t>
  </si>
  <si>
    <t>MMFIBER:WFNS200_240_300_390_500 T NA0.22</t>
  </si>
  <si>
    <t>RFLBC113-FEC</t>
  </si>
  <si>
    <t>MEDIUM PACKAGE LID:484-N2945-0003</t>
  </si>
  <si>
    <t>RFLBC114-HIR</t>
  </si>
  <si>
    <t>SPACER WITH WASHER : WSU-306SP</t>
  </si>
  <si>
    <t>RFLBC115-HIR</t>
  </si>
  <si>
    <t>SPACER WITH WASHER : WSU-310SP</t>
  </si>
  <si>
    <t>RFLBC116-HIR</t>
  </si>
  <si>
    <t>SPACER WITH WASHER : WSU-312SP</t>
  </si>
  <si>
    <t>RFLBC117-HIR</t>
  </si>
  <si>
    <t>SPACER WITH WASHER : WSU-315SP</t>
  </si>
  <si>
    <t>RFLBC118-MIS</t>
  </si>
  <si>
    <t>WSEMS SCREW : CSPPNZP-SUS-M3-12</t>
  </si>
  <si>
    <t>RFLBC119-MIS</t>
  </si>
  <si>
    <t>WSEMS SCREW : CSPPNZP-SUS-M3-15</t>
  </si>
  <si>
    <t>RFLBC120-MIS</t>
  </si>
  <si>
    <t>WSEMS SCREW : CSPPNZP-SUS-M3-5</t>
  </si>
  <si>
    <t>RFLBC121-MIS</t>
  </si>
  <si>
    <t>WSEMS SCREW : CSPPNZP-SUS-M3-6</t>
  </si>
  <si>
    <t>RFLBC122-MIS</t>
  </si>
  <si>
    <t>WSEMS SCREW : CSPCSZ-SUS-M3-12</t>
  </si>
  <si>
    <t>RFLBC123-HIR</t>
  </si>
  <si>
    <t>D-SUB CONNECTOR SPACER  : DSE-1048FN</t>
  </si>
  <si>
    <t>RFLBC124-HIR</t>
  </si>
  <si>
    <t>SPRING WASHER : USW-03</t>
  </si>
  <si>
    <t>RFLBC125-TAK</t>
  </si>
  <si>
    <t>FLAT TORQUE HINGE : B-1109-3</t>
  </si>
  <si>
    <t>RFLBC126-HIR</t>
  </si>
  <si>
    <t>STAINLESS SPACER : CU-2001</t>
  </si>
  <si>
    <t>RFLBC127-HIR</t>
  </si>
  <si>
    <t>SPACER WITH WASHER : WSU-308SP</t>
  </si>
  <si>
    <t>RFLBC128-HIR</t>
  </si>
  <si>
    <t>STAINLESS SPACER : CU-2002</t>
  </si>
  <si>
    <t>RFLBC129-FEC</t>
  </si>
  <si>
    <t>IRB PLATE : 484-N2932-1003</t>
  </si>
  <si>
    <t>RFLBC130-FEC</t>
  </si>
  <si>
    <t>SUB COMBINER COVER : 484-N2954-1001</t>
  </si>
  <si>
    <t>RFLBC131-FEC</t>
  </si>
  <si>
    <t>BOARD PLATE : 482-N3328-1001</t>
  </si>
  <si>
    <t>RFLBC132-FEC</t>
  </si>
  <si>
    <t>H PEDESTAL : 484-N2935-1001</t>
  </si>
  <si>
    <t>RFLBC133-FEC</t>
  </si>
  <si>
    <t>FIXTURE (UPPER PART) : 484-N1807-1001</t>
  </si>
  <si>
    <t>RFLBC134-FEC</t>
  </si>
  <si>
    <t>FIXTURE (LOWER PART) : 484-N1808-1001</t>
  </si>
  <si>
    <t>RFLBC135-FEC</t>
  </si>
  <si>
    <t>B COVER : 482-N3272-1008</t>
  </si>
  <si>
    <t>RFLBC136-FEC</t>
  </si>
  <si>
    <t>FU COVER : 482-N3272-1009</t>
  </si>
  <si>
    <t>RFLBC137-FEC</t>
  </si>
  <si>
    <t>MS COVER : 482-N3271-1004</t>
  </si>
  <si>
    <t>RFLBC138-FEC</t>
  </si>
  <si>
    <t>BOTTOM PANEL : 482-N3257-1003</t>
  </si>
  <si>
    <t>RFLBC139-FEC</t>
  </si>
  <si>
    <t>D-SUB MOUNTING PLATE : 482-N3267-1003</t>
  </si>
  <si>
    <t>RFLBC140-FEC</t>
  </si>
  <si>
    <t>D-SUB RECEIVING PLATE : 482-N3268-1001</t>
  </si>
  <si>
    <t>RFLBC141-FEC</t>
  </si>
  <si>
    <t>FRONT PANEL : 482-N3258-1003</t>
  </si>
  <si>
    <t>RFLBC142-FEC</t>
  </si>
  <si>
    <t>REAR PANEL : 482-N3259-1003</t>
  </si>
  <si>
    <t>RFLBC143-FEC</t>
  </si>
  <si>
    <t>RIGHT PANEL : 482-N3260-1002</t>
  </si>
  <si>
    <t>RFLBC144-FEC</t>
  </si>
  <si>
    <t>LEFT PANEL : 482-N3261-1003</t>
  </si>
  <si>
    <t>RFLBC145-FEC</t>
  </si>
  <si>
    <t>R FLANGE : 482-N3262-1004</t>
  </si>
  <si>
    <t>RFLBC146-FEC</t>
  </si>
  <si>
    <t>F FLANGE : 482-N3262-1005</t>
  </si>
  <si>
    <t>RFLBC147-FEC</t>
  </si>
  <si>
    <t>LID : 482-N3269-1002</t>
  </si>
  <si>
    <t>RFLBC148-FEC</t>
  </si>
  <si>
    <t>HANDLE PLATE : 482-N3263-1001</t>
  </si>
  <si>
    <t>RFLBC149-FEC</t>
  </si>
  <si>
    <t>SUB PACKAGE</t>
  </si>
  <si>
    <t>TUB BASE PLATE : 482-N3277-1003</t>
  </si>
  <si>
    <t>RFLBC150-FEC</t>
  </si>
  <si>
    <t>TUB COVER : 482-N3279-1005</t>
  </si>
  <si>
    <t>RFLBC151-FEC</t>
  </si>
  <si>
    <t>TUB COVER PLATE : 482-N3280-1001</t>
  </si>
  <si>
    <t>RFLBC152-FEC</t>
  </si>
  <si>
    <t>ALUMINIUM HINGE</t>
  </si>
  <si>
    <t>H RECEIVING PLATE : 482-N3273-1001</t>
  </si>
  <si>
    <t>RFLBC153-FEC</t>
  </si>
  <si>
    <t>PF PLATE : 482-N3281-1001</t>
  </si>
  <si>
    <t>RFLBC154-FEC</t>
  </si>
  <si>
    <t>IR PLATE : 482-N3282-1003</t>
  </si>
  <si>
    <t>RFLBC155-FEC</t>
  </si>
  <si>
    <t>HR GUIDE1 : 482-N3283-1002</t>
  </si>
  <si>
    <t>RFLBC156-FEC</t>
  </si>
  <si>
    <t>HR GUIDE2 : 482-N3284-1003</t>
  </si>
  <si>
    <t>RFLBC157-FEC</t>
  </si>
  <si>
    <t>DH GUIDE PLATE : 482-N3292-1003</t>
  </si>
  <si>
    <t>RFLBC158-FEC</t>
  </si>
  <si>
    <t>LDPD FIXTURE : 482-N2912-1001</t>
  </si>
  <si>
    <t>RFLBC159-FEC</t>
  </si>
  <si>
    <t>FUSION PLATE3 : 484-N2856-1003</t>
  </si>
  <si>
    <t>RFLBC160-FEC</t>
  </si>
  <si>
    <t>BASE PLATE : 484-N2931-1002</t>
  </si>
  <si>
    <t>RFLBC161-FEC</t>
  </si>
  <si>
    <t>BLOCKA : 484-N2936-1001</t>
  </si>
  <si>
    <t>RFLBC162-FEC</t>
  </si>
  <si>
    <t>BLOCKB : 484-N2937-1001</t>
  </si>
  <si>
    <t>RFLBC163-FEC</t>
  </si>
  <si>
    <t>PD PEDESTAL : 484-N2578-1006</t>
  </si>
  <si>
    <t>RFLBC164-FEC</t>
  </si>
  <si>
    <t>PD HARNESS1 : 430-L1167-1001</t>
  </si>
  <si>
    <t>RFLBC165-FEC</t>
  </si>
  <si>
    <t>PD HARNESS2 : 430-L1167-1002</t>
  </si>
  <si>
    <t>RFLBC166-FEC</t>
  </si>
  <si>
    <t>PD HARNESS3 : 430-L1167-1003</t>
  </si>
  <si>
    <t>RFLBC167-FEC</t>
  </si>
  <si>
    <t>PD HARNESS4 : 430-L1167-1004</t>
  </si>
  <si>
    <t>RFLBC168-FEC</t>
  </si>
  <si>
    <t>PD HARNESS5 : 430-L1167-1005</t>
  </si>
  <si>
    <t>RFLBC169-FEC</t>
  </si>
  <si>
    <t>TH HARNESS : 430-L1166-1001</t>
  </si>
  <si>
    <t>RFLBC170-FEC</t>
  </si>
  <si>
    <t>D-SUB HARNESS : 430-L1165-1001</t>
  </si>
  <si>
    <t>RFLBC171-FEC</t>
  </si>
  <si>
    <t>LN HARNESS : 430-L1168-1001</t>
  </si>
  <si>
    <t>RFLBC172-FEC</t>
  </si>
  <si>
    <t>BDM BOARD : 430-J1045-0001</t>
  </si>
  <si>
    <t>RFLBC173-FEC</t>
  </si>
  <si>
    <t>MCU BOARD : 430-J1043-0001</t>
  </si>
  <si>
    <t>RFLBC175-FEC</t>
  </si>
  <si>
    <t>PD BOARD 08 : 430-J1046-0001</t>
  </si>
  <si>
    <t>RFLBC176-FEC</t>
  </si>
  <si>
    <t>PD BOARD 12 : 430-J1046-0002</t>
  </si>
  <si>
    <t>RFLCA002-JIN</t>
  </si>
  <si>
    <t>TRUEMODE LID : 70000314:REV03</t>
  </si>
  <si>
    <t>RFLCA013-CON</t>
  </si>
  <si>
    <t>RFLCA026-THA</t>
  </si>
  <si>
    <t>NYLON CABLE CLAMP</t>
  </si>
  <si>
    <t>1/8 NYLON CABLE CLAMP 1EMT2(PACK@25PC)</t>
  </si>
  <si>
    <t>RFLCA072-JIN</t>
  </si>
  <si>
    <t>SPIRAL BASEPLATE : 7000291-1</t>
  </si>
  <si>
    <t>RFLCA074-JIN</t>
  </si>
  <si>
    <t>PD COVER  MOUNT : 7000472</t>
  </si>
  <si>
    <t>RFLCA075-PAR</t>
  </si>
  <si>
    <t>ADHESIVE TAPE</t>
  </si>
  <si>
    <t>69-13-41215-T412: 120X7.4X0.23MM W/HOLES</t>
  </si>
  <si>
    <t>RFLCA076-MIS</t>
  </si>
  <si>
    <t>SCREW M2x4 FOR MS : SCB2-4 BOLTS</t>
  </si>
  <si>
    <t>RFLCA077-EXI</t>
  </si>
  <si>
    <t>NYLON SOCKET HEAD SCREW2-56 THREAD SIZE</t>
  </si>
  <si>
    <t>NYLON SOCKET 1/8 IN (PN:95868A130)</t>
  </si>
  <si>
    <t>RFLCA078-HAK</t>
  </si>
  <si>
    <t>S16392-01CT-01:I PIN PHOTODIODE</t>
  </si>
  <si>
    <t>RFLCA079-DEN</t>
  </si>
  <si>
    <t>DCT16-250HI,CERTIFIED FIBER :80872</t>
  </si>
  <si>
    <t>RFLCA080-JIN</t>
  </si>
  <si>
    <t>TRUEMODE SIDE WALL C : 7000293</t>
  </si>
  <si>
    <t>RFLCA080-OFS</t>
  </si>
  <si>
    <t>RFLCA082-RSC</t>
  </si>
  <si>
    <t>POLARIZED CONNECTOR 10 POS_PN:454-2362</t>
  </si>
  <si>
    <t>RFLCA083-DIG</t>
  </si>
  <si>
    <t>THERMISTOR</t>
  </si>
  <si>
    <t>THERMISTOR:223-1544-ND</t>
  </si>
  <si>
    <t>RFLCA083-FEC</t>
  </si>
  <si>
    <t>THERMISTOR : GA10K3MCD1</t>
  </si>
  <si>
    <t>RFLCA083-MOU</t>
  </si>
  <si>
    <t>NTC Thermistors:MFR PN: GA10K3MCD1</t>
  </si>
  <si>
    <t>RFLCA083-RSC</t>
  </si>
  <si>
    <t>THERMISTOR , 0.5 DIA X 155MM</t>
  </si>
  <si>
    <t>RFLCA084-GLO</t>
  </si>
  <si>
    <t>RIBBON CABLE : 3365-10</t>
  </si>
  <si>
    <t>RIBBON CABLE:3365-10 (ROLL@30 ME)</t>
  </si>
  <si>
    <t>RFLCA084-RSC</t>
  </si>
  <si>
    <t>RIBBON CABLE</t>
  </si>
  <si>
    <t>RIBBON CABLE ,12.7MM  WIDTH 30 M</t>
  </si>
  <si>
    <t>RFLCA085-RSC</t>
  </si>
  <si>
    <t>WHITE SHRINK TUBING2:1-1.6MM:392-220</t>
  </si>
  <si>
    <t>RFLCA086-FEC</t>
  </si>
  <si>
    <t>STRIPPER</t>
  </si>
  <si>
    <t>MODE STRIPPER PKG : 7000437</t>
  </si>
  <si>
    <t>RFLCA086-JIN</t>
  </si>
  <si>
    <t>Mode Stripper PKG : 7000437</t>
  </si>
  <si>
    <t>RFLCA086-OFS</t>
  </si>
  <si>
    <t>RFLCA089-WAR</t>
  </si>
  <si>
    <t>SS : FRW02P-030241LF PCB BOARD</t>
  </si>
  <si>
    <t>RFLCA090-AST</t>
  </si>
  <si>
    <t>HEAT TRANSFER TAPE:6838A31</t>
  </si>
  <si>
    <t>RFLCA090-MCM</t>
  </si>
  <si>
    <t>HEAT TRANSFER TAPE:6838A31 (PC@1ME)</t>
  </si>
  <si>
    <t>RFLCA090-PAR</t>
  </si>
  <si>
    <t>69-13-41216-T412: 116X12X0.23MM W/HOLES</t>
  </si>
  <si>
    <t>RFLCA091-RSC</t>
  </si>
  <si>
    <t>HEAT SHRINK TUBING : 0398228(5PC@PACK)</t>
  </si>
  <si>
    <t>RFLCA093-DEN</t>
  </si>
  <si>
    <t>GEFT16-250LI FIBER TYPE 80852</t>
  </si>
  <si>
    <t>RFLCA094-FEC</t>
  </si>
  <si>
    <t>HEAT TRANSFER TAPE.T412</t>
  </si>
  <si>
    <t>RFLCA095-RSC</t>
  </si>
  <si>
    <t>RIBBON CABLE : 36-10020-003</t>
  </si>
  <si>
    <t>RFLCA096-DEN</t>
  </si>
  <si>
    <t>YB16-250 PREM :86193</t>
  </si>
  <si>
    <t>RFLCA097-DEN</t>
  </si>
  <si>
    <t>YB14-250 PREMIUM PLUS:87143</t>
  </si>
  <si>
    <t>RFLCA099-MOU</t>
  </si>
  <si>
    <t>THREADLOCKER:TL42 BLUE 10ML (BTL@10CC)</t>
  </si>
  <si>
    <t>RFLCA100-OFS</t>
  </si>
  <si>
    <t>PTFE STANDARD WALL TUBING (SWTT-09-50)</t>
  </si>
  <si>
    <t>RFLCA101-WAR</t>
  </si>
  <si>
    <t>PCB : PD-MONITOR (OSP)</t>
  </si>
  <si>
    <t>RFLCA102-CIR</t>
  </si>
  <si>
    <t>PCB:SSR-23-00001 (PD MONITOR)</t>
  </si>
  <si>
    <t>RFLCA103-BOR</t>
  </si>
  <si>
    <t>DP100FR EPOXY ADHESIVE OW 48.5ML 12/CV</t>
  </si>
  <si>
    <t>RFLFE102-FEC</t>
  </si>
  <si>
    <t>COVER PLATE:NEW SPECIFICATION</t>
  </si>
  <si>
    <t>RFLFE103-FEC</t>
  </si>
  <si>
    <t>LD GUIDE 3:NEW SPECIFICATION</t>
  </si>
  <si>
    <t>RFLFE104-FEC</t>
  </si>
  <si>
    <t>980 MULTIMODE MODULE</t>
  </si>
  <si>
    <t>MODULE 98MM : A RANK</t>
  </si>
  <si>
    <t>RFLFE105-FEC</t>
  </si>
  <si>
    <t>MODULE 98MM : B RANK</t>
  </si>
  <si>
    <t>RFLFE106-FEC</t>
  </si>
  <si>
    <t>BI-1.5KW CAVITY:490-N0766</t>
  </si>
  <si>
    <t>RFLFE108-FEC</t>
  </si>
  <si>
    <t>RFLFE109-FEC</t>
  </si>
  <si>
    <t>RFLFE110-FEC</t>
  </si>
  <si>
    <t>HEATSINK : 484-N2615-1004</t>
  </si>
  <si>
    <t>RFLFE111-FEC</t>
  </si>
  <si>
    <t>FRONT PANEL :482-N2873-1003</t>
  </si>
  <si>
    <t>RFLFE112-FEC</t>
  </si>
  <si>
    <t>SUS STRUT</t>
  </si>
  <si>
    <t>REAR STRUT :482-N2875-1003</t>
  </si>
  <si>
    <t>RFLFE113-FEC</t>
  </si>
  <si>
    <t>SUB PANEL :482-N2876-1003</t>
  </si>
  <si>
    <t>RFLFE114-FEC</t>
  </si>
  <si>
    <t>BOTTOM PLATE :482-N2877-1002</t>
  </si>
  <si>
    <t>RFLFE115-FEC</t>
  </si>
  <si>
    <t>COVER PLATE :482-N2878-1003</t>
  </si>
  <si>
    <t>RFLFE116-FEC</t>
  </si>
  <si>
    <t>GUIDE PLATE 1:482-N2915-1004</t>
  </si>
  <si>
    <t>RFLFE117-FEC</t>
  </si>
  <si>
    <t>GUIDE PLATE 2 :482-N2916-1003</t>
  </si>
  <si>
    <t>RFLFE118-FEC</t>
  </si>
  <si>
    <t>GUIDE PLATE 3 :482-N2916-1004</t>
  </si>
  <si>
    <t>RFLFE119-FEC</t>
  </si>
  <si>
    <t>GUIDE PLATE 4 :482-N2917-1002</t>
  </si>
  <si>
    <t>RFLFE120-FEC</t>
  </si>
  <si>
    <t>CAVITY COVER PLATE:482-N2929-1002</t>
  </si>
  <si>
    <t>RFLFE121-FEC</t>
  </si>
  <si>
    <t>CAVITY COVER SUB PLATE:482-N2930-1003</t>
  </si>
  <si>
    <t>RFLFE122-FEC</t>
  </si>
  <si>
    <t>SERVICE PLATE:482-N2882-1003</t>
  </si>
  <si>
    <t>RFLFE126-FEC</t>
  </si>
  <si>
    <t>MAINTENANCE COVER : 482-N2886-1003</t>
  </si>
  <si>
    <t>RFLFE127-FEC</t>
  </si>
  <si>
    <t>EXTRA PORT ATTN MODULE COVER482N29321003</t>
  </si>
  <si>
    <t>RFLFE130-FEC</t>
  </si>
  <si>
    <t>METAL FITING : 484-N2819-1001</t>
  </si>
  <si>
    <t>RFLFE133-FEC</t>
  </si>
  <si>
    <t>M3 CLAMP : RCM3-1V0</t>
  </si>
  <si>
    <t>RFLFE134-FEC</t>
  </si>
  <si>
    <t>EDGE GUARD : SE-1</t>
  </si>
  <si>
    <t>RFLFE139-FEC</t>
  </si>
  <si>
    <t>SILICONE SHEET</t>
  </si>
  <si>
    <t>HEAT DISPATION SHEET:483-N1532-1001</t>
  </si>
  <si>
    <t>RFLFE140-FEC</t>
  </si>
  <si>
    <t>INSLATION SHEET:483-N1543-1001(SHEET@PC)</t>
  </si>
  <si>
    <t>RFLFE141-FEC</t>
  </si>
  <si>
    <t>RFLFE143-FEC</t>
  </si>
  <si>
    <t>FASTENING : CSPPNZP-SUS-M3-6</t>
  </si>
  <si>
    <t>RFLFE144-FEC</t>
  </si>
  <si>
    <t>PROTECTION TUBE : 244-1031-55 L940</t>
  </si>
  <si>
    <t>RFLFE145-FEC</t>
  </si>
  <si>
    <t>SHORT BAR  : 482-N2933-1001</t>
  </si>
  <si>
    <t>RFLFE146-FEC</t>
  </si>
  <si>
    <t>SHORT BAR  : 482-N2933-1002</t>
  </si>
  <si>
    <t>RFLFE147-FEC</t>
  </si>
  <si>
    <t>CASING TUBE : KSP-2.6N </t>
  </si>
  <si>
    <t>RFLFE148-FEC</t>
  </si>
  <si>
    <t>TERMINAL BLOCK : OTB-358N-2P</t>
  </si>
  <si>
    <t>RFLFE154-FEC</t>
  </si>
  <si>
    <t>FASTENING : CSHELHF-SUS-M3-4</t>
  </si>
  <si>
    <t>RFLFE156-FEC</t>
  </si>
  <si>
    <t>MAIN-ACC2 BOARD : 430-J1014-1001</t>
  </si>
  <si>
    <t>RFLFE157-FEC</t>
  </si>
  <si>
    <t>SUB-ACC2 BOARD : 430-J1023-1001</t>
  </si>
  <si>
    <t>RFLFE158-FEC</t>
  </si>
  <si>
    <t>LL HARNESS : 430-L1103-1001</t>
  </si>
  <si>
    <t>RFLFE159-FEC</t>
  </si>
  <si>
    <t>LA HARNESS1 : 430-L1104-1001</t>
  </si>
  <si>
    <t>RFLFE160-FEC</t>
  </si>
  <si>
    <t>LA HARNESS2 : 430-L1104-1002</t>
  </si>
  <si>
    <t>RFLFE161-FEC</t>
  </si>
  <si>
    <t>LA HARNESS3 : 430-L1104-1003</t>
  </si>
  <si>
    <t>RFLFE162-FEC</t>
  </si>
  <si>
    <t>LA HARNESS4 : 430-L1104-1004</t>
  </si>
  <si>
    <t>RFLFE163-FEC</t>
  </si>
  <si>
    <t>LC HARNESS1 : 430-L1105-1001</t>
  </si>
  <si>
    <t>RFLFE164-FEC</t>
  </si>
  <si>
    <t>LC HARNESS2 : 430-L1105-1002</t>
  </si>
  <si>
    <t>RFLFE165-FEC</t>
  </si>
  <si>
    <t>LC HARNESS3 : 430-L1105-1003</t>
  </si>
  <si>
    <t>RFLFE166-FEC</t>
  </si>
  <si>
    <t>LC HARNESS4 : 430-L1105-1004</t>
  </si>
  <si>
    <t>RFLFE167-FEC</t>
  </si>
  <si>
    <t>CC HARNESS1 : 430-L1106-1001</t>
  </si>
  <si>
    <t>RFLFE168-FEC</t>
  </si>
  <si>
    <t>CC HARNESS2 : 430-L1106-1002</t>
  </si>
  <si>
    <t>RFLFE169-FEC</t>
  </si>
  <si>
    <t>CC HARNESS3 : 430-L1106-1003</t>
  </si>
  <si>
    <t>RFLFE170-FEC</t>
  </si>
  <si>
    <t>CC HARNESS4 : 430-L1106-1004</t>
  </si>
  <si>
    <t>RFLFE172-FEC</t>
  </si>
  <si>
    <t>100W PUMP MODULE : FFL0933Y120-222-920</t>
  </si>
  <si>
    <t>RFLFE173-FEC</t>
  </si>
  <si>
    <t>1.5KW CAVITY(USING T644)</t>
  </si>
  <si>
    <t>RFLFE175-FEC</t>
  </si>
  <si>
    <t>ACCESS PANEL LABEL:487-N0584-1001</t>
  </si>
  <si>
    <t>RFLFE177-FEC</t>
  </si>
  <si>
    <t>SUDDLE : PZ-0104</t>
  </si>
  <si>
    <t>RFLFE178-FEC</t>
  </si>
  <si>
    <t>BOARD FIXING PLATE : 482-N2871-0002</t>
  </si>
  <si>
    <t>RFLFE180-FEC</t>
  </si>
  <si>
    <t>DUST COVER : DC-37S-DC1(16)</t>
  </si>
  <si>
    <t>RFLFE181-FEC</t>
  </si>
  <si>
    <t>HEAT SINK : 484-N2929-0001</t>
  </si>
  <si>
    <t>RFLFE182-FEC</t>
  </si>
  <si>
    <t>CHASSIS</t>
  </si>
  <si>
    <t>SIDE PANEL L : 482-N3241-0001</t>
  </si>
  <si>
    <t>RFLFE183-FEC</t>
  </si>
  <si>
    <t>SIDE PANEL R : 482-N3242-0001</t>
  </si>
  <si>
    <t>RFLFE184-FEC</t>
  </si>
  <si>
    <t>SUB PANEL : 482-N3243-0001</t>
  </si>
  <si>
    <t>RFLFE185-FEC</t>
  </si>
  <si>
    <t>FRONT PANEL : 482-N3244-0001</t>
  </si>
  <si>
    <t>RFLFE186-FEC</t>
  </si>
  <si>
    <t>OUTPUT FIBER COVER : 482-N3245-0001</t>
  </si>
  <si>
    <t>RFLFE187-FEC</t>
  </si>
  <si>
    <t>BOARD FIXING PLATE : 482-N3246-0001</t>
  </si>
  <si>
    <t>RFLFE188-FEC</t>
  </si>
  <si>
    <t>HEAT DISSAPATION SHEET : 483-N1557-0001</t>
  </si>
  <si>
    <t>RFLFE189-FEC</t>
  </si>
  <si>
    <t>CAVITY COVER PLATE : 482-N3248-0001</t>
  </si>
  <si>
    <t>RFLFE190-FEC</t>
  </si>
  <si>
    <t>SPACER : 482-N3250-0001</t>
  </si>
  <si>
    <t>RFLFE191-FEC</t>
  </si>
  <si>
    <t>SERVICE PLATE : 482-N3251-0001</t>
  </si>
  <si>
    <t>RFLFE192-FEC</t>
  </si>
  <si>
    <t>GUIDE PATE 1 : 482-N3252-0001</t>
  </si>
  <si>
    <t>RFLFE193-FEC</t>
  </si>
  <si>
    <t>GUIDE PATE 2 : 482-N3253-0001</t>
  </si>
  <si>
    <t>RFLFE194-FEC</t>
  </si>
  <si>
    <t>GUIDE PATE 3 : 482-N3254-0001</t>
  </si>
  <si>
    <t>RFLFE195-FEC</t>
  </si>
  <si>
    <t>BOTTOM PLATE : 482-N3255-0001</t>
  </si>
  <si>
    <t>RFLFE196-FEC</t>
  </si>
  <si>
    <t>COVER PLATE : 482-N3256-0001</t>
  </si>
  <si>
    <t>RFLFE197-FEC</t>
  </si>
  <si>
    <t>BLOCK FOR REFLECT-MODULE:484-N2953-0001</t>
  </si>
  <si>
    <t>RFLFE198-FEC</t>
  </si>
  <si>
    <t>SPACER M6 : BSU-310</t>
  </si>
  <si>
    <t>RFLFE199-FEC</t>
  </si>
  <si>
    <t>RFLFE200-FEC</t>
  </si>
  <si>
    <t>WASHER : WSSS13-4-2</t>
  </si>
  <si>
    <t>RFLFE201-FEC</t>
  </si>
  <si>
    <t>FITTING</t>
  </si>
  <si>
    <t>COUPLER : PL12-02</t>
  </si>
  <si>
    <t>RFLFE202-FEC</t>
  </si>
  <si>
    <t>SUS SCREW M3-L12 : CSPPNZP-SUS-M3-12</t>
  </si>
  <si>
    <t>RFLFE203-FEC</t>
  </si>
  <si>
    <t>SUS SCREW M4-L8 : CSPPNZP-SUS-M4-8</t>
  </si>
  <si>
    <t>RFLFE204-FEC</t>
  </si>
  <si>
    <t>SUS SCREW M4-L18 : CSPPNZP-SUS-M4-18</t>
  </si>
  <si>
    <t>RFLFE205-FEC</t>
  </si>
  <si>
    <t>SUS SCREW M5-L10 : CSPPNZP-SUS-M5-10</t>
  </si>
  <si>
    <t>RFLFE206-FEC</t>
  </si>
  <si>
    <t>SUS SCREW M6-L20 : CSPPNZP-SUS-M6-20</t>
  </si>
  <si>
    <t>RFLFE207-FEC</t>
  </si>
  <si>
    <t>FASTENING-CSPCSZ-SUS-M3-6</t>
  </si>
  <si>
    <t>RFLFE208-FEC</t>
  </si>
  <si>
    <t>FASTENING-CSHELHF-SUS-M3-6</t>
  </si>
  <si>
    <t>RFLFE209-FEC</t>
  </si>
  <si>
    <t>BOARD FOR FLE G-RACK : 430-J1044-0001</t>
  </si>
  <si>
    <t>RFLFE210-FEC</t>
  </si>
  <si>
    <t>HARNESS TO INPUT SIGNAL</t>
  </si>
  <si>
    <t>RFLFE211-FEC</t>
  </si>
  <si>
    <t>CASING TUBE : KSP-2.2N L=1000</t>
  </si>
  <si>
    <t>RFLFE212-FEC</t>
  </si>
  <si>
    <t>HARNESS FOR SUPPLYING VOLTAGE TO BOARD</t>
  </si>
  <si>
    <t>RFLFE213-FEC</t>
  </si>
  <si>
    <t>HEAT DISSAPATION SHEET</t>
  </si>
  <si>
    <t>FRONT PANEL</t>
  </si>
  <si>
    <t>RFLFLE03-FEC</t>
  </si>
  <si>
    <t>STRUT(FRONT-LEFT)</t>
  </si>
  <si>
    <t>RFLFLE04-FEC</t>
  </si>
  <si>
    <t>STRUT(FRONT-RIGHT)</t>
  </si>
  <si>
    <t>RFLFLE05-FEC</t>
  </si>
  <si>
    <t>STRUT(REAR)</t>
  </si>
  <si>
    <t>RFLFLE06-FEC</t>
  </si>
  <si>
    <t>SUB-PANEL</t>
  </si>
  <si>
    <t>RFLFLE11-FEC</t>
  </si>
  <si>
    <t>LD GUIDE 3</t>
  </si>
  <si>
    <t>RFLFLE12-FEC</t>
  </si>
  <si>
    <t>LD GUIDE 4</t>
  </si>
  <si>
    <t>RFLFLE14-FEC</t>
  </si>
  <si>
    <t>SERVICE PLATE</t>
  </si>
  <si>
    <t>RFLFLE15-FEC</t>
  </si>
  <si>
    <t>BOARD FIXING PLATE</t>
  </si>
  <si>
    <t>RFLFLE17-FEC</t>
  </si>
  <si>
    <t>SHORT BAR 2</t>
  </si>
  <si>
    <t>RFLFLE18-FEC</t>
  </si>
  <si>
    <t>RFLFLE19-FEC</t>
  </si>
  <si>
    <t>SUB BASE</t>
  </si>
  <si>
    <t>MONITOR BASE</t>
  </si>
  <si>
    <t>RFLFLE20-FEC</t>
  </si>
  <si>
    <t>METAL CONNECTOR</t>
  </si>
  <si>
    <t>PANEL CONNECTOR</t>
  </si>
  <si>
    <t>RFLFLE24-FEC</t>
  </si>
  <si>
    <t>HANDLE BAR(UWAFS8-80-30)</t>
  </si>
  <si>
    <t>RFLFLE25-FEC</t>
  </si>
  <si>
    <t>CLAMP XS(RPMC-1V0)</t>
  </si>
  <si>
    <t>RFLFLE26-FEC</t>
  </si>
  <si>
    <t>CLAMP S(RMCS-1V0)</t>
  </si>
  <si>
    <t>RFLFLE29-FEC</t>
  </si>
  <si>
    <t>TERMINAL BLOCK(OTB-592-2P)</t>
  </si>
  <si>
    <t>RFLFLE30-FEC</t>
  </si>
  <si>
    <t>SHRINKING TUBE:SZF2-5.0W (PC@30CM)</t>
  </si>
  <si>
    <t>RFLFLE30-MIS</t>
  </si>
  <si>
    <t>HEAT-SHRINKABLE TUBE:SZF2-5.0W(PK@10PC)</t>
  </si>
  <si>
    <t>RFLFLE31-FEC</t>
  </si>
  <si>
    <t>SHRINKING TUBE:HSHTD-4.7-5P(PC@30 CM)</t>
  </si>
  <si>
    <t>RFLFLE32-FEC</t>
  </si>
  <si>
    <t>PTFE TUBE:02-029-04-02(PC@40CM)</t>
  </si>
  <si>
    <t>RFLFLE33-FEC</t>
  </si>
  <si>
    <t>HEAT DISSIPATION SHEET</t>
  </si>
  <si>
    <t>RFLFLE36-FEC</t>
  </si>
  <si>
    <t>SPACER WITH WASHER (WSU-330SP)</t>
  </si>
  <si>
    <t>RFLFLE37-FEC</t>
  </si>
  <si>
    <t>WATER COUPLER S (KKA4S-02M)</t>
  </si>
  <si>
    <t>RFLFLE38-FEC</t>
  </si>
  <si>
    <t>WATER COUPLER P (KKA4P-02M)</t>
  </si>
  <si>
    <t>RFLFLE40-FEC</t>
  </si>
  <si>
    <t>ALUMINUM BLOCK FOR RDMM</t>
  </si>
  <si>
    <t>RFLFLE41-FEC</t>
  </si>
  <si>
    <t>HEXAGON NUT</t>
  </si>
  <si>
    <t>HEXAGONALBOLT WITH THROUGH HOLE:RCBAS6-8</t>
  </si>
  <si>
    <t>RFLFLE41-MIS</t>
  </si>
  <si>
    <t>BOLT:RCBAS6-8</t>
  </si>
  <si>
    <t>RFLFLE42-FEC</t>
  </si>
  <si>
    <t>SUS WASHER</t>
  </si>
  <si>
    <t>SPRING WASHER M6</t>
  </si>
  <si>
    <t>20031BRO09</t>
  </si>
  <si>
    <t>RFLFLE42-MIS</t>
  </si>
  <si>
    <t>WASHER:WSP2-SUS-M6</t>
  </si>
  <si>
    <t>RFLFLE46-FEC</t>
  </si>
  <si>
    <t>THERMAL GREASE</t>
  </si>
  <si>
    <t>THERMAL GREASE G777 (PC@1000GRM)</t>
  </si>
  <si>
    <t>RFLFLE47-FEC</t>
  </si>
  <si>
    <t>SILICONE KE3466 (PC@100GRM)</t>
  </si>
  <si>
    <t>RFLFLE48-FEC</t>
  </si>
  <si>
    <t>TERMINAL</t>
  </si>
  <si>
    <t>SOCKET TERMINAL (PR-1.4-10)</t>
  </si>
  <si>
    <t>RFLFLE49-FEC</t>
  </si>
  <si>
    <t>RING TERMINAL</t>
  </si>
  <si>
    <t>ROUND TERMINAL (TMEV 2-4)</t>
  </si>
  <si>
    <t>RFLFLE49-MIS</t>
  </si>
  <si>
    <t>CRIMPING TERMINAL BLUE COLOR(PK@100PC)</t>
  </si>
  <si>
    <t>RFLFLE49-SEN</t>
  </si>
  <si>
    <t>CRIMP TERMINAL : TMEX 2-4 BLUE</t>
  </si>
  <si>
    <t>RFLFLE50-FEC</t>
  </si>
  <si>
    <t>ELECTRIC WIRE CABLE</t>
  </si>
  <si>
    <t>ELECTRIC WIRE (UL1015-14-BE)(PC@1ME)</t>
  </si>
  <si>
    <t>RFLFLE51-FEC</t>
  </si>
  <si>
    <t>SHRINKING TUBE (F2(Z))(PC@1ME)</t>
  </si>
  <si>
    <t>RFLFLE53-FEC</t>
  </si>
  <si>
    <t>W SEMS SCREW (M2-L6)</t>
  </si>
  <si>
    <t>RFLFLE53-MIS</t>
  </si>
  <si>
    <t>FASTENING:CSPPNZP-SUS-M2-6</t>
  </si>
  <si>
    <t>RFLFLE54-FEC</t>
  </si>
  <si>
    <t>W SEMS SCREW (M3-L10)</t>
  </si>
  <si>
    <t>RFLFLE54-MIS</t>
  </si>
  <si>
    <t>FASTENING:CSPPNZP-SUS-M3-10</t>
  </si>
  <si>
    <t>RFLFLE55-FEC</t>
  </si>
  <si>
    <t>W SEMS SCREW (M3-L20)</t>
  </si>
  <si>
    <t>RFLFLE55-MIS</t>
  </si>
  <si>
    <t>FASTENING:CSPPNZP-SUS-M3-20</t>
  </si>
  <si>
    <t>RFLFLE56-FEC</t>
  </si>
  <si>
    <t>W SEMS SCREW (M3-L8)</t>
  </si>
  <si>
    <t>RFLFLE56-MIS</t>
  </si>
  <si>
    <t>FASTENING:CSPPNZP-SUS-M3-8</t>
  </si>
  <si>
    <t>RFLFLE59-FEC</t>
  </si>
  <si>
    <t>.</t>
  </si>
  <si>
    <t>W SEMS SCREW (M5-L12)</t>
  </si>
  <si>
    <t>RFLFLE59-MIS</t>
  </si>
  <si>
    <t>FASTENING:CSPPNZP-SUS-M5-12</t>
  </si>
  <si>
    <t>RFLFLE61-FEC</t>
  </si>
  <si>
    <t>W SEMS SCREW (M6-L15)</t>
  </si>
  <si>
    <t>RFLFLE61-MIS</t>
  </si>
  <si>
    <t>FASTENING:CSPPNZP-SUS-M6-15</t>
  </si>
  <si>
    <t>RFLFLE62-FEC</t>
  </si>
  <si>
    <t>W SEMS SCREW (M6-L30)</t>
  </si>
  <si>
    <t>RFLFLE62-MIS</t>
  </si>
  <si>
    <t>FASTENING:CSPPNZP-SUS-M6-30</t>
  </si>
  <si>
    <t>RFLFLE64-FEC</t>
  </si>
  <si>
    <t>COUNTERSUNK SCREW (M3-L10)</t>
  </si>
  <si>
    <t>RFLFLE64-MIS</t>
  </si>
  <si>
    <t>FASTENING:CSPCSZ-SUS-M3-10</t>
  </si>
  <si>
    <t>RFLFLE65-FEC</t>
  </si>
  <si>
    <t>COUNTERSUNK SCREW (M4-L8)</t>
  </si>
  <si>
    <t>RFLFLE65-MIS</t>
  </si>
  <si>
    <t>FASTENING:CSPCSZ-SUS-M4-8</t>
  </si>
  <si>
    <t>BOARD PANEL : 482-N2883-0001</t>
  </si>
  <si>
    <t>RFLFLE67-FEC</t>
  </si>
  <si>
    <t>MAINTENANCE COVER : 482-N2886-0001</t>
  </si>
  <si>
    <t>RFLFLE68-FEC</t>
  </si>
  <si>
    <t>CASING TUBE : KSP-2.6N L=800</t>
  </si>
  <si>
    <t>RFLFLE69-FEC</t>
  </si>
  <si>
    <t>ALUMINUM CL : ALC-4</t>
  </si>
  <si>
    <t>RFLFLE70-FEC</t>
  </si>
  <si>
    <t>ENGAGEMENT FIXING BASE:RDG-LNA4-40</t>
  </si>
  <si>
    <t>RFLFLE71-FEC</t>
  </si>
  <si>
    <t>LOCK NUT : 1-1634816-0</t>
  </si>
  <si>
    <t>RFLFLE72-FEC</t>
  </si>
  <si>
    <t>LOCK WASHER : 1-1634817-0</t>
  </si>
  <si>
    <t>RFLFLE73-FEC</t>
  </si>
  <si>
    <t>PRESS-FIT CONNECTOR(HIF3BA-10D-2.54R)</t>
  </si>
  <si>
    <t>RFLFLE74-FEC</t>
  </si>
  <si>
    <t>W SEMS SCRE : CSPPNZP-SUS-M4-10</t>
  </si>
  <si>
    <t>RFLFLE74-MIS</t>
  </si>
  <si>
    <t>FASTENING:CSPPNZP-SUS-M4-10</t>
  </si>
  <si>
    <t>RFLFLE75-FEC</t>
  </si>
  <si>
    <t>W SEMS SCRE : CSPPNZP-SUS-M5-20</t>
  </si>
  <si>
    <t>RFLFLE75-MIS</t>
  </si>
  <si>
    <t>FASTENING:CSPPNZP-SUS-M5-20</t>
  </si>
  <si>
    <t>RFLFLE76-FEC</t>
  </si>
  <si>
    <t>SPRING WASH : USW-26</t>
  </si>
  <si>
    <t>RFLFLE78-FEC</t>
  </si>
  <si>
    <t>CLAMP MS : RLSC-0.5V0</t>
  </si>
  <si>
    <t>RFLFLE79-FEC</t>
  </si>
  <si>
    <t>CLAMP ML : RLSC-1.5V0</t>
  </si>
  <si>
    <t>RFLFLE80-FEC</t>
  </si>
  <si>
    <t>CLAMP L : RLSC-2V0</t>
  </si>
  <si>
    <t>RFLFLE81-FEC</t>
  </si>
  <si>
    <t>TWIST CRIP : TCR-11</t>
  </si>
  <si>
    <t>RFLFLE82-FEC</t>
  </si>
  <si>
    <t>DUST CAP : BNC-C</t>
  </si>
  <si>
    <t>RFLFLE83-FEC</t>
  </si>
  <si>
    <t>DUST COVER : DC-37S-DC1</t>
  </si>
  <si>
    <t>RFLFLE84-FEC</t>
  </si>
  <si>
    <t>DOUBLE FACED : NT1001-36-0050</t>
  </si>
  <si>
    <t>RFLFLE85-FEC</t>
  </si>
  <si>
    <t>MARK BAND : KN-3-A</t>
  </si>
  <si>
    <t>RFLFLE86-FEC</t>
  </si>
  <si>
    <t>MARK BAND: KN-3-C</t>
  </si>
  <si>
    <t>RFLFLE87-FEC</t>
  </si>
  <si>
    <t>REFLECTION DAMPING MODULE</t>
  </si>
  <si>
    <t>RFLFLE88-FEC</t>
  </si>
  <si>
    <t>EXTRA PORT ATTENUATION MODULE</t>
  </si>
  <si>
    <t>RFLFLE92-FEC</t>
  </si>
  <si>
    <t>BOARD TO BOARD HARNESS:430-L1000-0001</t>
  </si>
  <si>
    <t>RFLFLE94-FEC</t>
  </si>
  <si>
    <t>SINGLE FTA SFP11062A</t>
  </si>
  <si>
    <t>RFLFLE95-FEC</t>
  </si>
  <si>
    <t>LASER WARNING LABEL</t>
  </si>
  <si>
    <t>RFLFLE96-FEC</t>
  </si>
  <si>
    <t>VOID LABEL</t>
  </si>
  <si>
    <t>RFLFLE98-FEC</t>
  </si>
  <si>
    <t>COVER FOR EXTRA PORT</t>
  </si>
  <si>
    <t>RFLFLE99-FEC</t>
  </si>
  <si>
    <t>RFLLIS01-FEC</t>
  </si>
  <si>
    <t>SILICONE MIXTURE</t>
  </si>
  <si>
    <t>SILICONE:X-32-6029 A(KG@1000GM)</t>
  </si>
  <si>
    <t>RFLLIS02-FEC</t>
  </si>
  <si>
    <t>SILICONE:X-32-6029 B(KG@1000GM)</t>
  </si>
  <si>
    <t>RFLLIS03-FEC</t>
  </si>
  <si>
    <t>SILICONE:X-93-405</t>
  </si>
  <si>
    <t>RFLLIS04-FEC</t>
  </si>
  <si>
    <t>SILICONE:KE-1063-A(KG@1000GM)</t>
  </si>
  <si>
    <t>RFLLIS05-FEC</t>
  </si>
  <si>
    <t>SILICONE:KE-1063-B(KG@1000GM)</t>
  </si>
  <si>
    <t>RFLLIS06-FEC</t>
  </si>
  <si>
    <t>DENKA BORON NITRIDE:XGP(KG@1000GM)</t>
  </si>
  <si>
    <t>RFLLIS07-FEC</t>
  </si>
  <si>
    <t>SILICA : AEROSIL200</t>
  </si>
  <si>
    <t>RFLLIS08-FEC</t>
  </si>
  <si>
    <t>BN POWDER : SGP(KG@1000GM)</t>
  </si>
  <si>
    <t>RFLMP001-FEC</t>
  </si>
  <si>
    <t>BASE PLATE FOR KTR-W:484-N2382-1001</t>
  </si>
  <si>
    <t>RFLMP002-FEC</t>
  </si>
  <si>
    <t>BASE PLATE FOR RAM-K:484-N1809-0001</t>
  </si>
  <si>
    <t>RFLMP003-FEC</t>
  </si>
  <si>
    <t>BASE PLATE FOR RDM:484-N2540-1001</t>
  </si>
  <si>
    <t>RFLMP004-OFS</t>
  </si>
  <si>
    <t>DCT14-125 LI (P/N:80845)</t>
  </si>
  <si>
    <t>RFLMP005-THO</t>
  </si>
  <si>
    <t>SINGLE MODE FIBER 488-633NM : SM450</t>
  </si>
  <si>
    <t>RFLMP006-OFS</t>
  </si>
  <si>
    <t>BF05859</t>
  </si>
  <si>
    <t>RFLSD001-DEN</t>
  </si>
  <si>
    <t>DCT16-330 HI:78291</t>
  </si>
  <si>
    <t>RFLSD004-FEC</t>
  </si>
  <si>
    <t>LED CONNECTION HARNESS</t>
  </si>
  <si>
    <t>RFLSD005-FEC</t>
  </si>
  <si>
    <t>DSUB 15 PIN HARNESS</t>
  </si>
  <si>
    <t>RFLSD006-FEC</t>
  </si>
  <si>
    <t>DSUB 37-9 PIN HARNESS</t>
  </si>
  <si>
    <t>RFLSD007-FEC</t>
  </si>
  <si>
    <t>BNC_A HARNESS</t>
  </si>
  <si>
    <t>RFLSD008-FEC</t>
  </si>
  <si>
    <t>BNC_D HARNESS</t>
  </si>
  <si>
    <t>RFLSD009-FEC</t>
  </si>
  <si>
    <t>RED LD-HS_TH HARNESS</t>
  </si>
  <si>
    <t>RFLSD010-FEC</t>
  </si>
  <si>
    <t>WS-SUB BOARD TO BOARD HARNESS</t>
  </si>
  <si>
    <t>RFLSD011-FEC</t>
  </si>
  <si>
    <t>DISCONNECTION DETECTION HARNESS</t>
  </si>
  <si>
    <t>RFLSD012-FEC</t>
  </si>
  <si>
    <t>WS-ACC1 HARNESS</t>
  </si>
  <si>
    <t>RFLSD014-FEC</t>
  </si>
  <si>
    <t>TERMINAL BLOCK-ACC2 HARNESS</t>
  </si>
  <si>
    <t>RFLSD015-FEC</t>
  </si>
  <si>
    <t>ACC-CAPACITOR HARNESS</t>
  </si>
  <si>
    <t>RFLSD016-FEC</t>
  </si>
  <si>
    <t>ACC-LD HARNESS(2PC@SET):LD(A)LD(C)</t>
  </si>
  <si>
    <t>RFLSD017-FEC</t>
  </si>
  <si>
    <t>TERMINAL BLOCK OTB-593-2P</t>
  </si>
  <si>
    <t>RFLSD018-FEC</t>
  </si>
  <si>
    <t>CAPACITOR</t>
  </si>
  <si>
    <t>LARGE ALUMINUM ELECTROLYTIC CAPACITORS</t>
  </si>
  <si>
    <t>RFLSD019-FEC</t>
  </si>
  <si>
    <t>RELAY ADAPTER MF70G8-YS5</t>
  </si>
  <si>
    <t>RFLSD022-FEC</t>
  </si>
  <si>
    <t>FUSE MONITOR PD MODULE</t>
  </si>
  <si>
    <t>RFLSD023-FEC</t>
  </si>
  <si>
    <t>RED PROTECTION ATTENUATION MODULE</t>
  </si>
  <si>
    <t>RFLSD024-FEC</t>
  </si>
  <si>
    <t>RED LD MODULE</t>
  </si>
  <si>
    <t>RFLSD025-FIN</t>
  </si>
  <si>
    <t>PROTECTION SLEEVE</t>
  </si>
  <si>
    <t>REINFORCING SLEEVE : PS-6A-X40U</t>
  </si>
  <si>
    <t>RFLSD030-FEC</t>
  </si>
  <si>
    <t>RFLSD032-FEC</t>
  </si>
  <si>
    <t>PILLARS 1</t>
  </si>
  <si>
    <t>RFLSD034-FEC</t>
  </si>
  <si>
    <t>PILLARS 3</t>
  </si>
  <si>
    <t>RFLSD035-FEC</t>
  </si>
  <si>
    <t>PILLARS 4</t>
  </si>
  <si>
    <t>RFLSD036-FEC</t>
  </si>
  <si>
    <t>PLATE FOR SUB PCB</t>
  </si>
  <si>
    <t>RFLSD037-FEC</t>
  </si>
  <si>
    <t>INTERMEDIATE DIE PLATE FFP1412-M110</t>
  </si>
  <si>
    <t>RFLSD038-FEC</t>
  </si>
  <si>
    <t>PIPE FITTING</t>
  </si>
  <si>
    <t>CAPACITOR HOLDER FFP1412-M111</t>
  </si>
  <si>
    <t>RFLSD041-FEC</t>
  </si>
  <si>
    <t>QBH CABLE COVER FFP1412-M114</t>
  </si>
  <si>
    <t>RFLSD042-FEC</t>
  </si>
  <si>
    <t>SUS BRACKET</t>
  </si>
  <si>
    <t>MOUNTING BRACKET FFP1412-M115</t>
  </si>
  <si>
    <t>RFLSD043-FEC</t>
  </si>
  <si>
    <t>ANGLE HINGE</t>
  </si>
  <si>
    <t>RFLSD044-FEC</t>
  </si>
  <si>
    <t>SECURING BRACKET</t>
  </si>
  <si>
    <t>RFLSD045-FEC</t>
  </si>
  <si>
    <t>LED PANEL</t>
  </si>
  <si>
    <t>RFLSD046-FEC</t>
  </si>
  <si>
    <t>REAR PANEL COVER 2 (FFP1412-M120)</t>
  </si>
  <si>
    <t>RFLSD047-FEC</t>
  </si>
  <si>
    <t>RFLSD048-FEC</t>
  </si>
  <si>
    <t>SHORT BAR 482-N2824-1001</t>
  </si>
  <si>
    <t>RFLSD049-FEC</t>
  </si>
  <si>
    <t>SECURING BRACKET N-10-043-M221</t>
  </si>
  <si>
    <t>RFLSD050-FEC</t>
  </si>
  <si>
    <t>COVER N-10-043-M222</t>
  </si>
  <si>
    <t>RFLSD052-FEC</t>
  </si>
  <si>
    <t>ACC PCB BRACKET B</t>
  </si>
  <si>
    <t>RFLSD054-FEC</t>
  </si>
  <si>
    <t>METAL FITTINGS  N-10-043-M167</t>
  </si>
  <si>
    <t>RFLSD055-FEC</t>
  </si>
  <si>
    <t>COVER 483-N1356-1002</t>
  </si>
  <si>
    <t>RFLSD056-FEC</t>
  </si>
  <si>
    <t>FLAME RETARDANT RUBBER FEET-C-30-RK-3225</t>
  </si>
  <si>
    <t>RFLSD057-FEC</t>
  </si>
  <si>
    <t>HINGE HHPSNC5</t>
  </si>
  <si>
    <t>RFLSD058-FEC</t>
  </si>
  <si>
    <t>HANDLE UWANCS6-66</t>
  </si>
  <si>
    <t>RFLSD059-FEC</t>
  </si>
  <si>
    <t>SPEED CONTROLLER WITH QUICK FITTING SSF6</t>
  </si>
  <si>
    <t>RFLSD061-FEC</t>
  </si>
  <si>
    <t>MINI CLAMP MN-2-R</t>
  </si>
  <si>
    <t>RFLSD062-FEC</t>
  </si>
  <si>
    <t>CABLE TIE</t>
  </si>
  <si>
    <t>CABLE TIES PLT1M-M69</t>
  </si>
  <si>
    <t>RFLSD063-FEC</t>
  </si>
  <si>
    <t>CABLE TIES PLT2.5I</t>
  </si>
  <si>
    <t>RFLSD064-FEC</t>
  </si>
  <si>
    <t>BAND FIXTURE TMS-20-R</t>
  </si>
  <si>
    <t>RFLSD065-HIR</t>
  </si>
  <si>
    <t>INSULATING BUSH : PE2736-6120</t>
  </si>
  <si>
    <t>RFLSD066-FEC</t>
  </si>
  <si>
    <t>HEAT DISSIPATION SHEET EE-RS 4X15X46</t>
  </si>
  <si>
    <t>RFLSD067-FEC</t>
  </si>
  <si>
    <t>HEAT DISSIPATION SHEET BFG20A D-1</t>
  </si>
  <si>
    <t>RFLSD068-FEC</t>
  </si>
  <si>
    <t>HEAT DISSIPATION SHEET BFG20A D-3</t>
  </si>
  <si>
    <t>RFLSD069-FEC</t>
  </si>
  <si>
    <t>D SUB CONNECTOR MOUNTING BOLT D20418-2F</t>
  </si>
  <si>
    <t>RFLSD070-HIR</t>
  </si>
  <si>
    <t>W SEMS SCREW (M2.6-L10) : U-2610-S1</t>
  </si>
  <si>
    <t>RFLSD071-HIR</t>
  </si>
  <si>
    <t>SPACER WITH WASHER : BSU-2010</t>
  </si>
  <si>
    <t>RFLSD072-HIR</t>
  </si>
  <si>
    <t>SPACER WITH WASHER : MS-2012-03E</t>
  </si>
  <si>
    <t>RFLSD073-HIR</t>
  </si>
  <si>
    <t>W SEMS SCREW (M2-L5) : U-0205-S1</t>
  </si>
  <si>
    <t>RFLSD074-HIR</t>
  </si>
  <si>
    <t>SPACER WITH WASHER : MSU-2005-03</t>
  </si>
  <si>
    <t>RFLSD075-HIR</t>
  </si>
  <si>
    <t>W SEMS SCREW (M2-L8) : U-0208-S1</t>
  </si>
  <si>
    <t>RFLSD076-HIR</t>
  </si>
  <si>
    <t>W SEMS SCREW (M3-L15) : U-0315-S2</t>
  </si>
  <si>
    <t>RFLSD077-HIR</t>
  </si>
  <si>
    <t>SPACER WITH WASHER : BSU-321</t>
  </si>
  <si>
    <t>RFLSD078-HIR</t>
  </si>
  <si>
    <t>SPACER WITH WASHER : BSU-334</t>
  </si>
  <si>
    <t>RFLSD079-HIR</t>
  </si>
  <si>
    <t>W SEMS SCREW (M3-L5) : U-0305-S1</t>
  </si>
  <si>
    <t>RFLSD080-HIR</t>
  </si>
  <si>
    <t>W SEMS SCREW (M3-L6) : U-0306-S1</t>
  </si>
  <si>
    <t>RFLSD081-FEC</t>
  </si>
  <si>
    <t>TRUSS MACHINE SCREWS(TRSS3-6)</t>
  </si>
  <si>
    <t>RFLSD082-HIR</t>
  </si>
  <si>
    <t>SPACER WITH WASHER : BSU-306</t>
  </si>
  <si>
    <t>RFLSD083-FEC</t>
  </si>
  <si>
    <t>CROSS RECESSED FLAT HEAD MACHINE SCREWS</t>
  </si>
  <si>
    <t>RFLSD084-FEC</t>
  </si>
  <si>
    <t>W SEMS SCREW (M4-L22)</t>
  </si>
  <si>
    <t>RFLSD085-HIR</t>
  </si>
  <si>
    <t>W SEMS SCREW (M4-L30) : U-0430-S1</t>
  </si>
  <si>
    <t>RFLSD086-HIR</t>
  </si>
  <si>
    <t>W SEMS SCREW (M4-L8) : U-0408-S1</t>
  </si>
  <si>
    <t>RFLSD087-HIR</t>
  </si>
  <si>
    <t>W SEMS SCREW (M5-L10) : U-0510-S1</t>
  </si>
  <si>
    <t>RFLSD088-FEC</t>
  </si>
  <si>
    <t>FLAT HEAD MACHINE SCREWS(M5-L10)</t>
  </si>
  <si>
    <t>RFLSD089-HIR</t>
  </si>
  <si>
    <t>W SEMS SCREW (M5-L12) : U-0512-S1</t>
  </si>
  <si>
    <t>RFLSD090-HIR</t>
  </si>
  <si>
    <t>W SEMS SCREW (M5-L20) : U-0520-S1</t>
  </si>
  <si>
    <t>RFLSD091-HIR</t>
  </si>
  <si>
    <t>W SEMS SCREW (M6-L15) : U-0615-S1</t>
  </si>
  <si>
    <t>RFLSD093-HIR</t>
  </si>
  <si>
    <t>W SEMS SCREW (M2-L10) : U-0210-S1</t>
  </si>
  <si>
    <t>RFLSD094-UEN</t>
  </si>
  <si>
    <t>SUS SCREW (PK@5PC)</t>
  </si>
  <si>
    <t>STAINLESS HEX LOW HEAD BOLT:B089-0625</t>
  </si>
  <si>
    <t>RFLSD095-UEN</t>
  </si>
  <si>
    <t>SUS WASHER (PK@180PC)</t>
  </si>
  <si>
    <t>SPRING WASHER M6 : B29-0006</t>
  </si>
  <si>
    <t>RFLSD096-FEC</t>
  </si>
  <si>
    <t>PTFE TAPE 5490 12.7 X 32.9 M</t>
  </si>
  <si>
    <t>RFLSD098-FEC</t>
  </si>
  <si>
    <t>SILICONE TUBE COVER</t>
  </si>
  <si>
    <t>HEAT SHRINKABLE TUBE SZF2C-7-10P-W</t>
  </si>
  <si>
    <t>RFLSD099-FEC</t>
  </si>
  <si>
    <t>SILICON TUBE (DB - WHITE) 1.5 * 2.0</t>
  </si>
  <si>
    <t>RFLSD100-FEC</t>
  </si>
  <si>
    <t>PTFE TUBE (02-029-10-33) 10 M</t>
  </si>
  <si>
    <t>RFLSD102-FEC</t>
  </si>
  <si>
    <t>RFLSD103-FEC</t>
  </si>
  <si>
    <t>RFLSD106-FEC</t>
  </si>
  <si>
    <t>RFLSD107-FEC</t>
  </si>
  <si>
    <t>RFLSD108-FEC</t>
  </si>
  <si>
    <t>RFLSD109-FEC</t>
  </si>
  <si>
    <t>RFLSD110-HIR</t>
  </si>
  <si>
    <t>W SEMS SCREW (M2-L6) : U-0206-S1</t>
  </si>
  <si>
    <t>RFLSD111-HIR</t>
  </si>
  <si>
    <t>W SEMS SCREW (M3-L10) : U-0310-S1</t>
  </si>
  <si>
    <t>RFLSD112-HIR</t>
  </si>
  <si>
    <t>W SEMS SCREW (M3-L8) : U-0308-S1</t>
  </si>
  <si>
    <t>RFLSD113-UEN</t>
  </si>
  <si>
    <t>SILVER TAPE (PC@33ME)</t>
  </si>
  <si>
    <t>RFLSD115-FEC</t>
  </si>
  <si>
    <t>RFLSD116-FEC</t>
  </si>
  <si>
    <t>WIRE CABLE</t>
  </si>
  <si>
    <t>LED CONNECTION WIRING 1</t>
  </si>
  <si>
    <t>RFLSD117-FEC</t>
  </si>
  <si>
    <t>DSUB 15-PIN WIRING (EXCLUDINGFIXINGBASE)</t>
  </si>
  <si>
    <t>RFLSD118-FEC</t>
  </si>
  <si>
    <t>DSUB37-9-PIN WIRING (EXCLUDING FIXING)</t>
  </si>
  <si>
    <t>RFLSD119-FEC</t>
  </si>
  <si>
    <t>BNC_A 1</t>
  </si>
  <si>
    <t>RFLSD120-FEC</t>
  </si>
  <si>
    <t>BNC_D</t>
  </si>
  <si>
    <t>RFLSD121-FEC</t>
  </si>
  <si>
    <t>RED LD-HS_TH WIRING 1</t>
  </si>
  <si>
    <t>RFLSD122-FEC</t>
  </si>
  <si>
    <t>WS-SUB BOARD WIRING 1</t>
  </si>
  <si>
    <t>RFLSD123-FEC</t>
  </si>
  <si>
    <t>CABLE DISCONNECTION DETECTION CONNECTION</t>
  </si>
  <si>
    <t>RFLSD124-FEC</t>
  </si>
  <si>
    <t>WS-ACC1 WIRING</t>
  </si>
  <si>
    <t>RFLSD125-FEC</t>
  </si>
  <si>
    <t>TERMINAL BLOCK TO ACC1 WIRING (2 PCS) 1</t>
  </si>
  <si>
    <t>RFLSD126-FEC</t>
  </si>
  <si>
    <t>ACC-CAPACITOR WIRING 6</t>
  </si>
  <si>
    <t>RFLSD127-FEC</t>
  </si>
  <si>
    <t>ACC-LD WIRING (2 PAIRS) 6</t>
  </si>
  <si>
    <t>RFLSD132-FEC</t>
  </si>
  <si>
    <t>RFLSD136-FEC</t>
  </si>
  <si>
    <t>BRACKET(2)</t>
  </si>
  <si>
    <t>RFLSD137-FEC</t>
  </si>
  <si>
    <t>BRACKET(3)</t>
  </si>
  <si>
    <t>RFLSD138-FEC</t>
  </si>
  <si>
    <t>BRACKET(4)</t>
  </si>
  <si>
    <t>RFLSD139-FEC</t>
  </si>
  <si>
    <t>BRACKET(5)</t>
  </si>
  <si>
    <t>RFLSD140-FEC</t>
  </si>
  <si>
    <t>BRACKET(6)</t>
  </si>
  <si>
    <t>RFLSD141-FEC</t>
  </si>
  <si>
    <t>BRACKET(7)</t>
  </si>
  <si>
    <t>RFLSD142-FEC</t>
  </si>
  <si>
    <t>BRACKET(8)</t>
  </si>
  <si>
    <t>RFLSD143-FEC</t>
  </si>
  <si>
    <t>CABLE HOLDER(A)</t>
  </si>
  <si>
    <t>RFLSD144-FEC</t>
  </si>
  <si>
    <t>CABLE HOLDER(B)</t>
  </si>
  <si>
    <t>RFLSD145-FEC</t>
  </si>
  <si>
    <t>CAPACITOR HOLDER FDW-5016-1001</t>
  </si>
  <si>
    <t>RFLSD146-FEC</t>
  </si>
  <si>
    <t>MOUNTING HARDWARE FDW-5018-1002</t>
  </si>
  <si>
    <t>RFLSD149-FEC</t>
  </si>
  <si>
    <t>RFLSD150-FEC</t>
  </si>
  <si>
    <t>ACC PCB BRACKET A</t>
  </si>
  <si>
    <t>RFLSD151-FEC</t>
  </si>
  <si>
    <t>ACC PCB BRACKET C</t>
  </si>
  <si>
    <t>RFLSD152-FEC</t>
  </si>
  <si>
    <t>HIGHER MODE PROCESSING LID</t>
  </si>
  <si>
    <t>RFLSD153-FEC</t>
  </si>
  <si>
    <t>INTERMEDIATE PLATE FOR HIGHER MODE PROCE</t>
  </si>
  <si>
    <t>RFLSD155-HIR</t>
  </si>
  <si>
    <t>W SEMS SCREW (M4-L10) : U-0410-S1</t>
  </si>
  <si>
    <t>RFLSD156-FEC</t>
  </si>
  <si>
    <t>HEAT SHRINKABLE TUBE F2Z 4X0.25</t>
  </si>
  <si>
    <t>RFLSD157-HIR</t>
  </si>
  <si>
    <t>SPACER WITH WASHER : BSU-323</t>
  </si>
  <si>
    <t>RFLSD158-UEN</t>
  </si>
  <si>
    <t>SSHS-M6-25 (PK@10PC)</t>
  </si>
  <si>
    <t>RFLSD159-FEC</t>
  </si>
  <si>
    <t>RFLSD160-FEC</t>
  </si>
  <si>
    <t>RFLSD161-FEC</t>
  </si>
  <si>
    <t>RFLSD165-FEC</t>
  </si>
  <si>
    <t>REMAINING PORT PROCESSING MODULE RDM-3</t>
  </si>
  <si>
    <t>RFLSD167-FEC</t>
  </si>
  <si>
    <t>PAN HEAD SCREW(M3-L6) : 481-N0446-0003</t>
  </si>
  <si>
    <t>RFLSD168-FEC</t>
  </si>
  <si>
    <t>W SEMS SCREW (M2.6-L7)</t>
  </si>
  <si>
    <t>RFLSD169-FEC</t>
  </si>
  <si>
    <t>FET HEAT TRANSFER PLATE : 484-N2626-1001</t>
  </si>
  <si>
    <t>RFLSD170-FEC</t>
  </si>
  <si>
    <t>FET HEAT TRANSFER PLATE : 484-N2660-1001</t>
  </si>
  <si>
    <t>RFLSD172-FEC</t>
  </si>
  <si>
    <t>HEATSINK W1000 : 484-N2627-1001</t>
  </si>
  <si>
    <t>RFLSD176-FEC</t>
  </si>
  <si>
    <t>ACC PCB BRACKET A : 482-N2923-0002</t>
  </si>
  <si>
    <t>RFLSD178-UEN</t>
  </si>
  <si>
    <t>STOPPER FOR PP BAND(TRUSCO)</t>
  </si>
  <si>
    <t>STOPPER FOR PP BAND(TRUSCO) (1PK@100PC)</t>
  </si>
  <si>
    <t>RFLSD184-FEC</t>
  </si>
  <si>
    <t>LEAD-FREE SOLDER:RMA02</t>
  </si>
  <si>
    <t>RFLSD185-FEC</t>
  </si>
  <si>
    <t>SILICONE SPIRAL TUBE:CP-N 2×3</t>
  </si>
  <si>
    <t>RFLSD186-FEC</t>
  </si>
  <si>
    <t>F-CO TAPE NO.2(ROLL@10ME)</t>
  </si>
  <si>
    <t>RFLTFB05-JIN</t>
  </si>
  <si>
    <t>MEDIUM LENGH PACKAGE LID</t>
  </si>
  <si>
    <t>RFLTFB07-BRI</t>
  </si>
  <si>
    <t>TEFLON SHRINKTUBING:SH250-26(1PC@4FT)</t>
  </si>
  <si>
    <t>RFLTFB19-MIS</t>
  </si>
  <si>
    <t>BOLT CSPCS3-SUS-M1.6-4 (PACK@2000PC)</t>
  </si>
  <si>
    <t>RFLTFB21-OFS</t>
  </si>
  <si>
    <t>RFOMD032-SAN</t>
  </si>
  <si>
    <t>CLAMP RING: SC-PH1.5</t>
  </si>
  <si>
    <t>RFOMD033-SAN</t>
  </si>
  <si>
    <t>RING: SC-PH1.5</t>
  </si>
  <si>
    <t>RFOMD034-KSD</t>
  </si>
  <si>
    <t>GBF0110136 HYTREL 7237F YELLOW</t>
  </si>
  <si>
    <t>RFOMD041-KSD</t>
  </si>
  <si>
    <t>GRIP TIE</t>
  </si>
  <si>
    <t>RFOMD042-KSD</t>
  </si>
  <si>
    <t>PL LABEL (FOR SATIN)</t>
  </si>
  <si>
    <t>RFOMD043-KSD</t>
  </si>
  <si>
    <t>M4*L6 (P=3)+PAN HEAD SCREW</t>
  </si>
  <si>
    <t>RFOMD044-KSD</t>
  </si>
  <si>
    <t>M3*L4 +PAN HEAD SCREW</t>
  </si>
  <si>
    <t>RFOMD045-KSD</t>
  </si>
  <si>
    <t>WASHER (FOR M3)</t>
  </si>
  <si>
    <t>RFOMD046-KSD</t>
  </si>
  <si>
    <t>IDENTIFY TUBE</t>
  </si>
  <si>
    <t>RFOMD047-KSD</t>
  </si>
  <si>
    <t>SPECIAL SCREW M5*L14</t>
  </si>
  <si>
    <t>RFOMD048-KSD</t>
  </si>
  <si>
    <t>INSULOK Z TIE</t>
  </si>
  <si>
    <t>RFOMD049-KSD</t>
  </si>
  <si>
    <t>ZIP BAG G-4 FOR ACCESSORIES</t>
  </si>
  <si>
    <t>RFOMD050-KSD</t>
  </si>
  <si>
    <t>MARK BAND 1</t>
  </si>
  <si>
    <t>RFOMD051-KSD</t>
  </si>
  <si>
    <t>MARK BAND 2</t>
  </si>
  <si>
    <t>RFOMD052-KSD</t>
  </si>
  <si>
    <t>MARK BAND 3</t>
  </si>
  <si>
    <t>RFOMD053-KSD</t>
  </si>
  <si>
    <t>MARK BAND 4</t>
  </si>
  <si>
    <t>RFOMD054-KSD</t>
  </si>
  <si>
    <t>MARK BAND 5</t>
  </si>
  <si>
    <t>RFOMD055-KSD</t>
  </si>
  <si>
    <t>MARK BAND 6</t>
  </si>
  <si>
    <t>RFOMD056-KSD</t>
  </si>
  <si>
    <t>MARK BAND 7</t>
  </si>
  <si>
    <t>RFOMD057-KSD</t>
  </si>
  <si>
    <t>MARK BAND 8</t>
  </si>
  <si>
    <t>RFOMD058-KSD</t>
  </si>
  <si>
    <t>LC ADAPTER (4 PORTS)</t>
  </si>
  <si>
    <t>RFOMD073-SHO</t>
  </si>
  <si>
    <t>HYTREL TUBE 7237F WHITE (ROLL@5,000ME)</t>
  </si>
  <si>
    <t>RFOMD074-ADA</t>
  </si>
  <si>
    <t>SC-APC CONNECTOR PARTS KIT 0.9</t>
  </si>
  <si>
    <t>SC-APC CONNECTOR PARTS KIT 0.9 (@6PC)</t>
  </si>
  <si>
    <t>RFOMD074-SHO</t>
  </si>
  <si>
    <t>CONNECTOR SET FOR APC</t>
  </si>
  <si>
    <t>SC/APC CONNECTOR KIT0.9 (B5MM0092)(@6PC)</t>
  </si>
  <si>
    <t>RFOMD075-ADA</t>
  </si>
  <si>
    <t>SC APC CONICAL FERRULE</t>
  </si>
  <si>
    <t>RFOMD075-SHO</t>
  </si>
  <si>
    <t>SC-APC FERRULE CONICAL ADAMANT</t>
  </si>
  <si>
    <t>RFOMD076-SHO</t>
  </si>
  <si>
    <t>FERRULE SC/APC (B5MM0093)</t>
  </si>
  <si>
    <t>RFOMD077-SHO</t>
  </si>
  <si>
    <t>SILICON TUBE 2.5MM*3.3MM*430MM (BLUE)</t>
  </si>
  <si>
    <t>RFOMD078-SHO</t>
  </si>
  <si>
    <t>SILICON TUBE 2.5MM*3.3MM*430MM (YELLOW)</t>
  </si>
  <si>
    <t>RFOMD079-SHO</t>
  </si>
  <si>
    <t>SILICON TUBE 2.5MM*3.3MM*430MM (GREEN)</t>
  </si>
  <si>
    <t>RFOMD080-SHO</t>
  </si>
  <si>
    <t>SILICON TUBE 2.5MM*3.3MM*430MM (RED)</t>
  </si>
  <si>
    <t>RFOMD081-SHO</t>
  </si>
  <si>
    <t>SILICON TUBE 2.5MM*3.3MM*430MM (VIOLET)</t>
  </si>
  <si>
    <t>RFTM4033-SEI</t>
  </si>
  <si>
    <t>FTM HOLDER</t>
  </si>
  <si>
    <t>RFTM4035-SEI</t>
  </si>
  <si>
    <t>8 MT FERRULE 8MTR-125.5-Y</t>
  </si>
  <si>
    <t>RGAIG010-SEI</t>
  </si>
  <si>
    <t>FSC STOPPER L (BLACK)</t>
  </si>
  <si>
    <t>RGAIG011-SEI</t>
  </si>
  <si>
    <t>FSC Stopper L(BLACK) LMR</t>
  </si>
  <si>
    <t>RHB00001-FEC</t>
  </si>
  <si>
    <t>SUB ASSEMBLY FOR NLK7C3ER2UM</t>
  </si>
  <si>
    <t>RHB00003-FEC</t>
  </si>
  <si>
    <t>V-GROOVE</t>
  </si>
  <si>
    <t>K-10-0013-00</t>
  </si>
  <si>
    <t>RHB00004-FEC</t>
  </si>
  <si>
    <t>FLM-PR01A</t>
  </si>
  <si>
    <t>RHB00005-FEC</t>
  </si>
  <si>
    <t>FLM-PBC01A</t>
  </si>
  <si>
    <t>RHB00006-FEC</t>
  </si>
  <si>
    <t>FOCUSING LENS: 605.492</t>
  </si>
  <si>
    <t>RHB00007-FEC</t>
  </si>
  <si>
    <t>STRONG LENS: 604.415</t>
  </si>
  <si>
    <t>RHB00008-FEC</t>
  </si>
  <si>
    <t>WEAK LENS: 604.411</t>
  </si>
  <si>
    <t>RHB00009-FEC</t>
  </si>
  <si>
    <t>GMS-C0506</t>
  </si>
  <si>
    <t>RHB00010-FEC</t>
  </si>
  <si>
    <t>FLM-FAW86AB-1.1L</t>
  </si>
  <si>
    <t>RHEFS001-FEC</t>
  </si>
  <si>
    <t>AL TEFLON PROCESSED PRODUCTS AL</t>
  </si>
  <si>
    <t>RHEFS002-FEC</t>
  </si>
  <si>
    <t>PROCESSED WIRE FOR S179 WITH BLACK 16TD</t>
  </si>
  <si>
    <t>RHEFS003-FEC</t>
  </si>
  <si>
    <t>PROCESSED WIRE FOR S179 WITH BROWN 16TD</t>
  </si>
  <si>
    <t>RHEFS004-FEC</t>
  </si>
  <si>
    <t>HOUSING 608263 4P</t>
  </si>
  <si>
    <t>RHEFS005-FEC</t>
  </si>
  <si>
    <t>LYCAL FORM</t>
  </si>
  <si>
    <t>RHEFS006-FEC</t>
  </si>
  <si>
    <t>SUS POLYIMIDE COMBINED</t>
  </si>
  <si>
    <t>UPSEL-C(SINGLE SIDED TYPE)</t>
  </si>
  <si>
    <t>RHENK001-SEI</t>
  </si>
  <si>
    <t>RHENK011-FEC</t>
  </si>
  <si>
    <t>G-769017/Blue</t>
  </si>
  <si>
    <t>RIC001</t>
  </si>
  <si>
    <t>LINEAR GUIDE (14TD056-1-NO.1)</t>
  </si>
  <si>
    <t>RIDCA032-OKA</t>
  </si>
  <si>
    <t>64-GRMU (PC@35ME)</t>
  </si>
  <si>
    <t>RIDCA033-OKA</t>
  </si>
  <si>
    <t>64-SC2 (PC@35ME)</t>
  </si>
  <si>
    <t>RIDCA034-OKA</t>
  </si>
  <si>
    <t>64-GPRMU (PC@35ME)</t>
  </si>
  <si>
    <t>RIDCA039-OKA</t>
  </si>
  <si>
    <t>16S-R (SC) (N) (PC@16ME)</t>
  </si>
  <si>
    <t>RIDCA040-OKA</t>
  </si>
  <si>
    <t>16S-R (SC) (N) (PC@25ME)</t>
  </si>
  <si>
    <t>RIDCA041-OKA</t>
  </si>
  <si>
    <t>16S-R (SC) (N) (PC@35ME)</t>
  </si>
  <si>
    <t>RIDCA042-OKA</t>
  </si>
  <si>
    <t>NAME PLATE</t>
  </si>
  <si>
    <t>RIDCA043-OKA</t>
  </si>
  <si>
    <t>SILICONE TUBE FOR 16 CORE</t>
  </si>
  <si>
    <t>RIDCA044-OKA</t>
  </si>
  <si>
    <t>WHITE MASKING TAPE #210 (Roll@18ME)</t>
  </si>
  <si>
    <t>RIDCA045-OKA</t>
  </si>
  <si>
    <t>AWL 04 03/4CTFSNH (RIBBON FI (@200ME)</t>
  </si>
  <si>
    <t>RIDCA046-OKA</t>
  </si>
  <si>
    <t>PROTECTION TUBE 1.7MM (YELLOW)</t>
  </si>
  <si>
    <t>RIDCA047-OKA</t>
  </si>
  <si>
    <t>BRANCHING PART（8×35MM）</t>
  </si>
  <si>
    <t>RIDCA048-OKA</t>
  </si>
  <si>
    <t>HEAT SHRINK TUBE</t>
  </si>
  <si>
    <t>RIDCA049-OKA</t>
  </si>
  <si>
    <t>MARK BAND #1</t>
  </si>
  <si>
    <t>RIDCA050-OKA</t>
  </si>
  <si>
    <t>MARK BAND #2</t>
  </si>
  <si>
    <t>RIDCA051-OKA</t>
  </si>
  <si>
    <t>MARK BAND #3</t>
  </si>
  <si>
    <t>RIDCA052-OKA</t>
  </si>
  <si>
    <t>MARK BAND #4</t>
  </si>
  <si>
    <t>RIDCA053-OKA</t>
  </si>
  <si>
    <t>64-FIBER IDM CABLE (64G-R) (MU) (22M)</t>
  </si>
  <si>
    <t>RIDCA054-OKA</t>
  </si>
  <si>
    <t>64-FIBER IDM CABLE (64G-R) (MU) (23M)</t>
  </si>
  <si>
    <t>RIDCA055-OKA</t>
  </si>
  <si>
    <t>64-FIBER IDM CABLE (64G-R) (MU) (24M)</t>
  </si>
  <si>
    <t>RIDCA056-OKA</t>
  </si>
  <si>
    <t>64-FIBER IDM CABLE (64G-R) (MU) (28M)</t>
  </si>
  <si>
    <t>RIDCA057-OKA</t>
  </si>
  <si>
    <t>64-FIBER IDM CABLE (64G-R) (SC2) (24M)</t>
  </si>
  <si>
    <t>RIDCA058-OKA</t>
  </si>
  <si>
    <t>64-FIBER IDM CABLE (64G-R) (SC2) (26M)</t>
  </si>
  <si>
    <t>RIDCA059-OKA</t>
  </si>
  <si>
    <t>64-FIBER IDM CABLE (64G-R) (SC2) (28M)</t>
  </si>
  <si>
    <t>RIDCA060-OKA</t>
  </si>
  <si>
    <t>64-FIBER IDM CABLE (64GP-R) (MU) (22M)</t>
  </si>
  <si>
    <t>RIDCA061-OKA</t>
  </si>
  <si>
    <t>64-FIBER IDM CABLE (64GP-R) (MU) (23M)</t>
  </si>
  <si>
    <t>RIDCA062-OKA</t>
  </si>
  <si>
    <t>64-FIBER IDM CABLE (64GP-R) (MU) (26M)</t>
  </si>
  <si>
    <t>RIDCA063-OKA</t>
  </si>
  <si>
    <t>64-FIBER IDM CABLE (64GP-R) (MU) (28M)</t>
  </si>
  <si>
    <t>RIDCA064-OKA</t>
  </si>
  <si>
    <t>64-FIBER IDM CABLE (64GP-R) (MU) (29M)</t>
  </si>
  <si>
    <t>RIDCA065-OKA</t>
  </si>
  <si>
    <t>64-FIBER IDM CABLE (64G-R) (MU) (17M)</t>
  </si>
  <si>
    <t>RIDCA066-OKA</t>
  </si>
  <si>
    <t>64-FIBER IDM CABLE (64G-R) (SC2) (27M)</t>
  </si>
  <si>
    <t>RIDCA067-OKA</t>
  </si>
  <si>
    <t>64-FIBER IDM CABLE (64G-R) (MU) (18M)</t>
  </si>
  <si>
    <t>RIDCA068-OKA</t>
  </si>
  <si>
    <t>64-FIBER IDM CABLE (64G-R) (MU) (21M)</t>
  </si>
  <si>
    <t>RIDCA069-OKA</t>
  </si>
  <si>
    <t>64-FIBER IDM CABLE (64G-R) (MU) (26M)</t>
  </si>
  <si>
    <t>RIDCA070-OKA</t>
  </si>
  <si>
    <t>64-FIBER IDM CABLE (64G-R) (MU) (27M)</t>
  </si>
  <si>
    <t>RIDCA071-OKA</t>
  </si>
  <si>
    <t>64-FIBER IDM CABLE (64G-R) (MU) (29M)</t>
  </si>
  <si>
    <t>RIDCA074-OKA</t>
  </si>
  <si>
    <t>64-FIBER IDM CABLE (64G-R) (MU) (19M)</t>
  </si>
  <si>
    <t>RIDCA075-OKA</t>
  </si>
  <si>
    <t>OPTICAL FIBER CABLE 64C (R15) (RL@1157)</t>
  </si>
  <si>
    <t>RIDCA076-OKA</t>
  </si>
  <si>
    <t>OPTICAL FIBER CABLE 64C (R15) (RL@1117)</t>
  </si>
  <si>
    <t>RIDCA077-OKA</t>
  </si>
  <si>
    <t>64-FIBER IDM CABLE (64G-R) (SC2) (17M)</t>
  </si>
  <si>
    <t>RIDCA078-OKA</t>
  </si>
  <si>
    <t>64-FIBER IDM CABLE (64GP-R) (MU) (18M)</t>
  </si>
  <si>
    <t>RIDCA079-OKA</t>
  </si>
  <si>
    <t>EM-OKOP-SM R15-4FO(Y) (RL@1000ME)</t>
  </si>
  <si>
    <t>RIDCA080-OKA</t>
  </si>
  <si>
    <t>RIDCA081-OKA</t>
  </si>
  <si>
    <t>SC HOUSING (FOR 1.7MM) (LABENDOR BOOT)</t>
  </si>
  <si>
    <t>RIDCA082-OKA</t>
  </si>
  <si>
    <t>MASKING TAPE (9MM) (RL@19MTR)</t>
  </si>
  <si>
    <t>RIDCA083-OKA</t>
  </si>
  <si>
    <t>PLASTIC BAG (NO.15)</t>
  </si>
  <si>
    <t>RIDCA084-OKA</t>
  </si>
  <si>
    <t>CARTON BOX (S350)</t>
  </si>
  <si>
    <t>RIDCA085-OKA</t>
  </si>
  <si>
    <t>POLYETHYLENE TUBE (RL@1000MTR)</t>
  </si>
  <si>
    <t>RIDCA088-OKA</t>
  </si>
  <si>
    <t>EM-OKOP-OS2 R15-4FO(Y) (RL@2000ME)</t>
  </si>
  <si>
    <t>RIDCA089-OKA</t>
  </si>
  <si>
    <t>RIDCA090-OKA</t>
  </si>
  <si>
    <t>OPTICAL CABLE 16C (R15)(LB)1.1MMx17A0193</t>
  </si>
  <si>
    <t>RIDCA093-OKA</t>
  </si>
  <si>
    <t>SC HOUSING PARTS WITH BOOT (SET@8PC)</t>
  </si>
  <si>
    <t>RIDCA096-OKA</t>
  </si>
  <si>
    <t>CABLE TAG FOR 16CORE (FOR PRODUCT LABEL)</t>
  </si>
  <si>
    <t>RIDCA097-OKA</t>
  </si>
  <si>
    <t>SILICONE TUBE 1x2 MM</t>
  </si>
  <si>
    <t>RIDCA098-OKA</t>
  </si>
  <si>
    <t>EM-OKOP-SM (R15)X32C(Y/C)*W*OT379532-0Y0</t>
  </si>
  <si>
    <t>RIDCA099-OKA</t>
  </si>
  <si>
    <t>RIDCA100-OKA</t>
  </si>
  <si>
    <t>PRODUCT NAME LABEL(MU)</t>
  </si>
  <si>
    <t>RIDCA102-OKA</t>
  </si>
  <si>
    <t>PRODUCT NAME LABEL(SC)</t>
  </si>
  <si>
    <t>RIDCA103-OKA</t>
  </si>
  <si>
    <t>MU HOUSING</t>
  </si>
  <si>
    <t>RIDCA105-OKA</t>
  </si>
  <si>
    <t>SC HOUSING 1.7MM</t>
  </si>
  <si>
    <t>RIDCA106-OKA</t>
  </si>
  <si>
    <t>RIDCA107-OKA</t>
  </si>
  <si>
    <t>RIDCA108-OKA</t>
  </si>
  <si>
    <t>MARK BAND NO1</t>
  </si>
  <si>
    <t>RIDCA109-OKA</t>
  </si>
  <si>
    <t>MARK BAND NO2</t>
  </si>
  <si>
    <t>RIDCA110-OKA</t>
  </si>
  <si>
    <t>MARK BAND NO3</t>
  </si>
  <si>
    <t>RIDCA111-OKA</t>
  </si>
  <si>
    <t>MARK BAND NO4</t>
  </si>
  <si>
    <t>RIDCA112-OKA</t>
  </si>
  <si>
    <t>MARK BAND NO5</t>
  </si>
  <si>
    <t>RIDCA113-OKA</t>
  </si>
  <si>
    <t>MARK BAND NO6</t>
  </si>
  <si>
    <t>RIDCA114-OKA</t>
  </si>
  <si>
    <t>MARK BAND NO7</t>
  </si>
  <si>
    <t>RIDCA115-OKA</t>
  </si>
  <si>
    <t>MARK BAND NO8</t>
  </si>
  <si>
    <t>RIDCA116-OKA</t>
  </si>
  <si>
    <t>MARK BAND NO9</t>
  </si>
  <si>
    <t>RIDCA117-OKA</t>
  </si>
  <si>
    <t>MARK BAND NO10</t>
  </si>
  <si>
    <t>RIDCA118-OKA</t>
  </si>
  <si>
    <t>NAME LABLE</t>
  </si>
  <si>
    <t>RIDCA119-OKA</t>
  </si>
  <si>
    <t>CLEAR SHEET FOR PRODUCT LABLE</t>
  </si>
  <si>
    <t>RIDCA127-OKA</t>
  </si>
  <si>
    <t>RIDCA128-OKA</t>
  </si>
  <si>
    <t>RIDCA129-OKA</t>
  </si>
  <si>
    <t>RIDCA130-OKA</t>
  </si>
  <si>
    <t>RIDCA131-OKA</t>
  </si>
  <si>
    <t>RIDCA132-OKA</t>
  </si>
  <si>
    <t>Ferrule for 0.5 MU( ORBRAY)</t>
  </si>
  <si>
    <t>RIDMJ001-SAN</t>
  </si>
  <si>
    <t>DUMMY PLUG</t>
  </si>
  <si>
    <t>WLA-6809208-02 (CLOIRO) SMU-DP1-BK E-059</t>
  </si>
  <si>
    <t>RIDMJ103-SEI</t>
  </si>
  <si>
    <t>4x1X8 SPLITTER</t>
  </si>
  <si>
    <t>RIDMJ150-SEI</t>
  </si>
  <si>
    <t>INFORMATION SHEET(LCW4-R)</t>
  </si>
  <si>
    <t>RIDMJ151-SEI</t>
  </si>
  <si>
    <t>QR LABEL (LCW4-R)</t>
  </si>
  <si>
    <t>RIDMJ153-AST</t>
  </si>
  <si>
    <t>POLYESTER GLOSS WHITE SIZE 62X8.5 MM</t>
  </si>
  <si>
    <t>RIDMJ155-SEI</t>
  </si>
  <si>
    <t>QR LABEL - LCW1-R</t>
  </si>
  <si>
    <t>RIDMJ156-SEI</t>
  </si>
  <si>
    <t>PRODUCT LABEL LCW1-R</t>
  </si>
  <si>
    <t>RIDMJ158-SEI</t>
  </si>
  <si>
    <t>ID Sheet - LZW4-R</t>
  </si>
  <si>
    <t>RIDMJ159-SEI</t>
  </si>
  <si>
    <t>QR Label for LZW4-R</t>
  </si>
  <si>
    <t>RIDMJ161-SEI</t>
  </si>
  <si>
    <t>ID Sheet - LFW4-R</t>
  </si>
  <si>
    <t>RIDMJ162-SEI</t>
  </si>
  <si>
    <t>QR Label for LFW4-R</t>
  </si>
  <si>
    <t>RIDMJ164-SEI</t>
  </si>
  <si>
    <t>BODY CASE FOR HIGH DENSITY (BLUE) E-1675</t>
  </si>
  <si>
    <t>RIDMJ165-SEI</t>
  </si>
  <si>
    <t>LID HIGH DENSITY BLUE E-1676 (LC4H-R)</t>
  </si>
  <si>
    <t>RIDMJ166-SEI</t>
  </si>
  <si>
    <t>INFORMATION SHEET FOR (LC4H-R)E-1365</t>
  </si>
  <si>
    <t>RIDMJ167-SEI</t>
  </si>
  <si>
    <t>QR LABEL LC4H-R  E-20005</t>
  </si>
  <si>
    <t>RIDMJ169-SEI</t>
  </si>
  <si>
    <t>ID Sheet - LW4-R</t>
  </si>
  <si>
    <t>RIDMJ170-SEI</t>
  </si>
  <si>
    <t>QR Label for LW4-R</t>
  </si>
  <si>
    <t>RIDMJ171-SEI</t>
  </si>
  <si>
    <t>RIDMJ178-SEI</t>
  </si>
  <si>
    <t>INFORMATION SHEET FOR LW1-R</t>
  </si>
  <si>
    <t>RIDMJ179-SEI</t>
  </si>
  <si>
    <t>QR LABEL FOR LW1-R</t>
  </si>
  <si>
    <t>RIDMJ180-SEI</t>
  </si>
  <si>
    <t>INFORMATION SHEET FOR LFW1-R</t>
  </si>
  <si>
    <t>RIDMJ181-SEI</t>
  </si>
  <si>
    <t>QR LABEL FOR LFW1-R</t>
  </si>
  <si>
    <t>RIDMJ182-SEI</t>
  </si>
  <si>
    <t>INFORMATION SHEET FOR LZW1-R</t>
  </si>
  <si>
    <t>RIDMJ183-SEI</t>
  </si>
  <si>
    <t>QR LABEL FOR LZW1-R</t>
  </si>
  <si>
    <t>RIDMJ184-SEI</t>
  </si>
  <si>
    <t>BODY CASE FOR LC8-R, LF4-R</t>
  </si>
  <si>
    <t>RIDMJ185-SEI</t>
  </si>
  <si>
    <t>LID FOR LC8-R, LF4-R</t>
  </si>
  <si>
    <t>RIDMJ186-SEI</t>
  </si>
  <si>
    <t>INFORMATION SHEET FOR LC8-R</t>
  </si>
  <si>
    <t>RIDMJ187-SEI</t>
  </si>
  <si>
    <t>QR LABEL FOR LC8-R</t>
  </si>
  <si>
    <t>RIDMJ188-SEI</t>
  </si>
  <si>
    <t>INFORMATION SHEET FOR LF4-R</t>
  </si>
  <si>
    <t>RIDMJ189-SEI</t>
  </si>
  <si>
    <t>QR LABEL FOR LF4-R</t>
  </si>
  <si>
    <t>RIDMJ190-SEI</t>
  </si>
  <si>
    <t>BODY CASE SS BLUE LCSS-R E-0452</t>
  </si>
  <si>
    <t>RIDMJ191-SAT</t>
  </si>
  <si>
    <t>LABELP20*W62(BACKP23*W27(6500@RL)</t>
  </si>
  <si>
    <t>RIDMJ191-SEI</t>
  </si>
  <si>
    <t>LID FOR SS BLUE LCSS-R E-0453</t>
  </si>
  <si>
    <t>RIDMJ192-SEI</t>
  </si>
  <si>
    <t>IN FORMATION SHEET LCSS-R E-1365</t>
  </si>
  <si>
    <t>RIDMJ193-SEI</t>
  </si>
  <si>
    <t>QR LABEL LCSS-R E-20005</t>
  </si>
  <si>
    <t>RIDMJ194-SEI</t>
  </si>
  <si>
    <t>IN FORMATION SHEET (LF8-R)E-1365</t>
  </si>
  <si>
    <t>RIDMJ195-SEI</t>
  </si>
  <si>
    <t>QR LABEL (LF8-R)E-20005</t>
  </si>
  <si>
    <t>RIPUM001-FEC</t>
  </si>
  <si>
    <t>FLM-BS67A</t>
  </si>
  <si>
    <t>RIPUM007-FEC</t>
  </si>
  <si>
    <t>FLM-CH60 (EFFL0.5mm)</t>
  </si>
  <si>
    <t>RIPUM008-FEC</t>
  </si>
  <si>
    <t>FLM-PR27</t>
  </si>
  <si>
    <t>RIPUM009-FEC</t>
  </si>
  <si>
    <t>FLM-IS59A</t>
  </si>
  <si>
    <t>RIPUM014-FEC</t>
  </si>
  <si>
    <t>FLM-IS58A</t>
  </si>
  <si>
    <t>RIT00022-FEC</t>
  </si>
  <si>
    <t>FF1(300)-240*240T0800</t>
  </si>
  <si>
    <t>RIT01047-SVI</t>
  </si>
  <si>
    <t>FLM-EB-VN04</t>
  </si>
  <si>
    <t>RIT01048-INT</t>
  </si>
  <si>
    <t>FLM-IH15</t>
  </si>
  <si>
    <t>RIT01048-ITC</t>
  </si>
  <si>
    <t>RIT01051-SIN</t>
  </si>
  <si>
    <t>GRM155B31A105KE15B</t>
  </si>
  <si>
    <t>RIT01052-ARR</t>
  </si>
  <si>
    <t>C1005JB1C104K050BA</t>
  </si>
  <si>
    <t>RIT01053-COE</t>
  </si>
  <si>
    <t>SIA427ADJ-T1-GE3</t>
  </si>
  <si>
    <t>RIT01054-COE</t>
  </si>
  <si>
    <t>C1608X6S1A106M080AC</t>
  </si>
  <si>
    <t>RIT01055-COE</t>
  </si>
  <si>
    <t>ERJL03KF47MV</t>
  </si>
  <si>
    <t>RIT01057-COE</t>
  </si>
  <si>
    <t>SIA913ADJ-T1-GE3</t>
  </si>
  <si>
    <t>RIT01058-COE</t>
  </si>
  <si>
    <t>GRM155B31A105KE15D</t>
  </si>
  <si>
    <t>RIT01059-COE</t>
  </si>
  <si>
    <t>SN74LVC1G373YZPR</t>
  </si>
  <si>
    <t>RIT01060-COE</t>
  </si>
  <si>
    <t>SN74AUP2G00DQER</t>
  </si>
  <si>
    <t>RIT01061-MOU</t>
  </si>
  <si>
    <t>595-REF3325AIDCKR</t>
  </si>
  <si>
    <t>RIT01062-FBN</t>
  </si>
  <si>
    <t>RIT01062-HON</t>
  </si>
  <si>
    <t>GRM155C81A105KA12D</t>
  </si>
  <si>
    <t>RIT01064-COE</t>
  </si>
  <si>
    <t>ERJ2RKF1403X</t>
  </si>
  <si>
    <t>RIT01065-FEC</t>
  </si>
  <si>
    <t>RIT01066-KON</t>
  </si>
  <si>
    <t>VISHAY MOSFET P-CH 12V 9A SC-75-6</t>
  </si>
  <si>
    <t>RIT01067-COE</t>
  </si>
  <si>
    <t>RESISTOR</t>
  </si>
  <si>
    <t>ERJ2BQF1R0X</t>
  </si>
  <si>
    <t>RIT01068-COE</t>
  </si>
  <si>
    <t>GRM155B31A474KE14D</t>
  </si>
  <si>
    <t>RIT01069-FEC</t>
  </si>
  <si>
    <t>BBR13-24K6417</t>
  </si>
  <si>
    <t>RIT01070-FBN</t>
  </si>
  <si>
    <t>FLM-EB-ER04(FBN) Cleaning</t>
  </si>
  <si>
    <t>RIT01071-FBN</t>
  </si>
  <si>
    <t>FLM-EB-ER05(FBN) Cleaning</t>
  </si>
  <si>
    <t>RIT01072-FEC</t>
  </si>
  <si>
    <t>FLM-FAW21CB-1.3L ( LC connector )</t>
  </si>
  <si>
    <t>RIT01073-FBN</t>
  </si>
  <si>
    <t>FLM-EB-ER08(FBN)</t>
  </si>
  <si>
    <t>RIT01074-SPL</t>
  </si>
  <si>
    <t>MAX8521ETP+</t>
  </si>
  <si>
    <t>RIT01075-FBN</t>
  </si>
  <si>
    <t>FLM-EB-ER06(FBN) Cleaning</t>
  </si>
  <si>
    <t>RIT01076-FEC</t>
  </si>
  <si>
    <t>FLM-FAW21CA-1.3LN(WQ-FLM0066)</t>
  </si>
  <si>
    <t>RIT01077-SPL</t>
  </si>
  <si>
    <t>MAX4163EUA+</t>
  </si>
  <si>
    <t>RIT01078-FEC</t>
  </si>
  <si>
    <t>ERJ2GE0R00X</t>
  </si>
  <si>
    <t>RIT01079-FBN</t>
  </si>
  <si>
    <t>FLM-EB-ER07(FBN) Cleaning</t>
  </si>
  <si>
    <t>RIT01080-SVI</t>
  </si>
  <si>
    <t>IC</t>
  </si>
  <si>
    <t>AD5624BCPZ-REEL7</t>
  </si>
  <si>
    <t>RIT01081-DIG</t>
  </si>
  <si>
    <t>EMK325BJ476MM</t>
  </si>
  <si>
    <t>RIT01082-DIG</t>
  </si>
  <si>
    <t>LMK325BJ476MM</t>
  </si>
  <si>
    <t>RIT01083-DIG</t>
  </si>
  <si>
    <t>REF3125AIDBZT</t>
  </si>
  <si>
    <t>RIT01084-DIG</t>
  </si>
  <si>
    <t>MAX8521ETP+ -ND</t>
  </si>
  <si>
    <t>RIT01085-DIG</t>
  </si>
  <si>
    <t>ERJ3EKF1002V</t>
  </si>
  <si>
    <t>RIT01086-DIG</t>
  </si>
  <si>
    <t>ERJ3EKF4701V</t>
  </si>
  <si>
    <t>RIT01087-DIG</t>
  </si>
  <si>
    <t>RIT01088-DIG</t>
  </si>
  <si>
    <t>ERJ2RKF1001X</t>
  </si>
  <si>
    <t>RIT01089-DIG</t>
  </si>
  <si>
    <t>ERJ2RKF1002X</t>
  </si>
  <si>
    <t>RIT01095-MOU</t>
  </si>
  <si>
    <t>RIT01096-DIG</t>
  </si>
  <si>
    <t>RIT01097-FEC</t>
  </si>
  <si>
    <t>FLM-EB-ER08 (KATOLEC)</t>
  </si>
  <si>
    <t>RIT01098-DIG</t>
  </si>
  <si>
    <t>LMK107BBJ106MALT</t>
  </si>
  <si>
    <t>RIT01099-000</t>
  </si>
  <si>
    <t>IC AD5624BCPZ 12BIT DAC LFCSP-10</t>
  </si>
  <si>
    <t>RIT01100-000</t>
  </si>
  <si>
    <t>IC AD1582BRTZ VOLTAGE REFERENCE SOT-23</t>
  </si>
  <si>
    <t>RIT01103-000</t>
  </si>
  <si>
    <t>IC EEPROM AT24C1024B-TH-T TSSOP-8</t>
  </si>
  <si>
    <t>RIT01104-000</t>
  </si>
  <si>
    <t>CHIP RESISTOR</t>
  </si>
  <si>
    <t>CHIP RES 0.1R 1 1/2W 0508-Wide</t>
  </si>
  <si>
    <t>RIT01106-000</t>
  </si>
  <si>
    <t>CHIP RES 0.22R 1 1/2W 0508-Wide</t>
  </si>
  <si>
    <t>RIT01107-000</t>
  </si>
  <si>
    <t>IC SN74AUP2G00DQER NAND GATE SON-8</t>
  </si>
  <si>
    <t>RIT01108-000</t>
  </si>
  <si>
    <t>CHIP CAPACITOR</t>
  </si>
  <si>
    <t>CHIP CAP 1uF 10 10V B 0402</t>
  </si>
  <si>
    <t>RIT01109-000</t>
  </si>
  <si>
    <t>IC ADG884BCBZ SWITCH SPDT WLCSP-10</t>
  </si>
  <si>
    <t>RIT01110-000</t>
  </si>
  <si>
    <t>CHIP CAP 330nF 10 10V B 0402</t>
  </si>
  <si>
    <t>RIT01116-000</t>
  </si>
  <si>
    <t>CHIP INDUCTOR</t>
  </si>
  <si>
    <t>CHIP FERRITE BEAD 330 OHM 25 2.5A 0805</t>
  </si>
  <si>
    <t>RIT01118-000</t>
  </si>
  <si>
    <t>CHIP CAP 100nF 10 16V B 0402</t>
  </si>
  <si>
    <t>RIT01119-000</t>
  </si>
  <si>
    <t>CHIP RES 1K 0.5 1/16W 25PPM 0402</t>
  </si>
  <si>
    <t>RIT01120-000</t>
  </si>
  <si>
    <t>CHIP CAP 22pF 5 25V CH 0402</t>
  </si>
  <si>
    <t>RIT01122-000</t>
  </si>
  <si>
    <t>CHIP CAP 470nF 10 10V B 0402</t>
  </si>
  <si>
    <t>RIT01123-000</t>
  </si>
  <si>
    <t>IC ISL54058IRUZ-T MULTIPLEXER QFN-16</t>
  </si>
  <si>
    <t>RIT01124-000</t>
  </si>
  <si>
    <t>CHIP RES 3.3K 1 1/10W 0402</t>
  </si>
  <si>
    <t>RIT01126-000</t>
  </si>
  <si>
    <t>CHIP RES 0.22R 1 1/2W 0612</t>
  </si>
  <si>
    <t>RIT01128-000</t>
  </si>
  <si>
    <t>IC 74AUP2G34GM BUFFER 2CHANNEL SON-6</t>
  </si>
  <si>
    <t>RIT01129-AME</t>
  </si>
  <si>
    <t>ISL54058IRUZ-T (DATE CODE: 2010+)</t>
  </si>
  <si>
    <t>RIT01130-AME</t>
  </si>
  <si>
    <t>ISL54058IRUZ-T (DATE CODE: 2018)</t>
  </si>
  <si>
    <t>RIT01132-COE</t>
  </si>
  <si>
    <t>ISL54058IRUZ-T</t>
  </si>
  <si>
    <t>RIT01133-000</t>
  </si>
  <si>
    <t>CHIP RES 2R 1 1/3W 0508-Wide</t>
  </si>
  <si>
    <t>RIT01134-000</t>
  </si>
  <si>
    <t>CHIP FERRITE BEAD 220 OHM 25 3A 0805</t>
  </si>
  <si>
    <t>RIT01135-000</t>
  </si>
  <si>
    <t>CHIP RES 24K 0.1 1/16W 0402</t>
  </si>
  <si>
    <t>RIT01136-000</t>
  </si>
  <si>
    <t>CONN HEADER 2x7WAY MALE LS 1MM SMD</t>
  </si>
  <si>
    <t>RIT01137-000</t>
  </si>
  <si>
    <t>IC ADUC7028BBCZ62 62KB MCU BGA-64</t>
  </si>
  <si>
    <t>RIT01138-000</t>
  </si>
  <si>
    <t>CHIP MOSFET SiA913ADJ 12V P-CH SC70-6</t>
  </si>
  <si>
    <t>RIT01139-000</t>
  </si>
  <si>
    <t>CHIP R-ARRAY 10R 5 1/10W 4x0201</t>
  </si>
  <si>
    <t>RIT01145-000</t>
  </si>
  <si>
    <t>CHIP TRANSISTOR</t>
  </si>
  <si>
    <t>CHIP MOSFET SIA426DJ 20V N-CH SC70-6</t>
  </si>
  <si>
    <t>RIT01146-000</t>
  </si>
  <si>
    <t>MODULE</t>
  </si>
  <si>
    <t>E-MODULE DC/DC CONVERTER 12V 4A SMD</t>
  </si>
  <si>
    <t>RIT01147-000</t>
  </si>
  <si>
    <t>IC ANALOQ/LINEAR</t>
  </si>
  <si>
    <t>IC LTC1625CGN REG CTRLR PWM CM  SSOP-16</t>
  </si>
  <si>
    <t>RIT01148-000</t>
  </si>
  <si>
    <t>CHIP RES NET 10K 5 1/10W 4X0201</t>
  </si>
  <si>
    <t>RIT01149-000</t>
  </si>
  <si>
    <t>IC MCU &amp; MPU</t>
  </si>
  <si>
    <t>IC MAX8521ETP CONTROLLER TQFN-20</t>
  </si>
  <si>
    <t>RIT01150-000</t>
  </si>
  <si>
    <t>IC MAX803SQ438T1G MPU 4.38V SOT-323</t>
  </si>
  <si>
    <t>RIT01151-000</t>
  </si>
  <si>
    <t>CHIP CAP 22UF 20 10V X7S 0805</t>
  </si>
  <si>
    <t>RIT01152-000</t>
  </si>
  <si>
    <t>CHIP CAP 1UF 10 10V X6S 0402</t>
  </si>
  <si>
    <t>RIT01153-000</t>
  </si>
  <si>
    <t>IC XC2C64A-7CPG56I CPLD CSBGA-56</t>
  </si>
  <si>
    <t>RIT01154-000</t>
  </si>
  <si>
    <t>IC NX3L4051HR SWITCH SPST QFN-16</t>
  </si>
  <si>
    <t>RIT01155-000</t>
  </si>
  <si>
    <t>IC AD8629ARMZ OP-AMP MSOP-8</t>
  </si>
  <si>
    <t>RIT01156-000</t>
  </si>
  <si>
    <t>IC ISL43111IHZ-T SWITCH SPST SOT23-5</t>
  </si>
  <si>
    <t>RIT01157-000</t>
  </si>
  <si>
    <t>IC AD8030ARJZ OP-AMP SOT23-8</t>
  </si>
  <si>
    <t>RIT01158-000</t>
  </si>
  <si>
    <t>CHIP RES 0.082R 1 1/2W 1206</t>
  </si>
  <si>
    <t>RIT01159-000</t>
  </si>
  <si>
    <t>IC LOGIC</t>
  </si>
  <si>
    <t>IC 74HC373BQ LATCH TRANSPARENT QFN-20</t>
  </si>
  <si>
    <t>RIT01160-000</t>
  </si>
  <si>
    <t>CHIP RES 10K 1 1/10W 0402</t>
  </si>
  <si>
    <t>RIT01161-000</t>
  </si>
  <si>
    <t>CONN 2X7WAY RCPT LS 1.00 MM SMD</t>
  </si>
  <si>
    <t>RIT01162-000</t>
  </si>
  <si>
    <t>CHIP FERRITE BEADS 330 OHM 25  0402</t>
  </si>
  <si>
    <t>RIT01163-000</t>
  </si>
  <si>
    <t>IC DAC8550IDGK 16-BIT DAC MSOP-8</t>
  </si>
  <si>
    <t>RIT01164-000</t>
  </si>
  <si>
    <t>CHIP CAP 10UF 20 10V X6S 0603</t>
  </si>
  <si>
    <t>RIT01165-000</t>
  </si>
  <si>
    <t>IC MAX4162EUK OP-AMP SOT23-5</t>
  </si>
  <si>
    <t>RIT01166-000</t>
  </si>
  <si>
    <t>CHIP RES 2K 0.1 1/16W 25PPM 0402</t>
  </si>
  <si>
    <t>RIT01167-000</t>
  </si>
  <si>
    <t>IC STM6822RWY6F SUPERVISOR SOT23-5</t>
  </si>
  <si>
    <t>RIT01168-000</t>
  </si>
  <si>
    <t>CHIP RES 0.1R 1 1/4W 0603</t>
  </si>
  <si>
    <t>RIT01169-000</t>
  </si>
  <si>
    <t>IC TS3A24159DRCR SWITCH SPDT SON-10</t>
  </si>
  <si>
    <t>RIT01170-000</t>
  </si>
  <si>
    <t>OSCILLATORS MODULE</t>
  </si>
  <si>
    <t>OSCILLATOR 40.00MHZ 15PF 2.5X2.0MM SMD</t>
  </si>
  <si>
    <t>RIT01171-000</t>
  </si>
  <si>
    <t>CHIP RES 1R 1 1/20W 0603</t>
  </si>
  <si>
    <t>RIT01172-000</t>
  </si>
  <si>
    <t>CHIP CAP 10UF 20 10V X5R 0603</t>
  </si>
  <si>
    <t>RIT01173-000</t>
  </si>
  <si>
    <t>IC AD8646ARMZ OP-AMP MSOP-8</t>
  </si>
  <si>
    <t>RIT01174-000</t>
  </si>
  <si>
    <t>CHIP RES NET 10K 5 1/16W 0201X2</t>
  </si>
  <si>
    <t>RIT01175-000</t>
  </si>
  <si>
    <t>IC MAX4163EUA OP-AMP UMAX-8</t>
  </si>
  <si>
    <t>RIT01176-000</t>
  </si>
  <si>
    <t>CHIP RES 0.22R 1 1/4W 0603</t>
  </si>
  <si>
    <t>RIT01177-000</t>
  </si>
  <si>
    <t>IC TS5A3159ADBV ANALOG SWITCH SOT23-6</t>
  </si>
  <si>
    <t>RIT01178-000</t>
  </si>
  <si>
    <t>IC REF3325AIDCKT VOLTAGE REF SC-70</t>
  </si>
  <si>
    <t>RIT01179-000</t>
  </si>
  <si>
    <t>CHIP RES NET 100K 5 1/10W 4X0201</t>
  </si>
  <si>
    <t>RIT01180-000</t>
  </si>
  <si>
    <t>IC NX3L1T5157GM SWITCH SPDT SON-6</t>
  </si>
  <si>
    <t>RIT01181-000</t>
  </si>
  <si>
    <t>CHIP MOSFET SIA413DJ P-CHA SC-70</t>
  </si>
  <si>
    <t>RIT01182-000</t>
  </si>
  <si>
    <t>CHIP RES 10R 1 1/10W 0402</t>
  </si>
  <si>
    <t>RIT01183-000</t>
  </si>
  <si>
    <t>CHIP CAP 100NF 10 25V X7R 0402</t>
  </si>
  <si>
    <t>RIT01184-000</t>
  </si>
  <si>
    <t>IC SN74LVC2G241Y BUFFER LINE DRIVER BGA-</t>
  </si>
  <si>
    <t>RIT01185-000</t>
  </si>
  <si>
    <t>CHIP RES 7.5K 0.5 1/16W 25PPM 0402</t>
  </si>
  <si>
    <t>RIT01186-000</t>
  </si>
  <si>
    <t>CHIP R-ARRAY 10R 5 1/16W 2X0201</t>
  </si>
  <si>
    <t>RIT01187-000</t>
  </si>
  <si>
    <t>CHIP RES 1K 0.1 1/16W 25PPM 0402</t>
  </si>
  <si>
    <t>RIT01188-000</t>
  </si>
  <si>
    <t>CHIP RES 91K 0.5 1/16W 25PPM 0402</t>
  </si>
  <si>
    <t>RIT01189-000</t>
  </si>
  <si>
    <t>IC REF3125AIDBZT REFERENCE SOT-23</t>
  </si>
  <si>
    <t>RIT01190-000</t>
  </si>
  <si>
    <t>CHIP CAP 22UF 20 10V X5R 0805</t>
  </si>
  <si>
    <t>RIT01191-000</t>
  </si>
  <si>
    <t>CHIP RES 9.1K 1 1/10W 0402</t>
  </si>
  <si>
    <t>RIT01192-000</t>
  </si>
  <si>
    <t>CHIP CAP 22UF 20 6.3V X5R 0603</t>
  </si>
  <si>
    <t>RIT01193-000</t>
  </si>
  <si>
    <t>CHIP RES NET 2.7K 5 1/10W 4X0201</t>
  </si>
  <si>
    <t>RIT01194-000</t>
  </si>
  <si>
    <t>IC MEMORY</t>
  </si>
  <si>
    <t>IC EEPROM M24M01-RMN6TP SOIC-8</t>
  </si>
  <si>
    <t>RIT01195-000</t>
  </si>
  <si>
    <t>CHIP RES 0.68R 1 1/2W 1206</t>
  </si>
  <si>
    <t>RIT01196-000</t>
  </si>
  <si>
    <t>CHIP INDUCTOR POWER 10UH .52A SMD</t>
  </si>
  <si>
    <t>RIT01197-000</t>
  </si>
  <si>
    <t>CHIP RES 220R 0.5 1/16W 0402</t>
  </si>
  <si>
    <t>RIT01198-000</t>
  </si>
  <si>
    <t>CHIP CAP 1UF 10 16V X7R 0603</t>
  </si>
  <si>
    <t>RIT01199-000</t>
  </si>
  <si>
    <t>CHIP RES 2R 1 1/2W 1210</t>
  </si>
  <si>
    <t>RIT01200-000</t>
  </si>
  <si>
    <t>IC LM94022BIMG TEMP SENSOR SC70-5</t>
  </si>
  <si>
    <t>RIT01201-000</t>
  </si>
  <si>
    <t>IC MAX803SQ293D3T1G SUPERVISOR SC70-3</t>
  </si>
  <si>
    <t>RIT01202-000</t>
  </si>
  <si>
    <t>CHIP RES 1R 5 1/8W 0402</t>
  </si>
  <si>
    <t>RIT01203-000</t>
  </si>
  <si>
    <t>CHIP CAP 100UF 20 6.3V B 1210</t>
  </si>
  <si>
    <t>RIT01204-000</t>
  </si>
  <si>
    <t>CHIP RES 4.3K 0.5 1/16W 25PPM 0402</t>
  </si>
  <si>
    <t>RIT01205-000</t>
  </si>
  <si>
    <t>CHIP CAP 47UF 20 10V X5R 1210</t>
  </si>
  <si>
    <t>RIT01206-000</t>
  </si>
  <si>
    <t>CHIP RES 2K 0.1 1/10W 0603</t>
  </si>
  <si>
    <t>RIT01207-000</t>
  </si>
  <si>
    <t>IC SN74LVC1G373Y LATCH TRANSPARENT BGA-6</t>
  </si>
  <si>
    <t>RIT01208-000</t>
  </si>
  <si>
    <t>CHIP IND 10UH 20 2.1A L5XW5XH4 MM</t>
  </si>
  <si>
    <t>RIT01209-000</t>
  </si>
  <si>
    <t>CHIP IND 10UH 30 0.9A L3xW3XH2 MM</t>
  </si>
  <si>
    <t>RIT01210-000</t>
  </si>
  <si>
    <t>CHIP MOSFET SIA413DJ 12V P-CH SC70-6</t>
  </si>
  <si>
    <t>RIT01211-000</t>
  </si>
  <si>
    <t>CHIP RES 1K 1 1/10W 0402</t>
  </si>
  <si>
    <t>RIT01212-000</t>
  </si>
  <si>
    <t>IC LP5951MF-1.8 REGULATOR SOT23-5</t>
  </si>
  <si>
    <t>RIT01213-000</t>
  </si>
  <si>
    <t>CHIP CAP 470NF 10 10V X6S 0402</t>
  </si>
  <si>
    <t>RIT01214-000</t>
  </si>
  <si>
    <t>CHIP MOSFET SSM3J110TU P-CHA UFM</t>
  </si>
  <si>
    <t>RIT01215-000</t>
  </si>
  <si>
    <t>CHIP CAP 330NF 10 10V X6S 0402</t>
  </si>
  <si>
    <t>RIT01216-000</t>
  </si>
  <si>
    <t>CHIP RES 1.3K 1 1/10W 0402</t>
  </si>
  <si>
    <t>RIT01217-000</t>
  </si>
  <si>
    <t>PCB</t>
  </si>
  <si>
    <t>PCB 213-544LF 02 FR4 1.60 10L OSP 4P</t>
  </si>
  <si>
    <t>RIT01218-000</t>
  </si>
  <si>
    <t>CHIP RES 7.5K 1 1/10W 0402</t>
  </si>
  <si>
    <t>RIT01219-000</t>
  </si>
  <si>
    <t>CHIP CAP 4.7UF 20 6.3V X5R 0402</t>
  </si>
  <si>
    <t>RIT01220-000</t>
  </si>
  <si>
    <t>CHIP RES 82R 1 1/10W 0402</t>
  </si>
  <si>
    <t>RIT01221-000</t>
  </si>
  <si>
    <t>CHIP CAP 22PF 5 50V NPO 0402</t>
  </si>
  <si>
    <t>RIT01222-000</t>
  </si>
  <si>
    <t>CHIP MOSFET SIB455EDK P-CH D-S 12V SC-75</t>
  </si>
  <si>
    <t>RIT01223-000</t>
  </si>
  <si>
    <t>CHIP RES 6.8K 1 1/10W 0402</t>
  </si>
  <si>
    <t>RIT01224-000</t>
  </si>
  <si>
    <t>CHIP IND 4.7UH 20 1.04A 3X3MM</t>
  </si>
  <si>
    <t>RIT01225-000</t>
  </si>
  <si>
    <t>CHIP IND 10UH 20 250MA 0603</t>
  </si>
  <si>
    <t>RIT01226-000</t>
  </si>
  <si>
    <t>PCB 214-126ALF (FLM-BB-ER04)</t>
  </si>
  <si>
    <t>RIT01227-000</t>
  </si>
  <si>
    <t>CHIP RES 22R 1 1/10W 0402</t>
  </si>
  <si>
    <t>RIT01228-000</t>
  </si>
  <si>
    <t>CHIP RES 1.1K 0.5 1/16W 25PPM 0402</t>
  </si>
  <si>
    <t>RIT01229-000</t>
  </si>
  <si>
    <t>CHIP RES 100R 1 1/10W 0402</t>
  </si>
  <si>
    <t>RIT01230-000</t>
  </si>
  <si>
    <t>CHIP RES 10K 1 1/20W 0201</t>
  </si>
  <si>
    <t>RIT01231-000</t>
  </si>
  <si>
    <t>CHIP RES 47K 0.5 1/16W 25PPM 0603</t>
  </si>
  <si>
    <t>RIT01232-000</t>
  </si>
  <si>
    <t>CHIP RES 330R 1 1/10W 0402</t>
  </si>
  <si>
    <t>RIT01233-000</t>
  </si>
  <si>
    <t>CHIP RES 140K 1 1/10W 0402</t>
  </si>
  <si>
    <t>RIT01234-000</t>
  </si>
  <si>
    <t>CHIP RES 56R 1 1/10W 0402</t>
  </si>
  <si>
    <t>RIT01235-000</t>
  </si>
  <si>
    <t>CHIP RES 82K 0.5 1/16W 25PPM 0402</t>
  </si>
  <si>
    <t>RIT01236-000</t>
  </si>
  <si>
    <t>CHIP RES 1.2K 0.5 1/16W 25PPM 0402</t>
  </si>
  <si>
    <t>RIT01237-000</t>
  </si>
  <si>
    <t>CHIP RES 9.1K 1 1/20W 0201</t>
  </si>
  <si>
    <t>RIT01238-000</t>
  </si>
  <si>
    <t>CHIP DIODE</t>
  </si>
  <si>
    <t>CHIP DIODE 1SS400CST2RA 90V VMN-2</t>
  </si>
  <si>
    <t>RIT01239-000</t>
  </si>
  <si>
    <t>CHIP CAP 1NF 5 50V CH 0402</t>
  </si>
  <si>
    <t>RIT01240-000</t>
  </si>
  <si>
    <t>CHIP RES 300K 1 1/10W 0402</t>
  </si>
  <si>
    <t>RIT01241-000</t>
  </si>
  <si>
    <t>CHIP CAP 10UF 10 10V X5R 0805</t>
  </si>
  <si>
    <t>RIT01242-000</t>
  </si>
  <si>
    <t>CHIP MOSFET SIA910EDJ 12V N-CH SC70-6</t>
  </si>
  <si>
    <t>RIT01243-000</t>
  </si>
  <si>
    <t>CHIP RES 360K 1 1/10W 0402</t>
  </si>
  <si>
    <t>RIT01244-000</t>
  </si>
  <si>
    <t>CHIP RES 6.2K 0.5 1/16W 25PPM 0402</t>
  </si>
  <si>
    <t>RIT01245-000</t>
  </si>
  <si>
    <t>CHIP CAP 47NF 10 25V R 0402</t>
  </si>
  <si>
    <t>RIT01246-000</t>
  </si>
  <si>
    <t>IC 74AUP1G125GF BUFFER LINE DRIVER SON-6</t>
  </si>
  <si>
    <t>RIT01247-000</t>
  </si>
  <si>
    <t>CHIP CAP 220PF 5 50V CH 0402</t>
  </si>
  <si>
    <t>RIT01248-000</t>
  </si>
  <si>
    <t>CHIP FERRITE BEAD 330 OHM 25 1.2A 0603</t>
  </si>
  <si>
    <t>RIT01249-000</t>
  </si>
  <si>
    <t>CHIP RES 10R 5 1/10W 0402</t>
  </si>
  <si>
    <t>RIT01250-000</t>
  </si>
  <si>
    <t>CHIP CAP 33PF 5 50V CH 0402</t>
  </si>
  <si>
    <t>RIT01251-000</t>
  </si>
  <si>
    <t>CHIP RES 3.6K 1 1/10W 0402</t>
  </si>
  <si>
    <t>RIT01252-000</t>
  </si>
  <si>
    <t>CHIP CAP 100NF 10 16V R 0402</t>
  </si>
  <si>
    <t>RIT01253-FBN</t>
  </si>
  <si>
    <t>FLM-EB-ER14</t>
  </si>
  <si>
    <t>RIT01254-KAT</t>
  </si>
  <si>
    <t>FLM-EB-ER04C</t>
  </si>
  <si>
    <t>RIT01255-CHI</t>
  </si>
  <si>
    <t>AD8606ACBZ-REEL7</t>
  </si>
  <si>
    <t>RIT01256-CHI</t>
  </si>
  <si>
    <t>EXB14V103JX</t>
  </si>
  <si>
    <t>RIT01257-CHI</t>
  </si>
  <si>
    <t>REF3325AIDCKR</t>
  </si>
  <si>
    <t>RIT01258-CHI</t>
  </si>
  <si>
    <t>GRM033C71A104ME14D</t>
  </si>
  <si>
    <t>RIT01260-CHI</t>
  </si>
  <si>
    <t>74AUP1G125GF,132</t>
  </si>
  <si>
    <t>RIT01261-CHI</t>
  </si>
  <si>
    <t>TRANSISTOR</t>
  </si>
  <si>
    <t>RQ3E180AJTB</t>
  </si>
  <si>
    <t>RIT01262-CHI</t>
  </si>
  <si>
    <t>74AUP2G34GM,115</t>
  </si>
  <si>
    <t>RIT01263-AME</t>
  </si>
  <si>
    <t>RESISTANCE</t>
  </si>
  <si>
    <t>RIT01264-AME</t>
  </si>
  <si>
    <t>VOLTAGE SUPPLY</t>
  </si>
  <si>
    <t>RIT01265-AME</t>
  </si>
  <si>
    <t>ANALOG SWITCH</t>
  </si>
  <si>
    <t>74AUP1G125GF</t>
  </si>
  <si>
    <t>RIT01266-AME</t>
  </si>
  <si>
    <t>RIT01268-AME</t>
  </si>
  <si>
    <t>AMPLIFIER</t>
  </si>
  <si>
    <t>AD8606ACBZ</t>
  </si>
  <si>
    <t>RIT01269-AME</t>
  </si>
  <si>
    <t>ERJB3BF2R0V</t>
  </si>
  <si>
    <t>RIT01270-AME</t>
  </si>
  <si>
    <t>GRM155C71A225KE11D</t>
  </si>
  <si>
    <t>RIT01271-AME</t>
  </si>
  <si>
    <t>AD5682RBCPZ-R7</t>
  </si>
  <si>
    <t>RIT01272-000</t>
  </si>
  <si>
    <t>IC OPAMP GP 10MHZ RRO 5WLCSP</t>
  </si>
  <si>
    <t>RIT01273-000</t>
  </si>
  <si>
    <t>CHIP RES 6.8K 0.1 1/16W 0402</t>
  </si>
  <si>
    <t>RIT01274-000</t>
  </si>
  <si>
    <t>RIT01275-000</t>
  </si>
  <si>
    <t>CHIP RES 10K 0.1 1/16W 0402</t>
  </si>
  <si>
    <t>RIT01276-000</t>
  </si>
  <si>
    <t>CHIP CAP 22UF 20 4V X6S 0603</t>
  </si>
  <si>
    <t>RIT01277-000</t>
  </si>
  <si>
    <t>CHIP RES 2.4K 0.1 1/16W 0402</t>
  </si>
  <si>
    <t>RIT01278-000</t>
  </si>
  <si>
    <t>IC MCU 32BIT 256KB FLASH 96BGA</t>
  </si>
  <si>
    <t>RIT01279-000</t>
  </si>
  <si>
    <t>CHIP RES 330R 0.1 1/16W 0402</t>
  </si>
  <si>
    <t>RIT01280-000</t>
  </si>
  <si>
    <t>CHIP RES 750R 0.1 1/16W 0402</t>
  </si>
  <si>
    <t>RIT01281-000</t>
  </si>
  <si>
    <t>CHIP RES 200R 0.1 1/16W 0402</t>
  </si>
  <si>
    <t>RIT01282-000</t>
  </si>
  <si>
    <t>CHIP RES 7.5K 0.1 1/16W 0402</t>
  </si>
  <si>
    <t>RIT01283-000</t>
  </si>
  <si>
    <t>CHIP RES 0.51R 1 1/2W 0805</t>
  </si>
  <si>
    <t>RIT01284-000</t>
  </si>
  <si>
    <t>CHIP RES 1K 0.1 1/16W 0402</t>
  </si>
  <si>
    <t>RIT01285-000</t>
  </si>
  <si>
    <t>CHIP MOSFET 8V 12A 19W SC-70-6</t>
  </si>
  <si>
    <t>RIT01286-000</t>
  </si>
  <si>
    <t>IC EEPROM I2C 1MB 8TSSOP</t>
  </si>
  <si>
    <t>RIT01287-000</t>
  </si>
  <si>
    <t>CHIP IND 1UH 1.7A 85 MOHM SMD</t>
  </si>
  <si>
    <t>RIT01288-000</t>
  </si>
  <si>
    <t>IC DAC 14BIT SPI 8LFCSP</t>
  </si>
  <si>
    <t>RIT01289-000</t>
  </si>
  <si>
    <t>CHIP CAP 100UF 20 4V X6S 1206</t>
  </si>
  <si>
    <t>RIT01290-000</t>
  </si>
  <si>
    <t>CONNHEAD 2X14WAY MALE LS 1 MM</t>
  </si>
  <si>
    <t>RIT01291-000</t>
  </si>
  <si>
    <t>MOSFET N-CH 20V 7.8A SC70-6</t>
  </si>
  <si>
    <t>RIT01292-000</t>
  </si>
  <si>
    <t>CHIP RES 0.56R 1/2W 0805</t>
  </si>
  <si>
    <t>RIT01293-000</t>
  </si>
  <si>
    <t>CHIP RES 3K 0.1 1/16W 0402</t>
  </si>
  <si>
    <t>RIT01294-000</t>
  </si>
  <si>
    <t>CHIP RES 100R 0.1 1/16W 0402</t>
  </si>
  <si>
    <t>RIT01295-000</t>
  </si>
  <si>
    <t>CHIP CAP 47UF 20 4V X6S 0805</t>
  </si>
  <si>
    <t>RIT01296-000</t>
  </si>
  <si>
    <t>CHIP RES 6.8K 0.1 1/20W 0201</t>
  </si>
  <si>
    <t>RIT01297-000</t>
  </si>
  <si>
    <t>CHIP RES 91K 0.1 1/16W 0402</t>
  </si>
  <si>
    <t>RIT01298-000</t>
  </si>
  <si>
    <t>PCB 217-286BLF (FLM-BB-EU01B)</t>
  </si>
  <si>
    <t>RIT01299-000</t>
  </si>
  <si>
    <t>CHIP RES 3K 0.1 1/20W 0201</t>
  </si>
  <si>
    <t>RIT01300-000</t>
  </si>
  <si>
    <t>CHIP RES 51R 0.1 1/16W 0402</t>
  </si>
  <si>
    <t>RIT01301-000</t>
  </si>
  <si>
    <t>CHIP RES 4.7K 0.1 1/16W 0402</t>
  </si>
  <si>
    <t>RIT01302-000</t>
  </si>
  <si>
    <t>CHIP MOSFET N/P-CH 20V 0.6A/0.5A DFN-6</t>
  </si>
  <si>
    <t>RIT01303-000</t>
  </si>
  <si>
    <t>CHIP CAP 0.1UF 10 25V X6S 0201</t>
  </si>
  <si>
    <t>RIT01304-000</t>
  </si>
  <si>
    <t>LABEL B423 SIZE7 X 4 MM BLANK 8 ACROSS</t>
  </si>
  <si>
    <t>RIT01305-000</t>
  </si>
  <si>
    <t>IC SCHMITT TRIG NON-INV XSON6</t>
  </si>
  <si>
    <t>RIT01306-000</t>
  </si>
  <si>
    <t>CHIP CAP 33 NF 10 16V X7R 0402</t>
  </si>
  <si>
    <t>RIT01307-000</t>
  </si>
  <si>
    <t>IC BUFFER/LINEDVR DUAL XSON-8</t>
  </si>
  <si>
    <t>RIT01308-000</t>
  </si>
  <si>
    <t>RIT01309-000</t>
  </si>
  <si>
    <t>CHIP CAP 4.7UF 10 10V X7S 0603</t>
  </si>
  <si>
    <t>RIT01310-000</t>
  </si>
  <si>
    <t>CHIP RES ARRAY 100K 5 2X0201</t>
  </si>
  <si>
    <t>RIT01311-000</t>
  </si>
  <si>
    <t>CHIP RES 0.047R 1 1/5W 0603</t>
  </si>
  <si>
    <t>RIT01312-000</t>
  </si>
  <si>
    <t>CHIP RES 7.5K 0.1 1/20W 0201 25PPM</t>
  </si>
  <si>
    <t>RIT01313-000</t>
  </si>
  <si>
    <t>CHIP RES 750R  0.1 1/20W 0201 25PPM</t>
  </si>
  <si>
    <t>RIT01314-000</t>
  </si>
  <si>
    <t>CHIP RES  200R 0.1 1/20W 020125PPM</t>
  </si>
  <si>
    <t>RIT01315-000</t>
  </si>
  <si>
    <t>CHIP CAP 22UF 20 4 V X6S 0603</t>
  </si>
  <si>
    <t>RIT01316-000</t>
  </si>
  <si>
    <t>RIT01317-000</t>
  </si>
  <si>
    <t>CHIP RES 4.7K 0.1 1/20W 0201</t>
  </si>
  <si>
    <t>RIT01318-000</t>
  </si>
  <si>
    <t>RIT01319-000</t>
  </si>
  <si>
    <t>CHIP RES 330R 0.1 1/20W 0201</t>
  </si>
  <si>
    <t>RIT01320-000</t>
  </si>
  <si>
    <t>CHIP RES 100R 0.1 1/20W 0201 25PPM</t>
  </si>
  <si>
    <t>RIT01321-000</t>
  </si>
  <si>
    <t>RIT01322-000</t>
  </si>
  <si>
    <t>RIT01323-000</t>
  </si>
  <si>
    <t>CHIP RES 1.6R 5 1/10W 0402</t>
  </si>
  <si>
    <t>RIT01324-000</t>
  </si>
  <si>
    <t>CHIP R-ARRAY 100R 5 1/16W 2X0201</t>
  </si>
  <si>
    <t>RIT01325-000</t>
  </si>
  <si>
    <t>RIT01326-000</t>
  </si>
  <si>
    <t>CHIP RES ARRAY 8.2K 5 2X0201</t>
  </si>
  <si>
    <t>RIT01327-000</t>
  </si>
  <si>
    <t>CHIP CAP 15NF 10 16V X7R 0402</t>
  </si>
  <si>
    <t>RIT01328-000</t>
  </si>
  <si>
    <t>CHIP RES 1K 0.1 1/20W 0201 25PPM</t>
  </si>
  <si>
    <t>RIT01329-000</t>
  </si>
  <si>
    <t>CHIP RES 100R 1 1/20W 0201</t>
  </si>
  <si>
    <t>RIT01330-000</t>
  </si>
  <si>
    <t>CHIP RES 30K 0.1 1/16W 0402</t>
  </si>
  <si>
    <t>RIT01331-000</t>
  </si>
  <si>
    <t>CHIP RES ARRAY 1K 5 2X0201</t>
  </si>
  <si>
    <t>RIT01332-000</t>
  </si>
  <si>
    <t>RIT01333-000</t>
  </si>
  <si>
    <t>CHIP RES 240R 5 1/2W 0805</t>
  </si>
  <si>
    <t>RIT01334-000</t>
  </si>
  <si>
    <t>RIT01335-000</t>
  </si>
  <si>
    <t>CHIP RES 240R 1 1/20W 0201</t>
  </si>
  <si>
    <t>RIT01336-000</t>
  </si>
  <si>
    <t>CHIP RES 3.3K 1 1/20W 0201</t>
  </si>
  <si>
    <t>RIT01337-000</t>
  </si>
  <si>
    <t>RIT01338-000</t>
  </si>
  <si>
    <t>CHIP RES 240R 1 1/10W 0402</t>
  </si>
  <si>
    <t>RIT01339-000</t>
  </si>
  <si>
    <t>CHIP RES 680R 1 1/10W 0402</t>
  </si>
  <si>
    <t>RIT01340-000</t>
  </si>
  <si>
    <t>CHIP RES 140K 1 1/20W 0201</t>
  </si>
  <si>
    <t>RIT01341-000</t>
  </si>
  <si>
    <t>CHIP RES 10R 1 1/20W 0201</t>
  </si>
  <si>
    <t>RIT01342-000</t>
  </si>
  <si>
    <t>CHIP FERRITE BEAD 220 OHM 1LN 0805</t>
  </si>
  <si>
    <t>RIT01344-000</t>
  </si>
  <si>
    <t>CHIP RES 5.1K 1 1/20W 0201</t>
  </si>
  <si>
    <t>RIT01345-000</t>
  </si>
  <si>
    <t>CHIP CAP 0.01UF 10 25V X7R 0402</t>
  </si>
  <si>
    <t>RIT01346-000</t>
  </si>
  <si>
    <t>CHIP RES 680R  1 1/20W 0201</t>
  </si>
  <si>
    <t>RIT01347-000</t>
  </si>
  <si>
    <t>CHIP FERRITE BEAD 600 OHM 1LN 0402</t>
  </si>
  <si>
    <t>RIT01348-000</t>
  </si>
  <si>
    <t>CHIP RES 1.6R 5 1/20W 0201</t>
  </si>
  <si>
    <t>RIT01349-000</t>
  </si>
  <si>
    <t>CHIP CAP 22PF 5 50V NP0 0201</t>
  </si>
  <si>
    <t>RIT01350-000</t>
  </si>
  <si>
    <t>CHIP CAP 0.22UF 10 10V X7R 0402</t>
  </si>
  <si>
    <t>RIT01351-000</t>
  </si>
  <si>
    <t>CHIP RES 6.8K 1 1/20W 0201</t>
  </si>
  <si>
    <t>RIT01352-000</t>
  </si>
  <si>
    <t>CHIP RES 8.2K 1 1/10W 0402</t>
  </si>
  <si>
    <t>RIT01353-000</t>
  </si>
  <si>
    <t>CHIP RES 5.1K 1 1/10W 0402</t>
  </si>
  <si>
    <t>RIT01354-000</t>
  </si>
  <si>
    <t>CHIP CAP 2.0PF 100V CK 0402</t>
  </si>
  <si>
    <t>RIT01355-000</t>
  </si>
  <si>
    <t>CHIP RES 120K 1 1/10W 0402</t>
  </si>
  <si>
    <t>RIT01356-000</t>
  </si>
  <si>
    <t>PCB 216-255BLF (FLM-BB-JU03)</t>
  </si>
  <si>
    <t>RIT01357-KAT</t>
  </si>
  <si>
    <t>FLM-EB-ER08C</t>
  </si>
  <si>
    <t>RIT01358-000</t>
  </si>
  <si>
    <t>CHIP MOSFET</t>
  </si>
  <si>
    <t>RIT01359-FUS</t>
  </si>
  <si>
    <t>SAQ410EJ-T1-GE3</t>
  </si>
  <si>
    <t>RIT01360-CHI</t>
  </si>
  <si>
    <t>NX3L4051HR,115</t>
  </si>
  <si>
    <t>RIT01362-AME</t>
  </si>
  <si>
    <t>AT24CM01-XHM-T</t>
  </si>
  <si>
    <t>RIT01363-GLO</t>
  </si>
  <si>
    <t>RIT01365-GLO</t>
  </si>
  <si>
    <t>ADUCM322BBCZ-RL</t>
  </si>
  <si>
    <t>RIT01366-SMI</t>
  </si>
  <si>
    <t>AD5682RBCPZ-RL7</t>
  </si>
  <si>
    <t>RIT01367-AME</t>
  </si>
  <si>
    <t>RIT01368-AME</t>
  </si>
  <si>
    <t>74AUP2G34GM</t>
  </si>
  <si>
    <t>RIT01369-AME</t>
  </si>
  <si>
    <t>NX3L4051HR</t>
  </si>
  <si>
    <t>RIT01373-SMI</t>
  </si>
  <si>
    <t>RIT01374-SMI</t>
  </si>
  <si>
    <t>RIT01375-DEP</t>
  </si>
  <si>
    <t>RIT01376-FUS</t>
  </si>
  <si>
    <t>RIT01377-FUS</t>
  </si>
  <si>
    <t>RIT01378-SMI</t>
  </si>
  <si>
    <t>RIT01379-DEP</t>
  </si>
  <si>
    <t>RIT01380-AME</t>
  </si>
  <si>
    <t>RIT01381-DEP</t>
  </si>
  <si>
    <t>74LVC2G17GF,132</t>
  </si>
  <si>
    <t>RIT01383-AME</t>
  </si>
  <si>
    <t>SIA427DJ-T1-GE03</t>
  </si>
  <si>
    <t>RIT01384-FUS</t>
  </si>
  <si>
    <t>RIT01385-SMI</t>
  </si>
  <si>
    <t>RIT01386-FBN</t>
  </si>
  <si>
    <t>CAPACITOR0.1UF10/1005SIZE25V</t>
  </si>
  <si>
    <t>RIT01387-FBN</t>
  </si>
  <si>
    <t>1000 MHZ 40DB1608SIZE6.3V/4.0A</t>
  </si>
  <si>
    <t>RIT01388-FBN</t>
  </si>
  <si>
    <t>FET(PCH)</t>
  </si>
  <si>
    <t>RIT01391-FBN</t>
  </si>
  <si>
    <t>N-CH FET</t>
  </si>
  <si>
    <t>RIT01395-FBN</t>
  </si>
  <si>
    <t>RESISTOR01005SIZE1A</t>
  </si>
  <si>
    <t>RIT01396-FBN</t>
  </si>
  <si>
    <t>RESISTOR510 1/1005SIZE50V/0.1W</t>
  </si>
  <si>
    <t>RIT01397-FBN</t>
  </si>
  <si>
    <t>RESISTOR200K 1/1005SIZE50V/0.1W</t>
  </si>
  <si>
    <t>RIT01398-FBN</t>
  </si>
  <si>
    <t>FPC (FLEX PRINTED CIRCUIT)</t>
  </si>
  <si>
    <t>FPC</t>
  </si>
  <si>
    <t>RIT01399-FBN</t>
  </si>
  <si>
    <t>HEAD STACK ASSEMBLY (HSA)</t>
  </si>
  <si>
    <t>FLM-EB-VN04 REVISION: 0.00.1</t>
  </si>
  <si>
    <t>RIT01400-FBN</t>
  </si>
  <si>
    <t>CAPACITOR0.1UF 10/1005SIZE 16V</t>
  </si>
  <si>
    <t>RIT01401-FBN</t>
  </si>
  <si>
    <t>CAPACITOR22UF 20/2012SIZE 10V</t>
  </si>
  <si>
    <t>RIT01402-FBN</t>
  </si>
  <si>
    <t>CAPACITOR22UF 20/1608SIZE 6.3V</t>
  </si>
  <si>
    <t>RIT01403-FBN</t>
  </si>
  <si>
    <t>CAPACITOR10UF 20/1608SIZE 10V</t>
  </si>
  <si>
    <t>RIT01404-FBN</t>
  </si>
  <si>
    <t>CAPACITOR0.47UF10/1005SIZE16V</t>
  </si>
  <si>
    <t>RIT01405-FBN</t>
  </si>
  <si>
    <t>CAPACITOR1.0UF10/1005SIZE 10V</t>
  </si>
  <si>
    <t>RIT01406-FBN</t>
  </si>
  <si>
    <t>CAPACITOR22PF 5/1005SIZE 25V</t>
  </si>
  <si>
    <t>RIT01407-FBN</t>
  </si>
  <si>
    <t>CAPACITOR0.33UF 10/1005SIZE 10V</t>
  </si>
  <si>
    <t>RIT01408-FBN</t>
  </si>
  <si>
    <t>CAPACITOR 1.0UF 20/2012SIZE 10V/4 ELEMEN</t>
  </si>
  <si>
    <t>RIT01409-FBN</t>
  </si>
  <si>
    <t>CAPACITOR0.1UF 10/0603SIZE16V</t>
  </si>
  <si>
    <t>RIT01410-FBN</t>
  </si>
  <si>
    <t>CAPACITOR470PF 10/1608SIZE50V</t>
  </si>
  <si>
    <t>RIT01411-FBN</t>
  </si>
  <si>
    <t>CAPACITOR1000PF 10/1608SIZE50V</t>
  </si>
  <si>
    <t>RIT01412-FBN</t>
  </si>
  <si>
    <t>CAPACITOR0.01UF 10/1608SIZE50V</t>
  </si>
  <si>
    <t>RIT01413-FBN</t>
  </si>
  <si>
    <t>CAPACITOR22UF 20/1608SIZE4V</t>
  </si>
  <si>
    <t>RIT01414-FBN</t>
  </si>
  <si>
    <t>RIT01416-FBN</t>
  </si>
  <si>
    <t>22PF5/0603SIZE50V</t>
  </si>
  <si>
    <t>RIT01417-FBN</t>
  </si>
  <si>
    <t>0.01UF10/0603SIZE25V</t>
  </si>
  <si>
    <t>RIT01418-FBN</t>
  </si>
  <si>
    <t>0.1UF10/0603SIZE25V</t>
  </si>
  <si>
    <t>RIT01419-FBN</t>
  </si>
  <si>
    <t>1000PF5/0603SIZE25V</t>
  </si>
  <si>
    <t>RIT01420-FBN</t>
  </si>
  <si>
    <t>RIT01421-FBN</t>
  </si>
  <si>
    <t>DIODE</t>
  </si>
  <si>
    <t>SWITCHING DIODE SWITCHING 90V 0.1A 2PIN</t>
  </si>
  <si>
    <t>RIT01422-FBN</t>
  </si>
  <si>
    <t>MOSFET</t>
  </si>
  <si>
    <t>MOSFET 12V 12A 19W 29MOHM  4.5V</t>
  </si>
  <si>
    <t>RIT01423-FBN</t>
  </si>
  <si>
    <t>DAC IC 12-BIT QUAD W/ RRO</t>
  </si>
  <si>
    <t>RIT01424-FBN</t>
  </si>
  <si>
    <t>LOGIC GATES LO-PWR DUAL 2-INPUT</t>
  </si>
  <si>
    <t>RIT01425-FBN</t>
  </si>
  <si>
    <t>LATCHES SNGLDTYPELATCH</t>
  </si>
  <si>
    <t>RIT01426-FBN</t>
  </si>
  <si>
    <t>ICS SUBOHM DL 4:1 MUX 2 6X1 8X 5MM IND</t>
  </si>
  <si>
    <t>RIT01427-FBN</t>
  </si>
  <si>
    <t>ICS 280MOHM 5.5V CMOS DUAL 2:1 MUX/SPDT</t>
  </si>
  <si>
    <t>RIT01428-FBN</t>
  </si>
  <si>
    <t>LATCHES OCTAL 3-STATE LATCH</t>
  </si>
  <si>
    <t>RIT01429-FBN</t>
  </si>
  <si>
    <t>VOLTAGE REFERENCES 2.5V</t>
  </si>
  <si>
    <t>RIT01430-FBN</t>
  </si>
  <si>
    <t>BUFFERS AND LINE DRIVERS DUALBFFR/DRVR</t>
  </si>
  <si>
    <t>RIT01431-FBN</t>
  </si>
  <si>
    <t>MICRO CONVERTER</t>
  </si>
  <si>
    <t>RIT01432-FBN</t>
  </si>
  <si>
    <t>OPERATIONAL AMPLIFIER</t>
  </si>
  <si>
    <t>RIT01433-FBN</t>
  </si>
  <si>
    <t>TEC DRIVER</t>
  </si>
  <si>
    <t>RIT01434-FBN</t>
  </si>
  <si>
    <t>INDUCTOR1UH2016SIZE2.2A</t>
  </si>
  <si>
    <t>RIT01435-FBN</t>
  </si>
  <si>
    <t>INDUCTOR</t>
  </si>
  <si>
    <t>CHIP INDUCTOR1.0UH1616SIZE1.2A</t>
  </si>
  <si>
    <t>RIT01436-FBN</t>
  </si>
  <si>
    <t>LED</t>
  </si>
  <si>
    <t>RIT01437-FBN</t>
  </si>
  <si>
    <t>COLLECTIVE RESISTANCE8.2K 5/0603SIZE2</t>
  </si>
  <si>
    <t>RIT01438-FBN</t>
  </si>
  <si>
    <t>SET RESISTANCE 10 5/0603SIZE12.5V/0.031W</t>
  </si>
  <si>
    <t>RIT01439-FBN</t>
  </si>
  <si>
    <t>RESISTOR9.1K 1/1005SIZE 50V/0.1W</t>
  </si>
  <si>
    <t>RIT01440-FBN</t>
  </si>
  <si>
    <t>RESISTOR0.22 1/3216SIZE1W</t>
  </si>
  <si>
    <t>RIT01441-FBN</t>
  </si>
  <si>
    <t>RESISTOR10K1/1608SIZE50V/0.1W</t>
  </si>
  <si>
    <t>RIT01442-FBN</t>
  </si>
  <si>
    <t>RESISTOR3.6K0.1/1005SIZE75V/0.063W</t>
  </si>
  <si>
    <t>RIT01443-FBN</t>
  </si>
  <si>
    <t>RESISTOR91K 1/1608SIZE75V/0.1W</t>
  </si>
  <si>
    <t>RIT01444-FBN</t>
  </si>
  <si>
    <t>RESISTOR200 1/1608SIZE75V/0.1W</t>
  </si>
  <si>
    <t>RIT01445-FBN</t>
  </si>
  <si>
    <t>RESISTOR1K 1/1608SIZE75V/0.1W</t>
  </si>
  <si>
    <t>RIT01446-FBN</t>
  </si>
  <si>
    <t>RESISTOR24K 1/1608SIZE75V/0.1W</t>
  </si>
  <si>
    <t>RIT01447-FBN</t>
  </si>
  <si>
    <t>RESISTOR3.6K 1/1608SIZE75V/0.1W</t>
  </si>
  <si>
    <t>RIT01448-FBN</t>
  </si>
  <si>
    <t>RESISTOR750 1/1608SIZE75V/0.1W</t>
  </si>
  <si>
    <t>RIT01449-FBN</t>
  </si>
  <si>
    <t>RESISTOR0.047 1/1220SIZE75V/0.1W</t>
  </si>
  <si>
    <t>RIT01450-FBN</t>
  </si>
  <si>
    <t>RESISTOR100 1/1608SIZE75V/0.1W</t>
  </si>
  <si>
    <t>RIT01451-FBN</t>
  </si>
  <si>
    <t>RESISTOR51 1/1608SIZE50V/0.1W</t>
  </si>
  <si>
    <t>RIT01452-FBN</t>
  </si>
  <si>
    <t>RESISTOR1K 1/1608SIZE50V/0.1W</t>
  </si>
  <si>
    <t>RIT01453-FBN</t>
  </si>
  <si>
    <t>RESISTOR47 1/1608SIZE50V/0.1W</t>
  </si>
  <si>
    <t>RIT01454-FBN</t>
  </si>
  <si>
    <t>RESISTOR330 1/1608SIZE50V/0.1W</t>
  </si>
  <si>
    <t>RIT01455-FBN</t>
  </si>
  <si>
    <t>RESISTOR8.2K 1/1005SIZE50V/0.1W</t>
  </si>
  <si>
    <t>RIT01456-FBN</t>
  </si>
  <si>
    <t>RESISTOR10 1/0603SIZE25V/0.05W</t>
  </si>
  <si>
    <t>RIT01457-FBN</t>
  </si>
  <si>
    <t>RESISTOR100K 1/1608SIZE75V/0.1W</t>
  </si>
  <si>
    <t>RIT01458-FBN</t>
  </si>
  <si>
    <t>RESISTOR62K 1/1608SIZE75V/0.1W</t>
  </si>
  <si>
    <t>RIT01459-FBN</t>
  </si>
  <si>
    <t>RESISTOR360K 1/1608SIZE75V/0.1W</t>
  </si>
  <si>
    <t>RIT01460-FBN</t>
  </si>
  <si>
    <t>RESISTOR82K 1/1608SIZE75V/0.1W</t>
  </si>
  <si>
    <t>RIT01461-FBN</t>
  </si>
  <si>
    <t>RESISTOR20K 1/1608SIZE75V/0.1W</t>
  </si>
  <si>
    <t>RIT01462-FBN</t>
  </si>
  <si>
    <t>RESISTOR22K 1/1608SIZE75V/0.1W</t>
  </si>
  <si>
    <t>RIT01463-FBN</t>
  </si>
  <si>
    <t>RESISTOR250K 1/1608SIZE75V/0.1W</t>
  </si>
  <si>
    <t>RIT01464-FBN</t>
  </si>
  <si>
    <t>RESISTOR39K 1/1608SIZE75V/0.1W</t>
  </si>
  <si>
    <t>RIT01465-FBN</t>
  </si>
  <si>
    <t>RESISTOR51K 1/1608SIZE75V/0.1W</t>
  </si>
  <si>
    <t>RIT01466-FBN</t>
  </si>
  <si>
    <t>RESISTOR5.6K 1/1608SIZE75V/0.1W</t>
  </si>
  <si>
    <t>RIT01467-FBN</t>
  </si>
  <si>
    <t>RESISTOR51 1/0603SIZE25V/0.05W</t>
  </si>
  <si>
    <t>RIT01468-FBN</t>
  </si>
  <si>
    <t>RESISTOR01608SIZE1A</t>
  </si>
  <si>
    <t>RIT01469-FBN</t>
  </si>
  <si>
    <t>RESISTOR3K 1/1608SIZE75V/0.1W</t>
  </si>
  <si>
    <t>RIT01470-FBN</t>
  </si>
  <si>
    <t>RESISTOR7.5K 1/1608SIZE75V/0.1W</t>
  </si>
  <si>
    <t>RIT01471-FBN</t>
  </si>
  <si>
    <t>RESISTOR02012SIZE150V/0.125W</t>
  </si>
  <si>
    <t>RIT01472-FBN</t>
  </si>
  <si>
    <t>RESISTOR6.8K 1/1608SIZE75V/0.1W</t>
  </si>
  <si>
    <t>RIT01473-FBN</t>
  </si>
  <si>
    <t>RESISTOR2.4K0.1/1005SIZE75V/0.063W</t>
  </si>
  <si>
    <t>RIT01474-FBN</t>
  </si>
  <si>
    <t>RESISTOR1K0.1/1005SIZE75V/0.063W</t>
  </si>
  <si>
    <t>RIT01475-FBN</t>
  </si>
  <si>
    <t>RESISTOR24K0.1/1005SIZE75V/0.063W</t>
  </si>
  <si>
    <t>RIT01476-FBN</t>
  </si>
  <si>
    <t>RESISTOR10K0.1/1005SIZE75V/0.063W</t>
  </si>
  <si>
    <t>RIT01477-FBN</t>
  </si>
  <si>
    <t>RIT01478-FBN</t>
  </si>
  <si>
    <t>1.6 5/0603SIZE25V/0.05W</t>
  </si>
  <si>
    <t>RIT01479-FBN</t>
  </si>
  <si>
    <t>200 0.10603/SIZE25V/0.05W</t>
  </si>
  <si>
    <t>RIT01480-FBN</t>
  </si>
  <si>
    <t>3K0.1/0603SIZE25V/0.05W</t>
  </si>
  <si>
    <t>RIT01481-FBN</t>
  </si>
  <si>
    <t>5.1K 1/0603SIZE25V/0.05W</t>
  </si>
  <si>
    <t>RIT01482-FBN</t>
  </si>
  <si>
    <t>6.8K1/0603SIZE25V/0.05W</t>
  </si>
  <si>
    <t>RIT01483-FBN</t>
  </si>
  <si>
    <t>1K0.1/0603SIZE25V/0.05W</t>
  </si>
  <si>
    <t>RIT01484-FBN</t>
  </si>
  <si>
    <t>6.8K 0.1/0603SIZE25V/0.05W</t>
  </si>
  <si>
    <t>RIT01485-FBN</t>
  </si>
  <si>
    <t>4.7K 0.1/0603SIZE25V/0.05W</t>
  </si>
  <si>
    <t>RIT01486-FBN</t>
  </si>
  <si>
    <t>750 0.1/0603SIZE25V/0.05W</t>
  </si>
  <si>
    <t>RIT01487-FBN</t>
  </si>
  <si>
    <t>140K 1/0603SIZE25V/0.05W</t>
  </si>
  <si>
    <t>RIT01488-FBN</t>
  </si>
  <si>
    <t>680 1/0603SIZE25V/0.05W</t>
  </si>
  <si>
    <t>RIT01489-FBN</t>
  </si>
  <si>
    <t>100 1/0603SIZE25V/0.05W</t>
  </si>
  <si>
    <t>RIT01490-FBN</t>
  </si>
  <si>
    <t>100 0.1/0603SIZE25V/0.05W</t>
  </si>
  <si>
    <t>RIT01491-FBN</t>
  </si>
  <si>
    <t>240 1/0603SIZE25V/0.05W</t>
  </si>
  <si>
    <t>RIT01492-FBN</t>
  </si>
  <si>
    <t>7.5K 0.1/0603SIZE25V/0.05W</t>
  </si>
  <si>
    <t>RIT01493-FBN</t>
  </si>
  <si>
    <t>330 0.1/0603SIZE25V/0.05W</t>
  </si>
  <si>
    <t>RIT01494-FBN</t>
  </si>
  <si>
    <t>RESISTOR22 1/1005SIZE50V/0.1W</t>
  </si>
  <si>
    <t>RIT01495-FBN</t>
  </si>
  <si>
    <t>RESISTOR2 1/2012SIZE0.5W</t>
  </si>
  <si>
    <t>RIT01496-FBN</t>
  </si>
  <si>
    <t>RESISTOR1K 0.5/1005SIZE25V/0.063W</t>
  </si>
  <si>
    <t>RIT01497-FBN</t>
  </si>
  <si>
    <t>RESISTOR4.3K 0.5/1005SIZE25V/0.063W</t>
  </si>
  <si>
    <t>RIT01498-FBN</t>
  </si>
  <si>
    <t>RESISTOR2K 0.1/1005SIZE25V/0.063W</t>
  </si>
  <si>
    <t>RIT01499-FBN</t>
  </si>
  <si>
    <t>RESISTOR3.3K 1/1005SIZE50V/0.1W</t>
  </si>
  <si>
    <t>RIT01500-FBN</t>
  </si>
  <si>
    <t>RESISTOR13K 1/1005SIZE50V/0.1W</t>
  </si>
  <si>
    <t>RIT01501-FBN</t>
  </si>
  <si>
    <t>RESISTOR1.3K 1/1005SIZE50V/0.1W</t>
  </si>
  <si>
    <t>RIT01502-FBN</t>
  </si>
  <si>
    <t>RESISTOR0.22 1/2012SIZE1W</t>
  </si>
  <si>
    <t>RIT01503-FBN</t>
  </si>
  <si>
    <t>RESISTOR7.5K 1/1005SIZE50V/0.1W</t>
  </si>
  <si>
    <t>RIT01504-FBN</t>
  </si>
  <si>
    <t>RESISTOR330 1/1005SIZE50V/0.1W</t>
  </si>
  <si>
    <t>RIT01505-FBN</t>
  </si>
  <si>
    <t>RESISTOR0.22 1/1608SIZE0.25W</t>
  </si>
  <si>
    <t>RIT01506-FBN</t>
  </si>
  <si>
    <t>RESISTOR56 1/1005SIZE50V/0.1W</t>
  </si>
  <si>
    <t>RIT01507-FBN</t>
  </si>
  <si>
    <t>RESISTOR82 1/1005SIZE50V/0.1W</t>
  </si>
  <si>
    <t>RIT01508-FBN</t>
  </si>
  <si>
    <t>PCB_FLM-EB-EU01</t>
  </si>
  <si>
    <t>RIT01509-FBN</t>
  </si>
  <si>
    <t>PRINTED CIRCUIT BOARD ( PCB)</t>
  </si>
  <si>
    <t>PCB_FLM-EB-EU01B</t>
  </si>
  <si>
    <t>RIT01510-FBN</t>
  </si>
  <si>
    <t>PCB : FLM-BB-VN04</t>
  </si>
  <si>
    <t>RIT01511-FBN</t>
  </si>
  <si>
    <t>PCB MICRO ITLA</t>
  </si>
  <si>
    <t>RIT01512-FBN</t>
  </si>
  <si>
    <t>PCB FOR FIBER SPILCER WITH LED</t>
  </si>
  <si>
    <t>RIT01514-MOU</t>
  </si>
  <si>
    <t>ERJ1GNF1002C</t>
  </si>
  <si>
    <t>RIT01515-MOU</t>
  </si>
  <si>
    <t>RT0402BRE0712KL</t>
  </si>
  <si>
    <t>RIT01516-DEP</t>
  </si>
  <si>
    <t>SIA910EDJ-T1-GE3</t>
  </si>
  <si>
    <t>RIT01517-FUS</t>
  </si>
  <si>
    <t>RIT01518-KAT</t>
  </si>
  <si>
    <t>FLM-EB-ER06</t>
  </si>
  <si>
    <t>RIT01519-KAT</t>
  </si>
  <si>
    <t>RIT01520-KAT</t>
  </si>
  <si>
    <t>FLM-EB-ER05</t>
  </si>
  <si>
    <t>RIT01521-KAT</t>
  </si>
  <si>
    <t>DUAL BUFFER</t>
  </si>
  <si>
    <t>74AUP2G125GS</t>
  </si>
  <si>
    <t>RIT01522-FBN</t>
  </si>
  <si>
    <t>PCB FLM-BB-ER08</t>
  </si>
  <si>
    <t>RIT01522-KAT</t>
  </si>
  <si>
    <t>SINGLE BUFFER</t>
  </si>
  <si>
    <t>74AUP1G125GS</t>
  </si>
  <si>
    <t>RIT01523-FBN</t>
  </si>
  <si>
    <t>PCB FLM-BB-GE03</t>
  </si>
  <si>
    <t>RIT01523-KAT</t>
  </si>
  <si>
    <t>RIT01524-KAT</t>
  </si>
  <si>
    <t>74LVC2G17GS</t>
  </si>
  <si>
    <t>RIT01525-KAT</t>
  </si>
  <si>
    <t>DA CONVERTER</t>
  </si>
  <si>
    <t>RIT01526-KAT</t>
  </si>
  <si>
    <t>AD8605ACBZ-REEL7</t>
  </si>
  <si>
    <t>RIT01527-FBN</t>
  </si>
  <si>
    <t>CAPACITOR22UF20/2012SIZE10V</t>
  </si>
  <si>
    <t>RIT01527-KAT</t>
  </si>
  <si>
    <t>RIT01528-FBN</t>
  </si>
  <si>
    <t>CAPACITOR10UF20/1608SIZE10V</t>
  </si>
  <si>
    <t>RIT01528-KAT</t>
  </si>
  <si>
    <t>RIT01529-FBN</t>
  </si>
  <si>
    <t>CAPACITOR470PF10/1005SIZE50V</t>
  </si>
  <si>
    <t>RIT01529-KAT</t>
  </si>
  <si>
    <t>CGA2B3X7S1A474KT000N</t>
  </si>
  <si>
    <t>RIT01530-FBN</t>
  </si>
  <si>
    <t>CAPACITOR470PF0/1005SIZE50V</t>
  </si>
  <si>
    <t>RIT01530-KAT</t>
  </si>
  <si>
    <t>GRM188C81A106MA73D</t>
  </si>
  <si>
    <t>RIT01531-FBN</t>
  </si>
  <si>
    <t>0.1UF10/0603SIZE10/55105/0.33MM</t>
  </si>
  <si>
    <t>RIT01532-FBN</t>
  </si>
  <si>
    <t>10U20/1608SIZE16V/55105DEGREEC/1MM</t>
  </si>
  <si>
    <t>RIT01533-FBN</t>
  </si>
  <si>
    <t>30PF5/0603SIZE 25V-55125DEGREEC/0.33MM</t>
  </si>
  <si>
    <t>RIT01534-FBN</t>
  </si>
  <si>
    <t>1UF10/1005SIZE 25V-55105DEGREEC/0.60MM</t>
  </si>
  <si>
    <t>RIT01535-FBN</t>
  </si>
  <si>
    <t>4.7UF20/1005SIZE10V-5585DEGREEC/0.65MM</t>
  </si>
  <si>
    <t>RIT01536-FBN</t>
  </si>
  <si>
    <t>0.01UF10/0603SIZE16V-55125DEGREEC/0.33MM</t>
  </si>
  <si>
    <t>RIT01537-FBN</t>
  </si>
  <si>
    <t>10UF20/1005SIZE10V-5585DEGREEC/0.70MM</t>
  </si>
  <si>
    <t>RIT01538-FBN</t>
  </si>
  <si>
    <t>0.1UF10/0603SIZE16V-55125DEGREEC/0.33MM</t>
  </si>
  <si>
    <t>RIT01539-FBN</t>
  </si>
  <si>
    <t>2.2UF10/1005SIZE 16V-55105DEGREEC/0.55MM</t>
  </si>
  <si>
    <t>RIT01540-FBN</t>
  </si>
  <si>
    <t>22UF20/1608SIZE10V-5585DEGREEC/1.00MM</t>
  </si>
  <si>
    <t>RIT01541-FBN</t>
  </si>
  <si>
    <t>0.015uF10/100550V-55125degreeC/0.55mm</t>
  </si>
  <si>
    <t>RIT01542-FBN</t>
  </si>
  <si>
    <t>Capacitor4.7uF20/10056.3V-55-105/0.65mm</t>
  </si>
  <si>
    <t>RIT01543-FBN</t>
  </si>
  <si>
    <t>Capacitor22uF20/16086.3V55-105/1.0mm</t>
  </si>
  <si>
    <t>RIT01544-FBN</t>
  </si>
  <si>
    <t>Capacitor1000pF5/1608100V-55-125C/.9mm</t>
  </si>
  <si>
    <t>RIT01545-FBN</t>
  </si>
  <si>
    <t>Capacitor22uF20/100540V-55-105C/.35mm</t>
  </si>
  <si>
    <t>RIT01546-FBN</t>
  </si>
  <si>
    <t>Capacitor470pF/5100550V-55-125/0.55mm</t>
  </si>
  <si>
    <t>RIT01547-FBN</t>
  </si>
  <si>
    <t>RIT01548-FBN</t>
  </si>
  <si>
    <t>4085degreeC/0.60mm</t>
  </si>
  <si>
    <t>RIT01549-FBN</t>
  </si>
  <si>
    <t>Vf.30V1.020.620.47If.0.5A150CTj0.50mm</t>
  </si>
  <si>
    <t>RIT01550-FBN</t>
  </si>
  <si>
    <t>DiodeVf.125V1.00.60.4If.015A-55-150.40mm</t>
  </si>
  <si>
    <t>RIT01551-FBN</t>
  </si>
  <si>
    <t>Inductor330ohm2012size2.5A</t>
  </si>
  <si>
    <t>RIT01552-FBN</t>
  </si>
  <si>
    <t>ChipFerriteBead/330ohm/1005/0.7A</t>
  </si>
  <si>
    <t>RIT01553-FBN</t>
  </si>
  <si>
    <t>ChipFerriteBead1000ohm2012size1.5A</t>
  </si>
  <si>
    <t>RIT01554-FBN</t>
  </si>
  <si>
    <t>120ohm06031.0A-55-125degreeC/0.33mm</t>
  </si>
  <si>
    <t>RIT01555-FBN</t>
  </si>
  <si>
    <t>n-ch FET</t>
  </si>
  <si>
    <t>RIT01556-FBN</t>
  </si>
  <si>
    <t>220ohms100MHz16082.2A-55125degreeC/.95mm</t>
  </si>
  <si>
    <t>RIT01557-FBN</t>
  </si>
  <si>
    <t>TEC controller</t>
  </si>
  <si>
    <t>RIT01558-FBN</t>
  </si>
  <si>
    <t>triple buffer</t>
  </si>
  <si>
    <t>RIT01559-FBN</t>
  </si>
  <si>
    <t>EEPROM</t>
  </si>
  <si>
    <t>RIT01560-FBN</t>
  </si>
  <si>
    <t>Digital Temperature Sensor</t>
  </si>
  <si>
    <t>RIT01561-FBN</t>
  </si>
  <si>
    <t>55105degreeC/1.04mm</t>
  </si>
  <si>
    <t>RIT01562-FBN</t>
  </si>
  <si>
    <t>50150degreeC/0.68mm</t>
  </si>
  <si>
    <t>RIT01563-FBN</t>
  </si>
  <si>
    <t>p-ch FET</t>
  </si>
  <si>
    <t>RIT01564-FBN</t>
  </si>
  <si>
    <t>Inductor1uH2016size2A/20</t>
  </si>
  <si>
    <t>RIT01565-FBN</t>
  </si>
  <si>
    <t>SINGLE COLOR LED</t>
  </si>
  <si>
    <t>RIT01566-FBN</t>
  </si>
  <si>
    <t>Setresistance10k5/0603size412.5V/0.031W</t>
  </si>
  <si>
    <t>RIT01567-FBN</t>
  </si>
  <si>
    <t>Setresistance10k5/0603size212.5V/0.031W</t>
  </si>
  <si>
    <t>RIT01568-FBN</t>
  </si>
  <si>
    <t>Setresistance100k5/0603size212.5V/0.031W</t>
  </si>
  <si>
    <t>RIT01569-FBN</t>
  </si>
  <si>
    <t>Setresistance1005/0603size212.5V/0.031W</t>
  </si>
  <si>
    <t>RIT01570-FBN</t>
  </si>
  <si>
    <t>Resistor1k0.5/1005size 25V/0.063W</t>
  </si>
  <si>
    <t>RIT01571-FBN</t>
  </si>
  <si>
    <t>Resistor13k1/1005size 50V/0.1W</t>
  </si>
  <si>
    <t>RIT01572-FBN</t>
  </si>
  <si>
    <t>Resistor1k1/0603size50V/0.1W</t>
  </si>
  <si>
    <t>RIT01573-FBN</t>
  </si>
  <si>
    <t>Resistor1k1/0603size25V/0.05W</t>
  </si>
  <si>
    <t>RIT01574-FBN</t>
  </si>
  <si>
    <t>Resistor3.6k0.5/1005size25V/0.063W</t>
  </si>
  <si>
    <t>RIT01575-FBN</t>
  </si>
  <si>
    <t>Resistor1.5k0.1/1005size25V/0.063W</t>
  </si>
  <si>
    <t>RIT01576-FBN</t>
  </si>
  <si>
    <t>Resistor39k1/1005size50V/0.1W</t>
  </si>
  <si>
    <t>RIT01577-FBN</t>
  </si>
  <si>
    <t>Resistor100 5/0603size4 12.5V/0.031W</t>
  </si>
  <si>
    <t>RIT01578-FBN</t>
  </si>
  <si>
    <t>Resistor9.1K 1/0603size25V/0.05W</t>
  </si>
  <si>
    <t>RIT01579-FBN</t>
  </si>
  <si>
    <t>Resistor1k 1/0603size25V/0.05W</t>
  </si>
  <si>
    <t>RIT01580-FBN</t>
  </si>
  <si>
    <t>Resistor10 1/1005size50V/0.1W</t>
  </si>
  <si>
    <t>RIT01581-FBN</t>
  </si>
  <si>
    <t>Resistor10k 1/0603size25V/0.05W</t>
  </si>
  <si>
    <t>RIT01582-FBN</t>
  </si>
  <si>
    <t>Resistor91k 0.5/1005size25V/0.063W</t>
  </si>
  <si>
    <t>RIT01583-FBN</t>
  </si>
  <si>
    <t>Resistor1k 1/1005size50V/0.1W</t>
  </si>
  <si>
    <t>RIT01584-FBN</t>
  </si>
  <si>
    <t>Resistor6.8k 1/1005size50V/0.1W</t>
  </si>
  <si>
    <t>RIT01585-FBN</t>
  </si>
  <si>
    <t>Resistor220 0.5/1005size25V/0.063W</t>
  </si>
  <si>
    <t>RIT01586-FBN</t>
  </si>
  <si>
    <t>Resistor7.5k 0.5/1005size25V/0.063W</t>
  </si>
  <si>
    <t>RIT01587-FBN</t>
  </si>
  <si>
    <t>Resistor1 1/1005size50V/0.1W</t>
  </si>
  <si>
    <t>RIT01588-FBN</t>
  </si>
  <si>
    <t>Resistor10 5/1005size50V/0.1W</t>
  </si>
  <si>
    <t>RIT01589-FBN</t>
  </si>
  <si>
    <t>Resistor1.6 5/1005size50V/0.1W</t>
  </si>
  <si>
    <t>RIT01590-FBN</t>
  </si>
  <si>
    <t>Resistor3.3k 1/0603size25V/0.05W</t>
  </si>
  <si>
    <t>RIT01591-FBN</t>
  </si>
  <si>
    <t>Resistor91k 0.1/1005size75V/0.063W</t>
  </si>
  <si>
    <t>RIT01592-FBN</t>
  </si>
  <si>
    <t>Resistor01005size1A</t>
  </si>
  <si>
    <t>RIT01593-FBN</t>
  </si>
  <si>
    <t>4.7k5/12.5V/0.031W-55125degreeC/0.45mm</t>
  </si>
  <si>
    <t>RIT01594-FBN</t>
  </si>
  <si>
    <t>2.2k5080612.5V/0.031W-55125degreeC.45mm</t>
  </si>
  <si>
    <t>RIT01595-FBN</t>
  </si>
  <si>
    <t>62.1/060325V/0.05W-55125degreeC/.26mm</t>
  </si>
  <si>
    <t>RIT01596-FBN</t>
  </si>
  <si>
    <t>51k0.5/100550V/0.1W-55155degreeC/0.40mm</t>
  </si>
  <si>
    <t>RIT01597-FBN</t>
  </si>
  <si>
    <t>10k0.5/100550V/0.1W-55155degreeC/.40mm</t>
  </si>
  <si>
    <t>RIT01598-FBN</t>
  </si>
  <si>
    <t>2.2k5/060325V/0.05W-55125degree/0.26mm</t>
  </si>
  <si>
    <t>RIT01599-FBN</t>
  </si>
  <si>
    <t>7501/100550V/0.1W-55155degreeC/0.40mm</t>
  </si>
  <si>
    <t>RIT01600-FBN</t>
  </si>
  <si>
    <t>Resistor240k.5/100550V/0.1W-55-155/.40mm</t>
  </si>
  <si>
    <t>RIT01601-FBN</t>
  </si>
  <si>
    <t>Resistor47k0.5/100550V/0.1W-55-155/.40mm</t>
  </si>
  <si>
    <t>RIT01602-FBN</t>
  </si>
  <si>
    <t>40125degreeC / 0.60mm</t>
  </si>
  <si>
    <t>RIT01604-FBN</t>
  </si>
  <si>
    <t>RIT01605-FBN</t>
  </si>
  <si>
    <t>RESISTOR5.1K1/1005SIZE50V/0.1W</t>
  </si>
  <si>
    <t>RIT01606-FBN</t>
  </si>
  <si>
    <t>Resistor6801/1005size50V/0.1W</t>
  </si>
  <si>
    <t>RIT01607-FBN</t>
  </si>
  <si>
    <t>Resistor2401/1005size50V/0.1W</t>
  </si>
  <si>
    <t>RIT01608-FBN</t>
  </si>
  <si>
    <t>Resistance1k5/0603size2 12.5V / 0.031W</t>
  </si>
  <si>
    <t>RIT01609-FBN</t>
  </si>
  <si>
    <t>Resistor10k1/0603size25V/0.05W</t>
  </si>
  <si>
    <t>RIT01610-FBN</t>
  </si>
  <si>
    <t>Resistance1005/0603S2element12.5V/.031W</t>
  </si>
  <si>
    <t>RIT01611-FBN</t>
  </si>
  <si>
    <t>Resistor1.65/1005size50V/0.1W</t>
  </si>
  <si>
    <t>RIT01612-FBN</t>
  </si>
  <si>
    <t>Resistor0.11/1608size0.25W</t>
  </si>
  <si>
    <t>RIT01613-FBN</t>
  </si>
  <si>
    <t>Resistor0.0471/1608size0.2W</t>
  </si>
  <si>
    <t>RIT01614-FBN</t>
  </si>
  <si>
    <t>Resistance100k5/0603size212.5V/0.031W</t>
  </si>
  <si>
    <t>RIT01615-FBN</t>
  </si>
  <si>
    <t>Resistor510.1/1005size75V/0.063W</t>
  </si>
  <si>
    <t>RIT01616-FBN</t>
  </si>
  <si>
    <t>Resistor3k0.1/1005size75V/0.063W</t>
  </si>
  <si>
    <t>RIT01617-FBN</t>
  </si>
  <si>
    <t>Resistor0.561/1220size150V/0.5W</t>
  </si>
  <si>
    <t>RIT01618-FBN</t>
  </si>
  <si>
    <t>CAPACITOR100UF20/3216SIZE4V</t>
  </si>
  <si>
    <t>RIT01619-FBN</t>
  </si>
  <si>
    <t>P-CH FET</t>
  </si>
  <si>
    <t>RIT01620-FBN</t>
  </si>
  <si>
    <t>Resistor0.511/1220size150V/0.5W</t>
  </si>
  <si>
    <t>RIT01621-FBN</t>
  </si>
  <si>
    <t>Resistor2000.1/1005size75V/0.063W</t>
  </si>
  <si>
    <t>RIT01622-FBN</t>
  </si>
  <si>
    <t>Resistor7500.1/1005size75V/0.063W</t>
  </si>
  <si>
    <t>RIT01623-FBN</t>
  </si>
  <si>
    <t>Resistor3300.1/1005size75V/0.063W</t>
  </si>
  <si>
    <t>RIT01624-FBN</t>
  </si>
  <si>
    <t>CAPACITOR22UF20/1608SIZE4V</t>
  </si>
  <si>
    <t>RIT01625-FBN</t>
  </si>
  <si>
    <t>Resistor24k0.1/1005size75V/0.063W</t>
  </si>
  <si>
    <t>RIT01626-FBN</t>
  </si>
  <si>
    <t>RIT01627-FBN</t>
  </si>
  <si>
    <t>RIT01628-FBN</t>
  </si>
  <si>
    <t>CAPACITOR0.1UF20/0603SIZE10V</t>
  </si>
  <si>
    <t>RIT01629-FBN</t>
  </si>
  <si>
    <t>Resistor105/1005size50V/0.1W</t>
  </si>
  <si>
    <t>RIT01630-FBN</t>
  </si>
  <si>
    <t>RIT01631-FBN</t>
  </si>
  <si>
    <t>DUAL N-CH FET</t>
  </si>
  <si>
    <t>RIT01632-FBN</t>
  </si>
  <si>
    <t>Resistor9.1K1/0603size50V/0.1W</t>
  </si>
  <si>
    <t>RIT01633-FBN</t>
  </si>
  <si>
    <t>Resistor1.2k0.5/1005size25V/0.063W</t>
  </si>
  <si>
    <t>RIT01634-FBN</t>
  </si>
  <si>
    <t>Resistor561/1005size 50V/0.1W</t>
  </si>
  <si>
    <t>RIT01636-FBN</t>
  </si>
  <si>
    <t>Resistor3301/1005size 50V/0.1W</t>
  </si>
  <si>
    <t>RIT01637-FBN</t>
  </si>
  <si>
    <t>Resistor1001/1005size 50V/0.1W</t>
  </si>
  <si>
    <t>RIT01638-FBN</t>
  </si>
  <si>
    <t>Resistor22/1/1005size 50V/0.1W</t>
  </si>
  <si>
    <t>RIT01639-FBN</t>
  </si>
  <si>
    <t>PCB FLM-EB-ER04</t>
  </si>
  <si>
    <t>RIT01640-FBN</t>
  </si>
  <si>
    <t>Chip Inductor10uH1608size150mA</t>
  </si>
  <si>
    <t>RIT01641-FBN</t>
  </si>
  <si>
    <t>Resistor6.8k1/1005size 50V/0.1W</t>
  </si>
  <si>
    <t>RIT01642-FBN</t>
  </si>
  <si>
    <t>Resistor82 1/1005size 50V/0.1W</t>
  </si>
  <si>
    <t>RIT01643-FBN</t>
  </si>
  <si>
    <t>Resistor7.5k 1/1005size 50V/0.1W</t>
  </si>
  <si>
    <t>RIT01644-FBN</t>
  </si>
  <si>
    <t>Resistor1.3k 1/1005size 50V/0.1W</t>
  </si>
  <si>
    <t>RIT01645-FBN</t>
  </si>
  <si>
    <t>CAPACITOR0.33UF10/1005SIZE10V</t>
  </si>
  <si>
    <t>RIT01646-FBN</t>
  </si>
  <si>
    <t>CAPACITOR0.47UF10/1005SIZE10V</t>
  </si>
  <si>
    <t>RIT01647-FBN</t>
  </si>
  <si>
    <t>Resistor1k1/1005size 50V/0.1W</t>
  </si>
  <si>
    <t>RIT01648-FBN</t>
  </si>
  <si>
    <t>RIT01649-FBN</t>
  </si>
  <si>
    <t>Resistor4.3k0.5/1005size 25V/0.063W</t>
  </si>
  <si>
    <t>RIT01650-FBN</t>
  </si>
  <si>
    <t>Resistor11/1005size50V/0.1W</t>
  </si>
  <si>
    <t>RIT01651-FBN</t>
  </si>
  <si>
    <t>Resistor220 0.5/1005size 25V/0.063W</t>
  </si>
  <si>
    <t>RIT01652-FBN</t>
  </si>
  <si>
    <t>Resistor1k0.1/1005size25V/0.063W</t>
  </si>
  <si>
    <t>RIT01653-FBN</t>
  </si>
  <si>
    <t>Array/Resistor105/0603size12.5V/0.031W/2</t>
  </si>
  <si>
    <t>RIT01654-FBN</t>
  </si>
  <si>
    <t>Resistor7.5k0.5/1005size 25V/0.063W</t>
  </si>
  <si>
    <t>RIT01655-FBN</t>
  </si>
  <si>
    <t>Resistor101/1005size 50V/0.1W</t>
  </si>
  <si>
    <t>RIT01656-FBN</t>
  </si>
  <si>
    <t>Resistor100k5/0603size12.5V/0.031W/4</t>
  </si>
  <si>
    <t>RIT01657-FBN</t>
  </si>
  <si>
    <t>BASIC VOLTAGE SUPPLY</t>
  </si>
  <si>
    <t>RIT01658-FBN</t>
  </si>
  <si>
    <t>Resistor0.221/1608size0.25W</t>
  </si>
  <si>
    <t>RIT01659-FBN</t>
  </si>
  <si>
    <t>RIT01660-FBN</t>
  </si>
  <si>
    <t>Resistor2.0k0.1/1005size 50V/0.063W</t>
  </si>
  <si>
    <t>RIT01661-FBN</t>
  </si>
  <si>
    <t>CHIP FERRITE BEAD330OHM1005SIZE0.7A</t>
  </si>
  <si>
    <t>RIT01662-FBN</t>
  </si>
  <si>
    <t>Resistor10k1/1005size 50V/0.1W</t>
  </si>
  <si>
    <t>RIT01663-FBN</t>
  </si>
  <si>
    <t>8:1 MUX</t>
  </si>
  <si>
    <t>RIT01664-FBN</t>
  </si>
  <si>
    <t>CAPACITOR1.0UF10/1005SIZE10V</t>
  </si>
  <si>
    <t>RIT01665-FBN</t>
  </si>
  <si>
    <t>CAPACITOR22UF 20/2012SIZE10V</t>
  </si>
  <si>
    <t>RIT01666-FBN</t>
  </si>
  <si>
    <t>Resistance10k5/0603size4 12.5V / 0.031W</t>
  </si>
  <si>
    <t>RIT01667-FBN</t>
  </si>
  <si>
    <t>Resistor 105/0603size12.5V/0.031W/4</t>
  </si>
  <si>
    <t>RIT01668-FBN</t>
  </si>
  <si>
    <t>Resistor24k0.1/1005size25V/0.063W</t>
  </si>
  <si>
    <t>RIT01669-FBN</t>
  </si>
  <si>
    <t>Resistor21/2012size0.5W</t>
  </si>
  <si>
    <t>RIT01670-FBN</t>
  </si>
  <si>
    <t>RIT01671-FBN</t>
  </si>
  <si>
    <t>Resistor3.3k 1/1005size 50V/0.1W</t>
  </si>
  <si>
    <t>RIT01672-FBN</t>
  </si>
  <si>
    <t>RIT01673-FBN</t>
  </si>
  <si>
    <t>RESISTOR0.221/2012SIZE1W</t>
  </si>
  <si>
    <t>RIT01674-FBN</t>
  </si>
  <si>
    <t>22PF5/1005SIZE50V-55125DEGREEC/0.55MM</t>
  </si>
  <si>
    <t>RIT01675-FBN</t>
  </si>
  <si>
    <t>10PF5/1005SIZE50V-55125DEGREEC/0.55MM</t>
  </si>
  <si>
    <t>RIT01676-FBN</t>
  </si>
  <si>
    <t>CHIP FERRITE BEAD/330OHM/1005SIZE/0.7A</t>
  </si>
  <si>
    <t>RIT01677-FBN</t>
  </si>
  <si>
    <t>REGULATOR</t>
  </si>
  <si>
    <t>RIT01678-FBN</t>
  </si>
  <si>
    <t>RESISTANCE10.5/0603SIZE12.5V/0.031W/4</t>
  </si>
  <si>
    <t>RIT01679-FBN</t>
  </si>
  <si>
    <t>RESISTANCE100K 5/0603SIZE12.5V/0.031W/4</t>
  </si>
  <si>
    <t>RIT01680-FBN</t>
  </si>
  <si>
    <t>RESISTOR10K1/1005SIZE50V/0.1W</t>
  </si>
  <si>
    <t>RIT01681-FBN</t>
  </si>
  <si>
    <t>RESISTOR140K1/1005SIZE50V/0.1W</t>
  </si>
  <si>
    <t>RIT01682-FBN</t>
  </si>
  <si>
    <t>RESISTANCE1K5/0603SIZE2 12.5V/0.031W</t>
  </si>
  <si>
    <t>RIT01683-FBN</t>
  </si>
  <si>
    <t>RESISTOR680.1/1005SIZE50V/0.1W</t>
  </si>
  <si>
    <t>RIT01684-FBN</t>
  </si>
  <si>
    <t>RESISTOR240 1/1005SIZE50V/0.1W</t>
  </si>
  <si>
    <t>RIT01685-FBN</t>
  </si>
  <si>
    <t>RESISTOR7.5K 0.1/1005SIZE75V/0.063W</t>
  </si>
  <si>
    <t>RIT01686-FBN</t>
  </si>
  <si>
    <t>RIT01687-FBN</t>
  </si>
  <si>
    <t>CHIP FERRITE BEAD220OHM2012SIZE3.0A</t>
  </si>
  <si>
    <t>RIT01688-FBN</t>
  </si>
  <si>
    <t>RIT01689-FBN</t>
  </si>
  <si>
    <t>CAPACITOR4.7UF10/1608SIZE10V</t>
  </si>
  <si>
    <t>RIT01690-FBN</t>
  </si>
  <si>
    <t>CAPACITOR0.015UF10/1005SIZE16V</t>
  </si>
  <si>
    <t>RIT01691-FBN</t>
  </si>
  <si>
    <t>CAPACITOR47UF 20/2012SIZE4V</t>
  </si>
  <si>
    <t>RIT01692-FBN</t>
  </si>
  <si>
    <t>RIT01693-FBN</t>
  </si>
  <si>
    <t>CHIP FERRITE BEAD600OHM1005SIZE300MA</t>
  </si>
  <si>
    <t>RIT01694-FBN</t>
  </si>
  <si>
    <t>CHIP FERRITE BEAD330OHM2012SIZE2.5A</t>
  </si>
  <si>
    <t>RIT01695-FBN</t>
  </si>
  <si>
    <t>RIT01696-FBN</t>
  </si>
  <si>
    <t>RIT01697-FBN</t>
  </si>
  <si>
    <t>RIT01698-FBN</t>
  </si>
  <si>
    <t>RIT01699-FBN</t>
  </si>
  <si>
    <t>INDUCTOR4.7UH3030SIZE1020MA</t>
  </si>
  <si>
    <t>RIT01700-FBN</t>
  </si>
  <si>
    <t>2.2UH1005SIZE350MA-55125DEGREEC/0.55MM</t>
  </si>
  <si>
    <t>RIT01701-FBN</t>
  </si>
  <si>
    <t>RESISTOR0.11/2012SIZE1W</t>
  </si>
  <si>
    <t>RIT01702-FBN</t>
  </si>
  <si>
    <t>RESISTOR10K1/0603SIZE50V/0.1W</t>
  </si>
  <si>
    <t>RIT01703-FBN</t>
  </si>
  <si>
    <t>RIT01704-FBN</t>
  </si>
  <si>
    <t>RESISTOR9.1K1/0603SIZE25V/0.05W</t>
  </si>
  <si>
    <t>RIT01705-FBN</t>
  </si>
  <si>
    <t>RESISTOR100/0.5/1005SIZE25V/0.063W</t>
  </si>
  <si>
    <t>RIT01706-FBN</t>
  </si>
  <si>
    <t>RIT01707-FBN</t>
  </si>
  <si>
    <t>RESISTOR6.8K0.1/1005SIZE75V/0.063W</t>
  </si>
  <si>
    <t>RIT01708-FBN</t>
  </si>
  <si>
    <t>RESISTOR100/0.1/1005SIZE75V/0.063W</t>
  </si>
  <si>
    <t>RIT01709-FBN</t>
  </si>
  <si>
    <t>RESISTOR100K1/1005SIZE50V/0.1W</t>
  </si>
  <si>
    <t>RIT01710-FBN</t>
  </si>
  <si>
    <t>RESISTOR24K 0.1/1005SIZE75V/0.063W</t>
  </si>
  <si>
    <t>RIT01711-FBN</t>
  </si>
  <si>
    <t>RESISTOR100 1/1005SIZE50V/0.1W</t>
  </si>
  <si>
    <t>RIT01712-FBN</t>
  </si>
  <si>
    <t>RESISTOR0.1 1/1608SIZE0.25W</t>
  </si>
  <si>
    <t>RIT01713-FBN</t>
  </si>
  <si>
    <t>RESISTOR0.5 1/1220SIZE150V/0.5W</t>
  </si>
  <si>
    <t>RIT01714-FBN</t>
  </si>
  <si>
    <t>RESISTOR200 0.1/1005SIZE75V/0.063W</t>
  </si>
  <si>
    <t>RIT01715-FBN</t>
  </si>
  <si>
    <t>RESISTOR3K 0.1/1005SIZE75V/0.063W</t>
  </si>
  <si>
    <t>RIT01716-FBN</t>
  </si>
  <si>
    <t>RESISTOR5.1K 1/1005SIZE50V/0.1W</t>
  </si>
  <si>
    <t>RIT01717-FBN</t>
  </si>
  <si>
    <t>RESISTOR6.8K 0.1/1005SIZE75V/0.063W</t>
  </si>
  <si>
    <t>RIT01718-FBN</t>
  </si>
  <si>
    <t>RESISTOR4.7K 0.1/1005SIZE75V/0.063W</t>
  </si>
  <si>
    <t>RIT01719-FBN</t>
  </si>
  <si>
    <t>RESISTOR750 0.1/1005SIZE75V/0.063W</t>
  </si>
  <si>
    <t>RIT01720-FBN</t>
  </si>
  <si>
    <t>RESISTOR0.047 1/1608SIZE0.2W</t>
  </si>
  <si>
    <t>RIT01721-FBN</t>
  </si>
  <si>
    <t>RESISTOR100 0.1/1005SIZE75V/0.063W</t>
  </si>
  <si>
    <t>RIT01722-FBN</t>
  </si>
  <si>
    <t>RESISTOR51 0.1/1005SIZE75V/0.063W</t>
  </si>
  <si>
    <t>RIT01723-FBN</t>
  </si>
  <si>
    <t>RESISTOR330 0.1/1005SIZE75V/0.063W</t>
  </si>
  <si>
    <t>RIT01724-FBN</t>
  </si>
  <si>
    <t>LED-FPC-PCB002</t>
  </si>
  <si>
    <t>RIT01725-FBN</t>
  </si>
  <si>
    <t>CAPACITOR0.033UF10/1005SIZE16V</t>
  </si>
  <si>
    <t>RIT01726-FBN</t>
  </si>
  <si>
    <t>CAPACITOR0.01UF10/1005SIZE25V</t>
  </si>
  <si>
    <t>RIT01727-FBN</t>
  </si>
  <si>
    <t>RIT01730-FBN</t>
  </si>
  <si>
    <t>N/PCH FET</t>
  </si>
  <si>
    <t>RIT01731-FBN</t>
  </si>
  <si>
    <t>RIT01732-FBN</t>
  </si>
  <si>
    <t>40125DEGREEC / 0.50MM</t>
  </si>
  <si>
    <t>RIT01733-FBN</t>
  </si>
  <si>
    <t>2085DEGREEC / 1.90MM</t>
  </si>
  <si>
    <t>RIT01734-FBN</t>
  </si>
  <si>
    <t>2.2UH2016S2.5A-40125/1.00MM/DCR=0.087OHM</t>
  </si>
  <si>
    <t>RIT01735-FBN</t>
  </si>
  <si>
    <t>RESISTOR3.3K1/0603SIZE25V/0.05W</t>
  </si>
  <si>
    <t>RIT01736-FBN</t>
  </si>
  <si>
    <t>RESISTOR91K0.1/1005SIZE75V/0.063W</t>
  </si>
  <si>
    <t>RIT01737-FBN</t>
  </si>
  <si>
    <t>RESISTOR7.5K0.1/1005SIZE75V/0.063W</t>
  </si>
  <si>
    <t>RIT01738-FBN</t>
  </si>
  <si>
    <t>RESISTOR4.7K0.1/1005SIZE75V/0.063W</t>
  </si>
  <si>
    <t>RIT01739-FBN</t>
  </si>
  <si>
    <t>RESISTOR100K 1/1005SIZE50V/0.1W</t>
  </si>
  <si>
    <t>RIT01740-FBN</t>
  </si>
  <si>
    <t>PCB FLM-BB-ER05</t>
  </si>
  <si>
    <t>RIT01741-FBN</t>
  </si>
  <si>
    <t>RIT01742-FBN</t>
  </si>
  <si>
    <t>FLM-BB-JU03A</t>
  </si>
  <si>
    <t>RIT01743-FBN</t>
  </si>
  <si>
    <t>RIT01744-FBN</t>
  </si>
  <si>
    <t>22PF 5/1005SIZE50V-55125DEGREEC /0.55MM</t>
  </si>
  <si>
    <t>RIT01745-FBN</t>
  </si>
  <si>
    <t>10PF5/1005SIZE 50V-55125DEGREEC / 0.55MM</t>
  </si>
  <si>
    <t>RIT01746-FBN</t>
  </si>
  <si>
    <t>RIT01747-FBN</t>
  </si>
  <si>
    <t>2.2UH2016S2.5A-40125C/1MM/DCR=0.087OHM</t>
  </si>
  <si>
    <t>RIT01748-FBN</t>
  </si>
  <si>
    <t>2.2UH1005SIZE 350MA-55?125DEGREEC/0.55MM</t>
  </si>
  <si>
    <t>RIT01749-FBN</t>
  </si>
  <si>
    <t>40/125DEGREEC/0.50MM</t>
  </si>
  <si>
    <t>RIT01750-FBN</t>
  </si>
  <si>
    <t>20/85DEGREEC/1.90MM</t>
  </si>
  <si>
    <t>RIT01752-FBN</t>
  </si>
  <si>
    <t>CAPACITOR2.2UF 10/1005SIZE10V</t>
  </si>
  <si>
    <t>RIT01753-FBN</t>
  </si>
  <si>
    <t>RIT01754-FBN</t>
  </si>
  <si>
    <t>RIT01755-FBN</t>
  </si>
  <si>
    <t>CAPACITOR22PF5/1005SIZE25V</t>
  </si>
  <si>
    <t>RIT01756-FBN</t>
  </si>
  <si>
    <t>CAPACITOR1000PF5/1005SIZE50V</t>
  </si>
  <si>
    <t>RIT01757-FBN</t>
  </si>
  <si>
    <t>DUAL P-CH FET</t>
  </si>
  <si>
    <t>RIT01758-FBN</t>
  </si>
  <si>
    <t>INDUCTOR10UH2020SIZE470MA</t>
  </si>
  <si>
    <t>RIT01759-FBN</t>
  </si>
  <si>
    <t>RESISTOR91K0.5/1005SIZE 25V/0.063W</t>
  </si>
  <si>
    <t>RIT01760-FBN</t>
  </si>
  <si>
    <t>RESISTANCE10K5/0603S.2ELEMENT12.5V/0.031</t>
  </si>
  <si>
    <t>RIT01761-FBN</t>
  </si>
  <si>
    <t>RESISTOR1K 0.1/1005SIZE75V/0.063W</t>
  </si>
  <si>
    <t>RIT01762-FBN</t>
  </si>
  <si>
    <t>RIT01763-FBN</t>
  </si>
  <si>
    <t>RJN00001-FEC</t>
  </si>
  <si>
    <t>FLM-LC53A-02</t>
  </si>
  <si>
    <t>RJN00002-FEC</t>
  </si>
  <si>
    <t>FLM-SL53A</t>
  </si>
  <si>
    <t>RJN00003-FEC</t>
  </si>
  <si>
    <t>FLM-CH53A</t>
  </si>
  <si>
    <t>RJN00004-FEC</t>
  </si>
  <si>
    <t>FLM-SI53A</t>
  </si>
  <si>
    <t>RJN00005-FEC</t>
  </si>
  <si>
    <t>FLM-HN72</t>
  </si>
  <si>
    <t>RJN00006-FEC</t>
  </si>
  <si>
    <t>FLM-TH53A</t>
  </si>
  <si>
    <t>RJN00007-FEC</t>
  </si>
  <si>
    <t>Sumitube F4Z 2.3mm</t>
  </si>
  <si>
    <t>RJN00008-FEC</t>
  </si>
  <si>
    <t>FLM-PD55A</t>
  </si>
  <si>
    <t>RJN00009-FEC</t>
  </si>
  <si>
    <t>FLM-PR28 PNOD26-PSM-210513</t>
  </si>
  <si>
    <t>RJN00010-FEC</t>
  </si>
  <si>
    <t>FLM-FS39 FLM-FB40x_210702</t>
  </si>
  <si>
    <t>RJN00011-FEC</t>
  </si>
  <si>
    <t>FLM-PK75 FLM-PK74A-2</t>
  </si>
  <si>
    <t>RJN00012-FEC</t>
  </si>
  <si>
    <t>FLM-IS54 FLM-Isxx_210308</t>
  </si>
  <si>
    <t>RJN00013-FEC</t>
  </si>
  <si>
    <t>FLM-PE54A KCMT032C27</t>
  </si>
  <si>
    <t>RJN00014-FEC</t>
  </si>
  <si>
    <t>FLM-PL35 Lid for FLM-PK74A-2</t>
  </si>
  <si>
    <t>RJN00015-FEC</t>
  </si>
  <si>
    <t>FLM-PD57</t>
  </si>
  <si>
    <t>RJN00017-FEC</t>
  </si>
  <si>
    <t>FLM-FAW27AB-1.3F</t>
  </si>
  <si>
    <t>RJN00018-FEC</t>
  </si>
  <si>
    <t>FLM-FS40</t>
  </si>
  <si>
    <t>RJN00019-FEC</t>
  </si>
  <si>
    <t>PLC WAVELENGTH LOCKER : 430-S0546-BA01</t>
  </si>
  <si>
    <t>RJN00020-FEC</t>
  </si>
  <si>
    <t>FLM-FS38B</t>
  </si>
  <si>
    <t>RJN00021-FEC</t>
  </si>
  <si>
    <t>FLM-FAW26CB-1.3F</t>
  </si>
  <si>
    <t>RJN00022-FEC</t>
  </si>
  <si>
    <t>SILVER PASTE</t>
  </si>
  <si>
    <t>ABLESTIK84-1LMIT1 (PC@10GM)</t>
  </si>
  <si>
    <t>RJN00024-FEC</t>
  </si>
  <si>
    <t>FLM-FAW27BA-1.3F</t>
  </si>
  <si>
    <t>RJN00026-VLK</t>
  </si>
  <si>
    <t>LOCTITE ABLESTIK 84-1LMIT1</t>
  </si>
  <si>
    <t>RJN00029-FEC</t>
  </si>
  <si>
    <t>RJN00030-FEC</t>
  </si>
  <si>
    <t>FLM-IS44A</t>
  </si>
  <si>
    <t>RJN00031-FEC</t>
  </si>
  <si>
    <t>FLM-IS54B</t>
  </si>
  <si>
    <t>RJN00032-FEC</t>
  </si>
  <si>
    <t>SINGLE LENS  R350 (FLM-SI53B)</t>
  </si>
  <si>
    <t>RJN00033-FEC</t>
  </si>
  <si>
    <t>FLM-FAW27CB-1.3F</t>
  </si>
  <si>
    <t>RJNIT002-FEC</t>
  </si>
  <si>
    <t>FLM-IH72A</t>
  </si>
  <si>
    <t>RJNIT003-FEC</t>
  </si>
  <si>
    <t>F-1425EB-03_00030014025U 1.4*2.5</t>
  </si>
  <si>
    <t>RJNIT004-FEC</t>
  </si>
  <si>
    <t>F-1418N-01_000500140183 1.4*1.8</t>
  </si>
  <si>
    <t>RJNIT005-FEC</t>
  </si>
  <si>
    <t>CPVS-0.3F</t>
  </si>
  <si>
    <t>RJNIT006-FEC</t>
  </si>
  <si>
    <t>6550H-0.5 (5.5mm*8.5mm)</t>
  </si>
  <si>
    <t>RJNIT007-FEC</t>
  </si>
  <si>
    <t>6550H-0.5 (1.1mm*1.5mm)</t>
  </si>
  <si>
    <t>RJNIT008-FEC</t>
  </si>
  <si>
    <t>FLM-TSC54A</t>
  </si>
  <si>
    <t>RJNIT009-FEC</t>
  </si>
  <si>
    <t>FLM-TSC53A</t>
  </si>
  <si>
    <t>RJNIT010-FEC</t>
  </si>
  <si>
    <t>FLM-TC12 ( EYGR0101FDLF )</t>
  </si>
  <si>
    <t>RJNIT011-FEC</t>
  </si>
  <si>
    <t>FLM-EB-PH06</t>
  </si>
  <si>
    <t>RJNIT012-FEC</t>
  </si>
  <si>
    <t>RJNIT014-FEC</t>
  </si>
  <si>
    <t>NANO LABEL</t>
  </si>
  <si>
    <t>RJNIT015-FEC</t>
  </si>
  <si>
    <t>FLM-EB-PH07</t>
  </si>
  <si>
    <t>RJNIT016-FEC</t>
  </si>
  <si>
    <t>NANO ITLA SERIAL LABEL</t>
  </si>
  <si>
    <t>111166-200520 (ROLL@1000PCS)</t>
  </si>
  <si>
    <t>RJNIT017-FBN</t>
  </si>
  <si>
    <t>RJNIT018-FEC</t>
  </si>
  <si>
    <t>RJNIT019-FEC</t>
  </si>
  <si>
    <t>RJNIT020-FEC</t>
  </si>
  <si>
    <t>RJNIT021-FBN</t>
  </si>
  <si>
    <t>FLM-EB-PH08</t>
  </si>
  <si>
    <t>RJNIT022-KAT</t>
  </si>
  <si>
    <t>RJNIT023-FEC</t>
  </si>
  <si>
    <t>FLM-TC19</t>
  </si>
  <si>
    <t>RJNIT024-FEC</t>
  </si>
  <si>
    <t>TLS-A4-21-100</t>
  </si>
  <si>
    <t>RJNIT025-FEC</t>
  </si>
  <si>
    <t>111166-200520-18mm (ROLL@1000PCS)</t>
  </si>
  <si>
    <t>RJNIT026-FEC</t>
  </si>
  <si>
    <t>111166-200520-30mm (ROLL@1000PCS)</t>
  </si>
  <si>
    <t>RJNIT027-FEC</t>
  </si>
  <si>
    <t>RJNIT028-FBN</t>
  </si>
  <si>
    <t>FLM-EB-PH08A</t>
  </si>
  <si>
    <t>RJNIT029-KAT</t>
  </si>
  <si>
    <t>RJNIT030-FEC</t>
  </si>
  <si>
    <t>FLM-TC19B</t>
  </si>
  <si>
    <t>RJNIT031-FEC</t>
  </si>
  <si>
    <t>FLM-IH74A</t>
  </si>
  <si>
    <t>RJNIT032-FEC</t>
  </si>
  <si>
    <t>FLM-TSC55A</t>
  </si>
  <si>
    <t>RJNIT033-FEC</t>
  </si>
  <si>
    <t>FLM-TSC55B</t>
  </si>
  <si>
    <t>RJNIT034-FEC</t>
  </si>
  <si>
    <t>CPVS-0.3F SERIES</t>
  </si>
  <si>
    <t>RJNIT035-FEC</t>
  </si>
  <si>
    <t>FLM-LBP07A (ROLL@1000PCS)</t>
  </si>
  <si>
    <t>RJNIT036-FEC</t>
  </si>
  <si>
    <t>FLM-FX12</t>
  </si>
  <si>
    <t>RJNIT037-KAT</t>
  </si>
  <si>
    <t>FLM-EB-PH18</t>
  </si>
  <si>
    <t>RJU00001-FEC</t>
  </si>
  <si>
    <t>FLM-IH47A</t>
  </si>
  <si>
    <t>RJU00002-FEC</t>
  </si>
  <si>
    <t>FLM-IH48A</t>
  </si>
  <si>
    <t>RJU00003-FEC</t>
  </si>
  <si>
    <t>FLM-IH49A</t>
  </si>
  <si>
    <t>RJU00004-FEC</t>
  </si>
  <si>
    <t>FLM-IH50A</t>
  </si>
  <si>
    <t>RJU00005-FEC</t>
  </si>
  <si>
    <t>FLM-IH51A</t>
  </si>
  <si>
    <t>RJU00006-FEC</t>
  </si>
  <si>
    <t>FLM-IH53A</t>
  </si>
  <si>
    <t>RJU00007-FEC</t>
  </si>
  <si>
    <t>FLM-IH54A</t>
  </si>
  <si>
    <t>RJU00008-FEC</t>
  </si>
  <si>
    <t>FLM-IH52A</t>
  </si>
  <si>
    <t>RJU00009-FEC</t>
  </si>
  <si>
    <t>RJU00010-FEC</t>
  </si>
  <si>
    <t>CPVS-0.5F</t>
  </si>
  <si>
    <t>RJU00011-FEC</t>
  </si>
  <si>
    <t>CPVS-0.3F-003005 R1600</t>
  </si>
  <si>
    <t>RJU00012-FEC</t>
  </si>
  <si>
    <t>CPVS-0.5F-003005 R1600</t>
  </si>
  <si>
    <t>RJU00013-FEC</t>
  </si>
  <si>
    <t>CPVS-0.3F-003005Y</t>
  </si>
  <si>
    <t>RJU00014-FEC</t>
  </si>
  <si>
    <t>CPVS-0.3F-003007 R1122</t>
  </si>
  <si>
    <t>RJU00015-FEC</t>
  </si>
  <si>
    <t>FLM-EB-JU03</t>
  </si>
  <si>
    <t>RJU00016-FEC</t>
  </si>
  <si>
    <t>FLM-EB-JU04</t>
  </si>
  <si>
    <t>RJU00017-FEC</t>
  </si>
  <si>
    <t>FLM-TC07</t>
  </si>
  <si>
    <t>RJU00018-FBN</t>
  </si>
  <si>
    <t>FLM-EB-JU03, revision 1.00.4</t>
  </si>
  <si>
    <t>RJU00019-FBN</t>
  </si>
  <si>
    <t>FLM-EB-JU04, revision 1.00.0</t>
  </si>
  <si>
    <t>RJU00020-FEC</t>
  </si>
  <si>
    <t>FLM-IH62A</t>
  </si>
  <si>
    <t>RJU00021-FEC</t>
  </si>
  <si>
    <t>FLM-IH63A</t>
  </si>
  <si>
    <t>RJU00022-FEC</t>
  </si>
  <si>
    <t>FLM-IH60A</t>
  </si>
  <si>
    <t>RJU00023-FEC</t>
  </si>
  <si>
    <t>FLM-IH61A</t>
  </si>
  <si>
    <t>RJU00024-FEC</t>
  </si>
  <si>
    <t>FLM-IH64A</t>
  </si>
  <si>
    <t>RJU00025-FEC</t>
  </si>
  <si>
    <t>CPVS-0.3F-003013 Y</t>
  </si>
  <si>
    <t>RJU00026-FEC</t>
  </si>
  <si>
    <t>CPVS-0.5F-003005S2 R264</t>
  </si>
  <si>
    <t>RJU00027-FBN</t>
  </si>
  <si>
    <t>FLM-EB-JU05</t>
  </si>
  <si>
    <t>RJU00028-FEC</t>
  </si>
  <si>
    <t>FLM-IH65A</t>
  </si>
  <si>
    <t>RJU00030-FEC</t>
  </si>
  <si>
    <t>FLM-IH66</t>
  </si>
  <si>
    <t>RJU00031-FEC</t>
  </si>
  <si>
    <t>FLM-IH67</t>
  </si>
  <si>
    <t>RJU00032-FEC</t>
  </si>
  <si>
    <t>FLM-IH68</t>
  </si>
  <si>
    <t>RJU00033-FEC</t>
  </si>
  <si>
    <t>FLM-IH69</t>
  </si>
  <si>
    <t>RJU00035-FEC</t>
  </si>
  <si>
    <t>SNZS-M1-3</t>
  </si>
  <si>
    <t>RJU00036-FEC</t>
  </si>
  <si>
    <t>FLM-TC08 CPVS-0.3F-003005 R1600</t>
  </si>
  <si>
    <t>RJU00037-FEC</t>
  </si>
  <si>
    <t>CPVS-0.3F-005013Y</t>
  </si>
  <si>
    <t>RJU00038-FEC</t>
  </si>
  <si>
    <t>FLM-TC10 CPVS-0.3F-005013Y</t>
  </si>
  <si>
    <t>RJU00039-FEC</t>
  </si>
  <si>
    <t>FLM-TC11 CPVS-0.3F-003007 R1122</t>
  </si>
  <si>
    <t>RJU00040-FEC</t>
  </si>
  <si>
    <t>FLM-IH49B</t>
  </si>
  <si>
    <t>RJU00041-FEC</t>
  </si>
  <si>
    <t>FLM-IH50B</t>
  </si>
  <si>
    <t>RJU00042-FEC</t>
  </si>
  <si>
    <t>MACROS F3.5 M705</t>
  </si>
  <si>
    <t>RJU00043-FEC</t>
  </si>
  <si>
    <t>FLM-IH56</t>
  </si>
  <si>
    <t>RJU00044-FEC</t>
  </si>
  <si>
    <t>FLM-IH57</t>
  </si>
  <si>
    <t>RJU00045-FEC</t>
  </si>
  <si>
    <t>FLM-IH58</t>
  </si>
  <si>
    <t>RJU00046-FEC</t>
  </si>
  <si>
    <t>U-1430-03</t>
  </si>
  <si>
    <t>RJU00047-FEC</t>
  </si>
  <si>
    <t>U-1450-03</t>
  </si>
  <si>
    <t>RJU00048-FBN</t>
  </si>
  <si>
    <t>FLM-EB-GE03 Revision 1.02.0</t>
  </si>
  <si>
    <t>RJU00049-FEC</t>
  </si>
  <si>
    <t>CPVS-0.5F-200500</t>
  </si>
  <si>
    <t>RJU00050-FEC</t>
  </si>
  <si>
    <t>CPVS-0.3F-200500 SP</t>
  </si>
  <si>
    <t>RJU00051-FBN</t>
  </si>
  <si>
    <t>FLM-EB-JU04 Cleaning</t>
  </si>
  <si>
    <t>RJU00052-FBN</t>
  </si>
  <si>
    <t>FLM-EB-JU05 Cleaning</t>
  </si>
  <si>
    <t>RJU00053-KIS</t>
  </si>
  <si>
    <t>MACROS F3.5 M705 0.3MM</t>
  </si>
  <si>
    <t>RJU00054-FBN</t>
  </si>
  <si>
    <t>FLM-EB-JU06</t>
  </si>
  <si>
    <t>RJU00055-FEC</t>
  </si>
  <si>
    <t>FLM-EB-GE03</t>
  </si>
  <si>
    <t>RJU00056-FBN</t>
  </si>
  <si>
    <t>FLM-EB-JU14</t>
  </si>
  <si>
    <t>RJU00057-FEC</t>
  </si>
  <si>
    <t>FLM-EB-LE02</t>
  </si>
  <si>
    <t>RJU00058-FEC</t>
  </si>
  <si>
    <t>CPVS-0.5F-200300(SHEET@122PC)</t>
  </si>
  <si>
    <t>RJU00059-FEC</t>
  </si>
  <si>
    <t>FLM-EB-JU06 (KATOLEC)</t>
  </si>
  <si>
    <t>RJU00060-FEC</t>
  </si>
  <si>
    <t>FLM-IH60x</t>
  </si>
  <si>
    <t>RJU00065-FEC</t>
  </si>
  <si>
    <t>FLM-IH53B</t>
  </si>
  <si>
    <t>RJU00066-FEC</t>
  </si>
  <si>
    <t>FLM-IH54B</t>
  </si>
  <si>
    <t>RJU00067-FEC</t>
  </si>
  <si>
    <t>FLM-IH63B</t>
  </si>
  <si>
    <t>RJU00068-FEC</t>
  </si>
  <si>
    <t>FLM-IH65B</t>
  </si>
  <si>
    <t>RJU00069-KAT</t>
  </si>
  <si>
    <t>FLM-EB-JU06C</t>
  </si>
  <si>
    <t>RJU00070-KAT</t>
  </si>
  <si>
    <t>FLM-EB-GE03C</t>
  </si>
  <si>
    <t>RJU00071-KAT</t>
  </si>
  <si>
    <t>RJU00072-FEC</t>
  </si>
  <si>
    <t>FLM-IH60C</t>
  </si>
  <si>
    <t>RJU00073-FEC</t>
  </si>
  <si>
    <t>FLM-IH61C</t>
  </si>
  <si>
    <t>RJU00074-FEC</t>
  </si>
  <si>
    <t>FLM-IH65C</t>
  </si>
  <si>
    <t>RJU00075-FEC</t>
  </si>
  <si>
    <t>FLM-IH63C</t>
  </si>
  <si>
    <t>RJU00076-KAT</t>
  </si>
  <si>
    <t>RJU00077-FEC</t>
  </si>
  <si>
    <t>SILVER LABEL WITHOUT (FITEL) LOGO</t>
  </si>
  <si>
    <t>RJU00078-FEC</t>
  </si>
  <si>
    <t>RKNAI028-FTC</t>
  </si>
  <si>
    <t>EPDM RUBBER RIVET</t>
  </si>
  <si>
    <t>RKNAI042-SAN</t>
  </si>
  <si>
    <t>LOWER CASE / 4 B-VA : S9-MM-07656-E</t>
  </si>
  <si>
    <t>RKNAI043-SAN</t>
  </si>
  <si>
    <t>LID / 4 B-VA : S9-MM-07657-C</t>
  </si>
  <si>
    <t>RKNAI044-SAN</t>
  </si>
  <si>
    <t>GUIDE PART / FIXING PART : S9-MM-07651-E</t>
  </si>
  <si>
    <t>RKNAI045-SAN</t>
  </si>
  <si>
    <t>LOWER CASE / 8 B-VA : S9-MM-07652-E</t>
  </si>
  <si>
    <t>RKNAI046-SAN</t>
  </si>
  <si>
    <t>SUB CASE / 8 B-VA : S9-MM-07653-C</t>
  </si>
  <si>
    <t>RKNAI047-SAN</t>
  </si>
  <si>
    <t>UPPER CASE / 8 B-VA : S9-MM-07654-C</t>
  </si>
  <si>
    <t>RKNAI048-SAN</t>
  </si>
  <si>
    <t>LID / 8 B-VA : S9-MM-07655-B</t>
  </si>
  <si>
    <t>RKNAI051-FOC</t>
  </si>
  <si>
    <t>1X4 PLC SPLITTER (38X4X4MM-IL MAX7.4DB)</t>
  </si>
  <si>
    <t>RKNAI052-FOC</t>
  </si>
  <si>
    <t>1X2 PLC SPLITTER (38X4X4,IL MAX3.6)</t>
  </si>
  <si>
    <t>RKNAI052-SHO</t>
  </si>
  <si>
    <t>1x8 SPLITTER (FUJIKURA FIBER)</t>
  </si>
  <si>
    <t>RKNAI053-FOC</t>
  </si>
  <si>
    <t>1X8 PLC SPLITTER (40X4X4,IL MAX10.7)</t>
  </si>
  <si>
    <t>RKNAI053-SHO</t>
  </si>
  <si>
    <t>SILICON SPIRAL TUBE</t>
  </si>
  <si>
    <t>1X8PLC SPLITTER(40X4X4) (PSD-5811174-03)</t>
  </si>
  <si>
    <t>RKNAI056-FOC</t>
  </si>
  <si>
    <t>1x6 PLC Splitter</t>
  </si>
  <si>
    <t>RKNAI057-SHO</t>
  </si>
  <si>
    <t>OPTAGE LOGO SEAL</t>
  </si>
  <si>
    <t>RLF00001-YAN</t>
  </si>
  <si>
    <t>YOFC CS1016-A PROOF TEST (200KPSI)</t>
  </si>
  <si>
    <t>RMUTI004-SHO</t>
  </si>
  <si>
    <t>OPTICAL FIBER (BLUE) G-311241</t>
  </si>
  <si>
    <t>RMUTI005-SHO</t>
  </si>
  <si>
    <t>REINFORCED TUBE (YELLOW) G-375135B</t>
  </si>
  <si>
    <t>RMUTI011-SAN</t>
  </si>
  <si>
    <t>BOOTS: SSC-PH20WH</t>
  </si>
  <si>
    <t>RMUTI025-FFO</t>
  </si>
  <si>
    <t>RMUTI026-KSD</t>
  </si>
  <si>
    <t>Tray</t>
  </si>
  <si>
    <t>RMUTI027-KSD</t>
  </si>
  <si>
    <t>Insulation sheet</t>
  </si>
  <si>
    <t>RMUTI028-FFO</t>
  </si>
  <si>
    <t>Sponge (pc)</t>
  </si>
  <si>
    <t>RMUTI029-FFO</t>
  </si>
  <si>
    <t>Silicone spiral tube f2.5xL150 Blue</t>
  </si>
  <si>
    <t>RMUTI030-FFO</t>
  </si>
  <si>
    <t>PLC 2x1x8 Splitter</t>
  </si>
  <si>
    <t>RMUTI031-FFO</t>
  </si>
  <si>
    <t>Instruction Seal</t>
  </si>
  <si>
    <t>RMUTI032-FFO</t>
  </si>
  <si>
    <t>PTFE TAPE 5490(PC@10ME)</t>
  </si>
  <si>
    <t>RMUTI033-FOC</t>
  </si>
  <si>
    <t>1X16 PLC SPLITTER(O-SD-TS-4475-16-C0002)</t>
  </si>
  <si>
    <t>RMUTI034-SHO</t>
  </si>
  <si>
    <t>CONNECTION TRAY (B5MM7002)</t>
  </si>
  <si>
    <t>RMUTI035-SHO</t>
  </si>
  <si>
    <t>INSULATION SHEET</t>
  </si>
  <si>
    <t>TRAY HOLDER SHEET (B5MM1192)</t>
  </si>
  <si>
    <t>RMUTI036-SHO</t>
  </si>
  <si>
    <t>FIBER HOLDER SPONGE (B5MM1110)</t>
  </si>
  <si>
    <t>RMUTI038-SHO</t>
  </si>
  <si>
    <t>SILICON SPIRALTUBE (BLUE) (B5MM6908)</t>
  </si>
  <si>
    <t>RMUTI039-SHO</t>
  </si>
  <si>
    <t>ADHESIVE PLASTIC TAPE</t>
  </si>
  <si>
    <t>PVC TAPE No2107 TVH B5MM1815(1ROLL@20ME)</t>
  </si>
  <si>
    <t>RMUTI041-SHO</t>
  </si>
  <si>
    <t>REINFORCED TUBE (G-375135B)</t>
  </si>
  <si>
    <t>RNJFS001-FTC</t>
  </si>
  <si>
    <t>BRAND LABEL NJ001 (30A3270A)</t>
  </si>
  <si>
    <t>RNJFS001-HON</t>
  </si>
  <si>
    <t>IC HD64F38086RW10V</t>
  </si>
  <si>
    <t>RNJFS001-KAN</t>
  </si>
  <si>
    <t>PROTECTION FILM 75X130MM : 30A3345A</t>
  </si>
  <si>
    <t>RNJFS001-MIS</t>
  </si>
  <si>
    <t>SHIMS (PCIMRS4-5-0.1)</t>
  </si>
  <si>
    <t>SHIMS (PCIMRS4-5-0.1) (30PCS)</t>
  </si>
  <si>
    <t>RNJFS001-OHJ</t>
  </si>
  <si>
    <t>RNJFS001-TAI</t>
  </si>
  <si>
    <t>PARALLEL PIN H7 SUS 2×6 (30A3248A)</t>
  </si>
  <si>
    <t>RNJFS002-OHJ</t>
  </si>
  <si>
    <t>PEN HEAD SCREW M2X6L</t>
  </si>
  <si>
    <t>RNJFS003-OHJ</t>
  </si>
  <si>
    <t>RNJFS004-FTC</t>
  </si>
  <si>
    <t>BRAND LABEL EZD01A (30A3354A)</t>
  </si>
  <si>
    <t>RNJFS004-OHJ</t>
  </si>
  <si>
    <t>HEXAGON NUT TYPE3 M3</t>
  </si>
  <si>
    <t>RNJFS005-OHJ</t>
  </si>
  <si>
    <t>HEXAGON HEAD SET SCREWFLAT POINT M2×3L</t>
  </si>
  <si>
    <t>RNJFS006-OHJ</t>
  </si>
  <si>
    <t>RNJFS007-OHJ</t>
  </si>
  <si>
    <t>CROSS PAN HEAD SCREW M2X4L</t>
  </si>
  <si>
    <t>RNJFS008-OHJ</t>
  </si>
  <si>
    <t>CROSS PAN HEAD SCREW M3X6L</t>
  </si>
  <si>
    <t>RNJFS009-OHJ</t>
  </si>
  <si>
    <t>PEN HEAD P TIGHT 2X5L</t>
  </si>
  <si>
    <t>RNJFS011-OHJ</t>
  </si>
  <si>
    <t>CROSS PAN HEAD SCREW I=3 M3X6L</t>
  </si>
  <si>
    <t>RNJFS012-OHJ</t>
  </si>
  <si>
    <t>CROSS PAN HEAD SCREW I=1 M3X6L</t>
  </si>
  <si>
    <t>RNJFS013-OHJ</t>
  </si>
  <si>
    <t>HEXAGON HEAD CAP SCREW I=3 M3X6L</t>
  </si>
  <si>
    <t>RNJFS014-OHJ</t>
  </si>
  <si>
    <t>HEXAGON HEAD CAP SCREW P=2 M3X6L</t>
  </si>
  <si>
    <t>RNJFS015-OHJ</t>
  </si>
  <si>
    <t>0 PEN HEAD SCREW M2.5X4L</t>
  </si>
  <si>
    <t>RNJFS016-OHJ</t>
  </si>
  <si>
    <t>BENDING WASHER 3</t>
  </si>
  <si>
    <t>RNJFS017-OHJ</t>
  </si>
  <si>
    <t>CROSS PAN HEAD SCREW P=2 M3X6L</t>
  </si>
  <si>
    <t>RNJFS018-OHJ</t>
  </si>
  <si>
    <t>RNJFS118-CAM</t>
  </si>
  <si>
    <t>ELECTRODE TERMINAL COVER/30A2295G</t>
  </si>
  <si>
    <t>RNJFS156-KMC</t>
  </si>
  <si>
    <t>HEATER CLAMP SP-A/30A3333B</t>
  </si>
  <si>
    <t>RNJFS160-FEC</t>
  </si>
  <si>
    <t>RNJFS161-FEC</t>
  </si>
  <si>
    <t>RNJFS162-FEC</t>
  </si>
  <si>
    <t>RNJFS165-FEC</t>
  </si>
  <si>
    <t>AC CABLE CORD(UL)</t>
  </si>
  <si>
    <t>RNJFS167-FEC</t>
  </si>
  <si>
    <t>ELECTRODE SHARPENER</t>
  </si>
  <si>
    <t>ELECTRODE SHARPENER D-5111</t>
  </si>
  <si>
    <t>RNJFS169-FEC</t>
  </si>
  <si>
    <t>TIGHT HOLDER 16MM S712T-16 (L-R=1,S=4)</t>
  </si>
  <si>
    <t>RNJFS170-FEC</t>
  </si>
  <si>
    <t>SPARE ELECTRODES ELR-01 2PCS/PAIR</t>
  </si>
  <si>
    <t>RNJFS172-FEC</t>
  </si>
  <si>
    <t>INTERIOR MATERIAL HCC-07</t>
  </si>
  <si>
    <t>RNJFS174-FEC</t>
  </si>
  <si>
    <t>HI PACK HPS-01</t>
  </si>
  <si>
    <t>RNJFS175-FEC</t>
  </si>
  <si>
    <t>COOLLNG TRAY CTX-02</t>
  </si>
  <si>
    <t>RNJFS176-FEC</t>
  </si>
  <si>
    <t>PACKING CARDBOARD</t>
  </si>
  <si>
    <t>RNJFS177-FEC</t>
  </si>
  <si>
    <t>QUICK REFERENCE GUIDE (FTS-B492)</t>
  </si>
  <si>
    <t>RNJFS178-FEC</t>
  </si>
  <si>
    <t>QUICK REFERENCE GUIDE (FTS-B495)</t>
  </si>
  <si>
    <t>RNJFS179-FEC</t>
  </si>
  <si>
    <t>ROHS LABEL</t>
  </si>
  <si>
    <t>RNJFS180-FEC</t>
  </si>
  <si>
    <t>COMMON HOLDER (S712T-UN-L)</t>
  </si>
  <si>
    <t>RNJFS181-FEC</t>
  </si>
  <si>
    <t>COMMON HOLDER (S712T-UN-R)</t>
  </si>
  <si>
    <t>RNJFS182-FEC</t>
  </si>
  <si>
    <t>ET001 BRAND LABEL 30A3348A</t>
  </si>
  <si>
    <t>RNJFS183-FEC</t>
  </si>
  <si>
    <t>ET001 QUICK REFERENCE GUIDE FTS-B571</t>
  </si>
  <si>
    <t>RNJFS186-FEC</t>
  </si>
  <si>
    <t>BRAND LABEL FOR EZD01A</t>
  </si>
  <si>
    <t>RNJFS187-FEC</t>
  </si>
  <si>
    <t>BRAND LABEL FOR EZD01M2</t>
  </si>
  <si>
    <t>RNJFS188-FEC</t>
  </si>
  <si>
    <t>ARC BASE FOR EZD01M2</t>
  </si>
  <si>
    <t>RNJFS189-FEC</t>
  </si>
  <si>
    <t>ATS050T-P190(LEVEL VI) (COC TIER2)</t>
  </si>
  <si>
    <t>RNJFS191-FEC</t>
  </si>
  <si>
    <t>SEAL RING</t>
  </si>
  <si>
    <t>O RING NBR-70-1 M-60</t>
  </si>
  <si>
    <t>RNJFS192-FEC</t>
  </si>
  <si>
    <t>AC ADAPTER P/N : S978C</t>
  </si>
  <si>
    <t>RNJFS196-SVI</t>
  </si>
  <si>
    <t>FRW908-214576LF-R : AOMT-16001 UP TO M4</t>
  </si>
  <si>
    <t>RNJFU001-CHI</t>
  </si>
  <si>
    <t>IC R1LV0408DSA-5SI SRAM 4</t>
  </si>
  <si>
    <t>RNJFU001-EST</t>
  </si>
  <si>
    <t>CHIP MOSFET SH8J65TB1 2P-C</t>
  </si>
  <si>
    <t>RNJFU002-NAK</t>
  </si>
  <si>
    <t>WHITE OUTER FOAM BAG</t>
  </si>
  <si>
    <t>RNJFU003-COE</t>
  </si>
  <si>
    <t>C3216X5R1E476M160AC</t>
  </si>
  <si>
    <t>RNJFU003-SMI</t>
  </si>
  <si>
    <t>EPCQ4ASI8N</t>
  </si>
  <si>
    <t>RNJFU196-SVI</t>
  </si>
  <si>
    <t>FRW908-2181766LF : CTL BOARD M4</t>
  </si>
  <si>
    <t>RNJFU198-YTC</t>
  </si>
  <si>
    <t>SUS BAR : PLATE HORN 33A3258I</t>
  </si>
  <si>
    <t>LID (NTT)</t>
  </si>
  <si>
    <t>ROSET002-HIQ</t>
  </si>
  <si>
    <t>LID (NO NTT)</t>
  </si>
  <si>
    <t>ROSET005-ECF</t>
  </si>
  <si>
    <t>SCREW M3.1x1.3x16 MM. HT CR+3W</t>
  </si>
  <si>
    <t>ROSET006-TOK</t>
  </si>
  <si>
    <t>LABEL 65*16 MM (BLUE COLOR)</t>
  </si>
  <si>
    <t>ROSET007-TOK</t>
  </si>
  <si>
    <t>LABEL/PL Seal  (JP) : S9-MM-02135-B</t>
  </si>
  <si>
    <t>ROSET008-SHO</t>
  </si>
  <si>
    <t>J428N PL LABEL FOR OPTAGE EO</t>
  </si>
  <si>
    <t>RRHFU001-FEC</t>
  </si>
  <si>
    <t>HOLDER RUBBER</t>
  </si>
  <si>
    <t>RRHFU001-HAS</t>
  </si>
  <si>
    <t>MAGNET 3x10x4.5 : 76B4016A</t>
  </si>
  <si>
    <t>RRHFU002-FEC</t>
  </si>
  <si>
    <t>HOLDER LABEL L</t>
  </si>
  <si>
    <t>RRHFU002-HAS</t>
  </si>
  <si>
    <t>MAGNET 3.9x2.5 : 76B4015A</t>
  </si>
  <si>
    <t>RRHFU003-FEC</t>
  </si>
  <si>
    <t>HOLDER LABEL R</t>
  </si>
  <si>
    <t>RRHFU007-HAS</t>
  </si>
  <si>
    <t>MAGNET 3X20X4.5</t>
  </si>
  <si>
    <t>RS001001-BAN</t>
  </si>
  <si>
    <t>BOARD FFC :0.5-L1-40-60 4/7 BL, ULW</t>
  </si>
  <si>
    <t>RS001001-DAI</t>
  </si>
  <si>
    <t>BATTERY COVER PACKING A : 37A1080C</t>
  </si>
  <si>
    <t>RS001001-FBN</t>
  </si>
  <si>
    <t>LED FPC FOR S001 : 37A7002G</t>
  </si>
  <si>
    <t>RS001001-FEC</t>
  </si>
  <si>
    <t>S943 BATTERY : 27A1058</t>
  </si>
  <si>
    <t>RS001001-HAS</t>
  </si>
  <si>
    <t>MAGNET D3X2 N40 :  81B2366C</t>
  </si>
  <si>
    <t>RS001001-KAN</t>
  </si>
  <si>
    <t>S001 LCD PROTECTIVE SHEET : 37A1094A</t>
  </si>
  <si>
    <t>RS001001-KMC</t>
  </si>
  <si>
    <t>CLAMP SPRING L : 37A3068A</t>
  </si>
  <si>
    <t>RS001001-MIS</t>
  </si>
  <si>
    <t>CLAMP ARM WASHER (1PK/30PCS)</t>
  </si>
  <si>
    <t>SHIMS (PCIMRS3-5-0.5)</t>
  </si>
  <si>
    <t>RS001001-MOU</t>
  </si>
  <si>
    <t>HEAT SHRINK TUBING : ZHTM-12/6-0-SP</t>
  </si>
  <si>
    <t>RS001001-OHJ</t>
  </si>
  <si>
    <t>CROSS PAN HEAD THIN SCREW M1.6X2</t>
  </si>
  <si>
    <t>RS001001-OHT</t>
  </si>
  <si>
    <t>CLAMP ARM SHAFT 37A3054C</t>
  </si>
  <si>
    <t>RS001001-PAL</t>
  </si>
  <si>
    <t>I/O BOARD : 37A501X</t>
  </si>
  <si>
    <t>RS001001-PAT</t>
  </si>
  <si>
    <t>BC HOOK PIN : 37A1069C</t>
  </si>
  <si>
    <t>RS001001-RSC</t>
  </si>
  <si>
    <t>SPIRAL TUBE : 8125766</t>
  </si>
  <si>
    <t>RS001001-SUN</t>
  </si>
  <si>
    <t>FLANGE BEARING</t>
  </si>
  <si>
    <t>RS001001-TAI</t>
  </si>
  <si>
    <t>PARALLEL PIN JIS B1354 TYPE-A M6 D1.5X5</t>
  </si>
  <si>
    <t>Z-CARRIAGE HEAT PRESS FIT : 37A3037C</t>
  </si>
  <si>
    <t>RS001001-TFJ</t>
  </si>
  <si>
    <t>HOLDER FIX PLATE-L : 37A1048E</t>
  </si>
  <si>
    <t>RS001001-UEN</t>
  </si>
  <si>
    <t>HSK METAL SPACER : MSU-2005-04</t>
  </si>
  <si>
    <t>RS001002-BAN</t>
  </si>
  <si>
    <t>SWITCH FFC :0.5-K1-10-119 4/7 BL, ULW</t>
  </si>
  <si>
    <t>RS001002-DAI</t>
  </si>
  <si>
    <t>BATTERY COVER PACKING B : 37A1081D</t>
  </si>
  <si>
    <t>RS001002-KAN</t>
  </si>
  <si>
    <t>BOARD HIDE PLATE : 37A1099A</t>
  </si>
  <si>
    <t>RS001002-KMC</t>
  </si>
  <si>
    <t>CLAMP SPRING R : 37A3069A</t>
  </si>
  <si>
    <t>RS001002-MIS</t>
  </si>
  <si>
    <t>CROSS PAN HEAD THIN SCREW (1PK/1,000PCS)</t>
  </si>
  <si>
    <t>SA1 BOLT (CSPPN1P-STN-M1.6-2)</t>
  </si>
  <si>
    <t>RS001002-OHJ</t>
  </si>
  <si>
    <t>HEX SOCKET HEAD CAP SCREW M2X3</t>
  </si>
  <si>
    <t>RS001002-OHT</t>
  </si>
  <si>
    <t>SLIDE SHAFT 37A3058B</t>
  </si>
  <si>
    <t>RS001002-PAL</t>
  </si>
  <si>
    <t>CPU BOARD : 37A500X</t>
  </si>
  <si>
    <t>RS001002-PAT</t>
  </si>
  <si>
    <t>BC HINGE SHAFT : 37A1072A</t>
  </si>
  <si>
    <t>RS001002-RSC</t>
  </si>
  <si>
    <t>O-RING : 1965383</t>
  </si>
  <si>
    <t>RS001002-TEC</t>
  </si>
  <si>
    <t>ELECTRODE COVER : 37A3029D</t>
  </si>
  <si>
    <t>RS001002-TFJ</t>
  </si>
  <si>
    <t>HOLDER FIX PLATE-R : 37A1049E</t>
  </si>
  <si>
    <t>RS001002-UEN</t>
  </si>
  <si>
    <t>O-RING SO 11.2 (4C) (RED)</t>
  </si>
  <si>
    <t>RS001003-BAN</t>
  </si>
  <si>
    <t>CAMERA FFC :0.5-K1-24-142 4/6BL</t>
  </si>
  <si>
    <t>RS001003-DAI</t>
  </si>
  <si>
    <t>CANOPY SPONGE A : 37A3075A</t>
  </si>
  <si>
    <t>RS001003-FEC</t>
  </si>
  <si>
    <t>CPU BOARD : 37A5000E</t>
  </si>
  <si>
    <t>RS001003-HAS</t>
  </si>
  <si>
    <t>MAGNET D6xD2.5x3-M2 (37A3083B)</t>
  </si>
  <si>
    <t>RS001003-KMC</t>
  </si>
  <si>
    <t>CARRIAGE SPRING : 37A3079</t>
  </si>
  <si>
    <t>RS001003-MIS</t>
  </si>
  <si>
    <t>FLAT WASHER M1.6X3.8</t>
  </si>
  <si>
    <t>FASTENING (WSIS-SUS-M1.6)</t>
  </si>
  <si>
    <t>RS001003-OHT</t>
  </si>
  <si>
    <t>CLAMP SHAFT : 37A3059C</t>
  </si>
  <si>
    <t>RS001003-PAL</t>
  </si>
  <si>
    <t>BATTERY CONNECTOR BOARD : 37A506X</t>
  </si>
  <si>
    <t>RS001003-PAT</t>
  </si>
  <si>
    <t>LINK ARM PIN : 37A3047A</t>
  </si>
  <si>
    <t>RS001003-RSC</t>
  </si>
  <si>
    <t>PP PLASTIC FILM (785-0818)</t>
  </si>
  <si>
    <t>RS001003-TEC</t>
  </si>
  <si>
    <t>FPC-HOLDER : 37A3042B</t>
  </si>
  <si>
    <t>RS001003-TFJ</t>
  </si>
  <si>
    <t>PLATE HORN ALM : 37A1073B</t>
  </si>
  <si>
    <t>RS001003-UEN</t>
  </si>
  <si>
    <t>FASTENING (SUNCO) HPHA-SUS-1.5-8</t>
  </si>
  <si>
    <t>RS001004-DAI</t>
  </si>
  <si>
    <t>CANOPY SPONGE B : 37A3076A</t>
  </si>
  <si>
    <t>RS001004-FEC</t>
  </si>
  <si>
    <t>BATTERY CONNECTOR BOARD : 37A5060C</t>
  </si>
  <si>
    <t>RS001004-KMC</t>
  </si>
  <si>
    <t>SENSOR STOPPER : 37A2102B</t>
  </si>
  <si>
    <t>RS001004-MIS</t>
  </si>
  <si>
    <t>HEAD CAP SCREW M2X3</t>
  </si>
  <si>
    <t>CAP SCREW (SCB2-3)</t>
  </si>
  <si>
    <t>RS001004-OHJ</t>
  </si>
  <si>
    <t>CROSS HEAD SCREW WITH WASHER M2X5</t>
  </si>
  <si>
    <t>RS001004-PAL</t>
  </si>
  <si>
    <t>Z SENSOR BOARD : 37A505X</t>
  </si>
  <si>
    <t>RS001004-TEC</t>
  </si>
  <si>
    <t>ARC BASE BRACKET : 37A3049B</t>
  </si>
  <si>
    <t>RS001004-TFJ</t>
  </si>
  <si>
    <t>RAIL GUIDE FIXING PLATE : 37A3062A</t>
  </si>
  <si>
    <t>RS001004-UEN</t>
  </si>
  <si>
    <t>RESIN SPACER (HIROSUGI-KEIKI) (CZ-2001B)</t>
  </si>
  <si>
    <t>RS001005-DAI</t>
  </si>
  <si>
    <t>CANOPY SPONGE C : 37A1059B</t>
  </si>
  <si>
    <t>RS001005-FEC</t>
  </si>
  <si>
    <t>SWITCH BOARD : 37A5024B</t>
  </si>
  <si>
    <t>RS001005-OHJ</t>
  </si>
  <si>
    <t>SCREW WITH CAPTIVE WASHER P=4 M2-6</t>
  </si>
  <si>
    <t>RS001005-PAL</t>
  </si>
  <si>
    <t>SENSOR BOARD FOR CANOPY : 37A503X</t>
  </si>
  <si>
    <t>RS001005-PAT</t>
  </si>
  <si>
    <t>CYLINDER WASHER : 37A3077A</t>
  </si>
  <si>
    <t>RS001005-TEC</t>
  </si>
  <si>
    <t>ARC COVER BOTTOM : 37A3027D</t>
  </si>
  <si>
    <t>RS001005-TFJ</t>
  </si>
  <si>
    <t>ELECTRODE TERMINAL : 37A1074A</t>
  </si>
  <si>
    <t>RS001006-DAI</t>
  </si>
  <si>
    <t>BATTERY FIX SPONGE : 37A1086A</t>
  </si>
  <si>
    <t>RS001006-FEC</t>
  </si>
  <si>
    <t>SWITCH</t>
  </si>
  <si>
    <t>SWITCH SILICON : 37A1062B</t>
  </si>
  <si>
    <t>RS001006-OHJ</t>
  </si>
  <si>
    <t>SCREW WITH CAPTIVE WASHER P=4 M2-8</t>
  </si>
  <si>
    <t>RS001006-PAL</t>
  </si>
  <si>
    <t>WORK LED BOARD : 37A504X</t>
  </si>
  <si>
    <t>RS001006-TEC</t>
  </si>
  <si>
    <t>CLAMP BASE : 37A3022E</t>
  </si>
  <si>
    <t>RS001006-TFJ</t>
  </si>
  <si>
    <t>LOCK LEVER : 37A1070E</t>
  </si>
  <si>
    <t>RS001007-DAI</t>
  </si>
  <si>
    <t>EMBLEM SPONGE A : 37A3073C</t>
  </si>
  <si>
    <t>RS001007-FEC</t>
  </si>
  <si>
    <t>SWITCH SHEET  : 37A1047I</t>
  </si>
  <si>
    <t>RS001007-MIS</t>
  </si>
  <si>
    <t>P TIGHT SCREW M2X3 (1PK/2,000PCS)</t>
  </si>
  <si>
    <t>BOLT (CSPPNH01B-SUS-M2-3)</t>
  </si>
  <si>
    <t>RS001007-OHJ</t>
  </si>
  <si>
    <t>HEXAGON SPACER BOLT</t>
  </si>
  <si>
    <t>RS001007-PAL</t>
  </si>
  <si>
    <t>SENSOR BOARD : 37A502X</t>
  </si>
  <si>
    <t>RS001007-TEC</t>
  </si>
  <si>
    <t>HOLDER GLASS : 37A3030B</t>
  </si>
  <si>
    <t>RS001007-TFJ</t>
  </si>
  <si>
    <t>TERMINAL BLOCK : 37A1078A</t>
  </si>
  <si>
    <t>RS001008-DAI</t>
  </si>
  <si>
    <t>EMBLEM SPONGE B : 37A3074C</t>
  </si>
  <si>
    <t>RS001008-FEC</t>
  </si>
  <si>
    <t>Z SENSOR BOARD : 37A5050C</t>
  </si>
  <si>
    <t>RS001008-MIS</t>
  </si>
  <si>
    <t>SCREW WITH WASHER M2X5</t>
  </si>
  <si>
    <t>FASTENING (CSPPNZP-SUS-M2-5)</t>
  </si>
  <si>
    <t>RS001008-OHJ</t>
  </si>
  <si>
    <t>CROSS-HEAD COUNTERSUNK SCREW M1.4X2</t>
  </si>
  <si>
    <t>RS001008-TEC</t>
  </si>
  <si>
    <t>SPRING COVER : 37A3023E</t>
  </si>
  <si>
    <t>RS001008-TFJ</t>
  </si>
  <si>
    <t>CANOPY SHAFT AL : 37A3052B</t>
  </si>
  <si>
    <t>RS001009-DAI</t>
  </si>
  <si>
    <t>Z MOTOR HIDE SPONGE-L :37A1087B</t>
  </si>
  <si>
    <t>RS001009-FEC</t>
  </si>
  <si>
    <t>SENSOR BOARD FOR CANOPY : 30A3112B</t>
  </si>
  <si>
    <t>RS001009-MIS</t>
  </si>
  <si>
    <t>SCREW WITH WASHER M2X6</t>
  </si>
  <si>
    <t>FASTENING (CSPPNZP-SUS-M2-6)</t>
  </si>
  <si>
    <t>RS001009-OHJ</t>
  </si>
  <si>
    <t>B TIGHT SCREW M2X4</t>
  </si>
  <si>
    <t>CANOPY : 37A3046M</t>
  </si>
  <si>
    <t>RS001009-TFJ</t>
  </si>
  <si>
    <t>HINGE BLOCK : 37A3057C</t>
  </si>
  <si>
    <t>RS001010-DAI</t>
  </si>
  <si>
    <t>Z MOTOR HIDE SPONGE-R :37A1088B</t>
  </si>
  <si>
    <t>RS001010-FEC</t>
  </si>
  <si>
    <t>MOTOR (SPS10 )</t>
  </si>
  <si>
    <t>RS001010-MIS</t>
  </si>
  <si>
    <t>SCREW WITH WASHER M2X8</t>
  </si>
  <si>
    <t>FASTENING (CSPPNZP-SUS-M2-8)</t>
  </si>
  <si>
    <t>RS001010-OHJ</t>
  </si>
  <si>
    <t>CROSS-HEAD PAN HEAD I=1 M2.5X5</t>
  </si>
  <si>
    <t>RS001010-TEC</t>
  </si>
  <si>
    <t>CLAMP LEVER : 37A3045C</t>
  </si>
  <si>
    <t>CLAMP LIFT LEVER : 37A3045C</t>
  </si>
  <si>
    <t>RS001010-TFJ</t>
  </si>
  <si>
    <t>SPACER M2 : 37A1084B</t>
  </si>
  <si>
    <t>RS001011-FEC</t>
  </si>
  <si>
    <t>LED-FPC_S001 : 37A7002F</t>
  </si>
  <si>
    <t>RS001011-MIS</t>
  </si>
  <si>
    <t>HEX STANDOFF SPACER</t>
  </si>
  <si>
    <t>HSK METAL SPACER (BSU-2005)</t>
  </si>
  <si>
    <t>RS001011-OHJ</t>
  </si>
  <si>
    <t>COUNTERSUNK MACHINE SCREW M2×5L</t>
  </si>
  <si>
    <t>RS001011-TEC</t>
  </si>
  <si>
    <t>CLAMP LIFT : 37A3039B</t>
  </si>
  <si>
    <t>CLAMP LIFT PUSHING : 37A3039B</t>
  </si>
  <si>
    <t>RS001012-FEC</t>
  </si>
  <si>
    <t>WORK LED BOARD : 33A3008</t>
  </si>
  <si>
    <t>RS001012-OHJ</t>
  </si>
  <si>
    <t>CROSS RECESSED PAN HEAD THIN SCREW M2X4</t>
  </si>
  <si>
    <t>RS001012-TEC</t>
  </si>
  <si>
    <t>CANOPY EMBLEM : 37A3063D</t>
  </si>
  <si>
    <t>RS001012-TFJ</t>
  </si>
  <si>
    <t>GND HARNESS : 37A5101A</t>
  </si>
  <si>
    <t>RS001013-MIS</t>
  </si>
  <si>
    <t>FLAT WASHER M2 D5</t>
  </si>
  <si>
    <t>WASHER (SPWF2)</t>
  </si>
  <si>
    <t>RS001013-OHJ</t>
  </si>
  <si>
    <t>CROSS PAN HEAD TAPPING SCREWS M2X4</t>
  </si>
  <si>
    <t>RS001013-TEC</t>
  </si>
  <si>
    <t>LED COVER : 37A3035B</t>
  </si>
  <si>
    <t>RS001013-TFJ</t>
  </si>
  <si>
    <t>GND HARNESS : 37A5100A</t>
  </si>
  <si>
    <t>RS001014-FEC</t>
  </si>
  <si>
    <t>SENSOR BOARD</t>
  </si>
  <si>
    <t>RS001014-MIS</t>
  </si>
  <si>
    <t>PTFE WASHER</t>
  </si>
  <si>
    <t>HSK FLUOROPOLYMER WASHER (TT-0610-03)</t>
  </si>
  <si>
    <t>RS001014-OHJ</t>
  </si>
  <si>
    <t>CROSS PAN HEAD SCREW M2X4 (BLACK)</t>
  </si>
  <si>
    <t>RS001014-TEC</t>
  </si>
  <si>
    <t>LINK ARM-L : 37A3043C</t>
  </si>
  <si>
    <t>RS001015-FEC</t>
  </si>
  <si>
    <t>CERA BUSH-SQ : 37A1068A</t>
  </si>
  <si>
    <t>RS001015-MIS</t>
  </si>
  <si>
    <t>O-RING S SERIES</t>
  </si>
  <si>
    <t>O-RING (NSS11.2)</t>
  </si>
  <si>
    <t>RS001015-OHJ</t>
  </si>
  <si>
    <t>CROSS-PAN HEAD SMALL SCREW I=3 M2X3</t>
  </si>
  <si>
    <t>RS001015-TEC</t>
  </si>
  <si>
    <t>LINK ARM-R : 37A3044C</t>
  </si>
  <si>
    <t>RS001016-MIS</t>
  </si>
  <si>
    <t>HSK METAL SPACER (BSL-328E)</t>
  </si>
  <si>
    <t>RS001016-TEC</t>
  </si>
  <si>
    <t>CANOPY STOPPER L : 37A3040D</t>
  </si>
  <si>
    <t>RS001017-FEC</t>
  </si>
  <si>
    <t>CLAMP ARM-R : 37A3026C</t>
  </si>
  <si>
    <t>RS001017-MIS</t>
  </si>
  <si>
    <t>HEAD SCREW I3 M2X5</t>
  </si>
  <si>
    <t>FASTENING (CSPPNBI-SUS-M2-5)</t>
  </si>
  <si>
    <t>RS001017-TEC</t>
  </si>
  <si>
    <t>CANOPY STOPPER R : 37A3041D</t>
  </si>
  <si>
    <t>RS001018-TEC</t>
  </si>
  <si>
    <t>BOTTOM COVER : 37A1042J</t>
  </si>
  <si>
    <t>RS001019-FEC</t>
  </si>
  <si>
    <t>OILES BUSH_80B-0204</t>
  </si>
  <si>
    <t>RS001019-MIS</t>
  </si>
  <si>
    <t>CARRIAGE SPRING</t>
  </si>
  <si>
    <t>SAM WIRE SPRING (12-0331)</t>
  </si>
  <si>
    <t>RS001019-TEC</t>
  </si>
  <si>
    <t>BATTERY COVER : 37A1045H</t>
  </si>
  <si>
    <t>RS001020-FEC</t>
  </si>
  <si>
    <t>CARRIAGE LEVER : 37A3024B</t>
  </si>
  <si>
    <t>RS001020-MIS</t>
  </si>
  <si>
    <t>SCREW M1.4X2 (1PK/100PCS)</t>
  </si>
  <si>
    <t>SA1 BOLT (CSPCS1P-SUS-M1.4-2)</t>
  </si>
  <si>
    <t>RS001020-TEC</t>
  </si>
  <si>
    <t>BATTERY CASE : 37A1046E</t>
  </si>
  <si>
    <t>RS001021-MIS</t>
  </si>
  <si>
    <t>HEATER COLLAR</t>
  </si>
  <si>
    <t>HSK RESIN SPACER (CT-2001B)</t>
  </si>
  <si>
    <t>RS001021-TEC</t>
  </si>
  <si>
    <t>BATTERY LOCK CYLINDER : 37A2054G</t>
  </si>
  <si>
    <t>RS001022-FEC</t>
  </si>
  <si>
    <t>RUBBER PACKING DIA4.4x0.5 : 37A1079A</t>
  </si>
  <si>
    <t>RS001022-MIS</t>
  </si>
  <si>
    <t>P TIGHT SCREW M2X4 (1PK/2,000PCS)</t>
  </si>
  <si>
    <t>BOLT (CSPPNH01B-SUS-M2-4)</t>
  </si>
  <si>
    <t>RS001022-TEC</t>
  </si>
  <si>
    <t>HEATER CASE : 37A3048F</t>
  </si>
  <si>
    <t>RS001023-FEC</t>
  </si>
  <si>
    <t>MAGNET DIA6x3 M2 : NE396</t>
  </si>
  <si>
    <t>RS001023-MIS</t>
  </si>
  <si>
    <t>CROSS-HEAD PAN HEAD I = 1 M2.5X5</t>
  </si>
  <si>
    <t>BOLT (CSPPNI1-SUS-M2.5-5)</t>
  </si>
  <si>
    <t>RS001023-TEC</t>
  </si>
  <si>
    <t>HEATER SENSOR DOG-C : 37A2106A</t>
  </si>
  <si>
    <t>RS001024-FEC</t>
  </si>
  <si>
    <t>OILES BUSH_80B-0303</t>
  </si>
  <si>
    <t>RS001024-MIS</t>
  </si>
  <si>
    <t>PARALLEL PIN M6 D1.5X5</t>
  </si>
  <si>
    <t>OKT ACCESSORIES (SPA-SUS-D1.5-5)</t>
  </si>
  <si>
    <t>RS001025-FEC</t>
  </si>
  <si>
    <t>BRAND LABEL FOR S001M4</t>
  </si>
  <si>
    <t>RS001025-MIS</t>
  </si>
  <si>
    <t>HSK SCREW (UF-0205)</t>
  </si>
  <si>
    <t>RS001026-FEC</t>
  </si>
  <si>
    <t>NO SPRAY LABEL</t>
  </si>
  <si>
    <t>RS001026-MIS</t>
  </si>
  <si>
    <t>HPHA-SUS-1.5-8</t>
  </si>
  <si>
    <t>FASTENING (HPHA-SUS-1.5-8)</t>
  </si>
  <si>
    <t>RS001027-FEC</t>
  </si>
  <si>
    <t>RS001027-MIS</t>
  </si>
  <si>
    <t>O-RING (SS-020-1A)</t>
  </si>
  <si>
    <t>RS001028-MIS</t>
  </si>
  <si>
    <t>CSPPN3P-SUS-M2-4 (1PK/100PCS)</t>
  </si>
  <si>
    <t>SA1 BOLT (CSPPN3P-SUS-M2-4)</t>
  </si>
  <si>
    <t>RS001029-FEC</t>
  </si>
  <si>
    <t>ABSORBER REAR : 37A1052A</t>
  </si>
  <si>
    <t>RS001029-MIS</t>
  </si>
  <si>
    <t>SHIM 0.1 MM. (1PK/30PCS)</t>
  </si>
  <si>
    <t>SHIMS (PCIMRS3-5-0.1)</t>
  </si>
  <si>
    <t>RS001030-FEC</t>
  </si>
  <si>
    <t>MOTOR WITH HARNESS:37A5104B</t>
  </si>
  <si>
    <t>RS001030-MIS</t>
  </si>
  <si>
    <t>FASTENING (CSPPNSB-SUS-TP2-4)</t>
  </si>
  <si>
    <t>RS001031-FEC</t>
  </si>
  <si>
    <t>GND HARNESS 1 :37A5100A</t>
  </si>
  <si>
    <t>RS001031-MIS</t>
  </si>
  <si>
    <t>FASTENING (CSPPN-SUSTBS-M2-4)</t>
  </si>
  <si>
    <t>RS001032-FEC</t>
  </si>
  <si>
    <t>GND HARNESS 2 :37A5101A</t>
  </si>
  <si>
    <t>RS001032-MIS</t>
  </si>
  <si>
    <t>BALL BEARING (SFL673ZZ)</t>
  </si>
  <si>
    <t>FLANGE BEARING (SFL673ZZ)</t>
  </si>
  <si>
    <t>RS001033-MIS</t>
  </si>
  <si>
    <t>CROSS PAN HEAD SCREW I=3 M2X3</t>
  </si>
  <si>
    <t>FASTENING (CSPPNBI-SUS-M2-3)</t>
  </si>
  <si>
    <t>RS001034-FEC</t>
  </si>
  <si>
    <t>SWITCH BOARD SET</t>
  </si>
  <si>
    <t>RS001034-MIS</t>
  </si>
  <si>
    <t>SHIMS</t>
  </si>
  <si>
    <t>PCIMRS6-8-0.01 (1PK/30pcs)</t>
  </si>
  <si>
    <t>RS001035-FEC</t>
  </si>
  <si>
    <t>MOTOR WITH HARNESS :37A5104B-2</t>
  </si>
  <si>
    <t>RS001035-MIS</t>
  </si>
  <si>
    <t>PCIMRS6-8-0.05 (2PK/30pcs)</t>
  </si>
  <si>
    <t>RS001036-FEC</t>
  </si>
  <si>
    <t>SILICON KS609</t>
  </si>
  <si>
    <t>RS001036-MIS</t>
  </si>
  <si>
    <t>TUBE (TS-4)</t>
  </si>
  <si>
    <t>RS001037-FEC</t>
  </si>
  <si>
    <t>BATTERY CASE SHEET : 37A1141B</t>
  </si>
  <si>
    <t>RS001037-MIS</t>
  </si>
  <si>
    <t>CRIMPING TERMINAL</t>
  </si>
  <si>
    <t>R0.3-2 (1PK/100PCS)</t>
  </si>
  <si>
    <t>RS001038-FEC</t>
  </si>
  <si>
    <t>WASHER (WSX-SUS-M5X7.8-1(SUNCO))</t>
  </si>
  <si>
    <t>RS001038-MIS</t>
  </si>
  <si>
    <t>R0.3-3 (1PK/100PCS)</t>
  </si>
  <si>
    <t>RS001039-FEC</t>
  </si>
  <si>
    <t>RS001039-MIS</t>
  </si>
  <si>
    <t>CABLE</t>
  </si>
  <si>
    <t>UL1007-22-BK-10 (1PC/10ME)</t>
  </si>
  <si>
    <t>RS001040-FEC</t>
  </si>
  <si>
    <t>CROSS HEAD SCREW WITH WASHER M2X6</t>
  </si>
  <si>
    <t>RS001040-MIS</t>
  </si>
  <si>
    <t>PCIMRS3-5-0.05 (30PCS@1PACK)</t>
  </si>
  <si>
    <t>RS001041-FEC</t>
  </si>
  <si>
    <t>CROSS HEAD SCREW WITH WASHER M2X8</t>
  </si>
  <si>
    <t>RS001041-MIS</t>
  </si>
  <si>
    <t>FASTENING</t>
  </si>
  <si>
    <t>WSI-SUS-M2</t>
  </si>
  <si>
    <t>RS001042-FEC</t>
  </si>
  <si>
    <t>RS001043-FEC</t>
  </si>
  <si>
    <t>RS001044-FEC</t>
  </si>
  <si>
    <t>RS001045-FEC</t>
  </si>
  <si>
    <t>BOARD FFC :0.5-L1-40-60 4/7 BL ULW</t>
  </si>
  <si>
    <t>RS001046-FEC</t>
  </si>
  <si>
    <t>SWITCH FFC :0.5-K1-10-119 4/7 BL ULW</t>
  </si>
  <si>
    <t>RS001048-FEC</t>
  </si>
  <si>
    <t>MULTILON TN7500 BK</t>
  </si>
  <si>
    <t>RS001049-FEC</t>
  </si>
  <si>
    <t>LED FPC FOR S001 : 37A513X</t>
  </si>
  <si>
    <t>RS001A01-ASI</t>
  </si>
  <si>
    <t>CEMEDINE : SUPER X-8008 BLACK TUBE@170GM</t>
  </si>
  <si>
    <t>RS251001-VTR</t>
  </si>
  <si>
    <t>LED_1.0.0 (2 LAYERS)</t>
  </si>
  <si>
    <t>RS251021-MOU</t>
  </si>
  <si>
    <t>THICK FILM RESISTORS</t>
  </si>
  <si>
    <t>CRCW0402162KFKED</t>
  </si>
  <si>
    <t>RS251035-MOU</t>
  </si>
  <si>
    <t>TRIMMER RESISTORS</t>
  </si>
  <si>
    <t>TC42X-2-501E</t>
  </si>
  <si>
    <t>RS980001-YAN</t>
  </si>
  <si>
    <t>1060nmSMF(125um)YOFC:CS1016-A(200KPSI)</t>
  </si>
  <si>
    <t>RSBCB001-SUR</t>
  </si>
  <si>
    <t>42004331 Basic module</t>
  </si>
  <si>
    <t>RSBCB002-SUR</t>
  </si>
  <si>
    <t>35260996 Gift box for CEIP</t>
  </si>
  <si>
    <t>RSBCB003-CNJ</t>
  </si>
  <si>
    <t>42001957 SC-APC Optical adapter</t>
  </si>
  <si>
    <t>RSBCB004-FOC</t>
  </si>
  <si>
    <t>42006199 Splice holder 40mm</t>
  </si>
  <si>
    <t>RSBFK001-TEC</t>
  </si>
  <si>
    <t>35520303 FK-CTO-16MI</t>
  </si>
  <si>
    <t>RSBFK002-ADV</t>
  </si>
  <si>
    <t>42002506 SC SIMPLEX SM (APC)</t>
  </si>
  <si>
    <t>42001542 : R2097F-NAP006F2B-2</t>
  </si>
  <si>
    <t>RSBNP001-SUR</t>
  </si>
  <si>
    <t>R2097F-NAP006F2B-2</t>
  </si>
  <si>
    <t>RSBNP002-FEL</t>
  </si>
  <si>
    <t>35520064 : RLP2965-006F2</t>
  </si>
  <si>
    <t>RSBNP002-SUR</t>
  </si>
  <si>
    <t>RLP2965-006F2</t>
  </si>
  <si>
    <t>RSBNP003-FEL</t>
  </si>
  <si>
    <t>42001548 : RLP2978-127F2B-1</t>
  </si>
  <si>
    <t>RSBNP003-SUR</t>
  </si>
  <si>
    <t>RLP2978-127F2B-1</t>
  </si>
  <si>
    <t>RSBNP004-FEL</t>
  </si>
  <si>
    <t>42001549 : RLP2978-127F2B-2</t>
  </si>
  <si>
    <t>RSBNP004-SUR</t>
  </si>
  <si>
    <t>RLP2978-127F2B-2</t>
  </si>
  <si>
    <t>RSBNP005-SUR</t>
  </si>
  <si>
    <t>LB00N368-F2</t>
  </si>
  <si>
    <t>35500007 PLC SPLITTER 1X16 NC/SC-APC</t>
  </si>
  <si>
    <t>RSBNP006-JCC</t>
  </si>
  <si>
    <t>35505027 PLC SPLITTER 1X16 G.657A NC</t>
  </si>
  <si>
    <t>RSBNP007-JCC</t>
  </si>
  <si>
    <t>35505005 PLC SPLITTER 1X8 G.657A NC</t>
  </si>
  <si>
    <t>RSBNP008-BOR</t>
  </si>
  <si>
    <t>3M VHB TAPE V50 18MM x 3ME BLISTER PACK</t>
  </si>
  <si>
    <t>RSCFB001-AVO</t>
  </si>
  <si>
    <t>CLEARLITE 980-20 P/N: F10984</t>
  </si>
  <si>
    <t>RSCFB002-AVO</t>
  </si>
  <si>
    <t>CLEARLITE980-16 P/N: BF05635-02</t>
  </si>
  <si>
    <t>RSCFB003-COR</t>
  </si>
  <si>
    <t>FIBER : SMF28ULTRA G652.D</t>
  </si>
  <si>
    <t>SMF28ULTRA</t>
  </si>
  <si>
    <t>RSCFB004-COR</t>
  </si>
  <si>
    <t>FIBER : LEAF</t>
  </si>
  <si>
    <t>LEAF</t>
  </si>
  <si>
    <t>RSCFB010-COR</t>
  </si>
  <si>
    <t>CLEARCURVE LBL G.657.A2</t>
  </si>
  <si>
    <t>RSCFB011-COR</t>
  </si>
  <si>
    <t>CLEARCURVE ZBL G.657.B3</t>
  </si>
  <si>
    <t>RSCFB017-FEC</t>
  </si>
  <si>
    <t>ALLWAVE</t>
  </si>
  <si>
    <t>RSCFI001-FEC</t>
  </si>
  <si>
    <t>RSCFI001-HAS</t>
  </si>
  <si>
    <t>RSCFI001-PAT</t>
  </si>
  <si>
    <t>RSCFI001-SUN</t>
  </si>
  <si>
    <t>BEARING WITH FLANGE : 81B2345A2</t>
  </si>
  <si>
    <t>RSCFI002-FEC</t>
  </si>
  <si>
    <t>HEX SCREW M2X4</t>
  </si>
  <si>
    <t>RSCFI002-SUN</t>
  </si>
  <si>
    <t>BEARING SMALL #681H : 81B2305E3</t>
  </si>
  <si>
    <t>RSCFI003-FEC</t>
  </si>
  <si>
    <t>E-RING</t>
  </si>
  <si>
    <t>RSCFI004-FEC</t>
  </si>
  <si>
    <t>HEXAGON NUT M5</t>
  </si>
  <si>
    <t>RSCFI005-FEC</t>
  </si>
  <si>
    <t>RSCFI006-FEC</t>
  </si>
  <si>
    <t>OILLESS BEARING#80F(80F-0203)</t>
  </si>
  <si>
    <t>RSCFI007-FEC</t>
  </si>
  <si>
    <t>TELFON WASHER#1(TT-0204)</t>
  </si>
  <si>
    <t>RSCFI007-PAT</t>
  </si>
  <si>
    <t>RSCFI008-FEC</t>
  </si>
  <si>
    <t>E-RING (1.2)</t>
  </si>
  <si>
    <t>RSCFI009-FEC</t>
  </si>
  <si>
    <t>GEAR CL</t>
  </si>
  <si>
    <t>RSCFI009-PAT</t>
  </si>
  <si>
    <t>RSCFI010-FEC</t>
  </si>
  <si>
    <t>SQUARE NUT M3</t>
  </si>
  <si>
    <t>RSCFI011-FEC</t>
  </si>
  <si>
    <t>HEX SCREW M3X8</t>
  </si>
  <si>
    <t>RSCFI012-FEC</t>
  </si>
  <si>
    <t>CR RING</t>
  </si>
  <si>
    <t>RSCFI013-FEC</t>
  </si>
  <si>
    <t>TORSION SPRING#1</t>
  </si>
  <si>
    <t>RSCFI014-FEC</t>
  </si>
  <si>
    <t>CS RING</t>
  </si>
  <si>
    <t>RSCFI015-FEC</t>
  </si>
  <si>
    <t>TELFON WASHER#2(TT-0308)</t>
  </si>
  <si>
    <t>RSCFI017-FEC</t>
  </si>
  <si>
    <t>SPRING PIN(1.2X12L MM)</t>
  </si>
  <si>
    <t>RSCFI019-FEC</t>
  </si>
  <si>
    <t>PIN(1.5X8L MM)</t>
  </si>
  <si>
    <t>RSCFI020-FEC</t>
  </si>
  <si>
    <t>HEX SCREW M2X6</t>
  </si>
  <si>
    <t>RSCFI021-FEC</t>
  </si>
  <si>
    <t>SLOTTED SET SCREWM2.5X8</t>
  </si>
  <si>
    <t>RSCFI022-FEC</t>
  </si>
  <si>
    <t>SLOTTED SET SCREWM2.5X3</t>
  </si>
  <si>
    <t>RSCFI023-FEC</t>
  </si>
  <si>
    <t>HEX SCREW M2X5</t>
  </si>
  <si>
    <t>RSCFI024-FEC</t>
  </si>
  <si>
    <t>HEX SET SCREW M3X4</t>
  </si>
  <si>
    <t>RSCFI025-FEC</t>
  </si>
  <si>
    <t>PUSHING PARTS SET</t>
  </si>
  <si>
    <t>RSCFI026-FEC</t>
  </si>
  <si>
    <t>COMPRESSION SPRING</t>
  </si>
  <si>
    <t>RSCFI027-FEC</t>
  </si>
  <si>
    <t>SET PIECE(SEPNS3)</t>
  </si>
  <si>
    <t>RSCFI028-FEC</t>
  </si>
  <si>
    <t>HEX SET SCREW M3X3</t>
  </si>
  <si>
    <t>RSCFI029-FEC</t>
  </si>
  <si>
    <t>RSCFI030-FEC</t>
  </si>
  <si>
    <t>RSCFI031-FEC</t>
  </si>
  <si>
    <t>BLADE 20</t>
  </si>
  <si>
    <t>RSCFI032-FEC</t>
  </si>
  <si>
    <t>ROUND BLADE LABEL</t>
  </si>
  <si>
    <t>RSCFI033-FEC</t>
  </si>
  <si>
    <t>HEX WASHER SCREWM2X4</t>
  </si>
  <si>
    <t>RSCFI034-FEC</t>
  </si>
  <si>
    <t>HEX SET SCREW M2X3</t>
  </si>
  <si>
    <t>RSCFI035-FEC</t>
  </si>
  <si>
    <t>CROSS SCREW M2X4</t>
  </si>
  <si>
    <t>RSCFI036-FEC</t>
  </si>
  <si>
    <t>RSCFI037-FEC</t>
  </si>
  <si>
    <t>EXTENSION SPRING</t>
  </si>
  <si>
    <t>RSCFI038-FEC</t>
  </si>
  <si>
    <t>E-RING (2)</t>
  </si>
  <si>
    <t>RSCFI039-FEC</t>
  </si>
  <si>
    <t>PIN(1X6L MM)</t>
  </si>
  <si>
    <t>RSCFI040-FEC</t>
  </si>
  <si>
    <t>TORSION SPRING#2</t>
  </si>
  <si>
    <t>RSCFI041-FEC</t>
  </si>
  <si>
    <t>HEX SCREW M3X12</t>
  </si>
  <si>
    <t>RSCFI042-FEC</t>
  </si>
  <si>
    <t>MODEL LABEL</t>
  </si>
  <si>
    <t>RSCFI043-FEC</t>
  </si>
  <si>
    <t>RSCFI044-FEC</t>
  </si>
  <si>
    <t>RSCFI045-FEC</t>
  </si>
  <si>
    <t>HEXAGON WRENCH</t>
  </si>
  <si>
    <t>RSCFI046-FEC</t>
  </si>
  <si>
    <t>RSCFI047-FEC</t>
  </si>
  <si>
    <t>RSCFI048-FEC</t>
  </si>
  <si>
    <t>SCREW M2.5?10L SUS</t>
  </si>
  <si>
    <t>RSCFI049-FEC</t>
  </si>
  <si>
    <t>SCREW SW SUS M2.5</t>
  </si>
  <si>
    <t>RSCFI050-FEC</t>
  </si>
  <si>
    <t>RSCFI051-FEC</t>
  </si>
  <si>
    <t>RSCFI052-FEC</t>
  </si>
  <si>
    <t>PLATE WASHER</t>
  </si>
  <si>
    <t>RSCFI053-FEC</t>
  </si>
  <si>
    <t>RSCFI054-FEC</t>
  </si>
  <si>
    <t>SPRING WASHER</t>
  </si>
  <si>
    <t>RSCFI055-FEC</t>
  </si>
  <si>
    <t>RSCFI056-FEC</t>
  </si>
  <si>
    <t>RSCFI057-FEC</t>
  </si>
  <si>
    <t>RSCFI058-FEC</t>
  </si>
  <si>
    <t>CROSS SCREW M1.7X5</t>
  </si>
  <si>
    <t>RSCFI059-FEC</t>
  </si>
  <si>
    <t>RSCFL001-FEC</t>
  </si>
  <si>
    <t>1KW CAVITY</t>
  </si>
  <si>
    <t>RSCFL009-FEC</t>
  </si>
  <si>
    <t>RSCFL010-FEC</t>
  </si>
  <si>
    <t>LASER DIODE</t>
  </si>
  <si>
    <t>RSCFL011-FEC</t>
  </si>
  <si>
    <t>REINFORCING SLEEVE PS-6A-X40U</t>
  </si>
  <si>
    <t>RSCFU001-CAM</t>
  </si>
  <si>
    <t>Z CARRIAGE HEAT PRESS FIT</t>
  </si>
  <si>
    <t>Z CARRIAGE HEAT PRESS FIT 33A2201F</t>
  </si>
  <si>
    <t>RSCFU001-FEC</t>
  </si>
  <si>
    <t>RSCFU001-KAN</t>
  </si>
  <si>
    <t>RSCFU002-CAM</t>
  </si>
  <si>
    <t>CARRIAGE BASE (LM)</t>
  </si>
  <si>
    <t>CARRIAGE BASE (LM) : 33A2017G</t>
  </si>
  <si>
    <t>RSCFU002-KAN</t>
  </si>
  <si>
    <t>CMOS IS SHEET NC : 33A2046B</t>
  </si>
  <si>
    <t>CMOS IS SHEET NC</t>
  </si>
  <si>
    <t>RSCFU003-CAM</t>
  </si>
  <si>
    <t>Z-FRAME LM (PRESS FIT)</t>
  </si>
  <si>
    <t>Z-FRAME LM (PRESS FIT) 33A2020D:33A2021D</t>
  </si>
  <si>
    <t>RSCFU003-KAN</t>
  </si>
  <si>
    <t>TOP CASE RUBBER 2 : 33A2088B</t>
  </si>
  <si>
    <t>TOP CASE RUBBER 2</t>
  </si>
  <si>
    <t>RSCFU004-FEC</t>
  </si>
  <si>
    <t>RSCFU005-SUN</t>
  </si>
  <si>
    <t>MOTOR2(S)</t>
  </si>
  <si>
    <t>RSCFU006-FEC</t>
  </si>
  <si>
    <t>RSCFU006-SUN</t>
  </si>
  <si>
    <t>MOTOR1(L)</t>
  </si>
  <si>
    <t>RSCFU012-FEC</t>
  </si>
  <si>
    <t>FRAME FCS</t>
  </si>
  <si>
    <t>RSCFU014-FEC</t>
  </si>
  <si>
    <t>RSCFU017-FEC</t>
  </si>
  <si>
    <t>RSCFU028-FEC</t>
  </si>
  <si>
    <t>CROSS RECESSED PAN HEAD SCREW W SEMS M2X</t>
  </si>
  <si>
    <t>RSCFU030-FEC</t>
  </si>
  <si>
    <t>RSCFU033-FEC</t>
  </si>
  <si>
    <t>#0 TYPE1 P TIGHT NOMAINAL DIAMETER 2X5L</t>
  </si>
  <si>
    <t>RSCFU034-FEC</t>
  </si>
  <si>
    <t>RSCFU046-FEC</t>
  </si>
  <si>
    <t>HEATER COVER HEAT PRESS FIT</t>
  </si>
  <si>
    <t>RSCFU050-FEC</t>
  </si>
  <si>
    <t>HEATER UNIT ASSEMBLY</t>
  </si>
  <si>
    <t>S179XA1132</t>
  </si>
  <si>
    <t>RSCFU200-FEC</t>
  </si>
  <si>
    <t>RSCFU200-KMC</t>
  </si>
  <si>
    <t>SENSOR SPRING : 30A3300B/14TD038-1-No.11</t>
  </si>
  <si>
    <t>RSCFU200-OHT</t>
  </si>
  <si>
    <t>RSCFU200-SUN</t>
  </si>
  <si>
    <t>RSCFU200-TNM</t>
  </si>
  <si>
    <t>TOP COVER : 14TD039-1-NO.1/30A3097S</t>
  </si>
  <si>
    <t>RSCFU201-FEC</t>
  </si>
  <si>
    <t>RSCFU201-OHT</t>
  </si>
  <si>
    <t>RSCFU201-TNM</t>
  </si>
  <si>
    <t>BATTERY COVER : 14TD039-1-NO.3 /30A3142I</t>
  </si>
  <si>
    <t>RSCFU202-FEC</t>
  </si>
  <si>
    <t>RSCFU202-OHT</t>
  </si>
  <si>
    <t>RSCFU202-TNM</t>
  </si>
  <si>
    <t>CANOPY COVER : 14TD039-1-NO.6/130A3140J</t>
  </si>
  <si>
    <t>RSCFU203-FEC</t>
  </si>
  <si>
    <t>RSCFU203-OHT</t>
  </si>
  <si>
    <t>ELECTRODE SCREW /14TD043-2-No.2</t>
  </si>
  <si>
    <t>RSCFU203-TNM</t>
  </si>
  <si>
    <t>HEATER CLAMP BASE NR : 30A3214I</t>
  </si>
  <si>
    <t>RSCFU204-FEC</t>
  </si>
  <si>
    <t>RSCFU204-OHT</t>
  </si>
  <si>
    <t>RSCFU204-TNM</t>
  </si>
  <si>
    <t>HEATER SENSOR DOG : 30A2315D</t>
  </si>
  <si>
    <t>RSCFU205-FEC</t>
  </si>
  <si>
    <t>RSCFU205-OHT</t>
  </si>
  <si>
    <t>RSCFU205-TNM</t>
  </si>
  <si>
    <t>PROTECTOR : 14TD039-1-NO 4/30A3117F</t>
  </si>
  <si>
    <t>RSCFU206-FEC</t>
  </si>
  <si>
    <t>RSCFU206-OHT</t>
  </si>
  <si>
    <t>RSCFU206-TNM</t>
  </si>
  <si>
    <t>CANOPY : 14TD039-1-NO 7/30A3139R</t>
  </si>
  <si>
    <t>RSCFU207-FEC</t>
  </si>
  <si>
    <t>RSCFU207-OHT</t>
  </si>
  <si>
    <t>RSCFU208-FEC</t>
  </si>
  <si>
    <t>RSCFU209-FEC</t>
  </si>
  <si>
    <t>RSCFU210-FEC</t>
  </si>
  <si>
    <t>RSCFU211-FEC</t>
  </si>
  <si>
    <t>RSCFU212-FEC</t>
  </si>
  <si>
    <t>RSCFU213-FEC</t>
  </si>
  <si>
    <t>RSCFU214-FEC</t>
  </si>
  <si>
    <t>RSCFU215-FEC</t>
  </si>
  <si>
    <t>RSCFU216-FEC</t>
  </si>
  <si>
    <t>RSCFU217-FEC</t>
  </si>
  <si>
    <t>RSCFU218-FEC</t>
  </si>
  <si>
    <t>RSCFU219-FEC</t>
  </si>
  <si>
    <t>RSCFU220-FEC</t>
  </si>
  <si>
    <t>RSCFU221-FEC</t>
  </si>
  <si>
    <t>RSCFU222-FEC</t>
  </si>
  <si>
    <t>RSCFU223-FEC</t>
  </si>
  <si>
    <t>RSCFU224-FEC</t>
  </si>
  <si>
    <t>RSCFU225-FEC</t>
  </si>
  <si>
    <t>RSCFU226-FEC</t>
  </si>
  <si>
    <t>RSCFU227-FEC</t>
  </si>
  <si>
    <t>RSCFU228-FEC</t>
  </si>
  <si>
    <t>RSCFU229-FEC</t>
  </si>
  <si>
    <t>RSCFU230-FEC</t>
  </si>
  <si>
    <t>RSCFU231-FEC</t>
  </si>
  <si>
    <t>RSCFU232-FEC</t>
  </si>
  <si>
    <t>RSCFU233-FEC</t>
  </si>
  <si>
    <t>RSCFU234-FEC</t>
  </si>
  <si>
    <t>PARALLEL PIN</t>
  </si>
  <si>
    <t>PARALLEL PIN F2H7?6L</t>
  </si>
  <si>
    <t>RSD00001-FEC</t>
  </si>
  <si>
    <t>FLM-PE70</t>
  </si>
  <si>
    <t>RSD00003-FEC</t>
  </si>
  <si>
    <t>FLM-BS26B</t>
  </si>
  <si>
    <t>RSD00004-FEC</t>
  </si>
  <si>
    <t>RSD00005-FEC</t>
  </si>
  <si>
    <t>FOP1333E13</t>
  </si>
  <si>
    <t>RSD00007-FEC</t>
  </si>
  <si>
    <t>FLM-CH50</t>
  </si>
  <si>
    <t>RSD00008-FEC</t>
  </si>
  <si>
    <t>FLM-IS51</t>
  </si>
  <si>
    <t>RSD00014-FEC</t>
  </si>
  <si>
    <t>HEAT SHRINKABLE TUBE (PC@0.3ME)</t>
  </si>
  <si>
    <t>RSD00015-FEC</t>
  </si>
  <si>
    <t>FLM-GB32A</t>
  </si>
  <si>
    <t>RSD00017-FEC</t>
  </si>
  <si>
    <t>APC CONNECTOR/FLM-FAR26CD-1.0F</t>
  </si>
  <si>
    <t>RSD00018-FEC</t>
  </si>
  <si>
    <t>FLM-TU01A /PFA TUBE (0.5/0.9 MM)</t>
  </si>
  <si>
    <t>RSD00019-FEC</t>
  </si>
  <si>
    <t>FLM-TU02A/PFA TUBE (1.0/1.5 MM)</t>
  </si>
  <si>
    <t>RSD00020-FEC</t>
  </si>
  <si>
    <t>SHRINKABLE TUBE (BLACK)/SUMI-F4Z-2x0.1</t>
  </si>
  <si>
    <t>RSL00001-DIG</t>
  </si>
  <si>
    <t>EXTERNAL TUBE RNF-100-3/16-CL-SP</t>
  </si>
  <si>
    <t>EXTERNAL TUBE RNF100-4.5/1.9-CL-STK</t>
  </si>
  <si>
    <t>RSL00001-RSC</t>
  </si>
  <si>
    <t>RSL00002-FEC</t>
  </si>
  <si>
    <t>INTERNAL TUBE OVAL 2.5x1.2</t>
  </si>
  <si>
    <t>RSL00002-KNS</t>
  </si>
  <si>
    <t>EXTERNAL TUBE RNF-100-1/8-CL-CSP</t>
  </si>
  <si>
    <t>RSL00003-KNS</t>
  </si>
  <si>
    <t>RSL00004-FEC</t>
  </si>
  <si>
    <t>EXTERNAL TUBE RNF100-1/8-CL-CSP</t>
  </si>
  <si>
    <t>RSL00004-KNS</t>
  </si>
  <si>
    <t>EXTERNAL TUBE RNF-100-3/64-CL-SP</t>
  </si>
  <si>
    <t>RSL00005-FEC</t>
  </si>
  <si>
    <t>INTERNAL TUBE 1.55</t>
  </si>
  <si>
    <t>RSL00007-FEC</t>
  </si>
  <si>
    <t>EXTERNAL TUBE RNF100-3/16-CL-SP</t>
  </si>
  <si>
    <t>RSL00009-FEC</t>
  </si>
  <si>
    <t>TENSION MEMBER SUS 1.5x40</t>
  </si>
  <si>
    <t>RSL00011-FEC</t>
  </si>
  <si>
    <t>INTERNAL TUBE OVAL 3.6x1.2</t>
  </si>
  <si>
    <t>RSL00012-FEC</t>
  </si>
  <si>
    <t>TENSION MEMBER ALUMINA R2.0</t>
  </si>
  <si>
    <t>RSL00013-FEC</t>
  </si>
  <si>
    <t>EXTERNAL TUBE RNF100-3/64-CL-SP</t>
  </si>
  <si>
    <t>RSL00014-FEC</t>
  </si>
  <si>
    <t>"INTERNAL TUBE
F0.5-F0.9"</t>
  </si>
  <si>
    <t>RSL00015-FEC</t>
  </si>
  <si>
    <t>TENSION MEMBER SUS 0.5x20</t>
  </si>
  <si>
    <t>RSL00016-FEC</t>
  </si>
  <si>
    <t>TENSION MEMBER SUS 0.5x25</t>
  </si>
  <si>
    <t>RSL00017-FEC</t>
  </si>
  <si>
    <t>TENSION MEMBER SUS 0.5x35</t>
  </si>
  <si>
    <t>RSPIT013-SAN</t>
  </si>
  <si>
    <t>CAP: SC-PH</t>
  </si>
  <si>
    <t>RSRS0001-OFS</t>
  </si>
  <si>
    <t>FIBER GEFT16-125LI</t>
  </si>
  <si>
    <t>RSRSNU01-COH</t>
  </si>
  <si>
    <t>LMA-GDF-20/125-M: P/N 1341630</t>
  </si>
  <si>
    <t>RST01005-CRN</t>
  </si>
  <si>
    <t>RC HI1060 200kpsi (80um) RL@500ME</t>
  </si>
  <si>
    <t>RST01006-CRN</t>
  </si>
  <si>
    <t>PM15-U25D-H</t>
  </si>
  <si>
    <t>RST01007-OFS</t>
  </si>
  <si>
    <t>BF06734-05(CL_TruePhase_1550_250)</t>
  </si>
  <si>
    <t>RT124S000001</t>
  </si>
  <si>
    <t>FIBER CLAMP-W : 31A1335A</t>
  </si>
  <si>
    <t>RT124S000002</t>
  </si>
  <si>
    <t>FIBER CLAMP PIN-3.4 : 31A1336A</t>
  </si>
  <si>
    <t>RT124S000003</t>
  </si>
  <si>
    <t>ELECTRODE COVER : 36A1108C</t>
  </si>
  <si>
    <t>RT124S000004</t>
  </si>
  <si>
    <t>RT124S000005</t>
  </si>
  <si>
    <t>LED PLATE-M : 36A1112A</t>
  </si>
  <si>
    <t>RT124S000006</t>
  </si>
  <si>
    <t>RT124S000007</t>
  </si>
  <si>
    <t>FIBER CLAMP ARM-L : 36A1122B</t>
  </si>
  <si>
    <t>RT124S000008</t>
  </si>
  <si>
    <t>FIBER CLAMP ARM-R : 36A1123C</t>
  </si>
  <si>
    <t>RT124S000009</t>
  </si>
  <si>
    <t>MG PIN : 36A1128A</t>
  </si>
  <si>
    <t>RT124S000010</t>
  </si>
  <si>
    <t>CLAMP BASE-M : 36A1129B</t>
  </si>
  <si>
    <t>RT124S000011</t>
  </si>
  <si>
    <t>CENTER HING BLOCK : 36A1133B</t>
  </si>
  <si>
    <t>RT124S000012</t>
  </si>
  <si>
    <t>LED ARM SHAFT : 36A1134B</t>
  </si>
  <si>
    <t>RT124S000013</t>
  </si>
  <si>
    <t>CLAPM ARM WASHER : 36A1137B</t>
  </si>
  <si>
    <t>RT124S000014</t>
  </si>
  <si>
    <t>CLAMP ARM SHAFT : 36A1138B</t>
  </si>
  <si>
    <t>RT124S000015</t>
  </si>
  <si>
    <t>CLAMP ARM BUSH : 36A1139B</t>
  </si>
  <si>
    <t>RT124S000016</t>
  </si>
  <si>
    <t>SR PUSH SHAFT : 36A1140C</t>
  </si>
  <si>
    <t>RT124S000017</t>
  </si>
  <si>
    <t>JOINT SCREW : 36A1142B</t>
  </si>
  <si>
    <t>RT124S000018</t>
  </si>
  <si>
    <t>RT124S000019</t>
  </si>
  <si>
    <t>SR COMP SP : 36A1146</t>
  </si>
  <si>
    <t>RT124S000020</t>
  </si>
  <si>
    <t>CLAMP ARM JOINT-L : 36A1147B</t>
  </si>
  <si>
    <t>RT124S000021</t>
  </si>
  <si>
    <t>CLAMP ARM JOINT-R : 36A1148B</t>
  </si>
  <si>
    <t>RT124S000022</t>
  </si>
  <si>
    <t>CARRIGE-SP-M : 36A1150B</t>
  </si>
  <si>
    <t>RT124S000023</t>
  </si>
  <si>
    <t>ELECTRODE TERMINAL : 36A1156C</t>
  </si>
  <si>
    <t>RT124S000024</t>
  </si>
  <si>
    <t>RT124S000025</t>
  </si>
  <si>
    <t>RT124S000026</t>
  </si>
  <si>
    <t>NFC HOLDER-M : 36A1164A</t>
  </si>
  <si>
    <t>RT124S000027</t>
  </si>
  <si>
    <t>ARC FIX SCREW : 36A1166A</t>
  </si>
  <si>
    <t>RT124S000028</t>
  </si>
  <si>
    <t>ARC COVER BAR-MEA : 36A1334A</t>
  </si>
  <si>
    <t>RT124S000029</t>
  </si>
  <si>
    <t>ARC COVER BBR-MEA : 36A1335A</t>
  </si>
  <si>
    <t>RT124S000030</t>
  </si>
  <si>
    <t>ARC TERMINAL BASE-MEA : 36A1338A</t>
  </si>
  <si>
    <t>RT124S000031</t>
  </si>
  <si>
    <t>ARC TERMINAL PSP  : 36A1339A</t>
  </si>
  <si>
    <t>RT124S000032</t>
  </si>
  <si>
    <t>LED FPC : 36A5021C</t>
  </si>
  <si>
    <t>RT124S000033</t>
  </si>
  <si>
    <t>FCS X : L235E0160G0</t>
  </si>
  <si>
    <t>RT124S000034</t>
  </si>
  <si>
    <t>FCS Y : L235E0160H0</t>
  </si>
  <si>
    <t>RT124S000035</t>
  </si>
  <si>
    <t>MAINBOARD-M : S124MBM</t>
  </si>
  <si>
    <t>RT124S000036</t>
  </si>
  <si>
    <t>SR MOTOR  SENSOR ASSEMBLY : S124SRMSA</t>
  </si>
  <si>
    <t>RT124S000037</t>
  </si>
  <si>
    <t>SUS PARALLEL PIN : PH0100062U0</t>
  </si>
  <si>
    <t>RT124S000038</t>
  </si>
  <si>
    <t>Magnet_5?5 : S124MG5X5</t>
  </si>
  <si>
    <t>RT124S000039</t>
  </si>
  <si>
    <t>ARC UNIT : 32A3021</t>
  </si>
  <si>
    <t>RT124S000040</t>
  </si>
  <si>
    <t>LINK ARM-M : 33A2095D</t>
  </si>
  <si>
    <t>RT124S000041</t>
  </si>
  <si>
    <t>ALIGNMENT MECHANISM ASSEMBLY : 36A1013A</t>
  </si>
  <si>
    <t>RT124S000042</t>
  </si>
  <si>
    <t>BACK HOLD BASE C PRESS FIT : 36A1106A</t>
  </si>
  <si>
    <t>RT124S000043</t>
  </si>
  <si>
    <t>CLAMP GUIDE : 36A1167A</t>
  </si>
  <si>
    <t>RT124S000044</t>
  </si>
  <si>
    <t>RT124S000045</t>
  </si>
  <si>
    <t>RT124S000046</t>
  </si>
  <si>
    <t>36A ARC BASE ASSEMBLY : 36A1211</t>
  </si>
  <si>
    <t>RT124S000047</t>
  </si>
  <si>
    <t>CSPPNZP-SUS-M2-4 : CSPPNZP-SUS-M2-4</t>
  </si>
  <si>
    <t>RT124S000048</t>
  </si>
  <si>
    <t>CSPPNZP-SUS-M2-5 : CSPPNZP-SUS-M2-5</t>
  </si>
  <si>
    <t>RT124S000049</t>
  </si>
  <si>
    <t>CSPPNZP-SUS-M3-6 : CSPPNZP-SUS-M3-6</t>
  </si>
  <si>
    <t>RT124S000050</t>
  </si>
  <si>
    <t>CSPPNZP-SUS-M2-10 : CSPPNZP-SUS-M2-10</t>
  </si>
  <si>
    <t>RT124S000051</t>
  </si>
  <si>
    <t>00000502-M2X4-SUS : 00000502-M2X4-SUS</t>
  </si>
  <si>
    <t>RT124S000052</t>
  </si>
  <si>
    <t>CSPPN1-SUS-M1.6-3 : CSPPN1-SUS-M1.6-3</t>
  </si>
  <si>
    <t>RT124S000053</t>
  </si>
  <si>
    <t>CSPPN1-SUS-M2-3 : CSPPN1-SUS-M2-3</t>
  </si>
  <si>
    <t>RT124S000054</t>
  </si>
  <si>
    <t>CSPPN1-SUS-M2-5 : CSPPN1-SUS-M2-5</t>
  </si>
  <si>
    <t>RT124S000055</t>
  </si>
  <si>
    <t>CSPPN1-SUS-M2-8 : CSPPN1-SUS-M2-8</t>
  </si>
  <si>
    <t>RT124S000056</t>
  </si>
  <si>
    <t>CSHHNDI3TM-SUSTBS-M2-6_CSHHNDI3TM-SUS</t>
  </si>
  <si>
    <t>RT124S000057</t>
  </si>
  <si>
    <t>CSHHNDI3TM-SUS-M3-10 : CSHHNDI3TM-SUS-M3</t>
  </si>
  <si>
    <t>RT124S000058</t>
  </si>
  <si>
    <t>CSHBTS-SUS-M3-6 : CSHBTS-SUS-M3-6</t>
  </si>
  <si>
    <t>RT124S000059</t>
  </si>
  <si>
    <t>MSSU3-3 : MSSU3-3</t>
  </si>
  <si>
    <t>RT124S000060</t>
  </si>
  <si>
    <t>WSJS-SUSGJB-M2 : WSJS-SUSGJB-M2</t>
  </si>
  <si>
    <t>RT124S000061</t>
  </si>
  <si>
    <t>WSJS-SUSGJB-M3 : WSJS-SUSGJB-M3</t>
  </si>
  <si>
    <t>RT124S000062</t>
  </si>
  <si>
    <t>126020126030 : 126020126030</t>
  </si>
  <si>
    <t>RT124S000063</t>
  </si>
  <si>
    <t>SLBNR2 : SLBNR2</t>
  </si>
  <si>
    <t>RT124S000064</t>
  </si>
  <si>
    <t>SFL674ZZ : SFL674ZZ</t>
  </si>
  <si>
    <t>RT124S000065</t>
  </si>
  <si>
    <t>F-WA674ASSA/1K : F-WA674ASSA/1K</t>
  </si>
  <si>
    <t>RT124S000066</t>
  </si>
  <si>
    <t>80B-0306 : 80B-0306</t>
  </si>
  <si>
    <t>RT124S000067</t>
  </si>
  <si>
    <t>MSCSS1-6 : MSCSS1-6</t>
  </si>
  <si>
    <t>RT124S000068</t>
  </si>
  <si>
    <t>LED ARM-M : 36A1113E</t>
  </si>
  <si>
    <t>RT124S000069</t>
  </si>
  <si>
    <t>MAIN BASE-M  : 36A1220A</t>
  </si>
  <si>
    <t>RT124S000071</t>
  </si>
  <si>
    <t>SM 8-fiber ribbon : G311210</t>
  </si>
  <si>
    <t>RT124S000072</t>
  </si>
  <si>
    <t>SM 4-fiber ribbon : G312075B</t>
  </si>
  <si>
    <t>RT124S000073</t>
  </si>
  <si>
    <t>SM 2-fiber ribbon : G312052</t>
  </si>
  <si>
    <t>RT124S000074</t>
  </si>
  <si>
    <t>DSF 8-fiber ribbon : G369002C</t>
  </si>
  <si>
    <t>RT124S000075</t>
  </si>
  <si>
    <t>DSF 4-fiber ribbon : G360002</t>
  </si>
  <si>
    <t>RT124S000076</t>
  </si>
  <si>
    <t>NZDSF 8-fiber ribbon : G311251B</t>
  </si>
  <si>
    <t>RT124S000077</t>
  </si>
  <si>
    <t>NZDSF 4-fiber ribbon : G311237B</t>
  </si>
  <si>
    <t>RT124S000078</t>
  </si>
  <si>
    <t>GI 4-fiber ribbon : G313215</t>
  </si>
  <si>
    <t>RT124S000079</t>
  </si>
  <si>
    <t>SM 12-fiber ribbon : G315253</t>
  </si>
  <si>
    <t>RT124S000080</t>
  </si>
  <si>
    <t>MAIN BASE-M : 36A1219D</t>
  </si>
  <si>
    <t>RT124S000081</t>
  </si>
  <si>
    <t>NEODYMIUM MAGNET : -</t>
  </si>
  <si>
    <t>RT124S000082</t>
  </si>
  <si>
    <t>OIRES BUSH : -</t>
  </si>
  <si>
    <t>RT124S000083</t>
  </si>
  <si>
    <t>LED ARM-M : 36A1113F</t>
  </si>
  <si>
    <t>RT124S000084</t>
  </si>
  <si>
    <t>HING COLLAR : 36A1116</t>
  </si>
  <si>
    <t>RT124S000085</t>
  </si>
  <si>
    <t>CENTER HING BLOCK : 36A11</t>
  </si>
  <si>
    <t>RT124S000086</t>
  </si>
  <si>
    <t>LED ARM SHAFT : 36A1134</t>
  </si>
  <si>
    <t>RT124S000087</t>
  </si>
  <si>
    <t>BEARING WASHER : 36A1145</t>
  </si>
  <si>
    <t>RT124S000088</t>
  </si>
  <si>
    <t>DIFFUSER : 36A1180</t>
  </si>
  <si>
    <t>RT124S000089</t>
  </si>
  <si>
    <t>LED ARM BEARING : -</t>
  </si>
  <si>
    <t>RT124S000090</t>
  </si>
  <si>
    <t>CLAMP BASE-M : 36A1129</t>
  </si>
  <si>
    <t>RT124S000091</t>
  </si>
  <si>
    <t>CLAMP GUIDE : 36A1167</t>
  </si>
  <si>
    <t>RT124S000092</t>
  </si>
  <si>
    <t>CLAMP SHAFT : 36A1168</t>
  </si>
  <si>
    <t>RT124S000093</t>
  </si>
  <si>
    <t>CLAMP SP-M : 36A1175</t>
  </si>
  <si>
    <t>RT124S000094</t>
  </si>
  <si>
    <t>SUS PARALLEL PIN : -</t>
  </si>
  <si>
    <t>RT124S000095</t>
  </si>
  <si>
    <t>#0 PEN HEAD SCREW M1.6X3L : -</t>
  </si>
  <si>
    <t>RT124S000096</t>
  </si>
  <si>
    <t>FIBER CLAMP ARM-L : 36A1122</t>
  </si>
  <si>
    <t>RT124S000097</t>
  </si>
  <si>
    <t>FIBER CLAMP ARM-R : 36A1123</t>
  </si>
  <si>
    <t>RT124S000098</t>
  </si>
  <si>
    <t>CLAMP ARM JOINT-L : 36A1147</t>
  </si>
  <si>
    <t>RT124S000099</t>
  </si>
  <si>
    <t>CLAMP ARM JOINT-R : 36A1148</t>
  </si>
  <si>
    <t>RT124S000100</t>
  </si>
  <si>
    <t>JOINT SCREW : 36A1142</t>
  </si>
  <si>
    <t>RT124S000101</t>
  </si>
  <si>
    <t>CLAMP ARM SHAFT : 36A1138</t>
  </si>
  <si>
    <t>RT124S000102</t>
  </si>
  <si>
    <t>CLAMP ARM WASHER : 36A1137</t>
  </si>
  <si>
    <t>RT124S000103</t>
  </si>
  <si>
    <t>MG PIN : 36A1128</t>
  </si>
  <si>
    <t>RT124S000104</t>
  </si>
  <si>
    <t>CLAMP ARM BUSH : 36A1139</t>
  </si>
  <si>
    <t>RT124S000105</t>
  </si>
  <si>
    <t>BEARING 4*7*2.5 : -</t>
  </si>
  <si>
    <t>RT124S000106</t>
  </si>
  <si>
    <t>ALIGNMENT MECHANISM ASSEMBLY : 36A1013B</t>
  </si>
  <si>
    <t>RT124S000107</t>
  </si>
  <si>
    <t>RT124S000108</t>
  </si>
  <si>
    <t>RT124S000109</t>
  </si>
  <si>
    <t>SR MOTOR  SENSOR ASSEMBLY : 36A1014A</t>
  </si>
  <si>
    <t>RT124S000110</t>
  </si>
  <si>
    <t>CROSS_REC PAN_HEA SCREW W SEMS I=4 M3x6L</t>
  </si>
  <si>
    <t>RT124S000111</t>
  </si>
  <si>
    <t>RT124S000112</t>
  </si>
  <si>
    <t>CROSS_REC PAN_HEA SCREW W SEMS I=4 Mx12L</t>
  </si>
  <si>
    <t>RT124S000113</t>
  </si>
  <si>
    <t>RT124S000114</t>
  </si>
  <si>
    <t>RT124S000115</t>
  </si>
  <si>
    <t>RT124S000116</t>
  </si>
  <si>
    <t>RT124S000117</t>
  </si>
  <si>
    <t>RT124S000118</t>
  </si>
  <si>
    <t>ARC TERMINAL-PSP : 36A1339A</t>
  </si>
  <si>
    <t>RT124S000119</t>
  </si>
  <si>
    <t>#0 PEN HEAD SCREW M1.6X2L</t>
  </si>
  <si>
    <t>RT124S000120</t>
  </si>
  <si>
    <t>#0 PEN HEAD SCREW M2?8L</t>
  </si>
  <si>
    <t>RT124S000121</t>
  </si>
  <si>
    <t>RT124S000122</t>
  </si>
  <si>
    <t>RT124S000123</t>
  </si>
  <si>
    <t>RT124S000124</t>
  </si>
  <si>
    <t>ELECTRODE TERMINAL : 36A1156D</t>
  </si>
  <si>
    <t>RT124S000125</t>
  </si>
  <si>
    <t>RT124S000126</t>
  </si>
  <si>
    <t>36A ARC BASE ASSEMBLY M12 : 36A1211F</t>
  </si>
  <si>
    <t>RT124S000127</t>
  </si>
  <si>
    <t>RT124S000128</t>
  </si>
  <si>
    <t>BACK_HO BASE -C HEAT PRESS FIT :36A1106D</t>
  </si>
  <si>
    <t>RT124S000129</t>
  </si>
  <si>
    <t>DISCHARGER MODULE</t>
  </si>
  <si>
    <t>FSU-08M DISCHARGE UNIT</t>
  </si>
  <si>
    <t>RT124S000130</t>
  </si>
  <si>
    <t>HEAT TRANSFER SHEET (SHIELD FILM)</t>
  </si>
  <si>
    <t>RT124S000131</t>
  </si>
  <si>
    <t>RT124S000132</t>
  </si>
  <si>
    <t>BRAND LABEL M12 : 36A1179A</t>
  </si>
  <si>
    <t>RT124S000133</t>
  </si>
  <si>
    <t>LINK ARM : 33A2095D</t>
  </si>
  <si>
    <t>RT124S000134</t>
  </si>
  <si>
    <t>GND WIRE (SAMPLE) : 36A5003</t>
  </si>
  <si>
    <t>RT124S000135</t>
  </si>
  <si>
    <t>LOW VOLTAGE WIRE (SAMPLE) : 36A5002</t>
  </si>
  <si>
    <t>RT124S000136</t>
  </si>
  <si>
    <t>CAMERA GND WIRE (SAMPLE) : 36A5005</t>
  </si>
  <si>
    <t>RT124S000137</t>
  </si>
  <si>
    <t>MAIN BOARD (SAMPLE) : 33A5150</t>
  </si>
  <si>
    <t>RT124S000138</t>
  </si>
  <si>
    <t>MSCSS1-6 DOWEL PIN</t>
  </si>
  <si>
    <t>RT124S000139</t>
  </si>
  <si>
    <t>SM 12-FIBER RIBBON : 250RR (1000ME@ROLL)</t>
  </si>
  <si>
    <t>RT124S000140</t>
  </si>
  <si>
    <t>SM 12-FIBER RIBBON : 200RR (1000ME@ROLL)</t>
  </si>
  <si>
    <t>RT124S000141</t>
  </si>
  <si>
    <t>RT124S000142</t>
  </si>
  <si>
    <t>RT124S000143</t>
  </si>
  <si>
    <t>LOW VOLTAGE WIRE-B0: 36A5008A</t>
  </si>
  <si>
    <t>RT124S000144</t>
  </si>
  <si>
    <t>HIGH VOLTAGE MODULE ASSY: 36A5004D</t>
  </si>
  <si>
    <t>RT124S000145</t>
  </si>
  <si>
    <t>CMOS_BR_M_NC</t>
  </si>
  <si>
    <t>CMOS_BR_M_NC (L233E016000)</t>
  </si>
  <si>
    <t>RT124S000146</t>
  </si>
  <si>
    <t>RT124S000147</t>
  </si>
  <si>
    <t>RT124S000148</t>
  </si>
  <si>
    <t>ARC TERMINAL BASE (36A1833C)</t>
  </si>
  <si>
    <t>RT124S000149</t>
  </si>
  <si>
    <t>RT124S000150</t>
  </si>
  <si>
    <t>RT124S000151</t>
  </si>
  <si>
    <t>RT124S000152</t>
  </si>
  <si>
    <t>SUSXM7 ARCFIX SCREW (36A1166A)</t>
  </si>
  <si>
    <t>RT124S000153</t>
  </si>
  <si>
    <t>RT124S000154</t>
  </si>
  <si>
    <t>RT124S000158</t>
  </si>
  <si>
    <t>SR GUIDE PIN (36A1172A)</t>
  </si>
  <si>
    <t>RT124S000159</t>
  </si>
  <si>
    <t>SR ACT PIN (36A1173A)</t>
  </si>
  <si>
    <t>RT124S000160</t>
  </si>
  <si>
    <t>SR WASHER (36A1176A)</t>
  </si>
  <si>
    <t>RT124S000161</t>
  </si>
  <si>
    <t>SR PUSH BR R (FSS124M12-R01-1003-A)</t>
  </si>
  <si>
    <t>RT124S000162</t>
  </si>
  <si>
    <t>SR PUSH BR L (FSS124M12-R01-1002-A)</t>
  </si>
  <si>
    <t>RT124S000163</t>
  </si>
  <si>
    <t>SR BASE BRACKET (FSS124M12-R01-1004-A)</t>
  </si>
  <si>
    <t>RT124S000164</t>
  </si>
  <si>
    <t>SR LEVER (FSS124M12-R01-1001-A)</t>
  </si>
  <si>
    <t>RT124S000165</t>
  </si>
  <si>
    <t>RT124S000166</t>
  </si>
  <si>
    <t>RT124S000167</t>
  </si>
  <si>
    <t>RT124S000168</t>
  </si>
  <si>
    <t>RT124S000169</t>
  </si>
  <si>
    <t>SR BASE BRACKET (36A1126D)</t>
  </si>
  <si>
    <t>RT124S000170</t>
  </si>
  <si>
    <t>SR LEVER (36A1169A)</t>
  </si>
  <si>
    <t>RT124S000171</t>
  </si>
  <si>
    <t>SR PUSH BR R (36A1170A)</t>
  </si>
  <si>
    <t>RT124S000172</t>
  </si>
  <si>
    <t>SR PUSH BR L (36A1171A)</t>
  </si>
  <si>
    <t>RT124S000174</t>
  </si>
  <si>
    <t>DIFFUSER : 36A1180A</t>
  </si>
  <si>
    <t>RT124S000175</t>
  </si>
  <si>
    <t>RT124S000176</t>
  </si>
  <si>
    <t>RT124S000177</t>
  </si>
  <si>
    <t>RT124S000182</t>
  </si>
  <si>
    <t>HEX SOCKET SCREW M2X8</t>
  </si>
  <si>
    <t>CAP SCREWS : BOX-SCB2-8</t>
  </si>
  <si>
    <t>RT124S000183</t>
  </si>
  <si>
    <t>NUT M3 : KNTR3</t>
  </si>
  <si>
    <t>NUT : KNTR3</t>
  </si>
  <si>
    <t>RT124S000184</t>
  </si>
  <si>
    <t>HEX SET SCREW M3X4 : MSSFS3-4</t>
  </si>
  <si>
    <t>SET SCREWS FLAT TYPE : MSSFS3-4</t>
  </si>
  <si>
    <t>RT124S000187</t>
  </si>
  <si>
    <t>SR-MOTOR-BRACKET : 36A1125A</t>
  </si>
  <si>
    <t>RT124S000188</t>
  </si>
  <si>
    <t>SENSOR (PM-U25)</t>
  </si>
  <si>
    <t>RT124S000189</t>
  </si>
  <si>
    <t>RT124S000191</t>
  </si>
  <si>
    <t>SR PUSH SHAFT : 36A2215B</t>
  </si>
  <si>
    <t>RT124S000192</t>
  </si>
  <si>
    <t>RT124S000193</t>
  </si>
  <si>
    <t>STEPPING MOTOR (SPS10-21822-1200)</t>
  </si>
  <si>
    <t>RT124S000195</t>
  </si>
  <si>
    <t>RT124S000196</t>
  </si>
  <si>
    <t>CMOS_BR_M_NC : FS-S124A-RM00-101-B</t>
  </si>
  <si>
    <t>RT124S000197</t>
  </si>
  <si>
    <t>RT124S000198</t>
  </si>
  <si>
    <t>FIBER CLAMP SP-0.5N : 36A1359A</t>
  </si>
  <si>
    <t>RT124S000199</t>
  </si>
  <si>
    <t>LENS_CYLINDER_NCS124-R01-01-E</t>
  </si>
  <si>
    <t>RT124S000200</t>
  </si>
  <si>
    <t>CMOS_BR_M_NCFS-S124A-RM00-101-C</t>
  </si>
  <si>
    <t>RT124S000202</t>
  </si>
  <si>
    <t>F CLAMP SP-0.5N-JU : 36A1364A</t>
  </si>
  <si>
    <t>RT124S000203</t>
  </si>
  <si>
    <t>RT124S000204</t>
  </si>
  <si>
    <t>RT124S000206</t>
  </si>
  <si>
    <t>HOLDER HOOK (36A1355A)</t>
  </si>
  <si>
    <t>RT124S000207</t>
  </si>
  <si>
    <t>MG PIN (36A1357A)</t>
  </si>
  <si>
    <t>RT124S000209</t>
  </si>
  <si>
    <t>RT124S000210</t>
  </si>
  <si>
    <t>SILICONE RUBBER WASHER</t>
  </si>
  <si>
    <t>RT124S000211</t>
  </si>
  <si>
    <t>RT124S000212</t>
  </si>
  <si>
    <t>RT179S000001</t>
  </si>
  <si>
    <t>Z TENSION SPRING FOR 40KPSI R/L</t>
  </si>
  <si>
    <t>RT179S000002</t>
  </si>
  <si>
    <t>RT179S000003</t>
  </si>
  <si>
    <t>LINEAR GUIDE 5B</t>
  </si>
  <si>
    <t>RT179S000004</t>
  </si>
  <si>
    <t>LINEAR GUIDE 7B</t>
  </si>
  <si>
    <t>RT179S000005</t>
  </si>
  <si>
    <t>RT179S000006</t>
  </si>
  <si>
    <t>RT179S000007</t>
  </si>
  <si>
    <t>RT179S000008</t>
  </si>
  <si>
    <t>RT179S000009</t>
  </si>
  <si>
    <t>CANOPY SHAFT :33A2240A</t>
  </si>
  <si>
    <t>RT179S000010</t>
  </si>
  <si>
    <t>PLATE NUT : 33A2194C</t>
  </si>
  <si>
    <t>RT179S000011</t>
  </si>
  <si>
    <t>FCS-LM-FIX-PLATE : 33A2227C</t>
  </si>
  <si>
    <t>RT179S000012</t>
  </si>
  <si>
    <t>BSZF3 BALL PLUNGER : BSZF3</t>
  </si>
  <si>
    <t>RT179S000013</t>
  </si>
  <si>
    <t>CMOS IS SHEET NC : 33A2046B #250</t>
  </si>
  <si>
    <t>RT179S000014</t>
  </si>
  <si>
    <t>CMOS IS SHEET NC : 33A2046B #350</t>
  </si>
  <si>
    <t>RT179S000015</t>
  </si>
  <si>
    <t>RT179S000016</t>
  </si>
  <si>
    <t>PAINT MARKER SILVER : MOP-200MZ-S</t>
  </si>
  <si>
    <t>RT179S000017</t>
  </si>
  <si>
    <t>RT9M00000033</t>
  </si>
  <si>
    <t>MBC-API07-06</t>
  </si>
  <si>
    <t>RT9M00000034</t>
  </si>
  <si>
    <t>RT9M00000040</t>
  </si>
  <si>
    <t>HNAP111-125LI</t>
  </si>
  <si>
    <t>RT9M00000041</t>
  </si>
  <si>
    <t>MBC-API07-07</t>
  </si>
  <si>
    <t>RT9M00000042</t>
  </si>
  <si>
    <t>RT9M00000046</t>
  </si>
  <si>
    <t>RT9M00000047</t>
  </si>
  <si>
    <t>FOL09M2</t>
  </si>
  <si>
    <t>RT9M00000048</t>
  </si>
  <si>
    <t>FLM-PK71</t>
  </si>
  <si>
    <t>RT9M00000049</t>
  </si>
  <si>
    <t>RT9M00000050</t>
  </si>
  <si>
    <t>FLM-AL01A(FAC08-300)</t>
  </si>
  <si>
    <t>RT9M00000051</t>
  </si>
  <si>
    <t>FLM-FAU71BA-1.1F (Sri Lanka)</t>
  </si>
  <si>
    <t>RT9M00000052</t>
  </si>
  <si>
    <t>RT9M00000053</t>
  </si>
  <si>
    <t>RT9M00000054</t>
  </si>
  <si>
    <t>4A4-N0308-1001-01</t>
  </si>
  <si>
    <t>RT9M00000055</t>
  </si>
  <si>
    <t>FLM-NL01D-2ND LENS</t>
  </si>
  <si>
    <t>RT9M00000056</t>
  </si>
  <si>
    <t>FLM-NL05A-G-2ND LENS</t>
  </si>
  <si>
    <t>RT9M00000057</t>
  </si>
  <si>
    <t>PF305 0.05T x 5.5W x 9W (HN-66)</t>
  </si>
  <si>
    <t>RTA900000001</t>
  </si>
  <si>
    <t>L20 0.8 D100G</t>
  </si>
  <si>
    <t>RTA900000002</t>
  </si>
  <si>
    <t>FOP1332E13</t>
  </si>
  <si>
    <t>RTA900000003</t>
  </si>
  <si>
    <t>FLM-PE69A</t>
  </si>
  <si>
    <t>RTA900000004</t>
  </si>
  <si>
    <t>FLM-PE69B</t>
  </si>
  <si>
    <t>RTA900000005</t>
  </si>
  <si>
    <t>FLM-GB69A(BLACK)</t>
  </si>
  <si>
    <t>RTA900000006</t>
  </si>
  <si>
    <t>FLM-GB69A(GRAY)</t>
  </si>
  <si>
    <t>RTA900000007</t>
  </si>
  <si>
    <t>FLM-PL69A</t>
  </si>
  <si>
    <t>RTA900000008</t>
  </si>
  <si>
    <t>FLM-PL70A</t>
  </si>
  <si>
    <t>RTA900000009</t>
  </si>
  <si>
    <t>FLM-ZB08B</t>
  </si>
  <si>
    <t>RTA900000010</t>
  </si>
  <si>
    <t>FLM-PK69A</t>
  </si>
  <si>
    <t>RTA900000011</t>
  </si>
  <si>
    <t>FLM-PK70A</t>
  </si>
  <si>
    <t>RTA900000012</t>
  </si>
  <si>
    <t>FLM-BS68A</t>
  </si>
  <si>
    <t>RTA900000013</t>
  </si>
  <si>
    <t>FLM-BS69A</t>
  </si>
  <si>
    <t>RTA900000014</t>
  </si>
  <si>
    <t>C120-COS</t>
  </si>
  <si>
    <t>RTA900000015</t>
  </si>
  <si>
    <t>FOL0911FC9</t>
  </si>
  <si>
    <t>RTA900000016</t>
  </si>
  <si>
    <t>FLM-BS24x</t>
  </si>
  <si>
    <t>RTA900000017</t>
  </si>
  <si>
    <t>RTA900000018</t>
  </si>
  <si>
    <t>RTA900000019</t>
  </si>
  <si>
    <t>STAINLESS PIPE</t>
  </si>
  <si>
    <t>20180719-USW-TP03</t>
  </si>
  <si>
    <t>RTA900000026</t>
  </si>
  <si>
    <t>FOL09A1</t>
  </si>
  <si>
    <t>RTA900000027</t>
  </si>
  <si>
    <t>ZBD01</t>
  </si>
  <si>
    <t>RTA900000028</t>
  </si>
  <si>
    <t>ZBD02</t>
  </si>
  <si>
    <t>RTA900000029</t>
  </si>
  <si>
    <t>ZBD03</t>
  </si>
  <si>
    <t>RTA900000030</t>
  </si>
  <si>
    <t>ZBD04</t>
  </si>
  <si>
    <t>RTA900000031</t>
  </si>
  <si>
    <t>THERMO MODULE KCMM052C08</t>
  </si>
  <si>
    <t>RTA900000032</t>
  </si>
  <si>
    <t>HS-SL01</t>
  </si>
  <si>
    <t>RTA900000033</t>
  </si>
  <si>
    <t>NECK PIPE HS-NP01</t>
  </si>
  <si>
    <t>RTA900000034</t>
  </si>
  <si>
    <t>HS-PD01</t>
  </si>
  <si>
    <t>RTA900000035</t>
  </si>
  <si>
    <t>HS-PM01</t>
  </si>
  <si>
    <t>RTA900000036</t>
  </si>
  <si>
    <t>HS-PK01</t>
  </si>
  <si>
    <t>RTA900000037</t>
  </si>
  <si>
    <t>HS-BS01</t>
  </si>
  <si>
    <t>RTA900000038</t>
  </si>
  <si>
    <t>DUMMY PACKAGE (KYOCERA)</t>
  </si>
  <si>
    <t>RTA900000039</t>
  </si>
  <si>
    <t>HS-PL01</t>
  </si>
  <si>
    <t>RTA900000040</t>
  </si>
  <si>
    <t>PKG-A</t>
  </si>
  <si>
    <t>RTA900000041</t>
  </si>
  <si>
    <t>PKG-D</t>
  </si>
  <si>
    <t>RTA900000042</t>
  </si>
  <si>
    <t>FLM-PL07(NI)</t>
  </si>
  <si>
    <t>RTA900000043</t>
  </si>
  <si>
    <t>FLM-PE72B</t>
  </si>
  <si>
    <t>RTA900000044</t>
  </si>
  <si>
    <t>FLM-PE72A(KCMM048C02)</t>
  </si>
  <si>
    <t>RTA900000045</t>
  </si>
  <si>
    <t>FLM-BS72B</t>
  </si>
  <si>
    <t>RTA900000046</t>
  </si>
  <si>
    <t>PD10A(KPDE030G-FD01A)</t>
  </si>
  <si>
    <t>RTA900000047</t>
  </si>
  <si>
    <t>ZBD05</t>
  </si>
  <si>
    <t>RTA900000048</t>
  </si>
  <si>
    <t>ZBD06</t>
  </si>
  <si>
    <t>RTA900000049</t>
  </si>
  <si>
    <t>FLM-BS72B(AUSN PRECOAT PROCESSING)</t>
  </si>
  <si>
    <t>RTA900000050</t>
  </si>
  <si>
    <t>ECO SOLDER PELLET SM716_8.2X16.7X0.05</t>
  </si>
  <si>
    <t>RTA900000051</t>
  </si>
  <si>
    <t>SNBI SOLDER</t>
  </si>
  <si>
    <t>RTA900000052</t>
  </si>
  <si>
    <t>AIWA RUBBER BOOT</t>
  </si>
  <si>
    <t>RTA900000053</t>
  </si>
  <si>
    <t>LOCTITE_84-1LMIT1(PC@15GM)</t>
  </si>
  <si>
    <t>RTA900000054</t>
  </si>
  <si>
    <t>ZBD07(TECNISCO)</t>
  </si>
  <si>
    <t>RTA900000055</t>
  </si>
  <si>
    <t>ZBD07(MICROCUT)</t>
  </si>
  <si>
    <t>RTA900000056</t>
  </si>
  <si>
    <t>PKG-D(GMS-B9377)</t>
  </si>
  <si>
    <t>RTA900000057</t>
  </si>
  <si>
    <t>FLM-PL07(NI) PLATING 1UM-5UM</t>
  </si>
  <si>
    <t>RTA900000058</t>
  </si>
  <si>
    <t>(VH05-6D123F)</t>
  </si>
  <si>
    <t>RTA900000059</t>
  </si>
  <si>
    <t>PE72B T-0729-1017(FERROTEC)</t>
  </si>
  <si>
    <t>RTA900000060</t>
  </si>
  <si>
    <t>SH1447UA</t>
  </si>
  <si>
    <t>RTA900000061</t>
  </si>
  <si>
    <t>SH881U</t>
  </si>
  <si>
    <t>RTA900000062</t>
  </si>
  <si>
    <t>AUSN</t>
  </si>
  <si>
    <t>RTA900000063</t>
  </si>
  <si>
    <t>FLM-HN70</t>
  </si>
  <si>
    <t>RTA900000064</t>
  </si>
  <si>
    <t>FLM-HN68</t>
  </si>
  <si>
    <t>RTA900000065</t>
  </si>
  <si>
    <t>METAL CLIP</t>
  </si>
  <si>
    <t>PRESSING PART(1-B)</t>
  </si>
  <si>
    <t>RTA900000066</t>
  </si>
  <si>
    <t>PRESSING PART(1-C)</t>
  </si>
  <si>
    <t>RTA900000067</t>
  </si>
  <si>
    <t>PRESSING PART(3)</t>
  </si>
  <si>
    <t>RTA900000069</t>
  </si>
  <si>
    <t>RTA900000070</t>
  </si>
  <si>
    <t>PACKAGE PIPE(GMS-C0242)</t>
  </si>
  <si>
    <t>RTA900000080</t>
  </si>
  <si>
    <t>RTA900000081</t>
  </si>
  <si>
    <t>DFB DUMMY LD CHIP</t>
  </si>
  <si>
    <t>RTA900000082</t>
  </si>
  <si>
    <t>RTA900000083</t>
  </si>
  <si>
    <t>FLM-PK73A(GMS-C1149)</t>
  </si>
  <si>
    <t>RTA900000084</t>
  </si>
  <si>
    <t>M705(2.7X1.0X0.05)SNAGCU</t>
  </si>
  <si>
    <t>RTA900000085</t>
  </si>
  <si>
    <t>FLM-FAT27AB-1.6F</t>
  </si>
  <si>
    <t>RTA900000086</t>
  </si>
  <si>
    <t>FOL0912FC10</t>
  </si>
  <si>
    <t>RTA900000087</t>
  </si>
  <si>
    <t>SN97C-SNAGCU</t>
  </si>
  <si>
    <t>RTA900000088</t>
  </si>
  <si>
    <t>DESIGNB2-600 (GMS-C4098-A)</t>
  </si>
  <si>
    <t>RTA900000089</t>
  </si>
  <si>
    <t>DESIGNB2-800 (GMS-C4099-A)</t>
  </si>
  <si>
    <t>RTA900000090</t>
  </si>
  <si>
    <t>RTA900000091</t>
  </si>
  <si>
    <t>FOL0910FC12</t>
  </si>
  <si>
    <t>RTAD00000001</t>
  </si>
  <si>
    <t>KC-THF170724</t>
  </si>
  <si>
    <t>RTAD00000002</t>
  </si>
  <si>
    <t>KC-THF170725</t>
  </si>
  <si>
    <t>RTAD00000003</t>
  </si>
  <si>
    <t>FOL1420</t>
  </si>
  <si>
    <t>RTAD00000004</t>
  </si>
  <si>
    <t>FLM-PE10B</t>
  </si>
  <si>
    <t>RTAD00000005</t>
  </si>
  <si>
    <t>FLM-PE10A</t>
  </si>
  <si>
    <t>RTAD00000006</t>
  </si>
  <si>
    <t>FLM-PK20C</t>
  </si>
  <si>
    <t>RTAD00000007</t>
  </si>
  <si>
    <t>FLM-CH24A-VA</t>
  </si>
  <si>
    <t>RTAD00000008</t>
  </si>
  <si>
    <t>FLM-BS48BX</t>
  </si>
  <si>
    <t>RTAD00000009</t>
  </si>
  <si>
    <t>KCMM047C06</t>
  </si>
  <si>
    <t>RTAD00000010</t>
  </si>
  <si>
    <t>FLM-FAS26GC-0.6N</t>
  </si>
  <si>
    <t>RTAD00000011</t>
  </si>
  <si>
    <t>BASE#700C-KYOCERA</t>
  </si>
  <si>
    <t>RTAD00000012</t>
  </si>
  <si>
    <t>BASE#700C-JFC</t>
  </si>
  <si>
    <t>RTAD00000013</t>
  </si>
  <si>
    <t>FOL1420FC10</t>
  </si>
  <si>
    <t>RTAD00000014</t>
  </si>
  <si>
    <t>RTAD00000015</t>
  </si>
  <si>
    <t>RTAD00000016</t>
  </si>
  <si>
    <t>FLM-HN67</t>
  </si>
  <si>
    <t>RTAD00000017</t>
  </si>
  <si>
    <t>FLM-PK20</t>
  </si>
  <si>
    <t>RTAD00000018</t>
  </si>
  <si>
    <t>KCMM037C17</t>
  </si>
  <si>
    <t>RTAD00000019</t>
  </si>
  <si>
    <t>KCMM052C04</t>
  </si>
  <si>
    <t>RTAD00000020</t>
  </si>
  <si>
    <t>FLM-FAS66AAC-2.4F</t>
  </si>
  <si>
    <t>RTAD00000021</t>
  </si>
  <si>
    <t>KCMM052C06</t>
  </si>
  <si>
    <t>RTAD00000022</t>
  </si>
  <si>
    <t>RTAD00000023</t>
  </si>
  <si>
    <t>FLM-PK72A</t>
  </si>
  <si>
    <t>RTAD00000024</t>
  </si>
  <si>
    <t>FOL1413C9</t>
  </si>
  <si>
    <t>RTAD00000025</t>
  </si>
  <si>
    <t>RTAD00000026</t>
  </si>
  <si>
    <t>390SH180129LT</t>
  </si>
  <si>
    <t>RTAD00000027</t>
  </si>
  <si>
    <t>BS34</t>
  </si>
  <si>
    <t>RTAD00000028</t>
  </si>
  <si>
    <t>RTAD00000029</t>
  </si>
  <si>
    <t>RTAD00000030</t>
  </si>
  <si>
    <t>FSSSL-040</t>
  </si>
  <si>
    <t>RTAD00000031</t>
  </si>
  <si>
    <t>RTAD00000032</t>
  </si>
  <si>
    <t>FLM-BS47B</t>
  </si>
  <si>
    <t>RTAD00000033</t>
  </si>
  <si>
    <t>RTAD00000034</t>
  </si>
  <si>
    <t>RTAD00000035</t>
  </si>
  <si>
    <t>RTAD00000036</t>
  </si>
  <si>
    <t>PS-6A-X40M</t>
  </si>
  <si>
    <t>RTAD00000037</t>
  </si>
  <si>
    <t>ECO SOLDER PELLET : HQ S M705</t>
  </si>
  <si>
    <t>RTAD00000038</t>
  </si>
  <si>
    <t>FLM-PE45A</t>
  </si>
  <si>
    <t>RTAD00000039</t>
  </si>
  <si>
    <t>FLM-PE47A</t>
  </si>
  <si>
    <t>RTAD00000040</t>
  </si>
  <si>
    <t>RTAD00000041</t>
  </si>
  <si>
    <t>FOL1419FC6</t>
  </si>
  <si>
    <t>RTAD00000042</t>
  </si>
  <si>
    <t>Hegitec : FOSP-40TCR-clear</t>
  </si>
  <si>
    <t>RTAD00000043</t>
  </si>
  <si>
    <t>HN31</t>
  </si>
  <si>
    <t>RTAD00000044</t>
  </si>
  <si>
    <t>PCB ASSEMBLY : FR-4 1.6MM</t>
  </si>
  <si>
    <t>RTAD00000045</t>
  </si>
  <si>
    <t>CONNECTOR HOUSING : PHDR-16VS</t>
  </si>
  <si>
    <t>RTAD00000046</t>
  </si>
  <si>
    <t>CABLE:NA3VCSB-23-8P-10</t>
  </si>
  <si>
    <t>RTAD00000047</t>
  </si>
  <si>
    <t>CONNECTOR:S16B-PHDSS</t>
  </si>
  <si>
    <t>RTAD00000048</t>
  </si>
  <si>
    <t>FEMALE CRIMP TERMINAL CONTACT</t>
  </si>
  <si>
    <t>FEMALE CRIMP TERMINAL CONTACT:SPHD-001T-</t>
  </si>
  <si>
    <t>RTAD00000049</t>
  </si>
  <si>
    <t>900UM(40MM) SINGLE FIBER (25PCS/PACK)</t>
  </si>
  <si>
    <t>RTAD00000050</t>
  </si>
  <si>
    <t>RTAD00000051</t>
  </si>
  <si>
    <t>FLM-FAR26BD-0.6N</t>
  </si>
  <si>
    <t>RTAD00000052</t>
  </si>
  <si>
    <t>KC-THF200762</t>
  </si>
  <si>
    <t>RTAD00000053</t>
  </si>
  <si>
    <t>KCMM031C14</t>
  </si>
  <si>
    <t>RTAD00000054</t>
  </si>
  <si>
    <t>390SH201028LT(01)</t>
  </si>
  <si>
    <t>RTAD00000055</t>
  </si>
  <si>
    <t>PFA TUBE 0.5X0.9</t>
  </si>
  <si>
    <t>RTAD00000056</t>
  </si>
  <si>
    <t>PFA TUBE 10X1.5</t>
  </si>
  <si>
    <t>RTAD00000057</t>
  </si>
  <si>
    <t>DFB-PMF-S2(WITH CONNECTOR)</t>
  </si>
  <si>
    <t>RTAD00000058</t>
  </si>
  <si>
    <t>GB-DFBGS1-R</t>
  </si>
  <si>
    <t>RTAD00000059</t>
  </si>
  <si>
    <t>FLM-FAR66BC-2.4F (1426TV)</t>
  </si>
  <si>
    <t>RTAD00000060</t>
  </si>
  <si>
    <t>FC/APC JUMPER 250UM OFS PMF</t>
  </si>
  <si>
    <t>RTAD00000061</t>
  </si>
  <si>
    <t>BS46VA</t>
  </si>
  <si>
    <t>RTAD00000062</t>
  </si>
  <si>
    <t>FLM-IS11K</t>
  </si>
  <si>
    <t>RTAD00000063</t>
  </si>
  <si>
    <t>KPEIMC-100-RA</t>
  </si>
  <si>
    <t>RTAD00000064</t>
  </si>
  <si>
    <t>ASPHERICAL LENS/FLGSDSEA6A</t>
  </si>
  <si>
    <t>RTAD00000065</t>
  </si>
  <si>
    <t>GLASSBLOCK/GB-S0.2W1.0L1.0</t>
  </si>
  <si>
    <t>RTAD00000066</t>
  </si>
  <si>
    <t>GLASSBLOCK/GB-S0.2W1.0L1.5</t>
  </si>
  <si>
    <t>RTAD00000067</t>
  </si>
  <si>
    <t>GLASSBLOCK/GB-S0.3W1.0L1.0</t>
  </si>
  <si>
    <t>RTAD00000068</t>
  </si>
  <si>
    <t>GLASSBLOCK/GB-S0.3W1.0L1.5</t>
  </si>
  <si>
    <t>RTAD00000069</t>
  </si>
  <si>
    <t>25 GBAUD HIGH POWER EML TOSA</t>
  </si>
  <si>
    <t>13Q1CHP LD CHIP</t>
  </si>
  <si>
    <t>RTAD00000070</t>
  </si>
  <si>
    <t>BASE/KC-THF210577</t>
  </si>
  <si>
    <t>RTAD00000071</t>
  </si>
  <si>
    <t>FLEXIBLE CABLE/FDK-FPC</t>
  </si>
  <si>
    <t>RTAD00000073</t>
  </si>
  <si>
    <t>RTAD00000074</t>
  </si>
  <si>
    <t>RTAD00000075</t>
  </si>
  <si>
    <t>RTAD00000076</t>
  </si>
  <si>
    <t>RTAD00000077</t>
  </si>
  <si>
    <t>GLASSBLOCK/GB-S0.2W1.0L1.0-B</t>
  </si>
  <si>
    <t>RTAD00000078</t>
  </si>
  <si>
    <t>GLASSBLOCK/GB-S0.3W1.0L1.0-B</t>
  </si>
  <si>
    <t>RTAD00000079</t>
  </si>
  <si>
    <t>FLM-PE47A(KCMM052C09)</t>
  </si>
  <si>
    <t>RTAD00000080</t>
  </si>
  <si>
    <t>PT-FLM-002</t>
  </si>
  <si>
    <t>RTAD00000081</t>
  </si>
  <si>
    <t>FOL1419FC11</t>
  </si>
  <si>
    <t>RTAD00000082</t>
  </si>
  <si>
    <t>FOL1417FC6(SOA)</t>
  </si>
  <si>
    <t>RTAD00000083</t>
  </si>
  <si>
    <t>FLM-BS47 TYPE2-A</t>
  </si>
  <si>
    <t>RTAD00000084</t>
  </si>
  <si>
    <t>FLM-BS47 TYPE2-B</t>
  </si>
  <si>
    <t>RTAD00000085</t>
  </si>
  <si>
    <t>RTAD00000086</t>
  </si>
  <si>
    <t>RUBBER BOOTS (FLM-GB24)</t>
  </si>
  <si>
    <t>RTAD00000087</t>
  </si>
  <si>
    <t>FLM-FAS21JB-1.6F</t>
  </si>
  <si>
    <t>RTAD00000088</t>
  </si>
  <si>
    <t>FLL1420FC10</t>
  </si>
  <si>
    <t>RTAD00000089</t>
  </si>
  <si>
    <t>RTAD00000090</t>
  </si>
  <si>
    <t>CIH948</t>
  </si>
  <si>
    <t>RTAD00000091</t>
  </si>
  <si>
    <t>FOL15BA-PPJup(SOA)</t>
  </si>
  <si>
    <t>RTAD00000092</t>
  </si>
  <si>
    <t>FLM-BS75A</t>
  </si>
  <si>
    <t>RTAD00000093</t>
  </si>
  <si>
    <t>RTAD00000094</t>
  </si>
  <si>
    <t>FOL15BA-PPJdown1(SOA)</t>
  </si>
  <si>
    <t>RTAD00000095</t>
  </si>
  <si>
    <t>NGP01-230296</t>
  </si>
  <si>
    <t>RTAD00000096</t>
  </si>
  <si>
    <t>RTAD00000097</t>
  </si>
  <si>
    <t>RTAD00000098</t>
  </si>
  <si>
    <t>BS72</t>
  </si>
  <si>
    <t>RTAD00000099</t>
  </si>
  <si>
    <t>BASE-14dp-2</t>
  </si>
  <si>
    <t>RTAD00000100</t>
  </si>
  <si>
    <t>RTAD00000101</t>
  </si>
  <si>
    <t>FLM-PK72AB 1.2-1.2</t>
  </si>
  <si>
    <t>RTAD00000102</t>
  </si>
  <si>
    <t>FLM-PK72A 0.9-1.2</t>
  </si>
  <si>
    <t>RTAD00000103</t>
  </si>
  <si>
    <t>FLM-PK72A 0.5-1.2</t>
  </si>
  <si>
    <t>RTAD00000104</t>
  </si>
  <si>
    <t>RTAD00000105</t>
  </si>
  <si>
    <t>BASE-14DP-5</t>
  </si>
  <si>
    <t>RTAD00000106</t>
  </si>
  <si>
    <t>FLM-GB73A</t>
  </si>
  <si>
    <t>RTAD00000107</t>
  </si>
  <si>
    <t>FOL1419dp3</t>
  </si>
  <si>
    <t>RTAD00000110</t>
  </si>
  <si>
    <t>DR-5-02-0036</t>
  </si>
  <si>
    <t>RTAD00000111</t>
  </si>
  <si>
    <t>FLM-HN33B</t>
  </si>
  <si>
    <t>RTAD00000112</t>
  </si>
  <si>
    <t>FOL1420 dp2</t>
  </si>
  <si>
    <t>RTAD00000113</t>
  </si>
  <si>
    <t>FOL1417FC6</t>
  </si>
  <si>
    <t>RTAD0001-FBN</t>
  </si>
  <si>
    <t>DFB-PMF-S1</t>
  </si>
  <si>
    <t>RTADDFB00001</t>
  </si>
  <si>
    <t>FOL1xxxxDL3</t>
  </si>
  <si>
    <t>RTADDFB00002</t>
  </si>
  <si>
    <t>RTADDFB00003</t>
  </si>
  <si>
    <t>BS56</t>
  </si>
  <si>
    <t>RTADDFB00004</t>
  </si>
  <si>
    <t>FLM-HN41</t>
  </si>
  <si>
    <t>RTADDFB00005</t>
  </si>
  <si>
    <t>FLM-CH24A (1st Lens)</t>
  </si>
  <si>
    <t>RTADDFB00006</t>
  </si>
  <si>
    <t>RTADDFB00007</t>
  </si>
  <si>
    <t>FLM-IS27H</t>
  </si>
  <si>
    <t>RTADDFB00008</t>
  </si>
  <si>
    <t>FLM-SL22B (2nd Lens)</t>
  </si>
  <si>
    <t>RTADDFB00009</t>
  </si>
  <si>
    <t>RTADDFB00010</t>
  </si>
  <si>
    <t>RTADDFB00011</t>
  </si>
  <si>
    <t>RTADDFB00012</t>
  </si>
  <si>
    <t>FLM-FAR12F-1.1F</t>
  </si>
  <si>
    <t>RTADDFB00013</t>
  </si>
  <si>
    <t>FIBER ASSEMBLY FOR DFB FLM-FAR22L-1.2S</t>
  </si>
  <si>
    <t>RTADDFB00014</t>
  </si>
  <si>
    <t>FLM-IS38A</t>
  </si>
  <si>
    <t>RTADDFB00015</t>
  </si>
  <si>
    <t>FLM-IS39A</t>
  </si>
  <si>
    <t>RTADDFB00016</t>
  </si>
  <si>
    <t>FLM-BS27A</t>
  </si>
  <si>
    <t>RTADDFB00017</t>
  </si>
  <si>
    <t>FLM-BS26</t>
  </si>
  <si>
    <t>RTADDFB00019</t>
  </si>
  <si>
    <t>RTADDFB00021</t>
  </si>
  <si>
    <t>RTADDFB00022</t>
  </si>
  <si>
    <t>RTADDFB00023</t>
  </si>
  <si>
    <t>FLM-FAR26Cx-1.0F</t>
  </si>
  <si>
    <t>RTADDFB00024</t>
  </si>
  <si>
    <t>FLM-FAR22JB-1.2F</t>
  </si>
  <si>
    <t>RTADDFB00025</t>
  </si>
  <si>
    <t>FLM-FAR21AB-1.1F</t>
  </si>
  <si>
    <t>RTCA00000001</t>
  </si>
  <si>
    <t>RTELS0000001</t>
  </si>
  <si>
    <t>9-20558-REV-A (30ML@PC)</t>
  </si>
  <si>
    <t>RTELS0000002</t>
  </si>
  <si>
    <t>LD,PD MOUNTED ON CARRIER</t>
  </si>
  <si>
    <t>RTELS0000003</t>
  </si>
  <si>
    <t>MLS630I</t>
  </si>
  <si>
    <t>RTELS0000004</t>
  </si>
  <si>
    <t>FPC MOUNTED ON BASE</t>
  </si>
  <si>
    <t>RTELS0000005</t>
  </si>
  <si>
    <t>N6167 ADHESIVE (5GM@PC)</t>
  </si>
  <si>
    <t>RTELS0000006</t>
  </si>
  <si>
    <t>26A-1A001-02</t>
  </si>
  <si>
    <t>RTELS0000008</t>
  </si>
  <si>
    <t>P84N-0082</t>
  </si>
  <si>
    <t>RTELS0000009</t>
  </si>
  <si>
    <t>PRODUCT PACKAGING MATERIAL (CARD BOARD B</t>
  </si>
  <si>
    <t>RTELS0000010</t>
  </si>
  <si>
    <t>PU FOAM</t>
  </si>
  <si>
    <t>PRODUCT PACKAGING MATERIAL</t>
  </si>
  <si>
    <t>RTELS0000019</t>
  </si>
  <si>
    <t>125-250UM PM FIBER,AR COATING,90 POLIS</t>
  </si>
  <si>
    <t>RTELS0000032</t>
  </si>
  <si>
    <t>ISOLATOR/CIH941</t>
  </si>
  <si>
    <t>RTELS0000033</t>
  </si>
  <si>
    <t>KC-THF210577</t>
  </si>
  <si>
    <t>RTELS0000034</t>
  </si>
  <si>
    <t>CARRIER SIOB STUDY 
#6 V-LENGTH 3.0MM</t>
  </si>
  <si>
    <t>RTELS0000035</t>
  </si>
  <si>
    <t>2541-005</t>
  </si>
  <si>
    <t>RTEPF0000001</t>
  </si>
  <si>
    <t>RTFA00000001</t>
  </si>
  <si>
    <t>RTFA00000002</t>
  </si>
  <si>
    <t>RTFA00000003</t>
  </si>
  <si>
    <t>RTFA00000004</t>
  </si>
  <si>
    <t>SINGLE MODE OPTICAL FIBRE G.657A2</t>
  </si>
  <si>
    <t>RTFA00000005</t>
  </si>
  <si>
    <t>FSC STOPPER L SC/APC(RLP3146-241F2B-1)</t>
  </si>
  <si>
    <t>RTFB00000001</t>
  </si>
  <si>
    <t>FLM-PE52BE</t>
  </si>
  <si>
    <t>RTFB00000002</t>
  </si>
  <si>
    <t>FLM-FAW21Cx-1.3F</t>
  </si>
  <si>
    <t>RTFB00000003</t>
  </si>
  <si>
    <t>250um PMF(TYPE 1 - A)</t>
  </si>
  <si>
    <t>RTFB00000004</t>
  </si>
  <si>
    <t>250um PMF(TYPE 1 - B)</t>
  </si>
  <si>
    <t>RTFB00000005</t>
  </si>
  <si>
    <t>250um PMF(TYPE 1 - C)</t>
  </si>
  <si>
    <t>RTFB00000006</t>
  </si>
  <si>
    <t>FLM-PL29A-2</t>
  </si>
  <si>
    <t>RTFB00000007</t>
  </si>
  <si>
    <t>RTFB00000008</t>
  </si>
  <si>
    <t>JP-FLM-008</t>
  </si>
  <si>
    <t>RTFB00000010</t>
  </si>
  <si>
    <t>RTFI00000001</t>
  </si>
  <si>
    <t>PAN HEAD SCREW M1.7*5L</t>
  </si>
  <si>
    <t>RTFI00000002</t>
  </si>
  <si>
    <t>SHIM RING T 0.01</t>
  </si>
  <si>
    <t>RTFI00000003</t>
  </si>
  <si>
    <t>SHIM RING T 0.05</t>
  </si>
  <si>
    <t>RTFI00000004</t>
  </si>
  <si>
    <t>SHIM RING T 0.10</t>
  </si>
  <si>
    <t>RTFI00000005</t>
  </si>
  <si>
    <t>COMPRESSION SPRING: 81B2401D</t>
  </si>
  <si>
    <t>RTFI00000006</t>
  </si>
  <si>
    <t>PRODUCT LABEL FILM SAMPLE : MDW18001-001</t>
  </si>
  <si>
    <t>RTFI00000007</t>
  </si>
  <si>
    <t>COMPRESSION SPRING LOAD 0.7 N : 81B2401D</t>
  </si>
  <si>
    <t>RTFI00000008</t>
  </si>
  <si>
    <t>COMPRESSION SPRING LOAD 0.8 N : 81B2401D</t>
  </si>
  <si>
    <t>RTFI00000009</t>
  </si>
  <si>
    <t>20 BLADE : 85B2362B</t>
  </si>
  <si>
    <t>RTFI00000016</t>
  </si>
  <si>
    <t>RTFI00000017</t>
  </si>
  <si>
    <t>RTFI00000018</t>
  </si>
  <si>
    <t>PIN (POST : 81B2326AB)</t>
  </si>
  <si>
    <t>RTFI00000019</t>
  </si>
  <si>
    <t>PIN (POST : 81B2326B)</t>
  </si>
  <si>
    <t>RTFI00000020</t>
  </si>
  <si>
    <t>TORSION SPRING (85B2696A)</t>
  </si>
  <si>
    <t>RTFI00000022</t>
  </si>
  <si>
    <t>RTFI00000023</t>
  </si>
  <si>
    <t>PIN (POST :SUS420J / HRC 50-55 81B2326B)</t>
  </si>
  <si>
    <t>RTFLBC000004</t>
  </si>
  <si>
    <t>PULL TUBE(4X1)Q-1.5MX1.8M-400M</t>
  </si>
  <si>
    <t>RTFLBC000005</t>
  </si>
  <si>
    <t>CAPILLARY TUBE(6X1)Q-.6M-.8M-0-400M</t>
  </si>
  <si>
    <t>RTFLBC000010</t>
  </si>
  <si>
    <t>MCMASTER CARR#7856K673 CLEARCOLOR(PK@10P</t>
  </si>
  <si>
    <t>RTFLBC000020</t>
  </si>
  <si>
    <t>SILICONE RUBBER TUBING 5041K604</t>
  </si>
  <si>
    <t>RTFLBC000021</t>
  </si>
  <si>
    <t>EXTREME TEMPERATURE TEFLON WHITE 5239K23</t>
  </si>
  <si>
    <t>RTFLBC000022</t>
  </si>
  <si>
    <t>BASE PLATE PART NO.ED-DD-17-209</t>
  </si>
  <si>
    <t>RTFLBC000023</t>
  </si>
  <si>
    <t>BEAM COMBINER LID PART NO.ED-DD-17-119</t>
  </si>
  <si>
    <t>RTFLBC000024</t>
  </si>
  <si>
    <t>SIDE WALL PART NO.ED-DD-17-120</t>
  </si>
  <si>
    <t>RTFLBC000025</t>
  </si>
  <si>
    <t>SPLICE INSERT PART NO.ED-DD-17-210</t>
  </si>
  <si>
    <t>RTFLBC000026</t>
  </si>
  <si>
    <t>STRAIN RELIEF PLATE PART NO.ED-DD-17-211</t>
  </si>
  <si>
    <t>RTFLBC000027</t>
  </si>
  <si>
    <t>SUB COMBINER PACKAGE  NO.ED-DD-17-117</t>
  </si>
  <si>
    <t>RTFLBC000028</t>
  </si>
  <si>
    <t>ALUMINIUM PACKAGE BASE  NO.ED-DD-17-123</t>
  </si>
  <si>
    <t>RTFLBC000029</t>
  </si>
  <si>
    <t>ALUMINIUM PACKAGE LID  NO.ED-DD-17-124</t>
  </si>
  <si>
    <t>RTFLBC000030</t>
  </si>
  <si>
    <t>ALUMINIUM WIRE CLAMP  NO.ED-DD-17-125</t>
  </si>
  <si>
    <t>RTFLBC000031</t>
  </si>
  <si>
    <t>SS : BC_PCB : 1.46X0.51</t>
  </si>
  <si>
    <t>RTFLBC000032</t>
  </si>
  <si>
    <t>PET HEAT SHRINK 103-0053:B (PC@50IN= 1.2</t>
  </si>
  <si>
    <t>RTFLBC000033</t>
  </si>
  <si>
    <t>SPLICE INSERT: ED-DD-17-210 BEAMCOMBINER</t>
  </si>
  <si>
    <t>RTFLBC000034</t>
  </si>
  <si>
    <t>RTFLBC000035</t>
  </si>
  <si>
    <t>PTFE  HEAT SHRINK:SM2TSW-20-48(48"@1.</t>
  </si>
  <si>
    <t>RTFLBC000036</t>
  </si>
  <si>
    <t>100-360 LI COMBINER FIBER : 83259</t>
  </si>
  <si>
    <t>RTFLBC000037</t>
  </si>
  <si>
    <t>RTFLBC000038</t>
  </si>
  <si>
    <t>F-TUBE SILICA FLUORINE TUBE 6X1 :7000554</t>
  </si>
  <si>
    <t>RTFLBC000039</t>
  </si>
  <si>
    <t>19x1 Baseplate:7000659</t>
  </si>
  <si>
    <t>RTFLBC000040</t>
  </si>
  <si>
    <t>19x1 Baseplate Lid:7000660</t>
  </si>
  <si>
    <t>RTFLBC000042</t>
  </si>
  <si>
    <t>M2x5 Screw:M2x5 FHMS (1PK@100PCS)</t>
  </si>
  <si>
    <t>RTFLBC000043</t>
  </si>
  <si>
    <t>M2x4 Screw:M2x4 FHMS (1PK@100PCS)</t>
  </si>
  <si>
    <t>RTFLBC000044</t>
  </si>
  <si>
    <t>M2x4 Screw:CSPSL-SUS-M2-4</t>
  </si>
  <si>
    <t>RTFLBC000045</t>
  </si>
  <si>
    <t>Plastic Tube SWTT-21:1Roll@100 FT=3048CM</t>
  </si>
  <si>
    <t>RTFLBC000046</t>
  </si>
  <si>
    <t>Teflon Washer:TT-0204-10</t>
  </si>
  <si>
    <t>RTFLBC000047</t>
  </si>
  <si>
    <t>TeTeflon Washer:TT-0204-03</t>
  </si>
  <si>
    <t>RTFLBC000048</t>
  </si>
  <si>
    <t>Kapton Film:2271K73</t>
  </si>
  <si>
    <t>RTFLBC000049</t>
  </si>
  <si>
    <t>19x1 PCB Lid:7000677</t>
  </si>
  <si>
    <t>RTFLBC000061</t>
  </si>
  <si>
    <t>BD-S100/120/360-STN 100</t>
  </si>
  <si>
    <t>RTFLBC000062</t>
  </si>
  <si>
    <t>PCB LID 7000677: ED-DD-19-048</t>
  </si>
  <si>
    <t>RTFLBC000063</t>
  </si>
  <si>
    <t>SHIPPING PLATE: ED-DD-19-146</t>
  </si>
  <si>
    <t>RTFLBC000064</t>
  </si>
  <si>
    <t>18X1 BASEPLATE(RIGHT HAND) (7000659)</t>
  </si>
  <si>
    <t>RTFLBC000065</t>
  </si>
  <si>
    <t>18X1 BEAM COMBINER LID (7000660)</t>
  </si>
  <si>
    <t>RTFLBC000066</t>
  </si>
  <si>
    <t>18X1 PCB LID (7000677)</t>
  </si>
  <si>
    <t>RTFLBC000067</t>
  </si>
  <si>
    <t>18X1 SHIPPING COVER (7000679)</t>
  </si>
  <si>
    <t>RTFLBC000068</t>
  </si>
  <si>
    <t>18X1 SHIPPING PLATE</t>
  </si>
  <si>
    <t>RTFLBC000069</t>
  </si>
  <si>
    <t>18X1 MEDIUM PACKAGE (7000691)</t>
  </si>
  <si>
    <t>RTFLBC000070</t>
  </si>
  <si>
    <t>18X1 MEDIUM PACKAGE LID (7000692)</t>
  </si>
  <si>
    <t>RTFLBC000071</t>
  </si>
  <si>
    <t>MM FIBER</t>
  </si>
  <si>
    <t>FIBER MM105-125HI:FG105LVA</t>
  </si>
  <si>
    <t>RTFLBC000074</t>
  </si>
  <si>
    <t>PCB FOR RIBON CABLE (PCB 7000741)</t>
  </si>
  <si>
    <t>RTFLBC000075</t>
  </si>
  <si>
    <t>MEDIUM PACKAGE</t>
  </si>
  <si>
    <t>RTFLBC000076</t>
  </si>
  <si>
    <t>MEDIUM PACKAGE LID A</t>
  </si>
  <si>
    <t>RTFLBC000077</t>
  </si>
  <si>
    <t>MEDIUM PACKAGE LID B</t>
  </si>
  <si>
    <t>RTFLBC000078</t>
  </si>
  <si>
    <t>6x1 MEDIUM PACKAGE</t>
  </si>
  <si>
    <t>RTFLBC000079</t>
  </si>
  <si>
    <t>RTFLBC000080</t>
  </si>
  <si>
    <t>PC-383MS (PC@30GM)</t>
  </si>
  <si>
    <t>RTFLBC000081</t>
  </si>
  <si>
    <t>6X1 MEDIUM PACKAGE:484-N2818-1001</t>
  </si>
  <si>
    <t>RTFLBC000082</t>
  </si>
  <si>
    <t>RTFLBC000083</t>
  </si>
  <si>
    <t>RTFLBC000084</t>
  </si>
  <si>
    <t>MEDIUM PACKAGE, 18X1:7000691</t>
  </si>
  <si>
    <t>RTFLBC000085</t>
  </si>
  <si>
    <t>6X1 FLAT TOP MEDIUM PKG:FL-DRW-3000-A</t>
  </si>
  <si>
    <t>RTFLBC000086</t>
  </si>
  <si>
    <t>MEDIUM PACKAGE:7000061</t>
  </si>
  <si>
    <t>RTFLBC000087</t>
  </si>
  <si>
    <t>RTFLBC000088</t>
  </si>
  <si>
    <t>RTFLBC000090</t>
  </si>
  <si>
    <t>RTFLBC000091</t>
  </si>
  <si>
    <t>FIBER:BDF-S50/70/360-22FA-1 HP</t>
  </si>
  <si>
    <t>RTFLBC000093</t>
  </si>
  <si>
    <t>UVNS 300/340/440/550ST,NA=0.215</t>
  </si>
  <si>
    <t>RTFLBC000094</t>
  </si>
  <si>
    <t>UV113_125_180_300T NA=0.22</t>
  </si>
  <si>
    <t>RTFLBC000095</t>
  </si>
  <si>
    <t>FIBER : SM600</t>
  </si>
  <si>
    <t>RTFLBC000096</t>
  </si>
  <si>
    <t>RED LIGHT LD:490-N0748-0001(TODET-033-A)</t>
  </si>
  <si>
    <t>RTFLBC000097</t>
  </si>
  <si>
    <t>REFLECT MONITOR PD : KPDE030GTU-F</t>
  </si>
  <si>
    <t>RTFLBC000098</t>
  </si>
  <si>
    <t>WDM COUPLER : 492-N0519-0001</t>
  </si>
  <si>
    <t>RTFLBC000099</t>
  </si>
  <si>
    <t>FUSION SPLICE SLEEVE : PS-6A-X40U</t>
  </si>
  <si>
    <t>RTFLCA000002</t>
  </si>
  <si>
    <t>SURFACE TREATMENT :NON 7000291-1</t>
  </si>
  <si>
    <t>RTFLCA000003</t>
  </si>
  <si>
    <t>SURFACE TREATMENT:CLEAR CHROMATE  AIR B</t>
  </si>
  <si>
    <t>RTFLCA000006</t>
  </si>
  <si>
    <t>TRUEMODE SIDEWALL C : 7000293</t>
  </si>
  <si>
    <t>RTFLCA000007</t>
  </si>
  <si>
    <t>PD COVER MOUNT : 7000472</t>
  </si>
  <si>
    <t>RTFLCA000011</t>
  </si>
  <si>
    <t>SCB2-4 BOLTS</t>
  </si>
  <si>
    <t>RTFLCA000012</t>
  </si>
  <si>
    <t>MODE STRIPPER PKG : 7000437 (AL5052)</t>
  </si>
  <si>
    <t>RTFLCA000018</t>
  </si>
  <si>
    <t>NYLON SOCKET 1.8 (PN:95868A130)</t>
  </si>
  <si>
    <t>RTFLCA000020</t>
  </si>
  <si>
    <t>BASEPLATE PLUG:ED-DD-18-301</t>
  </si>
  <si>
    <t>RTFLCA000021</t>
  </si>
  <si>
    <t>LID:70000314</t>
  </si>
  <si>
    <t>RTFLCA000022</t>
  </si>
  <si>
    <t>SRS FILTER : 7000736</t>
  </si>
  <si>
    <t>RTFLCA000023</t>
  </si>
  <si>
    <t>MS3.0-MODE STRIPPER SRS FILTER:7000821</t>
  </si>
  <si>
    <t>RTFLCA000025</t>
  </si>
  <si>
    <t>BOLT:CSPCS1P-ST3B-M2-3.5(PK@1000PC)</t>
  </si>
  <si>
    <t>RTFLCA000026</t>
  </si>
  <si>
    <t>ADHESIVES FOR THREADLOCK:TL42J-10ML</t>
  </si>
  <si>
    <t>RTFLCA000031</t>
  </si>
  <si>
    <t>YB 16-250 : 89574</t>
  </si>
  <si>
    <t>RTFLCA000032</t>
  </si>
  <si>
    <t>LOCTITE 243:IDH1311320(50ML)</t>
  </si>
  <si>
    <t>RTFLCA018FEC</t>
  </si>
  <si>
    <t>X-32-6029-A</t>
  </si>
  <si>
    <t>RTFLCA019FEC</t>
  </si>
  <si>
    <t>X-32-6029-B</t>
  </si>
  <si>
    <t>RTFLCA020FEC</t>
  </si>
  <si>
    <t>BORON NITRIDE : SGP (KG@1,000GRM)</t>
  </si>
  <si>
    <t>RTFLCA022FEC</t>
  </si>
  <si>
    <t>CURE ACCERATOR : X-93-405</t>
  </si>
  <si>
    <t>RTFLCA023FEC</t>
  </si>
  <si>
    <t>SILICONE : KE-1063-(AB)</t>
  </si>
  <si>
    <t>RTFLCA024FEC</t>
  </si>
  <si>
    <t>BN POWDER : XGP</t>
  </si>
  <si>
    <t>RTFLCA025FEC</t>
  </si>
  <si>
    <t>RTFLCA026FEC</t>
  </si>
  <si>
    <t>SILICONE A : KE-1063-(A)</t>
  </si>
  <si>
    <t>RTFLCA027FEC</t>
  </si>
  <si>
    <t>SILICONE B : KE-1063-(B)</t>
  </si>
  <si>
    <t>RTFLCA028FEC</t>
  </si>
  <si>
    <t>SILICONE : X-32 6029 (A) (PC@1000GM)</t>
  </si>
  <si>
    <t>RTFLCA029FEC</t>
  </si>
  <si>
    <t>SILICONE : X-32 6029 (B) (PC@1000GM)</t>
  </si>
  <si>
    <t>RTFLEG000001</t>
  </si>
  <si>
    <t>RTFLEG000002</t>
  </si>
  <si>
    <t>RTFLEG000003</t>
  </si>
  <si>
    <t>RTFLEG000004</t>
  </si>
  <si>
    <t>RTFLEG000005</t>
  </si>
  <si>
    <t>RTFLEG000006</t>
  </si>
  <si>
    <t>RTFLEG000007</t>
  </si>
  <si>
    <t>RTFLEG000008</t>
  </si>
  <si>
    <t>RTFLEG000009</t>
  </si>
  <si>
    <t>RTFLEG000010</t>
  </si>
  <si>
    <t>LD GUIDE 2</t>
  </si>
  <si>
    <t>RTFLEG000011</t>
  </si>
  <si>
    <t>RTFLEG000012</t>
  </si>
  <si>
    <t>RTFLEG000013</t>
  </si>
  <si>
    <t>RTFLEG000014</t>
  </si>
  <si>
    <t>RTFLEG000015</t>
  </si>
  <si>
    <t>RTFLEG000016</t>
  </si>
  <si>
    <t>COPPER BAR</t>
  </si>
  <si>
    <t>RTFLEG000017</t>
  </si>
  <si>
    <t>RTFLEG000018</t>
  </si>
  <si>
    <t>RTFLEG000019</t>
  </si>
  <si>
    <t>RTFLEG000020</t>
  </si>
  <si>
    <t>RTFLEG000021</t>
  </si>
  <si>
    <t>CASING TUBE(KSP-2 6N L=1200)</t>
  </si>
  <si>
    <t>RTFLEG000022</t>
  </si>
  <si>
    <t>PTFE TUBE(244-1031-55 L12400)</t>
  </si>
  <si>
    <t>RTFLEG000023</t>
  </si>
  <si>
    <t>ALUMINUM CLAMP (AL-2)</t>
  </si>
  <si>
    <t>RTFLEG000024</t>
  </si>
  <si>
    <t>HANDLE BAR(UWFAS8-80-30)</t>
  </si>
  <si>
    <t>RTFLEG000025</t>
  </si>
  <si>
    <t>RTFLEG000026</t>
  </si>
  <si>
    <t>RTFLEG000027</t>
  </si>
  <si>
    <t>RTFLEG000028</t>
  </si>
  <si>
    <t>CLAMP L(RLSC-1V0)</t>
  </si>
  <si>
    <t>RTFLEG000029</t>
  </si>
  <si>
    <t>RTFLEG000030</t>
  </si>
  <si>
    <t>SHRINKING TUBE(SZF2-5.0W)</t>
  </si>
  <si>
    <t>RTFLEG000031</t>
  </si>
  <si>
    <t>SHRINKING TUBE(HSHTD-4.7-5P)</t>
  </si>
  <si>
    <t>RTFLEG000032</t>
  </si>
  <si>
    <t>PTFE TUBE(02-029-04-02)</t>
  </si>
  <si>
    <t>RTFLEG000033</t>
  </si>
  <si>
    <t>RTFLEG000034</t>
  </si>
  <si>
    <t>SPACER WITH WASHER (WSU-310SP)</t>
  </si>
  <si>
    <t>RTFLEG000035</t>
  </si>
  <si>
    <t>SPACER WITH WASHER (WSU-325SP)</t>
  </si>
  <si>
    <t>RTFLEG000036</t>
  </si>
  <si>
    <t>RTFLEG000037</t>
  </si>
  <si>
    <t>RTFLEG000038</t>
  </si>
  <si>
    <t>RTFLEG000039</t>
  </si>
  <si>
    <t>RTFLEG000040</t>
  </si>
  <si>
    <t>RTFLEG000041</t>
  </si>
  <si>
    <t>HEXAGONAL BOLT WITH THROUGH HOLE (RCBAS6</t>
  </si>
  <si>
    <t>RTFLEG000042</t>
  </si>
  <si>
    <t>RTFLEG000043</t>
  </si>
  <si>
    <t>MULTI MODE FIBER WITH AR FERRULE</t>
  </si>
  <si>
    <t>RTFLEG000044</t>
  </si>
  <si>
    <t>EXTRA PORT ATTENUATINO MODULE</t>
  </si>
  <si>
    <t>RTFLEG000046</t>
  </si>
  <si>
    <t>THERMAL GREASE G77 (PC@1000GRM)</t>
  </si>
  <si>
    <t>RTFLEG000047</t>
  </si>
  <si>
    <t>RTFLEG000048</t>
  </si>
  <si>
    <t>RTFLEG000049</t>
  </si>
  <si>
    <t>RTFLEG000050</t>
  </si>
  <si>
    <t>ELECTRIC WIRE (UL1015-14-BE)</t>
  </si>
  <si>
    <t>RTFLEG000051</t>
  </si>
  <si>
    <t>SHRINKING TUBE (F2(Z))</t>
  </si>
  <si>
    <t>RTFLEG000052</t>
  </si>
  <si>
    <t>W SEMS SCREW (M2.6-L8)</t>
  </si>
  <si>
    <t>RTFLEG000053</t>
  </si>
  <si>
    <t>RTFLEG000054</t>
  </si>
  <si>
    <t>RTFLEG000055</t>
  </si>
  <si>
    <t>RTFLEG000056</t>
  </si>
  <si>
    <t>RTFLEG000057</t>
  </si>
  <si>
    <t>W SEMS SCREW (M4-L16)</t>
  </si>
  <si>
    <t>RTFLEG000058</t>
  </si>
  <si>
    <t>W SEMS SCREW (M4-L8)</t>
  </si>
  <si>
    <t>RTFLEG000059</t>
  </si>
  <si>
    <t>RTFLEG000060</t>
  </si>
  <si>
    <t>W SEMS SCREW (M5-L22)</t>
  </si>
  <si>
    <t>RTFLEG000061</t>
  </si>
  <si>
    <t>RTFLEG000062</t>
  </si>
  <si>
    <t>RTFLEG000063</t>
  </si>
  <si>
    <t>W SEMS SCREW (M2-L3)</t>
  </si>
  <si>
    <t>RTFLEG000064</t>
  </si>
  <si>
    <t>RTFLEG000065</t>
  </si>
  <si>
    <t>RTFLEG000066</t>
  </si>
  <si>
    <t>FIBER LASER ENGINE PART:FLE 430-U1164-01</t>
  </si>
  <si>
    <t>RTFLEG000067</t>
  </si>
  <si>
    <t>HEATSINK: 484-N2575-1001</t>
  </si>
  <si>
    <t>RTFLEG000068</t>
  </si>
  <si>
    <t>FLE HEATSINK : 484-N2575-1001</t>
  </si>
  <si>
    <t>RTFLEG000069</t>
  </si>
  <si>
    <t>MOLD FOR BENDING COPPER PIPE</t>
  </si>
  <si>
    <t>RTFLEG000070</t>
  </si>
  <si>
    <t>MOLD FOR REFORMING COPPER PIPE</t>
  </si>
  <si>
    <t>RTFLEG000071</t>
  </si>
  <si>
    <t>JIG FOR INSPECTING WATER PRESSURE</t>
  </si>
  <si>
    <t>RTFLEG000072</t>
  </si>
  <si>
    <t>MOLD FOR ASSEMBLING REUSABLE PACKING BOX</t>
  </si>
  <si>
    <t>RTFLEG000073</t>
  </si>
  <si>
    <t>SUS STRUT: 482-N2874-1002</t>
  </si>
  <si>
    <t>RTFLEG000074</t>
  </si>
  <si>
    <t>SUS STRUT: 482-N2874-1001</t>
  </si>
  <si>
    <t>RTFLEG000075</t>
  </si>
  <si>
    <t>SUS STRUT: 482-N2875-1001</t>
  </si>
  <si>
    <t>RTFLEG000076</t>
  </si>
  <si>
    <t>ALUMINIUM GIUDE: 482-N2879-1001</t>
  </si>
  <si>
    <t>RTFLEG000077</t>
  </si>
  <si>
    <t>ALUMINIUM GIUDE: 482-N2879-1003</t>
  </si>
  <si>
    <t>RTFLEG000078</t>
  </si>
  <si>
    <t>ALUMINIUM GIUDE: 482-N2880-1001</t>
  </si>
  <si>
    <t>RTFLEG000079</t>
  </si>
  <si>
    <t>ALUMINIUM LID: 482-N2881-1001</t>
  </si>
  <si>
    <t>RTFLEG000080</t>
  </si>
  <si>
    <t>ALUMINIUM PLATE: 482-N2882-1001</t>
  </si>
  <si>
    <t>RTFLEG000081</t>
  </si>
  <si>
    <t>SUS BAR: 482-N2884-1001</t>
  </si>
  <si>
    <t>RTFLEG000082</t>
  </si>
  <si>
    <t>SUS BAR: 482-N2884-1002</t>
  </si>
  <si>
    <t>RTFLEG000083</t>
  </si>
  <si>
    <t>ALUMINIUM SUB BASE: 482-N2883-1001</t>
  </si>
  <si>
    <t>RTFLEG000084</t>
  </si>
  <si>
    <t>ALUMINIUM PLATE: 482-N2886-1001</t>
  </si>
  <si>
    <t>RTFLEG000085</t>
  </si>
  <si>
    <t>RTFLEG000086</t>
  </si>
  <si>
    <t>FASTENING CSPPNZP-SUSGJB-M5-20(PK@500PC)</t>
  </si>
  <si>
    <t>RTFLFL010DEN</t>
  </si>
  <si>
    <t>DCT14-200HI, CERTIFIED FIBER 80851</t>
  </si>
  <si>
    <t>RTFLFL047DEN</t>
  </si>
  <si>
    <t>RTFLFL069DEN</t>
  </si>
  <si>
    <t>YB14-250 : 80874</t>
  </si>
  <si>
    <t>RTFLFL071DEN</t>
  </si>
  <si>
    <t>DCT14/125LI : 80845</t>
  </si>
  <si>
    <t>RTFLTFB002-D</t>
  </si>
  <si>
    <t>PE14-125-2.2LI : 80853</t>
  </si>
  <si>
    <t>RTFLTFB003-D</t>
  </si>
  <si>
    <t>DCT14-250LI, CERT. FIBER: 80843</t>
  </si>
  <si>
    <t>RTFLW1000001</t>
  </si>
  <si>
    <t>RTFLW1000002</t>
  </si>
  <si>
    <t>ACC1 CIRCUIT BOARD</t>
  </si>
  <si>
    <t>RTFLW1000003</t>
  </si>
  <si>
    <t>ACC2 CIRCUIT BOARD</t>
  </si>
  <si>
    <t>RTFLW1000004</t>
  </si>
  <si>
    <t>RTFLW1000005</t>
  </si>
  <si>
    <t>RTFLW1000006</t>
  </si>
  <si>
    <t>DSUB 37, 9 PIN HARNESS</t>
  </si>
  <si>
    <t>RTFLW1000007</t>
  </si>
  <si>
    <t>RTFLW1000008</t>
  </si>
  <si>
    <t>RTFLW1000009</t>
  </si>
  <si>
    <t>RED LD, HS_TH HARNESS</t>
  </si>
  <si>
    <t>RTFLW1000010</t>
  </si>
  <si>
    <t>RTFLW1000011</t>
  </si>
  <si>
    <t>RTFLW1000012</t>
  </si>
  <si>
    <t>RTFLW1000013</t>
  </si>
  <si>
    <t>RTFLW1000014</t>
  </si>
  <si>
    <t>RTFLW1000015</t>
  </si>
  <si>
    <t>RTFLW1000016</t>
  </si>
  <si>
    <t>ACC-LD HARNESS</t>
  </si>
  <si>
    <t>RTFLW1000017</t>
  </si>
  <si>
    <t>TERMINAL BLOCK  OTB-593-2P</t>
  </si>
  <si>
    <t>RTFLW1000018</t>
  </si>
  <si>
    <t>RTFLW1000019</t>
  </si>
  <si>
    <t>RTFLW1000020</t>
  </si>
  <si>
    <t>RTFLW1000021</t>
  </si>
  <si>
    <t>RTFLW1000022</t>
  </si>
  <si>
    <t>RTFLW1000023</t>
  </si>
  <si>
    <t>RTFLW1000024</t>
  </si>
  <si>
    <t>RTFLW1000025</t>
  </si>
  <si>
    <t>RTFLW1000026</t>
  </si>
  <si>
    <t>RTFLW1000027</t>
  </si>
  <si>
    <t>RTFLW1000028</t>
  </si>
  <si>
    <t>RTFLW1000029</t>
  </si>
  <si>
    <t>RTFLW1000030</t>
  </si>
  <si>
    <t>RTFLW1000031</t>
  </si>
  <si>
    <t>RTFLW1000032</t>
  </si>
  <si>
    <t>RTFLW1000033</t>
  </si>
  <si>
    <t>RTFLW1000034</t>
  </si>
  <si>
    <t>RTFLW1000035</t>
  </si>
  <si>
    <t>RTFLW1000036</t>
  </si>
  <si>
    <t>RTFLW1000037</t>
  </si>
  <si>
    <t>RTFLW1000038</t>
  </si>
  <si>
    <t>RTFLW1000039</t>
  </si>
  <si>
    <t>RTFLW1000040</t>
  </si>
  <si>
    <t>RTFLW1000041</t>
  </si>
  <si>
    <t>RTFLW1000042</t>
  </si>
  <si>
    <t>RTFLW1000043</t>
  </si>
  <si>
    <t>RTFLW1000044</t>
  </si>
  <si>
    <t>RTFLW1000045</t>
  </si>
  <si>
    <t>RTFLW1000046</t>
  </si>
  <si>
    <t>RTFLW1000047</t>
  </si>
  <si>
    <t>RTFLW1000048</t>
  </si>
  <si>
    <t>RTFLW1000049</t>
  </si>
  <si>
    <t>RTFLW1000050</t>
  </si>
  <si>
    <t>COVER  N-10-043-M222</t>
  </si>
  <si>
    <t>RTFLW1000051</t>
  </si>
  <si>
    <t>RTFLW1000052</t>
  </si>
  <si>
    <t>RTFLW1000053</t>
  </si>
  <si>
    <t>RTFLW1000054</t>
  </si>
  <si>
    <t>RTFLW1000055</t>
  </si>
  <si>
    <t>RTFLW1000056</t>
  </si>
  <si>
    <t>FLAME RETARDANT RUBBER FEET(C-30-RK-3225</t>
  </si>
  <si>
    <t>RTFLW1000057</t>
  </si>
  <si>
    <t>RTFLW1000058</t>
  </si>
  <si>
    <t>RTFLW1000059</t>
  </si>
  <si>
    <t>RTFLW1000060</t>
  </si>
  <si>
    <t>MINI CLAMP MN-1-R</t>
  </si>
  <si>
    <t>RTFLW1000061</t>
  </si>
  <si>
    <t>RTFLW1000062</t>
  </si>
  <si>
    <t>RTFLW1000063</t>
  </si>
  <si>
    <t>RTFLW1000064</t>
  </si>
  <si>
    <t>RTFLW1000065</t>
  </si>
  <si>
    <t>INSULATING BUSH (PE2736-6120)</t>
  </si>
  <si>
    <t>RTFLW1000066</t>
  </si>
  <si>
    <t>RTFLW1000067</t>
  </si>
  <si>
    <t>RTFLW1000068</t>
  </si>
  <si>
    <t>HEAT DISSIPATION SHEET BFG20A D-2</t>
  </si>
  <si>
    <t>RTFLW1000069</t>
  </si>
  <si>
    <t>RTFLW1000070</t>
  </si>
  <si>
    <t>W SEMS SCREW (M2.6-L10)</t>
  </si>
  <si>
    <t>RTFLW1000071</t>
  </si>
  <si>
    <t>SPACER WITH WASHER ( BSU-2010)</t>
  </si>
  <si>
    <t>RTFLW1000072</t>
  </si>
  <si>
    <t>SPACER WITH WASHER (MS-2012-03E)</t>
  </si>
  <si>
    <t>RTFLW1000073</t>
  </si>
  <si>
    <t>W SEMS SCREW (M2-L5)</t>
  </si>
  <si>
    <t>RTFLW1000074</t>
  </si>
  <si>
    <t>SPACER WITH WASHER (MSU-2005-03)</t>
  </si>
  <si>
    <t>RTFLW1000075</t>
  </si>
  <si>
    <t>W SEMS SCREW (M2-L8)</t>
  </si>
  <si>
    <t>RTFLW1000076</t>
  </si>
  <si>
    <t>W SEMS SCREW (M3-L15)</t>
  </si>
  <si>
    <t>RTFLW1000077</t>
  </si>
  <si>
    <t>SPACER WITH WASHER (BSU-321)</t>
  </si>
  <si>
    <t>RTFLW1000078</t>
  </si>
  <si>
    <t>SPACER WITH WASHER (BSU-334)</t>
  </si>
  <si>
    <t>RTFLW1000079</t>
  </si>
  <si>
    <t>W SEMS SCREW (M3-L5)</t>
  </si>
  <si>
    <t>RTFLW1000080</t>
  </si>
  <si>
    <t>W SEMS SCREW (M3-L6)</t>
  </si>
  <si>
    <t>RTFLW1000081</t>
  </si>
  <si>
    <t>RTFLW1000082</t>
  </si>
  <si>
    <t>RTFLW1000083</t>
  </si>
  <si>
    <t>RTFLW1000084</t>
  </si>
  <si>
    <t>RTFLW1000085</t>
  </si>
  <si>
    <t>W SEMS SCREW (M4-L30)</t>
  </si>
  <si>
    <t>RTFLW1000086</t>
  </si>
  <si>
    <t>RTFLW1000087</t>
  </si>
  <si>
    <t>W SEMS SCREW (M5-L10)</t>
  </si>
  <si>
    <t>RTFLW1000088</t>
  </si>
  <si>
    <t>RTFLW1000089</t>
  </si>
  <si>
    <t>RTFLW1000090</t>
  </si>
  <si>
    <t>W SEMS SCREW (M5-L20)</t>
  </si>
  <si>
    <t>RTFLW1000091</t>
  </si>
  <si>
    <t>RTFLW1000093</t>
  </si>
  <si>
    <t>W SEMS SCREW (M2-L10)</t>
  </si>
  <si>
    <t>RTFLW1000094</t>
  </si>
  <si>
    <t>STAINLESS STEEL HEX LOW HEAD BOLT</t>
  </si>
  <si>
    <t>RTFLW1000095</t>
  </si>
  <si>
    <t>RTFLW1000098</t>
  </si>
  <si>
    <t>RTFLW1000099</t>
  </si>
  <si>
    <t>RTFLW1000100</t>
  </si>
  <si>
    <t>RTFLW1000102</t>
  </si>
  <si>
    <t>RTFLW1000103</t>
  </si>
  <si>
    <t>RTFLW1000104</t>
  </si>
  <si>
    <t>DC POWER SUPPLY</t>
  </si>
  <si>
    <t>ASF1J306</t>
  </si>
  <si>
    <t>RTFLW1000105</t>
  </si>
  <si>
    <t>FIXED METAL FITTINGS: 482-N2563-1001</t>
  </si>
  <si>
    <t>RTFLW1000106</t>
  </si>
  <si>
    <t>CHASSIS: 482-N2734-1001</t>
  </si>
  <si>
    <t>RTFLW1000107</t>
  </si>
  <si>
    <t>COVER: 482-N2735-1001</t>
  </si>
  <si>
    <t>RTFLW1000108</t>
  </si>
  <si>
    <t>PLILARS: 482-N2736-1001</t>
  </si>
  <si>
    <t>RTFLW1000109</t>
  </si>
  <si>
    <t>PLILARS: 482-N2737-1001</t>
  </si>
  <si>
    <t>RTFLW1000110</t>
  </si>
  <si>
    <t>PLILARS: 482-N2738-1001</t>
  </si>
  <si>
    <t>RTFLW1000111</t>
  </si>
  <si>
    <t>PLILARS: 482-N2739-1001</t>
  </si>
  <si>
    <t>RTFLW1000112</t>
  </si>
  <si>
    <t>FIXED METAL FITTINGS: 482-N2740-1001</t>
  </si>
  <si>
    <t>RTFLW1000113</t>
  </si>
  <si>
    <t>MOUNTING BRACKET: 482-N2741-1001</t>
  </si>
  <si>
    <t>RTFLW1000114</t>
  </si>
  <si>
    <t>PLILARS: 482-N2742-1001</t>
  </si>
  <si>
    <t>RTFLW1000115</t>
  </si>
  <si>
    <t>CASE: 482-N2745-1001</t>
  </si>
  <si>
    <t>RTFLW1000116</t>
  </si>
  <si>
    <t>FIXED METAL FITTINGS: 482-N2759-1001</t>
  </si>
  <si>
    <t>RTFLW1000117</t>
  </si>
  <si>
    <t>FIXED METAL FITTINGS: 482-N2760-1001</t>
  </si>
  <si>
    <t>RTFLW1000118</t>
  </si>
  <si>
    <t>FIXED METAL FITTINGS: 482-N2761-1001</t>
  </si>
  <si>
    <t>RTFLW1000119</t>
  </si>
  <si>
    <t>METAL FITTINGS: 482-N2824-1001</t>
  </si>
  <si>
    <t>RTFLW1000120</t>
  </si>
  <si>
    <t>FIXED METAL FITTINGS: 482-N2865-1001</t>
  </si>
  <si>
    <t>RTFLW1000121</t>
  </si>
  <si>
    <t>METAL FITTINGS: 484-N1814-1001</t>
  </si>
  <si>
    <t>RTFLW1000122</t>
  </si>
  <si>
    <t>PANEL: 484-N2242-1001</t>
  </si>
  <si>
    <t>RTFLW1000123</t>
  </si>
  <si>
    <t>PANEL: 484-N2243-1001</t>
  </si>
  <si>
    <t>RTFLW1000124</t>
  </si>
  <si>
    <t>BASE: 484-N2245-1001</t>
  </si>
  <si>
    <t>RTFLW1000125</t>
  </si>
  <si>
    <t>BASE: 484-N2246-1001</t>
  </si>
  <si>
    <t>RTFLW1000126</t>
  </si>
  <si>
    <t>COVER: 484-N2247-1001</t>
  </si>
  <si>
    <t>RTFLW1000127</t>
  </si>
  <si>
    <t>COVER: 484-N2248-1001</t>
  </si>
  <si>
    <t>RTFLW1000128</t>
  </si>
  <si>
    <t>COVER: 484-N2249-1001</t>
  </si>
  <si>
    <t>RTFLW1000130</t>
  </si>
  <si>
    <t>BASE: 484-N2383-1001</t>
  </si>
  <si>
    <t>RTFLW1000131</t>
  </si>
  <si>
    <t>BASE: 484-N2384-1001</t>
  </si>
  <si>
    <t>RTFLW1000132</t>
  </si>
  <si>
    <t>RTFLW1000133</t>
  </si>
  <si>
    <t>FIXED METAL FITTINGS: 482-N2743-1001</t>
  </si>
  <si>
    <t>RTFLW1000134</t>
  </si>
  <si>
    <t>RTFLW1000135</t>
  </si>
  <si>
    <t>RTFLW1000136</t>
  </si>
  <si>
    <t>RTFLW1000137</t>
  </si>
  <si>
    <t>RTFLW1000138</t>
  </si>
  <si>
    <t>CHASSIS: 482-N2764-1001</t>
  </si>
  <si>
    <t>RTFLW1000139</t>
  </si>
  <si>
    <t>COVER: 482-N2765-1001</t>
  </si>
  <si>
    <t>RTFLW1000140</t>
  </si>
  <si>
    <t>PLILARS: 482-N2766-1001</t>
  </si>
  <si>
    <t>RTFLW1000141</t>
  </si>
  <si>
    <t>PLILARS: 482-N2767-1001</t>
  </si>
  <si>
    <t>RTFLW1000142</t>
  </si>
  <si>
    <t>PLILARS: 482-N2768-1001</t>
  </si>
  <si>
    <t>RTFLW1000143</t>
  </si>
  <si>
    <t>PLILARS: 482-N2769-1001</t>
  </si>
  <si>
    <t>RTFLW1000144</t>
  </si>
  <si>
    <t>PLILARS: 482-N2770-1001</t>
  </si>
  <si>
    <t>RTFLW1000145</t>
  </si>
  <si>
    <t>PLILARS: 482-N2771-1001</t>
  </si>
  <si>
    <t>RTFLW1000146</t>
  </si>
  <si>
    <t>PLILARS: 482-N2772-1001</t>
  </si>
  <si>
    <t>RTFLW1000147</t>
  </si>
  <si>
    <t>PLILARS: 482-N2773-1001</t>
  </si>
  <si>
    <t>RTFLW1000148</t>
  </si>
  <si>
    <t>FIXED METAL FITTINGS: 482-N2774-1001</t>
  </si>
  <si>
    <t>RTFLW1000150</t>
  </si>
  <si>
    <t>MOUNTING BRACKET: 482-N2776-1001</t>
  </si>
  <si>
    <t>RTFLW1000151</t>
  </si>
  <si>
    <t>RTFLW1000152</t>
  </si>
  <si>
    <t>RTFLW1000153</t>
  </si>
  <si>
    <t>PLATE: 484-N2338-1001</t>
  </si>
  <si>
    <t>RTFLW1000154</t>
  </si>
  <si>
    <t>COVER: 484-N2339-1001</t>
  </si>
  <si>
    <t>RTFLW1000156</t>
  </si>
  <si>
    <t>PANEL: 484-N2369-1001</t>
  </si>
  <si>
    <t>RTFLW1000157</t>
  </si>
  <si>
    <t>PANEL: 484-N2370-1001</t>
  </si>
  <si>
    <t>RTFLW1000158</t>
  </si>
  <si>
    <t>PANEL: 484-N2371-1001</t>
  </si>
  <si>
    <t>RTFLW1000159</t>
  </si>
  <si>
    <t>COVER: 484-N2372-1001</t>
  </si>
  <si>
    <t>RTFLW1000160</t>
  </si>
  <si>
    <t>COVER: 484-N2373-1001</t>
  </si>
  <si>
    <t>RTFLW1000161</t>
  </si>
  <si>
    <t>BASE: 484-N2377-1001</t>
  </si>
  <si>
    <t>RTFLW1000162</t>
  </si>
  <si>
    <t>RTFLW1000163</t>
  </si>
  <si>
    <t>BASE: 484-N2385-1001</t>
  </si>
  <si>
    <t>RTFLW5000001</t>
  </si>
  <si>
    <t>RTFLW5000002</t>
  </si>
  <si>
    <t>RTFLW5000003</t>
  </si>
  <si>
    <t>DSUB37, 9-PIN WIRING (EXCLUDING FIXING)</t>
  </si>
  <si>
    <t>RTFLW5000004</t>
  </si>
  <si>
    <t>RTFLW5000005</t>
  </si>
  <si>
    <t>RTFLW5000006</t>
  </si>
  <si>
    <t>RED LD, HS_TH WIRING 1</t>
  </si>
  <si>
    <t>RTFLW5000007</t>
  </si>
  <si>
    <t>RTFLW5000008</t>
  </si>
  <si>
    <t>RTFLW5000009</t>
  </si>
  <si>
    <t>RTFLW5000010</t>
  </si>
  <si>
    <t>RTFLW5000011</t>
  </si>
  <si>
    <t>RTFLW5000012</t>
  </si>
  <si>
    <t>RTFLW5000013</t>
  </si>
  <si>
    <t>RQB FIBER OPTIC CABLE TBD3X7</t>
  </si>
  <si>
    <t>RTFLW5000014</t>
  </si>
  <si>
    <t>HEATSINK 484-N2346-1001</t>
  </si>
  <si>
    <t>RTFLW5000015</t>
  </si>
  <si>
    <t>RTFLW5000016</t>
  </si>
  <si>
    <t>RTFLW5000017</t>
  </si>
  <si>
    <t>RTFLW5000018</t>
  </si>
  <si>
    <t>RTFLW5000019</t>
  </si>
  <si>
    <t>RTFLW5000020</t>
  </si>
  <si>
    <t>RTFLW5000021</t>
  </si>
  <si>
    <t>RTFLW5000022</t>
  </si>
  <si>
    <t>RTFLW5000023</t>
  </si>
  <si>
    <t>RTFLW5000024</t>
  </si>
  <si>
    <t>RTFLW5000025</t>
  </si>
  <si>
    <t>RTFLW5000026</t>
  </si>
  <si>
    <t>RTFLW5000027</t>
  </si>
  <si>
    <t>RTFLW5000028</t>
  </si>
  <si>
    <t>RTFLW5000029</t>
  </si>
  <si>
    <t>RTFLW5000030</t>
  </si>
  <si>
    <t>RTFLW5000031</t>
  </si>
  <si>
    <t>RTFLW5000032</t>
  </si>
  <si>
    <t>LD CABLE FIXING ANGLE</t>
  </si>
  <si>
    <t>RTFLW5000033</t>
  </si>
  <si>
    <t>RTFLW5000034</t>
  </si>
  <si>
    <t>RTFLW5000035</t>
  </si>
  <si>
    <t>RTFLW5000036</t>
  </si>
  <si>
    <t>RTFLW5000037</t>
  </si>
  <si>
    <t>RTFLW5000038</t>
  </si>
  <si>
    <t>RTFLW5000039</t>
  </si>
  <si>
    <t>ROUND BAR HANDLE</t>
  </si>
  <si>
    <t>RTFLW5000040</t>
  </si>
  <si>
    <t>W SEMS SCREW (M4-L10)</t>
  </si>
  <si>
    <t>RTFLW5000041</t>
  </si>
  <si>
    <t>RTFLW5000042</t>
  </si>
  <si>
    <t>SPACER WITH WASHER (BSU-323)</t>
  </si>
  <si>
    <t>RTFLW5000043</t>
  </si>
  <si>
    <t>HEXAGON SOCKET HEAD CAP SCREW SSHS-M6-2</t>
  </si>
  <si>
    <t>RTFLW5000044</t>
  </si>
  <si>
    <t>RTFLW5000045</t>
  </si>
  <si>
    <t>RTFLW5000046</t>
  </si>
  <si>
    <t>RTFLW5000047</t>
  </si>
  <si>
    <t>POWER SUPPLY UNIT</t>
  </si>
  <si>
    <t>RTFLW5000048</t>
  </si>
  <si>
    <t>RTFLW5000049</t>
  </si>
  <si>
    <t>RTFLW5000050</t>
  </si>
  <si>
    <t>RTFLW5000051</t>
  </si>
  <si>
    <t>RTFLW5000052</t>
  </si>
  <si>
    <t>SILICON RUBBER TUBE(SHINNETSU)ROLL@100M</t>
  </si>
  <si>
    <t>RTFOM0000001</t>
  </si>
  <si>
    <t>RTFOM0000002</t>
  </si>
  <si>
    <t>RTFOM0000049</t>
  </si>
  <si>
    <t>CLOSE PARTS FOR HEKIMEN</t>
  </si>
  <si>
    <t>RTFOM0000050</t>
  </si>
  <si>
    <t>SPLITTER SPACER</t>
  </si>
  <si>
    <t>RTFOM0000051</t>
  </si>
  <si>
    <t>1X4 PLC SPLITTER</t>
  </si>
  <si>
    <t>RTFOM0000052</t>
  </si>
  <si>
    <t>1X8 PLC SPLITTER</t>
  </si>
  <si>
    <t>RTFOMD000001</t>
  </si>
  <si>
    <t>SC DUST CAP BLUE</t>
  </si>
  <si>
    <t>RTFOMD000002</t>
  </si>
  <si>
    <t>FERRULE ON TYPE DUST CAP</t>
  </si>
  <si>
    <t>RTFS00000001</t>
  </si>
  <si>
    <t>MAIN BASE : 30A3096K</t>
  </si>
  <si>
    <t>RTFS00000002</t>
  </si>
  <si>
    <t>RTFS00000006</t>
  </si>
  <si>
    <t>RTFSM1000001</t>
  </si>
  <si>
    <t>RTFSM1000002</t>
  </si>
  <si>
    <t>RTFSM4000000</t>
  </si>
  <si>
    <t>CH BASE L</t>
  </si>
  <si>
    <t>RTFSM4000001</t>
  </si>
  <si>
    <t>CH BASE R</t>
  </si>
  <si>
    <t>RTFSM4000002</t>
  </si>
  <si>
    <t>CH COVER L</t>
  </si>
  <si>
    <t>RTFSM4000003</t>
  </si>
  <si>
    <t>CH COVER R</t>
  </si>
  <si>
    <t>RTFSM4000004</t>
  </si>
  <si>
    <t>CH BOTTOM COVER</t>
  </si>
  <si>
    <t>RTFSM4000005</t>
  </si>
  <si>
    <t>CH CLAMP COVER</t>
  </si>
  <si>
    <t>RTFSM4000006</t>
  </si>
  <si>
    <t>CH CLAMP PIECE</t>
  </si>
  <si>
    <t>RTFSM4000007</t>
  </si>
  <si>
    <t>MG COVER SQ</t>
  </si>
  <si>
    <t>RTFSM4000008</t>
  </si>
  <si>
    <t>CH CLAMP SPRING</t>
  </si>
  <si>
    <t>RTFSM4000009</t>
  </si>
  <si>
    <t>CH CLAMP CORK</t>
  </si>
  <si>
    <t>RTFSM4000010</t>
  </si>
  <si>
    <t>CH HINGE PIN</t>
  </si>
  <si>
    <t>RTFSM4000011</t>
  </si>
  <si>
    <t>CH BASE RUBBER</t>
  </si>
  <si>
    <t>RTFSM4000012</t>
  </si>
  <si>
    <t>CH SUPPORT RUBBER</t>
  </si>
  <si>
    <t>RTFSM4000013</t>
  </si>
  <si>
    <t>CROSS RECESSED PAN HEAD SCREW M4x4L</t>
  </si>
  <si>
    <t>RTFSM4000014</t>
  </si>
  <si>
    <t>CROSS RECESSED PAN HEAD SCREW M4x5L</t>
  </si>
  <si>
    <t>RTFSM4000015</t>
  </si>
  <si>
    <t>P TIGHT SCREW</t>
  </si>
  <si>
    <t>RTFSM4000016</t>
  </si>
  <si>
    <t>MAGNET 10?4?4</t>
  </si>
  <si>
    <t>RTFSM4000017</t>
  </si>
  <si>
    <t>DA BASE</t>
  </si>
  <si>
    <t>RTFSM4000018</t>
  </si>
  <si>
    <t>DA HINGE PIN</t>
  </si>
  <si>
    <t>RTFSM4000019</t>
  </si>
  <si>
    <t>MAGNET 10?3?3</t>
  </si>
  <si>
    <t>RTFSM4000020</t>
  </si>
  <si>
    <t>HOLDER BASE L</t>
  </si>
  <si>
    <t>RTFSM4000021</t>
  </si>
  <si>
    <t>HOLDER BASE R</t>
  </si>
  <si>
    <t>RTFSM4000022</t>
  </si>
  <si>
    <t>HOLDER COVER L</t>
  </si>
  <si>
    <t>RTFSM4000023</t>
  </si>
  <si>
    <t>HOLDER COVER R</t>
  </si>
  <si>
    <t>RTFSM4000024</t>
  </si>
  <si>
    <t>SUS PARALLEL PIN</t>
  </si>
  <si>
    <t>RTFSM4000025</t>
  </si>
  <si>
    <t>RUBBER</t>
  </si>
  <si>
    <t>RTFSM4000026</t>
  </si>
  <si>
    <t>MAGNET-3?20?4.5</t>
  </si>
  <si>
    <t>RTFSM4000027</t>
  </si>
  <si>
    <t>MAGNET-F3.9?2.5</t>
  </si>
  <si>
    <t>RTFSM4000028</t>
  </si>
  <si>
    <t>LABLE L</t>
  </si>
  <si>
    <t>RTFSM4000029</t>
  </si>
  <si>
    <t>LABLE R</t>
  </si>
  <si>
    <t>RTFTM4000002</t>
  </si>
  <si>
    <t>4P-WINC (NEW PLC)</t>
  </si>
  <si>
    <t>RTFTM5000001</t>
  </si>
  <si>
    <t>8P-WINC (NEW PLC)</t>
  </si>
  <si>
    <t>RTHB00000001</t>
  </si>
  <si>
    <t>RTHB00000003</t>
  </si>
  <si>
    <t>RTHB00000004</t>
  </si>
  <si>
    <t>RTHB00000005</t>
  </si>
  <si>
    <t>RTHB00000006</t>
  </si>
  <si>
    <t>RTHB00000007</t>
  </si>
  <si>
    <t>RTHB00000008</t>
  </si>
  <si>
    <t>RTHB00000009</t>
  </si>
  <si>
    <t>RTHB00000010</t>
  </si>
  <si>
    <t>RTHB00000013</t>
  </si>
  <si>
    <t>GMS-0500-C</t>
  </si>
  <si>
    <t>RTHB00000014</t>
  </si>
  <si>
    <t>SUMI-W-2.5 L0.3M (PC@1ME)</t>
  </si>
  <si>
    <t>RTHB00000015</t>
  </si>
  <si>
    <t>FLM-FAW86AC-1.1L</t>
  </si>
  <si>
    <t>RTHB00000016</t>
  </si>
  <si>
    <t>10-720-6327-00</t>
  </si>
  <si>
    <t>RTHB00000017</t>
  </si>
  <si>
    <t>10-720-6326-00</t>
  </si>
  <si>
    <t>RTHB00000018</t>
  </si>
  <si>
    <t>10-720-6340-00</t>
  </si>
  <si>
    <t>RTHB00000019</t>
  </si>
  <si>
    <t>SUB ASSEMBLY FOR NLK7x3EM2UM</t>
  </si>
  <si>
    <t>RTHB00000020</t>
  </si>
  <si>
    <t>NLK7C3EM2LM</t>
  </si>
  <si>
    <t>RTHE00000001</t>
  </si>
  <si>
    <t>WIRE WITH CONTACT</t>
  </si>
  <si>
    <t>RTHE00000002</t>
  </si>
  <si>
    <t>SUMITUBE</t>
  </si>
  <si>
    <t>RTHEFU000001</t>
  </si>
  <si>
    <t>LYCAL FORM (SSP-1.0S 500x1000)</t>
  </si>
  <si>
    <t>RTHEFU000002</t>
  </si>
  <si>
    <t>HOT PLATE</t>
  </si>
  <si>
    <t>RTHEFU000003</t>
  </si>
  <si>
    <t>HEAT-SHRINKABLE TUBE (1TUBE@200ME)</t>
  </si>
  <si>
    <t>F2(Z) 2X0.2(MM.)-200</t>
  </si>
  <si>
    <t>RTIDH0000001</t>
  </si>
  <si>
    <t>RTIDH0000002</t>
  </si>
  <si>
    <t>RTIDH0000003</t>
  </si>
  <si>
    <t>RTIDH0000004</t>
  </si>
  <si>
    <t>RTIDH0000005</t>
  </si>
  <si>
    <t>RTIDMC000001</t>
  </si>
  <si>
    <t>RTIIVI000001</t>
  </si>
  <si>
    <t>FUD-3523: PM980-SC</t>
  </si>
  <si>
    <t>RTIJ00000001</t>
  </si>
  <si>
    <t>CORD FOR IDM JU (PROYOTYPE)</t>
  </si>
  <si>
    <t>RTIJ00000002</t>
  </si>
  <si>
    <t>32-GI FIBER CABLE</t>
  </si>
  <si>
    <t>RTIJ00000003</t>
  </si>
  <si>
    <t>PATCH CORD</t>
  </si>
  <si>
    <t>DLC HOUSING</t>
  </si>
  <si>
    <t>RTIJ00000004</t>
  </si>
  <si>
    <t>TM FIXING JIG</t>
  </si>
  <si>
    <t>RTIJ00000005</t>
  </si>
  <si>
    <t>SET SCREW (M4*3)</t>
  </si>
  <si>
    <t>RTIJ00000006</t>
  </si>
  <si>
    <t>CALCIUM CARBONATE BAG</t>
  </si>
  <si>
    <t>RTIJ00000007</t>
  </si>
  <si>
    <t>CALCIUM CARBONATE TUBE : 0.035*100 (PC@6</t>
  </si>
  <si>
    <t>RTIJ00000008</t>
  </si>
  <si>
    <t>ZIP BAG FOR DLC (A4)</t>
  </si>
  <si>
    <t>RTIJ00000010</t>
  </si>
  <si>
    <t>TM FIXING PARTS WITH HEX. SCREW M4X3</t>
  </si>
  <si>
    <t>RTIJ00000011</t>
  </si>
  <si>
    <t>GI CODE</t>
  </si>
  <si>
    <t>RTIJ00000012</t>
  </si>
  <si>
    <t>1.1MM SAMPLE CODE</t>
  </si>
  <si>
    <t>RTIJ00000013</t>
  </si>
  <si>
    <t>16-FIBER (16S-R) (SC) (N) (PC@80ME)</t>
  </si>
  <si>
    <t>RTIJ00000014</t>
  </si>
  <si>
    <t>32-FIBER (16S-R) (SC) (N) (PC@80ME)</t>
  </si>
  <si>
    <t>RTIJ00000015</t>
  </si>
  <si>
    <t>16-FIBER IDM CABLE (PC@10ME)</t>
  </si>
  <si>
    <t>RTIJ00000016</t>
  </si>
  <si>
    <t>32-FIBER IDM CABLE (PC@10ME)</t>
  </si>
  <si>
    <t>RTIJ00000019</t>
  </si>
  <si>
    <t>16 PWINC (SPEC USING NEL CHIP)</t>
  </si>
  <si>
    <t>RTIJ00000020</t>
  </si>
  <si>
    <t>16 PWINC (SPEC USING NEW MASK CHIP)</t>
  </si>
  <si>
    <t>RTIJ00000021</t>
  </si>
  <si>
    <t>SC HOUSING PARTS (FOR 1.7MM)</t>
  </si>
  <si>
    <t>RTIJ00000022</t>
  </si>
  <si>
    <t>EM-OKOP-SM(R15)17-C(Y) (CORD)</t>
  </si>
  <si>
    <t>RTIJ00000023</t>
  </si>
  <si>
    <t>ELEMENTS (SC-PART)</t>
  </si>
  <si>
    <t>RTIJ00000024</t>
  </si>
  <si>
    <t>ELEMENTS (MU-PART)</t>
  </si>
  <si>
    <t>RTIJ00000025</t>
  </si>
  <si>
    <t>ELEMENTS (LC-PART)</t>
  </si>
  <si>
    <t>RTIJ00000026</t>
  </si>
  <si>
    <t>MASKING TAPE (9MM) (RL@50MTR)</t>
  </si>
  <si>
    <t>RTIJ00000027</t>
  </si>
  <si>
    <t>RTIJ00000028</t>
  </si>
  <si>
    <t>RTIJ00000029</t>
  </si>
  <si>
    <t>RTIJ00000030</t>
  </si>
  <si>
    <t>RTIJ00000031</t>
  </si>
  <si>
    <t>RTIJ00000032</t>
  </si>
  <si>
    <t>LC FERRULE</t>
  </si>
  <si>
    <t>RTIJ00000033</t>
  </si>
  <si>
    <t>2FIBER SM CABLE SC-S2-A-R (PC@5ME)</t>
  </si>
  <si>
    <t>RTIJ00000034</t>
  </si>
  <si>
    <t>4FIBER SM CABLE SC-S2-A-R (PC@5ME)</t>
  </si>
  <si>
    <t>RTIJ00000035</t>
  </si>
  <si>
    <t>6FIBER SM CABLE SC-S2-A-R (PC@5ME)</t>
  </si>
  <si>
    <t>RTIJ00000036</t>
  </si>
  <si>
    <t>16FIBER SM CABLE MU-S2-A-R (PC@5ME)</t>
  </si>
  <si>
    <t>RTIJ00000037</t>
  </si>
  <si>
    <t>16FIBER SM CABLE MU-S2-A-R (PC@10ME)</t>
  </si>
  <si>
    <t>RTIJ00000038</t>
  </si>
  <si>
    <t>TENSION MEMBER (IF) DIA 1.9MM 1.5MM</t>
  </si>
  <si>
    <t>RTIJ00000039</t>
  </si>
  <si>
    <t>SILICONE TUBE (PC@0.01ME)</t>
  </si>
  <si>
    <t>RTIJ00000040</t>
  </si>
  <si>
    <t>PRODUCT LABEL FOR MU</t>
  </si>
  <si>
    <t>RTIJ00000041</t>
  </si>
  <si>
    <t>PRODUCT LABEL FOR LC</t>
  </si>
  <si>
    <t>RTIJ00000042</t>
  </si>
  <si>
    <t>PRODUCT LABEL FOR SC</t>
  </si>
  <si>
    <t>RTIJ00000043</t>
  </si>
  <si>
    <t>PRODUCT LABEL FOR SC2</t>
  </si>
  <si>
    <t>RTIJ00000044</t>
  </si>
  <si>
    <t>RTIJ00000045</t>
  </si>
  <si>
    <t>RTIJ00000046</t>
  </si>
  <si>
    <t>LC CONNECTOR CAULKING TYPE</t>
  </si>
  <si>
    <t>RTIJ00000047</t>
  </si>
  <si>
    <t>SC HOUSING 1.7MM BOOTS</t>
  </si>
  <si>
    <t>RTIJ00000048</t>
  </si>
  <si>
    <t>S2 HOUSING 1.7MM BOOTS</t>
  </si>
  <si>
    <t>RTIJ00000049</t>
  </si>
  <si>
    <t>CONNECTOR BAG</t>
  </si>
  <si>
    <t>RTIJ00000050</t>
  </si>
  <si>
    <t>CARD BOARD (S280)</t>
  </si>
  <si>
    <t>RTIJ00000051</t>
  </si>
  <si>
    <t>HD TUBE 50MM</t>
  </si>
  <si>
    <t>RTIJ00000052</t>
  </si>
  <si>
    <t>HD TUBE 100MM</t>
  </si>
  <si>
    <t>RTIJ00000053</t>
  </si>
  <si>
    <t>WHITE MASKING TAPE #210 (PC@18ME)</t>
  </si>
  <si>
    <t>RTIJ00000054</t>
  </si>
  <si>
    <t>1.1 CORD (WHITE) (P104)</t>
  </si>
  <si>
    <t>RTIJ00000055</t>
  </si>
  <si>
    <t>1.1 CORD (WHITE) (P106)</t>
  </si>
  <si>
    <t>RTIJ00000056</t>
  </si>
  <si>
    <t>1.1 CORD (YELLOW) (P104)</t>
  </si>
  <si>
    <t>RTIJ00000057</t>
  </si>
  <si>
    <t>1.1 CORD (YELLOW) (P106)</t>
  </si>
  <si>
    <t>RTIJ00000058</t>
  </si>
  <si>
    <t>32 FIBER SM CABLLE</t>
  </si>
  <si>
    <t>RTIJ00000059</t>
  </si>
  <si>
    <t>RTIJ00000060</t>
  </si>
  <si>
    <t>MARK BAND NO.0</t>
  </si>
  <si>
    <t>RTIJ00000061</t>
  </si>
  <si>
    <t>MARK BAND NO.1</t>
  </si>
  <si>
    <t>RTIJ00000062</t>
  </si>
  <si>
    <t>MARK BAND NO.2</t>
  </si>
  <si>
    <t>RTIJ00000063</t>
  </si>
  <si>
    <t>MARK BAND NO.3</t>
  </si>
  <si>
    <t>RTIJ00000064</t>
  </si>
  <si>
    <t>MARK BAND NO.4</t>
  </si>
  <si>
    <t>RTIJ00000065</t>
  </si>
  <si>
    <t>MARK BAND NO.5</t>
  </si>
  <si>
    <t>RTIJ00000066</t>
  </si>
  <si>
    <t>MARK BAND NO.6</t>
  </si>
  <si>
    <t>RTIJ00000067</t>
  </si>
  <si>
    <t>MARK BAND NO.7</t>
  </si>
  <si>
    <t>RTIJ00000068</t>
  </si>
  <si>
    <t>MARK BAND NO.8</t>
  </si>
  <si>
    <t>RTIJ00000069</t>
  </si>
  <si>
    <t>MARK BAND NO.9</t>
  </si>
  <si>
    <t>RTIJ00000070</t>
  </si>
  <si>
    <t>NAME LABEL</t>
  </si>
  <si>
    <t>RTIJ00000071</t>
  </si>
  <si>
    <t>CLEAR SHEET FOR PRODUCT  LABEL</t>
  </si>
  <si>
    <t>RTIJ00000072</t>
  </si>
  <si>
    <t>16P-WINC (SPEC USING NEW LENGTH)</t>
  </si>
  <si>
    <t>RTIP00000001</t>
  </si>
  <si>
    <t>I-PUMP SUBSTRATE TEBD-19062</t>
  </si>
  <si>
    <t>RTIP00000002</t>
  </si>
  <si>
    <t>TWISTED PAIR CABLE</t>
  </si>
  <si>
    <t>TWISTED PAIR CABLE NA3VCSB-25-7P-30</t>
  </si>
  <si>
    <t>RTIP00000003</t>
  </si>
  <si>
    <t>BASE A</t>
  </si>
  <si>
    <t>PK64 WITHOUT WALL BASE A</t>
  </si>
  <si>
    <t>RTIP00000004</t>
  </si>
  <si>
    <t>BASE B</t>
  </si>
  <si>
    <t>PK64 WITHOUT WALL BASE B</t>
  </si>
  <si>
    <t>RTIP00000005</t>
  </si>
  <si>
    <t>GLASS CAPILLARY S-BCL 1.800*0.130*10.5B1</t>
  </si>
  <si>
    <t>RTIP00000006</t>
  </si>
  <si>
    <t>RTIP00000007</t>
  </si>
  <si>
    <t>FLM-BS49X</t>
  </si>
  <si>
    <t>RTIP00000008</t>
  </si>
  <si>
    <t>CABLE ALPHA WIRE</t>
  </si>
  <si>
    <t>CABLE ALPHA WIRE (CABLE 0.22 MM) GRAY 30</t>
  </si>
  <si>
    <t>RTIP00000009</t>
  </si>
  <si>
    <t>CABLE NA3VCSB-23-8P-20</t>
  </si>
  <si>
    <t>RTIP00000010</t>
  </si>
  <si>
    <t>FOL14BXDBX</t>
  </si>
  <si>
    <t>RTIP00000011</t>
  </si>
  <si>
    <t>FLM-IS58</t>
  </si>
  <si>
    <t>RTIP00000012</t>
  </si>
  <si>
    <t>RTIP00000013</t>
  </si>
  <si>
    <t>FOL14BXDB1</t>
  </si>
  <si>
    <t>RTIP00000015</t>
  </si>
  <si>
    <t>FOL14BADB1</t>
  </si>
  <si>
    <t>RTIP00000016</t>
  </si>
  <si>
    <t>FLM-CH59 (EFFL0.7mm)</t>
  </si>
  <si>
    <t>RTIP00000017</t>
  </si>
  <si>
    <t>RTIP00000018</t>
  </si>
  <si>
    <t>RTIP00000020</t>
  </si>
  <si>
    <t>RTIP00000021</t>
  </si>
  <si>
    <t>HEAT SINK FLM-IH05</t>
  </si>
  <si>
    <t>RTIP00000022</t>
  </si>
  <si>
    <t>FLAT HEAD 00050020040U : F-0222EB-01</t>
  </si>
  <si>
    <t>RTIP00000023</t>
  </si>
  <si>
    <t>PAN HEAD 00050020022U : F-0240EB-01</t>
  </si>
  <si>
    <t>RTIP00000024</t>
  </si>
  <si>
    <t>RTIP00000025</t>
  </si>
  <si>
    <t>RTIP00000026</t>
  </si>
  <si>
    <t>RTIP00000027</t>
  </si>
  <si>
    <t>RTIP00000028</t>
  </si>
  <si>
    <t>BASE-IPG2-A-1</t>
  </si>
  <si>
    <t>RTIP00000029</t>
  </si>
  <si>
    <t>BASE-IPG2-B-1</t>
  </si>
  <si>
    <t>RTIP00000030</t>
  </si>
  <si>
    <t>BASE-IPG2-C-1</t>
  </si>
  <si>
    <t>RTIP00000031</t>
  </si>
  <si>
    <t>BASE-IPG2-D-1</t>
  </si>
  <si>
    <t>RTIP00000032</t>
  </si>
  <si>
    <t>KC-THF220396</t>
  </si>
  <si>
    <t>RTIP00000033</t>
  </si>
  <si>
    <t>KC-THF220397</t>
  </si>
  <si>
    <t>RTIP00000034</t>
  </si>
  <si>
    <t>KC-THF220398</t>
  </si>
  <si>
    <t>RTIP00000035</t>
  </si>
  <si>
    <t>KC-THF220562</t>
  </si>
  <si>
    <t>RTIP00000036</t>
  </si>
  <si>
    <t>RTIP00000037</t>
  </si>
  <si>
    <t>RTIP00000038</t>
  </si>
  <si>
    <t>FLM-BS73A</t>
  </si>
  <si>
    <t>RTIT00000001</t>
  </si>
  <si>
    <t>ER04</t>
  </si>
  <si>
    <t>RTIT00000002</t>
  </si>
  <si>
    <t>ER05</t>
  </si>
  <si>
    <t>RTIT00000003</t>
  </si>
  <si>
    <t>VN04</t>
  </si>
  <si>
    <t>RTIT00000004</t>
  </si>
  <si>
    <t>FLM-EB-VN04 Kyoden</t>
  </si>
  <si>
    <t>RTIT00000005</t>
  </si>
  <si>
    <t>FLM-EB-ER04 Kyoden</t>
  </si>
  <si>
    <t>RTIT00000006</t>
  </si>
  <si>
    <t>FLM-EB-ER08 (New FET)</t>
  </si>
  <si>
    <t>RTIT00000007</t>
  </si>
  <si>
    <t>FLM-EB-ER04 (New PCB)</t>
  </si>
  <si>
    <t>RTIT00000008</t>
  </si>
  <si>
    <t>FLM-EB-ER08 (New PCB)</t>
  </si>
  <si>
    <t>RTIT00000009</t>
  </si>
  <si>
    <t>EYGS1818ZLX2 (180mm*180mm*200um)</t>
  </si>
  <si>
    <t>RTIT00000010</t>
  </si>
  <si>
    <t>EYGR1818ZLX2 (180mm*180mm*250um)</t>
  </si>
  <si>
    <t>RTIT00000011</t>
  </si>
  <si>
    <t>EYGR1818ZRX2 (180mm*180mm*350um)</t>
  </si>
  <si>
    <t>RTJN00000001</t>
  </si>
  <si>
    <t>RTJN00000002</t>
  </si>
  <si>
    <t>RTJN00000003</t>
  </si>
  <si>
    <t>FLM-FS40B</t>
  </si>
  <si>
    <t>RTJN00000004</t>
  </si>
  <si>
    <t>FLM-FS40C</t>
  </si>
  <si>
    <t>RTJN00000005</t>
  </si>
  <si>
    <t>FLM-SL54A</t>
  </si>
  <si>
    <t>RTJN00000006</t>
  </si>
  <si>
    <t>RTJNIT000001</t>
  </si>
  <si>
    <t>L- BAND MODULE</t>
  </si>
  <si>
    <t>FRL1xxCWx-Qxx-18850</t>
  </si>
  <si>
    <t>RTJNIT000002</t>
  </si>
  <si>
    <t>C-BAND MODULE</t>
  </si>
  <si>
    <t>FRL1xxCWx-Qxx-19370</t>
  </si>
  <si>
    <t>RTJNIT000003</t>
  </si>
  <si>
    <t>RTJNIT000004</t>
  </si>
  <si>
    <t>RTJNIT000006</t>
  </si>
  <si>
    <t>FLM-IH75A</t>
  </si>
  <si>
    <t>RTJNIT000007</t>
  </si>
  <si>
    <t>CPVS-0.3F SERIES (2.5CMx2.5CM)</t>
  </si>
  <si>
    <t>RTJU00000007</t>
  </si>
  <si>
    <t>RTJU00000009</t>
  </si>
  <si>
    <t>RTJU00000010</t>
  </si>
  <si>
    <t>FLM-ET25X</t>
  </si>
  <si>
    <t>RTJU00000011</t>
  </si>
  <si>
    <t>RTJU00000012</t>
  </si>
  <si>
    <t>RTJU00000013</t>
  </si>
  <si>
    <t>RTJU00000014</t>
  </si>
  <si>
    <t>JU04</t>
  </si>
  <si>
    <t>RTJU00000015</t>
  </si>
  <si>
    <t>Nano-PKG</t>
  </si>
  <si>
    <t>RTJU00000016</t>
  </si>
  <si>
    <t>Ultra Small TOSA LD Career</t>
  </si>
  <si>
    <t>RTJU00000017</t>
  </si>
  <si>
    <t>Monitor PD Career</t>
  </si>
  <si>
    <t>RTJU00000018</t>
  </si>
  <si>
    <t>BS Career</t>
  </si>
  <si>
    <t>RTJU00000019</t>
  </si>
  <si>
    <t>Thermo Module</t>
  </si>
  <si>
    <t>RTJU00000020</t>
  </si>
  <si>
    <t>BONDER PASTE</t>
  </si>
  <si>
    <t>Silver Paste Adhesive ( 1 PCS/15GM )</t>
  </si>
  <si>
    <t>RTJU00000023</t>
  </si>
  <si>
    <t>FLM-PK75A</t>
  </si>
  <si>
    <t>RTJU00000024</t>
  </si>
  <si>
    <t>FLM-PL35A</t>
  </si>
  <si>
    <t>RTJU00000025</t>
  </si>
  <si>
    <t>SILVER PASTE ABLEBOND84-1LMITI (PC@10GM)</t>
  </si>
  <si>
    <t>RTJU00000027</t>
  </si>
  <si>
    <t>EYGS0303ZLX2 (30mm*30mm*200um)</t>
  </si>
  <si>
    <t>RTJU00000028</t>
  </si>
  <si>
    <t>EYGR0303ZLX2 (30mm*30mm*250um)</t>
  </si>
  <si>
    <t>RTJU00000029</t>
  </si>
  <si>
    <t>EYGR0303ZRX2 (30mm*30mm*350um)</t>
  </si>
  <si>
    <t>RTJU00000030</t>
  </si>
  <si>
    <t>VB200(ZEON TIM)</t>
  </si>
  <si>
    <t>RTJU00000031</t>
  </si>
  <si>
    <t>RTJU00000032</t>
  </si>
  <si>
    <t>FLM-IH76</t>
  </si>
  <si>
    <t>RTJU00000033</t>
  </si>
  <si>
    <t>FLM-IH77</t>
  </si>
  <si>
    <t>RTJU00000034</t>
  </si>
  <si>
    <t>FLM-FAW21Cx-1.3LN</t>
  </si>
  <si>
    <t>RTJU00000035</t>
  </si>
  <si>
    <t>RTJU00000036</t>
  </si>
  <si>
    <t>RTJU0001-FEC</t>
  </si>
  <si>
    <t>TEBD-17031</t>
  </si>
  <si>
    <t>RTJU0002-FEC</t>
  </si>
  <si>
    <t>RTJU0003-FEC</t>
  </si>
  <si>
    <t>RTJU0004-FEC</t>
  </si>
  <si>
    <t>RTJU0005-FEC</t>
  </si>
  <si>
    <t>RTJU0006-FEC</t>
  </si>
  <si>
    <t>SNZS-M1-5</t>
  </si>
  <si>
    <t>RTKN00000001</t>
  </si>
  <si>
    <t>RTKNAI000030</t>
  </si>
  <si>
    <t>1X16 PLC SPLITTER : 35505027</t>
  </si>
  <si>
    <t>RTLF00000001</t>
  </si>
  <si>
    <t>250UM LENSED FIBER (491-N0932-01)</t>
  </si>
  <si>
    <t>RTLF00000002</t>
  </si>
  <si>
    <t>F9232</t>
  </si>
  <si>
    <t>RTMCF000001</t>
  </si>
  <si>
    <t>COATING CAPILLARY</t>
  </si>
  <si>
    <t>RTMCF000002</t>
  </si>
  <si>
    <t>BUNDLE CAPILLARY</t>
  </si>
  <si>
    <t>RTMCF000003</t>
  </si>
  <si>
    <t>ETCHED FIBER</t>
  </si>
  <si>
    <t>RTMPO0000001</t>
  </si>
  <si>
    <t>RTMPO0000002</t>
  </si>
  <si>
    <t>RTMPO0000003</t>
  </si>
  <si>
    <t>RTMPO0000004</t>
  </si>
  <si>
    <t>RTMPO0000005</t>
  </si>
  <si>
    <t>RTMPO0000006</t>
  </si>
  <si>
    <t>RTMPO0000007</t>
  </si>
  <si>
    <t>RTMPO0000008</t>
  </si>
  <si>
    <t>RTMPO0000009</t>
  </si>
  <si>
    <t>RTMPO0000010</t>
  </si>
  <si>
    <t>RTMPO0000011</t>
  </si>
  <si>
    <t>RTMTC0000001</t>
  </si>
  <si>
    <t>RTMTC0000002</t>
  </si>
  <si>
    <t>MU MASTER FERRULE : MSFL-MTR-FM-124.8</t>
  </si>
  <si>
    <t>RTMTC0000003</t>
  </si>
  <si>
    <t>SC MASTER FERRULE : CSPC-MTR-F4-124.8</t>
  </si>
  <si>
    <t>RTMUTI000001</t>
  </si>
  <si>
    <t>UPPER CASE (BM-POT-08506E)</t>
  </si>
  <si>
    <t>RTMUTI000002</t>
  </si>
  <si>
    <t>LID (BM-POT-08507B)</t>
  </si>
  <si>
    <t>RTMUTI000003</t>
  </si>
  <si>
    <t>LID(BM-POT-14002E)</t>
  </si>
  <si>
    <t>RTNA00000002</t>
  </si>
  <si>
    <t>RTNA00000003</t>
  </si>
  <si>
    <t>RTNJM4000001</t>
  </si>
  <si>
    <t>SM 4-FIBER RIBBON : G365040</t>
  </si>
  <si>
    <t>RTNJM4000002</t>
  </si>
  <si>
    <t>SM 8-FIBER RIBBON : G765009</t>
  </si>
  <si>
    <t>RTORTB000001</t>
  </si>
  <si>
    <t>SENKO SC DUST SHUTTER ADAPTER</t>
  </si>
  <si>
    <t>RTOSET000001</t>
  </si>
  <si>
    <t>PL SEAL (S9-MM-21031)</t>
  </si>
  <si>
    <t>RTRD00000001</t>
  </si>
  <si>
    <t>PACKAGE AND LID</t>
  </si>
  <si>
    <t>INVAR PACKAGE/LID P/N:CSD-2-EX-200306-6</t>
  </si>
  <si>
    <t>RTRD00000002</t>
  </si>
  <si>
    <t>WFNS294/340/400/500 T NA=0.22</t>
  </si>
  <si>
    <t>RTRD00000003</t>
  </si>
  <si>
    <t>RTRD00000004</t>
  </si>
  <si>
    <t>WFNS200_240_300_390_500 T NA0.22</t>
  </si>
  <si>
    <t>RTRD00000007</t>
  </si>
  <si>
    <t>ETCHED SCF_51UM_L50MM</t>
  </si>
  <si>
    <t>RTRD00000009</t>
  </si>
  <si>
    <t>OD:1.2MM ID:0.7MM L50MM</t>
  </si>
  <si>
    <t>RTRHFU000001</t>
  </si>
  <si>
    <t>SUS-PIN DIA1.5H7XL22 (76B3115B)</t>
  </si>
  <si>
    <t>RTRHFU000002</t>
  </si>
  <si>
    <t>MAGNET 10x3x4.5 (51B1042D)</t>
  </si>
  <si>
    <t>RTRHFU000003</t>
  </si>
  <si>
    <t>12L-HOLDER BASE : 76B3353C</t>
  </si>
  <si>
    <t>RTRHFU000004</t>
  </si>
  <si>
    <t>12R-HOLDER BASE : 76B3354C</t>
  </si>
  <si>
    <t>RTRHFU000005</t>
  </si>
  <si>
    <t>12L-HOLDER COVER : 76B3355A</t>
  </si>
  <si>
    <t>RTRHFU000006</t>
  </si>
  <si>
    <t>12R-HOLDER COVER : 76B3356A</t>
  </si>
  <si>
    <t>RTRHFU000007</t>
  </si>
  <si>
    <t>MAGNET D3.9x2.5 (51B1043D)</t>
  </si>
  <si>
    <t>RTRHFU000008</t>
  </si>
  <si>
    <t>RTRHFU000009</t>
  </si>
  <si>
    <t>FIBER HOLDER BASE S712A-8EL</t>
  </si>
  <si>
    <t>RTRHFU000010</t>
  </si>
  <si>
    <t>FIBER HOLDER BASE S712A-8ER</t>
  </si>
  <si>
    <t>RTRHFU000011</t>
  </si>
  <si>
    <t>FIBER HOLDER BASE S712A-4EL</t>
  </si>
  <si>
    <t>RTRHFU000012</t>
  </si>
  <si>
    <t>FIBER HOLDER BASE S712A-4ER</t>
  </si>
  <si>
    <t>RTRHFU000014</t>
  </si>
  <si>
    <t>4L-FIBER RIBBON HOLDER BASE : 76B3293A</t>
  </si>
  <si>
    <t>RTRHFU000015</t>
  </si>
  <si>
    <t>4R-FIBER RIBBON HOLDER BASE : 76B3294A</t>
  </si>
  <si>
    <t>RTRHFU000016</t>
  </si>
  <si>
    <t>8L-HOLDER BASE : 76B3333B</t>
  </si>
  <si>
    <t>RTRHFU000017</t>
  </si>
  <si>
    <t>8R-HOLDER BASE : 76B3334B</t>
  </si>
  <si>
    <t>RTROSETTE001</t>
  </si>
  <si>
    <t>SCREW M3.1*1.3 16HT CR+3W (1PK@100PC)</t>
  </si>
  <si>
    <t>RTS001000001</t>
  </si>
  <si>
    <t>RTS001000002</t>
  </si>
  <si>
    <t>ABSORBER FRONT</t>
  </si>
  <si>
    <t>RTS001000003</t>
  </si>
  <si>
    <t>ABSORBER BACK</t>
  </si>
  <si>
    <t>RTS001000004</t>
  </si>
  <si>
    <t>BOARD FFC</t>
  </si>
  <si>
    <t>RTS001000005</t>
  </si>
  <si>
    <t>SWITCH FFC</t>
  </si>
  <si>
    <t>RTS001000006</t>
  </si>
  <si>
    <t>GND HARNESS 1</t>
  </si>
  <si>
    <t>RTS001000007</t>
  </si>
  <si>
    <t>GND HARNESS 2</t>
  </si>
  <si>
    <t>RTS001000008</t>
  </si>
  <si>
    <t>RTS001000009</t>
  </si>
  <si>
    <t>CANOPY SPONGE C</t>
  </si>
  <si>
    <t>RTS001000010</t>
  </si>
  <si>
    <t>CANOPY SPONGE A</t>
  </si>
  <si>
    <t>RTS001000011</t>
  </si>
  <si>
    <t>CANOPY SPONGE B</t>
  </si>
  <si>
    <t>RTS001000012</t>
  </si>
  <si>
    <t>CANOPY SPONGE A T-1</t>
  </si>
  <si>
    <t>RTS001000013</t>
  </si>
  <si>
    <t>CANOPY SPONGE B T-1</t>
  </si>
  <si>
    <t>RTS001000014</t>
  </si>
  <si>
    <t>BATTERY FIX SPONGE</t>
  </si>
  <si>
    <t>RTS001000015</t>
  </si>
  <si>
    <t>SILICONE KS-609</t>
  </si>
  <si>
    <t>RTS001000016</t>
  </si>
  <si>
    <t>RTS001000017</t>
  </si>
  <si>
    <t>FASTENING (CSPPN-SUSTBS-M2-5)</t>
  </si>
  <si>
    <t>RTS001000018</t>
  </si>
  <si>
    <t>EMBLEM SPONGE A : 37A3073</t>
  </si>
  <si>
    <t>RTS001000019</t>
  </si>
  <si>
    <t>EMBLEM SPONGE B : 37A3074</t>
  </si>
  <si>
    <t>RTS001000020</t>
  </si>
  <si>
    <t>ARC BASE BRACKET</t>
  </si>
  <si>
    <t>RTS001000021</t>
  </si>
  <si>
    <t>CLAMP BASE</t>
  </si>
  <si>
    <t>RTS001000022</t>
  </si>
  <si>
    <t>SPRING COVER</t>
  </si>
  <si>
    <t>RTS001000023</t>
  </si>
  <si>
    <t>PLASTIC CANOPY</t>
  </si>
  <si>
    <t>RTS001000024</t>
  </si>
  <si>
    <t>CLAMP LIFT LEVER</t>
  </si>
  <si>
    <t>RTS001000025</t>
  </si>
  <si>
    <t>CLAMP LIFT PUSHING</t>
  </si>
  <si>
    <t>RTS001000026</t>
  </si>
  <si>
    <t>RTS001000027</t>
  </si>
  <si>
    <t>RTS001000028</t>
  </si>
  <si>
    <t>BATTERY COVER</t>
  </si>
  <si>
    <t>RTS001000029</t>
  </si>
  <si>
    <t>BATTERY CASE</t>
  </si>
  <si>
    <t>RTS001000030</t>
  </si>
  <si>
    <t>HEXAGONAL POSTS (SLCG4-5)</t>
  </si>
  <si>
    <t>RTS001000031</t>
  </si>
  <si>
    <t>SPONGE TAPE (SGNPTA3-10-500)</t>
  </si>
  <si>
    <t>RTS001000032</t>
  </si>
  <si>
    <t>SPONGE TAPE (SGNPTA5-10-500)</t>
  </si>
  <si>
    <t>RTS001000033</t>
  </si>
  <si>
    <t>HEX STANDOFF SPACER BSU-2016</t>
  </si>
  <si>
    <t>RTS001000034</t>
  </si>
  <si>
    <t>HEX STANDOFF SPACER (BSU-2005)</t>
  </si>
  <si>
    <t>RTS001000035</t>
  </si>
  <si>
    <t>Z-MOTOR HIDE SPONGE-L : 37A1087B</t>
  </si>
  <si>
    <t>RTS001000036</t>
  </si>
  <si>
    <t>Z-MOTOR HIDE SPONGE-R : 37A1088B</t>
  </si>
  <si>
    <t>RTS001000037</t>
  </si>
  <si>
    <t>HEATER UNDER CLAMP : 37A3050A</t>
  </si>
  <si>
    <t>RTS001000038</t>
  </si>
  <si>
    <t>RTS001000039</t>
  </si>
  <si>
    <t>BEARINGS (C-SFL673ZZ)</t>
  </si>
  <si>
    <t>RTS001000040</t>
  </si>
  <si>
    <t>GND HARNESS : 37A5105C</t>
  </si>
  <si>
    <t>RTS001000041</t>
  </si>
  <si>
    <t>R0.3-2 (100PCS@PACK)</t>
  </si>
  <si>
    <t>RTS001000042</t>
  </si>
  <si>
    <t>R0.3-3 (100PCS@PACK)</t>
  </si>
  <si>
    <t>RTS001000043</t>
  </si>
  <si>
    <t>UL1007-22-BK-10 (1PC=10ME)</t>
  </si>
  <si>
    <t>RTS001000044</t>
  </si>
  <si>
    <t>SPACER M2 (37A1084B)</t>
  </si>
  <si>
    <t>RTS001000045</t>
  </si>
  <si>
    <t>HSK METAL SPACER</t>
  </si>
  <si>
    <t>MSU-2005-04</t>
  </si>
  <si>
    <t>RTS001000046</t>
  </si>
  <si>
    <t>HSK METAL SPACER (MSU-2005-04)</t>
  </si>
  <si>
    <t>RTS001000047</t>
  </si>
  <si>
    <t>RTS001000048</t>
  </si>
  <si>
    <t>O-RING SO 11.2 (4C)</t>
  </si>
  <si>
    <t>RTS001000049</t>
  </si>
  <si>
    <t>PCIMRS3-5-0.05 (30PCS/@1PACK)</t>
  </si>
  <si>
    <t>RTS001000050</t>
  </si>
  <si>
    <t>Z-CARRIAGE</t>
  </si>
  <si>
    <t>RTS001000051</t>
  </si>
  <si>
    <t>RTS001000052</t>
  </si>
  <si>
    <t>RTS001000053</t>
  </si>
  <si>
    <t>MAGNET D6*D2.5*3-M2 (37A3083B)</t>
  </si>
  <si>
    <t>RTS001000054</t>
  </si>
  <si>
    <t>RTS001000055</t>
  </si>
  <si>
    <t>SENSOR STOPPER (37A2102B)</t>
  </si>
  <si>
    <t>RTS154000001</t>
  </si>
  <si>
    <t>LENS MOUNT 154 SAMPLE : 33A4501A</t>
  </si>
  <si>
    <t>RTS154000002</t>
  </si>
  <si>
    <t>LENS MOUNT FOR S154</t>
  </si>
  <si>
    <t>RTS250000001</t>
  </si>
  <si>
    <t>STRIPPER BLADE</t>
  </si>
  <si>
    <t>RTS250000002</t>
  </si>
  <si>
    <t>HAND STRIPPER BLADE (56B1019B)-SUS304</t>
  </si>
  <si>
    <t>RTS250000010</t>
  </si>
  <si>
    <t>HEATER</t>
  </si>
  <si>
    <t>HEATER ELEMENT (TSA0050033eR2.5Z02)</t>
  </si>
  <si>
    <t>RTS250000013</t>
  </si>
  <si>
    <t>FLEXIBLE HEATER (TSA0060035ER2.5Z01)</t>
  </si>
  <si>
    <t>RTS250000014</t>
  </si>
  <si>
    <t>MULTILAYER CERAMIC CAPACITORS</t>
  </si>
  <si>
    <t>GRM155C81E105KE11D</t>
  </si>
  <si>
    <t>RTS250000015</t>
  </si>
  <si>
    <t>GRM155R71E473KA88D</t>
  </si>
  <si>
    <t>RTS250000016</t>
  </si>
  <si>
    <t>GRM155R71E682KA01D</t>
  </si>
  <si>
    <t>RTS250000017</t>
  </si>
  <si>
    <t>UMK105BJ224KV-F</t>
  </si>
  <si>
    <t>RTS250000018</t>
  </si>
  <si>
    <t>HEADERS/WIRE HOUSINGS</t>
  </si>
  <si>
    <t>10144042-10011LF</t>
  </si>
  <si>
    <t>RTS250000019</t>
  </si>
  <si>
    <t>DF61-2P-2.2V(21)</t>
  </si>
  <si>
    <t>RTS250000020</t>
  </si>
  <si>
    <t>FERRITE BEADS</t>
  </si>
  <si>
    <t>BLM18SG700TN1D</t>
  </si>
  <si>
    <t>RTS250000021</t>
  </si>
  <si>
    <t>SURFACE MOUNT FUSES</t>
  </si>
  <si>
    <t>3412.0117.11</t>
  </si>
  <si>
    <t>RTS250000022</t>
  </si>
  <si>
    <t>OPERATIONAL AMPLIFIERS</t>
  </si>
  <si>
    <t>NJM2125F-TE1</t>
  </si>
  <si>
    <t>RTS250000023</t>
  </si>
  <si>
    <t>POWER INDUCTORS</t>
  </si>
  <si>
    <t>0630CDMCCDS-3R3MC</t>
  </si>
  <si>
    <t>RTS250000024</t>
  </si>
  <si>
    <t>BOARD MOUNT HALL EFFECT</t>
  </si>
  <si>
    <t>EW750B</t>
  </si>
  <si>
    <t>RTS250000025</t>
  </si>
  <si>
    <t>8-BIT MICROCONTROLLERS</t>
  </si>
  <si>
    <t>PIC16F18876-I/MV</t>
  </si>
  <si>
    <t>RTS250000026</t>
  </si>
  <si>
    <t>FDMA1028NZ</t>
  </si>
  <si>
    <t>RTS250000027</t>
  </si>
  <si>
    <t>MOSFET SM SIG P-CH</t>
  </si>
  <si>
    <t>SSM3J332R,LF</t>
  </si>
  <si>
    <t>RTS250000028</t>
  </si>
  <si>
    <t>MOSFET SM SIG N-CH</t>
  </si>
  <si>
    <t>SSM3K333R,LF</t>
  </si>
  <si>
    <t>RTS250000029</t>
  </si>
  <si>
    <t>BATTERY MANAGEMENT</t>
  </si>
  <si>
    <t>LTC4012IUF-2#PBF</t>
  </si>
  <si>
    <t>RTS250000030</t>
  </si>
  <si>
    <t>POWER MANAGEMENT SPECIALIZED</t>
  </si>
  <si>
    <t>LTC4417HUF#PBF</t>
  </si>
  <si>
    <t>RTS250000031</t>
  </si>
  <si>
    <t>VOLTAGE REFERENCES</t>
  </si>
  <si>
    <t>MAX6104EUR+T</t>
  </si>
  <si>
    <t>RTS250000032</t>
  </si>
  <si>
    <t>CRCW0402100KFKEDC</t>
  </si>
  <si>
    <t>RTS250000033</t>
  </si>
  <si>
    <t>CRCW0402100RFKEDC</t>
  </si>
  <si>
    <t>RTS250000034</t>
  </si>
  <si>
    <t>CRCW0402107KFKED</t>
  </si>
  <si>
    <t>RTS250000035</t>
  </si>
  <si>
    <t>CRCW040210K0FKEDC</t>
  </si>
  <si>
    <t>RTS250000036</t>
  </si>
  <si>
    <t>CRCW040210R0FKEDC</t>
  </si>
  <si>
    <t>RTS250000037</t>
  </si>
  <si>
    <t>RTS250000038</t>
  </si>
  <si>
    <t>CRCW04021K00FKEDC</t>
  </si>
  <si>
    <t>RTS250000039</t>
  </si>
  <si>
    <t>CRCW04021M00FKEDC</t>
  </si>
  <si>
    <t>RTS250000041</t>
  </si>
  <si>
    <t>CRCW04022K00FKED</t>
  </si>
  <si>
    <t>RTS250000042</t>
  </si>
  <si>
    <t>CRCW04022K20FKEDC</t>
  </si>
  <si>
    <t>RTS250000043</t>
  </si>
  <si>
    <t>CRCW040233K0FKED</t>
  </si>
  <si>
    <t>RTS250000044</t>
  </si>
  <si>
    <t>CRCW04023K00FKED</t>
  </si>
  <si>
    <t>RTS250000045</t>
  </si>
  <si>
    <t>CRCW0402470KFKED</t>
  </si>
  <si>
    <t>RTS250000046</t>
  </si>
  <si>
    <t>CRCW040252K3FKED</t>
  </si>
  <si>
    <t>RTS250000047</t>
  </si>
  <si>
    <t>CRCW0402806KFKED</t>
  </si>
  <si>
    <t>RTS250000048</t>
  </si>
  <si>
    <t>RC0603FR-0775KL</t>
  </si>
  <si>
    <t>RTS250000049</t>
  </si>
  <si>
    <t>ERJ-2RHD1002X</t>
  </si>
  <si>
    <t>RTS250000050</t>
  </si>
  <si>
    <t>RESISTOR NETWORKS</t>
  </si>
  <si>
    <t>EXB-2HV104JV</t>
  </si>
  <si>
    <t>RTS250000051</t>
  </si>
  <si>
    <t>RK73H1ETTP4R70F</t>
  </si>
  <si>
    <t>RTS250000052</t>
  </si>
  <si>
    <t>RTS250000053</t>
  </si>
  <si>
    <t>CURRENT SENSE RESISTORS</t>
  </si>
  <si>
    <t>WFC1206R0500FE66</t>
  </si>
  <si>
    <t>RTS250000054</t>
  </si>
  <si>
    <t>RESONATORS</t>
  </si>
  <si>
    <t>CSTNE8M00G55Z000R0</t>
  </si>
  <si>
    <t>RTS250000055</t>
  </si>
  <si>
    <t>SCHOTTKY DIODES</t>
  </si>
  <si>
    <t>CLS10F40,L3F</t>
  </si>
  <si>
    <t>RTS250000056</t>
  </si>
  <si>
    <t>SL03-GS18</t>
  </si>
  <si>
    <t>RTS250000057</t>
  </si>
  <si>
    <t>SHIELDING</t>
  </si>
  <si>
    <t>S7061-42R</t>
  </si>
  <si>
    <t>RTS250000058</t>
  </si>
  <si>
    <t>SWITCHING VOLTAGE REGULATORS</t>
  </si>
  <si>
    <t>MP8715DN-LF-Z</t>
  </si>
  <si>
    <t>RTS250000059</t>
  </si>
  <si>
    <t>ESD SUPPRESSORS</t>
  </si>
  <si>
    <t>ESD351DPYR</t>
  </si>
  <si>
    <t>RTS250000060</t>
  </si>
  <si>
    <t>TPD1E10B06QDPYRQ1</t>
  </si>
  <si>
    <t>RTS250000061</t>
  </si>
  <si>
    <t>TPD1E10B09QDPYRQ1</t>
  </si>
  <si>
    <t>RTS250000062</t>
  </si>
  <si>
    <t>1734595-2</t>
  </si>
  <si>
    <t>RTS250000063</t>
  </si>
  <si>
    <t>STANDARD LEDS</t>
  </si>
  <si>
    <t>APHBM2012LSURKZGKC</t>
  </si>
  <si>
    <t>RTS250000064</t>
  </si>
  <si>
    <t>PREBIAS TRANSISTOR SOT363</t>
  </si>
  <si>
    <t>ADC124EUQ-7</t>
  </si>
  <si>
    <t>RTS250000065</t>
  </si>
  <si>
    <t>TRANS PREBIAS NPN 50V 0.1A SC70</t>
  </si>
  <si>
    <t>RN1302,LF</t>
  </si>
  <si>
    <t>RTS250000066</t>
  </si>
  <si>
    <t>RN1303,LF</t>
  </si>
  <si>
    <t>RTS250000067</t>
  </si>
  <si>
    <t>BUZZER MAGNETIC 3V 5MMX5MM SMD</t>
  </si>
  <si>
    <t>CMT-0525-75-SMT-TR</t>
  </si>
  <si>
    <t>RTS250000068</t>
  </si>
  <si>
    <t>CAP CER 2.2UF 10V X6S 0402</t>
  </si>
  <si>
    <t>C1005X6S1A225K050BC</t>
  </si>
  <si>
    <t>RTS250000069</t>
  </si>
  <si>
    <t>CAP CER 22UF 35V X5R 0805</t>
  </si>
  <si>
    <t>C2012X5R1V226M125AC</t>
  </si>
  <si>
    <t>RTS250000070</t>
  </si>
  <si>
    <t>CAP CER 4.7UF 16V X5R 0402</t>
  </si>
  <si>
    <t>CL05A475MO5NUNC</t>
  </si>
  <si>
    <t>RTS250000071</t>
  </si>
  <si>
    <t>CAP CER 22UF 16V X5R 0603</t>
  </si>
  <si>
    <t>CL10A226MO7JZNC</t>
  </si>
  <si>
    <t>RTS250000072</t>
  </si>
  <si>
    <t>CAP CER 0.022UF 25V X7R 0402</t>
  </si>
  <si>
    <t>GCM155R71E223KA55J</t>
  </si>
  <si>
    <t>RTS250000073</t>
  </si>
  <si>
    <t>CAP CER 1000PF 16V X7R 0402</t>
  </si>
  <si>
    <t>GRM155R71C102KA01D</t>
  </si>
  <si>
    <t>RTS250000074</t>
  </si>
  <si>
    <t>CAP CER 4700PF 50V X7R 0402</t>
  </si>
  <si>
    <t>GRM155R71H472JA01D</t>
  </si>
  <si>
    <t>RTS250000075</t>
  </si>
  <si>
    <t>CAP CER 10UF 16V X5R 0603</t>
  </si>
  <si>
    <t>GRT188R61C106KE13D</t>
  </si>
  <si>
    <t>RTS250000077</t>
  </si>
  <si>
    <t>USB JACK</t>
  </si>
  <si>
    <t>UJ31-CH-G-SMT-TR-67</t>
  </si>
  <si>
    <t>RTS250000078</t>
  </si>
  <si>
    <t>FUSE BRD MNT 5A 63VAC 63VDC 1206</t>
  </si>
  <si>
    <t>0685T5000-01</t>
  </si>
  <si>
    <t>RTS250000079</t>
  </si>
  <si>
    <t>IC USB CONTROLLER I2C 24QFN</t>
  </si>
  <si>
    <t>STUSB4500QTR</t>
  </si>
  <si>
    <t>RTS250000080</t>
  </si>
  <si>
    <t>FIXED IND 10UH 2.1A 64 MOHM SMD</t>
  </si>
  <si>
    <t>RTS250000081</t>
  </si>
  <si>
    <t>FIXED IND 1.5UH 8.8A 18.7MOHM SM</t>
  </si>
  <si>
    <t>PA5002.152NLT</t>
  </si>
  <si>
    <t>RTS250000082</t>
  </si>
  <si>
    <t>FIXED IND 4.7UH 2.6A 200MOHM SMD</t>
  </si>
  <si>
    <t>SRP3020TA-4R7M</t>
  </si>
  <si>
    <t>RTS250000083</t>
  </si>
  <si>
    <t>IC XPNDR 1MHZ I2C 32HUQFN</t>
  </si>
  <si>
    <t>PCAL6524HEAZ</t>
  </si>
  <si>
    <t>RTS250000084</t>
  </si>
  <si>
    <t>MOSFET P-CH 30V 5.8A 6TSOP</t>
  </si>
  <si>
    <t>IRFTS9342TRPBF</t>
  </si>
  <si>
    <t>RTS250000085</t>
  </si>
  <si>
    <t>MOSFET 2P-CH 30V 6A PPAK 1212</t>
  </si>
  <si>
    <t>SI7223DN-T1-GE3</t>
  </si>
  <si>
    <t>RTS250000086</t>
  </si>
  <si>
    <t>MOSFET P-CH 20V 6A SOT23F</t>
  </si>
  <si>
    <t>SSM3J328R,LF</t>
  </si>
  <si>
    <t>RTS250000087</t>
  </si>
  <si>
    <t>RES SMD 10 OHM 1/10W 0603</t>
  </si>
  <si>
    <t>CRCW060310R0FKEA</t>
  </si>
  <si>
    <t>RTS250000088</t>
  </si>
  <si>
    <t>RES SMD 0 OHM JUMPER 1/10W 0402</t>
  </si>
  <si>
    <t>ERJ-2GE0R00X</t>
  </si>
  <si>
    <t>RTS250000089</t>
  </si>
  <si>
    <t>RES SMD 6.81K OHM 1/10W 0402</t>
  </si>
  <si>
    <t>ERJ-2RKF6811X</t>
  </si>
  <si>
    <t>RTS250000090</t>
  </si>
  <si>
    <t>RES ARRAY 4 RES 2K OHM 0804</t>
  </si>
  <si>
    <t>EXB-N8V202JX</t>
  </si>
  <si>
    <t>RTS250000091</t>
  </si>
  <si>
    <t>RES 63.4K OHM 1/16W 0402</t>
  </si>
  <si>
    <t>RC0402FR-0763K4L</t>
  </si>
  <si>
    <t>RTS250000092</t>
  </si>
  <si>
    <t>RES 6.04K OHM 1/16W 0402</t>
  </si>
  <si>
    <t>RC0402FR-076K04L</t>
  </si>
  <si>
    <t>RTS250000093</t>
  </si>
  <si>
    <t>RES 6.65K OHM 1/16W 0402</t>
  </si>
  <si>
    <t>RC0402FR-076K65L</t>
  </si>
  <si>
    <t>RTS250000094</t>
  </si>
  <si>
    <t>RES 30K OHM 1/16W 0402</t>
  </si>
  <si>
    <t>RC0402JR-0730KL</t>
  </si>
  <si>
    <t>RTS250000095</t>
  </si>
  <si>
    <t>RES 40.2K OHM 1/10W 0603</t>
  </si>
  <si>
    <t>RC0603FR-0740K2L</t>
  </si>
  <si>
    <t>RTS250000096</t>
  </si>
  <si>
    <t>RES 499K OHM 1/10W 0603</t>
  </si>
  <si>
    <t>RC0603FR-07499KL</t>
  </si>
  <si>
    <t>RTS250000097</t>
  </si>
  <si>
    <t>RES SMD 18K OHM 1/10W 0402</t>
  </si>
  <si>
    <t>RNCF0402DTE18K0</t>
  </si>
  <si>
    <t>RTS250000098</t>
  </si>
  <si>
    <t>RES SMD 20K OHM 1/16W 0402</t>
  </si>
  <si>
    <t>RR0510P-203-D</t>
  </si>
  <si>
    <t>RTS250000099</t>
  </si>
  <si>
    <t>RES SMD 42.2KOHM 1/16W 0402</t>
  </si>
  <si>
    <t>RT0402DRD0742K2L</t>
  </si>
  <si>
    <t>RTS250000100</t>
  </si>
  <si>
    <t>DIODE ARR SCHOTT 40V 100MA SC61B</t>
  </si>
  <si>
    <t>1SS319(TE85L,F)</t>
  </si>
  <si>
    <t>RTS250000101</t>
  </si>
  <si>
    <t>IC REG BUCK-BOOST 5V 3A 16QFN</t>
  </si>
  <si>
    <t>MP28167GQ-P</t>
  </si>
  <si>
    <t>RTS250000102</t>
  </si>
  <si>
    <t>IC REG BOOST ADJ 21A 13QFN</t>
  </si>
  <si>
    <t>MP3431GL-Z</t>
  </si>
  <si>
    <t>RTS250000103</t>
  </si>
  <si>
    <t>IC REG LINEAR 3.3V 500MA 6XDFN</t>
  </si>
  <si>
    <t>NCP176AMX330TCG</t>
  </si>
  <si>
    <t>RTS250000104</t>
  </si>
  <si>
    <t>TVS DIODE 12.6VWM CST2C</t>
  </si>
  <si>
    <t>DF2S14P2CTC,L3F</t>
  </si>
  <si>
    <t>RTS250000105</t>
  </si>
  <si>
    <t>TVS DIODE 24VWM SOT323</t>
  </si>
  <si>
    <t>ESDA25W</t>
  </si>
  <si>
    <t>RTS250000106</t>
  </si>
  <si>
    <t>LED RGB CLEAR 4SMD</t>
  </si>
  <si>
    <t>APTF1616LSEEZGKQBKC</t>
  </si>
  <si>
    <t>RTS250000107</t>
  </si>
  <si>
    <t>SWITCH TACTILE SPST-NO 0.05A 12V</t>
  </si>
  <si>
    <t>SKQGABE010</t>
  </si>
  <si>
    <t>RTS250000108</t>
  </si>
  <si>
    <t>MULTILAYER CERAMIC CAPACITORS MLCC</t>
  </si>
  <si>
    <t>GRM155R71E104KE14D</t>
  </si>
  <si>
    <t>RTS250000109</t>
  </si>
  <si>
    <t>STANDARD LEDS - SMD 2.0X1.2MM LOW CRNT</t>
  </si>
  <si>
    <t>APT2012LZGCK</t>
  </si>
  <si>
    <t>RTS250000110</t>
  </si>
  <si>
    <t>TVS DIODE 12.6VWM 32VC USC</t>
  </si>
  <si>
    <t>RTS250000111</t>
  </si>
  <si>
    <t>HEAT SINK CLEAR</t>
  </si>
  <si>
    <t>HEAT SINK CLEAR (88B3012C)</t>
  </si>
  <si>
    <t>RTS250000112</t>
  </si>
  <si>
    <t>HEAT SINK BLACK</t>
  </si>
  <si>
    <t>HEAT SINK BLACK (88B3012C)</t>
  </si>
  <si>
    <t>RTS250000113</t>
  </si>
  <si>
    <t>FFC/FPC JUMPER CABLES</t>
  </si>
  <si>
    <t>15120-0250</t>
  </si>
  <si>
    <t>RTS250000114</t>
  </si>
  <si>
    <t>FFC/FPC CONNECTORS 24P (30PCS)</t>
  </si>
  <si>
    <t>FH19SC-24S-0.5SH(09)</t>
  </si>
  <si>
    <t>RTS250000115</t>
  </si>
  <si>
    <t>FFC/FPC CONNECTORS 24P (500PCS)</t>
  </si>
  <si>
    <t>RTS250000116</t>
  </si>
  <si>
    <t>THICK FILM RESISTORS RES SMD 255K</t>
  </si>
  <si>
    <t>CRCW0402255KFKED</t>
  </si>
  <si>
    <t>RTS250000117</t>
  </si>
  <si>
    <t>RTS250000118</t>
  </si>
  <si>
    <t>THERMISTOR CONNECTOR</t>
  </si>
  <si>
    <t>THERMISTOR CONNECTOR (1470364-2)</t>
  </si>
  <si>
    <t>RTS250000119</t>
  </si>
  <si>
    <t>HEATER CONNECTOR</t>
  </si>
  <si>
    <t>HEATER CONNECTOR (DF61-2S-2.2C)</t>
  </si>
  <si>
    <t>RTS250000121</t>
  </si>
  <si>
    <t>THERMISTOR TERMINAL</t>
  </si>
  <si>
    <t>THERMISTOR TERMINAL (1734597-1)</t>
  </si>
  <si>
    <t>RTS250000122</t>
  </si>
  <si>
    <t>HEATER TERMINAL</t>
  </si>
  <si>
    <t>HEATER TERMINAL (DF61-2226SCF)</t>
  </si>
  <si>
    <t>RTS250000123</t>
  </si>
  <si>
    <t>THERMISTOR WIRE</t>
  </si>
  <si>
    <t>THERMISTOR WIRE (5851 BK005)</t>
  </si>
  <si>
    <t>RTS250000124</t>
  </si>
  <si>
    <t>RTS250000138</t>
  </si>
  <si>
    <t>FFC CABLE</t>
  </si>
  <si>
    <t>FFC CABLE (L1-24-30)</t>
  </si>
  <si>
    <t>RTS250000139</t>
  </si>
  <si>
    <t>CONN FPC 24POS 0.5MM</t>
  </si>
  <si>
    <t>17-2-2328702-4CT-ND-CUT TAPE (CT)</t>
  </si>
  <si>
    <t>RTS250000140</t>
  </si>
  <si>
    <t>RTS250000141</t>
  </si>
  <si>
    <t>SURFACE MOUNT FUSES USF 0603</t>
  </si>
  <si>
    <t>3412.0117.22</t>
  </si>
  <si>
    <t>RTS250000142</t>
  </si>
  <si>
    <t>SWITCHING VOLTAGE REGULATORS 21A</t>
  </si>
  <si>
    <t>MP3431GL-P</t>
  </si>
  <si>
    <t>RTS250000143</t>
  </si>
  <si>
    <t>ESD PROTECTION DIODES</t>
  </si>
  <si>
    <t>DF2S14P2FU,H3F</t>
  </si>
  <si>
    <t>RTS250000144</t>
  </si>
  <si>
    <t>CONN HEADER SMD 10POS 0.8MM</t>
  </si>
  <si>
    <t>609-6319-6-ND - DIGI-REEL</t>
  </si>
  <si>
    <t>RTS250000145</t>
  </si>
  <si>
    <t>MAGNETIC SWITCH UNIPOLAR 3SIP</t>
  </si>
  <si>
    <t>EW750B-ND</t>
  </si>
  <si>
    <t>RTS250000146</t>
  </si>
  <si>
    <t>IC MCU 8BIT 28KB FLASH 40UQFN</t>
  </si>
  <si>
    <t>PIC16F18876-I/MV-ND</t>
  </si>
  <si>
    <t>RTS250000147</t>
  </si>
  <si>
    <t>SLIDE SHAFT</t>
  </si>
  <si>
    <t>SLIDE SHAFT (88B3008F)</t>
  </si>
  <si>
    <t>RTS250000148</t>
  </si>
  <si>
    <t>HOLDER COVER PIN</t>
  </si>
  <si>
    <t>HOLDER COVER PIN (88B3010B)</t>
  </si>
  <si>
    <t>RTS250000149</t>
  </si>
  <si>
    <t>CANOPY PIN</t>
  </si>
  <si>
    <t>CANOPY PIN (88B3011B)</t>
  </si>
  <si>
    <t>RTS250000150</t>
  </si>
  <si>
    <t>BUSH COLLAR</t>
  </si>
  <si>
    <t>BUSH COLLAR (88B3027A)</t>
  </si>
  <si>
    <t>RTS250000151</t>
  </si>
  <si>
    <t>HANDLE SIDE SPONGE</t>
  </si>
  <si>
    <t>HANDLE SIDE SPONGE (88B3039A)</t>
  </si>
  <si>
    <t>RTS250000152</t>
  </si>
  <si>
    <t>HANDLE REAR SPONGE</t>
  </si>
  <si>
    <t>HANDLE REAR SPONGE (88B3038B)</t>
  </si>
  <si>
    <t>RTS250000153</t>
  </si>
  <si>
    <t>HOLDER RUBBER (88B3035B)</t>
  </si>
  <si>
    <t>RTS250000154</t>
  </si>
  <si>
    <t>TOP COVER SPONGE</t>
  </si>
  <si>
    <t>TOP COVER SPONGE (88B3029B)</t>
  </si>
  <si>
    <t>RTS250000155</t>
  </si>
  <si>
    <t>VIBE SPONGE</t>
  </si>
  <si>
    <t>VIBE SPONGE (88B3036B)</t>
  </si>
  <si>
    <t>RTS250000156</t>
  </si>
  <si>
    <t>HANDLE FRONT SPONGE</t>
  </si>
  <si>
    <t>HANDLE FRONT SPONGE (88B3037B)</t>
  </si>
  <si>
    <t>RTS250000157</t>
  </si>
  <si>
    <t>STAINLESS WASHER M3</t>
  </si>
  <si>
    <t>STAINLESS WASHER M3 (0527369)</t>
  </si>
  <si>
    <t>RTS250000158</t>
  </si>
  <si>
    <t>WIRE PURPLE 30 AWG</t>
  </si>
  <si>
    <t>WIRE PURPLE 30 AWG (1770722)</t>
  </si>
  <si>
    <t>RTS250000159</t>
  </si>
  <si>
    <t>HD MOTOR 3VDC</t>
  </si>
  <si>
    <t>HD-EMC1003-2-LW15R</t>
  </si>
  <si>
    <t>RTS250000160</t>
  </si>
  <si>
    <t>CAP CER 1UF 25V X6S 0402</t>
  </si>
  <si>
    <t>490-10014-6-ND-DIGI-REEL</t>
  </si>
  <si>
    <t>RTS250000161</t>
  </si>
  <si>
    <t>CONN HEADER SMD 2POS 1MM</t>
  </si>
  <si>
    <t>A99943TR-ND-TAPE-REEL(TR)</t>
  </si>
  <si>
    <t>RTS250000162</t>
  </si>
  <si>
    <t>WIRE SMT HEADER 2.2MM</t>
  </si>
  <si>
    <t>RTS250000163</t>
  </si>
  <si>
    <t>POWER INDUCTORS - SMD 3.3UH 22MOHMS</t>
  </si>
  <si>
    <t>RTS250000164</t>
  </si>
  <si>
    <t>MOSFETS SM SIG N-CH</t>
  </si>
  <si>
    <t>RTS250000165</t>
  </si>
  <si>
    <t>SMD 1/16WATT 107KOHMS 1</t>
  </si>
  <si>
    <t>RTS250000166</t>
  </si>
  <si>
    <t>SMD 1/16WATT 10KOHMS 1 COMMERCIAL USE</t>
  </si>
  <si>
    <t>RTS250000167</t>
  </si>
  <si>
    <t>SMD 1/16WATT 10OHMS 1 COMMERCIAL USE</t>
  </si>
  <si>
    <t>RTS250000168</t>
  </si>
  <si>
    <t>SMD 1/16WATT 1KOHMS 1 COMMERCIAL USE</t>
  </si>
  <si>
    <t>RTS250000169</t>
  </si>
  <si>
    <t>SMD 1/16WATT 2.0KOHMS 1</t>
  </si>
  <si>
    <t>RTS250000170</t>
  </si>
  <si>
    <t>SMD 1/16WATT 3KOHMS 1</t>
  </si>
  <si>
    <t>RTS250000171</t>
  </si>
  <si>
    <t>ARRAY CHIP 8 ELEMENTS 1506</t>
  </si>
  <si>
    <t>RTS250000172</t>
  </si>
  <si>
    <t>SCHOTTKY DIODES-RECTIFIERS 1.1 AMP</t>
  </si>
  <si>
    <t>RTS250000173</t>
  </si>
  <si>
    <t>EMI SMT SPRING CONTACT 5.5MM</t>
  </si>
  <si>
    <t>RTS250000174</t>
  </si>
  <si>
    <t>SWITCHING  4A/21V, 500KHZ STEP-DOWN</t>
  </si>
  <si>
    <t>RTS250000175</t>
  </si>
  <si>
    <t>ESD PROTECTION  DIODES 12-PF,</t>
  </si>
  <si>
    <t>RTS250000176</t>
  </si>
  <si>
    <t>HOLDER PLATE</t>
  </si>
  <si>
    <t>HOLDER PLATE (88B3006C)</t>
  </si>
  <si>
    <t>RTS250000177</t>
  </si>
  <si>
    <t>BUSH COVER PLATE</t>
  </si>
  <si>
    <t>BUSH COVER PLATE (88B3028B)</t>
  </si>
  <si>
    <t>RTS250000178</t>
  </si>
  <si>
    <t>LED GREEN CLEAR 2SMD</t>
  </si>
  <si>
    <t>754-1939-6-ND</t>
  </si>
  <si>
    <t>RTS250000179</t>
  </si>
  <si>
    <t>MULTILAYER CAPACITORS  SMD/SMT 0805 35VD</t>
  </si>
  <si>
    <t>RTS250000180</t>
  </si>
  <si>
    <t>USB INTERFACE IC STANDALONE USB PD</t>
  </si>
  <si>
    <t>RTS250000181</t>
  </si>
  <si>
    <t>POWER INDUCTORS - SMD WE-LQS 10UH 2.1A</t>
  </si>
  <si>
    <t>RTS250000182</t>
  </si>
  <si>
    <t>POWER INDUCTORS - SMD 1.5UH 4.1A</t>
  </si>
  <si>
    <t>RTS250000183</t>
  </si>
  <si>
    <t>POWER INDUCTORS - SMD 4.7UH  2.6A</t>
  </si>
  <si>
    <t>RTS250000184</t>
  </si>
  <si>
    <t>INTERFACE - I/O EXPANDERS PCAL6524HE</t>
  </si>
  <si>
    <t>RTS250000185</t>
  </si>
  <si>
    <t>MOSFETS -30V VDS 20V</t>
  </si>
  <si>
    <t>RTS250000186</t>
  </si>
  <si>
    <t>RESISTOR ARRAYS THICK FILM CHIP 4R ARRAY</t>
  </si>
  <si>
    <t>RTS250000187</t>
  </si>
  <si>
    <t>RESISTORS - SMD 1/16W 20KOHM 0.5</t>
  </si>
  <si>
    <t>RTS250000188</t>
  </si>
  <si>
    <t>SWITCHING VOLTAGE REGULATORS  4-SWITCH</t>
  </si>
  <si>
    <t>RTS250000189</t>
  </si>
  <si>
    <t>LM BUSH</t>
  </si>
  <si>
    <t>LM BUSH LM4</t>
  </si>
  <si>
    <t>RTS250000190</t>
  </si>
  <si>
    <t>CROSS FLAT SCREW M2X6 (BOX-SFBJ2-6)</t>
  </si>
  <si>
    <t>RTS250000191</t>
  </si>
  <si>
    <t>NO.0 PAN HEAD SCREW (SNZ-M2X2-TBZ)</t>
  </si>
  <si>
    <t>RTS250000192</t>
  </si>
  <si>
    <t>HEX NUT M3 (SLBNR3)</t>
  </si>
  <si>
    <t>RTS250000193</t>
  </si>
  <si>
    <t>SPRING WASHER M3 (BOX-SSLW3)</t>
  </si>
  <si>
    <t>RTS250000194</t>
  </si>
  <si>
    <t>CROSS SCREW M3X3 (CSPPN-SUS-M3-3)</t>
  </si>
  <si>
    <t>RTS250000195</t>
  </si>
  <si>
    <t>SILICONE WASHER (SIS-2039-05)</t>
  </si>
  <si>
    <t>RTS250000196</t>
  </si>
  <si>
    <t>CROSS THIN SCREW M2X6(CSPPN2P-SUS-M2-6)</t>
  </si>
  <si>
    <t>RTS250000197</t>
  </si>
  <si>
    <t>HEADERS-WIRE HOUSINGS 2P SMT HEADER 2.2M</t>
  </si>
  <si>
    <t>26-DF61-2P-2.2V(21)CT-ND</t>
  </si>
  <si>
    <t>RTS250000198</t>
  </si>
  <si>
    <t>SURFACE MOUNT FUSES 1206 SMT FUSE 2.5A</t>
  </si>
  <si>
    <t>530-C1Q2.5</t>
  </si>
  <si>
    <t>RTS250000199</t>
  </si>
  <si>
    <t>O-RING, 2MM BORE, 3MM OUTER</t>
  </si>
  <si>
    <t>RTS250000200</t>
  </si>
  <si>
    <t>HEX ULTRATHIN LOW HEAD M2X5</t>
  </si>
  <si>
    <t>CSHELH-SUS-M2-5</t>
  </si>
  <si>
    <t>RTS250000201</t>
  </si>
  <si>
    <t>SILICONE WASHER M3</t>
  </si>
  <si>
    <t>SIW-0305-05</t>
  </si>
  <si>
    <t>RTS250000202</t>
  </si>
  <si>
    <t>P TIGHT SCREW M2X10</t>
  </si>
  <si>
    <t>CSPPNHP-SUSTBS-TPT2-10</t>
  </si>
  <si>
    <t>RTS250000203</t>
  </si>
  <si>
    <t>BRASS SPACER</t>
  </si>
  <si>
    <t>CB-20001CE</t>
  </si>
  <si>
    <t>RTS250000204</t>
  </si>
  <si>
    <t>S251-MAIN_PCB</t>
  </si>
  <si>
    <t>RTS250000205</t>
  </si>
  <si>
    <t>S251-LED_PCB</t>
  </si>
  <si>
    <t>RTS250000206</t>
  </si>
  <si>
    <t>CONN SOCKET 28-32AWG CRIMP TIN</t>
  </si>
  <si>
    <t>455-2963-1-ND</t>
  </si>
  <si>
    <t>RTS250000207</t>
  </si>
  <si>
    <t>CONN RCPT HSG 2POS 1.00MM</t>
  </si>
  <si>
    <t>455-1392-ND</t>
  </si>
  <si>
    <t>RTS250000208</t>
  </si>
  <si>
    <t>455-1788-6-ND</t>
  </si>
  <si>
    <t>RTS250000224</t>
  </si>
  <si>
    <t>HEAT-SHRINKABLE TUBE</t>
  </si>
  <si>
    <t>F(Z) 1X0.2-200</t>
  </si>
  <si>
    <t>RTS250000225</t>
  </si>
  <si>
    <t>SILICONE ADHESIVE : KE-1820(PCS@100GM)</t>
  </si>
  <si>
    <t>RTS326000001</t>
  </si>
  <si>
    <t>SHAFT : BLADE SHAFT 81B2322D</t>
  </si>
  <si>
    <t>RTS326R00002</t>
  </si>
  <si>
    <t>HOLDER BASE PRESS FIT 81B4032B</t>
  </si>
  <si>
    <t>RTS326R00003</t>
  </si>
  <si>
    <t>RTS326R00004</t>
  </si>
  <si>
    <t>HOLDER 85B2735E</t>
  </si>
  <si>
    <t>RTS712E00001</t>
  </si>
  <si>
    <t>HOLDER BASE L : 76B3111F</t>
  </si>
  <si>
    <t>RTS712E00002</t>
  </si>
  <si>
    <t>HOLDER BASE R : 76B3112G</t>
  </si>
  <si>
    <t>RTS712E00003</t>
  </si>
  <si>
    <t>HOLDER COVER L : 76B3113E</t>
  </si>
  <si>
    <t>RTS712E00004</t>
  </si>
  <si>
    <t>HOLDER COVER R : 76B3114F</t>
  </si>
  <si>
    <t>RTS712E00005</t>
  </si>
  <si>
    <t>SUS PARALLEL PIN 1.5H7x22L : 76B3115B</t>
  </si>
  <si>
    <t>RTS712E00006</t>
  </si>
  <si>
    <t>HOLDER BASE L :76B3111F</t>
  </si>
  <si>
    <t>RTS712E00007</t>
  </si>
  <si>
    <t>HOLDER BASE R :76B3112G</t>
  </si>
  <si>
    <t>RTS712E00008</t>
  </si>
  <si>
    <t>HOLDER COVER L :76B3113E</t>
  </si>
  <si>
    <t>RTS712E00009</t>
  </si>
  <si>
    <t>HOLDER COVER R :76B3114F</t>
  </si>
  <si>
    <t>RTS712E00010</t>
  </si>
  <si>
    <t>SUS PIN : 76B3115B</t>
  </si>
  <si>
    <t>RTS712E00011</t>
  </si>
  <si>
    <t>HOLDER BASE L : 76B3111G</t>
  </si>
  <si>
    <t>RTS712E00012</t>
  </si>
  <si>
    <t>HOLDER BASE R : 76B3112H</t>
  </si>
  <si>
    <t>RTSL00000001</t>
  </si>
  <si>
    <t>HEAT SHRINK TUBE G-APEX G1-3.5</t>
  </si>
  <si>
    <t>RTSL00000002</t>
  </si>
  <si>
    <t>HEAT SHRINK TUBE G-APEX G1-5.0</t>
  </si>
  <si>
    <t>RTSRNU000002</t>
  </si>
  <si>
    <t>PM-GDF-5-130</t>
  </si>
  <si>
    <t>RTSRS0000001</t>
  </si>
  <si>
    <t>FIBER GEFT14-125LI : 84807</t>
  </si>
  <si>
    <t>RTSRS0000002</t>
  </si>
  <si>
    <t>FIBER GEFT14-125HI_OFS (85198)</t>
  </si>
  <si>
    <t>RTSRS0000003</t>
  </si>
  <si>
    <t>1060nmSMF(125um)200KPSI:CS1016-A(500ME)</t>
  </si>
  <si>
    <t>RTSRS0000004</t>
  </si>
  <si>
    <t>1060nmSMF(80um)200KPSI: CS1016-C(500ME)</t>
  </si>
  <si>
    <t>RTSRS0000005</t>
  </si>
  <si>
    <t>980nmSMF(125um)200KPSI: CS1015-B(500ME)</t>
  </si>
  <si>
    <t>RTSRS0000008</t>
  </si>
  <si>
    <t>F9232 (400ME@ROLL)</t>
  </si>
  <si>
    <t>RTSRS0000009</t>
  </si>
  <si>
    <t>F10231 (500ME@ROLL)</t>
  </si>
  <si>
    <t>RTSRS0000010</t>
  </si>
  <si>
    <t>FIBER MM20-125LI (PART 82796)</t>
  </si>
  <si>
    <t>RTSRS0000011</t>
  </si>
  <si>
    <t>PREFORM SLICED INTO PLATES WITH 2MM</t>
  </si>
  <si>
    <t>RTSRS0000012</t>
  </si>
  <si>
    <t>PREFORM SLICED INTO PLATES WITH 1MM</t>
  </si>
  <si>
    <t>RTSRS0000013</t>
  </si>
  <si>
    <t>DCT16-125HI: 80850</t>
  </si>
  <si>
    <t>RTSRS0000014</t>
  </si>
  <si>
    <t>RTSRS0000015</t>
  </si>
  <si>
    <t>FIBER OFS FM20-125HI TYPE B</t>
  </si>
  <si>
    <t>RTSRS0000016</t>
  </si>
  <si>
    <t>FIBER FM20-125HI (TYPE A) : 88026</t>
  </si>
  <si>
    <t>RTSRS0000017</t>
  </si>
  <si>
    <t>FIBER FM20-125LI (TYPE B) : 88227</t>
  </si>
  <si>
    <t>RTSRS0000018</t>
  </si>
  <si>
    <t>FIBER FM20-125HI (TYPE C) : 88028</t>
  </si>
  <si>
    <t>RTST00000001</t>
  </si>
  <si>
    <t>FIBER OFS F9232 (125UM)</t>
  </si>
  <si>
    <t>RTST00000002</t>
  </si>
  <si>
    <t>FIBER OFS F10231 (80UM)</t>
  </si>
  <si>
    <t>RTSTNU000001</t>
  </si>
  <si>
    <t>RTSTS0043DEN</t>
  </si>
  <si>
    <t>RUB01</t>
  </si>
  <si>
    <t>Rubber band small (Yellow)</t>
  </si>
  <si>
    <t>RWL00001-FEC</t>
  </si>
  <si>
    <t>FLM-WG01 (ZWLOCKECNN-E525A) (1PK=770pcs)</t>
  </si>
  <si>
    <t>RWL00002-FEC</t>
  </si>
  <si>
    <t>WAFER : ZWLOCKECNN-E578A</t>
  </si>
  <si>
    <t>RWL00003-FEC</t>
  </si>
  <si>
    <t>WAFER : ZWLOCKECNN-E599A</t>
  </si>
  <si>
    <t>S-CENT022</t>
  </si>
  <si>
    <t>PLASTIC RAIL</t>
  </si>
  <si>
    <t>FLEXCOR</t>
  </si>
  <si>
    <t>OFS98-PMF /F9920-05</t>
  </si>
  <si>
    <t>0.4F-PMF/JDSU</t>
  </si>
  <si>
    <t>S014</t>
  </si>
  <si>
    <t>TruePhase F9920-05/A-FBG</t>
  </si>
  <si>
    <t>S015</t>
  </si>
  <si>
    <t>CERSAT</t>
  </si>
  <si>
    <t>S016</t>
  </si>
  <si>
    <t>WORLD ROCK 8774N(PC@5GM)</t>
  </si>
  <si>
    <t>S016A</t>
  </si>
  <si>
    <t>WORLD ROCK 8774N1(PC@5GM)</t>
  </si>
  <si>
    <t>S017</t>
  </si>
  <si>
    <t>0.9 Hytrel Tube (5577)</t>
  </si>
  <si>
    <t>S018</t>
  </si>
  <si>
    <t>PACKING f4.8</t>
  </si>
  <si>
    <t>S019</t>
  </si>
  <si>
    <t>f4.8</t>
  </si>
  <si>
    <t>S020</t>
  </si>
  <si>
    <t>ADHESIVE MENDING TAPE</t>
  </si>
  <si>
    <t>No.405 ( PC@35 ME )</t>
  </si>
  <si>
    <t>S021</t>
  </si>
  <si>
    <t>A-FBG</t>
  </si>
  <si>
    <t>S022</t>
  </si>
  <si>
    <t>S023</t>
  </si>
  <si>
    <t>OFS98-PMF/01</t>
  </si>
  <si>
    <t>Product Label for 14xxFBG</t>
  </si>
  <si>
    <t>S027</t>
  </si>
  <si>
    <t>JDSU HI-1060-200(RL@2000 ME)</t>
  </si>
  <si>
    <t>S027A</t>
  </si>
  <si>
    <t>Oclaro HI-1060-200(RL@2000 ME)</t>
  </si>
  <si>
    <t>S028</t>
  </si>
  <si>
    <t>S029</t>
  </si>
  <si>
    <t>PM98-U25A (RL@500ME)</t>
  </si>
  <si>
    <t>S030</t>
  </si>
  <si>
    <t>Fiber HI980 200kpsi (ME</t>
  </si>
  <si>
    <t>S031</t>
  </si>
  <si>
    <t>S032</t>
  </si>
  <si>
    <t>OFS98-PMF(F9920-04)</t>
  </si>
  <si>
    <t>S033</t>
  </si>
  <si>
    <t>S034</t>
  </si>
  <si>
    <t>OFS48-PMF BF06832-06</t>
  </si>
  <si>
    <t>S035</t>
  </si>
  <si>
    <t>HI 980 (RL@1000 ME)</t>
  </si>
  <si>
    <t>S036</t>
  </si>
  <si>
    <t>PM98-U25A-H(RL@500 ME)</t>
  </si>
  <si>
    <t>S037</t>
  </si>
  <si>
    <t>S038</t>
  </si>
  <si>
    <t>PM 98-U25-DD-500M-H</t>
  </si>
  <si>
    <t>S039A</t>
  </si>
  <si>
    <t>II VI HI-1060-200(RL@2000 ME)NEW COATING</t>
  </si>
  <si>
    <t>S041</t>
  </si>
  <si>
    <t>DCT16-250LI, CERT. FIBER: 80843</t>
  </si>
  <si>
    <t>S042</t>
  </si>
  <si>
    <t>SAN001</t>
  </si>
  <si>
    <t>PLASTIC BOOT : WLA-7102190-01</t>
  </si>
  <si>
    <t>SAN002</t>
  </si>
  <si>
    <t>PLASTIC BOOT : WLA-7102190-02</t>
  </si>
  <si>
    <t>SAN003</t>
  </si>
  <si>
    <t>BOOT : WLA-7503102-02</t>
  </si>
  <si>
    <t>SAN004</t>
  </si>
  <si>
    <t>STOP RING : WLA-8103035</t>
  </si>
  <si>
    <t>SAN005</t>
  </si>
  <si>
    <t>FRAME : WLA-7108050</t>
  </si>
  <si>
    <t>SAN005-NB</t>
  </si>
  <si>
    <t>SAN006</t>
  </si>
  <si>
    <t>PLASTIC BOOT : WLA-6806070-02</t>
  </si>
  <si>
    <t>SAN007</t>
  </si>
  <si>
    <t>STOP RING : WLA-8104192</t>
  </si>
  <si>
    <t>SAN008</t>
  </si>
  <si>
    <t>FSC KNOB : WLA-8202010-01</t>
  </si>
  <si>
    <t>SAN009</t>
  </si>
  <si>
    <t>SPRING : WLA-6303155</t>
  </si>
  <si>
    <t>SAN009-NB</t>
  </si>
  <si>
    <t>SAN010</t>
  </si>
  <si>
    <t>FSC KNOB : WLA-8202010-02</t>
  </si>
  <si>
    <t>SAN010-NB</t>
  </si>
  <si>
    <t>SAN011</t>
  </si>
  <si>
    <t>FRAME : WLA-8903180-03</t>
  </si>
  <si>
    <t>SAN012</t>
  </si>
  <si>
    <t>SC FERRULE : WLA-7301202-05</t>
  </si>
  <si>
    <t>SAN013</t>
  </si>
  <si>
    <t>METAL SLEEVE : WLA-7009140-01</t>
  </si>
  <si>
    <t>SAN014</t>
  </si>
  <si>
    <t>ADAPTER : WLA-8701250</t>
  </si>
  <si>
    <t>SAN015</t>
  </si>
  <si>
    <t>MULTIPLE ADAPTER</t>
  </si>
  <si>
    <t>MULTIPLE ADAPTER : WLA-7501112-03</t>
  </si>
  <si>
    <t>SAN016</t>
  </si>
  <si>
    <t>PLUG : WLA-6809208-01</t>
  </si>
  <si>
    <t>SAN017</t>
  </si>
  <si>
    <t>METAL STOP RING : WLA-7302170</t>
  </si>
  <si>
    <t>SAN018</t>
  </si>
  <si>
    <t>CLAMP RING :  WLA-6311274</t>
  </si>
  <si>
    <t>SAN019</t>
  </si>
  <si>
    <t>METAL RING : WLA-6311275</t>
  </si>
  <si>
    <t>SAN020</t>
  </si>
  <si>
    <t>PLASTIC CAP : WLA-7303046</t>
  </si>
  <si>
    <t>SAN021</t>
  </si>
  <si>
    <t>MULTIPLE RECEPTACLE : WLA-7007074-03</t>
  </si>
  <si>
    <t>SAN022</t>
  </si>
  <si>
    <t>MULTIPLE RECEPTACLE : WLA-7609130</t>
  </si>
  <si>
    <t>SAN023</t>
  </si>
  <si>
    <t>MULTIPLE ADAPTER : WLA-7610110-01</t>
  </si>
  <si>
    <t>SAN024</t>
  </si>
  <si>
    <t>MULTIPLE ADAPTER : WLA-8207200-03</t>
  </si>
  <si>
    <t>SAN025</t>
  </si>
  <si>
    <t>HOLDER : WLA-8103070</t>
  </si>
  <si>
    <t>SAN026</t>
  </si>
  <si>
    <t>MU FERRULE : WLA-8104213</t>
  </si>
  <si>
    <t>SAN027</t>
  </si>
  <si>
    <t>CLAMP RING : WLA-7405074</t>
  </si>
  <si>
    <t>SAN028</t>
  </si>
  <si>
    <t>METAL STOP RING : WLA-8606283</t>
  </si>
  <si>
    <t>SAN029</t>
  </si>
  <si>
    <t>SMUV-PH11 FRONT PRE-ASSY2 : WLA-8104211</t>
  </si>
  <si>
    <t>SAN030</t>
  </si>
  <si>
    <t>PLASTIC CAP : WLA-8511262</t>
  </si>
  <si>
    <t>SAN031</t>
  </si>
  <si>
    <t>RUBBER BOOT : WLA-8303030-02</t>
  </si>
  <si>
    <t>SAN032</t>
  </si>
  <si>
    <t>CLAMP RING : WLA-8103031</t>
  </si>
  <si>
    <t>SAN033</t>
  </si>
  <si>
    <t>METAL STOP RING : WLA-8103030</t>
  </si>
  <si>
    <t>SAN034</t>
  </si>
  <si>
    <t>SAN035</t>
  </si>
  <si>
    <t>SHELL PIPE : WLA-8608281</t>
  </si>
  <si>
    <t>SAN036</t>
  </si>
  <si>
    <t>PLUG FRAME : WLA-7108050</t>
  </si>
  <si>
    <t>SAN037</t>
  </si>
  <si>
    <t>PLASTIC CAP : WLA-7906105</t>
  </si>
  <si>
    <t>SAN038</t>
  </si>
  <si>
    <t>CLAMP RING : WLA-7104111</t>
  </si>
  <si>
    <t>SAN039</t>
  </si>
  <si>
    <t>METAL RING : WLA-7509231</t>
  </si>
  <si>
    <t>SAN040</t>
  </si>
  <si>
    <t>PLASTIC BOOT : WLA-6910140-01</t>
  </si>
  <si>
    <t>SAN041</t>
  </si>
  <si>
    <t>COVER SPLITER</t>
  </si>
  <si>
    <t>SAN042</t>
  </si>
  <si>
    <t>SOCKET FRAME-S</t>
  </si>
  <si>
    <t>SAN043</t>
  </si>
  <si>
    <t>FIBER HOLDER BODY</t>
  </si>
  <si>
    <t>SAN044</t>
  </si>
  <si>
    <t>FIBER HOLDER COVER</t>
  </si>
  <si>
    <t>SAN045</t>
  </si>
  <si>
    <t>SLIDER CAP</t>
  </si>
  <si>
    <t>FIBER HOLDER SLIDER</t>
  </si>
  <si>
    <t>SAWC01</t>
  </si>
  <si>
    <t>POWDERED PAINT</t>
  </si>
  <si>
    <t>N0081434 (25kg)</t>
  </si>
  <si>
    <t>SAWC02</t>
  </si>
  <si>
    <t>PIN SET</t>
  </si>
  <si>
    <t>SAWC03</t>
  </si>
  <si>
    <t>HAT2-00014 (25kg)</t>
  </si>
  <si>
    <t>SAWC04</t>
  </si>
  <si>
    <t>FOR RACK MATERIAL (SET@78PC)</t>
  </si>
  <si>
    <t>SAWC05</t>
  </si>
  <si>
    <t>S-440-2Z1</t>
  </si>
  <si>
    <t>SCFLAN04-HAK</t>
  </si>
  <si>
    <t>C1100-1/4H-1MMX50MMX100MM</t>
  </si>
  <si>
    <t>SCFLAN05-HAK</t>
  </si>
  <si>
    <t>C1100-1/4H-2MMX50MMX100MM</t>
  </si>
  <si>
    <t>SCFLAN06-HAK</t>
  </si>
  <si>
    <t>C1100-1/2H-10MMX50MMX100MM</t>
  </si>
  <si>
    <t>SCFLAN07-HAK</t>
  </si>
  <si>
    <t>A5052-1MMX50MMX100MM</t>
  </si>
  <si>
    <t>SCFLAN08-HAK</t>
  </si>
  <si>
    <t>A5052-2MMX50MMX100MM</t>
  </si>
  <si>
    <t>SCFLAN09-HAK</t>
  </si>
  <si>
    <t>A5052-10MMX50MMX100MM</t>
  </si>
  <si>
    <t>SCFLAN10-INT</t>
  </si>
  <si>
    <t>SUS304(2B)-1MMX50MMX100MM</t>
  </si>
  <si>
    <t>SCFLAN11-INT</t>
  </si>
  <si>
    <t>SUS304(2B)-2MMX50MMX100MM</t>
  </si>
  <si>
    <t>SCFLAN12-INT</t>
  </si>
  <si>
    <t>SUS304(NO.1)-CUTTING ONLY-10MMX50MMX100M</t>
  </si>
  <si>
    <t>SFBG001</t>
  </si>
  <si>
    <t>9xx RECOATED FBG 974.2nm</t>
  </si>
  <si>
    <t>SFBT091</t>
  </si>
  <si>
    <t>Magnet of FLM-IS47</t>
  </si>
  <si>
    <t>SGAI01</t>
  </si>
  <si>
    <t>DW603-FUR-N1401</t>
  </si>
  <si>
    <t>SGV001</t>
  </si>
  <si>
    <t>486-N0477(48GV Tempax)</t>
  </si>
  <si>
    <t>SGV003</t>
  </si>
  <si>
    <t>8GV sample(Type1)</t>
  </si>
  <si>
    <t>SGV004</t>
  </si>
  <si>
    <t>COVER GLASS BOARD</t>
  </si>
  <si>
    <t>2.5mm sample(Type2)</t>
  </si>
  <si>
    <t>SGV01</t>
  </si>
  <si>
    <t>AT9575M (PC@10GM)</t>
  </si>
  <si>
    <t>SHIN001</t>
  </si>
  <si>
    <t>GUIDE PART / F guide-L : SE080138F</t>
  </si>
  <si>
    <t>SHIN001-NB</t>
  </si>
  <si>
    <t>SHIN002</t>
  </si>
  <si>
    <t>SHIN002-NB</t>
  </si>
  <si>
    <t>SHIN003</t>
  </si>
  <si>
    <t>FIXING PART : SE060072K</t>
  </si>
  <si>
    <t>SHIN004</t>
  </si>
  <si>
    <t>PLUG KUSABI / KUSABI : SE070021D</t>
  </si>
  <si>
    <t>SHIN005-01</t>
  </si>
  <si>
    <t>SHIN005-02</t>
  </si>
  <si>
    <t>SHIN005-03</t>
  </si>
  <si>
    <t>SHIN005-04</t>
  </si>
  <si>
    <t>SHIN005-05</t>
  </si>
  <si>
    <t>SHIN005-06</t>
  </si>
  <si>
    <t>SHIN005-08</t>
  </si>
  <si>
    <t>LITHIUM BATTERY S946 : 14TD060-1</t>
  </si>
  <si>
    <t>SKT001-SEI</t>
  </si>
  <si>
    <t>SLP01</t>
  </si>
  <si>
    <t>SLIDE PACK FOR PLC TWO  4X1X8</t>
  </si>
  <si>
    <t>SLP02</t>
  </si>
  <si>
    <t>SLIDE PACK T-PIG  182X144X10 MM</t>
  </si>
  <si>
    <t>SLP03</t>
  </si>
  <si>
    <t>SLIDE PACK FOR 1X16</t>
  </si>
  <si>
    <t>SLP04</t>
  </si>
  <si>
    <t>SLIDE PACK 1X8</t>
  </si>
  <si>
    <t>SLP06</t>
  </si>
  <si>
    <t>SLIDE PACK FOR AWG</t>
  </si>
  <si>
    <t>SLP07</t>
  </si>
  <si>
    <t>SLIDE PACK FOR 1X64</t>
  </si>
  <si>
    <t>SP050</t>
  </si>
  <si>
    <t>BM-POT-08506E</t>
  </si>
  <si>
    <t>SP050L</t>
  </si>
  <si>
    <t>UPPER CASE BM-POT-08506E</t>
  </si>
  <si>
    <t>UPPER CASE  BM-POT-08506E</t>
  </si>
  <si>
    <t>SP051</t>
  </si>
  <si>
    <t>BM-POT-08507B</t>
  </si>
  <si>
    <t>SP051L</t>
  </si>
  <si>
    <t>LID BM-POT-08507B</t>
  </si>
  <si>
    <t>SP058</t>
  </si>
  <si>
    <t>G-348421</t>
  </si>
  <si>
    <t>SP059</t>
  </si>
  <si>
    <t>SP060</t>
  </si>
  <si>
    <t>SP061</t>
  </si>
  <si>
    <t>DC204-135-N2.0</t>
  </si>
  <si>
    <t>SP062</t>
  </si>
  <si>
    <t>S927A</t>
  </si>
  <si>
    <t>SP063</t>
  </si>
  <si>
    <t>S927B</t>
  </si>
  <si>
    <t>SP064</t>
  </si>
  <si>
    <t>DC204-135-N2.0 (UMEC)</t>
  </si>
  <si>
    <t>SP065</t>
  </si>
  <si>
    <t>DC204-135-FFB09063</t>
  </si>
  <si>
    <t>SP076</t>
  </si>
  <si>
    <t>KSD MIE</t>
  </si>
  <si>
    <t>SP077</t>
  </si>
  <si>
    <t>DC204-135-UNI</t>
  </si>
  <si>
    <t>SP078</t>
  </si>
  <si>
    <t>1X8 low-loss /Nitta/430-R0623-0003</t>
  </si>
  <si>
    <t>SP079</t>
  </si>
  <si>
    <t>BM-POT-10065</t>
  </si>
  <si>
    <t>SP080</t>
  </si>
  <si>
    <t>PROTECTOR</t>
  </si>
  <si>
    <t>2.5XL100 BLUE</t>
  </si>
  <si>
    <t>SP081</t>
  </si>
  <si>
    <t>DC202-135-50-A-3-N2.4</t>
  </si>
  <si>
    <t>SP082</t>
  </si>
  <si>
    <t>DC202-135-50-A-3-N3.0</t>
  </si>
  <si>
    <t>SP083</t>
  </si>
  <si>
    <t>1X8/PMS/430-R0565-0003</t>
  </si>
  <si>
    <t>SP088</t>
  </si>
  <si>
    <t>BUSH</t>
  </si>
  <si>
    <t>OILES BUSH 80F-0203</t>
  </si>
  <si>
    <t>SP089</t>
  </si>
  <si>
    <t>SPONGE FOR J396L3 (GRAY)</t>
  </si>
  <si>
    <t>SP1480</t>
  </si>
  <si>
    <t>SAMPLE PRODUCT FOR TRAINING</t>
  </si>
  <si>
    <t>FRT08F12-OP</t>
  </si>
  <si>
    <t>SPFC01</t>
  </si>
  <si>
    <t>MIDDLE WASTE BOX</t>
  </si>
  <si>
    <t>SAMPLE FOR FIBER CUTTER</t>
  </si>
  <si>
    <t>SPITLA01</t>
  </si>
  <si>
    <t>Fiber assembly for micro TOSA</t>
  </si>
  <si>
    <t>SPO05</t>
  </si>
  <si>
    <t>SPONGE TPIG O 110  T= 5MM T-PIG</t>
  </si>
  <si>
    <t>SPO08</t>
  </si>
  <si>
    <t>SPONGE T-PIG (HACYOU)T=3 MM (SEMICIRCLE)</t>
  </si>
  <si>
    <t>SPO09</t>
  </si>
  <si>
    <t>SPONGE T-PIG T=8MM  (SEMICIRCLE)</t>
  </si>
  <si>
    <t>SPO31</t>
  </si>
  <si>
    <t>SPONGE FBG CASE</t>
  </si>
  <si>
    <t>SPONGE FOR FBG CASE</t>
  </si>
  <si>
    <t>SPO35</t>
  </si>
  <si>
    <t>PU FOAM FOR FA NO.A251-D5 (100X150X20MM)</t>
  </si>
  <si>
    <t>SPO36</t>
  </si>
  <si>
    <t>PE FOAM SHEET</t>
  </si>
  <si>
    <t>SPO37</t>
  </si>
  <si>
    <t>ANTI-STATIC SPONGE 79MM X 2MM</t>
  </si>
  <si>
    <t>SPO38</t>
  </si>
  <si>
    <t>98MM CONDUCTIVE CUSHION FOR PK64</t>
  </si>
  <si>
    <t>SPO40</t>
  </si>
  <si>
    <t>SPONGE FOR 98MM FIBER ASSEMBLING</t>
  </si>
  <si>
    <t>SPO41</t>
  </si>
  <si>
    <t>SPONGE FOR 98MM EVA BALCK 210X297X18MM</t>
  </si>
  <si>
    <t>ST093</t>
  </si>
  <si>
    <t>GREEN HOUSING  with FERRULE on DUST CAP</t>
  </si>
  <si>
    <t>ST094</t>
  </si>
  <si>
    <t>125.5 SC</t>
  </si>
  <si>
    <t>SVI-ITLA013ML</t>
  </si>
  <si>
    <t>PCB ASSEMBLY:214126ALF/FLM-EB-ER04 (SVI)</t>
  </si>
  <si>
    <t>SVI001</t>
  </si>
  <si>
    <t>PCB ASSEMBLY : 212-129LF (TX)</t>
  </si>
  <si>
    <t>SVI002</t>
  </si>
  <si>
    <t>PCB ASSEMBLY : 212-130LF (RX)</t>
  </si>
  <si>
    <t>SVI003</t>
  </si>
  <si>
    <t>PCB ASSEMBLY : 212-130BLF (RX) for Test</t>
  </si>
  <si>
    <t>SVI004</t>
  </si>
  <si>
    <t>PCB ASSEMBLY : 214-164LF</t>
  </si>
  <si>
    <t>T-C1056</t>
  </si>
  <si>
    <t>ADHESIVE MARK TAPE 5419 (1 Roll = 33 m.)</t>
  </si>
  <si>
    <t>T-C936</t>
  </si>
  <si>
    <t>NAMICS XS8448-165 (10 GM/PC)</t>
  </si>
  <si>
    <t>T-C994</t>
  </si>
  <si>
    <t>T-PK002</t>
  </si>
  <si>
    <t>COV12T PET-A INSULATING, CLEAR, 0.5MM.</t>
  </si>
  <si>
    <t>T-PK003</t>
  </si>
  <si>
    <t>TRAY OF  SMALL 8BUNKI</t>
  </si>
  <si>
    <t>T-PK004</t>
  </si>
  <si>
    <t>PACKING BOX FOR FTM5 RELAY</t>
  </si>
  <si>
    <t>T-PK005</t>
  </si>
  <si>
    <t>PACKING BOX FOR CTF</t>
  </si>
  <si>
    <t>T-RM001</t>
  </si>
  <si>
    <t>T-RM002</t>
  </si>
  <si>
    <t>FOL1414C9</t>
  </si>
  <si>
    <t>T-RM003</t>
  </si>
  <si>
    <t>FOL1415C9</t>
  </si>
  <si>
    <t>T-RM004</t>
  </si>
  <si>
    <t>T-RM005</t>
  </si>
  <si>
    <t>SAMPLE-FLM-LC27 (L-Band)</t>
  </si>
  <si>
    <t>T-RM007</t>
  </si>
  <si>
    <t>SNZFS-M1.6X3</t>
  </si>
  <si>
    <t>T-RM008</t>
  </si>
  <si>
    <t>T-RM009</t>
  </si>
  <si>
    <t>T-RM010</t>
  </si>
  <si>
    <t>T-RM011</t>
  </si>
  <si>
    <t>T-RM012</t>
  </si>
  <si>
    <t>FLM-PE42B</t>
  </si>
  <si>
    <t>T-RM014</t>
  </si>
  <si>
    <t>FLM-BB-ER02</t>
  </si>
  <si>
    <t>T-RM015</t>
  </si>
  <si>
    <t>CHIP</t>
  </si>
  <si>
    <t>GEN2 DPOH SUB ASSY</t>
  </si>
  <si>
    <t>T-RM016</t>
  </si>
  <si>
    <t>FLM-PK57</t>
  </si>
  <si>
    <t>T-RM017</t>
  </si>
  <si>
    <t>FLM-PE52BA</t>
  </si>
  <si>
    <t>T-RM018</t>
  </si>
  <si>
    <t>FLM-PE52B</t>
  </si>
  <si>
    <t>T-RM019</t>
  </si>
  <si>
    <t>FLM-PE52C</t>
  </si>
  <si>
    <t>T-RM020</t>
  </si>
  <si>
    <t>T-RM021</t>
  </si>
  <si>
    <t>FLM-PE60A</t>
  </si>
  <si>
    <t>T-RM022</t>
  </si>
  <si>
    <t>T-RM023</t>
  </si>
  <si>
    <t>KCMM035C18</t>
  </si>
  <si>
    <t>T-RM024</t>
  </si>
  <si>
    <t>KCMM035C18 EQUIVALENTA</t>
  </si>
  <si>
    <t>T-RM025</t>
  </si>
  <si>
    <t>FAC300 FISBA FIRST LENS</t>
  </si>
  <si>
    <t>T-RM026</t>
  </si>
  <si>
    <t>ELECTORICAL BOARD FLM-EB-ER05</t>
  </si>
  <si>
    <t>T-RM027</t>
  </si>
  <si>
    <t>T-RM028</t>
  </si>
  <si>
    <t>M1.6x10 W/ NYLOK FLM-IH34A</t>
  </si>
  <si>
    <t>T-RM029</t>
  </si>
  <si>
    <t>T-RM030</t>
  </si>
  <si>
    <t>FLM-PE10</t>
  </si>
  <si>
    <t>T-RM031</t>
  </si>
  <si>
    <t>C-BAND (0430-V0538-0001) TYPE L</t>
  </si>
  <si>
    <t>T-RM032</t>
  </si>
  <si>
    <t>METAL COLLAR : OT COLLAR</t>
  </si>
  <si>
    <t>T-RM033</t>
  </si>
  <si>
    <t>ROLLER : STAINLESS ROLLER</t>
  </si>
  <si>
    <t>T-RM034</t>
  </si>
  <si>
    <t>FLM-PK62A</t>
  </si>
  <si>
    <t>T-RM035</t>
  </si>
  <si>
    <t>GRM033C80J473KE19D</t>
  </si>
  <si>
    <t>T-RM036</t>
  </si>
  <si>
    <t>ODT-BAE1004</t>
  </si>
  <si>
    <t>T-RM037</t>
  </si>
  <si>
    <t>T-RM038</t>
  </si>
  <si>
    <t>SEFI-01030-002</t>
  </si>
  <si>
    <t>T-RM039</t>
  </si>
  <si>
    <t>SEFI-01031-002</t>
  </si>
  <si>
    <t>T-RM040</t>
  </si>
  <si>
    <t>T-RM041</t>
  </si>
  <si>
    <t>SHAFT : BLADE SHAFT/ED-DD-14065</t>
  </si>
  <si>
    <t>T-RM042</t>
  </si>
  <si>
    <t>T-RM043</t>
  </si>
  <si>
    <t>T-RM044</t>
  </si>
  <si>
    <t>FERRULE SLEEVE FLM-FS38B</t>
  </si>
  <si>
    <t>T-RM045</t>
  </si>
  <si>
    <t>4CHFSA (FLM-FSA01)</t>
  </si>
  <si>
    <t>T-RM046</t>
  </si>
  <si>
    <t>COIL SPRING</t>
  </si>
  <si>
    <t>T-RM047</t>
  </si>
  <si>
    <t>FLM-HN47(PD)(FBT168)</t>
  </si>
  <si>
    <t>T-RM048</t>
  </si>
  <si>
    <t>FLM-HN48(TH)(FBT169)</t>
  </si>
  <si>
    <t>T-RM049</t>
  </si>
  <si>
    <t>FLM-HN31(D70)</t>
  </si>
  <si>
    <t>T-RM050</t>
  </si>
  <si>
    <t>SHAFT:CLUTCH SHAFT (81B2386F)</t>
  </si>
  <si>
    <t>T-RM051</t>
  </si>
  <si>
    <t>PCBA</t>
  </si>
  <si>
    <t>T-RM052</t>
  </si>
  <si>
    <t>Gaihihaji Cover L(Gray)/KANTAN06</t>
  </si>
  <si>
    <t>T-RM053</t>
  </si>
  <si>
    <t>FSC Pin/KANTAN07</t>
  </si>
  <si>
    <t>T-RM054</t>
  </si>
  <si>
    <t>FSC Stop Ring/KANTAN08</t>
  </si>
  <si>
    <t>T-RM055</t>
  </si>
  <si>
    <t>FSC Stopper L(Gray)/KANTAN09</t>
  </si>
  <si>
    <t>T-RM056</t>
  </si>
  <si>
    <t>SC-PH Plug Frame/KANTAN10</t>
  </si>
  <si>
    <t>T-RM057</t>
  </si>
  <si>
    <t>FSC Knob/KANTAN11</t>
  </si>
  <si>
    <t>T-RM058</t>
  </si>
  <si>
    <t>FSC Kusabi/KANTAN12</t>
  </si>
  <si>
    <t>T-RM059</t>
  </si>
  <si>
    <t>Connector Cap/KANTAN13</t>
  </si>
  <si>
    <t>T-RM060</t>
  </si>
  <si>
    <t>Kusabi Stopper/KANTAN14</t>
  </si>
  <si>
    <t>T-RM061</t>
  </si>
  <si>
    <t>Cable Holder K/KANTAN15</t>
  </si>
  <si>
    <t>T-RM062</t>
  </si>
  <si>
    <t>F guide-L/KANTAN16</t>
  </si>
  <si>
    <t>T-RM063</t>
  </si>
  <si>
    <t>F guide/ 08S166E</t>
  </si>
  <si>
    <t>T-RM064</t>
  </si>
  <si>
    <t>FA-501B/ 08S165G</t>
  </si>
  <si>
    <t>T-RM065</t>
  </si>
  <si>
    <t>PIN : HD PIN (81B2302B)</t>
  </si>
  <si>
    <t>T-RM066</t>
  </si>
  <si>
    <t>SHAFT : IDLER SHAFT (81B2391A)</t>
  </si>
  <si>
    <t>T-RM067</t>
  </si>
  <si>
    <t>SHAFT : CAM SHAFT (81B2398B)</t>
  </si>
  <si>
    <t>T-RM068</t>
  </si>
  <si>
    <t>PIN : FEED PIN (81B2327C)</t>
  </si>
  <si>
    <t>T-RM069</t>
  </si>
  <si>
    <t>T-RM070</t>
  </si>
  <si>
    <t>DQ4_FLM-BA07</t>
  </si>
  <si>
    <t>T-RM071</t>
  </si>
  <si>
    <t>F12-WB(Tx)_FLM-BA10</t>
  </si>
  <si>
    <t>T-RM072</t>
  </si>
  <si>
    <t>F12-WB(Rx)_FLM-BA11</t>
  </si>
  <si>
    <t>T-RM073</t>
  </si>
  <si>
    <t>LA GEAR SPRING (81B2556C)</t>
  </si>
  <si>
    <t>T-RM074</t>
  </si>
  <si>
    <t>COLLAR : IN COLLAR (81B2347B)</t>
  </si>
  <si>
    <t>T-RM075</t>
  </si>
  <si>
    <t>SHAFT : LEVER SHAFT (81B2312A)</t>
  </si>
  <si>
    <t>T-RM076</t>
  </si>
  <si>
    <t>SHAFT : FR ARM SHAFT (81B2399A)</t>
  </si>
  <si>
    <t>T-RM077</t>
  </si>
  <si>
    <t>SHAFT : HINGE SHAFT (81B2345B)</t>
  </si>
  <si>
    <t>T-RM078</t>
  </si>
  <si>
    <t>SMT-A1310H FIBER (BF04446)</t>
  </si>
  <si>
    <t>T-RM079</t>
  </si>
  <si>
    <t>PIN : 3X10L (81B2545B)</t>
  </si>
  <si>
    <t>T-RM080</t>
  </si>
  <si>
    <t>KCMM035C22 (FLM-PE42A)</t>
  </si>
  <si>
    <t>T-RM081</t>
  </si>
  <si>
    <t>FLM-NL01B-2ND LENS</t>
  </si>
  <si>
    <t>T-RM082</t>
  </si>
  <si>
    <t>FLM-LV01B-3RD V LENS</t>
  </si>
  <si>
    <t>T-RM083</t>
  </si>
  <si>
    <t>FLM-LH02B-3RD H LENS</t>
  </si>
  <si>
    <t>T-RM084</t>
  </si>
  <si>
    <t>FLM-MR01B</t>
  </si>
  <si>
    <t>T-RM085</t>
  </si>
  <si>
    <t>FLM-FT01B-FILTER</t>
  </si>
  <si>
    <t>T-RM086</t>
  </si>
  <si>
    <t>FLM-GC01B</t>
  </si>
  <si>
    <t>T-RM087</t>
  </si>
  <si>
    <t>T-RM088</t>
  </si>
  <si>
    <t>FLM-AP01B</t>
  </si>
  <si>
    <t>T-RM089</t>
  </si>
  <si>
    <t>FLM-AP02A</t>
  </si>
  <si>
    <t>T-RM090</t>
  </si>
  <si>
    <t>FLM-AP02B</t>
  </si>
  <si>
    <t>T-RM091</t>
  </si>
  <si>
    <t>FLM-EC02A-END GAP</t>
  </si>
  <si>
    <t>T-RM092</t>
  </si>
  <si>
    <t>FLM-EC02B-END GAP</t>
  </si>
  <si>
    <t>T-RM093</t>
  </si>
  <si>
    <t>T-RM094</t>
  </si>
  <si>
    <t>FAC300</t>
  </si>
  <si>
    <t>T-RM095</t>
  </si>
  <si>
    <t>T-RM096</t>
  </si>
  <si>
    <t>PIN : 2X22L (81B2544B)</t>
  </si>
  <si>
    <t>T-RM097</t>
  </si>
  <si>
    <t>T-RM098</t>
  </si>
  <si>
    <t>COMPRESSION SPRING (81B2350C)</t>
  </si>
  <si>
    <t>T-RM099</t>
  </si>
  <si>
    <t>T-RM100</t>
  </si>
  <si>
    <t>TORSION SPRING#2:81B2313E</t>
  </si>
  <si>
    <t>T-RM101</t>
  </si>
  <si>
    <t>f1.1 cord-1</t>
  </si>
  <si>
    <t>T-RM102</t>
  </si>
  <si>
    <t>f1.1 cord-2</t>
  </si>
  <si>
    <t>T-RM103</t>
  </si>
  <si>
    <t>f1.1 cord-3</t>
  </si>
  <si>
    <t>T-RM104</t>
  </si>
  <si>
    <t>f1.1 cord-4</t>
  </si>
  <si>
    <t>T-RM105</t>
  </si>
  <si>
    <t>f1.1 cord-5</t>
  </si>
  <si>
    <t>T-RM106</t>
  </si>
  <si>
    <t>f1.1 cord-6</t>
  </si>
  <si>
    <t>T-RM107</t>
  </si>
  <si>
    <t>f1.1 cord-7</t>
  </si>
  <si>
    <t>T-RM108</t>
  </si>
  <si>
    <t>f1.1 cord-8</t>
  </si>
  <si>
    <t>T-RM109</t>
  </si>
  <si>
    <t>f1.1 cord-9</t>
  </si>
  <si>
    <t>T-RM110</t>
  </si>
  <si>
    <t>f1.1 cord-10</t>
  </si>
  <si>
    <t>T-RM111</t>
  </si>
  <si>
    <t>f1.1 cord-11</t>
  </si>
  <si>
    <t>T-RM112</t>
  </si>
  <si>
    <t>f1.1 cord-12</t>
  </si>
  <si>
    <t>T-RM113</t>
  </si>
  <si>
    <t>COIL SPRING #WL2-5 (81B2522A)</t>
  </si>
  <si>
    <t>T-RM114</t>
  </si>
  <si>
    <t>COIL SPRING #5113 (81B2517A)</t>
  </si>
  <si>
    <t>T-RM115</t>
  </si>
  <si>
    <t>T-RM116</t>
  </si>
  <si>
    <t>TORSION SPRING#1:81B2385C</t>
  </si>
  <si>
    <t>T-RM117</t>
  </si>
  <si>
    <t>PCBA (SET) FOR OPTICAL FIBER IDENTIFIER</t>
  </si>
  <si>
    <t>T-RM118</t>
  </si>
  <si>
    <t>OPTICAL LENS SAMPLE</t>
  </si>
  <si>
    <t>T-RM119</t>
  </si>
  <si>
    <t>T-RM120</t>
  </si>
  <si>
    <t>HELICAL COMPRESSION SPRING #2:81B2401D</t>
  </si>
  <si>
    <t>T-RM121</t>
  </si>
  <si>
    <t>FLM-PL27E</t>
  </si>
  <si>
    <t>T-RM122</t>
  </si>
  <si>
    <t>FLM-IH36</t>
  </si>
  <si>
    <t>T-RM123</t>
  </si>
  <si>
    <t>SCREW 1.6x10</t>
  </si>
  <si>
    <t>T-RM124</t>
  </si>
  <si>
    <t>T-RM125</t>
  </si>
  <si>
    <t>FAC Lens- ML05L04F266</t>
  </si>
  <si>
    <t>T-RM126</t>
  </si>
  <si>
    <t>FLM-PL31A</t>
  </si>
  <si>
    <t>T-RM127</t>
  </si>
  <si>
    <t>FLM-ZB06A</t>
  </si>
  <si>
    <t>T-RM128</t>
  </si>
  <si>
    <t>FLM-ZB06B</t>
  </si>
  <si>
    <t>T-RM129</t>
  </si>
  <si>
    <t>FLM-CH50A</t>
  </si>
  <si>
    <t>T-RM130</t>
  </si>
  <si>
    <t>FLM-PR30A</t>
  </si>
  <si>
    <t>T-RM131</t>
  </si>
  <si>
    <t>FLM-IS50C</t>
  </si>
  <si>
    <t>T-RM132</t>
  </si>
  <si>
    <t>FLM-IS50D</t>
  </si>
  <si>
    <t>T-RM133</t>
  </si>
  <si>
    <t>T-RM134</t>
  </si>
  <si>
    <t>FLM-BS25A TYPE B</t>
  </si>
  <si>
    <t>T-RM135</t>
  </si>
  <si>
    <t>FLM-PK65A</t>
  </si>
  <si>
    <t>T-RM136</t>
  </si>
  <si>
    <t>FLM-FAS11JA-1.6N SMF</t>
  </si>
  <si>
    <t>T-RM137</t>
  </si>
  <si>
    <t>FLM-FAS11JB-1.6N SMF</t>
  </si>
  <si>
    <t>T-RM138</t>
  </si>
  <si>
    <t>FLM-FAS26JA-0.6N PMF0</t>
  </si>
  <si>
    <t>T-RM139</t>
  </si>
  <si>
    <t>FLM-FAS26JB-0.6N PMF0</t>
  </si>
  <si>
    <t>T-RM140</t>
  </si>
  <si>
    <t>FLM-FAS26KA-0.6N PMF6</t>
  </si>
  <si>
    <t>T-RM141</t>
  </si>
  <si>
    <t>FLM-FAS26KB-0.6N PMF6</t>
  </si>
  <si>
    <t>T-RM142</t>
  </si>
  <si>
    <t>FLM-SP02A</t>
  </si>
  <si>
    <t>T-RM143</t>
  </si>
  <si>
    <t>FLM-GB29A</t>
  </si>
  <si>
    <t>T-RM144</t>
  </si>
  <si>
    <t>FLM-ZB07A (PC@1,250ME)</t>
  </si>
  <si>
    <t>T-RM145</t>
  </si>
  <si>
    <t>T-RM146</t>
  </si>
  <si>
    <t>T-RM147</t>
  </si>
  <si>
    <t>T-RM148</t>
  </si>
  <si>
    <t>FLM-PK20 FLM1</t>
  </si>
  <si>
    <t>T-RM149</t>
  </si>
  <si>
    <t>N167 (PC@5GM)</t>
  </si>
  <si>
    <t>T-RM150</t>
  </si>
  <si>
    <t>LOW MELTING GLASS</t>
  </si>
  <si>
    <t>VS1179(@100GM)</t>
  </si>
  <si>
    <t>T-RM151</t>
  </si>
  <si>
    <t>N4167 (PC@100GM)</t>
  </si>
  <si>
    <t>T-RM152</t>
  </si>
  <si>
    <t>FLM-PK64A</t>
  </si>
  <si>
    <t>T-RM153</t>
  </si>
  <si>
    <t>T-RM154</t>
  </si>
  <si>
    <t>FLM-EC02A</t>
  </si>
  <si>
    <t>T-RM155</t>
  </si>
  <si>
    <t>T-RM156</t>
  </si>
  <si>
    <t>MULTIMODE OPTICAL FIBER (BF05859)</t>
  </si>
  <si>
    <t>T-RM158</t>
  </si>
  <si>
    <t>FLM-PK64B</t>
  </si>
  <si>
    <t>T-RM159</t>
  </si>
  <si>
    <t>LC2.0MM-DUPLXMULT-1180BEIGE_WHITE_MM-SPC</t>
  </si>
  <si>
    <t>T-RM160</t>
  </si>
  <si>
    <t>SC1.6MM-SIMPLEX-MULT-1150-BLU-BLU-SM-SPC</t>
  </si>
  <si>
    <t>T-RM161</t>
  </si>
  <si>
    <t>LC0.9MM-SIMPX-ONE-1150-GREN-WHITE-SM-APC</t>
  </si>
  <si>
    <t>T-RM162</t>
  </si>
  <si>
    <t>LC2.0MM-SIMPLX-ONE-1150-GREN-WHITE-SM-AP</t>
  </si>
  <si>
    <t>T-RM163</t>
  </si>
  <si>
    <t>LC0.9MM-SIMPLX-ONE-1150-BLU-WHITE-SM-SPC</t>
  </si>
  <si>
    <t>T-RM164</t>
  </si>
  <si>
    <t>LC2.0MM-SIMPLX-ONE-1150-BLU-WHITE-SM-SPC</t>
  </si>
  <si>
    <t>T-RM165</t>
  </si>
  <si>
    <t>SC0.9MM-SIMPLX-ONE-1150-GREN-GREN-SM-APC</t>
  </si>
  <si>
    <t>T-RM166</t>
  </si>
  <si>
    <t>SC2.0MM-SIMPLX-ONE-1150-GREN-GREN-SM-APC</t>
  </si>
  <si>
    <t>T-RM167</t>
  </si>
  <si>
    <t>SC0.9MM-SIMPLEX-ONE-1150-BLU-BLU-SM-SPC</t>
  </si>
  <si>
    <t>T-RM168</t>
  </si>
  <si>
    <t>SC2.0MM-SIMPLEX-ONE-1150-BLU-BLU-SM-SPC</t>
  </si>
  <si>
    <t>T-RM169</t>
  </si>
  <si>
    <t>FC2.0MM-SIMPLX-ONE-1150-LOSE-BLU-SM-SPC</t>
  </si>
  <si>
    <t>T-RM170</t>
  </si>
  <si>
    <t>FLM-WL02A-INNERWALL</t>
  </si>
  <si>
    <t>T-RM171</t>
  </si>
  <si>
    <t>T-RM172</t>
  </si>
  <si>
    <t>FLM-LF08A</t>
  </si>
  <si>
    <t>T-RM173</t>
  </si>
  <si>
    <t>T-RM174</t>
  </si>
  <si>
    <t>T-RM175</t>
  </si>
  <si>
    <t>FOL0910xxx</t>
  </si>
  <si>
    <t>T-RM176</t>
  </si>
  <si>
    <t>FLM-ZB09A</t>
  </si>
  <si>
    <t>T-RM177</t>
  </si>
  <si>
    <t>HELICAL EXTENSION SPRING: 81B2519A</t>
  </si>
  <si>
    <t>T-RM178</t>
  </si>
  <si>
    <t>PARALLEL PIN (6X20L): 81B2543B</t>
  </si>
  <si>
    <t>T-RM179</t>
  </si>
  <si>
    <t>PARALLEL PIN (7X8L): 81B2542B</t>
  </si>
  <si>
    <t>T-RM180</t>
  </si>
  <si>
    <t>PARALLEL PIN (7X4L): 81B2549B</t>
  </si>
  <si>
    <t>T-RM181</t>
  </si>
  <si>
    <t>NUT 1/4 -20 UNC INSERT (DWG NO. 4PP4239-</t>
  </si>
  <si>
    <t>T-RM182</t>
  </si>
  <si>
    <t>FLM-CH47B</t>
  </si>
  <si>
    <t>T-RM183</t>
  </si>
  <si>
    <t>FLM-AL01B</t>
  </si>
  <si>
    <t>T-RM186</t>
  </si>
  <si>
    <t>COMPRESSION SPRING: 81B2350C</t>
  </si>
  <si>
    <t>T-RM187</t>
  </si>
  <si>
    <t>f1.1 cord-46</t>
  </si>
  <si>
    <t>T-RM188</t>
  </si>
  <si>
    <t>f1.1 cord-18</t>
  </si>
  <si>
    <t>T-RM189</t>
  </si>
  <si>
    <t>f1.1 cord-61</t>
  </si>
  <si>
    <t>T-RM190</t>
  </si>
  <si>
    <t>T-RM191</t>
  </si>
  <si>
    <t>T-RM192</t>
  </si>
  <si>
    <t>PM980-XP PANDA- TYPE</t>
  </si>
  <si>
    <t>T-RM193</t>
  </si>
  <si>
    <t>SHAFT : 30A2363A</t>
  </si>
  <si>
    <t>T-RM197</t>
  </si>
  <si>
    <t>T-RM198</t>
  </si>
  <si>
    <t>FLM-BS33A</t>
  </si>
  <si>
    <t>T-RM200</t>
  </si>
  <si>
    <t>T-RM202</t>
  </si>
  <si>
    <t>T-RM203</t>
  </si>
  <si>
    <t>T-RM204</t>
  </si>
  <si>
    <t>T-RM205</t>
  </si>
  <si>
    <t>T-RM206</t>
  </si>
  <si>
    <t>T-RM207</t>
  </si>
  <si>
    <t>T-RM208</t>
  </si>
  <si>
    <t>ARC UNIT (FOR NINJAM4)</t>
  </si>
  <si>
    <t>T-RM210</t>
  </si>
  <si>
    <t>SCREW: 33A2012A</t>
  </si>
  <si>
    <t>T-RM211</t>
  </si>
  <si>
    <t>WASHER: 33A2069</t>
  </si>
  <si>
    <t>T-RM212</t>
  </si>
  <si>
    <t>PIN : 33A2122A</t>
  </si>
  <si>
    <t>T-RM213</t>
  </si>
  <si>
    <t>REINFORCED SLEEVE : 33A1054B</t>
  </si>
  <si>
    <t>T-RM214</t>
  </si>
  <si>
    <t>BUSHING : 76B3052A</t>
  </si>
  <si>
    <t>T-RM215</t>
  </si>
  <si>
    <t>T-RM216</t>
  </si>
  <si>
    <t>POLE FLM-IH28</t>
  </si>
  <si>
    <t>T-RM217</t>
  </si>
  <si>
    <t>M1.6x3.0</t>
  </si>
  <si>
    <t>T-RM218</t>
  </si>
  <si>
    <t>T-RM220</t>
  </si>
  <si>
    <t>SCREW: 33A2111A</t>
  </si>
  <si>
    <t>T-RM228</t>
  </si>
  <si>
    <t>SUS SHAFT 2X15L: 33A2121A</t>
  </si>
  <si>
    <t>T-RM229</t>
  </si>
  <si>
    <t>PIN : HINGE PIN B/33A1047D</t>
  </si>
  <si>
    <t>T-RM230</t>
  </si>
  <si>
    <t>F1.1 CORD-14</t>
  </si>
  <si>
    <t>T-RM231</t>
  </si>
  <si>
    <t>F1.1 CORD-42</t>
  </si>
  <si>
    <t>T-RM232</t>
  </si>
  <si>
    <t>F1.1 CORD-13</t>
  </si>
  <si>
    <t>T-RM233</t>
  </si>
  <si>
    <t>T-RM234</t>
  </si>
  <si>
    <t>LED ARM SHAFT A : 33A2067A</t>
  </si>
  <si>
    <t>T-RM235</t>
  </si>
  <si>
    <t>LED ARM SHAFT B : 33A2068A</t>
  </si>
  <si>
    <t>T-RM236</t>
  </si>
  <si>
    <t>SPRING : SLE CLAMP SP/33A1033B</t>
  </si>
  <si>
    <t>T-RM237</t>
  </si>
  <si>
    <t>CARRIAGE SPRING (LM)</t>
  </si>
  <si>
    <t>SPRING:CARRIAGE SPRING (LM)/4PP4239-3745</t>
  </si>
  <si>
    <t>T-RM238</t>
  </si>
  <si>
    <t>SPRING : SPRING-RESET-FCS-M/4PP4239-3694</t>
  </si>
  <si>
    <t>T-RM239</t>
  </si>
  <si>
    <t>LED ARM SPRING</t>
  </si>
  <si>
    <t>SPRING : LED ARM SPRING/4PP4239-3661</t>
  </si>
  <si>
    <t>T-RM240</t>
  </si>
  <si>
    <t>FB CLAM SP : 33A1053B</t>
  </si>
  <si>
    <t>T-RM241</t>
  </si>
  <si>
    <t>SPRING-RESET-FCS : 4PP4239-3692</t>
  </si>
  <si>
    <t>T-RM242</t>
  </si>
  <si>
    <t>ARM SPRING : 4PP4239-3637</t>
  </si>
  <si>
    <t>T-RM243</t>
  </si>
  <si>
    <t>CH CLAMP SPRING : 76B3042C</t>
  </si>
  <si>
    <t>T-RM244</t>
  </si>
  <si>
    <t>1.6X3.5</t>
  </si>
  <si>
    <t>T-RM245</t>
  </si>
  <si>
    <t>1.7X2.0</t>
  </si>
  <si>
    <t>T-RM246</t>
  </si>
  <si>
    <t>D3-d1.7-0.8</t>
  </si>
  <si>
    <t>T-RM247</t>
  </si>
  <si>
    <t>T-RM248</t>
  </si>
  <si>
    <t>SHAFT : SUS SHAFT 2X6 33A2118A</t>
  </si>
  <si>
    <t>T-RM249</t>
  </si>
  <si>
    <t>SHAFT : SUS SHAFT 2X1033A2119A</t>
  </si>
  <si>
    <t>T-RM250</t>
  </si>
  <si>
    <t>SUS PIN : GUIDE SHAFT (LM) 33A2019A</t>
  </si>
  <si>
    <t>T-RM251</t>
  </si>
  <si>
    <t>WASHER : 33A2037A (4X6X1)</t>
  </si>
  <si>
    <t>T-RM252</t>
  </si>
  <si>
    <t>WASHER : 33A2041A  (4X8X1)</t>
  </si>
  <si>
    <t>T-RM253</t>
  </si>
  <si>
    <t>BASE : ARC TERMINAL BASE 33A2076A</t>
  </si>
  <si>
    <t>T-RM254</t>
  </si>
  <si>
    <t>T-RM255</t>
  </si>
  <si>
    <t>POLE FLM-IH40</t>
  </si>
  <si>
    <t>T-RM256</t>
  </si>
  <si>
    <t>FLM-WL02B-INNERWALL</t>
  </si>
  <si>
    <t>T-RM257</t>
  </si>
  <si>
    <t>FLM-FB10A(-0.3)</t>
  </si>
  <si>
    <t>T-RM258</t>
  </si>
  <si>
    <t>FLM-FB10A(-10)</t>
  </si>
  <si>
    <t>T-RM259</t>
  </si>
  <si>
    <t>FLM-LV01C</t>
  </si>
  <si>
    <t>T-RM260</t>
  </si>
  <si>
    <t>TOP COVER RUBBER</t>
  </si>
  <si>
    <t>T-RM261</t>
  </si>
  <si>
    <t>T-RM262</t>
  </si>
  <si>
    <t>T-RM263</t>
  </si>
  <si>
    <t>CANOPY RUBBER</t>
  </si>
  <si>
    <t>T-RM264</t>
  </si>
  <si>
    <t>TERMINAL COVER</t>
  </si>
  <si>
    <t>T-RM265</t>
  </si>
  <si>
    <t>TERMINAL COVER (USB)</t>
  </si>
  <si>
    <t>T-RM266</t>
  </si>
  <si>
    <t>T-RM267</t>
  </si>
  <si>
    <t>T-RM268</t>
  </si>
  <si>
    <t>T-RM269</t>
  </si>
  <si>
    <t>T-RM270</t>
  </si>
  <si>
    <t>T-RM271</t>
  </si>
  <si>
    <t>T-RM272</t>
  </si>
  <si>
    <t>T-RM273</t>
  </si>
  <si>
    <t>GUIDE LEVER (LM)</t>
  </si>
  <si>
    <t>T-RM274</t>
  </si>
  <si>
    <t>T-RM275</t>
  </si>
  <si>
    <t>STOPPER PLATE (LM)</t>
  </si>
  <si>
    <t>T-RM276</t>
  </si>
  <si>
    <t>Z-LEAD GEAR (LM)</t>
  </si>
  <si>
    <t>T-RM277</t>
  </si>
  <si>
    <t>T-RM278</t>
  </si>
  <si>
    <t>Z SIM T=0.05</t>
  </si>
  <si>
    <t>T-RM279</t>
  </si>
  <si>
    <t>Z-COVER (LM)</t>
  </si>
  <si>
    <t>T-RM280</t>
  </si>
  <si>
    <t>XY-GEAR E</t>
  </si>
  <si>
    <t>T-RM281</t>
  </si>
  <si>
    <t>XY-PINION GEAR</t>
  </si>
  <si>
    <t>T-RM282</t>
  </si>
  <si>
    <t>T-RM283</t>
  </si>
  <si>
    <t>T-RM284</t>
  </si>
  <si>
    <t>T-RM285</t>
  </si>
  <si>
    <t>PLATE CMOS</t>
  </si>
  <si>
    <t>T-RM286</t>
  </si>
  <si>
    <t>T-RM287</t>
  </si>
  <si>
    <t>GEAR PINION FCS Z42</t>
  </si>
  <si>
    <t>T-RM288</t>
  </si>
  <si>
    <t>T-RM289</t>
  </si>
  <si>
    <t>GEAR (Z49)</t>
  </si>
  <si>
    <t>T-RM290</t>
  </si>
  <si>
    <t>T-RM291</t>
  </si>
  <si>
    <t>T-RM292</t>
  </si>
  <si>
    <t>FB CLAMP BASE</t>
  </si>
  <si>
    <t>T-RM293</t>
  </si>
  <si>
    <t>T-RM294</t>
  </si>
  <si>
    <t>T-RM295</t>
  </si>
  <si>
    <t>T-RM296</t>
  </si>
  <si>
    <t>ARC COVER BOTTOM</t>
  </si>
  <si>
    <t>T-RM297</t>
  </si>
  <si>
    <t>ARC TERMINAL BASE COVER</t>
  </si>
  <si>
    <t>T-RM298</t>
  </si>
  <si>
    <t>ARC COVER TOP</t>
  </si>
  <si>
    <t>T-RM299</t>
  </si>
  <si>
    <t>NFC HOLDER</t>
  </si>
  <si>
    <t>T-RM300</t>
  </si>
  <si>
    <t>T-RM301</t>
  </si>
  <si>
    <t>T-RM302</t>
  </si>
  <si>
    <t>FIX ARM PLATE</t>
  </si>
  <si>
    <t>T-RM303</t>
  </si>
  <si>
    <t>HC LEVER</t>
  </si>
  <si>
    <t>T-RM304</t>
  </si>
  <si>
    <t>T-RM305</t>
  </si>
  <si>
    <t>FEED PIECE</t>
  </si>
  <si>
    <t>T-RM306</t>
  </si>
  <si>
    <t>T-RM307</t>
  </si>
  <si>
    <t>CLAMP R-SP</t>
  </si>
  <si>
    <t>T-RM308</t>
  </si>
  <si>
    <t>MAGNET COVER A</t>
  </si>
  <si>
    <t>T-RM309</t>
  </si>
  <si>
    <t>FIX COVER</t>
  </si>
  <si>
    <t>T-RM310</t>
  </si>
  <si>
    <t>GND PLATE</t>
  </si>
  <si>
    <t>T-RM311</t>
  </si>
  <si>
    <t>T-RM312</t>
  </si>
  <si>
    <t>T-RM313</t>
  </si>
  <si>
    <t>CROSS RECESSED PAN HEAD SCREW  M2?5L</t>
  </si>
  <si>
    <t>T-RM314</t>
  </si>
  <si>
    <t>CROSS RECESSED PAN HEAD SCREW  M2?3L</t>
  </si>
  <si>
    <t>T-RM315</t>
  </si>
  <si>
    <t>CROSS RECESSED PAN HEAD SCREW  M2.5?5L</t>
  </si>
  <si>
    <t>T-RM316</t>
  </si>
  <si>
    <t>CROSS RECESSED PAN HEAD SCREW S SEMS P=2</t>
  </si>
  <si>
    <t>T-RM317</t>
  </si>
  <si>
    <t>T-RM318</t>
  </si>
  <si>
    <t>T-RM319</t>
  </si>
  <si>
    <t>T-RM320</t>
  </si>
  <si>
    <t>T-RM321</t>
  </si>
  <si>
    <t>CROSS RECESSED PAN HEAD SCREW W SEMS I=3</t>
  </si>
  <si>
    <t>T-RM322</t>
  </si>
  <si>
    <t>CROSS RECESSED PAN HEAD SCREW W SEMS P=3</t>
  </si>
  <si>
    <t>T-RM323</t>
  </si>
  <si>
    <t>#0 PEN HEAD SCREW M1.6?4L</t>
  </si>
  <si>
    <t>T-RM324</t>
  </si>
  <si>
    <t>#0 PEN HEAD SCREW M2?3L</t>
  </si>
  <si>
    <t>T-RM325</t>
  </si>
  <si>
    <t>#0 PEN HEAD SCREW M2?5L</t>
  </si>
  <si>
    <t>T-RM326</t>
  </si>
  <si>
    <t>HEXAGON SOCKET HEAD CAP SCREW M2?4L</t>
  </si>
  <si>
    <t>T-RM327</t>
  </si>
  <si>
    <t>HEXAGON SOCKET HEAD CAP SCREW M2?5L</t>
  </si>
  <si>
    <t>T-RM328</t>
  </si>
  <si>
    <t>HEXAGON SOCKET HEAD CAP SCREW M2?6L</t>
  </si>
  <si>
    <t>T-RM329</t>
  </si>
  <si>
    <t>HEXAGON SOCKET HEAD CAP SCREW S SEMS P=2</t>
  </si>
  <si>
    <t>T-RM330</t>
  </si>
  <si>
    <t>T-RM331</t>
  </si>
  <si>
    <t>T-RM332</t>
  </si>
  <si>
    <t>T-RM333</t>
  </si>
  <si>
    <t>P TIGHT NOMAINAL DIAMETER 2?5L</t>
  </si>
  <si>
    <t>T-RM334</t>
  </si>
  <si>
    <t>P TIGHT NOMAINAL DIAMETER 2?12L</t>
  </si>
  <si>
    <t>T-RM335</t>
  </si>
  <si>
    <t>HEXAGON SOCKET HEAD CAP SCREW M2?2L FLA</t>
  </si>
  <si>
    <t>T-RM336</t>
  </si>
  <si>
    <t>HEXAGON SOCKET HEAD CAP SCREW M3?10L FL</t>
  </si>
  <si>
    <t>T-RM337</t>
  </si>
  <si>
    <t>HEXAGON SOCKET HEAD CAP SCREW M3?3L TRU</t>
  </si>
  <si>
    <t>T-RM338</t>
  </si>
  <si>
    <t>T-RM339</t>
  </si>
  <si>
    <t>T-RM340</t>
  </si>
  <si>
    <t>T-RM341</t>
  </si>
  <si>
    <t>T-RM342</t>
  </si>
  <si>
    <t>SMALL TYPE PLAIN WASHER (NOMINAL DIAMETE</t>
  </si>
  <si>
    <t>T-RM343</t>
  </si>
  <si>
    <t>T-RM344</t>
  </si>
  <si>
    <t>T-RM345</t>
  </si>
  <si>
    <t>T-RM346</t>
  </si>
  <si>
    <t>RETAINING RING - E TYPE (NOMAINAL DIAMET</t>
  </si>
  <si>
    <t>T-RM347</t>
  </si>
  <si>
    <t>T-RM348</t>
  </si>
  <si>
    <t>T-RM349</t>
  </si>
  <si>
    <t>T-RM350</t>
  </si>
  <si>
    <t>HEAT SHRINKABLE TUBE F6 (1PC=45 CM)</t>
  </si>
  <si>
    <t>T-RM351</t>
  </si>
  <si>
    <t>T-RM352</t>
  </si>
  <si>
    <t>T-RM353</t>
  </si>
  <si>
    <t>CAM LED BOARD</t>
  </si>
  <si>
    <t>T-RM354</t>
  </si>
  <si>
    <t>T-RM355</t>
  </si>
  <si>
    <t>T-RM356</t>
  </si>
  <si>
    <t>T-RM357</t>
  </si>
  <si>
    <t>T-RM358</t>
  </si>
  <si>
    <t>T-RM359</t>
  </si>
  <si>
    <t>T-RM360</t>
  </si>
  <si>
    <t>T-RM361</t>
  </si>
  <si>
    <t>T-RM362</t>
  </si>
  <si>
    <t>T-RM363</t>
  </si>
  <si>
    <t>T-RM365</t>
  </si>
  <si>
    <t>T-RM366</t>
  </si>
  <si>
    <t>DOUBLE SIDE ADHESIVE TAPE</t>
  </si>
  <si>
    <t>DOUBLE SIDED TAPE FOR LCD</t>
  </si>
  <si>
    <t>T-RM367</t>
  </si>
  <si>
    <t>Z SIM T=0.1</t>
  </si>
  <si>
    <t>T-RM368</t>
  </si>
  <si>
    <t>1.6X3.0</t>
  </si>
  <si>
    <t>T-RM369</t>
  </si>
  <si>
    <t>GEAR : Z PINOIN GEAR</t>
  </si>
  <si>
    <t>T-RM370</t>
  </si>
  <si>
    <t>GEAR : XY GEAR E</t>
  </si>
  <si>
    <t>T-RM371</t>
  </si>
  <si>
    <t>GEAR : XY PINION GEAR</t>
  </si>
  <si>
    <t>T-RM372</t>
  </si>
  <si>
    <t>GEAR : GEAR PINION FCS</t>
  </si>
  <si>
    <t>T-RM373</t>
  </si>
  <si>
    <t>BASE : BACK HOLD BASE</t>
  </si>
  <si>
    <t>T-RM376</t>
  </si>
  <si>
    <t>SHIELD TAPE</t>
  </si>
  <si>
    <t>T-RM388</t>
  </si>
  <si>
    <t>T-RM389</t>
  </si>
  <si>
    <t>METROCOR</t>
  </si>
  <si>
    <t>T-RM390</t>
  </si>
  <si>
    <t>HI980(CS980)</t>
  </si>
  <si>
    <t>T-RM391</t>
  </si>
  <si>
    <t>HI1060</t>
  </si>
  <si>
    <t>T-RM392</t>
  </si>
  <si>
    <t>HI1060FLEX</t>
  </si>
  <si>
    <t>T-RM393</t>
  </si>
  <si>
    <t>HE980</t>
  </si>
  <si>
    <t>T-RM394</t>
  </si>
  <si>
    <t>MP980</t>
  </si>
  <si>
    <t>T-RM395</t>
  </si>
  <si>
    <t>DF1500F980</t>
  </si>
  <si>
    <t>T-RM396</t>
  </si>
  <si>
    <t>BEND BRIGHT XS</t>
  </si>
  <si>
    <t>T-RM397</t>
  </si>
  <si>
    <t>OFS EZ-BEND</t>
  </si>
  <si>
    <t>T-RM398</t>
  </si>
  <si>
    <t>CLEAR-CURVE</t>
  </si>
  <si>
    <t>T-RM399</t>
  </si>
  <si>
    <t>80 MICRON SM</t>
  </si>
  <si>
    <t>T-RM400</t>
  </si>
  <si>
    <t>NON ZERO DS:G655</t>
  </si>
  <si>
    <t>T-RM401</t>
  </si>
  <si>
    <t>OFS CL980-16</t>
  </si>
  <si>
    <t>T-RM402</t>
  </si>
  <si>
    <t>OFS CL980-20</t>
  </si>
  <si>
    <t>T-RM403</t>
  </si>
  <si>
    <t>TRUEWAVE RS</t>
  </si>
  <si>
    <t>T-RM404</t>
  </si>
  <si>
    <t>T-RM405</t>
  </si>
  <si>
    <t>SINGLE MODE:G652</t>
  </si>
  <si>
    <t>T-RM406</t>
  </si>
  <si>
    <t>DSF:G653</t>
  </si>
  <si>
    <t>T-RM407</t>
  </si>
  <si>
    <t>MULTI MODE</t>
  </si>
  <si>
    <t>T-RM414</t>
  </si>
  <si>
    <t>SHAFT : CANOPY SHAFT 33A2096A (ED-DD-160</t>
  </si>
  <si>
    <t>T-RM415</t>
  </si>
  <si>
    <t>T-RM416</t>
  </si>
  <si>
    <t>HARNESS : HEATER HALL SENSOR HARNESS(33A</t>
  </si>
  <si>
    <t>T-RM417</t>
  </si>
  <si>
    <t>HARNESS : ARC LOW LINE A,B(33A5030,1)</t>
  </si>
  <si>
    <t>T-RM419</t>
  </si>
  <si>
    <t>HARNESS : FFC HARNESS SET</t>
  </si>
  <si>
    <t>T-RM420</t>
  </si>
  <si>
    <t>HARNESS : S179 CONNECTOR HARNESS SET</t>
  </si>
  <si>
    <t>T-RM421</t>
  </si>
  <si>
    <t>FLM-AL02B</t>
  </si>
  <si>
    <t>T-RM422</t>
  </si>
  <si>
    <t>CPVH-0.5F</t>
  </si>
  <si>
    <t>T-RM423</t>
  </si>
  <si>
    <t>GP1-0.5</t>
  </si>
  <si>
    <t>T-RM424</t>
  </si>
  <si>
    <t>COVER :TERMINAL COVER/33A2127B</t>
  </si>
  <si>
    <t>T-RM425</t>
  </si>
  <si>
    <t>RUBBER PLATE: PRESSIN RUBBER PLATE/33A21</t>
  </si>
  <si>
    <t>T-RM432</t>
  </si>
  <si>
    <t>T-RM433</t>
  </si>
  <si>
    <t>T-RM434</t>
  </si>
  <si>
    <t>KCMS044C02</t>
  </si>
  <si>
    <t>T-RM435</t>
  </si>
  <si>
    <t>FLM-GB30A</t>
  </si>
  <si>
    <t>T-RM436</t>
  </si>
  <si>
    <t>TC-BG-AV SERIES</t>
  </si>
  <si>
    <t>T-RM437</t>
  </si>
  <si>
    <t>TC-CG-AV SERIES</t>
  </si>
  <si>
    <t>T-RM438</t>
  </si>
  <si>
    <t>T-RM439</t>
  </si>
  <si>
    <t>T-RM440</t>
  </si>
  <si>
    <t>T-RM441</t>
  </si>
  <si>
    <t>T-RM442</t>
  </si>
  <si>
    <t>FLM-PK65A-2</t>
  </si>
  <si>
    <t>T-RM443</t>
  </si>
  <si>
    <t>FLM-CH47C</t>
  </si>
  <si>
    <t>T-RM444</t>
  </si>
  <si>
    <t>SC UPC PREMIUM CONNECTOR SM 126 UM BLUE</t>
  </si>
  <si>
    <t>T-RM445</t>
  </si>
  <si>
    <t>SC APC PREMIUM STEP CONNECTOR SM 126 UM</t>
  </si>
  <si>
    <t>T-RM446</t>
  </si>
  <si>
    <t>CLEANING LIQUID</t>
  </si>
  <si>
    <t>PK-LCG404</t>
  </si>
  <si>
    <t>T-RM447</t>
  </si>
  <si>
    <t>PK-LCG451N</t>
  </si>
  <si>
    <t>T-RM448</t>
  </si>
  <si>
    <t>FLM-LF(Adamant) P/N C-22-0609-0A</t>
  </si>
  <si>
    <t>T-RM449</t>
  </si>
  <si>
    <t>FLM-PE59C</t>
  </si>
  <si>
    <t>T-RM450</t>
  </si>
  <si>
    <t>T-RM451</t>
  </si>
  <si>
    <t>FLM-AL01C</t>
  </si>
  <si>
    <t>T-RM452</t>
  </si>
  <si>
    <t>SM600</t>
  </si>
  <si>
    <t>T-RM453</t>
  </si>
  <si>
    <t>T-RM462</t>
  </si>
  <si>
    <t>Thermal Grease P/N G-777 ( 1 PC @ 90GM)</t>
  </si>
  <si>
    <t>T-RM463</t>
  </si>
  <si>
    <t>FC SPC 0.9MM SM CONNECTOR WITH YELLOW BO</t>
  </si>
  <si>
    <t>T-RM464</t>
  </si>
  <si>
    <t>FLM-BA17</t>
  </si>
  <si>
    <t>T-RM465</t>
  </si>
  <si>
    <t>LINEAR GUIDE : LWL7C1R30BT1H</t>
  </si>
  <si>
    <t>T-RM466</t>
  </si>
  <si>
    <t>PD SPACER : NYLON WASHER: 7000341</t>
  </si>
  <si>
    <t>T-RM467</t>
  </si>
  <si>
    <t>T-RM468</t>
  </si>
  <si>
    <t>GEFT14-250LI : 78090</t>
  </si>
  <si>
    <t>T-RM469</t>
  </si>
  <si>
    <t>64-fiber IDM cable (15m)</t>
  </si>
  <si>
    <t>T-RM470</t>
  </si>
  <si>
    <t>64-fiber IDM cable (30m)</t>
  </si>
  <si>
    <t>T-RM471</t>
  </si>
  <si>
    <t>1.1 Cord</t>
  </si>
  <si>
    <t>T-RM472</t>
  </si>
  <si>
    <t>T-RM473</t>
  </si>
  <si>
    <t>T-RM474</t>
  </si>
  <si>
    <t>Cable stopper</t>
  </si>
  <si>
    <t>T-RM475</t>
  </si>
  <si>
    <t>Clear sheet label for product label</t>
  </si>
  <si>
    <t>T-RM476</t>
  </si>
  <si>
    <t>label for IDM Cable</t>
  </si>
  <si>
    <t>T-RM477</t>
  </si>
  <si>
    <t>64-fiber IDM cable (5m)</t>
  </si>
  <si>
    <t>T-RM478</t>
  </si>
  <si>
    <t>64-fiber IDM cable (9m)</t>
  </si>
  <si>
    <t>T-RM479</t>
  </si>
  <si>
    <t>64-fiber IDM cable (14m)</t>
  </si>
  <si>
    <t>T-RM480</t>
  </si>
  <si>
    <t>64-fiber IDM cable (20m)</t>
  </si>
  <si>
    <t>T-RM481</t>
  </si>
  <si>
    <t>64-fiber IDM cable (25m)</t>
  </si>
  <si>
    <t>T-RM482</t>
  </si>
  <si>
    <t>Red tape</t>
  </si>
  <si>
    <t>T-RM483</t>
  </si>
  <si>
    <t>Blue tape</t>
  </si>
  <si>
    <t>T-RM484</t>
  </si>
  <si>
    <t>White tape SPV-202</t>
  </si>
  <si>
    <t>T-RM485</t>
  </si>
  <si>
    <t>T-RM486</t>
  </si>
  <si>
    <t>Zip bag for SC</t>
  </si>
  <si>
    <t>T-RM487</t>
  </si>
  <si>
    <t>Calcium carbonate sheet</t>
  </si>
  <si>
    <t>T-RM488</t>
  </si>
  <si>
    <t>White masking tape #251</t>
  </si>
  <si>
    <t>T-RM489</t>
  </si>
  <si>
    <t>Yellow tape #247N</t>
  </si>
  <si>
    <t>T-RM490</t>
  </si>
  <si>
    <t>Clear PE tape #631S</t>
  </si>
  <si>
    <t>T-RM491</t>
  </si>
  <si>
    <t>Double side tape</t>
  </si>
  <si>
    <t>T-RM492</t>
  </si>
  <si>
    <t>Cable ties string (Vinyl string)</t>
  </si>
  <si>
    <t>T-RM493</t>
  </si>
  <si>
    <t>POLARIZED CONNECTOR 10 POS: 1658621-1</t>
  </si>
  <si>
    <t>T-RM494</t>
  </si>
  <si>
    <t>TERMISTER: GA10K3MCD1</t>
  </si>
  <si>
    <t>T-RM495</t>
  </si>
  <si>
    <t>RIBBON CABLE: 3365-10 100FT</t>
  </si>
  <si>
    <t>T-RM496</t>
  </si>
  <si>
    <t>TUBE : HELLERMANN TYTON BLACK HEAT SHRIN</t>
  </si>
  <si>
    <t>T-RM497</t>
  </si>
  <si>
    <t>TUBE : CONNECTIVE BLACK HEAT SHRINK (DIA</t>
  </si>
  <si>
    <t>T-RM498</t>
  </si>
  <si>
    <t>TRUEMODE BASE PLATE : 7000291-1</t>
  </si>
  <si>
    <t>T-RM499</t>
  </si>
  <si>
    <t>SI PIN PHOTODIODE: S12158-01CT</t>
  </si>
  <si>
    <t>T-RM500</t>
  </si>
  <si>
    <t>HEATSINK FOR FIBER ENGINE</t>
  </si>
  <si>
    <t>P16CZ036-007</t>
  </si>
  <si>
    <t>T-RM501</t>
  </si>
  <si>
    <t>MECHANICAL PARTS</t>
  </si>
  <si>
    <t>T-RM502</t>
  </si>
  <si>
    <t>ELECTRICAL CABLE</t>
  </si>
  <si>
    <t>T-RM503</t>
  </si>
  <si>
    <t>FIBER MODULE</t>
  </si>
  <si>
    <t>T-RM504</t>
  </si>
  <si>
    <t>FLM-SL22B DIA.3.0</t>
  </si>
  <si>
    <t>T-RM505</t>
  </si>
  <si>
    <t>FLM-SL22B DIA2.5</t>
  </si>
  <si>
    <t>T-RM506</t>
  </si>
  <si>
    <t>FLAT HEAD SCREW, M3 SIZE 6 MML</t>
  </si>
  <si>
    <t>T-RM507</t>
  </si>
  <si>
    <t>18-8 LOCK WASHER M2</t>
  </si>
  <si>
    <t>T-RM508</t>
  </si>
  <si>
    <t>FLM-FAW21FB-1.3F</t>
  </si>
  <si>
    <t>T-RM509</t>
  </si>
  <si>
    <t>HNAP110-125, CERT. FIBER: 7000185</t>
  </si>
  <si>
    <t>T-RM510</t>
  </si>
  <si>
    <t>PE14-125-2.2, CERT. FIBER (TC): 78095</t>
  </si>
  <si>
    <t>T-RM511</t>
  </si>
  <si>
    <t>DCT14-250LI, CERT. FIBER: 77628</t>
  </si>
  <si>
    <t>T-RM512</t>
  </si>
  <si>
    <t>DCT14-125HI: 78290</t>
  </si>
  <si>
    <t>T-RM513</t>
  </si>
  <si>
    <t>TEFLON SHRINK TUBING SH250-26PC@0.002ME</t>
  </si>
  <si>
    <t>T-RM513-1</t>
  </si>
  <si>
    <t>TEFLON SHRINK TUBING SH250-26(PC@3ME)</t>
  </si>
  <si>
    <t>T-RM514</t>
  </si>
  <si>
    <t>T-RM515</t>
  </si>
  <si>
    <t>MEDIUM LENGTH PACKAGE LID: 7000062</t>
  </si>
  <si>
    <t>T-RM516</t>
  </si>
  <si>
    <t>T-RM517</t>
  </si>
  <si>
    <t>PACKAGE TRAY: HP-0100</t>
  </si>
  <si>
    <t>T-RM518</t>
  </si>
  <si>
    <t>PACKAGE LID: HP-0101</t>
  </si>
  <si>
    <t>T-RM519</t>
  </si>
  <si>
    <t>1.0X.373-TT407(RL@10,000PC)</t>
  </si>
  <si>
    <t>T-RM521</t>
  </si>
  <si>
    <t>PULL TUBE: Q-.8M-1M-0-400M</t>
  </si>
  <si>
    <t>T-RM522</t>
  </si>
  <si>
    <t>NORLAND 61: 6101(PC@30GM)</t>
  </si>
  <si>
    <t>T-RM525</t>
  </si>
  <si>
    <t>ALUMINIUM FOIL(RL@55ME)</t>
  </si>
  <si>
    <t>T-RM526</t>
  </si>
  <si>
    <t>RED OSE LABEL: B500 (SHEET@72PC)</t>
  </si>
  <si>
    <t>T-RM527</t>
  </si>
  <si>
    <t>PRODUCT LABEL: 72285(RL@2,740PC)</t>
  </si>
  <si>
    <t>T-RM528</t>
  </si>
  <si>
    <t>CAPILLARY TUBE: Q-1.2M-3.92M-0-50M</t>
  </si>
  <si>
    <t>T-RM529</t>
  </si>
  <si>
    <t>FIS MATCHING GEL(PC@113GRM)</t>
  </si>
  <si>
    <t>T-RM530</t>
  </si>
  <si>
    <t>FLM-PE59x</t>
  </si>
  <si>
    <t>T-RM531</t>
  </si>
  <si>
    <t>T-RM532</t>
  </si>
  <si>
    <t>T-RM533</t>
  </si>
  <si>
    <t>T-RM534</t>
  </si>
  <si>
    <t>T-RM535</t>
  </si>
  <si>
    <t>LM GUIDE</t>
  </si>
  <si>
    <t>T-RM536</t>
  </si>
  <si>
    <t>Z CARRIAGE  HEAT PRESS FIT</t>
  </si>
  <si>
    <t>T-RM537</t>
  </si>
  <si>
    <t>T-RM538</t>
  </si>
  <si>
    <t>TENSION SPRING</t>
  </si>
  <si>
    <t>T-RM539</t>
  </si>
  <si>
    <t>CARRIAGE ARM</t>
  </si>
  <si>
    <t>T-RM540</t>
  </si>
  <si>
    <t>T-RM541</t>
  </si>
  <si>
    <t>MOTOR PLATE (CAULKING)</t>
  </si>
  <si>
    <t>T-RM542</t>
  </si>
  <si>
    <t>PLATE HORN</t>
  </si>
  <si>
    <t>T-RM543</t>
  </si>
  <si>
    <t>PLATE LEAD (PRESS FIT)</t>
  </si>
  <si>
    <t>T-RM544</t>
  </si>
  <si>
    <t>SUB BASE L</t>
  </si>
  <si>
    <t>T-RM545</t>
  </si>
  <si>
    <t>SUB BASE R</t>
  </si>
  <si>
    <t>T-RM546</t>
  </si>
  <si>
    <t>WASHER F7.8?F3.3?0.5</t>
  </si>
  <si>
    <t>T-RM547</t>
  </si>
  <si>
    <t>WASHER F7.8?F5?0.5</t>
  </si>
  <si>
    <t>T-RM548</t>
  </si>
  <si>
    <t>T-RM549</t>
  </si>
  <si>
    <t>T-RM550</t>
  </si>
  <si>
    <t>FCS RAIL STOPPER</t>
  </si>
  <si>
    <t>T-RM551</t>
  </si>
  <si>
    <t>T-RM552</t>
  </si>
  <si>
    <t>T-RM553</t>
  </si>
  <si>
    <t>T-RM554</t>
  </si>
  <si>
    <t>T-RM555</t>
  </si>
  <si>
    <t>T-RM556</t>
  </si>
  <si>
    <t>T-RM557</t>
  </si>
  <si>
    <t>T-RM558</t>
  </si>
  <si>
    <t>T-RM559</t>
  </si>
  <si>
    <t>HEXAGON SOCKET SET SCREW M2.5?3L FLAT P</t>
  </si>
  <si>
    <t>T-RM560</t>
  </si>
  <si>
    <t>T-RM561</t>
  </si>
  <si>
    <t>MAIN-BASE-COLLAR</t>
  </si>
  <si>
    <t>T-RM562</t>
  </si>
  <si>
    <t>SUS NUT</t>
  </si>
  <si>
    <t>T-RM563</t>
  </si>
  <si>
    <t>FCS-COMPRESSION-SP</t>
  </si>
  <si>
    <t>T-RM564</t>
  </si>
  <si>
    <t>SPRING-RESET-FCS</t>
  </si>
  <si>
    <t>T-RM565</t>
  </si>
  <si>
    <t>T-RM566</t>
  </si>
  <si>
    <t>SUS RING</t>
  </si>
  <si>
    <t>SHIM RINGS SB 0.05</t>
  </si>
  <si>
    <t>T-RM567</t>
  </si>
  <si>
    <t>SHIM RINGS SB 0.1</t>
  </si>
  <si>
    <t>T-RM568</t>
  </si>
  <si>
    <t>SHIM RINGS SB 1.0</t>
  </si>
  <si>
    <t>T-RM569</t>
  </si>
  <si>
    <t>T-RM570</t>
  </si>
  <si>
    <t>#0 TYPE1 P TIGHT NOMAINAL DIAMETER 2?5</t>
  </si>
  <si>
    <t>T-RM571</t>
  </si>
  <si>
    <t>CORNING SMF28</t>
  </si>
  <si>
    <t>T-RM572</t>
  </si>
  <si>
    <t>OFS ALL-WAVE</t>
  </si>
  <si>
    <t>T-RM573</t>
  </si>
  <si>
    <t>T-RM574</t>
  </si>
  <si>
    <t>FLM-NL01C-2ND LENS</t>
  </si>
  <si>
    <t>T-RM575</t>
  </si>
  <si>
    <t>HOLDER BASE L (76B3087E)</t>
  </si>
  <si>
    <t>T-RM576</t>
  </si>
  <si>
    <t>HOLDER BASE R (76B3088A)</t>
  </si>
  <si>
    <t>T-RM577</t>
  </si>
  <si>
    <t>HOLDER COVER L (76B63081E)</t>
  </si>
  <si>
    <t>T-RM578</t>
  </si>
  <si>
    <t>HOLDER COVER R (76B3082)</t>
  </si>
  <si>
    <t>T-RM579</t>
  </si>
  <si>
    <t>HOLDER COVER MRB (74B3204G)</t>
  </si>
  <si>
    <t>T-RM580</t>
  </si>
  <si>
    <t>SUS PARALLEL PIN (76B3091B)</t>
  </si>
  <si>
    <t>T-RM581</t>
  </si>
  <si>
    <t>TESA 4563 SURFACE-GRIPPING TAPE (1R=8WE)</t>
  </si>
  <si>
    <t>T-RM582</t>
  </si>
  <si>
    <t>LNAP FIBER</t>
  </si>
  <si>
    <t>T-RM583</t>
  </si>
  <si>
    <t>METAL COLLAR: 33A2215B</t>
  </si>
  <si>
    <t>T-RM584</t>
  </si>
  <si>
    <t>T-RM585</t>
  </si>
  <si>
    <t>T-RM586</t>
  </si>
  <si>
    <t>FCS-LM-FIX-PLATE</t>
  </si>
  <si>
    <t>T-RM587</t>
  </si>
  <si>
    <t>T-RM588</t>
  </si>
  <si>
    <t>T-RM589</t>
  </si>
  <si>
    <t>T-RM590</t>
  </si>
  <si>
    <t>T-RM591</t>
  </si>
  <si>
    <t>T-RM592</t>
  </si>
  <si>
    <t>T-RM593</t>
  </si>
  <si>
    <t>T-RM594</t>
  </si>
  <si>
    <t>PLATE SPRING GND</t>
  </si>
  <si>
    <t>T-RM596</t>
  </si>
  <si>
    <t>LABEL: APL-443-4.5IX0.5I-1-P2</t>
  </si>
  <si>
    <t>T-RM600</t>
  </si>
  <si>
    <t>LID FOAM ASSEMBLY: 7000330</t>
  </si>
  <si>
    <t>T-RM601</t>
  </si>
  <si>
    <t>TRUEMODE SPIRAL BASEPLATE 0.8: 7000291-1</t>
  </si>
  <si>
    <t>T-RM602</t>
  </si>
  <si>
    <t>TRUEMODE LID: 7000314</t>
  </si>
  <si>
    <t>T-RM603</t>
  </si>
  <si>
    <t>PD SPACER: 7000341</t>
  </si>
  <si>
    <t>T-RM604</t>
  </si>
  <si>
    <t>TRUEMODE SIDEWALL 1-INPUT: 7000317</t>
  </si>
  <si>
    <t>T-RM605</t>
  </si>
  <si>
    <t>TRUEMODE SIDEWALL 2-INPUT: 7000294</t>
  </si>
  <si>
    <t>T-RM606</t>
  </si>
  <si>
    <t>CUSTOM LC RIBBON CABLE: 7000368</t>
  </si>
  <si>
    <t>T-RM607</t>
  </si>
  <si>
    <t>TRUEMODE STANDOFF: 7000425</t>
  </si>
  <si>
    <t>T-RM608</t>
  </si>
  <si>
    <t>BC / LC KRAFT CORRUGATED BOX: 7000329</t>
  </si>
  <si>
    <t>T-RM609</t>
  </si>
  <si>
    <t>LASER CAVITY FOAM ASSEMBLY: 7000331</t>
  </si>
  <si>
    <t>T-RM610</t>
  </si>
  <si>
    <t>FLM-BS87B(Cu)</t>
  </si>
  <si>
    <t>T-RM611</t>
  </si>
  <si>
    <t>RECTANGLEIN-161390-TP</t>
  </si>
  <si>
    <t>T-RM612</t>
  </si>
  <si>
    <t>T-RM613</t>
  </si>
  <si>
    <t>DCT14-200HI, CERTIFIED FIBER: 7000156</t>
  </si>
  <si>
    <t>T-RM614</t>
  </si>
  <si>
    <t>PRECUT ARMORED CABLE - 2.125: 7000410</t>
  </si>
  <si>
    <t>T-RM615</t>
  </si>
  <si>
    <t>TRUEMODE SIDE WALL: 7000292</t>
  </si>
  <si>
    <t>T-RM616</t>
  </si>
  <si>
    <t>PULL TUBE (4X1) P/N:Q-1.5Mx1.8M-400M</t>
  </si>
  <si>
    <t>T-RM617</t>
  </si>
  <si>
    <t>50UM-CORELESS FIBER P/N:7000414</t>
  </si>
  <si>
    <t>T-RM618</t>
  </si>
  <si>
    <t>TUBE (4X1) P/N:7000415</t>
  </si>
  <si>
    <t>T-RM619</t>
  </si>
  <si>
    <t>TUBE (F520) P/N:7000419</t>
  </si>
  <si>
    <t>T-RM620</t>
  </si>
  <si>
    <t>PULL TUBE (6X1) P/N:Q-.6M-.8M-0-400M</t>
  </si>
  <si>
    <t>T-RM621</t>
  </si>
  <si>
    <t>LC14-125LI P/N:7000386</t>
  </si>
  <si>
    <t>T-RM622</t>
  </si>
  <si>
    <t>DCT14-200HI P/N:7000156</t>
  </si>
  <si>
    <t>T-RM623</t>
  </si>
  <si>
    <t>80/350/460/650 MMF P/N:F77859</t>
  </si>
  <si>
    <t>T-RM624</t>
  </si>
  <si>
    <t>50/70/360UM NA 0.2 MMF P/N:HPH0010</t>
  </si>
  <si>
    <t>T-RM625</t>
  </si>
  <si>
    <t>SHRINK TUBE P/N:7856K673</t>
  </si>
  <si>
    <t>T-RM626</t>
  </si>
  <si>
    <t>SHRINK TUBE P/N:103-0053</t>
  </si>
  <si>
    <t>T-RM627</t>
  </si>
  <si>
    <t>HNAP P/N:552HPWR036</t>
  </si>
  <si>
    <t>T-RM628</t>
  </si>
  <si>
    <t>SUB COMBINER PACKAGE P/N:HPH0008</t>
  </si>
  <si>
    <t>T-RM631</t>
  </si>
  <si>
    <t>12CH_(FLM-BA03)</t>
  </si>
  <si>
    <t>T-RM635</t>
  </si>
  <si>
    <t>Z SIM T0.2</t>
  </si>
  <si>
    <t>T-RM636</t>
  </si>
  <si>
    <t>T-RM637</t>
  </si>
  <si>
    <t>ABSORBER-RIGHT-BACK</t>
  </si>
  <si>
    <t>T-RM638</t>
  </si>
  <si>
    <t>ABSORBER-LEFT-BACK</t>
  </si>
  <si>
    <t>T-RM639</t>
  </si>
  <si>
    <t>ABSORBER-RIGHT-FRONT</t>
  </si>
  <si>
    <t>T-RM640</t>
  </si>
  <si>
    <t>ABSORBER-LEFT-FRONT</t>
  </si>
  <si>
    <t>T-RM641</t>
  </si>
  <si>
    <t>T-RM642</t>
  </si>
  <si>
    <t>T-RM643</t>
  </si>
  <si>
    <t>T-RM645</t>
  </si>
  <si>
    <t>T-RM646</t>
  </si>
  <si>
    <t>T-RM647</t>
  </si>
  <si>
    <t>CARRIAGE ARM B</t>
  </si>
  <si>
    <t>T-RM648</t>
  </si>
  <si>
    <t>T-RM649</t>
  </si>
  <si>
    <t>SLE CLAMP SP</t>
  </si>
  <si>
    <t>T-RM650</t>
  </si>
  <si>
    <t>T-RM651</t>
  </si>
  <si>
    <t>HF CLAMP SP</t>
  </si>
  <si>
    <t>T-RM652</t>
  </si>
  <si>
    <t>NEODYMIUM MAGNET F3X3S</t>
  </si>
  <si>
    <t>T-RM653</t>
  </si>
  <si>
    <t>DUMMY FIBER FOR MEASUREMENT</t>
  </si>
  <si>
    <t>T-RM654</t>
  </si>
  <si>
    <t>LENS CAP</t>
  </si>
  <si>
    <t>T-RM655</t>
  </si>
  <si>
    <t>T-RM656</t>
  </si>
  <si>
    <t>A : 7000292</t>
  </si>
  <si>
    <t>T-RM657</t>
  </si>
  <si>
    <t>B : 7000317</t>
  </si>
  <si>
    <t>T-RM659</t>
  </si>
  <si>
    <t>D : 7000294</t>
  </si>
  <si>
    <t>T-RM660</t>
  </si>
  <si>
    <t>LDPE NORMAL BAG</t>
  </si>
  <si>
    <t>T-RM661</t>
  </si>
  <si>
    <t>BARE PCB - PD BOARD</t>
  </si>
  <si>
    <t>T-RM662</t>
  </si>
  <si>
    <t>24X16 MM. PRINTING 1 BLACK COLOR</t>
  </si>
  <si>
    <t>T-RM667</t>
  </si>
  <si>
    <t>THERMAL CONDUCTIVE GREASE</t>
  </si>
  <si>
    <t>G-777 (PC@200GRM)</t>
  </si>
  <si>
    <t>T-RM668</t>
  </si>
  <si>
    <t>KE-4897-W (PC@100CMQ)</t>
  </si>
  <si>
    <t>T-RM673</t>
  </si>
  <si>
    <t>OPTICAL FIBER WITH ALUMINIUM BASE</t>
  </si>
  <si>
    <t>T-RM674</t>
  </si>
  <si>
    <t>OPTICAL FIBER WITH ALUMINIUM BLOCK</t>
  </si>
  <si>
    <t>T-RM675</t>
  </si>
  <si>
    <t>T-RM676</t>
  </si>
  <si>
    <t>ALUMINIUM PLATE FOR SUS COVER PLATE</t>
  </si>
  <si>
    <t>T-RM676-1</t>
  </si>
  <si>
    <t>ALUMINIUM PLATE SUS BOTTOM PLATE</t>
  </si>
  <si>
    <t>T-RM676-2</t>
  </si>
  <si>
    <t>T-RM676-3</t>
  </si>
  <si>
    <t>T-RM676-4</t>
  </si>
  <si>
    <t>T-RM676-5</t>
  </si>
  <si>
    <t>T-RM676-6</t>
  </si>
  <si>
    <t>T-RM677</t>
  </si>
  <si>
    <t>T-RM677-1</t>
  </si>
  <si>
    <t>T-RM678-1</t>
  </si>
  <si>
    <t>T-RM678-10</t>
  </si>
  <si>
    <t>T-RM678-11</t>
  </si>
  <si>
    <t>T-RM678-12</t>
  </si>
  <si>
    <t>T-RM678-13</t>
  </si>
  <si>
    <t>T-RM678-14</t>
  </si>
  <si>
    <t>CONNECTOR KKA4P-02M</t>
  </si>
  <si>
    <t>T-RM678-15</t>
  </si>
  <si>
    <t>CONNECTOR KKA4S-02M</t>
  </si>
  <si>
    <t>T-RM678-16</t>
  </si>
  <si>
    <t>T-RM678-17</t>
  </si>
  <si>
    <t>SUS GUIDE</t>
  </si>
  <si>
    <t>T-RM678-18</t>
  </si>
  <si>
    <t>SUS HANDLE CLAMP XL-JSR-40TT</t>
  </si>
  <si>
    <t>T-RM678-19</t>
  </si>
  <si>
    <t>COPPER SHORT BAR</t>
  </si>
  <si>
    <t>T-RM678-2</t>
  </si>
  <si>
    <t>T-RM678-20</t>
  </si>
  <si>
    <t>T-RM678-21</t>
  </si>
  <si>
    <t>T-RM678-3</t>
  </si>
  <si>
    <t>T-RM678-4</t>
  </si>
  <si>
    <t>T-RM678-5</t>
  </si>
  <si>
    <t>PLASTIC CLAMP RMCS1V0</t>
  </si>
  <si>
    <t>T-RM678-6</t>
  </si>
  <si>
    <t>T-RM678-7</t>
  </si>
  <si>
    <t>T-RM678-8</t>
  </si>
  <si>
    <t>PLASTIC CLAMP RPMC 1V0</t>
  </si>
  <si>
    <t>T-RM678-9</t>
  </si>
  <si>
    <t>PLASTIC CLAMP RLSC 1V0</t>
  </si>
  <si>
    <t>T-RM679</t>
  </si>
  <si>
    <t>SCREWS</t>
  </si>
  <si>
    <t>T-RM679-1</t>
  </si>
  <si>
    <t>SUS SCREW M3X8</t>
  </si>
  <si>
    <t>T-RM679-10</t>
  </si>
  <si>
    <t>SCREW U-0308-S2</t>
  </si>
  <si>
    <t>T-RM679-11</t>
  </si>
  <si>
    <t>SPACER FWSU-319.5SP</t>
  </si>
  <si>
    <t>T-RM679-12</t>
  </si>
  <si>
    <t>SPACER FWSU-327.5SP</t>
  </si>
  <si>
    <t>T-RM679-13</t>
  </si>
  <si>
    <t>TERMINAL BLOCK ADAPTOR HIF3BA-10D2.54R</t>
  </si>
  <si>
    <t>T-RM679-14</t>
  </si>
  <si>
    <t>TUBE PTFE4 0.8X1.4MM.(PC@0.4ME)</t>
  </si>
  <si>
    <t>T-RM679-15</t>
  </si>
  <si>
    <t>TUBE SZF2 2.5MMX4CM</t>
  </si>
  <si>
    <t>T-RM679-16</t>
  </si>
  <si>
    <t>TUBE SNTR-47 2.5MMX4CM</t>
  </si>
  <si>
    <t>T-RM679-2</t>
  </si>
  <si>
    <t>SUS SCREW M2-L8</t>
  </si>
  <si>
    <t>T-RM679-3</t>
  </si>
  <si>
    <t>SUS SCREW M4XL8</t>
  </si>
  <si>
    <t>T-RM679-4</t>
  </si>
  <si>
    <t>SUS SCREW M5-L10</t>
  </si>
  <si>
    <t>T-RM679-5</t>
  </si>
  <si>
    <t>SUS SPACER WSU-307SP</t>
  </si>
  <si>
    <t>T-RM679-6</t>
  </si>
  <si>
    <t>SUS SCREW M3-L20</t>
  </si>
  <si>
    <t>T-RM679-7</t>
  </si>
  <si>
    <t>WASHER M6</t>
  </si>
  <si>
    <t>T-RM679-8</t>
  </si>
  <si>
    <t>SUS SCREW M3-L10</t>
  </si>
  <si>
    <t>T-RM679-9</t>
  </si>
  <si>
    <t>SUS SCREW M5-L20</t>
  </si>
  <si>
    <t>T-RM680</t>
  </si>
  <si>
    <t>T-RM680-1</t>
  </si>
  <si>
    <t>T-RM680-2</t>
  </si>
  <si>
    <t>ELECTRICAL CABLE AWG14</t>
  </si>
  <si>
    <t>T-RM680-3</t>
  </si>
  <si>
    <t>T-RM680-4</t>
  </si>
  <si>
    <t>CIRCUIT BOARD HARNESS</t>
  </si>
  <si>
    <t>T-RM681</t>
  </si>
  <si>
    <t>T-RM682</t>
  </si>
  <si>
    <t>PACKING BOX WITH SPONGE</t>
  </si>
  <si>
    <t>T-RM683</t>
  </si>
  <si>
    <t>PLASTIC CLAMP : 1/8 NYLON CABLE CLAMP 1E</t>
  </si>
  <si>
    <t>T-RM684</t>
  </si>
  <si>
    <t>T-RM685</t>
  </si>
  <si>
    <t>CLEAR CURVE LBL</t>
  </si>
  <si>
    <t>T-RM690</t>
  </si>
  <si>
    <t>T-RM691</t>
  </si>
  <si>
    <t>T-RM692</t>
  </si>
  <si>
    <t>12 GA-SWTT-12-C (ROLL@30ME)</t>
  </si>
  <si>
    <t>T-RM693</t>
  </si>
  <si>
    <t>9 GA-SWTT-09-C (ROLL@30ME)</t>
  </si>
  <si>
    <t>T-RM694</t>
  </si>
  <si>
    <t>3M 425 ALUMINIUM TAPE , 3M 425(PC@54ME)</t>
  </si>
  <si>
    <t>T-RM695</t>
  </si>
  <si>
    <t>S1001 1/2 INC (PC@65ME)</t>
  </si>
  <si>
    <t>T-RM696</t>
  </si>
  <si>
    <t>LC14-125LI  (ROLL@500ME)</t>
  </si>
  <si>
    <t>T-RM697</t>
  </si>
  <si>
    <t>DCT14-200HI (ROLL@500ME)</t>
  </si>
  <si>
    <t>T-RM698</t>
  </si>
  <si>
    <t>80 350 460 650 MMF</t>
  </si>
  <si>
    <t>T-RM699</t>
  </si>
  <si>
    <t>50UM CORELESS FIBER  (ROLL@100ME)</t>
  </si>
  <si>
    <t>T-RM700</t>
  </si>
  <si>
    <t>SUB COMBINER PKG</t>
  </si>
  <si>
    <t>T-RM703</t>
  </si>
  <si>
    <t>RLP3143-4A241</t>
  </si>
  <si>
    <t>T-RM704</t>
  </si>
  <si>
    <t>RLP3144-K1000</t>
  </si>
  <si>
    <t>T-RM705</t>
  </si>
  <si>
    <t>RLP3145-4A241</t>
  </si>
  <si>
    <t>T-RM706</t>
  </si>
  <si>
    <t>RLP3146-4A241</t>
  </si>
  <si>
    <t>T-RM707</t>
  </si>
  <si>
    <t>RLP3147-4A019</t>
  </si>
  <si>
    <t>T-RM708</t>
  </si>
  <si>
    <t>RLP3148-4A240</t>
  </si>
  <si>
    <t>T-RM709</t>
  </si>
  <si>
    <t>RLP3149-11089</t>
  </si>
  <si>
    <t>T-RM710</t>
  </si>
  <si>
    <t>RLP3150-AA000</t>
  </si>
  <si>
    <t>T-RM711</t>
  </si>
  <si>
    <t>RLP3151-11000</t>
  </si>
  <si>
    <t>T-RM712</t>
  </si>
  <si>
    <t>RLP3152-AB239</t>
  </si>
  <si>
    <t>T-RM713</t>
  </si>
  <si>
    <t>RLP3153-01238</t>
  </si>
  <si>
    <t>T-RM714</t>
  </si>
  <si>
    <t>RLP3381-239F2B</t>
  </si>
  <si>
    <t>T-RM715</t>
  </si>
  <si>
    <t>RLP3382-239F2B</t>
  </si>
  <si>
    <t>T-RM716</t>
  </si>
  <si>
    <t>RLP3383B-027F2B</t>
  </si>
  <si>
    <t>T-RM717</t>
  </si>
  <si>
    <t>RNRLP3156-027F2B</t>
  </si>
  <si>
    <t>T-RM718</t>
  </si>
  <si>
    <t>Cord for IDM jumper cord(f1.1mmcord)</t>
  </si>
  <si>
    <t>T-RM719</t>
  </si>
  <si>
    <t>OPT FIBER 50/70/360UM, NAO.20</t>
  </si>
  <si>
    <t>T-RM720</t>
  </si>
  <si>
    <t>FLM-PE59A (VA model)</t>
  </si>
  <si>
    <t>T-RM722</t>
  </si>
  <si>
    <t>HS-01-54-0A_R01</t>
  </si>
  <si>
    <t>T-RM723</t>
  </si>
  <si>
    <t>T-RM724</t>
  </si>
  <si>
    <t>T-RM725</t>
  </si>
  <si>
    <t>T-RM726</t>
  </si>
  <si>
    <t>T-RM727</t>
  </si>
  <si>
    <t>T-RM728</t>
  </si>
  <si>
    <t>T-RM729</t>
  </si>
  <si>
    <t>T-RM730</t>
  </si>
  <si>
    <t>T-RM731</t>
  </si>
  <si>
    <t>T-RM732</t>
  </si>
  <si>
    <t>T-RM733</t>
  </si>
  <si>
    <t>TEFLON TUBE : 5239K23</t>
  </si>
  <si>
    <t>T-RM734</t>
  </si>
  <si>
    <t>ALUMINUM BASE PLATE : 7000053</t>
  </si>
  <si>
    <t>T-RM735</t>
  </si>
  <si>
    <t>FLEX CORE FIBER : 7000414</t>
  </si>
  <si>
    <t>T-RM736-FBN</t>
  </si>
  <si>
    <t>T-RM737-SVI</t>
  </si>
  <si>
    <t>T-RM738</t>
  </si>
  <si>
    <t>GUIDE TOOLING : 42002668</t>
  </si>
  <si>
    <t>T-RM739</t>
  </si>
  <si>
    <t>BEAM COMBINER LID : 7000054</t>
  </si>
  <si>
    <t>T-RM740</t>
  </si>
  <si>
    <t>PRECUT ARMORED CABLE - 2.125"  55MM LENG</t>
  </si>
  <si>
    <t>T-RM741</t>
  </si>
  <si>
    <t>ALUMINIUM WIRE CLAMP : 7000157</t>
  </si>
  <si>
    <t>T-RM742</t>
  </si>
  <si>
    <t>ALUMINIUM PACKAGE BASE FOR 4x1  : 700005</t>
  </si>
  <si>
    <t>T-RM743</t>
  </si>
  <si>
    <t>FLEXCORE HI1060   : 172464</t>
  </si>
  <si>
    <t>T-RM744</t>
  </si>
  <si>
    <t>GUIDE ARM-TI</t>
  </si>
  <si>
    <t>T-RM745</t>
  </si>
  <si>
    <t>HOLDER BASE L (PN : 76B3111) (DWG : 76B3</t>
  </si>
  <si>
    <t>T-RM746</t>
  </si>
  <si>
    <t>HOLDER BASE R (PN : 76B3112) (DWG : 76B3</t>
  </si>
  <si>
    <t>T-RM747</t>
  </si>
  <si>
    <t>HOLDER COVE L (PN : 76B3113) (DWG : 76B3</t>
  </si>
  <si>
    <t>T-RM748</t>
  </si>
  <si>
    <t>HOLDER COVE R (PN : 76B3114) (DWG : 76B3</t>
  </si>
  <si>
    <t>T-RM749</t>
  </si>
  <si>
    <t>MEDIUM PACKAGE LID : 7000062</t>
  </si>
  <si>
    <t>T-RM750</t>
  </si>
  <si>
    <t>MEDIUM PACKAGE : 7000061</t>
  </si>
  <si>
    <t>T-RM751</t>
  </si>
  <si>
    <t>FLAT HEAD PHILLIP MACHINE SCREW : M4*10</t>
  </si>
  <si>
    <t>T-RM752</t>
  </si>
  <si>
    <t>STAINLESS STEEL SOCKET HEAD CAP SCREW :</t>
  </si>
  <si>
    <t>T-RM753</t>
  </si>
  <si>
    <t>SAMPLE OF SUS PARALLEL PIN 1.5H7X22L : D</t>
  </si>
  <si>
    <t>T-RM761</t>
  </si>
  <si>
    <t>FLM-AL02B-1ST LENS</t>
  </si>
  <si>
    <t>T-RM762</t>
  </si>
  <si>
    <t>FLM-NL01E-2ND LENS</t>
  </si>
  <si>
    <t>T-RM763</t>
  </si>
  <si>
    <t>T-RM764</t>
  </si>
  <si>
    <t>FLM-FT01C-FILTER</t>
  </si>
  <si>
    <t>T-RM765</t>
  </si>
  <si>
    <t>FLM-MR01C</t>
  </si>
  <si>
    <t>T-RM766</t>
  </si>
  <si>
    <t>Q-1.5M*1.8M-400M</t>
  </si>
  <si>
    <t>T-RM767</t>
  </si>
  <si>
    <t>RS PRO WHITE HEAT SHRINK TUBING,SLEEVE D</t>
  </si>
  <si>
    <t>T-RM768</t>
  </si>
  <si>
    <t>MBC-BS09A(CuW Plate)</t>
  </si>
  <si>
    <t>T-RM769</t>
  </si>
  <si>
    <t>MBC-BS09B(CuW Plate)</t>
  </si>
  <si>
    <t>T-RM770</t>
  </si>
  <si>
    <t>T-RM771</t>
  </si>
  <si>
    <t>T-RM772</t>
  </si>
  <si>
    <t>HNAP 113.6-125LI</t>
  </si>
  <si>
    <t>T-RM773</t>
  </si>
  <si>
    <t>SUMI TUBE F2(Z)_1.5</t>
  </si>
  <si>
    <t>T-RM774</t>
  </si>
  <si>
    <t>SUMI TUBE F2(Z)_3.5</t>
  </si>
  <si>
    <t>T-RM775</t>
  </si>
  <si>
    <t>SUMI TUBE F2(Z)_7</t>
  </si>
  <si>
    <t>T-RM776</t>
  </si>
  <si>
    <t>Hytrel Tube_PETP/HI(7237F)-0.5x0.9</t>
  </si>
  <si>
    <t>T-RM777</t>
  </si>
  <si>
    <t>FLM-BB-EU01</t>
  </si>
  <si>
    <t>T-RM778</t>
  </si>
  <si>
    <t>T-RM779</t>
  </si>
  <si>
    <t>T-RM780</t>
  </si>
  <si>
    <t>T-RM781</t>
  </si>
  <si>
    <t>T-RM782</t>
  </si>
  <si>
    <t>T-RM783</t>
  </si>
  <si>
    <t>KUSABI STOPPER S2</t>
  </si>
  <si>
    <t>T01-VA-1</t>
  </si>
  <si>
    <t>PK20B-1-KYOCERA</t>
  </si>
  <si>
    <t>T01-VA-2</t>
  </si>
  <si>
    <t>PK20B-2-KYOCERA</t>
  </si>
  <si>
    <t>T01-VA-3</t>
  </si>
  <si>
    <t>PK20C-1-SUMITOMO</t>
  </si>
  <si>
    <t>T01-VA-4</t>
  </si>
  <si>
    <t>PK20C-2-SUMITOMO</t>
  </si>
  <si>
    <t>T02-M</t>
  </si>
  <si>
    <t>PE05-B</t>
  </si>
  <si>
    <t>T02-VA-1</t>
  </si>
  <si>
    <t>PE05-FERROTEC</t>
  </si>
  <si>
    <t>T02-VA-2</t>
  </si>
  <si>
    <t>PE05-MARLOW</t>
  </si>
  <si>
    <t>T02-VA-3</t>
  </si>
  <si>
    <t>FLM-PE05-AISIN</t>
  </si>
  <si>
    <t>T03-VA</t>
  </si>
  <si>
    <t>PE06-FERROTEC</t>
  </si>
  <si>
    <t>T04-VA</t>
  </si>
  <si>
    <t>PE10-FERROTEC</t>
  </si>
  <si>
    <t>SnPb HN20</t>
  </si>
  <si>
    <t>SnPb HN10</t>
  </si>
  <si>
    <t>T093</t>
  </si>
  <si>
    <t>T094</t>
  </si>
  <si>
    <t>T24</t>
  </si>
  <si>
    <t>TECH001</t>
  </si>
  <si>
    <t>BODY CASE : S9-MM-07656</t>
  </si>
  <si>
    <t>TECH002</t>
  </si>
  <si>
    <t>LID : S9-MM-07657</t>
  </si>
  <si>
    <t>TECH003</t>
  </si>
  <si>
    <t>FIXING PART : S9-MM-07651</t>
  </si>
  <si>
    <t>TECH004</t>
  </si>
  <si>
    <t>BODY CASE : S9-MM-07652</t>
  </si>
  <si>
    <t>TECH005</t>
  </si>
  <si>
    <t>SUB CASE : S9-MM-07653</t>
  </si>
  <si>
    <t>TECH006</t>
  </si>
  <si>
    <t>UPPER CASE : S9-MM-07654</t>
  </si>
  <si>
    <t>TECH007</t>
  </si>
  <si>
    <t>LID : S9-MM-07655</t>
  </si>
  <si>
    <t>TFB001</t>
  </si>
  <si>
    <t>TFB002</t>
  </si>
  <si>
    <t>PE16-125-2.2LI : 80853</t>
  </si>
  <si>
    <t>TFB003</t>
  </si>
  <si>
    <t>TFB004</t>
  </si>
  <si>
    <t>TFB005</t>
  </si>
  <si>
    <t>TFB006</t>
  </si>
  <si>
    <t>DCT14-125HI: 80850</t>
  </si>
  <si>
    <t>TFB007</t>
  </si>
  <si>
    <t>TEFLON SHRINK TUBING SH250-26(4FT/PC)</t>
  </si>
  <si>
    <t>TFB007-BRI</t>
  </si>
  <si>
    <t>TEFLON SHRINKTUBING:SH250-26(1FT@0.3048M</t>
  </si>
  <si>
    <t>TFB008</t>
  </si>
  <si>
    <t>TFB009</t>
  </si>
  <si>
    <t>TFB010</t>
  </si>
  <si>
    <t>TFB012</t>
  </si>
  <si>
    <t>PACKING FOAM: 7000330 (1SHT@1120PC)</t>
  </si>
  <si>
    <t>TFB013</t>
  </si>
  <si>
    <t>TFB014-NOR</t>
  </si>
  <si>
    <t>TFB015</t>
  </si>
  <si>
    <t>POWERCLAD (100 GM)</t>
  </si>
  <si>
    <t>TFB016</t>
  </si>
  <si>
    <t>SOL-GEL (600 GM)</t>
  </si>
  <si>
    <t>TFB018</t>
  </si>
  <si>
    <t>TMK001</t>
  </si>
  <si>
    <t>CAM COVER</t>
  </si>
  <si>
    <t>CAM COVER : 81B2402E</t>
  </si>
  <si>
    <t>TMK002</t>
  </si>
  <si>
    <t>FRA ARM</t>
  </si>
  <si>
    <t>FRA ARM : 81B2393E</t>
  </si>
  <si>
    <t>TMK003</t>
  </si>
  <si>
    <t>ATTACH PLATE</t>
  </si>
  <si>
    <t>ATTACH PLATE : 81B2432C</t>
  </si>
  <si>
    <t>TMK004</t>
  </si>
  <si>
    <t>HOOK</t>
  </si>
  <si>
    <t>HOOK : 81B2306C</t>
  </si>
  <si>
    <t>TMK005</t>
  </si>
  <si>
    <t>MG RECEIPT PLATE</t>
  </si>
  <si>
    <t>MG RECEIPT PLATE : 81B2304D</t>
  </si>
  <si>
    <t>TMK101</t>
  </si>
  <si>
    <t>COVER SIDE ELECTRODE TERMINAL : 30A2338D</t>
  </si>
  <si>
    <t>TMK102</t>
  </si>
  <si>
    <t>MAIN BASE : 30A3096J</t>
  </si>
  <si>
    <t>TMK103</t>
  </si>
  <si>
    <t>BATTERY CASE : 30A3107G</t>
  </si>
  <si>
    <t>TMK104</t>
  </si>
  <si>
    <t>GND SIM : 30A3261C</t>
  </si>
  <si>
    <t>TMK105</t>
  </si>
  <si>
    <t>PLATE HORN : 30A3258B</t>
  </si>
  <si>
    <t>TNM001</t>
  </si>
  <si>
    <t>GEAR BOX</t>
  </si>
  <si>
    <t>GEAR BOX : 81B2382K</t>
  </si>
  <si>
    <t>TNM002</t>
  </si>
  <si>
    <t>GEAR PR</t>
  </si>
  <si>
    <t>TNM003</t>
  </si>
  <si>
    <t>GEAR PI</t>
  </si>
  <si>
    <t>GEAR PI : 81B2389F</t>
  </si>
  <si>
    <t>TNM004</t>
  </si>
  <si>
    <t>GEAR ID</t>
  </si>
  <si>
    <t>TNM005</t>
  </si>
  <si>
    <t>GEAR BOX COVER</t>
  </si>
  <si>
    <t>GEAR BOX COVER : 81B2383H</t>
  </si>
  <si>
    <t>TNM006</t>
  </si>
  <si>
    <t>GEAR LA</t>
  </si>
  <si>
    <t>GEAR LA : 81B2388F</t>
  </si>
  <si>
    <t>TNM007</t>
  </si>
  <si>
    <t>FR ARM</t>
  </si>
  <si>
    <t>FR ARM : 81B2392M</t>
  </si>
  <si>
    <t>TNM008</t>
  </si>
  <si>
    <t>TNM009</t>
  </si>
  <si>
    <t>SINGLE ADAPTER BASE</t>
  </si>
  <si>
    <t>SINGLE ADAPTER BASE : 81B2438G</t>
  </si>
  <si>
    <t>TNM010</t>
  </si>
  <si>
    <t>FEED CAM</t>
  </si>
  <si>
    <t>FEED CAM : 81B2305I</t>
  </si>
  <si>
    <t>TNM011</t>
  </si>
  <si>
    <t>HOLDER STAGE</t>
  </si>
  <si>
    <t>HOLDER STAGE : 81B2361E</t>
  </si>
  <si>
    <t>TNM012</t>
  </si>
  <si>
    <t>TNM013</t>
  </si>
  <si>
    <t>WASTE BOX (SMALL)</t>
  </si>
  <si>
    <t>WASTE BOX (SMALL) : 48B2104N</t>
  </si>
  <si>
    <t>TNM014</t>
  </si>
  <si>
    <t>WASTE BOX (BIG)</t>
  </si>
  <si>
    <t>WASTE BOX (BIG) : 48B2102F</t>
  </si>
  <si>
    <t>TNM015</t>
  </si>
  <si>
    <t>HARD CASE : 81B2504J</t>
  </si>
  <si>
    <t>TNM100</t>
  </si>
  <si>
    <t>TNM101</t>
  </si>
  <si>
    <t>BOTTOM COVER : 14TD039-1-NO.2/30A3099L</t>
  </si>
  <si>
    <t>TNM102</t>
  </si>
  <si>
    <t>TNM103</t>
  </si>
  <si>
    <t>CONNECTOR COVER :14TD039-1-NO.5/30A3130F</t>
  </si>
  <si>
    <t>TNM104</t>
  </si>
  <si>
    <t>TNM105</t>
  </si>
  <si>
    <t>HEATER COVER : 14TD039-1-NO.9/30A2314G</t>
  </si>
  <si>
    <t>TNM106</t>
  </si>
  <si>
    <t>TNM107</t>
  </si>
  <si>
    <t>HEATER CASE : 14TD039-1-NO 8/30A2316Q</t>
  </si>
  <si>
    <t>TNM108</t>
  </si>
  <si>
    <t>HEATER SENSOR TRACK</t>
  </si>
  <si>
    <t>TNM109</t>
  </si>
  <si>
    <t>PLASTIC PROTECTOR</t>
  </si>
  <si>
    <t>TNM110</t>
  </si>
  <si>
    <t>TNM111</t>
  </si>
  <si>
    <t>HEATER ELEMENT HOLDER : 30A3218F</t>
  </si>
  <si>
    <t>TP048</t>
  </si>
  <si>
    <t>PACKING TAPE NO.709(2X85)</t>
  </si>
  <si>
    <t>PACKING TAPE CLEAR NO.709 2X85</t>
  </si>
  <si>
    <t>TP048-1</t>
  </si>
  <si>
    <t>PACKING TAPE CLEAR NO.709 2X50</t>
  </si>
  <si>
    <t>TP074</t>
  </si>
  <si>
    <t>PAPER TAPE 3M 48MM X 25 YARDS</t>
  </si>
  <si>
    <t>TP075</t>
  </si>
  <si>
    <t>PAPER TAPE 3M 48X55M. 2560 (BOX@24RL)</t>
  </si>
  <si>
    <t>TRA16</t>
  </si>
  <si>
    <t>TRA30</t>
  </si>
  <si>
    <t>8BUNKI SPLITTER TRAY265X265X23</t>
  </si>
  <si>
    <t>TRA30T</t>
  </si>
  <si>
    <t>TRA44</t>
  </si>
  <si>
    <t>TRAY FOR STABILIZER JDSU(SET)</t>
  </si>
  <si>
    <t>TRA45</t>
  </si>
  <si>
    <t>TRAY TOP CASE FBG</t>
  </si>
  <si>
    <t>TRAY TOP CASE FOR FBG</t>
  </si>
  <si>
    <t>TRA46</t>
  </si>
  <si>
    <t>TRAY BOTTOM CASE FBG</t>
  </si>
  <si>
    <t>TRAY BOTTOM CASE FOR FBG</t>
  </si>
  <si>
    <t>TRA47</t>
  </si>
  <si>
    <t>TRAY FOR FBG FTOP 210x297x20MM.</t>
  </si>
  <si>
    <t>TRA48</t>
  </si>
  <si>
    <t>TRAY BASE PP ANTI-STATIC (@20FBG)</t>
  </si>
  <si>
    <t>TRA49</t>
  </si>
  <si>
    <t>TRAY COVER PP ANTI-STATIC</t>
  </si>
  <si>
    <t>TRA50</t>
  </si>
  <si>
    <t>TRAY BASE AND COVER STABILIZER</t>
  </si>
  <si>
    <t>TRA51</t>
  </si>
  <si>
    <t>TRAY 100TRAY W250XL250XH14 OE</t>
  </si>
  <si>
    <t>TRA52</t>
  </si>
  <si>
    <t>OPTICAL FIBER STORAGE TRAY</t>
  </si>
  <si>
    <t>TRA53</t>
  </si>
  <si>
    <t>TRAY A-FBG</t>
  </si>
  <si>
    <t>TYS-FC072</t>
  </si>
  <si>
    <t>PARALLEL PIN 1.6X24</t>
  </si>
  <si>
    <t>PARALLEL PIN 1.6X24 81B2440A</t>
  </si>
  <si>
    <t>ZBLO01</t>
  </si>
  <si>
    <t>BLOCK 6.35 SIZE : 649 X 1584 # FURUKAWA</t>
  </si>
  <si>
    <t>ZBOX131_D</t>
  </si>
  <si>
    <t>NO-PRINT PB-4B2006D</t>
  </si>
  <si>
    <t>ZC014</t>
  </si>
  <si>
    <t>SSC231B-4A</t>
  </si>
  <si>
    <t>ZC015</t>
  </si>
  <si>
    <t>SMUV-16A1-3C-ZR</t>
  </si>
  <si>
    <t>ZC035</t>
  </si>
  <si>
    <t>FLEX SUPRESSOR P/N;:FK3(03)-240x240T0800</t>
  </si>
  <si>
    <t>ZC036</t>
  </si>
  <si>
    <t>HEAT SPREAD SHEET</t>
  </si>
  <si>
    <t>HEAT LABEL MN-V</t>
  </si>
  <si>
    <t>ZC038</t>
  </si>
  <si>
    <t>CAPILLARY</t>
  </si>
  <si>
    <t>Capillary for Bonding wire(Set@10PC)</t>
  </si>
  <si>
    <t>ZCAB007_D</t>
  </si>
  <si>
    <t>CABLE ON PCB BY EPOXY (FOR I-PUMP JU)</t>
  </si>
  <si>
    <t>ZCAS012_I</t>
  </si>
  <si>
    <t>PELICAN 1615AIR CASE WIHE : 1615-000-110</t>
  </si>
  <si>
    <t>ZCOA002_D</t>
  </si>
  <si>
    <t>PH08A COST FOR COATING PROCESS</t>
  </si>
  <si>
    <t>AFTER COATING CHANGE TO PH18A</t>
  </si>
  <si>
    <t>ZDIE009_I</t>
  </si>
  <si>
    <t>TOOLING FOR CATRON BOX SET RED / BLACK</t>
  </si>
  <si>
    <t>ZDIE010_I</t>
  </si>
  <si>
    <t>TOOLING FOR CATRON BOX PRINTING BLACK</t>
  </si>
  <si>
    <t>ZDIE011_D</t>
  </si>
  <si>
    <t>RUBBER DIE CHARGE FOR MODULE-8 (MIDDLE)</t>
  </si>
  <si>
    <t>ZDIE012_D</t>
  </si>
  <si>
    <t>RUBBER DIE CHARGE FOR MODULE-8 (INNER)</t>
  </si>
  <si>
    <t>ZENB203</t>
  </si>
  <si>
    <t>COVER SHEET</t>
  </si>
  <si>
    <t>ZENB212</t>
  </si>
  <si>
    <t>Kounai 4B</t>
  </si>
  <si>
    <t>Product Sample (kounai 4B)</t>
  </si>
  <si>
    <t>ZENB213</t>
  </si>
  <si>
    <t>Kounai 8B</t>
  </si>
  <si>
    <t>Product Sample (kounai 8B)</t>
  </si>
  <si>
    <t>ZENB214</t>
  </si>
  <si>
    <t>HEAT PROTECTOR FOIL SHEET</t>
  </si>
  <si>
    <t>ZENP625</t>
  </si>
  <si>
    <t>Nut for Manual Bonder</t>
  </si>
  <si>
    <t>ZEPR01</t>
  </si>
  <si>
    <t>EPROM 64 K PROOF TESTER</t>
  </si>
  <si>
    <t>ZFEE091_D</t>
  </si>
  <si>
    <t>SET UP BC-PCB (SS) 1.46X0.51</t>
  </si>
  <si>
    <t>ZFEE092_D</t>
  </si>
  <si>
    <t>ARTWORK BC-PCB (SS) 1.46X0.51</t>
  </si>
  <si>
    <t>ZFEE097_D</t>
  </si>
  <si>
    <t>COST FOR RE-WORK FEED NUT (OHTA005)</t>
  </si>
  <si>
    <t>ZFEE1006_D</t>
  </si>
  <si>
    <t>STOCK INTEREST CHARGE</t>
  </si>
  <si>
    <t>FOR END MAY-23</t>
  </si>
  <si>
    <t>ZFEE1016_D</t>
  </si>
  <si>
    <t>MATERIAL COST</t>
  </si>
  <si>
    <t>FLM-EB-JU14 (RJU00056-FBN)</t>
  </si>
  <si>
    <t>ZFEE1017_D</t>
  </si>
  <si>
    <t>FLM-EB-JU04 (RJU00051-FBN)</t>
  </si>
  <si>
    <t>ZFEE1018_D</t>
  </si>
  <si>
    <t>FLM-EB-JU06 (RJU00054-FBN)</t>
  </si>
  <si>
    <t>ZFEE1019_D</t>
  </si>
  <si>
    <t>FLM-EB-ER06 (RIT01075-FBN)</t>
  </si>
  <si>
    <t>ZFEE1020_D</t>
  </si>
  <si>
    <t>FOR END JUNE-23</t>
  </si>
  <si>
    <t>ZFEE1024_D</t>
  </si>
  <si>
    <t>FOR END JUL-23</t>
  </si>
  <si>
    <t>ZFEE1032_D</t>
  </si>
  <si>
    <t>FOR END AUG-23</t>
  </si>
  <si>
    <t>ZFEE1034_D</t>
  </si>
  <si>
    <t>FOR END SEP-23</t>
  </si>
  <si>
    <t>ZFEE1041_D</t>
  </si>
  <si>
    <t>LENSED FIBER ASSEMBLY : BEB-F0003-A</t>
  </si>
  <si>
    <t>LENSED FIBER AR COATING AND METALLIZED</t>
  </si>
  <si>
    <t>ZFEE1046_D</t>
  </si>
  <si>
    <t>REWORK : SAN008</t>
  </si>
  <si>
    <t>ZFEE1054_D</t>
  </si>
  <si>
    <t>FOR END OCT-23</t>
  </si>
  <si>
    <t>ZFEE1056_D</t>
  </si>
  <si>
    <t>REWORK : SAN010 GREEN</t>
  </si>
  <si>
    <t>ZFEE1067_D</t>
  </si>
  <si>
    <t>FOR END NOV-23</t>
  </si>
  <si>
    <t>ZFEE1070_D</t>
  </si>
  <si>
    <t>FOR END OCT-24</t>
  </si>
  <si>
    <t>ZFEE1126_D</t>
  </si>
  <si>
    <t>FOR END JAN-24</t>
  </si>
  <si>
    <t>ZFEE1127_D</t>
  </si>
  <si>
    <t>FOR END DEC-23</t>
  </si>
  <si>
    <t>ZFEE1134_D</t>
  </si>
  <si>
    <t>HANDLING CHARGE</t>
  </si>
  <si>
    <t>9999.066 / (PER DEAL)</t>
  </si>
  <si>
    <t>ZFEE1135_D</t>
  </si>
  <si>
    <t>LENSED FIBER ASSEMBLY : 491-N1003-0001</t>
  </si>
  <si>
    <t>Fiber with AR coating and Metallized</t>
  </si>
  <si>
    <t>ZFEE1136_D</t>
  </si>
  <si>
    <t>FOR END FEB-24</t>
  </si>
  <si>
    <t>ZFEE1140_D</t>
  </si>
  <si>
    <t>FOR END MAR-24</t>
  </si>
  <si>
    <t>ZFEE1146_D</t>
  </si>
  <si>
    <t>FOR END APR-24</t>
  </si>
  <si>
    <t>ZFEE1151_D</t>
  </si>
  <si>
    <t>LENSED FIBER ASSEMBLY : 491-N1003-0001-T</t>
  </si>
  <si>
    <t>ADDITION AR COATING AN METALIZED FIBER</t>
  </si>
  <si>
    <t>ZFEE1157_D</t>
  </si>
  <si>
    <t>FOR END MAY-24</t>
  </si>
  <si>
    <t>ZFEE1165_D</t>
  </si>
  <si>
    <t>FOR END JUN-24</t>
  </si>
  <si>
    <t>ZFEE1166_D</t>
  </si>
  <si>
    <t>FOR END JUL-24</t>
  </si>
  <si>
    <t>ZFEE1167_D</t>
  </si>
  <si>
    <t>LENSED FIBER WITH AR COATING, METALLIZED</t>
  </si>
  <si>
    <t>BEB-F0004-A</t>
  </si>
  <si>
    <t>ZFEE1169_D</t>
  </si>
  <si>
    <t>FOR END AUG-24</t>
  </si>
  <si>
    <t>ZFEE1170_D</t>
  </si>
  <si>
    <t>JU14 COST FOR COATING PROCESS</t>
  </si>
  <si>
    <t>AFTER COATING CHANGE TO JU24</t>
  </si>
  <si>
    <t>ZFEE1193_D</t>
  </si>
  <si>
    <t>FOR END SEP-24</t>
  </si>
  <si>
    <t>ZFEE1194_D</t>
  </si>
  <si>
    <t>ARTWORK FOR CREATE UL ARTWORK</t>
  </si>
  <si>
    <t>ZFEE1199_D</t>
  </si>
  <si>
    <t>ZFEE1200_D</t>
  </si>
  <si>
    <t>DELIVERY CHARGE</t>
  </si>
  <si>
    <t>FOR SUPPORT B-1109-3</t>
  </si>
  <si>
    <t>ZFEE1207_D</t>
  </si>
  <si>
    <t>FOR END NOV-24</t>
  </si>
  <si>
    <t>ZFEE1210_D</t>
  </si>
  <si>
    <t>FOR END DEC-24</t>
  </si>
  <si>
    <t>ZFEE1213_D</t>
  </si>
  <si>
    <t>RESPOOLING FEE SPECIALTY_FIBER</t>
  </si>
  <si>
    <t>FOR M-CODE RSRSNU01-COH</t>
  </si>
  <si>
    <t>ZFEE123_D</t>
  </si>
  <si>
    <t>REVALUATION LOSS FOR JU03 AND JU04</t>
  </si>
  <si>
    <t>ZFEE129_D</t>
  </si>
  <si>
    <t>NPPV CHARGE FOR VN03</t>
  </si>
  <si>
    <t>ZFEE144_D</t>
  </si>
  <si>
    <t>REWORK COST ITLA011ML-SVI (ER06 to ER04)</t>
  </si>
  <si>
    <t>ZFEE147_D</t>
  </si>
  <si>
    <t>Air freight charge</t>
  </si>
  <si>
    <t>ZFEE170_D</t>
  </si>
  <si>
    <t>UPGRADE ER04 PCBA to ER06 PCBA</t>
  </si>
  <si>
    <t>ZFEE171_D</t>
  </si>
  <si>
    <t>NPPV CHARGE FROM AIC CONNECTOR</t>
  </si>
  <si>
    <t>ZFEE201_D</t>
  </si>
  <si>
    <t>REWORK MAIN BASE : RFICL170-YTC</t>
  </si>
  <si>
    <t>ZFEE207_D</t>
  </si>
  <si>
    <t>NPPV CHARGE FOR MAKE MATERIAL BOARD</t>
  </si>
  <si>
    <t>ZFEE231_D</t>
  </si>
  <si>
    <t>LENSED FIBER ASSEMBLY : 491-N0911-001</t>
  </si>
  <si>
    <t>ZFEE232_D</t>
  </si>
  <si>
    <t>LENSED FIBER ASSEMBLY:491-N0911-0001-AR</t>
  </si>
  <si>
    <t>250UM LENSED FIBER WITH AR COATING</t>
  </si>
  <si>
    <t>ZFEE243_D</t>
  </si>
  <si>
    <t>REVALUATION COST FOR PCPA TYPE ER,VN, JU</t>
  </si>
  <si>
    <t>ZFEE245_D</t>
  </si>
  <si>
    <t>COST FOR REWORK MATERIAL : ER07 TO ER05</t>
  </si>
  <si>
    <t>ZFEE246_D</t>
  </si>
  <si>
    <t>REWORK COST :ER07 TO ER05</t>
  </si>
  <si>
    <t>ZFEE247_D</t>
  </si>
  <si>
    <t>NPPV CHARGE TRASISTOR (MOSFET)</t>
  </si>
  <si>
    <t>ZFEE252_D</t>
  </si>
  <si>
    <t>TOOLING FEE</t>
  </si>
  <si>
    <t>ZFEE262_D</t>
  </si>
  <si>
    <t>IC PROGRANNING SERVICE CHARGE</t>
  </si>
  <si>
    <t>ZFEE269_D</t>
  </si>
  <si>
    <t>LENSED FIBER ASSEMBLY : 491-N0943-0002</t>
  </si>
  <si>
    <t>ZFEE271_I</t>
  </si>
  <si>
    <t>LENSED FIBER (TEST) : 491-N0939-0002</t>
  </si>
  <si>
    <t>ZFEE272_I</t>
  </si>
  <si>
    <t>LENSED FIBER (TEST) : 491-N0940-0002</t>
  </si>
  <si>
    <t>ZFEE273_I</t>
  </si>
  <si>
    <t>LENSED FIBER (TEST) : 491-N0941-0002</t>
  </si>
  <si>
    <t>ZFEE292_D</t>
  </si>
  <si>
    <t>REWORK FLM-EB-JU04</t>
  </si>
  <si>
    <t>ZFEE334_D</t>
  </si>
  <si>
    <t>REWORK FLM-EB-JU05</t>
  </si>
  <si>
    <t>ZFEE335_D</t>
  </si>
  <si>
    <t>FIRMWARE COST</t>
  </si>
  <si>
    <t>ZFEE337_D</t>
  </si>
  <si>
    <t>REWORK FLM-EB-EU01B</t>
  </si>
  <si>
    <t>ZFEE340_D</t>
  </si>
  <si>
    <t>REWORK 7000314 (FL002-JIN)</t>
  </si>
  <si>
    <t>ZFEE341_D</t>
  </si>
  <si>
    <t>MATERIA COST FOR REWORK  RJU00054-FBN</t>
  </si>
  <si>
    <t>ZFEE342_D</t>
  </si>
  <si>
    <t>REWORK COST RJU00054-FBN</t>
  </si>
  <si>
    <t>ZFEE346_D</t>
  </si>
  <si>
    <t>NPPV CHARGE FOR RIT01062-FBN</t>
  </si>
  <si>
    <t>ZFEE347_D</t>
  </si>
  <si>
    <t>METERIAL COST</t>
  </si>
  <si>
    <t>ZFEE348_D</t>
  </si>
  <si>
    <t>REWORK COST JU04 TO JU06</t>
  </si>
  <si>
    <t>ZFEE364_D</t>
  </si>
  <si>
    <t>SMALL LOT CHARGE FOR ER08</t>
  </si>
  <si>
    <t>ZFEE365_D</t>
  </si>
  <si>
    <t>REWORK FS302</t>
  </si>
  <si>
    <t>ZFEE366_D</t>
  </si>
  <si>
    <t>REWORK FS303</t>
  </si>
  <si>
    <t>ZFEE367_D</t>
  </si>
  <si>
    <t>SMALL LOT CHARGE FOR GE03</t>
  </si>
  <si>
    <t>ZFEE373_D</t>
  </si>
  <si>
    <t>ZFEE386_D</t>
  </si>
  <si>
    <t>NPPV CHARGE FOR IDH</t>
  </si>
  <si>
    <t>ZFEE387_D</t>
  </si>
  <si>
    <t>NPPV CHARGE FOR SPLICER (NINJA)</t>
  </si>
  <si>
    <t>ZFEE394_D</t>
  </si>
  <si>
    <t>REWORK COST TYPE NP05 TO NP07</t>
  </si>
  <si>
    <t>ZFEE425_D</t>
  </si>
  <si>
    <t>LENSED FIBER ASSEMBLY : 491-N0954-0002</t>
  </si>
  <si>
    <t>ZFEE431_D</t>
  </si>
  <si>
    <t>ZFEE432_D</t>
  </si>
  <si>
    <t>CHARGE COST BY AIR</t>
  </si>
  <si>
    <t>ZFEE441_D</t>
  </si>
  <si>
    <t>NPPV CHARGE FOR RIT01070-FBN</t>
  </si>
  <si>
    <t>ZFEE442_D</t>
  </si>
  <si>
    <t>NPPV CHARGE FOR RIT01071-FBN</t>
  </si>
  <si>
    <t>ZFEE443_D</t>
  </si>
  <si>
    <t>REWORK COST FOR ITLA013NL (NP05)</t>
  </si>
  <si>
    <t>ZFEE490_D</t>
  </si>
  <si>
    <t>MATERIAL COST FOR VN04</t>
  </si>
  <si>
    <t>ZFEE491_D</t>
  </si>
  <si>
    <t>REWORK COST FOR VN04</t>
  </si>
  <si>
    <t>ZFEE510_D</t>
  </si>
  <si>
    <t>TRANSPORT FEE BY AIR FOR PBT DURANEX</t>
  </si>
  <si>
    <t>ZFEE566_I</t>
  </si>
  <si>
    <t>FEE FOR PACKING NGE HENG</t>
  </si>
  <si>
    <t>ZFEE571_D</t>
  </si>
  <si>
    <t>MATERIAL COST FOR RIT01079-FBN</t>
  </si>
  <si>
    <t>ZFEE572_D</t>
  </si>
  <si>
    <t>REWORK COST FOR RIT01079-FBN</t>
  </si>
  <si>
    <t>ZFEE763_D</t>
  </si>
  <si>
    <t>CHARGE DIFFERENT COST FROM MARKET STOCK</t>
  </si>
  <si>
    <t>RIT01254-KAT,RJU00069-KAT,RJU00070-KAT</t>
  </si>
  <si>
    <t>ZFEE767_D</t>
  </si>
  <si>
    <t>TRANSPORTATION FEE</t>
  </si>
  <si>
    <t>FOR RFLCA026-THA</t>
  </si>
  <si>
    <t>ZFEE770_D</t>
  </si>
  <si>
    <t>TRANSPORTATION FEE(RFLCA090-MCM)</t>
  </si>
  <si>
    <t>FOR RFLCA090-MCM</t>
  </si>
  <si>
    <t>ZFEE772_D</t>
  </si>
  <si>
    <t>LENSED FIBER ASSEMBLY : 491-N0971-0002</t>
  </si>
  <si>
    <t>250UM LENSED FIBER WITH METALIZED</t>
  </si>
  <si>
    <t>ZFEE776_D</t>
  </si>
  <si>
    <t>TRANSPORTATION FEE (RS001001-RSC)</t>
  </si>
  <si>
    <t>FOR RS001001-RSC</t>
  </si>
  <si>
    <t>ZFEE797_D</t>
  </si>
  <si>
    <t>WIRE TRANSFER FEE</t>
  </si>
  <si>
    <t>FOR SUPPORT SM2TSW-20-48 (RFLBC071-CSC)</t>
  </si>
  <si>
    <t>ZFEE800_D</t>
  </si>
  <si>
    <t>FOR SUPPORT TEFLON SHRINKTUBING:SH250-26</t>
  </si>
  <si>
    <t>ZFEE805_D</t>
  </si>
  <si>
    <t>NPPV CHARGE FOR FU-FET002</t>
  </si>
  <si>
    <t>ZFEE819_D</t>
  </si>
  <si>
    <t>STENCIL</t>
  </si>
  <si>
    <t>ZFEE820_D</t>
  </si>
  <si>
    <t>FLYING PROBE PROGRAME SET UP</t>
  </si>
  <si>
    <t>ZFEE821_D</t>
  </si>
  <si>
    <t>FLYING PROBE PALLET</t>
  </si>
  <si>
    <t>ZFEE822_D</t>
  </si>
  <si>
    <t>ENGINEERING SET UP COST</t>
  </si>
  <si>
    <t>ZFEE824_D</t>
  </si>
  <si>
    <t>RECONCILATION COST</t>
  </si>
  <si>
    <t>491-N0954-0002 on Q4FY22</t>
  </si>
  <si>
    <t>ZFEE836_D</t>
  </si>
  <si>
    <t>NPPV CHARGE FOR FU-RES167</t>
  </si>
  <si>
    <t>Resistor2k 0.1 /1005size25V/0.063W</t>
  </si>
  <si>
    <t>ZFEE837_D</t>
  </si>
  <si>
    <t>NPPV CHARGE FOR FU-FET001</t>
  </si>
  <si>
    <t>FET(Pch)</t>
  </si>
  <si>
    <t>ZFEE838_D</t>
  </si>
  <si>
    <t>NPPV CHARGE FOR FU-IC057</t>
  </si>
  <si>
    <t>-55 105degreeC / 1.04mm</t>
  </si>
  <si>
    <t>ZFEE839_D</t>
  </si>
  <si>
    <t>FLM-EB-ER14 (RIT01253-FBN)</t>
  </si>
  <si>
    <t>ZFEE840_D</t>
  </si>
  <si>
    <t>RESCREEN COST</t>
  </si>
  <si>
    <t>ZFEE841_D</t>
  </si>
  <si>
    <t>FLM-EB-ER04 (RIT01070-FBN)</t>
  </si>
  <si>
    <t>ZFEE842_D</t>
  </si>
  <si>
    <t>ZFEE843_D</t>
  </si>
  <si>
    <t>FLM-EB-ER05 (RIT01071-FBN)</t>
  </si>
  <si>
    <t>ZFEE844_D</t>
  </si>
  <si>
    <t>ZFEE845_D</t>
  </si>
  <si>
    <t>FLM-EB-ER08 (RIT01073-FBN)</t>
  </si>
  <si>
    <t>ZFEE846_D</t>
  </si>
  <si>
    <t>ZFEE859_D</t>
  </si>
  <si>
    <t>STOCK INTEREST CHARGE FOR END April 22</t>
  </si>
  <si>
    <t>ZFEE860_D</t>
  </si>
  <si>
    <t>STOCK INTEREST CHARGE FOR END Sep-22</t>
  </si>
  <si>
    <t>ZFEE861_D</t>
  </si>
  <si>
    <t>STOCK INTEREST CHARGE FOR END Aug-22</t>
  </si>
  <si>
    <t>ZFEE862_D</t>
  </si>
  <si>
    <t>STOCK INTEREST CHARGE FOR END Jun-22</t>
  </si>
  <si>
    <t>ZFEE863_D</t>
  </si>
  <si>
    <t>STOCK INTEREST CHARGE FOR END Jul-22</t>
  </si>
  <si>
    <t>ZFEE864_D</t>
  </si>
  <si>
    <t>STOCK INTEREST CHARGE FOR END May-22</t>
  </si>
  <si>
    <t>ZFEE889_D</t>
  </si>
  <si>
    <t>FOR DEC-22</t>
  </si>
  <si>
    <t>ZFEE890_D</t>
  </si>
  <si>
    <t>FOR NOV-22</t>
  </si>
  <si>
    <t>ZFEE903_D</t>
  </si>
  <si>
    <t>LENSED FIBER ASSEMBLY : 491-N0983-0002</t>
  </si>
  <si>
    <t>ZFEE904_D</t>
  </si>
  <si>
    <t>FOR SUPPORT TEFLON SHRINKTUBING:SH250-30</t>
  </si>
  <si>
    <t>ZFEE916_D</t>
  </si>
  <si>
    <t>STOCK INTEREST CHARGE FOR END Oct-22</t>
  </si>
  <si>
    <t>ZFEE930_D</t>
  </si>
  <si>
    <t>STOCK INTEREST CHARGE FOR END Nov-22</t>
  </si>
  <si>
    <t>ZFEE931_D</t>
  </si>
  <si>
    <t>STOCK INTEREST CHARGE FOR END Dec-22</t>
  </si>
  <si>
    <t>ZFEE933_D</t>
  </si>
  <si>
    <t>LENSED FIBER ASSEMBLY : DFB-PMF-S4</t>
  </si>
  <si>
    <t>250UM PM FIBER, 6DEGREE METALIZE,AR COAT</t>
  </si>
  <si>
    <t>ZFEE946_D</t>
  </si>
  <si>
    <t>REWORK COST</t>
  </si>
  <si>
    <t>FOR RIT01070-FBN FLM-EB-ER04</t>
  </si>
  <si>
    <t>ZFEE953_D</t>
  </si>
  <si>
    <t>STOCK INTEREST CHARGE FOR END Jan-23</t>
  </si>
  <si>
    <t>ZFEE962_D</t>
  </si>
  <si>
    <t>CHARGE COST OF SINGLE FLIGHT</t>
  </si>
  <si>
    <t>FOR PART FU-CON001</t>
  </si>
  <si>
    <t>ZFEE964_D</t>
  </si>
  <si>
    <t>STOCK INTEREST CHARGE FOR END Feb-23</t>
  </si>
  <si>
    <t>ZFEE966_D</t>
  </si>
  <si>
    <t>FLIM AND SET UP CHARGE</t>
  </si>
  <si>
    <t>FOR RFLCA102-CIR</t>
  </si>
  <si>
    <t>ZFEE967_D</t>
  </si>
  <si>
    <t>PROBE SPARE PARTS : JU04 FURUKAWA</t>
  </si>
  <si>
    <t>Probe Size 39 mils (2 steps)</t>
  </si>
  <si>
    <t>ZFEE983_D</t>
  </si>
  <si>
    <t>FOR END MAR-23</t>
  </si>
  <si>
    <t>ZFEE998_D</t>
  </si>
  <si>
    <t>FOR END APR-23</t>
  </si>
  <si>
    <t>ZLAB66</t>
  </si>
  <si>
    <t>CIRCLE STICKER C300 RED</t>
  </si>
  <si>
    <t>CIRCLE STICKER C300  12 MM. RED</t>
  </si>
  <si>
    <t>ZLAB67</t>
  </si>
  <si>
    <t>CIRCLE STICKER C301 PINK</t>
  </si>
  <si>
    <t>CIRCLE STICKER C301  12 MM. PINK</t>
  </si>
  <si>
    <t>ZLAB68</t>
  </si>
  <si>
    <t>CIRCLE STICKER C302 BLACK</t>
  </si>
  <si>
    <t>CIRCLE STICKER C302  12 MM. BLACK</t>
  </si>
  <si>
    <t>ZLAB69</t>
  </si>
  <si>
    <t>CIRCLE STICKER C303 BLUE</t>
  </si>
  <si>
    <t>CIRCLE STICKER C303  12 MM. BLUE</t>
  </si>
  <si>
    <t>ZLAB70</t>
  </si>
  <si>
    <t>CIRCLE STICKER C304 GREEN</t>
  </si>
  <si>
    <t>CIRCLE STICKER C304  12 MM. GREEN</t>
  </si>
  <si>
    <t>ZLAB71</t>
  </si>
  <si>
    <t>CIRCLE STICKER C305YELLOW</t>
  </si>
  <si>
    <t>CIRCLE STICKER C305  12 MM. YELLOW</t>
  </si>
  <si>
    <t>ZLAB72</t>
  </si>
  <si>
    <t>LABEL PP SYNTHETIC FROZEN</t>
  </si>
  <si>
    <t>LABEL PP SYNTHETIC FROZEN SY7022</t>
  </si>
  <si>
    <t>ZLAB79</t>
  </si>
  <si>
    <t>CIRCLE STICKER 9 MM RED</t>
  </si>
  <si>
    <t>CIRCLE STICKER C304  9 MM. RED #5295112</t>
  </si>
  <si>
    <t>ZLAB80</t>
  </si>
  <si>
    <t>LABEL  PP SY7022 P30XW103MM.</t>
  </si>
  <si>
    <t>ZMAT007_D</t>
  </si>
  <si>
    <t>REVALUATION COST MATERIAL BOARD M-CODE</t>
  </si>
  <si>
    <t>ZMAT21</t>
  </si>
  <si>
    <t>RAW MATERIAL FOR FS321-MIZ</t>
  </si>
  <si>
    <t>ZMAT22</t>
  </si>
  <si>
    <t>RAW MATERIAL FOR FS315-MIZ</t>
  </si>
  <si>
    <t>ZMAT23</t>
  </si>
  <si>
    <t>RAW MATERIAL FOR FS314-MIZ</t>
  </si>
  <si>
    <t>ZMAT24</t>
  </si>
  <si>
    <t>RAW MATERIAL FOR FS319-MIZ</t>
  </si>
  <si>
    <t>ZMOD103_D</t>
  </si>
  <si>
    <t>MODIFY PH08A</t>
  </si>
  <si>
    <t>TYPE_F</t>
  </si>
  <si>
    <t>ZMOD104_D</t>
  </si>
  <si>
    <t>TYPE_N</t>
  </si>
  <si>
    <t>ZMOD107_D</t>
  </si>
  <si>
    <t>MODIFY ER06 TO ER04</t>
  </si>
  <si>
    <t>AFTER REWORK CHANGE MODEL TO ER04</t>
  </si>
  <si>
    <t>ZMOL09</t>
  </si>
  <si>
    <t>MOLD CHARGE TRAY FOR FBG FTOP</t>
  </si>
  <si>
    <t>ZMOL10</t>
  </si>
  <si>
    <t>MODIFY MOLD TRAY FOR FBG FTOP</t>
  </si>
  <si>
    <t>ZMOL11</t>
  </si>
  <si>
    <t>Mold charge for ITLA TRAY</t>
  </si>
  <si>
    <t>ZMOL12</t>
  </si>
  <si>
    <t>Mold charge for ITLA COVER</t>
  </si>
  <si>
    <t>ZMOL13</t>
  </si>
  <si>
    <t>Mold + Die cut for 1 way packaging</t>
  </si>
  <si>
    <t>ZNBRD14</t>
  </si>
  <si>
    <t>EYGS010310HF</t>
  </si>
  <si>
    <t>ZPAS09</t>
  </si>
  <si>
    <t>PAPER SHEET 110X110CM</t>
  </si>
  <si>
    <t>PAPER SHEET 110X110 CM.</t>
  </si>
  <si>
    <t>ZPLC009_D</t>
  </si>
  <si>
    <t>PLC WAVELENGTH LOCKER</t>
  </si>
  <si>
    <t>ZWLOCKECNN-E525A</t>
  </si>
  <si>
    <t>ZPRC185</t>
  </si>
  <si>
    <t>SMALL 8 BUNKI FM-MM-C14-D</t>
  </si>
  <si>
    <t>ZPRC186</t>
  </si>
  <si>
    <t>OUTPUT OPTICAL FM-MA-133</t>
  </si>
  <si>
    <t>OUTPUT OPTICAL  FM-MA-133-A</t>
  </si>
  <si>
    <t>ZPRC187</t>
  </si>
  <si>
    <t>IDM PENDING FM-MA-137-A</t>
  </si>
  <si>
    <t>PROCESS CARD IDM PENDING  FM-MA-137-A</t>
  </si>
  <si>
    <t>ZPRC188</t>
  </si>
  <si>
    <t>PROBLEM OPTICAL FM-MA-132</t>
  </si>
  <si>
    <t>PROBLEM OPTICAL  FM-MA-132-A</t>
  </si>
  <si>
    <t>ZPRC190</t>
  </si>
  <si>
    <t>PROCESS CARD 4 SC</t>
  </si>
  <si>
    <t>PROCESS CARD  4 SC  FM-MJ-A10-A</t>
  </si>
  <si>
    <t>ZPRC192</t>
  </si>
  <si>
    <t>PROCESS CARD FM-MI-D03-E</t>
  </si>
  <si>
    <t>PROCESS CARD  FM-MI-D03-E</t>
  </si>
  <si>
    <t>ZPRC245</t>
  </si>
  <si>
    <t>PROCESS CARD AWG</t>
  </si>
  <si>
    <t>PROCESS CARD  FM-MS-E01-A LC FOR AWG</t>
  </si>
  <si>
    <t>ZPRC246</t>
  </si>
  <si>
    <t>PROCESS CARD  FM-MS-E02-A LC FOR AWG</t>
  </si>
  <si>
    <t>ZPRC247</t>
  </si>
  <si>
    <t>PROCESS CARD  FM-MS-E03-A LC FOR AWG</t>
  </si>
  <si>
    <t>ZPRC248</t>
  </si>
  <si>
    <t>PROCESS CARD  FM-MS-E04-A LC FOR AWG</t>
  </si>
  <si>
    <t>ZPRC249</t>
  </si>
  <si>
    <t>PROCESS CARD DC</t>
  </si>
  <si>
    <t>PROCESS CARD  FM-QA-M40-F DC</t>
  </si>
  <si>
    <t>ZPRC250</t>
  </si>
  <si>
    <t>PROCESS CARD FM-MG-002-A</t>
  </si>
  <si>
    <t>PROCESS CARD  FM-MG-002-A</t>
  </si>
  <si>
    <t>ZPRC251</t>
  </si>
  <si>
    <t>PROCESS CARD FM-MG-003-A</t>
  </si>
  <si>
    <t>PROCESS CARD  FM-MG-003-A</t>
  </si>
  <si>
    <t>ZPRC252</t>
  </si>
  <si>
    <t>PROCESS CARD FM-ME-D07-A</t>
  </si>
  <si>
    <t>PROCESS CARD  FM-ME-D07-A</t>
  </si>
  <si>
    <t>ZPRC254</t>
  </si>
  <si>
    <t>PROCESS CARD FM-QA-M73-I</t>
  </si>
  <si>
    <t>PROCESS CARD  FM-QA-M73-I</t>
  </si>
  <si>
    <t>ZPRC256</t>
  </si>
  <si>
    <t>PROCESS CARD FM-QA-M207-C</t>
  </si>
  <si>
    <t>PROCESS CARD  FM-QA-M207-C</t>
  </si>
  <si>
    <t>ZPRC257</t>
  </si>
  <si>
    <t>PROCESS CARD FM-MS-G01-C</t>
  </si>
  <si>
    <t>PROCESS CARD  FM-MS-G01-C</t>
  </si>
  <si>
    <t>ZPRC258</t>
  </si>
  <si>
    <t>PROCESS CARD FM-MM-C07-D</t>
  </si>
  <si>
    <t>PROCESS CARD  FM-MM-C07-D</t>
  </si>
  <si>
    <t>ZPRC259</t>
  </si>
  <si>
    <t>PROCESS CARD FM-QA-M156-B</t>
  </si>
  <si>
    <t>PROCESS CARD  FM-QA-M156-B</t>
  </si>
  <si>
    <t>ZPRC260</t>
  </si>
  <si>
    <t>ZPRC261</t>
  </si>
  <si>
    <t>BONDING JIG GV FOR MZI1</t>
  </si>
  <si>
    <t>US0273E-15(BONDING JIG GV FOR MZI1)</t>
  </si>
  <si>
    <t>ZPRC263</t>
  </si>
  <si>
    <t>PROCESS CARD FM-MB-A67-C</t>
  </si>
  <si>
    <t>PROCESS CARD  FM-MB-A67-C</t>
  </si>
  <si>
    <t>ZPRC265</t>
  </si>
  <si>
    <t>PROCESS CARD FM-MG-001-A</t>
  </si>
  <si>
    <t>PROCESS CARD  FM-MG-001-A</t>
  </si>
  <si>
    <t>ZPRC266</t>
  </si>
  <si>
    <t>PROCESS CARD FM-QA-M73-J</t>
  </si>
  <si>
    <t>PROCESS CARD  FM-QA-M73-J</t>
  </si>
  <si>
    <t>ZPRC268</t>
  </si>
  <si>
    <t>PROCESS CARD FM-MB-628-A</t>
  </si>
  <si>
    <t>PROCESS CARD  FM-MB-628-A</t>
  </si>
  <si>
    <t>ZPRC269</t>
  </si>
  <si>
    <t>ZPRC270</t>
  </si>
  <si>
    <t>PROCESS CARD FM-MB-015-I</t>
  </si>
  <si>
    <t>PROCESS CARD  FM-MB-015-I</t>
  </si>
  <si>
    <t>ZPRC272</t>
  </si>
  <si>
    <t>PROCESS CARD FM-MS-G03-A</t>
  </si>
  <si>
    <t>PROCESS CARD  FM-MS-G03-A</t>
  </si>
  <si>
    <t>ZPRC273</t>
  </si>
  <si>
    <t>PROCESS CARD FM-MS-G04-A</t>
  </si>
  <si>
    <t>PROCESS CARD  FM-MS-G04-A</t>
  </si>
  <si>
    <t>ZPRC275</t>
  </si>
  <si>
    <t>Process Card  FM-MA-E01-F</t>
  </si>
  <si>
    <t>ZPRC277</t>
  </si>
  <si>
    <t>Process Card  FM-ME-A05-C IDM-C</t>
  </si>
  <si>
    <t>ZPRC279</t>
  </si>
  <si>
    <t>Process Card  FM-MM-D09-A</t>
  </si>
  <si>
    <t>ZPRC280</t>
  </si>
  <si>
    <t>Process Card  FM-MM-D05-B</t>
  </si>
  <si>
    <t>ZREP1259_D</t>
  </si>
  <si>
    <t>CLEANING THE PCBA OF ER04</t>
  </si>
  <si>
    <t>ZREP299_D</t>
  </si>
  <si>
    <t>REWORK MODULE (FS575-KMC) GARRIAGE-ARM-B</t>
  </si>
  <si>
    <t>ZSP003</t>
  </si>
  <si>
    <t>LIGHT COUPLER</t>
  </si>
  <si>
    <t>3dB COUPLER DW201/DC202/DC204/DC203</t>
  </si>
  <si>
    <t>ZSP004</t>
  </si>
  <si>
    <t>FLM-FAS21L</t>
  </si>
  <si>
    <t>ZSP004-1</t>
  </si>
  <si>
    <t>FLM-FAS26G PATTERN 3</t>
  </si>
  <si>
    <t>ZSP004-2</t>
  </si>
  <si>
    <t>FLM-FAS26G  PATTERN 5</t>
  </si>
  <si>
    <t>ZSP004-3</t>
  </si>
  <si>
    <t>TX-FLM-007</t>
  </si>
  <si>
    <t>ZSP004-4</t>
  </si>
  <si>
    <t>TX-FLM-011</t>
  </si>
  <si>
    <t>ZSP005</t>
  </si>
  <si>
    <t>FBT MODULE</t>
  </si>
  <si>
    <t>EXPERIMENTAL SAMPLE</t>
  </si>
  <si>
    <t>ZSP006</t>
  </si>
  <si>
    <t>FLM-IS11</t>
  </si>
  <si>
    <t>ZSP006-1</t>
  </si>
  <si>
    <t>550SD07LT-140616B-200</t>
  </si>
  <si>
    <t>ZSP007</t>
  </si>
  <si>
    <t>ZSP007-1</t>
  </si>
  <si>
    <t>10015500BBKT / KELK</t>
  </si>
  <si>
    <t>ZSP008</t>
  </si>
  <si>
    <t>FLM-PE06</t>
  </si>
  <si>
    <t>ZSP009</t>
  </si>
  <si>
    <t>ZSP009-1</t>
  </si>
  <si>
    <t>FLM-PE10 (KELK)</t>
  </si>
  <si>
    <t>ZSP010</t>
  </si>
  <si>
    <t>ZSP010-1</t>
  </si>
  <si>
    <t>PACKAGE FOR MM-LDM</t>
  </si>
  <si>
    <t>ZSP011</t>
  </si>
  <si>
    <t>ZSP012</t>
  </si>
  <si>
    <t>PK53</t>
  </si>
  <si>
    <t>ZSP013</t>
  </si>
  <si>
    <t>MODULE SAMPLE FOR TEST MACHINE</t>
  </si>
  <si>
    <t>ZSP014</t>
  </si>
  <si>
    <t>SAMPLE PRODUCT FOR TEST MACHINE</t>
  </si>
  <si>
    <t>ZSP021</t>
  </si>
  <si>
    <t>SAMPLE PRODUCT FOR ITLA</t>
  </si>
  <si>
    <t>ZSP021-1</t>
  </si>
  <si>
    <t>ZSP022</t>
  </si>
  <si>
    <t>PRODUCT PACKAGE</t>
  </si>
  <si>
    <t>SAMPLE PRODUCT FOR FBT</t>
  </si>
  <si>
    <t>ZSP023</t>
  </si>
  <si>
    <t>SAMPLE KAPTON-TAPE</t>
  </si>
  <si>
    <t>Kapton-tape</t>
  </si>
  <si>
    <t>ZSP024</t>
  </si>
  <si>
    <t>SAMPLE NITOFLON TAPE</t>
  </si>
  <si>
    <t>NITOFLON TAPE</t>
  </si>
  <si>
    <t>ZSP025</t>
  </si>
  <si>
    <t>TEC1 (COS) for 16dBm TOSA</t>
  </si>
  <si>
    <t>ZSP038-1</t>
  </si>
  <si>
    <t>ZSP038-2</t>
  </si>
  <si>
    <t>ZSP049-1</t>
  </si>
  <si>
    <t>Hard Case (W152 x D152 x H70mm,50g)</t>
  </si>
  <si>
    <t>ZSP057</t>
  </si>
  <si>
    <t>STICKER PETCLEAR</t>
  </si>
  <si>
    <t>ZSP058</t>
  </si>
  <si>
    <t>FLM-FS37kai</t>
  </si>
  <si>
    <t>ZSP059</t>
  </si>
  <si>
    <t>PACKAGE LID</t>
  </si>
  <si>
    <t>IRM G2.0 LID</t>
  </si>
  <si>
    <t>ZSP060</t>
  </si>
  <si>
    <t>SAMPLE PRODUCT OPTICAL ENGINE</t>
  </si>
  <si>
    <t>FRT08F04-OP, FRR08F04-OP</t>
  </si>
  <si>
    <t>ZSP086</t>
  </si>
  <si>
    <t>RM-SEG02-0A</t>
  </si>
  <si>
    <t>ZSP087</t>
  </si>
  <si>
    <t>F GUIDE L-CONTAMINATION SCRATCH</t>
  </si>
  <si>
    <t>BKTC0387</t>
  </si>
  <si>
    <t>ZSP088</t>
  </si>
  <si>
    <t>CABLE HOLDER-CONTAMINATION</t>
  </si>
  <si>
    <t>BKTC0283</t>
  </si>
  <si>
    <t>ZSP089</t>
  </si>
  <si>
    <t>FIXING PART-CONTAMINATION SCRATCH</t>
  </si>
  <si>
    <t>BSSC0180</t>
  </si>
  <si>
    <t>ZSP090</t>
  </si>
  <si>
    <t>SOCKET CAP-SCRATCH BARI</t>
  </si>
  <si>
    <t>BKKM0450</t>
  </si>
  <si>
    <t>ZSP092</t>
  </si>
  <si>
    <t>BOOT-SCRATCH CONTAMINATION DEFORMATION</t>
  </si>
  <si>
    <t>BATJ0141</t>
  </si>
  <si>
    <t>ZSP093</t>
  </si>
  <si>
    <t>FSC PIN-CONTAMINATION</t>
  </si>
  <si>
    <t>BKKM0293</t>
  </si>
  <si>
    <t>ZSP094</t>
  </si>
  <si>
    <t>KUSABI STOPPER-SCRATCH CONTAMINATION</t>
  </si>
  <si>
    <t>BKTC0790</t>
  </si>
  <si>
    <t>ZSP095</t>
  </si>
  <si>
    <t>F GUIDE F-CONTAMINATION</t>
  </si>
  <si>
    <t>BKTC0382</t>
  </si>
  <si>
    <t>ZSP096</t>
  </si>
  <si>
    <t>JIG</t>
  </si>
  <si>
    <t>Socket Frame D Gauge #1-3</t>
  </si>
  <si>
    <t>ZSP097</t>
  </si>
  <si>
    <t>Socket Frame D Gauge #2-1</t>
  </si>
  <si>
    <t>ZSP098</t>
  </si>
  <si>
    <t>IDM-J Carton</t>
  </si>
  <si>
    <t>Sample packaging</t>
  </si>
  <si>
    <t>ZSP099</t>
  </si>
  <si>
    <t>SAMPLE ITLA MICRO TOSA</t>
  </si>
  <si>
    <t>ZSP100</t>
  </si>
  <si>
    <t>E-splitter cover sample</t>
  </si>
  <si>
    <t>ZSP101</t>
  </si>
  <si>
    <t>Boot sample</t>
  </si>
  <si>
    <t>ZSP105</t>
  </si>
  <si>
    <t>1x16 PLC</t>
  </si>
  <si>
    <t>ZSP105-1</t>
  </si>
  <si>
    <t>PLC Splitter,1x4 PS202-1x4</t>
  </si>
  <si>
    <t>ZSP105-2</t>
  </si>
  <si>
    <t>PLC Splitter,1x8 PS202-1x8</t>
  </si>
  <si>
    <t>ZSP111</t>
  </si>
  <si>
    <t>FLM-PK20(Kyocera)</t>
  </si>
  <si>
    <t>ZSP112</t>
  </si>
  <si>
    <t>SILICON WAFER</t>
  </si>
  <si>
    <t>SILICONE RUBBER</t>
  </si>
  <si>
    <t>ZSP113</t>
  </si>
  <si>
    <t>SAMPLE FOR OPTICAL ENGINE</t>
  </si>
  <si>
    <t>TX</t>
  </si>
  <si>
    <t>ZSP114</t>
  </si>
  <si>
    <t>FLCR3SGA1C</t>
  </si>
  <si>
    <t>ZSP115</t>
  </si>
  <si>
    <t>ZSP118</t>
  </si>
  <si>
    <t>VN board (FLM-EB-VN03)</t>
  </si>
  <si>
    <t>ZSP119</t>
  </si>
  <si>
    <t>ZSP121</t>
  </si>
  <si>
    <t>CRM-1061 (18GM)</t>
  </si>
  <si>
    <t>ZSP121-1</t>
  </si>
  <si>
    <t>CRM-1061 (1.8GM)</t>
  </si>
  <si>
    <t>ZSP122</t>
  </si>
  <si>
    <t>FLAPATG01A</t>
  </si>
  <si>
    <t>ZSP123</t>
  </si>
  <si>
    <t>IRM SM Fiber</t>
  </si>
  <si>
    <t>ZSP124</t>
  </si>
  <si>
    <t>IRM PM Fiber</t>
  </si>
  <si>
    <t>ZSP125</t>
  </si>
  <si>
    <t>Collar 3.5</t>
  </si>
  <si>
    <t>ZSP126</t>
  </si>
  <si>
    <t>IRM PKG 2.0 16x30</t>
  </si>
  <si>
    <t>ZSP127</t>
  </si>
  <si>
    <t>Gen2 DPOH Sub Assy</t>
  </si>
  <si>
    <t>ZSP128</t>
  </si>
  <si>
    <t>L2SKR02A15N10A6-101RN-NT Ver1</t>
  </si>
  <si>
    <t>ZSP129</t>
  </si>
  <si>
    <t>SK60A121M10A1-Y</t>
  </si>
  <si>
    <t>ZSP130</t>
  </si>
  <si>
    <t>GMA05XB30J104ME12T</t>
  </si>
  <si>
    <t>ZSP131</t>
  </si>
  <si>
    <t>GMA05XR11C222MA01T</t>
  </si>
  <si>
    <t>ZSP132</t>
  </si>
  <si>
    <t>GMD033R60J104KE11</t>
  </si>
  <si>
    <t>ZSP133</t>
  </si>
  <si>
    <t>IN3250TA</t>
  </si>
  <si>
    <t>ZSP134</t>
  </si>
  <si>
    <t>Carrier 2.4</t>
  </si>
  <si>
    <t>ZSP137</t>
  </si>
  <si>
    <t>LID CASE</t>
  </si>
  <si>
    <t>IRM LID 2.0 16x30</t>
  </si>
  <si>
    <t>ZSP138</t>
  </si>
  <si>
    <t>P/N NEL-C033</t>
  </si>
  <si>
    <t>ZSP139</t>
  </si>
  <si>
    <t>ZSP801</t>
  </si>
  <si>
    <t>4MTR-125.5</t>
  </si>
  <si>
    <t>ZSP803</t>
  </si>
  <si>
    <t>8MTR-125.5</t>
  </si>
  <si>
    <t>ZSP804</t>
  </si>
  <si>
    <t>SAMPLES MAT"I COST  TX</t>
  </si>
  <si>
    <t>PCB ASSEMBLY : 212-129ALF</t>
  </si>
  <si>
    <t>ZSP805</t>
  </si>
  <si>
    <t>SAMPLES MAT"I COST  RX</t>
  </si>
  <si>
    <t>PCB ASSEMBLY : 212-130ALF</t>
  </si>
  <si>
    <t>ZSP807</t>
  </si>
  <si>
    <t>PARALLEL PIN 1.6*24 PAR TNO.81B2440A</t>
  </si>
  <si>
    <t>ZSPFBT01</t>
  </si>
  <si>
    <t>MICRO-FBT MODULE</t>
  </si>
  <si>
    <t>SAMPLE for DAILY CHECK FBT PROCESS</t>
  </si>
  <si>
    <t>ZSPFBT02</t>
  </si>
  <si>
    <t>NARROW FBT COS</t>
  </si>
  <si>
    <t>ZSPT01</t>
  </si>
  <si>
    <t>LABEL FOR TEST SAMPLE</t>
  </si>
  <si>
    <t>C271, C094, C272, C409, C516</t>
  </si>
  <si>
    <t>ZSR530</t>
  </si>
  <si>
    <t>Single shipment For ITLA010ML (VN03)</t>
  </si>
  <si>
    <t>ZSR565</t>
  </si>
  <si>
    <t>Revaluation cost for NP</t>
  </si>
  <si>
    <t>ZSR592</t>
  </si>
  <si>
    <t>NPPV CHARGE FOR IDH PCBA</t>
  </si>
  <si>
    <t>ZTAP07</t>
  </si>
  <si>
    <t>ZTRA033_I</t>
  </si>
  <si>
    <t>PLASTIC TRAY</t>
  </si>
  <si>
    <t>PLASTIC TRAY BLUE</t>
  </si>
  <si>
    <t>Package Scratch, Package Rust, Bench Angle NG</t>
  </si>
  <si>
    <t>PD Angle NG</t>
  </si>
  <si>
    <t>\\192.168.2.100\12_qa\06_Non_Conforming\Material_claim\04_PDF NCR for Inform vendor\Oversea</t>
  </si>
  <si>
    <t>SV2302106</t>
  </si>
  <si>
    <t>FFT-QA-20-M073</t>
  </si>
  <si>
    <t>A8545</t>
  </si>
  <si>
    <t>Bari at connector 1 Pc.</t>
  </si>
  <si>
    <t>SO00032049</t>
  </si>
  <si>
    <t>NG2-PAL2007001</t>
  </si>
  <si>
    <t>FFT-QA-21-M202</t>
  </si>
  <si>
    <t>17 Apr 21,2 Jul 21</t>
  </si>
  <si>
    <t>B2913,B2423</t>
  </si>
  <si>
    <t>Connecter not close 2 Pcs.,Part abnormal 1 Pc.,Board not working at the arc function 1 Pc.</t>
  </si>
  <si>
    <t>SO00035501</t>
  </si>
  <si>
    <t xml:space="preserve">	NG2-PAL2111001</t>
  </si>
  <si>
    <t xml:space="preserve">09/02/2023 </t>
  </si>
  <si>
    <t xml:space="preserve">B6221 </t>
  </si>
  <si>
    <t>FFT-QA-21-M233</t>
  </si>
  <si>
    <t>(5,21)Oct 21</t>
  </si>
  <si>
    <t>17 Apr 21,25 May 21</t>
  </si>
  <si>
    <t>B2423 ,B2661</t>
  </si>
  <si>
    <t>Can not connect X camera 1 Pc.Can not discharge ARC 5 Pcs.</t>
  </si>
  <si>
    <t>FFT-QA-22-M035</t>
  </si>
  <si>
    <t>B3899</t>
  </si>
  <si>
    <t>Can't estimate the temperature(On display machine show 0°C only)</t>
  </si>
  <si>
    <t>SO00038338</t>
  </si>
  <si>
    <t>NG2-PAL2211001</t>
  </si>
  <si>
    <t>FFT-QA-22-M143</t>
  </si>
  <si>
    <t>3 May 22-11 Jun 22</t>
  </si>
  <si>
    <t>B4182</t>
  </si>
  <si>
    <t>Can't adjust temperature to 250°C 5 Pcs.</t>
  </si>
  <si>
    <t>FFT-QA-22-M175</t>
  </si>
  <si>
    <t>27 Jan 22,6 Apr 22</t>
  </si>
  <si>
    <t>B4622,B4182</t>
  </si>
  <si>
    <t>Battery light on membrane switch not on. 1 Pc.Arc discharge NG 1Pc.,Can't open machine 4 Pcs.</t>
  </si>
  <si>
    <t>FFT-QA-22-M185</t>
  </si>
  <si>
    <t>The sensor can't detect the fiber distance</t>
  </si>
  <si>
    <t>FSFFT240828-NB</t>
  </si>
  <si>
    <t>24/12/2024=2 Pcs,21/01/2025=16 Pcs ไปเป็น Sample</t>
  </si>
  <si>
    <t>SO00044217=2,SO00044413=16</t>
  </si>
  <si>
    <t>NB-SEI2412005,NG2-SEI2501001</t>
  </si>
  <si>
    <t>Fiber coating damage &gt;1 mm. 1 Pc.</t>
  </si>
  <si>
    <t>FEC-OC(98MM)</t>
  </si>
  <si>
    <t>FFT-QA-25-M012</t>
  </si>
  <si>
    <t>(20,29) Jan 25</t>
  </si>
  <si>
    <t>240010564, 240011037</t>
  </si>
  <si>
    <t>Package scratch 1Pc., Waveguide scratch 1 Pc.</t>
  </si>
  <si>
    <t>FFT-QA-25-M013</t>
  </si>
  <si>
    <t>SVY240915</t>
  </si>
  <si>
    <t>Broken 3 Pcs.</t>
  </si>
  <si>
    <t>FFT-QA-25-M014</t>
  </si>
  <si>
    <t>S124 product/Semi process</t>
  </si>
  <si>
    <t>B7177</t>
  </si>
  <si>
    <t>SO00044591</t>
  </si>
  <si>
    <t>SO00044590</t>
  </si>
  <si>
    <t>NG1-FEC2502001</t>
  </si>
  <si>
    <t>NG2-FEC2502002</t>
  </si>
  <si>
    <t>FFT-QA-25-M015</t>
  </si>
  <si>
    <t>B7907</t>
  </si>
  <si>
    <t>FFT-QA-25-M016</t>
  </si>
  <si>
    <t>Ninja</t>
  </si>
  <si>
    <t>Ninja product/Semi,Packing,LED ADJ process</t>
  </si>
  <si>
    <t>(21 Feb,29 Mar,8-19 Apr,14 may,5 Aug,6-Sep) 24</t>
  </si>
  <si>
    <t>15-Dec-23,(01 Feb,7 Mar) 24</t>
  </si>
  <si>
    <t>B7576,REPLACEMENT,B7906</t>
  </si>
  <si>
    <t>Monitor show message backup battery  drop. 1 Pc.,Monitor show massage "Heater error 13" 1 Pc.,When open manchine the Monitor show Boot mode 1 Pc.,Operator appearance inspection found pin of connector bending 1 Pc.,Boot mode of x camera show anormal 1 Pc.,Monitor show heater error message 1 Pc.,The monitor shows an error message 1 Pc.</t>
  </si>
  <si>
    <t>S179 product/Semi,Edit parameter,Acr adrjust process</t>
  </si>
  <si>
    <t>(12,28,25)Sep 24,12-Dec-24,10-Jan-25</t>
  </si>
  <si>
    <t>FFT-QA-25-M017</t>
  </si>
  <si>
    <t>S124 product/Main base process</t>
  </si>
  <si>
    <t>SVY240702</t>
  </si>
  <si>
    <t>FCS Y Cannot operate 1 Pc.</t>
  </si>
  <si>
    <t>FFT-QA-25-M018</t>
  </si>
  <si>
    <t>Ninja product/Body process</t>
  </si>
  <si>
    <t>(26 Jan,17 Jun,27 Nov,02 Dec) 24</t>
  </si>
  <si>
    <t>22 -Dec-23,(19 Mar,21 Nov) 24</t>
  </si>
  <si>
    <t>SV2312032,SVY240305,SVY241106,</t>
  </si>
  <si>
    <t>Battery don't have power 1 Pc.,Symbol of battery abnormal 1 Pc.,Battery symbol blinking 1 Pc.,Battery reduce 1 Pc.</t>
  </si>
  <si>
    <t>SO00044612</t>
  </si>
  <si>
    <t>SO00044618</t>
  </si>
  <si>
    <t>FFT-QA-25-M019</t>
  </si>
  <si>
    <t>S124 product/Position process</t>
  </si>
  <si>
    <t xml:space="preserve">S124 </t>
  </si>
  <si>
    <t>Can't adjust lens 1 Pc.</t>
  </si>
  <si>
    <t>SO00044628</t>
  </si>
  <si>
    <t>NG4-FEC2502001</t>
  </si>
  <si>
    <t>F1-SHO2502002</t>
  </si>
  <si>
    <t>FEC-OC(HBCDM)</t>
  </si>
  <si>
    <t>FFT-QA-25-M020</t>
  </si>
  <si>
    <t>IDM-Jumper product/Optical,MU-pigtail process</t>
  </si>
  <si>
    <t>Dc splitter product/Cutting,module Process</t>
  </si>
  <si>
    <t>29-Jan-25,10-Feb-25</t>
  </si>
  <si>
    <t>80004994</t>
  </si>
  <si>
    <t xml:space="preserve">Dc splitter </t>
  </si>
  <si>
    <t>Duplicate serial number 3 Pcs.,Body PLC over spec 2 Pcs.</t>
  </si>
  <si>
    <t>Jan'25</t>
  </si>
  <si>
    <t>See at attach sheet</t>
  </si>
  <si>
    <t>Nylon tube bending 1050 me.</t>
  </si>
  <si>
    <t>NG1-SEI2502001</t>
  </si>
  <si>
    <t>IDM-Jumper,IDM-C product/Optical,Cutting process</t>
  </si>
  <si>
    <t>(19-20)Dec-24</t>
  </si>
  <si>
    <t>G240614-1</t>
  </si>
  <si>
    <t>FFT-QA-25-M024</t>
  </si>
  <si>
    <t>S179 product/Heater unit process</t>
  </si>
  <si>
    <t>19-Dec-24,16-Jan-25</t>
  </si>
  <si>
    <t>SVY241005</t>
  </si>
  <si>
    <t>Heater open circuit 12 Pcs.</t>
  </si>
  <si>
    <t>FFT-QA-25-M025</t>
  </si>
  <si>
    <t>SVY240505</t>
  </si>
  <si>
    <t>FFT-QA-25-M026</t>
  </si>
  <si>
    <t>Slceve product/Assembling process</t>
  </si>
  <si>
    <t>Slceve</t>
  </si>
  <si>
    <t>Tension have hole 2 Pcs.</t>
  </si>
  <si>
    <t>Don't have power 1 Pc.</t>
  </si>
  <si>
    <t>Optical data abnormal  3 Pcs.,Fiber damage NG 1 Pc.</t>
  </si>
  <si>
    <t>can't increase temp to 240 celsius. (Outside of Heater) 1 Pc.</t>
  </si>
  <si>
    <t>cannot control port FY 1 Pc.,IPC 5.2.9 Fractured Solder 1 Pc.,Cannot discharge Arc 1 Pc.,Connector NG 2 Pcs.,Mainboard show only dark screen cannot goto normal screen 1 Pc.</t>
  </si>
  <si>
    <t>SO00044702</t>
  </si>
  <si>
    <t>SO00044703</t>
  </si>
  <si>
    <t>NB-FEC2502006</t>
  </si>
  <si>
    <t>NG1-SEI2502002</t>
  </si>
  <si>
    <t>FFT-QA-25-M006</t>
    <phoneticPr fontId="3"/>
  </si>
  <si>
    <t>FFT-QA-25-M027</t>
  </si>
  <si>
    <t>S001 Product/Semi Assembling Process</t>
  </si>
  <si>
    <t>B9024</t>
  </si>
  <si>
    <t>NG of CPU board make the problem to S001 product about S001 product can't turn ON. 1 Pc.</t>
  </si>
  <si>
    <t>Contaminate on Cu-pipe 32 pcs. ,Cu-pipe have orange color 12 pcs. ,Burr on Cu-pipe 9 pcs.</t>
  </si>
  <si>
    <t>FFT-QA-25-M029</t>
  </si>
  <si>
    <t>10-Dec'24-5-Feb'25</t>
  </si>
  <si>
    <t>FLIB221223</t>
  </si>
  <si>
    <t>FFT-QA-25-M030</t>
  </si>
  <si>
    <t>11-Dec'24-29-Jan'25</t>
  </si>
  <si>
    <t>LD chipping 9 pcs. ,Waste bonding 4 pcs. ,AR Crack 1 pc.</t>
  </si>
  <si>
    <t>SO00044802</t>
  </si>
  <si>
    <t>NG4-FEC2502003</t>
  </si>
  <si>
    <t>\\192.168.2.100\12_qa\06_Non_Conforming\Material_claim\02_Material_NG_Oversea\2025\02_Material_NG_for_Oversea_2025.xlsm</t>
  </si>
  <si>
    <t>ACUS0022-OIZ</t>
  </si>
  <si>
    <t>G-RACK FOR CUSHION FOAM 701X742X40 MM</t>
  </si>
  <si>
    <t>AMID0023-OIZ</t>
  </si>
  <si>
    <t>CARTON BOX FOR PACKING G-RACK</t>
  </si>
  <si>
    <t>CARTON BOX  699X744X250 MM</t>
  </si>
  <si>
    <t>20031FIB20</t>
  </si>
  <si>
    <t>20031PAL03</t>
  </si>
  <si>
    <t>RCMST017-FEC</t>
  </si>
  <si>
    <t>RCMTP006-FOR</t>
  </si>
  <si>
    <t>PAPER TAPE (W=12MM.) YELLOW</t>
  </si>
  <si>
    <t>RCMTP025-FOR</t>
  </si>
  <si>
    <t>LION RED TAPE SIZE 3 MMX10Y</t>
  </si>
  <si>
    <t>THICKNESS 125 MIC.</t>
  </si>
  <si>
    <t>INNER TUBE : PTFE-0.8x1.8 L=1050MM</t>
  </si>
  <si>
    <t>RFLFE214-MIS</t>
  </si>
  <si>
    <t>HEXAGONAL-POST-SLSBWF10-31</t>
  </si>
  <si>
    <t>RFLFE215-FEC</t>
  </si>
  <si>
    <t>HEAT-DISSAPATION-SHEET-TC-50CAT-20</t>
  </si>
  <si>
    <t>RFLFE216-FEC</t>
  </si>
  <si>
    <t>HEAT-DISSAPATION-SHEET-TC-500CAT-20</t>
  </si>
  <si>
    <t>RS251001-APC</t>
  </si>
  <si>
    <t>PRINTED CIRCUIT BOARD</t>
  </si>
  <si>
    <t>KIZUNA_1.0.0 (4 LAYERS)</t>
  </si>
  <si>
    <t>RS251001-BAN</t>
  </si>
  <si>
    <t>RS251001-INB</t>
  </si>
  <si>
    <t>RS251001-KLC</t>
  </si>
  <si>
    <t>RS251001-TFJ</t>
  </si>
  <si>
    <t>RS251002-TFJ</t>
  </si>
  <si>
    <t>RS251007-OHJ</t>
  </si>
  <si>
    <t>RS251008-FEC</t>
  </si>
  <si>
    <t>THERMISTOR (PB5-43-F4)</t>
  </si>
  <si>
    <t>RS251008-OHJ</t>
  </si>
  <si>
    <t>RS251009-FEC</t>
  </si>
  <si>
    <t>POLYIMIDE TUBE</t>
  </si>
  <si>
    <t>POLYIMIDE TUBE (PIT-FS 0.23X0.02)</t>
  </si>
  <si>
    <t>RS251009-OHJ</t>
  </si>
  <si>
    <t>RS251010-FEC</t>
  </si>
  <si>
    <t>THERMAL FUSE</t>
  </si>
  <si>
    <t>THERMAL FUSE (SM137A)</t>
  </si>
  <si>
    <t>RS251011-FEC</t>
  </si>
  <si>
    <t>SWITCH PANEL (88B3017)</t>
  </si>
  <si>
    <t>RS251058-DIG</t>
  </si>
  <si>
    <t>FLM-HN66_FLF01PELLET_(9x5.5xt0.05)</t>
  </si>
  <si>
    <t>RTHB00000021</t>
  </si>
  <si>
    <t>METALIZED SMF CDM-SMF-M-F</t>
  </si>
  <si>
    <t>RTHB00000022</t>
  </si>
  <si>
    <t>METALIZED PMF CDM-PMF-M-F</t>
  </si>
  <si>
    <t>RTIP00000039</t>
  </si>
  <si>
    <t>FLM-BS79A</t>
  </si>
  <si>
    <t>RTJN00000007</t>
  </si>
  <si>
    <t>FLM-FAW27CC-1.3F</t>
  </si>
  <si>
    <t>RTS250000226</t>
  </si>
  <si>
    <t>SNAP RIVET</t>
  </si>
  <si>
    <t>732-142424-ND</t>
  </si>
  <si>
    <t>ZMOD110_D</t>
  </si>
  <si>
    <t>RUBBER DIE CHANGE</t>
  </si>
  <si>
    <t>CHANGE ARTWORK / AMID0013-THA</t>
  </si>
  <si>
    <t>CNY250203</t>
  </si>
  <si>
    <t>FFT-QA-25-M031</t>
  </si>
  <si>
    <t>IDM Cable product/Cord prepare process</t>
  </si>
  <si>
    <t>F20241201</t>
  </si>
  <si>
    <t>IDM Cable</t>
  </si>
  <si>
    <t>Cord swell 30 Me.(Cord no.60 at 490 mm.from end of cable )</t>
  </si>
  <si>
    <t>FFT-QA-25-M032</t>
  </si>
  <si>
    <t>Feb'25</t>
  </si>
  <si>
    <t>COS Appearance NG</t>
  </si>
  <si>
    <t>SO00044896</t>
  </si>
  <si>
    <t>Path Form</t>
  </si>
  <si>
    <t>Vendor</t>
  </si>
  <si>
    <t>Path Record</t>
  </si>
  <si>
    <t>Result path</t>
    <phoneticPr fontId="3"/>
  </si>
  <si>
    <t>\\192.168.2.100\12_qa\06_Non_Conforming\Material_claim\04_PDF NCR for Inform vendor\Oversea</t>
    <phoneticPr fontId="3"/>
  </si>
  <si>
    <t xml:space="preserve">Result Inspection Replacement </t>
  </si>
  <si>
    <t xml:space="preserve">
Finished Date</t>
  </si>
  <si>
    <t xml:space="preserve">Result </t>
  </si>
  <si>
    <t>Refer check sheet 
Report No.</t>
  </si>
  <si>
    <t>15/01/2025,16/01/2025,4/2/25,17/02/2025,25/02/2025,04/3/25,11/03/2025</t>
  </si>
  <si>
    <t>9MFFT250109-NC=144,9MFFT250116-NC1=108,9MFFT250130-NC=125,9MFFT250213-NC=159,9MFFT250220-NC=108,9MFFT250227-NC=108,9MFFT250306-NC=68</t>
  </si>
  <si>
    <t>NG1-FEC2503001</t>
  </si>
  <si>
    <t>BDX-20250305</t>
  </si>
  <si>
    <t>FFT-QA-25-M033</t>
  </si>
  <si>
    <t>SVY241105</t>
  </si>
  <si>
    <t>Mainbase has the screw holes of X-Camera to be short thread length. 79 Pcs.</t>
  </si>
  <si>
    <t>RG-FNC25015692</t>
  </si>
  <si>
    <t>RG-FNC25015668</t>
  </si>
  <si>
    <t>FFT-QA-25-M034</t>
  </si>
  <si>
    <t>FTM Product /Module process</t>
  </si>
  <si>
    <t>G241122-1</t>
  </si>
  <si>
    <t>Bari 1 Pc.</t>
  </si>
  <si>
    <t>IDM-Jumper product/MU-pigtail process</t>
  </si>
  <si>
    <t>FFT-QA-25-M036</t>
  </si>
  <si>
    <t>IDM-Jumper product/Optical process</t>
  </si>
  <si>
    <t>Optical abnormal 3 Pcs.</t>
  </si>
  <si>
    <t>SO00044950</t>
  </si>
  <si>
    <t>NG1-OKA2503001</t>
  </si>
  <si>
    <t>FFT-QA-25-M037</t>
  </si>
  <si>
    <t>SVY241202</t>
  </si>
  <si>
    <t>Dimension NG 1 Pc.</t>
  </si>
  <si>
    <t>FFT-QA-25-M039</t>
  </si>
  <si>
    <t>Nylon tube bending 227.5 me.</t>
  </si>
  <si>
    <t>FFT-QA-25-M038</t>
  </si>
  <si>
    <t>S179 Product/Top cover process</t>
  </si>
  <si>
    <t>07-Jan-25,19-Feb-25</t>
  </si>
  <si>
    <t>TWI-2406008</t>
  </si>
  <si>
    <t>White haze mark 1 Pc.,Dent( Happens under glass) 1 Pc.</t>
  </si>
  <si>
    <t>GSI-20250318001</t>
  </si>
  <si>
    <t>FFT-QA-25-M040</t>
  </si>
  <si>
    <t>FTM Product /Prepare Assembling process</t>
  </si>
  <si>
    <t>G250228-1</t>
  </si>
  <si>
    <t>Black contamination&gt;0.5 mm² 1 Pc.</t>
  </si>
  <si>
    <t>GCN250301</t>
  </si>
  <si>
    <t>FFT-QA-25-M041</t>
  </si>
  <si>
    <t>(14-15) Aug 24</t>
  </si>
  <si>
    <t>24053517</t>
  </si>
  <si>
    <t>White haze mark 2 Pcs.,Contamination 1 Pc.</t>
  </si>
  <si>
    <t>FFT-QA-25-M042</t>
  </si>
  <si>
    <t xml:space="preserve">IDH product/Body process </t>
  </si>
  <si>
    <t>(5,7) Mar 25</t>
  </si>
  <si>
    <t>G241108-3</t>
  </si>
  <si>
    <t>Bubble 1 Pc.,Silver 1 Pc.</t>
  </si>
  <si>
    <t>FFT-QA-25-M043</t>
  </si>
  <si>
    <t>IDH product/Prepare assembling process</t>
  </si>
  <si>
    <t>(3,5)Mar 25</t>
  </si>
  <si>
    <t>Broken 2 Pcs.,Scratch 4 Pcs.</t>
  </si>
  <si>
    <t>02-Jul-24,17-Sep-24,02-Dec-24</t>
  </si>
  <si>
    <t>G240628-1,G240913-1,G241129-1</t>
  </si>
  <si>
    <t>12-Jan-23,02-Feb-23</t>
  </si>
  <si>
    <t>G230110-1,G230131-1</t>
  </si>
  <si>
    <t>(1,15) Dec-22,02-Feb-23,02-Jul-24</t>
  </si>
  <si>
    <t>G221129-1,G221213-1,G230131-1,G240628-1</t>
  </si>
  <si>
    <t>G220916-1,G221213-1,G230131-1</t>
  </si>
  <si>
    <t>CNSV250301</t>
  </si>
  <si>
    <t>CNSV250302</t>
  </si>
  <si>
    <t>CNY250302</t>
  </si>
  <si>
    <t>CNY250303</t>
  </si>
  <si>
    <t>31/10/2024,28/3/25</t>
  </si>
  <si>
    <t>CNY241002=2,CNY250304=2</t>
  </si>
  <si>
    <t>CNY250305</t>
  </si>
  <si>
    <t>SO00045062</t>
  </si>
  <si>
    <t>SO00045063</t>
  </si>
  <si>
    <t>20031SEI01</t>
  </si>
  <si>
    <t>PC</t>
    <phoneticPr fontId="41" type="noConversion"/>
  </si>
  <si>
    <t>NG2-FEC2504001</t>
  </si>
  <si>
    <t>NB-SEI2504001</t>
  </si>
  <si>
    <t>NG1-SEI2504001</t>
  </si>
  <si>
    <t>FFT-QA-25-M044</t>
  </si>
  <si>
    <t>20250306</t>
  </si>
  <si>
    <t>DC Splitter</t>
  </si>
  <si>
    <t>Gate(&gt;0.2 mm.) 27 Pcs.,Bending(&gt;2.0 mm.) 8 Pcs.,White Mark(&gt;5 mm.) 1 Pc.</t>
  </si>
  <si>
    <t>FFT-QA-25-M045</t>
  </si>
  <si>
    <t>S179 Product/Top cover process,Receive Inspection</t>
  </si>
  <si>
    <t>(01-02)Apr-25</t>
  </si>
  <si>
    <t>25-Jun-24,21-Mar-25</t>
  </si>
  <si>
    <t>TWI-2406008,REPLACEMENT</t>
  </si>
  <si>
    <t>White haze mark 20 Pcs.,Scratch 5 Pcs.</t>
  </si>
  <si>
    <t>SO00045119</t>
  </si>
  <si>
    <t>FFT-QA-25-M046</t>
  </si>
  <si>
    <t xml:space="preserve">FA product/SC assembling process </t>
  </si>
  <si>
    <t>G241004-2</t>
  </si>
  <si>
    <t>GLO1897965</t>
  </si>
  <si>
    <t>FFT-QA-25-M047</t>
  </si>
  <si>
    <t>FA product</t>
  </si>
  <si>
    <t>G250110-2</t>
  </si>
  <si>
    <t>Color abnormal 10 Pcs.</t>
  </si>
  <si>
    <t>FFT-QA-25-M048</t>
  </si>
  <si>
    <t xml:space="preserve">FA product/Assembling process </t>
  </si>
  <si>
    <t>G250131-2</t>
  </si>
  <si>
    <t>Color abnormal 9 Pcs.</t>
  </si>
  <si>
    <t>FFT-QA-25-M049</t>
  </si>
  <si>
    <t>(12,18)Mar 25</t>
  </si>
  <si>
    <t>G241206-3</t>
  </si>
  <si>
    <t>Bubble 1 Pc.,White dot 2 Pcs.,Liquid crystal 2 Pcs.</t>
  </si>
  <si>
    <t>FFT-QA-25-M050</t>
  </si>
  <si>
    <t>Position of connector tilt 1 Pc.</t>
  </si>
  <si>
    <t>NB-SEI2504003</t>
  </si>
  <si>
    <t>Found ferrule broken after opened bag 1 Pc.</t>
  </si>
  <si>
    <t>FFT-QA-25-M051</t>
  </si>
  <si>
    <t>240002605</t>
  </si>
  <si>
    <t>Modulator broken 1 Pc.</t>
  </si>
  <si>
    <t>FFT-QA-25-M052</t>
  </si>
  <si>
    <t>24-25 Mar 25</t>
  </si>
  <si>
    <t>240016272, 240016278, 240016276</t>
  </si>
  <si>
    <t>Waveguide Broken 2 pc. TEC WIRE CUT 1 pc</t>
  </si>
  <si>
    <t>FFT-QA-25-M021(R1)</t>
  </si>
  <si>
    <t>FFT-QA-25-M035(R1)</t>
  </si>
  <si>
    <t>S124 product/Stock warehouse process</t>
  </si>
  <si>
    <t>15-Jan-24,04-Mar-25</t>
  </si>
  <si>
    <t>FSL23298,FSL25014-25030</t>
  </si>
  <si>
    <t>Dimension NG 137 Pcs.</t>
  </si>
  <si>
    <t>20031FUR30</t>
  </si>
  <si>
    <t>FFT-QA-25-M054</t>
  </si>
  <si>
    <t>SVY240916</t>
  </si>
  <si>
    <t>Scratch 1 Pc.</t>
  </si>
  <si>
    <t>FFT-QA-25-M055</t>
  </si>
  <si>
    <t>S179 product/Fiber guide process</t>
  </si>
  <si>
    <t>SVY250104</t>
  </si>
  <si>
    <t>Broken 2 Pcs.</t>
  </si>
  <si>
    <t>FFT-QA-25-M056</t>
  </si>
  <si>
    <t>12-Dec-24,(12,18)Mar 25</t>
  </si>
  <si>
    <t>24-Sep-24,20-Jan-25</t>
  </si>
  <si>
    <t>SVY240915,SVY250107</t>
  </si>
  <si>
    <t>Broken 22 Pcs.</t>
  </si>
  <si>
    <t>FFT-QA-25-M057</t>
  </si>
  <si>
    <t>G250228-2</t>
  </si>
  <si>
    <t>ICZ1-75234</t>
  </si>
  <si>
    <t>Side plate detached 5000 ME</t>
  </si>
  <si>
    <t>19-Sep-22,15-Dec-22,02-Feb-23</t>
  </si>
  <si>
    <t xml:space="preserve">Fiber damage 5 Pcs.  </t>
  </si>
  <si>
    <t>Optical abnormalities 4 Pcs.,Fiber damage 2 Pcs.</t>
  </si>
  <si>
    <t>G250418-6</t>
  </si>
  <si>
    <t>FFT-QA-25-M058</t>
  </si>
  <si>
    <t>Mar'25</t>
  </si>
  <si>
    <t>Nylon tube bending 437.5 ME.</t>
  </si>
  <si>
    <t>SO00045246</t>
  </si>
  <si>
    <t>NG1-SHO2504001</t>
  </si>
  <si>
    <t>FSFFT250417-NC</t>
  </si>
  <si>
    <t>RS001018-FEC</t>
    <phoneticPr fontId="3"/>
  </si>
  <si>
    <t>PC</t>
    <phoneticPr fontId="40" type="noConversion"/>
  </si>
  <si>
    <t>FFT-QA-25-M059</t>
  </si>
  <si>
    <t>S001/product/Main base process</t>
  </si>
  <si>
    <t>SVY240803</t>
  </si>
  <si>
    <t>FFT-QA-25-M060</t>
  </si>
  <si>
    <t>S001 product/Semi process</t>
  </si>
  <si>
    <t>FFT-QA-25-M061</t>
  </si>
  <si>
    <t>FFT-QA-25-M063</t>
  </si>
  <si>
    <t>11 Apr 2025, 17 Apr 2025</t>
  </si>
  <si>
    <t>240016864, 240016873</t>
  </si>
  <si>
    <t>Waveguide Broken 2 Pcs.</t>
  </si>
  <si>
    <t>(21,29)May 24,(07,30)Jan 25,04-Feb-25</t>
  </si>
  <si>
    <t>Turn On S001 machine then it always show "FITEL S001" (Can't go to the normal display) 2 Pcs.,Can't adjust the voltage of I/O Board until (11.57 - 11.77) m VAC. 2 Pcs.,I/O Board make S001 product to restart automatically after do EMC Test. 1 Pc., I/O board is causing the green LED of the S001 product to not light up. 1 Pc.,Insert the battery and press the turn-on button however the S001 product could not turn on. after replacing with a new battery the machine powered on 1 Pc.,Brass socket move out from I/O board. 1 Pc.</t>
  </si>
  <si>
    <t>SO00045272</t>
  </si>
  <si>
    <t>SO00045273</t>
  </si>
  <si>
    <t>SO00045274</t>
  </si>
  <si>
    <t>SO00045275</t>
  </si>
  <si>
    <t>FFT-QA-25-M064</t>
  </si>
  <si>
    <t>20250404</t>
  </si>
  <si>
    <t>Scratch 3 Pcs.,Hook white mark NG 1 Pc.</t>
  </si>
  <si>
    <t>NB-SEI2504006</t>
  </si>
  <si>
    <t xml:space="preserve">NB-SEI2504006	</t>
  </si>
  <si>
    <t>NG2-SEI2504001</t>
  </si>
  <si>
    <t xml:space="preserve">NG2-SEI2504001	</t>
  </si>
  <si>
    <t>NG2-FEC2504003</t>
  </si>
  <si>
    <t>NG4-FEC2504005</t>
  </si>
  <si>
    <t>NG1-SEI2504002</t>
  </si>
  <si>
    <t>FFT-QA-25-M065</t>
  </si>
  <si>
    <t>IDM-C product/Cutting process</t>
  </si>
  <si>
    <t>G250221-1</t>
  </si>
  <si>
    <t xml:space="preserve">IDM-C </t>
  </si>
  <si>
    <t>FFT-QA-25-M066</t>
  </si>
  <si>
    <t>Multi closure product/Cutting process</t>
  </si>
  <si>
    <t>BDX-250002</t>
  </si>
  <si>
    <t>Multi Closure</t>
  </si>
  <si>
    <t>FFT-QA-25-M067</t>
  </si>
  <si>
    <t>FSFFT250424-NC</t>
    <phoneticPr fontId="3"/>
  </si>
  <si>
    <t>Fiber damage 1 P</t>
  </si>
  <si>
    <t>SO00045319</t>
  </si>
  <si>
    <t>FFT-QA-25-M068</t>
  </si>
  <si>
    <t>24 Feb - 3 Mar</t>
  </si>
  <si>
    <t>P0190701</t>
  </si>
  <si>
    <t>Contaminate on Cu-pipe 45 pcs. ,Color change (see orange on surface in hold) 33 pcs. ,Cu-pipe have orange color 12 pcs. ,Burr on Cu-pipe 1 pc. ,Cu-pipe chipping 1 pc.</t>
  </si>
  <si>
    <t>NB-SHO2505001</t>
  </si>
  <si>
    <t>SO00045336</t>
  </si>
  <si>
    <t xml:space="preserve">NG4-FEC2505001	</t>
  </si>
  <si>
    <t>FFT-QA-25-M069</t>
  </si>
  <si>
    <t>5 Feb - 17 Mar</t>
  </si>
  <si>
    <t>FLIB221228</t>
  </si>
  <si>
    <t xml:space="preserve">Strip edge NG </t>
  </si>
  <si>
    <t>FFT-QA-25-M070</t>
  </si>
  <si>
    <t>11 Feb - 28 Apr</t>
  </si>
  <si>
    <t>LD chipping 13 pcs. ,Waste bonding 41 pcs. ,AR Particle 4 pcs.</t>
  </si>
  <si>
    <t>FFT-QA-25-M071</t>
  </si>
  <si>
    <t>S179 product/Lens process</t>
  </si>
  <si>
    <t>SVY241101</t>
  </si>
  <si>
    <t>Lens parameters NG 115 Pcs.</t>
  </si>
  <si>
    <t>SO00045370</t>
  </si>
  <si>
    <t>NG1-SEI2505001</t>
  </si>
  <si>
    <t>FFT-QA-25-M072</t>
  </si>
  <si>
    <t>Small 8 Bunki product/Optical process</t>
  </si>
  <si>
    <t>Optical Inspection RL NG 3 Pcs.</t>
  </si>
  <si>
    <t>FFT-QA-25-M073</t>
  </si>
  <si>
    <t>Multi closure product/Module process</t>
  </si>
  <si>
    <t>20240703</t>
  </si>
  <si>
    <t>Multi closure</t>
  </si>
  <si>
    <t>Dirty 1 Pc.,Contamination 1 Pc.,Character peel off 4 Pcs.</t>
  </si>
  <si>
    <t>SO00045448</t>
  </si>
  <si>
    <t>SO00045450</t>
  </si>
  <si>
    <t>NG1-FEC2505002</t>
  </si>
  <si>
    <t>NG2-FEC2505002</t>
  </si>
  <si>
    <t>FFT-QA-25-M074</t>
  </si>
  <si>
    <t>FSL250401T</t>
  </si>
  <si>
    <t>Stain 12 Pcs.</t>
  </si>
  <si>
    <t>FFT-QA-25-M075</t>
  </si>
  <si>
    <t>FTM Product /Prepare module process</t>
  </si>
  <si>
    <t>G250131-1</t>
  </si>
  <si>
    <t>Color change 1 Set.</t>
  </si>
  <si>
    <t>FFT-QA-25-M076</t>
  </si>
  <si>
    <t>IDM-C product</t>
  </si>
  <si>
    <t>G240823-1</t>
  </si>
  <si>
    <t>FFT-QA-25-M077</t>
  </si>
  <si>
    <t>IDM-C product/Module process</t>
  </si>
  <si>
    <t>R179S001-MAC</t>
  </si>
  <si>
    <t>UMSH-9111MD-1T</t>
  </si>
  <si>
    <t>20031MAC21</t>
  </si>
  <si>
    <t>FFT-QA-25-M079</t>
  </si>
  <si>
    <t>Apr-May'25</t>
  </si>
  <si>
    <t>MACNICA GALAXY</t>
  </si>
  <si>
    <t>FFT-QA-25-M078</t>
  </si>
  <si>
    <t>(19-23)May 25</t>
  </si>
  <si>
    <t>6825050052</t>
  </si>
  <si>
    <t>'25041201'25041302'25042107'25042309'25042511</t>
  </si>
  <si>
    <t>Printing area scratch 3 Pcs.,Scratch 3 Pcs.,White haze mark / Dust 10 Pcs.</t>
  </si>
  <si>
    <t>Nylon tube bending 3517.5 ME.</t>
  </si>
  <si>
    <t>FFT-QA-25-M080</t>
  </si>
  <si>
    <t>Apr'25</t>
  </si>
  <si>
    <t>CNY250506</t>
    <phoneticPr fontId="3"/>
  </si>
  <si>
    <t>SO00045572</t>
  </si>
  <si>
    <t>NB-SHO2506001</t>
  </si>
  <si>
    <t>12-Mar-24,30-Apr-24</t>
  </si>
  <si>
    <t>G240308-2,G240426-2</t>
  </si>
  <si>
    <t>FFT-QA-25-M081</t>
  </si>
  <si>
    <t>IDM-J product</t>
  </si>
  <si>
    <t>G250516-1</t>
  </si>
  <si>
    <t>IDM-J</t>
  </si>
  <si>
    <t>Hook white mark 1 Pc.</t>
  </si>
  <si>
    <t>FFT-QA-25-M082</t>
  </si>
  <si>
    <t>24-Jul-24,23-Oct-24,26-May-25</t>
  </si>
  <si>
    <t>18-Jun-24,10-Sep-24,2-Dec-24</t>
  </si>
  <si>
    <t>G240614-1,G240906-1,G241129-1</t>
  </si>
  <si>
    <t>White mark 4 Pcs.,Black contamination 1 Pc.</t>
  </si>
  <si>
    <t>SO00045666</t>
  </si>
  <si>
    <t>NB-SEI2506002</t>
  </si>
  <si>
    <t>FFT-QA-25-M083</t>
  </si>
  <si>
    <t>Ninja product/LED Adjust process</t>
  </si>
  <si>
    <t>SVY250102</t>
  </si>
  <si>
    <t>Offset over spec 1 Pc.</t>
  </si>
  <si>
    <t>FFT-QA-25-M084</t>
  </si>
  <si>
    <t>SVY241206</t>
  </si>
  <si>
    <t>Lock fell off 1 Pc.</t>
  </si>
  <si>
    <t>FFT-QA-25-M085</t>
  </si>
  <si>
    <t>27-Feb-25,14-Mar-25</t>
  </si>
  <si>
    <t>SVY250106</t>
  </si>
  <si>
    <t>Symbol of battery is abnormal 1 Pc.,Battery has no power 1 Pc.</t>
  </si>
  <si>
    <t>SO00045739</t>
  </si>
  <si>
    <t>SO00045740</t>
  </si>
  <si>
    <t>SO00045741</t>
  </si>
  <si>
    <t>NG1-FEC2506003</t>
  </si>
  <si>
    <t>NG2-PAL2506001</t>
  </si>
  <si>
    <t>NB-SEI2506003</t>
  </si>
  <si>
    <t>NG1-SEI2506001</t>
  </si>
  <si>
    <t>COS Appearance NG 2 Pcs.</t>
  </si>
  <si>
    <t>GAP NG. 1 Pc.</t>
  </si>
  <si>
    <t>not operate1 Pc.</t>
  </si>
  <si>
    <t>FFT-QA-25-M086</t>
  </si>
  <si>
    <t>20250605</t>
  </si>
  <si>
    <t>2503</t>
  </si>
  <si>
    <t>Scratch 2 Pcs.,Contamination 1 Pc.</t>
  </si>
  <si>
    <t>BDX-20250624</t>
  </si>
  <si>
    <t>21/04/2025,20-May-25,11-Jun-25</t>
  </si>
  <si>
    <t>FSL250401T=12 Pcs,FSL250519T=100 Pcs ,FSL250606T=25 Pcs.</t>
  </si>
  <si>
    <t>SO00045841</t>
  </si>
  <si>
    <t>SO00045842</t>
  </si>
  <si>
    <t>FFT-QA-25-M087</t>
  </si>
  <si>
    <t>Ninja product/Main base process</t>
  </si>
  <si>
    <t>SVY250112</t>
  </si>
  <si>
    <t>Incomplete stamping 2 Pcs.</t>
  </si>
  <si>
    <t>FFT-QA-25-M088</t>
  </si>
  <si>
    <t>Ninja product/Heater adrjust process</t>
  </si>
  <si>
    <t>SVY250305</t>
  </si>
  <si>
    <t>Battery symbol is abnormal 1 Pc.</t>
  </si>
  <si>
    <t>NB-FEC2507003</t>
  </si>
  <si>
    <t>NB-FEC2507002</t>
  </si>
  <si>
    <t>SO00045880</t>
  </si>
  <si>
    <t>FFT-QA-25-M089</t>
  </si>
  <si>
    <t>Broken 1 Pc.</t>
  </si>
  <si>
    <t>FFT-QA-25-M090</t>
  </si>
  <si>
    <t>IDM-Cable product/Crod Part Preparetion process</t>
  </si>
  <si>
    <t>F20250319</t>
  </si>
  <si>
    <t>016</t>
  </si>
  <si>
    <t xml:space="preserve">IDM-Cable </t>
  </si>
  <si>
    <t>Cord wave 20 ME.(Cord no.9 from strat  point  of cable ),Cord swell 25 ME.(Cord no.59 at 650 mm.from end of cable )</t>
  </si>
  <si>
    <t>NB-SHO2507001</t>
  </si>
  <si>
    <t>FFT-QA-25-M091</t>
  </si>
  <si>
    <t>S124 product/Edit process</t>
  </si>
  <si>
    <t>B8376</t>
  </si>
  <si>
    <t>Feed Fiber and the machine turn off. 1 Pc.</t>
  </si>
  <si>
    <t>CNY250506</t>
  </si>
  <si>
    <t>FSFFT250424-NC</t>
  </si>
  <si>
    <t>FFT-QA-25-M093</t>
  </si>
  <si>
    <t>Jun'25</t>
  </si>
  <si>
    <t>21/03/2025,14-May-25</t>
  </si>
  <si>
    <t>GSI-20250318001,6825050052F (คืนมาเป็น M-code R179S001-MAG)</t>
  </si>
  <si>
    <t>SO00045934</t>
  </si>
  <si>
    <t>FFT-QA-25-M094</t>
  </si>
  <si>
    <t>FFT-QA-25-M095</t>
  </si>
  <si>
    <t>Sleeve product</t>
  </si>
  <si>
    <t>(6,24)May 25</t>
  </si>
  <si>
    <t>18-Mar-25,12-May-25</t>
  </si>
  <si>
    <t>SVY250308,SVY250503</t>
  </si>
  <si>
    <t>Broken 10 Pcs.</t>
  </si>
  <si>
    <t>FFT-QA-25-M096</t>
  </si>
  <si>
    <t>S179 product/Prepare heater process</t>
  </si>
  <si>
    <t>SVY240911</t>
  </si>
  <si>
    <t>Bari 2 Pcs.</t>
  </si>
  <si>
    <t>Sample check</t>
  </si>
  <si>
    <t>FFT-QA-25-M097</t>
  </si>
  <si>
    <t>S124 product/Top cover process</t>
  </si>
  <si>
    <t>Bari  1 Pc.</t>
  </si>
  <si>
    <t>G250711-5</t>
  </si>
  <si>
    <t>FFT-QA-25-M098</t>
  </si>
  <si>
    <t>5-Mar-25,(1,28)Apr 25</t>
  </si>
  <si>
    <t>16-Oct-24,12-Nov-24,13-Jan-25</t>
  </si>
  <si>
    <t>SVY241005,SVY241101,SVY250104</t>
  </si>
  <si>
    <t>Heater open circuit 35 Pcs.</t>
  </si>
  <si>
    <t>FFT-QA-25-M099</t>
  </si>
  <si>
    <t>SVY050415</t>
  </si>
  <si>
    <t>Mainbase is flat surface at the hole 16 Pcs.</t>
  </si>
  <si>
    <t>FFT-QA-25-M100</t>
  </si>
  <si>
    <t>Henkan Product / Module process</t>
  </si>
  <si>
    <t>20241210</t>
  </si>
  <si>
    <t>Henkan</t>
  </si>
  <si>
    <t>Short shot 2 Pcs.</t>
  </si>
  <si>
    <t>FFT-QA-25-M101</t>
  </si>
  <si>
    <t>23'Jun-03'Jul</t>
  </si>
  <si>
    <t>SV2505048,SV2505078</t>
  </si>
  <si>
    <t>LD CHIPPING 15 Pcs. , WASTE BONDING 2 Pcs</t>
  </si>
  <si>
    <t>FFT-QA-25-M102</t>
  </si>
  <si>
    <t>06'May-23'Jun</t>
  </si>
  <si>
    <t>Particle on Fiber in part AR 6 Pcs. ,Strip edge 2 Pcs.</t>
  </si>
  <si>
    <t>FFT-QA-25-M103</t>
  </si>
  <si>
    <t>17'Apr</t>
  </si>
  <si>
    <t>Contaminate on cu-pipe 10 Pcs. , Color change (see orange) on surface in hole 4 Pcs. , Burr on cu-pipe 2 Pcs.</t>
  </si>
  <si>
    <t>FFT-QA-25-M104</t>
  </si>
  <si>
    <t xml:space="preserve"> fiber size over spec 1 Pc.</t>
  </si>
  <si>
    <t>FFT-QA-25-M106</t>
  </si>
  <si>
    <t>80005325</t>
  </si>
  <si>
    <t>NB-OKA2507001</t>
  </si>
  <si>
    <t>17-Jan-24 = 2 Pc.,24-Jul-24=4</t>
  </si>
  <si>
    <t>NG2-SKT2401001,NG2-SKT2408001</t>
  </si>
  <si>
    <t>FFT-QA-25-M107</t>
  </si>
  <si>
    <t>ST-Holder product/Assemply Process</t>
  </si>
  <si>
    <t>FSL25115</t>
  </si>
  <si>
    <t>R712S003-FSL</t>
  </si>
  <si>
    <t>S712S-SDD-FL COVER</t>
  </si>
  <si>
    <t>S712S-SDD-FL COVER : 76B4607B</t>
  </si>
  <si>
    <t>ST-Holder</t>
  </si>
  <si>
    <t>Small sand blasting on the surface 2 Pcs,Sand coating peels off 9 Pcs,Scratches 7 Pcs.</t>
  </si>
  <si>
    <t>FFT-QA-25-M108</t>
  </si>
  <si>
    <t>R712S004-FSL</t>
  </si>
  <si>
    <t>S712S-SDD-FR COVER</t>
  </si>
  <si>
    <t>S712S-SDD-FR COVER : 76B4608B</t>
  </si>
  <si>
    <t>Small sand blasting on the surface 4 Pcs,Sand coating peels off 4 Pcs,Scratches 1 Pc.</t>
  </si>
  <si>
    <t>FFT-QA-25-M109</t>
  </si>
  <si>
    <t>R712S005-FSL</t>
  </si>
  <si>
    <t>S712S-SDD-BL COVER</t>
  </si>
  <si>
    <t>S712S-SDD-BL COVER : 76B4609B</t>
  </si>
  <si>
    <t>Sand coating peels off 9 Pcs.,Scratches 4 Pcs.,Dent 5 Pcs.</t>
  </si>
  <si>
    <t>FFT-QA-25-M110</t>
  </si>
  <si>
    <t>R712S006-FSL</t>
  </si>
  <si>
    <t>S712S-SDD-BR COVER</t>
  </si>
  <si>
    <t>S712S-SDD-BR COVER : 76B4610B</t>
  </si>
  <si>
    <t>Sand coating peels off 8 Pcs.,Scratches 1 Pc.,Dent 1 Pc.</t>
  </si>
  <si>
    <t>SO00046027</t>
  </si>
  <si>
    <t>NB-FEC2507009</t>
  </si>
  <si>
    <t>FFT-QA-25-M111</t>
  </si>
  <si>
    <t>(2,21) Jul 25</t>
  </si>
  <si>
    <t>24-Jun-25,15-Jul-25</t>
  </si>
  <si>
    <t>SV2506065,SV2507061</t>
  </si>
  <si>
    <t>FLM</t>
  </si>
  <si>
    <t>Terminal ring type mistake 200 Pcs.</t>
  </si>
  <si>
    <t>FFT-QA-25-M112</t>
  </si>
  <si>
    <t>SV2506043</t>
  </si>
  <si>
    <t>Terminal ring type mistake 2 Pcs.</t>
  </si>
  <si>
    <t>FFT-QA-25-M113</t>
  </si>
  <si>
    <t>FFT-QA-25-M114</t>
  </si>
  <si>
    <t>FFT-QA-25-M115</t>
  </si>
  <si>
    <t>FFT-QA-25-M116</t>
  </si>
  <si>
    <t>FFT-QA-25-M117</t>
  </si>
  <si>
    <t>FFT-QA-25-M118</t>
  </si>
  <si>
    <t>FLE Product /LDM process</t>
  </si>
  <si>
    <t>1124</t>
  </si>
  <si>
    <t>CNY250701</t>
  </si>
  <si>
    <t>SO00046113</t>
  </si>
  <si>
    <t>SO00046114</t>
  </si>
  <si>
    <t>SO00046123</t>
  </si>
  <si>
    <t>NG1-FEC2508001</t>
  </si>
  <si>
    <t xml:space="preserve">NG3-FEC2508001	</t>
  </si>
  <si>
    <t>NB-SHO2508001</t>
  </si>
  <si>
    <t>FFT-QA-25-M119</t>
  </si>
  <si>
    <t>Standard fiber laser Product /Mechanical Assemble process</t>
  </si>
  <si>
    <t>SV2412015</t>
  </si>
  <si>
    <t>Standard fiber laser</t>
  </si>
  <si>
    <t>Cooling water Pip bending  can not assembling 1 Pc.</t>
  </si>
  <si>
    <t>Infrom date</t>
    <phoneticPr fontId="3"/>
  </si>
  <si>
    <t>FFT-QA-25-M130</t>
  </si>
  <si>
    <t>SVY250720</t>
  </si>
  <si>
    <t xml:space="preserve">JX220204001-53 </t>
  </si>
  <si>
    <t>Broken 44 Pcs.,Chip 3 Pcs.</t>
  </si>
  <si>
    <t>FFT-QA-25-M131</t>
  </si>
  <si>
    <t>SVY250503</t>
  </si>
  <si>
    <t>Tension broken 11 Pcs.</t>
  </si>
  <si>
    <t>FFT-QA-25-M132</t>
  </si>
  <si>
    <t>FBT Production</t>
  </si>
  <si>
    <t>Aug'25</t>
  </si>
  <si>
    <t>LMO250331,LMO250645,LMO000112,W20220967,W20220951,LMO250686,LMO240223,LMO000131,W20221950,LMO250715</t>
  </si>
  <si>
    <t>Tube NG 66 pcs.,คราบกาว 10 pcs.,คราบน้ำ 33 pcs.,Damage 195 pcs.,dirty 2 psc.</t>
  </si>
  <si>
    <t>FFT-QA-25-M022(R1)</t>
  </si>
  <si>
    <t>Already request boi 14/8/25</t>
  </si>
  <si>
    <t xml:space="preserve">SO00046245
 </t>
  </si>
  <si>
    <t xml:space="preserve">NG1-ZHO2508001	</t>
  </si>
  <si>
    <t>SO00046246</t>
  </si>
  <si>
    <t xml:space="preserve">	NG2-MAC2508001</t>
  </si>
  <si>
    <t>SO00046211</t>
  </si>
  <si>
    <t xml:space="preserve">NB-FEC2508007	</t>
  </si>
  <si>
    <t>FSFFT250904-NB-NC</t>
  </si>
  <si>
    <t>SO00046339</t>
  </si>
  <si>
    <t>NG1-FEC2508003</t>
  </si>
  <si>
    <t>FFT-QA-25-M120</t>
  </si>
  <si>
    <t>09'Jul-05'Aug</t>
  </si>
  <si>
    <t>SV2506020,SV2505078,SV2506064</t>
  </si>
  <si>
    <t>AR Coating 1 Pc.,LD Chipping 27 Pcs. ,Waste bonding 20 Pcs.,Wire bending 1 Pc.</t>
  </si>
  <si>
    <t>SO00046340</t>
  </si>
  <si>
    <t>NG3-FEC2508003</t>
  </si>
  <si>
    <t>FFT-QA-25-M121</t>
  </si>
  <si>
    <t>(18-19)Aug 25</t>
  </si>
  <si>
    <t>Turn on S001 machine then it always show FITEL S001 after using NG of I/O board 1 Pc.,S001 product can't turn on after using NG of I/O board 1 Pc.</t>
  </si>
  <si>
    <t>FFT-QA-25-M122</t>
  </si>
  <si>
    <t>2410</t>
  </si>
  <si>
    <t>Bottom case bending 5 Pcs.</t>
  </si>
  <si>
    <t>SO00046374</t>
  </si>
  <si>
    <t>NB-SHO2509001</t>
  </si>
  <si>
    <t>FFT-QA-25-M123</t>
  </si>
  <si>
    <t>20250731</t>
  </si>
  <si>
    <t xml:space="preserve"> Scratch 1 Pc.</t>
  </si>
  <si>
    <t>FFT-QA-25-M124</t>
  </si>
  <si>
    <t>S179 product/Are adrjust process</t>
  </si>
  <si>
    <t>B8890</t>
  </si>
  <si>
    <t>No frequency detected on the board using a Multimeter 1 Pc.,Cannot charge battery 1 Pc.</t>
  </si>
  <si>
    <t>FFT-QA-25-M125</t>
  </si>
  <si>
    <t>Ninja product /Semi ,Optical ,LED Adjust process</t>
  </si>
  <si>
    <t>09-Sep-24,(12,24)Feb 25,14-Mar-25,18-Apr-25,8-May-25</t>
  </si>
  <si>
    <t>07-Mar-24,28-Oct-25</t>
  </si>
  <si>
    <t>B8921,B7906</t>
  </si>
  <si>
    <t>Monitor show massage "Heater Error 23" message 1 Pc.,Can't increase temp to 450 celsius. 1 Pc.,Abnormal function 3 Pcs.,Machine shutdown 1 Pc.,Show backup battery drop message 2 Pcs.,</t>
  </si>
  <si>
    <t>FFT-QA-25-M126</t>
  </si>
  <si>
    <t>FFT-QA-25-M127</t>
  </si>
  <si>
    <t>LMO250645,LMO250715,LMO250820,LMO250331,LMO000112,LMO250197</t>
  </si>
  <si>
    <t>FIBER DAMAGE 355 PCS.</t>
  </si>
  <si>
    <t>10/09/2025ไป A-ONE</t>
  </si>
  <si>
    <t>SO00046522</t>
  </si>
  <si>
    <t>NG1-FEC2509001</t>
  </si>
  <si>
    <t>FFT-QA-25-M128</t>
  </si>
  <si>
    <t>S251 Product / Pre paretion process</t>
  </si>
  <si>
    <t>24-Jun-25,(3,15,22,30)Jul 25</t>
  </si>
  <si>
    <t>23-Jun-25,22-Jul-25</t>
  </si>
  <si>
    <t>SVY250606,SVY250717</t>
  </si>
  <si>
    <t>RS251002-FEC</t>
  </si>
  <si>
    <t>HEAT SINK</t>
  </si>
  <si>
    <t>HEAT SINK (88D3012D)</t>
  </si>
  <si>
    <t>S251</t>
  </si>
  <si>
    <t>Dent 357 Pcs.,Stain 2 Pcs.,Scratch 48 Pcs.</t>
  </si>
  <si>
    <t>SO00046495</t>
  </si>
  <si>
    <t>NB-FEC2509004</t>
  </si>
  <si>
    <t>FFT-QA-25-M129</t>
  </si>
  <si>
    <t>G250110-3</t>
  </si>
  <si>
    <t>SO00046523</t>
  </si>
  <si>
    <t xml:space="preserve">NB-SEI2509003	</t>
  </si>
  <si>
    <t>FFT-QA-25-M141</t>
  </si>
  <si>
    <t>Sep'25</t>
  </si>
  <si>
    <t>SO00046872</t>
  </si>
  <si>
    <t>NG1-FEC2510005</t>
  </si>
  <si>
    <t>FFT-QA-25-M142</t>
  </si>
  <si>
    <t>FLE Product / Part Preparetion process</t>
  </si>
  <si>
    <t>SV2509034</t>
  </si>
  <si>
    <t>2025-07-28</t>
  </si>
  <si>
    <t>RFLFE237-FEC</t>
  </si>
  <si>
    <t>MAIN-ACC2 CIRCUIT BOARD : 430-J1010-1001</t>
  </si>
  <si>
    <t>IC can be moved 1 Pc.</t>
  </si>
  <si>
    <t>SO00046873</t>
  </si>
  <si>
    <t>NG3-FEC2510002</t>
  </si>
  <si>
    <t>FFT-QA-25-M143</t>
  </si>
  <si>
    <t>FBT Production(Loc106)</t>
  </si>
  <si>
    <t>LMO240605,LMO241074,LMO250170,LMO241241,LMO240476,LMO240557</t>
  </si>
  <si>
    <t>Fiber Tube ng=12pcs.,คราบน้ำ=13pcs.,กาวติดfiber=3pcs.,Damage=149pcs.,furrlue ng=182pcs.</t>
  </si>
  <si>
    <t>FFT-QA-25-M144</t>
  </si>
  <si>
    <t>18 Sep-29 Sep</t>
  </si>
  <si>
    <t>SV2507105,SV2507073</t>
  </si>
  <si>
    <t>FLIB20230113</t>
  </si>
  <si>
    <t>Particle on Fiber in part AR = 5 Pcs.</t>
  </si>
  <si>
    <t>SO00046874</t>
  </si>
  <si>
    <t xml:space="preserve">	NG1-FEC2510004</t>
  </si>
  <si>
    <t>FFT-QA-25-M145</t>
  </si>
  <si>
    <t>SV2504026</t>
  </si>
  <si>
    <t>Contaminate on Cu-pipe = 15 Pcs.</t>
  </si>
  <si>
    <t>NB-FEC2510011</t>
  </si>
  <si>
    <t>FFT-QA-25-M146</t>
  </si>
  <si>
    <t>08 Jul - 11 Sep</t>
  </si>
  <si>
    <t>SV2507031,SV2508010,SV2507073,SV2509033</t>
  </si>
  <si>
    <t>LD chipping = 12 pcs.,Waste bonding  =29 pcs. ,Wire cut = 2 pcs</t>
  </si>
  <si>
    <t>FFT-QA-19-M238</t>
  </si>
  <si>
    <t>FFT-QA-21-M065</t>
  </si>
  <si>
    <t>Jan-Mar 21</t>
  </si>
  <si>
    <t>980 MM</t>
  </si>
  <si>
    <t>Diameter not pass criteria=84,Contaminate=28</t>
  </si>
  <si>
    <t>SO00033940</t>
  </si>
  <si>
    <t>NG1-FEC2104004</t>
  </si>
  <si>
    <t>CNY250801</t>
  </si>
  <si>
    <t>06/01/2023 
21-Oct-25</t>
  </si>
  <si>
    <t xml:space="preserve">B6048 
งานเกินมาจาก INV B8366 </t>
  </si>
  <si>
    <t>FFT-QA-22-M215</t>
  </si>
  <si>
    <t>B8366 (รับ IVN ปี 2523 แต่ INV ไม่ตรงกับงาน พี่ควีนเพิ่งให้เครีย)</t>
  </si>
  <si>
    <t>FFT-QA-23-M136</t>
  </si>
  <si>
    <t>Resin on fiber = 1, Fiber damage = 2, Derami = 5, Fiber Facet dirty = 18, Srtip edge NG = 39</t>
  </si>
  <si>
    <t>SO00040050</t>
  </si>
  <si>
    <t>NG1-FEC2306006</t>
  </si>
  <si>
    <t>11/06/2025,21-Oct-25</t>
  </si>
  <si>
    <t>B8366(รับ IVN ปี 2523 แต่ INV ไม่ตรงกับงาน พี่ควีนเพิ่งให้เครีย) ,C1460</t>
  </si>
  <si>
    <t>B8366(รับ IVN ปี 2523 แต่ INV ไม่ตรงกับงาน พี่ควีนเพิ่งให้เครีย)</t>
  </si>
  <si>
    <t>C1460</t>
  </si>
  <si>
    <t>B8366(Vender คืนงานเก่า INV รับปี 2024 แต่จำนวนไม่ตรงเลยเพิ่งเครีย)</t>
  </si>
  <si>
    <t>CNY250505</t>
  </si>
  <si>
    <t>FFT-QA-23-M211</t>
  </si>
  <si>
    <t>Feb 22 - Jul 23</t>
  </si>
  <si>
    <t>Pipe orange in hole 478 pcs , Pipe dirty 54 pcs , Pipe scratch 37 pcs , Pipe orange on surface 6 pcs , Pipe chipping 2 pcs</t>
  </si>
  <si>
    <t>SO00041209</t>
  </si>
  <si>
    <t xml:space="preserve">NB-FEC2312009	</t>
  </si>
  <si>
    <t>31/8/24</t>
  </si>
  <si>
    <t>SVC240812</t>
  </si>
  <si>
    <t>FFT-QA-24-M004</t>
  </si>
  <si>
    <t>Jun-Nov'23</t>
  </si>
  <si>
    <t>SO00041675</t>
  </si>
  <si>
    <t>NG1-FEC2402003</t>
  </si>
  <si>
    <t>FFT-QA-24-M008</t>
  </si>
  <si>
    <t>Oct-Dec'23</t>
  </si>
  <si>
    <t>Strip edge NG 10 Pcs. , Fiber damage 1 Pc. , Fiber facet dirty 1 Pc.</t>
  </si>
  <si>
    <t>SO00041766</t>
  </si>
  <si>
    <t>NG1-FEC2403001</t>
  </si>
  <si>
    <t>FFT-QA-24-M023</t>
  </si>
  <si>
    <t>PO186693</t>
  </si>
  <si>
    <t>Color change see orange on surface in hole 16 pcs. , Cu-pipe have orange color 5 pcs.</t>
  </si>
  <si>
    <t>SO00042374</t>
  </si>
  <si>
    <t>NB-FEC2405008</t>
  </si>
  <si>
    <t>FFT-QA-24-M040</t>
  </si>
  <si>
    <t>SV2311049</t>
  </si>
  <si>
    <t>Color change see orange on surface in hole 19 pcs. , Cu-pipe have orange color 40 pcs. , Contaminate on Cu-pipe 34 pcs. , Scratch on
cu-pipe 1 pcs.</t>
  </si>
  <si>
    <t>SO00042595</t>
  </si>
  <si>
    <t>NB-FEC2406010</t>
  </si>
  <si>
    <t>FFT-QA-24-M056</t>
  </si>
  <si>
    <t>Jun-Jul'24</t>
  </si>
  <si>
    <t>SV2311049,SV2405080</t>
  </si>
  <si>
    <t xml:space="preserve"> Contaminate on Cu-pipe 38 pcs ,Color change see orange on surface in hole 27 pcs ,Burr on Cu-pipe 2 pcs</t>
  </si>
  <si>
    <t>SO00042827</t>
  </si>
  <si>
    <t>NB-FEC2407009</t>
  </si>
  <si>
    <t>FFT-QA-24-M057</t>
  </si>
  <si>
    <t>Jun-Aug'24</t>
  </si>
  <si>
    <t>LD chipping 46 pcs , AR particle 14 pcs , Waste bonding 5 pcs , Electrode peeling 1 pc</t>
  </si>
  <si>
    <t>SO00043394</t>
  </si>
  <si>
    <t>NG1-FEC2409003</t>
  </si>
  <si>
    <t>FFT-QA-24-M068</t>
  </si>
  <si>
    <t>FFT-QA-24-M074</t>
  </si>
  <si>
    <t>Jul-Sep'24</t>
  </si>
  <si>
    <t>Contaminate on cu-pipe 168 pcs. ,Cu-pipe have orange color 48 pcs. ,Color change (see orange) on surface in hold 25 pcs. ,Burr on Cu-pipe 17 pcs.</t>
  </si>
  <si>
    <t>SO00043524</t>
  </si>
  <si>
    <t>NB-FEC2410005</t>
  </si>
  <si>
    <t>FFT-QA-24-M075</t>
  </si>
  <si>
    <t>Aug-Sep'24</t>
  </si>
  <si>
    <t>Strip edge 36 pcs. ,Particle on fiber in part AR (fiber facet) 1 pc.</t>
  </si>
  <si>
    <t>NG1-FEC2410002</t>
  </si>
  <si>
    <t>FFT-QA-24-M076</t>
  </si>
  <si>
    <t>LD chipping 39 pcs. ,AR particle 6 pcs. ,Waste bonding 3 pcs.</t>
  </si>
  <si>
    <t>24-10-24</t>
  </si>
  <si>
    <t>SO00043648</t>
  </si>
  <si>
    <t>NG1-FEC2410005</t>
  </si>
  <si>
    <t>FFT-QA-24-M081</t>
  </si>
  <si>
    <t>Sep</t>
  </si>
  <si>
    <t xml:space="preserve"> Contaminate on Cu-pipe 82 pcs., Cu-pipe have orange color 8 pcs., Color change (see orange) on surface in hole 6 pcs., Burr on
Cu-pipe 3 pcs.</t>
  </si>
  <si>
    <t>SO00043760</t>
  </si>
  <si>
    <t>NG1-FEC2411001</t>
  </si>
  <si>
    <t>FFT-QA-24-M083</t>
  </si>
  <si>
    <t>Sep-Oct</t>
  </si>
  <si>
    <t>NG1-AON2412001</t>
  </si>
  <si>
    <t>NC-F251111-1</t>
  </si>
  <si>
    <t>FFT-QA-24-M106</t>
  </si>
  <si>
    <t>FFT-QA-25-M006</t>
  </si>
  <si>
    <t>24/03/2025/15/10/25</t>
  </si>
  <si>
    <t>GCN250301,GCN251001(3 Pcs)</t>
  </si>
  <si>
    <t>G250516-5</t>
  </si>
  <si>
    <t>GCN251001</t>
  </si>
  <si>
    <t>FFT-QA-25-M023</t>
  </si>
  <si>
    <t>FFT-QA-25-M028</t>
  </si>
  <si>
    <t>G250613-3</t>
  </si>
  <si>
    <t>CNSV250510</t>
  </si>
  <si>
    <t>CNSV250511</t>
  </si>
  <si>
    <t>FFT-QA-25-M053</t>
  </si>
  <si>
    <t>G251024-4</t>
  </si>
  <si>
    <t>FSL250606T</t>
  </si>
  <si>
    <t>NC-FL251030-1</t>
  </si>
  <si>
    <t>COS Appearance NG 1 Pc.</t>
  </si>
  <si>
    <t>SO00046655</t>
  </si>
  <si>
    <t>NG1-FEC2510001</t>
  </si>
  <si>
    <t>NC-F251111-2</t>
  </si>
  <si>
    <t>CNY250901</t>
  </si>
  <si>
    <t>FFT-QA-25-M133</t>
  </si>
  <si>
    <t>20250501</t>
  </si>
  <si>
    <t>Bubble&gt;1.5 mm 1 Pc.</t>
  </si>
  <si>
    <t>Sampling check</t>
  </si>
  <si>
    <t>SO00046689</t>
  </si>
  <si>
    <t>NB-SHO2510001</t>
  </si>
  <si>
    <t>FFT-QA-25-M134</t>
  </si>
  <si>
    <t>20250902</t>
  </si>
  <si>
    <t xml:space="preserve"> Scratch 2 Pcs.</t>
  </si>
  <si>
    <t>FFT-QA-25-M135</t>
  </si>
  <si>
    <t>Receive production/warehouse process</t>
  </si>
  <si>
    <t>SVY250903</t>
  </si>
  <si>
    <t>RS251006-FEC</t>
  </si>
  <si>
    <t>Material mistake 200 Pcs.</t>
  </si>
  <si>
    <t>SO00046656</t>
  </si>
  <si>
    <t>NB-FEC2510001</t>
  </si>
  <si>
    <t>FFT-QA-25-M136</t>
  </si>
  <si>
    <t xml:space="preserve">Scratch 2 Pcs. </t>
  </si>
  <si>
    <t>FFT-QA-25-M137</t>
  </si>
  <si>
    <t>Scratch &amp; Dent 1 Pc.,Dent 1 Pc.</t>
  </si>
  <si>
    <t>FFT-QA-25-M138</t>
  </si>
  <si>
    <t>Scratch 1 Pc.,Sand blast coating peel 1 Pc.</t>
  </si>
  <si>
    <t>FFT-QA-25-M139</t>
  </si>
  <si>
    <t>16'Aug - 05'Sep</t>
  </si>
  <si>
    <t>SV2507031</t>
  </si>
  <si>
    <t>LD CHIPPING 13 Pcs. , WASTE BONDING 9 Pcs</t>
  </si>
  <si>
    <t>SO00046657</t>
  </si>
  <si>
    <t>NG1-FEC2510002</t>
  </si>
  <si>
    <t>FFT-QA-25-M140</t>
  </si>
  <si>
    <t>SV2509009</t>
  </si>
  <si>
    <t>2025/09/04</t>
  </si>
  <si>
    <t xml:space="preserve">Standard fiber laser </t>
  </si>
  <si>
    <t>Rust 2 Pcs.</t>
  </si>
  <si>
    <t>SO00046704</t>
  </si>
  <si>
    <t>NG3-FEC2510001</t>
  </si>
  <si>
    <t>NC-FL251015</t>
  </si>
  <si>
    <t>FFT-QA-25-M147</t>
  </si>
  <si>
    <t>Nov'24 - Jan'25</t>
  </si>
  <si>
    <t>M2-0724-20426, M2-0724-20510, M2-0724-20517</t>
  </si>
  <si>
    <t>Package back side dent = 2 pcs.,Package Contaminate = 49 pcs.</t>
  </si>
  <si>
    <t>SO00046930</t>
  </si>
  <si>
    <t>NG1-FEC2511001</t>
  </si>
  <si>
    <t>FFT-QA-25-M148</t>
  </si>
  <si>
    <t>FBT Production(Loc103)</t>
  </si>
  <si>
    <t>Oct'25</t>
  </si>
  <si>
    <t>Damage=202pcs.,Fiber connector ng=86pcs.,คราบน้ำ=4pcs.</t>
  </si>
  <si>
    <t>FFT-QA-25-M149</t>
  </si>
  <si>
    <t>FFT-QA-25-M150</t>
  </si>
  <si>
    <t>20251104</t>
  </si>
  <si>
    <t>Hook bending 2 Pcs.,Hook broken 1 Pc.</t>
  </si>
  <si>
    <t>FFT-QA-25-M151</t>
  </si>
  <si>
    <t>SV2510069,SV2510022,SV2509033</t>
  </si>
  <si>
    <t>Electrode peeling=1 pc ,Waste bonding=4,Wire bending</t>
  </si>
  <si>
    <t>FFT-QA-25-M152</t>
  </si>
  <si>
    <t>S179 Product / Packing process</t>
  </si>
  <si>
    <t>SVY250911</t>
  </si>
  <si>
    <t>Toolbag Only one zipper 2 Pcs.</t>
  </si>
  <si>
    <t>FFT-QA-25-M153</t>
  </si>
  <si>
    <t>20-Aug 25,01-Oct 25</t>
  </si>
  <si>
    <t>SVY250715</t>
  </si>
  <si>
    <t xml:space="preserve">Sleeve </t>
  </si>
  <si>
    <t>Chip 2 Pcs.,Broken 85 Pcs.</t>
  </si>
  <si>
    <t>FFT-QA-25-M154</t>
  </si>
  <si>
    <t xml:space="preserve"> Tension Hole 1 Pc.</t>
  </si>
  <si>
    <t>FFT-QA-25-M155</t>
  </si>
  <si>
    <t>FSL25308-1</t>
  </si>
  <si>
    <t>Scratch 1 Pc.,Dent 1 Pc.</t>
  </si>
  <si>
    <t>FFT-QA-25-M156</t>
  </si>
  <si>
    <t>(7,14)Oct 25</t>
  </si>
  <si>
    <t>FSL25308-1,FSL25308-2</t>
  </si>
  <si>
    <t>Sand coating peels off 1 Pc.,Dent 1 Pc.,Scratch 1 Pc.,Small sand blasting 2 Pcs.</t>
  </si>
  <si>
    <t>FFT-QA-25-M157</t>
  </si>
  <si>
    <t>Sand coating peels off 2 Pcs.,Dent 2 Pcs.,Small sand blasting 5 Pcs.</t>
  </si>
  <si>
    <t>ส่ง Material เป็น M-code เดิมให้กลับเวนเดอร์(ส่งไปเป็น Sample)</t>
  </si>
  <si>
    <t>FFT-QA-25-M158</t>
  </si>
  <si>
    <t>S179,S124 Product / Packing process</t>
  </si>
  <si>
    <t>25-Aug-25,24-Sep-25</t>
  </si>
  <si>
    <t>S179,S124</t>
  </si>
  <si>
    <t>FFT-QA-25-M159</t>
  </si>
  <si>
    <t>uTOSA/ Wrie bond</t>
  </si>
  <si>
    <t>SV2508049</t>
  </si>
  <si>
    <t>2000m</t>
  </si>
  <si>
    <t>58006</t>
  </si>
  <si>
    <t>Utosa</t>
  </si>
  <si>
    <t>Wire scratch and not have mark point 1 position</t>
  </si>
  <si>
    <t>FFT-QA-25-M160</t>
  </si>
  <si>
    <t>F20250610</t>
  </si>
  <si>
    <t>YP501669000004</t>
  </si>
  <si>
    <t>IDM-Cable</t>
  </si>
  <si>
    <t>20031OKA17</t>
  </si>
  <si>
    <t>RS001001-PAL</t>
    <phoneticPr fontId="3"/>
  </si>
  <si>
    <t>SO00047157</t>
  </si>
  <si>
    <t>SO00047158</t>
  </si>
  <si>
    <t>SO00047159</t>
  </si>
  <si>
    <t>SO00047161</t>
  </si>
  <si>
    <t>FFT-QA-25-M161</t>
  </si>
  <si>
    <t>SV2506015</t>
  </si>
  <si>
    <t>22052001</t>
  </si>
  <si>
    <t>Color change (see orange on surface in hold)=4 pcs.,Cu-pipe have orange color=11 pcs.,Burr on Cu-pipe=1 pc.,Contaminate on Cu-pipe=2 pcs.</t>
  </si>
  <si>
    <t>The lock is NG it is loose. 1 Pc.,The foam is in the wrong position 1 Pc.</t>
  </si>
  <si>
    <t>Tube Burn (Check 43 m. found. &gt;10 Point ) 957 ME.</t>
  </si>
  <si>
    <t>FFT-QA-25-M162</t>
  </si>
  <si>
    <t>SVY250602</t>
  </si>
  <si>
    <t>Angle not 90 degree 9 Pcs.</t>
  </si>
  <si>
    <t>SO00047257</t>
  </si>
  <si>
    <t>SO00047258</t>
  </si>
  <si>
    <t>FFT-QA-25-M163</t>
  </si>
  <si>
    <t>23 Aug 2024-13 Nov 2025</t>
  </si>
  <si>
    <t>SV2408052,SV2409051,SV2410027,SV2409013,SV2509023,SV2510079,SV2410050,SV2510008,SV2506020,SV2508010,SV2507073,SV2507031,SV2507055</t>
  </si>
  <si>
    <t>AR Chipping=3pcs ,AR Creck=6pcs ,AR particle=8pcs ,Electrode peeling=1pc ,LD Chipping=51pcs ,Waste bonding=2pcs</t>
  </si>
  <si>
    <t>NG1-OKA2512001</t>
  </si>
  <si>
    <t>NG2-PAL2512001</t>
  </si>
  <si>
    <t>55G0-251100005</t>
  </si>
  <si>
    <t>6825050052-D(7)</t>
  </si>
  <si>
    <t>5520-251100056(1)55G0-251100005(1)</t>
  </si>
  <si>
    <t>55G0-251100005(7),5520-251100056(2)</t>
  </si>
  <si>
    <t>RFLFE238-FEC</t>
  </si>
  <si>
    <t>SPACER WITH WASHER (FWSU-330SP)</t>
  </si>
  <si>
    <t>FFT-QA-25-M164</t>
  </si>
  <si>
    <t>Fiber laser engine product/ Mec process</t>
  </si>
  <si>
    <t>SV2511086</t>
  </si>
  <si>
    <t>Fiber laser engine</t>
  </si>
  <si>
    <t>The spacer is abnormally short 42 Pcs.</t>
  </si>
  <si>
    <t>FFT-QA-25-M165</t>
  </si>
  <si>
    <t>S179,S124 product/Top cover process</t>
  </si>
  <si>
    <t>SVY250722</t>
  </si>
  <si>
    <t>Plastic stain in the screw thread 200 Pcs.</t>
  </si>
  <si>
    <t>FFT-QA-25-M166</t>
  </si>
  <si>
    <t>B9890</t>
  </si>
  <si>
    <t>FFT-QA-25-M167</t>
  </si>
  <si>
    <t xml:space="preserve"> E-PF Product / Module process</t>
  </si>
  <si>
    <t>E-PF</t>
  </si>
  <si>
    <t>Contamination &gt;0.3 mm²</t>
  </si>
  <si>
    <t>FFT-QA-25-M168</t>
  </si>
  <si>
    <t>Dc splitter product/IL,RL,TDL Process</t>
  </si>
  <si>
    <t>07-Jan-25,04-Aug-25</t>
  </si>
  <si>
    <t>80004994,'80008259</t>
  </si>
  <si>
    <t>RL NG 4 Pcs.,IL NG 1 Pc.</t>
  </si>
  <si>
    <t>F20251201</t>
  </si>
  <si>
    <t>SO00047363</t>
  </si>
  <si>
    <t>SO00047364</t>
  </si>
  <si>
    <t>SO00047365</t>
  </si>
  <si>
    <t>SO00047366</t>
  </si>
  <si>
    <t>SO00047367</t>
  </si>
  <si>
    <t>NG1-FEC2512004</t>
  </si>
  <si>
    <t>NB-FEC2512015</t>
  </si>
  <si>
    <t>NG1-FEC2512005</t>
  </si>
  <si>
    <t>NG1-FEC2512006</t>
  </si>
  <si>
    <t>NG4-FEC2512001</t>
  </si>
  <si>
    <t>PCB Chip 1 Pc.</t>
  </si>
  <si>
    <t>C1786</t>
  </si>
  <si>
    <t>SO00047418</t>
  </si>
  <si>
    <t>SO00047419</t>
  </si>
  <si>
    <t>SO00047420</t>
  </si>
  <si>
    <t>SO00047421</t>
  </si>
  <si>
    <t>NC-FL251212</t>
  </si>
  <si>
    <t>FFT-QA-25-M169</t>
  </si>
  <si>
    <t xml:space="preserve">IDM-J </t>
  </si>
  <si>
    <t>Optical Inspection RL NG 23 Pcs.</t>
  </si>
  <si>
    <t>FFT-QA-25-M170</t>
  </si>
  <si>
    <t>Optical Inspection IL NG 18 Pcs.</t>
  </si>
  <si>
    <t>FFT-QA-25-M171</t>
  </si>
  <si>
    <t>Optical Inspection PDL NG 24 Pcs.</t>
  </si>
  <si>
    <t>NG1-FEC2512001</t>
  </si>
  <si>
    <t>NG1-SHO2512001</t>
  </si>
  <si>
    <t>NG1-FEC2512002</t>
  </si>
  <si>
    <t xml:space="preserve">NB-FEC2512001	</t>
  </si>
  <si>
    <t>NG1-FEC2512008</t>
  </si>
  <si>
    <t>NG3-FEC2512002</t>
  </si>
  <si>
    <t>NG1-SHO2512002</t>
  </si>
  <si>
    <t>NG1-ZHO2512001</t>
  </si>
  <si>
    <t>SDSE(SAITAMA)</t>
  </si>
  <si>
    <t>SDSE(TOKE)</t>
  </si>
  <si>
    <t>FFT-QA-25-M092</t>
  </si>
  <si>
    <t>23 Oct-29 Oct</t>
  </si>
  <si>
    <t>FFT-QA-26-M001</t>
  </si>
  <si>
    <t>S001 product/Part Preparetion process</t>
  </si>
  <si>
    <t>Turn On S001 machine then it always show FITEL S001 after using NG of I/O Board. 1 PC.</t>
  </si>
  <si>
    <t>SO00047515</t>
  </si>
  <si>
    <t>FFT-QA-26-M002</t>
  </si>
  <si>
    <t>Dec'25</t>
  </si>
  <si>
    <t>Damage=229 pcs.,คราบกาว=1 pc.,คราบน้ำ=3 pcs.,connector ng=3 pcs.,=tube ng=7 pcs.</t>
  </si>
  <si>
    <t>FFT-QA-26-M003</t>
  </si>
  <si>
    <t>Damage=144 pcs.,คราบกาว=2 pcs.,คราบน้ำ=6 pcs.,connector ng=42 pcs.,=tube ng=2pcs.</t>
  </si>
  <si>
    <t>NG1-SEI2601001</t>
  </si>
  <si>
    <t>FFT-QA-26-M004</t>
  </si>
  <si>
    <t>SVY251113</t>
  </si>
  <si>
    <t>2025-04</t>
  </si>
  <si>
    <t>FFT-QA-26-M005</t>
  </si>
  <si>
    <t>S124 product/Edit Parameter process</t>
  </si>
  <si>
    <t>NG Case 1 :Turn ON then show Battery Charge Mode 2.,NG Case 2 :Monitor shows the blinking or show black then white monitor. 1 Pc.</t>
  </si>
  <si>
    <t>FFT-QA-26-M006</t>
  </si>
  <si>
    <t>2025-10</t>
  </si>
  <si>
    <t>Crack 19 Pcs.,Broken 74 Pcs.</t>
  </si>
  <si>
    <t>FFT-QA-26-M007</t>
  </si>
  <si>
    <t>23'Oct-18'Nov</t>
  </si>
  <si>
    <t>SV2510069,SV2511044,SV2510069</t>
  </si>
  <si>
    <t>Electrode peeling=1pc,Waste bonding=5pcs,LD chipping=6pcs</t>
  </si>
  <si>
    <t>FFT-QA-26-M008</t>
  </si>
  <si>
    <t>29-Jan-2026 ส่งไป FEC-FS</t>
  </si>
  <si>
    <t>SO00047612</t>
  </si>
  <si>
    <t>FFT-QA-26-M009</t>
  </si>
  <si>
    <t>PER LOWER THAN 28dB=297 pcs.</t>
  </si>
  <si>
    <t>NB-FEC2601012</t>
  </si>
  <si>
    <t>Chip in the middle of the cover glass 206 Pcs.</t>
  </si>
  <si>
    <t>SO00047632</t>
  </si>
  <si>
    <t>NG2-FEC2601001</t>
  </si>
  <si>
    <t>FFT-QA-26-M010</t>
  </si>
  <si>
    <t>FTM  product/ Pre module  process</t>
  </si>
  <si>
    <t>(4,25)Aug 25</t>
  </si>
  <si>
    <t xml:space="preserve">
G250801-1,G250822-1</t>
  </si>
  <si>
    <t>Swell Diameter&gt;1mm. 1 Pc.,Area scratch &gt; 20 % 1 Pc.</t>
  </si>
  <si>
    <t>NG1-FEC2602001</t>
  </si>
  <si>
    <t>FFT-QA-26-M011</t>
  </si>
  <si>
    <t>IDM-C product/Optical process</t>
  </si>
  <si>
    <t>Optical NG 24 Pcs.</t>
  </si>
  <si>
    <t>FSFFT260205-NB-NC(รอคอนเฟริม)</t>
  </si>
  <si>
    <t>FFT-QA-26-M012</t>
  </si>
  <si>
    <t>Fiber laser engine  product/Inspection process</t>
  </si>
  <si>
    <t>06-Jan-26,4-Feb-26</t>
  </si>
  <si>
    <t>07-Oct 25,11-Nov-25</t>
  </si>
  <si>
    <t>SV2510007,SV2511023</t>
  </si>
  <si>
    <t>The laser light is not coming out 1 Pc.,Main board cannot tuning the sub acc board at VR403 1 Pc.</t>
  </si>
  <si>
    <t>FFT-QA-26-M013</t>
  </si>
  <si>
    <t>Jan'26</t>
  </si>
  <si>
    <t>FFT-QA-26-M014</t>
  </si>
  <si>
    <t>SO00047683</t>
  </si>
  <si>
    <t>SO00047772</t>
  </si>
  <si>
    <t>NG1-SEI2602001</t>
  </si>
  <si>
    <t>FFT-QA-26-M015</t>
  </si>
  <si>
    <t>SV2508036</t>
  </si>
  <si>
    <t>Cu-pipe have orange color = 5 Pcs,Color change (see orange on surface in hold)=2 Pcs</t>
  </si>
  <si>
    <t>FFT-QA-26-M016</t>
  </si>
  <si>
    <t>07-Oct-26,21-Oct-26,11-Nov-26</t>
  </si>
  <si>
    <t>SV2510058,SV2511019</t>
  </si>
  <si>
    <t>Wire bending =2 Pcs,AR Crack =2 Pcs,AR particle=8,LD Chipping=13 Pcs.</t>
  </si>
  <si>
    <t>FFT-QA-26-M017</t>
  </si>
  <si>
    <t>FFT-QA-26-M018</t>
  </si>
  <si>
    <t>SO00047820</t>
  </si>
  <si>
    <t>IDM-J product/Optical process</t>
  </si>
  <si>
    <t>Optical NG 11 Pcs.</t>
  </si>
  <si>
    <t>(11-13,15)Sep 25,(22,27,29)Nov 25</t>
  </si>
  <si>
    <t>NG3-FEC2602002</t>
  </si>
  <si>
    <t>FFT-QA-26-M020</t>
  </si>
  <si>
    <t>IDM-C product/Close lid process</t>
  </si>
  <si>
    <t>G251010-1</t>
  </si>
  <si>
    <t>Contamination 1 Pc.</t>
  </si>
  <si>
    <t>FFT-QA-26-M021</t>
  </si>
  <si>
    <t>Fiber laser engine product/Inspection process</t>
  </si>
  <si>
    <t>SV2601059</t>
  </si>
  <si>
    <t>The laser light is not coming out 1 Pc.</t>
  </si>
  <si>
    <t>FFT-QA-26-M022</t>
  </si>
  <si>
    <t>Standard Fiber laser product/mecanicial process</t>
  </si>
  <si>
    <t>SV2507010</t>
  </si>
  <si>
    <t>Standard Fiber laser</t>
  </si>
  <si>
    <t>Melted yarn 1 Pc.</t>
  </si>
  <si>
    <t>20031FFO16</t>
  </si>
  <si>
    <t>Oversea</t>
  </si>
  <si>
    <t>SO00047877</t>
  </si>
  <si>
    <t>SO00047878</t>
  </si>
  <si>
    <t>NG1-FEC2603001</t>
  </si>
  <si>
    <t>NG1-SEI2603001</t>
  </si>
  <si>
    <t>FFT-C-20260318</t>
  </si>
  <si>
    <t>G250516-5/GCN260301(3pcs)/G260306-3</t>
  </si>
  <si>
    <t>CNY260301</t>
  </si>
  <si>
    <t>GCN260301</t>
  </si>
  <si>
    <t>NC-FL260324</t>
  </si>
  <si>
    <t>SO00048029</t>
  </si>
  <si>
    <t>NG1-FEC2603005</t>
  </si>
  <si>
    <t>SO00048030</t>
  </si>
  <si>
    <t>NG4-FEC2603001</t>
  </si>
  <si>
    <t>PER LOWER THAN 28dB=621 pcs.</t>
  </si>
  <si>
    <t>SO00048031</t>
  </si>
  <si>
    <t>SO00048032</t>
  </si>
  <si>
    <t>SO00047914</t>
  </si>
  <si>
    <t>NG1-FFO2603001</t>
  </si>
  <si>
    <t>SO00047913</t>
  </si>
  <si>
    <t>NG1-FEC2603002</t>
  </si>
  <si>
    <t>SO00047935</t>
  </si>
  <si>
    <t>NG1-SEI2603002</t>
  </si>
  <si>
    <t>SO00047938</t>
  </si>
  <si>
    <t>NG3-FEC2603003</t>
  </si>
  <si>
    <t>SO00047942</t>
  </si>
  <si>
    <t>FFT-QA-26-M023</t>
  </si>
  <si>
    <t>Feb'26</t>
  </si>
  <si>
    <t>PER LOWER THAN 28dB=540 pcs.</t>
  </si>
  <si>
    <t>SO00048152</t>
  </si>
  <si>
    <t>NG1-FEC2604001</t>
  </si>
  <si>
    <t>FFT-QA-26-M024</t>
  </si>
  <si>
    <t>20260302</t>
  </si>
  <si>
    <t>1125</t>
  </si>
  <si>
    <t>Hook short shot 1 Pc.</t>
  </si>
  <si>
    <t>SO00048070</t>
  </si>
  <si>
    <t>NB-SHO2604001</t>
  </si>
  <si>
    <t>FFT-QA-26-M025</t>
  </si>
  <si>
    <t>SO00048236</t>
  </si>
  <si>
    <t>NG1-FEC2604002</t>
  </si>
  <si>
    <t>FFT-QA-26-M026</t>
  </si>
  <si>
    <t>FFT-QA-26-M027</t>
  </si>
  <si>
    <t>IDM-J product/Optical IL process</t>
  </si>
  <si>
    <t>Optical  IL NG 1 Pc.</t>
  </si>
  <si>
    <t>SO00048209</t>
  </si>
  <si>
    <t>NG1-SEI2604001</t>
  </si>
  <si>
    <t>FFT-QA-26-M028</t>
  </si>
  <si>
    <t>IDM-J product/Optical IL,PDL,RL process</t>
  </si>
  <si>
    <t>04-Aug-25,13-Jan-26</t>
  </si>
  <si>
    <t>Optical  IL NG 3 Pcs.,Optical  PDL NG 2 Pcs.,Optical  RL NG 1 Pc.</t>
  </si>
  <si>
    <t>FFT-QA-26-M029</t>
  </si>
  <si>
    <t>Mar'26</t>
  </si>
  <si>
    <t>NC-QA260318</t>
  </si>
  <si>
    <t>\\192.168.2.100\12_qa\06_Non_Conforming\Material_claim\04_PDF NCR for Inform vendor\Form.xlsx</t>
    <phoneticPr fontId="3"/>
  </si>
  <si>
    <t>FFT-QA-26-M030</t>
  </si>
  <si>
    <t>Small 8 bunki  product/PLC Split  process</t>
  </si>
  <si>
    <t>G260313-1</t>
  </si>
  <si>
    <t xml:space="preserve">Small 8 bunki  </t>
  </si>
  <si>
    <t>PET case optical splitter deformed. 26 Pcs</t>
  </si>
  <si>
    <t>SO00048311</t>
  </si>
  <si>
    <t>NG1-SEI2604002</t>
  </si>
  <si>
    <t>Customer request</t>
    <phoneticPr fontId="3"/>
  </si>
  <si>
    <t>DIS-260402-01</t>
  </si>
  <si>
    <t>G260424-3</t>
  </si>
  <si>
    <t>CNY260401</t>
    <phoneticPr fontId="3"/>
  </si>
  <si>
    <t>SO00048402</t>
  </si>
  <si>
    <t>NG1-FEC2605001</t>
  </si>
  <si>
    <t>FFT-QA-26-M031</t>
  </si>
  <si>
    <t>SV2602023</t>
  </si>
  <si>
    <t>Fiber laser cavity product/TFB Assembling  process</t>
  </si>
  <si>
    <t>180613422-02</t>
  </si>
  <si>
    <t>Fiber laser cavity</t>
  </si>
  <si>
    <t>Delamination &amp; Bubble 646.5 ME</t>
  </si>
  <si>
    <t>sample260507-01</t>
    <phoneticPr fontId="3"/>
  </si>
  <si>
    <t>FL010</t>
    <phoneticPr fontId="3"/>
  </si>
  <si>
    <t>FFT-QA-26-M032</t>
    <phoneticPr fontId="3"/>
  </si>
  <si>
    <t>21/04/2025/,10/03/26</t>
    <phoneticPr fontId="3"/>
  </si>
  <si>
    <t>G250418-6, G260306-3</t>
    <phoneticPr fontId="3"/>
  </si>
  <si>
    <t>RFLFE237-FEC</t>
    <phoneticPr fontId="3"/>
  </si>
  <si>
    <t>FEC-FL</t>
    <phoneticPr fontId="3"/>
  </si>
  <si>
    <t>GCN260501</t>
    <phoneticPr fontId="3"/>
  </si>
  <si>
    <t>SO00048543</t>
  </si>
  <si>
    <t>SO00048549</t>
  </si>
  <si>
    <t>Q'ty of return/ scrap</t>
  </si>
  <si>
    <t>FFT-QA-26-M033</t>
  </si>
  <si>
    <t>10-Feb - 8-Apr'26</t>
  </si>
  <si>
    <t>SV2603029,SV2601072,SV2602028,SV2512031,SV2601005</t>
  </si>
  <si>
    <t>FFT-QA-26-M034</t>
  </si>
  <si>
    <t>SV2512022</t>
  </si>
  <si>
    <t>PO341105</t>
  </si>
  <si>
    <t>Cu-pipe have orange color 2 pcs. ,Contaminate on Cu-pipe 11 pcs. ,Color change (see orange on surface in hold) 1 pc.</t>
  </si>
  <si>
    <t>FFT-QA-26-M035</t>
  </si>
  <si>
    <t>SV2510079</t>
  </si>
  <si>
    <t>20220224M</t>
  </si>
  <si>
    <t>V-grove small size</t>
  </si>
  <si>
    <t>FFT-QA-26-M036</t>
  </si>
  <si>
    <t>14-Jan - 18-Mar'26</t>
  </si>
  <si>
    <t>SV2603029,SV2601027,SV2602028,SV2512022,SV2511019</t>
  </si>
  <si>
    <t>Wire bending 1 pc ,AR Chipping 1 pc ,Electrode peeling 2 pcs. ,AR particle 6 pcs. ,Waste bonding 7 pcs. ,LD Chipping 4 pcs.</t>
  </si>
  <si>
    <t>Electrode peeling 1 pc, AR crack 1 pc ,Waste bonding 8 pcs ,LD chipping 28 pcs.</t>
  </si>
  <si>
    <t>NG3-LID2605001</t>
  </si>
  <si>
    <t>NG3-FEC2605002</t>
  </si>
  <si>
    <t>FFT-QA-26-M037</t>
  </si>
  <si>
    <t>Apr'26</t>
  </si>
  <si>
    <t>Damage=156,connector ng=41,Tube ng=1</t>
  </si>
  <si>
    <t>FFT-QA-26-M038</t>
  </si>
  <si>
    <t xml:space="preserve">FBT </t>
  </si>
  <si>
    <t>PER LOWER THAN 28dB=280 pcs.</t>
  </si>
  <si>
    <t>FFT-QA-26-M039</t>
  </si>
  <si>
    <t>20260108</t>
  </si>
  <si>
    <t>Crease</t>
  </si>
  <si>
    <t>FFT-QA-26-M040</t>
  </si>
  <si>
    <t>S124/Packing</t>
  </si>
  <si>
    <t>Scratch can be felt with fingernails 2 Pcs.</t>
  </si>
  <si>
    <t>Multi closure/Appearance check process</t>
    <phoneticPr fontId="3"/>
  </si>
  <si>
    <t>CNSV260501</t>
    <phoneticPr fontId="3"/>
  </si>
  <si>
    <t>SO00048645</t>
    <phoneticPr fontId="3"/>
  </si>
  <si>
    <t>FFT-QA-26-M041</t>
  </si>
  <si>
    <t>Henkan/Module</t>
  </si>
  <si>
    <t>Body case broken 1 Pc.</t>
  </si>
  <si>
    <t>NG1-FEC2606001</t>
    <phoneticPr fontId="3"/>
  </si>
  <si>
    <t>SO00048713</t>
  </si>
  <si>
    <t>SO00048715</t>
  </si>
  <si>
    <t>SO00048714</t>
  </si>
  <si>
    <t>SO00048720</t>
  </si>
  <si>
    <t>SO00048733</t>
  </si>
  <si>
    <t>FFT-QA-26-M042</t>
  </si>
  <si>
    <t>May'26</t>
  </si>
  <si>
    <t>PER LOWER THAN 28dB=268 pcs.</t>
  </si>
  <si>
    <t>20260609-1</t>
    <phoneticPr fontId="3"/>
  </si>
  <si>
    <t>NG1-FEC2606003</t>
  </si>
  <si>
    <t>NG2-FEC2606001</t>
  </si>
  <si>
    <t xml:space="preserve">NB-SHO2606001	</t>
  </si>
  <si>
    <t>NG1-SHO2606001</t>
  </si>
  <si>
    <t>SO00048842</t>
  </si>
  <si>
    <t>NG1-FEC2606007</t>
  </si>
  <si>
    <t>FFT-QA-26-M043</t>
  </si>
  <si>
    <t>SV2605071</t>
  </si>
  <si>
    <t>FFT-QA-26-M044</t>
  </si>
  <si>
    <t>SV2605076</t>
  </si>
  <si>
    <t>FFT-QA-26-M045</t>
  </si>
  <si>
    <t>Bend</t>
  </si>
  <si>
    <t>Deformed</t>
  </si>
  <si>
    <t xml:space="preserve">Deformed,Rusty,Paint Peeling
</t>
  </si>
  <si>
    <t>SO00048886</t>
  </si>
  <si>
    <t>SO00048887</t>
  </si>
  <si>
    <t>SO00048888</t>
  </si>
  <si>
    <t>NG3-FEC2606002</t>
  </si>
  <si>
    <t>NB-FFC2606011</t>
  </si>
  <si>
    <t>FBT203M</t>
    <phoneticPr fontId="3"/>
  </si>
  <si>
    <t>CNSV260601</t>
    <phoneticPr fontId="3"/>
  </si>
  <si>
    <t>FBT204M</t>
    <phoneticPr fontId="3"/>
  </si>
  <si>
    <t>CNY260601</t>
    <phoneticPr fontId="3"/>
  </si>
  <si>
    <t>RSL00019-FEC</t>
    <phoneticPr fontId="3"/>
  </si>
  <si>
    <t>28/02/2023 ,30-Jun-26</t>
    <phoneticPr fontId="3"/>
  </si>
  <si>
    <t>30/04/2026,30-Jun-26</t>
    <phoneticPr fontId="3"/>
  </si>
  <si>
    <t>SV2302106=134 ,CYN260601=1852</t>
    <phoneticPr fontId="3"/>
  </si>
  <si>
    <t>CNY260401=13,CYN260601=1</t>
    <phoneticPr fontId="3"/>
  </si>
  <si>
    <t>CYN260601</t>
    <phoneticPr fontId="3"/>
  </si>
  <si>
    <t>FEC-FS</t>
    <phoneticPr fontId="3"/>
  </si>
  <si>
    <t>RS251006-FEC</t>
    <phoneticPr fontId="3"/>
  </si>
  <si>
    <t>RHB00001-FEC</t>
    <phoneticPr fontId="3"/>
  </si>
  <si>
    <t>RNJFS001-PAL</t>
    <phoneticPr fontId="3"/>
  </si>
  <si>
    <t>R124S073-FEC</t>
    <phoneticPr fontId="3"/>
  </si>
  <si>
    <t>RFLFE159-FEC</t>
    <phoneticPr fontId="3"/>
  </si>
  <si>
    <t>RFLFE169-FEC</t>
    <phoneticPr fontId="3"/>
  </si>
  <si>
    <t>RFLFE168-FEC</t>
    <phoneticPr fontId="3"/>
  </si>
  <si>
    <t>RFLFE167-FEC</t>
    <phoneticPr fontId="3"/>
  </si>
  <si>
    <t>RFLFE163-FEC</t>
    <phoneticPr fontId="3"/>
  </si>
  <si>
    <t>RFLFE164-FEC</t>
    <phoneticPr fontId="3"/>
  </si>
  <si>
    <t>RFLFE166-FEC</t>
    <phoneticPr fontId="3"/>
  </si>
  <si>
    <t>RFLFE158-FEC</t>
    <phoneticPr fontId="3"/>
  </si>
  <si>
    <t>RFLFE237-FEC</t>
    <phoneticPr fontId="3"/>
  </si>
  <si>
    <t>RFLSD019-FEC</t>
    <phoneticPr fontId="3"/>
  </si>
  <si>
    <t>24/03/25,15/10/25,04/03/26</t>
  </si>
  <si>
    <t>19/05/25,04/03/26,10/03/26</t>
  </si>
  <si>
    <t>GCN260301(2pcs)</t>
  </si>
  <si>
    <t>FFT-QA-26-M046</t>
  </si>
  <si>
    <t>Receive Inspection/Sleeve</t>
  </si>
  <si>
    <t>3-Feb-26,21-Apr-26,14-May-26</t>
  </si>
  <si>
    <t>25-Nov-25,27-Apr-26</t>
  </si>
  <si>
    <t>SVY251113,SVY260411</t>
  </si>
  <si>
    <t>Chip 493 Pcs., Broken 11 Pcs.</t>
  </si>
  <si>
    <t>FFT-QA-26-M047</t>
  </si>
  <si>
    <t>IDM-CABLE/Cable cutting</t>
  </si>
  <si>
    <t xml:space="preserve"> F20260505</t>
  </si>
  <si>
    <t>Scratch 13 Me.</t>
  </si>
  <si>
    <t>FFT-QA-26-M048</t>
  </si>
  <si>
    <t>Jun'26</t>
  </si>
  <si>
    <t>FFT-QA-26-M049</t>
  </si>
  <si>
    <t>S179/Packing</t>
  </si>
  <si>
    <t>10-Feb-26,10-Mar-26,,24-Mar-26</t>
  </si>
  <si>
    <t>SVY260319,SVY260305,SVY260203</t>
  </si>
  <si>
    <t>One Zipper 2 pcs..,The zipper is in the wrong direction 1 Pc.</t>
  </si>
  <si>
    <t>4-Mar-26,23-Mar-26,6-May-26</t>
  </si>
  <si>
    <t>FFT-QA-26-M050</t>
  </si>
  <si>
    <t>SVY260305</t>
  </si>
  <si>
    <t>SO00049168</t>
  </si>
  <si>
    <t>FFT-QA-26-M051</t>
  </si>
  <si>
    <t>S179/Fiber guide</t>
  </si>
  <si>
    <t>24-Apr-26,25-Apr-26</t>
  </si>
  <si>
    <t>SVY260109</t>
  </si>
  <si>
    <t>No pin 3 Pcs. , Dent 3 Pcs.</t>
  </si>
  <si>
    <t>FFT-QA-26-M052</t>
  </si>
  <si>
    <t>S179/LED</t>
  </si>
  <si>
    <t>SVY260504</t>
  </si>
  <si>
    <t>No Screw hole  2 Pcs.</t>
  </si>
  <si>
    <t>FFT-QA-26-M053</t>
  </si>
  <si>
    <t>Sleeve/Assy</t>
  </si>
  <si>
    <t>Broken  3 Pcs. ,  Chip 4 pcs.</t>
  </si>
  <si>
    <t>FFT-QA-26-M054</t>
  </si>
  <si>
    <t>PER LOWER THAN 28dB=400 pcs.</t>
  </si>
  <si>
    <t>SO00049194</t>
  </si>
  <si>
    <t>FFT-QA-26-M055</t>
  </si>
  <si>
    <t>F20260508</t>
  </si>
  <si>
    <t>Cabel scratch 2 M.</t>
  </si>
  <si>
    <t>PER LOWER THAN 28dB=260 pcs.</t>
  </si>
  <si>
    <t>NG1-FEC2607001</t>
  </si>
  <si>
    <t>FFT-QA-26-M056</t>
  </si>
  <si>
    <t>22-Apr - 21-May '26</t>
  </si>
  <si>
    <t>SV2604058,SV2605084,SV2603029</t>
  </si>
  <si>
    <t>Electrode peeling 2 pcs. ,LD Scratch 2 pcs. ,LD Chipping 18 pcs.</t>
  </si>
  <si>
    <t>FFT-QA-26-M057</t>
  </si>
  <si>
    <t>6-May - 18-Jun'26</t>
  </si>
  <si>
    <t>SV2604058,SV2605006,SV2603029,SV2605084</t>
  </si>
  <si>
    <t>Electrode peeling 1 pc. ,Waste bonding 4 pcs. ,LD Chipping 21 pcs.</t>
  </si>
  <si>
    <t>SO00049256</t>
  </si>
  <si>
    <t>SO00049274</t>
  </si>
  <si>
    <t>NG2-FEC2607004</t>
  </si>
  <si>
    <t>NG2-FEC2607001</t>
  </si>
  <si>
    <t>NG1-OKA2608001</t>
  </si>
  <si>
    <t>G260731-4</t>
  </si>
  <si>
    <t>FFT-QA-26-M058</t>
  </si>
  <si>
    <t>FIBER LASER ENGINE/Prepare</t>
  </si>
  <si>
    <t>SV2607004</t>
  </si>
  <si>
    <t>RFLFE239-FEC</t>
  </si>
  <si>
    <t>SUB-ACC2 CIRCUIT BOARD 430-J1011-0003</t>
  </si>
  <si>
    <t xml:space="preserve"> The RVE board and the serial board do not match the M-Code. 5 Pcs.</t>
  </si>
  <si>
    <t>FFT-QA-26-M059</t>
  </si>
  <si>
    <t>Stockin</t>
  </si>
  <si>
    <t>SV2607045</t>
  </si>
  <si>
    <t>-.</t>
  </si>
  <si>
    <t>Material Mistake 3 Pcs.</t>
  </si>
  <si>
    <t>FFT-QA-26-M060</t>
  </si>
  <si>
    <t>FIBER LASER ENGINE/Inspection process</t>
  </si>
  <si>
    <t>SV2607017</t>
  </si>
  <si>
    <t>DRIVE BOARD : 430-J1044-0001</t>
  </si>
  <si>
    <t>Drive Board Data NG 1 Pc.</t>
  </si>
  <si>
    <t>FFT-QA-26-M061</t>
  </si>
  <si>
    <t>FIBER LASER ENGINE/Final Assembling</t>
  </si>
  <si>
    <t>SV2605010</t>
  </si>
  <si>
    <t>The top cover from is deformed the area in front of the termindl locking slot is 1.5 cm. norrower than it should be. 1 Pc., The top lid is warped at the side 1 Pc.</t>
  </si>
  <si>
    <r>
      <t xml:space="preserve">NC-FL260730-1 (รับงาน </t>
    </r>
    <r>
      <rPr>
        <sz val="11"/>
        <color theme="1"/>
        <rFont val="游ゴシック"/>
        <family val="2"/>
        <charset val="128"/>
      </rPr>
      <t xml:space="preserve">Replacement </t>
    </r>
    <r>
      <rPr>
        <sz val="11"/>
        <color theme="1"/>
        <rFont val="Tahoma"/>
        <family val="2"/>
        <charset val="222"/>
      </rPr>
      <t>ก่อนเคลมงาน)</t>
    </r>
    <phoneticPr fontId="3"/>
  </si>
  <si>
    <t>NC-FL260730-2(รับงาน Replacement ก่อนเคลมงาน)</t>
    <phoneticPr fontId="3"/>
  </si>
  <si>
    <t>FFT-QA-26-M062</t>
  </si>
  <si>
    <t>Standard Fiber laser/Inspection process</t>
  </si>
  <si>
    <t>SV2605072</t>
  </si>
  <si>
    <t>Data FET &amp; Tj NG 1 Pc.</t>
  </si>
  <si>
    <t>FFT-QA-26-M063</t>
  </si>
  <si>
    <t>FFT-QA-26-M064</t>
  </si>
  <si>
    <t>FCS</t>
  </si>
  <si>
    <t>ME-2310</t>
  </si>
  <si>
    <t>No Screw 1 Pc.</t>
  </si>
  <si>
    <t>18/12/2025 (2 Pcs),11-Aug-26 (2 Pcs.)</t>
    <phoneticPr fontId="3"/>
  </si>
  <si>
    <t>C1786 , C2714</t>
    <phoneticPr fontId="3"/>
  </si>
  <si>
    <t>C2714</t>
    <phoneticPr fontId="3"/>
  </si>
  <si>
    <t>FFT-QA-26-M065</t>
  </si>
  <si>
    <t>SV2604020</t>
  </si>
  <si>
    <t>V-grove small size 6 pcs. , Glass capillary broken 12 pcs.</t>
  </si>
  <si>
    <t>FFT-QA-26-M066</t>
  </si>
  <si>
    <t>Color change (see orange) on surface in hold 12 pcs. , Burr on cu-pipe 1 pc.</t>
  </si>
  <si>
    <t>FFT-QA-26-M067</t>
  </si>
  <si>
    <t>Optical IL/IDM-J</t>
  </si>
  <si>
    <t>We found IJ78-1 was optical Inspection IL NG 1 Pc.</t>
  </si>
  <si>
    <t>FFT-QA-26-M068</t>
  </si>
  <si>
    <t>We found IJ93 was optical Inspection IL NG 1 Pc.,We found IJ93 was optical Inspection PDL NG 1 Pc.</t>
  </si>
  <si>
    <t>FFT-QA-26-M069</t>
  </si>
  <si>
    <t>Optical RL/IDM-J</t>
  </si>
  <si>
    <t>(May-Jun) 25</t>
  </si>
  <si>
    <t>We found RIDMJ152-SEI was optical Inspection RL NG 18 Pcs.</t>
  </si>
  <si>
    <t>CN260801</t>
  </si>
  <si>
    <t>SO00049541</t>
  </si>
  <si>
    <t>SO00049542</t>
  </si>
  <si>
    <t>04/03/2026 , 18 May 26</t>
  </si>
  <si>
    <t>GCN260301(16pcs),GCN260501(7 Pcs)</t>
  </si>
  <si>
    <t>15-May-26,
15-Jul-26</t>
  </si>
  <si>
    <t>GCN260501(9 Pcs)
GCN260701(9 Pcs.)</t>
  </si>
  <si>
    <t>NB-FEC2608017</t>
  </si>
  <si>
    <t xml:space="preserve">NB-FEC2608017	</t>
  </si>
  <si>
    <t>NB-FEC2608018</t>
  </si>
  <si>
    <t xml:space="preserve">	NB-FEC2608018</t>
  </si>
  <si>
    <t>SO00049600</t>
  </si>
  <si>
    <t>FFT-QA-26-M070</t>
  </si>
  <si>
    <t>F20260607</t>
  </si>
  <si>
    <t>057</t>
  </si>
  <si>
    <t xml:space="preserve">Black Scratch 18 ME., White Scratch 12 ME., </t>
  </si>
  <si>
    <t>MITSUI ELECTRON</t>
    <phoneticPr fontId="3"/>
  </si>
  <si>
    <t>FFT-QA-26-M071</t>
  </si>
  <si>
    <t>TFB/Bonding</t>
  </si>
  <si>
    <t>0081021-IN</t>
  </si>
  <si>
    <t>TFB</t>
  </si>
  <si>
    <t>ความยาว Base plate สั้นผิดปกติ รูด้านล่างผิดรูปทั้ง 6 รู 1 Pc.</t>
  </si>
  <si>
    <t>CNY260801</t>
    <phoneticPr fontId="3"/>
  </si>
  <si>
    <t>NG1-FEC2609001</t>
  </si>
  <si>
    <t>26001166 RI</t>
  </si>
  <si>
    <t>LIGHTERA DENMARK APS</t>
  </si>
  <si>
    <t>SO00049676</t>
  </si>
  <si>
    <t>SO00049677</t>
  </si>
  <si>
    <t>SO00049678</t>
  </si>
  <si>
    <t>CNY260801</t>
    <phoneticPr fontId="3"/>
  </si>
  <si>
    <t>NB-FFO2609001</t>
  </si>
  <si>
    <t>NB-OKA2609001</t>
  </si>
  <si>
    <t>NB-SEI2609001</t>
  </si>
  <si>
    <t>FFT-QA-26-M072</t>
  </si>
  <si>
    <t>Receive Inspection/Monitor check All</t>
  </si>
  <si>
    <t>2026430</t>
  </si>
  <si>
    <t>2508</t>
  </si>
  <si>
    <t>Hook NG 1 Pc.</t>
  </si>
  <si>
    <t>FFT-QA-26-M073</t>
  </si>
  <si>
    <t>7,17 Aug 26</t>
  </si>
  <si>
    <t>SV2607003</t>
  </si>
  <si>
    <t>FFT-QA-26-M074</t>
  </si>
  <si>
    <t>FFT-QA-26-M075</t>
  </si>
  <si>
    <t xml:space="preserve">FIBER LASER ENGINE/Inspection </t>
  </si>
  <si>
    <t>SV2605113</t>
  </si>
  <si>
    <t>RFLFE236-FEC</t>
  </si>
  <si>
    <t>SUB -ACC2 CIRCUIT BOARD : 430-J1011-0002</t>
  </si>
  <si>
    <t>FFT-QA-26-M076</t>
  </si>
  <si>
    <t>RFLFE244-FEC</t>
  </si>
  <si>
    <t>MAIN-ACC2 CIRCUIT BOARD : 430-J1010-0002</t>
  </si>
  <si>
    <t xml:space="preserve">FIBER LASER ENGINE/Mechanical </t>
  </si>
  <si>
    <t xml:space="preserve">Standard Fiber laser/Mechanical </t>
  </si>
  <si>
    <t>The heatsink has holes in the water pipe pattern 2 Pcs.</t>
  </si>
  <si>
    <t>Rust was found on the inside lower edge of the front cover 1 Pc.</t>
  </si>
  <si>
    <t>Initial inspection found NG results in the cavity output 1 Pc.</t>
  </si>
  <si>
    <t>Tuning value was found to be NG 1 Pc.</t>
  </si>
  <si>
    <t>FFT-QA-26-M077</t>
  </si>
  <si>
    <t>NINJA/Body, Optical, LED Adj, Body Assembing, Heater Adj</t>
  </si>
  <si>
    <t>(7,25) Aug 25, 1 Sep 25, 16 Dec 26, (5,21) Jan 26, (19,25) Feb 26, (3,5,9,11,13) Jun 26</t>
  </si>
  <si>
    <t>22/05/2025, 24/07/2025</t>
  </si>
  <si>
    <t>SVY250504, SVY250705</t>
  </si>
  <si>
    <t>Symbol of battery is abnormal 7 Pcs., Don't have power 8 Pcs.</t>
  </si>
  <si>
    <t>FFT-QA-26-M078</t>
  </si>
  <si>
    <t>FBT Production(LOC103)</t>
  </si>
  <si>
    <t>Aug'26</t>
  </si>
  <si>
    <t>Damage=130 pcs.,คราบกาว=5 pcs.,tube ng=5 pcs.</t>
  </si>
  <si>
    <t>Monitor check All 100%</t>
  </si>
  <si>
    <t>SO00049775</t>
  </si>
  <si>
    <t>FEC-FS</t>
    <phoneticPr fontId="3"/>
  </si>
  <si>
    <t>FEC-FL</t>
    <phoneticPr fontId="3"/>
  </si>
  <si>
    <t>FEC-OC</t>
    <phoneticPr fontId="3"/>
  </si>
  <si>
    <t>SDSE(TOKE)</t>
    <phoneticPr fontId="3"/>
  </si>
  <si>
    <t>SO00049799</t>
  </si>
  <si>
    <t>FFT-QA-26-M079</t>
  </si>
  <si>
    <t>Sep'26</t>
  </si>
  <si>
    <t>White Tube NG = 1591 pcs.</t>
  </si>
  <si>
    <t>NB-FEC2609011</t>
  </si>
  <si>
    <t>NB-SHO2609001</t>
  </si>
  <si>
    <t>SO00049842</t>
  </si>
  <si>
    <t>FFT-QA-26-M080</t>
  </si>
  <si>
    <t>FFT-QA-26-M081</t>
  </si>
  <si>
    <t>S179/LENS</t>
  </si>
  <si>
    <t xml:space="preserve">Can't adjust max-min brightness Q'ty 149 Pcs., Can't adjust BB Q'ty 17 Pcs.
 </t>
  </si>
  <si>
    <t>FFT-QA-26-M082</t>
  </si>
  <si>
    <t>FTM/Pre-Module, Stock WH</t>
  </si>
  <si>
    <t>(19,21) Sep 26</t>
  </si>
  <si>
    <t>G260821-1</t>
  </si>
  <si>
    <t>NB-FEC2609018</t>
  </si>
  <si>
    <t>Refer to the table below.</t>
  </si>
  <si>
    <t>We found the mark color on the lower case of FTM5 (M-code 438) changed to be blue instead of black. Q'ty 80 Pcs.</t>
  </si>
  <si>
    <t>FFT-QA-26-M083</t>
  </si>
  <si>
    <t>White Tube NG = 872 pcs.</t>
  </si>
  <si>
    <t>Return to A-ONE Thailand</t>
  </si>
  <si>
    <t>-</t>
    <phoneticPr fontId="3"/>
  </si>
  <si>
    <t>Scrap at FFT</t>
    <phoneticPr fontId="3"/>
  </si>
  <si>
    <t>Return to Elvin Technology</t>
  </si>
  <si>
    <t>Bill list no. LM-QA-26-103</t>
  </si>
  <si>
    <t xml:space="preserve"> Vender check แล้วงาน OK  แต่ความยาวใช้ไม่ได้ Scrap Vender </t>
  </si>
  <si>
    <t>FFT-QA-26-M084</t>
  </si>
  <si>
    <t>14-Aug - 08-Sep'26</t>
  </si>
  <si>
    <t>GCN261001</t>
  </si>
  <si>
    <t>15/07/2026,07/10/2026</t>
  </si>
  <si>
    <t>GCN260701(7 Pcs.),GCN261001 (17 Psc)</t>
  </si>
  <si>
    <t>GCN261001(2pcs)</t>
  </si>
  <si>
    <t>FFT-QA-26-M085</t>
  </si>
  <si>
    <t>IDM-Jumper/Optical process</t>
  </si>
  <si>
    <t>9 Aug 26 ,5 Oct 26</t>
  </si>
  <si>
    <t>Optical Inspection (PDL) NG 11 Pcs.,Optical Inspection (RL) NG 2 Pcs.</t>
  </si>
  <si>
    <t>FFT-QA-26-M086</t>
  </si>
  <si>
    <t>26000231FS</t>
  </si>
  <si>
    <t>Optical Inspection (IL) NG 1 Pc.</t>
  </si>
  <si>
    <t>FFT-QA-26-M087</t>
  </si>
  <si>
    <t>Optical Inspection (IL) NG 4 Pcs.</t>
  </si>
  <si>
    <t>FFT-QA-26-M088</t>
  </si>
  <si>
    <t>FTM product/Pre module process</t>
  </si>
  <si>
    <t>G260904-1</t>
  </si>
  <si>
    <t>White mark 1 Pc.</t>
  </si>
  <si>
    <t>FFT-QA-26-M089</t>
  </si>
  <si>
    <t>G260731-1</t>
  </si>
  <si>
    <t>Peeling 1 Pc.</t>
  </si>
  <si>
    <t>FFT-QA-26-M090</t>
  </si>
  <si>
    <t>20261001</t>
  </si>
  <si>
    <t>2507</t>
  </si>
  <si>
    <t>Dent 1 Pc., Contamination 2 Pcs.</t>
  </si>
  <si>
    <t>already issue pr sheet</t>
    <phoneticPr fontId="3"/>
  </si>
  <si>
    <t>FFT-QA-26-M091</t>
  </si>
  <si>
    <t>NINJA/Body</t>
  </si>
  <si>
    <t>SVY251104</t>
  </si>
  <si>
    <t>Swollen battery Q'ty 1 Pc.</t>
  </si>
  <si>
    <t>FFT-QA-26-M092</t>
  </si>
  <si>
    <t>Oct'26</t>
  </si>
  <si>
    <t>White Tube NG = 67 pcs.,Damage= 46 pcs</t>
  </si>
  <si>
    <t>FFT-QA-26-M093</t>
  </si>
  <si>
    <t>PER LOWER THAN 28dB= 619 pcs.</t>
  </si>
  <si>
    <t>FFT-QA-26-M094</t>
  </si>
  <si>
    <t>FBT Production(LOC120)</t>
  </si>
  <si>
    <t>RPA00007-FEC</t>
  </si>
  <si>
    <t>White Tube NG = 203 pcs.,Damage= 70 pcs</t>
  </si>
  <si>
    <t>FFT-QA-26-M095</t>
  </si>
  <si>
    <t>RPA00008-FEC</t>
  </si>
  <si>
    <t>White Tube NG = 95 pcs.,Damage= 178 pcs</t>
  </si>
  <si>
    <t>G261016-5</t>
    <phoneticPr fontId="3"/>
  </si>
  <si>
    <t>FFT-QA-26-M019</t>
    <phoneticPr fontId="3"/>
  </si>
  <si>
    <t>FFT-QA-26-M096</t>
  </si>
  <si>
    <t>S124/Main Base</t>
  </si>
  <si>
    <t>SK-26013101</t>
  </si>
  <si>
    <t>No emboss surface Q'ty 2 Pcs.</t>
  </si>
  <si>
    <t>10WR14,251110</t>
  </si>
  <si>
    <t>01/09/2026, 20/10/2026</t>
  </si>
  <si>
    <t>G260828-1, G261016-1</t>
  </si>
  <si>
    <t>15/09/2026, 21/10/2026</t>
  </si>
  <si>
    <t>Short shot  10 Pcs.</t>
  </si>
  <si>
    <t>Waste bonding 2 pcs. ,AR Particle 1 pcs. ,LD Chipping 14 pcs.</t>
  </si>
  <si>
    <t>IDM-J/Closelid/Receive Inspection/Monitor Check All</t>
  </si>
  <si>
    <t>SO00050154</t>
  </si>
  <si>
    <t>SO00050155</t>
  </si>
  <si>
    <t>FFT-QA-26-M097</t>
  </si>
  <si>
    <t>S001/Semi</t>
  </si>
  <si>
    <t>B9432</t>
  </si>
  <si>
    <t>Can't turn on because of the NG CPU Board Q'ty 1 Pc.</t>
  </si>
  <si>
    <t>NB-FEC2610020</t>
  </si>
  <si>
    <t>CNSV261001</t>
  </si>
  <si>
    <t>SO00050187</t>
  </si>
  <si>
    <t>R124S103-STG</t>
    <phoneticPr fontId="3"/>
  </si>
  <si>
    <t>Sanki Fine Technology</t>
    <phoneticPr fontId="3"/>
  </si>
  <si>
    <t>FFT-QA-26-M098</t>
  </si>
  <si>
    <t>FTM/Module/Receive Inspection/Sortting All</t>
  </si>
  <si>
    <t>(9,28) Oct 26</t>
  </si>
  <si>
    <t>(14,22) Sep 26</t>
  </si>
  <si>
    <t>G260911-1, G260918-1</t>
  </si>
  <si>
    <t>1905</t>
  </si>
  <si>
    <t>White mark 4 Pcs.</t>
  </si>
  <si>
    <t>inspection at production line/Sorting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</si>
</sst>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[$-409]d\-mmm\-yy;@"/>
    <numFmt numFmtId="165" formatCode="[$-1010409]d\ mmm\ yy;@"/>
    <numFmt numFmtId="166" formatCode="mmm"/>
    <numFmt numFmtId="167" formatCode="[$-409]mmm/yy;@"/>
    <numFmt numFmtId="168" formatCode="_(* #,##0_);_(* \(#,##0\);_(* &quot;-&quot;??_);_(@_)"/>
    <numFmt numFmtId="169" formatCode="[$-409]dd\-mmm\-yy;@"/>
    <numFmt numFmtId="170" formatCode="h:mm:ss;@"/>
    <numFmt numFmtId="171" formatCode="yyyy\-mm\-dd;@"/>
  </numFmts>
  <fonts count="57">
    <font>
      <sz val="11"/>
      <color theme="1"/>
      <name val="Tahoma"/>
      <family val="2"/>
      <charset val="128"/>
    </font>
    <font>
      <sz val="11"/>
      <color theme="1"/>
      <name val="Tahoma"/>
      <family val="2"/>
    </font>
    <font>
      <sz val="20"/>
      <name val="Tahoma"/>
      <family val="2"/>
    </font>
    <font>
      <sz val="6"/>
      <name val="Tahoma"/>
      <family val="2"/>
      <charset val="128"/>
    </font>
    <font>
      <sz val="11"/>
      <color theme="1"/>
      <name val="Aptos Narrow"/>
      <family val="2"/>
      <scheme val="minor"/>
    </font>
    <font>
      <sz val="20"/>
      <color theme="0"/>
      <name val="Tahoma"/>
      <family val="2"/>
    </font>
    <font>
      <sz val="10"/>
      <name val="Arial"/>
      <family val="2"/>
    </font>
    <font>
      <b/>
      <sz val="20"/>
      <name val="Tahoma"/>
      <family val="2"/>
    </font>
    <font>
      <sz val="8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b/>
      <sz val="16"/>
      <name val="Tahoma"/>
      <family val="2"/>
    </font>
    <font>
      <b/>
      <sz val="22"/>
      <color rgb="FFFF00FF"/>
      <name val="Tahoma"/>
      <family val="2"/>
    </font>
    <font>
      <b/>
      <sz val="22"/>
      <color rgb="FF0000FF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2"/>
      <color rgb="FF0000FF"/>
      <name val="Tahoma"/>
      <family val="2"/>
    </font>
    <font>
      <b/>
      <sz val="10"/>
      <color theme="0"/>
      <name val="Tahoma"/>
      <family val="2"/>
    </font>
    <font>
      <sz val="10"/>
      <color theme="1"/>
      <name val="Tahoma"/>
      <family val="2"/>
    </font>
    <font>
      <sz val="11"/>
      <name val="Arial"/>
      <family val="2"/>
    </font>
    <font>
      <sz val="11"/>
      <name val="Tahoma"/>
      <family val="2"/>
    </font>
    <font>
      <sz val="12"/>
      <name val="Tahoma"/>
      <family val="2"/>
    </font>
    <font>
      <sz val="14"/>
      <name val="Tahoma"/>
      <family val="2"/>
    </font>
    <font>
      <b/>
      <sz val="14"/>
      <color rgb="FFFF0000"/>
      <name val="Tahoma"/>
      <family val="2"/>
    </font>
    <font>
      <b/>
      <sz val="12"/>
      <color theme="0"/>
      <name val="游ゴシック"/>
      <family val="2"/>
      <charset val="128"/>
    </font>
    <font>
      <b/>
      <sz val="12"/>
      <color theme="0"/>
      <name val="Arial"/>
      <family val="2"/>
      <charset val="222"/>
    </font>
    <font>
      <b/>
      <sz val="12"/>
      <color theme="0"/>
      <name val="Tahoma"/>
      <family val="2"/>
      <charset val="222"/>
    </font>
    <font>
      <sz val="6"/>
      <name val="ＭＳ Ｐゴシック"/>
      <family val="3"/>
      <charset val="128"/>
    </font>
    <font>
      <sz val="9"/>
      <name val="Tahoma"/>
      <family val="2"/>
    </font>
    <font>
      <u/>
      <sz val="9"/>
      <color indexed="12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Tahoma"/>
      <family val="2"/>
      <charset val="222"/>
    </font>
    <font>
      <b/>
      <sz val="10"/>
      <color theme="0"/>
      <name val="游ゴシック"/>
      <family val="2"/>
      <charset val="128"/>
    </font>
    <font>
      <sz val="10"/>
      <color theme="0"/>
      <name val="Arial"/>
      <family val="2"/>
    </font>
    <font>
      <sz val="10"/>
      <color theme="0"/>
      <name val="游ゴシック"/>
      <family val="2"/>
      <charset val="128"/>
    </font>
    <font>
      <b/>
      <sz val="10"/>
      <name val="Arial"/>
      <family val="2"/>
    </font>
    <font>
      <sz val="9"/>
      <color indexed="12"/>
      <name val="Tahoma"/>
      <family val="2"/>
    </font>
    <font>
      <sz val="14"/>
      <name val="Cordia New"/>
      <family val="2"/>
      <charset val="222"/>
    </font>
    <font>
      <u/>
      <sz val="11"/>
      <color theme="10"/>
      <name val="Tahoma"/>
      <family val="2"/>
      <charset val="128"/>
    </font>
    <font>
      <sz val="11"/>
      <color theme="1"/>
      <name val="Tahoma"/>
      <family val="2"/>
    </font>
    <font>
      <sz val="10"/>
      <color indexed="18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CC"/>
      <name val="Tahoma"/>
      <family val="2"/>
    </font>
    <font>
      <b/>
      <sz val="14"/>
      <color theme="1"/>
      <name val="Tahoma"/>
      <family val="2"/>
    </font>
    <font>
      <sz val="11"/>
      <name val="Tahoma"/>
      <family val="2"/>
      <charset val="128"/>
    </font>
    <font>
      <sz val="11"/>
      <color theme="3"/>
      <name val="Tahoma"/>
      <family val="2"/>
      <charset val="128"/>
    </font>
    <font>
      <strike/>
      <sz val="11"/>
      <color theme="1"/>
      <name val="Tahoma"/>
      <family val="2"/>
    </font>
    <font>
      <sz val="9"/>
      <color theme="1"/>
      <name val="Tahoma"/>
      <family val="2"/>
      <charset val="128"/>
    </font>
    <font>
      <sz val="10"/>
      <color theme="1"/>
      <name val="Tahoma"/>
      <family val="2"/>
      <charset val="128"/>
    </font>
    <font>
      <sz val="11"/>
      <color rgb="FF000000"/>
      <name val="Tahoma"/>
      <family val="2"/>
    </font>
    <font>
      <sz val="11"/>
      <color rgb="FF0000FF"/>
      <name val="Tahoma"/>
      <family val="2"/>
      <charset val="128"/>
    </font>
    <font>
      <sz val="11"/>
      <color rgb="FFFF0000"/>
      <name val="Tahoma"/>
      <family val="2"/>
      <charset val="128"/>
    </font>
    <font>
      <sz val="11"/>
      <color theme="1"/>
      <name val="游ゴシック"/>
      <family val="2"/>
      <charset val="128"/>
    </font>
    <font>
      <sz val="11"/>
      <color theme="1"/>
      <name val="Tahoma"/>
      <family val="2"/>
      <charset val="222"/>
    </font>
    <font>
      <sz val="11"/>
      <color rgb="FF0000FF"/>
      <name val="Tahoma"/>
      <family val="2"/>
    </font>
    <font>
      <strike/>
      <sz val="11"/>
      <color theme="1"/>
      <name val="Tahoma"/>
      <family val="2"/>
      <charset val="128"/>
    </font>
  </fonts>
  <fills count="2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4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28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 applyNumberFormat="0" applyFill="0" applyBorder="0" applyAlignment="0" applyProtection="0">
      <alignment vertical="center"/>
    </xf>
    <xf numFmtId="0" fontId="28" fillId="0" borderId="0"/>
  </cellStyleXfs>
  <cellXfs count="247">
    <xf numFmtId="0" fontId="0" fillId="0" borderId="0" xfId="0">
      <alignment vertical="center"/>
    </xf>
    <xf numFmtId="0" fontId="2" fillId="0" borderId="0" xfId="0" applyFont="1" applyAlignment="1"/>
    <xf numFmtId="164" fontId="9" fillId="2" borderId="5" xfId="0" applyNumberFormat="1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49" fontId="9" fillId="2" borderId="5" xfId="0" applyNumberFormat="1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>
      <alignment horizontal="center" vertical="center"/>
    </xf>
    <xf numFmtId="0" fontId="9" fillId="2" borderId="5" xfId="0" applyFont="1" applyFill="1" applyBorder="1" applyAlignment="1" applyProtection="1">
      <alignment horizontal="center" vertical="center" wrapText="1"/>
      <protection locked="0"/>
    </xf>
    <xf numFmtId="164" fontId="10" fillId="3" borderId="8" xfId="1" applyNumberFormat="1" applyFont="1" applyFill="1" applyBorder="1" applyAlignment="1">
      <alignment horizontal="center" vertical="center" wrapText="1"/>
    </xf>
    <xf numFmtId="165" fontId="10" fillId="3" borderId="8" xfId="1" applyNumberFormat="1" applyFont="1" applyFill="1" applyBorder="1" applyAlignment="1">
      <alignment horizontal="center" vertical="center"/>
    </xf>
    <xf numFmtId="165" fontId="10" fillId="3" borderId="9" xfId="1" applyNumberFormat="1" applyFont="1" applyFill="1" applyBorder="1" applyAlignment="1">
      <alignment horizontal="center" vertical="center"/>
    </xf>
    <xf numFmtId="164" fontId="10" fillId="7" borderId="10" xfId="1" applyNumberFormat="1" applyFont="1" applyFill="1" applyBorder="1" applyAlignment="1">
      <alignment horizontal="center" vertical="center" wrapText="1"/>
    </xf>
    <xf numFmtId="165" fontId="10" fillId="7" borderId="10" xfId="1" applyNumberFormat="1" applyFont="1" applyFill="1" applyBorder="1" applyAlignment="1">
      <alignment horizontal="center" vertical="center" wrapText="1"/>
    </xf>
    <xf numFmtId="0" fontId="10" fillId="7" borderId="10" xfId="1" applyFont="1" applyFill="1" applyBorder="1" applyAlignment="1">
      <alignment horizontal="center" vertical="center" wrapText="1"/>
    </xf>
    <xf numFmtId="164" fontId="10" fillId="8" borderId="10" xfId="1" applyNumberFormat="1" applyFont="1" applyFill="1" applyBorder="1" applyAlignment="1">
      <alignment horizontal="center" vertical="center" wrapText="1"/>
    </xf>
    <xf numFmtId="165" fontId="10" fillId="8" borderId="10" xfId="1" applyNumberFormat="1" applyFont="1" applyFill="1" applyBorder="1" applyAlignment="1">
      <alignment horizontal="center" vertical="center" wrapText="1"/>
    </xf>
    <xf numFmtId="0" fontId="10" fillId="8" borderId="10" xfId="1" applyFont="1" applyFill="1" applyBorder="1" applyAlignment="1">
      <alignment horizontal="center" vertical="center" wrapText="1"/>
    </xf>
    <xf numFmtId="166" fontId="10" fillId="9" borderId="11" xfId="3" applyNumberFormat="1" applyFont="1" applyFill="1" applyBorder="1" applyAlignment="1">
      <alignment horizontal="center" vertical="center" wrapText="1"/>
    </xf>
    <xf numFmtId="166" fontId="10" fillId="10" borderId="11" xfId="3" applyNumberFormat="1" applyFont="1" applyFill="1" applyBorder="1" applyAlignment="1">
      <alignment horizontal="center" vertical="center" wrapText="1"/>
    </xf>
    <xf numFmtId="167" fontId="10" fillId="11" borderId="12" xfId="3" applyNumberFormat="1" applyFont="1" applyFill="1" applyBorder="1" applyAlignment="1">
      <alignment horizontal="center" vertical="center" wrapText="1"/>
    </xf>
    <xf numFmtId="164" fontId="10" fillId="12" borderId="13" xfId="1" applyNumberFormat="1" applyFont="1" applyFill="1" applyBorder="1" applyAlignment="1">
      <alignment horizontal="center" vertical="center" wrapText="1"/>
    </xf>
    <xf numFmtId="0" fontId="10" fillId="12" borderId="13" xfId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14" xfId="0" applyBorder="1">
      <alignment vertical="center"/>
    </xf>
    <xf numFmtId="164" fontId="13" fillId="0" borderId="16" xfId="4" applyNumberFormat="1" applyFont="1" applyBorder="1" applyAlignment="1">
      <alignment horizontal="center" vertical="center"/>
    </xf>
    <xf numFmtId="0" fontId="14" fillId="0" borderId="16" xfId="4" applyFont="1" applyBorder="1" applyAlignment="1">
      <alignment horizontal="center" vertical="center"/>
    </xf>
    <xf numFmtId="0" fontId="15" fillId="0" borderId="16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168" fontId="14" fillId="0" borderId="17" xfId="3" applyNumberFormat="1" applyFont="1" applyFill="1" applyBorder="1" applyAlignment="1">
      <alignment horizontal="center" vertical="center"/>
    </xf>
    <xf numFmtId="0" fontId="11" fillId="0" borderId="18" xfId="4" applyFont="1" applyBorder="1" applyAlignment="1">
      <alignment horizontal="center" wrapText="1"/>
    </xf>
    <xf numFmtId="0" fontId="11" fillId="0" borderId="0" xfId="4" applyFont="1" applyAlignment="1">
      <alignment horizontal="center" wrapText="1"/>
    </xf>
    <xf numFmtId="164" fontId="13" fillId="0" borderId="0" xfId="4" applyNumberFormat="1" applyFont="1" applyAlignment="1">
      <alignment horizontal="center" vertical="center"/>
    </xf>
    <xf numFmtId="0" fontId="14" fillId="0" borderId="0" xfId="4" applyFont="1" applyAlignment="1">
      <alignment horizontal="center" vertical="center"/>
    </xf>
    <xf numFmtId="168" fontId="14" fillId="0" borderId="0" xfId="3" applyNumberFormat="1" applyFont="1" applyFill="1" applyBorder="1" applyAlignment="1">
      <alignment vertical="center"/>
    </xf>
    <xf numFmtId="168" fontId="16" fillId="0" borderId="11" xfId="3" applyNumberFormat="1" applyFont="1" applyFill="1" applyBorder="1" applyAlignment="1">
      <alignment horizontal="center" vertical="center"/>
    </xf>
    <xf numFmtId="0" fontId="17" fillId="13" borderId="19" xfId="2" applyFont="1" applyFill="1" applyBorder="1" applyAlignment="1">
      <alignment horizontal="center" vertical="center"/>
    </xf>
    <xf numFmtId="0" fontId="17" fillId="13" borderId="20" xfId="2" applyFont="1" applyFill="1" applyBorder="1" applyAlignment="1">
      <alignment horizontal="center" vertical="center"/>
    </xf>
    <xf numFmtId="0" fontId="17" fillId="13" borderId="11" xfId="2" applyFont="1" applyFill="1" applyBorder="1" applyAlignment="1">
      <alignment horizontal="center" vertical="center"/>
    </xf>
    <xf numFmtId="166" fontId="17" fillId="13" borderId="21" xfId="3" applyNumberFormat="1" applyFont="1" applyFill="1" applyBorder="1" applyAlignment="1">
      <alignment horizontal="center" vertical="center" wrapText="1"/>
    </xf>
    <xf numFmtId="167" fontId="17" fillId="13" borderId="22" xfId="3" applyNumberFormat="1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165" fontId="0" fillId="0" borderId="14" xfId="0" applyNumberFormat="1" applyBorder="1">
      <alignment vertical="center"/>
    </xf>
    <xf numFmtId="164" fontId="0" fillId="0" borderId="14" xfId="0" applyNumberFormat="1" applyBorder="1">
      <alignment vertical="center"/>
    </xf>
    <xf numFmtId="164" fontId="0" fillId="0" borderId="0" xfId="0" applyNumberFormat="1">
      <alignment vertical="center"/>
    </xf>
    <xf numFmtId="164" fontId="10" fillId="3" borderId="8" xfId="1" applyNumberFormat="1" applyFont="1" applyFill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2" borderId="0" xfId="0" applyFont="1" applyFill="1" applyAlignment="1">
      <alignment horizontal="center"/>
    </xf>
    <xf numFmtId="164" fontId="5" fillId="3" borderId="1" xfId="1" applyNumberFormat="1" applyFont="1" applyFill="1" applyBorder="1" applyAlignment="1">
      <alignment horizontal="center" vertical="center"/>
    </xf>
    <xf numFmtId="164" fontId="9" fillId="2" borderId="5" xfId="0" applyNumberFormat="1" applyFont="1" applyFill="1" applyBorder="1" applyAlignment="1">
      <alignment horizontal="center" vertical="center"/>
    </xf>
    <xf numFmtId="165" fontId="24" fillId="3" borderId="9" xfId="1" applyNumberFormat="1" applyFont="1" applyFill="1" applyBorder="1" applyAlignment="1">
      <alignment horizontal="center" vertical="center"/>
    </xf>
    <xf numFmtId="169" fontId="9" fillId="2" borderId="5" xfId="0" applyNumberFormat="1" applyFont="1" applyFill="1" applyBorder="1" applyAlignment="1" applyProtection="1">
      <alignment horizontal="center" vertical="center"/>
      <protection locked="0"/>
    </xf>
    <xf numFmtId="169" fontId="0" fillId="0" borderId="14" xfId="0" applyNumberFormat="1" applyBorder="1">
      <alignment vertical="center"/>
    </xf>
    <xf numFmtId="169" fontId="0" fillId="0" borderId="0" xfId="0" applyNumberFormat="1">
      <alignment vertical="center"/>
    </xf>
    <xf numFmtId="14" fontId="0" fillId="0" borderId="14" xfId="0" applyNumberFormat="1" applyBorder="1">
      <alignment vertical="center"/>
    </xf>
    <xf numFmtId="0" fontId="6" fillId="0" borderId="0" xfId="2"/>
    <xf numFmtId="0" fontId="6" fillId="17" borderId="0" xfId="2" applyFill="1" applyAlignment="1">
      <alignment horizontal="center" vertical="center"/>
    </xf>
    <xf numFmtId="22" fontId="6" fillId="17" borderId="0" xfId="2" applyNumberFormat="1" applyFill="1"/>
    <xf numFmtId="0" fontId="29" fillId="17" borderId="0" xfId="7" applyFill="1" applyAlignment="1" applyProtection="1"/>
    <xf numFmtId="0" fontId="6" fillId="17" borderId="0" xfId="2" applyFill="1"/>
    <xf numFmtId="170" fontId="6" fillId="17" borderId="0" xfId="2" applyNumberFormat="1" applyFill="1"/>
    <xf numFmtId="0" fontId="30" fillId="4" borderId="0" xfId="2" applyFont="1" applyFill="1" applyAlignment="1">
      <alignment horizontal="center" vertical="center" wrapText="1"/>
    </xf>
    <xf numFmtId="0" fontId="30" fillId="0" borderId="0" xfId="2" applyFont="1"/>
    <xf numFmtId="0" fontId="30" fillId="18" borderId="24" xfId="2" applyFont="1" applyFill="1" applyBorder="1" applyAlignment="1">
      <alignment horizontal="center" vertical="center"/>
    </xf>
    <xf numFmtId="0" fontId="30" fillId="4" borderId="24" xfId="2" applyFont="1" applyFill="1" applyBorder="1" applyAlignment="1">
      <alignment horizontal="center" vertical="center"/>
    </xf>
    <xf numFmtId="0" fontId="33" fillId="0" borderId="24" xfId="2" applyFont="1" applyBorder="1" applyAlignment="1">
      <alignment horizontal="center" vertical="center"/>
    </xf>
    <xf numFmtId="0" fontId="34" fillId="19" borderId="24" xfId="2" applyFont="1" applyFill="1" applyBorder="1" applyAlignment="1">
      <alignment horizontal="center" vertical="center"/>
    </xf>
    <xf numFmtId="0" fontId="33" fillId="19" borderId="24" xfId="2" applyFont="1" applyFill="1" applyBorder="1" applyAlignment="1">
      <alignment horizontal="center" vertical="center"/>
    </xf>
    <xf numFmtId="0" fontId="6" fillId="0" borderId="0" xfId="2" applyAlignment="1">
      <alignment horizontal="center" vertical="center"/>
    </xf>
    <xf numFmtId="0" fontId="35" fillId="0" borderId="0" xfId="2" applyFont="1" applyAlignment="1">
      <alignment horizontal="center" vertical="center"/>
    </xf>
    <xf numFmtId="165" fontId="36" fillId="0" borderId="0" xfId="8" applyNumberFormat="1" applyFont="1" applyAlignment="1">
      <alignment horizontal="left"/>
    </xf>
    <xf numFmtId="0" fontId="6" fillId="20" borderId="0" xfId="2" applyFill="1"/>
    <xf numFmtId="0" fontId="6" fillId="20" borderId="0" xfId="2" applyFill="1" applyAlignment="1">
      <alignment horizontal="center"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19" fillId="0" borderId="27" xfId="4" applyFont="1" applyBorder="1" applyAlignment="1">
      <alignment horizontal="left"/>
    </xf>
    <xf numFmtId="0" fontId="19" fillId="0" borderId="28" xfId="4" applyFont="1" applyBorder="1"/>
    <xf numFmtId="0" fontId="20" fillId="0" borderId="28" xfId="5" applyFont="1" applyBorder="1" applyAlignment="1">
      <alignment horizontal="center"/>
    </xf>
    <xf numFmtId="168" fontId="21" fillId="14" borderId="28" xfId="3" applyNumberFormat="1" applyFont="1" applyFill="1" applyBorder="1" applyAlignment="1">
      <alignment horizontal="left"/>
    </xf>
    <xf numFmtId="168" fontId="21" fillId="0" borderId="29" xfId="3" applyNumberFormat="1" applyFont="1" applyFill="1" applyBorder="1" applyAlignment="1">
      <alignment horizontal="center" vertical="center"/>
    </xf>
    <xf numFmtId="0" fontId="19" fillId="0" borderId="26" xfId="4" applyFont="1" applyBorder="1"/>
    <xf numFmtId="168" fontId="21" fillId="0" borderId="30" xfId="3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right" vertical="center"/>
    </xf>
    <xf numFmtId="0" fontId="38" fillId="16" borderId="0" xfId="9" applyFill="1" applyAlignment="1"/>
    <xf numFmtId="0" fontId="38" fillId="0" borderId="14" xfId="9" applyBorder="1">
      <alignment vertical="center"/>
    </xf>
    <xf numFmtId="0" fontId="20" fillId="0" borderId="31" xfId="5" applyFont="1" applyBorder="1" applyAlignment="1">
      <alignment horizontal="center"/>
    </xf>
    <xf numFmtId="164" fontId="0" fillId="21" borderId="14" xfId="0" applyNumberFormat="1" applyFill="1" applyBorder="1">
      <alignment vertical="center"/>
    </xf>
    <xf numFmtId="0" fontId="0" fillId="17" borderId="0" xfId="0" applyFill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8" fillId="0" borderId="0" xfId="0" applyFont="1" applyAlignment="1"/>
    <xf numFmtId="0" fontId="36" fillId="0" borderId="0" xfId="0" applyFont="1" applyAlignment="1">
      <alignment horizontal="left"/>
    </xf>
    <xf numFmtId="0" fontId="36" fillId="0" borderId="0" xfId="0" applyFont="1" applyAlignment="1"/>
    <xf numFmtId="0" fontId="0" fillId="0" borderId="0" xfId="0" applyAlignment="1">
      <alignment horizontal="left" vertical="center"/>
    </xf>
    <xf numFmtId="38" fontId="6" fillId="0" borderId="0" xfId="0" applyNumberFormat="1" applyFont="1" applyAlignment="1"/>
    <xf numFmtId="0" fontId="0" fillId="0" borderId="0" xfId="0" applyAlignment="1">
      <alignment horizont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/>
    <xf numFmtId="0" fontId="0" fillId="20" borderId="26" xfId="0" applyFill="1" applyBorder="1">
      <alignment vertical="center"/>
    </xf>
    <xf numFmtId="0" fontId="19" fillId="20" borderId="26" xfId="4" applyFont="1" applyFill="1" applyBorder="1"/>
    <xf numFmtId="0" fontId="20" fillId="20" borderId="31" xfId="5" applyFont="1" applyFill="1" applyBorder="1" applyAlignment="1">
      <alignment horizontal="center"/>
    </xf>
    <xf numFmtId="168" fontId="21" fillId="20" borderId="30" xfId="3" applyNumberFormat="1" applyFont="1" applyFill="1" applyBorder="1" applyAlignment="1">
      <alignment horizontal="center" vertical="center"/>
    </xf>
    <xf numFmtId="0" fontId="0" fillId="20" borderId="0" xfId="0" applyFill="1">
      <alignment vertical="center"/>
    </xf>
    <xf numFmtId="0" fontId="0" fillId="22" borderId="26" xfId="0" applyFill="1" applyBorder="1">
      <alignment vertical="center"/>
    </xf>
    <xf numFmtId="0" fontId="19" fillId="22" borderId="26" xfId="4" applyFont="1" applyFill="1" applyBorder="1"/>
    <xf numFmtId="0" fontId="20" fillId="22" borderId="31" xfId="5" applyFont="1" applyFill="1" applyBorder="1" applyAlignment="1">
      <alignment horizontal="center"/>
    </xf>
    <xf numFmtId="168" fontId="21" fillId="22" borderId="30" xfId="3" applyNumberFormat="1" applyFont="1" applyFill="1" applyBorder="1" applyAlignment="1">
      <alignment horizontal="center" vertical="center"/>
    </xf>
    <xf numFmtId="0" fontId="0" fillId="22" borderId="0" xfId="0" applyFill="1">
      <alignment vertical="center"/>
    </xf>
    <xf numFmtId="0" fontId="39" fillId="0" borderId="14" xfId="0" applyFont="1" applyBorder="1">
      <alignment vertical="center"/>
    </xf>
    <xf numFmtId="0" fontId="38" fillId="0" borderId="0" xfId="9">
      <alignment vertical="center"/>
    </xf>
    <xf numFmtId="0" fontId="38" fillId="0" borderId="0" xfId="9" applyAlignment="1">
      <alignment horizontal="left" vertical="center"/>
    </xf>
    <xf numFmtId="0" fontId="43" fillId="23" borderId="14" xfId="1" applyFont="1" applyFill="1" applyBorder="1" applyAlignment="1">
      <alignment horizontal="center" vertical="center" wrapText="1"/>
    </xf>
    <xf numFmtId="0" fontId="7" fillId="6" borderId="18" xfId="2" applyFont="1" applyFill="1" applyBorder="1" applyAlignment="1">
      <alignment vertical="center"/>
    </xf>
    <xf numFmtId="0" fontId="7" fillId="6" borderId="0" xfId="2" applyFont="1" applyFill="1" applyAlignment="1">
      <alignment vertical="center"/>
    </xf>
    <xf numFmtId="0" fontId="7" fillId="5" borderId="2" xfId="2" applyFont="1" applyFill="1" applyBorder="1" applyAlignment="1">
      <alignment vertical="center"/>
    </xf>
    <xf numFmtId="0" fontId="7" fillId="5" borderId="3" xfId="2" applyFont="1" applyFill="1" applyBorder="1" applyAlignment="1">
      <alignment vertical="center"/>
    </xf>
    <xf numFmtId="0" fontId="7" fillId="5" borderId="4" xfId="2" applyFont="1" applyFill="1" applyBorder="1" applyAlignment="1">
      <alignment vertical="center"/>
    </xf>
    <xf numFmtId="0" fontId="5" fillId="4" borderId="1" xfId="1" applyFont="1" applyFill="1" applyBorder="1" applyAlignment="1">
      <alignment vertical="center"/>
    </xf>
    <xf numFmtId="164" fontId="5" fillId="4" borderId="1" xfId="1" applyNumberFormat="1" applyFont="1" applyFill="1" applyBorder="1" applyAlignment="1">
      <alignment vertical="center"/>
    </xf>
    <xf numFmtId="164" fontId="5" fillId="3" borderId="1" xfId="1" applyNumberFormat="1" applyFont="1" applyFill="1" applyBorder="1" applyAlignment="1">
      <alignment vertical="center"/>
    </xf>
    <xf numFmtId="0" fontId="2" fillId="2" borderId="0" xfId="0" applyFont="1" applyFill="1" applyAlignment="1"/>
    <xf numFmtId="169" fontId="2" fillId="2" borderId="0" xfId="0" applyNumberFormat="1" applyFont="1" applyFill="1" applyAlignment="1"/>
    <xf numFmtId="169" fontId="39" fillId="0" borderId="14" xfId="0" applyNumberFormat="1" applyFont="1" applyBorder="1">
      <alignment vertical="center"/>
    </xf>
    <xf numFmtId="0" fontId="39" fillId="0" borderId="6" xfId="0" applyFont="1" applyBorder="1">
      <alignment vertical="center"/>
    </xf>
    <xf numFmtId="0" fontId="39" fillId="0" borderId="7" xfId="0" applyFont="1" applyBorder="1">
      <alignment vertical="center"/>
    </xf>
    <xf numFmtId="0" fontId="39" fillId="0" borderId="14" xfId="0" applyFont="1" applyBorder="1" applyAlignment="1">
      <alignment horizontal="center" vertical="center"/>
    </xf>
    <xf numFmtId="165" fontId="39" fillId="0" borderId="14" xfId="0" applyNumberFormat="1" applyFont="1" applyBorder="1">
      <alignment vertical="center"/>
    </xf>
    <xf numFmtId="164" fontId="39" fillId="0" borderId="14" xfId="0" applyNumberFormat="1" applyFont="1" applyBorder="1">
      <alignment vertical="center"/>
    </xf>
    <xf numFmtId="164" fontId="39" fillId="0" borderId="14" xfId="0" applyNumberFormat="1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  <xf numFmtId="15" fontId="39" fillId="0" borderId="14" xfId="0" applyNumberFormat="1" applyFont="1" applyBorder="1">
      <alignment vertical="center"/>
    </xf>
    <xf numFmtId="0" fontId="1" fillId="0" borderId="14" xfId="0" applyFont="1" applyBorder="1">
      <alignment vertical="center"/>
    </xf>
    <xf numFmtId="164" fontId="1" fillId="0" borderId="14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69" fontId="1" fillId="0" borderId="14" xfId="0" applyNumberFormat="1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165" fontId="1" fillId="0" borderId="14" xfId="0" applyNumberFormat="1" applyFont="1" applyBorder="1">
      <alignment vertical="center"/>
    </xf>
    <xf numFmtId="164" fontId="1" fillId="0" borderId="14" xfId="0" applyNumberFormat="1" applyFont="1" applyBorder="1">
      <alignment vertical="center"/>
    </xf>
    <xf numFmtId="164" fontId="46" fillId="0" borderId="14" xfId="0" applyNumberFormat="1" applyFont="1" applyBorder="1" applyAlignment="1">
      <alignment horizontal="center" vertical="center"/>
    </xf>
    <xf numFmtId="0" fontId="46" fillId="0" borderId="14" xfId="0" applyFont="1" applyBorder="1" applyAlignment="1">
      <alignment horizontal="center" vertical="center"/>
    </xf>
    <xf numFmtId="171" fontId="0" fillId="0" borderId="14" xfId="0" applyNumberFormat="1" applyBorder="1">
      <alignment vertical="center"/>
    </xf>
    <xf numFmtId="164" fontId="40" fillId="0" borderId="14" xfId="0" quotePrefix="1" applyNumberFormat="1" applyFont="1" applyBorder="1" applyAlignment="1" applyProtection="1">
      <alignment horizontal="center"/>
      <protection locked="0"/>
    </xf>
    <xf numFmtId="49" fontId="40" fillId="0" borderId="14" xfId="0" quotePrefix="1" applyNumberFormat="1" applyFont="1" applyBorder="1" applyAlignment="1" applyProtection="1">
      <alignment horizontal="center"/>
      <protection locked="0"/>
    </xf>
    <xf numFmtId="0" fontId="40" fillId="0" borderId="14" xfId="0" quotePrefix="1" applyFont="1" applyBorder="1" applyAlignment="1" applyProtection="1">
      <alignment horizontal="center"/>
      <protection locked="0"/>
    </xf>
    <xf numFmtId="0" fontId="1" fillId="0" borderId="0" xfId="0" applyFont="1">
      <alignment vertical="center"/>
    </xf>
    <xf numFmtId="14" fontId="1" fillId="0" borderId="14" xfId="0" applyNumberFormat="1" applyFont="1" applyBorder="1">
      <alignment vertical="center"/>
    </xf>
    <xf numFmtId="0" fontId="20" fillId="0" borderId="14" xfId="0" applyFont="1" applyBorder="1">
      <alignment vertical="center"/>
    </xf>
    <xf numFmtId="0" fontId="45" fillId="0" borderId="14" xfId="0" applyFont="1" applyBorder="1">
      <alignment vertical="center"/>
    </xf>
    <xf numFmtId="0" fontId="1" fillId="0" borderId="14" xfId="0" applyFont="1" applyBorder="1" applyAlignment="1">
      <alignment horizontal="left" vertical="center"/>
    </xf>
    <xf numFmtId="0" fontId="47" fillId="0" borderId="14" xfId="0" applyFont="1" applyBorder="1">
      <alignment vertical="center"/>
    </xf>
    <xf numFmtId="165" fontId="47" fillId="0" borderId="14" xfId="0" applyNumberFormat="1" applyFont="1" applyBorder="1">
      <alignment vertical="center"/>
    </xf>
    <xf numFmtId="0" fontId="0" fillId="16" borderId="14" xfId="0" applyFill="1" applyBorder="1">
      <alignment vertical="center"/>
    </xf>
    <xf numFmtId="169" fontId="0" fillId="16" borderId="14" xfId="0" applyNumberFormat="1" applyFill="1" applyBorder="1">
      <alignment vertical="center"/>
    </xf>
    <xf numFmtId="0" fontId="0" fillId="16" borderId="14" xfId="0" applyFill="1" applyBorder="1" applyAlignment="1">
      <alignment horizontal="center" vertical="center"/>
    </xf>
    <xf numFmtId="165" fontId="0" fillId="16" borderId="14" xfId="0" applyNumberFormat="1" applyFill="1" applyBorder="1">
      <alignment vertical="center"/>
    </xf>
    <xf numFmtId="164" fontId="0" fillId="16" borderId="14" xfId="0" applyNumberFormat="1" applyFill="1" applyBorder="1">
      <alignment vertical="center"/>
    </xf>
    <xf numFmtId="0" fontId="23" fillId="16" borderId="14" xfId="0" applyFont="1" applyFill="1" applyBorder="1" applyAlignment="1">
      <alignment horizontal="center" vertical="center"/>
    </xf>
    <xf numFmtId="0" fontId="0" fillId="16" borderId="0" xfId="0" applyFill="1">
      <alignment vertical="center"/>
    </xf>
    <xf numFmtId="164" fontId="0" fillId="16" borderId="14" xfId="0" applyNumberFormat="1" applyFill="1" applyBorder="1" applyAlignment="1">
      <alignment horizontal="center" vertical="center"/>
    </xf>
    <xf numFmtId="0" fontId="1" fillId="16" borderId="14" xfId="0" applyFont="1" applyFill="1" applyBorder="1">
      <alignment vertical="center"/>
    </xf>
    <xf numFmtId="171" fontId="0" fillId="16" borderId="14" xfId="0" applyNumberFormat="1" applyFill="1" applyBorder="1">
      <alignment vertical="center"/>
    </xf>
    <xf numFmtId="0" fontId="48" fillId="16" borderId="14" xfId="0" applyFont="1" applyFill="1" applyBorder="1">
      <alignment vertical="center"/>
    </xf>
    <xf numFmtId="0" fontId="0" fillId="21" borderId="14" xfId="0" applyFill="1" applyBorder="1">
      <alignment vertical="center"/>
    </xf>
    <xf numFmtId="169" fontId="0" fillId="21" borderId="14" xfId="0" applyNumberFormat="1" applyFill="1" applyBorder="1">
      <alignment vertical="center"/>
    </xf>
    <xf numFmtId="0" fontId="0" fillId="21" borderId="6" xfId="0" applyFill="1" applyBorder="1">
      <alignment vertical="center"/>
    </xf>
    <xf numFmtId="0" fontId="0" fillId="21" borderId="7" xfId="0" applyFill="1" applyBorder="1">
      <alignment vertical="center"/>
    </xf>
    <xf numFmtId="0" fontId="0" fillId="21" borderId="14" xfId="0" applyFill="1" applyBorder="1" applyAlignment="1">
      <alignment horizontal="center" vertical="center"/>
    </xf>
    <xf numFmtId="0" fontId="47" fillId="24" borderId="14" xfId="0" applyFont="1" applyFill="1" applyBorder="1">
      <alignment vertical="center"/>
    </xf>
    <xf numFmtId="169" fontId="47" fillId="24" borderId="14" xfId="0" applyNumberFormat="1" applyFont="1" applyFill="1" applyBorder="1">
      <alignment vertical="center"/>
    </xf>
    <xf numFmtId="0" fontId="47" fillId="24" borderId="6" xfId="0" applyFont="1" applyFill="1" applyBorder="1">
      <alignment vertical="center"/>
    </xf>
    <xf numFmtId="0" fontId="47" fillId="24" borderId="7" xfId="0" applyFont="1" applyFill="1" applyBorder="1">
      <alignment vertical="center"/>
    </xf>
    <xf numFmtId="0" fontId="47" fillId="24" borderId="14" xfId="0" applyFont="1" applyFill="1" applyBorder="1" applyAlignment="1">
      <alignment horizontal="center" vertical="center"/>
    </xf>
    <xf numFmtId="165" fontId="47" fillId="24" borderId="14" xfId="0" applyNumberFormat="1" applyFont="1" applyFill="1" applyBorder="1">
      <alignment vertical="center"/>
    </xf>
    <xf numFmtId="164" fontId="47" fillId="24" borderId="14" xfId="0" applyNumberFormat="1" applyFont="1" applyFill="1" applyBorder="1">
      <alignment vertical="center"/>
    </xf>
    <xf numFmtId="164" fontId="47" fillId="24" borderId="14" xfId="0" applyNumberFormat="1" applyFont="1" applyFill="1" applyBorder="1" applyAlignment="1">
      <alignment horizontal="center" vertical="center"/>
    </xf>
    <xf numFmtId="0" fontId="47" fillId="24" borderId="0" xfId="0" applyFont="1" applyFill="1">
      <alignment vertical="center"/>
    </xf>
    <xf numFmtId="0" fontId="0" fillId="16" borderId="6" xfId="0" applyFill="1" applyBorder="1">
      <alignment vertical="center"/>
    </xf>
    <xf numFmtId="0" fontId="0" fillId="16" borderId="7" xfId="0" applyFill="1" applyBorder="1">
      <alignment vertical="center"/>
    </xf>
    <xf numFmtId="0" fontId="0" fillId="25" borderId="14" xfId="0" applyFill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164" fontId="1" fillId="16" borderId="14" xfId="0" applyNumberFormat="1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165" fontId="0" fillId="16" borderId="14" xfId="0" applyNumberFormat="1" applyFill="1" applyBorder="1" applyAlignment="1">
      <alignment horizontal="center" vertical="center"/>
    </xf>
    <xf numFmtId="164" fontId="46" fillId="16" borderId="14" xfId="0" applyNumberFormat="1" applyFont="1" applyFill="1" applyBorder="1" applyAlignment="1">
      <alignment horizontal="center" vertical="center"/>
    </xf>
    <xf numFmtId="169" fontId="1" fillId="16" borderId="14" xfId="0" applyNumberFormat="1" applyFont="1" applyFill="1" applyBorder="1">
      <alignment vertical="center"/>
    </xf>
    <xf numFmtId="0" fontId="1" fillId="16" borderId="6" xfId="0" applyFont="1" applyFill="1" applyBorder="1">
      <alignment vertical="center"/>
    </xf>
    <xf numFmtId="0" fontId="1" fillId="16" borderId="7" xfId="0" applyFont="1" applyFill="1" applyBorder="1">
      <alignment vertical="center"/>
    </xf>
    <xf numFmtId="165" fontId="1" fillId="16" borderId="14" xfId="0" applyNumberFormat="1" applyFont="1" applyFill="1" applyBorder="1">
      <alignment vertical="center"/>
    </xf>
    <xf numFmtId="164" fontId="1" fillId="16" borderId="14" xfId="0" applyNumberFormat="1" applyFont="1" applyFill="1" applyBorder="1">
      <alignment vertical="center"/>
    </xf>
    <xf numFmtId="0" fontId="1" fillId="16" borderId="0" xfId="0" applyFont="1" applyFill="1">
      <alignment vertical="center"/>
    </xf>
    <xf numFmtId="0" fontId="0" fillId="25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18" fillId="0" borderId="33" xfId="0" applyNumberFormat="1" applyFont="1" applyBorder="1" applyAlignment="1">
      <alignment horizontal="left"/>
    </xf>
    <xf numFmtId="49" fontId="18" fillId="0" borderId="33" xfId="0" applyNumberFormat="1" applyFont="1" applyBorder="1" applyAlignment="1">
      <alignment horizontal="left"/>
    </xf>
    <xf numFmtId="0" fontId="18" fillId="0" borderId="33" xfId="0" applyFont="1" applyBorder="1" applyAlignment="1">
      <alignment horizontal="center"/>
    </xf>
    <xf numFmtId="0" fontId="18" fillId="0" borderId="33" xfId="0" applyFont="1" applyBorder="1" applyAlignment="1"/>
    <xf numFmtId="0" fontId="18" fillId="0" borderId="33" xfId="10" applyFont="1" applyBorder="1"/>
    <xf numFmtId="0" fontId="49" fillId="0" borderId="14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0" fillId="0" borderId="14" xfId="0" applyBorder="1" applyAlignment="1">
      <alignment vertical="center" wrapText="1"/>
    </xf>
    <xf numFmtId="165" fontId="51" fillId="16" borderId="14" xfId="0" applyNumberFormat="1" applyFont="1" applyFill="1" applyBorder="1">
      <alignment vertical="center"/>
    </xf>
    <xf numFmtId="165" fontId="45" fillId="0" borderId="14" xfId="0" applyNumberFormat="1" applyFont="1" applyBorder="1">
      <alignment vertical="center"/>
    </xf>
    <xf numFmtId="164" fontId="52" fillId="0" borderId="14" xfId="0" applyNumberFormat="1" applyFont="1" applyBorder="1" applyAlignment="1">
      <alignment horizontal="center" vertical="center"/>
    </xf>
    <xf numFmtId="165" fontId="51" fillId="0" borderId="14" xfId="0" applyNumberFormat="1" applyFont="1" applyBorder="1">
      <alignment vertical="center"/>
    </xf>
    <xf numFmtId="0" fontId="5" fillId="3" borderId="1" xfId="1" applyFont="1" applyFill="1" applyBorder="1" applyAlignment="1">
      <alignment horizontal="center" vertical="center"/>
    </xf>
    <xf numFmtId="0" fontId="10" fillId="3" borderId="9" xfId="1" applyFont="1" applyFill="1" applyBorder="1" applyAlignment="1">
      <alignment horizontal="center" vertical="center"/>
    </xf>
    <xf numFmtId="0" fontId="46" fillId="16" borderId="14" xfId="0" applyFont="1" applyFill="1" applyBorder="1" applyAlignment="1">
      <alignment horizontal="center" vertical="center"/>
    </xf>
    <xf numFmtId="0" fontId="52" fillId="0" borderId="14" xfId="0" applyFont="1" applyBorder="1" applyAlignment="1">
      <alignment horizontal="center" vertical="center"/>
    </xf>
    <xf numFmtId="0" fontId="1" fillId="16" borderId="14" xfId="0" applyFont="1" applyFill="1" applyBorder="1" applyAlignment="1">
      <alignment vertical="center" wrapText="1"/>
    </xf>
    <xf numFmtId="164" fontId="1" fillId="16" borderId="14" xfId="0" applyNumberFormat="1" applyFont="1" applyFill="1" applyBorder="1" applyAlignment="1">
      <alignment vertical="center" wrapText="1"/>
    </xf>
    <xf numFmtId="165" fontId="55" fillId="16" borderId="14" xfId="0" applyNumberFormat="1" applyFont="1" applyFill="1" applyBorder="1">
      <alignment vertical="center"/>
    </xf>
    <xf numFmtId="164" fontId="0" fillId="20" borderId="14" xfId="0" applyNumberFormat="1" applyFill="1" applyBorder="1">
      <alignment vertical="center"/>
    </xf>
    <xf numFmtId="0" fontId="56" fillId="0" borderId="14" xfId="0" applyFont="1" applyBorder="1">
      <alignment vertical="center"/>
    </xf>
    <xf numFmtId="169" fontId="56" fillId="0" borderId="14" xfId="0" applyNumberFormat="1" applyFont="1" applyBorder="1">
      <alignment vertical="center"/>
    </xf>
    <xf numFmtId="0" fontId="56" fillId="0" borderId="6" xfId="0" applyFont="1" applyBorder="1">
      <alignment vertical="center"/>
    </xf>
    <xf numFmtId="0" fontId="56" fillId="0" borderId="7" xfId="0" applyFont="1" applyBorder="1">
      <alignment vertical="center"/>
    </xf>
    <xf numFmtId="0" fontId="56" fillId="0" borderId="14" xfId="0" applyFont="1" applyBorder="1" applyAlignment="1">
      <alignment horizontal="center" vertical="center"/>
    </xf>
    <xf numFmtId="165" fontId="56" fillId="0" borderId="14" xfId="0" applyNumberFormat="1" applyFont="1" applyBorder="1">
      <alignment vertical="center"/>
    </xf>
    <xf numFmtId="164" fontId="56" fillId="0" borderId="14" xfId="0" applyNumberFormat="1" applyFont="1" applyBorder="1">
      <alignment vertical="center"/>
    </xf>
    <xf numFmtId="164" fontId="56" fillId="0" borderId="14" xfId="0" applyNumberFormat="1" applyFont="1" applyBorder="1" applyAlignment="1">
      <alignment horizontal="center" vertical="center"/>
    </xf>
    <xf numFmtId="169" fontId="0" fillId="16" borderId="14" xfId="0" applyNumberFormat="1" applyFill="1" applyBorder="1" applyAlignment="1">
      <alignment horizontal="right" vertical="center"/>
    </xf>
    <xf numFmtId="164" fontId="52" fillId="16" borderId="14" xfId="0" applyNumberFormat="1" applyFont="1" applyFill="1" applyBorder="1" applyAlignment="1">
      <alignment horizontal="center" vertical="center"/>
    </xf>
    <xf numFmtId="0" fontId="52" fillId="16" borderId="14" xfId="0" applyFont="1" applyFill="1" applyBorder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0" fontId="0" fillId="0" borderId="14" xfId="0" quotePrefix="1" applyBorder="1">
      <alignment vertical="center"/>
    </xf>
    <xf numFmtId="0" fontId="0" fillId="0" borderId="14" xfId="0" applyBorder="1" applyAlignment="1">
      <alignment horizontal="left" vertical="center"/>
    </xf>
    <xf numFmtId="0" fontId="7" fillId="20" borderId="14" xfId="2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164" fontId="22" fillId="15" borderId="0" xfId="0" applyNumberFormat="1" applyFont="1" applyFill="1" applyAlignment="1">
      <alignment horizontal="center" vertical="center"/>
    </xf>
    <xf numFmtId="164" fontId="22" fillId="15" borderId="23" xfId="0" applyNumberFormat="1" applyFont="1" applyFill="1" applyBorder="1" applyAlignment="1">
      <alignment horizontal="center" vertical="center"/>
    </xf>
    <xf numFmtId="164" fontId="22" fillId="15" borderId="34" xfId="0" applyNumberFormat="1" applyFont="1" applyFill="1" applyBorder="1" applyAlignment="1">
      <alignment horizontal="center" vertical="center"/>
    </xf>
    <xf numFmtId="164" fontId="22" fillId="15" borderId="35" xfId="0" applyNumberFormat="1" applyFont="1" applyFill="1" applyBorder="1" applyAlignment="1">
      <alignment horizontal="center" vertical="center"/>
    </xf>
    <xf numFmtId="0" fontId="25" fillId="17" borderId="0" xfId="2" applyFont="1" applyFill="1" applyAlignment="1">
      <alignment horizontal="center" vertical="center"/>
    </xf>
    <xf numFmtId="0" fontId="30" fillId="18" borderId="0" xfId="2" applyFont="1" applyFill="1" applyAlignment="1">
      <alignment horizontal="center" vertical="center" wrapText="1"/>
    </xf>
    <xf numFmtId="0" fontId="30" fillId="18" borderId="0" xfId="2" applyFont="1" applyFill="1" applyAlignment="1">
      <alignment horizontal="center" vertical="center"/>
    </xf>
    <xf numFmtId="0" fontId="30" fillId="19" borderId="0" xfId="2" applyFont="1" applyFill="1" applyAlignment="1">
      <alignment horizontal="center" wrapText="1"/>
    </xf>
    <xf numFmtId="0" fontId="30" fillId="19" borderId="0" xfId="2" applyFont="1" applyFill="1" applyAlignment="1">
      <alignment horizontal="center"/>
    </xf>
    <xf numFmtId="0" fontId="29" fillId="18" borderId="0" xfId="7" applyFill="1" applyAlignment="1" applyProtection="1">
      <alignment horizontal="center" vertical="center" wrapText="1"/>
    </xf>
    <xf numFmtId="0" fontId="11" fillId="0" borderId="15" xfId="4" applyFont="1" applyBorder="1" applyAlignment="1">
      <alignment horizontal="center" wrapText="1"/>
    </xf>
    <xf numFmtId="0" fontId="11" fillId="0" borderId="16" xfId="4" applyFont="1" applyBorder="1" applyAlignment="1">
      <alignment horizontal="center" wrapText="1"/>
    </xf>
  </cellXfs>
  <cellStyles count="11">
    <cellStyle name="Comma 2 2" xfId="3" xr:uid="{00000000-0005-0000-0000-000000000000}"/>
    <cellStyle name="Hyperlink" xfId="9" builtinId="8"/>
    <cellStyle name="Hyperlink 2" xfId="7" xr:uid="{00000000-0005-0000-0000-000002000000}"/>
    <cellStyle name="Normal" xfId="0" builtinId="0"/>
    <cellStyle name="Normal 18" xfId="10" xr:uid="{A2B988B1-E578-4076-A635-E0CCBD30CE4D}"/>
    <cellStyle name="Normal 2" xfId="6" xr:uid="{00000000-0005-0000-0000-000004000000}"/>
    <cellStyle name="Normal 2 2" xfId="2" xr:uid="{00000000-0005-0000-0000-000005000000}"/>
    <cellStyle name="Normal 3 2" xfId="4" xr:uid="{00000000-0005-0000-0000-000006000000}"/>
    <cellStyle name="Normal 4" xfId="8" xr:uid="{00000000-0005-0000-0000-000007000000}"/>
    <cellStyle name="Normal 5 2" xfId="1" xr:uid="{00000000-0005-0000-0000-000008000000}"/>
    <cellStyle name="Normal_110831" xfId="5" xr:uid="{00000000-0005-0000-0000-000009000000}"/>
  </cellStyles>
  <dxfs count="24">
    <dxf>
      <font>
        <condense val="0"/>
        <extend val="0"/>
        <color indexed="1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1784074</xdr:colOff>
      <xdr:row>1387</xdr:row>
      <xdr:rowOff>71230</xdr:rowOff>
    </xdr:from>
    <xdr:to>
      <xdr:col>11</xdr:col>
      <xdr:colOff>1658</xdr:colOff>
      <xdr:row>1397</xdr:row>
      <xdr:rowOff>129207</xdr:rowOff>
    </xdr:to>
    <xdr:sp macro="" textlink="">
      <xdr:nvSpPr>
        <xdr:cNvPr id="2" name="Star: 7 Point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27094" y="233349910"/>
          <a:ext cx="8039764" cy="1734377"/>
        </a:xfrm>
        <a:prstGeom prst="star7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h-TH" sz="1100"/>
            <a:t>กรณีต้องเพิ่มรายละเอียดในชีทนี้ให้แจ้งคิวเอเพื่อทำการเพิ่มให้เท่านั้น</a:t>
          </a:r>
        </a:p>
        <a:p>
          <a:pPr algn="l"/>
          <a:r>
            <a:rPr lang="th-TH" sz="1100">
              <a:solidFill>
                <a:srgbClr val="FF0000"/>
              </a:solidFill>
            </a:rPr>
            <a:t>โทร</a:t>
          </a:r>
          <a:r>
            <a:rPr lang="th-TH" sz="1100" baseline="0">
              <a:solidFill>
                <a:srgbClr val="FF0000"/>
              </a:solidFill>
            </a:rPr>
            <a:t> 273 พี่ภา</a:t>
          </a:r>
        </a:p>
        <a:p>
          <a:pPr algn="l"/>
          <a:r>
            <a:rPr lang="th-TH" sz="1100" baseline="0">
              <a:solidFill>
                <a:srgbClr val="FF0000"/>
              </a:solidFill>
            </a:rPr>
            <a:t>      </a:t>
          </a:r>
          <a:r>
            <a:rPr lang="en-US" sz="1100" baseline="0">
              <a:solidFill>
                <a:srgbClr val="FF0000"/>
              </a:solidFill>
            </a:rPr>
            <a:t>159 </a:t>
          </a:r>
          <a:r>
            <a:rPr lang="th-TH" sz="1100" baseline="0">
              <a:solidFill>
                <a:srgbClr val="FF0000"/>
              </a:solidFill>
            </a:rPr>
            <a:t>ยุ้ยคิวเอ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1784074</xdr:colOff>
      <xdr:row>1387</xdr:row>
      <xdr:rowOff>71230</xdr:rowOff>
    </xdr:from>
    <xdr:to>
      <xdr:col>11</xdr:col>
      <xdr:colOff>1658</xdr:colOff>
      <xdr:row>1397</xdr:row>
      <xdr:rowOff>129207</xdr:rowOff>
    </xdr:to>
    <xdr:sp macro="" textlink="">
      <xdr:nvSpPr>
        <xdr:cNvPr id="3" name="Star: 7 Points 2">
          <a:extLst>
            <a:ext uri="{FF2B5EF4-FFF2-40B4-BE49-F238E27FC236}">
              <a16:creationId xmlns:a16="http://schemas.microsoft.com/office/drawing/2014/main" id="{82FE20B4-1428-438A-9028-6FC527360668}"/>
            </a:ext>
          </a:extLst>
        </xdr:cNvPr>
        <xdr:cNvSpPr/>
      </xdr:nvSpPr>
      <xdr:spPr>
        <a:xfrm>
          <a:off x="18327094" y="233349910"/>
          <a:ext cx="8039764" cy="1734377"/>
        </a:xfrm>
        <a:prstGeom prst="star7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h-TH" sz="1100"/>
            <a:t>กรณีต้องเพิ่มรายละเอียดในชีทนี้ให้แจ้งคิวเอเพื่อทำการเพิ่มให้เท่านั้น</a:t>
          </a:r>
        </a:p>
        <a:p>
          <a:pPr algn="l"/>
          <a:r>
            <a:rPr lang="th-TH" sz="1100">
              <a:solidFill>
                <a:srgbClr val="FF0000"/>
              </a:solidFill>
            </a:rPr>
            <a:t>โทร</a:t>
          </a:r>
          <a:r>
            <a:rPr lang="th-TH" sz="1100" baseline="0">
              <a:solidFill>
                <a:srgbClr val="FF0000"/>
              </a:solidFill>
            </a:rPr>
            <a:t> 273 พี่ภา</a:t>
          </a:r>
        </a:p>
        <a:p>
          <a:pPr algn="l"/>
          <a:r>
            <a:rPr lang="th-TH" sz="1100" baseline="0">
              <a:solidFill>
                <a:srgbClr val="FF0000"/>
              </a:solidFill>
            </a:rPr>
            <a:t>      </a:t>
          </a:r>
          <a:r>
            <a:rPr lang="en-US" sz="1100" baseline="0">
              <a:solidFill>
                <a:srgbClr val="FF0000"/>
              </a:solidFill>
            </a:rPr>
            <a:t>159 </a:t>
          </a:r>
          <a:r>
            <a:rPr lang="th-TH" sz="1100" baseline="0">
              <a:solidFill>
                <a:srgbClr val="FF0000"/>
              </a:solidFill>
            </a:rPr>
            <a:t>ยุ้ยคิวเอ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59266</xdr:colOff>
      <xdr:row>0</xdr:row>
      <xdr:rowOff>152400</xdr:rowOff>
    </xdr:from>
    <xdr:to>
      <xdr:col>45</xdr:col>
      <xdr:colOff>275913</xdr:colOff>
      <xdr:row>1</xdr:row>
      <xdr:rowOff>372533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C2B6372-C7BC-44E7-8B19-1F9333AECB4F}"/>
            </a:ext>
          </a:extLst>
        </xdr:cNvPr>
        <xdr:cNvGrpSpPr/>
      </xdr:nvGrpSpPr>
      <xdr:grpSpPr>
        <a:xfrm>
          <a:off x="73954216" y="152400"/>
          <a:ext cx="2216897" cy="886883"/>
          <a:chOff x="52972446" y="1775012"/>
          <a:chExt cx="2429436" cy="1259315"/>
        </a:xfrm>
      </xdr:grpSpPr>
      <xdr:pic macro="[0]!Module4.ProcessData">
        <xdr:nvPicPr>
          <xdr:cNvPr id="10" name="Picture 9" descr="Free green button rounded button button vector">
            <a:extLst>
              <a:ext uri="{FF2B5EF4-FFF2-40B4-BE49-F238E27FC236}">
                <a16:creationId xmlns:a16="http://schemas.microsoft.com/office/drawing/2014/main" id="{767C62AA-4AAA-E888-6016-A81F866CC1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972446" y="1775012"/>
            <a:ext cx="2429436" cy="12593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odule4.ProcessData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0A1CB67-8815-AEE7-5E9B-C4B41A264A9D}"/>
              </a:ext>
            </a:extLst>
          </xdr:cNvPr>
          <xdr:cNvSpPr/>
        </xdr:nvSpPr>
        <xdr:spPr>
          <a:xfrm>
            <a:off x="53169671" y="2375647"/>
            <a:ext cx="1945341" cy="510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Stencil" panose="040409050D0802020404" pitchFamily="82" charset="0"/>
              </a:rPr>
              <a:t>Sum</a:t>
            </a:r>
            <a:r>
              <a:rPr lang="en-US" sz="1400" baseline="0">
                <a:latin typeface="Stencil" panose="040409050D0802020404" pitchFamily="82" charset="0"/>
              </a:rPr>
              <a:t> Remain </a:t>
            </a:r>
            <a:endParaRPr lang="en-US" sz="1400">
              <a:latin typeface="Stencil" panose="040409050D0802020404" pitchFamily="8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59266</xdr:colOff>
      <xdr:row>0</xdr:row>
      <xdr:rowOff>152400</xdr:rowOff>
    </xdr:from>
    <xdr:to>
      <xdr:col>44</xdr:col>
      <xdr:colOff>275913</xdr:colOff>
      <xdr:row>1</xdr:row>
      <xdr:rowOff>372533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2A879C2-5E5D-4B6D-84F4-8922AE94B07A}"/>
            </a:ext>
          </a:extLst>
        </xdr:cNvPr>
        <xdr:cNvGrpSpPr/>
      </xdr:nvGrpSpPr>
      <xdr:grpSpPr>
        <a:xfrm>
          <a:off x="62139854" y="152400"/>
          <a:ext cx="2233706" cy="883521"/>
          <a:chOff x="52972446" y="1775012"/>
          <a:chExt cx="2429436" cy="1259315"/>
        </a:xfrm>
      </xdr:grpSpPr>
      <xdr:pic macro="[0]!Module4.ProcessData">
        <xdr:nvPicPr>
          <xdr:cNvPr id="3" name="Picture 2" descr="Free green button rounded button button vector">
            <a:extLst>
              <a:ext uri="{FF2B5EF4-FFF2-40B4-BE49-F238E27FC236}">
                <a16:creationId xmlns:a16="http://schemas.microsoft.com/office/drawing/2014/main" id="{71FCEBCF-176A-18AC-AA92-4A02E80531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972446" y="1775012"/>
            <a:ext cx="2429436" cy="12593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odule4.Process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3DC77859-4626-F79B-6389-08E7EEF23903}"/>
              </a:ext>
            </a:extLst>
          </xdr:cNvPr>
          <xdr:cNvSpPr/>
        </xdr:nvSpPr>
        <xdr:spPr>
          <a:xfrm>
            <a:off x="53169671" y="2375647"/>
            <a:ext cx="1945341" cy="510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Stencil" panose="040409050D0802020404" pitchFamily="82" charset="0"/>
              </a:rPr>
              <a:t>Sum</a:t>
            </a:r>
            <a:r>
              <a:rPr lang="en-US" sz="1400" baseline="0">
                <a:latin typeface="Stencil" panose="040409050D0802020404" pitchFamily="82" charset="0"/>
              </a:rPr>
              <a:t> Remain </a:t>
            </a:r>
            <a:endParaRPr lang="en-US" sz="1400">
              <a:latin typeface="Stencil" panose="040409050D0802020404" pitchFamily="82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342900</xdr:colOff>
      <xdr:row>0</xdr:row>
      <xdr:rowOff>106680</xdr:rowOff>
    </xdr:from>
    <xdr:to>
      <xdr:col>14</xdr:col>
      <xdr:colOff>434522</xdr:colOff>
      <xdr:row>5</xdr:row>
      <xdr:rowOff>152582</xdr:rowOff>
    </xdr:to>
    <xdr:pic macro="[0]!CopyAndRenameShee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24160" y="106680"/>
          <a:ext cx="2103302" cy="21033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00\06_Non_Conforming\Material_claim\02_Material_NG_Oversea\2025\01_Control_list_of_NCR_for_Oversea_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-QA-ZZ5"/>
      <sheetName val="DATA"/>
      <sheetName val="Control list"/>
      <sheetName val="DATA old"/>
    </sheetNames>
    <sheetDataSet>
      <sheetData sheetId="0">
        <row r="5">
          <cell r="C5" t="str">
            <v>FA131</v>
          </cell>
          <cell r="D5" t="str">
            <v>Fiber Stopper Plug-F</v>
          </cell>
          <cell r="E5">
            <v>0</v>
          </cell>
          <cell r="F5" t="str">
            <v>S-1 Reduce</v>
          </cell>
          <cell r="G5" t="str">
            <v>II Reduce</v>
          </cell>
          <cell r="H5">
            <v>0</v>
          </cell>
          <cell r="I5" t="str">
            <v>ST-QA-B07</v>
          </cell>
          <cell r="J5" t="str">
            <v>-</v>
          </cell>
          <cell r="K5" t="str">
            <v>受検規I-E-06011</v>
          </cell>
          <cell r="L5">
            <v>0</v>
          </cell>
          <cell r="M5" t="str">
            <v>Sampling check</v>
          </cell>
        </row>
        <row r="6">
          <cell r="C6" t="str">
            <v>FA139</v>
          </cell>
          <cell r="D6" t="str">
            <v>Plastic Cover  (Red)</v>
          </cell>
          <cell r="E6">
            <v>0</v>
          </cell>
          <cell r="F6">
            <v>0</v>
          </cell>
          <cell r="G6" t="str">
            <v>II Normal</v>
          </cell>
          <cell r="H6">
            <v>0</v>
          </cell>
          <cell r="I6" t="str">
            <v>ST-QA-B07</v>
          </cell>
          <cell r="J6" t="str">
            <v>-</v>
          </cell>
          <cell r="K6" t="str">
            <v>-</v>
          </cell>
          <cell r="L6">
            <v>0</v>
          </cell>
          <cell r="M6" t="str">
            <v>Sampling check</v>
          </cell>
        </row>
        <row r="7">
          <cell r="C7" t="str">
            <v>IDH001</v>
          </cell>
          <cell r="D7" t="str">
            <v>Case Upper 84B2030A</v>
          </cell>
          <cell r="E7">
            <v>0</v>
          </cell>
          <cell r="F7">
            <v>0</v>
          </cell>
          <cell r="G7" t="str">
            <v>II Normal</v>
          </cell>
          <cell r="H7">
            <v>0</v>
          </cell>
          <cell r="I7" t="str">
            <v>ST-QA-B07</v>
          </cell>
          <cell r="J7" t="str">
            <v>-</v>
          </cell>
          <cell r="K7" t="str">
            <v>受検規I-E-15007</v>
          </cell>
          <cell r="L7">
            <v>0</v>
          </cell>
          <cell r="M7" t="str">
            <v>Sampling check</v>
          </cell>
        </row>
        <row r="8">
          <cell r="C8" t="str">
            <v>FA108</v>
          </cell>
          <cell r="D8" t="str">
            <v>Back Frame</v>
          </cell>
          <cell r="E8">
            <v>0</v>
          </cell>
          <cell r="F8" t="str">
            <v xml:space="preserve">S-1 Normal
Cavity ≥ 2 pcs </v>
          </cell>
          <cell r="G8" t="str">
            <v xml:space="preserve">S-1 Normal
Cavity ≥ 2 pcs </v>
          </cell>
          <cell r="H8">
            <v>0</v>
          </cell>
          <cell r="I8" t="str">
            <v>ST-QA-B07</v>
          </cell>
          <cell r="J8" t="str">
            <v>-</v>
          </cell>
          <cell r="K8" t="str">
            <v>受検規I-E-11003</v>
          </cell>
          <cell r="L8">
            <v>0</v>
          </cell>
          <cell r="M8" t="str">
            <v>Sampling check</v>
          </cell>
        </row>
        <row r="9">
          <cell r="C9" t="str">
            <v>B016</v>
          </cell>
          <cell r="D9" t="str">
            <v>Upper Case</v>
          </cell>
          <cell r="E9">
            <v>0</v>
          </cell>
          <cell r="F9">
            <v>0</v>
          </cell>
          <cell r="G9" t="str">
            <v>II Normal</v>
          </cell>
          <cell r="H9">
            <v>0</v>
          </cell>
          <cell r="I9" t="str">
            <v>ST-QA-B06</v>
          </cell>
          <cell r="J9" t="str">
            <v>-</v>
          </cell>
          <cell r="K9" t="str">
            <v>-</v>
          </cell>
          <cell r="L9">
            <v>0</v>
          </cell>
          <cell r="M9" t="str">
            <v>Sampling check</v>
          </cell>
        </row>
        <row r="10">
          <cell r="C10" t="str">
            <v>BS269</v>
          </cell>
          <cell r="D10" t="str">
            <v>Cover for E Splitter</v>
          </cell>
          <cell r="E10">
            <v>0</v>
          </cell>
          <cell r="F10">
            <v>0</v>
          </cell>
          <cell r="G10" t="str">
            <v>All</v>
          </cell>
          <cell r="H10">
            <v>0</v>
          </cell>
          <cell r="I10" t="str">
            <v>ST-QA-B06</v>
          </cell>
          <cell r="J10" t="str">
            <v>-</v>
          </cell>
          <cell r="K10" t="str">
            <v>-</v>
          </cell>
          <cell r="L10">
            <v>0</v>
          </cell>
          <cell r="M10" t="str">
            <v>Appearance check 100%</v>
          </cell>
        </row>
        <row r="11">
          <cell r="C11" t="str">
            <v>RNJFS160-FEC</v>
          </cell>
          <cell r="D11" t="str">
            <v>M4 Shaft P0.7 30A3120</v>
          </cell>
          <cell r="E11">
            <v>0</v>
          </cell>
          <cell r="F11">
            <v>0</v>
          </cell>
          <cell r="G11" t="str">
            <v>All</v>
          </cell>
          <cell r="H11" t="str">
            <v>5 Pcs.</v>
          </cell>
          <cell r="I11" t="str">
            <v>ST-QA-B16</v>
          </cell>
          <cell r="J11" t="str">
            <v>KEEP</v>
          </cell>
          <cell r="K11" t="str">
            <v>受検規I-E-14055</v>
          </cell>
          <cell r="L11">
            <v>0</v>
          </cell>
          <cell r="M11" t="str">
            <v>Appearance check 100%</v>
          </cell>
        </row>
        <row r="12">
          <cell r="C12" t="str">
            <v>FS413</v>
          </cell>
          <cell r="D12" t="str">
            <v>CANOPY COVER : 33A2090</v>
          </cell>
          <cell r="E12">
            <v>0</v>
          </cell>
          <cell r="F12">
            <v>0</v>
          </cell>
          <cell r="G12" t="str">
            <v>II Normal</v>
          </cell>
          <cell r="H12">
            <v>0</v>
          </cell>
          <cell r="I12" t="str">
            <v>ST-QA-B16</v>
          </cell>
          <cell r="J12" t="str">
            <v>-</v>
          </cell>
          <cell r="K12" t="str">
            <v>受検規I-U-16017 
(NAKAHARA)</v>
          </cell>
          <cell r="L12">
            <v>0</v>
          </cell>
          <cell r="M12" t="str">
            <v>Sampling check</v>
          </cell>
        </row>
        <row r="13">
          <cell r="C13" t="str">
            <v>FS424</v>
          </cell>
          <cell r="D13" t="str">
            <v>SHAFT LEAD FCS : 33A2054</v>
          </cell>
          <cell r="E13">
            <v>0</v>
          </cell>
          <cell r="F13" t="str">
            <v>5 Pcs.</v>
          </cell>
          <cell r="G13" t="str">
            <v>All</v>
          </cell>
          <cell r="H13" t="str">
            <v>5 Pcs.</v>
          </cell>
          <cell r="I13" t="str">
            <v>ST-QA-B16</v>
          </cell>
          <cell r="J13" t="str">
            <v>-</v>
          </cell>
          <cell r="K13" t="str">
            <v>受検規I-U-16012
 (TAIKO)</v>
          </cell>
          <cell r="L13">
            <v>0</v>
          </cell>
          <cell r="M13" t="str">
            <v>Appearance check 100%</v>
          </cell>
        </row>
        <row r="14">
          <cell r="C14" t="str">
            <v>FS524</v>
          </cell>
          <cell r="D14" t="str">
            <v>HEATER CLAMP BASE R : 33A1042</v>
          </cell>
          <cell r="E14">
            <v>0</v>
          </cell>
          <cell r="F14">
            <v>0</v>
          </cell>
          <cell r="G14" t="str">
            <v>II Normal</v>
          </cell>
          <cell r="H14">
            <v>0</v>
          </cell>
          <cell r="I14" t="str">
            <v>ST-QA-B16</v>
          </cell>
          <cell r="J14" t="str">
            <v>-</v>
          </cell>
          <cell r="K14" t="str">
            <v xml:space="preserve"> 受検規I-U-16021 
(NAKAHARA)</v>
          </cell>
          <cell r="L14">
            <v>0</v>
          </cell>
          <cell r="M14" t="str">
            <v>Sampling check</v>
          </cell>
        </row>
        <row r="15">
          <cell r="C15" t="str">
            <v>FS525</v>
          </cell>
          <cell r="D15" t="str">
            <v>HEATER COVER : 33A1058</v>
          </cell>
          <cell r="E15">
            <v>0</v>
          </cell>
          <cell r="F15">
            <v>0</v>
          </cell>
          <cell r="G15" t="str">
            <v>II Normal</v>
          </cell>
          <cell r="H15">
            <v>0</v>
          </cell>
          <cell r="I15" t="str">
            <v>ST-QA-B16</v>
          </cell>
          <cell r="J15" t="str">
            <v>-</v>
          </cell>
          <cell r="K15" t="str">
            <v xml:space="preserve"> 受検規I-U-16019 
(NAKAHARA)</v>
          </cell>
          <cell r="L15">
            <v>0</v>
          </cell>
          <cell r="M15" t="str">
            <v>Sampling check</v>
          </cell>
        </row>
        <row r="16">
          <cell r="C16" t="str">
            <v>FS526</v>
          </cell>
          <cell r="D16" t="str">
            <v>HEATER CASE : 33A2905B</v>
          </cell>
          <cell r="E16">
            <v>0</v>
          </cell>
          <cell r="F16">
            <v>0</v>
          </cell>
          <cell r="G16" t="str">
            <v>II Normal</v>
          </cell>
          <cell r="H16">
            <v>0</v>
          </cell>
          <cell r="I16" t="str">
            <v>ST-QA-B16</v>
          </cell>
          <cell r="J16" t="str">
            <v>-</v>
          </cell>
          <cell r="K16" t="str">
            <v xml:space="preserve"> 受検規I-U-16020 
(NAKAHARA)</v>
          </cell>
          <cell r="L16">
            <v>0</v>
          </cell>
          <cell r="M16" t="str">
            <v>Sampling check</v>
          </cell>
        </row>
        <row r="17">
          <cell r="C17" t="str">
            <v>FS528</v>
          </cell>
          <cell r="D17" t="str">
            <v>FRONT COVER : 33A2110</v>
          </cell>
          <cell r="E17">
            <v>0</v>
          </cell>
          <cell r="F17">
            <v>0</v>
          </cell>
          <cell r="G17" t="str">
            <v>II Normal</v>
          </cell>
          <cell r="H17">
            <v>0</v>
          </cell>
          <cell r="I17" t="str">
            <v>ST-QA-B16</v>
          </cell>
          <cell r="J17" t="str">
            <v>-</v>
          </cell>
          <cell r="K17" t="str">
            <v>受検規I-U-16018 
(NAKAHARA)</v>
          </cell>
          <cell r="L17">
            <v>0</v>
          </cell>
          <cell r="M17" t="str">
            <v>Sampling check</v>
          </cell>
        </row>
        <row r="18">
          <cell r="C18" t="str">
            <v>FS529</v>
          </cell>
          <cell r="D18" t="str">
            <v>BOTTOM COVER（PRESS FIT）: 33A2106</v>
          </cell>
          <cell r="E18">
            <v>0</v>
          </cell>
          <cell r="F18">
            <v>0</v>
          </cell>
          <cell r="G18" t="str">
            <v>II Normal</v>
          </cell>
          <cell r="H18">
            <v>0</v>
          </cell>
          <cell r="I18" t="str">
            <v>ST-QA-B16</v>
          </cell>
          <cell r="J18" t="str">
            <v>-</v>
          </cell>
          <cell r="K18" t="str">
            <v>受検規I-U-16016 
(NAKAHARA)</v>
          </cell>
          <cell r="L18">
            <v>0</v>
          </cell>
          <cell r="M18" t="str">
            <v>Sampling check</v>
          </cell>
        </row>
        <row r="19">
          <cell r="C19" t="str">
            <v>FS530</v>
          </cell>
          <cell r="D19" t="str">
            <v>TOP COVER（PRESS FIT）: 33A2001</v>
          </cell>
          <cell r="E19">
            <v>0</v>
          </cell>
          <cell r="F19" t="str">
            <v>5 Pcs.</v>
          </cell>
          <cell r="G19" t="str">
            <v>II Normal</v>
          </cell>
          <cell r="H19">
            <v>0</v>
          </cell>
          <cell r="I19" t="str">
            <v>ST-QA-B16</v>
          </cell>
          <cell r="J19" t="str">
            <v>-</v>
          </cell>
          <cell r="K19" t="str">
            <v>受検規I-U-16015 
(NAKAHARA)</v>
          </cell>
          <cell r="L19">
            <v>0</v>
          </cell>
          <cell r="M19" t="str">
            <v>Sampling check</v>
          </cell>
        </row>
        <row r="20">
          <cell r="C20" t="str">
            <v>FS535</v>
          </cell>
          <cell r="D20" t="str">
            <v>LEAD SCREW （ＬＭ）: 33A2023</v>
          </cell>
          <cell r="E20">
            <v>0</v>
          </cell>
          <cell r="F20" t="str">
            <v>5 Pcs.</v>
          </cell>
          <cell r="G20" t="str">
            <v>All</v>
          </cell>
          <cell r="H20" t="str">
            <v>5 Pcs.</v>
          </cell>
          <cell r="I20" t="str">
            <v>ST-QA-B16</v>
          </cell>
          <cell r="J20" t="str">
            <v>-</v>
          </cell>
          <cell r="K20" t="str">
            <v>受検規 I-U-16011 
(TAIKO)</v>
          </cell>
          <cell r="L20">
            <v>0</v>
          </cell>
          <cell r="M20" t="str">
            <v>Appearance check 100%</v>
          </cell>
        </row>
        <row r="21">
          <cell r="C21" t="str">
            <v>RSL00003-FEC</v>
          </cell>
          <cell r="D21" t="str">
            <v>COVER GLASS</v>
          </cell>
          <cell r="E21">
            <v>0</v>
          </cell>
          <cell r="F21">
            <v>0</v>
          </cell>
          <cell r="G21" t="str">
            <v>All</v>
          </cell>
          <cell r="H21">
            <v>0</v>
          </cell>
          <cell r="I21" t="str">
            <v>ST-QA-B16</v>
          </cell>
          <cell r="J21" t="str">
            <v>-</v>
          </cell>
          <cell r="K21" t="str">
            <v>-</v>
          </cell>
          <cell r="L21">
            <v>0</v>
          </cell>
          <cell r="M21" t="str">
            <v>Appearance check 100%</v>
          </cell>
        </row>
        <row r="22">
          <cell r="C22" t="str">
            <v>FS003</v>
          </cell>
          <cell r="D22" t="str">
            <v>ELETRODES  : 30A2300</v>
          </cell>
          <cell r="E22">
            <v>0</v>
          </cell>
          <cell r="F22">
            <v>0</v>
          </cell>
          <cell r="G22">
            <v>0</v>
          </cell>
          <cell r="H22" t="str">
            <v>1 Pc.</v>
          </cell>
          <cell r="I22" t="str">
            <v>ST-QA-B16</v>
          </cell>
          <cell r="J22" t="str">
            <v>-</v>
          </cell>
          <cell r="K22" t="str">
            <v xml:space="preserve">受検規I-E-14054
</v>
          </cell>
          <cell r="L22">
            <v>0</v>
          </cell>
          <cell r="M22" t="str">
            <v>Sampling check</v>
          </cell>
        </row>
        <row r="23">
          <cell r="C23" t="str">
            <v>R179S657-FEC</v>
          </cell>
          <cell r="D23" t="str">
            <v xml:space="preserve">LCD </v>
          </cell>
          <cell r="E23">
            <v>0</v>
          </cell>
          <cell r="F23">
            <v>0</v>
          </cell>
          <cell r="G23" t="str">
            <v>All</v>
          </cell>
          <cell r="H23">
            <v>0</v>
          </cell>
          <cell r="I23" t="str">
            <v>ST-QA-B16</v>
          </cell>
          <cell r="J23" t="str">
            <v>-</v>
          </cell>
          <cell r="K23" t="str">
            <v>-</v>
          </cell>
          <cell r="L23">
            <v>0</v>
          </cell>
          <cell r="M23" t="str">
            <v>Appearance check 100%</v>
          </cell>
        </row>
        <row r="24">
          <cell r="C24" t="str">
            <v>RS001013-FEC</v>
          </cell>
          <cell r="D24" t="str">
            <v>LCD_2.8INCH</v>
          </cell>
          <cell r="E24">
            <v>0</v>
          </cell>
          <cell r="F24">
            <v>0</v>
          </cell>
          <cell r="G24" t="str">
            <v>All</v>
          </cell>
          <cell r="H24">
            <v>0</v>
          </cell>
          <cell r="I24" t="str">
            <v>ST-QA-B16</v>
          </cell>
          <cell r="J24" t="str">
            <v>-</v>
          </cell>
          <cell r="K24" t="str">
            <v>-</v>
          </cell>
          <cell r="L24">
            <v>0</v>
          </cell>
          <cell r="M24" t="str">
            <v>Appearance check 100%</v>
          </cell>
        </row>
        <row r="25">
          <cell r="C25" t="str">
            <v>FBT133M</v>
          </cell>
          <cell r="D25" t="str">
            <v>FIBER ASSEMBLY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 t="str">
            <v>KEEP</v>
          </cell>
          <cell r="K25" t="str">
            <v>-</v>
          </cell>
          <cell r="L25">
            <v>0</v>
          </cell>
          <cell r="M25" t="str">
            <v>Sampling check</v>
          </cell>
        </row>
        <row r="26">
          <cell r="C26" t="str">
            <v>R179S001-MAC</v>
          </cell>
          <cell r="D26" t="str">
            <v xml:space="preserve">LCD Display </v>
          </cell>
          <cell r="E26">
            <v>0</v>
          </cell>
          <cell r="F26">
            <v>0</v>
          </cell>
          <cell r="G26" t="str">
            <v>All</v>
          </cell>
          <cell r="H26">
            <v>0</v>
          </cell>
          <cell r="I26" t="str">
            <v>ST-QA-B36</v>
          </cell>
          <cell r="J26" t="str">
            <v>-</v>
          </cell>
          <cell r="K26" t="str">
            <v>受検規I-U-17001</v>
          </cell>
          <cell r="L26">
            <v>0</v>
          </cell>
          <cell r="M26" t="str">
            <v>Appearance check 100%</v>
          </cell>
        </row>
        <row r="27">
          <cell r="C27" t="str">
            <v>RFLBC014-MAC</v>
          </cell>
          <cell r="D27" t="str">
            <v>BASE PLATE</v>
          </cell>
          <cell r="E27">
            <v>0</v>
          </cell>
          <cell r="F27" t="str">
            <v>S-1 Normal</v>
          </cell>
          <cell r="G27" t="str">
            <v>5%/lot</v>
          </cell>
          <cell r="H27">
            <v>0</v>
          </cell>
          <cell r="I27" t="str">
            <v>ST-QA-B43</v>
          </cell>
          <cell r="J27" t="str">
            <v>-</v>
          </cell>
          <cell r="K27" t="str">
            <v>-</v>
          </cell>
          <cell r="L27">
            <v>0</v>
          </cell>
          <cell r="M27" t="str">
            <v>Sampling check</v>
          </cell>
        </row>
        <row r="28">
          <cell r="C28" t="str">
            <v>RFLTFB20-MAC</v>
          </cell>
          <cell r="D28" t="str">
            <v>BASE PLATE</v>
          </cell>
          <cell r="E28">
            <v>0</v>
          </cell>
          <cell r="F28" t="str">
            <v>S-1 Normal</v>
          </cell>
          <cell r="G28" t="str">
            <v>5%/lot</v>
          </cell>
          <cell r="H28">
            <v>0</v>
          </cell>
          <cell r="I28" t="str">
            <v>ST-QA-B43</v>
          </cell>
          <cell r="J28" t="str">
            <v>-</v>
          </cell>
          <cell r="K28" t="str">
            <v>-</v>
          </cell>
          <cell r="L28">
            <v>0</v>
          </cell>
          <cell r="M28" t="str">
            <v>Sampling check</v>
          </cell>
        </row>
        <row r="29">
          <cell r="C29" t="str">
            <v>R00FA001-SUR</v>
          </cell>
          <cell r="D29" t="str">
            <v>Cover L Gray</v>
          </cell>
          <cell r="E29">
            <v>0</v>
          </cell>
          <cell r="F29" t="str">
            <v xml:space="preserve">1 Pc./Cavity
</v>
          </cell>
          <cell r="G29" t="str">
            <v>II Reduce</v>
          </cell>
          <cell r="H29">
            <v>0</v>
          </cell>
          <cell r="I29" t="str">
            <v>ST-QA-B37</v>
          </cell>
          <cell r="J29" t="str">
            <v>-</v>
          </cell>
          <cell r="K29" t="str">
            <v>-</v>
          </cell>
          <cell r="L29">
            <v>0</v>
          </cell>
          <cell r="M29" t="str">
            <v>Sampling check</v>
          </cell>
        </row>
        <row r="30">
          <cell r="C30" t="str">
            <v>R00FA002-SUR</v>
          </cell>
          <cell r="D30" t="str">
            <v>FSC Pin</v>
          </cell>
          <cell r="E30">
            <v>0</v>
          </cell>
          <cell r="F30">
            <v>0</v>
          </cell>
          <cell r="G30" t="str">
            <v>II Reduce</v>
          </cell>
          <cell r="H30">
            <v>0</v>
          </cell>
          <cell r="I30" t="str">
            <v>ST-QA-B37</v>
          </cell>
          <cell r="J30" t="str">
            <v>-</v>
          </cell>
          <cell r="K30">
            <v>0</v>
          </cell>
          <cell r="L30">
            <v>0</v>
          </cell>
          <cell r="M30" t="str">
            <v>Sampling check</v>
          </cell>
        </row>
        <row r="31">
          <cell r="C31" t="str">
            <v>R00FA003-SUR</v>
          </cell>
          <cell r="D31" t="str">
            <v xml:space="preserve">FSC Stop Ring </v>
          </cell>
          <cell r="E31">
            <v>0</v>
          </cell>
          <cell r="F31">
            <v>0</v>
          </cell>
          <cell r="G31" t="str">
            <v>II Reduce</v>
          </cell>
          <cell r="H31">
            <v>0</v>
          </cell>
          <cell r="I31" t="str">
            <v>ST-QA-B37</v>
          </cell>
          <cell r="J31" t="str">
            <v>-</v>
          </cell>
          <cell r="K31">
            <v>0</v>
          </cell>
          <cell r="L31">
            <v>0</v>
          </cell>
          <cell r="M31" t="str">
            <v>Sampling check</v>
          </cell>
        </row>
        <row r="32">
          <cell r="C32" t="str">
            <v>R00FA004-SUR</v>
          </cell>
          <cell r="D32" t="str">
            <v xml:space="preserve">FSC Stopper L </v>
          </cell>
          <cell r="E32">
            <v>0</v>
          </cell>
          <cell r="F32">
            <v>0</v>
          </cell>
          <cell r="G32" t="str">
            <v>II Normal</v>
          </cell>
          <cell r="H32">
            <v>0</v>
          </cell>
          <cell r="I32" t="str">
            <v>ST-QA-B37</v>
          </cell>
          <cell r="J32" t="str">
            <v>-</v>
          </cell>
          <cell r="K32">
            <v>0</v>
          </cell>
          <cell r="L32">
            <v>0</v>
          </cell>
          <cell r="M32" t="str">
            <v>Sampling check</v>
          </cell>
        </row>
        <row r="33">
          <cell r="C33" t="str">
            <v>R00FA005-SUR</v>
          </cell>
          <cell r="D33" t="str">
            <v>SC-PH Plug Frame</v>
          </cell>
          <cell r="E33">
            <v>0</v>
          </cell>
          <cell r="F33">
            <v>0</v>
          </cell>
          <cell r="G33" t="str">
            <v>II Reduce</v>
          </cell>
          <cell r="H33">
            <v>0</v>
          </cell>
          <cell r="I33" t="str">
            <v>ST-QA-B37</v>
          </cell>
          <cell r="J33" t="str">
            <v>-</v>
          </cell>
          <cell r="K33">
            <v>0</v>
          </cell>
          <cell r="L33">
            <v>0</v>
          </cell>
          <cell r="M33" t="str">
            <v>Sampling check</v>
          </cell>
        </row>
        <row r="34">
          <cell r="C34" t="str">
            <v>R00FA006-SUR</v>
          </cell>
          <cell r="D34" t="str">
            <v>FSC Green Knob</v>
          </cell>
          <cell r="E34">
            <v>0</v>
          </cell>
          <cell r="F34">
            <v>0</v>
          </cell>
          <cell r="G34" t="str">
            <v>II Normal</v>
          </cell>
          <cell r="H34">
            <v>0</v>
          </cell>
          <cell r="I34" t="str">
            <v>ST-QA-B37</v>
          </cell>
          <cell r="J34" t="str">
            <v>-</v>
          </cell>
          <cell r="K34">
            <v>0</v>
          </cell>
          <cell r="L34">
            <v>0</v>
          </cell>
          <cell r="M34" t="str">
            <v>Sampling check</v>
          </cell>
        </row>
        <row r="35">
          <cell r="C35" t="str">
            <v>R00FA007-SUR</v>
          </cell>
          <cell r="D35" t="str">
            <v>FSC Kusabi-2 Part</v>
          </cell>
          <cell r="E35">
            <v>0</v>
          </cell>
          <cell r="F35">
            <v>0</v>
          </cell>
          <cell r="G35" t="str">
            <v>II Reduce</v>
          </cell>
          <cell r="H35">
            <v>0</v>
          </cell>
          <cell r="I35" t="str">
            <v>ST-QA-B37</v>
          </cell>
          <cell r="J35" t="str">
            <v>-</v>
          </cell>
          <cell r="K35">
            <v>0</v>
          </cell>
          <cell r="L35">
            <v>0</v>
          </cell>
          <cell r="M35" t="str">
            <v>Sampling check</v>
          </cell>
        </row>
        <row r="36">
          <cell r="C36" t="str">
            <v>R00FA009-SUR</v>
          </cell>
          <cell r="D36" t="str">
            <v>Kusabi Stopper</v>
          </cell>
          <cell r="E36">
            <v>0</v>
          </cell>
          <cell r="F36">
            <v>0</v>
          </cell>
          <cell r="G36" t="str">
            <v>II Normal</v>
          </cell>
          <cell r="H36">
            <v>0</v>
          </cell>
          <cell r="I36" t="str">
            <v>ST-QA-B37</v>
          </cell>
          <cell r="J36" t="str">
            <v>-</v>
          </cell>
          <cell r="K36">
            <v>0</v>
          </cell>
          <cell r="L36">
            <v>0</v>
          </cell>
          <cell r="M36" t="str">
            <v>Sampling check</v>
          </cell>
        </row>
        <row r="37">
          <cell r="C37" t="str">
            <v>R00FA010-SUR</v>
          </cell>
          <cell r="D37" t="str">
            <v>FSC Common holder</v>
          </cell>
          <cell r="E37">
            <v>0</v>
          </cell>
          <cell r="F37">
            <v>0</v>
          </cell>
          <cell r="G37" t="str">
            <v>II Reduce</v>
          </cell>
          <cell r="H37">
            <v>0</v>
          </cell>
          <cell r="I37" t="str">
            <v>ST-QA-B37</v>
          </cell>
          <cell r="J37" t="str">
            <v>-</v>
          </cell>
          <cell r="K37">
            <v>0</v>
          </cell>
          <cell r="L37">
            <v>0</v>
          </cell>
          <cell r="M37" t="str">
            <v>Sampling check</v>
          </cell>
        </row>
        <row r="38">
          <cell r="C38" t="str">
            <v>R00FA011-SUR</v>
          </cell>
          <cell r="D38" t="str">
            <v>F Guide L</v>
          </cell>
          <cell r="E38">
            <v>0</v>
          </cell>
          <cell r="F38">
            <v>0</v>
          </cell>
          <cell r="G38" t="str">
            <v>II Normal</v>
          </cell>
          <cell r="H38">
            <v>0</v>
          </cell>
          <cell r="I38" t="str">
            <v>ST-QA-B37</v>
          </cell>
          <cell r="J38" t="str">
            <v>-</v>
          </cell>
          <cell r="K38">
            <v>0</v>
          </cell>
          <cell r="L38">
            <v>0</v>
          </cell>
          <cell r="M38" t="str">
            <v>Sampling check</v>
          </cell>
        </row>
        <row r="39">
          <cell r="C39" t="str">
            <v>R00FA012-SUR</v>
          </cell>
          <cell r="D39" t="str">
            <v>Plastic Holder</v>
          </cell>
          <cell r="E39">
            <v>0</v>
          </cell>
          <cell r="F39">
            <v>0</v>
          </cell>
          <cell r="G39" t="str">
            <v>II Normal</v>
          </cell>
          <cell r="H39">
            <v>0</v>
          </cell>
          <cell r="I39" t="str">
            <v>ST-QA-B37</v>
          </cell>
          <cell r="J39" t="str">
            <v>-</v>
          </cell>
          <cell r="K39">
            <v>0</v>
          </cell>
          <cell r="L39">
            <v>0</v>
          </cell>
          <cell r="M39" t="str">
            <v>Sampling check</v>
          </cell>
        </row>
        <row r="40">
          <cell r="C40" t="str">
            <v>R00FA058-CHA</v>
          </cell>
          <cell r="D40" t="str">
            <v xml:space="preserve">Plastic Cap </v>
          </cell>
          <cell r="E40">
            <v>0</v>
          </cell>
          <cell r="F40" t="str">
            <v>5 Pcs.</v>
          </cell>
          <cell r="G40" t="str">
            <v>II Normal</v>
          </cell>
          <cell r="H40">
            <v>0</v>
          </cell>
          <cell r="I40" t="str">
            <v>ST-QA-B51</v>
          </cell>
          <cell r="J40" t="str">
            <v>-</v>
          </cell>
          <cell r="K40" t="str">
            <v>-</v>
          </cell>
          <cell r="L40">
            <v>0</v>
          </cell>
          <cell r="M40" t="str">
            <v>Sampling check</v>
          </cell>
        </row>
        <row r="41">
          <cell r="C41" t="str">
            <v>CAM001</v>
          </cell>
          <cell r="D41" t="str">
            <v>FSC Stopper L (Black)</v>
          </cell>
          <cell r="E41">
            <v>0</v>
          </cell>
          <cell r="F41" t="str">
            <v xml:space="preserve">S-1 Reduce
Cavity ≥ 1 pc </v>
          </cell>
          <cell r="G41" t="str">
            <v xml:space="preserve">S-1 Reduce
Cavity ≥ 1 pc </v>
          </cell>
          <cell r="H41">
            <v>0</v>
          </cell>
          <cell r="I41" t="str">
            <v>ST-QA-B18</v>
          </cell>
          <cell r="J41" t="str">
            <v>KEEP</v>
          </cell>
          <cell r="K41" t="str">
            <v>受検規I-E-09014</v>
          </cell>
          <cell r="L41">
            <v>0</v>
          </cell>
          <cell r="M41" t="str">
            <v>Sampling check</v>
          </cell>
        </row>
        <row r="42">
          <cell r="C42" t="str">
            <v>CAM003</v>
          </cell>
          <cell r="D42" t="str">
            <v>Spring for back frame</v>
          </cell>
          <cell r="E42">
            <v>0</v>
          </cell>
          <cell r="F42" t="str">
            <v>S-3 Normal</v>
          </cell>
          <cell r="G42" t="str">
            <v>S-3 Normal</v>
          </cell>
          <cell r="H42">
            <v>0</v>
          </cell>
          <cell r="I42" t="str">
            <v>ST-QA-B18</v>
          </cell>
          <cell r="J42" t="str">
            <v>KEEP</v>
          </cell>
          <cell r="K42" t="str">
            <v>受検規I-E-12027</v>
          </cell>
          <cell r="L42">
            <v>0</v>
          </cell>
          <cell r="M42" t="str">
            <v>Sampling check</v>
          </cell>
        </row>
        <row r="43">
          <cell r="C43" t="str">
            <v>CAM004</v>
          </cell>
          <cell r="D43" t="str">
            <v>Cover L(Black)</v>
          </cell>
          <cell r="E43">
            <v>0</v>
          </cell>
          <cell r="F43" t="str">
            <v>S-3 Normal
Cavity ≥ 1 Pc</v>
          </cell>
          <cell r="G43" t="str">
            <v>S-3 Normal
Cavity ≥1 Pc</v>
          </cell>
          <cell r="H43">
            <v>0</v>
          </cell>
          <cell r="I43" t="str">
            <v>ST-QA-B18</v>
          </cell>
          <cell r="J43" t="str">
            <v>KEEP</v>
          </cell>
          <cell r="K43" t="str">
            <v>受検規I-E-09015</v>
          </cell>
          <cell r="L43">
            <v>0</v>
          </cell>
          <cell r="M43" t="str">
            <v>Sampling check</v>
          </cell>
        </row>
        <row r="44">
          <cell r="C44" t="str">
            <v>CAM005</v>
          </cell>
          <cell r="D44" t="str">
            <v>FSC Stopper L(Gray)</v>
          </cell>
          <cell r="E44">
            <v>0</v>
          </cell>
          <cell r="F44" t="str">
            <v xml:space="preserve">S-1 Reduce
Cavity ≥ 1 pc </v>
          </cell>
          <cell r="G44" t="str">
            <v xml:space="preserve">S-1 Reduce
Cavity ≥ 1 pc </v>
          </cell>
          <cell r="H44">
            <v>0</v>
          </cell>
          <cell r="I44" t="str">
            <v>ST-QA-B18</v>
          </cell>
          <cell r="J44" t="str">
            <v>KEEP</v>
          </cell>
          <cell r="K44" t="str">
            <v>受検規I-E-09014</v>
          </cell>
          <cell r="L44">
            <v>0</v>
          </cell>
          <cell r="M44" t="str">
            <v>Sampling check</v>
          </cell>
        </row>
        <row r="45">
          <cell r="C45" t="str">
            <v>CAM006</v>
          </cell>
          <cell r="D45" t="str">
            <v>Gaihihaji Cover L(Gray)</v>
          </cell>
          <cell r="E45">
            <v>0</v>
          </cell>
          <cell r="F45" t="str">
            <v>S-3 Normal
Cavity ≥ 1 Pc</v>
          </cell>
          <cell r="G45" t="str">
            <v>S-3 Normal
Cavity ≥1 Pc</v>
          </cell>
          <cell r="H45">
            <v>0</v>
          </cell>
          <cell r="I45" t="str">
            <v>ST-QA-B18</v>
          </cell>
          <cell r="J45" t="str">
            <v>KEEP</v>
          </cell>
          <cell r="K45" t="str">
            <v>受検規I-E-09015</v>
          </cell>
          <cell r="L45">
            <v>0</v>
          </cell>
          <cell r="M45" t="str">
            <v>Sampling check</v>
          </cell>
        </row>
        <row r="46">
          <cell r="C46" t="str">
            <v>CAM008</v>
          </cell>
          <cell r="D46" t="str">
            <v>FSC Common Holder (Red)</v>
          </cell>
          <cell r="E46" t="str">
            <v>Cavity = 1 Pc</v>
          </cell>
          <cell r="F46" t="str">
            <v xml:space="preserve">S-1 Reduce
Cavity ≥ 1 pc </v>
          </cell>
          <cell r="G46" t="str">
            <v xml:space="preserve">S-1 Reduce
Cavity ≥ 1 pc </v>
          </cell>
          <cell r="H46">
            <v>0</v>
          </cell>
          <cell r="I46" t="str">
            <v>ST-QA-B18</v>
          </cell>
          <cell r="J46" t="str">
            <v>KEEP</v>
          </cell>
          <cell r="K46" t="str">
            <v>受検規I-E-14011</v>
          </cell>
          <cell r="L46">
            <v>0</v>
          </cell>
          <cell r="M46" t="str">
            <v>Sampling check</v>
          </cell>
        </row>
        <row r="47">
          <cell r="C47" t="str">
            <v>CAM009</v>
          </cell>
          <cell r="D47" t="str">
            <v>FSC Pin (Black )</v>
          </cell>
          <cell r="E47">
            <v>0</v>
          </cell>
          <cell r="F47" t="str">
            <v>S-3 Normal
Cavity ≥ 1 Pc</v>
          </cell>
          <cell r="G47" t="str">
            <v>S-3 Normal
Cavity ≥1 Pc</v>
          </cell>
          <cell r="H47">
            <v>0</v>
          </cell>
          <cell r="I47" t="str">
            <v>ST-QA-B18</v>
          </cell>
          <cell r="J47" t="str">
            <v>KEEP</v>
          </cell>
          <cell r="K47" t="str">
            <v>受検規I-E-07023</v>
          </cell>
          <cell r="L47">
            <v>0</v>
          </cell>
          <cell r="M47" t="str">
            <v>Sampling check</v>
          </cell>
        </row>
        <row r="48">
          <cell r="C48" t="str">
            <v>CAM010</v>
          </cell>
          <cell r="D48" t="str">
            <v>FSC Stop Ring</v>
          </cell>
          <cell r="E48">
            <v>0</v>
          </cell>
          <cell r="F48" t="str">
            <v>S-1 Reduce
Cavity ≥ 1Pc</v>
          </cell>
          <cell r="G48" t="str">
            <v>S-1 Reduce
Cavity ≥ 1Pc</v>
          </cell>
          <cell r="H48" t="str">
            <v>2 Pcs./Cavity</v>
          </cell>
          <cell r="I48" t="str">
            <v>ST-QA-B18</v>
          </cell>
          <cell r="J48" t="str">
            <v>KEEP</v>
          </cell>
          <cell r="K48" t="str">
            <v>受検規I-E-07021</v>
          </cell>
          <cell r="L48">
            <v>0</v>
          </cell>
          <cell r="M48" t="str">
            <v>Sampling check</v>
          </cell>
        </row>
        <row r="49">
          <cell r="C49" t="str">
            <v>CAM100</v>
          </cell>
          <cell r="D49" t="str">
            <v xml:space="preserve">F Spring Cover 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 t="str">
            <v>KEEP</v>
          </cell>
          <cell r="K49" t="str">
            <v>-</v>
          </cell>
          <cell r="L49">
            <v>0</v>
          </cell>
          <cell r="M49" t="str">
            <v>Sampling check</v>
          </cell>
        </row>
        <row r="50">
          <cell r="C50" t="str">
            <v>CAM101</v>
          </cell>
          <cell r="D50" t="str">
            <v xml:space="preserve">Electrode Terminal Cover 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 t="str">
            <v>KEEP</v>
          </cell>
          <cell r="K50" t="str">
            <v>-</v>
          </cell>
          <cell r="L50">
            <v>0</v>
          </cell>
          <cell r="M50" t="str">
            <v>Sampling check</v>
          </cell>
        </row>
        <row r="51">
          <cell r="C51" t="str">
            <v>CAM102</v>
          </cell>
          <cell r="D51" t="str">
            <v>Z Cover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 t="str">
            <v>KEEP</v>
          </cell>
          <cell r="K51" t="str">
            <v>-</v>
          </cell>
          <cell r="L51">
            <v>0</v>
          </cell>
          <cell r="M51" t="str">
            <v>Sampling check</v>
          </cell>
        </row>
        <row r="52">
          <cell r="C52" t="str">
            <v>CAM103</v>
          </cell>
          <cell r="D52" t="str">
            <v>Z Carriage Heat Press fit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 t="str">
            <v>KEEP</v>
          </cell>
          <cell r="K52" t="str">
            <v>-</v>
          </cell>
          <cell r="L52">
            <v>0</v>
          </cell>
          <cell r="M52" t="str">
            <v>Sampling check</v>
          </cell>
        </row>
        <row r="53">
          <cell r="C53" t="str">
            <v>FS405-CAM</v>
          </cell>
          <cell r="D53" t="str">
            <v>Z Carriage Heat Press fit 30A3224</v>
          </cell>
          <cell r="E53">
            <v>0</v>
          </cell>
          <cell r="F53">
            <v>0</v>
          </cell>
          <cell r="G53" t="str">
            <v>II Normal</v>
          </cell>
          <cell r="H53">
            <v>0</v>
          </cell>
          <cell r="I53" t="str">
            <v>ST-QA-B18</v>
          </cell>
          <cell r="J53" t="str">
            <v>KEEP</v>
          </cell>
          <cell r="K53" t="str">
            <v>受検規I-E-14053</v>
          </cell>
          <cell r="L53">
            <v>0</v>
          </cell>
          <cell r="M53" t="str">
            <v>Sampling check</v>
          </cell>
        </row>
        <row r="54">
          <cell r="C54" t="str">
            <v>CAM104</v>
          </cell>
          <cell r="D54" t="str">
            <v>V Groove Bracket Heat Press fit 30A2342</v>
          </cell>
          <cell r="E54">
            <v>0</v>
          </cell>
          <cell r="F54">
            <v>0</v>
          </cell>
          <cell r="G54" t="str">
            <v>II Normal</v>
          </cell>
          <cell r="H54">
            <v>0</v>
          </cell>
          <cell r="I54" t="str">
            <v>ST-QA-B18</v>
          </cell>
          <cell r="J54" t="str">
            <v>KEEP</v>
          </cell>
          <cell r="K54" t="str">
            <v>受検規I-E-14051</v>
          </cell>
          <cell r="L54">
            <v>0</v>
          </cell>
          <cell r="M54" t="str">
            <v>Sampling check</v>
          </cell>
        </row>
        <row r="55">
          <cell r="C55" t="str">
            <v>CAM105</v>
          </cell>
          <cell r="D55" t="str">
            <v>Camera Bracket Heat Press fit 30A3265</v>
          </cell>
          <cell r="E55">
            <v>0</v>
          </cell>
          <cell r="F55">
            <v>0</v>
          </cell>
          <cell r="G55" t="str">
            <v>II Normal</v>
          </cell>
          <cell r="H55">
            <v>0</v>
          </cell>
          <cell r="I55" t="str">
            <v>ST-QA-B18</v>
          </cell>
          <cell r="J55" t="str">
            <v>KEEP</v>
          </cell>
          <cell r="K55" t="str">
            <v>受検規I-E-14052</v>
          </cell>
          <cell r="L55">
            <v>0</v>
          </cell>
          <cell r="M55" t="str">
            <v>Sampling check</v>
          </cell>
        </row>
        <row r="56">
          <cell r="C56" t="str">
            <v>CAM106</v>
          </cell>
          <cell r="D56" t="str">
            <v>Guide Block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 t="str">
            <v>KEEP</v>
          </cell>
          <cell r="K56" t="str">
            <v>-</v>
          </cell>
          <cell r="L56">
            <v>0</v>
          </cell>
          <cell r="M56" t="str">
            <v>Sampling check</v>
          </cell>
        </row>
        <row r="57">
          <cell r="C57" t="str">
            <v>CAM107</v>
          </cell>
          <cell r="D57" t="str">
            <v xml:space="preserve">Carriage Frame R Heat Press fit 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 t="str">
            <v>KEEP</v>
          </cell>
          <cell r="K57" t="str">
            <v>-</v>
          </cell>
          <cell r="L57">
            <v>0</v>
          </cell>
          <cell r="M57" t="str">
            <v>Sampling check</v>
          </cell>
        </row>
        <row r="58">
          <cell r="C58" t="str">
            <v>CAM108</v>
          </cell>
          <cell r="D58" t="str">
            <v xml:space="preserve">Carriage Frame L Heat Press fit 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 t="str">
            <v>KEEP</v>
          </cell>
          <cell r="K58" t="str">
            <v>-</v>
          </cell>
          <cell r="L58">
            <v>0</v>
          </cell>
          <cell r="M58" t="str">
            <v>Sampling check</v>
          </cell>
        </row>
        <row r="59">
          <cell r="C59" t="str">
            <v>CAM109</v>
          </cell>
          <cell r="D59" t="str">
            <v xml:space="preserve">Sensor Dog  Modling 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 t="str">
            <v>KEEP</v>
          </cell>
          <cell r="K59" t="str">
            <v>-</v>
          </cell>
          <cell r="L59">
            <v>0</v>
          </cell>
          <cell r="M59" t="str">
            <v>Sampling check</v>
          </cell>
        </row>
        <row r="60">
          <cell r="C60" t="str">
            <v>CAM110</v>
          </cell>
          <cell r="D60" t="str">
            <v xml:space="preserve">Gear SH 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 t="str">
            <v>KEEP</v>
          </cell>
          <cell r="K60" t="str">
            <v>-</v>
          </cell>
          <cell r="L60">
            <v>0</v>
          </cell>
          <cell r="M60" t="str">
            <v>Sampling check</v>
          </cell>
        </row>
        <row r="61">
          <cell r="C61" t="str">
            <v>FS391-CAM</v>
          </cell>
          <cell r="D61" t="str">
            <v>ARC TERMINAL BASE COVER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 t="str">
            <v>KEEP</v>
          </cell>
          <cell r="K61" t="str">
            <v>-</v>
          </cell>
          <cell r="L61">
            <v>0</v>
          </cell>
          <cell r="M61" t="str">
            <v>Sampling check</v>
          </cell>
        </row>
        <row r="62">
          <cell r="C62" t="str">
            <v>FS392-CAM</v>
          </cell>
          <cell r="D62" t="str">
            <v>ARC COVER TOP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 t="str">
            <v>KEEP</v>
          </cell>
          <cell r="K62" t="str">
            <v>-</v>
          </cell>
          <cell r="L62">
            <v>0</v>
          </cell>
          <cell r="M62" t="str">
            <v>Sampling check</v>
          </cell>
        </row>
        <row r="63">
          <cell r="C63" t="str">
            <v>FS393-CAM</v>
          </cell>
          <cell r="D63" t="str">
            <v>FB CLAMP BASE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 t="str">
            <v>KEEP</v>
          </cell>
          <cell r="K63" t="str">
            <v>-</v>
          </cell>
          <cell r="L63">
            <v>0</v>
          </cell>
          <cell r="M63" t="str">
            <v>Sampling check</v>
          </cell>
        </row>
        <row r="64">
          <cell r="C64" t="str">
            <v>FS394-CAM</v>
          </cell>
          <cell r="D64" t="str">
            <v>Z-LEAD GEAR(LM)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 t="str">
            <v>KEEP</v>
          </cell>
          <cell r="K64" t="str">
            <v>-</v>
          </cell>
          <cell r="L64">
            <v>0</v>
          </cell>
          <cell r="M64" t="str">
            <v>Sampling check</v>
          </cell>
        </row>
        <row r="65">
          <cell r="C65" t="str">
            <v>FS395-CAM</v>
          </cell>
          <cell r="D65" t="str">
            <v>GEAR(Z49)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 t="str">
            <v>KEEP</v>
          </cell>
          <cell r="K65" t="str">
            <v>-</v>
          </cell>
          <cell r="L65">
            <v>0</v>
          </cell>
          <cell r="M65" t="str">
            <v>Sampling check</v>
          </cell>
        </row>
        <row r="66">
          <cell r="C66" t="str">
            <v>FS396-CAM</v>
          </cell>
          <cell r="D66" t="str">
            <v>GUIDE LEVER(LM)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 t="str">
            <v>KEEP</v>
          </cell>
          <cell r="K66" t="str">
            <v>-</v>
          </cell>
          <cell r="L66">
            <v>0</v>
          </cell>
          <cell r="M66" t="str">
            <v>Sampling check</v>
          </cell>
        </row>
        <row r="67">
          <cell r="C67" t="str">
            <v>FS397-CAM</v>
          </cell>
          <cell r="D67" t="str">
            <v>LINK ARM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 t="str">
            <v>KEEP</v>
          </cell>
          <cell r="K67" t="str">
            <v>-</v>
          </cell>
          <cell r="L67">
            <v>0</v>
          </cell>
          <cell r="M67" t="str">
            <v>Sampling check</v>
          </cell>
        </row>
        <row r="68">
          <cell r="C68" t="str">
            <v>FS398-CAM</v>
          </cell>
          <cell r="D68" t="str">
            <v>NFC HOLDER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 t="str">
            <v>KEEP</v>
          </cell>
          <cell r="K68" t="str">
            <v>-</v>
          </cell>
          <cell r="L68">
            <v>0</v>
          </cell>
          <cell r="M68" t="str">
            <v>Sampling check</v>
          </cell>
        </row>
        <row r="69">
          <cell r="C69" t="str">
            <v>FS399-CAM</v>
          </cell>
          <cell r="D69" t="str">
            <v>Z-COVER(LM)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 t="str">
            <v>KEEP</v>
          </cell>
          <cell r="K69" t="str">
            <v>-</v>
          </cell>
          <cell r="L69">
            <v>0</v>
          </cell>
          <cell r="M69" t="str">
            <v>Sampling check</v>
          </cell>
        </row>
        <row r="70">
          <cell r="C70" t="str">
            <v>FS400-CAM</v>
          </cell>
          <cell r="D70" t="str">
            <v>FRAME-FCS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 t="str">
            <v>KEEP</v>
          </cell>
          <cell r="K70" t="str">
            <v>-</v>
          </cell>
          <cell r="L70">
            <v>0</v>
          </cell>
          <cell r="M70" t="str">
            <v>Sampling check</v>
          </cell>
        </row>
        <row r="71">
          <cell r="C71" t="str">
            <v>FS401-CAM</v>
          </cell>
          <cell r="D71" t="str">
            <v>FEED PIECE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 t="str">
            <v>KEEP</v>
          </cell>
          <cell r="K71" t="str">
            <v>-</v>
          </cell>
          <cell r="L71">
            <v>0</v>
          </cell>
          <cell r="M71" t="str">
            <v>Sampling check</v>
          </cell>
        </row>
        <row r="72">
          <cell r="C72" t="str">
            <v>FS402-CAM</v>
          </cell>
          <cell r="D72" t="str">
            <v>ARC COVER BOTTOM: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 t="str">
            <v>KEEP</v>
          </cell>
          <cell r="K72" t="str">
            <v>-</v>
          </cell>
          <cell r="L72">
            <v>0</v>
          </cell>
          <cell r="M72" t="str">
            <v>Sampling check</v>
          </cell>
        </row>
        <row r="73">
          <cell r="C73" t="str">
            <v>FS403-CAM</v>
          </cell>
          <cell r="D73" t="str">
            <v>CARRIAGE BASE(LM)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 t="str">
            <v>KEEP</v>
          </cell>
          <cell r="K73" t="str">
            <v>-</v>
          </cell>
          <cell r="L73">
            <v>0</v>
          </cell>
          <cell r="M73" t="str">
            <v>Sampling check</v>
          </cell>
        </row>
        <row r="74">
          <cell r="C74" t="str">
            <v>FS404-CAM</v>
          </cell>
          <cell r="D74" t="str">
            <v>Z-FRAME LM(PRESS FIT)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 t="str">
            <v>KEEP</v>
          </cell>
          <cell r="K74" t="str">
            <v>-</v>
          </cell>
          <cell r="L74">
            <v>0</v>
          </cell>
          <cell r="M74" t="str">
            <v>Sampling check</v>
          </cell>
        </row>
        <row r="75">
          <cell r="C75" t="str">
            <v>CAM005-NB</v>
          </cell>
          <cell r="D75" t="str">
            <v>FSC Stopper L(Gray)</v>
          </cell>
          <cell r="E75">
            <v>0</v>
          </cell>
          <cell r="F75" t="str">
            <v xml:space="preserve">S-1 Reduce
Cavity ≥ 1 pc </v>
          </cell>
          <cell r="G75" t="str">
            <v xml:space="preserve">S-1 Reduce
Cavity ≥ 1 pc </v>
          </cell>
          <cell r="H75">
            <v>0</v>
          </cell>
          <cell r="I75" t="str">
            <v>ST-QA-B18</v>
          </cell>
          <cell r="J75" t="str">
            <v>KEEP</v>
          </cell>
          <cell r="K75" t="str">
            <v>受検規I-E-09014</v>
          </cell>
          <cell r="L75">
            <v>0</v>
          </cell>
          <cell r="M75" t="str">
            <v>Sampling check</v>
          </cell>
        </row>
        <row r="76">
          <cell r="C76" t="str">
            <v>CAM006-NB</v>
          </cell>
          <cell r="D76" t="str">
            <v>Gaihihaji Cover L(Gray)</v>
          </cell>
          <cell r="E76">
            <v>0</v>
          </cell>
          <cell r="F76" t="str">
            <v>S-3 Normal
Cavity ≥ 1 Pc</v>
          </cell>
          <cell r="G76" t="str">
            <v>S-3 Normal
Cavity ≥1 Pc</v>
          </cell>
          <cell r="H76">
            <v>0</v>
          </cell>
          <cell r="I76" t="str">
            <v>ST-QA-B18</v>
          </cell>
          <cell r="J76" t="str">
            <v>KEEP</v>
          </cell>
          <cell r="K76" t="str">
            <v>受検規I-E-09015</v>
          </cell>
          <cell r="L76">
            <v>0</v>
          </cell>
          <cell r="M76" t="str">
            <v>Sampling check</v>
          </cell>
        </row>
        <row r="77">
          <cell r="C77" t="str">
            <v>CAM010-NB</v>
          </cell>
          <cell r="D77" t="str">
            <v>FSC Stop Ring</v>
          </cell>
          <cell r="E77">
            <v>0</v>
          </cell>
          <cell r="F77" t="str">
            <v>S-1 Normal
Cavity ≥ 1Pc</v>
          </cell>
          <cell r="G77" t="str">
            <v>S-1 Normal
Cavity ≥ 1Pc</v>
          </cell>
          <cell r="H77" t="str">
            <v>2 Pcs./Cavity</v>
          </cell>
          <cell r="I77" t="str">
            <v>ST-QA-B18</v>
          </cell>
          <cell r="J77" t="str">
            <v>KEEP</v>
          </cell>
          <cell r="K77" t="str">
            <v>受検規I-E-07021</v>
          </cell>
          <cell r="L77">
            <v>0</v>
          </cell>
          <cell r="M77" t="str">
            <v>Sampling check</v>
          </cell>
        </row>
        <row r="78">
          <cell r="C78" t="str">
            <v>FS538-CAM</v>
          </cell>
          <cell r="D78" t="str">
            <v>Carriage Base</v>
          </cell>
          <cell r="E78">
            <v>0</v>
          </cell>
          <cell r="F78" t="str">
            <v>5 Pcs.</v>
          </cell>
          <cell r="G78">
            <v>0</v>
          </cell>
          <cell r="H78" t="str">
            <v>5 Pcs.</v>
          </cell>
          <cell r="I78" t="str">
            <v>ST-QA-B18</v>
          </cell>
          <cell r="J78" t="str">
            <v>KEEP</v>
          </cell>
          <cell r="K78" t="str">
            <v>受検規I-U-17002</v>
          </cell>
          <cell r="L78">
            <v>0</v>
          </cell>
          <cell r="M78" t="str">
            <v>Sampling check</v>
          </cell>
        </row>
        <row r="79">
          <cell r="C79" t="str">
            <v>RCOMM015-CAM</v>
          </cell>
          <cell r="D79" t="str">
            <v>Kusabi stopper S2</v>
          </cell>
          <cell r="E79">
            <v>0</v>
          </cell>
          <cell r="F79" t="str">
            <v>S-3 Reduce
Cavity ≥ 1</v>
          </cell>
          <cell r="G79" t="str">
            <v>S-3 Reduce
Cavity ≥ 1</v>
          </cell>
          <cell r="H79">
            <v>0</v>
          </cell>
          <cell r="I79" t="str">
            <v>ST-QA-B18</v>
          </cell>
          <cell r="J79" t="str">
            <v>KEEP</v>
          </cell>
          <cell r="K79" t="str">
            <v>受検規I-E-17009</v>
          </cell>
          <cell r="L79">
            <v>0</v>
          </cell>
          <cell r="M79" t="str">
            <v>Sampling check</v>
          </cell>
        </row>
        <row r="80">
          <cell r="C80" t="str">
            <v>RCOMM016-CAM</v>
          </cell>
          <cell r="D80" t="str">
            <v xml:space="preserve">Cable holder
</v>
          </cell>
          <cell r="E80">
            <v>0</v>
          </cell>
          <cell r="F80" t="str">
            <v>S-3 Normal
Cavity ≥ 1</v>
          </cell>
          <cell r="G80" t="str">
            <v>S-3 Normal
Cavity ≥ 1</v>
          </cell>
          <cell r="H80">
            <v>0</v>
          </cell>
          <cell r="I80" t="str">
            <v>ST-QA-B18</v>
          </cell>
          <cell r="J80" t="str">
            <v>KEEP</v>
          </cell>
          <cell r="K80" t="str">
            <v>受検規I-E-17008</v>
          </cell>
          <cell r="L80">
            <v>0</v>
          </cell>
          <cell r="M80" t="str">
            <v>Sampling check</v>
          </cell>
        </row>
        <row r="81">
          <cell r="C81" t="str">
            <v>RCOMM017-CAM</v>
          </cell>
          <cell r="D81" t="str">
            <v>FSC stopper with guide (LGR)</v>
          </cell>
          <cell r="E81" t="str">
            <v>S-3 Reduce
Cavity ≥ 1</v>
          </cell>
          <cell r="F81" t="str">
            <v>S-3 Reduce
Cavity ≥ 1</v>
          </cell>
          <cell r="G81" t="str">
            <v>S-3 Reduce
Cavity ≥ 1</v>
          </cell>
          <cell r="H81">
            <v>0</v>
          </cell>
          <cell r="I81" t="str">
            <v>ST-QA-B18</v>
          </cell>
          <cell r="J81" t="str">
            <v>KEEP</v>
          </cell>
          <cell r="K81" t="str">
            <v>受検規 I-E-17006</v>
          </cell>
          <cell r="L81">
            <v>0</v>
          </cell>
          <cell r="M81" t="str">
            <v>Sampling check</v>
          </cell>
        </row>
        <row r="82">
          <cell r="C82" t="str">
            <v>RCOMM018-CAM</v>
          </cell>
          <cell r="D82" t="str">
            <v>FSC stopper with guide (LMR)</v>
          </cell>
          <cell r="E82" t="str">
            <v>S-3 Normal
Cavity ≥ 1</v>
          </cell>
          <cell r="F82" t="str">
            <v>S-3 Normal
Cavity ≥ 1</v>
          </cell>
          <cell r="G82" t="str">
            <v>S-3 Normal
Cavity ≥ 1</v>
          </cell>
          <cell r="H82">
            <v>0</v>
          </cell>
          <cell r="I82" t="str">
            <v>ST-QA-B18</v>
          </cell>
          <cell r="J82" t="str">
            <v>KEEP</v>
          </cell>
          <cell r="K82" t="str">
            <v>受検規 I-E-17006</v>
          </cell>
          <cell r="L82">
            <v>0</v>
          </cell>
          <cell r="M82" t="str">
            <v>Sampling check</v>
          </cell>
        </row>
        <row r="83">
          <cell r="C83" t="str">
            <v>RCOMM019-CAM</v>
          </cell>
          <cell r="D83" t="str">
            <v>FAS stopper with guide</v>
          </cell>
          <cell r="E83" t="str">
            <v>S-3 Normal
Cavity ≥ 1</v>
          </cell>
          <cell r="F83" t="str">
            <v>S-3 Normal
Cavity ≥ 1</v>
          </cell>
          <cell r="G83" t="str">
            <v>S-3 Normal
Cavity ≥ 1</v>
          </cell>
          <cell r="H83">
            <v>0</v>
          </cell>
          <cell r="I83" t="str">
            <v>ST-QA-B18</v>
          </cell>
          <cell r="J83" t="str">
            <v>KEEP</v>
          </cell>
          <cell r="K83" t="str">
            <v xml:space="preserve"> 受検規I-E-17007</v>
          </cell>
          <cell r="L83">
            <v>0</v>
          </cell>
          <cell r="M83" t="str">
            <v>Sampling check</v>
          </cell>
        </row>
        <row r="84">
          <cell r="C84" t="str">
            <v>RCOMM020-CAM</v>
          </cell>
          <cell r="D84" t="str">
            <v>FSC stopper with guide</v>
          </cell>
          <cell r="E84" t="str">
            <v>S-3 Reduce
Cavity ≥ 1</v>
          </cell>
          <cell r="F84" t="str">
            <v>S-3 Reduce
Cavity ≥ 1</v>
          </cell>
          <cell r="G84" t="str">
            <v>S-3 Reduce
Cavity ≥ 1</v>
          </cell>
          <cell r="H84">
            <v>0</v>
          </cell>
          <cell r="I84" t="str">
            <v>ST-QA-B18</v>
          </cell>
          <cell r="J84" t="str">
            <v>KEEP</v>
          </cell>
          <cell r="K84" t="str">
            <v>受検規 I-E-17006</v>
          </cell>
          <cell r="L84">
            <v>0</v>
          </cell>
          <cell r="M84" t="str">
            <v>Sampling check</v>
          </cell>
        </row>
        <row r="85">
          <cell r="C85" t="str">
            <v>G043-SHIN</v>
          </cell>
          <cell r="D85" t="str">
            <v xml:space="preserve">FSC Kusabi-2 </v>
          </cell>
          <cell r="E85">
            <v>0</v>
          </cell>
          <cell r="F85" t="str">
            <v>S-3 Normal
Cavity ≥1</v>
          </cell>
          <cell r="G85" t="str">
            <v>S-3 Normal
Cavity ≥1</v>
          </cell>
          <cell r="H85">
            <v>0</v>
          </cell>
          <cell r="I85" t="str">
            <v>ST-QA-B17</v>
          </cell>
          <cell r="J85" t="str">
            <v>KEEP</v>
          </cell>
          <cell r="K85" t="str">
            <v>受検規 I-E-14009-7</v>
          </cell>
          <cell r="L85">
            <v>0</v>
          </cell>
          <cell r="M85" t="str">
            <v>Sampling check</v>
          </cell>
        </row>
        <row r="86">
          <cell r="C86" t="str">
            <v>SHIN001</v>
          </cell>
          <cell r="D86" t="str">
            <v>F Guide L</v>
          </cell>
          <cell r="E86" t="str">
            <v>S-1 Normal
Cavity ≥1</v>
          </cell>
          <cell r="F86" t="str">
            <v>S-1 Normal
Cavity ≥1</v>
          </cell>
          <cell r="G86" t="str">
            <v>S-1 Normal
Cavity ≥1</v>
          </cell>
          <cell r="H86">
            <v>0</v>
          </cell>
          <cell r="I86" t="str">
            <v>ST-QA-B17</v>
          </cell>
          <cell r="J86" t="str">
            <v>KEEP</v>
          </cell>
          <cell r="K86" t="str">
            <v>受検規I-E-09003</v>
          </cell>
          <cell r="L86">
            <v>0</v>
          </cell>
          <cell r="M86" t="str">
            <v>Sampling check</v>
          </cell>
        </row>
        <row r="87">
          <cell r="C87" t="str">
            <v>SHIN002</v>
          </cell>
          <cell r="D87" t="str">
            <v>Kusabi Stopper</v>
          </cell>
          <cell r="E87">
            <v>0</v>
          </cell>
          <cell r="F87" t="str">
            <v>S-3 Normal
Cavity ≥1</v>
          </cell>
          <cell r="G87" t="str">
            <v>S-3 Normal
Cavity ≥1</v>
          </cell>
          <cell r="H87">
            <v>0</v>
          </cell>
          <cell r="I87" t="str">
            <v>ST-QA-B17</v>
          </cell>
          <cell r="J87" t="str">
            <v>KEEP</v>
          </cell>
          <cell r="K87" t="str">
            <v>受検規I-E-09010</v>
          </cell>
          <cell r="L87">
            <v>0</v>
          </cell>
          <cell r="M87" t="str">
            <v>Sampling check</v>
          </cell>
        </row>
        <row r="88">
          <cell r="C88" t="str">
            <v>SHIN003</v>
          </cell>
          <cell r="D88" t="str">
            <v>Fixing Part</v>
          </cell>
          <cell r="E88" t="str">
            <v>Cavity ≥1</v>
          </cell>
          <cell r="F88">
            <v>0</v>
          </cell>
          <cell r="G88" t="str">
            <v>S-3 Normal
Cavity ≥2</v>
          </cell>
          <cell r="H88">
            <v>0</v>
          </cell>
          <cell r="I88" t="str">
            <v>ST-QA-B17</v>
          </cell>
          <cell r="J88" t="str">
            <v>KEEP</v>
          </cell>
          <cell r="K88" t="str">
            <v>受検規I-E-06015</v>
          </cell>
          <cell r="L88">
            <v>0</v>
          </cell>
          <cell r="M88" t="str">
            <v>Sampling check</v>
          </cell>
        </row>
        <row r="89">
          <cell r="C89" t="str">
            <v>SHIN004</v>
          </cell>
          <cell r="D89" t="str">
            <v>FSC Kusabi</v>
          </cell>
          <cell r="E89">
            <v>0</v>
          </cell>
          <cell r="F89" t="str">
            <v>S-3 Normal
Cavity ≥1</v>
          </cell>
          <cell r="G89" t="str">
            <v>S-1 Normal
Cavity ≥1</v>
          </cell>
          <cell r="H89">
            <v>0</v>
          </cell>
          <cell r="I89" t="str">
            <v>ST-QA-B17</v>
          </cell>
          <cell r="J89" t="str">
            <v>KEEP</v>
          </cell>
          <cell r="K89" t="str">
            <v>受検規I-E-07014</v>
          </cell>
          <cell r="L89">
            <v>0</v>
          </cell>
          <cell r="M89" t="str">
            <v>Sampling check</v>
          </cell>
        </row>
        <row r="90">
          <cell r="C90" t="str">
            <v>SHIN005-01</v>
          </cell>
          <cell r="D90" t="str">
            <v>Front Frame D (Front) No. 1</v>
          </cell>
          <cell r="E90" t="str">
            <v>S-2 Normal
Cavity ≥2</v>
          </cell>
          <cell r="F90" t="str">
            <v>S-2 Normal
Cavity ≥2</v>
          </cell>
          <cell r="G90" t="str">
            <v>S-2 Normal
Cavity ≥2</v>
          </cell>
          <cell r="H90" t="str">
            <v>2Pcs/Cavity</v>
          </cell>
          <cell r="I90" t="str">
            <v>ST-QA-B17</v>
          </cell>
          <cell r="J90" t="str">
            <v>KEEP</v>
          </cell>
          <cell r="K90" t="str">
            <v>受検規I-E-06010</v>
          </cell>
          <cell r="L90">
            <v>0</v>
          </cell>
          <cell r="M90" t="str">
            <v>Sampling check</v>
          </cell>
        </row>
        <row r="91">
          <cell r="C91" t="str">
            <v>SHIN005-02</v>
          </cell>
          <cell r="D91" t="str">
            <v>Front Frame D (Front) No. 2</v>
          </cell>
          <cell r="E91" t="str">
            <v>S-2 Normal
Cavity ≥2</v>
          </cell>
          <cell r="F91" t="str">
            <v>S-2 Normal
Cavity ≥2</v>
          </cell>
          <cell r="G91" t="str">
            <v>S-2 Normal
Cavity ≥2</v>
          </cell>
          <cell r="H91" t="str">
            <v>2Pcs/Cavity</v>
          </cell>
          <cell r="I91" t="str">
            <v>ST-QA-B17</v>
          </cell>
          <cell r="J91" t="str">
            <v>KEEP</v>
          </cell>
          <cell r="K91" t="str">
            <v>受検規I-E-06010</v>
          </cell>
          <cell r="L91">
            <v>0</v>
          </cell>
          <cell r="M91" t="str">
            <v>Sampling check</v>
          </cell>
        </row>
        <row r="92">
          <cell r="C92" t="str">
            <v>SHIN005-03</v>
          </cell>
          <cell r="D92" t="str">
            <v>Front Frame D (Front) No. 3</v>
          </cell>
          <cell r="E92" t="str">
            <v>S-2 Normal
Cavity ≥2</v>
          </cell>
          <cell r="F92" t="str">
            <v>S-2 Normal
Cavity ≥2</v>
          </cell>
          <cell r="G92" t="str">
            <v>S-2 Normal
Cavity ≥2</v>
          </cell>
          <cell r="H92" t="str">
            <v>2Pcs/Cavity</v>
          </cell>
          <cell r="I92" t="str">
            <v>ST-QA-B17</v>
          </cell>
          <cell r="J92" t="str">
            <v>KEEP</v>
          </cell>
          <cell r="K92" t="str">
            <v>受検規I-E-06010</v>
          </cell>
          <cell r="L92">
            <v>0</v>
          </cell>
          <cell r="M92" t="str">
            <v>Sampling check</v>
          </cell>
        </row>
        <row r="93">
          <cell r="C93" t="str">
            <v>SHIN005-04</v>
          </cell>
          <cell r="D93" t="str">
            <v>Front Frame D (Front) No. 4</v>
          </cell>
          <cell r="E93" t="str">
            <v>S-2 Normal
Cavity ≥2</v>
          </cell>
          <cell r="F93" t="str">
            <v>S-2 Normal
Cavity ≥2</v>
          </cell>
          <cell r="G93" t="str">
            <v>S-2 Normal
Cavity ≥2</v>
          </cell>
          <cell r="H93" t="str">
            <v>2Pcs/Cavity</v>
          </cell>
          <cell r="I93" t="str">
            <v>ST-QA-B17</v>
          </cell>
          <cell r="J93" t="str">
            <v>KEEP</v>
          </cell>
          <cell r="K93" t="str">
            <v>受検規I-E-06010</v>
          </cell>
          <cell r="L93">
            <v>0</v>
          </cell>
          <cell r="M93" t="str">
            <v>Sampling check</v>
          </cell>
        </row>
        <row r="94">
          <cell r="C94" t="str">
            <v>SHIN005-05</v>
          </cell>
          <cell r="D94" t="str">
            <v>Front Frame D (Front) No. 5</v>
          </cell>
          <cell r="E94" t="str">
            <v>S-2 Normal
Cavity ≥2</v>
          </cell>
          <cell r="F94" t="str">
            <v>S-2 Normal
Cavity ≥2</v>
          </cell>
          <cell r="G94" t="str">
            <v>S-2 Normal
Cavity ≥2</v>
          </cell>
          <cell r="H94" t="str">
            <v>2Pcs/Cavity</v>
          </cell>
          <cell r="I94" t="str">
            <v>ST-QA-B17</v>
          </cell>
          <cell r="J94" t="str">
            <v>KEEP</v>
          </cell>
          <cell r="K94" t="str">
            <v>受検規I-E-06010</v>
          </cell>
          <cell r="L94">
            <v>0</v>
          </cell>
          <cell r="M94" t="str">
            <v>Sampling check</v>
          </cell>
        </row>
        <row r="95">
          <cell r="C95" t="str">
            <v>SHIN005-06</v>
          </cell>
          <cell r="D95" t="str">
            <v>Front Frame D (Front) No. 6</v>
          </cell>
          <cell r="E95" t="str">
            <v>S-2 Normal
Cavity ≥2</v>
          </cell>
          <cell r="F95" t="str">
            <v>S-2 Normal
Cavity ≥2</v>
          </cell>
          <cell r="G95" t="str">
            <v>S-2 Normal
Cavity ≥2</v>
          </cell>
          <cell r="H95" t="str">
            <v>2Pcs/Cavity</v>
          </cell>
          <cell r="I95" t="str">
            <v>ST-QA-B17</v>
          </cell>
          <cell r="J95" t="str">
            <v>KEEP</v>
          </cell>
          <cell r="K95" t="str">
            <v>受検規I-E-06010</v>
          </cell>
          <cell r="L95">
            <v>0</v>
          </cell>
          <cell r="M95" t="str">
            <v>Sampling check</v>
          </cell>
        </row>
        <row r="96">
          <cell r="C96" t="str">
            <v>SHIN005-07</v>
          </cell>
          <cell r="D96" t="str">
            <v>Front Frame D (Front) No. 7</v>
          </cell>
          <cell r="E96" t="str">
            <v>S-2 Normal
Cavity ≥2</v>
          </cell>
          <cell r="F96" t="str">
            <v>S-2 Normal
Cavity ≥2</v>
          </cell>
          <cell r="G96" t="str">
            <v>S-2 Normal
Cavity ≥2</v>
          </cell>
          <cell r="H96" t="str">
            <v>2Pcs/Cavity</v>
          </cell>
          <cell r="I96" t="str">
            <v>ST-QA-B17</v>
          </cell>
          <cell r="J96" t="str">
            <v>KEEP</v>
          </cell>
          <cell r="K96" t="str">
            <v>受検規I-E-06010</v>
          </cell>
          <cell r="L96">
            <v>0</v>
          </cell>
          <cell r="M96" t="str">
            <v>Sampling check</v>
          </cell>
        </row>
        <row r="97">
          <cell r="C97" t="str">
            <v>SHIN005-08</v>
          </cell>
          <cell r="D97" t="str">
            <v>Front Frame D (Front) No. 8</v>
          </cell>
          <cell r="E97" t="str">
            <v>S-2 Normal
Cavity ≥2</v>
          </cell>
          <cell r="F97" t="str">
            <v>S-2 Normal
Cavity ≥2</v>
          </cell>
          <cell r="G97" t="str">
            <v>S-2 Normal
Cavity ≥2</v>
          </cell>
          <cell r="H97" t="str">
            <v>2Pcs/Cavity</v>
          </cell>
          <cell r="I97" t="str">
            <v>ST-QA-B17</v>
          </cell>
          <cell r="J97" t="str">
            <v>KEEP</v>
          </cell>
          <cell r="K97" t="str">
            <v>受検規I-E-06010</v>
          </cell>
          <cell r="L97">
            <v>0</v>
          </cell>
          <cell r="M97" t="str">
            <v>Sampling check</v>
          </cell>
        </row>
        <row r="98">
          <cell r="C98" t="str">
            <v>R00FA039-SHI</v>
          </cell>
          <cell r="D98" t="str">
            <v xml:space="preserve">Socket Frame D(No screen)  </v>
          </cell>
          <cell r="E98" t="str">
            <v>S-2 Normal
Cavity ≥2</v>
          </cell>
          <cell r="F98" t="str">
            <v>S-2 Normal
Cavity ≥2</v>
          </cell>
          <cell r="G98" t="str">
            <v>S-2 Normal
Cavity ≥2</v>
          </cell>
          <cell r="H98" t="str">
            <v>2Pcs/Cavity</v>
          </cell>
          <cell r="I98" t="str">
            <v>ST-QA-B17</v>
          </cell>
          <cell r="J98" t="str">
            <v>KEEP</v>
          </cell>
          <cell r="K98" t="str">
            <v>受検規I-E-06010</v>
          </cell>
          <cell r="L98">
            <v>0</v>
          </cell>
          <cell r="M98" t="str">
            <v>Sampling check</v>
          </cell>
        </row>
        <row r="99">
          <cell r="C99" t="str">
            <v>RCOMM001-SHI</v>
          </cell>
          <cell r="D99" t="str">
            <v>PLUG KUSABI(FSC KUSABI - 4 SE240088)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 t="str">
            <v>Sampling check</v>
          </cell>
        </row>
        <row r="100">
          <cell r="C100" t="str">
            <v>SAN008</v>
          </cell>
          <cell r="D100" t="str">
            <v>Plug Frame-FSC Knob</v>
          </cell>
          <cell r="E100">
            <v>0</v>
          </cell>
          <cell r="F100" t="str">
            <v>S-1 Reduce
Cavity ≥1</v>
          </cell>
          <cell r="G100" t="str">
            <v>S-1 Reduce
Cavity ≥1</v>
          </cell>
          <cell r="H100">
            <v>0</v>
          </cell>
          <cell r="I100" t="str">
            <v>ST-QA-B20</v>
          </cell>
          <cell r="J100" t="str">
            <v>KEEP</v>
          </cell>
          <cell r="K100" t="str">
            <v>受検規I-E-07020</v>
          </cell>
          <cell r="L100">
            <v>0</v>
          </cell>
          <cell r="M100" t="str">
            <v>Sampling check</v>
          </cell>
        </row>
        <row r="101">
          <cell r="C101" t="str">
            <v>SAN010</v>
          </cell>
          <cell r="D101" t="str">
            <v>FSC Green Knob</v>
          </cell>
          <cell r="E101">
            <v>0</v>
          </cell>
          <cell r="F101" t="str">
            <v>S-1 Normal
Cavity ≥1</v>
          </cell>
          <cell r="G101" t="str">
            <v>S-1 Normal
Cavity ≥1</v>
          </cell>
          <cell r="H101">
            <v>0</v>
          </cell>
          <cell r="I101" t="str">
            <v>ST-QA-B20</v>
          </cell>
          <cell r="J101" t="str">
            <v>KEEP</v>
          </cell>
          <cell r="K101" t="str">
            <v>受検規I-E-07020</v>
          </cell>
          <cell r="L101">
            <v>0</v>
          </cell>
          <cell r="M101" t="str">
            <v>Sampling check</v>
          </cell>
        </row>
        <row r="102">
          <cell r="C102" t="str">
            <v>SAN014</v>
          </cell>
          <cell r="D102" t="str">
            <v>SC Adapter with shutter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ST-QA-B20</v>
          </cell>
          <cell r="J102" t="str">
            <v>KEEP</v>
          </cell>
          <cell r="K102" t="str">
            <v xml:space="preserve"> Refer PCR-24-083</v>
          </cell>
          <cell r="L102">
            <v>0</v>
          </cell>
          <cell r="M102" t="str">
            <v>Sampling check</v>
          </cell>
        </row>
        <row r="103">
          <cell r="C103" t="str">
            <v>SAN041</v>
          </cell>
          <cell r="D103" t="str">
            <v>Splitter Cover</v>
          </cell>
          <cell r="E103">
            <v>0</v>
          </cell>
          <cell r="F103" t="str">
            <v>S-1 Normal</v>
          </cell>
          <cell r="G103" t="str">
            <v>Reduce
II Normal</v>
          </cell>
          <cell r="H103">
            <v>0</v>
          </cell>
          <cell r="I103" t="str">
            <v>ST-QA-B20</v>
          </cell>
          <cell r="J103" t="str">
            <v>KEEP</v>
          </cell>
          <cell r="K103" t="str">
            <v>受検規I-E-09020</v>
          </cell>
          <cell r="L103">
            <v>0</v>
          </cell>
          <cell r="M103" t="str">
            <v>Sampling check</v>
          </cell>
        </row>
        <row r="104">
          <cell r="C104" t="str">
            <v>SAN042</v>
          </cell>
          <cell r="D104" t="str">
            <v>Socket Frame S</v>
          </cell>
          <cell r="E104">
            <v>0</v>
          </cell>
          <cell r="F104">
            <v>0</v>
          </cell>
          <cell r="G104">
            <v>0</v>
          </cell>
          <cell r="H104" t="str">
            <v>1Pc/cavity</v>
          </cell>
          <cell r="I104" t="str">
            <v>ST-QA-B20</v>
          </cell>
          <cell r="J104" t="str">
            <v>KEEP</v>
          </cell>
          <cell r="K104" t="str">
            <v>受検規I-E-11010</v>
          </cell>
          <cell r="L104">
            <v>0</v>
          </cell>
          <cell r="M104" t="str">
            <v>Sampling check</v>
          </cell>
        </row>
        <row r="105">
          <cell r="C105" t="str">
            <v>SAN043</v>
          </cell>
          <cell r="D105" t="str">
            <v>Body</v>
          </cell>
          <cell r="E105">
            <v>0</v>
          </cell>
          <cell r="F105" t="str">
            <v>S-1 Normal</v>
          </cell>
          <cell r="G105" t="str">
            <v>S-1 Normal</v>
          </cell>
          <cell r="H105">
            <v>0</v>
          </cell>
          <cell r="I105" t="str">
            <v>ST-QA-B20</v>
          </cell>
          <cell r="J105" t="str">
            <v>KEEP</v>
          </cell>
          <cell r="K105" t="str">
            <v>受検規I-E-07013</v>
          </cell>
          <cell r="L105">
            <v>0</v>
          </cell>
          <cell r="M105" t="str">
            <v>Sampling check</v>
          </cell>
        </row>
        <row r="106">
          <cell r="C106" t="str">
            <v>SAN044</v>
          </cell>
          <cell r="D106" t="str">
            <v>Cover</v>
          </cell>
          <cell r="E106">
            <v>0</v>
          </cell>
          <cell r="F106">
            <v>0</v>
          </cell>
          <cell r="G106" t="str">
            <v>S-1 Normal</v>
          </cell>
          <cell r="H106">
            <v>0</v>
          </cell>
          <cell r="I106" t="str">
            <v>ST-QA-B20</v>
          </cell>
          <cell r="J106" t="str">
            <v>KEEP</v>
          </cell>
          <cell r="K106" t="str">
            <v>受検規I-E-07013</v>
          </cell>
          <cell r="L106">
            <v>0</v>
          </cell>
          <cell r="M106" t="str">
            <v>Sampling check</v>
          </cell>
        </row>
        <row r="107">
          <cell r="C107" t="str">
            <v>SAN045</v>
          </cell>
          <cell r="D107" t="str">
            <v>Slider</v>
          </cell>
          <cell r="E107">
            <v>0</v>
          </cell>
          <cell r="F107">
            <v>0</v>
          </cell>
          <cell r="G107" t="str">
            <v>S-1 Reduce</v>
          </cell>
          <cell r="H107">
            <v>0</v>
          </cell>
          <cell r="I107" t="str">
            <v>ST-QA-B20</v>
          </cell>
          <cell r="J107" t="str">
            <v>KEEP</v>
          </cell>
          <cell r="K107" t="str">
            <v>受検規I-E-07013</v>
          </cell>
          <cell r="L107">
            <v>0</v>
          </cell>
          <cell r="M107" t="str">
            <v>Sampling check</v>
          </cell>
        </row>
        <row r="108">
          <cell r="C108" t="str">
            <v>FPS037-SAN</v>
          </cell>
          <cell r="D108" t="str">
            <v>Stop Ring For Kantan SC</v>
          </cell>
          <cell r="E108">
            <v>0</v>
          </cell>
          <cell r="F108" t="str">
            <v xml:space="preserve">S-1 Reduce
Cavity ≥ 1 </v>
          </cell>
          <cell r="G108" t="str">
            <v xml:space="preserve">S-1 Reduce
Cavity ≥ 1 </v>
          </cell>
          <cell r="H108">
            <v>0</v>
          </cell>
          <cell r="I108" t="str">
            <v>ST-QA-B20</v>
          </cell>
          <cell r="J108" t="str">
            <v>KEEP</v>
          </cell>
          <cell r="K108" t="str">
            <v>受検規I-E-07034</v>
          </cell>
          <cell r="L108">
            <v>0</v>
          </cell>
          <cell r="M108" t="str">
            <v>Sampling check</v>
          </cell>
        </row>
        <row r="109">
          <cell r="C109" t="str">
            <v>RDEPF009-SAN</v>
          </cell>
          <cell r="D109" t="str">
            <v>Body of E [4] Splitter module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 t="str">
            <v>KEEP</v>
          </cell>
          <cell r="K109" t="str">
            <v>-</v>
          </cell>
          <cell r="L109">
            <v>0</v>
          </cell>
          <cell r="M109" t="str">
            <v>Sampling check</v>
          </cell>
        </row>
        <row r="110">
          <cell r="C110" t="str">
            <v>RDEPF010-SAN</v>
          </cell>
          <cell r="D110" t="str">
            <v>Body of E [8] Splitter module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 t="str">
            <v>KEEP</v>
          </cell>
          <cell r="K110" t="str">
            <v>-</v>
          </cell>
          <cell r="L110">
            <v>0</v>
          </cell>
          <cell r="M110" t="str">
            <v>Sampling check</v>
          </cell>
        </row>
        <row r="111">
          <cell r="C111" t="str">
            <v>RDEPF012-SAN</v>
          </cell>
          <cell r="D111" t="str">
            <v>Lower Case of E Splitter module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 t="str">
            <v>KEEP</v>
          </cell>
          <cell r="K111" t="str">
            <v>-</v>
          </cell>
          <cell r="L111">
            <v>0</v>
          </cell>
          <cell r="M111" t="str">
            <v>Sampling check</v>
          </cell>
        </row>
        <row r="112">
          <cell r="C112" t="str">
            <v>RDEPF013-SAN</v>
          </cell>
          <cell r="D112" t="str">
            <v>Upper case of E Splitter module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 t="str">
            <v>KEEP</v>
          </cell>
          <cell r="K112" t="str">
            <v>-</v>
          </cell>
          <cell r="L112">
            <v>0</v>
          </cell>
          <cell r="M112" t="str">
            <v>Sampling check</v>
          </cell>
        </row>
        <row r="113">
          <cell r="C113" t="str">
            <v>RKNAI042-SAN</v>
          </cell>
          <cell r="D113" t="str">
            <v>Body Case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 t="str">
            <v>KEEP</v>
          </cell>
          <cell r="K113" t="str">
            <v>-</v>
          </cell>
          <cell r="L113">
            <v>0</v>
          </cell>
          <cell r="M113" t="str">
            <v>Sampling check</v>
          </cell>
        </row>
        <row r="114">
          <cell r="C114" t="str">
            <v>RKNAI043-SAN</v>
          </cell>
          <cell r="D114" t="str">
            <v>Lid</v>
          </cell>
          <cell r="E114">
            <v>0</v>
          </cell>
          <cell r="F114">
            <v>0</v>
          </cell>
          <cell r="G114" t="str">
            <v>III  Reduce</v>
          </cell>
          <cell r="H114">
            <v>0</v>
          </cell>
          <cell r="I114" t="str">
            <v>ST-QA-B20</v>
          </cell>
          <cell r="J114" t="str">
            <v>KEEP</v>
          </cell>
          <cell r="K114" t="str">
            <v>埼規購-581188</v>
          </cell>
          <cell r="L114">
            <v>0</v>
          </cell>
          <cell r="M114" t="str">
            <v>Sampling check</v>
          </cell>
        </row>
        <row r="115">
          <cell r="C115" t="str">
            <v>RKNAI044-SAN</v>
          </cell>
          <cell r="D115" t="str">
            <v>Fixing part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 t="str">
            <v>KEEP</v>
          </cell>
          <cell r="K115" t="str">
            <v>-</v>
          </cell>
          <cell r="L115">
            <v>0</v>
          </cell>
          <cell r="M115" t="str">
            <v>Sampling check</v>
          </cell>
        </row>
        <row r="116">
          <cell r="C116" t="str">
            <v>RKNAI045-SAN</v>
          </cell>
          <cell r="D116" t="str">
            <v>Body Case type 8</v>
          </cell>
          <cell r="E116">
            <v>0</v>
          </cell>
          <cell r="F116">
            <v>0</v>
          </cell>
          <cell r="G116" t="str">
            <v>III  Reduce</v>
          </cell>
          <cell r="H116">
            <v>0</v>
          </cell>
          <cell r="I116" t="str">
            <v>ST-QA-B20</v>
          </cell>
          <cell r="J116" t="str">
            <v>KEEP</v>
          </cell>
          <cell r="K116" t="str">
            <v>埼規購-581183</v>
          </cell>
          <cell r="L116">
            <v>0</v>
          </cell>
          <cell r="M116" t="str">
            <v>Sampling check</v>
          </cell>
        </row>
        <row r="117">
          <cell r="C117" t="str">
            <v>RKNAI046-SAN</v>
          </cell>
          <cell r="D117" t="str">
            <v>Sub case</v>
          </cell>
          <cell r="E117">
            <v>0</v>
          </cell>
          <cell r="F117">
            <v>0</v>
          </cell>
          <cell r="G117" t="str">
            <v>II Normal</v>
          </cell>
          <cell r="H117">
            <v>0</v>
          </cell>
          <cell r="I117" t="str">
            <v>ST-QA-B20</v>
          </cell>
          <cell r="J117" t="str">
            <v>KEEP</v>
          </cell>
          <cell r="K117" t="str">
            <v xml:space="preserve"> Refet PCR-24-051</v>
          </cell>
          <cell r="L117">
            <v>0</v>
          </cell>
          <cell r="M117" t="str">
            <v>Sampling check</v>
          </cell>
        </row>
        <row r="118">
          <cell r="C118" t="str">
            <v>RKNAI047-SAN</v>
          </cell>
          <cell r="D118" t="str">
            <v>Upper Case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ST-QA-B20</v>
          </cell>
          <cell r="J118" t="str">
            <v>KEEP</v>
          </cell>
          <cell r="K118" t="str">
            <v>埼規購-581185</v>
          </cell>
          <cell r="L118">
            <v>0</v>
          </cell>
          <cell r="M118" t="str">
            <v>Sampling check</v>
          </cell>
        </row>
        <row r="119">
          <cell r="C119" t="str">
            <v>RKNAI048-SAN</v>
          </cell>
          <cell r="D119" t="str">
            <v>Lid</v>
          </cell>
          <cell r="E119">
            <v>0</v>
          </cell>
          <cell r="F119">
            <v>0</v>
          </cell>
          <cell r="G119" t="str">
            <v>III  Reduce</v>
          </cell>
          <cell r="H119">
            <v>0</v>
          </cell>
          <cell r="I119" t="str">
            <v>ST-QA-B20</v>
          </cell>
          <cell r="J119" t="str">
            <v>KEEP</v>
          </cell>
          <cell r="K119" t="str">
            <v>埼規購-581186</v>
          </cell>
          <cell r="L119">
            <v>0</v>
          </cell>
          <cell r="M119" t="str">
            <v>Sampling check</v>
          </cell>
        </row>
        <row r="120">
          <cell r="C120" t="str">
            <v>RCOMM001-SAN</v>
          </cell>
          <cell r="D120" t="str">
            <v>FSC KEYLESS KNOB(BLUE)</v>
          </cell>
          <cell r="E120">
            <v>0</v>
          </cell>
          <cell r="F120" t="str">
            <v xml:space="preserve">S-2 Normal
Cavity ≥ 1 pc </v>
          </cell>
          <cell r="G120" t="str">
            <v xml:space="preserve">S-2 Normal
Cavity ≥ 1 pc </v>
          </cell>
          <cell r="H120">
            <v>0</v>
          </cell>
          <cell r="I120" t="str">
            <v>ST-QA-B20</v>
          </cell>
          <cell r="J120" t="str">
            <v>KEEP</v>
          </cell>
          <cell r="K120" t="str">
            <v>受検規I-E-24001</v>
          </cell>
          <cell r="L120">
            <v>0</v>
          </cell>
          <cell r="M120" t="str">
            <v>Sampling check</v>
          </cell>
        </row>
        <row r="121">
          <cell r="C121" t="str">
            <v>RCOMM002-SAN</v>
          </cell>
          <cell r="D121" t="str">
            <v>FSC KEYLESS KNOB(GREEN)</v>
          </cell>
          <cell r="E121">
            <v>0</v>
          </cell>
          <cell r="F121" t="str">
            <v xml:space="preserve">S-2 Normal
Cavity ≥ 1 pc </v>
          </cell>
          <cell r="G121" t="str">
            <v xml:space="preserve">S-2 Normal
Cavity ≥ 1 pc </v>
          </cell>
          <cell r="H121">
            <v>0</v>
          </cell>
          <cell r="I121" t="str">
            <v>ST-QA-B20</v>
          </cell>
          <cell r="J121" t="str">
            <v>KEEP</v>
          </cell>
          <cell r="K121" t="str">
            <v>受検規I-E-24001</v>
          </cell>
          <cell r="L121">
            <v>0</v>
          </cell>
          <cell r="M121" t="str">
            <v>Sampling check</v>
          </cell>
        </row>
        <row r="122">
          <cell r="C122" t="str">
            <v>BS220L</v>
          </cell>
          <cell r="D122" t="str">
            <v>Lid</v>
          </cell>
          <cell r="E122">
            <v>0</v>
          </cell>
          <cell r="F122" t="str">
            <v>S-1 Normal</v>
          </cell>
          <cell r="G122" t="str">
            <v>All</v>
          </cell>
          <cell r="H122">
            <v>0</v>
          </cell>
          <cell r="I122" t="str">
            <v>ST-QA-B03</v>
          </cell>
          <cell r="J122" t="str">
            <v>KEEP</v>
          </cell>
          <cell r="K122" t="str">
            <v>-</v>
          </cell>
          <cell r="L122">
            <v>0</v>
          </cell>
          <cell r="M122" t="str">
            <v>Appearance check 100%</v>
          </cell>
        </row>
        <row r="123">
          <cell r="C123" t="str">
            <v>BS221L</v>
          </cell>
          <cell r="D123" t="str">
            <v>Body Case</v>
          </cell>
          <cell r="E123">
            <v>0</v>
          </cell>
          <cell r="F123" t="str">
            <v>S-1 Normal</v>
          </cell>
          <cell r="G123" t="str">
            <v>All</v>
          </cell>
          <cell r="H123">
            <v>0</v>
          </cell>
          <cell r="I123" t="str">
            <v>ST-QA-B03</v>
          </cell>
          <cell r="J123" t="str">
            <v>KEEP</v>
          </cell>
          <cell r="K123" t="str">
            <v>-</v>
          </cell>
          <cell r="L123">
            <v>0</v>
          </cell>
          <cell r="M123" t="str">
            <v>Appearance check 100%</v>
          </cell>
        </row>
        <row r="124">
          <cell r="C124" t="str">
            <v>SP050L</v>
          </cell>
          <cell r="D124" t="str">
            <v>Body Case</v>
          </cell>
          <cell r="E124">
            <v>0</v>
          </cell>
          <cell r="F124">
            <v>0</v>
          </cell>
          <cell r="G124" t="str">
            <v>All</v>
          </cell>
          <cell r="H124">
            <v>0</v>
          </cell>
          <cell r="I124" t="str">
            <v>ST-QA-B03</v>
          </cell>
          <cell r="J124" t="str">
            <v>KEEP</v>
          </cell>
          <cell r="K124" t="str">
            <v>-</v>
          </cell>
          <cell r="L124">
            <v>0</v>
          </cell>
          <cell r="M124" t="str">
            <v>Appearance check 100%</v>
          </cell>
        </row>
        <row r="125">
          <cell r="C125" t="str">
            <v>SP051L</v>
          </cell>
          <cell r="D125" t="str">
            <v>Lid</v>
          </cell>
          <cell r="E125">
            <v>0</v>
          </cell>
          <cell r="F125">
            <v>0</v>
          </cell>
          <cell r="G125" t="str">
            <v>All</v>
          </cell>
          <cell r="H125">
            <v>0</v>
          </cell>
          <cell r="I125" t="str">
            <v>ST-QA-B03</v>
          </cell>
          <cell r="J125" t="str">
            <v>KEEP</v>
          </cell>
          <cell r="K125" t="str">
            <v>-</v>
          </cell>
          <cell r="L125">
            <v>0</v>
          </cell>
          <cell r="M125" t="str">
            <v>Appearance check 100%</v>
          </cell>
        </row>
        <row r="126">
          <cell r="C126" t="str">
            <v>TMK101</v>
          </cell>
          <cell r="D126" t="str">
            <v>Cover Side Electrode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 t="str">
            <v>KEEP</v>
          </cell>
          <cell r="K126" t="str">
            <v>-</v>
          </cell>
          <cell r="L126">
            <v>0</v>
          </cell>
          <cell r="M126" t="str">
            <v>Sampling check</v>
          </cell>
        </row>
        <row r="127">
          <cell r="C127" t="str">
            <v>TMK102</v>
          </cell>
          <cell r="D127" t="str">
            <v>Main Base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 t="str">
            <v>KEEP</v>
          </cell>
          <cell r="K127" t="str">
            <v>-</v>
          </cell>
          <cell r="L127">
            <v>0</v>
          </cell>
          <cell r="M127" t="str">
            <v>Sampling check</v>
          </cell>
        </row>
        <row r="128">
          <cell r="C128" t="str">
            <v>TMK103</v>
          </cell>
          <cell r="D128" t="str">
            <v>Battery Case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 t="str">
            <v>KEEP</v>
          </cell>
          <cell r="K128" t="str">
            <v>-</v>
          </cell>
          <cell r="L128">
            <v>0</v>
          </cell>
          <cell r="M128" t="str">
            <v>Sampling check</v>
          </cell>
        </row>
        <row r="129">
          <cell r="C129" t="str">
            <v>TMK104</v>
          </cell>
          <cell r="D129" t="str">
            <v>GND Sim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 t="str">
            <v>KEEP</v>
          </cell>
          <cell r="K129" t="str">
            <v>-</v>
          </cell>
          <cell r="L129">
            <v>0</v>
          </cell>
          <cell r="M129" t="str">
            <v>Sampling check</v>
          </cell>
        </row>
        <row r="130">
          <cell r="C130" t="str">
            <v>TMK105</v>
          </cell>
          <cell r="D130" t="str">
            <v>Plate Horn : 30A3258</v>
          </cell>
          <cell r="E130">
            <v>0</v>
          </cell>
          <cell r="F130" t="str">
            <v>S-3 Normal</v>
          </cell>
          <cell r="G130" t="str">
            <v>All</v>
          </cell>
          <cell r="H130" t="str">
            <v>1Pc</v>
          </cell>
          <cell r="I130" t="str">
            <v>ST-QA-B24</v>
          </cell>
          <cell r="J130" t="str">
            <v>KEEP</v>
          </cell>
          <cell r="K130" t="str">
            <v>受検規I-E-14037</v>
          </cell>
          <cell r="L130">
            <v>0</v>
          </cell>
          <cell r="M130" t="str">
            <v>Appearance check 100%</v>
          </cell>
        </row>
        <row r="131">
          <cell r="C131" t="str">
            <v>TNM100</v>
          </cell>
          <cell r="D131" t="str">
            <v>Top Cover : 30A3097</v>
          </cell>
          <cell r="E131">
            <v>0</v>
          </cell>
          <cell r="F131">
            <v>0</v>
          </cell>
          <cell r="G131" t="str">
            <v>All</v>
          </cell>
          <cell r="H131">
            <v>0</v>
          </cell>
          <cell r="I131" t="str">
            <v>ST-QA-B23</v>
          </cell>
          <cell r="J131" t="str">
            <v>KEEP</v>
          </cell>
          <cell r="K131" t="str">
            <v>受検規I-E-14041</v>
          </cell>
          <cell r="L131">
            <v>0</v>
          </cell>
          <cell r="M131" t="str">
            <v>Appearance check 100%</v>
          </cell>
        </row>
        <row r="132">
          <cell r="C132" t="str">
            <v>TNM101</v>
          </cell>
          <cell r="D132" t="str">
            <v>Bottom Cover : 30A3099</v>
          </cell>
          <cell r="E132">
            <v>0</v>
          </cell>
          <cell r="F132">
            <v>0</v>
          </cell>
          <cell r="G132" t="str">
            <v>All</v>
          </cell>
          <cell r="H132">
            <v>0</v>
          </cell>
          <cell r="I132" t="str">
            <v>ST-QA-B23</v>
          </cell>
          <cell r="J132" t="str">
            <v>KEEP</v>
          </cell>
          <cell r="K132" t="str">
            <v>受検規I-E-14042</v>
          </cell>
          <cell r="L132">
            <v>0</v>
          </cell>
          <cell r="M132" t="str">
            <v>Appearance check 100%</v>
          </cell>
        </row>
        <row r="133">
          <cell r="C133" t="str">
            <v>TNM102</v>
          </cell>
          <cell r="D133" t="str">
            <v>Battery Cover : 30A3142</v>
          </cell>
          <cell r="E133">
            <v>0</v>
          </cell>
          <cell r="F133">
            <v>0</v>
          </cell>
          <cell r="G133" t="str">
            <v>II Normal</v>
          </cell>
          <cell r="H133">
            <v>0</v>
          </cell>
          <cell r="I133" t="str">
            <v>ST-QA-B23</v>
          </cell>
          <cell r="J133" t="str">
            <v>KEEP</v>
          </cell>
          <cell r="K133" t="str">
            <v>受検規I-E-14043</v>
          </cell>
          <cell r="L133">
            <v>0</v>
          </cell>
          <cell r="M133" t="str">
            <v>Sampling check</v>
          </cell>
        </row>
        <row r="134">
          <cell r="C134" t="str">
            <v>TNM103</v>
          </cell>
          <cell r="D134" t="str">
            <v>Connector Cover : 30A3130</v>
          </cell>
          <cell r="E134">
            <v>0</v>
          </cell>
          <cell r="F134">
            <v>0</v>
          </cell>
          <cell r="G134" t="str">
            <v>II Normal</v>
          </cell>
          <cell r="H134">
            <v>0</v>
          </cell>
          <cell r="I134" t="str">
            <v>ST-QA-B23</v>
          </cell>
          <cell r="J134" t="str">
            <v>KEEP</v>
          </cell>
          <cell r="K134" t="str">
            <v>受検規I-E-14045</v>
          </cell>
          <cell r="L134">
            <v>0</v>
          </cell>
          <cell r="M134" t="str">
            <v>Sampling check</v>
          </cell>
        </row>
        <row r="135">
          <cell r="C135" t="str">
            <v>TNM104</v>
          </cell>
          <cell r="D135" t="str">
            <v>Canopy Cover : 130A3140</v>
          </cell>
          <cell r="E135">
            <v>0</v>
          </cell>
          <cell r="F135">
            <v>0</v>
          </cell>
          <cell r="G135" t="str">
            <v>II Normal</v>
          </cell>
          <cell r="H135">
            <v>0</v>
          </cell>
          <cell r="I135" t="str">
            <v>ST-QA-B23</v>
          </cell>
          <cell r="J135" t="str">
            <v>KEEP</v>
          </cell>
          <cell r="K135" t="str">
            <v>受検規I-E-14046</v>
          </cell>
          <cell r="L135">
            <v>0</v>
          </cell>
          <cell r="M135" t="str">
            <v>Sampling check</v>
          </cell>
        </row>
        <row r="136">
          <cell r="C136" t="str">
            <v>TNM105</v>
          </cell>
          <cell r="D136" t="str">
            <v>Heater Cover : 30A2314</v>
          </cell>
          <cell r="E136">
            <v>0</v>
          </cell>
          <cell r="F136">
            <v>0</v>
          </cell>
          <cell r="G136" t="str">
            <v>II Normal</v>
          </cell>
          <cell r="H136">
            <v>0</v>
          </cell>
          <cell r="I136" t="str">
            <v>ST-QA-B23</v>
          </cell>
          <cell r="J136" t="str">
            <v>KEEP</v>
          </cell>
          <cell r="K136" t="str">
            <v>受検規I-E-14049</v>
          </cell>
          <cell r="L136">
            <v>0</v>
          </cell>
          <cell r="M136" t="str">
            <v>Sampling check</v>
          </cell>
        </row>
        <row r="137">
          <cell r="C137" t="str">
            <v>TNM106</v>
          </cell>
          <cell r="D137" t="str">
            <v>Heater Clamp Base NR : 30A3214</v>
          </cell>
          <cell r="E137">
            <v>0</v>
          </cell>
          <cell r="F137">
            <v>0</v>
          </cell>
          <cell r="G137" t="str">
            <v>II Normal</v>
          </cell>
          <cell r="H137">
            <v>0</v>
          </cell>
          <cell r="I137" t="str">
            <v>ST-QA-B23</v>
          </cell>
          <cell r="J137" t="str">
            <v>KEEP</v>
          </cell>
          <cell r="K137" t="str">
            <v>受検規I-E-14050</v>
          </cell>
          <cell r="L137">
            <v>0</v>
          </cell>
          <cell r="M137" t="str">
            <v>Sampling check</v>
          </cell>
        </row>
        <row r="138">
          <cell r="C138" t="str">
            <v>TNM107</v>
          </cell>
          <cell r="D138" t="str">
            <v>Heater Case : 30A2316</v>
          </cell>
          <cell r="E138">
            <v>0</v>
          </cell>
          <cell r="F138">
            <v>0</v>
          </cell>
          <cell r="G138" t="str">
            <v>II Normal</v>
          </cell>
          <cell r="H138">
            <v>0</v>
          </cell>
          <cell r="I138" t="str">
            <v>ST-QA-B23</v>
          </cell>
          <cell r="J138" t="str">
            <v>KEEP</v>
          </cell>
          <cell r="K138" t="str">
            <v>受検規I-E-14048</v>
          </cell>
          <cell r="L138">
            <v>0</v>
          </cell>
          <cell r="M138" t="str">
            <v>Sampling check</v>
          </cell>
        </row>
        <row r="139">
          <cell r="C139" t="str">
            <v>TNM108</v>
          </cell>
          <cell r="D139" t="str">
            <v>Heater Sensor DOG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 t="str">
            <v>KEEP</v>
          </cell>
          <cell r="K139" t="str">
            <v>-</v>
          </cell>
          <cell r="L139">
            <v>0</v>
          </cell>
          <cell r="M139" t="str">
            <v>Sampling check</v>
          </cell>
        </row>
        <row r="140">
          <cell r="C140" t="str">
            <v>TNM109</v>
          </cell>
          <cell r="D140" t="str">
            <v>Protector : 30A3117</v>
          </cell>
          <cell r="E140">
            <v>0</v>
          </cell>
          <cell r="F140">
            <v>0</v>
          </cell>
          <cell r="G140" t="str">
            <v>II Normal</v>
          </cell>
          <cell r="H140">
            <v>0</v>
          </cell>
          <cell r="I140" t="str">
            <v>ST-QA-B23</v>
          </cell>
          <cell r="J140" t="str">
            <v>KEEP</v>
          </cell>
          <cell r="K140" t="str">
            <v>受検規I-E-14044</v>
          </cell>
          <cell r="L140">
            <v>0</v>
          </cell>
          <cell r="M140" t="str">
            <v>Sampling check</v>
          </cell>
        </row>
        <row r="141">
          <cell r="C141" t="str">
            <v>TNM110</v>
          </cell>
          <cell r="D141" t="str">
            <v>Canopy : 30A3139</v>
          </cell>
          <cell r="E141">
            <v>0</v>
          </cell>
          <cell r="F141">
            <v>0</v>
          </cell>
          <cell r="G141" t="str">
            <v>II Normal</v>
          </cell>
          <cell r="H141" t="str">
            <v>1Pc</v>
          </cell>
          <cell r="I141" t="str">
            <v>ST-QA-B23</v>
          </cell>
          <cell r="J141" t="str">
            <v>KEEP</v>
          </cell>
          <cell r="K141" t="str">
            <v>受検規I-E-14047</v>
          </cell>
          <cell r="L141">
            <v>0</v>
          </cell>
          <cell r="M141" t="str">
            <v>Sampling check</v>
          </cell>
        </row>
        <row r="142">
          <cell r="C142" t="str">
            <v>FS094-TNM</v>
          </cell>
          <cell r="D142" t="str">
            <v>Canopy NJ001M4 : 30A2361</v>
          </cell>
          <cell r="E142">
            <v>0</v>
          </cell>
          <cell r="F142">
            <v>0</v>
          </cell>
          <cell r="G142" t="str">
            <v>II Normal</v>
          </cell>
          <cell r="H142" t="str">
            <v>1Pc</v>
          </cell>
          <cell r="I142" t="str">
            <v>ST-QA-B23</v>
          </cell>
          <cell r="J142" t="str">
            <v>KEEP</v>
          </cell>
          <cell r="K142" t="str">
            <v>受検規I-E-16004</v>
          </cell>
          <cell r="L142">
            <v>0</v>
          </cell>
          <cell r="M142" t="str">
            <v>Sampling check</v>
          </cell>
        </row>
        <row r="143">
          <cell r="C143" t="str">
            <v>KORAT001</v>
          </cell>
          <cell r="D143" t="str">
            <v xml:space="preserve">MB Reinforcement Plate 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 t="str">
            <v>KEEP</v>
          </cell>
          <cell r="K143" t="str">
            <v>-</v>
          </cell>
          <cell r="L143">
            <v>0</v>
          </cell>
          <cell r="M143" t="str">
            <v>Sampling check</v>
          </cell>
        </row>
        <row r="144">
          <cell r="C144" t="str">
            <v>KORAT002</v>
          </cell>
          <cell r="D144" t="str">
            <v>Sim 0.05 30A3256</v>
          </cell>
          <cell r="E144">
            <v>0</v>
          </cell>
          <cell r="F144">
            <v>0</v>
          </cell>
          <cell r="G144">
            <v>0</v>
          </cell>
          <cell r="H144" t="str">
            <v>1Pc</v>
          </cell>
          <cell r="I144" t="str">
            <v>ST-QA-B26</v>
          </cell>
          <cell r="J144" t="str">
            <v>-</v>
          </cell>
          <cell r="K144" t="str">
            <v>受検規I-E-14038</v>
          </cell>
          <cell r="L144">
            <v>0</v>
          </cell>
          <cell r="M144" t="str">
            <v>Sampling check</v>
          </cell>
        </row>
        <row r="145">
          <cell r="C145" t="str">
            <v>KORAT003</v>
          </cell>
          <cell r="D145" t="str">
            <v>Sim 0.1 30A3256</v>
          </cell>
          <cell r="E145">
            <v>0</v>
          </cell>
          <cell r="F145">
            <v>0</v>
          </cell>
          <cell r="G145">
            <v>0</v>
          </cell>
          <cell r="H145" t="str">
            <v>1Pc</v>
          </cell>
          <cell r="I145" t="str">
            <v>ST-QA-B26</v>
          </cell>
          <cell r="J145" t="str">
            <v>KEEP</v>
          </cell>
          <cell r="K145" t="str">
            <v>受検規I-E-14039</v>
          </cell>
          <cell r="L145">
            <v>0</v>
          </cell>
          <cell r="M145" t="str">
            <v>Sampling check</v>
          </cell>
        </row>
        <row r="146">
          <cell r="C146" t="str">
            <v>KORAT004</v>
          </cell>
          <cell r="D146" t="str">
            <v>Helical Compression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 t="str">
            <v>KEEP</v>
          </cell>
          <cell r="K146" t="str">
            <v>-</v>
          </cell>
          <cell r="L146">
            <v>0</v>
          </cell>
          <cell r="M146" t="str">
            <v>Sampling check</v>
          </cell>
        </row>
        <row r="147">
          <cell r="C147" t="str">
            <v>KORAT005</v>
          </cell>
          <cell r="D147" t="str">
            <v>Screening Spring 2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>KEEP</v>
          </cell>
          <cell r="K147" t="str">
            <v>-</v>
          </cell>
          <cell r="L147">
            <v>0</v>
          </cell>
          <cell r="M147" t="str">
            <v>Sampling check</v>
          </cell>
        </row>
        <row r="148">
          <cell r="C148" t="str">
            <v>KORAT006</v>
          </cell>
          <cell r="D148" t="str">
            <v>Sensor Spring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>KEEP</v>
          </cell>
          <cell r="K148" t="str">
            <v>-</v>
          </cell>
          <cell r="L148">
            <v>0</v>
          </cell>
          <cell r="M148" t="str">
            <v>Sampling check</v>
          </cell>
        </row>
        <row r="149">
          <cell r="C149" t="str">
            <v>KORAT007</v>
          </cell>
          <cell r="D149" t="str">
            <v xml:space="preserve">Clamp Spring 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 t="str">
            <v>KEEP</v>
          </cell>
          <cell r="K149" t="str">
            <v>-</v>
          </cell>
          <cell r="L149">
            <v>0</v>
          </cell>
          <cell r="M149" t="str">
            <v>Sampling check</v>
          </cell>
        </row>
        <row r="150">
          <cell r="C150" t="str">
            <v>KORAT008</v>
          </cell>
          <cell r="D150" t="str">
            <v xml:space="preserve">Heater Upper Clamp 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>KEEP</v>
          </cell>
          <cell r="K150" t="str">
            <v>-</v>
          </cell>
          <cell r="L150">
            <v>0</v>
          </cell>
          <cell r="M150" t="str">
            <v>Sampling check</v>
          </cell>
        </row>
        <row r="151">
          <cell r="C151" t="str">
            <v>KORAT009</v>
          </cell>
          <cell r="D151" t="str">
            <v>Heater Under Clamp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>KEEP</v>
          </cell>
          <cell r="K151" t="str">
            <v>-</v>
          </cell>
          <cell r="L151">
            <v>0</v>
          </cell>
          <cell r="M151" t="str">
            <v>Sampling check</v>
          </cell>
        </row>
        <row r="152">
          <cell r="C152" t="str">
            <v>KORAT010</v>
          </cell>
          <cell r="D152" t="str">
            <v xml:space="preserve">Carriage Arm 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 t="str">
            <v>KEEP</v>
          </cell>
          <cell r="K152" t="str">
            <v>-</v>
          </cell>
          <cell r="L152">
            <v>0</v>
          </cell>
          <cell r="M152" t="str">
            <v>Sampling check</v>
          </cell>
        </row>
        <row r="153">
          <cell r="C153" t="str">
            <v>KORAT011</v>
          </cell>
          <cell r="D153" t="str">
            <v xml:space="preserve">Plate Spring GND 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 t="str">
            <v>KEEP</v>
          </cell>
          <cell r="K153" t="str">
            <v>-</v>
          </cell>
          <cell r="L153">
            <v>0</v>
          </cell>
          <cell r="M153" t="str">
            <v>Sampling check</v>
          </cell>
        </row>
        <row r="154">
          <cell r="C154" t="str">
            <v>FS095-KMC</v>
          </cell>
          <cell r="D154" t="str">
            <v>Heater Clamp Lever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 t="str">
            <v>KEEP</v>
          </cell>
          <cell r="K154" t="str">
            <v>-</v>
          </cell>
          <cell r="L154">
            <v>0</v>
          </cell>
          <cell r="M154" t="str">
            <v>Sampling check</v>
          </cell>
        </row>
        <row r="155">
          <cell r="C155" t="str">
            <v>IDH026-KMC</v>
          </cell>
          <cell r="D155" t="str">
            <v xml:space="preserve">LEVER SPRING 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 t="str">
            <v>KEEP</v>
          </cell>
          <cell r="K155" t="str">
            <v>-</v>
          </cell>
          <cell r="L155">
            <v>0</v>
          </cell>
          <cell r="M155" t="str">
            <v>Sampling check</v>
          </cell>
        </row>
        <row r="156">
          <cell r="C156" t="str">
            <v>IDH027-KMC</v>
          </cell>
          <cell r="D156" t="str">
            <v xml:space="preserve">HOLDER BASE SPRING 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 t="str">
            <v>KEEP</v>
          </cell>
          <cell r="K156" t="str">
            <v>-</v>
          </cell>
          <cell r="L156">
            <v>0</v>
          </cell>
          <cell r="M156" t="str">
            <v>Sampling check</v>
          </cell>
        </row>
        <row r="157">
          <cell r="C157" t="str">
            <v>FC037-KMC</v>
          </cell>
          <cell r="D157" t="str">
            <v xml:space="preserve">SPRING#1 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 t="str">
            <v>KEEP</v>
          </cell>
          <cell r="K157" t="str">
            <v>-</v>
          </cell>
          <cell r="L157">
            <v>0</v>
          </cell>
          <cell r="M157" t="str">
            <v>Sampling check</v>
          </cell>
        </row>
        <row r="158">
          <cell r="C158" t="str">
            <v>FC102-KMC</v>
          </cell>
          <cell r="D158" t="str">
            <v>SPRING #2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 t="str">
            <v>KEEP</v>
          </cell>
          <cell r="K158" t="str">
            <v>-</v>
          </cell>
          <cell r="L158">
            <v>0</v>
          </cell>
          <cell r="M158" t="str">
            <v>Sampling check</v>
          </cell>
        </row>
        <row r="159">
          <cell r="C159" t="str">
            <v>FC090-KMC</v>
          </cell>
          <cell r="D159" t="str">
            <v>SPRING #2 FOR LEVER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 t="str">
            <v>KEEP</v>
          </cell>
          <cell r="K159" t="str">
            <v>-</v>
          </cell>
          <cell r="L159">
            <v>0</v>
          </cell>
          <cell r="M159" t="str">
            <v>Sampling check</v>
          </cell>
        </row>
        <row r="160">
          <cell r="C160" t="str">
            <v>FC066-KMC</v>
          </cell>
          <cell r="D160" t="str">
            <v>SPRING #WL2-5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 t="str">
            <v>KEEP</v>
          </cell>
          <cell r="K160" t="str">
            <v>-</v>
          </cell>
          <cell r="L160">
            <v>0</v>
          </cell>
          <cell r="M160" t="str">
            <v>Sampling check</v>
          </cell>
        </row>
        <row r="161">
          <cell r="C161" t="str">
            <v>FC052-KMC</v>
          </cell>
          <cell r="D161" t="str">
            <v xml:space="preserve">SPRING #5113 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 t="str">
            <v>KEEP</v>
          </cell>
          <cell r="K161" t="str">
            <v>-</v>
          </cell>
          <cell r="L161">
            <v>0</v>
          </cell>
          <cell r="M161" t="str">
            <v>Sampling check</v>
          </cell>
        </row>
        <row r="162">
          <cell r="C162" t="str">
            <v>FS096-KMC</v>
          </cell>
          <cell r="D162" t="str">
            <v>CLAMP FIBER CLAMP SPRING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 t="str">
            <v>KEEP</v>
          </cell>
          <cell r="K162" t="str">
            <v>-</v>
          </cell>
          <cell r="L162">
            <v>0</v>
          </cell>
          <cell r="M162" t="str">
            <v>Sampling check</v>
          </cell>
        </row>
        <row r="163">
          <cell r="C163" t="str">
            <v>FS325-KMC</v>
          </cell>
          <cell r="D163" t="str">
            <v xml:space="preserve">Z SIM 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 t="str">
            <v>KEEP</v>
          </cell>
          <cell r="K163" t="str">
            <v>-</v>
          </cell>
          <cell r="L163">
            <v>0</v>
          </cell>
          <cell r="M163" t="str">
            <v>Sampling check</v>
          </cell>
        </row>
        <row r="164">
          <cell r="C164" t="str">
            <v>FS328-KMC</v>
          </cell>
          <cell r="D164" t="str">
            <v>SPRING : SLE CLAMP SP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 t="str">
            <v>KEEP</v>
          </cell>
          <cell r="K164" t="str">
            <v>-</v>
          </cell>
          <cell r="L164">
            <v>0</v>
          </cell>
          <cell r="M164" t="str">
            <v>Sampling check</v>
          </cell>
        </row>
        <row r="165">
          <cell r="C165" t="str">
            <v>FS329-KMC</v>
          </cell>
          <cell r="D165" t="str">
            <v>SPRING : CARRIAGE SPRING (LM)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 t="str">
            <v>KEEP</v>
          </cell>
          <cell r="K165" t="str">
            <v>-</v>
          </cell>
          <cell r="L165">
            <v>0</v>
          </cell>
          <cell r="M165" t="str">
            <v>Sampling check</v>
          </cell>
        </row>
        <row r="166">
          <cell r="C166" t="str">
            <v>FS330-KMC</v>
          </cell>
          <cell r="D166" t="str">
            <v>SPRING : SPRING-RESET-FCS-M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 t="str">
            <v>KEEP</v>
          </cell>
          <cell r="K166" t="str">
            <v>-</v>
          </cell>
          <cell r="L166">
            <v>0</v>
          </cell>
          <cell r="M166" t="str">
            <v>Sampling check</v>
          </cell>
        </row>
        <row r="167">
          <cell r="C167" t="str">
            <v>FS331-KMC</v>
          </cell>
          <cell r="D167" t="str">
            <v>SPRING : LED ARM SPRING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 t="str">
            <v>KEEP</v>
          </cell>
          <cell r="K167" t="str">
            <v>-</v>
          </cell>
          <cell r="L167">
            <v>0</v>
          </cell>
          <cell r="M167" t="str">
            <v>Sampling check</v>
          </cell>
        </row>
        <row r="168">
          <cell r="C168" t="str">
            <v>FS332-KMC</v>
          </cell>
          <cell r="D168" t="str">
            <v>SPRING : FB CLAM SP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 t="str">
            <v>KEEP</v>
          </cell>
          <cell r="K168" t="str">
            <v>-</v>
          </cell>
          <cell r="L168">
            <v>0</v>
          </cell>
          <cell r="M168" t="str">
            <v>Sampling check</v>
          </cell>
        </row>
        <row r="169">
          <cell r="C169" t="str">
            <v>FS333-KMC</v>
          </cell>
          <cell r="D169" t="str">
            <v>SPRING-RESET-FCS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 t="str">
            <v>KEEP</v>
          </cell>
          <cell r="K169" t="str">
            <v>-</v>
          </cell>
          <cell r="L169">
            <v>0</v>
          </cell>
          <cell r="M169" t="str">
            <v>Sampling check</v>
          </cell>
        </row>
        <row r="170">
          <cell r="C170" t="str">
            <v>FS334-KMC</v>
          </cell>
          <cell r="D170" t="str">
            <v>ARM SPRING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 t="str">
            <v>KEEP</v>
          </cell>
          <cell r="K170" t="str">
            <v>-</v>
          </cell>
          <cell r="L170">
            <v>0</v>
          </cell>
          <cell r="M170" t="str">
            <v>Sampling check</v>
          </cell>
        </row>
        <row r="171">
          <cell r="C171" t="str">
            <v>KORAT012</v>
          </cell>
          <cell r="D171" t="str">
            <v>Heater Clamp Lever 30A3211</v>
          </cell>
          <cell r="E171">
            <v>0</v>
          </cell>
          <cell r="F171" t="str">
            <v>II Normal</v>
          </cell>
          <cell r="G171" t="str">
            <v>II Normal</v>
          </cell>
          <cell r="H171">
            <v>0</v>
          </cell>
          <cell r="I171" t="str">
            <v>ST-QA-B26</v>
          </cell>
          <cell r="J171" t="str">
            <v>KEEP</v>
          </cell>
          <cell r="K171" t="str">
            <v>受検規I-E-14040</v>
          </cell>
          <cell r="L171">
            <v>0</v>
          </cell>
          <cell r="M171" t="str">
            <v>Sampling check</v>
          </cell>
        </row>
        <row r="172">
          <cell r="C172" t="str">
            <v>FS548-KMC</v>
          </cell>
          <cell r="D172" t="str">
            <v>MG PLATE B: 33A1069</v>
          </cell>
          <cell r="E172">
            <v>0</v>
          </cell>
          <cell r="F172">
            <v>0</v>
          </cell>
          <cell r="G172" t="str">
            <v>II Normal</v>
          </cell>
          <cell r="H172">
            <v>0</v>
          </cell>
          <cell r="I172" t="str">
            <v>ST-QA-B26</v>
          </cell>
          <cell r="J172" t="str">
            <v>KEEP</v>
          </cell>
          <cell r="K172" t="str">
            <v>受検規I-U-16022</v>
          </cell>
          <cell r="L172">
            <v>0</v>
          </cell>
          <cell r="M172" t="str">
            <v>Sampling check</v>
          </cell>
        </row>
        <row r="173">
          <cell r="C173" t="str">
            <v>RCHFU001-KMC</v>
          </cell>
          <cell r="D173" t="str">
            <v>CH Bottom cover : 76B3066</v>
          </cell>
          <cell r="E173">
            <v>0</v>
          </cell>
          <cell r="F173">
            <v>0</v>
          </cell>
          <cell r="G173" t="str">
            <v>II Normal</v>
          </cell>
          <cell r="H173">
            <v>0</v>
          </cell>
          <cell r="I173" t="str">
            <v>ST-QA-B26</v>
          </cell>
          <cell r="J173" t="str">
            <v>KEEP</v>
          </cell>
          <cell r="K173" t="str">
            <v>受検規 - 17TD026</v>
          </cell>
          <cell r="L173">
            <v>0</v>
          </cell>
          <cell r="M173" t="str">
            <v>Sampling check</v>
          </cell>
        </row>
        <row r="174">
          <cell r="C174" t="str">
            <v>RCHFU002-KMC</v>
          </cell>
          <cell r="D174" t="str">
            <v>CH Clamp cover : 76B3040</v>
          </cell>
          <cell r="E174">
            <v>0</v>
          </cell>
          <cell r="F174">
            <v>0</v>
          </cell>
          <cell r="G174" t="str">
            <v>II Normal</v>
          </cell>
          <cell r="H174">
            <v>0</v>
          </cell>
          <cell r="I174" t="str">
            <v>ST-QA-B26</v>
          </cell>
          <cell r="J174" t="str">
            <v>KEEP</v>
          </cell>
          <cell r="K174">
            <v>0</v>
          </cell>
          <cell r="L174">
            <v>0</v>
          </cell>
          <cell r="M174" t="str">
            <v>Sampling check</v>
          </cell>
        </row>
        <row r="175">
          <cell r="C175" t="str">
            <v>RCHFU004-KMC</v>
          </cell>
          <cell r="D175" t="str">
            <v>MG Cover SQ : 76B3065</v>
          </cell>
          <cell r="E175">
            <v>0</v>
          </cell>
          <cell r="F175">
            <v>0</v>
          </cell>
          <cell r="G175" t="str">
            <v>II Normal</v>
          </cell>
          <cell r="H175">
            <v>0</v>
          </cell>
          <cell r="I175" t="str">
            <v>ST-QA-B26</v>
          </cell>
          <cell r="J175" t="str">
            <v>KEEP</v>
          </cell>
          <cell r="K175">
            <v>0</v>
          </cell>
          <cell r="L175">
            <v>0</v>
          </cell>
          <cell r="M175" t="str">
            <v>Sampling check</v>
          </cell>
        </row>
        <row r="176">
          <cell r="C176" t="str">
            <v>OHTA001</v>
          </cell>
          <cell r="D176" t="str">
            <v xml:space="preserve">MG Plate 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 t="str">
            <v>KEEP</v>
          </cell>
          <cell r="K176" t="str">
            <v>-</v>
          </cell>
          <cell r="L176">
            <v>0</v>
          </cell>
          <cell r="M176" t="str">
            <v>Sampling check</v>
          </cell>
        </row>
        <row r="177">
          <cell r="C177" t="str">
            <v>OHTA002</v>
          </cell>
          <cell r="D177" t="str">
            <v xml:space="preserve">Sensor Dog Pin 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 t="str">
            <v>KEEP</v>
          </cell>
          <cell r="K177" t="str">
            <v>-</v>
          </cell>
          <cell r="L177">
            <v>0</v>
          </cell>
          <cell r="M177" t="str">
            <v>Sampling check</v>
          </cell>
        </row>
        <row r="178">
          <cell r="C178" t="str">
            <v>OHTA003</v>
          </cell>
          <cell r="D178" t="str">
            <v>Holder Hook 30A3086</v>
          </cell>
          <cell r="E178">
            <v>0</v>
          </cell>
          <cell r="F178">
            <v>0</v>
          </cell>
          <cell r="G178">
            <v>0</v>
          </cell>
          <cell r="H178" t="str">
            <v>1Pc</v>
          </cell>
          <cell r="I178" t="str">
            <v>ST-QA-B27</v>
          </cell>
          <cell r="J178" t="str">
            <v>KEEP</v>
          </cell>
          <cell r="K178" t="str">
            <v>受検規I-E-14058</v>
          </cell>
          <cell r="L178">
            <v>0</v>
          </cell>
          <cell r="M178" t="str">
            <v>Sampling check</v>
          </cell>
        </row>
        <row r="179">
          <cell r="C179" t="str">
            <v>OHTA004</v>
          </cell>
          <cell r="D179" t="str">
            <v xml:space="preserve">Electrode Screw 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 t="str">
            <v>KEEP</v>
          </cell>
          <cell r="K179" t="str">
            <v>-</v>
          </cell>
          <cell r="L179">
            <v>0</v>
          </cell>
          <cell r="M179" t="str">
            <v>Sampling check</v>
          </cell>
        </row>
        <row r="180">
          <cell r="C180" t="str">
            <v>OHTA005</v>
          </cell>
          <cell r="D180" t="str">
            <v>Feed Nut P0.7 30A3121</v>
          </cell>
          <cell r="E180">
            <v>0</v>
          </cell>
          <cell r="F180">
            <v>0</v>
          </cell>
          <cell r="G180">
            <v>0</v>
          </cell>
          <cell r="H180" t="str">
            <v>1Pc</v>
          </cell>
          <cell r="I180" t="str">
            <v>ST-QA-B27</v>
          </cell>
          <cell r="J180" t="str">
            <v>KEEP</v>
          </cell>
          <cell r="K180" t="str">
            <v>受検規I-E-14056</v>
          </cell>
          <cell r="L180">
            <v>0</v>
          </cell>
          <cell r="M180" t="str">
            <v>Sampling check</v>
          </cell>
        </row>
        <row r="181">
          <cell r="C181" t="str">
            <v>OHTA006</v>
          </cell>
          <cell r="D181" t="str">
            <v xml:space="preserve">Hinge Shaft A 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 t="str">
            <v>KEEP</v>
          </cell>
          <cell r="K181" t="str">
            <v>-</v>
          </cell>
          <cell r="L181">
            <v>0</v>
          </cell>
          <cell r="M181" t="str">
            <v>Sampling check</v>
          </cell>
        </row>
        <row r="182">
          <cell r="C182" t="str">
            <v>OHTA007</v>
          </cell>
          <cell r="D182" t="str">
            <v>Heater Hinge Shaft B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 t="str">
            <v>KEEP</v>
          </cell>
          <cell r="K182" t="str">
            <v>-</v>
          </cell>
          <cell r="L182">
            <v>0</v>
          </cell>
          <cell r="M182" t="str">
            <v>Sampling check</v>
          </cell>
        </row>
        <row r="183">
          <cell r="C183" t="str">
            <v>OHTA008</v>
          </cell>
          <cell r="D183" t="str">
            <v>Heater Hinge Shaft A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 t="str">
            <v>KEEP</v>
          </cell>
          <cell r="K183" t="str">
            <v>-</v>
          </cell>
          <cell r="L183">
            <v>0</v>
          </cell>
          <cell r="M183" t="str">
            <v>Sampling check</v>
          </cell>
        </row>
        <row r="184">
          <cell r="C184" t="str">
            <v>OHTA009</v>
          </cell>
          <cell r="D184" t="str">
            <v>Gear M 30A3179</v>
          </cell>
          <cell r="E184">
            <v>0</v>
          </cell>
          <cell r="F184">
            <v>0</v>
          </cell>
          <cell r="G184">
            <v>0</v>
          </cell>
          <cell r="H184" t="str">
            <v>1Pc</v>
          </cell>
          <cell r="I184" t="str">
            <v>ST-QA-B27</v>
          </cell>
          <cell r="J184" t="str">
            <v>-</v>
          </cell>
          <cell r="K184" t="str">
            <v>受検規I-E-14057</v>
          </cell>
          <cell r="L184">
            <v>0</v>
          </cell>
          <cell r="M184" t="str">
            <v>Sampling check</v>
          </cell>
        </row>
        <row r="185">
          <cell r="C185" t="str">
            <v>OHTA010</v>
          </cell>
          <cell r="D185" t="str">
            <v xml:space="preserve">M4 Shaft P0.7 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 t="str">
            <v>KEEP</v>
          </cell>
          <cell r="K185" t="str">
            <v>-</v>
          </cell>
          <cell r="L185">
            <v>0</v>
          </cell>
          <cell r="M185" t="str">
            <v>Sampling check</v>
          </cell>
        </row>
        <row r="186">
          <cell r="C186" t="str">
            <v>IDH028-OHT</v>
          </cell>
          <cell r="D186" t="str">
            <v>PD Screw 84B2017A</v>
          </cell>
          <cell r="E186" t="str">
            <v>3 Pcs.</v>
          </cell>
          <cell r="F186" t="str">
            <v>3 Pcs.</v>
          </cell>
          <cell r="G186">
            <v>0</v>
          </cell>
          <cell r="H186">
            <v>0</v>
          </cell>
          <cell r="I186" t="str">
            <v>ST-QA-B27</v>
          </cell>
          <cell r="J186" t="str">
            <v>KEEP</v>
          </cell>
          <cell r="K186" t="str">
            <v>受検規 I-E-15009</v>
          </cell>
          <cell r="L186">
            <v>0</v>
          </cell>
          <cell r="M186" t="str">
            <v>Sampling check</v>
          </cell>
        </row>
        <row r="187">
          <cell r="C187" t="str">
            <v>FS335-OHT</v>
          </cell>
          <cell r="D187" t="str">
            <v>CANOPY SHAFT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 t="str">
            <v>KEEP</v>
          </cell>
          <cell r="K187" t="str">
            <v>-</v>
          </cell>
          <cell r="L187">
            <v>0</v>
          </cell>
          <cell r="M187" t="str">
            <v>Sampling check</v>
          </cell>
        </row>
        <row r="188">
          <cell r="C188" t="str">
            <v>FS336-OHT</v>
          </cell>
          <cell r="D188" t="str">
            <v>FB SLEEVE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 t="str">
            <v>KEEP</v>
          </cell>
          <cell r="K188" t="str">
            <v>-</v>
          </cell>
          <cell r="L188">
            <v>0</v>
          </cell>
          <cell r="M188" t="str">
            <v>Sampling check</v>
          </cell>
        </row>
        <row r="189">
          <cell r="C189" t="str">
            <v>FS337-OHT</v>
          </cell>
          <cell r="D189" t="str">
            <v>ARC TERMINAL BASE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 t="str">
            <v>KEEP</v>
          </cell>
          <cell r="K189" t="str">
            <v>-</v>
          </cell>
          <cell r="L189">
            <v>0</v>
          </cell>
          <cell r="M189" t="str">
            <v>Sampling check</v>
          </cell>
        </row>
        <row r="190">
          <cell r="C190" t="str">
            <v>FS338-OHT</v>
          </cell>
          <cell r="D190" t="str">
            <v>SHOULDER SCREW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 t="str">
            <v>KEEP</v>
          </cell>
          <cell r="K190" t="str">
            <v>-</v>
          </cell>
          <cell r="L190">
            <v>0</v>
          </cell>
          <cell r="M190" t="str">
            <v>Sampling check</v>
          </cell>
        </row>
        <row r="191">
          <cell r="C191" t="str">
            <v>FS339-OHT</v>
          </cell>
          <cell r="D191" t="str">
            <v>CLAMP WASHER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 t="str">
            <v>KEEP</v>
          </cell>
          <cell r="K191" t="str">
            <v>-</v>
          </cell>
          <cell r="L191">
            <v>0</v>
          </cell>
          <cell r="M191" t="str">
            <v>Sampling check</v>
          </cell>
        </row>
        <row r="192">
          <cell r="C192" t="str">
            <v>FS340-OHT</v>
          </cell>
          <cell r="D192" t="str">
            <v>HINGE PIN A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 t="str">
            <v>KEEP</v>
          </cell>
          <cell r="K192" t="str">
            <v>-</v>
          </cell>
          <cell r="L192">
            <v>0</v>
          </cell>
          <cell r="M192" t="str">
            <v>Sampling check</v>
          </cell>
        </row>
        <row r="193">
          <cell r="C193" t="str">
            <v>FS341-OHT</v>
          </cell>
          <cell r="D193" t="str">
            <v>LED ARM SHAFT 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 t="str">
            <v>KEEP</v>
          </cell>
          <cell r="K193" t="str">
            <v>-</v>
          </cell>
          <cell r="L193">
            <v>0</v>
          </cell>
          <cell r="M193" t="str">
            <v>Sampling check</v>
          </cell>
        </row>
        <row r="194">
          <cell r="C194" t="str">
            <v>FS342-OHT</v>
          </cell>
          <cell r="D194" t="str">
            <v>LED ARM SHAFT B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 t="str">
            <v>KEEP</v>
          </cell>
          <cell r="K194" t="str">
            <v>-</v>
          </cell>
          <cell r="L194">
            <v>0</v>
          </cell>
          <cell r="M194" t="str">
            <v>Sampling check</v>
          </cell>
        </row>
        <row r="195">
          <cell r="C195" t="str">
            <v>FS343-OHT</v>
          </cell>
          <cell r="D195" t="str">
            <v>GUIDE SHAFT (LM)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 t="str">
            <v>KEEP</v>
          </cell>
          <cell r="K195" t="str">
            <v>-</v>
          </cell>
          <cell r="L195">
            <v>0</v>
          </cell>
          <cell r="M195" t="str">
            <v>Sampling check</v>
          </cell>
        </row>
        <row r="196">
          <cell r="C196" t="str">
            <v>FS344-OHT</v>
          </cell>
          <cell r="D196" t="str">
            <v>WASHER (4X8X1)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 t="str">
            <v>KEEP</v>
          </cell>
          <cell r="K196" t="str">
            <v>-</v>
          </cell>
          <cell r="L196">
            <v>0</v>
          </cell>
          <cell r="M196" t="str">
            <v>Sampling check</v>
          </cell>
        </row>
        <row r="197">
          <cell r="C197" t="str">
            <v>FS345-OHT</v>
          </cell>
          <cell r="D197" t="str">
            <v>WASHER (4X6X1)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 t="str">
            <v>KEEP</v>
          </cell>
          <cell r="K197" t="str">
            <v>-</v>
          </cell>
          <cell r="L197">
            <v>0</v>
          </cell>
          <cell r="M197" t="str">
            <v>Sampling check</v>
          </cell>
        </row>
        <row r="198">
          <cell r="C198" t="str">
            <v>FS346-OHT</v>
          </cell>
          <cell r="D198" t="str">
            <v>SUS SHAFT 2X6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 t="str">
            <v>KEEP</v>
          </cell>
          <cell r="K198" t="str">
            <v>-</v>
          </cell>
          <cell r="L198">
            <v>0</v>
          </cell>
          <cell r="M198" t="str">
            <v>Sampling check</v>
          </cell>
        </row>
        <row r="199">
          <cell r="C199" t="str">
            <v>FS387-OHT</v>
          </cell>
          <cell r="D199" t="str">
            <v>GEAR : Z-PINOIN GEAR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 t="str">
            <v>KEEP</v>
          </cell>
          <cell r="K199" t="str">
            <v>-</v>
          </cell>
          <cell r="L199">
            <v>0</v>
          </cell>
          <cell r="M199" t="str">
            <v>Sampling check</v>
          </cell>
        </row>
        <row r="200">
          <cell r="C200" t="str">
            <v>FS388-OHT</v>
          </cell>
          <cell r="D200" t="str">
            <v>GEAR : XY GEAR E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 t="str">
            <v>KEEP</v>
          </cell>
          <cell r="K200" t="str">
            <v>-</v>
          </cell>
          <cell r="L200">
            <v>0</v>
          </cell>
          <cell r="M200" t="str">
            <v>Sampling check</v>
          </cell>
        </row>
        <row r="201">
          <cell r="C201" t="str">
            <v>FS389-OHT</v>
          </cell>
          <cell r="D201" t="str">
            <v>GEAR : GEAR PINION FCS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 t="str">
            <v>KEEP</v>
          </cell>
          <cell r="K201" t="str">
            <v>-</v>
          </cell>
          <cell r="L201">
            <v>0</v>
          </cell>
          <cell r="M201" t="str">
            <v>Sampling check</v>
          </cell>
        </row>
        <row r="202">
          <cell r="C202" t="str">
            <v>FS390-OHT</v>
          </cell>
          <cell r="D202" t="str">
            <v>GEAR : XY PINION GEAR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 t="str">
            <v>KEEP</v>
          </cell>
          <cell r="K202" t="str">
            <v>-</v>
          </cell>
          <cell r="L202">
            <v>0</v>
          </cell>
          <cell r="M202" t="str">
            <v>Sampling check</v>
          </cell>
        </row>
        <row r="203">
          <cell r="C203" t="str">
            <v>RFLBC102-OHT</v>
          </cell>
          <cell r="D203" t="str">
            <v xml:space="preserve"> MEDIUM PACKAGE </v>
          </cell>
          <cell r="E203">
            <v>0</v>
          </cell>
          <cell r="F203" t="str">
            <v>S-1 Normal</v>
          </cell>
          <cell r="G203" t="str">
            <v>5%/lot</v>
          </cell>
          <cell r="H203">
            <v>0</v>
          </cell>
          <cell r="I203" t="str">
            <v>ST-QA-B27</v>
          </cell>
          <cell r="J203" t="str">
            <v>-</v>
          </cell>
          <cell r="K203" t="str">
            <v>-</v>
          </cell>
          <cell r="L203">
            <v>0</v>
          </cell>
          <cell r="M203" t="str">
            <v>Sampling check</v>
          </cell>
        </row>
        <row r="204">
          <cell r="C204" t="str">
            <v>DAI002</v>
          </cell>
          <cell r="D204" t="str">
            <v>LCD cover 30A3109</v>
          </cell>
          <cell r="E204">
            <v>0</v>
          </cell>
          <cell r="F204">
            <v>0</v>
          </cell>
          <cell r="G204" t="str">
            <v>All</v>
          </cell>
          <cell r="H204">
            <v>0</v>
          </cell>
          <cell r="I204" t="str">
            <v>ST-QA-B28</v>
          </cell>
          <cell r="J204" t="str">
            <v>KEEP</v>
          </cell>
          <cell r="K204" t="str">
            <v>受検規I-E-14059</v>
          </cell>
          <cell r="L204">
            <v>0</v>
          </cell>
          <cell r="M204" t="str">
            <v>Appearance check 100%</v>
          </cell>
        </row>
        <row r="205">
          <cell r="C205" t="str">
            <v>IDH029-DAI</v>
          </cell>
          <cell r="D205" t="str">
            <v>LCD cover 84B2032</v>
          </cell>
          <cell r="E205">
            <v>0</v>
          </cell>
          <cell r="F205">
            <v>0</v>
          </cell>
          <cell r="G205" t="str">
            <v>All</v>
          </cell>
          <cell r="H205">
            <v>0</v>
          </cell>
          <cell r="I205" t="str">
            <v>ST-QA-B28</v>
          </cell>
          <cell r="J205" t="str">
            <v>KEEP</v>
          </cell>
          <cell r="K205" t="str">
            <v>受検規I-E-14059</v>
          </cell>
          <cell r="L205">
            <v>0</v>
          </cell>
          <cell r="M205" t="str">
            <v>Appearance check 100%</v>
          </cell>
        </row>
        <row r="206">
          <cell r="C206" t="str">
            <v>DAI001</v>
          </cell>
          <cell r="D206" t="str">
            <v>LED Cover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 t="str">
            <v>KEEP</v>
          </cell>
          <cell r="K206" t="str">
            <v>-</v>
          </cell>
          <cell r="L206">
            <v>0</v>
          </cell>
          <cell r="M206" t="str">
            <v>Sampling check</v>
          </cell>
        </row>
        <row r="207">
          <cell r="C207" t="str">
            <v>DAI003</v>
          </cell>
          <cell r="D207" t="str">
            <v xml:space="preserve">Clamp Cork 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 t="str">
            <v>KEEP</v>
          </cell>
          <cell r="K207" t="str">
            <v>-</v>
          </cell>
          <cell r="L207">
            <v>0</v>
          </cell>
          <cell r="M207" t="str">
            <v>Sampling check</v>
          </cell>
        </row>
        <row r="208">
          <cell r="C208" t="str">
            <v>DAI004</v>
          </cell>
          <cell r="D208" t="str">
            <v xml:space="preserve">Clamp Rubber 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 t="str">
            <v>KEEP</v>
          </cell>
          <cell r="K208" t="str">
            <v>-</v>
          </cell>
          <cell r="L208">
            <v>0</v>
          </cell>
          <cell r="M208" t="str">
            <v>Sampling check</v>
          </cell>
        </row>
        <row r="209">
          <cell r="C209" t="str">
            <v>DAI005</v>
          </cell>
          <cell r="D209" t="str">
            <v>Battery fixed Sponge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 t="str">
            <v>KEEP</v>
          </cell>
          <cell r="K209" t="str">
            <v>-</v>
          </cell>
          <cell r="L209">
            <v>0</v>
          </cell>
          <cell r="M209" t="str">
            <v>Sampling check</v>
          </cell>
        </row>
        <row r="210">
          <cell r="C210" t="str">
            <v>DAI006</v>
          </cell>
          <cell r="D210" t="str">
            <v xml:space="preserve">Top Cover Sponge 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 t="str">
            <v>KEEP</v>
          </cell>
          <cell r="K210" t="str">
            <v>-</v>
          </cell>
          <cell r="L210">
            <v>0</v>
          </cell>
          <cell r="M210" t="str">
            <v>Sampling check</v>
          </cell>
        </row>
        <row r="211">
          <cell r="C211" t="str">
            <v>DAI007</v>
          </cell>
          <cell r="D211" t="str">
            <v>Canopy Sponge A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 t="str">
            <v>KEEP</v>
          </cell>
          <cell r="K211" t="str">
            <v>-</v>
          </cell>
          <cell r="L211">
            <v>0</v>
          </cell>
          <cell r="M211" t="str">
            <v>Sampling check</v>
          </cell>
        </row>
        <row r="212">
          <cell r="C212" t="str">
            <v>DAI008</v>
          </cell>
          <cell r="D212" t="str">
            <v xml:space="preserve">Canopy Sponge B 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 t="str">
            <v>KEEP</v>
          </cell>
          <cell r="K212" t="str">
            <v>-</v>
          </cell>
          <cell r="L212">
            <v>0</v>
          </cell>
          <cell r="M212" t="str">
            <v>Sampling check</v>
          </cell>
        </row>
        <row r="213">
          <cell r="C213" t="str">
            <v>DAI009</v>
          </cell>
          <cell r="D213" t="str">
            <v>Wire Harness fix Sponge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 t="str">
            <v>KEEP</v>
          </cell>
          <cell r="K213" t="str">
            <v>-</v>
          </cell>
          <cell r="L213">
            <v>0</v>
          </cell>
          <cell r="M213" t="str">
            <v>Sampling check</v>
          </cell>
        </row>
        <row r="214">
          <cell r="C214" t="str">
            <v>DAI010</v>
          </cell>
          <cell r="D214" t="str">
            <v xml:space="preserve">HB Rubber Seal 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 t="str">
            <v>KEEP</v>
          </cell>
          <cell r="K214" t="str">
            <v>-</v>
          </cell>
          <cell r="L214">
            <v>0</v>
          </cell>
          <cell r="M214" t="str">
            <v>Sampling check</v>
          </cell>
        </row>
        <row r="215">
          <cell r="C215" t="str">
            <v>DAI011</v>
          </cell>
          <cell r="D215" t="str">
            <v xml:space="preserve">HeaterRubber Seal 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 t="str">
            <v>KEEP</v>
          </cell>
          <cell r="K215" t="str">
            <v>-</v>
          </cell>
          <cell r="L215">
            <v>0</v>
          </cell>
          <cell r="M215" t="str">
            <v>Sampling check</v>
          </cell>
        </row>
        <row r="216">
          <cell r="C216" t="str">
            <v>DAI012</v>
          </cell>
          <cell r="D216" t="str">
            <v>LCD Basal Sheet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 t="str">
            <v>KEEP</v>
          </cell>
          <cell r="K216" t="str">
            <v>-</v>
          </cell>
          <cell r="L216">
            <v>0</v>
          </cell>
          <cell r="M216" t="str">
            <v>Sampling check</v>
          </cell>
        </row>
        <row r="217">
          <cell r="C217" t="str">
            <v>DAI013</v>
          </cell>
          <cell r="D217" t="str">
            <v>SENSOR BOARD SPACER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 t="str">
            <v>KEEP</v>
          </cell>
          <cell r="K217" t="str">
            <v>-</v>
          </cell>
          <cell r="L217">
            <v>0</v>
          </cell>
          <cell r="M217" t="str">
            <v>Sampling check</v>
          </cell>
        </row>
        <row r="218">
          <cell r="C218" t="str">
            <v>KDK001</v>
          </cell>
          <cell r="D218" t="str">
            <v xml:space="preserve">Hall Element Harness 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 t="str">
            <v>KEEP</v>
          </cell>
          <cell r="K218" t="str">
            <v>-</v>
          </cell>
          <cell r="L218">
            <v>0</v>
          </cell>
          <cell r="M218" t="str">
            <v>Sampling check</v>
          </cell>
        </row>
        <row r="219">
          <cell r="C219" t="str">
            <v>KDK002</v>
          </cell>
          <cell r="D219" t="str">
            <v xml:space="preserve">Sensor harness 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 t="str">
            <v>KEEP</v>
          </cell>
          <cell r="K219" t="str">
            <v>-</v>
          </cell>
          <cell r="L219">
            <v>0</v>
          </cell>
          <cell r="M219" t="str">
            <v>Sampling check</v>
          </cell>
        </row>
        <row r="220">
          <cell r="C220" t="str">
            <v>KDK003</v>
          </cell>
          <cell r="D220" t="str">
            <v>Low Voltage Harness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 t="str">
            <v>KEEP</v>
          </cell>
          <cell r="K220" t="str">
            <v>-</v>
          </cell>
          <cell r="L220">
            <v>0</v>
          </cell>
          <cell r="M220" t="str">
            <v>Sampling check</v>
          </cell>
        </row>
        <row r="221">
          <cell r="C221" t="str">
            <v>KDK004</v>
          </cell>
          <cell r="D221" t="str">
            <v xml:space="preserve">LED harness 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 t="str">
            <v>KEEP</v>
          </cell>
          <cell r="K221" t="str">
            <v>-</v>
          </cell>
          <cell r="L221">
            <v>0</v>
          </cell>
          <cell r="M221" t="str">
            <v>Sampling check</v>
          </cell>
        </row>
        <row r="222">
          <cell r="C222" t="str">
            <v>KDK005</v>
          </cell>
          <cell r="D222" t="str">
            <v xml:space="preserve">Discharger Harness 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 t="str">
            <v>KEEP</v>
          </cell>
          <cell r="K222" t="str">
            <v>-</v>
          </cell>
          <cell r="L222">
            <v>0</v>
          </cell>
          <cell r="M222" t="str">
            <v>Sampling check</v>
          </cell>
        </row>
        <row r="223">
          <cell r="C223" t="str">
            <v>KDK006</v>
          </cell>
          <cell r="D223" t="str">
            <v xml:space="preserve">Fan Harness 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 t="str">
            <v>KEEP</v>
          </cell>
          <cell r="K223" t="str">
            <v>-</v>
          </cell>
          <cell r="L223">
            <v>0</v>
          </cell>
          <cell r="M223" t="str">
            <v>Sampling check</v>
          </cell>
        </row>
        <row r="224">
          <cell r="C224" t="str">
            <v>KDK007</v>
          </cell>
          <cell r="D224" t="str">
            <v>Motor Harness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 t="str">
            <v>KEEP</v>
          </cell>
          <cell r="K224" t="str">
            <v>-</v>
          </cell>
          <cell r="L224">
            <v>0</v>
          </cell>
          <cell r="M224" t="str">
            <v>Sampling check</v>
          </cell>
        </row>
        <row r="225">
          <cell r="C225" t="str">
            <v>FS365-KDK</v>
          </cell>
          <cell r="D225" t="str">
            <v>HARNESS : MOTOR SENSOR HARNESS 165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 t="str">
            <v>KEEP</v>
          </cell>
          <cell r="K225" t="str">
            <v>-</v>
          </cell>
          <cell r="L225">
            <v>0</v>
          </cell>
          <cell r="M225" t="str">
            <v>Sampling check</v>
          </cell>
        </row>
        <row r="226">
          <cell r="C226" t="str">
            <v>FS366-KDK</v>
          </cell>
          <cell r="D226" t="str">
            <v>HARNESS : FIBER SENSOR HARNESS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 t="str">
            <v>KEEP</v>
          </cell>
          <cell r="K226" t="str">
            <v>-</v>
          </cell>
          <cell r="L226">
            <v>0</v>
          </cell>
          <cell r="M226" t="str">
            <v>Sampling check</v>
          </cell>
        </row>
        <row r="227">
          <cell r="C227" t="str">
            <v>FS367-KDK</v>
          </cell>
          <cell r="D227" t="str">
            <v>HARNESS : HALL SENSOR HARNESS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 t="str">
            <v>KEEP</v>
          </cell>
          <cell r="K227" t="str">
            <v>-</v>
          </cell>
          <cell r="L227">
            <v>0</v>
          </cell>
          <cell r="M227" t="str">
            <v>Sampling check</v>
          </cell>
        </row>
        <row r="228">
          <cell r="C228" t="str">
            <v>FS368-KDK</v>
          </cell>
          <cell r="D228" t="str">
            <v>HARNESS : LOW LED HARNESS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 t="str">
            <v>KEEP</v>
          </cell>
          <cell r="K228" t="str">
            <v>-</v>
          </cell>
          <cell r="L228">
            <v>0</v>
          </cell>
          <cell r="M228" t="str">
            <v>Sampling check</v>
          </cell>
        </row>
        <row r="229">
          <cell r="C229" t="str">
            <v>FS369-KDK</v>
          </cell>
          <cell r="D229" t="str">
            <v>FAN : FAN ASSY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 t="str">
            <v>KEEP</v>
          </cell>
          <cell r="K229" t="str">
            <v>-</v>
          </cell>
          <cell r="L229">
            <v>0</v>
          </cell>
          <cell r="M229" t="str">
            <v>Sampling check</v>
          </cell>
        </row>
        <row r="230">
          <cell r="C230" t="str">
            <v>FS370-KDK</v>
          </cell>
          <cell r="D230" t="str">
            <v>ARC UNIT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 t="str">
            <v>KEEP</v>
          </cell>
          <cell r="K230" t="str">
            <v>-</v>
          </cell>
          <cell r="L230">
            <v>0</v>
          </cell>
          <cell r="M230" t="str">
            <v>Sampling check</v>
          </cell>
        </row>
        <row r="231">
          <cell r="C231" t="str">
            <v>FS371-KDK</v>
          </cell>
          <cell r="D231" t="str">
            <v xml:space="preserve">HARNESS:HEATER HALL SENSOR HARNESS 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 t="str">
            <v>KEEP</v>
          </cell>
          <cell r="K231" t="str">
            <v>-</v>
          </cell>
          <cell r="L231">
            <v>0</v>
          </cell>
          <cell r="M231" t="str">
            <v>Sampling check</v>
          </cell>
        </row>
        <row r="232">
          <cell r="C232" t="str">
            <v>FS372-KDK</v>
          </cell>
          <cell r="D232" t="str">
            <v>HARNESS : BATTERY HARNESS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 t="str">
            <v>KEEP</v>
          </cell>
          <cell r="K232" t="str">
            <v>-</v>
          </cell>
          <cell r="L232">
            <v>0</v>
          </cell>
          <cell r="M232" t="str">
            <v>Sampling check</v>
          </cell>
        </row>
        <row r="233">
          <cell r="C233" t="str">
            <v>FS373-KDK</v>
          </cell>
          <cell r="D233" t="str">
            <v>FLEXIBLE CABLE : FFC 20P-165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 t="str">
            <v>KEEP</v>
          </cell>
          <cell r="K233" t="str">
            <v>-</v>
          </cell>
          <cell r="L233">
            <v>0</v>
          </cell>
          <cell r="M233" t="str">
            <v>Sampling check</v>
          </cell>
        </row>
        <row r="234">
          <cell r="C234" t="str">
            <v>FS374-KDK</v>
          </cell>
          <cell r="D234" t="str">
            <v>FLEXIBLE CABLE : FFC 20P-115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 t="str">
            <v>KEEP</v>
          </cell>
          <cell r="K234" t="str">
            <v>-</v>
          </cell>
          <cell r="L234">
            <v>0</v>
          </cell>
          <cell r="M234" t="str">
            <v>Sampling check</v>
          </cell>
        </row>
        <row r="235">
          <cell r="C235" t="str">
            <v>FS375-KDK</v>
          </cell>
          <cell r="D235" t="str">
            <v>FLEXIBLE CABLE : FFC 60P-86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 t="str">
            <v>KEEP</v>
          </cell>
          <cell r="K235" t="str">
            <v>-</v>
          </cell>
          <cell r="L235">
            <v>0</v>
          </cell>
          <cell r="M235" t="str">
            <v>Sampling check</v>
          </cell>
        </row>
        <row r="236">
          <cell r="C236" t="str">
            <v>FS376-KDK</v>
          </cell>
          <cell r="D236" t="str">
            <v>FLEXIBLE CABLE : FFC 8P-140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 t="str">
            <v>KEEP</v>
          </cell>
          <cell r="K236" t="str">
            <v>-</v>
          </cell>
          <cell r="L236">
            <v>0</v>
          </cell>
          <cell r="M236" t="str">
            <v>Sampling check</v>
          </cell>
        </row>
        <row r="237">
          <cell r="C237" t="str">
            <v>FS353-KDK</v>
          </cell>
          <cell r="D237" t="str">
            <v>ARC LOW LINE A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 t="str">
            <v>KEEP</v>
          </cell>
          <cell r="K237" t="str">
            <v>-</v>
          </cell>
          <cell r="L237">
            <v>0</v>
          </cell>
          <cell r="M237" t="str">
            <v>Sampling check</v>
          </cell>
        </row>
        <row r="238">
          <cell r="C238" t="str">
            <v>FS354-KDK</v>
          </cell>
          <cell r="D238" t="str">
            <v>ARC LOW LINE B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 t="str">
            <v>KEEP</v>
          </cell>
          <cell r="K238" t="str">
            <v>-</v>
          </cell>
          <cell r="L238">
            <v>0</v>
          </cell>
          <cell r="M238" t="str">
            <v>Sampling check</v>
          </cell>
        </row>
        <row r="239">
          <cell r="C239" t="str">
            <v>C078</v>
          </cell>
          <cell r="D239" t="str">
            <v>DISTILLED WATER 20 LITER/TANK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 t="str">
            <v>KEEP</v>
          </cell>
          <cell r="K239" t="str">
            <v>-</v>
          </cell>
          <cell r="L239">
            <v>0</v>
          </cell>
          <cell r="M239" t="str">
            <v>Sampling check</v>
          </cell>
        </row>
        <row r="240">
          <cell r="C240" t="str">
            <v>RJU00053-KIS</v>
          </cell>
          <cell r="D240" t="str">
            <v>SOLDER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 t="str">
            <v>KEEP</v>
          </cell>
          <cell r="K240" t="str">
            <v>-</v>
          </cell>
          <cell r="L240">
            <v>0</v>
          </cell>
          <cell r="M240" t="str">
            <v>Sampling check</v>
          </cell>
        </row>
        <row r="241">
          <cell r="C241" t="str">
            <v>FS348-PT</v>
          </cell>
          <cell r="D241" t="str">
            <v>HINGE PIN B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 t="str">
            <v>KEEP</v>
          </cell>
          <cell r="K241" t="str">
            <v>-</v>
          </cell>
          <cell r="L241">
            <v>0</v>
          </cell>
          <cell r="M241" t="str">
            <v>Sampling check</v>
          </cell>
        </row>
        <row r="242">
          <cell r="C242" t="str">
            <v>FS349-PT</v>
          </cell>
          <cell r="D242" t="str">
            <v>SUS SHAFT 2X 15L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 t="str">
            <v>KEEP</v>
          </cell>
          <cell r="K242" t="str">
            <v>-</v>
          </cell>
          <cell r="L242">
            <v>0</v>
          </cell>
          <cell r="M242" t="str">
            <v>Sampling check</v>
          </cell>
        </row>
        <row r="243">
          <cell r="C243" t="str">
            <v>FS350-PT</v>
          </cell>
          <cell r="D243" t="str">
            <v>FIX SCREW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 t="str">
            <v>KEEP</v>
          </cell>
          <cell r="K243" t="str">
            <v>-</v>
          </cell>
          <cell r="L243">
            <v>0</v>
          </cell>
          <cell r="M243" t="str">
            <v>Sampling check</v>
          </cell>
        </row>
        <row r="244">
          <cell r="C244" t="str">
            <v>BS240L</v>
          </cell>
          <cell r="D244" t="str">
            <v>Magnet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 t="str">
            <v>KEEP</v>
          </cell>
          <cell r="K244" t="str">
            <v>-</v>
          </cell>
          <cell r="L244">
            <v>0</v>
          </cell>
          <cell r="M244" t="str">
            <v>Sampling check</v>
          </cell>
        </row>
        <row r="245">
          <cell r="C245" t="str">
            <v>FS379-TFJ</v>
          </cell>
          <cell r="D245" t="str">
            <v>XY GEAR E</v>
          </cell>
          <cell r="E245">
            <v>0</v>
          </cell>
          <cell r="F245" t="str">
            <v>10 Pcs</v>
          </cell>
          <cell r="G245">
            <v>0</v>
          </cell>
          <cell r="H245">
            <v>0</v>
          </cell>
          <cell r="I245" t="str">
            <v>ST-QA-B33</v>
          </cell>
          <cell r="J245" t="str">
            <v>KEEP</v>
          </cell>
          <cell r="K245" t="str">
            <v>受検規I-U-16025</v>
          </cell>
          <cell r="L245">
            <v>0</v>
          </cell>
          <cell r="M245" t="str">
            <v>Sampling check</v>
          </cell>
        </row>
        <row r="246">
          <cell r="C246" t="str">
            <v>R124S002-TFJ</v>
          </cell>
          <cell r="D246" t="str">
            <v xml:space="preserve">CLAMP GUIDE </v>
          </cell>
          <cell r="E246">
            <v>0</v>
          </cell>
          <cell r="F246" t="str">
            <v>S-1 Normal</v>
          </cell>
          <cell r="G246" t="str">
            <v>All</v>
          </cell>
          <cell r="H246">
            <v>0</v>
          </cell>
          <cell r="I246" t="str">
            <v>ST-QA-B33</v>
          </cell>
          <cell r="J246" t="str">
            <v>KEEP</v>
          </cell>
          <cell r="K246" t="str">
            <v>Refer First Lot. FL2401-004</v>
          </cell>
          <cell r="L246">
            <v>0</v>
          </cell>
          <cell r="M246" t="str">
            <v>Appearance check 100%</v>
          </cell>
        </row>
        <row r="247">
          <cell r="C247" t="str">
            <v>FL001-JIN</v>
          </cell>
          <cell r="D247" t="str">
            <v>SPIRAL BASE PLATE</v>
          </cell>
          <cell r="E247">
            <v>0</v>
          </cell>
          <cell r="F247" t="str">
            <v>All</v>
          </cell>
          <cell r="G247" t="str">
            <v>All</v>
          </cell>
          <cell r="H247">
            <v>0</v>
          </cell>
          <cell r="I247" t="str">
            <v>ST-QA-B44</v>
          </cell>
          <cell r="J247" t="str">
            <v>-</v>
          </cell>
          <cell r="K247" t="str">
            <v>-</v>
          </cell>
          <cell r="L247">
            <v>0</v>
          </cell>
          <cell r="M247" t="str">
            <v>Appearance check 100%</v>
          </cell>
        </row>
        <row r="248">
          <cell r="C248" t="str">
            <v>RFLCA072-JIN</v>
          </cell>
          <cell r="D248" t="str">
            <v>SPIRAL BASE PLATE</v>
          </cell>
          <cell r="E248">
            <v>0</v>
          </cell>
          <cell r="F248" t="str">
            <v>All</v>
          </cell>
          <cell r="G248" t="str">
            <v>All</v>
          </cell>
          <cell r="H248">
            <v>0</v>
          </cell>
          <cell r="I248" t="str">
            <v>ST-QA-B44</v>
          </cell>
          <cell r="J248" t="str">
            <v>-</v>
          </cell>
          <cell r="K248" t="str">
            <v>-</v>
          </cell>
          <cell r="L248">
            <v>0</v>
          </cell>
          <cell r="M248" t="str">
            <v>Appearance check 100%</v>
          </cell>
        </row>
        <row r="249">
          <cell r="C249" t="str">
            <v>RFLTFB05-JIN</v>
          </cell>
          <cell r="D249" t="str">
            <v>LID</v>
          </cell>
          <cell r="E249">
            <v>0</v>
          </cell>
          <cell r="F249" t="str">
            <v>S-1 Normal</v>
          </cell>
          <cell r="G249" t="str">
            <v>All</v>
          </cell>
          <cell r="H249">
            <v>0</v>
          </cell>
          <cell r="I249" t="str">
            <v>ST-QA-B44</v>
          </cell>
          <cell r="J249" t="str">
            <v>-</v>
          </cell>
          <cell r="K249" t="str">
            <v>-</v>
          </cell>
          <cell r="L249">
            <v>0</v>
          </cell>
          <cell r="M249" t="str">
            <v>Appearance check 100%</v>
          </cell>
        </row>
        <row r="250">
          <cell r="C250" t="str">
            <v>RFLBC015-JIN</v>
          </cell>
          <cell r="D250" t="str">
            <v>LID</v>
          </cell>
          <cell r="E250">
            <v>0</v>
          </cell>
          <cell r="F250" t="str">
            <v>S-1 Normal</v>
          </cell>
          <cell r="G250" t="str">
            <v>All</v>
          </cell>
          <cell r="H250">
            <v>0</v>
          </cell>
          <cell r="I250" t="str">
            <v>ST-QA-B44</v>
          </cell>
          <cell r="J250" t="str">
            <v>-</v>
          </cell>
          <cell r="K250" t="str">
            <v>-</v>
          </cell>
          <cell r="L250">
            <v>0</v>
          </cell>
          <cell r="M250" t="str">
            <v>Appearance check 100%</v>
          </cell>
        </row>
        <row r="251">
          <cell r="C251" t="str">
            <v>FL003-JIN</v>
          </cell>
          <cell r="D251" t="str">
            <v>TRUEMODE SIDEWALL A</v>
          </cell>
          <cell r="E251">
            <v>0</v>
          </cell>
          <cell r="F251">
            <v>0</v>
          </cell>
          <cell r="G251" t="str">
            <v>All</v>
          </cell>
          <cell r="H251">
            <v>0</v>
          </cell>
          <cell r="I251" t="str">
            <v>ST-QA-B44</v>
          </cell>
          <cell r="J251" t="str">
            <v>-</v>
          </cell>
          <cell r="K251" t="str">
            <v>-</v>
          </cell>
          <cell r="L251">
            <v>0</v>
          </cell>
          <cell r="M251" t="str">
            <v>Appearance check 100%</v>
          </cell>
        </row>
        <row r="252">
          <cell r="C252" t="str">
            <v>FL011-JIN</v>
          </cell>
          <cell r="D252" t="str">
            <v>TRUEMODE SIDEWALL B</v>
          </cell>
          <cell r="E252">
            <v>0</v>
          </cell>
          <cell r="F252">
            <v>0</v>
          </cell>
          <cell r="G252" t="str">
            <v>All</v>
          </cell>
          <cell r="H252">
            <v>0</v>
          </cell>
          <cell r="I252" t="str">
            <v>ST-QA-B44</v>
          </cell>
          <cell r="J252" t="str">
            <v>-</v>
          </cell>
          <cell r="K252" t="str">
            <v>-</v>
          </cell>
          <cell r="L252">
            <v>0</v>
          </cell>
          <cell r="M252" t="str">
            <v>Appearance check 100%</v>
          </cell>
        </row>
        <row r="253">
          <cell r="C253" t="str">
            <v>RFLCA002-JIN</v>
          </cell>
          <cell r="D253" t="str">
            <v>TRUEMODE LID</v>
          </cell>
          <cell r="E253">
            <v>0</v>
          </cell>
          <cell r="F253">
            <v>0</v>
          </cell>
          <cell r="G253" t="str">
            <v>All</v>
          </cell>
          <cell r="H253">
            <v>0</v>
          </cell>
          <cell r="I253" t="str">
            <v>ST-QA-B44</v>
          </cell>
          <cell r="J253" t="str">
            <v>-</v>
          </cell>
          <cell r="K253" t="str">
            <v>-</v>
          </cell>
          <cell r="L253">
            <v>0</v>
          </cell>
          <cell r="M253" t="str">
            <v>Appearance check 100%</v>
          </cell>
        </row>
        <row r="254">
          <cell r="C254" t="str">
            <v>RFLCA086-JIN</v>
          </cell>
          <cell r="D254" t="str">
            <v>STRIPPER</v>
          </cell>
          <cell r="E254">
            <v>0</v>
          </cell>
          <cell r="F254">
            <v>0</v>
          </cell>
          <cell r="G254" t="str">
            <v>All</v>
          </cell>
          <cell r="H254">
            <v>0</v>
          </cell>
          <cell r="I254" t="str">
            <v>ST-QA-B44</v>
          </cell>
          <cell r="J254" t="str">
            <v>-</v>
          </cell>
          <cell r="K254" t="str">
            <v>-</v>
          </cell>
          <cell r="L254">
            <v>0</v>
          </cell>
          <cell r="M254" t="str">
            <v>Appearance check 100%</v>
          </cell>
        </row>
        <row r="255">
          <cell r="C255" t="str">
            <v>FS593-NAK</v>
          </cell>
          <cell r="D255" t="str">
            <v>Hard Carring Case</v>
          </cell>
          <cell r="E255">
            <v>0</v>
          </cell>
          <cell r="F255">
            <v>0</v>
          </cell>
          <cell r="G255" t="str">
            <v>All</v>
          </cell>
          <cell r="H255">
            <v>0</v>
          </cell>
          <cell r="I255" t="str">
            <v>ST-QA-B38</v>
          </cell>
          <cell r="J255" t="str">
            <v>-</v>
          </cell>
          <cell r="K255" t="str">
            <v>CB-17DB008-01</v>
          </cell>
          <cell r="L255">
            <v>0</v>
          </cell>
          <cell r="M255" t="str">
            <v>Appearance check 100%</v>
          </cell>
        </row>
        <row r="256">
          <cell r="C256" t="str">
            <v>RCHFU001-FTC</v>
          </cell>
          <cell r="D256" t="str">
            <v>CH BASE L : 76B3068</v>
          </cell>
          <cell r="E256">
            <v>0</v>
          </cell>
          <cell r="F256">
            <v>0</v>
          </cell>
          <cell r="G256" t="str">
            <v>II Normal</v>
          </cell>
          <cell r="H256">
            <v>0</v>
          </cell>
          <cell r="I256" t="str">
            <v>ST-QA-B39</v>
          </cell>
          <cell r="J256" t="str">
            <v>KEEP</v>
          </cell>
          <cell r="K256">
            <v>0</v>
          </cell>
          <cell r="L256">
            <v>0</v>
          </cell>
          <cell r="M256" t="str">
            <v>Sampling check</v>
          </cell>
        </row>
        <row r="257">
          <cell r="C257" t="str">
            <v>RCHFU002-FTC</v>
          </cell>
          <cell r="D257" t="str">
            <v>CH BASE R : 76B3068</v>
          </cell>
          <cell r="E257">
            <v>0</v>
          </cell>
          <cell r="F257">
            <v>0</v>
          </cell>
          <cell r="G257" t="str">
            <v>II Normal</v>
          </cell>
          <cell r="H257">
            <v>0</v>
          </cell>
          <cell r="I257" t="str">
            <v>ST-QA-B39</v>
          </cell>
          <cell r="J257" t="str">
            <v>KEEP</v>
          </cell>
          <cell r="K257">
            <v>0</v>
          </cell>
          <cell r="L257">
            <v>0</v>
          </cell>
          <cell r="M257" t="str">
            <v>Sampling check</v>
          </cell>
        </row>
        <row r="258">
          <cell r="C258" t="str">
            <v>RCHFU003-FTC</v>
          </cell>
          <cell r="D258" t="str">
            <v>CH COVER L : 76B3069</v>
          </cell>
          <cell r="E258">
            <v>0</v>
          </cell>
          <cell r="F258">
            <v>0</v>
          </cell>
          <cell r="G258" t="str">
            <v>II Normal</v>
          </cell>
          <cell r="H258">
            <v>0</v>
          </cell>
          <cell r="I258" t="str">
            <v>ST-QA-B39</v>
          </cell>
          <cell r="J258" t="str">
            <v>KEEP</v>
          </cell>
          <cell r="K258">
            <v>0</v>
          </cell>
          <cell r="L258">
            <v>0</v>
          </cell>
          <cell r="M258" t="str">
            <v>Sampling check</v>
          </cell>
        </row>
        <row r="259">
          <cell r="C259" t="str">
            <v>RCHFU004-FTC</v>
          </cell>
          <cell r="D259" t="str">
            <v>CH COVER R : : 76B3069</v>
          </cell>
          <cell r="E259">
            <v>0</v>
          </cell>
          <cell r="F259">
            <v>0</v>
          </cell>
          <cell r="G259" t="str">
            <v>II Normal</v>
          </cell>
          <cell r="H259">
            <v>0</v>
          </cell>
          <cell r="I259" t="str">
            <v>ST-QA-B39</v>
          </cell>
          <cell r="J259" t="str">
            <v>KEEP</v>
          </cell>
          <cell r="K259">
            <v>0</v>
          </cell>
          <cell r="L259">
            <v>0</v>
          </cell>
          <cell r="M259" t="str">
            <v>Sampling check</v>
          </cell>
        </row>
        <row r="260">
          <cell r="C260" t="str">
            <v>FS050-FTC</v>
          </cell>
          <cell r="D260" t="str">
            <v xml:space="preserve"> ALUMINIUM BLOCK</v>
          </cell>
          <cell r="E260">
            <v>0</v>
          </cell>
          <cell r="F260" t="str">
            <v>5 Pcs.</v>
          </cell>
          <cell r="G260" t="str">
            <v>All</v>
          </cell>
          <cell r="H260">
            <v>0</v>
          </cell>
          <cell r="I260" t="str">
            <v>ST-QA-B39</v>
          </cell>
          <cell r="J260" t="str">
            <v>KEEP</v>
          </cell>
          <cell r="K260" t="str">
            <v>Refer First Lot. FL2301-009</v>
          </cell>
          <cell r="L260">
            <v>0</v>
          </cell>
          <cell r="M260" t="str">
            <v>Appearance check 100%</v>
          </cell>
        </row>
        <row r="261">
          <cell r="C261" t="str">
            <v>RFLBC110-INT</v>
          </cell>
          <cell r="D261" t="str">
            <v xml:space="preserve">BASEPLATE </v>
          </cell>
          <cell r="E261">
            <v>0</v>
          </cell>
          <cell r="F261">
            <v>0</v>
          </cell>
          <cell r="G261" t="str">
            <v>All</v>
          </cell>
          <cell r="H261">
            <v>0</v>
          </cell>
          <cell r="I261" t="str">
            <v>ST-QA-B42</v>
          </cell>
          <cell r="J261" t="str">
            <v>KEEP</v>
          </cell>
          <cell r="K261" t="str">
            <v>-</v>
          </cell>
          <cell r="L261">
            <v>0</v>
          </cell>
          <cell r="M261" t="str">
            <v>Appearance check 100%</v>
          </cell>
        </row>
        <row r="262">
          <cell r="C262" t="str">
            <v>RS001001-TEC</v>
          </cell>
          <cell r="D262" t="str">
            <v>Z-CARRIAGE HEAT PRESS FIT</v>
          </cell>
          <cell r="E262">
            <v>0</v>
          </cell>
          <cell r="F262">
            <v>0</v>
          </cell>
          <cell r="G262" t="str">
            <v>All</v>
          </cell>
          <cell r="H262">
            <v>0</v>
          </cell>
          <cell r="I262" t="str">
            <v>ST-QA-B52</v>
          </cell>
          <cell r="J262" t="str">
            <v>KEEP</v>
          </cell>
          <cell r="K262" t="str">
            <v>-</v>
          </cell>
          <cell r="L262">
            <v>0</v>
          </cell>
          <cell r="M262" t="str">
            <v>Appearance check 100%</v>
          </cell>
        </row>
        <row r="263">
          <cell r="C263" t="str">
            <v>RS001002-TEC</v>
          </cell>
          <cell r="D263" t="str">
            <v>ELECTRODE COVER</v>
          </cell>
          <cell r="E263">
            <v>0</v>
          </cell>
          <cell r="F263">
            <v>0</v>
          </cell>
          <cell r="G263" t="str">
            <v>All</v>
          </cell>
          <cell r="H263">
            <v>0</v>
          </cell>
          <cell r="I263" t="str">
            <v>ST-QA-B52</v>
          </cell>
          <cell r="J263" t="str">
            <v>KEEP</v>
          </cell>
          <cell r="K263" t="str">
            <v>-</v>
          </cell>
          <cell r="L263">
            <v>0</v>
          </cell>
          <cell r="M263" t="str">
            <v>Appearance check 100%</v>
          </cell>
        </row>
        <row r="264">
          <cell r="C264" t="str">
            <v>RS001004-TEC</v>
          </cell>
          <cell r="D264" t="str">
            <v>ARC BASE BRACKET</v>
          </cell>
          <cell r="E264">
            <v>0</v>
          </cell>
          <cell r="F264">
            <v>0</v>
          </cell>
          <cell r="G264" t="str">
            <v>All</v>
          </cell>
          <cell r="H264">
            <v>0</v>
          </cell>
          <cell r="I264" t="str">
            <v>ST-QA-B52</v>
          </cell>
          <cell r="J264" t="str">
            <v>KEEP</v>
          </cell>
          <cell r="K264" t="str">
            <v>-</v>
          </cell>
          <cell r="L264">
            <v>0</v>
          </cell>
          <cell r="M264" t="str">
            <v>Appearance check 100%</v>
          </cell>
        </row>
        <row r="265">
          <cell r="C265" t="str">
            <v>RS001009-TEC</v>
          </cell>
          <cell r="D265" t="str">
            <v>CANOPY</v>
          </cell>
          <cell r="E265">
            <v>0</v>
          </cell>
          <cell r="F265">
            <v>0</v>
          </cell>
          <cell r="G265" t="str">
            <v>All</v>
          </cell>
          <cell r="H265">
            <v>0</v>
          </cell>
          <cell r="I265" t="str">
            <v>ST-QA-B52</v>
          </cell>
          <cell r="J265" t="str">
            <v>KEEP</v>
          </cell>
          <cell r="K265" t="str">
            <v>-</v>
          </cell>
          <cell r="L265">
            <v>0</v>
          </cell>
          <cell r="M265" t="str">
            <v>Appearance check 100%</v>
          </cell>
        </row>
        <row r="266">
          <cell r="C266" t="str">
            <v>R124S005-TEC</v>
          </cell>
          <cell r="D266" t="str">
            <v>REFORMER</v>
          </cell>
          <cell r="E266">
            <v>0</v>
          </cell>
          <cell r="F266">
            <v>0</v>
          </cell>
          <cell r="G266" t="str">
            <v>All</v>
          </cell>
          <cell r="H266">
            <v>0</v>
          </cell>
          <cell r="I266" t="str">
            <v>ST-QA-B52</v>
          </cell>
          <cell r="J266" t="str">
            <v>KEEP</v>
          </cell>
          <cell r="K266" t="str">
            <v>-</v>
          </cell>
          <cell r="L266">
            <v>0</v>
          </cell>
          <cell r="M266" t="str">
            <v>Appearance check 100%</v>
          </cell>
        </row>
        <row r="267">
          <cell r="C267" t="str">
            <v>RS001012-TEC</v>
          </cell>
          <cell r="D267" t="str">
            <v>CANOPY EMBLEM</v>
          </cell>
          <cell r="E267">
            <v>0</v>
          </cell>
          <cell r="F267">
            <v>0</v>
          </cell>
          <cell r="G267" t="str">
            <v>All</v>
          </cell>
          <cell r="H267">
            <v>0</v>
          </cell>
          <cell r="I267" t="str">
            <v>ST-QA-B52</v>
          </cell>
          <cell r="J267" t="str">
            <v>KEEP</v>
          </cell>
          <cell r="K267" t="str">
            <v>-</v>
          </cell>
          <cell r="L267">
            <v>0</v>
          </cell>
          <cell r="M267" t="str">
            <v>Appearance check 100%</v>
          </cell>
        </row>
        <row r="268">
          <cell r="C268" t="str">
            <v>RS001017-TEC</v>
          </cell>
          <cell r="D268" t="str">
            <v>CANOPY STOPPER R</v>
          </cell>
          <cell r="E268">
            <v>0</v>
          </cell>
          <cell r="F268">
            <v>0</v>
          </cell>
          <cell r="G268" t="str">
            <v>All</v>
          </cell>
          <cell r="H268">
            <v>0</v>
          </cell>
          <cell r="I268" t="str">
            <v>ST-QA-B52</v>
          </cell>
          <cell r="J268" t="str">
            <v>KEEP</v>
          </cell>
          <cell r="K268" t="str">
            <v>-</v>
          </cell>
          <cell r="L268">
            <v>0</v>
          </cell>
          <cell r="M268" t="str">
            <v>Appearance check 100%</v>
          </cell>
        </row>
        <row r="269">
          <cell r="C269" t="str">
            <v>RS001018-TEC</v>
          </cell>
          <cell r="D269" t="str">
            <v>BOTTOM COVER</v>
          </cell>
          <cell r="E269">
            <v>0</v>
          </cell>
          <cell r="F269">
            <v>0</v>
          </cell>
          <cell r="G269" t="str">
            <v>All</v>
          </cell>
          <cell r="H269">
            <v>0</v>
          </cell>
          <cell r="I269" t="str">
            <v>ST-QA-B52</v>
          </cell>
          <cell r="J269" t="str">
            <v>KEEP</v>
          </cell>
          <cell r="K269" t="str">
            <v>-</v>
          </cell>
          <cell r="L269">
            <v>0</v>
          </cell>
          <cell r="M269" t="str">
            <v>Appearance check 100%</v>
          </cell>
        </row>
        <row r="270">
          <cell r="C270" t="str">
            <v>RS001020-TEC</v>
          </cell>
          <cell r="D270" t="str">
            <v>BATTERY CASE</v>
          </cell>
          <cell r="E270">
            <v>0</v>
          </cell>
          <cell r="F270">
            <v>0</v>
          </cell>
          <cell r="G270" t="str">
            <v>All</v>
          </cell>
          <cell r="H270">
            <v>0</v>
          </cell>
          <cell r="I270" t="str">
            <v>ST-QA-B52</v>
          </cell>
          <cell r="J270" t="str">
            <v>KEEP</v>
          </cell>
          <cell r="K270" t="str">
            <v>-</v>
          </cell>
          <cell r="L270">
            <v>0</v>
          </cell>
          <cell r="M270" t="str">
            <v>Appearance check 100%</v>
          </cell>
        </row>
        <row r="271">
          <cell r="C271" t="str">
            <v>RS001021-TEC</v>
          </cell>
          <cell r="D271" t="str">
            <v>BATTERY LOCK CYLINDER</v>
          </cell>
          <cell r="E271">
            <v>0</v>
          </cell>
          <cell r="F271">
            <v>0</v>
          </cell>
          <cell r="G271" t="str">
            <v>All</v>
          </cell>
          <cell r="H271">
            <v>0</v>
          </cell>
          <cell r="I271" t="str">
            <v>ST-QA-B52</v>
          </cell>
          <cell r="J271" t="str">
            <v>KEEP</v>
          </cell>
          <cell r="K271" t="str">
            <v>-</v>
          </cell>
          <cell r="L271">
            <v>0</v>
          </cell>
          <cell r="M271" t="str">
            <v>Appearance check 100%</v>
          </cell>
        </row>
        <row r="272">
          <cell r="C272" t="str">
            <v>RS251002-TEC</v>
          </cell>
          <cell r="D272" t="str">
            <v>BODY</v>
          </cell>
          <cell r="E272">
            <v>0</v>
          </cell>
          <cell r="F272">
            <v>0</v>
          </cell>
          <cell r="G272" t="str">
            <v>All</v>
          </cell>
          <cell r="H272">
            <v>0</v>
          </cell>
          <cell r="I272" t="str">
            <v>ST-QA-B52</v>
          </cell>
          <cell r="J272" t="str">
            <v>KEEP</v>
          </cell>
          <cell r="K272" t="str">
            <v>-</v>
          </cell>
          <cell r="L272">
            <v>0</v>
          </cell>
          <cell r="M272" t="str">
            <v>Appearance check 100%</v>
          </cell>
        </row>
        <row r="273">
          <cell r="C273" t="str">
            <v>T01</v>
          </cell>
          <cell r="D273" t="str">
            <v>PACKAGE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FM-QA-B42</v>
          </cell>
          <cell r="J273" t="str">
            <v>-</v>
          </cell>
          <cell r="K273" t="str">
            <v>Technical Data</v>
          </cell>
          <cell r="L273">
            <v>0</v>
          </cell>
          <cell r="M273" t="str">
            <v>Sampling check</v>
          </cell>
        </row>
        <row r="274">
          <cell r="C274" t="str">
            <v>D16</v>
          </cell>
          <cell r="D274" t="str">
            <v>LID PACKAGE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FM-QA-B42</v>
          </cell>
          <cell r="J274" t="str">
            <v>-</v>
          </cell>
          <cell r="K274" t="str">
            <v>Technical Data</v>
          </cell>
          <cell r="L274">
            <v>0</v>
          </cell>
          <cell r="M274" t="str">
            <v>Sampling check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04_PDF%20NCR%20for%20Inform%20vendor/Form.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01_Material/Material%20Pending/Data%20of%20material%20and%20packing/Data%20material%20and%20packing%20for%20pending%20process%201.0.0.xls" TargetMode="External"/><Relationship Id="rId2" Type="http://schemas.openxmlformats.org/officeDocument/2006/relationships/hyperlink" Target="..\..\NCRForm\Non-conformingSheet.xlsx" TargetMode="External"/><Relationship Id="rId1" Type="http://schemas.openxmlformats.org/officeDocument/2006/relationships/hyperlink" Target="Excel%20file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04_PDF%20NCR%20for%20Inform%20vendor/Oversea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04_PDF%20NCR%20for%20Inform%20vendor/Overse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D21"/>
  <sheetViews>
    <sheetView workbookViewId="0">
      <selection activeCell="C22" sqref="C22"/>
    </sheetView>
  </sheetViews>
  <sheetFormatPr defaultRowHeight="13.8"/>
  <cols>
    <col min="1" max="1" width="10.3984375" bestFit="1" customWidth="1"/>
    <col min="2" max="2" width="85.09765625" bestFit="1" customWidth="1"/>
    <col min="4" max="4" width="20.09765625" style="46" bestFit="1" customWidth="1"/>
  </cols>
  <sheetData>
    <row r="1" spans="1:4">
      <c r="A1" t="s">
        <v>18249</v>
      </c>
      <c r="B1" s="114" t="s">
        <v>19193</v>
      </c>
      <c r="D1" s="46" t="s">
        <v>18250</v>
      </c>
    </row>
    <row r="2" spans="1:4">
      <c r="A2" t="s">
        <v>18251</v>
      </c>
      <c r="B2" s="114" t="s">
        <v>18048</v>
      </c>
      <c r="D2" s="46" t="str" cm="1">
        <f t="array" ref="D2:D21">_xlfn.UNIQUE(_xlfn._xlws.FILTER(Data!P3:P1046, Data!P3:P1046&lt;&gt;0))</f>
        <v>FEC-FS</v>
      </c>
    </row>
    <row r="3" spans="1:4">
      <c r="D3" s="46" t="str">
        <v>PALTEK</v>
      </c>
    </row>
    <row r="4" spans="1:4">
      <c r="B4" s="114"/>
      <c r="D4" s="46" t="str">
        <v>FEC-OC</v>
      </c>
    </row>
    <row r="5" spans="1:4">
      <c r="D5" s="46" t="str">
        <v>FEC-OC(98MM)</v>
      </c>
    </row>
    <row r="6" spans="1:4">
      <c r="D6" s="46" t="str">
        <v>GLOSEL</v>
      </c>
    </row>
    <row r="7" spans="1:4">
      <c r="B7" s="114"/>
      <c r="D7" s="46" t="str">
        <v>SK TECH</v>
      </c>
    </row>
    <row r="8" spans="1:4">
      <c r="D8" s="46" t="str">
        <v>OKANO</v>
      </c>
    </row>
    <row r="9" spans="1:4">
      <c r="D9" s="46" t="str">
        <v>SDSE(SAITAMA)</v>
      </c>
    </row>
    <row r="10" spans="1:4">
      <c r="D10" s="46" t="str">
        <v>BROADEX</v>
      </c>
    </row>
    <row r="11" spans="1:4">
      <c r="D11" s="46" t="str">
        <v>SDSE(TOKE)</v>
      </c>
    </row>
    <row r="12" spans="1:4">
      <c r="D12" s="46" t="str">
        <v>FEC-OC(HBCDM)</v>
      </c>
    </row>
    <row r="13" spans="1:4">
      <c r="D13" s="46" t="str">
        <v>FOCI</v>
      </c>
    </row>
    <row r="14" spans="1:4">
      <c r="D14" s="46" t="str">
        <v>FURUKAWA SHANGHAI</v>
      </c>
    </row>
    <row r="15" spans="1:4">
      <c r="D15" s="46" t="str">
        <v>MACNICA GALAXY</v>
      </c>
    </row>
    <row r="16" spans="1:4">
      <c r="D16" s="46" t="str">
        <v>FEC-FL</v>
      </c>
    </row>
    <row r="17" spans="4:4">
      <c r="D17" s="46" t="str">
        <v>FFOS</v>
      </c>
    </row>
    <row r="18" spans="4:4">
      <c r="D18" s="46" t="str">
        <v>LIGHTERA DENMARK APS</v>
      </c>
    </row>
    <row r="19" spans="4:4">
      <c r="D19" s="46" t="str">
        <v>MITSUI ELECTRON</v>
      </c>
    </row>
    <row r="20" spans="4:4">
      <c r="D20" s="46" t="str">
        <v>MACHINIST GROUP CORP</v>
      </c>
    </row>
    <row r="21" spans="4:4">
      <c r="D21" s="46" t="str">
        <v>Sanki Fine Technology</v>
      </c>
    </row>
  </sheetData>
  <phoneticPr fontId="3"/>
  <hyperlinks>
    <hyperlink ref="B1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8842"/>
  <sheetViews>
    <sheetView topLeftCell="D1465" zoomScale="70" zoomScaleNormal="70" workbookViewId="0">
      <selection activeCell="F1483" sqref="F1483"/>
    </sheetView>
  </sheetViews>
  <sheetFormatPr defaultRowHeight="13.2"/>
  <cols>
    <col min="1" max="1" width="13.09765625" style="72" customWidth="1"/>
    <col min="2" max="2" width="43.59765625" style="59" bestFit="1" customWidth="1"/>
    <col min="3" max="3" width="44.5" style="59" bestFit="1" customWidth="1"/>
    <col min="4" max="4" width="44.5" style="59" customWidth="1"/>
    <col min="5" max="5" width="13.09765625" style="59" bestFit="1" customWidth="1"/>
    <col min="6" max="6" width="15.59765625" style="59" bestFit="1" customWidth="1"/>
    <col min="7" max="7" width="42.3984375" style="59" bestFit="1" customWidth="1"/>
    <col min="8" max="8" width="44.59765625" style="59" bestFit="1" customWidth="1"/>
    <col min="9" max="10" width="31.5" style="59" bestFit="1" customWidth="1"/>
    <col min="11" max="11" width="21.09765625" style="59" bestFit="1" customWidth="1"/>
    <col min="12" max="16" width="8.59765625" style="59"/>
    <col min="17" max="17" width="13.8984375" style="59" customWidth="1"/>
    <col min="18" max="18" width="50.5" style="59" bestFit="1" customWidth="1"/>
    <col min="19" max="19" width="14.8984375" style="59" bestFit="1" customWidth="1"/>
    <col min="20" max="246" width="8.59765625" style="59"/>
    <col min="247" max="247" width="23.8984375" style="59" bestFit="1" customWidth="1"/>
    <col min="248" max="248" width="13.59765625" style="59" customWidth="1"/>
    <col min="249" max="249" width="12.59765625" style="59" customWidth="1"/>
    <col min="250" max="250" width="13.09765625" style="59" customWidth="1"/>
    <col min="251" max="251" width="43.59765625" style="59" bestFit="1" customWidth="1"/>
    <col min="252" max="252" width="44.5" style="59" bestFit="1" customWidth="1"/>
    <col min="253" max="253" width="44.5" style="59" customWidth="1"/>
    <col min="254" max="254" width="35.59765625" style="59" customWidth="1"/>
    <col min="255" max="255" width="14.8984375" style="59" bestFit="1" customWidth="1"/>
    <col min="256" max="256" width="14.8984375" style="59" customWidth="1"/>
    <col min="257" max="257" width="12.59765625" style="59" customWidth="1"/>
    <col min="258" max="258" width="53.8984375" style="59" customWidth="1"/>
    <col min="259" max="259" width="15.59765625" style="59" customWidth="1"/>
    <col min="260" max="272" width="8.59765625" style="59"/>
    <col min="273" max="273" width="13.8984375" style="59" customWidth="1"/>
    <col min="274" max="274" width="50.5" style="59" bestFit="1" customWidth="1"/>
    <col min="275" max="275" width="14.8984375" style="59" bestFit="1" customWidth="1"/>
    <col min="276" max="502" width="8.59765625" style="59"/>
    <col min="503" max="503" width="23.8984375" style="59" bestFit="1" customWidth="1"/>
    <col min="504" max="504" width="13.59765625" style="59" customWidth="1"/>
    <col min="505" max="505" width="12.59765625" style="59" customWidth="1"/>
    <col min="506" max="506" width="13.09765625" style="59" customWidth="1"/>
    <col min="507" max="507" width="43.59765625" style="59" bestFit="1" customWidth="1"/>
    <col min="508" max="508" width="44.5" style="59" bestFit="1" customWidth="1"/>
    <col min="509" max="509" width="44.5" style="59" customWidth="1"/>
    <col min="510" max="510" width="35.59765625" style="59" customWidth="1"/>
    <col min="511" max="511" width="14.8984375" style="59" bestFit="1" customWidth="1"/>
    <col min="512" max="512" width="14.8984375" style="59" customWidth="1"/>
    <col min="513" max="513" width="12.59765625" style="59" customWidth="1"/>
    <col min="514" max="514" width="53.8984375" style="59" customWidth="1"/>
    <col min="515" max="515" width="15.59765625" style="59" customWidth="1"/>
    <col min="516" max="528" width="8.59765625" style="59"/>
    <col min="529" max="529" width="13.8984375" style="59" customWidth="1"/>
    <col min="530" max="530" width="50.5" style="59" bestFit="1" customWidth="1"/>
    <col min="531" max="531" width="14.8984375" style="59" bestFit="1" customWidth="1"/>
    <col min="532" max="758" width="8.59765625" style="59"/>
    <col min="759" max="759" width="23.8984375" style="59" bestFit="1" customWidth="1"/>
    <col min="760" max="760" width="13.59765625" style="59" customWidth="1"/>
    <col min="761" max="761" width="12.59765625" style="59" customWidth="1"/>
    <col min="762" max="762" width="13.09765625" style="59" customWidth="1"/>
    <col min="763" max="763" width="43.59765625" style="59" bestFit="1" customWidth="1"/>
    <col min="764" max="764" width="44.5" style="59" bestFit="1" customWidth="1"/>
    <col min="765" max="765" width="44.5" style="59" customWidth="1"/>
    <col min="766" max="766" width="35.59765625" style="59" customWidth="1"/>
    <col min="767" max="767" width="14.8984375" style="59" bestFit="1" customWidth="1"/>
    <col min="768" max="768" width="14.8984375" style="59" customWidth="1"/>
    <col min="769" max="769" width="12.59765625" style="59" customWidth="1"/>
    <col min="770" max="770" width="53.8984375" style="59" customWidth="1"/>
    <col min="771" max="771" width="15.59765625" style="59" customWidth="1"/>
    <col min="772" max="784" width="8.59765625" style="59"/>
    <col min="785" max="785" width="13.8984375" style="59" customWidth="1"/>
    <col min="786" max="786" width="50.5" style="59" bestFit="1" customWidth="1"/>
    <col min="787" max="787" width="14.8984375" style="59" bestFit="1" customWidth="1"/>
    <col min="788" max="1014" width="8.59765625" style="59"/>
    <col min="1015" max="1015" width="23.8984375" style="59" bestFit="1" customWidth="1"/>
    <col min="1016" max="1016" width="13.59765625" style="59" customWidth="1"/>
    <col min="1017" max="1017" width="12.59765625" style="59" customWidth="1"/>
    <col min="1018" max="1018" width="13.09765625" style="59" customWidth="1"/>
    <col min="1019" max="1019" width="43.59765625" style="59" bestFit="1" customWidth="1"/>
    <col min="1020" max="1020" width="44.5" style="59" bestFit="1" customWidth="1"/>
    <col min="1021" max="1021" width="44.5" style="59" customWidth="1"/>
    <col min="1022" max="1022" width="35.59765625" style="59" customWidth="1"/>
    <col min="1023" max="1023" width="14.8984375" style="59" bestFit="1" customWidth="1"/>
    <col min="1024" max="1024" width="14.8984375" style="59" customWidth="1"/>
    <col min="1025" max="1025" width="12.59765625" style="59" customWidth="1"/>
    <col min="1026" max="1026" width="53.8984375" style="59" customWidth="1"/>
    <col min="1027" max="1027" width="15.59765625" style="59" customWidth="1"/>
    <col min="1028" max="1040" width="8.59765625" style="59"/>
    <col min="1041" max="1041" width="13.8984375" style="59" customWidth="1"/>
    <col min="1042" max="1042" width="50.5" style="59" bestFit="1" customWidth="1"/>
    <col min="1043" max="1043" width="14.8984375" style="59" bestFit="1" customWidth="1"/>
    <col min="1044" max="1270" width="8.59765625" style="59"/>
    <col min="1271" max="1271" width="23.8984375" style="59" bestFit="1" customWidth="1"/>
    <col min="1272" max="1272" width="13.59765625" style="59" customWidth="1"/>
    <col min="1273" max="1273" width="12.59765625" style="59" customWidth="1"/>
    <col min="1274" max="1274" width="13.09765625" style="59" customWidth="1"/>
    <col min="1275" max="1275" width="43.59765625" style="59" bestFit="1" customWidth="1"/>
    <col min="1276" max="1276" width="44.5" style="59" bestFit="1" customWidth="1"/>
    <col min="1277" max="1277" width="44.5" style="59" customWidth="1"/>
    <col min="1278" max="1278" width="35.59765625" style="59" customWidth="1"/>
    <col min="1279" max="1279" width="14.8984375" style="59" bestFit="1" customWidth="1"/>
    <col min="1280" max="1280" width="14.8984375" style="59" customWidth="1"/>
    <col min="1281" max="1281" width="12.59765625" style="59" customWidth="1"/>
    <col min="1282" max="1282" width="53.8984375" style="59" customWidth="1"/>
    <col min="1283" max="1283" width="15.59765625" style="59" customWidth="1"/>
    <col min="1284" max="1296" width="8.59765625" style="59"/>
    <col min="1297" max="1297" width="13.8984375" style="59" customWidth="1"/>
    <col min="1298" max="1298" width="50.5" style="59" bestFit="1" customWidth="1"/>
    <col min="1299" max="1299" width="14.8984375" style="59" bestFit="1" customWidth="1"/>
    <col min="1300" max="1526" width="8.59765625" style="59"/>
    <col min="1527" max="1527" width="23.8984375" style="59" bestFit="1" customWidth="1"/>
    <col min="1528" max="1528" width="13.59765625" style="59" customWidth="1"/>
    <col min="1529" max="1529" width="12.59765625" style="59" customWidth="1"/>
    <col min="1530" max="1530" width="13.09765625" style="59" customWidth="1"/>
    <col min="1531" max="1531" width="43.59765625" style="59" bestFit="1" customWidth="1"/>
    <col min="1532" max="1532" width="44.5" style="59" bestFit="1" customWidth="1"/>
    <col min="1533" max="1533" width="44.5" style="59" customWidth="1"/>
    <col min="1534" max="1534" width="35.59765625" style="59" customWidth="1"/>
    <col min="1535" max="1535" width="14.8984375" style="59" bestFit="1" customWidth="1"/>
    <col min="1536" max="1536" width="14.8984375" style="59" customWidth="1"/>
    <col min="1537" max="1537" width="12.59765625" style="59" customWidth="1"/>
    <col min="1538" max="1538" width="53.8984375" style="59" customWidth="1"/>
    <col min="1539" max="1539" width="15.59765625" style="59" customWidth="1"/>
    <col min="1540" max="1552" width="8.59765625" style="59"/>
    <col min="1553" max="1553" width="13.8984375" style="59" customWidth="1"/>
    <col min="1554" max="1554" width="50.5" style="59" bestFit="1" customWidth="1"/>
    <col min="1555" max="1555" width="14.8984375" style="59" bestFit="1" customWidth="1"/>
    <col min="1556" max="1782" width="8.59765625" style="59"/>
    <col min="1783" max="1783" width="23.8984375" style="59" bestFit="1" customWidth="1"/>
    <col min="1784" max="1784" width="13.59765625" style="59" customWidth="1"/>
    <col min="1785" max="1785" width="12.59765625" style="59" customWidth="1"/>
    <col min="1786" max="1786" width="13.09765625" style="59" customWidth="1"/>
    <col min="1787" max="1787" width="43.59765625" style="59" bestFit="1" customWidth="1"/>
    <col min="1788" max="1788" width="44.5" style="59" bestFit="1" customWidth="1"/>
    <col min="1789" max="1789" width="44.5" style="59" customWidth="1"/>
    <col min="1790" max="1790" width="35.59765625" style="59" customWidth="1"/>
    <col min="1791" max="1791" width="14.8984375" style="59" bestFit="1" customWidth="1"/>
    <col min="1792" max="1792" width="14.8984375" style="59" customWidth="1"/>
    <col min="1793" max="1793" width="12.59765625" style="59" customWidth="1"/>
    <col min="1794" max="1794" width="53.8984375" style="59" customWidth="1"/>
    <col min="1795" max="1795" width="15.59765625" style="59" customWidth="1"/>
    <col min="1796" max="1808" width="8.59765625" style="59"/>
    <col min="1809" max="1809" width="13.8984375" style="59" customWidth="1"/>
    <col min="1810" max="1810" width="50.5" style="59" bestFit="1" customWidth="1"/>
    <col min="1811" max="1811" width="14.8984375" style="59" bestFit="1" customWidth="1"/>
    <col min="1812" max="2038" width="8.59765625" style="59"/>
    <col min="2039" max="2039" width="23.8984375" style="59" bestFit="1" customWidth="1"/>
    <col min="2040" max="2040" width="13.59765625" style="59" customWidth="1"/>
    <col min="2041" max="2041" width="12.59765625" style="59" customWidth="1"/>
    <col min="2042" max="2042" width="13.09765625" style="59" customWidth="1"/>
    <col min="2043" max="2043" width="43.59765625" style="59" bestFit="1" customWidth="1"/>
    <col min="2044" max="2044" width="44.5" style="59" bestFit="1" customWidth="1"/>
    <col min="2045" max="2045" width="44.5" style="59" customWidth="1"/>
    <col min="2046" max="2046" width="35.59765625" style="59" customWidth="1"/>
    <col min="2047" max="2047" width="14.8984375" style="59" bestFit="1" customWidth="1"/>
    <col min="2048" max="2048" width="14.8984375" style="59" customWidth="1"/>
    <col min="2049" max="2049" width="12.59765625" style="59" customWidth="1"/>
    <col min="2050" max="2050" width="53.8984375" style="59" customWidth="1"/>
    <col min="2051" max="2051" width="15.59765625" style="59" customWidth="1"/>
    <col min="2052" max="2064" width="8.59765625" style="59"/>
    <col min="2065" max="2065" width="13.8984375" style="59" customWidth="1"/>
    <col min="2066" max="2066" width="50.5" style="59" bestFit="1" customWidth="1"/>
    <col min="2067" max="2067" width="14.8984375" style="59" bestFit="1" customWidth="1"/>
    <col min="2068" max="2294" width="8.59765625" style="59"/>
    <col min="2295" max="2295" width="23.8984375" style="59" bestFit="1" customWidth="1"/>
    <col min="2296" max="2296" width="13.59765625" style="59" customWidth="1"/>
    <col min="2297" max="2297" width="12.59765625" style="59" customWidth="1"/>
    <col min="2298" max="2298" width="13.09765625" style="59" customWidth="1"/>
    <col min="2299" max="2299" width="43.59765625" style="59" bestFit="1" customWidth="1"/>
    <col min="2300" max="2300" width="44.5" style="59" bestFit="1" customWidth="1"/>
    <col min="2301" max="2301" width="44.5" style="59" customWidth="1"/>
    <col min="2302" max="2302" width="35.59765625" style="59" customWidth="1"/>
    <col min="2303" max="2303" width="14.8984375" style="59" bestFit="1" customWidth="1"/>
    <col min="2304" max="2304" width="14.8984375" style="59" customWidth="1"/>
    <col min="2305" max="2305" width="12.59765625" style="59" customWidth="1"/>
    <col min="2306" max="2306" width="53.8984375" style="59" customWidth="1"/>
    <col min="2307" max="2307" width="15.59765625" style="59" customWidth="1"/>
    <col min="2308" max="2320" width="8.59765625" style="59"/>
    <col min="2321" max="2321" width="13.8984375" style="59" customWidth="1"/>
    <col min="2322" max="2322" width="50.5" style="59" bestFit="1" customWidth="1"/>
    <col min="2323" max="2323" width="14.8984375" style="59" bestFit="1" customWidth="1"/>
    <col min="2324" max="2550" width="8.59765625" style="59"/>
    <col min="2551" max="2551" width="23.8984375" style="59" bestFit="1" customWidth="1"/>
    <col min="2552" max="2552" width="13.59765625" style="59" customWidth="1"/>
    <col min="2553" max="2553" width="12.59765625" style="59" customWidth="1"/>
    <col min="2554" max="2554" width="13.09765625" style="59" customWidth="1"/>
    <col min="2555" max="2555" width="43.59765625" style="59" bestFit="1" customWidth="1"/>
    <col min="2556" max="2556" width="44.5" style="59" bestFit="1" customWidth="1"/>
    <col min="2557" max="2557" width="44.5" style="59" customWidth="1"/>
    <col min="2558" max="2558" width="35.59765625" style="59" customWidth="1"/>
    <col min="2559" max="2559" width="14.8984375" style="59" bestFit="1" customWidth="1"/>
    <col min="2560" max="2560" width="14.8984375" style="59" customWidth="1"/>
    <col min="2561" max="2561" width="12.59765625" style="59" customWidth="1"/>
    <col min="2562" max="2562" width="53.8984375" style="59" customWidth="1"/>
    <col min="2563" max="2563" width="15.59765625" style="59" customWidth="1"/>
    <col min="2564" max="2576" width="8.59765625" style="59"/>
    <col min="2577" max="2577" width="13.8984375" style="59" customWidth="1"/>
    <col min="2578" max="2578" width="50.5" style="59" bestFit="1" customWidth="1"/>
    <col min="2579" max="2579" width="14.8984375" style="59" bestFit="1" customWidth="1"/>
    <col min="2580" max="2806" width="8.59765625" style="59"/>
    <col min="2807" max="2807" width="23.8984375" style="59" bestFit="1" customWidth="1"/>
    <col min="2808" max="2808" width="13.59765625" style="59" customWidth="1"/>
    <col min="2809" max="2809" width="12.59765625" style="59" customWidth="1"/>
    <col min="2810" max="2810" width="13.09765625" style="59" customWidth="1"/>
    <col min="2811" max="2811" width="43.59765625" style="59" bestFit="1" customWidth="1"/>
    <col min="2812" max="2812" width="44.5" style="59" bestFit="1" customWidth="1"/>
    <col min="2813" max="2813" width="44.5" style="59" customWidth="1"/>
    <col min="2814" max="2814" width="35.59765625" style="59" customWidth="1"/>
    <col min="2815" max="2815" width="14.8984375" style="59" bestFit="1" customWidth="1"/>
    <col min="2816" max="2816" width="14.8984375" style="59" customWidth="1"/>
    <col min="2817" max="2817" width="12.59765625" style="59" customWidth="1"/>
    <col min="2818" max="2818" width="53.8984375" style="59" customWidth="1"/>
    <col min="2819" max="2819" width="15.59765625" style="59" customWidth="1"/>
    <col min="2820" max="2832" width="8.59765625" style="59"/>
    <col min="2833" max="2833" width="13.8984375" style="59" customWidth="1"/>
    <col min="2834" max="2834" width="50.5" style="59" bestFit="1" customWidth="1"/>
    <col min="2835" max="2835" width="14.8984375" style="59" bestFit="1" customWidth="1"/>
    <col min="2836" max="3062" width="8.59765625" style="59"/>
    <col min="3063" max="3063" width="23.8984375" style="59" bestFit="1" customWidth="1"/>
    <col min="3064" max="3064" width="13.59765625" style="59" customWidth="1"/>
    <col min="3065" max="3065" width="12.59765625" style="59" customWidth="1"/>
    <col min="3066" max="3066" width="13.09765625" style="59" customWidth="1"/>
    <col min="3067" max="3067" width="43.59765625" style="59" bestFit="1" customWidth="1"/>
    <col min="3068" max="3068" width="44.5" style="59" bestFit="1" customWidth="1"/>
    <col min="3069" max="3069" width="44.5" style="59" customWidth="1"/>
    <col min="3070" max="3070" width="35.59765625" style="59" customWidth="1"/>
    <col min="3071" max="3071" width="14.8984375" style="59" bestFit="1" customWidth="1"/>
    <col min="3072" max="3072" width="14.8984375" style="59" customWidth="1"/>
    <col min="3073" max="3073" width="12.59765625" style="59" customWidth="1"/>
    <col min="3074" max="3074" width="53.8984375" style="59" customWidth="1"/>
    <col min="3075" max="3075" width="15.59765625" style="59" customWidth="1"/>
    <col min="3076" max="3088" width="8.59765625" style="59"/>
    <col min="3089" max="3089" width="13.8984375" style="59" customWidth="1"/>
    <col min="3090" max="3090" width="50.5" style="59" bestFit="1" customWidth="1"/>
    <col min="3091" max="3091" width="14.8984375" style="59" bestFit="1" customWidth="1"/>
    <col min="3092" max="3318" width="8.59765625" style="59"/>
    <col min="3319" max="3319" width="23.8984375" style="59" bestFit="1" customWidth="1"/>
    <col min="3320" max="3320" width="13.59765625" style="59" customWidth="1"/>
    <col min="3321" max="3321" width="12.59765625" style="59" customWidth="1"/>
    <col min="3322" max="3322" width="13.09765625" style="59" customWidth="1"/>
    <col min="3323" max="3323" width="43.59765625" style="59" bestFit="1" customWidth="1"/>
    <col min="3324" max="3324" width="44.5" style="59" bestFit="1" customWidth="1"/>
    <col min="3325" max="3325" width="44.5" style="59" customWidth="1"/>
    <col min="3326" max="3326" width="35.59765625" style="59" customWidth="1"/>
    <col min="3327" max="3327" width="14.8984375" style="59" bestFit="1" customWidth="1"/>
    <col min="3328" max="3328" width="14.8984375" style="59" customWidth="1"/>
    <col min="3329" max="3329" width="12.59765625" style="59" customWidth="1"/>
    <col min="3330" max="3330" width="53.8984375" style="59" customWidth="1"/>
    <col min="3331" max="3331" width="15.59765625" style="59" customWidth="1"/>
    <col min="3332" max="3344" width="8.59765625" style="59"/>
    <col min="3345" max="3345" width="13.8984375" style="59" customWidth="1"/>
    <col min="3346" max="3346" width="50.5" style="59" bestFit="1" customWidth="1"/>
    <col min="3347" max="3347" width="14.8984375" style="59" bestFit="1" customWidth="1"/>
    <col min="3348" max="3574" width="8.59765625" style="59"/>
    <col min="3575" max="3575" width="23.8984375" style="59" bestFit="1" customWidth="1"/>
    <col min="3576" max="3576" width="13.59765625" style="59" customWidth="1"/>
    <col min="3577" max="3577" width="12.59765625" style="59" customWidth="1"/>
    <col min="3578" max="3578" width="13.09765625" style="59" customWidth="1"/>
    <col min="3579" max="3579" width="43.59765625" style="59" bestFit="1" customWidth="1"/>
    <col min="3580" max="3580" width="44.5" style="59" bestFit="1" customWidth="1"/>
    <col min="3581" max="3581" width="44.5" style="59" customWidth="1"/>
    <col min="3582" max="3582" width="35.59765625" style="59" customWidth="1"/>
    <col min="3583" max="3583" width="14.8984375" style="59" bestFit="1" customWidth="1"/>
    <col min="3584" max="3584" width="14.8984375" style="59" customWidth="1"/>
    <col min="3585" max="3585" width="12.59765625" style="59" customWidth="1"/>
    <col min="3586" max="3586" width="53.8984375" style="59" customWidth="1"/>
    <col min="3587" max="3587" width="15.59765625" style="59" customWidth="1"/>
    <col min="3588" max="3600" width="8.59765625" style="59"/>
    <col min="3601" max="3601" width="13.8984375" style="59" customWidth="1"/>
    <col min="3602" max="3602" width="50.5" style="59" bestFit="1" customWidth="1"/>
    <col min="3603" max="3603" width="14.8984375" style="59" bestFit="1" customWidth="1"/>
    <col min="3604" max="3830" width="8.59765625" style="59"/>
    <col min="3831" max="3831" width="23.8984375" style="59" bestFit="1" customWidth="1"/>
    <col min="3832" max="3832" width="13.59765625" style="59" customWidth="1"/>
    <col min="3833" max="3833" width="12.59765625" style="59" customWidth="1"/>
    <col min="3834" max="3834" width="13.09765625" style="59" customWidth="1"/>
    <col min="3835" max="3835" width="43.59765625" style="59" bestFit="1" customWidth="1"/>
    <col min="3836" max="3836" width="44.5" style="59" bestFit="1" customWidth="1"/>
    <col min="3837" max="3837" width="44.5" style="59" customWidth="1"/>
    <col min="3838" max="3838" width="35.59765625" style="59" customWidth="1"/>
    <col min="3839" max="3839" width="14.8984375" style="59" bestFit="1" customWidth="1"/>
    <col min="3840" max="3840" width="14.8984375" style="59" customWidth="1"/>
    <col min="3841" max="3841" width="12.59765625" style="59" customWidth="1"/>
    <col min="3842" max="3842" width="53.8984375" style="59" customWidth="1"/>
    <col min="3843" max="3843" width="15.59765625" style="59" customWidth="1"/>
    <col min="3844" max="3856" width="8.59765625" style="59"/>
    <col min="3857" max="3857" width="13.8984375" style="59" customWidth="1"/>
    <col min="3858" max="3858" width="50.5" style="59" bestFit="1" customWidth="1"/>
    <col min="3859" max="3859" width="14.8984375" style="59" bestFit="1" customWidth="1"/>
    <col min="3860" max="4086" width="8.59765625" style="59"/>
    <col min="4087" max="4087" width="23.8984375" style="59" bestFit="1" customWidth="1"/>
    <col min="4088" max="4088" width="13.59765625" style="59" customWidth="1"/>
    <col min="4089" max="4089" width="12.59765625" style="59" customWidth="1"/>
    <col min="4090" max="4090" width="13.09765625" style="59" customWidth="1"/>
    <col min="4091" max="4091" width="43.59765625" style="59" bestFit="1" customWidth="1"/>
    <col min="4092" max="4092" width="44.5" style="59" bestFit="1" customWidth="1"/>
    <col min="4093" max="4093" width="44.5" style="59" customWidth="1"/>
    <col min="4094" max="4094" width="35.59765625" style="59" customWidth="1"/>
    <col min="4095" max="4095" width="14.8984375" style="59" bestFit="1" customWidth="1"/>
    <col min="4096" max="4096" width="14.8984375" style="59" customWidth="1"/>
    <col min="4097" max="4097" width="12.59765625" style="59" customWidth="1"/>
    <col min="4098" max="4098" width="53.8984375" style="59" customWidth="1"/>
    <col min="4099" max="4099" width="15.59765625" style="59" customWidth="1"/>
    <col min="4100" max="4112" width="8.59765625" style="59"/>
    <col min="4113" max="4113" width="13.8984375" style="59" customWidth="1"/>
    <col min="4114" max="4114" width="50.5" style="59" bestFit="1" customWidth="1"/>
    <col min="4115" max="4115" width="14.8984375" style="59" bestFit="1" customWidth="1"/>
    <col min="4116" max="4342" width="8.59765625" style="59"/>
    <col min="4343" max="4343" width="23.8984375" style="59" bestFit="1" customWidth="1"/>
    <col min="4344" max="4344" width="13.59765625" style="59" customWidth="1"/>
    <col min="4345" max="4345" width="12.59765625" style="59" customWidth="1"/>
    <col min="4346" max="4346" width="13.09765625" style="59" customWidth="1"/>
    <col min="4347" max="4347" width="43.59765625" style="59" bestFit="1" customWidth="1"/>
    <col min="4348" max="4348" width="44.5" style="59" bestFit="1" customWidth="1"/>
    <col min="4349" max="4349" width="44.5" style="59" customWidth="1"/>
    <col min="4350" max="4350" width="35.59765625" style="59" customWidth="1"/>
    <col min="4351" max="4351" width="14.8984375" style="59" bestFit="1" customWidth="1"/>
    <col min="4352" max="4352" width="14.8984375" style="59" customWidth="1"/>
    <col min="4353" max="4353" width="12.59765625" style="59" customWidth="1"/>
    <col min="4354" max="4354" width="53.8984375" style="59" customWidth="1"/>
    <col min="4355" max="4355" width="15.59765625" style="59" customWidth="1"/>
    <col min="4356" max="4368" width="8.59765625" style="59"/>
    <col min="4369" max="4369" width="13.8984375" style="59" customWidth="1"/>
    <col min="4370" max="4370" width="50.5" style="59" bestFit="1" customWidth="1"/>
    <col min="4371" max="4371" width="14.8984375" style="59" bestFit="1" customWidth="1"/>
    <col min="4372" max="4598" width="8.59765625" style="59"/>
    <col min="4599" max="4599" width="23.8984375" style="59" bestFit="1" customWidth="1"/>
    <col min="4600" max="4600" width="13.59765625" style="59" customWidth="1"/>
    <col min="4601" max="4601" width="12.59765625" style="59" customWidth="1"/>
    <col min="4602" max="4602" width="13.09765625" style="59" customWidth="1"/>
    <col min="4603" max="4603" width="43.59765625" style="59" bestFit="1" customWidth="1"/>
    <col min="4604" max="4604" width="44.5" style="59" bestFit="1" customWidth="1"/>
    <col min="4605" max="4605" width="44.5" style="59" customWidth="1"/>
    <col min="4606" max="4606" width="35.59765625" style="59" customWidth="1"/>
    <col min="4607" max="4607" width="14.8984375" style="59" bestFit="1" customWidth="1"/>
    <col min="4608" max="4608" width="14.8984375" style="59" customWidth="1"/>
    <col min="4609" max="4609" width="12.59765625" style="59" customWidth="1"/>
    <col min="4610" max="4610" width="53.8984375" style="59" customWidth="1"/>
    <col min="4611" max="4611" width="15.59765625" style="59" customWidth="1"/>
    <col min="4612" max="4624" width="8.59765625" style="59"/>
    <col min="4625" max="4625" width="13.8984375" style="59" customWidth="1"/>
    <col min="4626" max="4626" width="50.5" style="59" bestFit="1" customWidth="1"/>
    <col min="4627" max="4627" width="14.8984375" style="59" bestFit="1" customWidth="1"/>
    <col min="4628" max="4854" width="8.59765625" style="59"/>
    <col min="4855" max="4855" width="23.8984375" style="59" bestFit="1" customWidth="1"/>
    <col min="4856" max="4856" width="13.59765625" style="59" customWidth="1"/>
    <col min="4857" max="4857" width="12.59765625" style="59" customWidth="1"/>
    <col min="4858" max="4858" width="13.09765625" style="59" customWidth="1"/>
    <col min="4859" max="4859" width="43.59765625" style="59" bestFit="1" customWidth="1"/>
    <col min="4860" max="4860" width="44.5" style="59" bestFit="1" customWidth="1"/>
    <col min="4861" max="4861" width="44.5" style="59" customWidth="1"/>
    <col min="4862" max="4862" width="35.59765625" style="59" customWidth="1"/>
    <col min="4863" max="4863" width="14.8984375" style="59" bestFit="1" customWidth="1"/>
    <col min="4864" max="4864" width="14.8984375" style="59" customWidth="1"/>
    <col min="4865" max="4865" width="12.59765625" style="59" customWidth="1"/>
    <col min="4866" max="4866" width="53.8984375" style="59" customWidth="1"/>
    <col min="4867" max="4867" width="15.59765625" style="59" customWidth="1"/>
    <col min="4868" max="4880" width="8.59765625" style="59"/>
    <col min="4881" max="4881" width="13.8984375" style="59" customWidth="1"/>
    <col min="4882" max="4882" width="50.5" style="59" bestFit="1" customWidth="1"/>
    <col min="4883" max="4883" width="14.8984375" style="59" bestFit="1" customWidth="1"/>
    <col min="4884" max="5110" width="8.59765625" style="59"/>
    <col min="5111" max="5111" width="23.8984375" style="59" bestFit="1" customWidth="1"/>
    <col min="5112" max="5112" width="13.59765625" style="59" customWidth="1"/>
    <col min="5113" max="5113" width="12.59765625" style="59" customWidth="1"/>
    <col min="5114" max="5114" width="13.09765625" style="59" customWidth="1"/>
    <col min="5115" max="5115" width="43.59765625" style="59" bestFit="1" customWidth="1"/>
    <col min="5116" max="5116" width="44.5" style="59" bestFit="1" customWidth="1"/>
    <col min="5117" max="5117" width="44.5" style="59" customWidth="1"/>
    <col min="5118" max="5118" width="35.59765625" style="59" customWidth="1"/>
    <col min="5119" max="5119" width="14.8984375" style="59" bestFit="1" customWidth="1"/>
    <col min="5120" max="5120" width="14.8984375" style="59" customWidth="1"/>
    <col min="5121" max="5121" width="12.59765625" style="59" customWidth="1"/>
    <col min="5122" max="5122" width="53.8984375" style="59" customWidth="1"/>
    <col min="5123" max="5123" width="15.59765625" style="59" customWidth="1"/>
    <col min="5124" max="5136" width="8.59765625" style="59"/>
    <col min="5137" max="5137" width="13.8984375" style="59" customWidth="1"/>
    <col min="5138" max="5138" width="50.5" style="59" bestFit="1" customWidth="1"/>
    <col min="5139" max="5139" width="14.8984375" style="59" bestFit="1" customWidth="1"/>
    <col min="5140" max="5366" width="8.59765625" style="59"/>
    <col min="5367" max="5367" width="23.8984375" style="59" bestFit="1" customWidth="1"/>
    <col min="5368" max="5368" width="13.59765625" style="59" customWidth="1"/>
    <col min="5369" max="5369" width="12.59765625" style="59" customWidth="1"/>
    <col min="5370" max="5370" width="13.09765625" style="59" customWidth="1"/>
    <col min="5371" max="5371" width="43.59765625" style="59" bestFit="1" customWidth="1"/>
    <col min="5372" max="5372" width="44.5" style="59" bestFit="1" customWidth="1"/>
    <col min="5373" max="5373" width="44.5" style="59" customWidth="1"/>
    <col min="5374" max="5374" width="35.59765625" style="59" customWidth="1"/>
    <col min="5375" max="5375" width="14.8984375" style="59" bestFit="1" customWidth="1"/>
    <col min="5376" max="5376" width="14.8984375" style="59" customWidth="1"/>
    <col min="5377" max="5377" width="12.59765625" style="59" customWidth="1"/>
    <col min="5378" max="5378" width="53.8984375" style="59" customWidth="1"/>
    <col min="5379" max="5379" width="15.59765625" style="59" customWidth="1"/>
    <col min="5380" max="5392" width="8.59765625" style="59"/>
    <col min="5393" max="5393" width="13.8984375" style="59" customWidth="1"/>
    <col min="5394" max="5394" width="50.5" style="59" bestFit="1" customWidth="1"/>
    <col min="5395" max="5395" width="14.8984375" style="59" bestFit="1" customWidth="1"/>
    <col min="5396" max="5622" width="8.59765625" style="59"/>
    <col min="5623" max="5623" width="23.8984375" style="59" bestFit="1" customWidth="1"/>
    <col min="5624" max="5624" width="13.59765625" style="59" customWidth="1"/>
    <col min="5625" max="5625" width="12.59765625" style="59" customWidth="1"/>
    <col min="5626" max="5626" width="13.09765625" style="59" customWidth="1"/>
    <col min="5627" max="5627" width="43.59765625" style="59" bestFit="1" customWidth="1"/>
    <col min="5628" max="5628" width="44.5" style="59" bestFit="1" customWidth="1"/>
    <col min="5629" max="5629" width="44.5" style="59" customWidth="1"/>
    <col min="5630" max="5630" width="35.59765625" style="59" customWidth="1"/>
    <col min="5631" max="5631" width="14.8984375" style="59" bestFit="1" customWidth="1"/>
    <col min="5632" max="5632" width="14.8984375" style="59" customWidth="1"/>
    <col min="5633" max="5633" width="12.59765625" style="59" customWidth="1"/>
    <col min="5634" max="5634" width="53.8984375" style="59" customWidth="1"/>
    <col min="5635" max="5635" width="15.59765625" style="59" customWidth="1"/>
    <col min="5636" max="5648" width="8.59765625" style="59"/>
    <col min="5649" max="5649" width="13.8984375" style="59" customWidth="1"/>
    <col min="5650" max="5650" width="50.5" style="59" bestFit="1" customWidth="1"/>
    <col min="5651" max="5651" width="14.8984375" style="59" bestFit="1" customWidth="1"/>
    <col min="5652" max="5878" width="8.59765625" style="59"/>
    <col min="5879" max="5879" width="23.8984375" style="59" bestFit="1" customWidth="1"/>
    <col min="5880" max="5880" width="13.59765625" style="59" customWidth="1"/>
    <col min="5881" max="5881" width="12.59765625" style="59" customWidth="1"/>
    <col min="5882" max="5882" width="13.09765625" style="59" customWidth="1"/>
    <col min="5883" max="5883" width="43.59765625" style="59" bestFit="1" customWidth="1"/>
    <col min="5884" max="5884" width="44.5" style="59" bestFit="1" customWidth="1"/>
    <col min="5885" max="5885" width="44.5" style="59" customWidth="1"/>
    <col min="5886" max="5886" width="35.59765625" style="59" customWidth="1"/>
    <col min="5887" max="5887" width="14.8984375" style="59" bestFit="1" customWidth="1"/>
    <col min="5888" max="5888" width="14.8984375" style="59" customWidth="1"/>
    <col min="5889" max="5889" width="12.59765625" style="59" customWidth="1"/>
    <col min="5890" max="5890" width="53.8984375" style="59" customWidth="1"/>
    <col min="5891" max="5891" width="15.59765625" style="59" customWidth="1"/>
    <col min="5892" max="5904" width="8.59765625" style="59"/>
    <col min="5905" max="5905" width="13.8984375" style="59" customWidth="1"/>
    <col min="5906" max="5906" width="50.5" style="59" bestFit="1" customWidth="1"/>
    <col min="5907" max="5907" width="14.8984375" style="59" bestFit="1" customWidth="1"/>
    <col min="5908" max="6134" width="8.59765625" style="59"/>
    <col min="6135" max="6135" width="23.8984375" style="59" bestFit="1" customWidth="1"/>
    <col min="6136" max="6136" width="13.59765625" style="59" customWidth="1"/>
    <col min="6137" max="6137" width="12.59765625" style="59" customWidth="1"/>
    <col min="6138" max="6138" width="13.09765625" style="59" customWidth="1"/>
    <col min="6139" max="6139" width="43.59765625" style="59" bestFit="1" customWidth="1"/>
    <col min="6140" max="6140" width="44.5" style="59" bestFit="1" customWidth="1"/>
    <col min="6141" max="6141" width="44.5" style="59" customWidth="1"/>
    <col min="6142" max="6142" width="35.59765625" style="59" customWidth="1"/>
    <col min="6143" max="6143" width="14.8984375" style="59" bestFit="1" customWidth="1"/>
    <col min="6144" max="6144" width="14.8984375" style="59" customWidth="1"/>
    <col min="6145" max="6145" width="12.59765625" style="59" customWidth="1"/>
    <col min="6146" max="6146" width="53.8984375" style="59" customWidth="1"/>
    <col min="6147" max="6147" width="15.59765625" style="59" customWidth="1"/>
    <col min="6148" max="6160" width="8.59765625" style="59"/>
    <col min="6161" max="6161" width="13.8984375" style="59" customWidth="1"/>
    <col min="6162" max="6162" width="50.5" style="59" bestFit="1" customWidth="1"/>
    <col min="6163" max="6163" width="14.8984375" style="59" bestFit="1" customWidth="1"/>
    <col min="6164" max="6390" width="8.59765625" style="59"/>
    <col min="6391" max="6391" width="23.8984375" style="59" bestFit="1" customWidth="1"/>
    <col min="6392" max="6392" width="13.59765625" style="59" customWidth="1"/>
    <col min="6393" max="6393" width="12.59765625" style="59" customWidth="1"/>
    <col min="6394" max="6394" width="13.09765625" style="59" customWidth="1"/>
    <col min="6395" max="6395" width="43.59765625" style="59" bestFit="1" customWidth="1"/>
    <col min="6396" max="6396" width="44.5" style="59" bestFit="1" customWidth="1"/>
    <col min="6397" max="6397" width="44.5" style="59" customWidth="1"/>
    <col min="6398" max="6398" width="35.59765625" style="59" customWidth="1"/>
    <col min="6399" max="6399" width="14.8984375" style="59" bestFit="1" customWidth="1"/>
    <col min="6400" max="6400" width="14.8984375" style="59" customWidth="1"/>
    <col min="6401" max="6401" width="12.59765625" style="59" customWidth="1"/>
    <col min="6402" max="6402" width="53.8984375" style="59" customWidth="1"/>
    <col min="6403" max="6403" width="15.59765625" style="59" customWidth="1"/>
    <col min="6404" max="6416" width="8.59765625" style="59"/>
    <col min="6417" max="6417" width="13.8984375" style="59" customWidth="1"/>
    <col min="6418" max="6418" width="50.5" style="59" bestFit="1" customWidth="1"/>
    <col min="6419" max="6419" width="14.8984375" style="59" bestFit="1" customWidth="1"/>
    <col min="6420" max="6646" width="8.59765625" style="59"/>
    <col min="6647" max="6647" width="23.8984375" style="59" bestFit="1" customWidth="1"/>
    <col min="6648" max="6648" width="13.59765625" style="59" customWidth="1"/>
    <col min="6649" max="6649" width="12.59765625" style="59" customWidth="1"/>
    <col min="6650" max="6650" width="13.09765625" style="59" customWidth="1"/>
    <col min="6651" max="6651" width="43.59765625" style="59" bestFit="1" customWidth="1"/>
    <col min="6652" max="6652" width="44.5" style="59" bestFit="1" customWidth="1"/>
    <col min="6653" max="6653" width="44.5" style="59" customWidth="1"/>
    <col min="6654" max="6654" width="35.59765625" style="59" customWidth="1"/>
    <col min="6655" max="6655" width="14.8984375" style="59" bestFit="1" customWidth="1"/>
    <col min="6656" max="6656" width="14.8984375" style="59" customWidth="1"/>
    <col min="6657" max="6657" width="12.59765625" style="59" customWidth="1"/>
    <col min="6658" max="6658" width="53.8984375" style="59" customWidth="1"/>
    <col min="6659" max="6659" width="15.59765625" style="59" customWidth="1"/>
    <col min="6660" max="6672" width="8.59765625" style="59"/>
    <col min="6673" max="6673" width="13.8984375" style="59" customWidth="1"/>
    <col min="6674" max="6674" width="50.5" style="59" bestFit="1" customWidth="1"/>
    <col min="6675" max="6675" width="14.8984375" style="59" bestFit="1" customWidth="1"/>
    <col min="6676" max="6902" width="8.59765625" style="59"/>
    <col min="6903" max="6903" width="23.8984375" style="59" bestFit="1" customWidth="1"/>
    <col min="6904" max="6904" width="13.59765625" style="59" customWidth="1"/>
    <col min="6905" max="6905" width="12.59765625" style="59" customWidth="1"/>
    <col min="6906" max="6906" width="13.09765625" style="59" customWidth="1"/>
    <col min="6907" max="6907" width="43.59765625" style="59" bestFit="1" customWidth="1"/>
    <col min="6908" max="6908" width="44.5" style="59" bestFit="1" customWidth="1"/>
    <col min="6909" max="6909" width="44.5" style="59" customWidth="1"/>
    <col min="6910" max="6910" width="35.59765625" style="59" customWidth="1"/>
    <col min="6911" max="6911" width="14.8984375" style="59" bestFit="1" customWidth="1"/>
    <col min="6912" max="6912" width="14.8984375" style="59" customWidth="1"/>
    <col min="6913" max="6913" width="12.59765625" style="59" customWidth="1"/>
    <col min="6914" max="6914" width="53.8984375" style="59" customWidth="1"/>
    <col min="6915" max="6915" width="15.59765625" style="59" customWidth="1"/>
    <col min="6916" max="6928" width="8.59765625" style="59"/>
    <col min="6929" max="6929" width="13.8984375" style="59" customWidth="1"/>
    <col min="6930" max="6930" width="50.5" style="59" bestFit="1" customWidth="1"/>
    <col min="6931" max="6931" width="14.8984375" style="59" bestFit="1" customWidth="1"/>
    <col min="6932" max="7158" width="8.59765625" style="59"/>
    <col min="7159" max="7159" width="23.8984375" style="59" bestFit="1" customWidth="1"/>
    <col min="7160" max="7160" width="13.59765625" style="59" customWidth="1"/>
    <col min="7161" max="7161" width="12.59765625" style="59" customWidth="1"/>
    <col min="7162" max="7162" width="13.09765625" style="59" customWidth="1"/>
    <col min="7163" max="7163" width="43.59765625" style="59" bestFit="1" customWidth="1"/>
    <col min="7164" max="7164" width="44.5" style="59" bestFit="1" customWidth="1"/>
    <col min="7165" max="7165" width="44.5" style="59" customWidth="1"/>
    <col min="7166" max="7166" width="35.59765625" style="59" customWidth="1"/>
    <col min="7167" max="7167" width="14.8984375" style="59" bestFit="1" customWidth="1"/>
    <col min="7168" max="7168" width="14.8984375" style="59" customWidth="1"/>
    <col min="7169" max="7169" width="12.59765625" style="59" customWidth="1"/>
    <col min="7170" max="7170" width="53.8984375" style="59" customWidth="1"/>
    <col min="7171" max="7171" width="15.59765625" style="59" customWidth="1"/>
    <col min="7172" max="7184" width="8.59765625" style="59"/>
    <col min="7185" max="7185" width="13.8984375" style="59" customWidth="1"/>
    <col min="7186" max="7186" width="50.5" style="59" bestFit="1" customWidth="1"/>
    <col min="7187" max="7187" width="14.8984375" style="59" bestFit="1" customWidth="1"/>
    <col min="7188" max="7414" width="8.59765625" style="59"/>
    <col min="7415" max="7415" width="23.8984375" style="59" bestFit="1" customWidth="1"/>
    <col min="7416" max="7416" width="13.59765625" style="59" customWidth="1"/>
    <col min="7417" max="7417" width="12.59765625" style="59" customWidth="1"/>
    <col min="7418" max="7418" width="13.09765625" style="59" customWidth="1"/>
    <col min="7419" max="7419" width="43.59765625" style="59" bestFit="1" customWidth="1"/>
    <col min="7420" max="7420" width="44.5" style="59" bestFit="1" customWidth="1"/>
    <col min="7421" max="7421" width="44.5" style="59" customWidth="1"/>
    <col min="7422" max="7422" width="35.59765625" style="59" customWidth="1"/>
    <col min="7423" max="7423" width="14.8984375" style="59" bestFit="1" customWidth="1"/>
    <col min="7424" max="7424" width="14.8984375" style="59" customWidth="1"/>
    <col min="7425" max="7425" width="12.59765625" style="59" customWidth="1"/>
    <col min="7426" max="7426" width="53.8984375" style="59" customWidth="1"/>
    <col min="7427" max="7427" width="15.59765625" style="59" customWidth="1"/>
    <col min="7428" max="7440" width="8.59765625" style="59"/>
    <col min="7441" max="7441" width="13.8984375" style="59" customWidth="1"/>
    <col min="7442" max="7442" width="50.5" style="59" bestFit="1" customWidth="1"/>
    <col min="7443" max="7443" width="14.8984375" style="59" bestFit="1" customWidth="1"/>
    <col min="7444" max="7670" width="8.59765625" style="59"/>
    <col min="7671" max="7671" width="23.8984375" style="59" bestFit="1" customWidth="1"/>
    <col min="7672" max="7672" width="13.59765625" style="59" customWidth="1"/>
    <col min="7673" max="7673" width="12.59765625" style="59" customWidth="1"/>
    <col min="7674" max="7674" width="13.09765625" style="59" customWidth="1"/>
    <col min="7675" max="7675" width="43.59765625" style="59" bestFit="1" customWidth="1"/>
    <col min="7676" max="7676" width="44.5" style="59" bestFit="1" customWidth="1"/>
    <col min="7677" max="7677" width="44.5" style="59" customWidth="1"/>
    <col min="7678" max="7678" width="35.59765625" style="59" customWidth="1"/>
    <col min="7679" max="7679" width="14.8984375" style="59" bestFit="1" customWidth="1"/>
    <col min="7680" max="7680" width="14.8984375" style="59" customWidth="1"/>
    <col min="7681" max="7681" width="12.59765625" style="59" customWidth="1"/>
    <col min="7682" max="7682" width="53.8984375" style="59" customWidth="1"/>
    <col min="7683" max="7683" width="15.59765625" style="59" customWidth="1"/>
    <col min="7684" max="7696" width="8.59765625" style="59"/>
    <col min="7697" max="7697" width="13.8984375" style="59" customWidth="1"/>
    <col min="7698" max="7698" width="50.5" style="59" bestFit="1" customWidth="1"/>
    <col min="7699" max="7699" width="14.8984375" style="59" bestFit="1" customWidth="1"/>
    <col min="7700" max="7926" width="8.59765625" style="59"/>
    <col min="7927" max="7927" width="23.8984375" style="59" bestFit="1" customWidth="1"/>
    <col min="7928" max="7928" width="13.59765625" style="59" customWidth="1"/>
    <col min="7929" max="7929" width="12.59765625" style="59" customWidth="1"/>
    <col min="7930" max="7930" width="13.09765625" style="59" customWidth="1"/>
    <col min="7931" max="7931" width="43.59765625" style="59" bestFit="1" customWidth="1"/>
    <col min="7932" max="7932" width="44.5" style="59" bestFit="1" customWidth="1"/>
    <col min="7933" max="7933" width="44.5" style="59" customWidth="1"/>
    <col min="7934" max="7934" width="35.59765625" style="59" customWidth="1"/>
    <col min="7935" max="7935" width="14.8984375" style="59" bestFit="1" customWidth="1"/>
    <col min="7936" max="7936" width="14.8984375" style="59" customWidth="1"/>
    <col min="7937" max="7937" width="12.59765625" style="59" customWidth="1"/>
    <col min="7938" max="7938" width="53.8984375" style="59" customWidth="1"/>
    <col min="7939" max="7939" width="15.59765625" style="59" customWidth="1"/>
    <col min="7940" max="7952" width="8.59765625" style="59"/>
    <col min="7953" max="7953" width="13.8984375" style="59" customWidth="1"/>
    <col min="7954" max="7954" width="50.5" style="59" bestFit="1" customWidth="1"/>
    <col min="7955" max="7955" width="14.8984375" style="59" bestFit="1" customWidth="1"/>
    <col min="7956" max="8182" width="8.59765625" style="59"/>
    <col min="8183" max="8183" width="23.8984375" style="59" bestFit="1" customWidth="1"/>
    <col min="8184" max="8184" width="13.59765625" style="59" customWidth="1"/>
    <col min="8185" max="8185" width="12.59765625" style="59" customWidth="1"/>
    <col min="8186" max="8186" width="13.09765625" style="59" customWidth="1"/>
    <col min="8187" max="8187" width="43.59765625" style="59" bestFit="1" customWidth="1"/>
    <col min="8188" max="8188" width="44.5" style="59" bestFit="1" customWidth="1"/>
    <col min="8189" max="8189" width="44.5" style="59" customWidth="1"/>
    <col min="8190" max="8190" width="35.59765625" style="59" customWidth="1"/>
    <col min="8191" max="8191" width="14.8984375" style="59" bestFit="1" customWidth="1"/>
    <col min="8192" max="8192" width="14.8984375" style="59" customWidth="1"/>
    <col min="8193" max="8193" width="12.59765625" style="59" customWidth="1"/>
    <col min="8194" max="8194" width="53.8984375" style="59" customWidth="1"/>
    <col min="8195" max="8195" width="15.59765625" style="59" customWidth="1"/>
    <col min="8196" max="8208" width="8.59765625" style="59"/>
    <col min="8209" max="8209" width="13.8984375" style="59" customWidth="1"/>
    <col min="8210" max="8210" width="50.5" style="59" bestFit="1" customWidth="1"/>
    <col min="8211" max="8211" width="14.8984375" style="59" bestFit="1" customWidth="1"/>
    <col min="8212" max="8438" width="8.59765625" style="59"/>
    <col min="8439" max="8439" width="23.8984375" style="59" bestFit="1" customWidth="1"/>
    <col min="8440" max="8440" width="13.59765625" style="59" customWidth="1"/>
    <col min="8441" max="8441" width="12.59765625" style="59" customWidth="1"/>
    <col min="8442" max="8442" width="13.09765625" style="59" customWidth="1"/>
    <col min="8443" max="8443" width="43.59765625" style="59" bestFit="1" customWidth="1"/>
    <col min="8444" max="8444" width="44.5" style="59" bestFit="1" customWidth="1"/>
    <col min="8445" max="8445" width="44.5" style="59" customWidth="1"/>
    <col min="8446" max="8446" width="35.59765625" style="59" customWidth="1"/>
    <col min="8447" max="8447" width="14.8984375" style="59" bestFit="1" customWidth="1"/>
    <col min="8448" max="8448" width="14.8984375" style="59" customWidth="1"/>
    <col min="8449" max="8449" width="12.59765625" style="59" customWidth="1"/>
    <col min="8450" max="8450" width="53.8984375" style="59" customWidth="1"/>
    <col min="8451" max="8451" width="15.59765625" style="59" customWidth="1"/>
    <col min="8452" max="8464" width="8.59765625" style="59"/>
    <col min="8465" max="8465" width="13.8984375" style="59" customWidth="1"/>
    <col min="8466" max="8466" width="50.5" style="59" bestFit="1" customWidth="1"/>
    <col min="8467" max="8467" width="14.8984375" style="59" bestFit="1" customWidth="1"/>
    <col min="8468" max="8694" width="8.59765625" style="59"/>
    <col min="8695" max="8695" width="23.8984375" style="59" bestFit="1" customWidth="1"/>
    <col min="8696" max="8696" width="13.59765625" style="59" customWidth="1"/>
    <col min="8697" max="8697" width="12.59765625" style="59" customWidth="1"/>
    <col min="8698" max="8698" width="13.09765625" style="59" customWidth="1"/>
    <col min="8699" max="8699" width="43.59765625" style="59" bestFit="1" customWidth="1"/>
    <col min="8700" max="8700" width="44.5" style="59" bestFit="1" customWidth="1"/>
    <col min="8701" max="8701" width="44.5" style="59" customWidth="1"/>
    <col min="8702" max="8702" width="35.59765625" style="59" customWidth="1"/>
    <col min="8703" max="8703" width="14.8984375" style="59" bestFit="1" customWidth="1"/>
    <col min="8704" max="8704" width="14.8984375" style="59" customWidth="1"/>
    <col min="8705" max="8705" width="12.59765625" style="59" customWidth="1"/>
    <col min="8706" max="8706" width="53.8984375" style="59" customWidth="1"/>
    <col min="8707" max="8707" width="15.59765625" style="59" customWidth="1"/>
    <col min="8708" max="8720" width="8.59765625" style="59"/>
    <col min="8721" max="8721" width="13.8984375" style="59" customWidth="1"/>
    <col min="8722" max="8722" width="50.5" style="59" bestFit="1" customWidth="1"/>
    <col min="8723" max="8723" width="14.8984375" style="59" bestFit="1" customWidth="1"/>
    <col min="8724" max="8950" width="8.59765625" style="59"/>
    <col min="8951" max="8951" width="23.8984375" style="59" bestFit="1" customWidth="1"/>
    <col min="8952" max="8952" width="13.59765625" style="59" customWidth="1"/>
    <col min="8953" max="8953" width="12.59765625" style="59" customWidth="1"/>
    <col min="8954" max="8954" width="13.09765625" style="59" customWidth="1"/>
    <col min="8955" max="8955" width="43.59765625" style="59" bestFit="1" customWidth="1"/>
    <col min="8956" max="8956" width="44.5" style="59" bestFit="1" customWidth="1"/>
    <col min="8957" max="8957" width="44.5" style="59" customWidth="1"/>
    <col min="8958" max="8958" width="35.59765625" style="59" customWidth="1"/>
    <col min="8959" max="8959" width="14.8984375" style="59" bestFit="1" customWidth="1"/>
    <col min="8960" max="8960" width="14.8984375" style="59" customWidth="1"/>
    <col min="8961" max="8961" width="12.59765625" style="59" customWidth="1"/>
    <col min="8962" max="8962" width="53.8984375" style="59" customWidth="1"/>
    <col min="8963" max="8963" width="15.59765625" style="59" customWidth="1"/>
    <col min="8964" max="8976" width="8.59765625" style="59"/>
    <col min="8977" max="8977" width="13.8984375" style="59" customWidth="1"/>
    <col min="8978" max="8978" width="50.5" style="59" bestFit="1" customWidth="1"/>
    <col min="8979" max="8979" width="14.8984375" style="59" bestFit="1" customWidth="1"/>
    <col min="8980" max="9206" width="8.59765625" style="59"/>
    <col min="9207" max="9207" width="23.8984375" style="59" bestFit="1" customWidth="1"/>
    <col min="9208" max="9208" width="13.59765625" style="59" customWidth="1"/>
    <col min="9209" max="9209" width="12.59765625" style="59" customWidth="1"/>
    <col min="9210" max="9210" width="13.09765625" style="59" customWidth="1"/>
    <col min="9211" max="9211" width="43.59765625" style="59" bestFit="1" customWidth="1"/>
    <col min="9212" max="9212" width="44.5" style="59" bestFit="1" customWidth="1"/>
    <col min="9213" max="9213" width="44.5" style="59" customWidth="1"/>
    <col min="9214" max="9214" width="35.59765625" style="59" customWidth="1"/>
    <col min="9215" max="9215" width="14.8984375" style="59" bestFit="1" customWidth="1"/>
    <col min="9216" max="9216" width="14.8984375" style="59" customWidth="1"/>
    <col min="9217" max="9217" width="12.59765625" style="59" customWidth="1"/>
    <col min="9218" max="9218" width="53.8984375" style="59" customWidth="1"/>
    <col min="9219" max="9219" width="15.59765625" style="59" customWidth="1"/>
    <col min="9220" max="9232" width="8.59765625" style="59"/>
    <col min="9233" max="9233" width="13.8984375" style="59" customWidth="1"/>
    <col min="9234" max="9234" width="50.5" style="59" bestFit="1" customWidth="1"/>
    <col min="9235" max="9235" width="14.8984375" style="59" bestFit="1" customWidth="1"/>
    <col min="9236" max="9462" width="8.59765625" style="59"/>
    <col min="9463" max="9463" width="23.8984375" style="59" bestFit="1" customWidth="1"/>
    <col min="9464" max="9464" width="13.59765625" style="59" customWidth="1"/>
    <col min="9465" max="9465" width="12.59765625" style="59" customWidth="1"/>
    <col min="9466" max="9466" width="13.09765625" style="59" customWidth="1"/>
    <col min="9467" max="9467" width="43.59765625" style="59" bestFit="1" customWidth="1"/>
    <col min="9468" max="9468" width="44.5" style="59" bestFit="1" customWidth="1"/>
    <col min="9469" max="9469" width="44.5" style="59" customWidth="1"/>
    <col min="9470" max="9470" width="35.59765625" style="59" customWidth="1"/>
    <col min="9471" max="9471" width="14.8984375" style="59" bestFit="1" customWidth="1"/>
    <col min="9472" max="9472" width="14.8984375" style="59" customWidth="1"/>
    <col min="9473" max="9473" width="12.59765625" style="59" customWidth="1"/>
    <col min="9474" max="9474" width="53.8984375" style="59" customWidth="1"/>
    <col min="9475" max="9475" width="15.59765625" style="59" customWidth="1"/>
    <col min="9476" max="9488" width="8.59765625" style="59"/>
    <col min="9489" max="9489" width="13.8984375" style="59" customWidth="1"/>
    <col min="9490" max="9490" width="50.5" style="59" bestFit="1" customWidth="1"/>
    <col min="9491" max="9491" width="14.8984375" style="59" bestFit="1" customWidth="1"/>
    <col min="9492" max="9718" width="8.59765625" style="59"/>
    <col min="9719" max="9719" width="23.8984375" style="59" bestFit="1" customWidth="1"/>
    <col min="9720" max="9720" width="13.59765625" style="59" customWidth="1"/>
    <col min="9721" max="9721" width="12.59765625" style="59" customWidth="1"/>
    <col min="9722" max="9722" width="13.09765625" style="59" customWidth="1"/>
    <col min="9723" max="9723" width="43.59765625" style="59" bestFit="1" customWidth="1"/>
    <col min="9724" max="9724" width="44.5" style="59" bestFit="1" customWidth="1"/>
    <col min="9725" max="9725" width="44.5" style="59" customWidth="1"/>
    <col min="9726" max="9726" width="35.59765625" style="59" customWidth="1"/>
    <col min="9727" max="9727" width="14.8984375" style="59" bestFit="1" customWidth="1"/>
    <col min="9728" max="9728" width="14.8984375" style="59" customWidth="1"/>
    <col min="9729" max="9729" width="12.59765625" style="59" customWidth="1"/>
    <col min="9730" max="9730" width="53.8984375" style="59" customWidth="1"/>
    <col min="9731" max="9731" width="15.59765625" style="59" customWidth="1"/>
    <col min="9732" max="9744" width="8.59765625" style="59"/>
    <col min="9745" max="9745" width="13.8984375" style="59" customWidth="1"/>
    <col min="9746" max="9746" width="50.5" style="59" bestFit="1" customWidth="1"/>
    <col min="9747" max="9747" width="14.8984375" style="59" bestFit="1" customWidth="1"/>
    <col min="9748" max="9974" width="8.59765625" style="59"/>
    <col min="9975" max="9975" width="23.8984375" style="59" bestFit="1" customWidth="1"/>
    <col min="9976" max="9976" width="13.59765625" style="59" customWidth="1"/>
    <col min="9977" max="9977" width="12.59765625" style="59" customWidth="1"/>
    <col min="9978" max="9978" width="13.09765625" style="59" customWidth="1"/>
    <col min="9979" max="9979" width="43.59765625" style="59" bestFit="1" customWidth="1"/>
    <col min="9980" max="9980" width="44.5" style="59" bestFit="1" customWidth="1"/>
    <col min="9981" max="9981" width="44.5" style="59" customWidth="1"/>
    <col min="9982" max="9982" width="35.59765625" style="59" customWidth="1"/>
    <col min="9983" max="9983" width="14.8984375" style="59" bestFit="1" customWidth="1"/>
    <col min="9984" max="9984" width="14.8984375" style="59" customWidth="1"/>
    <col min="9985" max="9985" width="12.59765625" style="59" customWidth="1"/>
    <col min="9986" max="9986" width="53.8984375" style="59" customWidth="1"/>
    <col min="9987" max="9987" width="15.59765625" style="59" customWidth="1"/>
    <col min="9988" max="10000" width="8.59765625" style="59"/>
    <col min="10001" max="10001" width="13.8984375" style="59" customWidth="1"/>
    <col min="10002" max="10002" width="50.5" style="59" bestFit="1" customWidth="1"/>
    <col min="10003" max="10003" width="14.8984375" style="59" bestFit="1" customWidth="1"/>
    <col min="10004" max="10230" width="8.59765625" style="59"/>
    <col min="10231" max="10231" width="23.8984375" style="59" bestFit="1" customWidth="1"/>
    <col min="10232" max="10232" width="13.59765625" style="59" customWidth="1"/>
    <col min="10233" max="10233" width="12.59765625" style="59" customWidth="1"/>
    <col min="10234" max="10234" width="13.09765625" style="59" customWidth="1"/>
    <col min="10235" max="10235" width="43.59765625" style="59" bestFit="1" customWidth="1"/>
    <col min="10236" max="10236" width="44.5" style="59" bestFit="1" customWidth="1"/>
    <col min="10237" max="10237" width="44.5" style="59" customWidth="1"/>
    <col min="10238" max="10238" width="35.59765625" style="59" customWidth="1"/>
    <col min="10239" max="10239" width="14.8984375" style="59" bestFit="1" customWidth="1"/>
    <col min="10240" max="10240" width="14.8984375" style="59" customWidth="1"/>
    <col min="10241" max="10241" width="12.59765625" style="59" customWidth="1"/>
    <col min="10242" max="10242" width="53.8984375" style="59" customWidth="1"/>
    <col min="10243" max="10243" width="15.59765625" style="59" customWidth="1"/>
    <col min="10244" max="10256" width="8.59765625" style="59"/>
    <col min="10257" max="10257" width="13.8984375" style="59" customWidth="1"/>
    <col min="10258" max="10258" width="50.5" style="59" bestFit="1" customWidth="1"/>
    <col min="10259" max="10259" width="14.8984375" style="59" bestFit="1" customWidth="1"/>
    <col min="10260" max="10486" width="8.59765625" style="59"/>
    <col min="10487" max="10487" width="23.8984375" style="59" bestFit="1" customWidth="1"/>
    <col min="10488" max="10488" width="13.59765625" style="59" customWidth="1"/>
    <col min="10489" max="10489" width="12.59765625" style="59" customWidth="1"/>
    <col min="10490" max="10490" width="13.09765625" style="59" customWidth="1"/>
    <col min="10491" max="10491" width="43.59765625" style="59" bestFit="1" customWidth="1"/>
    <col min="10492" max="10492" width="44.5" style="59" bestFit="1" customWidth="1"/>
    <col min="10493" max="10493" width="44.5" style="59" customWidth="1"/>
    <col min="10494" max="10494" width="35.59765625" style="59" customWidth="1"/>
    <col min="10495" max="10495" width="14.8984375" style="59" bestFit="1" customWidth="1"/>
    <col min="10496" max="10496" width="14.8984375" style="59" customWidth="1"/>
    <col min="10497" max="10497" width="12.59765625" style="59" customWidth="1"/>
    <col min="10498" max="10498" width="53.8984375" style="59" customWidth="1"/>
    <col min="10499" max="10499" width="15.59765625" style="59" customWidth="1"/>
    <col min="10500" max="10512" width="8.59765625" style="59"/>
    <col min="10513" max="10513" width="13.8984375" style="59" customWidth="1"/>
    <col min="10514" max="10514" width="50.5" style="59" bestFit="1" customWidth="1"/>
    <col min="10515" max="10515" width="14.8984375" style="59" bestFit="1" customWidth="1"/>
    <col min="10516" max="10742" width="8.59765625" style="59"/>
    <col min="10743" max="10743" width="23.8984375" style="59" bestFit="1" customWidth="1"/>
    <col min="10744" max="10744" width="13.59765625" style="59" customWidth="1"/>
    <col min="10745" max="10745" width="12.59765625" style="59" customWidth="1"/>
    <col min="10746" max="10746" width="13.09765625" style="59" customWidth="1"/>
    <col min="10747" max="10747" width="43.59765625" style="59" bestFit="1" customWidth="1"/>
    <col min="10748" max="10748" width="44.5" style="59" bestFit="1" customWidth="1"/>
    <col min="10749" max="10749" width="44.5" style="59" customWidth="1"/>
    <col min="10750" max="10750" width="35.59765625" style="59" customWidth="1"/>
    <col min="10751" max="10751" width="14.8984375" style="59" bestFit="1" customWidth="1"/>
    <col min="10752" max="10752" width="14.8984375" style="59" customWidth="1"/>
    <col min="10753" max="10753" width="12.59765625" style="59" customWidth="1"/>
    <col min="10754" max="10754" width="53.8984375" style="59" customWidth="1"/>
    <col min="10755" max="10755" width="15.59765625" style="59" customWidth="1"/>
    <col min="10756" max="10768" width="8.59765625" style="59"/>
    <col min="10769" max="10769" width="13.8984375" style="59" customWidth="1"/>
    <col min="10770" max="10770" width="50.5" style="59" bestFit="1" customWidth="1"/>
    <col min="10771" max="10771" width="14.8984375" style="59" bestFit="1" customWidth="1"/>
    <col min="10772" max="10998" width="8.59765625" style="59"/>
    <col min="10999" max="10999" width="23.8984375" style="59" bestFit="1" customWidth="1"/>
    <col min="11000" max="11000" width="13.59765625" style="59" customWidth="1"/>
    <col min="11001" max="11001" width="12.59765625" style="59" customWidth="1"/>
    <col min="11002" max="11002" width="13.09765625" style="59" customWidth="1"/>
    <col min="11003" max="11003" width="43.59765625" style="59" bestFit="1" customWidth="1"/>
    <col min="11004" max="11004" width="44.5" style="59" bestFit="1" customWidth="1"/>
    <col min="11005" max="11005" width="44.5" style="59" customWidth="1"/>
    <col min="11006" max="11006" width="35.59765625" style="59" customWidth="1"/>
    <col min="11007" max="11007" width="14.8984375" style="59" bestFit="1" customWidth="1"/>
    <col min="11008" max="11008" width="14.8984375" style="59" customWidth="1"/>
    <col min="11009" max="11009" width="12.59765625" style="59" customWidth="1"/>
    <col min="11010" max="11010" width="53.8984375" style="59" customWidth="1"/>
    <col min="11011" max="11011" width="15.59765625" style="59" customWidth="1"/>
    <col min="11012" max="11024" width="8.59765625" style="59"/>
    <col min="11025" max="11025" width="13.8984375" style="59" customWidth="1"/>
    <col min="11026" max="11026" width="50.5" style="59" bestFit="1" customWidth="1"/>
    <col min="11027" max="11027" width="14.8984375" style="59" bestFit="1" customWidth="1"/>
    <col min="11028" max="11254" width="8.59765625" style="59"/>
    <col min="11255" max="11255" width="23.8984375" style="59" bestFit="1" customWidth="1"/>
    <col min="11256" max="11256" width="13.59765625" style="59" customWidth="1"/>
    <col min="11257" max="11257" width="12.59765625" style="59" customWidth="1"/>
    <col min="11258" max="11258" width="13.09765625" style="59" customWidth="1"/>
    <col min="11259" max="11259" width="43.59765625" style="59" bestFit="1" customWidth="1"/>
    <col min="11260" max="11260" width="44.5" style="59" bestFit="1" customWidth="1"/>
    <col min="11261" max="11261" width="44.5" style="59" customWidth="1"/>
    <col min="11262" max="11262" width="35.59765625" style="59" customWidth="1"/>
    <col min="11263" max="11263" width="14.8984375" style="59" bestFit="1" customWidth="1"/>
    <col min="11264" max="11264" width="14.8984375" style="59" customWidth="1"/>
    <col min="11265" max="11265" width="12.59765625" style="59" customWidth="1"/>
    <col min="11266" max="11266" width="53.8984375" style="59" customWidth="1"/>
    <col min="11267" max="11267" width="15.59765625" style="59" customWidth="1"/>
    <col min="11268" max="11280" width="8.59765625" style="59"/>
    <col min="11281" max="11281" width="13.8984375" style="59" customWidth="1"/>
    <col min="11282" max="11282" width="50.5" style="59" bestFit="1" customWidth="1"/>
    <col min="11283" max="11283" width="14.8984375" style="59" bestFit="1" customWidth="1"/>
    <col min="11284" max="11510" width="8.59765625" style="59"/>
    <col min="11511" max="11511" width="23.8984375" style="59" bestFit="1" customWidth="1"/>
    <col min="11512" max="11512" width="13.59765625" style="59" customWidth="1"/>
    <col min="11513" max="11513" width="12.59765625" style="59" customWidth="1"/>
    <col min="11514" max="11514" width="13.09765625" style="59" customWidth="1"/>
    <col min="11515" max="11515" width="43.59765625" style="59" bestFit="1" customWidth="1"/>
    <col min="11516" max="11516" width="44.5" style="59" bestFit="1" customWidth="1"/>
    <col min="11517" max="11517" width="44.5" style="59" customWidth="1"/>
    <col min="11518" max="11518" width="35.59765625" style="59" customWidth="1"/>
    <col min="11519" max="11519" width="14.8984375" style="59" bestFit="1" customWidth="1"/>
    <col min="11520" max="11520" width="14.8984375" style="59" customWidth="1"/>
    <col min="11521" max="11521" width="12.59765625" style="59" customWidth="1"/>
    <col min="11522" max="11522" width="53.8984375" style="59" customWidth="1"/>
    <col min="11523" max="11523" width="15.59765625" style="59" customWidth="1"/>
    <col min="11524" max="11536" width="8.59765625" style="59"/>
    <col min="11537" max="11537" width="13.8984375" style="59" customWidth="1"/>
    <col min="11538" max="11538" width="50.5" style="59" bestFit="1" customWidth="1"/>
    <col min="11539" max="11539" width="14.8984375" style="59" bestFit="1" customWidth="1"/>
    <col min="11540" max="11766" width="8.59765625" style="59"/>
    <col min="11767" max="11767" width="23.8984375" style="59" bestFit="1" customWidth="1"/>
    <col min="11768" max="11768" width="13.59765625" style="59" customWidth="1"/>
    <col min="11769" max="11769" width="12.59765625" style="59" customWidth="1"/>
    <col min="11770" max="11770" width="13.09765625" style="59" customWidth="1"/>
    <col min="11771" max="11771" width="43.59765625" style="59" bestFit="1" customWidth="1"/>
    <col min="11772" max="11772" width="44.5" style="59" bestFit="1" customWidth="1"/>
    <col min="11773" max="11773" width="44.5" style="59" customWidth="1"/>
    <col min="11774" max="11774" width="35.59765625" style="59" customWidth="1"/>
    <col min="11775" max="11775" width="14.8984375" style="59" bestFit="1" customWidth="1"/>
    <col min="11776" max="11776" width="14.8984375" style="59" customWidth="1"/>
    <col min="11777" max="11777" width="12.59765625" style="59" customWidth="1"/>
    <col min="11778" max="11778" width="53.8984375" style="59" customWidth="1"/>
    <col min="11779" max="11779" width="15.59765625" style="59" customWidth="1"/>
    <col min="11780" max="11792" width="8.59765625" style="59"/>
    <col min="11793" max="11793" width="13.8984375" style="59" customWidth="1"/>
    <col min="11794" max="11794" width="50.5" style="59" bestFit="1" customWidth="1"/>
    <col min="11795" max="11795" width="14.8984375" style="59" bestFit="1" customWidth="1"/>
    <col min="11796" max="12022" width="8.59765625" style="59"/>
    <col min="12023" max="12023" width="23.8984375" style="59" bestFit="1" customWidth="1"/>
    <col min="12024" max="12024" width="13.59765625" style="59" customWidth="1"/>
    <col min="12025" max="12025" width="12.59765625" style="59" customWidth="1"/>
    <col min="12026" max="12026" width="13.09765625" style="59" customWidth="1"/>
    <col min="12027" max="12027" width="43.59765625" style="59" bestFit="1" customWidth="1"/>
    <col min="12028" max="12028" width="44.5" style="59" bestFit="1" customWidth="1"/>
    <col min="12029" max="12029" width="44.5" style="59" customWidth="1"/>
    <col min="12030" max="12030" width="35.59765625" style="59" customWidth="1"/>
    <col min="12031" max="12031" width="14.8984375" style="59" bestFit="1" customWidth="1"/>
    <col min="12032" max="12032" width="14.8984375" style="59" customWidth="1"/>
    <col min="12033" max="12033" width="12.59765625" style="59" customWidth="1"/>
    <col min="12034" max="12034" width="53.8984375" style="59" customWidth="1"/>
    <col min="12035" max="12035" width="15.59765625" style="59" customWidth="1"/>
    <col min="12036" max="12048" width="8.59765625" style="59"/>
    <col min="12049" max="12049" width="13.8984375" style="59" customWidth="1"/>
    <col min="12050" max="12050" width="50.5" style="59" bestFit="1" customWidth="1"/>
    <col min="12051" max="12051" width="14.8984375" style="59" bestFit="1" customWidth="1"/>
    <col min="12052" max="12278" width="8.59765625" style="59"/>
    <col min="12279" max="12279" width="23.8984375" style="59" bestFit="1" customWidth="1"/>
    <col min="12280" max="12280" width="13.59765625" style="59" customWidth="1"/>
    <col min="12281" max="12281" width="12.59765625" style="59" customWidth="1"/>
    <col min="12282" max="12282" width="13.09765625" style="59" customWidth="1"/>
    <col min="12283" max="12283" width="43.59765625" style="59" bestFit="1" customWidth="1"/>
    <col min="12284" max="12284" width="44.5" style="59" bestFit="1" customWidth="1"/>
    <col min="12285" max="12285" width="44.5" style="59" customWidth="1"/>
    <col min="12286" max="12286" width="35.59765625" style="59" customWidth="1"/>
    <col min="12287" max="12287" width="14.8984375" style="59" bestFit="1" customWidth="1"/>
    <col min="12288" max="12288" width="14.8984375" style="59" customWidth="1"/>
    <col min="12289" max="12289" width="12.59765625" style="59" customWidth="1"/>
    <col min="12290" max="12290" width="53.8984375" style="59" customWidth="1"/>
    <col min="12291" max="12291" width="15.59765625" style="59" customWidth="1"/>
    <col min="12292" max="12304" width="8.59765625" style="59"/>
    <col min="12305" max="12305" width="13.8984375" style="59" customWidth="1"/>
    <col min="12306" max="12306" width="50.5" style="59" bestFit="1" customWidth="1"/>
    <col min="12307" max="12307" width="14.8984375" style="59" bestFit="1" customWidth="1"/>
    <col min="12308" max="12534" width="8.59765625" style="59"/>
    <col min="12535" max="12535" width="23.8984375" style="59" bestFit="1" customWidth="1"/>
    <col min="12536" max="12536" width="13.59765625" style="59" customWidth="1"/>
    <col min="12537" max="12537" width="12.59765625" style="59" customWidth="1"/>
    <col min="12538" max="12538" width="13.09765625" style="59" customWidth="1"/>
    <col min="12539" max="12539" width="43.59765625" style="59" bestFit="1" customWidth="1"/>
    <col min="12540" max="12540" width="44.5" style="59" bestFit="1" customWidth="1"/>
    <col min="12541" max="12541" width="44.5" style="59" customWidth="1"/>
    <col min="12542" max="12542" width="35.59765625" style="59" customWidth="1"/>
    <col min="12543" max="12543" width="14.8984375" style="59" bestFit="1" customWidth="1"/>
    <col min="12544" max="12544" width="14.8984375" style="59" customWidth="1"/>
    <col min="12545" max="12545" width="12.59765625" style="59" customWidth="1"/>
    <col min="12546" max="12546" width="53.8984375" style="59" customWidth="1"/>
    <col min="12547" max="12547" width="15.59765625" style="59" customWidth="1"/>
    <col min="12548" max="12560" width="8.59765625" style="59"/>
    <col min="12561" max="12561" width="13.8984375" style="59" customWidth="1"/>
    <col min="12562" max="12562" width="50.5" style="59" bestFit="1" customWidth="1"/>
    <col min="12563" max="12563" width="14.8984375" style="59" bestFit="1" customWidth="1"/>
    <col min="12564" max="12790" width="8.59765625" style="59"/>
    <col min="12791" max="12791" width="23.8984375" style="59" bestFit="1" customWidth="1"/>
    <col min="12792" max="12792" width="13.59765625" style="59" customWidth="1"/>
    <col min="12793" max="12793" width="12.59765625" style="59" customWidth="1"/>
    <col min="12794" max="12794" width="13.09765625" style="59" customWidth="1"/>
    <col min="12795" max="12795" width="43.59765625" style="59" bestFit="1" customWidth="1"/>
    <col min="12796" max="12796" width="44.5" style="59" bestFit="1" customWidth="1"/>
    <col min="12797" max="12797" width="44.5" style="59" customWidth="1"/>
    <col min="12798" max="12798" width="35.59765625" style="59" customWidth="1"/>
    <col min="12799" max="12799" width="14.8984375" style="59" bestFit="1" customWidth="1"/>
    <col min="12800" max="12800" width="14.8984375" style="59" customWidth="1"/>
    <col min="12801" max="12801" width="12.59765625" style="59" customWidth="1"/>
    <col min="12802" max="12802" width="53.8984375" style="59" customWidth="1"/>
    <col min="12803" max="12803" width="15.59765625" style="59" customWidth="1"/>
    <col min="12804" max="12816" width="8.59765625" style="59"/>
    <col min="12817" max="12817" width="13.8984375" style="59" customWidth="1"/>
    <col min="12818" max="12818" width="50.5" style="59" bestFit="1" customWidth="1"/>
    <col min="12819" max="12819" width="14.8984375" style="59" bestFit="1" customWidth="1"/>
    <col min="12820" max="13046" width="8.59765625" style="59"/>
    <col min="13047" max="13047" width="23.8984375" style="59" bestFit="1" customWidth="1"/>
    <col min="13048" max="13048" width="13.59765625" style="59" customWidth="1"/>
    <col min="13049" max="13049" width="12.59765625" style="59" customWidth="1"/>
    <col min="13050" max="13050" width="13.09765625" style="59" customWidth="1"/>
    <col min="13051" max="13051" width="43.59765625" style="59" bestFit="1" customWidth="1"/>
    <col min="13052" max="13052" width="44.5" style="59" bestFit="1" customWidth="1"/>
    <col min="13053" max="13053" width="44.5" style="59" customWidth="1"/>
    <col min="13054" max="13054" width="35.59765625" style="59" customWidth="1"/>
    <col min="13055" max="13055" width="14.8984375" style="59" bestFit="1" customWidth="1"/>
    <col min="13056" max="13056" width="14.8984375" style="59" customWidth="1"/>
    <col min="13057" max="13057" width="12.59765625" style="59" customWidth="1"/>
    <col min="13058" max="13058" width="53.8984375" style="59" customWidth="1"/>
    <col min="13059" max="13059" width="15.59765625" style="59" customWidth="1"/>
    <col min="13060" max="13072" width="8.59765625" style="59"/>
    <col min="13073" max="13073" width="13.8984375" style="59" customWidth="1"/>
    <col min="13074" max="13074" width="50.5" style="59" bestFit="1" customWidth="1"/>
    <col min="13075" max="13075" width="14.8984375" style="59" bestFit="1" customWidth="1"/>
    <col min="13076" max="13302" width="8.59765625" style="59"/>
    <col min="13303" max="13303" width="23.8984375" style="59" bestFit="1" customWidth="1"/>
    <col min="13304" max="13304" width="13.59765625" style="59" customWidth="1"/>
    <col min="13305" max="13305" width="12.59765625" style="59" customWidth="1"/>
    <col min="13306" max="13306" width="13.09765625" style="59" customWidth="1"/>
    <col min="13307" max="13307" width="43.59765625" style="59" bestFit="1" customWidth="1"/>
    <col min="13308" max="13308" width="44.5" style="59" bestFit="1" customWidth="1"/>
    <col min="13309" max="13309" width="44.5" style="59" customWidth="1"/>
    <col min="13310" max="13310" width="35.59765625" style="59" customWidth="1"/>
    <col min="13311" max="13311" width="14.8984375" style="59" bestFit="1" customWidth="1"/>
    <col min="13312" max="13312" width="14.8984375" style="59" customWidth="1"/>
    <col min="13313" max="13313" width="12.59765625" style="59" customWidth="1"/>
    <col min="13314" max="13314" width="53.8984375" style="59" customWidth="1"/>
    <col min="13315" max="13315" width="15.59765625" style="59" customWidth="1"/>
    <col min="13316" max="13328" width="8.59765625" style="59"/>
    <col min="13329" max="13329" width="13.8984375" style="59" customWidth="1"/>
    <col min="13330" max="13330" width="50.5" style="59" bestFit="1" customWidth="1"/>
    <col min="13331" max="13331" width="14.8984375" style="59" bestFit="1" customWidth="1"/>
    <col min="13332" max="13558" width="8.59765625" style="59"/>
    <col min="13559" max="13559" width="23.8984375" style="59" bestFit="1" customWidth="1"/>
    <col min="13560" max="13560" width="13.59765625" style="59" customWidth="1"/>
    <col min="13561" max="13561" width="12.59765625" style="59" customWidth="1"/>
    <col min="13562" max="13562" width="13.09765625" style="59" customWidth="1"/>
    <col min="13563" max="13563" width="43.59765625" style="59" bestFit="1" customWidth="1"/>
    <col min="13564" max="13564" width="44.5" style="59" bestFit="1" customWidth="1"/>
    <col min="13565" max="13565" width="44.5" style="59" customWidth="1"/>
    <col min="13566" max="13566" width="35.59765625" style="59" customWidth="1"/>
    <col min="13567" max="13567" width="14.8984375" style="59" bestFit="1" customWidth="1"/>
    <col min="13568" max="13568" width="14.8984375" style="59" customWidth="1"/>
    <col min="13569" max="13569" width="12.59765625" style="59" customWidth="1"/>
    <col min="13570" max="13570" width="53.8984375" style="59" customWidth="1"/>
    <col min="13571" max="13571" width="15.59765625" style="59" customWidth="1"/>
    <col min="13572" max="13584" width="8.59765625" style="59"/>
    <col min="13585" max="13585" width="13.8984375" style="59" customWidth="1"/>
    <col min="13586" max="13586" width="50.5" style="59" bestFit="1" customWidth="1"/>
    <col min="13587" max="13587" width="14.8984375" style="59" bestFit="1" customWidth="1"/>
    <col min="13588" max="13814" width="8.59765625" style="59"/>
    <col min="13815" max="13815" width="23.8984375" style="59" bestFit="1" customWidth="1"/>
    <col min="13816" max="13816" width="13.59765625" style="59" customWidth="1"/>
    <col min="13817" max="13817" width="12.59765625" style="59" customWidth="1"/>
    <col min="13818" max="13818" width="13.09765625" style="59" customWidth="1"/>
    <col min="13819" max="13819" width="43.59765625" style="59" bestFit="1" customWidth="1"/>
    <col min="13820" max="13820" width="44.5" style="59" bestFit="1" customWidth="1"/>
    <col min="13821" max="13821" width="44.5" style="59" customWidth="1"/>
    <col min="13822" max="13822" width="35.59765625" style="59" customWidth="1"/>
    <col min="13823" max="13823" width="14.8984375" style="59" bestFit="1" customWidth="1"/>
    <col min="13824" max="13824" width="14.8984375" style="59" customWidth="1"/>
    <col min="13825" max="13825" width="12.59765625" style="59" customWidth="1"/>
    <col min="13826" max="13826" width="53.8984375" style="59" customWidth="1"/>
    <col min="13827" max="13827" width="15.59765625" style="59" customWidth="1"/>
    <col min="13828" max="13840" width="8.59765625" style="59"/>
    <col min="13841" max="13841" width="13.8984375" style="59" customWidth="1"/>
    <col min="13842" max="13842" width="50.5" style="59" bestFit="1" customWidth="1"/>
    <col min="13843" max="13843" width="14.8984375" style="59" bestFit="1" customWidth="1"/>
    <col min="13844" max="14070" width="8.59765625" style="59"/>
    <col min="14071" max="14071" width="23.8984375" style="59" bestFit="1" customWidth="1"/>
    <col min="14072" max="14072" width="13.59765625" style="59" customWidth="1"/>
    <col min="14073" max="14073" width="12.59765625" style="59" customWidth="1"/>
    <col min="14074" max="14074" width="13.09765625" style="59" customWidth="1"/>
    <col min="14075" max="14075" width="43.59765625" style="59" bestFit="1" customWidth="1"/>
    <col min="14076" max="14076" width="44.5" style="59" bestFit="1" customWidth="1"/>
    <col min="14077" max="14077" width="44.5" style="59" customWidth="1"/>
    <col min="14078" max="14078" width="35.59765625" style="59" customWidth="1"/>
    <col min="14079" max="14079" width="14.8984375" style="59" bestFit="1" customWidth="1"/>
    <col min="14080" max="14080" width="14.8984375" style="59" customWidth="1"/>
    <col min="14081" max="14081" width="12.59765625" style="59" customWidth="1"/>
    <col min="14082" max="14082" width="53.8984375" style="59" customWidth="1"/>
    <col min="14083" max="14083" width="15.59765625" style="59" customWidth="1"/>
    <col min="14084" max="14096" width="8.59765625" style="59"/>
    <col min="14097" max="14097" width="13.8984375" style="59" customWidth="1"/>
    <col min="14098" max="14098" width="50.5" style="59" bestFit="1" customWidth="1"/>
    <col min="14099" max="14099" width="14.8984375" style="59" bestFit="1" customWidth="1"/>
    <col min="14100" max="14326" width="8.59765625" style="59"/>
    <col min="14327" max="14327" width="23.8984375" style="59" bestFit="1" customWidth="1"/>
    <col min="14328" max="14328" width="13.59765625" style="59" customWidth="1"/>
    <col min="14329" max="14329" width="12.59765625" style="59" customWidth="1"/>
    <col min="14330" max="14330" width="13.09765625" style="59" customWidth="1"/>
    <col min="14331" max="14331" width="43.59765625" style="59" bestFit="1" customWidth="1"/>
    <col min="14332" max="14332" width="44.5" style="59" bestFit="1" customWidth="1"/>
    <col min="14333" max="14333" width="44.5" style="59" customWidth="1"/>
    <col min="14334" max="14334" width="35.59765625" style="59" customWidth="1"/>
    <col min="14335" max="14335" width="14.8984375" style="59" bestFit="1" customWidth="1"/>
    <col min="14336" max="14336" width="14.8984375" style="59" customWidth="1"/>
    <col min="14337" max="14337" width="12.59765625" style="59" customWidth="1"/>
    <col min="14338" max="14338" width="53.8984375" style="59" customWidth="1"/>
    <col min="14339" max="14339" width="15.59765625" style="59" customWidth="1"/>
    <col min="14340" max="14352" width="8.59765625" style="59"/>
    <col min="14353" max="14353" width="13.8984375" style="59" customWidth="1"/>
    <col min="14354" max="14354" width="50.5" style="59" bestFit="1" customWidth="1"/>
    <col min="14355" max="14355" width="14.8984375" style="59" bestFit="1" customWidth="1"/>
    <col min="14356" max="14582" width="8.59765625" style="59"/>
    <col min="14583" max="14583" width="23.8984375" style="59" bestFit="1" customWidth="1"/>
    <col min="14584" max="14584" width="13.59765625" style="59" customWidth="1"/>
    <col min="14585" max="14585" width="12.59765625" style="59" customWidth="1"/>
    <col min="14586" max="14586" width="13.09765625" style="59" customWidth="1"/>
    <col min="14587" max="14587" width="43.59765625" style="59" bestFit="1" customWidth="1"/>
    <col min="14588" max="14588" width="44.5" style="59" bestFit="1" customWidth="1"/>
    <col min="14589" max="14589" width="44.5" style="59" customWidth="1"/>
    <col min="14590" max="14590" width="35.59765625" style="59" customWidth="1"/>
    <col min="14591" max="14591" width="14.8984375" style="59" bestFit="1" customWidth="1"/>
    <col min="14592" max="14592" width="14.8984375" style="59" customWidth="1"/>
    <col min="14593" max="14593" width="12.59765625" style="59" customWidth="1"/>
    <col min="14594" max="14594" width="53.8984375" style="59" customWidth="1"/>
    <col min="14595" max="14595" width="15.59765625" style="59" customWidth="1"/>
    <col min="14596" max="14608" width="8.59765625" style="59"/>
    <col min="14609" max="14609" width="13.8984375" style="59" customWidth="1"/>
    <col min="14610" max="14610" width="50.5" style="59" bestFit="1" customWidth="1"/>
    <col min="14611" max="14611" width="14.8984375" style="59" bestFit="1" customWidth="1"/>
    <col min="14612" max="14838" width="8.59765625" style="59"/>
    <col min="14839" max="14839" width="23.8984375" style="59" bestFit="1" customWidth="1"/>
    <col min="14840" max="14840" width="13.59765625" style="59" customWidth="1"/>
    <col min="14841" max="14841" width="12.59765625" style="59" customWidth="1"/>
    <col min="14842" max="14842" width="13.09765625" style="59" customWidth="1"/>
    <col min="14843" max="14843" width="43.59765625" style="59" bestFit="1" customWidth="1"/>
    <col min="14844" max="14844" width="44.5" style="59" bestFit="1" customWidth="1"/>
    <col min="14845" max="14845" width="44.5" style="59" customWidth="1"/>
    <col min="14846" max="14846" width="35.59765625" style="59" customWidth="1"/>
    <col min="14847" max="14847" width="14.8984375" style="59" bestFit="1" customWidth="1"/>
    <col min="14848" max="14848" width="14.8984375" style="59" customWidth="1"/>
    <col min="14849" max="14849" width="12.59765625" style="59" customWidth="1"/>
    <col min="14850" max="14850" width="53.8984375" style="59" customWidth="1"/>
    <col min="14851" max="14851" width="15.59765625" style="59" customWidth="1"/>
    <col min="14852" max="14864" width="8.59765625" style="59"/>
    <col min="14865" max="14865" width="13.8984375" style="59" customWidth="1"/>
    <col min="14866" max="14866" width="50.5" style="59" bestFit="1" customWidth="1"/>
    <col min="14867" max="14867" width="14.8984375" style="59" bestFit="1" customWidth="1"/>
    <col min="14868" max="15094" width="8.59765625" style="59"/>
    <col min="15095" max="15095" width="23.8984375" style="59" bestFit="1" customWidth="1"/>
    <col min="15096" max="15096" width="13.59765625" style="59" customWidth="1"/>
    <col min="15097" max="15097" width="12.59765625" style="59" customWidth="1"/>
    <col min="15098" max="15098" width="13.09765625" style="59" customWidth="1"/>
    <col min="15099" max="15099" width="43.59765625" style="59" bestFit="1" customWidth="1"/>
    <col min="15100" max="15100" width="44.5" style="59" bestFit="1" customWidth="1"/>
    <col min="15101" max="15101" width="44.5" style="59" customWidth="1"/>
    <col min="15102" max="15102" width="35.59765625" style="59" customWidth="1"/>
    <col min="15103" max="15103" width="14.8984375" style="59" bestFit="1" customWidth="1"/>
    <col min="15104" max="15104" width="14.8984375" style="59" customWidth="1"/>
    <col min="15105" max="15105" width="12.59765625" style="59" customWidth="1"/>
    <col min="15106" max="15106" width="53.8984375" style="59" customWidth="1"/>
    <col min="15107" max="15107" width="15.59765625" style="59" customWidth="1"/>
    <col min="15108" max="15120" width="8.59765625" style="59"/>
    <col min="15121" max="15121" width="13.8984375" style="59" customWidth="1"/>
    <col min="15122" max="15122" width="50.5" style="59" bestFit="1" customWidth="1"/>
    <col min="15123" max="15123" width="14.8984375" style="59" bestFit="1" customWidth="1"/>
    <col min="15124" max="15350" width="8.59765625" style="59"/>
    <col min="15351" max="15351" width="23.8984375" style="59" bestFit="1" customWidth="1"/>
    <col min="15352" max="15352" width="13.59765625" style="59" customWidth="1"/>
    <col min="15353" max="15353" width="12.59765625" style="59" customWidth="1"/>
    <col min="15354" max="15354" width="13.09765625" style="59" customWidth="1"/>
    <col min="15355" max="15355" width="43.59765625" style="59" bestFit="1" customWidth="1"/>
    <col min="15356" max="15356" width="44.5" style="59" bestFit="1" customWidth="1"/>
    <col min="15357" max="15357" width="44.5" style="59" customWidth="1"/>
    <col min="15358" max="15358" width="35.59765625" style="59" customWidth="1"/>
    <col min="15359" max="15359" width="14.8984375" style="59" bestFit="1" customWidth="1"/>
    <col min="15360" max="15360" width="14.8984375" style="59" customWidth="1"/>
    <col min="15361" max="15361" width="12.59765625" style="59" customWidth="1"/>
    <col min="15362" max="15362" width="53.8984375" style="59" customWidth="1"/>
    <col min="15363" max="15363" width="15.59765625" style="59" customWidth="1"/>
    <col min="15364" max="15376" width="8.59765625" style="59"/>
    <col min="15377" max="15377" width="13.8984375" style="59" customWidth="1"/>
    <col min="15378" max="15378" width="50.5" style="59" bestFit="1" customWidth="1"/>
    <col min="15379" max="15379" width="14.8984375" style="59" bestFit="1" customWidth="1"/>
    <col min="15380" max="15606" width="8.59765625" style="59"/>
    <col min="15607" max="15607" width="23.8984375" style="59" bestFit="1" customWidth="1"/>
    <col min="15608" max="15608" width="13.59765625" style="59" customWidth="1"/>
    <col min="15609" max="15609" width="12.59765625" style="59" customWidth="1"/>
    <col min="15610" max="15610" width="13.09765625" style="59" customWidth="1"/>
    <col min="15611" max="15611" width="43.59765625" style="59" bestFit="1" customWidth="1"/>
    <col min="15612" max="15612" width="44.5" style="59" bestFit="1" customWidth="1"/>
    <col min="15613" max="15613" width="44.5" style="59" customWidth="1"/>
    <col min="15614" max="15614" width="35.59765625" style="59" customWidth="1"/>
    <col min="15615" max="15615" width="14.8984375" style="59" bestFit="1" customWidth="1"/>
    <col min="15616" max="15616" width="14.8984375" style="59" customWidth="1"/>
    <col min="15617" max="15617" width="12.59765625" style="59" customWidth="1"/>
    <col min="15618" max="15618" width="53.8984375" style="59" customWidth="1"/>
    <col min="15619" max="15619" width="15.59765625" style="59" customWidth="1"/>
    <col min="15620" max="15632" width="8.59765625" style="59"/>
    <col min="15633" max="15633" width="13.8984375" style="59" customWidth="1"/>
    <col min="15634" max="15634" width="50.5" style="59" bestFit="1" customWidth="1"/>
    <col min="15635" max="15635" width="14.8984375" style="59" bestFit="1" customWidth="1"/>
    <col min="15636" max="15862" width="8.59765625" style="59"/>
    <col min="15863" max="15863" width="23.8984375" style="59" bestFit="1" customWidth="1"/>
    <col min="15864" max="15864" width="13.59765625" style="59" customWidth="1"/>
    <col min="15865" max="15865" width="12.59765625" style="59" customWidth="1"/>
    <col min="15866" max="15866" width="13.09765625" style="59" customWidth="1"/>
    <col min="15867" max="15867" width="43.59765625" style="59" bestFit="1" customWidth="1"/>
    <col min="15868" max="15868" width="44.5" style="59" bestFit="1" customWidth="1"/>
    <col min="15869" max="15869" width="44.5" style="59" customWidth="1"/>
    <col min="15870" max="15870" width="35.59765625" style="59" customWidth="1"/>
    <col min="15871" max="15871" width="14.8984375" style="59" bestFit="1" customWidth="1"/>
    <col min="15872" max="15872" width="14.8984375" style="59" customWidth="1"/>
    <col min="15873" max="15873" width="12.59765625" style="59" customWidth="1"/>
    <col min="15874" max="15874" width="53.8984375" style="59" customWidth="1"/>
    <col min="15875" max="15875" width="15.59765625" style="59" customWidth="1"/>
    <col min="15876" max="15888" width="8.59765625" style="59"/>
    <col min="15889" max="15889" width="13.8984375" style="59" customWidth="1"/>
    <col min="15890" max="15890" width="50.5" style="59" bestFit="1" customWidth="1"/>
    <col min="15891" max="15891" width="14.8984375" style="59" bestFit="1" customWidth="1"/>
    <col min="15892" max="16118" width="8.59765625" style="59"/>
    <col min="16119" max="16119" width="23.8984375" style="59" bestFit="1" customWidth="1"/>
    <col min="16120" max="16120" width="13.59765625" style="59" customWidth="1"/>
    <col min="16121" max="16121" width="12.59765625" style="59" customWidth="1"/>
    <col min="16122" max="16122" width="13.09765625" style="59" customWidth="1"/>
    <col min="16123" max="16123" width="43.59765625" style="59" bestFit="1" customWidth="1"/>
    <col min="16124" max="16124" width="44.5" style="59" bestFit="1" customWidth="1"/>
    <col min="16125" max="16125" width="44.5" style="59" customWidth="1"/>
    <col min="16126" max="16126" width="35.59765625" style="59" customWidth="1"/>
    <col min="16127" max="16127" width="14.8984375" style="59" bestFit="1" customWidth="1"/>
    <col min="16128" max="16128" width="14.8984375" style="59" customWidth="1"/>
    <col min="16129" max="16129" width="12.59765625" style="59" customWidth="1"/>
    <col min="16130" max="16130" width="53.8984375" style="59" customWidth="1"/>
    <col min="16131" max="16131" width="15.59765625" style="59" customWidth="1"/>
    <col min="16132" max="16144" width="8.59765625" style="59"/>
    <col min="16145" max="16145" width="13.8984375" style="59" customWidth="1"/>
    <col min="16146" max="16146" width="50.5" style="59" bestFit="1" customWidth="1"/>
    <col min="16147" max="16147" width="14.8984375" style="59" bestFit="1" customWidth="1"/>
    <col min="16148" max="16384" width="8.59765625" style="59"/>
  </cols>
  <sheetData>
    <row r="1" spans="1:22" ht="19.8">
      <c r="A1" s="239" t="s">
        <v>761</v>
      </c>
      <c r="B1" s="239"/>
      <c r="C1" s="239"/>
      <c r="D1" s="239"/>
      <c r="E1" s="239"/>
      <c r="F1" s="239"/>
      <c r="G1" s="239"/>
    </row>
    <row r="2" spans="1:22" ht="13.8">
      <c r="A2" s="60" t="s">
        <v>762</v>
      </c>
      <c r="B2" s="61">
        <v>45649.404548611114</v>
      </c>
      <c r="C2" s="91" t="s">
        <v>763</v>
      </c>
      <c r="D2" s="62" t="s">
        <v>764</v>
      </c>
      <c r="E2" s="63"/>
      <c r="F2" s="63"/>
      <c r="G2" s="63"/>
    </row>
    <row r="3" spans="1:22" ht="13.8">
      <c r="A3" s="60" t="s">
        <v>765</v>
      </c>
      <c r="B3" s="61">
        <v>45649.405416666668</v>
      </c>
      <c r="C3" s="91" t="s">
        <v>766</v>
      </c>
      <c r="D3" s="62" t="s">
        <v>767</v>
      </c>
      <c r="E3" s="63"/>
      <c r="F3" s="63"/>
      <c r="G3" s="63"/>
    </row>
    <row r="4" spans="1:22" ht="13.8">
      <c r="A4" s="60" t="s">
        <v>768</v>
      </c>
      <c r="B4" s="64">
        <f>B3-B2</f>
        <v>8.6805555474711582E-4</v>
      </c>
      <c r="C4" s="91" t="s">
        <v>769</v>
      </c>
      <c r="D4" s="62" t="s">
        <v>18181</v>
      </c>
      <c r="E4" s="63"/>
      <c r="F4" s="63"/>
      <c r="G4" s="63"/>
    </row>
    <row r="5" spans="1:22" ht="13.8">
      <c r="A5" s="60"/>
      <c r="B5" s="63"/>
      <c r="C5" s="91"/>
      <c r="D5" s="62"/>
      <c r="E5" s="63"/>
      <c r="F5" s="63"/>
      <c r="G5" s="63"/>
    </row>
    <row r="6" spans="1:22" ht="13.8">
      <c r="A6" s="60"/>
      <c r="B6" s="63"/>
      <c r="C6" s="91"/>
      <c r="D6" s="62"/>
      <c r="E6" s="63"/>
      <c r="F6" s="63"/>
      <c r="G6" s="63"/>
    </row>
    <row r="7" spans="1:22">
      <c r="A7" s="60"/>
      <c r="B7" s="63"/>
      <c r="C7" s="63"/>
      <c r="D7" s="63"/>
      <c r="E7" s="63"/>
      <c r="F7" s="63"/>
      <c r="G7" s="63"/>
    </row>
    <row r="8" spans="1:22" ht="38.4" customHeight="1">
      <c r="A8" s="240" t="s">
        <v>770</v>
      </c>
      <c r="B8" s="241"/>
      <c r="C8" s="241"/>
      <c r="D8" s="65" t="s">
        <v>771</v>
      </c>
      <c r="E8" s="66"/>
      <c r="F8" s="242" t="s">
        <v>772</v>
      </c>
      <c r="G8" s="243"/>
      <c r="H8" s="243"/>
      <c r="I8" s="243"/>
      <c r="J8" s="243"/>
      <c r="K8" s="243"/>
    </row>
    <row r="9" spans="1:22" ht="20.100000000000001" customHeight="1">
      <c r="A9" s="244" t="s">
        <v>773</v>
      </c>
      <c r="B9" s="241"/>
      <c r="C9" s="241"/>
      <c r="D9" s="65"/>
      <c r="E9" s="66"/>
      <c r="F9" s="242"/>
      <c r="G9" s="243"/>
      <c r="H9" s="243"/>
      <c r="I9" s="243"/>
      <c r="J9" s="243"/>
      <c r="K9" s="243"/>
    </row>
    <row r="10" spans="1:22" s="72" customFormat="1" ht="24.75" customHeight="1">
      <c r="A10" s="67" t="s">
        <v>774</v>
      </c>
      <c r="B10" s="67" t="s">
        <v>775</v>
      </c>
      <c r="C10" s="67" t="s">
        <v>776</v>
      </c>
      <c r="D10" s="68" t="s">
        <v>777</v>
      </c>
      <c r="E10" s="69"/>
      <c r="F10" s="70" t="s">
        <v>778</v>
      </c>
      <c r="G10" s="71" t="s">
        <v>779</v>
      </c>
      <c r="H10" s="71" t="s">
        <v>779</v>
      </c>
      <c r="I10" s="71" t="s">
        <v>780</v>
      </c>
      <c r="J10" s="71"/>
      <c r="K10" s="69" t="s">
        <v>781</v>
      </c>
      <c r="Q10" s="73"/>
      <c r="R10" s="73"/>
      <c r="S10" s="73"/>
      <c r="T10" s="59"/>
      <c r="U10" s="59"/>
      <c r="V10" s="59"/>
    </row>
    <row r="11" spans="1:22" ht="13.8">
      <c r="A11" s="47">
        <v>1480</v>
      </c>
      <c r="B11" s="92" t="s">
        <v>782</v>
      </c>
      <c r="C11" s="92" t="s">
        <v>783</v>
      </c>
      <c r="D11" s="72" t="str">
        <f>IFERROR(VLOOKUP(A11,'[1]ST-QA-ZZ5'!$C$5:$M$299,11,0),"Inspection at production line")</f>
        <v>Inspection at production line</v>
      </c>
      <c r="F11" s="92" t="s">
        <v>784</v>
      </c>
      <c r="G11" s="92" t="s">
        <v>785</v>
      </c>
      <c r="H11" s="92" t="s">
        <v>786</v>
      </c>
      <c r="I11" s="92" t="s">
        <v>787</v>
      </c>
      <c r="J11" s="92" t="s">
        <v>60</v>
      </c>
      <c r="K11" s="92" t="s">
        <v>788</v>
      </c>
    </row>
    <row r="12" spans="1:22" ht="13.8">
      <c r="A12" s="47">
        <v>249</v>
      </c>
      <c r="B12" s="92" t="s">
        <v>789</v>
      </c>
      <c r="C12" s="92" t="s">
        <v>790</v>
      </c>
      <c r="D12" s="72" t="str">
        <f>IFERROR(VLOOKUP(A12,'[1]ST-QA-ZZ5'!$C$5:$M$299,11,0),"Inspection at production line")</f>
        <v>Inspection at production line</v>
      </c>
      <c r="F12" s="92" t="s">
        <v>791</v>
      </c>
      <c r="G12" s="92" t="s">
        <v>704</v>
      </c>
      <c r="H12" s="92" t="s">
        <v>792</v>
      </c>
      <c r="I12" s="92" t="s">
        <v>787</v>
      </c>
      <c r="J12" s="92" t="s">
        <v>60</v>
      </c>
      <c r="K12" s="92" t="s">
        <v>788</v>
      </c>
    </row>
    <row r="13" spans="1:22" ht="13.8">
      <c r="A13" s="47" t="s">
        <v>793</v>
      </c>
      <c r="B13" s="92" t="s">
        <v>794</v>
      </c>
      <c r="C13" s="92" t="s">
        <v>795</v>
      </c>
      <c r="D13" s="72" t="str">
        <f>IFERROR(VLOOKUP(A13,'[1]ST-QA-ZZ5'!$C$5:$M$299,11,0),"Inspection at production line")</f>
        <v>Inspection at production line</v>
      </c>
      <c r="F13" s="92" t="s">
        <v>796</v>
      </c>
      <c r="G13" s="92" t="s">
        <v>797</v>
      </c>
      <c r="H13" s="92" t="s">
        <v>798</v>
      </c>
      <c r="I13" s="92" t="s">
        <v>799</v>
      </c>
      <c r="J13" s="92" t="s">
        <v>60</v>
      </c>
      <c r="K13" s="92" t="s">
        <v>788</v>
      </c>
    </row>
    <row r="14" spans="1:22" ht="13.8">
      <c r="A14" s="47">
        <v>256</v>
      </c>
      <c r="B14" s="92" t="s">
        <v>704</v>
      </c>
      <c r="C14" s="92" t="s">
        <v>800</v>
      </c>
      <c r="D14" s="72" t="str">
        <f>IFERROR(VLOOKUP(A14,'[1]ST-QA-ZZ5'!$C$5:$M$299,11,0),"Inspection at production line")</f>
        <v>Inspection at production line</v>
      </c>
      <c r="F14" s="92" t="s">
        <v>801</v>
      </c>
      <c r="G14" s="92" t="s">
        <v>555</v>
      </c>
      <c r="H14" s="92" t="s">
        <v>802</v>
      </c>
      <c r="I14" s="92" t="s">
        <v>803</v>
      </c>
      <c r="J14" s="92" t="s">
        <v>71</v>
      </c>
      <c r="K14" s="92" t="s">
        <v>804</v>
      </c>
    </row>
    <row r="15" spans="1:22" ht="13.8">
      <c r="A15" s="47">
        <v>301</v>
      </c>
      <c r="B15" s="92" t="s">
        <v>805</v>
      </c>
      <c r="C15" s="92" t="s">
        <v>806</v>
      </c>
      <c r="D15" s="72" t="str">
        <f>IFERROR(VLOOKUP(A15,'[1]ST-QA-ZZ5'!$C$5:$M$299,11,0),"Inspection at production line")</f>
        <v>Inspection at production line</v>
      </c>
      <c r="F15" s="93">
        <v>9801</v>
      </c>
      <c r="G15" s="92" t="s">
        <v>807</v>
      </c>
      <c r="H15" s="92" t="s">
        <v>807</v>
      </c>
      <c r="I15" s="92" t="s">
        <v>808</v>
      </c>
      <c r="J15" s="92" t="s">
        <v>60</v>
      </c>
      <c r="K15" s="92" t="s">
        <v>681</v>
      </c>
    </row>
    <row r="16" spans="1:22" ht="13.8">
      <c r="A16" s="47">
        <v>303</v>
      </c>
      <c r="B16" s="92" t="s">
        <v>809</v>
      </c>
      <c r="C16" s="92" t="s">
        <v>810</v>
      </c>
      <c r="D16" s="72" t="str">
        <f>IFERROR(VLOOKUP(A16,'[1]ST-QA-ZZ5'!$C$5:$M$299,11,0),"Inspection at production line")</f>
        <v>Inspection at production line</v>
      </c>
      <c r="F16" s="93">
        <v>9802</v>
      </c>
      <c r="G16" s="92" t="s">
        <v>807</v>
      </c>
      <c r="H16" s="92" t="s">
        <v>807</v>
      </c>
      <c r="I16" s="92" t="s">
        <v>808</v>
      </c>
      <c r="J16" s="92" t="s">
        <v>60</v>
      </c>
      <c r="K16" s="92" t="s">
        <v>681</v>
      </c>
    </row>
    <row r="17" spans="1:11" ht="13.8">
      <c r="A17" s="47">
        <v>304</v>
      </c>
      <c r="B17" s="92" t="s">
        <v>811</v>
      </c>
      <c r="C17" s="92" t="s">
        <v>812</v>
      </c>
      <c r="D17" s="72" t="str">
        <f>IFERROR(VLOOKUP(A17,'[1]ST-QA-ZZ5'!$C$5:$M$299,11,0),"Inspection at production line")</f>
        <v>Inspection at production line</v>
      </c>
      <c r="F17" s="93">
        <v>9803</v>
      </c>
      <c r="G17" s="92" t="s">
        <v>813</v>
      </c>
      <c r="H17" s="92" t="s">
        <v>813</v>
      </c>
      <c r="I17" s="92" t="s">
        <v>808</v>
      </c>
      <c r="J17" s="92" t="s">
        <v>60</v>
      </c>
      <c r="K17" s="92" t="s">
        <v>681</v>
      </c>
    </row>
    <row r="18" spans="1:11" ht="13.8">
      <c r="A18" s="47">
        <v>305</v>
      </c>
      <c r="B18" s="92" t="s">
        <v>814</v>
      </c>
      <c r="C18" s="92" t="s">
        <v>815</v>
      </c>
      <c r="D18" s="72" t="str">
        <f>IFERROR(VLOOKUP(A18,'[1]ST-QA-ZZ5'!$C$5:$M$299,11,0),"Inspection at production line")</f>
        <v>Inspection at production line</v>
      </c>
      <c r="F18" s="93">
        <v>9804</v>
      </c>
      <c r="G18" s="92" t="s">
        <v>816</v>
      </c>
      <c r="H18" s="92" t="s">
        <v>816</v>
      </c>
      <c r="I18" s="92" t="s">
        <v>808</v>
      </c>
      <c r="J18" s="92" t="s">
        <v>60</v>
      </c>
      <c r="K18" s="92" t="s">
        <v>681</v>
      </c>
    </row>
    <row r="19" spans="1:11" ht="13.8">
      <c r="A19" s="47">
        <v>306</v>
      </c>
      <c r="B19" s="92" t="s">
        <v>814</v>
      </c>
      <c r="C19" s="92" t="s">
        <v>817</v>
      </c>
      <c r="D19" s="72" t="str">
        <f>IFERROR(VLOOKUP(A19,'[1]ST-QA-ZZ5'!$C$5:$M$299,11,0),"Inspection at production line")</f>
        <v>Inspection at production line</v>
      </c>
      <c r="F19" s="93">
        <v>9807</v>
      </c>
      <c r="G19" s="92" t="s">
        <v>818</v>
      </c>
      <c r="H19" s="92" t="s">
        <v>818</v>
      </c>
      <c r="I19" s="92" t="s">
        <v>808</v>
      </c>
      <c r="J19" s="92" t="s">
        <v>60</v>
      </c>
      <c r="K19" s="92" t="s">
        <v>681</v>
      </c>
    </row>
    <row r="20" spans="1:11" ht="13.8">
      <c r="A20" s="47">
        <v>307</v>
      </c>
      <c r="B20" s="92" t="s">
        <v>819</v>
      </c>
      <c r="C20" s="92" t="s">
        <v>820</v>
      </c>
      <c r="D20" s="72" t="str">
        <f>IFERROR(VLOOKUP(A20,'[1]ST-QA-ZZ5'!$C$5:$M$299,11,0),"Inspection at production line")</f>
        <v>Inspection at production line</v>
      </c>
      <c r="F20" s="93">
        <v>9811</v>
      </c>
      <c r="G20" s="92" t="s">
        <v>821</v>
      </c>
      <c r="H20" s="92" t="s">
        <v>821</v>
      </c>
      <c r="I20" s="92" t="s">
        <v>808</v>
      </c>
      <c r="J20" s="92" t="s">
        <v>60</v>
      </c>
      <c r="K20" s="92" t="s">
        <v>681</v>
      </c>
    </row>
    <row r="21" spans="1:11" ht="13.8">
      <c r="A21" s="47" t="s">
        <v>822</v>
      </c>
      <c r="B21" s="92" t="s">
        <v>819</v>
      </c>
      <c r="C21" s="92" t="s">
        <v>823</v>
      </c>
      <c r="D21" s="72" t="str">
        <f>IFERROR(VLOOKUP(A21,'[1]ST-QA-ZZ5'!$C$5:$M$299,11,0),"Inspection at production line")</f>
        <v>Inspection at production line</v>
      </c>
      <c r="F21" s="93">
        <v>9812</v>
      </c>
      <c r="G21" s="92" t="s">
        <v>814</v>
      </c>
      <c r="H21" s="92" t="s">
        <v>814</v>
      </c>
      <c r="I21" s="92" t="s">
        <v>808</v>
      </c>
      <c r="J21" s="92" t="s">
        <v>60</v>
      </c>
      <c r="K21" s="92" t="s">
        <v>681</v>
      </c>
    </row>
    <row r="22" spans="1:11" ht="13.8">
      <c r="A22" s="47">
        <v>308</v>
      </c>
      <c r="B22" s="92" t="s">
        <v>819</v>
      </c>
      <c r="C22" s="92" t="s">
        <v>824</v>
      </c>
      <c r="D22" s="72" t="str">
        <f>IFERROR(VLOOKUP(A22,'[1]ST-QA-ZZ5'!$C$5:$M$299,11,0),"Inspection at production line")</f>
        <v>Inspection at production line</v>
      </c>
      <c r="F22" s="93">
        <v>9813</v>
      </c>
      <c r="G22" s="92" t="s">
        <v>814</v>
      </c>
      <c r="H22" s="92" t="s">
        <v>814</v>
      </c>
      <c r="I22" s="92" t="s">
        <v>808</v>
      </c>
      <c r="J22" s="92" t="s">
        <v>60</v>
      </c>
      <c r="K22" s="92" t="s">
        <v>681</v>
      </c>
    </row>
    <row r="23" spans="1:11" ht="13.8">
      <c r="A23" s="47" t="s">
        <v>825</v>
      </c>
      <c r="B23" s="92" t="s">
        <v>819</v>
      </c>
      <c r="C23" s="92" t="s">
        <v>826</v>
      </c>
      <c r="D23" s="72" t="str">
        <f>IFERROR(VLOOKUP(A23,'[1]ST-QA-ZZ5'!$C$5:$M$299,11,0),"Inspection at production line")</f>
        <v>Inspection at production line</v>
      </c>
      <c r="F23" s="93">
        <v>9814</v>
      </c>
      <c r="G23" s="92" t="s">
        <v>827</v>
      </c>
      <c r="H23" s="92" t="s">
        <v>827</v>
      </c>
      <c r="I23" s="92" t="s">
        <v>808</v>
      </c>
      <c r="J23" s="92" t="s">
        <v>60</v>
      </c>
      <c r="K23" s="92" t="s">
        <v>681</v>
      </c>
    </row>
    <row r="24" spans="1:11" ht="13.8">
      <c r="A24" s="47">
        <v>309</v>
      </c>
      <c r="B24" s="92" t="s">
        <v>828</v>
      </c>
      <c r="C24" s="92" t="s">
        <v>829</v>
      </c>
      <c r="D24" s="72" t="str">
        <f>IFERROR(VLOOKUP(A24,'[1]ST-QA-ZZ5'!$C$5:$M$299,11,0),"Inspection at production line")</f>
        <v>Inspection at production line</v>
      </c>
      <c r="F24" s="93">
        <v>9815</v>
      </c>
      <c r="G24" s="92" t="s">
        <v>830</v>
      </c>
      <c r="H24" s="92" t="s">
        <v>830</v>
      </c>
      <c r="I24" s="92" t="s">
        <v>808</v>
      </c>
      <c r="J24" s="92" t="s">
        <v>60</v>
      </c>
      <c r="K24" s="92" t="s">
        <v>681</v>
      </c>
    </row>
    <row r="25" spans="1:11" ht="13.8">
      <c r="A25" s="47">
        <v>310</v>
      </c>
      <c r="B25" s="92" t="s">
        <v>819</v>
      </c>
      <c r="C25" s="92" t="s">
        <v>831</v>
      </c>
      <c r="D25" s="72" t="str">
        <f>IFERROR(VLOOKUP(A25,'[1]ST-QA-ZZ5'!$C$5:$M$299,11,0),"Inspection at production line")</f>
        <v>Inspection at production line</v>
      </c>
      <c r="F25" s="93">
        <v>9816</v>
      </c>
      <c r="G25" s="92" t="s">
        <v>83</v>
      </c>
      <c r="H25" s="92" t="s">
        <v>83</v>
      </c>
      <c r="I25" s="92" t="s">
        <v>808</v>
      </c>
      <c r="J25" s="92" t="s">
        <v>60</v>
      </c>
      <c r="K25" s="92" t="s">
        <v>681</v>
      </c>
    </row>
    <row r="26" spans="1:11" ht="13.8">
      <c r="A26" s="47">
        <v>311</v>
      </c>
      <c r="B26" s="92" t="s">
        <v>819</v>
      </c>
      <c r="C26" s="92" t="s">
        <v>832</v>
      </c>
      <c r="D26" s="72" t="str">
        <f>IFERROR(VLOOKUP(A26,'[1]ST-QA-ZZ5'!$C$5:$M$299,11,0),"Inspection at production line")</f>
        <v>Inspection at production line</v>
      </c>
      <c r="F26" s="93">
        <v>9819</v>
      </c>
      <c r="G26" s="92" t="s">
        <v>404</v>
      </c>
      <c r="H26" s="92" t="s">
        <v>404</v>
      </c>
      <c r="I26" s="92" t="s">
        <v>808</v>
      </c>
      <c r="J26" s="92" t="s">
        <v>60</v>
      </c>
      <c r="K26" s="92" t="s">
        <v>681</v>
      </c>
    </row>
    <row r="27" spans="1:11" ht="13.8">
      <c r="A27" s="47">
        <v>313</v>
      </c>
      <c r="B27" s="92" t="s">
        <v>83</v>
      </c>
      <c r="C27" s="92" t="s">
        <v>833</v>
      </c>
      <c r="D27" s="72" t="str">
        <f>IFERROR(VLOOKUP(A27,'[1]ST-QA-ZZ5'!$C$5:$M$299,11,0),"Inspection at production line")</f>
        <v>Inspection at production line</v>
      </c>
      <c r="F27" s="93">
        <v>9820</v>
      </c>
      <c r="G27" s="92" t="s">
        <v>404</v>
      </c>
      <c r="H27" s="92" t="s">
        <v>404</v>
      </c>
      <c r="I27" s="92" t="s">
        <v>808</v>
      </c>
      <c r="J27" s="92" t="s">
        <v>60</v>
      </c>
      <c r="K27" s="92" t="s">
        <v>681</v>
      </c>
    </row>
    <row r="28" spans="1:11" ht="13.8">
      <c r="A28" s="47">
        <v>314</v>
      </c>
      <c r="B28" s="92" t="s">
        <v>279</v>
      </c>
      <c r="C28" s="92" t="s">
        <v>834</v>
      </c>
      <c r="D28" s="72" t="str">
        <f>IFERROR(VLOOKUP(A28,'[1]ST-QA-ZZ5'!$C$5:$M$299,11,0),"Inspection at production line")</f>
        <v>Inspection at production line</v>
      </c>
      <c r="F28" s="93">
        <v>9821</v>
      </c>
      <c r="G28" s="92" t="s">
        <v>835</v>
      </c>
      <c r="H28" s="92" t="s">
        <v>835</v>
      </c>
      <c r="I28" s="92" t="s">
        <v>808</v>
      </c>
      <c r="J28" s="92" t="s">
        <v>60</v>
      </c>
      <c r="K28" s="92" t="s">
        <v>681</v>
      </c>
    </row>
    <row r="29" spans="1:11" ht="13.8">
      <c r="A29" s="47">
        <v>315</v>
      </c>
      <c r="B29" s="92" t="s">
        <v>279</v>
      </c>
      <c r="C29" s="92" t="s">
        <v>834</v>
      </c>
      <c r="D29" s="72" t="str">
        <f>IFERROR(VLOOKUP(A29,'[1]ST-QA-ZZ5'!$C$5:$M$299,11,0),"Inspection at production line")</f>
        <v>Inspection at production line</v>
      </c>
      <c r="F29" s="93">
        <v>9822</v>
      </c>
      <c r="G29" s="92" t="s">
        <v>835</v>
      </c>
      <c r="H29" s="92" t="s">
        <v>835</v>
      </c>
      <c r="I29" s="92" t="s">
        <v>808</v>
      </c>
      <c r="J29" s="92" t="s">
        <v>60</v>
      </c>
      <c r="K29" s="92" t="s">
        <v>681</v>
      </c>
    </row>
    <row r="30" spans="1:11" ht="13.8">
      <c r="A30" s="47">
        <v>316</v>
      </c>
      <c r="B30" s="92" t="s">
        <v>279</v>
      </c>
      <c r="C30" s="92" t="s">
        <v>834</v>
      </c>
      <c r="D30" s="72" t="str">
        <f>IFERROR(VLOOKUP(A30,'[1]ST-QA-ZZ5'!$C$5:$M$299,11,0),"Inspection at production line")</f>
        <v>Inspection at production line</v>
      </c>
      <c r="F30" s="93">
        <v>9823</v>
      </c>
      <c r="G30" s="92" t="s">
        <v>835</v>
      </c>
      <c r="H30" s="92" t="s">
        <v>835</v>
      </c>
      <c r="I30" s="92" t="s">
        <v>808</v>
      </c>
      <c r="J30" s="92" t="s">
        <v>60</v>
      </c>
      <c r="K30" s="92" t="s">
        <v>681</v>
      </c>
    </row>
    <row r="31" spans="1:11" ht="13.8">
      <c r="A31" s="47">
        <v>320</v>
      </c>
      <c r="B31" s="92" t="s">
        <v>75</v>
      </c>
      <c r="C31" s="92" t="s">
        <v>836</v>
      </c>
      <c r="D31" s="72" t="str">
        <f>IFERROR(VLOOKUP(A31,'[1]ST-QA-ZZ5'!$C$5:$M$299,11,0),"Inspection at production line")</f>
        <v>Inspection at production line</v>
      </c>
      <c r="F31" s="93">
        <v>9824</v>
      </c>
      <c r="G31" s="92" t="s">
        <v>835</v>
      </c>
      <c r="H31" s="92" t="s">
        <v>835</v>
      </c>
      <c r="I31" s="92" t="s">
        <v>808</v>
      </c>
      <c r="J31" s="92" t="s">
        <v>60</v>
      </c>
      <c r="K31" s="92" t="s">
        <v>681</v>
      </c>
    </row>
    <row r="32" spans="1:11" ht="13.8">
      <c r="A32" s="47">
        <v>321</v>
      </c>
      <c r="B32" s="92" t="s">
        <v>90</v>
      </c>
      <c r="C32" s="92" t="s">
        <v>837</v>
      </c>
      <c r="D32" s="72" t="str">
        <f>IFERROR(VLOOKUP(A32,'[1]ST-QA-ZZ5'!$C$5:$M$299,11,0),"Inspection at production line")</f>
        <v>Inspection at production line</v>
      </c>
      <c r="F32" s="93">
        <v>9825</v>
      </c>
      <c r="G32" s="92" t="s">
        <v>838</v>
      </c>
      <c r="H32" s="92" t="s">
        <v>838</v>
      </c>
      <c r="I32" s="92" t="s">
        <v>808</v>
      </c>
      <c r="J32" s="92" t="s">
        <v>60</v>
      </c>
      <c r="K32" s="92" t="s">
        <v>681</v>
      </c>
    </row>
    <row r="33" spans="1:11" ht="13.8">
      <c r="A33" s="47">
        <v>326</v>
      </c>
      <c r="B33" s="92" t="s">
        <v>68</v>
      </c>
      <c r="C33" s="92" t="s">
        <v>839</v>
      </c>
      <c r="D33" s="72" t="str">
        <f>IFERROR(VLOOKUP(A33,'[1]ST-QA-ZZ5'!$C$5:$M$299,11,0),"Inspection at production line")</f>
        <v>Inspection at production line</v>
      </c>
      <c r="F33" s="93">
        <v>9827</v>
      </c>
      <c r="G33" s="92" t="s">
        <v>835</v>
      </c>
      <c r="H33" s="92" t="s">
        <v>835</v>
      </c>
      <c r="I33" s="92" t="s">
        <v>808</v>
      </c>
      <c r="J33" s="92" t="s">
        <v>60</v>
      </c>
      <c r="K33" s="92" t="s">
        <v>681</v>
      </c>
    </row>
    <row r="34" spans="1:11" ht="13.8">
      <c r="A34" s="47" t="s">
        <v>840</v>
      </c>
      <c r="B34" s="92" t="s">
        <v>68</v>
      </c>
      <c r="C34" s="92" t="s">
        <v>839</v>
      </c>
      <c r="D34" s="72" t="str">
        <f>IFERROR(VLOOKUP(A34,'[1]ST-QA-ZZ5'!$C$5:$M$299,11,0),"Inspection at production line")</f>
        <v>Inspection at production line</v>
      </c>
      <c r="F34" s="93">
        <v>9828</v>
      </c>
      <c r="G34" s="92" t="s">
        <v>841</v>
      </c>
      <c r="H34" s="92" t="s">
        <v>841</v>
      </c>
      <c r="I34" s="92" t="s">
        <v>808</v>
      </c>
      <c r="J34" s="92" t="s">
        <v>60</v>
      </c>
      <c r="K34" s="92" t="s">
        <v>681</v>
      </c>
    </row>
    <row r="35" spans="1:11" ht="13.8">
      <c r="A35" s="47" t="s">
        <v>842</v>
      </c>
      <c r="B35" s="92" t="s">
        <v>843</v>
      </c>
      <c r="C35" s="92" t="s">
        <v>844</v>
      </c>
      <c r="D35" s="72" t="str">
        <f>IFERROR(VLOOKUP(A35,'[1]ST-QA-ZZ5'!$C$5:$M$299,11,0),"Inspection at production line")</f>
        <v>Inspection at production line</v>
      </c>
      <c r="F35" s="93">
        <v>9830</v>
      </c>
      <c r="G35" s="92" t="s">
        <v>807</v>
      </c>
      <c r="H35" s="92" t="s">
        <v>807</v>
      </c>
      <c r="I35" s="92" t="s">
        <v>808</v>
      </c>
      <c r="J35" s="92" t="s">
        <v>60</v>
      </c>
      <c r="K35" s="92" t="s">
        <v>681</v>
      </c>
    </row>
    <row r="36" spans="1:11" ht="13.8">
      <c r="A36" s="47">
        <v>401</v>
      </c>
      <c r="B36" s="92" t="s">
        <v>845</v>
      </c>
      <c r="C36" s="92" t="s">
        <v>846</v>
      </c>
      <c r="D36" s="72" t="str">
        <f>IFERROR(VLOOKUP(A36,'[1]ST-QA-ZZ5'!$C$5:$M$299,11,0),"Inspection at production line")</f>
        <v>Inspection at production line</v>
      </c>
      <c r="F36" s="93">
        <v>9831</v>
      </c>
      <c r="G36" s="92" t="s">
        <v>821</v>
      </c>
      <c r="H36" s="92" t="s">
        <v>821</v>
      </c>
      <c r="I36" s="92" t="s">
        <v>808</v>
      </c>
      <c r="J36" s="92" t="s">
        <v>60</v>
      </c>
      <c r="K36" s="92" t="s">
        <v>681</v>
      </c>
    </row>
    <row r="37" spans="1:11" ht="13.8">
      <c r="A37" s="47">
        <v>402</v>
      </c>
      <c r="B37" s="92" t="s">
        <v>83</v>
      </c>
      <c r="C37" s="92" t="s">
        <v>847</v>
      </c>
      <c r="D37" s="72" t="str">
        <f>IFERROR(VLOOKUP(A37,'[1]ST-QA-ZZ5'!$C$5:$M$299,11,0),"Inspection at production line")</f>
        <v>Inspection at production line</v>
      </c>
      <c r="F37" s="93">
        <v>9832</v>
      </c>
      <c r="G37" s="92" t="s">
        <v>404</v>
      </c>
      <c r="H37" s="92" t="s">
        <v>404</v>
      </c>
      <c r="I37" s="92" t="s">
        <v>808</v>
      </c>
      <c r="J37" s="92" t="s">
        <v>60</v>
      </c>
      <c r="K37" s="92" t="s">
        <v>681</v>
      </c>
    </row>
    <row r="38" spans="1:11" ht="13.8">
      <c r="A38" s="47">
        <v>403</v>
      </c>
      <c r="B38" s="92" t="s">
        <v>83</v>
      </c>
      <c r="C38" s="92" t="s">
        <v>848</v>
      </c>
      <c r="D38" s="72" t="str">
        <f>IFERROR(VLOOKUP(A38,'[1]ST-QA-ZZ5'!$C$5:$M$299,11,0),"Inspection at production line")</f>
        <v>Inspection at production line</v>
      </c>
      <c r="F38" s="93">
        <v>9833</v>
      </c>
      <c r="G38" s="92" t="s">
        <v>814</v>
      </c>
      <c r="H38" s="92" t="s">
        <v>814</v>
      </c>
      <c r="I38" s="92" t="s">
        <v>808</v>
      </c>
      <c r="J38" s="92" t="s">
        <v>60</v>
      </c>
      <c r="K38" s="92" t="s">
        <v>681</v>
      </c>
    </row>
    <row r="39" spans="1:11" ht="13.8">
      <c r="A39" s="47">
        <v>404</v>
      </c>
      <c r="B39" s="92" t="s">
        <v>849</v>
      </c>
      <c r="C39" s="92" t="s">
        <v>850</v>
      </c>
      <c r="D39" s="72" t="str">
        <f>IFERROR(VLOOKUP(A39,'[1]ST-QA-ZZ5'!$C$5:$M$299,11,0),"Inspection at production line")</f>
        <v>Inspection at production line</v>
      </c>
      <c r="F39" s="92" t="s">
        <v>851</v>
      </c>
      <c r="G39" s="92" t="s">
        <v>704</v>
      </c>
      <c r="H39" s="92" t="s">
        <v>800</v>
      </c>
      <c r="I39" s="92" t="s">
        <v>852</v>
      </c>
      <c r="J39" s="92" t="s">
        <v>60</v>
      </c>
      <c r="K39" s="92" t="s">
        <v>681</v>
      </c>
    </row>
    <row r="40" spans="1:11" ht="13.8">
      <c r="A40" s="47">
        <v>405</v>
      </c>
      <c r="B40" s="92" t="s">
        <v>849</v>
      </c>
      <c r="C40" s="92" t="s">
        <v>853</v>
      </c>
      <c r="D40" s="72" t="str">
        <f>IFERROR(VLOOKUP(A40,'[1]ST-QA-ZZ5'!$C$5:$M$299,11,0),"Inspection at production line")</f>
        <v>Inspection at production line</v>
      </c>
      <c r="F40" s="92" t="s">
        <v>854</v>
      </c>
      <c r="G40" s="92" t="s">
        <v>397</v>
      </c>
      <c r="H40" s="92" t="s">
        <v>855</v>
      </c>
      <c r="I40" s="92" t="s">
        <v>346</v>
      </c>
      <c r="J40" s="92" t="s">
        <v>60</v>
      </c>
      <c r="K40" s="92" t="s">
        <v>18088</v>
      </c>
    </row>
    <row r="41" spans="1:11" ht="13.8">
      <c r="A41" s="47" t="s">
        <v>856</v>
      </c>
      <c r="B41" s="92" t="s">
        <v>857</v>
      </c>
      <c r="C41" s="92" t="s">
        <v>858</v>
      </c>
      <c r="D41" s="72" t="str">
        <f>IFERROR(VLOOKUP(A41,'[1]ST-QA-ZZ5'!$C$5:$M$299,11,0),"Inspection at production line")</f>
        <v>Inspection at production line</v>
      </c>
      <c r="F41" s="92" t="s">
        <v>859</v>
      </c>
      <c r="G41" s="92" t="s">
        <v>811</v>
      </c>
      <c r="H41" s="92" t="s">
        <v>860</v>
      </c>
      <c r="I41" s="92" t="s">
        <v>346</v>
      </c>
      <c r="J41" s="92" t="s">
        <v>60</v>
      </c>
      <c r="K41" s="92" t="s">
        <v>18088</v>
      </c>
    </row>
    <row r="42" spans="1:11" ht="13.8">
      <c r="A42" s="47" t="s">
        <v>861</v>
      </c>
      <c r="B42" s="92" t="s">
        <v>862</v>
      </c>
      <c r="C42" s="92" t="s">
        <v>863</v>
      </c>
      <c r="D42" s="72" t="str">
        <f>IFERROR(VLOOKUP(A42,'[1]ST-QA-ZZ5'!$C$5:$M$299,11,0),"Inspection at production line")</f>
        <v>Inspection at production line</v>
      </c>
      <c r="F42" s="92" t="s">
        <v>864</v>
      </c>
      <c r="G42" s="92" t="s">
        <v>865</v>
      </c>
      <c r="H42" s="92" t="s">
        <v>866</v>
      </c>
      <c r="I42" s="92" t="s">
        <v>346</v>
      </c>
      <c r="J42" s="92" t="s">
        <v>60</v>
      </c>
      <c r="K42" s="92" t="s">
        <v>18088</v>
      </c>
    </row>
    <row r="43" spans="1:11" ht="13.8">
      <c r="A43" s="47" t="s">
        <v>867</v>
      </c>
      <c r="B43" s="92" t="s">
        <v>868</v>
      </c>
      <c r="C43" s="92" t="s">
        <v>869</v>
      </c>
      <c r="D43" s="72" t="str">
        <f>IFERROR(VLOOKUP(A43,'[1]ST-QA-ZZ5'!$C$5:$M$299,11,0),"Inspection at production line")</f>
        <v>Inspection at production line</v>
      </c>
      <c r="F43" s="92" t="s">
        <v>870</v>
      </c>
      <c r="G43" s="92" t="s">
        <v>818</v>
      </c>
      <c r="H43" s="92" t="s">
        <v>871</v>
      </c>
      <c r="I43" s="92" t="s">
        <v>346</v>
      </c>
      <c r="J43" s="92" t="s">
        <v>60</v>
      </c>
      <c r="K43" s="92" t="s">
        <v>18088</v>
      </c>
    </row>
    <row r="44" spans="1:11" ht="13.8">
      <c r="A44" s="47" t="s">
        <v>872</v>
      </c>
      <c r="B44" s="92" t="s">
        <v>873</v>
      </c>
      <c r="C44" s="92" t="s">
        <v>874</v>
      </c>
      <c r="D44" s="72" t="str">
        <f>IFERROR(VLOOKUP(A44,'[1]ST-QA-ZZ5'!$C$5:$M$299,11,0),"Inspection at production line")</f>
        <v>Inspection at production line</v>
      </c>
      <c r="F44" s="92" t="s">
        <v>875</v>
      </c>
      <c r="G44" s="92" t="s">
        <v>865</v>
      </c>
      <c r="H44" s="92" t="s">
        <v>876</v>
      </c>
      <c r="I44" s="92" t="s">
        <v>346</v>
      </c>
      <c r="J44" s="92" t="s">
        <v>60</v>
      </c>
      <c r="K44" s="92" t="s">
        <v>18088</v>
      </c>
    </row>
    <row r="45" spans="1:11" ht="13.8">
      <c r="A45" s="47">
        <v>410</v>
      </c>
      <c r="B45" s="92" t="s">
        <v>814</v>
      </c>
      <c r="C45" s="92" t="s">
        <v>846</v>
      </c>
      <c r="D45" s="72" t="str">
        <f>IFERROR(VLOOKUP(A45,'[1]ST-QA-ZZ5'!$C$5:$M$299,11,0),"Inspection at production line")</f>
        <v>Inspection at production line</v>
      </c>
      <c r="F45" s="92" t="s">
        <v>366</v>
      </c>
      <c r="G45" s="92" t="s">
        <v>362</v>
      </c>
      <c r="H45" s="92" t="s">
        <v>367</v>
      </c>
      <c r="I45" s="92" t="s">
        <v>346</v>
      </c>
      <c r="J45" s="92" t="s">
        <v>60</v>
      </c>
      <c r="K45" s="92" t="s">
        <v>18088</v>
      </c>
    </row>
    <row r="46" spans="1:11" ht="13.8">
      <c r="A46" s="47">
        <v>413</v>
      </c>
      <c r="B46" s="92" t="s">
        <v>877</v>
      </c>
      <c r="C46" s="92" t="s">
        <v>878</v>
      </c>
      <c r="D46" s="72" t="str">
        <f>IFERROR(VLOOKUP(A46,'[1]ST-QA-ZZ5'!$C$5:$M$299,11,0),"Inspection at production line")</f>
        <v>Inspection at production line</v>
      </c>
      <c r="F46" s="92" t="s">
        <v>879</v>
      </c>
      <c r="G46" s="92" t="s">
        <v>865</v>
      </c>
      <c r="H46" s="92" t="s">
        <v>880</v>
      </c>
      <c r="I46" s="92" t="s">
        <v>346</v>
      </c>
      <c r="J46" s="92" t="s">
        <v>60</v>
      </c>
      <c r="K46" s="92" t="s">
        <v>18088</v>
      </c>
    </row>
    <row r="47" spans="1:11" ht="13.8">
      <c r="A47" s="47">
        <v>420</v>
      </c>
      <c r="B47" s="92" t="s">
        <v>75</v>
      </c>
      <c r="C47" s="92" t="s">
        <v>881</v>
      </c>
      <c r="D47" s="72" t="str">
        <f>IFERROR(VLOOKUP(A47,'[1]ST-QA-ZZ5'!$C$5:$M$299,11,0),"Inspection at production line")</f>
        <v>Inspection at production line</v>
      </c>
      <c r="F47" s="92" t="s">
        <v>882</v>
      </c>
      <c r="G47" s="92" t="s">
        <v>352</v>
      </c>
      <c r="H47" s="92" t="s">
        <v>883</v>
      </c>
      <c r="I47" s="92" t="s">
        <v>346</v>
      </c>
      <c r="J47" s="92" t="s">
        <v>60</v>
      </c>
      <c r="K47" s="92" t="s">
        <v>18088</v>
      </c>
    </row>
    <row r="48" spans="1:11" ht="13.8">
      <c r="A48" s="47">
        <v>421</v>
      </c>
      <c r="B48" s="92" t="s">
        <v>75</v>
      </c>
      <c r="C48" s="92" t="s">
        <v>884</v>
      </c>
      <c r="D48" s="72" t="str">
        <f>IFERROR(VLOOKUP(A48,'[1]ST-QA-ZZ5'!$C$5:$M$299,11,0),"Inspection at production line")</f>
        <v>Inspection at production line</v>
      </c>
      <c r="F48" s="92" t="s">
        <v>348</v>
      </c>
      <c r="G48" s="92" t="s">
        <v>349</v>
      </c>
      <c r="H48" s="92" t="s">
        <v>350</v>
      </c>
      <c r="I48" s="92" t="s">
        <v>346</v>
      </c>
      <c r="J48" s="92" t="s">
        <v>60</v>
      </c>
      <c r="K48" s="92" t="s">
        <v>18088</v>
      </c>
    </row>
    <row r="49" spans="1:11" ht="13.8">
      <c r="A49" s="47" t="s">
        <v>885</v>
      </c>
      <c r="B49" s="92" t="s">
        <v>794</v>
      </c>
      <c r="C49" s="92" t="s">
        <v>886</v>
      </c>
      <c r="D49" s="72" t="str">
        <f>IFERROR(VLOOKUP(A49,'[1]ST-QA-ZZ5'!$C$5:$M$299,11,0),"Inspection at production line")</f>
        <v>Inspection at production line</v>
      </c>
      <c r="F49" s="92" t="s">
        <v>887</v>
      </c>
      <c r="G49" s="92" t="s">
        <v>355</v>
      </c>
      <c r="H49" s="92" t="s">
        <v>888</v>
      </c>
      <c r="I49" s="92" t="s">
        <v>346</v>
      </c>
      <c r="J49" s="92" t="s">
        <v>60</v>
      </c>
      <c r="K49" s="92" t="s">
        <v>18088</v>
      </c>
    </row>
    <row r="50" spans="1:11" ht="13.8">
      <c r="A50" s="47">
        <v>430</v>
      </c>
      <c r="B50" s="92" t="s">
        <v>843</v>
      </c>
      <c r="C50" s="92" t="s">
        <v>889</v>
      </c>
      <c r="D50" s="72" t="str">
        <f>IFERROR(VLOOKUP(A50,'[1]ST-QA-ZZ5'!$C$5:$M$299,11,0),"Inspection at production line")</f>
        <v>Inspection at production line</v>
      </c>
      <c r="F50" s="92" t="s">
        <v>890</v>
      </c>
      <c r="G50" s="92" t="s">
        <v>891</v>
      </c>
      <c r="H50" s="92" t="s">
        <v>892</v>
      </c>
      <c r="I50" s="92" t="s">
        <v>346</v>
      </c>
      <c r="J50" s="92" t="s">
        <v>60</v>
      </c>
      <c r="K50" s="92" t="s">
        <v>18088</v>
      </c>
    </row>
    <row r="51" spans="1:11" ht="13.8">
      <c r="A51" s="47">
        <v>438</v>
      </c>
      <c r="B51" s="92" t="s">
        <v>843</v>
      </c>
      <c r="C51" s="92" t="s">
        <v>893</v>
      </c>
      <c r="D51" s="72" t="str">
        <f>IFERROR(VLOOKUP(A51,'[1]ST-QA-ZZ5'!$C$5:$M$299,11,0),"Inspection at production line")</f>
        <v>Inspection at production line</v>
      </c>
      <c r="F51" s="92" t="s">
        <v>894</v>
      </c>
      <c r="G51" s="92" t="s">
        <v>68</v>
      </c>
      <c r="H51" s="92" t="s">
        <v>895</v>
      </c>
      <c r="I51" s="92" t="s">
        <v>346</v>
      </c>
      <c r="J51" s="92" t="s">
        <v>71</v>
      </c>
      <c r="K51" s="92" t="s">
        <v>18088</v>
      </c>
    </row>
    <row r="52" spans="1:11" ht="13.8">
      <c r="A52" s="47">
        <v>439</v>
      </c>
      <c r="B52" s="92" t="s">
        <v>794</v>
      </c>
      <c r="C52" s="92" t="s">
        <v>896</v>
      </c>
      <c r="D52" s="72" t="str">
        <f>IFERROR(VLOOKUP(A52,'[1]ST-QA-ZZ5'!$C$5:$M$299,11,0),"Inspection at production line")</f>
        <v>Inspection at production line</v>
      </c>
      <c r="F52" s="92" t="s">
        <v>897</v>
      </c>
      <c r="G52" s="92" t="s">
        <v>898</v>
      </c>
      <c r="H52" s="92" t="s">
        <v>899</v>
      </c>
      <c r="I52" s="92" t="s">
        <v>346</v>
      </c>
      <c r="J52" s="92" t="s">
        <v>60</v>
      </c>
      <c r="K52" s="92" t="s">
        <v>18088</v>
      </c>
    </row>
    <row r="53" spans="1:11" ht="13.8">
      <c r="A53" s="47">
        <v>440</v>
      </c>
      <c r="B53" s="92" t="s">
        <v>900</v>
      </c>
      <c r="C53" s="92" t="s">
        <v>901</v>
      </c>
      <c r="D53" s="72" t="str">
        <f>IFERROR(VLOOKUP(A53,'[1]ST-QA-ZZ5'!$C$5:$M$299,11,0),"Inspection at production line")</f>
        <v>Inspection at production line</v>
      </c>
      <c r="F53" s="92" t="s">
        <v>902</v>
      </c>
      <c r="G53" s="92" t="s">
        <v>903</v>
      </c>
      <c r="H53" s="92" t="s">
        <v>904</v>
      </c>
      <c r="I53" s="92" t="s">
        <v>346</v>
      </c>
      <c r="J53" s="92" t="s">
        <v>60</v>
      </c>
      <c r="K53" s="92" t="s">
        <v>18088</v>
      </c>
    </row>
    <row r="54" spans="1:11" ht="13.8">
      <c r="A54" s="47">
        <v>501</v>
      </c>
      <c r="B54" s="92" t="s">
        <v>905</v>
      </c>
      <c r="C54" s="92" t="s">
        <v>906</v>
      </c>
      <c r="D54" s="72" t="str">
        <f>IFERROR(VLOOKUP(A54,'[1]ST-QA-ZZ5'!$C$5:$M$299,11,0),"Inspection at production line")</f>
        <v>Inspection at production line</v>
      </c>
      <c r="F54" s="92" t="s">
        <v>907</v>
      </c>
      <c r="G54" s="92" t="s">
        <v>908</v>
      </c>
      <c r="H54" s="92" t="s">
        <v>909</v>
      </c>
      <c r="I54" s="92" t="s">
        <v>346</v>
      </c>
      <c r="J54" s="92" t="s">
        <v>60</v>
      </c>
      <c r="K54" s="92" t="s">
        <v>18088</v>
      </c>
    </row>
    <row r="55" spans="1:11" ht="13.8">
      <c r="A55" s="47">
        <v>502</v>
      </c>
      <c r="B55" s="92" t="s">
        <v>809</v>
      </c>
      <c r="C55" s="92" t="s">
        <v>910</v>
      </c>
      <c r="D55" s="72" t="str">
        <f>IFERROR(VLOOKUP(A55,'[1]ST-QA-ZZ5'!$C$5:$M$299,11,0),"Inspection at production line")</f>
        <v>Inspection at production line</v>
      </c>
      <c r="F55" s="92" t="s">
        <v>911</v>
      </c>
      <c r="G55" s="92" t="s">
        <v>912</v>
      </c>
      <c r="H55" s="92" t="s">
        <v>913</v>
      </c>
      <c r="I55" s="92" t="s">
        <v>346</v>
      </c>
      <c r="J55" s="92" t="s">
        <v>60</v>
      </c>
      <c r="K55" s="92" t="s">
        <v>18088</v>
      </c>
    </row>
    <row r="56" spans="1:11" ht="13.8">
      <c r="A56" s="47">
        <v>503</v>
      </c>
      <c r="B56" s="92" t="s">
        <v>811</v>
      </c>
      <c r="C56" s="92" t="s">
        <v>906</v>
      </c>
      <c r="D56" s="72" t="str">
        <f>IFERROR(VLOOKUP(A56,'[1]ST-QA-ZZ5'!$C$5:$M$299,11,0),"Inspection at production line")</f>
        <v>Inspection at production line</v>
      </c>
      <c r="F56" s="92" t="s">
        <v>914</v>
      </c>
      <c r="G56" s="92" t="s">
        <v>908</v>
      </c>
      <c r="H56" s="92" t="s">
        <v>915</v>
      </c>
      <c r="I56" s="92" t="s">
        <v>346</v>
      </c>
      <c r="J56" s="92" t="s">
        <v>60</v>
      </c>
      <c r="K56" s="92" t="s">
        <v>18088</v>
      </c>
    </row>
    <row r="57" spans="1:11" ht="13.8">
      <c r="A57" s="47">
        <v>504</v>
      </c>
      <c r="B57" s="92" t="s">
        <v>916</v>
      </c>
      <c r="C57" s="92" t="s">
        <v>917</v>
      </c>
      <c r="D57" s="72" t="str">
        <f>IFERROR(VLOOKUP(A57,'[1]ST-QA-ZZ5'!$C$5:$M$299,11,0),"Inspection at production line")</f>
        <v>Inspection at production line</v>
      </c>
      <c r="F57" s="92" t="s">
        <v>918</v>
      </c>
      <c r="G57" s="92" t="s">
        <v>898</v>
      </c>
      <c r="H57" s="92" t="s">
        <v>919</v>
      </c>
      <c r="I57" s="92" t="s">
        <v>346</v>
      </c>
      <c r="J57" s="92" t="s">
        <v>60</v>
      </c>
      <c r="K57" s="92" t="s">
        <v>18088</v>
      </c>
    </row>
    <row r="58" spans="1:11" ht="13.8">
      <c r="A58" s="47" t="s">
        <v>920</v>
      </c>
      <c r="B58" s="92" t="s">
        <v>68</v>
      </c>
      <c r="C58" s="92" t="s">
        <v>921</v>
      </c>
      <c r="D58" s="72" t="str">
        <f>IFERROR(VLOOKUP(A58,'[1]ST-QA-ZZ5'!$C$5:$M$299,11,0),"Inspection at production line")</f>
        <v>Inspection at production line</v>
      </c>
      <c r="F58" s="92" t="s">
        <v>922</v>
      </c>
      <c r="G58" s="92" t="s">
        <v>923</v>
      </c>
      <c r="H58" s="92" t="s">
        <v>924</v>
      </c>
      <c r="I58" s="92" t="s">
        <v>346</v>
      </c>
      <c r="J58" s="92" t="s">
        <v>60</v>
      </c>
      <c r="K58" s="92" t="s">
        <v>18088</v>
      </c>
    </row>
    <row r="59" spans="1:11" ht="13.8">
      <c r="A59" s="47">
        <v>506</v>
      </c>
      <c r="B59" s="92" t="s">
        <v>916</v>
      </c>
      <c r="C59" s="92" t="s">
        <v>925</v>
      </c>
      <c r="D59" s="72" t="str">
        <f>IFERROR(VLOOKUP(A59,'[1]ST-QA-ZZ5'!$C$5:$M$299,11,0),"Inspection at production line")</f>
        <v>Inspection at production line</v>
      </c>
      <c r="F59" s="92" t="s">
        <v>926</v>
      </c>
      <c r="G59" s="92" t="s">
        <v>927</v>
      </c>
      <c r="H59" s="92" t="s">
        <v>928</v>
      </c>
      <c r="I59" s="92" t="s">
        <v>346</v>
      </c>
      <c r="J59" s="92" t="s">
        <v>929</v>
      </c>
      <c r="K59" s="92" t="s">
        <v>18088</v>
      </c>
    </row>
    <row r="60" spans="1:11" ht="13.8">
      <c r="A60" s="47">
        <v>601</v>
      </c>
      <c r="B60" s="92" t="s">
        <v>555</v>
      </c>
      <c r="C60" s="92" t="s">
        <v>930</v>
      </c>
      <c r="D60" s="72" t="str">
        <f>IFERROR(VLOOKUP(A60,'[1]ST-QA-ZZ5'!$C$5:$M$299,11,0),"Inspection at production line")</f>
        <v>Inspection at production line</v>
      </c>
      <c r="F60" s="92" t="s">
        <v>931</v>
      </c>
      <c r="G60" s="92" t="s">
        <v>932</v>
      </c>
      <c r="H60" s="92" t="s">
        <v>933</v>
      </c>
      <c r="I60" s="92" t="s">
        <v>346</v>
      </c>
      <c r="J60" s="92" t="s">
        <v>60</v>
      </c>
      <c r="K60" s="92" t="s">
        <v>18088</v>
      </c>
    </row>
    <row r="61" spans="1:11" ht="13.8">
      <c r="A61" s="47">
        <v>602</v>
      </c>
      <c r="B61" s="92" t="s">
        <v>68</v>
      </c>
      <c r="C61" s="92" t="s">
        <v>934</v>
      </c>
      <c r="D61" s="72" t="str">
        <f>IFERROR(VLOOKUP(A61,'[1]ST-QA-ZZ5'!$C$5:$M$299,11,0),"Inspection at production line")</f>
        <v>Inspection at production line</v>
      </c>
      <c r="F61" s="92" t="s">
        <v>935</v>
      </c>
      <c r="G61" s="92" t="s">
        <v>936</v>
      </c>
      <c r="H61" s="92" t="s">
        <v>937</v>
      </c>
      <c r="I61" s="92" t="s">
        <v>346</v>
      </c>
      <c r="J61" s="92" t="s">
        <v>60</v>
      </c>
      <c r="K61" s="92" t="s">
        <v>18088</v>
      </c>
    </row>
    <row r="62" spans="1:11" ht="13.8">
      <c r="A62" s="47">
        <v>604</v>
      </c>
      <c r="B62" s="92" t="s">
        <v>814</v>
      </c>
      <c r="C62" s="92" t="s">
        <v>938</v>
      </c>
      <c r="D62" s="72" t="str">
        <f>IFERROR(VLOOKUP(A62,'[1]ST-QA-ZZ5'!$C$5:$M$299,11,0),"Inspection at production line")</f>
        <v>Inspection at production line</v>
      </c>
      <c r="F62" s="92" t="s">
        <v>939</v>
      </c>
      <c r="G62" s="92" t="s">
        <v>940</v>
      </c>
      <c r="H62" s="92" t="s">
        <v>33</v>
      </c>
      <c r="I62" s="92" t="s">
        <v>346</v>
      </c>
      <c r="J62" s="92" t="s">
        <v>60</v>
      </c>
      <c r="K62" s="92" t="s">
        <v>18088</v>
      </c>
    </row>
    <row r="63" spans="1:11" ht="13.8">
      <c r="A63" s="47">
        <v>605</v>
      </c>
      <c r="B63" s="92" t="s">
        <v>941</v>
      </c>
      <c r="C63" s="92" t="s">
        <v>942</v>
      </c>
      <c r="D63" s="72" t="str">
        <f>IFERROR(VLOOKUP(A63,'[1]ST-QA-ZZ5'!$C$5:$M$299,11,0),"Inspection at production line")</f>
        <v>Inspection at production line</v>
      </c>
      <c r="F63" s="92" t="s">
        <v>943</v>
      </c>
      <c r="G63" s="92" t="s">
        <v>944</v>
      </c>
      <c r="H63" s="92" t="s">
        <v>945</v>
      </c>
      <c r="I63" s="92" t="s">
        <v>346</v>
      </c>
      <c r="J63" s="92" t="s">
        <v>60</v>
      </c>
      <c r="K63" s="92" t="s">
        <v>18088</v>
      </c>
    </row>
    <row r="64" spans="1:11" ht="13.8">
      <c r="A64" s="47">
        <v>606</v>
      </c>
      <c r="B64" s="92" t="s">
        <v>946</v>
      </c>
      <c r="C64" s="92" t="s">
        <v>942</v>
      </c>
      <c r="D64" s="72" t="str">
        <f>IFERROR(VLOOKUP(A64,'[1]ST-QA-ZZ5'!$C$5:$M$299,11,0),"Inspection at production line")</f>
        <v>Inspection at production line</v>
      </c>
      <c r="F64" s="92" t="s">
        <v>947</v>
      </c>
      <c r="G64" s="92" t="s">
        <v>865</v>
      </c>
      <c r="H64" s="92" t="s">
        <v>948</v>
      </c>
      <c r="I64" s="92" t="s">
        <v>346</v>
      </c>
      <c r="J64" s="92" t="s">
        <v>60</v>
      </c>
      <c r="K64" s="92" t="s">
        <v>18088</v>
      </c>
    </row>
    <row r="65" spans="1:11" ht="13.8">
      <c r="A65" s="47">
        <v>607</v>
      </c>
      <c r="B65" s="92" t="s">
        <v>949</v>
      </c>
      <c r="C65" s="92" t="s">
        <v>942</v>
      </c>
      <c r="D65" s="72" t="str">
        <f>IFERROR(VLOOKUP(A65,'[1]ST-QA-ZZ5'!$C$5:$M$299,11,0),"Inspection at production line")</f>
        <v>Inspection at production line</v>
      </c>
      <c r="F65" s="92" t="s">
        <v>950</v>
      </c>
      <c r="G65" s="92" t="s">
        <v>951</v>
      </c>
      <c r="H65" s="92" t="s">
        <v>952</v>
      </c>
      <c r="I65" s="92" t="s">
        <v>346</v>
      </c>
      <c r="J65" s="92" t="s">
        <v>60</v>
      </c>
      <c r="K65" s="92" t="s">
        <v>18088</v>
      </c>
    </row>
    <row r="66" spans="1:11" ht="13.8">
      <c r="A66" s="47">
        <v>608</v>
      </c>
      <c r="B66" s="92" t="s">
        <v>953</v>
      </c>
      <c r="C66" s="92" t="s">
        <v>942</v>
      </c>
      <c r="D66" s="72" t="str">
        <f>IFERROR(VLOOKUP(A66,'[1]ST-QA-ZZ5'!$C$5:$M$299,11,0),"Inspection at production line")</f>
        <v>Inspection at production line</v>
      </c>
      <c r="F66" s="92" t="s">
        <v>954</v>
      </c>
      <c r="G66" s="92" t="s">
        <v>955</v>
      </c>
      <c r="H66" s="92" t="s">
        <v>956</v>
      </c>
      <c r="I66" s="92" t="s">
        <v>346</v>
      </c>
      <c r="J66" s="92" t="s">
        <v>60</v>
      </c>
      <c r="K66" s="92" t="s">
        <v>18088</v>
      </c>
    </row>
    <row r="67" spans="1:11" ht="13.8">
      <c r="A67" s="47">
        <v>609</v>
      </c>
      <c r="B67" s="92" t="s">
        <v>957</v>
      </c>
      <c r="C67" s="92" t="s">
        <v>942</v>
      </c>
      <c r="D67" s="72" t="str">
        <f>IFERROR(VLOOKUP(A67,'[1]ST-QA-ZZ5'!$C$5:$M$299,11,0),"Inspection at production line")</f>
        <v>Inspection at production line</v>
      </c>
      <c r="F67" s="92" t="s">
        <v>958</v>
      </c>
      <c r="G67" s="92" t="s">
        <v>959</v>
      </c>
      <c r="H67" s="92" t="s">
        <v>960</v>
      </c>
      <c r="I67" s="92" t="s">
        <v>346</v>
      </c>
      <c r="J67" s="92" t="s">
        <v>71</v>
      </c>
      <c r="K67" s="92" t="s">
        <v>18088</v>
      </c>
    </row>
    <row r="68" spans="1:11" ht="13.8">
      <c r="A68" s="47">
        <v>610</v>
      </c>
      <c r="B68" s="92" t="s">
        <v>961</v>
      </c>
      <c r="C68" s="92" t="s">
        <v>942</v>
      </c>
      <c r="D68" s="72" t="str">
        <f>IFERROR(VLOOKUP(A68,'[1]ST-QA-ZZ5'!$C$5:$M$299,11,0),"Inspection at production line")</f>
        <v>Inspection at production line</v>
      </c>
      <c r="F68" s="92" t="s">
        <v>351</v>
      </c>
      <c r="G68" s="92" t="s">
        <v>352</v>
      </c>
      <c r="H68" s="92" t="s">
        <v>353</v>
      </c>
      <c r="I68" s="92" t="s">
        <v>346</v>
      </c>
      <c r="J68" s="92" t="s">
        <v>60</v>
      </c>
      <c r="K68" s="92" t="s">
        <v>18088</v>
      </c>
    </row>
    <row r="69" spans="1:11" ht="13.8">
      <c r="A69" s="47">
        <v>611</v>
      </c>
      <c r="B69" s="92" t="s">
        <v>797</v>
      </c>
      <c r="C69" s="92" t="s">
        <v>942</v>
      </c>
      <c r="D69" s="72" t="str">
        <f>IFERROR(VLOOKUP(A69,'[1]ST-QA-ZZ5'!$C$5:$M$299,11,0),"Inspection at production line")</f>
        <v>Inspection at production line</v>
      </c>
      <c r="F69" s="92" t="s">
        <v>962</v>
      </c>
      <c r="G69" s="92" t="s">
        <v>371</v>
      </c>
      <c r="H69" s="92" t="s">
        <v>963</v>
      </c>
      <c r="I69" s="92" t="s">
        <v>346</v>
      </c>
      <c r="J69" s="92" t="s">
        <v>60</v>
      </c>
      <c r="K69" s="92" t="s">
        <v>18088</v>
      </c>
    </row>
    <row r="70" spans="1:11" ht="13.8">
      <c r="A70" s="47">
        <v>612</v>
      </c>
      <c r="B70" s="92" t="s">
        <v>814</v>
      </c>
      <c r="C70" s="92" t="s">
        <v>964</v>
      </c>
      <c r="D70" s="72" t="str">
        <f>IFERROR(VLOOKUP(A70,'[1]ST-QA-ZZ5'!$C$5:$M$299,11,0),"Inspection at production line")</f>
        <v>Inspection at production line</v>
      </c>
      <c r="F70" s="92" t="s">
        <v>965</v>
      </c>
      <c r="G70" s="92" t="s">
        <v>932</v>
      </c>
      <c r="H70" s="92" t="s">
        <v>966</v>
      </c>
      <c r="I70" s="92" t="s">
        <v>346</v>
      </c>
      <c r="J70" s="92" t="s">
        <v>60</v>
      </c>
      <c r="K70" s="92" t="s">
        <v>18088</v>
      </c>
    </row>
    <row r="71" spans="1:11" ht="13.8">
      <c r="A71" s="47">
        <v>613</v>
      </c>
      <c r="B71" s="92" t="s">
        <v>905</v>
      </c>
      <c r="C71" s="92" t="s">
        <v>967</v>
      </c>
      <c r="D71" s="72" t="str">
        <f>IFERROR(VLOOKUP(A71,'[1]ST-QA-ZZ5'!$C$5:$M$299,11,0),"Inspection at production line")</f>
        <v>Inspection at production line</v>
      </c>
      <c r="F71" s="92" t="s">
        <v>968</v>
      </c>
      <c r="G71" s="92" t="s">
        <v>397</v>
      </c>
      <c r="H71" s="92" t="s">
        <v>969</v>
      </c>
      <c r="I71" s="92" t="s">
        <v>346</v>
      </c>
      <c r="J71" s="92" t="s">
        <v>60</v>
      </c>
      <c r="K71" s="92" t="s">
        <v>18088</v>
      </c>
    </row>
    <row r="72" spans="1:11" ht="13.8">
      <c r="A72" s="47">
        <v>616</v>
      </c>
      <c r="B72" s="92" t="s">
        <v>877</v>
      </c>
      <c r="C72" s="92" t="s">
        <v>970</v>
      </c>
      <c r="D72" s="72" t="str">
        <f>IFERROR(VLOOKUP(A72,'[1]ST-QA-ZZ5'!$C$5:$M$299,11,0),"Inspection at production line")</f>
        <v>Inspection at production line</v>
      </c>
      <c r="F72" s="92" t="s">
        <v>971</v>
      </c>
      <c r="G72" s="92" t="s">
        <v>972</v>
      </c>
      <c r="H72" s="92" t="s">
        <v>973</v>
      </c>
      <c r="I72" s="92" t="s">
        <v>974</v>
      </c>
      <c r="J72" s="92" t="s">
        <v>60</v>
      </c>
      <c r="K72" s="92" t="s">
        <v>681</v>
      </c>
    </row>
    <row r="73" spans="1:11" ht="13.8">
      <c r="A73" s="47">
        <v>618</v>
      </c>
      <c r="B73" s="92" t="s">
        <v>975</v>
      </c>
      <c r="C73" s="92" t="s">
        <v>976</v>
      </c>
      <c r="D73" s="72" t="str">
        <f>IFERROR(VLOOKUP(A73,'[1]ST-QA-ZZ5'!$C$5:$M$299,11,0),"Inspection at production line")</f>
        <v>Inspection at production line</v>
      </c>
      <c r="F73" s="92" t="s">
        <v>977</v>
      </c>
      <c r="G73" s="92" t="s">
        <v>978</v>
      </c>
      <c r="H73" s="92" t="s">
        <v>979</v>
      </c>
      <c r="I73" s="92" t="s">
        <v>980</v>
      </c>
      <c r="J73" s="92" t="s">
        <v>60</v>
      </c>
      <c r="K73" s="92" t="s">
        <v>681</v>
      </c>
    </row>
    <row r="74" spans="1:11" ht="13.8">
      <c r="A74" s="47">
        <v>619</v>
      </c>
      <c r="B74" s="92" t="s">
        <v>877</v>
      </c>
      <c r="C74" s="92" t="s">
        <v>981</v>
      </c>
      <c r="D74" s="72" t="str">
        <f>IFERROR(VLOOKUP(A74,'[1]ST-QA-ZZ5'!$C$5:$M$299,11,0),"Inspection at production line")</f>
        <v>Inspection at production line</v>
      </c>
      <c r="F74" s="92" t="s">
        <v>982</v>
      </c>
      <c r="G74" s="92" t="s">
        <v>983</v>
      </c>
      <c r="H74" s="92" t="s">
        <v>984</v>
      </c>
      <c r="I74" s="92" t="s">
        <v>980</v>
      </c>
      <c r="J74" s="92" t="s">
        <v>60</v>
      </c>
      <c r="K74" s="92" t="s">
        <v>681</v>
      </c>
    </row>
    <row r="75" spans="1:11" ht="13.8">
      <c r="A75" s="47">
        <v>620</v>
      </c>
      <c r="B75" s="92" t="s">
        <v>68</v>
      </c>
      <c r="C75" s="92" t="s">
        <v>985</v>
      </c>
      <c r="D75" s="72" t="str">
        <f>IFERROR(VLOOKUP(A75,'[1]ST-QA-ZZ5'!$C$5:$M$299,11,0),"Inspection at production line")</f>
        <v>Inspection at production line</v>
      </c>
      <c r="F75" s="92" t="s">
        <v>986</v>
      </c>
      <c r="G75" s="92" t="s">
        <v>983</v>
      </c>
      <c r="H75" s="92" t="s">
        <v>987</v>
      </c>
      <c r="I75" s="92" t="s">
        <v>980</v>
      </c>
      <c r="J75" s="92" t="s">
        <v>60</v>
      </c>
      <c r="K75" s="92" t="s">
        <v>681</v>
      </c>
    </row>
    <row r="76" spans="1:11" ht="13.8">
      <c r="A76" s="47">
        <v>632</v>
      </c>
      <c r="B76" s="92" t="s">
        <v>905</v>
      </c>
      <c r="C76" s="92" t="s">
        <v>988</v>
      </c>
      <c r="D76" s="72" t="str">
        <f>IFERROR(VLOOKUP(A76,'[1]ST-QA-ZZ5'!$C$5:$M$299,11,0),"Inspection at production line")</f>
        <v>Inspection at production line</v>
      </c>
      <c r="F76" s="92" t="s">
        <v>989</v>
      </c>
      <c r="G76" s="92" t="s">
        <v>990</v>
      </c>
      <c r="H76" s="92" t="s">
        <v>991</v>
      </c>
      <c r="I76" s="92" t="s">
        <v>980</v>
      </c>
      <c r="J76" s="92" t="s">
        <v>60</v>
      </c>
      <c r="K76" s="92" t="s">
        <v>681</v>
      </c>
    </row>
    <row r="77" spans="1:11" ht="13.8">
      <c r="A77" s="47">
        <v>633</v>
      </c>
      <c r="B77" s="92" t="s">
        <v>404</v>
      </c>
      <c r="C77" s="92" t="s">
        <v>992</v>
      </c>
      <c r="D77" s="72" t="str">
        <f>IFERROR(VLOOKUP(A77,'[1]ST-QA-ZZ5'!$C$5:$M$299,11,0),"Inspection at production line")</f>
        <v>Inspection at production line</v>
      </c>
      <c r="F77" s="92" t="s">
        <v>993</v>
      </c>
      <c r="G77" s="92" t="s">
        <v>994</v>
      </c>
      <c r="H77" s="92" t="s">
        <v>995</v>
      </c>
      <c r="I77" s="92" t="s">
        <v>996</v>
      </c>
      <c r="J77" s="92" t="s">
        <v>60</v>
      </c>
      <c r="K77" s="92" t="s">
        <v>681</v>
      </c>
    </row>
    <row r="78" spans="1:11" ht="13.8">
      <c r="A78" s="47">
        <v>7000</v>
      </c>
      <c r="B78" s="92" t="s">
        <v>997</v>
      </c>
      <c r="C78" s="92" t="s">
        <v>998</v>
      </c>
      <c r="D78" s="72" t="str">
        <f>IFERROR(VLOOKUP(A78,'[1]ST-QA-ZZ5'!$C$5:$M$299,11,0),"Inspection at production line")</f>
        <v>Inspection at production line</v>
      </c>
      <c r="F78" s="92" t="s">
        <v>999</v>
      </c>
      <c r="G78" s="92" t="s">
        <v>994</v>
      </c>
      <c r="H78" s="92" t="s">
        <v>1000</v>
      </c>
      <c r="I78" s="92" t="s">
        <v>996</v>
      </c>
      <c r="J78" s="92" t="s">
        <v>60</v>
      </c>
      <c r="K78" s="92" t="s">
        <v>681</v>
      </c>
    </row>
    <row r="79" spans="1:11" ht="13.8">
      <c r="A79" s="47">
        <v>7002</v>
      </c>
      <c r="B79" s="92" t="s">
        <v>1001</v>
      </c>
      <c r="C79" s="92" t="s">
        <v>1002</v>
      </c>
      <c r="D79" s="72" t="str">
        <f>IFERROR(VLOOKUP(A79,'[1]ST-QA-ZZ5'!$C$5:$M$299,11,0),"Inspection at production line")</f>
        <v>Inspection at production line</v>
      </c>
      <c r="F79" s="92" t="s">
        <v>1003</v>
      </c>
      <c r="G79" s="92" t="s">
        <v>994</v>
      </c>
      <c r="H79" s="92" t="s">
        <v>1004</v>
      </c>
      <c r="I79" s="92" t="s">
        <v>996</v>
      </c>
      <c r="J79" s="92" t="s">
        <v>60</v>
      </c>
      <c r="K79" s="92" t="s">
        <v>681</v>
      </c>
    </row>
    <row r="80" spans="1:11" ht="13.8">
      <c r="A80" s="47">
        <v>7003</v>
      </c>
      <c r="B80" s="92" t="s">
        <v>1001</v>
      </c>
      <c r="C80" s="92" t="s">
        <v>1005</v>
      </c>
      <c r="D80" s="72" t="str">
        <f>IFERROR(VLOOKUP(A80,'[1]ST-QA-ZZ5'!$C$5:$M$299,11,0),"Inspection at production line")</f>
        <v>Inspection at production line</v>
      </c>
      <c r="F80" s="92" t="s">
        <v>1006</v>
      </c>
      <c r="G80" s="92" t="s">
        <v>994</v>
      </c>
      <c r="H80" s="92" t="s">
        <v>1007</v>
      </c>
      <c r="I80" s="92" t="s">
        <v>996</v>
      </c>
      <c r="J80" s="92" t="s">
        <v>60</v>
      </c>
      <c r="K80" s="92" t="s">
        <v>681</v>
      </c>
    </row>
    <row r="81" spans="1:11" ht="13.8">
      <c r="A81" s="47">
        <v>7004</v>
      </c>
      <c r="B81" s="92" t="s">
        <v>1001</v>
      </c>
      <c r="C81" s="92" t="s">
        <v>1008</v>
      </c>
      <c r="D81" s="72" t="str">
        <f>IFERROR(VLOOKUP(A81,'[1]ST-QA-ZZ5'!$C$5:$M$299,11,0),"Inspection at production line")</f>
        <v>Inspection at production line</v>
      </c>
      <c r="F81" s="92" t="s">
        <v>1009</v>
      </c>
      <c r="G81" s="92" t="s">
        <v>813</v>
      </c>
      <c r="H81" s="92" t="s">
        <v>1010</v>
      </c>
      <c r="I81" s="92" t="s">
        <v>996</v>
      </c>
      <c r="J81" s="92" t="s">
        <v>60</v>
      </c>
      <c r="K81" s="92" t="s">
        <v>681</v>
      </c>
    </row>
    <row r="82" spans="1:11" ht="13.8">
      <c r="A82" s="47">
        <v>7005</v>
      </c>
      <c r="B82" s="92" t="s">
        <v>1001</v>
      </c>
      <c r="C82" s="92" t="s">
        <v>1011</v>
      </c>
      <c r="D82" s="72" t="str">
        <f>IFERROR(VLOOKUP(A82,'[1]ST-QA-ZZ5'!$C$5:$M$299,11,0),"Inspection at production line")</f>
        <v>Inspection at production line</v>
      </c>
      <c r="F82" s="92" t="s">
        <v>1012</v>
      </c>
      <c r="G82" s="92" t="s">
        <v>898</v>
      </c>
      <c r="H82" s="92" t="s">
        <v>1013</v>
      </c>
      <c r="I82" s="92" t="s">
        <v>996</v>
      </c>
      <c r="J82" s="92" t="s">
        <v>60</v>
      </c>
      <c r="K82" s="92" t="s">
        <v>681</v>
      </c>
    </row>
    <row r="83" spans="1:11" ht="13.8">
      <c r="A83" s="47">
        <v>7006</v>
      </c>
      <c r="B83" s="92" t="s">
        <v>1001</v>
      </c>
      <c r="C83" s="92" t="s">
        <v>1014</v>
      </c>
      <c r="D83" s="72" t="str">
        <f>IFERROR(VLOOKUP(A83,'[1]ST-QA-ZZ5'!$C$5:$M$299,11,0),"Inspection at production line")</f>
        <v>Inspection at production line</v>
      </c>
      <c r="F83" s="92" t="s">
        <v>1015</v>
      </c>
      <c r="G83" s="92" t="s">
        <v>1016</v>
      </c>
      <c r="H83" s="92" t="s">
        <v>1017</v>
      </c>
      <c r="I83" s="92" t="s">
        <v>996</v>
      </c>
      <c r="J83" s="92" t="s">
        <v>60</v>
      </c>
      <c r="K83" s="92" t="s">
        <v>681</v>
      </c>
    </row>
    <row r="84" spans="1:11" ht="13.8">
      <c r="A84" s="47">
        <v>7009</v>
      </c>
      <c r="B84" s="92" t="s">
        <v>1001</v>
      </c>
      <c r="C84" s="92" t="s">
        <v>1018</v>
      </c>
      <c r="D84" s="72" t="str">
        <f>IFERROR(VLOOKUP(A84,'[1]ST-QA-ZZ5'!$C$5:$M$299,11,0),"Inspection at production line")</f>
        <v>Inspection at production line</v>
      </c>
      <c r="F84" s="92" t="s">
        <v>1019</v>
      </c>
      <c r="G84" s="92" t="s">
        <v>371</v>
      </c>
      <c r="H84" s="92" t="s">
        <v>372</v>
      </c>
      <c r="I84" s="92" t="s">
        <v>996</v>
      </c>
      <c r="J84" s="92" t="s">
        <v>60</v>
      </c>
      <c r="K84" s="92" t="s">
        <v>681</v>
      </c>
    </row>
    <row r="85" spans="1:11" ht="13.8">
      <c r="A85" s="47">
        <v>701</v>
      </c>
      <c r="B85" s="92" t="s">
        <v>1001</v>
      </c>
      <c r="C85" s="92" t="s">
        <v>1020</v>
      </c>
      <c r="D85" s="72" t="str">
        <f>IFERROR(VLOOKUP(A85,'[1]ST-QA-ZZ5'!$C$5:$M$299,11,0),"Inspection at production line")</f>
        <v>Inspection at production line</v>
      </c>
      <c r="F85" s="92" t="s">
        <v>1021</v>
      </c>
      <c r="G85" s="92" t="s">
        <v>936</v>
      </c>
      <c r="H85" s="92" t="s">
        <v>1022</v>
      </c>
      <c r="I85" s="92" t="s">
        <v>996</v>
      </c>
      <c r="J85" s="92" t="s">
        <v>60</v>
      </c>
      <c r="K85" s="92" t="s">
        <v>681</v>
      </c>
    </row>
    <row r="86" spans="1:11" ht="13.8">
      <c r="A86" s="47">
        <v>7010</v>
      </c>
      <c r="B86" s="92" t="s">
        <v>1001</v>
      </c>
      <c r="C86" s="92" t="s">
        <v>1023</v>
      </c>
      <c r="D86" s="72" t="str">
        <f>IFERROR(VLOOKUP(A86,'[1]ST-QA-ZZ5'!$C$5:$M$299,11,0),"Inspection at production line")</f>
        <v>Inspection at production line</v>
      </c>
      <c r="F86" s="92" t="s">
        <v>1024</v>
      </c>
      <c r="G86" s="92" t="s">
        <v>404</v>
      </c>
      <c r="H86" s="92" t="s">
        <v>1025</v>
      </c>
      <c r="I86" s="92" t="s">
        <v>996</v>
      </c>
      <c r="J86" s="92" t="s">
        <v>60</v>
      </c>
      <c r="K86" s="92" t="s">
        <v>681</v>
      </c>
    </row>
    <row r="87" spans="1:11" ht="13.8">
      <c r="A87" s="47">
        <v>7012</v>
      </c>
      <c r="B87" s="92" t="s">
        <v>997</v>
      </c>
      <c r="C87" s="92" t="s">
        <v>1026</v>
      </c>
      <c r="D87" s="72" t="str">
        <f>IFERROR(VLOOKUP(A87,'[1]ST-QA-ZZ5'!$C$5:$M$299,11,0),"Inspection at production line")</f>
        <v>Inspection at production line</v>
      </c>
      <c r="F87" s="92" t="s">
        <v>1027</v>
      </c>
      <c r="G87" s="92" t="s">
        <v>404</v>
      </c>
      <c r="H87" s="92" t="s">
        <v>1028</v>
      </c>
      <c r="I87" s="92" t="s">
        <v>996</v>
      </c>
      <c r="J87" s="92" t="s">
        <v>60</v>
      </c>
      <c r="K87" s="92" t="s">
        <v>681</v>
      </c>
    </row>
    <row r="88" spans="1:11" ht="13.8">
      <c r="A88" s="47">
        <v>7013</v>
      </c>
      <c r="B88" s="92" t="s">
        <v>1001</v>
      </c>
      <c r="C88" s="92" t="s">
        <v>1029</v>
      </c>
      <c r="D88" s="72" t="str">
        <f>IFERROR(VLOOKUP(A88,'[1]ST-QA-ZZ5'!$C$5:$M$299,11,0),"Inspection at production line")</f>
        <v>Inspection at production line</v>
      </c>
      <c r="F88" s="92" t="s">
        <v>1030</v>
      </c>
      <c r="G88" s="92" t="s">
        <v>404</v>
      </c>
      <c r="H88" s="92" t="s">
        <v>1031</v>
      </c>
      <c r="I88" s="92" t="s">
        <v>996</v>
      </c>
      <c r="J88" s="92" t="s">
        <v>60</v>
      </c>
      <c r="K88" s="92" t="s">
        <v>681</v>
      </c>
    </row>
    <row r="89" spans="1:11" ht="13.8">
      <c r="A89" s="47">
        <v>7015</v>
      </c>
      <c r="B89" s="92" t="s">
        <v>1001</v>
      </c>
      <c r="C89" s="92" t="s">
        <v>1032</v>
      </c>
      <c r="D89" s="72" t="str">
        <f>IFERROR(VLOOKUP(A89,'[1]ST-QA-ZZ5'!$C$5:$M$299,11,0),"Inspection at production line")</f>
        <v>Inspection at production line</v>
      </c>
      <c r="F89" s="92" t="s">
        <v>1033</v>
      </c>
      <c r="G89" s="92" t="s">
        <v>404</v>
      </c>
      <c r="H89" s="92" t="s">
        <v>1034</v>
      </c>
      <c r="I89" s="92" t="s">
        <v>996</v>
      </c>
      <c r="J89" s="92" t="s">
        <v>60</v>
      </c>
      <c r="K89" s="92" t="s">
        <v>681</v>
      </c>
    </row>
    <row r="90" spans="1:11" ht="13.8">
      <c r="A90" s="47">
        <v>7017</v>
      </c>
      <c r="B90" s="92" t="s">
        <v>1001</v>
      </c>
      <c r="C90" s="92" t="s">
        <v>1035</v>
      </c>
      <c r="D90" s="72" t="str">
        <f>IFERROR(VLOOKUP(A90,'[1]ST-QA-ZZ5'!$C$5:$M$299,11,0),"Inspection at production line")</f>
        <v>Inspection at production line</v>
      </c>
      <c r="F90" s="92" t="s">
        <v>1036</v>
      </c>
      <c r="G90" s="92" t="s">
        <v>404</v>
      </c>
      <c r="H90" s="92" t="s">
        <v>1037</v>
      </c>
      <c r="I90" s="92" t="s">
        <v>996</v>
      </c>
      <c r="J90" s="92" t="s">
        <v>60</v>
      </c>
      <c r="K90" s="92" t="s">
        <v>681</v>
      </c>
    </row>
    <row r="91" spans="1:11" ht="13.8">
      <c r="A91" s="47">
        <v>7018</v>
      </c>
      <c r="B91" s="92" t="s">
        <v>1001</v>
      </c>
      <c r="C91" s="92" t="s">
        <v>1038</v>
      </c>
      <c r="D91" s="72" t="str">
        <f>IFERROR(VLOOKUP(A91,'[1]ST-QA-ZZ5'!$C$5:$M$299,11,0),"Inspection at production line")</f>
        <v>Inspection at production line</v>
      </c>
      <c r="F91" s="92" t="s">
        <v>1039</v>
      </c>
      <c r="G91" s="92" t="s">
        <v>865</v>
      </c>
      <c r="H91" s="92" t="s">
        <v>1040</v>
      </c>
      <c r="I91" s="92" t="s">
        <v>996</v>
      </c>
      <c r="J91" s="92" t="s">
        <v>60</v>
      </c>
      <c r="K91" s="92" t="s">
        <v>681</v>
      </c>
    </row>
    <row r="92" spans="1:11" ht="13.8">
      <c r="A92" s="47">
        <v>7020</v>
      </c>
      <c r="B92" s="92" t="s">
        <v>1001</v>
      </c>
      <c r="C92" s="92" t="s">
        <v>1041</v>
      </c>
      <c r="D92" s="72" t="str">
        <f>IFERROR(VLOOKUP(A92,'[1]ST-QA-ZZ5'!$C$5:$M$299,11,0),"Inspection at production line")</f>
        <v>Inspection at production line</v>
      </c>
      <c r="F92" s="92" t="s">
        <v>1042</v>
      </c>
      <c r="G92" s="92" t="s">
        <v>811</v>
      </c>
      <c r="H92" s="92" t="s">
        <v>1043</v>
      </c>
      <c r="I92" s="92" t="s">
        <v>996</v>
      </c>
      <c r="J92" s="92" t="s">
        <v>60</v>
      </c>
      <c r="K92" s="92" t="s">
        <v>681</v>
      </c>
    </row>
    <row r="93" spans="1:11" ht="13.8">
      <c r="A93" s="47">
        <v>7022</v>
      </c>
      <c r="B93" s="92" t="s">
        <v>1001</v>
      </c>
      <c r="C93" s="92" t="s">
        <v>1044</v>
      </c>
      <c r="D93" s="72" t="str">
        <f>IFERROR(VLOOKUP(A93,'[1]ST-QA-ZZ5'!$C$5:$M$299,11,0),"Inspection at production line")</f>
        <v>Inspection at production line</v>
      </c>
      <c r="F93" s="92" t="s">
        <v>1045</v>
      </c>
      <c r="G93" s="92" t="s">
        <v>1046</v>
      </c>
      <c r="H93" s="92" t="s">
        <v>1047</v>
      </c>
      <c r="I93" s="92" t="s">
        <v>996</v>
      </c>
      <c r="J93" s="92" t="s">
        <v>60</v>
      </c>
      <c r="K93" s="92" t="s">
        <v>681</v>
      </c>
    </row>
    <row r="94" spans="1:11" ht="13.8">
      <c r="A94" s="47">
        <v>7023</v>
      </c>
      <c r="B94" s="92" t="s">
        <v>1001</v>
      </c>
      <c r="C94" s="92" t="s">
        <v>1048</v>
      </c>
      <c r="D94" s="72" t="str">
        <f>IFERROR(VLOOKUP(A94,'[1]ST-QA-ZZ5'!$C$5:$M$299,11,0),"Inspection at production line")</f>
        <v>Inspection at production line</v>
      </c>
      <c r="F94" s="92" t="s">
        <v>1049</v>
      </c>
      <c r="G94" s="92" t="s">
        <v>1050</v>
      </c>
      <c r="H94" s="92" t="s">
        <v>1051</v>
      </c>
      <c r="I94" s="92" t="s">
        <v>996</v>
      </c>
      <c r="J94" s="92" t="s">
        <v>60</v>
      </c>
      <c r="K94" s="92" t="s">
        <v>681</v>
      </c>
    </row>
    <row r="95" spans="1:11" ht="13.8">
      <c r="A95" s="47">
        <v>7024</v>
      </c>
      <c r="B95" s="92" t="s">
        <v>1001</v>
      </c>
      <c r="C95" s="92" t="s">
        <v>1052</v>
      </c>
      <c r="D95" s="72" t="str">
        <f>IFERROR(VLOOKUP(A95,'[1]ST-QA-ZZ5'!$C$5:$M$299,11,0),"Inspection at production line")</f>
        <v>Inspection at production line</v>
      </c>
      <c r="F95" s="92" t="s">
        <v>1053</v>
      </c>
      <c r="G95" s="92" t="s">
        <v>90</v>
      </c>
      <c r="H95" s="92" t="s">
        <v>1054</v>
      </c>
      <c r="I95" s="92" t="s">
        <v>996</v>
      </c>
      <c r="J95" s="92" t="s">
        <v>60</v>
      </c>
      <c r="K95" s="92" t="s">
        <v>681</v>
      </c>
    </row>
    <row r="96" spans="1:11" ht="13.8">
      <c r="A96" s="47">
        <v>7025</v>
      </c>
      <c r="B96" s="92" t="s">
        <v>997</v>
      </c>
      <c r="C96" s="92" t="s">
        <v>1055</v>
      </c>
      <c r="D96" s="72" t="str">
        <f>IFERROR(VLOOKUP(A96,'[1]ST-QA-ZZ5'!$C$5:$M$299,11,0),"Inspection at production line")</f>
        <v>Inspection at production line</v>
      </c>
      <c r="F96" s="92" t="s">
        <v>1056</v>
      </c>
      <c r="G96" s="92" t="s">
        <v>1057</v>
      </c>
      <c r="H96" s="92" t="s">
        <v>952</v>
      </c>
      <c r="I96" s="92" t="s">
        <v>996</v>
      </c>
      <c r="J96" s="92" t="s">
        <v>60</v>
      </c>
      <c r="K96" s="92" t="s">
        <v>681</v>
      </c>
    </row>
    <row r="97" spans="1:11" ht="13.8">
      <c r="A97" s="47">
        <v>7026</v>
      </c>
      <c r="B97" s="92" t="s">
        <v>1001</v>
      </c>
      <c r="C97" s="92" t="s">
        <v>1058</v>
      </c>
      <c r="D97" s="72" t="str">
        <f>IFERROR(VLOOKUP(A97,'[1]ST-QA-ZZ5'!$C$5:$M$299,11,0),"Inspection at production line")</f>
        <v>Inspection at production line</v>
      </c>
      <c r="F97" s="92" t="s">
        <v>1059</v>
      </c>
      <c r="G97" s="92" t="s">
        <v>877</v>
      </c>
      <c r="H97" s="92" t="s">
        <v>1060</v>
      </c>
      <c r="I97" s="92" t="s">
        <v>996</v>
      </c>
      <c r="J97" s="92" t="s">
        <v>60</v>
      </c>
      <c r="K97" s="92" t="s">
        <v>681</v>
      </c>
    </row>
    <row r="98" spans="1:11" ht="13.8">
      <c r="A98" s="47">
        <v>7027</v>
      </c>
      <c r="B98" s="92" t="s">
        <v>1001</v>
      </c>
      <c r="C98" s="92" t="s">
        <v>1061</v>
      </c>
      <c r="D98" s="72" t="str">
        <f>IFERROR(VLOOKUP(A98,'[1]ST-QA-ZZ5'!$C$5:$M$299,11,0),"Inspection at production line")</f>
        <v>Inspection at production line</v>
      </c>
      <c r="F98" s="92" t="s">
        <v>1062</v>
      </c>
      <c r="G98" s="92" t="s">
        <v>1063</v>
      </c>
      <c r="H98" s="92" t="s">
        <v>1064</v>
      </c>
      <c r="I98" s="92" t="s">
        <v>996</v>
      </c>
      <c r="J98" s="92" t="s">
        <v>60</v>
      </c>
      <c r="K98" s="92" t="s">
        <v>681</v>
      </c>
    </row>
    <row r="99" spans="1:11" ht="13.8">
      <c r="A99" s="47">
        <v>7028</v>
      </c>
      <c r="B99" s="92" t="s">
        <v>1001</v>
      </c>
      <c r="C99" s="92" t="s">
        <v>1065</v>
      </c>
      <c r="D99" s="72" t="str">
        <f>IFERROR(VLOOKUP(A99,'[1]ST-QA-ZZ5'!$C$5:$M$299,11,0),"Inspection at production line")</f>
        <v>Inspection at production line</v>
      </c>
      <c r="F99" s="92" t="s">
        <v>1066</v>
      </c>
      <c r="G99" s="92" t="s">
        <v>818</v>
      </c>
      <c r="H99" s="92" t="s">
        <v>1067</v>
      </c>
      <c r="I99" s="92" t="s">
        <v>996</v>
      </c>
      <c r="J99" s="92" t="s">
        <v>60</v>
      </c>
      <c r="K99" s="92" t="s">
        <v>681</v>
      </c>
    </row>
    <row r="100" spans="1:11" ht="13.8">
      <c r="A100" s="47">
        <v>7030</v>
      </c>
      <c r="B100" s="92" t="s">
        <v>1001</v>
      </c>
      <c r="C100" s="92" t="s">
        <v>1068</v>
      </c>
      <c r="D100" s="72" t="str">
        <f>IFERROR(VLOOKUP(A100,'[1]ST-QA-ZZ5'!$C$5:$M$299,11,0),"Inspection at production line")</f>
        <v>Inspection at production line</v>
      </c>
      <c r="F100" s="92" t="s">
        <v>1069</v>
      </c>
      <c r="G100" s="92" t="s">
        <v>1070</v>
      </c>
      <c r="H100" s="92" t="s">
        <v>1071</v>
      </c>
      <c r="I100" s="92" t="s">
        <v>996</v>
      </c>
      <c r="J100" s="92" t="s">
        <v>60</v>
      </c>
      <c r="K100" s="92" t="s">
        <v>681</v>
      </c>
    </row>
    <row r="101" spans="1:11" ht="13.8">
      <c r="A101" s="47">
        <v>7033</v>
      </c>
      <c r="B101" s="92" t="s">
        <v>1001</v>
      </c>
      <c r="C101" s="92" t="s">
        <v>1072</v>
      </c>
      <c r="D101" s="72" t="str">
        <f>IFERROR(VLOOKUP(A101,'[1]ST-QA-ZZ5'!$C$5:$M$299,11,0),"Inspection at production line")</f>
        <v>Inspection at production line</v>
      </c>
      <c r="F101" s="92" t="s">
        <v>1073</v>
      </c>
      <c r="G101" s="92" t="s">
        <v>1070</v>
      </c>
      <c r="H101" s="92" t="s">
        <v>1074</v>
      </c>
      <c r="I101" s="92" t="s">
        <v>996</v>
      </c>
      <c r="J101" s="92" t="s">
        <v>60</v>
      </c>
      <c r="K101" s="92" t="s">
        <v>681</v>
      </c>
    </row>
    <row r="102" spans="1:11" ht="13.8">
      <c r="A102" s="47">
        <v>7034</v>
      </c>
      <c r="B102" s="92" t="s">
        <v>1001</v>
      </c>
      <c r="C102" s="92" t="s">
        <v>1075</v>
      </c>
      <c r="D102" s="72" t="str">
        <f>IFERROR(VLOOKUP(A102,'[1]ST-QA-ZZ5'!$C$5:$M$299,11,0),"Inspection at production line")</f>
        <v>Inspection at production line</v>
      </c>
      <c r="F102" s="92" t="s">
        <v>1076</v>
      </c>
      <c r="G102" s="92" t="s">
        <v>818</v>
      </c>
      <c r="H102" s="92" t="s">
        <v>1077</v>
      </c>
      <c r="I102" s="92" t="s">
        <v>996</v>
      </c>
      <c r="J102" s="92" t="s">
        <v>60</v>
      </c>
      <c r="K102" s="92" t="s">
        <v>681</v>
      </c>
    </row>
    <row r="103" spans="1:11" ht="13.8">
      <c r="A103" s="47">
        <v>7035</v>
      </c>
      <c r="B103" s="92" t="s">
        <v>1001</v>
      </c>
      <c r="C103" s="92" t="s">
        <v>1078</v>
      </c>
      <c r="D103" s="72" t="str">
        <f>IFERROR(VLOOKUP(A103,'[1]ST-QA-ZZ5'!$C$5:$M$299,11,0),"Inspection at production line")</f>
        <v>Inspection at production line</v>
      </c>
      <c r="F103" s="92" t="s">
        <v>1079</v>
      </c>
      <c r="G103" s="92" t="s">
        <v>404</v>
      </c>
      <c r="H103" s="92" t="s">
        <v>1080</v>
      </c>
      <c r="I103" s="92" t="s">
        <v>996</v>
      </c>
      <c r="J103" s="92" t="s">
        <v>60</v>
      </c>
      <c r="K103" s="92" t="s">
        <v>681</v>
      </c>
    </row>
    <row r="104" spans="1:11" ht="13.8">
      <c r="A104" s="47">
        <v>7036</v>
      </c>
      <c r="B104" s="92" t="s">
        <v>1001</v>
      </c>
      <c r="C104" s="92" t="s">
        <v>1081</v>
      </c>
      <c r="D104" s="72" t="str">
        <f>IFERROR(VLOOKUP(A104,'[1]ST-QA-ZZ5'!$C$5:$M$299,11,0),"Inspection at production line")</f>
        <v>Inspection at production line</v>
      </c>
      <c r="F104" s="92" t="s">
        <v>1082</v>
      </c>
      <c r="G104" s="92" t="s">
        <v>404</v>
      </c>
      <c r="H104" s="92" t="s">
        <v>1083</v>
      </c>
      <c r="I104" s="92" t="s">
        <v>996</v>
      </c>
      <c r="J104" s="92" t="s">
        <v>60</v>
      </c>
      <c r="K104" s="92" t="s">
        <v>681</v>
      </c>
    </row>
    <row r="105" spans="1:11" ht="13.8">
      <c r="A105" s="47">
        <v>7037</v>
      </c>
      <c r="B105" s="92" t="s">
        <v>1001</v>
      </c>
      <c r="C105" s="92" t="s">
        <v>1084</v>
      </c>
      <c r="D105" s="72" t="str">
        <f>IFERROR(VLOOKUP(A105,'[1]ST-QA-ZZ5'!$C$5:$M$299,11,0),"Inspection at production line")</f>
        <v>Inspection at production line</v>
      </c>
      <c r="F105" s="92" t="s">
        <v>1085</v>
      </c>
      <c r="G105" s="92" t="s">
        <v>994</v>
      </c>
      <c r="H105" s="92" t="s">
        <v>1086</v>
      </c>
      <c r="I105" s="92" t="s">
        <v>996</v>
      </c>
      <c r="J105" s="92" t="s">
        <v>60</v>
      </c>
      <c r="K105" s="92" t="s">
        <v>681</v>
      </c>
    </row>
    <row r="106" spans="1:11" ht="13.8">
      <c r="A106" s="47">
        <v>7038</v>
      </c>
      <c r="B106" s="92" t="s">
        <v>1001</v>
      </c>
      <c r="C106" s="92" t="s">
        <v>1087</v>
      </c>
      <c r="D106" s="72" t="str">
        <f>IFERROR(VLOOKUP(A106,'[1]ST-QA-ZZ5'!$C$5:$M$299,11,0),"Inspection at production line")</f>
        <v>Inspection at production line</v>
      </c>
      <c r="F106" s="92" t="s">
        <v>1088</v>
      </c>
      <c r="G106" s="92" t="s">
        <v>865</v>
      </c>
      <c r="H106" s="92" t="s">
        <v>1089</v>
      </c>
      <c r="I106" s="92" t="s">
        <v>996</v>
      </c>
      <c r="J106" s="92" t="s">
        <v>60</v>
      </c>
      <c r="K106" s="92" t="s">
        <v>681</v>
      </c>
    </row>
    <row r="107" spans="1:11" ht="13.8">
      <c r="A107" s="47">
        <v>7039</v>
      </c>
      <c r="B107" s="92" t="s">
        <v>1001</v>
      </c>
      <c r="C107" s="92" t="s">
        <v>1090</v>
      </c>
      <c r="D107" s="72" t="str">
        <f>IFERROR(VLOOKUP(A107,'[1]ST-QA-ZZ5'!$C$5:$M$299,11,0),"Inspection at production line")</f>
        <v>Inspection at production line</v>
      </c>
      <c r="F107" s="92" t="s">
        <v>1091</v>
      </c>
      <c r="G107" s="92" t="s">
        <v>814</v>
      </c>
      <c r="H107" s="92" t="s">
        <v>1092</v>
      </c>
      <c r="I107" s="92" t="s">
        <v>996</v>
      </c>
      <c r="J107" s="92" t="s">
        <v>60</v>
      </c>
      <c r="K107" s="92" t="s">
        <v>681</v>
      </c>
    </row>
    <row r="108" spans="1:11" ht="13.8">
      <c r="A108" s="47">
        <v>7040</v>
      </c>
      <c r="B108" s="92" t="s">
        <v>1001</v>
      </c>
      <c r="C108" s="92" t="s">
        <v>1093</v>
      </c>
      <c r="D108" s="72" t="str">
        <f>IFERROR(VLOOKUP(A108,'[1]ST-QA-ZZ5'!$C$5:$M$299,11,0),"Inspection at production line")</f>
        <v>Inspection at production line</v>
      </c>
      <c r="F108" s="92" t="s">
        <v>1094</v>
      </c>
      <c r="G108" s="92" t="s">
        <v>865</v>
      </c>
      <c r="H108" s="92" t="s">
        <v>1095</v>
      </c>
      <c r="I108" s="92" t="s">
        <v>996</v>
      </c>
      <c r="J108" s="92" t="s">
        <v>60</v>
      </c>
      <c r="K108" s="92" t="s">
        <v>681</v>
      </c>
    </row>
    <row r="109" spans="1:11" ht="13.8">
      <c r="A109" s="47">
        <v>7041</v>
      </c>
      <c r="B109" s="92" t="s">
        <v>1001</v>
      </c>
      <c r="C109" s="92" t="s">
        <v>1096</v>
      </c>
      <c r="D109" s="72" t="str">
        <f>IFERROR(VLOOKUP(A109,'[1]ST-QA-ZZ5'!$C$5:$M$299,11,0),"Inspection at production line")</f>
        <v>Inspection at production line</v>
      </c>
      <c r="F109" s="92" t="s">
        <v>1097</v>
      </c>
      <c r="G109" s="92" t="s">
        <v>1070</v>
      </c>
      <c r="H109" s="92" t="s">
        <v>1098</v>
      </c>
      <c r="I109" s="92" t="s">
        <v>996</v>
      </c>
      <c r="J109" s="92" t="s">
        <v>60</v>
      </c>
      <c r="K109" s="92" t="s">
        <v>681</v>
      </c>
    </row>
    <row r="110" spans="1:11" ht="13.8">
      <c r="A110" s="47">
        <v>7043</v>
      </c>
      <c r="B110" s="92" t="s">
        <v>1001</v>
      </c>
      <c r="C110" s="92" t="s">
        <v>1099</v>
      </c>
      <c r="D110" s="72" t="str">
        <f>IFERROR(VLOOKUP(A110,'[1]ST-QA-ZZ5'!$C$5:$M$299,11,0),"Inspection at production line")</f>
        <v>Inspection at production line</v>
      </c>
      <c r="F110" s="92" t="s">
        <v>1100</v>
      </c>
      <c r="G110" s="92" t="s">
        <v>994</v>
      </c>
      <c r="H110" s="92" t="s">
        <v>1101</v>
      </c>
      <c r="I110" s="92" t="s">
        <v>996</v>
      </c>
      <c r="J110" s="92" t="s">
        <v>60</v>
      </c>
      <c r="K110" s="92" t="s">
        <v>681</v>
      </c>
    </row>
    <row r="111" spans="1:11" ht="13.8">
      <c r="A111" s="47">
        <v>7044</v>
      </c>
      <c r="B111" s="92" t="s">
        <v>1001</v>
      </c>
      <c r="C111" s="92" t="s">
        <v>1102</v>
      </c>
      <c r="D111" s="72" t="str">
        <f>IFERROR(VLOOKUP(A111,'[1]ST-QA-ZZ5'!$C$5:$M$299,11,0),"Inspection at production line")</f>
        <v>Inspection at production line</v>
      </c>
      <c r="F111" s="92" t="s">
        <v>1103</v>
      </c>
      <c r="G111" s="92" t="s">
        <v>814</v>
      </c>
      <c r="H111" s="92" t="s">
        <v>1104</v>
      </c>
      <c r="I111" s="92" t="s">
        <v>996</v>
      </c>
      <c r="J111" s="92" t="s">
        <v>60</v>
      </c>
      <c r="K111" s="92" t="s">
        <v>681</v>
      </c>
    </row>
    <row r="112" spans="1:11" ht="13.8">
      <c r="A112" s="47">
        <v>7046</v>
      </c>
      <c r="B112" s="92" t="s">
        <v>1063</v>
      </c>
      <c r="C112" s="92" t="s">
        <v>1105</v>
      </c>
      <c r="D112" s="72" t="str">
        <f>IFERROR(VLOOKUP(A112,'[1]ST-QA-ZZ5'!$C$5:$M$299,11,0),"Inspection at production line")</f>
        <v>Inspection at production line</v>
      </c>
      <c r="F112" s="92" t="s">
        <v>1106</v>
      </c>
      <c r="G112" s="92" t="s">
        <v>404</v>
      </c>
      <c r="H112" s="92" t="s">
        <v>1107</v>
      </c>
      <c r="I112" s="92" t="s">
        <v>996</v>
      </c>
      <c r="J112" s="92" t="s">
        <v>60</v>
      </c>
      <c r="K112" s="92" t="s">
        <v>681</v>
      </c>
    </row>
    <row r="113" spans="1:11" ht="13.8">
      <c r="A113" s="47">
        <v>7047</v>
      </c>
      <c r="B113" s="92" t="s">
        <v>1001</v>
      </c>
      <c r="C113" s="92" t="s">
        <v>1108</v>
      </c>
      <c r="D113" s="72" t="str">
        <f>IFERROR(VLOOKUP(A113,'[1]ST-QA-ZZ5'!$C$5:$M$299,11,0),"Inspection at production line")</f>
        <v>Inspection at production line</v>
      </c>
      <c r="F113" s="92" t="s">
        <v>1109</v>
      </c>
      <c r="G113" s="92" t="s">
        <v>1016</v>
      </c>
      <c r="H113" s="92" t="s">
        <v>1110</v>
      </c>
      <c r="I113" s="92" t="s">
        <v>996</v>
      </c>
      <c r="J113" s="92" t="s">
        <v>60</v>
      </c>
      <c r="K113" s="92" t="s">
        <v>681</v>
      </c>
    </row>
    <row r="114" spans="1:11" ht="13.8">
      <c r="A114" s="47">
        <v>7058</v>
      </c>
      <c r="B114" s="92" t="s">
        <v>1001</v>
      </c>
      <c r="C114" s="92" t="s">
        <v>1111</v>
      </c>
      <c r="D114" s="72" t="str">
        <f>IFERROR(VLOOKUP(A114,'[1]ST-QA-ZZ5'!$C$5:$M$299,11,0),"Inspection at production line")</f>
        <v>Inspection at production line</v>
      </c>
      <c r="F114" s="92" t="s">
        <v>1112</v>
      </c>
      <c r="G114" s="92" t="s">
        <v>404</v>
      </c>
      <c r="H114" s="92" t="s">
        <v>1113</v>
      </c>
      <c r="I114" s="92" t="s">
        <v>996</v>
      </c>
      <c r="J114" s="92" t="s">
        <v>60</v>
      </c>
      <c r="K114" s="92" t="s">
        <v>681</v>
      </c>
    </row>
    <row r="115" spans="1:11" ht="13.8">
      <c r="A115" s="47">
        <v>7062</v>
      </c>
      <c r="B115" s="92" t="s">
        <v>1114</v>
      </c>
      <c r="C115" s="92" t="s">
        <v>1115</v>
      </c>
      <c r="D115" s="72" t="str">
        <f>IFERROR(VLOOKUP(A115,'[1]ST-QA-ZZ5'!$C$5:$M$299,11,0),"Inspection at production line")</f>
        <v>Inspection at production line</v>
      </c>
      <c r="F115" s="92" t="s">
        <v>1116</v>
      </c>
      <c r="G115" s="92" t="s">
        <v>959</v>
      </c>
      <c r="H115" s="92" t="s">
        <v>1117</v>
      </c>
      <c r="I115" s="92" t="s">
        <v>996</v>
      </c>
      <c r="J115" s="92" t="s">
        <v>60</v>
      </c>
      <c r="K115" s="92" t="s">
        <v>681</v>
      </c>
    </row>
    <row r="116" spans="1:11" ht="13.8">
      <c r="A116" s="47">
        <v>7063</v>
      </c>
      <c r="B116" s="92" t="s">
        <v>1114</v>
      </c>
      <c r="C116" s="92" t="s">
        <v>1118</v>
      </c>
      <c r="D116" s="72" t="str">
        <f>IFERROR(VLOOKUP(A116,'[1]ST-QA-ZZ5'!$C$5:$M$299,11,0),"Inspection at production line")</f>
        <v>Inspection at production line</v>
      </c>
      <c r="F116" s="92" t="s">
        <v>1119</v>
      </c>
      <c r="G116" s="92" t="s">
        <v>1120</v>
      </c>
      <c r="H116" s="92" t="s">
        <v>1121</v>
      </c>
      <c r="I116" s="92" t="s">
        <v>996</v>
      </c>
      <c r="J116" s="92" t="s">
        <v>60</v>
      </c>
      <c r="K116" s="92" t="s">
        <v>681</v>
      </c>
    </row>
    <row r="117" spans="1:11" ht="13.8">
      <c r="A117" s="47">
        <v>7064</v>
      </c>
      <c r="B117" s="92" t="s">
        <v>1122</v>
      </c>
      <c r="C117" s="92" t="s">
        <v>1123</v>
      </c>
      <c r="D117" s="72" t="str">
        <f>IFERROR(VLOOKUP(A117,'[1]ST-QA-ZZ5'!$C$5:$M$299,11,0),"Inspection at production line")</f>
        <v>Inspection at production line</v>
      </c>
      <c r="F117" s="92" t="s">
        <v>1124</v>
      </c>
      <c r="G117" s="92" t="s">
        <v>994</v>
      </c>
      <c r="H117" s="92" t="s">
        <v>1125</v>
      </c>
      <c r="I117" s="92" t="s">
        <v>996</v>
      </c>
      <c r="J117" s="92" t="s">
        <v>60</v>
      </c>
      <c r="K117" s="92" t="s">
        <v>681</v>
      </c>
    </row>
    <row r="118" spans="1:11" ht="13.8">
      <c r="A118" s="47">
        <v>7065</v>
      </c>
      <c r="B118" s="92" t="s">
        <v>1001</v>
      </c>
      <c r="C118" s="92" t="s">
        <v>1126</v>
      </c>
      <c r="D118" s="72" t="str">
        <f>IFERROR(VLOOKUP(A118,'[1]ST-QA-ZZ5'!$C$5:$M$299,11,0),"Inspection at production line")</f>
        <v>Inspection at production line</v>
      </c>
      <c r="F118" s="92" t="s">
        <v>1127</v>
      </c>
      <c r="G118" s="92" t="s">
        <v>404</v>
      </c>
      <c r="H118" s="92" t="s">
        <v>1128</v>
      </c>
      <c r="I118" s="92" t="s">
        <v>996</v>
      </c>
      <c r="J118" s="92" t="s">
        <v>60</v>
      </c>
      <c r="K118" s="92" t="s">
        <v>681</v>
      </c>
    </row>
    <row r="119" spans="1:11" ht="13.8">
      <c r="A119" s="47">
        <v>7066</v>
      </c>
      <c r="B119" s="92" t="s">
        <v>1001</v>
      </c>
      <c r="C119" s="92" t="s">
        <v>1129</v>
      </c>
      <c r="D119" s="72" t="str">
        <f>IFERROR(VLOOKUP(A119,'[1]ST-QA-ZZ5'!$C$5:$M$299,11,0),"Inspection at production line")</f>
        <v>Inspection at production line</v>
      </c>
      <c r="F119" s="92" t="s">
        <v>1130</v>
      </c>
      <c r="G119" s="92" t="s">
        <v>404</v>
      </c>
      <c r="H119" s="92" t="s">
        <v>1131</v>
      </c>
      <c r="I119" s="92" t="s">
        <v>996</v>
      </c>
      <c r="J119" s="92" t="s">
        <v>60</v>
      </c>
      <c r="K119" s="92" t="s">
        <v>681</v>
      </c>
    </row>
    <row r="120" spans="1:11" ht="13.8">
      <c r="A120" s="47">
        <v>7067</v>
      </c>
      <c r="B120" s="92" t="s">
        <v>1001</v>
      </c>
      <c r="C120" s="92" t="s">
        <v>1132</v>
      </c>
      <c r="D120" s="72" t="str">
        <f>IFERROR(VLOOKUP(A120,'[1]ST-QA-ZZ5'!$C$5:$M$299,11,0),"Inspection at production line")</f>
        <v>Inspection at production line</v>
      </c>
      <c r="F120" s="92" t="s">
        <v>1133</v>
      </c>
      <c r="G120" s="92" t="s">
        <v>404</v>
      </c>
      <c r="H120" s="92" t="s">
        <v>1134</v>
      </c>
      <c r="I120" s="92" t="s">
        <v>996</v>
      </c>
      <c r="J120" s="92" t="s">
        <v>60</v>
      </c>
      <c r="K120" s="92" t="s">
        <v>681</v>
      </c>
    </row>
    <row r="121" spans="1:11" ht="13.8">
      <c r="A121" s="47">
        <v>7068</v>
      </c>
      <c r="B121" s="92" t="s">
        <v>1001</v>
      </c>
      <c r="C121" s="92" t="s">
        <v>1135</v>
      </c>
      <c r="D121" s="72" t="str">
        <f>IFERROR(VLOOKUP(A121,'[1]ST-QA-ZZ5'!$C$5:$M$299,11,0),"Inspection at production line")</f>
        <v>Inspection at production line</v>
      </c>
      <c r="F121" s="92" t="s">
        <v>1136</v>
      </c>
      <c r="G121" s="92" t="s">
        <v>404</v>
      </c>
      <c r="H121" s="92" t="s">
        <v>1137</v>
      </c>
      <c r="I121" s="92" t="s">
        <v>996</v>
      </c>
      <c r="J121" s="92" t="s">
        <v>60</v>
      </c>
      <c r="K121" s="92" t="s">
        <v>681</v>
      </c>
    </row>
    <row r="122" spans="1:11" ht="13.8">
      <c r="A122" s="47">
        <v>707</v>
      </c>
      <c r="B122" s="92" t="s">
        <v>1138</v>
      </c>
      <c r="C122" s="94" t="s">
        <v>1139</v>
      </c>
      <c r="D122" s="72" t="str">
        <f>IFERROR(VLOOKUP(A122,'[1]ST-QA-ZZ5'!$C$5:$M$299,11,0),"Inspection at production line")</f>
        <v>Inspection at production line</v>
      </c>
      <c r="F122" s="92" t="s">
        <v>1140</v>
      </c>
      <c r="G122" s="92" t="s">
        <v>404</v>
      </c>
      <c r="H122" s="92" t="s">
        <v>1141</v>
      </c>
      <c r="I122" s="92" t="s">
        <v>996</v>
      </c>
      <c r="J122" s="92" t="s">
        <v>60</v>
      </c>
      <c r="K122" s="92" t="s">
        <v>681</v>
      </c>
    </row>
    <row r="123" spans="1:11" ht="13.8">
      <c r="A123" s="47">
        <v>7070</v>
      </c>
      <c r="B123" s="92" t="s">
        <v>1001</v>
      </c>
      <c r="C123" s="92" t="s">
        <v>1142</v>
      </c>
      <c r="D123" s="72" t="str">
        <f>IFERROR(VLOOKUP(A123,'[1]ST-QA-ZZ5'!$C$5:$M$299,11,0),"Inspection at production line")</f>
        <v>Inspection at production line</v>
      </c>
      <c r="F123" s="92" t="s">
        <v>1143</v>
      </c>
      <c r="G123" s="92" t="s">
        <v>404</v>
      </c>
      <c r="H123" s="92" t="s">
        <v>1144</v>
      </c>
      <c r="I123" s="92" t="s">
        <v>996</v>
      </c>
      <c r="J123" s="92" t="s">
        <v>60</v>
      </c>
      <c r="K123" s="92" t="s">
        <v>681</v>
      </c>
    </row>
    <row r="124" spans="1:11" ht="13.8">
      <c r="A124" s="47">
        <v>7071</v>
      </c>
      <c r="B124" s="92" t="s">
        <v>1001</v>
      </c>
      <c r="C124" s="92" t="s">
        <v>1145</v>
      </c>
      <c r="D124" s="72" t="str">
        <f>IFERROR(VLOOKUP(A124,'[1]ST-QA-ZZ5'!$C$5:$M$299,11,0),"Inspection at production line")</f>
        <v>Inspection at production line</v>
      </c>
      <c r="F124" s="92" t="s">
        <v>1146</v>
      </c>
      <c r="G124" s="92" t="s">
        <v>994</v>
      </c>
      <c r="H124" s="92" t="s">
        <v>1147</v>
      </c>
      <c r="I124" s="92" t="s">
        <v>996</v>
      </c>
      <c r="J124" s="92" t="s">
        <v>60</v>
      </c>
      <c r="K124" s="92" t="s">
        <v>681</v>
      </c>
    </row>
    <row r="125" spans="1:11" ht="13.8">
      <c r="A125" s="47">
        <v>7072</v>
      </c>
      <c r="B125" s="92" t="s">
        <v>997</v>
      </c>
      <c r="C125" s="92" t="s">
        <v>1148</v>
      </c>
      <c r="D125" s="72" t="str">
        <f>IFERROR(VLOOKUP(A125,'[1]ST-QA-ZZ5'!$C$5:$M$299,11,0),"Inspection at production line")</f>
        <v>Inspection at production line</v>
      </c>
      <c r="F125" s="92" t="s">
        <v>1149</v>
      </c>
      <c r="G125" s="92" t="s">
        <v>994</v>
      </c>
      <c r="H125" s="92" t="s">
        <v>1150</v>
      </c>
      <c r="I125" s="92" t="s">
        <v>996</v>
      </c>
      <c r="J125" s="92" t="s">
        <v>60</v>
      </c>
      <c r="K125" s="92" t="s">
        <v>681</v>
      </c>
    </row>
    <row r="126" spans="1:11" ht="13.8">
      <c r="A126" s="47">
        <v>7076</v>
      </c>
      <c r="B126" s="92" t="s">
        <v>1063</v>
      </c>
      <c r="C126" s="92" t="s">
        <v>1151</v>
      </c>
      <c r="D126" s="72" t="str">
        <f>IFERROR(VLOOKUP(A126,'[1]ST-QA-ZZ5'!$C$5:$M$299,11,0),"Inspection at production line")</f>
        <v>Inspection at production line</v>
      </c>
      <c r="F126" s="92" t="s">
        <v>1152</v>
      </c>
      <c r="G126" s="92" t="s">
        <v>404</v>
      </c>
      <c r="H126" s="92" t="s">
        <v>1153</v>
      </c>
      <c r="I126" s="92" t="s">
        <v>996</v>
      </c>
      <c r="J126" s="92" t="s">
        <v>60</v>
      </c>
      <c r="K126" s="92" t="s">
        <v>681</v>
      </c>
    </row>
    <row r="127" spans="1:11" ht="13.8">
      <c r="A127" s="47">
        <v>7077</v>
      </c>
      <c r="B127" s="92" t="s">
        <v>1063</v>
      </c>
      <c r="C127" s="92" t="s">
        <v>1154</v>
      </c>
      <c r="D127" s="72" t="str">
        <f>IFERROR(VLOOKUP(A127,'[1]ST-QA-ZZ5'!$C$5:$M$299,11,0),"Inspection at production line")</f>
        <v>Inspection at production line</v>
      </c>
      <c r="F127" s="92" t="s">
        <v>1155</v>
      </c>
      <c r="G127" s="92" t="s">
        <v>1156</v>
      </c>
      <c r="H127" s="92" t="s">
        <v>1156</v>
      </c>
      <c r="I127" s="92" t="s">
        <v>1157</v>
      </c>
      <c r="J127" s="92" t="s">
        <v>60</v>
      </c>
      <c r="K127" s="92" t="s">
        <v>681</v>
      </c>
    </row>
    <row r="128" spans="1:11" ht="13.8">
      <c r="A128" s="47">
        <v>7078</v>
      </c>
      <c r="B128" s="92" t="s">
        <v>1158</v>
      </c>
      <c r="C128" s="92" t="s">
        <v>1159</v>
      </c>
      <c r="D128" s="72" t="str">
        <f>IFERROR(VLOOKUP(A128,'[1]ST-QA-ZZ5'!$C$5:$M$299,11,0),"Inspection at production line")</f>
        <v>Inspection at production line</v>
      </c>
      <c r="F128" s="92" t="s">
        <v>1160</v>
      </c>
      <c r="G128" s="92" t="s">
        <v>397</v>
      </c>
      <c r="H128" s="92" t="s">
        <v>1161</v>
      </c>
      <c r="I128" s="92" t="s">
        <v>1157</v>
      </c>
      <c r="J128" s="92" t="s">
        <v>60</v>
      </c>
      <c r="K128" s="92" t="s">
        <v>681</v>
      </c>
    </row>
    <row r="129" spans="1:11" ht="13.8">
      <c r="A129" s="47">
        <v>7082</v>
      </c>
      <c r="B129" s="92" t="s">
        <v>1001</v>
      </c>
      <c r="C129" s="92" t="s">
        <v>1162</v>
      </c>
      <c r="D129" s="72" t="str">
        <f>IFERROR(VLOOKUP(A129,'[1]ST-QA-ZZ5'!$C$5:$M$299,11,0),"Inspection at production line")</f>
        <v>Inspection at production line</v>
      </c>
      <c r="F129" s="92" t="s">
        <v>1163</v>
      </c>
      <c r="G129" s="92" t="s">
        <v>1164</v>
      </c>
      <c r="H129" s="92" t="s">
        <v>1164</v>
      </c>
      <c r="I129" s="92" t="s">
        <v>1157</v>
      </c>
      <c r="J129" s="92" t="s">
        <v>60</v>
      </c>
      <c r="K129" s="92" t="s">
        <v>681</v>
      </c>
    </row>
    <row r="130" spans="1:11" ht="13.8">
      <c r="A130" s="47">
        <v>7084</v>
      </c>
      <c r="B130" s="92" t="s">
        <v>1001</v>
      </c>
      <c r="C130" s="92" t="s">
        <v>1165</v>
      </c>
      <c r="D130" s="72" t="str">
        <f>IFERROR(VLOOKUP(A130,'[1]ST-QA-ZZ5'!$C$5:$M$299,11,0),"Inspection at production line")</f>
        <v>Inspection at production line</v>
      </c>
      <c r="F130" s="92" t="s">
        <v>1166</v>
      </c>
      <c r="G130" s="92" t="s">
        <v>1167</v>
      </c>
      <c r="H130" s="92" t="s">
        <v>1168</v>
      </c>
      <c r="I130" s="92" t="s">
        <v>1157</v>
      </c>
      <c r="J130" s="92" t="s">
        <v>60</v>
      </c>
      <c r="K130" s="92" t="s">
        <v>681</v>
      </c>
    </row>
    <row r="131" spans="1:11" ht="13.8">
      <c r="A131" s="47">
        <v>7089</v>
      </c>
      <c r="B131" s="92" t="s">
        <v>1001</v>
      </c>
      <c r="C131" s="92" t="s">
        <v>1169</v>
      </c>
      <c r="D131" s="72" t="str">
        <f>IFERROR(VLOOKUP(A131,'[1]ST-QA-ZZ5'!$C$5:$M$299,11,0),"Inspection at production line")</f>
        <v>Inspection at production line</v>
      </c>
      <c r="F131" s="92" t="s">
        <v>1170</v>
      </c>
      <c r="G131" s="92" t="s">
        <v>912</v>
      </c>
      <c r="H131" s="92" t="s">
        <v>1171</v>
      </c>
      <c r="I131" s="92" t="s">
        <v>1157</v>
      </c>
      <c r="J131" s="92" t="s">
        <v>60</v>
      </c>
      <c r="K131" s="92" t="s">
        <v>681</v>
      </c>
    </row>
    <row r="132" spans="1:11" ht="13.8">
      <c r="A132" s="47">
        <v>709</v>
      </c>
      <c r="B132" s="92" t="s">
        <v>997</v>
      </c>
      <c r="C132" s="92" t="s">
        <v>1172</v>
      </c>
      <c r="D132" s="72" t="str">
        <f>IFERROR(VLOOKUP(A132,'[1]ST-QA-ZZ5'!$C$5:$M$299,11,0),"Inspection at production line")</f>
        <v>Inspection at production line</v>
      </c>
      <c r="F132" s="92" t="s">
        <v>1173</v>
      </c>
      <c r="G132" s="92" t="s">
        <v>912</v>
      </c>
      <c r="H132" s="92" t="s">
        <v>1174</v>
      </c>
      <c r="I132" s="92" t="s">
        <v>1157</v>
      </c>
      <c r="J132" s="92" t="s">
        <v>60</v>
      </c>
      <c r="K132" s="92" t="s">
        <v>681</v>
      </c>
    </row>
    <row r="133" spans="1:11" ht="13.8">
      <c r="A133" s="47">
        <v>7090</v>
      </c>
      <c r="B133" s="92" t="s">
        <v>1001</v>
      </c>
      <c r="C133" s="92" t="s">
        <v>1175</v>
      </c>
      <c r="D133" s="72" t="str">
        <f>IFERROR(VLOOKUP(A133,'[1]ST-QA-ZZ5'!$C$5:$M$299,11,0),"Inspection at production line")</f>
        <v>Inspection at production line</v>
      </c>
      <c r="F133" s="92" t="s">
        <v>1176</v>
      </c>
      <c r="G133" s="92" t="s">
        <v>1177</v>
      </c>
      <c r="H133" s="92" t="s">
        <v>1178</v>
      </c>
      <c r="I133" s="92" t="s">
        <v>1157</v>
      </c>
      <c r="J133" s="92" t="s">
        <v>60</v>
      </c>
      <c r="K133" s="92" t="s">
        <v>681</v>
      </c>
    </row>
    <row r="134" spans="1:11" ht="13.8">
      <c r="A134" s="47">
        <v>7093</v>
      </c>
      <c r="B134" s="92" t="s">
        <v>1001</v>
      </c>
      <c r="C134" s="92" t="s">
        <v>1179</v>
      </c>
      <c r="D134" s="72" t="str">
        <f>IFERROR(VLOOKUP(A134,'[1]ST-QA-ZZ5'!$C$5:$M$299,11,0),"Inspection at production line")</f>
        <v>Inspection at production line</v>
      </c>
      <c r="F134" s="92" t="s">
        <v>1180</v>
      </c>
      <c r="G134" s="92" t="s">
        <v>1181</v>
      </c>
      <c r="H134" s="92" t="s">
        <v>1181</v>
      </c>
      <c r="I134" s="92" t="s">
        <v>1157</v>
      </c>
      <c r="J134" s="92" t="s">
        <v>60</v>
      </c>
      <c r="K134" s="92" t="s">
        <v>681</v>
      </c>
    </row>
    <row r="135" spans="1:11" ht="13.8">
      <c r="A135" s="47">
        <v>7094</v>
      </c>
      <c r="B135" s="92" t="s">
        <v>1001</v>
      </c>
      <c r="C135" s="92" t="s">
        <v>1182</v>
      </c>
      <c r="D135" s="72" t="str">
        <f>IFERROR(VLOOKUP(A135,'[1]ST-QA-ZZ5'!$C$5:$M$299,11,0),"Inspection at production line")</f>
        <v>Inspection at production line</v>
      </c>
      <c r="F135" s="92" t="s">
        <v>1183</v>
      </c>
      <c r="G135" s="92" t="s">
        <v>1177</v>
      </c>
      <c r="H135" s="92" t="s">
        <v>1184</v>
      </c>
      <c r="I135" s="92" t="s">
        <v>1157</v>
      </c>
      <c r="J135" s="92" t="s">
        <v>60</v>
      </c>
      <c r="K135" s="92" t="s">
        <v>681</v>
      </c>
    </row>
    <row r="136" spans="1:11" ht="13.8">
      <c r="A136" s="47">
        <v>7097</v>
      </c>
      <c r="B136" s="92" t="s">
        <v>404</v>
      </c>
      <c r="C136" s="92" t="s">
        <v>1185</v>
      </c>
      <c r="D136" s="72" t="str">
        <f>IFERROR(VLOOKUP(A136,'[1]ST-QA-ZZ5'!$C$5:$M$299,11,0),"Inspection at production line")</f>
        <v>Inspection at production line</v>
      </c>
      <c r="F136" s="92" t="s">
        <v>1186</v>
      </c>
      <c r="G136" s="92" t="s">
        <v>1187</v>
      </c>
      <c r="H136" s="92" t="s">
        <v>1187</v>
      </c>
      <c r="I136" s="92" t="s">
        <v>1157</v>
      </c>
      <c r="J136" s="92" t="s">
        <v>60</v>
      </c>
      <c r="K136" s="92" t="s">
        <v>681</v>
      </c>
    </row>
    <row r="137" spans="1:11" ht="13.8">
      <c r="A137" s="47">
        <v>7098</v>
      </c>
      <c r="B137" s="92" t="s">
        <v>404</v>
      </c>
      <c r="C137" s="92" t="s">
        <v>1188</v>
      </c>
      <c r="D137" s="72" t="str">
        <f>IFERROR(VLOOKUP(A137,'[1]ST-QA-ZZ5'!$C$5:$M$299,11,0),"Inspection at production line")</f>
        <v>Inspection at production line</v>
      </c>
      <c r="F137" s="92" t="s">
        <v>1189</v>
      </c>
      <c r="G137" s="92" t="s">
        <v>865</v>
      </c>
      <c r="H137" s="92" t="s">
        <v>1190</v>
      </c>
      <c r="I137" s="92" t="s">
        <v>1157</v>
      </c>
      <c r="J137" s="92" t="s">
        <v>60</v>
      </c>
      <c r="K137" s="92" t="s">
        <v>681</v>
      </c>
    </row>
    <row r="138" spans="1:11" ht="13.8">
      <c r="A138" s="47">
        <v>7100</v>
      </c>
      <c r="B138" s="92" t="s">
        <v>997</v>
      </c>
      <c r="C138" s="92" t="s">
        <v>1191</v>
      </c>
      <c r="D138" s="72" t="str">
        <f>IFERROR(VLOOKUP(A138,'[1]ST-QA-ZZ5'!$C$5:$M$299,11,0),"Inspection at production line")</f>
        <v>Inspection at production line</v>
      </c>
      <c r="F138" s="92" t="s">
        <v>1192</v>
      </c>
      <c r="G138" s="92" t="s">
        <v>1193</v>
      </c>
      <c r="H138" s="92" t="s">
        <v>1194</v>
      </c>
      <c r="I138" s="92" t="s">
        <v>1157</v>
      </c>
      <c r="J138" s="92" t="s">
        <v>60</v>
      </c>
      <c r="K138" s="92" t="s">
        <v>681</v>
      </c>
    </row>
    <row r="139" spans="1:11" ht="13.8">
      <c r="A139" s="47">
        <v>7101</v>
      </c>
      <c r="B139" s="92" t="s">
        <v>404</v>
      </c>
      <c r="C139" s="92" t="s">
        <v>1195</v>
      </c>
      <c r="D139" s="72" t="str">
        <f>IFERROR(VLOOKUP(A139,'[1]ST-QA-ZZ5'!$C$5:$M$299,11,0),"Inspection at production line")</f>
        <v>Inspection at production line</v>
      </c>
      <c r="F139" s="92" t="s">
        <v>1196</v>
      </c>
      <c r="G139" s="92" t="s">
        <v>1187</v>
      </c>
      <c r="H139" s="92" t="s">
        <v>1187</v>
      </c>
      <c r="I139" s="92" t="s">
        <v>1157</v>
      </c>
      <c r="J139" s="92" t="s">
        <v>60</v>
      </c>
      <c r="K139" s="92" t="s">
        <v>681</v>
      </c>
    </row>
    <row r="140" spans="1:11" ht="13.8">
      <c r="A140" s="47">
        <v>7103</v>
      </c>
      <c r="B140" s="92" t="s">
        <v>404</v>
      </c>
      <c r="C140" s="92" t="s">
        <v>1197</v>
      </c>
      <c r="D140" s="72" t="str">
        <f>IFERROR(VLOOKUP(A140,'[1]ST-QA-ZZ5'!$C$5:$M$299,11,0),"Inspection at production line")</f>
        <v>Inspection at production line</v>
      </c>
      <c r="F140" s="92" t="s">
        <v>1198</v>
      </c>
      <c r="G140" s="92" t="s">
        <v>1199</v>
      </c>
      <c r="H140" s="92" t="s">
        <v>1200</v>
      </c>
      <c r="I140" s="92" t="s">
        <v>1201</v>
      </c>
      <c r="J140" s="92" t="s">
        <v>60</v>
      </c>
      <c r="K140" s="92" t="s">
        <v>681</v>
      </c>
    </row>
    <row r="141" spans="1:11" ht="13.8">
      <c r="A141" s="47">
        <v>7108</v>
      </c>
      <c r="B141" s="92" t="s">
        <v>1001</v>
      </c>
      <c r="C141" s="92" t="s">
        <v>1202</v>
      </c>
      <c r="D141" s="72" t="str">
        <f>IFERROR(VLOOKUP(A141,'[1]ST-QA-ZZ5'!$C$5:$M$299,11,0),"Inspection at production line")</f>
        <v>Inspection at production line</v>
      </c>
      <c r="F141" s="92" t="s">
        <v>1203</v>
      </c>
      <c r="G141" s="92" t="s">
        <v>1204</v>
      </c>
      <c r="H141" s="92" t="s">
        <v>1205</v>
      </c>
      <c r="I141" s="92" t="s">
        <v>1201</v>
      </c>
      <c r="J141" s="92" t="s">
        <v>60</v>
      </c>
      <c r="K141" s="92" t="s">
        <v>681</v>
      </c>
    </row>
    <row r="142" spans="1:11" ht="13.8">
      <c r="A142" s="47">
        <v>7109</v>
      </c>
      <c r="B142" s="92" t="s">
        <v>1001</v>
      </c>
      <c r="C142" s="92" t="s">
        <v>1206</v>
      </c>
      <c r="D142" s="72" t="str">
        <f>IFERROR(VLOOKUP(A142,'[1]ST-QA-ZZ5'!$C$5:$M$299,11,0),"Inspection at production line")</f>
        <v>Inspection at production line</v>
      </c>
      <c r="F142" s="92" t="s">
        <v>1207</v>
      </c>
      <c r="G142" s="92" t="s">
        <v>1208</v>
      </c>
      <c r="H142" s="92" t="s">
        <v>1209</v>
      </c>
      <c r="I142" s="92" t="s">
        <v>1201</v>
      </c>
      <c r="J142" s="92" t="s">
        <v>60</v>
      </c>
      <c r="K142" s="92" t="s">
        <v>681</v>
      </c>
    </row>
    <row r="143" spans="1:11" ht="13.8">
      <c r="A143" s="47">
        <v>711</v>
      </c>
      <c r="B143" s="92" t="s">
        <v>1063</v>
      </c>
      <c r="C143" s="92" t="s">
        <v>1210</v>
      </c>
      <c r="D143" s="72" t="str">
        <f>IFERROR(VLOOKUP(A143,'[1]ST-QA-ZZ5'!$C$5:$M$299,11,0),"Inspection at production line")</f>
        <v>Inspection at production line</v>
      </c>
      <c r="F143" s="92" t="s">
        <v>1211</v>
      </c>
      <c r="G143" s="92" t="s">
        <v>1212</v>
      </c>
      <c r="H143" s="92" t="s">
        <v>1213</v>
      </c>
      <c r="I143" s="92" t="s">
        <v>1201</v>
      </c>
      <c r="J143" s="92" t="s">
        <v>60</v>
      </c>
      <c r="K143" s="92" t="s">
        <v>681</v>
      </c>
    </row>
    <row r="144" spans="1:11" ht="13.8">
      <c r="A144" s="47">
        <v>7110</v>
      </c>
      <c r="B144" s="92" t="s">
        <v>1001</v>
      </c>
      <c r="C144" s="92" t="s">
        <v>1214</v>
      </c>
      <c r="D144" s="72" t="str">
        <f>IFERROR(VLOOKUP(A144,'[1]ST-QA-ZZ5'!$C$5:$M$299,11,0),"Inspection at production line")</f>
        <v>Inspection at production line</v>
      </c>
      <c r="F144" s="92" t="s">
        <v>1215</v>
      </c>
      <c r="G144" s="92" t="s">
        <v>90</v>
      </c>
      <c r="H144" s="92" t="s">
        <v>1216</v>
      </c>
      <c r="I144" s="92" t="s">
        <v>1201</v>
      </c>
      <c r="J144" s="92" t="s">
        <v>60</v>
      </c>
      <c r="K144" s="92" t="s">
        <v>681</v>
      </c>
    </row>
    <row r="145" spans="1:11" ht="13.8">
      <c r="A145" s="47">
        <v>7114</v>
      </c>
      <c r="B145" s="92" t="s">
        <v>1001</v>
      </c>
      <c r="C145" s="92" t="s">
        <v>1217</v>
      </c>
      <c r="D145" s="72" t="str">
        <f>IFERROR(VLOOKUP(A145,'[1]ST-QA-ZZ5'!$C$5:$M$299,11,0),"Inspection at production line")</f>
        <v>Inspection at production line</v>
      </c>
      <c r="F145" s="92" t="s">
        <v>1218</v>
      </c>
      <c r="G145" s="92" t="s">
        <v>1219</v>
      </c>
      <c r="H145" s="92" t="s">
        <v>1220</v>
      </c>
      <c r="I145" s="92" t="s">
        <v>1201</v>
      </c>
      <c r="J145" s="92" t="s">
        <v>60</v>
      </c>
      <c r="K145" s="92" t="s">
        <v>681</v>
      </c>
    </row>
    <row r="146" spans="1:11" ht="13.8">
      <c r="A146" s="47">
        <v>7115</v>
      </c>
      <c r="B146" s="92" t="s">
        <v>1001</v>
      </c>
      <c r="C146" s="92" t="s">
        <v>1221</v>
      </c>
      <c r="D146" s="72" t="str">
        <f>IFERROR(VLOOKUP(A146,'[1]ST-QA-ZZ5'!$C$5:$M$299,11,0),"Inspection at production line")</f>
        <v>Inspection at production line</v>
      </c>
      <c r="F146" s="92" t="s">
        <v>1222</v>
      </c>
      <c r="G146" s="92" t="s">
        <v>1223</v>
      </c>
      <c r="H146" s="92" t="s">
        <v>1224</v>
      </c>
      <c r="I146" s="92" t="s">
        <v>1201</v>
      </c>
      <c r="J146" s="92" t="s">
        <v>60</v>
      </c>
      <c r="K146" s="92" t="s">
        <v>681</v>
      </c>
    </row>
    <row r="147" spans="1:11" ht="13.8">
      <c r="A147" s="47">
        <v>7116</v>
      </c>
      <c r="B147" s="92" t="s">
        <v>1001</v>
      </c>
      <c r="C147" s="92" t="s">
        <v>1225</v>
      </c>
      <c r="D147" s="72" t="str">
        <f>IFERROR(VLOOKUP(A147,'[1]ST-QA-ZZ5'!$C$5:$M$299,11,0),"Inspection at production line")</f>
        <v>Inspection at production line</v>
      </c>
      <c r="F147" s="92" t="s">
        <v>1226</v>
      </c>
      <c r="G147" s="92" t="s">
        <v>1223</v>
      </c>
      <c r="H147" s="92" t="s">
        <v>1227</v>
      </c>
      <c r="I147" s="92" t="s">
        <v>1201</v>
      </c>
      <c r="J147" s="92" t="s">
        <v>60</v>
      </c>
      <c r="K147" s="92" t="s">
        <v>681</v>
      </c>
    </row>
    <row r="148" spans="1:11" ht="13.8">
      <c r="A148" s="47">
        <v>7117</v>
      </c>
      <c r="B148" s="92" t="s">
        <v>404</v>
      </c>
      <c r="C148" s="92" t="s">
        <v>1228</v>
      </c>
      <c r="D148" s="72" t="str">
        <f>IFERROR(VLOOKUP(A148,'[1]ST-QA-ZZ5'!$C$5:$M$299,11,0),"Inspection at production line")</f>
        <v>Inspection at production line</v>
      </c>
      <c r="F148" s="92" t="s">
        <v>1229</v>
      </c>
      <c r="G148" s="92" t="s">
        <v>1204</v>
      </c>
      <c r="H148" s="92" t="s">
        <v>1230</v>
      </c>
      <c r="I148" s="92" t="s">
        <v>1201</v>
      </c>
      <c r="J148" s="92" t="s">
        <v>60</v>
      </c>
      <c r="K148" s="92" t="s">
        <v>681</v>
      </c>
    </row>
    <row r="149" spans="1:11" ht="13.8">
      <c r="A149" s="47">
        <v>7118</v>
      </c>
      <c r="B149" s="92" t="s">
        <v>1001</v>
      </c>
      <c r="C149" s="92" t="s">
        <v>1231</v>
      </c>
      <c r="D149" s="72" t="str">
        <f>IFERROR(VLOOKUP(A149,'[1]ST-QA-ZZ5'!$C$5:$M$299,11,0),"Inspection at production line")</f>
        <v>Inspection at production line</v>
      </c>
      <c r="F149" s="92" t="s">
        <v>1232</v>
      </c>
      <c r="G149" s="92" t="s">
        <v>1233</v>
      </c>
      <c r="H149" s="92" t="s">
        <v>1234</v>
      </c>
      <c r="I149" s="92" t="s">
        <v>1201</v>
      </c>
      <c r="J149" s="92" t="s">
        <v>60</v>
      </c>
      <c r="K149" s="92" t="s">
        <v>681</v>
      </c>
    </row>
    <row r="150" spans="1:11" ht="13.8">
      <c r="A150" s="47">
        <v>7119</v>
      </c>
      <c r="B150" s="92" t="s">
        <v>1001</v>
      </c>
      <c r="C150" s="92" t="s">
        <v>1235</v>
      </c>
      <c r="D150" s="72" t="str">
        <f>IFERROR(VLOOKUP(A150,'[1]ST-QA-ZZ5'!$C$5:$M$299,11,0),"Inspection at production line")</f>
        <v>Inspection at production line</v>
      </c>
      <c r="F150" s="92" t="s">
        <v>1236</v>
      </c>
      <c r="G150" s="92" t="s">
        <v>1233</v>
      </c>
      <c r="H150" s="92" t="s">
        <v>1237</v>
      </c>
      <c r="I150" s="92" t="s">
        <v>1201</v>
      </c>
      <c r="J150" s="92" t="s">
        <v>60</v>
      </c>
      <c r="K150" s="92" t="s">
        <v>681</v>
      </c>
    </row>
    <row r="151" spans="1:11" ht="13.8">
      <c r="A151" s="47">
        <v>712</v>
      </c>
      <c r="B151" s="92" t="s">
        <v>1063</v>
      </c>
      <c r="C151" s="92" t="s">
        <v>1238</v>
      </c>
      <c r="D151" s="72" t="str">
        <f>IFERROR(VLOOKUP(A151,'[1]ST-QA-ZZ5'!$C$5:$M$299,11,0),"Inspection at production line")</f>
        <v>Inspection at production line</v>
      </c>
      <c r="F151" s="92" t="s">
        <v>1239</v>
      </c>
      <c r="G151" s="92" t="s">
        <v>1233</v>
      </c>
      <c r="H151" s="92" t="s">
        <v>1240</v>
      </c>
      <c r="I151" s="92" t="s">
        <v>1201</v>
      </c>
      <c r="J151" s="92" t="s">
        <v>60</v>
      </c>
      <c r="K151" s="92" t="s">
        <v>681</v>
      </c>
    </row>
    <row r="152" spans="1:11" ht="13.8">
      <c r="A152" s="47">
        <v>7120</v>
      </c>
      <c r="B152" s="92" t="s">
        <v>1001</v>
      </c>
      <c r="C152" s="92" t="s">
        <v>1241</v>
      </c>
      <c r="D152" s="72" t="str">
        <f>IFERROR(VLOOKUP(A152,'[1]ST-QA-ZZ5'!$C$5:$M$299,11,0),"Inspection at production line")</f>
        <v>Inspection at production line</v>
      </c>
      <c r="F152" s="92" t="s">
        <v>1242</v>
      </c>
      <c r="G152" s="92" t="s">
        <v>397</v>
      </c>
      <c r="H152" s="92" t="s">
        <v>1243</v>
      </c>
      <c r="I152" s="92" t="s">
        <v>980</v>
      </c>
      <c r="J152" s="92" t="s">
        <v>60</v>
      </c>
      <c r="K152" s="92" t="s">
        <v>681</v>
      </c>
    </row>
    <row r="153" spans="1:11" ht="13.8">
      <c r="A153" s="47">
        <v>7121</v>
      </c>
      <c r="B153" s="92" t="s">
        <v>1001</v>
      </c>
      <c r="C153" s="92" t="s">
        <v>1244</v>
      </c>
      <c r="D153" s="72" t="str">
        <f>IFERROR(VLOOKUP(A153,'[1]ST-QA-ZZ5'!$C$5:$M$299,11,0),"Inspection at production line")</f>
        <v>Inspection at production line</v>
      </c>
      <c r="F153" s="92" t="s">
        <v>1245</v>
      </c>
      <c r="G153" s="92" t="s">
        <v>397</v>
      </c>
      <c r="H153" s="92" t="s">
        <v>1246</v>
      </c>
      <c r="I153" s="92" t="s">
        <v>980</v>
      </c>
      <c r="J153" s="92" t="s">
        <v>60</v>
      </c>
      <c r="K153" s="92" t="s">
        <v>681</v>
      </c>
    </row>
    <row r="154" spans="1:11" ht="13.8">
      <c r="A154" s="47">
        <v>7125</v>
      </c>
      <c r="B154" s="92" t="s">
        <v>1001</v>
      </c>
      <c r="C154" s="92" t="s">
        <v>1247</v>
      </c>
      <c r="D154" s="72" t="str">
        <f>IFERROR(VLOOKUP(A154,'[1]ST-QA-ZZ5'!$C$5:$M$299,11,0),"Inspection at production line")</f>
        <v>Inspection at production line</v>
      </c>
      <c r="F154" s="92" t="s">
        <v>1248</v>
      </c>
      <c r="G154" s="92" t="s">
        <v>397</v>
      </c>
      <c r="H154" s="92" t="s">
        <v>1249</v>
      </c>
      <c r="I154" s="92" t="s">
        <v>980</v>
      </c>
      <c r="J154" s="92" t="s">
        <v>60</v>
      </c>
      <c r="K154" s="92" t="s">
        <v>681</v>
      </c>
    </row>
    <row r="155" spans="1:11" ht="13.8">
      <c r="A155" s="47">
        <v>7126</v>
      </c>
      <c r="B155" s="92" t="s">
        <v>1001</v>
      </c>
      <c r="C155" s="92" t="s">
        <v>1250</v>
      </c>
      <c r="D155" s="72" t="str">
        <f>IFERROR(VLOOKUP(A155,'[1]ST-QA-ZZ5'!$C$5:$M$299,11,0),"Inspection at production line")</f>
        <v>Inspection at production line</v>
      </c>
      <c r="F155" s="92" t="s">
        <v>1251</v>
      </c>
      <c r="G155" s="92" t="s">
        <v>397</v>
      </c>
      <c r="H155" s="92" t="s">
        <v>1252</v>
      </c>
      <c r="I155" s="92" t="s">
        <v>980</v>
      </c>
      <c r="J155" s="92" t="s">
        <v>60</v>
      </c>
      <c r="K155" s="92" t="s">
        <v>681</v>
      </c>
    </row>
    <row r="156" spans="1:11" ht="13.8">
      <c r="A156" s="47">
        <v>7127</v>
      </c>
      <c r="B156" s="92" t="s">
        <v>1253</v>
      </c>
      <c r="C156" s="92" t="s">
        <v>1254</v>
      </c>
      <c r="D156" s="72" t="str">
        <f>IFERROR(VLOOKUP(A156,'[1]ST-QA-ZZ5'!$C$5:$M$299,11,0),"Inspection at production line")</f>
        <v>Inspection at production line</v>
      </c>
      <c r="F156" s="92" t="s">
        <v>1255</v>
      </c>
      <c r="G156" s="92" t="s">
        <v>397</v>
      </c>
      <c r="H156" s="92" t="s">
        <v>1256</v>
      </c>
      <c r="I156" s="92" t="s">
        <v>980</v>
      </c>
      <c r="J156" s="92" t="s">
        <v>60</v>
      </c>
      <c r="K156" s="92" t="s">
        <v>681</v>
      </c>
    </row>
    <row r="157" spans="1:11" ht="13.8">
      <c r="A157" s="47">
        <v>7129</v>
      </c>
      <c r="B157" s="92" t="s">
        <v>1257</v>
      </c>
      <c r="C157" s="92" t="s">
        <v>1258</v>
      </c>
      <c r="D157" s="72" t="str">
        <f>IFERROR(VLOOKUP(A157,'[1]ST-QA-ZZ5'!$C$5:$M$299,11,0),"Inspection at production line")</f>
        <v>Inspection at production line</v>
      </c>
      <c r="F157" s="92" t="s">
        <v>1259</v>
      </c>
      <c r="G157" s="92" t="s">
        <v>397</v>
      </c>
      <c r="H157" s="92" t="s">
        <v>1260</v>
      </c>
      <c r="I157" s="92" t="s">
        <v>980</v>
      </c>
      <c r="J157" s="92" t="s">
        <v>60</v>
      </c>
      <c r="K157" s="92" t="s">
        <v>681</v>
      </c>
    </row>
    <row r="158" spans="1:11" ht="13.8">
      <c r="A158" s="47">
        <v>713</v>
      </c>
      <c r="B158" s="92" t="s">
        <v>1063</v>
      </c>
      <c r="C158" s="92" t="s">
        <v>1261</v>
      </c>
      <c r="D158" s="72" t="str">
        <f>IFERROR(VLOOKUP(A158,'[1]ST-QA-ZZ5'!$C$5:$M$299,11,0),"Inspection at production line")</f>
        <v>Inspection at production line</v>
      </c>
      <c r="F158" s="92" t="s">
        <v>1262</v>
      </c>
      <c r="G158" s="92" t="s">
        <v>1167</v>
      </c>
      <c r="H158" s="92" t="s">
        <v>1263</v>
      </c>
      <c r="I158" s="92" t="s">
        <v>980</v>
      </c>
      <c r="J158" s="92" t="s">
        <v>60</v>
      </c>
      <c r="K158" s="92" t="s">
        <v>681</v>
      </c>
    </row>
    <row r="159" spans="1:11" ht="13.8">
      <c r="A159" s="47">
        <v>7130</v>
      </c>
      <c r="B159" s="92" t="s">
        <v>1158</v>
      </c>
      <c r="C159" s="92" t="s">
        <v>1264</v>
      </c>
      <c r="D159" s="72" t="str">
        <f>IFERROR(VLOOKUP(A159,'[1]ST-QA-ZZ5'!$C$5:$M$299,11,0),"Inspection at production line")</f>
        <v>Inspection at production line</v>
      </c>
      <c r="F159" s="92" t="s">
        <v>1265</v>
      </c>
      <c r="G159" s="92" t="s">
        <v>1167</v>
      </c>
      <c r="H159" s="92" t="s">
        <v>1266</v>
      </c>
      <c r="I159" s="92" t="s">
        <v>980</v>
      </c>
      <c r="J159" s="92" t="s">
        <v>60</v>
      </c>
      <c r="K159" s="92" t="s">
        <v>681</v>
      </c>
    </row>
    <row r="160" spans="1:11" ht="13.8">
      <c r="A160" s="47">
        <v>7132</v>
      </c>
      <c r="B160" s="92" t="s">
        <v>1001</v>
      </c>
      <c r="C160" s="92" t="s">
        <v>1267</v>
      </c>
      <c r="D160" s="72" t="str">
        <f>IFERROR(VLOOKUP(A160,'[1]ST-QA-ZZ5'!$C$5:$M$299,11,0),"Inspection at production line")</f>
        <v>Inspection at production line</v>
      </c>
      <c r="F160" s="92" t="s">
        <v>1268</v>
      </c>
      <c r="G160" s="92" t="s">
        <v>1167</v>
      </c>
      <c r="H160" s="92" t="s">
        <v>1269</v>
      </c>
      <c r="I160" s="92" t="s">
        <v>980</v>
      </c>
      <c r="J160" s="92" t="s">
        <v>60</v>
      </c>
      <c r="K160" s="92" t="s">
        <v>681</v>
      </c>
    </row>
    <row r="161" spans="1:11" ht="13.8">
      <c r="A161" s="47">
        <v>714</v>
      </c>
      <c r="B161" s="92" t="s">
        <v>355</v>
      </c>
      <c r="C161" s="92" t="s">
        <v>1270</v>
      </c>
      <c r="D161" s="72" t="str">
        <f>IFERROR(VLOOKUP(A161,'[1]ST-QA-ZZ5'!$C$5:$M$299,11,0),"Inspection at production line")</f>
        <v>Inspection at production line</v>
      </c>
      <c r="F161" s="92" t="s">
        <v>1271</v>
      </c>
      <c r="G161" s="92" t="s">
        <v>1167</v>
      </c>
      <c r="H161" s="92" t="s">
        <v>1272</v>
      </c>
      <c r="I161" s="92" t="s">
        <v>980</v>
      </c>
      <c r="J161" s="92" t="s">
        <v>60</v>
      </c>
      <c r="K161" s="92" t="s">
        <v>681</v>
      </c>
    </row>
    <row r="162" spans="1:11" ht="13.8">
      <c r="A162" s="47">
        <v>715</v>
      </c>
      <c r="B162" s="92" t="s">
        <v>1273</v>
      </c>
      <c r="C162" s="92" t="s">
        <v>1274</v>
      </c>
      <c r="D162" s="72" t="str">
        <f>IFERROR(VLOOKUP(A162,'[1]ST-QA-ZZ5'!$C$5:$M$299,11,0),"Inspection at production line")</f>
        <v>Inspection at production line</v>
      </c>
      <c r="F162" s="92" t="s">
        <v>1275</v>
      </c>
      <c r="G162" s="92" t="s">
        <v>1167</v>
      </c>
      <c r="H162" s="92" t="s">
        <v>1276</v>
      </c>
      <c r="I162" s="92" t="s">
        <v>980</v>
      </c>
      <c r="J162" s="92" t="s">
        <v>60</v>
      </c>
      <c r="K162" s="92" t="s">
        <v>681</v>
      </c>
    </row>
    <row r="163" spans="1:11" ht="13.8">
      <c r="A163" s="47">
        <v>716</v>
      </c>
      <c r="B163" s="92" t="s">
        <v>1273</v>
      </c>
      <c r="C163" s="92" t="s">
        <v>906</v>
      </c>
      <c r="D163" s="72" t="str">
        <f>IFERROR(VLOOKUP(A163,'[1]ST-QA-ZZ5'!$C$5:$M$299,11,0),"Inspection at production line")</f>
        <v>Inspection at production line</v>
      </c>
      <c r="F163" s="92" t="s">
        <v>1277</v>
      </c>
      <c r="G163" s="92" t="s">
        <v>1167</v>
      </c>
      <c r="H163" s="92" t="s">
        <v>1278</v>
      </c>
      <c r="I163" s="92" t="s">
        <v>980</v>
      </c>
      <c r="J163" s="92" t="s">
        <v>60</v>
      </c>
      <c r="K163" s="92" t="s">
        <v>681</v>
      </c>
    </row>
    <row r="164" spans="1:11" ht="13.8">
      <c r="A164" s="47">
        <v>717</v>
      </c>
      <c r="B164" s="92" t="s">
        <v>1257</v>
      </c>
      <c r="C164" s="92" t="s">
        <v>1279</v>
      </c>
      <c r="D164" s="72" t="str">
        <f>IFERROR(VLOOKUP(A164,'[1]ST-QA-ZZ5'!$C$5:$M$299,11,0),"Inspection at production line")</f>
        <v>Inspection at production line</v>
      </c>
      <c r="F164" s="92" t="s">
        <v>1280</v>
      </c>
      <c r="G164" s="92" t="s">
        <v>1167</v>
      </c>
      <c r="H164" s="92" t="s">
        <v>1281</v>
      </c>
      <c r="I164" s="92" t="s">
        <v>980</v>
      </c>
      <c r="J164" s="92" t="s">
        <v>60</v>
      </c>
      <c r="K164" s="92" t="s">
        <v>681</v>
      </c>
    </row>
    <row r="165" spans="1:11" ht="13.8">
      <c r="A165" s="47">
        <v>722</v>
      </c>
      <c r="B165" s="92" t="s">
        <v>1063</v>
      </c>
      <c r="C165" s="92" t="s">
        <v>1282</v>
      </c>
      <c r="D165" s="72" t="str">
        <f>IFERROR(VLOOKUP(A165,'[1]ST-QA-ZZ5'!$C$5:$M$299,11,0),"Inspection at production line")</f>
        <v>Inspection at production line</v>
      </c>
      <c r="F165" s="92" t="s">
        <v>1283</v>
      </c>
      <c r="G165" s="92" t="s">
        <v>1167</v>
      </c>
      <c r="H165" s="92" t="s">
        <v>1284</v>
      </c>
      <c r="I165" s="92" t="s">
        <v>980</v>
      </c>
      <c r="J165" s="92" t="s">
        <v>60</v>
      </c>
      <c r="K165" s="92" t="s">
        <v>681</v>
      </c>
    </row>
    <row r="166" spans="1:11" ht="13.8">
      <c r="A166" s="47">
        <v>723</v>
      </c>
      <c r="B166" s="92" t="s">
        <v>1285</v>
      </c>
      <c r="C166" s="92" t="s">
        <v>1286</v>
      </c>
      <c r="D166" s="72" t="str">
        <f>IFERROR(VLOOKUP(A166,'[1]ST-QA-ZZ5'!$C$5:$M$299,11,0),"Inspection at production line")</f>
        <v>Inspection at production line</v>
      </c>
      <c r="F166" s="92" t="s">
        <v>1287</v>
      </c>
      <c r="G166" s="92" t="s">
        <v>1177</v>
      </c>
      <c r="H166" s="92" t="s">
        <v>1288</v>
      </c>
      <c r="I166" s="92" t="s">
        <v>980</v>
      </c>
      <c r="J166" s="92" t="s">
        <v>60</v>
      </c>
      <c r="K166" s="92" t="s">
        <v>681</v>
      </c>
    </row>
    <row r="167" spans="1:11" ht="13.8">
      <c r="A167" s="47">
        <v>724</v>
      </c>
      <c r="B167" s="92" t="s">
        <v>404</v>
      </c>
      <c r="C167" s="92" t="s">
        <v>1289</v>
      </c>
      <c r="D167" s="72" t="str">
        <f>IFERROR(VLOOKUP(A167,'[1]ST-QA-ZZ5'!$C$5:$M$299,11,0),"Inspection at production line")</f>
        <v>Inspection at production line</v>
      </c>
      <c r="F167" s="92" t="s">
        <v>1290</v>
      </c>
      <c r="G167" s="92" t="s">
        <v>1177</v>
      </c>
      <c r="H167" s="92" t="s">
        <v>1291</v>
      </c>
      <c r="I167" s="92" t="s">
        <v>980</v>
      </c>
      <c r="J167" s="92" t="s">
        <v>60</v>
      </c>
      <c r="K167" s="92" t="s">
        <v>681</v>
      </c>
    </row>
    <row r="168" spans="1:11" ht="13.8">
      <c r="A168" s="47">
        <v>727</v>
      </c>
      <c r="B168" s="92" t="s">
        <v>1292</v>
      </c>
      <c r="C168" s="92" t="s">
        <v>1293</v>
      </c>
      <c r="D168" s="72" t="str">
        <f>IFERROR(VLOOKUP(A168,'[1]ST-QA-ZZ5'!$C$5:$M$299,11,0),"Inspection at production line")</f>
        <v>Inspection at production line</v>
      </c>
      <c r="F168" s="92" t="s">
        <v>1294</v>
      </c>
      <c r="G168" s="92" t="s">
        <v>1177</v>
      </c>
      <c r="H168" s="92" t="s">
        <v>1295</v>
      </c>
      <c r="I168" s="92" t="s">
        <v>980</v>
      </c>
      <c r="J168" s="92" t="s">
        <v>60</v>
      </c>
      <c r="K168" s="92" t="s">
        <v>681</v>
      </c>
    </row>
    <row r="169" spans="1:11" ht="13.8">
      <c r="A169" s="47">
        <v>728</v>
      </c>
      <c r="B169" s="92" t="s">
        <v>1057</v>
      </c>
      <c r="C169" s="92" t="s">
        <v>1296</v>
      </c>
      <c r="D169" s="72" t="str">
        <f>IFERROR(VLOOKUP(A169,'[1]ST-QA-ZZ5'!$C$5:$M$299,11,0),"Inspection at production line")</f>
        <v>Inspection at production line</v>
      </c>
      <c r="F169" s="92" t="s">
        <v>1297</v>
      </c>
      <c r="G169" s="92" t="s">
        <v>68</v>
      </c>
      <c r="H169" s="92" t="s">
        <v>1298</v>
      </c>
      <c r="I169" s="92" t="s">
        <v>980</v>
      </c>
      <c r="J169" s="92" t="s">
        <v>60</v>
      </c>
      <c r="K169" s="92" t="s">
        <v>681</v>
      </c>
    </row>
    <row r="170" spans="1:11" ht="13.8">
      <c r="A170" s="47">
        <v>729</v>
      </c>
      <c r="B170" s="92" t="s">
        <v>1299</v>
      </c>
      <c r="C170" s="92" t="s">
        <v>1300</v>
      </c>
      <c r="D170" s="72" t="str">
        <f>IFERROR(VLOOKUP(A170,'[1]ST-QA-ZZ5'!$C$5:$M$299,11,0),"Inspection at production line")</f>
        <v>Inspection at production line</v>
      </c>
      <c r="F170" s="92" t="s">
        <v>1301</v>
      </c>
      <c r="G170" s="92" t="s">
        <v>1302</v>
      </c>
      <c r="H170" s="92" t="s">
        <v>1303</v>
      </c>
      <c r="I170" s="92" t="s">
        <v>980</v>
      </c>
      <c r="J170" s="92" t="s">
        <v>60</v>
      </c>
      <c r="K170" s="92" t="s">
        <v>681</v>
      </c>
    </row>
    <row r="171" spans="1:11" ht="13.8">
      <c r="A171" s="47">
        <v>730</v>
      </c>
      <c r="B171" s="92" t="s">
        <v>1285</v>
      </c>
      <c r="C171" s="92" t="s">
        <v>1304</v>
      </c>
      <c r="D171" s="72" t="str">
        <f>IFERROR(VLOOKUP(A171,'[1]ST-QA-ZZ5'!$C$5:$M$299,11,0),"Inspection at production line")</f>
        <v>Inspection at production line</v>
      </c>
      <c r="F171" s="92" t="s">
        <v>1305</v>
      </c>
      <c r="G171" s="92" t="s">
        <v>1306</v>
      </c>
      <c r="H171" s="92" t="s">
        <v>1306</v>
      </c>
      <c r="I171" s="92" t="s">
        <v>980</v>
      </c>
      <c r="J171" s="92" t="s">
        <v>60</v>
      </c>
      <c r="K171" s="92" t="s">
        <v>681</v>
      </c>
    </row>
    <row r="172" spans="1:11" ht="13.8">
      <c r="A172" s="47">
        <v>731</v>
      </c>
      <c r="B172" s="92" t="s">
        <v>1158</v>
      </c>
      <c r="C172" s="92" t="s">
        <v>1307</v>
      </c>
      <c r="D172" s="72" t="str">
        <f>IFERROR(VLOOKUP(A172,'[1]ST-QA-ZZ5'!$C$5:$M$299,11,0),"Inspection at production line")</f>
        <v>Inspection at production line</v>
      </c>
      <c r="F172" s="92" t="s">
        <v>1308</v>
      </c>
      <c r="G172" s="92" t="s">
        <v>818</v>
      </c>
      <c r="H172" s="92" t="s">
        <v>1309</v>
      </c>
      <c r="I172" s="92" t="s">
        <v>980</v>
      </c>
      <c r="J172" s="92" t="s">
        <v>60</v>
      </c>
      <c r="K172" s="92" t="s">
        <v>681</v>
      </c>
    </row>
    <row r="173" spans="1:11" ht="13.8">
      <c r="A173" s="47">
        <v>733</v>
      </c>
      <c r="B173" s="92" t="s">
        <v>1001</v>
      </c>
      <c r="C173" s="92" t="s">
        <v>1310</v>
      </c>
      <c r="D173" s="72" t="str">
        <f>IFERROR(VLOOKUP(A173,'[1]ST-QA-ZZ5'!$C$5:$M$299,11,0),"Inspection at production line")</f>
        <v>Inspection at production line</v>
      </c>
      <c r="F173" s="92" t="s">
        <v>1311</v>
      </c>
      <c r="G173" s="92" t="s">
        <v>818</v>
      </c>
      <c r="H173" s="92" t="s">
        <v>1312</v>
      </c>
      <c r="I173" s="92" t="s">
        <v>980</v>
      </c>
      <c r="J173" s="92" t="s">
        <v>60</v>
      </c>
      <c r="K173" s="92" t="s">
        <v>681</v>
      </c>
    </row>
    <row r="174" spans="1:11" ht="13.8">
      <c r="A174" s="47">
        <v>736</v>
      </c>
      <c r="B174" s="92" t="s">
        <v>997</v>
      </c>
      <c r="C174" s="92" t="s">
        <v>1313</v>
      </c>
      <c r="D174" s="72" t="str">
        <f>IFERROR(VLOOKUP(A174,'[1]ST-QA-ZZ5'!$C$5:$M$299,11,0),"Inspection at production line")</f>
        <v>Inspection at production line</v>
      </c>
      <c r="F174" s="92" t="s">
        <v>1314</v>
      </c>
      <c r="G174" s="92" t="s">
        <v>1315</v>
      </c>
      <c r="H174" s="92" t="s">
        <v>1316</v>
      </c>
      <c r="I174" s="92" t="s">
        <v>980</v>
      </c>
      <c r="J174" s="92" t="s">
        <v>60</v>
      </c>
      <c r="K174" s="92" t="s">
        <v>681</v>
      </c>
    </row>
    <row r="175" spans="1:11" ht="13.8">
      <c r="A175" s="47">
        <v>740</v>
      </c>
      <c r="B175" s="92" t="s">
        <v>1114</v>
      </c>
      <c r="C175" s="92" t="s">
        <v>1317</v>
      </c>
      <c r="D175" s="72" t="str">
        <f>IFERROR(VLOOKUP(A175,'[1]ST-QA-ZZ5'!$C$5:$M$299,11,0),"Inspection at production line")</f>
        <v>Inspection at production line</v>
      </c>
      <c r="F175" s="92" t="s">
        <v>1318</v>
      </c>
      <c r="G175" s="92" t="s">
        <v>818</v>
      </c>
      <c r="H175" s="92" t="s">
        <v>1319</v>
      </c>
      <c r="I175" s="92" t="s">
        <v>980</v>
      </c>
      <c r="J175" s="92" t="s">
        <v>60</v>
      </c>
      <c r="K175" s="92" t="s">
        <v>681</v>
      </c>
    </row>
    <row r="176" spans="1:11" ht="13.8">
      <c r="A176" s="47">
        <v>741</v>
      </c>
      <c r="B176" s="92" t="s">
        <v>1063</v>
      </c>
      <c r="C176" s="92" t="s">
        <v>1320</v>
      </c>
      <c r="D176" s="72" t="str">
        <f>IFERROR(VLOOKUP(A176,'[1]ST-QA-ZZ5'!$C$5:$M$299,11,0),"Inspection at production line")</f>
        <v>Inspection at production line</v>
      </c>
      <c r="F176" s="92" t="s">
        <v>1321</v>
      </c>
      <c r="G176" s="92" t="s">
        <v>818</v>
      </c>
      <c r="H176" s="92" t="s">
        <v>1322</v>
      </c>
      <c r="I176" s="92" t="s">
        <v>980</v>
      </c>
      <c r="J176" s="92" t="s">
        <v>60</v>
      </c>
      <c r="K176" s="92" t="s">
        <v>681</v>
      </c>
    </row>
    <row r="177" spans="1:11" ht="13.8">
      <c r="A177" s="47">
        <v>744</v>
      </c>
      <c r="B177" s="92" t="s">
        <v>997</v>
      </c>
      <c r="C177" s="92" t="s">
        <v>1323</v>
      </c>
      <c r="D177" s="72" t="str">
        <f>IFERROR(VLOOKUP(A177,'[1]ST-QA-ZZ5'!$C$5:$M$299,11,0),"Inspection at production line")</f>
        <v>Inspection at production line</v>
      </c>
      <c r="F177" s="92" t="s">
        <v>1324</v>
      </c>
      <c r="G177" s="92" t="s">
        <v>818</v>
      </c>
      <c r="H177" s="92" t="s">
        <v>1325</v>
      </c>
      <c r="I177" s="92" t="s">
        <v>980</v>
      </c>
      <c r="J177" s="92" t="s">
        <v>60</v>
      </c>
      <c r="K177" s="92" t="s">
        <v>681</v>
      </c>
    </row>
    <row r="178" spans="1:11" ht="13.8">
      <c r="A178" s="47">
        <v>747</v>
      </c>
      <c r="B178" s="92" t="s">
        <v>1138</v>
      </c>
      <c r="C178" s="92" t="s">
        <v>1326</v>
      </c>
      <c r="D178" s="72" t="str">
        <f>IFERROR(VLOOKUP(A178,'[1]ST-QA-ZZ5'!$C$5:$M$299,11,0),"Inspection at production line")</f>
        <v>Inspection at production line</v>
      </c>
      <c r="F178" s="92" t="s">
        <v>1327</v>
      </c>
      <c r="G178" s="92" t="s">
        <v>818</v>
      </c>
      <c r="H178" s="92" t="s">
        <v>1328</v>
      </c>
      <c r="I178" s="92" t="s">
        <v>980</v>
      </c>
      <c r="J178" s="92" t="s">
        <v>60</v>
      </c>
      <c r="K178" s="92" t="s">
        <v>681</v>
      </c>
    </row>
    <row r="179" spans="1:11" ht="13.8">
      <c r="A179" s="47">
        <v>748</v>
      </c>
      <c r="B179" s="92" t="s">
        <v>1001</v>
      </c>
      <c r="C179" s="92" t="s">
        <v>1329</v>
      </c>
      <c r="D179" s="72" t="str">
        <f>IFERROR(VLOOKUP(A179,'[1]ST-QA-ZZ5'!$C$5:$M$299,11,0),"Inspection at production line")</f>
        <v>Inspection at production line</v>
      </c>
      <c r="F179" s="92" t="s">
        <v>1330</v>
      </c>
      <c r="G179" s="92" t="s">
        <v>818</v>
      </c>
      <c r="H179" s="92" t="s">
        <v>1331</v>
      </c>
      <c r="I179" s="92" t="s">
        <v>980</v>
      </c>
      <c r="J179" s="92" t="s">
        <v>60</v>
      </c>
      <c r="K179" s="92" t="s">
        <v>681</v>
      </c>
    </row>
    <row r="180" spans="1:11" ht="13.8">
      <c r="A180" s="47">
        <v>750</v>
      </c>
      <c r="B180" s="92" t="s">
        <v>1158</v>
      </c>
      <c r="C180" s="92" t="s">
        <v>1332</v>
      </c>
      <c r="D180" s="72" t="str">
        <f>IFERROR(VLOOKUP(A180,'[1]ST-QA-ZZ5'!$C$5:$M$299,11,0),"Inspection at production line")</f>
        <v>Inspection at production line</v>
      </c>
      <c r="F180" s="92" t="s">
        <v>1333</v>
      </c>
      <c r="G180" s="92" t="s">
        <v>818</v>
      </c>
      <c r="H180" s="92" t="s">
        <v>1334</v>
      </c>
      <c r="I180" s="92" t="s">
        <v>980</v>
      </c>
      <c r="J180" s="92" t="s">
        <v>60</v>
      </c>
      <c r="K180" s="92" t="s">
        <v>681</v>
      </c>
    </row>
    <row r="181" spans="1:11" ht="13.8">
      <c r="A181" s="47">
        <v>756</v>
      </c>
      <c r="B181" s="92" t="s">
        <v>1001</v>
      </c>
      <c r="C181" s="92" t="s">
        <v>1335</v>
      </c>
      <c r="D181" s="72" t="str">
        <f>IFERROR(VLOOKUP(A181,'[1]ST-QA-ZZ5'!$C$5:$M$299,11,0),"Inspection at production line")</f>
        <v>Inspection at production line</v>
      </c>
      <c r="F181" s="92" t="s">
        <v>1336</v>
      </c>
      <c r="G181" s="92" t="s">
        <v>898</v>
      </c>
      <c r="H181" s="92" t="s">
        <v>1337</v>
      </c>
      <c r="I181" s="92" t="s">
        <v>980</v>
      </c>
      <c r="J181" s="92" t="s">
        <v>60</v>
      </c>
      <c r="K181" s="92" t="s">
        <v>681</v>
      </c>
    </row>
    <row r="182" spans="1:11" ht="13.8">
      <c r="A182" s="47">
        <v>757</v>
      </c>
      <c r="B182" s="92" t="s">
        <v>1001</v>
      </c>
      <c r="C182" s="92" t="s">
        <v>1338</v>
      </c>
      <c r="D182" s="72" t="str">
        <f>IFERROR(VLOOKUP(A182,'[1]ST-QA-ZZ5'!$C$5:$M$299,11,0),"Inspection at production line")</f>
        <v>Inspection at production line</v>
      </c>
      <c r="F182" s="92" t="s">
        <v>1339</v>
      </c>
      <c r="G182" s="92" t="s">
        <v>898</v>
      </c>
      <c r="H182" s="92" t="s">
        <v>1340</v>
      </c>
      <c r="I182" s="92" t="s">
        <v>980</v>
      </c>
      <c r="J182" s="92" t="s">
        <v>60</v>
      </c>
      <c r="K182" s="92" t="s">
        <v>681</v>
      </c>
    </row>
    <row r="183" spans="1:11" ht="13.8">
      <c r="A183" s="47">
        <v>758</v>
      </c>
      <c r="B183" s="92" t="s">
        <v>1001</v>
      </c>
      <c r="C183" s="92" t="s">
        <v>1341</v>
      </c>
      <c r="D183" s="72" t="str">
        <f>IFERROR(VLOOKUP(A183,'[1]ST-QA-ZZ5'!$C$5:$M$299,11,0),"Inspection at production line")</f>
        <v>Inspection at production line</v>
      </c>
      <c r="F183" s="92" t="s">
        <v>1342</v>
      </c>
      <c r="G183" s="92" t="s">
        <v>898</v>
      </c>
      <c r="H183" s="92" t="s">
        <v>1343</v>
      </c>
      <c r="I183" s="92" t="s">
        <v>980</v>
      </c>
      <c r="J183" s="92" t="s">
        <v>60</v>
      </c>
      <c r="K183" s="92" t="s">
        <v>681</v>
      </c>
    </row>
    <row r="184" spans="1:11" ht="13.8">
      <c r="A184" s="47">
        <v>759</v>
      </c>
      <c r="B184" s="92" t="s">
        <v>1138</v>
      </c>
      <c r="C184" s="92" t="s">
        <v>1344</v>
      </c>
      <c r="D184" s="72" t="str">
        <f>IFERROR(VLOOKUP(A184,'[1]ST-QA-ZZ5'!$C$5:$M$299,11,0),"Inspection at production line")</f>
        <v>Inspection at production line</v>
      </c>
      <c r="F184" s="92" t="s">
        <v>1345</v>
      </c>
      <c r="G184" s="92" t="s">
        <v>1063</v>
      </c>
      <c r="H184" s="92" t="s">
        <v>1346</v>
      </c>
      <c r="I184" s="92" t="s">
        <v>980</v>
      </c>
      <c r="J184" s="92" t="s">
        <v>60</v>
      </c>
      <c r="K184" s="92" t="s">
        <v>681</v>
      </c>
    </row>
    <row r="185" spans="1:11" ht="13.8">
      <c r="A185" s="47">
        <v>760</v>
      </c>
      <c r="B185" s="92" t="s">
        <v>1001</v>
      </c>
      <c r="C185" s="92" t="s">
        <v>1347</v>
      </c>
      <c r="D185" s="72" t="str">
        <f>IFERROR(VLOOKUP(A185,'[1]ST-QA-ZZ5'!$C$5:$M$299,11,0),"Inspection at production line")</f>
        <v>Inspection at production line</v>
      </c>
      <c r="F185" s="92" t="s">
        <v>1348</v>
      </c>
      <c r="G185" s="92" t="s">
        <v>1046</v>
      </c>
      <c r="H185" s="92" t="s">
        <v>1349</v>
      </c>
      <c r="I185" s="92" t="s">
        <v>980</v>
      </c>
      <c r="J185" s="92" t="s">
        <v>60</v>
      </c>
      <c r="K185" s="92" t="s">
        <v>681</v>
      </c>
    </row>
    <row r="186" spans="1:11" ht="13.8">
      <c r="A186" s="47">
        <v>766</v>
      </c>
      <c r="B186" s="92" t="s">
        <v>1138</v>
      </c>
      <c r="C186" s="92" t="s">
        <v>1350</v>
      </c>
      <c r="D186" s="72" t="str">
        <f>IFERROR(VLOOKUP(A186,'[1]ST-QA-ZZ5'!$C$5:$M$299,11,0),"Inspection at production line")</f>
        <v>Inspection at production line</v>
      </c>
      <c r="F186" s="92" t="s">
        <v>1348</v>
      </c>
      <c r="G186" s="92" t="s">
        <v>1120</v>
      </c>
      <c r="H186" s="92" t="s">
        <v>1349</v>
      </c>
      <c r="I186" s="92" t="s">
        <v>980</v>
      </c>
      <c r="J186" s="92"/>
      <c r="K186" s="92" t="s">
        <v>681</v>
      </c>
    </row>
    <row r="187" spans="1:11" ht="13.8">
      <c r="A187" s="47">
        <v>767</v>
      </c>
      <c r="B187" s="92" t="s">
        <v>997</v>
      </c>
      <c r="C187" s="92" t="s">
        <v>1351</v>
      </c>
      <c r="D187" s="72" t="str">
        <f>IFERROR(VLOOKUP(A187,'[1]ST-QA-ZZ5'!$C$5:$M$299,11,0),"Inspection at production line")</f>
        <v>Inspection at production line</v>
      </c>
      <c r="F187" s="92" t="s">
        <v>1352</v>
      </c>
      <c r="G187" s="92" t="s">
        <v>1016</v>
      </c>
      <c r="H187" s="92" t="s">
        <v>1353</v>
      </c>
      <c r="I187" s="92" t="s">
        <v>980</v>
      </c>
      <c r="J187" s="92" t="s">
        <v>60</v>
      </c>
      <c r="K187" s="92" t="s">
        <v>681</v>
      </c>
    </row>
    <row r="188" spans="1:11" ht="13.8">
      <c r="A188" s="47">
        <v>768</v>
      </c>
      <c r="B188" s="92" t="s">
        <v>1001</v>
      </c>
      <c r="C188" s="92" t="s">
        <v>1354</v>
      </c>
      <c r="D188" s="72" t="str">
        <f>IFERROR(VLOOKUP(A188,'[1]ST-QA-ZZ5'!$C$5:$M$299,11,0),"Inspection at production line")</f>
        <v>Inspection at production line</v>
      </c>
      <c r="F188" s="92" t="s">
        <v>1355</v>
      </c>
      <c r="G188" s="92" t="s">
        <v>1016</v>
      </c>
      <c r="H188" s="92" t="s">
        <v>1356</v>
      </c>
      <c r="I188" s="92" t="s">
        <v>980</v>
      </c>
      <c r="J188" s="92" t="s">
        <v>60</v>
      </c>
      <c r="K188" s="92" t="s">
        <v>681</v>
      </c>
    </row>
    <row r="189" spans="1:11" ht="13.8">
      <c r="A189" s="47">
        <v>769</v>
      </c>
      <c r="B189" s="92" t="s">
        <v>1001</v>
      </c>
      <c r="C189" s="92" t="s">
        <v>1357</v>
      </c>
      <c r="D189" s="72" t="str">
        <f>IFERROR(VLOOKUP(A189,'[1]ST-QA-ZZ5'!$C$5:$M$299,11,0),"Inspection at production line")</f>
        <v>Inspection at production line</v>
      </c>
      <c r="F189" s="92" t="s">
        <v>1358</v>
      </c>
      <c r="G189" s="92" t="s">
        <v>1359</v>
      </c>
      <c r="H189" s="92" t="s">
        <v>1360</v>
      </c>
      <c r="I189" s="92" t="s">
        <v>980</v>
      </c>
      <c r="J189" s="92" t="s">
        <v>60</v>
      </c>
      <c r="K189" s="92" t="s">
        <v>681</v>
      </c>
    </row>
    <row r="190" spans="1:11" ht="13.8">
      <c r="A190" s="47">
        <v>770</v>
      </c>
      <c r="B190" s="92" t="s">
        <v>1001</v>
      </c>
      <c r="C190" s="92" t="s">
        <v>1361</v>
      </c>
      <c r="D190" s="72" t="str">
        <f>IFERROR(VLOOKUP(A190,'[1]ST-QA-ZZ5'!$C$5:$M$299,11,0),"Inspection at production line")</f>
        <v>Inspection at production line</v>
      </c>
      <c r="F190" s="92" t="s">
        <v>1362</v>
      </c>
      <c r="G190" s="92" t="s">
        <v>1359</v>
      </c>
      <c r="H190" s="92" t="s">
        <v>1363</v>
      </c>
      <c r="I190" s="92" t="s">
        <v>980</v>
      </c>
      <c r="J190" s="92" t="s">
        <v>60</v>
      </c>
      <c r="K190" s="92" t="s">
        <v>681</v>
      </c>
    </row>
    <row r="191" spans="1:11" ht="13.8">
      <c r="A191" s="47">
        <v>771</v>
      </c>
      <c r="B191" s="92" t="s">
        <v>1001</v>
      </c>
      <c r="C191" s="92" t="s">
        <v>1364</v>
      </c>
      <c r="D191" s="72" t="str">
        <f>IFERROR(VLOOKUP(A191,'[1]ST-QA-ZZ5'!$C$5:$M$299,11,0),"Inspection at production line")</f>
        <v>Inspection at production line</v>
      </c>
      <c r="F191" s="92" t="s">
        <v>1365</v>
      </c>
      <c r="G191" s="92" t="s">
        <v>1016</v>
      </c>
      <c r="H191" s="92" t="s">
        <v>1366</v>
      </c>
      <c r="I191" s="92" t="s">
        <v>980</v>
      </c>
      <c r="J191" s="92" t="s">
        <v>60</v>
      </c>
      <c r="K191" s="92" t="s">
        <v>681</v>
      </c>
    </row>
    <row r="192" spans="1:11" ht="13.8">
      <c r="A192" s="47">
        <v>775</v>
      </c>
      <c r="B192" s="92" t="s">
        <v>1001</v>
      </c>
      <c r="C192" s="92" t="s">
        <v>1367</v>
      </c>
      <c r="D192" s="72" t="str">
        <f>IFERROR(VLOOKUP(A192,'[1]ST-QA-ZZ5'!$C$5:$M$299,11,0),"Inspection at production line")</f>
        <v>Inspection at production line</v>
      </c>
      <c r="F192" s="92" t="s">
        <v>1368</v>
      </c>
      <c r="G192" s="92" t="s">
        <v>1369</v>
      </c>
      <c r="H192" s="92" t="s">
        <v>1370</v>
      </c>
      <c r="I192" s="92" t="s">
        <v>980</v>
      </c>
      <c r="J192" s="92" t="s">
        <v>60</v>
      </c>
      <c r="K192" s="92" t="s">
        <v>681</v>
      </c>
    </row>
    <row r="193" spans="1:11" ht="13.8">
      <c r="A193" s="47">
        <v>776</v>
      </c>
      <c r="B193" s="92" t="s">
        <v>997</v>
      </c>
      <c r="C193" s="92" t="s">
        <v>1371</v>
      </c>
      <c r="D193" s="72" t="str">
        <f>IFERROR(VLOOKUP(A193,'[1]ST-QA-ZZ5'!$C$5:$M$299,11,0),"Inspection at production line")</f>
        <v>Inspection at production line</v>
      </c>
      <c r="F193" s="92" t="s">
        <v>1372</v>
      </c>
      <c r="G193" s="92" t="s">
        <v>1369</v>
      </c>
      <c r="H193" s="92" t="s">
        <v>1373</v>
      </c>
      <c r="I193" s="92" t="s">
        <v>980</v>
      </c>
      <c r="J193" s="92" t="s">
        <v>60</v>
      </c>
      <c r="K193" s="92" t="s">
        <v>681</v>
      </c>
    </row>
    <row r="194" spans="1:11" ht="13.8">
      <c r="A194" s="47">
        <v>777</v>
      </c>
      <c r="B194" s="92" t="s">
        <v>1001</v>
      </c>
      <c r="C194" s="92" t="s">
        <v>1374</v>
      </c>
      <c r="D194" s="72" t="str">
        <f>IFERROR(VLOOKUP(A194,'[1]ST-QA-ZZ5'!$C$5:$M$299,11,0),"Inspection at production line")</f>
        <v>Inspection at production line</v>
      </c>
      <c r="F194" s="92" t="s">
        <v>1375</v>
      </c>
      <c r="G194" s="92" t="s">
        <v>1369</v>
      </c>
      <c r="H194" s="92" t="s">
        <v>1376</v>
      </c>
      <c r="I194" s="92" t="s">
        <v>980</v>
      </c>
      <c r="J194" s="92" t="s">
        <v>60</v>
      </c>
      <c r="K194" s="92" t="s">
        <v>681</v>
      </c>
    </row>
    <row r="195" spans="1:11" ht="13.8">
      <c r="A195" s="47">
        <v>779</v>
      </c>
      <c r="B195" s="92" t="s">
        <v>1001</v>
      </c>
      <c r="C195" s="92" t="s">
        <v>1377</v>
      </c>
      <c r="D195" s="72" t="str">
        <f>IFERROR(VLOOKUP(A195,'[1]ST-QA-ZZ5'!$C$5:$M$299,11,0),"Inspection at production line")</f>
        <v>Inspection at production line</v>
      </c>
      <c r="F195" s="92" t="s">
        <v>1378</v>
      </c>
      <c r="G195" s="92" t="s">
        <v>936</v>
      </c>
      <c r="H195" s="92" t="s">
        <v>1022</v>
      </c>
      <c r="I195" s="92" t="s">
        <v>980</v>
      </c>
      <c r="J195" s="92" t="s">
        <v>60</v>
      </c>
      <c r="K195" s="92" t="s">
        <v>681</v>
      </c>
    </row>
    <row r="196" spans="1:11" ht="13.8">
      <c r="A196" s="47">
        <v>780</v>
      </c>
      <c r="B196" s="92" t="s">
        <v>1379</v>
      </c>
      <c r="C196" s="92" t="s">
        <v>1380</v>
      </c>
      <c r="D196" s="72" t="str">
        <f>IFERROR(VLOOKUP(A196,'[1]ST-QA-ZZ5'!$C$5:$M$299,11,0),"Inspection at production line")</f>
        <v>Inspection at production line</v>
      </c>
      <c r="F196" s="92" t="s">
        <v>1381</v>
      </c>
      <c r="G196" s="92" t="s">
        <v>936</v>
      </c>
      <c r="H196" s="92" t="s">
        <v>1382</v>
      </c>
      <c r="I196" s="92" t="s">
        <v>980</v>
      </c>
      <c r="J196" s="92" t="s">
        <v>60</v>
      </c>
      <c r="K196" s="92" t="s">
        <v>681</v>
      </c>
    </row>
    <row r="197" spans="1:11" ht="13.8">
      <c r="A197" s="47">
        <v>781</v>
      </c>
      <c r="B197" s="92" t="s">
        <v>1001</v>
      </c>
      <c r="C197" s="92" t="s">
        <v>1383</v>
      </c>
      <c r="D197" s="72" t="str">
        <f>IFERROR(VLOOKUP(A197,'[1]ST-QA-ZZ5'!$C$5:$M$299,11,0),"Inspection at production line")</f>
        <v>Inspection at production line</v>
      </c>
      <c r="F197" s="92" t="s">
        <v>1384</v>
      </c>
      <c r="G197" s="92" t="s">
        <v>1385</v>
      </c>
      <c r="H197" s="92" t="s">
        <v>1386</v>
      </c>
      <c r="I197" s="92" t="s">
        <v>980</v>
      </c>
      <c r="J197" s="92" t="s">
        <v>60</v>
      </c>
      <c r="K197" s="92" t="s">
        <v>681</v>
      </c>
    </row>
    <row r="198" spans="1:11" ht="13.8">
      <c r="A198" s="47">
        <v>783</v>
      </c>
      <c r="B198" s="92" t="s">
        <v>997</v>
      </c>
      <c r="C198" s="92" t="s">
        <v>1387</v>
      </c>
      <c r="D198" s="72" t="str">
        <f>IFERROR(VLOOKUP(A198,'[1]ST-QA-ZZ5'!$C$5:$M$299,11,0),"Inspection at production line")</f>
        <v>Inspection at production line</v>
      </c>
      <c r="F198" s="92" t="s">
        <v>1388</v>
      </c>
      <c r="G198" s="92" t="s">
        <v>371</v>
      </c>
      <c r="H198" s="92" t="s">
        <v>1389</v>
      </c>
      <c r="I198" s="92" t="s">
        <v>980</v>
      </c>
      <c r="J198" s="92" t="s">
        <v>60</v>
      </c>
      <c r="K198" s="92" t="s">
        <v>681</v>
      </c>
    </row>
    <row r="199" spans="1:11" ht="13.8">
      <c r="A199" s="47">
        <v>784</v>
      </c>
      <c r="B199" s="92" t="s">
        <v>1001</v>
      </c>
      <c r="C199" s="92" t="s">
        <v>1390</v>
      </c>
      <c r="D199" s="72" t="str">
        <f>IFERROR(VLOOKUP(A199,'[1]ST-QA-ZZ5'!$C$5:$M$299,11,0),"Inspection at production line")</f>
        <v>Inspection at production line</v>
      </c>
      <c r="F199" s="92" t="s">
        <v>1391</v>
      </c>
      <c r="G199" s="92" t="s">
        <v>371</v>
      </c>
      <c r="H199" s="92" t="s">
        <v>1392</v>
      </c>
      <c r="I199" s="92" t="s">
        <v>980</v>
      </c>
      <c r="J199" s="92" t="s">
        <v>60</v>
      </c>
      <c r="K199" s="92" t="s">
        <v>681</v>
      </c>
    </row>
    <row r="200" spans="1:11" ht="13.8">
      <c r="A200" s="47">
        <v>785</v>
      </c>
      <c r="B200" s="92" t="s">
        <v>997</v>
      </c>
      <c r="C200" s="92" t="s">
        <v>1393</v>
      </c>
      <c r="D200" s="72" t="str">
        <f>IFERROR(VLOOKUP(A200,'[1]ST-QA-ZZ5'!$C$5:$M$299,11,0),"Inspection at production line")</f>
        <v>Inspection at production line</v>
      </c>
      <c r="F200" s="92" t="s">
        <v>1394</v>
      </c>
      <c r="G200" s="92" t="s">
        <v>404</v>
      </c>
      <c r="H200" s="92" t="s">
        <v>1395</v>
      </c>
      <c r="I200" s="92" t="s">
        <v>980</v>
      </c>
      <c r="J200" s="92" t="s">
        <v>60</v>
      </c>
      <c r="K200" s="92" t="s">
        <v>681</v>
      </c>
    </row>
    <row r="201" spans="1:11" ht="13.8">
      <c r="A201" s="47">
        <v>786</v>
      </c>
      <c r="B201" s="92" t="s">
        <v>1001</v>
      </c>
      <c r="C201" s="92" t="s">
        <v>1396</v>
      </c>
      <c r="D201" s="72" t="str">
        <f>IFERROR(VLOOKUP(A201,'[1]ST-QA-ZZ5'!$C$5:$M$299,11,0),"Inspection at production line")</f>
        <v>Inspection at production line</v>
      </c>
      <c r="F201" s="92" t="s">
        <v>1397</v>
      </c>
      <c r="G201" s="92" t="s">
        <v>404</v>
      </c>
      <c r="H201" s="92" t="s">
        <v>1398</v>
      </c>
      <c r="I201" s="92" t="s">
        <v>980</v>
      </c>
      <c r="J201" s="92" t="s">
        <v>60</v>
      </c>
      <c r="K201" s="92" t="s">
        <v>681</v>
      </c>
    </row>
    <row r="202" spans="1:11" ht="13.8">
      <c r="A202" s="47">
        <v>787</v>
      </c>
      <c r="B202" s="92" t="s">
        <v>997</v>
      </c>
      <c r="C202" s="92" t="s">
        <v>1399</v>
      </c>
      <c r="D202" s="72" t="str">
        <f>IFERROR(VLOOKUP(A202,'[1]ST-QA-ZZ5'!$C$5:$M$299,11,0),"Inspection at production line")</f>
        <v>Inspection at production line</v>
      </c>
      <c r="F202" s="92" t="s">
        <v>1400</v>
      </c>
      <c r="G202" s="92" t="s">
        <v>404</v>
      </c>
      <c r="H202" s="92" t="s">
        <v>1401</v>
      </c>
      <c r="I202" s="92" t="s">
        <v>980</v>
      </c>
      <c r="J202" s="92" t="s">
        <v>60</v>
      </c>
      <c r="K202" s="92" t="s">
        <v>681</v>
      </c>
    </row>
    <row r="203" spans="1:11" ht="13.8">
      <c r="A203" s="47">
        <v>788</v>
      </c>
      <c r="B203" s="92" t="s">
        <v>1001</v>
      </c>
      <c r="C203" s="92" t="s">
        <v>1402</v>
      </c>
      <c r="D203" s="72" t="str">
        <f>IFERROR(VLOOKUP(A203,'[1]ST-QA-ZZ5'!$C$5:$M$299,11,0),"Inspection at production line")</f>
        <v>Inspection at production line</v>
      </c>
      <c r="F203" s="92" t="s">
        <v>1403</v>
      </c>
      <c r="G203" s="92" t="s">
        <v>404</v>
      </c>
      <c r="H203" s="92" t="s">
        <v>1404</v>
      </c>
      <c r="I203" s="92" t="s">
        <v>980</v>
      </c>
      <c r="J203" s="92" t="s">
        <v>60</v>
      </c>
      <c r="K203" s="92" t="s">
        <v>681</v>
      </c>
    </row>
    <row r="204" spans="1:11" ht="13.8">
      <c r="A204" s="47">
        <v>789</v>
      </c>
      <c r="B204" s="92" t="s">
        <v>1001</v>
      </c>
      <c r="C204" s="92" t="s">
        <v>1405</v>
      </c>
      <c r="D204" s="72" t="str">
        <f>IFERROR(VLOOKUP(A204,'[1]ST-QA-ZZ5'!$C$5:$M$299,11,0),"Inspection at production line")</f>
        <v>Inspection at production line</v>
      </c>
      <c r="F204" s="92" t="s">
        <v>1406</v>
      </c>
      <c r="G204" s="92" t="s">
        <v>404</v>
      </c>
      <c r="H204" s="92" t="s">
        <v>1407</v>
      </c>
      <c r="I204" s="92" t="s">
        <v>980</v>
      </c>
      <c r="J204" s="92" t="s">
        <v>60</v>
      </c>
      <c r="K204" s="92" t="s">
        <v>681</v>
      </c>
    </row>
    <row r="205" spans="1:11" ht="13.8">
      <c r="A205" s="47">
        <v>791</v>
      </c>
      <c r="B205" s="92" t="s">
        <v>997</v>
      </c>
      <c r="C205" s="92" t="s">
        <v>1408</v>
      </c>
      <c r="D205" s="72" t="str">
        <f>IFERROR(VLOOKUP(A205,'[1]ST-QA-ZZ5'!$C$5:$M$299,11,0),"Inspection at production line")</f>
        <v>Inspection at production line</v>
      </c>
      <c r="F205" s="92" t="s">
        <v>1409</v>
      </c>
      <c r="G205" s="92" t="s">
        <v>811</v>
      </c>
      <c r="H205" s="92" t="s">
        <v>1410</v>
      </c>
      <c r="I205" s="92" t="s">
        <v>980</v>
      </c>
      <c r="J205" s="92" t="s">
        <v>60</v>
      </c>
      <c r="K205" s="92" t="s">
        <v>681</v>
      </c>
    </row>
    <row r="206" spans="1:11" ht="13.8">
      <c r="A206" s="47">
        <v>792</v>
      </c>
      <c r="B206" s="92" t="s">
        <v>1001</v>
      </c>
      <c r="C206" s="92" t="s">
        <v>1411</v>
      </c>
      <c r="D206" s="72" t="str">
        <f>IFERROR(VLOOKUP(A206,'[1]ST-QA-ZZ5'!$C$5:$M$299,11,0),"Inspection at production line")</f>
        <v>Inspection at production line</v>
      </c>
      <c r="F206" s="92" t="s">
        <v>1412</v>
      </c>
      <c r="G206" s="92" t="s">
        <v>811</v>
      </c>
      <c r="H206" s="92" t="s">
        <v>1413</v>
      </c>
      <c r="I206" s="92" t="s">
        <v>980</v>
      </c>
      <c r="J206" s="92" t="s">
        <v>60</v>
      </c>
      <c r="K206" s="92" t="s">
        <v>681</v>
      </c>
    </row>
    <row r="207" spans="1:11" ht="13.8">
      <c r="A207" s="47">
        <v>793</v>
      </c>
      <c r="B207" s="92" t="s">
        <v>1001</v>
      </c>
      <c r="C207" s="92" t="s">
        <v>1414</v>
      </c>
      <c r="D207" s="72" t="str">
        <f>IFERROR(VLOOKUP(A207,'[1]ST-QA-ZZ5'!$C$5:$M$299,11,0),"Inspection at production line")</f>
        <v>Inspection at production line</v>
      </c>
      <c r="F207" s="92" t="s">
        <v>1415</v>
      </c>
      <c r="G207" s="92" t="s">
        <v>1050</v>
      </c>
      <c r="H207" s="92" t="s">
        <v>1051</v>
      </c>
      <c r="I207" s="92" t="s">
        <v>980</v>
      </c>
      <c r="J207" s="92" t="s">
        <v>60</v>
      </c>
      <c r="K207" s="92" t="s">
        <v>681</v>
      </c>
    </row>
    <row r="208" spans="1:11" ht="13.8">
      <c r="A208" s="47">
        <v>795</v>
      </c>
      <c r="B208" s="92" t="s">
        <v>997</v>
      </c>
      <c r="C208" s="92" t="s">
        <v>1416</v>
      </c>
      <c r="D208" s="72" t="str">
        <f>IFERROR(VLOOKUP(A208,'[1]ST-QA-ZZ5'!$C$5:$M$299,11,0),"Inspection at production line")</f>
        <v>Inspection at production line</v>
      </c>
      <c r="F208" s="92" t="s">
        <v>1417</v>
      </c>
      <c r="G208" s="92" t="s">
        <v>865</v>
      </c>
      <c r="H208" s="92" t="s">
        <v>1418</v>
      </c>
      <c r="I208" s="92" t="s">
        <v>980</v>
      </c>
      <c r="J208" s="92" t="s">
        <v>60</v>
      </c>
      <c r="K208" s="92" t="s">
        <v>681</v>
      </c>
    </row>
    <row r="209" spans="1:11" ht="13.8">
      <c r="A209" s="47">
        <v>796</v>
      </c>
      <c r="B209" s="92" t="s">
        <v>1001</v>
      </c>
      <c r="C209" s="92" t="s">
        <v>1419</v>
      </c>
      <c r="D209" s="72" t="str">
        <f>IFERROR(VLOOKUP(A209,'[1]ST-QA-ZZ5'!$C$5:$M$299,11,0),"Inspection at production line")</f>
        <v>Inspection at production line</v>
      </c>
      <c r="F209" s="92" t="s">
        <v>1420</v>
      </c>
      <c r="G209" s="92" t="s">
        <v>865</v>
      </c>
      <c r="H209" s="92" t="s">
        <v>1421</v>
      </c>
      <c r="I209" s="92" t="s">
        <v>980</v>
      </c>
      <c r="J209" s="92" t="s">
        <v>60</v>
      </c>
      <c r="K209" s="92" t="s">
        <v>681</v>
      </c>
    </row>
    <row r="210" spans="1:11" ht="13.8">
      <c r="A210" s="47">
        <v>797</v>
      </c>
      <c r="B210" s="92" t="s">
        <v>1001</v>
      </c>
      <c r="C210" s="92" t="s">
        <v>1422</v>
      </c>
      <c r="D210" s="72" t="str">
        <f>IFERROR(VLOOKUP(A210,'[1]ST-QA-ZZ5'!$C$5:$M$299,11,0),"Inspection at production line")</f>
        <v>Inspection at production line</v>
      </c>
      <c r="F210" s="92" t="s">
        <v>1423</v>
      </c>
      <c r="G210" s="92" t="s">
        <v>865</v>
      </c>
      <c r="H210" s="92" t="s">
        <v>1424</v>
      </c>
      <c r="I210" s="92" t="s">
        <v>980</v>
      </c>
      <c r="J210" s="92" t="s">
        <v>60</v>
      </c>
      <c r="K210" s="92" t="s">
        <v>681</v>
      </c>
    </row>
    <row r="211" spans="1:11" ht="13.8">
      <c r="A211" s="47">
        <v>801</v>
      </c>
      <c r="B211" s="92" t="s">
        <v>819</v>
      </c>
      <c r="C211" s="92" t="s">
        <v>1425</v>
      </c>
      <c r="D211" s="72" t="str">
        <f>IFERROR(VLOOKUP(A211,'[1]ST-QA-ZZ5'!$C$5:$M$299,11,0),"Inspection at production line")</f>
        <v>Inspection at production line</v>
      </c>
      <c r="F211" s="92" t="s">
        <v>1426</v>
      </c>
      <c r="G211" s="92" t="s">
        <v>1193</v>
      </c>
      <c r="H211" s="92" t="s">
        <v>1427</v>
      </c>
      <c r="I211" s="92" t="s">
        <v>980</v>
      </c>
      <c r="J211" s="92" t="s">
        <v>60</v>
      </c>
      <c r="K211" s="92" t="s">
        <v>681</v>
      </c>
    </row>
    <row r="212" spans="1:11" ht="13.8">
      <c r="A212" s="47" t="s">
        <v>1428</v>
      </c>
      <c r="B212" s="92" t="s">
        <v>819</v>
      </c>
      <c r="C212" s="92" t="s">
        <v>1425</v>
      </c>
      <c r="D212" s="72" t="str">
        <f>IFERROR(VLOOKUP(A212,'[1]ST-QA-ZZ5'!$C$5:$M$299,11,0),"Inspection at production line")</f>
        <v>Inspection at production line</v>
      </c>
      <c r="F212" s="92" t="s">
        <v>1429</v>
      </c>
      <c r="G212" s="92" t="s">
        <v>865</v>
      </c>
      <c r="H212" s="92" t="s">
        <v>1430</v>
      </c>
      <c r="I212" s="92" t="s">
        <v>980</v>
      </c>
      <c r="J212" s="92" t="s">
        <v>60</v>
      </c>
      <c r="K212" s="92" t="s">
        <v>681</v>
      </c>
    </row>
    <row r="213" spans="1:11" ht="13.8">
      <c r="A213" s="47">
        <v>802</v>
      </c>
      <c r="B213" s="92" t="s">
        <v>819</v>
      </c>
      <c r="C213" s="92" t="s">
        <v>1431</v>
      </c>
      <c r="D213" s="72" t="str">
        <f>IFERROR(VLOOKUP(A213,'[1]ST-QA-ZZ5'!$C$5:$M$299,11,0),"Inspection at production line")</f>
        <v>Inspection at production line</v>
      </c>
      <c r="F213" s="92" t="s">
        <v>1432</v>
      </c>
      <c r="G213" s="92" t="s">
        <v>865</v>
      </c>
      <c r="H213" s="92" t="s">
        <v>1433</v>
      </c>
      <c r="I213" s="92" t="s">
        <v>980</v>
      </c>
      <c r="J213" s="92" t="s">
        <v>60</v>
      </c>
      <c r="K213" s="92" t="s">
        <v>681</v>
      </c>
    </row>
    <row r="214" spans="1:11" ht="13.8">
      <c r="A214" s="47" t="s">
        <v>1434</v>
      </c>
      <c r="B214" s="92" t="s">
        <v>819</v>
      </c>
      <c r="C214" s="92" t="s">
        <v>1431</v>
      </c>
      <c r="D214" s="72" t="str">
        <f>IFERROR(VLOOKUP(A214,'[1]ST-QA-ZZ5'!$C$5:$M$299,11,0),"Inspection at production line")</f>
        <v>Inspection at production line</v>
      </c>
      <c r="F214" s="92" t="s">
        <v>1435</v>
      </c>
      <c r="G214" s="92" t="s">
        <v>865</v>
      </c>
      <c r="H214" s="92" t="s">
        <v>1436</v>
      </c>
      <c r="I214" s="92" t="s">
        <v>980</v>
      </c>
      <c r="J214" s="92" t="s">
        <v>60</v>
      </c>
      <c r="K214" s="92" t="s">
        <v>681</v>
      </c>
    </row>
    <row r="215" spans="1:11" ht="13.8">
      <c r="A215" s="47">
        <v>803</v>
      </c>
      <c r="B215" s="92" t="s">
        <v>819</v>
      </c>
      <c r="C215" s="92" t="s">
        <v>1437</v>
      </c>
      <c r="D215" s="72" t="str">
        <f>IFERROR(VLOOKUP(A215,'[1]ST-QA-ZZ5'!$C$5:$M$299,11,0),"Inspection at production line")</f>
        <v>Inspection at production line</v>
      </c>
      <c r="F215" s="92" t="s">
        <v>1438</v>
      </c>
      <c r="G215" s="92" t="s">
        <v>865</v>
      </c>
      <c r="H215" s="92" t="s">
        <v>1439</v>
      </c>
      <c r="I215" s="92" t="s">
        <v>980</v>
      </c>
      <c r="J215" s="92" t="s">
        <v>60</v>
      </c>
      <c r="K215" s="92" t="s">
        <v>681</v>
      </c>
    </row>
    <row r="216" spans="1:11" ht="13.8">
      <c r="A216" s="47" t="s">
        <v>1440</v>
      </c>
      <c r="B216" s="92" t="s">
        <v>819</v>
      </c>
      <c r="C216" s="92" t="s">
        <v>1437</v>
      </c>
      <c r="D216" s="72" t="str">
        <f>IFERROR(VLOOKUP(A216,'[1]ST-QA-ZZ5'!$C$5:$M$299,11,0),"Inspection at production line")</f>
        <v>Inspection at production line</v>
      </c>
      <c r="F216" s="92" t="s">
        <v>1441</v>
      </c>
      <c r="G216" s="92" t="s">
        <v>1057</v>
      </c>
      <c r="H216" s="92" t="s">
        <v>952</v>
      </c>
      <c r="I216" s="92" t="s">
        <v>980</v>
      </c>
      <c r="J216" s="92" t="s">
        <v>60</v>
      </c>
      <c r="K216" s="92" t="s">
        <v>681</v>
      </c>
    </row>
    <row r="217" spans="1:11" ht="13.8">
      <c r="A217" s="47">
        <v>804</v>
      </c>
      <c r="B217" s="92" t="s">
        <v>819</v>
      </c>
      <c r="C217" s="92" t="s">
        <v>1442</v>
      </c>
      <c r="D217" s="72" t="str">
        <f>IFERROR(VLOOKUP(A217,'[1]ST-QA-ZZ5'!$C$5:$M$299,11,0),"Inspection at production line")</f>
        <v>Inspection at production line</v>
      </c>
      <c r="F217" s="92" t="s">
        <v>1443</v>
      </c>
      <c r="G217" s="92" t="s">
        <v>1070</v>
      </c>
      <c r="H217" s="92" t="s">
        <v>1444</v>
      </c>
      <c r="I217" s="92" t="s">
        <v>980</v>
      </c>
      <c r="J217" s="92" t="s">
        <v>60</v>
      </c>
      <c r="K217" s="92" t="s">
        <v>681</v>
      </c>
    </row>
    <row r="218" spans="1:11" ht="13.8">
      <c r="A218" s="47" t="s">
        <v>1445</v>
      </c>
      <c r="B218" s="92" t="s">
        <v>819</v>
      </c>
      <c r="C218" s="92" t="s">
        <v>1442</v>
      </c>
      <c r="D218" s="72" t="str">
        <f>IFERROR(VLOOKUP(A218,'[1]ST-QA-ZZ5'!$C$5:$M$299,11,0),"Inspection at production line")</f>
        <v>Inspection at production line</v>
      </c>
      <c r="F218" s="92" t="s">
        <v>1446</v>
      </c>
      <c r="G218" s="92" t="s">
        <v>90</v>
      </c>
      <c r="H218" s="92" t="s">
        <v>1447</v>
      </c>
      <c r="I218" s="92" t="s">
        <v>980</v>
      </c>
      <c r="J218" s="92" t="s">
        <v>60</v>
      </c>
      <c r="K218" s="92" t="s">
        <v>681</v>
      </c>
    </row>
    <row r="219" spans="1:11" ht="13.8">
      <c r="A219" s="47">
        <v>805</v>
      </c>
      <c r="B219" s="92" t="s">
        <v>814</v>
      </c>
      <c r="C219" s="92" t="s">
        <v>1448</v>
      </c>
      <c r="D219" s="72" t="str">
        <f>IFERROR(VLOOKUP(A219,'[1]ST-QA-ZZ5'!$C$5:$M$299,11,0),"Inspection at production line")</f>
        <v>Inspection at production line</v>
      </c>
      <c r="F219" s="92" t="s">
        <v>1449</v>
      </c>
      <c r="G219" s="92" t="s">
        <v>90</v>
      </c>
      <c r="H219" s="92" t="s">
        <v>1098</v>
      </c>
      <c r="I219" s="92" t="s">
        <v>980</v>
      </c>
      <c r="J219" s="92" t="s">
        <v>60</v>
      </c>
      <c r="K219" s="92" t="s">
        <v>681</v>
      </c>
    </row>
    <row r="220" spans="1:11" ht="13.8">
      <c r="A220" s="47">
        <v>806</v>
      </c>
      <c r="B220" s="92" t="s">
        <v>814</v>
      </c>
      <c r="C220" s="92" t="s">
        <v>815</v>
      </c>
      <c r="D220" s="72" t="str">
        <f>IFERROR(VLOOKUP(A220,'[1]ST-QA-ZZ5'!$C$5:$M$299,11,0),"Inspection at production line")</f>
        <v>Inspection at production line</v>
      </c>
      <c r="F220" s="92" t="s">
        <v>1450</v>
      </c>
      <c r="G220" s="92" t="s">
        <v>90</v>
      </c>
      <c r="H220" s="92" t="s">
        <v>1451</v>
      </c>
      <c r="I220" s="92" t="s">
        <v>980</v>
      </c>
      <c r="J220" s="92" t="s">
        <v>60</v>
      </c>
      <c r="K220" s="92" t="s">
        <v>681</v>
      </c>
    </row>
    <row r="221" spans="1:11" ht="13.8">
      <c r="A221" s="47">
        <v>807</v>
      </c>
      <c r="B221" s="92" t="s">
        <v>828</v>
      </c>
      <c r="C221" s="92" t="s">
        <v>829</v>
      </c>
      <c r="D221" s="72" t="str">
        <f>IFERROR(VLOOKUP(A221,'[1]ST-QA-ZZ5'!$C$5:$M$299,11,0),"Inspection at production line")</f>
        <v>Inspection at production line</v>
      </c>
      <c r="F221" s="92" t="s">
        <v>1452</v>
      </c>
      <c r="G221" s="92" t="s">
        <v>90</v>
      </c>
      <c r="H221" s="92" t="s">
        <v>1453</v>
      </c>
      <c r="I221" s="92" t="s">
        <v>980</v>
      </c>
      <c r="J221" s="92" t="s">
        <v>60</v>
      </c>
      <c r="K221" s="92" t="s">
        <v>681</v>
      </c>
    </row>
    <row r="222" spans="1:11" ht="13.8">
      <c r="A222" s="47">
        <v>808</v>
      </c>
      <c r="B222" s="92" t="s">
        <v>975</v>
      </c>
      <c r="C222" s="92" t="s">
        <v>1454</v>
      </c>
      <c r="D222" s="72" t="str">
        <f>IFERROR(VLOOKUP(A222,'[1]ST-QA-ZZ5'!$C$5:$M$299,11,0),"Inspection at production line")</f>
        <v>Inspection at production line</v>
      </c>
      <c r="F222" s="92" t="s">
        <v>1455</v>
      </c>
      <c r="G222" s="92" t="s">
        <v>1456</v>
      </c>
      <c r="H222" s="92" t="s">
        <v>1457</v>
      </c>
      <c r="I222" s="92" t="s">
        <v>980</v>
      </c>
      <c r="J222" s="92" t="s">
        <v>60</v>
      </c>
      <c r="K222" s="92" t="s">
        <v>681</v>
      </c>
    </row>
    <row r="223" spans="1:11" ht="13.8">
      <c r="A223" s="47">
        <v>809</v>
      </c>
      <c r="B223" s="92" t="s">
        <v>975</v>
      </c>
      <c r="C223" s="92" t="s">
        <v>1458</v>
      </c>
      <c r="D223" s="72" t="str">
        <f>IFERROR(VLOOKUP(A223,'[1]ST-QA-ZZ5'!$C$5:$M$299,11,0),"Inspection at production line")</f>
        <v>Inspection at production line</v>
      </c>
      <c r="F223" s="92" t="s">
        <v>1459</v>
      </c>
      <c r="G223" s="92" t="s">
        <v>814</v>
      </c>
      <c r="H223" s="92" t="s">
        <v>1104</v>
      </c>
      <c r="I223" s="92" t="s">
        <v>980</v>
      </c>
      <c r="J223" s="92" t="s">
        <v>60</v>
      </c>
      <c r="K223" s="92" t="s">
        <v>681</v>
      </c>
    </row>
    <row r="224" spans="1:11" ht="13.8">
      <c r="A224" s="47">
        <v>810</v>
      </c>
      <c r="B224" s="92" t="s">
        <v>916</v>
      </c>
      <c r="C224" s="92" t="s">
        <v>1460</v>
      </c>
      <c r="D224" s="72" t="str">
        <f>IFERROR(VLOOKUP(A224,'[1]ST-QA-ZZ5'!$C$5:$M$299,11,0),"Inspection at production line")</f>
        <v>Inspection at production line</v>
      </c>
      <c r="F224" s="92" t="s">
        <v>1461</v>
      </c>
      <c r="G224" s="92" t="s">
        <v>994</v>
      </c>
      <c r="H224" s="92" t="s">
        <v>1462</v>
      </c>
      <c r="I224" s="92" t="s">
        <v>980</v>
      </c>
      <c r="J224" s="92" t="s">
        <v>60</v>
      </c>
      <c r="K224" s="92" t="s">
        <v>681</v>
      </c>
    </row>
    <row r="225" spans="1:11" ht="13.8">
      <c r="A225" s="47">
        <v>811</v>
      </c>
      <c r="B225" s="92" t="s">
        <v>916</v>
      </c>
      <c r="C225" s="92" t="s">
        <v>1463</v>
      </c>
      <c r="D225" s="72" t="str">
        <f>IFERROR(VLOOKUP(A225,'[1]ST-QA-ZZ5'!$C$5:$M$299,11,0),"Inspection at production line")</f>
        <v>Inspection at production line</v>
      </c>
      <c r="F225" s="92" t="s">
        <v>1464</v>
      </c>
      <c r="G225" s="92" t="s">
        <v>994</v>
      </c>
      <c r="H225" s="92" t="s">
        <v>1465</v>
      </c>
      <c r="I225" s="92" t="s">
        <v>980</v>
      </c>
      <c r="J225" s="92" t="s">
        <v>60</v>
      </c>
      <c r="K225" s="92" t="s">
        <v>681</v>
      </c>
    </row>
    <row r="226" spans="1:11" ht="13.8">
      <c r="A226" s="47">
        <v>812</v>
      </c>
      <c r="B226" s="92" t="s">
        <v>843</v>
      </c>
      <c r="C226" s="92" t="s">
        <v>1466</v>
      </c>
      <c r="D226" s="72" t="str">
        <f>IFERROR(VLOOKUP(A226,'[1]ST-QA-ZZ5'!$C$5:$M$299,11,0),"Inspection at production line")</f>
        <v>Inspection at production line</v>
      </c>
      <c r="F226" s="92" t="s">
        <v>1467</v>
      </c>
      <c r="G226" s="92" t="s">
        <v>994</v>
      </c>
      <c r="H226" s="92" t="s">
        <v>1468</v>
      </c>
      <c r="I226" s="92" t="s">
        <v>980</v>
      </c>
      <c r="J226" s="92" t="s">
        <v>60</v>
      </c>
      <c r="K226" s="92" t="s">
        <v>681</v>
      </c>
    </row>
    <row r="227" spans="1:11" ht="13.8">
      <c r="A227" s="47">
        <v>813</v>
      </c>
      <c r="B227" s="92" t="s">
        <v>900</v>
      </c>
      <c r="C227" s="92" t="s">
        <v>1469</v>
      </c>
      <c r="D227" s="72" t="str">
        <f>IFERROR(VLOOKUP(A227,'[1]ST-QA-ZZ5'!$C$5:$M$299,11,0),"Inspection at production line")</f>
        <v>Inspection at production line</v>
      </c>
      <c r="F227" s="92" t="s">
        <v>1470</v>
      </c>
      <c r="G227" s="92" t="s">
        <v>994</v>
      </c>
      <c r="H227" s="92" t="s">
        <v>1471</v>
      </c>
      <c r="I227" s="92" t="s">
        <v>980</v>
      </c>
      <c r="J227" s="92" t="s">
        <v>60</v>
      </c>
      <c r="K227" s="92" t="s">
        <v>681</v>
      </c>
    </row>
    <row r="228" spans="1:11" ht="13.8">
      <c r="A228" s="47">
        <v>814</v>
      </c>
      <c r="B228" s="92" t="s">
        <v>1472</v>
      </c>
      <c r="C228" s="92" t="s">
        <v>1473</v>
      </c>
      <c r="D228" s="72" t="str">
        <f>IFERROR(VLOOKUP(A228,'[1]ST-QA-ZZ5'!$C$5:$M$299,11,0),"Inspection at production line")</f>
        <v>Inspection at production line</v>
      </c>
      <c r="F228" s="92" t="s">
        <v>1474</v>
      </c>
      <c r="G228" s="92" t="s">
        <v>994</v>
      </c>
      <c r="H228" s="92" t="s">
        <v>1475</v>
      </c>
      <c r="I228" s="92" t="s">
        <v>980</v>
      </c>
      <c r="J228" s="92" t="s">
        <v>60</v>
      </c>
      <c r="K228" s="92" t="s">
        <v>681</v>
      </c>
    </row>
    <row r="229" spans="1:11" ht="13.8">
      <c r="A229" s="47">
        <v>815</v>
      </c>
      <c r="B229" s="92" t="s">
        <v>279</v>
      </c>
      <c r="C229" s="92" t="s">
        <v>1476</v>
      </c>
      <c r="D229" s="72" t="str">
        <f>IFERROR(VLOOKUP(A229,'[1]ST-QA-ZZ5'!$C$5:$M$299,11,0),"Inspection at production line")</f>
        <v>Inspection at production line</v>
      </c>
      <c r="F229" s="92" t="s">
        <v>1477</v>
      </c>
      <c r="G229" s="92" t="s">
        <v>994</v>
      </c>
      <c r="H229" s="92" t="s">
        <v>1478</v>
      </c>
      <c r="I229" s="92" t="s">
        <v>980</v>
      </c>
      <c r="J229" s="92" t="s">
        <v>60</v>
      </c>
      <c r="K229" s="92" t="s">
        <v>681</v>
      </c>
    </row>
    <row r="230" spans="1:11" ht="13.8">
      <c r="A230" s="47">
        <v>816</v>
      </c>
      <c r="B230" s="92" t="s">
        <v>83</v>
      </c>
      <c r="C230" s="92" t="s">
        <v>1479</v>
      </c>
      <c r="D230" s="72" t="str">
        <f>IFERROR(VLOOKUP(A230,'[1]ST-QA-ZZ5'!$C$5:$M$299,11,0),"Inspection at production line")</f>
        <v>Inspection at production line</v>
      </c>
      <c r="F230" s="92" t="s">
        <v>1480</v>
      </c>
      <c r="G230" s="92" t="s">
        <v>994</v>
      </c>
      <c r="H230" s="92" t="s">
        <v>1481</v>
      </c>
      <c r="I230" s="92" t="s">
        <v>980</v>
      </c>
      <c r="J230" s="92" t="s">
        <v>60</v>
      </c>
      <c r="K230" s="92" t="s">
        <v>681</v>
      </c>
    </row>
    <row r="231" spans="1:11" ht="13.8">
      <c r="A231" s="47">
        <v>817</v>
      </c>
      <c r="B231" s="92" t="s">
        <v>83</v>
      </c>
      <c r="C231" s="92" t="s">
        <v>1482</v>
      </c>
      <c r="D231" s="72" t="str">
        <f>IFERROR(VLOOKUP(A231,'[1]ST-QA-ZZ5'!$C$5:$M$299,11,0),"Inspection at production line")</f>
        <v>Inspection at production line</v>
      </c>
      <c r="F231" s="92" t="s">
        <v>1483</v>
      </c>
      <c r="G231" s="92" t="s">
        <v>994</v>
      </c>
      <c r="H231" s="92" t="s">
        <v>1484</v>
      </c>
      <c r="I231" s="92" t="s">
        <v>980</v>
      </c>
      <c r="J231" s="92" t="s">
        <v>60</v>
      </c>
      <c r="K231" s="92" t="s">
        <v>681</v>
      </c>
    </row>
    <row r="232" spans="1:11" ht="13.8">
      <c r="A232" s="47">
        <v>818</v>
      </c>
      <c r="B232" s="92" t="s">
        <v>849</v>
      </c>
      <c r="C232" s="92" t="s">
        <v>1485</v>
      </c>
      <c r="D232" s="72" t="str">
        <f>IFERROR(VLOOKUP(A232,'[1]ST-QA-ZZ5'!$C$5:$M$299,11,0),"Inspection at production line")</f>
        <v>Inspection at production line</v>
      </c>
      <c r="F232" s="92" t="s">
        <v>1486</v>
      </c>
      <c r="G232" s="92" t="s">
        <v>994</v>
      </c>
      <c r="H232" s="92" t="s">
        <v>1487</v>
      </c>
      <c r="I232" s="92" t="s">
        <v>980</v>
      </c>
      <c r="J232" s="92" t="s">
        <v>60</v>
      </c>
      <c r="K232" s="92" t="s">
        <v>681</v>
      </c>
    </row>
    <row r="233" spans="1:11" ht="13.8">
      <c r="A233" s="47">
        <v>819</v>
      </c>
      <c r="B233" s="92" t="s">
        <v>1177</v>
      </c>
      <c r="C233" s="92" t="s">
        <v>1488</v>
      </c>
      <c r="D233" s="72" t="str">
        <f>IFERROR(VLOOKUP(A233,'[1]ST-QA-ZZ5'!$C$5:$M$299,11,0),"Inspection at production line")</f>
        <v>Inspection at production line</v>
      </c>
      <c r="F233" s="92" t="s">
        <v>1489</v>
      </c>
      <c r="G233" s="92" t="s">
        <v>813</v>
      </c>
      <c r="H233" s="92" t="s">
        <v>1490</v>
      </c>
      <c r="I233" s="92" t="s">
        <v>980</v>
      </c>
      <c r="J233" s="92" t="s">
        <v>60</v>
      </c>
      <c r="K233" s="92" t="s">
        <v>681</v>
      </c>
    </row>
    <row r="234" spans="1:11" ht="13.8">
      <c r="A234" s="47">
        <v>820</v>
      </c>
      <c r="B234" s="92" t="s">
        <v>1491</v>
      </c>
      <c r="C234" s="92" t="s">
        <v>1492</v>
      </c>
      <c r="D234" s="72" t="str">
        <f>IFERROR(VLOOKUP(A234,'[1]ST-QA-ZZ5'!$C$5:$M$299,11,0),"Inspection at production line")</f>
        <v>Inspection at production line</v>
      </c>
      <c r="F234" s="92" t="s">
        <v>1493</v>
      </c>
      <c r="G234" s="92" t="s">
        <v>1494</v>
      </c>
      <c r="H234" s="92">
        <v>0</v>
      </c>
      <c r="I234" s="92" t="s">
        <v>980</v>
      </c>
      <c r="J234" s="92" t="s">
        <v>60</v>
      </c>
      <c r="K234" s="92" t="s">
        <v>681</v>
      </c>
    </row>
    <row r="235" spans="1:11" ht="13.8">
      <c r="A235" s="47">
        <v>821</v>
      </c>
      <c r="B235" s="92" t="s">
        <v>75</v>
      </c>
      <c r="C235" s="92" t="s">
        <v>1495</v>
      </c>
      <c r="D235" s="72" t="str">
        <f>IFERROR(VLOOKUP(A235,'[1]ST-QA-ZZ5'!$C$5:$M$299,11,0),"Inspection at production line")</f>
        <v>Inspection at production line</v>
      </c>
      <c r="F235" s="92" t="s">
        <v>1496</v>
      </c>
      <c r="G235" s="92" t="s">
        <v>865</v>
      </c>
      <c r="H235" s="92" t="s">
        <v>1497</v>
      </c>
      <c r="I235" s="92" t="s">
        <v>980</v>
      </c>
      <c r="J235" s="92" t="s">
        <v>60</v>
      </c>
      <c r="K235" s="92" t="s">
        <v>681</v>
      </c>
    </row>
    <row r="236" spans="1:11" ht="13.8">
      <c r="A236" s="47">
        <v>822</v>
      </c>
      <c r="B236" s="92" t="s">
        <v>75</v>
      </c>
      <c r="C236" s="92" t="s">
        <v>1498</v>
      </c>
      <c r="D236" s="72" t="str">
        <f>IFERROR(VLOOKUP(A236,'[1]ST-QA-ZZ5'!$C$5:$M$299,11,0),"Inspection at production line")</f>
        <v>Inspection at production line</v>
      </c>
      <c r="F236" s="92" t="s">
        <v>1499</v>
      </c>
      <c r="G236" s="92" t="s">
        <v>865</v>
      </c>
      <c r="H236" s="92" t="s">
        <v>1500</v>
      </c>
      <c r="I236" s="92" t="s">
        <v>980</v>
      </c>
      <c r="J236" s="92" t="s">
        <v>60</v>
      </c>
      <c r="K236" s="92" t="s">
        <v>681</v>
      </c>
    </row>
    <row r="237" spans="1:11" ht="13.8">
      <c r="A237" s="47">
        <v>823</v>
      </c>
      <c r="B237" s="92" t="s">
        <v>1070</v>
      </c>
      <c r="C237" s="92" t="s">
        <v>1501</v>
      </c>
      <c r="D237" s="72" t="str">
        <f>IFERROR(VLOOKUP(A237,'[1]ST-QA-ZZ5'!$C$5:$M$299,11,0),"Inspection at production line")</f>
        <v>Inspection at production line</v>
      </c>
      <c r="F237" s="92" t="s">
        <v>1502</v>
      </c>
      <c r="G237" s="92" t="s">
        <v>865</v>
      </c>
      <c r="H237" s="92" t="s">
        <v>1503</v>
      </c>
      <c r="I237" s="92" t="s">
        <v>980</v>
      </c>
      <c r="J237" s="92" t="s">
        <v>60</v>
      </c>
      <c r="K237" s="92" t="s">
        <v>681</v>
      </c>
    </row>
    <row r="238" spans="1:11" ht="13.8">
      <c r="A238" s="47">
        <v>824</v>
      </c>
      <c r="B238" s="92" t="s">
        <v>1472</v>
      </c>
      <c r="C238" s="92" t="s">
        <v>1504</v>
      </c>
      <c r="D238" s="72" t="str">
        <f>IFERROR(VLOOKUP(A238,'[1]ST-QA-ZZ5'!$C$5:$M$299,11,0),"Inspection at production line")</f>
        <v>Inspection at production line</v>
      </c>
      <c r="F238" s="92" t="s">
        <v>1505</v>
      </c>
      <c r="G238" s="92" t="s">
        <v>865</v>
      </c>
      <c r="H238" s="92" t="s">
        <v>1506</v>
      </c>
      <c r="I238" s="92" t="s">
        <v>980</v>
      </c>
      <c r="J238" s="92" t="s">
        <v>60</v>
      </c>
      <c r="K238" s="92" t="s">
        <v>681</v>
      </c>
    </row>
    <row r="239" spans="1:11" ht="13.8">
      <c r="A239" s="47">
        <v>825</v>
      </c>
      <c r="B239" s="92" t="s">
        <v>1177</v>
      </c>
      <c r="C239" s="92" t="s">
        <v>1507</v>
      </c>
      <c r="D239" s="72" t="str">
        <f>IFERROR(VLOOKUP(A239,'[1]ST-QA-ZZ5'!$C$5:$M$299,11,0),"Inspection at production line")</f>
        <v>Inspection at production line</v>
      </c>
      <c r="F239" s="92" t="s">
        <v>1508</v>
      </c>
      <c r="G239" s="92" t="s">
        <v>1509</v>
      </c>
      <c r="H239" s="92" t="s">
        <v>1510</v>
      </c>
      <c r="I239" s="92" t="s">
        <v>106</v>
      </c>
      <c r="J239" s="92" t="s">
        <v>60</v>
      </c>
      <c r="K239" s="92" t="s">
        <v>685</v>
      </c>
    </row>
    <row r="240" spans="1:11" ht="13.8">
      <c r="A240" s="47">
        <v>826</v>
      </c>
      <c r="B240" s="92" t="s">
        <v>1177</v>
      </c>
      <c r="C240" s="92" t="s">
        <v>1511</v>
      </c>
      <c r="D240" s="72" t="str">
        <f>IFERROR(VLOOKUP(A240,'[1]ST-QA-ZZ5'!$C$5:$M$299,11,0),"Inspection at production line")</f>
        <v>Inspection at production line</v>
      </c>
      <c r="F240" s="92" t="s">
        <v>1512</v>
      </c>
      <c r="G240" s="92" t="s">
        <v>1513</v>
      </c>
      <c r="H240" s="92" t="s">
        <v>1514</v>
      </c>
      <c r="I240" s="92" t="s">
        <v>106</v>
      </c>
      <c r="J240" s="92" t="s">
        <v>60</v>
      </c>
      <c r="K240" s="92" t="s">
        <v>685</v>
      </c>
    </row>
    <row r="241" spans="1:11" ht="13.8">
      <c r="A241" s="47">
        <v>827</v>
      </c>
      <c r="B241" s="92" t="s">
        <v>903</v>
      </c>
      <c r="C241" s="92" t="s">
        <v>1515</v>
      </c>
      <c r="D241" s="72" t="str">
        <f>IFERROR(VLOOKUP(A241,'[1]ST-QA-ZZ5'!$C$5:$M$299,11,0),"Inspection at production line")</f>
        <v>Inspection at production line</v>
      </c>
      <c r="F241" s="92" t="s">
        <v>1516</v>
      </c>
      <c r="G241" s="92" t="s">
        <v>119</v>
      </c>
      <c r="H241" s="92" t="s">
        <v>311</v>
      </c>
      <c r="I241" s="92" t="s">
        <v>106</v>
      </c>
      <c r="J241" s="92" t="s">
        <v>60</v>
      </c>
      <c r="K241" s="92" t="s">
        <v>685</v>
      </c>
    </row>
    <row r="242" spans="1:11" ht="13.8">
      <c r="A242" s="47">
        <v>828</v>
      </c>
      <c r="B242" s="92" t="s">
        <v>1517</v>
      </c>
      <c r="C242" s="92" t="s">
        <v>1518</v>
      </c>
      <c r="D242" s="72" t="str">
        <f>IFERROR(VLOOKUP(A242,'[1]ST-QA-ZZ5'!$C$5:$M$299,11,0),"Inspection at production line")</f>
        <v>Inspection at production line</v>
      </c>
      <c r="F242" s="92" t="s">
        <v>1519</v>
      </c>
      <c r="G242" s="92" t="s">
        <v>75</v>
      </c>
      <c r="H242" s="92" t="s">
        <v>1520</v>
      </c>
      <c r="I242" s="92" t="s">
        <v>106</v>
      </c>
      <c r="J242" s="92" t="s">
        <v>60</v>
      </c>
      <c r="K242" s="92" t="s">
        <v>685</v>
      </c>
    </row>
    <row r="243" spans="1:11" ht="13.8">
      <c r="A243" s="47">
        <v>829</v>
      </c>
      <c r="B243" s="92" t="s">
        <v>75</v>
      </c>
      <c r="C243" s="92" t="s">
        <v>1521</v>
      </c>
      <c r="D243" s="72" t="str">
        <f>IFERROR(VLOOKUP(A243,'[1]ST-QA-ZZ5'!$C$5:$M$299,11,0),"Inspection at production line")</f>
        <v>Inspection at production line</v>
      </c>
      <c r="F243" s="92" t="s">
        <v>1522</v>
      </c>
      <c r="G243" s="92" t="s">
        <v>1523</v>
      </c>
      <c r="H243" s="92" t="s">
        <v>1524</v>
      </c>
      <c r="I243" s="92" t="s">
        <v>106</v>
      </c>
      <c r="J243" s="92" t="s">
        <v>60</v>
      </c>
      <c r="K243" s="92" t="s">
        <v>685</v>
      </c>
    </row>
    <row r="244" spans="1:11" ht="13.8">
      <c r="A244" s="47">
        <v>830</v>
      </c>
      <c r="B244" s="92" t="s">
        <v>814</v>
      </c>
      <c r="C244" s="92" t="s">
        <v>1525</v>
      </c>
      <c r="D244" s="72" t="str">
        <f>IFERROR(VLOOKUP(A244,'[1]ST-QA-ZZ5'!$C$5:$M$299,11,0),"Inspection at production line")</f>
        <v>Inspection at production line</v>
      </c>
      <c r="F244" s="92" t="s">
        <v>1526</v>
      </c>
      <c r="G244" s="92" t="s">
        <v>953</v>
      </c>
      <c r="H244" s="92" t="s">
        <v>1527</v>
      </c>
      <c r="I244" s="92" t="s">
        <v>106</v>
      </c>
      <c r="J244" s="92" t="s">
        <v>60</v>
      </c>
      <c r="K244" s="92" t="s">
        <v>685</v>
      </c>
    </row>
    <row r="245" spans="1:11" ht="13.8">
      <c r="A245" s="47">
        <v>831</v>
      </c>
      <c r="B245" s="92" t="s">
        <v>814</v>
      </c>
      <c r="C245" s="92" t="s">
        <v>1528</v>
      </c>
      <c r="D245" s="72" t="str">
        <f>IFERROR(VLOOKUP(A245,'[1]ST-QA-ZZ5'!$C$5:$M$299,11,0),"Inspection at production line")</f>
        <v>Inspection at production line</v>
      </c>
      <c r="F245" s="92" t="s">
        <v>1529</v>
      </c>
      <c r="G245" s="92" t="s">
        <v>1530</v>
      </c>
      <c r="H245" s="92" t="s">
        <v>1531</v>
      </c>
      <c r="I245" s="92" t="s">
        <v>106</v>
      </c>
      <c r="J245" s="92" t="s">
        <v>60</v>
      </c>
      <c r="K245" s="92" t="s">
        <v>685</v>
      </c>
    </row>
    <row r="246" spans="1:11" ht="13.8">
      <c r="A246" s="47">
        <v>832</v>
      </c>
      <c r="B246" s="92" t="s">
        <v>900</v>
      </c>
      <c r="C246" s="92" t="s">
        <v>1532</v>
      </c>
      <c r="D246" s="72" t="str">
        <f>IFERROR(VLOOKUP(A246,'[1]ST-QA-ZZ5'!$C$5:$M$299,11,0),"Inspection at production line")</f>
        <v>Inspection at production line</v>
      </c>
      <c r="F246" s="92" t="s">
        <v>1533</v>
      </c>
      <c r="G246" s="92" t="s">
        <v>1534</v>
      </c>
      <c r="H246" s="92" t="s">
        <v>1535</v>
      </c>
      <c r="I246" s="92" t="s">
        <v>106</v>
      </c>
      <c r="J246" s="92" t="s">
        <v>60</v>
      </c>
      <c r="K246" s="92" t="s">
        <v>685</v>
      </c>
    </row>
    <row r="247" spans="1:11" ht="13.8">
      <c r="A247" s="47">
        <v>833</v>
      </c>
      <c r="B247" s="92" t="s">
        <v>75</v>
      </c>
      <c r="C247" s="92" t="s">
        <v>1536</v>
      </c>
      <c r="D247" s="72" t="str">
        <f>IFERROR(VLOOKUP(A247,'[1]ST-QA-ZZ5'!$C$5:$M$299,11,0),"Inspection at production line")</f>
        <v>Inspection at production line</v>
      </c>
      <c r="F247" s="92" t="s">
        <v>1537</v>
      </c>
      <c r="G247" s="92" t="s">
        <v>1530</v>
      </c>
      <c r="H247" s="92" t="s">
        <v>1538</v>
      </c>
      <c r="I247" s="92" t="s">
        <v>106</v>
      </c>
      <c r="J247" s="92" t="s">
        <v>60</v>
      </c>
      <c r="K247" s="92" t="s">
        <v>685</v>
      </c>
    </row>
    <row r="248" spans="1:11" ht="13.8">
      <c r="A248" s="47">
        <v>834</v>
      </c>
      <c r="B248" s="92" t="s">
        <v>75</v>
      </c>
      <c r="C248" s="92" t="s">
        <v>1539</v>
      </c>
      <c r="D248" s="72" t="str">
        <f>IFERROR(VLOOKUP(A248,'[1]ST-QA-ZZ5'!$C$5:$M$299,11,0),"Inspection at production line")</f>
        <v>Inspection at production line</v>
      </c>
      <c r="F248" s="92" t="s">
        <v>1540</v>
      </c>
      <c r="G248" s="92" t="s">
        <v>1541</v>
      </c>
      <c r="H248" s="92" t="s">
        <v>1542</v>
      </c>
      <c r="I248" s="92" t="s">
        <v>106</v>
      </c>
      <c r="J248" s="92" t="s">
        <v>60</v>
      </c>
      <c r="K248" s="92" t="s">
        <v>685</v>
      </c>
    </row>
    <row r="249" spans="1:11" ht="13.8">
      <c r="A249" s="47">
        <v>835</v>
      </c>
      <c r="B249" s="92" t="s">
        <v>1543</v>
      </c>
      <c r="C249" s="92" t="s">
        <v>1544</v>
      </c>
      <c r="D249" s="72" t="str">
        <f>IFERROR(VLOOKUP(A249,'[1]ST-QA-ZZ5'!$C$5:$M$299,11,0),"Inspection at production line")</f>
        <v>Inspection at production line</v>
      </c>
      <c r="F249" s="92" t="s">
        <v>1545</v>
      </c>
      <c r="G249" s="92" t="s">
        <v>1543</v>
      </c>
      <c r="H249" s="92" t="s">
        <v>1546</v>
      </c>
      <c r="I249" s="92" t="s">
        <v>106</v>
      </c>
      <c r="J249" s="92" t="s">
        <v>60</v>
      </c>
      <c r="K249" s="92" t="s">
        <v>685</v>
      </c>
    </row>
    <row r="250" spans="1:11" ht="13.8">
      <c r="A250" s="47">
        <v>836</v>
      </c>
      <c r="B250" s="92" t="s">
        <v>57</v>
      </c>
      <c r="C250" s="92" t="s">
        <v>1547</v>
      </c>
      <c r="D250" s="72" t="str">
        <f>IFERROR(VLOOKUP(A250,'[1]ST-QA-ZZ5'!$C$5:$M$299,11,0),"Inspection at production line")</f>
        <v>Inspection at production line</v>
      </c>
      <c r="F250" s="92" t="s">
        <v>1548</v>
      </c>
      <c r="G250" s="92" t="s">
        <v>253</v>
      </c>
      <c r="H250" s="92" t="s">
        <v>254</v>
      </c>
      <c r="I250" s="92" t="s">
        <v>106</v>
      </c>
      <c r="J250" s="92" t="s">
        <v>60</v>
      </c>
      <c r="K250" s="92" t="s">
        <v>685</v>
      </c>
    </row>
    <row r="251" spans="1:11" ht="13.8">
      <c r="A251" s="47">
        <v>837</v>
      </c>
      <c r="B251" s="92" t="s">
        <v>1070</v>
      </c>
      <c r="C251" s="92" t="s">
        <v>1549</v>
      </c>
      <c r="D251" s="72" t="str">
        <f>IFERROR(VLOOKUP(A251,'[1]ST-QA-ZZ5'!$C$5:$M$299,11,0),"Inspection at production line")</f>
        <v>Inspection at production line</v>
      </c>
      <c r="F251" s="92" t="s">
        <v>1550</v>
      </c>
      <c r="G251" s="92" t="s">
        <v>814</v>
      </c>
      <c r="H251" s="92" t="s">
        <v>1551</v>
      </c>
      <c r="I251" s="92" t="s">
        <v>106</v>
      </c>
      <c r="J251" s="92" t="s">
        <v>60</v>
      </c>
      <c r="K251" s="92" t="s">
        <v>685</v>
      </c>
    </row>
    <row r="252" spans="1:11" ht="13.8">
      <c r="A252" s="47">
        <v>838</v>
      </c>
      <c r="B252" s="92" t="s">
        <v>90</v>
      </c>
      <c r="C252" s="92" t="s">
        <v>1552</v>
      </c>
      <c r="D252" s="72" t="str">
        <f>IFERROR(VLOOKUP(A252,'[1]ST-QA-ZZ5'!$C$5:$M$299,11,0),"Inspection at production line")</f>
        <v>Inspection at production line</v>
      </c>
      <c r="F252" s="92" t="s">
        <v>1553</v>
      </c>
      <c r="G252" s="92" t="s">
        <v>1554</v>
      </c>
      <c r="H252" s="92" t="s">
        <v>1555</v>
      </c>
      <c r="I252" s="92" t="s">
        <v>106</v>
      </c>
      <c r="J252" s="92" t="s">
        <v>60</v>
      </c>
      <c r="K252" s="92" t="s">
        <v>685</v>
      </c>
    </row>
    <row r="253" spans="1:11" ht="13.8">
      <c r="A253" s="47">
        <v>980</v>
      </c>
      <c r="B253" s="92" t="s">
        <v>782</v>
      </c>
      <c r="C253" s="92" t="s">
        <v>1556</v>
      </c>
      <c r="D253" s="72" t="str">
        <f>IFERROR(VLOOKUP(A253,'[1]ST-QA-ZZ5'!$C$5:$M$299,11,0),"Inspection at production line")</f>
        <v>Inspection at production line</v>
      </c>
      <c r="F253" s="92" t="s">
        <v>1557</v>
      </c>
      <c r="G253" s="92" t="s">
        <v>797</v>
      </c>
      <c r="H253" s="92" t="s">
        <v>797</v>
      </c>
      <c r="I253" s="92" t="s">
        <v>106</v>
      </c>
      <c r="J253" s="92" t="s">
        <v>60</v>
      </c>
      <c r="K253" s="92" t="s">
        <v>685</v>
      </c>
    </row>
    <row r="254" spans="1:11" ht="13.8">
      <c r="A254" s="47" t="s">
        <v>1558</v>
      </c>
      <c r="B254" s="92" t="s">
        <v>782</v>
      </c>
      <c r="C254" s="92" t="s">
        <v>1559</v>
      </c>
      <c r="D254" s="72" t="str">
        <f>IFERROR(VLOOKUP(A254,'[1]ST-QA-ZZ5'!$C$5:$M$299,11,0),"Inspection at production line")</f>
        <v>Inspection at production line</v>
      </c>
      <c r="F254" s="92" t="s">
        <v>1560</v>
      </c>
      <c r="G254" s="92" t="s">
        <v>953</v>
      </c>
      <c r="H254" s="92" t="s">
        <v>1561</v>
      </c>
      <c r="I254" s="92" t="s">
        <v>106</v>
      </c>
      <c r="J254" s="92" t="s">
        <v>60</v>
      </c>
      <c r="K254" s="92" t="s">
        <v>685</v>
      </c>
    </row>
    <row r="255" spans="1:11" ht="13.8">
      <c r="A255" s="47" t="s">
        <v>1562</v>
      </c>
      <c r="B255" s="92" t="s">
        <v>1563</v>
      </c>
      <c r="C255" s="92" t="s">
        <v>1564</v>
      </c>
      <c r="D255" s="72" t="str">
        <f>IFERROR(VLOOKUP(A255,'[1]ST-QA-ZZ5'!$C$5:$M$299,11,0),"Inspection at production line")</f>
        <v>Inspection at production line</v>
      </c>
      <c r="F255" s="92" t="s">
        <v>1565</v>
      </c>
      <c r="G255" s="92" t="s">
        <v>1523</v>
      </c>
      <c r="H255" s="92" t="s">
        <v>1566</v>
      </c>
      <c r="I255" s="92" t="s">
        <v>106</v>
      </c>
      <c r="J255" s="92" t="s">
        <v>60</v>
      </c>
      <c r="K255" s="92" t="s">
        <v>685</v>
      </c>
    </row>
    <row r="256" spans="1:11" ht="13.8">
      <c r="A256" s="47" t="s">
        <v>1567</v>
      </c>
      <c r="B256" s="92" t="s">
        <v>1563</v>
      </c>
      <c r="C256" s="92" t="s">
        <v>1568</v>
      </c>
      <c r="D256" s="72" t="str">
        <f>IFERROR(VLOOKUP(A256,'[1]ST-QA-ZZ5'!$C$5:$M$299,11,0),"Inspection at production line")</f>
        <v>Inspection at production line</v>
      </c>
      <c r="F256" s="92" t="s">
        <v>1569</v>
      </c>
      <c r="G256" s="92" t="s">
        <v>1513</v>
      </c>
      <c r="H256" s="92" t="s">
        <v>1570</v>
      </c>
      <c r="I256" s="92" t="s">
        <v>106</v>
      </c>
      <c r="J256" s="92" t="s">
        <v>60</v>
      </c>
      <c r="K256" s="92" t="s">
        <v>685</v>
      </c>
    </row>
    <row r="257" spans="1:11" ht="13.8">
      <c r="A257" s="47" t="s">
        <v>1571</v>
      </c>
      <c r="B257" s="92" t="s">
        <v>1563</v>
      </c>
      <c r="C257" s="92" t="s">
        <v>1572</v>
      </c>
      <c r="D257" s="72" t="str">
        <f>IFERROR(VLOOKUP(A257,'[1]ST-QA-ZZ5'!$C$5:$M$299,11,0),"Inspection at production line")</f>
        <v>Inspection at production line</v>
      </c>
      <c r="F257" s="92" t="s">
        <v>1573</v>
      </c>
      <c r="G257" s="92" t="s">
        <v>1574</v>
      </c>
      <c r="H257" s="92" t="s">
        <v>1575</v>
      </c>
      <c r="I257" s="92" t="s">
        <v>106</v>
      </c>
      <c r="J257" s="92" t="s">
        <v>60</v>
      </c>
      <c r="K257" s="92" t="s">
        <v>685</v>
      </c>
    </row>
    <row r="258" spans="1:11" ht="13.8">
      <c r="A258" s="47" t="s">
        <v>1576</v>
      </c>
      <c r="B258" s="92" t="s">
        <v>1563</v>
      </c>
      <c r="C258" s="92" t="s">
        <v>1577</v>
      </c>
      <c r="D258" s="72" t="str">
        <f>IFERROR(VLOOKUP(A258,'[1]ST-QA-ZZ5'!$C$5:$M$299,11,0),"Inspection at production line")</f>
        <v>Inspection at production line</v>
      </c>
      <c r="F258" s="92" t="s">
        <v>1578</v>
      </c>
      <c r="G258" s="92" t="s">
        <v>1523</v>
      </c>
      <c r="H258" s="92" t="s">
        <v>1579</v>
      </c>
      <c r="I258" s="92" t="s">
        <v>106</v>
      </c>
      <c r="J258" s="92" t="s">
        <v>60</v>
      </c>
      <c r="K258" s="92" t="s">
        <v>685</v>
      </c>
    </row>
    <row r="259" spans="1:11" ht="13.8">
      <c r="A259" s="47" t="s">
        <v>1580</v>
      </c>
      <c r="B259" s="92" t="s">
        <v>1563</v>
      </c>
      <c r="C259" s="92" t="s">
        <v>1581</v>
      </c>
      <c r="D259" s="72" t="str">
        <f>IFERROR(VLOOKUP(A259,'[1]ST-QA-ZZ5'!$C$5:$M$299,11,0),"Inspection at production line")</f>
        <v>Inspection at production line</v>
      </c>
      <c r="F259" s="92" t="s">
        <v>1582</v>
      </c>
      <c r="G259" s="92" t="s">
        <v>1543</v>
      </c>
      <c r="H259" s="92" t="s">
        <v>1583</v>
      </c>
      <c r="I259" s="92" t="s">
        <v>106</v>
      </c>
      <c r="J259" s="92" t="s">
        <v>60</v>
      </c>
      <c r="K259" s="92" t="s">
        <v>685</v>
      </c>
    </row>
    <row r="260" spans="1:11" ht="13.8">
      <c r="A260" s="47">
        <v>9801</v>
      </c>
      <c r="B260" s="92" t="s">
        <v>807</v>
      </c>
      <c r="C260" s="92" t="s">
        <v>1584</v>
      </c>
      <c r="D260" s="72" t="str">
        <f>IFERROR(VLOOKUP(A260,'[1]ST-QA-ZZ5'!$C$5:$M$299,11,0),"Inspection at production line")</f>
        <v>Inspection at production line</v>
      </c>
      <c r="F260" s="92" t="s">
        <v>1585</v>
      </c>
      <c r="G260" s="92" t="s">
        <v>797</v>
      </c>
      <c r="H260" s="92" t="s">
        <v>1586</v>
      </c>
      <c r="I260" s="92" t="s">
        <v>106</v>
      </c>
      <c r="J260" s="92" t="s">
        <v>60</v>
      </c>
      <c r="K260" s="92" t="s">
        <v>685</v>
      </c>
    </row>
    <row r="261" spans="1:11" ht="13.8">
      <c r="A261" s="47">
        <v>9802</v>
      </c>
      <c r="B261" s="92" t="s">
        <v>807</v>
      </c>
      <c r="C261" s="92" t="s">
        <v>1587</v>
      </c>
      <c r="D261" s="72" t="str">
        <f>IFERROR(VLOOKUP(A261,'[1]ST-QA-ZZ5'!$C$5:$M$299,11,0),"Inspection at production line")</f>
        <v>Inspection at production line</v>
      </c>
      <c r="F261" s="92" t="s">
        <v>1588</v>
      </c>
      <c r="G261" s="92" t="s">
        <v>75</v>
      </c>
      <c r="H261" s="92" t="s">
        <v>1589</v>
      </c>
      <c r="I261" s="92" t="s">
        <v>106</v>
      </c>
      <c r="J261" s="92" t="s">
        <v>60</v>
      </c>
      <c r="K261" s="92" t="s">
        <v>685</v>
      </c>
    </row>
    <row r="262" spans="1:11" ht="13.8">
      <c r="A262" s="47">
        <v>9803</v>
      </c>
      <c r="B262" s="92" t="s">
        <v>813</v>
      </c>
      <c r="C262" s="92" t="s">
        <v>1590</v>
      </c>
      <c r="D262" s="72" t="str">
        <f>IFERROR(VLOOKUP(A262,'[1]ST-QA-ZZ5'!$C$5:$M$299,11,0),"Inspection at production line")</f>
        <v>Inspection at production line</v>
      </c>
      <c r="F262" s="92" t="s">
        <v>1591</v>
      </c>
      <c r="G262" s="92" t="s">
        <v>1592</v>
      </c>
      <c r="H262" s="92" t="s">
        <v>1593</v>
      </c>
      <c r="I262" s="92" t="s">
        <v>106</v>
      </c>
      <c r="J262" s="92" t="s">
        <v>60</v>
      </c>
      <c r="K262" s="92" t="s">
        <v>685</v>
      </c>
    </row>
    <row r="263" spans="1:11" ht="13.8">
      <c r="A263" s="47">
        <v>9804</v>
      </c>
      <c r="B263" s="92" t="s">
        <v>1594</v>
      </c>
      <c r="C263" s="92" t="s">
        <v>1595</v>
      </c>
      <c r="D263" s="72" t="str">
        <f>IFERROR(VLOOKUP(A263,'[1]ST-QA-ZZ5'!$C$5:$M$299,11,0),"Inspection at production line")</f>
        <v>Inspection at production line</v>
      </c>
      <c r="F263" s="92" t="s">
        <v>1596</v>
      </c>
      <c r="G263" s="92" t="s">
        <v>75</v>
      </c>
      <c r="H263" s="92" t="s">
        <v>1597</v>
      </c>
      <c r="I263" s="92" t="s">
        <v>106</v>
      </c>
      <c r="J263" s="92" t="s">
        <v>60</v>
      </c>
      <c r="K263" s="92" t="s">
        <v>685</v>
      </c>
    </row>
    <row r="264" spans="1:11" ht="13.8">
      <c r="A264" s="47">
        <v>9807</v>
      </c>
      <c r="B264" s="92" t="s">
        <v>818</v>
      </c>
      <c r="C264" s="92" t="s">
        <v>1598</v>
      </c>
      <c r="D264" s="72" t="str">
        <f>IFERROR(VLOOKUP(A264,'[1]ST-QA-ZZ5'!$C$5:$M$299,11,0),"Inspection at production line")</f>
        <v>Inspection at production line</v>
      </c>
      <c r="F264" s="92" t="s">
        <v>1599</v>
      </c>
      <c r="G264" s="92" t="s">
        <v>1600</v>
      </c>
      <c r="H264" s="92" t="s">
        <v>1601</v>
      </c>
      <c r="I264" s="92" t="s">
        <v>106</v>
      </c>
      <c r="J264" s="92" t="s">
        <v>60</v>
      </c>
      <c r="K264" s="92" t="s">
        <v>685</v>
      </c>
    </row>
    <row r="265" spans="1:11" ht="13.8">
      <c r="A265" s="47">
        <v>9810</v>
      </c>
      <c r="B265" s="92" t="s">
        <v>821</v>
      </c>
      <c r="C265" s="92" t="s">
        <v>1602</v>
      </c>
      <c r="D265" s="72" t="str">
        <f>IFERROR(VLOOKUP(A265,'[1]ST-QA-ZZ5'!$C$5:$M$299,11,0),"Inspection at production line")</f>
        <v>Inspection at production line</v>
      </c>
      <c r="F265" s="92" t="s">
        <v>1603</v>
      </c>
      <c r="G265" s="92" t="s">
        <v>1523</v>
      </c>
      <c r="H265" s="92" t="s">
        <v>1604</v>
      </c>
      <c r="I265" s="92" t="s">
        <v>106</v>
      </c>
      <c r="J265" s="92" t="s">
        <v>60</v>
      </c>
      <c r="K265" s="92" t="s">
        <v>685</v>
      </c>
    </row>
    <row r="266" spans="1:11" ht="13.8">
      <c r="A266" s="47">
        <v>9811</v>
      </c>
      <c r="B266" s="92" t="s">
        <v>821</v>
      </c>
      <c r="C266" s="92" t="s">
        <v>1605</v>
      </c>
      <c r="D266" s="72" t="str">
        <f>IFERROR(VLOOKUP(A266,'[1]ST-QA-ZZ5'!$C$5:$M$299,11,0),"Inspection at production line")</f>
        <v>Inspection at production line</v>
      </c>
      <c r="F266" s="92" t="s">
        <v>1606</v>
      </c>
      <c r="G266" s="92" t="s">
        <v>953</v>
      </c>
      <c r="H266" s="92" t="s">
        <v>1607</v>
      </c>
      <c r="I266" s="92" t="s">
        <v>106</v>
      </c>
      <c r="J266" s="92" t="s">
        <v>60</v>
      </c>
      <c r="K266" s="92" t="s">
        <v>685</v>
      </c>
    </row>
    <row r="267" spans="1:11" ht="13.8">
      <c r="A267" s="47">
        <v>9812</v>
      </c>
      <c r="B267" s="92" t="s">
        <v>814</v>
      </c>
      <c r="C267" s="92" t="s">
        <v>1608</v>
      </c>
      <c r="D267" s="72" t="str">
        <f>IFERROR(VLOOKUP(A267,'[1]ST-QA-ZZ5'!$C$5:$M$299,11,0),"Inspection at production line")</f>
        <v>Inspection at production line</v>
      </c>
      <c r="F267" s="92" t="s">
        <v>1609</v>
      </c>
      <c r="G267" s="92" t="s">
        <v>797</v>
      </c>
      <c r="H267" s="92" t="s">
        <v>1610</v>
      </c>
      <c r="I267" s="92" t="s">
        <v>106</v>
      </c>
      <c r="J267" s="92" t="s">
        <v>60</v>
      </c>
      <c r="K267" s="92" t="s">
        <v>685</v>
      </c>
    </row>
    <row r="268" spans="1:11" ht="13.8">
      <c r="A268" s="47">
        <v>9813</v>
      </c>
      <c r="B268" s="92" t="s">
        <v>814</v>
      </c>
      <c r="C268" s="92" t="s">
        <v>1611</v>
      </c>
      <c r="D268" s="72" t="str">
        <f>IFERROR(VLOOKUP(A268,'[1]ST-QA-ZZ5'!$C$5:$M$299,11,0),"Inspection at production line")</f>
        <v>Inspection at production line</v>
      </c>
      <c r="F268" s="92" t="s">
        <v>1612</v>
      </c>
      <c r="G268" s="92" t="s">
        <v>953</v>
      </c>
      <c r="H268" s="92" t="s">
        <v>1613</v>
      </c>
      <c r="I268" s="92" t="s">
        <v>106</v>
      </c>
      <c r="J268" s="92" t="s">
        <v>60</v>
      </c>
      <c r="K268" s="92" t="s">
        <v>685</v>
      </c>
    </row>
    <row r="269" spans="1:11" ht="13.8">
      <c r="A269" s="47">
        <v>9814</v>
      </c>
      <c r="B269" s="92" t="s">
        <v>1614</v>
      </c>
      <c r="C269" s="92" t="s">
        <v>1615</v>
      </c>
      <c r="D269" s="72" t="str">
        <f>IFERROR(VLOOKUP(A269,'[1]ST-QA-ZZ5'!$C$5:$M$299,11,0),"Inspection at production line")</f>
        <v>Inspection at production line</v>
      </c>
      <c r="F269" s="92" t="s">
        <v>1616</v>
      </c>
      <c r="G269" s="92" t="s">
        <v>1554</v>
      </c>
      <c r="H269" s="92" t="s">
        <v>1617</v>
      </c>
      <c r="I269" s="92" t="s">
        <v>106</v>
      </c>
      <c r="J269" s="92" t="s">
        <v>60</v>
      </c>
      <c r="K269" s="92" t="s">
        <v>685</v>
      </c>
    </row>
    <row r="270" spans="1:11" ht="13.8">
      <c r="A270" s="47">
        <v>9815</v>
      </c>
      <c r="B270" s="92" t="s">
        <v>68</v>
      </c>
      <c r="C270" s="92" t="s">
        <v>1618</v>
      </c>
      <c r="D270" s="72" t="str">
        <f>IFERROR(VLOOKUP(A270,'[1]ST-QA-ZZ5'!$C$5:$M$299,11,0),"Inspection at production line")</f>
        <v>Inspection at production line</v>
      </c>
      <c r="F270" s="92" t="s">
        <v>1619</v>
      </c>
      <c r="G270" s="92" t="s">
        <v>1523</v>
      </c>
      <c r="H270" s="92" t="s">
        <v>1620</v>
      </c>
      <c r="I270" s="92" t="s">
        <v>106</v>
      </c>
      <c r="J270" s="92" t="s">
        <v>60</v>
      </c>
      <c r="K270" s="92" t="s">
        <v>685</v>
      </c>
    </row>
    <row r="271" spans="1:11" ht="13.8">
      <c r="A271" s="47">
        <v>9816</v>
      </c>
      <c r="B271" s="92" t="s">
        <v>936</v>
      </c>
      <c r="C271" s="92" t="s">
        <v>1621</v>
      </c>
      <c r="D271" s="72" t="str">
        <f>IFERROR(VLOOKUP(A271,'[1]ST-QA-ZZ5'!$C$5:$M$299,11,0),"Inspection at production line")</f>
        <v>Inspection at production line</v>
      </c>
      <c r="F271" s="92" t="s">
        <v>1622</v>
      </c>
      <c r="G271" s="92" t="s">
        <v>1623</v>
      </c>
      <c r="H271" s="92" t="s">
        <v>1623</v>
      </c>
      <c r="I271" s="92" t="s">
        <v>106</v>
      </c>
      <c r="J271" s="92" t="s">
        <v>60</v>
      </c>
      <c r="K271" s="92" t="s">
        <v>685</v>
      </c>
    </row>
    <row r="272" spans="1:11" ht="13.8">
      <c r="A272" s="47">
        <v>9817</v>
      </c>
      <c r="B272" s="92" t="s">
        <v>404</v>
      </c>
      <c r="C272" s="92" t="s">
        <v>1624</v>
      </c>
      <c r="D272" s="72" t="str">
        <f>IFERROR(VLOOKUP(A272,'[1]ST-QA-ZZ5'!$C$5:$M$299,11,0),"Inspection at production line")</f>
        <v>Inspection at production line</v>
      </c>
      <c r="F272" s="92" t="s">
        <v>1625</v>
      </c>
      <c r="G272" s="92" t="s">
        <v>104</v>
      </c>
      <c r="H272" s="92" t="s">
        <v>1626</v>
      </c>
      <c r="I272" s="92" t="s">
        <v>106</v>
      </c>
      <c r="J272" s="92" t="s">
        <v>60</v>
      </c>
      <c r="K272" s="92" t="s">
        <v>685</v>
      </c>
    </row>
    <row r="273" spans="1:11" ht="13.8">
      <c r="A273" s="47">
        <v>9819</v>
      </c>
      <c r="B273" s="92" t="s">
        <v>404</v>
      </c>
      <c r="C273" s="92" t="s">
        <v>1627</v>
      </c>
      <c r="D273" s="72" t="str">
        <f>IFERROR(VLOOKUP(A273,'[1]ST-QA-ZZ5'!$C$5:$M$299,11,0),"Inspection at production line")</f>
        <v>Inspection at production line</v>
      </c>
      <c r="F273" s="92" t="s">
        <v>1628</v>
      </c>
      <c r="G273" s="92" t="s">
        <v>1592</v>
      </c>
      <c r="H273" s="92" t="s">
        <v>1629</v>
      </c>
      <c r="I273" s="92" t="s">
        <v>106</v>
      </c>
      <c r="J273" s="92" t="s">
        <v>60</v>
      </c>
      <c r="K273" s="92" t="s">
        <v>685</v>
      </c>
    </row>
    <row r="274" spans="1:11" ht="13.8">
      <c r="A274" s="47">
        <v>9820</v>
      </c>
      <c r="B274" s="92" t="s">
        <v>404</v>
      </c>
      <c r="C274" s="92" t="s">
        <v>1630</v>
      </c>
      <c r="D274" s="72" t="str">
        <f>IFERROR(VLOOKUP(A274,'[1]ST-QA-ZZ5'!$C$5:$M$299,11,0),"Inspection at production line")</f>
        <v>Inspection at production line</v>
      </c>
      <c r="F274" s="92" t="s">
        <v>1631</v>
      </c>
      <c r="G274" s="92" t="s">
        <v>1592</v>
      </c>
      <c r="H274" s="92" t="s">
        <v>1632</v>
      </c>
      <c r="I274" s="92" t="s">
        <v>106</v>
      </c>
      <c r="J274" s="92" t="s">
        <v>60</v>
      </c>
      <c r="K274" s="92" t="s">
        <v>685</v>
      </c>
    </row>
    <row r="275" spans="1:11" ht="13.8">
      <c r="A275" s="47">
        <v>9821</v>
      </c>
      <c r="B275" s="92" t="s">
        <v>865</v>
      </c>
      <c r="C275" s="92" t="s">
        <v>1633</v>
      </c>
      <c r="D275" s="72" t="str">
        <f>IFERROR(VLOOKUP(A275,'[1]ST-QA-ZZ5'!$C$5:$M$299,11,0),"Inspection at production line")</f>
        <v>Inspection at production line</v>
      </c>
      <c r="F275" s="92" t="s">
        <v>1634</v>
      </c>
      <c r="G275" s="92" t="s">
        <v>1523</v>
      </c>
      <c r="H275" s="92" t="s">
        <v>1635</v>
      </c>
      <c r="I275" s="92" t="s">
        <v>106</v>
      </c>
      <c r="J275" s="92" t="s">
        <v>60</v>
      </c>
      <c r="K275" s="92" t="s">
        <v>685</v>
      </c>
    </row>
    <row r="276" spans="1:11" ht="13.8">
      <c r="A276" s="47">
        <v>9822</v>
      </c>
      <c r="B276" s="92" t="s">
        <v>865</v>
      </c>
      <c r="C276" s="92" t="s">
        <v>1636</v>
      </c>
      <c r="D276" s="72" t="str">
        <f>IFERROR(VLOOKUP(A276,'[1]ST-QA-ZZ5'!$C$5:$M$299,11,0),"Inspection at production line")</f>
        <v>Inspection at production line</v>
      </c>
      <c r="F276" s="92" t="s">
        <v>1637</v>
      </c>
      <c r="G276" s="92" t="s">
        <v>1638</v>
      </c>
      <c r="H276" s="92" t="s">
        <v>1639</v>
      </c>
      <c r="I276" s="92" t="s">
        <v>106</v>
      </c>
      <c r="J276" s="92" t="s">
        <v>60</v>
      </c>
      <c r="K276" s="92" t="s">
        <v>685</v>
      </c>
    </row>
    <row r="277" spans="1:11" ht="13.8">
      <c r="A277" s="47">
        <v>9823</v>
      </c>
      <c r="B277" s="92" t="s">
        <v>865</v>
      </c>
      <c r="C277" s="92" t="s">
        <v>1640</v>
      </c>
      <c r="D277" s="72" t="str">
        <f>IFERROR(VLOOKUP(A277,'[1]ST-QA-ZZ5'!$C$5:$M$299,11,0),"Inspection at production line")</f>
        <v>Inspection at production line</v>
      </c>
      <c r="F277" s="92" t="s">
        <v>1641</v>
      </c>
      <c r="G277" s="92" t="s">
        <v>75</v>
      </c>
      <c r="H277" s="92" t="s">
        <v>1642</v>
      </c>
      <c r="I277" s="92" t="s">
        <v>106</v>
      </c>
      <c r="J277" s="92" t="s">
        <v>60</v>
      </c>
      <c r="K277" s="92" t="s">
        <v>685</v>
      </c>
    </row>
    <row r="278" spans="1:11" ht="13.8">
      <c r="A278" s="47">
        <v>9824</v>
      </c>
      <c r="B278" s="92" t="s">
        <v>865</v>
      </c>
      <c r="C278" s="92" t="s">
        <v>1643</v>
      </c>
      <c r="D278" s="72" t="str">
        <f>IFERROR(VLOOKUP(A278,'[1]ST-QA-ZZ5'!$C$5:$M$299,11,0),"Inspection at production line")</f>
        <v>Inspection at production line</v>
      </c>
      <c r="F278" s="92" t="s">
        <v>1644</v>
      </c>
      <c r="G278" s="92" t="s">
        <v>1645</v>
      </c>
      <c r="H278" s="92" t="s">
        <v>1646</v>
      </c>
      <c r="I278" s="92" t="s">
        <v>106</v>
      </c>
      <c r="J278" s="92" t="s">
        <v>60</v>
      </c>
      <c r="K278" s="92" t="s">
        <v>685</v>
      </c>
    </row>
    <row r="279" spans="1:11" ht="13.8">
      <c r="A279" s="47">
        <v>9825</v>
      </c>
      <c r="B279" s="92" t="s">
        <v>838</v>
      </c>
      <c r="C279" s="92" t="s">
        <v>1647</v>
      </c>
      <c r="D279" s="72" t="str">
        <f>IFERROR(VLOOKUP(A279,'[1]ST-QA-ZZ5'!$C$5:$M$299,11,0),"Inspection at production line")</f>
        <v>Inspection at production line</v>
      </c>
      <c r="F279" s="92" t="s">
        <v>1648</v>
      </c>
      <c r="G279" s="92" t="s">
        <v>1592</v>
      </c>
      <c r="H279" s="92" t="s">
        <v>1649</v>
      </c>
      <c r="I279" s="92" t="s">
        <v>106</v>
      </c>
      <c r="J279" s="92" t="s">
        <v>60</v>
      </c>
      <c r="K279" s="92" t="s">
        <v>685</v>
      </c>
    </row>
    <row r="280" spans="1:11" ht="13.8">
      <c r="A280" s="47">
        <v>9827</v>
      </c>
      <c r="B280" s="92" t="s">
        <v>1193</v>
      </c>
      <c r="C280" s="92" t="s">
        <v>1650</v>
      </c>
      <c r="D280" s="72" t="str">
        <f>IFERROR(VLOOKUP(A280,'[1]ST-QA-ZZ5'!$C$5:$M$299,11,0),"Inspection at production line")</f>
        <v>Inspection at production line</v>
      </c>
      <c r="F280" s="92" t="s">
        <v>1651</v>
      </c>
      <c r="G280" s="92" t="s">
        <v>1592</v>
      </c>
      <c r="H280" s="92" t="s">
        <v>1652</v>
      </c>
      <c r="I280" s="92" t="s">
        <v>106</v>
      </c>
      <c r="J280" s="92" t="s">
        <v>60</v>
      </c>
      <c r="K280" s="92" t="s">
        <v>685</v>
      </c>
    </row>
    <row r="281" spans="1:11" ht="13.8">
      <c r="A281" s="47">
        <v>9830</v>
      </c>
      <c r="B281" s="92" t="s">
        <v>807</v>
      </c>
      <c r="C281" s="92" t="s">
        <v>1653</v>
      </c>
      <c r="D281" s="72" t="str">
        <f>IFERROR(VLOOKUP(A281,'[1]ST-QA-ZZ5'!$C$5:$M$299,11,0),"Inspection at production line")</f>
        <v>Inspection at production line</v>
      </c>
      <c r="F281" s="92" t="s">
        <v>1654</v>
      </c>
      <c r="G281" s="92" t="s">
        <v>797</v>
      </c>
      <c r="H281" s="92" t="s">
        <v>1655</v>
      </c>
      <c r="I281" s="92" t="s">
        <v>106</v>
      </c>
      <c r="J281" s="92" t="s">
        <v>60</v>
      </c>
      <c r="K281" s="92" t="s">
        <v>685</v>
      </c>
    </row>
    <row r="282" spans="1:11" ht="13.8">
      <c r="A282" s="47">
        <v>9831</v>
      </c>
      <c r="B282" s="92" t="s">
        <v>821</v>
      </c>
      <c r="C282" s="92" t="s">
        <v>1656</v>
      </c>
      <c r="D282" s="72" t="str">
        <f>IFERROR(VLOOKUP(A282,'[1]ST-QA-ZZ5'!$C$5:$M$299,11,0),"Inspection at production line")</f>
        <v>Inspection at production line</v>
      </c>
      <c r="F282" s="92" t="s">
        <v>1657</v>
      </c>
      <c r="G282" s="92" t="s">
        <v>75</v>
      </c>
      <c r="H282" s="92" t="s">
        <v>1597</v>
      </c>
      <c r="I282" s="92" t="s">
        <v>106</v>
      </c>
      <c r="J282" s="92" t="s">
        <v>60</v>
      </c>
      <c r="K282" s="92" t="s">
        <v>685</v>
      </c>
    </row>
    <row r="283" spans="1:11" ht="13.8">
      <c r="A283" s="47">
        <v>9832</v>
      </c>
      <c r="B283" s="92" t="s">
        <v>404</v>
      </c>
      <c r="C283" s="92" t="s">
        <v>1658</v>
      </c>
      <c r="D283" s="72" t="str">
        <f>IFERROR(VLOOKUP(A283,'[1]ST-QA-ZZ5'!$C$5:$M$299,11,0),"Inspection at production line")</f>
        <v>Inspection at production line</v>
      </c>
      <c r="F283" s="92" t="s">
        <v>1659</v>
      </c>
      <c r="G283" s="92" t="s">
        <v>75</v>
      </c>
      <c r="H283" s="92" t="s">
        <v>1660</v>
      </c>
      <c r="I283" s="92" t="s">
        <v>106</v>
      </c>
      <c r="J283" s="92" t="s">
        <v>60</v>
      </c>
      <c r="K283" s="92" t="s">
        <v>685</v>
      </c>
    </row>
    <row r="284" spans="1:11" ht="13.8">
      <c r="A284" s="47">
        <v>9833</v>
      </c>
      <c r="B284" s="92" t="s">
        <v>814</v>
      </c>
      <c r="C284" s="92" t="s">
        <v>1661</v>
      </c>
      <c r="D284" s="72" t="str">
        <f>IFERROR(VLOOKUP(A284,'[1]ST-QA-ZZ5'!$C$5:$M$299,11,0),"Inspection at production line")</f>
        <v>Inspection at production line</v>
      </c>
      <c r="F284" s="92" t="s">
        <v>1662</v>
      </c>
      <c r="G284" s="92" t="s">
        <v>75</v>
      </c>
      <c r="H284" s="92" t="s">
        <v>1663</v>
      </c>
      <c r="I284" s="92" t="s">
        <v>106</v>
      </c>
      <c r="J284" s="92" t="s">
        <v>60</v>
      </c>
      <c r="K284" s="92" t="s">
        <v>685</v>
      </c>
    </row>
    <row r="285" spans="1:11" ht="13.8">
      <c r="A285" s="47" t="s">
        <v>854</v>
      </c>
      <c r="B285" s="92" t="s">
        <v>397</v>
      </c>
      <c r="C285" s="92" t="s">
        <v>855</v>
      </c>
      <c r="D285" s="72" t="str">
        <f>IFERROR(VLOOKUP(A285,'[1]ST-QA-ZZ5'!$C$5:$M$299,11,0),"Inspection at production line")</f>
        <v>Inspection at production line</v>
      </c>
      <c r="F285" s="92" t="s">
        <v>1664</v>
      </c>
      <c r="G285" s="92" t="s">
        <v>1645</v>
      </c>
      <c r="H285" s="92" t="s">
        <v>1665</v>
      </c>
      <c r="I285" s="92" t="s">
        <v>106</v>
      </c>
      <c r="J285" s="92" t="s">
        <v>60</v>
      </c>
      <c r="K285" s="92" t="s">
        <v>685</v>
      </c>
    </row>
    <row r="286" spans="1:11" ht="13.8">
      <c r="A286" s="47" t="s">
        <v>859</v>
      </c>
      <c r="B286" s="92" t="s">
        <v>811</v>
      </c>
      <c r="C286" s="92" t="s">
        <v>860</v>
      </c>
      <c r="D286" s="72" t="str">
        <f>IFERROR(VLOOKUP(A286,'[1]ST-QA-ZZ5'!$C$5:$M$299,11,0),"Inspection at production line")</f>
        <v>Inspection at production line</v>
      </c>
      <c r="F286" s="92" t="s">
        <v>1666</v>
      </c>
      <c r="G286" s="92" t="s">
        <v>1592</v>
      </c>
      <c r="H286" s="92" t="s">
        <v>1667</v>
      </c>
      <c r="I286" s="92" t="s">
        <v>106</v>
      </c>
      <c r="J286" s="92" t="s">
        <v>60</v>
      </c>
      <c r="K286" s="92" t="s">
        <v>685</v>
      </c>
    </row>
    <row r="287" spans="1:11" ht="13.8">
      <c r="A287" s="47" t="s">
        <v>864</v>
      </c>
      <c r="B287" s="92" t="s">
        <v>865</v>
      </c>
      <c r="C287" s="92" t="s">
        <v>866</v>
      </c>
      <c r="D287" s="72" t="str">
        <f>IFERROR(VLOOKUP(A287,'[1]ST-QA-ZZ5'!$C$5:$M$299,11,0),"Inspection at production line")</f>
        <v>Inspection at production line</v>
      </c>
      <c r="F287" s="92" t="s">
        <v>1668</v>
      </c>
      <c r="G287" s="92" t="s">
        <v>1669</v>
      </c>
      <c r="H287" s="92" t="s">
        <v>1670</v>
      </c>
      <c r="I287" s="92" t="s">
        <v>106</v>
      </c>
      <c r="J287" s="92" t="s">
        <v>60</v>
      </c>
      <c r="K287" s="92" t="s">
        <v>685</v>
      </c>
    </row>
    <row r="288" spans="1:11" ht="13.8">
      <c r="A288" s="47" t="s">
        <v>870</v>
      </c>
      <c r="B288" s="92" t="s">
        <v>818</v>
      </c>
      <c r="C288" s="92" t="s">
        <v>871</v>
      </c>
      <c r="D288" s="72" t="str">
        <f>IFERROR(VLOOKUP(A288,'[1]ST-QA-ZZ5'!$C$5:$M$299,11,0),"Inspection at production line")</f>
        <v>Inspection at production line</v>
      </c>
      <c r="F288" s="92" t="s">
        <v>1671</v>
      </c>
      <c r="G288" s="92" t="s">
        <v>75</v>
      </c>
      <c r="H288" s="92" t="s">
        <v>1672</v>
      </c>
      <c r="I288" s="92" t="s">
        <v>106</v>
      </c>
      <c r="J288" s="92" t="s">
        <v>60</v>
      </c>
      <c r="K288" s="92" t="s">
        <v>685</v>
      </c>
    </row>
    <row r="289" spans="1:11" ht="13.8">
      <c r="A289" s="47" t="s">
        <v>875</v>
      </c>
      <c r="B289" s="92" t="s">
        <v>865</v>
      </c>
      <c r="C289" s="92" t="s">
        <v>876</v>
      </c>
      <c r="D289" s="72" t="str">
        <f>IFERROR(VLOOKUP(A289,'[1]ST-QA-ZZ5'!$C$5:$M$299,11,0),"Inspection at production line")</f>
        <v>Inspection at production line</v>
      </c>
      <c r="F289" s="92" t="s">
        <v>1673</v>
      </c>
      <c r="G289" s="92" t="s">
        <v>75</v>
      </c>
      <c r="H289" s="92" t="s">
        <v>1674</v>
      </c>
      <c r="I289" s="92" t="s">
        <v>106</v>
      </c>
      <c r="J289" s="92" t="s">
        <v>60</v>
      </c>
      <c r="K289" s="92" t="s">
        <v>685</v>
      </c>
    </row>
    <row r="290" spans="1:11" ht="13.8">
      <c r="A290" s="47" t="s">
        <v>366</v>
      </c>
      <c r="B290" s="92" t="s">
        <v>362</v>
      </c>
      <c r="C290" s="92" t="s">
        <v>367</v>
      </c>
      <c r="D290" s="72" t="str">
        <f>IFERROR(VLOOKUP(A290,'[1]ST-QA-ZZ5'!$C$5:$M$299,11,0),"Inspection at production line")</f>
        <v>Inspection at production line</v>
      </c>
      <c r="F290" s="92" t="s">
        <v>1675</v>
      </c>
      <c r="G290" s="92" t="s">
        <v>75</v>
      </c>
      <c r="H290" s="92" t="s">
        <v>1676</v>
      </c>
      <c r="I290" s="92" t="s">
        <v>106</v>
      </c>
      <c r="J290" s="92" t="s">
        <v>60</v>
      </c>
      <c r="K290" s="92" t="s">
        <v>685</v>
      </c>
    </row>
    <row r="291" spans="1:11" ht="13.8">
      <c r="A291" s="47" t="s">
        <v>879</v>
      </c>
      <c r="B291" s="92" t="s">
        <v>865</v>
      </c>
      <c r="C291" s="92" t="s">
        <v>880</v>
      </c>
      <c r="D291" s="72" t="str">
        <f>IFERROR(VLOOKUP(A291,'[1]ST-QA-ZZ5'!$C$5:$M$299,11,0),"Inspection at production line")</f>
        <v>Inspection at production line</v>
      </c>
      <c r="F291" s="92" t="s">
        <v>1677</v>
      </c>
      <c r="G291" s="92" t="s">
        <v>1678</v>
      </c>
      <c r="H291" s="92" t="s">
        <v>1679</v>
      </c>
      <c r="I291" s="92" t="s">
        <v>106</v>
      </c>
      <c r="J291" s="92" t="s">
        <v>60</v>
      </c>
      <c r="K291" s="92" t="s">
        <v>685</v>
      </c>
    </row>
    <row r="292" spans="1:11" ht="13.8">
      <c r="A292" s="47" t="s">
        <v>882</v>
      </c>
      <c r="B292" s="92" t="s">
        <v>352</v>
      </c>
      <c r="C292" s="92" t="s">
        <v>883</v>
      </c>
      <c r="D292" s="72" t="str">
        <f>IFERROR(VLOOKUP(A292,'[1]ST-QA-ZZ5'!$C$5:$M$299,11,0),"Inspection at production line")</f>
        <v>Inspection at production line</v>
      </c>
      <c r="F292" s="92" t="s">
        <v>1680</v>
      </c>
      <c r="G292" s="92" t="s">
        <v>797</v>
      </c>
      <c r="H292" s="92" t="s">
        <v>1681</v>
      </c>
      <c r="I292" s="92" t="s">
        <v>106</v>
      </c>
      <c r="J292" s="92" t="s">
        <v>60</v>
      </c>
      <c r="K292" s="92" t="s">
        <v>685</v>
      </c>
    </row>
    <row r="293" spans="1:11" ht="13.8">
      <c r="A293" s="47" t="s">
        <v>348</v>
      </c>
      <c r="B293" s="92" t="s">
        <v>349</v>
      </c>
      <c r="C293" s="92" t="s">
        <v>350</v>
      </c>
      <c r="D293" s="72" t="str">
        <f>IFERROR(VLOOKUP(A293,'[1]ST-QA-ZZ5'!$C$5:$M$299,11,0),"Inspection at production line")</f>
        <v>Inspection at production line</v>
      </c>
      <c r="F293" s="92" t="s">
        <v>1682</v>
      </c>
      <c r="G293" s="92" t="s">
        <v>1683</v>
      </c>
      <c r="H293" s="92" t="s">
        <v>1684</v>
      </c>
      <c r="I293" s="92" t="s">
        <v>106</v>
      </c>
      <c r="J293" s="92" t="s">
        <v>60</v>
      </c>
      <c r="K293" s="92" t="s">
        <v>685</v>
      </c>
    </row>
    <row r="294" spans="1:11" ht="13.8">
      <c r="A294" s="47" t="s">
        <v>887</v>
      </c>
      <c r="B294" s="92" t="s">
        <v>355</v>
      </c>
      <c r="C294" s="92" t="s">
        <v>888</v>
      </c>
      <c r="D294" s="72" t="str">
        <f>IFERROR(VLOOKUP(A294,'[1]ST-QA-ZZ5'!$C$5:$M$299,11,0),"Inspection at production line")</f>
        <v>Inspection at production line</v>
      </c>
      <c r="F294" s="92" t="s">
        <v>1685</v>
      </c>
      <c r="G294" s="92" t="s">
        <v>797</v>
      </c>
      <c r="H294" s="92" t="s">
        <v>1686</v>
      </c>
      <c r="I294" s="92" t="s">
        <v>106</v>
      </c>
      <c r="J294" s="92" t="s">
        <v>60</v>
      </c>
      <c r="K294" s="92" t="s">
        <v>685</v>
      </c>
    </row>
    <row r="295" spans="1:11" ht="13.8">
      <c r="A295" s="47" t="s">
        <v>890</v>
      </c>
      <c r="B295" s="92" t="s">
        <v>891</v>
      </c>
      <c r="C295" s="92" t="s">
        <v>892</v>
      </c>
      <c r="D295" s="72" t="str">
        <f>IFERROR(VLOOKUP(A295,'[1]ST-QA-ZZ5'!$C$5:$M$299,11,0),"Inspection at production line")</f>
        <v>Inspection at production line</v>
      </c>
      <c r="F295" s="92" t="s">
        <v>1687</v>
      </c>
      <c r="G295" s="92" t="s">
        <v>75</v>
      </c>
      <c r="H295" s="92" t="s">
        <v>1688</v>
      </c>
      <c r="I295" s="92" t="s">
        <v>106</v>
      </c>
      <c r="J295" s="92" t="s">
        <v>60</v>
      </c>
      <c r="K295" s="92" t="s">
        <v>685</v>
      </c>
    </row>
    <row r="296" spans="1:11" ht="13.8">
      <c r="A296" s="47" t="s">
        <v>894</v>
      </c>
      <c r="B296" s="92" t="s">
        <v>68</v>
      </c>
      <c r="C296" s="92" t="s">
        <v>1689</v>
      </c>
      <c r="D296" s="72" t="str">
        <f>IFERROR(VLOOKUP(A296,'[1]ST-QA-ZZ5'!$C$5:$M$299,11,0),"Inspection at production line")</f>
        <v>Inspection at production line</v>
      </c>
      <c r="F296" s="92" t="s">
        <v>1690</v>
      </c>
      <c r="G296" s="92" t="s">
        <v>1513</v>
      </c>
      <c r="H296" s="92" t="s">
        <v>1691</v>
      </c>
      <c r="I296" s="92" t="s">
        <v>106</v>
      </c>
      <c r="J296" s="92" t="s">
        <v>60</v>
      </c>
      <c r="K296" s="92" t="s">
        <v>685</v>
      </c>
    </row>
    <row r="297" spans="1:11" ht="13.8">
      <c r="A297" s="47" t="s">
        <v>897</v>
      </c>
      <c r="B297" s="92" t="s">
        <v>898</v>
      </c>
      <c r="C297" s="92" t="s">
        <v>899</v>
      </c>
      <c r="D297" s="72" t="str">
        <f>IFERROR(VLOOKUP(A297,'[1]ST-QA-ZZ5'!$C$5:$M$299,11,0),"Inspection at production line")</f>
        <v>Inspection at production line</v>
      </c>
      <c r="F297" s="92" t="s">
        <v>1692</v>
      </c>
      <c r="G297" s="92" t="s">
        <v>1212</v>
      </c>
      <c r="H297" s="92" t="s">
        <v>1212</v>
      </c>
      <c r="I297" s="92" t="s">
        <v>106</v>
      </c>
      <c r="J297" s="92" t="s">
        <v>60</v>
      </c>
      <c r="K297" s="92" t="s">
        <v>685</v>
      </c>
    </row>
    <row r="298" spans="1:11" ht="13.8">
      <c r="A298" s="47" t="s">
        <v>902</v>
      </c>
      <c r="B298" s="92" t="s">
        <v>903</v>
      </c>
      <c r="C298" s="92" t="s">
        <v>904</v>
      </c>
      <c r="D298" s="72" t="str">
        <f>IFERROR(VLOOKUP(A298,'[1]ST-QA-ZZ5'!$C$5:$M$299,11,0),"Inspection at production line")</f>
        <v>Inspection at production line</v>
      </c>
      <c r="F298" s="92" t="s">
        <v>1693</v>
      </c>
      <c r="G298" s="92" t="s">
        <v>1592</v>
      </c>
      <c r="H298" s="92" t="s">
        <v>1694</v>
      </c>
      <c r="I298" s="92" t="s">
        <v>106</v>
      </c>
      <c r="J298" s="92" t="s">
        <v>60</v>
      </c>
      <c r="K298" s="92" t="s">
        <v>685</v>
      </c>
    </row>
    <row r="299" spans="1:11" ht="13.8">
      <c r="A299" s="47" t="s">
        <v>907</v>
      </c>
      <c r="B299" s="92" t="s">
        <v>371</v>
      </c>
      <c r="C299" s="92" t="s">
        <v>909</v>
      </c>
      <c r="D299" s="72" t="str">
        <f>IFERROR(VLOOKUP(A299,'[1]ST-QA-ZZ5'!$C$5:$M$299,11,0),"Inspection at production line")</f>
        <v>Inspection at production line</v>
      </c>
      <c r="F299" s="92" t="s">
        <v>1695</v>
      </c>
      <c r="G299" s="92" t="s">
        <v>75</v>
      </c>
      <c r="H299" s="92" t="s">
        <v>1696</v>
      </c>
      <c r="I299" s="92" t="s">
        <v>106</v>
      </c>
      <c r="J299" s="92" t="s">
        <v>60</v>
      </c>
      <c r="K299" s="92" t="s">
        <v>685</v>
      </c>
    </row>
    <row r="300" spans="1:11" ht="13.8">
      <c r="A300" s="47" t="s">
        <v>911</v>
      </c>
      <c r="B300" s="92" t="s">
        <v>912</v>
      </c>
      <c r="C300" s="92" t="s">
        <v>913</v>
      </c>
      <c r="D300" s="72" t="str">
        <f>IFERROR(VLOOKUP(A300,'[1]ST-QA-ZZ5'!$C$5:$M$299,11,0),"Inspection at production line")</f>
        <v>Inspection at production line</v>
      </c>
      <c r="F300" s="92" t="s">
        <v>1697</v>
      </c>
      <c r="G300" s="92" t="s">
        <v>1698</v>
      </c>
      <c r="H300" s="92" t="s">
        <v>1699</v>
      </c>
      <c r="I300" s="92" t="s">
        <v>106</v>
      </c>
      <c r="J300" s="92" t="s">
        <v>60</v>
      </c>
      <c r="K300" s="92" t="s">
        <v>685</v>
      </c>
    </row>
    <row r="301" spans="1:11" ht="13.8">
      <c r="A301" s="47" t="s">
        <v>914</v>
      </c>
      <c r="B301" s="92" t="s">
        <v>371</v>
      </c>
      <c r="C301" s="92" t="s">
        <v>915</v>
      </c>
      <c r="D301" s="72" t="str">
        <f>IFERROR(VLOOKUP(A301,'[1]ST-QA-ZZ5'!$C$5:$M$299,11,0),"Inspection at production line")</f>
        <v>Inspection at production line</v>
      </c>
      <c r="F301" s="92" t="s">
        <v>1700</v>
      </c>
      <c r="G301" s="92" t="s">
        <v>90</v>
      </c>
      <c r="H301" s="92" t="s">
        <v>1701</v>
      </c>
      <c r="I301" s="92" t="s">
        <v>106</v>
      </c>
      <c r="J301" s="92" t="s">
        <v>60</v>
      </c>
      <c r="K301" s="92" t="s">
        <v>685</v>
      </c>
    </row>
    <row r="302" spans="1:11" ht="13.8">
      <c r="A302" s="47" t="s">
        <v>918</v>
      </c>
      <c r="B302" s="92" t="s">
        <v>898</v>
      </c>
      <c r="C302" s="92" t="s">
        <v>919</v>
      </c>
      <c r="D302" s="72" t="str">
        <f>IFERROR(VLOOKUP(A302,'[1]ST-QA-ZZ5'!$C$5:$M$299,11,0),"Inspection at production line")</f>
        <v>Inspection at production line</v>
      </c>
      <c r="F302" s="92" t="s">
        <v>1702</v>
      </c>
      <c r="G302" s="92" t="s">
        <v>75</v>
      </c>
      <c r="H302" s="92" t="s">
        <v>1520</v>
      </c>
      <c r="I302" s="92" t="s">
        <v>106</v>
      </c>
      <c r="J302" s="92" t="s">
        <v>60</v>
      </c>
      <c r="K302" s="92" t="s">
        <v>685</v>
      </c>
    </row>
    <row r="303" spans="1:11" ht="13.8">
      <c r="A303" s="47" t="s">
        <v>922</v>
      </c>
      <c r="B303" s="92" t="s">
        <v>923</v>
      </c>
      <c r="C303" s="92" t="s">
        <v>1703</v>
      </c>
      <c r="D303" s="72" t="str">
        <f>IFERROR(VLOOKUP(A303,'[1]ST-QA-ZZ5'!$C$5:$M$299,11,0),"Inspection at production line")</f>
        <v>Inspection at production line</v>
      </c>
      <c r="F303" s="92" t="s">
        <v>1704</v>
      </c>
      <c r="G303" s="92" t="s">
        <v>1592</v>
      </c>
      <c r="H303" s="92" t="s">
        <v>1705</v>
      </c>
      <c r="I303" s="92" t="s">
        <v>106</v>
      </c>
      <c r="J303" s="92" t="s">
        <v>60</v>
      </c>
      <c r="K303" s="92" t="s">
        <v>685</v>
      </c>
    </row>
    <row r="304" spans="1:11" ht="13.8">
      <c r="A304" s="47" t="s">
        <v>926</v>
      </c>
      <c r="B304" s="92" t="s">
        <v>927</v>
      </c>
      <c r="C304" s="92" t="s">
        <v>1706</v>
      </c>
      <c r="D304" s="72" t="str">
        <f>IFERROR(VLOOKUP(A304,'[1]ST-QA-ZZ5'!$C$5:$M$299,11,0),"Inspection at production line")</f>
        <v>Inspection at production line</v>
      </c>
      <c r="F304" s="92" t="s">
        <v>1707</v>
      </c>
      <c r="G304" s="92" t="s">
        <v>75</v>
      </c>
      <c r="H304" s="92" t="s">
        <v>1708</v>
      </c>
      <c r="I304" s="92" t="s">
        <v>106</v>
      </c>
      <c r="J304" s="92" t="s">
        <v>60</v>
      </c>
      <c r="K304" s="92" t="s">
        <v>685</v>
      </c>
    </row>
    <row r="305" spans="1:11" ht="13.8">
      <c r="A305" s="47" t="s">
        <v>935</v>
      </c>
      <c r="B305" s="92" t="s">
        <v>936</v>
      </c>
      <c r="C305" s="92" t="s">
        <v>937</v>
      </c>
      <c r="D305" s="72" t="str">
        <f>IFERROR(VLOOKUP(A305,'[1]ST-QA-ZZ5'!$C$5:$M$299,11,0),"Inspection at production line")</f>
        <v>Inspection at production line</v>
      </c>
      <c r="F305" s="92" t="s">
        <v>1709</v>
      </c>
      <c r="G305" s="92" t="s">
        <v>75</v>
      </c>
      <c r="H305" s="92" t="s">
        <v>1520</v>
      </c>
      <c r="I305" s="92" t="s">
        <v>106</v>
      </c>
      <c r="J305" s="92" t="s">
        <v>60</v>
      </c>
      <c r="K305" s="92" t="s">
        <v>685</v>
      </c>
    </row>
    <row r="306" spans="1:11" ht="13.8">
      <c r="A306" s="47" t="s">
        <v>939</v>
      </c>
      <c r="B306" s="92" t="s">
        <v>940</v>
      </c>
      <c r="C306" s="92" t="s">
        <v>33</v>
      </c>
      <c r="D306" s="72" t="str">
        <f>IFERROR(VLOOKUP(A306,'[1]ST-QA-ZZ5'!$C$5:$M$299,11,0),"Inspection at production line")</f>
        <v>Inspection at production line</v>
      </c>
      <c r="F306" s="92" t="s">
        <v>1710</v>
      </c>
      <c r="G306" s="92" t="s">
        <v>1592</v>
      </c>
      <c r="H306" s="92" t="s">
        <v>1711</v>
      </c>
      <c r="I306" s="92" t="s">
        <v>106</v>
      </c>
      <c r="J306" s="92" t="s">
        <v>60</v>
      </c>
      <c r="K306" s="92" t="s">
        <v>685</v>
      </c>
    </row>
    <row r="307" spans="1:11" ht="13.8">
      <c r="A307" s="47" t="s">
        <v>943</v>
      </c>
      <c r="B307" s="92" t="s">
        <v>944</v>
      </c>
      <c r="C307" s="92" t="s">
        <v>945</v>
      </c>
      <c r="D307" s="72" t="str">
        <f>IFERROR(VLOOKUP(A307,'[1]ST-QA-ZZ5'!$C$5:$M$299,11,0),"Inspection at production line")</f>
        <v>Inspection at production line</v>
      </c>
      <c r="F307" s="92" t="s">
        <v>1712</v>
      </c>
      <c r="G307" s="92" t="s">
        <v>797</v>
      </c>
      <c r="H307" s="92" t="s">
        <v>1713</v>
      </c>
      <c r="I307" s="92" t="s">
        <v>106</v>
      </c>
      <c r="J307" s="92" t="s">
        <v>60</v>
      </c>
      <c r="K307" s="92" t="s">
        <v>685</v>
      </c>
    </row>
    <row r="308" spans="1:11" ht="13.8">
      <c r="A308" s="47" t="s">
        <v>950</v>
      </c>
      <c r="B308" s="92" t="s">
        <v>1057</v>
      </c>
      <c r="C308" s="92" t="s">
        <v>952</v>
      </c>
      <c r="D308" s="72" t="str">
        <f>IFERROR(VLOOKUP(A308,'[1]ST-QA-ZZ5'!$C$5:$M$299,11,0),"Inspection at production line")</f>
        <v>Inspection at production line</v>
      </c>
      <c r="F308" s="92" t="s">
        <v>1714</v>
      </c>
      <c r="G308" s="92" t="s">
        <v>953</v>
      </c>
      <c r="H308" s="92" t="s">
        <v>1715</v>
      </c>
      <c r="I308" s="92" t="s">
        <v>106</v>
      </c>
      <c r="J308" s="92" t="s">
        <v>60</v>
      </c>
      <c r="K308" s="92" t="s">
        <v>685</v>
      </c>
    </row>
    <row r="309" spans="1:11" ht="13.8">
      <c r="A309" s="47" t="s">
        <v>954</v>
      </c>
      <c r="B309" s="92" t="s">
        <v>898</v>
      </c>
      <c r="C309" s="92" t="s">
        <v>956</v>
      </c>
      <c r="D309" s="72" t="str">
        <f>IFERROR(VLOOKUP(A309,'[1]ST-QA-ZZ5'!$C$5:$M$299,11,0),"Inspection at production line")</f>
        <v>Inspection at production line</v>
      </c>
      <c r="F309" s="92" t="s">
        <v>1716</v>
      </c>
      <c r="G309" s="92" t="s">
        <v>1523</v>
      </c>
      <c r="H309" s="92" t="s">
        <v>1717</v>
      </c>
      <c r="I309" s="92" t="s">
        <v>106</v>
      </c>
      <c r="J309" s="92" t="s">
        <v>60</v>
      </c>
      <c r="K309" s="92" t="s">
        <v>685</v>
      </c>
    </row>
    <row r="310" spans="1:11" ht="13.8">
      <c r="A310" s="47" t="s">
        <v>958</v>
      </c>
      <c r="B310" s="92" t="s">
        <v>959</v>
      </c>
      <c r="C310" s="92" t="s">
        <v>1718</v>
      </c>
      <c r="D310" s="72" t="str">
        <f>IFERROR(VLOOKUP(A310,'[1]ST-QA-ZZ5'!$C$5:$M$299,11,0),"Inspection at production line")</f>
        <v>Inspection at production line</v>
      </c>
      <c r="F310" s="92" t="s">
        <v>1719</v>
      </c>
      <c r="G310" s="92" t="s">
        <v>1592</v>
      </c>
      <c r="H310" s="92" t="s">
        <v>1720</v>
      </c>
      <c r="I310" s="92" t="s">
        <v>106</v>
      </c>
      <c r="J310" s="92" t="s">
        <v>60</v>
      </c>
      <c r="K310" s="92" t="s">
        <v>685</v>
      </c>
    </row>
    <row r="311" spans="1:11" ht="13.8">
      <c r="A311" s="47" t="s">
        <v>351</v>
      </c>
      <c r="B311" s="92" t="s">
        <v>344</v>
      </c>
      <c r="C311" s="92" t="s">
        <v>353</v>
      </c>
      <c r="D311" s="72" t="str">
        <f>IFERROR(VLOOKUP(A311,'[1]ST-QA-ZZ5'!$C$5:$M$299,11,0),"Inspection at production line")</f>
        <v>Inspection at production line</v>
      </c>
      <c r="F311" s="92" t="s">
        <v>1721</v>
      </c>
      <c r="G311" s="92" t="s">
        <v>1534</v>
      </c>
      <c r="H311" s="92" t="s">
        <v>1722</v>
      </c>
      <c r="I311" s="92" t="s">
        <v>106</v>
      </c>
      <c r="J311" s="92" t="s">
        <v>60</v>
      </c>
      <c r="K311" s="92" t="s">
        <v>685</v>
      </c>
    </row>
    <row r="312" spans="1:11" ht="13.8">
      <c r="A312" s="47" t="s">
        <v>962</v>
      </c>
      <c r="B312" s="92" t="s">
        <v>371</v>
      </c>
      <c r="C312" s="92" t="s">
        <v>963</v>
      </c>
      <c r="D312" s="72" t="str">
        <f>IFERROR(VLOOKUP(A312,'[1]ST-QA-ZZ5'!$C$5:$M$299,11,0),"Inspection at production line")</f>
        <v>Inspection at production line</v>
      </c>
      <c r="F312" s="92" t="s">
        <v>1723</v>
      </c>
      <c r="G312" s="92" t="s">
        <v>797</v>
      </c>
      <c r="H312" s="92" t="s">
        <v>1724</v>
      </c>
      <c r="I312" s="92" t="s">
        <v>106</v>
      </c>
      <c r="J312" s="92" t="s">
        <v>60</v>
      </c>
      <c r="K312" s="92" t="s">
        <v>685</v>
      </c>
    </row>
    <row r="313" spans="1:11" ht="13.8">
      <c r="A313" s="47" t="s">
        <v>965</v>
      </c>
      <c r="B313" s="92" t="s">
        <v>932</v>
      </c>
      <c r="C313" s="92" t="s">
        <v>966</v>
      </c>
      <c r="D313" s="72" t="str">
        <f>IFERROR(VLOOKUP(A313,'[1]ST-QA-ZZ5'!$C$5:$M$299,11,0),"Inspection at production line")</f>
        <v>Inspection at production line</v>
      </c>
      <c r="F313" s="92" t="s">
        <v>1725</v>
      </c>
      <c r="G313" s="92" t="s">
        <v>1523</v>
      </c>
      <c r="H313" s="92" t="s">
        <v>1726</v>
      </c>
      <c r="I313" s="92" t="s">
        <v>106</v>
      </c>
      <c r="J313" s="92" t="s">
        <v>60</v>
      </c>
      <c r="K313" s="92" t="s">
        <v>685</v>
      </c>
    </row>
    <row r="314" spans="1:11" ht="13.8">
      <c r="A314" s="47" t="s">
        <v>1727</v>
      </c>
      <c r="B314" s="92" t="s">
        <v>90</v>
      </c>
      <c r="C314" s="92" t="s">
        <v>1728</v>
      </c>
      <c r="D314" s="72" t="str">
        <f>IFERROR(VLOOKUP(A314,'[1]ST-QA-ZZ5'!$C$5:$M$299,11,0),"Inspection at production line")</f>
        <v>Inspection at production line</v>
      </c>
      <c r="F314" s="92" t="s">
        <v>1729</v>
      </c>
      <c r="G314" s="92" t="s">
        <v>75</v>
      </c>
      <c r="H314" s="92" t="s">
        <v>1730</v>
      </c>
      <c r="I314" s="92" t="s">
        <v>106</v>
      </c>
      <c r="J314" s="92" t="s">
        <v>60</v>
      </c>
      <c r="K314" s="92" t="s">
        <v>685</v>
      </c>
    </row>
    <row r="315" spans="1:11" ht="13.8">
      <c r="A315" s="47" t="s">
        <v>1731</v>
      </c>
      <c r="B315" s="92" t="s">
        <v>932</v>
      </c>
      <c r="C315" s="92" t="s">
        <v>1732</v>
      </c>
      <c r="D315" s="72" t="str">
        <f>IFERROR(VLOOKUP(A315,'[1]ST-QA-ZZ5'!$C$5:$M$299,11,0),"Inspection at production line")</f>
        <v>Inspection at production line</v>
      </c>
      <c r="F315" s="92" t="s">
        <v>1733</v>
      </c>
      <c r="G315" s="92" t="s">
        <v>75</v>
      </c>
      <c r="H315" s="92" t="s">
        <v>1734</v>
      </c>
      <c r="I315" s="92" t="s">
        <v>106</v>
      </c>
      <c r="J315" s="92" t="s">
        <v>60</v>
      </c>
      <c r="K315" s="92" t="s">
        <v>685</v>
      </c>
    </row>
    <row r="316" spans="1:11" ht="13.8">
      <c r="A316" s="47" t="s">
        <v>1735</v>
      </c>
      <c r="B316" s="92" t="s">
        <v>90</v>
      </c>
      <c r="C316" s="92" t="s">
        <v>1071</v>
      </c>
      <c r="D316" s="72" t="str">
        <f>IFERROR(VLOOKUP(A316,'[1]ST-QA-ZZ5'!$C$5:$M$299,11,0),"Inspection at production line")</f>
        <v>Inspection at production line</v>
      </c>
      <c r="F316" s="92" t="s">
        <v>1736</v>
      </c>
      <c r="G316" s="92" t="s">
        <v>90</v>
      </c>
      <c r="H316" s="92" t="s">
        <v>1737</v>
      </c>
      <c r="I316" s="92" t="s">
        <v>106</v>
      </c>
      <c r="J316" s="92" t="s">
        <v>60</v>
      </c>
      <c r="K316" s="92" t="s">
        <v>685</v>
      </c>
    </row>
    <row r="317" spans="1:11" ht="13.8">
      <c r="A317" s="47" t="s">
        <v>1738</v>
      </c>
      <c r="B317" s="92" t="s">
        <v>90</v>
      </c>
      <c r="C317" s="92" t="s">
        <v>1739</v>
      </c>
      <c r="D317" s="72" t="str">
        <f>IFERROR(VLOOKUP(A317,'[1]ST-QA-ZZ5'!$C$5:$M$299,11,0),"Inspection at production line")</f>
        <v>Inspection at production line</v>
      </c>
      <c r="F317" s="92" t="s">
        <v>1740</v>
      </c>
      <c r="G317" s="92" t="s">
        <v>90</v>
      </c>
      <c r="H317" s="92" t="s">
        <v>1451</v>
      </c>
      <c r="I317" s="92" t="s">
        <v>106</v>
      </c>
      <c r="J317" s="92" t="s">
        <v>60</v>
      </c>
      <c r="K317" s="92" t="s">
        <v>685</v>
      </c>
    </row>
    <row r="318" spans="1:11" ht="13.8">
      <c r="A318" s="47" t="s">
        <v>354</v>
      </c>
      <c r="B318" s="92" t="s">
        <v>355</v>
      </c>
      <c r="C318" s="92" t="s">
        <v>356</v>
      </c>
      <c r="D318" s="72" t="str">
        <f>IFERROR(VLOOKUP(A318,'[1]ST-QA-ZZ5'!$C$5:$M$299,11,0),"Inspection at production line")</f>
        <v>Inspection at production line</v>
      </c>
      <c r="F318" s="92" t="s">
        <v>1741</v>
      </c>
      <c r="G318" s="92" t="s">
        <v>90</v>
      </c>
      <c r="H318" s="92" t="s">
        <v>1742</v>
      </c>
      <c r="I318" s="92" t="s">
        <v>106</v>
      </c>
      <c r="J318" s="92" t="s">
        <v>60</v>
      </c>
      <c r="K318" s="92" t="s">
        <v>685</v>
      </c>
    </row>
    <row r="319" spans="1:11" ht="13.8">
      <c r="A319" s="47" t="s">
        <v>1743</v>
      </c>
      <c r="B319" s="92" t="s">
        <v>891</v>
      </c>
      <c r="C319" s="92" t="s">
        <v>1744</v>
      </c>
      <c r="D319" s="72" t="str">
        <f>IFERROR(VLOOKUP(A319,'[1]ST-QA-ZZ5'!$C$5:$M$299,11,0),"Inspection at production line")</f>
        <v>Inspection at production line</v>
      </c>
      <c r="F319" s="92" t="s">
        <v>189</v>
      </c>
      <c r="G319" s="92" t="s">
        <v>190</v>
      </c>
      <c r="H319" s="92" t="s">
        <v>191</v>
      </c>
      <c r="I319" s="92" t="s">
        <v>106</v>
      </c>
      <c r="J319" s="92" t="s">
        <v>60</v>
      </c>
      <c r="K319" s="92" t="s">
        <v>685</v>
      </c>
    </row>
    <row r="320" spans="1:11" ht="13.8">
      <c r="A320" s="47" t="s">
        <v>968</v>
      </c>
      <c r="B320" s="92" t="s">
        <v>397</v>
      </c>
      <c r="C320" s="92" t="s">
        <v>969</v>
      </c>
      <c r="D320" s="72" t="str">
        <f>IFERROR(VLOOKUP(A320,'[1]ST-QA-ZZ5'!$C$5:$M$299,11,0),"Inspection at production line")</f>
        <v>Inspection at production line</v>
      </c>
      <c r="F320" s="92" t="s">
        <v>1745</v>
      </c>
      <c r="G320" s="92" t="s">
        <v>90</v>
      </c>
      <c r="H320" s="92" t="s">
        <v>1746</v>
      </c>
      <c r="I320" s="92" t="s">
        <v>106</v>
      </c>
      <c r="J320" s="92" t="s">
        <v>60</v>
      </c>
      <c r="K320" s="92" t="s">
        <v>685</v>
      </c>
    </row>
    <row r="321" spans="1:11" ht="13.8">
      <c r="A321" s="47" t="s">
        <v>1747</v>
      </c>
      <c r="B321" s="92" t="s">
        <v>936</v>
      </c>
      <c r="C321" s="92" t="s">
        <v>1748</v>
      </c>
      <c r="D321" s="72" t="str">
        <f>IFERROR(VLOOKUP(A321,'[1]ST-QA-ZZ5'!$C$5:$M$299,11,0),"Inspection at production line")</f>
        <v>Inspection at production line</v>
      </c>
      <c r="F321" s="92" t="s">
        <v>1749</v>
      </c>
      <c r="G321" s="92" t="s">
        <v>797</v>
      </c>
      <c r="H321" s="92" t="s">
        <v>1750</v>
      </c>
      <c r="I321" s="92" t="s">
        <v>106</v>
      </c>
      <c r="J321" s="92" t="s">
        <v>60</v>
      </c>
      <c r="K321" s="92" t="s">
        <v>685</v>
      </c>
    </row>
    <row r="322" spans="1:11" ht="13.8">
      <c r="A322" s="47" t="s">
        <v>396</v>
      </c>
      <c r="B322" s="92" t="s">
        <v>397</v>
      </c>
      <c r="C322" s="92" t="s">
        <v>398</v>
      </c>
      <c r="D322" s="72" t="str">
        <f>IFERROR(VLOOKUP(A322,'[1]ST-QA-ZZ5'!$C$5:$M$299,11,0),"Inspection at production line")</f>
        <v>Inspection at production line</v>
      </c>
      <c r="F322" s="92" t="s">
        <v>1751</v>
      </c>
      <c r="G322" s="92" t="s">
        <v>1638</v>
      </c>
      <c r="H322" s="92" t="s">
        <v>1752</v>
      </c>
      <c r="I322" s="92" t="s">
        <v>106</v>
      </c>
      <c r="J322" s="92" t="s">
        <v>60</v>
      </c>
      <c r="K322" s="92" t="s">
        <v>685</v>
      </c>
    </row>
    <row r="323" spans="1:11" ht="13.8">
      <c r="A323" s="47" t="s">
        <v>1753</v>
      </c>
      <c r="B323" s="92" t="s">
        <v>936</v>
      </c>
      <c r="C323" s="92" t="s">
        <v>1754</v>
      </c>
      <c r="D323" s="72" t="str">
        <f>IFERROR(VLOOKUP(A323,'[1]ST-QA-ZZ5'!$C$5:$M$299,11,0),"Inspection at production line")</f>
        <v>Inspection at production line</v>
      </c>
      <c r="F323" s="92" t="s">
        <v>1755</v>
      </c>
      <c r="G323" s="92" t="s">
        <v>75</v>
      </c>
      <c r="H323" s="92" t="s">
        <v>1756</v>
      </c>
      <c r="I323" s="92" t="s">
        <v>106</v>
      </c>
      <c r="J323" s="92" t="s">
        <v>60</v>
      </c>
      <c r="K323" s="92" t="s">
        <v>685</v>
      </c>
    </row>
    <row r="324" spans="1:11" ht="13.8">
      <c r="A324" s="47" t="s">
        <v>1757</v>
      </c>
      <c r="B324" s="92" t="s">
        <v>903</v>
      </c>
      <c r="C324" s="92" t="s">
        <v>1758</v>
      </c>
      <c r="D324" s="72" t="str">
        <f>IFERROR(VLOOKUP(A324,'[1]ST-QA-ZZ5'!$C$5:$M$299,11,0),"Inspection at production line")</f>
        <v>Inspection at production line</v>
      </c>
      <c r="F324" s="92" t="s">
        <v>1759</v>
      </c>
      <c r="G324" s="92" t="s">
        <v>1760</v>
      </c>
      <c r="H324" s="92" t="s">
        <v>1761</v>
      </c>
      <c r="I324" s="92" t="s">
        <v>106</v>
      </c>
      <c r="J324" s="92" t="s">
        <v>60</v>
      </c>
      <c r="K324" s="92" t="s">
        <v>685</v>
      </c>
    </row>
    <row r="325" spans="1:11" ht="13.8">
      <c r="A325" s="47" t="s">
        <v>1762</v>
      </c>
      <c r="B325" s="92" t="s">
        <v>397</v>
      </c>
      <c r="C325" s="92" t="s">
        <v>1763</v>
      </c>
      <c r="D325" s="72" t="str">
        <f>IFERROR(VLOOKUP(A325,'[1]ST-QA-ZZ5'!$C$5:$M$299,11,0),"Inspection at production line")</f>
        <v>Inspection at production line</v>
      </c>
      <c r="F325" s="92" t="s">
        <v>1764</v>
      </c>
      <c r="G325" s="92" t="s">
        <v>1554</v>
      </c>
      <c r="H325" s="92" t="s">
        <v>1765</v>
      </c>
      <c r="I325" s="92" t="s">
        <v>106</v>
      </c>
      <c r="J325" s="92" t="s">
        <v>60</v>
      </c>
      <c r="K325" s="92" t="s">
        <v>685</v>
      </c>
    </row>
    <row r="326" spans="1:11" ht="13.8">
      <c r="A326" s="47" t="s">
        <v>1766</v>
      </c>
      <c r="B326" s="92" t="s">
        <v>818</v>
      </c>
      <c r="C326" s="92" t="s">
        <v>1767</v>
      </c>
      <c r="D326" s="72" t="str">
        <f>IFERROR(VLOOKUP(A326,'[1]ST-QA-ZZ5'!$C$5:$M$299,11,0),"Inspection at production line")</f>
        <v>Inspection at production line</v>
      </c>
      <c r="F326" s="92" t="s">
        <v>1768</v>
      </c>
      <c r="G326" s="92" t="s">
        <v>1554</v>
      </c>
      <c r="H326" s="92" t="s">
        <v>1769</v>
      </c>
      <c r="I326" s="92" t="s">
        <v>106</v>
      </c>
      <c r="J326" s="92" t="s">
        <v>60</v>
      </c>
      <c r="K326" s="92" t="s">
        <v>685</v>
      </c>
    </row>
    <row r="327" spans="1:11" ht="13.8">
      <c r="A327" s="47" t="s">
        <v>1770</v>
      </c>
      <c r="B327" s="92" t="s">
        <v>1614</v>
      </c>
      <c r="C327" s="92" t="s">
        <v>1771</v>
      </c>
      <c r="D327" s="72" t="str">
        <f>IFERROR(VLOOKUP(A327,'[1]ST-QA-ZZ5'!$C$5:$M$299,11,0),"Inspection at production line")</f>
        <v>Inspection at production line</v>
      </c>
      <c r="F327" s="92"/>
      <c r="G327" s="92"/>
      <c r="H327" s="92"/>
      <c r="I327" s="92" t="s">
        <v>106</v>
      </c>
      <c r="J327" s="92" t="s">
        <v>71</v>
      </c>
      <c r="K327" s="92" t="s">
        <v>685</v>
      </c>
    </row>
    <row r="328" spans="1:11" ht="13.8">
      <c r="A328" s="47" t="s">
        <v>1772</v>
      </c>
      <c r="B328" s="92" t="s">
        <v>807</v>
      </c>
      <c r="C328" s="92" t="s">
        <v>1773</v>
      </c>
      <c r="D328" s="72" t="str">
        <f>IFERROR(VLOOKUP(A328,'[1]ST-QA-ZZ5'!$C$5:$M$299,11,0),"Inspection at production line")</f>
        <v>Inspection at production line</v>
      </c>
      <c r="F328" s="92" t="s">
        <v>1774</v>
      </c>
      <c r="G328" s="92" t="s">
        <v>1775</v>
      </c>
      <c r="H328" s="92" t="s">
        <v>1775</v>
      </c>
      <c r="I328" s="92" t="s">
        <v>312</v>
      </c>
      <c r="J328" s="92" t="s">
        <v>60</v>
      </c>
      <c r="K328" s="92" t="s">
        <v>685</v>
      </c>
    </row>
    <row r="329" spans="1:11" ht="13.8">
      <c r="A329" s="47" t="s">
        <v>1776</v>
      </c>
      <c r="B329" s="92" t="s">
        <v>813</v>
      </c>
      <c r="C329" s="92" t="s">
        <v>1777</v>
      </c>
      <c r="D329" s="72" t="str">
        <f>IFERROR(VLOOKUP(A329,'[1]ST-QA-ZZ5'!$C$5:$M$299,11,0),"Inspection at production line")</f>
        <v>Inspection at production line</v>
      </c>
      <c r="F329" s="92" t="s">
        <v>1778</v>
      </c>
      <c r="G329" s="92" t="s">
        <v>310</v>
      </c>
      <c r="H329" s="92" t="s">
        <v>311</v>
      </c>
      <c r="I329" s="92" t="s">
        <v>312</v>
      </c>
      <c r="J329" s="92" t="s">
        <v>60</v>
      </c>
      <c r="K329" s="92" t="s">
        <v>685</v>
      </c>
    </row>
    <row r="330" spans="1:11" ht="13.8">
      <c r="A330" s="47" t="s">
        <v>1779</v>
      </c>
      <c r="B330" s="92" t="s">
        <v>83</v>
      </c>
      <c r="C330" s="92" t="s">
        <v>1022</v>
      </c>
      <c r="D330" s="72" t="str">
        <f>IFERROR(VLOOKUP(A330,'[1]ST-QA-ZZ5'!$C$5:$M$299,11,0),"Inspection at production line")</f>
        <v>Inspection at production line</v>
      </c>
      <c r="F330" s="92" t="s">
        <v>1780</v>
      </c>
      <c r="G330" s="92" t="s">
        <v>1781</v>
      </c>
      <c r="H330" s="92" t="s">
        <v>1782</v>
      </c>
      <c r="I330" s="92" t="s">
        <v>312</v>
      </c>
      <c r="J330" s="92" t="s">
        <v>60</v>
      </c>
      <c r="K330" s="92" t="s">
        <v>685</v>
      </c>
    </row>
    <row r="331" spans="1:11" ht="13.8">
      <c r="A331" s="47" t="s">
        <v>1783</v>
      </c>
      <c r="B331" s="92" t="s">
        <v>865</v>
      </c>
      <c r="C331" s="92" t="s">
        <v>1095</v>
      </c>
      <c r="D331" s="72" t="str">
        <f>IFERROR(VLOOKUP(A331,'[1]ST-QA-ZZ5'!$C$5:$M$299,11,0),"Inspection at production line")</f>
        <v>Inspection at production line</v>
      </c>
      <c r="F331" s="92" t="s">
        <v>1784</v>
      </c>
      <c r="G331" s="92" t="s">
        <v>1513</v>
      </c>
      <c r="H331" s="92" t="s">
        <v>1785</v>
      </c>
      <c r="I331" s="92" t="s">
        <v>312</v>
      </c>
      <c r="J331" s="92" t="s">
        <v>60</v>
      </c>
      <c r="K331" s="92" t="s">
        <v>685</v>
      </c>
    </row>
    <row r="332" spans="1:11" ht="13.8">
      <c r="A332" s="47" t="s">
        <v>1786</v>
      </c>
      <c r="B332" s="92" t="s">
        <v>1050</v>
      </c>
      <c r="C332" s="92" t="s">
        <v>1050</v>
      </c>
      <c r="D332" s="72" t="str">
        <f>IFERROR(VLOOKUP(A332,'[1]ST-QA-ZZ5'!$C$5:$M$299,11,0),"Inspection at production line")</f>
        <v>Inspection at production line</v>
      </c>
      <c r="F332" s="92" t="s">
        <v>1787</v>
      </c>
      <c r="G332" s="92" t="s">
        <v>1513</v>
      </c>
      <c r="H332" s="92" t="s">
        <v>1788</v>
      </c>
      <c r="I332" s="92" t="s">
        <v>312</v>
      </c>
      <c r="J332" s="92" t="s">
        <v>60</v>
      </c>
      <c r="K332" s="92" t="s">
        <v>685</v>
      </c>
    </row>
    <row r="333" spans="1:11" ht="13.8">
      <c r="A333" s="47" t="s">
        <v>1789</v>
      </c>
      <c r="B333" s="92" t="s">
        <v>1257</v>
      </c>
      <c r="C333" s="92" t="s">
        <v>1790</v>
      </c>
      <c r="D333" s="72" t="str">
        <f>IFERROR(VLOOKUP(A333,'[1]ST-QA-ZZ5'!$C$5:$M$299,11,0),"Inspection at production line")</f>
        <v>Inspection at production line</v>
      </c>
      <c r="F333" s="92" t="s">
        <v>1791</v>
      </c>
      <c r="G333" s="92" t="s">
        <v>1513</v>
      </c>
      <c r="H333" s="92" t="s">
        <v>1792</v>
      </c>
      <c r="I333" s="92" t="s">
        <v>312</v>
      </c>
      <c r="J333" s="92" t="s">
        <v>60</v>
      </c>
      <c r="K333" s="92" t="s">
        <v>685</v>
      </c>
    </row>
    <row r="334" spans="1:11" ht="13.8">
      <c r="A334" s="47" t="s">
        <v>1793</v>
      </c>
      <c r="B334" s="92" t="s">
        <v>865</v>
      </c>
      <c r="C334" s="92" t="s">
        <v>1794</v>
      </c>
      <c r="D334" s="72" t="str">
        <f>IFERROR(VLOOKUP(A334,'[1]ST-QA-ZZ5'!$C$5:$M$299,11,0),"Inspection at production line")</f>
        <v>Inspection at production line</v>
      </c>
      <c r="F334" s="92" t="s">
        <v>1795</v>
      </c>
      <c r="G334" s="92" t="s">
        <v>75</v>
      </c>
      <c r="H334" s="92" t="s">
        <v>1796</v>
      </c>
      <c r="I334" s="92" t="s">
        <v>312</v>
      </c>
      <c r="J334" s="92" t="s">
        <v>60</v>
      </c>
      <c r="K334" s="92" t="s">
        <v>685</v>
      </c>
    </row>
    <row r="335" spans="1:11" ht="13.8">
      <c r="A335" s="47" t="s">
        <v>1797</v>
      </c>
      <c r="B335" s="92" t="s">
        <v>1167</v>
      </c>
      <c r="C335" s="92" t="s">
        <v>1798</v>
      </c>
      <c r="D335" s="72" t="str">
        <f>IFERROR(VLOOKUP(A335,'[1]ST-QA-ZZ5'!$C$5:$M$299,11,0),"Inspection at production line")</f>
        <v>Inspection at production line</v>
      </c>
      <c r="F335" s="92" t="s">
        <v>1799</v>
      </c>
      <c r="G335" s="92" t="s">
        <v>75</v>
      </c>
      <c r="H335" s="92" t="s">
        <v>1800</v>
      </c>
      <c r="I335" s="92" t="s">
        <v>312</v>
      </c>
      <c r="J335" s="92" t="s">
        <v>60</v>
      </c>
      <c r="K335" s="92" t="s">
        <v>685</v>
      </c>
    </row>
    <row r="336" spans="1:11" ht="13.8">
      <c r="A336" s="47" t="s">
        <v>1801</v>
      </c>
      <c r="B336" s="92" t="s">
        <v>1802</v>
      </c>
      <c r="C336" s="92" t="s">
        <v>1802</v>
      </c>
      <c r="D336" s="72" t="str">
        <f>IFERROR(VLOOKUP(A336,'[1]ST-QA-ZZ5'!$C$5:$M$299,11,0),"Inspection at production line")</f>
        <v>Inspection at production line</v>
      </c>
      <c r="F336" s="92" t="s">
        <v>1803</v>
      </c>
      <c r="G336" s="92" t="s">
        <v>75</v>
      </c>
      <c r="H336" s="92" t="s">
        <v>1804</v>
      </c>
      <c r="I336" s="92" t="s">
        <v>312</v>
      </c>
      <c r="J336" s="92" t="s">
        <v>60</v>
      </c>
      <c r="K336" s="92" t="s">
        <v>685</v>
      </c>
    </row>
    <row r="337" spans="1:11" ht="13.8">
      <c r="A337" s="47" t="s">
        <v>1805</v>
      </c>
      <c r="B337" s="92" t="s">
        <v>1806</v>
      </c>
      <c r="C337" s="92" t="s">
        <v>1807</v>
      </c>
      <c r="D337" s="72" t="str">
        <f>IFERROR(VLOOKUP(A337,'[1]ST-QA-ZZ5'!$C$5:$M$299,11,0),"Inspection at production line")</f>
        <v>Inspection at production line</v>
      </c>
      <c r="F337" s="92" t="s">
        <v>1808</v>
      </c>
      <c r="G337" s="92" t="s">
        <v>75</v>
      </c>
      <c r="H337" s="92" t="s">
        <v>1809</v>
      </c>
      <c r="I337" s="92" t="s">
        <v>312</v>
      </c>
      <c r="J337" s="92" t="s">
        <v>60</v>
      </c>
      <c r="K337" s="92" t="s">
        <v>685</v>
      </c>
    </row>
    <row r="338" spans="1:11" ht="13.8">
      <c r="A338" s="47" t="s">
        <v>1810</v>
      </c>
      <c r="B338" s="92" t="s">
        <v>1806</v>
      </c>
      <c r="C338" s="92" t="s">
        <v>1811</v>
      </c>
      <c r="D338" s="72" t="str">
        <f>IFERROR(VLOOKUP(A338,'[1]ST-QA-ZZ5'!$C$5:$M$299,11,0),"Inspection at production line")</f>
        <v>Inspection at production line</v>
      </c>
      <c r="F338" s="92" t="s">
        <v>1812</v>
      </c>
      <c r="G338" s="92" t="s">
        <v>1543</v>
      </c>
      <c r="H338" s="92" t="s">
        <v>1813</v>
      </c>
      <c r="I338" s="92" t="s">
        <v>312</v>
      </c>
      <c r="J338" s="92" t="s">
        <v>60</v>
      </c>
      <c r="K338" s="92" t="s">
        <v>685</v>
      </c>
    </row>
    <row r="339" spans="1:11" ht="13.8">
      <c r="A339" s="47" t="s">
        <v>1814</v>
      </c>
      <c r="B339" s="92" t="s">
        <v>1806</v>
      </c>
      <c r="C339" s="94" t="s">
        <v>1815</v>
      </c>
      <c r="D339" s="72" t="str">
        <f>IFERROR(VLOOKUP(A339,'[1]ST-QA-ZZ5'!$C$5:$M$299,11,0),"Inspection at production line")</f>
        <v>Inspection at production line</v>
      </c>
      <c r="F339" s="92" t="s">
        <v>1816</v>
      </c>
      <c r="G339" s="92" t="s">
        <v>75</v>
      </c>
      <c r="H339" s="92" t="s">
        <v>1817</v>
      </c>
      <c r="I339" s="92" t="s">
        <v>312</v>
      </c>
      <c r="J339" s="92" t="s">
        <v>60</v>
      </c>
      <c r="K339" s="92" t="s">
        <v>685</v>
      </c>
    </row>
    <row r="340" spans="1:11" ht="27.6">
      <c r="A340" s="47" t="s">
        <v>1818</v>
      </c>
      <c r="B340" s="92" t="s">
        <v>1806</v>
      </c>
      <c r="C340" s="94" t="s">
        <v>1819</v>
      </c>
      <c r="D340" s="72" t="str">
        <f>IFERROR(VLOOKUP(A340,'[1]ST-QA-ZZ5'!$C$5:$M$299,11,0),"Inspection at production line")</f>
        <v>Inspection at production line</v>
      </c>
      <c r="F340" s="92" t="s">
        <v>1820</v>
      </c>
      <c r="G340" s="92" t="s">
        <v>75</v>
      </c>
      <c r="H340" s="92" t="s">
        <v>1821</v>
      </c>
      <c r="I340" s="92" t="s">
        <v>312</v>
      </c>
      <c r="J340" s="92" t="s">
        <v>60</v>
      </c>
      <c r="K340" s="92" t="s">
        <v>685</v>
      </c>
    </row>
    <row r="341" spans="1:11" ht="13.8">
      <c r="A341" s="47" t="s">
        <v>1822</v>
      </c>
      <c r="B341" s="92" t="s">
        <v>1823</v>
      </c>
      <c r="C341" s="92" t="s">
        <v>1824</v>
      </c>
      <c r="D341" s="72" t="str">
        <f>IFERROR(VLOOKUP(A341,'[1]ST-QA-ZZ5'!$C$5:$M$299,11,0),"Inspection at production line")</f>
        <v>Inspection at production line</v>
      </c>
      <c r="F341" s="92" t="s">
        <v>1825</v>
      </c>
      <c r="G341" s="92" t="s">
        <v>75</v>
      </c>
      <c r="H341" s="92" t="s">
        <v>1826</v>
      </c>
      <c r="I341" s="92" t="s">
        <v>312</v>
      </c>
      <c r="J341" s="92" t="s">
        <v>60</v>
      </c>
      <c r="K341" s="92" t="s">
        <v>685</v>
      </c>
    </row>
    <row r="342" spans="1:11" ht="13.8">
      <c r="A342" s="47" t="s">
        <v>1827</v>
      </c>
      <c r="B342" s="92" t="s">
        <v>1828</v>
      </c>
      <c r="C342" s="92" t="s">
        <v>1829</v>
      </c>
      <c r="D342" s="72" t="str">
        <f>IFERROR(VLOOKUP(A342,'[1]ST-QA-ZZ5'!$C$5:$M$299,11,0),"Inspection at production line")</f>
        <v>Inspection at production line</v>
      </c>
      <c r="F342" s="92" t="s">
        <v>1830</v>
      </c>
      <c r="G342" s="92" t="s">
        <v>75</v>
      </c>
      <c r="H342" s="92" t="s">
        <v>1831</v>
      </c>
      <c r="I342" s="92" t="s">
        <v>312</v>
      </c>
      <c r="J342" s="92" t="s">
        <v>60</v>
      </c>
      <c r="K342" s="92" t="s">
        <v>685</v>
      </c>
    </row>
    <row r="343" spans="1:11" ht="13.8">
      <c r="A343" s="47" t="s">
        <v>1832</v>
      </c>
      <c r="B343" s="92" t="s">
        <v>1833</v>
      </c>
      <c r="C343" s="92" t="s">
        <v>1834</v>
      </c>
      <c r="D343" s="72" t="str">
        <f>IFERROR(VLOOKUP(A343,'[1]ST-QA-ZZ5'!$C$5:$M$299,11,0),"Inspection at production line")</f>
        <v>Inspection at production line</v>
      </c>
      <c r="F343" s="92" t="s">
        <v>1835</v>
      </c>
      <c r="G343" s="92" t="s">
        <v>75</v>
      </c>
      <c r="H343" s="92" t="s">
        <v>1836</v>
      </c>
      <c r="I343" s="92" t="s">
        <v>312</v>
      </c>
      <c r="J343" s="92" t="s">
        <v>60</v>
      </c>
      <c r="K343" s="92" t="s">
        <v>685</v>
      </c>
    </row>
    <row r="344" spans="1:11" ht="13.8">
      <c r="A344" s="47" t="s">
        <v>1837</v>
      </c>
      <c r="B344" s="92" t="s">
        <v>1838</v>
      </c>
      <c r="C344" s="92" t="s">
        <v>1839</v>
      </c>
      <c r="D344" s="72" t="str">
        <f>IFERROR(VLOOKUP(A344,'[1]ST-QA-ZZ5'!$C$5:$M$299,11,0),"Inspection at production line")</f>
        <v>Inspection at production line</v>
      </c>
      <c r="F344" s="92" t="s">
        <v>1840</v>
      </c>
      <c r="G344" s="92" t="s">
        <v>75</v>
      </c>
      <c r="H344" s="92" t="s">
        <v>1841</v>
      </c>
      <c r="I344" s="92" t="s">
        <v>312</v>
      </c>
      <c r="J344" s="92" t="s">
        <v>60</v>
      </c>
      <c r="K344" s="92" t="s">
        <v>685</v>
      </c>
    </row>
    <row r="345" spans="1:11" ht="13.8">
      <c r="A345" s="47" t="s">
        <v>1842</v>
      </c>
      <c r="B345" s="92" t="s">
        <v>1843</v>
      </c>
      <c r="C345" s="92" t="s">
        <v>1844</v>
      </c>
      <c r="D345" s="72" t="str">
        <f>IFERROR(VLOOKUP(A345,'[1]ST-QA-ZZ5'!$C$5:$M$299,11,0),"Inspection at production line")</f>
        <v>Inspection at production line</v>
      </c>
      <c r="F345" s="92" t="s">
        <v>1845</v>
      </c>
      <c r="G345" s="92" t="s">
        <v>75</v>
      </c>
      <c r="H345" s="92" t="s">
        <v>1846</v>
      </c>
      <c r="I345" s="92" t="s">
        <v>312</v>
      </c>
      <c r="J345" s="92" t="s">
        <v>60</v>
      </c>
      <c r="K345" s="92" t="s">
        <v>685</v>
      </c>
    </row>
    <row r="346" spans="1:11" ht="13.8">
      <c r="A346" s="47" t="s">
        <v>1847</v>
      </c>
      <c r="B346" s="92" t="s">
        <v>1848</v>
      </c>
      <c r="C346" s="92" t="s">
        <v>1849</v>
      </c>
      <c r="D346" s="72" t="str">
        <f>IFERROR(VLOOKUP(A346,'[1]ST-QA-ZZ5'!$C$5:$M$299,11,0),"Inspection at production line")</f>
        <v>Inspection at production line</v>
      </c>
      <c r="F346" s="92" t="s">
        <v>1850</v>
      </c>
      <c r="G346" s="92" t="s">
        <v>75</v>
      </c>
      <c r="H346" s="92" t="s">
        <v>1851</v>
      </c>
      <c r="I346" s="92" t="s">
        <v>312</v>
      </c>
      <c r="J346" s="92" t="s">
        <v>60</v>
      </c>
      <c r="K346" s="92" t="s">
        <v>685</v>
      </c>
    </row>
    <row r="347" spans="1:11" ht="13.8">
      <c r="A347" s="47" t="s">
        <v>1852</v>
      </c>
      <c r="B347" s="92" t="s">
        <v>1853</v>
      </c>
      <c r="C347" s="92" t="s">
        <v>1853</v>
      </c>
      <c r="D347" s="72" t="str">
        <f>IFERROR(VLOOKUP(A347,'[1]ST-QA-ZZ5'!$C$5:$M$299,11,0),"Inspection at production line")</f>
        <v>Inspection at production line</v>
      </c>
      <c r="F347" s="92" t="s">
        <v>1854</v>
      </c>
      <c r="G347" s="92" t="s">
        <v>75</v>
      </c>
      <c r="H347" s="92" t="s">
        <v>1855</v>
      </c>
      <c r="I347" s="92" t="s">
        <v>312</v>
      </c>
      <c r="J347" s="92" t="s">
        <v>60</v>
      </c>
      <c r="K347" s="92" t="s">
        <v>685</v>
      </c>
    </row>
    <row r="348" spans="1:11" ht="13.8">
      <c r="A348" s="47" t="s">
        <v>1856</v>
      </c>
      <c r="B348" s="92" t="s">
        <v>1857</v>
      </c>
      <c r="C348" s="92" t="s">
        <v>1857</v>
      </c>
      <c r="D348" s="72" t="str">
        <f>IFERROR(VLOOKUP(A348,'[1]ST-QA-ZZ5'!$C$5:$M$299,11,0),"Inspection at production line")</f>
        <v>Inspection at production line</v>
      </c>
      <c r="F348" s="92" t="s">
        <v>1858</v>
      </c>
      <c r="G348" s="92" t="s">
        <v>75</v>
      </c>
      <c r="H348" s="92" t="s">
        <v>1859</v>
      </c>
      <c r="I348" s="92" t="s">
        <v>312</v>
      </c>
      <c r="J348" s="92" t="s">
        <v>60</v>
      </c>
      <c r="K348" s="92" t="s">
        <v>685</v>
      </c>
    </row>
    <row r="349" spans="1:11" ht="13.8">
      <c r="A349" s="47" t="s">
        <v>1860</v>
      </c>
      <c r="B349" s="92" t="s">
        <v>1861</v>
      </c>
      <c r="C349" s="92" t="s">
        <v>1862</v>
      </c>
      <c r="D349" s="72" t="str">
        <f>IFERROR(VLOOKUP(A349,'[1]ST-QA-ZZ5'!$C$5:$M$299,11,0),"Inspection at production line")</f>
        <v>Inspection at production line</v>
      </c>
      <c r="F349" s="92" t="s">
        <v>1863</v>
      </c>
      <c r="G349" s="92" t="s">
        <v>75</v>
      </c>
      <c r="H349" s="92" t="s">
        <v>1864</v>
      </c>
      <c r="I349" s="92" t="s">
        <v>312</v>
      </c>
      <c r="J349" s="92" t="s">
        <v>60</v>
      </c>
      <c r="K349" s="92" t="s">
        <v>685</v>
      </c>
    </row>
    <row r="350" spans="1:11" ht="13.8">
      <c r="A350" s="47" t="s">
        <v>1865</v>
      </c>
      <c r="B350" s="92" t="s">
        <v>1866</v>
      </c>
      <c r="C350" s="92" t="s">
        <v>1866</v>
      </c>
      <c r="D350" s="72" t="str">
        <f>IFERROR(VLOOKUP(A350,'[1]ST-QA-ZZ5'!$C$5:$M$299,11,0),"Inspection at production line")</f>
        <v>Inspection at production line</v>
      </c>
      <c r="F350" s="92" t="s">
        <v>1867</v>
      </c>
      <c r="G350" s="92" t="s">
        <v>1554</v>
      </c>
      <c r="H350" s="92" t="s">
        <v>1868</v>
      </c>
      <c r="I350" s="92" t="s">
        <v>312</v>
      </c>
      <c r="J350" s="92" t="s">
        <v>60</v>
      </c>
      <c r="K350" s="92" t="s">
        <v>685</v>
      </c>
    </row>
    <row r="351" spans="1:11" ht="13.8">
      <c r="A351" s="47" t="s">
        <v>1869</v>
      </c>
      <c r="B351" s="92" t="s">
        <v>1870</v>
      </c>
      <c r="C351" s="92" t="s">
        <v>1870</v>
      </c>
      <c r="D351" s="72" t="str">
        <f>IFERROR(VLOOKUP(A351,'[1]ST-QA-ZZ5'!$C$5:$M$299,11,0),"Inspection at production line")</f>
        <v>Inspection at production line</v>
      </c>
      <c r="F351" s="92" t="s">
        <v>1871</v>
      </c>
      <c r="G351" s="92" t="s">
        <v>206</v>
      </c>
      <c r="H351" s="92" t="s">
        <v>206</v>
      </c>
      <c r="I351" s="92" t="s">
        <v>312</v>
      </c>
      <c r="J351" s="92" t="s">
        <v>60</v>
      </c>
      <c r="K351" s="92" t="s">
        <v>685</v>
      </c>
    </row>
    <row r="352" spans="1:11" ht="13.8">
      <c r="A352" s="47" t="s">
        <v>1872</v>
      </c>
      <c r="B352" s="92" t="s">
        <v>1873</v>
      </c>
      <c r="C352" s="92" t="s">
        <v>1873</v>
      </c>
      <c r="D352" s="72" t="str">
        <f>IFERROR(VLOOKUP(A352,'[1]ST-QA-ZZ5'!$C$5:$M$299,11,0),"Inspection at production line")</f>
        <v>Inspection at production line</v>
      </c>
      <c r="F352" s="92" t="s">
        <v>1874</v>
      </c>
      <c r="G352" s="92" t="s">
        <v>1875</v>
      </c>
      <c r="H352" s="92" t="s">
        <v>1876</v>
      </c>
      <c r="I352" s="92" t="s">
        <v>312</v>
      </c>
      <c r="J352" s="92" t="s">
        <v>60</v>
      </c>
      <c r="K352" s="92" t="s">
        <v>685</v>
      </c>
    </row>
    <row r="353" spans="1:11" ht="13.8">
      <c r="A353" s="47" t="s">
        <v>1877</v>
      </c>
      <c r="B353" s="92" t="s">
        <v>1878</v>
      </c>
      <c r="C353" s="92" t="s">
        <v>1878</v>
      </c>
      <c r="D353" s="72" t="str">
        <f>IFERROR(VLOOKUP(A353,'[1]ST-QA-ZZ5'!$C$5:$M$299,11,0),"Inspection at production line")</f>
        <v>Inspection at production line</v>
      </c>
      <c r="F353" s="92" t="s">
        <v>1879</v>
      </c>
      <c r="G353" s="92" t="s">
        <v>1880</v>
      </c>
      <c r="H353" s="92" t="s">
        <v>1881</v>
      </c>
      <c r="I353" s="92" t="s">
        <v>312</v>
      </c>
      <c r="J353" s="92" t="s">
        <v>60</v>
      </c>
      <c r="K353" s="92" t="s">
        <v>685</v>
      </c>
    </row>
    <row r="354" spans="1:11" ht="13.8">
      <c r="A354" s="47" t="s">
        <v>1882</v>
      </c>
      <c r="B354" s="92" t="s">
        <v>1883</v>
      </c>
      <c r="C354" s="92" t="s">
        <v>1883</v>
      </c>
      <c r="D354" s="72" t="str">
        <f>IFERROR(VLOOKUP(A354,'[1]ST-QA-ZZ5'!$C$5:$M$299,11,0),"Inspection at production line")</f>
        <v>Inspection at production line</v>
      </c>
      <c r="F354" s="92" t="s">
        <v>1884</v>
      </c>
      <c r="G354" s="92" t="s">
        <v>1885</v>
      </c>
      <c r="H354" s="92" t="s">
        <v>1886</v>
      </c>
      <c r="I354" s="92" t="s">
        <v>312</v>
      </c>
      <c r="J354" s="92" t="s">
        <v>60</v>
      </c>
      <c r="K354" s="92" t="s">
        <v>685</v>
      </c>
    </row>
    <row r="355" spans="1:11" ht="13.8">
      <c r="A355" s="47" t="s">
        <v>1887</v>
      </c>
      <c r="B355" s="92" t="s">
        <v>1888</v>
      </c>
      <c r="C355" s="92" t="s">
        <v>1889</v>
      </c>
      <c r="D355" s="72" t="str">
        <f>IFERROR(VLOOKUP(A355,'[1]ST-QA-ZZ5'!$C$5:$M$299,11,0),"Inspection at production line")</f>
        <v>Inspection at production line</v>
      </c>
      <c r="F355" s="92" t="s">
        <v>1890</v>
      </c>
      <c r="G355" s="92" t="s">
        <v>1885</v>
      </c>
      <c r="H355" s="92" t="s">
        <v>1891</v>
      </c>
      <c r="I355" s="92" t="s">
        <v>312</v>
      </c>
      <c r="J355" s="92" t="s">
        <v>60</v>
      </c>
      <c r="K355" s="92" t="s">
        <v>685</v>
      </c>
    </row>
    <row r="356" spans="1:11" ht="13.8">
      <c r="A356" s="47" t="s">
        <v>1892</v>
      </c>
      <c r="B356" s="92" t="s">
        <v>1893</v>
      </c>
      <c r="C356" s="92" t="s">
        <v>1894</v>
      </c>
      <c r="D356" s="72" t="str">
        <f>IFERROR(VLOOKUP(A356,'[1]ST-QA-ZZ5'!$C$5:$M$299,11,0),"Inspection at production line")</f>
        <v>Inspection at production line</v>
      </c>
      <c r="F356" s="92" t="s">
        <v>1895</v>
      </c>
      <c r="G356" s="92" t="s">
        <v>1896</v>
      </c>
      <c r="H356" s="92" t="s">
        <v>1897</v>
      </c>
      <c r="I356" s="92" t="s">
        <v>312</v>
      </c>
      <c r="J356" s="92" t="s">
        <v>60</v>
      </c>
      <c r="K356" s="92" t="s">
        <v>685</v>
      </c>
    </row>
    <row r="357" spans="1:11" ht="13.8">
      <c r="A357" s="47" t="s">
        <v>1898</v>
      </c>
      <c r="B357" s="92" t="s">
        <v>1899</v>
      </c>
      <c r="C357" s="92" t="s">
        <v>1900</v>
      </c>
      <c r="D357" s="72" t="str">
        <f>IFERROR(VLOOKUP(A357,'[1]ST-QA-ZZ5'!$C$5:$M$299,11,0),"Inspection at production line")</f>
        <v>Inspection at production line</v>
      </c>
      <c r="F357" s="92" t="s">
        <v>1901</v>
      </c>
      <c r="G357" s="92" t="s">
        <v>1592</v>
      </c>
      <c r="H357" s="92" t="s">
        <v>1902</v>
      </c>
      <c r="I357" s="92" t="s">
        <v>312</v>
      </c>
      <c r="J357" s="92" t="s">
        <v>60</v>
      </c>
      <c r="K357" s="92" t="s">
        <v>685</v>
      </c>
    </row>
    <row r="358" spans="1:11" ht="13.8">
      <c r="A358" s="47" t="s">
        <v>1903</v>
      </c>
      <c r="B358" s="92" t="s">
        <v>1904</v>
      </c>
      <c r="C358" s="92" t="s">
        <v>1905</v>
      </c>
      <c r="D358" s="72" t="str">
        <f>IFERROR(VLOOKUP(A358,'[1]ST-QA-ZZ5'!$C$5:$M$299,11,0),"Inspection at production line")</f>
        <v>Inspection at production line</v>
      </c>
      <c r="F358" s="92" t="s">
        <v>1906</v>
      </c>
      <c r="G358" s="92" t="s">
        <v>1896</v>
      </c>
      <c r="H358" s="92" t="s">
        <v>1907</v>
      </c>
      <c r="I358" s="92" t="s">
        <v>312</v>
      </c>
      <c r="J358" s="92" t="s">
        <v>60</v>
      </c>
      <c r="K358" s="92" t="s">
        <v>685</v>
      </c>
    </row>
    <row r="359" spans="1:11" ht="13.8">
      <c r="A359" s="47" t="s">
        <v>1908</v>
      </c>
      <c r="B359" s="92" t="s">
        <v>1909</v>
      </c>
      <c r="C359" s="92" t="s">
        <v>1910</v>
      </c>
      <c r="D359" s="72" t="str">
        <f>IFERROR(VLOOKUP(A359,'[1]ST-QA-ZZ5'!$C$5:$M$299,11,0),"Inspection at production line")</f>
        <v>Inspection at production line</v>
      </c>
      <c r="F359" s="92" t="s">
        <v>1911</v>
      </c>
      <c r="G359" s="92" t="s">
        <v>1885</v>
      </c>
      <c r="H359" s="92" t="s">
        <v>1912</v>
      </c>
      <c r="I359" s="92" t="s">
        <v>312</v>
      </c>
      <c r="J359" s="92" t="s">
        <v>60</v>
      </c>
      <c r="K359" s="92" t="s">
        <v>685</v>
      </c>
    </row>
    <row r="360" spans="1:11" ht="13.8">
      <c r="A360" s="47" t="s">
        <v>1913</v>
      </c>
      <c r="B360" s="92" t="s">
        <v>1909</v>
      </c>
      <c r="C360" s="92" t="s">
        <v>1914</v>
      </c>
      <c r="D360" s="72" t="str">
        <f>IFERROR(VLOOKUP(A360,'[1]ST-QA-ZZ5'!$C$5:$M$299,11,0),"Inspection at production line")</f>
        <v>Inspection at production line</v>
      </c>
      <c r="F360" s="92" t="s">
        <v>1915</v>
      </c>
      <c r="G360" s="92" t="s">
        <v>1916</v>
      </c>
      <c r="H360" s="92" t="s">
        <v>1917</v>
      </c>
      <c r="I360" s="92" t="s">
        <v>312</v>
      </c>
      <c r="J360" s="92" t="s">
        <v>60</v>
      </c>
      <c r="K360" s="92" t="s">
        <v>685</v>
      </c>
    </row>
    <row r="361" spans="1:11" ht="13.8">
      <c r="A361" s="47" t="s">
        <v>1918</v>
      </c>
      <c r="B361" s="92" t="s">
        <v>1208</v>
      </c>
      <c r="C361" s="92" t="s">
        <v>1919</v>
      </c>
      <c r="D361" s="72" t="str">
        <f>IFERROR(VLOOKUP(A361,'[1]ST-QA-ZZ5'!$C$5:$M$299,11,0),"Inspection at production line")</f>
        <v>Inspection at production line</v>
      </c>
      <c r="F361" s="92" t="s">
        <v>1920</v>
      </c>
      <c r="G361" s="92" t="s">
        <v>1916</v>
      </c>
      <c r="H361" s="92" t="s">
        <v>1921</v>
      </c>
      <c r="I361" s="92" t="s">
        <v>312</v>
      </c>
      <c r="J361" s="92" t="s">
        <v>60</v>
      </c>
      <c r="K361" s="92" t="s">
        <v>685</v>
      </c>
    </row>
    <row r="362" spans="1:11" ht="13.8">
      <c r="A362" s="47" t="s">
        <v>1922</v>
      </c>
      <c r="B362" s="92" t="s">
        <v>1923</v>
      </c>
      <c r="C362" s="92" t="s">
        <v>1923</v>
      </c>
      <c r="D362" s="72" t="str">
        <f>IFERROR(VLOOKUP(A362,'[1]ST-QA-ZZ5'!$C$5:$M$299,11,0),"Inspection at production line")</f>
        <v>Inspection at production line</v>
      </c>
      <c r="F362" s="92" t="s">
        <v>1924</v>
      </c>
      <c r="G362" s="92" t="s">
        <v>1916</v>
      </c>
      <c r="H362" s="92" t="s">
        <v>1925</v>
      </c>
      <c r="I362" s="92" t="s">
        <v>312</v>
      </c>
      <c r="J362" s="92" t="s">
        <v>60</v>
      </c>
      <c r="K362" s="92" t="s">
        <v>685</v>
      </c>
    </row>
    <row r="363" spans="1:11" ht="13.8">
      <c r="A363" s="47" t="s">
        <v>1926</v>
      </c>
      <c r="B363" s="92" t="s">
        <v>1927</v>
      </c>
      <c r="C363" s="92" t="s">
        <v>1927</v>
      </c>
      <c r="D363" s="72" t="str">
        <f>IFERROR(VLOOKUP(A363,'[1]ST-QA-ZZ5'!$C$5:$M$299,11,0),"Inspection at production line")</f>
        <v>Inspection at production line</v>
      </c>
      <c r="F363" s="92" t="s">
        <v>1928</v>
      </c>
      <c r="G363" s="92" t="s">
        <v>90</v>
      </c>
      <c r="H363" s="92" t="s">
        <v>1929</v>
      </c>
      <c r="I363" s="92" t="s">
        <v>312</v>
      </c>
      <c r="J363" s="92" t="s">
        <v>60</v>
      </c>
      <c r="K363" s="92" t="s">
        <v>685</v>
      </c>
    </row>
    <row r="364" spans="1:11" ht="13.8">
      <c r="A364" s="47" t="s">
        <v>1930</v>
      </c>
      <c r="B364" s="92" t="s">
        <v>1931</v>
      </c>
      <c r="C364" s="92" t="s">
        <v>1932</v>
      </c>
      <c r="D364" s="72" t="str">
        <f>IFERROR(VLOOKUP(A364,'[1]ST-QA-ZZ5'!$C$5:$M$299,11,0),"Inspection at production line")</f>
        <v>Inspection at production line</v>
      </c>
      <c r="F364" s="92" t="s">
        <v>1933</v>
      </c>
      <c r="G364" s="92" t="s">
        <v>90</v>
      </c>
      <c r="H364" s="92" t="s">
        <v>1934</v>
      </c>
      <c r="I364" s="92" t="s">
        <v>312</v>
      </c>
      <c r="J364" s="92" t="s">
        <v>60</v>
      </c>
      <c r="K364" s="92" t="s">
        <v>685</v>
      </c>
    </row>
    <row r="365" spans="1:11" ht="13.8">
      <c r="A365" s="47" t="s">
        <v>1935</v>
      </c>
      <c r="B365" s="92" t="s">
        <v>1936</v>
      </c>
      <c r="C365" s="92" t="s">
        <v>1936</v>
      </c>
      <c r="D365" s="72" t="str">
        <f>IFERROR(VLOOKUP(A365,'[1]ST-QA-ZZ5'!$C$5:$M$299,11,0),"Inspection at production line")</f>
        <v>Inspection at production line</v>
      </c>
      <c r="F365" s="92" t="s">
        <v>1937</v>
      </c>
      <c r="G365" s="92" t="s">
        <v>1669</v>
      </c>
      <c r="H365" s="92" t="s">
        <v>1938</v>
      </c>
      <c r="I365" s="92" t="s">
        <v>312</v>
      </c>
      <c r="J365" s="92" t="s">
        <v>60</v>
      </c>
      <c r="K365" s="92" t="s">
        <v>685</v>
      </c>
    </row>
    <row r="366" spans="1:11" ht="13.8">
      <c r="A366" s="47" t="s">
        <v>1939</v>
      </c>
      <c r="B366" s="92" t="s">
        <v>1940</v>
      </c>
      <c r="C366" s="92" t="s">
        <v>1941</v>
      </c>
      <c r="D366" s="72" t="str">
        <f>IFERROR(VLOOKUP(A366,'[1]ST-QA-ZZ5'!$C$5:$M$299,11,0),"Inspection at production line")</f>
        <v>Inspection at production line</v>
      </c>
      <c r="F366" s="92" t="s">
        <v>1942</v>
      </c>
      <c r="G366" s="92" t="s">
        <v>1943</v>
      </c>
      <c r="H366" s="92" t="s">
        <v>1944</v>
      </c>
      <c r="I366" s="92" t="s">
        <v>312</v>
      </c>
      <c r="J366" s="92" t="s">
        <v>60</v>
      </c>
      <c r="K366" s="92" t="s">
        <v>685</v>
      </c>
    </row>
    <row r="367" spans="1:11" ht="13.8">
      <c r="A367" s="47" t="s">
        <v>1945</v>
      </c>
      <c r="B367" s="92" t="s">
        <v>1946</v>
      </c>
      <c r="C367" s="92" t="s">
        <v>1947</v>
      </c>
      <c r="D367" s="72" t="str">
        <f>IFERROR(VLOOKUP(A367,'[1]ST-QA-ZZ5'!$C$5:$M$299,11,0),"Inspection at production line")</f>
        <v>Inspection at production line</v>
      </c>
      <c r="F367" s="92" t="s">
        <v>1948</v>
      </c>
      <c r="G367" s="92" t="s">
        <v>1949</v>
      </c>
      <c r="H367" s="92" t="s">
        <v>1949</v>
      </c>
      <c r="I367" s="92" t="s">
        <v>312</v>
      </c>
      <c r="J367" s="92" t="s">
        <v>60</v>
      </c>
      <c r="K367" s="92" t="s">
        <v>685</v>
      </c>
    </row>
    <row r="368" spans="1:11" ht="13.8">
      <c r="A368" s="47" t="s">
        <v>1950</v>
      </c>
      <c r="B368" s="92" t="s">
        <v>1951</v>
      </c>
      <c r="C368" s="92" t="s">
        <v>1952</v>
      </c>
      <c r="D368" s="72" t="str">
        <f>IFERROR(VLOOKUP(A368,'[1]ST-QA-ZZ5'!$C$5:$M$299,11,0),"Inspection at production line")</f>
        <v>Inspection at production line</v>
      </c>
      <c r="F368" s="92" t="s">
        <v>1953</v>
      </c>
      <c r="G368" s="92" t="s">
        <v>1954</v>
      </c>
      <c r="H368" s="92" t="s">
        <v>1955</v>
      </c>
      <c r="I368" s="92" t="s">
        <v>312</v>
      </c>
      <c r="J368" s="92" t="s">
        <v>60</v>
      </c>
      <c r="K368" s="92" t="s">
        <v>685</v>
      </c>
    </row>
    <row r="369" spans="1:11" ht="13.8">
      <c r="A369" s="47" t="s">
        <v>1956</v>
      </c>
      <c r="B369" s="92" t="s">
        <v>1957</v>
      </c>
      <c r="C369" s="92" t="s">
        <v>1957</v>
      </c>
      <c r="D369" s="72" t="str">
        <f>IFERROR(VLOOKUP(A369,'[1]ST-QA-ZZ5'!$C$5:$M$299,11,0),"Inspection at production line")</f>
        <v>Inspection at production line</v>
      </c>
      <c r="F369" s="92" t="s">
        <v>1958</v>
      </c>
      <c r="G369" s="92" t="s">
        <v>1959</v>
      </c>
      <c r="H369" s="92" t="s">
        <v>1959</v>
      </c>
      <c r="I369" s="92" t="s">
        <v>312</v>
      </c>
      <c r="J369" s="92" t="s">
        <v>60</v>
      </c>
      <c r="K369" s="92" t="s">
        <v>685</v>
      </c>
    </row>
    <row r="370" spans="1:11" ht="13.8">
      <c r="A370" s="47" t="s">
        <v>1960</v>
      </c>
      <c r="B370" s="92" t="s">
        <v>1961</v>
      </c>
      <c r="C370" s="92" t="s">
        <v>1962</v>
      </c>
      <c r="D370" s="72" t="str">
        <f>IFERROR(VLOOKUP(A370,'[1]ST-QA-ZZ5'!$C$5:$M$299,11,0),"Inspection at production line")</f>
        <v>Inspection at production line</v>
      </c>
      <c r="F370" s="92" t="s">
        <v>1963</v>
      </c>
      <c r="G370" s="92" t="s">
        <v>1964</v>
      </c>
      <c r="H370" s="92" t="s">
        <v>1964</v>
      </c>
      <c r="I370" s="92" t="s">
        <v>312</v>
      </c>
      <c r="J370" s="92" t="s">
        <v>60</v>
      </c>
      <c r="K370" s="92" t="s">
        <v>685</v>
      </c>
    </row>
    <row r="371" spans="1:11" ht="13.8">
      <c r="A371" s="47" t="s">
        <v>1965</v>
      </c>
      <c r="B371" s="92" t="s">
        <v>1966</v>
      </c>
      <c r="C371" s="92" t="s">
        <v>1966</v>
      </c>
      <c r="D371" s="72" t="str">
        <f>IFERROR(VLOOKUP(A371,'[1]ST-QA-ZZ5'!$C$5:$M$299,11,0),"Inspection at production line")</f>
        <v>Inspection at production line</v>
      </c>
      <c r="F371" s="92" t="s">
        <v>1967</v>
      </c>
      <c r="G371" s="92" t="s">
        <v>1968</v>
      </c>
      <c r="H371" s="92" t="s">
        <v>1969</v>
      </c>
      <c r="I371" s="92" t="s">
        <v>312</v>
      </c>
      <c r="J371" s="92" t="s">
        <v>60</v>
      </c>
      <c r="K371" s="92" t="s">
        <v>685</v>
      </c>
    </row>
    <row r="372" spans="1:11" ht="13.8">
      <c r="A372" s="47" t="s">
        <v>1970</v>
      </c>
      <c r="B372" s="92" t="s">
        <v>1212</v>
      </c>
      <c r="C372" s="92" t="s">
        <v>1971</v>
      </c>
      <c r="D372" s="72" t="str">
        <f>IFERROR(VLOOKUP(A372,'[1]ST-QA-ZZ5'!$C$5:$M$299,11,0),"Inspection at production line")</f>
        <v>Inspection at production line</v>
      </c>
      <c r="F372" s="92" t="s">
        <v>715</v>
      </c>
      <c r="G372" s="92" t="s">
        <v>317</v>
      </c>
      <c r="H372" s="92" t="s">
        <v>317</v>
      </c>
      <c r="I372" s="92" t="s">
        <v>312</v>
      </c>
      <c r="J372" s="92" t="s">
        <v>60</v>
      </c>
      <c r="K372" s="92" t="s">
        <v>685</v>
      </c>
    </row>
    <row r="373" spans="1:11" ht="13.8">
      <c r="A373" s="47" t="s">
        <v>1972</v>
      </c>
      <c r="B373" s="92" t="s">
        <v>1212</v>
      </c>
      <c r="C373" s="92" t="s">
        <v>1973</v>
      </c>
      <c r="D373" s="72" t="str">
        <f>IFERROR(VLOOKUP(A373,'[1]ST-QA-ZZ5'!$C$5:$M$299,11,0),"Inspection at production line")</f>
        <v>Inspection at production line</v>
      </c>
      <c r="F373" s="92" t="s">
        <v>1974</v>
      </c>
      <c r="G373" s="92" t="s">
        <v>1975</v>
      </c>
      <c r="H373" s="92" t="s">
        <v>1976</v>
      </c>
      <c r="I373" s="92" t="s">
        <v>312</v>
      </c>
      <c r="J373" s="92" t="s">
        <v>60</v>
      </c>
      <c r="K373" s="92" t="s">
        <v>685</v>
      </c>
    </row>
    <row r="374" spans="1:11" ht="13.8">
      <c r="A374" s="47" t="s">
        <v>1977</v>
      </c>
      <c r="B374" s="92" t="s">
        <v>1212</v>
      </c>
      <c r="C374" s="92" t="s">
        <v>1978</v>
      </c>
      <c r="D374" s="72" t="str">
        <f>IFERROR(VLOOKUP(A374,'[1]ST-QA-ZZ5'!$C$5:$M$299,11,0),"Inspection at production line")</f>
        <v>Inspection at production line</v>
      </c>
      <c r="F374" s="92" t="s">
        <v>1979</v>
      </c>
      <c r="G374" s="92" t="s">
        <v>1980</v>
      </c>
      <c r="H374" s="92" t="s">
        <v>1981</v>
      </c>
      <c r="I374" s="92" t="s">
        <v>312</v>
      </c>
      <c r="J374" s="92" t="s">
        <v>60</v>
      </c>
      <c r="K374" s="92" t="s">
        <v>685</v>
      </c>
    </row>
    <row r="375" spans="1:11" ht="13.8">
      <c r="A375" s="47" t="s">
        <v>1982</v>
      </c>
      <c r="B375" s="92" t="s">
        <v>1212</v>
      </c>
      <c r="C375" s="92" t="s">
        <v>1983</v>
      </c>
      <c r="D375" s="72" t="str">
        <f>IFERROR(VLOOKUP(A375,'[1]ST-QA-ZZ5'!$C$5:$M$299,11,0),"Inspection at production line")</f>
        <v>Inspection at production line</v>
      </c>
      <c r="F375" s="92" t="s">
        <v>1984</v>
      </c>
      <c r="G375" s="92" t="s">
        <v>1985</v>
      </c>
      <c r="H375" s="92" t="s">
        <v>1986</v>
      </c>
      <c r="I375" s="92" t="s">
        <v>312</v>
      </c>
      <c r="J375" s="92" t="s">
        <v>60</v>
      </c>
      <c r="K375" s="92" t="s">
        <v>685</v>
      </c>
    </row>
    <row r="376" spans="1:11" ht="13.8">
      <c r="A376" s="47" t="s">
        <v>1987</v>
      </c>
      <c r="B376" s="92" t="s">
        <v>1057</v>
      </c>
      <c r="C376" s="92" t="s">
        <v>1988</v>
      </c>
      <c r="D376" s="72" t="str">
        <f>IFERROR(VLOOKUP(A376,'[1]ST-QA-ZZ5'!$C$5:$M$299,11,0),"Inspection at production line")</f>
        <v>Inspection at production line</v>
      </c>
      <c r="F376" s="92" t="s">
        <v>1989</v>
      </c>
      <c r="G376" s="92" t="s">
        <v>1645</v>
      </c>
      <c r="H376" s="92" t="s">
        <v>1990</v>
      </c>
      <c r="I376" s="92" t="s">
        <v>312</v>
      </c>
      <c r="J376" s="92" t="s">
        <v>60</v>
      </c>
      <c r="K376" s="92" t="s">
        <v>685</v>
      </c>
    </row>
    <row r="377" spans="1:11" ht="13.8">
      <c r="A377" s="47" t="s">
        <v>1991</v>
      </c>
      <c r="B377" s="92" t="s">
        <v>1057</v>
      </c>
      <c r="C377" s="92" t="s">
        <v>1992</v>
      </c>
      <c r="D377" s="72" t="str">
        <f>IFERROR(VLOOKUP(A377,'[1]ST-QA-ZZ5'!$C$5:$M$299,11,0),"Inspection at production line")</f>
        <v>Inspection at production line</v>
      </c>
      <c r="F377" s="92" t="s">
        <v>1993</v>
      </c>
      <c r="G377" s="92" t="s">
        <v>1994</v>
      </c>
      <c r="H377" s="92" t="s">
        <v>1995</v>
      </c>
      <c r="I377" s="92" t="s">
        <v>312</v>
      </c>
      <c r="J377" s="92" t="s">
        <v>60</v>
      </c>
      <c r="K377" s="92" t="s">
        <v>685</v>
      </c>
    </row>
    <row r="378" spans="1:11" ht="13.8">
      <c r="A378" s="47" t="s">
        <v>1996</v>
      </c>
      <c r="B378" s="92" t="s">
        <v>1997</v>
      </c>
      <c r="C378" s="92" t="s">
        <v>1997</v>
      </c>
      <c r="D378" s="72" t="str">
        <f>IFERROR(VLOOKUP(A378,'[1]ST-QA-ZZ5'!$C$5:$M$299,11,0),"Inspection at production line")</f>
        <v>Inspection at production line</v>
      </c>
      <c r="F378" s="92" t="s">
        <v>1998</v>
      </c>
      <c r="G378" s="92" t="s">
        <v>174</v>
      </c>
      <c r="H378" s="92" t="s">
        <v>1999</v>
      </c>
      <c r="I378" s="92" t="s">
        <v>312</v>
      </c>
      <c r="J378" s="92" t="s">
        <v>60</v>
      </c>
      <c r="K378" s="92" t="s">
        <v>685</v>
      </c>
    </row>
    <row r="379" spans="1:11" ht="13.8">
      <c r="A379" s="47" t="s">
        <v>2000</v>
      </c>
      <c r="B379" s="92" t="s">
        <v>1966</v>
      </c>
      <c r="C379" s="92" t="s">
        <v>1966</v>
      </c>
      <c r="D379" s="72" t="str">
        <f>IFERROR(VLOOKUP(A379,'[1]ST-QA-ZZ5'!$C$5:$M$299,11,0),"Inspection at production line")</f>
        <v>Inspection at production line</v>
      </c>
      <c r="F379" s="92" t="s">
        <v>2001</v>
      </c>
      <c r="G379" s="92" t="s">
        <v>174</v>
      </c>
      <c r="H379" s="92" t="s">
        <v>517</v>
      </c>
      <c r="I379" s="92" t="s">
        <v>312</v>
      </c>
      <c r="J379" s="92" t="s">
        <v>60</v>
      </c>
      <c r="K379" s="92" t="s">
        <v>685</v>
      </c>
    </row>
    <row r="380" spans="1:11" ht="13.8">
      <c r="A380" s="47" t="s">
        <v>2002</v>
      </c>
      <c r="B380" s="92" t="s">
        <v>1208</v>
      </c>
      <c r="C380" s="92" t="s">
        <v>2003</v>
      </c>
      <c r="D380" s="72" t="str">
        <f>IFERROR(VLOOKUP(A380,'[1]ST-QA-ZZ5'!$C$5:$M$299,11,0),"Inspection at production line")</f>
        <v>Inspection at production line</v>
      </c>
      <c r="F380" s="92" t="s">
        <v>2004</v>
      </c>
      <c r="G380" s="92" t="s">
        <v>174</v>
      </c>
      <c r="H380" s="92" t="s">
        <v>2005</v>
      </c>
      <c r="I380" s="92" t="s">
        <v>312</v>
      </c>
      <c r="J380" s="92" t="s">
        <v>60</v>
      </c>
      <c r="K380" s="92" t="s">
        <v>685</v>
      </c>
    </row>
    <row r="381" spans="1:11" ht="13.8">
      <c r="A381" s="47" t="s">
        <v>2006</v>
      </c>
      <c r="B381" s="92" t="s">
        <v>1208</v>
      </c>
      <c r="C381" s="92" t="s">
        <v>2007</v>
      </c>
      <c r="D381" s="72" t="str">
        <f>IFERROR(VLOOKUP(A381,'[1]ST-QA-ZZ5'!$C$5:$M$299,11,0),"Inspection at production line")</f>
        <v>Inspection at production line</v>
      </c>
      <c r="F381" s="92" t="s">
        <v>2008</v>
      </c>
      <c r="G381" s="92" t="s">
        <v>174</v>
      </c>
      <c r="H381" s="92" t="s">
        <v>498</v>
      </c>
      <c r="I381" s="92" t="s">
        <v>312</v>
      </c>
      <c r="J381" s="92" t="s">
        <v>60</v>
      </c>
      <c r="K381" s="92" t="s">
        <v>685</v>
      </c>
    </row>
    <row r="382" spans="1:11" ht="13.8">
      <c r="A382" s="47" t="s">
        <v>2009</v>
      </c>
      <c r="B382" s="92" t="s">
        <v>1208</v>
      </c>
      <c r="C382" s="92" t="s">
        <v>2010</v>
      </c>
      <c r="D382" s="72" t="str">
        <f>IFERROR(VLOOKUP(A382,'[1]ST-QA-ZZ5'!$C$5:$M$299,11,0),"Inspection at production line")</f>
        <v>Inspection at production line</v>
      </c>
      <c r="F382" s="92" t="s">
        <v>2011</v>
      </c>
      <c r="G382" s="92" t="s">
        <v>174</v>
      </c>
      <c r="H382" s="92" t="s">
        <v>2012</v>
      </c>
      <c r="I382" s="92" t="s">
        <v>312</v>
      </c>
      <c r="J382" s="92" t="s">
        <v>60</v>
      </c>
      <c r="K382" s="92" t="s">
        <v>685</v>
      </c>
    </row>
    <row r="383" spans="1:11" ht="13.8">
      <c r="A383" s="47" t="s">
        <v>18182</v>
      </c>
      <c r="B383" s="92" t="s">
        <v>1212</v>
      </c>
      <c r="C383" s="92" t="s">
        <v>18183</v>
      </c>
      <c r="D383" s="72" t="str">
        <f>IFERROR(VLOOKUP(A383,'[1]ST-QA-ZZ5'!$C$5:$M$299,11,0),"Inspection at production line")</f>
        <v>Inspection at production line</v>
      </c>
      <c r="F383" s="92" t="s">
        <v>2015</v>
      </c>
      <c r="G383" s="92" t="s">
        <v>174</v>
      </c>
      <c r="H383" s="92" t="s">
        <v>2016</v>
      </c>
      <c r="I383" s="92" t="s">
        <v>312</v>
      </c>
      <c r="J383" s="92" t="s">
        <v>60</v>
      </c>
      <c r="K383" s="92" t="s">
        <v>685</v>
      </c>
    </row>
    <row r="384" spans="1:11" ht="13.8">
      <c r="A384" s="47" t="s">
        <v>2013</v>
      </c>
      <c r="B384" s="92" t="s">
        <v>2014</v>
      </c>
      <c r="C384" s="92" t="s">
        <v>2014</v>
      </c>
      <c r="D384" s="72" t="str">
        <f>IFERROR(VLOOKUP(A384,'[1]ST-QA-ZZ5'!$C$5:$M$299,11,0),"Inspection at production line")</f>
        <v>Inspection at production line</v>
      </c>
      <c r="F384" s="92" t="s">
        <v>2019</v>
      </c>
      <c r="G384" s="92" t="s">
        <v>453</v>
      </c>
      <c r="H384" s="92" t="s">
        <v>2020</v>
      </c>
      <c r="I384" s="92" t="s">
        <v>312</v>
      </c>
      <c r="J384" s="92" t="s">
        <v>60</v>
      </c>
      <c r="K384" s="92" t="s">
        <v>685</v>
      </c>
    </row>
    <row r="385" spans="1:11" ht="13.8">
      <c r="A385" s="47" t="s">
        <v>2017</v>
      </c>
      <c r="B385" s="92" t="s">
        <v>2018</v>
      </c>
      <c r="C385" s="92" t="s">
        <v>2018</v>
      </c>
      <c r="D385" s="72" t="str">
        <f>IFERROR(VLOOKUP(A385,'[1]ST-QA-ZZ5'!$C$5:$M$299,11,0),"Inspection at production line")</f>
        <v>Inspection at production line</v>
      </c>
      <c r="F385" s="92" t="s">
        <v>2023</v>
      </c>
      <c r="G385" s="92" t="s">
        <v>2024</v>
      </c>
      <c r="H385" s="92" t="s">
        <v>2025</v>
      </c>
      <c r="I385" s="92" t="s">
        <v>312</v>
      </c>
      <c r="J385" s="92" t="s">
        <v>71</v>
      </c>
      <c r="K385" s="92" t="s">
        <v>685</v>
      </c>
    </row>
    <row r="386" spans="1:11" ht="13.8">
      <c r="A386" s="47" t="s">
        <v>2021</v>
      </c>
      <c r="B386" s="92" t="s">
        <v>2022</v>
      </c>
      <c r="C386" s="92" t="s">
        <v>2022</v>
      </c>
      <c r="D386" s="72" t="str">
        <f>IFERROR(VLOOKUP(A386,'[1]ST-QA-ZZ5'!$C$5:$M$299,11,0),"Inspection at production line")</f>
        <v>Inspection at production line</v>
      </c>
      <c r="F386" s="92" t="s">
        <v>2028</v>
      </c>
      <c r="G386" s="92" t="s">
        <v>2024</v>
      </c>
      <c r="H386" s="92" t="s">
        <v>2029</v>
      </c>
      <c r="I386" s="92" t="s">
        <v>312</v>
      </c>
      <c r="J386" s="92" t="s">
        <v>71</v>
      </c>
      <c r="K386" s="92" t="s">
        <v>685</v>
      </c>
    </row>
    <row r="387" spans="1:11" ht="13.8">
      <c r="A387" s="47" t="s">
        <v>2026</v>
      </c>
      <c r="B387" s="92" t="s">
        <v>2027</v>
      </c>
      <c r="C387" s="92" t="s">
        <v>2027</v>
      </c>
      <c r="D387" s="72" t="str">
        <f>IFERROR(VLOOKUP(A387,'[1]ST-QA-ZZ5'!$C$5:$M$299,11,0),"Inspection at production line")</f>
        <v>Inspection at production line</v>
      </c>
      <c r="F387" s="92" t="s">
        <v>2032</v>
      </c>
      <c r="G387" s="92" t="s">
        <v>2024</v>
      </c>
      <c r="H387" s="92" t="s">
        <v>2033</v>
      </c>
      <c r="I387" s="92" t="s">
        <v>312</v>
      </c>
      <c r="J387" s="92" t="s">
        <v>71</v>
      </c>
      <c r="K387" s="92" t="s">
        <v>685</v>
      </c>
    </row>
    <row r="388" spans="1:11" ht="13.8">
      <c r="A388" s="47" t="s">
        <v>2030</v>
      </c>
      <c r="B388" s="92" t="s">
        <v>857</v>
      </c>
      <c r="C388" s="92" t="s">
        <v>2031</v>
      </c>
      <c r="D388" s="72" t="str">
        <f>IFERROR(VLOOKUP(A388,'[1]ST-QA-ZZ5'!$C$5:$M$299,11,0),"Inspection at production line")</f>
        <v>Inspection at production line</v>
      </c>
      <c r="F388" s="92" t="s">
        <v>2036</v>
      </c>
      <c r="G388" s="92" t="s">
        <v>90</v>
      </c>
      <c r="H388" s="92" t="s">
        <v>2037</v>
      </c>
      <c r="I388" s="92" t="s">
        <v>312</v>
      </c>
      <c r="J388" s="92" t="s">
        <v>60</v>
      </c>
      <c r="K388" s="92" t="s">
        <v>685</v>
      </c>
    </row>
    <row r="389" spans="1:11" ht="13.8">
      <c r="A389" s="47" t="s">
        <v>2034</v>
      </c>
      <c r="B389" s="92" t="s">
        <v>2035</v>
      </c>
      <c r="C389" s="92" t="s">
        <v>2035</v>
      </c>
      <c r="D389" s="72" t="str">
        <f>IFERROR(VLOOKUP(A389,'[1]ST-QA-ZZ5'!$C$5:$M$299,11,0),"Inspection at production line")</f>
        <v>Inspection at production line</v>
      </c>
      <c r="F389" s="92" t="s">
        <v>2040</v>
      </c>
      <c r="G389" s="92" t="s">
        <v>2041</v>
      </c>
      <c r="H389" s="92" t="s">
        <v>2042</v>
      </c>
      <c r="I389" s="92" t="s">
        <v>312</v>
      </c>
      <c r="J389" s="92" t="s">
        <v>60</v>
      </c>
      <c r="K389" s="92" t="s">
        <v>685</v>
      </c>
    </row>
    <row r="390" spans="1:11" ht="13.8">
      <c r="A390" s="47" t="s">
        <v>2038</v>
      </c>
      <c r="B390" s="92" t="s">
        <v>2039</v>
      </c>
      <c r="C390" s="92" t="s">
        <v>2039</v>
      </c>
      <c r="D390" s="72" t="str">
        <f>IFERROR(VLOOKUP(A390,'[1]ST-QA-ZZ5'!$C$5:$M$299,11,0),"Inspection at production line")</f>
        <v>Inspection at production line</v>
      </c>
      <c r="F390" s="92" t="s">
        <v>2045</v>
      </c>
      <c r="G390" s="92" t="s">
        <v>2041</v>
      </c>
      <c r="H390" s="92" t="s">
        <v>2046</v>
      </c>
      <c r="I390" s="92" t="s">
        <v>312</v>
      </c>
      <c r="J390" s="92" t="s">
        <v>60</v>
      </c>
      <c r="K390" s="92" t="s">
        <v>685</v>
      </c>
    </row>
    <row r="391" spans="1:11" ht="13.8">
      <c r="A391" s="47" t="s">
        <v>2043</v>
      </c>
      <c r="B391" s="92" t="s">
        <v>2044</v>
      </c>
      <c r="C391" s="92" t="s">
        <v>2044</v>
      </c>
      <c r="D391" s="72" t="str">
        <f>IFERROR(VLOOKUP(A391,'[1]ST-QA-ZZ5'!$C$5:$M$299,11,0),"Inspection at production line")</f>
        <v>Inspection at production line</v>
      </c>
      <c r="F391" s="92" t="s">
        <v>2048</v>
      </c>
      <c r="G391" s="92" t="s">
        <v>2049</v>
      </c>
      <c r="H391" s="92" t="s">
        <v>2050</v>
      </c>
      <c r="I391" s="92" t="s">
        <v>312</v>
      </c>
      <c r="J391" s="92" t="s">
        <v>60</v>
      </c>
      <c r="K391" s="92" t="s">
        <v>685</v>
      </c>
    </row>
    <row r="392" spans="1:11" ht="13.8">
      <c r="A392" s="47" t="s">
        <v>2047</v>
      </c>
      <c r="B392" s="92" t="s">
        <v>1208</v>
      </c>
      <c r="C392" s="92" t="s">
        <v>2044</v>
      </c>
      <c r="D392" s="72" t="str">
        <f>IFERROR(VLOOKUP(A392,'[1]ST-QA-ZZ5'!$C$5:$M$299,11,0),"Inspection at production line")</f>
        <v>Inspection at production line</v>
      </c>
      <c r="F392" s="92" t="s">
        <v>2054</v>
      </c>
      <c r="G392" s="92" t="s">
        <v>2049</v>
      </c>
      <c r="H392" s="92" t="s">
        <v>2055</v>
      </c>
      <c r="I392" s="92" t="s">
        <v>312</v>
      </c>
      <c r="J392" s="92" t="s">
        <v>60</v>
      </c>
      <c r="K392" s="92" t="s">
        <v>685</v>
      </c>
    </row>
    <row r="393" spans="1:11" ht="13.8">
      <c r="A393" s="47" t="s">
        <v>2051</v>
      </c>
      <c r="B393" s="92" t="s">
        <v>2052</v>
      </c>
      <c r="C393" s="92" t="s">
        <v>2053</v>
      </c>
      <c r="D393" s="72" t="str">
        <f>IFERROR(VLOOKUP(A393,'[1]ST-QA-ZZ5'!$C$5:$M$299,11,0),"Inspection at production line")</f>
        <v>Inspection at production line</v>
      </c>
      <c r="F393" s="92" t="s">
        <v>2059</v>
      </c>
      <c r="G393" s="92" t="s">
        <v>2049</v>
      </c>
      <c r="H393" s="92" t="s">
        <v>2060</v>
      </c>
      <c r="I393" s="92" t="s">
        <v>312</v>
      </c>
      <c r="J393" s="92" t="s">
        <v>60</v>
      </c>
      <c r="K393" s="92" t="s">
        <v>685</v>
      </c>
    </row>
    <row r="394" spans="1:11" ht="13.8">
      <c r="A394" s="47" t="s">
        <v>2056</v>
      </c>
      <c r="B394" s="92" t="s">
        <v>2057</v>
      </c>
      <c r="C394" s="92" t="s">
        <v>2058</v>
      </c>
      <c r="D394" s="72" t="str">
        <f>IFERROR(VLOOKUP(A394,'[1]ST-QA-ZZ5'!$C$5:$M$299,11,0),"Inspection at production line")</f>
        <v>Inspection at production line</v>
      </c>
      <c r="F394" s="92" t="s">
        <v>2063</v>
      </c>
      <c r="G394" s="92" t="s">
        <v>2049</v>
      </c>
      <c r="H394" s="92" t="s">
        <v>2064</v>
      </c>
      <c r="I394" s="92" t="s">
        <v>312</v>
      </c>
      <c r="J394" s="92" t="s">
        <v>60</v>
      </c>
      <c r="K394" s="92" t="s">
        <v>685</v>
      </c>
    </row>
    <row r="395" spans="1:11" ht="13.8">
      <c r="A395" s="47" t="s">
        <v>2061</v>
      </c>
      <c r="B395" s="92" t="s">
        <v>1208</v>
      </c>
      <c r="C395" s="92" t="s">
        <v>2062</v>
      </c>
      <c r="D395" s="72" t="str">
        <f>IFERROR(VLOOKUP(A395,'[1]ST-QA-ZZ5'!$C$5:$M$299,11,0),"Inspection at production line")</f>
        <v>Inspection at production line</v>
      </c>
      <c r="F395" s="92" t="s">
        <v>2068</v>
      </c>
      <c r="G395" s="92" t="s">
        <v>2069</v>
      </c>
      <c r="H395" s="92" t="s">
        <v>2070</v>
      </c>
      <c r="I395" s="92" t="s">
        <v>312</v>
      </c>
      <c r="J395" s="92" t="s">
        <v>60</v>
      </c>
      <c r="K395" s="92" t="s">
        <v>685</v>
      </c>
    </row>
    <row r="396" spans="1:11" ht="13.8">
      <c r="A396" s="47" t="s">
        <v>2065</v>
      </c>
      <c r="B396" s="92" t="s">
        <v>2066</v>
      </c>
      <c r="C396" s="92" t="s">
        <v>2067</v>
      </c>
      <c r="D396" s="72" t="str">
        <f>IFERROR(VLOOKUP(A396,'[1]ST-QA-ZZ5'!$C$5:$M$299,11,0),"Inspection at production line")</f>
        <v>Inspection at production line</v>
      </c>
      <c r="F396" s="92" t="s">
        <v>2073</v>
      </c>
      <c r="G396" s="92" t="s">
        <v>2074</v>
      </c>
      <c r="H396" s="92" t="s">
        <v>2075</v>
      </c>
      <c r="I396" s="92" t="s">
        <v>312</v>
      </c>
      <c r="J396" s="92" t="s">
        <v>60</v>
      </c>
      <c r="K396" s="92" t="s">
        <v>685</v>
      </c>
    </row>
    <row r="397" spans="1:11" ht="13.8">
      <c r="A397" s="47" t="s">
        <v>2071</v>
      </c>
      <c r="B397" s="92" t="s">
        <v>2072</v>
      </c>
      <c r="C397" s="92" t="s">
        <v>2072</v>
      </c>
      <c r="D397" s="72" t="str">
        <f>IFERROR(VLOOKUP(A397,'[1]ST-QA-ZZ5'!$C$5:$M$299,11,0),"Inspection at production line")</f>
        <v>Inspection at production line</v>
      </c>
      <c r="F397" s="92" t="s">
        <v>2078</v>
      </c>
      <c r="G397" s="92" t="s">
        <v>2079</v>
      </c>
      <c r="H397" s="92" t="s">
        <v>2080</v>
      </c>
      <c r="I397" s="92" t="s">
        <v>2081</v>
      </c>
      <c r="J397" s="92" t="s">
        <v>60</v>
      </c>
      <c r="K397" s="92" t="s">
        <v>681</v>
      </c>
    </row>
    <row r="398" spans="1:11" ht="13.8">
      <c r="A398" s="47" t="s">
        <v>2076</v>
      </c>
      <c r="B398" s="92" t="s">
        <v>2077</v>
      </c>
      <c r="C398" s="92" t="s">
        <v>2077</v>
      </c>
      <c r="D398" s="72" t="str">
        <f>IFERROR(VLOOKUP(A398,'[1]ST-QA-ZZ5'!$C$5:$M$299,11,0),"Inspection at production line")</f>
        <v>Inspection at production line</v>
      </c>
      <c r="F398" s="92" t="s">
        <v>2084</v>
      </c>
      <c r="G398" s="92" t="s">
        <v>2085</v>
      </c>
      <c r="H398" s="92" t="s">
        <v>2085</v>
      </c>
      <c r="I398" s="92" t="s">
        <v>2081</v>
      </c>
      <c r="J398" s="92" t="s">
        <v>60</v>
      </c>
      <c r="K398" s="92" t="s">
        <v>681</v>
      </c>
    </row>
    <row r="399" spans="1:11" ht="13.8">
      <c r="A399" s="47" t="s">
        <v>2082</v>
      </c>
      <c r="B399" s="92" t="s">
        <v>2083</v>
      </c>
      <c r="C399" s="92" t="s">
        <v>2083</v>
      </c>
      <c r="D399" s="72" t="str">
        <f>IFERROR(VLOOKUP(A399,'[1]ST-QA-ZZ5'!$C$5:$M$299,11,0),"Inspection at production line")</f>
        <v>Inspection at production line</v>
      </c>
      <c r="F399" s="92" t="s">
        <v>2088</v>
      </c>
      <c r="G399" s="92" t="s">
        <v>2079</v>
      </c>
      <c r="H399" s="92" t="s">
        <v>2089</v>
      </c>
      <c r="I399" s="92" t="s">
        <v>2081</v>
      </c>
      <c r="J399" s="92" t="s">
        <v>60</v>
      </c>
      <c r="K399" s="92" t="s">
        <v>681</v>
      </c>
    </row>
    <row r="400" spans="1:11" ht="13.8">
      <c r="A400" s="47" t="s">
        <v>2086</v>
      </c>
      <c r="B400" s="92" t="s">
        <v>2087</v>
      </c>
      <c r="C400" s="92" t="s">
        <v>2087</v>
      </c>
      <c r="D400" s="72" t="str">
        <f>IFERROR(VLOOKUP(A400,'[1]ST-QA-ZZ5'!$C$5:$M$299,11,0),"Inspection at production line")</f>
        <v>Inspection at production line</v>
      </c>
      <c r="F400" s="92" t="s">
        <v>2092</v>
      </c>
      <c r="G400" s="92" t="s">
        <v>2079</v>
      </c>
      <c r="H400" s="92" t="s">
        <v>2093</v>
      </c>
      <c r="I400" s="92" t="s">
        <v>2081</v>
      </c>
      <c r="J400" s="92" t="s">
        <v>60</v>
      </c>
      <c r="K400" s="92" t="s">
        <v>681</v>
      </c>
    </row>
    <row r="401" spans="1:11" ht="13.8">
      <c r="A401" s="47" t="s">
        <v>2090</v>
      </c>
      <c r="B401" s="92" t="s">
        <v>2091</v>
      </c>
      <c r="C401" s="92" t="s">
        <v>2091</v>
      </c>
      <c r="D401" s="72" t="str">
        <f>IFERROR(VLOOKUP(A401,'[1]ST-QA-ZZ5'!$C$5:$M$299,11,0),"Inspection at production line")</f>
        <v>Inspection at production line</v>
      </c>
      <c r="F401" s="92" t="s">
        <v>2096</v>
      </c>
      <c r="G401" s="92" t="s">
        <v>2079</v>
      </c>
      <c r="H401" s="92" t="s">
        <v>2097</v>
      </c>
      <c r="I401" s="92" t="s">
        <v>2081</v>
      </c>
      <c r="J401" s="92" t="s">
        <v>60</v>
      </c>
      <c r="K401" s="92" t="s">
        <v>681</v>
      </c>
    </row>
    <row r="402" spans="1:11" ht="13.8">
      <c r="A402" s="47" t="s">
        <v>2094</v>
      </c>
      <c r="B402" s="92" t="s">
        <v>2095</v>
      </c>
      <c r="C402" s="92" t="s">
        <v>2095</v>
      </c>
      <c r="D402" s="72" t="str">
        <f>IFERROR(VLOOKUP(A402,'[1]ST-QA-ZZ5'!$C$5:$M$299,11,0),"Inspection at production line")</f>
        <v>Inspection at production line</v>
      </c>
      <c r="F402" s="92" t="s">
        <v>2100</v>
      </c>
      <c r="G402" s="92" t="s">
        <v>2079</v>
      </c>
      <c r="H402" s="92" t="s">
        <v>2101</v>
      </c>
      <c r="I402" s="92" t="s">
        <v>2081</v>
      </c>
      <c r="J402" s="92" t="s">
        <v>60</v>
      </c>
      <c r="K402" s="92" t="s">
        <v>681</v>
      </c>
    </row>
    <row r="403" spans="1:11" ht="13.8">
      <c r="A403" s="47" t="s">
        <v>2098</v>
      </c>
      <c r="B403" s="92" t="s">
        <v>2099</v>
      </c>
      <c r="C403" s="92" t="s">
        <v>2099</v>
      </c>
      <c r="D403" s="72" t="str">
        <f>IFERROR(VLOOKUP(A403,'[1]ST-QA-ZZ5'!$C$5:$M$299,11,0),"Inspection at production line")</f>
        <v>Inspection at production line</v>
      </c>
      <c r="F403" s="92" t="s">
        <v>2104</v>
      </c>
      <c r="G403" s="92" t="s">
        <v>2079</v>
      </c>
      <c r="H403" s="92" t="s">
        <v>2105</v>
      </c>
      <c r="I403" s="92" t="s">
        <v>2081</v>
      </c>
      <c r="J403" s="92" t="s">
        <v>60</v>
      </c>
      <c r="K403" s="92" t="s">
        <v>681</v>
      </c>
    </row>
    <row r="404" spans="1:11" ht="13.8">
      <c r="A404" s="47" t="s">
        <v>2102</v>
      </c>
      <c r="B404" s="92" t="s">
        <v>2103</v>
      </c>
      <c r="C404" s="92" t="s">
        <v>2103</v>
      </c>
      <c r="D404" s="72" t="str">
        <f>IFERROR(VLOOKUP(A404,'[1]ST-QA-ZZ5'!$C$5:$M$299,11,0),"Inspection at production line")</f>
        <v>Inspection at production line</v>
      </c>
      <c r="F404" s="92" t="s">
        <v>2108</v>
      </c>
      <c r="G404" s="92" t="s">
        <v>2079</v>
      </c>
      <c r="H404" s="92" t="s">
        <v>2109</v>
      </c>
      <c r="I404" s="92" t="s">
        <v>2081</v>
      </c>
      <c r="J404" s="92" t="s">
        <v>60</v>
      </c>
      <c r="K404" s="92" t="s">
        <v>681</v>
      </c>
    </row>
    <row r="405" spans="1:11" ht="13.8">
      <c r="A405" s="47" t="s">
        <v>2106</v>
      </c>
      <c r="B405" s="92" t="s">
        <v>2107</v>
      </c>
      <c r="C405" s="92" t="s">
        <v>2107</v>
      </c>
      <c r="D405" s="72" t="str">
        <f>IFERROR(VLOOKUP(A405,'[1]ST-QA-ZZ5'!$C$5:$M$299,11,0),"Inspection at production line")</f>
        <v>Inspection at production line</v>
      </c>
      <c r="F405" s="92" t="s">
        <v>2112</v>
      </c>
      <c r="G405" s="92" t="s">
        <v>2069</v>
      </c>
      <c r="H405" s="92" t="s">
        <v>2113</v>
      </c>
      <c r="I405" s="92" t="s">
        <v>2081</v>
      </c>
      <c r="J405" s="92" t="s">
        <v>60</v>
      </c>
      <c r="K405" s="92" t="s">
        <v>681</v>
      </c>
    </row>
    <row r="406" spans="1:11" ht="13.8">
      <c r="A406" s="47" t="s">
        <v>2110</v>
      </c>
      <c r="B406" s="92" t="s">
        <v>2111</v>
      </c>
      <c r="C406" s="92" t="s">
        <v>2111</v>
      </c>
      <c r="D406" s="72" t="str">
        <f>IFERROR(VLOOKUP(A406,'[1]ST-QA-ZZ5'!$C$5:$M$299,11,0),"Inspection at production line")</f>
        <v>Inspection at production line</v>
      </c>
      <c r="F406" s="92" t="s">
        <v>2116</v>
      </c>
      <c r="G406" s="92" t="s">
        <v>2117</v>
      </c>
      <c r="H406" s="92" t="s">
        <v>2117</v>
      </c>
      <c r="I406" s="92" t="s">
        <v>2081</v>
      </c>
      <c r="J406" s="92" t="s">
        <v>60</v>
      </c>
      <c r="K406" s="92" t="s">
        <v>681</v>
      </c>
    </row>
    <row r="407" spans="1:11" ht="13.8">
      <c r="A407" s="47" t="s">
        <v>2114</v>
      </c>
      <c r="B407" s="92" t="s">
        <v>2115</v>
      </c>
      <c r="C407" s="92" t="s">
        <v>2115</v>
      </c>
      <c r="D407" s="72" t="str">
        <f>IFERROR(VLOOKUP(A407,'[1]ST-QA-ZZ5'!$C$5:$M$299,11,0),"Inspection at production line")</f>
        <v>Inspection at production line</v>
      </c>
      <c r="F407" s="92" t="s">
        <v>2120</v>
      </c>
      <c r="G407" s="92" t="s">
        <v>2069</v>
      </c>
      <c r="H407" s="92" t="s">
        <v>2121</v>
      </c>
      <c r="I407" s="92" t="s">
        <v>2081</v>
      </c>
      <c r="J407" s="92" t="s">
        <v>60</v>
      </c>
      <c r="K407" s="92" t="s">
        <v>681</v>
      </c>
    </row>
    <row r="408" spans="1:11" ht="13.8">
      <c r="A408" s="47" t="s">
        <v>2118</v>
      </c>
      <c r="B408" s="92" t="s">
        <v>2119</v>
      </c>
      <c r="C408" s="92" t="s">
        <v>2119</v>
      </c>
      <c r="D408" s="72" t="str">
        <f>IFERROR(VLOOKUP(A408,'[1]ST-QA-ZZ5'!$C$5:$M$299,11,0),"Inspection at production line")</f>
        <v>Inspection at production line</v>
      </c>
      <c r="F408" s="92" t="s">
        <v>2124</v>
      </c>
      <c r="G408" s="92" t="s">
        <v>2069</v>
      </c>
      <c r="H408" s="92" t="s">
        <v>2125</v>
      </c>
      <c r="I408" s="92" t="s">
        <v>2081</v>
      </c>
      <c r="J408" s="92" t="s">
        <v>60</v>
      </c>
      <c r="K408" s="92" t="s">
        <v>681</v>
      </c>
    </row>
    <row r="409" spans="1:11" ht="13.8">
      <c r="A409" s="47" t="s">
        <v>2122</v>
      </c>
      <c r="B409" s="92" t="s">
        <v>2123</v>
      </c>
      <c r="C409" s="92" t="s">
        <v>2123</v>
      </c>
      <c r="D409" s="72" t="str">
        <f>IFERROR(VLOOKUP(A409,'[1]ST-QA-ZZ5'!$C$5:$M$299,11,0),"Inspection at production line")</f>
        <v>Inspection at production line</v>
      </c>
      <c r="F409" s="92" t="s">
        <v>2128</v>
      </c>
      <c r="G409" s="92" t="s">
        <v>2069</v>
      </c>
      <c r="H409" s="92" t="s">
        <v>2129</v>
      </c>
      <c r="I409" s="92" t="s">
        <v>2081</v>
      </c>
      <c r="J409" s="92" t="s">
        <v>60</v>
      </c>
      <c r="K409" s="92" t="s">
        <v>681</v>
      </c>
    </row>
    <row r="410" spans="1:11" ht="13.8">
      <c r="A410" s="47" t="s">
        <v>2126</v>
      </c>
      <c r="B410" s="92" t="s">
        <v>2127</v>
      </c>
      <c r="C410" s="92" t="s">
        <v>2127</v>
      </c>
      <c r="D410" s="72" t="str">
        <f>IFERROR(VLOOKUP(A410,'[1]ST-QA-ZZ5'!$C$5:$M$299,11,0),"Inspection at production line")</f>
        <v>Inspection at production line</v>
      </c>
      <c r="F410" s="92" t="s">
        <v>2132</v>
      </c>
      <c r="G410" s="92" t="s">
        <v>2069</v>
      </c>
      <c r="H410" s="92" t="s">
        <v>2133</v>
      </c>
      <c r="I410" s="92" t="s">
        <v>2081</v>
      </c>
      <c r="J410" s="92" t="s">
        <v>60</v>
      </c>
      <c r="K410" s="92" t="s">
        <v>681</v>
      </c>
    </row>
    <row r="411" spans="1:11" ht="13.8">
      <c r="A411" s="47" t="s">
        <v>2130</v>
      </c>
      <c r="B411" s="92" t="s">
        <v>2131</v>
      </c>
      <c r="C411" s="92" t="s">
        <v>2131</v>
      </c>
      <c r="D411" s="72" t="str">
        <f>IFERROR(VLOOKUP(A411,'[1]ST-QA-ZZ5'!$C$5:$M$299,11,0),"Inspection at production line")</f>
        <v>Inspection at production line</v>
      </c>
      <c r="F411" s="92" t="s">
        <v>2136</v>
      </c>
      <c r="G411" s="92" t="s">
        <v>2137</v>
      </c>
      <c r="H411" s="92" t="s">
        <v>2138</v>
      </c>
      <c r="I411" s="92" t="s">
        <v>2081</v>
      </c>
      <c r="J411" s="92" t="s">
        <v>60</v>
      </c>
      <c r="K411" s="92" t="s">
        <v>681</v>
      </c>
    </row>
    <row r="412" spans="1:11" ht="13.8">
      <c r="A412" s="47" t="s">
        <v>2134</v>
      </c>
      <c r="B412" s="92" t="s">
        <v>2135</v>
      </c>
      <c r="C412" s="92" t="s">
        <v>2135</v>
      </c>
      <c r="D412" s="72" t="str">
        <f>IFERROR(VLOOKUP(A412,'[1]ST-QA-ZZ5'!$C$5:$M$299,11,0),"Inspection at production line")</f>
        <v>Inspection at production line</v>
      </c>
      <c r="F412" s="92" t="s">
        <v>2141</v>
      </c>
      <c r="G412" s="92" t="s">
        <v>2142</v>
      </c>
      <c r="H412" s="92" t="s">
        <v>2142</v>
      </c>
      <c r="I412" s="92" t="s">
        <v>2081</v>
      </c>
      <c r="J412" s="92" t="s">
        <v>60</v>
      </c>
      <c r="K412" s="92" t="s">
        <v>681</v>
      </c>
    </row>
    <row r="413" spans="1:11" ht="13.8">
      <c r="A413" s="47" t="s">
        <v>2139</v>
      </c>
      <c r="B413" s="92" t="s">
        <v>2140</v>
      </c>
      <c r="C413" s="92" t="s">
        <v>2140</v>
      </c>
      <c r="D413" s="72" t="str">
        <f>IFERROR(VLOOKUP(A413,'[1]ST-QA-ZZ5'!$C$5:$M$299,11,0),"Inspection at production line")</f>
        <v>Inspection at production line</v>
      </c>
      <c r="F413" s="92" t="s">
        <v>2145</v>
      </c>
      <c r="G413" s="92" t="s">
        <v>2137</v>
      </c>
      <c r="H413" s="92" t="s">
        <v>2146</v>
      </c>
      <c r="I413" s="92" t="s">
        <v>2081</v>
      </c>
      <c r="J413" s="92" t="s">
        <v>60</v>
      </c>
      <c r="K413" s="92" t="s">
        <v>681</v>
      </c>
    </row>
    <row r="414" spans="1:11" ht="13.8">
      <c r="A414" s="47" t="s">
        <v>2143</v>
      </c>
      <c r="B414" s="92" t="s">
        <v>2144</v>
      </c>
      <c r="C414" s="92" t="s">
        <v>2144</v>
      </c>
      <c r="D414" s="72" t="str">
        <f>IFERROR(VLOOKUP(A414,'[1]ST-QA-ZZ5'!$C$5:$M$299,11,0),"Inspection at production line")</f>
        <v>Inspection at production line</v>
      </c>
      <c r="F414" s="92" t="s">
        <v>2150</v>
      </c>
      <c r="G414" s="92" t="s">
        <v>2137</v>
      </c>
      <c r="H414" s="92" t="s">
        <v>2151</v>
      </c>
      <c r="I414" s="92" t="s">
        <v>2081</v>
      </c>
      <c r="J414" s="92" t="s">
        <v>60</v>
      </c>
      <c r="K414" s="92" t="s">
        <v>681</v>
      </c>
    </row>
    <row r="415" spans="1:11" ht="13.8">
      <c r="A415" s="47" t="s">
        <v>2147</v>
      </c>
      <c r="B415" s="92" t="s">
        <v>2148</v>
      </c>
      <c r="C415" s="92" t="s">
        <v>2149</v>
      </c>
      <c r="D415" s="72" t="str">
        <f>IFERROR(VLOOKUP(A415,'[1]ST-QA-ZZ5'!$C$5:$M$299,11,0),"Inspection at production line")</f>
        <v>Inspection at production line</v>
      </c>
      <c r="F415" s="92" t="s">
        <v>2155</v>
      </c>
      <c r="G415" s="92" t="s">
        <v>2137</v>
      </c>
      <c r="H415" s="92" t="s">
        <v>2156</v>
      </c>
      <c r="I415" s="92" t="s">
        <v>2081</v>
      </c>
      <c r="J415" s="92" t="s">
        <v>60</v>
      </c>
      <c r="K415" s="92" t="s">
        <v>681</v>
      </c>
    </row>
    <row r="416" spans="1:11" ht="13.8">
      <c r="A416" s="47" t="s">
        <v>2152</v>
      </c>
      <c r="B416" s="92" t="s">
        <v>2153</v>
      </c>
      <c r="C416" s="92" t="s">
        <v>2154</v>
      </c>
      <c r="D416" s="72" t="str">
        <f>IFERROR(VLOOKUP(A416,'[1]ST-QA-ZZ5'!$C$5:$M$299,11,0),"Inspection at production line")</f>
        <v>Inspection at production line</v>
      </c>
      <c r="F416" s="92" t="s">
        <v>2159</v>
      </c>
      <c r="G416" s="92" t="s">
        <v>2137</v>
      </c>
      <c r="H416" s="92" t="s">
        <v>2160</v>
      </c>
      <c r="I416" s="92" t="s">
        <v>2081</v>
      </c>
      <c r="J416" s="92" t="s">
        <v>60</v>
      </c>
      <c r="K416" s="92" t="s">
        <v>681</v>
      </c>
    </row>
    <row r="417" spans="1:11" ht="13.8">
      <c r="A417" s="47" t="s">
        <v>2157</v>
      </c>
      <c r="B417" s="92" t="s">
        <v>2158</v>
      </c>
      <c r="C417" s="92" t="s">
        <v>2158</v>
      </c>
      <c r="D417" s="72" t="str">
        <f>IFERROR(VLOOKUP(A417,'[1]ST-QA-ZZ5'!$C$5:$M$299,11,0),"Inspection at production line")</f>
        <v>Inspection at production line</v>
      </c>
      <c r="F417" s="92" t="s">
        <v>2164</v>
      </c>
      <c r="G417" s="92" t="s">
        <v>2137</v>
      </c>
      <c r="H417" s="92" t="s">
        <v>2165</v>
      </c>
      <c r="I417" s="92" t="s">
        <v>2081</v>
      </c>
      <c r="J417" s="92" t="s">
        <v>60</v>
      </c>
      <c r="K417" s="92" t="s">
        <v>681</v>
      </c>
    </row>
    <row r="418" spans="1:11" ht="13.8">
      <c r="A418" s="47" t="s">
        <v>2161</v>
      </c>
      <c r="B418" s="92" t="s">
        <v>2162</v>
      </c>
      <c r="C418" s="92" t="s">
        <v>2163</v>
      </c>
      <c r="D418" s="72" t="str">
        <f>IFERROR(VLOOKUP(A418,'[1]ST-QA-ZZ5'!$C$5:$M$299,11,0),"Inspection at production line")</f>
        <v>Inspection at production line</v>
      </c>
      <c r="F418" s="92" t="s">
        <v>2169</v>
      </c>
      <c r="G418" s="92" t="s">
        <v>2137</v>
      </c>
      <c r="H418" s="92" t="s">
        <v>2170</v>
      </c>
      <c r="I418" s="92" t="s">
        <v>2081</v>
      </c>
      <c r="J418" s="92" t="s">
        <v>60</v>
      </c>
      <c r="K418" s="92" t="s">
        <v>681</v>
      </c>
    </row>
    <row r="419" spans="1:11" ht="13.8">
      <c r="A419" s="47" t="s">
        <v>2166</v>
      </c>
      <c r="B419" s="92" t="s">
        <v>2167</v>
      </c>
      <c r="C419" s="92" t="s">
        <v>2168</v>
      </c>
      <c r="D419" s="72" t="str">
        <f>IFERROR(VLOOKUP(A419,'[1]ST-QA-ZZ5'!$C$5:$M$299,11,0),"Inspection at production line")</f>
        <v>Inspection at production line</v>
      </c>
      <c r="F419" s="92" t="s">
        <v>2174</v>
      </c>
      <c r="G419" s="92" t="s">
        <v>2137</v>
      </c>
      <c r="H419" s="92" t="s">
        <v>2175</v>
      </c>
      <c r="I419" s="92" t="s">
        <v>2081</v>
      </c>
      <c r="J419" s="92" t="s">
        <v>60</v>
      </c>
      <c r="K419" s="92" t="s">
        <v>681</v>
      </c>
    </row>
    <row r="420" spans="1:11" ht="13.8">
      <c r="A420" s="47" t="s">
        <v>2171</v>
      </c>
      <c r="B420" s="92" t="s">
        <v>2172</v>
      </c>
      <c r="C420" s="92" t="s">
        <v>2173</v>
      </c>
      <c r="D420" s="72" t="str">
        <f>IFERROR(VLOOKUP(A420,'[1]ST-QA-ZZ5'!$C$5:$M$299,11,0),"Inspection at production line")</f>
        <v>Inspection at production line</v>
      </c>
      <c r="F420" s="92" t="s">
        <v>2179</v>
      </c>
      <c r="G420" s="92" t="s">
        <v>2137</v>
      </c>
      <c r="H420" s="92" t="s">
        <v>2180</v>
      </c>
      <c r="I420" s="92" t="s">
        <v>2081</v>
      </c>
      <c r="J420" s="92" t="s">
        <v>60</v>
      </c>
      <c r="K420" s="92" t="s">
        <v>681</v>
      </c>
    </row>
    <row r="421" spans="1:11" ht="13.8">
      <c r="A421" s="47" t="s">
        <v>2176</v>
      </c>
      <c r="B421" s="92" t="s">
        <v>2177</v>
      </c>
      <c r="C421" s="92" t="s">
        <v>2178</v>
      </c>
      <c r="D421" s="72" t="str">
        <f>IFERROR(VLOOKUP(A421,'[1]ST-QA-ZZ5'!$C$5:$M$299,11,0),"Inspection at production line")</f>
        <v>Inspection at production line</v>
      </c>
      <c r="F421" s="92" t="s">
        <v>2183</v>
      </c>
      <c r="G421" s="92" t="s">
        <v>2137</v>
      </c>
      <c r="H421" s="92" t="s">
        <v>2184</v>
      </c>
      <c r="I421" s="92" t="s">
        <v>2081</v>
      </c>
      <c r="J421" s="92" t="s">
        <v>60</v>
      </c>
      <c r="K421" s="92" t="s">
        <v>681</v>
      </c>
    </row>
    <row r="422" spans="1:11" ht="13.8">
      <c r="A422" s="47" t="s">
        <v>2181</v>
      </c>
      <c r="B422" s="92" t="s">
        <v>2182</v>
      </c>
      <c r="C422" s="92" t="s">
        <v>2182</v>
      </c>
      <c r="D422" s="72" t="str">
        <f>IFERROR(VLOOKUP(A422,'[1]ST-QA-ZZ5'!$C$5:$M$299,11,0),"Inspection at production line")</f>
        <v>Inspection at production line</v>
      </c>
      <c r="F422" s="92" t="s">
        <v>2183</v>
      </c>
      <c r="G422" s="92" t="s">
        <v>2137</v>
      </c>
      <c r="H422" s="92" t="s">
        <v>2184</v>
      </c>
      <c r="I422" s="92" t="s">
        <v>2081</v>
      </c>
      <c r="J422" s="92" t="s">
        <v>60</v>
      </c>
      <c r="K422" s="92" t="s">
        <v>681</v>
      </c>
    </row>
    <row r="423" spans="1:11" ht="13.8">
      <c r="A423" s="47" t="s">
        <v>2185</v>
      </c>
      <c r="B423" s="92" t="s">
        <v>2186</v>
      </c>
      <c r="C423" s="92" t="s">
        <v>2186</v>
      </c>
      <c r="D423" s="72" t="str">
        <f>IFERROR(VLOOKUP(A423,'[1]ST-QA-ZZ5'!$C$5:$M$299,11,0),"Inspection at production line")</f>
        <v>Inspection at production line</v>
      </c>
      <c r="F423" s="92" t="s">
        <v>2189</v>
      </c>
      <c r="G423" s="92" t="s">
        <v>2190</v>
      </c>
      <c r="H423" s="92" t="s">
        <v>2191</v>
      </c>
      <c r="I423" s="92" t="s">
        <v>2081</v>
      </c>
      <c r="J423" s="92" t="s">
        <v>60</v>
      </c>
      <c r="K423" s="92" t="s">
        <v>681</v>
      </c>
    </row>
    <row r="424" spans="1:11" ht="13.8">
      <c r="A424" s="47" t="s">
        <v>2187</v>
      </c>
      <c r="B424" s="92" t="s">
        <v>2188</v>
      </c>
      <c r="C424" s="92" t="s">
        <v>2188</v>
      </c>
      <c r="D424" s="72" t="str">
        <f>IFERROR(VLOOKUP(A424,'[1]ST-QA-ZZ5'!$C$5:$M$299,11,0),"Inspection at production line")</f>
        <v>Inspection at production line</v>
      </c>
      <c r="F424" s="92" t="s">
        <v>2193</v>
      </c>
      <c r="G424" s="92" t="s">
        <v>2190</v>
      </c>
      <c r="H424" s="92" t="s">
        <v>2194</v>
      </c>
      <c r="I424" s="92" t="s">
        <v>2081</v>
      </c>
      <c r="J424" s="92" t="s">
        <v>60</v>
      </c>
      <c r="K424" s="92" t="s">
        <v>681</v>
      </c>
    </row>
    <row r="425" spans="1:11" ht="13.8">
      <c r="A425" s="47" t="s">
        <v>2192</v>
      </c>
      <c r="B425" s="92" t="s">
        <v>940</v>
      </c>
      <c r="C425" s="92" t="s">
        <v>940</v>
      </c>
      <c r="D425" s="72" t="str">
        <f>IFERROR(VLOOKUP(A425,'[1]ST-QA-ZZ5'!$C$5:$M$299,11,0),"Inspection at production line")</f>
        <v>Inspection at production line</v>
      </c>
      <c r="F425" s="92" t="s">
        <v>2197</v>
      </c>
      <c r="G425" s="92" t="s">
        <v>2198</v>
      </c>
      <c r="H425" s="92" t="s">
        <v>2199</v>
      </c>
      <c r="I425" s="92" t="s">
        <v>2081</v>
      </c>
      <c r="J425" s="92" t="s">
        <v>60</v>
      </c>
      <c r="K425" s="92" t="s">
        <v>681</v>
      </c>
    </row>
    <row r="426" spans="1:11" ht="13.8">
      <c r="A426" s="47" t="s">
        <v>2195</v>
      </c>
      <c r="B426" s="92" t="s">
        <v>2131</v>
      </c>
      <c r="C426" s="92" t="s">
        <v>2196</v>
      </c>
      <c r="D426" s="72" t="str">
        <f>IFERROR(VLOOKUP(A426,'[1]ST-QA-ZZ5'!$C$5:$M$299,11,0),"Inspection at production line")</f>
        <v>Inspection at production line</v>
      </c>
      <c r="F426" s="92" t="s">
        <v>2202</v>
      </c>
      <c r="G426" s="92" t="s">
        <v>2190</v>
      </c>
      <c r="H426" s="92" t="s">
        <v>2203</v>
      </c>
      <c r="I426" s="92" t="s">
        <v>2081</v>
      </c>
      <c r="J426" s="92" t="s">
        <v>60</v>
      </c>
      <c r="K426" s="92" t="s">
        <v>681</v>
      </c>
    </row>
    <row r="427" spans="1:11" ht="13.8">
      <c r="A427" s="47" t="s">
        <v>2200</v>
      </c>
      <c r="B427" s="92" t="s">
        <v>1070</v>
      </c>
      <c r="C427" s="92" t="s">
        <v>2201</v>
      </c>
      <c r="D427" s="72" t="str">
        <f>IFERROR(VLOOKUP(A427,'[1]ST-QA-ZZ5'!$C$5:$M$299,11,0),"Inspection at production line")</f>
        <v>Inspection at production line</v>
      </c>
      <c r="F427" s="92" t="s">
        <v>2207</v>
      </c>
      <c r="G427" s="92" t="s">
        <v>2198</v>
      </c>
      <c r="H427" s="92" t="s">
        <v>2208</v>
      </c>
      <c r="I427" s="92" t="s">
        <v>2081</v>
      </c>
      <c r="J427" s="92" t="s">
        <v>60</v>
      </c>
      <c r="K427" s="92" t="s">
        <v>681</v>
      </c>
    </row>
    <row r="428" spans="1:11" ht="13.8">
      <c r="A428" s="47" t="s">
        <v>2204</v>
      </c>
      <c r="B428" s="92" t="s">
        <v>2205</v>
      </c>
      <c r="C428" s="92" t="s">
        <v>2206</v>
      </c>
      <c r="D428" s="72" t="str">
        <f>IFERROR(VLOOKUP(A428,'[1]ST-QA-ZZ5'!$C$5:$M$299,11,0),"Inspection at production line")</f>
        <v>Inspection at production line</v>
      </c>
      <c r="F428" s="92" t="s">
        <v>2212</v>
      </c>
      <c r="G428" s="92" t="s">
        <v>75</v>
      </c>
      <c r="H428" s="92" t="s">
        <v>2213</v>
      </c>
      <c r="I428" s="92" t="s">
        <v>2081</v>
      </c>
      <c r="J428" s="92" t="s">
        <v>60</v>
      </c>
      <c r="K428" s="92" t="s">
        <v>681</v>
      </c>
    </row>
    <row r="429" spans="1:11" ht="13.8">
      <c r="A429" s="47" t="s">
        <v>2209</v>
      </c>
      <c r="B429" s="92" t="s">
        <v>2210</v>
      </c>
      <c r="C429" s="92" t="s">
        <v>2211</v>
      </c>
      <c r="D429" s="72" t="str">
        <f>IFERROR(VLOOKUP(A429,'[1]ST-QA-ZZ5'!$C$5:$M$299,11,0),"Inspection at production line")</f>
        <v>Inspection at production line</v>
      </c>
      <c r="F429" s="92" t="s">
        <v>2217</v>
      </c>
      <c r="G429" s="92" t="s">
        <v>75</v>
      </c>
      <c r="H429" s="92" t="s">
        <v>2218</v>
      </c>
      <c r="I429" s="92" t="s">
        <v>2081</v>
      </c>
      <c r="J429" s="92" t="s">
        <v>60</v>
      </c>
      <c r="K429" s="92" t="s">
        <v>681</v>
      </c>
    </row>
    <row r="430" spans="1:11" ht="13.8">
      <c r="A430" s="47" t="s">
        <v>2214</v>
      </c>
      <c r="B430" s="92" t="s">
        <v>2215</v>
      </c>
      <c r="C430" s="92" t="s">
        <v>2216</v>
      </c>
      <c r="D430" s="72" t="str">
        <f>IFERROR(VLOOKUP(A430,'[1]ST-QA-ZZ5'!$C$5:$M$299,11,0),"Inspection at production line")</f>
        <v>Inspection at production line</v>
      </c>
      <c r="F430" s="92" t="s">
        <v>2220</v>
      </c>
      <c r="G430" s="92" t="s">
        <v>75</v>
      </c>
      <c r="H430" s="92" t="s">
        <v>2221</v>
      </c>
      <c r="I430" s="92" t="s">
        <v>2081</v>
      </c>
      <c r="J430" s="92" t="s">
        <v>60</v>
      </c>
      <c r="K430" s="92" t="s">
        <v>681</v>
      </c>
    </row>
    <row r="431" spans="1:11" ht="13.8">
      <c r="A431" s="47" t="s">
        <v>2219</v>
      </c>
      <c r="B431" s="92" t="s">
        <v>2215</v>
      </c>
      <c r="C431" s="92" t="s">
        <v>2216</v>
      </c>
      <c r="D431" s="72" t="str">
        <f>IFERROR(VLOOKUP(A431,'[1]ST-QA-ZZ5'!$C$5:$M$299,11,0),"Inspection at production line")</f>
        <v>Inspection at production line</v>
      </c>
      <c r="F431" s="92" t="s">
        <v>2225</v>
      </c>
      <c r="G431" s="92" t="s">
        <v>75</v>
      </c>
      <c r="H431" s="92" t="s">
        <v>2226</v>
      </c>
      <c r="I431" s="92" t="s">
        <v>2081</v>
      </c>
      <c r="J431" s="92" t="s">
        <v>60</v>
      </c>
      <c r="K431" s="92" t="s">
        <v>681</v>
      </c>
    </row>
    <row r="432" spans="1:11" ht="13.8">
      <c r="A432" s="47" t="s">
        <v>2222</v>
      </c>
      <c r="B432" s="92" t="s">
        <v>2223</v>
      </c>
      <c r="C432" s="94" t="s">
        <v>2224</v>
      </c>
      <c r="D432" s="72" t="str">
        <f>IFERROR(VLOOKUP(A432,'[1]ST-QA-ZZ5'!$C$5:$M$299,11,0),"Inspection at production line")</f>
        <v>Inspection at production line</v>
      </c>
      <c r="F432" s="92" t="s">
        <v>2230</v>
      </c>
      <c r="G432" s="92" t="s">
        <v>75</v>
      </c>
      <c r="H432" s="92" t="s">
        <v>2231</v>
      </c>
      <c r="I432" s="92" t="s">
        <v>2081</v>
      </c>
      <c r="J432" s="92" t="s">
        <v>60</v>
      </c>
      <c r="K432" s="92" t="s">
        <v>681</v>
      </c>
    </row>
    <row r="433" spans="1:11" ht="13.8">
      <c r="A433" s="47" t="s">
        <v>2227</v>
      </c>
      <c r="B433" s="92" t="s">
        <v>2228</v>
      </c>
      <c r="C433" s="92" t="s">
        <v>2229</v>
      </c>
      <c r="D433" s="72" t="str">
        <f>IFERROR(VLOOKUP(A433,'[1]ST-QA-ZZ5'!$C$5:$M$299,11,0),"Inspection at production line")</f>
        <v>Inspection at production line</v>
      </c>
      <c r="F433" s="92" t="s">
        <v>2234</v>
      </c>
      <c r="G433" s="92" t="s">
        <v>75</v>
      </c>
      <c r="H433" s="92" t="s">
        <v>2235</v>
      </c>
      <c r="I433" s="92" t="s">
        <v>2081</v>
      </c>
      <c r="J433" s="92" t="s">
        <v>60</v>
      </c>
      <c r="K433" s="92" t="s">
        <v>681</v>
      </c>
    </row>
    <row r="434" spans="1:11" ht="13.8">
      <c r="A434" s="47" t="s">
        <v>2232</v>
      </c>
      <c r="B434" s="92" t="s">
        <v>2223</v>
      </c>
      <c r="C434" s="92" t="s">
        <v>2233</v>
      </c>
      <c r="D434" s="72" t="str">
        <f>IFERROR(VLOOKUP(A434,'[1]ST-QA-ZZ5'!$C$5:$M$299,11,0),"Inspection at production line")</f>
        <v>Inspection at production line</v>
      </c>
      <c r="F434" s="92" t="s">
        <v>2238</v>
      </c>
      <c r="G434" s="92" t="s">
        <v>75</v>
      </c>
      <c r="H434" s="92" t="s">
        <v>2239</v>
      </c>
      <c r="I434" s="92" t="s">
        <v>2081</v>
      </c>
      <c r="J434" s="92" t="s">
        <v>60</v>
      </c>
      <c r="K434" s="92" t="s">
        <v>681</v>
      </c>
    </row>
    <row r="435" spans="1:11" ht="13.8">
      <c r="A435" s="47" t="s">
        <v>2236</v>
      </c>
      <c r="B435" s="92" t="s">
        <v>2223</v>
      </c>
      <c r="C435" s="92" t="s">
        <v>2237</v>
      </c>
      <c r="D435" s="72" t="str">
        <f>IFERROR(VLOOKUP(A435,'[1]ST-QA-ZZ5'!$C$5:$M$299,11,0),"Inspection at production line")</f>
        <v>Inspection at production line</v>
      </c>
      <c r="F435" s="92" t="s">
        <v>2242</v>
      </c>
      <c r="G435" s="92" t="s">
        <v>75</v>
      </c>
      <c r="H435" s="92" t="s">
        <v>2243</v>
      </c>
      <c r="I435" s="92" t="s">
        <v>2081</v>
      </c>
      <c r="J435" s="92" t="s">
        <v>60</v>
      </c>
      <c r="K435" s="92" t="s">
        <v>681</v>
      </c>
    </row>
    <row r="436" spans="1:11" ht="13.8">
      <c r="A436" s="47" t="s">
        <v>2240</v>
      </c>
      <c r="B436" s="92" t="s">
        <v>2223</v>
      </c>
      <c r="C436" s="92" t="s">
        <v>2241</v>
      </c>
      <c r="D436" s="72" t="str">
        <f>IFERROR(VLOOKUP(A436,'[1]ST-QA-ZZ5'!$C$5:$M$299,11,0),"Inspection at production line")</f>
        <v>Inspection at production line</v>
      </c>
      <c r="F436" s="92" t="s">
        <v>2247</v>
      </c>
      <c r="G436" s="92" t="s">
        <v>1543</v>
      </c>
      <c r="H436" s="92" t="s">
        <v>2248</v>
      </c>
      <c r="I436" s="92" t="s">
        <v>2081</v>
      </c>
      <c r="J436" s="92" t="s">
        <v>60</v>
      </c>
      <c r="K436" s="92" t="s">
        <v>681</v>
      </c>
    </row>
    <row r="437" spans="1:11" ht="13.8">
      <c r="A437" s="47" t="s">
        <v>2244</v>
      </c>
      <c r="B437" s="92" t="s">
        <v>2245</v>
      </c>
      <c r="C437" s="92" t="s">
        <v>2246</v>
      </c>
      <c r="D437" s="72" t="str">
        <f>IFERROR(VLOOKUP(A437,'[1]ST-QA-ZZ5'!$C$5:$M$299,11,0),"Inspection at production line")</f>
        <v>Inspection at production line</v>
      </c>
      <c r="F437" s="92" t="s">
        <v>2251</v>
      </c>
      <c r="G437" s="92" t="s">
        <v>1554</v>
      </c>
      <c r="H437" s="92" t="s">
        <v>2252</v>
      </c>
      <c r="I437" s="92" t="s">
        <v>2081</v>
      </c>
      <c r="J437" s="92" t="s">
        <v>60</v>
      </c>
      <c r="K437" s="92" t="s">
        <v>681</v>
      </c>
    </row>
    <row r="438" spans="1:11" ht="13.8">
      <c r="A438" s="47" t="s">
        <v>2249</v>
      </c>
      <c r="B438" s="92" t="s">
        <v>2250</v>
      </c>
      <c r="C438" s="92" t="s">
        <v>2250</v>
      </c>
      <c r="D438" s="72" t="str">
        <f>IFERROR(VLOOKUP(A438,'[1]ST-QA-ZZ5'!$C$5:$M$299,11,0),"Inspection at production line")</f>
        <v>Inspection at production line</v>
      </c>
      <c r="F438" s="92" t="s">
        <v>2255</v>
      </c>
      <c r="G438" s="92" t="s">
        <v>1193</v>
      </c>
      <c r="H438" s="92" t="s">
        <v>2256</v>
      </c>
      <c r="I438" s="92" t="s">
        <v>2081</v>
      </c>
      <c r="J438" s="92" t="s">
        <v>60</v>
      </c>
      <c r="K438" s="92" t="s">
        <v>681</v>
      </c>
    </row>
    <row r="439" spans="1:11" ht="13.8">
      <c r="A439" s="47" t="s">
        <v>2253</v>
      </c>
      <c r="B439" s="92" t="s">
        <v>2254</v>
      </c>
      <c r="C439" s="92" t="s">
        <v>2254</v>
      </c>
      <c r="D439" s="72" t="str">
        <f>IFERROR(VLOOKUP(A439,'[1]ST-QA-ZZ5'!$C$5:$M$299,11,0),"Inspection at production line")</f>
        <v>Inspection at production line</v>
      </c>
      <c r="F439" s="92" t="s">
        <v>2259</v>
      </c>
      <c r="G439" s="92" t="s">
        <v>2260</v>
      </c>
      <c r="H439" s="92" t="s">
        <v>2261</v>
      </c>
      <c r="I439" s="92" t="s">
        <v>2081</v>
      </c>
      <c r="J439" s="92" t="s">
        <v>60</v>
      </c>
      <c r="K439" s="92" t="s">
        <v>681</v>
      </c>
    </row>
    <row r="440" spans="1:11" ht="13.8">
      <c r="A440" s="47" t="s">
        <v>2257</v>
      </c>
      <c r="B440" s="92" t="s">
        <v>2258</v>
      </c>
      <c r="C440" s="92" t="s">
        <v>2258</v>
      </c>
      <c r="D440" s="72" t="str">
        <f>IFERROR(VLOOKUP(A440,'[1]ST-QA-ZZ5'!$C$5:$M$299,11,0),"Inspection at production line")</f>
        <v>Inspection at production line</v>
      </c>
      <c r="F440" s="92" t="s">
        <v>2265</v>
      </c>
      <c r="G440" s="92" t="s">
        <v>1219</v>
      </c>
      <c r="H440" s="92" t="s">
        <v>2266</v>
      </c>
      <c r="I440" s="92" t="s">
        <v>2081</v>
      </c>
      <c r="J440" s="92" t="s">
        <v>60</v>
      </c>
      <c r="K440" s="92" t="s">
        <v>681</v>
      </c>
    </row>
    <row r="441" spans="1:11" ht="13.8">
      <c r="A441" s="47" t="s">
        <v>2262</v>
      </c>
      <c r="B441" s="92" t="s">
        <v>2263</v>
      </c>
      <c r="C441" s="92" t="s">
        <v>2264</v>
      </c>
      <c r="D441" s="72" t="str">
        <f>IFERROR(VLOOKUP(A441,'[1]ST-QA-ZZ5'!$C$5:$M$299,11,0),"Inspection at production line")</f>
        <v>Inspection at production line</v>
      </c>
      <c r="F441" s="92" t="s">
        <v>2269</v>
      </c>
      <c r="G441" s="92" t="s">
        <v>1219</v>
      </c>
      <c r="H441" s="92" t="s">
        <v>2270</v>
      </c>
      <c r="I441" s="92" t="s">
        <v>2081</v>
      </c>
      <c r="J441" s="92" t="s">
        <v>60</v>
      </c>
      <c r="K441" s="92" t="s">
        <v>681</v>
      </c>
    </row>
    <row r="442" spans="1:11" ht="13.8">
      <c r="A442" s="47" t="s">
        <v>2267</v>
      </c>
      <c r="B442" s="92" t="s">
        <v>2268</v>
      </c>
      <c r="C442" s="92" t="s">
        <v>2268</v>
      </c>
      <c r="D442" s="72" t="str">
        <f>IFERROR(VLOOKUP(A442,'[1]ST-QA-ZZ5'!$C$5:$M$299,11,0),"Inspection at production line")</f>
        <v>Inspection at production line</v>
      </c>
      <c r="F442" s="92" t="s">
        <v>2273</v>
      </c>
      <c r="G442" s="92" t="s">
        <v>90</v>
      </c>
      <c r="H442" s="92" t="s">
        <v>2274</v>
      </c>
      <c r="I442" s="92" t="s">
        <v>2081</v>
      </c>
      <c r="J442" s="92" t="s">
        <v>60</v>
      </c>
      <c r="K442" s="92" t="s">
        <v>681</v>
      </c>
    </row>
    <row r="443" spans="1:11" ht="13.8">
      <c r="A443" s="47" t="s">
        <v>2271</v>
      </c>
      <c r="B443" s="92" t="s">
        <v>2272</v>
      </c>
      <c r="C443" s="92" t="s">
        <v>2272</v>
      </c>
      <c r="D443" s="72" t="str">
        <f>IFERROR(VLOOKUP(A443,'[1]ST-QA-ZZ5'!$C$5:$M$299,11,0),"Inspection at production line")</f>
        <v>Inspection at production line</v>
      </c>
      <c r="F443" s="92" t="s">
        <v>2277</v>
      </c>
      <c r="G443" s="92" t="s">
        <v>90</v>
      </c>
      <c r="H443" s="92" t="s">
        <v>2278</v>
      </c>
      <c r="I443" s="92" t="s">
        <v>2081</v>
      </c>
      <c r="J443" s="92" t="s">
        <v>60</v>
      </c>
      <c r="K443" s="92" t="s">
        <v>681</v>
      </c>
    </row>
    <row r="444" spans="1:11" ht="13.8">
      <c r="A444" s="47" t="s">
        <v>2275</v>
      </c>
      <c r="B444" s="92" t="s">
        <v>2276</v>
      </c>
      <c r="C444" s="92" t="s">
        <v>2276</v>
      </c>
      <c r="D444" s="72" t="str">
        <f>IFERROR(VLOOKUP(A444,'[1]ST-QA-ZZ5'!$C$5:$M$299,11,0),"Inspection at production line")</f>
        <v>Inspection at production line</v>
      </c>
      <c r="F444" s="92" t="s">
        <v>2282</v>
      </c>
      <c r="G444" s="92" t="s">
        <v>2283</v>
      </c>
      <c r="H444" s="92" t="s">
        <v>2283</v>
      </c>
      <c r="I444" s="92" t="s">
        <v>2081</v>
      </c>
      <c r="J444" s="92" t="s">
        <v>60</v>
      </c>
      <c r="K444" s="92" t="s">
        <v>681</v>
      </c>
    </row>
    <row r="445" spans="1:11" ht="13.8">
      <c r="A445" s="47" t="s">
        <v>2279</v>
      </c>
      <c r="B445" s="92" t="s">
        <v>2280</v>
      </c>
      <c r="C445" s="92" t="s">
        <v>2281</v>
      </c>
      <c r="D445" s="72" t="str">
        <f>IFERROR(VLOOKUP(A445,'[1]ST-QA-ZZ5'!$C$5:$M$299,11,0),"Inspection at production line")</f>
        <v>Inspection at production line</v>
      </c>
      <c r="F445" s="92" t="s">
        <v>2287</v>
      </c>
      <c r="G445" s="92" t="s">
        <v>2288</v>
      </c>
      <c r="H445" s="92" t="s">
        <v>2289</v>
      </c>
      <c r="I445" s="92" t="s">
        <v>2081</v>
      </c>
      <c r="J445" s="92" t="s">
        <v>60</v>
      </c>
      <c r="K445" s="92" t="s">
        <v>681</v>
      </c>
    </row>
    <row r="446" spans="1:11" ht="13.8">
      <c r="A446" s="47" t="s">
        <v>2284</v>
      </c>
      <c r="B446" s="92" t="s">
        <v>2285</v>
      </c>
      <c r="C446" s="92" t="s">
        <v>2286</v>
      </c>
      <c r="D446" s="72" t="str">
        <f>IFERROR(VLOOKUP(A446,'[1]ST-QA-ZZ5'!$C$5:$M$299,11,0),"Inspection at production line")</f>
        <v>Inspection at production line</v>
      </c>
      <c r="F446" s="92" t="s">
        <v>2293</v>
      </c>
      <c r="G446" s="92" t="s">
        <v>2294</v>
      </c>
      <c r="H446" s="92" t="s">
        <v>2295</v>
      </c>
      <c r="I446" s="92" t="s">
        <v>2081</v>
      </c>
      <c r="J446" s="92" t="s">
        <v>60</v>
      </c>
      <c r="K446" s="92" t="s">
        <v>681</v>
      </c>
    </row>
    <row r="447" spans="1:11" ht="13.8">
      <c r="A447" s="47" t="s">
        <v>2290</v>
      </c>
      <c r="B447" s="92" t="s">
        <v>2291</v>
      </c>
      <c r="C447" s="92" t="s">
        <v>2292</v>
      </c>
      <c r="D447" s="72" t="str">
        <f>IFERROR(VLOOKUP(A447,'[1]ST-QA-ZZ5'!$C$5:$M$299,11,0),"Inspection at production line")</f>
        <v>Inspection at production line</v>
      </c>
      <c r="F447" s="92" t="s">
        <v>2298</v>
      </c>
      <c r="G447" s="92" t="s">
        <v>57</v>
      </c>
      <c r="H447" s="92" t="s">
        <v>2299</v>
      </c>
      <c r="I447" s="92" t="s">
        <v>2300</v>
      </c>
      <c r="J447" s="92" t="s">
        <v>60</v>
      </c>
      <c r="K447" s="92" t="s">
        <v>681</v>
      </c>
    </row>
    <row r="448" spans="1:11" ht="13.8">
      <c r="A448" s="47" t="s">
        <v>2296</v>
      </c>
      <c r="B448" s="92" t="s">
        <v>2297</v>
      </c>
      <c r="C448" s="92" t="s">
        <v>2297</v>
      </c>
      <c r="D448" s="72" t="str">
        <f>IFERROR(VLOOKUP(A448,'[1]ST-QA-ZZ5'!$C$5:$M$299,11,0),"Inspection at production line")</f>
        <v>Inspection at production line</v>
      </c>
      <c r="F448" s="92" t="s">
        <v>2304</v>
      </c>
      <c r="G448" s="92" t="s">
        <v>2305</v>
      </c>
      <c r="H448" s="92" t="s">
        <v>2306</v>
      </c>
      <c r="I448" s="92" t="s">
        <v>2300</v>
      </c>
      <c r="J448" s="92" t="s">
        <v>60</v>
      </c>
      <c r="K448" s="92" t="s">
        <v>681</v>
      </c>
    </row>
    <row r="449" spans="1:11" ht="13.8">
      <c r="A449" s="47" t="s">
        <v>2301</v>
      </c>
      <c r="B449" s="92" t="s">
        <v>2302</v>
      </c>
      <c r="C449" s="92" t="s">
        <v>2303</v>
      </c>
      <c r="D449" s="72" t="str">
        <f>IFERROR(VLOOKUP(A449,'[1]ST-QA-ZZ5'!$C$5:$M$299,11,0),"Inspection at production line")</f>
        <v>Inspection at production line</v>
      </c>
      <c r="F449" s="92" t="s">
        <v>2309</v>
      </c>
      <c r="G449" s="92" t="s">
        <v>174</v>
      </c>
      <c r="H449" s="92" t="s">
        <v>2310</v>
      </c>
      <c r="I449" s="92" t="s">
        <v>2300</v>
      </c>
      <c r="J449" s="92" t="s">
        <v>60</v>
      </c>
      <c r="K449" s="92" t="s">
        <v>681</v>
      </c>
    </row>
    <row r="450" spans="1:11" ht="13.8">
      <c r="A450" s="47" t="s">
        <v>2307</v>
      </c>
      <c r="B450" s="92" t="s">
        <v>2302</v>
      </c>
      <c r="C450" s="92" t="s">
        <v>2308</v>
      </c>
      <c r="D450" s="72" t="str">
        <f>IFERROR(VLOOKUP(A450,'[1]ST-QA-ZZ5'!$C$5:$M$299,11,0),"Inspection at production line")</f>
        <v>Inspection at production line</v>
      </c>
      <c r="F450" s="92" t="s">
        <v>51</v>
      </c>
      <c r="G450" s="92" t="s">
        <v>555</v>
      </c>
      <c r="H450" s="92" t="s">
        <v>2314</v>
      </c>
      <c r="I450" s="92" t="s">
        <v>974</v>
      </c>
      <c r="J450" s="92" t="s">
        <v>71</v>
      </c>
      <c r="K450" s="92" t="s">
        <v>681</v>
      </c>
    </row>
    <row r="451" spans="1:11" ht="13.8">
      <c r="A451" s="47" t="s">
        <v>2311</v>
      </c>
      <c r="B451" s="92" t="s">
        <v>2312</v>
      </c>
      <c r="C451" s="92" t="s">
        <v>2313</v>
      </c>
      <c r="D451" s="72" t="str">
        <f>IFERROR(VLOOKUP(A451,'[1]ST-QA-ZZ5'!$C$5:$M$299,11,0),"Inspection at production line")</f>
        <v>Inspection at production line</v>
      </c>
      <c r="F451" s="92" t="s">
        <v>235</v>
      </c>
      <c r="G451" s="92" t="s">
        <v>838</v>
      </c>
      <c r="H451" s="92" t="s">
        <v>1647</v>
      </c>
      <c r="I451" s="92" t="s">
        <v>974</v>
      </c>
      <c r="J451" s="92" t="s">
        <v>2317</v>
      </c>
      <c r="K451" s="92" t="s">
        <v>681</v>
      </c>
    </row>
    <row r="452" spans="1:11" ht="13.8">
      <c r="A452" s="47" t="s">
        <v>2315</v>
      </c>
      <c r="B452" s="92" t="s">
        <v>2316</v>
      </c>
      <c r="C452" s="92" t="s">
        <v>2316</v>
      </c>
      <c r="D452" s="72" t="str">
        <f>IFERROR(VLOOKUP(A452,'[1]ST-QA-ZZ5'!$C$5:$M$299,11,0),"Inspection at production line")</f>
        <v>Inspection at production line</v>
      </c>
      <c r="F452" s="92" t="s">
        <v>2320</v>
      </c>
      <c r="G452" s="92" t="s">
        <v>2321</v>
      </c>
      <c r="H452" s="92" t="s">
        <v>2321</v>
      </c>
      <c r="I452" s="92" t="s">
        <v>974</v>
      </c>
      <c r="J452" s="92" t="s">
        <v>71</v>
      </c>
      <c r="K452" s="92" t="s">
        <v>681</v>
      </c>
    </row>
    <row r="453" spans="1:11" ht="13.8">
      <c r="A453" s="47" t="s">
        <v>2318</v>
      </c>
      <c r="B453" s="92" t="s">
        <v>2319</v>
      </c>
      <c r="C453" s="92" t="s">
        <v>2319</v>
      </c>
      <c r="D453" s="72" t="str">
        <f>IFERROR(VLOOKUP(A453,'[1]ST-QA-ZZ5'!$C$5:$M$299,11,0),"Inspection at production line")</f>
        <v>Inspection at production line</v>
      </c>
      <c r="F453" s="92" t="s">
        <v>2324</v>
      </c>
      <c r="G453" s="92" t="s">
        <v>555</v>
      </c>
      <c r="H453" s="92" t="s">
        <v>2325</v>
      </c>
      <c r="I453" s="92" t="s">
        <v>974</v>
      </c>
      <c r="J453" s="92" t="s">
        <v>71</v>
      </c>
      <c r="K453" s="92" t="s">
        <v>681</v>
      </c>
    </row>
    <row r="454" spans="1:11" ht="13.8">
      <c r="A454" s="47" t="s">
        <v>2322</v>
      </c>
      <c r="B454" s="92" t="s">
        <v>2323</v>
      </c>
      <c r="C454" s="92" t="s">
        <v>2323</v>
      </c>
      <c r="D454" s="72" t="str">
        <f>IFERROR(VLOOKUP(A454,'[1]ST-QA-ZZ5'!$C$5:$M$299,11,0),"Inspection at production line")</f>
        <v>Inspection at production line</v>
      </c>
      <c r="F454" s="92" t="s">
        <v>2328</v>
      </c>
      <c r="G454" s="92" t="s">
        <v>555</v>
      </c>
      <c r="H454" s="92" t="s">
        <v>2329</v>
      </c>
      <c r="I454" s="92" t="s">
        <v>974</v>
      </c>
      <c r="J454" s="92" t="s">
        <v>71</v>
      </c>
      <c r="K454" s="92" t="s">
        <v>681</v>
      </c>
    </row>
    <row r="455" spans="1:11" ht="13.8">
      <c r="A455" s="47" t="s">
        <v>2326</v>
      </c>
      <c r="B455" s="92" t="s">
        <v>2327</v>
      </c>
      <c r="C455" s="92" t="s">
        <v>2327</v>
      </c>
      <c r="D455" s="72" t="str">
        <f>IFERROR(VLOOKUP(A455,'[1]ST-QA-ZZ5'!$C$5:$M$299,11,0),"Inspection at production line")</f>
        <v>Inspection at production line</v>
      </c>
      <c r="F455" s="92" t="s">
        <v>2332</v>
      </c>
      <c r="G455" s="92" t="s">
        <v>2321</v>
      </c>
      <c r="H455" s="92" t="s">
        <v>2321</v>
      </c>
      <c r="I455" s="92" t="s">
        <v>974</v>
      </c>
      <c r="J455" s="92" t="s">
        <v>71</v>
      </c>
      <c r="K455" s="92" t="s">
        <v>681</v>
      </c>
    </row>
    <row r="456" spans="1:11" ht="13.8">
      <c r="A456" s="47" t="s">
        <v>2330</v>
      </c>
      <c r="B456" s="92" t="s">
        <v>2331</v>
      </c>
      <c r="C456" s="92" t="s">
        <v>2331</v>
      </c>
      <c r="D456" s="72" t="str">
        <f>IFERROR(VLOOKUP(A456,'[1]ST-QA-ZZ5'!$C$5:$M$299,11,0),"Inspection at production line")</f>
        <v>Inspection at production line</v>
      </c>
      <c r="F456" s="92" t="s">
        <v>2335</v>
      </c>
      <c r="G456" s="92" t="s">
        <v>2336</v>
      </c>
      <c r="H456" s="92" t="s">
        <v>2336</v>
      </c>
      <c r="I456" s="92" t="s">
        <v>974</v>
      </c>
      <c r="J456" s="92" t="s">
        <v>60</v>
      </c>
      <c r="K456" s="92" t="s">
        <v>681</v>
      </c>
    </row>
    <row r="457" spans="1:11" ht="13.8">
      <c r="A457" s="47" t="s">
        <v>2333</v>
      </c>
      <c r="B457" s="92" t="s">
        <v>2334</v>
      </c>
      <c r="C457" s="92" t="s">
        <v>2334</v>
      </c>
      <c r="D457" s="72" t="str">
        <f>IFERROR(VLOOKUP(A457,'[1]ST-QA-ZZ5'!$C$5:$M$299,11,0),"Inspection at production line")</f>
        <v>Inspection at production line</v>
      </c>
      <c r="F457" s="92" t="s">
        <v>2339</v>
      </c>
      <c r="G457" s="92" t="s">
        <v>2340</v>
      </c>
      <c r="H457" s="92" t="s">
        <v>2340</v>
      </c>
      <c r="I457" s="92" t="s">
        <v>974</v>
      </c>
      <c r="J457" s="92" t="s">
        <v>60</v>
      </c>
      <c r="K457" s="92" t="s">
        <v>681</v>
      </c>
    </row>
    <row r="458" spans="1:11" ht="13.8">
      <c r="A458" s="47" t="s">
        <v>2337</v>
      </c>
      <c r="B458" s="92" t="s">
        <v>2338</v>
      </c>
      <c r="C458" s="92" t="s">
        <v>2338</v>
      </c>
      <c r="D458" s="72" t="str">
        <f>IFERROR(VLOOKUP(A458,'[1]ST-QA-ZZ5'!$C$5:$M$299,11,0),"Inspection at production line")</f>
        <v>Inspection at production line</v>
      </c>
      <c r="F458" s="92" t="s">
        <v>2343</v>
      </c>
      <c r="G458" s="92" t="s">
        <v>2344</v>
      </c>
      <c r="H458" s="92" t="s">
        <v>2344</v>
      </c>
      <c r="I458" s="92" t="s">
        <v>974</v>
      </c>
      <c r="J458" s="92" t="s">
        <v>60</v>
      </c>
      <c r="K458" s="92" t="s">
        <v>681</v>
      </c>
    </row>
    <row r="459" spans="1:11" ht="13.8">
      <c r="A459" s="47" t="s">
        <v>2341</v>
      </c>
      <c r="B459" s="92" t="s">
        <v>2342</v>
      </c>
      <c r="C459" s="92" t="s">
        <v>2342</v>
      </c>
      <c r="D459" s="72" t="str">
        <f>IFERROR(VLOOKUP(A459,'[1]ST-QA-ZZ5'!$C$5:$M$299,11,0),"Inspection at production line")</f>
        <v>Inspection at production line</v>
      </c>
      <c r="F459" s="92" t="s">
        <v>2347</v>
      </c>
      <c r="G459" s="92" t="s">
        <v>2321</v>
      </c>
      <c r="H459" s="92" t="s">
        <v>2321</v>
      </c>
      <c r="I459" s="92" t="s">
        <v>974</v>
      </c>
      <c r="J459" s="92" t="s">
        <v>71</v>
      </c>
      <c r="K459" s="92" t="s">
        <v>681</v>
      </c>
    </row>
    <row r="460" spans="1:11" ht="13.8">
      <c r="A460" s="47" t="s">
        <v>2345</v>
      </c>
      <c r="B460" s="92" t="s">
        <v>2346</v>
      </c>
      <c r="C460" s="92" t="s">
        <v>2346</v>
      </c>
      <c r="D460" s="72" t="str">
        <f>IFERROR(VLOOKUP(A460,'[1]ST-QA-ZZ5'!$C$5:$M$299,11,0),"Inspection at production line")</f>
        <v>Inspection at production line</v>
      </c>
      <c r="F460" s="92" t="s">
        <v>2350</v>
      </c>
      <c r="G460" s="92" t="s">
        <v>2321</v>
      </c>
      <c r="H460" s="92" t="s">
        <v>2321</v>
      </c>
      <c r="I460" s="92" t="s">
        <v>974</v>
      </c>
      <c r="J460" s="92" t="s">
        <v>71</v>
      </c>
      <c r="K460" s="92" t="s">
        <v>681</v>
      </c>
    </row>
    <row r="461" spans="1:11" ht="13.8">
      <c r="A461" s="47" t="s">
        <v>2348</v>
      </c>
      <c r="B461" s="92" t="s">
        <v>2349</v>
      </c>
      <c r="C461" s="92" t="s">
        <v>2349</v>
      </c>
      <c r="D461" s="72" t="str">
        <f>IFERROR(VLOOKUP(A461,'[1]ST-QA-ZZ5'!$C$5:$M$299,11,0),"Inspection at production line")</f>
        <v>Inspection at production line</v>
      </c>
      <c r="F461" s="92" t="s">
        <v>2354</v>
      </c>
      <c r="G461" s="92" t="s">
        <v>2355</v>
      </c>
      <c r="H461" s="92" t="s">
        <v>2355</v>
      </c>
      <c r="I461" s="92" t="s">
        <v>974</v>
      </c>
      <c r="J461" s="92" t="s">
        <v>71</v>
      </c>
      <c r="K461" s="92" t="s">
        <v>681</v>
      </c>
    </row>
    <row r="462" spans="1:11" ht="13.8">
      <c r="A462" s="47" t="s">
        <v>2351</v>
      </c>
      <c r="B462" s="92" t="s">
        <v>2352</v>
      </c>
      <c r="C462" s="92" t="s">
        <v>2353</v>
      </c>
      <c r="D462" s="72" t="str">
        <f>IFERROR(VLOOKUP(A462,'[1]ST-QA-ZZ5'!$C$5:$M$299,11,0),"Inspection at production line")</f>
        <v>Inspection at production line</v>
      </c>
      <c r="F462" s="92" t="s">
        <v>2359</v>
      </c>
      <c r="G462" s="92" t="s">
        <v>1257</v>
      </c>
      <c r="H462" s="92" t="s">
        <v>1257</v>
      </c>
      <c r="I462" s="92" t="s">
        <v>974</v>
      </c>
      <c r="J462" s="92" t="s">
        <v>60</v>
      </c>
      <c r="K462" s="92" t="s">
        <v>681</v>
      </c>
    </row>
    <row r="463" spans="1:11" ht="13.8">
      <c r="A463" s="47" t="s">
        <v>2356</v>
      </c>
      <c r="B463" s="92" t="s">
        <v>2357</v>
      </c>
      <c r="C463" s="92" t="s">
        <v>2358</v>
      </c>
      <c r="D463" s="72" t="str">
        <f>IFERROR(VLOOKUP(A463,'[1]ST-QA-ZZ5'!$C$5:$M$299,11,0),"Inspection at production line")</f>
        <v>Inspection at production line</v>
      </c>
      <c r="F463" s="95" t="s">
        <v>2363</v>
      </c>
      <c r="G463" s="95" t="s">
        <v>397</v>
      </c>
      <c r="H463" s="95" t="s">
        <v>2364</v>
      </c>
      <c r="I463" s="95" t="s">
        <v>1157</v>
      </c>
      <c r="J463" s="95" t="s">
        <v>60</v>
      </c>
      <c r="K463" s="92" t="s">
        <v>681</v>
      </c>
    </row>
    <row r="464" spans="1:11" ht="13.8">
      <c r="A464" s="47" t="s">
        <v>2360</v>
      </c>
      <c r="B464" s="92" t="s">
        <v>2361</v>
      </c>
      <c r="C464" s="92" t="s">
        <v>2362</v>
      </c>
      <c r="D464" s="72" t="str">
        <f>IFERROR(VLOOKUP(A464,'[1]ST-QA-ZZ5'!$C$5:$M$299,11,0),"Inspection at production line")</f>
        <v>Inspection at production line</v>
      </c>
      <c r="F464" s="95" t="s">
        <v>2367</v>
      </c>
      <c r="G464" s="95" t="s">
        <v>1167</v>
      </c>
      <c r="H464" s="95" t="s">
        <v>2368</v>
      </c>
      <c r="I464" s="95" t="s">
        <v>1157</v>
      </c>
      <c r="J464" s="95" t="s">
        <v>60</v>
      </c>
      <c r="K464" s="92" t="s">
        <v>681</v>
      </c>
    </row>
    <row r="465" spans="1:11" ht="13.8">
      <c r="A465" s="47" t="s">
        <v>2365</v>
      </c>
      <c r="B465" s="92" t="s">
        <v>2366</v>
      </c>
      <c r="C465" s="92" t="s">
        <v>2366</v>
      </c>
      <c r="D465" s="72" t="str">
        <f>IFERROR(VLOOKUP(A465,'[1]ST-QA-ZZ5'!$C$5:$M$299,11,0),"Inspection at production line")</f>
        <v>Inspection at production line</v>
      </c>
      <c r="F465" s="92" t="s">
        <v>2371</v>
      </c>
      <c r="G465" s="92" t="s">
        <v>1167</v>
      </c>
      <c r="H465" s="92" t="s">
        <v>2372</v>
      </c>
      <c r="I465" s="92" t="s">
        <v>1157</v>
      </c>
      <c r="J465" s="92" t="s">
        <v>60</v>
      </c>
      <c r="K465" s="92" t="s">
        <v>681</v>
      </c>
    </row>
    <row r="466" spans="1:11" ht="13.8">
      <c r="A466" s="47" t="s">
        <v>2369</v>
      </c>
      <c r="B466" s="92" t="s">
        <v>2370</v>
      </c>
      <c r="C466" s="92" t="s">
        <v>2370</v>
      </c>
      <c r="D466" s="72" t="str">
        <f>IFERROR(VLOOKUP(A466,'[1]ST-QA-ZZ5'!$C$5:$M$299,11,0),"Inspection at production line")</f>
        <v>Inspection at production line</v>
      </c>
      <c r="F466" s="92" t="s">
        <v>2375</v>
      </c>
      <c r="G466" s="92" t="s">
        <v>1167</v>
      </c>
      <c r="H466" s="92" t="s">
        <v>2376</v>
      </c>
      <c r="I466" s="92" t="s">
        <v>1157</v>
      </c>
      <c r="J466" s="92" t="s">
        <v>60</v>
      </c>
      <c r="K466" s="92" t="s">
        <v>681</v>
      </c>
    </row>
    <row r="467" spans="1:11" ht="13.8">
      <c r="A467" s="47" t="s">
        <v>2373</v>
      </c>
      <c r="B467" s="92" t="s">
        <v>2374</v>
      </c>
      <c r="C467" s="92" t="s">
        <v>2374</v>
      </c>
      <c r="D467" s="72" t="str">
        <f>IFERROR(VLOOKUP(A467,'[1]ST-QA-ZZ5'!$C$5:$M$299,11,0),"Inspection at production line")</f>
        <v>Inspection at production line</v>
      </c>
      <c r="F467" s="92" t="s">
        <v>2380</v>
      </c>
      <c r="G467" s="92" t="s">
        <v>865</v>
      </c>
      <c r="H467" s="92" t="s">
        <v>2381</v>
      </c>
      <c r="I467" s="92" t="s">
        <v>1157</v>
      </c>
      <c r="J467" s="92" t="s">
        <v>60</v>
      </c>
      <c r="K467" s="92" t="s">
        <v>681</v>
      </c>
    </row>
    <row r="468" spans="1:11" ht="13.8">
      <c r="A468" s="47" t="s">
        <v>2377</v>
      </c>
      <c r="B468" s="92" t="s">
        <v>2378</v>
      </c>
      <c r="C468" s="92" t="s">
        <v>2379</v>
      </c>
      <c r="D468" s="72" t="str">
        <f>IFERROR(VLOOKUP(A468,'[1]ST-QA-ZZ5'!$C$5:$M$299,11,0),"Inspection at production line")</f>
        <v>Inspection at production line</v>
      </c>
      <c r="F468" s="92" t="s">
        <v>2385</v>
      </c>
      <c r="G468" s="92" t="s">
        <v>865</v>
      </c>
      <c r="H468" s="92" t="s">
        <v>2386</v>
      </c>
      <c r="I468" s="92" t="s">
        <v>1157</v>
      </c>
      <c r="J468" s="92" t="s">
        <v>60</v>
      </c>
      <c r="K468" s="92" t="s">
        <v>681</v>
      </c>
    </row>
    <row r="469" spans="1:11" ht="13.8">
      <c r="A469" s="47" t="s">
        <v>2382</v>
      </c>
      <c r="B469" s="92" t="s">
        <v>2383</v>
      </c>
      <c r="C469" s="92" t="s">
        <v>2384</v>
      </c>
      <c r="D469" s="72" t="str">
        <f>IFERROR(VLOOKUP(A469,'[1]ST-QA-ZZ5'!$C$5:$M$299,11,0),"Inspection at production line")</f>
        <v>Inspection at production line</v>
      </c>
      <c r="F469" s="92" t="s">
        <v>2390</v>
      </c>
      <c r="G469" s="92" t="s">
        <v>1193</v>
      </c>
      <c r="H469" s="92" t="s">
        <v>2391</v>
      </c>
      <c r="I469" s="92" t="s">
        <v>1157</v>
      </c>
      <c r="J469" s="92" t="s">
        <v>60</v>
      </c>
      <c r="K469" s="92" t="s">
        <v>681</v>
      </c>
    </row>
    <row r="470" spans="1:11" ht="13.8">
      <c r="A470" s="47" t="s">
        <v>2387</v>
      </c>
      <c r="B470" s="92" t="s">
        <v>2388</v>
      </c>
      <c r="C470" s="92" t="s">
        <v>2389</v>
      </c>
      <c r="D470" s="72" t="str">
        <f>IFERROR(VLOOKUP(A470,'[1]ST-QA-ZZ5'!$C$5:$M$299,11,0),"Inspection at production line")</f>
        <v>Inspection at production line</v>
      </c>
      <c r="F470" s="92" t="s">
        <v>2395</v>
      </c>
      <c r="G470" s="92" t="s">
        <v>397</v>
      </c>
      <c r="H470" s="92" t="s">
        <v>2396</v>
      </c>
      <c r="I470" s="92" t="s">
        <v>1157</v>
      </c>
      <c r="J470" s="92" t="s">
        <v>60</v>
      </c>
      <c r="K470" s="92" t="s">
        <v>681</v>
      </c>
    </row>
    <row r="471" spans="1:11" ht="13.8">
      <c r="A471" s="47" t="s">
        <v>2392</v>
      </c>
      <c r="B471" s="92" t="s">
        <v>2393</v>
      </c>
      <c r="C471" s="92" t="s">
        <v>2394</v>
      </c>
      <c r="D471" s="72" t="str">
        <f>IFERROR(VLOOKUP(A471,'[1]ST-QA-ZZ5'!$C$5:$M$299,11,0),"Inspection at production line")</f>
        <v>Inspection at production line</v>
      </c>
      <c r="F471" s="92" t="s">
        <v>2400</v>
      </c>
      <c r="G471" s="92" t="s">
        <v>2137</v>
      </c>
      <c r="H471" s="92" t="s">
        <v>2184</v>
      </c>
      <c r="I471" s="92" t="s">
        <v>2081</v>
      </c>
      <c r="J471" s="92" t="s">
        <v>60</v>
      </c>
      <c r="K471" s="92" t="s">
        <v>681</v>
      </c>
    </row>
    <row r="472" spans="1:11" ht="13.8">
      <c r="A472" s="47" t="s">
        <v>2397</v>
      </c>
      <c r="B472" s="92" t="s">
        <v>2398</v>
      </c>
      <c r="C472" s="92" t="s">
        <v>2399</v>
      </c>
      <c r="D472" s="72" t="str">
        <f>IFERROR(VLOOKUP(A472,'[1]ST-QA-ZZ5'!$C$5:$M$299,11,0),"Inspection at production line")</f>
        <v>Inspection at production line</v>
      </c>
      <c r="F472" s="92" t="s">
        <v>2404</v>
      </c>
      <c r="G472" s="92" t="s">
        <v>785</v>
      </c>
      <c r="H472" s="92" t="s">
        <v>2405</v>
      </c>
      <c r="I472" s="92" t="s">
        <v>974</v>
      </c>
      <c r="J472" s="92" t="s">
        <v>60</v>
      </c>
      <c r="K472" s="92" t="s">
        <v>681</v>
      </c>
    </row>
    <row r="473" spans="1:11" ht="13.8">
      <c r="A473" s="47" t="s">
        <v>2401</v>
      </c>
      <c r="B473" s="92" t="s">
        <v>2402</v>
      </c>
      <c r="C473" s="92" t="s">
        <v>2403</v>
      </c>
      <c r="D473" s="72" t="str">
        <f>IFERROR(VLOOKUP(A473,'[1]ST-QA-ZZ5'!$C$5:$M$299,11,0),"Inspection at production line")</f>
        <v>Inspection at production line</v>
      </c>
      <c r="F473" s="92" t="s">
        <v>2409</v>
      </c>
      <c r="G473" s="92" t="s">
        <v>2410</v>
      </c>
      <c r="H473" s="92" t="s">
        <v>2411</v>
      </c>
      <c r="I473" s="92" t="s">
        <v>974</v>
      </c>
      <c r="J473" s="92" t="s">
        <v>60</v>
      </c>
      <c r="K473" s="92" t="s">
        <v>681</v>
      </c>
    </row>
    <row r="474" spans="1:11" ht="13.8">
      <c r="A474" s="47" t="s">
        <v>2406</v>
      </c>
      <c r="B474" s="92" t="s">
        <v>2407</v>
      </c>
      <c r="C474" s="92" t="s">
        <v>2408</v>
      </c>
      <c r="D474" s="72" t="str">
        <f>IFERROR(VLOOKUP(A474,'[1]ST-QA-ZZ5'!$C$5:$M$299,11,0),"Inspection at production line")</f>
        <v>Inspection at production line</v>
      </c>
      <c r="F474" s="92" t="s">
        <v>2096</v>
      </c>
      <c r="G474" s="92" t="s">
        <v>2079</v>
      </c>
      <c r="H474" s="92" t="s">
        <v>2097</v>
      </c>
      <c r="I474" s="92" t="s">
        <v>2081</v>
      </c>
      <c r="J474" s="92" t="s">
        <v>60</v>
      </c>
      <c r="K474" s="92" t="s">
        <v>681</v>
      </c>
    </row>
    <row r="475" spans="1:11" ht="13.8">
      <c r="A475" s="47" t="s">
        <v>2412</v>
      </c>
      <c r="B475" s="92" t="s">
        <v>2413</v>
      </c>
      <c r="C475" s="92" t="s">
        <v>2414</v>
      </c>
      <c r="D475" s="72" t="str">
        <f>IFERROR(VLOOKUP(A475,'[1]ST-QA-ZZ5'!$C$5:$M$299,11,0),"Inspection at production line")</f>
        <v>Inspection at production line</v>
      </c>
      <c r="F475" s="92" t="s">
        <v>2417</v>
      </c>
      <c r="G475" s="92" t="s">
        <v>2418</v>
      </c>
      <c r="H475" s="92" t="s">
        <v>2418</v>
      </c>
      <c r="I475" s="92" t="s">
        <v>215</v>
      </c>
      <c r="J475" s="92" t="s">
        <v>60</v>
      </c>
      <c r="K475" s="92" t="s">
        <v>685</v>
      </c>
    </row>
    <row r="476" spans="1:11" ht="13.8">
      <c r="A476" s="47" t="s">
        <v>2415</v>
      </c>
      <c r="B476" s="92" t="s">
        <v>2416</v>
      </c>
      <c r="C476" s="92" t="s">
        <v>2416</v>
      </c>
      <c r="D476" s="72" t="str">
        <f>IFERROR(VLOOKUP(A476,'[1]ST-QA-ZZ5'!$C$5:$M$299,11,0),"Inspection at production line")</f>
        <v>Inspection at production line</v>
      </c>
      <c r="F476" s="92" t="s">
        <v>2422</v>
      </c>
      <c r="G476" s="92" t="s">
        <v>2423</v>
      </c>
      <c r="H476" s="92" t="s">
        <v>2424</v>
      </c>
      <c r="I476" s="92" t="s">
        <v>215</v>
      </c>
      <c r="J476" s="92" t="s">
        <v>60</v>
      </c>
      <c r="K476" s="92" t="s">
        <v>685</v>
      </c>
    </row>
    <row r="477" spans="1:11" ht="13.8">
      <c r="A477" s="47" t="s">
        <v>2419</v>
      </c>
      <c r="B477" s="92" t="s">
        <v>2420</v>
      </c>
      <c r="C477" s="92" t="s">
        <v>2421</v>
      </c>
      <c r="D477" s="72" t="str">
        <f>IFERROR(VLOOKUP(A477,'[1]ST-QA-ZZ5'!$C$5:$M$299,11,0),"Inspection at production line")</f>
        <v>Inspection at production line</v>
      </c>
      <c r="F477" s="92" t="s">
        <v>2428</v>
      </c>
      <c r="G477" s="92" t="s">
        <v>1523</v>
      </c>
      <c r="H477" s="92" t="s">
        <v>2429</v>
      </c>
      <c r="I477" s="92" t="s">
        <v>215</v>
      </c>
      <c r="J477" s="92" t="s">
        <v>60</v>
      </c>
      <c r="K477" s="92" t="s">
        <v>685</v>
      </c>
    </row>
    <row r="478" spans="1:11" ht="13.8">
      <c r="A478" s="47" t="s">
        <v>2425</v>
      </c>
      <c r="B478" s="92" t="s">
        <v>2426</v>
      </c>
      <c r="C478" s="92" t="s">
        <v>2427</v>
      </c>
      <c r="D478" s="72" t="str">
        <f>IFERROR(VLOOKUP(A478,'[1]ST-QA-ZZ5'!$C$5:$M$299,11,0),"Inspection at production line")</f>
        <v>Inspection at production line</v>
      </c>
      <c r="F478" s="92" t="s">
        <v>2432</v>
      </c>
      <c r="G478" s="92" t="s">
        <v>1523</v>
      </c>
      <c r="H478" s="92" t="s">
        <v>2433</v>
      </c>
      <c r="I478" s="92" t="s">
        <v>215</v>
      </c>
      <c r="J478" s="92" t="s">
        <v>60</v>
      </c>
      <c r="K478" s="92" t="s">
        <v>685</v>
      </c>
    </row>
    <row r="479" spans="1:11" ht="13.8">
      <c r="A479" s="47" t="s">
        <v>2430</v>
      </c>
      <c r="B479" s="92" t="s">
        <v>2431</v>
      </c>
      <c r="C479" s="92" t="s">
        <v>2431</v>
      </c>
      <c r="D479" s="72" t="str">
        <f>IFERROR(VLOOKUP(A479,'[1]ST-QA-ZZ5'!$C$5:$M$299,11,0),"Inspection at production line")</f>
        <v>Inspection at production line</v>
      </c>
      <c r="F479" s="92" t="s">
        <v>2437</v>
      </c>
      <c r="G479" s="92" t="s">
        <v>2438</v>
      </c>
      <c r="H479" s="92" t="s">
        <v>2439</v>
      </c>
      <c r="I479" s="92" t="s">
        <v>215</v>
      </c>
      <c r="J479" s="92" t="s">
        <v>60</v>
      </c>
      <c r="K479" s="92" t="s">
        <v>685</v>
      </c>
    </row>
    <row r="480" spans="1:11" ht="13.8">
      <c r="A480" s="47" t="s">
        <v>2434</v>
      </c>
      <c r="B480" s="92" t="s">
        <v>2435</v>
      </c>
      <c r="C480" s="92" t="s">
        <v>2436</v>
      </c>
      <c r="D480" s="72" t="str">
        <f>IFERROR(VLOOKUP(A480,'[1]ST-QA-ZZ5'!$C$5:$M$299,11,0),"Inspection at production line")</f>
        <v>Inspection at production line</v>
      </c>
      <c r="F480" s="92" t="s">
        <v>2443</v>
      </c>
      <c r="G480" s="92" t="s">
        <v>2444</v>
      </c>
      <c r="H480" s="92" t="s">
        <v>2445</v>
      </c>
      <c r="I480" s="92" t="s">
        <v>215</v>
      </c>
      <c r="J480" s="92" t="s">
        <v>60</v>
      </c>
      <c r="K480" s="92" t="s">
        <v>685</v>
      </c>
    </row>
    <row r="481" spans="1:11" ht="13.8">
      <c r="A481" s="47" t="s">
        <v>2440</v>
      </c>
      <c r="B481" s="92" t="s">
        <v>2441</v>
      </c>
      <c r="C481" s="92" t="s">
        <v>2442</v>
      </c>
      <c r="D481" s="72" t="str">
        <f>IFERROR(VLOOKUP(A481,'[1]ST-QA-ZZ5'!$C$5:$M$299,11,0),"Inspection at production line")</f>
        <v>Inspection at production line</v>
      </c>
      <c r="F481" s="92" t="s">
        <v>2447</v>
      </c>
      <c r="G481" s="92" t="s">
        <v>2448</v>
      </c>
      <c r="H481" s="92"/>
      <c r="I481" s="92" t="s">
        <v>215</v>
      </c>
      <c r="J481" s="92" t="s">
        <v>60</v>
      </c>
      <c r="K481" s="92" t="s">
        <v>685</v>
      </c>
    </row>
    <row r="482" spans="1:11" ht="13.8">
      <c r="A482" s="47" t="s">
        <v>2446</v>
      </c>
      <c r="B482" s="92" t="s">
        <v>1208</v>
      </c>
      <c r="C482" s="92" t="s">
        <v>2441</v>
      </c>
      <c r="D482" s="72" t="str">
        <f>IFERROR(VLOOKUP(A482,'[1]ST-QA-ZZ5'!$C$5:$M$299,11,0),"Inspection at production line")</f>
        <v>Inspection at production line</v>
      </c>
      <c r="F482" s="92" t="s">
        <v>2452</v>
      </c>
      <c r="G482" s="92" t="s">
        <v>2453</v>
      </c>
      <c r="H482" s="92"/>
      <c r="I482" s="92" t="s">
        <v>215</v>
      </c>
      <c r="J482" s="92" t="s">
        <v>60</v>
      </c>
      <c r="K482" s="92" t="s">
        <v>685</v>
      </c>
    </row>
    <row r="483" spans="1:11" ht="13.8">
      <c r="A483" s="47" t="s">
        <v>2449</v>
      </c>
      <c r="B483" s="92" t="s">
        <v>2450</v>
      </c>
      <c r="C483" s="92" t="s">
        <v>2451</v>
      </c>
      <c r="D483" s="72" t="str">
        <f>IFERROR(VLOOKUP(A483,'[1]ST-QA-ZZ5'!$C$5:$M$299,11,0),"Inspection at production line")</f>
        <v>Inspection at production line</v>
      </c>
      <c r="F483" s="92" t="s">
        <v>2457</v>
      </c>
      <c r="G483" s="92" t="s">
        <v>2458</v>
      </c>
      <c r="H483" s="92"/>
      <c r="I483" s="92" t="s">
        <v>215</v>
      </c>
      <c r="J483" s="92" t="s">
        <v>60</v>
      </c>
      <c r="K483" s="92" t="s">
        <v>685</v>
      </c>
    </row>
    <row r="484" spans="1:11" ht="13.8">
      <c r="A484" s="47" t="s">
        <v>2454</v>
      </c>
      <c r="B484" s="92" t="s">
        <v>2455</v>
      </c>
      <c r="C484" s="92" t="s">
        <v>2456</v>
      </c>
      <c r="D484" s="72" t="str">
        <f>IFERROR(VLOOKUP(A484,'[1]ST-QA-ZZ5'!$C$5:$M$299,11,0),"Inspection at production line")</f>
        <v>Inspection at production line</v>
      </c>
      <c r="F484" s="92" t="s">
        <v>2461</v>
      </c>
      <c r="G484" s="92" t="s">
        <v>2462</v>
      </c>
      <c r="H484" s="92"/>
      <c r="I484" s="92" t="s">
        <v>215</v>
      </c>
      <c r="J484" s="92" t="s">
        <v>60</v>
      </c>
      <c r="K484" s="92" t="s">
        <v>685</v>
      </c>
    </row>
    <row r="485" spans="1:11" ht="13.8">
      <c r="A485" s="47" t="s">
        <v>2459</v>
      </c>
      <c r="B485" s="92" t="s">
        <v>2460</v>
      </c>
      <c r="C485" s="92" t="s">
        <v>2460</v>
      </c>
      <c r="D485" s="72" t="str">
        <f>IFERROR(VLOOKUP(A485,'[1]ST-QA-ZZ5'!$C$5:$M$299,11,0),"Inspection at production line")</f>
        <v>Inspection at production line</v>
      </c>
      <c r="F485" s="92" t="s">
        <v>2466</v>
      </c>
      <c r="G485" s="92" t="s">
        <v>2467</v>
      </c>
      <c r="H485" s="92"/>
      <c r="I485" s="92" t="s">
        <v>215</v>
      </c>
      <c r="J485" s="92" t="s">
        <v>60</v>
      </c>
      <c r="K485" s="92" t="s">
        <v>685</v>
      </c>
    </row>
    <row r="486" spans="1:11" ht="13.8">
      <c r="A486" s="47" t="s">
        <v>2463</v>
      </c>
      <c r="B486" s="92" t="s">
        <v>2464</v>
      </c>
      <c r="C486" s="92" t="s">
        <v>2465</v>
      </c>
      <c r="D486" s="72" t="str">
        <f>IFERROR(VLOOKUP(A486,'[1]ST-QA-ZZ5'!$C$5:$M$299,11,0),"Inspection at production line")</f>
        <v>Inspection at production line</v>
      </c>
      <c r="F486" s="92" t="s">
        <v>2470</v>
      </c>
      <c r="G486" s="92" t="s">
        <v>2471</v>
      </c>
      <c r="H486" s="92"/>
      <c r="I486" s="92" t="s">
        <v>215</v>
      </c>
      <c r="J486" s="92" t="s">
        <v>60</v>
      </c>
      <c r="K486" s="92" t="s">
        <v>685</v>
      </c>
    </row>
    <row r="487" spans="1:11" ht="13.8">
      <c r="A487" s="47" t="s">
        <v>2468</v>
      </c>
      <c r="B487" s="92" t="s">
        <v>2464</v>
      </c>
      <c r="C487" s="92" t="s">
        <v>2469</v>
      </c>
      <c r="D487" s="72" t="str">
        <f>IFERROR(VLOOKUP(A487,'[1]ST-QA-ZZ5'!$C$5:$M$299,11,0),"Inspection at production line")</f>
        <v>Inspection at production line</v>
      </c>
      <c r="F487" s="92" t="s">
        <v>2475</v>
      </c>
      <c r="G487" s="92" t="s">
        <v>2476</v>
      </c>
      <c r="H487" s="92"/>
      <c r="I487" s="92" t="s">
        <v>215</v>
      </c>
      <c r="J487" s="92" t="s">
        <v>60</v>
      </c>
      <c r="K487" s="92" t="s">
        <v>685</v>
      </c>
    </row>
    <row r="488" spans="1:11" ht="13.8">
      <c r="A488" s="47" t="s">
        <v>2472</v>
      </c>
      <c r="B488" s="92" t="s">
        <v>2473</v>
      </c>
      <c r="C488" s="92" t="s">
        <v>2474</v>
      </c>
      <c r="D488" s="72" t="str">
        <f>IFERROR(VLOOKUP(A488,'[1]ST-QA-ZZ5'!$C$5:$M$299,11,0),"Inspection at production line")</f>
        <v>Inspection at production line</v>
      </c>
      <c r="F488" s="92" t="s">
        <v>2479</v>
      </c>
      <c r="G488" s="92" t="s">
        <v>2480</v>
      </c>
      <c r="H488" s="92"/>
      <c r="I488" s="92" t="s">
        <v>215</v>
      </c>
      <c r="J488" s="92" t="s">
        <v>60</v>
      </c>
      <c r="K488" s="92" t="s">
        <v>685</v>
      </c>
    </row>
    <row r="489" spans="1:11" ht="13.8">
      <c r="A489" s="47" t="s">
        <v>2477</v>
      </c>
      <c r="B489" s="92" t="s">
        <v>1208</v>
      </c>
      <c r="C489" s="92" t="s">
        <v>2478</v>
      </c>
      <c r="D489" s="72" t="str">
        <f>IFERROR(VLOOKUP(A489,'[1]ST-QA-ZZ5'!$C$5:$M$299,11,0),"Inspection at production line")</f>
        <v>Inspection at production line</v>
      </c>
      <c r="F489" s="92" t="s">
        <v>396</v>
      </c>
      <c r="G489" s="92" t="s">
        <v>397</v>
      </c>
      <c r="H489" s="92" t="s">
        <v>398</v>
      </c>
      <c r="I489" s="92" t="s">
        <v>346</v>
      </c>
      <c r="J489" s="92" t="s">
        <v>60</v>
      </c>
      <c r="K489" s="92" t="s">
        <v>18088</v>
      </c>
    </row>
    <row r="490" spans="1:11" ht="13.8">
      <c r="A490" s="47" t="s">
        <v>2481</v>
      </c>
      <c r="B490" s="92" t="s">
        <v>2482</v>
      </c>
      <c r="C490" s="92" t="s">
        <v>2483</v>
      </c>
      <c r="D490" s="72" t="str">
        <f>IFERROR(VLOOKUP(A490,'[1]ST-QA-ZZ5'!$C$5:$M$299,11,0),"Inspection at production line")</f>
        <v>Inspection at production line</v>
      </c>
      <c r="F490" s="92" t="s">
        <v>2486</v>
      </c>
      <c r="G490" s="92" t="s">
        <v>2487</v>
      </c>
      <c r="H490" s="92"/>
      <c r="I490" s="92" t="s">
        <v>215</v>
      </c>
      <c r="J490" s="92" t="s">
        <v>60</v>
      </c>
      <c r="K490" s="92" t="s">
        <v>685</v>
      </c>
    </row>
    <row r="491" spans="1:11" ht="13.8">
      <c r="A491" s="47" t="s">
        <v>18184</v>
      </c>
      <c r="B491" s="92" t="s">
        <v>18185</v>
      </c>
      <c r="C491" s="92" t="s">
        <v>18186</v>
      </c>
      <c r="D491" s="72" t="str">
        <f>IFERROR(VLOOKUP(A491,'[1]ST-QA-ZZ5'!$C$5:$M$299,11,0),"Inspection at production line")</f>
        <v>Inspection at production line</v>
      </c>
      <c r="F491" s="92" t="s">
        <v>2491</v>
      </c>
      <c r="G491" s="92" t="s">
        <v>2492</v>
      </c>
      <c r="H491" s="92" t="s">
        <v>2493</v>
      </c>
      <c r="I491" s="92" t="s">
        <v>215</v>
      </c>
      <c r="J491" s="92" t="s">
        <v>60</v>
      </c>
      <c r="K491" s="92" t="s">
        <v>685</v>
      </c>
    </row>
    <row r="492" spans="1:11" ht="13.8">
      <c r="A492" s="47" t="s">
        <v>2484</v>
      </c>
      <c r="B492" s="92" t="s">
        <v>975</v>
      </c>
      <c r="C492" s="92" t="s">
        <v>2485</v>
      </c>
      <c r="D492" s="72" t="str">
        <f>IFERROR(VLOOKUP(A492,'[1]ST-QA-ZZ5'!$C$5:$M$299,11,0),"Inspection at production line")</f>
        <v>Inspection at production line</v>
      </c>
      <c r="F492" s="92" t="s">
        <v>2496</v>
      </c>
      <c r="G492" s="92" t="s">
        <v>1975</v>
      </c>
      <c r="H492" s="92" t="s">
        <v>1976</v>
      </c>
      <c r="I492" s="92" t="s">
        <v>215</v>
      </c>
      <c r="J492" s="92" t="s">
        <v>60</v>
      </c>
      <c r="K492" s="92" t="s">
        <v>685</v>
      </c>
    </row>
    <row r="493" spans="1:11" ht="13.8">
      <c r="A493" s="47" t="s">
        <v>2488</v>
      </c>
      <c r="B493" s="92" t="s">
        <v>2489</v>
      </c>
      <c r="C493" s="92" t="s">
        <v>2490</v>
      </c>
      <c r="D493" s="72" t="str">
        <f>IFERROR(VLOOKUP(A493,'[1]ST-QA-ZZ5'!$C$5:$M$299,11,0),"Inspection at production line")</f>
        <v>Inspection at production line</v>
      </c>
      <c r="F493" s="92" t="s">
        <v>2499</v>
      </c>
      <c r="G493" s="92" t="s">
        <v>2500</v>
      </c>
      <c r="H493" s="92"/>
      <c r="I493" s="92" t="s">
        <v>215</v>
      </c>
      <c r="J493" s="92" t="s">
        <v>60</v>
      </c>
      <c r="K493" s="92" t="s">
        <v>685</v>
      </c>
    </row>
    <row r="494" spans="1:11" ht="13.8">
      <c r="A494" s="47" t="s">
        <v>2494</v>
      </c>
      <c r="B494" s="92" t="s">
        <v>2489</v>
      </c>
      <c r="C494" s="92" t="s">
        <v>2495</v>
      </c>
      <c r="D494" s="72" t="str">
        <f>IFERROR(VLOOKUP(A494,'[1]ST-QA-ZZ5'!$C$5:$M$299,11,0),"Inspection at production line")</f>
        <v>Inspection at production line</v>
      </c>
      <c r="F494" s="92" t="s">
        <v>2503</v>
      </c>
      <c r="G494" s="92" t="s">
        <v>2504</v>
      </c>
      <c r="H494" s="92" t="s">
        <v>2505</v>
      </c>
      <c r="I494" s="92" t="s">
        <v>1201</v>
      </c>
      <c r="J494" s="92" t="s">
        <v>60</v>
      </c>
      <c r="K494" s="92" t="s">
        <v>681</v>
      </c>
    </row>
    <row r="495" spans="1:11" ht="13.8">
      <c r="A495" s="47" t="s">
        <v>2497</v>
      </c>
      <c r="B495" s="92" t="s">
        <v>957</v>
      </c>
      <c r="C495" s="92" t="s">
        <v>2498</v>
      </c>
      <c r="D495" s="72" t="str">
        <f>IFERROR(VLOOKUP(A495,'[1]ST-QA-ZZ5'!$C$5:$M$299,11,0),"Inspection at production line")</f>
        <v>Inspection at production line</v>
      </c>
      <c r="F495" s="92" t="s">
        <v>1229</v>
      </c>
      <c r="G495" s="92" t="s">
        <v>2504</v>
      </c>
      <c r="H495" s="92" t="s">
        <v>2509</v>
      </c>
      <c r="I495" s="92" t="s">
        <v>1201</v>
      </c>
      <c r="J495" s="92" t="s">
        <v>60</v>
      </c>
      <c r="K495" s="92" t="s">
        <v>681</v>
      </c>
    </row>
    <row r="496" spans="1:11" ht="13.8">
      <c r="A496" s="47" t="s">
        <v>2501</v>
      </c>
      <c r="B496" s="92" t="s">
        <v>953</v>
      </c>
      <c r="C496" s="92" t="s">
        <v>2502</v>
      </c>
      <c r="D496" s="72" t="str">
        <f>IFERROR(VLOOKUP(A496,'[1]ST-QA-ZZ5'!$C$5:$M$299,11,0),"Inspection at production line")</f>
        <v>Inspection at production line</v>
      </c>
      <c r="F496" s="92" t="s">
        <v>2513</v>
      </c>
      <c r="G496" s="92" t="s">
        <v>2514</v>
      </c>
      <c r="H496" s="92" t="s">
        <v>2515</v>
      </c>
      <c r="I496" s="92" t="s">
        <v>1201</v>
      </c>
      <c r="J496" s="92" t="s">
        <v>60</v>
      </c>
      <c r="K496" s="92" t="s">
        <v>681</v>
      </c>
    </row>
    <row r="497" spans="1:11" ht="13.8">
      <c r="A497" s="47" t="s">
        <v>2506</v>
      </c>
      <c r="B497" s="92" t="s">
        <v>2507</v>
      </c>
      <c r="C497" s="92" t="s">
        <v>2508</v>
      </c>
      <c r="D497" s="72" t="str">
        <f>IFERROR(VLOOKUP(A497,'[1]ST-QA-ZZ5'!$C$5:$M$299,11,0),"Inspection at production line")</f>
        <v>Inspection at production line</v>
      </c>
      <c r="F497" s="92" t="s">
        <v>1198</v>
      </c>
      <c r="G497" s="92" t="s">
        <v>2518</v>
      </c>
      <c r="H497" s="92" t="s">
        <v>2519</v>
      </c>
      <c r="I497" s="92" t="s">
        <v>1201</v>
      </c>
      <c r="J497" s="92" t="s">
        <v>60</v>
      </c>
      <c r="K497" s="92" t="s">
        <v>681</v>
      </c>
    </row>
    <row r="498" spans="1:11" ht="13.8">
      <c r="A498" s="47" t="s">
        <v>2510</v>
      </c>
      <c r="B498" s="92" t="s">
        <v>2511</v>
      </c>
      <c r="C498" s="92" t="s">
        <v>2512</v>
      </c>
      <c r="D498" s="72" t="str">
        <f>IFERROR(VLOOKUP(A498,'[1]ST-QA-ZZ5'!$C$5:$M$299,11,0),"Inspection at production line")</f>
        <v>Inspection at production line</v>
      </c>
      <c r="F498" s="92" t="s">
        <v>1743</v>
      </c>
      <c r="G498" s="92" t="s">
        <v>891</v>
      </c>
      <c r="H498" s="92" t="s">
        <v>1744</v>
      </c>
      <c r="I498" s="92" t="s">
        <v>346</v>
      </c>
      <c r="J498" s="92" t="s">
        <v>60</v>
      </c>
      <c r="K498" s="92" t="s">
        <v>18088</v>
      </c>
    </row>
    <row r="499" spans="1:11" ht="13.8">
      <c r="A499" s="47" t="s">
        <v>2516</v>
      </c>
      <c r="B499" s="92" t="s">
        <v>2511</v>
      </c>
      <c r="C499" s="92" t="s">
        <v>2517</v>
      </c>
      <c r="D499" s="72" t="str">
        <f>IFERROR(VLOOKUP(A499,'[1]ST-QA-ZZ5'!$C$5:$M$299,11,0),"Inspection at production line")</f>
        <v>Inspection at production line</v>
      </c>
      <c r="F499" s="92" t="s">
        <v>1772</v>
      </c>
      <c r="G499" s="92" t="s">
        <v>807</v>
      </c>
      <c r="H499" s="92" t="s">
        <v>2524</v>
      </c>
      <c r="I499" s="92" t="s">
        <v>808</v>
      </c>
      <c r="J499" s="92" t="s">
        <v>52</v>
      </c>
      <c r="K499" s="92" t="s">
        <v>681</v>
      </c>
    </row>
    <row r="500" spans="1:11" ht="13.8">
      <c r="A500" s="47" t="s">
        <v>2520</v>
      </c>
      <c r="B500" s="92" t="s">
        <v>2507</v>
      </c>
      <c r="C500" s="92" t="s">
        <v>2521</v>
      </c>
      <c r="D500" s="72" t="str">
        <f>IFERROR(VLOOKUP(A500,'[1]ST-QA-ZZ5'!$C$5:$M$299,11,0),"Inspection at production line")</f>
        <v>Inspection at production line</v>
      </c>
      <c r="F500" s="92" t="s">
        <v>2527</v>
      </c>
      <c r="G500" s="92" t="s">
        <v>818</v>
      </c>
      <c r="H500" s="92" t="s">
        <v>2528</v>
      </c>
      <c r="I500" s="92" t="s">
        <v>215</v>
      </c>
      <c r="J500" s="92" t="s">
        <v>60</v>
      </c>
      <c r="K500" s="92" t="s">
        <v>685</v>
      </c>
    </row>
    <row r="501" spans="1:11" ht="13.8">
      <c r="A501" s="47" t="s">
        <v>2522</v>
      </c>
      <c r="B501" s="92" t="s">
        <v>953</v>
      </c>
      <c r="C501" s="92" t="s">
        <v>2523</v>
      </c>
      <c r="D501" s="72" t="str">
        <f>IFERROR(VLOOKUP(A501,'[1]ST-QA-ZZ5'!$C$5:$M$299,11,0),"Inspection at production line")</f>
        <v>Inspection at production line</v>
      </c>
      <c r="F501" s="92" t="s">
        <v>2531</v>
      </c>
      <c r="G501" s="92" t="s">
        <v>2532</v>
      </c>
      <c r="H501" s="92" t="s">
        <v>2533</v>
      </c>
      <c r="I501" s="92" t="s">
        <v>215</v>
      </c>
      <c r="J501" s="92" t="s">
        <v>60</v>
      </c>
      <c r="K501" s="92" t="s">
        <v>685</v>
      </c>
    </row>
    <row r="502" spans="1:11" ht="13.8">
      <c r="A502" s="47" t="s">
        <v>2525</v>
      </c>
      <c r="B502" s="92" t="s">
        <v>957</v>
      </c>
      <c r="C502" s="92" t="s">
        <v>2526</v>
      </c>
      <c r="D502" s="72" t="str">
        <f>IFERROR(VLOOKUP(A502,'[1]ST-QA-ZZ5'!$C$5:$M$299,11,0),"Inspection at production line")</f>
        <v>Inspection at production line</v>
      </c>
      <c r="F502" s="92" t="s">
        <v>2536</v>
      </c>
      <c r="G502" s="92" t="s">
        <v>2532</v>
      </c>
      <c r="H502" s="92" t="s">
        <v>2537</v>
      </c>
      <c r="I502" s="92" t="s">
        <v>215</v>
      </c>
      <c r="J502" s="92" t="s">
        <v>60</v>
      </c>
      <c r="K502" s="92" t="s">
        <v>685</v>
      </c>
    </row>
    <row r="503" spans="1:11" ht="13.8">
      <c r="A503" s="47" t="s">
        <v>2529</v>
      </c>
      <c r="B503" s="92" t="s">
        <v>2507</v>
      </c>
      <c r="C503" s="92" t="s">
        <v>2530</v>
      </c>
      <c r="D503" s="72" t="str">
        <f>IFERROR(VLOOKUP(A503,'[1]ST-QA-ZZ5'!$C$5:$M$299,11,0),"Inspection at production line")</f>
        <v>Inspection at production line</v>
      </c>
      <c r="F503" s="92" t="s">
        <v>2540</v>
      </c>
      <c r="G503" s="92" t="s">
        <v>2492</v>
      </c>
      <c r="H503" s="92" t="s">
        <v>2541</v>
      </c>
      <c r="I503" s="92" t="s">
        <v>215</v>
      </c>
      <c r="J503" s="92" t="s">
        <v>60</v>
      </c>
      <c r="K503" s="92" t="s">
        <v>685</v>
      </c>
    </row>
    <row r="504" spans="1:11" ht="13.8">
      <c r="A504" s="47" t="s">
        <v>2534</v>
      </c>
      <c r="B504" s="92" t="s">
        <v>957</v>
      </c>
      <c r="C504" s="92" t="s">
        <v>2535</v>
      </c>
      <c r="D504" s="72" t="str">
        <f>IFERROR(VLOOKUP(A504,'[1]ST-QA-ZZ5'!$C$5:$M$299,11,0),"Inspection at production line")</f>
        <v>Inspection at production line</v>
      </c>
      <c r="F504" s="92" t="s">
        <v>2543</v>
      </c>
      <c r="G504" s="92" t="s">
        <v>2492</v>
      </c>
      <c r="H504" s="92" t="s">
        <v>2544</v>
      </c>
      <c r="I504" s="92" t="s">
        <v>215</v>
      </c>
      <c r="J504" s="92" t="s">
        <v>60</v>
      </c>
      <c r="K504" s="92" t="s">
        <v>685</v>
      </c>
    </row>
    <row r="505" spans="1:11" ht="13.8">
      <c r="A505" s="47" t="s">
        <v>2538</v>
      </c>
      <c r="B505" s="92" t="s">
        <v>104</v>
      </c>
      <c r="C505" s="92" t="s">
        <v>2539</v>
      </c>
      <c r="D505" s="72" t="str">
        <f>IFERROR(VLOOKUP(A505,'[1]ST-QA-ZZ5'!$C$5:$M$299,11,0),"Inspection at production line")</f>
        <v>Inspection at production line</v>
      </c>
      <c r="F505" s="92" t="s">
        <v>2548</v>
      </c>
      <c r="G505" s="92" t="s">
        <v>2492</v>
      </c>
      <c r="H505" s="92" t="s">
        <v>2549</v>
      </c>
      <c r="I505" s="92" t="s">
        <v>215</v>
      </c>
      <c r="J505" s="92" t="s">
        <v>60</v>
      </c>
      <c r="K505" s="92" t="s">
        <v>685</v>
      </c>
    </row>
    <row r="506" spans="1:11" ht="13.8">
      <c r="A506" s="47" t="s">
        <v>2542</v>
      </c>
      <c r="B506" s="92" t="s">
        <v>811</v>
      </c>
      <c r="C506" s="92" t="s">
        <v>208</v>
      </c>
      <c r="D506" s="72" t="str">
        <f>IFERROR(VLOOKUP(A506,'[1]ST-QA-ZZ5'!$C$5:$M$299,11,0),"Inspection at production line")</f>
        <v>Inspection at production line</v>
      </c>
      <c r="F506" s="92" t="s">
        <v>2552</v>
      </c>
      <c r="G506" s="92" t="s">
        <v>2492</v>
      </c>
      <c r="H506" s="92" t="s">
        <v>2553</v>
      </c>
      <c r="I506" s="92" t="s">
        <v>215</v>
      </c>
      <c r="J506" s="92" t="s">
        <v>60</v>
      </c>
      <c r="K506" s="92" t="s">
        <v>685</v>
      </c>
    </row>
    <row r="507" spans="1:11" ht="13.8">
      <c r="A507" s="47" t="s">
        <v>2545</v>
      </c>
      <c r="B507" s="92" t="s">
        <v>2546</v>
      </c>
      <c r="C507" s="92" t="s">
        <v>2547</v>
      </c>
      <c r="D507" s="72" t="str">
        <f>IFERROR(VLOOKUP(A507,'[1]ST-QA-ZZ5'!$C$5:$M$299,11,0),"Inspection at production line")</f>
        <v>Inspection at production line</v>
      </c>
      <c r="F507" s="92" t="s">
        <v>2556</v>
      </c>
      <c r="G507" s="92" t="s">
        <v>994</v>
      </c>
      <c r="H507" s="92" t="s">
        <v>2557</v>
      </c>
      <c r="I507" s="92" t="s">
        <v>980</v>
      </c>
      <c r="J507" s="92" t="s">
        <v>60</v>
      </c>
      <c r="K507" s="92" t="s">
        <v>681</v>
      </c>
    </row>
    <row r="508" spans="1:11" ht="13.8">
      <c r="A508" s="47" t="s">
        <v>2550</v>
      </c>
      <c r="B508" s="92" t="s">
        <v>797</v>
      </c>
      <c r="C508" s="92" t="s">
        <v>2551</v>
      </c>
      <c r="D508" s="72" t="str">
        <f>IFERROR(VLOOKUP(A508,'[1]ST-QA-ZZ5'!$C$5:$M$299,11,0),"Inspection at production line")</f>
        <v>Inspection at production line</v>
      </c>
      <c r="F508" s="92" t="s">
        <v>1764</v>
      </c>
      <c r="G508" s="92" t="s">
        <v>1554</v>
      </c>
      <c r="H508" s="92" t="s">
        <v>1765</v>
      </c>
      <c r="I508" s="92" t="s">
        <v>106</v>
      </c>
      <c r="J508" s="92" t="s">
        <v>60</v>
      </c>
      <c r="K508" s="92" t="s">
        <v>685</v>
      </c>
    </row>
    <row r="509" spans="1:11" ht="13.8">
      <c r="A509" s="47" t="s">
        <v>2554</v>
      </c>
      <c r="B509" s="92" t="s">
        <v>2507</v>
      </c>
      <c r="C509" s="92" t="s">
        <v>2555</v>
      </c>
      <c r="D509" s="72" t="str">
        <f>IFERROR(VLOOKUP(A509,'[1]ST-QA-ZZ5'!$C$5:$M$299,11,0),"Inspection at production line")</f>
        <v>Inspection at production line</v>
      </c>
      <c r="F509" s="92" t="s">
        <v>1768</v>
      </c>
      <c r="G509" s="92" t="s">
        <v>1554</v>
      </c>
      <c r="H509" s="92" t="s">
        <v>2562</v>
      </c>
      <c r="I509" s="92" t="s">
        <v>106</v>
      </c>
      <c r="J509" s="92" t="s">
        <v>60</v>
      </c>
      <c r="K509" s="92" t="s">
        <v>685</v>
      </c>
    </row>
    <row r="510" spans="1:11" ht="13.8">
      <c r="A510" s="47" t="s">
        <v>2558</v>
      </c>
      <c r="B510" s="92" t="s">
        <v>957</v>
      </c>
      <c r="C510" s="92" t="s">
        <v>2559</v>
      </c>
      <c r="D510" s="72" t="str">
        <f>IFERROR(VLOOKUP(A510,'[1]ST-QA-ZZ5'!$C$5:$M$299,11,0),"Inspection at production line")</f>
        <v>Inspection at production line</v>
      </c>
      <c r="F510" s="92" t="s">
        <v>2565</v>
      </c>
      <c r="G510" s="92" t="s">
        <v>2566</v>
      </c>
      <c r="H510" s="92" t="s">
        <v>2567</v>
      </c>
      <c r="I510" s="92" t="s">
        <v>215</v>
      </c>
      <c r="J510" s="92" t="s">
        <v>60</v>
      </c>
      <c r="K510" s="92" t="s">
        <v>685</v>
      </c>
    </row>
    <row r="511" spans="1:11" ht="13.8">
      <c r="A511" s="47" t="s">
        <v>2560</v>
      </c>
      <c r="B511" s="92" t="s">
        <v>953</v>
      </c>
      <c r="C511" s="92" t="s">
        <v>2561</v>
      </c>
      <c r="D511" s="72" t="str">
        <f>IFERROR(VLOOKUP(A511,'[1]ST-QA-ZZ5'!$C$5:$M$299,11,0),"Inspection at production line")</f>
        <v>Inspection at production line</v>
      </c>
      <c r="F511" s="92" t="s">
        <v>2570</v>
      </c>
      <c r="G511" s="92" t="s">
        <v>2566</v>
      </c>
      <c r="H511" s="92" t="s">
        <v>2571</v>
      </c>
      <c r="I511" s="92" t="s">
        <v>215</v>
      </c>
      <c r="J511" s="92" t="s">
        <v>60</v>
      </c>
      <c r="K511" s="92" t="s">
        <v>685</v>
      </c>
    </row>
    <row r="512" spans="1:11" ht="13.8">
      <c r="A512" s="47" t="s">
        <v>2563</v>
      </c>
      <c r="B512" s="92" t="s">
        <v>2511</v>
      </c>
      <c r="C512" s="92" t="s">
        <v>2564</v>
      </c>
      <c r="D512" s="72" t="str">
        <f>IFERROR(VLOOKUP(A512,'[1]ST-QA-ZZ5'!$C$5:$M$299,11,0),"Inspection at production line")</f>
        <v>Inspection at production line</v>
      </c>
      <c r="F512" s="92" t="s">
        <v>2574</v>
      </c>
      <c r="G512" s="92" t="s">
        <v>2575</v>
      </c>
      <c r="H512" s="92" t="s">
        <v>2576</v>
      </c>
      <c r="I512" s="92" t="s">
        <v>215</v>
      </c>
      <c r="J512" s="92" t="s">
        <v>60</v>
      </c>
      <c r="K512" s="92" t="s">
        <v>685</v>
      </c>
    </row>
    <row r="513" spans="1:11" ht="13.8">
      <c r="A513" s="47" t="s">
        <v>2568</v>
      </c>
      <c r="B513" s="92" t="s">
        <v>949</v>
      </c>
      <c r="C513" s="92" t="s">
        <v>2569</v>
      </c>
      <c r="D513" s="72" t="str">
        <f>IFERROR(VLOOKUP(A513,'[1]ST-QA-ZZ5'!$C$5:$M$299,11,0),"Inspection at production line")</f>
        <v>Inspection at production line</v>
      </c>
      <c r="F513" s="92" t="s">
        <v>2580</v>
      </c>
      <c r="G513" s="92" t="s">
        <v>174</v>
      </c>
      <c r="H513" s="92" t="s">
        <v>476</v>
      </c>
      <c r="I513" s="92" t="s">
        <v>215</v>
      </c>
      <c r="J513" s="92" t="s">
        <v>60</v>
      </c>
      <c r="K513" s="92" t="s">
        <v>685</v>
      </c>
    </row>
    <row r="514" spans="1:11" ht="13.8">
      <c r="A514" s="47" t="s">
        <v>2572</v>
      </c>
      <c r="B514" s="92" t="s">
        <v>905</v>
      </c>
      <c r="C514" s="92" t="s">
        <v>2573</v>
      </c>
      <c r="D514" s="72" t="str">
        <f>IFERROR(VLOOKUP(A514,'[1]ST-QA-ZZ5'!$C$5:$M$299,11,0),"Inspection at production line")</f>
        <v>Inspection at production line</v>
      </c>
      <c r="F514" s="92" t="s">
        <v>2583</v>
      </c>
      <c r="G514" s="92" t="s">
        <v>2584</v>
      </c>
      <c r="H514" s="92" t="s">
        <v>2585</v>
      </c>
      <c r="I514" s="92" t="s">
        <v>215</v>
      </c>
      <c r="J514" s="92" t="s">
        <v>60</v>
      </c>
      <c r="K514" s="92" t="s">
        <v>685</v>
      </c>
    </row>
    <row r="515" spans="1:11" ht="13.8">
      <c r="A515" s="47" t="s">
        <v>2577</v>
      </c>
      <c r="B515" s="92" t="s">
        <v>2578</v>
      </c>
      <c r="C515" s="92" t="s">
        <v>2579</v>
      </c>
      <c r="D515" s="72" t="str">
        <f>IFERROR(VLOOKUP(A515,'[1]ST-QA-ZZ5'!$C$5:$M$299,11,0),"Inspection at production line")</f>
        <v>Inspection at production line</v>
      </c>
      <c r="F515" s="92" t="s">
        <v>2588</v>
      </c>
      <c r="G515" s="92" t="s">
        <v>1949</v>
      </c>
      <c r="H515" s="92" t="s">
        <v>1949</v>
      </c>
      <c r="I515" s="92" t="s">
        <v>215</v>
      </c>
      <c r="J515" s="92" t="s">
        <v>60</v>
      </c>
      <c r="K515" s="92" t="s">
        <v>685</v>
      </c>
    </row>
    <row r="516" spans="1:11" ht="13.8">
      <c r="A516" s="47" t="s">
        <v>2581</v>
      </c>
      <c r="B516" s="92" t="s">
        <v>2578</v>
      </c>
      <c r="C516" s="92" t="s">
        <v>2582</v>
      </c>
      <c r="D516" s="72" t="str">
        <f>IFERROR(VLOOKUP(A516,'[1]ST-QA-ZZ5'!$C$5:$M$299,11,0),"Inspection at production line")</f>
        <v>Inspection at production line</v>
      </c>
      <c r="F516" s="92" t="s">
        <v>2591</v>
      </c>
      <c r="G516" s="92" t="s">
        <v>2592</v>
      </c>
      <c r="H516" s="92" t="s">
        <v>2593</v>
      </c>
      <c r="I516" s="92" t="s">
        <v>215</v>
      </c>
      <c r="J516" s="92" t="s">
        <v>60</v>
      </c>
      <c r="K516" s="92" t="s">
        <v>685</v>
      </c>
    </row>
    <row r="517" spans="1:11" ht="13.8">
      <c r="A517" s="47" t="s">
        <v>2586</v>
      </c>
      <c r="B517" s="92" t="s">
        <v>2578</v>
      </c>
      <c r="C517" s="92" t="s">
        <v>2587</v>
      </c>
      <c r="D517" s="72" t="str">
        <f>IFERROR(VLOOKUP(A517,'[1]ST-QA-ZZ5'!$C$5:$M$299,11,0),"Inspection at production line")</f>
        <v>Inspection at production line</v>
      </c>
      <c r="F517" s="92" t="s">
        <v>2597</v>
      </c>
      <c r="G517" s="92" t="s">
        <v>119</v>
      </c>
      <c r="H517" s="92" t="s">
        <v>2598</v>
      </c>
      <c r="I517" s="92" t="s">
        <v>215</v>
      </c>
      <c r="J517" s="92" t="s">
        <v>60</v>
      </c>
      <c r="K517" s="92" t="s">
        <v>685</v>
      </c>
    </row>
    <row r="518" spans="1:11" ht="13.8">
      <c r="A518" s="47" t="s">
        <v>2589</v>
      </c>
      <c r="B518" s="92" t="s">
        <v>2578</v>
      </c>
      <c r="C518" s="92" t="s">
        <v>2590</v>
      </c>
      <c r="D518" s="72" t="str">
        <f>IFERROR(VLOOKUP(A518,'[1]ST-QA-ZZ5'!$C$5:$M$299,11,0),"Inspection at production line")</f>
        <v>Inspection at production line</v>
      </c>
      <c r="F518" s="92" t="s">
        <v>2601</v>
      </c>
      <c r="G518" s="92" t="s">
        <v>2602</v>
      </c>
      <c r="H518" s="92" t="s">
        <v>2603</v>
      </c>
      <c r="I518" s="92" t="s">
        <v>215</v>
      </c>
      <c r="J518" s="92" t="s">
        <v>60</v>
      </c>
      <c r="K518" s="92" t="s">
        <v>685</v>
      </c>
    </row>
    <row r="519" spans="1:11" ht="13.8">
      <c r="A519" s="47" t="s">
        <v>2594</v>
      </c>
      <c r="B519" s="92" t="s">
        <v>2595</v>
      </c>
      <c r="C519" s="92" t="s">
        <v>2596</v>
      </c>
      <c r="D519" s="72" t="str">
        <f>IFERROR(VLOOKUP(A519,'[1]ST-QA-ZZ5'!$C$5:$M$299,11,0),"Inspection at production line")</f>
        <v>Inspection at production line</v>
      </c>
      <c r="F519" s="92" t="s">
        <v>2496</v>
      </c>
      <c r="G519" s="92" t="s">
        <v>1975</v>
      </c>
      <c r="H519" s="92" t="s">
        <v>1976</v>
      </c>
      <c r="I519" s="92" t="s">
        <v>215</v>
      </c>
      <c r="J519" s="92" t="s">
        <v>60</v>
      </c>
      <c r="K519" s="92" t="s">
        <v>685</v>
      </c>
    </row>
    <row r="520" spans="1:11" ht="13.8">
      <c r="A520" s="47" t="s">
        <v>2599</v>
      </c>
      <c r="B520" s="92" t="s">
        <v>2600</v>
      </c>
      <c r="C520" s="92" t="s">
        <v>2600</v>
      </c>
      <c r="D520" s="72" t="str">
        <f>IFERROR(VLOOKUP(A520,'[1]ST-QA-ZZ5'!$C$5:$M$299,11,0),"Inspection at production line")</f>
        <v>Inspection at production line</v>
      </c>
      <c r="F520" s="92" t="s">
        <v>2609</v>
      </c>
      <c r="G520" s="92" t="s">
        <v>818</v>
      </c>
      <c r="H520" s="92" t="s">
        <v>2610</v>
      </c>
      <c r="I520" s="92" t="s">
        <v>215</v>
      </c>
      <c r="J520" s="92" t="s">
        <v>60</v>
      </c>
      <c r="K520" s="92" t="s">
        <v>685</v>
      </c>
    </row>
    <row r="521" spans="1:11" ht="13.8">
      <c r="A521" s="47" t="s">
        <v>2604</v>
      </c>
      <c r="B521" s="92" t="s">
        <v>2605</v>
      </c>
      <c r="C521" s="92" t="s">
        <v>2606</v>
      </c>
      <c r="D521" s="72" t="str">
        <f>IFERROR(VLOOKUP(A521,'[1]ST-QA-ZZ5'!$C$5:$M$299,11,0),"Inspection at production line")</f>
        <v>Inspection at production line</v>
      </c>
      <c r="F521" s="92" t="s">
        <v>1753</v>
      </c>
      <c r="G521" s="92" t="s">
        <v>936</v>
      </c>
      <c r="H521" s="92" t="s">
        <v>1754</v>
      </c>
      <c r="I521" s="92" t="s">
        <v>346</v>
      </c>
      <c r="J521" s="92" t="s">
        <v>60</v>
      </c>
      <c r="K521" s="92" t="s">
        <v>18088</v>
      </c>
    </row>
    <row r="522" spans="1:11" ht="13.8">
      <c r="A522" s="47" t="s">
        <v>2607</v>
      </c>
      <c r="B522" s="92" t="s">
        <v>2608</v>
      </c>
      <c r="C522" s="92" t="s">
        <v>2608</v>
      </c>
      <c r="D522" s="72" t="str">
        <f>IFERROR(VLOOKUP(A522,'[1]ST-QA-ZZ5'!$C$5:$M$299,11,0),"Inspection at production line")</f>
        <v>Inspection at production line</v>
      </c>
      <c r="F522" s="92" t="s">
        <v>2616</v>
      </c>
      <c r="G522" s="92" t="s">
        <v>174</v>
      </c>
      <c r="H522" s="92" t="s">
        <v>2617</v>
      </c>
      <c r="I522" s="92" t="s">
        <v>215</v>
      </c>
      <c r="J522" s="92" t="s">
        <v>60</v>
      </c>
      <c r="K522" s="92" t="s">
        <v>685</v>
      </c>
    </row>
    <row r="523" spans="1:11" ht="13.8">
      <c r="A523" s="47" t="s">
        <v>2611</v>
      </c>
      <c r="B523" s="92" t="s">
        <v>2612</v>
      </c>
      <c r="C523" s="92" t="s">
        <v>2613</v>
      </c>
      <c r="D523" s="72" t="str">
        <f>IFERROR(VLOOKUP(A523,'[1]ST-QA-ZZ5'!$C$5:$M$299,11,0),"Inspection at production line")</f>
        <v>Inspection at production line</v>
      </c>
      <c r="F523" s="92" t="s">
        <v>2620</v>
      </c>
      <c r="G523" s="92" t="s">
        <v>827</v>
      </c>
      <c r="H523" s="92"/>
      <c r="I523" s="92" t="s">
        <v>215</v>
      </c>
      <c r="J523" s="92" t="s">
        <v>60</v>
      </c>
      <c r="K523" s="92" t="s">
        <v>685</v>
      </c>
    </row>
    <row r="524" spans="1:11" ht="13.8">
      <c r="A524" s="47" t="s">
        <v>2614</v>
      </c>
      <c r="B524" s="92" t="s">
        <v>900</v>
      </c>
      <c r="C524" s="92" t="s">
        <v>2615</v>
      </c>
      <c r="D524" s="72" t="str">
        <f>IFERROR(VLOOKUP(A524,'[1]ST-QA-ZZ5'!$C$5:$M$299,11,0),"Inspection at production line")</f>
        <v>Inspection at production line</v>
      </c>
      <c r="F524" s="92" t="s">
        <v>2623</v>
      </c>
      <c r="G524" s="92" t="s">
        <v>57</v>
      </c>
      <c r="H524" s="92" t="s">
        <v>2624</v>
      </c>
      <c r="I524" s="92" t="s">
        <v>215</v>
      </c>
      <c r="J524" s="92" t="s">
        <v>60</v>
      </c>
      <c r="K524" s="92" t="s">
        <v>685</v>
      </c>
    </row>
    <row r="525" spans="1:11" ht="13.8">
      <c r="A525" s="47" t="s">
        <v>2618</v>
      </c>
      <c r="B525" s="92" t="s">
        <v>2619</v>
      </c>
      <c r="C525" s="92" t="s">
        <v>2619</v>
      </c>
      <c r="D525" s="72" t="str">
        <f>IFERROR(VLOOKUP(A525,'[1]ST-QA-ZZ5'!$C$5:$M$299,11,0),"Inspection at production line")</f>
        <v>Inspection at production line</v>
      </c>
      <c r="F525" s="92" t="s">
        <v>2628</v>
      </c>
      <c r="G525" s="92" t="s">
        <v>2629</v>
      </c>
      <c r="H525" s="92" t="s">
        <v>2630</v>
      </c>
      <c r="I525" s="92" t="s">
        <v>215</v>
      </c>
      <c r="J525" s="92" t="s">
        <v>60</v>
      </c>
      <c r="K525" s="92" t="s">
        <v>685</v>
      </c>
    </row>
    <row r="526" spans="1:11" ht="13.8">
      <c r="A526" s="47" t="s">
        <v>2621</v>
      </c>
      <c r="B526" s="92" t="s">
        <v>2622</v>
      </c>
      <c r="C526" s="92" t="s">
        <v>2622</v>
      </c>
      <c r="D526" s="72" t="str">
        <f>IFERROR(VLOOKUP(A526,'[1]ST-QA-ZZ5'!$C$5:$M$299,11,0),"Inspection at production line")</f>
        <v>Inspection at production line</v>
      </c>
      <c r="F526" s="92" t="s">
        <v>2633</v>
      </c>
      <c r="G526" s="92" t="s">
        <v>174</v>
      </c>
      <c r="H526" s="92" t="s">
        <v>476</v>
      </c>
      <c r="I526" s="92" t="s">
        <v>215</v>
      </c>
      <c r="J526" s="92" t="s">
        <v>60</v>
      </c>
      <c r="K526" s="92" t="s">
        <v>685</v>
      </c>
    </row>
    <row r="527" spans="1:11" ht="13.8">
      <c r="A527" s="47" t="s">
        <v>2625</v>
      </c>
      <c r="B527" s="92" t="s">
        <v>2626</v>
      </c>
      <c r="C527" s="92" t="s">
        <v>2627</v>
      </c>
      <c r="D527" s="72" t="str">
        <f>IFERROR(VLOOKUP(A527,'[1]ST-QA-ZZ5'!$C$5:$M$299,11,0),"Inspection at production line")</f>
        <v>Inspection at production line</v>
      </c>
      <c r="F527" s="92" t="s">
        <v>2636</v>
      </c>
      <c r="G527" s="92" t="s">
        <v>174</v>
      </c>
      <c r="H527" s="92" t="s">
        <v>498</v>
      </c>
      <c r="I527" s="92" t="s">
        <v>215</v>
      </c>
      <c r="J527" s="92" t="s">
        <v>60</v>
      </c>
      <c r="K527" s="92" t="s">
        <v>685</v>
      </c>
    </row>
    <row r="528" spans="1:11" ht="13.8">
      <c r="A528" s="47" t="s">
        <v>2631</v>
      </c>
      <c r="B528" s="92" t="s">
        <v>2632</v>
      </c>
      <c r="C528" s="92" t="s">
        <v>2627</v>
      </c>
      <c r="D528" s="72" t="str">
        <f>IFERROR(VLOOKUP(A528,'[1]ST-QA-ZZ5'!$C$5:$M$299,11,0),"Inspection at production line")</f>
        <v>Inspection at production line</v>
      </c>
      <c r="F528" s="92" t="s">
        <v>2640</v>
      </c>
      <c r="G528" s="92" t="s">
        <v>104</v>
      </c>
      <c r="H528" s="92" t="s">
        <v>2641</v>
      </c>
      <c r="I528" s="92" t="s">
        <v>215</v>
      </c>
      <c r="J528" s="92" t="s">
        <v>60</v>
      </c>
      <c r="K528" s="92" t="s">
        <v>685</v>
      </c>
    </row>
    <row r="529" spans="1:11" ht="13.8">
      <c r="A529" s="47" t="s">
        <v>2634</v>
      </c>
      <c r="B529" s="92" t="s">
        <v>2635</v>
      </c>
      <c r="C529" s="92" t="s">
        <v>2635</v>
      </c>
      <c r="D529" s="72" t="str">
        <f>IFERROR(VLOOKUP(A529,'[1]ST-QA-ZZ5'!$C$5:$M$299,11,0),"Inspection at production line")</f>
        <v>Inspection at production line</v>
      </c>
      <c r="F529" s="92" t="s">
        <v>2643</v>
      </c>
      <c r="G529" s="92" t="s">
        <v>2584</v>
      </c>
      <c r="H529" s="92" t="s">
        <v>2644</v>
      </c>
      <c r="I529" s="92" t="s">
        <v>215</v>
      </c>
      <c r="J529" s="92" t="s">
        <v>60</v>
      </c>
      <c r="K529" s="92" t="s">
        <v>685</v>
      </c>
    </row>
    <row r="530" spans="1:11" ht="13.8">
      <c r="A530" s="47" t="s">
        <v>2637</v>
      </c>
      <c r="B530" s="92" t="s">
        <v>2638</v>
      </c>
      <c r="C530" s="92" t="s">
        <v>2639</v>
      </c>
      <c r="D530" s="72" t="str">
        <f>IFERROR(VLOOKUP(A530,'[1]ST-QA-ZZ5'!$C$5:$M$299,11,0),"Inspection at production line")</f>
        <v>Inspection at production line</v>
      </c>
      <c r="F530" s="92" t="s">
        <v>2647</v>
      </c>
      <c r="G530" s="92" t="s">
        <v>2489</v>
      </c>
      <c r="H530" s="92" t="s">
        <v>2648</v>
      </c>
      <c r="I530" s="92" t="s">
        <v>208</v>
      </c>
      <c r="J530" s="92" t="s">
        <v>60</v>
      </c>
      <c r="K530" s="92" t="s">
        <v>685</v>
      </c>
    </row>
    <row r="531" spans="1:11" ht="13.8">
      <c r="A531" s="47" t="s">
        <v>2642</v>
      </c>
      <c r="B531" s="92" t="s">
        <v>2638</v>
      </c>
      <c r="C531" s="92" t="s">
        <v>2639</v>
      </c>
      <c r="D531" s="72" t="str">
        <f>IFERROR(VLOOKUP(A531,'[1]ST-QA-ZZ5'!$C$5:$M$299,11,0),"Inspection at production line")</f>
        <v>Inspection at production line</v>
      </c>
      <c r="F531" s="92" t="s">
        <v>2651</v>
      </c>
      <c r="G531" s="92" t="s">
        <v>2652</v>
      </c>
      <c r="H531" s="92" t="s">
        <v>2653</v>
      </c>
      <c r="I531" s="92" t="s">
        <v>2654</v>
      </c>
      <c r="J531" s="92" t="s">
        <v>60</v>
      </c>
      <c r="K531" s="92" t="s">
        <v>2655</v>
      </c>
    </row>
    <row r="532" spans="1:11" ht="13.8">
      <c r="A532" s="47" t="s">
        <v>2645</v>
      </c>
      <c r="B532" s="92" t="s">
        <v>2638</v>
      </c>
      <c r="C532" s="92" t="s">
        <v>2646</v>
      </c>
      <c r="D532" s="72" t="str">
        <f>IFERROR(VLOOKUP(A532,'[1]ST-QA-ZZ5'!$C$5:$M$299,11,0),"Inspection at production line")</f>
        <v>Inspection at production line</v>
      </c>
      <c r="F532" s="92" t="s">
        <v>2658</v>
      </c>
      <c r="G532" s="92" t="s">
        <v>2659</v>
      </c>
      <c r="H532" s="92" t="s">
        <v>2660</v>
      </c>
      <c r="I532" s="92" t="s">
        <v>215</v>
      </c>
      <c r="J532" s="92" t="s">
        <v>60</v>
      </c>
      <c r="K532" s="92" t="s">
        <v>685</v>
      </c>
    </row>
    <row r="533" spans="1:11" ht="13.8">
      <c r="A533" s="47" t="s">
        <v>2649</v>
      </c>
      <c r="B533" s="92" t="s">
        <v>2650</v>
      </c>
      <c r="C533" s="92" t="s">
        <v>2650</v>
      </c>
      <c r="D533" s="72" t="str">
        <f>IFERROR(VLOOKUP(A533,'[1]ST-QA-ZZ5'!$C$5:$M$299,11,0),"Inspection at production line")</f>
        <v>Inspection at production line</v>
      </c>
      <c r="F533" s="92" t="s">
        <v>1766</v>
      </c>
      <c r="G533" s="92" t="s">
        <v>2663</v>
      </c>
      <c r="H533" s="92" t="s">
        <v>1767</v>
      </c>
      <c r="I533" s="92" t="s">
        <v>808</v>
      </c>
      <c r="J533" s="92" t="s">
        <v>60</v>
      </c>
      <c r="K533" s="92" t="s">
        <v>681</v>
      </c>
    </row>
    <row r="534" spans="1:11" ht="13.8">
      <c r="A534" s="47" t="s">
        <v>2656</v>
      </c>
      <c r="B534" s="92" t="s">
        <v>857</v>
      </c>
      <c r="C534" s="92" t="s">
        <v>2657</v>
      </c>
      <c r="D534" s="72" t="str">
        <f>IFERROR(VLOOKUP(A534,'[1]ST-QA-ZZ5'!$C$5:$M$299,11,0),"Inspection at production line")</f>
        <v>Inspection at production line</v>
      </c>
      <c r="F534" s="92" t="s">
        <v>260</v>
      </c>
      <c r="G534" s="92" t="s">
        <v>206</v>
      </c>
      <c r="H534" s="92" t="s">
        <v>261</v>
      </c>
      <c r="I534" s="92" t="s">
        <v>208</v>
      </c>
      <c r="J534" s="92" t="s">
        <v>60</v>
      </c>
      <c r="K534" s="92" t="s">
        <v>685</v>
      </c>
    </row>
    <row r="535" spans="1:11" ht="13.8">
      <c r="A535" s="47" t="s">
        <v>2661</v>
      </c>
      <c r="B535" s="92" t="s">
        <v>2662</v>
      </c>
      <c r="C535" s="92" t="s">
        <v>2662</v>
      </c>
      <c r="D535" s="72" t="str">
        <f>IFERROR(VLOOKUP(A535,'[1]ST-QA-ZZ5'!$C$5:$M$299,11,0),"Inspection at production line")</f>
        <v>Inspection at production line</v>
      </c>
      <c r="F535" s="92" t="s">
        <v>2669</v>
      </c>
      <c r="G535" s="92" t="s">
        <v>2670</v>
      </c>
      <c r="H535" s="92" t="s">
        <v>2671</v>
      </c>
      <c r="I535" s="92" t="s">
        <v>2654</v>
      </c>
      <c r="J535" s="92" t="s">
        <v>60</v>
      </c>
      <c r="K535" s="92" t="s">
        <v>2655</v>
      </c>
    </row>
    <row r="536" spans="1:11" ht="13.8">
      <c r="A536" s="47" t="s">
        <v>2664</v>
      </c>
      <c r="B536" s="92" t="s">
        <v>2665</v>
      </c>
      <c r="C536" s="92" t="s">
        <v>2666</v>
      </c>
      <c r="D536" s="72" t="str">
        <f>IFERROR(VLOOKUP(A536,'[1]ST-QA-ZZ5'!$C$5:$M$299,11,0),"Inspection at production line")</f>
        <v>Inspection at production line</v>
      </c>
      <c r="F536" s="92" t="s">
        <v>2675</v>
      </c>
      <c r="G536" s="92" t="s">
        <v>1669</v>
      </c>
      <c r="H536" s="92" t="s">
        <v>2676</v>
      </c>
      <c r="I536" s="92" t="s">
        <v>106</v>
      </c>
      <c r="J536" s="92" t="s">
        <v>60</v>
      </c>
      <c r="K536" s="92" t="s">
        <v>685</v>
      </c>
    </row>
    <row r="537" spans="1:11" ht="13.8">
      <c r="A537" s="47" t="s">
        <v>2667</v>
      </c>
      <c r="B537" s="92" t="s">
        <v>2668</v>
      </c>
      <c r="C537" s="92" t="s">
        <v>2668</v>
      </c>
      <c r="D537" s="72" t="str">
        <f>IFERROR(VLOOKUP(A537,'[1]ST-QA-ZZ5'!$C$5:$M$299,11,0),"Inspection at production line")</f>
        <v>Inspection at production line</v>
      </c>
      <c r="F537" s="96" t="s">
        <v>793</v>
      </c>
      <c r="G537" s="97" t="s">
        <v>794</v>
      </c>
      <c r="H537" s="97" t="s">
        <v>2678</v>
      </c>
      <c r="I537" s="74" t="s">
        <v>760</v>
      </c>
      <c r="J537" s="97" t="s">
        <v>60</v>
      </c>
      <c r="K537" s="96" t="s">
        <v>2679</v>
      </c>
    </row>
    <row r="538" spans="1:11" ht="13.8">
      <c r="A538" s="47" t="s">
        <v>2672</v>
      </c>
      <c r="B538" s="92" t="s">
        <v>2673</v>
      </c>
      <c r="C538" s="92" t="s">
        <v>2674</v>
      </c>
      <c r="D538" s="72" t="str">
        <f>IFERROR(VLOOKUP(A538,'[1]ST-QA-ZZ5'!$C$5:$M$299,11,0),"Inspection at production line")</f>
        <v>Inspection at production line</v>
      </c>
      <c r="F538" s="92" t="s">
        <v>2683</v>
      </c>
      <c r="G538" s="92" t="s">
        <v>704</v>
      </c>
      <c r="H538" s="92" t="s">
        <v>2684</v>
      </c>
      <c r="I538" s="92" t="s">
        <v>2685</v>
      </c>
      <c r="J538" s="92" t="s">
        <v>60</v>
      </c>
      <c r="K538" s="92" t="s">
        <v>2679</v>
      </c>
    </row>
    <row r="539" spans="1:11" ht="13.8">
      <c r="A539" s="47" t="s">
        <v>2677</v>
      </c>
      <c r="B539" s="92" t="s">
        <v>1848</v>
      </c>
      <c r="C539" s="92" t="s">
        <v>1849</v>
      </c>
      <c r="D539" s="72" t="str">
        <f>IFERROR(VLOOKUP(A539,'[1]ST-QA-ZZ5'!$C$5:$M$299,11,0),"Inspection at production line")</f>
        <v>Inspection at production line</v>
      </c>
      <c r="F539" s="92" t="s">
        <v>2683</v>
      </c>
      <c r="G539" s="92" t="s">
        <v>704</v>
      </c>
      <c r="H539" s="92" t="s">
        <v>2689</v>
      </c>
      <c r="I539" s="92" t="s">
        <v>2685</v>
      </c>
      <c r="J539" s="92" t="s">
        <v>60</v>
      </c>
      <c r="K539" s="92" t="s">
        <v>2679</v>
      </c>
    </row>
    <row r="540" spans="1:11" ht="13.8">
      <c r="A540" s="47" t="s">
        <v>2680</v>
      </c>
      <c r="B540" s="92" t="s">
        <v>2681</v>
      </c>
      <c r="C540" s="92" t="s">
        <v>2682</v>
      </c>
      <c r="D540" s="72" t="str">
        <f>IFERROR(VLOOKUP(A540,'[1]ST-QA-ZZ5'!$C$5:$M$299,11,0),"Inspection at production line")</f>
        <v>Inspection at production line</v>
      </c>
      <c r="F540" s="92" t="s">
        <v>2693</v>
      </c>
      <c r="G540" s="92" t="s">
        <v>704</v>
      </c>
      <c r="H540" s="92" t="s">
        <v>2694</v>
      </c>
      <c r="I540" s="92" t="s">
        <v>2695</v>
      </c>
      <c r="J540" s="92" t="s">
        <v>60</v>
      </c>
      <c r="K540" s="92" t="s">
        <v>2679</v>
      </c>
    </row>
    <row r="541" spans="1:11" ht="13.8">
      <c r="A541" s="47" t="s">
        <v>2686</v>
      </c>
      <c r="B541" s="92" t="s">
        <v>2687</v>
      </c>
      <c r="C541" s="92" t="s">
        <v>2688</v>
      </c>
      <c r="D541" s="72" t="str">
        <f>IFERROR(VLOOKUP(A541,'[1]ST-QA-ZZ5'!$C$5:$M$299,11,0),"Inspection at production line")</f>
        <v>Inspection at production line</v>
      </c>
      <c r="F541" s="95" t="s">
        <v>2698</v>
      </c>
      <c r="G541" s="95" t="s">
        <v>704</v>
      </c>
      <c r="H541" s="95" t="s">
        <v>2699</v>
      </c>
      <c r="I541" s="95" t="s">
        <v>852</v>
      </c>
      <c r="J541" s="95" t="s">
        <v>60</v>
      </c>
      <c r="K541" s="95" t="s">
        <v>2679</v>
      </c>
    </row>
    <row r="542" spans="1:11" ht="13.8">
      <c r="A542" s="47" t="s">
        <v>2690</v>
      </c>
      <c r="B542" s="92" t="s">
        <v>2691</v>
      </c>
      <c r="C542" s="92" t="s">
        <v>2692</v>
      </c>
      <c r="D542" s="72" t="str">
        <f>IFERROR(VLOOKUP(A542,'[1]ST-QA-ZZ5'!$C$5:$M$299,11,0),"Inspection at production line")</f>
        <v>Inspection at production line</v>
      </c>
      <c r="F542" s="95" t="s">
        <v>2702</v>
      </c>
      <c r="G542" s="95" t="s">
        <v>704</v>
      </c>
      <c r="H542" s="95" t="s">
        <v>2703</v>
      </c>
      <c r="I542" s="95" t="s">
        <v>852</v>
      </c>
      <c r="J542" s="95" t="s">
        <v>60</v>
      </c>
      <c r="K542" s="95" t="s">
        <v>2679</v>
      </c>
    </row>
    <row r="543" spans="1:11" ht="13.8">
      <c r="A543" s="47" t="s">
        <v>2696</v>
      </c>
      <c r="B543" s="92" t="s">
        <v>857</v>
      </c>
      <c r="C543" s="92" t="s">
        <v>2697</v>
      </c>
      <c r="D543" s="72" t="str">
        <f>IFERROR(VLOOKUP(A543,'[1]ST-QA-ZZ5'!$C$5:$M$299,11,0),"Inspection at production line")</f>
        <v>Inspection at production line</v>
      </c>
      <c r="F543" s="93">
        <v>256</v>
      </c>
      <c r="G543" s="92" t="s">
        <v>704</v>
      </c>
      <c r="H543" s="92" t="s">
        <v>800</v>
      </c>
      <c r="I543" s="92" t="s">
        <v>852</v>
      </c>
      <c r="J543" s="92" t="s">
        <v>60</v>
      </c>
      <c r="K543" s="92" t="s">
        <v>2679</v>
      </c>
    </row>
    <row r="544" spans="1:11" ht="13.8">
      <c r="A544" s="47" t="s">
        <v>2700</v>
      </c>
      <c r="B544" s="92" t="s">
        <v>2701</v>
      </c>
      <c r="C544" s="92" t="s">
        <v>2701</v>
      </c>
      <c r="D544" s="72" t="str">
        <f>IFERROR(VLOOKUP(A544,'[1]ST-QA-ZZ5'!$C$5:$M$299,11,0),"Inspection at production line")</f>
        <v>Inspection at production line</v>
      </c>
      <c r="F544" s="93">
        <v>439</v>
      </c>
      <c r="G544" s="92" t="s">
        <v>794</v>
      </c>
      <c r="H544" s="92" t="s">
        <v>896</v>
      </c>
      <c r="I544" s="92" t="s">
        <v>2710</v>
      </c>
      <c r="J544" s="92" t="s">
        <v>60</v>
      </c>
      <c r="K544" s="92" t="s">
        <v>2679</v>
      </c>
    </row>
    <row r="545" spans="1:11" ht="13.8">
      <c r="A545" s="47" t="s">
        <v>2704</v>
      </c>
      <c r="B545" s="92" t="s">
        <v>2705</v>
      </c>
      <c r="C545" s="92" t="s">
        <v>2706</v>
      </c>
      <c r="D545" s="72" t="str">
        <f>IFERROR(VLOOKUP(A545,'[1]ST-QA-ZZ5'!$C$5:$M$299,11,0),"Inspection at production line")</f>
        <v>Inspection at production line</v>
      </c>
      <c r="F545" s="92" t="s">
        <v>2714</v>
      </c>
      <c r="G545" s="92" t="s">
        <v>794</v>
      </c>
      <c r="H545" s="92" t="s">
        <v>2715</v>
      </c>
      <c r="I545" s="92" t="s">
        <v>2716</v>
      </c>
      <c r="J545" s="92" t="s">
        <v>60</v>
      </c>
      <c r="K545" s="92" t="s">
        <v>2679</v>
      </c>
    </row>
    <row r="546" spans="1:11" ht="13.8">
      <c r="A546" s="47" t="s">
        <v>2707</v>
      </c>
      <c r="B546" s="92" t="s">
        <v>2708</v>
      </c>
      <c r="C546" s="92" t="s">
        <v>2709</v>
      </c>
      <c r="D546" s="72" t="str">
        <f>IFERROR(VLOOKUP(A546,'[1]ST-QA-ZZ5'!$C$5:$M$299,11,0),"Inspection at production line")</f>
        <v>Inspection at production line</v>
      </c>
      <c r="F546" s="92" t="s">
        <v>2720</v>
      </c>
      <c r="G546" s="92" t="s">
        <v>2721</v>
      </c>
      <c r="H546" s="92" t="s">
        <v>2722</v>
      </c>
      <c r="I546" s="92" t="s">
        <v>2723</v>
      </c>
      <c r="J546" s="92" t="s">
        <v>60</v>
      </c>
      <c r="K546" s="92" t="s">
        <v>686</v>
      </c>
    </row>
    <row r="547" spans="1:11" ht="13.8">
      <c r="A547" s="47" t="s">
        <v>2711</v>
      </c>
      <c r="B547" s="92" t="s">
        <v>2712</v>
      </c>
      <c r="C547" s="92" t="s">
        <v>2713</v>
      </c>
      <c r="D547" s="72" t="str">
        <f>IFERROR(VLOOKUP(A547,'[1]ST-QA-ZZ5'!$C$5:$M$299,11,0),"Inspection at production line")</f>
        <v>Inspection at production line</v>
      </c>
      <c r="F547" s="92" t="s">
        <v>2726</v>
      </c>
      <c r="G547" s="92" t="s">
        <v>2721</v>
      </c>
      <c r="H547" s="92" t="s">
        <v>2727</v>
      </c>
      <c r="I547" s="92" t="s">
        <v>2723</v>
      </c>
      <c r="J547" s="92" t="s">
        <v>60</v>
      </c>
      <c r="K547" s="92" t="s">
        <v>686</v>
      </c>
    </row>
    <row r="548" spans="1:11" ht="13.8">
      <c r="A548" s="47" t="s">
        <v>2717</v>
      </c>
      <c r="B548" s="92" t="s">
        <v>2718</v>
      </c>
      <c r="C548" s="92" t="s">
        <v>2719</v>
      </c>
      <c r="D548" s="72" t="str">
        <f>IFERROR(VLOOKUP(A548,'[1]ST-QA-ZZ5'!$C$5:$M$299,11,0),"Inspection at production line")</f>
        <v>Inspection at production line</v>
      </c>
      <c r="F548" s="92" t="s">
        <v>2730</v>
      </c>
      <c r="G548" s="92" t="s">
        <v>2721</v>
      </c>
      <c r="H548" s="92" t="s">
        <v>2731</v>
      </c>
      <c r="I548" s="92" t="s">
        <v>2723</v>
      </c>
      <c r="J548" s="92" t="s">
        <v>60</v>
      </c>
      <c r="K548" s="92" t="s">
        <v>686</v>
      </c>
    </row>
    <row r="549" spans="1:11" ht="13.8">
      <c r="A549" s="47" t="s">
        <v>2724</v>
      </c>
      <c r="B549" s="92" t="s">
        <v>2725</v>
      </c>
      <c r="C549" s="92" t="s">
        <v>2725</v>
      </c>
      <c r="D549" s="72" t="str">
        <f>IFERROR(VLOOKUP(A549,'[1]ST-QA-ZZ5'!$C$5:$M$299,11,0),"Inspection at production line")</f>
        <v>Inspection at production line</v>
      </c>
      <c r="F549" s="92" t="s">
        <v>2735</v>
      </c>
      <c r="G549" s="92" t="s">
        <v>2721</v>
      </c>
      <c r="H549" s="92" t="s">
        <v>2736</v>
      </c>
      <c r="I549" s="92" t="s">
        <v>2723</v>
      </c>
      <c r="J549" s="92" t="s">
        <v>60</v>
      </c>
      <c r="K549" s="92" t="s">
        <v>686</v>
      </c>
    </row>
    <row r="550" spans="1:11" ht="13.8">
      <c r="A550" s="47" t="s">
        <v>2728</v>
      </c>
      <c r="B550" s="92" t="s">
        <v>2729</v>
      </c>
      <c r="C550" s="92" t="s">
        <v>2729</v>
      </c>
      <c r="D550" s="72" t="str">
        <f>IFERROR(VLOOKUP(A550,'[1]ST-QA-ZZ5'!$C$5:$M$299,11,0),"Inspection at production line")</f>
        <v>Inspection at production line</v>
      </c>
      <c r="F550" s="92" t="s">
        <v>2739</v>
      </c>
      <c r="G550" s="92" t="s">
        <v>905</v>
      </c>
      <c r="H550" s="92" t="s">
        <v>2740</v>
      </c>
      <c r="I550" s="92" t="s">
        <v>2723</v>
      </c>
      <c r="J550" s="92" t="s">
        <v>60</v>
      </c>
      <c r="K550" s="92" t="s">
        <v>686</v>
      </c>
    </row>
    <row r="551" spans="1:11" ht="13.8">
      <c r="A551" s="47" t="s">
        <v>2732</v>
      </c>
      <c r="B551" s="92" t="s">
        <v>2733</v>
      </c>
      <c r="C551" s="92" t="s">
        <v>2734</v>
      </c>
      <c r="D551" s="72" t="str">
        <f>IFERROR(VLOOKUP(A551,'[1]ST-QA-ZZ5'!$C$5:$M$299,11,0),"Inspection at production line")</f>
        <v>Inspection at production line</v>
      </c>
      <c r="F551" s="92" t="s">
        <v>2743</v>
      </c>
      <c r="G551" s="92" t="s">
        <v>941</v>
      </c>
      <c r="H551" s="92" t="s">
        <v>2744</v>
      </c>
      <c r="I551" s="92" t="s">
        <v>2723</v>
      </c>
      <c r="J551" s="92" t="s">
        <v>60</v>
      </c>
      <c r="K551" s="92" t="s">
        <v>686</v>
      </c>
    </row>
    <row r="552" spans="1:11" ht="13.8">
      <c r="A552" s="47" t="s">
        <v>2737</v>
      </c>
      <c r="B552" s="92" t="s">
        <v>857</v>
      </c>
      <c r="C552" s="92" t="s">
        <v>2738</v>
      </c>
      <c r="D552" s="72" t="str">
        <f>IFERROR(VLOOKUP(A552,'[1]ST-QA-ZZ5'!$C$5:$M$299,11,0),"Inspection at production line")</f>
        <v>Inspection at production line</v>
      </c>
      <c r="F552" s="92" t="s">
        <v>2747</v>
      </c>
      <c r="G552" s="92" t="s">
        <v>2748</v>
      </c>
      <c r="H552" s="92" t="s">
        <v>2748</v>
      </c>
      <c r="I552" s="92" t="s">
        <v>2723</v>
      </c>
      <c r="J552" s="92" t="s">
        <v>60</v>
      </c>
      <c r="K552" s="92" t="s">
        <v>686</v>
      </c>
    </row>
    <row r="553" spans="1:11" ht="13.8">
      <c r="A553" s="47" t="s">
        <v>2741</v>
      </c>
      <c r="B553" s="92" t="s">
        <v>1208</v>
      </c>
      <c r="C553" s="92" t="s">
        <v>2742</v>
      </c>
      <c r="D553" s="72" t="str">
        <f>IFERROR(VLOOKUP(A553,'[1]ST-QA-ZZ5'!$C$5:$M$299,11,0),"Inspection at production line")</f>
        <v>Inspection at production line</v>
      </c>
      <c r="F553" s="92" t="s">
        <v>2751</v>
      </c>
      <c r="G553" s="92" t="s">
        <v>819</v>
      </c>
      <c r="H553" s="92" t="s">
        <v>2752</v>
      </c>
      <c r="I553" s="92" t="s">
        <v>2723</v>
      </c>
      <c r="J553" s="92" t="s">
        <v>60</v>
      </c>
      <c r="K553" s="92" t="s">
        <v>686</v>
      </c>
    </row>
    <row r="554" spans="1:11" ht="13.8">
      <c r="A554" s="47" t="s">
        <v>2745</v>
      </c>
      <c r="B554" s="92" t="s">
        <v>1208</v>
      </c>
      <c r="C554" s="92" t="s">
        <v>2746</v>
      </c>
      <c r="D554" s="72" t="str">
        <f>IFERROR(VLOOKUP(A554,'[1]ST-QA-ZZ5'!$C$5:$M$299,11,0),"Inspection at production line")</f>
        <v>Inspection at production line</v>
      </c>
      <c r="F554" s="92" t="s">
        <v>2755</v>
      </c>
      <c r="G554" s="92" t="s">
        <v>814</v>
      </c>
      <c r="H554" s="92" t="s">
        <v>1104</v>
      </c>
      <c r="I554" s="92" t="s">
        <v>2723</v>
      </c>
      <c r="J554" s="92" t="s">
        <v>60</v>
      </c>
      <c r="K554" s="92" t="s">
        <v>686</v>
      </c>
    </row>
    <row r="555" spans="1:11" ht="13.8">
      <c r="A555" s="47" t="s">
        <v>2749</v>
      </c>
      <c r="B555" s="92" t="s">
        <v>2750</v>
      </c>
      <c r="C555" s="92" t="s">
        <v>2750</v>
      </c>
      <c r="D555" s="72" t="str">
        <f>IFERROR(VLOOKUP(A555,'[1]ST-QA-ZZ5'!$C$5:$M$299,11,0),"Inspection at production line")</f>
        <v>Inspection at production line</v>
      </c>
      <c r="F555" s="92" t="s">
        <v>2758</v>
      </c>
      <c r="G555" s="92" t="s">
        <v>828</v>
      </c>
      <c r="H555" s="92" t="s">
        <v>829</v>
      </c>
      <c r="I555" s="92" t="s">
        <v>2723</v>
      </c>
      <c r="J555" s="92" t="s">
        <v>60</v>
      </c>
      <c r="K555" s="92" t="s">
        <v>686</v>
      </c>
    </row>
    <row r="556" spans="1:11" ht="13.8">
      <c r="A556" s="47" t="s">
        <v>2753</v>
      </c>
      <c r="B556" s="92" t="s">
        <v>2754</v>
      </c>
      <c r="C556" s="92" t="s">
        <v>2754</v>
      </c>
      <c r="D556" s="72" t="str">
        <f>IFERROR(VLOOKUP(A556,'[1]ST-QA-ZZ5'!$C$5:$M$299,11,0),"Inspection at production line")</f>
        <v>Inspection at production line</v>
      </c>
      <c r="F556" s="92" t="s">
        <v>2762</v>
      </c>
      <c r="G556" s="92" t="s">
        <v>2566</v>
      </c>
      <c r="H556" s="92" t="s">
        <v>2763</v>
      </c>
      <c r="I556" s="92" t="s">
        <v>2723</v>
      </c>
      <c r="J556" s="92" t="s">
        <v>60</v>
      </c>
      <c r="K556" s="92" t="s">
        <v>686</v>
      </c>
    </row>
    <row r="557" spans="1:11" ht="13.8">
      <c r="A557" s="47" t="s">
        <v>2756</v>
      </c>
      <c r="B557" s="92" t="s">
        <v>2757</v>
      </c>
      <c r="C557" s="92" t="s">
        <v>2757</v>
      </c>
      <c r="D557" s="72" t="str">
        <f>IFERROR(VLOOKUP(A557,'[1]ST-QA-ZZ5'!$C$5:$M$299,11,0),"Inspection at production line")</f>
        <v>Inspection at production line</v>
      </c>
      <c r="F557" s="92" t="s">
        <v>2767</v>
      </c>
      <c r="G557" s="92" t="s">
        <v>849</v>
      </c>
      <c r="H557" s="92" t="s">
        <v>2768</v>
      </c>
      <c r="I557" s="92" t="s">
        <v>2723</v>
      </c>
      <c r="J557" s="92" t="s">
        <v>60</v>
      </c>
      <c r="K557" s="92" t="s">
        <v>686</v>
      </c>
    </row>
    <row r="558" spans="1:11" ht="13.8">
      <c r="A558" s="47" t="s">
        <v>2759</v>
      </c>
      <c r="B558" s="92" t="s">
        <v>2760</v>
      </c>
      <c r="C558" s="92" t="s">
        <v>2761</v>
      </c>
      <c r="D558" s="72" t="str">
        <f>IFERROR(VLOOKUP(A558,'[1]ST-QA-ZZ5'!$C$5:$M$299,11,0),"Inspection at production line")</f>
        <v>Inspection at production line</v>
      </c>
      <c r="F558" s="92" t="s">
        <v>2771</v>
      </c>
      <c r="G558" s="92" t="s">
        <v>57</v>
      </c>
      <c r="H558" s="92" t="s">
        <v>2772</v>
      </c>
      <c r="I558" s="92" t="s">
        <v>2723</v>
      </c>
      <c r="J558" s="92" t="s">
        <v>60</v>
      </c>
      <c r="K558" s="92" t="s">
        <v>686</v>
      </c>
    </row>
    <row r="559" spans="1:11" ht="13.8">
      <c r="A559" s="47" t="s">
        <v>2764</v>
      </c>
      <c r="B559" s="92" t="s">
        <v>2765</v>
      </c>
      <c r="C559" s="92" t="s">
        <v>2766</v>
      </c>
      <c r="D559" s="72" t="str">
        <f>IFERROR(VLOOKUP(A559,'[1]ST-QA-ZZ5'!$C$5:$M$299,11,0),"Inspection at production line")</f>
        <v>Inspection at production line</v>
      </c>
      <c r="F559" s="92" t="s">
        <v>2775</v>
      </c>
      <c r="G559" s="92" t="s">
        <v>900</v>
      </c>
      <c r="H559" s="92" t="s">
        <v>2776</v>
      </c>
      <c r="I559" s="92" t="s">
        <v>2723</v>
      </c>
      <c r="J559" s="92" t="s">
        <v>60</v>
      </c>
      <c r="K559" s="92" t="s">
        <v>686</v>
      </c>
    </row>
    <row r="560" spans="1:11" ht="13.8">
      <c r="A560" s="47" t="s">
        <v>2769</v>
      </c>
      <c r="B560" s="92" t="s">
        <v>2765</v>
      </c>
      <c r="C560" s="92" t="s">
        <v>2770</v>
      </c>
      <c r="D560" s="72" t="str">
        <f>IFERROR(VLOOKUP(A560,'[1]ST-QA-ZZ5'!$C$5:$M$299,11,0),"Inspection at production line")</f>
        <v>Inspection at production line</v>
      </c>
      <c r="F560" s="92" t="s">
        <v>2780</v>
      </c>
      <c r="G560" s="92" t="s">
        <v>843</v>
      </c>
      <c r="H560" s="92" t="s">
        <v>2781</v>
      </c>
      <c r="I560" s="92" t="s">
        <v>2723</v>
      </c>
      <c r="J560" s="92" t="s">
        <v>60</v>
      </c>
      <c r="K560" s="92" t="s">
        <v>686</v>
      </c>
    </row>
    <row r="561" spans="1:11" ht="13.8">
      <c r="A561" s="47" t="s">
        <v>2773</v>
      </c>
      <c r="B561" s="92" t="s">
        <v>2765</v>
      </c>
      <c r="C561" s="92" t="s">
        <v>2774</v>
      </c>
      <c r="D561" s="72" t="str">
        <f>IFERROR(VLOOKUP(A561,'[1]ST-QA-ZZ5'!$C$5:$M$299,11,0),"Inspection at production line")</f>
        <v>Inspection at production line</v>
      </c>
      <c r="F561" s="92" t="s">
        <v>2784</v>
      </c>
      <c r="G561" s="92" t="s">
        <v>2785</v>
      </c>
      <c r="H561" s="92" t="s">
        <v>2786</v>
      </c>
      <c r="I561" s="92" t="s">
        <v>2723</v>
      </c>
      <c r="J561" s="92" t="s">
        <v>60</v>
      </c>
      <c r="K561" s="92" t="s">
        <v>686</v>
      </c>
    </row>
    <row r="562" spans="1:11" ht="13.8">
      <c r="A562" s="47" t="s">
        <v>2777</v>
      </c>
      <c r="B562" s="92" t="s">
        <v>2778</v>
      </c>
      <c r="C562" s="92" t="s">
        <v>2779</v>
      </c>
      <c r="D562" s="72" t="str">
        <f>IFERROR(VLOOKUP(A562,'[1]ST-QA-ZZ5'!$C$5:$M$299,11,0),"Inspection at production line")</f>
        <v>Inspection at production line</v>
      </c>
      <c r="F562" s="92" t="s">
        <v>2790</v>
      </c>
      <c r="G562" s="92" t="s">
        <v>975</v>
      </c>
      <c r="H562" s="92" t="s">
        <v>2791</v>
      </c>
      <c r="I562" s="92" t="s">
        <v>2723</v>
      </c>
      <c r="J562" s="92" t="s">
        <v>71</v>
      </c>
      <c r="K562" s="92" t="s">
        <v>686</v>
      </c>
    </row>
    <row r="563" spans="1:11" ht="13.8">
      <c r="A563" s="47" t="s">
        <v>2782</v>
      </c>
      <c r="B563" s="92" t="s">
        <v>2783</v>
      </c>
      <c r="C563" s="92" t="s">
        <v>2783</v>
      </c>
      <c r="D563" s="72" t="str">
        <f>IFERROR(VLOOKUP(A563,'[1]ST-QA-ZZ5'!$C$5:$M$299,11,0),"Inspection at production line")</f>
        <v>Inspection at production line</v>
      </c>
      <c r="F563" s="92" t="s">
        <v>2795</v>
      </c>
      <c r="G563" s="92" t="s">
        <v>68</v>
      </c>
      <c r="H563" s="92" t="s">
        <v>2796</v>
      </c>
      <c r="I563" s="92" t="s">
        <v>2723</v>
      </c>
      <c r="J563" s="92" t="s">
        <v>71</v>
      </c>
      <c r="K563" s="92" t="s">
        <v>686</v>
      </c>
    </row>
    <row r="564" spans="1:11" ht="13.8">
      <c r="A564" s="47" t="s">
        <v>2787</v>
      </c>
      <c r="B564" s="92" t="s">
        <v>2788</v>
      </c>
      <c r="C564" s="92" t="s">
        <v>2789</v>
      </c>
      <c r="D564" s="72" t="str">
        <f>IFERROR(VLOOKUP(A564,'[1]ST-QA-ZZ5'!$C$5:$M$299,11,0),"Inspection at production line")</f>
        <v>Inspection at production line</v>
      </c>
      <c r="F564" s="92" t="s">
        <v>2800</v>
      </c>
      <c r="G564" s="92" t="s">
        <v>2336</v>
      </c>
      <c r="H564" s="92" t="s">
        <v>2336</v>
      </c>
      <c r="I564" s="92" t="s">
        <v>2723</v>
      </c>
      <c r="J564" s="92" t="s">
        <v>60</v>
      </c>
      <c r="K564" s="92" t="s">
        <v>686</v>
      </c>
    </row>
    <row r="565" spans="1:11" ht="13.8">
      <c r="A565" s="47" t="s">
        <v>2792</v>
      </c>
      <c r="B565" s="92" t="s">
        <v>2793</v>
      </c>
      <c r="C565" s="92" t="s">
        <v>2794</v>
      </c>
      <c r="D565" s="72" t="str">
        <f>IFERROR(VLOOKUP(A565,'[1]ST-QA-ZZ5'!$C$5:$M$299,11,0),"Inspection at production line")</f>
        <v>Inspection at production line</v>
      </c>
      <c r="F565" s="92" t="s">
        <v>2803</v>
      </c>
      <c r="G565" s="92" t="s">
        <v>2336</v>
      </c>
      <c r="H565" s="92" t="s">
        <v>2336</v>
      </c>
      <c r="I565" s="92" t="s">
        <v>2723</v>
      </c>
      <c r="J565" s="92" t="s">
        <v>60</v>
      </c>
      <c r="K565" s="92" t="s">
        <v>686</v>
      </c>
    </row>
    <row r="566" spans="1:11" ht="13.8">
      <c r="A566" s="47" t="s">
        <v>2797</v>
      </c>
      <c r="B566" s="92" t="s">
        <v>2798</v>
      </c>
      <c r="C566" s="92" t="s">
        <v>2799</v>
      </c>
      <c r="D566" s="72" t="str">
        <f>IFERROR(VLOOKUP(A566,'[1]ST-QA-ZZ5'!$C$5:$M$299,11,0),"Inspection at production line")</f>
        <v>Inspection at production line</v>
      </c>
      <c r="F566" s="92" t="s">
        <v>2806</v>
      </c>
      <c r="G566" s="92" t="s">
        <v>90</v>
      </c>
      <c r="H566" s="92" t="s">
        <v>2807</v>
      </c>
      <c r="I566" s="92" t="s">
        <v>2723</v>
      </c>
      <c r="J566" s="92" t="s">
        <v>60</v>
      </c>
      <c r="K566" s="92" t="s">
        <v>686</v>
      </c>
    </row>
    <row r="567" spans="1:11" ht="13.8">
      <c r="A567" s="47" t="s">
        <v>2801</v>
      </c>
      <c r="B567" s="92" t="s">
        <v>1951</v>
      </c>
      <c r="C567" s="92" t="s">
        <v>2802</v>
      </c>
      <c r="D567" s="72" t="str">
        <f>IFERROR(VLOOKUP(A567,'[1]ST-QA-ZZ5'!$C$5:$M$299,11,0),"Inspection at production line")</f>
        <v>Inspection at production line</v>
      </c>
      <c r="F567" s="92" t="s">
        <v>2809</v>
      </c>
      <c r="G567" s="92" t="s">
        <v>90</v>
      </c>
      <c r="H567" s="92" t="s">
        <v>2807</v>
      </c>
      <c r="I567" s="92" t="s">
        <v>2723</v>
      </c>
      <c r="J567" s="92" t="s">
        <v>60</v>
      </c>
      <c r="K567" s="92" t="s">
        <v>686</v>
      </c>
    </row>
    <row r="568" spans="1:11" ht="13.8">
      <c r="A568" s="47" t="s">
        <v>2804</v>
      </c>
      <c r="B568" s="92" t="s">
        <v>2765</v>
      </c>
      <c r="C568" s="92" t="s">
        <v>2805</v>
      </c>
      <c r="D568" s="72" t="str">
        <f>IFERROR(VLOOKUP(A568,'[1]ST-QA-ZZ5'!$C$5:$M$299,11,0),"Inspection at production line")</f>
        <v>Inspection at production line</v>
      </c>
      <c r="F568" s="92" t="s">
        <v>2812</v>
      </c>
      <c r="G568" s="92" t="s">
        <v>905</v>
      </c>
      <c r="H568" s="92" t="s">
        <v>2813</v>
      </c>
      <c r="I568" s="92" t="s">
        <v>85</v>
      </c>
      <c r="J568" s="92" t="s">
        <v>60</v>
      </c>
      <c r="K568" s="92" t="s">
        <v>686</v>
      </c>
    </row>
    <row r="569" spans="1:11" ht="13.8">
      <c r="A569" s="47" t="s">
        <v>2808</v>
      </c>
      <c r="B569" s="92" t="s">
        <v>2619</v>
      </c>
      <c r="C569" s="92" t="s">
        <v>2619</v>
      </c>
      <c r="D569" s="72" t="str">
        <f>IFERROR(VLOOKUP(A569,'[1]ST-QA-ZZ5'!$C$5:$M$299,11,0),"Inspection at production line")</f>
        <v>Inspection at production line</v>
      </c>
      <c r="F569" s="92" t="s">
        <v>2814</v>
      </c>
      <c r="G569" s="92" t="s">
        <v>849</v>
      </c>
      <c r="H569" s="92" t="s">
        <v>2815</v>
      </c>
      <c r="I569" s="92" t="s">
        <v>2816</v>
      </c>
      <c r="J569" s="92" t="s">
        <v>60</v>
      </c>
      <c r="K569" s="92" t="s">
        <v>686</v>
      </c>
    </row>
    <row r="570" spans="1:11" ht="13.8">
      <c r="A570" s="47" t="s">
        <v>2810</v>
      </c>
      <c r="B570" s="92" t="s">
        <v>857</v>
      </c>
      <c r="C570" s="92" t="s">
        <v>2811</v>
      </c>
      <c r="D570" s="72" t="str">
        <f>IFERROR(VLOOKUP(A570,'[1]ST-QA-ZZ5'!$C$5:$M$299,11,0),"Inspection at production line")</f>
        <v>Inspection at production line</v>
      </c>
      <c r="F570" s="92" t="s">
        <v>2817</v>
      </c>
      <c r="G570" s="92" t="s">
        <v>2818</v>
      </c>
      <c r="H570" s="92" t="s">
        <v>2818</v>
      </c>
      <c r="I570" s="92" t="s">
        <v>77</v>
      </c>
      <c r="J570" s="92" t="s">
        <v>60</v>
      </c>
      <c r="K570" s="92" t="s">
        <v>686</v>
      </c>
    </row>
    <row r="571" spans="1:11" ht="13.8">
      <c r="A571" s="47" t="s">
        <v>2720</v>
      </c>
      <c r="B571" s="92" t="s">
        <v>2721</v>
      </c>
      <c r="C571" s="92" t="s">
        <v>2722</v>
      </c>
      <c r="D571" s="72" t="str">
        <f>IFERROR(VLOOKUP(A571,'[1]ST-QA-ZZ5'!$C$5:$M$299,11,0),"Inspection at production line")</f>
        <v>Inspection at production line</v>
      </c>
      <c r="F571" s="92" t="s">
        <v>2819</v>
      </c>
      <c r="G571" s="92" t="s">
        <v>2820</v>
      </c>
      <c r="H571" s="92" t="s">
        <v>2820</v>
      </c>
      <c r="I571" s="92" t="s">
        <v>77</v>
      </c>
      <c r="J571" s="92" t="s">
        <v>60</v>
      </c>
      <c r="K571" s="92" t="s">
        <v>686</v>
      </c>
    </row>
    <row r="572" spans="1:11" ht="13.8">
      <c r="A572" s="47" t="s">
        <v>2726</v>
      </c>
      <c r="B572" s="92" t="s">
        <v>2721</v>
      </c>
      <c r="C572" s="92" t="s">
        <v>2727</v>
      </c>
      <c r="D572" s="72" t="str">
        <f>IFERROR(VLOOKUP(A572,'[1]ST-QA-ZZ5'!$C$5:$M$299,11,0),"Inspection at production line")</f>
        <v>Inspection at production line</v>
      </c>
      <c r="F572" s="92" t="s">
        <v>2821</v>
      </c>
      <c r="G572" s="92" t="s">
        <v>2489</v>
      </c>
      <c r="H572" s="92" t="s">
        <v>2489</v>
      </c>
      <c r="I572" s="92" t="s">
        <v>2816</v>
      </c>
      <c r="J572" s="92" t="s">
        <v>71</v>
      </c>
      <c r="K572" s="92" t="s">
        <v>686</v>
      </c>
    </row>
    <row r="573" spans="1:11" ht="13.8">
      <c r="A573" s="47" t="s">
        <v>2730</v>
      </c>
      <c r="B573" s="92" t="s">
        <v>2721</v>
      </c>
      <c r="C573" s="92" t="s">
        <v>2731</v>
      </c>
      <c r="D573" s="72" t="str">
        <f>IFERROR(VLOOKUP(A573,'[1]ST-QA-ZZ5'!$C$5:$M$299,11,0),"Inspection at production line")</f>
        <v>Inspection at production line</v>
      </c>
      <c r="F573" s="92" t="s">
        <v>2822</v>
      </c>
      <c r="G573" s="92" t="s">
        <v>90</v>
      </c>
      <c r="H573" s="92" t="s">
        <v>2823</v>
      </c>
      <c r="I573" s="92" t="s">
        <v>2824</v>
      </c>
      <c r="J573" s="92" t="s">
        <v>60</v>
      </c>
      <c r="K573" s="92" t="s">
        <v>686</v>
      </c>
    </row>
    <row r="574" spans="1:11" ht="13.8">
      <c r="A574" s="47" t="s">
        <v>2735</v>
      </c>
      <c r="B574" s="92" t="s">
        <v>2721</v>
      </c>
      <c r="C574" s="92" t="s">
        <v>2736</v>
      </c>
      <c r="D574" s="72" t="str">
        <f>IFERROR(VLOOKUP(A574,'[1]ST-QA-ZZ5'!$C$5:$M$299,11,0),"Inspection at production line")</f>
        <v>Inspection at production line</v>
      </c>
      <c r="F574" s="92" t="s">
        <v>2825</v>
      </c>
      <c r="G574" s="92" t="s">
        <v>704</v>
      </c>
      <c r="H574" s="92" t="s">
        <v>2826</v>
      </c>
      <c r="I574" s="92" t="s">
        <v>77</v>
      </c>
      <c r="J574" s="92" t="s">
        <v>60</v>
      </c>
      <c r="K574" s="92" t="s">
        <v>686</v>
      </c>
    </row>
    <row r="575" spans="1:11" ht="13.8">
      <c r="A575" s="47" t="s">
        <v>2739</v>
      </c>
      <c r="B575" s="92" t="s">
        <v>905</v>
      </c>
      <c r="C575" s="92" t="s">
        <v>2740</v>
      </c>
      <c r="D575" s="72" t="str">
        <f>IFERROR(VLOOKUP(A575,'[1]ST-QA-ZZ5'!$C$5:$M$299,11,0),"Inspection at production line")</f>
        <v>Inspection at production line</v>
      </c>
      <c r="F575" s="92" t="s">
        <v>2828</v>
      </c>
      <c r="G575" s="92" t="s">
        <v>704</v>
      </c>
      <c r="H575" s="92" t="s">
        <v>2829</v>
      </c>
      <c r="I575" s="92" t="s">
        <v>77</v>
      </c>
      <c r="J575" s="92" t="s">
        <v>60</v>
      </c>
      <c r="K575" s="92" t="s">
        <v>686</v>
      </c>
    </row>
    <row r="576" spans="1:11" ht="13.8">
      <c r="A576" s="47" t="s">
        <v>2743</v>
      </c>
      <c r="B576" s="92" t="s">
        <v>941</v>
      </c>
      <c r="C576" s="92" t="s">
        <v>2744</v>
      </c>
      <c r="D576" s="72" t="str">
        <f>IFERROR(VLOOKUP(A576,'[1]ST-QA-ZZ5'!$C$5:$M$299,11,0),"Inspection at production line")</f>
        <v>Inspection at production line</v>
      </c>
      <c r="F576" s="92" t="s">
        <v>2830</v>
      </c>
      <c r="G576" s="92" t="s">
        <v>941</v>
      </c>
      <c r="H576" s="92" t="s">
        <v>2831</v>
      </c>
      <c r="I576" s="92" t="s">
        <v>77</v>
      </c>
      <c r="J576" s="92" t="s">
        <v>60</v>
      </c>
      <c r="K576" s="92" t="s">
        <v>686</v>
      </c>
    </row>
    <row r="577" spans="1:11" ht="13.8">
      <c r="A577" s="47" t="s">
        <v>2747</v>
      </c>
      <c r="B577" s="92" t="s">
        <v>208</v>
      </c>
      <c r="C577" s="92" t="s">
        <v>2827</v>
      </c>
      <c r="D577" s="72" t="str">
        <f>IFERROR(VLOOKUP(A577,'[1]ST-QA-ZZ5'!$C$5:$M$299,11,0),"Inspection at production line")</f>
        <v>Inspection at production line</v>
      </c>
      <c r="F577" s="92" t="s">
        <v>2833</v>
      </c>
      <c r="G577" s="92" t="s">
        <v>75</v>
      </c>
      <c r="H577" s="92" t="s">
        <v>76</v>
      </c>
      <c r="I577" s="92" t="s">
        <v>77</v>
      </c>
      <c r="J577" s="92" t="s">
        <v>60</v>
      </c>
      <c r="K577" s="92" t="s">
        <v>686</v>
      </c>
    </row>
    <row r="578" spans="1:11" ht="13.8">
      <c r="A578" s="47" t="s">
        <v>2751</v>
      </c>
      <c r="B578" s="92" t="s">
        <v>819</v>
      </c>
      <c r="C578" s="92" t="s">
        <v>2752</v>
      </c>
      <c r="D578" s="72" t="str">
        <f>IFERROR(VLOOKUP(A578,'[1]ST-QA-ZZ5'!$C$5:$M$299,11,0),"Inspection at production line")</f>
        <v>Inspection at production line</v>
      </c>
      <c r="F578" s="92" t="s">
        <v>2835</v>
      </c>
      <c r="G578" s="92" t="s">
        <v>1070</v>
      </c>
      <c r="H578" s="92" t="s">
        <v>2836</v>
      </c>
      <c r="I578" s="92" t="s">
        <v>2685</v>
      </c>
      <c r="J578" s="92" t="s">
        <v>60</v>
      </c>
      <c r="K578" s="92" t="s">
        <v>686</v>
      </c>
    </row>
    <row r="579" spans="1:11" ht="13.8">
      <c r="A579" s="47" t="s">
        <v>2755</v>
      </c>
      <c r="B579" s="92" t="s">
        <v>814</v>
      </c>
      <c r="C579" s="92" t="s">
        <v>2832</v>
      </c>
      <c r="D579" s="72" t="str">
        <f>IFERROR(VLOOKUP(A579,'[1]ST-QA-ZZ5'!$C$5:$M$299,11,0),"Inspection at production line")</f>
        <v>Inspection at production line</v>
      </c>
      <c r="F579" s="92" t="s">
        <v>2837</v>
      </c>
      <c r="G579" s="92" t="s">
        <v>1070</v>
      </c>
      <c r="H579" s="92" t="s">
        <v>2838</v>
      </c>
      <c r="I579" s="92" t="s">
        <v>2685</v>
      </c>
      <c r="J579" s="92" t="s">
        <v>60</v>
      </c>
      <c r="K579" s="92" t="s">
        <v>686</v>
      </c>
    </row>
    <row r="580" spans="1:11" ht="13.8">
      <c r="A580" s="47" t="s">
        <v>2758</v>
      </c>
      <c r="B580" s="92" t="s">
        <v>828</v>
      </c>
      <c r="C580" s="92" t="s">
        <v>2834</v>
      </c>
      <c r="D580" s="72" t="str">
        <f>IFERROR(VLOOKUP(A580,'[1]ST-QA-ZZ5'!$C$5:$M$299,11,0),"Inspection at production line")</f>
        <v>Inspection at production line</v>
      </c>
      <c r="F580" s="92" t="s">
        <v>2840</v>
      </c>
      <c r="G580" s="92" t="s">
        <v>1070</v>
      </c>
      <c r="H580" s="92" t="s">
        <v>2841</v>
      </c>
      <c r="I580" s="92" t="s">
        <v>2824</v>
      </c>
      <c r="J580" s="92" t="s">
        <v>60</v>
      </c>
      <c r="K580" s="92" t="s">
        <v>686</v>
      </c>
    </row>
    <row r="581" spans="1:11" ht="13.8">
      <c r="A581" s="47" t="s">
        <v>2762</v>
      </c>
      <c r="B581" s="92" t="s">
        <v>2566</v>
      </c>
      <c r="C581" s="92" t="s">
        <v>2763</v>
      </c>
      <c r="D581" s="72" t="str">
        <f>IFERROR(VLOOKUP(A581,'[1]ST-QA-ZZ5'!$C$5:$M$299,11,0),"Inspection at production line")</f>
        <v>Inspection at production line</v>
      </c>
      <c r="F581" s="92" t="s">
        <v>2842</v>
      </c>
      <c r="G581" s="92" t="s">
        <v>1070</v>
      </c>
      <c r="H581" s="92" t="s">
        <v>2843</v>
      </c>
      <c r="I581" s="92" t="s">
        <v>2824</v>
      </c>
      <c r="J581" s="92" t="s">
        <v>60</v>
      </c>
      <c r="K581" s="92" t="s">
        <v>686</v>
      </c>
    </row>
    <row r="582" spans="1:11" ht="13.8">
      <c r="A582" s="47" t="s">
        <v>2767</v>
      </c>
      <c r="B582" s="92" t="s">
        <v>849</v>
      </c>
      <c r="C582" s="92" t="s">
        <v>2839</v>
      </c>
      <c r="D582" s="72" t="str">
        <f>IFERROR(VLOOKUP(A582,'[1]ST-QA-ZZ5'!$C$5:$M$299,11,0),"Inspection at production line")</f>
        <v>Inspection at production line</v>
      </c>
      <c r="F582" s="92" t="s">
        <v>2844</v>
      </c>
      <c r="G582" s="92" t="s">
        <v>811</v>
      </c>
      <c r="H582" s="92" t="s">
        <v>2845</v>
      </c>
      <c r="I582" s="92" t="s">
        <v>77</v>
      </c>
      <c r="J582" s="92" t="s">
        <v>60</v>
      </c>
      <c r="K582" s="92" t="s">
        <v>686</v>
      </c>
    </row>
    <row r="583" spans="1:11" ht="13.8">
      <c r="A583" s="47" t="s">
        <v>2771</v>
      </c>
      <c r="B583" s="92" t="s">
        <v>57</v>
      </c>
      <c r="C583" s="92" t="s">
        <v>2772</v>
      </c>
      <c r="D583" s="72" t="str">
        <f>IFERROR(VLOOKUP(A583,'[1]ST-QA-ZZ5'!$C$5:$M$299,11,0),"Inspection at production line")</f>
        <v>Inspection at production line</v>
      </c>
      <c r="F583" s="92" t="s">
        <v>2846</v>
      </c>
      <c r="G583" s="92" t="s">
        <v>1513</v>
      </c>
      <c r="H583" s="92" t="s">
        <v>2847</v>
      </c>
      <c r="I583" s="92" t="s">
        <v>2685</v>
      </c>
      <c r="J583" s="92" t="s">
        <v>60</v>
      </c>
      <c r="K583" s="92" t="s">
        <v>686</v>
      </c>
    </row>
    <row r="584" spans="1:11" ht="13.8">
      <c r="A584" s="47" t="s">
        <v>2775</v>
      </c>
      <c r="B584" s="92" t="s">
        <v>900</v>
      </c>
      <c r="C584" s="92" t="s">
        <v>2776</v>
      </c>
      <c r="D584" s="72" t="str">
        <f>IFERROR(VLOOKUP(A584,'[1]ST-QA-ZZ5'!$C$5:$M$299,11,0),"Inspection at production line")</f>
        <v>Inspection at production line</v>
      </c>
      <c r="F584" s="92" t="s">
        <v>2848</v>
      </c>
      <c r="G584" s="92" t="s">
        <v>2849</v>
      </c>
      <c r="H584" s="92" t="s">
        <v>2850</v>
      </c>
      <c r="I584" s="92" t="s">
        <v>2685</v>
      </c>
      <c r="J584" s="92" t="s">
        <v>60</v>
      </c>
      <c r="K584" s="92" t="s">
        <v>686</v>
      </c>
    </row>
    <row r="585" spans="1:11" ht="13.8">
      <c r="A585" s="47" t="s">
        <v>2780</v>
      </c>
      <c r="B585" s="92" t="s">
        <v>843</v>
      </c>
      <c r="C585" s="92" t="s">
        <v>2781</v>
      </c>
      <c r="D585" s="72" t="str">
        <f>IFERROR(VLOOKUP(A585,'[1]ST-QA-ZZ5'!$C$5:$M$299,11,0),"Inspection at production line")</f>
        <v>Inspection at production line</v>
      </c>
      <c r="F585" s="92" t="s">
        <v>2852</v>
      </c>
      <c r="G585" s="92" t="s">
        <v>975</v>
      </c>
      <c r="H585" s="92" t="s">
        <v>2853</v>
      </c>
      <c r="I585" s="92" t="s">
        <v>2816</v>
      </c>
      <c r="J585" s="92" t="s">
        <v>71</v>
      </c>
      <c r="K585" s="92" t="s">
        <v>686</v>
      </c>
    </row>
    <row r="586" spans="1:11" ht="13.8">
      <c r="A586" s="47" t="s">
        <v>2784</v>
      </c>
      <c r="B586" s="92" t="s">
        <v>2785</v>
      </c>
      <c r="C586" s="92" t="s">
        <v>2786</v>
      </c>
      <c r="D586" s="72" t="str">
        <f>IFERROR(VLOOKUP(A586,'[1]ST-QA-ZZ5'!$C$5:$M$299,11,0),"Inspection at production line")</f>
        <v>Sampling check</v>
      </c>
      <c r="F586" s="92" t="s">
        <v>2854</v>
      </c>
      <c r="G586" s="92" t="s">
        <v>975</v>
      </c>
      <c r="H586" s="92" t="s">
        <v>2855</v>
      </c>
      <c r="I586" s="92" t="s">
        <v>2816</v>
      </c>
      <c r="J586" s="92" t="s">
        <v>71</v>
      </c>
      <c r="K586" s="92" t="s">
        <v>686</v>
      </c>
    </row>
    <row r="587" spans="1:11" ht="13.8">
      <c r="A587" s="47" t="s">
        <v>2790</v>
      </c>
      <c r="B587" s="92" t="s">
        <v>975</v>
      </c>
      <c r="C587" s="92" t="s">
        <v>2851</v>
      </c>
      <c r="D587" s="72" t="str">
        <f>IFERROR(VLOOKUP(A587,'[1]ST-QA-ZZ5'!$C$5:$M$299,11,0),"Inspection at production line")</f>
        <v>Inspection at production line</v>
      </c>
      <c r="F587" s="92" t="s">
        <v>2856</v>
      </c>
      <c r="G587" s="92" t="s">
        <v>843</v>
      </c>
      <c r="H587" s="92" t="s">
        <v>2857</v>
      </c>
      <c r="I587" s="92" t="s">
        <v>77</v>
      </c>
      <c r="J587" s="92" t="s">
        <v>60</v>
      </c>
      <c r="K587" s="92" t="s">
        <v>686</v>
      </c>
    </row>
    <row r="588" spans="1:11" ht="13.8">
      <c r="A588" s="47" t="s">
        <v>2795</v>
      </c>
      <c r="B588" s="92" t="s">
        <v>68</v>
      </c>
      <c r="C588" s="92" t="s">
        <v>2796</v>
      </c>
      <c r="D588" s="72" t="str">
        <f>IFERROR(VLOOKUP(A588,'[1]ST-QA-ZZ5'!$C$5:$M$299,11,0),"Inspection at production line")</f>
        <v>Inspection at production line</v>
      </c>
      <c r="F588" s="92" t="s">
        <v>2859</v>
      </c>
      <c r="G588" s="92" t="s">
        <v>843</v>
      </c>
      <c r="H588" s="92" t="s">
        <v>2860</v>
      </c>
      <c r="I588" s="92" t="s">
        <v>77</v>
      </c>
      <c r="J588" s="92" t="s">
        <v>60</v>
      </c>
      <c r="K588" s="92" t="s">
        <v>686</v>
      </c>
    </row>
    <row r="589" spans="1:11" ht="13.8">
      <c r="A589" s="47" t="s">
        <v>2806</v>
      </c>
      <c r="B589" s="92" t="s">
        <v>90</v>
      </c>
      <c r="C589" s="92" t="s">
        <v>2807</v>
      </c>
      <c r="D589" s="72" t="str">
        <f>IFERROR(VLOOKUP(A589,'[1]ST-QA-ZZ5'!$C$5:$M$299,11,0),"Inspection at production line")</f>
        <v>Inspection at production line</v>
      </c>
      <c r="F589" s="92" t="s">
        <v>2864</v>
      </c>
      <c r="G589" s="92" t="s">
        <v>83</v>
      </c>
      <c r="H589" s="92" t="s">
        <v>2865</v>
      </c>
      <c r="I589" s="92" t="s">
        <v>2816</v>
      </c>
      <c r="J589" s="92" t="s">
        <v>60</v>
      </c>
      <c r="K589" s="92" t="s">
        <v>686</v>
      </c>
    </row>
    <row r="590" spans="1:11" ht="13.8">
      <c r="A590" s="47" t="s">
        <v>2809</v>
      </c>
      <c r="B590" s="92" t="s">
        <v>90</v>
      </c>
      <c r="C590" s="92" t="s">
        <v>2858</v>
      </c>
      <c r="D590" s="72" t="str">
        <f>IFERROR(VLOOKUP(A590,'[1]ST-QA-ZZ5'!$C$5:$M$299,11,0),"Inspection at production line")</f>
        <v>Inspection at production line</v>
      </c>
      <c r="F590" s="92" t="s">
        <v>2868</v>
      </c>
      <c r="G590" s="92" t="s">
        <v>843</v>
      </c>
      <c r="H590" s="92" t="s">
        <v>2869</v>
      </c>
      <c r="I590" s="92" t="s">
        <v>77</v>
      </c>
      <c r="J590" s="92" t="s">
        <v>60</v>
      </c>
      <c r="K590" s="92" t="s">
        <v>686</v>
      </c>
    </row>
    <row r="591" spans="1:11" ht="13.8">
      <c r="A591" s="47" t="s">
        <v>2861</v>
      </c>
      <c r="B591" s="92" t="s">
        <v>2862</v>
      </c>
      <c r="C591" s="92" t="s">
        <v>2863</v>
      </c>
      <c r="D591" s="72" t="str">
        <f>IFERROR(VLOOKUP(A591,'[1]ST-QA-ZZ5'!$C$5:$M$299,11,0),"Inspection at production line")</f>
        <v>Inspection at production line</v>
      </c>
      <c r="F591" s="92" t="s">
        <v>2872</v>
      </c>
      <c r="G591" s="92" t="s">
        <v>279</v>
      </c>
      <c r="H591" s="92" t="s">
        <v>2869</v>
      </c>
      <c r="I591" s="92" t="s">
        <v>77</v>
      </c>
      <c r="J591" s="92" t="s">
        <v>60</v>
      </c>
      <c r="K591" s="92" t="s">
        <v>686</v>
      </c>
    </row>
    <row r="592" spans="1:11" ht="13.8">
      <c r="A592" s="47" t="s">
        <v>2866</v>
      </c>
      <c r="B592" s="92" t="s">
        <v>857</v>
      </c>
      <c r="C592" s="92" t="s">
        <v>2867</v>
      </c>
      <c r="D592" s="72" t="str">
        <f>IFERROR(VLOOKUP(A592,'[1]ST-QA-ZZ5'!$C$5:$M$299,11,0),"Inspection at production line")</f>
        <v>Inspection at production line</v>
      </c>
      <c r="F592" s="92" t="s">
        <v>2875</v>
      </c>
      <c r="G592" s="92" t="s">
        <v>2785</v>
      </c>
      <c r="H592" s="92" t="s">
        <v>2876</v>
      </c>
      <c r="I592" s="92" t="s">
        <v>77</v>
      </c>
      <c r="J592" s="92" t="s">
        <v>60</v>
      </c>
      <c r="K592" s="92" t="s">
        <v>686</v>
      </c>
    </row>
    <row r="593" spans="1:11" ht="13.8">
      <c r="A593" s="47" t="s">
        <v>2870</v>
      </c>
      <c r="B593" s="92" t="s">
        <v>2871</v>
      </c>
      <c r="C593" s="92" t="s">
        <v>2867</v>
      </c>
      <c r="D593" s="72" t="str">
        <f>IFERROR(VLOOKUP(A593,'[1]ST-QA-ZZ5'!$C$5:$M$299,11,0),"Inspection at production line")</f>
        <v>Inspection at production line</v>
      </c>
      <c r="F593" s="92" t="s">
        <v>2879</v>
      </c>
      <c r="G593" s="92" t="s">
        <v>90</v>
      </c>
      <c r="H593" s="92" t="s">
        <v>2880</v>
      </c>
      <c r="I593" s="92" t="s">
        <v>2816</v>
      </c>
      <c r="J593" s="92" t="s">
        <v>60</v>
      </c>
      <c r="K593" s="92" t="s">
        <v>686</v>
      </c>
    </row>
    <row r="594" spans="1:11" ht="13.8">
      <c r="A594" s="47" t="s">
        <v>2873</v>
      </c>
      <c r="B594" s="92" t="s">
        <v>857</v>
      </c>
      <c r="C594" s="92" t="s">
        <v>2874</v>
      </c>
      <c r="D594" s="72" t="str">
        <f>IFERROR(VLOOKUP(A594,'[1]ST-QA-ZZ5'!$C$5:$M$299,11,0),"Inspection at production line")</f>
        <v>Inspection at production line</v>
      </c>
      <c r="F594" s="92" t="s">
        <v>2884</v>
      </c>
      <c r="G594" s="92" t="s">
        <v>90</v>
      </c>
      <c r="H594" s="92" t="s">
        <v>2885</v>
      </c>
      <c r="I594" s="92" t="s">
        <v>2816</v>
      </c>
      <c r="J594" s="92" t="s">
        <v>60</v>
      </c>
      <c r="K594" s="92" t="s">
        <v>686</v>
      </c>
    </row>
    <row r="595" spans="1:11" ht="13.8">
      <c r="A595" s="47" t="s">
        <v>2877</v>
      </c>
      <c r="B595" s="92" t="s">
        <v>2878</v>
      </c>
      <c r="C595" s="92" t="s">
        <v>2874</v>
      </c>
      <c r="D595" s="72" t="str">
        <f>IFERROR(VLOOKUP(A595,'[1]ST-QA-ZZ5'!$C$5:$M$299,11,0),"Inspection at production line")</f>
        <v>Inspection at production line</v>
      </c>
      <c r="F595" s="92" t="s">
        <v>2888</v>
      </c>
      <c r="G595" s="92" t="s">
        <v>90</v>
      </c>
      <c r="H595" s="92" t="s">
        <v>2889</v>
      </c>
      <c r="I595" s="92" t="s">
        <v>77</v>
      </c>
      <c r="J595" s="92" t="s">
        <v>60</v>
      </c>
      <c r="K595" s="92" t="s">
        <v>686</v>
      </c>
    </row>
    <row r="596" spans="1:11" ht="13.8">
      <c r="A596" s="47" t="s">
        <v>2881</v>
      </c>
      <c r="B596" s="92" t="s">
        <v>2882</v>
      </c>
      <c r="C596" s="92" t="s">
        <v>2883</v>
      </c>
      <c r="D596" s="72" t="str">
        <f>IFERROR(VLOOKUP(A596,'[1]ST-QA-ZZ5'!$C$5:$M$299,11,0),"Inspection at production line")</f>
        <v>Inspection at production line</v>
      </c>
      <c r="F596" s="92" t="s">
        <v>2892</v>
      </c>
      <c r="G596" s="92" t="s">
        <v>2705</v>
      </c>
      <c r="H596" s="92" t="s">
        <v>2893</v>
      </c>
      <c r="I596" s="92" t="s">
        <v>77</v>
      </c>
      <c r="J596" s="92" t="s">
        <v>60</v>
      </c>
      <c r="K596" s="92" t="s">
        <v>686</v>
      </c>
    </row>
    <row r="597" spans="1:11" ht="13.8">
      <c r="A597" s="47" t="s">
        <v>2886</v>
      </c>
      <c r="B597" s="92" t="s">
        <v>2887</v>
      </c>
      <c r="C597" s="92" t="s">
        <v>2887</v>
      </c>
      <c r="D597" s="72" t="str">
        <f>IFERROR(VLOOKUP(A597,'[1]ST-QA-ZZ5'!$C$5:$M$299,11,0),"Inspection at production line")</f>
        <v>Inspection at production line</v>
      </c>
      <c r="F597" s="92" t="s">
        <v>2896</v>
      </c>
      <c r="G597" s="92" t="s">
        <v>2705</v>
      </c>
      <c r="H597" s="92" t="s">
        <v>2897</v>
      </c>
      <c r="I597" s="92" t="s">
        <v>77</v>
      </c>
      <c r="J597" s="92" t="s">
        <v>60</v>
      </c>
      <c r="K597" s="92" t="s">
        <v>686</v>
      </c>
    </row>
    <row r="598" spans="1:11" ht="13.8">
      <c r="A598" s="47" t="s">
        <v>2890</v>
      </c>
      <c r="B598" s="92" t="s">
        <v>857</v>
      </c>
      <c r="C598" s="92" t="s">
        <v>2891</v>
      </c>
      <c r="D598" s="72" t="str">
        <f>IFERROR(VLOOKUP(A598,'[1]ST-QA-ZZ5'!$C$5:$M$299,11,0),"Inspection at production line")</f>
        <v>Inspection at production line</v>
      </c>
      <c r="F598" s="92" t="s">
        <v>2900</v>
      </c>
      <c r="G598" s="92" t="s">
        <v>2705</v>
      </c>
      <c r="H598" s="92" t="s">
        <v>2901</v>
      </c>
      <c r="I598" s="92" t="s">
        <v>77</v>
      </c>
      <c r="J598" s="92" t="s">
        <v>60</v>
      </c>
      <c r="K598" s="92" t="s">
        <v>686</v>
      </c>
    </row>
    <row r="599" spans="1:11" ht="13.8">
      <c r="A599" s="47" t="s">
        <v>2894</v>
      </c>
      <c r="B599" s="92" t="s">
        <v>2891</v>
      </c>
      <c r="C599" s="92" t="s">
        <v>2895</v>
      </c>
      <c r="D599" s="72" t="str">
        <f>IFERROR(VLOOKUP(A599,'[1]ST-QA-ZZ5'!$C$5:$M$299,11,0),"Inspection at production line")</f>
        <v>Inspection at production line</v>
      </c>
      <c r="F599" s="92" t="s">
        <v>2903</v>
      </c>
      <c r="G599" s="92" t="s">
        <v>2705</v>
      </c>
      <c r="H599" s="92" t="s">
        <v>2901</v>
      </c>
      <c r="I599" s="92" t="s">
        <v>77</v>
      </c>
      <c r="J599" s="92" t="s">
        <v>60</v>
      </c>
      <c r="K599" s="92" t="s">
        <v>686</v>
      </c>
    </row>
    <row r="600" spans="1:11" ht="13.8">
      <c r="A600" s="47" t="s">
        <v>2898</v>
      </c>
      <c r="B600" s="92" t="s">
        <v>857</v>
      </c>
      <c r="C600" s="92" t="s">
        <v>2899</v>
      </c>
      <c r="D600" s="72" t="str">
        <f>IFERROR(VLOOKUP(A600,'[1]ST-QA-ZZ5'!$C$5:$M$299,11,0),"Inspection at production line")</f>
        <v>Inspection at production line</v>
      </c>
      <c r="F600" s="92" t="s">
        <v>2906</v>
      </c>
      <c r="G600" s="92" t="s">
        <v>2705</v>
      </c>
      <c r="H600" s="92" t="s">
        <v>2907</v>
      </c>
      <c r="I600" s="92" t="s">
        <v>77</v>
      </c>
      <c r="J600" s="92" t="s">
        <v>60</v>
      </c>
      <c r="K600" s="92" t="s">
        <v>686</v>
      </c>
    </row>
    <row r="601" spans="1:11" ht="13.8">
      <c r="A601" s="47" t="s">
        <v>2902</v>
      </c>
      <c r="B601" s="92" t="s">
        <v>857</v>
      </c>
      <c r="C601" s="92" t="s">
        <v>2899</v>
      </c>
      <c r="D601" s="72" t="str">
        <f>IFERROR(VLOOKUP(A601,'[1]ST-QA-ZZ5'!$C$5:$M$299,11,0),"Inspection at production line")</f>
        <v>Inspection at production line</v>
      </c>
      <c r="F601" s="92" t="s">
        <v>2909</v>
      </c>
      <c r="G601" s="92" t="s">
        <v>90</v>
      </c>
      <c r="H601" s="92" t="s">
        <v>2910</v>
      </c>
      <c r="I601" s="92" t="s">
        <v>85</v>
      </c>
      <c r="J601" s="92" t="s">
        <v>60</v>
      </c>
      <c r="K601" s="92" t="s">
        <v>686</v>
      </c>
    </row>
    <row r="602" spans="1:11" ht="13.8">
      <c r="A602" s="47" t="s">
        <v>2904</v>
      </c>
      <c r="B602" s="92" t="s">
        <v>857</v>
      </c>
      <c r="C602" s="92" t="s">
        <v>2905</v>
      </c>
      <c r="D602" s="72" t="str">
        <f>IFERROR(VLOOKUP(A602,'[1]ST-QA-ZZ5'!$C$5:$M$299,11,0),"Inspection at production line")</f>
        <v>Inspection at production line</v>
      </c>
      <c r="F602" s="92" t="s">
        <v>2913</v>
      </c>
      <c r="G602" s="92" t="s">
        <v>90</v>
      </c>
      <c r="H602" s="92" t="s">
        <v>2914</v>
      </c>
      <c r="I602" s="92" t="s">
        <v>85</v>
      </c>
      <c r="J602" s="92" t="s">
        <v>60</v>
      </c>
      <c r="K602" s="92" t="s">
        <v>686</v>
      </c>
    </row>
    <row r="603" spans="1:11" ht="13.8">
      <c r="A603" s="47" t="s">
        <v>2908</v>
      </c>
      <c r="B603" s="92" t="s">
        <v>857</v>
      </c>
      <c r="C603" s="92"/>
      <c r="D603" s="72" t="str">
        <f>IFERROR(VLOOKUP(A603,'[1]ST-QA-ZZ5'!$C$5:$M$299,11,0),"Inspection at production line")</f>
        <v>Inspection at production line</v>
      </c>
      <c r="F603" s="92" t="s">
        <v>82</v>
      </c>
      <c r="G603" s="92" t="s">
        <v>83</v>
      </c>
      <c r="H603" s="92" t="s">
        <v>84</v>
      </c>
      <c r="I603" s="92" t="s">
        <v>85</v>
      </c>
      <c r="J603" s="92" t="s">
        <v>60</v>
      </c>
      <c r="K603" s="92" t="s">
        <v>686</v>
      </c>
    </row>
    <row r="604" spans="1:11" ht="13.8">
      <c r="A604" s="47" t="s">
        <v>2911</v>
      </c>
      <c r="B604" s="92" t="s">
        <v>857</v>
      </c>
      <c r="C604" s="92" t="s">
        <v>2912</v>
      </c>
      <c r="D604" s="72" t="str">
        <f>IFERROR(VLOOKUP(A604,'[1]ST-QA-ZZ5'!$C$5:$M$299,11,0),"Inspection at production line")</f>
        <v>Inspection at production line</v>
      </c>
      <c r="F604" s="92" t="s">
        <v>2920</v>
      </c>
      <c r="G604" s="92" t="s">
        <v>2511</v>
      </c>
      <c r="H604" s="92" t="s">
        <v>2921</v>
      </c>
      <c r="I604" s="92" t="s">
        <v>85</v>
      </c>
      <c r="J604" s="92" t="s">
        <v>60</v>
      </c>
      <c r="K604" s="92" t="s">
        <v>686</v>
      </c>
    </row>
    <row r="605" spans="1:11" ht="13.8">
      <c r="A605" s="47" t="s">
        <v>2915</v>
      </c>
      <c r="B605" s="92" t="s">
        <v>857</v>
      </c>
      <c r="C605" s="92" t="s">
        <v>2916</v>
      </c>
      <c r="D605" s="72" t="str">
        <f>IFERROR(VLOOKUP(A605,'[1]ST-QA-ZZ5'!$C$5:$M$299,11,0),"Inspection at production line")</f>
        <v>Inspection at production line</v>
      </c>
      <c r="F605" s="92" t="s">
        <v>2924</v>
      </c>
      <c r="G605" s="92" t="s">
        <v>900</v>
      </c>
      <c r="H605" s="92" t="s">
        <v>2925</v>
      </c>
      <c r="I605" s="92" t="s">
        <v>2685</v>
      </c>
      <c r="J605" s="92" t="s">
        <v>60</v>
      </c>
      <c r="K605" s="92" t="s">
        <v>686</v>
      </c>
    </row>
    <row r="606" spans="1:11" ht="13.8">
      <c r="A606" s="47" t="s">
        <v>2917</v>
      </c>
      <c r="B606" s="92" t="s">
        <v>2918</v>
      </c>
      <c r="C606" s="92" t="s">
        <v>2919</v>
      </c>
      <c r="D606" s="72" t="str">
        <f>IFERROR(VLOOKUP(A606,'[1]ST-QA-ZZ5'!$C$5:$M$299,11,0),"Inspection at production line")</f>
        <v>Inspection at production line</v>
      </c>
      <c r="F606" s="92" t="s">
        <v>2928</v>
      </c>
      <c r="G606" s="92" t="s">
        <v>905</v>
      </c>
      <c r="H606" s="92" t="s">
        <v>2929</v>
      </c>
      <c r="I606" s="92" t="s">
        <v>2685</v>
      </c>
      <c r="J606" s="92" t="s">
        <v>60</v>
      </c>
      <c r="K606" s="92" t="s">
        <v>686</v>
      </c>
    </row>
    <row r="607" spans="1:11" ht="13.8">
      <c r="A607" s="47" t="s">
        <v>2922</v>
      </c>
      <c r="B607" s="92" t="s">
        <v>857</v>
      </c>
      <c r="C607" s="92" t="s">
        <v>2923</v>
      </c>
      <c r="D607" s="72" t="str">
        <f>IFERROR(VLOOKUP(A607,'[1]ST-QA-ZZ5'!$C$5:$M$299,11,0),"Inspection at production line")</f>
        <v>Inspection at production line</v>
      </c>
      <c r="F607" s="92" t="s">
        <v>2932</v>
      </c>
      <c r="G607" s="92" t="s">
        <v>941</v>
      </c>
      <c r="H607" s="92" t="s">
        <v>2933</v>
      </c>
      <c r="I607" s="92" t="s">
        <v>2685</v>
      </c>
      <c r="J607" s="92" t="s">
        <v>60</v>
      </c>
      <c r="K607" s="92" t="s">
        <v>686</v>
      </c>
    </row>
    <row r="608" spans="1:11" ht="13.8">
      <c r="A608" s="47" t="s">
        <v>2926</v>
      </c>
      <c r="B608" s="92" t="s">
        <v>857</v>
      </c>
      <c r="C608" s="92" t="s">
        <v>2927</v>
      </c>
      <c r="D608" s="72" t="str">
        <f>IFERROR(VLOOKUP(A608,'[1]ST-QA-ZZ5'!$C$5:$M$299,11,0),"Inspection at production line")</f>
        <v>Inspection at production line</v>
      </c>
      <c r="F608" s="92" t="s">
        <v>2936</v>
      </c>
      <c r="G608" s="92" t="s">
        <v>1257</v>
      </c>
      <c r="H608" s="92" t="s">
        <v>2823</v>
      </c>
      <c r="I608" s="92" t="s">
        <v>2685</v>
      </c>
      <c r="J608" s="92" t="s">
        <v>60</v>
      </c>
      <c r="K608" s="92" t="s">
        <v>686</v>
      </c>
    </row>
    <row r="609" spans="1:11" ht="13.8">
      <c r="A609" s="47" t="s">
        <v>2930</v>
      </c>
      <c r="B609" s="92" t="s">
        <v>857</v>
      </c>
      <c r="C609" s="92" t="s">
        <v>2931</v>
      </c>
      <c r="D609" s="72" t="str">
        <f>IFERROR(VLOOKUP(A609,'[1]ST-QA-ZZ5'!$C$5:$M$299,11,0),"Inspection at production line")</f>
        <v>Inspection at production line</v>
      </c>
      <c r="F609" s="92" t="s">
        <v>2939</v>
      </c>
      <c r="G609" s="92" t="s">
        <v>2785</v>
      </c>
      <c r="H609" s="92" t="s">
        <v>2940</v>
      </c>
      <c r="I609" s="92" t="s">
        <v>2941</v>
      </c>
      <c r="J609" s="92" t="s">
        <v>60</v>
      </c>
      <c r="K609" s="92" t="s">
        <v>686</v>
      </c>
    </row>
    <row r="610" spans="1:11" ht="13.8">
      <c r="A610" s="47" t="s">
        <v>2934</v>
      </c>
      <c r="B610" s="92" t="s">
        <v>857</v>
      </c>
      <c r="C610" s="92" t="s">
        <v>2935</v>
      </c>
      <c r="D610" s="72" t="str">
        <f>IFERROR(VLOOKUP(A610,'[1]ST-QA-ZZ5'!$C$5:$M$299,11,0),"Inspection at production line")</f>
        <v>Inspection at production line</v>
      </c>
      <c r="F610" s="92" t="s">
        <v>2944</v>
      </c>
      <c r="G610" s="92" t="s">
        <v>57</v>
      </c>
      <c r="H610" s="92" t="s">
        <v>2945</v>
      </c>
      <c r="I610" s="92" t="s">
        <v>2941</v>
      </c>
      <c r="J610" s="92" t="s">
        <v>60</v>
      </c>
      <c r="K610" s="92" t="s">
        <v>686</v>
      </c>
    </row>
    <row r="611" spans="1:11" ht="13.8">
      <c r="A611" s="47" t="s">
        <v>2937</v>
      </c>
      <c r="B611" s="92" t="s">
        <v>1833</v>
      </c>
      <c r="C611" s="92" t="s">
        <v>2938</v>
      </c>
      <c r="D611" s="72" t="str">
        <f>IFERROR(VLOOKUP(A611,'[1]ST-QA-ZZ5'!$C$5:$M$299,11,0),"Inspection at production line")</f>
        <v>Inspection at production line</v>
      </c>
      <c r="F611" s="92" t="s">
        <v>2948</v>
      </c>
      <c r="G611" s="92" t="s">
        <v>57</v>
      </c>
      <c r="H611" s="92" t="s">
        <v>2949</v>
      </c>
      <c r="I611" s="92" t="s">
        <v>2941</v>
      </c>
      <c r="J611" s="92" t="s">
        <v>60</v>
      </c>
      <c r="K611" s="92" t="s">
        <v>686</v>
      </c>
    </row>
    <row r="612" spans="1:11" ht="13.8">
      <c r="A612" s="47" t="s">
        <v>2942</v>
      </c>
      <c r="B612" s="92" t="s">
        <v>857</v>
      </c>
      <c r="C612" s="92" t="s">
        <v>2943</v>
      </c>
      <c r="D612" s="72" t="str">
        <f>IFERROR(VLOOKUP(A612,'[1]ST-QA-ZZ5'!$C$5:$M$299,11,0),"Inspection at production line")</f>
        <v>Inspection at production line</v>
      </c>
      <c r="F612" s="92" t="s">
        <v>2952</v>
      </c>
      <c r="G612" s="92" t="s">
        <v>1517</v>
      </c>
      <c r="H612" s="92" t="s">
        <v>2953</v>
      </c>
      <c r="I612" s="92" t="s">
        <v>2941</v>
      </c>
      <c r="J612" s="92" t="s">
        <v>60</v>
      </c>
      <c r="K612" s="92" t="s">
        <v>686</v>
      </c>
    </row>
    <row r="613" spans="1:11" ht="13.8">
      <c r="A613" s="47" t="s">
        <v>2946</v>
      </c>
      <c r="B613" s="92" t="s">
        <v>2947</v>
      </c>
      <c r="C613" s="92" t="s">
        <v>2947</v>
      </c>
      <c r="D613" s="72" t="str">
        <f>IFERROR(VLOOKUP(A613,'[1]ST-QA-ZZ5'!$C$5:$M$299,11,0),"Inspection at production line")</f>
        <v>Inspection at production line</v>
      </c>
      <c r="F613" s="92" t="s">
        <v>2956</v>
      </c>
      <c r="G613" s="92" t="s">
        <v>900</v>
      </c>
      <c r="H613" s="92" t="s">
        <v>2957</v>
      </c>
      <c r="I613" s="92" t="s">
        <v>2941</v>
      </c>
      <c r="J613" s="92" t="s">
        <v>60</v>
      </c>
      <c r="K613" s="92" t="s">
        <v>686</v>
      </c>
    </row>
    <row r="614" spans="1:11" ht="13.8">
      <c r="A614" s="47" t="s">
        <v>2950</v>
      </c>
      <c r="B614" s="92" t="s">
        <v>1833</v>
      </c>
      <c r="C614" s="92" t="s">
        <v>2951</v>
      </c>
      <c r="D614" s="72" t="str">
        <f>IFERROR(VLOOKUP(A614,'[1]ST-QA-ZZ5'!$C$5:$M$299,11,0),"Inspection at production line")</f>
        <v>Inspection at production line</v>
      </c>
      <c r="F614" s="92" t="s">
        <v>2960</v>
      </c>
      <c r="G614" s="92" t="s">
        <v>57</v>
      </c>
      <c r="H614" s="92" t="s">
        <v>2961</v>
      </c>
      <c r="I614" s="92" t="s">
        <v>2941</v>
      </c>
      <c r="J614" s="92" t="s">
        <v>60</v>
      </c>
      <c r="K614" s="92" t="s">
        <v>686</v>
      </c>
    </row>
    <row r="615" spans="1:11" ht="13.8">
      <c r="A615" s="47" t="s">
        <v>2954</v>
      </c>
      <c r="B615" s="92" t="s">
        <v>857</v>
      </c>
      <c r="C615" s="92" t="s">
        <v>2955</v>
      </c>
      <c r="D615" s="72" t="str">
        <f>IFERROR(VLOOKUP(A615,'[1]ST-QA-ZZ5'!$C$5:$M$299,11,0),"Inspection at production line")</f>
        <v>Inspection at production line</v>
      </c>
      <c r="F615" s="92" t="s">
        <v>2965</v>
      </c>
      <c r="G615" s="92" t="s">
        <v>2966</v>
      </c>
      <c r="H615" s="92" t="s">
        <v>2967</v>
      </c>
      <c r="I615" s="92" t="s">
        <v>2941</v>
      </c>
      <c r="J615" s="92" t="s">
        <v>71</v>
      </c>
      <c r="K615" s="92" t="s">
        <v>686</v>
      </c>
    </row>
    <row r="616" spans="1:11" ht="13.8">
      <c r="A616" s="47" t="s">
        <v>2958</v>
      </c>
      <c r="B616" s="92" t="s">
        <v>857</v>
      </c>
      <c r="C616" s="92" t="s">
        <v>2959</v>
      </c>
      <c r="D616" s="72" t="str">
        <f>IFERROR(VLOOKUP(A616,'[1]ST-QA-ZZ5'!$C$5:$M$299,11,0),"Inspection at production line")</f>
        <v>Inspection at production line</v>
      </c>
      <c r="F616" s="92" t="s">
        <v>2971</v>
      </c>
      <c r="G616" s="92" t="s">
        <v>916</v>
      </c>
      <c r="H616" s="92" t="s">
        <v>2972</v>
      </c>
      <c r="I616" s="92" t="s">
        <v>2941</v>
      </c>
      <c r="J616" s="92" t="s">
        <v>71</v>
      </c>
      <c r="K616" s="92" t="s">
        <v>686</v>
      </c>
    </row>
    <row r="617" spans="1:11" ht="13.8">
      <c r="A617" s="47" t="s">
        <v>2962</v>
      </c>
      <c r="B617" s="92" t="s">
        <v>2963</v>
      </c>
      <c r="C617" s="92" t="s">
        <v>2964</v>
      </c>
      <c r="D617" s="72" t="str">
        <f>IFERROR(VLOOKUP(A617,'[1]ST-QA-ZZ5'!$C$5:$M$299,11,0),"Inspection at production line")</f>
        <v>Inspection at production line</v>
      </c>
      <c r="F617" s="92" t="s">
        <v>2975</v>
      </c>
      <c r="G617" s="92" t="s">
        <v>905</v>
      </c>
      <c r="H617" s="92" t="s">
        <v>2976</v>
      </c>
      <c r="I617" s="92" t="s">
        <v>2941</v>
      </c>
      <c r="J617" s="92" t="s">
        <v>60</v>
      </c>
      <c r="K617" s="92" t="s">
        <v>686</v>
      </c>
    </row>
    <row r="618" spans="1:11" ht="13.8">
      <c r="A618" s="47" t="s">
        <v>2968</v>
      </c>
      <c r="B618" s="92" t="s">
        <v>2969</v>
      </c>
      <c r="C618" s="92" t="s">
        <v>2970</v>
      </c>
      <c r="D618" s="72" t="str">
        <f>IFERROR(VLOOKUP(A618,'[1]ST-QA-ZZ5'!$C$5:$M$299,11,0),"Inspection at production line")</f>
        <v>Inspection at production line</v>
      </c>
      <c r="F618" s="92" t="s">
        <v>2979</v>
      </c>
      <c r="G618" s="92" t="s">
        <v>2578</v>
      </c>
      <c r="H618" s="92" t="s">
        <v>2980</v>
      </c>
      <c r="I618" s="92" t="s">
        <v>2941</v>
      </c>
      <c r="J618" s="92" t="s">
        <v>60</v>
      </c>
      <c r="K618" s="92" t="s">
        <v>686</v>
      </c>
    </row>
    <row r="619" spans="1:11" ht="13.8">
      <c r="A619" s="47" t="s">
        <v>2973</v>
      </c>
      <c r="B619" s="92" t="s">
        <v>2969</v>
      </c>
      <c r="C619" s="92" t="s">
        <v>2974</v>
      </c>
      <c r="D619" s="72" t="str">
        <f>IFERROR(VLOOKUP(A619,'[1]ST-QA-ZZ5'!$C$5:$M$299,11,0),"Inspection at production line")</f>
        <v>Inspection at production line</v>
      </c>
      <c r="F619" s="92" t="s">
        <v>2983</v>
      </c>
      <c r="G619" s="92" t="s">
        <v>2578</v>
      </c>
      <c r="H619" s="92" t="s">
        <v>2984</v>
      </c>
      <c r="I619" s="92" t="s">
        <v>2941</v>
      </c>
      <c r="J619" s="92" t="s">
        <v>60</v>
      </c>
      <c r="K619" s="92" t="s">
        <v>686</v>
      </c>
    </row>
    <row r="620" spans="1:11" ht="13.8">
      <c r="A620" s="47" t="s">
        <v>2977</v>
      </c>
      <c r="B620" s="92" t="s">
        <v>857</v>
      </c>
      <c r="C620" s="92" t="s">
        <v>2978</v>
      </c>
      <c r="D620" s="72" t="str">
        <f>IFERROR(VLOOKUP(A620,'[1]ST-QA-ZZ5'!$C$5:$M$299,11,0),"Inspection at production line")</f>
        <v>Inspection at production line</v>
      </c>
      <c r="F620" s="92" t="s">
        <v>2987</v>
      </c>
      <c r="G620" s="92" t="s">
        <v>2578</v>
      </c>
      <c r="H620" s="92" t="s">
        <v>2988</v>
      </c>
      <c r="I620" s="92" t="s">
        <v>2941</v>
      </c>
      <c r="J620" s="92" t="s">
        <v>60</v>
      </c>
      <c r="K620" s="92" t="s">
        <v>686</v>
      </c>
    </row>
    <row r="621" spans="1:11" ht="13.8">
      <c r="A621" s="47" t="s">
        <v>2981</v>
      </c>
      <c r="B621" s="92" t="s">
        <v>2024</v>
      </c>
      <c r="C621" s="92" t="s">
        <v>2982</v>
      </c>
      <c r="D621" s="72" t="str">
        <f>IFERROR(VLOOKUP(A621,'[1]ST-QA-ZZ5'!$C$5:$M$299,11,0),"Inspection at production line")</f>
        <v>Inspection at production line</v>
      </c>
      <c r="F621" s="92" t="s">
        <v>2991</v>
      </c>
      <c r="G621" s="92" t="s">
        <v>2578</v>
      </c>
      <c r="H621" s="92" t="s">
        <v>2992</v>
      </c>
      <c r="I621" s="92" t="s">
        <v>2941</v>
      </c>
      <c r="J621" s="92" t="s">
        <v>60</v>
      </c>
      <c r="K621" s="92" t="s">
        <v>686</v>
      </c>
    </row>
    <row r="622" spans="1:11" ht="13.8">
      <c r="A622" s="47" t="s">
        <v>2985</v>
      </c>
      <c r="B622" s="92" t="s">
        <v>2024</v>
      </c>
      <c r="C622" s="92" t="s">
        <v>2986</v>
      </c>
      <c r="D622" s="72" t="str">
        <f>IFERROR(VLOOKUP(A622,'[1]ST-QA-ZZ5'!$C$5:$M$299,11,0),"Inspection at production line")</f>
        <v>Inspection at production line</v>
      </c>
      <c r="F622" s="92" t="s">
        <v>2995</v>
      </c>
      <c r="G622" s="92" t="s">
        <v>2578</v>
      </c>
      <c r="H622" s="92" t="s">
        <v>2996</v>
      </c>
      <c r="I622" s="92" t="s">
        <v>2941</v>
      </c>
      <c r="J622" s="92" t="s">
        <v>60</v>
      </c>
      <c r="K622" s="92" t="s">
        <v>686</v>
      </c>
    </row>
    <row r="623" spans="1:11" ht="13.8">
      <c r="A623" s="47" t="s">
        <v>2989</v>
      </c>
      <c r="B623" s="92" t="s">
        <v>2024</v>
      </c>
      <c r="C623" s="92" t="s">
        <v>2990</v>
      </c>
      <c r="D623" s="72" t="str">
        <f>IFERROR(VLOOKUP(A623,'[1]ST-QA-ZZ5'!$C$5:$M$299,11,0),"Inspection at production line")</f>
        <v>Inspection at production line</v>
      </c>
      <c r="F623" s="92" t="s">
        <v>2999</v>
      </c>
      <c r="G623" s="92" t="s">
        <v>2578</v>
      </c>
      <c r="H623" s="92" t="s">
        <v>3000</v>
      </c>
      <c r="I623" s="92" t="s">
        <v>2941</v>
      </c>
      <c r="J623" s="92" t="s">
        <v>60</v>
      </c>
      <c r="K623" s="92" t="s">
        <v>686</v>
      </c>
    </row>
    <row r="624" spans="1:11" ht="13.8">
      <c r="A624" s="47" t="s">
        <v>2993</v>
      </c>
      <c r="B624" s="92" t="s">
        <v>2024</v>
      </c>
      <c r="C624" s="92" t="s">
        <v>2994</v>
      </c>
      <c r="D624" s="72" t="str">
        <f>IFERROR(VLOOKUP(A624,'[1]ST-QA-ZZ5'!$C$5:$M$299,11,0),"Inspection at production line")</f>
        <v>Inspection at production line</v>
      </c>
      <c r="F624" s="92" t="s">
        <v>3004</v>
      </c>
      <c r="G624" s="92" t="s">
        <v>2578</v>
      </c>
      <c r="H624" s="92" t="s">
        <v>3005</v>
      </c>
      <c r="I624" s="92" t="s">
        <v>2941</v>
      </c>
      <c r="J624" s="92" t="s">
        <v>60</v>
      </c>
      <c r="K624" s="92" t="s">
        <v>686</v>
      </c>
    </row>
    <row r="625" spans="1:11" ht="13.8">
      <c r="A625" s="47" t="s">
        <v>2997</v>
      </c>
      <c r="B625" s="92" t="s">
        <v>2024</v>
      </c>
      <c r="C625" s="92" t="s">
        <v>2998</v>
      </c>
      <c r="D625" s="72" t="str">
        <f>IFERROR(VLOOKUP(A625,'[1]ST-QA-ZZ5'!$C$5:$M$299,11,0),"Inspection at production line")</f>
        <v>Inspection at production line</v>
      </c>
      <c r="F625" s="92" t="s">
        <v>3008</v>
      </c>
      <c r="G625" s="92" t="s">
        <v>2578</v>
      </c>
      <c r="H625" s="92" t="s">
        <v>3009</v>
      </c>
      <c r="I625" s="92" t="s">
        <v>2941</v>
      </c>
      <c r="J625" s="92" t="s">
        <v>60</v>
      </c>
      <c r="K625" s="92" t="s">
        <v>686</v>
      </c>
    </row>
    <row r="626" spans="1:11" ht="13.8">
      <c r="A626" s="47" t="s">
        <v>3001</v>
      </c>
      <c r="B626" s="92" t="s">
        <v>3002</v>
      </c>
      <c r="C626" s="92" t="s">
        <v>3003</v>
      </c>
      <c r="D626" s="72" t="str">
        <f>IFERROR(VLOOKUP(A626,'[1]ST-QA-ZZ5'!$C$5:$M$299,11,0),"Inspection at production line")</f>
        <v>Inspection at production line</v>
      </c>
      <c r="F626" s="92" t="s">
        <v>3011</v>
      </c>
      <c r="G626" s="92" t="s">
        <v>1472</v>
      </c>
      <c r="H626" s="92" t="s">
        <v>3012</v>
      </c>
      <c r="I626" s="92" t="s">
        <v>852</v>
      </c>
      <c r="J626" s="92" t="s">
        <v>60</v>
      </c>
      <c r="K626" s="92" t="s">
        <v>686</v>
      </c>
    </row>
    <row r="627" spans="1:11" ht="13.8">
      <c r="A627" s="47" t="s">
        <v>3006</v>
      </c>
      <c r="B627" s="92" t="s">
        <v>3002</v>
      </c>
      <c r="C627" s="92" t="s">
        <v>3007</v>
      </c>
      <c r="D627" s="72" t="str">
        <f>IFERROR(VLOOKUP(A627,'[1]ST-QA-ZZ5'!$C$5:$M$299,11,0),"Inspection at production line")</f>
        <v>Inspection at production line</v>
      </c>
      <c r="F627" s="92" t="s">
        <v>3014</v>
      </c>
      <c r="G627" s="92" t="s">
        <v>57</v>
      </c>
      <c r="H627" s="92" t="s">
        <v>3015</v>
      </c>
      <c r="I627" s="92" t="s">
        <v>852</v>
      </c>
      <c r="J627" s="92" t="s">
        <v>60</v>
      </c>
      <c r="K627" s="92" t="s">
        <v>686</v>
      </c>
    </row>
    <row r="628" spans="1:11" ht="13.8">
      <c r="A628" s="47" t="s">
        <v>3010</v>
      </c>
      <c r="B628" s="92" t="s">
        <v>857</v>
      </c>
      <c r="C628" s="92">
        <v>7000061</v>
      </c>
      <c r="D628" s="72" t="str">
        <f>IFERROR(VLOOKUP(A628,'[1]ST-QA-ZZ5'!$C$5:$M$299,11,0),"Inspection at production line")</f>
        <v>Inspection at production line</v>
      </c>
      <c r="F628" s="92" t="s">
        <v>3018</v>
      </c>
      <c r="G628" s="92" t="s">
        <v>1592</v>
      </c>
      <c r="H628" s="92" t="s">
        <v>3019</v>
      </c>
      <c r="I628" s="92" t="s">
        <v>852</v>
      </c>
      <c r="J628" s="92" t="s">
        <v>60</v>
      </c>
      <c r="K628" s="92" t="s">
        <v>686</v>
      </c>
    </row>
    <row r="629" spans="1:11" ht="13.8">
      <c r="A629" s="47" t="s">
        <v>3013</v>
      </c>
      <c r="B629" s="92" t="s">
        <v>857</v>
      </c>
      <c r="C629" s="92">
        <v>7000062</v>
      </c>
      <c r="D629" s="72" t="str">
        <f>IFERROR(VLOOKUP(A629,'[1]ST-QA-ZZ5'!$C$5:$M$299,11,0),"Inspection at production line")</f>
        <v>Inspection at production line</v>
      </c>
      <c r="F629" s="92" t="s">
        <v>3022</v>
      </c>
      <c r="G629" s="92" t="s">
        <v>75</v>
      </c>
      <c r="H629" s="92" t="s">
        <v>3023</v>
      </c>
      <c r="I629" s="92" t="s">
        <v>852</v>
      </c>
      <c r="J629" s="92" t="s">
        <v>60</v>
      </c>
      <c r="K629" s="92" t="s">
        <v>686</v>
      </c>
    </row>
    <row r="630" spans="1:11" ht="13.8">
      <c r="A630" s="47" t="s">
        <v>3016</v>
      </c>
      <c r="B630" s="92" t="s">
        <v>857</v>
      </c>
      <c r="C630" s="92" t="s">
        <v>3017</v>
      </c>
      <c r="D630" s="72" t="str">
        <f>IFERROR(VLOOKUP(A630,'[1]ST-QA-ZZ5'!$C$5:$M$299,11,0),"Inspection at production line")</f>
        <v>Inspection at production line</v>
      </c>
      <c r="F630" s="92" t="s">
        <v>3025</v>
      </c>
      <c r="G630" s="92" t="s">
        <v>1070</v>
      </c>
      <c r="H630" s="92" t="s">
        <v>3026</v>
      </c>
      <c r="I630" s="92" t="s">
        <v>852</v>
      </c>
      <c r="J630" s="92" t="s">
        <v>60</v>
      </c>
      <c r="K630" s="92" t="s">
        <v>686</v>
      </c>
    </row>
    <row r="631" spans="1:11" ht="13.8">
      <c r="A631" s="47" t="s">
        <v>3020</v>
      </c>
      <c r="B631" s="92" t="s">
        <v>3021</v>
      </c>
      <c r="C631" s="92" t="s">
        <v>3017</v>
      </c>
      <c r="D631" s="72" t="str">
        <f>IFERROR(VLOOKUP(A631,'[1]ST-QA-ZZ5'!$C$5:$M$299,11,0),"Inspection at production line")</f>
        <v>Inspection at production line</v>
      </c>
      <c r="F631" s="92" t="s">
        <v>3028</v>
      </c>
      <c r="G631" s="92" t="s">
        <v>3029</v>
      </c>
      <c r="H631" s="92" t="s">
        <v>3030</v>
      </c>
      <c r="I631" s="92" t="s">
        <v>852</v>
      </c>
      <c r="J631" s="92" t="s">
        <v>60</v>
      </c>
      <c r="K631" s="92" t="s">
        <v>686</v>
      </c>
    </row>
    <row r="632" spans="1:11" ht="13.8">
      <c r="A632" s="47" t="s">
        <v>3024</v>
      </c>
      <c r="B632" s="92" t="s">
        <v>857</v>
      </c>
      <c r="C632" s="92">
        <v>7000367</v>
      </c>
      <c r="D632" s="72" t="str">
        <f>IFERROR(VLOOKUP(A632,'[1]ST-QA-ZZ5'!$C$5:$M$299,11,0),"Inspection at production line")</f>
        <v>Inspection at production line</v>
      </c>
      <c r="F632" s="92" t="s">
        <v>3032</v>
      </c>
      <c r="G632" s="92" t="s">
        <v>845</v>
      </c>
      <c r="H632" s="92" t="s">
        <v>3030</v>
      </c>
      <c r="I632" s="92" t="s">
        <v>852</v>
      </c>
      <c r="J632" s="92" t="s">
        <v>60</v>
      </c>
      <c r="K632" s="92" t="s">
        <v>686</v>
      </c>
    </row>
    <row r="633" spans="1:11" ht="13.8">
      <c r="A633" s="47" t="s">
        <v>3027</v>
      </c>
      <c r="B633" s="92" t="s">
        <v>857</v>
      </c>
      <c r="C633" s="92">
        <v>7000420</v>
      </c>
      <c r="D633" s="72" t="str">
        <f>IFERROR(VLOOKUP(A633,'[1]ST-QA-ZZ5'!$C$5:$M$299,11,0),"Inspection at production line")</f>
        <v>Inspection at production line</v>
      </c>
      <c r="F633" s="92" t="s">
        <v>3034</v>
      </c>
      <c r="G633" s="92" t="s">
        <v>949</v>
      </c>
      <c r="H633" s="92" t="s">
        <v>3030</v>
      </c>
      <c r="I633" s="92" t="s">
        <v>852</v>
      </c>
      <c r="J633" s="92" t="s">
        <v>60</v>
      </c>
      <c r="K633" s="92" t="s">
        <v>686</v>
      </c>
    </row>
    <row r="634" spans="1:11" ht="13.8">
      <c r="A634" s="47" t="s">
        <v>3031</v>
      </c>
      <c r="B634" s="92" t="s">
        <v>857</v>
      </c>
      <c r="C634" s="92">
        <v>7000421</v>
      </c>
      <c r="D634" s="72" t="str">
        <f>IFERROR(VLOOKUP(A634,'[1]ST-QA-ZZ5'!$C$5:$M$299,11,0),"Inspection at production line")</f>
        <v>Inspection at production line</v>
      </c>
      <c r="F634" s="92" t="s">
        <v>3036</v>
      </c>
      <c r="G634" s="92" t="s">
        <v>905</v>
      </c>
      <c r="H634" s="92" t="s">
        <v>3037</v>
      </c>
      <c r="I634" s="92" t="s">
        <v>852</v>
      </c>
      <c r="J634" s="92" t="s">
        <v>60</v>
      </c>
      <c r="K634" s="92" t="s">
        <v>686</v>
      </c>
    </row>
    <row r="635" spans="1:11" ht="13.8">
      <c r="A635" s="47" t="s">
        <v>3033</v>
      </c>
      <c r="B635" s="92" t="s">
        <v>857</v>
      </c>
      <c r="C635" s="92">
        <v>7000422</v>
      </c>
      <c r="D635" s="72" t="str">
        <f>IFERROR(VLOOKUP(A635,'[1]ST-QA-ZZ5'!$C$5:$M$299,11,0),"Inspection at production line")</f>
        <v>Inspection at production line</v>
      </c>
      <c r="F635" s="92" t="s">
        <v>3040</v>
      </c>
      <c r="G635" s="92" t="s">
        <v>555</v>
      </c>
      <c r="H635" s="92" t="s">
        <v>3041</v>
      </c>
      <c r="I635" s="92" t="s">
        <v>852</v>
      </c>
      <c r="J635" s="92" t="s">
        <v>71</v>
      </c>
      <c r="K635" s="92" t="s">
        <v>686</v>
      </c>
    </row>
    <row r="636" spans="1:11" ht="13.8">
      <c r="A636" s="47" t="s">
        <v>3035</v>
      </c>
      <c r="B636" s="92" t="s">
        <v>857</v>
      </c>
      <c r="C636" s="92">
        <v>7000423</v>
      </c>
      <c r="D636" s="72" t="str">
        <f>IFERROR(VLOOKUP(A636,'[1]ST-QA-ZZ5'!$C$5:$M$299,11,0),"Inspection at production line")</f>
        <v>Inspection at production line</v>
      </c>
      <c r="F636" s="92" t="s">
        <v>3044</v>
      </c>
      <c r="G636" s="92" t="s">
        <v>946</v>
      </c>
      <c r="H636" s="92" t="s">
        <v>3045</v>
      </c>
      <c r="I636" s="92" t="s">
        <v>852</v>
      </c>
      <c r="J636" s="92" t="s">
        <v>60</v>
      </c>
      <c r="K636" s="92" t="s">
        <v>686</v>
      </c>
    </row>
    <row r="637" spans="1:11" ht="13.8">
      <c r="A637" s="47" t="s">
        <v>3038</v>
      </c>
      <c r="B637" s="92" t="s">
        <v>3039</v>
      </c>
      <c r="C637" s="92">
        <v>7000424</v>
      </c>
      <c r="D637" s="72" t="str">
        <f>IFERROR(VLOOKUP(A637,'[1]ST-QA-ZZ5'!$C$5:$M$299,11,0),"Inspection at production line")</f>
        <v>Inspection at production line</v>
      </c>
      <c r="F637" s="92" t="s">
        <v>3048</v>
      </c>
      <c r="G637" s="92" t="s">
        <v>2546</v>
      </c>
      <c r="H637" s="92" t="s">
        <v>3049</v>
      </c>
      <c r="I637" s="92" t="s">
        <v>852</v>
      </c>
      <c r="J637" s="92" t="s">
        <v>60</v>
      </c>
      <c r="K637" s="92" t="s">
        <v>686</v>
      </c>
    </row>
    <row r="638" spans="1:11" ht="13.8">
      <c r="A638" s="47" t="s">
        <v>3042</v>
      </c>
      <c r="B638" s="92" t="s">
        <v>857</v>
      </c>
      <c r="C638" s="92" t="s">
        <v>3043</v>
      </c>
      <c r="D638" s="72" t="str">
        <f>IFERROR(VLOOKUP(A638,'[1]ST-QA-ZZ5'!$C$5:$M$299,11,0),"Inspection at production line")</f>
        <v>Inspection at production line</v>
      </c>
      <c r="F638" s="92" t="s">
        <v>3052</v>
      </c>
      <c r="G638" s="92" t="s">
        <v>2507</v>
      </c>
      <c r="H638" s="92" t="s">
        <v>3053</v>
      </c>
      <c r="I638" s="92" t="s">
        <v>852</v>
      </c>
      <c r="J638" s="92" t="s">
        <v>60</v>
      </c>
      <c r="K638" s="92" t="s">
        <v>686</v>
      </c>
    </row>
    <row r="639" spans="1:11" ht="13.8">
      <c r="A639" s="47" t="s">
        <v>3046</v>
      </c>
      <c r="B639" s="92" t="s">
        <v>857</v>
      </c>
      <c r="C639" s="92" t="s">
        <v>3047</v>
      </c>
      <c r="D639" s="72" t="str">
        <f>IFERROR(VLOOKUP(A639,'[1]ST-QA-ZZ5'!$C$5:$M$299,11,0),"Inspection at production line")</f>
        <v>Inspection at production line</v>
      </c>
      <c r="F639" s="92" t="s">
        <v>3056</v>
      </c>
      <c r="G639" s="92" t="s">
        <v>957</v>
      </c>
      <c r="H639" s="92" t="s">
        <v>3057</v>
      </c>
      <c r="I639" s="92" t="s">
        <v>852</v>
      </c>
      <c r="J639" s="92" t="s">
        <v>60</v>
      </c>
      <c r="K639" s="92" t="s">
        <v>686</v>
      </c>
    </row>
    <row r="640" spans="1:11" ht="13.8">
      <c r="A640" s="47" t="s">
        <v>3050</v>
      </c>
      <c r="B640" s="92" t="s">
        <v>857</v>
      </c>
      <c r="C640" s="92" t="s">
        <v>3051</v>
      </c>
      <c r="D640" s="72" t="str">
        <f>IFERROR(VLOOKUP(A640,'[1]ST-QA-ZZ5'!$C$5:$M$299,11,0),"Inspection at production line")</f>
        <v>Inspection at production line</v>
      </c>
      <c r="F640" s="92" t="s">
        <v>3060</v>
      </c>
      <c r="G640" s="92" t="s">
        <v>797</v>
      </c>
      <c r="H640" s="92" t="s">
        <v>3061</v>
      </c>
      <c r="I640" s="92" t="s">
        <v>852</v>
      </c>
      <c r="J640" s="92" t="s">
        <v>60</v>
      </c>
      <c r="K640" s="92" t="s">
        <v>686</v>
      </c>
    </row>
    <row r="641" spans="1:11" ht="13.8">
      <c r="A641" s="47" t="s">
        <v>3054</v>
      </c>
      <c r="B641" s="92" t="s">
        <v>857</v>
      </c>
      <c r="C641" s="92" t="s">
        <v>3055</v>
      </c>
      <c r="D641" s="72" t="str">
        <f>IFERROR(VLOOKUP(A641,'[1]ST-QA-ZZ5'!$C$5:$M$299,11,0),"Inspection at production line")</f>
        <v>Inspection at production line</v>
      </c>
      <c r="F641" s="92" t="s">
        <v>3063</v>
      </c>
      <c r="G641" s="92" t="s">
        <v>953</v>
      </c>
      <c r="H641" s="92" t="s">
        <v>3064</v>
      </c>
      <c r="I641" s="92" t="s">
        <v>852</v>
      </c>
      <c r="J641" s="92" t="s">
        <v>60</v>
      </c>
      <c r="K641" s="92" t="s">
        <v>686</v>
      </c>
    </row>
    <row r="642" spans="1:11" ht="13.8">
      <c r="A642" s="47" t="s">
        <v>3058</v>
      </c>
      <c r="B642" s="92" t="s">
        <v>857</v>
      </c>
      <c r="C642" s="92" t="s">
        <v>3059</v>
      </c>
      <c r="D642" s="72" t="str">
        <f>IFERROR(VLOOKUP(A642,'[1]ST-QA-ZZ5'!$C$5:$M$299,11,0),"Inspection at production line")</f>
        <v>Inspection at production line</v>
      </c>
      <c r="F642" s="95" t="s">
        <v>3067</v>
      </c>
      <c r="G642" s="95" t="s">
        <v>814</v>
      </c>
      <c r="H642" s="95" t="s">
        <v>3068</v>
      </c>
      <c r="I642" s="95" t="s">
        <v>852</v>
      </c>
      <c r="J642" s="95" t="s">
        <v>60</v>
      </c>
      <c r="K642" s="95" t="s">
        <v>686</v>
      </c>
    </row>
    <row r="643" spans="1:11" ht="13.8">
      <c r="A643" s="47" t="s">
        <v>3062</v>
      </c>
      <c r="B643" s="92" t="s">
        <v>857</v>
      </c>
      <c r="C643" s="92">
        <v>7000330</v>
      </c>
      <c r="D643" s="72" t="str">
        <f>IFERROR(VLOOKUP(A643,'[1]ST-QA-ZZ5'!$C$5:$M$299,11,0),"Inspection at production line")</f>
        <v>Inspection at production line</v>
      </c>
      <c r="F643" s="95" t="s">
        <v>3071</v>
      </c>
      <c r="G643" s="95" t="s">
        <v>905</v>
      </c>
      <c r="H643" s="95" t="s">
        <v>3072</v>
      </c>
      <c r="I643" s="95" t="s">
        <v>852</v>
      </c>
      <c r="J643" s="95" t="s">
        <v>60</v>
      </c>
      <c r="K643" s="95" t="s">
        <v>686</v>
      </c>
    </row>
    <row r="644" spans="1:11" ht="13.8">
      <c r="A644" s="47" t="s">
        <v>3065</v>
      </c>
      <c r="B644" s="92" t="s">
        <v>857</v>
      </c>
      <c r="C644" s="92" t="s">
        <v>3066</v>
      </c>
      <c r="D644" s="72" t="str">
        <f>IFERROR(VLOOKUP(A644,'[1]ST-QA-ZZ5'!$C$5:$M$299,11,0),"Inspection at production line")</f>
        <v>Inspection at production line</v>
      </c>
      <c r="F644" s="95" t="s">
        <v>3076</v>
      </c>
      <c r="G644" s="95" t="s">
        <v>1070</v>
      </c>
      <c r="H644" s="95" t="s">
        <v>3077</v>
      </c>
      <c r="I644" s="95" t="s">
        <v>852</v>
      </c>
      <c r="J644" s="95" t="s">
        <v>60</v>
      </c>
      <c r="K644" s="95" t="s">
        <v>686</v>
      </c>
    </row>
    <row r="645" spans="1:11" ht="13.8">
      <c r="A645" s="47" t="s">
        <v>3069</v>
      </c>
      <c r="B645" s="92" t="s">
        <v>857</v>
      </c>
      <c r="C645" s="92" t="s">
        <v>3070</v>
      </c>
      <c r="D645" s="72" t="str">
        <f>IFERROR(VLOOKUP(A645,'[1]ST-QA-ZZ5'!$C$5:$M$299,11,0),"Inspection at production line")</f>
        <v>Inspection at production line</v>
      </c>
      <c r="F645" s="95" t="s">
        <v>3081</v>
      </c>
      <c r="G645" s="95" t="s">
        <v>704</v>
      </c>
      <c r="H645" s="95" t="s">
        <v>3082</v>
      </c>
      <c r="I645" s="95" t="s">
        <v>852</v>
      </c>
      <c r="J645" s="95" t="s">
        <v>60</v>
      </c>
      <c r="K645" s="95" t="s">
        <v>686</v>
      </c>
    </row>
    <row r="646" spans="1:11" ht="13.8">
      <c r="A646" s="47" t="s">
        <v>3073</v>
      </c>
      <c r="B646" s="92" t="s">
        <v>3074</v>
      </c>
      <c r="C646" s="92" t="s">
        <v>3075</v>
      </c>
      <c r="D646" s="72" t="str">
        <f>IFERROR(VLOOKUP(A646,'[1]ST-QA-ZZ5'!$C$5:$M$299,11,0),"Inspection at production line")</f>
        <v>Inspection at production line</v>
      </c>
      <c r="F646" s="92" t="s">
        <v>3086</v>
      </c>
      <c r="G646" s="92" t="s">
        <v>75</v>
      </c>
      <c r="H646" s="92" t="s">
        <v>3087</v>
      </c>
      <c r="I646" s="92" t="s">
        <v>3088</v>
      </c>
      <c r="J646" s="92" t="s">
        <v>60</v>
      </c>
      <c r="K646" s="92" t="s">
        <v>686</v>
      </c>
    </row>
    <row r="647" spans="1:11" ht="13.8">
      <c r="A647" s="47" t="s">
        <v>3078</v>
      </c>
      <c r="B647" s="92" t="s">
        <v>3079</v>
      </c>
      <c r="C647" s="92" t="s">
        <v>3080</v>
      </c>
      <c r="D647" s="72" t="str">
        <f>IFERROR(VLOOKUP(A647,'[1]ST-QA-ZZ5'!$C$5:$M$299,11,0),"Inspection at production line")</f>
        <v>Inspection at production line</v>
      </c>
      <c r="F647" s="92" t="s">
        <v>3091</v>
      </c>
      <c r="G647" s="92" t="s">
        <v>3092</v>
      </c>
      <c r="H647" s="92" t="s">
        <v>3093</v>
      </c>
      <c r="I647" s="92" t="s">
        <v>85</v>
      </c>
      <c r="J647" s="92" t="s">
        <v>60</v>
      </c>
      <c r="K647" s="92" t="s">
        <v>686</v>
      </c>
    </row>
    <row r="648" spans="1:11" ht="13.8">
      <c r="A648" s="47" t="s">
        <v>3083</v>
      </c>
      <c r="B648" s="92" t="s">
        <v>3084</v>
      </c>
      <c r="C648" s="92" t="s">
        <v>3085</v>
      </c>
      <c r="D648" s="72" t="str">
        <f>IFERROR(VLOOKUP(A648,'[1]ST-QA-ZZ5'!$C$5:$M$299,11,0),"Inspection at production line")</f>
        <v>Inspection at production line</v>
      </c>
      <c r="F648" s="92" t="s">
        <v>3096</v>
      </c>
      <c r="G648" s="92" t="s">
        <v>3097</v>
      </c>
      <c r="H648" s="92" t="s">
        <v>3098</v>
      </c>
      <c r="I648" s="92" t="s">
        <v>2654</v>
      </c>
      <c r="J648" s="92" t="s">
        <v>60</v>
      </c>
      <c r="K648" s="92" t="s">
        <v>3099</v>
      </c>
    </row>
    <row r="649" spans="1:11" ht="13.8">
      <c r="A649" s="47" t="s">
        <v>3089</v>
      </c>
      <c r="B649" s="92" t="s">
        <v>857</v>
      </c>
      <c r="C649" s="92" t="s">
        <v>3090</v>
      </c>
      <c r="D649" s="72" t="str">
        <f>IFERROR(VLOOKUP(A649,'[1]ST-QA-ZZ5'!$C$5:$M$299,11,0),"Inspection at production line")</f>
        <v>Inspection at production line</v>
      </c>
      <c r="F649" s="92" t="s">
        <v>3102</v>
      </c>
      <c r="G649" s="92" t="s">
        <v>3103</v>
      </c>
      <c r="H649" s="92" t="s">
        <v>3104</v>
      </c>
      <c r="I649" s="92" t="s">
        <v>2654</v>
      </c>
      <c r="J649" s="92" t="s">
        <v>60</v>
      </c>
      <c r="K649" s="92" t="s">
        <v>3099</v>
      </c>
    </row>
    <row r="650" spans="1:11" ht="13.8">
      <c r="A650" s="47" t="s">
        <v>3094</v>
      </c>
      <c r="B650" s="92" t="s">
        <v>857</v>
      </c>
      <c r="C650" s="92" t="s">
        <v>3095</v>
      </c>
      <c r="D650" s="72" t="str">
        <f>IFERROR(VLOOKUP(A650,'[1]ST-QA-ZZ5'!$C$5:$M$299,11,0),"Inspection at production line")</f>
        <v>Inspection at production line</v>
      </c>
      <c r="F650" s="92" t="s">
        <v>3107</v>
      </c>
      <c r="G650" s="92" t="s">
        <v>3108</v>
      </c>
      <c r="H650" s="92" t="s">
        <v>3109</v>
      </c>
      <c r="I650" s="92" t="s">
        <v>2654</v>
      </c>
      <c r="J650" s="92" t="s">
        <v>60</v>
      </c>
      <c r="K650" s="92" t="s">
        <v>3099</v>
      </c>
    </row>
    <row r="651" spans="1:11" ht="13.8">
      <c r="A651" s="47" t="s">
        <v>3100</v>
      </c>
      <c r="B651" s="92" t="s">
        <v>857</v>
      </c>
      <c r="C651" s="92" t="s">
        <v>3101</v>
      </c>
      <c r="D651" s="72" t="str">
        <f>IFERROR(VLOOKUP(A651,'[1]ST-QA-ZZ5'!$C$5:$M$299,11,0),"Inspection at production line")</f>
        <v>Inspection at production line</v>
      </c>
      <c r="F651" s="92" t="s">
        <v>3112</v>
      </c>
      <c r="G651" s="92" t="s">
        <v>3113</v>
      </c>
      <c r="H651" s="93">
        <v>7000336</v>
      </c>
      <c r="I651" s="92" t="s">
        <v>2654</v>
      </c>
      <c r="J651" s="92" t="s">
        <v>60</v>
      </c>
      <c r="K651" s="92" t="s">
        <v>3099</v>
      </c>
    </row>
    <row r="652" spans="1:11" ht="13.8">
      <c r="A652" s="47" t="s">
        <v>3105</v>
      </c>
      <c r="B652" s="92" t="s">
        <v>3106</v>
      </c>
      <c r="C652" s="92" t="s">
        <v>3106</v>
      </c>
      <c r="D652" s="72" t="str">
        <f>IFERROR(VLOOKUP(A652,'[1]ST-QA-ZZ5'!$C$5:$M$299,11,0),"Inspection at production line")</f>
        <v>Inspection at production line</v>
      </c>
      <c r="F652" s="92" t="s">
        <v>3116</v>
      </c>
      <c r="G652" s="92" t="s">
        <v>3117</v>
      </c>
      <c r="H652" s="93">
        <v>7000314</v>
      </c>
      <c r="I652" s="92" t="s">
        <v>2654</v>
      </c>
      <c r="J652" s="92" t="s">
        <v>60</v>
      </c>
      <c r="K652" s="92" t="s">
        <v>3099</v>
      </c>
    </row>
    <row r="653" spans="1:11" ht="13.8">
      <c r="A653" s="47" t="s">
        <v>3110</v>
      </c>
      <c r="B653" s="92" t="s">
        <v>3111</v>
      </c>
      <c r="C653" s="92" t="s">
        <v>3111</v>
      </c>
      <c r="D653" s="72" t="str">
        <f>IFERROR(VLOOKUP(A653,'[1]ST-QA-ZZ5'!$C$5:$M$299,11,0),"Inspection at production line")</f>
        <v>Inspection at production line</v>
      </c>
      <c r="F653" s="92" t="s">
        <v>3120</v>
      </c>
      <c r="G653" s="92" t="s">
        <v>3121</v>
      </c>
      <c r="H653" s="92" t="s">
        <v>3122</v>
      </c>
      <c r="I653" s="92" t="s">
        <v>2654</v>
      </c>
      <c r="J653" s="92" t="s">
        <v>60</v>
      </c>
      <c r="K653" s="92" t="s">
        <v>3099</v>
      </c>
    </row>
    <row r="654" spans="1:11" ht="13.8">
      <c r="A654" s="47" t="s">
        <v>3114</v>
      </c>
      <c r="B654" s="92" t="s">
        <v>857</v>
      </c>
      <c r="C654" s="92" t="s">
        <v>3115</v>
      </c>
      <c r="D654" s="72" t="str">
        <f>IFERROR(VLOOKUP(A654,'[1]ST-QA-ZZ5'!$C$5:$M$299,11,0),"Inspection at production line")</f>
        <v>Inspection at production line</v>
      </c>
      <c r="F654" s="92" t="s">
        <v>3125</v>
      </c>
      <c r="G654" s="92" t="s">
        <v>3126</v>
      </c>
      <c r="H654" s="93">
        <v>7000285</v>
      </c>
      <c r="I654" s="92" t="s">
        <v>2654</v>
      </c>
      <c r="J654" s="92" t="s">
        <v>71</v>
      </c>
      <c r="K654" s="92" t="s">
        <v>3099</v>
      </c>
    </row>
    <row r="655" spans="1:11" ht="13.8">
      <c r="A655" s="47" t="s">
        <v>3118</v>
      </c>
      <c r="B655" s="92" t="s">
        <v>3119</v>
      </c>
      <c r="C655" s="92" t="s">
        <v>3119</v>
      </c>
      <c r="D655" s="72" t="str">
        <f>IFERROR(VLOOKUP(A655,'[1]ST-QA-ZZ5'!$C$5:$M$299,11,0),"Inspection at production line")</f>
        <v>Inspection at production line</v>
      </c>
      <c r="F655" s="92" t="s">
        <v>3129</v>
      </c>
      <c r="G655" s="92" t="s">
        <v>3108</v>
      </c>
      <c r="H655" s="92" t="s">
        <v>3130</v>
      </c>
      <c r="I655" s="92" t="s">
        <v>2654</v>
      </c>
      <c r="J655" s="92" t="s">
        <v>60</v>
      </c>
      <c r="K655" s="92" t="s">
        <v>3099</v>
      </c>
    </row>
    <row r="656" spans="1:11" ht="13.8">
      <c r="A656" s="47" t="s">
        <v>3123</v>
      </c>
      <c r="B656" s="92" t="s">
        <v>3124</v>
      </c>
      <c r="C656" s="92" t="s">
        <v>3124</v>
      </c>
      <c r="D656" s="72" t="str">
        <f>IFERROR(VLOOKUP(A656,'[1]ST-QA-ZZ5'!$C$5:$M$299,11,0),"Inspection at production line")</f>
        <v>Inspection at production line</v>
      </c>
      <c r="F656" s="92" t="s">
        <v>3133</v>
      </c>
      <c r="G656" s="92" t="s">
        <v>3134</v>
      </c>
      <c r="H656" s="92">
        <v>7000413</v>
      </c>
      <c r="I656" s="92" t="s">
        <v>2654</v>
      </c>
      <c r="J656" s="92" t="s">
        <v>60</v>
      </c>
      <c r="K656" s="92" t="s">
        <v>3099</v>
      </c>
    </row>
    <row r="657" spans="1:11" ht="13.8">
      <c r="A657" s="47" t="s">
        <v>3127</v>
      </c>
      <c r="B657" s="92" t="s">
        <v>857</v>
      </c>
      <c r="C657" s="92" t="s">
        <v>3128</v>
      </c>
      <c r="D657" s="72" t="str">
        <f>IFERROR(VLOOKUP(A657,'[1]ST-QA-ZZ5'!$C$5:$M$299,11,0),"Inspection at production line")</f>
        <v>Inspection at production line</v>
      </c>
      <c r="F657" s="92" t="s">
        <v>3137</v>
      </c>
      <c r="G657" s="92" t="s">
        <v>3138</v>
      </c>
      <c r="H657" s="93">
        <v>7000341</v>
      </c>
      <c r="I657" s="92" t="s">
        <v>2654</v>
      </c>
      <c r="J657" s="92" t="s">
        <v>60</v>
      </c>
      <c r="K657" s="92" t="s">
        <v>3099</v>
      </c>
    </row>
    <row r="658" spans="1:11" ht="13.8">
      <c r="A658" s="47" t="s">
        <v>3131</v>
      </c>
      <c r="B658" s="92" t="s">
        <v>857</v>
      </c>
      <c r="C658" s="92" t="s">
        <v>3132</v>
      </c>
      <c r="D658" s="72" t="str">
        <f>IFERROR(VLOOKUP(A658,'[1]ST-QA-ZZ5'!$C$5:$M$299,11,0),"Inspection at production line")</f>
        <v>Inspection at production line</v>
      </c>
      <c r="F658" s="92" t="s">
        <v>3141</v>
      </c>
      <c r="G658" s="92" t="s">
        <v>3142</v>
      </c>
      <c r="H658" s="93">
        <v>7000156</v>
      </c>
      <c r="I658" s="92" t="s">
        <v>2654</v>
      </c>
      <c r="J658" s="92" t="s">
        <v>60</v>
      </c>
      <c r="K658" s="92" t="s">
        <v>3099</v>
      </c>
    </row>
    <row r="659" spans="1:11" ht="13.8">
      <c r="A659" s="47" t="s">
        <v>3135</v>
      </c>
      <c r="B659" s="92" t="s">
        <v>3136</v>
      </c>
      <c r="C659" s="92" t="s">
        <v>3136</v>
      </c>
      <c r="D659" s="72" t="str">
        <f>IFERROR(VLOOKUP(A659,'[1]ST-QA-ZZ5'!$C$5:$M$299,11,0),"Inspection at production line")</f>
        <v>Inspection at production line</v>
      </c>
      <c r="F659" s="92" t="s">
        <v>3145</v>
      </c>
      <c r="G659" s="92" t="s">
        <v>3146</v>
      </c>
      <c r="H659" s="93">
        <v>7000410</v>
      </c>
      <c r="I659" s="92" t="s">
        <v>2654</v>
      </c>
      <c r="J659" s="92" t="s">
        <v>60</v>
      </c>
      <c r="K659" s="92" t="s">
        <v>3099</v>
      </c>
    </row>
    <row r="660" spans="1:11" ht="13.8">
      <c r="A660" s="47" t="s">
        <v>3139</v>
      </c>
      <c r="B660" s="92" t="s">
        <v>3140</v>
      </c>
      <c r="C660" s="92" t="s">
        <v>3140</v>
      </c>
      <c r="D660" s="72" t="str">
        <f>IFERROR(VLOOKUP(A660,'[1]ST-QA-ZZ5'!$C$5:$M$299,11,0),"Inspection at production line")</f>
        <v>Inspection at production line</v>
      </c>
      <c r="F660" s="92" t="s">
        <v>3149</v>
      </c>
      <c r="G660" s="92" t="s">
        <v>3150</v>
      </c>
      <c r="H660" s="93">
        <v>7000368</v>
      </c>
      <c r="I660" s="92" t="s">
        <v>2654</v>
      </c>
      <c r="J660" s="92" t="s">
        <v>60</v>
      </c>
      <c r="K660" s="92" t="s">
        <v>3099</v>
      </c>
    </row>
    <row r="661" spans="1:11" ht="13.8">
      <c r="A661" s="47" t="s">
        <v>3143</v>
      </c>
      <c r="B661" s="92" t="s">
        <v>857</v>
      </c>
      <c r="C661" s="92" t="s">
        <v>3144</v>
      </c>
      <c r="D661" s="72" t="str">
        <f>IFERROR(VLOOKUP(A661,'[1]ST-QA-ZZ5'!$C$5:$M$299,11,0),"Inspection at production line")</f>
        <v>Inspection at production line</v>
      </c>
      <c r="F661" s="92" t="s">
        <v>3153</v>
      </c>
      <c r="G661" s="92" t="s">
        <v>2024</v>
      </c>
      <c r="H661" s="92" t="s">
        <v>3154</v>
      </c>
      <c r="I661" s="92" t="s">
        <v>2654</v>
      </c>
      <c r="J661" s="92" t="s">
        <v>60</v>
      </c>
      <c r="K661" s="92" t="s">
        <v>3099</v>
      </c>
    </row>
    <row r="662" spans="1:11" ht="13.8">
      <c r="A662" s="47" t="s">
        <v>3147</v>
      </c>
      <c r="B662" s="92" t="s">
        <v>3148</v>
      </c>
      <c r="C662" s="92" t="s">
        <v>3148</v>
      </c>
      <c r="D662" s="72" t="str">
        <f>IFERROR(VLOOKUP(A662,'[1]ST-QA-ZZ5'!$C$5:$M$299,11,0),"Inspection at production line")</f>
        <v>Inspection at production line</v>
      </c>
      <c r="F662" s="92" t="s">
        <v>3157</v>
      </c>
      <c r="G662" s="92" t="s">
        <v>555</v>
      </c>
      <c r="H662" s="92" t="s">
        <v>3158</v>
      </c>
      <c r="I662" s="92" t="s">
        <v>3159</v>
      </c>
      <c r="J662" s="92" t="s">
        <v>60</v>
      </c>
      <c r="K662" s="92" t="s">
        <v>682</v>
      </c>
    </row>
    <row r="663" spans="1:11" ht="13.8">
      <c r="A663" s="47" t="s">
        <v>3151</v>
      </c>
      <c r="B663" s="92" t="s">
        <v>3152</v>
      </c>
      <c r="C663" s="92" t="s">
        <v>3152</v>
      </c>
      <c r="D663" s="72" t="str">
        <f>IFERROR(VLOOKUP(A663,'[1]ST-QA-ZZ5'!$C$5:$M$299,11,0),"Inspection at production line")</f>
        <v>Inspection at production line</v>
      </c>
      <c r="F663" s="92" t="s">
        <v>3162</v>
      </c>
      <c r="G663" s="92" t="s">
        <v>555</v>
      </c>
      <c r="H663" s="92" t="s">
        <v>3163</v>
      </c>
      <c r="I663" s="92" t="s">
        <v>3159</v>
      </c>
      <c r="J663" s="92" t="s">
        <v>60</v>
      </c>
      <c r="K663" s="92" t="s">
        <v>682</v>
      </c>
    </row>
    <row r="664" spans="1:11" ht="13.8">
      <c r="A664" s="47" t="s">
        <v>3155</v>
      </c>
      <c r="B664" s="92" t="s">
        <v>857</v>
      </c>
      <c r="C664" s="92" t="s">
        <v>3156</v>
      </c>
      <c r="D664" s="72" t="str">
        <f>IFERROR(VLOOKUP(A664,'[1]ST-QA-ZZ5'!$C$5:$M$299,11,0),"Inspection at production line")</f>
        <v>Inspection at production line</v>
      </c>
      <c r="F664" s="92" t="s">
        <v>3166</v>
      </c>
      <c r="G664" s="92" t="s">
        <v>555</v>
      </c>
      <c r="H664" s="92" t="s">
        <v>3167</v>
      </c>
      <c r="I664" s="92" t="s">
        <v>3159</v>
      </c>
      <c r="J664" s="92" t="s">
        <v>60</v>
      </c>
      <c r="K664" s="92" t="s">
        <v>682</v>
      </c>
    </row>
    <row r="665" spans="1:11" ht="13.8">
      <c r="A665" s="47" t="s">
        <v>3160</v>
      </c>
      <c r="B665" s="92" t="s">
        <v>857</v>
      </c>
      <c r="C665" s="92" t="s">
        <v>3161</v>
      </c>
      <c r="D665" s="72" t="str">
        <f>IFERROR(VLOOKUP(A665,'[1]ST-QA-ZZ5'!$C$5:$M$299,11,0),"Inspection at production line")</f>
        <v>Inspection at production line</v>
      </c>
      <c r="F665" s="92" t="s">
        <v>3170</v>
      </c>
      <c r="G665" s="92" t="s">
        <v>555</v>
      </c>
      <c r="H665" s="92" t="s">
        <v>3171</v>
      </c>
      <c r="I665" s="92" t="s">
        <v>3159</v>
      </c>
      <c r="J665" s="92" t="s">
        <v>60</v>
      </c>
      <c r="K665" s="92" t="s">
        <v>682</v>
      </c>
    </row>
    <row r="666" spans="1:11" ht="13.8">
      <c r="A666" s="47" t="s">
        <v>3164</v>
      </c>
      <c r="B666" s="92" t="s">
        <v>3165</v>
      </c>
      <c r="C666" s="92" t="s">
        <v>3165</v>
      </c>
      <c r="D666" s="72" t="str">
        <f>IFERROR(VLOOKUP(A666,'[1]ST-QA-ZZ5'!$C$5:$M$299,11,0),"Inspection at production line")</f>
        <v>Inspection at production line</v>
      </c>
      <c r="F666" s="92" t="s">
        <v>3174</v>
      </c>
      <c r="G666" s="92" t="s">
        <v>555</v>
      </c>
      <c r="H666" s="92" t="s">
        <v>3175</v>
      </c>
      <c r="I666" s="92" t="s">
        <v>3159</v>
      </c>
      <c r="J666" s="92" t="s">
        <v>60</v>
      </c>
      <c r="K666" s="92" t="s">
        <v>682</v>
      </c>
    </row>
    <row r="667" spans="1:11" ht="13.8">
      <c r="A667" s="47" t="s">
        <v>3168</v>
      </c>
      <c r="B667" s="92" t="s">
        <v>3169</v>
      </c>
      <c r="C667" s="92" t="s">
        <v>3169</v>
      </c>
      <c r="D667" s="72" t="str">
        <f>IFERROR(VLOOKUP(A667,'[1]ST-QA-ZZ5'!$C$5:$M$299,11,0),"Inspection at production line")</f>
        <v>Inspection at production line</v>
      </c>
      <c r="F667" s="92" t="s">
        <v>3178</v>
      </c>
      <c r="G667" s="92" t="s">
        <v>555</v>
      </c>
      <c r="H667" s="92" t="s">
        <v>3179</v>
      </c>
      <c r="I667" s="92" t="s">
        <v>3159</v>
      </c>
      <c r="J667" s="92" t="s">
        <v>60</v>
      </c>
      <c r="K667" s="92" t="s">
        <v>682</v>
      </c>
    </row>
    <row r="668" spans="1:11" ht="13.8">
      <c r="A668" s="47" t="s">
        <v>3172</v>
      </c>
      <c r="B668" s="92" t="s">
        <v>857</v>
      </c>
      <c r="C668" s="92" t="s">
        <v>3173</v>
      </c>
      <c r="D668" s="72" t="str">
        <f>IFERROR(VLOOKUP(A668,'[1]ST-QA-ZZ5'!$C$5:$M$299,11,0),"Inspection at production line")</f>
        <v>Inspection at production line</v>
      </c>
      <c r="F668" s="92" t="s">
        <v>3182</v>
      </c>
      <c r="G668" s="92" t="s">
        <v>555</v>
      </c>
      <c r="H668" s="92" t="s">
        <v>3183</v>
      </c>
      <c r="I668" s="92" t="s">
        <v>3159</v>
      </c>
      <c r="J668" s="92" t="s">
        <v>60</v>
      </c>
      <c r="K668" s="92" t="s">
        <v>682</v>
      </c>
    </row>
    <row r="669" spans="1:11" ht="13.8">
      <c r="A669" s="47" t="s">
        <v>3176</v>
      </c>
      <c r="B669" s="92" t="s">
        <v>857</v>
      </c>
      <c r="C669" s="92" t="s">
        <v>3177</v>
      </c>
      <c r="D669" s="72" t="str">
        <f>IFERROR(VLOOKUP(A669,'[1]ST-QA-ZZ5'!$C$5:$M$299,11,0),"Inspection at production line")</f>
        <v>Inspection at production line</v>
      </c>
      <c r="F669" s="92" t="s">
        <v>3186</v>
      </c>
      <c r="G669" s="92" t="s">
        <v>555</v>
      </c>
      <c r="H669" s="92" t="s">
        <v>3187</v>
      </c>
      <c r="I669" s="92" t="s">
        <v>3159</v>
      </c>
      <c r="J669" s="92" t="s">
        <v>60</v>
      </c>
      <c r="K669" s="92" t="s">
        <v>682</v>
      </c>
    </row>
    <row r="670" spans="1:11" ht="13.8">
      <c r="A670" s="47" t="s">
        <v>3180</v>
      </c>
      <c r="B670" s="92" t="s">
        <v>857</v>
      </c>
      <c r="C670" s="92" t="s">
        <v>3181</v>
      </c>
      <c r="D670" s="72" t="str">
        <f>IFERROR(VLOOKUP(A670,'[1]ST-QA-ZZ5'!$C$5:$M$299,11,0),"Inspection at production line")</f>
        <v>Inspection at production line</v>
      </c>
      <c r="F670" s="92" t="s">
        <v>3190</v>
      </c>
      <c r="G670" s="92" t="s">
        <v>555</v>
      </c>
      <c r="H670" s="92" t="s">
        <v>3191</v>
      </c>
      <c r="I670" s="92" t="s">
        <v>3159</v>
      </c>
      <c r="J670" s="92" t="s">
        <v>60</v>
      </c>
      <c r="K670" s="92" t="s">
        <v>682</v>
      </c>
    </row>
    <row r="671" spans="1:11" ht="13.8">
      <c r="A671" s="47" t="s">
        <v>3184</v>
      </c>
      <c r="B671" s="92" t="s">
        <v>857</v>
      </c>
      <c r="C671" s="92" t="s">
        <v>3185</v>
      </c>
      <c r="D671" s="72" t="str">
        <f>IFERROR(VLOOKUP(A671,'[1]ST-QA-ZZ5'!$C$5:$M$299,11,0),"Inspection at production line")</f>
        <v>Inspection at production line</v>
      </c>
      <c r="F671" s="92" t="s">
        <v>3194</v>
      </c>
      <c r="G671" s="92" t="s">
        <v>555</v>
      </c>
      <c r="H671" s="92" t="s">
        <v>3195</v>
      </c>
      <c r="I671" s="92" t="s">
        <v>3159</v>
      </c>
      <c r="J671" s="92" t="s">
        <v>60</v>
      </c>
      <c r="K671" s="92" t="s">
        <v>682</v>
      </c>
    </row>
    <row r="672" spans="1:11" ht="13.8">
      <c r="A672" s="47" t="s">
        <v>3188</v>
      </c>
      <c r="B672" s="92" t="s">
        <v>857</v>
      </c>
      <c r="C672" s="92" t="s">
        <v>3189</v>
      </c>
      <c r="D672" s="72" t="str">
        <f>IFERROR(VLOOKUP(A672,'[1]ST-QA-ZZ5'!$C$5:$M$299,11,0),"Inspection at production line")</f>
        <v>Inspection at production line</v>
      </c>
      <c r="F672" s="92" t="s">
        <v>3198</v>
      </c>
      <c r="G672" s="92" t="s">
        <v>555</v>
      </c>
      <c r="H672" s="92" t="s">
        <v>3199</v>
      </c>
      <c r="I672" s="92" t="s">
        <v>3159</v>
      </c>
      <c r="J672" s="92" t="s">
        <v>60</v>
      </c>
      <c r="K672" s="92" t="s">
        <v>682</v>
      </c>
    </row>
    <row r="673" spans="1:11" ht="13.8">
      <c r="A673" s="47" t="s">
        <v>3192</v>
      </c>
      <c r="B673" s="92" t="s">
        <v>857</v>
      </c>
      <c r="C673" s="92" t="s">
        <v>3193</v>
      </c>
      <c r="D673" s="72" t="str">
        <f>IFERROR(VLOOKUP(A673,'[1]ST-QA-ZZ5'!$C$5:$M$299,11,0),"Inspection at production line")</f>
        <v>Inspection at production line</v>
      </c>
      <c r="F673" s="92" t="s">
        <v>3202</v>
      </c>
      <c r="G673" s="92" t="s">
        <v>2024</v>
      </c>
      <c r="H673" s="92" t="s">
        <v>3203</v>
      </c>
      <c r="I673" s="92" t="s">
        <v>2654</v>
      </c>
      <c r="J673" s="92" t="s">
        <v>3204</v>
      </c>
      <c r="K673" s="92" t="s">
        <v>3205</v>
      </c>
    </row>
    <row r="674" spans="1:11" ht="13.8">
      <c r="A674" s="47" t="s">
        <v>3196</v>
      </c>
      <c r="B674" s="92" t="s">
        <v>857</v>
      </c>
      <c r="C674" s="92" t="s">
        <v>3197</v>
      </c>
      <c r="D674" s="72" t="str">
        <f>IFERROR(VLOOKUP(A674,'[1]ST-QA-ZZ5'!$C$5:$M$299,11,0),"Inspection at production line")</f>
        <v>Inspection at production line</v>
      </c>
      <c r="F674" s="92" t="s">
        <v>475</v>
      </c>
      <c r="G674" s="92" t="s">
        <v>174</v>
      </c>
      <c r="H674" s="92" t="s">
        <v>476</v>
      </c>
      <c r="I674" s="92" t="s">
        <v>215</v>
      </c>
      <c r="J674" s="92" t="s">
        <v>60</v>
      </c>
      <c r="K674" s="92" t="s">
        <v>683</v>
      </c>
    </row>
    <row r="675" spans="1:11" ht="13.8">
      <c r="A675" s="47" t="s">
        <v>3200</v>
      </c>
      <c r="B675" s="92" t="s">
        <v>3201</v>
      </c>
      <c r="C675" s="92" t="s">
        <v>3201</v>
      </c>
      <c r="D675" s="72" t="str">
        <f>IFERROR(VLOOKUP(A675,'[1]ST-QA-ZZ5'!$C$5:$M$299,11,0),"Inspection at production line")</f>
        <v>Inspection at production line</v>
      </c>
      <c r="F675" s="92" t="s">
        <v>3209</v>
      </c>
      <c r="G675" s="92" t="s">
        <v>174</v>
      </c>
      <c r="H675" s="92" t="s">
        <v>3210</v>
      </c>
      <c r="I675" s="92" t="s">
        <v>98</v>
      </c>
      <c r="J675" s="92" t="s">
        <v>60</v>
      </c>
      <c r="K675" s="92" t="s">
        <v>3211</v>
      </c>
    </row>
    <row r="676" spans="1:11" ht="13.8">
      <c r="A676" s="47" t="s">
        <v>3206</v>
      </c>
      <c r="B676" s="92" t="s">
        <v>857</v>
      </c>
      <c r="C676" s="92" t="s">
        <v>3181</v>
      </c>
      <c r="D676" s="72" t="str">
        <f>IFERROR(VLOOKUP(A676,'[1]ST-QA-ZZ5'!$C$5:$M$299,11,0),"Inspection at production line")</f>
        <v>Inspection at production line</v>
      </c>
      <c r="F676" s="92" t="s">
        <v>3214</v>
      </c>
      <c r="G676" s="92" t="s">
        <v>174</v>
      </c>
      <c r="H676" s="92" t="s">
        <v>3215</v>
      </c>
      <c r="I676" s="92" t="s">
        <v>98</v>
      </c>
      <c r="J676" s="92" t="s">
        <v>60</v>
      </c>
      <c r="K676" s="92" t="s">
        <v>3211</v>
      </c>
    </row>
    <row r="677" spans="1:11" ht="13.8">
      <c r="A677" s="47" t="s">
        <v>3207</v>
      </c>
      <c r="B677" s="92" t="s">
        <v>3208</v>
      </c>
      <c r="C677" s="92" t="s">
        <v>3208</v>
      </c>
      <c r="D677" s="72" t="str">
        <f>IFERROR(VLOOKUP(A677,'[1]ST-QA-ZZ5'!$C$5:$M$299,11,0),"Inspection at production line")</f>
        <v>Inspection at production line</v>
      </c>
      <c r="F677" s="92" t="s">
        <v>3218</v>
      </c>
      <c r="G677" s="92" t="s">
        <v>174</v>
      </c>
      <c r="H677" s="92" t="s">
        <v>3219</v>
      </c>
      <c r="I677" s="92" t="s">
        <v>98</v>
      </c>
      <c r="J677" s="92" t="s">
        <v>60</v>
      </c>
      <c r="K677" s="92" t="s">
        <v>3211</v>
      </c>
    </row>
    <row r="678" spans="1:11" ht="13.8">
      <c r="A678" s="47" t="s">
        <v>3212</v>
      </c>
      <c r="B678" s="92" t="s">
        <v>857</v>
      </c>
      <c r="C678" s="92" t="s">
        <v>3213</v>
      </c>
      <c r="D678" s="72" t="str">
        <f>IFERROR(VLOOKUP(A678,'[1]ST-QA-ZZ5'!$C$5:$M$299,11,0),"Inspection at production line")</f>
        <v>Inspection at production line</v>
      </c>
      <c r="F678" s="92" t="s">
        <v>3222</v>
      </c>
      <c r="G678" s="92" t="s">
        <v>174</v>
      </c>
      <c r="H678" s="92" t="s">
        <v>3223</v>
      </c>
      <c r="I678" s="92" t="s">
        <v>98</v>
      </c>
      <c r="J678" s="92" t="s">
        <v>60</v>
      </c>
      <c r="K678" s="92" t="s">
        <v>3211</v>
      </c>
    </row>
    <row r="679" spans="1:11" ht="13.8">
      <c r="A679" s="47" t="s">
        <v>3216</v>
      </c>
      <c r="B679" s="92" t="s">
        <v>857</v>
      </c>
      <c r="C679" s="92" t="s">
        <v>3217</v>
      </c>
      <c r="D679" s="72" t="str">
        <f>IFERROR(VLOOKUP(A679,'[1]ST-QA-ZZ5'!$C$5:$M$299,11,0),"Inspection at production line")</f>
        <v>Inspection at production line</v>
      </c>
      <c r="F679" s="92" t="s">
        <v>3226</v>
      </c>
      <c r="G679" s="92" t="s">
        <v>174</v>
      </c>
      <c r="H679" s="92" t="s">
        <v>3227</v>
      </c>
      <c r="I679" s="92" t="s">
        <v>98</v>
      </c>
      <c r="J679" s="92" t="s">
        <v>60</v>
      </c>
      <c r="K679" s="92" t="s">
        <v>3211</v>
      </c>
    </row>
    <row r="680" spans="1:11" ht="13.8">
      <c r="A680" s="47" t="s">
        <v>3220</v>
      </c>
      <c r="B680" s="92" t="s">
        <v>857</v>
      </c>
      <c r="C680" s="92" t="s">
        <v>3221</v>
      </c>
      <c r="D680" s="72" t="str">
        <f>IFERROR(VLOOKUP(A680,'[1]ST-QA-ZZ5'!$C$5:$M$299,11,0),"Inspection at production line")</f>
        <v>Inspection at production line</v>
      </c>
      <c r="F680" s="92" t="s">
        <v>3230</v>
      </c>
      <c r="G680" s="92" t="s">
        <v>174</v>
      </c>
      <c r="H680" s="92" t="s">
        <v>3231</v>
      </c>
      <c r="I680" s="92" t="s">
        <v>98</v>
      </c>
      <c r="J680" s="92" t="s">
        <v>60</v>
      </c>
      <c r="K680" s="92" t="s">
        <v>3211</v>
      </c>
    </row>
    <row r="681" spans="1:11" ht="13.8">
      <c r="A681" s="47" t="s">
        <v>3224</v>
      </c>
      <c r="B681" s="92" t="s">
        <v>3225</v>
      </c>
      <c r="C681" s="92" t="s">
        <v>3225</v>
      </c>
      <c r="D681" s="72" t="str">
        <f>IFERROR(VLOOKUP(A681,'[1]ST-QA-ZZ5'!$C$5:$M$299,11,0),"Inspection at production line")</f>
        <v>Inspection at production line</v>
      </c>
      <c r="F681" s="92" t="s">
        <v>3234</v>
      </c>
      <c r="G681" s="92" t="s">
        <v>2069</v>
      </c>
      <c r="H681" s="92" t="s">
        <v>3235</v>
      </c>
      <c r="I681" s="92" t="s">
        <v>98</v>
      </c>
      <c r="J681" s="92" t="s">
        <v>60</v>
      </c>
      <c r="K681" s="92" t="s">
        <v>3211</v>
      </c>
    </row>
    <row r="682" spans="1:11" ht="13.8">
      <c r="A682" s="47" t="s">
        <v>3228</v>
      </c>
      <c r="B682" s="92" t="s">
        <v>3229</v>
      </c>
      <c r="C682" s="92" t="s">
        <v>3229</v>
      </c>
      <c r="D682" s="72" t="str">
        <f>IFERROR(VLOOKUP(A682,'[1]ST-QA-ZZ5'!$C$5:$M$299,11,0),"Inspection at production line")</f>
        <v>Inspection at production line</v>
      </c>
      <c r="F682" s="92" t="s">
        <v>3238</v>
      </c>
      <c r="G682" s="92" t="s">
        <v>2069</v>
      </c>
      <c r="H682" s="92" t="s">
        <v>3239</v>
      </c>
      <c r="I682" s="92" t="s">
        <v>98</v>
      </c>
      <c r="J682" s="92" t="s">
        <v>60</v>
      </c>
      <c r="K682" s="92" t="s">
        <v>3211</v>
      </c>
    </row>
    <row r="683" spans="1:11" ht="13.8">
      <c r="A683" s="47" t="s">
        <v>3232</v>
      </c>
      <c r="B683" s="92" t="s">
        <v>857</v>
      </c>
      <c r="C683" s="92" t="s">
        <v>3233</v>
      </c>
      <c r="D683" s="72" t="str">
        <f>IFERROR(VLOOKUP(A683,'[1]ST-QA-ZZ5'!$C$5:$M$299,11,0),"Inspection at production line")</f>
        <v>Inspection at production line</v>
      </c>
      <c r="F683" s="92" t="s">
        <v>3242</v>
      </c>
      <c r="G683" s="92" t="s">
        <v>453</v>
      </c>
      <c r="H683" s="92" t="s">
        <v>454</v>
      </c>
      <c r="I683" s="92" t="s">
        <v>98</v>
      </c>
      <c r="J683" s="92" t="s">
        <v>60</v>
      </c>
      <c r="K683" s="92" t="s">
        <v>680</v>
      </c>
    </row>
    <row r="684" spans="1:11" ht="13.8">
      <c r="A684" s="47" t="s">
        <v>3236</v>
      </c>
      <c r="B684" s="92" t="s">
        <v>3237</v>
      </c>
      <c r="C684" s="92" t="s">
        <v>3237</v>
      </c>
      <c r="D684" s="72" t="str">
        <f>IFERROR(VLOOKUP(A684,'[1]ST-QA-ZZ5'!$C$5:$M$299,11,0),"Inspection at production line")</f>
        <v>Inspection at production line</v>
      </c>
      <c r="F684" s="92" t="s">
        <v>3234</v>
      </c>
      <c r="G684" s="92" t="s">
        <v>2069</v>
      </c>
      <c r="H684" s="92" t="s">
        <v>3235</v>
      </c>
      <c r="I684" s="92" t="s">
        <v>98</v>
      </c>
      <c r="J684" s="92" t="s">
        <v>60</v>
      </c>
      <c r="K684" s="92" t="s">
        <v>3211</v>
      </c>
    </row>
    <row r="685" spans="1:11" ht="13.8">
      <c r="A685" s="47" t="s">
        <v>3240</v>
      </c>
      <c r="B685" s="92" t="s">
        <v>857</v>
      </c>
      <c r="C685" s="92" t="s">
        <v>3241</v>
      </c>
      <c r="D685" s="72" t="str">
        <f>IFERROR(VLOOKUP(A685,'[1]ST-QA-ZZ5'!$C$5:$M$299,11,0),"Inspection at production line")</f>
        <v>Inspection at production line</v>
      </c>
      <c r="F685" s="98" t="s">
        <v>439</v>
      </c>
      <c r="G685" s="92" t="s">
        <v>440</v>
      </c>
      <c r="H685" s="92" t="s">
        <v>464</v>
      </c>
      <c r="I685" s="92" t="s">
        <v>312</v>
      </c>
      <c r="J685" s="92" t="s">
        <v>60</v>
      </c>
      <c r="K685" s="92" t="s">
        <v>680</v>
      </c>
    </row>
    <row r="686" spans="1:11" ht="13.8">
      <c r="A686" s="47" t="s">
        <v>3243</v>
      </c>
      <c r="B686" s="92" t="s">
        <v>857</v>
      </c>
      <c r="C686" s="92" t="s">
        <v>3244</v>
      </c>
      <c r="D686" s="72" t="str">
        <f>IFERROR(VLOOKUP(A686,'[1]ST-QA-ZZ5'!$C$5:$M$299,11,0),"Inspection at production line")</f>
        <v>Inspection at production line</v>
      </c>
      <c r="F686" s="93">
        <v>301</v>
      </c>
      <c r="G686" s="92" t="s">
        <v>805</v>
      </c>
      <c r="H686" s="92" t="s">
        <v>806</v>
      </c>
      <c r="I686" s="92" t="s">
        <v>760</v>
      </c>
      <c r="J686" s="92" t="s">
        <v>60</v>
      </c>
      <c r="K686" s="92" t="s">
        <v>633</v>
      </c>
    </row>
    <row r="687" spans="1:11" ht="13.8">
      <c r="A687" s="47" t="s">
        <v>3245</v>
      </c>
      <c r="B687" s="92" t="s">
        <v>857</v>
      </c>
      <c r="C687" s="92" t="s">
        <v>3246</v>
      </c>
      <c r="D687" s="72" t="str">
        <f>IFERROR(VLOOKUP(A687,'[1]ST-QA-ZZ5'!$C$5:$M$299,11,0),"Inspection at production line")</f>
        <v>Inspection at production line</v>
      </c>
      <c r="F687" s="93">
        <v>302</v>
      </c>
      <c r="G687" s="92" t="s">
        <v>3251</v>
      </c>
      <c r="H687" s="92" t="s">
        <v>3251</v>
      </c>
      <c r="I687" s="92" t="s">
        <v>760</v>
      </c>
      <c r="J687" s="92" t="s">
        <v>60</v>
      </c>
      <c r="K687" s="92" t="s">
        <v>633</v>
      </c>
    </row>
    <row r="688" spans="1:11" ht="13.8">
      <c r="A688" s="47" t="s">
        <v>3247</v>
      </c>
      <c r="B688" s="92" t="s">
        <v>857</v>
      </c>
      <c r="C688" s="92" t="s">
        <v>3248</v>
      </c>
      <c r="D688" s="72" t="str">
        <f>IFERROR(VLOOKUP(A688,'[1]ST-QA-ZZ5'!$C$5:$M$299,11,0),"Inspection at production line")</f>
        <v>Inspection at production line</v>
      </c>
      <c r="F688" s="93">
        <v>303</v>
      </c>
      <c r="G688" s="92" t="s">
        <v>809</v>
      </c>
      <c r="H688" s="92" t="s">
        <v>810</v>
      </c>
      <c r="I688" s="92" t="s">
        <v>760</v>
      </c>
      <c r="J688" s="92" t="s">
        <v>60</v>
      </c>
      <c r="K688" s="92" t="s">
        <v>633</v>
      </c>
    </row>
    <row r="689" spans="1:11" ht="13.8">
      <c r="A689" s="47" t="s">
        <v>3249</v>
      </c>
      <c r="B689" s="92" t="s">
        <v>857</v>
      </c>
      <c r="C689" s="92" t="s">
        <v>3250</v>
      </c>
      <c r="D689" s="72" t="str">
        <f>IFERROR(VLOOKUP(A689,'[1]ST-QA-ZZ5'!$C$5:$M$299,11,0),"Inspection at production line")</f>
        <v>Inspection at production line</v>
      </c>
      <c r="F689" s="93">
        <v>304</v>
      </c>
      <c r="G689" s="92" t="s">
        <v>811</v>
      </c>
      <c r="H689" s="92" t="s">
        <v>812</v>
      </c>
      <c r="I689" s="92" t="s">
        <v>760</v>
      </c>
      <c r="J689" s="92" t="s">
        <v>60</v>
      </c>
      <c r="K689" s="92" t="s">
        <v>633</v>
      </c>
    </row>
    <row r="690" spans="1:11" ht="13.8">
      <c r="A690" s="47" t="s">
        <v>3252</v>
      </c>
      <c r="B690" s="92" t="s">
        <v>3253</v>
      </c>
      <c r="C690" s="92" t="s">
        <v>3253</v>
      </c>
      <c r="D690" s="72" t="str">
        <f>IFERROR(VLOOKUP(A690,'[1]ST-QA-ZZ5'!$C$5:$M$299,11,0),"Inspection at production line")</f>
        <v>Inspection at production line</v>
      </c>
      <c r="F690" s="93">
        <v>305</v>
      </c>
      <c r="G690" s="92" t="s">
        <v>814</v>
      </c>
      <c r="H690" s="92" t="s">
        <v>815</v>
      </c>
      <c r="I690" s="92" t="s">
        <v>760</v>
      </c>
      <c r="J690" s="92" t="s">
        <v>60</v>
      </c>
      <c r="K690" s="92" t="s">
        <v>633</v>
      </c>
    </row>
    <row r="691" spans="1:11" ht="13.8">
      <c r="A691" s="47" t="s">
        <v>3254</v>
      </c>
      <c r="B691" s="92" t="s">
        <v>3255</v>
      </c>
      <c r="C691" s="92" t="s">
        <v>3255</v>
      </c>
      <c r="D691" s="72" t="str">
        <f>IFERROR(VLOOKUP(A691,'[1]ST-QA-ZZ5'!$C$5:$M$299,11,0),"Inspection at production line")</f>
        <v>Inspection at production line</v>
      </c>
      <c r="F691" s="93">
        <v>306</v>
      </c>
      <c r="G691" s="92" t="s">
        <v>814</v>
      </c>
      <c r="H691" s="92" t="s">
        <v>817</v>
      </c>
      <c r="I691" s="92" t="s">
        <v>760</v>
      </c>
      <c r="J691" s="92" t="s">
        <v>60</v>
      </c>
      <c r="K691" s="92" t="s">
        <v>633</v>
      </c>
    </row>
    <row r="692" spans="1:11" ht="13.8">
      <c r="A692" s="47" t="s">
        <v>3256</v>
      </c>
      <c r="B692" s="92" t="s">
        <v>3257</v>
      </c>
      <c r="C692" s="92" t="s">
        <v>3257</v>
      </c>
      <c r="D692" s="72" t="str">
        <f>IFERROR(VLOOKUP(A692,'[1]ST-QA-ZZ5'!$C$5:$M$299,11,0),"Inspection at production line")</f>
        <v>Inspection at production line</v>
      </c>
      <c r="F692" s="93">
        <v>309</v>
      </c>
      <c r="G692" s="92" t="s">
        <v>828</v>
      </c>
      <c r="H692" s="92" t="s">
        <v>829</v>
      </c>
      <c r="I692" s="92" t="s">
        <v>760</v>
      </c>
      <c r="J692" s="92" t="s">
        <v>60</v>
      </c>
      <c r="K692" s="92" t="s">
        <v>633</v>
      </c>
    </row>
    <row r="693" spans="1:11" ht="13.8">
      <c r="A693" s="47" t="s">
        <v>3258</v>
      </c>
      <c r="B693" s="92" t="s">
        <v>3259</v>
      </c>
      <c r="C693" s="92" t="s">
        <v>3259</v>
      </c>
      <c r="D693" s="72" t="str">
        <f>IFERROR(VLOOKUP(A693,'[1]ST-QA-ZZ5'!$C$5:$M$299,11,0),"Inspection at production line")</f>
        <v>Inspection at production line</v>
      </c>
      <c r="F693" s="93">
        <v>310</v>
      </c>
      <c r="G693" s="92" t="s">
        <v>819</v>
      </c>
      <c r="H693" s="92" t="s">
        <v>831</v>
      </c>
      <c r="I693" s="92" t="s">
        <v>760</v>
      </c>
      <c r="J693" s="92" t="s">
        <v>60</v>
      </c>
      <c r="K693" s="92" t="s">
        <v>633</v>
      </c>
    </row>
    <row r="694" spans="1:11" ht="13.8">
      <c r="A694" s="47" t="s">
        <v>3260</v>
      </c>
      <c r="B694" s="92" t="s">
        <v>3261</v>
      </c>
      <c r="C694" s="92" t="s">
        <v>3261</v>
      </c>
      <c r="D694" s="72" t="str">
        <f>IFERROR(VLOOKUP(A694,'[1]ST-QA-ZZ5'!$C$5:$M$299,11,0),"Inspection at production line")</f>
        <v>Inspection at production line</v>
      </c>
      <c r="F694" s="93">
        <v>311</v>
      </c>
      <c r="G694" s="92" t="s">
        <v>819</v>
      </c>
      <c r="H694" s="92" t="s">
        <v>832</v>
      </c>
      <c r="I694" s="92" t="s">
        <v>760</v>
      </c>
      <c r="J694" s="92" t="s">
        <v>60</v>
      </c>
      <c r="K694" s="92" t="s">
        <v>633</v>
      </c>
    </row>
    <row r="695" spans="1:11" ht="13.8">
      <c r="A695" s="47" t="s">
        <v>3262</v>
      </c>
      <c r="B695" s="92" t="s">
        <v>3263</v>
      </c>
      <c r="C695" s="92" t="s">
        <v>3263</v>
      </c>
      <c r="D695" s="72" t="str">
        <f>IFERROR(VLOOKUP(A695,'[1]ST-QA-ZZ5'!$C$5:$M$299,11,0),"Inspection at production line")</f>
        <v>Inspection at production line</v>
      </c>
      <c r="F695" s="93">
        <v>313</v>
      </c>
      <c r="G695" s="92" t="s">
        <v>83</v>
      </c>
      <c r="H695" s="92" t="s">
        <v>833</v>
      </c>
      <c r="I695" s="92" t="s">
        <v>760</v>
      </c>
      <c r="J695" s="92" t="s">
        <v>60</v>
      </c>
      <c r="K695" s="92" t="s">
        <v>633</v>
      </c>
    </row>
    <row r="696" spans="1:11" ht="13.8">
      <c r="A696" s="47" t="s">
        <v>3264</v>
      </c>
      <c r="B696" s="92" t="s">
        <v>3265</v>
      </c>
      <c r="C696" s="92" t="s">
        <v>3265</v>
      </c>
      <c r="D696" s="72" t="str">
        <f>IFERROR(VLOOKUP(A696,'[1]ST-QA-ZZ5'!$C$5:$M$299,11,0),"Inspection at production line")</f>
        <v>Inspection at production line</v>
      </c>
      <c r="F696" s="93">
        <v>314</v>
      </c>
      <c r="G696" s="92" t="s">
        <v>279</v>
      </c>
      <c r="H696" s="92" t="s">
        <v>834</v>
      </c>
      <c r="I696" s="92" t="s">
        <v>760</v>
      </c>
      <c r="J696" s="92" t="s">
        <v>60</v>
      </c>
      <c r="K696" s="92" t="s">
        <v>633</v>
      </c>
    </row>
    <row r="697" spans="1:11" ht="13.8">
      <c r="A697" s="47" t="s">
        <v>3266</v>
      </c>
      <c r="B697" s="92" t="s">
        <v>857</v>
      </c>
      <c r="C697" s="92" t="s">
        <v>3267</v>
      </c>
      <c r="D697" s="72" t="str">
        <f>IFERROR(VLOOKUP(A697,'[1]ST-QA-ZZ5'!$C$5:$M$299,11,0),"Inspection at production line")</f>
        <v>Inspection at production line</v>
      </c>
      <c r="F697" s="93">
        <v>315</v>
      </c>
      <c r="G697" s="92" t="s">
        <v>279</v>
      </c>
      <c r="H697" s="92" t="s">
        <v>834</v>
      </c>
      <c r="I697" s="92" t="s">
        <v>760</v>
      </c>
      <c r="J697" s="92" t="s">
        <v>60</v>
      </c>
      <c r="K697" s="92" t="s">
        <v>633</v>
      </c>
    </row>
    <row r="698" spans="1:11" ht="13.8">
      <c r="A698" s="47" t="s">
        <v>3268</v>
      </c>
      <c r="B698" s="92" t="s">
        <v>3269</v>
      </c>
      <c r="C698" s="92" t="s">
        <v>3269</v>
      </c>
      <c r="D698" s="72" t="str">
        <f>IFERROR(VLOOKUP(A698,'[1]ST-QA-ZZ5'!$C$5:$M$299,11,0),"Inspection at production line")</f>
        <v>Inspection at production line</v>
      </c>
      <c r="F698" s="93">
        <v>316</v>
      </c>
      <c r="G698" s="92" t="s">
        <v>90</v>
      </c>
      <c r="H698" s="92" t="s">
        <v>834</v>
      </c>
      <c r="I698" s="92" t="s">
        <v>760</v>
      </c>
      <c r="J698" s="92" t="s">
        <v>60</v>
      </c>
      <c r="K698" s="92" t="s">
        <v>633</v>
      </c>
    </row>
    <row r="699" spans="1:11" ht="13.8">
      <c r="A699" s="47" t="s">
        <v>3270</v>
      </c>
      <c r="B699" s="92" t="s">
        <v>3271</v>
      </c>
      <c r="C699" s="92" t="s">
        <v>3271</v>
      </c>
      <c r="D699" s="72" t="str">
        <f>IFERROR(VLOOKUP(A699,'[1]ST-QA-ZZ5'!$C$5:$M$299,11,0),"Inspection at production line")</f>
        <v>Inspection at production line</v>
      </c>
      <c r="F699" s="93">
        <v>320</v>
      </c>
      <c r="G699" s="92" t="s">
        <v>75</v>
      </c>
      <c r="H699" s="92" t="s">
        <v>836</v>
      </c>
      <c r="I699" s="92" t="s">
        <v>760</v>
      </c>
      <c r="J699" s="92" t="s">
        <v>60</v>
      </c>
      <c r="K699" s="92" t="s">
        <v>633</v>
      </c>
    </row>
    <row r="700" spans="1:11" ht="13.8">
      <c r="A700" s="47" t="s">
        <v>3272</v>
      </c>
      <c r="B700" s="92" t="s">
        <v>3273</v>
      </c>
      <c r="C700" s="92" t="s">
        <v>3273</v>
      </c>
      <c r="D700" s="72" t="str">
        <f>IFERROR(VLOOKUP(A700,'[1]ST-QA-ZZ5'!$C$5:$M$299,11,0),"Inspection at production line")</f>
        <v>Inspection at production line</v>
      </c>
      <c r="F700" s="93">
        <v>321</v>
      </c>
      <c r="G700" s="92" t="s">
        <v>90</v>
      </c>
      <c r="H700" s="92" t="s">
        <v>837</v>
      </c>
      <c r="I700" s="92" t="s">
        <v>760</v>
      </c>
      <c r="J700" s="92" t="s">
        <v>60</v>
      </c>
      <c r="K700" s="92" t="s">
        <v>633</v>
      </c>
    </row>
    <row r="701" spans="1:11" ht="13.8">
      <c r="A701" s="47" t="s">
        <v>3274</v>
      </c>
      <c r="B701" s="92" t="s">
        <v>3275</v>
      </c>
      <c r="C701" s="92" t="s">
        <v>3275</v>
      </c>
      <c r="D701" s="72" t="str">
        <f>IFERROR(VLOOKUP(A701,'[1]ST-QA-ZZ5'!$C$5:$M$299,11,0),"Inspection at production line")</f>
        <v>Inspection at production line</v>
      </c>
      <c r="F701" s="92">
        <v>601</v>
      </c>
      <c r="G701" s="92" t="s">
        <v>3280</v>
      </c>
      <c r="H701" s="92" t="s">
        <v>3280</v>
      </c>
      <c r="I701" s="92" t="s">
        <v>3281</v>
      </c>
      <c r="J701" s="92" t="s">
        <v>71</v>
      </c>
      <c r="K701" s="92" t="s">
        <v>633</v>
      </c>
    </row>
    <row r="702" spans="1:11" ht="13.8">
      <c r="A702" s="47" t="s">
        <v>3276</v>
      </c>
      <c r="B702" s="92" t="s">
        <v>857</v>
      </c>
      <c r="C702" s="92" t="s">
        <v>3277</v>
      </c>
      <c r="D702" s="72" t="str">
        <f>IFERROR(VLOOKUP(A702,'[1]ST-QA-ZZ5'!$C$5:$M$299,11,0),"Inspection at production line")</f>
        <v>Inspection at production line</v>
      </c>
      <c r="F702" s="92">
        <v>602</v>
      </c>
      <c r="G702" s="92" t="s">
        <v>2820</v>
      </c>
      <c r="H702" s="92" t="s">
        <v>2820</v>
      </c>
      <c r="I702" s="92" t="s">
        <v>3281</v>
      </c>
      <c r="J702" s="92" t="s">
        <v>71</v>
      </c>
      <c r="K702" s="92" t="s">
        <v>633</v>
      </c>
    </row>
    <row r="703" spans="1:11" ht="13.8">
      <c r="A703" s="47" t="s">
        <v>3278</v>
      </c>
      <c r="B703" s="92" t="s">
        <v>3279</v>
      </c>
      <c r="C703" s="92" t="s">
        <v>3279</v>
      </c>
      <c r="D703" s="72" t="str">
        <f>IFERROR(VLOOKUP(A703,'[1]ST-QA-ZZ5'!$C$5:$M$299,11,0),"Inspection at production line")</f>
        <v>Inspection at production line</v>
      </c>
      <c r="F703" s="92">
        <v>604</v>
      </c>
      <c r="G703" s="92" t="s">
        <v>3286</v>
      </c>
      <c r="H703" s="92" t="s">
        <v>3286</v>
      </c>
      <c r="I703" s="92" t="s">
        <v>3281</v>
      </c>
      <c r="J703" s="92" t="s">
        <v>60</v>
      </c>
      <c r="K703" s="92" t="s">
        <v>633</v>
      </c>
    </row>
    <row r="704" spans="1:11" ht="13.8">
      <c r="A704" s="47" t="s">
        <v>3282</v>
      </c>
      <c r="B704" s="92" t="s">
        <v>3283</v>
      </c>
      <c r="C704" s="92" t="s">
        <v>3283</v>
      </c>
      <c r="D704" s="72" t="str">
        <f>IFERROR(VLOOKUP(A704,'[1]ST-QA-ZZ5'!$C$5:$M$299,11,0),"Inspection at production line")</f>
        <v>Inspection at production line</v>
      </c>
      <c r="F704" s="92">
        <v>605</v>
      </c>
      <c r="G704" s="92" t="s">
        <v>3289</v>
      </c>
      <c r="H704" s="92" t="s">
        <v>3289</v>
      </c>
      <c r="I704" s="92" t="s">
        <v>3281</v>
      </c>
      <c r="J704" s="92" t="s">
        <v>60</v>
      </c>
      <c r="K704" s="92" t="s">
        <v>633</v>
      </c>
    </row>
    <row r="705" spans="1:11" ht="13.8">
      <c r="A705" s="47" t="s">
        <v>3284</v>
      </c>
      <c r="B705" s="92" t="s">
        <v>3285</v>
      </c>
      <c r="C705" s="92" t="s">
        <v>3285</v>
      </c>
      <c r="D705" s="72" t="str">
        <f>IFERROR(VLOOKUP(A705,'[1]ST-QA-ZZ5'!$C$5:$M$299,11,0),"Inspection at production line")</f>
        <v>Inspection at production line</v>
      </c>
      <c r="F705" s="92">
        <v>606</v>
      </c>
      <c r="G705" s="92" t="s">
        <v>3292</v>
      </c>
      <c r="H705" s="92" t="s">
        <v>3292</v>
      </c>
      <c r="I705" s="92" t="s">
        <v>3281</v>
      </c>
      <c r="J705" s="92" t="s">
        <v>60</v>
      </c>
      <c r="K705" s="92" t="s">
        <v>633</v>
      </c>
    </row>
    <row r="706" spans="1:11" ht="13.8">
      <c r="A706" s="47" t="s">
        <v>3287</v>
      </c>
      <c r="B706" s="92" t="s">
        <v>857</v>
      </c>
      <c r="C706" s="92" t="s">
        <v>3288</v>
      </c>
      <c r="D706" s="72" t="str">
        <f>IFERROR(VLOOKUP(A706,'[1]ST-QA-ZZ5'!$C$5:$M$299,11,0),"Inspection at production line")</f>
        <v>Inspection at production line</v>
      </c>
      <c r="F706" s="92">
        <v>607</v>
      </c>
      <c r="G706" s="92" t="s">
        <v>3294</v>
      </c>
      <c r="H706" s="92" t="s">
        <v>3294</v>
      </c>
      <c r="I706" s="92" t="s">
        <v>3281</v>
      </c>
      <c r="J706" s="92" t="s">
        <v>60</v>
      </c>
      <c r="K706" s="92" t="s">
        <v>633</v>
      </c>
    </row>
    <row r="707" spans="1:11" ht="13.8">
      <c r="A707" s="47" t="s">
        <v>3290</v>
      </c>
      <c r="B707" s="92" t="s">
        <v>3291</v>
      </c>
      <c r="C707" s="92" t="s">
        <v>3291</v>
      </c>
      <c r="D707" s="72" t="str">
        <f>IFERROR(VLOOKUP(A707,'[1]ST-QA-ZZ5'!$C$5:$M$299,11,0),"Inspection at production line")</f>
        <v>Inspection at production line</v>
      </c>
      <c r="F707" s="92">
        <v>608</v>
      </c>
      <c r="G707" s="92" t="s">
        <v>3297</v>
      </c>
      <c r="H707" s="92" t="s">
        <v>3297</v>
      </c>
      <c r="I707" s="92" t="s">
        <v>3281</v>
      </c>
      <c r="J707" s="92" t="s">
        <v>60</v>
      </c>
      <c r="K707" s="92" t="s">
        <v>633</v>
      </c>
    </row>
    <row r="708" spans="1:11" ht="13.8">
      <c r="A708" s="47" t="s">
        <v>3293</v>
      </c>
      <c r="B708" s="92" t="s">
        <v>1909</v>
      </c>
      <c r="C708" s="92" t="s">
        <v>1914</v>
      </c>
      <c r="D708" s="72" t="str">
        <f>IFERROR(VLOOKUP(A708,'[1]ST-QA-ZZ5'!$C$5:$M$299,11,0),"Inspection at production line")</f>
        <v>Inspection at production line</v>
      </c>
      <c r="F708" s="92">
        <v>609</v>
      </c>
      <c r="G708" s="92" t="s">
        <v>3298</v>
      </c>
      <c r="H708" s="92" t="s">
        <v>3298</v>
      </c>
      <c r="I708" s="92" t="s">
        <v>3281</v>
      </c>
      <c r="J708" s="92" t="s">
        <v>60</v>
      </c>
      <c r="K708" s="92" t="s">
        <v>633</v>
      </c>
    </row>
    <row r="709" spans="1:11" ht="13.8">
      <c r="A709" s="47" t="s">
        <v>3295</v>
      </c>
      <c r="B709" s="92" t="s">
        <v>3296</v>
      </c>
      <c r="C709" s="92" t="s">
        <v>1910</v>
      </c>
      <c r="D709" s="72" t="str">
        <f>IFERROR(VLOOKUP(A709,'[1]ST-QA-ZZ5'!$C$5:$M$299,11,0),"Inspection at production line")</f>
        <v>Inspection at production line</v>
      </c>
      <c r="F709" s="92">
        <v>610</v>
      </c>
      <c r="G709" s="92" t="s">
        <v>3301</v>
      </c>
      <c r="H709" s="92" t="s">
        <v>3301</v>
      </c>
      <c r="I709" s="92" t="s">
        <v>3281</v>
      </c>
      <c r="J709" s="92" t="s">
        <v>60</v>
      </c>
      <c r="K709" s="92" t="s">
        <v>633</v>
      </c>
    </row>
    <row r="710" spans="1:11" ht="13.8">
      <c r="A710" s="47" t="s">
        <v>2812</v>
      </c>
      <c r="B710" s="92" t="s">
        <v>905</v>
      </c>
      <c r="C710" s="92" t="s">
        <v>2813</v>
      </c>
      <c r="D710" s="72" t="str">
        <f>IFERROR(VLOOKUP(A710,'[1]ST-QA-ZZ5'!$C$5:$M$299,11,0),"Inspection at production line")</f>
        <v>Inspection at production line</v>
      </c>
      <c r="F710" s="92">
        <v>611</v>
      </c>
      <c r="G710" s="92" t="s">
        <v>3304</v>
      </c>
      <c r="H710" s="92" t="s">
        <v>3304</v>
      </c>
      <c r="I710" s="92" t="s">
        <v>3281</v>
      </c>
      <c r="J710" s="92" t="s">
        <v>60</v>
      </c>
      <c r="K710" s="92" t="s">
        <v>633</v>
      </c>
    </row>
    <row r="711" spans="1:11" ht="13.8">
      <c r="A711" s="47" t="s">
        <v>3299</v>
      </c>
      <c r="B711" s="92" t="s">
        <v>941</v>
      </c>
      <c r="C711" s="92" t="s">
        <v>3300</v>
      </c>
      <c r="D711" s="72" t="str">
        <f>IFERROR(VLOOKUP(A711,'[1]ST-QA-ZZ5'!$C$5:$M$299,11,0),"Inspection at production line")</f>
        <v>Inspection at production line</v>
      </c>
      <c r="F711" s="92">
        <v>612</v>
      </c>
      <c r="G711" s="92" t="s">
        <v>3307</v>
      </c>
      <c r="H711" s="92" t="s">
        <v>3307</v>
      </c>
      <c r="I711" s="92" t="s">
        <v>3281</v>
      </c>
      <c r="J711" s="92" t="s">
        <v>60</v>
      </c>
      <c r="K711" s="92" t="s">
        <v>633</v>
      </c>
    </row>
    <row r="712" spans="1:11" ht="13.8">
      <c r="A712" s="47" t="s">
        <v>3302</v>
      </c>
      <c r="B712" s="92" t="s">
        <v>1122</v>
      </c>
      <c r="C712" s="92" t="s">
        <v>3303</v>
      </c>
      <c r="D712" s="72" t="str">
        <f>IFERROR(VLOOKUP(A712,'[1]ST-QA-ZZ5'!$C$5:$M$299,11,0),"Inspection at production line")</f>
        <v>Inspection at production line</v>
      </c>
      <c r="F712" s="92">
        <v>613</v>
      </c>
      <c r="G712" s="92" t="s">
        <v>3311</v>
      </c>
      <c r="H712" s="92" t="s">
        <v>3311</v>
      </c>
      <c r="I712" s="92" t="s">
        <v>3281</v>
      </c>
      <c r="J712" s="92" t="s">
        <v>60</v>
      </c>
      <c r="K712" s="92" t="s">
        <v>633</v>
      </c>
    </row>
    <row r="713" spans="1:11" ht="13.8">
      <c r="A713" s="47" t="s">
        <v>3305</v>
      </c>
      <c r="B713" s="92" t="s">
        <v>2785</v>
      </c>
      <c r="C713" s="92" t="s">
        <v>3306</v>
      </c>
      <c r="D713" s="72" t="str">
        <f>IFERROR(VLOOKUP(A713,'[1]ST-QA-ZZ5'!$C$5:$M$299,11,0),"Inspection at production line")</f>
        <v>Inspection at production line</v>
      </c>
      <c r="F713" s="92">
        <v>614</v>
      </c>
      <c r="G713" s="92" t="s">
        <v>3314</v>
      </c>
      <c r="H713" s="92" t="s">
        <v>3314</v>
      </c>
      <c r="I713" s="92" t="s">
        <v>3281</v>
      </c>
      <c r="J713" s="92" t="s">
        <v>60</v>
      </c>
      <c r="K713" s="92" t="s">
        <v>633</v>
      </c>
    </row>
    <row r="714" spans="1:11" ht="13.8">
      <c r="A714" s="47" t="s">
        <v>3308</v>
      </c>
      <c r="B714" s="92" t="s">
        <v>3309</v>
      </c>
      <c r="C714" s="92" t="s">
        <v>3310</v>
      </c>
      <c r="D714" s="72" t="str">
        <f>IFERROR(VLOOKUP(A714,'[1]ST-QA-ZZ5'!$C$5:$M$299,11,0),"Inspection at production line")</f>
        <v>Inspection at production line</v>
      </c>
      <c r="F714" s="92">
        <v>615</v>
      </c>
      <c r="G714" s="92" t="s">
        <v>2818</v>
      </c>
      <c r="H714" s="92" t="s">
        <v>2818</v>
      </c>
      <c r="I714" s="92" t="s">
        <v>3281</v>
      </c>
      <c r="J714" s="92" t="s">
        <v>60</v>
      </c>
      <c r="K714" s="92" t="s">
        <v>633</v>
      </c>
    </row>
    <row r="715" spans="1:11" ht="13.8">
      <c r="A715" s="47" t="s">
        <v>3312</v>
      </c>
      <c r="B715" s="92" t="s">
        <v>704</v>
      </c>
      <c r="C715" s="92" t="s">
        <v>3313</v>
      </c>
      <c r="D715" s="72" t="str">
        <f>IFERROR(VLOOKUP(A715,'[1]ST-QA-ZZ5'!$C$5:$M$299,11,0),"Inspection at production line")</f>
        <v>Inspection at production line</v>
      </c>
      <c r="F715" s="92">
        <v>616</v>
      </c>
      <c r="G715" s="92" t="s">
        <v>3319</v>
      </c>
      <c r="H715" s="92" t="s">
        <v>3319</v>
      </c>
      <c r="I715" s="92" t="s">
        <v>3281</v>
      </c>
      <c r="J715" s="92" t="s">
        <v>60</v>
      </c>
      <c r="K715" s="92" t="s">
        <v>633</v>
      </c>
    </row>
    <row r="716" spans="1:11" ht="13.8">
      <c r="A716" s="47" t="s">
        <v>3315</v>
      </c>
      <c r="B716" s="92" t="s">
        <v>900</v>
      </c>
      <c r="C716" s="92" t="s">
        <v>3316</v>
      </c>
      <c r="D716" s="72" t="str">
        <f>IFERROR(VLOOKUP(A716,'[1]ST-QA-ZZ5'!$C$5:$M$299,11,0),"Inspection at production line")</f>
        <v>Inspection at production line</v>
      </c>
      <c r="F716" s="92">
        <v>617</v>
      </c>
      <c r="G716" s="92" t="s">
        <v>3322</v>
      </c>
      <c r="H716" s="92" t="s">
        <v>3322</v>
      </c>
      <c r="I716" s="92" t="s">
        <v>3281</v>
      </c>
      <c r="J716" s="92" t="s">
        <v>71</v>
      </c>
      <c r="K716" s="92" t="s">
        <v>633</v>
      </c>
    </row>
    <row r="717" spans="1:11" ht="13.8">
      <c r="A717" s="47" t="s">
        <v>3317</v>
      </c>
      <c r="B717" s="92" t="s">
        <v>2511</v>
      </c>
      <c r="C717" s="92" t="s">
        <v>3318</v>
      </c>
      <c r="D717" s="72" t="str">
        <f>IFERROR(VLOOKUP(A717,'[1]ST-QA-ZZ5'!$C$5:$M$299,11,0),"Inspection at production line")</f>
        <v>Inspection at production line</v>
      </c>
      <c r="F717" s="92">
        <v>618</v>
      </c>
      <c r="G717" s="92" t="s">
        <v>3325</v>
      </c>
      <c r="H717" s="92" t="s">
        <v>3325</v>
      </c>
      <c r="I717" s="92" t="s">
        <v>3281</v>
      </c>
      <c r="J717" s="92" t="s">
        <v>71</v>
      </c>
      <c r="K717" s="92" t="s">
        <v>633</v>
      </c>
    </row>
    <row r="718" spans="1:11" ht="13.8">
      <c r="A718" s="47" t="s">
        <v>3320</v>
      </c>
      <c r="B718" s="92" t="s">
        <v>2546</v>
      </c>
      <c r="C718" s="92" t="s">
        <v>3321</v>
      </c>
      <c r="D718" s="72" t="str">
        <f>IFERROR(VLOOKUP(A718,'[1]ST-QA-ZZ5'!$C$5:$M$299,11,0),"Inspection at production line")</f>
        <v>Inspection at production line</v>
      </c>
      <c r="F718" s="92">
        <v>619</v>
      </c>
      <c r="G718" s="92" t="s">
        <v>3319</v>
      </c>
      <c r="H718" s="92" t="s">
        <v>3319</v>
      </c>
      <c r="I718" s="92" t="s">
        <v>3281</v>
      </c>
      <c r="J718" s="92" t="s">
        <v>60</v>
      </c>
      <c r="K718" s="92" t="s">
        <v>633</v>
      </c>
    </row>
    <row r="719" spans="1:11" ht="13.8">
      <c r="A719" s="47" t="s">
        <v>3323</v>
      </c>
      <c r="B719" s="92" t="s">
        <v>946</v>
      </c>
      <c r="C719" s="92" t="s">
        <v>3324</v>
      </c>
      <c r="D719" s="72" t="str">
        <f>IFERROR(VLOOKUP(A719,'[1]ST-QA-ZZ5'!$C$5:$M$299,11,0),"Inspection at production line")</f>
        <v>Inspection at production line</v>
      </c>
      <c r="F719" s="92">
        <v>620</v>
      </c>
      <c r="G719" s="92" t="s">
        <v>2820</v>
      </c>
      <c r="H719" s="92" t="s">
        <v>2820</v>
      </c>
      <c r="I719" s="92" t="s">
        <v>3281</v>
      </c>
      <c r="J719" s="92" t="s">
        <v>71</v>
      </c>
      <c r="K719" s="92" t="s">
        <v>633</v>
      </c>
    </row>
    <row r="720" spans="1:11" ht="13.8">
      <c r="A720" s="47" t="s">
        <v>3326</v>
      </c>
      <c r="B720" s="92" t="s">
        <v>1273</v>
      </c>
      <c r="C720" s="92" t="s">
        <v>3327</v>
      </c>
      <c r="D720" s="72" t="str">
        <f>IFERROR(VLOOKUP(A720,'[1]ST-QA-ZZ5'!$C$5:$M$299,11,0),"Inspection at production line")</f>
        <v>Inspection at production line</v>
      </c>
      <c r="F720" s="92">
        <v>621</v>
      </c>
      <c r="G720" s="92" t="s">
        <v>2818</v>
      </c>
      <c r="H720" s="92" t="s">
        <v>2818</v>
      </c>
      <c r="I720" s="92" t="s">
        <v>3281</v>
      </c>
      <c r="J720" s="92" t="s">
        <v>60</v>
      </c>
      <c r="K720" s="92" t="s">
        <v>633</v>
      </c>
    </row>
    <row r="721" spans="1:11" ht="13.8">
      <c r="A721" s="47" t="s">
        <v>3328</v>
      </c>
      <c r="B721" s="92" t="s">
        <v>953</v>
      </c>
      <c r="C721" s="92" t="s">
        <v>3329</v>
      </c>
      <c r="D721" s="72" t="str">
        <f>IFERROR(VLOOKUP(A721,'[1]ST-QA-ZZ5'!$C$5:$M$299,11,0),"Inspection at production line")</f>
        <v>Inspection at production line</v>
      </c>
      <c r="F721" s="92">
        <v>622</v>
      </c>
      <c r="G721" s="92" t="s">
        <v>3333</v>
      </c>
      <c r="H721" s="92" t="s">
        <v>3333</v>
      </c>
      <c r="I721" s="92" t="s">
        <v>3281</v>
      </c>
      <c r="J721" s="92" t="s">
        <v>60</v>
      </c>
      <c r="K721" s="92" t="s">
        <v>633</v>
      </c>
    </row>
    <row r="722" spans="1:11" ht="13.8">
      <c r="A722" s="47" t="s">
        <v>3330</v>
      </c>
      <c r="B722" s="92" t="s">
        <v>957</v>
      </c>
      <c r="C722" s="92" t="s">
        <v>3329</v>
      </c>
      <c r="D722" s="72" t="str">
        <f>IFERROR(VLOOKUP(A722,'[1]ST-QA-ZZ5'!$C$5:$M$299,11,0),"Inspection at production line")</f>
        <v>Inspection at production line</v>
      </c>
      <c r="F722" s="92">
        <v>623</v>
      </c>
      <c r="G722" s="92" t="s">
        <v>3289</v>
      </c>
      <c r="H722" s="92" t="s">
        <v>3289</v>
      </c>
      <c r="I722" s="92" t="s">
        <v>3281</v>
      </c>
      <c r="J722" s="92" t="s">
        <v>60</v>
      </c>
      <c r="K722" s="92" t="s">
        <v>633</v>
      </c>
    </row>
    <row r="723" spans="1:11" ht="13.8">
      <c r="A723" s="47" t="s">
        <v>3331</v>
      </c>
      <c r="B723" s="92" t="s">
        <v>961</v>
      </c>
      <c r="C723" s="92" t="s">
        <v>3332</v>
      </c>
      <c r="D723" s="72" t="str">
        <f>IFERROR(VLOOKUP(A723,'[1]ST-QA-ZZ5'!$C$5:$M$299,11,0),"Inspection at production line")</f>
        <v>Inspection at production line</v>
      </c>
      <c r="F723" s="92">
        <v>624</v>
      </c>
      <c r="G723" s="92" t="s">
        <v>3292</v>
      </c>
      <c r="H723" s="92" t="s">
        <v>3292</v>
      </c>
      <c r="I723" s="92" t="s">
        <v>3281</v>
      </c>
      <c r="J723" s="92" t="s">
        <v>60</v>
      </c>
      <c r="K723" s="92" t="s">
        <v>633</v>
      </c>
    </row>
    <row r="724" spans="1:11" ht="13.8">
      <c r="A724" s="47" t="s">
        <v>3334</v>
      </c>
      <c r="B724" s="92" t="s">
        <v>797</v>
      </c>
      <c r="C724" s="92" t="s">
        <v>3335</v>
      </c>
      <c r="D724" s="72" t="str">
        <f>IFERROR(VLOOKUP(A724,'[1]ST-QA-ZZ5'!$C$5:$M$299,11,0),"Inspection at production line")</f>
        <v>Inspection at production line</v>
      </c>
      <c r="F724" s="92">
        <v>625</v>
      </c>
      <c r="G724" s="92" t="s">
        <v>3294</v>
      </c>
      <c r="H724" s="92" t="s">
        <v>3294</v>
      </c>
      <c r="I724" s="92" t="s">
        <v>3281</v>
      </c>
      <c r="J724" s="92" t="s">
        <v>60</v>
      </c>
      <c r="K724" s="92" t="s">
        <v>633</v>
      </c>
    </row>
    <row r="725" spans="1:11" ht="13.8">
      <c r="A725" s="47" t="s">
        <v>3336</v>
      </c>
      <c r="B725" s="92" t="s">
        <v>3337</v>
      </c>
      <c r="C725" s="92" t="s">
        <v>3338</v>
      </c>
      <c r="D725" s="72" t="str">
        <f>IFERROR(VLOOKUP(A725,'[1]ST-QA-ZZ5'!$C$5:$M$299,11,0),"Inspection at production line")</f>
        <v>Inspection at production line</v>
      </c>
      <c r="F725" s="92">
        <v>626</v>
      </c>
      <c r="G725" s="92" t="s">
        <v>3297</v>
      </c>
      <c r="H725" s="92" t="s">
        <v>3297</v>
      </c>
      <c r="I725" s="92" t="s">
        <v>3281</v>
      </c>
      <c r="J725" s="92" t="s">
        <v>60</v>
      </c>
      <c r="K725" s="92" t="s">
        <v>633</v>
      </c>
    </row>
    <row r="726" spans="1:11" ht="13.8">
      <c r="A726" s="47" t="s">
        <v>3339</v>
      </c>
      <c r="B726" s="92" t="s">
        <v>68</v>
      </c>
      <c r="C726" s="92" t="s">
        <v>3340</v>
      </c>
      <c r="D726" s="72" t="str">
        <f>IFERROR(VLOOKUP(A726,'[1]ST-QA-ZZ5'!$C$5:$M$299,11,0),"Inspection at production line")</f>
        <v>Inspection at production line</v>
      </c>
      <c r="F726" s="92">
        <v>627</v>
      </c>
      <c r="G726" s="92" t="s">
        <v>3298</v>
      </c>
      <c r="H726" s="92" t="s">
        <v>3298</v>
      </c>
      <c r="I726" s="92" t="s">
        <v>3281</v>
      </c>
      <c r="J726" s="92" t="s">
        <v>60</v>
      </c>
      <c r="K726" s="92" t="s">
        <v>633</v>
      </c>
    </row>
    <row r="727" spans="1:11" ht="13.8">
      <c r="A727" s="47" t="s">
        <v>3341</v>
      </c>
      <c r="B727" s="92" t="s">
        <v>1257</v>
      </c>
      <c r="C727" s="92" t="s">
        <v>3342</v>
      </c>
      <c r="D727" s="72" t="str">
        <f>IFERROR(VLOOKUP(A727,'[1]ST-QA-ZZ5'!$C$5:$M$299,11,0),"Inspection at production line")</f>
        <v>Inspection at production line</v>
      </c>
      <c r="F727" s="92">
        <v>628</v>
      </c>
      <c r="G727" s="92" t="s">
        <v>3301</v>
      </c>
      <c r="H727" s="92" t="s">
        <v>3301</v>
      </c>
      <c r="I727" s="92" t="s">
        <v>3281</v>
      </c>
      <c r="J727" s="92" t="s">
        <v>60</v>
      </c>
      <c r="K727" s="92" t="s">
        <v>633</v>
      </c>
    </row>
    <row r="728" spans="1:11" ht="13.8">
      <c r="A728" s="47" t="s">
        <v>3343</v>
      </c>
      <c r="B728" s="92" t="s">
        <v>1273</v>
      </c>
      <c r="C728" s="92" t="s">
        <v>3344</v>
      </c>
      <c r="D728" s="72" t="str">
        <f>IFERROR(VLOOKUP(A728,'[1]ST-QA-ZZ5'!$C$5:$M$299,11,0),"Inspection at production line")</f>
        <v>Inspection at production line</v>
      </c>
      <c r="F728" s="92">
        <v>629</v>
      </c>
      <c r="G728" s="92" t="s">
        <v>3304</v>
      </c>
      <c r="H728" s="92" t="s">
        <v>3304</v>
      </c>
      <c r="I728" s="92" t="s">
        <v>3281</v>
      </c>
      <c r="J728" s="92" t="s">
        <v>60</v>
      </c>
      <c r="K728" s="92" t="s">
        <v>633</v>
      </c>
    </row>
    <row r="729" spans="1:11" ht="13.8">
      <c r="A729" s="47" t="s">
        <v>3345</v>
      </c>
      <c r="B729" s="92" t="s">
        <v>900</v>
      </c>
      <c r="C729" s="92" t="s">
        <v>3346</v>
      </c>
      <c r="D729" s="72" t="str">
        <f>IFERROR(VLOOKUP(A729,'[1]ST-QA-ZZ5'!$C$5:$M$299,11,0),"Inspection at production line")</f>
        <v>Inspection at production line</v>
      </c>
      <c r="F729" s="92">
        <v>630</v>
      </c>
      <c r="G729" s="92" t="s">
        <v>2818</v>
      </c>
      <c r="H729" s="92" t="s">
        <v>2818</v>
      </c>
      <c r="I729" s="92" t="s">
        <v>3281</v>
      </c>
      <c r="J729" s="92" t="s">
        <v>60</v>
      </c>
      <c r="K729" s="92" t="s">
        <v>633</v>
      </c>
    </row>
    <row r="730" spans="1:11" ht="13.8">
      <c r="A730" s="47" t="s">
        <v>3347</v>
      </c>
      <c r="B730" s="92" t="s">
        <v>794</v>
      </c>
      <c r="C730" s="92" t="s">
        <v>3348</v>
      </c>
      <c r="D730" s="72" t="str">
        <f>IFERROR(VLOOKUP(A730,'[1]ST-QA-ZZ5'!$C$5:$M$299,11,0),"Inspection at production line")</f>
        <v>Inspection at production line</v>
      </c>
      <c r="F730" s="92">
        <v>632</v>
      </c>
      <c r="G730" s="92" t="s">
        <v>2818</v>
      </c>
      <c r="H730" s="92" t="s">
        <v>2818</v>
      </c>
      <c r="I730" s="92" t="s">
        <v>3281</v>
      </c>
      <c r="J730" s="92" t="s">
        <v>60</v>
      </c>
      <c r="K730" s="92" t="s">
        <v>633</v>
      </c>
    </row>
    <row r="731" spans="1:11" ht="13.8">
      <c r="A731" s="47" t="s">
        <v>3349</v>
      </c>
      <c r="B731" s="92" t="s">
        <v>1257</v>
      </c>
      <c r="C731" s="92" t="s">
        <v>3350</v>
      </c>
      <c r="D731" s="72" t="str">
        <f>IFERROR(VLOOKUP(A731,'[1]ST-QA-ZZ5'!$C$5:$M$299,11,0),"Inspection at production line")</f>
        <v>Inspection at production line</v>
      </c>
      <c r="F731" s="92" t="s">
        <v>822</v>
      </c>
      <c r="G731" s="92" t="s">
        <v>819</v>
      </c>
      <c r="H731" s="92" t="s">
        <v>823</v>
      </c>
      <c r="I731" s="92" t="s">
        <v>760</v>
      </c>
      <c r="J731" s="92" t="s">
        <v>60</v>
      </c>
      <c r="K731" s="92" t="s">
        <v>633</v>
      </c>
    </row>
    <row r="732" spans="1:11" ht="13.8">
      <c r="A732" s="47" t="s">
        <v>3351</v>
      </c>
      <c r="B732" s="92" t="s">
        <v>2785</v>
      </c>
      <c r="C732" s="92" t="s">
        <v>3352</v>
      </c>
      <c r="D732" s="72" t="str">
        <f>IFERROR(VLOOKUP(A732,'[1]ST-QA-ZZ5'!$C$5:$M$299,11,0),"Inspection at production line")</f>
        <v>Inspection at production line</v>
      </c>
      <c r="F732" s="92" t="s">
        <v>825</v>
      </c>
      <c r="G732" s="92" t="s">
        <v>819</v>
      </c>
      <c r="H732" s="92" t="s">
        <v>826</v>
      </c>
      <c r="I732" s="92" t="s">
        <v>760</v>
      </c>
      <c r="J732" s="92" t="s">
        <v>60</v>
      </c>
      <c r="K732" s="92" t="s">
        <v>633</v>
      </c>
    </row>
    <row r="733" spans="1:11" ht="13.8">
      <c r="A733" s="47" t="s">
        <v>3353</v>
      </c>
      <c r="B733" s="92" t="s">
        <v>1472</v>
      </c>
      <c r="C733" s="92" t="s">
        <v>3354</v>
      </c>
      <c r="D733" s="72" t="str">
        <f>IFERROR(VLOOKUP(A733,'[1]ST-QA-ZZ5'!$C$5:$M$299,11,0),"Inspection at production line")</f>
        <v>Inspection at production line</v>
      </c>
      <c r="F733" s="92" t="s">
        <v>840</v>
      </c>
      <c r="G733" s="92" t="s">
        <v>68</v>
      </c>
      <c r="H733" s="92" t="s">
        <v>839</v>
      </c>
      <c r="I733" s="92" t="s">
        <v>760</v>
      </c>
      <c r="J733" s="92" t="s">
        <v>60</v>
      </c>
      <c r="K733" s="92" t="s">
        <v>633</v>
      </c>
    </row>
    <row r="734" spans="1:11" ht="13.8">
      <c r="A734" s="47" t="s">
        <v>3355</v>
      </c>
      <c r="B734" s="92" t="s">
        <v>83</v>
      </c>
      <c r="C734" s="92" t="s">
        <v>3356</v>
      </c>
      <c r="D734" s="72" t="str">
        <f>IFERROR(VLOOKUP(A734,'[1]ST-QA-ZZ5'!$C$5:$M$299,11,0),"Inspection at production line")</f>
        <v>Inspection at production line</v>
      </c>
      <c r="F734" s="92" t="s">
        <v>842</v>
      </c>
      <c r="G734" s="92" t="s">
        <v>843</v>
      </c>
      <c r="H734" s="92" t="s">
        <v>844</v>
      </c>
      <c r="I734" s="92" t="s">
        <v>760</v>
      </c>
      <c r="J734" s="92" t="s">
        <v>60</v>
      </c>
      <c r="K734" s="92" t="s">
        <v>633</v>
      </c>
    </row>
    <row r="735" spans="1:11" ht="13.8">
      <c r="A735" s="47" t="s">
        <v>2814</v>
      </c>
      <c r="B735" s="92" t="s">
        <v>849</v>
      </c>
      <c r="C735" s="92" t="s">
        <v>2815</v>
      </c>
      <c r="D735" s="72" t="str">
        <f>IFERROR(VLOOKUP(A735,'[1]ST-QA-ZZ5'!$C$5:$M$299,11,0),"Inspection at production line")</f>
        <v>Inspection at production line</v>
      </c>
      <c r="F735" s="92" t="s">
        <v>3361</v>
      </c>
      <c r="G735" s="92" t="s">
        <v>404</v>
      </c>
      <c r="H735" s="92" t="s">
        <v>992</v>
      </c>
      <c r="I735" s="92" t="s">
        <v>3362</v>
      </c>
      <c r="J735" s="92" t="s">
        <v>60</v>
      </c>
      <c r="K735" s="92" t="s">
        <v>633</v>
      </c>
    </row>
    <row r="736" spans="1:11" ht="13.8">
      <c r="A736" s="47" t="s">
        <v>3357</v>
      </c>
      <c r="B736" s="92" t="s">
        <v>849</v>
      </c>
      <c r="C736" s="92" t="s">
        <v>3358</v>
      </c>
      <c r="D736" s="72" t="str">
        <f>IFERROR(VLOOKUP(A736,'[1]ST-QA-ZZ5'!$C$5:$M$299,11,0),"Inspection at production line")</f>
        <v>Inspection at production line</v>
      </c>
      <c r="F736" s="92" t="s">
        <v>2484</v>
      </c>
      <c r="G736" s="92" t="s">
        <v>975</v>
      </c>
      <c r="H736" s="92" t="s">
        <v>2485</v>
      </c>
      <c r="I736" s="92" t="s">
        <v>3364</v>
      </c>
      <c r="J736" s="92" t="s">
        <v>71</v>
      </c>
      <c r="K736" s="92" t="s">
        <v>633</v>
      </c>
    </row>
    <row r="737" spans="1:11" ht="13.8">
      <c r="A737" s="47" t="s">
        <v>3359</v>
      </c>
      <c r="B737" s="92" t="s">
        <v>975</v>
      </c>
      <c r="C737" s="92" t="s">
        <v>3360</v>
      </c>
      <c r="D737" s="72" t="str">
        <f>IFERROR(VLOOKUP(A737,'[1]ST-QA-ZZ5'!$C$5:$M$299,11,0),"Inspection at production line")</f>
        <v>Inspection at production line</v>
      </c>
      <c r="F737" s="92" t="s">
        <v>2488</v>
      </c>
      <c r="G737" s="92" t="s">
        <v>2489</v>
      </c>
      <c r="H737" s="92" t="s">
        <v>2490</v>
      </c>
      <c r="I737" s="92" t="s">
        <v>3364</v>
      </c>
      <c r="J737" s="92" t="s">
        <v>71</v>
      </c>
      <c r="K737" s="92" t="s">
        <v>633</v>
      </c>
    </row>
    <row r="738" spans="1:11" ht="13.8">
      <c r="A738" s="47" t="s">
        <v>2817</v>
      </c>
      <c r="B738" s="92" t="s">
        <v>3363</v>
      </c>
      <c r="C738" s="92" t="s">
        <v>3037</v>
      </c>
      <c r="D738" s="72" t="str">
        <f>IFERROR(VLOOKUP(A738,'[1]ST-QA-ZZ5'!$C$5:$M$299,11,0),"Inspection at production line")</f>
        <v>Inspection at production line</v>
      </c>
      <c r="F738" s="92" t="s">
        <v>2494</v>
      </c>
      <c r="G738" s="92" t="s">
        <v>2489</v>
      </c>
      <c r="H738" s="92" t="s">
        <v>2495</v>
      </c>
      <c r="I738" s="92" t="s">
        <v>3364</v>
      </c>
      <c r="J738" s="92" t="s">
        <v>71</v>
      </c>
      <c r="K738" s="92" t="s">
        <v>633</v>
      </c>
    </row>
    <row r="739" spans="1:11" ht="13.8">
      <c r="A739" s="47" t="s">
        <v>3365</v>
      </c>
      <c r="B739" s="92" t="s">
        <v>3363</v>
      </c>
      <c r="C739" s="92" t="s">
        <v>3366</v>
      </c>
      <c r="D739" s="72" t="str">
        <f>IFERROR(VLOOKUP(A739,'[1]ST-QA-ZZ5'!$C$5:$M$299,11,0),"Inspection at production line")</f>
        <v>Inspection at production line</v>
      </c>
      <c r="F739" s="92" t="s">
        <v>2497</v>
      </c>
      <c r="G739" s="92" t="s">
        <v>957</v>
      </c>
      <c r="H739" s="92" t="s">
        <v>2498</v>
      </c>
      <c r="I739" s="92" t="s">
        <v>3364</v>
      </c>
      <c r="J739" s="92" t="s">
        <v>60</v>
      </c>
      <c r="K739" s="92" t="s">
        <v>633</v>
      </c>
    </row>
    <row r="740" spans="1:11" ht="13.8">
      <c r="A740" s="47" t="s">
        <v>3367</v>
      </c>
      <c r="B740" s="92" t="s">
        <v>941</v>
      </c>
      <c r="C740" s="92" t="s">
        <v>3368</v>
      </c>
      <c r="D740" s="72" t="str">
        <f>IFERROR(VLOOKUP(A740,'[1]ST-QA-ZZ5'!$C$5:$M$299,11,0),"Inspection at production line")</f>
        <v>Inspection at production line</v>
      </c>
      <c r="F740" s="92" t="s">
        <v>2501</v>
      </c>
      <c r="G740" s="92" t="s">
        <v>953</v>
      </c>
      <c r="H740" s="92" t="s">
        <v>2502</v>
      </c>
      <c r="I740" s="92" t="s">
        <v>3364</v>
      </c>
      <c r="J740" s="92" t="s">
        <v>60</v>
      </c>
      <c r="K740" s="92" t="s">
        <v>633</v>
      </c>
    </row>
    <row r="741" spans="1:11" ht="13.8">
      <c r="A741" s="47" t="s">
        <v>3369</v>
      </c>
      <c r="B741" s="92" t="s">
        <v>3309</v>
      </c>
      <c r="C741" s="92" t="s">
        <v>3370</v>
      </c>
      <c r="D741" s="72" t="str">
        <f>IFERROR(VLOOKUP(A741,'[1]ST-QA-ZZ5'!$C$5:$M$299,11,0),"Inspection at production line")</f>
        <v>Inspection at production line</v>
      </c>
      <c r="F741" s="92" t="s">
        <v>2506</v>
      </c>
      <c r="G741" s="92" t="s">
        <v>2507</v>
      </c>
      <c r="H741" s="92" t="s">
        <v>2508</v>
      </c>
      <c r="I741" s="92" t="s">
        <v>3364</v>
      </c>
      <c r="J741" s="92" t="s">
        <v>60</v>
      </c>
      <c r="K741" s="92" t="s">
        <v>633</v>
      </c>
    </row>
    <row r="742" spans="1:11" ht="13.8">
      <c r="A742" s="47" t="s">
        <v>3371</v>
      </c>
      <c r="B742" s="92" t="s">
        <v>3372</v>
      </c>
      <c r="C742" s="92" t="s">
        <v>3373</v>
      </c>
      <c r="D742" s="72" t="str">
        <f>IFERROR(VLOOKUP(A742,'[1]ST-QA-ZZ5'!$C$5:$M$299,11,0),"Inspection at production line")</f>
        <v>Inspection at production line</v>
      </c>
      <c r="F742" s="92" t="s">
        <v>2510</v>
      </c>
      <c r="G742" s="92" t="s">
        <v>2511</v>
      </c>
      <c r="H742" s="92" t="s">
        <v>2512</v>
      </c>
      <c r="I742" s="92" t="s">
        <v>3364</v>
      </c>
      <c r="J742" s="92" t="s">
        <v>60</v>
      </c>
      <c r="K742" s="92" t="s">
        <v>633</v>
      </c>
    </row>
    <row r="743" spans="1:11" ht="13.8">
      <c r="A743" s="47" t="s">
        <v>3374</v>
      </c>
      <c r="B743" s="92" t="s">
        <v>1273</v>
      </c>
      <c r="C743" s="92" t="s">
        <v>3375</v>
      </c>
      <c r="D743" s="72" t="str">
        <f>IFERROR(VLOOKUP(A743,'[1]ST-QA-ZZ5'!$C$5:$M$299,11,0),"Inspection at production line")</f>
        <v>Inspection at production line</v>
      </c>
      <c r="F743" s="92" t="s">
        <v>2516</v>
      </c>
      <c r="G743" s="92" t="s">
        <v>2511</v>
      </c>
      <c r="H743" s="92" t="s">
        <v>2517</v>
      </c>
      <c r="I743" s="92" t="s">
        <v>3364</v>
      </c>
      <c r="J743" s="92" t="s">
        <v>60</v>
      </c>
      <c r="K743" s="92" t="s">
        <v>633</v>
      </c>
    </row>
    <row r="744" spans="1:11" ht="13.8">
      <c r="A744" s="47" t="s">
        <v>3376</v>
      </c>
      <c r="B744" s="92" t="s">
        <v>3377</v>
      </c>
      <c r="C744" s="92" t="s">
        <v>2845</v>
      </c>
      <c r="D744" s="72" t="str">
        <f>IFERROR(VLOOKUP(A744,'[1]ST-QA-ZZ5'!$C$5:$M$299,11,0),"Inspection at production line")</f>
        <v>Inspection at production line</v>
      </c>
      <c r="F744" s="92" t="s">
        <v>2520</v>
      </c>
      <c r="G744" s="92" t="s">
        <v>2507</v>
      </c>
      <c r="H744" s="92" t="s">
        <v>2521</v>
      </c>
      <c r="I744" s="92" t="s">
        <v>3364</v>
      </c>
      <c r="J744" s="92" t="s">
        <v>60</v>
      </c>
      <c r="K744" s="92" t="s">
        <v>633</v>
      </c>
    </row>
    <row r="745" spans="1:11" ht="13.8">
      <c r="A745" s="47" t="s">
        <v>3378</v>
      </c>
      <c r="B745" s="92" t="s">
        <v>75</v>
      </c>
      <c r="C745" s="92" t="s">
        <v>3379</v>
      </c>
      <c r="D745" s="72" t="str">
        <f>IFERROR(VLOOKUP(A745,'[1]ST-QA-ZZ5'!$C$5:$M$299,11,0),"Inspection at production line")</f>
        <v>Inspection at production line</v>
      </c>
      <c r="F745" s="92" t="s">
        <v>2522</v>
      </c>
      <c r="G745" s="92" t="s">
        <v>953</v>
      </c>
      <c r="H745" s="92" t="s">
        <v>2523</v>
      </c>
      <c r="I745" s="92" t="s">
        <v>3364</v>
      </c>
      <c r="J745" s="92" t="s">
        <v>60</v>
      </c>
      <c r="K745" s="92" t="s">
        <v>633</v>
      </c>
    </row>
    <row r="746" spans="1:11" ht="13.8">
      <c r="A746" s="47" t="s">
        <v>3380</v>
      </c>
      <c r="B746" s="92" t="s">
        <v>75</v>
      </c>
      <c r="C746" s="92" t="s">
        <v>3381</v>
      </c>
      <c r="D746" s="72" t="str">
        <f>IFERROR(VLOOKUP(A746,'[1]ST-QA-ZZ5'!$C$5:$M$299,11,0),"Inspection at production line")</f>
        <v>Inspection at production line</v>
      </c>
      <c r="F746" s="92" t="s">
        <v>2525</v>
      </c>
      <c r="G746" s="92" t="s">
        <v>957</v>
      </c>
      <c r="H746" s="92" t="s">
        <v>2526</v>
      </c>
      <c r="I746" s="92" t="s">
        <v>3364</v>
      </c>
      <c r="J746" s="92" t="s">
        <v>60</v>
      </c>
      <c r="K746" s="92" t="s">
        <v>633</v>
      </c>
    </row>
    <row r="747" spans="1:11" ht="13.8">
      <c r="A747" s="47" t="s">
        <v>3382</v>
      </c>
      <c r="B747" s="92" t="s">
        <v>1554</v>
      </c>
      <c r="C747" s="92" t="s">
        <v>2845</v>
      </c>
      <c r="D747" s="72" t="str">
        <f>IFERROR(VLOOKUP(A747,'[1]ST-QA-ZZ5'!$C$5:$M$299,11,0),"Inspection at production line")</f>
        <v>Inspection at production line</v>
      </c>
      <c r="F747" s="92" t="s">
        <v>2529</v>
      </c>
      <c r="G747" s="92" t="s">
        <v>2507</v>
      </c>
      <c r="H747" s="92" t="s">
        <v>2530</v>
      </c>
      <c r="I747" s="92" t="s">
        <v>3364</v>
      </c>
      <c r="J747" s="92" t="s">
        <v>60</v>
      </c>
      <c r="K747" s="92" t="s">
        <v>633</v>
      </c>
    </row>
    <row r="748" spans="1:11" ht="13.8">
      <c r="A748" s="47" t="s">
        <v>2821</v>
      </c>
      <c r="B748" s="92" t="s">
        <v>2489</v>
      </c>
      <c r="C748" s="92" t="s">
        <v>2489</v>
      </c>
      <c r="D748" s="72" t="str">
        <f>IFERROR(VLOOKUP(A748,'[1]ST-QA-ZZ5'!$C$5:$M$299,11,0),"Inspection at production line")</f>
        <v>Inspection at production line</v>
      </c>
      <c r="F748" s="92" t="s">
        <v>2534</v>
      </c>
      <c r="G748" s="92" t="s">
        <v>957</v>
      </c>
      <c r="H748" s="92" t="s">
        <v>2535</v>
      </c>
      <c r="I748" s="92" t="s">
        <v>3364</v>
      </c>
      <c r="J748" s="92" t="s">
        <v>60</v>
      </c>
      <c r="K748" s="92" t="s">
        <v>633</v>
      </c>
    </row>
    <row r="749" spans="1:11" ht="13.8">
      <c r="A749" s="47" t="s">
        <v>3383</v>
      </c>
      <c r="B749" s="92" t="s">
        <v>1257</v>
      </c>
      <c r="C749" s="92" t="s">
        <v>3384</v>
      </c>
      <c r="D749" s="72" t="str">
        <f>IFERROR(VLOOKUP(A749,'[1]ST-QA-ZZ5'!$C$5:$M$299,11,0),"Inspection at production line")</f>
        <v>Inspection at production line</v>
      </c>
      <c r="F749" s="92" t="s">
        <v>2538</v>
      </c>
      <c r="G749" s="92" t="s">
        <v>104</v>
      </c>
      <c r="H749" s="92" t="s">
        <v>2539</v>
      </c>
      <c r="I749" s="92" t="s">
        <v>3364</v>
      </c>
      <c r="J749" s="92" t="s">
        <v>60</v>
      </c>
      <c r="K749" s="92" t="s">
        <v>633</v>
      </c>
    </row>
    <row r="750" spans="1:11" ht="13.8">
      <c r="A750" s="47" t="s">
        <v>2822</v>
      </c>
      <c r="B750" s="92" t="s">
        <v>90</v>
      </c>
      <c r="C750" s="92" t="s">
        <v>2823</v>
      </c>
      <c r="D750" s="72" t="str">
        <f>IFERROR(VLOOKUP(A750,'[1]ST-QA-ZZ5'!$C$5:$M$299,11,0),"Inspection at production line")</f>
        <v>Inspection at production line</v>
      </c>
      <c r="F750" s="92" t="s">
        <v>2542</v>
      </c>
      <c r="G750" s="92" t="s">
        <v>811</v>
      </c>
      <c r="H750" s="92" t="s">
        <v>208</v>
      </c>
      <c r="I750" s="92" t="s">
        <v>3364</v>
      </c>
      <c r="J750" s="92" t="s">
        <v>60</v>
      </c>
      <c r="K750" s="92" t="s">
        <v>633</v>
      </c>
    </row>
    <row r="751" spans="1:11" ht="13.8">
      <c r="A751" s="47" t="s">
        <v>3385</v>
      </c>
      <c r="B751" s="92" t="s">
        <v>1122</v>
      </c>
      <c r="C751" s="92" t="s">
        <v>3386</v>
      </c>
      <c r="D751" s="72" t="str">
        <f>IFERROR(VLOOKUP(A751,'[1]ST-QA-ZZ5'!$C$5:$M$299,11,0),"Inspection at production line")</f>
        <v>Inspection at production line</v>
      </c>
      <c r="F751" s="92" t="s">
        <v>2550</v>
      </c>
      <c r="G751" s="92" t="s">
        <v>797</v>
      </c>
      <c r="H751" s="92" t="s">
        <v>2551</v>
      </c>
      <c r="I751" s="92" t="s">
        <v>3364</v>
      </c>
      <c r="J751" s="92" t="s">
        <v>60</v>
      </c>
      <c r="K751" s="92" t="s">
        <v>633</v>
      </c>
    </row>
    <row r="752" spans="1:11" ht="13.8">
      <c r="A752" s="47" t="s">
        <v>3387</v>
      </c>
      <c r="B752" s="92" t="s">
        <v>857</v>
      </c>
      <c r="C752" s="92" t="s">
        <v>3388</v>
      </c>
      <c r="D752" s="72" t="str">
        <f>IFERROR(VLOOKUP(A752,'[1]ST-QA-ZZ5'!$C$5:$M$299,11,0),"Inspection at production line")</f>
        <v>Inspection at production line</v>
      </c>
      <c r="F752" s="92" t="s">
        <v>2554</v>
      </c>
      <c r="G752" s="92" t="s">
        <v>2507</v>
      </c>
      <c r="H752" s="92" t="s">
        <v>2555</v>
      </c>
      <c r="I752" s="92" t="s">
        <v>3364</v>
      </c>
      <c r="J752" s="92" t="s">
        <v>60</v>
      </c>
      <c r="K752" s="92" t="s">
        <v>633</v>
      </c>
    </row>
    <row r="753" spans="1:11" ht="13.8">
      <c r="A753" s="47" t="s">
        <v>3389</v>
      </c>
      <c r="B753" s="92" t="s">
        <v>857</v>
      </c>
      <c r="C753" s="92" t="s">
        <v>3390</v>
      </c>
      <c r="D753" s="72" t="str">
        <f>IFERROR(VLOOKUP(A753,'[1]ST-QA-ZZ5'!$C$5:$M$299,11,0),"Inspection at production line")</f>
        <v>Inspection at production line</v>
      </c>
      <c r="F753" s="92" t="s">
        <v>2558</v>
      </c>
      <c r="G753" s="92" t="s">
        <v>957</v>
      </c>
      <c r="H753" s="92" t="s">
        <v>2559</v>
      </c>
      <c r="I753" s="92" t="s">
        <v>3364</v>
      </c>
      <c r="J753" s="92" t="s">
        <v>60</v>
      </c>
      <c r="K753" s="92" t="s">
        <v>633</v>
      </c>
    </row>
    <row r="754" spans="1:11" ht="13.8">
      <c r="A754" s="47" t="s">
        <v>3391</v>
      </c>
      <c r="B754" s="92" t="s">
        <v>857</v>
      </c>
      <c r="C754" s="92" t="s">
        <v>3392</v>
      </c>
      <c r="D754" s="72" t="str">
        <f>IFERROR(VLOOKUP(A754,'[1]ST-QA-ZZ5'!$C$5:$M$299,11,0),"Inspection at production line")</f>
        <v>Inspection at production line</v>
      </c>
      <c r="F754" s="92" t="s">
        <v>2560</v>
      </c>
      <c r="G754" s="92" t="s">
        <v>953</v>
      </c>
      <c r="H754" s="92" t="s">
        <v>2561</v>
      </c>
      <c r="I754" s="92" t="s">
        <v>3364</v>
      </c>
      <c r="J754" s="92" t="s">
        <v>60</v>
      </c>
      <c r="K754" s="92" t="s">
        <v>633</v>
      </c>
    </row>
    <row r="755" spans="1:11" ht="13.8">
      <c r="A755" s="47" t="s">
        <v>3393</v>
      </c>
      <c r="B755" s="92" t="s">
        <v>900</v>
      </c>
      <c r="C755" s="92" t="s">
        <v>3394</v>
      </c>
      <c r="D755" s="72" t="str">
        <f>IFERROR(VLOOKUP(A755,'[1]ST-QA-ZZ5'!$C$5:$M$299,11,0),"Inspection at production line")</f>
        <v>Inspection at production line</v>
      </c>
      <c r="F755" s="92" t="s">
        <v>2563</v>
      </c>
      <c r="G755" s="92" t="s">
        <v>2511</v>
      </c>
      <c r="H755" s="92" t="s">
        <v>2564</v>
      </c>
      <c r="I755" s="92" t="s">
        <v>3364</v>
      </c>
      <c r="J755" s="92" t="s">
        <v>60</v>
      </c>
      <c r="K755" s="92" t="s">
        <v>633</v>
      </c>
    </row>
    <row r="756" spans="1:11" ht="13.8">
      <c r="A756" s="47" t="s">
        <v>3395</v>
      </c>
      <c r="B756" s="92" t="s">
        <v>1517</v>
      </c>
      <c r="C756" s="92" t="s">
        <v>3396</v>
      </c>
      <c r="D756" s="72" t="str">
        <f>IFERROR(VLOOKUP(A756,'[1]ST-QA-ZZ5'!$C$5:$M$299,11,0),"Inspection at production line")</f>
        <v>Inspection at production line</v>
      </c>
      <c r="F756" s="92" t="s">
        <v>2568</v>
      </c>
      <c r="G756" s="92" t="s">
        <v>949</v>
      </c>
      <c r="H756" s="92" t="s">
        <v>2569</v>
      </c>
      <c r="I756" s="92" t="s">
        <v>3364</v>
      </c>
      <c r="J756" s="92" t="s">
        <v>60</v>
      </c>
      <c r="K756" s="92" t="s">
        <v>633</v>
      </c>
    </row>
    <row r="757" spans="1:11" ht="13.8">
      <c r="A757" s="47" t="s">
        <v>3397</v>
      </c>
      <c r="B757" s="92" t="s">
        <v>704</v>
      </c>
      <c r="C757" s="92">
        <v>8109121</v>
      </c>
      <c r="D757" s="72" t="str">
        <f>IFERROR(VLOOKUP(A757,'[1]ST-QA-ZZ5'!$C$5:$M$299,11,0),"Inspection at production line")</f>
        <v>Inspection at production line</v>
      </c>
      <c r="F757" s="92" t="s">
        <v>2572</v>
      </c>
      <c r="G757" s="92" t="s">
        <v>905</v>
      </c>
      <c r="H757" s="92" t="s">
        <v>2573</v>
      </c>
      <c r="I757" s="92" t="s">
        <v>3364</v>
      </c>
      <c r="J757" s="92" t="s">
        <v>60</v>
      </c>
      <c r="K757" s="92" t="s">
        <v>633</v>
      </c>
    </row>
    <row r="758" spans="1:11" ht="13.8">
      <c r="A758" s="47" t="s">
        <v>3398</v>
      </c>
      <c r="B758" s="92" t="s">
        <v>704</v>
      </c>
      <c r="C758" s="92">
        <v>8109125</v>
      </c>
      <c r="D758" s="72" t="str">
        <f>IFERROR(VLOOKUP(A758,'[1]ST-QA-ZZ5'!$C$5:$M$299,11,0),"Inspection at production line")</f>
        <v>Inspection at production line</v>
      </c>
      <c r="F758" s="92" t="s">
        <v>2577</v>
      </c>
      <c r="G758" s="92" t="s">
        <v>2578</v>
      </c>
      <c r="H758" s="92" t="s">
        <v>2579</v>
      </c>
      <c r="I758" s="92" t="s">
        <v>3364</v>
      </c>
      <c r="J758" s="92" t="s">
        <v>60</v>
      </c>
      <c r="K758" s="92" t="s">
        <v>633</v>
      </c>
    </row>
    <row r="759" spans="1:11" ht="13.8">
      <c r="A759" s="47" t="s">
        <v>3399</v>
      </c>
      <c r="B759" s="92" t="s">
        <v>949</v>
      </c>
      <c r="C759" s="92" t="s">
        <v>2845</v>
      </c>
      <c r="D759" s="72" t="str">
        <f>IFERROR(VLOOKUP(A759,'[1]ST-QA-ZZ5'!$C$5:$M$299,11,0),"Inspection at production line")</f>
        <v>Inspection at production line</v>
      </c>
      <c r="F759" s="92" t="s">
        <v>2581</v>
      </c>
      <c r="G759" s="92" t="s">
        <v>2578</v>
      </c>
      <c r="H759" s="92" t="s">
        <v>2582</v>
      </c>
      <c r="I759" s="92" t="s">
        <v>3364</v>
      </c>
      <c r="J759" s="92" t="s">
        <v>60</v>
      </c>
      <c r="K759" s="92" t="s">
        <v>633</v>
      </c>
    </row>
    <row r="760" spans="1:11" ht="13.8">
      <c r="A760" s="47" t="s">
        <v>3400</v>
      </c>
      <c r="B760" s="92" t="s">
        <v>946</v>
      </c>
      <c r="C760" s="92" t="s">
        <v>3401</v>
      </c>
      <c r="D760" s="72" t="str">
        <f>IFERROR(VLOOKUP(A760,'[1]ST-QA-ZZ5'!$C$5:$M$299,11,0),"Inspection at production line")</f>
        <v>Inspection at production line</v>
      </c>
      <c r="F760" s="92" t="s">
        <v>2586</v>
      </c>
      <c r="G760" s="92" t="s">
        <v>2578</v>
      </c>
      <c r="H760" s="92" t="s">
        <v>2587</v>
      </c>
      <c r="I760" s="92" t="s">
        <v>3364</v>
      </c>
      <c r="J760" s="92" t="s">
        <v>60</v>
      </c>
      <c r="K760" s="92" t="s">
        <v>633</v>
      </c>
    </row>
    <row r="761" spans="1:11" ht="13.8">
      <c r="A761" s="47" t="s">
        <v>3402</v>
      </c>
      <c r="B761" s="92" t="s">
        <v>797</v>
      </c>
      <c r="C761" s="92" t="s">
        <v>3401</v>
      </c>
      <c r="D761" s="72" t="str">
        <f>IFERROR(VLOOKUP(A761,'[1]ST-QA-ZZ5'!$C$5:$M$299,11,0),"Inspection at production line")</f>
        <v>Inspection at production line</v>
      </c>
      <c r="F761" s="92" t="s">
        <v>2589</v>
      </c>
      <c r="G761" s="92" t="s">
        <v>2578</v>
      </c>
      <c r="H761" s="92" t="s">
        <v>2590</v>
      </c>
      <c r="I761" s="92" t="s">
        <v>3364</v>
      </c>
      <c r="J761" s="92" t="s">
        <v>60</v>
      </c>
      <c r="K761" s="92" t="s">
        <v>633</v>
      </c>
    </row>
    <row r="762" spans="1:11" ht="13.8">
      <c r="A762" s="47" t="s">
        <v>3403</v>
      </c>
      <c r="B762" s="92" t="s">
        <v>2546</v>
      </c>
      <c r="C762" s="92" t="s">
        <v>3404</v>
      </c>
      <c r="D762" s="72" t="str">
        <f>IFERROR(VLOOKUP(A762,'[1]ST-QA-ZZ5'!$C$5:$M$299,11,0),"Inspection at production line")</f>
        <v>Inspection at production line</v>
      </c>
      <c r="F762" s="92" t="s">
        <v>3408</v>
      </c>
      <c r="G762" s="92" t="s">
        <v>949</v>
      </c>
      <c r="H762" s="92" t="s">
        <v>3409</v>
      </c>
      <c r="I762" s="92" t="s">
        <v>70</v>
      </c>
      <c r="J762" s="92" t="s">
        <v>60</v>
      </c>
      <c r="K762" s="92" t="s">
        <v>633</v>
      </c>
    </row>
    <row r="763" spans="1:11" ht="13.8">
      <c r="A763" s="47" t="s">
        <v>3405</v>
      </c>
      <c r="B763" s="92" t="s">
        <v>2507</v>
      </c>
      <c r="C763" s="92" t="s">
        <v>3406</v>
      </c>
      <c r="D763" s="72" t="str">
        <f>IFERROR(VLOOKUP(A763,'[1]ST-QA-ZZ5'!$C$5:$M$299,11,0),"Inspection at production line")</f>
        <v>Inspection at production line</v>
      </c>
      <c r="F763" s="92" t="s">
        <v>3411</v>
      </c>
      <c r="G763" s="92" t="s">
        <v>3412</v>
      </c>
      <c r="H763" s="92" t="s">
        <v>3413</v>
      </c>
      <c r="I763" s="92" t="s">
        <v>70</v>
      </c>
      <c r="J763" s="92" t="s">
        <v>60</v>
      </c>
      <c r="K763" s="92" t="s">
        <v>633</v>
      </c>
    </row>
    <row r="764" spans="1:11" ht="13.8">
      <c r="A764" s="47" t="s">
        <v>3407</v>
      </c>
      <c r="B764" s="92" t="s">
        <v>957</v>
      </c>
      <c r="C764" s="92" t="s">
        <v>2845</v>
      </c>
      <c r="D764" s="72" t="str">
        <f>IFERROR(VLOOKUP(A764,'[1]ST-QA-ZZ5'!$C$5:$M$299,11,0),"Inspection at production line")</f>
        <v>Inspection at production line</v>
      </c>
      <c r="F764" s="92" t="s">
        <v>3416</v>
      </c>
      <c r="G764" s="92" t="s">
        <v>905</v>
      </c>
      <c r="H764" s="92" t="s">
        <v>3417</v>
      </c>
      <c r="I764" s="92" t="s">
        <v>70</v>
      </c>
      <c r="J764" s="92" t="s">
        <v>60</v>
      </c>
      <c r="K764" s="92" t="s">
        <v>633</v>
      </c>
    </row>
    <row r="765" spans="1:11" ht="13.8">
      <c r="A765" s="47" t="s">
        <v>3410</v>
      </c>
      <c r="B765" s="92" t="s">
        <v>953</v>
      </c>
      <c r="C765" s="92" t="s">
        <v>2845</v>
      </c>
      <c r="D765" s="72" t="str">
        <f>IFERROR(VLOOKUP(A765,'[1]ST-QA-ZZ5'!$C$5:$M$299,11,0),"Inspection at production line")</f>
        <v>Inspection at production line</v>
      </c>
      <c r="F765" s="92" t="s">
        <v>3420</v>
      </c>
      <c r="G765" s="92" t="s">
        <v>797</v>
      </c>
      <c r="H765" s="92" t="s">
        <v>797</v>
      </c>
      <c r="I765" s="92" t="s">
        <v>70</v>
      </c>
      <c r="J765" s="92" t="s">
        <v>60</v>
      </c>
      <c r="K765" s="92" t="s">
        <v>633</v>
      </c>
    </row>
    <row r="766" spans="1:11" ht="13.8">
      <c r="A766" s="47" t="s">
        <v>3414</v>
      </c>
      <c r="B766" s="92" t="s">
        <v>3415</v>
      </c>
      <c r="C766" s="92" t="s">
        <v>2845</v>
      </c>
      <c r="D766" s="72" t="str">
        <f>IFERROR(VLOOKUP(A766,'[1]ST-QA-ZZ5'!$C$5:$M$299,11,0),"Inspection at production line")</f>
        <v>Inspection at production line</v>
      </c>
      <c r="F766" s="92" t="s">
        <v>3423</v>
      </c>
      <c r="G766" s="92" t="s">
        <v>2511</v>
      </c>
      <c r="H766" s="92" t="s">
        <v>3424</v>
      </c>
      <c r="I766" s="92" t="s">
        <v>70</v>
      </c>
      <c r="J766" s="92" t="s">
        <v>60</v>
      </c>
      <c r="K766" s="92" t="s">
        <v>633</v>
      </c>
    </row>
    <row r="767" spans="1:11" ht="13.8">
      <c r="A767" s="47" t="s">
        <v>3418</v>
      </c>
      <c r="B767" s="92" t="s">
        <v>2489</v>
      </c>
      <c r="C767" s="92" t="s">
        <v>3419</v>
      </c>
      <c r="D767" s="72" t="str">
        <f>IFERROR(VLOOKUP(A767,'[1]ST-QA-ZZ5'!$C$5:$M$299,11,0),"Inspection at production line")</f>
        <v>Inspection at production line</v>
      </c>
      <c r="F767" s="92" t="s">
        <v>3427</v>
      </c>
      <c r="G767" s="92" t="s">
        <v>68</v>
      </c>
      <c r="H767" s="92" t="s">
        <v>69</v>
      </c>
      <c r="I767" s="92" t="s">
        <v>70</v>
      </c>
      <c r="J767" s="92" t="s">
        <v>71</v>
      </c>
      <c r="K767" s="92" t="s">
        <v>633</v>
      </c>
    </row>
    <row r="768" spans="1:11" ht="13.8">
      <c r="A768" s="47" t="s">
        <v>3421</v>
      </c>
      <c r="B768" s="92" t="s">
        <v>2578</v>
      </c>
      <c r="C768" s="92" t="s">
        <v>3422</v>
      </c>
      <c r="D768" s="72" t="str">
        <f>IFERROR(VLOOKUP(A768,'[1]ST-QA-ZZ5'!$C$5:$M$299,11,0),"Inspection at production line")</f>
        <v>Inspection at production line</v>
      </c>
      <c r="F768" s="92" t="s">
        <v>3430</v>
      </c>
      <c r="G768" s="92" t="s">
        <v>949</v>
      </c>
      <c r="H768" s="92" t="s">
        <v>1273</v>
      </c>
      <c r="I768" s="92" t="s">
        <v>70</v>
      </c>
      <c r="J768" s="92" t="s">
        <v>60</v>
      </c>
      <c r="K768" s="92" t="s">
        <v>633</v>
      </c>
    </row>
    <row r="769" spans="1:11" ht="13.8">
      <c r="A769" s="47" t="s">
        <v>3425</v>
      </c>
      <c r="B769" s="92" t="s">
        <v>2578</v>
      </c>
      <c r="C769" s="92" t="s">
        <v>3426</v>
      </c>
      <c r="D769" s="72" t="str">
        <f>IFERROR(VLOOKUP(A769,'[1]ST-QA-ZZ5'!$C$5:$M$299,11,0),"Inspection at production line")</f>
        <v>Inspection at production line</v>
      </c>
      <c r="F769" s="92" t="s">
        <v>3433</v>
      </c>
      <c r="G769" s="92" t="s">
        <v>2546</v>
      </c>
      <c r="H769" s="92" t="s">
        <v>2546</v>
      </c>
      <c r="I769" s="92" t="s">
        <v>70</v>
      </c>
      <c r="J769" s="92" t="s">
        <v>60</v>
      </c>
      <c r="K769" s="92" t="s">
        <v>633</v>
      </c>
    </row>
    <row r="770" spans="1:11" ht="13.8">
      <c r="A770" s="47" t="s">
        <v>3428</v>
      </c>
      <c r="B770" s="92" t="s">
        <v>2578</v>
      </c>
      <c r="C770" s="92" t="s">
        <v>3429</v>
      </c>
      <c r="D770" s="72" t="str">
        <f>IFERROR(VLOOKUP(A770,'[1]ST-QA-ZZ5'!$C$5:$M$299,11,0),"Inspection at production line")</f>
        <v>Inspection at production line</v>
      </c>
      <c r="F770" s="92" t="s">
        <v>3436</v>
      </c>
      <c r="G770" s="92" t="s">
        <v>957</v>
      </c>
      <c r="H770" s="92" t="s">
        <v>3437</v>
      </c>
      <c r="I770" s="92" t="s">
        <v>70</v>
      </c>
      <c r="J770" s="92" t="s">
        <v>60</v>
      </c>
      <c r="K770" s="92" t="s">
        <v>633</v>
      </c>
    </row>
    <row r="771" spans="1:11" ht="13.8">
      <c r="A771" s="47" t="s">
        <v>3431</v>
      </c>
      <c r="B771" s="92" t="s">
        <v>2578</v>
      </c>
      <c r="C771" s="92" t="s">
        <v>3432</v>
      </c>
      <c r="D771" s="72" t="str">
        <f>IFERROR(VLOOKUP(A771,'[1]ST-QA-ZZ5'!$C$5:$M$299,11,0),"Inspection at production line")</f>
        <v>Inspection at production line</v>
      </c>
      <c r="F771" s="92" t="s">
        <v>3440</v>
      </c>
      <c r="G771" s="92" t="s">
        <v>953</v>
      </c>
      <c r="H771" s="92" t="s">
        <v>3441</v>
      </c>
      <c r="I771" s="92" t="s">
        <v>70</v>
      </c>
      <c r="J771" s="92" t="s">
        <v>60</v>
      </c>
      <c r="K771" s="92" t="s">
        <v>633</v>
      </c>
    </row>
    <row r="772" spans="1:11" ht="13.8">
      <c r="A772" s="47" t="s">
        <v>3434</v>
      </c>
      <c r="B772" s="92" t="s">
        <v>2578</v>
      </c>
      <c r="C772" s="92" t="s">
        <v>3435</v>
      </c>
      <c r="D772" s="72" t="str">
        <f>IFERROR(VLOOKUP(A772,'[1]ST-QA-ZZ5'!$C$5:$M$299,11,0),"Inspection at production line")</f>
        <v>Inspection at production line</v>
      </c>
      <c r="F772" s="92" t="s">
        <v>3444</v>
      </c>
      <c r="G772" s="92" t="s">
        <v>2511</v>
      </c>
      <c r="H772" s="92" t="s">
        <v>3445</v>
      </c>
      <c r="I772" s="92" t="s">
        <v>70</v>
      </c>
      <c r="J772" s="92" t="s">
        <v>60</v>
      </c>
      <c r="K772" s="92" t="s">
        <v>633</v>
      </c>
    </row>
    <row r="773" spans="1:11" ht="13.8">
      <c r="A773" s="47" t="s">
        <v>3438</v>
      </c>
      <c r="B773" s="92" t="s">
        <v>2578</v>
      </c>
      <c r="C773" s="92" t="s">
        <v>3439</v>
      </c>
      <c r="D773" s="72" t="str">
        <f>IFERROR(VLOOKUP(A773,'[1]ST-QA-ZZ5'!$C$5:$M$299,11,0),"Inspection at production line")</f>
        <v>Inspection at production line</v>
      </c>
      <c r="F773" s="92" t="s">
        <v>3448</v>
      </c>
      <c r="G773" s="92" t="s">
        <v>905</v>
      </c>
      <c r="H773" s="92" t="s">
        <v>3449</v>
      </c>
      <c r="I773" s="92" t="s">
        <v>70</v>
      </c>
      <c r="J773" s="92" t="s">
        <v>60</v>
      </c>
      <c r="K773" s="92" t="s">
        <v>633</v>
      </c>
    </row>
    <row r="774" spans="1:11" ht="13.8">
      <c r="A774" s="47" t="s">
        <v>3442</v>
      </c>
      <c r="B774" s="92" t="s">
        <v>2578</v>
      </c>
      <c r="C774" s="92" t="s">
        <v>3443</v>
      </c>
      <c r="D774" s="72" t="str">
        <f>IFERROR(VLOOKUP(A774,'[1]ST-QA-ZZ5'!$C$5:$M$299,11,0),"Inspection at production line")</f>
        <v>Inspection at production line</v>
      </c>
      <c r="F774" s="92" t="s">
        <v>3452</v>
      </c>
      <c r="G774" s="92" t="s">
        <v>68</v>
      </c>
      <c r="H774" s="92" t="s">
        <v>68</v>
      </c>
      <c r="I774" s="92" t="s">
        <v>70</v>
      </c>
      <c r="J774" s="92" t="s">
        <v>71</v>
      </c>
      <c r="K774" s="92" t="s">
        <v>633</v>
      </c>
    </row>
    <row r="775" spans="1:11" ht="13.8">
      <c r="A775" s="47" t="s">
        <v>3446</v>
      </c>
      <c r="B775" s="92" t="s">
        <v>2578</v>
      </c>
      <c r="C775" s="92" t="s">
        <v>3447</v>
      </c>
      <c r="D775" s="72" t="str">
        <f>IFERROR(VLOOKUP(A775,'[1]ST-QA-ZZ5'!$C$5:$M$299,11,0),"Inspection at production line")</f>
        <v>Inspection at production line</v>
      </c>
      <c r="F775" s="92" t="s">
        <v>3456</v>
      </c>
      <c r="G775" s="92" t="s">
        <v>3457</v>
      </c>
      <c r="H775" s="92" t="s">
        <v>3457</v>
      </c>
      <c r="I775" s="92" t="s">
        <v>70</v>
      </c>
      <c r="J775" s="92" t="s">
        <v>60</v>
      </c>
      <c r="K775" s="92" t="s">
        <v>633</v>
      </c>
    </row>
    <row r="776" spans="1:11" ht="13.8">
      <c r="A776" s="47" t="s">
        <v>3450</v>
      </c>
      <c r="B776" s="92" t="s">
        <v>2578</v>
      </c>
      <c r="C776" s="92" t="s">
        <v>3451</v>
      </c>
      <c r="D776" s="72" t="str">
        <f>IFERROR(VLOOKUP(A776,'[1]ST-QA-ZZ5'!$C$5:$M$299,11,0),"Inspection at production line")</f>
        <v>Inspection at production line</v>
      </c>
      <c r="F776" s="92" t="s">
        <v>3460</v>
      </c>
      <c r="G776" s="92" t="s">
        <v>745</v>
      </c>
      <c r="H776" s="92" t="s">
        <v>3461</v>
      </c>
      <c r="I776" s="92" t="s">
        <v>70</v>
      </c>
      <c r="J776" s="92" t="s">
        <v>60</v>
      </c>
      <c r="K776" s="92" t="s">
        <v>633</v>
      </c>
    </row>
    <row r="777" spans="1:11" ht="13.8">
      <c r="A777" s="47" t="s">
        <v>3453</v>
      </c>
      <c r="B777" s="92" t="s">
        <v>3454</v>
      </c>
      <c r="C777" s="92" t="s">
        <v>3455</v>
      </c>
      <c r="D777" s="72" t="str">
        <f>IFERROR(VLOOKUP(A777,'[1]ST-QA-ZZ5'!$C$5:$M$299,11,0),"Inspection at production line")</f>
        <v>Inspection at production line</v>
      </c>
      <c r="F777" s="92" t="s">
        <v>3465</v>
      </c>
      <c r="G777" s="92" t="s">
        <v>905</v>
      </c>
      <c r="H777" s="92" t="s">
        <v>3363</v>
      </c>
      <c r="I777" s="92" t="s">
        <v>3466</v>
      </c>
      <c r="J777" s="92" t="s">
        <v>60</v>
      </c>
      <c r="K777" s="92" t="s">
        <v>633</v>
      </c>
    </row>
    <row r="778" spans="1:11" ht="13.8">
      <c r="A778" s="47" t="s">
        <v>3458</v>
      </c>
      <c r="B778" s="92" t="s">
        <v>3454</v>
      </c>
      <c r="C778" s="92" t="s">
        <v>3459</v>
      </c>
      <c r="D778" s="72" t="str">
        <f>IFERROR(VLOOKUP(A778,'[1]ST-QA-ZZ5'!$C$5:$M$299,11,0),"Inspection at production line")</f>
        <v>Inspection at production line</v>
      </c>
      <c r="F778" s="92" t="s">
        <v>3467</v>
      </c>
      <c r="G778" s="92" t="s">
        <v>3468</v>
      </c>
      <c r="H778" s="92" t="s">
        <v>3469</v>
      </c>
      <c r="I778" s="92" t="s">
        <v>3466</v>
      </c>
      <c r="J778" s="92" t="s">
        <v>60</v>
      </c>
      <c r="K778" s="92" t="s">
        <v>633</v>
      </c>
    </row>
    <row r="779" spans="1:11" ht="13.8">
      <c r="A779" s="47" t="s">
        <v>3462</v>
      </c>
      <c r="B779" s="92" t="s">
        <v>3463</v>
      </c>
      <c r="C779" s="92" t="s">
        <v>3464</v>
      </c>
      <c r="D779" s="72" t="str">
        <f>IFERROR(VLOOKUP(A779,'[1]ST-QA-ZZ5'!$C$5:$M$299,11,0),"Inspection at production line")</f>
        <v>Inspection at production line</v>
      </c>
      <c r="F779" s="92" t="s">
        <v>3472</v>
      </c>
      <c r="G779" s="92" t="s">
        <v>3473</v>
      </c>
      <c r="H779" s="92" t="s">
        <v>3474</v>
      </c>
      <c r="I779" s="92" t="s">
        <v>3466</v>
      </c>
      <c r="J779" s="92" t="s">
        <v>60</v>
      </c>
      <c r="K779" s="92" t="s">
        <v>633</v>
      </c>
    </row>
    <row r="780" spans="1:11" ht="13.8">
      <c r="A780" s="47" t="s">
        <v>3091</v>
      </c>
      <c r="B780" s="92" t="s">
        <v>3092</v>
      </c>
      <c r="C780" s="92" t="s">
        <v>3093</v>
      </c>
      <c r="D780" s="72" t="str">
        <f>IFERROR(VLOOKUP(A780,'[1]ST-QA-ZZ5'!$C$5:$M$299,11,0),"Inspection at production line")</f>
        <v>Inspection at production line</v>
      </c>
      <c r="F780" s="92" t="s">
        <v>3477</v>
      </c>
      <c r="G780" s="92" t="s">
        <v>843</v>
      </c>
      <c r="H780" s="92" t="s">
        <v>3478</v>
      </c>
      <c r="I780" s="92" t="s">
        <v>846</v>
      </c>
      <c r="J780" s="92" t="s">
        <v>99</v>
      </c>
      <c r="K780" s="92" t="s">
        <v>633</v>
      </c>
    </row>
    <row r="781" spans="1:11" ht="13.8">
      <c r="A781" s="47" t="s">
        <v>3470</v>
      </c>
      <c r="B781" s="92" t="s">
        <v>1122</v>
      </c>
      <c r="C781" s="92" t="s">
        <v>3471</v>
      </c>
      <c r="D781" s="72" t="str">
        <f>IFERROR(VLOOKUP(A781,'[1]ST-QA-ZZ5'!$C$5:$M$299,11,0),"Inspection at production line")</f>
        <v>Inspection at production line</v>
      </c>
      <c r="F781" s="92" t="s">
        <v>3482</v>
      </c>
      <c r="G781" s="92" t="s">
        <v>3319</v>
      </c>
      <c r="H781" s="92" t="s">
        <v>3319</v>
      </c>
      <c r="I781" s="92" t="s">
        <v>846</v>
      </c>
      <c r="J781" s="92" t="s">
        <v>60</v>
      </c>
      <c r="K781" s="92" t="s">
        <v>633</v>
      </c>
    </row>
    <row r="782" spans="1:11" ht="13.8">
      <c r="A782" s="47" t="s">
        <v>3475</v>
      </c>
      <c r="B782" s="92" t="s">
        <v>83</v>
      </c>
      <c r="C782" s="92" t="s">
        <v>3476</v>
      </c>
      <c r="D782" s="72" t="str">
        <f>IFERROR(VLOOKUP(A782,'[1]ST-QA-ZZ5'!$C$5:$M$299,11,0),"Inspection at production line")</f>
        <v>Inspection at production line</v>
      </c>
      <c r="F782" s="92" t="s">
        <v>3485</v>
      </c>
      <c r="G782" s="92" t="s">
        <v>3486</v>
      </c>
      <c r="H782" s="92" t="s">
        <v>3486</v>
      </c>
      <c r="I782" s="92" t="s">
        <v>846</v>
      </c>
      <c r="J782" s="92" t="s">
        <v>60</v>
      </c>
      <c r="K782" s="92" t="s">
        <v>633</v>
      </c>
    </row>
    <row r="783" spans="1:11" ht="13.8">
      <c r="A783" s="47" t="s">
        <v>3479</v>
      </c>
      <c r="B783" s="92" t="s">
        <v>3480</v>
      </c>
      <c r="C783" s="92" t="s">
        <v>3481</v>
      </c>
      <c r="D783" s="72" t="str">
        <f>IFERROR(VLOOKUP(A783,'[1]ST-QA-ZZ5'!$C$5:$M$299,11,0),"Inspection at production line")</f>
        <v>Inspection at production line</v>
      </c>
      <c r="F783" s="92" t="s">
        <v>3490</v>
      </c>
      <c r="G783" s="92" t="s">
        <v>68</v>
      </c>
      <c r="H783" s="92" t="s">
        <v>3491</v>
      </c>
      <c r="I783" s="92" t="s">
        <v>846</v>
      </c>
      <c r="J783" s="92" t="s">
        <v>71</v>
      </c>
      <c r="K783" s="92" t="s">
        <v>633</v>
      </c>
    </row>
    <row r="784" spans="1:11" ht="13.8">
      <c r="A784" s="47" t="s">
        <v>3483</v>
      </c>
      <c r="B784" s="92" t="s">
        <v>3480</v>
      </c>
      <c r="C784" s="92" t="s">
        <v>3484</v>
      </c>
      <c r="D784" s="72" t="str">
        <f>IFERROR(VLOOKUP(A784,'[1]ST-QA-ZZ5'!$C$5:$M$299,11,0),"Inspection at production line")</f>
        <v>Inspection at production line</v>
      </c>
      <c r="F784" s="92" t="s">
        <v>3494</v>
      </c>
      <c r="G784" s="92" t="s">
        <v>68</v>
      </c>
      <c r="H784" s="92" t="s">
        <v>3495</v>
      </c>
      <c r="I784" s="92" t="s">
        <v>846</v>
      </c>
      <c r="J784" s="92" t="s">
        <v>71</v>
      </c>
      <c r="K784" s="92" t="s">
        <v>633</v>
      </c>
    </row>
    <row r="785" spans="1:11" ht="13.8">
      <c r="A785" s="47" t="s">
        <v>3487</v>
      </c>
      <c r="B785" s="92" t="s">
        <v>3488</v>
      </c>
      <c r="C785" s="92" t="s">
        <v>3489</v>
      </c>
      <c r="D785" s="72" t="str">
        <f>IFERROR(VLOOKUP(A785,'[1]ST-QA-ZZ5'!$C$5:$M$299,11,0),"Inspection at production line")</f>
        <v>Inspection at production line</v>
      </c>
      <c r="F785" s="92" t="s">
        <v>3498</v>
      </c>
      <c r="G785" s="92" t="s">
        <v>828</v>
      </c>
      <c r="H785" s="92" t="s">
        <v>829</v>
      </c>
      <c r="I785" s="92" t="s">
        <v>846</v>
      </c>
      <c r="J785" s="92" t="s">
        <v>60</v>
      </c>
      <c r="K785" s="92" t="s">
        <v>633</v>
      </c>
    </row>
    <row r="786" spans="1:11" ht="13.8">
      <c r="A786" s="47" t="s">
        <v>3492</v>
      </c>
      <c r="B786" s="92" t="s">
        <v>3488</v>
      </c>
      <c r="C786" s="92" t="s">
        <v>3493</v>
      </c>
      <c r="D786" s="72" t="str">
        <f>IFERROR(VLOOKUP(A786,'[1]ST-QA-ZZ5'!$C$5:$M$299,11,0),"Inspection at production line")</f>
        <v>Inspection at production line</v>
      </c>
      <c r="F786" s="92" t="s">
        <v>3501</v>
      </c>
      <c r="G786" s="92" t="s">
        <v>90</v>
      </c>
      <c r="H786" s="92" t="s">
        <v>3502</v>
      </c>
      <c r="I786" s="92" t="s">
        <v>846</v>
      </c>
      <c r="J786" s="92" t="s">
        <v>60</v>
      </c>
      <c r="K786" s="92" t="s">
        <v>633</v>
      </c>
    </row>
    <row r="787" spans="1:11" ht="13.8">
      <c r="A787" s="47" t="s">
        <v>3496</v>
      </c>
      <c r="B787" s="92" t="s">
        <v>1257</v>
      </c>
      <c r="C787" s="92" t="s">
        <v>3497</v>
      </c>
      <c r="D787" s="72" t="str">
        <f>IFERROR(VLOOKUP(A787,'[1]ST-QA-ZZ5'!$C$5:$M$299,11,0),"Inspection at production line")</f>
        <v>Inspection at production line</v>
      </c>
      <c r="F787" s="92" t="s">
        <v>3505</v>
      </c>
      <c r="G787" s="92" t="s">
        <v>90</v>
      </c>
      <c r="H787" s="92" t="s">
        <v>3506</v>
      </c>
      <c r="I787" s="92" t="s">
        <v>846</v>
      </c>
      <c r="J787" s="92" t="s">
        <v>60</v>
      </c>
      <c r="K787" s="92" t="s">
        <v>633</v>
      </c>
    </row>
    <row r="788" spans="1:11" ht="13.8">
      <c r="A788" s="47" t="s">
        <v>3499</v>
      </c>
      <c r="B788" s="92" t="s">
        <v>1257</v>
      </c>
      <c r="C788" s="92" t="s">
        <v>3500</v>
      </c>
      <c r="D788" s="72" t="str">
        <f>IFERROR(VLOOKUP(A788,'[1]ST-QA-ZZ5'!$C$5:$M$299,11,0),"Inspection at production line")</f>
        <v>Inspection at production line</v>
      </c>
      <c r="F788" s="92" t="s">
        <v>3509</v>
      </c>
      <c r="G788" s="92" t="s">
        <v>819</v>
      </c>
      <c r="H788" s="92" t="s">
        <v>3510</v>
      </c>
      <c r="I788" s="92" t="s">
        <v>846</v>
      </c>
      <c r="J788" s="92" t="s">
        <v>60</v>
      </c>
      <c r="K788" s="92" t="s">
        <v>633</v>
      </c>
    </row>
    <row r="789" spans="1:11" ht="13.8">
      <c r="A789" s="47" t="s">
        <v>3503</v>
      </c>
      <c r="B789" s="92" t="s">
        <v>1257</v>
      </c>
      <c r="C789" s="92" t="s">
        <v>3504</v>
      </c>
      <c r="D789" s="72" t="str">
        <f>IFERROR(VLOOKUP(A789,'[1]ST-QA-ZZ5'!$C$5:$M$299,11,0),"Inspection at production line")</f>
        <v>Inspection at production line</v>
      </c>
      <c r="F789" s="92" t="s">
        <v>3511</v>
      </c>
      <c r="G789" s="92" t="s">
        <v>794</v>
      </c>
      <c r="H789" s="92" t="s">
        <v>3512</v>
      </c>
      <c r="I789" s="92" t="s">
        <v>846</v>
      </c>
      <c r="J789" s="92" t="s">
        <v>60</v>
      </c>
      <c r="K789" s="92" t="s">
        <v>633</v>
      </c>
    </row>
    <row r="790" spans="1:11" ht="13.8">
      <c r="A790" s="47" t="s">
        <v>3507</v>
      </c>
      <c r="B790" s="92" t="s">
        <v>1257</v>
      </c>
      <c r="C790" s="92" t="s">
        <v>3508</v>
      </c>
      <c r="D790" s="72" t="str">
        <f>IFERROR(VLOOKUP(A790,'[1]ST-QA-ZZ5'!$C$5:$M$299,11,0),"Inspection at production line")</f>
        <v>Inspection at production line</v>
      </c>
      <c r="F790" s="92" t="s">
        <v>3515</v>
      </c>
      <c r="G790" s="92" t="s">
        <v>819</v>
      </c>
      <c r="H790" s="92" t="s">
        <v>3516</v>
      </c>
      <c r="I790" s="92" t="s">
        <v>846</v>
      </c>
      <c r="J790" s="92" t="s">
        <v>60</v>
      </c>
      <c r="K790" s="92" t="s">
        <v>633</v>
      </c>
    </row>
    <row r="791" spans="1:11" ht="13.8">
      <c r="A791" s="47" t="s">
        <v>3408</v>
      </c>
      <c r="B791" s="92" t="s">
        <v>949</v>
      </c>
      <c r="C791" s="92" t="s">
        <v>3409</v>
      </c>
      <c r="D791" s="72" t="str">
        <f>IFERROR(VLOOKUP(A791,'[1]ST-QA-ZZ5'!$C$5:$M$299,11,0),"Inspection at production line")</f>
        <v>Inspection at production line</v>
      </c>
      <c r="F791" s="92" t="s">
        <v>3517</v>
      </c>
      <c r="G791" s="92" t="s">
        <v>949</v>
      </c>
      <c r="H791" s="92" t="s">
        <v>3516</v>
      </c>
      <c r="I791" s="92" t="s">
        <v>846</v>
      </c>
      <c r="J791" s="92" t="s">
        <v>60</v>
      </c>
      <c r="K791" s="92" t="s">
        <v>633</v>
      </c>
    </row>
    <row r="792" spans="1:11" ht="13.8">
      <c r="A792" s="47" t="s">
        <v>3513</v>
      </c>
      <c r="B792" s="92" t="s">
        <v>3412</v>
      </c>
      <c r="C792" s="92" t="s">
        <v>3514</v>
      </c>
      <c r="D792" s="72" t="str">
        <f>IFERROR(VLOOKUP(A792,'[1]ST-QA-ZZ5'!$C$5:$M$299,11,0),"Inspection at production line")</f>
        <v>Inspection at production line</v>
      </c>
      <c r="F792" s="92" t="s">
        <v>3521</v>
      </c>
      <c r="G792" s="92" t="s">
        <v>849</v>
      </c>
      <c r="H792" s="92" t="s">
        <v>3516</v>
      </c>
      <c r="I792" s="92" t="s">
        <v>846</v>
      </c>
      <c r="J792" s="92" t="s">
        <v>60</v>
      </c>
      <c r="K792" s="92" t="s">
        <v>633</v>
      </c>
    </row>
    <row r="793" spans="1:11" ht="13.8">
      <c r="A793" s="47" t="s">
        <v>3411</v>
      </c>
      <c r="B793" s="92" t="s">
        <v>3412</v>
      </c>
      <c r="C793" s="92" t="s">
        <v>3413</v>
      </c>
      <c r="D793" s="72" t="str">
        <f>IFERROR(VLOOKUP(A793,'[1]ST-QA-ZZ5'!$C$5:$M$299,11,0),"Inspection at production line")</f>
        <v>Inspection at production line</v>
      </c>
      <c r="F793" s="92" t="s">
        <v>3525</v>
      </c>
      <c r="G793" s="92" t="s">
        <v>2818</v>
      </c>
      <c r="H793" s="92" t="s">
        <v>2818</v>
      </c>
      <c r="I793" s="92" t="s">
        <v>846</v>
      </c>
      <c r="J793" s="92" t="s">
        <v>60</v>
      </c>
      <c r="K793" s="92" t="s">
        <v>633</v>
      </c>
    </row>
    <row r="794" spans="1:11" ht="13.8">
      <c r="A794" s="47" t="s">
        <v>3518</v>
      </c>
      <c r="B794" s="92" t="s">
        <v>3519</v>
      </c>
      <c r="C794" s="92" t="s">
        <v>3520</v>
      </c>
      <c r="D794" s="72" t="str">
        <f>IFERROR(VLOOKUP(A794,'[1]ST-QA-ZZ5'!$C$5:$M$299,11,0),"Inspection at production line")</f>
        <v>Inspection at production line</v>
      </c>
      <c r="F794" s="92" t="s">
        <v>3526</v>
      </c>
      <c r="G794" s="92" t="s">
        <v>2336</v>
      </c>
      <c r="H794" s="92" t="s">
        <v>2336</v>
      </c>
      <c r="I794" s="92" t="s">
        <v>846</v>
      </c>
      <c r="J794" s="92" t="s">
        <v>60</v>
      </c>
      <c r="K794" s="92" t="s">
        <v>633</v>
      </c>
    </row>
    <row r="795" spans="1:11" ht="13.8">
      <c r="A795" s="47" t="s">
        <v>3522</v>
      </c>
      <c r="B795" s="92" t="s">
        <v>3523</v>
      </c>
      <c r="C795" s="92" t="s">
        <v>3524</v>
      </c>
      <c r="D795" s="72" t="str">
        <f>IFERROR(VLOOKUP(A795,'[1]ST-QA-ZZ5'!$C$5:$M$299,11,0),"Inspection at production line")</f>
        <v>Inspection at production line</v>
      </c>
      <c r="F795" s="92" t="s">
        <v>3527</v>
      </c>
      <c r="G795" s="92" t="s">
        <v>3528</v>
      </c>
      <c r="H795" s="92" t="s">
        <v>3528</v>
      </c>
      <c r="I795" s="92" t="s">
        <v>846</v>
      </c>
      <c r="J795" s="92" t="s">
        <v>60</v>
      </c>
      <c r="K795" s="92" t="s">
        <v>633</v>
      </c>
    </row>
    <row r="796" spans="1:11" ht="13.8">
      <c r="A796" s="47" t="s">
        <v>3416</v>
      </c>
      <c r="B796" s="92" t="s">
        <v>905</v>
      </c>
      <c r="C796" s="92" t="s">
        <v>3417</v>
      </c>
      <c r="D796" s="72" t="str">
        <f>IFERROR(VLOOKUP(A796,'[1]ST-QA-ZZ5'!$C$5:$M$299,11,0),"Inspection at production line")</f>
        <v>Inspection at production line</v>
      </c>
      <c r="F796" s="92" t="s">
        <v>3531</v>
      </c>
      <c r="G796" s="92" t="s">
        <v>2024</v>
      </c>
      <c r="H796" s="92" t="s">
        <v>3532</v>
      </c>
      <c r="I796" s="92" t="s">
        <v>3533</v>
      </c>
      <c r="J796" s="92" t="s">
        <v>71</v>
      </c>
      <c r="K796" s="92" t="s">
        <v>633</v>
      </c>
    </row>
    <row r="797" spans="1:11" ht="13.8">
      <c r="A797" s="47" t="s">
        <v>3420</v>
      </c>
      <c r="B797" s="92" t="s">
        <v>797</v>
      </c>
      <c r="C797" s="92" t="s">
        <v>797</v>
      </c>
      <c r="D797" s="72" t="str">
        <f>IFERROR(VLOOKUP(A797,'[1]ST-QA-ZZ5'!$C$5:$M$299,11,0),"Inspection at production line")</f>
        <v>Inspection at production line</v>
      </c>
      <c r="F797" s="92" t="s">
        <v>3534</v>
      </c>
      <c r="G797" s="92" t="s">
        <v>119</v>
      </c>
      <c r="H797" s="92" t="s">
        <v>3535</v>
      </c>
      <c r="I797" s="92" t="s">
        <v>3533</v>
      </c>
      <c r="J797" s="92" t="s">
        <v>60</v>
      </c>
      <c r="K797" s="92" t="s">
        <v>633</v>
      </c>
    </row>
    <row r="798" spans="1:11" ht="13.8">
      <c r="A798" s="47" t="s">
        <v>3529</v>
      </c>
      <c r="B798" s="92" t="s">
        <v>961</v>
      </c>
      <c r="C798" s="92" t="s">
        <v>3530</v>
      </c>
      <c r="D798" s="72" t="str">
        <f>IFERROR(VLOOKUP(A798,'[1]ST-QA-ZZ5'!$C$5:$M$299,11,0),"Inspection at production line")</f>
        <v>Inspection at production line</v>
      </c>
      <c r="F798" s="92" t="s">
        <v>3538</v>
      </c>
      <c r="G798" s="92" t="s">
        <v>3519</v>
      </c>
      <c r="H798" s="92" t="s">
        <v>3539</v>
      </c>
      <c r="I798" s="92" t="s">
        <v>3533</v>
      </c>
      <c r="J798" s="92" t="s">
        <v>60</v>
      </c>
      <c r="K798" s="92" t="s">
        <v>633</v>
      </c>
    </row>
    <row r="799" spans="1:11" ht="13.8">
      <c r="A799" s="47" t="s">
        <v>3423</v>
      </c>
      <c r="B799" s="92" t="s">
        <v>2511</v>
      </c>
      <c r="C799" s="92" t="s">
        <v>3424</v>
      </c>
      <c r="D799" s="72" t="str">
        <f>IFERROR(VLOOKUP(A799,'[1]ST-QA-ZZ5'!$C$5:$M$299,11,0),"Inspection at production line")</f>
        <v>Inspection at production line</v>
      </c>
      <c r="F799" s="92" t="s">
        <v>3540</v>
      </c>
      <c r="G799" s="92" t="s">
        <v>2546</v>
      </c>
      <c r="H799" s="92" t="s">
        <v>3541</v>
      </c>
      <c r="I799" s="92" t="s">
        <v>3533</v>
      </c>
      <c r="J799" s="92" t="s">
        <v>60</v>
      </c>
      <c r="K799" s="92" t="s">
        <v>633</v>
      </c>
    </row>
    <row r="800" spans="1:11" ht="13.8">
      <c r="A800" s="47" t="s">
        <v>3536</v>
      </c>
      <c r="B800" s="92" t="s">
        <v>857</v>
      </c>
      <c r="C800" s="92" t="s">
        <v>3537</v>
      </c>
      <c r="D800" s="72" t="str">
        <f>IFERROR(VLOOKUP(A800,'[1]ST-QA-ZZ5'!$C$5:$M$299,11,0),"Inspection at production line")</f>
        <v>Inspection at production line</v>
      </c>
      <c r="F800" s="92" t="s">
        <v>3542</v>
      </c>
      <c r="G800" s="92" t="s">
        <v>3543</v>
      </c>
      <c r="H800" s="92" t="s">
        <v>3544</v>
      </c>
      <c r="I800" s="92" t="s">
        <v>3533</v>
      </c>
      <c r="J800" s="92" t="s">
        <v>60</v>
      </c>
      <c r="K800" s="92" t="s">
        <v>633</v>
      </c>
    </row>
    <row r="801" spans="1:11" ht="13.8">
      <c r="A801" s="47" t="s">
        <v>3427</v>
      </c>
      <c r="B801" s="92" t="s">
        <v>68</v>
      </c>
      <c r="C801" s="92" t="s">
        <v>69</v>
      </c>
      <c r="D801" s="72" t="str">
        <f>IFERROR(VLOOKUP(A801,'[1]ST-QA-ZZ5'!$C$5:$M$299,11,0),"Inspection at production line")</f>
        <v>Inspection at production line</v>
      </c>
      <c r="F801" s="92" t="s">
        <v>3545</v>
      </c>
      <c r="G801" s="92" t="s">
        <v>797</v>
      </c>
      <c r="H801" s="92" t="s">
        <v>3546</v>
      </c>
      <c r="I801" s="92" t="s">
        <v>3533</v>
      </c>
      <c r="J801" s="92" t="s">
        <v>60</v>
      </c>
      <c r="K801" s="92" t="s">
        <v>633</v>
      </c>
    </row>
    <row r="802" spans="1:11" ht="13.8">
      <c r="A802" s="47" t="s">
        <v>3430</v>
      </c>
      <c r="B802" s="92" t="s">
        <v>949</v>
      </c>
      <c r="C802" s="92" t="s">
        <v>1273</v>
      </c>
      <c r="D802" s="72" t="str">
        <f>IFERROR(VLOOKUP(A802,'[1]ST-QA-ZZ5'!$C$5:$M$299,11,0),"Inspection at production line")</f>
        <v>Inspection at production line</v>
      </c>
      <c r="F802" s="92" t="s">
        <v>3549</v>
      </c>
      <c r="G802" s="92" t="s">
        <v>3412</v>
      </c>
      <c r="H802" s="92" t="s">
        <v>3550</v>
      </c>
      <c r="I802" s="92" t="s">
        <v>3533</v>
      </c>
      <c r="J802" s="92" t="s">
        <v>60</v>
      </c>
      <c r="K802" s="92" t="s">
        <v>633</v>
      </c>
    </row>
    <row r="803" spans="1:11" ht="13.8">
      <c r="A803" s="47" t="s">
        <v>3433</v>
      </c>
      <c r="B803" s="92" t="s">
        <v>2546</v>
      </c>
      <c r="C803" s="92" t="s">
        <v>2546</v>
      </c>
      <c r="D803" s="72" t="str">
        <f>IFERROR(VLOOKUP(A803,'[1]ST-QA-ZZ5'!$C$5:$M$299,11,0),"Inspection at production line")</f>
        <v>Inspection at production line</v>
      </c>
      <c r="F803" s="92" t="s">
        <v>3553</v>
      </c>
      <c r="G803" s="92" t="s">
        <v>949</v>
      </c>
      <c r="H803" s="92" t="s">
        <v>3554</v>
      </c>
      <c r="I803" s="92" t="s">
        <v>3533</v>
      </c>
      <c r="J803" s="92" t="s">
        <v>60</v>
      </c>
      <c r="K803" s="92" t="s">
        <v>633</v>
      </c>
    </row>
    <row r="804" spans="1:11" ht="13.8">
      <c r="A804" s="47" t="s">
        <v>3547</v>
      </c>
      <c r="B804" s="92" t="s">
        <v>905</v>
      </c>
      <c r="C804" s="92" t="s">
        <v>3548</v>
      </c>
      <c r="D804" s="72" t="str">
        <f>IFERROR(VLOOKUP(A804,'[1]ST-QA-ZZ5'!$C$5:$M$299,11,0),"Inspection at production line")</f>
        <v>Inspection at production line</v>
      </c>
      <c r="F804" s="92" t="s">
        <v>3555</v>
      </c>
      <c r="G804" s="92" t="s">
        <v>949</v>
      </c>
      <c r="H804" s="92" t="s">
        <v>3556</v>
      </c>
      <c r="I804" s="92" t="s">
        <v>3533</v>
      </c>
      <c r="J804" s="92" t="s">
        <v>60</v>
      </c>
      <c r="K804" s="92" t="s">
        <v>633</v>
      </c>
    </row>
    <row r="805" spans="1:11" ht="13.8">
      <c r="A805" s="47" t="s">
        <v>3551</v>
      </c>
      <c r="B805" s="92" t="s">
        <v>961</v>
      </c>
      <c r="C805" s="92" t="s">
        <v>3552</v>
      </c>
      <c r="D805" s="72" t="str">
        <f>IFERROR(VLOOKUP(A805,'[1]ST-QA-ZZ5'!$C$5:$M$299,11,0),"Inspection at production line")</f>
        <v>Inspection at production line</v>
      </c>
      <c r="F805" s="92" t="s">
        <v>3557</v>
      </c>
      <c r="G805" s="92" t="s">
        <v>555</v>
      </c>
      <c r="H805" s="92" t="s">
        <v>3558</v>
      </c>
      <c r="I805" s="92" t="s">
        <v>3533</v>
      </c>
      <c r="J805" s="92" t="s">
        <v>71</v>
      </c>
      <c r="K805" s="92" t="s">
        <v>633</v>
      </c>
    </row>
    <row r="806" spans="1:11" ht="13.8">
      <c r="A806" s="47" t="s">
        <v>3436</v>
      </c>
      <c r="B806" s="92" t="s">
        <v>957</v>
      </c>
      <c r="C806" s="92" t="s">
        <v>3437</v>
      </c>
      <c r="D806" s="72" t="str">
        <f>IFERROR(VLOOKUP(A806,'[1]ST-QA-ZZ5'!$C$5:$M$299,11,0),"Inspection at production line")</f>
        <v>Inspection at production line</v>
      </c>
      <c r="F806" s="92" t="s">
        <v>3559</v>
      </c>
      <c r="G806" s="92" t="s">
        <v>3454</v>
      </c>
      <c r="H806" s="92" t="s">
        <v>3560</v>
      </c>
      <c r="I806" s="92" t="s">
        <v>3533</v>
      </c>
      <c r="J806" s="92" t="s">
        <v>60</v>
      </c>
      <c r="K806" s="92" t="s">
        <v>633</v>
      </c>
    </row>
    <row r="807" spans="1:11" ht="13.8">
      <c r="A807" s="47" t="s">
        <v>3440</v>
      </c>
      <c r="B807" s="92" t="s">
        <v>953</v>
      </c>
      <c r="C807" s="92" t="s">
        <v>3441</v>
      </c>
      <c r="D807" s="72" t="str">
        <f>IFERROR(VLOOKUP(A807,'[1]ST-QA-ZZ5'!$C$5:$M$299,11,0),"Inspection at production line")</f>
        <v>Inspection at production line</v>
      </c>
      <c r="F807" s="92" t="s">
        <v>3563</v>
      </c>
      <c r="G807" s="92" t="s">
        <v>3564</v>
      </c>
      <c r="H807" s="92" t="s">
        <v>3565</v>
      </c>
      <c r="I807" s="92" t="s">
        <v>3533</v>
      </c>
      <c r="J807" s="92" t="s">
        <v>60</v>
      </c>
      <c r="K807" s="92" t="s">
        <v>633</v>
      </c>
    </row>
    <row r="808" spans="1:11" ht="13.8">
      <c r="A808" s="47" t="s">
        <v>3444</v>
      </c>
      <c r="B808" s="92" t="s">
        <v>2511</v>
      </c>
      <c r="C808" s="92" t="s">
        <v>3445</v>
      </c>
      <c r="D808" s="72" t="str">
        <f>IFERROR(VLOOKUP(A808,'[1]ST-QA-ZZ5'!$C$5:$M$299,11,0),"Inspection at production line")</f>
        <v>Inspection at production line</v>
      </c>
      <c r="F808" s="92" t="s">
        <v>3569</v>
      </c>
      <c r="G808" s="92" t="s">
        <v>57</v>
      </c>
      <c r="H808" s="92" t="s">
        <v>3570</v>
      </c>
      <c r="I808" s="92" t="s">
        <v>3533</v>
      </c>
      <c r="J808" s="92" t="s">
        <v>60</v>
      </c>
      <c r="K808" s="92" t="s">
        <v>633</v>
      </c>
    </row>
    <row r="809" spans="1:11" ht="13.8">
      <c r="A809" s="47" t="s">
        <v>3561</v>
      </c>
      <c r="B809" s="92" t="s">
        <v>857</v>
      </c>
      <c r="C809" s="92" t="s">
        <v>3562</v>
      </c>
      <c r="D809" s="72" t="str">
        <f>IFERROR(VLOOKUP(A809,'[1]ST-QA-ZZ5'!$C$5:$M$299,11,0),"Inspection at production line")</f>
        <v>Inspection at production line</v>
      </c>
      <c r="F809" s="92" t="s">
        <v>3573</v>
      </c>
      <c r="G809" s="92" t="s">
        <v>57</v>
      </c>
      <c r="H809" s="92" t="s">
        <v>3570</v>
      </c>
      <c r="I809" s="92" t="s">
        <v>799</v>
      </c>
      <c r="J809" s="92" t="s">
        <v>60</v>
      </c>
      <c r="K809" s="92" t="s">
        <v>633</v>
      </c>
    </row>
    <row r="810" spans="1:11" ht="13.8">
      <c r="A810" s="47" t="s">
        <v>3566</v>
      </c>
      <c r="B810" s="92" t="s">
        <v>3567</v>
      </c>
      <c r="C810" s="92" t="s">
        <v>3568</v>
      </c>
      <c r="D810" s="72" t="str">
        <f>IFERROR(VLOOKUP(A810,'[1]ST-QA-ZZ5'!$C$5:$M$299,11,0),"Inspection at production line")</f>
        <v>Inspection at production line</v>
      </c>
      <c r="F810" s="92" t="s">
        <v>3577</v>
      </c>
      <c r="G810" s="92" t="s">
        <v>119</v>
      </c>
      <c r="H810" s="92" t="s">
        <v>3578</v>
      </c>
      <c r="I810" s="92" t="s">
        <v>3579</v>
      </c>
      <c r="J810" s="92" t="s">
        <v>60</v>
      </c>
      <c r="K810" s="92" t="s">
        <v>633</v>
      </c>
    </row>
    <row r="811" spans="1:11" ht="13.8">
      <c r="A811" s="47" t="s">
        <v>3571</v>
      </c>
      <c r="B811" s="92" t="s">
        <v>745</v>
      </c>
      <c r="C811" s="92" t="s">
        <v>3572</v>
      </c>
      <c r="D811" s="72" t="str">
        <f>IFERROR(VLOOKUP(A811,'[1]ST-QA-ZZ5'!$C$5:$M$299,11,0),"Inspection at production line")</f>
        <v>Inspection at production line</v>
      </c>
      <c r="F811" s="92" t="s">
        <v>3582</v>
      </c>
      <c r="G811" s="92" t="s">
        <v>2546</v>
      </c>
      <c r="H811" s="92" t="s">
        <v>3583</v>
      </c>
      <c r="I811" s="92" t="s">
        <v>3579</v>
      </c>
      <c r="J811" s="92" t="s">
        <v>60</v>
      </c>
      <c r="K811" s="92" t="s">
        <v>633</v>
      </c>
    </row>
    <row r="812" spans="1:11" ht="13.8">
      <c r="A812" s="47" t="s">
        <v>3574</v>
      </c>
      <c r="B812" s="92" t="s">
        <v>3575</v>
      </c>
      <c r="C812" s="92" t="s">
        <v>3576</v>
      </c>
      <c r="D812" s="72" t="str">
        <f>IFERROR(VLOOKUP(A812,'[1]ST-QA-ZZ5'!$C$5:$M$299,11,0),"Inspection at production line")</f>
        <v>Inspection at production line</v>
      </c>
      <c r="F812" s="92" t="s">
        <v>3586</v>
      </c>
      <c r="G812" s="92" t="s">
        <v>949</v>
      </c>
      <c r="H812" s="92" t="s">
        <v>3587</v>
      </c>
      <c r="I812" s="92" t="s">
        <v>3579</v>
      </c>
      <c r="J812" s="92" t="s">
        <v>60</v>
      </c>
      <c r="K812" s="92" t="s">
        <v>633</v>
      </c>
    </row>
    <row r="813" spans="1:11" ht="13.8">
      <c r="A813" s="47" t="s">
        <v>3580</v>
      </c>
      <c r="B813" s="92" t="s">
        <v>1257</v>
      </c>
      <c r="C813" s="92" t="s">
        <v>3581</v>
      </c>
      <c r="D813" s="72" t="str">
        <f>IFERROR(VLOOKUP(A813,'[1]ST-QA-ZZ5'!$C$5:$M$299,11,0),"Inspection at production line")</f>
        <v>Inspection at production line</v>
      </c>
      <c r="F813" s="92" t="s">
        <v>3590</v>
      </c>
      <c r="G813" s="92" t="s">
        <v>905</v>
      </c>
      <c r="H813" s="92" t="s">
        <v>3591</v>
      </c>
      <c r="I813" s="92" t="s">
        <v>3579</v>
      </c>
      <c r="J813" s="92" t="s">
        <v>60</v>
      </c>
      <c r="K813" s="92" t="s">
        <v>633</v>
      </c>
    </row>
    <row r="814" spans="1:11" ht="13.8">
      <c r="A814" s="47" t="s">
        <v>3584</v>
      </c>
      <c r="B814" s="92" t="s">
        <v>1257</v>
      </c>
      <c r="C814" s="92" t="s">
        <v>3585</v>
      </c>
      <c r="D814" s="72" t="str">
        <f>IFERROR(VLOOKUP(A814,'[1]ST-QA-ZZ5'!$C$5:$M$299,11,0),"Inspection at production line")</f>
        <v>Inspection at production line</v>
      </c>
      <c r="F814" s="92" t="s">
        <v>3594</v>
      </c>
      <c r="G814" s="92" t="s">
        <v>3468</v>
      </c>
      <c r="H814" s="92" t="s">
        <v>3595</v>
      </c>
      <c r="I814" s="92" t="s">
        <v>3579</v>
      </c>
      <c r="J814" s="92" t="s">
        <v>60</v>
      </c>
      <c r="K814" s="92" t="s">
        <v>633</v>
      </c>
    </row>
    <row r="815" spans="1:11" ht="13.8">
      <c r="A815" s="47" t="s">
        <v>3588</v>
      </c>
      <c r="B815" s="92" t="s">
        <v>949</v>
      </c>
      <c r="C815" s="92" t="s">
        <v>3589</v>
      </c>
      <c r="D815" s="72" t="str">
        <f>IFERROR(VLOOKUP(A815,'[1]ST-QA-ZZ5'!$C$5:$M$299,11,0),"Inspection at production line")</f>
        <v>Inspection at production line</v>
      </c>
      <c r="F815" s="92" t="s">
        <v>3599</v>
      </c>
      <c r="G815" s="92" t="s">
        <v>3473</v>
      </c>
      <c r="H815" s="92" t="s">
        <v>3600</v>
      </c>
      <c r="I815" s="92" t="s">
        <v>3579</v>
      </c>
      <c r="J815" s="92" t="s">
        <v>60</v>
      </c>
      <c r="K815" s="92" t="s">
        <v>633</v>
      </c>
    </row>
    <row r="816" spans="1:11" ht="13.8">
      <c r="A816" s="47" t="s">
        <v>3592</v>
      </c>
      <c r="B816" s="92" t="s">
        <v>857</v>
      </c>
      <c r="C816" s="92" t="s">
        <v>3593</v>
      </c>
      <c r="D816" s="72" t="str">
        <f>IFERROR(VLOOKUP(A816,'[1]ST-QA-ZZ5'!$C$5:$M$299,11,0),"Inspection at production line")</f>
        <v>Inspection at production line</v>
      </c>
      <c r="F816" s="92" t="s">
        <v>3604</v>
      </c>
      <c r="G816" s="92" t="s">
        <v>3602</v>
      </c>
      <c r="H816" s="92" t="s">
        <v>3605</v>
      </c>
      <c r="I816" s="92" t="s">
        <v>3579</v>
      </c>
      <c r="J816" s="92" t="s">
        <v>60</v>
      </c>
      <c r="K816" s="92" t="s">
        <v>633</v>
      </c>
    </row>
    <row r="817" spans="1:11" ht="13.8">
      <c r="A817" s="47" t="s">
        <v>3596</v>
      </c>
      <c r="B817" s="92" t="s">
        <v>3597</v>
      </c>
      <c r="C817" s="92" t="s">
        <v>3598</v>
      </c>
      <c r="D817" s="72" t="str">
        <f>IFERROR(VLOOKUP(A817,'[1]ST-QA-ZZ5'!$C$5:$M$299,11,0),"Inspection at production line")</f>
        <v>Inspection at production line</v>
      </c>
      <c r="F817" s="92" t="s">
        <v>3607</v>
      </c>
      <c r="G817" s="92" t="s">
        <v>3608</v>
      </c>
      <c r="H817" s="92" t="s">
        <v>3609</v>
      </c>
      <c r="I817" s="92" t="s">
        <v>3579</v>
      </c>
      <c r="J817" s="92" t="s">
        <v>60</v>
      </c>
      <c r="K817" s="92" t="s">
        <v>633</v>
      </c>
    </row>
    <row r="818" spans="1:11" ht="13.8">
      <c r="A818" s="47" t="s">
        <v>3601</v>
      </c>
      <c r="B818" s="92" t="s">
        <v>3602</v>
      </c>
      <c r="C818" s="92" t="s">
        <v>3603</v>
      </c>
      <c r="D818" s="72" t="str">
        <f>IFERROR(VLOOKUP(A818,'[1]ST-QA-ZZ5'!$C$5:$M$299,11,0),"Inspection at production line")</f>
        <v>Inspection at production line</v>
      </c>
      <c r="F818" s="92" t="s">
        <v>3611</v>
      </c>
      <c r="G818" s="92" t="s">
        <v>3612</v>
      </c>
      <c r="H818" s="92" t="s">
        <v>3613</v>
      </c>
      <c r="I818" s="92" t="s">
        <v>3579</v>
      </c>
      <c r="J818" s="92" t="s">
        <v>60</v>
      </c>
      <c r="K818" s="92" t="s">
        <v>633</v>
      </c>
    </row>
    <row r="819" spans="1:11" ht="13.8">
      <c r="A819" s="47" t="s">
        <v>3606</v>
      </c>
      <c r="B819" s="92" t="s">
        <v>3602</v>
      </c>
      <c r="C819" s="92" t="s">
        <v>3603</v>
      </c>
      <c r="D819" s="72" t="str">
        <f>IFERROR(VLOOKUP(A819,'[1]ST-QA-ZZ5'!$C$5:$M$299,11,0),"Inspection at production line")</f>
        <v>Inspection at production line</v>
      </c>
      <c r="F819" s="92" t="s">
        <v>3615</v>
      </c>
      <c r="G819" s="92" t="s">
        <v>3616</v>
      </c>
      <c r="H819" s="92" t="s">
        <v>3617</v>
      </c>
      <c r="I819" s="92" t="s">
        <v>3579</v>
      </c>
      <c r="J819" s="92" t="s">
        <v>60</v>
      </c>
      <c r="K819" s="92" t="s">
        <v>633</v>
      </c>
    </row>
    <row r="820" spans="1:11" ht="13.8">
      <c r="A820" s="47" t="s">
        <v>3610</v>
      </c>
      <c r="B820" s="92" t="s">
        <v>3602</v>
      </c>
      <c r="C820" s="92" t="s">
        <v>3603</v>
      </c>
      <c r="D820" s="72" t="str">
        <f>IFERROR(VLOOKUP(A820,'[1]ST-QA-ZZ5'!$C$5:$M$299,11,0),"Inspection at production line")</f>
        <v>Inspection at production line</v>
      </c>
      <c r="F820" s="92" t="s">
        <v>3619</v>
      </c>
      <c r="G820" s="92" t="s">
        <v>941</v>
      </c>
      <c r="H820" s="92" t="s">
        <v>3620</v>
      </c>
      <c r="I820" s="92" t="s">
        <v>3579</v>
      </c>
      <c r="J820" s="92" t="s">
        <v>60</v>
      </c>
      <c r="K820" s="92" t="s">
        <v>633</v>
      </c>
    </row>
    <row r="821" spans="1:11" ht="13.8">
      <c r="A821" s="47" t="s">
        <v>3614</v>
      </c>
      <c r="B821" s="92" t="s">
        <v>3602</v>
      </c>
      <c r="C821" s="92" t="s">
        <v>3603</v>
      </c>
      <c r="D821" s="72" t="str">
        <f>IFERROR(VLOOKUP(A821,'[1]ST-QA-ZZ5'!$C$5:$M$299,11,0),"Inspection at production line")</f>
        <v>Inspection at production line</v>
      </c>
      <c r="F821" s="92" t="s">
        <v>3622</v>
      </c>
      <c r="G821" s="92" t="s">
        <v>3623</v>
      </c>
      <c r="H821" s="92" t="s">
        <v>3623</v>
      </c>
      <c r="I821" s="92" t="s">
        <v>3579</v>
      </c>
      <c r="J821" s="92" t="s">
        <v>60</v>
      </c>
      <c r="K821" s="92" t="s">
        <v>633</v>
      </c>
    </row>
    <row r="822" spans="1:11" ht="13.8">
      <c r="A822" s="47" t="s">
        <v>3618</v>
      </c>
      <c r="B822" s="92" t="s">
        <v>3602</v>
      </c>
      <c r="C822" s="92" t="s">
        <v>3603</v>
      </c>
      <c r="D822" s="72" t="str">
        <f>IFERROR(VLOOKUP(A822,'[1]ST-QA-ZZ5'!$C$5:$M$299,11,0),"Inspection at production line")</f>
        <v>Inspection at production line</v>
      </c>
      <c r="F822" s="92" t="s">
        <v>3625</v>
      </c>
      <c r="G822" s="92" t="s">
        <v>3564</v>
      </c>
      <c r="H822" s="92" t="s">
        <v>3626</v>
      </c>
      <c r="I822" s="92" t="s">
        <v>3579</v>
      </c>
      <c r="J822" s="92" t="s">
        <v>60</v>
      </c>
      <c r="K822" s="92" t="s">
        <v>633</v>
      </c>
    </row>
    <row r="823" spans="1:11" ht="13.8">
      <c r="A823" s="47" t="s">
        <v>3621</v>
      </c>
      <c r="B823" s="92" t="s">
        <v>3602</v>
      </c>
      <c r="C823" s="92" t="s">
        <v>3603</v>
      </c>
      <c r="D823" s="72" t="str">
        <f>IFERROR(VLOOKUP(A823,'[1]ST-QA-ZZ5'!$C$5:$M$299,11,0),"Inspection at production line")</f>
        <v>Inspection at production line</v>
      </c>
      <c r="F823" s="92" t="s">
        <v>3628</v>
      </c>
      <c r="G823" s="92" t="s">
        <v>3623</v>
      </c>
      <c r="H823" s="92" t="s">
        <v>3623</v>
      </c>
      <c r="I823" s="92" t="s">
        <v>3579</v>
      </c>
      <c r="J823" s="92" t="s">
        <v>60</v>
      </c>
      <c r="K823" s="92" t="s">
        <v>633</v>
      </c>
    </row>
    <row r="824" spans="1:11" ht="13.8">
      <c r="A824" s="47" t="s">
        <v>3624</v>
      </c>
      <c r="B824" s="92" t="s">
        <v>3602</v>
      </c>
      <c r="C824" s="92" t="s">
        <v>3603</v>
      </c>
      <c r="D824" s="72" t="str">
        <f>IFERROR(VLOOKUP(A824,'[1]ST-QA-ZZ5'!$C$5:$M$299,11,0),"Inspection at production line")</f>
        <v>Inspection at production line</v>
      </c>
      <c r="F824" s="92" t="s">
        <v>3631</v>
      </c>
      <c r="G824" s="92" t="s">
        <v>1177</v>
      </c>
      <c r="H824" s="92" t="s">
        <v>3632</v>
      </c>
      <c r="I824" s="92" t="s">
        <v>3579</v>
      </c>
      <c r="J824" s="92" t="s">
        <v>60</v>
      </c>
      <c r="K824" s="92" t="s">
        <v>633</v>
      </c>
    </row>
    <row r="825" spans="1:11" ht="13.8">
      <c r="A825" s="47" t="s">
        <v>3627</v>
      </c>
      <c r="B825" s="92" t="s">
        <v>3602</v>
      </c>
      <c r="C825" s="92" t="s">
        <v>3603</v>
      </c>
      <c r="D825" s="72" t="str">
        <f>IFERROR(VLOOKUP(A825,'[1]ST-QA-ZZ5'!$C$5:$M$299,11,0),"Inspection at production line")</f>
        <v>Inspection at production line</v>
      </c>
      <c r="F825" s="92" t="s">
        <v>3635</v>
      </c>
      <c r="G825" s="92" t="s">
        <v>905</v>
      </c>
      <c r="H825" s="92" t="s">
        <v>3636</v>
      </c>
      <c r="I825" s="92" t="s">
        <v>3637</v>
      </c>
      <c r="J825" s="92" t="s">
        <v>60</v>
      </c>
      <c r="K825" s="92" t="s">
        <v>633</v>
      </c>
    </row>
    <row r="826" spans="1:11" ht="13.8">
      <c r="A826" s="47" t="s">
        <v>3629</v>
      </c>
      <c r="B826" s="92" t="s">
        <v>857</v>
      </c>
      <c r="C826" s="92" t="s">
        <v>3630</v>
      </c>
      <c r="D826" s="72" t="str">
        <f>IFERROR(VLOOKUP(A826,'[1]ST-QA-ZZ5'!$C$5:$M$299,11,0),"Inspection at production line")</f>
        <v>Inspection at production line</v>
      </c>
      <c r="F826" s="92" t="s">
        <v>3640</v>
      </c>
      <c r="G826" s="92" t="s">
        <v>2818</v>
      </c>
      <c r="H826" s="92" t="s">
        <v>2818</v>
      </c>
      <c r="I826" s="92" t="s">
        <v>3637</v>
      </c>
      <c r="J826" s="92" t="s">
        <v>60</v>
      </c>
      <c r="K826" s="92" t="s">
        <v>633</v>
      </c>
    </row>
    <row r="827" spans="1:11" ht="13.8">
      <c r="A827" s="47" t="s">
        <v>3633</v>
      </c>
      <c r="B827" s="92" t="s">
        <v>857</v>
      </c>
      <c r="C827" s="92" t="s">
        <v>3634</v>
      </c>
      <c r="D827" s="72" t="str">
        <f>IFERROR(VLOOKUP(A827,'[1]ST-QA-ZZ5'!$C$5:$M$299,11,0),"Inspection at production line")</f>
        <v>Inspection at production line</v>
      </c>
      <c r="F827" s="92" t="s">
        <v>3643</v>
      </c>
      <c r="G827" s="92" t="s">
        <v>3644</v>
      </c>
      <c r="H827" s="92" t="s">
        <v>3645</v>
      </c>
      <c r="I827" s="92" t="s">
        <v>3637</v>
      </c>
      <c r="J827" s="92" t="s">
        <v>60</v>
      </c>
      <c r="K827" s="92" t="s">
        <v>633</v>
      </c>
    </row>
    <row r="828" spans="1:11" ht="13.8">
      <c r="A828" s="47" t="s">
        <v>3638</v>
      </c>
      <c r="B828" s="92" t="s">
        <v>857</v>
      </c>
      <c r="C828" s="92" t="s">
        <v>3639</v>
      </c>
      <c r="D828" s="72" t="str">
        <f>IFERROR(VLOOKUP(A828,'[1]ST-QA-ZZ5'!$C$5:$M$299,11,0),"Inspection at production line")</f>
        <v>Inspection at production line</v>
      </c>
      <c r="F828" s="92" t="s">
        <v>3648</v>
      </c>
      <c r="G828" s="92" t="s">
        <v>941</v>
      </c>
      <c r="H828" s="92" t="s">
        <v>3649</v>
      </c>
      <c r="I828" s="92" t="s">
        <v>3637</v>
      </c>
      <c r="J828" s="92" t="s">
        <v>60</v>
      </c>
      <c r="K828" s="92" t="s">
        <v>633</v>
      </c>
    </row>
    <row r="829" spans="1:11" ht="13.8">
      <c r="A829" s="47" t="s">
        <v>3641</v>
      </c>
      <c r="B829" s="92" t="s">
        <v>1257</v>
      </c>
      <c r="C829" s="92" t="s">
        <v>3642</v>
      </c>
      <c r="D829" s="72" t="str">
        <f>IFERROR(VLOOKUP(A829,'[1]ST-QA-ZZ5'!$C$5:$M$299,11,0),"Inspection at production line")</f>
        <v>Inspection at production line</v>
      </c>
      <c r="F829" s="92" t="s">
        <v>3650</v>
      </c>
      <c r="G829" s="92" t="s">
        <v>2546</v>
      </c>
      <c r="H829" s="92" t="s">
        <v>3651</v>
      </c>
      <c r="I829" s="92" t="s">
        <v>3637</v>
      </c>
      <c r="J829" s="92" t="s">
        <v>60</v>
      </c>
      <c r="K829" s="92" t="s">
        <v>633</v>
      </c>
    </row>
    <row r="830" spans="1:11" ht="13.8">
      <c r="A830" s="47" t="s">
        <v>3646</v>
      </c>
      <c r="B830" s="92" t="s">
        <v>1177</v>
      </c>
      <c r="C830" s="92" t="s">
        <v>3647</v>
      </c>
      <c r="D830" s="72" t="str">
        <f>IFERROR(VLOOKUP(A830,'[1]ST-QA-ZZ5'!$C$5:$M$299,11,0),"Inspection at production line")</f>
        <v>Inspection at production line</v>
      </c>
      <c r="F830" s="92" t="s">
        <v>3654</v>
      </c>
      <c r="G830" s="92" t="s">
        <v>1592</v>
      </c>
      <c r="H830" s="92" t="s">
        <v>3373</v>
      </c>
      <c r="I830" s="92" t="s">
        <v>3637</v>
      </c>
      <c r="J830" s="92" t="s">
        <v>60</v>
      </c>
      <c r="K830" s="92" t="s">
        <v>633</v>
      </c>
    </row>
    <row r="831" spans="1:11" ht="13.8">
      <c r="A831" s="47" t="s">
        <v>3448</v>
      </c>
      <c r="B831" s="92" t="s">
        <v>905</v>
      </c>
      <c r="C831" s="92" t="s">
        <v>3449</v>
      </c>
      <c r="D831" s="72" t="str">
        <f>IFERROR(VLOOKUP(A831,'[1]ST-QA-ZZ5'!$C$5:$M$299,11,0),"Inspection at production line")</f>
        <v>Inspection at production line</v>
      </c>
      <c r="F831" s="92" t="s">
        <v>3655</v>
      </c>
      <c r="G831" s="92" t="s">
        <v>811</v>
      </c>
      <c r="H831" s="92" t="s">
        <v>3514</v>
      </c>
      <c r="I831" s="92" t="s">
        <v>3637</v>
      </c>
      <c r="J831" s="92" t="s">
        <v>60</v>
      </c>
      <c r="K831" s="92" t="s">
        <v>633</v>
      </c>
    </row>
    <row r="832" spans="1:11" ht="13.8">
      <c r="A832" s="47" t="s">
        <v>3652</v>
      </c>
      <c r="B832" s="92" t="s">
        <v>1177</v>
      </c>
      <c r="C832" s="92" t="s">
        <v>3653</v>
      </c>
      <c r="D832" s="72" t="str">
        <f>IFERROR(VLOOKUP(A832,'[1]ST-QA-ZZ5'!$C$5:$M$299,11,0),"Inspection at production line")</f>
        <v>Inspection at production line</v>
      </c>
      <c r="F832" s="92" t="s">
        <v>3656</v>
      </c>
      <c r="G832" s="92" t="s">
        <v>828</v>
      </c>
      <c r="H832" s="92" t="s">
        <v>3375</v>
      </c>
      <c r="I832" s="92" t="s">
        <v>3637</v>
      </c>
      <c r="J832" s="92" t="s">
        <v>60</v>
      </c>
      <c r="K832" s="92" t="s">
        <v>633</v>
      </c>
    </row>
    <row r="833" spans="1:11" ht="13.8">
      <c r="A833" s="47" t="s">
        <v>3452</v>
      </c>
      <c r="B833" s="92" t="s">
        <v>68</v>
      </c>
      <c r="C833" s="92" t="s">
        <v>68</v>
      </c>
      <c r="D833" s="72" t="str">
        <f>IFERROR(VLOOKUP(A833,'[1]ST-QA-ZZ5'!$C$5:$M$299,11,0),"Inspection at production line")</f>
        <v>Inspection at production line</v>
      </c>
      <c r="F833" s="92" t="s">
        <v>3657</v>
      </c>
      <c r="G833" s="92" t="s">
        <v>949</v>
      </c>
      <c r="H833" s="92" t="s">
        <v>3658</v>
      </c>
      <c r="I833" s="92" t="s">
        <v>3637</v>
      </c>
      <c r="J833" s="92" t="s">
        <v>60</v>
      </c>
      <c r="K833" s="92" t="s">
        <v>633</v>
      </c>
    </row>
    <row r="834" spans="1:11" ht="13.8">
      <c r="A834" s="47" t="s">
        <v>3456</v>
      </c>
      <c r="B834" s="92" t="s">
        <v>745</v>
      </c>
      <c r="C834" s="92" t="s">
        <v>3572</v>
      </c>
      <c r="D834" s="72" t="str">
        <f>IFERROR(VLOOKUP(A834,'[1]ST-QA-ZZ5'!$C$5:$M$299,11,0),"Inspection at production line")</f>
        <v>Inspection at production line</v>
      </c>
      <c r="F834" s="92" t="s">
        <v>3661</v>
      </c>
      <c r="G834" s="92" t="s">
        <v>1212</v>
      </c>
      <c r="H834" s="92" t="s">
        <v>3662</v>
      </c>
      <c r="I834" s="92" t="s">
        <v>106</v>
      </c>
      <c r="J834" s="92"/>
      <c r="K834" s="92" t="s">
        <v>633</v>
      </c>
    </row>
    <row r="835" spans="1:11" ht="13.8">
      <c r="A835" s="47" t="s">
        <v>3460</v>
      </c>
      <c r="B835" s="92" t="s">
        <v>745</v>
      </c>
      <c r="C835" s="92" t="s">
        <v>3461</v>
      </c>
      <c r="D835" s="72" t="str">
        <f>IFERROR(VLOOKUP(A835,'[1]ST-QA-ZZ5'!$C$5:$M$299,11,0),"Inspection at production line")</f>
        <v>Inspection at production line</v>
      </c>
      <c r="F835" s="92" t="s">
        <v>3665</v>
      </c>
      <c r="G835" s="92" t="s">
        <v>3567</v>
      </c>
      <c r="H835" s="92" t="s">
        <v>3666</v>
      </c>
      <c r="I835" s="92" t="s">
        <v>3667</v>
      </c>
      <c r="J835" s="92" t="s">
        <v>60</v>
      </c>
      <c r="K835" s="92" t="s">
        <v>633</v>
      </c>
    </row>
    <row r="836" spans="1:11" ht="13.8">
      <c r="A836" s="47" t="s">
        <v>3659</v>
      </c>
      <c r="B836" s="92" t="s">
        <v>57</v>
      </c>
      <c r="C836" s="92" t="s">
        <v>3660</v>
      </c>
      <c r="D836" s="72" t="str">
        <f>IFERROR(VLOOKUP(A836,'[1]ST-QA-ZZ5'!$C$5:$M$299,11,0),"Inspection at production line")</f>
        <v>Inspection at production line</v>
      </c>
      <c r="F836" s="92" t="s">
        <v>3669</v>
      </c>
      <c r="G836" s="92" t="s">
        <v>2511</v>
      </c>
      <c r="H836" s="92" t="s">
        <v>3670</v>
      </c>
      <c r="I836" s="92" t="s">
        <v>3667</v>
      </c>
      <c r="J836" s="92" t="s">
        <v>60</v>
      </c>
      <c r="K836" s="92" t="s">
        <v>633</v>
      </c>
    </row>
    <row r="837" spans="1:11" ht="13.8">
      <c r="A837" s="47" t="s">
        <v>3663</v>
      </c>
      <c r="B837" s="92" t="s">
        <v>1257</v>
      </c>
      <c r="C837" s="92" t="s">
        <v>3664</v>
      </c>
      <c r="D837" s="72" t="str">
        <f>IFERROR(VLOOKUP(A837,'[1]ST-QA-ZZ5'!$C$5:$M$299,11,0),"Inspection at production line")</f>
        <v>Inspection at production line</v>
      </c>
      <c r="F837" s="92" t="s">
        <v>3673</v>
      </c>
      <c r="G837" s="92" t="s">
        <v>2511</v>
      </c>
      <c r="H837" s="92" t="s">
        <v>3674</v>
      </c>
      <c r="I837" s="92" t="s">
        <v>3667</v>
      </c>
      <c r="J837" s="92" t="s">
        <v>60</v>
      </c>
      <c r="K837" s="92" t="s">
        <v>633</v>
      </c>
    </row>
    <row r="838" spans="1:11" ht="13.8">
      <c r="A838" s="47" t="s">
        <v>3668</v>
      </c>
      <c r="B838" s="92" t="s">
        <v>745</v>
      </c>
      <c r="C838" s="92" t="s">
        <v>3572</v>
      </c>
      <c r="D838" s="72" t="str">
        <f>IFERROR(VLOOKUP(A838,'[1]ST-QA-ZZ5'!$C$5:$M$299,11,0),"Inspection at production line")</f>
        <v>Inspection at production line</v>
      </c>
      <c r="F838" s="92" t="s">
        <v>3677</v>
      </c>
      <c r="G838" s="92" t="s">
        <v>953</v>
      </c>
      <c r="H838" s="92" t="s">
        <v>3441</v>
      </c>
      <c r="I838" s="92" t="s">
        <v>3667</v>
      </c>
      <c r="J838" s="92" t="s">
        <v>60</v>
      </c>
      <c r="K838" s="92" t="s">
        <v>633</v>
      </c>
    </row>
    <row r="839" spans="1:11" ht="13.8">
      <c r="A839" s="47" t="s">
        <v>3671</v>
      </c>
      <c r="B839" s="92" t="s">
        <v>1122</v>
      </c>
      <c r="C839" s="92" t="s">
        <v>3672</v>
      </c>
      <c r="D839" s="72" t="str">
        <f>IFERROR(VLOOKUP(A839,'[1]ST-QA-ZZ5'!$C$5:$M$299,11,0),"Inspection at production line")</f>
        <v>Inspection at production line</v>
      </c>
      <c r="F839" s="92" t="s">
        <v>3680</v>
      </c>
      <c r="G839" s="92" t="s">
        <v>957</v>
      </c>
      <c r="H839" s="92" t="s">
        <v>3437</v>
      </c>
      <c r="I839" s="92" t="s">
        <v>3667</v>
      </c>
      <c r="J839" s="92" t="s">
        <v>60</v>
      </c>
      <c r="K839" s="92" t="s">
        <v>633</v>
      </c>
    </row>
    <row r="840" spans="1:11" ht="13.8">
      <c r="A840" s="47" t="s">
        <v>3675</v>
      </c>
      <c r="B840" s="92" t="s">
        <v>83</v>
      </c>
      <c r="C840" s="92" t="s">
        <v>3676</v>
      </c>
      <c r="D840" s="72" t="str">
        <f>IFERROR(VLOOKUP(A840,'[1]ST-QA-ZZ5'!$C$5:$M$299,11,0),"Inspection at production line")</f>
        <v>Inspection at production line</v>
      </c>
      <c r="F840" s="92" t="s">
        <v>3683</v>
      </c>
      <c r="G840" s="92" t="s">
        <v>797</v>
      </c>
      <c r="H840" s="92" t="s">
        <v>797</v>
      </c>
      <c r="I840" s="92" t="s">
        <v>3667</v>
      </c>
      <c r="J840" s="92" t="s">
        <v>60</v>
      </c>
      <c r="K840" s="92" t="s">
        <v>633</v>
      </c>
    </row>
    <row r="841" spans="1:11" ht="13.8">
      <c r="A841" s="47" t="s">
        <v>3678</v>
      </c>
      <c r="B841" s="92" t="s">
        <v>3480</v>
      </c>
      <c r="C841" s="92" t="s">
        <v>3679</v>
      </c>
      <c r="D841" s="72" t="str">
        <f>IFERROR(VLOOKUP(A841,'[1]ST-QA-ZZ5'!$C$5:$M$299,11,0),"Inspection at production line")</f>
        <v>Inspection at production line</v>
      </c>
      <c r="F841" s="92" t="s">
        <v>3686</v>
      </c>
      <c r="G841" s="92" t="s">
        <v>905</v>
      </c>
      <c r="H841" s="92" t="s">
        <v>3548</v>
      </c>
      <c r="I841" s="92" t="s">
        <v>3667</v>
      </c>
      <c r="J841" s="92" t="s">
        <v>60</v>
      </c>
      <c r="K841" s="92" t="s">
        <v>633</v>
      </c>
    </row>
    <row r="842" spans="1:11" ht="13.8">
      <c r="A842" s="47" t="s">
        <v>3681</v>
      </c>
      <c r="B842" s="92" t="s">
        <v>3480</v>
      </c>
      <c r="C842" s="92" t="s">
        <v>3682</v>
      </c>
      <c r="D842" s="72" t="str">
        <f>IFERROR(VLOOKUP(A842,'[1]ST-QA-ZZ5'!$C$5:$M$299,11,0),"Inspection at production line")</f>
        <v>Inspection at production line</v>
      </c>
      <c r="F842" s="92" t="s">
        <v>3689</v>
      </c>
      <c r="G842" s="92" t="s">
        <v>2546</v>
      </c>
      <c r="H842" s="92" t="s">
        <v>2546</v>
      </c>
      <c r="I842" s="92" t="s">
        <v>3667</v>
      </c>
      <c r="J842" s="92" t="s">
        <v>60</v>
      </c>
      <c r="K842" s="92" t="s">
        <v>633</v>
      </c>
    </row>
    <row r="843" spans="1:11" ht="13.8">
      <c r="A843" s="47" t="s">
        <v>3684</v>
      </c>
      <c r="B843" s="92" t="s">
        <v>3454</v>
      </c>
      <c r="C843" s="92" t="s">
        <v>3685</v>
      </c>
      <c r="D843" s="72" t="str">
        <f>IFERROR(VLOOKUP(A843,'[1]ST-QA-ZZ5'!$C$5:$M$299,11,0),"Inspection at production line")</f>
        <v>Inspection at production line</v>
      </c>
      <c r="F843" s="92" t="s">
        <v>3691</v>
      </c>
      <c r="G843" s="92" t="s">
        <v>949</v>
      </c>
      <c r="H843" s="92" t="s">
        <v>3692</v>
      </c>
      <c r="I843" s="92" t="s">
        <v>3667</v>
      </c>
      <c r="J843" s="92" t="s">
        <v>60</v>
      </c>
      <c r="K843" s="92" t="s">
        <v>633</v>
      </c>
    </row>
    <row r="844" spans="1:11" ht="13.8">
      <c r="A844" s="47" t="s">
        <v>3687</v>
      </c>
      <c r="B844" s="92" t="s">
        <v>83</v>
      </c>
      <c r="C844" s="92" t="s">
        <v>3688</v>
      </c>
      <c r="D844" s="72" t="str">
        <f>IFERROR(VLOOKUP(A844,'[1]ST-QA-ZZ5'!$C$5:$M$299,11,0),"Inspection at production line")</f>
        <v>Inspection at production line</v>
      </c>
      <c r="F844" s="92" t="s">
        <v>3695</v>
      </c>
      <c r="G844" s="92" t="s">
        <v>3412</v>
      </c>
      <c r="H844" s="92" t="s">
        <v>3514</v>
      </c>
      <c r="I844" s="92" t="s">
        <v>3667</v>
      </c>
      <c r="J844" s="92" t="s">
        <v>60</v>
      </c>
      <c r="K844" s="92" t="s">
        <v>633</v>
      </c>
    </row>
    <row r="845" spans="1:11" ht="13.8">
      <c r="A845" s="47" t="s">
        <v>3690</v>
      </c>
      <c r="B845" s="92" t="s">
        <v>75</v>
      </c>
      <c r="C845" s="92" t="s">
        <v>75</v>
      </c>
      <c r="D845" s="72" t="str">
        <f>IFERROR(VLOOKUP(A845,'[1]ST-QA-ZZ5'!$C$5:$M$299,11,0),"Inspection at production line")</f>
        <v>Inspection at production line</v>
      </c>
      <c r="F845" s="92" t="s">
        <v>3698</v>
      </c>
      <c r="G845" s="92" t="s">
        <v>949</v>
      </c>
      <c r="H845" s="92" t="s">
        <v>3699</v>
      </c>
      <c r="I845" s="92" t="s">
        <v>3667</v>
      </c>
      <c r="J845" s="92" t="s">
        <v>60</v>
      </c>
      <c r="K845" s="92" t="s">
        <v>633</v>
      </c>
    </row>
    <row r="846" spans="1:11" ht="13.8">
      <c r="A846" s="47" t="s">
        <v>3693</v>
      </c>
      <c r="B846" s="92" t="s">
        <v>1257</v>
      </c>
      <c r="C846" s="92" t="s">
        <v>3694</v>
      </c>
      <c r="D846" s="72" t="str">
        <f>IFERROR(VLOOKUP(A846,'[1]ST-QA-ZZ5'!$C$5:$M$299,11,0),"Inspection at production line")</f>
        <v>Inspection at production line</v>
      </c>
      <c r="F846" s="92" t="s">
        <v>3703</v>
      </c>
      <c r="G846" s="92" t="s">
        <v>2546</v>
      </c>
      <c r="H846" s="92" t="s">
        <v>3704</v>
      </c>
      <c r="I846" s="92" t="s">
        <v>3705</v>
      </c>
      <c r="J846" s="92" t="s">
        <v>60</v>
      </c>
      <c r="K846" s="92" t="s">
        <v>633</v>
      </c>
    </row>
    <row r="847" spans="1:11" ht="13.8">
      <c r="A847" s="47" t="s">
        <v>3696</v>
      </c>
      <c r="B847" s="92" t="s">
        <v>1257</v>
      </c>
      <c r="C847" s="92" t="s">
        <v>3697</v>
      </c>
      <c r="D847" s="72" t="str">
        <f>IFERROR(VLOOKUP(A847,'[1]ST-QA-ZZ5'!$C$5:$M$299,11,0),"Inspection at production line")</f>
        <v>Inspection at production line</v>
      </c>
      <c r="F847" s="92" t="s">
        <v>3708</v>
      </c>
      <c r="G847" s="92" t="s">
        <v>941</v>
      </c>
      <c r="H847" s="92" t="s">
        <v>3709</v>
      </c>
      <c r="I847" s="92" t="s">
        <v>3705</v>
      </c>
      <c r="J847" s="92" t="s">
        <v>60</v>
      </c>
      <c r="K847" s="92" t="s">
        <v>633</v>
      </c>
    </row>
    <row r="848" spans="1:11" ht="13.8">
      <c r="A848" s="47" t="s">
        <v>3700</v>
      </c>
      <c r="B848" s="92" t="s">
        <v>3701</v>
      </c>
      <c r="C848" s="92" t="s">
        <v>3702</v>
      </c>
      <c r="D848" s="72" t="str">
        <f>IFERROR(VLOOKUP(A848,'[1]ST-QA-ZZ5'!$C$5:$M$299,11,0),"Inspection at production line")</f>
        <v>Inspection at production line</v>
      </c>
      <c r="F848" s="92" t="s">
        <v>3712</v>
      </c>
      <c r="G848" s="92" t="s">
        <v>941</v>
      </c>
      <c r="H848" s="92" t="s">
        <v>3709</v>
      </c>
      <c r="I848" s="92"/>
      <c r="J848" s="92"/>
      <c r="K848" s="92" t="s">
        <v>633</v>
      </c>
    </row>
    <row r="849" spans="1:11" ht="13.8">
      <c r="A849" s="47" t="s">
        <v>3706</v>
      </c>
      <c r="B849" s="92" t="s">
        <v>1257</v>
      </c>
      <c r="C849" s="92" t="s">
        <v>3707</v>
      </c>
      <c r="D849" s="72" t="str">
        <f>IFERROR(VLOOKUP(A849,'[1]ST-QA-ZZ5'!$C$5:$M$299,11,0),"Inspection at production line")</f>
        <v>Inspection at production line</v>
      </c>
      <c r="F849" s="92" t="s">
        <v>3715</v>
      </c>
      <c r="G849" s="92" t="s">
        <v>3454</v>
      </c>
      <c r="H849" s="92" t="s">
        <v>3716</v>
      </c>
      <c r="I849" s="92" t="s">
        <v>3705</v>
      </c>
      <c r="J849" s="92" t="s">
        <v>60</v>
      </c>
      <c r="K849" s="92" t="s">
        <v>633</v>
      </c>
    </row>
    <row r="850" spans="1:11" ht="13.8">
      <c r="A850" s="47" t="s">
        <v>3710</v>
      </c>
      <c r="B850" s="92" t="s">
        <v>1257</v>
      </c>
      <c r="C850" s="92" t="s">
        <v>3711</v>
      </c>
      <c r="D850" s="72" t="str">
        <f>IFERROR(VLOOKUP(A850,'[1]ST-QA-ZZ5'!$C$5:$M$299,11,0),"Inspection at production line")</f>
        <v>Inspection at production line</v>
      </c>
      <c r="F850" s="92" t="s">
        <v>3719</v>
      </c>
      <c r="G850" s="92" t="s">
        <v>949</v>
      </c>
      <c r="H850" s="92" t="s">
        <v>3720</v>
      </c>
      <c r="I850" s="92" t="s">
        <v>3705</v>
      </c>
      <c r="J850" s="92" t="s">
        <v>60</v>
      </c>
      <c r="K850" s="92" t="s">
        <v>633</v>
      </c>
    </row>
    <row r="851" spans="1:11" ht="13.8">
      <c r="A851" s="47" t="s">
        <v>3713</v>
      </c>
      <c r="B851" s="92" t="s">
        <v>3701</v>
      </c>
      <c r="C851" s="92" t="s">
        <v>3714</v>
      </c>
      <c r="D851" s="72" t="str">
        <f>IFERROR(VLOOKUP(A851,'[1]ST-QA-ZZ5'!$C$5:$M$299,11,0),"Inspection at production line")</f>
        <v>Inspection at production line</v>
      </c>
      <c r="F851" s="92" t="s">
        <v>3723</v>
      </c>
      <c r="G851" s="92" t="s">
        <v>1177</v>
      </c>
      <c r="H851" s="92" t="s">
        <v>3724</v>
      </c>
      <c r="I851" s="92" t="s">
        <v>3705</v>
      </c>
      <c r="J851" s="92" t="s">
        <v>60</v>
      </c>
      <c r="K851" s="92" t="s">
        <v>633</v>
      </c>
    </row>
    <row r="852" spans="1:11" ht="13.8">
      <c r="A852" s="47" t="s">
        <v>3717</v>
      </c>
      <c r="B852" s="92" t="s">
        <v>1212</v>
      </c>
      <c r="C852" s="92" t="s">
        <v>3718</v>
      </c>
      <c r="D852" s="72" t="str">
        <f>IFERROR(VLOOKUP(A852,'[1]ST-QA-ZZ5'!$C$5:$M$299,11,0),"Inspection at production line")</f>
        <v>Inspection at production line</v>
      </c>
      <c r="F852" s="92" t="s">
        <v>3727</v>
      </c>
      <c r="G852" s="92" t="s">
        <v>3728</v>
      </c>
      <c r="H852" s="92" t="s">
        <v>3728</v>
      </c>
      <c r="I852" s="92" t="s">
        <v>3705</v>
      </c>
      <c r="J852" s="92" t="s">
        <v>60</v>
      </c>
      <c r="K852" s="92" t="s">
        <v>633</v>
      </c>
    </row>
    <row r="853" spans="1:11" ht="13.8">
      <c r="A853" s="47" t="s">
        <v>3721</v>
      </c>
      <c r="B853" s="92" t="s">
        <v>1122</v>
      </c>
      <c r="C853" s="92" t="s">
        <v>3722</v>
      </c>
      <c r="D853" s="72" t="str">
        <f>IFERROR(VLOOKUP(A853,'[1]ST-QA-ZZ5'!$C$5:$M$299,11,0),"Inspection at production line")</f>
        <v>Inspection at production line</v>
      </c>
      <c r="F853" s="92" t="s">
        <v>3731</v>
      </c>
      <c r="G853" s="92" t="s">
        <v>961</v>
      </c>
      <c r="H853" s="92" t="s">
        <v>3732</v>
      </c>
      <c r="I853" s="92" t="s">
        <v>3705</v>
      </c>
      <c r="J853" s="92" t="s">
        <v>60</v>
      </c>
      <c r="K853" s="92" t="s">
        <v>633</v>
      </c>
    </row>
    <row r="854" spans="1:11" ht="13.8">
      <c r="A854" s="47" t="s">
        <v>3725</v>
      </c>
      <c r="B854" s="92" t="s">
        <v>857</v>
      </c>
      <c r="C854" s="92" t="s">
        <v>3726</v>
      </c>
      <c r="D854" s="72" t="str">
        <f>IFERROR(VLOOKUP(A854,'[1]ST-QA-ZZ5'!$C$5:$M$299,11,0),"Inspection at production line")</f>
        <v>Inspection at production line</v>
      </c>
      <c r="F854" s="92" t="s">
        <v>3735</v>
      </c>
      <c r="G854" s="92" t="s">
        <v>2511</v>
      </c>
      <c r="H854" s="92" t="s">
        <v>3736</v>
      </c>
      <c r="I854" s="92" t="s">
        <v>3705</v>
      </c>
      <c r="J854" s="92" t="s">
        <v>60</v>
      </c>
      <c r="K854" s="92" t="s">
        <v>633</v>
      </c>
    </row>
    <row r="855" spans="1:11" ht="13.8">
      <c r="A855" s="47" t="s">
        <v>3729</v>
      </c>
      <c r="B855" s="92" t="s">
        <v>2785</v>
      </c>
      <c r="C855" s="92" t="s">
        <v>3730</v>
      </c>
      <c r="D855" s="72" t="str">
        <f>IFERROR(VLOOKUP(A855,'[1]ST-QA-ZZ5'!$C$5:$M$299,11,0),"Inspection at production line")</f>
        <v>Inspection at production line</v>
      </c>
      <c r="F855" s="92" t="s">
        <v>3739</v>
      </c>
      <c r="G855" s="92" t="s">
        <v>68</v>
      </c>
      <c r="H855" s="92" t="s">
        <v>69</v>
      </c>
      <c r="I855" s="92" t="s">
        <v>3705</v>
      </c>
      <c r="J855" s="92" t="s">
        <v>60</v>
      </c>
      <c r="K855" s="92" t="s">
        <v>633</v>
      </c>
    </row>
    <row r="856" spans="1:11" ht="13.8">
      <c r="A856" s="47" t="s">
        <v>3733</v>
      </c>
      <c r="B856" s="92" t="s">
        <v>857</v>
      </c>
      <c r="C856" s="92" t="s">
        <v>3734</v>
      </c>
      <c r="D856" s="72" t="str">
        <f>IFERROR(VLOOKUP(A856,'[1]ST-QA-ZZ5'!$C$5:$M$299,11,0),"Inspection at production line")</f>
        <v>Inspection at production line</v>
      </c>
      <c r="F856" s="92" t="s">
        <v>3742</v>
      </c>
      <c r="G856" s="92" t="s">
        <v>3612</v>
      </c>
      <c r="H856" s="92" t="s">
        <v>3743</v>
      </c>
      <c r="I856" s="92" t="s">
        <v>3705</v>
      </c>
      <c r="J856" s="92" t="s">
        <v>60</v>
      </c>
      <c r="K856" s="92" t="s">
        <v>633</v>
      </c>
    </row>
    <row r="857" spans="1:11" ht="13.8">
      <c r="A857" s="47" t="s">
        <v>3737</v>
      </c>
      <c r="B857" s="92" t="s">
        <v>83</v>
      </c>
      <c r="C857" s="92" t="s">
        <v>3738</v>
      </c>
      <c r="D857" s="72" t="str">
        <f>IFERROR(VLOOKUP(A857,'[1]ST-QA-ZZ5'!$C$5:$M$299,11,0),"Inspection at production line")</f>
        <v>Inspection at production line</v>
      </c>
      <c r="F857" s="92" t="s">
        <v>3747</v>
      </c>
      <c r="G857" s="92" t="s">
        <v>905</v>
      </c>
      <c r="H857" s="92" t="s">
        <v>3748</v>
      </c>
      <c r="I857" s="92" t="s">
        <v>3705</v>
      </c>
      <c r="J857" s="92" t="s">
        <v>60</v>
      </c>
      <c r="K857" s="92" t="s">
        <v>633</v>
      </c>
    </row>
    <row r="858" spans="1:11" ht="13.8">
      <c r="A858" s="47" t="s">
        <v>3740</v>
      </c>
      <c r="B858" s="92" t="s">
        <v>857</v>
      </c>
      <c r="C858" s="92" t="s">
        <v>3741</v>
      </c>
      <c r="D858" s="72" t="str">
        <f>IFERROR(VLOOKUP(A858,'[1]ST-QA-ZZ5'!$C$5:$M$299,11,0),"Inspection at production line")</f>
        <v>Inspection at production line</v>
      </c>
      <c r="F858" s="92" t="s">
        <v>3751</v>
      </c>
      <c r="G858" s="92" t="s">
        <v>2546</v>
      </c>
      <c r="H858" s="92" t="s">
        <v>3752</v>
      </c>
      <c r="I858" s="92" t="s">
        <v>3705</v>
      </c>
      <c r="J858" s="92" t="s">
        <v>60</v>
      </c>
      <c r="K858" s="92" t="s">
        <v>633</v>
      </c>
    </row>
    <row r="859" spans="1:11" ht="13.8">
      <c r="A859" s="47" t="s">
        <v>3744</v>
      </c>
      <c r="B859" s="92" t="s">
        <v>3745</v>
      </c>
      <c r="C859" s="92" t="s">
        <v>3746</v>
      </c>
      <c r="D859" s="72" t="str">
        <f>IFERROR(VLOOKUP(A859,'[1]ST-QA-ZZ5'!$C$5:$M$299,11,0),"Inspection at production line")</f>
        <v>Inspection at production line</v>
      </c>
      <c r="F859" s="92" t="s">
        <v>3755</v>
      </c>
      <c r="G859" s="92" t="s">
        <v>1177</v>
      </c>
      <c r="H859" s="92" t="s">
        <v>3756</v>
      </c>
      <c r="I859" s="92" t="s">
        <v>3705</v>
      </c>
      <c r="J859" s="92" t="s">
        <v>60</v>
      </c>
      <c r="K859" s="92" t="s">
        <v>633</v>
      </c>
    </row>
    <row r="860" spans="1:11" ht="13.8">
      <c r="A860" s="47" t="s">
        <v>3749</v>
      </c>
      <c r="B860" s="92" t="s">
        <v>857</v>
      </c>
      <c r="C860" s="92" t="s">
        <v>3750</v>
      </c>
      <c r="D860" s="72" t="str">
        <f>IFERROR(VLOOKUP(A860,'[1]ST-QA-ZZ5'!$C$5:$M$299,11,0),"Inspection at production line")</f>
        <v>Inspection at production line</v>
      </c>
      <c r="F860" s="92" t="s">
        <v>3759</v>
      </c>
      <c r="G860" s="92" t="s">
        <v>1177</v>
      </c>
      <c r="H860" s="92" t="s">
        <v>3724</v>
      </c>
      <c r="I860" s="92" t="s">
        <v>799</v>
      </c>
      <c r="J860" s="92" t="s">
        <v>60</v>
      </c>
      <c r="K860" s="92" t="s">
        <v>633</v>
      </c>
    </row>
    <row r="861" spans="1:11" ht="13.8">
      <c r="A861" s="47" t="s">
        <v>3753</v>
      </c>
      <c r="B861" s="92" t="s">
        <v>3309</v>
      </c>
      <c r="C861" s="92" t="s">
        <v>3754</v>
      </c>
      <c r="D861" s="72" t="str">
        <f>IFERROR(VLOOKUP(A861,'[1]ST-QA-ZZ5'!$C$5:$M$299,11,0),"Inspection at production line")</f>
        <v>Inspection at production line</v>
      </c>
      <c r="F861" s="92" t="s">
        <v>3762</v>
      </c>
      <c r="G861" s="92" t="s">
        <v>1177</v>
      </c>
      <c r="H861" s="92" t="s">
        <v>3763</v>
      </c>
      <c r="I861" s="92" t="s">
        <v>799</v>
      </c>
      <c r="J861" s="92" t="s">
        <v>60</v>
      </c>
      <c r="K861" s="92" t="s">
        <v>633</v>
      </c>
    </row>
    <row r="862" spans="1:11" ht="13.8">
      <c r="A862" s="47" t="s">
        <v>3757</v>
      </c>
      <c r="B862" s="92" t="s">
        <v>3454</v>
      </c>
      <c r="C862" s="92" t="s">
        <v>3758</v>
      </c>
      <c r="D862" s="72" t="str">
        <f>IFERROR(VLOOKUP(A862,'[1]ST-QA-ZZ5'!$C$5:$M$299,11,0),"Inspection at production line")</f>
        <v>Inspection at production line</v>
      </c>
      <c r="F862" s="92" t="s">
        <v>3765</v>
      </c>
      <c r="G862" s="92" t="s">
        <v>905</v>
      </c>
      <c r="H862" s="92" t="s">
        <v>3766</v>
      </c>
      <c r="I862" s="92" t="s">
        <v>3767</v>
      </c>
      <c r="J862" s="92" t="s">
        <v>60</v>
      </c>
      <c r="K862" s="92" t="s">
        <v>633</v>
      </c>
    </row>
    <row r="863" spans="1:11" ht="13.8">
      <c r="A863" s="47" t="s">
        <v>3760</v>
      </c>
      <c r="B863" s="92" t="s">
        <v>2785</v>
      </c>
      <c r="C863" s="92" t="s">
        <v>3761</v>
      </c>
      <c r="D863" s="72" t="str">
        <f>IFERROR(VLOOKUP(A863,'[1]ST-QA-ZZ5'!$C$5:$M$299,11,0),"Inspection at production line")</f>
        <v>Inspection at production line</v>
      </c>
      <c r="F863" s="92" t="s">
        <v>3770</v>
      </c>
      <c r="G863" s="92" t="s">
        <v>3468</v>
      </c>
      <c r="H863" s="92" t="s">
        <v>3771</v>
      </c>
      <c r="I863" s="92" t="s">
        <v>3767</v>
      </c>
      <c r="J863" s="92" t="s">
        <v>60</v>
      </c>
      <c r="K863" s="92" t="s">
        <v>633</v>
      </c>
    </row>
    <row r="864" spans="1:11" ht="13.8">
      <c r="A864" s="47" t="s">
        <v>42</v>
      </c>
      <c r="B864" s="92" t="s">
        <v>3764</v>
      </c>
      <c r="C864" s="92" t="s">
        <v>3764</v>
      </c>
      <c r="D864" s="72" t="str">
        <f>IFERROR(VLOOKUP(A864,'[1]ST-QA-ZZ5'!$C$5:$M$299,11,0),"Inspection at production line")</f>
        <v>Appearance check 100%</v>
      </c>
      <c r="F864" s="92" t="s">
        <v>3775</v>
      </c>
      <c r="G864" s="92" t="s">
        <v>3473</v>
      </c>
      <c r="H864" s="92" t="s">
        <v>3776</v>
      </c>
      <c r="I864" s="92" t="s">
        <v>3767</v>
      </c>
      <c r="J864" s="92" t="s">
        <v>60</v>
      </c>
      <c r="K864" s="92" t="s">
        <v>633</v>
      </c>
    </row>
    <row r="865" spans="1:11" ht="13.8">
      <c r="A865" s="47" t="s">
        <v>3768</v>
      </c>
      <c r="B865" s="92" t="s">
        <v>843</v>
      </c>
      <c r="C865" s="92" t="s">
        <v>3769</v>
      </c>
      <c r="D865" s="72" t="str">
        <f>IFERROR(VLOOKUP(A865,'[1]ST-QA-ZZ5'!$C$5:$M$299,11,0),"Inspection at production line")</f>
        <v>Inspection at production line</v>
      </c>
      <c r="F865" s="92" t="s">
        <v>3779</v>
      </c>
      <c r="G865" s="92" t="s">
        <v>811</v>
      </c>
      <c r="H865" s="92" t="s">
        <v>3780</v>
      </c>
      <c r="I865" s="92" t="s">
        <v>3767</v>
      </c>
      <c r="J865" s="92" t="s">
        <v>60</v>
      </c>
      <c r="K865" s="92" t="s">
        <v>633</v>
      </c>
    </row>
    <row r="866" spans="1:11" ht="13.8">
      <c r="A866" s="47" t="s">
        <v>3772</v>
      </c>
      <c r="B866" s="92" t="s">
        <v>3773</v>
      </c>
      <c r="C866" s="92" t="s">
        <v>3774</v>
      </c>
      <c r="D866" s="72" t="str">
        <f>IFERROR(VLOOKUP(A866,'[1]ST-QA-ZZ5'!$C$5:$M$299,11,0),"Inspection at production line")</f>
        <v>Appearance check 100%</v>
      </c>
      <c r="F866" s="92" t="s">
        <v>3783</v>
      </c>
      <c r="G866" s="92" t="s">
        <v>797</v>
      </c>
      <c r="H866" s="92" t="s">
        <v>3784</v>
      </c>
      <c r="I866" s="92" t="s">
        <v>3767</v>
      </c>
      <c r="J866" s="92" t="s">
        <v>60</v>
      </c>
      <c r="K866" s="92" t="s">
        <v>633</v>
      </c>
    </row>
    <row r="867" spans="1:11" ht="13.8">
      <c r="A867" s="47" t="s">
        <v>3777</v>
      </c>
      <c r="B867" s="92" t="s">
        <v>279</v>
      </c>
      <c r="C867" s="92" t="s">
        <v>3778</v>
      </c>
      <c r="D867" s="72" t="str">
        <f>IFERROR(VLOOKUP(A867,'[1]ST-QA-ZZ5'!$C$5:$M$299,11,0),"Inspection at production line")</f>
        <v>Inspection at production line</v>
      </c>
      <c r="F867" s="92" t="s">
        <v>3785</v>
      </c>
      <c r="G867" s="92" t="s">
        <v>2546</v>
      </c>
      <c r="H867" s="92" t="s">
        <v>3786</v>
      </c>
      <c r="I867" s="92" t="s">
        <v>3767</v>
      </c>
      <c r="J867" s="92" t="s">
        <v>60</v>
      </c>
      <c r="K867" s="92" t="s">
        <v>633</v>
      </c>
    </row>
    <row r="868" spans="1:11" ht="13.8">
      <c r="A868" s="47" t="s">
        <v>3781</v>
      </c>
      <c r="B868" s="92" t="s">
        <v>857</v>
      </c>
      <c r="C868" s="92" t="s">
        <v>3782</v>
      </c>
      <c r="D868" s="72" t="str">
        <f>IFERROR(VLOOKUP(A868,'[1]ST-QA-ZZ5'!$C$5:$M$299,11,0),"Inspection at production line")</f>
        <v>Inspection at production line</v>
      </c>
      <c r="F868" s="92" t="s">
        <v>3787</v>
      </c>
      <c r="G868" s="92" t="s">
        <v>828</v>
      </c>
      <c r="H868" s="92" t="s">
        <v>3788</v>
      </c>
      <c r="I868" s="92" t="s">
        <v>3767</v>
      </c>
      <c r="J868" s="92" t="s">
        <v>60</v>
      </c>
      <c r="K868" s="92" t="s">
        <v>633</v>
      </c>
    </row>
    <row r="869" spans="1:11" ht="13.8">
      <c r="A869" s="47" t="s">
        <v>2825</v>
      </c>
      <c r="B869" s="92" t="s">
        <v>704</v>
      </c>
      <c r="C869" s="92">
        <v>581143</v>
      </c>
      <c r="D869" s="72" t="str">
        <f>IFERROR(VLOOKUP(A869,'[1]ST-QA-ZZ5'!$C$5:$M$299,11,0),"Inspection at production line")</f>
        <v>Inspection at production line</v>
      </c>
      <c r="F869" s="92" t="s">
        <v>3789</v>
      </c>
      <c r="G869" s="92" t="s">
        <v>1177</v>
      </c>
      <c r="H869" s="92" t="s">
        <v>3790</v>
      </c>
      <c r="I869" s="92" t="s">
        <v>3767</v>
      </c>
      <c r="J869" s="92" t="s">
        <v>60</v>
      </c>
      <c r="K869" s="92" t="s">
        <v>633</v>
      </c>
    </row>
    <row r="870" spans="1:11" ht="13.8">
      <c r="A870" s="47" t="s">
        <v>2828</v>
      </c>
      <c r="B870" s="92" t="s">
        <v>704</v>
      </c>
      <c r="C870" s="92">
        <v>581144</v>
      </c>
      <c r="D870" s="72" t="str">
        <f>IFERROR(VLOOKUP(A870,'[1]ST-QA-ZZ5'!$C$5:$M$299,11,0),"Inspection at production line")</f>
        <v>Inspection at production line</v>
      </c>
      <c r="F870" s="92" t="s">
        <v>3793</v>
      </c>
      <c r="G870" s="92" t="s">
        <v>905</v>
      </c>
      <c r="H870" s="92" t="s">
        <v>3794</v>
      </c>
      <c r="I870" s="92" t="s">
        <v>3767</v>
      </c>
      <c r="J870" s="92" t="s">
        <v>60</v>
      </c>
      <c r="K870" s="92" t="s">
        <v>633</v>
      </c>
    </row>
    <row r="871" spans="1:11" ht="13.8">
      <c r="A871" s="47" t="s">
        <v>2830</v>
      </c>
      <c r="B871" s="92" t="s">
        <v>941</v>
      </c>
      <c r="C871" s="92" t="s">
        <v>2831</v>
      </c>
      <c r="D871" s="72" t="str">
        <f>IFERROR(VLOOKUP(A871,'[1]ST-QA-ZZ5'!$C$5:$M$299,11,0),"Inspection at production line")</f>
        <v>Inspection at production line</v>
      </c>
      <c r="F871" s="92" t="s">
        <v>3797</v>
      </c>
      <c r="G871" s="92" t="s">
        <v>3468</v>
      </c>
      <c r="H871" s="92"/>
      <c r="I871" s="92" t="s">
        <v>3767</v>
      </c>
      <c r="J871" s="92" t="s">
        <v>60</v>
      </c>
      <c r="K871" s="92" t="s">
        <v>633</v>
      </c>
    </row>
    <row r="872" spans="1:11" ht="13.8">
      <c r="A872" s="47" t="s">
        <v>3791</v>
      </c>
      <c r="B872" s="92" t="s">
        <v>75</v>
      </c>
      <c r="C872" s="92" t="s">
        <v>3792</v>
      </c>
      <c r="D872" s="72" t="str">
        <f>IFERROR(VLOOKUP(A872,'[1]ST-QA-ZZ5'!$C$5:$M$299,11,0),"Inspection at production line")</f>
        <v>Inspection at production line</v>
      </c>
      <c r="F872" s="92" t="s">
        <v>3800</v>
      </c>
      <c r="G872" s="92" t="s">
        <v>57</v>
      </c>
      <c r="H872" s="92" t="s">
        <v>3801</v>
      </c>
      <c r="I872" s="92" t="s">
        <v>3767</v>
      </c>
      <c r="J872" s="92" t="s">
        <v>60</v>
      </c>
      <c r="K872" s="92" t="s">
        <v>633</v>
      </c>
    </row>
    <row r="873" spans="1:11" ht="13.8">
      <c r="A873" s="47" t="s">
        <v>3795</v>
      </c>
      <c r="B873" s="92" t="s">
        <v>3701</v>
      </c>
      <c r="C873" s="92" t="s">
        <v>3796</v>
      </c>
      <c r="D873" s="72" t="str">
        <f>IFERROR(VLOOKUP(A873,'[1]ST-QA-ZZ5'!$C$5:$M$299,11,0),"Inspection at production line")</f>
        <v>Inspection at production line</v>
      </c>
      <c r="F873" s="92" t="s">
        <v>3804</v>
      </c>
      <c r="G873" s="92" t="s">
        <v>3543</v>
      </c>
      <c r="H873" s="92" t="s">
        <v>3805</v>
      </c>
      <c r="I873" s="92" t="s">
        <v>3767</v>
      </c>
      <c r="J873" s="92" t="s">
        <v>60</v>
      </c>
      <c r="K873" s="92" t="s">
        <v>633</v>
      </c>
    </row>
    <row r="874" spans="1:11" ht="13.8">
      <c r="A874" s="47" t="s">
        <v>3798</v>
      </c>
      <c r="B874" s="92" t="s">
        <v>3701</v>
      </c>
      <c r="C874" s="92" t="s">
        <v>3799</v>
      </c>
      <c r="D874" s="72" t="str">
        <f>IFERROR(VLOOKUP(A874,'[1]ST-QA-ZZ5'!$C$5:$M$299,11,0),"Inspection at production line")</f>
        <v>Inspection at production line</v>
      </c>
      <c r="F874" s="92" t="s">
        <v>3808</v>
      </c>
      <c r="G874" s="92" t="s">
        <v>1177</v>
      </c>
      <c r="H874" s="92" t="s">
        <v>3809</v>
      </c>
      <c r="I874" s="92" t="s">
        <v>3810</v>
      </c>
      <c r="J874" s="92" t="s">
        <v>60</v>
      </c>
      <c r="K874" s="92" t="s">
        <v>633</v>
      </c>
    </row>
    <row r="875" spans="1:11" ht="13.8">
      <c r="A875" s="47" t="s">
        <v>3802</v>
      </c>
      <c r="B875" s="92" t="s">
        <v>3701</v>
      </c>
      <c r="C875" s="92" t="s">
        <v>3803</v>
      </c>
      <c r="D875" s="72" t="str">
        <f>IFERROR(VLOOKUP(A875,'[1]ST-QA-ZZ5'!$C$5:$M$299,11,0),"Inspection at production line")</f>
        <v>Inspection at production line</v>
      </c>
      <c r="F875" s="92" t="s">
        <v>3811</v>
      </c>
      <c r="G875" s="92" t="s">
        <v>3564</v>
      </c>
      <c r="H875" s="92" t="s">
        <v>3812</v>
      </c>
      <c r="I875" s="92" t="s">
        <v>3810</v>
      </c>
      <c r="J875" s="92" t="s">
        <v>60</v>
      </c>
      <c r="K875" s="92" t="s">
        <v>633</v>
      </c>
    </row>
    <row r="876" spans="1:11" ht="13.8">
      <c r="A876" s="47" t="s">
        <v>3806</v>
      </c>
      <c r="B876" s="92" t="s">
        <v>3701</v>
      </c>
      <c r="C876" s="92" t="s">
        <v>3807</v>
      </c>
      <c r="D876" s="72" t="str">
        <f>IFERROR(VLOOKUP(A876,'[1]ST-QA-ZZ5'!$C$5:$M$299,11,0),"Inspection at production line")</f>
        <v>Inspection at production line</v>
      </c>
      <c r="F876" s="92" t="s">
        <v>3813</v>
      </c>
      <c r="G876" s="92" t="s">
        <v>849</v>
      </c>
      <c r="H876" s="92" t="s">
        <v>3814</v>
      </c>
      <c r="I876" s="92" t="s">
        <v>2695</v>
      </c>
      <c r="J876" s="92" t="s">
        <v>60</v>
      </c>
      <c r="K876" s="92" t="s">
        <v>633</v>
      </c>
    </row>
    <row r="877" spans="1:11" ht="13.8">
      <c r="A877" s="47" t="s">
        <v>2833</v>
      </c>
      <c r="B877" s="92" t="s">
        <v>75</v>
      </c>
      <c r="C877" s="92" t="s">
        <v>76</v>
      </c>
      <c r="D877" s="72" t="str">
        <f>IFERROR(VLOOKUP(A877,'[1]ST-QA-ZZ5'!$C$5:$M$299,11,0),"Inspection at production line")</f>
        <v>Inspection at production line</v>
      </c>
      <c r="F877" s="92" t="s">
        <v>738</v>
      </c>
      <c r="G877" s="92" t="s">
        <v>630</v>
      </c>
      <c r="H877" s="92" t="s">
        <v>739</v>
      </c>
      <c r="I877" s="92" t="s">
        <v>2695</v>
      </c>
      <c r="J877" s="92" t="s">
        <v>60</v>
      </c>
      <c r="K877" s="92" t="s">
        <v>633</v>
      </c>
    </row>
    <row r="878" spans="1:11" ht="13.8">
      <c r="A878" s="47" t="s">
        <v>2835</v>
      </c>
      <c r="B878" s="92" t="s">
        <v>1070</v>
      </c>
      <c r="C878" s="92" t="s">
        <v>2836</v>
      </c>
      <c r="D878" s="72" t="str">
        <f>IFERROR(VLOOKUP(A878,'[1]ST-QA-ZZ5'!$C$5:$M$299,11,0),"Inspection at production line")</f>
        <v>Inspection at production line</v>
      </c>
      <c r="F878" s="92" t="s">
        <v>3815</v>
      </c>
      <c r="G878" s="92" t="s">
        <v>90</v>
      </c>
      <c r="H878" s="92" t="s">
        <v>3816</v>
      </c>
      <c r="I878" s="92" t="s">
        <v>2695</v>
      </c>
      <c r="J878" s="92" t="s">
        <v>60</v>
      </c>
      <c r="K878" s="92" t="s">
        <v>633</v>
      </c>
    </row>
    <row r="879" spans="1:11" ht="13.8">
      <c r="A879" s="47" t="s">
        <v>2837</v>
      </c>
      <c r="B879" s="92" t="s">
        <v>1070</v>
      </c>
      <c r="C879" s="92" t="s">
        <v>2838</v>
      </c>
      <c r="D879" s="72" t="str">
        <f>IFERROR(VLOOKUP(A879,'[1]ST-QA-ZZ5'!$C$5:$M$299,11,0),"Inspection at production line")</f>
        <v>Inspection at production line</v>
      </c>
      <c r="F879" s="92" t="s">
        <v>3817</v>
      </c>
      <c r="G879" s="92" t="s">
        <v>900</v>
      </c>
      <c r="H879" s="92" t="s">
        <v>3818</v>
      </c>
      <c r="I879" s="92" t="s">
        <v>2695</v>
      </c>
      <c r="J879" s="92" t="s">
        <v>60</v>
      </c>
      <c r="K879" s="92" t="s">
        <v>633</v>
      </c>
    </row>
    <row r="880" spans="1:11" ht="13.8">
      <c r="A880" s="47" t="s">
        <v>2840</v>
      </c>
      <c r="B880" s="92" t="s">
        <v>1070</v>
      </c>
      <c r="C880" s="92" t="s">
        <v>2841</v>
      </c>
      <c r="D880" s="72" t="str">
        <f>IFERROR(VLOOKUP(A880,'[1]ST-QA-ZZ5'!$C$5:$M$299,11,0),"Inspection at production line")</f>
        <v>Inspection at production line</v>
      </c>
      <c r="F880" s="92" t="s">
        <v>3819</v>
      </c>
      <c r="G880" s="92" t="s">
        <v>900</v>
      </c>
      <c r="H880" s="92" t="s">
        <v>3820</v>
      </c>
      <c r="I880" s="92" t="s">
        <v>2695</v>
      </c>
      <c r="J880" s="92" t="s">
        <v>60</v>
      </c>
      <c r="K880" s="92" t="s">
        <v>633</v>
      </c>
    </row>
    <row r="881" spans="1:11" ht="13.8">
      <c r="A881" s="47" t="s">
        <v>2842</v>
      </c>
      <c r="B881" s="92" t="s">
        <v>1070</v>
      </c>
      <c r="C881" s="92" t="s">
        <v>2843</v>
      </c>
      <c r="D881" s="72" t="str">
        <f>IFERROR(VLOOKUP(A881,'[1]ST-QA-ZZ5'!$C$5:$M$299,11,0),"Inspection at production line")</f>
        <v>Inspection at production line</v>
      </c>
      <c r="F881" s="92" t="s">
        <v>3823</v>
      </c>
      <c r="G881" s="92" t="s">
        <v>900</v>
      </c>
      <c r="H881" s="92" t="s">
        <v>3824</v>
      </c>
      <c r="I881" s="92" t="s">
        <v>2695</v>
      </c>
      <c r="J881" s="92" t="s">
        <v>60</v>
      </c>
      <c r="K881" s="92" t="s">
        <v>633</v>
      </c>
    </row>
    <row r="882" spans="1:11" ht="13.8">
      <c r="A882" s="47" t="s">
        <v>2844</v>
      </c>
      <c r="B882" s="92" t="s">
        <v>811</v>
      </c>
      <c r="C882" s="92" t="s">
        <v>2845</v>
      </c>
      <c r="D882" s="72" t="str">
        <f>IFERROR(VLOOKUP(A882,'[1]ST-QA-ZZ5'!$C$5:$M$299,11,0),"Inspection at production line")</f>
        <v>Inspection at production line</v>
      </c>
      <c r="F882" s="92" t="s">
        <v>3827</v>
      </c>
      <c r="G882" s="92" t="s">
        <v>745</v>
      </c>
      <c r="H882" s="92" t="s">
        <v>3828</v>
      </c>
      <c r="I882" s="92" t="s">
        <v>2695</v>
      </c>
      <c r="J882" s="92" t="s">
        <v>60</v>
      </c>
      <c r="K882" s="92" t="s">
        <v>633</v>
      </c>
    </row>
    <row r="883" spans="1:11" ht="13.8">
      <c r="A883" s="47" t="s">
        <v>3821</v>
      </c>
      <c r="B883" s="92" t="s">
        <v>1273</v>
      </c>
      <c r="C883" s="92" t="s">
        <v>3822</v>
      </c>
      <c r="D883" s="72" t="str">
        <f>IFERROR(VLOOKUP(A883,'[1]ST-QA-ZZ5'!$C$5:$M$299,11,0),"Inspection at production line")</f>
        <v>Inspection at production line</v>
      </c>
      <c r="F883" s="92" t="s">
        <v>3827</v>
      </c>
      <c r="G883" s="92" t="s">
        <v>745</v>
      </c>
      <c r="H883" s="92" t="s">
        <v>3831</v>
      </c>
      <c r="I883" s="92" t="s">
        <v>3832</v>
      </c>
      <c r="J883" s="92"/>
      <c r="K883" s="92" t="s">
        <v>633</v>
      </c>
    </row>
    <row r="884" spans="1:11" ht="13.8">
      <c r="A884" s="47" t="s">
        <v>3825</v>
      </c>
      <c r="B884" s="92" t="s">
        <v>3309</v>
      </c>
      <c r="C884" s="92" t="s">
        <v>3826</v>
      </c>
      <c r="D884" s="72" t="str">
        <f>IFERROR(VLOOKUP(A884,'[1]ST-QA-ZZ5'!$C$5:$M$299,11,0),"Inspection at production line")</f>
        <v>Inspection at production line</v>
      </c>
      <c r="F884" s="92" t="s">
        <v>3833</v>
      </c>
      <c r="G884" s="92" t="s">
        <v>1070</v>
      </c>
      <c r="H884" s="92" t="s">
        <v>3834</v>
      </c>
      <c r="I884" s="92" t="s">
        <v>3832</v>
      </c>
      <c r="J884" s="92"/>
      <c r="K884" s="92" t="s">
        <v>633</v>
      </c>
    </row>
    <row r="885" spans="1:11" ht="13.8">
      <c r="A885" s="47" t="s">
        <v>3829</v>
      </c>
      <c r="B885" s="92" t="s">
        <v>3309</v>
      </c>
      <c r="C885" s="92" t="s">
        <v>3830</v>
      </c>
      <c r="D885" s="72" t="str">
        <f>IFERROR(VLOOKUP(A885,'[1]ST-QA-ZZ5'!$C$5:$M$299,11,0),"Inspection at production line")</f>
        <v>Inspection at production line</v>
      </c>
      <c r="F885" s="92" t="s">
        <v>3837</v>
      </c>
      <c r="G885" s="92" t="s">
        <v>90</v>
      </c>
      <c r="H885" s="92" t="s">
        <v>3838</v>
      </c>
      <c r="I885" s="92" t="s">
        <v>3832</v>
      </c>
      <c r="J885" s="92"/>
      <c r="K885" s="92" t="s">
        <v>633</v>
      </c>
    </row>
    <row r="886" spans="1:11" ht="13.8">
      <c r="A886" s="47" t="s">
        <v>2846</v>
      </c>
      <c r="B886" s="92" t="s">
        <v>1513</v>
      </c>
      <c r="C886" s="92" t="s">
        <v>2847</v>
      </c>
      <c r="D886" s="72" t="str">
        <f>IFERROR(VLOOKUP(A886,'[1]ST-QA-ZZ5'!$C$5:$M$299,11,0),"Inspection at production line")</f>
        <v>Inspection at production line</v>
      </c>
      <c r="F886" s="92" t="s">
        <v>3839</v>
      </c>
      <c r="G886" s="92" t="s">
        <v>745</v>
      </c>
      <c r="H886" s="92" t="s">
        <v>3840</v>
      </c>
      <c r="I886" s="92" t="s">
        <v>3832</v>
      </c>
      <c r="J886" s="92" t="s">
        <v>60</v>
      </c>
      <c r="K886" s="92" t="s">
        <v>633</v>
      </c>
    </row>
    <row r="887" spans="1:11" ht="13.8">
      <c r="A887" s="47" t="s">
        <v>3835</v>
      </c>
      <c r="B887" s="92" t="s">
        <v>1513</v>
      </c>
      <c r="C887" s="92" t="s">
        <v>3836</v>
      </c>
      <c r="D887" s="72" t="str">
        <f>IFERROR(VLOOKUP(A887,'[1]ST-QA-ZZ5'!$C$5:$M$299,11,0),"Inspection at production line")</f>
        <v>Sampling check</v>
      </c>
      <c r="F887" s="92" t="s">
        <v>3844</v>
      </c>
      <c r="G887" s="92" t="s">
        <v>1070</v>
      </c>
      <c r="H887" s="92" t="s">
        <v>3845</v>
      </c>
      <c r="I887" s="92" t="s">
        <v>3832</v>
      </c>
      <c r="J887" s="92" t="s">
        <v>60</v>
      </c>
      <c r="K887" s="92" t="s">
        <v>633</v>
      </c>
    </row>
    <row r="888" spans="1:11" ht="13.8">
      <c r="A888" s="47" t="s">
        <v>2848</v>
      </c>
      <c r="B888" s="92" t="s">
        <v>2849</v>
      </c>
      <c r="C888" s="92" t="s">
        <v>2850</v>
      </c>
      <c r="D888" s="72" t="str">
        <f>IFERROR(VLOOKUP(A888,'[1]ST-QA-ZZ5'!$C$5:$M$299,11,0),"Inspection at production line")</f>
        <v>Inspection at production line</v>
      </c>
      <c r="F888" s="92" t="s">
        <v>3849</v>
      </c>
      <c r="G888" s="92" t="s">
        <v>90</v>
      </c>
      <c r="H888" s="92" t="s">
        <v>3850</v>
      </c>
      <c r="I888" s="92" t="s">
        <v>3832</v>
      </c>
      <c r="J888" s="92" t="s">
        <v>60</v>
      </c>
      <c r="K888" s="92" t="s">
        <v>633</v>
      </c>
    </row>
    <row r="889" spans="1:11" ht="13.8">
      <c r="A889" s="47" t="s">
        <v>3841</v>
      </c>
      <c r="B889" s="92" t="s">
        <v>3842</v>
      </c>
      <c r="C889" s="92" t="s">
        <v>3843</v>
      </c>
      <c r="D889" s="72" t="str">
        <f>IFERROR(VLOOKUP(A889,'[1]ST-QA-ZZ5'!$C$5:$M$299,11,0),"Inspection at production line")</f>
        <v>Inspection at production line</v>
      </c>
      <c r="F889" s="92" t="s">
        <v>3854</v>
      </c>
      <c r="G889" s="92" t="s">
        <v>1070</v>
      </c>
      <c r="H889" s="92" t="s">
        <v>3855</v>
      </c>
      <c r="I889" s="92" t="s">
        <v>3832</v>
      </c>
      <c r="J889" s="92" t="s">
        <v>60</v>
      </c>
      <c r="K889" s="92" t="s">
        <v>633</v>
      </c>
    </row>
    <row r="890" spans="1:11" ht="13.8">
      <c r="A890" s="47" t="s">
        <v>3846</v>
      </c>
      <c r="B890" s="92" t="s">
        <v>3847</v>
      </c>
      <c r="C890" s="92" t="s">
        <v>3848</v>
      </c>
      <c r="D890" s="72" t="str">
        <f>IFERROR(VLOOKUP(A890,'[1]ST-QA-ZZ5'!$C$5:$M$299,11,0),"Inspection at production line")</f>
        <v>Inspection at production line</v>
      </c>
      <c r="F890" s="92" t="s">
        <v>3858</v>
      </c>
      <c r="G890" s="92" t="s">
        <v>90</v>
      </c>
      <c r="H890" s="92" t="s">
        <v>3859</v>
      </c>
      <c r="I890" s="92" t="s">
        <v>3832</v>
      </c>
      <c r="J890" s="92" t="s">
        <v>60</v>
      </c>
      <c r="K890" s="92" t="s">
        <v>633</v>
      </c>
    </row>
    <row r="891" spans="1:11" ht="13.8">
      <c r="A891" s="47" t="s">
        <v>3851</v>
      </c>
      <c r="B891" s="92" t="s">
        <v>3852</v>
      </c>
      <c r="C891" s="92" t="s">
        <v>3853</v>
      </c>
      <c r="D891" s="72" t="str">
        <f>IFERROR(VLOOKUP(A891,'[1]ST-QA-ZZ5'!$C$5:$M$299,11,0),"Inspection at production line")</f>
        <v>Inspection at production line</v>
      </c>
      <c r="F891" s="92" t="s">
        <v>3863</v>
      </c>
      <c r="G891" s="92" t="s">
        <v>1070</v>
      </c>
      <c r="H891" s="92" t="s">
        <v>3864</v>
      </c>
      <c r="I891" s="92" t="s">
        <v>3832</v>
      </c>
      <c r="J891" s="92" t="s">
        <v>60</v>
      </c>
      <c r="K891" s="92" t="s">
        <v>633</v>
      </c>
    </row>
    <row r="892" spans="1:11" ht="13.8">
      <c r="A892" s="47" t="s">
        <v>3856</v>
      </c>
      <c r="B892" s="92" t="s">
        <v>3852</v>
      </c>
      <c r="C892" s="92" t="s">
        <v>3857</v>
      </c>
      <c r="D892" s="72" t="str">
        <f>IFERROR(VLOOKUP(A892,'[1]ST-QA-ZZ5'!$C$5:$M$299,11,0),"Inspection at production line")</f>
        <v>Inspection at production line</v>
      </c>
      <c r="F892" s="92" t="s">
        <v>3867</v>
      </c>
      <c r="G892" s="92" t="s">
        <v>90</v>
      </c>
      <c r="H892" s="92" t="s">
        <v>3868</v>
      </c>
      <c r="I892" s="92" t="s">
        <v>3832</v>
      </c>
      <c r="J892" s="92" t="s">
        <v>60</v>
      </c>
      <c r="K892" s="92" t="s">
        <v>633</v>
      </c>
    </row>
    <row r="893" spans="1:11" ht="13.8">
      <c r="A893" s="47" t="s">
        <v>3860</v>
      </c>
      <c r="B893" s="92" t="s">
        <v>3861</v>
      </c>
      <c r="C893" s="92" t="s">
        <v>3862</v>
      </c>
      <c r="D893" s="72" t="str">
        <f>IFERROR(VLOOKUP(A893,'[1]ST-QA-ZZ5'!$C$5:$M$299,11,0),"Inspection at production line")</f>
        <v>Inspection at production line</v>
      </c>
      <c r="F893" s="92" t="s">
        <v>3871</v>
      </c>
      <c r="G893" s="92" t="s">
        <v>900</v>
      </c>
      <c r="H893" s="92" t="s">
        <v>3872</v>
      </c>
      <c r="I893" s="92" t="s">
        <v>2695</v>
      </c>
      <c r="J893" s="92" t="s">
        <v>60</v>
      </c>
      <c r="K893" s="92" t="s">
        <v>633</v>
      </c>
    </row>
    <row r="894" spans="1:11" ht="13.8">
      <c r="A894" s="47" t="s">
        <v>3865</v>
      </c>
      <c r="B894" s="92" t="s">
        <v>3861</v>
      </c>
      <c r="C894" s="92" t="s">
        <v>3866</v>
      </c>
      <c r="D894" s="72" t="str">
        <f>IFERROR(VLOOKUP(A894,'[1]ST-QA-ZZ5'!$C$5:$M$299,11,0),"Inspection at production line")</f>
        <v>Inspection at production line</v>
      </c>
      <c r="F894" s="92" t="s">
        <v>3873</v>
      </c>
      <c r="G894" s="92" t="s">
        <v>1070</v>
      </c>
      <c r="H894" s="92" t="s">
        <v>3874</v>
      </c>
      <c r="I894" s="92" t="s">
        <v>3832</v>
      </c>
      <c r="J894" s="92" t="s">
        <v>60</v>
      </c>
      <c r="K894" s="92" t="s">
        <v>633</v>
      </c>
    </row>
    <row r="895" spans="1:11" ht="13.8">
      <c r="A895" s="47" t="s">
        <v>3869</v>
      </c>
      <c r="B895" s="92" t="s">
        <v>3612</v>
      </c>
      <c r="C895" s="92" t="s">
        <v>3870</v>
      </c>
      <c r="D895" s="72" t="str">
        <f>IFERROR(VLOOKUP(A895,'[1]ST-QA-ZZ5'!$C$5:$M$299,11,0),"Inspection at production line")</f>
        <v>Inspection at production line</v>
      </c>
      <c r="F895" s="92" t="s">
        <v>3875</v>
      </c>
      <c r="G895" s="92" t="s">
        <v>90</v>
      </c>
      <c r="H895" s="92" t="s">
        <v>3876</v>
      </c>
      <c r="I895" s="92" t="s">
        <v>3832</v>
      </c>
      <c r="J895" s="92" t="s">
        <v>60</v>
      </c>
      <c r="K895" s="92" t="s">
        <v>633</v>
      </c>
    </row>
    <row r="896" spans="1:11" ht="13.8">
      <c r="A896" s="47" t="s">
        <v>2852</v>
      </c>
      <c r="B896" s="92" t="s">
        <v>975</v>
      </c>
      <c r="C896" s="92" t="s">
        <v>2853</v>
      </c>
      <c r="D896" s="72" t="str">
        <f>IFERROR(VLOOKUP(A896,'[1]ST-QA-ZZ5'!$C$5:$M$299,11,0),"Inspection at production line")</f>
        <v>Inspection at production line</v>
      </c>
      <c r="F896" s="92" t="s">
        <v>3878</v>
      </c>
      <c r="G896" s="92" t="s">
        <v>1070</v>
      </c>
      <c r="H896" s="92" t="s">
        <v>3879</v>
      </c>
      <c r="I896" s="92" t="s">
        <v>3832</v>
      </c>
      <c r="J896" s="92" t="s">
        <v>60</v>
      </c>
      <c r="K896" s="92" t="s">
        <v>633</v>
      </c>
    </row>
    <row r="897" spans="1:11" ht="13.8">
      <c r="A897" s="47" t="s">
        <v>2854</v>
      </c>
      <c r="B897" s="92" t="s">
        <v>975</v>
      </c>
      <c r="C897" s="92" t="s">
        <v>2855</v>
      </c>
      <c r="D897" s="72" t="str">
        <f>IFERROR(VLOOKUP(A897,'[1]ST-QA-ZZ5'!$C$5:$M$299,11,0),"Inspection at production line")</f>
        <v>Inspection at production line</v>
      </c>
      <c r="F897" s="92" t="s">
        <v>3880</v>
      </c>
      <c r="G897" s="92" t="s">
        <v>90</v>
      </c>
      <c r="H897" s="92" t="s">
        <v>3881</v>
      </c>
      <c r="I897" s="92" t="s">
        <v>3832</v>
      </c>
      <c r="J897" s="92" t="s">
        <v>60</v>
      </c>
      <c r="K897" s="92" t="s">
        <v>633</v>
      </c>
    </row>
    <row r="898" spans="1:11" ht="13.8">
      <c r="A898" s="47" t="s">
        <v>3877</v>
      </c>
      <c r="B898" s="92" t="s">
        <v>843</v>
      </c>
      <c r="C898" s="92" t="s">
        <v>2857</v>
      </c>
      <c r="D898" s="72" t="str">
        <f>IFERROR(VLOOKUP(A898,'[1]ST-QA-ZZ5'!$C$5:$M$299,11,0),"Inspection at production line")</f>
        <v>Inspection at production line</v>
      </c>
      <c r="F898" s="92" t="s">
        <v>3883</v>
      </c>
      <c r="G898" s="92" t="s">
        <v>809</v>
      </c>
      <c r="H898" s="92" t="s">
        <v>3884</v>
      </c>
      <c r="I898" s="92" t="s">
        <v>2695</v>
      </c>
      <c r="J898" s="92" t="s">
        <v>60</v>
      </c>
      <c r="K898" s="92" t="s">
        <v>633</v>
      </c>
    </row>
    <row r="899" spans="1:11" ht="13.8">
      <c r="A899" s="47" t="s">
        <v>2856</v>
      </c>
      <c r="B899" s="92" t="s">
        <v>843</v>
      </c>
      <c r="C899" s="92" t="s">
        <v>2857</v>
      </c>
      <c r="D899" s="72" t="str">
        <f>IFERROR(VLOOKUP(A899,'[1]ST-QA-ZZ5'!$C$5:$M$299,11,0),"Inspection at production line")</f>
        <v>Inspection at production line</v>
      </c>
      <c r="F899" s="92" t="s">
        <v>3885</v>
      </c>
      <c r="G899" s="92" t="s">
        <v>877</v>
      </c>
      <c r="H899" s="92" t="s">
        <v>878</v>
      </c>
      <c r="I899" s="92" t="s">
        <v>2695</v>
      </c>
      <c r="J899" s="92" t="s">
        <v>60</v>
      </c>
      <c r="K899" s="92" t="s">
        <v>633</v>
      </c>
    </row>
    <row r="900" spans="1:11" ht="13.8">
      <c r="A900" s="47" t="s">
        <v>3882</v>
      </c>
      <c r="B900" s="92" t="s">
        <v>843</v>
      </c>
      <c r="C900" s="92" t="s">
        <v>2860</v>
      </c>
      <c r="D900" s="72" t="str">
        <f>IFERROR(VLOOKUP(A900,'[1]ST-QA-ZZ5'!$C$5:$M$299,11,0),"Inspection at production line")</f>
        <v>Inspection at production line</v>
      </c>
      <c r="F900" s="92" t="s">
        <v>3887</v>
      </c>
      <c r="G900" s="92" t="s">
        <v>3029</v>
      </c>
      <c r="H900" s="92" t="s">
        <v>3888</v>
      </c>
      <c r="I900" s="92" t="s">
        <v>2695</v>
      </c>
      <c r="J900" s="92" t="s">
        <v>60</v>
      </c>
      <c r="K900" s="92" t="s">
        <v>633</v>
      </c>
    </row>
    <row r="901" spans="1:11" ht="13.8">
      <c r="A901" s="47" t="s">
        <v>2859</v>
      </c>
      <c r="B901" s="92" t="s">
        <v>843</v>
      </c>
      <c r="C901" s="92" t="s">
        <v>2860</v>
      </c>
      <c r="D901" s="72" t="str">
        <f>IFERROR(VLOOKUP(A901,'[1]ST-QA-ZZ5'!$C$5:$M$299,11,0),"Inspection at production line")</f>
        <v>Inspection at production line</v>
      </c>
      <c r="F901" s="92" t="s">
        <v>3889</v>
      </c>
      <c r="G901" s="92" t="s">
        <v>75</v>
      </c>
      <c r="H901" s="92" t="s">
        <v>3890</v>
      </c>
      <c r="I901" s="92" t="s">
        <v>2695</v>
      </c>
      <c r="J901" s="92" t="s">
        <v>60</v>
      </c>
      <c r="K901" s="92" t="s">
        <v>633</v>
      </c>
    </row>
    <row r="902" spans="1:11" ht="13.8">
      <c r="A902" s="47" t="s">
        <v>3886</v>
      </c>
      <c r="B902" s="92" t="s">
        <v>83</v>
      </c>
      <c r="C902" s="92" t="s">
        <v>2865</v>
      </c>
      <c r="D902" s="72" t="str">
        <f>IFERROR(VLOOKUP(A902,'[1]ST-QA-ZZ5'!$C$5:$M$299,11,0),"Inspection at production line")</f>
        <v>Inspection at production line</v>
      </c>
      <c r="F902" s="92" t="s">
        <v>3891</v>
      </c>
      <c r="G902" s="92" t="s">
        <v>809</v>
      </c>
      <c r="H902" s="92" t="s">
        <v>3892</v>
      </c>
      <c r="I902" s="92" t="s">
        <v>2695</v>
      </c>
      <c r="J902" s="92" t="s">
        <v>60</v>
      </c>
      <c r="K902" s="92" t="s">
        <v>633</v>
      </c>
    </row>
    <row r="903" spans="1:11" ht="13.8">
      <c r="A903" s="47" t="s">
        <v>2868</v>
      </c>
      <c r="B903" s="92" t="s">
        <v>843</v>
      </c>
      <c r="C903" s="92" t="s">
        <v>2869</v>
      </c>
      <c r="D903" s="72" t="str">
        <f>IFERROR(VLOOKUP(A903,'[1]ST-QA-ZZ5'!$C$5:$M$299,11,0),"Inspection at production line")</f>
        <v>Inspection at production line</v>
      </c>
      <c r="F903" s="92" t="s">
        <v>3893</v>
      </c>
      <c r="G903" s="92" t="s">
        <v>2336</v>
      </c>
      <c r="H903" s="92" t="s">
        <v>2336</v>
      </c>
      <c r="I903" s="92" t="s">
        <v>2695</v>
      </c>
      <c r="J903" s="92" t="s">
        <v>60</v>
      </c>
      <c r="K903" s="92" t="s">
        <v>633</v>
      </c>
    </row>
    <row r="904" spans="1:11" ht="13.8">
      <c r="A904" s="47" t="s">
        <v>2872</v>
      </c>
      <c r="B904" s="92" t="s">
        <v>279</v>
      </c>
      <c r="C904" s="92" t="s">
        <v>2869</v>
      </c>
      <c r="D904" s="72" t="str">
        <f>IFERROR(VLOOKUP(A904,'[1]ST-QA-ZZ5'!$C$5:$M$299,11,0),"Inspection at production line")</f>
        <v>Inspection at production line</v>
      </c>
      <c r="F904" s="92" t="s">
        <v>3894</v>
      </c>
      <c r="G904" s="92" t="s">
        <v>2336</v>
      </c>
      <c r="H904" s="92" t="s">
        <v>2336</v>
      </c>
      <c r="I904" s="92" t="s">
        <v>2695</v>
      </c>
      <c r="J904" s="92" t="s">
        <v>60</v>
      </c>
      <c r="K904" s="92" t="s">
        <v>633</v>
      </c>
    </row>
    <row r="905" spans="1:11" ht="13.8">
      <c r="A905" s="47" t="s">
        <v>2875</v>
      </c>
      <c r="B905" s="92" t="s">
        <v>2785</v>
      </c>
      <c r="C905" s="92" t="s">
        <v>2876</v>
      </c>
      <c r="D905" s="72" t="str">
        <f>IFERROR(VLOOKUP(A905,'[1]ST-QA-ZZ5'!$C$5:$M$299,11,0),"Inspection at production line")</f>
        <v>Inspection at production line</v>
      </c>
      <c r="F905" s="92" t="s">
        <v>3895</v>
      </c>
      <c r="G905" s="92" t="s">
        <v>2336</v>
      </c>
      <c r="H905" s="92" t="s">
        <v>2336</v>
      </c>
      <c r="I905" s="92" t="s">
        <v>2695</v>
      </c>
      <c r="J905" s="92" t="s">
        <v>60</v>
      </c>
      <c r="K905" s="92" t="s">
        <v>633</v>
      </c>
    </row>
    <row r="906" spans="1:11" ht="13.8">
      <c r="A906" s="47" t="s">
        <v>2879</v>
      </c>
      <c r="B906" s="92" t="s">
        <v>90</v>
      </c>
      <c r="C906" s="92" t="s">
        <v>2880</v>
      </c>
      <c r="D906" s="72" t="str">
        <f>IFERROR(VLOOKUP(A906,'[1]ST-QA-ZZ5'!$C$5:$M$299,11,0),"Inspection at production line")</f>
        <v>Inspection at production line</v>
      </c>
      <c r="F906" s="92" t="s">
        <v>3896</v>
      </c>
      <c r="G906" s="92" t="s">
        <v>1070</v>
      </c>
      <c r="H906" s="92" t="s">
        <v>3897</v>
      </c>
      <c r="I906" s="92" t="s">
        <v>2695</v>
      </c>
      <c r="J906" s="92" t="s">
        <v>60</v>
      </c>
      <c r="K906" s="92" t="s">
        <v>633</v>
      </c>
    </row>
    <row r="907" spans="1:11" ht="13.8">
      <c r="A907" s="47" t="s">
        <v>2884</v>
      </c>
      <c r="B907" s="92" t="s">
        <v>90</v>
      </c>
      <c r="C907" s="92" t="s">
        <v>2885</v>
      </c>
      <c r="D907" s="72" t="str">
        <f>IFERROR(VLOOKUP(A907,'[1]ST-QA-ZZ5'!$C$5:$M$299,11,0),"Inspection at production line")</f>
        <v>Inspection at production line</v>
      </c>
      <c r="F907" s="92" t="s">
        <v>3898</v>
      </c>
      <c r="G907" s="92" t="s">
        <v>2336</v>
      </c>
      <c r="H907" s="92" t="s">
        <v>2336</v>
      </c>
      <c r="I907" s="92" t="s">
        <v>2695</v>
      </c>
      <c r="J907" s="92" t="s">
        <v>60</v>
      </c>
      <c r="K907" s="92" t="s">
        <v>633</v>
      </c>
    </row>
    <row r="908" spans="1:11" ht="13.8">
      <c r="A908" s="47" t="s">
        <v>2888</v>
      </c>
      <c r="B908" s="92" t="s">
        <v>90</v>
      </c>
      <c r="C908" s="92" t="s">
        <v>2889</v>
      </c>
      <c r="D908" s="72" t="str">
        <f>IFERROR(VLOOKUP(A908,'[1]ST-QA-ZZ5'!$C$5:$M$299,11,0),"Inspection at production line")</f>
        <v>Inspection at production line</v>
      </c>
      <c r="F908" s="92" t="s">
        <v>3899</v>
      </c>
      <c r="G908" s="92" t="s">
        <v>843</v>
      </c>
      <c r="H908" s="92" t="s">
        <v>3900</v>
      </c>
      <c r="I908" s="92" t="s">
        <v>2695</v>
      </c>
      <c r="J908" s="92" t="s">
        <v>60</v>
      </c>
      <c r="K908" s="92" t="s">
        <v>633</v>
      </c>
    </row>
    <row r="909" spans="1:11" ht="13.8">
      <c r="A909" s="47" t="s">
        <v>2892</v>
      </c>
      <c r="B909" s="92" t="s">
        <v>2705</v>
      </c>
      <c r="C909" s="92" t="s">
        <v>2893</v>
      </c>
      <c r="D909" s="72" t="str">
        <f>IFERROR(VLOOKUP(A909,'[1]ST-QA-ZZ5'!$C$5:$M$299,11,0),"Inspection at production line")</f>
        <v>Inspection at production line</v>
      </c>
      <c r="F909" s="92" t="s">
        <v>3901</v>
      </c>
      <c r="G909" s="92" t="s">
        <v>83</v>
      </c>
      <c r="H909" s="92" t="s">
        <v>3900</v>
      </c>
      <c r="I909" s="92" t="s">
        <v>2695</v>
      </c>
      <c r="J909" s="92" t="s">
        <v>60</v>
      </c>
      <c r="K909" s="92" t="s">
        <v>633</v>
      </c>
    </row>
    <row r="910" spans="1:11" ht="13.8">
      <c r="A910" s="47" t="s">
        <v>2896</v>
      </c>
      <c r="B910" s="92" t="s">
        <v>2705</v>
      </c>
      <c r="C910" s="92" t="s">
        <v>2897</v>
      </c>
      <c r="D910" s="72" t="str">
        <f>IFERROR(VLOOKUP(A910,'[1]ST-QA-ZZ5'!$C$5:$M$299,11,0),"Inspection at production line")</f>
        <v>Inspection at production line</v>
      </c>
      <c r="F910" s="92" t="s">
        <v>3902</v>
      </c>
      <c r="G910" s="92" t="s">
        <v>1070</v>
      </c>
      <c r="H910" s="92" t="s">
        <v>3903</v>
      </c>
      <c r="I910" s="92" t="s">
        <v>2695</v>
      </c>
      <c r="J910" s="92" t="s">
        <v>60</v>
      </c>
      <c r="K910" s="92" t="s">
        <v>633</v>
      </c>
    </row>
    <row r="911" spans="1:11" ht="13.8">
      <c r="A911" s="47" t="s">
        <v>2900</v>
      </c>
      <c r="B911" s="92" t="s">
        <v>2705</v>
      </c>
      <c r="C911" s="92" t="s">
        <v>2901</v>
      </c>
      <c r="D911" s="72" t="str">
        <f>IFERROR(VLOOKUP(A911,'[1]ST-QA-ZZ5'!$C$5:$M$299,11,0),"Inspection at production line")</f>
        <v>Inspection at production line</v>
      </c>
      <c r="F911" s="92" t="s">
        <v>3905</v>
      </c>
      <c r="G911" s="92" t="s">
        <v>90</v>
      </c>
      <c r="H911" s="92" t="s">
        <v>3906</v>
      </c>
      <c r="I911" s="92" t="s">
        <v>2695</v>
      </c>
      <c r="J911" s="92" t="s">
        <v>60</v>
      </c>
      <c r="K911" s="92" t="s">
        <v>633</v>
      </c>
    </row>
    <row r="912" spans="1:11" ht="13.8">
      <c r="A912" s="47" t="s">
        <v>2903</v>
      </c>
      <c r="B912" s="92" t="s">
        <v>2705</v>
      </c>
      <c r="C912" s="92" t="s">
        <v>2901</v>
      </c>
      <c r="D912" s="72" t="str">
        <f>IFERROR(VLOOKUP(A912,'[1]ST-QA-ZZ5'!$C$5:$M$299,11,0),"Inspection at production line")</f>
        <v>Inspection at production line</v>
      </c>
      <c r="F912" s="92" t="s">
        <v>3907</v>
      </c>
      <c r="G912" s="92" t="s">
        <v>1070</v>
      </c>
      <c r="H912" s="92" t="s">
        <v>3908</v>
      </c>
      <c r="I912" s="92" t="s">
        <v>2695</v>
      </c>
      <c r="J912" s="92" t="s">
        <v>60</v>
      </c>
      <c r="K912" s="92" t="s">
        <v>633</v>
      </c>
    </row>
    <row r="913" spans="1:11" ht="13.8">
      <c r="A913" s="47" t="s">
        <v>3904</v>
      </c>
      <c r="B913" s="92" t="s">
        <v>2705</v>
      </c>
      <c r="C913" s="92" t="s">
        <v>2893</v>
      </c>
      <c r="D913" s="72" t="str">
        <f>IFERROR(VLOOKUP(A913,'[1]ST-QA-ZZ5'!$C$5:$M$299,11,0),"Inspection at production line")</f>
        <v>Inspection at production line</v>
      </c>
      <c r="F913" s="92" t="s">
        <v>3909</v>
      </c>
      <c r="G913" s="92" t="s">
        <v>90</v>
      </c>
      <c r="H913" s="92" t="s">
        <v>3910</v>
      </c>
      <c r="I913" s="92" t="s">
        <v>2695</v>
      </c>
      <c r="J913" s="92" t="s">
        <v>60</v>
      </c>
      <c r="K913" s="92" t="s">
        <v>633</v>
      </c>
    </row>
    <row r="914" spans="1:11" ht="13.8">
      <c r="A914" s="47" t="s">
        <v>2906</v>
      </c>
      <c r="B914" s="92" t="s">
        <v>2705</v>
      </c>
      <c r="C914" s="92" t="s">
        <v>2907</v>
      </c>
      <c r="D914" s="72" t="str">
        <f>IFERROR(VLOOKUP(A914,'[1]ST-QA-ZZ5'!$C$5:$M$299,11,0),"Inspection at production line")</f>
        <v>Inspection at production line</v>
      </c>
      <c r="F914" s="92" t="s">
        <v>3911</v>
      </c>
      <c r="G914" s="92" t="s">
        <v>1070</v>
      </c>
      <c r="H914" s="92" t="s">
        <v>3912</v>
      </c>
      <c r="I914" s="92" t="s">
        <v>2695</v>
      </c>
      <c r="J914" s="92" t="s">
        <v>60</v>
      </c>
      <c r="K914" s="92" t="s">
        <v>633</v>
      </c>
    </row>
    <row r="915" spans="1:11" ht="13.8">
      <c r="A915" s="47" t="s">
        <v>2909</v>
      </c>
      <c r="B915" s="92" t="s">
        <v>90</v>
      </c>
      <c r="C915" s="92" t="s">
        <v>2910</v>
      </c>
      <c r="D915" s="72" t="str">
        <f>IFERROR(VLOOKUP(A915,'[1]ST-QA-ZZ5'!$C$5:$M$299,11,0),"Inspection at production line")</f>
        <v>Inspection at production line</v>
      </c>
      <c r="F915" s="92" t="s">
        <v>3913</v>
      </c>
      <c r="G915" s="92" t="s">
        <v>90</v>
      </c>
      <c r="H915" s="92" t="s">
        <v>3914</v>
      </c>
      <c r="I915" s="92" t="s">
        <v>2695</v>
      </c>
      <c r="J915" s="92" t="s">
        <v>60</v>
      </c>
      <c r="K915" s="92" t="s">
        <v>633</v>
      </c>
    </row>
    <row r="916" spans="1:11" ht="13.8">
      <c r="A916" s="47" t="s">
        <v>2913</v>
      </c>
      <c r="B916" s="92" t="s">
        <v>90</v>
      </c>
      <c r="C916" s="92" t="s">
        <v>2914</v>
      </c>
      <c r="D916" s="72" t="str">
        <f>IFERROR(VLOOKUP(A916,'[1]ST-QA-ZZ5'!$C$5:$M$299,11,0),"Inspection at production line")</f>
        <v>Inspection at production line</v>
      </c>
      <c r="F916" s="92" t="s">
        <v>3915</v>
      </c>
      <c r="G916" s="92" t="s">
        <v>1070</v>
      </c>
      <c r="H916" s="92" t="s">
        <v>3916</v>
      </c>
      <c r="I916" s="92" t="s">
        <v>2695</v>
      </c>
      <c r="J916" s="92" t="s">
        <v>60</v>
      </c>
      <c r="K916" s="92" t="s">
        <v>633</v>
      </c>
    </row>
    <row r="917" spans="1:11" ht="13.8">
      <c r="A917" s="47" t="s">
        <v>82</v>
      </c>
      <c r="B917" s="92" t="s">
        <v>83</v>
      </c>
      <c r="C917" s="92" t="s">
        <v>84</v>
      </c>
      <c r="D917" s="72" t="str">
        <f>IFERROR(VLOOKUP(A917,'[1]ST-QA-ZZ5'!$C$5:$M$299,11,0),"Inspection at production line")</f>
        <v>Appearance check 100%</v>
      </c>
      <c r="F917" s="92" t="s">
        <v>3917</v>
      </c>
      <c r="G917" s="92" t="s">
        <v>90</v>
      </c>
      <c r="H917" s="92" t="s">
        <v>3918</v>
      </c>
      <c r="I917" s="92" t="s">
        <v>2695</v>
      </c>
      <c r="J917" s="92" t="s">
        <v>60</v>
      </c>
      <c r="K917" s="92" t="s">
        <v>633</v>
      </c>
    </row>
    <row r="918" spans="1:11" ht="13.8">
      <c r="A918" s="47" t="s">
        <v>2920</v>
      </c>
      <c r="B918" s="92" t="s">
        <v>2511</v>
      </c>
      <c r="C918" s="92" t="s">
        <v>2921</v>
      </c>
      <c r="D918" s="72" t="str">
        <f>IFERROR(VLOOKUP(A918,'[1]ST-QA-ZZ5'!$C$5:$M$299,11,0),"Inspection at production line")</f>
        <v>Inspection at production line</v>
      </c>
      <c r="F918" s="92" t="s">
        <v>3919</v>
      </c>
      <c r="G918" s="92" t="s">
        <v>2336</v>
      </c>
      <c r="H918" s="92" t="s">
        <v>2336</v>
      </c>
      <c r="I918" s="92" t="s">
        <v>2695</v>
      </c>
      <c r="J918" s="92" t="s">
        <v>60</v>
      </c>
      <c r="K918" s="92" t="s">
        <v>633</v>
      </c>
    </row>
    <row r="919" spans="1:11" ht="13.8">
      <c r="A919" s="47" t="s">
        <v>2924</v>
      </c>
      <c r="B919" s="92" t="s">
        <v>900</v>
      </c>
      <c r="C919" s="92" t="s">
        <v>2925</v>
      </c>
      <c r="D919" s="72" t="str">
        <f>IFERROR(VLOOKUP(A919,'[1]ST-QA-ZZ5'!$C$5:$M$299,11,0),"Inspection at production line")</f>
        <v>Inspection at production line</v>
      </c>
      <c r="F919" s="92" t="s">
        <v>3920</v>
      </c>
      <c r="G919" s="92" t="s">
        <v>90</v>
      </c>
      <c r="H919" s="92" t="s">
        <v>3921</v>
      </c>
      <c r="I919" s="92" t="s">
        <v>2695</v>
      </c>
      <c r="J919" s="92" t="s">
        <v>60</v>
      </c>
      <c r="K919" s="92" t="s">
        <v>633</v>
      </c>
    </row>
    <row r="920" spans="1:11" ht="13.8">
      <c r="A920" s="47" t="s">
        <v>2683</v>
      </c>
      <c r="B920" s="92" t="s">
        <v>704</v>
      </c>
      <c r="C920" s="92" t="s">
        <v>2689</v>
      </c>
      <c r="D920" s="72" t="str">
        <f>IFERROR(VLOOKUP(A920,'[1]ST-QA-ZZ5'!$C$5:$M$299,11,0),"Inspection at production line")</f>
        <v>Inspection at production line</v>
      </c>
      <c r="F920" s="92" t="s">
        <v>3922</v>
      </c>
      <c r="G920" s="92" t="s">
        <v>1070</v>
      </c>
      <c r="H920" s="92" t="s">
        <v>3923</v>
      </c>
      <c r="I920" s="92" t="s">
        <v>2695</v>
      </c>
      <c r="J920" s="92" t="s">
        <v>60</v>
      </c>
      <c r="K920" s="92" t="s">
        <v>633</v>
      </c>
    </row>
    <row r="921" spans="1:11" ht="13.8">
      <c r="A921" s="47" t="s">
        <v>2928</v>
      </c>
      <c r="B921" s="92" t="s">
        <v>905</v>
      </c>
      <c r="C921" s="92" t="s">
        <v>2929</v>
      </c>
      <c r="D921" s="72" t="str">
        <f>IFERROR(VLOOKUP(A921,'[1]ST-QA-ZZ5'!$C$5:$M$299,11,0),"Inspection at production line")</f>
        <v>Inspection at production line</v>
      </c>
      <c r="F921" s="92" t="s">
        <v>3924</v>
      </c>
      <c r="G921" s="92" t="s">
        <v>90</v>
      </c>
      <c r="H921" s="92" t="s">
        <v>3925</v>
      </c>
      <c r="I921" s="92" t="s">
        <v>2695</v>
      </c>
      <c r="J921" s="92" t="s">
        <v>60</v>
      </c>
      <c r="K921" s="92" t="s">
        <v>633</v>
      </c>
    </row>
    <row r="922" spans="1:11" ht="13.8">
      <c r="A922" s="47" t="s">
        <v>2932</v>
      </c>
      <c r="B922" s="92" t="s">
        <v>941</v>
      </c>
      <c r="C922" s="92" t="s">
        <v>2933</v>
      </c>
      <c r="D922" s="72" t="str">
        <f>IFERROR(VLOOKUP(A922,'[1]ST-QA-ZZ5'!$C$5:$M$299,11,0),"Inspection at production line")</f>
        <v>Inspection at production line</v>
      </c>
      <c r="F922" s="92" t="s">
        <v>3928</v>
      </c>
      <c r="G922" s="92" t="s">
        <v>1070</v>
      </c>
      <c r="H922" s="92" t="s">
        <v>3929</v>
      </c>
      <c r="I922" s="92" t="s">
        <v>2695</v>
      </c>
      <c r="J922" s="92" t="s">
        <v>60</v>
      </c>
      <c r="K922" s="92" t="s">
        <v>633</v>
      </c>
    </row>
    <row r="923" spans="1:11" ht="13.8">
      <c r="A923" s="47" t="s">
        <v>2936</v>
      </c>
      <c r="B923" s="92" t="s">
        <v>90</v>
      </c>
      <c r="C923" s="92" t="s">
        <v>2823</v>
      </c>
      <c r="D923" s="72" t="str">
        <f>IFERROR(VLOOKUP(A923,'[1]ST-QA-ZZ5'!$C$5:$M$299,11,0),"Inspection at production line")</f>
        <v>Inspection at production line</v>
      </c>
      <c r="F923" s="92" t="s">
        <v>3932</v>
      </c>
      <c r="G923" s="92" t="s">
        <v>90</v>
      </c>
      <c r="H923" s="92" t="s">
        <v>3933</v>
      </c>
      <c r="I923" s="92" t="s">
        <v>2695</v>
      </c>
      <c r="J923" s="92" t="s">
        <v>60</v>
      </c>
      <c r="K923" s="92" t="s">
        <v>633</v>
      </c>
    </row>
    <row r="924" spans="1:11" ht="13.8">
      <c r="A924" s="47" t="s">
        <v>3926</v>
      </c>
      <c r="B924" s="92" t="s">
        <v>704</v>
      </c>
      <c r="C924" s="92" t="s">
        <v>3927</v>
      </c>
      <c r="D924" s="72" t="str">
        <f>IFERROR(VLOOKUP(A924,'[1]ST-QA-ZZ5'!$C$5:$M$299,11,0),"Inspection at production line")</f>
        <v>Inspection at production line</v>
      </c>
      <c r="F924" s="92" t="s">
        <v>3935</v>
      </c>
      <c r="G924" s="92" t="s">
        <v>2336</v>
      </c>
      <c r="H924" s="92" t="s">
        <v>2336</v>
      </c>
      <c r="I924" s="92" t="s">
        <v>2695</v>
      </c>
      <c r="J924" s="92" t="s">
        <v>60</v>
      </c>
      <c r="K924" s="92" t="s">
        <v>633</v>
      </c>
    </row>
    <row r="925" spans="1:11" ht="13.8">
      <c r="A925" s="47" t="s">
        <v>3930</v>
      </c>
      <c r="B925" s="92" t="s">
        <v>857</v>
      </c>
      <c r="C925" s="92" t="s">
        <v>3931</v>
      </c>
      <c r="D925" s="72" t="str">
        <f>IFERROR(VLOOKUP(A925,'[1]ST-QA-ZZ5'!$C$5:$M$299,11,0),"Inspection at production line")</f>
        <v>Inspection at production line</v>
      </c>
      <c r="F925" s="92" t="s">
        <v>3938</v>
      </c>
      <c r="G925" s="92" t="s">
        <v>2336</v>
      </c>
      <c r="H925" s="92" t="s">
        <v>2336</v>
      </c>
      <c r="I925" s="92" t="s">
        <v>2695</v>
      </c>
      <c r="J925" s="92" t="s">
        <v>60</v>
      </c>
      <c r="K925" s="92" t="s">
        <v>633</v>
      </c>
    </row>
    <row r="926" spans="1:11" ht="13.8">
      <c r="A926" s="47" t="s">
        <v>3934</v>
      </c>
      <c r="B926" s="92" t="s">
        <v>857</v>
      </c>
      <c r="C926" s="92" t="s">
        <v>3931</v>
      </c>
      <c r="D926" s="72" t="str">
        <f>IFERROR(VLOOKUP(A926,'[1]ST-QA-ZZ5'!$C$5:$M$299,11,0),"Inspection at production line")</f>
        <v>Inspection at production line</v>
      </c>
      <c r="F926" s="92" t="s">
        <v>3941</v>
      </c>
      <c r="G926" s="92" t="s">
        <v>2336</v>
      </c>
      <c r="H926" s="92" t="s">
        <v>2336</v>
      </c>
      <c r="I926" s="92" t="s">
        <v>2695</v>
      </c>
      <c r="J926" s="92" t="s">
        <v>60</v>
      </c>
      <c r="K926" s="92" t="s">
        <v>633</v>
      </c>
    </row>
    <row r="927" spans="1:11" ht="13.8">
      <c r="A927" s="47" t="s">
        <v>3936</v>
      </c>
      <c r="B927" s="92" t="s">
        <v>3937</v>
      </c>
      <c r="C927" s="92" t="s">
        <v>3937</v>
      </c>
      <c r="D927" s="72" t="str">
        <f>IFERROR(VLOOKUP(A927,'[1]ST-QA-ZZ5'!$C$5:$M$299,11,0),"Inspection at production line")</f>
        <v>Inspection at production line</v>
      </c>
      <c r="F927" s="92" t="s">
        <v>3944</v>
      </c>
      <c r="G927" s="92" t="s">
        <v>2336</v>
      </c>
      <c r="H927" s="92" t="s">
        <v>2336</v>
      </c>
      <c r="I927" s="92" t="s">
        <v>2695</v>
      </c>
      <c r="J927" s="92" t="s">
        <v>60</v>
      </c>
      <c r="K927" s="92" t="s">
        <v>633</v>
      </c>
    </row>
    <row r="928" spans="1:11" ht="13.8">
      <c r="A928" s="47" t="s">
        <v>3939</v>
      </c>
      <c r="B928" s="92" t="s">
        <v>857</v>
      </c>
      <c r="C928" s="92" t="s">
        <v>3940</v>
      </c>
      <c r="D928" s="72" t="str">
        <f>IFERROR(VLOOKUP(A928,'[1]ST-QA-ZZ5'!$C$5:$M$299,11,0),"Inspection at production line")</f>
        <v>Inspection at production line</v>
      </c>
      <c r="F928" s="92" t="s">
        <v>3947</v>
      </c>
      <c r="G928" s="92" t="s">
        <v>2336</v>
      </c>
      <c r="H928" s="92" t="s">
        <v>2336</v>
      </c>
      <c r="I928" s="92" t="s">
        <v>2695</v>
      </c>
      <c r="J928" s="92" t="s">
        <v>60</v>
      </c>
      <c r="K928" s="92" t="s">
        <v>633</v>
      </c>
    </row>
    <row r="929" spans="1:11" ht="13.8">
      <c r="A929" s="47" t="s">
        <v>3942</v>
      </c>
      <c r="B929" s="92" t="s">
        <v>3943</v>
      </c>
      <c r="C929" s="92" t="s">
        <v>3943</v>
      </c>
      <c r="D929" s="72" t="str">
        <f>IFERROR(VLOOKUP(A929,'[1]ST-QA-ZZ5'!$C$5:$M$299,11,0),"Inspection at production line")</f>
        <v>Inspection at production line</v>
      </c>
      <c r="F929" s="92" t="s">
        <v>3950</v>
      </c>
      <c r="G929" s="92" t="s">
        <v>2336</v>
      </c>
      <c r="H929" s="92" t="s">
        <v>2336</v>
      </c>
      <c r="I929" s="92" t="s">
        <v>2695</v>
      </c>
      <c r="J929" s="92" t="s">
        <v>60</v>
      </c>
      <c r="K929" s="92" t="s">
        <v>633</v>
      </c>
    </row>
    <row r="930" spans="1:11" ht="13.8">
      <c r="A930" s="47" t="s">
        <v>3945</v>
      </c>
      <c r="B930" s="92" t="s">
        <v>857</v>
      </c>
      <c r="C930" s="92" t="s">
        <v>3946</v>
      </c>
      <c r="D930" s="72" t="str">
        <f>IFERROR(VLOOKUP(A930,'[1]ST-QA-ZZ5'!$C$5:$M$299,11,0),"Inspection at production line")</f>
        <v>Inspection at production line</v>
      </c>
      <c r="F930" s="92" t="s">
        <v>3953</v>
      </c>
      <c r="G930" s="92" t="s">
        <v>843</v>
      </c>
      <c r="H930" s="92" t="s">
        <v>3954</v>
      </c>
      <c r="I930" s="92" t="s">
        <v>2695</v>
      </c>
      <c r="J930" s="92" t="s">
        <v>60</v>
      </c>
      <c r="K930" s="92" t="s">
        <v>633</v>
      </c>
    </row>
    <row r="931" spans="1:11" ht="13.8">
      <c r="A931" s="47" t="s">
        <v>3948</v>
      </c>
      <c r="B931" s="92" t="s">
        <v>857</v>
      </c>
      <c r="C931" s="92" t="s">
        <v>3949</v>
      </c>
      <c r="D931" s="72" t="str">
        <f>IFERROR(VLOOKUP(A931,'[1]ST-QA-ZZ5'!$C$5:$M$299,11,0),"Inspection at production line")</f>
        <v>Inspection at production line</v>
      </c>
      <c r="F931" s="92" t="s">
        <v>3957</v>
      </c>
      <c r="G931" s="92" t="s">
        <v>83</v>
      </c>
      <c r="H931" s="92" t="s">
        <v>3958</v>
      </c>
      <c r="I931" s="92" t="s">
        <v>2695</v>
      </c>
      <c r="J931" s="92" t="s">
        <v>60</v>
      </c>
      <c r="K931" s="92" t="s">
        <v>633</v>
      </c>
    </row>
    <row r="932" spans="1:11" ht="13.8">
      <c r="A932" s="47" t="s">
        <v>3951</v>
      </c>
      <c r="B932" s="92" t="s">
        <v>3952</v>
      </c>
      <c r="C932" s="92" t="s">
        <v>3952</v>
      </c>
      <c r="D932" s="72" t="str">
        <f>IFERROR(VLOOKUP(A932,'[1]ST-QA-ZZ5'!$C$5:$M$299,11,0),"Inspection at production line")</f>
        <v>Inspection at production line</v>
      </c>
      <c r="F932" s="92" t="s">
        <v>3961</v>
      </c>
      <c r="G932" s="92" t="s">
        <v>1070</v>
      </c>
      <c r="H932" s="92" t="s">
        <v>3962</v>
      </c>
      <c r="I932" s="92" t="s">
        <v>2695</v>
      </c>
      <c r="J932" s="92" t="s">
        <v>60</v>
      </c>
      <c r="K932" s="92" t="s">
        <v>633</v>
      </c>
    </row>
    <row r="933" spans="1:11" ht="13.8">
      <c r="A933" s="47" t="s">
        <v>3955</v>
      </c>
      <c r="B933" s="92" t="s">
        <v>857</v>
      </c>
      <c r="C933" s="92" t="s">
        <v>3956</v>
      </c>
      <c r="D933" s="72" t="str">
        <f>IFERROR(VLOOKUP(A933,'[1]ST-QA-ZZ5'!$C$5:$M$299,11,0),"Inspection at production line")</f>
        <v>Inspection at production line</v>
      </c>
      <c r="F933" s="92" t="s">
        <v>3965</v>
      </c>
      <c r="G933" s="92" t="s">
        <v>90</v>
      </c>
      <c r="H933" s="92" t="s">
        <v>3966</v>
      </c>
      <c r="I933" s="92" t="s">
        <v>2695</v>
      </c>
      <c r="J933" s="92" t="s">
        <v>60</v>
      </c>
      <c r="K933" s="92" t="s">
        <v>633</v>
      </c>
    </row>
    <row r="934" spans="1:11" ht="13.8">
      <c r="A934" s="47" t="s">
        <v>3959</v>
      </c>
      <c r="B934" s="92" t="s">
        <v>857</v>
      </c>
      <c r="C934" s="92" t="s">
        <v>3960</v>
      </c>
      <c r="D934" s="72" t="str">
        <f>IFERROR(VLOOKUP(A934,'[1]ST-QA-ZZ5'!$C$5:$M$299,11,0),"Inspection at production line")</f>
        <v>Inspection at production line</v>
      </c>
      <c r="F934" s="92" t="s">
        <v>3969</v>
      </c>
      <c r="G934" s="92" t="s">
        <v>1070</v>
      </c>
      <c r="H934" s="92" t="s">
        <v>3962</v>
      </c>
      <c r="I934" s="92" t="s">
        <v>2695</v>
      </c>
      <c r="J934" s="92" t="s">
        <v>60</v>
      </c>
      <c r="K934" s="92" t="s">
        <v>633</v>
      </c>
    </row>
    <row r="935" spans="1:11" ht="13.8">
      <c r="A935" s="47" t="s">
        <v>3963</v>
      </c>
      <c r="B935" s="92" t="s">
        <v>857</v>
      </c>
      <c r="C935" s="92" t="s">
        <v>3964</v>
      </c>
      <c r="D935" s="72" t="str">
        <f>IFERROR(VLOOKUP(A935,'[1]ST-QA-ZZ5'!$C$5:$M$299,11,0),"Inspection at production line")</f>
        <v>Inspection at production line</v>
      </c>
      <c r="F935" s="92" t="s">
        <v>3972</v>
      </c>
      <c r="G935" s="92" t="s">
        <v>90</v>
      </c>
      <c r="H935" s="92" t="s">
        <v>3966</v>
      </c>
      <c r="I935" s="92" t="s">
        <v>2695</v>
      </c>
      <c r="J935" s="92" t="s">
        <v>60</v>
      </c>
      <c r="K935" s="92" t="s">
        <v>633</v>
      </c>
    </row>
    <row r="936" spans="1:11" ht="13.8">
      <c r="A936" s="47" t="s">
        <v>3967</v>
      </c>
      <c r="B936" s="92" t="s">
        <v>857</v>
      </c>
      <c r="C936" s="92" t="s">
        <v>3968</v>
      </c>
      <c r="D936" s="72" t="str">
        <f>IFERROR(VLOOKUP(A936,'[1]ST-QA-ZZ5'!$C$5:$M$299,11,0),"Inspection at production line")</f>
        <v>Inspection at production line</v>
      </c>
      <c r="F936" s="92" t="s">
        <v>3975</v>
      </c>
      <c r="G936" s="92" t="s">
        <v>900</v>
      </c>
      <c r="H936" s="92" t="s">
        <v>3976</v>
      </c>
      <c r="I936" s="92" t="s">
        <v>2695</v>
      </c>
      <c r="J936" s="92" t="s">
        <v>60</v>
      </c>
      <c r="K936" s="92" t="s">
        <v>633</v>
      </c>
    </row>
    <row r="937" spans="1:11" ht="13.8">
      <c r="A937" s="47" t="s">
        <v>3970</v>
      </c>
      <c r="B937" s="92" t="s">
        <v>857</v>
      </c>
      <c r="C937" s="92" t="s">
        <v>3971</v>
      </c>
      <c r="D937" s="72" t="str">
        <f>IFERROR(VLOOKUP(A937,'[1]ST-QA-ZZ5'!$C$5:$M$299,11,0),"Inspection at production line")</f>
        <v>Inspection at production line</v>
      </c>
      <c r="F937" s="92" t="s">
        <v>3980</v>
      </c>
      <c r="G937" s="92" t="s">
        <v>1177</v>
      </c>
      <c r="H937" s="92" t="s">
        <v>3981</v>
      </c>
      <c r="I937" s="92" t="s">
        <v>2695</v>
      </c>
      <c r="J937" s="92" t="s">
        <v>60</v>
      </c>
      <c r="K937" s="92" t="s">
        <v>633</v>
      </c>
    </row>
    <row r="938" spans="1:11" ht="13.8">
      <c r="A938" s="47" t="s">
        <v>3973</v>
      </c>
      <c r="B938" s="92" t="s">
        <v>857</v>
      </c>
      <c r="C938" s="92" t="s">
        <v>3974</v>
      </c>
      <c r="D938" s="72" t="str">
        <f>IFERROR(VLOOKUP(A938,'[1]ST-QA-ZZ5'!$C$5:$M$299,11,0),"Inspection at production line")</f>
        <v>Inspection at production line</v>
      </c>
      <c r="F938" s="92" t="s">
        <v>3984</v>
      </c>
      <c r="G938" s="92" t="s">
        <v>843</v>
      </c>
      <c r="H938" s="92" t="s">
        <v>3985</v>
      </c>
      <c r="I938" s="92" t="s">
        <v>2695</v>
      </c>
      <c r="J938" s="92" t="s">
        <v>60</v>
      </c>
      <c r="K938" s="92" t="s">
        <v>633</v>
      </c>
    </row>
    <row r="939" spans="1:11" ht="13.8">
      <c r="A939" s="47" t="s">
        <v>3977</v>
      </c>
      <c r="B939" s="92" t="s">
        <v>3978</v>
      </c>
      <c r="C939" s="92" t="s">
        <v>3979</v>
      </c>
      <c r="D939" s="72" t="str">
        <f>IFERROR(VLOOKUP(A939,'[1]ST-QA-ZZ5'!$C$5:$M$299,11,0),"Inspection at production line")</f>
        <v>Inspection at production line</v>
      </c>
      <c r="F939" s="92" t="s">
        <v>3988</v>
      </c>
      <c r="G939" s="92" t="s">
        <v>83</v>
      </c>
      <c r="H939" s="92" t="s">
        <v>3989</v>
      </c>
      <c r="I939" s="92" t="s">
        <v>2695</v>
      </c>
      <c r="J939" s="92" t="s">
        <v>60</v>
      </c>
      <c r="K939" s="92" t="s">
        <v>633</v>
      </c>
    </row>
    <row r="940" spans="1:11" ht="13.8">
      <c r="A940" s="47" t="s">
        <v>3982</v>
      </c>
      <c r="B940" s="92" t="s">
        <v>857</v>
      </c>
      <c r="C940" s="92" t="s">
        <v>3983</v>
      </c>
      <c r="D940" s="72" t="str">
        <f>IFERROR(VLOOKUP(A940,'[1]ST-QA-ZZ5'!$C$5:$M$299,11,0),"Inspection at production line")</f>
        <v>Inspection at production line</v>
      </c>
      <c r="F940" s="92" t="s">
        <v>3992</v>
      </c>
      <c r="G940" s="92" t="s">
        <v>843</v>
      </c>
      <c r="H940" s="92" t="s">
        <v>3993</v>
      </c>
      <c r="I940" s="92" t="s">
        <v>2695</v>
      </c>
      <c r="J940" s="92" t="s">
        <v>60</v>
      </c>
      <c r="K940" s="92" t="s">
        <v>633</v>
      </c>
    </row>
    <row r="941" spans="1:11" ht="13.8">
      <c r="A941" s="47" t="s">
        <v>3986</v>
      </c>
      <c r="B941" s="92" t="s">
        <v>3987</v>
      </c>
      <c r="C941" s="92" t="s">
        <v>3987</v>
      </c>
      <c r="D941" s="72" t="str">
        <f>IFERROR(VLOOKUP(A941,'[1]ST-QA-ZZ5'!$C$5:$M$299,11,0),"Inspection at production line")</f>
        <v>Inspection at production line</v>
      </c>
      <c r="F941" s="92" t="s">
        <v>3996</v>
      </c>
      <c r="G941" s="92" t="s">
        <v>83</v>
      </c>
      <c r="H941" s="92" t="s">
        <v>3993</v>
      </c>
      <c r="I941" s="92" t="s">
        <v>2695</v>
      </c>
      <c r="J941" s="92" t="s">
        <v>60</v>
      </c>
      <c r="K941" s="92" t="s">
        <v>633</v>
      </c>
    </row>
    <row r="942" spans="1:11" ht="13.8">
      <c r="A942" s="47" t="s">
        <v>3990</v>
      </c>
      <c r="B942" s="92" t="s">
        <v>857</v>
      </c>
      <c r="C942" s="92" t="s">
        <v>3991</v>
      </c>
      <c r="D942" s="72" t="str">
        <f>IFERROR(VLOOKUP(A942,'[1]ST-QA-ZZ5'!$C$5:$M$299,11,0),"Inspection at production line")</f>
        <v>Inspection at production line</v>
      </c>
      <c r="F942" s="92" t="s">
        <v>3999</v>
      </c>
      <c r="G942" s="92" t="s">
        <v>900</v>
      </c>
      <c r="H942" s="92" t="s">
        <v>4000</v>
      </c>
      <c r="I942" s="92" t="s">
        <v>2695</v>
      </c>
      <c r="J942" s="92" t="s">
        <v>60</v>
      </c>
      <c r="K942" s="92" t="s">
        <v>633</v>
      </c>
    </row>
    <row r="943" spans="1:11" ht="13.8">
      <c r="A943" s="47" t="s">
        <v>3994</v>
      </c>
      <c r="B943" s="92" t="s">
        <v>3995</v>
      </c>
      <c r="C943" s="92" t="s">
        <v>3995</v>
      </c>
      <c r="D943" s="72" t="str">
        <f>IFERROR(VLOOKUP(A943,'[1]ST-QA-ZZ5'!$C$5:$M$299,11,0),"Inspection at production line")</f>
        <v>Inspection at production line</v>
      </c>
      <c r="F943" s="92" t="s">
        <v>4003</v>
      </c>
      <c r="G943" s="92" t="s">
        <v>900</v>
      </c>
      <c r="H943" s="92" t="s">
        <v>4004</v>
      </c>
      <c r="I943" s="92" t="s">
        <v>2695</v>
      </c>
      <c r="J943" s="92" t="s">
        <v>60</v>
      </c>
      <c r="K943" s="92" t="s">
        <v>633</v>
      </c>
    </row>
    <row r="944" spans="1:11" ht="13.8">
      <c r="A944" s="47" t="s">
        <v>3997</v>
      </c>
      <c r="B944" s="92" t="s">
        <v>857</v>
      </c>
      <c r="C944" s="92" t="s">
        <v>3998</v>
      </c>
      <c r="D944" s="72" t="str">
        <f>IFERROR(VLOOKUP(A944,'[1]ST-QA-ZZ5'!$C$5:$M$299,11,0),"Inspection at production line")</f>
        <v>Inspection at production line</v>
      </c>
      <c r="F944" s="92" t="s">
        <v>4007</v>
      </c>
      <c r="G944" s="92" t="s">
        <v>1070</v>
      </c>
      <c r="H944" s="92" t="s">
        <v>4008</v>
      </c>
      <c r="I944" s="92" t="s">
        <v>2695</v>
      </c>
      <c r="J944" s="92" t="s">
        <v>60</v>
      </c>
      <c r="K944" s="92" t="s">
        <v>633</v>
      </c>
    </row>
    <row r="945" spans="1:11" ht="13.8">
      <c r="A945" s="47" t="s">
        <v>4001</v>
      </c>
      <c r="B945" s="92" t="s">
        <v>1833</v>
      </c>
      <c r="C945" s="92" t="s">
        <v>4002</v>
      </c>
      <c r="D945" s="72" t="str">
        <f>IFERROR(VLOOKUP(A945,'[1]ST-QA-ZZ5'!$C$5:$M$299,11,0),"Inspection at production line")</f>
        <v>Inspection at production line</v>
      </c>
      <c r="F945" s="92" t="s">
        <v>4011</v>
      </c>
      <c r="G945" s="92" t="s">
        <v>90</v>
      </c>
      <c r="H945" s="92" t="s">
        <v>4012</v>
      </c>
      <c r="I945" s="92" t="s">
        <v>2695</v>
      </c>
      <c r="J945" s="92" t="s">
        <v>60</v>
      </c>
      <c r="K945" s="92" t="s">
        <v>633</v>
      </c>
    </row>
    <row r="946" spans="1:11" ht="13.8">
      <c r="A946" s="47" t="s">
        <v>4005</v>
      </c>
      <c r="B946" s="92" t="s">
        <v>1833</v>
      </c>
      <c r="C946" s="92" t="s">
        <v>4006</v>
      </c>
      <c r="D946" s="72" t="str">
        <f>IFERROR(VLOOKUP(A946,'[1]ST-QA-ZZ5'!$C$5:$M$299,11,0),"Inspection at production line")</f>
        <v>Inspection at production line</v>
      </c>
      <c r="F946" s="92" t="s">
        <v>4016</v>
      </c>
      <c r="G946" s="92" t="s">
        <v>1070</v>
      </c>
      <c r="H946" s="92" t="s">
        <v>4017</v>
      </c>
      <c r="I946" s="92" t="s">
        <v>2695</v>
      </c>
      <c r="J946" s="92" t="s">
        <v>60</v>
      </c>
      <c r="K946" s="92" t="s">
        <v>633</v>
      </c>
    </row>
    <row r="947" spans="1:11" ht="13.8">
      <c r="A947" s="47" t="s">
        <v>4009</v>
      </c>
      <c r="B947" s="92" t="s">
        <v>1833</v>
      </c>
      <c r="C947" s="92" t="s">
        <v>4010</v>
      </c>
      <c r="D947" s="72" t="str">
        <f>IFERROR(VLOOKUP(A947,'[1]ST-QA-ZZ5'!$C$5:$M$299,11,0),"Inspection at production line")</f>
        <v>Inspection at production line</v>
      </c>
      <c r="F947" s="92" t="s">
        <v>4020</v>
      </c>
      <c r="G947" s="92" t="s">
        <v>90</v>
      </c>
      <c r="H947" s="92" t="s">
        <v>4021</v>
      </c>
      <c r="I947" s="92" t="s">
        <v>2695</v>
      </c>
      <c r="J947" s="92" t="s">
        <v>60</v>
      </c>
      <c r="K947" s="92" t="s">
        <v>633</v>
      </c>
    </row>
    <row r="948" spans="1:11" ht="13.8">
      <c r="A948" s="47" t="s">
        <v>4013</v>
      </c>
      <c r="B948" s="92" t="s">
        <v>4014</v>
      </c>
      <c r="C948" s="92" t="s">
        <v>4015</v>
      </c>
      <c r="D948" s="72" t="str">
        <f>IFERROR(VLOOKUP(A948,'[1]ST-QA-ZZ5'!$C$5:$M$299,11,0),"Inspection at production line")</f>
        <v>Inspection at production line</v>
      </c>
      <c r="F948" s="92" t="s">
        <v>4024</v>
      </c>
      <c r="G948" s="92" t="s">
        <v>809</v>
      </c>
      <c r="H948" s="92" t="s">
        <v>4025</v>
      </c>
      <c r="I948" s="92" t="s">
        <v>2695</v>
      </c>
      <c r="J948" s="92" t="s">
        <v>60</v>
      </c>
      <c r="K948" s="92" t="s">
        <v>633</v>
      </c>
    </row>
    <row r="949" spans="1:11" ht="13.8">
      <c r="A949" s="47" t="s">
        <v>4018</v>
      </c>
      <c r="B949" s="92" t="s">
        <v>4019</v>
      </c>
      <c r="C949" s="92" t="s">
        <v>4019</v>
      </c>
      <c r="D949" s="72" t="str">
        <f>IFERROR(VLOOKUP(A949,'[1]ST-QA-ZZ5'!$C$5:$M$299,11,0),"Inspection at production line")</f>
        <v>Sampling check</v>
      </c>
      <c r="F949" s="92" t="s">
        <v>4028</v>
      </c>
      <c r="G949" s="92" t="s">
        <v>630</v>
      </c>
      <c r="H949" s="92" t="s">
        <v>4029</v>
      </c>
      <c r="I949" s="92" t="s">
        <v>2695</v>
      </c>
      <c r="J949" s="92" t="s">
        <v>60</v>
      </c>
      <c r="K949" s="92" t="s">
        <v>633</v>
      </c>
    </row>
    <row r="950" spans="1:11" ht="13.8">
      <c r="A950" s="47" t="s">
        <v>4022</v>
      </c>
      <c r="B950" s="92" t="s">
        <v>857</v>
      </c>
      <c r="C950" s="92" t="s">
        <v>4023</v>
      </c>
      <c r="D950" s="72" t="str">
        <f>IFERROR(VLOOKUP(A950,'[1]ST-QA-ZZ5'!$C$5:$M$299,11,0),"Inspection at production line")</f>
        <v>Inspection at production line</v>
      </c>
      <c r="F950" s="92" t="s">
        <v>744</v>
      </c>
      <c r="G950" s="92" t="s">
        <v>745</v>
      </c>
      <c r="H950" s="92" t="s">
        <v>746</v>
      </c>
      <c r="I950" s="92" t="s">
        <v>2695</v>
      </c>
      <c r="J950" s="92" t="s">
        <v>60</v>
      </c>
      <c r="K950" s="92" t="s">
        <v>633</v>
      </c>
    </row>
    <row r="951" spans="1:11" ht="13.8">
      <c r="A951" s="47" t="s">
        <v>4026</v>
      </c>
      <c r="B951" s="92" t="s">
        <v>4027</v>
      </c>
      <c r="C951" s="92" t="s">
        <v>4027</v>
      </c>
      <c r="D951" s="72" t="str">
        <f>IFERROR(VLOOKUP(A951,'[1]ST-QA-ZZ5'!$C$5:$M$299,11,0),"Inspection at production line")</f>
        <v>Sampling check</v>
      </c>
      <c r="F951" s="92" t="s">
        <v>4034</v>
      </c>
      <c r="G951" s="92" t="s">
        <v>1070</v>
      </c>
      <c r="H951" s="92" t="s">
        <v>4035</v>
      </c>
      <c r="I951" s="92" t="s">
        <v>2695</v>
      </c>
      <c r="J951" s="92" t="s">
        <v>60</v>
      </c>
      <c r="K951" s="92" t="s">
        <v>633</v>
      </c>
    </row>
    <row r="952" spans="1:11" ht="13.8">
      <c r="A952" s="47" t="s">
        <v>4030</v>
      </c>
      <c r="B952" s="92" t="s">
        <v>4031</v>
      </c>
      <c r="C952" s="92" t="s">
        <v>4031</v>
      </c>
      <c r="D952" s="72" t="str">
        <f>IFERROR(VLOOKUP(A952,'[1]ST-QA-ZZ5'!$C$5:$M$299,11,0),"Inspection at production line")</f>
        <v>Sampling check</v>
      </c>
      <c r="F952" s="92" t="s">
        <v>4034</v>
      </c>
      <c r="G952" s="92" t="s">
        <v>1257</v>
      </c>
      <c r="H952" s="92" t="s">
        <v>4035</v>
      </c>
      <c r="I952" s="92" t="s">
        <v>3832</v>
      </c>
      <c r="J952" s="92"/>
      <c r="K952" s="92" t="s">
        <v>633</v>
      </c>
    </row>
    <row r="953" spans="1:11" ht="13.8">
      <c r="A953" s="47" t="s">
        <v>4032</v>
      </c>
      <c r="B953" s="92" t="s">
        <v>4033</v>
      </c>
      <c r="C953" s="92" t="s">
        <v>4033</v>
      </c>
      <c r="D953" s="72" t="str">
        <f>IFERROR(VLOOKUP(A953,'[1]ST-QA-ZZ5'!$C$5:$M$299,11,0),"Inspection at production line")</f>
        <v>Sampling check</v>
      </c>
      <c r="F953" s="92" t="s">
        <v>4040</v>
      </c>
      <c r="G953" s="92" t="s">
        <v>90</v>
      </c>
      <c r="H953" s="92" t="s">
        <v>4041</v>
      </c>
      <c r="I953" s="92" t="s">
        <v>2695</v>
      </c>
      <c r="J953" s="92" t="s">
        <v>60</v>
      </c>
      <c r="K953" s="92" t="s">
        <v>633</v>
      </c>
    </row>
    <row r="954" spans="1:11" ht="13.8">
      <c r="A954" s="47" t="s">
        <v>4036</v>
      </c>
      <c r="B954" s="92" t="s">
        <v>857</v>
      </c>
      <c r="C954" s="92" t="s">
        <v>4037</v>
      </c>
      <c r="D954" s="72" t="str">
        <f>IFERROR(VLOOKUP(A954,'[1]ST-QA-ZZ5'!$C$5:$M$299,11,0),"Inspection at production line")</f>
        <v>Sampling check</v>
      </c>
      <c r="F954" s="92" t="s">
        <v>4040</v>
      </c>
      <c r="G954" s="92" t="s">
        <v>1257</v>
      </c>
      <c r="H954" s="92" t="s">
        <v>4041</v>
      </c>
      <c r="I954" s="92" t="s">
        <v>3832</v>
      </c>
      <c r="J954" s="92"/>
      <c r="K954" s="92" t="s">
        <v>633</v>
      </c>
    </row>
    <row r="955" spans="1:11" ht="13.8">
      <c r="A955" s="47" t="s">
        <v>4038</v>
      </c>
      <c r="B955" s="92" t="s">
        <v>4039</v>
      </c>
      <c r="C955" s="92" t="s">
        <v>4039</v>
      </c>
      <c r="D955" s="72" t="str">
        <f>IFERROR(VLOOKUP(A955,'[1]ST-QA-ZZ5'!$C$5:$M$299,11,0),"Inspection at production line")</f>
        <v>Sampling check</v>
      </c>
      <c r="F955" s="92" t="s">
        <v>4046</v>
      </c>
      <c r="G955" s="92" t="s">
        <v>1070</v>
      </c>
      <c r="H955" s="92" t="s">
        <v>4047</v>
      </c>
      <c r="I955" s="92" t="s">
        <v>2695</v>
      </c>
      <c r="J955" s="92" t="s">
        <v>60</v>
      </c>
      <c r="K955" s="92" t="s">
        <v>633</v>
      </c>
    </row>
    <row r="956" spans="1:11" ht="13.8">
      <c r="A956" s="47" t="s">
        <v>4042</v>
      </c>
      <c r="B956" s="92" t="s">
        <v>857</v>
      </c>
      <c r="C956" s="92" t="s">
        <v>4043</v>
      </c>
      <c r="D956" s="72" t="str">
        <f>IFERROR(VLOOKUP(A956,'[1]ST-QA-ZZ5'!$C$5:$M$299,11,0),"Inspection at production line")</f>
        <v>Sampling check</v>
      </c>
      <c r="F956" s="92" t="s">
        <v>4046</v>
      </c>
      <c r="G956" s="92" t="s">
        <v>1257</v>
      </c>
      <c r="H956" s="92" t="s">
        <v>4047</v>
      </c>
      <c r="I956" s="92" t="s">
        <v>3832</v>
      </c>
      <c r="J956" s="92"/>
      <c r="K956" s="92" t="s">
        <v>633</v>
      </c>
    </row>
    <row r="957" spans="1:11" ht="13.8">
      <c r="A957" s="47" t="s">
        <v>4044</v>
      </c>
      <c r="B957" s="92" t="s">
        <v>857</v>
      </c>
      <c r="C957" s="92" t="s">
        <v>4045</v>
      </c>
      <c r="D957" s="72" t="str">
        <f>IFERROR(VLOOKUP(A957,'[1]ST-QA-ZZ5'!$C$5:$M$299,11,0),"Inspection at production line")</f>
        <v>Inspection at production line</v>
      </c>
      <c r="F957" s="92" t="s">
        <v>4051</v>
      </c>
      <c r="G957" s="92" t="s">
        <v>90</v>
      </c>
      <c r="H957" s="92" t="s">
        <v>4052</v>
      </c>
      <c r="I957" s="92" t="s">
        <v>2695</v>
      </c>
      <c r="J957" s="92" t="s">
        <v>60</v>
      </c>
      <c r="K957" s="92" t="s">
        <v>633</v>
      </c>
    </row>
    <row r="958" spans="1:11" ht="13.8">
      <c r="A958" s="47" t="s">
        <v>4048</v>
      </c>
      <c r="B958" s="92" t="s">
        <v>1177</v>
      </c>
      <c r="C958" s="92" t="s">
        <v>4049</v>
      </c>
      <c r="D958" s="72" t="str">
        <f>IFERROR(VLOOKUP(A958,'[1]ST-QA-ZZ5'!$C$5:$M$299,11,0),"Inspection at production line")</f>
        <v>Sampling check</v>
      </c>
      <c r="F958" s="92" t="s">
        <v>4051</v>
      </c>
      <c r="G958" s="92" t="s">
        <v>1257</v>
      </c>
      <c r="H958" s="92" t="s">
        <v>4052</v>
      </c>
      <c r="I958" s="92" t="s">
        <v>3832</v>
      </c>
      <c r="J958" s="92"/>
      <c r="K958" s="92" t="s">
        <v>633</v>
      </c>
    </row>
    <row r="959" spans="1:11" ht="13.8">
      <c r="A959" s="47" t="s">
        <v>4050</v>
      </c>
      <c r="B959" s="92" t="s">
        <v>857</v>
      </c>
      <c r="C959" s="92" t="s">
        <v>4049</v>
      </c>
      <c r="D959" s="72" t="str">
        <f>IFERROR(VLOOKUP(A959,'[1]ST-QA-ZZ5'!$C$5:$M$299,11,0),"Inspection at production line")</f>
        <v>Inspection at production line</v>
      </c>
      <c r="F959" s="92" t="s">
        <v>4056</v>
      </c>
      <c r="G959" s="92" t="s">
        <v>1070</v>
      </c>
      <c r="H959" s="92" t="s">
        <v>4057</v>
      </c>
      <c r="I959" s="92" t="s">
        <v>2695</v>
      </c>
      <c r="J959" s="92" t="s">
        <v>60</v>
      </c>
      <c r="K959" s="92" t="s">
        <v>633</v>
      </c>
    </row>
    <row r="960" spans="1:11" ht="13.8">
      <c r="A960" s="47" t="s">
        <v>4053</v>
      </c>
      <c r="B960" s="92" t="s">
        <v>1592</v>
      </c>
      <c r="C960" s="92" t="s">
        <v>4054</v>
      </c>
      <c r="D960" s="72" t="str">
        <f>IFERROR(VLOOKUP(A960,'[1]ST-QA-ZZ5'!$C$5:$M$299,11,0),"Inspection at production line")</f>
        <v>Sampling check</v>
      </c>
      <c r="F960" s="92" t="s">
        <v>4056</v>
      </c>
      <c r="G960" s="92" t="s">
        <v>1257</v>
      </c>
      <c r="H960" s="92" t="s">
        <v>4057</v>
      </c>
      <c r="I960" s="92" t="s">
        <v>3832</v>
      </c>
      <c r="J960" s="92"/>
      <c r="K960" s="92" t="s">
        <v>633</v>
      </c>
    </row>
    <row r="961" spans="1:11" ht="13.8">
      <c r="A961" s="47" t="s">
        <v>4055</v>
      </c>
      <c r="B961" s="92" t="s">
        <v>857</v>
      </c>
      <c r="C961" s="92" t="s">
        <v>4054</v>
      </c>
      <c r="D961" s="72" t="str">
        <f>IFERROR(VLOOKUP(A961,'[1]ST-QA-ZZ5'!$C$5:$M$299,11,0),"Inspection at production line")</f>
        <v>Inspection at production line</v>
      </c>
      <c r="F961" s="92" t="s">
        <v>4061</v>
      </c>
      <c r="G961" s="92" t="s">
        <v>90</v>
      </c>
      <c r="H961" s="92" t="s">
        <v>4062</v>
      </c>
      <c r="I961" s="92" t="s">
        <v>2695</v>
      </c>
      <c r="J961" s="92" t="s">
        <v>60</v>
      </c>
      <c r="K961" s="92" t="s">
        <v>633</v>
      </c>
    </row>
    <row r="962" spans="1:11" ht="13.8">
      <c r="A962" s="47" t="s">
        <v>4058</v>
      </c>
      <c r="B962" s="92" t="s">
        <v>961</v>
      </c>
      <c r="C962" s="92" t="s">
        <v>4059</v>
      </c>
      <c r="D962" s="72" t="str">
        <f>IFERROR(VLOOKUP(A962,'[1]ST-QA-ZZ5'!$C$5:$M$299,11,0),"Inspection at production line")</f>
        <v>Sampling check</v>
      </c>
      <c r="F962" s="92" t="s">
        <v>4061</v>
      </c>
      <c r="G962" s="92" t="s">
        <v>1257</v>
      </c>
      <c r="H962" s="92" t="s">
        <v>4062</v>
      </c>
      <c r="I962" s="92" t="s">
        <v>3832</v>
      </c>
      <c r="J962" s="92"/>
      <c r="K962" s="92" t="s">
        <v>633</v>
      </c>
    </row>
    <row r="963" spans="1:11" ht="13.8">
      <c r="A963" s="47" t="s">
        <v>4060</v>
      </c>
      <c r="B963" s="92" t="s">
        <v>857</v>
      </c>
      <c r="C963" s="92" t="s">
        <v>4059</v>
      </c>
      <c r="D963" s="72" t="str">
        <f>IFERROR(VLOOKUP(A963,'[1]ST-QA-ZZ5'!$C$5:$M$299,11,0),"Inspection at production line")</f>
        <v>Sampling check</v>
      </c>
      <c r="F963" s="92" t="s">
        <v>4067</v>
      </c>
      <c r="G963" s="92" t="s">
        <v>805</v>
      </c>
      <c r="H963" s="92" t="s">
        <v>4068</v>
      </c>
      <c r="I963" s="92" t="s">
        <v>4069</v>
      </c>
      <c r="J963" s="92" t="s">
        <v>60</v>
      </c>
      <c r="K963" s="92" t="s">
        <v>633</v>
      </c>
    </row>
    <row r="964" spans="1:11" ht="13.8">
      <c r="A964" s="47" t="s">
        <v>4063</v>
      </c>
      <c r="B964" s="92" t="s">
        <v>57</v>
      </c>
      <c r="C964" s="92" t="s">
        <v>4064</v>
      </c>
      <c r="D964" s="72" t="str">
        <f>IFERROR(VLOOKUP(A964,'[1]ST-QA-ZZ5'!$C$5:$M$299,11,0),"Inspection at production line")</f>
        <v>Sampling check</v>
      </c>
      <c r="F964" s="92" t="s">
        <v>4072</v>
      </c>
      <c r="G964" s="92" t="s">
        <v>905</v>
      </c>
      <c r="H964" s="92" t="s">
        <v>4073</v>
      </c>
      <c r="I964" s="92" t="s">
        <v>4069</v>
      </c>
      <c r="J964" s="92" t="s">
        <v>60</v>
      </c>
      <c r="K964" s="92" t="s">
        <v>633</v>
      </c>
    </row>
    <row r="965" spans="1:11" ht="13.8">
      <c r="A965" s="47" t="s">
        <v>4065</v>
      </c>
      <c r="B965" s="92" t="s">
        <v>57</v>
      </c>
      <c r="C965" s="92" t="s">
        <v>4066</v>
      </c>
      <c r="D965" s="72" t="str">
        <f>IFERROR(VLOOKUP(A965,'[1]ST-QA-ZZ5'!$C$5:$M$299,11,0),"Inspection at production line")</f>
        <v>Sampling check</v>
      </c>
      <c r="F965" s="92" t="s">
        <v>4077</v>
      </c>
      <c r="G965" s="92" t="s">
        <v>4078</v>
      </c>
      <c r="H965" s="92" t="s">
        <v>4079</v>
      </c>
      <c r="I965" s="92" t="s">
        <v>4069</v>
      </c>
      <c r="J965" s="92" t="s">
        <v>60</v>
      </c>
      <c r="K965" s="92" t="s">
        <v>633</v>
      </c>
    </row>
    <row r="966" spans="1:11" ht="13.8">
      <c r="A966" s="47" t="s">
        <v>4070</v>
      </c>
      <c r="B966" s="92" t="s">
        <v>57</v>
      </c>
      <c r="C966" s="92" t="s">
        <v>4071</v>
      </c>
      <c r="D966" s="72" t="str">
        <f>IFERROR(VLOOKUP(A966,'[1]ST-QA-ZZ5'!$C$5:$M$299,11,0),"Inspection at production line")</f>
        <v>Sampling check</v>
      </c>
      <c r="F966" s="92" t="s">
        <v>4083</v>
      </c>
      <c r="G966" s="92" t="s">
        <v>4078</v>
      </c>
      <c r="H966" s="92" t="s">
        <v>4084</v>
      </c>
      <c r="I966" s="92" t="s">
        <v>4069</v>
      </c>
      <c r="J966" s="92" t="s">
        <v>60</v>
      </c>
      <c r="K966" s="92" t="s">
        <v>633</v>
      </c>
    </row>
    <row r="967" spans="1:11" ht="13.8">
      <c r="A967" s="47" t="s">
        <v>4074</v>
      </c>
      <c r="B967" s="92" t="s">
        <v>4075</v>
      </c>
      <c r="C967" s="92" t="s">
        <v>4076</v>
      </c>
      <c r="D967" s="72" t="str">
        <f>IFERROR(VLOOKUP(A967,'[1]ST-QA-ZZ5'!$C$5:$M$299,11,0),"Inspection at production line")</f>
        <v>Sampling check</v>
      </c>
      <c r="F967" s="92" t="s">
        <v>4087</v>
      </c>
      <c r="G967" s="92" t="s">
        <v>68</v>
      </c>
      <c r="H967" s="92" t="s">
        <v>4088</v>
      </c>
      <c r="I967" s="92" t="s">
        <v>4069</v>
      </c>
      <c r="J967" s="92" t="s">
        <v>60</v>
      </c>
      <c r="K967" s="92" t="s">
        <v>633</v>
      </c>
    </row>
    <row r="968" spans="1:11" ht="13.8">
      <c r="A968" s="47" t="s">
        <v>4080</v>
      </c>
      <c r="B968" s="92" t="s">
        <v>4081</v>
      </c>
      <c r="C968" s="92" t="s">
        <v>4082</v>
      </c>
      <c r="D968" s="72" t="str">
        <f>IFERROR(VLOOKUP(A968,'[1]ST-QA-ZZ5'!$C$5:$M$299,11,0),"Inspection at production line")</f>
        <v>Sampling check</v>
      </c>
      <c r="F968" s="92" t="s">
        <v>4092</v>
      </c>
      <c r="G968" s="92" t="s">
        <v>4093</v>
      </c>
      <c r="H968" s="92" t="s">
        <v>4094</v>
      </c>
      <c r="I968" s="92" t="s">
        <v>4069</v>
      </c>
      <c r="J968" s="92" t="s">
        <v>60</v>
      </c>
      <c r="K968" s="92" t="s">
        <v>633</v>
      </c>
    </row>
    <row r="969" spans="1:11" ht="13.8">
      <c r="A969" s="47" t="s">
        <v>4085</v>
      </c>
      <c r="B969" s="92" t="s">
        <v>4081</v>
      </c>
      <c r="C969" s="92" t="s">
        <v>4086</v>
      </c>
      <c r="D969" s="72" t="str">
        <f>IFERROR(VLOOKUP(A969,'[1]ST-QA-ZZ5'!$C$5:$M$299,11,0),"Inspection at production line")</f>
        <v>Sampling check</v>
      </c>
      <c r="F969" s="92" t="s">
        <v>4097</v>
      </c>
      <c r="G969" s="92" t="s">
        <v>2024</v>
      </c>
      <c r="H969" s="92" t="s">
        <v>4098</v>
      </c>
      <c r="I969" s="92" t="s">
        <v>4069</v>
      </c>
      <c r="J969" s="92" t="s">
        <v>71</v>
      </c>
      <c r="K969" s="92" t="s">
        <v>633</v>
      </c>
    </row>
    <row r="970" spans="1:11" ht="13.8">
      <c r="A970" s="47" t="s">
        <v>4089</v>
      </c>
      <c r="B970" s="92" t="s">
        <v>4090</v>
      </c>
      <c r="C970" s="92" t="s">
        <v>4091</v>
      </c>
      <c r="D970" s="72" t="str">
        <f>IFERROR(VLOOKUP(A970,'[1]ST-QA-ZZ5'!$C$5:$M$299,11,0),"Inspection at production line")</f>
        <v>Sampling check</v>
      </c>
      <c r="F970" s="92" t="s">
        <v>4101</v>
      </c>
      <c r="G970" s="92" t="s">
        <v>2024</v>
      </c>
      <c r="H970" s="92" t="s">
        <v>4102</v>
      </c>
      <c r="I970" s="92" t="s">
        <v>4069</v>
      </c>
      <c r="J970" s="92" t="s">
        <v>71</v>
      </c>
      <c r="K970" s="92" t="s">
        <v>633</v>
      </c>
    </row>
    <row r="971" spans="1:11" ht="13.8">
      <c r="A971" s="47" t="s">
        <v>4095</v>
      </c>
      <c r="B971" s="92" t="s">
        <v>4096</v>
      </c>
      <c r="C971" s="92" t="s">
        <v>4096</v>
      </c>
      <c r="D971" s="72" t="str">
        <f>IFERROR(VLOOKUP(A971,'[1]ST-QA-ZZ5'!$C$5:$M$299,11,0),"Inspection at production line")</f>
        <v>Sampling check</v>
      </c>
      <c r="F971" s="92" t="s">
        <v>4106</v>
      </c>
      <c r="G971" s="92" t="s">
        <v>2024</v>
      </c>
      <c r="H971" s="92" t="s">
        <v>4107</v>
      </c>
      <c r="I971" s="92" t="s">
        <v>4069</v>
      </c>
      <c r="J971" s="92" t="s">
        <v>71</v>
      </c>
      <c r="K971" s="92" t="s">
        <v>633</v>
      </c>
    </row>
    <row r="972" spans="1:11" ht="13.8">
      <c r="A972" s="47" t="s">
        <v>4099</v>
      </c>
      <c r="B972" s="92" t="s">
        <v>4100</v>
      </c>
      <c r="C972" s="92" t="s">
        <v>4100</v>
      </c>
      <c r="D972" s="72" t="str">
        <f>IFERROR(VLOOKUP(A972,'[1]ST-QA-ZZ5'!$C$5:$M$299,11,0),"Inspection at production line")</f>
        <v>Sampling check</v>
      </c>
      <c r="F972" s="92" t="s">
        <v>4110</v>
      </c>
      <c r="G972" s="92" t="s">
        <v>2024</v>
      </c>
      <c r="H972" s="92" t="s">
        <v>4111</v>
      </c>
      <c r="I972" s="92" t="s">
        <v>4069</v>
      </c>
      <c r="J972" s="92" t="s">
        <v>71</v>
      </c>
      <c r="K972" s="92" t="s">
        <v>633</v>
      </c>
    </row>
    <row r="973" spans="1:11" ht="13.8">
      <c r="A973" s="47" t="s">
        <v>4103</v>
      </c>
      <c r="B973" s="92" t="s">
        <v>4104</v>
      </c>
      <c r="C973" s="92" t="s">
        <v>4105</v>
      </c>
      <c r="D973" s="72" t="str">
        <f>IFERROR(VLOOKUP(A973,'[1]ST-QA-ZZ5'!$C$5:$M$299,11,0),"Inspection at production line")</f>
        <v>Sampling check</v>
      </c>
      <c r="F973" s="92" t="s">
        <v>4114</v>
      </c>
      <c r="G973" s="92" t="s">
        <v>2024</v>
      </c>
      <c r="H973" s="92" t="s">
        <v>4115</v>
      </c>
      <c r="I973" s="92" t="s">
        <v>4069</v>
      </c>
      <c r="J973" s="92" t="s">
        <v>71</v>
      </c>
      <c r="K973" s="92" t="s">
        <v>633</v>
      </c>
    </row>
    <row r="974" spans="1:11" ht="13.8">
      <c r="A974" s="47" t="s">
        <v>4108</v>
      </c>
      <c r="B974" s="92" t="s">
        <v>1574</v>
      </c>
      <c r="C974" s="92" t="s">
        <v>4109</v>
      </c>
      <c r="D974" s="72" t="str">
        <f>IFERROR(VLOOKUP(A974,'[1]ST-QA-ZZ5'!$C$5:$M$299,11,0),"Inspection at production line")</f>
        <v>Sampling check</v>
      </c>
      <c r="F974" s="92" t="s">
        <v>4118</v>
      </c>
      <c r="G974" s="92" t="s">
        <v>2024</v>
      </c>
      <c r="H974" s="92" t="s">
        <v>4119</v>
      </c>
      <c r="I974" s="92" t="s">
        <v>4069</v>
      </c>
      <c r="J974" s="92" t="s">
        <v>71</v>
      </c>
      <c r="K974" s="92" t="s">
        <v>633</v>
      </c>
    </row>
    <row r="975" spans="1:11" ht="13.8">
      <c r="A975" s="47" t="s">
        <v>4112</v>
      </c>
      <c r="B975" s="92" t="s">
        <v>785</v>
      </c>
      <c r="C975" s="92" t="s">
        <v>4113</v>
      </c>
      <c r="D975" s="72" t="str">
        <f>IFERROR(VLOOKUP(A975,'[1]ST-QA-ZZ5'!$C$5:$M$299,11,0),"Inspection at production line")</f>
        <v>Inspection at production line</v>
      </c>
      <c r="F975" s="92" t="s">
        <v>4121</v>
      </c>
      <c r="G975" s="92" t="s">
        <v>2024</v>
      </c>
      <c r="H975" s="92" t="s">
        <v>4122</v>
      </c>
      <c r="I975" s="92" t="s">
        <v>4069</v>
      </c>
      <c r="J975" s="92" t="s">
        <v>71</v>
      </c>
      <c r="K975" s="92" t="s">
        <v>633</v>
      </c>
    </row>
    <row r="976" spans="1:11" ht="13.8">
      <c r="A976" s="47" t="s">
        <v>4116</v>
      </c>
      <c r="B976" s="92" t="s">
        <v>857</v>
      </c>
      <c r="C976" s="92" t="s">
        <v>4117</v>
      </c>
      <c r="D976" s="72" t="str">
        <f>IFERROR(VLOOKUP(A976,'[1]ST-QA-ZZ5'!$C$5:$M$299,11,0),"Inspection at production line")</f>
        <v>Inspection at production line</v>
      </c>
      <c r="F976" s="92" t="s">
        <v>4125</v>
      </c>
      <c r="G976" s="92" t="s">
        <v>2024</v>
      </c>
      <c r="H976" s="92" t="s">
        <v>4126</v>
      </c>
      <c r="I976" s="92" t="s">
        <v>4069</v>
      </c>
      <c r="J976" s="92" t="s">
        <v>71</v>
      </c>
      <c r="K976" s="92" t="s">
        <v>633</v>
      </c>
    </row>
    <row r="977" spans="1:11" ht="13.8">
      <c r="A977" s="47" t="s">
        <v>4120</v>
      </c>
      <c r="B977" s="92" t="s">
        <v>857</v>
      </c>
      <c r="C977" s="92" t="s">
        <v>3603</v>
      </c>
      <c r="D977" s="72" t="str">
        <f>IFERROR(VLOOKUP(A977,'[1]ST-QA-ZZ5'!$C$5:$M$299,11,0),"Inspection at production line")</f>
        <v>Inspection at production line</v>
      </c>
      <c r="F977" s="92" t="s">
        <v>4128</v>
      </c>
      <c r="G977" s="92" t="s">
        <v>2024</v>
      </c>
      <c r="H977" s="92" t="s">
        <v>4129</v>
      </c>
      <c r="I977" s="92" t="s">
        <v>4069</v>
      </c>
      <c r="J977" s="92" t="s">
        <v>71</v>
      </c>
      <c r="K977" s="92" t="s">
        <v>633</v>
      </c>
    </row>
    <row r="978" spans="1:11" ht="13.8">
      <c r="A978" s="47" t="s">
        <v>4123</v>
      </c>
      <c r="B978" s="92" t="s">
        <v>857</v>
      </c>
      <c r="C978" s="92" t="s">
        <v>4124</v>
      </c>
      <c r="D978" s="72" t="str">
        <f>IFERROR(VLOOKUP(A978,'[1]ST-QA-ZZ5'!$C$5:$M$299,11,0),"Inspection at production line")</f>
        <v>Inspection at production line</v>
      </c>
      <c r="F978" s="92" t="s">
        <v>4131</v>
      </c>
      <c r="G978" s="92" t="s">
        <v>2024</v>
      </c>
      <c r="H978" s="92" t="s">
        <v>4132</v>
      </c>
      <c r="I978" s="92" t="s">
        <v>4069</v>
      </c>
      <c r="J978" s="92" t="s">
        <v>71</v>
      </c>
      <c r="K978" s="92" t="s">
        <v>633</v>
      </c>
    </row>
    <row r="979" spans="1:11" ht="13.8">
      <c r="A979" s="47" t="s">
        <v>4127</v>
      </c>
      <c r="B979" s="92" t="s">
        <v>857</v>
      </c>
      <c r="C979" s="92" t="s">
        <v>4124</v>
      </c>
      <c r="D979" s="72" t="str">
        <f>IFERROR(VLOOKUP(A979,'[1]ST-QA-ZZ5'!$C$5:$M$299,11,0),"Inspection at production line")</f>
        <v>Inspection at production line</v>
      </c>
      <c r="F979" s="92" t="s">
        <v>4134</v>
      </c>
      <c r="G979" s="92" t="s">
        <v>2024</v>
      </c>
      <c r="H979" s="92" t="s">
        <v>4135</v>
      </c>
      <c r="I979" s="92" t="s">
        <v>4069</v>
      </c>
      <c r="J979" s="92" t="s">
        <v>71</v>
      </c>
      <c r="K979" s="92" t="s">
        <v>633</v>
      </c>
    </row>
    <row r="980" spans="1:11" ht="13.8">
      <c r="A980" s="47" t="s">
        <v>4130</v>
      </c>
      <c r="B980" s="92" t="s">
        <v>857</v>
      </c>
      <c r="C980" s="92" t="s">
        <v>4124</v>
      </c>
      <c r="D980" s="72" t="str">
        <f>IFERROR(VLOOKUP(A980,'[1]ST-QA-ZZ5'!$C$5:$M$299,11,0),"Inspection at production line")</f>
        <v>Inspection at production line</v>
      </c>
      <c r="F980" s="92" t="s">
        <v>4137</v>
      </c>
      <c r="G980" s="92" t="s">
        <v>2024</v>
      </c>
      <c r="H980" s="92" t="s">
        <v>4138</v>
      </c>
      <c r="I980" s="92" t="s">
        <v>4069</v>
      </c>
      <c r="J980" s="92" t="s">
        <v>71</v>
      </c>
      <c r="K980" s="92" t="s">
        <v>633</v>
      </c>
    </row>
    <row r="981" spans="1:11" ht="13.8">
      <c r="A981" s="47" t="s">
        <v>4133</v>
      </c>
      <c r="B981" s="92" t="s">
        <v>857</v>
      </c>
      <c r="C981" s="92" t="s">
        <v>4124</v>
      </c>
      <c r="D981" s="72" t="str">
        <f>IFERROR(VLOOKUP(A981,'[1]ST-QA-ZZ5'!$C$5:$M$299,11,0),"Inspection at production line")</f>
        <v>Inspection at production line</v>
      </c>
      <c r="F981" s="92" t="s">
        <v>4140</v>
      </c>
      <c r="G981" s="92" t="s">
        <v>2024</v>
      </c>
      <c r="H981" s="92" t="s">
        <v>4141</v>
      </c>
      <c r="I981" s="92" t="s">
        <v>4069</v>
      </c>
      <c r="J981" s="92" t="s">
        <v>71</v>
      </c>
      <c r="K981" s="92" t="s">
        <v>633</v>
      </c>
    </row>
    <row r="982" spans="1:11" ht="13.8">
      <c r="A982" s="47" t="s">
        <v>4136</v>
      </c>
      <c r="B982" s="92" t="s">
        <v>857</v>
      </c>
      <c r="C982" s="92" t="s">
        <v>4124</v>
      </c>
      <c r="D982" s="72" t="str">
        <f>IFERROR(VLOOKUP(A982,'[1]ST-QA-ZZ5'!$C$5:$M$299,11,0),"Inspection at production line")</f>
        <v>Inspection at production line</v>
      </c>
      <c r="F982" s="92" t="s">
        <v>4143</v>
      </c>
      <c r="G982" s="92" t="s">
        <v>2024</v>
      </c>
      <c r="H982" s="92" t="s">
        <v>4144</v>
      </c>
      <c r="I982" s="92" t="s">
        <v>4069</v>
      </c>
      <c r="J982" s="92" t="s">
        <v>71</v>
      </c>
      <c r="K982" s="92" t="s">
        <v>633</v>
      </c>
    </row>
    <row r="983" spans="1:11" ht="13.8">
      <c r="A983" s="47" t="s">
        <v>4139</v>
      </c>
      <c r="B983" s="92" t="s">
        <v>857</v>
      </c>
      <c r="C983" s="92" t="s">
        <v>4124</v>
      </c>
      <c r="D983" s="72" t="str">
        <f>IFERROR(VLOOKUP(A983,'[1]ST-QA-ZZ5'!$C$5:$M$299,11,0),"Inspection at production line")</f>
        <v>Inspection at production line</v>
      </c>
      <c r="F983" s="92" t="s">
        <v>4146</v>
      </c>
      <c r="G983" s="92" t="s">
        <v>2024</v>
      </c>
      <c r="H983" s="92" t="s">
        <v>4147</v>
      </c>
      <c r="I983" s="92" t="s">
        <v>4069</v>
      </c>
      <c r="J983" s="92" t="s">
        <v>71</v>
      </c>
      <c r="K983" s="92" t="s">
        <v>633</v>
      </c>
    </row>
    <row r="984" spans="1:11" ht="13.8">
      <c r="A984" s="47" t="s">
        <v>4142</v>
      </c>
      <c r="B984" s="92" t="s">
        <v>857</v>
      </c>
      <c r="C984" s="92" t="s">
        <v>4124</v>
      </c>
      <c r="D984" s="72" t="str">
        <f>IFERROR(VLOOKUP(A984,'[1]ST-QA-ZZ5'!$C$5:$M$299,11,0),"Inspection at production line")</f>
        <v>Inspection at production line</v>
      </c>
      <c r="F984" s="92" t="s">
        <v>4149</v>
      </c>
      <c r="G984" s="92" t="s">
        <v>2024</v>
      </c>
      <c r="H984" s="92" t="s">
        <v>4150</v>
      </c>
      <c r="I984" s="92" t="s">
        <v>4069</v>
      </c>
      <c r="J984" s="92" t="s">
        <v>71</v>
      </c>
      <c r="K984" s="92" t="s">
        <v>633</v>
      </c>
    </row>
    <row r="985" spans="1:11" ht="13.8">
      <c r="A985" s="47" t="s">
        <v>4145</v>
      </c>
      <c r="B985" s="92" t="s">
        <v>857</v>
      </c>
      <c r="C985" s="92" t="s">
        <v>4124</v>
      </c>
      <c r="D985" s="72" t="str">
        <f>IFERROR(VLOOKUP(A985,'[1]ST-QA-ZZ5'!$C$5:$M$299,11,0),"Inspection at production line")</f>
        <v>Inspection at production line</v>
      </c>
      <c r="F985" s="92" t="s">
        <v>4153</v>
      </c>
      <c r="G985" s="92" t="s">
        <v>2024</v>
      </c>
      <c r="H985" s="92" t="s">
        <v>4154</v>
      </c>
      <c r="I985" s="92" t="s">
        <v>4069</v>
      </c>
      <c r="J985" s="92" t="s">
        <v>71</v>
      </c>
      <c r="K985" s="92" t="s">
        <v>633</v>
      </c>
    </row>
    <row r="986" spans="1:11" ht="13.8">
      <c r="A986" s="47" t="s">
        <v>4148</v>
      </c>
      <c r="B986" s="92" t="s">
        <v>3602</v>
      </c>
      <c r="C986" s="92" t="s">
        <v>4124</v>
      </c>
      <c r="D986" s="72" t="str">
        <f>IFERROR(VLOOKUP(A986,'[1]ST-QA-ZZ5'!$C$5:$M$299,11,0),"Inspection at production line")</f>
        <v>Inspection at production line</v>
      </c>
      <c r="F986" s="92" t="s">
        <v>4156</v>
      </c>
      <c r="G986" s="92" t="s">
        <v>2024</v>
      </c>
      <c r="H986" s="92" t="s">
        <v>4157</v>
      </c>
      <c r="I986" s="92" t="s">
        <v>4069</v>
      </c>
      <c r="J986" s="92" t="s">
        <v>71</v>
      </c>
      <c r="K986" s="92" t="s">
        <v>633</v>
      </c>
    </row>
    <row r="987" spans="1:11" ht="13.8">
      <c r="A987" s="47" t="s">
        <v>4151</v>
      </c>
      <c r="B987" s="92" t="s">
        <v>857</v>
      </c>
      <c r="C987" s="92" t="s">
        <v>4152</v>
      </c>
      <c r="D987" s="72" t="str">
        <f>IFERROR(VLOOKUP(A987,'[1]ST-QA-ZZ5'!$C$5:$M$299,11,0),"Inspection at production line")</f>
        <v>Inspection at production line</v>
      </c>
      <c r="F987" s="92" t="s">
        <v>4160</v>
      </c>
      <c r="G987" s="92" t="s">
        <v>2024</v>
      </c>
      <c r="H987" s="92" t="s">
        <v>4161</v>
      </c>
      <c r="I987" s="92" t="s">
        <v>4069</v>
      </c>
      <c r="J987" s="92" t="s">
        <v>71</v>
      </c>
      <c r="K987" s="92" t="s">
        <v>633</v>
      </c>
    </row>
    <row r="988" spans="1:11" ht="13.8">
      <c r="A988" s="47" t="s">
        <v>4155</v>
      </c>
      <c r="B988" s="92" t="s">
        <v>857</v>
      </c>
      <c r="C988" s="92" t="s">
        <v>3608</v>
      </c>
      <c r="D988" s="72" t="str">
        <f>IFERROR(VLOOKUP(A988,'[1]ST-QA-ZZ5'!$C$5:$M$299,11,0),"Inspection at production line")</f>
        <v>Inspection at production line</v>
      </c>
      <c r="F988" s="92" t="s">
        <v>4164</v>
      </c>
      <c r="G988" s="92" t="s">
        <v>2024</v>
      </c>
      <c r="H988" s="92" t="s">
        <v>4165</v>
      </c>
      <c r="I988" s="92" t="s">
        <v>4069</v>
      </c>
      <c r="J988" s="92" t="s">
        <v>71</v>
      </c>
      <c r="K988" s="92" t="s">
        <v>633</v>
      </c>
    </row>
    <row r="989" spans="1:11" ht="13.8">
      <c r="A989" s="47" t="s">
        <v>4158</v>
      </c>
      <c r="B989" s="92" t="s">
        <v>857</v>
      </c>
      <c r="C989" s="92" t="s">
        <v>4159</v>
      </c>
      <c r="D989" s="72" t="str">
        <f>IFERROR(VLOOKUP(A989,'[1]ST-QA-ZZ5'!$C$5:$M$299,11,0),"Inspection at production line")</f>
        <v>Inspection at production line</v>
      </c>
      <c r="F989" s="92" t="s">
        <v>4168</v>
      </c>
      <c r="G989" s="92" t="s">
        <v>2024</v>
      </c>
      <c r="H989" s="92" t="s">
        <v>4169</v>
      </c>
      <c r="I989" s="92" t="s">
        <v>4069</v>
      </c>
      <c r="J989" s="92" t="s">
        <v>71</v>
      </c>
      <c r="K989" s="92" t="s">
        <v>633</v>
      </c>
    </row>
    <row r="990" spans="1:11" ht="13.8">
      <c r="A990" s="47" t="s">
        <v>4162</v>
      </c>
      <c r="B990" s="92" t="s">
        <v>3543</v>
      </c>
      <c r="C990" s="92" t="s">
        <v>4163</v>
      </c>
      <c r="D990" s="72" t="str">
        <f>IFERROR(VLOOKUP(A990,'[1]ST-QA-ZZ5'!$C$5:$M$299,11,0),"Inspection at production line")</f>
        <v>Inspection at production line</v>
      </c>
      <c r="F990" s="92" t="s">
        <v>4172</v>
      </c>
      <c r="G990" s="92" t="s">
        <v>2024</v>
      </c>
      <c r="H990" s="92" t="s">
        <v>4173</v>
      </c>
      <c r="I990" s="92" t="s">
        <v>4069</v>
      </c>
      <c r="J990" s="92" t="s">
        <v>71</v>
      </c>
      <c r="K990" s="92" t="s">
        <v>633</v>
      </c>
    </row>
    <row r="991" spans="1:11" ht="13.8">
      <c r="A991" s="47" t="s">
        <v>4166</v>
      </c>
      <c r="B991" s="92" t="s">
        <v>857</v>
      </c>
      <c r="C991" s="92" t="s">
        <v>4167</v>
      </c>
      <c r="D991" s="72" t="str">
        <f>IFERROR(VLOOKUP(A991,'[1]ST-QA-ZZ5'!$C$5:$M$299,11,0),"Inspection at production line")</f>
        <v>Inspection at production line</v>
      </c>
      <c r="F991" s="92" t="s">
        <v>4176</v>
      </c>
      <c r="G991" s="92" t="s">
        <v>2024</v>
      </c>
      <c r="H991" s="92" t="s">
        <v>4177</v>
      </c>
      <c r="I991" s="92" t="s">
        <v>4069</v>
      </c>
      <c r="J991" s="92" t="s">
        <v>71</v>
      </c>
      <c r="K991" s="92" t="s">
        <v>633</v>
      </c>
    </row>
    <row r="992" spans="1:11" ht="13.8">
      <c r="A992" s="47" t="s">
        <v>4170</v>
      </c>
      <c r="B992" s="92" t="s">
        <v>857</v>
      </c>
      <c r="C992" s="92" t="s">
        <v>4171</v>
      </c>
      <c r="D992" s="72" t="str">
        <f>IFERROR(VLOOKUP(A992,'[1]ST-QA-ZZ5'!$C$5:$M$299,11,0),"Inspection at production line")</f>
        <v>Inspection at production line</v>
      </c>
      <c r="F992" s="92" t="s">
        <v>4179</v>
      </c>
      <c r="G992" s="92" t="s">
        <v>2024</v>
      </c>
      <c r="H992" s="92" t="s">
        <v>4180</v>
      </c>
      <c r="I992" s="92" t="s">
        <v>4069</v>
      </c>
      <c r="J992" s="92" t="s">
        <v>71</v>
      </c>
      <c r="K992" s="92" t="s">
        <v>633</v>
      </c>
    </row>
    <row r="993" spans="1:11" ht="13.8">
      <c r="A993" s="47" t="s">
        <v>4174</v>
      </c>
      <c r="B993" s="92" t="s">
        <v>857</v>
      </c>
      <c r="C993" s="92" t="s">
        <v>4175</v>
      </c>
      <c r="D993" s="72" t="str">
        <f>IFERROR(VLOOKUP(A993,'[1]ST-QA-ZZ5'!$C$5:$M$299,11,0),"Inspection at production line")</f>
        <v>Inspection at production line</v>
      </c>
      <c r="F993" s="92" t="s">
        <v>4182</v>
      </c>
      <c r="G993" s="92" t="s">
        <v>2024</v>
      </c>
      <c r="H993" s="92" t="s">
        <v>4183</v>
      </c>
      <c r="I993" s="92" t="s">
        <v>4069</v>
      </c>
      <c r="J993" s="92" t="s">
        <v>71</v>
      </c>
      <c r="K993" s="92" t="s">
        <v>633</v>
      </c>
    </row>
    <row r="994" spans="1:11" ht="13.8">
      <c r="A994" s="47" t="s">
        <v>4178</v>
      </c>
      <c r="B994" s="92" t="s">
        <v>857</v>
      </c>
      <c r="C994" s="92" t="s">
        <v>3454</v>
      </c>
      <c r="D994" s="72" t="str">
        <f>IFERROR(VLOOKUP(A994,'[1]ST-QA-ZZ5'!$C$5:$M$299,11,0),"Inspection at production line")</f>
        <v>Inspection at production line</v>
      </c>
      <c r="F994" s="92" t="s">
        <v>4186</v>
      </c>
      <c r="G994" s="92" t="s">
        <v>2024</v>
      </c>
      <c r="H994" s="92" t="s">
        <v>4187</v>
      </c>
      <c r="I994" s="92" t="s">
        <v>4069</v>
      </c>
      <c r="J994" s="92" t="s">
        <v>71</v>
      </c>
      <c r="K994" s="92" t="s">
        <v>633</v>
      </c>
    </row>
    <row r="995" spans="1:11" ht="13.8">
      <c r="A995" s="47" t="s">
        <v>4181</v>
      </c>
      <c r="B995" s="92" t="s">
        <v>857</v>
      </c>
      <c r="C995" s="92" t="s">
        <v>4054</v>
      </c>
      <c r="D995" s="72" t="str">
        <f>IFERROR(VLOOKUP(A995,'[1]ST-QA-ZZ5'!$C$5:$M$299,11,0),"Inspection at production line")</f>
        <v>Inspection at production line</v>
      </c>
      <c r="F995" s="92" t="s">
        <v>4190</v>
      </c>
      <c r="G995" s="92" t="s">
        <v>2024</v>
      </c>
      <c r="H995" s="92" t="s">
        <v>4191</v>
      </c>
      <c r="I995" s="92" t="s">
        <v>4069</v>
      </c>
      <c r="J995" s="92" t="s">
        <v>71</v>
      </c>
      <c r="K995" s="92" t="s">
        <v>633</v>
      </c>
    </row>
    <row r="996" spans="1:11" ht="13.8">
      <c r="A996" s="47" t="s">
        <v>4184</v>
      </c>
      <c r="B996" s="92" t="s">
        <v>857</v>
      </c>
      <c r="C996" s="92" t="s">
        <v>4185</v>
      </c>
      <c r="D996" s="72" t="str">
        <f>IFERROR(VLOOKUP(A996,'[1]ST-QA-ZZ5'!$C$5:$M$299,11,0),"Inspection at production line")</f>
        <v>Inspection at production line</v>
      </c>
      <c r="F996" s="92" t="s">
        <v>4194</v>
      </c>
      <c r="G996" s="92" t="s">
        <v>2024</v>
      </c>
      <c r="H996" s="92" t="s">
        <v>4195</v>
      </c>
      <c r="I996" s="92" t="s">
        <v>4069</v>
      </c>
      <c r="J996" s="92" t="s">
        <v>71</v>
      </c>
      <c r="K996" s="92" t="s">
        <v>633</v>
      </c>
    </row>
    <row r="997" spans="1:11" ht="13.8">
      <c r="A997" s="47" t="s">
        <v>4188</v>
      </c>
      <c r="B997" s="92" t="s">
        <v>857</v>
      </c>
      <c r="C997" s="92" t="s">
        <v>4189</v>
      </c>
      <c r="D997" s="72" t="str">
        <f>IFERROR(VLOOKUP(A997,'[1]ST-QA-ZZ5'!$C$5:$M$299,11,0),"Inspection at production line")</f>
        <v>Inspection at production line</v>
      </c>
      <c r="F997" s="92" t="s">
        <v>4198</v>
      </c>
      <c r="G997" s="92" t="s">
        <v>2024</v>
      </c>
      <c r="H997" s="92" t="s">
        <v>4199</v>
      </c>
      <c r="I997" s="92" t="s">
        <v>4069</v>
      </c>
      <c r="J997" s="92" t="s">
        <v>71</v>
      </c>
      <c r="K997" s="92" t="s">
        <v>633</v>
      </c>
    </row>
    <row r="998" spans="1:11" ht="13.8">
      <c r="A998" s="47" t="s">
        <v>4192</v>
      </c>
      <c r="B998" s="92" t="s">
        <v>857</v>
      </c>
      <c r="C998" s="92" t="s">
        <v>4193</v>
      </c>
      <c r="D998" s="72" t="str">
        <f>IFERROR(VLOOKUP(A998,'[1]ST-QA-ZZ5'!$C$5:$M$299,11,0),"Inspection at production line")</f>
        <v>Inspection at production line</v>
      </c>
      <c r="F998" s="92" t="s">
        <v>4202</v>
      </c>
      <c r="G998" s="92" t="s">
        <v>2024</v>
      </c>
      <c r="H998" s="92" t="s">
        <v>4203</v>
      </c>
      <c r="I998" s="92" t="s">
        <v>4069</v>
      </c>
      <c r="J998" s="92" t="s">
        <v>71</v>
      </c>
      <c r="K998" s="92" t="s">
        <v>633</v>
      </c>
    </row>
    <row r="999" spans="1:11" ht="13.8">
      <c r="A999" s="47" t="s">
        <v>4196</v>
      </c>
      <c r="B999" s="92" t="s">
        <v>3543</v>
      </c>
      <c r="C999" s="92" t="s">
        <v>4197</v>
      </c>
      <c r="D999" s="72" t="str">
        <f>IFERROR(VLOOKUP(A999,'[1]ST-QA-ZZ5'!$C$5:$M$299,11,0),"Inspection at production line")</f>
        <v>Inspection at production line</v>
      </c>
      <c r="F999" s="92" t="s">
        <v>4206</v>
      </c>
      <c r="G999" s="92" t="s">
        <v>2024</v>
      </c>
      <c r="H999" s="92" t="s">
        <v>4207</v>
      </c>
      <c r="I999" s="92" t="s">
        <v>4069</v>
      </c>
      <c r="J999" s="92" t="s">
        <v>71</v>
      </c>
      <c r="K999" s="92" t="s">
        <v>633</v>
      </c>
    </row>
    <row r="1000" spans="1:11" ht="13.8">
      <c r="A1000" s="47" t="s">
        <v>4200</v>
      </c>
      <c r="B1000" s="92" t="s">
        <v>857</v>
      </c>
      <c r="C1000" s="92" t="s">
        <v>4201</v>
      </c>
      <c r="D1000" s="72" t="str">
        <f>IFERROR(VLOOKUP(A1000,'[1]ST-QA-ZZ5'!$C$5:$M$299,11,0),"Inspection at production line")</f>
        <v>Inspection at production line</v>
      </c>
      <c r="F1000" s="92" t="s">
        <v>4210</v>
      </c>
      <c r="G1000" s="92" t="s">
        <v>2024</v>
      </c>
      <c r="H1000" s="92" t="s">
        <v>4211</v>
      </c>
      <c r="I1000" s="92" t="s">
        <v>4069</v>
      </c>
      <c r="J1000" s="92" t="s">
        <v>71</v>
      </c>
      <c r="K1000" s="92" t="s">
        <v>633</v>
      </c>
    </row>
    <row r="1001" spans="1:11" ht="13.8">
      <c r="A1001" s="47" t="s">
        <v>4204</v>
      </c>
      <c r="B1001" s="92" t="s">
        <v>857</v>
      </c>
      <c r="C1001" s="92" t="s">
        <v>4205</v>
      </c>
      <c r="D1001" s="72" t="str">
        <f>IFERROR(VLOOKUP(A1001,'[1]ST-QA-ZZ5'!$C$5:$M$299,11,0),"Inspection at production line")</f>
        <v>Inspection at production line</v>
      </c>
      <c r="F1001" s="92" t="s">
        <v>4214</v>
      </c>
      <c r="G1001" s="92" t="s">
        <v>2024</v>
      </c>
      <c r="H1001" s="92" t="s">
        <v>4215</v>
      </c>
      <c r="I1001" s="92" t="s">
        <v>4069</v>
      </c>
      <c r="J1001" s="92" t="s">
        <v>71</v>
      </c>
      <c r="K1001" s="92" t="s">
        <v>633</v>
      </c>
    </row>
    <row r="1002" spans="1:11" ht="13.8">
      <c r="A1002" s="47" t="s">
        <v>4208</v>
      </c>
      <c r="B1002" s="92" t="s">
        <v>857</v>
      </c>
      <c r="C1002" s="92" t="s">
        <v>4209</v>
      </c>
      <c r="D1002" s="72" t="str">
        <f>IFERROR(VLOOKUP(A1002,'[1]ST-QA-ZZ5'!$C$5:$M$299,11,0),"Inspection at production line")</f>
        <v>Inspection at production line</v>
      </c>
      <c r="F1002" s="92" t="s">
        <v>4218</v>
      </c>
      <c r="G1002" s="92" t="s">
        <v>2024</v>
      </c>
      <c r="H1002" s="92" t="s">
        <v>4219</v>
      </c>
      <c r="I1002" s="92" t="s">
        <v>4069</v>
      </c>
      <c r="J1002" s="92" t="s">
        <v>71</v>
      </c>
      <c r="K1002" s="92" t="s">
        <v>633</v>
      </c>
    </row>
    <row r="1003" spans="1:11" ht="13.8">
      <c r="A1003" s="47" t="s">
        <v>4212</v>
      </c>
      <c r="B1003" s="92" t="s">
        <v>857</v>
      </c>
      <c r="C1003" s="92" t="s">
        <v>4213</v>
      </c>
      <c r="D1003" s="72" t="str">
        <f>IFERROR(VLOOKUP(A1003,'[1]ST-QA-ZZ5'!$C$5:$M$299,11,0),"Inspection at production line")</f>
        <v>Inspection at production line</v>
      </c>
      <c r="F1003" s="92" t="s">
        <v>4222</v>
      </c>
      <c r="G1003" s="92" t="s">
        <v>2024</v>
      </c>
      <c r="H1003" s="92" t="s">
        <v>4223</v>
      </c>
      <c r="I1003" s="92" t="s">
        <v>4069</v>
      </c>
      <c r="J1003" s="92" t="s">
        <v>71</v>
      </c>
      <c r="K1003" s="92" t="s">
        <v>633</v>
      </c>
    </row>
    <row r="1004" spans="1:11" ht="13.8">
      <c r="A1004" s="47" t="s">
        <v>4216</v>
      </c>
      <c r="B1004" s="92" t="s">
        <v>857</v>
      </c>
      <c r="C1004" s="92" t="s">
        <v>4217</v>
      </c>
      <c r="D1004" s="72" t="str">
        <f>IFERROR(VLOOKUP(A1004,'[1]ST-QA-ZZ5'!$C$5:$M$299,11,0),"Inspection at production line")</f>
        <v>Inspection at production line</v>
      </c>
      <c r="F1004" s="92" t="s">
        <v>4226</v>
      </c>
      <c r="G1004" s="92" t="s">
        <v>2024</v>
      </c>
      <c r="H1004" s="92" t="s">
        <v>4227</v>
      </c>
      <c r="I1004" s="92" t="s">
        <v>4069</v>
      </c>
      <c r="J1004" s="92" t="s">
        <v>71</v>
      </c>
      <c r="K1004" s="92" t="s">
        <v>633</v>
      </c>
    </row>
    <row r="1005" spans="1:11" ht="13.8">
      <c r="A1005" s="47" t="s">
        <v>4220</v>
      </c>
      <c r="B1005" s="92" t="s">
        <v>857</v>
      </c>
      <c r="C1005" s="92" t="s">
        <v>4221</v>
      </c>
      <c r="D1005" s="72" t="str">
        <f>IFERROR(VLOOKUP(A1005,'[1]ST-QA-ZZ5'!$C$5:$M$299,11,0),"Inspection at production line")</f>
        <v>Inspection at production line</v>
      </c>
      <c r="F1005" s="92" t="s">
        <v>4230</v>
      </c>
      <c r="G1005" s="92" t="s">
        <v>2024</v>
      </c>
      <c r="H1005" s="92" t="s">
        <v>4231</v>
      </c>
      <c r="I1005" s="92" t="s">
        <v>4069</v>
      </c>
      <c r="J1005" s="92" t="s">
        <v>71</v>
      </c>
      <c r="K1005" s="92" t="s">
        <v>633</v>
      </c>
    </row>
    <row r="1006" spans="1:11" ht="13.8">
      <c r="A1006" s="47" t="s">
        <v>4224</v>
      </c>
      <c r="B1006" s="92" t="s">
        <v>857</v>
      </c>
      <c r="C1006" s="92" t="s">
        <v>4225</v>
      </c>
      <c r="D1006" s="72" t="str">
        <f>IFERROR(VLOOKUP(A1006,'[1]ST-QA-ZZ5'!$C$5:$M$299,11,0),"Inspection at production line")</f>
        <v>Inspection at production line</v>
      </c>
      <c r="F1006" s="92" t="s">
        <v>4234</v>
      </c>
      <c r="G1006" s="92" t="s">
        <v>2024</v>
      </c>
      <c r="H1006" s="92" t="s">
        <v>4235</v>
      </c>
      <c r="I1006" s="92" t="s">
        <v>4069</v>
      </c>
      <c r="J1006" s="92" t="s">
        <v>71</v>
      </c>
      <c r="K1006" s="92" t="s">
        <v>633</v>
      </c>
    </row>
    <row r="1007" spans="1:11" ht="13.8">
      <c r="A1007" s="47" t="s">
        <v>4228</v>
      </c>
      <c r="B1007" s="92" t="s">
        <v>857</v>
      </c>
      <c r="C1007" s="92" t="s">
        <v>4229</v>
      </c>
      <c r="D1007" s="72" t="str">
        <f>IFERROR(VLOOKUP(A1007,'[1]ST-QA-ZZ5'!$C$5:$M$299,11,0),"Inspection at production line")</f>
        <v>Inspection at production line</v>
      </c>
      <c r="F1007" s="92" t="s">
        <v>4238</v>
      </c>
      <c r="G1007" s="92" t="s">
        <v>2024</v>
      </c>
      <c r="H1007" s="92" t="s">
        <v>4239</v>
      </c>
      <c r="I1007" s="92" t="s">
        <v>4069</v>
      </c>
      <c r="J1007" s="92" t="s">
        <v>71</v>
      </c>
      <c r="K1007" s="92" t="s">
        <v>633</v>
      </c>
    </row>
    <row r="1008" spans="1:11" ht="13.8">
      <c r="A1008" s="47" t="s">
        <v>4232</v>
      </c>
      <c r="B1008" s="92" t="s">
        <v>857</v>
      </c>
      <c r="C1008" s="92" t="s">
        <v>4233</v>
      </c>
      <c r="D1008" s="72" t="str">
        <f>IFERROR(VLOOKUP(A1008,'[1]ST-QA-ZZ5'!$C$5:$M$299,11,0),"Inspection at production line")</f>
        <v>Inspection at production line</v>
      </c>
      <c r="F1008" s="92" t="s">
        <v>4241</v>
      </c>
      <c r="G1008" s="92" t="s">
        <v>2024</v>
      </c>
      <c r="H1008" s="92" t="s">
        <v>4242</v>
      </c>
      <c r="I1008" s="92" t="s">
        <v>4069</v>
      </c>
      <c r="J1008" s="92" t="s">
        <v>71</v>
      </c>
      <c r="K1008" s="92" t="s">
        <v>633</v>
      </c>
    </row>
    <row r="1009" spans="1:11" ht="13.8">
      <c r="A1009" s="47" t="s">
        <v>4236</v>
      </c>
      <c r="B1009" s="92" t="s">
        <v>857</v>
      </c>
      <c r="C1009" s="92" t="s">
        <v>4237</v>
      </c>
      <c r="D1009" s="72" t="str">
        <f>IFERROR(VLOOKUP(A1009,'[1]ST-QA-ZZ5'!$C$5:$M$299,11,0),"Inspection at production line")</f>
        <v>Inspection at production line</v>
      </c>
      <c r="F1009" s="92" t="s">
        <v>4244</v>
      </c>
      <c r="G1009" s="92" t="s">
        <v>2024</v>
      </c>
      <c r="H1009" s="92" t="s">
        <v>4245</v>
      </c>
      <c r="I1009" s="92" t="s">
        <v>4069</v>
      </c>
      <c r="J1009" s="92" t="s">
        <v>71</v>
      </c>
      <c r="K1009" s="92" t="s">
        <v>633</v>
      </c>
    </row>
    <row r="1010" spans="1:11" ht="13.8">
      <c r="A1010" s="47" t="s">
        <v>4240</v>
      </c>
      <c r="B1010" s="92" t="s">
        <v>857</v>
      </c>
      <c r="C1010" s="92" t="s">
        <v>1253</v>
      </c>
      <c r="D1010" s="72" t="str">
        <f>IFERROR(VLOOKUP(A1010,'[1]ST-QA-ZZ5'!$C$5:$M$299,11,0),"Inspection at production line")</f>
        <v>Inspection at production line</v>
      </c>
      <c r="F1010" s="92" t="s">
        <v>4248</v>
      </c>
      <c r="G1010" s="92" t="s">
        <v>2024</v>
      </c>
      <c r="H1010" s="92" t="s">
        <v>4249</v>
      </c>
      <c r="I1010" s="92" t="s">
        <v>4069</v>
      </c>
      <c r="J1010" s="92" t="s">
        <v>71</v>
      </c>
      <c r="K1010" s="92" t="s">
        <v>633</v>
      </c>
    </row>
    <row r="1011" spans="1:11" ht="13.8">
      <c r="A1011" s="47" t="s">
        <v>4243</v>
      </c>
      <c r="B1011" s="92" t="s">
        <v>857</v>
      </c>
      <c r="C1011" s="92" t="s">
        <v>3593</v>
      </c>
      <c r="D1011" s="72" t="str">
        <f>IFERROR(VLOOKUP(A1011,'[1]ST-QA-ZZ5'!$C$5:$M$299,11,0),"Inspection at production line")</f>
        <v>Inspection at production line</v>
      </c>
      <c r="F1011" s="92" t="s">
        <v>4252</v>
      </c>
      <c r="G1011" s="92" t="s">
        <v>2024</v>
      </c>
      <c r="H1011" s="92" t="s">
        <v>4253</v>
      </c>
      <c r="I1011" s="92" t="s">
        <v>4069</v>
      </c>
      <c r="J1011" s="92" t="s">
        <v>71</v>
      </c>
      <c r="K1011" s="92" t="s">
        <v>633</v>
      </c>
    </row>
    <row r="1012" spans="1:11" ht="13.8">
      <c r="A1012" s="47" t="s">
        <v>4246</v>
      </c>
      <c r="B1012" s="92" t="s">
        <v>857</v>
      </c>
      <c r="C1012" s="92" t="s">
        <v>4247</v>
      </c>
      <c r="D1012" s="72" t="str">
        <f>IFERROR(VLOOKUP(A1012,'[1]ST-QA-ZZ5'!$C$5:$M$299,11,0),"Inspection at production line")</f>
        <v>Inspection at production line</v>
      </c>
      <c r="F1012" s="92" t="s">
        <v>4256</v>
      </c>
      <c r="G1012" s="92" t="s">
        <v>2024</v>
      </c>
      <c r="H1012" s="92" t="s">
        <v>4257</v>
      </c>
      <c r="I1012" s="92" t="s">
        <v>4069</v>
      </c>
      <c r="J1012" s="92" t="s">
        <v>71</v>
      </c>
      <c r="K1012" s="92" t="s">
        <v>633</v>
      </c>
    </row>
    <row r="1013" spans="1:11" ht="13.8">
      <c r="A1013" s="47" t="s">
        <v>4250</v>
      </c>
      <c r="B1013" s="92" t="s">
        <v>857</v>
      </c>
      <c r="C1013" s="92" t="s">
        <v>4251</v>
      </c>
      <c r="D1013" s="72" t="str">
        <f>IFERROR(VLOOKUP(A1013,'[1]ST-QA-ZZ5'!$C$5:$M$299,11,0),"Inspection at production line")</f>
        <v>Inspection at production line</v>
      </c>
      <c r="F1013" s="92" t="s">
        <v>4260</v>
      </c>
      <c r="G1013" s="92" t="s">
        <v>2024</v>
      </c>
      <c r="H1013" s="92" t="s">
        <v>4261</v>
      </c>
      <c r="I1013" s="92" t="s">
        <v>4069</v>
      </c>
      <c r="J1013" s="92" t="s">
        <v>71</v>
      </c>
      <c r="K1013" s="92" t="s">
        <v>633</v>
      </c>
    </row>
    <row r="1014" spans="1:11" ht="13.8">
      <c r="A1014" s="47" t="s">
        <v>4254</v>
      </c>
      <c r="B1014" s="92" t="s">
        <v>857</v>
      </c>
      <c r="C1014" s="92" t="s">
        <v>4255</v>
      </c>
      <c r="D1014" s="72" t="str">
        <f>IFERROR(VLOOKUP(A1014,'[1]ST-QA-ZZ5'!$C$5:$M$299,11,0),"Inspection at production line")</f>
        <v>Inspection at production line</v>
      </c>
      <c r="F1014" s="92" t="s">
        <v>4264</v>
      </c>
      <c r="G1014" s="92" t="s">
        <v>2024</v>
      </c>
      <c r="H1014" s="92" t="s">
        <v>4265</v>
      </c>
      <c r="I1014" s="92" t="s">
        <v>4069</v>
      </c>
      <c r="J1014" s="92" t="s">
        <v>71</v>
      </c>
      <c r="K1014" s="92" t="s">
        <v>633</v>
      </c>
    </row>
    <row r="1015" spans="1:11" ht="13.8">
      <c r="A1015" s="47" t="s">
        <v>4258</v>
      </c>
      <c r="B1015" s="92" t="s">
        <v>857</v>
      </c>
      <c r="C1015" s="92" t="s">
        <v>4259</v>
      </c>
      <c r="D1015" s="72" t="str">
        <f>IFERROR(VLOOKUP(A1015,'[1]ST-QA-ZZ5'!$C$5:$M$299,11,0),"Inspection at production line")</f>
        <v>Inspection at production line</v>
      </c>
      <c r="F1015" s="92" t="s">
        <v>4266</v>
      </c>
      <c r="G1015" s="92" t="s">
        <v>2024</v>
      </c>
      <c r="H1015" s="92" t="s">
        <v>4267</v>
      </c>
      <c r="I1015" s="92" t="s">
        <v>4069</v>
      </c>
      <c r="J1015" s="92" t="s">
        <v>71</v>
      </c>
      <c r="K1015" s="92" t="s">
        <v>633</v>
      </c>
    </row>
    <row r="1016" spans="1:11" ht="13.8">
      <c r="A1016" s="47" t="s">
        <v>4262</v>
      </c>
      <c r="B1016" s="92" t="s">
        <v>857</v>
      </c>
      <c r="C1016" s="92" t="s">
        <v>4263</v>
      </c>
      <c r="D1016" s="72" t="str">
        <f>IFERROR(VLOOKUP(A1016,'[1]ST-QA-ZZ5'!$C$5:$M$299,11,0),"Inspection at production line")</f>
        <v>Inspection at production line</v>
      </c>
      <c r="F1016" s="92" t="s">
        <v>4269</v>
      </c>
      <c r="G1016" s="92" t="s">
        <v>2024</v>
      </c>
      <c r="H1016" s="92" t="s">
        <v>4270</v>
      </c>
      <c r="I1016" s="92" t="s">
        <v>4069</v>
      </c>
      <c r="J1016" s="92" t="s">
        <v>71</v>
      </c>
      <c r="K1016" s="92" t="s">
        <v>633</v>
      </c>
    </row>
    <row r="1017" spans="1:11" ht="13.8">
      <c r="A1017" s="47" t="s">
        <v>3465</v>
      </c>
      <c r="B1017" s="92" t="s">
        <v>905</v>
      </c>
      <c r="C1017" s="92" t="s">
        <v>3363</v>
      </c>
      <c r="D1017" s="72" t="str">
        <f>IFERROR(VLOOKUP(A1017,'[1]ST-QA-ZZ5'!$C$5:$M$299,11,0),"Inspection at production line")</f>
        <v>Inspection at production line</v>
      </c>
      <c r="F1017" s="92" t="s">
        <v>4272</v>
      </c>
      <c r="G1017" s="92" t="s">
        <v>2024</v>
      </c>
      <c r="H1017" s="92" t="s">
        <v>4273</v>
      </c>
      <c r="I1017" s="92" t="s">
        <v>4069</v>
      </c>
      <c r="J1017" s="92" t="s">
        <v>71</v>
      </c>
      <c r="K1017" s="92" t="s">
        <v>633</v>
      </c>
    </row>
    <row r="1018" spans="1:11" ht="13.8">
      <c r="A1018" s="47" t="s">
        <v>3467</v>
      </c>
      <c r="B1018" s="92" t="s">
        <v>3468</v>
      </c>
      <c r="C1018" s="92" t="s">
        <v>4268</v>
      </c>
      <c r="D1018" s="72" t="str">
        <f>IFERROR(VLOOKUP(A1018,'[1]ST-QA-ZZ5'!$C$5:$M$299,11,0),"Inspection at production line")</f>
        <v>Inspection at production line</v>
      </c>
      <c r="F1018" s="92" t="s">
        <v>4276</v>
      </c>
      <c r="G1018" s="92" t="s">
        <v>2024</v>
      </c>
      <c r="H1018" s="92" t="s">
        <v>4277</v>
      </c>
      <c r="I1018" s="92" t="s">
        <v>4069</v>
      </c>
      <c r="J1018" s="92" t="s">
        <v>71</v>
      </c>
      <c r="K1018" s="92" t="s">
        <v>633</v>
      </c>
    </row>
    <row r="1019" spans="1:11" ht="13.8">
      <c r="A1019" s="47" t="s">
        <v>3472</v>
      </c>
      <c r="B1019" s="92" t="s">
        <v>3473</v>
      </c>
      <c r="C1019" s="92" t="s">
        <v>4271</v>
      </c>
      <c r="D1019" s="72" t="str">
        <f>IFERROR(VLOOKUP(A1019,'[1]ST-QA-ZZ5'!$C$5:$M$299,11,0),"Inspection at production line")</f>
        <v>Inspection at production line</v>
      </c>
      <c r="F1019" s="92" t="s">
        <v>4281</v>
      </c>
      <c r="G1019" s="92" t="s">
        <v>2024</v>
      </c>
      <c r="H1019" s="92" t="s">
        <v>4282</v>
      </c>
      <c r="I1019" s="92" t="s">
        <v>4069</v>
      </c>
      <c r="J1019" s="92" t="s">
        <v>71</v>
      </c>
      <c r="K1019" s="92" t="s">
        <v>633</v>
      </c>
    </row>
    <row r="1020" spans="1:11" ht="13.8">
      <c r="A1020" s="47" t="s">
        <v>4274</v>
      </c>
      <c r="B1020" s="92" t="s">
        <v>857</v>
      </c>
      <c r="C1020" s="92" t="s">
        <v>4275</v>
      </c>
      <c r="D1020" s="72" t="str">
        <f>IFERROR(VLOOKUP(A1020,'[1]ST-QA-ZZ5'!$C$5:$M$299,11,0),"Inspection at production line")</f>
        <v>Inspection at production line</v>
      </c>
      <c r="F1020" s="92" t="s">
        <v>4284</v>
      </c>
      <c r="G1020" s="92" t="s">
        <v>2024</v>
      </c>
      <c r="H1020" s="92" t="s">
        <v>4285</v>
      </c>
      <c r="I1020" s="92" t="s">
        <v>4069</v>
      </c>
      <c r="J1020" s="92" t="s">
        <v>71</v>
      </c>
      <c r="K1020" s="92" t="s">
        <v>633</v>
      </c>
    </row>
    <row r="1021" spans="1:11" ht="13.8">
      <c r="A1021" s="47" t="s">
        <v>4278</v>
      </c>
      <c r="B1021" s="92" t="s">
        <v>4279</v>
      </c>
      <c r="C1021" s="92" t="s">
        <v>4280</v>
      </c>
      <c r="D1021" s="72" t="str">
        <f>IFERROR(VLOOKUP(A1021,'[1]ST-QA-ZZ5'!$C$5:$M$299,11,0),"Inspection at production line")</f>
        <v>Inspection at production line</v>
      </c>
      <c r="F1021" s="92" t="s">
        <v>4288</v>
      </c>
      <c r="G1021" s="92" t="s">
        <v>2024</v>
      </c>
      <c r="H1021" s="92" t="s">
        <v>4289</v>
      </c>
      <c r="I1021" s="92" t="s">
        <v>4069</v>
      </c>
      <c r="J1021" s="92" t="s">
        <v>71</v>
      </c>
      <c r="K1021" s="92" t="s">
        <v>633</v>
      </c>
    </row>
    <row r="1022" spans="1:11" ht="13.8">
      <c r="A1022" s="47" t="s">
        <v>4283</v>
      </c>
      <c r="B1022" s="92" t="s">
        <v>857</v>
      </c>
      <c r="C1022" s="92" t="s">
        <v>4280</v>
      </c>
      <c r="D1022" s="72" t="str">
        <f>IFERROR(VLOOKUP(A1022,'[1]ST-QA-ZZ5'!$C$5:$M$299,11,0),"Inspection at production line")</f>
        <v>Inspection at production line</v>
      </c>
      <c r="F1022" s="92" t="s">
        <v>4292</v>
      </c>
      <c r="G1022" s="92" t="s">
        <v>2024</v>
      </c>
      <c r="H1022" s="92" t="s">
        <v>4293</v>
      </c>
      <c r="I1022" s="92" t="s">
        <v>4069</v>
      </c>
      <c r="J1022" s="92" t="s">
        <v>71</v>
      </c>
      <c r="K1022" s="92" t="s">
        <v>633</v>
      </c>
    </row>
    <row r="1023" spans="1:11" ht="13.8">
      <c r="A1023" s="47" t="s">
        <v>4286</v>
      </c>
      <c r="B1023" s="92" t="s">
        <v>794</v>
      </c>
      <c r="C1023" s="92" t="s">
        <v>4287</v>
      </c>
      <c r="D1023" s="72" t="str">
        <f>IFERROR(VLOOKUP(A1023,'[1]ST-QA-ZZ5'!$C$5:$M$299,11,0),"Inspection at production line")</f>
        <v>Inspection at production line</v>
      </c>
      <c r="F1023" s="92" t="s">
        <v>4295</v>
      </c>
      <c r="G1023" s="92" t="s">
        <v>2024</v>
      </c>
      <c r="H1023" s="92" t="s">
        <v>4296</v>
      </c>
      <c r="I1023" s="92" t="s">
        <v>4069</v>
      </c>
      <c r="J1023" s="92" t="s">
        <v>71</v>
      </c>
      <c r="K1023" s="92" t="s">
        <v>633</v>
      </c>
    </row>
    <row r="1024" spans="1:11" ht="13.8">
      <c r="A1024" s="47" t="s">
        <v>4290</v>
      </c>
      <c r="B1024" s="92" t="s">
        <v>3415</v>
      </c>
      <c r="C1024" s="92" t="s">
        <v>4291</v>
      </c>
      <c r="D1024" s="72" t="str">
        <f>IFERROR(VLOOKUP(A1024,'[1]ST-QA-ZZ5'!$C$5:$M$299,11,0),"Inspection at production line")</f>
        <v>Inspection at production line</v>
      </c>
      <c r="F1024" s="92" t="s">
        <v>4299</v>
      </c>
      <c r="G1024" s="92" t="s">
        <v>2024</v>
      </c>
      <c r="H1024" s="92" t="s">
        <v>4300</v>
      </c>
      <c r="I1024" s="92" t="s">
        <v>4069</v>
      </c>
      <c r="J1024" s="92" t="s">
        <v>71</v>
      </c>
      <c r="K1024" s="92" t="s">
        <v>633</v>
      </c>
    </row>
    <row r="1025" spans="1:11" ht="13.8">
      <c r="A1025" s="47" t="s">
        <v>4294</v>
      </c>
      <c r="B1025" s="92" t="s">
        <v>941</v>
      </c>
      <c r="C1025" s="92" t="s">
        <v>4291</v>
      </c>
      <c r="D1025" s="72" t="str">
        <f>IFERROR(VLOOKUP(A1025,'[1]ST-QA-ZZ5'!$C$5:$M$299,11,0),"Inspection at production line")</f>
        <v>Inspection at production line</v>
      </c>
      <c r="F1025" s="92" t="s">
        <v>4302</v>
      </c>
      <c r="G1025" s="92" t="s">
        <v>2024</v>
      </c>
      <c r="H1025" s="92" t="s">
        <v>4303</v>
      </c>
      <c r="I1025" s="92" t="s">
        <v>4069</v>
      </c>
      <c r="J1025" s="92" t="s">
        <v>71</v>
      </c>
      <c r="K1025" s="92" t="s">
        <v>633</v>
      </c>
    </row>
    <row r="1026" spans="1:11" ht="13.8">
      <c r="A1026" s="47" t="s">
        <v>4297</v>
      </c>
      <c r="B1026" s="92" t="s">
        <v>946</v>
      </c>
      <c r="C1026" s="92" t="s">
        <v>4298</v>
      </c>
      <c r="D1026" s="72" t="str">
        <f>IFERROR(VLOOKUP(A1026,'[1]ST-QA-ZZ5'!$C$5:$M$299,11,0),"Inspection at production line")</f>
        <v>Inspection at production line</v>
      </c>
      <c r="F1026" s="92" t="s">
        <v>4305</v>
      </c>
      <c r="G1026" s="92" t="s">
        <v>2024</v>
      </c>
      <c r="H1026" s="92" t="s">
        <v>4306</v>
      </c>
      <c r="I1026" s="92" t="s">
        <v>4069</v>
      </c>
      <c r="J1026" s="92" t="s">
        <v>71</v>
      </c>
      <c r="K1026" s="92" t="s">
        <v>633</v>
      </c>
    </row>
    <row r="1027" spans="1:11" ht="13.8">
      <c r="A1027" s="47" t="s">
        <v>4301</v>
      </c>
      <c r="B1027" s="92" t="s">
        <v>1273</v>
      </c>
      <c r="C1027" s="92" t="s">
        <v>4291</v>
      </c>
      <c r="D1027" s="72" t="str">
        <f>IFERROR(VLOOKUP(A1027,'[1]ST-QA-ZZ5'!$C$5:$M$299,11,0),"Inspection at production line")</f>
        <v>Inspection at production line</v>
      </c>
      <c r="F1027" s="92" t="s">
        <v>4308</v>
      </c>
      <c r="G1027" s="92" t="s">
        <v>2024</v>
      </c>
      <c r="H1027" s="92" t="s">
        <v>4309</v>
      </c>
      <c r="I1027" s="92" t="s">
        <v>4069</v>
      </c>
      <c r="J1027" s="92" t="s">
        <v>71</v>
      </c>
      <c r="K1027" s="92" t="s">
        <v>633</v>
      </c>
    </row>
    <row r="1028" spans="1:11" ht="13.8">
      <c r="A1028" s="47" t="s">
        <v>4304</v>
      </c>
      <c r="B1028" s="92" t="s">
        <v>3530</v>
      </c>
      <c r="C1028" s="92" t="s">
        <v>4291</v>
      </c>
      <c r="D1028" s="72" t="str">
        <f>IFERROR(VLOOKUP(A1028,'[1]ST-QA-ZZ5'!$C$5:$M$299,11,0),"Inspection at production line")</f>
        <v>Inspection at production line</v>
      </c>
      <c r="F1028" s="92" t="s">
        <v>4312</v>
      </c>
      <c r="G1028" s="92" t="s">
        <v>2024</v>
      </c>
      <c r="H1028" s="92" t="s">
        <v>4313</v>
      </c>
      <c r="I1028" s="92" t="s">
        <v>4069</v>
      </c>
      <c r="J1028" s="92" t="s">
        <v>71</v>
      </c>
      <c r="K1028" s="92" t="s">
        <v>633</v>
      </c>
    </row>
    <row r="1029" spans="1:11" ht="13.8">
      <c r="A1029" s="47" t="s">
        <v>4307</v>
      </c>
      <c r="B1029" s="92" t="s">
        <v>797</v>
      </c>
      <c r="C1029" s="92" t="s">
        <v>4291</v>
      </c>
      <c r="D1029" s="72" t="str">
        <f>IFERROR(VLOOKUP(A1029,'[1]ST-QA-ZZ5'!$C$5:$M$299,11,0),"Inspection at production line")</f>
        <v>Inspection at production line</v>
      </c>
      <c r="F1029" s="92" t="s">
        <v>4316</v>
      </c>
      <c r="G1029" s="92" t="s">
        <v>2024</v>
      </c>
      <c r="H1029" s="92" t="s">
        <v>4317</v>
      </c>
      <c r="I1029" s="92" t="s">
        <v>4069</v>
      </c>
      <c r="J1029" s="92" t="s">
        <v>71</v>
      </c>
      <c r="K1029" s="92" t="s">
        <v>633</v>
      </c>
    </row>
    <row r="1030" spans="1:11" ht="13.8">
      <c r="A1030" s="47" t="s">
        <v>4310</v>
      </c>
      <c r="B1030" s="92" t="s">
        <v>3363</v>
      </c>
      <c r="C1030" s="92" t="s">
        <v>4311</v>
      </c>
      <c r="D1030" s="72" t="str">
        <f>IFERROR(VLOOKUP(A1030,'[1]ST-QA-ZZ5'!$C$5:$M$299,11,0),"Inspection at production line")</f>
        <v>Inspection at production line</v>
      </c>
      <c r="F1030" s="92" t="s">
        <v>4320</v>
      </c>
      <c r="G1030" s="92" t="s">
        <v>2024</v>
      </c>
      <c r="H1030" s="92" t="s">
        <v>4321</v>
      </c>
      <c r="I1030" s="92" t="s">
        <v>4069</v>
      </c>
      <c r="J1030" s="92" t="s">
        <v>71</v>
      </c>
      <c r="K1030" s="92" t="s">
        <v>633</v>
      </c>
    </row>
    <row r="1031" spans="1:11" ht="13.8">
      <c r="A1031" s="47" t="s">
        <v>4314</v>
      </c>
      <c r="B1031" s="92" t="s">
        <v>4315</v>
      </c>
      <c r="C1031" s="92" t="s">
        <v>4315</v>
      </c>
      <c r="D1031" s="72" t="str">
        <f>IFERROR(VLOOKUP(A1031,'[1]ST-QA-ZZ5'!$C$5:$M$299,11,0),"Inspection at production line")</f>
        <v>Inspection at production line</v>
      </c>
      <c r="F1031" s="92" t="s">
        <v>4324</v>
      </c>
      <c r="G1031" s="92" t="s">
        <v>2024</v>
      </c>
      <c r="H1031" s="92" t="s">
        <v>4325</v>
      </c>
      <c r="I1031" s="92" t="s">
        <v>4069</v>
      </c>
      <c r="J1031" s="92" t="s">
        <v>71</v>
      </c>
      <c r="K1031" s="92" t="s">
        <v>633</v>
      </c>
    </row>
    <row r="1032" spans="1:11" ht="13.8">
      <c r="A1032" s="47" t="s">
        <v>4318</v>
      </c>
      <c r="B1032" s="92" t="s">
        <v>857</v>
      </c>
      <c r="C1032" s="92" t="s">
        <v>4319</v>
      </c>
      <c r="D1032" s="72" t="str">
        <f>IFERROR(VLOOKUP(A1032,'[1]ST-QA-ZZ5'!$C$5:$M$299,11,0),"Inspection at production line")</f>
        <v>Inspection at production line</v>
      </c>
      <c r="F1032" s="92" t="s">
        <v>4328</v>
      </c>
      <c r="G1032" s="92" t="s">
        <v>2024</v>
      </c>
      <c r="H1032" s="92" t="s">
        <v>4329</v>
      </c>
      <c r="I1032" s="92" t="s">
        <v>4069</v>
      </c>
      <c r="J1032" s="92" t="s">
        <v>71</v>
      </c>
      <c r="K1032" s="92" t="s">
        <v>633</v>
      </c>
    </row>
    <row r="1033" spans="1:11" ht="13.8">
      <c r="A1033" s="47" t="s">
        <v>4322</v>
      </c>
      <c r="B1033" s="92" t="s">
        <v>857</v>
      </c>
      <c r="C1033" s="92" t="s">
        <v>4323</v>
      </c>
      <c r="D1033" s="72" t="str">
        <f>IFERROR(VLOOKUP(A1033,'[1]ST-QA-ZZ5'!$C$5:$M$299,11,0),"Inspection at production line")</f>
        <v>Inspection at production line</v>
      </c>
      <c r="F1033" s="92" t="s">
        <v>4331</v>
      </c>
      <c r="G1033" s="92" t="s">
        <v>805</v>
      </c>
      <c r="H1033" s="92" t="s">
        <v>4332</v>
      </c>
      <c r="I1033" s="92" t="s">
        <v>4069</v>
      </c>
      <c r="J1033" s="92" t="s">
        <v>60</v>
      </c>
      <c r="K1033" s="92" t="s">
        <v>633</v>
      </c>
    </row>
    <row r="1034" spans="1:11" ht="13.8">
      <c r="A1034" s="47" t="s">
        <v>4326</v>
      </c>
      <c r="B1034" s="92" t="s">
        <v>4327</v>
      </c>
      <c r="C1034" s="92" t="s">
        <v>4327</v>
      </c>
      <c r="D1034" s="72" t="str">
        <f>IFERROR(VLOOKUP(A1034,'[1]ST-QA-ZZ5'!$C$5:$M$299,11,0),"Inspection at production line")</f>
        <v>Inspection at production line</v>
      </c>
      <c r="F1034" s="92" t="s">
        <v>4335</v>
      </c>
      <c r="G1034" s="92" t="s">
        <v>957</v>
      </c>
      <c r="H1034" s="92" t="s">
        <v>4336</v>
      </c>
      <c r="I1034" s="92" t="s">
        <v>4069</v>
      </c>
      <c r="J1034" s="92" t="s">
        <v>60</v>
      </c>
      <c r="K1034" s="92" t="s">
        <v>633</v>
      </c>
    </row>
    <row r="1035" spans="1:11" ht="13.8">
      <c r="A1035" s="47" t="s">
        <v>4330</v>
      </c>
      <c r="B1035" s="92" t="s">
        <v>782</v>
      </c>
      <c r="C1035" s="92"/>
      <c r="D1035" s="72" t="str">
        <f>IFERROR(VLOOKUP(A1035,'[1]ST-QA-ZZ5'!$C$5:$M$299,11,0),"Inspection at production line")</f>
        <v>Inspection at production line</v>
      </c>
      <c r="F1035" s="92" t="s">
        <v>4338</v>
      </c>
      <c r="G1035" s="92" t="s">
        <v>2507</v>
      </c>
      <c r="H1035" s="92" t="s">
        <v>4339</v>
      </c>
      <c r="I1035" s="92" t="s">
        <v>4069</v>
      </c>
      <c r="J1035" s="92" t="s">
        <v>60</v>
      </c>
      <c r="K1035" s="92" t="s">
        <v>633</v>
      </c>
    </row>
    <row r="1036" spans="1:11" ht="13.8">
      <c r="A1036" s="47" t="s">
        <v>4333</v>
      </c>
      <c r="B1036" s="92" t="s">
        <v>994</v>
      </c>
      <c r="C1036" s="92" t="s">
        <v>4334</v>
      </c>
      <c r="D1036" s="72" t="str">
        <f>IFERROR(VLOOKUP(A1036,'[1]ST-QA-ZZ5'!$C$5:$M$299,11,0),"Inspection at production line")</f>
        <v>Inspection at production line</v>
      </c>
      <c r="F1036" s="92" t="s">
        <v>4341</v>
      </c>
      <c r="G1036" s="92" t="s">
        <v>3602</v>
      </c>
      <c r="H1036" s="92" t="s">
        <v>4342</v>
      </c>
      <c r="I1036" s="92" t="s">
        <v>4069</v>
      </c>
      <c r="J1036" s="92" t="s">
        <v>60</v>
      </c>
      <c r="K1036" s="92" t="s">
        <v>633</v>
      </c>
    </row>
    <row r="1037" spans="1:11" ht="13.8">
      <c r="A1037" s="47" t="s">
        <v>993</v>
      </c>
      <c r="B1037" s="92" t="s">
        <v>994</v>
      </c>
      <c r="C1037" s="92" t="s">
        <v>4337</v>
      </c>
      <c r="D1037" s="72" t="str">
        <f>IFERROR(VLOOKUP(A1037,'[1]ST-QA-ZZ5'!$C$5:$M$299,11,0),"Inspection at production line")</f>
        <v>Inspection at production line</v>
      </c>
      <c r="F1037" s="92" t="s">
        <v>4344</v>
      </c>
      <c r="G1037" s="92" t="s">
        <v>949</v>
      </c>
      <c r="H1037" s="92" t="s">
        <v>4345</v>
      </c>
      <c r="I1037" s="92" t="s">
        <v>4069</v>
      </c>
      <c r="J1037" s="92" t="s">
        <v>60</v>
      </c>
      <c r="K1037" s="92" t="s">
        <v>633</v>
      </c>
    </row>
    <row r="1038" spans="1:11" ht="13.8">
      <c r="A1038" s="47" t="s">
        <v>999</v>
      </c>
      <c r="B1038" s="92" t="s">
        <v>994</v>
      </c>
      <c r="C1038" s="92" t="s">
        <v>4340</v>
      </c>
      <c r="D1038" s="72" t="str">
        <f>IFERROR(VLOOKUP(A1038,'[1]ST-QA-ZZ5'!$C$5:$M$299,11,0),"Inspection at production line")</f>
        <v>Inspection at production line</v>
      </c>
      <c r="F1038" s="92" t="s">
        <v>4347</v>
      </c>
      <c r="G1038" s="92" t="s">
        <v>814</v>
      </c>
      <c r="H1038" s="92" t="s">
        <v>4348</v>
      </c>
      <c r="I1038" s="92" t="s">
        <v>4069</v>
      </c>
      <c r="J1038" s="92" t="s">
        <v>60</v>
      </c>
      <c r="K1038" s="92" t="s">
        <v>633</v>
      </c>
    </row>
    <row r="1039" spans="1:11" ht="13.8">
      <c r="A1039" s="47" t="s">
        <v>1003</v>
      </c>
      <c r="B1039" s="92" t="s">
        <v>994</v>
      </c>
      <c r="C1039" s="92" t="s">
        <v>4343</v>
      </c>
      <c r="D1039" s="72" t="str">
        <f>IFERROR(VLOOKUP(A1039,'[1]ST-QA-ZZ5'!$C$5:$M$299,11,0),"Inspection at production line")</f>
        <v>Inspection at production line</v>
      </c>
      <c r="F1039" s="92" t="s">
        <v>4349</v>
      </c>
      <c r="G1039" s="92" t="s">
        <v>957</v>
      </c>
      <c r="H1039" s="92" t="s">
        <v>4350</v>
      </c>
      <c r="I1039" s="92" t="s">
        <v>4069</v>
      </c>
      <c r="J1039" s="92" t="s">
        <v>60</v>
      </c>
      <c r="K1039" s="92" t="s">
        <v>633</v>
      </c>
    </row>
    <row r="1040" spans="1:11" ht="13.8">
      <c r="A1040" s="47" t="s">
        <v>1006</v>
      </c>
      <c r="B1040" s="92" t="s">
        <v>994</v>
      </c>
      <c r="C1040" s="92" t="s">
        <v>4346</v>
      </c>
      <c r="D1040" s="72" t="str">
        <f>IFERROR(VLOOKUP(A1040,'[1]ST-QA-ZZ5'!$C$5:$M$299,11,0),"Inspection at production line")</f>
        <v>Inspection at production line</v>
      </c>
      <c r="F1040" s="92" t="s">
        <v>4351</v>
      </c>
      <c r="G1040" s="92" t="s">
        <v>2507</v>
      </c>
      <c r="H1040" s="92" t="s">
        <v>3552</v>
      </c>
      <c r="I1040" s="92" t="s">
        <v>4069</v>
      </c>
      <c r="J1040" s="92" t="s">
        <v>60</v>
      </c>
      <c r="K1040" s="92" t="s">
        <v>633</v>
      </c>
    </row>
    <row r="1041" spans="1:11" ht="13.8">
      <c r="A1041" s="47" t="s">
        <v>1009</v>
      </c>
      <c r="B1041" s="92" t="s">
        <v>813</v>
      </c>
      <c r="C1041" s="92" t="s">
        <v>1010</v>
      </c>
      <c r="D1041" s="72" t="str">
        <f>IFERROR(VLOOKUP(A1041,'[1]ST-QA-ZZ5'!$C$5:$M$299,11,0),"Inspection at production line")</f>
        <v>Inspection at production line</v>
      </c>
      <c r="F1041" s="92" t="s">
        <v>4354</v>
      </c>
      <c r="G1041" s="92" t="s">
        <v>797</v>
      </c>
      <c r="H1041" s="92" t="s">
        <v>797</v>
      </c>
      <c r="I1041" s="92" t="s">
        <v>4069</v>
      </c>
      <c r="J1041" s="92" t="s">
        <v>60</v>
      </c>
      <c r="K1041" s="92" t="s">
        <v>633</v>
      </c>
    </row>
    <row r="1042" spans="1:11" ht="13.8">
      <c r="A1042" s="47" t="s">
        <v>1012</v>
      </c>
      <c r="B1042" s="92" t="s">
        <v>898</v>
      </c>
      <c r="C1042" s="92" t="s">
        <v>1013</v>
      </c>
      <c r="D1042" s="72" t="str">
        <f>IFERROR(VLOOKUP(A1042,'[1]ST-QA-ZZ5'!$C$5:$M$299,11,0),"Inspection at production line")</f>
        <v>Inspection at production line</v>
      </c>
      <c r="F1042" s="92" t="s">
        <v>4357</v>
      </c>
      <c r="G1042" s="92" t="s">
        <v>355</v>
      </c>
      <c r="H1042" s="92" t="s">
        <v>4358</v>
      </c>
      <c r="I1042" s="92" t="s">
        <v>4069</v>
      </c>
      <c r="J1042" s="92" t="s">
        <v>60</v>
      </c>
      <c r="K1042" s="92" t="s">
        <v>633</v>
      </c>
    </row>
    <row r="1043" spans="1:11" ht="13.8">
      <c r="A1043" s="47" t="s">
        <v>4352</v>
      </c>
      <c r="B1043" s="92" t="s">
        <v>898</v>
      </c>
      <c r="C1043" s="92" t="s">
        <v>4353</v>
      </c>
      <c r="D1043" s="72" t="str">
        <f>IFERROR(VLOOKUP(A1043,'[1]ST-QA-ZZ5'!$C$5:$M$299,11,0),"Inspection at production line")</f>
        <v>Inspection at production line</v>
      </c>
      <c r="F1043" s="92" t="s">
        <v>4359</v>
      </c>
      <c r="G1043" s="92" t="s">
        <v>2546</v>
      </c>
      <c r="H1043" s="92" t="s">
        <v>4360</v>
      </c>
      <c r="I1043" s="92" t="s">
        <v>4069</v>
      </c>
      <c r="J1043" s="92" t="s">
        <v>60</v>
      </c>
      <c r="K1043" s="92" t="s">
        <v>633</v>
      </c>
    </row>
    <row r="1044" spans="1:11" ht="13.8">
      <c r="A1044" s="47" t="s">
        <v>4355</v>
      </c>
      <c r="B1044" s="92" t="s">
        <v>898</v>
      </c>
      <c r="C1044" s="92" t="s">
        <v>4356</v>
      </c>
      <c r="D1044" s="72" t="str">
        <f>IFERROR(VLOOKUP(A1044,'[1]ST-QA-ZZ5'!$C$5:$M$299,11,0),"Inspection at production line")</f>
        <v>Inspection at production line</v>
      </c>
      <c r="F1044" s="92" t="s">
        <v>4363</v>
      </c>
      <c r="G1044" s="92" t="s">
        <v>949</v>
      </c>
      <c r="H1044" s="92" t="s">
        <v>4364</v>
      </c>
      <c r="I1044" s="92" t="s">
        <v>4069</v>
      </c>
      <c r="J1044" s="92" t="s">
        <v>60</v>
      </c>
      <c r="K1044" s="92" t="s">
        <v>633</v>
      </c>
    </row>
    <row r="1045" spans="1:11" ht="13.8">
      <c r="A1045" s="47" t="s">
        <v>1015</v>
      </c>
      <c r="B1045" s="92" t="s">
        <v>1016</v>
      </c>
      <c r="C1045" s="92" t="s">
        <v>1017</v>
      </c>
      <c r="D1045" s="72" t="str">
        <f>IFERROR(VLOOKUP(A1045,'[1]ST-QA-ZZ5'!$C$5:$M$299,11,0),"Inspection at production line")</f>
        <v>Inspection at production line</v>
      </c>
      <c r="F1045" s="92" t="s">
        <v>4365</v>
      </c>
      <c r="G1045" s="92" t="s">
        <v>797</v>
      </c>
      <c r="H1045" s="92" t="s">
        <v>4366</v>
      </c>
      <c r="I1045" s="92" t="s">
        <v>4367</v>
      </c>
      <c r="J1045" s="92" t="s">
        <v>60</v>
      </c>
      <c r="K1045" s="92" t="s">
        <v>633</v>
      </c>
    </row>
    <row r="1046" spans="1:11" ht="13.8">
      <c r="A1046" s="47" t="s">
        <v>4361</v>
      </c>
      <c r="B1046" s="92" t="s">
        <v>1016</v>
      </c>
      <c r="C1046" s="92" t="s">
        <v>4362</v>
      </c>
      <c r="D1046" s="72" t="str">
        <f>IFERROR(VLOOKUP(A1046,'[1]ST-QA-ZZ5'!$C$5:$M$299,11,0),"Inspection at production line")</f>
        <v>Inspection at production line</v>
      </c>
      <c r="F1046" s="92" t="s">
        <v>4369</v>
      </c>
      <c r="G1046" s="92" t="s">
        <v>2721</v>
      </c>
      <c r="H1046" s="92" t="s">
        <v>4370</v>
      </c>
      <c r="I1046" s="92" t="s">
        <v>4367</v>
      </c>
      <c r="J1046" s="92" t="s">
        <v>60</v>
      </c>
      <c r="K1046" s="92" t="s">
        <v>633</v>
      </c>
    </row>
    <row r="1047" spans="1:11" ht="13.8">
      <c r="A1047" s="47" t="s">
        <v>1019</v>
      </c>
      <c r="B1047" s="92" t="s">
        <v>371</v>
      </c>
      <c r="C1047" s="92" t="s">
        <v>372</v>
      </c>
      <c r="D1047" s="72" t="str">
        <f>IFERROR(VLOOKUP(A1047,'[1]ST-QA-ZZ5'!$C$5:$M$299,11,0),"Inspection at production line")</f>
        <v>Inspection at production line</v>
      </c>
      <c r="F1047" s="92" t="s">
        <v>4373</v>
      </c>
      <c r="G1047" s="92" t="s">
        <v>905</v>
      </c>
      <c r="H1047" s="92" t="s">
        <v>4374</v>
      </c>
      <c r="I1047" s="92" t="s">
        <v>4367</v>
      </c>
      <c r="J1047" s="92" t="s">
        <v>60</v>
      </c>
      <c r="K1047" s="92" t="s">
        <v>633</v>
      </c>
    </row>
    <row r="1048" spans="1:11" ht="13.8">
      <c r="A1048" s="47" t="s">
        <v>4368</v>
      </c>
      <c r="B1048" s="92" t="s">
        <v>371</v>
      </c>
      <c r="C1048" s="92" t="s">
        <v>372</v>
      </c>
      <c r="D1048" s="72" t="str">
        <f>IFERROR(VLOOKUP(A1048,'[1]ST-QA-ZZ5'!$C$5:$M$299,11,0),"Inspection at production line")</f>
        <v>Inspection at production line</v>
      </c>
      <c r="F1048" s="92" t="s">
        <v>4375</v>
      </c>
      <c r="G1048" s="92" t="s">
        <v>949</v>
      </c>
      <c r="H1048" s="92" t="s">
        <v>4376</v>
      </c>
      <c r="I1048" s="92" t="s">
        <v>4367</v>
      </c>
      <c r="J1048" s="92" t="s">
        <v>60</v>
      </c>
      <c r="K1048" s="92" t="s">
        <v>633</v>
      </c>
    </row>
    <row r="1049" spans="1:11" ht="13.8">
      <c r="A1049" s="47" t="s">
        <v>4371</v>
      </c>
      <c r="B1049" s="92" t="s">
        <v>371</v>
      </c>
      <c r="C1049" s="92" t="s">
        <v>4372</v>
      </c>
      <c r="D1049" s="72" t="str">
        <f>IFERROR(VLOOKUP(A1049,'[1]ST-QA-ZZ5'!$C$5:$M$299,11,0),"Inspection at production line")</f>
        <v>Inspection at production line</v>
      </c>
      <c r="F1049" s="92" t="s">
        <v>4379</v>
      </c>
      <c r="G1049" s="92" t="s">
        <v>814</v>
      </c>
      <c r="H1049" s="92" t="s">
        <v>4380</v>
      </c>
      <c r="I1049" s="92" t="s">
        <v>4367</v>
      </c>
      <c r="J1049" s="92" t="s">
        <v>60</v>
      </c>
      <c r="K1049" s="92" t="s">
        <v>633</v>
      </c>
    </row>
    <row r="1050" spans="1:11" ht="13.8">
      <c r="A1050" s="47" t="s">
        <v>1021</v>
      </c>
      <c r="B1050" s="92" t="s">
        <v>936</v>
      </c>
      <c r="C1050" s="92" t="s">
        <v>1022</v>
      </c>
      <c r="D1050" s="72" t="str">
        <f>IFERROR(VLOOKUP(A1050,'[1]ST-QA-ZZ5'!$C$5:$M$299,11,0),"Inspection at production line")</f>
        <v>Sampling check</v>
      </c>
      <c r="F1050" s="92" t="s">
        <v>4381</v>
      </c>
      <c r="G1050" s="92" t="s">
        <v>4382</v>
      </c>
      <c r="H1050" s="92" t="s">
        <v>4383</v>
      </c>
      <c r="I1050" s="92" t="s">
        <v>4367</v>
      </c>
      <c r="J1050" s="92" t="s">
        <v>60</v>
      </c>
      <c r="K1050" s="92" t="s">
        <v>633</v>
      </c>
    </row>
    <row r="1051" spans="1:11" ht="13.8">
      <c r="A1051" s="47" t="s">
        <v>4377</v>
      </c>
      <c r="B1051" s="92" t="s">
        <v>814</v>
      </c>
      <c r="C1051" s="92" t="s">
        <v>4378</v>
      </c>
      <c r="D1051" s="72" t="str">
        <f>IFERROR(VLOOKUP(A1051,'[1]ST-QA-ZZ5'!$C$5:$M$299,11,0),"Inspection at production line")</f>
        <v>Inspection at production line</v>
      </c>
      <c r="F1051" s="92" t="s">
        <v>4384</v>
      </c>
      <c r="G1051" s="92" t="s">
        <v>949</v>
      </c>
      <c r="H1051" s="92" t="s">
        <v>4385</v>
      </c>
      <c r="I1051" s="92" t="s">
        <v>4367</v>
      </c>
      <c r="J1051" s="92" t="s">
        <v>60</v>
      </c>
      <c r="K1051" s="92" t="s">
        <v>633</v>
      </c>
    </row>
    <row r="1052" spans="1:11" ht="13.8">
      <c r="A1052" s="47" t="s">
        <v>1024</v>
      </c>
      <c r="B1052" s="92" t="s">
        <v>404</v>
      </c>
      <c r="C1052" s="92" t="s">
        <v>1025</v>
      </c>
      <c r="D1052" s="72" t="str">
        <f>IFERROR(VLOOKUP(A1052,'[1]ST-QA-ZZ5'!$C$5:$M$299,11,0),"Inspection at production line")</f>
        <v>Inspection at production line</v>
      </c>
      <c r="F1052" s="92" t="s">
        <v>4388</v>
      </c>
      <c r="G1052" s="92" t="s">
        <v>941</v>
      </c>
      <c r="H1052" s="92" t="s">
        <v>4389</v>
      </c>
      <c r="I1052" s="92" t="s">
        <v>4367</v>
      </c>
      <c r="J1052" s="92" t="s">
        <v>60</v>
      </c>
      <c r="K1052" s="92" t="s">
        <v>633</v>
      </c>
    </row>
    <row r="1053" spans="1:11" ht="13.8">
      <c r="A1053" s="47" t="s">
        <v>1027</v>
      </c>
      <c r="B1053" s="92" t="s">
        <v>404</v>
      </c>
      <c r="C1053" s="92" t="s">
        <v>1028</v>
      </c>
      <c r="D1053" s="72" t="str">
        <f>IFERROR(VLOOKUP(A1053,'[1]ST-QA-ZZ5'!$C$5:$M$299,11,0),"Inspection at production line")</f>
        <v>Inspection at production line</v>
      </c>
      <c r="F1053" s="92" t="s">
        <v>4390</v>
      </c>
      <c r="G1053" s="92" t="s">
        <v>797</v>
      </c>
      <c r="H1053" s="92" t="s">
        <v>4391</v>
      </c>
      <c r="I1053" s="92" t="s">
        <v>4367</v>
      </c>
      <c r="J1053" s="92" t="s">
        <v>60</v>
      </c>
      <c r="K1053" s="92" t="s">
        <v>633</v>
      </c>
    </row>
    <row r="1054" spans="1:11" ht="13.8">
      <c r="A1054" s="47" t="s">
        <v>4386</v>
      </c>
      <c r="B1054" s="92" t="s">
        <v>404</v>
      </c>
      <c r="C1054" s="92" t="s">
        <v>4387</v>
      </c>
      <c r="D1054" s="72" t="str">
        <f>IFERROR(VLOOKUP(A1054,'[1]ST-QA-ZZ5'!$C$5:$M$299,11,0),"Inspection at production line")</f>
        <v>Inspection at production line</v>
      </c>
      <c r="F1054" s="92" t="s">
        <v>4392</v>
      </c>
      <c r="G1054" s="92" t="s">
        <v>1177</v>
      </c>
      <c r="H1054" s="92" t="s">
        <v>4393</v>
      </c>
      <c r="I1054" s="92" t="s">
        <v>4367</v>
      </c>
      <c r="J1054" s="92" t="s">
        <v>60</v>
      </c>
      <c r="K1054" s="92" t="s">
        <v>633</v>
      </c>
    </row>
    <row r="1055" spans="1:11" ht="13.8">
      <c r="A1055" s="47" t="s">
        <v>1030</v>
      </c>
      <c r="B1055" s="92" t="s">
        <v>404</v>
      </c>
      <c r="C1055" s="92" t="s">
        <v>1031</v>
      </c>
      <c r="D1055" s="72" t="str">
        <f>IFERROR(VLOOKUP(A1055,'[1]ST-QA-ZZ5'!$C$5:$M$299,11,0),"Inspection at production line")</f>
        <v>Inspection at production line</v>
      </c>
      <c r="F1055" s="92" t="s">
        <v>4394</v>
      </c>
      <c r="G1055" s="92" t="s">
        <v>797</v>
      </c>
      <c r="H1055" s="92" t="s">
        <v>4395</v>
      </c>
      <c r="I1055" s="92" t="s">
        <v>4367</v>
      </c>
      <c r="J1055" s="92" t="s">
        <v>60</v>
      </c>
      <c r="K1055" s="92" t="s">
        <v>633</v>
      </c>
    </row>
    <row r="1056" spans="1:11" ht="13.8">
      <c r="A1056" s="47" t="s">
        <v>1033</v>
      </c>
      <c r="B1056" s="92" t="s">
        <v>404</v>
      </c>
      <c r="C1056" s="92" t="s">
        <v>1034</v>
      </c>
      <c r="D1056" s="72" t="str">
        <f>IFERROR(VLOOKUP(A1056,'[1]ST-QA-ZZ5'!$C$5:$M$299,11,0),"Inspection at production line")</f>
        <v>Inspection at production line</v>
      </c>
      <c r="F1056" s="92" t="s">
        <v>4398</v>
      </c>
      <c r="G1056" s="92" t="s">
        <v>2566</v>
      </c>
      <c r="H1056" s="92" t="s">
        <v>4399</v>
      </c>
      <c r="I1056" s="92" t="s">
        <v>4367</v>
      </c>
      <c r="J1056" s="92" t="s">
        <v>60</v>
      </c>
      <c r="K1056" s="92" t="s">
        <v>633</v>
      </c>
    </row>
    <row r="1057" spans="1:11" ht="13.8">
      <c r="A1057" s="47" t="s">
        <v>1036</v>
      </c>
      <c r="B1057" s="92" t="s">
        <v>404</v>
      </c>
      <c r="C1057" s="92" t="s">
        <v>1037</v>
      </c>
      <c r="D1057" s="72" t="str">
        <f>IFERROR(VLOOKUP(A1057,'[1]ST-QA-ZZ5'!$C$5:$M$299,11,0),"Inspection at production line")</f>
        <v>Inspection at production line</v>
      </c>
      <c r="F1057" s="92" t="s">
        <v>4402</v>
      </c>
      <c r="G1057" s="92" t="s">
        <v>916</v>
      </c>
      <c r="H1057" s="92" t="s">
        <v>4403</v>
      </c>
      <c r="I1057" s="92" t="s">
        <v>4367</v>
      </c>
      <c r="J1057" s="92" t="s">
        <v>4404</v>
      </c>
      <c r="K1057" s="92" t="s">
        <v>633</v>
      </c>
    </row>
    <row r="1058" spans="1:11" ht="13.8">
      <c r="A1058" s="47" t="s">
        <v>4396</v>
      </c>
      <c r="B1058" s="92" t="s">
        <v>404</v>
      </c>
      <c r="C1058" s="92" t="s">
        <v>4397</v>
      </c>
      <c r="D1058" s="72" t="str">
        <f>IFERROR(VLOOKUP(A1058,'[1]ST-QA-ZZ5'!$C$5:$M$299,11,0),"Inspection at production line")</f>
        <v>Inspection at production line</v>
      </c>
      <c r="F1058" s="92" t="s">
        <v>4407</v>
      </c>
      <c r="G1058" s="92" t="s">
        <v>975</v>
      </c>
      <c r="H1058" s="92" t="s">
        <v>4408</v>
      </c>
      <c r="I1058" s="92" t="s">
        <v>4367</v>
      </c>
      <c r="J1058" s="92" t="s">
        <v>4404</v>
      </c>
      <c r="K1058" s="92" t="s">
        <v>633</v>
      </c>
    </row>
    <row r="1059" spans="1:11" ht="13.8">
      <c r="A1059" s="47" t="s">
        <v>4400</v>
      </c>
      <c r="B1059" s="92" t="s">
        <v>816</v>
      </c>
      <c r="C1059" s="92" t="s">
        <v>4401</v>
      </c>
      <c r="D1059" s="72" t="str">
        <f>IFERROR(VLOOKUP(A1059,'[1]ST-QA-ZZ5'!$C$5:$M$299,11,0),"Inspection at production line")</f>
        <v>Inspection at production line</v>
      </c>
      <c r="F1059" s="92" t="s">
        <v>4411</v>
      </c>
      <c r="G1059" s="92" t="s">
        <v>916</v>
      </c>
      <c r="H1059" s="92" t="s">
        <v>4412</v>
      </c>
      <c r="I1059" s="92" t="s">
        <v>4367</v>
      </c>
      <c r="J1059" s="92" t="s">
        <v>4404</v>
      </c>
      <c r="K1059" s="92" t="s">
        <v>633</v>
      </c>
    </row>
    <row r="1060" spans="1:11" ht="13.8">
      <c r="A1060" s="47" t="s">
        <v>4405</v>
      </c>
      <c r="B1060" s="92" t="s">
        <v>816</v>
      </c>
      <c r="C1060" s="92" t="s">
        <v>4406</v>
      </c>
      <c r="D1060" s="72" t="str">
        <f>IFERROR(VLOOKUP(A1060,'[1]ST-QA-ZZ5'!$C$5:$M$299,11,0),"Inspection at production line")</f>
        <v>Inspection at production line</v>
      </c>
      <c r="F1060" s="92" t="s">
        <v>4416</v>
      </c>
      <c r="G1060" s="92" t="s">
        <v>2489</v>
      </c>
      <c r="H1060" s="92" t="s">
        <v>4417</v>
      </c>
      <c r="I1060" s="92" t="s">
        <v>4367</v>
      </c>
      <c r="J1060" s="92" t="s">
        <v>4404</v>
      </c>
      <c r="K1060" s="92" t="s">
        <v>633</v>
      </c>
    </row>
    <row r="1061" spans="1:11" ht="13.8">
      <c r="A1061" s="47" t="s">
        <v>4409</v>
      </c>
      <c r="B1061" s="92" t="s">
        <v>816</v>
      </c>
      <c r="C1061" s="92" t="s">
        <v>4410</v>
      </c>
      <c r="D1061" s="72" t="str">
        <f>IFERROR(VLOOKUP(A1061,'[1]ST-QA-ZZ5'!$C$5:$M$299,11,0),"Inspection at production line")</f>
        <v>Inspection at production line</v>
      </c>
      <c r="F1061" s="92" t="s">
        <v>4420</v>
      </c>
      <c r="G1061" s="92" t="s">
        <v>2489</v>
      </c>
      <c r="H1061" s="92" t="s">
        <v>4421</v>
      </c>
      <c r="I1061" s="92" t="s">
        <v>4367</v>
      </c>
      <c r="J1061" s="92" t="s">
        <v>4404</v>
      </c>
      <c r="K1061" s="92" t="s">
        <v>633</v>
      </c>
    </row>
    <row r="1062" spans="1:11" ht="13.8">
      <c r="A1062" s="47" t="s">
        <v>4413</v>
      </c>
      <c r="B1062" s="92" t="s">
        <v>4414</v>
      </c>
      <c r="C1062" s="92" t="s">
        <v>4415</v>
      </c>
      <c r="D1062" s="72" t="str">
        <f>IFERROR(VLOOKUP(A1062,'[1]ST-QA-ZZ5'!$C$5:$M$299,11,0),"Inspection at production line")</f>
        <v>Inspection at production line</v>
      </c>
      <c r="F1062" s="92" t="s">
        <v>4425</v>
      </c>
      <c r="G1062" s="92" t="s">
        <v>2024</v>
      </c>
      <c r="H1062" s="92" t="s">
        <v>4426</v>
      </c>
      <c r="I1062" s="92" t="s">
        <v>4367</v>
      </c>
      <c r="J1062" s="92" t="s">
        <v>4404</v>
      </c>
      <c r="K1062" s="92" t="s">
        <v>633</v>
      </c>
    </row>
    <row r="1063" spans="1:11" ht="13.8">
      <c r="A1063" s="47" t="s">
        <v>4418</v>
      </c>
      <c r="B1063" s="92" t="s">
        <v>4419</v>
      </c>
      <c r="C1063" s="92" t="s">
        <v>4419</v>
      </c>
      <c r="D1063" s="72" t="str">
        <f>IFERROR(VLOOKUP(A1063,'[1]ST-QA-ZZ5'!$C$5:$M$299,11,0),"Inspection at production line")</f>
        <v>Inspection at production line</v>
      </c>
      <c r="F1063" s="92" t="s">
        <v>4428</v>
      </c>
      <c r="G1063" s="92" t="s">
        <v>2489</v>
      </c>
      <c r="H1063" s="92" t="s">
        <v>4429</v>
      </c>
      <c r="I1063" s="92" t="s">
        <v>4367</v>
      </c>
      <c r="J1063" s="92" t="s">
        <v>4404</v>
      </c>
      <c r="K1063" s="92" t="s">
        <v>633</v>
      </c>
    </row>
    <row r="1064" spans="1:11" ht="13.8">
      <c r="A1064" s="47" t="s">
        <v>4422</v>
      </c>
      <c r="B1064" s="92" t="s">
        <v>4423</v>
      </c>
      <c r="C1064" s="92" t="s">
        <v>4424</v>
      </c>
      <c r="D1064" s="72" t="str">
        <f>IFERROR(VLOOKUP(A1064,'[1]ST-QA-ZZ5'!$C$5:$M$299,11,0),"Inspection at production line")</f>
        <v>Inspection at production line</v>
      </c>
      <c r="F1064" s="92" t="s">
        <v>4432</v>
      </c>
      <c r="G1064" s="92" t="s">
        <v>68</v>
      </c>
      <c r="H1064" s="92" t="s">
        <v>4433</v>
      </c>
      <c r="I1064" s="92" t="s">
        <v>4367</v>
      </c>
      <c r="J1064" s="92" t="s">
        <v>4404</v>
      </c>
      <c r="K1064" s="92" t="s">
        <v>633</v>
      </c>
    </row>
    <row r="1065" spans="1:11" ht="13.8">
      <c r="A1065" s="47" t="s">
        <v>4427</v>
      </c>
      <c r="B1065" s="92" t="s">
        <v>1472</v>
      </c>
      <c r="C1065" s="92" t="s">
        <v>1472</v>
      </c>
      <c r="D1065" s="72" t="str">
        <f>IFERROR(VLOOKUP(A1065,'[1]ST-QA-ZZ5'!$C$5:$M$299,11,0),"Inspection at production line")</f>
        <v>Inspection at production line</v>
      </c>
      <c r="F1065" s="92" t="s">
        <v>4436</v>
      </c>
      <c r="G1065" s="92" t="s">
        <v>828</v>
      </c>
      <c r="H1065" s="92" t="s">
        <v>4437</v>
      </c>
      <c r="I1065" s="92" t="s">
        <v>4367</v>
      </c>
      <c r="J1065" s="92" t="s">
        <v>60</v>
      </c>
      <c r="K1065" s="92" t="s">
        <v>633</v>
      </c>
    </row>
    <row r="1066" spans="1:11" ht="13.8">
      <c r="A1066" s="47" t="s">
        <v>4430</v>
      </c>
      <c r="B1066" s="92" t="s">
        <v>865</v>
      </c>
      <c r="C1066" s="92" t="s">
        <v>4431</v>
      </c>
      <c r="D1066" s="72" t="str">
        <f>IFERROR(VLOOKUP(A1066,'[1]ST-QA-ZZ5'!$C$5:$M$299,11,0),"Inspection at production line")</f>
        <v>Inspection at production line</v>
      </c>
      <c r="F1066" s="92" t="s">
        <v>4438</v>
      </c>
      <c r="G1066" s="92" t="s">
        <v>957</v>
      </c>
      <c r="H1066" s="92" t="s">
        <v>4439</v>
      </c>
      <c r="I1066" s="92" t="s">
        <v>4367</v>
      </c>
      <c r="J1066" s="92" t="s">
        <v>60</v>
      </c>
      <c r="K1066" s="92" t="s">
        <v>633</v>
      </c>
    </row>
    <row r="1067" spans="1:11" ht="13.8">
      <c r="A1067" s="47" t="s">
        <v>1039</v>
      </c>
      <c r="B1067" s="92" t="s">
        <v>4434</v>
      </c>
      <c r="C1067" s="92" t="s">
        <v>4435</v>
      </c>
      <c r="D1067" s="72" t="str">
        <f>IFERROR(VLOOKUP(A1067,'[1]ST-QA-ZZ5'!$C$5:$M$299,11,0),"Inspection at production line")</f>
        <v>Inspection at production line</v>
      </c>
      <c r="F1067" s="92" t="s">
        <v>4443</v>
      </c>
      <c r="G1067" s="92" t="s">
        <v>3543</v>
      </c>
      <c r="H1067" s="92" t="s">
        <v>4444</v>
      </c>
      <c r="I1067" s="92" t="s">
        <v>4367</v>
      </c>
      <c r="J1067" s="92" t="s">
        <v>60</v>
      </c>
      <c r="K1067" s="92" t="s">
        <v>633</v>
      </c>
    </row>
    <row r="1068" spans="1:11" ht="13.8">
      <c r="A1068" s="47" t="s">
        <v>1042</v>
      </c>
      <c r="B1068" s="92" t="s">
        <v>811</v>
      </c>
      <c r="C1068" s="92" t="s">
        <v>1043</v>
      </c>
      <c r="D1068" s="72" t="str">
        <f>IFERROR(VLOOKUP(A1068,'[1]ST-QA-ZZ5'!$C$5:$M$299,11,0),"Inspection at production line")</f>
        <v>Inspection at production line</v>
      </c>
      <c r="F1068" s="92" t="s">
        <v>4445</v>
      </c>
      <c r="G1068" s="92" t="s">
        <v>828</v>
      </c>
      <c r="H1068" s="92" t="s">
        <v>4446</v>
      </c>
      <c r="I1068" s="92" t="s">
        <v>4367</v>
      </c>
      <c r="J1068" s="92" t="s">
        <v>60</v>
      </c>
      <c r="K1068" s="92" t="s">
        <v>633</v>
      </c>
    </row>
    <row r="1069" spans="1:11" ht="13.8">
      <c r="A1069" s="47" t="s">
        <v>4440</v>
      </c>
      <c r="B1069" s="92" t="s">
        <v>4441</v>
      </c>
      <c r="C1069" s="92" t="s">
        <v>4442</v>
      </c>
      <c r="D1069" s="72" t="str">
        <f>IFERROR(VLOOKUP(A1069,'[1]ST-QA-ZZ5'!$C$5:$M$299,11,0),"Inspection at production line")</f>
        <v>Inspection at production line</v>
      </c>
      <c r="F1069" s="92" t="s">
        <v>4447</v>
      </c>
      <c r="G1069" s="92" t="s">
        <v>1592</v>
      </c>
      <c r="H1069" s="92" t="s">
        <v>4448</v>
      </c>
      <c r="I1069" s="92" t="s">
        <v>4367</v>
      </c>
      <c r="J1069" s="92" t="s">
        <v>60</v>
      </c>
      <c r="K1069" s="92" t="s">
        <v>633</v>
      </c>
    </row>
    <row r="1070" spans="1:11" ht="13.8">
      <c r="A1070" s="47" t="s">
        <v>1045</v>
      </c>
      <c r="B1070" s="92" t="s">
        <v>1046</v>
      </c>
      <c r="C1070" s="92" t="s">
        <v>1047</v>
      </c>
      <c r="D1070" s="72" t="str">
        <f>IFERROR(VLOOKUP(A1070,'[1]ST-QA-ZZ5'!$C$5:$M$299,11,0),"Inspection at production line")</f>
        <v>Inspection at production line</v>
      </c>
      <c r="F1070" s="92" t="s">
        <v>4451</v>
      </c>
      <c r="G1070" s="92" t="s">
        <v>814</v>
      </c>
      <c r="H1070" s="92" t="s">
        <v>4452</v>
      </c>
      <c r="I1070" s="92" t="s">
        <v>4367</v>
      </c>
      <c r="J1070" s="92" t="s">
        <v>60</v>
      </c>
      <c r="K1070" s="92" t="s">
        <v>633</v>
      </c>
    </row>
    <row r="1071" spans="1:11" ht="13.8">
      <c r="A1071" s="47" t="s">
        <v>1049</v>
      </c>
      <c r="B1071" s="92" t="s">
        <v>1050</v>
      </c>
      <c r="C1071" s="92" t="s">
        <v>1051</v>
      </c>
      <c r="D1071" s="72" t="str">
        <f>IFERROR(VLOOKUP(A1071,'[1]ST-QA-ZZ5'!$C$5:$M$299,11,0),"Inspection at production line")</f>
        <v>Inspection at production line</v>
      </c>
      <c r="F1071" s="92" t="s">
        <v>4455</v>
      </c>
      <c r="G1071" s="92" t="s">
        <v>819</v>
      </c>
      <c r="H1071" s="92" t="s">
        <v>4456</v>
      </c>
      <c r="I1071" s="92" t="s">
        <v>4367</v>
      </c>
      <c r="J1071" s="92" t="s">
        <v>60</v>
      </c>
      <c r="K1071" s="92" t="s">
        <v>633</v>
      </c>
    </row>
    <row r="1072" spans="1:11" ht="13.8">
      <c r="A1072" s="47" t="s">
        <v>4449</v>
      </c>
      <c r="B1072" s="92" t="s">
        <v>555</v>
      </c>
      <c r="C1072" s="92" t="s">
        <v>4450</v>
      </c>
      <c r="D1072" s="72" t="str">
        <f>IFERROR(VLOOKUP(A1072,'[1]ST-QA-ZZ5'!$C$5:$M$299,11,0),"Inspection at production line")</f>
        <v>Inspection at production line</v>
      </c>
      <c r="F1072" s="92" t="s">
        <v>4459</v>
      </c>
      <c r="G1072" s="92" t="s">
        <v>814</v>
      </c>
      <c r="H1072" s="92" t="s">
        <v>4460</v>
      </c>
      <c r="I1072" s="92" t="s">
        <v>4367</v>
      </c>
      <c r="J1072" s="92" t="s">
        <v>60</v>
      </c>
      <c r="K1072" s="92" t="s">
        <v>633</v>
      </c>
    </row>
    <row r="1073" spans="1:11" ht="13.8">
      <c r="A1073" s="47" t="s">
        <v>4453</v>
      </c>
      <c r="B1073" s="92" t="s">
        <v>555</v>
      </c>
      <c r="C1073" s="92" t="s">
        <v>4454</v>
      </c>
      <c r="D1073" s="72" t="str">
        <f>IFERROR(VLOOKUP(A1073,'[1]ST-QA-ZZ5'!$C$5:$M$299,11,0),"Inspection at production line")</f>
        <v>Inspection at production line</v>
      </c>
      <c r="F1073" s="92" t="s">
        <v>4461</v>
      </c>
      <c r="G1073" s="92" t="s">
        <v>208</v>
      </c>
      <c r="H1073" s="92" t="s">
        <v>4462</v>
      </c>
      <c r="I1073" s="92" t="s">
        <v>4367</v>
      </c>
      <c r="J1073" s="92" t="s">
        <v>60</v>
      </c>
      <c r="K1073" s="92" t="s">
        <v>633</v>
      </c>
    </row>
    <row r="1074" spans="1:11" ht="13.8">
      <c r="A1074" s="47" t="s">
        <v>4457</v>
      </c>
      <c r="B1074" s="92" t="s">
        <v>555</v>
      </c>
      <c r="C1074" s="92" t="s">
        <v>4458</v>
      </c>
      <c r="D1074" s="72" t="str">
        <f>IFERROR(VLOOKUP(A1074,'[1]ST-QA-ZZ5'!$C$5:$M$299,11,0),"Inspection at production line")</f>
        <v>Inspection at production line</v>
      </c>
      <c r="F1074" s="92" t="s">
        <v>4466</v>
      </c>
      <c r="G1074" s="92" t="s">
        <v>2507</v>
      </c>
      <c r="H1074" s="92" t="s">
        <v>4467</v>
      </c>
      <c r="I1074" s="92" t="s">
        <v>4367</v>
      </c>
      <c r="J1074" s="92" t="s">
        <v>60</v>
      </c>
      <c r="K1074" s="92" t="s">
        <v>633</v>
      </c>
    </row>
    <row r="1075" spans="1:11" ht="13.8">
      <c r="A1075" s="47" t="s">
        <v>1053</v>
      </c>
      <c r="B1075" s="92" t="s">
        <v>90</v>
      </c>
      <c r="C1075" s="92" t="s">
        <v>1054</v>
      </c>
      <c r="D1075" s="72" t="str">
        <f>IFERROR(VLOOKUP(A1075,'[1]ST-QA-ZZ5'!$C$5:$M$299,11,0),"Inspection at production line")</f>
        <v>Inspection at production line</v>
      </c>
      <c r="F1075" s="92" t="s">
        <v>4470</v>
      </c>
      <c r="G1075" s="92" t="s">
        <v>2507</v>
      </c>
      <c r="H1075" s="92" t="s">
        <v>4471</v>
      </c>
      <c r="I1075" s="92" t="s">
        <v>4367</v>
      </c>
      <c r="J1075" s="92" t="s">
        <v>60</v>
      </c>
      <c r="K1075" s="92" t="s">
        <v>633</v>
      </c>
    </row>
    <row r="1076" spans="1:11" ht="13.8">
      <c r="A1076" s="47" t="s">
        <v>4463</v>
      </c>
      <c r="B1076" s="92" t="s">
        <v>4464</v>
      </c>
      <c r="C1076" s="92" t="s">
        <v>4465</v>
      </c>
      <c r="D1076" s="72" t="str">
        <f>IFERROR(VLOOKUP(A1076,'[1]ST-QA-ZZ5'!$C$5:$M$299,11,0),"Inspection at production line")</f>
        <v>Inspection at production line</v>
      </c>
      <c r="F1076" s="92" t="s">
        <v>4472</v>
      </c>
      <c r="G1076" s="92" t="s">
        <v>957</v>
      </c>
      <c r="H1076" s="92" t="s">
        <v>4473</v>
      </c>
      <c r="I1076" s="92" t="s">
        <v>4367</v>
      </c>
      <c r="J1076" s="92" t="s">
        <v>60</v>
      </c>
      <c r="K1076" s="92" t="s">
        <v>633</v>
      </c>
    </row>
    <row r="1077" spans="1:11" ht="13.8">
      <c r="A1077" s="47" t="s">
        <v>4468</v>
      </c>
      <c r="B1077" s="92" t="s">
        <v>4469</v>
      </c>
      <c r="C1077" s="92" t="s">
        <v>4469</v>
      </c>
      <c r="D1077" s="72" t="str">
        <f>IFERROR(VLOOKUP(A1077,'[1]ST-QA-ZZ5'!$C$5:$M$299,11,0),"Inspection at production line")</f>
        <v>Inspection at production line</v>
      </c>
      <c r="F1077" s="92" t="s">
        <v>4477</v>
      </c>
      <c r="G1077" s="92" t="s">
        <v>2507</v>
      </c>
      <c r="H1077" s="92" t="s">
        <v>4478</v>
      </c>
      <c r="I1077" s="92" t="s">
        <v>4367</v>
      </c>
      <c r="J1077" s="92" t="s">
        <v>60</v>
      </c>
      <c r="K1077" s="92" t="s">
        <v>633</v>
      </c>
    </row>
    <row r="1078" spans="1:11" ht="13.8">
      <c r="A1078" s="47" t="s">
        <v>1056</v>
      </c>
      <c r="B1078" s="92" t="s">
        <v>1057</v>
      </c>
      <c r="C1078" s="92" t="s">
        <v>952</v>
      </c>
      <c r="D1078" s="72" t="str">
        <f>IFERROR(VLOOKUP(A1078,'[1]ST-QA-ZZ5'!$C$5:$M$299,11,0),"Inspection at production line")</f>
        <v>Inspection at production line</v>
      </c>
      <c r="F1078" s="92" t="s">
        <v>4481</v>
      </c>
      <c r="G1078" s="92" t="s">
        <v>957</v>
      </c>
      <c r="H1078" s="92" t="s">
        <v>4482</v>
      </c>
      <c r="I1078" s="92" t="s">
        <v>4367</v>
      </c>
      <c r="J1078" s="92" t="s">
        <v>60</v>
      </c>
      <c r="K1078" s="92" t="s">
        <v>633</v>
      </c>
    </row>
    <row r="1079" spans="1:11" ht="13.8">
      <c r="A1079" s="47" t="s">
        <v>4474</v>
      </c>
      <c r="B1079" s="92" t="s">
        <v>4475</v>
      </c>
      <c r="C1079" s="92" t="s">
        <v>4476</v>
      </c>
      <c r="D1079" s="72" t="str">
        <f>IFERROR(VLOOKUP(A1079,'[1]ST-QA-ZZ5'!$C$5:$M$299,11,0),"Inspection at production line")</f>
        <v>Inspection at production line</v>
      </c>
      <c r="F1079" s="92" t="s">
        <v>4484</v>
      </c>
      <c r="G1079" s="92" t="s">
        <v>953</v>
      </c>
      <c r="H1079" s="92" t="s">
        <v>4485</v>
      </c>
      <c r="I1079" s="92" t="s">
        <v>4367</v>
      </c>
      <c r="J1079" s="92" t="s">
        <v>60</v>
      </c>
      <c r="K1079" s="92" t="s">
        <v>633</v>
      </c>
    </row>
    <row r="1080" spans="1:11" ht="13.8">
      <c r="A1080" s="47" t="s">
        <v>4479</v>
      </c>
      <c r="B1080" s="92" t="s">
        <v>944</v>
      </c>
      <c r="C1080" s="92" t="s">
        <v>4480</v>
      </c>
      <c r="D1080" s="72" t="str">
        <f>IFERROR(VLOOKUP(A1080,'[1]ST-QA-ZZ5'!$C$5:$M$299,11,0),"Inspection at production line")</f>
        <v>Inspection at production line</v>
      </c>
      <c r="F1080" s="92" t="s">
        <v>4486</v>
      </c>
      <c r="G1080" s="92" t="s">
        <v>2511</v>
      </c>
      <c r="H1080" s="92" t="s">
        <v>4487</v>
      </c>
      <c r="I1080" s="92" t="s">
        <v>4367</v>
      </c>
      <c r="J1080" s="92" t="s">
        <v>60</v>
      </c>
      <c r="K1080" s="92" t="s">
        <v>633</v>
      </c>
    </row>
    <row r="1081" spans="1:11" ht="13.8">
      <c r="A1081" s="47" t="s">
        <v>1059</v>
      </c>
      <c r="B1081" s="92" t="s">
        <v>877</v>
      </c>
      <c r="C1081" s="92" t="s">
        <v>4483</v>
      </c>
      <c r="D1081" s="72" t="str">
        <f>IFERROR(VLOOKUP(A1081,'[1]ST-QA-ZZ5'!$C$5:$M$299,11,0),"Inspection at production line")</f>
        <v>Inspection at production line</v>
      </c>
      <c r="F1081" s="92" t="s">
        <v>4488</v>
      </c>
      <c r="G1081" s="92" t="s">
        <v>2511</v>
      </c>
      <c r="H1081" s="92" t="s">
        <v>4489</v>
      </c>
      <c r="I1081" s="92" t="s">
        <v>4367</v>
      </c>
      <c r="J1081" s="92" t="s">
        <v>60</v>
      </c>
      <c r="K1081" s="92" t="s">
        <v>633</v>
      </c>
    </row>
    <row r="1082" spans="1:11" ht="13.8">
      <c r="A1082" s="47" t="s">
        <v>1062</v>
      </c>
      <c r="B1082" s="92" t="s">
        <v>1063</v>
      </c>
      <c r="C1082" s="92" t="s">
        <v>1064</v>
      </c>
      <c r="D1082" s="72" t="str">
        <f>IFERROR(VLOOKUP(A1082,'[1]ST-QA-ZZ5'!$C$5:$M$299,11,0),"Inspection at production line")</f>
        <v>Inspection at production line</v>
      </c>
      <c r="F1082" s="92" t="s">
        <v>4492</v>
      </c>
      <c r="G1082" s="92" t="s">
        <v>2546</v>
      </c>
      <c r="H1082" s="92" t="s">
        <v>4493</v>
      </c>
      <c r="I1082" s="92" t="s">
        <v>4367</v>
      </c>
      <c r="J1082" s="92" t="s">
        <v>60</v>
      </c>
      <c r="K1082" s="92" t="s">
        <v>633</v>
      </c>
    </row>
    <row r="1083" spans="1:11" ht="13.8">
      <c r="A1083" s="47" t="s">
        <v>1066</v>
      </c>
      <c r="B1083" s="92" t="s">
        <v>818</v>
      </c>
      <c r="C1083" s="92" t="s">
        <v>1067</v>
      </c>
      <c r="D1083" s="72" t="str">
        <f>IFERROR(VLOOKUP(A1083,'[1]ST-QA-ZZ5'!$C$5:$M$299,11,0),"Inspection at production line")</f>
        <v>Inspection at production line</v>
      </c>
      <c r="F1083" s="92" t="s">
        <v>4494</v>
      </c>
      <c r="G1083" s="92" t="s">
        <v>814</v>
      </c>
      <c r="H1083" s="92" t="s">
        <v>4495</v>
      </c>
      <c r="I1083" s="92" t="s">
        <v>4367</v>
      </c>
      <c r="J1083" s="92" t="s">
        <v>60</v>
      </c>
      <c r="K1083" s="92" t="s">
        <v>633</v>
      </c>
    </row>
    <row r="1084" spans="1:11" ht="13.8">
      <c r="A1084" s="47" t="s">
        <v>4490</v>
      </c>
      <c r="B1084" s="92" t="s">
        <v>818</v>
      </c>
      <c r="C1084" s="92" t="s">
        <v>4491</v>
      </c>
      <c r="D1084" s="72" t="str">
        <f>IFERROR(VLOOKUP(A1084,'[1]ST-QA-ZZ5'!$C$5:$M$299,11,0),"Inspection at production line")</f>
        <v>Inspection at production line</v>
      </c>
      <c r="F1084" s="92" t="s">
        <v>4496</v>
      </c>
      <c r="G1084" s="92" t="s">
        <v>814</v>
      </c>
      <c r="H1084" s="92" t="s">
        <v>4497</v>
      </c>
      <c r="I1084" s="92" t="s">
        <v>4367</v>
      </c>
      <c r="J1084" s="92" t="s">
        <v>60</v>
      </c>
      <c r="K1084" s="92" t="s">
        <v>633</v>
      </c>
    </row>
    <row r="1085" spans="1:11" ht="13.8">
      <c r="A1085" s="47" t="s">
        <v>1069</v>
      </c>
      <c r="B1085" s="92" t="s">
        <v>1070</v>
      </c>
      <c r="C1085" s="92" t="s">
        <v>1071</v>
      </c>
      <c r="D1085" s="72" t="str">
        <f>IFERROR(VLOOKUP(A1085,'[1]ST-QA-ZZ5'!$C$5:$M$299,11,0),"Inspection at production line")</f>
        <v>Inspection at production line</v>
      </c>
      <c r="F1085" s="92" t="s">
        <v>4500</v>
      </c>
      <c r="G1085" s="92" t="s">
        <v>828</v>
      </c>
      <c r="H1085" s="92" t="s">
        <v>4501</v>
      </c>
      <c r="I1085" s="92" t="s">
        <v>4367</v>
      </c>
      <c r="J1085" s="92" t="s">
        <v>60</v>
      </c>
      <c r="K1085" s="92" t="s">
        <v>633</v>
      </c>
    </row>
    <row r="1086" spans="1:11" ht="13.8">
      <c r="A1086" s="47" t="s">
        <v>1073</v>
      </c>
      <c r="B1086" s="92" t="s">
        <v>1070</v>
      </c>
      <c r="C1086" s="92" t="s">
        <v>1074</v>
      </c>
      <c r="D1086" s="72" t="str">
        <f>IFERROR(VLOOKUP(A1086,'[1]ST-QA-ZZ5'!$C$5:$M$299,11,0),"Inspection at production line")</f>
        <v>Inspection at production line</v>
      </c>
      <c r="F1086" s="92" t="s">
        <v>4502</v>
      </c>
      <c r="G1086" s="92" t="s">
        <v>819</v>
      </c>
      <c r="H1086" s="92" t="s">
        <v>4503</v>
      </c>
      <c r="I1086" s="92" t="s">
        <v>4367</v>
      </c>
      <c r="J1086" s="92" t="s">
        <v>60</v>
      </c>
      <c r="K1086" s="92" t="s">
        <v>633</v>
      </c>
    </row>
    <row r="1087" spans="1:11" ht="13.8">
      <c r="A1087" s="47" t="s">
        <v>4498</v>
      </c>
      <c r="B1087" s="92" t="s">
        <v>4499</v>
      </c>
      <c r="C1087" s="92" t="s">
        <v>1457</v>
      </c>
      <c r="D1087" s="72" t="str">
        <f>IFERROR(VLOOKUP(A1087,'[1]ST-QA-ZZ5'!$C$5:$M$299,11,0),"Inspection at production line")</f>
        <v>Inspection at production line</v>
      </c>
      <c r="F1087" s="92" t="s">
        <v>4504</v>
      </c>
      <c r="G1087" s="92" t="s">
        <v>3415</v>
      </c>
      <c r="H1087" s="92" t="s">
        <v>4505</v>
      </c>
      <c r="I1087" s="92" t="s">
        <v>4367</v>
      </c>
      <c r="J1087" s="92" t="s">
        <v>60</v>
      </c>
      <c r="K1087" s="92" t="s">
        <v>633</v>
      </c>
    </row>
    <row r="1088" spans="1:11" ht="13.8">
      <c r="A1088" s="47" t="s">
        <v>1076</v>
      </c>
      <c r="B1088" s="92" t="s">
        <v>818</v>
      </c>
      <c r="C1088" s="92" t="s">
        <v>1077</v>
      </c>
      <c r="D1088" s="72" t="str">
        <f>IFERROR(VLOOKUP(A1088,'[1]ST-QA-ZZ5'!$C$5:$M$299,11,0),"Inspection at production line")</f>
        <v>Inspection at production line</v>
      </c>
      <c r="F1088" s="92" t="s">
        <v>4506</v>
      </c>
      <c r="G1088" s="92" t="s">
        <v>905</v>
      </c>
      <c r="H1088" s="92" t="s">
        <v>4507</v>
      </c>
      <c r="I1088" s="92" t="s">
        <v>4367</v>
      </c>
      <c r="J1088" s="92" t="s">
        <v>60</v>
      </c>
      <c r="K1088" s="92" t="s">
        <v>633</v>
      </c>
    </row>
    <row r="1089" spans="1:11" ht="13.8">
      <c r="A1089" s="47" t="s">
        <v>1079</v>
      </c>
      <c r="B1089" s="92" t="s">
        <v>404</v>
      </c>
      <c r="C1089" s="92" t="s">
        <v>1080</v>
      </c>
      <c r="D1089" s="72" t="str">
        <f>IFERROR(VLOOKUP(A1089,'[1]ST-QA-ZZ5'!$C$5:$M$299,11,0),"Inspection at production line")</f>
        <v>Inspection at production line</v>
      </c>
      <c r="F1089" s="92" t="s">
        <v>4509</v>
      </c>
      <c r="G1089" s="92" t="s">
        <v>4093</v>
      </c>
      <c r="H1089" s="92" t="s">
        <v>4510</v>
      </c>
      <c r="I1089" s="92" t="s">
        <v>4367</v>
      </c>
      <c r="J1089" s="92" t="s">
        <v>60</v>
      </c>
      <c r="K1089" s="92" t="s">
        <v>633</v>
      </c>
    </row>
    <row r="1090" spans="1:11" ht="13.8">
      <c r="A1090" s="47" t="s">
        <v>1082</v>
      </c>
      <c r="B1090" s="92" t="s">
        <v>404</v>
      </c>
      <c r="C1090" s="92" t="s">
        <v>1083</v>
      </c>
      <c r="D1090" s="72" t="str">
        <f>IFERROR(VLOOKUP(A1090,'[1]ST-QA-ZZ5'!$C$5:$M$299,11,0),"Inspection at production line")</f>
        <v>Inspection at production line</v>
      </c>
      <c r="F1090" s="92" t="s">
        <v>4513</v>
      </c>
      <c r="G1090" s="92" t="s">
        <v>2024</v>
      </c>
      <c r="H1090" s="92" t="s">
        <v>4514</v>
      </c>
      <c r="I1090" s="92" t="s">
        <v>4367</v>
      </c>
      <c r="J1090" s="92" t="s">
        <v>71</v>
      </c>
      <c r="K1090" s="92" t="s">
        <v>633</v>
      </c>
    </row>
    <row r="1091" spans="1:11" ht="13.8">
      <c r="A1091" s="47" t="s">
        <v>1085</v>
      </c>
      <c r="B1091" s="92" t="s">
        <v>994</v>
      </c>
      <c r="C1091" s="92" t="s">
        <v>4508</v>
      </c>
      <c r="D1091" s="72" t="str">
        <f>IFERROR(VLOOKUP(A1091,'[1]ST-QA-ZZ5'!$C$5:$M$299,11,0),"Inspection at production line")</f>
        <v>Inspection at production line</v>
      </c>
      <c r="F1091" s="92" t="s">
        <v>4516</v>
      </c>
      <c r="G1091" s="92" t="s">
        <v>916</v>
      </c>
      <c r="H1091" s="92" t="s">
        <v>4517</v>
      </c>
      <c r="I1091" s="92" t="s">
        <v>4367</v>
      </c>
      <c r="J1091" s="92" t="s">
        <v>71</v>
      </c>
      <c r="K1091" s="92" t="s">
        <v>633</v>
      </c>
    </row>
    <row r="1092" spans="1:11" ht="13.8">
      <c r="A1092" s="47" t="s">
        <v>4511</v>
      </c>
      <c r="B1092" s="92" t="s">
        <v>857</v>
      </c>
      <c r="C1092" s="92" t="s">
        <v>4512</v>
      </c>
      <c r="D1092" s="72" t="str">
        <f>IFERROR(VLOOKUP(A1092,'[1]ST-QA-ZZ5'!$C$5:$M$299,11,0),"Inspection at production line")</f>
        <v>Inspection at production line</v>
      </c>
      <c r="F1092" s="92" t="s">
        <v>4519</v>
      </c>
      <c r="G1092" s="92" t="s">
        <v>1177</v>
      </c>
      <c r="H1092" s="92" t="s">
        <v>4520</v>
      </c>
      <c r="I1092" s="92" t="s">
        <v>4367</v>
      </c>
      <c r="J1092" s="92" t="s">
        <v>60</v>
      </c>
      <c r="K1092" s="92" t="s">
        <v>633</v>
      </c>
    </row>
    <row r="1093" spans="1:11" ht="13.8">
      <c r="A1093" s="47" t="s">
        <v>4515</v>
      </c>
      <c r="B1093" s="92" t="s">
        <v>818</v>
      </c>
      <c r="C1093" s="92" t="s">
        <v>1067</v>
      </c>
      <c r="D1093" s="72" t="str">
        <f>IFERROR(VLOOKUP(A1093,'[1]ST-QA-ZZ5'!$C$5:$M$299,11,0),"Inspection at production line")</f>
        <v>Inspection at production line</v>
      </c>
      <c r="F1093" s="92" t="s">
        <v>4523</v>
      </c>
      <c r="G1093" s="92" t="s">
        <v>814</v>
      </c>
      <c r="H1093" s="92" t="s">
        <v>4524</v>
      </c>
      <c r="I1093" s="92" t="s">
        <v>4367</v>
      </c>
      <c r="J1093" s="92" t="s">
        <v>60</v>
      </c>
      <c r="K1093" s="92" t="s">
        <v>633</v>
      </c>
    </row>
    <row r="1094" spans="1:11" ht="13.8">
      <c r="A1094" s="47" t="s">
        <v>1088</v>
      </c>
      <c r="B1094" s="92" t="s">
        <v>4434</v>
      </c>
      <c r="C1094" s="92" t="s">
        <v>4518</v>
      </c>
      <c r="D1094" s="72" t="str">
        <f>IFERROR(VLOOKUP(A1094,'[1]ST-QA-ZZ5'!$C$5:$M$299,11,0),"Inspection at production line")</f>
        <v>Inspection at production line</v>
      </c>
      <c r="F1094" s="92" t="s">
        <v>4525</v>
      </c>
      <c r="G1094" s="92" t="s">
        <v>828</v>
      </c>
      <c r="H1094" s="92" t="s">
        <v>4526</v>
      </c>
      <c r="I1094" s="92" t="s">
        <v>4367</v>
      </c>
      <c r="J1094" s="92" t="s">
        <v>60</v>
      </c>
      <c r="K1094" s="92" t="s">
        <v>633</v>
      </c>
    </row>
    <row r="1095" spans="1:11" ht="13.8">
      <c r="A1095" s="47" t="s">
        <v>4521</v>
      </c>
      <c r="B1095" s="92" t="s">
        <v>371</v>
      </c>
      <c r="C1095" s="92" t="s">
        <v>4522</v>
      </c>
      <c r="D1095" s="72" t="str">
        <f>IFERROR(VLOOKUP(A1095,'[1]ST-QA-ZZ5'!$C$5:$M$299,11,0),"Inspection at production line")</f>
        <v>Inspection at production line</v>
      </c>
      <c r="F1095" s="92" t="s">
        <v>4527</v>
      </c>
      <c r="G1095" s="92" t="s">
        <v>2511</v>
      </c>
      <c r="H1095" s="92" t="s">
        <v>4528</v>
      </c>
      <c r="I1095" s="92" t="s">
        <v>4367</v>
      </c>
      <c r="J1095" s="92" t="s">
        <v>60</v>
      </c>
      <c r="K1095" s="92" t="s">
        <v>633</v>
      </c>
    </row>
    <row r="1096" spans="1:11" ht="13.8">
      <c r="A1096" s="47" t="s">
        <v>1091</v>
      </c>
      <c r="B1096" s="92" t="s">
        <v>814</v>
      </c>
      <c r="C1096" s="92" t="s">
        <v>1092</v>
      </c>
      <c r="D1096" s="72" t="str">
        <f>IFERROR(VLOOKUP(A1096,'[1]ST-QA-ZZ5'!$C$5:$M$299,11,0),"Inspection at production line")</f>
        <v>Inspection at production line</v>
      </c>
      <c r="F1096" s="92" t="s">
        <v>4529</v>
      </c>
      <c r="G1096" s="92" t="s">
        <v>949</v>
      </c>
      <c r="H1096" s="92" t="s">
        <v>4530</v>
      </c>
      <c r="I1096" s="92" t="s">
        <v>4367</v>
      </c>
      <c r="J1096" s="92" t="s">
        <v>60</v>
      </c>
      <c r="K1096" s="92" t="s">
        <v>633</v>
      </c>
    </row>
    <row r="1097" spans="1:11" ht="13.8">
      <c r="A1097" s="47" t="s">
        <v>1094</v>
      </c>
      <c r="B1097" s="92" t="s">
        <v>865</v>
      </c>
      <c r="C1097" s="92" t="s">
        <v>1095</v>
      </c>
      <c r="D1097" s="72" t="str">
        <f>IFERROR(VLOOKUP(A1097,'[1]ST-QA-ZZ5'!$C$5:$M$299,11,0),"Inspection at production line")</f>
        <v>Inspection at production line</v>
      </c>
      <c r="F1097" s="92" t="s">
        <v>4533</v>
      </c>
      <c r="G1097" s="92" t="s">
        <v>1177</v>
      </c>
      <c r="H1097" s="92" t="s">
        <v>4534</v>
      </c>
      <c r="I1097" s="92" t="s">
        <v>4367</v>
      </c>
      <c r="J1097" s="92" t="s">
        <v>60</v>
      </c>
      <c r="K1097" s="92" t="s">
        <v>633</v>
      </c>
    </row>
    <row r="1098" spans="1:11" ht="13.8">
      <c r="A1098" s="47" t="s">
        <v>1097</v>
      </c>
      <c r="B1098" s="92" t="s">
        <v>1070</v>
      </c>
      <c r="C1098" s="92" t="s">
        <v>1098</v>
      </c>
      <c r="D1098" s="72" t="str">
        <f>IFERROR(VLOOKUP(A1098,'[1]ST-QA-ZZ5'!$C$5:$M$299,11,0),"Inspection at production line")</f>
        <v>Inspection at production line</v>
      </c>
      <c r="F1098" s="92" t="s">
        <v>4536</v>
      </c>
      <c r="G1098" s="92" t="s">
        <v>797</v>
      </c>
      <c r="H1098" s="92" t="s">
        <v>4537</v>
      </c>
      <c r="I1098" s="92" t="s">
        <v>4367</v>
      </c>
      <c r="J1098" s="92" t="s">
        <v>60</v>
      </c>
      <c r="K1098" s="92" t="s">
        <v>633</v>
      </c>
    </row>
    <row r="1099" spans="1:11" ht="13.8">
      <c r="A1099" s="47" t="s">
        <v>4531</v>
      </c>
      <c r="B1099" s="92" t="s">
        <v>68</v>
      </c>
      <c r="C1099" s="92" t="s">
        <v>4532</v>
      </c>
      <c r="D1099" s="72" t="str">
        <f>IFERROR(VLOOKUP(A1099,'[1]ST-QA-ZZ5'!$C$5:$M$299,11,0),"Inspection at production line")</f>
        <v>Inspection at production line</v>
      </c>
      <c r="F1099" s="92" t="s">
        <v>4538</v>
      </c>
      <c r="G1099" s="92" t="s">
        <v>2507</v>
      </c>
      <c r="H1099" s="92" t="s">
        <v>4539</v>
      </c>
      <c r="I1099" s="92" t="s">
        <v>4367</v>
      </c>
      <c r="J1099" s="92" t="s">
        <v>60</v>
      </c>
      <c r="K1099" s="92" t="s">
        <v>633</v>
      </c>
    </row>
    <row r="1100" spans="1:11" ht="13.8">
      <c r="A1100" s="47" t="s">
        <v>1100</v>
      </c>
      <c r="B1100" s="92" t="s">
        <v>994</v>
      </c>
      <c r="C1100" s="92" t="s">
        <v>4535</v>
      </c>
      <c r="D1100" s="72" t="str">
        <f>IFERROR(VLOOKUP(A1100,'[1]ST-QA-ZZ5'!$C$5:$M$299,11,0),"Inspection at production line")</f>
        <v>Inspection at production line</v>
      </c>
      <c r="F1100" s="92" t="s">
        <v>4540</v>
      </c>
      <c r="G1100" s="92" t="s">
        <v>957</v>
      </c>
      <c r="H1100" s="92" t="s">
        <v>4541</v>
      </c>
      <c r="I1100" s="92" t="s">
        <v>4367</v>
      </c>
      <c r="J1100" s="92" t="s">
        <v>60</v>
      </c>
      <c r="K1100" s="92" t="s">
        <v>633</v>
      </c>
    </row>
    <row r="1101" spans="1:11" ht="13.8">
      <c r="A1101" s="47" t="s">
        <v>1103</v>
      </c>
      <c r="B1101" s="92" t="s">
        <v>814</v>
      </c>
      <c r="C1101" s="92" t="s">
        <v>1104</v>
      </c>
      <c r="D1101" s="72" t="str">
        <f>IFERROR(VLOOKUP(A1101,'[1]ST-QA-ZZ5'!$C$5:$M$299,11,0),"Inspection at production line")</f>
        <v>Inspection at production line</v>
      </c>
      <c r="F1101" s="92" t="s">
        <v>4542</v>
      </c>
      <c r="G1101" s="92" t="s">
        <v>953</v>
      </c>
      <c r="H1101" s="92" t="s">
        <v>4543</v>
      </c>
      <c r="I1101" s="92" t="s">
        <v>4367</v>
      </c>
      <c r="J1101" s="92" t="s">
        <v>60</v>
      </c>
      <c r="K1101" s="92" t="s">
        <v>633</v>
      </c>
    </row>
    <row r="1102" spans="1:11" ht="13.8">
      <c r="A1102" s="47" t="s">
        <v>1106</v>
      </c>
      <c r="B1102" s="92" t="s">
        <v>404</v>
      </c>
      <c r="C1102" s="92" t="s">
        <v>1107</v>
      </c>
      <c r="D1102" s="72" t="str">
        <f>IFERROR(VLOOKUP(A1102,'[1]ST-QA-ZZ5'!$C$5:$M$299,11,0),"Inspection at production line")</f>
        <v>Inspection at production line</v>
      </c>
      <c r="F1102" s="92" t="s">
        <v>4544</v>
      </c>
      <c r="G1102" s="92" t="s">
        <v>2511</v>
      </c>
      <c r="H1102" s="92" t="s">
        <v>4545</v>
      </c>
      <c r="I1102" s="92" t="s">
        <v>4367</v>
      </c>
      <c r="J1102" s="92" t="s">
        <v>60</v>
      </c>
      <c r="K1102" s="92" t="s">
        <v>633</v>
      </c>
    </row>
    <row r="1103" spans="1:11" ht="13.8">
      <c r="A1103" s="47" t="s">
        <v>1109</v>
      </c>
      <c r="B1103" s="92" t="s">
        <v>1016</v>
      </c>
      <c r="C1103" s="92" t="s">
        <v>1110</v>
      </c>
      <c r="D1103" s="72" t="str">
        <f>IFERROR(VLOOKUP(A1103,'[1]ST-QA-ZZ5'!$C$5:$M$299,11,0),"Inspection at production line")</f>
        <v>Inspection at production line</v>
      </c>
      <c r="F1103" s="92" t="s">
        <v>4547</v>
      </c>
      <c r="G1103" s="92" t="s">
        <v>2546</v>
      </c>
      <c r="H1103" s="92" t="s">
        <v>4548</v>
      </c>
      <c r="I1103" s="92" t="s">
        <v>4367</v>
      </c>
      <c r="J1103" s="92" t="s">
        <v>60</v>
      </c>
      <c r="K1103" s="92" t="s">
        <v>633</v>
      </c>
    </row>
    <row r="1104" spans="1:11" ht="13.8">
      <c r="A1104" s="47" t="s">
        <v>1112</v>
      </c>
      <c r="B1104" s="92" t="s">
        <v>404</v>
      </c>
      <c r="C1104" s="92" t="s">
        <v>1113</v>
      </c>
      <c r="D1104" s="72" t="str">
        <f>IFERROR(VLOOKUP(A1104,'[1]ST-QA-ZZ5'!$C$5:$M$299,11,0),"Inspection at production line")</f>
        <v>Inspection at production line</v>
      </c>
      <c r="F1104" s="92" t="s">
        <v>4550</v>
      </c>
      <c r="G1104" s="92" t="s">
        <v>949</v>
      </c>
      <c r="H1104" s="92" t="s">
        <v>4551</v>
      </c>
      <c r="I1104" s="92" t="s">
        <v>4367</v>
      </c>
      <c r="J1104" s="92" t="s">
        <v>60</v>
      </c>
      <c r="K1104" s="92" t="s">
        <v>633</v>
      </c>
    </row>
    <row r="1105" spans="1:11" ht="13.8">
      <c r="A1105" s="47" t="s">
        <v>1116</v>
      </c>
      <c r="B1105" s="92" t="s">
        <v>959</v>
      </c>
      <c r="C1105" s="92" t="s">
        <v>4546</v>
      </c>
      <c r="D1105" s="72" t="str">
        <f>IFERROR(VLOOKUP(A1105,'[1]ST-QA-ZZ5'!$C$5:$M$299,11,0),"Inspection at production line")</f>
        <v>Inspection at production line</v>
      </c>
      <c r="F1105" s="92" t="s">
        <v>4553</v>
      </c>
      <c r="G1105" s="92" t="s">
        <v>555</v>
      </c>
      <c r="H1105" s="92" t="s">
        <v>4554</v>
      </c>
      <c r="I1105" s="92" t="s">
        <v>4367</v>
      </c>
      <c r="J1105" s="92" t="s">
        <v>71</v>
      </c>
      <c r="K1105" s="92" t="s">
        <v>633</v>
      </c>
    </row>
    <row r="1106" spans="1:11" ht="13.8">
      <c r="A1106" s="47" t="s">
        <v>1119</v>
      </c>
      <c r="B1106" s="92" t="s">
        <v>927</v>
      </c>
      <c r="C1106" s="92" t="s">
        <v>4549</v>
      </c>
      <c r="D1106" s="72" t="str">
        <f>IFERROR(VLOOKUP(A1106,'[1]ST-QA-ZZ5'!$C$5:$M$299,11,0),"Inspection at production line")</f>
        <v>Inspection at production line</v>
      </c>
      <c r="F1106" s="92" t="s">
        <v>4555</v>
      </c>
      <c r="G1106" s="92" t="s">
        <v>555</v>
      </c>
      <c r="H1106" s="92" t="s">
        <v>4556</v>
      </c>
      <c r="I1106" s="92" t="s">
        <v>4367</v>
      </c>
      <c r="J1106" s="92" t="s">
        <v>71</v>
      </c>
      <c r="K1106" s="92" t="s">
        <v>633</v>
      </c>
    </row>
    <row r="1107" spans="1:11" ht="13.8">
      <c r="A1107" s="47" t="s">
        <v>1124</v>
      </c>
      <c r="B1107" s="92" t="s">
        <v>994</v>
      </c>
      <c r="C1107" s="92" t="s">
        <v>4552</v>
      </c>
      <c r="D1107" s="72" t="str">
        <f>IFERROR(VLOOKUP(A1107,'[1]ST-QA-ZZ5'!$C$5:$M$299,11,0),"Inspection at production line")</f>
        <v>Inspection at production line</v>
      </c>
      <c r="F1107" s="92" t="s">
        <v>4557</v>
      </c>
      <c r="G1107" s="92" t="s">
        <v>555</v>
      </c>
      <c r="H1107" s="92" t="s">
        <v>4558</v>
      </c>
      <c r="I1107" s="92" t="s">
        <v>4367</v>
      </c>
      <c r="J1107" s="92" t="s">
        <v>71</v>
      </c>
      <c r="K1107" s="92" t="s">
        <v>633</v>
      </c>
    </row>
    <row r="1108" spans="1:11" ht="13.8">
      <c r="A1108" s="47" t="s">
        <v>1127</v>
      </c>
      <c r="B1108" s="92" t="s">
        <v>404</v>
      </c>
      <c r="C1108" s="92" t="s">
        <v>1128</v>
      </c>
      <c r="D1108" s="72" t="str">
        <f>IFERROR(VLOOKUP(A1108,'[1]ST-QA-ZZ5'!$C$5:$M$299,11,0),"Inspection at production line")</f>
        <v>Inspection at production line</v>
      </c>
      <c r="F1108" s="92" t="s">
        <v>4559</v>
      </c>
      <c r="G1108" s="92" t="s">
        <v>555</v>
      </c>
      <c r="H1108" s="92" t="s">
        <v>4560</v>
      </c>
      <c r="I1108" s="92" t="s">
        <v>4367</v>
      </c>
      <c r="J1108" s="92" t="s">
        <v>71</v>
      </c>
      <c r="K1108" s="92" t="s">
        <v>633</v>
      </c>
    </row>
    <row r="1109" spans="1:11" ht="13.8">
      <c r="A1109" s="47" t="s">
        <v>1130</v>
      </c>
      <c r="B1109" s="92" t="s">
        <v>404</v>
      </c>
      <c r="C1109" s="92" t="s">
        <v>1131</v>
      </c>
      <c r="D1109" s="72" t="str">
        <f>IFERROR(VLOOKUP(A1109,'[1]ST-QA-ZZ5'!$C$5:$M$299,11,0),"Inspection at production line")</f>
        <v>Inspection at production line</v>
      </c>
      <c r="F1109" s="92" t="s">
        <v>4561</v>
      </c>
      <c r="G1109" s="92" t="s">
        <v>797</v>
      </c>
      <c r="H1109" s="92" t="s">
        <v>4562</v>
      </c>
      <c r="I1109" s="92" t="s">
        <v>4367</v>
      </c>
      <c r="J1109" s="92" t="s">
        <v>60</v>
      </c>
      <c r="K1109" s="92" t="s">
        <v>633</v>
      </c>
    </row>
    <row r="1110" spans="1:11" ht="13.8">
      <c r="A1110" s="47" t="s">
        <v>1133</v>
      </c>
      <c r="B1110" s="92" t="s">
        <v>404</v>
      </c>
      <c r="C1110" s="92" t="s">
        <v>1134</v>
      </c>
      <c r="D1110" s="72" t="str">
        <f>IFERROR(VLOOKUP(A1110,'[1]ST-QA-ZZ5'!$C$5:$M$299,11,0),"Inspection at production line")</f>
        <v>Inspection at production line</v>
      </c>
      <c r="F1110" s="92" t="s">
        <v>4563</v>
      </c>
      <c r="G1110" s="92" t="s">
        <v>2507</v>
      </c>
      <c r="H1110" s="92" t="s">
        <v>4564</v>
      </c>
      <c r="I1110" s="92" t="s">
        <v>4367</v>
      </c>
      <c r="J1110" s="92" t="s">
        <v>60</v>
      </c>
      <c r="K1110" s="92" t="s">
        <v>633</v>
      </c>
    </row>
    <row r="1111" spans="1:11" ht="13.8">
      <c r="A1111" s="47" t="s">
        <v>1136</v>
      </c>
      <c r="B1111" s="92" t="s">
        <v>404</v>
      </c>
      <c r="C1111" s="92" t="s">
        <v>1137</v>
      </c>
      <c r="D1111" s="72" t="str">
        <f>IFERROR(VLOOKUP(A1111,'[1]ST-QA-ZZ5'!$C$5:$M$299,11,0),"Inspection at production line")</f>
        <v>Inspection at production line</v>
      </c>
      <c r="F1111" s="92" t="s">
        <v>4565</v>
      </c>
      <c r="G1111" s="92" t="s">
        <v>957</v>
      </c>
      <c r="H1111" s="92" t="s">
        <v>4566</v>
      </c>
      <c r="I1111" s="92" t="s">
        <v>4367</v>
      </c>
      <c r="J1111" s="92" t="s">
        <v>60</v>
      </c>
      <c r="K1111" s="92" t="s">
        <v>633</v>
      </c>
    </row>
    <row r="1112" spans="1:11" ht="13.8">
      <c r="A1112" s="47" t="s">
        <v>1140</v>
      </c>
      <c r="B1112" s="92" t="s">
        <v>404</v>
      </c>
      <c r="C1112" s="92" t="s">
        <v>1141</v>
      </c>
      <c r="D1112" s="72" t="str">
        <f>IFERROR(VLOOKUP(A1112,'[1]ST-QA-ZZ5'!$C$5:$M$299,11,0),"Inspection at production line")</f>
        <v>Inspection at production line</v>
      </c>
      <c r="F1112" s="92" t="s">
        <v>4569</v>
      </c>
      <c r="G1112" s="92" t="s">
        <v>1896</v>
      </c>
      <c r="H1112" s="92" t="s">
        <v>4570</v>
      </c>
      <c r="I1112" s="92" t="s">
        <v>4367</v>
      </c>
      <c r="J1112" s="92" t="s">
        <v>60</v>
      </c>
      <c r="K1112" s="92" t="s">
        <v>633</v>
      </c>
    </row>
    <row r="1113" spans="1:11" ht="13.8">
      <c r="A1113" s="47" t="s">
        <v>1143</v>
      </c>
      <c r="B1113" s="92" t="s">
        <v>404</v>
      </c>
      <c r="C1113" s="92" t="s">
        <v>1144</v>
      </c>
      <c r="D1113" s="72" t="str">
        <f>IFERROR(VLOOKUP(A1113,'[1]ST-QA-ZZ5'!$C$5:$M$299,11,0),"Inspection at production line")</f>
        <v>Inspection at production line</v>
      </c>
      <c r="F1113" s="92" t="s">
        <v>4573</v>
      </c>
      <c r="G1113" s="92" t="s">
        <v>2511</v>
      </c>
      <c r="H1113" s="92" t="s">
        <v>4574</v>
      </c>
      <c r="I1113" s="92" t="s">
        <v>4367</v>
      </c>
      <c r="J1113" s="92" t="s">
        <v>60</v>
      </c>
      <c r="K1113" s="92" t="s">
        <v>633</v>
      </c>
    </row>
    <row r="1114" spans="1:11" ht="13.8">
      <c r="A1114" s="47" t="s">
        <v>4567</v>
      </c>
      <c r="B1114" s="92" t="s">
        <v>404</v>
      </c>
      <c r="C1114" s="92" t="s">
        <v>4568</v>
      </c>
      <c r="D1114" s="72" t="str">
        <f>IFERROR(VLOOKUP(A1114,'[1]ST-QA-ZZ5'!$C$5:$M$299,11,0),"Inspection at production line")</f>
        <v>Inspection at production line</v>
      </c>
      <c r="F1114" s="92" t="s">
        <v>4576</v>
      </c>
      <c r="G1114" s="92" t="s">
        <v>2546</v>
      </c>
      <c r="H1114" s="92" t="s">
        <v>4577</v>
      </c>
      <c r="I1114" s="92" t="s">
        <v>4367</v>
      </c>
      <c r="J1114" s="92" t="s">
        <v>60</v>
      </c>
      <c r="K1114" s="92" t="s">
        <v>633</v>
      </c>
    </row>
    <row r="1115" spans="1:11" ht="13.8">
      <c r="A1115" s="47" t="s">
        <v>4571</v>
      </c>
      <c r="B1115" s="92" t="s">
        <v>994</v>
      </c>
      <c r="C1115" s="92" t="s">
        <v>4572</v>
      </c>
      <c r="D1115" s="72" t="str">
        <f>IFERROR(VLOOKUP(A1115,'[1]ST-QA-ZZ5'!$C$5:$M$299,11,0),"Inspection at production line")</f>
        <v>Inspection at production line</v>
      </c>
      <c r="F1115" s="92" t="s">
        <v>4580</v>
      </c>
      <c r="G1115" s="92" t="s">
        <v>946</v>
      </c>
      <c r="H1115" s="92" t="s">
        <v>4581</v>
      </c>
      <c r="I1115" s="92" t="s">
        <v>4367</v>
      </c>
      <c r="J1115" s="92" t="s">
        <v>60</v>
      </c>
      <c r="K1115" s="92" t="s">
        <v>633</v>
      </c>
    </row>
    <row r="1116" spans="1:11" ht="13.8">
      <c r="A1116" s="47" t="s">
        <v>1146</v>
      </c>
      <c r="B1116" s="92" t="s">
        <v>994</v>
      </c>
      <c r="C1116" s="92" t="s">
        <v>4575</v>
      </c>
      <c r="D1116" s="72" t="str">
        <f>IFERROR(VLOOKUP(A1116,'[1]ST-QA-ZZ5'!$C$5:$M$299,11,0),"Inspection at production line")</f>
        <v>Inspection at production line</v>
      </c>
      <c r="F1116" s="92" t="s">
        <v>4583</v>
      </c>
      <c r="G1116" s="92" t="s">
        <v>949</v>
      </c>
      <c r="H1116" s="92" t="s">
        <v>4584</v>
      </c>
      <c r="I1116" s="92" t="s">
        <v>4367</v>
      </c>
      <c r="J1116" s="92" t="s">
        <v>60</v>
      </c>
      <c r="K1116" s="92" t="s">
        <v>633</v>
      </c>
    </row>
    <row r="1117" spans="1:11" ht="13.8">
      <c r="A1117" s="47" t="s">
        <v>4578</v>
      </c>
      <c r="B1117" s="92" t="s">
        <v>994</v>
      </c>
      <c r="C1117" s="92" t="s">
        <v>4579</v>
      </c>
      <c r="D1117" s="72" t="str">
        <f>IFERROR(VLOOKUP(A1117,'[1]ST-QA-ZZ5'!$C$5:$M$299,11,0),"Inspection at production line")</f>
        <v>Inspection at production line</v>
      </c>
      <c r="F1117" s="92" t="s">
        <v>4585</v>
      </c>
      <c r="G1117" s="92" t="s">
        <v>797</v>
      </c>
      <c r="H1117" s="92" t="s">
        <v>4586</v>
      </c>
      <c r="I1117" s="92" t="s">
        <v>4367</v>
      </c>
      <c r="J1117" s="92" t="s">
        <v>60</v>
      </c>
      <c r="K1117" s="92" t="s">
        <v>633</v>
      </c>
    </row>
    <row r="1118" spans="1:11" ht="13.8">
      <c r="A1118" s="47" t="s">
        <v>1149</v>
      </c>
      <c r="B1118" s="92" t="s">
        <v>994</v>
      </c>
      <c r="C1118" s="92" t="s">
        <v>4582</v>
      </c>
      <c r="D1118" s="72" t="str">
        <f>IFERROR(VLOOKUP(A1118,'[1]ST-QA-ZZ5'!$C$5:$M$299,11,0),"Inspection at production line")</f>
        <v>Inspection at production line</v>
      </c>
      <c r="F1118" s="92" t="s">
        <v>4589</v>
      </c>
      <c r="G1118" s="92" t="s">
        <v>2507</v>
      </c>
      <c r="H1118" s="92" t="s">
        <v>4590</v>
      </c>
      <c r="I1118" s="92" t="s">
        <v>4367</v>
      </c>
      <c r="J1118" s="92" t="s">
        <v>60</v>
      </c>
      <c r="K1118" s="92" t="s">
        <v>633</v>
      </c>
    </row>
    <row r="1119" spans="1:11" ht="13.8">
      <c r="A1119" s="47" t="s">
        <v>1152</v>
      </c>
      <c r="B1119" s="92" t="s">
        <v>404</v>
      </c>
      <c r="C1119" s="92" t="s">
        <v>431</v>
      </c>
      <c r="D1119" s="72" t="str">
        <f>IFERROR(VLOOKUP(A1119,'[1]ST-QA-ZZ5'!$C$5:$M$299,11,0),"Inspection at production line")</f>
        <v>Inspection at production line</v>
      </c>
      <c r="F1119" s="92" t="s">
        <v>4593</v>
      </c>
      <c r="G1119" s="92" t="s">
        <v>957</v>
      </c>
      <c r="H1119" s="92" t="s">
        <v>4594</v>
      </c>
      <c r="I1119" s="92" t="s">
        <v>4367</v>
      </c>
      <c r="J1119" s="92" t="s">
        <v>60</v>
      </c>
      <c r="K1119" s="92" t="s">
        <v>633</v>
      </c>
    </row>
    <row r="1120" spans="1:11" ht="13.8">
      <c r="A1120" s="47" t="s">
        <v>4587</v>
      </c>
      <c r="B1120" s="92" t="s">
        <v>57</v>
      </c>
      <c r="C1120" s="92" t="s">
        <v>4588</v>
      </c>
      <c r="D1120" s="72" t="str">
        <f>IFERROR(VLOOKUP(A1120,'[1]ST-QA-ZZ5'!$C$5:$M$299,11,0),"Inspection at production line")</f>
        <v>Sampling check</v>
      </c>
      <c r="F1120" s="92" t="s">
        <v>4598</v>
      </c>
      <c r="G1120" s="92" t="s">
        <v>1896</v>
      </c>
      <c r="H1120" s="92" t="s">
        <v>4599</v>
      </c>
      <c r="I1120" s="92" t="s">
        <v>4367</v>
      </c>
      <c r="J1120" s="92" t="s">
        <v>60</v>
      </c>
      <c r="K1120" s="92" t="s">
        <v>633</v>
      </c>
    </row>
    <row r="1121" spans="1:11" ht="13.8">
      <c r="A1121" s="47" t="s">
        <v>4591</v>
      </c>
      <c r="B1121" s="92" t="s">
        <v>57</v>
      </c>
      <c r="C1121" s="92" t="s">
        <v>4592</v>
      </c>
      <c r="D1121" s="72" t="str">
        <f>IFERROR(VLOOKUP(A1121,'[1]ST-QA-ZZ5'!$C$5:$M$299,11,0),"Inspection at production line")</f>
        <v>Appearance check 100%</v>
      </c>
      <c r="F1121" s="92" t="s">
        <v>4602</v>
      </c>
      <c r="G1121" s="92" t="s">
        <v>2511</v>
      </c>
      <c r="H1121" s="92" t="s">
        <v>4603</v>
      </c>
      <c r="I1121" s="92" t="s">
        <v>4367</v>
      </c>
      <c r="J1121" s="92" t="s">
        <v>60</v>
      </c>
      <c r="K1121" s="92" t="s">
        <v>633</v>
      </c>
    </row>
    <row r="1122" spans="1:11" ht="13.8">
      <c r="A1122" s="47" t="s">
        <v>4595</v>
      </c>
      <c r="B1122" s="92" t="s">
        <v>4596</v>
      </c>
      <c r="C1122" s="92" t="s">
        <v>4597</v>
      </c>
      <c r="D1122" s="72" t="str">
        <f>IFERROR(VLOOKUP(A1122,'[1]ST-QA-ZZ5'!$C$5:$M$299,11,0),"Inspection at production line")</f>
        <v>Sampling check</v>
      </c>
      <c r="F1122" s="92" t="s">
        <v>4606</v>
      </c>
      <c r="G1122" s="92" t="s">
        <v>2546</v>
      </c>
      <c r="H1122" s="92" t="s">
        <v>4607</v>
      </c>
      <c r="I1122" s="92" t="s">
        <v>4367</v>
      </c>
      <c r="J1122" s="92" t="s">
        <v>60</v>
      </c>
      <c r="K1122" s="92" t="s">
        <v>633</v>
      </c>
    </row>
    <row r="1123" spans="1:11" ht="13.8">
      <c r="A1123" s="47" t="s">
        <v>4600</v>
      </c>
      <c r="B1123" s="92" t="s">
        <v>2659</v>
      </c>
      <c r="C1123" s="92" t="s">
        <v>4601</v>
      </c>
      <c r="D1123" s="72" t="str">
        <f>IFERROR(VLOOKUP(A1123,'[1]ST-QA-ZZ5'!$C$5:$M$299,11,0),"Inspection at production line")</f>
        <v>Sampling check</v>
      </c>
      <c r="F1123" s="92" t="s">
        <v>4610</v>
      </c>
      <c r="G1123" s="92" t="s">
        <v>946</v>
      </c>
      <c r="H1123" s="92" t="s">
        <v>4611</v>
      </c>
      <c r="I1123" s="92" t="s">
        <v>4367</v>
      </c>
      <c r="J1123" s="92" t="s">
        <v>60</v>
      </c>
      <c r="K1123" s="92" t="s">
        <v>633</v>
      </c>
    </row>
    <row r="1124" spans="1:11" ht="13.8">
      <c r="A1124" s="47" t="s">
        <v>4604</v>
      </c>
      <c r="B1124" s="92" t="s">
        <v>900</v>
      </c>
      <c r="C1124" s="92" t="s">
        <v>4605</v>
      </c>
      <c r="D1124" s="72" t="str">
        <f>IFERROR(VLOOKUP(A1124,'[1]ST-QA-ZZ5'!$C$5:$M$299,11,0),"Inspection at production line")</f>
        <v>Sampling check</v>
      </c>
      <c r="F1124" s="92" t="s">
        <v>4614</v>
      </c>
      <c r="G1124" s="92" t="s">
        <v>949</v>
      </c>
      <c r="H1124" s="92" t="s">
        <v>4615</v>
      </c>
      <c r="I1124" s="92" t="s">
        <v>4367</v>
      </c>
      <c r="J1124" s="92" t="s">
        <v>60</v>
      </c>
      <c r="K1124" s="92" t="s">
        <v>633</v>
      </c>
    </row>
    <row r="1125" spans="1:11" ht="13.8">
      <c r="A1125" s="47" t="s">
        <v>4608</v>
      </c>
      <c r="B1125" s="92" t="s">
        <v>900</v>
      </c>
      <c r="C1125" s="92" t="s">
        <v>4609</v>
      </c>
      <c r="D1125" s="72" t="str">
        <f>IFERROR(VLOOKUP(A1125,'[1]ST-QA-ZZ5'!$C$5:$M$299,11,0),"Inspection at production line")</f>
        <v>Sampling check</v>
      </c>
      <c r="F1125" s="92" t="s">
        <v>4618</v>
      </c>
      <c r="G1125" s="92" t="s">
        <v>949</v>
      </c>
      <c r="H1125" s="92" t="s">
        <v>4619</v>
      </c>
      <c r="I1125" s="92" t="s">
        <v>4367</v>
      </c>
      <c r="J1125" s="92" t="s">
        <v>60</v>
      </c>
      <c r="K1125" s="92" t="s">
        <v>633</v>
      </c>
    </row>
    <row r="1126" spans="1:11" ht="13.8">
      <c r="A1126" s="47" t="s">
        <v>4612</v>
      </c>
      <c r="B1126" s="92" t="s">
        <v>900</v>
      </c>
      <c r="C1126" s="92" t="s">
        <v>4613</v>
      </c>
      <c r="D1126" s="72" t="str">
        <f>IFERROR(VLOOKUP(A1126,'[1]ST-QA-ZZ5'!$C$5:$M$299,11,0),"Inspection at production line")</f>
        <v>Sampling check</v>
      </c>
      <c r="F1126" s="92" t="s">
        <v>4622</v>
      </c>
      <c r="G1126" s="92" t="s">
        <v>3363</v>
      </c>
      <c r="H1126" s="92" t="s">
        <v>4623</v>
      </c>
      <c r="I1126" s="92" t="s">
        <v>4367</v>
      </c>
      <c r="J1126" s="92" t="s">
        <v>60</v>
      </c>
      <c r="K1126" s="92" t="s">
        <v>633</v>
      </c>
    </row>
    <row r="1127" spans="1:11" ht="13.8">
      <c r="A1127" s="47" t="s">
        <v>4616</v>
      </c>
      <c r="B1127" s="92" t="s">
        <v>900</v>
      </c>
      <c r="C1127" s="92" t="s">
        <v>4617</v>
      </c>
      <c r="D1127" s="72" t="str">
        <f>IFERROR(VLOOKUP(A1127,'[1]ST-QA-ZZ5'!$C$5:$M$299,11,0),"Inspection at production line")</f>
        <v>Sampling check</v>
      </c>
      <c r="F1127" s="92" t="s">
        <v>4627</v>
      </c>
      <c r="G1127" s="92" t="s">
        <v>2721</v>
      </c>
      <c r="H1127" s="92" t="s">
        <v>4628</v>
      </c>
      <c r="I1127" s="92" t="s">
        <v>4367</v>
      </c>
      <c r="J1127" s="92" t="s">
        <v>60</v>
      </c>
      <c r="K1127" s="92" t="s">
        <v>633</v>
      </c>
    </row>
    <row r="1128" spans="1:11" ht="13.8">
      <c r="A1128" s="47" t="s">
        <v>4620</v>
      </c>
      <c r="B1128" s="92" t="s">
        <v>900</v>
      </c>
      <c r="C1128" s="92" t="s">
        <v>4621</v>
      </c>
      <c r="D1128" s="72" t="str">
        <f>IFERROR(VLOOKUP(A1128,'[1]ST-QA-ZZ5'!$C$5:$M$299,11,0),"Inspection at production line")</f>
        <v>Sampling check</v>
      </c>
      <c r="F1128" s="92" t="s">
        <v>4631</v>
      </c>
      <c r="G1128" s="92" t="s">
        <v>797</v>
      </c>
      <c r="H1128" s="92" t="s">
        <v>4632</v>
      </c>
      <c r="I1128" s="92" t="s">
        <v>4367</v>
      </c>
      <c r="J1128" s="92" t="s">
        <v>60</v>
      </c>
      <c r="K1128" s="92" t="s">
        <v>633</v>
      </c>
    </row>
    <row r="1129" spans="1:11" ht="13.8">
      <c r="A1129" s="47" t="s">
        <v>4624</v>
      </c>
      <c r="B1129" s="92" t="s">
        <v>4625</v>
      </c>
      <c r="C1129" s="92" t="s">
        <v>4626</v>
      </c>
      <c r="D1129" s="72" t="str">
        <f>IFERROR(VLOOKUP(A1129,'[1]ST-QA-ZZ5'!$C$5:$M$299,11,0),"Inspection at production line")</f>
        <v>Sampling check</v>
      </c>
      <c r="F1129" s="92" t="s">
        <v>4636</v>
      </c>
      <c r="G1129" s="92" t="s">
        <v>4637</v>
      </c>
      <c r="H1129" s="92" t="s">
        <v>4638</v>
      </c>
      <c r="I1129" s="92" t="s">
        <v>4367</v>
      </c>
      <c r="J1129" s="92" t="s">
        <v>60</v>
      </c>
      <c r="K1129" s="92" t="s">
        <v>633</v>
      </c>
    </row>
    <row r="1130" spans="1:11" ht="13.8">
      <c r="A1130" s="47" t="s">
        <v>4629</v>
      </c>
      <c r="B1130" s="92" t="s">
        <v>900</v>
      </c>
      <c r="C1130" s="92" t="s">
        <v>4630</v>
      </c>
      <c r="D1130" s="72" t="str">
        <f>IFERROR(VLOOKUP(A1130,'[1]ST-QA-ZZ5'!$C$5:$M$299,11,0),"Inspection at production line")</f>
        <v>Sampling check</v>
      </c>
      <c r="F1130" s="92" t="s">
        <v>4641</v>
      </c>
      <c r="G1130" s="92" t="s">
        <v>1273</v>
      </c>
      <c r="H1130" s="92" t="s">
        <v>4642</v>
      </c>
      <c r="I1130" s="92" t="s">
        <v>4367</v>
      </c>
      <c r="J1130" s="92" t="s">
        <v>60</v>
      </c>
      <c r="K1130" s="92" t="s">
        <v>633</v>
      </c>
    </row>
    <row r="1131" spans="1:11" ht="13.8">
      <c r="A1131" s="47" t="s">
        <v>4633</v>
      </c>
      <c r="B1131" s="92" t="s">
        <v>4634</v>
      </c>
      <c r="C1131" s="92" t="s">
        <v>4635</v>
      </c>
      <c r="D1131" s="72" t="str">
        <f>IFERROR(VLOOKUP(A1131,'[1]ST-QA-ZZ5'!$C$5:$M$299,11,0),"Inspection at production line")</f>
        <v>Sampling check</v>
      </c>
      <c r="F1131" s="92" t="s">
        <v>4644</v>
      </c>
      <c r="G1131" s="92" t="s">
        <v>208</v>
      </c>
      <c r="H1131" s="92" t="s">
        <v>4645</v>
      </c>
      <c r="I1131" s="92" t="s">
        <v>4367</v>
      </c>
      <c r="J1131" s="92" t="s">
        <v>60</v>
      </c>
      <c r="K1131" s="92" t="s">
        <v>633</v>
      </c>
    </row>
    <row r="1132" spans="1:11" ht="13.8">
      <c r="A1132" s="47" t="s">
        <v>4639</v>
      </c>
      <c r="B1132" s="92" t="s">
        <v>1517</v>
      </c>
      <c r="C1132" s="92" t="s">
        <v>4640</v>
      </c>
      <c r="D1132" s="72" t="str">
        <f>IFERROR(VLOOKUP(A1132,'[1]ST-QA-ZZ5'!$C$5:$M$299,11,0),"Inspection at production line")</f>
        <v>Sampling check</v>
      </c>
      <c r="F1132" s="92" t="s">
        <v>4646</v>
      </c>
      <c r="G1132" s="92" t="s">
        <v>2511</v>
      </c>
      <c r="H1132" s="92" t="s">
        <v>4647</v>
      </c>
      <c r="I1132" s="92" t="s">
        <v>4367</v>
      </c>
      <c r="J1132" s="92" t="s">
        <v>60</v>
      </c>
      <c r="K1132" s="92" t="s">
        <v>633</v>
      </c>
    </row>
    <row r="1133" spans="1:11" ht="13.8">
      <c r="A1133" s="47" t="s">
        <v>1155</v>
      </c>
      <c r="B1133" s="92" t="s">
        <v>397</v>
      </c>
      <c r="C1133" s="92" t="s">
        <v>4643</v>
      </c>
      <c r="D1133" s="72" t="str">
        <f>IFERROR(VLOOKUP(A1133,'[1]ST-QA-ZZ5'!$C$5:$M$299,11,0),"Inspection at production line")</f>
        <v>Inspection at production line</v>
      </c>
      <c r="F1133" s="92" t="s">
        <v>4649</v>
      </c>
      <c r="G1133" s="92" t="s">
        <v>949</v>
      </c>
      <c r="H1133" s="92" t="s">
        <v>4650</v>
      </c>
      <c r="I1133" s="92" t="s">
        <v>4367</v>
      </c>
      <c r="J1133" s="92" t="s">
        <v>60</v>
      </c>
      <c r="K1133" s="92" t="s">
        <v>633</v>
      </c>
    </row>
    <row r="1134" spans="1:11" ht="13.8">
      <c r="A1134" s="47" t="s">
        <v>1160</v>
      </c>
      <c r="B1134" s="92" t="s">
        <v>397</v>
      </c>
      <c r="C1134" s="92" t="s">
        <v>1161</v>
      </c>
      <c r="D1134" s="72" t="str">
        <f>IFERROR(VLOOKUP(A1134,'[1]ST-QA-ZZ5'!$C$5:$M$299,11,0),"Inspection at production line")</f>
        <v>Inspection at production line</v>
      </c>
      <c r="F1134" s="92" t="s">
        <v>4651</v>
      </c>
      <c r="G1134" s="92" t="s">
        <v>3363</v>
      </c>
      <c r="H1134" s="92" t="s">
        <v>4652</v>
      </c>
      <c r="I1134" s="92" t="s">
        <v>4367</v>
      </c>
      <c r="J1134" s="92" t="s">
        <v>60</v>
      </c>
      <c r="K1134" s="92" t="s">
        <v>633</v>
      </c>
    </row>
    <row r="1135" spans="1:11" ht="13.8">
      <c r="A1135" s="47" t="s">
        <v>1163</v>
      </c>
      <c r="B1135" s="92" t="s">
        <v>1167</v>
      </c>
      <c r="C1135" s="92" t="s">
        <v>4648</v>
      </c>
      <c r="D1135" s="72" t="str">
        <f>IFERROR(VLOOKUP(A1135,'[1]ST-QA-ZZ5'!$C$5:$M$299,11,0),"Inspection at production line")</f>
        <v>Inspection at production line</v>
      </c>
      <c r="F1135" s="92" t="s">
        <v>4653</v>
      </c>
      <c r="G1135" s="92" t="s">
        <v>2721</v>
      </c>
      <c r="H1135" s="92" t="s">
        <v>4654</v>
      </c>
      <c r="I1135" s="92" t="s">
        <v>4367</v>
      </c>
      <c r="J1135" s="92" t="s">
        <v>60</v>
      </c>
      <c r="K1135" s="92" t="s">
        <v>633</v>
      </c>
    </row>
    <row r="1136" spans="1:11" ht="13.8">
      <c r="A1136" s="47" t="s">
        <v>1166</v>
      </c>
      <c r="B1136" s="92" t="s">
        <v>1167</v>
      </c>
      <c r="C1136" s="92" t="s">
        <v>1168</v>
      </c>
      <c r="D1136" s="72" t="str">
        <f>IFERROR(VLOOKUP(A1136,'[1]ST-QA-ZZ5'!$C$5:$M$299,11,0),"Inspection at production line")</f>
        <v>Inspection at production line</v>
      </c>
      <c r="F1136" s="92" t="s">
        <v>4655</v>
      </c>
      <c r="G1136" s="92" t="s">
        <v>797</v>
      </c>
      <c r="H1136" s="92" t="s">
        <v>4656</v>
      </c>
      <c r="I1136" s="92" t="s">
        <v>4367</v>
      </c>
      <c r="J1136" s="92" t="s">
        <v>60</v>
      </c>
      <c r="K1136" s="92" t="s">
        <v>633</v>
      </c>
    </row>
    <row r="1137" spans="1:11" ht="13.8">
      <c r="A1137" s="47" t="s">
        <v>1170</v>
      </c>
      <c r="B1137" s="92" t="s">
        <v>912</v>
      </c>
      <c r="C1137" s="92" t="s">
        <v>1171</v>
      </c>
      <c r="D1137" s="72" t="str">
        <f>IFERROR(VLOOKUP(A1137,'[1]ST-QA-ZZ5'!$C$5:$M$299,11,0),"Inspection at production line")</f>
        <v>Inspection at production line</v>
      </c>
      <c r="F1137" s="92" t="s">
        <v>4657</v>
      </c>
      <c r="G1137" s="92" t="s">
        <v>4637</v>
      </c>
      <c r="H1137" s="92" t="s">
        <v>4658</v>
      </c>
      <c r="I1137" s="92" t="s">
        <v>4367</v>
      </c>
      <c r="J1137" s="92" t="s">
        <v>60</v>
      </c>
      <c r="K1137" s="92" t="s">
        <v>633</v>
      </c>
    </row>
    <row r="1138" spans="1:11" ht="13.8">
      <c r="A1138" s="47" t="s">
        <v>1173</v>
      </c>
      <c r="B1138" s="92" t="s">
        <v>912</v>
      </c>
      <c r="C1138" s="92" t="s">
        <v>1174</v>
      </c>
      <c r="D1138" s="72" t="str">
        <f>IFERROR(VLOOKUP(A1138,'[1]ST-QA-ZZ5'!$C$5:$M$299,11,0),"Inspection at production line")</f>
        <v>Inspection at production line</v>
      </c>
      <c r="F1138" s="92" t="s">
        <v>4660</v>
      </c>
      <c r="G1138" s="92" t="s">
        <v>1273</v>
      </c>
      <c r="H1138" s="92" t="s">
        <v>4661</v>
      </c>
      <c r="I1138" s="92" t="s">
        <v>4367</v>
      </c>
      <c r="J1138" s="92" t="s">
        <v>60</v>
      </c>
      <c r="K1138" s="92" t="s">
        <v>633</v>
      </c>
    </row>
    <row r="1139" spans="1:11" ht="13.8">
      <c r="A1139" s="47" t="s">
        <v>1176</v>
      </c>
      <c r="B1139" s="92" t="s">
        <v>1177</v>
      </c>
      <c r="C1139" s="92" t="s">
        <v>1178</v>
      </c>
      <c r="D1139" s="72" t="str">
        <f>IFERROR(VLOOKUP(A1139,'[1]ST-QA-ZZ5'!$C$5:$M$299,11,0),"Inspection at production line")</f>
        <v>Inspection at production line</v>
      </c>
      <c r="F1139" s="92" t="s">
        <v>4662</v>
      </c>
      <c r="G1139" s="92" t="s">
        <v>811</v>
      </c>
      <c r="H1139" s="92" t="s">
        <v>4663</v>
      </c>
      <c r="I1139" s="92" t="s">
        <v>4367</v>
      </c>
      <c r="J1139" s="92" t="s">
        <v>60</v>
      </c>
      <c r="K1139" s="92" t="s">
        <v>633</v>
      </c>
    </row>
    <row r="1140" spans="1:11" ht="13.8">
      <c r="A1140" s="47" t="s">
        <v>1180</v>
      </c>
      <c r="B1140" s="92" t="s">
        <v>830</v>
      </c>
      <c r="C1140" s="92" t="s">
        <v>4659</v>
      </c>
      <c r="D1140" s="72" t="str">
        <f>IFERROR(VLOOKUP(A1140,'[1]ST-QA-ZZ5'!$C$5:$M$299,11,0),"Inspection at production line")</f>
        <v>Inspection at production line</v>
      </c>
      <c r="F1140" s="92" t="s">
        <v>4665</v>
      </c>
      <c r="G1140" s="92" t="s">
        <v>2511</v>
      </c>
      <c r="H1140" s="92" t="s">
        <v>4666</v>
      </c>
      <c r="I1140" s="92" t="s">
        <v>4367</v>
      </c>
      <c r="J1140" s="92" t="s">
        <v>60</v>
      </c>
      <c r="K1140" s="92" t="s">
        <v>633</v>
      </c>
    </row>
    <row r="1141" spans="1:11" ht="13.8">
      <c r="A1141" s="47" t="s">
        <v>1183</v>
      </c>
      <c r="B1141" s="92" t="s">
        <v>1177</v>
      </c>
      <c r="C1141" s="92" t="s">
        <v>1184</v>
      </c>
      <c r="D1141" s="72" t="str">
        <f>IFERROR(VLOOKUP(A1141,'[1]ST-QA-ZZ5'!$C$5:$M$299,11,0),"Inspection at production line")</f>
        <v>Inspection at production line</v>
      </c>
      <c r="F1141" s="92" t="s">
        <v>4667</v>
      </c>
      <c r="G1141" s="92" t="s">
        <v>845</v>
      </c>
      <c r="H1141" s="92" t="s">
        <v>4668</v>
      </c>
      <c r="I1141" s="92" t="s">
        <v>4367</v>
      </c>
      <c r="J1141" s="92" t="s">
        <v>60</v>
      </c>
      <c r="K1141" s="92" t="s">
        <v>633</v>
      </c>
    </row>
    <row r="1142" spans="1:11" ht="13.8">
      <c r="A1142" s="47" t="s">
        <v>1186</v>
      </c>
      <c r="B1142" s="92" t="s">
        <v>835</v>
      </c>
      <c r="C1142" s="92" t="s">
        <v>4664</v>
      </c>
      <c r="D1142" s="72" t="str">
        <f>IFERROR(VLOOKUP(A1142,'[1]ST-QA-ZZ5'!$C$5:$M$299,11,0),"Inspection at production line")</f>
        <v>Inspection at production line</v>
      </c>
      <c r="F1142" s="92" t="s">
        <v>4669</v>
      </c>
      <c r="G1142" s="92" t="s">
        <v>4670</v>
      </c>
      <c r="H1142" s="92" t="s">
        <v>4671</v>
      </c>
      <c r="I1142" s="92" t="s">
        <v>4367</v>
      </c>
      <c r="J1142" s="92" t="s">
        <v>60</v>
      </c>
      <c r="K1142" s="92" t="s">
        <v>633</v>
      </c>
    </row>
    <row r="1143" spans="1:11" ht="13.8">
      <c r="A1143" s="47" t="s">
        <v>1189</v>
      </c>
      <c r="B1143" s="92" t="s">
        <v>865</v>
      </c>
      <c r="C1143" s="92" t="s">
        <v>1794</v>
      </c>
      <c r="D1143" s="72" t="str">
        <f>IFERROR(VLOOKUP(A1143,'[1]ST-QA-ZZ5'!$C$5:$M$299,11,0),"Inspection at production line")</f>
        <v>Inspection at production line</v>
      </c>
      <c r="F1143" s="92" t="s">
        <v>4673</v>
      </c>
      <c r="G1143" s="92" t="s">
        <v>797</v>
      </c>
      <c r="H1143" s="92" t="s">
        <v>4674</v>
      </c>
      <c r="I1143" s="92" t="s">
        <v>4367</v>
      </c>
      <c r="J1143" s="92" t="s">
        <v>60</v>
      </c>
      <c r="K1143" s="92" t="s">
        <v>633</v>
      </c>
    </row>
    <row r="1144" spans="1:11" ht="13.8">
      <c r="A1144" s="47" t="s">
        <v>1192</v>
      </c>
      <c r="B1144" s="92" t="s">
        <v>1193</v>
      </c>
      <c r="C1144" s="92" t="s">
        <v>1194</v>
      </c>
      <c r="D1144" s="72" t="str">
        <f>IFERROR(VLOOKUP(A1144,'[1]ST-QA-ZZ5'!$C$5:$M$299,11,0),"Inspection at production line")</f>
        <v>Inspection at production line</v>
      </c>
      <c r="F1144" s="92" t="s">
        <v>4675</v>
      </c>
      <c r="G1144" s="92" t="s">
        <v>941</v>
      </c>
      <c r="H1144" s="92" t="s">
        <v>4676</v>
      </c>
      <c r="I1144" s="92" t="s">
        <v>4367</v>
      </c>
      <c r="J1144" s="92" t="s">
        <v>60</v>
      </c>
      <c r="K1144" s="92" t="s">
        <v>633</v>
      </c>
    </row>
    <row r="1145" spans="1:11" ht="13.8">
      <c r="A1145" s="47" t="s">
        <v>1196</v>
      </c>
      <c r="B1145" s="92" t="s">
        <v>835</v>
      </c>
      <c r="C1145" s="92" t="s">
        <v>4672</v>
      </c>
      <c r="D1145" s="72" t="str">
        <f>IFERROR(VLOOKUP(A1145,'[1]ST-QA-ZZ5'!$C$5:$M$299,11,0),"Inspection at production line")</f>
        <v>Inspection at production line</v>
      </c>
      <c r="F1145" s="92" t="s">
        <v>4679</v>
      </c>
      <c r="G1145" s="92" t="s">
        <v>946</v>
      </c>
      <c r="H1145" s="92" t="s">
        <v>4680</v>
      </c>
      <c r="I1145" s="92" t="s">
        <v>4367</v>
      </c>
      <c r="J1145" s="92" t="s">
        <v>60</v>
      </c>
      <c r="K1145" s="92" t="s">
        <v>633</v>
      </c>
    </row>
    <row r="1146" spans="1:11" ht="13.8">
      <c r="A1146" s="47" t="s">
        <v>2513</v>
      </c>
      <c r="B1146" s="92" t="s">
        <v>1233</v>
      </c>
      <c r="C1146" s="92" t="s">
        <v>1234</v>
      </c>
      <c r="D1146" s="72" t="str">
        <f>IFERROR(VLOOKUP(A1146,'[1]ST-QA-ZZ5'!$C$5:$M$299,11,0),"Inspection at production line")</f>
        <v>Inspection at production line</v>
      </c>
      <c r="F1146" s="92" t="s">
        <v>4681</v>
      </c>
      <c r="G1146" s="92" t="s">
        <v>3543</v>
      </c>
      <c r="H1146" s="92" t="s">
        <v>4682</v>
      </c>
      <c r="I1146" s="92" t="s">
        <v>4367</v>
      </c>
      <c r="J1146" s="92" t="s">
        <v>60</v>
      </c>
      <c r="K1146" s="92" t="s">
        <v>633</v>
      </c>
    </row>
    <row r="1147" spans="1:11" ht="13.8">
      <c r="A1147" s="47" t="s">
        <v>4677</v>
      </c>
      <c r="B1147" s="92" t="s">
        <v>1233</v>
      </c>
      <c r="C1147" s="92" t="s">
        <v>4678</v>
      </c>
      <c r="D1147" s="72" t="str">
        <f>IFERROR(VLOOKUP(A1147,'[1]ST-QA-ZZ5'!$C$5:$M$299,11,0),"Inspection at production line")</f>
        <v>Inspection at production line</v>
      </c>
      <c r="F1147" s="92" t="s">
        <v>4683</v>
      </c>
      <c r="G1147" s="92" t="s">
        <v>949</v>
      </c>
      <c r="H1147" s="92" t="s">
        <v>4684</v>
      </c>
      <c r="I1147" s="92" t="s">
        <v>4367</v>
      </c>
      <c r="J1147" s="92" t="s">
        <v>60</v>
      </c>
      <c r="K1147" s="92" t="s">
        <v>633</v>
      </c>
    </row>
    <row r="1148" spans="1:11" ht="13.8">
      <c r="A1148" s="47" t="s">
        <v>1198</v>
      </c>
      <c r="B1148" s="92" t="s">
        <v>1199</v>
      </c>
      <c r="C1148" s="92" t="s">
        <v>1200</v>
      </c>
      <c r="D1148" s="72" t="str">
        <f>IFERROR(VLOOKUP(A1148,'[1]ST-QA-ZZ5'!$C$5:$M$299,11,0),"Inspection at production line")</f>
        <v>Inspection at production line</v>
      </c>
      <c r="F1148" s="92" t="s">
        <v>4685</v>
      </c>
      <c r="G1148" s="92" t="s">
        <v>4670</v>
      </c>
      <c r="H1148" s="92" t="s">
        <v>4686</v>
      </c>
      <c r="I1148" s="92" t="s">
        <v>4367</v>
      </c>
      <c r="J1148" s="92" t="s">
        <v>60</v>
      </c>
      <c r="K1148" s="92" t="s">
        <v>633</v>
      </c>
    </row>
    <row r="1149" spans="1:11" ht="13.8">
      <c r="A1149" s="47" t="s">
        <v>1203</v>
      </c>
      <c r="B1149" s="92" t="s">
        <v>1204</v>
      </c>
      <c r="C1149" s="92" t="s">
        <v>1205</v>
      </c>
      <c r="D1149" s="72" t="str">
        <f>IFERROR(VLOOKUP(A1149,'[1]ST-QA-ZZ5'!$C$5:$M$299,11,0),"Inspection at production line")</f>
        <v>Inspection at production line</v>
      </c>
      <c r="F1149" s="92" t="s">
        <v>4687</v>
      </c>
      <c r="G1149" s="92" t="s">
        <v>2721</v>
      </c>
      <c r="H1149" s="92" t="s">
        <v>4688</v>
      </c>
      <c r="I1149" s="92" t="s">
        <v>4367</v>
      </c>
      <c r="J1149" s="92" t="s">
        <v>60</v>
      </c>
      <c r="K1149" s="92" t="s">
        <v>633</v>
      </c>
    </row>
    <row r="1150" spans="1:11" ht="13.8">
      <c r="A1150" s="47" t="s">
        <v>1207</v>
      </c>
      <c r="B1150" s="92" t="s">
        <v>1208</v>
      </c>
      <c r="C1150" s="92" t="s">
        <v>1209</v>
      </c>
      <c r="D1150" s="72" t="str">
        <f>IFERROR(VLOOKUP(A1150,'[1]ST-QA-ZZ5'!$C$5:$M$299,11,0),"Inspection at production line")</f>
        <v>Inspection at production line</v>
      </c>
      <c r="F1150" s="92" t="s">
        <v>4689</v>
      </c>
      <c r="G1150" s="92" t="s">
        <v>3543</v>
      </c>
      <c r="H1150" s="92" t="s">
        <v>4690</v>
      </c>
      <c r="I1150" s="92" t="s">
        <v>4367</v>
      </c>
      <c r="J1150" s="92" t="s">
        <v>60</v>
      </c>
      <c r="K1150" s="92" t="s">
        <v>633</v>
      </c>
    </row>
    <row r="1151" spans="1:11" ht="13.8">
      <c r="A1151" s="47" t="s">
        <v>1211</v>
      </c>
      <c r="B1151" s="92" t="s">
        <v>1212</v>
      </c>
      <c r="C1151" s="92" t="s">
        <v>1213</v>
      </c>
      <c r="D1151" s="72" t="str">
        <f>IFERROR(VLOOKUP(A1151,'[1]ST-QA-ZZ5'!$C$5:$M$299,11,0),"Inspection at production line")</f>
        <v>Inspection at production line</v>
      </c>
      <c r="F1151" s="92" t="s">
        <v>4691</v>
      </c>
      <c r="G1151" s="92" t="s">
        <v>4093</v>
      </c>
      <c r="H1151" s="92" t="s">
        <v>4692</v>
      </c>
      <c r="I1151" s="92" t="s">
        <v>4367</v>
      </c>
      <c r="J1151" s="92" t="s">
        <v>60</v>
      </c>
      <c r="K1151" s="92" t="s">
        <v>633</v>
      </c>
    </row>
    <row r="1152" spans="1:11" ht="13.8">
      <c r="A1152" s="47" t="s">
        <v>1215</v>
      </c>
      <c r="B1152" s="92" t="s">
        <v>90</v>
      </c>
      <c r="C1152" s="92" t="s">
        <v>1216</v>
      </c>
      <c r="D1152" s="72" t="str">
        <f>IFERROR(VLOOKUP(A1152,'[1]ST-QA-ZZ5'!$C$5:$M$299,11,0),"Inspection at production line")</f>
        <v>Inspection at production line</v>
      </c>
      <c r="F1152" s="92" t="s">
        <v>4694</v>
      </c>
      <c r="G1152" s="92" t="s">
        <v>941</v>
      </c>
      <c r="H1152" s="92" t="s">
        <v>4695</v>
      </c>
      <c r="I1152" s="92" t="s">
        <v>4367</v>
      </c>
      <c r="J1152" s="92" t="s">
        <v>60</v>
      </c>
      <c r="K1152" s="92" t="s">
        <v>633</v>
      </c>
    </row>
    <row r="1153" spans="1:11" ht="13.8">
      <c r="A1153" s="47" t="s">
        <v>1218</v>
      </c>
      <c r="B1153" s="92" t="s">
        <v>1219</v>
      </c>
      <c r="C1153" s="92" t="s">
        <v>1220</v>
      </c>
      <c r="D1153" s="72" t="str">
        <f>IFERROR(VLOOKUP(A1153,'[1]ST-QA-ZZ5'!$C$5:$M$299,11,0),"Inspection at production line")</f>
        <v>Inspection at production line</v>
      </c>
      <c r="F1153" s="92" t="s">
        <v>4697</v>
      </c>
      <c r="G1153" s="92" t="s">
        <v>949</v>
      </c>
      <c r="H1153" s="92" t="s">
        <v>4698</v>
      </c>
      <c r="I1153" s="92" t="s">
        <v>4367</v>
      </c>
      <c r="J1153" s="92" t="s">
        <v>60</v>
      </c>
      <c r="K1153" s="92" t="s">
        <v>633</v>
      </c>
    </row>
    <row r="1154" spans="1:11" ht="13.8">
      <c r="A1154" s="47" t="s">
        <v>1222</v>
      </c>
      <c r="B1154" s="92" t="s">
        <v>1223</v>
      </c>
      <c r="C1154" s="92" t="s">
        <v>4693</v>
      </c>
      <c r="D1154" s="72" t="str">
        <f>IFERROR(VLOOKUP(A1154,'[1]ST-QA-ZZ5'!$C$5:$M$299,11,0),"Inspection at production line")</f>
        <v>Inspection at production line</v>
      </c>
      <c r="F1154" s="92" t="s">
        <v>4699</v>
      </c>
      <c r="G1154" s="92" t="s">
        <v>957</v>
      </c>
      <c r="H1154" s="92" t="s">
        <v>4700</v>
      </c>
      <c r="I1154" s="92" t="s">
        <v>4367</v>
      </c>
      <c r="J1154" s="92" t="s">
        <v>60</v>
      </c>
      <c r="K1154" s="92" t="s">
        <v>633</v>
      </c>
    </row>
    <row r="1155" spans="1:11" ht="13.8">
      <c r="A1155" s="47" t="s">
        <v>1226</v>
      </c>
      <c r="B1155" s="92" t="s">
        <v>1223</v>
      </c>
      <c r="C1155" s="92" t="s">
        <v>4696</v>
      </c>
      <c r="D1155" s="72" t="str">
        <f>IFERROR(VLOOKUP(A1155,'[1]ST-QA-ZZ5'!$C$5:$M$299,11,0),"Inspection at production line")</f>
        <v>Inspection at production line</v>
      </c>
      <c r="F1155" s="92" t="s">
        <v>4701</v>
      </c>
      <c r="G1155" s="92" t="s">
        <v>1896</v>
      </c>
      <c r="H1155" s="92" t="s">
        <v>4702</v>
      </c>
      <c r="I1155" s="92" t="s">
        <v>4367</v>
      </c>
      <c r="J1155" s="92" t="s">
        <v>60</v>
      </c>
      <c r="K1155" s="92" t="s">
        <v>633</v>
      </c>
    </row>
    <row r="1156" spans="1:11" ht="13.8">
      <c r="A1156" s="47" t="s">
        <v>1229</v>
      </c>
      <c r="B1156" s="92" t="s">
        <v>1204</v>
      </c>
      <c r="C1156" s="92" t="s">
        <v>1230</v>
      </c>
      <c r="D1156" s="72" t="str">
        <f>IFERROR(VLOOKUP(A1156,'[1]ST-QA-ZZ5'!$C$5:$M$299,11,0),"Inspection at production line")</f>
        <v>Inspection at production line</v>
      </c>
      <c r="F1156" s="92" t="s">
        <v>4705</v>
      </c>
      <c r="G1156" s="92" t="s">
        <v>797</v>
      </c>
      <c r="H1156" s="92" t="s">
        <v>4706</v>
      </c>
      <c r="I1156" s="92" t="s">
        <v>4367</v>
      </c>
      <c r="J1156" s="92" t="s">
        <v>60</v>
      </c>
      <c r="K1156" s="92" t="s">
        <v>633</v>
      </c>
    </row>
    <row r="1157" spans="1:11" ht="13.8">
      <c r="A1157" s="47" t="s">
        <v>1232</v>
      </c>
      <c r="B1157" s="92" t="s">
        <v>1233</v>
      </c>
      <c r="C1157" s="92" t="s">
        <v>1234</v>
      </c>
      <c r="D1157" s="72" t="str">
        <f>IFERROR(VLOOKUP(A1157,'[1]ST-QA-ZZ5'!$C$5:$M$299,11,0),"Inspection at production line")</f>
        <v>Inspection at production line</v>
      </c>
      <c r="F1157" s="92" t="s">
        <v>4709</v>
      </c>
      <c r="G1157" s="92" t="s">
        <v>2511</v>
      </c>
      <c r="H1157" s="92" t="s">
        <v>4710</v>
      </c>
      <c r="I1157" s="92" t="s">
        <v>4367</v>
      </c>
      <c r="J1157" s="92" t="s">
        <v>60</v>
      </c>
      <c r="K1157" s="92" t="s">
        <v>633</v>
      </c>
    </row>
    <row r="1158" spans="1:11" ht="13.8">
      <c r="A1158" s="47" t="s">
        <v>4703</v>
      </c>
      <c r="B1158" s="92" t="s">
        <v>1233</v>
      </c>
      <c r="C1158" s="92" t="s">
        <v>4704</v>
      </c>
      <c r="D1158" s="72" t="str">
        <f>IFERROR(VLOOKUP(A1158,'[1]ST-QA-ZZ5'!$C$5:$M$299,11,0),"Inspection at production line")</f>
        <v>Inspection at production line</v>
      </c>
      <c r="F1158" s="92" t="s">
        <v>4712</v>
      </c>
      <c r="G1158" s="92" t="s">
        <v>949</v>
      </c>
      <c r="H1158" s="92" t="s">
        <v>4713</v>
      </c>
      <c r="I1158" s="92" t="s">
        <v>4367</v>
      </c>
      <c r="J1158" s="92" t="s">
        <v>60</v>
      </c>
      <c r="K1158" s="92" t="s">
        <v>633</v>
      </c>
    </row>
    <row r="1159" spans="1:11" ht="13.8">
      <c r="A1159" s="47" t="s">
        <v>4707</v>
      </c>
      <c r="B1159" s="92" t="s">
        <v>1233</v>
      </c>
      <c r="C1159" s="92" t="s">
        <v>4708</v>
      </c>
      <c r="D1159" s="72" t="str">
        <f>IFERROR(VLOOKUP(A1159,'[1]ST-QA-ZZ5'!$C$5:$M$299,11,0),"Inspection at production line")</f>
        <v>Inspection at production line</v>
      </c>
      <c r="F1159" s="92" t="s">
        <v>4715</v>
      </c>
      <c r="G1159" s="92" t="s">
        <v>2507</v>
      </c>
      <c r="H1159" s="92" t="s">
        <v>4716</v>
      </c>
      <c r="I1159" s="92" t="s">
        <v>4367</v>
      </c>
      <c r="J1159" s="92" t="s">
        <v>60</v>
      </c>
      <c r="K1159" s="92" t="s">
        <v>633</v>
      </c>
    </row>
    <row r="1160" spans="1:11" ht="13.8">
      <c r="A1160" s="47" t="s">
        <v>1239</v>
      </c>
      <c r="B1160" s="92" t="s">
        <v>1233</v>
      </c>
      <c r="C1160" s="92" t="s">
        <v>4711</v>
      </c>
      <c r="D1160" s="72" t="str">
        <f>IFERROR(VLOOKUP(A1160,'[1]ST-QA-ZZ5'!$C$5:$M$299,11,0),"Inspection at production line")</f>
        <v>Inspection at production line</v>
      </c>
      <c r="F1160" s="92" t="s">
        <v>4717</v>
      </c>
      <c r="G1160" s="92" t="s">
        <v>4093</v>
      </c>
      <c r="H1160" s="92" t="s">
        <v>4718</v>
      </c>
      <c r="I1160" s="92" t="s">
        <v>4367</v>
      </c>
      <c r="J1160" s="92" t="s">
        <v>60</v>
      </c>
      <c r="K1160" s="92" t="s">
        <v>633</v>
      </c>
    </row>
    <row r="1161" spans="1:11" ht="13.8">
      <c r="A1161" s="47" t="s">
        <v>1236</v>
      </c>
      <c r="B1161" s="92" t="s">
        <v>1233</v>
      </c>
      <c r="C1161" s="92" t="s">
        <v>4714</v>
      </c>
      <c r="D1161" s="72" t="str">
        <f>IFERROR(VLOOKUP(A1161,'[1]ST-QA-ZZ5'!$C$5:$M$299,11,0),"Inspection at production line")</f>
        <v>Inspection at production line</v>
      </c>
      <c r="F1161" s="92" t="s">
        <v>4722</v>
      </c>
      <c r="G1161" s="92" t="s">
        <v>797</v>
      </c>
      <c r="H1161" s="92" t="s">
        <v>4723</v>
      </c>
      <c r="I1161" s="92" t="s">
        <v>4367</v>
      </c>
      <c r="J1161" s="92" t="s">
        <v>60</v>
      </c>
      <c r="K1161" s="92" t="s">
        <v>633</v>
      </c>
    </row>
    <row r="1162" spans="1:11" ht="13.8">
      <c r="A1162" s="47" t="s">
        <v>2503</v>
      </c>
      <c r="B1162" s="92" t="s">
        <v>1204</v>
      </c>
      <c r="C1162" s="92" t="s">
        <v>2505</v>
      </c>
      <c r="D1162" s="72" t="str">
        <f>IFERROR(VLOOKUP(A1162,'[1]ST-QA-ZZ5'!$C$5:$M$299,11,0),"Inspection at production line")</f>
        <v>Inspection at production line</v>
      </c>
      <c r="F1162" s="92" t="s">
        <v>4725</v>
      </c>
      <c r="G1162" s="92" t="s">
        <v>891</v>
      </c>
      <c r="H1162" s="92" t="s">
        <v>4726</v>
      </c>
      <c r="I1162" s="92" t="s">
        <v>4367</v>
      </c>
      <c r="J1162" s="92" t="s">
        <v>60</v>
      </c>
      <c r="K1162" s="92" t="s">
        <v>633</v>
      </c>
    </row>
    <row r="1163" spans="1:11" ht="13.8">
      <c r="A1163" s="47" t="s">
        <v>4719</v>
      </c>
      <c r="B1163" s="92" t="s">
        <v>4720</v>
      </c>
      <c r="C1163" s="92" t="s">
        <v>4721</v>
      </c>
      <c r="D1163" s="72" t="str">
        <f>IFERROR(VLOOKUP(A1163,'[1]ST-QA-ZZ5'!$C$5:$M$299,11,0),"Inspection at production line")</f>
        <v>Inspection at production line</v>
      </c>
      <c r="F1163" s="92" t="s">
        <v>4728</v>
      </c>
      <c r="G1163" s="92" t="s">
        <v>957</v>
      </c>
      <c r="H1163" s="92" t="s">
        <v>4729</v>
      </c>
      <c r="I1163" s="92" t="s">
        <v>4367</v>
      </c>
      <c r="J1163" s="92" t="s">
        <v>60</v>
      </c>
      <c r="K1163" s="92" t="s">
        <v>633</v>
      </c>
    </row>
    <row r="1164" spans="1:11" ht="13.8">
      <c r="A1164" s="47" t="s">
        <v>4724</v>
      </c>
      <c r="B1164" s="92" t="s">
        <v>1233</v>
      </c>
      <c r="C1164" s="92" t="s">
        <v>4721</v>
      </c>
      <c r="D1164" s="72" t="str">
        <f>IFERROR(VLOOKUP(A1164,'[1]ST-QA-ZZ5'!$C$5:$M$299,11,0),"Inspection at production line")</f>
        <v>Inspection at production line</v>
      </c>
      <c r="F1164" s="92" t="s">
        <v>4733</v>
      </c>
      <c r="G1164" s="92" t="s">
        <v>1896</v>
      </c>
      <c r="H1164" s="92" t="s">
        <v>4734</v>
      </c>
      <c r="I1164" s="92" t="s">
        <v>4367</v>
      </c>
      <c r="J1164" s="92" t="s">
        <v>60</v>
      </c>
      <c r="K1164" s="92" t="s">
        <v>633</v>
      </c>
    </row>
    <row r="1165" spans="1:11" ht="13.8">
      <c r="A1165" s="47" t="s">
        <v>4727</v>
      </c>
      <c r="B1165" s="92" t="s">
        <v>4720</v>
      </c>
      <c r="C1165" s="92" t="s">
        <v>4721</v>
      </c>
      <c r="D1165" s="72" t="str">
        <f>IFERROR(VLOOKUP(A1165,'[1]ST-QA-ZZ5'!$C$5:$M$299,11,0),"Inspection at production line")</f>
        <v>Inspection at production line</v>
      </c>
      <c r="F1165" s="92" t="s">
        <v>4737</v>
      </c>
      <c r="G1165" s="92" t="s">
        <v>2511</v>
      </c>
      <c r="H1165" s="92" t="s">
        <v>4738</v>
      </c>
      <c r="I1165" s="92" t="s">
        <v>4367</v>
      </c>
      <c r="J1165" s="92" t="s">
        <v>60</v>
      </c>
      <c r="K1165" s="92" t="s">
        <v>633</v>
      </c>
    </row>
    <row r="1166" spans="1:11" ht="13.8">
      <c r="A1166" s="47" t="s">
        <v>4730</v>
      </c>
      <c r="B1166" s="92" t="s">
        <v>4731</v>
      </c>
      <c r="C1166" s="92" t="s">
        <v>4732</v>
      </c>
      <c r="D1166" s="72" t="str">
        <f>IFERROR(VLOOKUP(A1166,'[1]ST-QA-ZZ5'!$C$5:$M$299,11,0),"Inspection at production line")</f>
        <v>Inspection at production line</v>
      </c>
      <c r="F1166" s="92" t="s">
        <v>4741</v>
      </c>
      <c r="G1166" s="92" t="s">
        <v>949</v>
      </c>
      <c r="H1166" s="92" t="s">
        <v>4742</v>
      </c>
      <c r="I1166" s="92" t="s">
        <v>4367</v>
      </c>
      <c r="J1166" s="92" t="s">
        <v>60</v>
      </c>
      <c r="K1166" s="92" t="s">
        <v>633</v>
      </c>
    </row>
    <row r="1167" spans="1:11" ht="13.8">
      <c r="A1167" s="47" t="s">
        <v>4735</v>
      </c>
      <c r="B1167" s="92" t="s">
        <v>4731</v>
      </c>
      <c r="C1167" s="92" t="s">
        <v>4736</v>
      </c>
      <c r="D1167" s="72" t="str">
        <f>IFERROR(VLOOKUP(A1167,'[1]ST-QA-ZZ5'!$C$5:$M$299,11,0),"Inspection at production line")</f>
        <v>Inspection at production line</v>
      </c>
      <c r="F1167" s="92" t="s">
        <v>4745</v>
      </c>
      <c r="G1167" s="92" t="s">
        <v>941</v>
      </c>
      <c r="H1167" s="92" t="s">
        <v>4746</v>
      </c>
      <c r="I1167" s="92" t="s">
        <v>4367</v>
      </c>
      <c r="J1167" s="92" t="s">
        <v>60</v>
      </c>
      <c r="K1167" s="92" t="s">
        <v>633</v>
      </c>
    </row>
    <row r="1168" spans="1:11" ht="13.8">
      <c r="A1168" s="47" t="s">
        <v>4739</v>
      </c>
      <c r="B1168" s="92" t="s">
        <v>4731</v>
      </c>
      <c r="C1168" s="92" t="s">
        <v>4740</v>
      </c>
      <c r="D1168" s="72" t="str">
        <f>IFERROR(VLOOKUP(A1168,'[1]ST-QA-ZZ5'!$C$5:$M$299,11,0),"Inspection at production line")</f>
        <v>Inspection at production line</v>
      </c>
      <c r="F1168" s="92" t="s">
        <v>4750</v>
      </c>
      <c r="G1168" s="92" t="s">
        <v>946</v>
      </c>
      <c r="H1168" s="92" t="s">
        <v>4751</v>
      </c>
      <c r="I1168" s="92" t="s">
        <v>4367</v>
      </c>
      <c r="J1168" s="92" t="s">
        <v>60</v>
      </c>
      <c r="K1168" s="92" t="s">
        <v>633</v>
      </c>
    </row>
    <row r="1169" spans="1:11" ht="13.8">
      <c r="A1169" s="47" t="s">
        <v>4743</v>
      </c>
      <c r="B1169" s="92" t="s">
        <v>1204</v>
      </c>
      <c r="C1169" s="92" t="s">
        <v>4744</v>
      </c>
      <c r="D1169" s="72" t="str">
        <f>IFERROR(VLOOKUP(A1169,'[1]ST-QA-ZZ5'!$C$5:$M$299,11,0),"Inspection at production line")</f>
        <v>Inspection at production line</v>
      </c>
      <c r="F1169" s="92" t="s">
        <v>4754</v>
      </c>
      <c r="G1169" s="92" t="s">
        <v>797</v>
      </c>
      <c r="H1169" s="92" t="s">
        <v>4755</v>
      </c>
      <c r="I1169" s="92" t="s">
        <v>4367</v>
      </c>
      <c r="J1169" s="92" t="s">
        <v>60</v>
      </c>
      <c r="K1169" s="92" t="s">
        <v>633</v>
      </c>
    </row>
    <row r="1170" spans="1:11" ht="13.8">
      <c r="A1170" s="47" t="s">
        <v>4747</v>
      </c>
      <c r="B1170" s="92" t="s">
        <v>4748</v>
      </c>
      <c r="C1170" s="92" t="s">
        <v>4749</v>
      </c>
      <c r="D1170" s="72" t="str">
        <f>IFERROR(VLOOKUP(A1170,'[1]ST-QA-ZZ5'!$C$5:$M$299,11,0),"Inspection at production line")</f>
        <v>Inspection at production line</v>
      </c>
      <c r="F1170" s="92" t="s">
        <v>4758</v>
      </c>
      <c r="G1170" s="92" t="s">
        <v>2507</v>
      </c>
      <c r="H1170" s="92" t="s">
        <v>4759</v>
      </c>
      <c r="I1170" s="92" t="s">
        <v>4367</v>
      </c>
      <c r="J1170" s="92" t="s">
        <v>60</v>
      </c>
      <c r="K1170" s="92" t="s">
        <v>633</v>
      </c>
    </row>
    <row r="1171" spans="1:11" ht="13.8">
      <c r="A1171" s="47" t="s">
        <v>4752</v>
      </c>
      <c r="B1171" s="92" t="s">
        <v>1204</v>
      </c>
      <c r="C1171" s="92" t="s">
        <v>4753</v>
      </c>
      <c r="D1171" s="72" t="str">
        <f>IFERROR(VLOOKUP(A1171,'[1]ST-QA-ZZ5'!$C$5:$M$299,11,0),"Inspection at production line")</f>
        <v>Inspection at production line</v>
      </c>
      <c r="F1171" s="92" t="s">
        <v>4762</v>
      </c>
      <c r="G1171" s="92" t="s">
        <v>957</v>
      </c>
      <c r="H1171" s="92" t="s">
        <v>4763</v>
      </c>
      <c r="I1171" s="92" t="s">
        <v>4367</v>
      </c>
      <c r="J1171" s="92" t="s">
        <v>60</v>
      </c>
      <c r="K1171" s="92" t="s">
        <v>633</v>
      </c>
    </row>
    <row r="1172" spans="1:11" ht="13.8">
      <c r="A1172" s="47" t="s">
        <v>4756</v>
      </c>
      <c r="B1172" s="92" t="s">
        <v>1223</v>
      </c>
      <c r="C1172" s="92" t="s">
        <v>4757</v>
      </c>
      <c r="D1172" s="72" t="str">
        <f>IFERROR(VLOOKUP(A1172,'[1]ST-QA-ZZ5'!$C$5:$M$299,11,0),"Inspection at production line")</f>
        <v>Inspection at production line</v>
      </c>
      <c r="F1172" s="92" t="s">
        <v>4766</v>
      </c>
      <c r="G1172" s="92" t="s">
        <v>2511</v>
      </c>
      <c r="H1172" s="92" t="s">
        <v>4767</v>
      </c>
      <c r="I1172" s="92" t="s">
        <v>4367</v>
      </c>
      <c r="J1172" s="92" t="s">
        <v>60</v>
      </c>
      <c r="K1172" s="92" t="s">
        <v>633</v>
      </c>
    </row>
    <row r="1173" spans="1:11" ht="13.8">
      <c r="A1173" s="47" t="s">
        <v>4760</v>
      </c>
      <c r="B1173" s="92" t="s">
        <v>1494</v>
      </c>
      <c r="C1173" s="92" t="s">
        <v>4761</v>
      </c>
      <c r="D1173" s="72" t="str">
        <f>IFERROR(VLOOKUP(A1173,'[1]ST-QA-ZZ5'!$C$5:$M$299,11,0),"Inspection at production line")</f>
        <v>Inspection at production line</v>
      </c>
      <c r="F1173" s="92" t="s">
        <v>4771</v>
      </c>
      <c r="G1173" s="92" t="s">
        <v>4772</v>
      </c>
      <c r="H1173" s="92" t="s">
        <v>4773</v>
      </c>
      <c r="I1173" s="92" t="s">
        <v>4367</v>
      </c>
      <c r="J1173" s="92" t="s">
        <v>60</v>
      </c>
      <c r="K1173" s="92" t="s">
        <v>633</v>
      </c>
    </row>
    <row r="1174" spans="1:11" ht="13.8">
      <c r="A1174" s="47" t="s">
        <v>4764</v>
      </c>
      <c r="B1174" s="92" t="s">
        <v>978</v>
      </c>
      <c r="C1174" s="92" t="s">
        <v>4765</v>
      </c>
      <c r="D1174" s="72" t="str">
        <f>IFERROR(VLOOKUP(A1174,'[1]ST-QA-ZZ5'!$C$5:$M$299,11,0),"Inspection at production line")</f>
        <v>Inspection at production line</v>
      </c>
      <c r="F1174" s="92" t="s">
        <v>4777</v>
      </c>
      <c r="G1174" s="92" t="s">
        <v>949</v>
      </c>
      <c r="H1174" s="92" t="s">
        <v>4778</v>
      </c>
      <c r="I1174" s="92" t="s">
        <v>4367</v>
      </c>
      <c r="J1174" s="92" t="s">
        <v>60</v>
      </c>
      <c r="K1174" s="92" t="s">
        <v>633</v>
      </c>
    </row>
    <row r="1175" spans="1:11" ht="13.8">
      <c r="A1175" s="47" t="s">
        <v>4768</v>
      </c>
      <c r="B1175" s="92" t="s">
        <v>4769</v>
      </c>
      <c r="C1175" s="92" t="s">
        <v>4770</v>
      </c>
      <c r="D1175" s="72" t="str">
        <f>IFERROR(VLOOKUP(A1175,'[1]ST-QA-ZZ5'!$C$5:$M$299,11,0),"Inspection at production line")</f>
        <v>Inspection at production line</v>
      </c>
      <c r="F1175" s="92" t="s">
        <v>4781</v>
      </c>
      <c r="G1175" s="92" t="s">
        <v>3363</v>
      </c>
      <c r="H1175" s="92" t="s">
        <v>4782</v>
      </c>
      <c r="I1175" s="92" t="s">
        <v>4367</v>
      </c>
      <c r="J1175" s="92" t="s">
        <v>60</v>
      </c>
      <c r="K1175" s="92" t="s">
        <v>633</v>
      </c>
    </row>
    <row r="1176" spans="1:11" ht="13.8">
      <c r="A1176" s="47" t="s">
        <v>4774</v>
      </c>
      <c r="B1176" s="92" t="s">
        <v>4775</v>
      </c>
      <c r="C1176" s="92" t="s">
        <v>4776</v>
      </c>
      <c r="D1176" s="72" t="str">
        <f>IFERROR(VLOOKUP(A1176,'[1]ST-QA-ZZ5'!$C$5:$M$299,11,0),"Inspection at production line")</f>
        <v>Inspection at production line</v>
      </c>
      <c r="F1176" s="92" t="s">
        <v>4785</v>
      </c>
      <c r="G1176" s="92" t="s">
        <v>957</v>
      </c>
      <c r="H1176" s="92" t="s">
        <v>4786</v>
      </c>
      <c r="I1176" s="92" t="s">
        <v>4367</v>
      </c>
      <c r="J1176" s="92" t="s">
        <v>60</v>
      </c>
      <c r="K1176" s="92" t="s">
        <v>633</v>
      </c>
    </row>
    <row r="1177" spans="1:11" ht="13.8">
      <c r="A1177" s="47" t="s">
        <v>4779</v>
      </c>
      <c r="B1177" s="92" t="s">
        <v>1167</v>
      </c>
      <c r="C1177" s="92" t="s">
        <v>4780</v>
      </c>
      <c r="D1177" s="72" t="str">
        <f>IFERROR(VLOOKUP(A1177,'[1]ST-QA-ZZ5'!$C$5:$M$299,11,0),"Inspection at production line")</f>
        <v>Inspection at production line</v>
      </c>
      <c r="F1177" s="92" t="s">
        <v>4790</v>
      </c>
      <c r="G1177" s="92" t="s">
        <v>2511</v>
      </c>
      <c r="H1177" s="92" t="s">
        <v>4791</v>
      </c>
      <c r="I1177" s="92" t="s">
        <v>4367</v>
      </c>
      <c r="J1177" s="92" t="s">
        <v>60</v>
      </c>
      <c r="K1177" s="92" t="s">
        <v>633</v>
      </c>
    </row>
    <row r="1178" spans="1:11" ht="13.8">
      <c r="A1178" s="47" t="s">
        <v>4783</v>
      </c>
      <c r="B1178" s="92" t="s">
        <v>1219</v>
      </c>
      <c r="C1178" s="92" t="s">
        <v>4784</v>
      </c>
      <c r="D1178" s="72" t="str">
        <f>IFERROR(VLOOKUP(A1178,'[1]ST-QA-ZZ5'!$C$5:$M$299,11,0),"Inspection at production line")</f>
        <v>Inspection at production line</v>
      </c>
      <c r="F1178" s="92" t="s">
        <v>4794</v>
      </c>
      <c r="G1178" s="92" t="s">
        <v>3363</v>
      </c>
      <c r="H1178" s="92" t="s">
        <v>4795</v>
      </c>
      <c r="I1178" s="92" t="s">
        <v>4367</v>
      </c>
      <c r="J1178" s="92" t="s">
        <v>60</v>
      </c>
      <c r="K1178" s="92" t="s">
        <v>633</v>
      </c>
    </row>
    <row r="1179" spans="1:11" ht="13.8">
      <c r="A1179" s="47" t="s">
        <v>4787</v>
      </c>
      <c r="B1179" s="92" t="s">
        <v>4788</v>
      </c>
      <c r="C1179" s="92" t="s">
        <v>4789</v>
      </c>
      <c r="D1179" s="72" t="str">
        <f>IFERROR(VLOOKUP(A1179,'[1]ST-QA-ZZ5'!$C$5:$M$299,11,0),"Inspection at production line")</f>
        <v>Inspection at production line</v>
      </c>
      <c r="F1179" s="92" t="s">
        <v>4798</v>
      </c>
      <c r="G1179" s="92" t="s">
        <v>3363</v>
      </c>
      <c r="H1179" s="92" t="s">
        <v>4799</v>
      </c>
      <c r="I1179" s="92" t="s">
        <v>4367</v>
      </c>
      <c r="J1179" s="92" t="s">
        <v>60</v>
      </c>
      <c r="K1179" s="92" t="s">
        <v>633</v>
      </c>
    </row>
    <row r="1180" spans="1:11" ht="13.8">
      <c r="A1180" s="47" t="s">
        <v>4792</v>
      </c>
      <c r="B1180" s="92" t="s">
        <v>4788</v>
      </c>
      <c r="C1180" s="92" t="s">
        <v>4793</v>
      </c>
      <c r="D1180" s="72" t="str">
        <f>IFERROR(VLOOKUP(A1180,'[1]ST-QA-ZZ5'!$C$5:$M$299,11,0),"Inspection at production line")</f>
        <v>Inspection at production line</v>
      </c>
      <c r="F1180" s="92" t="s">
        <v>4802</v>
      </c>
      <c r="G1180" s="92" t="s">
        <v>3363</v>
      </c>
      <c r="H1180" s="92" t="s">
        <v>4799</v>
      </c>
      <c r="I1180" s="92" t="s">
        <v>4367</v>
      </c>
      <c r="J1180" s="92" t="s">
        <v>60</v>
      </c>
      <c r="K1180" s="92" t="s">
        <v>633</v>
      </c>
    </row>
    <row r="1181" spans="1:11" ht="13.8">
      <c r="A1181" s="47" t="s">
        <v>4796</v>
      </c>
      <c r="B1181" s="92" t="s">
        <v>972</v>
      </c>
      <c r="C1181" s="92" t="s">
        <v>4797</v>
      </c>
      <c r="D1181" s="72" t="str">
        <f>IFERROR(VLOOKUP(A1181,'[1]ST-QA-ZZ5'!$C$5:$M$299,11,0),"Inspection at production line")</f>
        <v>Inspection at production line</v>
      </c>
      <c r="F1181" s="92" t="s">
        <v>4805</v>
      </c>
      <c r="G1181" s="92" t="s">
        <v>3363</v>
      </c>
      <c r="H1181" s="92" t="s">
        <v>4806</v>
      </c>
      <c r="I1181" s="92" t="s">
        <v>4367</v>
      </c>
      <c r="J1181" s="92" t="s">
        <v>60</v>
      </c>
      <c r="K1181" s="92" t="s">
        <v>633</v>
      </c>
    </row>
    <row r="1182" spans="1:11" ht="13.8">
      <c r="A1182" s="47" t="s">
        <v>4800</v>
      </c>
      <c r="B1182" s="92" t="s">
        <v>4801</v>
      </c>
      <c r="C1182" s="92" t="s">
        <v>4801</v>
      </c>
      <c r="D1182" s="72" t="str">
        <f>IFERROR(VLOOKUP(A1182,'[1]ST-QA-ZZ5'!$C$5:$M$299,11,0),"Inspection at production line")</f>
        <v>Inspection at production line</v>
      </c>
      <c r="F1182" s="92" t="s">
        <v>4809</v>
      </c>
      <c r="G1182" s="92" t="s">
        <v>3363</v>
      </c>
      <c r="H1182" s="92" t="s">
        <v>4799</v>
      </c>
      <c r="I1182" s="92" t="s">
        <v>4367</v>
      </c>
      <c r="J1182" s="92" t="s">
        <v>60</v>
      </c>
      <c r="K1182" s="92" t="s">
        <v>633</v>
      </c>
    </row>
    <row r="1183" spans="1:11" ht="13.8">
      <c r="A1183" s="47" t="s">
        <v>4803</v>
      </c>
      <c r="B1183" s="92" t="s">
        <v>1223</v>
      </c>
      <c r="C1183" s="92" t="s">
        <v>4804</v>
      </c>
      <c r="D1183" s="72" t="str">
        <f>IFERROR(VLOOKUP(A1183,'[1]ST-QA-ZZ5'!$C$5:$M$299,11,0),"Inspection at production line")</f>
        <v>Inspection at production line</v>
      </c>
      <c r="F1183" s="92" t="s">
        <v>4811</v>
      </c>
      <c r="G1183" s="92" t="s">
        <v>949</v>
      </c>
      <c r="H1183" s="92" t="s">
        <v>4812</v>
      </c>
      <c r="I1183" s="92" t="s">
        <v>4367</v>
      </c>
      <c r="J1183" s="92" t="s">
        <v>60</v>
      </c>
      <c r="K1183" s="92" t="s">
        <v>633</v>
      </c>
    </row>
    <row r="1184" spans="1:11" ht="13.8">
      <c r="A1184" s="47" t="s">
        <v>4807</v>
      </c>
      <c r="B1184" s="92" t="s">
        <v>1208</v>
      </c>
      <c r="C1184" s="92" t="s">
        <v>4808</v>
      </c>
      <c r="D1184" s="72" t="str">
        <f>IFERROR(VLOOKUP(A1184,'[1]ST-QA-ZZ5'!$C$5:$M$299,11,0),"Inspection at production line")</f>
        <v>Inspection at production line</v>
      </c>
      <c r="F1184" s="92" t="s">
        <v>4815</v>
      </c>
      <c r="G1184" s="92" t="s">
        <v>2507</v>
      </c>
      <c r="H1184" s="92" t="s">
        <v>4816</v>
      </c>
      <c r="I1184" s="92" t="s">
        <v>4367</v>
      </c>
      <c r="J1184" s="92" t="s">
        <v>60</v>
      </c>
      <c r="K1184" s="92" t="s">
        <v>633</v>
      </c>
    </row>
    <row r="1185" spans="1:11" ht="13.8">
      <c r="A1185" s="47" t="s">
        <v>4810</v>
      </c>
      <c r="B1185" s="92" t="s">
        <v>4720</v>
      </c>
      <c r="C1185" s="92" t="s">
        <v>4721</v>
      </c>
      <c r="D1185" s="72" t="str">
        <f>IFERROR(VLOOKUP(A1185,'[1]ST-QA-ZZ5'!$C$5:$M$299,11,0),"Inspection at production line")</f>
        <v>Inspection at production line</v>
      </c>
      <c r="F1185" s="92" t="s">
        <v>4819</v>
      </c>
      <c r="G1185" s="92" t="s">
        <v>1760</v>
      </c>
      <c r="H1185" s="92" t="s">
        <v>4820</v>
      </c>
      <c r="I1185" s="92" t="s">
        <v>4367</v>
      </c>
      <c r="J1185" s="92" t="s">
        <v>60</v>
      </c>
      <c r="K1185" s="92" t="s">
        <v>633</v>
      </c>
    </row>
    <row r="1186" spans="1:11" ht="13.8">
      <c r="A1186" s="47" t="s">
        <v>4813</v>
      </c>
      <c r="B1186" s="92" t="s">
        <v>4720</v>
      </c>
      <c r="C1186" s="92" t="s">
        <v>4814</v>
      </c>
      <c r="D1186" s="72" t="str">
        <f>IFERROR(VLOOKUP(A1186,'[1]ST-QA-ZZ5'!$C$5:$M$299,11,0),"Inspection at production line")</f>
        <v>Inspection at production line</v>
      </c>
      <c r="F1186" s="92" t="s">
        <v>4823</v>
      </c>
      <c r="G1186" s="92" t="s">
        <v>104</v>
      </c>
      <c r="H1186" s="92" t="s">
        <v>4824</v>
      </c>
      <c r="I1186" s="92" t="s">
        <v>4367</v>
      </c>
      <c r="J1186" s="92" t="s">
        <v>60</v>
      </c>
      <c r="K1186" s="92" t="s">
        <v>633</v>
      </c>
    </row>
    <row r="1187" spans="1:11" ht="13.8">
      <c r="A1187" s="47" t="s">
        <v>4817</v>
      </c>
      <c r="B1187" s="92" t="s">
        <v>1204</v>
      </c>
      <c r="C1187" s="92" t="s">
        <v>4818</v>
      </c>
      <c r="D1187" s="72" t="str">
        <f>IFERROR(VLOOKUP(A1187,'[1]ST-QA-ZZ5'!$C$5:$M$299,11,0),"Inspection at production line")</f>
        <v>Inspection at production line</v>
      </c>
      <c r="F1187" s="92" t="s">
        <v>4827</v>
      </c>
      <c r="G1187" s="92" t="s">
        <v>797</v>
      </c>
      <c r="H1187" s="92" t="s">
        <v>4828</v>
      </c>
      <c r="I1187" s="92" t="s">
        <v>4367</v>
      </c>
      <c r="J1187" s="92" t="s">
        <v>60</v>
      </c>
      <c r="K1187" s="92" t="s">
        <v>633</v>
      </c>
    </row>
    <row r="1188" spans="1:11" ht="13.8">
      <c r="A1188" s="47" t="s">
        <v>4821</v>
      </c>
      <c r="B1188" s="92" t="s">
        <v>927</v>
      </c>
      <c r="C1188" s="92" t="s">
        <v>4822</v>
      </c>
      <c r="D1188" s="72" t="str">
        <f>IFERROR(VLOOKUP(A1188,'[1]ST-QA-ZZ5'!$C$5:$M$299,11,0),"Inspection at production line")</f>
        <v>Inspection at production line</v>
      </c>
      <c r="F1188" s="92" t="s">
        <v>4832</v>
      </c>
      <c r="G1188" s="92" t="s">
        <v>891</v>
      </c>
      <c r="H1188" s="92" t="s">
        <v>4833</v>
      </c>
      <c r="I1188" s="92" t="s">
        <v>4367</v>
      </c>
      <c r="J1188" s="92" t="s">
        <v>60</v>
      </c>
      <c r="K1188" s="92" t="s">
        <v>633</v>
      </c>
    </row>
    <row r="1189" spans="1:11" ht="13.8">
      <c r="A1189" s="47" t="s">
        <v>4825</v>
      </c>
      <c r="B1189" s="92" t="s">
        <v>1257</v>
      </c>
      <c r="C1189" s="92" t="s">
        <v>4826</v>
      </c>
      <c r="D1189" s="72" t="str">
        <f>IFERROR(VLOOKUP(A1189,'[1]ST-QA-ZZ5'!$C$5:$M$299,11,0),"Inspection at production line")</f>
        <v>Inspection at production line</v>
      </c>
      <c r="F1189" s="92" t="s">
        <v>4836</v>
      </c>
      <c r="G1189" s="92" t="s">
        <v>957</v>
      </c>
      <c r="H1189" s="92" t="s">
        <v>4837</v>
      </c>
      <c r="I1189" s="92" t="s">
        <v>4367</v>
      </c>
      <c r="J1189" s="92" t="s">
        <v>60</v>
      </c>
      <c r="K1189" s="92" t="s">
        <v>633</v>
      </c>
    </row>
    <row r="1190" spans="1:11" ht="13.8">
      <c r="A1190" s="47" t="s">
        <v>4829</v>
      </c>
      <c r="B1190" s="92" t="s">
        <v>4830</v>
      </c>
      <c r="C1190" s="92" t="s">
        <v>4831</v>
      </c>
      <c r="D1190" s="72" t="str">
        <f>IFERROR(VLOOKUP(A1190,'[1]ST-QA-ZZ5'!$C$5:$M$299,11,0),"Inspection at production line")</f>
        <v>Inspection at production line</v>
      </c>
      <c r="F1190" s="92" t="s">
        <v>4840</v>
      </c>
      <c r="G1190" s="92" t="s">
        <v>953</v>
      </c>
      <c r="H1190" s="92" t="s">
        <v>4841</v>
      </c>
      <c r="I1190" s="92" t="s">
        <v>4367</v>
      </c>
      <c r="J1190" s="92" t="s">
        <v>60</v>
      </c>
      <c r="K1190" s="92" t="s">
        <v>633</v>
      </c>
    </row>
    <row r="1191" spans="1:11" ht="13.8">
      <c r="A1191" s="47" t="s">
        <v>4834</v>
      </c>
      <c r="B1191" s="92" t="s">
        <v>397</v>
      </c>
      <c r="C1191" s="92" t="s">
        <v>4835</v>
      </c>
      <c r="D1191" s="72" t="str">
        <f>IFERROR(VLOOKUP(A1191,'[1]ST-QA-ZZ5'!$C$5:$M$299,11,0),"Inspection at production line")</f>
        <v>Inspection at production line</v>
      </c>
      <c r="F1191" s="92" t="s">
        <v>4844</v>
      </c>
      <c r="G1191" s="92" t="s">
        <v>2511</v>
      </c>
      <c r="H1191" s="92" t="s">
        <v>4845</v>
      </c>
      <c r="I1191" s="92" t="s">
        <v>4367</v>
      </c>
      <c r="J1191" s="92" t="s">
        <v>60</v>
      </c>
      <c r="K1191" s="92" t="s">
        <v>633</v>
      </c>
    </row>
    <row r="1192" spans="1:11" ht="13.8">
      <c r="A1192" s="47" t="s">
        <v>4838</v>
      </c>
      <c r="B1192" s="92" t="s">
        <v>4801</v>
      </c>
      <c r="C1192" s="92" t="s">
        <v>4839</v>
      </c>
      <c r="D1192" s="72" t="str">
        <f>IFERROR(VLOOKUP(A1192,'[1]ST-QA-ZZ5'!$C$5:$M$299,11,0),"Inspection at production line")</f>
        <v>Inspection at production line</v>
      </c>
      <c r="F1192" s="92" t="s">
        <v>4848</v>
      </c>
      <c r="G1192" s="92" t="s">
        <v>2578</v>
      </c>
      <c r="H1192" s="92" t="s">
        <v>4849</v>
      </c>
      <c r="I1192" s="92" t="s">
        <v>4367</v>
      </c>
      <c r="J1192" s="92" t="s">
        <v>60</v>
      </c>
      <c r="K1192" s="92" t="s">
        <v>633</v>
      </c>
    </row>
    <row r="1193" spans="1:11" ht="13.8">
      <c r="A1193" s="47" t="s">
        <v>4842</v>
      </c>
      <c r="B1193" s="92" t="s">
        <v>927</v>
      </c>
      <c r="C1193" s="92" t="s">
        <v>4843</v>
      </c>
      <c r="D1193" s="72" t="str">
        <f>IFERROR(VLOOKUP(A1193,'[1]ST-QA-ZZ5'!$C$5:$M$299,11,0),"Inspection at production line")</f>
        <v>Inspection at production line</v>
      </c>
      <c r="F1193" s="92" t="s">
        <v>4852</v>
      </c>
      <c r="G1193" s="92" t="s">
        <v>2578</v>
      </c>
      <c r="H1193" s="92" t="s">
        <v>4853</v>
      </c>
      <c r="I1193" s="92" t="s">
        <v>4367</v>
      </c>
      <c r="J1193" s="92" t="s">
        <v>60</v>
      </c>
      <c r="K1193" s="92" t="s">
        <v>633</v>
      </c>
    </row>
    <row r="1194" spans="1:11" ht="13.8">
      <c r="A1194" s="47" t="s">
        <v>4846</v>
      </c>
      <c r="B1194" s="92" t="s">
        <v>4788</v>
      </c>
      <c r="C1194" s="92" t="s">
        <v>4847</v>
      </c>
      <c r="D1194" s="72" t="str">
        <f>IFERROR(VLOOKUP(A1194,'[1]ST-QA-ZZ5'!$C$5:$M$299,11,0),"Inspection at production line")</f>
        <v>Inspection at production line</v>
      </c>
      <c r="F1194" s="92" t="s">
        <v>4857</v>
      </c>
      <c r="G1194" s="92" t="s">
        <v>2578</v>
      </c>
      <c r="H1194" s="92" t="s">
        <v>4858</v>
      </c>
      <c r="I1194" s="92" t="s">
        <v>4367</v>
      </c>
      <c r="J1194" s="92" t="s">
        <v>60</v>
      </c>
      <c r="K1194" s="92" t="s">
        <v>633</v>
      </c>
    </row>
    <row r="1195" spans="1:11" ht="13.8">
      <c r="A1195" s="47" t="s">
        <v>4850</v>
      </c>
      <c r="B1195" s="92" t="s">
        <v>1199</v>
      </c>
      <c r="C1195" s="92" t="s">
        <v>4851</v>
      </c>
      <c r="D1195" s="72" t="str">
        <f>IFERROR(VLOOKUP(A1195,'[1]ST-QA-ZZ5'!$C$5:$M$299,11,0),"Inspection at production line")</f>
        <v>Inspection at production line</v>
      </c>
      <c r="F1195" s="92" t="s">
        <v>4861</v>
      </c>
      <c r="G1195" s="92" t="s">
        <v>4862</v>
      </c>
      <c r="H1195" s="92" t="s">
        <v>4862</v>
      </c>
      <c r="I1195" s="92" t="s">
        <v>4863</v>
      </c>
      <c r="J1195" s="92" t="s">
        <v>60</v>
      </c>
      <c r="K1195" s="92" t="s">
        <v>633</v>
      </c>
    </row>
    <row r="1196" spans="1:11" ht="13.8">
      <c r="A1196" s="47" t="s">
        <v>4854</v>
      </c>
      <c r="B1196" s="92" t="s">
        <v>4855</v>
      </c>
      <c r="C1196" s="92" t="s">
        <v>4856</v>
      </c>
      <c r="D1196" s="72" t="str">
        <f>IFERROR(VLOOKUP(A1196,'[1]ST-QA-ZZ5'!$C$5:$M$299,11,0),"Inspection at production line")</f>
        <v>Inspection at production line</v>
      </c>
      <c r="F1196" s="92" t="s">
        <v>4866</v>
      </c>
      <c r="G1196" s="92" t="s">
        <v>4867</v>
      </c>
      <c r="H1196" s="92" t="s">
        <v>4867</v>
      </c>
      <c r="I1196" s="92" t="s">
        <v>4863</v>
      </c>
      <c r="J1196" s="92" t="s">
        <v>71</v>
      </c>
      <c r="K1196" s="92" t="s">
        <v>633</v>
      </c>
    </row>
    <row r="1197" spans="1:11" ht="13.8">
      <c r="A1197" s="47" t="s">
        <v>4859</v>
      </c>
      <c r="B1197" s="92" t="s">
        <v>4775</v>
      </c>
      <c r="C1197" s="92" t="s">
        <v>4860</v>
      </c>
      <c r="D1197" s="72" t="str">
        <f>IFERROR(VLOOKUP(A1197,'[1]ST-QA-ZZ5'!$C$5:$M$299,11,0),"Inspection at production line")</f>
        <v>Inspection at production line</v>
      </c>
      <c r="F1197" s="92" t="s">
        <v>4870</v>
      </c>
      <c r="G1197" s="92" t="s">
        <v>4862</v>
      </c>
      <c r="H1197" s="92" t="s">
        <v>4862</v>
      </c>
      <c r="I1197" s="92" t="s">
        <v>4863</v>
      </c>
      <c r="J1197" s="92" t="s">
        <v>60</v>
      </c>
      <c r="K1197" s="92" t="s">
        <v>633</v>
      </c>
    </row>
    <row r="1198" spans="1:11" ht="13.8">
      <c r="A1198" s="47" t="s">
        <v>4864</v>
      </c>
      <c r="B1198" s="92" t="s">
        <v>4775</v>
      </c>
      <c r="C1198" s="92" t="s">
        <v>4865</v>
      </c>
      <c r="D1198" s="72" t="str">
        <f>IFERROR(VLOOKUP(A1198,'[1]ST-QA-ZZ5'!$C$5:$M$299,11,0),"Inspection at production line")</f>
        <v>Inspection at production line</v>
      </c>
      <c r="F1198" s="92" t="s">
        <v>4873</v>
      </c>
      <c r="G1198" s="92" t="s">
        <v>916</v>
      </c>
      <c r="H1198" s="92" t="s">
        <v>4874</v>
      </c>
      <c r="I1198" s="92" t="s">
        <v>4863</v>
      </c>
      <c r="J1198" s="92" t="s">
        <v>71</v>
      </c>
      <c r="K1198" s="92" t="s">
        <v>633</v>
      </c>
    </row>
    <row r="1199" spans="1:11" ht="13.8">
      <c r="A1199" s="47" t="s">
        <v>4868</v>
      </c>
      <c r="B1199" s="92" t="s">
        <v>1208</v>
      </c>
      <c r="C1199" s="92" t="s">
        <v>4869</v>
      </c>
      <c r="D1199" s="72" t="str">
        <f>IFERROR(VLOOKUP(A1199,'[1]ST-QA-ZZ5'!$C$5:$M$299,11,0),"Inspection at production line")</f>
        <v>Inspection at production line</v>
      </c>
      <c r="F1199" s="92" t="s">
        <v>4877</v>
      </c>
      <c r="G1199" s="92" t="s">
        <v>916</v>
      </c>
      <c r="H1199" s="92" t="s">
        <v>4878</v>
      </c>
      <c r="I1199" s="92" t="s">
        <v>4863</v>
      </c>
      <c r="J1199" s="92" t="s">
        <v>71</v>
      </c>
      <c r="K1199" s="92" t="s">
        <v>633</v>
      </c>
    </row>
    <row r="1200" spans="1:11" ht="13.8">
      <c r="A1200" s="47" t="s">
        <v>4871</v>
      </c>
      <c r="B1200" s="92" t="s">
        <v>3372</v>
      </c>
      <c r="C1200" s="92" t="s">
        <v>4872</v>
      </c>
      <c r="D1200" s="72" t="str">
        <f>IFERROR(VLOOKUP(A1200,'[1]ST-QA-ZZ5'!$C$5:$M$299,11,0),"Inspection at production line")</f>
        <v>Inspection at production line</v>
      </c>
      <c r="F1200" s="92" t="s">
        <v>4881</v>
      </c>
      <c r="G1200" s="92" t="s">
        <v>819</v>
      </c>
      <c r="H1200" s="92" t="s">
        <v>4882</v>
      </c>
      <c r="I1200" s="92" t="s">
        <v>4863</v>
      </c>
      <c r="J1200" s="92" t="s">
        <v>60</v>
      </c>
      <c r="K1200" s="92" t="s">
        <v>633</v>
      </c>
    </row>
    <row r="1201" spans="1:11" ht="13.8">
      <c r="A1201" s="47" t="s">
        <v>4875</v>
      </c>
      <c r="B1201" s="92" t="s">
        <v>1257</v>
      </c>
      <c r="C1201" s="92" t="s">
        <v>4876</v>
      </c>
      <c r="D1201" s="72" t="str">
        <f>IFERROR(VLOOKUP(A1201,'[1]ST-QA-ZZ5'!$C$5:$M$299,11,0),"Inspection at production line")</f>
        <v>Inspection at production line</v>
      </c>
      <c r="F1201" s="92" t="s">
        <v>4885</v>
      </c>
      <c r="G1201" s="92" t="s">
        <v>814</v>
      </c>
      <c r="H1201" s="92" t="s">
        <v>817</v>
      </c>
      <c r="I1201" s="92" t="s">
        <v>4863</v>
      </c>
      <c r="J1201" s="92" t="s">
        <v>60</v>
      </c>
      <c r="K1201" s="92" t="s">
        <v>633</v>
      </c>
    </row>
    <row r="1202" spans="1:11" ht="13.8">
      <c r="A1202" s="47" t="s">
        <v>4879</v>
      </c>
      <c r="B1202" s="92" t="s">
        <v>1257</v>
      </c>
      <c r="C1202" s="92" t="s">
        <v>4880</v>
      </c>
      <c r="D1202" s="72" t="str">
        <f>IFERROR(VLOOKUP(A1202,'[1]ST-QA-ZZ5'!$C$5:$M$299,11,0),"Inspection at production line")</f>
        <v>Inspection at production line</v>
      </c>
      <c r="F1202" s="92" t="s">
        <v>4888</v>
      </c>
      <c r="G1202" s="92" t="s">
        <v>90</v>
      </c>
      <c r="H1202" s="92" t="s">
        <v>817</v>
      </c>
      <c r="I1202" s="92" t="s">
        <v>4863</v>
      </c>
      <c r="J1202" s="92" t="s">
        <v>60</v>
      </c>
      <c r="K1202" s="92" t="s">
        <v>633</v>
      </c>
    </row>
    <row r="1203" spans="1:11" ht="13.8">
      <c r="A1203" s="47" t="s">
        <v>4883</v>
      </c>
      <c r="B1203" s="92" t="s">
        <v>857</v>
      </c>
      <c r="C1203" s="92" t="s">
        <v>4884</v>
      </c>
      <c r="D1203" s="72" t="str">
        <f>IFERROR(VLOOKUP(A1203,'[1]ST-QA-ZZ5'!$C$5:$M$299,11,0),"Inspection at production line")</f>
        <v>Inspection at production line</v>
      </c>
      <c r="F1203" s="92" t="s">
        <v>4891</v>
      </c>
      <c r="G1203" s="92" t="s">
        <v>916</v>
      </c>
      <c r="H1203" s="92" t="s">
        <v>917</v>
      </c>
      <c r="I1203" s="92" t="s">
        <v>4863</v>
      </c>
      <c r="J1203" s="92" t="s">
        <v>71</v>
      </c>
      <c r="K1203" s="92" t="s">
        <v>633</v>
      </c>
    </row>
    <row r="1204" spans="1:11" ht="13.8">
      <c r="A1204" s="47" t="s">
        <v>4886</v>
      </c>
      <c r="B1204" s="92" t="s">
        <v>857</v>
      </c>
      <c r="C1204" s="92" t="s">
        <v>4887</v>
      </c>
      <c r="D1204" s="72" t="str">
        <f>IFERROR(VLOOKUP(A1204,'[1]ST-QA-ZZ5'!$C$5:$M$299,11,0),"Inspection at production line")</f>
        <v>Inspection at production line</v>
      </c>
      <c r="F1204" s="92" t="s">
        <v>4894</v>
      </c>
      <c r="G1204" s="92" t="s">
        <v>90</v>
      </c>
      <c r="H1204" s="92" t="s">
        <v>4895</v>
      </c>
      <c r="I1204" s="92" t="s">
        <v>4863</v>
      </c>
      <c r="J1204" s="92" t="s">
        <v>60</v>
      </c>
      <c r="K1204" s="92" t="s">
        <v>633</v>
      </c>
    </row>
    <row r="1205" spans="1:11" ht="13.8">
      <c r="A1205" s="47" t="s">
        <v>4889</v>
      </c>
      <c r="B1205" s="92" t="s">
        <v>857</v>
      </c>
      <c r="C1205" s="92" t="s">
        <v>4890</v>
      </c>
      <c r="D1205" s="72" t="str">
        <f>IFERROR(VLOOKUP(A1205,'[1]ST-QA-ZZ5'!$C$5:$M$299,11,0),"Inspection at production line")</f>
        <v>Inspection at production line</v>
      </c>
      <c r="F1205" s="92" t="s">
        <v>4898</v>
      </c>
      <c r="G1205" s="92" t="s">
        <v>828</v>
      </c>
      <c r="H1205" s="92" t="s">
        <v>4899</v>
      </c>
      <c r="I1205" s="92" t="s">
        <v>4863</v>
      </c>
      <c r="J1205" s="92" t="s">
        <v>60</v>
      </c>
      <c r="K1205" s="92" t="s">
        <v>633</v>
      </c>
    </row>
    <row r="1206" spans="1:11" ht="13.8">
      <c r="A1206" s="47" t="s">
        <v>4892</v>
      </c>
      <c r="B1206" s="92" t="s">
        <v>4893</v>
      </c>
      <c r="C1206" s="92" t="s">
        <v>4893</v>
      </c>
      <c r="D1206" s="72" t="str">
        <f>IFERROR(VLOOKUP(A1206,'[1]ST-QA-ZZ5'!$C$5:$M$299,11,0),"Inspection at production line")</f>
        <v>Inspection at production line</v>
      </c>
      <c r="F1206" s="92" t="s">
        <v>4901</v>
      </c>
      <c r="G1206" s="92" t="s">
        <v>828</v>
      </c>
      <c r="H1206" s="92" t="s">
        <v>829</v>
      </c>
      <c r="I1206" s="92"/>
      <c r="J1206" s="92"/>
      <c r="K1206" s="92" t="s">
        <v>633</v>
      </c>
    </row>
    <row r="1207" spans="1:11" ht="13.8">
      <c r="A1207" s="47" t="s">
        <v>4896</v>
      </c>
      <c r="B1207" s="92" t="s">
        <v>4897</v>
      </c>
      <c r="C1207" s="92" t="s">
        <v>4897</v>
      </c>
      <c r="D1207" s="72" t="str">
        <f>IFERROR(VLOOKUP(A1207,'[1]ST-QA-ZZ5'!$C$5:$M$299,11,0),"Inspection at production line")</f>
        <v>Inspection at production line</v>
      </c>
      <c r="F1207" s="92" t="s">
        <v>4904</v>
      </c>
      <c r="G1207" s="92" t="s">
        <v>90</v>
      </c>
      <c r="H1207" s="92" t="s">
        <v>4905</v>
      </c>
      <c r="I1207" s="92" t="s">
        <v>4863</v>
      </c>
      <c r="J1207" s="92" t="s">
        <v>60</v>
      </c>
      <c r="K1207" s="92" t="s">
        <v>633</v>
      </c>
    </row>
    <row r="1208" spans="1:11" ht="13.8">
      <c r="A1208" s="47" t="s">
        <v>3477</v>
      </c>
      <c r="B1208" s="92" t="s">
        <v>843</v>
      </c>
      <c r="C1208" s="92" t="s">
        <v>4900</v>
      </c>
      <c r="D1208" s="72" t="str">
        <f>IFERROR(VLOOKUP(A1208,'[1]ST-QA-ZZ5'!$C$5:$M$299,11,0),"Inspection at production line")</f>
        <v>Inspection at production line</v>
      </c>
      <c r="F1208" s="92" t="s">
        <v>4906</v>
      </c>
      <c r="G1208" s="92" t="s">
        <v>90</v>
      </c>
      <c r="H1208" s="92" t="s">
        <v>4907</v>
      </c>
      <c r="I1208" s="92" t="s">
        <v>4863</v>
      </c>
      <c r="J1208" s="92" t="s">
        <v>60</v>
      </c>
      <c r="K1208" s="92" t="s">
        <v>633</v>
      </c>
    </row>
    <row r="1209" spans="1:11" ht="13.8">
      <c r="A1209" s="47" t="s">
        <v>3485</v>
      </c>
      <c r="B1209" s="92" t="s">
        <v>4902</v>
      </c>
      <c r="C1209" s="92" t="s">
        <v>4903</v>
      </c>
      <c r="D1209" s="72" t="str">
        <f>IFERROR(VLOOKUP(A1209,'[1]ST-QA-ZZ5'!$C$5:$M$299,11,0),"Inspection at production line")</f>
        <v>Inspection at production line</v>
      </c>
      <c r="F1209" s="92" t="s">
        <v>4908</v>
      </c>
      <c r="G1209" s="92" t="s">
        <v>90</v>
      </c>
      <c r="H1209" s="92" t="s">
        <v>4909</v>
      </c>
      <c r="I1209" s="92" t="s">
        <v>4863</v>
      </c>
      <c r="J1209" s="92" t="s">
        <v>60</v>
      </c>
      <c r="K1209" s="92" t="s">
        <v>633</v>
      </c>
    </row>
    <row r="1210" spans="1:11" ht="13.8">
      <c r="A1210" s="47" t="s">
        <v>3490</v>
      </c>
      <c r="B1210" s="92" t="s">
        <v>68</v>
      </c>
      <c r="C1210" s="92" t="s">
        <v>3491</v>
      </c>
      <c r="D1210" s="72" t="str">
        <f>IFERROR(VLOOKUP(A1210,'[1]ST-QA-ZZ5'!$C$5:$M$299,11,0),"Inspection at production line")</f>
        <v>Inspection at production line</v>
      </c>
      <c r="F1210" s="92" t="s">
        <v>4910</v>
      </c>
      <c r="G1210" s="92" t="s">
        <v>2336</v>
      </c>
      <c r="H1210" s="92" t="s">
        <v>2336</v>
      </c>
      <c r="I1210" s="92" t="s">
        <v>4863</v>
      </c>
      <c r="J1210" s="92" t="s">
        <v>60</v>
      </c>
      <c r="K1210" s="92" t="s">
        <v>633</v>
      </c>
    </row>
    <row r="1211" spans="1:11" ht="13.8">
      <c r="A1211" s="47" t="s">
        <v>3494</v>
      </c>
      <c r="B1211" s="92" t="s">
        <v>68</v>
      </c>
      <c r="C1211" s="92" t="s">
        <v>3495</v>
      </c>
      <c r="D1211" s="72" t="str">
        <f>IFERROR(VLOOKUP(A1211,'[1]ST-QA-ZZ5'!$C$5:$M$299,11,0),"Inspection at production line")</f>
        <v>Inspection at production line</v>
      </c>
      <c r="F1211" s="92" t="s">
        <v>4911</v>
      </c>
      <c r="G1211" s="92" t="s">
        <v>819</v>
      </c>
      <c r="H1211" s="92" t="s">
        <v>4912</v>
      </c>
      <c r="I1211" s="92" t="s">
        <v>4863</v>
      </c>
      <c r="J1211" s="92" t="s">
        <v>60</v>
      </c>
      <c r="K1211" s="92" t="s">
        <v>633</v>
      </c>
    </row>
    <row r="1212" spans="1:11" ht="13.8">
      <c r="A1212" s="47" t="s">
        <v>3498</v>
      </c>
      <c r="B1212" s="92" t="s">
        <v>828</v>
      </c>
      <c r="C1212" s="92" t="s">
        <v>829</v>
      </c>
      <c r="D1212" s="72" t="str">
        <f>IFERROR(VLOOKUP(A1212,'[1]ST-QA-ZZ5'!$C$5:$M$299,11,0),"Inspection at production line")</f>
        <v>Inspection at production line</v>
      </c>
      <c r="F1212" s="92" t="s">
        <v>4112</v>
      </c>
      <c r="G1212" s="92" t="s">
        <v>785</v>
      </c>
      <c r="H1212" s="92" t="s">
        <v>4113</v>
      </c>
      <c r="I1212" s="92" t="s">
        <v>4367</v>
      </c>
      <c r="J1212" s="92" t="s">
        <v>60</v>
      </c>
      <c r="K1212" s="92" t="s">
        <v>633</v>
      </c>
    </row>
    <row r="1213" spans="1:11" ht="13.8">
      <c r="A1213" s="47" t="s">
        <v>3501</v>
      </c>
      <c r="B1213" s="92" t="s">
        <v>90</v>
      </c>
      <c r="C1213" s="92" t="s">
        <v>3502</v>
      </c>
      <c r="D1213" s="72" t="str">
        <f>IFERROR(VLOOKUP(A1213,'[1]ST-QA-ZZ5'!$C$5:$M$299,11,0),"Inspection at production line")</f>
        <v>Inspection at production line</v>
      </c>
      <c r="F1213" s="93">
        <v>438</v>
      </c>
      <c r="G1213" s="92" t="s">
        <v>843</v>
      </c>
      <c r="H1213" s="92" t="s">
        <v>893</v>
      </c>
      <c r="I1213" s="92" t="s">
        <v>2710</v>
      </c>
      <c r="J1213" s="92" t="s">
        <v>60</v>
      </c>
      <c r="K1213" s="92" t="s">
        <v>633</v>
      </c>
    </row>
    <row r="1214" spans="1:11" ht="13.8">
      <c r="A1214" s="47" t="s">
        <v>3505</v>
      </c>
      <c r="B1214" s="92" t="s">
        <v>90</v>
      </c>
      <c r="C1214" s="92" t="s">
        <v>3506</v>
      </c>
      <c r="D1214" s="72" t="str">
        <f>IFERROR(VLOOKUP(A1214,'[1]ST-QA-ZZ5'!$C$5:$M$299,11,0),"Inspection at production line")</f>
        <v>Inspection at production line</v>
      </c>
      <c r="F1214" s="92" t="s">
        <v>3601</v>
      </c>
      <c r="G1214" s="92" t="s">
        <v>3602</v>
      </c>
      <c r="H1214" s="92" t="s">
        <v>4914</v>
      </c>
      <c r="I1214" s="92" t="s">
        <v>4915</v>
      </c>
      <c r="J1214" s="92" t="s">
        <v>60</v>
      </c>
      <c r="K1214" s="92" t="s">
        <v>633</v>
      </c>
    </row>
    <row r="1215" spans="1:11" ht="13.8">
      <c r="A1215" s="47" t="s">
        <v>4913</v>
      </c>
      <c r="B1215" s="92" t="s">
        <v>819</v>
      </c>
      <c r="C1215" s="92" t="s">
        <v>3510</v>
      </c>
      <c r="D1215" s="72" t="str">
        <f>IFERROR(VLOOKUP(A1215,'[1]ST-QA-ZZ5'!$C$5:$M$299,11,0),"Inspection at production line")</f>
        <v>Inspection at production line</v>
      </c>
      <c r="F1215" s="92" t="s">
        <v>3606</v>
      </c>
      <c r="G1215" s="92" t="s">
        <v>3602</v>
      </c>
      <c r="H1215" s="92" t="s">
        <v>4916</v>
      </c>
      <c r="I1215" s="92" t="s">
        <v>4915</v>
      </c>
      <c r="J1215" s="92" t="s">
        <v>60</v>
      </c>
      <c r="K1215" s="92" t="s">
        <v>633</v>
      </c>
    </row>
    <row r="1216" spans="1:11" ht="13.8">
      <c r="A1216" s="47" t="s">
        <v>3509</v>
      </c>
      <c r="B1216" s="92" t="s">
        <v>819</v>
      </c>
      <c r="C1216" s="92" t="s">
        <v>3510</v>
      </c>
      <c r="D1216" s="72" t="str">
        <f>IFERROR(VLOOKUP(A1216,'[1]ST-QA-ZZ5'!$C$5:$M$299,11,0),"Inspection at production line")</f>
        <v>Inspection at production line</v>
      </c>
      <c r="F1216" s="92" t="s">
        <v>3610</v>
      </c>
      <c r="G1216" s="92" t="s">
        <v>3602</v>
      </c>
      <c r="H1216" s="92" t="s">
        <v>4917</v>
      </c>
      <c r="I1216" s="92" t="s">
        <v>4915</v>
      </c>
      <c r="J1216" s="92" t="s">
        <v>60</v>
      </c>
      <c r="K1216" s="92" t="s">
        <v>633</v>
      </c>
    </row>
    <row r="1217" spans="1:11" ht="13.8">
      <c r="A1217" s="47" t="s">
        <v>3511</v>
      </c>
      <c r="B1217" s="92" t="s">
        <v>794</v>
      </c>
      <c r="C1217" s="92" t="s">
        <v>3512</v>
      </c>
      <c r="D1217" s="72" t="str">
        <f>IFERROR(VLOOKUP(A1217,'[1]ST-QA-ZZ5'!$C$5:$M$299,11,0),"Inspection at production line")</f>
        <v>Inspection at production line</v>
      </c>
      <c r="F1217" s="92" t="s">
        <v>3614</v>
      </c>
      <c r="G1217" s="92" t="s">
        <v>3602</v>
      </c>
      <c r="H1217" s="92" t="s">
        <v>4919</v>
      </c>
      <c r="I1217" s="92" t="s">
        <v>4915</v>
      </c>
      <c r="J1217" s="92" t="s">
        <v>60</v>
      </c>
      <c r="K1217" s="92" t="s">
        <v>633</v>
      </c>
    </row>
    <row r="1218" spans="1:11" ht="13.8">
      <c r="A1218" s="47" t="s">
        <v>3515</v>
      </c>
      <c r="B1218" s="92" t="s">
        <v>819</v>
      </c>
      <c r="C1218" s="92" t="s">
        <v>3516</v>
      </c>
      <c r="D1218" s="72" t="str">
        <f>IFERROR(VLOOKUP(A1218,'[1]ST-QA-ZZ5'!$C$5:$M$299,11,0),"Inspection at production line")</f>
        <v>Inspection at production line</v>
      </c>
      <c r="F1218" s="92" t="s">
        <v>3618</v>
      </c>
      <c r="G1218" s="92" t="s">
        <v>3602</v>
      </c>
      <c r="H1218" s="92" t="s">
        <v>4920</v>
      </c>
      <c r="I1218" s="92" t="s">
        <v>4915</v>
      </c>
      <c r="J1218" s="92" t="s">
        <v>60</v>
      </c>
      <c r="K1218" s="92" t="s">
        <v>633</v>
      </c>
    </row>
    <row r="1219" spans="1:11" ht="13.8">
      <c r="A1219" s="47" t="s">
        <v>4918</v>
      </c>
      <c r="B1219" s="92" t="s">
        <v>819</v>
      </c>
      <c r="C1219" s="92" t="s">
        <v>3516</v>
      </c>
      <c r="D1219" s="72" t="str">
        <f>IFERROR(VLOOKUP(A1219,'[1]ST-QA-ZZ5'!$C$5:$M$299,11,0),"Inspection at production line")</f>
        <v>Inspection at production line</v>
      </c>
      <c r="F1219" s="92" t="s">
        <v>3621</v>
      </c>
      <c r="G1219" s="92" t="s">
        <v>3602</v>
      </c>
      <c r="H1219" s="92" t="s">
        <v>4922</v>
      </c>
      <c r="I1219" s="92" t="s">
        <v>4915</v>
      </c>
      <c r="J1219" s="92" t="s">
        <v>60</v>
      </c>
      <c r="K1219" s="92" t="s">
        <v>633</v>
      </c>
    </row>
    <row r="1220" spans="1:11" ht="13.8">
      <c r="A1220" s="47" t="s">
        <v>3517</v>
      </c>
      <c r="B1220" s="92" t="s">
        <v>949</v>
      </c>
      <c r="C1220" s="92" t="s">
        <v>3516</v>
      </c>
      <c r="D1220" s="72" t="str">
        <f>IFERROR(VLOOKUP(A1220,'[1]ST-QA-ZZ5'!$C$5:$M$299,11,0),"Inspection at production line")</f>
        <v>Inspection at production line</v>
      </c>
      <c r="F1220" s="92" t="s">
        <v>3624</v>
      </c>
      <c r="G1220" s="92" t="s">
        <v>3602</v>
      </c>
      <c r="H1220" s="92" t="s">
        <v>4924</v>
      </c>
      <c r="I1220" s="92" t="s">
        <v>4915</v>
      </c>
      <c r="J1220" s="92" t="s">
        <v>60</v>
      </c>
      <c r="K1220" s="92" t="s">
        <v>633</v>
      </c>
    </row>
    <row r="1221" spans="1:11" ht="13.8">
      <c r="A1221" s="47" t="s">
        <v>4921</v>
      </c>
      <c r="B1221" s="92" t="s">
        <v>949</v>
      </c>
      <c r="C1221" s="92" t="s">
        <v>3516</v>
      </c>
      <c r="D1221" s="72" t="str">
        <f>IFERROR(VLOOKUP(A1221,'[1]ST-QA-ZZ5'!$C$5:$M$299,11,0),"Inspection at production line")</f>
        <v>Inspection at production line</v>
      </c>
      <c r="F1221" s="92" t="s">
        <v>3627</v>
      </c>
      <c r="G1221" s="92" t="s">
        <v>3602</v>
      </c>
      <c r="H1221" s="92" t="s">
        <v>4926</v>
      </c>
      <c r="I1221" s="92" t="s">
        <v>4915</v>
      </c>
      <c r="J1221" s="92" t="s">
        <v>60</v>
      </c>
      <c r="K1221" s="92" t="s">
        <v>633</v>
      </c>
    </row>
    <row r="1222" spans="1:11" ht="13.8">
      <c r="A1222" s="47" t="s">
        <v>3521</v>
      </c>
      <c r="B1222" s="92" t="s">
        <v>849</v>
      </c>
      <c r="C1222" s="92" t="s">
        <v>4923</v>
      </c>
      <c r="D1222" s="72" t="str">
        <f>IFERROR(VLOOKUP(A1222,'[1]ST-QA-ZZ5'!$C$5:$M$299,11,0),"Inspection at production line")</f>
        <v>Inspection at production line</v>
      </c>
      <c r="F1222" s="92" t="s">
        <v>4927</v>
      </c>
      <c r="G1222" s="92" t="s">
        <v>4928</v>
      </c>
      <c r="H1222" s="92" t="s">
        <v>4929</v>
      </c>
      <c r="I1222" s="92" t="s">
        <v>4367</v>
      </c>
      <c r="J1222" s="92" t="s">
        <v>60</v>
      </c>
      <c r="K1222" s="92" t="s">
        <v>633</v>
      </c>
    </row>
    <row r="1223" spans="1:11" ht="13.8">
      <c r="A1223" s="47" t="s">
        <v>3527</v>
      </c>
      <c r="B1223" s="92" t="s">
        <v>1833</v>
      </c>
      <c r="C1223" s="92" t="s">
        <v>4925</v>
      </c>
      <c r="D1223" s="72" t="str">
        <f>IFERROR(VLOOKUP(A1223,'[1]ST-QA-ZZ5'!$C$5:$M$299,11,0),"Inspection at production line")</f>
        <v>Inspection at production line</v>
      </c>
      <c r="F1223" s="92" t="s">
        <v>4931</v>
      </c>
      <c r="G1223" s="92" t="s">
        <v>4075</v>
      </c>
      <c r="H1223" s="92" t="s">
        <v>4932</v>
      </c>
      <c r="I1223" s="92" t="s">
        <v>59</v>
      </c>
      <c r="J1223" s="92" t="s">
        <v>60</v>
      </c>
      <c r="K1223" s="92" t="s">
        <v>633</v>
      </c>
    </row>
    <row r="1224" spans="1:11" ht="13.8">
      <c r="A1224" s="47" t="s">
        <v>3531</v>
      </c>
      <c r="B1224" s="92" t="s">
        <v>2024</v>
      </c>
      <c r="C1224" s="92" t="s">
        <v>3532</v>
      </c>
      <c r="D1224" s="72" t="str">
        <f>IFERROR(VLOOKUP(A1224,'[1]ST-QA-ZZ5'!$C$5:$M$299,11,0),"Inspection at production line")</f>
        <v>Inspection at production line</v>
      </c>
      <c r="F1224" s="92" t="s">
        <v>4933</v>
      </c>
      <c r="G1224" s="92" t="s">
        <v>4934</v>
      </c>
      <c r="H1224" s="92"/>
      <c r="I1224" s="92" t="s">
        <v>59</v>
      </c>
      <c r="J1224" s="92" t="s">
        <v>60</v>
      </c>
      <c r="K1224" s="92" t="s">
        <v>633</v>
      </c>
    </row>
    <row r="1225" spans="1:11" ht="13.8">
      <c r="A1225" s="47" t="s">
        <v>4930</v>
      </c>
      <c r="B1225" s="92" t="s">
        <v>2024</v>
      </c>
      <c r="C1225" s="92" t="s">
        <v>3532</v>
      </c>
      <c r="D1225" s="72" t="str">
        <f>IFERROR(VLOOKUP(A1225,'[1]ST-QA-ZZ5'!$C$5:$M$299,11,0),"Inspection at production line")</f>
        <v>Inspection at production line</v>
      </c>
      <c r="F1225" s="92" t="s">
        <v>4936</v>
      </c>
      <c r="G1225" s="92" t="s">
        <v>4937</v>
      </c>
      <c r="H1225" s="92"/>
      <c r="I1225" s="92" t="s">
        <v>59</v>
      </c>
      <c r="J1225" s="92" t="s">
        <v>60</v>
      </c>
      <c r="K1225" s="92" t="s">
        <v>633</v>
      </c>
    </row>
    <row r="1226" spans="1:11" ht="13.8">
      <c r="A1226" s="47" t="s">
        <v>3534</v>
      </c>
      <c r="B1226" s="92" t="s">
        <v>119</v>
      </c>
      <c r="C1226" s="92" t="s">
        <v>3535</v>
      </c>
      <c r="D1226" s="72" t="str">
        <f>IFERROR(VLOOKUP(A1226,'[1]ST-QA-ZZ5'!$C$5:$M$299,11,0),"Inspection at production line")</f>
        <v>Inspection at production line</v>
      </c>
      <c r="F1226" s="92" t="s">
        <v>4938</v>
      </c>
      <c r="G1226" s="92" t="s">
        <v>4939</v>
      </c>
      <c r="H1226" s="92"/>
      <c r="I1226" s="92" t="s">
        <v>59</v>
      </c>
      <c r="J1226" s="92" t="s">
        <v>60</v>
      </c>
      <c r="K1226" s="92" t="s">
        <v>633</v>
      </c>
    </row>
    <row r="1227" spans="1:11" ht="13.8">
      <c r="A1227" s="47" t="s">
        <v>4935</v>
      </c>
      <c r="B1227" s="92" t="s">
        <v>119</v>
      </c>
      <c r="C1227" s="92" t="s">
        <v>3535</v>
      </c>
      <c r="D1227" s="72" t="str">
        <f>IFERROR(VLOOKUP(A1227,'[1]ST-QA-ZZ5'!$C$5:$M$299,11,0),"Inspection at production line")</f>
        <v>Inspection at production line</v>
      </c>
      <c r="F1227" s="92" t="s">
        <v>4940</v>
      </c>
      <c r="G1227" s="92" t="s">
        <v>1177</v>
      </c>
      <c r="H1227" s="92" t="s">
        <v>4941</v>
      </c>
      <c r="I1227" s="92" t="s">
        <v>59</v>
      </c>
      <c r="J1227" s="92" t="s">
        <v>60</v>
      </c>
      <c r="K1227" s="92" t="s">
        <v>633</v>
      </c>
    </row>
    <row r="1228" spans="1:11" ht="13.8">
      <c r="A1228" s="47" t="s">
        <v>3538</v>
      </c>
      <c r="B1228" s="92" t="s">
        <v>3519</v>
      </c>
      <c r="C1228" s="92" t="s">
        <v>3539</v>
      </c>
      <c r="D1228" s="72" t="str">
        <f>IFERROR(VLOOKUP(A1228,'[1]ST-QA-ZZ5'!$C$5:$M$299,11,0),"Inspection at production line")</f>
        <v>Sampling check</v>
      </c>
      <c r="F1228" s="47" t="s">
        <v>4944</v>
      </c>
      <c r="G1228" s="92" t="s">
        <v>57</v>
      </c>
      <c r="H1228" s="92" t="s">
        <v>62</v>
      </c>
      <c r="I1228" s="92" t="s">
        <v>59</v>
      </c>
      <c r="J1228" s="92" t="s">
        <v>60</v>
      </c>
      <c r="K1228" s="92" t="s">
        <v>633</v>
      </c>
    </row>
    <row r="1229" spans="1:11" ht="13.8">
      <c r="A1229" s="47" t="s">
        <v>3540</v>
      </c>
      <c r="B1229" s="92" t="s">
        <v>2546</v>
      </c>
      <c r="C1229" s="92" t="s">
        <v>3541</v>
      </c>
      <c r="D1229" s="72" t="str">
        <f>IFERROR(VLOOKUP(A1229,'[1]ST-QA-ZZ5'!$C$5:$M$299,11,0),"Inspection at production line")</f>
        <v>Inspection at production line</v>
      </c>
      <c r="F1229" s="93">
        <v>402</v>
      </c>
      <c r="G1229" s="92" t="s">
        <v>83</v>
      </c>
      <c r="H1229" s="92" t="s">
        <v>4945</v>
      </c>
      <c r="I1229" s="92" t="s">
        <v>846</v>
      </c>
      <c r="J1229" s="92" t="s">
        <v>60</v>
      </c>
      <c r="K1229" s="92" t="s">
        <v>633</v>
      </c>
    </row>
    <row r="1230" spans="1:11" ht="13.8">
      <c r="A1230" s="47" t="s">
        <v>4942</v>
      </c>
      <c r="B1230" s="92" t="s">
        <v>3543</v>
      </c>
      <c r="C1230" s="92" t="s">
        <v>4943</v>
      </c>
      <c r="D1230" s="72" t="str">
        <f>IFERROR(VLOOKUP(A1230,'[1]ST-QA-ZZ5'!$C$5:$M$299,11,0),"Inspection at production line")</f>
        <v>Inspection at production line</v>
      </c>
      <c r="F1230" s="93">
        <v>824</v>
      </c>
      <c r="G1230" s="92" t="s">
        <v>1472</v>
      </c>
      <c r="H1230" s="92" t="s">
        <v>1504</v>
      </c>
      <c r="I1230" s="92" t="s">
        <v>846</v>
      </c>
      <c r="J1230" s="92" t="s">
        <v>60</v>
      </c>
      <c r="K1230" s="92" t="s">
        <v>633</v>
      </c>
    </row>
    <row r="1231" spans="1:11" ht="13.8">
      <c r="A1231" s="47" t="s">
        <v>3542</v>
      </c>
      <c r="B1231" s="92" t="s">
        <v>3543</v>
      </c>
      <c r="C1231" s="92" t="s">
        <v>3544</v>
      </c>
      <c r="D1231" s="72" t="str">
        <f>IFERROR(VLOOKUP(A1231,'[1]ST-QA-ZZ5'!$C$5:$M$299,11,0),"Inspection at production line")</f>
        <v>Inspection at production line</v>
      </c>
      <c r="F1231" s="92" t="s">
        <v>4948</v>
      </c>
      <c r="G1231" s="92" t="s">
        <v>4949</v>
      </c>
      <c r="H1231" s="92" t="s">
        <v>4950</v>
      </c>
      <c r="I1231" s="92" t="s">
        <v>4951</v>
      </c>
      <c r="J1231" s="92" t="s">
        <v>60</v>
      </c>
      <c r="K1231" s="92" t="s">
        <v>633</v>
      </c>
    </row>
    <row r="1232" spans="1:11" ht="13.8">
      <c r="A1232" s="47" t="s">
        <v>4946</v>
      </c>
      <c r="B1232" s="92" t="s">
        <v>57</v>
      </c>
      <c r="C1232" s="92" t="s">
        <v>4947</v>
      </c>
      <c r="D1232" s="72" t="str">
        <f>IFERROR(VLOOKUP(A1232,'[1]ST-QA-ZZ5'!$C$5:$M$299,11,0),"Inspection at production line")</f>
        <v>Inspection at production line</v>
      </c>
      <c r="F1232" s="47" t="s">
        <v>4952</v>
      </c>
      <c r="G1232" s="92" t="s">
        <v>57</v>
      </c>
      <c r="H1232" s="92" t="s">
        <v>58</v>
      </c>
      <c r="I1232" s="92" t="s">
        <v>59</v>
      </c>
      <c r="J1232" s="92" t="s">
        <v>60</v>
      </c>
      <c r="K1232" s="92" t="s">
        <v>633</v>
      </c>
    </row>
    <row r="1233" spans="1:11" ht="13.8">
      <c r="A1233" s="47" t="s">
        <v>3545</v>
      </c>
      <c r="B1233" s="92" t="s">
        <v>797</v>
      </c>
      <c r="C1233" s="92" t="s">
        <v>3546</v>
      </c>
      <c r="D1233" s="72" t="str">
        <f>IFERROR(VLOOKUP(A1233,'[1]ST-QA-ZZ5'!$C$5:$M$299,11,0),"Inspection at production line")</f>
        <v>Inspection at production line</v>
      </c>
      <c r="F1233" s="92" t="s">
        <v>4953</v>
      </c>
      <c r="G1233" s="92" t="s">
        <v>905</v>
      </c>
      <c r="H1233" s="92" t="s">
        <v>4954</v>
      </c>
      <c r="I1233" s="92" t="s">
        <v>799</v>
      </c>
      <c r="J1233" s="92" t="s">
        <v>60</v>
      </c>
      <c r="K1233" s="92" t="s">
        <v>633</v>
      </c>
    </row>
    <row r="1234" spans="1:11" ht="13.8">
      <c r="A1234" s="47" t="s">
        <v>3549</v>
      </c>
      <c r="B1234" s="92" t="s">
        <v>3412</v>
      </c>
      <c r="C1234" s="92" t="s">
        <v>3550</v>
      </c>
      <c r="D1234" s="72" t="str">
        <f>IFERROR(VLOOKUP(A1234,'[1]ST-QA-ZZ5'!$C$5:$M$299,11,0),"Inspection at production line")</f>
        <v>Inspection at production line</v>
      </c>
      <c r="F1234" s="92" t="s">
        <v>4955</v>
      </c>
      <c r="G1234" s="92" t="s">
        <v>4956</v>
      </c>
      <c r="H1234" s="92" t="s">
        <v>4957</v>
      </c>
      <c r="I1234" s="92" t="s">
        <v>59</v>
      </c>
      <c r="J1234" s="92" t="s">
        <v>60</v>
      </c>
      <c r="K1234" s="92" t="s">
        <v>633</v>
      </c>
    </row>
    <row r="1235" spans="1:11" ht="13.8">
      <c r="A1235" s="47" t="s">
        <v>3553</v>
      </c>
      <c r="B1235" s="92" t="s">
        <v>949</v>
      </c>
      <c r="C1235" s="92" t="s">
        <v>3554</v>
      </c>
      <c r="D1235" s="72" t="str">
        <f>IFERROR(VLOOKUP(A1235,'[1]ST-QA-ZZ5'!$C$5:$M$299,11,0),"Inspection at production line")</f>
        <v>Inspection at production line</v>
      </c>
      <c r="F1235" s="92" t="s">
        <v>4959</v>
      </c>
      <c r="G1235" s="92" t="s">
        <v>104</v>
      </c>
      <c r="H1235" s="92" t="s">
        <v>4960</v>
      </c>
      <c r="I1235" s="92" t="s">
        <v>59</v>
      </c>
      <c r="J1235" s="92" t="s">
        <v>60</v>
      </c>
      <c r="K1235" s="92" t="s">
        <v>633</v>
      </c>
    </row>
    <row r="1236" spans="1:11" ht="13.8">
      <c r="A1236" s="47" t="s">
        <v>3555</v>
      </c>
      <c r="B1236" s="92" t="s">
        <v>949</v>
      </c>
      <c r="C1236" s="92" t="s">
        <v>3556</v>
      </c>
      <c r="D1236" s="72" t="str">
        <f>IFERROR(VLOOKUP(A1236,'[1]ST-QA-ZZ5'!$C$5:$M$299,11,0),"Inspection at production line")</f>
        <v>Inspection at production line</v>
      </c>
      <c r="F1236" s="92" t="s">
        <v>4961</v>
      </c>
      <c r="G1236" s="92" t="s">
        <v>905</v>
      </c>
      <c r="H1236" s="92" t="s">
        <v>4954</v>
      </c>
      <c r="I1236" s="92" t="s">
        <v>799</v>
      </c>
      <c r="J1236" s="92" t="s">
        <v>60</v>
      </c>
      <c r="K1236" s="92" t="s">
        <v>633</v>
      </c>
    </row>
    <row r="1237" spans="1:11" ht="13.8">
      <c r="A1237" s="47" t="s">
        <v>4958</v>
      </c>
      <c r="B1237" s="92" t="s">
        <v>949</v>
      </c>
      <c r="C1237" s="92" t="s">
        <v>3556</v>
      </c>
      <c r="D1237" s="72" t="str">
        <f>IFERROR(VLOOKUP(A1237,'[1]ST-QA-ZZ5'!$C$5:$M$299,11,0),"Inspection at production line")</f>
        <v>Inspection at production line</v>
      </c>
      <c r="F1237" s="92" t="s">
        <v>4963</v>
      </c>
      <c r="G1237" s="92" t="s">
        <v>4964</v>
      </c>
      <c r="H1237" s="92" t="s">
        <v>4965</v>
      </c>
      <c r="I1237" s="92" t="s">
        <v>799</v>
      </c>
      <c r="J1237" s="92" t="s">
        <v>60</v>
      </c>
      <c r="K1237" s="92" t="s">
        <v>633</v>
      </c>
    </row>
    <row r="1238" spans="1:11" ht="13.8">
      <c r="A1238" s="47" t="s">
        <v>3557</v>
      </c>
      <c r="B1238" s="92" t="s">
        <v>555</v>
      </c>
      <c r="C1238" s="92" t="s">
        <v>3558</v>
      </c>
      <c r="D1238" s="72" t="str">
        <f>IFERROR(VLOOKUP(A1238,'[1]ST-QA-ZZ5'!$C$5:$M$299,11,0),"Inspection at production line")</f>
        <v>Inspection at production line</v>
      </c>
      <c r="F1238" s="92">
        <v>815</v>
      </c>
      <c r="G1238" s="92" t="s">
        <v>279</v>
      </c>
      <c r="H1238" s="92" t="s">
        <v>4968</v>
      </c>
      <c r="I1238" s="92" t="s">
        <v>2710</v>
      </c>
      <c r="J1238" s="92" t="s">
        <v>60</v>
      </c>
      <c r="K1238" s="92" t="s">
        <v>633</v>
      </c>
    </row>
    <row r="1239" spans="1:11" ht="13.8">
      <c r="A1239" s="47" t="s">
        <v>4962</v>
      </c>
      <c r="B1239" s="92" t="s">
        <v>555</v>
      </c>
      <c r="C1239" s="92" t="s">
        <v>3558</v>
      </c>
      <c r="D1239" s="72" t="str">
        <f>IFERROR(VLOOKUP(A1239,'[1]ST-QA-ZZ5'!$C$5:$M$299,11,0),"Inspection at production line")</f>
        <v>Inspection at production line</v>
      </c>
      <c r="F1239" s="92" t="s">
        <v>4970</v>
      </c>
      <c r="G1239" s="92" t="s">
        <v>905</v>
      </c>
      <c r="H1239" s="92" t="s">
        <v>4971</v>
      </c>
      <c r="I1239" s="92" t="s">
        <v>4972</v>
      </c>
      <c r="J1239" s="92" t="s">
        <v>60</v>
      </c>
      <c r="K1239" s="92" t="s">
        <v>4973</v>
      </c>
    </row>
    <row r="1240" spans="1:11" ht="13.8">
      <c r="A1240" s="47" t="s">
        <v>4966</v>
      </c>
      <c r="B1240" s="92" t="s">
        <v>3597</v>
      </c>
      <c r="C1240" s="92" t="s">
        <v>4967</v>
      </c>
      <c r="D1240" s="72" t="str">
        <f>IFERROR(VLOOKUP(A1240,'[1]ST-QA-ZZ5'!$C$5:$M$299,11,0),"Inspection at production line")</f>
        <v>Inspection at production line</v>
      </c>
      <c r="F1240" s="92" t="s">
        <v>4974</v>
      </c>
      <c r="G1240" s="92" t="s">
        <v>1943</v>
      </c>
      <c r="H1240" s="92" t="s">
        <v>4975</v>
      </c>
      <c r="I1240" s="92" t="s">
        <v>98</v>
      </c>
      <c r="J1240" s="92" t="s">
        <v>60</v>
      </c>
      <c r="K1240" s="92" t="s">
        <v>684</v>
      </c>
    </row>
    <row r="1241" spans="1:11" ht="13.8">
      <c r="A1241" s="47" t="s">
        <v>4969</v>
      </c>
      <c r="B1241" s="92" t="s">
        <v>183</v>
      </c>
      <c r="C1241" s="92" t="s">
        <v>4093</v>
      </c>
      <c r="D1241" s="72" t="str">
        <f>IFERROR(VLOOKUP(A1241,'[1]ST-QA-ZZ5'!$C$5:$M$299,11,0),"Inspection at production line")</f>
        <v>Inspection at production line</v>
      </c>
      <c r="F1241" s="92" t="s">
        <v>4974</v>
      </c>
      <c r="G1241" s="99" t="s">
        <v>1943</v>
      </c>
      <c r="H1241" s="92" t="s">
        <v>4975</v>
      </c>
      <c r="I1241" s="92" t="s">
        <v>98</v>
      </c>
      <c r="J1241" s="92" t="s">
        <v>60</v>
      </c>
      <c r="K1241" s="92" t="s">
        <v>684</v>
      </c>
    </row>
    <row r="1242" spans="1:11" ht="13.8">
      <c r="A1242" s="47" t="s">
        <v>3559</v>
      </c>
      <c r="B1242" s="92" t="s">
        <v>3454</v>
      </c>
      <c r="C1242" s="92" t="s">
        <v>3560</v>
      </c>
      <c r="D1242" s="72" t="str">
        <f>IFERROR(VLOOKUP(A1242,'[1]ST-QA-ZZ5'!$C$5:$M$299,11,0),"Inspection at production line")</f>
        <v>Inspection at production line</v>
      </c>
      <c r="F1242" s="92" t="s">
        <v>4980</v>
      </c>
      <c r="G1242" s="92" t="s">
        <v>4981</v>
      </c>
      <c r="H1242" s="92" t="s">
        <v>4982</v>
      </c>
      <c r="I1242" s="92" t="s">
        <v>312</v>
      </c>
      <c r="J1242" s="92" t="s">
        <v>60</v>
      </c>
      <c r="K1242" s="92" t="s">
        <v>684</v>
      </c>
    </row>
    <row r="1243" spans="1:11" ht="13.8">
      <c r="A1243" s="47" t="s">
        <v>4976</v>
      </c>
      <c r="B1243" s="92" t="s">
        <v>3543</v>
      </c>
      <c r="C1243" s="92" t="s">
        <v>4977</v>
      </c>
      <c r="D1243" s="72" t="str">
        <f>IFERROR(VLOOKUP(A1243,'[1]ST-QA-ZZ5'!$C$5:$M$299,11,0),"Inspection at production line")</f>
        <v>Sampling check</v>
      </c>
      <c r="F1243" s="92" t="s">
        <v>4985</v>
      </c>
      <c r="G1243" s="92" t="s">
        <v>4981</v>
      </c>
      <c r="H1243" s="92" t="s">
        <v>4986</v>
      </c>
      <c r="I1243" s="92" t="s">
        <v>98</v>
      </c>
      <c r="J1243" s="92" t="s">
        <v>60</v>
      </c>
      <c r="K1243" s="92" t="s">
        <v>4987</v>
      </c>
    </row>
    <row r="1244" spans="1:11" ht="13.8">
      <c r="A1244" s="47" t="s">
        <v>4978</v>
      </c>
      <c r="B1244" s="92" t="s">
        <v>3488</v>
      </c>
      <c r="C1244" s="92" t="s">
        <v>4979</v>
      </c>
      <c r="D1244" s="72" t="str">
        <f>IFERROR(VLOOKUP(A1244,'[1]ST-QA-ZZ5'!$C$5:$M$299,11,0),"Inspection at production line")</f>
        <v>Inspection at production line</v>
      </c>
      <c r="F1244" s="92" t="s">
        <v>4989</v>
      </c>
      <c r="G1244" s="92" t="s">
        <v>1943</v>
      </c>
      <c r="H1244" s="92" t="s">
        <v>305</v>
      </c>
      <c r="I1244" s="92" t="s">
        <v>312</v>
      </c>
      <c r="J1244" s="92" t="s">
        <v>60</v>
      </c>
      <c r="K1244" s="92" t="s">
        <v>4987</v>
      </c>
    </row>
    <row r="1245" spans="1:11" ht="13.8">
      <c r="A1245" s="47" t="s">
        <v>4983</v>
      </c>
      <c r="B1245" s="92" t="s">
        <v>1904</v>
      </c>
      <c r="C1245" s="92" t="s">
        <v>4984</v>
      </c>
      <c r="D1245" s="72" t="str">
        <f>IFERROR(VLOOKUP(A1245,'[1]ST-QA-ZZ5'!$C$5:$M$299,11,0),"Inspection at production line")</f>
        <v>Inspection at production line</v>
      </c>
      <c r="F1245" s="92" t="s">
        <v>4990</v>
      </c>
      <c r="G1245" s="92" t="s">
        <v>4949</v>
      </c>
      <c r="H1245" s="92" t="s">
        <v>4991</v>
      </c>
      <c r="I1245" s="92" t="s">
        <v>799</v>
      </c>
      <c r="J1245" s="92" t="s">
        <v>60</v>
      </c>
      <c r="K1245" s="92" t="s">
        <v>788</v>
      </c>
    </row>
    <row r="1246" spans="1:11" ht="13.8">
      <c r="A1246" s="47" t="s">
        <v>4988</v>
      </c>
      <c r="B1246" s="92" t="s">
        <v>3543</v>
      </c>
      <c r="C1246" s="92" t="s">
        <v>4979</v>
      </c>
      <c r="D1246" s="72" t="str">
        <f>IFERROR(VLOOKUP(A1246,'[1]ST-QA-ZZ5'!$C$5:$M$299,11,0),"Inspection at production line")</f>
        <v>Inspection at production line</v>
      </c>
      <c r="F1246" s="92" t="s">
        <v>4993</v>
      </c>
      <c r="G1246" s="92" t="s">
        <v>994</v>
      </c>
      <c r="H1246" s="92" t="s">
        <v>4994</v>
      </c>
      <c r="I1246" s="92" t="s">
        <v>980</v>
      </c>
      <c r="J1246" s="92" t="s">
        <v>60</v>
      </c>
      <c r="K1246" s="92" t="s">
        <v>681</v>
      </c>
    </row>
    <row r="1247" spans="1:11" ht="13.8">
      <c r="A1247" s="47" t="s">
        <v>3563</v>
      </c>
      <c r="B1247" s="92" t="s">
        <v>3564</v>
      </c>
      <c r="C1247" s="92" t="s">
        <v>3565</v>
      </c>
      <c r="D1247" s="72" t="str">
        <f>IFERROR(VLOOKUP(A1247,'[1]ST-QA-ZZ5'!$C$5:$M$299,11,0),"Inspection at production line")</f>
        <v>Inspection at production line</v>
      </c>
      <c r="F1247" s="92" t="s">
        <v>4995</v>
      </c>
      <c r="G1247" s="92" t="s">
        <v>4996</v>
      </c>
      <c r="H1247" s="92" t="s">
        <v>4997</v>
      </c>
      <c r="I1247" s="92" t="s">
        <v>2654</v>
      </c>
      <c r="J1247" s="92" t="s">
        <v>60</v>
      </c>
      <c r="K1247" s="92" t="s">
        <v>2655</v>
      </c>
    </row>
    <row r="1248" spans="1:11" ht="13.8">
      <c r="A1248" s="47" t="s">
        <v>4992</v>
      </c>
      <c r="B1248" s="92" t="s">
        <v>3564</v>
      </c>
      <c r="C1248" s="92" t="s">
        <v>3565</v>
      </c>
      <c r="D1248" s="72" t="str">
        <f>IFERROR(VLOOKUP(A1248,'[1]ST-QA-ZZ5'!$C$5:$M$299,11,0),"Inspection at production line")</f>
        <v>Inspection at production line</v>
      </c>
      <c r="F1248" s="92" t="s">
        <v>5000</v>
      </c>
      <c r="G1248" s="92" t="s">
        <v>2137</v>
      </c>
      <c r="H1248" s="92" t="s">
        <v>5001</v>
      </c>
      <c r="I1248" s="92" t="s">
        <v>2654</v>
      </c>
      <c r="J1248" s="92" t="s">
        <v>60</v>
      </c>
      <c r="K1248" s="92" t="s">
        <v>2655</v>
      </c>
    </row>
    <row r="1249" spans="1:11" ht="13.8">
      <c r="A1249" s="47" t="s">
        <v>3569</v>
      </c>
      <c r="B1249" s="92" t="s">
        <v>57</v>
      </c>
      <c r="C1249" s="92" t="s">
        <v>3570</v>
      </c>
      <c r="D1249" s="72" t="str">
        <f>IFERROR(VLOOKUP(A1249,'[1]ST-QA-ZZ5'!$C$5:$M$299,11,0),"Inspection at production line")</f>
        <v>Inspection at production line</v>
      </c>
      <c r="F1249" s="92" t="s">
        <v>5002</v>
      </c>
      <c r="G1249" s="92" t="s">
        <v>1177</v>
      </c>
      <c r="H1249" s="92" t="s">
        <v>5003</v>
      </c>
      <c r="I1249" s="92" t="s">
        <v>799</v>
      </c>
      <c r="J1249" s="92" t="s">
        <v>60</v>
      </c>
      <c r="K1249" s="92" t="s">
        <v>788</v>
      </c>
    </row>
    <row r="1250" spans="1:11" ht="13.8">
      <c r="A1250" s="47" t="s">
        <v>4998</v>
      </c>
      <c r="B1250" s="92" t="s">
        <v>3612</v>
      </c>
      <c r="C1250" s="92" t="s">
        <v>4999</v>
      </c>
      <c r="D1250" s="72" t="str">
        <f>IFERROR(VLOOKUP(A1250,'[1]ST-QA-ZZ5'!$C$5:$M$299,11,0),"Inspection at production line")</f>
        <v>Inspection at production line</v>
      </c>
      <c r="F1250" s="92" t="s">
        <v>5005</v>
      </c>
      <c r="G1250" s="92" t="s">
        <v>5006</v>
      </c>
      <c r="H1250" s="92" t="s">
        <v>5007</v>
      </c>
      <c r="I1250" s="92" t="s">
        <v>799</v>
      </c>
      <c r="J1250" s="92" t="s">
        <v>60</v>
      </c>
      <c r="K1250" s="92" t="s">
        <v>788</v>
      </c>
    </row>
    <row r="1251" spans="1:11" ht="13.8">
      <c r="A1251" s="47" t="s">
        <v>3573</v>
      </c>
      <c r="B1251" s="92" t="s">
        <v>57</v>
      </c>
      <c r="C1251" s="92" t="s">
        <v>3570</v>
      </c>
      <c r="D1251" s="72" t="str">
        <f>IFERROR(VLOOKUP(A1251,'[1]ST-QA-ZZ5'!$C$5:$M$299,11,0),"Inspection at production line")</f>
        <v>Sampling check</v>
      </c>
      <c r="F1251" s="92" t="s">
        <v>5008</v>
      </c>
      <c r="G1251" s="92" t="s">
        <v>355</v>
      </c>
      <c r="H1251" s="92" t="s">
        <v>5009</v>
      </c>
      <c r="I1251" s="92" t="s">
        <v>346</v>
      </c>
      <c r="J1251" s="92" t="s">
        <v>60</v>
      </c>
      <c r="K1251" s="92" t="s">
        <v>681</v>
      </c>
    </row>
    <row r="1252" spans="1:11" ht="13.8">
      <c r="A1252" s="47" t="s">
        <v>5004</v>
      </c>
      <c r="B1252" s="92" t="s">
        <v>119</v>
      </c>
      <c r="C1252" s="92" t="s">
        <v>3578</v>
      </c>
      <c r="D1252" s="72" t="str">
        <f>IFERROR(VLOOKUP(A1252,'[1]ST-QA-ZZ5'!$C$5:$M$299,11,0),"Inspection at production line")</f>
        <v>Inspection at production line</v>
      </c>
      <c r="F1252" s="98" t="s">
        <v>332</v>
      </c>
      <c r="G1252" s="92" t="s">
        <v>174</v>
      </c>
      <c r="H1252" s="92" t="s">
        <v>333</v>
      </c>
      <c r="I1252" s="92" t="s">
        <v>98</v>
      </c>
      <c r="J1252" s="92" t="s">
        <v>60</v>
      </c>
      <c r="K1252" s="92" t="s">
        <v>685</v>
      </c>
    </row>
    <row r="1253" spans="1:11" ht="13.8">
      <c r="A1253" s="47" t="s">
        <v>3577</v>
      </c>
      <c r="B1253" s="92" t="s">
        <v>119</v>
      </c>
      <c r="C1253" s="92" t="s">
        <v>3578</v>
      </c>
      <c r="D1253" s="72" t="str">
        <f>IFERROR(VLOOKUP(A1253,'[1]ST-QA-ZZ5'!$C$5:$M$299,11,0),"Inspection at production line")</f>
        <v>Inspection at production line</v>
      </c>
      <c r="F1253" s="98" t="s">
        <v>178</v>
      </c>
      <c r="G1253" s="92" t="s">
        <v>174</v>
      </c>
      <c r="H1253" s="92" t="s">
        <v>179</v>
      </c>
      <c r="I1253" s="92" t="s">
        <v>98</v>
      </c>
      <c r="J1253" s="92" t="s">
        <v>60</v>
      </c>
      <c r="K1253" s="92" t="s">
        <v>685</v>
      </c>
    </row>
    <row r="1254" spans="1:11" ht="13.8">
      <c r="A1254" s="47" t="s">
        <v>3582</v>
      </c>
      <c r="B1254" s="92" t="s">
        <v>2546</v>
      </c>
      <c r="C1254" s="92" t="s">
        <v>3583</v>
      </c>
      <c r="D1254" s="72" t="str">
        <f>IFERROR(VLOOKUP(A1254,'[1]ST-QA-ZZ5'!$C$5:$M$299,11,0),"Inspection at production line")</f>
        <v>Inspection at production line</v>
      </c>
      <c r="F1254" s="98" t="s">
        <v>5012</v>
      </c>
      <c r="G1254" s="92" t="s">
        <v>2024</v>
      </c>
      <c r="H1254" s="92" t="s">
        <v>5013</v>
      </c>
      <c r="I1254" s="92" t="s">
        <v>98</v>
      </c>
      <c r="J1254" s="92" t="s">
        <v>60</v>
      </c>
      <c r="K1254" s="92" t="s">
        <v>685</v>
      </c>
    </row>
    <row r="1255" spans="1:11" ht="13.8">
      <c r="A1255" s="47" t="s">
        <v>5010</v>
      </c>
      <c r="B1255" s="92" t="s">
        <v>3530</v>
      </c>
      <c r="C1255" s="92" t="s">
        <v>5011</v>
      </c>
      <c r="D1255" s="72" t="str">
        <f>IFERROR(VLOOKUP(A1255,'[1]ST-QA-ZZ5'!$C$5:$M$299,11,0),"Inspection at production line")</f>
        <v>Inspection at production line</v>
      </c>
      <c r="F1255" s="98" t="s">
        <v>5014</v>
      </c>
      <c r="G1255" s="92" t="s">
        <v>2024</v>
      </c>
      <c r="H1255" s="92" t="s">
        <v>5015</v>
      </c>
      <c r="I1255" s="92" t="s">
        <v>98</v>
      </c>
      <c r="J1255" s="92" t="s">
        <v>60</v>
      </c>
      <c r="K1255" s="92" t="s">
        <v>685</v>
      </c>
    </row>
    <row r="1256" spans="1:11" ht="13.8">
      <c r="A1256" s="47" t="s">
        <v>3586</v>
      </c>
      <c r="B1256" s="92" t="s">
        <v>949</v>
      </c>
      <c r="C1256" s="92" t="s">
        <v>3587</v>
      </c>
      <c r="D1256" s="72" t="str">
        <f>IFERROR(VLOOKUP(A1256,'[1]ST-QA-ZZ5'!$C$5:$M$299,11,0),"Inspection at production line")</f>
        <v>Inspection at production line</v>
      </c>
      <c r="F1256" s="98" t="s">
        <v>5016</v>
      </c>
      <c r="G1256" s="92" t="s">
        <v>2024</v>
      </c>
      <c r="H1256" s="92" t="s">
        <v>5017</v>
      </c>
      <c r="I1256" s="92" t="s">
        <v>98</v>
      </c>
      <c r="J1256" s="92" t="s">
        <v>60</v>
      </c>
      <c r="K1256" s="92" t="s">
        <v>685</v>
      </c>
    </row>
    <row r="1257" spans="1:11" ht="13.8">
      <c r="A1257" s="47" t="s">
        <v>3590</v>
      </c>
      <c r="B1257" s="92" t="s">
        <v>905</v>
      </c>
      <c r="C1257" s="92" t="s">
        <v>3591</v>
      </c>
      <c r="D1257" s="72" t="str">
        <f>IFERROR(VLOOKUP(A1257,'[1]ST-QA-ZZ5'!$C$5:$M$299,11,0),"Inspection at production line")</f>
        <v>Inspection at production line</v>
      </c>
      <c r="F1257" s="98" t="s">
        <v>5018</v>
      </c>
      <c r="G1257" s="92" t="s">
        <v>2041</v>
      </c>
      <c r="H1257" s="92" t="s">
        <v>5019</v>
      </c>
      <c r="I1257" s="92" t="s">
        <v>98</v>
      </c>
      <c r="J1257" s="92" t="s">
        <v>60</v>
      </c>
      <c r="K1257" s="92" t="s">
        <v>685</v>
      </c>
    </row>
    <row r="1258" spans="1:11" ht="13.8">
      <c r="A1258" s="47" t="s">
        <v>3594</v>
      </c>
      <c r="B1258" s="92" t="s">
        <v>3468</v>
      </c>
      <c r="C1258" s="92" t="s">
        <v>3595</v>
      </c>
      <c r="D1258" s="72" t="str">
        <f>IFERROR(VLOOKUP(A1258,'[1]ST-QA-ZZ5'!$C$5:$M$299,11,0),"Inspection at production line")</f>
        <v>Inspection at production line</v>
      </c>
      <c r="F1258" s="92" t="s">
        <v>5020</v>
      </c>
      <c r="G1258" s="92" t="s">
        <v>946</v>
      </c>
      <c r="H1258" s="92" t="s">
        <v>5021</v>
      </c>
      <c r="I1258" s="92" t="s">
        <v>799</v>
      </c>
      <c r="J1258" s="92" t="s">
        <v>60</v>
      </c>
      <c r="K1258" s="92" t="s">
        <v>788</v>
      </c>
    </row>
    <row r="1259" spans="1:11" ht="13.8">
      <c r="A1259" s="47" t="s">
        <v>3599</v>
      </c>
      <c r="B1259" s="92" t="s">
        <v>3473</v>
      </c>
      <c r="C1259" s="92" t="s">
        <v>3600</v>
      </c>
      <c r="D1259" s="72" t="str">
        <f>IFERROR(VLOOKUP(A1259,'[1]ST-QA-ZZ5'!$C$5:$M$299,11,0),"Inspection at production line")</f>
        <v>Inspection at production line</v>
      </c>
      <c r="F1259" s="47" t="s">
        <v>5022</v>
      </c>
      <c r="G1259" s="92" t="s">
        <v>704</v>
      </c>
      <c r="H1259" s="92" t="s">
        <v>5023</v>
      </c>
      <c r="I1259" s="92" t="s">
        <v>5024</v>
      </c>
      <c r="J1259" s="92" t="s">
        <v>60</v>
      </c>
      <c r="K1259" s="92" t="s">
        <v>686</v>
      </c>
    </row>
    <row r="1260" spans="1:11" ht="13.8">
      <c r="A1260" s="47" t="s">
        <v>3604</v>
      </c>
      <c r="B1260" s="92" t="s">
        <v>3602</v>
      </c>
      <c r="C1260" s="92" t="s">
        <v>3605</v>
      </c>
      <c r="D1260" s="72" t="str">
        <f>IFERROR(VLOOKUP(A1260,'[1]ST-QA-ZZ5'!$C$5:$M$299,11,0),"Inspection at production line")</f>
        <v>Inspection at production line</v>
      </c>
      <c r="F1260" s="47" t="s">
        <v>5025</v>
      </c>
      <c r="G1260" s="92" t="s">
        <v>704</v>
      </c>
      <c r="H1260" s="92" t="s">
        <v>5026</v>
      </c>
      <c r="I1260" s="92" t="s">
        <v>5027</v>
      </c>
      <c r="J1260" s="92" t="s">
        <v>60</v>
      </c>
      <c r="K1260" s="92" t="s">
        <v>788</v>
      </c>
    </row>
    <row r="1261" spans="1:11" ht="13.8">
      <c r="A1261" s="47" t="s">
        <v>3607</v>
      </c>
      <c r="B1261" s="92" t="s">
        <v>3608</v>
      </c>
      <c r="C1261" s="92" t="s">
        <v>3609</v>
      </c>
      <c r="D1261" s="72" t="str">
        <f>IFERROR(VLOOKUP(A1261,'[1]ST-QA-ZZ5'!$C$5:$M$299,11,0),"Inspection at production line")</f>
        <v>Inspection at production line</v>
      </c>
      <c r="F1261" s="92" t="s">
        <v>5028</v>
      </c>
      <c r="G1261" s="92" t="s">
        <v>994</v>
      </c>
      <c r="H1261" s="92" t="s">
        <v>5029</v>
      </c>
      <c r="I1261" s="92" t="s">
        <v>980</v>
      </c>
      <c r="J1261" s="92" t="s">
        <v>60</v>
      </c>
      <c r="K1261" s="92" t="s">
        <v>681</v>
      </c>
    </row>
    <row r="1262" spans="1:11" ht="13.8">
      <c r="A1262" s="47" t="s">
        <v>3611</v>
      </c>
      <c r="B1262" s="92" t="s">
        <v>3612</v>
      </c>
      <c r="C1262" s="92" t="s">
        <v>3613</v>
      </c>
      <c r="D1262" s="72" t="str">
        <f>IFERROR(VLOOKUP(A1262,'[1]ST-QA-ZZ5'!$C$5:$M$299,11,0),"Inspection at production line")</f>
        <v>Inspection at production line</v>
      </c>
      <c r="F1262" s="47" t="s">
        <v>3078</v>
      </c>
      <c r="G1262" s="92" t="s">
        <v>3079</v>
      </c>
      <c r="H1262" s="92" t="s">
        <v>3080</v>
      </c>
      <c r="I1262" s="92" t="s">
        <v>5031</v>
      </c>
      <c r="J1262" s="92" t="s">
        <v>60</v>
      </c>
      <c r="K1262" s="92" t="s">
        <v>3099</v>
      </c>
    </row>
    <row r="1263" spans="1:11" ht="13.8">
      <c r="A1263" s="47" t="s">
        <v>3615</v>
      </c>
      <c r="B1263" s="92" t="s">
        <v>3616</v>
      </c>
      <c r="C1263" s="92" t="s">
        <v>3617</v>
      </c>
      <c r="D1263" s="72" t="str">
        <f>IFERROR(VLOOKUP(A1263,'[1]ST-QA-ZZ5'!$C$5:$M$299,11,0),"Inspection at production line")</f>
        <v>Inspection at production line</v>
      </c>
      <c r="F1263" s="92" t="s">
        <v>5032</v>
      </c>
      <c r="G1263" s="92" t="s">
        <v>5033</v>
      </c>
      <c r="H1263" s="92" t="s">
        <v>5034</v>
      </c>
      <c r="I1263" s="92" t="s">
        <v>98</v>
      </c>
      <c r="J1263" s="92" t="s">
        <v>60</v>
      </c>
      <c r="K1263" s="92" t="s">
        <v>685</v>
      </c>
    </row>
    <row r="1264" spans="1:11" ht="13.8">
      <c r="A1264" s="47" t="s">
        <v>5030</v>
      </c>
      <c r="B1264" s="92" t="s">
        <v>3309</v>
      </c>
      <c r="C1264" s="92" t="s">
        <v>5006</v>
      </c>
      <c r="D1264" s="72" t="str">
        <f>IFERROR(VLOOKUP(A1264,'[1]ST-QA-ZZ5'!$C$5:$M$299,11,0),"Inspection at production line")</f>
        <v>Inspection at production line</v>
      </c>
      <c r="F1264" s="47" t="s">
        <v>5036</v>
      </c>
      <c r="G1264" s="92" t="s">
        <v>2705</v>
      </c>
      <c r="H1264" s="92" t="s">
        <v>5037</v>
      </c>
      <c r="I1264" s="92" t="s">
        <v>5027</v>
      </c>
      <c r="J1264" s="92" t="s">
        <v>60</v>
      </c>
      <c r="K1264" s="92" t="s">
        <v>788</v>
      </c>
    </row>
    <row r="1265" spans="1:11" ht="13.8">
      <c r="A1265" s="47" t="s">
        <v>3619</v>
      </c>
      <c r="B1265" s="92" t="s">
        <v>941</v>
      </c>
      <c r="C1265" s="92" t="s">
        <v>3620</v>
      </c>
      <c r="D1265" s="72" t="str">
        <f>IFERROR(VLOOKUP(A1265,'[1]ST-QA-ZZ5'!$C$5:$M$299,11,0),"Inspection at production line")</f>
        <v>Inspection at production line</v>
      </c>
      <c r="F1265" s="47" t="s">
        <v>5039</v>
      </c>
      <c r="G1265" s="92" t="s">
        <v>5040</v>
      </c>
      <c r="H1265" s="92" t="s">
        <v>5041</v>
      </c>
      <c r="I1265" s="92" t="s">
        <v>98</v>
      </c>
      <c r="J1265" s="92" t="s">
        <v>60</v>
      </c>
      <c r="K1265" s="92" t="s">
        <v>685</v>
      </c>
    </row>
    <row r="1266" spans="1:11" ht="13.8">
      <c r="A1266" s="47" t="s">
        <v>3622</v>
      </c>
      <c r="B1266" s="92" t="s">
        <v>3454</v>
      </c>
      <c r="C1266" s="92" t="s">
        <v>5035</v>
      </c>
      <c r="D1266" s="72" t="str">
        <f>IFERROR(VLOOKUP(A1266,'[1]ST-QA-ZZ5'!$C$5:$M$299,11,0),"Inspection at production line")</f>
        <v>Inspection at production line</v>
      </c>
      <c r="F1266" s="47" t="s">
        <v>322</v>
      </c>
      <c r="G1266" s="92" t="s">
        <v>323</v>
      </c>
      <c r="H1266" s="92" t="s">
        <v>324</v>
      </c>
      <c r="I1266" s="92" t="s">
        <v>98</v>
      </c>
      <c r="J1266" s="92" t="s">
        <v>60</v>
      </c>
      <c r="K1266" s="92" t="s">
        <v>685</v>
      </c>
    </row>
    <row r="1267" spans="1:11" ht="13.8">
      <c r="A1267" s="47" t="s">
        <v>5038</v>
      </c>
      <c r="B1267" s="92" t="s">
        <v>3543</v>
      </c>
      <c r="C1267" s="92" t="s">
        <v>4979</v>
      </c>
      <c r="D1267" s="72" t="str">
        <f>IFERROR(VLOOKUP(A1267,'[1]ST-QA-ZZ5'!$C$5:$M$299,11,0),"Inspection at production line")</f>
        <v>Inspection at production line</v>
      </c>
      <c r="F1267" s="47" t="s">
        <v>5043</v>
      </c>
      <c r="G1267" s="92" t="s">
        <v>1592</v>
      </c>
      <c r="H1267" s="92" t="s">
        <v>5044</v>
      </c>
      <c r="I1267" s="92" t="s">
        <v>208</v>
      </c>
      <c r="J1267" s="92" t="s">
        <v>60</v>
      </c>
      <c r="K1267" s="92" t="s">
        <v>685</v>
      </c>
    </row>
    <row r="1268" spans="1:11" ht="13.8">
      <c r="A1268" s="47" t="s">
        <v>3625</v>
      </c>
      <c r="B1268" s="92" t="s">
        <v>3564</v>
      </c>
      <c r="C1268" s="92" t="s">
        <v>3626</v>
      </c>
      <c r="D1268" s="72" t="str">
        <f>IFERROR(VLOOKUP(A1268,'[1]ST-QA-ZZ5'!$C$5:$M$299,11,0),"Inspection at production line")</f>
        <v>Inspection at production line</v>
      </c>
      <c r="F1268" s="47" t="s">
        <v>5045</v>
      </c>
      <c r="G1268" s="92" t="s">
        <v>2629</v>
      </c>
      <c r="H1268" s="92" t="s">
        <v>5046</v>
      </c>
      <c r="I1268" s="92" t="s">
        <v>208</v>
      </c>
      <c r="J1268" s="92" t="s">
        <v>60</v>
      </c>
      <c r="K1268" s="92" t="s">
        <v>685</v>
      </c>
    </row>
    <row r="1269" spans="1:11" ht="13.8">
      <c r="A1269" s="47" t="s">
        <v>3628</v>
      </c>
      <c r="B1269" s="92" t="s">
        <v>3454</v>
      </c>
      <c r="C1269" s="92" t="s">
        <v>5042</v>
      </c>
      <c r="D1269" s="72" t="str">
        <f>IFERROR(VLOOKUP(A1269,'[1]ST-QA-ZZ5'!$C$5:$M$299,11,0),"Inspection at production line")</f>
        <v>Inspection at production line</v>
      </c>
      <c r="F1269" s="47" t="s">
        <v>5047</v>
      </c>
      <c r="G1269" s="92" t="s">
        <v>174</v>
      </c>
      <c r="H1269" s="92" t="s">
        <v>5048</v>
      </c>
      <c r="I1269" s="92" t="s">
        <v>493</v>
      </c>
      <c r="J1269" s="92" t="s">
        <v>60</v>
      </c>
      <c r="K1269" s="92" t="s">
        <v>685</v>
      </c>
    </row>
    <row r="1270" spans="1:11" ht="13.8">
      <c r="A1270" s="47" t="s">
        <v>3631</v>
      </c>
      <c r="B1270" s="92" t="s">
        <v>1177</v>
      </c>
      <c r="C1270" s="92" t="s">
        <v>3632</v>
      </c>
      <c r="D1270" s="72" t="str">
        <f>IFERROR(VLOOKUP(A1270,'[1]ST-QA-ZZ5'!$C$5:$M$299,11,0),"Inspection at production line")</f>
        <v>Inspection at production line</v>
      </c>
      <c r="F1270" s="47" t="s">
        <v>5049</v>
      </c>
      <c r="G1270" s="92" t="s">
        <v>104</v>
      </c>
      <c r="H1270" s="92" t="s">
        <v>5050</v>
      </c>
      <c r="I1270" s="92" t="s">
        <v>59</v>
      </c>
      <c r="J1270" s="92" t="s">
        <v>60</v>
      </c>
      <c r="K1270" s="92" t="s">
        <v>633</v>
      </c>
    </row>
    <row r="1271" spans="1:11" ht="13.8">
      <c r="A1271" s="47" t="s">
        <v>3635</v>
      </c>
      <c r="B1271" s="92" t="s">
        <v>905</v>
      </c>
      <c r="C1271" s="92" t="s">
        <v>3636</v>
      </c>
      <c r="D1271" s="72" t="str">
        <f>IFERROR(VLOOKUP(A1271,'[1]ST-QA-ZZ5'!$C$5:$M$299,11,0),"Inspection at production line")</f>
        <v>Inspection at production line</v>
      </c>
      <c r="F1271" s="47" t="s">
        <v>5051</v>
      </c>
      <c r="G1271" s="92" t="s">
        <v>555</v>
      </c>
      <c r="H1271" s="92" t="s">
        <v>5052</v>
      </c>
      <c r="I1271" s="92" t="s">
        <v>5053</v>
      </c>
      <c r="J1271" s="92" t="s">
        <v>71</v>
      </c>
      <c r="K1271" s="92" t="s">
        <v>681</v>
      </c>
    </row>
    <row r="1272" spans="1:11" ht="13.8">
      <c r="A1272" s="47" t="s">
        <v>3643</v>
      </c>
      <c r="B1272" s="92" t="s">
        <v>3644</v>
      </c>
      <c r="C1272" s="92" t="s">
        <v>3645</v>
      </c>
      <c r="D1272" s="72" t="str">
        <f>IFERROR(VLOOKUP(A1272,'[1]ST-QA-ZZ5'!$C$5:$M$299,11,0),"Inspection at production line")</f>
        <v>Inspection at production line</v>
      </c>
      <c r="F1272" s="47" t="s">
        <v>491</v>
      </c>
      <c r="G1272" s="92" t="s">
        <v>174</v>
      </c>
      <c r="H1272" s="92" t="s">
        <v>492</v>
      </c>
      <c r="I1272" s="92" t="s">
        <v>493</v>
      </c>
      <c r="J1272" s="92" t="s">
        <v>60</v>
      </c>
      <c r="K1272" s="92" t="s">
        <v>683</v>
      </c>
    </row>
    <row r="1273" spans="1:11" ht="13.8">
      <c r="A1273" s="47" t="s">
        <v>3648</v>
      </c>
      <c r="B1273" s="92" t="s">
        <v>941</v>
      </c>
      <c r="C1273" s="92" t="s">
        <v>3649</v>
      </c>
      <c r="D1273" s="72" t="str">
        <f>IFERROR(VLOOKUP(A1273,'[1]ST-QA-ZZ5'!$C$5:$M$299,11,0),"Inspection at production line")</f>
        <v>Inspection at production line</v>
      </c>
      <c r="F1273" s="47" t="s">
        <v>5054</v>
      </c>
      <c r="G1273" s="92" t="s">
        <v>2500</v>
      </c>
      <c r="H1273" s="92" t="s">
        <v>5055</v>
      </c>
      <c r="I1273" s="92" t="s">
        <v>493</v>
      </c>
      <c r="J1273" s="92" t="s">
        <v>60</v>
      </c>
      <c r="K1273" s="92" t="s">
        <v>685</v>
      </c>
    </row>
    <row r="1274" spans="1:11" ht="13.8">
      <c r="A1274" s="47" t="s">
        <v>3650</v>
      </c>
      <c r="B1274" s="92" t="s">
        <v>2546</v>
      </c>
      <c r="C1274" s="92" t="s">
        <v>3651</v>
      </c>
      <c r="D1274" s="72" t="str">
        <f>IFERROR(VLOOKUP(A1274,'[1]ST-QA-ZZ5'!$C$5:$M$299,11,0),"Inspection at production line")</f>
        <v>Inspection at production line</v>
      </c>
      <c r="F1274" s="47" t="s">
        <v>5056</v>
      </c>
      <c r="G1274" s="92" t="s">
        <v>4996</v>
      </c>
      <c r="H1274" s="92" t="s">
        <v>5057</v>
      </c>
      <c r="I1274" s="92" t="s">
        <v>2654</v>
      </c>
      <c r="J1274" s="92" t="s">
        <v>60</v>
      </c>
      <c r="K1274" s="92" t="s">
        <v>2655</v>
      </c>
    </row>
    <row r="1275" spans="1:11" ht="13.8">
      <c r="A1275" s="47" t="s">
        <v>3654</v>
      </c>
      <c r="B1275" s="92" t="s">
        <v>1592</v>
      </c>
      <c r="C1275" s="92" t="s">
        <v>3373</v>
      </c>
      <c r="D1275" s="72" t="str">
        <f>IFERROR(VLOOKUP(A1275,'[1]ST-QA-ZZ5'!$C$5:$M$299,11,0),"Inspection at production line")</f>
        <v>Inspection at production line</v>
      </c>
      <c r="F1275" s="47" t="s">
        <v>5058</v>
      </c>
      <c r="G1275" s="92" t="s">
        <v>1491</v>
      </c>
      <c r="H1275" s="92" t="s">
        <v>5059</v>
      </c>
      <c r="I1275" s="92" t="s">
        <v>215</v>
      </c>
      <c r="J1275" s="92" t="s">
        <v>60</v>
      </c>
      <c r="K1275" s="92" t="s">
        <v>685</v>
      </c>
    </row>
    <row r="1276" spans="1:11" ht="13.8">
      <c r="A1276" s="47" t="s">
        <v>3655</v>
      </c>
      <c r="B1276" s="92" t="s">
        <v>811</v>
      </c>
      <c r="C1276" s="92" t="s">
        <v>3514</v>
      </c>
      <c r="D1276" s="72" t="str">
        <f>IFERROR(VLOOKUP(A1276,'[1]ST-QA-ZZ5'!$C$5:$M$299,11,0),"Inspection at production line")</f>
        <v>Inspection at production line</v>
      </c>
      <c r="F1276" s="47" t="s">
        <v>5060</v>
      </c>
      <c r="G1276" s="92" t="s">
        <v>5061</v>
      </c>
      <c r="H1276" s="92" t="s">
        <v>5062</v>
      </c>
      <c r="I1276" s="92" t="s">
        <v>215</v>
      </c>
      <c r="J1276" s="92" t="s">
        <v>60</v>
      </c>
      <c r="K1276" s="92" t="s">
        <v>685</v>
      </c>
    </row>
    <row r="1277" spans="1:11" ht="13.8">
      <c r="A1277" s="47" t="s">
        <v>3656</v>
      </c>
      <c r="B1277" s="92" t="s">
        <v>828</v>
      </c>
      <c r="C1277" s="92" t="s">
        <v>3375</v>
      </c>
      <c r="D1277" s="72" t="str">
        <f>IFERROR(VLOOKUP(A1277,'[1]ST-QA-ZZ5'!$C$5:$M$299,11,0),"Inspection at production line")</f>
        <v>Inspection at production line</v>
      </c>
      <c r="F1277" s="47" t="s">
        <v>5064</v>
      </c>
      <c r="G1277" s="92" t="s">
        <v>2511</v>
      </c>
      <c r="H1277" s="92" t="s">
        <v>5065</v>
      </c>
      <c r="I1277" s="92" t="s">
        <v>5066</v>
      </c>
      <c r="J1277" s="92" t="s">
        <v>60</v>
      </c>
      <c r="K1277" s="92" t="s">
        <v>633</v>
      </c>
    </row>
    <row r="1278" spans="1:11" ht="13.8">
      <c r="A1278" s="47" t="s">
        <v>3657</v>
      </c>
      <c r="B1278" s="92" t="s">
        <v>949</v>
      </c>
      <c r="C1278" s="92" t="s">
        <v>3658</v>
      </c>
      <c r="D1278" s="72" t="str">
        <f>IFERROR(VLOOKUP(A1278,'[1]ST-QA-ZZ5'!$C$5:$M$299,11,0),"Inspection at production line")</f>
        <v>Inspection at production line</v>
      </c>
      <c r="F1278" s="47" t="s">
        <v>5069</v>
      </c>
      <c r="G1278" s="92" t="s">
        <v>2602</v>
      </c>
      <c r="H1278" s="92" t="s">
        <v>5070</v>
      </c>
      <c r="I1278" s="92" t="s">
        <v>493</v>
      </c>
      <c r="J1278" s="92" t="s">
        <v>60</v>
      </c>
      <c r="K1278" s="92" t="s">
        <v>685</v>
      </c>
    </row>
    <row r="1279" spans="1:11" ht="13.8">
      <c r="A1279" s="47" t="s">
        <v>5063</v>
      </c>
      <c r="B1279" s="92" t="s">
        <v>818</v>
      </c>
      <c r="C1279" s="92" t="s">
        <v>1325</v>
      </c>
      <c r="D1279" s="72" t="str">
        <f>IFERROR(VLOOKUP(A1279,'[1]ST-QA-ZZ5'!$C$5:$M$299,11,0),"Inspection at production line")</f>
        <v>Inspection at production line</v>
      </c>
      <c r="F1279" s="47" t="s">
        <v>5073</v>
      </c>
      <c r="G1279" s="92" t="s">
        <v>3564</v>
      </c>
      <c r="H1279" s="92" t="s">
        <v>5074</v>
      </c>
      <c r="I1279" s="92" t="s">
        <v>799</v>
      </c>
      <c r="J1279" s="92" t="s">
        <v>60</v>
      </c>
      <c r="K1279" s="92" t="s">
        <v>788</v>
      </c>
    </row>
    <row r="1280" spans="1:11" ht="13.8">
      <c r="A1280" s="47" t="s">
        <v>5067</v>
      </c>
      <c r="B1280" s="92" t="s">
        <v>782</v>
      </c>
      <c r="C1280" s="92" t="s">
        <v>5068</v>
      </c>
      <c r="D1280" s="72" t="str">
        <f>IFERROR(VLOOKUP(A1280,'[1]ST-QA-ZZ5'!$C$5:$M$299,11,0),"Inspection at production line")</f>
        <v>Inspection at production line</v>
      </c>
      <c r="F1280" s="47" t="s">
        <v>5077</v>
      </c>
      <c r="G1280" s="92" t="s">
        <v>3079</v>
      </c>
      <c r="H1280" s="92" t="s">
        <v>5078</v>
      </c>
      <c r="I1280" s="92" t="s">
        <v>2654</v>
      </c>
      <c r="J1280" s="92" t="s">
        <v>60</v>
      </c>
      <c r="K1280" s="92" t="s">
        <v>2655</v>
      </c>
    </row>
    <row r="1281" spans="1:11" ht="13.8">
      <c r="A1281" s="47" t="s">
        <v>5071</v>
      </c>
      <c r="B1281" s="92" t="s">
        <v>782</v>
      </c>
      <c r="C1281" s="92" t="s">
        <v>5072</v>
      </c>
      <c r="D1281" s="72" t="str">
        <f>IFERROR(VLOOKUP(A1281,'[1]ST-QA-ZZ5'!$C$5:$M$299,11,0),"Inspection at production line")</f>
        <v>Inspection at production line</v>
      </c>
      <c r="F1281" s="47" t="s">
        <v>5081</v>
      </c>
      <c r="G1281" s="92" t="s">
        <v>5033</v>
      </c>
      <c r="H1281" s="92" t="s">
        <v>5082</v>
      </c>
      <c r="I1281" s="92" t="s">
        <v>98</v>
      </c>
      <c r="J1281" s="92" t="s">
        <v>60</v>
      </c>
      <c r="K1281" s="92" t="s">
        <v>685</v>
      </c>
    </row>
    <row r="1282" spans="1:11" ht="13.8">
      <c r="A1282" s="47" t="s">
        <v>5075</v>
      </c>
      <c r="B1282" s="92" t="s">
        <v>782</v>
      </c>
      <c r="C1282" s="92" t="s">
        <v>5076</v>
      </c>
      <c r="D1282" s="72" t="str">
        <f>IFERROR(VLOOKUP(A1282,'[1]ST-QA-ZZ5'!$C$5:$M$299,11,0),"Inspection at production line")</f>
        <v>Inspection at production line</v>
      </c>
      <c r="F1282" s="47" t="s">
        <v>5083</v>
      </c>
      <c r="G1282" s="92" t="s">
        <v>96</v>
      </c>
      <c r="H1282" s="92" t="s">
        <v>97</v>
      </c>
      <c r="I1282" s="92" t="s">
        <v>98</v>
      </c>
      <c r="J1282" s="92" t="s">
        <v>99</v>
      </c>
      <c r="K1282" s="92" t="s">
        <v>685</v>
      </c>
    </row>
    <row r="1283" spans="1:11" ht="13.8">
      <c r="A1283" s="47" t="s">
        <v>5079</v>
      </c>
      <c r="B1283" s="92" t="s">
        <v>1563</v>
      </c>
      <c r="C1283" s="92" t="s">
        <v>5080</v>
      </c>
      <c r="D1283" s="72" t="str">
        <f>IFERROR(VLOOKUP(A1283,'[1]ST-QA-ZZ5'!$C$5:$M$299,11,0),"Inspection at production line")</f>
        <v>Inspection at production line</v>
      </c>
      <c r="F1283" s="47" t="s">
        <v>5084</v>
      </c>
      <c r="G1283" s="92" t="s">
        <v>2489</v>
      </c>
      <c r="H1283" s="92" t="s">
        <v>5085</v>
      </c>
      <c r="I1283" s="92" t="s">
        <v>208</v>
      </c>
      <c r="J1283" s="92" t="s">
        <v>71</v>
      </c>
      <c r="K1283" s="92" t="s">
        <v>685</v>
      </c>
    </row>
    <row r="1284" spans="1:11" ht="13.8">
      <c r="A1284" s="47" t="s">
        <v>1242</v>
      </c>
      <c r="B1284" s="92" t="s">
        <v>397</v>
      </c>
      <c r="C1284" s="92" t="s">
        <v>1243</v>
      </c>
      <c r="D1284" s="72" t="str">
        <f>IFERROR(VLOOKUP(A1284,'[1]ST-QA-ZZ5'!$C$5:$M$299,11,0),"Inspection at production line")</f>
        <v>Inspection at production line</v>
      </c>
      <c r="F1284" s="100" t="s">
        <v>354</v>
      </c>
      <c r="G1284" s="92" t="s">
        <v>355</v>
      </c>
      <c r="H1284" s="92" t="s">
        <v>356</v>
      </c>
      <c r="I1284" s="92" t="s">
        <v>346</v>
      </c>
      <c r="J1284" s="92" t="s">
        <v>52</v>
      </c>
      <c r="K1284" s="92" t="s">
        <v>18088</v>
      </c>
    </row>
    <row r="1285" spans="1:11" ht="13.8">
      <c r="A1285" s="47" t="s">
        <v>1245</v>
      </c>
      <c r="B1285" s="92" t="s">
        <v>397</v>
      </c>
      <c r="C1285" s="92" t="s">
        <v>1246</v>
      </c>
      <c r="D1285" s="72" t="str">
        <f>IFERROR(VLOOKUP(A1285,'[1]ST-QA-ZZ5'!$C$5:$M$299,11,0),"Inspection at production line")</f>
        <v>Inspection at production line</v>
      </c>
      <c r="F1285" s="47" t="s">
        <v>5088</v>
      </c>
      <c r="G1285" s="92" t="s">
        <v>2024</v>
      </c>
      <c r="H1285" s="92" t="s">
        <v>5089</v>
      </c>
      <c r="I1285" s="92" t="s">
        <v>2654</v>
      </c>
      <c r="J1285" s="92" t="s">
        <v>71</v>
      </c>
      <c r="K1285" s="92" t="s">
        <v>3099</v>
      </c>
    </row>
    <row r="1286" spans="1:11" ht="13.8">
      <c r="A1286" s="47" t="s">
        <v>5086</v>
      </c>
      <c r="B1286" s="92" t="s">
        <v>397</v>
      </c>
      <c r="C1286" s="92" t="s">
        <v>5087</v>
      </c>
      <c r="D1286" s="72" t="str">
        <f>IFERROR(VLOOKUP(A1286,'[1]ST-QA-ZZ5'!$C$5:$M$299,11,0),"Inspection at production line")</f>
        <v>Inspection at production line</v>
      </c>
      <c r="F1286" s="47" t="s">
        <v>5091</v>
      </c>
      <c r="G1286" s="92" t="s">
        <v>5092</v>
      </c>
      <c r="H1286" s="92" t="s">
        <v>5093</v>
      </c>
      <c r="I1286" s="92" t="s">
        <v>2654</v>
      </c>
      <c r="J1286" s="92" t="s">
        <v>60</v>
      </c>
      <c r="K1286" s="92" t="s">
        <v>2655</v>
      </c>
    </row>
    <row r="1287" spans="1:11" ht="13.8">
      <c r="A1287" s="47" t="s">
        <v>1248</v>
      </c>
      <c r="B1287" s="92" t="s">
        <v>397</v>
      </c>
      <c r="C1287" s="92" t="s">
        <v>1249</v>
      </c>
      <c r="D1287" s="72" t="str">
        <f>IFERROR(VLOOKUP(A1287,'[1]ST-QA-ZZ5'!$C$5:$M$299,11,0),"Inspection at production line")</f>
        <v>Inspection at production line</v>
      </c>
      <c r="F1287" s="47" t="s">
        <v>5094</v>
      </c>
      <c r="G1287" s="92" t="s">
        <v>704</v>
      </c>
      <c r="H1287" s="92" t="s">
        <v>5095</v>
      </c>
      <c r="I1287" s="92" t="s">
        <v>77</v>
      </c>
      <c r="J1287" s="92" t="s">
        <v>60</v>
      </c>
      <c r="K1287" s="92" t="s">
        <v>707</v>
      </c>
    </row>
    <row r="1288" spans="1:11" ht="13.8">
      <c r="A1288" s="47" t="s">
        <v>5090</v>
      </c>
      <c r="B1288" s="92" t="s">
        <v>1369</v>
      </c>
      <c r="C1288" s="92" t="s">
        <v>1373</v>
      </c>
      <c r="D1288" s="72" t="str">
        <f>IFERROR(VLOOKUP(A1288,'[1]ST-QA-ZZ5'!$C$5:$M$299,11,0),"Inspection at production line")</f>
        <v>Inspection at production line</v>
      </c>
      <c r="F1288" s="47" t="s">
        <v>182</v>
      </c>
      <c r="G1288" s="92" t="s">
        <v>183</v>
      </c>
      <c r="H1288" s="92" t="s">
        <v>184</v>
      </c>
      <c r="I1288" s="92" t="s">
        <v>98</v>
      </c>
      <c r="J1288" s="92" t="s">
        <v>60</v>
      </c>
      <c r="K1288" s="92" t="s">
        <v>685</v>
      </c>
    </row>
    <row r="1289" spans="1:11" ht="13.8">
      <c r="A1289" s="47" t="s">
        <v>1251</v>
      </c>
      <c r="B1289" s="92" t="s">
        <v>397</v>
      </c>
      <c r="C1289" s="92" t="s">
        <v>1252</v>
      </c>
      <c r="D1289" s="72" t="str">
        <f>IFERROR(VLOOKUP(A1289,'[1]ST-QA-ZZ5'!$C$5:$M$299,11,0),"Inspection at production line")</f>
        <v>Inspection at production line</v>
      </c>
      <c r="F1289" s="47" t="s">
        <v>5098</v>
      </c>
      <c r="G1289" s="92" t="s">
        <v>5099</v>
      </c>
      <c r="H1289" s="92" t="s">
        <v>5100</v>
      </c>
      <c r="I1289" s="92" t="s">
        <v>2654</v>
      </c>
      <c r="J1289" s="92" t="s">
        <v>60</v>
      </c>
      <c r="K1289" s="92" t="s">
        <v>2655</v>
      </c>
    </row>
    <row r="1290" spans="1:11" ht="13.8">
      <c r="A1290" s="47" t="s">
        <v>5096</v>
      </c>
      <c r="B1290" s="92" t="s">
        <v>397</v>
      </c>
      <c r="C1290" s="92" t="s">
        <v>5097</v>
      </c>
      <c r="D1290" s="72" t="str">
        <f>IFERROR(VLOOKUP(A1290,'[1]ST-QA-ZZ5'!$C$5:$M$299,11,0),"Inspection at production line")</f>
        <v>Inspection at production line</v>
      </c>
      <c r="F1290" s="47" t="s">
        <v>5103</v>
      </c>
      <c r="G1290" s="92" t="s">
        <v>1954</v>
      </c>
      <c r="H1290" s="92" t="s">
        <v>5104</v>
      </c>
      <c r="I1290" s="92" t="s">
        <v>2654</v>
      </c>
      <c r="J1290" s="92" t="s">
        <v>60</v>
      </c>
      <c r="K1290" s="92" t="s">
        <v>2655</v>
      </c>
    </row>
    <row r="1291" spans="1:11" ht="13.8">
      <c r="A1291" s="47" t="s">
        <v>1255</v>
      </c>
      <c r="B1291" s="92" t="s">
        <v>397</v>
      </c>
      <c r="C1291" s="92" t="s">
        <v>1256</v>
      </c>
      <c r="D1291" s="72" t="str">
        <f>IFERROR(VLOOKUP(A1291,'[1]ST-QA-ZZ5'!$C$5:$M$299,11,0),"Inspection at production line")</f>
        <v>Inspection at production line</v>
      </c>
      <c r="F1291" s="47" t="s">
        <v>5107</v>
      </c>
      <c r="G1291" s="92" t="s">
        <v>1954</v>
      </c>
      <c r="H1291" s="92" t="s">
        <v>5108</v>
      </c>
      <c r="I1291" s="92" t="s">
        <v>2654</v>
      </c>
      <c r="J1291" s="92" t="s">
        <v>60</v>
      </c>
      <c r="K1291" s="92" t="s">
        <v>2655</v>
      </c>
    </row>
    <row r="1292" spans="1:11" ht="13.8">
      <c r="A1292" s="47" t="s">
        <v>5101</v>
      </c>
      <c r="B1292" s="92" t="s">
        <v>397</v>
      </c>
      <c r="C1292" s="92" t="s">
        <v>5102</v>
      </c>
      <c r="D1292" s="72" t="str">
        <f>IFERROR(VLOOKUP(A1292,'[1]ST-QA-ZZ5'!$C$5:$M$299,11,0),"Inspection at production line")</f>
        <v>Inspection at production line</v>
      </c>
      <c r="F1292" s="47" t="s">
        <v>103</v>
      </c>
      <c r="G1292" s="92" t="s">
        <v>104</v>
      </c>
      <c r="H1292" s="92" t="s">
        <v>105</v>
      </c>
      <c r="I1292" s="92" t="s">
        <v>106</v>
      </c>
      <c r="J1292" s="92" t="s">
        <v>60</v>
      </c>
      <c r="K1292" s="92" t="s">
        <v>685</v>
      </c>
    </row>
    <row r="1293" spans="1:11" ht="13.8">
      <c r="A1293" s="47" t="s">
        <v>5105</v>
      </c>
      <c r="B1293" s="92" t="s">
        <v>397</v>
      </c>
      <c r="C1293" s="92" t="s">
        <v>5106</v>
      </c>
      <c r="D1293" s="72" t="str">
        <f>IFERROR(VLOOKUP(A1293,'[1]ST-QA-ZZ5'!$C$5:$M$299,11,0),"Inspection at production line")</f>
        <v>Inspection at production line</v>
      </c>
      <c r="F1293" s="47" t="s">
        <v>5110</v>
      </c>
      <c r="G1293" s="92" t="s">
        <v>953</v>
      </c>
      <c r="H1293" s="92" t="s">
        <v>5111</v>
      </c>
      <c r="I1293" s="92" t="s">
        <v>106</v>
      </c>
      <c r="J1293" s="92" t="s">
        <v>60</v>
      </c>
      <c r="K1293" s="92" t="s">
        <v>685</v>
      </c>
    </row>
    <row r="1294" spans="1:11" ht="13.8">
      <c r="A1294" s="47" t="s">
        <v>1259</v>
      </c>
      <c r="B1294" s="92" t="s">
        <v>397</v>
      </c>
      <c r="C1294" s="92" t="s">
        <v>1260</v>
      </c>
      <c r="D1294" s="72" t="str">
        <f>IFERROR(VLOOKUP(A1294,'[1]ST-QA-ZZ5'!$C$5:$M$299,11,0),"Inspection at production line")</f>
        <v>Inspection at production line</v>
      </c>
      <c r="F1294" s="47" t="s">
        <v>5114</v>
      </c>
      <c r="G1294" s="92" t="s">
        <v>174</v>
      </c>
      <c r="H1294" s="92" t="s">
        <v>5115</v>
      </c>
      <c r="I1294" s="92" t="s">
        <v>215</v>
      </c>
      <c r="J1294" s="92" t="s">
        <v>60</v>
      </c>
      <c r="K1294" s="92" t="s">
        <v>683</v>
      </c>
    </row>
    <row r="1295" spans="1:11" ht="13.8">
      <c r="A1295" s="47" t="s">
        <v>5109</v>
      </c>
      <c r="B1295" s="92" t="s">
        <v>397</v>
      </c>
      <c r="C1295" s="92" t="s">
        <v>5102</v>
      </c>
      <c r="D1295" s="72" t="str">
        <f>IFERROR(VLOOKUP(A1295,'[1]ST-QA-ZZ5'!$C$5:$M$299,11,0),"Inspection at production line")</f>
        <v>Inspection at production line</v>
      </c>
      <c r="F1295" s="47" t="s">
        <v>516</v>
      </c>
      <c r="G1295" s="92" t="s">
        <v>174</v>
      </c>
      <c r="H1295" s="92" t="s">
        <v>517</v>
      </c>
      <c r="I1295" s="92" t="s">
        <v>215</v>
      </c>
      <c r="J1295" s="92" t="s">
        <v>60</v>
      </c>
      <c r="K1295" s="92" t="s">
        <v>683</v>
      </c>
    </row>
    <row r="1296" spans="1:11" ht="13.8">
      <c r="A1296" s="47" t="s">
        <v>5112</v>
      </c>
      <c r="B1296" s="92" t="s">
        <v>397</v>
      </c>
      <c r="C1296" s="92" t="s">
        <v>5113</v>
      </c>
      <c r="D1296" s="72" t="str">
        <f>IFERROR(VLOOKUP(A1296,'[1]ST-QA-ZZ5'!$C$5:$M$299,11,0),"Inspection at production line")</f>
        <v>Inspection at production line</v>
      </c>
      <c r="F1296" s="47" t="s">
        <v>5118</v>
      </c>
      <c r="G1296" s="92" t="s">
        <v>174</v>
      </c>
      <c r="H1296" s="92" t="s">
        <v>5119</v>
      </c>
      <c r="I1296" s="92" t="s">
        <v>2654</v>
      </c>
      <c r="J1296" s="92" t="s">
        <v>60</v>
      </c>
      <c r="K1296" s="92" t="s">
        <v>2655</v>
      </c>
    </row>
    <row r="1297" spans="1:11" ht="13.8">
      <c r="A1297" s="47" t="s">
        <v>5116</v>
      </c>
      <c r="B1297" s="92" t="s">
        <v>782</v>
      </c>
      <c r="C1297" s="92" t="s">
        <v>5117</v>
      </c>
      <c r="D1297" s="72" t="str">
        <f>IFERROR(VLOOKUP(A1297,'[1]ST-QA-ZZ5'!$C$5:$M$299,11,0),"Inspection at production line")</f>
        <v>Inspection at production line</v>
      </c>
      <c r="F1297" s="47" t="s">
        <v>5120</v>
      </c>
      <c r="G1297" s="92" t="s">
        <v>174</v>
      </c>
      <c r="H1297" s="92" t="s">
        <v>498</v>
      </c>
      <c r="I1297" s="92" t="s">
        <v>215</v>
      </c>
      <c r="J1297" s="92" t="s">
        <v>60</v>
      </c>
      <c r="K1297" s="47" t="s">
        <v>683</v>
      </c>
    </row>
    <row r="1298" spans="1:11" ht="13.8">
      <c r="A1298" s="47" t="s">
        <v>1262</v>
      </c>
      <c r="B1298" s="92" t="s">
        <v>1167</v>
      </c>
      <c r="C1298" s="92" t="s">
        <v>1263</v>
      </c>
      <c r="D1298" s="72" t="str">
        <f>IFERROR(VLOOKUP(A1298,'[1]ST-QA-ZZ5'!$C$5:$M$299,11,0),"Inspection at production line")</f>
        <v>Inspection at production line</v>
      </c>
      <c r="F1298" s="47" t="s">
        <v>5123</v>
      </c>
      <c r="G1298" s="92" t="s">
        <v>57</v>
      </c>
      <c r="H1298" s="92" t="s">
        <v>5124</v>
      </c>
      <c r="I1298" s="92" t="s">
        <v>493</v>
      </c>
      <c r="J1298" s="92" t="s">
        <v>60</v>
      </c>
      <c r="K1298" s="92" t="s">
        <v>685</v>
      </c>
    </row>
    <row r="1299" spans="1:11" ht="13.8">
      <c r="A1299" s="47" t="s">
        <v>1265</v>
      </c>
      <c r="B1299" s="92" t="s">
        <v>1167</v>
      </c>
      <c r="C1299" s="92" t="s">
        <v>1266</v>
      </c>
      <c r="D1299" s="72" t="str">
        <f>IFERROR(VLOOKUP(A1299,'[1]ST-QA-ZZ5'!$C$5:$M$299,11,0),"Inspection at production line")</f>
        <v>Inspection at production line</v>
      </c>
      <c r="F1299" s="47" t="s">
        <v>118</v>
      </c>
      <c r="G1299" s="92" t="s">
        <v>119</v>
      </c>
      <c r="H1299" s="92" t="s">
        <v>120</v>
      </c>
      <c r="I1299" s="92" t="s">
        <v>106</v>
      </c>
      <c r="J1299" s="92" t="s">
        <v>60</v>
      </c>
      <c r="K1299" s="92" t="s">
        <v>685</v>
      </c>
    </row>
    <row r="1300" spans="1:11" ht="13.8">
      <c r="A1300" s="47" t="s">
        <v>5121</v>
      </c>
      <c r="B1300" s="92" t="s">
        <v>1167</v>
      </c>
      <c r="C1300" s="92" t="s">
        <v>5122</v>
      </c>
      <c r="D1300" s="72" t="str">
        <f>IFERROR(VLOOKUP(A1300,'[1]ST-QA-ZZ5'!$C$5:$M$299,11,0),"Inspection at production line")</f>
        <v>Inspection at production line</v>
      </c>
      <c r="F1300" s="47" t="s">
        <v>5125</v>
      </c>
      <c r="G1300" s="92" t="s">
        <v>5126</v>
      </c>
      <c r="H1300" s="92" t="s">
        <v>5127</v>
      </c>
      <c r="I1300" s="92" t="s">
        <v>98</v>
      </c>
      <c r="J1300" s="92" t="s">
        <v>60</v>
      </c>
      <c r="K1300" s="92" t="s">
        <v>685</v>
      </c>
    </row>
    <row r="1301" spans="1:11" ht="13.8">
      <c r="A1301" s="47" t="s">
        <v>1268</v>
      </c>
      <c r="B1301" s="92" t="s">
        <v>1167</v>
      </c>
      <c r="C1301" s="92" t="s">
        <v>1269</v>
      </c>
      <c r="D1301" s="72" t="str">
        <f>IFERROR(VLOOKUP(A1301,'[1]ST-QA-ZZ5'!$C$5:$M$299,11,0),"Inspection at production line")</f>
        <v>Inspection at production line</v>
      </c>
      <c r="F1301" s="47" t="s">
        <v>5130</v>
      </c>
      <c r="G1301" s="92" t="s">
        <v>1896</v>
      </c>
      <c r="H1301" s="92" t="s">
        <v>5131</v>
      </c>
      <c r="I1301" s="92" t="s">
        <v>98</v>
      </c>
      <c r="J1301" s="92" t="s">
        <v>60</v>
      </c>
      <c r="K1301" s="92" t="s">
        <v>685</v>
      </c>
    </row>
    <row r="1302" spans="1:11" ht="13.8">
      <c r="A1302" s="47" t="s">
        <v>1271</v>
      </c>
      <c r="B1302" s="92" t="s">
        <v>1167</v>
      </c>
      <c r="C1302" s="92" t="s">
        <v>1272</v>
      </c>
      <c r="D1302" s="72" t="str">
        <f>IFERROR(VLOOKUP(A1302,'[1]ST-QA-ZZ5'!$C$5:$M$299,11,0),"Inspection at production line")</f>
        <v>Inspection at production line</v>
      </c>
      <c r="F1302" s="47" t="s">
        <v>5134</v>
      </c>
      <c r="G1302" s="92" t="s">
        <v>279</v>
      </c>
      <c r="H1302" s="92" t="s">
        <v>280</v>
      </c>
      <c r="I1302" s="92" t="s">
        <v>98</v>
      </c>
      <c r="J1302" s="92" t="s">
        <v>60</v>
      </c>
      <c r="K1302" s="92" t="s">
        <v>685</v>
      </c>
    </row>
    <row r="1303" spans="1:11" ht="13.8">
      <c r="A1303" s="47" t="s">
        <v>5128</v>
      </c>
      <c r="B1303" s="92" t="s">
        <v>1167</v>
      </c>
      <c r="C1303" s="92" t="s">
        <v>5129</v>
      </c>
      <c r="D1303" s="72" t="str">
        <f>IFERROR(VLOOKUP(A1303,'[1]ST-QA-ZZ5'!$C$5:$M$299,11,0),"Inspection at production line")</f>
        <v>Inspection at production line</v>
      </c>
      <c r="F1303" s="47" t="s">
        <v>5137</v>
      </c>
      <c r="G1303" s="92" t="s">
        <v>4949</v>
      </c>
      <c r="H1303" s="92" t="s">
        <v>5138</v>
      </c>
      <c r="I1303" s="92" t="s">
        <v>799</v>
      </c>
      <c r="J1303" s="92" t="s">
        <v>60</v>
      </c>
      <c r="K1303" s="47" t="s">
        <v>5139</v>
      </c>
    </row>
    <row r="1304" spans="1:11" ht="13.8">
      <c r="A1304" s="47" t="s">
        <v>5132</v>
      </c>
      <c r="B1304" s="92" t="s">
        <v>1167</v>
      </c>
      <c r="C1304" s="92" t="s">
        <v>5133</v>
      </c>
      <c r="D1304" s="72" t="str">
        <f>IFERROR(VLOOKUP(A1304,'[1]ST-QA-ZZ5'!$C$5:$M$299,11,0),"Inspection at production line")</f>
        <v>Inspection at production line</v>
      </c>
      <c r="F1304" s="47" t="s">
        <v>5142</v>
      </c>
      <c r="G1304" s="92" t="s">
        <v>1177</v>
      </c>
      <c r="H1304" s="92" t="s">
        <v>5143</v>
      </c>
      <c r="I1304" s="92" t="s">
        <v>799</v>
      </c>
      <c r="J1304" s="92" t="s">
        <v>60</v>
      </c>
      <c r="K1304" s="47" t="s">
        <v>5139</v>
      </c>
    </row>
    <row r="1305" spans="1:11" ht="13.8">
      <c r="A1305" s="47" t="s">
        <v>5135</v>
      </c>
      <c r="B1305" s="92" t="s">
        <v>1167</v>
      </c>
      <c r="C1305" s="92" t="s">
        <v>5136</v>
      </c>
      <c r="D1305" s="72" t="str">
        <f>IFERROR(VLOOKUP(A1305,'[1]ST-QA-ZZ5'!$C$5:$M$299,11,0),"Inspection at production line")</f>
        <v>Inspection at production line</v>
      </c>
      <c r="F1305" s="47" t="s">
        <v>5144</v>
      </c>
      <c r="G1305" s="92" t="s">
        <v>891</v>
      </c>
      <c r="H1305" s="92" t="s">
        <v>5145</v>
      </c>
      <c r="I1305" s="92" t="s">
        <v>346</v>
      </c>
      <c r="J1305" s="92" t="s">
        <v>60</v>
      </c>
      <c r="K1305" s="92" t="s">
        <v>681</v>
      </c>
    </row>
    <row r="1306" spans="1:11" ht="13.8">
      <c r="A1306" s="47" t="s">
        <v>5140</v>
      </c>
      <c r="B1306" s="92" t="s">
        <v>1167</v>
      </c>
      <c r="C1306" s="92" t="s">
        <v>5141</v>
      </c>
      <c r="D1306" s="72" t="str">
        <f>IFERROR(VLOOKUP(A1306,'[1]ST-QA-ZZ5'!$C$5:$M$299,11,0),"Inspection at production line")</f>
        <v>Inspection at production line</v>
      </c>
      <c r="F1306" s="47" t="s">
        <v>343</v>
      </c>
      <c r="G1306" s="92" t="s">
        <v>344</v>
      </c>
      <c r="H1306" s="92" t="s">
        <v>345</v>
      </c>
      <c r="I1306" s="92" t="s">
        <v>346</v>
      </c>
      <c r="J1306" s="92" t="s">
        <v>60</v>
      </c>
      <c r="K1306" s="92" t="s">
        <v>681</v>
      </c>
    </row>
    <row r="1307" spans="1:11" ht="13.8">
      <c r="A1307" s="47" t="s">
        <v>1275</v>
      </c>
      <c r="B1307" s="92" t="s">
        <v>1167</v>
      </c>
      <c r="C1307" s="92" t="s">
        <v>1276</v>
      </c>
      <c r="D1307" s="72" t="str">
        <f>IFERROR(VLOOKUP(A1307,'[1]ST-QA-ZZ5'!$C$5:$M$299,11,0),"Inspection at production line")</f>
        <v>Inspection at production line</v>
      </c>
      <c r="F1307" s="47" t="s">
        <v>5148</v>
      </c>
      <c r="G1307" s="92" t="s">
        <v>1208</v>
      </c>
      <c r="H1307" s="92" t="s">
        <v>5149</v>
      </c>
      <c r="I1307" s="92" t="s">
        <v>2654</v>
      </c>
      <c r="J1307" s="92" t="s">
        <v>60</v>
      </c>
      <c r="K1307" s="92" t="s">
        <v>2655</v>
      </c>
    </row>
    <row r="1308" spans="1:11" ht="13.8">
      <c r="A1308" s="47" t="s">
        <v>5146</v>
      </c>
      <c r="B1308" s="92" t="s">
        <v>1167</v>
      </c>
      <c r="C1308" s="92" t="s">
        <v>5147</v>
      </c>
      <c r="D1308" s="72" t="str">
        <f>IFERROR(VLOOKUP(A1308,'[1]ST-QA-ZZ5'!$C$5:$M$299,11,0),"Inspection at production line")</f>
        <v>Inspection at production line</v>
      </c>
      <c r="F1308" s="47" t="s">
        <v>5152</v>
      </c>
      <c r="G1308" s="92" t="s">
        <v>994</v>
      </c>
      <c r="H1308" s="92" t="s">
        <v>5153</v>
      </c>
      <c r="I1308" s="92" t="s">
        <v>980</v>
      </c>
      <c r="J1308" s="92" t="s">
        <v>60</v>
      </c>
      <c r="K1308" s="92" t="s">
        <v>681</v>
      </c>
    </row>
    <row r="1309" spans="1:11" ht="13.8">
      <c r="A1309" s="47" t="s">
        <v>1277</v>
      </c>
      <c r="B1309" s="92" t="s">
        <v>1167</v>
      </c>
      <c r="C1309" s="92" t="s">
        <v>1278</v>
      </c>
      <c r="D1309" s="72" t="str">
        <f>IFERROR(VLOOKUP(A1309,'[1]ST-QA-ZZ5'!$C$5:$M$299,11,0),"Inspection at production line")</f>
        <v>Inspection at production line</v>
      </c>
      <c r="F1309" s="47" t="s">
        <v>5156</v>
      </c>
      <c r="G1309" s="92" t="s">
        <v>994</v>
      </c>
      <c r="H1309" s="92" t="s">
        <v>5157</v>
      </c>
      <c r="I1309" s="92" t="s">
        <v>980</v>
      </c>
      <c r="J1309" s="92" t="s">
        <v>60</v>
      </c>
      <c r="K1309" s="92" t="s">
        <v>681</v>
      </c>
    </row>
    <row r="1310" spans="1:11" ht="13.8">
      <c r="A1310" s="47" t="s">
        <v>5150</v>
      </c>
      <c r="B1310" s="92" t="s">
        <v>1167</v>
      </c>
      <c r="C1310" s="92" t="s">
        <v>5151</v>
      </c>
      <c r="D1310" s="72" t="str">
        <f>IFERROR(VLOOKUP(A1310,'[1]ST-QA-ZZ5'!$C$5:$M$299,11,0),"Inspection at production line")</f>
        <v>Inspection at production line</v>
      </c>
      <c r="F1310" s="47" t="s">
        <v>5158</v>
      </c>
      <c r="G1310" s="92" t="s">
        <v>174</v>
      </c>
      <c r="H1310" s="92" t="s">
        <v>5159</v>
      </c>
      <c r="I1310" s="92" t="s">
        <v>493</v>
      </c>
      <c r="J1310" s="92" t="s">
        <v>60</v>
      </c>
      <c r="K1310" s="47" t="s">
        <v>683</v>
      </c>
    </row>
    <row r="1311" spans="1:11" ht="13.8">
      <c r="A1311" s="47" t="s">
        <v>5154</v>
      </c>
      <c r="B1311" s="92" t="s">
        <v>1167</v>
      </c>
      <c r="C1311" s="92" t="s">
        <v>5155</v>
      </c>
      <c r="D1311" s="72" t="str">
        <f>IFERROR(VLOOKUP(A1311,'[1]ST-QA-ZZ5'!$C$5:$M$299,11,0),"Inspection at production line")</f>
        <v>Inspection at production line</v>
      </c>
      <c r="F1311" s="47">
        <v>819</v>
      </c>
      <c r="G1311" s="92" t="s">
        <v>1177</v>
      </c>
      <c r="H1311" s="92" t="s">
        <v>1488</v>
      </c>
      <c r="I1311" s="92" t="s">
        <v>846</v>
      </c>
      <c r="J1311" s="92" t="s">
        <v>60</v>
      </c>
      <c r="K1311" s="92" t="s">
        <v>633</v>
      </c>
    </row>
    <row r="1312" spans="1:11" ht="13.8">
      <c r="A1312" s="47" t="s">
        <v>1280</v>
      </c>
      <c r="B1312" s="92" t="s">
        <v>1167</v>
      </c>
      <c r="C1312" s="92" t="s">
        <v>1281</v>
      </c>
      <c r="D1312" s="72" t="str">
        <f>IFERROR(VLOOKUP(A1312,'[1]ST-QA-ZZ5'!$C$5:$M$299,11,0),"Inspection at production line")</f>
        <v>Inspection at production line</v>
      </c>
      <c r="F1312" s="47" t="s">
        <v>469</v>
      </c>
      <c r="G1312" s="92" t="s">
        <v>174</v>
      </c>
      <c r="H1312" s="92" t="s">
        <v>470</v>
      </c>
      <c r="I1312" s="92" t="s">
        <v>98</v>
      </c>
      <c r="J1312" s="92" t="s">
        <v>60</v>
      </c>
      <c r="K1312" s="47" t="s">
        <v>683</v>
      </c>
    </row>
    <row r="1313" spans="1:11" ht="13.8">
      <c r="A1313" s="47" t="s">
        <v>1283</v>
      </c>
      <c r="B1313" s="92" t="s">
        <v>1167</v>
      </c>
      <c r="C1313" s="92" t="s">
        <v>1284</v>
      </c>
      <c r="D1313" s="72" t="str">
        <f>IFERROR(VLOOKUP(A1313,'[1]ST-QA-ZZ5'!$C$5:$M$299,11,0),"Inspection at production line")</f>
        <v>Inspection at production line</v>
      </c>
      <c r="F1313" s="47">
        <v>816</v>
      </c>
      <c r="G1313" s="92" t="s">
        <v>83</v>
      </c>
      <c r="H1313" s="92" t="s">
        <v>1479</v>
      </c>
      <c r="I1313" s="92" t="s">
        <v>846</v>
      </c>
      <c r="J1313" s="92" t="s">
        <v>60</v>
      </c>
      <c r="K1313" s="92" t="s">
        <v>633</v>
      </c>
    </row>
    <row r="1314" spans="1:11" ht="13.8">
      <c r="A1314" s="47" t="s">
        <v>5160</v>
      </c>
      <c r="B1314" s="92" t="s">
        <v>1167</v>
      </c>
      <c r="C1314" s="92" t="s">
        <v>5161</v>
      </c>
      <c r="D1314" s="72" t="str">
        <f>IFERROR(VLOOKUP(A1314,'[1]ST-QA-ZZ5'!$C$5:$M$299,11,0),"Inspection at production line")</f>
        <v>Inspection at production line</v>
      </c>
      <c r="F1314" s="92" t="s">
        <v>5162</v>
      </c>
      <c r="G1314" s="92" t="s">
        <v>994</v>
      </c>
      <c r="H1314" s="92" t="s">
        <v>5163</v>
      </c>
      <c r="I1314" s="92" t="s">
        <v>980</v>
      </c>
      <c r="J1314" s="92" t="s">
        <v>60</v>
      </c>
      <c r="K1314" s="92" t="s">
        <v>681</v>
      </c>
    </row>
    <row r="1315" spans="1:11" ht="13.8">
      <c r="A1315" s="47" t="s">
        <v>1287</v>
      </c>
      <c r="B1315" s="92" t="s">
        <v>1177</v>
      </c>
      <c r="C1315" s="92" t="s">
        <v>1288</v>
      </c>
      <c r="D1315" s="72" t="str">
        <f>IFERROR(VLOOKUP(A1315,'[1]ST-QA-ZZ5'!$C$5:$M$299,11,0),"Inspection at production line")</f>
        <v>Inspection at production line</v>
      </c>
      <c r="F1315" s="92" t="s">
        <v>5167</v>
      </c>
      <c r="G1315" s="92" t="s">
        <v>994</v>
      </c>
      <c r="H1315" s="92" t="s">
        <v>5168</v>
      </c>
      <c r="I1315" s="92" t="s">
        <v>980</v>
      </c>
      <c r="J1315" s="92" t="s">
        <v>60</v>
      </c>
      <c r="K1315" s="92" t="s">
        <v>681</v>
      </c>
    </row>
    <row r="1316" spans="1:11" ht="13.8">
      <c r="A1316" s="47" t="s">
        <v>1290</v>
      </c>
      <c r="B1316" s="92" t="s">
        <v>1177</v>
      </c>
      <c r="C1316" s="92" t="s">
        <v>1291</v>
      </c>
      <c r="D1316" s="72" t="str">
        <f>IFERROR(VLOOKUP(A1316,'[1]ST-QA-ZZ5'!$C$5:$M$299,11,0),"Inspection at production line")</f>
        <v>Inspection at production line</v>
      </c>
      <c r="F1316" s="47" t="s">
        <v>5169</v>
      </c>
      <c r="G1316" s="92" t="s">
        <v>1775</v>
      </c>
      <c r="H1316" s="92" t="s">
        <v>5170</v>
      </c>
      <c r="I1316" s="92" t="s">
        <v>98</v>
      </c>
      <c r="J1316" s="92" t="s">
        <v>60</v>
      </c>
      <c r="K1316" s="92" t="s">
        <v>685</v>
      </c>
    </row>
    <row r="1317" spans="1:11" ht="13.8">
      <c r="A1317" s="47" t="s">
        <v>5164</v>
      </c>
      <c r="B1317" s="92" t="s">
        <v>5165</v>
      </c>
      <c r="C1317" s="92" t="s">
        <v>5166</v>
      </c>
      <c r="D1317" s="72" t="str">
        <f>IFERROR(VLOOKUP(A1317,'[1]ST-QA-ZZ5'!$C$5:$M$299,11,0),"Inspection at production line")</f>
        <v>Inspection at production line</v>
      </c>
      <c r="F1317" s="47" t="s">
        <v>5171</v>
      </c>
      <c r="G1317" s="92" t="s">
        <v>818</v>
      </c>
      <c r="H1317" s="92" t="s">
        <v>5172</v>
      </c>
      <c r="I1317" s="92" t="s">
        <v>98</v>
      </c>
      <c r="J1317" s="92" t="s">
        <v>60</v>
      </c>
      <c r="K1317" s="98" t="s">
        <v>685</v>
      </c>
    </row>
    <row r="1318" spans="1:11" ht="13.8">
      <c r="A1318" s="47" t="s">
        <v>1294</v>
      </c>
      <c r="B1318" s="92" t="s">
        <v>1177</v>
      </c>
      <c r="C1318" s="92" t="s">
        <v>1295</v>
      </c>
      <c r="D1318" s="72" t="str">
        <f>IFERROR(VLOOKUP(A1318,'[1]ST-QA-ZZ5'!$C$5:$M$299,11,0),"Inspection at production line")</f>
        <v>Inspection at production line</v>
      </c>
      <c r="F1318" s="47" t="s">
        <v>5173</v>
      </c>
      <c r="G1318" s="92" t="s">
        <v>946</v>
      </c>
      <c r="H1318" s="92" t="s">
        <v>5174</v>
      </c>
      <c r="I1318" s="92" t="s">
        <v>799</v>
      </c>
      <c r="J1318" s="92" t="s">
        <v>60</v>
      </c>
      <c r="K1318" s="47" t="s">
        <v>5139</v>
      </c>
    </row>
    <row r="1319" spans="1:11" ht="13.8">
      <c r="A1319" s="47" t="s">
        <v>1297</v>
      </c>
      <c r="B1319" s="92" t="s">
        <v>68</v>
      </c>
      <c r="C1319" s="92" t="s">
        <v>1298</v>
      </c>
      <c r="D1319" s="72" t="str">
        <f>IFERROR(VLOOKUP(A1319,'[1]ST-QA-ZZ5'!$C$5:$M$299,11,0),"Inspection at production line")</f>
        <v>Inspection at production line</v>
      </c>
      <c r="F1319" s="47" t="s">
        <v>5176</v>
      </c>
      <c r="G1319" s="92" t="s">
        <v>961</v>
      </c>
      <c r="H1319" s="92" t="s">
        <v>5177</v>
      </c>
      <c r="I1319" s="92" t="s">
        <v>799</v>
      </c>
      <c r="J1319" s="92" t="s">
        <v>60</v>
      </c>
      <c r="K1319" s="47" t="s">
        <v>5139</v>
      </c>
    </row>
    <row r="1320" spans="1:11" ht="13.8">
      <c r="A1320" s="47" t="s">
        <v>1301</v>
      </c>
      <c r="B1320" s="92" t="s">
        <v>1302</v>
      </c>
      <c r="C1320" s="92" t="s">
        <v>1303</v>
      </c>
      <c r="D1320" s="72" t="str">
        <f>IFERROR(VLOOKUP(A1320,'[1]ST-QA-ZZ5'!$C$5:$M$299,11,0),"Inspection at production line")</f>
        <v>Inspection at production line</v>
      </c>
      <c r="F1320" s="47" t="s">
        <v>5180</v>
      </c>
      <c r="G1320" s="92" t="s">
        <v>174</v>
      </c>
      <c r="H1320" s="92" t="s">
        <v>517</v>
      </c>
      <c r="I1320" s="92" t="s">
        <v>499</v>
      </c>
      <c r="J1320" s="92" t="s">
        <v>60</v>
      </c>
      <c r="K1320" s="47" t="s">
        <v>683</v>
      </c>
    </row>
    <row r="1321" spans="1:11" ht="13.8">
      <c r="A1321" s="47" t="s">
        <v>1305</v>
      </c>
      <c r="B1321" s="92" t="s">
        <v>1302</v>
      </c>
      <c r="C1321" s="92" t="s">
        <v>5175</v>
      </c>
      <c r="D1321" s="72" t="str">
        <f>IFERROR(VLOOKUP(A1321,'[1]ST-QA-ZZ5'!$C$5:$M$299,11,0),"Inspection at production line")</f>
        <v>Inspection at production line</v>
      </c>
      <c r="F1321" s="47" t="s">
        <v>5183</v>
      </c>
      <c r="G1321" s="92" t="s">
        <v>174</v>
      </c>
      <c r="H1321" s="92" t="s">
        <v>2005</v>
      </c>
      <c r="I1321" s="92" t="s">
        <v>499</v>
      </c>
      <c r="J1321" s="92" t="s">
        <v>60</v>
      </c>
      <c r="K1321" s="47" t="s">
        <v>683</v>
      </c>
    </row>
    <row r="1322" spans="1:11" ht="13.8">
      <c r="A1322" s="47" t="s">
        <v>5178</v>
      </c>
      <c r="B1322" s="92" t="s">
        <v>1302</v>
      </c>
      <c r="C1322" s="92" t="s">
        <v>5179</v>
      </c>
      <c r="D1322" s="72" t="str">
        <f>IFERROR(VLOOKUP(A1322,'[1]ST-QA-ZZ5'!$C$5:$M$299,11,0),"Inspection at production line")</f>
        <v>Inspection at production line</v>
      </c>
      <c r="F1322" s="47" t="s">
        <v>5184</v>
      </c>
      <c r="G1322" s="92" t="s">
        <v>174</v>
      </c>
      <c r="H1322" s="92" t="s">
        <v>5185</v>
      </c>
      <c r="I1322" s="92" t="s">
        <v>499</v>
      </c>
      <c r="J1322" s="92" t="s">
        <v>60</v>
      </c>
      <c r="K1322" s="47" t="s">
        <v>683</v>
      </c>
    </row>
    <row r="1323" spans="1:11" ht="13.8">
      <c r="A1323" s="47" t="s">
        <v>5181</v>
      </c>
      <c r="B1323" s="92" t="s">
        <v>1315</v>
      </c>
      <c r="C1323" s="92" t="s">
        <v>5182</v>
      </c>
      <c r="D1323" s="72" t="str">
        <f>IFERROR(VLOOKUP(A1323,'[1]ST-QA-ZZ5'!$C$5:$M$299,11,0),"Inspection at production line")</f>
        <v>Inspection at production line</v>
      </c>
      <c r="F1323" s="47" t="s">
        <v>5188</v>
      </c>
      <c r="G1323" s="92" t="s">
        <v>174</v>
      </c>
      <c r="H1323" s="92" t="s">
        <v>2016</v>
      </c>
      <c r="I1323" s="92" t="s">
        <v>499</v>
      </c>
      <c r="J1323" s="92" t="s">
        <v>60</v>
      </c>
      <c r="K1323" s="47" t="s">
        <v>683</v>
      </c>
    </row>
    <row r="1324" spans="1:11" ht="13.8">
      <c r="A1324" s="47" t="s">
        <v>1308</v>
      </c>
      <c r="B1324" s="92" t="s">
        <v>818</v>
      </c>
      <c r="C1324" s="92" t="s">
        <v>1309</v>
      </c>
      <c r="D1324" s="72" t="str">
        <f>IFERROR(VLOOKUP(A1324,'[1]ST-QA-ZZ5'!$C$5:$M$299,11,0),"Inspection at production line")</f>
        <v>Inspection at production line</v>
      </c>
      <c r="F1324" s="47" t="s">
        <v>497</v>
      </c>
      <c r="G1324" s="92" t="s">
        <v>174</v>
      </c>
      <c r="H1324" s="92" t="s">
        <v>498</v>
      </c>
      <c r="I1324" s="92" t="s">
        <v>499</v>
      </c>
      <c r="J1324" s="92" t="s">
        <v>60</v>
      </c>
      <c r="K1324" s="47" t="s">
        <v>683</v>
      </c>
    </row>
    <row r="1325" spans="1:11" ht="13.8">
      <c r="A1325" s="47" t="s">
        <v>5186</v>
      </c>
      <c r="B1325" s="92" t="s">
        <v>818</v>
      </c>
      <c r="C1325" s="92" t="s">
        <v>5187</v>
      </c>
      <c r="D1325" s="72" t="str">
        <f>IFERROR(VLOOKUP(A1325,'[1]ST-QA-ZZ5'!$C$5:$M$299,11,0),"Inspection at production line")</f>
        <v>Inspection at production line</v>
      </c>
      <c r="F1325" s="47" t="s">
        <v>5189</v>
      </c>
      <c r="G1325" s="92" t="s">
        <v>174</v>
      </c>
      <c r="H1325" s="92" t="s">
        <v>5190</v>
      </c>
      <c r="I1325" s="92" t="s">
        <v>499</v>
      </c>
      <c r="J1325" s="92" t="s">
        <v>60</v>
      </c>
      <c r="K1325" s="47" t="s">
        <v>683</v>
      </c>
    </row>
    <row r="1326" spans="1:11" ht="13.8">
      <c r="A1326" s="47" t="s">
        <v>1311</v>
      </c>
      <c r="B1326" s="92" t="s">
        <v>818</v>
      </c>
      <c r="C1326" s="92" t="s">
        <v>1312</v>
      </c>
      <c r="D1326" s="72" t="str">
        <f>IFERROR(VLOOKUP(A1326,'[1]ST-QA-ZZ5'!$C$5:$M$299,11,0),"Inspection at production line")</f>
        <v>Inspection at production line</v>
      </c>
      <c r="F1326" s="47" t="s">
        <v>5191</v>
      </c>
      <c r="G1326" s="92" t="s">
        <v>174</v>
      </c>
      <c r="H1326" s="92" t="s">
        <v>517</v>
      </c>
      <c r="I1326" s="92" t="s">
        <v>499</v>
      </c>
      <c r="J1326" s="92" t="s">
        <v>60</v>
      </c>
      <c r="K1326" s="47" t="s">
        <v>683</v>
      </c>
    </row>
    <row r="1327" spans="1:11" ht="13.8">
      <c r="A1327" s="47" t="s">
        <v>1314</v>
      </c>
      <c r="B1327" s="92" t="s">
        <v>1315</v>
      </c>
      <c r="C1327" s="92" t="s">
        <v>1316</v>
      </c>
      <c r="D1327" s="72" t="str">
        <f>IFERROR(VLOOKUP(A1327,'[1]ST-QA-ZZ5'!$C$5:$M$299,11,0),"Inspection at production line")</f>
        <v>Inspection at production line</v>
      </c>
      <c r="F1327" s="47" t="s">
        <v>5194</v>
      </c>
      <c r="G1327" s="92" t="s">
        <v>174</v>
      </c>
      <c r="H1327" s="92" t="s">
        <v>2005</v>
      </c>
      <c r="I1327" s="92" t="s">
        <v>499</v>
      </c>
      <c r="J1327" s="92" t="s">
        <v>60</v>
      </c>
      <c r="K1327" s="47" t="s">
        <v>683</v>
      </c>
    </row>
    <row r="1328" spans="1:11" ht="13.8">
      <c r="A1328" s="47" t="s">
        <v>1318</v>
      </c>
      <c r="B1328" s="92" t="s">
        <v>818</v>
      </c>
      <c r="C1328" s="92" t="s">
        <v>1319</v>
      </c>
      <c r="D1328" s="72" t="str">
        <f>IFERROR(VLOOKUP(A1328,'[1]ST-QA-ZZ5'!$C$5:$M$299,11,0),"Inspection at production line")</f>
        <v>Inspection at production line</v>
      </c>
      <c r="F1328" s="47" t="s">
        <v>5197</v>
      </c>
      <c r="G1328" s="92" t="s">
        <v>174</v>
      </c>
      <c r="H1328" s="92" t="s">
        <v>5185</v>
      </c>
      <c r="I1328" s="92" t="s">
        <v>499</v>
      </c>
      <c r="J1328" s="92" t="s">
        <v>60</v>
      </c>
      <c r="K1328" s="47" t="s">
        <v>683</v>
      </c>
    </row>
    <row r="1329" spans="1:11" ht="13.8">
      <c r="A1329" s="47" t="s">
        <v>5192</v>
      </c>
      <c r="B1329" s="92" t="s">
        <v>818</v>
      </c>
      <c r="C1329" s="92" t="s">
        <v>5193</v>
      </c>
      <c r="D1329" s="72" t="str">
        <f>IFERROR(VLOOKUP(A1329,'[1]ST-QA-ZZ5'!$C$5:$M$299,11,0),"Inspection at production line")</f>
        <v>Inspection at production line</v>
      </c>
      <c r="F1329" s="47" t="s">
        <v>5198</v>
      </c>
      <c r="G1329" s="92" t="s">
        <v>174</v>
      </c>
      <c r="H1329" s="92" t="s">
        <v>2016</v>
      </c>
      <c r="I1329" s="92" t="s">
        <v>499</v>
      </c>
      <c r="J1329" s="92" t="s">
        <v>60</v>
      </c>
      <c r="K1329" s="47" t="s">
        <v>683</v>
      </c>
    </row>
    <row r="1330" spans="1:11" ht="13.8">
      <c r="A1330" s="47" t="s">
        <v>5195</v>
      </c>
      <c r="B1330" s="92" t="s">
        <v>1315</v>
      </c>
      <c r="C1330" s="92" t="s">
        <v>5196</v>
      </c>
      <c r="D1330" s="72" t="str">
        <f>IFERROR(VLOOKUP(A1330,'[1]ST-QA-ZZ5'!$C$5:$M$299,11,0),"Inspection at production line")</f>
        <v>Inspection at production line</v>
      </c>
      <c r="F1330" s="47" t="s">
        <v>5200</v>
      </c>
      <c r="G1330" s="92" t="s">
        <v>174</v>
      </c>
      <c r="H1330" s="92" t="s">
        <v>498</v>
      </c>
      <c r="I1330" s="92" t="s">
        <v>499</v>
      </c>
      <c r="J1330" s="92" t="s">
        <v>60</v>
      </c>
      <c r="K1330" s="47" t="s">
        <v>683</v>
      </c>
    </row>
    <row r="1331" spans="1:11" ht="13.8">
      <c r="A1331" s="47" t="s">
        <v>1321</v>
      </c>
      <c r="B1331" s="92" t="s">
        <v>818</v>
      </c>
      <c r="C1331" s="92" t="s">
        <v>1322</v>
      </c>
      <c r="D1331" s="72" t="str">
        <f>IFERROR(VLOOKUP(A1331,'[1]ST-QA-ZZ5'!$C$5:$M$299,11,0),"Inspection at production line")</f>
        <v>Inspection at production line</v>
      </c>
      <c r="F1331" s="47" t="s">
        <v>5201</v>
      </c>
      <c r="G1331" s="92" t="s">
        <v>3564</v>
      </c>
      <c r="H1331" s="92" t="s">
        <v>5202</v>
      </c>
      <c r="I1331" s="92" t="s">
        <v>799</v>
      </c>
      <c r="J1331" s="92" t="s">
        <v>60</v>
      </c>
      <c r="K1331" s="47" t="s">
        <v>5139</v>
      </c>
    </row>
    <row r="1332" spans="1:11" ht="13.8">
      <c r="A1332" s="47" t="s">
        <v>1324</v>
      </c>
      <c r="B1332" s="92" t="s">
        <v>818</v>
      </c>
      <c r="C1332" s="92" t="s">
        <v>5199</v>
      </c>
      <c r="D1332" s="72" t="str">
        <f>IFERROR(VLOOKUP(A1332,'[1]ST-QA-ZZ5'!$C$5:$M$299,11,0),"Inspection at production line")</f>
        <v>Inspection at production line</v>
      </c>
      <c r="F1332" s="47" t="s">
        <v>5203</v>
      </c>
      <c r="G1332" s="92" t="s">
        <v>704</v>
      </c>
      <c r="H1332" s="92" t="s">
        <v>5204</v>
      </c>
      <c r="I1332" s="92" t="s">
        <v>2685</v>
      </c>
      <c r="J1332" s="92" t="s">
        <v>60</v>
      </c>
      <c r="K1332" s="47" t="s">
        <v>5205</v>
      </c>
    </row>
    <row r="1333" spans="1:11" ht="13.8">
      <c r="A1333" s="47" t="s">
        <v>1327</v>
      </c>
      <c r="B1333" s="92" t="s">
        <v>818</v>
      </c>
      <c r="C1333" s="92" t="s">
        <v>1328</v>
      </c>
      <c r="D1333" s="72" t="str">
        <f>IFERROR(VLOOKUP(A1333,'[1]ST-QA-ZZ5'!$C$5:$M$299,11,0),"Inspection at production line")</f>
        <v>Inspection at production line</v>
      </c>
      <c r="F1333" s="47" t="s">
        <v>303</v>
      </c>
      <c r="G1333" s="92" t="s">
        <v>304</v>
      </c>
      <c r="H1333" s="92" t="s">
        <v>305</v>
      </c>
      <c r="I1333" s="92" t="s">
        <v>98</v>
      </c>
      <c r="J1333" s="92" t="s">
        <v>60</v>
      </c>
      <c r="K1333" s="98" t="s">
        <v>685</v>
      </c>
    </row>
    <row r="1334" spans="1:11" ht="13.8">
      <c r="A1334" s="47" t="s">
        <v>1330</v>
      </c>
      <c r="B1334" s="92" t="s">
        <v>818</v>
      </c>
      <c r="C1334" s="92" t="s">
        <v>1331</v>
      </c>
      <c r="D1334" s="72" t="str">
        <f>IFERROR(VLOOKUP(A1334,'[1]ST-QA-ZZ5'!$C$5:$M$299,11,0),"Inspection at production line")</f>
        <v>Inspection at production line</v>
      </c>
      <c r="F1334" s="47" t="s">
        <v>5120</v>
      </c>
      <c r="G1334" s="92" t="s">
        <v>174</v>
      </c>
      <c r="H1334" s="92" t="s">
        <v>498</v>
      </c>
      <c r="I1334" s="92" t="s">
        <v>98</v>
      </c>
      <c r="J1334" s="92" t="s">
        <v>60</v>
      </c>
      <c r="K1334" s="47" t="s">
        <v>683</v>
      </c>
    </row>
    <row r="1335" spans="1:11" ht="13.8">
      <c r="A1335" s="47" t="s">
        <v>1333</v>
      </c>
      <c r="B1335" s="92" t="s">
        <v>818</v>
      </c>
      <c r="C1335" s="92" t="s">
        <v>5206</v>
      </c>
      <c r="D1335" s="72" t="str">
        <f>IFERROR(VLOOKUP(A1335,'[1]ST-QA-ZZ5'!$C$5:$M$299,11,0),"Inspection at production line")</f>
        <v>Inspection at production line</v>
      </c>
      <c r="F1335" s="47" t="s">
        <v>5211</v>
      </c>
      <c r="G1335" s="92" t="s">
        <v>555</v>
      </c>
      <c r="H1335" s="92" t="s">
        <v>5212</v>
      </c>
      <c r="I1335" s="92" t="s">
        <v>2654</v>
      </c>
      <c r="J1335" s="92" t="s">
        <v>71</v>
      </c>
      <c r="K1335" s="47" t="s">
        <v>3099</v>
      </c>
    </row>
    <row r="1336" spans="1:11" ht="13.8">
      <c r="A1336" s="47" t="s">
        <v>5207</v>
      </c>
      <c r="B1336" s="92" t="s">
        <v>1315</v>
      </c>
      <c r="C1336" s="92" t="s">
        <v>5208</v>
      </c>
      <c r="D1336" s="72" t="str">
        <f>IFERROR(VLOOKUP(A1336,'[1]ST-QA-ZZ5'!$C$5:$M$299,11,0),"Inspection at production line")</f>
        <v>Inspection at production line</v>
      </c>
      <c r="F1336" s="47" t="s">
        <v>5213</v>
      </c>
      <c r="G1336" s="92" t="s">
        <v>5214</v>
      </c>
      <c r="H1336" s="92" t="s">
        <v>5215</v>
      </c>
      <c r="I1336" s="92" t="s">
        <v>77</v>
      </c>
      <c r="J1336" s="92" t="s">
        <v>60</v>
      </c>
      <c r="K1336" s="92" t="s">
        <v>686</v>
      </c>
    </row>
    <row r="1337" spans="1:11" ht="13.8">
      <c r="A1337" s="47" t="s">
        <v>5209</v>
      </c>
      <c r="B1337" s="92" t="s">
        <v>1315</v>
      </c>
      <c r="C1337" s="92" t="s">
        <v>5210</v>
      </c>
      <c r="D1337" s="72" t="str">
        <f>IFERROR(VLOOKUP(A1337,'[1]ST-QA-ZZ5'!$C$5:$M$299,11,0),"Inspection at production line")</f>
        <v>Inspection at production line</v>
      </c>
      <c r="F1337" s="47" t="s">
        <v>5216</v>
      </c>
      <c r="G1337" s="92" t="s">
        <v>57</v>
      </c>
      <c r="H1337" s="92" t="s">
        <v>5217</v>
      </c>
      <c r="I1337" s="92" t="s">
        <v>77</v>
      </c>
      <c r="J1337" s="92" t="s">
        <v>60</v>
      </c>
      <c r="K1337" s="92" t="s">
        <v>686</v>
      </c>
    </row>
    <row r="1338" spans="1:11" ht="13.8">
      <c r="A1338" s="47" t="s">
        <v>1336</v>
      </c>
      <c r="B1338" s="92" t="s">
        <v>898</v>
      </c>
      <c r="C1338" s="92" t="s">
        <v>1337</v>
      </c>
      <c r="D1338" s="72" t="str">
        <f>IFERROR(VLOOKUP(A1338,'[1]ST-QA-ZZ5'!$C$5:$M$299,11,0),"Inspection at production line")</f>
        <v>Inspection at production line</v>
      </c>
      <c r="F1338" s="47" t="s">
        <v>5220</v>
      </c>
      <c r="G1338" s="92" t="s">
        <v>57</v>
      </c>
      <c r="H1338" s="92" t="s">
        <v>5221</v>
      </c>
      <c r="I1338" s="92" t="s">
        <v>77</v>
      </c>
      <c r="J1338" s="92" t="s">
        <v>60</v>
      </c>
      <c r="K1338" s="92" t="s">
        <v>686</v>
      </c>
    </row>
    <row r="1339" spans="1:11" ht="13.8">
      <c r="A1339" s="47" t="s">
        <v>1339</v>
      </c>
      <c r="B1339" s="92" t="s">
        <v>898</v>
      </c>
      <c r="C1339" s="92" t="s">
        <v>1340</v>
      </c>
      <c r="D1339" s="72" t="str">
        <f>IFERROR(VLOOKUP(A1339,'[1]ST-QA-ZZ5'!$C$5:$M$299,11,0),"Inspection at production line")</f>
        <v>Inspection at production line</v>
      </c>
      <c r="F1339" s="47" t="s">
        <v>5222</v>
      </c>
      <c r="G1339" s="92" t="s">
        <v>1491</v>
      </c>
      <c r="H1339" s="92" t="s">
        <v>5223</v>
      </c>
      <c r="I1339" s="92" t="s">
        <v>77</v>
      </c>
      <c r="J1339" s="92" t="s">
        <v>60</v>
      </c>
      <c r="K1339" s="92" t="s">
        <v>686</v>
      </c>
    </row>
    <row r="1340" spans="1:11" ht="13.8">
      <c r="A1340" s="47" t="s">
        <v>5218</v>
      </c>
      <c r="B1340" s="92" t="s">
        <v>898</v>
      </c>
      <c r="C1340" s="92" t="s">
        <v>5219</v>
      </c>
      <c r="D1340" s="72" t="str">
        <f>IFERROR(VLOOKUP(A1340,'[1]ST-QA-ZZ5'!$C$5:$M$299,11,0),"Inspection at production line")</f>
        <v>Inspection at production line</v>
      </c>
      <c r="F1340" s="47" t="s">
        <v>5224</v>
      </c>
      <c r="G1340" s="92" t="s">
        <v>5214</v>
      </c>
      <c r="H1340" s="92" t="s">
        <v>5225</v>
      </c>
      <c r="I1340" s="92" t="s">
        <v>77</v>
      </c>
      <c r="J1340" s="92" t="s">
        <v>60</v>
      </c>
      <c r="K1340" s="92" t="s">
        <v>686</v>
      </c>
    </row>
    <row r="1341" spans="1:11" ht="13.8">
      <c r="A1341" s="47" t="s">
        <v>1342</v>
      </c>
      <c r="B1341" s="92" t="s">
        <v>898</v>
      </c>
      <c r="C1341" s="92" t="s">
        <v>1343</v>
      </c>
      <c r="D1341" s="72" t="str">
        <f>IFERROR(VLOOKUP(A1341,'[1]ST-QA-ZZ5'!$C$5:$M$299,11,0),"Inspection at production line")</f>
        <v>Inspection at production line</v>
      </c>
      <c r="F1341" s="47" t="s">
        <v>5227</v>
      </c>
      <c r="G1341" s="92" t="s">
        <v>5214</v>
      </c>
      <c r="H1341" s="92" t="s">
        <v>5228</v>
      </c>
      <c r="I1341" s="92" t="s">
        <v>77</v>
      </c>
      <c r="J1341" s="92" t="s">
        <v>60</v>
      </c>
      <c r="K1341" s="92" t="s">
        <v>686</v>
      </c>
    </row>
    <row r="1342" spans="1:11" ht="13.8">
      <c r="A1342" s="47" t="s">
        <v>1345</v>
      </c>
      <c r="B1342" s="92" t="s">
        <v>1063</v>
      </c>
      <c r="C1342" s="92" t="s">
        <v>1346</v>
      </c>
      <c r="D1342" s="72" t="str">
        <f>IFERROR(VLOOKUP(A1342,'[1]ST-QA-ZZ5'!$C$5:$M$299,11,0),"Inspection at production line")</f>
        <v>Inspection at production line</v>
      </c>
      <c r="F1342" s="47" t="s">
        <v>5229</v>
      </c>
      <c r="G1342" s="92" t="s">
        <v>57</v>
      </c>
      <c r="H1342" s="92" t="s">
        <v>5230</v>
      </c>
      <c r="I1342" s="92" t="s">
        <v>77</v>
      </c>
      <c r="J1342" s="92" t="s">
        <v>60</v>
      </c>
      <c r="K1342" s="92" t="s">
        <v>686</v>
      </c>
    </row>
    <row r="1343" spans="1:11" ht="13.8">
      <c r="A1343" s="47" t="s">
        <v>5226</v>
      </c>
      <c r="B1343" s="92" t="s">
        <v>1046</v>
      </c>
      <c r="C1343" s="92" t="s">
        <v>1047</v>
      </c>
      <c r="D1343" s="72" t="str">
        <f>IFERROR(VLOOKUP(A1343,'[1]ST-QA-ZZ5'!$C$5:$M$299,11,0),"Inspection at production line")</f>
        <v>Inspection at production line</v>
      </c>
      <c r="F1343" s="47" t="s">
        <v>5231</v>
      </c>
      <c r="G1343" s="92" t="s">
        <v>57</v>
      </c>
      <c r="H1343" s="92" t="s">
        <v>5232</v>
      </c>
      <c r="I1343" s="92" t="s">
        <v>77</v>
      </c>
      <c r="J1343" s="92" t="s">
        <v>60</v>
      </c>
      <c r="K1343" s="92" t="s">
        <v>686</v>
      </c>
    </row>
    <row r="1344" spans="1:11" ht="13.8">
      <c r="A1344" s="47" t="s">
        <v>1348</v>
      </c>
      <c r="B1344" s="92" t="s">
        <v>1046</v>
      </c>
      <c r="C1344" s="92" t="s">
        <v>1349</v>
      </c>
      <c r="D1344" s="72" t="str">
        <f>IFERROR(VLOOKUP(A1344,'[1]ST-QA-ZZ5'!$C$5:$M$299,11,0),"Inspection at production line")</f>
        <v>Inspection at production line</v>
      </c>
      <c r="F1344" s="47">
        <v>827</v>
      </c>
      <c r="G1344" s="92" t="s">
        <v>903</v>
      </c>
      <c r="H1344" s="92" t="s">
        <v>1515</v>
      </c>
      <c r="I1344" s="92" t="s">
        <v>846</v>
      </c>
      <c r="J1344" s="92" t="s">
        <v>60</v>
      </c>
      <c r="K1344" s="92" t="s">
        <v>633</v>
      </c>
    </row>
    <row r="1345" spans="1:11" ht="13.8">
      <c r="A1345" s="47" t="s">
        <v>1352</v>
      </c>
      <c r="B1345" s="92" t="s">
        <v>1016</v>
      </c>
      <c r="C1345" s="92" t="s">
        <v>1353</v>
      </c>
      <c r="D1345" s="72" t="str">
        <f>IFERROR(VLOOKUP(A1345,'[1]ST-QA-ZZ5'!$C$5:$M$299,11,0),"Inspection at production line")</f>
        <v>Inspection at production line</v>
      </c>
      <c r="F1345" s="47">
        <v>501</v>
      </c>
      <c r="G1345" s="92" t="s">
        <v>905</v>
      </c>
      <c r="H1345" s="92" t="s">
        <v>906</v>
      </c>
      <c r="I1345" s="92" t="s">
        <v>846</v>
      </c>
      <c r="J1345" s="92" t="s">
        <v>60</v>
      </c>
      <c r="K1345" s="92" t="s">
        <v>633</v>
      </c>
    </row>
    <row r="1346" spans="1:11" ht="13.8">
      <c r="A1346" s="47" t="s">
        <v>5233</v>
      </c>
      <c r="B1346" s="92" t="s">
        <v>1359</v>
      </c>
      <c r="C1346" s="92" t="s">
        <v>5234</v>
      </c>
      <c r="D1346" s="72" t="str">
        <f>IFERROR(VLOOKUP(A1346,'[1]ST-QA-ZZ5'!$C$5:$M$299,11,0),"Inspection at production line")</f>
        <v>Inspection at production line</v>
      </c>
      <c r="F1346" s="47" t="s">
        <v>5239</v>
      </c>
      <c r="G1346" s="92" t="s">
        <v>704</v>
      </c>
      <c r="H1346" s="92" t="s">
        <v>5240</v>
      </c>
      <c r="I1346" s="92" t="s">
        <v>77</v>
      </c>
      <c r="J1346" s="92" t="s">
        <v>60</v>
      </c>
      <c r="K1346" s="92" t="s">
        <v>686</v>
      </c>
    </row>
    <row r="1347" spans="1:11" ht="13.8">
      <c r="A1347" s="47" t="s">
        <v>5235</v>
      </c>
      <c r="B1347" s="92" t="s">
        <v>1016</v>
      </c>
      <c r="C1347" s="92" t="s">
        <v>5236</v>
      </c>
      <c r="D1347" s="72" t="str">
        <f>IFERROR(VLOOKUP(A1347,'[1]ST-QA-ZZ5'!$C$5:$M$299,11,0),"Inspection at production line")</f>
        <v>Inspection at production line</v>
      </c>
      <c r="F1347" s="47">
        <v>832</v>
      </c>
      <c r="G1347" s="92" t="s">
        <v>900</v>
      </c>
      <c r="H1347" s="92" t="s">
        <v>1532</v>
      </c>
      <c r="I1347" s="92" t="s">
        <v>846</v>
      </c>
      <c r="J1347" s="92" t="s">
        <v>60</v>
      </c>
      <c r="K1347" s="92" t="s">
        <v>633</v>
      </c>
    </row>
    <row r="1348" spans="1:11" ht="13.8">
      <c r="A1348" s="47" t="s">
        <v>5237</v>
      </c>
      <c r="B1348" s="92" t="s">
        <v>1016</v>
      </c>
      <c r="C1348" s="92" t="s">
        <v>5238</v>
      </c>
      <c r="D1348" s="72" t="str">
        <f>IFERROR(VLOOKUP(A1348,'[1]ST-QA-ZZ5'!$C$5:$M$299,11,0),"Inspection at production line")</f>
        <v>Inspection at production line</v>
      </c>
      <c r="F1348" s="47" t="s">
        <v>703</v>
      </c>
      <c r="G1348" s="92" t="s">
        <v>704</v>
      </c>
      <c r="H1348" s="94" t="s">
        <v>705</v>
      </c>
      <c r="I1348" s="92" t="s">
        <v>77</v>
      </c>
      <c r="J1348" s="92" t="s">
        <v>60</v>
      </c>
      <c r="K1348" s="92" t="s">
        <v>707</v>
      </c>
    </row>
    <row r="1349" spans="1:11" ht="13.8">
      <c r="A1349" s="47" t="s">
        <v>1355</v>
      </c>
      <c r="B1349" s="92" t="s">
        <v>1016</v>
      </c>
      <c r="C1349" s="92" t="s">
        <v>1356</v>
      </c>
      <c r="D1349" s="72" t="str">
        <f>IFERROR(VLOOKUP(A1349,'[1]ST-QA-ZZ5'!$C$5:$M$299,11,0),"Inspection at production line")</f>
        <v>Inspection at production line</v>
      </c>
      <c r="F1349" s="47" t="s">
        <v>5243</v>
      </c>
      <c r="G1349" s="92" t="s">
        <v>1177</v>
      </c>
      <c r="H1349" s="92" t="s">
        <v>5244</v>
      </c>
      <c r="I1349" s="92" t="s">
        <v>5245</v>
      </c>
      <c r="J1349" s="92" t="s">
        <v>60</v>
      </c>
      <c r="K1349" s="92" t="s">
        <v>633</v>
      </c>
    </row>
    <row r="1350" spans="1:11" ht="13.8">
      <c r="A1350" s="47" t="s">
        <v>5241</v>
      </c>
      <c r="B1350" s="92" t="s">
        <v>1016</v>
      </c>
      <c r="C1350" s="92" t="s">
        <v>5242</v>
      </c>
      <c r="D1350" s="72" t="str">
        <f>IFERROR(VLOOKUP(A1350,'[1]ST-QA-ZZ5'!$C$5:$M$299,11,0),"Inspection at production line")</f>
        <v>Inspection at production line</v>
      </c>
      <c r="F1350" s="47" t="s">
        <v>5246</v>
      </c>
      <c r="G1350" s="92" t="s">
        <v>83</v>
      </c>
      <c r="H1350" s="92" t="s">
        <v>5247</v>
      </c>
      <c r="I1350" s="92" t="s">
        <v>5245</v>
      </c>
      <c r="J1350" s="92" t="s">
        <v>60</v>
      </c>
      <c r="K1350" s="92" t="s">
        <v>633</v>
      </c>
    </row>
    <row r="1351" spans="1:11" ht="13.8">
      <c r="A1351" s="47" t="s">
        <v>1358</v>
      </c>
      <c r="B1351" s="92" t="s">
        <v>1359</v>
      </c>
      <c r="C1351" s="92" t="s">
        <v>1360</v>
      </c>
      <c r="D1351" s="72" t="str">
        <f>IFERROR(VLOOKUP(A1351,'[1]ST-QA-ZZ5'!$C$5:$M$299,11,0),"Inspection at production line")</f>
        <v>Inspection at production line</v>
      </c>
      <c r="F1351" s="47">
        <v>814</v>
      </c>
      <c r="G1351" s="92" t="s">
        <v>1472</v>
      </c>
      <c r="H1351" s="92" t="s">
        <v>1473</v>
      </c>
      <c r="I1351" s="92" t="s">
        <v>846</v>
      </c>
      <c r="J1351" s="92" t="s">
        <v>60</v>
      </c>
      <c r="K1351" s="92" t="s">
        <v>633</v>
      </c>
    </row>
    <row r="1352" spans="1:11" ht="13.8">
      <c r="A1352" s="47" t="s">
        <v>1362</v>
      </c>
      <c r="B1352" s="92" t="s">
        <v>1359</v>
      </c>
      <c r="C1352" s="92" t="s">
        <v>1363</v>
      </c>
      <c r="D1352" s="72" t="str">
        <f>IFERROR(VLOOKUP(A1352,'[1]ST-QA-ZZ5'!$C$5:$M$299,11,0),"Inspection at production line")</f>
        <v>Inspection at production line</v>
      </c>
      <c r="F1352" s="47" t="s">
        <v>5252</v>
      </c>
      <c r="G1352" s="92" t="s">
        <v>5253</v>
      </c>
      <c r="H1352" s="92" t="s">
        <v>5254</v>
      </c>
      <c r="I1352" s="92" t="s">
        <v>98</v>
      </c>
      <c r="J1352" s="92" t="s">
        <v>60</v>
      </c>
      <c r="K1352" s="98" t="s">
        <v>685</v>
      </c>
    </row>
    <row r="1353" spans="1:11" ht="13.8">
      <c r="A1353" s="47" t="s">
        <v>5248</v>
      </c>
      <c r="B1353" s="92" t="s">
        <v>1016</v>
      </c>
      <c r="C1353" s="92" t="s">
        <v>5249</v>
      </c>
      <c r="D1353" s="72" t="str">
        <f>IFERROR(VLOOKUP(A1353,'[1]ST-QA-ZZ5'!$C$5:$M$299,11,0),"Inspection at production line")</f>
        <v>Inspection at production line</v>
      </c>
      <c r="F1353" s="47">
        <v>836</v>
      </c>
      <c r="G1353" s="92" t="s">
        <v>57</v>
      </c>
      <c r="H1353" s="92" t="s">
        <v>1547</v>
      </c>
      <c r="I1353" s="92" t="s">
        <v>846</v>
      </c>
      <c r="J1353" s="92" t="s">
        <v>60</v>
      </c>
      <c r="K1353" s="92" t="s">
        <v>633</v>
      </c>
    </row>
    <row r="1354" spans="1:11" ht="13.8">
      <c r="A1354" s="47" t="s">
        <v>5250</v>
      </c>
      <c r="B1354" s="92" t="s">
        <v>1016</v>
      </c>
      <c r="C1354" s="92" t="s">
        <v>5251</v>
      </c>
      <c r="D1354" s="72" t="str">
        <f>IFERROR(VLOOKUP(A1354,'[1]ST-QA-ZZ5'!$C$5:$M$299,11,0),"Inspection at production line")</f>
        <v>Inspection at production line</v>
      </c>
      <c r="F1354" s="47" t="s">
        <v>5257</v>
      </c>
      <c r="G1354" s="92" t="s">
        <v>905</v>
      </c>
      <c r="H1354" s="92" t="s">
        <v>5258</v>
      </c>
      <c r="I1354" s="92" t="s">
        <v>4972</v>
      </c>
      <c r="J1354" s="92" t="s">
        <v>60</v>
      </c>
      <c r="K1354" s="47" t="s">
        <v>4973</v>
      </c>
    </row>
    <row r="1355" spans="1:11" ht="13.8">
      <c r="A1355" s="47" t="s">
        <v>5255</v>
      </c>
      <c r="B1355" s="92" t="s">
        <v>1016</v>
      </c>
      <c r="C1355" s="92" t="s">
        <v>5256</v>
      </c>
      <c r="D1355" s="72" t="str">
        <f>IFERROR(VLOOKUP(A1355,'[1]ST-QA-ZZ5'!$C$5:$M$299,11,0),"Inspection at production line")</f>
        <v>Inspection at production line</v>
      </c>
      <c r="F1355" s="47" t="s">
        <v>5261</v>
      </c>
      <c r="G1355" s="92" t="s">
        <v>174</v>
      </c>
      <c r="H1355" s="92" t="s">
        <v>476</v>
      </c>
      <c r="I1355" s="92" t="s">
        <v>59</v>
      </c>
      <c r="J1355" s="92" t="s">
        <v>60</v>
      </c>
      <c r="K1355" s="92" t="s">
        <v>633</v>
      </c>
    </row>
    <row r="1356" spans="1:11" ht="13.8">
      <c r="A1356" s="47" t="s">
        <v>1365</v>
      </c>
      <c r="B1356" s="92" t="s">
        <v>1016</v>
      </c>
      <c r="C1356" s="92" t="s">
        <v>1366</v>
      </c>
      <c r="D1356" s="72" t="str">
        <f>IFERROR(VLOOKUP(A1356,'[1]ST-QA-ZZ5'!$C$5:$M$299,11,0),"Inspection at production line")</f>
        <v>Inspection at production line</v>
      </c>
      <c r="F1356" s="47" t="s">
        <v>5263</v>
      </c>
      <c r="G1356" s="92" t="s">
        <v>745</v>
      </c>
      <c r="H1356" s="92" t="s">
        <v>5264</v>
      </c>
      <c r="I1356" s="92" t="s">
        <v>760</v>
      </c>
      <c r="J1356" s="92" t="s">
        <v>60</v>
      </c>
      <c r="K1356" s="92" t="s">
        <v>633</v>
      </c>
    </row>
    <row r="1357" spans="1:11" ht="13.8">
      <c r="A1357" s="47" t="s">
        <v>5259</v>
      </c>
      <c r="B1357" s="92" t="s">
        <v>1016</v>
      </c>
      <c r="C1357" s="92" t="s">
        <v>5260</v>
      </c>
      <c r="D1357" s="72" t="str">
        <f>IFERROR(VLOOKUP(A1357,'[1]ST-QA-ZZ5'!$C$5:$M$299,11,0),"Inspection at production line")</f>
        <v>Inspection at production line</v>
      </c>
      <c r="F1357" s="47" t="s">
        <v>5268</v>
      </c>
      <c r="G1357" s="92" t="s">
        <v>3543</v>
      </c>
      <c r="H1357" s="92" t="s">
        <v>5269</v>
      </c>
      <c r="I1357" s="92" t="s">
        <v>5270</v>
      </c>
      <c r="J1357" s="92" t="s">
        <v>60</v>
      </c>
      <c r="K1357" s="92" t="s">
        <v>682</v>
      </c>
    </row>
    <row r="1358" spans="1:11" ht="13.8">
      <c r="A1358" s="47" t="s">
        <v>5262</v>
      </c>
      <c r="B1358" s="92" t="s">
        <v>1359</v>
      </c>
      <c r="C1358" s="92" t="s">
        <v>1360</v>
      </c>
      <c r="D1358" s="72" t="str">
        <f>IFERROR(VLOOKUP(A1358,'[1]ST-QA-ZZ5'!$C$5:$M$299,11,0),"Inspection at production line")</f>
        <v>Inspection at production line</v>
      </c>
      <c r="F1358" s="47" t="s">
        <v>629</v>
      </c>
      <c r="G1358" s="92" t="s">
        <v>630</v>
      </c>
      <c r="H1358" s="92" t="s">
        <v>631</v>
      </c>
      <c r="I1358" s="92" t="s">
        <v>5245</v>
      </c>
      <c r="J1358" s="92" t="s">
        <v>60</v>
      </c>
      <c r="K1358" s="92" t="s">
        <v>633</v>
      </c>
    </row>
    <row r="1359" spans="1:11" ht="13.8">
      <c r="A1359" s="47" t="s">
        <v>5265</v>
      </c>
      <c r="B1359" s="92" t="s">
        <v>5266</v>
      </c>
      <c r="C1359" s="92" t="s">
        <v>5267</v>
      </c>
      <c r="D1359" s="72" t="str">
        <f>IFERROR(VLOOKUP(A1359,'[1]ST-QA-ZZ5'!$C$5:$M$299,11,0),"Inspection at production line")</f>
        <v>Inspection at production line</v>
      </c>
      <c r="F1359" s="47" t="s">
        <v>5275</v>
      </c>
      <c r="G1359" s="92" t="s">
        <v>174</v>
      </c>
      <c r="H1359" s="92" t="s">
        <v>5276</v>
      </c>
      <c r="I1359" s="92" t="s">
        <v>5245</v>
      </c>
      <c r="J1359" s="92" t="s">
        <v>60</v>
      </c>
      <c r="K1359" s="92" t="s">
        <v>633</v>
      </c>
    </row>
    <row r="1360" spans="1:11" ht="13.8">
      <c r="A1360" s="47" t="s">
        <v>5271</v>
      </c>
      <c r="B1360" s="92" t="s">
        <v>1369</v>
      </c>
      <c r="C1360" s="92" t="s">
        <v>5272</v>
      </c>
      <c r="D1360" s="72" t="str">
        <f>IFERROR(VLOOKUP(A1360,'[1]ST-QA-ZZ5'!$C$5:$M$299,11,0),"Inspection at production line")</f>
        <v>Inspection at production line</v>
      </c>
      <c r="F1360" s="47" t="s">
        <v>5277</v>
      </c>
      <c r="G1360" s="92" t="s">
        <v>119</v>
      </c>
      <c r="H1360" s="92" t="s">
        <v>5278</v>
      </c>
      <c r="I1360" s="92" t="s">
        <v>98</v>
      </c>
      <c r="J1360" s="92" t="s">
        <v>60</v>
      </c>
      <c r="K1360" s="92" t="s">
        <v>5279</v>
      </c>
    </row>
    <row r="1361" spans="1:11" ht="13.8">
      <c r="A1361" s="47" t="s">
        <v>5273</v>
      </c>
      <c r="B1361" s="92" t="s">
        <v>5266</v>
      </c>
      <c r="C1361" s="92" t="s">
        <v>5274</v>
      </c>
      <c r="D1361" s="72" t="str">
        <f>IFERROR(VLOOKUP(A1361,'[1]ST-QA-ZZ5'!$C$5:$M$299,11,0),"Inspection at production line")</f>
        <v>Inspection at production line</v>
      </c>
      <c r="F1361" s="47" t="s">
        <v>5280</v>
      </c>
      <c r="G1361" s="92" t="s">
        <v>5281</v>
      </c>
      <c r="H1361" s="92" t="s">
        <v>5282</v>
      </c>
      <c r="I1361" s="92" t="s">
        <v>2654</v>
      </c>
      <c r="J1361" s="92" t="s">
        <v>60</v>
      </c>
      <c r="K1361" s="92" t="s">
        <v>2655</v>
      </c>
    </row>
    <row r="1362" spans="1:11" ht="13.8">
      <c r="A1362" s="47" t="s">
        <v>1368</v>
      </c>
      <c r="B1362" s="92" t="s">
        <v>1369</v>
      </c>
      <c r="C1362" s="92" t="s">
        <v>1370</v>
      </c>
      <c r="D1362" s="72" t="str">
        <f>IFERROR(VLOOKUP(A1362,'[1]ST-QA-ZZ5'!$C$5:$M$299,11,0),"Inspection at production line")</f>
        <v>Inspection at production line</v>
      </c>
      <c r="F1362" s="47" t="s">
        <v>5285</v>
      </c>
      <c r="G1362" s="92" t="s">
        <v>213</v>
      </c>
      <c r="H1362" s="92" t="s">
        <v>5286</v>
      </c>
      <c r="I1362" s="92" t="s">
        <v>98</v>
      </c>
      <c r="J1362" s="92" t="s">
        <v>60</v>
      </c>
      <c r="K1362" s="98" t="s">
        <v>685</v>
      </c>
    </row>
    <row r="1363" spans="1:11" ht="13.8">
      <c r="A1363" s="47" t="s">
        <v>1372</v>
      </c>
      <c r="B1363" s="92" t="s">
        <v>1369</v>
      </c>
      <c r="C1363" s="92" t="s">
        <v>1373</v>
      </c>
      <c r="D1363" s="72" t="str">
        <f>IFERROR(VLOOKUP(A1363,'[1]ST-QA-ZZ5'!$C$5:$M$299,11,0),"Inspection at production line")</f>
        <v>Inspection at production line</v>
      </c>
      <c r="F1363" s="47" t="s">
        <v>5287</v>
      </c>
      <c r="G1363" s="92" t="s">
        <v>818</v>
      </c>
      <c r="H1363" s="92" t="s">
        <v>5288</v>
      </c>
      <c r="I1363" s="92" t="s">
        <v>98</v>
      </c>
      <c r="J1363" s="92" t="s">
        <v>60</v>
      </c>
      <c r="K1363" s="92" t="s">
        <v>5289</v>
      </c>
    </row>
    <row r="1364" spans="1:11" ht="13.8">
      <c r="A1364" s="47" t="s">
        <v>5283</v>
      </c>
      <c r="B1364" s="92" t="s">
        <v>5266</v>
      </c>
      <c r="C1364" s="92" t="s">
        <v>5284</v>
      </c>
      <c r="D1364" s="72" t="str">
        <f>IFERROR(VLOOKUP(A1364,'[1]ST-QA-ZZ5'!$C$5:$M$299,11,0),"Inspection at production line")</f>
        <v>Inspection at production line</v>
      </c>
      <c r="F1364" s="47" t="s">
        <v>205</v>
      </c>
      <c r="G1364" s="92" t="s">
        <v>206</v>
      </c>
      <c r="H1364" s="92" t="s">
        <v>207</v>
      </c>
      <c r="I1364" s="92" t="s">
        <v>208</v>
      </c>
      <c r="J1364" s="92" t="s">
        <v>60</v>
      </c>
      <c r="K1364" s="98" t="s">
        <v>685</v>
      </c>
    </row>
    <row r="1365" spans="1:11" ht="13.8">
      <c r="A1365" s="47" t="s">
        <v>1375</v>
      </c>
      <c r="B1365" s="92" t="s">
        <v>1369</v>
      </c>
      <c r="C1365" s="92" t="s">
        <v>1376</v>
      </c>
      <c r="D1365" s="72" t="str">
        <f>IFERROR(VLOOKUP(A1365,'[1]ST-QA-ZZ5'!$C$5:$M$299,11,0),"Inspection at production line")</f>
        <v>Inspection at production line</v>
      </c>
      <c r="F1365" s="92" t="s">
        <v>5294</v>
      </c>
      <c r="G1365" s="92" t="s">
        <v>2489</v>
      </c>
      <c r="H1365" s="92" t="s">
        <v>5295</v>
      </c>
      <c r="I1365" s="92" t="s">
        <v>208</v>
      </c>
      <c r="J1365" s="92" t="s">
        <v>60</v>
      </c>
      <c r="K1365" s="92" t="s">
        <v>5296</v>
      </c>
    </row>
    <row r="1366" spans="1:11" ht="13.8">
      <c r="A1366" s="47" t="s">
        <v>5290</v>
      </c>
      <c r="B1366" s="92" t="s">
        <v>1369</v>
      </c>
      <c r="C1366" s="92" t="s">
        <v>5291</v>
      </c>
      <c r="D1366" s="72" t="str">
        <f>IFERROR(VLOOKUP(A1366,'[1]ST-QA-ZZ5'!$C$5:$M$299,11,0),"Inspection at production line")</f>
        <v>Inspection at production line</v>
      </c>
      <c r="F1366" s="92" t="s">
        <v>5298</v>
      </c>
      <c r="G1366" s="92" t="s">
        <v>5299</v>
      </c>
      <c r="H1366" s="92" t="s">
        <v>5300</v>
      </c>
      <c r="I1366" s="92" t="s">
        <v>2654</v>
      </c>
      <c r="J1366" s="92" t="s">
        <v>60</v>
      </c>
      <c r="K1366" s="92" t="s">
        <v>2655</v>
      </c>
    </row>
    <row r="1367" spans="1:11" ht="13.8">
      <c r="A1367" s="47" t="s">
        <v>5292</v>
      </c>
      <c r="B1367" s="92" t="s">
        <v>83</v>
      </c>
      <c r="C1367" s="92" t="s">
        <v>5293</v>
      </c>
      <c r="D1367" s="72" t="str">
        <f>IFERROR(VLOOKUP(A1367,'[1]ST-QA-ZZ5'!$C$5:$M$299,11,0),"Inspection at production line")</f>
        <v>Inspection at production line</v>
      </c>
      <c r="F1367" s="47" t="s">
        <v>5301</v>
      </c>
      <c r="G1367" s="92" t="s">
        <v>5099</v>
      </c>
      <c r="H1367" s="92" t="s">
        <v>5100</v>
      </c>
      <c r="I1367" s="92" t="s">
        <v>2654</v>
      </c>
      <c r="J1367" s="92" t="s">
        <v>60</v>
      </c>
      <c r="K1367" s="92" t="s">
        <v>2655</v>
      </c>
    </row>
    <row r="1368" spans="1:11" ht="13.8">
      <c r="A1368" s="47" t="s">
        <v>1378</v>
      </c>
      <c r="B1368" s="92" t="s">
        <v>936</v>
      </c>
      <c r="C1368" s="92" t="s">
        <v>5297</v>
      </c>
      <c r="D1368" s="72" t="str">
        <f>IFERROR(VLOOKUP(A1368,'[1]ST-QA-ZZ5'!$C$5:$M$299,11,0),"Inspection at production line")</f>
        <v>Inspection at production line</v>
      </c>
      <c r="F1368" s="47" t="s">
        <v>5304</v>
      </c>
      <c r="G1368" s="92" t="s">
        <v>317</v>
      </c>
      <c r="H1368" s="92" t="s">
        <v>317</v>
      </c>
      <c r="I1368" s="92" t="s">
        <v>98</v>
      </c>
      <c r="J1368" s="92" t="s">
        <v>60</v>
      </c>
      <c r="K1368" s="98" t="s">
        <v>685</v>
      </c>
    </row>
    <row r="1369" spans="1:11" ht="13.8">
      <c r="A1369" s="47" t="s">
        <v>1381</v>
      </c>
      <c r="B1369" s="92" t="s">
        <v>936</v>
      </c>
      <c r="C1369" s="92" t="s">
        <v>1382</v>
      </c>
      <c r="D1369" s="72" t="str">
        <f>IFERROR(VLOOKUP(A1369,'[1]ST-QA-ZZ5'!$C$5:$M$299,11,0),"Inspection at production line")</f>
        <v>Inspection at production line</v>
      </c>
      <c r="F1369" s="47" t="s">
        <v>5305</v>
      </c>
      <c r="G1369" s="92" t="s">
        <v>818</v>
      </c>
      <c r="H1369" s="92" t="s">
        <v>5306</v>
      </c>
      <c r="I1369" s="92" t="s">
        <v>98</v>
      </c>
      <c r="J1369" s="92" t="s">
        <v>60</v>
      </c>
      <c r="K1369" s="98" t="s">
        <v>685</v>
      </c>
    </row>
    <row r="1370" spans="1:11" ht="13.8">
      <c r="A1370" s="47" t="s">
        <v>5302</v>
      </c>
      <c r="B1370" s="92" t="s">
        <v>83</v>
      </c>
      <c r="C1370" s="92" t="s">
        <v>5303</v>
      </c>
      <c r="D1370" s="72" t="str">
        <f>IFERROR(VLOOKUP(A1370,'[1]ST-QA-ZZ5'!$C$5:$M$299,11,0),"Inspection at production line")</f>
        <v>Inspection at production line</v>
      </c>
      <c r="F1370" s="47">
        <v>817</v>
      </c>
      <c r="G1370" s="92" t="s">
        <v>83</v>
      </c>
      <c r="H1370" s="92" t="s">
        <v>1482</v>
      </c>
      <c r="I1370" s="92" t="s">
        <v>846</v>
      </c>
      <c r="J1370" s="92" t="s">
        <v>60</v>
      </c>
      <c r="K1370" s="92" t="s">
        <v>633</v>
      </c>
    </row>
    <row r="1371" spans="1:11" ht="13.8">
      <c r="A1371" s="47" t="s">
        <v>1384</v>
      </c>
      <c r="B1371" s="92" t="s">
        <v>1385</v>
      </c>
      <c r="C1371" s="92" t="s">
        <v>1386</v>
      </c>
      <c r="D1371" s="72" t="str">
        <f>IFERROR(VLOOKUP(A1371,'[1]ST-QA-ZZ5'!$C$5:$M$299,11,0),"Inspection at production line")</f>
        <v>Inspection at production line</v>
      </c>
      <c r="F1371" s="47" t="s">
        <v>5311</v>
      </c>
      <c r="G1371" s="92" t="s">
        <v>704</v>
      </c>
      <c r="H1371" s="92" t="s">
        <v>5312</v>
      </c>
      <c r="I1371" s="92" t="s">
        <v>77</v>
      </c>
      <c r="J1371" s="92" t="s">
        <v>60</v>
      </c>
      <c r="K1371" s="92" t="s">
        <v>707</v>
      </c>
    </row>
    <row r="1372" spans="1:11" ht="13.8">
      <c r="A1372" s="47" t="s">
        <v>5307</v>
      </c>
      <c r="B1372" s="92" t="s">
        <v>1385</v>
      </c>
      <c r="C1372" s="92" t="s">
        <v>5308</v>
      </c>
      <c r="D1372" s="72" t="str">
        <f>IFERROR(VLOOKUP(A1372,'[1]ST-QA-ZZ5'!$C$5:$M$299,11,0),"Inspection at production line")</f>
        <v>Inspection at production line</v>
      </c>
      <c r="F1372" s="47" t="s">
        <v>5313</v>
      </c>
      <c r="G1372" s="92" t="s">
        <v>397</v>
      </c>
      <c r="H1372" s="92" t="s">
        <v>2364</v>
      </c>
      <c r="I1372" s="92" t="s">
        <v>1157</v>
      </c>
      <c r="J1372" s="92" t="s">
        <v>60</v>
      </c>
      <c r="K1372" s="98" t="s">
        <v>681</v>
      </c>
    </row>
    <row r="1373" spans="1:11" ht="13.8">
      <c r="A1373" s="47" t="s">
        <v>5309</v>
      </c>
      <c r="B1373" s="92" t="s">
        <v>1385</v>
      </c>
      <c r="C1373" s="92" t="s">
        <v>5310</v>
      </c>
      <c r="D1373" s="72" t="str">
        <f>IFERROR(VLOOKUP(A1373,'[1]ST-QA-ZZ5'!$C$5:$M$299,11,0),"Inspection at production line")</f>
        <v>Inspection at production line</v>
      </c>
      <c r="F1373" s="47" t="s">
        <v>5314</v>
      </c>
      <c r="G1373" s="92" t="s">
        <v>397</v>
      </c>
      <c r="H1373" s="92" t="s">
        <v>5315</v>
      </c>
      <c r="I1373" s="92" t="s">
        <v>1157</v>
      </c>
      <c r="J1373" s="92" t="s">
        <v>60</v>
      </c>
      <c r="K1373" s="98" t="s">
        <v>685</v>
      </c>
    </row>
    <row r="1374" spans="1:11" ht="13.8">
      <c r="A1374" s="47" t="s">
        <v>1388</v>
      </c>
      <c r="B1374" s="92" t="s">
        <v>371</v>
      </c>
      <c r="C1374" s="92" t="s">
        <v>1389</v>
      </c>
      <c r="D1374" s="72" t="str">
        <f>IFERROR(VLOOKUP(A1374,'[1]ST-QA-ZZ5'!$C$5:$M$299,11,0),"Inspection at production line")</f>
        <v>Inspection at production line</v>
      </c>
      <c r="F1374" s="47" t="s">
        <v>5318</v>
      </c>
      <c r="G1374" s="92" t="s">
        <v>397</v>
      </c>
      <c r="H1374" s="92" t="s">
        <v>5319</v>
      </c>
      <c r="I1374" s="92" t="s">
        <v>1157</v>
      </c>
      <c r="J1374" s="92" t="s">
        <v>60</v>
      </c>
      <c r="K1374" s="98" t="s">
        <v>685</v>
      </c>
    </row>
    <row r="1375" spans="1:11" ht="13.8">
      <c r="A1375" s="47" t="s">
        <v>1391</v>
      </c>
      <c r="B1375" s="92" t="s">
        <v>371</v>
      </c>
      <c r="C1375" s="92" t="s">
        <v>1392</v>
      </c>
      <c r="D1375" s="72" t="str">
        <f>IFERROR(VLOOKUP(A1375,'[1]ST-QA-ZZ5'!$C$5:$M$299,11,0),"Inspection at production line")</f>
        <v>Inspection at production line</v>
      </c>
      <c r="F1375" s="47" t="s">
        <v>5322</v>
      </c>
      <c r="G1375" s="92" t="s">
        <v>3103</v>
      </c>
      <c r="H1375" s="92" t="s">
        <v>5323</v>
      </c>
      <c r="I1375" s="92" t="s">
        <v>2654</v>
      </c>
      <c r="J1375" s="92" t="s">
        <v>60</v>
      </c>
      <c r="K1375" s="47" t="s">
        <v>5324</v>
      </c>
    </row>
    <row r="1376" spans="1:11" ht="13.8">
      <c r="A1376" s="47" t="s">
        <v>5316</v>
      </c>
      <c r="B1376" s="92" t="s">
        <v>371</v>
      </c>
      <c r="C1376" s="92" t="s">
        <v>5317</v>
      </c>
      <c r="D1376" s="72" t="str">
        <f>IFERROR(VLOOKUP(A1376,'[1]ST-QA-ZZ5'!$C$5:$M$299,11,0),"Inspection at production line")</f>
        <v>Inspection at production line</v>
      </c>
      <c r="F1376" s="47" t="s">
        <v>1762</v>
      </c>
      <c r="G1376" s="92" t="s">
        <v>397</v>
      </c>
      <c r="H1376" s="92" t="s">
        <v>1763</v>
      </c>
      <c r="I1376" s="92" t="s">
        <v>1157</v>
      </c>
      <c r="J1376" s="92" t="s">
        <v>60</v>
      </c>
      <c r="K1376" s="98" t="s">
        <v>685</v>
      </c>
    </row>
    <row r="1377" spans="1:11" ht="13.8">
      <c r="A1377" s="47" t="s">
        <v>5320</v>
      </c>
      <c r="B1377" s="92" t="s">
        <v>371</v>
      </c>
      <c r="C1377" s="92" t="s">
        <v>5321</v>
      </c>
      <c r="D1377" s="72" t="str">
        <f>IFERROR(VLOOKUP(A1377,'[1]ST-QA-ZZ5'!$C$5:$M$299,11,0),"Inspection at production line")</f>
        <v>Inspection at production line</v>
      </c>
      <c r="F1377" s="47" t="s">
        <v>5329</v>
      </c>
      <c r="G1377" s="92" t="s">
        <v>3084</v>
      </c>
      <c r="H1377" s="92" t="s">
        <v>5330</v>
      </c>
      <c r="I1377" s="92" t="s">
        <v>2654</v>
      </c>
      <c r="J1377" s="92" t="s">
        <v>60</v>
      </c>
      <c r="K1377" s="92" t="s">
        <v>2655</v>
      </c>
    </row>
    <row r="1378" spans="1:11" ht="13.8">
      <c r="A1378" s="47" t="s">
        <v>5325</v>
      </c>
      <c r="B1378" s="92" t="s">
        <v>371</v>
      </c>
      <c r="C1378" s="92" t="s">
        <v>5326</v>
      </c>
      <c r="D1378" s="72" t="str">
        <f>IFERROR(VLOOKUP(A1378,'[1]ST-QA-ZZ5'!$C$5:$M$299,11,0),"Inspection at production line")</f>
        <v>Inspection at production line</v>
      </c>
      <c r="F1378" s="47" t="s">
        <v>5331</v>
      </c>
      <c r="G1378" s="92" t="s">
        <v>1954</v>
      </c>
      <c r="H1378" s="92" t="s">
        <v>5332</v>
      </c>
      <c r="I1378" s="92" t="s">
        <v>2654</v>
      </c>
      <c r="J1378" s="92" t="s">
        <v>60</v>
      </c>
      <c r="K1378" s="92" t="s">
        <v>2655</v>
      </c>
    </row>
    <row r="1379" spans="1:11" ht="13.8">
      <c r="A1379" s="47" t="s">
        <v>5327</v>
      </c>
      <c r="B1379" s="92" t="s">
        <v>371</v>
      </c>
      <c r="C1379" s="92" t="s">
        <v>5328</v>
      </c>
      <c r="D1379" s="72" t="str">
        <f>IFERROR(VLOOKUP(A1379,'[1]ST-QA-ZZ5'!$C$5:$M$299,11,0),"Inspection at production line")</f>
        <v>Inspection at production line</v>
      </c>
      <c r="F1379" s="92" t="s">
        <v>554</v>
      </c>
      <c r="G1379" s="92" t="s">
        <v>555</v>
      </c>
      <c r="H1379" s="92" t="s">
        <v>556</v>
      </c>
      <c r="I1379" s="92" t="s">
        <v>557</v>
      </c>
      <c r="J1379" s="92" t="s">
        <v>5333</v>
      </c>
      <c r="K1379" s="98" t="s">
        <v>5334</v>
      </c>
    </row>
    <row r="1380" spans="1:11" ht="13.8">
      <c r="A1380" s="47" t="s">
        <v>1394</v>
      </c>
      <c r="B1380" s="92" t="s">
        <v>404</v>
      </c>
      <c r="C1380" s="92" t="s">
        <v>1395</v>
      </c>
      <c r="D1380" s="72" t="str">
        <f>IFERROR(VLOOKUP(A1380,'[1]ST-QA-ZZ5'!$C$5:$M$299,11,0),"Inspection at production line")</f>
        <v>Inspection at production line</v>
      </c>
      <c r="F1380" s="47" t="s">
        <v>5337</v>
      </c>
      <c r="G1380" s="92" t="s">
        <v>206</v>
      </c>
      <c r="H1380" s="92" t="s">
        <v>207</v>
      </c>
      <c r="I1380" s="92" t="s">
        <v>208</v>
      </c>
      <c r="J1380" s="92" t="s">
        <v>60</v>
      </c>
      <c r="K1380" s="98" t="s">
        <v>685</v>
      </c>
    </row>
    <row r="1381" spans="1:11" ht="13.8">
      <c r="A1381" s="47" t="s">
        <v>1397</v>
      </c>
      <c r="B1381" s="92" t="s">
        <v>404</v>
      </c>
      <c r="C1381" s="92" t="s">
        <v>1398</v>
      </c>
      <c r="D1381" s="72" t="str">
        <f>IFERROR(VLOOKUP(A1381,'[1]ST-QA-ZZ5'!$C$5:$M$299,11,0),"Inspection at production line")</f>
        <v>Inspection at production line</v>
      </c>
      <c r="F1381" s="47" t="s">
        <v>5340</v>
      </c>
      <c r="G1381" s="92" t="s">
        <v>1554</v>
      </c>
      <c r="H1381" s="92" t="s">
        <v>5341</v>
      </c>
      <c r="I1381" s="92" t="s">
        <v>493</v>
      </c>
      <c r="J1381" s="92" t="s">
        <v>60</v>
      </c>
      <c r="K1381" s="98" t="s">
        <v>685</v>
      </c>
    </row>
    <row r="1382" spans="1:11" ht="13.8">
      <c r="A1382" s="47" t="s">
        <v>5335</v>
      </c>
      <c r="B1382" s="92" t="s">
        <v>404</v>
      </c>
      <c r="C1382" s="92" t="s">
        <v>5336</v>
      </c>
      <c r="D1382" s="72" t="str">
        <f>IFERROR(VLOOKUP(A1382,'[1]ST-QA-ZZ5'!$C$5:$M$299,11,0),"Inspection at production line")</f>
        <v>Inspection at production line</v>
      </c>
      <c r="F1382" s="47" t="s">
        <v>5342</v>
      </c>
      <c r="G1382" s="92" t="s">
        <v>5343</v>
      </c>
      <c r="H1382" s="92" t="s">
        <v>5344</v>
      </c>
      <c r="I1382" s="92" t="s">
        <v>5345</v>
      </c>
      <c r="J1382" s="92" t="s">
        <v>60</v>
      </c>
      <c r="K1382" s="98" t="s">
        <v>2655</v>
      </c>
    </row>
    <row r="1383" spans="1:11" ht="13.8">
      <c r="A1383" s="47" t="s">
        <v>5338</v>
      </c>
      <c r="B1383" s="92" t="s">
        <v>404</v>
      </c>
      <c r="C1383" s="92" t="s">
        <v>5339</v>
      </c>
      <c r="D1383" s="72" t="str">
        <f>IFERROR(VLOOKUP(A1383,'[1]ST-QA-ZZ5'!$C$5:$M$299,11,0),"Inspection at production line")</f>
        <v>Inspection at production line</v>
      </c>
      <c r="F1383" s="47" t="s">
        <v>5346</v>
      </c>
      <c r="G1383" s="92" t="s">
        <v>2137</v>
      </c>
      <c r="H1383" s="92" t="s">
        <v>5347</v>
      </c>
      <c r="I1383" s="92" t="s">
        <v>5348</v>
      </c>
      <c r="J1383" s="92" t="s">
        <v>60</v>
      </c>
      <c r="K1383" s="92" t="s">
        <v>2655</v>
      </c>
    </row>
    <row r="1384" spans="1:11" ht="13.8">
      <c r="A1384" s="47" t="s">
        <v>1400</v>
      </c>
      <c r="B1384" s="92" t="s">
        <v>404</v>
      </c>
      <c r="C1384" s="92" t="s">
        <v>1401</v>
      </c>
      <c r="D1384" s="72" t="str">
        <f>IFERROR(VLOOKUP(A1384,'[1]ST-QA-ZZ5'!$C$5:$M$299,11,0),"Inspection at production line")</f>
        <v>Inspection at production line</v>
      </c>
      <c r="F1384" s="47" t="s">
        <v>219</v>
      </c>
      <c r="G1384" s="92" t="s">
        <v>119</v>
      </c>
      <c r="H1384" s="92" t="s">
        <v>220</v>
      </c>
      <c r="I1384" s="92" t="s">
        <v>98</v>
      </c>
      <c r="J1384" s="92" t="s">
        <v>60</v>
      </c>
      <c r="K1384" s="98" t="s">
        <v>685</v>
      </c>
    </row>
    <row r="1385" spans="1:11" ht="13.8">
      <c r="A1385" s="47" t="s">
        <v>1403</v>
      </c>
      <c r="B1385" s="92" t="s">
        <v>404</v>
      </c>
      <c r="C1385" s="92" t="s">
        <v>1404</v>
      </c>
      <c r="D1385" s="72" t="str">
        <f>IFERROR(VLOOKUP(A1385,'[1]ST-QA-ZZ5'!$C$5:$M$299,11,0),"Inspection at production line")</f>
        <v>Sampling check</v>
      </c>
      <c r="F1385" s="47" t="s">
        <v>5351</v>
      </c>
      <c r="G1385" s="92" t="s">
        <v>2492</v>
      </c>
      <c r="H1385" s="92" t="s">
        <v>5352</v>
      </c>
      <c r="I1385" s="92" t="s">
        <v>51</v>
      </c>
      <c r="J1385" s="92" t="s">
        <v>60</v>
      </c>
      <c r="K1385" s="98" t="s">
        <v>685</v>
      </c>
    </row>
    <row r="1386" spans="1:11" ht="13.8">
      <c r="A1386" s="47" t="s">
        <v>5349</v>
      </c>
      <c r="B1386" s="92" t="s">
        <v>404</v>
      </c>
      <c r="C1386" s="92" t="s">
        <v>5350</v>
      </c>
      <c r="D1386" s="72" t="str">
        <f>IFERROR(VLOOKUP(A1386,'[1]ST-QA-ZZ5'!$C$5:$M$299,11,0),"Inspection at production line")</f>
        <v>Inspection at production line</v>
      </c>
      <c r="F1386" s="47" t="s">
        <v>212</v>
      </c>
      <c r="G1386" s="92" t="s">
        <v>213</v>
      </c>
      <c r="H1386" s="92" t="s">
        <v>214</v>
      </c>
      <c r="I1386" s="92" t="s">
        <v>215</v>
      </c>
      <c r="J1386" s="92" t="s">
        <v>60</v>
      </c>
      <c r="K1386" s="98" t="s">
        <v>685</v>
      </c>
    </row>
    <row r="1387" spans="1:11" ht="13.8">
      <c r="A1387" s="47" t="s">
        <v>1406</v>
      </c>
      <c r="B1387" s="92" t="s">
        <v>404</v>
      </c>
      <c r="C1387" s="92" t="s">
        <v>1407</v>
      </c>
      <c r="D1387" s="72" t="str">
        <f>IFERROR(VLOOKUP(A1387,'[1]ST-QA-ZZ5'!$C$5:$M$299,11,0),"Inspection at production line")</f>
        <v>Inspection at production line</v>
      </c>
      <c r="F1387" s="47" t="s">
        <v>5355</v>
      </c>
      <c r="G1387" s="92" t="s">
        <v>404</v>
      </c>
      <c r="H1387" s="92" t="s">
        <v>5356</v>
      </c>
      <c r="I1387" s="92" t="s">
        <v>2654</v>
      </c>
      <c r="J1387" s="92" t="s">
        <v>60</v>
      </c>
      <c r="K1387" s="92" t="s">
        <v>2655</v>
      </c>
    </row>
    <row r="1388" spans="1:11" ht="13.8">
      <c r="A1388" s="47" t="s">
        <v>5353</v>
      </c>
      <c r="B1388" s="92" t="s">
        <v>404</v>
      </c>
      <c r="C1388" s="92" t="s">
        <v>5354</v>
      </c>
      <c r="D1388" s="72" t="str">
        <f>IFERROR(VLOOKUP(A1388,'[1]ST-QA-ZZ5'!$C$5:$M$299,11,0),"Inspection at production line")</f>
        <v>Inspection at production line</v>
      </c>
      <c r="F1388" s="47" t="s">
        <v>5357</v>
      </c>
      <c r="G1388" s="92" t="s">
        <v>4996</v>
      </c>
      <c r="H1388" s="92" t="s">
        <v>5358</v>
      </c>
      <c r="I1388" s="92" t="s">
        <v>2654</v>
      </c>
      <c r="J1388" s="92" t="s">
        <v>60</v>
      </c>
      <c r="K1388" s="92" t="s">
        <v>2655</v>
      </c>
    </row>
    <row r="1389" spans="1:11" ht="13.8">
      <c r="A1389" s="47" t="s">
        <v>1409</v>
      </c>
      <c r="B1389" s="92" t="s">
        <v>811</v>
      </c>
      <c r="C1389" s="92" t="s">
        <v>1410</v>
      </c>
      <c r="D1389" s="72" t="str">
        <f>IFERROR(VLOOKUP(A1389,'[1]ST-QA-ZZ5'!$C$5:$M$299,11,0),"Inspection at production line")</f>
        <v>Inspection at production line</v>
      </c>
      <c r="F1389" s="47" t="s">
        <v>5362</v>
      </c>
      <c r="G1389" s="92" t="s">
        <v>174</v>
      </c>
      <c r="H1389" s="92" t="s">
        <v>5363</v>
      </c>
      <c r="I1389" s="92" t="s">
        <v>5345</v>
      </c>
      <c r="J1389" s="92" t="s">
        <v>60</v>
      </c>
      <c r="K1389" s="98" t="s">
        <v>2655</v>
      </c>
    </row>
    <row r="1390" spans="1:11" ht="13.8">
      <c r="A1390" s="47" t="s">
        <v>1412</v>
      </c>
      <c r="B1390" s="92" t="s">
        <v>811</v>
      </c>
      <c r="C1390" s="92" t="s">
        <v>1413</v>
      </c>
      <c r="D1390" s="72" t="str">
        <f>IFERROR(VLOOKUP(A1390,'[1]ST-QA-ZZ5'!$C$5:$M$299,11,0),"Inspection at production line")</f>
        <v>Inspection at production line</v>
      </c>
      <c r="F1390" s="47" t="s">
        <v>5366</v>
      </c>
      <c r="G1390" s="92" t="s">
        <v>174</v>
      </c>
      <c r="H1390" s="92" t="s">
        <v>5367</v>
      </c>
      <c r="I1390" s="92" t="s">
        <v>5345</v>
      </c>
      <c r="J1390" s="92" t="s">
        <v>60</v>
      </c>
      <c r="K1390" s="98" t="s">
        <v>2655</v>
      </c>
    </row>
    <row r="1391" spans="1:11" ht="13.8">
      <c r="A1391" s="47" t="s">
        <v>5359</v>
      </c>
      <c r="B1391" s="92" t="s">
        <v>5360</v>
      </c>
      <c r="C1391" s="92" t="s">
        <v>5361</v>
      </c>
      <c r="D1391" s="72" t="str">
        <f>IFERROR(VLOOKUP(A1391,'[1]ST-QA-ZZ5'!$C$5:$M$299,11,0),"Inspection at production line")</f>
        <v>Inspection at production line</v>
      </c>
      <c r="F1391" s="47" t="s">
        <v>5370</v>
      </c>
      <c r="G1391" s="92" t="s">
        <v>174</v>
      </c>
      <c r="H1391" s="92" t="s">
        <v>5371</v>
      </c>
      <c r="I1391" s="92" t="s">
        <v>5345</v>
      </c>
      <c r="J1391" s="92" t="s">
        <v>60</v>
      </c>
      <c r="K1391" s="98" t="s">
        <v>2655</v>
      </c>
    </row>
    <row r="1392" spans="1:11" ht="13.8">
      <c r="A1392" s="47" t="s">
        <v>5364</v>
      </c>
      <c r="B1392" s="92" t="s">
        <v>811</v>
      </c>
      <c r="C1392" s="92" t="s">
        <v>5365</v>
      </c>
      <c r="D1392" s="72" t="str">
        <f>IFERROR(VLOOKUP(A1392,'[1]ST-QA-ZZ5'!$C$5:$M$299,11,0),"Inspection at production line")</f>
        <v>Inspection at production line</v>
      </c>
      <c r="F1392" s="47" t="s">
        <v>5372</v>
      </c>
      <c r="G1392" s="92" t="s">
        <v>3079</v>
      </c>
      <c r="H1392" s="92" t="s">
        <v>2671</v>
      </c>
      <c r="I1392" s="92" t="s">
        <v>5345</v>
      </c>
      <c r="J1392" s="92" t="s">
        <v>60</v>
      </c>
      <c r="K1392" s="98" t="s">
        <v>2655</v>
      </c>
    </row>
    <row r="1393" spans="1:11" ht="13.8">
      <c r="A1393" s="47" t="s">
        <v>5368</v>
      </c>
      <c r="B1393" s="92" t="s">
        <v>811</v>
      </c>
      <c r="C1393" s="92" t="s">
        <v>5369</v>
      </c>
      <c r="D1393" s="72" t="str">
        <f>IFERROR(VLOOKUP(A1393,'[1]ST-QA-ZZ5'!$C$5:$M$299,11,0),"Inspection at production line")</f>
        <v>Inspection at production line</v>
      </c>
      <c r="F1393" s="47" t="s">
        <v>5374</v>
      </c>
      <c r="G1393" s="92" t="s">
        <v>2137</v>
      </c>
      <c r="H1393" s="92" t="s">
        <v>5375</v>
      </c>
      <c r="I1393" s="92" t="s">
        <v>5345</v>
      </c>
      <c r="J1393" s="92" t="s">
        <v>60</v>
      </c>
      <c r="K1393" s="98" t="s">
        <v>2655</v>
      </c>
    </row>
    <row r="1394" spans="1:11" ht="13.8">
      <c r="A1394" s="47" t="s">
        <v>1415</v>
      </c>
      <c r="B1394" s="92" t="s">
        <v>1050</v>
      </c>
      <c r="C1394" s="92" t="s">
        <v>1051</v>
      </c>
      <c r="D1394" s="72" t="str">
        <f>IFERROR(VLOOKUP(A1394,'[1]ST-QA-ZZ5'!$C$5:$M$299,11,0),"Inspection at production line")</f>
        <v>Inspection at production line</v>
      </c>
      <c r="F1394" s="47" t="s">
        <v>5376</v>
      </c>
      <c r="G1394" s="92" t="s">
        <v>5377</v>
      </c>
      <c r="H1394" s="92" t="s">
        <v>5001</v>
      </c>
      <c r="I1394" s="92" t="s">
        <v>5345</v>
      </c>
      <c r="J1394" s="92" t="s">
        <v>60</v>
      </c>
      <c r="K1394" s="98" t="s">
        <v>2655</v>
      </c>
    </row>
    <row r="1395" spans="1:11" ht="13.8">
      <c r="A1395" s="47" t="s">
        <v>5373</v>
      </c>
      <c r="B1395" s="92" t="s">
        <v>865</v>
      </c>
      <c r="C1395" s="92" t="s">
        <v>1095</v>
      </c>
      <c r="D1395" s="72" t="str">
        <f>IFERROR(VLOOKUP(A1395,'[1]ST-QA-ZZ5'!$C$5:$M$299,11,0),"Inspection at production line")</f>
        <v>Inspection at production line</v>
      </c>
      <c r="F1395" s="47" t="s">
        <v>5380</v>
      </c>
      <c r="G1395" s="92" t="s">
        <v>3079</v>
      </c>
      <c r="H1395" s="92" t="s">
        <v>2671</v>
      </c>
      <c r="I1395" s="92" t="s">
        <v>5345</v>
      </c>
      <c r="J1395" s="92" t="s">
        <v>60</v>
      </c>
      <c r="K1395" s="98" t="s">
        <v>2655</v>
      </c>
    </row>
    <row r="1396" spans="1:11" ht="13.8">
      <c r="A1396" s="47" t="s">
        <v>1417</v>
      </c>
      <c r="B1396" s="92" t="s">
        <v>865</v>
      </c>
      <c r="C1396" s="92" t="s">
        <v>1418</v>
      </c>
      <c r="D1396" s="72" t="str">
        <f>IFERROR(VLOOKUP(A1396,'[1]ST-QA-ZZ5'!$C$5:$M$299,11,0),"Inspection at production line")</f>
        <v>Inspection at production line</v>
      </c>
      <c r="F1396" s="47" t="s">
        <v>5383</v>
      </c>
      <c r="G1396" s="92" t="s">
        <v>818</v>
      </c>
      <c r="H1396" s="92" t="s">
        <v>5384</v>
      </c>
      <c r="I1396" s="92" t="s">
        <v>51</v>
      </c>
      <c r="J1396" s="92" t="s">
        <v>60</v>
      </c>
      <c r="K1396" s="98" t="s">
        <v>685</v>
      </c>
    </row>
    <row r="1397" spans="1:11" ht="13.8">
      <c r="A1397" s="47" t="s">
        <v>5378</v>
      </c>
      <c r="B1397" s="92" t="s">
        <v>865</v>
      </c>
      <c r="C1397" s="92" t="s">
        <v>5379</v>
      </c>
      <c r="D1397" s="72" t="str">
        <f>IFERROR(VLOOKUP(A1397,'[1]ST-QA-ZZ5'!$C$5:$M$299,11,0),"Inspection at production line")</f>
        <v>Inspection at production line</v>
      </c>
      <c r="F1397" s="47" t="s">
        <v>5386</v>
      </c>
      <c r="G1397" s="92" t="s">
        <v>5299</v>
      </c>
      <c r="H1397" s="92" t="s">
        <v>5387</v>
      </c>
      <c r="I1397" s="92" t="s">
        <v>5345</v>
      </c>
      <c r="J1397" s="92" t="s">
        <v>60</v>
      </c>
      <c r="K1397" s="98" t="s">
        <v>2655</v>
      </c>
    </row>
    <row r="1398" spans="1:11" ht="13.8">
      <c r="A1398" s="47" t="s">
        <v>5381</v>
      </c>
      <c r="B1398" s="92" t="s">
        <v>865</v>
      </c>
      <c r="C1398" s="92" t="s">
        <v>5382</v>
      </c>
      <c r="D1398" s="72" t="str">
        <f>IFERROR(VLOOKUP(A1398,'[1]ST-QA-ZZ5'!$C$5:$M$299,11,0),"Inspection at production line")</f>
        <v>Inspection at production line</v>
      </c>
      <c r="F1398" s="47" t="s">
        <v>5388</v>
      </c>
      <c r="G1398" s="92" t="s">
        <v>404</v>
      </c>
      <c r="H1398" s="92" t="s">
        <v>5389</v>
      </c>
      <c r="I1398" s="92" t="s">
        <v>5345</v>
      </c>
      <c r="J1398" s="92" t="s">
        <v>60</v>
      </c>
      <c r="K1398" s="98" t="s">
        <v>2655</v>
      </c>
    </row>
    <row r="1399" spans="1:11" ht="13.8">
      <c r="A1399" s="47" t="s">
        <v>5385</v>
      </c>
      <c r="B1399" s="92" t="s">
        <v>865</v>
      </c>
      <c r="C1399" s="92" t="s">
        <v>5379</v>
      </c>
      <c r="D1399" s="72" t="str">
        <f>IFERROR(VLOOKUP(A1399,'[1]ST-QA-ZZ5'!$C$5:$M$299,11,0),"Inspection at production line")</f>
        <v>Inspection at production line</v>
      </c>
      <c r="F1399" s="47" t="s">
        <v>5390</v>
      </c>
      <c r="G1399" s="92" t="s">
        <v>5377</v>
      </c>
      <c r="H1399" s="92" t="s">
        <v>5001</v>
      </c>
      <c r="I1399" s="92" t="s">
        <v>5345</v>
      </c>
      <c r="J1399" s="92" t="s">
        <v>60</v>
      </c>
      <c r="K1399" s="98" t="s">
        <v>2655</v>
      </c>
    </row>
    <row r="1400" spans="1:11" ht="13.8">
      <c r="A1400" s="47" t="s">
        <v>1420</v>
      </c>
      <c r="B1400" s="92" t="s">
        <v>865</v>
      </c>
      <c r="C1400" s="92" t="s">
        <v>1421</v>
      </c>
      <c r="D1400" s="72" t="str">
        <f>IFERROR(VLOOKUP(A1400,'[1]ST-QA-ZZ5'!$C$5:$M$299,11,0),"Inspection at production line")</f>
        <v>Inspection at production line</v>
      </c>
      <c r="F1400" s="47" t="s">
        <v>5392</v>
      </c>
      <c r="G1400" s="92" t="s">
        <v>404</v>
      </c>
      <c r="H1400" s="92" t="s">
        <v>5393</v>
      </c>
      <c r="I1400" s="92" t="s">
        <v>5345</v>
      </c>
      <c r="J1400" s="92" t="s">
        <v>60</v>
      </c>
      <c r="K1400" s="98" t="s">
        <v>2655</v>
      </c>
    </row>
    <row r="1401" spans="1:11" ht="13.8">
      <c r="A1401" s="47" t="s">
        <v>1423</v>
      </c>
      <c r="B1401" s="92" t="s">
        <v>865</v>
      </c>
      <c r="C1401" s="92" t="s">
        <v>1424</v>
      </c>
      <c r="D1401" s="72" t="str">
        <f>IFERROR(VLOOKUP(A1401,'[1]ST-QA-ZZ5'!$C$5:$M$299,11,0),"Inspection at production line")</f>
        <v>Inspection at production line</v>
      </c>
      <c r="F1401" s="47" t="s">
        <v>5394</v>
      </c>
      <c r="G1401" s="92" t="s">
        <v>119</v>
      </c>
      <c r="H1401" s="92" t="s">
        <v>5395</v>
      </c>
      <c r="I1401" s="92" t="s">
        <v>51</v>
      </c>
      <c r="J1401" s="92" t="s">
        <v>60</v>
      </c>
      <c r="K1401" s="98" t="s">
        <v>685</v>
      </c>
    </row>
    <row r="1402" spans="1:11" ht="13.8">
      <c r="A1402" s="47" t="s">
        <v>1426</v>
      </c>
      <c r="B1402" s="92" t="s">
        <v>5391</v>
      </c>
      <c r="C1402" s="92" t="s">
        <v>5391</v>
      </c>
      <c r="D1402" s="72" t="str">
        <f>IFERROR(VLOOKUP(A1402,'[1]ST-QA-ZZ5'!$C$5:$M$299,11,0),"Inspection at production line")</f>
        <v>Inspection at production line</v>
      </c>
      <c r="F1402" s="47" t="s">
        <v>233</v>
      </c>
      <c r="G1402" s="92" t="s">
        <v>174</v>
      </c>
      <c r="H1402" s="92" t="s">
        <v>234</v>
      </c>
      <c r="I1402" s="92" t="s">
        <v>51</v>
      </c>
      <c r="J1402" s="92" t="s">
        <v>60</v>
      </c>
      <c r="K1402" s="98" t="s">
        <v>685</v>
      </c>
    </row>
    <row r="1403" spans="1:11" ht="13.8">
      <c r="A1403" s="47" t="s">
        <v>1429</v>
      </c>
      <c r="B1403" s="92" t="s">
        <v>865</v>
      </c>
      <c r="C1403" s="92" t="s">
        <v>1430</v>
      </c>
      <c r="D1403" s="72" t="str">
        <f>IFERROR(VLOOKUP(A1403,'[1]ST-QA-ZZ5'!$C$5:$M$299,11,0),"Inspection at production line")</f>
        <v>Inspection at production line</v>
      </c>
      <c r="F1403" s="47" t="s">
        <v>5396</v>
      </c>
      <c r="G1403" s="92" t="s">
        <v>1472</v>
      </c>
      <c r="H1403" s="94" t="s">
        <v>5397</v>
      </c>
      <c r="I1403" s="92" t="s">
        <v>5245</v>
      </c>
      <c r="J1403" s="92" t="s">
        <v>60</v>
      </c>
      <c r="K1403" s="92" t="s">
        <v>633</v>
      </c>
    </row>
    <row r="1404" spans="1:11" ht="13.8">
      <c r="A1404" s="47" t="s">
        <v>1432</v>
      </c>
      <c r="B1404" s="92" t="s">
        <v>865</v>
      </c>
      <c r="C1404" s="92" t="s">
        <v>1433</v>
      </c>
      <c r="D1404" s="72" t="str">
        <f>IFERROR(VLOOKUP(A1404,'[1]ST-QA-ZZ5'!$C$5:$M$299,11,0),"Inspection at production line")</f>
        <v>Inspection at production line</v>
      </c>
      <c r="F1404" s="47" t="s">
        <v>5398</v>
      </c>
      <c r="G1404" s="92" t="s">
        <v>1543</v>
      </c>
      <c r="H1404" s="92" t="s">
        <v>5399</v>
      </c>
      <c r="I1404" s="92" t="s">
        <v>4972</v>
      </c>
      <c r="J1404" s="92" t="s">
        <v>239</v>
      </c>
      <c r="K1404" s="92" t="s">
        <v>4973</v>
      </c>
    </row>
    <row r="1405" spans="1:11" ht="13.8">
      <c r="A1405" s="47" t="s">
        <v>1435</v>
      </c>
      <c r="B1405" s="92" t="s">
        <v>865</v>
      </c>
      <c r="C1405" s="92" t="s">
        <v>1436</v>
      </c>
      <c r="D1405" s="72" t="str">
        <f>IFERROR(VLOOKUP(A1405,'[1]ST-QA-ZZ5'!$C$5:$M$299,11,0),"Inspection at production line")</f>
        <v>Inspection at production line</v>
      </c>
      <c r="F1405" s="47" t="s">
        <v>5400</v>
      </c>
      <c r="G1405" s="92" t="s">
        <v>2438</v>
      </c>
      <c r="H1405" s="92" t="s">
        <v>5401</v>
      </c>
      <c r="I1405" s="92" t="s">
        <v>51</v>
      </c>
      <c r="J1405" s="92" t="s">
        <v>239</v>
      </c>
      <c r="K1405" s="98" t="s">
        <v>685</v>
      </c>
    </row>
    <row r="1406" spans="1:11" ht="13.8">
      <c r="A1406" s="47" t="s">
        <v>1438</v>
      </c>
      <c r="B1406" s="92" t="s">
        <v>865</v>
      </c>
      <c r="C1406" s="92" t="s">
        <v>1439</v>
      </c>
      <c r="D1406" s="72" t="str">
        <f>IFERROR(VLOOKUP(A1406,'[1]ST-QA-ZZ5'!$C$5:$M$299,11,0),"Inspection at production line")</f>
        <v>Inspection at production line</v>
      </c>
      <c r="F1406" s="47" t="s">
        <v>5402</v>
      </c>
      <c r="G1406" s="92" t="s">
        <v>57</v>
      </c>
      <c r="H1406" s="92" t="s">
        <v>238</v>
      </c>
      <c r="I1406" s="92" t="s">
        <v>98</v>
      </c>
      <c r="J1406" s="92" t="s">
        <v>239</v>
      </c>
      <c r="K1406" s="98" t="s">
        <v>685</v>
      </c>
    </row>
    <row r="1407" spans="1:11" ht="13.8">
      <c r="A1407" s="47" t="s">
        <v>1441</v>
      </c>
      <c r="B1407" s="92" t="s">
        <v>1057</v>
      </c>
      <c r="C1407" s="92" t="s">
        <v>952</v>
      </c>
      <c r="D1407" s="72" t="str">
        <f>IFERROR(VLOOKUP(A1407,'[1]ST-QA-ZZ5'!$C$5:$M$299,11,0),"Inspection at production line")</f>
        <v>Inspection at production line</v>
      </c>
      <c r="F1407" s="47" t="s">
        <v>5403</v>
      </c>
      <c r="G1407" s="92" t="s">
        <v>317</v>
      </c>
      <c r="H1407" s="92" t="s">
        <v>5404</v>
      </c>
      <c r="I1407" s="92" t="s">
        <v>51</v>
      </c>
      <c r="J1407" s="92" t="s">
        <v>60</v>
      </c>
      <c r="K1407" s="98" t="s">
        <v>685</v>
      </c>
    </row>
    <row r="1408" spans="1:11" ht="13.8">
      <c r="A1408" s="47" t="s">
        <v>1443</v>
      </c>
      <c r="B1408" s="92" t="s">
        <v>1070</v>
      </c>
      <c r="C1408" s="92" t="s">
        <v>1444</v>
      </c>
      <c r="D1408" s="72" t="str">
        <f>IFERROR(VLOOKUP(A1408,'[1]ST-QA-ZZ5'!$C$5:$M$299,11,0),"Inspection at production line")</f>
        <v>Inspection at production line</v>
      </c>
      <c r="F1408" s="47" t="s">
        <v>5405</v>
      </c>
      <c r="G1408" s="92" t="s">
        <v>2652</v>
      </c>
      <c r="H1408" s="92" t="s">
        <v>5406</v>
      </c>
      <c r="I1408" s="92" t="s">
        <v>5345</v>
      </c>
      <c r="J1408" s="92" t="s">
        <v>60</v>
      </c>
      <c r="K1408" s="98" t="s">
        <v>2655</v>
      </c>
    </row>
    <row r="1409" spans="1:11" ht="13.8">
      <c r="A1409" s="47" t="s">
        <v>1446</v>
      </c>
      <c r="B1409" s="92" t="s">
        <v>90</v>
      </c>
      <c r="C1409" s="92" t="s">
        <v>1447</v>
      </c>
      <c r="D1409" s="72" t="str">
        <f>IFERROR(VLOOKUP(A1409,'[1]ST-QA-ZZ5'!$C$5:$M$299,11,0),"Inspection at production line")</f>
        <v>Inspection at production line</v>
      </c>
      <c r="F1409" s="47" t="s">
        <v>5408</v>
      </c>
      <c r="G1409" s="92" t="s">
        <v>4996</v>
      </c>
      <c r="H1409" s="92" t="s">
        <v>5409</v>
      </c>
      <c r="I1409" s="92" t="s">
        <v>5345</v>
      </c>
      <c r="J1409" s="92" t="s">
        <v>60</v>
      </c>
      <c r="K1409" s="98" t="s">
        <v>2655</v>
      </c>
    </row>
    <row r="1410" spans="1:11" ht="13.8">
      <c r="A1410" s="47" t="s">
        <v>1449</v>
      </c>
      <c r="B1410" s="92" t="s">
        <v>90</v>
      </c>
      <c r="C1410" s="92" t="s">
        <v>1098</v>
      </c>
      <c r="D1410" s="72" t="str">
        <f>IFERROR(VLOOKUP(A1410,'[1]ST-QA-ZZ5'!$C$5:$M$299,11,0),"Inspection at production line")</f>
        <v>Inspection at production line</v>
      </c>
      <c r="F1410" s="47" t="s">
        <v>5411</v>
      </c>
      <c r="G1410" s="92" t="s">
        <v>4996</v>
      </c>
      <c r="H1410" s="92" t="s">
        <v>5412</v>
      </c>
      <c r="I1410" s="92" t="s">
        <v>5345</v>
      </c>
      <c r="J1410" s="92" t="s">
        <v>60</v>
      </c>
      <c r="K1410" s="98" t="s">
        <v>2655</v>
      </c>
    </row>
    <row r="1411" spans="1:11" ht="13.8">
      <c r="A1411" s="47" t="s">
        <v>1450</v>
      </c>
      <c r="B1411" s="92" t="s">
        <v>90</v>
      </c>
      <c r="C1411" s="92" t="s">
        <v>5407</v>
      </c>
      <c r="D1411" s="72" t="str">
        <f>IFERROR(VLOOKUP(A1411,'[1]ST-QA-ZZ5'!$C$5:$M$299,11,0),"Inspection at production line")</f>
        <v>Inspection at production line</v>
      </c>
      <c r="F1411" s="47" t="s">
        <v>5413</v>
      </c>
      <c r="G1411" s="92" t="s">
        <v>5343</v>
      </c>
      <c r="H1411" s="92" t="s">
        <v>5414</v>
      </c>
      <c r="I1411" s="92" t="s">
        <v>5345</v>
      </c>
      <c r="J1411" s="92" t="s">
        <v>60</v>
      </c>
      <c r="K1411" s="98" t="s">
        <v>2655</v>
      </c>
    </row>
    <row r="1412" spans="1:11" ht="13.8">
      <c r="A1412" s="47" t="s">
        <v>1452</v>
      </c>
      <c r="B1412" s="92" t="s">
        <v>90</v>
      </c>
      <c r="C1412" s="92" t="s">
        <v>5410</v>
      </c>
      <c r="D1412" s="72" t="str">
        <f>IFERROR(VLOOKUP(A1412,'[1]ST-QA-ZZ5'!$C$5:$M$299,11,0),"Inspection at production line")</f>
        <v>Inspection at production line</v>
      </c>
      <c r="F1412" s="47" t="s">
        <v>5417</v>
      </c>
      <c r="G1412" s="92" t="s">
        <v>827</v>
      </c>
      <c r="H1412" s="92" t="s">
        <v>827</v>
      </c>
      <c r="I1412" s="92" t="s">
        <v>5418</v>
      </c>
      <c r="J1412" s="92" t="s">
        <v>60</v>
      </c>
      <c r="K1412" s="98" t="s">
        <v>685</v>
      </c>
    </row>
    <row r="1413" spans="1:11" ht="13.8">
      <c r="A1413" s="47" t="s">
        <v>1455</v>
      </c>
      <c r="B1413" s="92" t="s">
        <v>4499</v>
      </c>
      <c r="C1413" s="92" t="s">
        <v>1457</v>
      </c>
      <c r="D1413" s="72" t="str">
        <f>IFERROR(VLOOKUP(A1413,'[1]ST-QA-ZZ5'!$C$5:$M$299,11,0),"Inspection at production line")</f>
        <v>Inspection at production line</v>
      </c>
      <c r="F1413" s="47" t="s">
        <v>5419</v>
      </c>
      <c r="G1413" s="92" t="s">
        <v>90</v>
      </c>
      <c r="H1413" s="92" t="s">
        <v>91</v>
      </c>
      <c r="I1413" s="92" t="s">
        <v>92</v>
      </c>
      <c r="J1413" s="92" t="s">
        <v>60</v>
      </c>
      <c r="K1413" s="92" t="s">
        <v>686</v>
      </c>
    </row>
    <row r="1414" spans="1:11" ht="13.8">
      <c r="A1414" s="47" t="s">
        <v>5415</v>
      </c>
      <c r="B1414" s="92" t="s">
        <v>4475</v>
      </c>
      <c r="C1414" s="92" t="s">
        <v>5416</v>
      </c>
      <c r="D1414" s="72" t="str">
        <f>IFERROR(VLOOKUP(A1414,'[1]ST-QA-ZZ5'!$C$5:$M$299,11,0),"Inspection at production line")</f>
        <v>Inspection at production line</v>
      </c>
      <c r="F1414" s="47" t="s">
        <v>5420</v>
      </c>
      <c r="G1414" s="92" t="s">
        <v>1880</v>
      </c>
      <c r="H1414" s="92" t="s">
        <v>5421</v>
      </c>
      <c r="I1414" s="92" t="s">
        <v>5348</v>
      </c>
      <c r="J1414" s="92" t="s">
        <v>60</v>
      </c>
      <c r="K1414" s="98" t="s">
        <v>2655</v>
      </c>
    </row>
    <row r="1415" spans="1:11" ht="13.8">
      <c r="A1415" s="47" t="s">
        <v>1459</v>
      </c>
      <c r="B1415" s="92" t="s">
        <v>814</v>
      </c>
      <c r="C1415" s="92" t="s">
        <v>1104</v>
      </c>
      <c r="D1415" s="72" t="str">
        <f>IFERROR(VLOOKUP(A1415,'[1]ST-QA-ZZ5'!$C$5:$M$299,11,0),"Inspection at production line")</f>
        <v>Inspection at production line</v>
      </c>
      <c r="F1415" s="47" t="s">
        <v>532</v>
      </c>
      <c r="G1415" s="92" t="s">
        <v>304</v>
      </c>
      <c r="H1415" s="92" t="s">
        <v>533</v>
      </c>
      <c r="I1415" s="92" t="s">
        <v>215</v>
      </c>
      <c r="J1415" s="92" t="s">
        <v>60</v>
      </c>
      <c r="K1415" s="98" t="s">
        <v>684</v>
      </c>
    </row>
    <row r="1416" spans="1:11" ht="13.8">
      <c r="A1416" s="47" t="s">
        <v>1461</v>
      </c>
      <c r="B1416" s="92" t="s">
        <v>994</v>
      </c>
      <c r="C1416" s="92" t="s">
        <v>1462</v>
      </c>
      <c r="D1416" s="72" t="str">
        <f>IFERROR(VLOOKUP(A1416,'[1]ST-QA-ZZ5'!$C$5:$M$299,11,0),"Inspection at production line")</f>
        <v>Inspection at production line</v>
      </c>
      <c r="F1416" s="92" t="s">
        <v>5424</v>
      </c>
      <c r="G1416" s="92" t="s">
        <v>4996</v>
      </c>
      <c r="H1416" s="92" t="s">
        <v>5425</v>
      </c>
      <c r="I1416" s="92" t="s">
        <v>2654</v>
      </c>
      <c r="J1416" s="92" t="s">
        <v>60</v>
      </c>
      <c r="K1416" s="92" t="s">
        <v>2655</v>
      </c>
    </row>
    <row r="1417" spans="1:11" ht="13.8">
      <c r="A1417" s="47" t="s">
        <v>1464</v>
      </c>
      <c r="B1417" s="92" t="s">
        <v>994</v>
      </c>
      <c r="C1417" s="92" t="s">
        <v>1465</v>
      </c>
      <c r="D1417" s="72" t="str">
        <f>IFERROR(VLOOKUP(A1417,'[1]ST-QA-ZZ5'!$C$5:$M$299,11,0),"Inspection at production line")</f>
        <v>Inspection at production line</v>
      </c>
      <c r="F1417" s="47" t="s">
        <v>5426</v>
      </c>
      <c r="G1417" s="92" t="s">
        <v>5281</v>
      </c>
      <c r="H1417" s="92" t="s">
        <v>5427</v>
      </c>
      <c r="I1417" s="92" t="s">
        <v>5345</v>
      </c>
      <c r="J1417" s="92" t="s">
        <v>60</v>
      </c>
      <c r="K1417" s="47" t="s">
        <v>2655</v>
      </c>
    </row>
    <row r="1418" spans="1:11" ht="13.8">
      <c r="A1418" s="47" t="s">
        <v>5422</v>
      </c>
      <c r="B1418" s="92" t="s">
        <v>994</v>
      </c>
      <c r="C1418" s="92" t="s">
        <v>5423</v>
      </c>
      <c r="D1418" s="72" t="str">
        <f>IFERROR(VLOOKUP(A1418,'[1]ST-QA-ZZ5'!$C$5:$M$299,11,0),"Inspection at production line")</f>
        <v>Inspection at production line</v>
      </c>
      <c r="F1418" s="47" t="s">
        <v>5428</v>
      </c>
      <c r="G1418" s="92" t="s">
        <v>5429</v>
      </c>
      <c r="H1418" s="92" t="s">
        <v>817</v>
      </c>
      <c r="I1418" s="92" t="s">
        <v>760</v>
      </c>
      <c r="J1418" s="92" t="s">
        <v>60</v>
      </c>
      <c r="K1418" s="92" t="s">
        <v>633</v>
      </c>
    </row>
    <row r="1419" spans="1:11" ht="13.8">
      <c r="A1419" s="47" t="s">
        <v>1467</v>
      </c>
      <c r="B1419" s="92" t="s">
        <v>994</v>
      </c>
      <c r="C1419" s="92" t="s">
        <v>1468</v>
      </c>
      <c r="D1419" s="72" t="str">
        <f>IFERROR(VLOOKUP(A1419,'[1]ST-QA-ZZ5'!$C$5:$M$299,11,0),"Inspection at production line")</f>
        <v>Inspection at production line</v>
      </c>
      <c r="F1419" s="47" t="s">
        <v>5432</v>
      </c>
      <c r="G1419" s="92" t="s">
        <v>2074</v>
      </c>
      <c r="H1419" s="92" t="s">
        <v>5433</v>
      </c>
      <c r="I1419" s="92" t="s">
        <v>5345</v>
      </c>
      <c r="J1419" s="92" t="s">
        <v>60</v>
      </c>
      <c r="K1419" s="47" t="s">
        <v>2655</v>
      </c>
    </row>
    <row r="1420" spans="1:11" ht="13.8">
      <c r="A1420" s="47" t="s">
        <v>1470</v>
      </c>
      <c r="B1420" s="92" t="s">
        <v>994</v>
      </c>
      <c r="C1420" s="92" t="s">
        <v>1471</v>
      </c>
      <c r="D1420" s="72" t="str">
        <f>IFERROR(VLOOKUP(A1420,'[1]ST-QA-ZZ5'!$C$5:$M$299,11,0),"Inspection at production line")</f>
        <v>Inspection at production line</v>
      </c>
      <c r="F1420" s="47" t="s">
        <v>5434</v>
      </c>
      <c r="G1420" s="92" t="s">
        <v>5435</v>
      </c>
      <c r="H1420" s="92" t="s">
        <v>5436</v>
      </c>
      <c r="I1420" s="92" t="s">
        <v>5348</v>
      </c>
      <c r="J1420" s="92" t="s">
        <v>60</v>
      </c>
      <c r="K1420" s="47" t="s">
        <v>2655</v>
      </c>
    </row>
    <row r="1421" spans="1:11" ht="13.8">
      <c r="A1421" s="47" t="s">
        <v>5430</v>
      </c>
      <c r="B1421" s="92" t="s">
        <v>994</v>
      </c>
      <c r="C1421" s="92" t="s">
        <v>5431</v>
      </c>
      <c r="D1421" s="72" t="str">
        <f>IFERROR(VLOOKUP(A1421,'[1]ST-QA-ZZ5'!$C$5:$M$299,11,0),"Inspection at production line")</f>
        <v>Inspection at production line</v>
      </c>
      <c r="F1421" s="47" t="s">
        <v>5437</v>
      </c>
      <c r="G1421" s="92" t="s">
        <v>5438</v>
      </c>
      <c r="H1421" s="92" t="s">
        <v>5439</v>
      </c>
      <c r="I1421" s="92" t="s">
        <v>5348</v>
      </c>
      <c r="J1421" s="92" t="s">
        <v>60</v>
      </c>
      <c r="K1421" s="47" t="s">
        <v>2655</v>
      </c>
    </row>
    <row r="1422" spans="1:11" ht="13.8">
      <c r="A1422" s="47" t="s">
        <v>1474</v>
      </c>
      <c r="B1422" s="92" t="s">
        <v>994</v>
      </c>
      <c r="C1422" s="92" t="s">
        <v>1475</v>
      </c>
      <c r="D1422" s="72" t="str">
        <f>IFERROR(VLOOKUP(A1422,'[1]ST-QA-ZZ5'!$C$5:$M$299,11,0),"Inspection at production line")</f>
        <v>Inspection at production line</v>
      </c>
      <c r="F1422" s="47" t="s">
        <v>5440</v>
      </c>
      <c r="G1422" s="92" t="s">
        <v>2652</v>
      </c>
      <c r="H1422" s="92" t="s">
        <v>5441</v>
      </c>
      <c r="I1422" s="92" t="s">
        <v>5442</v>
      </c>
      <c r="J1422" s="92" t="s">
        <v>60</v>
      </c>
      <c r="K1422" s="47" t="s">
        <v>2655</v>
      </c>
    </row>
    <row r="1423" spans="1:11" ht="13.8">
      <c r="A1423" s="47" t="s">
        <v>1477</v>
      </c>
      <c r="B1423" s="92" t="s">
        <v>994</v>
      </c>
      <c r="C1423" s="92" t="s">
        <v>1478</v>
      </c>
      <c r="D1423" s="72" t="str">
        <f>IFERROR(VLOOKUP(A1423,'[1]ST-QA-ZZ5'!$C$5:$M$299,11,0),"Inspection at production line")</f>
        <v>Inspection at production line</v>
      </c>
      <c r="F1423" s="92" t="s">
        <v>5445</v>
      </c>
      <c r="G1423" s="92" t="s">
        <v>362</v>
      </c>
      <c r="H1423" s="92" t="s">
        <v>5446</v>
      </c>
      <c r="I1423" s="92" t="s">
        <v>5447</v>
      </c>
      <c r="J1423" s="92" t="s">
        <v>60</v>
      </c>
      <c r="K1423" s="47" t="s">
        <v>681</v>
      </c>
    </row>
    <row r="1424" spans="1:11" ht="13.8">
      <c r="A1424" s="47" t="s">
        <v>1480</v>
      </c>
      <c r="B1424" s="92" t="s">
        <v>994</v>
      </c>
      <c r="C1424" s="92" t="s">
        <v>1481</v>
      </c>
      <c r="D1424" s="72" t="str">
        <f>IFERROR(VLOOKUP(A1424,'[1]ST-QA-ZZ5'!$C$5:$M$299,11,0),"Inspection at production line")</f>
        <v>Inspection at production line</v>
      </c>
      <c r="F1424" s="47" t="s">
        <v>2477</v>
      </c>
      <c r="G1424" s="92" t="s">
        <v>1208</v>
      </c>
      <c r="H1424" s="92" t="s">
        <v>2478</v>
      </c>
      <c r="I1424" s="92" t="s">
        <v>5448</v>
      </c>
      <c r="J1424" s="92" t="s">
        <v>60</v>
      </c>
      <c r="K1424" s="47" t="s">
        <v>633</v>
      </c>
    </row>
    <row r="1425" spans="1:11" ht="13.8">
      <c r="A1425" s="47" t="s">
        <v>5443</v>
      </c>
      <c r="B1425" s="92" t="s">
        <v>994</v>
      </c>
      <c r="C1425" s="92" t="s">
        <v>5444</v>
      </c>
      <c r="D1425" s="72" t="str">
        <f>IFERROR(VLOOKUP(A1425,'[1]ST-QA-ZZ5'!$C$5:$M$299,11,0),"Inspection at production line")</f>
        <v>Inspection at production line</v>
      </c>
      <c r="F1425" s="47" t="s">
        <v>5449</v>
      </c>
      <c r="G1425" s="92" t="s">
        <v>5450</v>
      </c>
      <c r="H1425" s="92" t="s">
        <v>5451</v>
      </c>
      <c r="I1425" s="92" t="s">
        <v>5031</v>
      </c>
      <c r="J1425" s="92" t="s">
        <v>60</v>
      </c>
      <c r="K1425" s="98" t="s">
        <v>2655</v>
      </c>
    </row>
    <row r="1426" spans="1:11" ht="13.8">
      <c r="A1426" s="47" t="s">
        <v>1483</v>
      </c>
      <c r="B1426" s="92" t="s">
        <v>994</v>
      </c>
      <c r="C1426" s="92" t="s">
        <v>1484</v>
      </c>
      <c r="D1426" s="72" t="str">
        <f>IFERROR(VLOOKUP(A1426,'[1]ST-QA-ZZ5'!$C$5:$M$299,11,0),"Inspection at production line")</f>
        <v>Inspection at production line</v>
      </c>
      <c r="F1426" s="47" t="s">
        <v>5452</v>
      </c>
      <c r="G1426" s="92" t="s">
        <v>961</v>
      </c>
      <c r="H1426" s="92" t="s">
        <v>5453</v>
      </c>
      <c r="I1426" s="92" t="s">
        <v>799</v>
      </c>
      <c r="J1426" s="92" t="s">
        <v>60</v>
      </c>
      <c r="K1426" s="47" t="s">
        <v>5139</v>
      </c>
    </row>
    <row r="1427" spans="1:11" ht="13.8">
      <c r="A1427" s="47" t="s">
        <v>1486</v>
      </c>
      <c r="B1427" s="92" t="s">
        <v>994</v>
      </c>
      <c r="C1427" s="92" t="s">
        <v>1487</v>
      </c>
      <c r="D1427" s="72" t="str">
        <f>IFERROR(VLOOKUP(A1427,'[1]ST-QA-ZZ5'!$C$5:$M$299,11,0),"Inspection at production line")</f>
        <v>Inspection at production line</v>
      </c>
      <c r="F1427" s="47" t="s">
        <v>361</v>
      </c>
      <c r="G1427" s="92" t="s">
        <v>994</v>
      </c>
      <c r="H1427" s="92" t="s">
        <v>363</v>
      </c>
      <c r="I1427" s="92" t="s">
        <v>364</v>
      </c>
      <c r="J1427" s="92" t="s">
        <v>60</v>
      </c>
      <c r="K1427" s="47" t="s">
        <v>681</v>
      </c>
    </row>
    <row r="1428" spans="1:11" ht="13.8">
      <c r="A1428" s="47" t="s">
        <v>1489</v>
      </c>
      <c r="B1428" s="92" t="s">
        <v>813</v>
      </c>
      <c r="C1428" s="92" t="s">
        <v>1490</v>
      </c>
      <c r="D1428" s="72" t="str">
        <f>IFERROR(VLOOKUP(A1428,'[1]ST-QA-ZZ5'!$C$5:$M$299,11,0),"Inspection at production line")</f>
        <v>Inspection at production line</v>
      </c>
      <c r="F1428" s="47" t="s">
        <v>5457</v>
      </c>
      <c r="G1428" s="92" t="s">
        <v>994</v>
      </c>
      <c r="H1428" s="92" t="s">
        <v>5458</v>
      </c>
      <c r="I1428" s="92" t="s">
        <v>364</v>
      </c>
      <c r="J1428" s="92" t="s">
        <v>60</v>
      </c>
      <c r="K1428" s="47" t="s">
        <v>681</v>
      </c>
    </row>
    <row r="1429" spans="1:11" ht="13.8">
      <c r="A1429" s="47" t="s">
        <v>1493</v>
      </c>
      <c r="B1429" s="92" t="s">
        <v>1494</v>
      </c>
      <c r="C1429" s="92" t="s">
        <v>5454</v>
      </c>
      <c r="D1429" s="72" t="str">
        <f>IFERROR(VLOOKUP(A1429,'[1]ST-QA-ZZ5'!$C$5:$M$299,11,0),"Inspection at production line")</f>
        <v>Inspection at production line</v>
      </c>
      <c r="F1429" s="47" t="s">
        <v>5460</v>
      </c>
      <c r="G1429" s="92" t="s">
        <v>994</v>
      </c>
      <c r="H1429" s="92" t="s">
        <v>5461</v>
      </c>
      <c r="I1429" s="92" t="s">
        <v>364</v>
      </c>
      <c r="J1429" s="92" t="s">
        <v>60</v>
      </c>
      <c r="K1429" s="47" t="s">
        <v>681</v>
      </c>
    </row>
    <row r="1430" spans="1:11" ht="13.8">
      <c r="A1430" s="47" t="s">
        <v>5455</v>
      </c>
      <c r="B1430" s="92" t="s">
        <v>865</v>
      </c>
      <c r="C1430" s="92" t="s">
        <v>5456</v>
      </c>
      <c r="D1430" s="72" t="str">
        <f>IFERROR(VLOOKUP(A1430,'[1]ST-QA-ZZ5'!$C$5:$M$299,11,0),"Inspection at production line")</f>
        <v>Inspection at production line</v>
      </c>
      <c r="F1430" s="47" t="s">
        <v>5462</v>
      </c>
      <c r="G1430" s="92" t="s">
        <v>994</v>
      </c>
      <c r="H1430" s="92" t="s">
        <v>5463</v>
      </c>
      <c r="I1430" s="92" t="s">
        <v>364</v>
      </c>
      <c r="J1430" s="92" t="s">
        <v>60</v>
      </c>
      <c r="K1430" s="47" t="s">
        <v>681</v>
      </c>
    </row>
    <row r="1431" spans="1:11" ht="13.8">
      <c r="A1431" s="47" t="s">
        <v>1496</v>
      </c>
      <c r="B1431" s="92" t="s">
        <v>865</v>
      </c>
      <c r="C1431" s="92" t="s">
        <v>5459</v>
      </c>
      <c r="D1431" s="72" t="str">
        <f>IFERROR(VLOOKUP(A1431,'[1]ST-QA-ZZ5'!$C$5:$M$299,11,0),"Inspection at production line")</f>
        <v>Inspection at production line</v>
      </c>
      <c r="F1431" s="47" t="s">
        <v>5464</v>
      </c>
      <c r="G1431" s="92" t="s">
        <v>404</v>
      </c>
      <c r="H1431" s="92" t="s">
        <v>5465</v>
      </c>
      <c r="I1431" s="92" t="s">
        <v>5345</v>
      </c>
      <c r="J1431" s="92" t="s">
        <v>60</v>
      </c>
      <c r="K1431" s="98" t="s">
        <v>2655</v>
      </c>
    </row>
    <row r="1432" spans="1:11" ht="13.8">
      <c r="A1432" s="47" t="s">
        <v>1499</v>
      </c>
      <c r="B1432" s="92" t="s">
        <v>865</v>
      </c>
      <c r="C1432" s="92" t="s">
        <v>1500</v>
      </c>
      <c r="D1432" s="72" t="str">
        <f>IFERROR(VLOOKUP(A1432,'[1]ST-QA-ZZ5'!$C$5:$M$299,11,0),"Inspection at production line")</f>
        <v>Inspection at production line</v>
      </c>
      <c r="F1432" s="47" t="s">
        <v>430</v>
      </c>
      <c r="G1432" s="92" t="s">
        <v>404</v>
      </c>
      <c r="H1432" s="92" t="s">
        <v>431</v>
      </c>
      <c r="I1432" s="92" t="s">
        <v>432</v>
      </c>
      <c r="J1432" s="92" t="s">
        <v>60</v>
      </c>
      <c r="K1432" s="47" t="s">
        <v>681</v>
      </c>
    </row>
    <row r="1433" spans="1:11" ht="13.8">
      <c r="A1433" s="47" t="s">
        <v>1502</v>
      </c>
      <c r="B1433" s="92" t="s">
        <v>865</v>
      </c>
      <c r="C1433" s="92" t="s">
        <v>1503</v>
      </c>
      <c r="D1433" s="72" t="str">
        <f>IFERROR(VLOOKUP(A1433,'[1]ST-QA-ZZ5'!$C$5:$M$299,11,0),"Inspection at production line")</f>
        <v>Inspection at production line</v>
      </c>
      <c r="F1433" s="47" t="s">
        <v>5466</v>
      </c>
      <c r="G1433" s="92" t="s">
        <v>379</v>
      </c>
      <c r="H1433" s="92" t="s">
        <v>380</v>
      </c>
      <c r="I1433" s="92" t="s">
        <v>5467</v>
      </c>
      <c r="J1433" s="92" t="s">
        <v>5468</v>
      </c>
      <c r="K1433" s="47" t="s">
        <v>681</v>
      </c>
    </row>
    <row r="1434" spans="1:11" ht="13.8">
      <c r="A1434" s="47" t="s">
        <v>1505</v>
      </c>
      <c r="B1434" s="92" t="s">
        <v>865</v>
      </c>
      <c r="C1434" s="92" t="s">
        <v>1506</v>
      </c>
      <c r="D1434" s="72" t="str">
        <f>IFERROR(VLOOKUP(A1434,'[1]ST-QA-ZZ5'!$C$5:$M$299,11,0),"Inspection at production line")</f>
        <v>Inspection at production line</v>
      </c>
      <c r="F1434" s="47" t="s">
        <v>384</v>
      </c>
      <c r="G1434" s="92" t="s">
        <v>379</v>
      </c>
      <c r="H1434" s="92" t="s">
        <v>385</v>
      </c>
      <c r="I1434" s="92" t="s">
        <v>5467</v>
      </c>
      <c r="J1434" s="92" t="s">
        <v>5468</v>
      </c>
      <c r="K1434" s="47" t="s">
        <v>681</v>
      </c>
    </row>
    <row r="1435" spans="1:11" ht="13.8">
      <c r="A1435" s="47" t="s">
        <v>1508</v>
      </c>
      <c r="B1435" s="92" t="s">
        <v>1509</v>
      </c>
      <c r="C1435" s="92" t="s">
        <v>1510</v>
      </c>
      <c r="D1435" s="72" t="str">
        <f>IFERROR(VLOOKUP(A1435,'[1]ST-QA-ZZ5'!$C$5:$M$299,11,0),"Inspection at production line")</f>
        <v>Inspection at production line</v>
      </c>
      <c r="F1435" s="47" t="s">
        <v>389</v>
      </c>
      <c r="G1435" s="92" t="s">
        <v>379</v>
      </c>
      <c r="H1435" s="92" t="s">
        <v>422</v>
      </c>
      <c r="I1435" s="92" t="s">
        <v>5467</v>
      </c>
      <c r="J1435" s="92" t="s">
        <v>5468</v>
      </c>
      <c r="K1435" s="47" t="s">
        <v>681</v>
      </c>
    </row>
    <row r="1436" spans="1:11" ht="13.8">
      <c r="A1436" s="47" t="s">
        <v>1512</v>
      </c>
      <c r="B1436" s="92" t="s">
        <v>1513</v>
      </c>
      <c r="C1436" s="92" t="s">
        <v>5469</v>
      </c>
      <c r="D1436" s="72" t="str">
        <f>IFERROR(VLOOKUP(A1436,'[1]ST-QA-ZZ5'!$C$5:$M$299,11,0),"Inspection at production line")</f>
        <v>Inspection at production line</v>
      </c>
      <c r="F1436" s="47" t="s">
        <v>5472</v>
      </c>
      <c r="G1436" s="92" t="s">
        <v>371</v>
      </c>
      <c r="H1436" s="92" t="s">
        <v>372</v>
      </c>
      <c r="I1436" s="92">
        <v>1480</v>
      </c>
      <c r="J1436" s="92" t="s">
        <v>5468</v>
      </c>
      <c r="K1436" s="47" t="s">
        <v>681</v>
      </c>
    </row>
    <row r="1437" spans="1:11" ht="13.8">
      <c r="A1437" s="47" t="s">
        <v>5470</v>
      </c>
      <c r="B1437" s="92" t="s">
        <v>1513</v>
      </c>
      <c r="C1437" s="92" t="s">
        <v>5471</v>
      </c>
      <c r="D1437" s="72" t="str">
        <f>IFERROR(VLOOKUP(A1437,'[1]ST-QA-ZZ5'!$C$5:$M$299,11,0),"Inspection at production line")</f>
        <v>Inspection at production line</v>
      </c>
      <c r="F1437" s="47" t="s">
        <v>5473</v>
      </c>
      <c r="G1437" s="92" t="s">
        <v>404</v>
      </c>
      <c r="H1437" s="92" t="s">
        <v>411</v>
      </c>
      <c r="I1437" s="92" t="s">
        <v>412</v>
      </c>
      <c r="J1437" s="92" t="s">
        <v>5468</v>
      </c>
      <c r="K1437" s="47" t="s">
        <v>681</v>
      </c>
    </row>
    <row r="1438" spans="1:11" ht="13.8">
      <c r="A1438" s="47" t="s">
        <v>1516</v>
      </c>
      <c r="B1438" s="92" t="s">
        <v>119</v>
      </c>
      <c r="C1438" s="92" t="s">
        <v>311</v>
      </c>
      <c r="D1438" s="72" t="str">
        <f>IFERROR(VLOOKUP(A1438,'[1]ST-QA-ZZ5'!$C$5:$M$299,11,0),"Inspection at production line")</f>
        <v>Inspection at production line</v>
      </c>
      <c r="F1438" s="47" t="s">
        <v>403</v>
      </c>
      <c r="G1438" s="92" t="s">
        <v>404</v>
      </c>
      <c r="H1438" s="92" t="s">
        <v>405</v>
      </c>
      <c r="I1438" s="92" t="s">
        <v>5474</v>
      </c>
      <c r="J1438" s="92" t="s">
        <v>5468</v>
      </c>
      <c r="K1438" s="47" t="s">
        <v>681</v>
      </c>
    </row>
    <row r="1439" spans="1:11" ht="13.8">
      <c r="A1439" s="47" t="s">
        <v>1519</v>
      </c>
      <c r="B1439" s="92" t="s">
        <v>75</v>
      </c>
      <c r="C1439" s="92" t="s">
        <v>1520</v>
      </c>
      <c r="D1439" s="72" t="str">
        <f>IFERROR(VLOOKUP(A1439,'[1]ST-QA-ZZ5'!$C$5:$M$299,11,0),"Inspection at production line")</f>
        <v>Inspection at production line</v>
      </c>
      <c r="F1439" s="47" t="s">
        <v>12020</v>
      </c>
      <c r="G1439" s="92" t="s">
        <v>704</v>
      </c>
      <c r="H1439" s="92" t="s">
        <v>12021</v>
      </c>
      <c r="I1439" s="92" t="s">
        <v>18187</v>
      </c>
      <c r="J1439" s="92" t="s">
        <v>5468</v>
      </c>
      <c r="K1439" s="47" t="s">
        <v>5205</v>
      </c>
    </row>
    <row r="1440" spans="1:11" ht="13.8">
      <c r="A1440" s="47" t="s">
        <v>1522</v>
      </c>
      <c r="B1440" s="92" t="s">
        <v>1523</v>
      </c>
      <c r="C1440" s="92" t="s">
        <v>1524</v>
      </c>
      <c r="D1440" s="72" t="str">
        <f>IFERROR(VLOOKUP(A1440,'[1]ST-QA-ZZ5'!$C$5:$M$299,11,0),"Inspection at production line")</f>
        <v>Inspection at production line</v>
      </c>
      <c r="F1440" s="47" t="s">
        <v>12254</v>
      </c>
      <c r="G1440" s="92" t="s">
        <v>174</v>
      </c>
      <c r="H1440" s="92" t="s">
        <v>12255</v>
      </c>
      <c r="I1440" s="92" t="s">
        <v>18188</v>
      </c>
      <c r="J1440" s="92" t="s">
        <v>5468</v>
      </c>
      <c r="K1440" s="47" t="s">
        <v>683</v>
      </c>
    </row>
    <row r="1441" spans="1:11" ht="13.8">
      <c r="A1441" s="47" t="s">
        <v>5475</v>
      </c>
      <c r="B1441" s="92" t="s">
        <v>5476</v>
      </c>
      <c r="C1441" s="92" t="s">
        <v>5476</v>
      </c>
      <c r="D1441" s="72" t="str">
        <f>IFERROR(VLOOKUP(A1441,'[1]ST-QA-ZZ5'!$C$5:$M$299,11,0),"Inspection at production line")</f>
        <v>Inspection at production line</v>
      </c>
      <c r="F1441" s="47" t="s">
        <v>10151</v>
      </c>
      <c r="G1441" s="92" t="s">
        <v>379</v>
      </c>
      <c r="H1441" s="92" t="s">
        <v>10152</v>
      </c>
      <c r="I1441" s="92" t="s">
        <v>5467</v>
      </c>
      <c r="J1441" s="92" t="s">
        <v>5468</v>
      </c>
      <c r="K1441" s="47" t="s">
        <v>681</v>
      </c>
    </row>
    <row r="1442" spans="1:11" ht="13.8">
      <c r="A1442" s="47" t="s">
        <v>1526</v>
      </c>
      <c r="B1442" s="92" t="s">
        <v>953</v>
      </c>
      <c r="C1442" s="92" t="s">
        <v>1527</v>
      </c>
      <c r="D1442" s="72" t="str">
        <f>IFERROR(VLOOKUP(A1442,'[1]ST-QA-ZZ5'!$C$5:$M$299,11,0),"Inspection at production line")</f>
        <v>Inspection at production line</v>
      </c>
      <c r="F1442" s="47">
        <v>812</v>
      </c>
      <c r="G1442" s="92" t="s">
        <v>843</v>
      </c>
      <c r="H1442" s="92" t="s">
        <v>1466</v>
      </c>
      <c r="I1442" s="92" t="s">
        <v>18322</v>
      </c>
      <c r="J1442" s="92" t="s">
        <v>18323</v>
      </c>
      <c r="K1442" s="47" t="s">
        <v>633</v>
      </c>
    </row>
    <row r="1443" spans="1:11" ht="13.8">
      <c r="A1443" s="47" t="s">
        <v>1529</v>
      </c>
      <c r="B1443" s="92" t="s">
        <v>1530</v>
      </c>
      <c r="C1443" s="92" t="s">
        <v>1531</v>
      </c>
      <c r="D1443" s="72" t="str">
        <f>IFERROR(VLOOKUP(A1443,'[1]ST-QA-ZZ5'!$C$5:$M$299,11,0),"Inspection at production line")</f>
        <v>Inspection at production line</v>
      </c>
      <c r="F1443" s="47" t="s">
        <v>7738</v>
      </c>
      <c r="G1443" s="92" t="s">
        <v>905</v>
      </c>
      <c r="H1443" s="92" t="s">
        <v>7737</v>
      </c>
      <c r="I1443" s="92" t="s">
        <v>18322</v>
      </c>
      <c r="J1443" s="92" t="s">
        <v>18323</v>
      </c>
      <c r="K1443" s="47" t="s">
        <v>633</v>
      </c>
    </row>
    <row r="1444" spans="1:11" ht="13.8">
      <c r="A1444" s="47" t="s">
        <v>5477</v>
      </c>
      <c r="B1444" s="92" t="s">
        <v>5478</v>
      </c>
      <c r="C1444" s="92" t="s">
        <v>5478</v>
      </c>
      <c r="D1444" s="72" t="str">
        <f>IFERROR(VLOOKUP(A1444,'[1]ST-QA-ZZ5'!$C$5:$M$299,11,0),"Inspection at production line")</f>
        <v>Inspection at production line</v>
      </c>
      <c r="F1444" s="47" t="s">
        <v>7754</v>
      </c>
      <c r="G1444" s="92" t="s">
        <v>119</v>
      </c>
      <c r="H1444" s="92" t="s">
        <v>3535</v>
      </c>
      <c r="I1444" s="92" t="s">
        <v>18322</v>
      </c>
      <c r="J1444" s="92" t="s">
        <v>18323</v>
      </c>
      <c r="K1444" s="47" t="s">
        <v>633</v>
      </c>
    </row>
    <row r="1445" spans="1:11" ht="13.8">
      <c r="A1445" s="47" t="s">
        <v>1533</v>
      </c>
      <c r="B1445" s="92" t="s">
        <v>1534</v>
      </c>
      <c r="C1445" s="92" t="s">
        <v>1535</v>
      </c>
      <c r="D1445" s="72" t="str">
        <f>IFERROR(VLOOKUP(A1445,'[1]ST-QA-ZZ5'!$C$5:$M$299,11,0),"Inspection at production line")</f>
        <v>Inspection at production line</v>
      </c>
      <c r="F1445" s="47" t="s">
        <v>8117</v>
      </c>
      <c r="G1445" s="92" t="s">
        <v>2137</v>
      </c>
      <c r="H1445" s="92" t="s">
        <v>8118</v>
      </c>
      <c r="I1445" s="92" t="s">
        <v>18371</v>
      </c>
      <c r="J1445" s="92" t="s">
        <v>18323</v>
      </c>
      <c r="K1445" s="47" t="s">
        <v>5279</v>
      </c>
    </row>
    <row r="1446" spans="1:11" ht="13.8">
      <c r="A1446" s="47" t="s">
        <v>5479</v>
      </c>
      <c r="B1446" s="92" t="s">
        <v>5480</v>
      </c>
      <c r="C1446" s="92" t="s">
        <v>5480</v>
      </c>
      <c r="D1446" s="72" t="str">
        <f>IFERROR(VLOOKUP(A1446,'[1]ST-QA-ZZ5'!$C$5:$M$299,11,0),"Inspection at production line")</f>
        <v>Inspection at production line</v>
      </c>
      <c r="F1446" s="47" t="s">
        <v>12356</v>
      </c>
      <c r="G1446" s="92" t="s">
        <v>174</v>
      </c>
      <c r="H1446" s="92" t="s">
        <v>12357</v>
      </c>
      <c r="I1446" s="92" t="s">
        <v>5418</v>
      </c>
      <c r="J1446" s="92" t="s">
        <v>18399</v>
      </c>
      <c r="K1446" s="47" t="s">
        <v>685</v>
      </c>
    </row>
    <row r="1447" spans="1:11" ht="13.8">
      <c r="A1447" s="47" t="s">
        <v>1537</v>
      </c>
      <c r="B1447" s="92" t="s">
        <v>1530</v>
      </c>
      <c r="C1447" s="92" t="s">
        <v>1538</v>
      </c>
      <c r="D1447" s="72" t="str">
        <f>IFERROR(VLOOKUP(A1447,'[1]ST-QA-ZZ5'!$C$5:$M$299,11,0),"Inspection at production line")</f>
        <v>Inspection at production line</v>
      </c>
      <c r="F1447" s="47" t="s">
        <v>12270</v>
      </c>
      <c r="G1447" s="92" t="s">
        <v>174</v>
      </c>
      <c r="H1447" s="92" t="s">
        <v>12271</v>
      </c>
      <c r="I1447" s="92" t="s">
        <v>5418</v>
      </c>
      <c r="J1447" s="92" t="s">
        <v>18399</v>
      </c>
      <c r="K1447" s="47" t="s">
        <v>685</v>
      </c>
    </row>
    <row r="1448" spans="1:11" ht="13.8">
      <c r="A1448" s="47" t="s">
        <v>5481</v>
      </c>
      <c r="B1448" s="92" t="s">
        <v>5482</v>
      </c>
      <c r="C1448" s="92" t="s">
        <v>5482</v>
      </c>
      <c r="D1448" s="72" t="str">
        <f>IFERROR(VLOOKUP(A1448,'[1]ST-QA-ZZ5'!$C$5:$M$299,11,0),"Inspection at production line")</f>
        <v>Inspection at production line</v>
      </c>
      <c r="F1448" s="47" t="s">
        <v>18482</v>
      </c>
      <c r="G1448" s="92" t="s">
        <v>440</v>
      </c>
      <c r="H1448" s="92" t="s">
        <v>18483</v>
      </c>
      <c r="I1448" s="92" t="s">
        <v>18484</v>
      </c>
      <c r="J1448" s="92" t="s">
        <v>18399</v>
      </c>
      <c r="K1448" s="47" t="s">
        <v>18487</v>
      </c>
    </row>
    <row r="1449" spans="1:11" ht="13.8">
      <c r="A1449" s="47" t="s">
        <v>1540</v>
      </c>
      <c r="B1449" s="92" t="s">
        <v>1541</v>
      </c>
      <c r="C1449" s="92" t="s">
        <v>1542</v>
      </c>
      <c r="D1449" s="72" t="str">
        <f>IFERROR(VLOOKUP(A1449,'[1]ST-QA-ZZ5'!$C$5:$M$299,11,0),"Inspection at production line")</f>
        <v>Inspection at production line</v>
      </c>
      <c r="F1449" s="47" t="s">
        <v>12116</v>
      </c>
      <c r="G1449" s="92" t="s">
        <v>1781</v>
      </c>
      <c r="H1449" s="92" t="s">
        <v>7886</v>
      </c>
      <c r="I1449" s="92" t="s">
        <v>5418</v>
      </c>
      <c r="J1449" s="92" t="s">
        <v>18399</v>
      </c>
      <c r="K1449" s="47" t="s">
        <v>685</v>
      </c>
    </row>
    <row r="1450" spans="1:11" ht="13.8">
      <c r="A1450" s="47" t="s">
        <v>1545</v>
      </c>
      <c r="B1450" s="92" t="s">
        <v>1543</v>
      </c>
      <c r="C1450" s="92" t="s">
        <v>1546</v>
      </c>
      <c r="D1450" s="72" t="str">
        <f>IFERROR(VLOOKUP(A1450,'[1]ST-QA-ZZ5'!$C$5:$M$299,11,0),"Inspection at production line")</f>
        <v>Inspection at production line</v>
      </c>
      <c r="F1450" s="47" t="s">
        <v>12016</v>
      </c>
      <c r="G1450" s="92" t="s">
        <v>704</v>
      </c>
      <c r="H1450" s="92" t="s">
        <v>12017</v>
      </c>
      <c r="I1450" s="92" t="s">
        <v>18187</v>
      </c>
      <c r="J1450" s="92" t="s">
        <v>18399</v>
      </c>
      <c r="K1450" s="47" t="s">
        <v>5205</v>
      </c>
    </row>
    <row r="1451" spans="1:11" ht="13.8">
      <c r="A1451" s="47" t="s">
        <v>1548</v>
      </c>
      <c r="B1451" s="92" t="s">
        <v>253</v>
      </c>
      <c r="C1451" s="92" t="s">
        <v>254</v>
      </c>
      <c r="D1451" s="72" t="str">
        <f>IFERROR(VLOOKUP(A1451,'[1]ST-QA-ZZ5'!$C$5:$M$299,11,0),"Inspection at production line")</f>
        <v>Inspection at production line</v>
      </c>
      <c r="F1451" s="47" t="s">
        <v>18623</v>
      </c>
      <c r="G1451" s="92" t="s">
        <v>18624</v>
      </c>
      <c r="H1451" s="92" t="s">
        <v>18625</v>
      </c>
      <c r="I1451" s="92" t="s">
        <v>18371</v>
      </c>
      <c r="J1451" s="92" t="s">
        <v>18399</v>
      </c>
      <c r="K1451" s="47" t="s">
        <v>5279</v>
      </c>
    </row>
    <row r="1452" spans="1:11" ht="13.8">
      <c r="A1452" s="47" t="s">
        <v>1550</v>
      </c>
      <c r="B1452" s="92" t="s">
        <v>814</v>
      </c>
      <c r="C1452" s="92" t="s">
        <v>1551</v>
      </c>
      <c r="D1452" s="72" t="str">
        <f>IFERROR(VLOOKUP(A1452,'[1]ST-QA-ZZ5'!$C$5:$M$299,11,0),"Inspection at production line")</f>
        <v>Inspection at production line</v>
      </c>
      <c r="F1452" s="47" t="s">
        <v>18629</v>
      </c>
      <c r="G1452" s="92" t="s">
        <v>18630</v>
      </c>
      <c r="H1452" s="92" t="s">
        <v>18631</v>
      </c>
      <c r="I1452" s="92" t="s">
        <v>18371</v>
      </c>
      <c r="J1452" s="92" t="s">
        <v>18399</v>
      </c>
      <c r="K1452" s="47" t="s">
        <v>5279</v>
      </c>
    </row>
    <row r="1453" spans="1:11" ht="13.8">
      <c r="A1453" s="47" t="s">
        <v>1553</v>
      </c>
      <c r="B1453" s="92" t="s">
        <v>1554</v>
      </c>
      <c r="C1453" s="92" t="s">
        <v>1555</v>
      </c>
      <c r="D1453" s="72" t="str">
        <f>IFERROR(VLOOKUP(A1453,'[1]ST-QA-ZZ5'!$C$5:$M$299,11,0),"Inspection at production line")</f>
        <v>Inspection at production line</v>
      </c>
      <c r="F1453" s="47" t="s">
        <v>18634</v>
      </c>
      <c r="G1453" s="92" t="s">
        <v>18635</v>
      </c>
      <c r="H1453" s="94" t="s">
        <v>18636</v>
      </c>
      <c r="I1453" s="92" t="s">
        <v>18371</v>
      </c>
      <c r="J1453" s="92" t="s">
        <v>18399</v>
      </c>
      <c r="K1453" s="47" t="s">
        <v>5279</v>
      </c>
    </row>
    <row r="1454" spans="1:11" ht="13.8">
      <c r="A1454" s="47" t="s">
        <v>1557</v>
      </c>
      <c r="B1454" s="92" t="s">
        <v>797</v>
      </c>
      <c r="C1454" s="92" t="s">
        <v>5483</v>
      </c>
      <c r="D1454" s="72" t="str">
        <f>IFERROR(VLOOKUP(A1454,'[1]ST-QA-ZZ5'!$C$5:$M$299,11,0),"Inspection at production line")</f>
        <v>Inspection at production line</v>
      </c>
      <c r="F1454" s="47" t="s">
        <v>18639</v>
      </c>
      <c r="G1454" s="92" t="s">
        <v>18640</v>
      </c>
      <c r="H1454" s="92" t="s">
        <v>18641</v>
      </c>
      <c r="I1454" s="92" t="s">
        <v>18371</v>
      </c>
      <c r="J1454" s="92" t="s">
        <v>18399</v>
      </c>
      <c r="K1454" s="47" t="s">
        <v>5279</v>
      </c>
    </row>
    <row r="1455" spans="1:11" ht="13.8">
      <c r="A1455" s="47" t="s">
        <v>1560</v>
      </c>
      <c r="B1455" s="92" t="s">
        <v>953</v>
      </c>
      <c r="C1455" s="92" t="s">
        <v>1561</v>
      </c>
      <c r="D1455" s="72" t="str">
        <f>IFERROR(VLOOKUP(A1455,'[1]ST-QA-ZZ5'!$C$5:$M$299,11,0),"Inspection at production line")</f>
        <v>Inspection at production line</v>
      </c>
      <c r="F1455" s="47" t="s">
        <v>9482</v>
      </c>
      <c r="G1455" s="92" t="s">
        <v>1954</v>
      </c>
      <c r="H1455" s="92" t="s">
        <v>9483</v>
      </c>
      <c r="I1455" s="92" t="s">
        <v>5418</v>
      </c>
      <c r="J1455" s="92" t="s">
        <v>18399</v>
      </c>
      <c r="K1455" s="47" t="s">
        <v>2655</v>
      </c>
    </row>
    <row r="1456" spans="1:11" ht="13.8">
      <c r="A1456" s="47" t="s">
        <v>1565</v>
      </c>
      <c r="B1456" s="92" t="s">
        <v>1523</v>
      </c>
      <c r="C1456" s="92" t="s">
        <v>1566</v>
      </c>
      <c r="D1456" s="72" t="str">
        <f>IFERROR(VLOOKUP(A1456,'[1]ST-QA-ZZ5'!$C$5:$M$299,11,0),"Inspection at production line")</f>
        <v>Inspection at production line</v>
      </c>
      <c r="F1456" s="47" t="s">
        <v>9484</v>
      </c>
      <c r="G1456" s="92" t="s">
        <v>1954</v>
      </c>
      <c r="H1456" s="92" t="s">
        <v>9485</v>
      </c>
      <c r="I1456" s="92" t="s">
        <v>5418</v>
      </c>
      <c r="J1456" s="92" t="s">
        <v>18399</v>
      </c>
      <c r="K1456" s="47" t="s">
        <v>2655</v>
      </c>
    </row>
    <row r="1457" spans="1:11" ht="13.8">
      <c r="A1457" s="47" t="s">
        <v>5484</v>
      </c>
      <c r="B1457" s="92" t="s">
        <v>5485</v>
      </c>
      <c r="C1457" s="92" t="s">
        <v>5485</v>
      </c>
      <c r="D1457" s="72" t="str">
        <f>IFERROR(VLOOKUP(A1457,'[1]ST-QA-ZZ5'!$C$5:$M$299,11,0),"Inspection at production line")</f>
        <v>Inspection at production line</v>
      </c>
      <c r="F1457" s="47" t="s">
        <v>9492</v>
      </c>
      <c r="G1457" s="92" t="s">
        <v>1954</v>
      </c>
      <c r="H1457" s="92" t="s">
        <v>9493</v>
      </c>
      <c r="I1457" s="92" t="s">
        <v>5418</v>
      </c>
      <c r="J1457" s="92" t="s">
        <v>18399</v>
      </c>
      <c r="K1457" s="47" t="s">
        <v>2655</v>
      </c>
    </row>
    <row r="1458" spans="1:11" ht="13.8">
      <c r="A1458" s="47" t="s">
        <v>5486</v>
      </c>
      <c r="B1458" s="92" t="s">
        <v>857</v>
      </c>
      <c r="C1458" s="92" t="s">
        <v>5487</v>
      </c>
      <c r="D1458" s="72" t="str">
        <f>IFERROR(VLOOKUP(A1458,'[1]ST-QA-ZZ5'!$C$5:$M$299,11,0),"Inspection at production line")</f>
        <v>Inspection at production line</v>
      </c>
      <c r="F1458" s="47" t="s">
        <v>9494</v>
      </c>
      <c r="G1458" s="92" t="s">
        <v>1954</v>
      </c>
      <c r="H1458" s="92" t="s">
        <v>9495</v>
      </c>
      <c r="I1458" s="92" t="s">
        <v>5418</v>
      </c>
      <c r="J1458" s="92" t="s">
        <v>18399</v>
      </c>
      <c r="K1458" s="47" t="s">
        <v>2655</v>
      </c>
    </row>
    <row r="1459" spans="1:11" ht="13.8">
      <c r="A1459" s="47" t="s">
        <v>1569</v>
      </c>
      <c r="B1459" s="92" t="s">
        <v>1513</v>
      </c>
      <c r="C1459" s="92" t="s">
        <v>5488</v>
      </c>
      <c r="D1459" s="72" t="str">
        <f>IFERROR(VLOOKUP(A1459,'[1]ST-QA-ZZ5'!$C$5:$M$299,11,0),"Inspection at production line")</f>
        <v>Inspection at production line</v>
      </c>
      <c r="F1459" s="47" t="s">
        <v>9498</v>
      </c>
      <c r="G1459" s="92" t="s">
        <v>1954</v>
      </c>
      <c r="H1459" s="92" t="s">
        <v>9499</v>
      </c>
      <c r="I1459" s="92" t="s">
        <v>5418</v>
      </c>
      <c r="J1459" s="92" t="s">
        <v>18399</v>
      </c>
      <c r="K1459" s="47" t="s">
        <v>2655</v>
      </c>
    </row>
    <row r="1460" spans="1:11" ht="13.8">
      <c r="A1460" s="47" t="s">
        <v>5489</v>
      </c>
      <c r="B1460" s="92" t="s">
        <v>1513</v>
      </c>
      <c r="C1460" s="92" t="s">
        <v>5490</v>
      </c>
      <c r="D1460" s="72" t="str">
        <f>IFERROR(VLOOKUP(A1460,'[1]ST-QA-ZZ5'!$C$5:$M$299,11,0),"Inspection at production line")</f>
        <v>Inspection at production line</v>
      </c>
      <c r="F1460" s="47" t="s">
        <v>9500</v>
      </c>
      <c r="G1460" s="92" t="s">
        <v>1954</v>
      </c>
      <c r="H1460" s="92" t="s">
        <v>9501</v>
      </c>
      <c r="I1460" s="92" t="s">
        <v>5418</v>
      </c>
      <c r="J1460" s="92" t="s">
        <v>18399</v>
      </c>
      <c r="K1460" s="47" t="s">
        <v>2655</v>
      </c>
    </row>
    <row r="1461" spans="1:11" ht="13.8">
      <c r="A1461" s="47" t="s">
        <v>5491</v>
      </c>
      <c r="B1461" s="92" t="s">
        <v>857</v>
      </c>
      <c r="C1461" s="92" t="s">
        <v>5492</v>
      </c>
      <c r="D1461" s="72" t="str">
        <f>IFERROR(VLOOKUP(A1461,'[1]ST-QA-ZZ5'!$C$5:$M$299,11,0),"Inspection at production line")</f>
        <v>Inspection at production line</v>
      </c>
      <c r="F1461" s="47" t="s">
        <v>9502</v>
      </c>
      <c r="G1461" s="92" t="s">
        <v>1954</v>
      </c>
      <c r="H1461" s="92" t="s">
        <v>9503</v>
      </c>
      <c r="I1461" s="92" t="s">
        <v>5418</v>
      </c>
      <c r="J1461" s="92" t="s">
        <v>18399</v>
      </c>
      <c r="K1461" s="47" t="s">
        <v>2655</v>
      </c>
    </row>
    <row r="1462" spans="1:11" ht="13.8">
      <c r="A1462" s="47" t="s">
        <v>1573</v>
      </c>
      <c r="B1462" s="92" t="s">
        <v>1574</v>
      </c>
      <c r="C1462" s="92" t="s">
        <v>1575</v>
      </c>
      <c r="D1462" s="72" t="str">
        <f>IFERROR(VLOOKUP(A1462,'[1]ST-QA-ZZ5'!$C$5:$M$299,11,0),"Inspection at production line")</f>
        <v>Inspection at production line</v>
      </c>
      <c r="F1462" s="47" t="s">
        <v>9504</v>
      </c>
      <c r="G1462" s="92" t="s">
        <v>1954</v>
      </c>
      <c r="H1462" s="92" t="s">
        <v>9505</v>
      </c>
      <c r="I1462" s="92" t="s">
        <v>5418</v>
      </c>
      <c r="J1462" s="92" t="s">
        <v>18399</v>
      </c>
      <c r="K1462" s="47" t="s">
        <v>2655</v>
      </c>
    </row>
    <row r="1463" spans="1:11" ht="13.8">
      <c r="A1463" s="47" t="s">
        <v>1578</v>
      </c>
      <c r="B1463" s="92" t="s">
        <v>1523</v>
      </c>
      <c r="C1463" s="92" t="s">
        <v>1579</v>
      </c>
      <c r="D1463" s="72" t="str">
        <f>IFERROR(VLOOKUP(A1463,'[1]ST-QA-ZZ5'!$C$5:$M$299,11,0),"Inspection at production line")</f>
        <v>Inspection at production line</v>
      </c>
      <c r="F1463" s="47" t="s">
        <v>10335</v>
      </c>
      <c r="G1463" s="92" t="s">
        <v>68</v>
      </c>
      <c r="H1463" s="92" t="s">
        <v>4088</v>
      </c>
      <c r="I1463" s="92" t="s">
        <v>18972</v>
      </c>
      <c r="J1463" s="102" t="s">
        <v>71</v>
      </c>
      <c r="K1463" s="101" t="s">
        <v>682</v>
      </c>
    </row>
    <row r="1464" spans="1:11" ht="13.8">
      <c r="A1464" s="47" t="s">
        <v>5493</v>
      </c>
      <c r="B1464" s="92" t="s">
        <v>5494</v>
      </c>
      <c r="C1464" s="92" t="s">
        <v>5494</v>
      </c>
      <c r="D1464" s="72" t="str">
        <f>IFERROR(VLOOKUP(A1464,'[1]ST-QA-ZZ5'!$C$5:$M$299,11,0),"Inspection at production line")</f>
        <v>Inspection at production line</v>
      </c>
      <c r="F1464" s="47" t="s">
        <v>469</v>
      </c>
      <c r="G1464" s="92" t="s">
        <v>174</v>
      </c>
      <c r="H1464" s="92" t="s">
        <v>470</v>
      </c>
      <c r="J1464" s="92" t="s">
        <v>18399</v>
      </c>
      <c r="K1464" s="47" t="s">
        <v>683</v>
      </c>
    </row>
    <row r="1465" spans="1:11" ht="13.8">
      <c r="A1465" s="47" t="s">
        <v>5495</v>
      </c>
      <c r="B1465" s="92" t="s">
        <v>857</v>
      </c>
      <c r="C1465" s="92" t="s">
        <v>5496</v>
      </c>
      <c r="D1465" s="72" t="str">
        <f>IFERROR(VLOOKUP(A1465,'[1]ST-QA-ZZ5'!$C$5:$M$299,11,0),"Inspection at production line")</f>
        <v>Inspection at production line</v>
      </c>
      <c r="F1465" s="59" t="s">
        <v>18973</v>
      </c>
      <c r="G1465" s="92" t="s">
        <v>174</v>
      </c>
      <c r="H1465" s="92" t="s">
        <v>12225</v>
      </c>
      <c r="J1465" s="92" t="s">
        <v>18399</v>
      </c>
      <c r="K1465" s="47" t="s">
        <v>683</v>
      </c>
    </row>
    <row r="1466" spans="1:11" ht="13.8">
      <c r="A1466" s="47" t="s">
        <v>5497</v>
      </c>
      <c r="B1466" s="92" t="s">
        <v>857</v>
      </c>
      <c r="C1466" s="92" t="s">
        <v>5498</v>
      </c>
      <c r="D1466" s="72" t="str">
        <f>IFERROR(VLOOKUP(A1466,'[1]ST-QA-ZZ5'!$C$5:$M$299,11,0),"Inspection at production line")</f>
        <v>Inspection at production line</v>
      </c>
      <c r="F1466" s="92" t="s">
        <v>3011</v>
      </c>
      <c r="G1466" s="92" t="s">
        <v>1472</v>
      </c>
      <c r="H1466" s="92" t="s">
        <v>3012</v>
      </c>
      <c r="I1466" s="92" t="s">
        <v>852</v>
      </c>
      <c r="J1466" s="92" t="s">
        <v>60</v>
      </c>
      <c r="K1466" s="92" t="s">
        <v>686</v>
      </c>
    </row>
    <row r="1467" spans="1:11" ht="13.8">
      <c r="A1467" s="47" t="s">
        <v>5499</v>
      </c>
      <c r="B1467" s="92" t="s">
        <v>857</v>
      </c>
      <c r="C1467" s="92" t="s">
        <v>5500</v>
      </c>
      <c r="D1467" s="72" t="str">
        <f>IFERROR(VLOOKUP(A1467,'[1]ST-QA-ZZ5'!$C$5:$M$299,11,0),"Inspection at production line")</f>
        <v>Inspection at production line</v>
      </c>
      <c r="F1467" s="101" t="s">
        <v>18737</v>
      </c>
      <c r="G1467" s="102" t="s">
        <v>18738</v>
      </c>
      <c r="H1467" s="102" t="s">
        <v>18739</v>
      </c>
      <c r="I1467" s="102" t="s">
        <v>5418</v>
      </c>
      <c r="J1467" s="102" t="s">
        <v>5468</v>
      </c>
      <c r="K1467" s="101" t="s">
        <v>685</v>
      </c>
    </row>
    <row r="1468" spans="1:11" ht="13.8">
      <c r="A1468" s="47" t="s">
        <v>1582</v>
      </c>
      <c r="B1468" s="92" t="s">
        <v>1543</v>
      </c>
      <c r="C1468" s="92" t="s">
        <v>1583</v>
      </c>
      <c r="D1468" s="72" t="str">
        <f>IFERROR(VLOOKUP(A1468,'[1]ST-QA-ZZ5'!$C$5:$M$299,11,0),"Inspection at production line")</f>
        <v>Inspection at production line</v>
      </c>
      <c r="F1468" s="47" t="s">
        <v>18895</v>
      </c>
      <c r="G1468" s="92" t="s">
        <v>17970</v>
      </c>
      <c r="H1468" s="92" t="s">
        <v>17970</v>
      </c>
      <c r="I1468" s="92" t="s">
        <v>5418</v>
      </c>
      <c r="J1468" s="102" t="s">
        <v>5468</v>
      </c>
      <c r="K1468" s="101" t="s">
        <v>685</v>
      </c>
    </row>
    <row r="1469" spans="1:11" ht="13.8">
      <c r="A1469" s="47" t="s">
        <v>5501</v>
      </c>
      <c r="B1469" s="92" t="s">
        <v>857</v>
      </c>
      <c r="C1469" s="92" t="s">
        <v>5502</v>
      </c>
      <c r="D1469" s="72" t="str">
        <f>IFERROR(VLOOKUP(A1469,'[1]ST-QA-ZZ5'!$C$5:$M$299,11,0),"Inspection at production line")</f>
        <v>Inspection at production line</v>
      </c>
      <c r="F1469" s="47" t="s">
        <v>18756</v>
      </c>
      <c r="G1469" s="92" t="s">
        <v>174</v>
      </c>
      <c r="H1469" s="92" t="s">
        <v>18757</v>
      </c>
      <c r="I1469" s="92" t="s">
        <v>5418</v>
      </c>
      <c r="J1469" s="102" t="s">
        <v>60</v>
      </c>
      <c r="K1469" s="101" t="s">
        <v>2655</v>
      </c>
    </row>
    <row r="1470" spans="1:11" ht="13.8">
      <c r="A1470" s="47" t="s">
        <v>1585</v>
      </c>
      <c r="B1470" s="92" t="s">
        <v>797</v>
      </c>
      <c r="C1470" s="92" t="s">
        <v>1586</v>
      </c>
      <c r="D1470" s="72" t="str">
        <f>IFERROR(VLOOKUP(A1470,'[1]ST-QA-ZZ5'!$C$5:$M$299,11,0),"Inspection at production line")</f>
        <v>Inspection at production line</v>
      </c>
      <c r="F1470" s="47" t="s">
        <v>9306</v>
      </c>
      <c r="G1470" s="92" t="s">
        <v>1954</v>
      </c>
      <c r="H1470" s="92" t="s">
        <v>9307</v>
      </c>
      <c r="I1470" s="92" t="s">
        <v>5418</v>
      </c>
      <c r="J1470" s="102" t="s">
        <v>60</v>
      </c>
      <c r="K1470" s="101" t="s">
        <v>2655</v>
      </c>
    </row>
    <row r="1471" spans="1:11" ht="13.8">
      <c r="A1471" s="47" t="s">
        <v>5503</v>
      </c>
      <c r="B1471" s="92" t="s">
        <v>5504</v>
      </c>
      <c r="C1471" s="92" t="s">
        <v>5504</v>
      </c>
      <c r="D1471" s="72" t="str">
        <f>IFERROR(VLOOKUP(A1471,'[1]ST-QA-ZZ5'!$C$5:$M$299,11,0),"Inspection at production line")</f>
        <v>Inspection at production line</v>
      </c>
      <c r="F1471" s="47" t="s">
        <v>6294</v>
      </c>
      <c r="G1471" s="92" t="s">
        <v>279</v>
      </c>
      <c r="H1471" s="92" t="s">
        <v>6295</v>
      </c>
      <c r="I1471" s="92" t="s">
        <v>5418</v>
      </c>
      <c r="J1471" s="102" t="s">
        <v>60</v>
      </c>
      <c r="K1471" s="101" t="s">
        <v>685</v>
      </c>
    </row>
    <row r="1472" spans="1:11" ht="13.8">
      <c r="A1472" s="47" t="s">
        <v>1588</v>
      </c>
      <c r="B1472" s="92" t="s">
        <v>75</v>
      </c>
      <c r="C1472" s="92" t="s">
        <v>1589</v>
      </c>
      <c r="D1472" s="72" t="str">
        <f>IFERROR(VLOOKUP(A1472,'[1]ST-QA-ZZ5'!$C$5:$M$299,11,0),"Inspection at production line")</f>
        <v>Inspection at production line</v>
      </c>
      <c r="F1472" s="47" t="s">
        <v>10335</v>
      </c>
      <c r="G1472" s="92" t="s">
        <v>68</v>
      </c>
      <c r="H1472" s="92" t="s">
        <v>4088</v>
      </c>
      <c r="I1472" s="92" t="s">
        <v>18972</v>
      </c>
      <c r="J1472" s="102" t="s">
        <v>71</v>
      </c>
      <c r="K1472" s="101" t="s">
        <v>682</v>
      </c>
    </row>
    <row r="1473" spans="1:11" ht="13.8">
      <c r="A1473" s="47" t="s">
        <v>5505</v>
      </c>
      <c r="B1473" s="92" t="s">
        <v>857</v>
      </c>
      <c r="C1473" s="92" t="s">
        <v>5506</v>
      </c>
      <c r="D1473" s="72" t="str">
        <f>IFERROR(VLOOKUP(A1473,'[1]ST-QA-ZZ5'!$C$5:$M$299,11,0),"Inspection at production line")</f>
        <v>Inspection at production line</v>
      </c>
      <c r="F1473" s="47" t="s">
        <v>5045</v>
      </c>
      <c r="G1473" s="92" t="s">
        <v>2629</v>
      </c>
      <c r="H1473" s="92" t="s">
        <v>5046</v>
      </c>
      <c r="I1473" s="92" t="s">
        <v>208</v>
      </c>
      <c r="J1473" s="92" t="s">
        <v>60</v>
      </c>
      <c r="K1473" s="92" t="s">
        <v>685</v>
      </c>
    </row>
    <row r="1474" spans="1:11" ht="13.8">
      <c r="A1474" s="47" t="s">
        <v>1591</v>
      </c>
      <c r="B1474" s="92" t="s">
        <v>1592</v>
      </c>
      <c r="C1474" s="92" t="s">
        <v>1593</v>
      </c>
      <c r="D1474" s="72" t="str">
        <f>IFERROR(VLOOKUP(A1474,'[1]ST-QA-ZZ5'!$C$5:$M$299,11,0),"Inspection at production line")</f>
        <v>Inspection at production line</v>
      </c>
      <c r="F1474" s="92" t="s">
        <v>1348</v>
      </c>
      <c r="G1474" s="92" t="s">
        <v>1046</v>
      </c>
      <c r="H1474" s="92" t="s">
        <v>1349</v>
      </c>
      <c r="I1474" s="92" t="s">
        <v>980</v>
      </c>
      <c r="J1474" s="92" t="s">
        <v>60</v>
      </c>
      <c r="K1474" s="92" t="s">
        <v>681</v>
      </c>
    </row>
    <row r="1475" spans="1:11" ht="13.8">
      <c r="A1475" s="47" t="s">
        <v>5507</v>
      </c>
      <c r="B1475" s="92" t="s">
        <v>5508</v>
      </c>
      <c r="C1475" s="92" t="s">
        <v>5508</v>
      </c>
      <c r="D1475" s="72" t="str">
        <f>IFERROR(VLOOKUP(A1475,'[1]ST-QA-ZZ5'!$C$5:$M$299,11,0),"Inspection at production line")</f>
        <v>Inspection at production line</v>
      </c>
      <c r="F1475" s="47" t="s">
        <v>10335</v>
      </c>
      <c r="G1475" s="92" t="s">
        <v>68</v>
      </c>
      <c r="H1475" s="92" t="s">
        <v>4088</v>
      </c>
      <c r="I1475" s="92" t="s">
        <v>18972</v>
      </c>
      <c r="J1475" s="102" t="s">
        <v>71</v>
      </c>
      <c r="K1475" s="101" t="s">
        <v>682</v>
      </c>
    </row>
    <row r="1476" spans="1:11" ht="13.8">
      <c r="A1476" s="47" t="s">
        <v>1596</v>
      </c>
      <c r="B1476" s="92" t="s">
        <v>75</v>
      </c>
      <c r="C1476" s="92" t="s">
        <v>1597</v>
      </c>
      <c r="D1476" s="72" t="str">
        <f>IFERROR(VLOOKUP(A1476,'[1]ST-QA-ZZ5'!$C$5:$M$299,11,0),"Inspection at production line")</f>
        <v>Inspection at production line</v>
      </c>
      <c r="F1476" s="47" t="s">
        <v>8478</v>
      </c>
      <c r="G1476" s="92" t="s">
        <v>404</v>
      </c>
      <c r="H1476" s="92" t="s">
        <v>8479</v>
      </c>
      <c r="J1476" s="92" t="s">
        <v>60</v>
      </c>
      <c r="K1476" s="47" t="s">
        <v>681</v>
      </c>
    </row>
    <row r="1477" spans="1:11" ht="13.8">
      <c r="A1477" s="47" t="s">
        <v>5509</v>
      </c>
      <c r="B1477" s="92" t="s">
        <v>857</v>
      </c>
      <c r="C1477" s="92" t="s">
        <v>5510</v>
      </c>
      <c r="D1477" s="72" t="str">
        <f>IFERROR(VLOOKUP(A1477,'[1]ST-QA-ZZ5'!$C$5:$M$299,11,0),"Inspection at production line")</f>
        <v>Inspection at production line</v>
      </c>
      <c r="F1477" s="47" t="s">
        <v>18999</v>
      </c>
      <c r="G1477" s="92" t="s">
        <v>6870</v>
      </c>
      <c r="H1477" s="92" t="s">
        <v>19000</v>
      </c>
      <c r="I1477" s="92" t="s">
        <v>5418</v>
      </c>
      <c r="J1477" s="92" t="s">
        <v>60</v>
      </c>
      <c r="K1477" s="101" t="s">
        <v>2655</v>
      </c>
    </row>
    <row r="1478" spans="1:11" ht="13.8">
      <c r="A1478" s="47" t="s">
        <v>1599</v>
      </c>
      <c r="B1478" s="92" t="s">
        <v>1600</v>
      </c>
      <c r="C1478" s="92" t="s">
        <v>1601</v>
      </c>
      <c r="D1478" s="72" t="str">
        <f>IFERROR(VLOOKUP(A1478,'[1]ST-QA-ZZ5'!$C$5:$M$299,11,0),"Inspection at production line")</f>
        <v>Inspection at production line</v>
      </c>
      <c r="F1478" s="47" t="s">
        <v>8297</v>
      </c>
      <c r="G1478" s="92" t="s">
        <v>174</v>
      </c>
      <c r="H1478" s="92" t="s">
        <v>2005</v>
      </c>
      <c r="I1478" s="92" t="s">
        <v>18188</v>
      </c>
      <c r="J1478" s="92" t="s">
        <v>60</v>
      </c>
      <c r="K1478" s="101" t="s">
        <v>683</v>
      </c>
    </row>
    <row r="1479" spans="1:11" ht="13.8">
      <c r="A1479" s="47" t="s">
        <v>5511</v>
      </c>
      <c r="B1479" s="92" t="s">
        <v>5512</v>
      </c>
      <c r="C1479" s="92" t="s">
        <v>5512</v>
      </c>
      <c r="D1479" s="72" t="str">
        <f>IFERROR(VLOOKUP(A1479,'[1]ST-QA-ZZ5'!$C$5:$M$299,11,0),"Inspection at production line")</f>
        <v>Inspection at production line</v>
      </c>
      <c r="F1479" s="47" t="s">
        <v>8460</v>
      </c>
      <c r="G1479" s="92" t="s">
        <v>404</v>
      </c>
      <c r="H1479" s="92" t="s">
        <v>8461</v>
      </c>
      <c r="I1479" s="92" t="s">
        <v>5418</v>
      </c>
      <c r="J1479" s="92" t="s">
        <v>60</v>
      </c>
      <c r="K1479" s="101" t="s">
        <v>681</v>
      </c>
    </row>
    <row r="1480" spans="1:11" ht="13.8">
      <c r="A1480" s="47" t="s">
        <v>1603</v>
      </c>
      <c r="B1480" s="92" t="s">
        <v>1523</v>
      </c>
      <c r="C1480" s="92" t="s">
        <v>1604</v>
      </c>
      <c r="D1480" s="72" t="str">
        <f>IFERROR(VLOOKUP(A1480,'[1]ST-QA-ZZ5'!$C$5:$M$299,11,0),"Inspection at production line")</f>
        <v>Inspection at production line</v>
      </c>
      <c r="F1480" s="47" t="s">
        <v>9825</v>
      </c>
      <c r="G1480" s="92" t="s">
        <v>1491</v>
      </c>
      <c r="H1480" s="92" t="s">
        <v>9826</v>
      </c>
      <c r="I1480" s="92" t="s">
        <v>5418</v>
      </c>
      <c r="J1480" s="92" t="s">
        <v>60</v>
      </c>
      <c r="K1480" s="101" t="s">
        <v>2655</v>
      </c>
    </row>
    <row r="1481" spans="1:11" ht="13.8">
      <c r="A1481" s="47" t="s">
        <v>5513</v>
      </c>
      <c r="B1481" s="92" t="s">
        <v>5514</v>
      </c>
      <c r="C1481" s="92" t="s">
        <v>5514</v>
      </c>
      <c r="D1481" s="72" t="str">
        <f>IFERROR(VLOOKUP(A1481,'[1]ST-QA-ZZ5'!$C$5:$M$299,11,0),"Inspection at production line")</f>
        <v>Inspection at production line</v>
      </c>
      <c r="F1481" s="47" t="s">
        <v>8542</v>
      </c>
      <c r="G1481" s="92" t="s">
        <v>362</v>
      </c>
      <c r="H1481" s="92" t="s">
        <v>8543</v>
      </c>
      <c r="I1481" s="92" t="s">
        <v>5418</v>
      </c>
      <c r="J1481" s="92" t="s">
        <v>60</v>
      </c>
      <c r="K1481" s="101" t="s">
        <v>18088</v>
      </c>
    </row>
    <row r="1482" spans="1:11" ht="13.8">
      <c r="A1482" s="47" t="s">
        <v>1606</v>
      </c>
      <c r="B1482" s="92" t="s">
        <v>953</v>
      </c>
      <c r="C1482" s="92" t="s">
        <v>1607</v>
      </c>
      <c r="D1482" s="72" t="str">
        <f>IFERROR(VLOOKUP(A1482,'[1]ST-QA-ZZ5'!$C$5:$M$299,11,0),"Inspection at production line")</f>
        <v>Inspection at production line</v>
      </c>
      <c r="F1482" s="47" t="s">
        <v>9825</v>
      </c>
      <c r="G1482" s="92" t="s">
        <v>1491</v>
      </c>
      <c r="H1482" s="92" t="s">
        <v>9826</v>
      </c>
      <c r="I1482" s="92" t="s">
        <v>5418</v>
      </c>
      <c r="J1482" s="92" t="s">
        <v>60</v>
      </c>
      <c r="K1482" s="101" t="s">
        <v>2655</v>
      </c>
    </row>
    <row r="1483" spans="1:11" ht="13.8">
      <c r="A1483" s="47" t="s">
        <v>1609</v>
      </c>
      <c r="B1483" s="92" t="s">
        <v>797</v>
      </c>
      <c r="C1483" s="92" t="s">
        <v>1610</v>
      </c>
      <c r="D1483" s="72" t="str">
        <f>IFERROR(VLOOKUP(A1483,'[1]ST-QA-ZZ5'!$C$5:$M$299,11,0),"Inspection at production line")</f>
        <v>Inspection at production line</v>
      </c>
      <c r="F1483" s="47" t="s">
        <v>793</v>
      </c>
      <c r="G1483" s="92" t="s">
        <v>794</v>
      </c>
      <c r="H1483" s="92" t="s">
        <v>795</v>
      </c>
      <c r="I1483" s="92" t="s">
        <v>19139</v>
      </c>
      <c r="J1483" s="92" t="s">
        <v>60</v>
      </c>
      <c r="K1483" s="101" t="s">
        <v>19140</v>
      </c>
    </row>
    <row r="1484" spans="1:11" ht="13.8">
      <c r="A1484" s="47" t="s">
        <v>1612</v>
      </c>
      <c r="B1484" s="92" t="s">
        <v>953</v>
      </c>
      <c r="C1484" s="92" t="s">
        <v>1613</v>
      </c>
      <c r="D1484" s="72" t="str">
        <f>IFERROR(VLOOKUP(A1484,'[1]ST-QA-ZZ5'!$C$5:$M$299,11,0),"Inspection at production line")</f>
        <v>Inspection at production line</v>
      </c>
    </row>
    <row r="1485" spans="1:11" ht="13.8">
      <c r="A1485" s="47" t="s">
        <v>1616</v>
      </c>
      <c r="B1485" s="92" t="s">
        <v>1554</v>
      </c>
      <c r="C1485" s="92" t="s">
        <v>1617</v>
      </c>
      <c r="D1485" s="72" t="str">
        <f>IFERROR(VLOOKUP(A1485,'[1]ST-QA-ZZ5'!$C$5:$M$299,11,0),"Inspection at production line")</f>
        <v>Inspection at production line</v>
      </c>
    </row>
    <row r="1486" spans="1:11" ht="13.8">
      <c r="A1486" s="47" t="s">
        <v>5515</v>
      </c>
      <c r="B1486" s="92" t="s">
        <v>857</v>
      </c>
      <c r="C1486" s="92" t="s">
        <v>5516</v>
      </c>
      <c r="D1486" s="72" t="str">
        <f>IFERROR(VLOOKUP(A1486,'[1]ST-QA-ZZ5'!$C$5:$M$299,11,0),"Inspection at production line")</f>
        <v>Inspection at production line</v>
      </c>
    </row>
    <row r="1487" spans="1:11" ht="13.8">
      <c r="A1487" s="47" t="s">
        <v>1619</v>
      </c>
      <c r="B1487" s="92" t="s">
        <v>1523</v>
      </c>
      <c r="C1487" s="92" t="s">
        <v>1620</v>
      </c>
      <c r="D1487" s="72" t="str">
        <f>IFERROR(VLOOKUP(A1487,'[1]ST-QA-ZZ5'!$C$5:$M$299,11,0),"Inspection at production line")</f>
        <v>Inspection at production line</v>
      </c>
    </row>
    <row r="1488" spans="1:11" ht="13.8">
      <c r="A1488" s="47" t="s">
        <v>5517</v>
      </c>
      <c r="B1488" s="92" t="s">
        <v>5518</v>
      </c>
      <c r="C1488" s="92" t="s">
        <v>5518</v>
      </c>
      <c r="D1488" s="72" t="str">
        <f>IFERROR(VLOOKUP(A1488,'[1]ST-QA-ZZ5'!$C$5:$M$299,11,0),"Inspection at production line")</f>
        <v>Inspection at production line</v>
      </c>
    </row>
    <row r="1489" spans="1:4" ht="13.8">
      <c r="A1489" s="47" t="s">
        <v>1622</v>
      </c>
      <c r="B1489" s="92" t="s">
        <v>1623</v>
      </c>
      <c r="C1489" s="92" t="s">
        <v>1623</v>
      </c>
      <c r="D1489" s="72" t="str">
        <f>IFERROR(VLOOKUP(A1489,'[1]ST-QA-ZZ5'!$C$5:$M$299,11,0),"Inspection at production line")</f>
        <v>Inspection at production line</v>
      </c>
    </row>
    <row r="1490" spans="1:4" ht="13.8">
      <c r="A1490" s="47" t="s">
        <v>5519</v>
      </c>
      <c r="B1490" s="92" t="s">
        <v>5520</v>
      </c>
      <c r="C1490" s="92" t="s">
        <v>5520</v>
      </c>
      <c r="D1490" s="72" t="str">
        <f>IFERROR(VLOOKUP(A1490,'[1]ST-QA-ZZ5'!$C$5:$M$299,11,0),"Inspection at production line")</f>
        <v>Inspection at production line</v>
      </c>
    </row>
    <row r="1491" spans="1:4" ht="13.8">
      <c r="A1491" s="47" t="s">
        <v>1625</v>
      </c>
      <c r="B1491" s="92" t="s">
        <v>104</v>
      </c>
      <c r="C1491" s="92" t="s">
        <v>1626</v>
      </c>
      <c r="D1491" s="72" t="str">
        <f>IFERROR(VLOOKUP(A1491,'[1]ST-QA-ZZ5'!$C$5:$M$299,11,0),"Inspection at production line")</f>
        <v>Inspection at production line</v>
      </c>
    </row>
    <row r="1492" spans="1:4" ht="13.8">
      <c r="A1492" s="47" t="s">
        <v>1628</v>
      </c>
      <c r="B1492" s="92" t="s">
        <v>1592</v>
      </c>
      <c r="C1492" s="92" t="s">
        <v>1629</v>
      </c>
      <c r="D1492" s="72" t="str">
        <f>IFERROR(VLOOKUP(A1492,'[1]ST-QA-ZZ5'!$C$5:$M$299,11,0),"Inspection at production line")</f>
        <v>Inspection at production line</v>
      </c>
    </row>
    <row r="1493" spans="1:4" ht="13.8">
      <c r="A1493" s="47" t="s">
        <v>1631</v>
      </c>
      <c r="B1493" s="92" t="s">
        <v>1592</v>
      </c>
      <c r="C1493" s="92" t="s">
        <v>1632</v>
      </c>
      <c r="D1493" s="72" t="str">
        <f>IFERROR(VLOOKUP(A1493,'[1]ST-QA-ZZ5'!$C$5:$M$299,11,0),"Inspection at production line")</f>
        <v>Inspection at production line</v>
      </c>
    </row>
    <row r="1494" spans="1:4" ht="13.8">
      <c r="A1494" s="47" t="s">
        <v>1634</v>
      </c>
      <c r="B1494" s="92" t="s">
        <v>1523</v>
      </c>
      <c r="C1494" s="92" t="s">
        <v>1635</v>
      </c>
      <c r="D1494" s="72" t="str">
        <f>IFERROR(VLOOKUP(A1494,'[1]ST-QA-ZZ5'!$C$5:$M$299,11,0),"Inspection at production line")</f>
        <v>Inspection at production line</v>
      </c>
    </row>
    <row r="1495" spans="1:4" ht="13.8">
      <c r="A1495" s="47" t="s">
        <v>5521</v>
      </c>
      <c r="B1495" s="92" t="s">
        <v>5522</v>
      </c>
      <c r="C1495" s="92" t="s">
        <v>5522</v>
      </c>
      <c r="D1495" s="72" t="str">
        <f>IFERROR(VLOOKUP(A1495,'[1]ST-QA-ZZ5'!$C$5:$M$299,11,0),"Inspection at production line")</f>
        <v>Inspection at production line</v>
      </c>
    </row>
    <row r="1496" spans="1:4" ht="13.8">
      <c r="A1496" s="47" t="s">
        <v>1637</v>
      </c>
      <c r="B1496" s="92" t="s">
        <v>1638</v>
      </c>
      <c r="C1496" s="92" t="s">
        <v>1639</v>
      </c>
      <c r="D1496" s="72" t="str">
        <f>IFERROR(VLOOKUP(A1496,'[1]ST-QA-ZZ5'!$C$5:$M$299,11,0),"Inspection at production line")</f>
        <v>Inspection at production line</v>
      </c>
    </row>
    <row r="1497" spans="1:4" ht="13.8">
      <c r="A1497" s="47" t="s">
        <v>1641</v>
      </c>
      <c r="B1497" s="92" t="s">
        <v>75</v>
      </c>
      <c r="C1497" s="92" t="s">
        <v>1642</v>
      </c>
      <c r="D1497" s="72" t="str">
        <f>IFERROR(VLOOKUP(A1497,'[1]ST-QA-ZZ5'!$C$5:$M$299,11,0),"Inspection at production line")</f>
        <v>Inspection at production line</v>
      </c>
    </row>
    <row r="1498" spans="1:4" ht="13.8">
      <c r="A1498" s="47" t="s">
        <v>1644</v>
      </c>
      <c r="B1498" s="92" t="s">
        <v>1645</v>
      </c>
      <c r="C1498" s="92" t="s">
        <v>1646</v>
      </c>
      <c r="D1498" s="72" t="str">
        <f>IFERROR(VLOOKUP(A1498,'[1]ST-QA-ZZ5'!$C$5:$M$299,11,0),"Inspection at production line")</f>
        <v>Inspection at production line</v>
      </c>
    </row>
    <row r="1499" spans="1:4" ht="13.8">
      <c r="A1499" s="47" t="s">
        <v>1648</v>
      </c>
      <c r="B1499" s="92" t="s">
        <v>1592</v>
      </c>
      <c r="C1499" s="92" t="s">
        <v>1649</v>
      </c>
      <c r="D1499" s="72" t="str">
        <f>IFERROR(VLOOKUP(A1499,'[1]ST-QA-ZZ5'!$C$5:$M$299,11,0),"Inspection at production line")</f>
        <v>Inspection at production line</v>
      </c>
    </row>
    <row r="1500" spans="1:4" ht="13.8">
      <c r="A1500" s="47" t="s">
        <v>5523</v>
      </c>
      <c r="B1500" s="92" t="s">
        <v>5524</v>
      </c>
      <c r="C1500" s="92" t="s">
        <v>5524</v>
      </c>
      <c r="D1500" s="72" t="str">
        <f>IFERROR(VLOOKUP(A1500,'[1]ST-QA-ZZ5'!$C$5:$M$299,11,0),"Inspection at production line")</f>
        <v>Inspection at production line</v>
      </c>
    </row>
    <row r="1501" spans="1:4" ht="13.8">
      <c r="A1501" s="47" t="s">
        <v>1651</v>
      </c>
      <c r="B1501" s="92" t="s">
        <v>1592</v>
      </c>
      <c r="C1501" s="92" t="s">
        <v>1652</v>
      </c>
      <c r="D1501" s="72" t="str">
        <f>IFERROR(VLOOKUP(A1501,'[1]ST-QA-ZZ5'!$C$5:$M$299,11,0),"Inspection at production line")</f>
        <v>Inspection at production line</v>
      </c>
    </row>
    <row r="1502" spans="1:4" ht="13.8">
      <c r="A1502" s="47" t="s">
        <v>1654</v>
      </c>
      <c r="B1502" s="92" t="s">
        <v>797</v>
      </c>
      <c r="C1502" s="92" t="s">
        <v>1655</v>
      </c>
      <c r="D1502" s="72" t="str">
        <f>IFERROR(VLOOKUP(A1502,'[1]ST-QA-ZZ5'!$C$5:$M$299,11,0),"Inspection at production line")</f>
        <v>Inspection at production line</v>
      </c>
    </row>
    <row r="1503" spans="1:4" ht="13.8">
      <c r="A1503" s="47" t="s">
        <v>5525</v>
      </c>
      <c r="B1503" s="92" t="s">
        <v>5526</v>
      </c>
      <c r="C1503" s="92" t="s">
        <v>5526</v>
      </c>
      <c r="D1503" s="72" t="str">
        <f>IFERROR(VLOOKUP(A1503,'[1]ST-QA-ZZ5'!$C$5:$M$299,11,0),"Inspection at production line")</f>
        <v>Sampling check</v>
      </c>
    </row>
    <row r="1504" spans="1:4" ht="13.8">
      <c r="A1504" s="47" t="s">
        <v>1657</v>
      </c>
      <c r="B1504" s="92" t="s">
        <v>75</v>
      </c>
      <c r="C1504" s="92" t="s">
        <v>1597</v>
      </c>
      <c r="D1504" s="72" t="str">
        <f>IFERROR(VLOOKUP(A1504,'[1]ST-QA-ZZ5'!$C$5:$M$299,11,0),"Inspection at production line")</f>
        <v>Inspection at production line</v>
      </c>
    </row>
    <row r="1505" spans="1:4" ht="13.8">
      <c r="A1505" s="47" t="s">
        <v>1659</v>
      </c>
      <c r="B1505" s="92" t="s">
        <v>75</v>
      </c>
      <c r="C1505" s="92" t="s">
        <v>1660</v>
      </c>
      <c r="D1505" s="72" t="str">
        <f>IFERROR(VLOOKUP(A1505,'[1]ST-QA-ZZ5'!$C$5:$M$299,11,0),"Inspection at production line")</f>
        <v>Inspection at production line</v>
      </c>
    </row>
    <row r="1506" spans="1:4" ht="13.8">
      <c r="A1506" s="47" t="s">
        <v>5527</v>
      </c>
      <c r="B1506" s="92" t="s">
        <v>75</v>
      </c>
      <c r="C1506" s="92" t="s">
        <v>1663</v>
      </c>
      <c r="D1506" s="72" t="str">
        <f>IFERROR(VLOOKUP(A1506,'[1]ST-QA-ZZ5'!$C$5:$M$299,11,0),"Inspection at production line")</f>
        <v>Inspection at production line</v>
      </c>
    </row>
    <row r="1507" spans="1:4" ht="13.8">
      <c r="A1507" s="47" t="s">
        <v>1664</v>
      </c>
      <c r="B1507" s="92" t="s">
        <v>1645</v>
      </c>
      <c r="C1507" s="92" t="s">
        <v>1665</v>
      </c>
      <c r="D1507" s="72" t="str">
        <f>IFERROR(VLOOKUP(A1507,'[1]ST-QA-ZZ5'!$C$5:$M$299,11,0),"Inspection at production line")</f>
        <v>Inspection at production line</v>
      </c>
    </row>
    <row r="1508" spans="1:4" ht="13.8">
      <c r="A1508" s="47" t="s">
        <v>1666</v>
      </c>
      <c r="B1508" s="92" t="s">
        <v>1592</v>
      </c>
      <c r="C1508" s="92" t="s">
        <v>1667</v>
      </c>
      <c r="D1508" s="72" t="str">
        <f>IFERROR(VLOOKUP(A1508,'[1]ST-QA-ZZ5'!$C$5:$M$299,11,0),"Inspection at production line")</f>
        <v>Inspection at production line</v>
      </c>
    </row>
    <row r="1509" spans="1:4" ht="13.8">
      <c r="A1509" s="47" t="s">
        <v>5528</v>
      </c>
      <c r="B1509" s="92" t="s">
        <v>5529</v>
      </c>
      <c r="C1509" s="92" t="s">
        <v>5529</v>
      </c>
      <c r="D1509" s="72" t="str">
        <f>IFERROR(VLOOKUP(A1509,'[1]ST-QA-ZZ5'!$C$5:$M$299,11,0),"Inspection at production line")</f>
        <v>Inspection at production line</v>
      </c>
    </row>
    <row r="1510" spans="1:4" ht="13.8">
      <c r="A1510" s="47" t="s">
        <v>1668</v>
      </c>
      <c r="B1510" s="92" t="s">
        <v>1669</v>
      </c>
      <c r="C1510" s="92" t="s">
        <v>1670</v>
      </c>
      <c r="D1510" s="72" t="str">
        <f>IFERROR(VLOOKUP(A1510,'[1]ST-QA-ZZ5'!$C$5:$M$299,11,0),"Inspection at production line")</f>
        <v>Inspection at production line</v>
      </c>
    </row>
    <row r="1511" spans="1:4" ht="13.8">
      <c r="A1511" s="47" t="s">
        <v>5530</v>
      </c>
      <c r="B1511" s="92" t="s">
        <v>5531</v>
      </c>
      <c r="C1511" s="92" t="s">
        <v>5531</v>
      </c>
      <c r="D1511" s="72" t="str">
        <f>IFERROR(VLOOKUP(A1511,'[1]ST-QA-ZZ5'!$C$5:$M$299,11,0),"Inspection at production line")</f>
        <v>Inspection at production line</v>
      </c>
    </row>
    <row r="1512" spans="1:4" ht="13.8">
      <c r="A1512" s="47" t="s">
        <v>1671</v>
      </c>
      <c r="B1512" s="92" t="s">
        <v>75</v>
      </c>
      <c r="C1512" s="92" t="s">
        <v>1672</v>
      </c>
      <c r="D1512" s="72" t="str">
        <f>IFERROR(VLOOKUP(A1512,'[1]ST-QA-ZZ5'!$C$5:$M$299,11,0),"Inspection at production line")</f>
        <v>Inspection at production line</v>
      </c>
    </row>
    <row r="1513" spans="1:4" ht="13.8">
      <c r="A1513" s="47" t="s">
        <v>1673</v>
      </c>
      <c r="B1513" s="92" t="s">
        <v>75</v>
      </c>
      <c r="C1513" s="92" t="s">
        <v>1674</v>
      </c>
      <c r="D1513" s="72" t="str">
        <f>IFERROR(VLOOKUP(A1513,'[1]ST-QA-ZZ5'!$C$5:$M$299,11,0),"Inspection at production line")</f>
        <v>Inspection at production line</v>
      </c>
    </row>
    <row r="1514" spans="1:4" ht="13.8">
      <c r="A1514" s="47" t="s">
        <v>1675</v>
      </c>
      <c r="B1514" s="92" t="s">
        <v>75</v>
      </c>
      <c r="C1514" s="92" t="s">
        <v>1676</v>
      </c>
      <c r="D1514" s="72" t="str">
        <f>IFERROR(VLOOKUP(A1514,'[1]ST-QA-ZZ5'!$C$5:$M$299,11,0),"Inspection at production line")</f>
        <v>Inspection at production line</v>
      </c>
    </row>
    <row r="1515" spans="1:4" ht="13.8">
      <c r="A1515" s="47" t="s">
        <v>1677</v>
      </c>
      <c r="B1515" s="92" t="s">
        <v>1678</v>
      </c>
      <c r="C1515" s="92" t="s">
        <v>1679</v>
      </c>
      <c r="D1515" s="72" t="str">
        <f>IFERROR(VLOOKUP(A1515,'[1]ST-QA-ZZ5'!$C$5:$M$299,11,0),"Inspection at production line")</f>
        <v>Inspection at production line</v>
      </c>
    </row>
    <row r="1516" spans="1:4" ht="13.8">
      <c r="A1516" s="47" t="s">
        <v>1680</v>
      </c>
      <c r="B1516" s="92" t="s">
        <v>797</v>
      </c>
      <c r="C1516" s="92" t="s">
        <v>1681</v>
      </c>
      <c r="D1516" s="72" t="str">
        <f>IFERROR(VLOOKUP(A1516,'[1]ST-QA-ZZ5'!$C$5:$M$299,11,0),"Inspection at production line")</f>
        <v>Inspection at production line</v>
      </c>
    </row>
    <row r="1517" spans="1:4" ht="13.8">
      <c r="A1517" s="47" t="s">
        <v>5532</v>
      </c>
      <c r="B1517" s="92" t="s">
        <v>857</v>
      </c>
      <c r="C1517" s="92" t="s">
        <v>5533</v>
      </c>
      <c r="D1517" s="72" t="str">
        <f>IFERROR(VLOOKUP(A1517,'[1]ST-QA-ZZ5'!$C$5:$M$299,11,0),"Inspection at production line")</f>
        <v>Inspection at production line</v>
      </c>
    </row>
    <row r="1518" spans="1:4" ht="13.8">
      <c r="A1518" s="47" t="s">
        <v>1682</v>
      </c>
      <c r="B1518" s="92" t="s">
        <v>1683</v>
      </c>
      <c r="C1518" s="92" t="s">
        <v>1684</v>
      </c>
      <c r="D1518" s="72" t="str">
        <f>IFERROR(VLOOKUP(A1518,'[1]ST-QA-ZZ5'!$C$5:$M$299,11,0),"Inspection at production line")</f>
        <v>Inspection at production line</v>
      </c>
    </row>
    <row r="1519" spans="1:4" ht="13.8">
      <c r="A1519" s="47" t="s">
        <v>1685</v>
      </c>
      <c r="B1519" s="92" t="s">
        <v>797</v>
      </c>
      <c r="C1519" s="92" t="s">
        <v>1686</v>
      </c>
      <c r="D1519" s="72" t="str">
        <f>IFERROR(VLOOKUP(A1519,'[1]ST-QA-ZZ5'!$C$5:$M$299,11,0),"Inspection at production line")</f>
        <v>Inspection at production line</v>
      </c>
    </row>
    <row r="1520" spans="1:4" ht="13.8">
      <c r="A1520" s="47" t="s">
        <v>5534</v>
      </c>
      <c r="B1520" s="92" t="s">
        <v>5535</v>
      </c>
      <c r="C1520" s="92" t="s">
        <v>5535</v>
      </c>
      <c r="D1520" s="72" t="str">
        <f>IFERROR(VLOOKUP(A1520,'[1]ST-QA-ZZ5'!$C$5:$M$299,11,0),"Inspection at production line")</f>
        <v>Sampling check</v>
      </c>
    </row>
    <row r="1521" spans="1:4" ht="13.8">
      <c r="A1521" s="47" t="s">
        <v>1687</v>
      </c>
      <c r="B1521" s="92" t="s">
        <v>75</v>
      </c>
      <c r="C1521" s="92" t="s">
        <v>1688</v>
      </c>
      <c r="D1521" s="72" t="str">
        <f>IFERROR(VLOOKUP(A1521,'[1]ST-QA-ZZ5'!$C$5:$M$299,11,0),"Inspection at production line")</f>
        <v>Inspection at production line</v>
      </c>
    </row>
    <row r="1522" spans="1:4" ht="13.8">
      <c r="A1522" s="47" t="s">
        <v>5536</v>
      </c>
      <c r="B1522" s="92" t="s">
        <v>857</v>
      </c>
      <c r="C1522" s="92" t="s">
        <v>5537</v>
      </c>
      <c r="D1522" s="72" t="str">
        <f>IFERROR(VLOOKUP(A1522,'[1]ST-QA-ZZ5'!$C$5:$M$299,11,0),"Inspection at production line")</f>
        <v>Inspection at production line</v>
      </c>
    </row>
    <row r="1523" spans="1:4" ht="13.8">
      <c r="A1523" s="47" t="s">
        <v>1690</v>
      </c>
      <c r="B1523" s="92" t="s">
        <v>1513</v>
      </c>
      <c r="C1523" s="92" t="s">
        <v>1691</v>
      </c>
      <c r="D1523" s="72" t="str">
        <f>IFERROR(VLOOKUP(A1523,'[1]ST-QA-ZZ5'!$C$5:$M$299,11,0),"Inspection at production line")</f>
        <v>Inspection at production line</v>
      </c>
    </row>
    <row r="1524" spans="1:4" ht="13.8">
      <c r="A1524" s="47" t="s">
        <v>5538</v>
      </c>
      <c r="B1524" s="92" t="s">
        <v>1513</v>
      </c>
      <c r="C1524" s="92" t="s">
        <v>5539</v>
      </c>
      <c r="D1524" s="72" t="str">
        <f>IFERROR(VLOOKUP(A1524,'[1]ST-QA-ZZ5'!$C$5:$M$299,11,0),"Inspection at production line")</f>
        <v>Inspection at production line</v>
      </c>
    </row>
    <row r="1525" spans="1:4" ht="13.8">
      <c r="A1525" s="47" t="s">
        <v>5540</v>
      </c>
      <c r="B1525" s="92" t="s">
        <v>857</v>
      </c>
      <c r="C1525" s="92" t="s">
        <v>5541</v>
      </c>
      <c r="D1525" s="72" t="str">
        <f>IFERROR(VLOOKUP(A1525,'[1]ST-QA-ZZ5'!$C$5:$M$299,11,0),"Inspection at production line")</f>
        <v>Inspection at production line</v>
      </c>
    </row>
    <row r="1526" spans="1:4" ht="13.8">
      <c r="A1526" s="47" t="s">
        <v>1692</v>
      </c>
      <c r="B1526" s="92" t="s">
        <v>1212</v>
      </c>
      <c r="C1526" s="92" t="s">
        <v>1212</v>
      </c>
      <c r="D1526" s="72" t="str">
        <f>IFERROR(VLOOKUP(A1526,'[1]ST-QA-ZZ5'!$C$5:$M$299,11,0),"Inspection at production line")</f>
        <v>Inspection at production line</v>
      </c>
    </row>
    <row r="1527" spans="1:4" ht="13.8">
      <c r="A1527" s="47" t="s">
        <v>1693</v>
      </c>
      <c r="B1527" s="92" t="s">
        <v>1592</v>
      </c>
      <c r="C1527" s="92" t="s">
        <v>1694</v>
      </c>
      <c r="D1527" s="72" t="str">
        <f>IFERROR(VLOOKUP(A1527,'[1]ST-QA-ZZ5'!$C$5:$M$299,11,0),"Inspection at production line")</f>
        <v>Inspection at production line</v>
      </c>
    </row>
    <row r="1528" spans="1:4" ht="13.8">
      <c r="A1528" s="47" t="s">
        <v>1695</v>
      </c>
      <c r="B1528" s="92" t="s">
        <v>75</v>
      </c>
      <c r="C1528" s="92" t="s">
        <v>1696</v>
      </c>
      <c r="D1528" s="72" t="str">
        <f>IFERROR(VLOOKUP(A1528,'[1]ST-QA-ZZ5'!$C$5:$M$299,11,0),"Inspection at production line")</f>
        <v>Inspection at production line</v>
      </c>
    </row>
    <row r="1529" spans="1:4" ht="13.8">
      <c r="A1529" s="47" t="s">
        <v>1697</v>
      </c>
      <c r="B1529" s="92" t="s">
        <v>1698</v>
      </c>
      <c r="C1529" s="92" t="s">
        <v>1699</v>
      </c>
      <c r="D1529" s="72" t="str">
        <f>IFERROR(VLOOKUP(A1529,'[1]ST-QA-ZZ5'!$C$5:$M$299,11,0),"Inspection at production line")</f>
        <v>Inspection at production line</v>
      </c>
    </row>
    <row r="1530" spans="1:4" ht="13.8">
      <c r="A1530" s="47" t="s">
        <v>1700</v>
      </c>
      <c r="B1530" s="92" t="s">
        <v>90</v>
      </c>
      <c r="C1530" s="92" t="s">
        <v>1701</v>
      </c>
      <c r="D1530" s="72" t="str">
        <f>IFERROR(VLOOKUP(A1530,'[1]ST-QA-ZZ5'!$C$5:$M$299,11,0),"Inspection at production line")</f>
        <v>Inspection at production line</v>
      </c>
    </row>
    <row r="1531" spans="1:4" ht="13.8">
      <c r="A1531" s="47" t="s">
        <v>1702</v>
      </c>
      <c r="B1531" s="92" t="s">
        <v>75</v>
      </c>
      <c r="C1531" s="92" t="s">
        <v>1520</v>
      </c>
      <c r="D1531" s="72" t="str">
        <f>IFERROR(VLOOKUP(A1531,'[1]ST-QA-ZZ5'!$C$5:$M$299,11,0),"Inspection at production line")</f>
        <v>Inspection at production line</v>
      </c>
    </row>
    <row r="1532" spans="1:4" ht="13.8">
      <c r="A1532" s="47" t="s">
        <v>1704</v>
      </c>
      <c r="B1532" s="92" t="s">
        <v>1592</v>
      </c>
      <c r="C1532" s="92" t="s">
        <v>1705</v>
      </c>
      <c r="D1532" s="72" t="str">
        <f>IFERROR(VLOOKUP(A1532,'[1]ST-QA-ZZ5'!$C$5:$M$299,11,0),"Inspection at production line")</f>
        <v>Inspection at production line</v>
      </c>
    </row>
    <row r="1533" spans="1:4" ht="13.8">
      <c r="A1533" s="47" t="s">
        <v>5542</v>
      </c>
      <c r="B1533" s="92" t="s">
        <v>5543</v>
      </c>
      <c r="C1533" s="92" t="s">
        <v>5543</v>
      </c>
      <c r="D1533" s="72" t="str">
        <f>IFERROR(VLOOKUP(A1533,'[1]ST-QA-ZZ5'!$C$5:$M$299,11,0),"Inspection at production line")</f>
        <v>Inspection at production line</v>
      </c>
    </row>
    <row r="1534" spans="1:4" ht="13.8">
      <c r="A1534" s="47" t="s">
        <v>1707</v>
      </c>
      <c r="B1534" s="92" t="s">
        <v>75</v>
      </c>
      <c r="C1534" s="92" t="s">
        <v>1708</v>
      </c>
      <c r="D1534" s="72" t="str">
        <f>IFERROR(VLOOKUP(A1534,'[1]ST-QA-ZZ5'!$C$5:$M$299,11,0),"Inspection at production line")</f>
        <v>Inspection at production line</v>
      </c>
    </row>
    <row r="1535" spans="1:4" ht="13.8">
      <c r="A1535" s="47" t="s">
        <v>5544</v>
      </c>
      <c r="B1535" s="92" t="s">
        <v>857</v>
      </c>
      <c r="C1535" s="92" t="s">
        <v>5545</v>
      </c>
      <c r="D1535" s="72" t="str">
        <f>IFERROR(VLOOKUP(A1535,'[1]ST-QA-ZZ5'!$C$5:$M$299,11,0),"Inspection at production line")</f>
        <v>Inspection at production line</v>
      </c>
    </row>
    <row r="1536" spans="1:4" ht="13.8">
      <c r="A1536" s="47" t="s">
        <v>1709</v>
      </c>
      <c r="B1536" s="92" t="s">
        <v>75</v>
      </c>
      <c r="C1536" s="92" t="s">
        <v>1520</v>
      </c>
      <c r="D1536" s="72" t="str">
        <f>IFERROR(VLOOKUP(A1536,'[1]ST-QA-ZZ5'!$C$5:$M$299,11,0),"Inspection at production line")</f>
        <v>Inspection at production line</v>
      </c>
    </row>
    <row r="1537" spans="1:4" ht="13.8">
      <c r="A1537" s="47" t="s">
        <v>1710</v>
      </c>
      <c r="B1537" s="92" t="s">
        <v>1592</v>
      </c>
      <c r="C1537" s="92" t="s">
        <v>1711</v>
      </c>
      <c r="D1537" s="72" t="str">
        <f>IFERROR(VLOOKUP(A1537,'[1]ST-QA-ZZ5'!$C$5:$M$299,11,0),"Inspection at production line")</f>
        <v>Inspection at production line</v>
      </c>
    </row>
    <row r="1538" spans="1:4" ht="13.8">
      <c r="A1538" s="47" t="s">
        <v>1712</v>
      </c>
      <c r="B1538" s="92" t="s">
        <v>797</v>
      </c>
      <c r="C1538" s="92" t="s">
        <v>1713</v>
      </c>
      <c r="D1538" s="72" t="str">
        <f>IFERROR(VLOOKUP(A1538,'[1]ST-QA-ZZ5'!$C$5:$M$299,11,0),"Inspection at production line")</f>
        <v>Inspection at production line</v>
      </c>
    </row>
    <row r="1539" spans="1:4" ht="13.8">
      <c r="A1539" s="47" t="s">
        <v>1714</v>
      </c>
      <c r="B1539" s="92" t="s">
        <v>953</v>
      </c>
      <c r="C1539" s="92" t="s">
        <v>1715</v>
      </c>
      <c r="D1539" s="72" t="str">
        <f>IFERROR(VLOOKUP(A1539,'[1]ST-QA-ZZ5'!$C$5:$M$299,11,0),"Inspection at production line")</f>
        <v>Inspection at production line</v>
      </c>
    </row>
    <row r="1540" spans="1:4" ht="13.8">
      <c r="A1540" s="47" t="s">
        <v>1716</v>
      </c>
      <c r="B1540" s="92" t="s">
        <v>1523</v>
      </c>
      <c r="C1540" s="92" t="s">
        <v>1717</v>
      </c>
      <c r="D1540" s="72" t="str">
        <f>IFERROR(VLOOKUP(A1540,'[1]ST-QA-ZZ5'!$C$5:$M$299,11,0),"Inspection at production line")</f>
        <v>Inspection at production line</v>
      </c>
    </row>
    <row r="1541" spans="1:4" ht="13.8">
      <c r="A1541" s="47" t="s">
        <v>5546</v>
      </c>
      <c r="B1541" s="92" t="s">
        <v>5547</v>
      </c>
      <c r="C1541" s="92" t="s">
        <v>5547</v>
      </c>
      <c r="D1541" s="72" t="str">
        <f>IFERROR(VLOOKUP(A1541,'[1]ST-QA-ZZ5'!$C$5:$M$299,11,0),"Inspection at production line")</f>
        <v>Inspection at production line</v>
      </c>
    </row>
    <row r="1542" spans="1:4" ht="13.8">
      <c r="A1542" s="47" t="s">
        <v>5548</v>
      </c>
      <c r="B1542" s="92" t="s">
        <v>857</v>
      </c>
      <c r="C1542" s="92" t="s">
        <v>5549</v>
      </c>
      <c r="D1542" s="72" t="str">
        <f>IFERROR(VLOOKUP(A1542,'[1]ST-QA-ZZ5'!$C$5:$M$299,11,0),"Inspection at production line")</f>
        <v>Inspection at production line</v>
      </c>
    </row>
    <row r="1543" spans="1:4" ht="13.8">
      <c r="A1543" s="47" t="s">
        <v>1719</v>
      </c>
      <c r="B1543" s="92" t="s">
        <v>1592</v>
      </c>
      <c r="C1543" s="92" t="s">
        <v>1720</v>
      </c>
      <c r="D1543" s="72" t="str">
        <f>IFERROR(VLOOKUP(A1543,'[1]ST-QA-ZZ5'!$C$5:$M$299,11,0),"Inspection at production line")</f>
        <v>Inspection at production line</v>
      </c>
    </row>
    <row r="1544" spans="1:4" ht="13.8">
      <c r="A1544" s="47" t="s">
        <v>1721</v>
      </c>
      <c r="B1544" s="92" t="s">
        <v>1534</v>
      </c>
      <c r="C1544" s="92" t="s">
        <v>1722</v>
      </c>
      <c r="D1544" s="72" t="str">
        <f>IFERROR(VLOOKUP(A1544,'[1]ST-QA-ZZ5'!$C$5:$M$299,11,0),"Inspection at production line")</f>
        <v>Inspection at production line</v>
      </c>
    </row>
    <row r="1545" spans="1:4" ht="13.8">
      <c r="A1545" s="47" t="s">
        <v>5550</v>
      </c>
      <c r="B1545" s="92" t="s">
        <v>5551</v>
      </c>
      <c r="C1545" s="92" t="s">
        <v>5551</v>
      </c>
      <c r="D1545" s="72" t="str">
        <f>IFERROR(VLOOKUP(A1545,'[1]ST-QA-ZZ5'!$C$5:$M$299,11,0),"Inspection at production line")</f>
        <v>Inspection at production line</v>
      </c>
    </row>
    <row r="1546" spans="1:4" ht="13.8">
      <c r="A1546" s="47" t="s">
        <v>5552</v>
      </c>
      <c r="B1546" s="92" t="s">
        <v>857</v>
      </c>
      <c r="C1546" s="92" t="s">
        <v>5553</v>
      </c>
      <c r="D1546" s="72" t="str">
        <f>IFERROR(VLOOKUP(A1546,'[1]ST-QA-ZZ5'!$C$5:$M$299,11,0),"Inspection at production line")</f>
        <v>Inspection at production line</v>
      </c>
    </row>
    <row r="1547" spans="1:4" ht="13.8">
      <c r="A1547" s="47" t="s">
        <v>5554</v>
      </c>
      <c r="B1547" s="92" t="s">
        <v>857</v>
      </c>
      <c r="C1547" s="92" t="s">
        <v>5555</v>
      </c>
      <c r="D1547" s="72" t="str">
        <f>IFERROR(VLOOKUP(A1547,'[1]ST-QA-ZZ5'!$C$5:$M$299,11,0),"Inspection at production line")</f>
        <v>Inspection at production line</v>
      </c>
    </row>
    <row r="1548" spans="1:4" ht="13.8">
      <c r="A1548" s="47" t="s">
        <v>1723</v>
      </c>
      <c r="B1548" s="92" t="s">
        <v>797</v>
      </c>
      <c r="C1548" s="92" t="s">
        <v>1724</v>
      </c>
      <c r="D1548" s="72" t="str">
        <f>IFERROR(VLOOKUP(A1548,'[1]ST-QA-ZZ5'!$C$5:$M$299,11,0),"Inspection at production line")</f>
        <v>Inspection at production line</v>
      </c>
    </row>
    <row r="1549" spans="1:4" ht="13.8">
      <c r="A1549" s="47" t="s">
        <v>5556</v>
      </c>
      <c r="B1549" s="92" t="s">
        <v>857</v>
      </c>
      <c r="C1549" s="92" t="s">
        <v>5557</v>
      </c>
      <c r="D1549" s="72" t="str">
        <f>IFERROR(VLOOKUP(A1549,'[1]ST-QA-ZZ5'!$C$5:$M$299,11,0),"Inspection at production line")</f>
        <v>Inspection at production line</v>
      </c>
    </row>
    <row r="1550" spans="1:4" ht="13.8">
      <c r="A1550" s="47" t="s">
        <v>1725</v>
      </c>
      <c r="B1550" s="92" t="s">
        <v>1523</v>
      </c>
      <c r="C1550" s="92" t="s">
        <v>1726</v>
      </c>
      <c r="D1550" s="72" t="str">
        <f>IFERROR(VLOOKUP(A1550,'[1]ST-QA-ZZ5'!$C$5:$M$299,11,0),"Inspection at production line")</f>
        <v>Inspection at production line</v>
      </c>
    </row>
    <row r="1551" spans="1:4" ht="13.8">
      <c r="A1551" s="47" t="s">
        <v>5558</v>
      </c>
      <c r="B1551" s="92" t="s">
        <v>5559</v>
      </c>
      <c r="C1551" s="92" t="s">
        <v>5559</v>
      </c>
      <c r="D1551" s="72" t="str">
        <f>IFERROR(VLOOKUP(A1551,'[1]ST-QA-ZZ5'!$C$5:$M$299,11,0),"Inspection at production line")</f>
        <v>Inspection at production line</v>
      </c>
    </row>
    <row r="1552" spans="1:4" ht="13.8">
      <c r="A1552" s="47" t="s">
        <v>1729</v>
      </c>
      <c r="B1552" s="92" t="s">
        <v>75</v>
      </c>
      <c r="C1552" s="92" t="s">
        <v>1730</v>
      </c>
      <c r="D1552" s="72" t="str">
        <f>IFERROR(VLOOKUP(A1552,'[1]ST-QA-ZZ5'!$C$5:$M$299,11,0),"Inspection at production line")</f>
        <v>Inspection at production line</v>
      </c>
    </row>
    <row r="1553" spans="1:4" ht="13.8">
      <c r="A1553" s="47" t="s">
        <v>1733</v>
      </c>
      <c r="B1553" s="92" t="s">
        <v>75</v>
      </c>
      <c r="C1553" s="92" t="s">
        <v>1734</v>
      </c>
      <c r="D1553" s="72" t="str">
        <f>IFERROR(VLOOKUP(A1553,'[1]ST-QA-ZZ5'!$C$5:$M$299,11,0),"Inspection at production line")</f>
        <v>Inspection at production line</v>
      </c>
    </row>
    <row r="1554" spans="1:4" ht="13.8">
      <c r="A1554" s="47" t="s">
        <v>1736</v>
      </c>
      <c r="B1554" s="92" t="s">
        <v>90</v>
      </c>
      <c r="C1554" s="92" t="s">
        <v>1737</v>
      </c>
      <c r="D1554" s="72" t="str">
        <f>IFERROR(VLOOKUP(A1554,'[1]ST-QA-ZZ5'!$C$5:$M$299,11,0),"Inspection at production line")</f>
        <v>Inspection at production line</v>
      </c>
    </row>
    <row r="1555" spans="1:4" ht="13.8">
      <c r="A1555" s="47" t="s">
        <v>1740</v>
      </c>
      <c r="B1555" s="92" t="s">
        <v>90</v>
      </c>
      <c r="C1555" s="92" t="s">
        <v>1451</v>
      </c>
      <c r="D1555" s="72" t="str">
        <f>IFERROR(VLOOKUP(A1555,'[1]ST-QA-ZZ5'!$C$5:$M$299,11,0),"Inspection at production line")</f>
        <v>Inspection at production line</v>
      </c>
    </row>
    <row r="1556" spans="1:4" ht="13.8">
      <c r="A1556" s="47" t="s">
        <v>1741</v>
      </c>
      <c r="B1556" s="92" t="s">
        <v>90</v>
      </c>
      <c r="C1556" s="92" t="s">
        <v>1742</v>
      </c>
      <c r="D1556" s="72" t="str">
        <f>IFERROR(VLOOKUP(A1556,'[1]ST-QA-ZZ5'!$C$5:$M$299,11,0),"Inspection at production line")</f>
        <v>Inspection at production line</v>
      </c>
    </row>
    <row r="1557" spans="1:4" ht="13.8">
      <c r="A1557" s="47" t="s">
        <v>5560</v>
      </c>
      <c r="B1557" s="92" t="s">
        <v>857</v>
      </c>
      <c r="C1557" s="92" t="s">
        <v>5561</v>
      </c>
      <c r="D1557" s="72" t="str">
        <f>IFERROR(VLOOKUP(A1557,'[1]ST-QA-ZZ5'!$C$5:$M$299,11,0),"Inspection at production line")</f>
        <v>Inspection at production line</v>
      </c>
    </row>
    <row r="1558" spans="1:4" ht="13.8">
      <c r="A1558" s="47" t="s">
        <v>5562</v>
      </c>
      <c r="B1558" s="92" t="s">
        <v>857</v>
      </c>
      <c r="C1558" s="92" t="s">
        <v>5563</v>
      </c>
      <c r="D1558" s="72" t="str">
        <f>IFERROR(VLOOKUP(A1558,'[1]ST-QA-ZZ5'!$C$5:$M$299,11,0),"Inspection at production line")</f>
        <v>Inspection at production line</v>
      </c>
    </row>
    <row r="1559" spans="1:4" ht="13.8">
      <c r="A1559" s="47" t="s">
        <v>189</v>
      </c>
      <c r="B1559" s="92" t="s">
        <v>190</v>
      </c>
      <c r="C1559" s="92" t="s">
        <v>191</v>
      </c>
      <c r="D1559" s="72" t="str">
        <f>IFERROR(VLOOKUP(A1559,'[1]ST-QA-ZZ5'!$C$5:$M$299,11,0),"Inspection at production line")</f>
        <v>Inspection at production line</v>
      </c>
    </row>
    <row r="1560" spans="1:4" ht="13.8">
      <c r="A1560" s="47" t="s">
        <v>1745</v>
      </c>
      <c r="B1560" s="92" t="s">
        <v>90</v>
      </c>
      <c r="C1560" s="92" t="s">
        <v>1746</v>
      </c>
      <c r="D1560" s="72" t="str">
        <f>IFERROR(VLOOKUP(A1560,'[1]ST-QA-ZZ5'!$C$5:$M$299,11,0),"Inspection at production line")</f>
        <v>Inspection at production line</v>
      </c>
    </row>
    <row r="1561" spans="1:4" ht="13.8">
      <c r="A1561" s="47" t="s">
        <v>1749</v>
      </c>
      <c r="B1561" s="92" t="s">
        <v>797</v>
      </c>
      <c r="C1561" s="92" t="s">
        <v>1750</v>
      </c>
      <c r="D1561" s="72" t="str">
        <f>IFERROR(VLOOKUP(A1561,'[1]ST-QA-ZZ5'!$C$5:$M$299,11,0),"Inspection at production line")</f>
        <v>Inspection at production line</v>
      </c>
    </row>
    <row r="1562" spans="1:4" ht="13.8">
      <c r="A1562" s="47" t="s">
        <v>1751</v>
      </c>
      <c r="B1562" s="92" t="s">
        <v>1638</v>
      </c>
      <c r="C1562" s="92" t="s">
        <v>1752</v>
      </c>
      <c r="D1562" s="72" t="str">
        <f>IFERROR(VLOOKUP(A1562,'[1]ST-QA-ZZ5'!$C$5:$M$299,11,0),"Inspection at production line")</f>
        <v>Inspection at production line</v>
      </c>
    </row>
    <row r="1563" spans="1:4" ht="13.8">
      <c r="A1563" s="47" t="s">
        <v>1755</v>
      </c>
      <c r="B1563" s="92" t="s">
        <v>75</v>
      </c>
      <c r="C1563" s="92" t="s">
        <v>1756</v>
      </c>
      <c r="D1563" s="72" t="str">
        <f>IFERROR(VLOOKUP(A1563,'[1]ST-QA-ZZ5'!$C$5:$M$299,11,0),"Inspection at production line")</f>
        <v>Inspection at production line</v>
      </c>
    </row>
    <row r="1564" spans="1:4" ht="13.8">
      <c r="A1564" s="47" t="s">
        <v>1759</v>
      </c>
      <c r="B1564" s="92" t="s">
        <v>1760</v>
      </c>
      <c r="C1564" s="92" t="s">
        <v>1761</v>
      </c>
      <c r="D1564" s="72" t="str">
        <f>IFERROR(VLOOKUP(A1564,'[1]ST-QA-ZZ5'!$C$5:$M$299,11,0),"Inspection at production line")</f>
        <v>Inspection at production line</v>
      </c>
    </row>
    <row r="1565" spans="1:4" ht="13.8">
      <c r="A1565" s="47" t="s">
        <v>5564</v>
      </c>
      <c r="B1565" s="92" t="s">
        <v>555</v>
      </c>
      <c r="C1565" s="92" t="s">
        <v>3558</v>
      </c>
      <c r="D1565" s="72" t="str">
        <f>IFERROR(VLOOKUP(A1565,'[1]ST-QA-ZZ5'!$C$5:$M$299,11,0),"Inspection at production line")</f>
        <v>Inspection at production line</v>
      </c>
    </row>
    <row r="1566" spans="1:4" ht="13.8">
      <c r="A1566" s="47" t="s">
        <v>5565</v>
      </c>
      <c r="B1566" s="92" t="s">
        <v>1554</v>
      </c>
      <c r="C1566" s="92" t="s">
        <v>5566</v>
      </c>
      <c r="D1566" s="72" t="str">
        <f>IFERROR(VLOOKUP(A1566,'[1]ST-QA-ZZ5'!$C$5:$M$299,11,0),"Inspection at production line")</f>
        <v>Inspection at production line</v>
      </c>
    </row>
    <row r="1567" spans="1:4" ht="13.8">
      <c r="A1567" s="47" t="s">
        <v>1764</v>
      </c>
      <c r="B1567" s="92" t="s">
        <v>1554</v>
      </c>
      <c r="C1567" s="92" t="s">
        <v>1765</v>
      </c>
      <c r="D1567" s="72" t="str">
        <f>IFERROR(VLOOKUP(A1567,'[1]ST-QA-ZZ5'!$C$5:$M$299,11,0),"Inspection at production line")</f>
        <v>Inspection at production line</v>
      </c>
    </row>
    <row r="1568" spans="1:4" ht="13.8">
      <c r="A1568" s="47" t="s">
        <v>5567</v>
      </c>
      <c r="B1568" s="92" t="s">
        <v>75</v>
      </c>
      <c r="C1568" s="92" t="s">
        <v>5568</v>
      </c>
      <c r="D1568" s="72" t="str">
        <f>IFERROR(VLOOKUP(A1568,'[1]ST-QA-ZZ5'!$C$5:$M$299,11,0),"Inspection at production line")</f>
        <v>Inspection at production line</v>
      </c>
    </row>
    <row r="1569" spans="1:4" ht="13.8">
      <c r="A1569" s="47" t="s">
        <v>5569</v>
      </c>
      <c r="B1569" s="92" t="s">
        <v>1554</v>
      </c>
      <c r="C1569" s="92" t="s">
        <v>5570</v>
      </c>
      <c r="D1569" s="72" t="str">
        <f>IFERROR(VLOOKUP(A1569,'[1]ST-QA-ZZ5'!$C$5:$M$299,11,0),"Inspection at production line")</f>
        <v>Inspection at production line</v>
      </c>
    </row>
    <row r="1570" spans="1:4" ht="13.8">
      <c r="A1570" s="47" t="s">
        <v>1768</v>
      </c>
      <c r="B1570" s="92" t="s">
        <v>1554</v>
      </c>
      <c r="C1570" s="92" t="s">
        <v>5571</v>
      </c>
      <c r="D1570" s="72" t="str">
        <f>IFERROR(VLOOKUP(A1570,'[1]ST-QA-ZZ5'!$C$5:$M$299,11,0),"Inspection at production line")</f>
        <v>Inspection at production line</v>
      </c>
    </row>
    <row r="1571" spans="1:4" ht="13.8">
      <c r="A1571" s="47" t="s">
        <v>5572</v>
      </c>
      <c r="B1571" s="92" t="s">
        <v>104</v>
      </c>
      <c r="C1571" s="92" t="s">
        <v>5573</v>
      </c>
      <c r="D1571" s="72" t="str">
        <f>IFERROR(VLOOKUP(A1571,'[1]ST-QA-ZZ5'!$C$5:$M$299,11,0),"Inspection at production line")</f>
        <v>Inspection at production line</v>
      </c>
    </row>
    <row r="1572" spans="1:4" ht="13.8">
      <c r="A1572" s="47" t="s">
        <v>5574</v>
      </c>
      <c r="B1572" s="92" t="s">
        <v>104</v>
      </c>
      <c r="C1572" s="92" t="s">
        <v>5575</v>
      </c>
      <c r="D1572" s="72" t="str">
        <f>IFERROR(VLOOKUP(A1572,'[1]ST-QA-ZZ5'!$C$5:$M$299,11,0),"Inspection at production line")</f>
        <v>Inspection at production line</v>
      </c>
    </row>
    <row r="1573" spans="1:4" ht="13.8">
      <c r="A1573" s="47" t="s">
        <v>5576</v>
      </c>
      <c r="B1573" s="92" t="s">
        <v>5577</v>
      </c>
      <c r="C1573" s="92" t="s">
        <v>5578</v>
      </c>
      <c r="D1573" s="72" t="str">
        <f>IFERROR(VLOOKUP(A1573,'[1]ST-QA-ZZ5'!$C$5:$M$299,11,0),"Inspection at production line")</f>
        <v>Inspection at production line</v>
      </c>
    </row>
    <row r="1574" spans="1:4" ht="13.8">
      <c r="A1574" s="47" t="s">
        <v>5579</v>
      </c>
      <c r="B1574" s="92" t="s">
        <v>1806</v>
      </c>
      <c r="C1574" s="92" t="s">
        <v>5580</v>
      </c>
      <c r="D1574" s="72" t="str">
        <f>IFERROR(VLOOKUP(A1574,'[1]ST-QA-ZZ5'!$C$5:$M$299,11,0),"Inspection at production line")</f>
        <v>Inspection at production line</v>
      </c>
    </row>
    <row r="1575" spans="1:4" ht="13.8">
      <c r="A1575" s="47" t="s">
        <v>5581</v>
      </c>
      <c r="B1575" s="92" t="s">
        <v>5582</v>
      </c>
      <c r="C1575" s="92" t="s">
        <v>5583</v>
      </c>
      <c r="D1575" s="72" t="str">
        <f>IFERROR(VLOOKUP(A1575,'[1]ST-QA-ZZ5'!$C$5:$M$299,11,0),"Inspection at production line")</f>
        <v>Inspection at production line</v>
      </c>
    </row>
    <row r="1576" spans="1:4" ht="13.8">
      <c r="A1576" s="47" t="s">
        <v>5584</v>
      </c>
      <c r="B1576" s="92" t="s">
        <v>2705</v>
      </c>
      <c r="C1576" s="92" t="s">
        <v>5585</v>
      </c>
      <c r="D1576" s="72" t="str">
        <f>IFERROR(VLOOKUP(A1576,'[1]ST-QA-ZZ5'!$C$5:$M$299,11,0),"Inspection at production line")</f>
        <v>Inspection at production line</v>
      </c>
    </row>
    <row r="1577" spans="1:4" ht="13.8">
      <c r="A1577" s="47" t="s">
        <v>3102</v>
      </c>
      <c r="B1577" s="92" t="s">
        <v>5586</v>
      </c>
      <c r="C1577" s="92" t="s">
        <v>3098</v>
      </c>
      <c r="D1577" s="72" t="str">
        <f>IFERROR(VLOOKUP(A1577,'[1]ST-QA-ZZ5'!$C$5:$M$299,11,0),"Inspection at production line")</f>
        <v>Inspection at production line</v>
      </c>
    </row>
    <row r="1578" spans="1:4" ht="13.8">
      <c r="A1578" s="47" t="s">
        <v>3096</v>
      </c>
      <c r="B1578" s="92" t="s">
        <v>857</v>
      </c>
      <c r="C1578" s="92" t="s">
        <v>3098</v>
      </c>
      <c r="D1578" s="72" t="str">
        <f>IFERROR(VLOOKUP(A1578,'[1]ST-QA-ZZ5'!$C$5:$M$299,11,0),"Inspection at production line")</f>
        <v>Inspection at production line</v>
      </c>
    </row>
    <row r="1579" spans="1:4" ht="13.8">
      <c r="A1579" s="47" t="s">
        <v>5587</v>
      </c>
      <c r="B1579" s="92" t="s">
        <v>5586</v>
      </c>
      <c r="C1579" s="92" t="s">
        <v>3098</v>
      </c>
      <c r="D1579" s="72" t="str">
        <f>IFERROR(VLOOKUP(A1579,'[1]ST-QA-ZZ5'!$C$5:$M$299,11,0),"Inspection at production line")</f>
        <v>Appearance check 100%</v>
      </c>
    </row>
    <row r="1580" spans="1:4" ht="13.8">
      <c r="A1580" s="47" t="s">
        <v>3116</v>
      </c>
      <c r="B1580" s="92" t="s">
        <v>857</v>
      </c>
      <c r="C1580" s="92">
        <v>7000314</v>
      </c>
      <c r="D1580" s="72" t="str">
        <f>IFERROR(VLOOKUP(A1580,'[1]ST-QA-ZZ5'!$C$5:$M$299,11,0),"Inspection at production line")</f>
        <v>Inspection at production line</v>
      </c>
    </row>
    <row r="1581" spans="1:4" ht="13.8">
      <c r="A1581" s="47" t="s">
        <v>5588</v>
      </c>
      <c r="B1581" s="92" t="s">
        <v>3117</v>
      </c>
      <c r="C1581" s="92" t="s">
        <v>5589</v>
      </c>
      <c r="D1581" s="72" t="str">
        <f>IFERROR(VLOOKUP(A1581,'[1]ST-QA-ZZ5'!$C$5:$M$299,11,0),"Inspection at production line")</f>
        <v>Inspection at production line</v>
      </c>
    </row>
    <row r="1582" spans="1:4" ht="13.8">
      <c r="A1582" s="47" t="s">
        <v>3120</v>
      </c>
      <c r="B1582" s="92" t="s">
        <v>857</v>
      </c>
      <c r="C1582" s="92" t="s">
        <v>5590</v>
      </c>
      <c r="D1582" s="72" t="str">
        <f>IFERROR(VLOOKUP(A1582,'[1]ST-QA-ZZ5'!$C$5:$M$299,11,0),"Inspection at production line")</f>
        <v>Inspection at production line</v>
      </c>
    </row>
    <row r="1583" spans="1:4" ht="13.8">
      <c r="A1583" s="47" t="s">
        <v>5591</v>
      </c>
      <c r="B1583" s="92" t="s">
        <v>857</v>
      </c>
      <c r="C1583" s="92">
        <v>7000292</v>
      </c>
      <c r="D1583" s="72" t="str">
        <f>IFERROR(VLOOKUP(A1583,'[1]ST-QA-ZZ5'!$C$5:$M$299,11,0),"Inspection at production line")</f>
        <v>Inspection at production line</v>
      </c>
    </row>
    <row r="1584" spans="1:4" ht="13.8">
      <c r="A1584" s="47" t="s">
        <v>5592</v>
      </c>
      <c r="B1584" s="92" t="s">
        <v>5593</v>
      </c>
      <c r="C1584" s="92" t="s">
        <v>5594</v>
      </c>
      <c r="D1584" s="72" t="str">
        <f>IFERROR(VLOOKUP(A1584,'[1]ST-QA-ZZ5'!$C$5:$M$299,11,0),"Inspection at production line")</f>
        <v>Appearance check 100%</v>
      </c>
    </row>
    <row r="1585" spans="1:4" ht="13.8">
      <c r="A1585" s="47" t="s">
        <v>3125</v>
      </c>
      <c r="B1585" s="92" t="s">
        <v>2024</v>
      </c>
      <c r="C1585" s="92" t="s">
        <v>5595</v>
      </c>
      <c r="D1585" s="72" t="str">
        <f>IFERROR(VLOOKUP(A1585,'[1]ST-QA-ZZ5'!$C$5:$M$299,11,0),"Inspection at production line")</f>
        <v>Inspection at production line</v>
      </c>
    </row>
    <row r="1586" spans="1:4" ht="13.8">
      <c r="A1586" s="47" t="s">
        <v>3107</v>
      </c>
      <c r="B1586" s="92" t="s">
        <v>5596</v>
      </c>
      <c r="C1586" s="92" t="s">
        <v>5597</v>
      </c>
      <c r="D1586" s="72" t="str">
        <f>IFERROR(VLOOKUP(A1586,'[1]ST-QA-ZZ5'!$C$5:$M$299,11,0),"Inspection at production line")</f>
        <v>Inspection at production line</v>
      </c>
    </row>
    <row r="1587" spans="1:4" ht="13.8">
      <c r="A1587" s="47" t="s">
        <v>3129</v>
      </c>
      <c r="B1587" s="92" t="s">
        <v>5596</v>
      </c>
      <c r="C1587" s="92" t="s">
        <v>5598</v>
      </c>
      <c r="D1587" s="72" t="str">
        <f>IFERROR(VLOOKUP(A1587,'[1]ST-QA-ZZ5'!$C$5:$M$299,11,0),"Inspection at production line")</f>
        <v>Inspection at production line</v>
      </c>
    </row>
    <row r="1588" spans="1:4" ht="13.8">
      <c r="A1588" s="47" t="s">
        <v>3112</v>
      </c>
      <c r="B1588" s="92" t="s">
        <v>5599</v>
      </c>
      <c r="C1588" s="92" t="s">
        <v>5600</v>
      </c>
      <c r="D1588" s="72" t="str">
        <f>IFERROR(VLOOKUP(A1588,'[1]ST-QA-ZZ5'!$C$5:$M$299,11,0),"Inspection at production line")</f>
        <v>Inspection at production line</v>
      </c>
    </row>
    <row r="1589" spans="1:4" ht="13.8">
      <c r="A1589" s="47" t="s">
        <v>3133</v>
      </c>
      <c r="B1589" s="92" t="s">
        <v>5599</v>
      </c>
      <c r="C1589" s="92" t="s">
        <v>5601</v>
      </c>
      <c r="D1589" s="72" t="str">
        <f>IFERROR(VLOOKUP(A1589,'[1]ST-QA-ZZ5'!$C$5:$M$299,11,0),"Inspection at production line")</f>
        <v>Inspection at production line</v>
      </c>
    </row>
    <row r="1590" spans="1:4" ht="13.8">
      <c r="A1590" s="47" t="s">
        <v>3137</v>
      </c>
      <c r="B1590" s="92" t="s">
        <v>857</v>
      </c>
      <c r="C1590" s="92" t="s">
        <v>5602</v>
      </c>
      <c r="D1590" s="72" t="str">
        <f>IFERROR(VLOOKUP(A1590,'[1]ST-QA-ZZ5'!$C$5:$M$299,11,0),"Inspection at production line")</f>
        <v>Inspection at production line</v>
      </c>
    </row>
    <row r="1591" spans="1:4" ht="13.8">
      <c r="A1591" s="47" t="s">
        <v>5603</v>
      </c>
      <c r="B1591" s="92" t="s">
        <v>3138</v>
      </c>
      <c r="C1591" s="92" t="s">
        <v>5604</v>
      </c>
      <c r="D1591" s="72" t="str">
        <f>IFERROR(VLOOKUP(A1591,'[1]ST-QA-ZZ5'!$C$5:$M$299,11,0),"Inspection at production line")</f>
        <v>Inspection at production line</v>
      </c>
    </row>
    <row r="1592" spans="1:4" ht="13.8">
      <c r="A1592" s="47" t="s">
        <v>3141</v>
      </c>
      <c r="B1592" s="92" t="s">
        <v>2024</v>
      </c>
      <c r="C1592" s="92" t="s">
        <v>5605</v>
      </c>
      <c r="D1592" s="72" t="str">
        <f>IFERROR(VLOOKUP(A1592,'[1]ST-QA-ZZ5'!$C$5:$M$299,11,0),"Inspection at production line")</f>
        <v>Inspection at production line</v>
      </c>
    </row>
    <row r="1593" spans="1:4" ht="13.8">
      <c r="A1593" s="47" t="s">
        <v>5606</v>
      </c>
      <c r="B1593" s="92" t="s">
        <v>857</v>
      </c>
      <c r="C1593" s="92" t="s">
        <v>5607</v>
      </c>
      <c r="D1593" s="72" t="str">
        <f>IFERROR(VLOOKUP(A1593,'[1]ST-QA-ZZ5'!$C$5:$M$299,11,0),"Inspection at production line")</f>
        <v>Inspection at production line</v>
      </c>
    </row>
    <row r="1594" spans="1:4" ht="13.8">
      <c r="A1594" s="47" t="s">
        <v>5608</v>
      </c>
      <c r="B1594" s="92" t="s">
        <v>857</v>
      </c>
      <c r="C1594" s="92" t="s">
        <v>5607</v>
      </c>
      <c r="D1594" s="72" t="str">
        <f>IFERROR(VLOOKUP(A1594,'[1]ST-QA-ZZ5'!$C$5:$M$299,11,0),"Inspection at production line")</f>
        <v>Inspection at production line</v>
      </c>
    </row>
    <row r="1595" spans="1:4" ht="13.8">
      <c r="A1595" s="47" t="s">
        <v>5609</v>
      </c>
      <c r="B1595" s="92" t="s">
        <v>5593</v>
      </c>
      <c r="C1595" s="92" t="s">
        <v>5610</v>
      </c>
      <c r="D1595" s="72" t="str">
        <f>IFERROR(VLOOKUP(A1595,'[1]ST-QA-ZZ5'!$C$5:$M$299,11,0),"Inspection at production line")</f>
        <v>Appearance check 100%</v>
      </c>
    </row>
    <row r="1596" spans="1:4" ht="13.8">
      <c r="A1596" s="47" t="s">
        <v>5611</v>
      </c>
      <c r="B1596" s="92" t="s">
        <v>857</v>
      </c>
      <c r="C1596" s="92" t="s">
        <v>5612</v>
      </c>
      <c r="D1596" s="72" t="str">
        <f>IFERROR(VLOOKUP(A1596,'[1]ST-QA-ZZ5'!$C$5:$M$299,11,0),"Inspection at production line")</f>
        <v>Inspection at production line</v>
      </c>
    </row>
    <row r="1597" spans="1:4" ht="13.8">
      <c r="A1597" s="47" t="s">
        <v>5613</v>
      </c>
      <c r="B1597" s="92" t="s">
        <v>857</v>
      </c>
      <c r="C1597" s="92" t="s">
        <v>5612</v>
      </c>
      <c r="D1597" s="72" t="str">
        <f>IFERROR(VLOOKUP(A1597,'[1]ST-QA-ZZ5'!$C$5:$M$299,11,0),"Inspection at production line")</f>
        <v>Inspection at production line</v>
      </c>
    </row>
    <row r="1598" spans="1:4" ht="13.8">
      <c r="A1598" s="47" t="s">
        <v>5614</v>
      </c>
      <c r="B1598" s="92" t="s">
        <v>5593</v>
      </c>
      <c r="C1598" s="92" t="s">
        <v>5615</v>
      </c>
      <c r="D1598" s="72" t="str">
        <f>IFERROR(VLOOKUP(A1598,'[1]ST-QA-ZZ5'!$C$5:$M$299,11,0),"Inspection at production line")</f>
        <v>Inspection at production line</v>
      </c>
    </row>
    <row r="1599" spans="1:4" ht="13.8">
      <c r="A1599" s="47" t="s">
        <v>3145</v>
      </c>
      <c r="B1599" s="92" t="s">
        <v>857</v>
      </c>
      <c r="C1599" s="92" t="s">
        <v>5616</v>
      </c>
      <c r="D1599" s="72" t="str">
        <f>IFERROR(VLOOKUP(A1599,'[1]ST-QA-ZZ5'!$C$5:$M$299,11,0),"Inspection at production line")</f>
        <v>Inspection at production line</v>
      </c>
    </row>
    <row r="1600" spans="1:4" ht="13.8">
      <c r="A1600" s="47" t="s">
        <v>3149</v>
      </c>
      <c r="B1600" s="92" t="s">
        <v>857</v>
      </c>
      <c r="C1600" s="92">
        <v>7000368</v>
      </c>
      <c r="D1600" s="72" t="str">
        <f>IFERROR(VLOOKUP(A1600,'[1]ST-QA-ZZ5'!$C$5:$M$299,11,0),"Inspection at production line")</f>
        <v>Inspection at production line</v>
      </c>
    </row>
    <row r="1601" spans="1:4" ht="13.8">
      <c r="A1601" s="47" t="s">
        <v>5617</v>
      </c>
      <c r="B1601" s="92" t="s">
        <v>857</v>
      </c>
      <c r="C1601" s="92" t="s">
        <v>5618</v>
      </c>
      <c r="D1601" s="72" t="str">
        <f>IFERROR(VLOOKUP(A1601,'[1]ST-QA-ZZ5'!$C$5:$M$299,11,0),"Inspection at production line")</f>
        <v>Inspection at production line</v>
      </c>
    </row>
    <row r="1602" spans="1:4" ht="13.8">
      <c r="A1602" s="47" t="s">
        <v>5619</v>
      </c>
      <c r="B1602" s="92" t="s">
        <v>857</v>
      </c>
      <c r="C1602" s="92" t="s">
        <v>5620</v>
      </c>
      <c r="D1602" s="72" t="str">
        <f>IFERROR(VLOOKUP(A1602,'[1]ST-QA-ZZ5'!$C$5:$M$299,11,0),"Inspection at production line")</f>
        <v>Inspection at production line</v>
      </c>
    </row>
    <row r="1603" spans="1:4" ht="13.8">
      <c r="A1603" s="47" t="s">
        <v>5621</v>
      </c>
      <c r="B1603" s="92" t="s">
        <v>857</v>
      </c>
      <c r="C1603" s="92">
        <v>7000425</v>
      </c>
      <c r="D1603" s="72" t="str">
        <f>IFERROR(VLOOKUP(A1603,'[1]ST-QA-ZZ5'!$C$5:$M$299,11,0),"Inspection at production line")</f>
        <v>Inspection at production line</v>
      </c>
    </row>
    <row r="1604" spans="1:4" ht="13.8">
      <c r="A1604" s="47" t="s">
        <v>5622</v>
      </c>
      <c r="B1604" s="92" t="s">
        <v>5623</v>
      </c>
      <c r="C1604" s="92" t="s">
        <v>5624</v>
      </c>
      <c r="D1604" s="72" t="str">
        <f>IFERROR(VLOOKUP(A1604,'[1]ST-QA-ZZ5'!$C$5:$M$299,11,0),"Inspection at production line")</f>
        <v>Inspection at production line</v>
      </c>
    </row>
    <row r="1605" spans="1:4" ht="13.8">
      <c r="A1605" s="47" t="s">
        <v>5625</v>
      </c>
      <c r="B1605" s="92" t="s">
        <v>857</v>
      </c>
      <c r="C1605" s="92" t="s">
        <v>5626</v>
      </c>
      <c r="D1605" s="72" t="str">
        <f>IFERROR(VLOOKUP(A1605,'[1]ST-QA-ZZ5'!$C$5:$M$299,11,0),"Inspection at production line")</f>
        <v>Inspection at production line</v>
      </c>
    </row>
    <row r="1606" spans="1:4" ht="13.8">
      <c r="A1606" s="47" t="s">
        <v>5627</v>
      </c>
      <c r="B1606" s="92" t="s">
        <v>857</v>
      </c>
      <c r="C1606" s="92" t="s">
        <v>5628</v>
      </c>
      <c r="D1606" s="72" t="str">
        <f>IFERROR(VLOOKUP(A1606,'[1]ST-QA-ZZ5'!$C$5:$M$299,11,0),"Inspection at production line")</f>
        <v>Inspection at production line</v>
      </c>
    </row>
    <row r="1607" spans="1:4" ht="13.8">
      <c r="A1607" s="47" t="s">
        <v>5629</v>
      </c>
      <c r="B1607" s="92" t="s">
        <v>3002</v>
      </c>
      <c r="C1607" s="92" t="s">
        <v>5630</v>
      </c>
      <c r="D1607" s="72" t="str">
        <f>IFERROR(VLOOKUP(A1607,'[1]ST-QA-ZZ5'!$C$5:$M$299,11,0),"Inspection at production line")</f>
        <v>Inspection at production line</v>
      </c>
    </row>
    <row r="1608" spans="1:4" ht="13.8">
      <c r="A1608" s="47" t="s">
        <v>5631</v>
      </c>
      <c r="B1608" s="92" t="s">
        <v>857</v>
      </c>
      <c r="C1608" s="92" t="s">
        <v>5632</v>
      </c>
      <c r="D1608" s="72" t="str">
        <f>IFERROR(VLOOKUP(A1608,'[1]ST-QA-ZZ5'!$C$5:$M$299,11,0),"Inspection at production line")</f>
        <v>Inspection at production line</v>
      </c>
    </row>
    <row r="1609" spans="1:4" ht="13.8">
      <c r="A1609" s="47" t="s">
        <v>5633</v>
      </c>
      <c r="B1609" s="92" t="s">
        <v>3002</v>
      </c>
      <c r="C1609" s="92" t="s">
        <v>5634</v>
      </c>
      <c r="D1609" s="72" t="str">
        <f>IFERROR(VLOOKUP(A1609,'[1]ST-QA-ZZ5'!$C$5:$M$299,11,0),"Inspection at production line")</f>
        <v>Inspection at production line</v>
      </c>
    </row>
    <row r="1610" spans="1:4" ht="13.8">
      <c r="A1610" s="47" t="s">
        <v>5635</v>
      </c>
      <c r="B1610" s="92" t="s">
        <v>857</v>
      </c>
      <c r="C1610" s="92" t="s">
        <v>5636</v>
      </c>
      <c r="D1610" s="72" t="str">
        <f>IFERROR(VLOOKUP(A1610,'[1]ST-QA-ZZ5'!$C$5:$M$299,11,0),"Inspection at production line")</f>
        <v>Inspection at production line</v>
      </c>
    </row>
    <row r="1611" spans="1:4" ht="13.8">
      <c r="A1611" s="47" t="s">
        <v>5637</v>
      </c>
      <c r="B1611" s="92" t="s">
        <v>857</v>
      </c>
      <c r="C1611" s="92" t="s">
        <v>5638</v>
      </c>
      <c r="D1611" s="72" t="str">
        <f>IFERROR(VLOOKUP(A1611,'[1]ST-QA-ZZ5'!$C$5:$M$299,11,0),"Inspection at production line")</f>
        <v>Inspection at production line</v>
      </c>
    </row>
    <row r="1612" spans="1:4" ht="13.8">
      <c r="A1612" s="47" t="s">
        <v>5639</v>
      </c>
      <c r="B1612" s="92" t="s">
        <v>75</v>
      </c>
      <c r="C1612" s="92" t="s">
        <v>5640</v>
      </c>
      <c r="D1612" s="72" t="str">
        <f>IFERROR(VLOOKUP(A1612,'[1]ST-QA-ZZ5'!$C$5:$M$299,11,0),"Inspection at production line")</f>
        <v>Inspection at production line</v>
      </c>
    </row>
    <row r="1613" spans="1:4" ht="13.8">
      <c r="A1613" s="47" t="s">
        <v>5641</v>
      </c>
      <c r="B1613" s="92" t="s">
        <v>857</v>
      </c>
      <c r="C1613" s="92" t="s">
        <v>5642</v>
      </c>
      <c r="D1613" s="72" t="str">
        <f>IFERROR(VLOOKUP(A1613,'[1]ST-QA-ZZ5'!$C$5:$M$299,11,0),"Inspection at production line")</f>
        <v>Inspection at production line</v>
      </c>
    </row>
    <row r="1614" spans="1:4" ht="13.8">
      <c r="A1614" s="47" t="s">
        <v>5643</v>
      </c>
      <c r="B1614" s="92" t="s">
        <v>857</v>
      </c>
      <c r="C1614" s="92" t="s">
        <v>5644</v>
      </c>
      <c r="D1614" s="72" t="str">
        <f>IFERROR(VLOOKUP(A1614,'[1]ST-QA-ZZ5'!$C$5:$M$299,11,0),"Inspection at production line")</f>
        <v>Inspection at production line</v>
      </c>
    </row>
    <row r="1615" spans="1:4" ht="13.8">
      <c r="A1615" s="47" t="s">
        <v>5645</v>
      </c>
      <c r="B1615" s="92" t="s">
        <v>1554</v>
      </c>
      <c r="C1615" s="92" t="s">
        <v>5646</v>
      </c>
      <c r="D1615" s="72" t="str">
        <f>IFERROR(VLOOKUP(A1615,'[1]ST-QA-ZZ5'!$C$5:$M$299,11,0),"Inspection at production line")</f>
        <v>Inspection at production line</v>
      </c>
    </row>
    <row r="1616" spans="1:4" ht="13.8">
      <c r="A1616" s="47" t="s">
        <v>5647</v>
      </c>
      <c r="B1616" s="92" t="s">
        <v>857</v>
      </c>
      <c r="C1616" s="92" t="s">
        <v>5648</v>
      </c>
      <c r="D1616" s="72" t="str">
        <f>IFERROR(VLOOKUP(A1616,'[1]ST-QA-ZZ5'!$C$5:$M$299,11,0),"Inspection at production line")</f>
        <v>Inspection at production line</v>
      </c>
    </row>
    <row r="1617" spans="1:4" ht="13.8">
      <c r="A1617" s="47" t="s">
        <v>5649</v>
      </c>
      <c r="B1617" s="92" t="s">
        <v>5650</v>
      </c>
      <c r="C1617" s="92" t="s">
        <v>5651</v>
      </c>
      <c r="D1617" s="72" t="str">
        <f>IFERROR(VLOOKUP(A1617,'[1]ST-QA-ZZ5'!$C$5:$M$299,11,0),"Inspection at production line")</f>
        <v>Inspection at production line</v>
      </c>
    </row>
    <row r="1618" spans="1:4" ht="13.8">
      <c r="A1618" s="47" t="s">
        <v>5652</v>
      </c>
      <c r="B1618" s="92" t="s">
        <v>857</v>
      </c>
      <c r="C1618" s="92" t="s">
        <v>5653</v>
      </c>
      <c r="D1618" s="72" t="str">
        <f>IFERROR(VLOOKUP(A1618,'[1]ST-QA-ZZ5'!$C$5:$M$299,11,0),"Inspection at production line")</f>
        <v>Inspection at production line</v>
      </c>
    </row>
    <row r="1619" spans="1:4" ht="13.8">
      <c r="A1619" s="47" t="s">
        <v>5654</v>
      </c>
      <c r="B1619" s="92" t="s">
        <v>857</v>
      </c>
      <c r="C1619" s="92" t="s">
        <v>5655</v>
      </c>
      <c r="D1619" s="72" t="str">
        <f>IFERROR(VLOOKUP(A1619,'[1]ST-QA-ZZ5'!$C$5:$M$299,11,0),"Inspection at production line")</f>
        <v>Inspection at production line</v>
      </c>
    </row>
    <row r="1620" spans="1:4" ht="13.8">
      <c r="A1620" s="47" t="s">
        <v>5656</v>
      </c>
      <c r="B1620" s="92" t="s">
        <v>5657</v>
      </c>
      <c r="C1620" s="92" t="s">
        <v>5658</v>
      </c>
      <c r="D1620" s="72" t="str">
        <f>IFERROR(VLOOKUP(A1620,'[1]ST-QA-ZZ5'!$C$5:$M$299,11,0),"Inspection at production line")</f>
        <v>Inspection at production line</v>
      </c>
    </row>
    <row r="1621" spans="1:4" ht="13.8">
      <c r="A1621" s="47" t="s">
        <v>5659</v>
      </c>
      <c r="B1621" s="92" t="s">
        <v>857</v>
      </c>
      <c r="C1621" s="92" t="s">
        <v>5660</v>
      </c>
      <c r="D1621" s="72" t="str">
        <f>IFERROR(VLOOKUP(A1621,'[1]ST-QA-ZZ5'!$C$5:$M$299,11,0),"Inspection at production line")</f>
        <v>Inspection at production line</v>
      </c>
    </row>
    <row r="1622" spans="1:4" ht="13.8">
      <c r="A1622" s="47" t="s">
        <v>5661</v>
      </c>
      <c r="B1622" s="92" t="s">
        <v>857</v>
      </c>
      <c r="C1622" s="92">
        <v>7000330</v>
      </c>
      <c r="D1622" s="72" t="str">
        <f>IFERROR(VLOOKUP(A1622,'[1]ST-QA-ZZ5'!$C$5:$M$299,11,0),"Inspection at production line")</f>
        <v>Inspection at production line</v>
      </c>
    </row>
    <row r="1623" spans="1:4" ht="13.8">
      <c r="A1623" s="47" t="s">
        <v>5662</v>
      </c>
      <c r="B1623" s="92" t="s">
        <v>5663</v>
      </c>
      <c r="C1623" s="92" t="s">
        <v>5664</v>
      </c>
      <c r="D1623" s="72" t="str">
        <f>IFERROR(VLOOKUP(A1623,'[1]ST-QA-ZZ5'!$C$5:$M$299,11,0),"Inspection at production line")</f>
        <v>Inspection at production line</v>
      </c>
    </row>
    <row r="1624" spans="1:4" ht="13.8">
      <c r="A1624" s="47" t="s">
        <v>5665</v>
      </c>
      <c r="B1624" s="92" t="s">
        <v>857</v>
      </c>
      <c r="C1624" s="92">
        <v>7000331</v>
      </c>
      <c r="D1624" s="72" t="str">
        <f>IFERROR(VLOOKUP(A1624,'[1]ST-QA-ZZ5'!$C$5:$M$299,11,0),"Inspection at production line")</f>
        <v>Inspection at production line</v>
      </c>
    </row>
    <row r="1625" spans="1:4" ht="13.8">
      <c r="A1625" s="47" t="s">
        <v>5666</v>
      </c>
      <c r="B1625" s="92" t="s">
        <v>857</v>
      </c>
      <c r="C1625" s="92" t="s">
        <v>5667</v>
      </c>
      <c r="D1625" s="72" t="str">
        <f>IFERROR(VLOOKUP(A1625,'[1]ST-QA-ZZ5'!$C$5:$M$299,11,0),"Inspection at production line")</f>
        <v>Inspection at production line</v>
      </c>
    </row>
    <row r="1626" spans="1:4" ht="13.8">
      <c r="A1626" s="47" t="s">
        <v>5668</v>
      </c>
      <c r="B1626" s="92" t="s">
        <v>857</v>
      </c>
      <c r="C1626" s="92" t="s">
        <v>5669</v>
      </c>
      <c r="D1626" s="72" t="str">
        <f>IFERROR(VLOOKUP(A1626,'[1]ST-QA-ZZ5'!$C$5:$M$299,11,0),"Inspection at production line")</f>
        <v>Inspection at production line</v>
      </c>
    </row>
    <row r="1627" spans="1:4" ht="13.8">
      <c r="A1627" s="47" t="s">
        <v>5670</v>
      </c>
      <c r="B1627" s="92" t="s">
        <v>857</v>
      </c>
      <c r="C1627" s="92" t="s">
        <v>5671</v>
      </c>
      <c r="D1627" s="72" t="str">
        <f>IFERROR(VLOOKUP(A1627,'[1]ST-QA-ZZ5'!$C$5:$M$299,11,0),"Inspection at production line")</f>
        <v>Inspection at production line</v>
      </c>
    </row>
    <row r="1628" spans="1:4" ht="13.8">
      <c r="A1628" s="47" t="s">
        <v>5672</v>
      </c>
      <c r="B1628" s="92" t="s">
        <v>857</v>
      </c>
      <c r="C1628" s="92" t="s">
        <v>5673</v>
      </c>
      <c r="D1628" s="72" t="str">
        <f>IFERROR(VLOOKUP(A1628,'[1]ST-QA-ZZ5'!$C$5:$M$299,11,0),"Inspection at production line")</f>
        <v>Inspection at production line</v>
      </c>
    </row>
    <row r="1629" spans="1:4" ht="13.8">
      <c r="A1629" s="47" t="s">
        <v>5674</v>
      </c>
      <c r="B1629" s="92" t="s">
        <v>857</v>
      </c>
      <c r="C1629" s="92">
        <v>235234</v>
      </c>
      <c r="D1629" s="72" t="str">
        <f>IFERROR(VLOOKUP(A1629,'[1]ST-QA-ZZ5'!$C$5:$M$299,11,0),"Inspection at production line")</f>
        <v>Inspection at production line</v>
      </c>
    </row>
    <row r="1630" spans="1:4" ht="13.8">
      <c r="A1630" s="47" t="s">
        <v>5675</v>
      </c>
      <c r="B1630" s="92" t="s">
        <v>857</v>
      </c>
      <c r="C1630" s="92" t="s">
        <v>5676</v>
      </c>
      <c r="D1630" s="72" t="str">
        <f>IFERROR(VLOOKUP(A1630,'[1]ST-QA-ZZ5'!$C$5:$M$299,11,0),"Inspection at production line")</f>
        <v>Inspection at production line</v>
      </c>
    </row>
    <row r="1631" spans="1:4" ht="13.8">
      <c r="A1631" s="47" t="s">
        <v>5677</v>
      </c>
      <c r="B1631" s="92" t="s">
        <v>857</v>
      </c>
      <c r="C1631" s="92" t="s">
        <v>5678</v>
      </c>
      <c r="D1631" s="72" t="str">
        <f>IFERROR(VLOOKUP(A1631,'[1]ST-QA-ZZ5'!$C$5:$M$299,11,0),"Inspection at production line")</f>
        <v>Inspection at production line</v>
      </c>
    </row>
    <row r="1632" spans="1:4" ht="13.8">
      <c r="A1632" s="47" t="s">
        <v>5679</v>
      </c>
      <c r="B1632" s="92" t="s">
        <v>857</v>
      </c>
      <c r="C1632" s="92" t="s">
        <v>5680</v>
      </c>
      <c r="D1632" s="72" t="str">
        <f>IFERROR(VLOOKUP(A1632,'[1]ST-QA-ZZ5'!$C$5:$M$299,11,0),"Inspection at production line")</f>
        <v>Inspection at production line</v>
      </c>
    </row>
    <row r="1633" spans="1:4" ht="13.8">
      <c r="A1633" s="47" t="s">
        <v>5681</v>
      </c>
      <c r="B1633" s="92" t="s">
        <v>857</v>
      </c>
      <c r="C1633" s="92" t="s">
        <v>5682</v>
      </c>
      <c r="D1633" s="72" t="str">
        <f>IFERROR(VLOOKUP(A1633,'[1]ST-QA-ZZ5'!$C$5:$M$299,11,0),"Inspection at production line")</f>
        <v>Inspection at production line</v>
      </c>
    </row>
    <row r="1634" spans="1:4" ht="13.8">
      <c r="A1634" s="47" t="s">
        <v>5683</v>
      </c>
      <c r="B1634" s="92" t="s">
        <v>2024</v>
      </c>
      <c r="C1634" s="92" t="s">
        <v>5684</v>
      </c>
      <c r="D1634" s="72" t="str">
        <f>IFERROR(VLOOKUP(A1634,'[1]ST-QA-ZZ5'!$C$5:$M$299,11,0),"Inspection at production line")</f>
        <v>Inspection at production line</v>
      </c>
    </row>
    <row r="1635" spans="1:4" ht="13.8">
      <c r="A1635" s="47" t="s">
        <v>5685</v>
      </c>
      <c r="B1635" s="92" t="s">
        <v>857</v>
      </c>
      <c r="C1635" s="92" t="s">
        <v>5686</v>
      </c>
      <c r="D1635" s="72" t="str">
        <f>IFERROR(VLOOKUP(A1635,'[1]ST-QA-ZZ5'!$C$5:$M$299,11,0),"Inspection at production line")</f>
        <v>Inspection at production line</v>
      </c>
    </row>
    <row r="1636" spans="1:4" ht="13.8">
      <c r="A1636" s="47" t="s">
        <v>5687</v>
      </c>
      <c r="B1636" s="92" t="s">
        <v>857</v>
      </c>
      <c r="C1636" s="92" t="s">
        <v>5688</v>
      </c>
      <c r="D1636" s="72" t="str">
        <f>IFERROR(VLOOKUP(A1636,'[1]ST-QA-ZZ5'!$C$5:$M$299,11,0),"Inspection at production line")</f>
        <v>Inspection at production line</v>
      </c>
    </row>
    <row r="1637" spans="1:4" ht="13.8">
      <c r="A1637" s="47" t="s">
        <v>5689</v>
      </c>
      <c r="B1637" s="92" t="s">
        <v>857</v>
      </c>
      <c r="C1637" s="92" t="s">
        <v>5690</v>
      </c>
      <c r="D1637" s="72" t="str">
        <f>IFERROR(VLOOKUP(A1637,'[1]ST-QA-ZZ5'!$C$5:$M$299,11,0),"Inspection at production line")</f>
        <v>Inspection at production line</v>
      </c>
    </row>
    <row r="1638" spans="1:4" ht="13.8">
      <c r="A1638" s="47" t="s">
        <v>5691</v>
      </c>
      <c r="B1638" s="92" t="s">
        <v>857</v>
      </c>
      <c r="C1638" s="92" t="s">
        <v>5692</v>
      </c>
      <c r="D1638" s="72" t="str">
        <f>IFERROR(VLOOKUP(A1638,'[1]ST-QA-ZZ5'!$C$5:$M$299,11,0),"Inspection at production line")</f>
        <v>Inspection at production line</v>
      </c>
    </row>
    <row r="1639" spans="1:4" ht="13.8">
      <c r="A1639" s="47" t="s">
        <v>5693</v>
      </c>
      <c r="B1639" s="92" t="s">
        <v>2024</v>
      </c>
      <c r="C1639" s="92" t="s">
        <v>5694</v>
      </c>
      <c r="D1639" s="72" t="str">
        <f>IFERROR(VLOOKUP(A1639,'[1]ST-QA-ZZ5'!$C$5:$M$299,11,0),"Inspection at production line")</f>
        <v>Inspection at production line</v>
      </c>
    </row>
    <row r="1640" spans="1:4" ht="13.8">
      <c r="A1640" s="47" t="s">
        <v>5695</v>
      </c>
      <c r="B1640" s="92" t="s">
        <v>857</v>
      </c>
      <c r="C1640" s="92" t="s">
        <v>5696</v>
      </c>
      <c r="D1640" s="72" t="str">
        <f>IFERROR(VLOOKUP(A1640,'[1]ST-QA-ZZ5'!$C$5:$M$299,11,0),"Inspection at production line")</f>
        <v>Inspection at production line</v>
      </c>
    </row>
    <row r="1641" spans="1:4" ht="13.8">
      <c r="A1641" s="47" t="s">
        <v>5697</v>
      </c>
      <c r="B1641" s="92" t="s">
        <v>2024</v>
      </c>
      <c r="C1641" s="92" t="s">
        <v>5698</v>
      </c>
      <c r="D1641" s="72" t="str">
        <f>IFERROR(VLOOKUP(A1641,'[1]ST-QA-ZZ5'!$C$5:$M$299,11,0),"Inspection at production line")</f>
        <v>Inspection at production line</v>
      </c>
    </row>
    <row r="1642" spans="1:4" ht="13.8">
      <c r="A1642" s="47" t="s">
        <v>3202</v>
      </c>
      <c r="B1642" s="92" t="s">
        <v>2024</v>
      </c>
      <c r="C1642" s="92" t="s">
        <v>5699</v>
      </c>
      <c r="D1642" s="72" t="str">
        <f>IFERROR(VLOOKUP(A1642,'[1]ST-QA-ZZ5'!$C$5:$M$299,11,0),"Inspection at production line")</f>
        <v>Inspection at production line</v>
      </c>
    </row>
    <row r="1643" spans="1:4" ht="13.8">
      <c r="A1643" s="47" t="s">
        <v>5700</v>
      </c>
      <c r="B1643" s="92" t="s">
        <v>857</v>
      </c>
      <c r="C1643" s="92" t="s">
        <v>5701</v>
      </c>
      <c r="D1643" s="72" t="str">
        <f>IFERROR(VLOOKUP(A1643,'[1]ST-QA-ZZ5'!$C$5:$M$299,11,0),"Inspection at production line")</f>
        <v>Inspection at production line</v>
      </c>
    </row>
    <row r="1644" spans="1:4" ht="13.8">
      <c r="A1644" s="47" t="s">
        <v>5702</v>
      </c>
      <c r="B1644" s="92" t="s">
        <v>857</v>
      </c>
      <c r="C1644" s="92" t="s">
        <v>5703</v>
      </c>
      <c r="D1644" s="72" t="str">
        <f>IFERROR(VLOOKUP(A1644,'[1]ST-QA-ZZ5'!$C$5:$M$299,11,0),"Inspection at production line")</f>
        <v>Inspection at production line</v>
      </c>
    </row>
    <row r="1645" spans="1:4" ht="13.8">
      <c r="A1645" s="47" t="s">
        <v>5704</v>
      </c>
      <c r="B1645" s="92" t="s">
        <v>75</v>
      </c>
      <c r="C1645" s="92" t="s">
        <v>5705</v>
      </c>
      <c r="D1645" s="72" t="str">
        <f>IFERROR(VLOOKUP(A1645,'[1]ST-QA-ZZ5'!$C$5:$M$299,11,0),"Inspection at production line")</f>
        <v>Inspection at production line</v>
      </c>
    </row>
    <row r="1646" spans="1:4" ht="13.8">
      <c r="A1646" s="47" t="s">
        <v>5706</v>
      </c>
      <c r="B1646" s="92" t="s">
        <v>857</v>
      </c>
      <c r="C1646" s="92" t="s">
        <v>5707</v>
      </c>
      <c r="D1646" s="72" t="str">
        <f>IFERROR(VLOOKUP(A1646,'[1]ST-QA-ZZ5'!$C$5:$M$299,11,0),"Inspection at production line")</f>
        <v>Inspection at production line</v>
      </c>
    </row>
    <row r="1647" spans="1:4" ht="13.8">
      <c r="A1647" s="47" t="s">
        <v>5708</v>
      </c>
      <c r="B1647" s="92" t="s">
        <v>75</v>
      </c>
      <c r="C1647" s="92" t="s">
        <v>5709</v>
      </c>
      <c r="D1647" s="72" t="str">
        <f>IFERROR(VLOOKUP(A1647,'[1]ST-QA-ZZ5'!$C$5:$M$299,11,0),"Inspection at production line")</f>
        <v>Inspection at production line</v>
      </c>
    </row>
    <row r="1648" spans="1:4" ht="13.8">
      <c r="A1648" s="47" t="s">
        <v>5710</v>
      </c>
      <c r="B1648" s="92" t="s">
        <v>857</v>
      </c>
      <c r="C1648" s="92" t="s">
        <v>5711</v>
      </c>
      <c r="D1648" s="72" t="str">
        <f>IFERROR(VLOOKUP(A1648,'[1]ST-QA-ZZ5'!$C$5:$M$299,11,0),"Inspection at production line")</f>
        <v>Inspection at production line</v>
      </c>
    </row>
    <row r="1649" spans="1:4" ht="13.8">
      <c r="A1649" s="47" t="s">
        <v>5712</v>
      </c>
      <c r="B1649" s="92" t="s">
        <v>75</v>
      </c>
      <c r="C1649" s="92" t="s">
        <v>5713</v>
      </c>
      <c r="D1649" s="72" t="str">
        <f>IFERROR(VLOOKUP(A1649,'[1]ST-QA-ZZ5'!$C$5:$M$299,11,0),"Inspection at production line")</f>
        <v>Inspection at production line</v>
      </c>
    </row>
    <row r="1650" spans="1:4" ht="13.8">
      <c r="A1650" s="47" t="s">
        <v>5714</v>
      </c>
      <c r="B1650" s="92" t="s">
        <v>857</v>
      </c>
      <c r="C1650" s="92" t="s">
        <v>5715</v>
      </c>
      <c r="D1650" s="72" t="str">
        <f>IFERROR(VLOOKUP(A1650,'[1]ST-QA-ZZ5'!$C$5:$M$299,11,0),"Inspection at production line")</f>
        <v>Inspection at production line</v>
      </c>
    </row>
    <row r="1651" spans="1:4" ht="13.8">
      <c r="A1651" s="47" t="s">
        <v>5716</v>
      </c>
      <c r="B1651" s="92" t="s">
        <v>857</v>
      </c>
      <c r="C1651" s="92" t="s">
        <v>5717</v>
      </c>
      <c r="D1651" s="72" t="str">
        <f>IFERROR(VLOOKUP(A1651,'[1]ST-QA-ZZ5'!$C$5:$M$299,11,0),"Inspection at production line")</f>
        <v>Inspection at production line</v>
      </c>
    </row>
    <row r="1652" spans="1:4" ht="13.8">
      <c r="A1652" s="47" t="s">
        <v>5718</v>
      </c>
      <c r="B1652" s="92" t="s">
        <v>857</v>
      </c>
      <c r="C1652" s="92" t="s">
        <v>5719</v>
      </c>
      <c r="D1652" s="72" t="str">
        <f>IFERROR(VLOOKUP(A1652,'[1]ST-QA-ZZ5'!$C$5:$M$299,11,0),"Inspection at production line")</f>
        <v>Inspection at production line</v>
      </c>
    </row>
    <row r="1653" spans="1:4" ht="13.8">
      <c r="A1653" s="47" t="s">
        <v>5720</v>
      </c>
      <c r="B1653" s="92" t="s">
        <v>857</v>
      </c>
      <c r="C1653" s="92" t="s">
        <v>5721</v>
      </c>
      <c r="D1653" s="72" t="str">
        <f>IFERROR(VLOOKUP(A1653,'[1]ST-QA-ZZ5'!$C$5:$M$299,11,0),"Inspection at production line")</f>
        <v>Inspection at production line</v>
      </c>
    </row>
    <row r="1654" spans="1:4" ht="13.8">
      <c r="A1654" s="47" t="s">
        <v>5722</v>
      </c>
      <c r="B1654" s="92" t="s">
        <v>857</v>
      </c>
      <c r="C1654" s="92" t="s">
        <v>5723</v>
      </c>
      <c r="D1654" s="72" t="str">
        <f>IFERROR(VLOOKUP(A1654,'[1]ST-QA-ZZ5'!$C$5:$M$299,11,0),"Inspection at production line")</f>
        <v>Inspection at production line</v>
      </c>
    </row>
    <row r="1655" spans="1:4" ht="13.8">
      <c r="A1655" s="47" t="s">
        <v>5088</v>
      </c>
      <c r="B1655" s="92" t="s">
        <v>2024</v>
      </c>
      <c r="C1655" s="92" t="s">
        <v>5724</v>
      </c>
      <c r="D1655" s="72" t="str">
        <f>IFERROR(VLOOKUP(A1655,'[1]ST-QA-ZZ5'!$C$5:$M$299,11,0),"Inspection at production line")</f>
        <v>Inspection at production line</v>
      </c>
    </row>
    <row r="1656" spans="1:4" ht="13.8">
      <c r="A1656" s="47" t="s">
        <v>5725</v>
      </c>
      <c r="B1656" s="92" t="s">
        <v>857</v>
      </c>
      <c r="C1656" s="92" t="s">
        <v>5726</v>
      </c>
      <c r="D1656" s="72" t="str">
        <f>IFERROR(VLOOKUP(A1656,'[1]ST-QA-ZZ5'!$C$5:$M$299,11,0),"Inspection at production line")</f>
        <v>Inspection at production line</v>
      </c>
    </row>
    <row r="1657" spans="1:4" ht="13.8">
      <c r="A1657" s="47" t="s">
        <v>5727</v>
      </c>
      <c r="B1657" s="92" t="s">
        <v>555</v>
      </c>
      <c r="C1657" s="92" t="s">
        <v>5728</v>
      </c>
      <c r="D1657" s="72" t="str">
        <f>IFERROR(VLOOKUP(A1657,'[1]ST-QA-ZZ5'!$C$5:$M$299,11,0),"Inspection at production line")</f>
        <v>Inspection at production line</v>
      </c>
    </row>
    <row r="1658" spans="1:4" ht="13.8">
      <c r="A1658" s="47" t="s">
        <v>5729</v>
      </c>
      <c r="B1658" s="92" t="s">
        <v>857</v>
      </c>
      <c r="C1658" s="92" t="s">
        <v>5730</v>
      </c>
      <c r="D1658" s="72" t="str">
        <f>IFERROR(VLOOKUP(A1658,'[1]ST-QA-ZZ5'!$C$5:$M$299,11,0),"Inspection at production line")</f>
        <v>Inspection at production line</v>
      </c>
    </row>
    <row r="1659" spans="1:4" ht="13.8">
      <c r="A1659" s="47" t="s">
        <v>5731</v>
      </c>
      <c r="B1659" s="92" t="s">
        <v>857</v>
      </c>
      <c r="C1659" s="92" t="s">
        <v>5732</v>
      </c>
      <c r="D1659" s="72" t="str">
        <f>IFERROR(VLOOKUP(A1659,'[1]ST-QA-ZZ5'!$C$5:$M$299,11,0),"Inspection at production line")</f>
        <v>Inspection at production line</v>
      </c>
    </row>
    <row r="1660" spans="1:4" ht="13.8">
      <c r="A1660" s="47" t="s">
        <v>5733</v>
      </c>
      <c r="B1660" s="92" t="s">
        <v>857</v>
      </c>
      <c r="C1660" s="92" t="s">
        <v>5734</v>
      </c>
      <c r="D1660" s="72" t="str">
        <f>IFERROR(VLOOKUP(A1660,'[1]ST-QA-ZZ5'!$C$5:$M$299,11,0),"Inspection at production line")</f>
        <v>Inspection at production line</v>
      </c>
    </row>
    <row r="1661" spans="1:4" ht="13.8">
      <c r="A1661" s="47" t="s">
        <v>5735</v>
      </c>
      <c r="B1661" s="92" t="s">
        <v>857</v>
      </c>
      <c r="C1661" s="92" t="s">
        <v>5736</v>
      </c>
      <c r="D1661" s="72" t="str">
        <f>IFERROR(VLOOKUP(A1661,'[1]ST-QA-ZZ5'!$C$5:$M$299,11,0),"Inspection at production line")</f>
        <v>Inspection at production line</v>
      </c>
    </row>
    <row r="1662" spans="1:4" ht="13.8">
      <c r="A1662" s="47" t="s">
        <v>5737</v>
      </c>
      <c r="B1662" s="92" t="s">
        <v>857</v>
      </c>
      <c r="C1662" s="92" t="s">
        <v>5738</v>
      </c>
      <c r="D1662" s="72" t="str">
        <f>IFERROR(VLOOKUP(A1662,'[1]ST-QA-ZZ5'!$C$5:$M$299,11,0),"Inspection at production line")</f>
        <v>Inspection at production line</v>
      </c>
    </row>
    <row r="1663" spans="1:4" ht="13.8">
      <c r="A1663" s="47" t="s">
        <v>5739</v>
      </c>
      <c r="B1663" s="92" t="s">
        <v>857</v>
      </c>
      <c r="C1663" s="92" t="s">
        <v>5740</v>
      </c>
      <c r="D1663" s="72" t="str">
        <f>IFERROR(VLOOKUP(A1663,'[1]ST-QA-ZZ5'!$C$5:$M$299,11,0),"Inspection at production line")</f>
        <v>Inspection at production line</v>
      </c>
    </row>
    <row r="1664" spans="1:4" ht="13.8">
      <c r="A1664" s="47" t="s">
        <v>5741</v>
      </c>
      <c r="B1664" s="92" t="s">
        <v>5742</v>
      </c>
      <c r="C1664" s="92" t="s">
        <v>5742</v>
      </c>
      <c r="D1664" s="72" t="str">
        <f>IFERROR(VLOOKUP(A1664,'[1]ST-QA-ZZ5'!$C$5:$M$299,11,0),"Inspection at production line")</f>
        <v>Inspection at production line</v>
      </c>
    </row>
    <row r="1665" spans="1:4" ht="13.8">
      <c r="A1665" s="47" t="s">
        <v>2939</v>
      </c>
      <c r="B1665" s="92" t="s">
        <v>2785</v>
      </c>
      <c r="C1665" s="92" t="s">
        <v>2940</v>
      </c>
      <c r="D1665" s="72" t="str">
        <f>IFERROR(VLOOKUP(A1665,'[1]ST-QA-ZZ5'!$C$5:$M$299,11,0),"Inspection at production line")</f>
        <v>Inspection at production line</v>
      </c>
    </row>
    <row r="1666" spans="1:4" ht="13.8">
      <c r="A1666" s="47" t="s">
        <v>2944</v>
      </c>
      <c r="B1666" s="92" t="s">
        <v>57</v>
      </c>
      <c r="C1666" s="92" t="s">
        <v>2945</v>
      </c>
      <c r="D1666" s="72" t="str">
        <f>IFERROR(VLOOKUP(A1666,'[1]ST-QA-ZZ5'!$C$5:$M$299,11,0),"Inspection at production line")</f>
        <v>Inspection at production line</v>
      </c>
    </row>
    <row r="1667" spans="1:4" ht="13.8">
      <c r="A1667" s="47" t="s">
        <v>2948</v>
      </c>
      <c r="B1667" s="92" t="s">
        <v>57</v>
      </c>
      <c r="C1667" s="92" t="s">
        <v>2949</v>
      </c>
      <c r="D1667" s="72" t="str">
        <f>IFERROR(VLOOKUP(A1667,'[1]ST-QA-ZZ5'!$C$5:$M$299,11,0),"Inspection at production line")</f>
        <v>Inspection at production line</v>
      </c>
    </row>
    <row r="1668" spans="1:4" ht="13.8">
      <c r="A1668" s="47" t="s">
        <v>2952</v>
      </c>
      <c r="B1668" s="92" t="s">
        <v>1517</v>
      </c>
      <c r="C1668" s="92" t="s">
        <v>2953</v>
      </c>
      <c r="D1668" s="72" t="str">
        <f>IFERROR(VLOOKUP(A1668,'[1]ST-QA-ZZ5'!$C$5:$M$299,11,0),"Inspection at production line")</f>
        <v>Inspection at production line</v>
      </c>
    </row>
    <row r="1669" spans="1:4" ht="13.8">
      <c r="A1669" s="47" t="s">
        <v>2956</v>
      </c>
      <c r="B1669" s="92" t="s">
        <v>900</v>
      </c>
      <c r="C1669" s="92" t="s">
        <v>2957</v>
      </c>
      <c r="D1669" s="72" t="str">
        <f>IFERROR(VLOOKUP(A1669,'[1]ST-QA-ZZ5'!$C$5:$M$299,11,0),"Inspection at production line")</f>
        <v>Inspection at production line</v>
      </c>
    </row>
    <row r="1670" spans="1:4" ht="13.8">
      <c r="A1670" s="47" t="s">
        <v>2960</v>
      </c>
      <c r="B1670" s="92" t="s">
        <v>57</v>
      </c>
      <c r="C1670" s="92" t="s">
        <v>2961</v>
      </c>
      <c r="D1670" s="72" t="str">
        <f>IFERROR(VLOOKUP(A1670,'[1]ST-QA-ZZ5'!$C$5:$M$299,11,0),"Inspection at production line")</f>
        <v>Inspection at production line</v>
      </c>
    </row>
    <row r="1671" spans="1:4" ht="13.8">
      <c r="A1671" s="47" t="s">
        <v>2965</v>
      </c>
      <c r="B1671" s="92" t="s">
        <v>975</v>
      </c>
      <c r="C1671" s="92" t="s">
        <v>5743</v>
      </c>
      <c r="D1671" s="72" t="str">
        <f>IFERROR(VLOOKUP(A1671,'[1]ST-QA-ZZ5'!$C$5:$M$299,11,0),"Inspection at production line")</f>
        <v>Inspection at production line</v>
      </c>
    </row>
    <row r="1672" spans="1:4" ht="13.8">
      <c r="A1672" s="47" t="s">
        <v>2971</v>
      </c>
      <c r="B1672" s="92" t="s">
        <v>916</v>
      </c>
      <c r="C1672" s="92" t="s">
        <v>2972</v>
      </c>
      <c r="D1672" s="72" t="str">
        <f>IFERROR(VLOOKUP(A1672,'[1]ST-QA-ZZ5'!$C$5:$M$299,11,0),"Inspection at production line")</f>
        <v>Inspection at production line</v>
      </c>
    </row>
    <row r="1673" spans="1:4" ht="13.8">
      <c r="A1673" s="47" t="s">
        <v>2975</v>
      </c>
      <c r="B1673" s="92" t="s">
        <v>905</v>
      </c>
      <c r="C1673" s="92" t="s">
        <v>2976</v>
      </c>
      <c r="D1673" s="72" t="str">
        <f>IFERROR(VLOOKUP(A1673,'[1]ST-QA-ZZ5'!$C$5:$M$299,11,0),"Inspection at production line")</f>
        <v>Inspection at production line</v>
      </c>
    </row>
    <row r="1674" spans="1:4" ht="13.8">
      <c r="A1674" s="47" t="s">
        <v>2979</v>
      </c>
      <c r="B1674" s="92" t="s">
        <v>2578</v>
      </c>
      <c r="C1674" s="92" t="s">
        <v>2980</v>
      </c>
      <c r="D1674" s="72" t="str">
        <f>IFERROR(VLOOKUP(A1674,'[1]ST-QA-ZZ5'!$C$5:$M$299,11,0),"Inspection at production line")</f>
        <v>Inspection at production line</v>
      </c>
    </row>
    <row r="1675" spans="1:4" ht="13.8">
      <c r="A1675" s="47" t="s">
        <v>2983</v>
      </c>
      <c r="B1675" s="92" t="s">
        <v>2578</v>
      </c>
      <c r="C1675" s="92" t="s">
        <v>2984</v>
      </c>
      <c r="D1675" s="72" t="str">
        <f>IFERROR(VLOOKUP(A1675,'[1]ST-QA-ZZ5'!$C$5:$M$299,11,0),"Inspection at production line")</f>
        <v>Inspection at production line</v>
      </c>
    </row>
    <row r="1676" spans="1:4" ht="13.8">
      <c r="A1676" s="47" t="s">
        <v>2987</v>
      </c>
      <c r="B1676" s="92" t="s">
        <v>2578</v>
      </c>
      <c r="C1676" s="92" t="s">
        <v>2988</v>
      </c>
      <c r="D1676" s="72" t="str">
        <f>IFERROR(VLOOKUP(A1676,'[1]ST-QA-ZZ5'!$C$5:$M$299,11,0),"Inspection at production line")</f>
        <v>Inspection at production line</v>
      </c>
    </row>
    <row r="1677" spans="1:4" ht="13.8">
      <c r="A1677" s="47" t="s">
        <v>2991</v>
      </c>
      <c r="B1677" s="92" t="s">
        <v>2578</v>
      </c>
      <c r="C1677" s="92" t="s">
        <v>2992</v>
      </c>
      <c r="D1677" s="72" t="str">
        <f>IFERROR(VLOOKUP(A1677,'[1]ST-QA-ZZ5'!$C$5:$M$299,11,0),"Inspection at production line")</f>
        <v>Inspection at production line</v>
      </c>
    </row>
    <row r="1678" spans="1:4" ht="13.8">
      <c r="A1678" s="47" t="s">
        <v>2995</v>
      </c>
      <c r="B1678" s="92" t="s">
        <v>2578</v>
      </c>
      <c r="C1678" s="92" t="s">
        <v>2996</v>
      </c>
      <c r="D1678" s="72" t="str">
        <f>IFERROR(VLOOKUP(A1678,'[1]ST-QA-ZZ5'!$C$5:$M$299,11,0),"Inspection at production line")</f>
        <v>Inspection at production line</v>
      </c>
    </row>
    <row r="1679" spans="1:4" ht="13.8">
      <c r="A1679" s="47" t="s">
        <v>2999</v>
      </c>
      <c r="B1679" s="92" t="s">
        <v>2578</v>
      </c>
      <c r="C1679" s="92" t="s">
        <v>3000</v>
      </c>
      <c r="D1679" s="72" t="str">
        <f>IFERROR(VLOOKUP(A1679,'[1]ST-QA-ZZ5'!$C$5:$M$299,11,0),"Inspection at production line")</f>
        <v>Inspection at production line</v>
      </c>
    </row>
    <row r="1680" spans="1:4" ht="13.8">
      <c r="A1680" s="47" t="s">
        <v>3004</v>
      </c>
      <c r="B1680" s="92" t="s">
        <v>2578</v>
      </c>
      <c r="C1680" s="92" t="s">
        <v>3005</v>
      </c>
      <c r="D1680" s="72" t="str">
        <f>IFERROR(VLOOKUP(A1680,'[1]ST-QA-ZZ5'!$C$5:$M$299,11,0),"Inspection at production line")</f>
        <v>Inspection at production line</v>
      </c>
    </row>
    <row r="1681" spans="1:4" ht="13.8">
      <c r="A1681" s="47" t="s">
        <v>3008</v>
      </c>
      <c r="B1681" s="92" t="s">
        <v>2578</v>
      </c>
      <c r="C1681" s="92" t="s">
        <v>3009</v>
      </c>
      <c r="D1681" s="72" t="str">
        <f>IFERROR(VLOOKUP(A1681,'[1]ST-QA-ZZ5'!$C$5:$M$299,11,0),"Inspection at production line")</f>
        <v>Inspection at production line</v>
      </c>
    </row>
    <row r="1682" spans="1:4" ht="13.8">
      <c r="A1682" s="47" t="s">
        <v>5744</v>
      </c>
      <c r="B1682" s="92" t="s">
        <v>809</v>
      </c>
      <c r="C1682" s="92" t="s">
        <v>5745</v>
      </c>
      <c r="D1682" s="72" t="str">
        <f>IFERROR(VLOOKUP(A1682,'[1]ST-QA-ZZ5'!$C$5:$M$299,11,0),"Inspection at production line")</f>
        <v>Inspection at production line</v>
      </c>
    </row>
    <row r="1683" spans="1:4" ht="13.8">
      <c r="A1683" s="47" t="s">
        <v>5746</v>
      </c>
      <c r="B1683" s="92" t="s">
        <v>905</v>
      </c>
      <c r="C1683" s="92" t="s">
        <v>5747</v>
      </c>
      <c r="D1683" s="72" t="str">
        <f>IFERROR(VLOOKUP(A1683,'[1]ST-QA-ZZ5'!$C$5:$M$299,11,0),"Inspection at production line")</f>
        <v>Inspection at production line</v>
      </c>
    </row>
    <row r="1684" spans="1:4" ht="13.8">
      <c r="A1684" s="47" t="s">
        <v>5748</v>
      </c>
      <c r="B1684" s="92" t="s">
        <v>2511</v>
      </c>
      <c r="C1684" s="92" t="s">
        <v>5749</v>
      </c>
      <c r="D1684" s="72" t="str">
        <f>IFERROR(VLOOKUP(A1684,'[1]ST-QA-ZZ5'!$C$5:$M$299,11,0),"Inspection at production line")</f>
        <v>Inspection at production line</v>
      </c>
    </row>
    <row r="1685" spans="1:4" ht="13.8">
      <c r="A1685" s="47" t="s">
        <v>5750</v>
      </c>
      <c r="B1685" s="92" t="s">
        <v>2546</v>
      </c>
      <c r="C1685" s="92" t="s">
        <v>5751</v>
      </c>
      <c r="D1685" s="72" t="str">
        <f>IFERROR(VLOOKUP(A1685,'[1]ST-QA-ZZ5'!$C$5:$M$299,11,0),"Inspection at production line")</f>
        <v>Inspection at production line</v>
      </c>
    </row>
    <row r="1686" spans="1:4" ht="13.8">
      <c r="A1686" s="47" t="s">
        <v>5752</v>
      </c>
      <c r="B1686" s="92" t="s">
        <v>953</v>
      </c>
      <c r="C1686" s="92" t="s">
        <v>5753</v>
      </c>
      <c r="D1686" s="72" t="str">
        <f>IFERROR(VLOOKUP(A1686,'[1]ST-QA-ZZ5'!$C$5:$M$299,11,0),"Inspection at production line")</f>
        <v>Inspection at production line</v>
      </c>
    </row>
    <row r="1687" spans="1:4" ht="13.8">
      <c r="A1687" s="47" t="s">
        <v>5754</v>
      </c>
      <c r="B1687" s="92" t="s">
        <v>957</v>
      </c>
      <c r="C1687" s="92" t="s">
        <v>5755</v>
      </c>
      <c r="D1687" s="72" t="str">
        <f>IFERROR(VLOOKUP(A1687,'[1]ST-QA-ZZ5'!$C$5:$M$299,11,0),"Inspection at production line")</f>
        <v>Inspection at production line</v>
      </c>
    </row>
    <row r="1688" spans="1:4" ht="13.8">
      <c r="A1688" s="47" t="s">
        <v>5756</v>
      </c>
      <c r="B1688" s="92" t="s">
        <v>2507</v>
      </c>
      <c r="C1688" s="92" t="s">
        <v>5757</v>
      </c>
      <c r="D1688" s="72" t="str">
        <f>IFERROR(VLOOKUP(A1688,'[1]ST-QA-ZZ5'!$C$5:$M$299,11,0),"Inspection at production line")</f>
        <v>Inspection at production line</v>
      </c>
    </row>
    <row r="1689" spans="1:4" ht="13.8">
      <c r="A1689" s="47" t="s">
        <v>5758</v>
      </c>
      <c r="B1689" s="92" t="s">
        <v>946</v>
      </c>
      <c r="C1689" s="92" t="s">
        <v>5759</v>
      </c>
      <c r="D1689" s="72" t="str">
        <f>IFERROR(VLOOKUP(A1689,'[1]ST-QA-ZZ5'!$C$5:$M$299,11,0),"Inspection at production line")</f>
        <v>Inspection at production line</v>
      </c>
    </row>
    <row r="1690" spans="1:4" ht="13.8">
      <c r="A1690" s="47" t="s">
        <v>5760</v>
      </c>
      <c r="B1690" s="92" t="s">
        <v>797</v>
      </c>
      <c r="C1690" s="92" t="s">
        <v>5761</v>
      </c>
      <c r="D1690" s="72" t="str">
        <f>IFERROR(VLOOKUP(A1690,'[1]ST-QA-ZZ5'!$C$5:$M$299,11,0),"Inspection at production line")</f>
        <v>Inspection at production line</v>
      </c>
    </row>
    <row r="1691" spans="1:4" ht="13.8">
      <c r="A1691" s="47" t="s">
        <v>5762</v>
      </c>
      <c r="B1691" s="92" t="s">
        <v>949</v>
      </c>
      <c r="C1691" s="92" t="s">
        <v>5763</v>
      </c>
      <c r="D1691" s="72" t="str">
        <f>IFERROR(VLOOKUP(A1691,'[1]ST-QA-ZZ5'!$C$5:$M$299,11,0),"Inspection at production line")</f>
        <v>Inspection at production line</v>
      </c>
    </row>
    <row r="1692" spans="1:4" ht="13.8">
      <c r="A1692" s="47" t="s">
        <v>3665</v>
      </c>
      <c r="B1692" s="92" t="s">
        <v>3567</v>
      </c>
      <c r="C1692" s="92" t="s">
        <v>3666</v>
      </c>
      <c r="D1692" s="72" t="str">
        <f>IFERROR(VLOOKUP(A1692,'[1]ST-QA-ZZ5'!$C$5:$M$299,11,0),"Inspection at production line")</f>
        <v>Inspection at production line</v>
      </c>
    </row>
    <row r="1693" spans="1:4" ht="13.8">
      <c r="A1693" s="47" t="s">
        <v>3669</v>
      </c>
      <c r="B1693" s="92" t="s">
        <v>2511</v>
      </c>
      <c r="C1693" s="92" t="s">
        <v>3670</v>
      </c>
      <c r="D1693" s="72" t="str">
        <f>IFERROR(VLOOKUP(A1693,'[1]ST-QA-ZZ5'!$C$5:$M$299,11,0),"Inspection at production line")</f>
        <v>Inspection at production line</v>
      </c>
    </row>
    <row r="1694" spans="1:4" ht="13.8">
      <c r="A1694" s="47" t="s">
        <v>3673</v>
      </c>
      <c r="B1694" s="92" t="s">
        <v>2511</v>
      </c>
      <c r="C1694" s="92" t="s">
        <v>3674</v>
      </c>
      <c r="D1694" s="72" t="str">
        <f>IFERROR(VLOOKUP(A1694,'[1]ST-QA-ZZ5'!$C$5:$M$299,11,0),"Inspection at production line")</f>
        <v>Inspection at production line</v>
      </c>
    </row>
    <row r="1695" spans="1:4" ht="13.8">
      <c r="A1695" s="47" t="s">
        <v>3677</v>
      </c>
      <c r="B1695" s="92" t="s">
        <v>953</v>
      </c>
      <c r="C1695" s="92" t="s">
        <v>3441</v>
      </c>
      <c r="D1695" s="72" t="str">
        <f>IFERROR(VLOOKUP(A1695,'[1]ST-QA-ZZ5'!$C$5:$M$299,11,0),"Inspection at production line")</f>
        <v>Inspection at production line</v>
      </c>
    </row>
    <row r="1696" spans="1:4" ht="13.8">
      <c r="A1696" s="47" t="s">
        <v>3680</v>
      </c>
      <c r="B1696" s="92" t="s">
        <v>957</v>
      </c>
      <c r="C1696" s="92" t="s">
        <v>3437</v>
      </c>
      <c r="D1696" s="72" t="str">
        <f>IFERROR(VLOOKUP(A1696,'[1]ST-QA-ZZ5'!$C$5:$M$299,11,0),"Inspection at production line")</f>
        <v>Inspection at production line</v>
      </c>
    </row>
    <row r="1697" spans="1:4" ht="13.8">
      <c r="A1697" s="47" t="s">
        <v>5764</v>
      </c>
      <c r="B1697" s="92" t="s">
        <v>961</v>
      </c>
      <c r="C1697" s="92" t="s">
        <v>3530</v>
      </c>
      <c r="D1697" s="72" t="str">
        <f>IFERROR(VLOOKUP(A1697,'[1]ST-QA-ZZ5'!$C$5:$M$299,11,0),"Inspection at production line")</f>
        <v>Inspection at production line</v>
      </c>
    </row>
    <row r="1698" spans="1:4" ht="13.8">
      <c r="A1698" s="47" t="s">
        <v>3683</v>
      </c>
      <c r="B1698" s="92" t="s">
        <v>797</v>
      </c>
      <c r="C1698" s="92" t="s">
        <v>797</v>
      </c>
      <c r="D1698" s="72" t="str">
        <f>IFERROR(VLOOKUP(A1698,'[1]ST-QA-ZZ5'!$C$5:$M$299,11,0),"Inspection at production line")</f>
        <v>Inspection at production line</v>
      </c>
    </row>
    <row r="1699" spans="1:4" ht="13.8">
      <c r="A1699" s="47" t="s">
        <v>3686</v>
      </c>
      <c r="B1699" s="92" t="s">
        <v>905</v>
      </c>
      <c r="C1699" s="92" t="s">
        <v>3548</v>
      </c>
      <c r="D1699" s="72" t="str">
        <f>IFERROR(VLOOKUP(A1699,'[1]ST-QA-ZZ5'!$C$5:$M$299,11,0),"Inspection at production line")</f>
        <v>Inspection at production line</v>
      </c>
    </row>
    <row r="1700" spans="1:4" ht="13.8">
      <c r="A1700" s="47" t="s">
        <v>3689</v>
      </c>
      <c r="B1700" s="92" t="s">
        <v>2546</v>
      </c>
      <c r="C1700" s="92" t="s">
        <v>2546</v>
      </c>
      <c r="D1700" s="72" t="str">
        <f>IFERROR(VLOOKUP(A1700,'[1]ST-QA-ZZ5'!$C$5:$M$299,11,0),"Inspection at production line")</f>
        <v>Inspection at production line</v>
      </c>
    </row>
    <row r="1701" spans="1:4" ht="13.8">
      <c r="A1701" s="47" t="s">
        <v>3691</v>
      </c>
      <c r="B1701" s="92" t="s">
        <v>949</v>
      </c>
      <c r="C1701" s="92" t="s">
        <v>3692</v>
      </c>
      <c r="D1701" s="72" t="str">
        <f>IFERROR(VLOOKUP(A1701,'[1]ST-QA-ZZ5'!$C$5:$M$299,11,0),"Inspection at production line")</f>
        <v>Inspection at production line</v>
      </c>
    </row>
    <row r="1702" spans="1:4" ht="13.8">
      <c r="A1702" s="47" t="s">
        <v>5765</v>
      </c>
      <c r="B1702" s="92" t="s">
        <v>3519</v>
      </c>
      <c r="C1702" s="92" t="s">
        <v>5766</v>
      </c>
      <c r="D1702" s="72" t="str">
        <f>IFERROR(VLOOKUP(A1702,'[1]ST-QA-ZZ5'!$C$5:$M$299,11,0),"Inspection at production line")</f>
        <v>Inspection at production line</v>
      </c>
    </row>
    <row r="1703" spans="1:4" ht="13.8">
      <c r="A1703" s="47" t="s">
        <v>5767</v>
      </c>
      <c r="B1703" s="92" t="s">
        <v>3519</v>
      </c>
      <c r="C1703" s="92" t="s">
        <v>3524</v>
      </c>
      <c r="D1703" s="72" t="str">
        <f>IFERROR(VLOOKUP(A1703,'[1]ST-QA-ZZ5'!$C$5:$M$299,11,0),"Inspection at production line")</f>
        <v>Inspection at production line</v>
      </c>
    </row>
    <row r="1704" spans="1:4" ht="13.8">
      <c r="A1704" s="47" t="s">
        <v>5768</v>
      </c>
      <c r="B1704" s="92" t="s">
        <v>3597</v>
      </c>
      <c r="C1704" s="92" t="s">
        <v>5769</v>
      </c>
      <c r="D1704" s="72" t="str">
        <f>IFERROR(VLOOKUP(A1704,'[1]ST-QA-ZZ5'!$C$5:$M$299,11,0),"Inspection at production line")</f>
        <v>Inspection at production line</v>
      </c>
    </row>
    <row r="1705" spans="1:4" ht="13.8">
      <c r="A1705" s="47" t="s">
        <v>3695</v>
      </c>
      <c r="B1705" s="92" t="s">
        <v>3412</v>
      </c>
      <c r="C1705" s="92" t="s">
        <v>3514</v>
      </c>
      <c r="D1705" s="72" t="str">
        <f>IFERROR(VLOOKUP(A1705,'[1]ST-QA-ZZ5'!$C$5:$M$299,11,0),"Inspection at production line")</f>
        <v>Inspection at production line</v>
      </c>
    </row>
    <row r="1706" spans="1:4" ht="13.8">
      <c r="A1706" s="47" t="s">
        <v>5770</v>
      </c>
      <c r="B1706" s="92" t="s">
        <v>3602</v>
      </c>
      <c r="C1706" s="92" t="s">
        <v>5771</v>
      </c>
      <c r="D1706" s="72" t="str">
        <f>IFERROR(VLOOKUP(A1706,'[1]ST-QA-ZZ5'!$C$5:$M$299,11,0),"Inspection at production line")</f>
        <v>Inspection at production line</v>
      </c>
    </row>
    <row r="1707" spans="1:4" ht="13.8">
      <c r="A1707" s="47" t="s">
        <v>3698</v>
      </c>
      <c r="B1707" s="92" t="s">
        <v>949</v>
      </c>
      <c r="C1707" s="92" t="s">
        <v>3699</v>
      </c>
      <c r="D1707" s="72" t="str">
        <f>IFERROR(VLOOKUP(A1707,'[1]ST-QA-ZZ5'!$C$5:$M$299,11,0),"Inspection at production line")</f>
        <v>Inspection at production line</v>
      </c>
    </row>
    <row r="1708" spans="1:4" ht="13.8">
      <c r="A1708" s="47" t="s">
        <v>5772</v>
      </c>
      <c r="B1708" s="92" t="s">
        <v>961</v>
      </c>
      <c r="C1708" s="92" t="s">
        <v>5011</v>
      </c>
      <c r="D1708" s="72" t="str">
        <f>IFERROR(VLOOKUP(A1708,'[1]ST-QA-ZZ5'!$C$5:$M$299,11,0),"Inspection at production line")</f>
        <v>Inspection at production line</v>
      </c>
    </row>
    <row r="1709" spans="1:4" ht="13.8">
      <c r="A1709" s="47" t="s">
        <v>5773</v>
      </c>
      <c r="B1709" s="92" t="s">
        <v>2546</v>
      </c>
      <c r="C1709" s="92" t="s">
        <v>5774</v>
      </c>
      <c r="D1709" s="72" t="str">
        <f>IFERROR(VLOOKUP(A1709,'[1]ST-QA-ZZ5'!$C$5:$M$299,11,0),"Inspection at production line")</f>
        <v>Inspection at production line</v>
      </c>
    </row>
    <row r="1710" spans="1:4" ht="13.8">
      <c r="A1710" s="47" t="s">
        <v>5775</v>
      </c>
      <c r="B1710" s="92" t="s">
        <v>3543</v>
      </c>
      <c r="C1710" s="92" t="s">
        <v>5776</v>
      </c>
      <c r="D1710" s="72" t="str">
        <f>IFERROR(VLOOKUP(A1710,'[1]ST-QA-ZZ5'!$C$5:$M$299,11,0),"Inspection at production line")</f>
        <v>Inspection at production line</v>
      </c>
    </row>
    <row r="1711" spans="1:4" ht="13.8">
      <c r="A1711" s="47" t="s">
        <v>3703</v>
      </c>
      <c r="B1711" s="92" t="s">
        <v>2546</v>
      </c>
      <c r="C1711" s="92" t="s">
        <v>3704</v>
      </c>
      <c r="D1711" s="72" t="str">
        <f>IFERROR(VLOOKUP(A1711,'[1]ST-QA-ZZ5'!$C$5:$M$299,11,0),"Inspection at production line")</f>
        <v>Inspection at production line</v>
      </c>
    </row>
    <row r="1712" spans="1:4" ht="13.8">
      <c r="A1712" s="47" t="s">
        <v>5777</v>
      </c>
      <c r="B1712" s="92" t="s">
        <v>57</v>
      </c>
      <c r="C1712" s="92" t="s">
        <v>5778</v>
      </c>
      <c r="D1712" s="72" t="str">
        <f>IFERROR(VLOOKUP(A1712,'[1]ST-QA-ZZ5'!$C$5:$M$299,11,0),"Inspection at production line")</f>
        <v>Inspection at production line</v>
      </c>
    </row>
    <row r="1713" spans="1:4" ht="13.8">
      <c r="A1713" s="47" t="s">
        <v>3708</v>
      </c>
      <c r="B1713" s="92" t="s">
        <v>941</v>
      </c>
      <c r="C1713" s="92" t="s">
        <v>3709</v>
      </c>
      <c r="D1713" s="72" t="str">
        <f>IFERROR(VLOOKUP(A1713,'[1]ST-QA-ZZ5'!$C$5:$M$299,11,0),"Inspection at production line")</f>
        <v>Inspection at production line</v>
      </c>
    </row>
    <row r="1714" spans="1:4" ht="13.8">
      <c r="A1714" s="47" t="s">
        <v>3712</v>
      </c>
      <c r="B1714" s="92" t="s">
        <v>941</v>
      </c>
      <c r="C1714" s="92" t="s">
        <v>3709</v>
      </c>
      <c r="D1714" s="72" t="str">
        <f>IFERROR(VLOOKUP(A1714,'[1]ST-QA-ZZ5'!$C$5:$M$299,11,0),"Inspection at production line")</f>
        <v>Inspection at production line</v>
      </c>
    </row>
    <row r="1715" spans="1:4" ht="13.8">
      <c r="A1715" s="47" t="s">
        <v>3715</v>
      </c>
      <c r="B1715" s="92" t="s">
        <v>3454</v>
      </c>
      <c r="C1715" s="92" t="s">
        <v>3716</v>
      </c>
      <c r="D1715" s="72" t="str">
        <f>IFERROR(VLOOKUP(A1715,'[1]ST-QA-ZZ5'!$C$5:$M$299,11,0),"Inspection at production line")</f>
        <v>Inspection at production line</v>
      </c>
    </row>
    <row r="1716" spans="1:4" ht="13.8">
      <c r="A1716" s="47" t="s">
        <v>3719</v>
      </c>
      <c r="B1716" s="92" t="s">
        <v>949</v>
      </c>
      <c r="C1716" s="92" t="s">
        <v>3720</v>
      </c>
      <c r="D1716" s="72" t="str">
        <f>IFERROR(VLOOKUP(A1716,'[1]ST-QA-ZZ5'!$C$5:$M$299,11,0),"Inspection at production line")</f>
        <v>Inspection at production line</v>
      </c>
    </row>
    <row r="1717" spans="1:4" ht="13.8">
      <c r="A1717" s="47" t="s">
        <v>5779</v>
      </c>
      <c r="B1717" s="92" t="s">
        <v>279</v>
      </c>
      <c r="C1717" s="92" t="s">
        <v>5780</v>
      </c>
      <c r="D1717" s="72" t="str">
        <f>IFERROR(VLOOKUP(A1717,'[1]ST-QA-ZZ5'!$C$5:$M$299,11,0),"Inspection at production line")</f>
        <v>Inspection at production line</v>
      </c>
    </row>
    <row r="1718" spans="1:4" ht="13.8">
      <c r="A1718" s="47" t="s">
        <v>5781</v>
      </c>
      <c r="B1718" s="92" t="s">
        <v>3488</v>
      </c>
      <c r="C1718" s="92" t="s">
        <v>4979</v>
      </c>
      <c r="D1718" s="72" t="str">
        <f>IFERROR(VLOOKUP(A1718,'[1]ST-QA-ZZ5'!$C$5:$M$299,11,0),"Inspection at production line")</f>
        <v>Inspection at production line</v>
      </c>
    </row>
    <row r="1719" spans="1:4" ht="13.8">
      <c r="A1719" s="47" t="s">
        <v>5782</v>
      </c>
      <c r="B1719" s="92" t="s">
        <v>1177</v>
      </c>
      <c r="C1719" s="92" t="s">
        <v>5783</v>
      </c>
      <c r="D1719" s="72" t="str">
        <f>IFERROR(VLOOKUP(A1719,'[1]ST-QA-ZZ5'!$C$5:$M$299,11,0),"Inspection at production line")</f>
        <v>Inspection at production line</v>
      </c>
    </row>
    <row r="1720" spans="1:4" ht="13.8">
      <c r="A1720" s="47" t="s">
        <v>3723</v>
      </c>
      <c r="B1720" s="92" t="s">
        <v>1177</v>
      </c>
      <c r="C1720" s="92" t="s">
        <v>3724</v>
      </c>
      <c r="D1720" s="72" t="str">
        <f>IFERROR(VLOOKUP(A1720,'[1]ST-QA-ZZ5'!$C$5:$M$299,11,0),"Inspection at production line")</f>
        <v>Inspection at production line</v>
      </c>
    </row>
    <row r="1721" spans="1:4" ht="13.8">
      <c r="A1721" s="47" t="s">
        <v>3727</v>
      </c>
      <c r="B1721" s="92" t="s">
        <v>57</v>
      </c>
      <c r="C1721" s="92" t="s">
        <v>5784</v>
      </c>
      <c r="D1721" s="72" t="str">
        <f>IFERROR(VLOOKUP(A1721,'[1]ST-QA-ZZ5'!$C$5:$M$299,11,0),"Inspection at production line")</f>
        <v>Inspection at production line</v>
      </c>
    </row>
    <row r="1722" spans="1:4" ht="13.8">
      <c r="A1722" s="47" t="s">
        <v>3731</v>
      </c>
      <c r="B1722" s="92" t="s">
        <v>961</v>
      </c>
      <c r="C1722" s="92" t="s">
        <v>3732</v>
      </c>
      <c r="D1722" s="72" t="str">
        <f>IFERROR(VLOOKUP(A1722,'[1]ST-QA-ZZ5'!$C$5:$M$299,11,0),"Inspection at production line")</f>
        <v>Inspection at production line</v>
      </c>
    </row>
    <row r="1723" spans="1:4" ht="13.8">
      <c r="A1723" s="47" t="s">
        <v>5785</v>
      </c>
      <c r="B1723" s="92" t="s">
        <v>961</v>
      </c>
      <c r="C1723" s="92" t="s">
        <v>3732</v>
      </c>
      <c r="D1723" s="72" t="str">
        <f>IFERROR(VLOOKUP(A1723,'[1]ST-QA-ZZ5'!$C$5:$M$299,11,0),"Inspection at production line")</f>
        <v>Sampling check</v>
      </c>
    </row>
    <row r="1724" spans="1:4" ht="13.8">
      <c r="A1724" s="47" t="s">
        <v>3735</v>
      </c>
      <c r="B1724" s="92" t="s">
        <v>2511</v>
      </c>
      <c r="C1724" s="92" t="s">
        <v>3736</v>
      </c>
      <c r="D1724" s="72" t="str">
        <f>IFERROR(VLOOKUP(A1724,'[1]ST-QA-ZZ5'!$C$5:$M$299,11,0),"Inspection at production line")</f>
        <v>Inspection at production line</v>
      </c>
    </row>
    <row r="1725" spans="1:4" ht="13.8">
      <c r="A1725" s="47" t="s">
        <v>3739</v>
      </c>
      <c r="B1725" s="92" t="s">
        <v>68</v>
      </c>
      <c r="C1725" s="92" t="s">
        <v>69</v>
      </c>
      <c r="D1725" s="72" t="str">
        <f>IFERROR(VLOOKUP(A1725,'[1]ST-QA-ZZ5'!$C$5:$M$299,11,0),"Inspection at production line")</f>
        <v>Inspection at production line</v>
      </c>
    </row>
    <row r="1726" spans="1:4" ht="13.8">
      <c r="A1726" s="47" t="s">
        <v>3742</v>
      </c>
      <c r="B1726" s="92" t="s">
        <v>3612</v>
      </c>
      <c r="C1726" s="92" t="s">
        <v>3743</v>
      </c>
      <c r="D1726" s="72" t="str">
        <f>IFERROR(VLOOKUP(A1726,'[1]ST-QA-ZZ5'!$C$5:$M$299,11,0),"Inspection at production line")</f>
        <v>Inspection at production line</v>
      </c>
    </row>
    <row r="1727" spans="1:4" ht="13.8">
      <c r="A1727" s="47" t="s">
        <v>3747</v>
      </c>
      <c r="B1727" s="92" t="s">
        <v>905</v>
      </c>
      <c r="C1727" s="92" t="s">
        <v>3748</v>
      </c>
      <c r="D1727" s="72" t="str">
        <f>IFERROR(VLOOKUP(A1727,'[1]ST-QA-ZZ5'!$C$5:$M$299,11,0),"Inspection at production line")</f>
        <v>Inspection at production line</v>
      </c>
    </row>
    <row r="1728" spans="1:4" ht="13.8">
      <c r="A1728" s="47" t="s">
        <v>4961</v>
      </c>
      <c r="B1728" s="92" t="s">
        <v>905</v>
      </c>
      <c r="C1728" s="92" t="s">
        <v>3748</v>
      </c>
      <c r="D1728" s="72" t="str">
        <f>IFERROR(VLOOKUP(A1728,'[1]ST-QA-ZZ5'!$C$5:$M$299,11,0),"Inspection at production line")</f>
        <v>Inspection at production line</v>
      </c>
    </row>
    <row r="1729" spans="1:4" ht="13.8">
      <c r="A1729" s="47" t="s">
        <v>3751</v>
      </c>
      <c r="B1729" s="92" t="s">
        <v>2546</v>
      </c>
      <c r="C1729" s="92" t="s">
        <v>3752</v>
      </c>
      <c r="D1729" s="72" t="str">
        <f>IFERROR(VLOOKUP(A1729,'[1]ST-QA-ZZ5'!$C$5:$M$299,11,0),"Inspection at production line")</f>
        <v>Inspection at production line</v>
      </c>
    </row>
    <row r="1730" spans="1:4" ht="13.8">
      <c r="A1730" s="47" t="s">
        <v>3755</v>
      </c>
      <c r="B1730" s="92" t="s">
        <v>1177</v>
      </c>
      <c r="C1730" s="92" t="s">
        <v>3756</v>
      </c>
      <c r="D1730" s="72" t="str">
        <f>IFERROR(VLOOKUP(A1730,'[1]ST-QA-ZZ5'!$C$5:$M$299,11,0),"Inspection at production line")</f>
        <v>Inspection at production line</v>
      </c>
    </row>
    <row r="1731" spans="1:4" ht="13.8">
      <c r="A1731" s="47" t="s">
        <v>5786</v>
      </c>
      <c r="B1731" s="92" t="s">
        <v>90</v>
      </c>
      <c r="C1731" s="92" t="s">
        <v>5787</v>
      </c>
      <c r="D1731" s="72" t="str">
        <f>IFERROR(VLOOKUP(A1731,'[1]ST-QA-ZZ5'!$C$5:$M$299,11,0),"Inspection at production line")</f>
        <v>Inspection at production line</v>
      </c>
    </row>
    <row r="1732" spans="1:4" ht="13.8">
      <c r="A1732" s="47" t="s">
        <v>3759</v>
      </c>
      <c r="B1732" s="92" t="s">
        <v>1177</v>
      </c>
      <c r="C1732" s="92" t="s">
        <v>3724</v>
      </c>
      <c r="D1732" s="72" t="str">
        <f>IFERROR(VLOOKUP(A1732,'[1]ST-QA-ZZ5'!$C$5:$M$299,11,0),"Inspection at production line")</f>
        <v>Inspection at production line</v>
      </c>
    </row>
    <row r="1733" spans="1:4" ht="13.8">
      <c r="A1733" s="47" t="s">
        <v>3762</v>
      </c>
      <c r="B1733" s="92" t="s">
        <v>1177</v>
      </c>
      <c r="C1733" s="92" t="s">
        <v>3763</v>
      </c>
      <c r="D1733" s="72" t="str">
        <f>IFERROR(VLOOKUP(A1733,'[1]ST-QA-ZZ5'!$C$5:$M$299,11,0),"Inspection at production line")</f>
        <v>Inspection at production line</v>
      </c>
    </row>
    <row r="1734" spans="1:4" ht="13.8">
      <c r="A1734" s="47" t="s">
        <v>5788</v>
      </c>
      <c r="B1734" s="92" t="s">
        <v>3468</v>
      </c>
      <c r="C1734" s="92" t="s">
        <v>3469</v>
      </c>
      <c r="D1734" s="72" t="str">
        <f>IFERROR(VLOOKUP(A1734,'[1]ST-QA-ZZ5'!$C$5:$M$299,11,0),"Inspection at production line")</f>
        <v>Inspection at production line</v>
      </c>
    </row>
    <row r="1735" spans="1:4" ht="13.8">
      <c r="A1735" s="47" t="s">
        <v>5789</v>
      </c>
      <c r="B1735" s="92" t="s">
        <v>3468</v>
      </c>
      <c r="C1735" s="92" t="s">
        <v>3469</v>
      </c>
      <c r="D1735" s="72" t="str">
        <f>IFERROR(VLOOKUP(A1735,'[1]ST-QA-ZZ5'!$C$5:$M$299,11,0),"Inspection at production line")</f>
        <v>Inspection at production line</v>
      </c>
    </row>
    <row r="1736" spans="1:4" ht="13.8">
      <c r="A1736" s="47" t="s">
        <v>5790</v>
      </c>
      <c r="B1736" s="92" t="s">
        <v>3473</v>
      </c>
      <c r="C1736" s="92" t="s">
        <v>3474</v>
      </c>
      <c r="D1736" s="72" t="str">
        <f>IFERROR(VLOOKUP(A1736,'[1]ST-QA-ZZ5'!$C$5:$M$299,11,0),"Inspection at production line")</f>
        <v>Inspection at production line</v>
      </c>
    </row>
    <row r="1737" spans="1:4" ht="13.8">
      <c r="A1737" s="47" t="s">
        <v>5791</v>
      </c>
      <c r="B1737" s="92" t="s">
        <v>3473</v>
      </c>
      <c r="C1737" s="92" t="s">
        <v>3474</v>
      </c>
      <c r="D1737" s="72" t="str">
        <f>IFERROR(VLOOKUP(A1737,'[1]ST-QA-ZZ5'!$C$5:$M$299,11,0),"Inspection at production line")</f>
        <v>Inspection at production line</v>
      </c>
    </row>
    <row r="1738" spans="1:4" ht="13.8">
      <c r="A1738" s="47" t="s">
        <v>1774</v>
      </c>
      <c r="B1738" s="92" t="s">
        <v>1775</v>
      </c>
      <c r="C1738" s="92" t="s">
        <v>1775</v>
      </c>
      <c r="D1738" s="72" t="str">
        <f>IFERROR(VLOOKUP(A1738,'[1]ST-QA-ZZ5'!$C$5:$M$299,11,0),"Inspection at production line")</f>
        <v>Inspection at production line</v>
      </c>
    </row>
    <row r="1739" spans="1:4" ht="13.8">
      <c r="A1739" s="47" t="s">
        <v>1778</v>
      </c>
      <c r="B1739" s="92" t="s">
        <v>310</v>
      </c>
      <c r="C1739" s="92" t="s">
        <v>311</v>
      </c>
      <c r="D1739" s="72" t="str">
        <f>IFERROR(VLOOKUP(A1739,'[1]ST-QA-ZZ5'!$C$5:$M$299,11,0),"Inspection at production line")</f>
        <v>Inspection at production line</v>
      </c>
    </row>
    <row r="1740" spans="1:4" ht="13.8">
      <c r="A1740" s="47" t="s">
        <v>1780</v>
      </c>
      <c r="B1740" s="92" t="s">
        <v>1781</v>
      </c>
      <c r="C1740" s="92" t="s">
        <v>1782</v>
      </c>
      <c r="D1740" s="72" t="str">
        <f>IFERROR(VLOOKUP(A1740,'[1]ST-QA-ZZ5'!$C$5:$M$299,11,0),"Inspection at production line")</f>
        <v>Sampling check</v>
      </c>
    </row>
    <row r="1741" spans="1:4" ht="13.8">
      <c r="A1741" s="47" t="s">
        <v>1784</v>
      </c>
      <c r="B1741" s="92" t="s">
        <v>1513</v>
      </c>
      <c r="C1741" s="92" t="s">
        <v>5792</v>
      </c>
      <c r="D1741" s="72" t="str">
        <f>IFERROR(VLOOKUP(A1741,'[1]ST-QA-ZZ5'!$C$5:$M$299,11,0),"Inspection at production line")</f>
        <v>Inspection at production line</v>
      </c>
    </row>
    <row r="1742" spans="1:4" ht="13.8">
      <c r="A1742" s="47" t="s">
        <v>1787</v>
      </c>
      <c r="B1742" s="92" t="s">
        <v>1513</v>
      </c>
      <c r="C1742" s="92" t="s">
        <v>5793</v>
      </c>
      <c r="D1742" s="72" t="str">
        <f>IFERROR(VLOOKUP(A1742,'[1]ST-QA-ZZ5'!$C$5:$M$299,11,0),"Inspection at production line")</f>
        <v>Inspection at production line</v>
      </c>
    </row>
    <row r="1743" spans="1:4" ht="13.8">
      <c r="A1743" s="47" t="s">
        <v>1791</v>
      </c>
      <c r="B1743" s="92" t="s">
        <v>1513</v>
      </c>
      <c r="C1743" s="92" t="s">
        <v>5794</v>
      </c>
      <c r="D1743" s="72" t="str">
        <f>IFERROR(VLOOKUP(A1743,'[1]ST-QA-ZZ5'!$C$5:$M$299,11,0),"Inspection at production line")</f>
        <v>Inspection at production line</v>
      </c>
    </row>
    <row r="1744" spans="1:4" ht="13.8">
      <c r="A1744" s="47" t="s">
        <v>1795</v>
      </c>
      <c r="B1744" s="92" t="s">
        <v>75</v>
      </c>
      <c r="C1744" s="92" t="s">
        <v>5795</v>
      </c>
      <c r="D1744" s="72" t="str">
        <f>IFERROR(VLOOKUP(A1744,'[1]ST-QA-ZZ5'!$C$5:$M$299,11,0),"Inspection at production line")</f>
        <v>Inspection at production line</v>
      </c>
    </row>
    <row r="1745" spans="1:4" ht="13.8">
      <c r="A1745" s="47" t="s">
        <v>1799</v>
      </c>
      <c r="B1745" s="92" t="s">
        <v>75</v>
      </c>
      <c r="C1745" s="92" t="s">
        <v>5796</v>
      </c>
      <c r="D1745" s="72" t="str">
        <f>IFERROR(VLOOKUP(A1745,'[1]ST-QA-ZZ5'!$C$5:$M$299,11,0),"Inspection at production line")</f>
        <v>Inspection at production line</v>
      </c>
    </row>
    <row r="1746" spans="1:4" ht="13.8">
      <c r="A1746" s="47" t="s">
        <v>1803</v>
      </c>
      <c r="B1746" s="92" t="s">
        <v>75</v>
      </c>
      <c r="C1746" s="92" t="s">
        <v>5797</v>
      </c>
      <c r="D1746" s="72" t="str">
        <f>IFERROR(VLOOKUP(A1746,'[1]ST-QA-ZZ5'!$C$5:$M$299,11,0),"Inspection at production line")</f>
        <v>Inspection at production line</v>
      </c>
    </row>
    <row r="1747" spans="1:4" ht="13.8">
      <c r="A1747" s="47" t="s">
        <v>1808</v>
      </c>
      <c r="B1747" s="92" t="s">
        <v>75</v>
      </c>
      <c r="C1747" s="92" t="s">
        <v>5798</v>
      </c>
      <c r="D1747" s="72" t="str">
        <f>IFERROR(VLOOKUP(A1747,'[1]ST-QA-ZZ5'!$C$5:$M$299,11,0),"Inspection at production line")</f>
        <v>Inspection at production line</v>
      </c>
    </row>
    <row r="1748" spans="1:4" ht="13.8">
      <c r="A1748" s="47" t="s">
        <v>1812</v>
      </c>
      <c r="B1748" s="92" t="s">
        <v>1543</v>
      </c>
      <c r="C1748" s="92" t="s">
        <v>1813</v>
      </c>
      <c r="D1748" s="72" t="str">
        <f>IFERROR(VLOOKUP(A1748,'[1]ST-QA-ZZ5'!$C$5:$M$299,11,0),"Inspection at production line")</f>
        <v>Inspection at production line</v>
      </c>
    </row>
    <row r="1749" spans="1:4" ht="13.8">
      <c r="A1749" s="47" t="s">
        <v>1816</v>
      </c>
      <c r="B1749" s="92" t="s">
        <v>75</v>
      </c>
      <c r="C1749" s="92" t="s">
        <v>5799</v>
      </c>
      <c r="D1749" s="72" t="str">
        <f>IFERROR(VLOOKUP(A1749,'[1]ST-QA-ZZ5'!$C$5:$M$299,11,0),"Inspection at production line")</f>
        <v>Inspection at production line</v>
      </c>
    </row>
    <row r="1750" spans="1:4" ht="13.8">
      <c r="A1750" s="47" t="s">
        <v>1820</v>
      </c>
      <c r="B1750" s="92" t="s">
        <v>75</v>
      </c>
      <c r="C1750" s="92" t="s">
        <v>5800</v>
      </c>
      <c r="D1750" s="72" t="str">
        <f>IFERROR(VLOOKUP(A1750,'[1]ST-QA-ZZ5'!$C$5:$M$299,11,0),"Inspection at production line")</f>
        <v>Inspection at production line</v>
      </c>
    </row>
    <row r="1751" spans="1:4" ht="13.8">
      <c r="A1751" s="47" t="s">
        <v>1825</v>
      </c>
      <c r="B1751" s="92" t="s">
        <v>75</v>
      </c>
      <c r="C1751" s="92" t="s">
        <v>5801</v>
      </c>
      <c r="D1751" s="72" t="str">
        <f>IFERROR(VLOOKUP(A1751,'[1]ST-QA-ZZ5'!$C$5:$M$299,11,0),"Inspection at production line")</f>
        <v>Inspection at production line</v>
      </c>
    </row>
    <row r="1752" spans="1:4" ht="13.8">
      <c r="A1752" s="47" t="s">
        <v>1830</v>
      </c>
      <c r="B1752" s="92" t="s">
        <v>75</v>
      </c>
      <c r="C1752" s="92" t="s">
        <v>5802</v>
      </c>
      <c r="D1752" s="72" t="str">
        <f>IFERROR(VLOOKUP(A1752,'[1]ST-QA-ZZ5'!$C$5:$M$299,11,0),"Inspection at production line")</f>
        <v>Inspection at production line</v>
      </c>
    </row>
    <row r="1753" spans="1:4" ht="13.8">
      <c r="A1753" s="47" t="s">
        <v>1835</v>
      </c>
      <c r="B1753" s="92" t="s">
        <v>75</v>
      </c>
      <c r="C1753" s="92" t="s">
        <v>5803</v>
      </c>
      <c r="D1753" s="72" t="str">
        <f>IFERROR(VLOOKUP(A1753,'[1]ST-QA-ZZ5'!$C$5:$M$299,11,0),"Inspection at production line")</f>
        <v>Inspection at production line</v>
      </c>
    </row>
    <row r="1754" spans="1:4" ht="13.8">
      <c r="A1754" s="47" t="s">
        <v>1840</v>
      </c>
      <c r="B1754" s="92" t="s">
        <v>75</v>
      </c>
      <c r="C1754" s="92" t="s">
        <v>5804</v>
      </c>
      <c r="D1754" s="72" t="str">
        <f>IFERROR(VLOOKUP(A1754,'[1]ST-QA-ZZ5'!$C$5:$M$299,11,0),"Inspection at production line")</f>
        <v>Inspection at production line</v>
      </c>
    </row>
    <row r="1755" spans="1:4" ht="13.8">
      <c r="A1755" s="47" t="s">
        <v>1845</v>
      </c>
      <c r="B1755" s="92" t="s">
        <v>75</v>
      </c>
      <c r="C1755" s="92" t="s">
        <v>5805</v>
      </c>
      <c r="D1755" s="72" t="str">
        <f>IFERROR(VLOOKUP(A1755,'[1]ST-QA-ZZ5'!$C$5:$M$299,11,0),"Inspection at production line")</f>
        <v>Inspection at production line</v>
      </c>
    </row>
    <row r="1756" spans="1:4" ht="13.8">
      <c r="A1756" s="47" t="s">
        <v>1850</v>
      </c>
      <c r="B1756" s="92" t="s">
        <v>75</v>
      </c>
      <c r="C1756" s="92" t="s">
        <v>5806</v>
      </c>
      <c r="D1756" s="72" t="str">
        <f>IFERROR(VLOOKUP(A1756,'[1]ST-QA-ZZ5'!$C$5:$M$299,11,0),"Inspection at production line")</f>
        <v>Inspection at production line</v>
      </c>
    </row>
    <row r="1757" spans="1:4" ht="13.8">
      <c r="A1757" s="47" t="s">
        <v>1854</v>
      </c>
      <c r="B1757" s="92" t="s">
        <v>75</v>
      </c>
      <c r="C1757" s="92" t="s">
        <v>5807</v>
      </c>
      <c r="D1757" s="72" t="str">
        <f>IFERROR(VLOOKUP(A1757,'[1]ST-QA-ZZ5'!$C$5:$M$299,11,0),"Inspection at production line")</f>
        <v>Inspection at production line</v>
      </c>
    </row>
    <row r="1758" spans="1:4" ht="13.8">
      <c r="A1758" s="47" t="s">
        <v>1858</v>
      </c>
      <c r="B1758" s="92" t="s">
        <v>75</v>
      </c>
      <c r="C1758" s="92" t="s">
        <v>5808</v>
      </c>
      <c r="D1758" s="72" t="str">
        <f>IFERROR(VLOOKUP(A1758,'[1]ST-QA-ZZ5'!$C$5:$M$299,11,0),"Inspection at production line")</f>
        <v>Inspection at production line</v>
      </c>
    </row>
    <row r="1759" spans="1:4" ht="13.8">
      <c r="A1759" s="47" t="s">
        <v>1863</v>
      </c>
      <c r="B1759" s="92" t="s">
        <v>75</v>
      </c>
      <c r="C1759" s="92" t="s">
        <v>5809</v>
      </c>
      <c r="D1759" s="72" t="str">
        <f>IFERROR(VLOOKUP(A1759,'[1]ST-QA-ZZ5'!$C$5:$M$299,11,0),"Inspection at production line")</f>
        <v>Inspection at production line</v>
      </c>
    </row>
    <row r="1760" spans="1:4" ht="13.8">
      <c r="A1760" s="47" t="s">
        <v>1867</v>
      </c>
      <c r="B1760" s="92" t="s">
        <v>1554</v>
      </c>
      <c r="C1760" s="92" t="s">
        <v>1868</v>
      </c>
      <c r="D1760" s="72" t="str">
        <f>IFERROR(VLOOKUP(A1760,'[1]ST-QA-ZZ5'!$C$5:$M$299,11,0),"Inspection at production line")</f>
        <v>Inspection at production line</v>
      </c>
    </row>
    <row r="1761" spans="1:4" ht="13.8">
      <c r="A1761" s="47" t="s">
        <v>1871</v>
      </c>
      <c r="B1761" s="92" t="s">
        <v>206</v>
      </c>
      <c r="C1761" s="92" t="s">
        <v>206</v>
      </c>
      <c r="D1761" s="72" t="str">
        <f>IFERROR(VLOOKUP(A1761,'[1]ST-QA-ZZ5'!$C$5:$M$299,11,0),"Inspection at production line")</f>
        <v>Inspection at production line</v>
      </c>
    </row>
    <row r="1762" spans="1:4" ht="13.8">
      <c r="A1762" s="47" t="s">
        <v>1874</v>
      </c>
      <c r="B1762" s="92" t="s">
        <v>1875</v>
      </c>
      <c r="C1762" s="92" t="s">
        <v>1876</v>
      </c>
      <c r="D1762" s="72" t="str">
        <f>IFERROR(VLOOKUP(A1762,'[1]ST-QA-ZZ5'!$C$5:$M$299,11,0),"Inspection at production line")</f>
        <v>Inspection at production line</v>
      </c>
    </row>
    <row r="1763" spans="1:4" ht="13.8">
      <c r="A1763" s="47" t="s">
        <v>1879</v>
      </c>
      <c r="B1763" s="92" t="s">
        <v>1880</v>
      </c>
      <c r="C1763" s="92" t="s">
        <v>1881</v>
      </c>
      <c r="D1763" s="72" t="str">
        <f>IFERROR(VLOOKUP(A1763,'[1]ST-QA-ZZ5'!$C$5:$M$299,11,0),"Inspection at production line")</f>
        <v>Inspection at production line</v>
      </c>
    </row>
    <row r="1764" spans="1:4" ht="13.8">
      <c r="A1764" s="47" t="s">
        <v>1884</v>
      </c>
      <c r="B1764" s="92" t="s">
        <v>1885</v>
      </c>
      <c r="C1764" s="92" t="s">
        <v>5810</v>
      </c>
      <c r="D1764" s="72" t="str">
        <f>IFERROR(VLOOKUP(A1764,'[1]ST-QA-ZZ5'!$C$5:$M$299,11,0),"Inspection at production line")</f>
        <v>Inspection at production line</v>
      </c>
    </row>
    <row r="1765" spans="1:4" ht="13.8">
      <c r="A1765" s="47" t="s">
        <v>1890</v>
      </c>
      <c r="B1765" s="92" t="s">
        <v>1885</v>
      </c>
      <c r="C1765" s="92" t="s">
        <v>5811</v>
      </c>
      <c r="D1765" s="72" t="str">
        <f>IFERROR(VLOOKUP(A1765,'[1]ST-QA-ZZ5'!$C$5:$M$299,11,0),"Inspection at production line")</f>
        <v>Inspection at production line</v>
      </c>
    </row>
    <row r="1766" spans="1:4" ht="13.8">
      <c r="A1766" s="47" t="s">
        <v>1895</v>
      </c>
      <c r="B1766" s="92" t="s">
        <v>1896</v>
      </c>
      <c r="C1766" s="92" t="s">
        <v>5812</v>
      </c>
      <c r="D1766" s="72" t="str">
        <f>IFERROR(VLOOKUP(A1766,'[1]ST-QA-ZZ5'!$C$5:$M$299,11,0),"Inspection at production line")</f>
        <v>Inspection at production line</v>
      </c>
    </row>
    <row r="1767" spans="1:4" ht="13.8">
      <c r="A1767" s="47" t="s">
        <v>1901</v>
      </c>
      <c r="B1767" s="92" t="s">
        <v>1592</v>
      </c>
      <c r="C1767" s="92" t="s">
        <v>5813</v>
      </c>
      <c r="D1767" s="72" t="str">
        <f>IFERROR(VLOOKUP(A1767,'[1]ST-QA-ZZ5'!$C$5:$M$299,11,0),"Inspection at production line")</f>
        <v>Inspection at production line</v>
      </c>
    </row>
    <row r="1768" spans="1:4" ht="13.8">
      <c r="A1768" s="47" t="s">
        <v>1906</v>
      </c>
      <c r="B1768" s="92" t="s">
        <v>1896</v>
      </c>
      <c r="C1768" s="92" t="s">
        <v>1907</v>
      </c>
      <c r="D1768" s="72" t="str">
        <f>IFERROR(VLOOKUP(A1768,'[1]ST-QA-ZZ5'!$C$5:$M$299,11,0),"Inspection at production line")</f>
        <v>Inspection at production line</v>
      </c>
    </row>
    <row r="1769" spans="1:4" ht="13.8">
      <c r="A1769" s="47" t="s">
        <v>1911</v>
      </c>
      <c r="B1769" s="92" t="s">
        <v>1885</v>
      </c>
      <c r="C1769" s="92" t="s">
        <v>5814</v>
      </c>
      <c r="D1769" s="72" t="str">
        <f>IFERROR(VLOOKUP(A1769,'[1]ST-QA-ZZ5'!$C$5:$M$299,11,0),"Inspection at production line")</f>
        <v>Inspection at production line</v>
      </c>
    </row>
    <row r="1770" spans="1:4" ht="13.8">
      <c r="A1770" s="47" t="s">
        <v>1915</v>
      </c>
      <c r="B1770" s="92" t="s">
        <v>1916</v>
      </c>
      <c r="C1770" s="92" t="s">
        <v>1917</v>
      </c>
      <c r="D1770" s="72" t="str">
        <f>IFERROR(VLOOKUP(A1770,'[1]ST-QA-ZZ5'!$C$5:$M$299,11,0),"Inspection at production line")</f>
        <v>Inspection at production line</v>
      </c>
    </row>
    <row r="1771" spans="1:4" ht="13.8">
      <c r="A1771" s="47" t="s">
        <v>1920</v>
      </c>
      <c r="B1771" s="92" t="s">
        <v>1916</v>
      </c>
      <c r="C1771" s="92" t="s">
        <v>5815</v>
      </c>
      <c r="D1771" s="72" t="str">
        <f>IFERROR(VLOOKUP(A1771,'[1]ST-QA-ZZ5'!$C$5:$M$299,11,0),"Inspection at production line")</f>
        <v>Inspection at production line</v>
      </c>
    </row>
    <row r="1772" spans="1:4" ht="13.8">
      <c r="A1772" s="47" t="s">
        <v>1924</v>
      </c>
      <c r="B1772" s="92" t="s">
        <v>1916</v>
      </c>
      <c r="C1772" s="92" t="s">
        <v>5816</v>
      </c>
      <c r="D1772" s="72" t="str">
        <f>IFERROR(VLOOKUP(A1772,'[1]ST-QA-ZZ5'!$C$5:$M$299,11,0),"Inspection at production line")</f>
        <v>Inspection at production line</v>
      </c>
    </row>
    <row r="1773" spans="1:4" ht="13.8">
      <c r="A1773" s="47" t="s">
        <v>1928</v>
      </c>
      <c r="B1773" s="92" t="s">
        <v>90</v>
      </c>
      <c r="C1773" s="92" t="s">
        <v>1929</v>
      </c>
      <c r="D1773" s="72" t="str">
        <f>IFERROR(VLOOKUP(A1773,'[1]ST-QA-ZZ5'!$C$5:$M$299,11,0),"Inspection at production line")</f>
        <v>Inspection at production line</v>
      </c>
    </row>
    <row r="1774" spans="1:4" ht="13.8">
      <c r="A1774" s="47" t="s">
        <v>1933</v>
      </c>
      <c r="B1774" s="92" t="s">
        <v>90</v>
      </c>
      <c r="C1774" s="92" t="s">
        <v>1934</v>
      </c>
      <c r="D1774" s="72" t="str">
        <f>IFERROR(VLOOKUP(A1774,'[1]ST-QA-ZZ5'!$C$5:$M$299,11,0),"Inspection at production line")</f>
        <v>Inspection at production line</v>
      </c>
    </row>
    <row r="1775" spans="1:4" ht="13.8">
      <c r="A1775" s="47" t="s">
        <v>1937</v>
      </c>
      <c r="B1775" s="92" t="s">
        <v>1669</v>
      </c>
      <c r="C1775" s="92" t="s">
        <v>1938</v>
      </c>
      <c r="D1775" s="72" t="str">
        <f>IFERROR(VLOOKUP(A1775,'[1]ST-QA-ZZ5'!$C$5:$M$299,11,0),"Inspection at production line")</f>
        <v>Inspection at production line</v>
      </c>
    </row>
    <row r="1776" spans="1:4" ht="13.8">
      <c r="A1776" s="47" t="s">
        <v>1942</v>
      </c>
      <c r="B1776" s="92" t="s">
        <v>1943</v>
      </c>
      <c r="C1776" s="92" t="s">
        <v>1944</v>
      </c>
      <c r="D1776" s="72" t="str">
        <f>IFERROR(VLOOKUP(A1776,'[1]ST-QA-ZZ5'!$C$5:$M$299,11,0),"Inspection at production line")</f>
        <v>Inspection at production line</v>
      </c>
    </row>
    <row r="1777" spans="1:4" ht="13.8">
      <c r="A1777" s="47" t="s">
        <v>1948</v>
      </c>
      <c r="B1777" s="92" t="s">
        <v>1949</v>
      </c>
      <c r="C1777" s="92" t="s">
        <v>5817</v>
      </c>
      <c r="D1777" s="72" t="str">
        <f>IFERROR(VLOOKUP(A1777,'[1]ST-QA-ZZ5'!$C$5:$M$299,11,0),"Inspection at production line")</f>
        <v>Inspection at production line</v>
      </c>
    </row>
    <row r="1778" spans="1:4" ht="13.8">
      <c r="A1778" s="47" t="s">
        <v>1953</v>
      </c>
      <c r="B1778" s="92" t="s">
        <v>1954</v>
      </c>
      <c r="C1778" s="92" t="s">
        <v>1955</v>
      </c>
      <c r="D1778" s="72" t="str">
        <f>IFERROR(VLOOKUP(A1778,'[1]ST-QA-ZZ5'!$C$5:$M$299,11,0),"Inspection at production line")</f>
        <v>Inspection at production line</v>
      </c>
    </row>
    <row r="1779" spans="1:4" ht="13.8">
      <c r="A1779" s="47" t="s">
        <v>1958</v>
      </c>
      <c r="B1779" s="92" t="s">
        <v>1959</v>
      </c>
      <c r="C1779" s="92" t="s">
        <v>1959</v>
      </c>
      <c r="D1779" s="72" t="str">
        <f>IFERROR(VLOOKUP(A1779,'[1]ST-QA-ZZ5'!$C$5:$M$299,11,0),"Inspection at production line")</f>
        <v>Inspection at production line</v>
      </c>
    </row>
    <row r="1780" spans="1:4" ht="13.8">
      <c r="A1780" s="47" t="s">
        <v>1963</v>
      </c>
      <c r="B1780" s="92" t="s">
        <v>1964</v>
      </c>
      <c r="C1780" s="92" t="s">
        <v>5818</v>
      </c>
      <c r="D1780" s="72" t="str">
        <f>IFERROR(VLOOKUP(A1780,'[1]ST-QA-ZZ5'!$C$5:$M$299,11,0),"Inspection at production line")</f>
        <v>Inspection at production line</v>
      </c>
    </row>
    <row r="1781" spans="1:4" ht="13.8">
      <c r="A1781" s="47" t="s">
        <v>1967</v>
      </c>
      <c r="B1781" s="92" t="s">
        <v>1968</v>
      </c>
      <c r="C1781" s="92" t="s">
        <v>1969</v>
      </c>
      <c r="D1781" s="72" t="str">
        <f>IFERROR(VLOOKUP(A1781,'[1]ST-QA-ZZ5'!$C$5:$M$299,11,0),"Inspection at production line")</f>
        <v>Inspection at production line</v>
      </c>
    </row>
    <row r="1782" spans="1:4" ht="13.8">
      <c r="A1782" s="47" t="s">
        <v>715</v>
      </c>
      <c r="B1782" s="92" t="s">
        <v>317</v>
      </c>
      <c r="C1782" s="92" t="s">
        <v>317</v>
      </c>
      <c r="D1782" s="72" t="str">
        <f>IFERROR(VLOOKUP(A1782,'[1]ST-QA-ZZ5'!$C$5:$M$299,11,0),"Inspection at production line")</f>
        <v>Inspection at production line</v>
      </c>
    </row>
    <row r="1783" spans="1:4" ht="13.8">
      <c r="A1783" s="47" t="s">
        <v>1974</v>
      </c>
      <c r="B1783" s="92" t="s">
        <v>1975</v>
      </c>
      <c r="C1783" s="92" t="s">
        <v>1976</v>
      </c>
      <c r="D1783" s="72" t="str">
        <f>IFERROR(VLOOKUP(A1783,'[1]ST-QA-ZZ5'!$C$5:$M$299,11,0),"Inspection at production line")</f>
        <v>Inspection at production line</v>
      </c>
    </row>
    <row r="1784" spans="1:4" ht="13.8">
      <c r="A1784" s="47" t="s">
        <v>1979</v>
      </c>
      <c r="B1784" s="92" t="s">
        <v>1980</v>
      </c>
      <c r="C1784" s="92" t="s">
        <v>1981</v>
      </c>
      <c r="D1784" s="72" t="str">
        <f>IFERROR(VLOOKUP(A1784,'[1]ST-QA-ZZ5'!$C$5:$M$299,11,0),"Inspection at production line")</f>
        <v>Inspection at production line</v>
      </c>
    </row>
    <row r="1785" spans="1:4" ht="13.8">
      <c r="A1785" s="47" t="s">
        <v>1984</v>
      </c>
      <c r="B1785" s="92" t="s">
        <v>1985</v>
      </c>
      <c r="C1785" s="92" t="s">
        <v>1986</v>
      </c>
      <c r="D1785" s="72" t="str">
        <f>IFERROR(VLOOKUP(A1785,'[1]ST-QA-ZZ5'!$C$5:$M$299,11,0),"Inspection at production line")</f>
        <v>Inspection at production line</v>
      </c>
    </row>
    <row r="1786" spans="1:4" ht="13.8">
      <c r="A1786" s="47" t="s">
        <v>5819</v>
      </c>
      <c r="B1786" s="92" t="s">
        <v>5820</v>
      </c>
      <c r="C1786" s="92" t="s">
        <v>5820</v>
      </c>
      <c r="D1786" s="72" t="str">
        <f>IFERROR(VLOOKUP(A1786,'[1]ST-QA-ZZ5'!$C$5:$M$299,11,0),"Inspection at production line")</f>
        <v>Inspection at production line</v>
      </c>
    </row>
    <row r="1787" spans="1:4" ht="13.8">
      <c r="A1787" s="47" t="s">
        <v>1989</v>
      </c>
      <c r="B1787" s="92" t="s">
        <v>818</v>
      </c>
      <c r="C1787" s="92" t="s">
        <v>1990</v>
      </c>
      <c r="D1787" s="72" t="str">
        <f>IFERROR(VLOOKUP(A1787,'[1]ST-QA-ZZ5'!$C$5:$M$299,11,0),"Inspection at production line")</f>
        <v>Inspection at production line</v>
      </c>
    </row>
    <row r="1788" spans="1:4" ht="13.8">
      <c r="A1788" s="47" t="s">
        <v>5821</v>
      </c>
      <c r="B1788" s="92" t="s">
        <v>5822</v>
      </c>
      <c r="C1788" s="92" t="s">
        <v>5822</v>
      </c>
      <c r="D1788" s="72" t="str">
        <f>IFERROR(VLOOKUP(A1788,'[1]ST-QA-ZZ5'!$C$5:$M$299,11,0),"Inspection at production line")</f>
        <v>Inspection at production line</v>
      </c>
    </row>
    <row r="1789" spans="1:4" ht="13.8">
      <c r="A1789" s="47" t="s">
        <v>1993</v>
      </c>
      <c r="B1789" s="92" t="s">
        <v>1994</v>
      </c>
      <c r="C1789" s="92" t="s">
        <v>1995</v>
      </c>
      <c r="D1789" s="72" t="str">
        <f>IFERROR(VLOOKUP(A1789,'[1]ST-QA-ZZ5'!$C$5:$M$299,11,0),"Inspection at production line")</f>
        <v>Inspection at production line</v>
      </c>
    </row>
    <row r="1790" spans="1:4" ht="13.8">
      <c r="A1790" s="47" t="s">
        <v>5823</v>
      </c>
      <c r="B1790" s="92" t="s">
        <v>5824</v>
      </c>
      <c r="C1790" s="92" t="s">
        <v>5824</v>
      </c>
      <c r="D1790" s="72" t="str">
        <f>IFERROR(VLOOKUP(A1790,'[1]ST-QA-ZZ5'!$C$5:$M$299,11,0),"Inspection at production line")</f>
        <v>Appearance check 100%</v>
      </c>
    </row>
    <row r="1791" spans="1:4" ht="13.8">
      <c r="A1791" s="47" t="s">
        <v>1998</v>
      </c>
      <c r="B1791" s="92" t="s">
        <v>174</v>
      </c>
      <c r="C1791" s="92" t="s">
        <v>1999</v>
      </c>
      <c r="D1791" s="72" t="str">
        <f>IFERROR(VLOOKUP(A1791,'[1]ST-QA-ZZ5'!$C$5:$M$299,11,0),"Inspection at production line")</f>
        <v>Inspection at production line</v>
      </c>
    </row>
    <row r="1792" spans="1:4" ht="13.8">
      <c r="A1792" s="47" t="s">
        <v>2001</v>
      </c>
      <c r="B1792" s="92" t="s">
        <v>174</v>
      </c>
      <c r="C1792" s="92" t="s">
        <v>517</v>
      </c>
      <c r="D1792" s="72" t="str">
        <f>IFERROR(VLOOKUP(A1792,'[1]ST-QA-ZZ5'!$C$5:$M$299,11,0),"Inspection at production line")</f>
        <v>Inspection at production line</v>
      </c>
    </row>
    <row r="1793" spans="1:4" ht="13.8">
      <c r="A1793" s="47" t="s">
        <v>2004</v>
      </c>
      <c r="B1793" s="92" t="s">
        <v>174</v>
      </c>
      <c r="C1793" s="92" t="s">
        <v>2005</v>
      </c>
      <c r="D1793" s="72" t="str">
        <f>IFERROR(VLOOKUP(A1793,'[1]ST-QA-ZZ5'!$C$5:$M$299,11,0),"Inspection at production line")</f>
        <v>Inspection at production line</v>
      </c>
    </row>
    <row r="1794" spans="1:4" ht="13.8">
      <c r="A1794" s="47" t="s">
        <v>2008</v>
      </c>
      <c r="B1794" s="92" t="s">
        <v>174</v>
      </c>
      <c r="C1794" s="92" t="s">
        <v>498</v>
      </c>
      <c r="D1794" s="72" t="str">
        <f>IFERROR(VLOOKUP(A1794,'[1]ST-QA-ZZ5'!$C$5:$M$299,11,0),"Inspection at production line")</f>
        <v>Inspection at production line</v>
      </c>
    </row>
    <row r="1795" spans="1:4" ht="13.8">
      <c r="A1795" s="47" t="s">
        <v>2011</v>
      </c>
      <c r="B1795" s="92" t="s">
        <v>174</v>
      </c>
      <c r="C1795" s="92" t="s">
        <v>2012</v>
      </c>
      <c r="D1795" s="72" t="str">
        <f>IFERROR(VLOOKUP(A1795,'[1]ST-QA-ZZ5'!$C$5:$M$299,11,0),"Inspection at production line")</f>
        <v>Inspection at production line</v>
      </c>
    </row>
    <row r="1796" spans="1:4" ht="13.8">
      <c r="A1796" s="47" t="s">
        <v>2015</v>
      </c>
      <c r="B1796" s="92" t="s">
        <v>174</v>
      </c>
      <c r="C1796" s="92" t="s">
        <v>2016</v>
      </c>
      <c r="D1796" s="72" t="str">
        <f>IFERROR(VLOOKUP(A1796,'[1]ST-QA-ZZ5'!$C$5:$M$299,11,0),"Inspection at production line")</f>
        <v>Inspection at production line</v>
      </c>
    </row>
    <row r="1797" spans="1:4" ht="13.8">
      <c r="A1797" s="47" t="s">
        <v>2019</v>
      </c>
      <c r="B1797" s="92" t="s">
        <v>453</v>
      </c>
      <c r="C1797" s="92" t="s">
        <v>5825</v>
      </c>
      <c r="D1797" s="72" t="str">
        <f>IFERROR(VLOOKUP(A1797,'[1]ST-QA-ZZ5'!$C$5:$M$299,11,0),"Inspection at production line")</f>
        <v>Inspection at production line</v>
      </c>
    </row>
    <row r="1798" spans="1:4" ht="13.8">
      <c r="A1798" s="47" t="s">
        <v>2023</v>
      </c>
      <c r="B1798" s="92" t="s">
        <v>2024</v>
      </c>
      <c r="C1798" s="92" t="s">
        <v>2025</v>
      </c>
      <c r="D1798" s="72" t="str">
        <f>IFERROR(VLOOKUP(A1798,'[1]ST-QA-ZZ5'!$C$5:$M$299,11,0),"Inspection at production line")</f>
        <v>Inspection at production line</v>
      </c>
    </row>
    <row r="1799" spans="1:4" ht="13.8">
      <c r="A1799" s="47" t="s">
        <v>2028</v>
      </c>
      <c r="B1799" s="92" t="s">
        <v>2024</v>
      </c>
      <c r="C1799" s="92" t="s">
        <v>2029</v>
      </c>
      <c r="D1799" s="72" t="str">
        <f>IFERROR(VLOOKUP(A1799,'[1]ST-QA-ZZ5'!$C$5:$M$299,11,0),"Inspection at production line")</f>
        <v>Inspection at production line</v>
      </c>
    </row>
    <row r="1800" spans="1:4" ht="13.8">
      <c r="A1800" s="47" t="s">
        <v>2032</v>
      </c>
      <c r="B1800" s="92" t="s">
        <v>2024</v>
      </c>
      <c r="C1800" s="92" t="s">
        <v>2033</v>
      </c>
      <c r="D1800" s="72" t="str">
        <f>IFERROR(VLOOKUP(A1800,'[1]ST-QA-ZZ5'!$C$5:$M$299,11,0),"Inspection at production line")</f>
        <v>Inspection at production line</v>
      </c>
    </row>
    <row r="1801" spans="1:4" ht="13.8">
      <c r="A1801" s="47" t="s">
        <v>2036</v>
      </c>
      <c r="B1801" s="92" t="s">
        <v>90</v>
      </c>
      <c r="C1801" s="92" t="s">
        <v>2037</v>
      </c>
      <c r="D1801" s="72" t="str">
        <f>IFERROR(VLOOKUP(A1801,'[1]ST-QA-ZZ5'!$C$5:$M$299,11,0),"Inspection at production line")</f>
        <v>Inspection at production line</v>
      </c>
    </row>
    <row r="1802" spans="1:4" ht="13.8">
      <c r="A1802" s="47" t="s">
        <v>5826</v>
      </c>
      <c r="B1802" s="92" t="s">
        <v>5827</v>
      </c>
      <c r="C1802" s="92" t="s">
        <v>5827</v>
      </c>
      <c r="D1802" s="72" t="str">
        <f>IFERROR(VLOOKUP(A1802,'[1]ST-QA-ZZ5'!$C$5:$M$299,11,0),"Inspection at production line")</f>
        <v>Inspection at production line</v>
      </c>
    </row>
    <row r="1803" spans="1:4" ht="13.8">
      <c r="A1803" s="47" t="s">
        <v>2040</v>
      </c>
      <c r="B1803" s="92" t="s">
        <v>2041</v>
      </c>
      <c r="C1803" s="92" t="s">
        <v>2042</v>
      </c>
      <c r="D1803" s="72" t="str">
        <f>IFERROR(VLOOKUP(A1803,'[1]ST-QA-ZZ5'!$C$5:$M$299,11,0),"Inspection at production line")</f>
        <v>Inspection at production line</v>
      </c>
    </row>
    <row r="1804" spans="1:4" ht="13.8">
      <c r="A1804" s="47" t="s">
        <v>2045</v>
      </c>
      <c r="B1804" s="92" t="s">
        <v>2041</v>
      </c>
      <c r="C1804" s="92" t="s">
        <v>2046</v>
      </c>
      <c r="D1804" s="72" t="str">
        <f>IFERROR(VLOOKUP(A1804,'[1]ST-QA-ZZ5'!$C$5:$M$299,11,0),"Inspection at production line")</f>
        <v>Inspection at production line</v>
      </c>
    </row>
    <row r="1805" spans="1:4" ht="13.8">
      <c r="A1805" s="47" t="s">
        <v>2048</v>
      </c>
      <c r="B1805" s="92" t="s">
        <v>2049</v>
      </c>
      <c r="C1805" s="92" t="s">
        <v>5828</v>
      </c>
      <c r="D1805" s="72" t="str">
        <f>IFERROR(VLOOKUP(A1805,'[1]ST-QA-ZZ5'!$C$5:$M$299,11,0),"Inspection at production line")</f>
        <v>Inspection at production line</v>
      </c>
    </row>
    <row r="1806" spans="1:4" ht="13.8">
      <c r="A1806" s="47" t="s">
        <v>2054</v>
      </c>
      <c r="B1806" s="92" t="s">
        <v>2049</v>
      </c>
      <c r="C1806" s="92" t="s">
        <v>5829</v>
      </c>
      <c r="D1806" s="72" t="str">
        <f>IFERROR(VLOOKUP(A1806,'[1]ST-QA-ZZ5'!$C$5:$M$299,11,0),"Inspection at production line")</f>
        <v>Inspection at production line</v>
      </c>
    </row>
    <row r="1807" spans="1:4" ht="13.8">
      <c r="A1807" s="47" t="s">
        <v>2059</v>
      </c>
      <c r="B1807" s="92" t="s">
        <v>2049</v>
      </c>
      <c r="C1807" s="92" t="s">
        <v>5830</v>
      </c>
      <c r="D1807" s="72" t="str">
        <f>IFERROR(VLOOKUP(A1807,'[1]ST-QA-ZZ5'!$C$5:$M$299,11,0),"Inspection at production line")</f>
        <v>Inspection at production line</v>
      </c>
    </row>
    <row r="1808" spans="1:4" ht="13.8">
      <c r="A1808" s="47" t="s">
        <v>2063</v>
      </c>
      <c r="B1808" s="92" t="s">
        <v>2049</v>
      </c>
      <c r="C1808" s="92" t="s">
        <v>5831</v>
      </c>
      <c r="D1808" s="72" t="str">
        <f>IFERROR(VLOOKUP(A1808,'[1]ST-QA-ZZ5'!$C$5:$M$299,11,0),"Inspection at production line")</f>
        <v>Inspection at production line</v>
      </c>
    </row>
    <row r="1809" spans="1:4" ht="13.8">
      <c r="A1809" s="47" t="s">
        <v>2068</v>
      </c>
      <c r="B1809" s="92" t="s">
        <v>2069</v>
      </c>
      <c r="C1809" s="92" t="s">
        <v>453</v>
      </c>
      <c r="D1809" s="72" t="str">
        <f>IFERROR(VLOOKUP(A1809,'[1]ST-QA-ZZ5'!$C$5:$M$299,11,0),"Inspection at production line")</f>
        <v>Inspection at production line</v>
      </c>
    </row>
    <row r="1810" spans="1:4" ht="13.8">
      <c r="A1810" s="47" t="s">
        <v>2073</v>
      </c>
      <c r="B1810" s="92" t="s">
        <v>2074</v>
      </c>
      <c r="C1810" s="92" t="s">
        <v>2075</v>
      </c>
      <c r="D1810" s="72" t="str">
        <f>IFERROR(VLOOKUP(A1810,'[1]ST-QA-ZZ5'!$C$5:$M$299,11,0),"Inspection at production line")</f>
        <v>Inspection at production line</v>
      </c>
    </row>
    <row r="1811" spans="1:4" ht="13.8">
      <c r="A1811" s="47" t="s">
        <v>5832</v>
      </c>
      <c r="B1811" s="92" t="s">
        <v>75</v>
      </c>
      <c r="C1811" s="92" t="s">
        <v>5833</v>
      </c>
      <c r="D1811" s="72" t="str">
        <f>IFERROR(VLOOKUP(A1811,'[1]ST-QA-ZZ5'!$C$5:$M$299,11,0),"Inspection at production line")</f>
        <v>Inspection at production line</v>
      </c>
    </row>
    <row r="1812" spans="1:4" ht="13.8">
      <c r="A1812" s="47" t="s">
        <v>5834</v>
      </c>
      <c r="B1812" s="92" t="s">
        <v>1554</v>
      </c>
      <c r="C1812" s="92" t="s">
        <v>5835</v>
      </c>
      <c r="D1812" s="72" t="str">
        <f>IFERROR(VLOOKUP(A1812,'[1]ST-QA-ZZ5'!$C$5:$M$299,11,0),"Inspection at production line")</f>
        <v>Inspection at production line</v>
      </c>
    </row>
    <row r="1813" spans="1:4" ht="13.8">
      <c r="A1813" s="47" t="s">
        <v>5836</v>
      </c>
      <c r="B1813" s="92" t="s">
        <v>75</v>
      </c>
      <c r="C1813" s="92" t="s">
        <v>5837</v>
      </c>
      <c r="D1813" s="72" t="str">
        <f>IFERROR(VLOOKUP(A1813,'[1]ST-QA-ZZ5'!$C$5:$M$299,11,0),"Inspection at production line")</f>
        <v>Inspection at production line</v>
      </c>
    </row>
    <row r="1814" spans="1:4" ht="13.8">
      <c r="A1814" s="47" t="s">
        <v>5838</v>
      </c>
      <c r="B1814" s="92" t="s">
        <v>1959</v>
      </c>
      <c r="C1814" s="92" t="s">
        <v>5839</v>
      </c>
      <c r="D1814" s="72" t="str">
        <f>IFERROR(VLOOKUP(A1814,'[1]ST-QA-ZZ5'!$C$5:$M$299,11,0),"Inspection at production line")</f>
        <v>Inspection at production line</v>
      </c>
    </row>
    <row r="1815" spans="1:4" ht="13.8">
      <c r="A1815" s="47" t="s">
        <v>5169</v>
      </c>
      <c r="B1815" s="92" t="s">
        <v>1775</v>
      </c>
      <c r="C1815" s="92" t="s">
        <v>5170</v>
      </c>
      <c r="D1815" s="72" t="str">
        <f>IFERROR(VLOOKUP(A1815,'[1]ST-QA-ZZ5'!$C$5:$M$299,11,0),"Inspection at production line")</f>
        <v>Inspection at production line</v>
      </c>
    </row>
    <row r="1816" spans="1:4" ht="13.8">
      <c r="A1816" s="47" t="s">
        <v>5840</v>
      </c>
      <c r="B1816" s="92" t="s">
        <v>119</v>
      </c>
      <c r="C1816" s="92" t="s">
        <v>5841</v>
      </c>
      <c r="D1816" s="72" t="str">
        <f>IFERROR(VLOOKUP(A1816,'[1]ST-QA-ZZ5'!$C$5:$M$299,11,0),"Inspection at production line")</f>
        <v>Inspection at production line</v>
      </c>
    </row>
    <row r="1817" spans="1:4" ht="13.8">
      <c r="A1817" s="47" t="s">
        <v>5842</v>
      </c>
      <c r="B1817" s="92" t="s">
        <v>119</v>
      </c>
      <c r="C1817" s="94" t="s">
        <v>311</v>
      </c>
      <c r="D1817" s="72" t="str">
        <f>IFERROR(VLOOKUP(A1817,'[1]ST-QA-ZZ5'!$C$5:$M$299,11,0),"Inspection at production line")</f>
        <v>Inspection at production line</v>
      </c>
    </row>
    <row r="1818" spans="1:4" ht="13.8">
      <c r="A1818" s="47" t="s">
        <v>5843</v>
      </c>
      <c r="B1818" s="92" t="s">
        <v>2566</v>
      </c>
      <c r="C1818" s="92" t="s">
        <v>5844</v>
      </c>
      <c r="D1818" s="72" t="str">
        <f>IFERROR(VLOOKUP(A1818,'[1]ST-QA-ZZ5'!$C$5:$M$299,11,0),"Inspection at production line")</f>
        <v>Inspection at production line</v>
      </c>
    </row>
    <row r="1819" spans="1:4" ht="13.8">
      <c r="A1819" s="47" t="s">
        <v>5845</v>
      </c>
      <c r="B1819" s="92" t="s">
        <v>1781</v>
      </c>
      <c r="C1819" s="92" t="s">
        <v>5846</v>
      </c>
      <c r="D1819" s="72" t="str">
        <f>IFERROR(VLOOKUP(A1819,'[1]ST-QA-ZZ5'!$C$5:$M$299,11,0),"Inspection at production line")</f>
        <v>Inspection at production line</v>
      </c>
    </row>
    <row r="1820" spans="1:4" ht="13.8">
      <c r="A1820" s="47" t="s">
        <v>5847</v>
      </c>
      <c r="B1820" s="92" t="s">
        <v>797</v>
      </c>
      <c r="C1820" s="92" t="s">
        <v>5848</v>
      </c>
      <c r="D1820" s="72" t="str">
        <f>IFERROR(VLOOKUP(A1820,'[1]ST-QA-ZZ5'!$C$5:$M$299,11,0),"Inspection at production line")</f>
        <v>Inspection at production line</v>
      </c>
    </row>
    <row r="1821" spans="1:4" ht="13.8">
      <c r="A1821" s="47" t="s">
        <v>5849</v>
      </c>
      <c r="B1821" s="92" t="s">
        <v>5850</v>
      </c>
      <c r="C1821" s="92" t="s">
        <v>5851</v>
      </c>
      <c r="D1821" s="72" t="str">
        <f>IFERROR(VLOOKUP(A1821,'[1]ST-QA-ZZ5'!$C$5:$M$299,11,0),"Inspection at production line")</f>
        <v>Inspection at production line</v>
      </c>
    </row>
    <row r="1822" spans="1:4" ht="13.8">
      <c r="A1822" s="47" t="s">
        <v>5852</v>
      </c>
      <c r="B1822" s="92" t="s">
        <v>5853</v>
      </c>
      <c r="C1822" s="92" t="s">
        <v>5854</v>
      </c>
      <c r="D1822" s="72" t="str">
        <f>IFERROR(VLOOKUP(A1822,'[1]ST-QA-ZZ5'!$C$5:$M$299,11,0),"Inspection at production line")</f>
        <v>Inspection at production line</v>
      </c>
    </row>
    <row r="1823" spans="1:4" ht="13.8">
      <c r="A1823" s="47" t="s">
        <v>5855</v>
      </c>
      <c r="B1823" s="92" t="s">
        <v>2024</v>
      </c>
      <c r="C1823" s="92" t="s">
        <v>5856</v>
      </c>
      <c r="D1823" s="72" t="str">
        <f>IFERROR(VLOOKUP(A1823,'[1]ST-QA-ZZ5'!$C$5:$M$299,11,0),"Inspection at production line")</f>
        <v>Inspection at production line</v>
      </c>
    </row>
    <row r="1824" spans="1:4" ht="13.8">
      <c r="A1824" s="47" t="s">
        <v>5857</v>
      </c>
      <c r="B1824" s="92" t="s">
        <v>2024</v>
      </c>
      <c r="C1824" s="92" t="s">
        <v>5858</v>
      </c>
      <c r="D1824" s="72" t="str">
        <f>IFERROR(VLOOKUP(A1824,'[1]ST-QA-ZZ5'!$C$5:$M$299,11,0),"Inspection at production line")</f>
        <v>Inspection at production line</v>
      </c>
    </row>
    <row r="1825" spans="1:4" ht="13.8">
      <c r="A1825" s="47" t="s">
        <v>5859</v>
      </c>
      <c r="B1825" s="92" t="s">
        <v>2024</v>
      </c>
      <c r="C1825" s="92" t="s">
        <v>5860</v>
      </c>
      <c r="D1825" s="72" t="str">
        <f>IFERROR(VLOOKUP(A1825,'[1]ST-QA-ZZ5'!$C$5:$M$299,11,0),"Inspection at production line")</f>
        <v>Inspection at production line</v>
      </c>
    </row>
    <row r="1826" spans="1:4" ht="13.8">
      <c r="A1826" s="47" t="s">
        <v>5861</v>
      </c>
      <c r="B1826" s="92" t="s">
        <v>2205</v>
      </c>
      <c r="C1826" s="92" t="s">
        <v>5862</v>
      </c>
      <c r="D1826" s="72" t="str">
        <f>IFERROR(VLOOKUP(A1826,'[1]ST-QA-ZZ5'!$C$5:$M$299,11,0),"Inspection at production line")</f>
        <v>Inspection at production line</v>
      </c>
    </row>
    <row r="1827" spans="1:4" ht="13.8">
      <c r="A1827" s="47" t="s">
        <v>5863</v>
      </c>
      <c r="B1827" s="92" t="s">
        <v>5864</v>
      </c>
      <c r="C1827" s="92" t="s">
        <v>5864</v>
      </c>
      <c r="D1827" s="72" t="str">
        <f>IFERROR(VLOOKUP(A1827,'[1]ST-QA-ZZ5'!$C$5:$M$299,11,0),"Inspection at production line")</f>
        <v>Inspection at production line</v>
      </c>
    </row>
    <row r="1828" spans="1:4" ht="13.8">
      <c r="A1828" s="47" t="s">
        <v>4989</v>
      </c>
      <c r="B1828" s="92" t="s">
        <v>1943</v>
      </c>
      <c r="C1828" s="92" t="s">
        <v>305</v>
      </c>
      <c r="D1828" s="72" t="str">
        <f>IFERROR(VLOOKUP(A1828,'[1]ST-QA-ZZ5'!$C$5:$M$299,11,0),"Inspection at production line")</f>
        <v>Inspection at production line</v>
      </c>
    </row>
    <row r="1829" spans="1:4" ht="13.8">
      <c r="A1829" s="47" t="s">
        <v>5865</v>
      </c>
      <c r="B1829" s="92" t="s">
        <v>857</v>
      </c>
      <c r="C1829" s="92" t="s">
        <v>5866</v>
      </c>
      <c r="D1829" s="72" t="str">
        <f>IFERROR(VLOOKUP(A1829,'[1]ST-QA-ZZ5'!$C$5:$M$299,11,0),"Inspection at production line")</f>
        <v>Inspection at production line</v>
      </c>
    </row>
    <row r="1830" spans="1:4" ht="13.8">
      <c r="A1830" s="47" t="s">
        <v>5867</v>
      </c>
      <c r="B1830" s="92" t="s">
        <v>5868</v>
      </c>
      <c r="C1830" s="92" t="s">
        <v>5868</v>
      </c>
      <c r="D1830" s="72" t="str">
        <f>IFERROR(VLOOKUP(A1830,'[1]ST-QA-ZZ5'!$C$5:$M$299,11,0),"Inspection at production line")</f>
        <v>Sampling check</v>
      </c>
    </row>
    <row r="1831" spans="1:4" ht="13.8">
      <c r="A1831" s="47" t="s">
        <v>5869</v>
      </c>
      <c r="B1831" s="92" t="s">
        <v>5870</v>
      </c>
      <c r="C1831" s="92" t="s">
        <v>5870</v>
      </c>
      <c r="D1831" s="72" t="str">
        <f>IFERROR(VLOOKUP(A1831,'[1]ST-QA-ZZ5'!$C$5:$M$299,11,0),"Inspection at production line")</f>
        <v>Sampling check</v>
      </c>
    </row>
    <row r="1832" spans="1:4" ht="13.8">
      <c r="A1832" s="47" t="s">
        <v>5871</v>
      </c>
      <c r="B1832" s="92" t="s">
        <v>5872</v>
      </c>
      <c r="C1832" s="92" t="s">
        <v>5872</v>
      </c>
      <c r="D1832" s="72" t="str">
        <f>IFERROR(VLOOKUP(A1832,'[1]ST-QA-ZZ5'!$C$5:$M$299,11,0),"Inspection at production line")</f>
        <v>Sampling check</v>
      </c>
    </row>
    <row r="1833" spans="1:4" ht="13.8">
      <c r="A1833" s="47" t="s">
        <v>5873</v>
      </c>
      <c r="B1833" s="92" t="s">
        <v>2024</v>
      </c>
      <c r="C1833" s="92" t="s">
        <v>5874</v>
      </c>
      <c r="D1833" s="72" t="str">
        <f>IFERROR(VLOOKUP(A1833,'[1]ST-QA-ZZ5'!$C$5:$M$299,11,0),"Inspection at production line")</f>
        <v>Inspection at production line</v>
      </c>
    </row>
    <row r="1834" spans="1:4" ht="13.8">
      <c r="A1834" s="47" t="s">
        <v>5875</v>
      </c>
      <c r="B1834" s="92" t="s">
        <v>2024</v>
      </c>
      <c r="C1834" s="92" t="s">
        <v>5876</v>
      </c>
      <c r="D1834" s="72" t="str">
        <f>IFERROR(VLOOKUP(A1834,'[1]ST-QA-ZZ5'!$C$5:$M$299,11,0),"Inspection at production line")</f>
        <v>Inspection at production line</v>
      </c>
    </row>
    <row r="1835" spans="1:4" ht="13.8">
      <c r="A1835" s="47" t="s">
        <v>5877</v>
      </c>
      <c r="B1835" s="92" t="s">
        <v>174</v>
      </c>
      <c r="C1835" s="92" t="s">
        <v>5878</v>
      </c>
      <c r="D1835" s="72" t="str">
        <f>IFERROR(VLOOKUP(A1835,'[1]ST-QA-ZZ5'!$C$5:$M$299,11,0),"Inspection at production line")</f>
        <v>Inspection at production line</v>
      </c>
    </row>
    <row r="1836" spans="1:4" ht="13.8">
      <c r="A1836" s="47" t="s">
        <v>5879</v>
      </c>
      <c r="B1836" s="92" t="s">
        <v>174</v>
      </c>
      <c r="C1836" s="92" t="s">
        <v>5880</v>
      </c>
      <c r="D1836" s="72" t="str">
        <f>IFERROR(VLOOKUP(A1836,'[1]ST-QA-ZZ5'!$C$5:$M$299,11,0),"Inspection at production line")</f>
        <v>Inspection at production line</v>
      </c>
    </row>
    <row r="1837" spans="1:4" ht="13.8">
      <c r="A1837" s="47" t="s">
        <v>5881</v>
      </c>
      <c r="B1837" s="92" t="s">
        <v>174</v>
      </c>
      <c r="C1837" s="92" t="s">
        <v>5882</v>
      </c>
      <c r="D1837" s="72" t="str">
        <f>IFERROR(VLOOKUP(A1837,'[1]ST-QA-ZZ5'!$C$5:$M$299,11,0),"Inspection at production line")</f>
        <v>Inspection at production line</v>
      </c>
    </row>
    <row r="1838" spans="1:4" ht="13.8">
      <c r="A1838" s="47" t="s">
        <v>5883</v>
      </c>
      <c r="B1838" s="92" t="s">
        <v>174</v>
      </c>
      <c r="C1838" s="92" t="s">
        <v>5884</v>
      </c>
      <c r="D1838" s="72" t="str">
        <f>IFERROR(VLOOKUP(A1838,'[1]ST-QA-ZZ5'!$C$5:$M$299,11,0),"Inspection at production line")</f>
        <v>Inspection at production line</v>
      </c>
    </row>
    <row r="1839" spans="1:4" ht="13.8">
      <c r="A1839" s="47" t="s">
        <v>5885</v>
      </c>
      <c r="B1839" s="92" t="s">
        <v>174</v>
      </c>
      <c r="C1839" s="92" t="s">
        <v>5886</v>
      </c>
      <c r="D1839" s="72" t="str">
        <f>IFERROR(VLOOKUP(A1839,'[1]ST-QA-ZZ5'!$C$5:$M$299,11,0),"Inspection at production line")</f>
        <v>Inspection at production line</v>
      </c>
    </row>
    <row r="1840" spans="1:4" ht="13.8">
      <c r="A1840" s="47" t="s">
        <v>5887</v>
      </c>
      <c r="B1840" s="92" t="s">
        <v>174</v>
      </c>
      <c r="C1840" s="92" t="s">
        <v>5888</v>
      </c>
      <c r="D1840" s="72" t="str">
        <f>IFERROR(VLOOKUP(A1840,'[1]ST-QA-ZZ5'!$C$5:$M$299,11,0),"Inspection at production line")</f>
        <v>Inspection at production line</v>
      </c>
    </row>
    <row r="1841" spans="1:4" ht="13.8">
      <c r="A1841" s="47" t="s">
        <v>5889</v>
      </c>
      <c r="B1841" s="92" t="s">
        <v>5890</v>
      </c>
      <c r="C1841" s="92" t="s">
        <v>5891</v>
      </c>
      <c r="D1841" s="72" t="str">
        <f>IFERROR(VLOOKUP(A1841,'[1]ST-QA-ZZ5'!$C$5:$M$299,11,0),"Inspection at production line")</f>
        <v>Inspection at production line</v>
      </c>
    </row>
    <row r="1842" spans="1:4" ht="13.8">
      <c r="A1842" s="47" t="s">
        <v>439</v>
      </c>
      <c r="B1842" s="92" t="s">
        <v>440</v>
      </c>
      <c r="C1842" s="92" t="s">
        <v>464</v>
      </c>
      <c r="D1842" s="72" t="str">
        <f>IFERROR(VLOOKUP(A1842,'[1]ST-QA-ZZ5'!$C$5:$M$299,11,0),"Inspection at production line")</f>
        <v>Inspection at production line</v>
      </c>
    </row>
    <row r="1843" spans="1:4" ht="13.8">
      <c r="A1843" s="47" t="s">
        <v>5892</v>
      </c>
      <c r="B1843" s="92" t="s">
        <v>1959</v>
      </c>
      <c r="C1843" s="92" t="s">
        <v>5893</v>
      </c>
      <c r="D1843" s="72" t="str">
        <f>IFERROR(VLOOKUP(A1843,'[1]ST-QA-ZZ5'!$C$5:$M$299,11,0),"Inspection at production line")</f>
        <v>Inspection at production line</v>
      </c>
    </row>
    <row r="1844" spans="1:4" ht="13.8">
      <c r="A1844" s="47" t="s">
        <v>5894</v>
      </c>
      <c r="B1844" s="92" t="s">
        <v>1959</v>
      </c>
      <c r="C1844" s="92" t="s">
        <v>5895</v>
      </c>
      <c r="D1844" s="72" t="str">
        <f>IFERROR(VLOOKUP(A1844,'[1]ST-QA-ZZ5'!$C$5:$M$299,11,0),"Inspection at production line")</f>
        <v>Inspection at production line</v>
      </c>
    </row>
    <row r="1845" spans="1:4" ht="13.8">
      <c r="A1845" s="47" t="s">
        <v>5896</v>
      </c>
      <c r="B1845" s="92" t="s">
        <v>1959</v>
      </c>
      <c r="C1845" s="92" t="s">
        <v>5897</v>
      </c>
      <c r="D1845" s="72" t="str">
        <f>IFERROR(VLOOKUP(A1845,'[1]ST-QA-ZZ5'!$C$5:$M$299,11,0),"Inspection at production line")</f>
        <v>Inspection at production line</v>
      </c>
    </row>
    <row r="1846" spans="1:4" ht="13.8">
      <c r="A1846" s="47" t="s">
        <v>5898</v>
      </c>
      <c r="B1846" s="92" t="s">
        <v>1959</v>
      </c>
      <c r="C1846" s="92" t="s">
        <v>5899</v>
      </c>
      <c r="D1846" s="72" t="str">
        <f>IFERROR(VLOOKUP(A1846,'[1]ST-QA-ZZ5'!$C$5:$M$299,11,0),"Inspection at production line")</f>
        <v>Inspection at production line</v>
      </c>
    </row>
    <row r="1847" spans="1:4" ht="13.8">
      <c r="A1847" s="47" t="s">
        <v>5900</v>
      </c>
      <c r="B1847" s="92" t="s">
        <v>5901</v>
      </c>
      <c r="C1847" s="92" t="s">
        <v>5902</v>
      </c>
      <c r="D1847" s="72" t="str">
        <f>IFERROR(VLOOKUP(A1847,'[1]ST-QA-ZZ5'!$C$5:$M$299,11,0),"Inspection at production line")</f>
        <v>Inspection at production line</v>
      </c>
    </row>
    <row r="1848" spans="1:4" ht="13.8">
      <c r="A1848" s="47" t="s">
        <v>5903</v>
      </c>
      <c r="B1848" s="92" t="s">
        <v>5904</v>
      </c>
      <c r="C1848" s="92" t="s">
        <v>5905</v>
      </c>
      <c r="D1848" s="72" t="str">
        <f>IFERROR(VLOOKUP(A1848,'[1]ST-QA-ZZ5'!$C$5:$M$299,11,0),"Inspection at production line")</f>
        <v>Inspection at production line</v>
      </c>
    </row>
    <row r="1849" spans="1:4" ht="13.8">
      <c r="A1849" s="47" t="s">
        <v>5906</v>
      </c>
      <c r="B1849" s="92" t="s">
        <v>5907</v>
      </c>
      <c r="C1849" s="92" t="s">
        <v>5908</v>
      </c>
      <c r="D1849" s="72" t="str">
        <f>IFERROR(VLOOKUP(A1849,'[1]ST-QA-ZZ5'!$C$5:$M$299,11,0),"Inspection at production line")</f>
        <v>Inspection at production line</v>
      </c>
    </row>
    <row r="1850" spans="1:4" ht="13.8">
      <c r="A1850" s="47" t="s">
        <v>5909</v>
      </c>
      <c r="B1850" s="92" t="s">
        <v>5910</v>
      </c>
      <c r="C1850" s="92" t="s">
        <v>5911</v>
      </c>
      <c r="D1850" s="72" t="str">
        <f>IFERROR(VLOOKUP(A1850,'[1]ST-QA-ZZ5'!$C$5:$M$299,11,0),"Inspection at production line")</f>
        <v>Inspection at production line</v>
      </c>
    </row>
    <row r="1851" spans="1:4" ht="13.8">
      <c r="A1851" s="47" t="s">
        <v>5912</v>
      </c>
      <c r="B1851" s="92" t="s">
        <v>5913</v>
      </c>
      <c r="C1851" s="92" t="s">
        <v>5914</v>
      </c>
      <c r="D1851" s="72" t="str">
        <f>IFERROR(VLOOKUP(A1851,'[1]ST-QA-ZZ5'!$C$5:$M$299,11,0),"Inspection at production line")</f>
        <v>Inspection at production line</v>
      </c>
    </row>
    <row r="1852" spans="1:4" ht="13.8">
      <c r="A1852" s="47" t="s">
        <v>5915</v>
      </c>
      <c r="B1852" s="92" t="s">
        <v>5916</v>
      </c>
      <c r="C1852" s="92" t="s">
        <v>5916</v>
      </c>
      <c r="D1852" s="72" t="str">
        <f>IFERROR(VLOOKUP(A1852,'[1]ST-QA-ZZ5'!$C$5:$M$299,11,0),"Inspection at production line")</f>
        <v>Inspection at production line</v>
      </c>
    </row>
    <row r="1853" spans="1:4" ht="13.8">
      <c r="A1853" s="47" t="s">
        <v>5917</v>
      </c>
      <c r="B1853" s="92" t="s">
        <v>857</v>
      </c>
      <c r="C1853" s="92" t="s">
        <v>5918</v>
      </c>
      <c r="D1853" s="72" t="str">
        <f>IFERROR(VLOOKUP(A1853,'[1]ST-QA-ZZ5'!$C$5:$M$299,11,0),"Inspection at production line")</f>
        <v>Inspection at production line</v>
      </c>
    </row>
    <row r="1854" spans="1:4" ht="13.8">
      <c r="A1854" s="47" t="s">
        <v>5919</v>
      </c>
      <c r="B1854" s="92" t="s">
        <v>5920</v>
      </c>
      <c r="C1854" s="92" t="s">
        <v>5920</v>
      </c>
      <c r="D1854" s="72" t="str">
        <f>IFERROR(VLOOKUP(A1854,'[1]ST-QA-ZZ5'!$C$5:$M$299,11,0),"Inspection at production line")</f>
        <v>Inspection at production line</v>
      </c>
    </row>
    <row r="1855" spans="1:4" ht="13.8">
      <c r="A1855" s="47" t="s">
        <v>5921</v>
      </c>
      <c r="B1855" s="92" t="s">
        <v>857</v>
      </c>
      <c r="C1855" s="92" t="s">
        <v>5922</v>
      </c>
      <c r="D1855" s="72" t="str">
        <f>IFERROR(VLOOKUP(A1855,'[1]ST-QA-ZZ5'!$C$5:$M$299,11,0),"Inspection at production line")</f>
        <v>Inspection at production line</v>
      </c>
    </row>
    <row r="1856" spans="1:4" ht="13.8">
      <c r="A1856" s="47" t="s">
        <v>5923</v>
      </c>
      <c r="B1856" s="92" t="s">
        <v>857</v>
      </c>
      <c r="C1856" s="92" t="s">
        <v>5924</v>
      </c>
      <c r="D1856" s="72" t="str">
        <f>IFERROR(VLOOKUP(A1856,'[1]ST-QA-ZZ5'!$C$5:$M$299,11,0),"Inspection at production line")</f>
        <v>Inspection at production line</v>
      </c>
    </row>
    <row r="1857" spans="1:4" ht="13.8">
      <c r="A1857" s="47" t="s">
        <v>5925</v>
      </c>
      <c r="B1857" s="92" t="s">
        <v>857</v>
      </c>
      <c r="C1857" s="92" t="s">
        <v>5926</v>
      </c>
      <c r="D1857" s="72" t="str">
        <f>IFERROR(VLOOKUP(A1857,'[1]ST-QA-ZZ5'!$C$5:$M$299,11,0),"Inspection at production line")</f>
        <v>Inspection at production line</v>
      </c>
    </row>
    <row r="1858" spans="1:4" ht="13.8">
      <c r="A1858" s="47" t="s">
        <v>5927</v>
      </c>
      <c r="B1858" s="92" t="s">
        <v>857</v>
      </c>
      <c r="C1858" s="92" t="s">
        <v>5928</v>
      </c>
      <c r="D1858" s="72" t="str">
        <f>IFERROR(VLOOKUP(A1858,'[1]ST-QA-ZZ5'!$C$5:$M$299,11,0),"Inspection at production line")</f>
        <v>Inspection at production line</v>
      </c>
    </row>
    <row r="1859" spans="1:4" ht="13.8">
      <c r="A1859" s="47" t="s">
        <v>5929</v>
      </c>
      <c r="B1859" s="92" t="s">
        <v>857</v>
      </c>
      <c r="C1859" s="92" t="s">
        <v>5930</v>
      </c>
      <c r="D1859" s="72" t="str">
        <f>IFERROR(VLOOKUP(A1859,'[1]ST-QA-ZZ5'!$C$5:$M$299,11,0),"Inspection at production line")</f>
        <v>Inspection at production line</v>
      </c>
    </row>
    <row r="1860" spans="1:4" ht="13.8">
      <c r="A1860" s="47" t="s">
        <v>5931</v>
      </c>
      <c r="B1860" s="92" t="s">
        <v>857</v>
      </c>
      <c r="C1860" s="92" t="s">
        <v>5932</v>
      </c>
      <c r="D1860" s="72" t="str">
        <f>IFERROR(VLOOKUP(A1860,'[1]ST-QA-ZZ5'!$C$5:$M$299,11,0),"Inspection at production line")</f>
        <v>Inspection at production line</v>
      </c>
    </row>
    <row r="1861" spans="1:4" ht="13.8">
      <c r="A1861" s="47" t="s">
        <v>5933</v>
      </c>
      <c r="B1861" s="92" t="s">
        <v>857</v>
      </c>
      <c r="C1861" s="92" t="s">
        <v>5934</v>
      </c>
      <c r="D1861" s="72" t="str">
        <f>IFERROR(VLOOKUP(A1861,'[1]ST-QA-ZZ5'!$C$5:$M$299,11,0),"Inspection at production line")</f>
        <v>Inspection at production line</v>
      </c>
    </row>
    <row r="1862" spans="1:4" ht="13.8">
      <c r="A1862" s="47" t="s">
        <v>5935</v>
      </c>
      <c r="B1862" s="92" t="s">
        <v>857</v>
      </c>
      <c r="C1862" s="92" t="s">
        <v>5936</v>
      </c>
      <c r="D1862" s="72" t="str">
        <f>IFERROR(VLOOKUP(A1862,'[1]ST-QA-ZZ5'!$C$5:$M$299,11,0),"Inspection at production line")</f>
        <v>Inspection at production line</v>
      </c>
    </row>
    <row r="1863" spans="1:4" ht="13.8">
      <c r="A1863" s="47" t="s">
        <v>5937</v>
      </c>
      <c r="B1863" s="92" t="s">
        <v>857</v>
      </c>
      <c r="C1863" s="92" t="s">
        <v>5938</v>
      </c>
      <c r="D1863" s="72" t="str">
        <f>IFERROR(VLOOKUP(A1863,'[1]ST-QA-ZZ5'!$C$5:$M$299,11,0),"Inspection at production line")</f>
        <v>Inspection at production line</v>
      </c>
    </row>
    <row r="1864" spans="1:4" ht="13.8">
      <c r="A1864" s="47" t="s">
        <v>5939</v>
      </c>
      <c r="B1864" s="92" t="s">
        <v>857</v>
      </c>
      <c r="C1864" s="92" t="s">
        <v>5940</v>
      </c>
      <c r="D1864" s="72" t="str">
        <f>IFERROR(VLOOKUP(A1864,'[1]ST-QA-ZZ5'!$C$5:$M$299,11,0),"Inspection at production line")</f>
        <v>Inspection at production line</v>
      </c>
    </row>
    <row r="1865" spans="1:4" ht="13.8">
      <c r="A1865" s="47" t="s">
        <v>5941</v>
      </c>
      <c r="B1865" s="92" t="s">
        <v>857</v>
      </c>
      <c r="C1865" s="92" t="s">
        <v>5942</v>
      </c>
      <c r="D1865" s="72" t="str">
        <f>IFERROR(VLOOKUP(A1865,'[1]ST-QA-ZZ5'!$C$5:$M$299,11,0),"Inspection at production line")</f>
        <v>Inspection at production line</v>
      </c>
    </row>
    <row r="1866" spans="1:4" ht="13.8">
      <c r="A1866" s="47" t="s">
        <v>5943</v>
      </c>
      <c r="B1866" s="92" t="s">
        <v>857</v>
      </c>
      <c r="C1866" s="92" t="s">
        <v>5944</v>
      </c>
      <c r="D1866" s="72" t="str">
        <f>IFERROR(VLOOKUP(A1866,'[1]ST-QA-ZZ5'!$C$5:$M$299,11,0),"Inspection at production line")</f>
        <v>Inspection at production line</v>
      </c>
    </row>
    <row r="1867" spans="1:4" ht="13.8">
      <c r="A1867" s="47" t="s">
        <v>5945</v>
      </c>
      <c r="B1867" s="92" t="s">
        <v>857</v>
      </c>
      <c r="C1867" s="92" t="s">
        <v>5946</v>
      </c>
      <c r="D1867" s="72" t="str">
        <f>IFERROR(VLOOKUP(A1867,'[1]ST-QA-ZZ5'!$C$5:$M$299,11,0),"Inspection at production line")</f>
        <v>Inspection at production line</v>
      </c>
    </row>
    <row r="1868" spans="1:4" ht="13.8">
      <c r="A1868" s="47" t="s">
        <v>5947</v>
      </c>
      <c r="B1868" s="92" t="s">
        <v>857</v>
      </c>
      <c r="C1868" s="92" t="s">
        <v>5948</v>
      </c>
      <c r="D1868" s="72" t="str">
        <f>IFERROR(VLOOKUP(A1868,'[1]ST-QA-ZZ5'!$C$5:$M$299,11,0),"Inspection at production line")</f>
        <v>Inspection at production line</v>
      </c>
    </row>
    <row r="1869" spans="1:4" ht="13.8">
      <c r="A1869" s="47" t="s">
        <v>5949</v>
      </c>
      <c r="B1869" s="92" t="s">
        <v>5950</v>
      </c>
      <c r="C1869" s="92" t="s">
        <v>5951</v>
      </c>
      <c r="D1869" s="72" t="str">
        <f>IFERROR(VLOOKUP(A1869,'[1]ST-QA-ZZ5'!$C$5:$M$299,11,0),"Inspection at production line")</f>
        <v>Sampling check</v>
      </c>
    </row>
    <row r="1870" spans="1:4" ht="13.8">
      <c r="A1870" s="47" t="s">
        <v>5952</v>
      </c>
      <c r="B1870" s="92" t="s">
        <v>5953</v>
      </c>
      <c r="C1870" s="92" t="s">
        <v>5954</v>
      </c>
      <c r="D1870" s="72" t="str">
        <f>IFERROR(VLOOKUP(A1870,'[1]ST-QA-ZZ5'!$C$5:$M$299,11,0),"Inspection at production line")</f>
        <v>Inspection at production line</v>
      </c>
    </row>
    <row r="1871" spans="1:4" ht="13.8">
      <c r="A1871" s="47" t="s">
        <v>5955</v>
      </c>
      <c r="B1871" s="92" t="s">
        <v>2603</v>
      </c>
      <c r="C1871" s="92" t="s">
        <v>5956</v>
      </c>
      <c r="D1871" s="72" t="str">
        <f>IFERROR(VLOOKUP(A1871,'[1]ST-QA-ZZ5'!$C$5:$M$299,11,0),"Inspection at production line")</f>
        <v>Inspection at production line</v>
      </c>
    </row>
    <row r="1872" spans="1:4" ht="13.8">
      <c r="A1872" s="47" t="s">
        <v>5957</v>
      </c>
      <c r="B1872" s="92" t="s">
        <v>857</v>
      </c>
      <c r="C1872" s="92" t="s">
        <v>5958</v>
      </c>
      <c r="D1872" s="72" t="str">
        <f>IFERROR(VLOOKUP(A1872,'[1]ST-QA-ZZ5'!$C$5:$M$299,11,0),"Inspection at production line")</f>
        <v>Sampling check</v>
      </c>
    </row>
    <row r="1873" spans="1:4" ht="13.8">
      <c r="A1873" s="47" t="s">
        <v>5959</v>
      </c>
      <c r="B1873" s="92" t="s">
        <v>797</v>
      </c>
      <c r="C1873" s="92" t="s">
        <v>5960</v>
      </c>
      <c r="D1873" s="72" t="str">
        <f>IFERROR(VLOOKUP(A1873,'[1]ST-QA-ZZ5'!$C$5:$M$299,11,0),"Inspection at production line")</f>
        <v>Sampling check</v>
      </c>
    </row>
    <row r="1874" spans="1:4" ht="13.8">
      <c r="A1874" s="47" t="s">
        <v>5961</v>
      </c>
      <c r="B1874" s="92" t="s">
        <v>797</v>
      </c>
      <c r="C1874" s="92" t="s">
        <v>5962</v>
      </c>
      <c r="D1874" s="72" t="str">
        <f>IFERROR(VLOOKUP(A1874,'[1]ST-QA-ZZ5'!$C$5:$M$299,11,0),"Inspection at production line")</f>
        <v>Sampling check</v>
      </c>
    </row>
    <row r="1875" spans="1:4" ht="13.8">
      <c r="A1875" s="47" t="s">
        <v>5963</v>
      </c>
      <c r="B1875" s="92" t="s">
        <v>857</v>
      </c>
      <c r="C1875" s="92" t="s">
        <v>5964</v>
      </c>
      <c r="D1875" s="72" t="str">
        <f>IFERROR(VLOOKUP(A1875,'[1]ST-QA-ZZ5'!$C$5:$M$299,11,0),"Inspection at production line")</f>
        <v>Sampling check</v>
      </c>
    </row>
    <row r="1876" spans="1:4" ht="13.8">
      <c r="A1876" s="47" t="s">
        <v>5965</v>
      </c>
      <c r="B1876" s="92" t="s">
        <v>797</v>
      </c>
      <c r="C1876" s="92" t="s">
        <v>5966</v>
      </c>
      <c r="D1876" s="72" t="str">
        <f>IFERROR(VLOOKUP(A1876,'[1]ST-QA-ZZ5'!$C$5:$M$299,11,0),"Inspection at production line")</f>
        <v>Sampling check</v>
      </c>
    </row>
    <row r="1877" spans="1:4" ht="13.8">
      <c r="A1877" s="47" t="s">
        <v>5967</v>
      </c>
      <c r="B1877" s="92" t="s">
        <v>857</v>
      </c>
      <c r="C1877" s="92" t="s">
        <v>5968</v>
      </c>
      <c r="D1877" s="72" t="str">
        <f>IFERROR(VLOOKUP(A1877,'[1]ST-QA-ZZ5'!$C$5:$M$299,11,0),"Inspection at production line")</f>
        <v>Sampling check</v>
      </c>
    </row>
    <row r="1878" spans="1:4" ht="13.8">
      <c r="A1878" s="47" t="s">
        <v>5969</v>
      </c>
      <c r="B1878" s="92" t="s">
        <v>5970</v>
      </c>
      <c r="C1878" s="92" t="s">
        <v>5971</v>
      </c>
      <c r="D1878" s="72" t="str">
        <f>IFERROR(VLOOKUP(A1878,'[1]ST-QA-ZZ5'!$C$5:$M$299,11,0),"Inspection at production line")</f>
        <v>Sampling check</v>
      </c>
    </row>
    <row r="1879" spans="1:4" ht="13.8">
      <c r="A1879" s="47" t="s">
        <v>5972</v>
      </c>
      <c r="B1879" s="92" t="s">
        <v>5973</v>
      </c>
      <c r="C1879" s="92" t="s">
        <v>5974</v>
      </c>
      <c r="D1879" s="72" t="str">
        <f>IFERROR(VLOOKUP(A1879,'[1]ST-QA-ZZ5'!$C$5:$M$299,11,0),"Inspection at production line")</f>
        <v>Sampling check</v>
      </c>
    </row>
    <row r="1880" spans="1:4" ht="13.8">
      <c r="A1880" s="47" t="s">
        <v>5975</v>
      </c>
      <c r="B1880" s="92" t="s">
        <v>811</v>
      </c>
      <c r="C1880" s="92" t="s">
        <v>5976</v>
      </c>
      <c r="D1880" s="72" t="str">
        <f>IFERROR(VLOOKUP(A1880,'[1]ST-QA-ZZ5'!$C$5:$M$299,11,0),"Inspection at production line")</f>
        <v>Sampling check</v>
      </c>
    </row>
    <row r="1881" spans="1:4" ht="13.8">
      <c r="A1881" s="47" t="s">
        <v>5977</v>
      </c>
      <c r="B1881" s="92" t="s">
        <v>818</v>
      </c>
      <c r="C1881" s="92" t="s">
        <v>5978</v>
      </c>
      <c r="D1881" s="72" t="str">
        <f>IFERROR(VLOOKUP(A1881,'[1]ST-QA-ZZ5'!$C$5:$M$299,11,0),"Inspection at production line")</f>
        <v>Sampling check</v>
      </c>
    </row>
    <row r="1882" spans="1:4" ht="13.8">
      <c r="A1882" s="47" t="s">
        <v>5979</v>
      </c>
      <c r="B1882" s="92" t="s">
        <v>75</v>
      </c>
      <c r="C1882" s="92" t="s">
        <v>5980</v>
      </c>
      <c r="D1882" s="72" t="str">
        <f>IFERROR(VLOOKUP(A1882,'[1]ST-QA-ZZ5'!$C$5:$M$299,11,0),"Inspection at production line")</f>
        <v>Sampling check</v>
      </c>
    </row>
    <row r="1883" spans="1:4" ht="13.8">
      <c r="A1883" s="47" t="s">
        <v>5981</v>
      </c>
      <c r="B1883" s="92" t="s">
        <v>1554</v>
      </c>
      <c r="C1883" s="92" t="s">
        <v>5982</v>
      </c>
      <c r="D1883" s="72" t="str">
        <f>IFERROR(VLOOKUP(A1883,'[1]ST-QA-ZZ5'!$C$5:$M$299,11,0),"Inspection at production line")</f>
        <v>Sampling check</v>
      </c>
    </row>
    <row r="1884" spans="1:4" ht="13.8">
      <c r="A1884" s="47" t="s">
        <v>5983</v>
      </c>
      <c r="B1884" s="92" t="s">
        <v>5984</v>
      </c>
      <c r="C1884" s="92" t="s">
        <v>5984</v>
      </c>
      <c r="D1884" s="72" t="str">
        <f>IFERROR(VLOOKUP(A1884,'[1]ST-QA-ZZ5'!$C$5:$M$299,11,0),"Inspection at production line")</f>
        <v>Sampling check</v>
      </c>
    </row>
    <row r="1885" spans="1:4" ht="13.8">
      <c r="A1885" s="47" t="s">
        <v>5985</v>
      </c>
      <c r="B1885" s="92" t="s">
        <v>1523</v>
      </c>
      <c r="C1885" s="92" t="s">
        <v>5986</v>
      </c>
      <c r="D1885" s="72" t="str">
        <f>IFERROR(VLOOKUP(A1885,'[1]ST-QA-ZZ5'!$C$5:$M$299,11,0),"Inspection at production line")</f>
        <v>Sampling check</v>
      </c>
    </row>
    <row r="1886" spans="1:4" ht="13.8">
      <c r="A1886" s="47" t="s">
        <v>5987</v>
      </c>
      <c r="B1886" s="92" t="s">
        <v>1523</v>
      </c>
      <c r="C1886" s="92" t="s">
        <v>5988</v>
      </c>
      <c r="D1886" s="72" t="str">
        <f>IFERROR(VLOOKUP(A1886,'[1]ST-QA-ZZ5'!$C$5:$M$299,11,0),"Inspection at production line")</f>
        <v>Sampling check</v>
      </c>
    </row>
    <row r="1887" spans="1:4" ht="13.8">
      <c r="A1887" s="47" t="s">
        <v>5989</v>
      </c>
      <c r="B1887" s="92" t="s">
        <v>1523</v>
      </c>
      <c r="C1887" s="92" t="s">
        <v>5990</v>
      </c>
      <c r="D1887" s="72" t="str">
        <f>IFERROR(VLOOKUP(A1887,'[1]ST-QA-ZZ5'!$C$5:$M$299,11,0),"Inspection at production line")</f>
        <v>Sampling check</v>
      </c>
    </row>
    <row r="1888" spans="1:4" ht="13.8">
      <c r="A1888" s="47" t="s">
        <v>5991</v>
      </c>
      <c r="B1888" s="92" t="s">
        <v>1554</v>
      </c>
      <c r="C1888" s="92" t="s">
        <v>5992</v>
      </c>
      <c r="D1888" s="72" t="str">
        <f>IFERROR(VLOOKUP(A1888,'[1]ST-QA-ZZ5'!$C$5:$M$299,11,0),"Inspection at production line")</f>
        <v>Sampling check</v>
      </c>
    </row>
    <row r="1889" spans="1:4" ht="13.8">
      <c r="A1889" s="47" t="s">
        <v>5993</v>
      </c>
      <c r="B1889" s="92" t="s">
        <v>1554</v>
      </c>
      <c r="C1889" s="92" t="s">
        <v>5994</v>
      </c>
      <c r="D1889" s="72" t="str">
        <f>IFERROR(VLOOKUP(A1889,'[1]ST-QA-ZZ5'!$C$5:$M$299,11,0),"Inspection at production line")</f>
        <v>Sampling check</v>
      </c>
    </row>
    <row r="1890" spans="1:4" ht="13.8">
      <c r="A1890" s="47" t="s">
        <v>5995</v>
      </c>
      <c r="B1890" s="92" t="s">
        <v>5996</v>
      </c>
      <c r="C1890" s="92" t="s">
        <v>5997</v>
      </c>
      <c r="D1890" s="72" t="str">
        <f>IFERROR(VLOOKUP(A1890,'[1]ST-QA-ZZ5'!$C$5:$M$299,11,0),"Inspection at production line")</f>
        <v>Sampling check</v>
      </c>
    </row>
    <row r="1891" spans="1:4" ht="13.8">
      <c r="A1891" s="47" t="s">
        <v>5998</v>
      </c>
      <c r="B1891" s="92" t="s">
        <v>5999</v>
      </c>
      <c r="C1891" s="92" t="s">
        <v>5999</v>
      </c>
      <c r="D1891" s="72" t="str">
        <f>IFERROR(VLOOKUP(A1891,'[1]ST-QA-ZZ5'!$C$5:$M$299,11,0),"Inspection at production line")</f>
        <v>Sampling check</v>
      </c>
    </row>
    <row r="1892" spans="1:4" ht="13.8">
      <c r="A1892" s="47" t="s">
        <v>6000</v>
      </c>
      <c r="B1892" s="92" t="s">
        <v>1523</v>
      </c>
      <c r="C1892" s="92" t="s">
        <v>6001</v>
      </c>
      <c r="D1892" s="72" t="str">
        <f>IFERROR(VLOOKUP(A1892,'[1]ST-QA-ZZ5'!$C$5:$M$299,11,0),"Inspection at production line")</f>
        <v>Sampling check</v>
      </c>
    </row>
    <row r="1893" spans="1:4" ht="13.8">
      <c r="A1893" s="47" t="s">
        <v>6002</v>
      </c>
      <c r="B1893" s="92" t="s">
        <v>75</v>
      </c>
      <c r="C1893" s="92" t="s">
        <v>6003</v>
      </c>
      <c r="D1893" s="72" t="str">
        <f>IFERROR(VLOOKUP(A1893,'[1]ST-QA-ZZ5'!$C$5:$M$299,11,0),"Inspection at production line")</f>
        <v>Sampling check</v>
      </c>
    </row>
    <row r="1894" spans="1:4" ht="13.8">
      <c r="A1894" s="47" t="s">
        <v>6004</v>
      </c>
      <c r="B1894" s="92" t="s">
        <v>1513</v>
      </c>
      <c r="C1894" s="92" t="s">
        <v>6005</v>
      </c>
      <c r="D1894" s="72" t="str">
        <f>IFERROR(VLOOKUP(A1894,'[1]ST-QA-ZZ5'!$C$5:$M$299,11,0),"Inspection at production line")</f>
        <v>Inspection at production line</v>
      </c>
    </row>
    <row r="1895" spans="1:4" ht="13.8">
      <c r="A1895" s="47" t="s">
        <v>6006</v>
      </c>
      <c r="B1895" s="92" t="s">
        <v>1513</v>
      </c>
      <c r="C1895" s="92" t="s">
        <v>6007</v>
      </c>
      <c r="D1895" s="72" t="str">
        <f>IFERROR(VLOOKUP(A1895,'[1]ST-QA-ZZ5'!$C$5:$M$299,11,0),"Inspection at production line")</f>
        <v>Inspection at production line</v>
      </c>
    </row>
    <row r="1896" spans="1:4" ht="13.8">
      <c r="A1896" s="47" t="s">
        <v>6008</v>
      </c>
      <c r="B1896" s="92" t="s">
        <v>1954</v>
      </c>
      <c r="C1896" s="92" t="s">
        <v>6009</v>
      </c>
      <c r="D1896" s="72" t="str">
        <f>IFERROR(VLOOKUP(A1896,'[1]ST-QA-ZZ5'!$C$5:$M$299,11,0),"Inspection at production line")</f>
        <v>Sampling check</v>
      </c>
    </row>
    <row r="1897" spans="1:4" ht="13.8">
      <c r="A1897" s="47" t="s">
        <v>6010</v>
      </c>
      <c r="B1897" s="92" t="s">
        <v>1954</v>
      </c>
      <c r="C1897" s="92" t="s">
        <v>6011</v>
      </c>
      <c r="D1897" s="72" t="str">
        <f>IFERROR(VLOOKUP(A1897,'[1]ST-QA-ZZ5'!$C$5:$M$299,11,0),"Inspection at production line")</f>
        <v>Sampling check</v>
      </c>
    </row>
    <row r="1898" spans="1:4" ht="13.8">
      <c r="A1898" s="47" t="s">
        <v>6012</v>
      </c>
      <c r="B1898" s="92" t="s">
        <v>6013</v>
      </c>
      <c r="C1898" s="92" t="s">
        <v>6013</v>
      </c>
      <c r="D1898" s="72" t="str">
        <f>IFERROR(VLOOKUP(A1898,'[1]ST-QA-ZZ5'!$C$5:$M$299,11,0),"Inspection at production line")</f>
        <v>Inspection at production line</v>
      </c>
    </row>
    <row r="1899" spans="1:4" ht="13.8">
      <c r="A1899" s="47" t="s">
        <v>6014</v>
      </c>
      <c r="B1899" s="92" t="s">
        <v>6015</v>
      </c>
      <c r="C1899" s="92" t="s">
        <v>6015</v>
      </c>
      <c r="D1899" s="72" t="str">
        <f>IFERROR(VLOOKUP(A1899,'[1]ST-QA-ZZ5'!$C$5:$M$299,11,0),"Inspection at production line")</f>
        <v>Inspection at production line</v>
      </c>
    </row>
    <row r="1900" spans="1:4" ht="13.8">
      <c r="A1900" s="47" t="s">
        <v>6016</v>
      </c>
      <c r="B1900" s="92" t="s">
        <v>6017</v>
      </c>
      <c r="C1900" s="92" t="s">
        <v>6017</v>
      </c>
      <c r="D1900" s="72" t="str">
        <f>IFERROR(VLOOKUP(A1900,'[1]ST-QA-ZZ5'!$C$5:$M$299,11,0),"Inspection at production line")</f>
        <v>Inspection at production line</v>
      </c>
    </row>
    <row r="1901" spans="1:4" ht="13.8">
      <c r="A1901" s="47" t="s">
        <v>6018</v>
      </c>
      <c r="B1901" s="92" t="s">
        <v>6019</v>
      </c>
      <c r="C1901" s="92" t="s">
        <v>6019</v>
      </c>
      <c r="D1901" s="72" t="str">
        <f>IFERROR(VLOOKUP(A1901,'[1]ST-QA-ZZ5'!$C$5:$M$299,11,0),"Inspection at production line")</f>
        <v>Inspection at production line</v>
      </c>
    </row>
    <row r="1902" spans="1:4" ht="13.8">
      <c r="A1902" s="47" t="s">
        <v>6020</v>
      </c>
      <c r="B1902" s="92" t="s">
        <v>6021</v>
      </c>
      <c r="C1902" s="92" t="s">
        <v>6021</v>
      </c>
      <c r="D1902" s="72" t="str">
        <f>IFERROR(VLOOKUP(A1902,'[1]ST-QA-ZZ5'!$C$5:$M$299,11,0),"Inspection at production line")</f>
        <v>Inspection at production line</v>
      </c>
    </row>
    <row r="1903" spans="1:4" ht="13.8">
      <c r="A1903" s="47" t="s">
        <v>6022</v>
      </c>
      <c r="B1903" s="92" t="s">
        <v>6023</v>
      </c>
      <c r="C1903" s="92" t="s">
        <v>6023</v>
      </c>
      <c r="D1903" s="72" t="str">
        <f>IFERROR(VLOOKUP(A1903,'[1]ST-QA-ZZ5'!$C$5:$M$299,11,0),"Inspection at production line")</f>
        <v>Inspection at production line</v>
      </c>
    </row>
    <row r="1904" spans="1:4" ht="13.8">
      <c r="A1904" s="47" t="s">
        <v>6024</v>
      </c>
      <c r="B1904" s="92" t="s">
        <v>6025</v>
      </c>
      <c r="C1904" s="92" t="s">
        <v>6025</v>
      </c>
      <c r="D1904" s="72" t="str">
        <f>IFERROR(VLOOKUP(A1904,'[1]ST-QA-ZZ5'!$C$5:$M$299,11,0),"Inspection at production line")</f>
        <v>Inspection at production line</v>
      </c>
    </row>
    <row r="1905" spans="1:4" ht="13.8">
      <c r="A1905" s="47" t="s">
        <v>6026</v>
      </c>
      <c r="B1905" s="92" t="s">
        <v>6027</v>
      </c>
      <c r="C1905" s="92" t="s">
        <v>6027</v>
      </c>
      <c r="D1905" s="72" t="str">
        <f>IFERROR(VLOOKUP(A1905,'[1]ST-QA-ZZ5'!$C$5:$M$299,11,0),"Inspection at production line")</f>
        <v>Inspection at production line</v>
      </c>
    </row>
    <row r="1906" spans="1:4" ht="13.8">
      <c r="A1906" s="47" t="s">
        <v>6028</v>
      </c>
      <c r="B1906" s="92" t="s">
        <v>6029</v>
      </c>
      <c r="C1906" s="92" t="s">
        <v>6029</v>
      </c>
      <c r="D1906" s="72" t="str">
        <f>IFERROR(VLOOKUP(A1906,'[1]ST-QA-ZZ5'!$C$5:$M$299,11,0),"Inspection at production line")</f>
        <v>Inspection at production line</v>
      </c>
    </row>
    <row r="1907" spans="1:4" ht="13.8">
      <c r="A1907" s="47" t="s">
        <v>6030</v>
      </c>
      <c r="B1907" s="92" t="s">
        <v>6031</v>
      </c>
      <c r="C1907" s="92" t="s">
        <v>6031</v>
      </c>
      <c r="D1907" s="72" t="str">
        <f>IFERROR(VLOOKUP(A1907,'[1]ST-QA-ZZ5'!$C$5:$M$299,11,0),"Inspection at production line")</f>
        <v>Inspection at production line</v>
      </c>
    </row>
    <row r="1908" spans="1:4" ht="13.8">
      <c r="A1908" s="47" t="s">
        <v>6032</v>
      </c>
      <c r="B1908" s="92" t="s">
        <v>6033</v>
      </c>
      <c r="C1908" s="92" t="s">
        <v>6033</v>
      </c>
      <c r="D1908" s="72" t="str">
        <f>IFERROR(VLOOKUP(A1908,'[1]ST-QA-ZZ5'!$C$5:$M$299,11,0),"Inspection at production line")</f>
        <v>Sampling check</v>
      </c>
    </row>
    <row r="1909" spans="1:4" ht="13.8">
      <c r="A1909" s="47" t="s">
        <v>6034</v>
      </c>
      <c r="B1909" s="92" t="s">
        <v>6035</v>
      </c>
      <c r="C1909" s="92" t="s">
        <v>6035</v>
      </c>
      <c r="D1909" s="72" t="str">
        <f>IFERROR(VLOOKUP(A1909,'[1]ST-QA-ZZ5'!$C$5:$M$299,11,0),"Inspection at production line")</f>
        <v>Sampling check</v>
      </c>
    </row>
    <row r="1910" spans="1:4" ht="13.8">
      <c r="A1910" s="47" t="s">
        <v>6036</v>
      </c>
      <c r="B1910" s="92" t="s">
        <v>6037</v>
      </c>
      <c r="C1910" s="92" t="s">
        <v>6037</v>
      </c>
      <c r="D1910" s="72" t="str">
        <f>IFERROR(VLOOKUP(A1910,'[1]ST-QA-ZZ5'!$C$5:$M$299,11,0),"Inspection at production line")</f>
        <v>Sampling check</v>
      </c>
    </row>
    <row r="1911" spans="1:4" ht="13.8">
      <c r="A1911" s="47" t="s">
        <v>6038</v>
      </c>
      <c r="B1911" s="92" t="s">
        <v>857</v>
      </c>
      <c r="C1911" s="92" t="s">
        <v>6039</v>
      </c>
      <c r="D1911" s="72" t="str">
        <f>IFERROR(VLOOKUP(A1911,'[1]ST-QA-ZZ5'!$C$5:$M$299,11,0),"Inspection at production line")</f>
        <v>Sampling check</v>
      </c>
    </row>
    <row r="1912" spans="1:4" ht="13.8">
      <c r="A1912" s="47" t="s">
        <v>6040</v>
      </c>
      <c r="B1912" s="92" t="s">
        <v>6041</v>
      </c>
      <c r="C1912" s="92" t="s">
        <v>6041</v>
      </c>
      <c r="D1912" s="72" t="str">
        <f>IFERROR(VLOOKUP(A1912,'[1]ST-QA-ZZ5'!$C$5:$M$299,11,0),"Inspection at production line")</f>
        <v>Sampling check</v>
      </c>
    </row>
    <row r="1913" spans="1:4" ht="13.8">
      <c r="A1913" s="47" t="s">
        <v>6042</v>
      </c>
      <c r="B1913" s="92" t="s">
        <v>6043</v>
      </c>
      <c r="C1913" s="92" t="s">
        <v>6043</v>
      </c>
      <c r="D1913" s="72" t="str">
        <f>IFERROR(VLOOKUP(A1913,'[1]ST-QA-ZZ5'!$C$5:$M$299,11,0),"Inspection at production line")</f>
        <v>Sampling check</v>
      </c>
    </row>
    <row r="1914" spans="1:4" ht="13.8">
      <c r="A1914" s="47" t="s">
        <v>6044</v>
      </c>
      <c r="B1914" s="92" t="s">
        <v>857</v>
      </c>
      <c r="C1914" s="92" t="s">
        <v>6045</v>
      </c>
      <c r="D1914" s="72" t="str">
        <f>IFERROR(VLOOKUP(A1914,'[1]ST-QA-ZZ5'!$C$5:$M$299,11,0),"Inspection at production line")</f>
        <v>Sampling check</v>
      </c>
    </row>
    <row r="1915" spans="1:4" ht="13.8">
      <c r="A1915" s="47" t="s">
        <v>6046</v>
      </c>
      <c r="B1915" s="92" t="s">
        <v>6047</v>
      </c>
      <c r="C1915" s="92" t="s">
        <v>6047</v>
      </c>
      <c r="D1915" s="72" t="str">
        <f>IFERROR(VLOOKUP(A1915,'[1]ST-QA-ZZ5'!$C$5:$M$299,11,0),"Inspection at production line")</f>
        <v>Sampling check</v>
      </c>
    </row>
    <row r="1916" spans="1:4" ht="13.8">
      <c r="A1916" s="47" t="s">
        <v>6048</v>
      </c>
      <c r="B1916" s="92" t="s">
        <v>6049</v>
      </c>
      <c r="C1916" s="92" t="s">
        <v>6049</v>
      </c>
      <c r="D1916" s="72" t="str">
        <f>IFERROR(VLOOKUP(A1916,'[1]ST-QA-ZZ5'!$C$5:$M$299,11,0),"Inspection at production line")</f>
        <v>Sampling check</v>
      </c>
    </row>
    <row r="1917" spans="1:4" ht="13.8">
      <c r="A1917" s="47" t="s">
        <v>6050</v>
      </c>
      <c r="B1917" s="92" t="s">
        <v>6051</v>
      </c>
      <c r="C1917" s="92" t="s">
        <v>6051</v>
      </c>
      <c r="D1917" s="72" t="str">
        <f>IFERROR(VLOOKUP(A1917,'[1]ST-QA-ZZ5'!$C$5:$M$299,11,0),"Inspection at production line")</f>
        <v>Sampling check</v>
      </c>
    </row>
    <row r="1918" spans="1:4" ht="13.8">
      <c r="A1918" s="47" t="s">
        <v>6052</v>
      </c>
      <c r="B1918" s="92" t="s">
        <v>6053</v>
      </c>
      <c r="C1918" s="92" t="s">
        <v>6053</v>
      </c>
      <c r="D1918" s="72" t="str">
        <f>IFERROR(VLOOKUP(A1918,'[1]ST-QA-ZZ5'!$C$5:$M$299,11,0),"Inspection at production line")</f>
        <v>Sampling check</v>
      </c>
    </row>
    <row r="1919" spans="1:4" ht="13.8">
      <c r="A1919" s="47" t="s">
        <v>6054</v>
      </c>
      <c r="B1919" s="92" t="s">
        <v>6055</v>
      </c>
      <c r="C1919" s="92" t="s">
        <v>6055</v>
      </c>
      <c r="D1919" s="72" t="str">
        <f>IFERROR(VLOOKUP(A1919,'[1]ST-QA-ZZ5'!$C$5:$M$299,11,0),"Inspection at production line")</f>
        <v>Sampling check</v>
      </c>
    </row>
    <row r="1920" spans="1:4" ht="13.8">
      <c r="A1920" s="47" t="s">
        <v>6056</v>
      </c>
      <c r="B1920" s="92" t="s">
        <v>857</v>
      </c>
      <c r="C1920" s="92" t="s">
        <v>6057</v>
      </c>
      <c r="D1920" s="72" t="str">
        <f>IFERROR(VLOOKUP(A1920,'[1]ST-QA-ZZ5'!$C$5:$M$299,11,0),"Inspection at production line")</f>
        <v>Inspection at production line</v>
      </c>
    </row>
    <row r="1921" spans="1:4" ht="13.8">
      <c r="A1921" s="47" t="s">
        <v>6058</v>
      </c>
      <c r="B1921" s="92" t="s">
        <v>6059</v>
      </c>
      <c r="C1921" s="92" t="s">
        <v>6059</v>
      </c>
      <c r="D1921" s="72" t="str">
        <f>IFERROR(VLOOKUP(A1921,'[1]ST-QA-ZZ5'!$C$5:$M$299,11,0),"Inspection at production line")</f>
        <v>Inspection at production line</v>
      </c>
    </row>
    <row r="1922" spans="1:4" ht="13.8">
      <c r="A1922" s="47" t="s">
        <v>6060</v>
      </c>
      <c r="B1922" s="92" t="s">
        <v>6061</v>
      </c>
      <c r="C1922" s="92" t="s">
        <v>6061</v>
      </c>
      <c r="D1922" s="72" t="str">
        <f>IFERROR(VLOOKUP(A1922,'[1]ST-QA-ZZ5'!$C$5:$M$299,11,0),"Inspection at production line")</f>
        <v>Sampling check</v>
      </c>
    </row>
    <row r="1923" spans="1:4" ht="13.8">
      <c r="A1923" s="47" t="s">
        <v>6062</v>
      </c>
      <c r="B1923" s="92" t="s">
        <v>6063</v>
      </c>
      <c r="C1923" s="92" t="s">
        <v>6063</v>
      </c>
      <c r="D1923" s="72" t="str">
        <f>IFERROR(VLOOKUP(A1923,'[1]ST-QA-ZZ5'!$C$5:$M$299,11,0),"Inspection at production line")</f>
        <v>Inspection at production line</v>
      </c>
    </row>
    <row r="1924" spans="1:4" ht="13.8">
      <c r="A1924" s="47" t="s">
        <v>6064</v>
      </c>
      <c r="B1924" s="92" t="s">
        <v>6065</v>
      </c>
      <c r="C1924" s="92" t="s">
        <v>6065</v>
      </c>
      <c r="D1924" s="72" t="str">
        <f>IFERROR(VLOOKUP(A1924,'[1]ST-QA-ZZ5'!$C$5:$M$299,11,0),"Inspection at production line")</f>
        <v>Inspection at production line</v>
      </c>
    </row>
    <row r="1925" spans="1:4" ht="13.8">
      <c r="A1925" s="47" t="s">
        <v>6066</v>
      </c>
      <c r="B1925" s="92" t="s">
        <v>6067</v>
      </c>
      <c r="C1925" s="92" t="s">
        <v>6067</v>
      </c>
      <c r="D1925" s="72" t="str">
        <f>IFERROR(VLOOKUP(A1925,'[1]ST-QA-ZZ5'!$C$5:$M$299,11,0),"Inspection at production line")</f>
        <v>Inspection at production line</v>
      </c>
    </row>
    <row r="1926" spans="1:4" ht="13.8">
      <c r="A1926" s="47" t="s">
        <v>6068</v>
      </c>
      <c r="B1926" s="92" t="s">
        <v>857</v>
      </c>
      <c r="C1926" s="92" t="s">
        <v>6069</v>
      </c>
      <c r="D1926" s="72" t="str">
        <f>IFERROR(VLOOKUP(A1926,'[1]ST-QA-ZZ5'!$C$5:$M$299,11,0),"Inspection at production line")</f>
        <v>Inspection at production line</v>
      </c>
    </row>
    <row r="1927" spans="1:4" ht="13.8">
      <c r="A1927" s="47" t="s">
        <v>6070</v>
      </c>
      <c r="B1927" s="92" t="s">
        <v>857</v>
      </c>
      <c r="C1927" s="92" t="s">
        <v>6071</v>
      </c>
      <c r="D1927" s="72" t="str">
        <f>IFERROR(VLOOKUP(A1927,'[1]ST-QA-ZZ5'!$C$5:$M$299,11,0),"Inspection at production line")</f>
        <v>Inspection at production line</v>
      </c>
    </row>
    <row r="1928" spans="1:4" ht="13.8">
      <c r="A1928" s="47" t="s">
        <v>6072</v>
      </c>
      <c r="B1928" s="92" t="s">
        <v>6073</v>
      </c>
      <c r="C1928" s="92" t="s">
        <v>6073</v>
      </c>
      <c r="D1928" s="72" t="str">
        <f>IFERROR(VLOOKUP(A1928,'[1]ST-QA-ZZ5'!$C$5:$M$299,11,0),"Inspection at production line")</f>
        <v>Inspection at production line</v>
      </c>
    </row>
    <row r="1929" spans="1:4" ht="13.8">
      <c r="A1929" s="47" t="s">
        <v>4980</v>
      </c>
      <c r="B1929" s="92" t="s">
        <v>857</v>
      </c>
      <c r="C1929" s="92" t="s">
        <v>6074</v>
      </c>
      <c r="D1929" s="72" t="str">
        <f>IFERROR(VLOOKUP(A1929,'[1]ST-QA-ZZ5'!$C$5:$M$299,11,0),"Inspection at production line")</f>
        <v>Inspection at production line</v>
      </c>
    </row>
    <row r="1930" spans="1:4" ht="13.8">
      <c r="A1930" s="47" t="s">
        <v>6075</v>
      </c>
      <c r="B1930" s="92" t="s">
        <v>857</v>
      </c>
      <c r="C1930" s="92" t="s">
        <v>6076</v>
      </c>
      <c r="D1930" s="72" t="str">
        <f>IFERROR(VLOOKUP(A1930,'[1]ST-QA-ZZ5'!$C$5:$M$299,11,0),"Inspection at production line")</f>
        <v>Sampling check</v>
      </c>
    </row>
    <row r="1931" spans="1:4" ht="13.8">
      <c r="A1931" s="47" t="s">
        <v>6077</v>
      </c>
      <c r="B1931" s="92" t="s">
        <v>857</v>
      </c>
      <c r="C1931" s="92" t="s">
        <v>6078</v>
      </c>
      <c r="D1931" s="72" t="str">
        <f>IFERROR(VLOOKUP(A1931,'[1]ST-QA-ZZ5'!$C$5:$M$299,11,0),"Inspection at production line")</f>
        <v>Sampling check</v>
      </c>
    </row>
    <row r="1932" spans="1:4" ht="13.8">
      <c r="A1932" s="47" t="s">
        <v>6079</v>
      </c>
      <c r="B1932" s="92" t="s">
        <v>857</v>
      </c>
      <c r="C1932" s="92" t="s">
        <v>6080</v>
      </c>
      <c r="D1932" s="72" t="str">
        <f>IFERROR(VLOOKUP(A1932,'[1]ST-QA-ZZ5'!$C$5:$M$299,11,0),"Inspection at production line")</f>
        <v>Sampling check</v>
      </c>
    </row>
    <row r="1933" spans="1:4" ht="13.8">
      <c r="A1933" s="47" t="s">
        <v>6081</v>
      </c>
      <c r="B1933" s="92" t="s">
        <v>857</v>
      </c>
      <c r="C1933" s="92" t="s">
        <v>6082</v>
      </c>
      <c r="D1933" s="72" t="str">
        <f>IFERROR(VLOOKUP(A1933,'[1]ST-QA-ZZ5'!$C$5:$M$299,11,0),"Inspection at production line")</f>
        <v>Sampling check</v>
      </c>
    </row>
    <row r="1934" spans="1:4" ht="13.8">
      <c r="A1934" s="47" t="s">
        <v>6083</v>
      </c>
      <c r="B1934" s="92" t="s">
        <v>6084</v>
      </c>
      <c r="C1934" s="92" t="s">
        <v>6084</v>
      </c>
      <c r="D1934" s="72" t="str">
        <f>IFERROR(VLOOKUP(A1934,'[1]ST-QA-ZZ5'!$C$5:$M$299,11,0),"Inspection at production line")</f>
        <v>Sampling check</v>
      </c>
    </row>
    <row r="1935" spans="1:4" ht="13.8">
      <c r="A1935" s="47" t="s">
        <v>6085</v>
      </c>
      <c r="B1935" s="92" t="s">
        <v>6086</v>
      </c>
      <c r="C1935" s="92" t="s">
        <v>6086</v>
      </c>
      <c r="D1935" s="72" t="str">
        <f>IFERROR(VLOOKUP(A1935,'[1]ST-QA-ZZ5'!$C$5:$M$299,11,0),"Inspection at production line")</f>
        <v>Sampling check</v>
      </c>
    </row>
    <row r="1936" spans="1:4" ht="13.8">
      <c r="A1936" s="47" t="s">
        <v>6087</v>
      </c>
      <c r="B1936" s="92" t="s">
        <v>6088</v>
      </c>
      <c r="C1936" s="92" t="s">
        <v>6088</v>
      </c>
      <c r="D1936" s="72" t="str">
        <f>IFERROR(VLOOKUP(A1936,'[1]ST-QA-ZZ5'!$C$5:$M$299,11,0),"Inspection at production line")</f>
        <v>Sampling check</v>
      </c>
    </row>
    <row r="1937" spans="1:4" ht="13.8">
      <c r="A1937" s="47" t="s">
        <v>6089</v>
      </c>
      <c r="B1937" s="92" t="s">
        <v>6090</v>
      </c>
      <c r="C1937" s="92" t="s">
        <v>6090</v>
      </c>
      <c r="D1937" s="72" t="str">
        <f>IFERROR(VLOOKUP(A1937,'[1]ST-QA-ZZ5'!$C$5:$M$299,11,0),"Inspection at production line")</f>
        <v>Sampling check</v>
      </c>
    </row>
    <row r="1938" spans="1:4" ht="13.8">
      <c r="A1938" s="47" t="s">
        <v>6091</v>
      </c>
      <c r="B1938" s="92" t="s">
        <v>6092</v>
      </c>
      <c r="C1938" s="92" t="s">
        <v>6092</v>
      </c>
      <c r="D1938" s="72" t="str">
        <f>IFERROR(VLOOKUP(A1938,'[1]ST-QA-ZZ5'!$C$5:$M$299,11,0),"Inspection at production line")</f>
        <v>Sampling check</v>
      </c>
    </row>
    <row r="1939" spans="1:4" ht="13.8">
      <c r="A1939" s="47" t="s">
        <v>6093</v>
      </c>
      <c r="B1939" s="92" t="s">
        <v>6094</v>
      </c>
      <c r="C1939" s="92" t="s">
        <v>6094</v>
      </c>
      <c r="D1939" s="72" t="str">
        <f>IFERROR(VLOOKUP(A1939,'[1]ST-QA-ZZ5'!$C$5:$M$299,11,0),"Inspection at production line")</f>
        <v>Sampling check</v>
      </c>
    </row>
    <row r="1940" spans="1:4" ht="13.8">
      <c r="A1940" s="47" t="s">
        <v>6095</v>
      </c>
      <c r="B1940" s="92" t="s">
        <v>6096</v>
      </c>
      <c r="C1940" s="92" t="s">
        <v>6096</v>
      </c>
      <c r="D1940" s="72" t="str">
        <f>IFERROR(VLOOKUP(A1940,'[1]ST-QA-ZZ5'!$C$5:$M$299,11,0),"Inspection at production line")</f>
        <v>Sampling check</v>
      </c>
    </row>
    <row r="1941" spans="1:4" ht="13.8">
      <c r="A1941" s="47" t="s">
        <v>6097</v>
      </c>
      <c r="B1941" s="92" t="s">
        <v>857</v>
      </c>
      <c r="C1941" s="92" t="s">
        <v>6098</v>
      </c>
      <c r="D1941" s="72" t="str">
        <f>IFERROR(VLOOKUP(A1941,'[1]ST-QA-ZZ5'!$C$5:$M$299,11,0),"Inspection at production line")</f>
        <v>Sampling check</v>
      </c>
    </row>
    <row r="1942" spans="1:4" ht="13.8">
      <c r="A1942" s="47" t="s">
        <v>6099</v>
      </c>
      <c r="B1942" s="92" t="s">
        <v>6100</v>
      </c>
      <c r="C1942" s="92" t="s">
        <v>6100</v>
      </c>
      <c r="D1942" s="72" t="str">
        <f>IFERROR(VLOOKUP(A1942,'[1]ST-QA-ZZ5'!$C$5:$M$299,11,0),"Inspection at production line")</f>
        <v>Sampling check</v>
      </c>
    </row>
    <row r="1943" spans="1:4" ht="13.8">
      <c r="A1943" s="47" t="s">
        <v>6101</v>
      </c>
      <c r="B1943" s="92" t="s">
        <v>857</v>
      </c>
      <c r="C1943" s="92" t="s">
        <v>6102</v>
      </c>
      <c r="D1943" s="72" t="str">
        <f>IFERROR(VLOOKUP(A1943,'[1]ST-QA-ZZ5'!$C$5:$M$299,11,0),"Inspection at production line")</f>
        <v>Sampling check</v>
      </c>
    </row>
    <row r="1944" spans="1:4" ht="13.8">
      <c r="A1944" s="47" t="s">
        <v>6103</v>
      </c>
      <c r="B1944" s="92" t="s">
        <v>857</v>
      </c>
      <c r="C1944" s="92" t="s">
        <v>6104</v>
      </c>
      <c r="D1944" s="72" t="str">
        <f>IFERROR(VLOOKUP(A1944,'[1]ST-QA-ZZ5'!$C$5:$M$299,11,0),"Inspection at production line")</f>
        <v>Sampling check</v>
      </c>
    </row>
    <row r="1945" spans="1:4" ht="13.8">
      <c r="A1945" s="47" t="s">
        <v>6105</v>
      </c>
      <c r="B1945" s="92" t="s">
        <v>857</v>
      </c>
      <c r="C1945" s="92" t="s">
        <v>6106</v>
      </c>
      <c r="D1945" s="72" t="str">
        <f>IFERROR(VLOOKUP(A1945,'[1]ST-QA-ZZ5'!$C$5:$M$299,11,0),"Inspection at production line")</f>
        <v>Sampling check</v>
      </c>
    </row>
    <row r="1946" spans="1:4" ht="13.8">
      <c r="A1946" s="47" t="s">
        <v>6107</v>
      </c>
      <c r="B1946" s="92" t="s">
        <v>857</v>
      </c>
      <c r="C1946" s="92" t="s">
        <v>6108</v>
      </c>
      <c r="D1946" s="72" t="str">
        <f>IFERROR(VLOOKUP(A1946,'[1]ST-QA-ZZ5'!$C$5:$M$299,11,0),"Inspection at production line")</f>
        <v>Sampling check</v>
      </c>
    </row>
    <row r="1947" spans="1:4" ht="13.8">
      <c r="A1947" s="47" t="s">
        <v>6109</v>
      </c>
      <c r="B1947" s="92" t="s">
        <v>857</v>
      </c>
      <c r="C1947" s="92" t="s">
        <v>6110</v>
      </c>
      <c r="D1947" s="72" t="str">
        <f>IFERROR(VLOOKUP(A1947,'[1]ST-QA-ZZ5'!$C$5:$M$299,11,0),"Inspection at production line")</f>
        <v>Sampling check</v>
      </c>
    </row>
    <row r="1948" spans="1:4" ht="13.8">
      <c r="A1948" s="47" t="s">
        <v>6111</v>
      </c>
      <c r="B1948" s="92" t="s">
        <v>4075</v>
      </c>
      <c r="C1948" s="92" t="s">
        <v>6112</v>
      </c>
      <c r="D1948" s="72" t="str">
        <f>IFERROR(VLOOKUP(A1948,'[1]ST-QA-ZZ5'!$C$5:$M$299,11,0),"Inspection at production line")</f>
        <v>Inspection at production line</v>
      </c>
    </row>
    <row r="1949" spans="1:4" ht="13.8">
      <c r="A1949" s="47" t="s">
        <v>6113</v>
      </c>
      <c r="B1949" s="92" t="s">
        <v>4075</v>
      </c>
      <c r="C1949" s="92" t="s">
        <v>6112</v>
      </c>
      <c r="D1949" s="72" t="str">
        <f>IFERROR(VLOOKUP(A1949,'[1]ST-QA-ZZ5'!$C$5:$M$299,11,0),"Inspection at production line")</f>
        <v>Sampling check</v>
      </c>
    </row>
    <row r="1950" spans="1:4" ht="13.8">
      <c r="A1950" s="47" t="s">
        <v>2486</v>
      </c>
      <c r="B1950" s="92" t="s">
        <v>1964</v>
      </c>
      <c r="C1950" s="92" t="s">
        <v>5818</v>
      </c>
      <c r="D1950" s="72" t="str">
        <f>IFERROR(VLOOKUP(A1950,'[1]ST-QA-ZZ5'!$C$5:$M$299,11,0),"Inspection at production line")</f>
        <v>Inspection at production line</v>
      </c>
    </row>
    <row r="1951" spans="1:4" ht="13.8">
      <c r="A1951" s="47" t="s">
        <v>2437</v>
      </c>
      <c r="B1951" s="92" t="s">
        <v>57</v>
      </c>
      <c r="C1951" s="92" t="s">
        <v>2624</v>
      </c>
      <c r="D1951" s="72" t="str">
        <f>IFERROR(VLOOKUP(A1951,'[1]ST-QA-ZZ5'!$C$5:$M$299,11,0),"Inspection at production line")</f>
        <v>Inspection at production line</v>
      </c>
    </row>
    <row r="1952" spans="1:4" ht="13.8">
      <c r="A1952" s="47" t="s">
        <v>2443</v>
      </c>
      <c r="B1952" s="92" t="s">
        <v>57</v>
      </c>
      <c r="C1952" s="92" t="s">
        <v>6114</v>
      </c>
      <c r="D1952" s="72" t="str">
        <f>IFERROR(VLOOKUP(A1952,'[1]ST-QA-ZZ5'!$C$5:$M$299,11,0),"Inspection at production line")</f>
        <v>Inspection at production line</v>
      </c>
    </row>
    <row r="1953" spans="1:4" ht="13.8">
      <c r="A1953" s="47" t="s">
        <v>2447</v>
      </c>
      <c r="B1953" s="92" t="s">
        <v>57</v>
      </c>
      <c r="C1953" s="92" t="s">
        <v>6115</v>
      </c>
      <c r="D1953" s="72" t="str">
        <f>IFERROR(VLOOKUP(A1953,'[1]ST-QA-ZZ5'!$C$5:$M$299,11,0),"Inspection at production line")</f>
        <v>Inspection at production line</v>
      </c>
    </row>
    <row r="1954" spans="1:4" ht="13.8">
      <c r="A1954" s="47" t="s">
        <v>6116</v>
      </c>
      <c r="B1954" s="92" t="s">
        <v>900</v>
      </c>
      <c r="C1954" s="92" t="s">
        <v>6117</v>
      </c>
      <c r="D1954" s="72" t="str">
        <f>IFERROR(VLOOKUP(A1954,'[1]ST-QA-ZZ5'!$C$5:$M$299,11,0),"Inspection at production line")</f>
        <v>Inspection at production line</v>
      </c>
    </row>
    <row r="1955" spans="1:4" ht="13.8">
      <c r="A1955" s="47" t="s">
        <v>2452</v>
      </c>
      <c r="B1955" s="92" t="s">
        <v>4419</v>
      </c>
      <c r="C1955" s="92" t="s">
        <v>2453</v>
      </c>
      <c r="D1955" s="72" t="str">
        <f>IFERROR(VLOOKUP(A1955,'[1]ST-QA-ZZ5'!$C$5:$M$299,11,0),"Inspection at production line")</f>
        <v>Inspection at production line</v>
      </c>
    </row>
    <row r="1956" spans="1:4" ht="13.8">
      <c r="A1956" s="47" t="s">
        <v>2457</v>
      </c>
      <c r="B1956" s="92" t="s">
        <v>1472</v>
      </c>
      <c r="C1956" s="92" t="s">
        <v>6118</v>
      </c>
      <c r="D1956" s="72" t="str">
        <f>IFERROR(VLOOKUP(A1956,'[1]ST-QA-ZZ5'!$C$5:$M$299,11,0),"Inspection at production line")</f>
        <v>Inspection at production line</v>
      </c>
    </row>
    <row r="1957" spans="1:4" ht="13.8">
      <c r="A1957" s="47" t="s">
        <v>2461</v>
      </c>
      <c r="B1957" s="92" t="s">
        <v>57</v>
      </c>
      <c r="C1957" s="92" t="s">
        <v>6119</v>
      </c>
      <c r="D1957" s="72" t="str">
        <f>IFERROR(VLOOKUP(A1957,'[1]ST-QA-ZZ5'!$C$5:$M$299,11,0),"Inspection at production line")</f>
        <v>Sampling check</v>
      </c>
    </row>
    <row r="1958" spans="1:4" ht="13.8">
      <c r="A1958" s="47" t="s">
        <v>2491</v>
      </c>
      <c r="B1958" s="92" t="s">
        <v>2492</v>
      </c>
      <c r="C1958" s="92" t="s">
        <v>2493</v>
      </c>
      <c r="D1958" s="72" t="str">
        <f>IFERROR(VLOOKUP(A1958,'[1]ST-QA-ZZ5'!$C$5:$M$299,11,0),"Inspection at production line")</f>
        <v>Inspection at production line</v>
      </c>
    </row>
    <row r="1959" spans="1:4" ht="13.8">
      <c r="A1959" s="47" t="s">
        <v>6120</v>
      </c>
      <c r="B1959" s="92" t="s">
        <v>857</v>
      </c>
      <c r="C1959" s="92" t="s">
        <v>6121</v>
      </c>
      <c r="D1959" s="72" t="str">
        <f>IFERROR(VLOOKUP(A1959,'[1]ST-QA-ZZ5'!$C$5:$M$299,11,0),"Inspection at production line")</f>
        <v>Inspection at production line</v>
      </c>
    </row>
    <row r="1960" spans="1:4" ht="13.8">
      <c r="A1960" s="47" t="s">
        <v>6122</v>
      </c>
      <c r="B1960" s="92" t="s">
        <v>2492</v>
      </c>
      <c r="C1960" s="92" t="s">
        <v>6123</v>
      </c>
      <c r="D1960" s="72" t="str">
        <f>IFERROR(VLOOKUP(A1960,'[1]ST-QA-ZZ5'!$C$5:$M$299,11,0),"Inspection at production line")</f>
        <v>Inspection at production line</v>
      </c>
    </row>
    <row r="1961" spans="1:4" ht="13.8">
      <c r="A1961" s="47" t="s">
        <v>6124</v>
      </c>
      <c r="B1961" s="92" t="s">
        <v>857</v>
      </c>
      <c r="C1961" s="92" t="s">
        <v>6125</v>
      </c>
      <c r="D1961" s="72" t="str">
        <f>IFERROR(VLOOKUP(A1961,'[1]ST-QA-ZZ5'!$C$5:$M$299,11,0),"Inspection at production line")</f>
        <v>Inspection at production line</v>
      </c>
    </row>
    <row r="1962" spans="1:4" ht="13.8">
      <c r="A1962" s="47" t="s">
        <v>6126</v>
      </c>
      <c r="B1962" s="92" t="s">
        <v>6127</v>
      </c>
      <c r="C1962" s="92" t="s">
        <v>6127</v>
      </c>
      <c r="D1962" s="72" t="str">
        <f>IFERROR(VLOOKUP(A1962,'[1]ST-QA-ZZ5'!$C$5:$M$299,11,0),"Inspection at production line")</f>
        <v>Inspection at production line</v>
      </c>
    </row>
    <row r="1963" spans="1:4" ht="13.8">
      <c r="A1963" s="47" t="s">
        <v>6128</v>
      </c>
      <c r="B1963" s="92" t="s">
        <v>818</v>
      </c>
      <c r="C1963" s="92" t="s">
        <v>6129</v>
      </c>
      <c r="D1963" s="72" t="str">
        <f>IFERROR(VLOOKUP(A1963,'[1]ST-QA-ZZ5'!$C$5:$M$299,11,0),"Inspection at production line")</f>
        <v>Inspection at production line</v>
      </c>
    </row>
    <row r="1964" spans="1:4" ht="13.8">
      <c r="A1964" s="47" t="s">
        <v>2620</v>
      </c>
      <c r="B1964" s="92" t="s">
        <v>827</v>
      </c>
      <c r="C1964" s="92" t="s">
        <v>827</v>
      </c>
      <c r="D1964" s="72" t="str">
        <f>IFERROR(VLOOKUP(A1964,'[1]ST-QA-ZZ5'!$C$5:$M$299,11,0),"Inspection at production line")</f>
        <v>Inspection at production line</v>
      </c>
    </row>
    <row r="1965" spans="1:4" ht="13.8">
      <c r="A1965" s="47" t="s">
        <v>2417</v>
      </c>
      <c r="B1965" s="92" t="s">
        <v>2629</v>
      </c>
      <c r="C1965" s="92" t="s">
        <v>2629</v>
      </c>
      <c r="D1965" s="72" t="str">
        <f>IFERROR(VLOOKUP(A1965,'[1]ST-QA-ZZ5'!$C$5:$M$299,11,0),"Inspection at production line")</f>
        <v>Inspection at production line</v>
      </c>
    </row>
    <row r="1966" spans="1:4" ht="13.8">
      <c r="A1966" s="47" t="s">
        <v>2422</v>
      </c>
      <c r="B1966" s="92" t="s">
        <v>2423</v>
      </c>
      <c r="C1966" s="92" t="s">
        <v>6130</v>
      </c>
      <c r="D1966" s="72" t="str">
        <f>IFERROR(VLOOKUP(A1966,'[1]ST-QA-ZZ5'!$C$5:$M$299,11,0),"Inspection at production line")</f>
        <v>Inspection at production line</v>
      </c>
    </row>
    <row r="1967" spans="1:4" ht="13.8">
      <c r="A1967" s="47" t="s">
        <v>2428</v>
      </c>
      <c r="B1967" s="92" t="s">
        <v>1523</v>
      </c>
      <c r="C1967" s="92" t="s">
        <v>6131</v>
      </c>
      <c r="D1967" s="72" t="str">
        <f>IFERROR(VLOOKUP(A1967,'[1]ST-QA-ZZ5'!$C$5:$M$299,11,0),"Inspection at production line")</f>
        <v>Inspection at production line</v>
      </c>
    </row>
    <row r="1968" spans="1:4" ht="13.8">
      <c r="A1968" s="47" t="s">
        <v>6132</v>
      </c>
      <c r="B1968" s="92" t="s">
        <v>4093</v>
      </c>
      <c r="C1968" s="92" t="s">
        <v>6133</v>
      </c>
      <c r="D1968" s="72" t="str">
        <f>IFERROR(VLOOKUP(A1968,'[1]ST-QA-ZZ5'!$C$5:$M$299,11,0),"Inspection at production line")</f>
        <v>Inspection at production line</v>
      </c>
    </row>
    <row r="1969" spans="1:4" ht="13.8">
      <c r="A1969" s="47" t="s">
        <v>2432</v>
      </c>
      <c r="B1969" s="92" t="s">
        <v>1523</v>
      </c>
      <c r="C1969" s="92" t="s">
        <v>6134</v>
      </c>
      <c r="D1969" s="72" t="str">
        <f>IFERROR(VLOOKUP(A1969,'[1]ST-QA-ZZ5'!$C$5:$M$299,11,0),"Inspection at production line")</f>
        <v>Appearance check 100%</v>
      </c>
    </row>
    <row r="1970" spans="1:4" ht="13.8">
      <c r="A1970" s="47" t="s">
        <v>6135</v>
      </c>
      <c r="B1970" s="92" t="s">
        <v>1517</v>
      </c>
      <c r="C1970" s="92" t="s">
        <v>6136</v>
      </c>
      <c r="D1970" s="72" t="str">
        <f>IFERROR(VLOOKUP(A1970,'[1]ST-QA-ZZ5'!$C$5:$M$299,11,0),"Inspection at production line")</f>
        <v>Inspection at production line</v>
      </c>
    </row>
    <row r="1971" spans="1:4" ht="13.8">
      <c r="A1971" s="47" t="s">
        <v>2499</v>
      </c>
      <c r="B1971" s="92" t="s">
        <v>2500</v>
      </c>
      <c r="C1971" s="92" t="s">
        <v>2500</v>
      </c>
      <c r="D1971" s="72" t="str">
        <f>IFERROR(VLOOKUP(A1971,'[1]ST-QA-ZZ5'!$C$5:$M$299,11,0),"Inspection at production line")</f>
        <v>Inspection at production line</v>
      </c>
    </row>
    <row r="1972" spans="1:4" ht="13.8">
      <c r="A1972" s="47" t="s">
        <v>6137</v>
      </c>
      <c r="B1972" s="92" t="s">
        <v>1517</v>
      </c>
      <c r="C1972" s="92" t="s">
        <v>6138</v>
      </c>
      <c r="D1972" s="72" t="str">
        <f>IFERROR(VLOOKUP(A1972,'[1]ST-QA-ZZ5'!$C$5:$M$299,11,0),"Inspection at production line")</f>
        <v>Inspection at production line</v>
      </c>
    </row>
    <row r="1973" spans="1:4" ht="13.8">
      <c r="A1973" s="47" t="s">
        <v>6139</v>
      </c>
      <c r="B1973" s="92" t="s">
        <v>310</v>
      </c>
      <c r="C1973" s="92" t="s">
        <v>311</v>
      </c>
      <c r="D1973" s="72" t="str">
        <f>IFERROR(VLOOKUP(A1973,'[1]ST-QA-ZZ5'!$C$5:$M$299,11,0),"Inspection at production line")</f>
        <v>Inspection at production line</v>
      </c>
    </row>
    <row r="1974" spans="1:4" ht="13.8">
      <c r="A1974" s="47" t="s">
        <v>5171</v>
      </c>
      <c r="B1974" s="92" t="s">
        <v>818</v>
      </c>
      <c r="C1974" s="92" t="s">
        <v>5172</v>
      </c>
      <c r="D1974" s="72" t="str">
        <f>IFERROR(VLOOKUP(A1974,'[1]ST-QA-ZZ5'!$C$5:$M$299,11,0),"Inspection at production line")</f>
        <v>Inspection at production line</v>
      </c>
    </row>
    <row r="1975" spans="1:4" ht="13.8">
      <c r="A1975" s="47" t="s">
        <v>6140</v>
      </c>
      <c r="B1975" s="92" t="s">
        <v>1875</v>
      </c>
      <c r="C1975" s="92" t="s">
        <v>1876</v>
      </c>
      <c r="D1975" s="72" t="str">
        <f>IFERROR(VLOOKUP(A1975,'[1]ST-QA-ZZ5'!$C$5:$M$299,11,0),"Inspection at production line")</f>
        <v>Inspection at production line</v>
      </c>
    </row>
    <row r="1976" spans="1:4" ht="13.8">
      <c r="A1976" s="47" t="s">
        <v>2466</v>
      </c>
      <c r="B1976" s="92" t="s">
        <v>6141</v>
      </c>
      <c r="C1976" s="92" t="s">
        <v>6142</v>
      </c>
      <c r="D1976" s="72" t="str">
        <f>IFERROR(VLOOKUP(A1976,'[1]ST-QA-ZZ5'!$C$5:$M$299,11,0),"Inspection at production line")</f>
        <v>Inspection at production line</v>
      </c>
    </row>
    <row r="1977" spans="1:4" ht="13.8">
      <c r="A1977" s="47" t="s">
        <v>2470</v>
      </c>
      <c r="B1977" s="92" t="s">
        <v>57</v>
      </c>
      <c r="C1977" s="92" t="s">
        <v>6143</v>
      </c>
      <c r="D1977" s="72" t="str">
        <f>IFERROR(VLOOKUP(A1977,'[1]ST-QA-ZZ5'!$C$5:$M$299,11,0),"Inspection at production line")</f>
        <v>Inspection at production line</v>
      </c>
    </row>
    <row r="1978" spans="1:4" ht="13.8">
      <c r="A1978" s="47" t="s">
        <v>2475</v>
      </c>
      <c r="B1978" s="92" t="s">
        <v>119</v>
      </c>
      <c r="C1978" s="92" t="s">
        <v>6144</v>
      </c>
      <c r="D1978" s="72" t="str">
        <f>IFERROR(VLOOKUP(A1978,'[1]ST-QA-ZZ5'!$C$5:$M$299,11,0),"Inspection at production line")</f>
        <v>Inspection at production line</v>
      </c>
    </row>
    <row r="1979" spans="1:4" ht="13.8">
      <c r="A1979" s="47" t="s">
        <v>2479</v>
      </c>
      <c r="B1979" s="92" t="s">
        <v>1177</v>
      </c>
      <c r="C1979" s="92" t="s">
        <v>2480</v>
      </c>
      <c r="D1979" s="72" t="str">
        <f>IFERROR(VLOOKUP(A1979,'[1]ST-QA-ZZ5'!$C$5:$M$299,11,0),"Inspection at production line")</f>
        <v>Inspection at production line</v>
      </c>
    </row>
    <row r="1980" spans="1:4" ht="13.8">
      <c r="A1980" s="47" t="s">
        <v>6145</v>
      </c>
      <c r="B1980" s="92" t="s">
        <v>797</v>
      </c>
      <c r="C1980" s="92" t="s">
        <v>6146</v>
      </c>
      <c r="D1980" s="72" t="str">
        <f>IFERROR(VLOOKUP(A1980,'[1]ST-QA-ZZ5'!$C$5:$M$299,11,0),"Inspection at production line")</f>
        <v>Inspection at production line</v>
      </c>
    </row>
    <row r="1981" spans="1:4" ht="13.8">
      <c r="A1981" s="47" t="s">
        <v>6147</v>
      </c>
      <c r="B1981" s="92" t="s">
        <v>6148</v>
      </c>
      <c r="C1981" s="92" t="s">
        <v>6148</v>
      </c>
      <c r="D1981" s="72" t="str">
        <f>IFERROR(VLOOKUP(A1981,'[1]ST-QA-ZZ5'!$C$5:$M$299,11,0),"Inspection at production line")</f>
        <v>Inspection at production line</v>
      </c>
    </row>
    <row r="1982" spans="1:4" ht="13.8">
      <c r="A1982" s="47" t="s">
        <v>6149</v>
      </c>
      <c r="B1982" s="92" t="s">
        <v>797</v>
      </c>
      <c r="C1982" s="92" t="s">
        <v>6150</v>
      </c>
      <c r="D1982" s="72" t="str">
        <f>IFERROR(VLOOKUP(A1982,'[1]ST-QA-ZZ5'!$C$5:$M$299,11,0),"Inspection at production line")</f>
        <v>Inspection at production line</v>
      </c>
    </row>
    <row r="1983" spans="1:4" ht="13.8">
      <c r="A1983" s="47" t="s">
        <v>6151</v>
      </c>
      <c r="B1983" s="92" t="s">
        <v>6152</v>
      </c>
      <c r="C1983" s="92" t="s">
        <v>6152</v>
      </c>
      <c r="D1983" s="72" t="str">
        <f>IFERROR(VLOOKUP(A1983,'[1]ST-QA-ZZ5'!$C$5:$M$299,11,0),"Inspection at production line")</f>
        <v>Inspection at production line</v>
      </c>
    </row>
    <row r="1984" spans="1:4" ht="13.8">
      <c r="A1984" s="47" t="s">
        <v>6153</v>
      </c>
      <c r="B1984" s="92" t="s">
        <v>6154</v>
      </c>
      <c r="C1984" s="92" t="s">
        <v>6154</v>
      </c>
      <c r="D1984" s="72" t="str">
        <f>IFERROR(VLOOKUP(A1984,'[1]ST-QA-ZZ5'!$C$5:$M$299,11,0),"Inspection at production line")</f>
        <v>Inspection at production line</v>
      </c>
    </row>
    <row r="1985" spans="1:4" ht="13.8">
      <c r="A1985" s="47" t="s">
        <v>6155</v>
      </c>
      <c r="B1985" s="92" t="s">
        <v>213</v>
      </c>
      <c r="C1985" s="92" t="s">
        <v>213</v>
      </c>
      <c r="D1985" s="72" t="str">
        <f>IFERROR(VLOOKUP(A1985,'[1]ST-QA-ZZ5'!$C$5:$M$299,11,0),"Inspection at production line")</f>
        <v>Inspection at production line</v>
      </c>
    </row>
    <row r="1986" spans="1:4" ht="13.8">
      <c r="A1986" s="47" t="s">
        <v>6156</v>
      </c>
      <c r="B1986" s="92" t="s">
        <v>75</v>
      </c>
      <c r="C1986" s="92" t="s">
        <v>6157</v>
      </c>
      <c r="D1986" s="72" t="str">
        <f>IFERROR(VLOOKUP(A1986,'[1]ST-QA-ZZ5'!$C$5:$M$299,11,0),"Inspection at production line")</f>
        <v>Inspection at production line</v>
      </c>
    </row>
    <row r="1987" spans="1:4" ht="13.8">
      <c r="A1987" s="47" t="s">
        <v>6158</v>
      </c>
      <c r="B1987" s="92" t="s">
        <v>75</v>
      </c>
      <c r="C1987" s="92" t="s">
        <v>6159</v>
      </c>
      <c r="D1987" s="72" t="str">
        <f>IFERROR(VLOOKUP(A1987,'[1]ST-QA-ZZ5'!$C$5:$M$299,11,0),"Inspection at production line")</f>
        <v>Inspection at production line</v>
      </c>
    </row>
    <row r="1988" spans="1:4" ht="13.8">
      <c r="A1988" s="47" t="s">
        <v>6160</v>
      </c>
      <c r="B1988" s="92" t="s">
        <v>75</v>
      </c>
      <c r="C1988" s="92" t="s">
        <v>6161</v>
      </c>
      <c r="D1988" s="72" t="str">
        <f>IFERROR(VLOOKUP(A1988,'[1]ST-QA-ZZ5'!$C$5:$M$299,11,0),"Inspection at production line")</f>
        <v>Inspection at production line</v>
      </c>
    </row>
    <row r="1989" spans="1:4" ht="13.8">
      <c r="A1989" s="47" t="s">
        <v>6162</v>
      </c>
      <c r="B1989" s="92" t="s">
        <v>75</v>
      </c>
      <c r="C1989" s="92" t="s">
        <v>6163</v>
      </c>
      <c r="D1989" s="72" t="str">
        <f>IFERROR(VLOOKUP(A1989,'[1]ST-QA-ZZ5'!$C$5:$M$299,11,0),"Inspection at production line")</f>
        <v>Inspection at production line</v>
      </c>
    </row>
    <row r="1990" spans="1:4" ht="13.8">
      <c r="A1990" s="47" t="s">
        <v>6164</v>
      </c>
      <c r="B1990" s="92" t="s">
        <v>75</v>
      </c>
      <c r="C1990" s="92" t="s">
        <v>6165</v>
      </c>
      <c r="D1990" s="72" t="str">
        <f>IFERROR(VLOOKUP(A1990,'[1]ST-QA-ZZ5'!$C$5:$M$299,11,0),"Inspection at production line")</f>
        <v>Inspection at production line</v>
      </c>
    </row>
    <row r="1991" spans="1:4" ht="13.8">
      <c r="A1991" s="47" t="s">
        <v>6166</v>
      </c>
      <c r="B1991" s="92" t="s">
        <v>75</v>
      </c>
      <c r="C1991" s="92" t="s">
        <v>6167</v>
      </c>
      <c r="D1991" s="72" t="str">
        <f>IFERROR(VLOOKUP(A1991,'[1]ST-QA-ZZ5'!$C$5:$M$299,11,0),"Inspection at production line")</f>
        <v>Inspection at production line</v>
      </c>
    </row>
    <row r="1992" spans="1:4" ht="13.8">
      <c r="A1992" s="47" t="s">
        <v>6168</v>
      </c>
      <c r="B1992" s="92" t="s">
        <v>75</v>
      </c>
      <c r="C1992" s="92" t="s">
        <v>6169</v>
      </c>
      <c r="D1992" s="72" t="str">
        <f>IFERROR(VLOOKUP(A1992,'[1]ST-QA-ZZ5'!$C$5:$M$299,11,0),"Inspection at production line")</f>
        <v>Inspection at production line</v>
      </c>
    </row>
    <row r="1993" spans="1:4" ht="13.8">
      <c r="A1993" s="47" t="s">
        <v>6170</v>
      </c>
      <c r="B1993" s="92" t="s">
        <v>75</v>
      </c>
      <c r="C1993" s="92" t="s">
        <v>6171</v>
      </c>
      <c r="D1993" s="72" t="str">
        <f>IFERROR(VLOOKUP(A1993,'[1]ST-QA-ZZ5'!$C$5:$M$299,11,0),"Inspection at production line")</f>
        <v>Inspection at production line</v>
      </c>
    </row>
    <row r="1994" spans="1:4" ht="13.8">
      <c r="A1994" s="47" t="s">
        <v>6172</v>
      </c>
      <c r="B1994" s="92" t="s">
        <v>75</v>
      </c>
      <c r="C1994" s="92" t="s">
        <v>6173</v>
      </c>
      <c r="D1994" s="72" t="str">
        <f>IFERROR(VLOOKUP(A1994,'[1]ST-QA-ZZ5'!$C$5:$M$299,11,0),"Inspection at production line")</f>
        <v>Inspection at production line</v>
      </c>
    </row>
    <row r="1995" spans="1:4" ht="13.8">
      <c r="A1995" s="47" t="s">
        <v>6174</v>
      </c>
      <c r="B1995" s="92" t="s">
        <v>75</v>
      </c>
      <c r="C1995" s="92" t="s">
        <v>6175</v>
      </c>
      <c r="D1995" s="72" t="str">
        <f>IFERROR(VLOOKUP(A1995,'[1]ST-QA-ZZ5'!$C$5:$M$299,11,0),"Inspection at production line")</f>
        <v>Inspection at production line</v>
      </c>
    </row>
    <row r="1996" spans="1:4" ht="13.8">
      <c r="A1996" s="47" t="s">
        <v>6176</v>
      </c>
      <c r="B1996" s="92" t="s">
        <v>75</v>
      </c>
      <c r="C1996" s="92" t="s">
        <v>6177</v>
      </c>
      <c r="D1996" s="72" t="str">
        <f>IFERROR(VLOOKUP(A1996,'[1]ST-QA-ZZ5'!$C$5:$M$299,11,0),"Inspection at production line")</f>
        <v>Inspection at production line</v>
      </c>
    </row>
    <row r="1997" spans="1:4" ht="13.8">
      <c r="A1997" s="47" t="s">
        <v>6178</v>
      </c>
      <c r="B1997" s="92" t="s">
        <v>75</v>
      </c>
      <c r="C1997" s="92" t="s">
        <v>5795</v>
      </c>
      <c r="D1997" s="72" t="str">
        <f>IFERROR(VLOOKUP(A1997,'[1]ST-QA-ZZ5'!$C$5:$M$299,11,0),"Inspection at production line")</f>
        <v>Inspection at production line</v>
      </c>
    </row>
    <row r="1998" spans="1:4" ht="13.8">
      <c r="A1998" s="47" t="s">
        <v>6179</v>
      </c>
      <c r="B1998" s="92" t="s">
        <v>75</v>
      </c>
      <c r="C1998" s="92" t="s">
        <v>6180</v>
      </c>
      <c r="D1998" s="72" t="str">
        <f>IFERROR(VLOOKUP(A1998,'[1]ST-QA-ZZ5'!$C$5:$M$299,11,0),"Inspection at production line")</f>
        <v>Inspection at production line</v>
      </c>
    </row>
    <row r="1999" spans="1:4" ht="13.8">
      <c r="A1999" s="47" t="s">
        <v>6181</v>
      </c>
      <c r="B1999" s="92" t="s">
        <v>75</v>
      </c>
      <c r="C1999" s="92" t="s">
        <v>6182</v>
      </c>
      <c r="D1999" s="72" t="str">
        <f>IFERROR(VLOOKUP(A1999,'[1]ST-QA-ZZ5'!$C$5:$M$299,11,0),"Inspection at production line")</f>
        <v>Inspection at production line</v>
      </c>
    </row>
    <row r="2000" spans="1:4" ht="13.8">
      <c r="A2000" s="47" t="s">
        <v>6183</v>
      </c>
      <c r="B2000" s="92" t="s">
        <v>75</v>
      </c>
      <c r="C2000" s="92" t="s">
        <v>6184</v>
      </c>
      <c r="D2000" s="72" t="str">
        <f>IFERROR(VLOOKUP(A2000,'[1]ST-QA-ZZ5'!$C$5:$M$299,11,0),"Inspection at production line")</f>
        <v>Inspection at production line</v>
      </c>
    </row>
    <row r="2001" spans="1:4" ht="13.8">
      <c r="A2001" s="47" t="s">
        <v>6185</v>
      </c>
      <c r="B2001" s="92" t="s">
        <v>75</v>
      </c>
      <c r="C2001" s="92" t="s">
        <v>6186</v>
      </c>
      <c r="D2001" s="72" t="str">
        <f>IFERROR(VLOOKUP(A2001,'[1]ST-QA-ZZ5'!$C$5:$M$299,11,0),"Inspection at production line")</f>
        <v>Inspection at production line</v>
      </c>
    </row>
    <row r="2002" spans="1:4" ht="13.8">
      <c r="A2002" s="47" t="s">
        <v>6187</v>
      </c>
      <c r="B2002" s="92" t="s">
        <v>75</v>
      </c>
      <c r="C2002" s="92" t="s">
        <v>6188</v>
      </c>
      <c r="D2002" s="72" t="str">
        <f>IFERROR(VLOOKUP(A2002,'[1]ST-QA-ZZ5'!$C$5:$M$299,11,0),"Inspection at production line")</f>
        <v>Inspection at production line</v>
      </c>
    </row>
    <row r="2003" spans="1:4" ht="13.8">
      <c r="A2003" s="47" t="s">
        <v>6189</v>
      </c>
      <c r="B2003" s="92" t="s">
        <v>75</v>
      </c>
      <c r="C2003" s="92" t="s">
        <v>6190</v>
      </c>
      <c r="D2003" s="72" t="str">
        <f>IFERROR(VLOOKUP(A2003,'[1]ST-QA-ZZ5'!$C$5:$M$299,11,0),"Inspection at production line")</f>
        <v>Inspection at production line</v>
      </c>
    </row>
    <row r="2004" spans="1:4" ht="13.8">
      <c r="A2004" s="47" t="s">
        <v>6191</v>
      </c>
      <c r="B2004" s="92" t="s">
        <v>75</v>
      </c>
      <c r="C2004" s="92" t="s">
        <v>6192</v>
      </c>
      <c r="D2004" s="72" t="str">
        <f>IFERROR(VLOOKUP(A2004,'[1]ST-QA-ZZ5'!$C$5:$M$299,11,0),"Inspection at production line")</f>
        <v>Inspection at production line</v>
      </c>
    </row>
    <row r="2005" spans="1:4" ht="13.8">
      <c r="A2005" s="47" t="s">
        <v>6193</v>
      </c>
      <c r="B2005" s="92" t="s">
        <v>75</v>
      </c>
      <c r="C2005" s="92" t="s">
        <v>6194</v>
      </c>
      <c r="D2005" s="72" t="str">
        <f>IFERROR(VLOOKUP(A2005,'[1]ST-QA-ZZ5'!$C$5:$M$299,11,0),"Inspection at production line")</f>
        <v>Inspection at production line</v>
      </c>
    </row>
    <row r="2006" spans="1:4" ht="13.8">
      <c r="A2006" s="47" t="s">
        <v>6195</v>
      </c>
      <c r="B2006" s="92" t="s">
        <v>75</v>
      </c>
      <c r="C2006" s="92" t="s">
        <v>5803</v>
      </c>
      <c r="D2006" s="72" t="str">
        <f>IFERROR(VLOOKUP(A2006,'[1]ST-QA-ZZ5'!$C$5:$M$299,11,0),"Inspection at production line")</f>
        <v>Inspection at production line</v>
      </c>
    </row>
    <row r="2007" spans="1:4" ht="13.8">
      <c r="A2007" s="47" t="s">
        <v>6196</v>
      </c>
      <c r="B2007" s="92" t="s">
        <v>75</v>
      </c>
      <c r="C2007" s="92" t="s">
        <v>5804</v>
      </c>
      <c r="D2007" s="72" t="str">
        <f>IFERROR(VLOOKUP(A2007,'[1]ST-QA-ZZ5'!$C$5:$M$299,11,0),"Inspection at production line")</f>
        <v>Inspection at production line</v>
      </c>
    </row>
    <row r="2008" spans="1:4" ht="13.8">
      <c r="A2008" s="47" t="s">
        <v>6197</v>
      </c>
      <c r="B2008" s="92" t="s">
        <v>75</v>
      </c>
      <c r="C2008" s="92" t="s">
        <v>6198</v>
      </c>
      <c r="D2008" s="72" t="str">
        <f>IFERROR(VLOOKUP(A2008,'[1]ST-QA-ZZ5'!$C$5:$M$299,11,0),"Inspection at production line")</f>
        <v>Inspection at production line</v>
      </c>
    </row>
    <row r="2009" spans="1:4" ht="13.8">
      <c r="A2009" s="47" t="s">
        <v>6199</v>
      </c>
      <c r="B2009" s="92" t="s">
        <v>75</v>
      </c>
      <c r="C2009" s="92" t="s">
        <v>6200</v>
      </c>
      <c r="D2009" s="72" t="str">
        <f>IFERROR(VLOOKUP(A2009,'[1]ST-QA-ZZ5'!$C$5:$M$299,11,0),"Inspection at production line")</f>
        <v>Inspection at production line</v>
      </c>
    </row>
    <row r="2010" spans="1:4" ht="13.8">
      <c r="A2010" s="47" t="s">
        <v>6201</v>
      </c>
      <c r="B2010" s="92" t="s">
        <v>75</v>
      </c>
      <c r="C2010" s="92" t="s">
        <v>6202</v>
      </c>
      <c r="D2010" s="72" t="str">
        <f>IFERROR(VLOOKUP(A2010,'[1]ST-QA-ZZ5'!$C$5:$M$299,11,0),"Inspection at production line")</f>
        <v>Inspection at production line</v>
      </c>
    </row>
    <row r="2011" spans="1:4" ht="13.8">
      <c r="A2011" s="47" t="s">
        <v>6203</v>
      </c>
      <c r="B2011" s="92" t="s">
        <v>75</v>
      </c>
      <c r="C2011" s="92" t="s">
        <v>6204</v>
      </c>
      <c r="D2011" s="72" t="str">
        <f>IFERROR(VLOOKUP(A2011,'[1]ST-QA-ZZ5'!$C$5:$M$299,11,0),"Inspection at production line")</f>
        <v>Inspection at production line</v>
      </c>
    </row>
    <row r="2012" spans="1:4" ht="13.8">
      <c r="A2012" s="47" t="s">
        <v>6205</v>
      </c>
      <c r="B2012" s="92" t="s">
        <v>1554</v>
      </c>
      <c r="C2012" s="92" t="s">
        <v>6206</v>
      </c>
      <c r="D2012" s="72" t="str">
        <f>IFERROR(VLOOKUP(A2012,'[1]ST-QA-ZZ5'!$C$5:$M$299,11,0),"Inspection at production line")</f>
        <v>Inspection at production line</v>
      </c>
    </row>
    <row r="2013" spans="1:4" ht="13.8">
      <c r="A2013" s="47" t="s">
        <v>6207</v>
      </c>
      <c r="B2013" s="92" t="s">
        <v>1554</v>
      </c>
      <c r="C2013" s="92" t="s">
        <v>6208</v>
      </c>
      <c r="D2013" s="72" t="str">
        <f>IFERROR(VLOOKUP(A2013,'[1]ST-QA-ZZ5'!$C$5:$M$299,11,0),"Inspection at production line")</f>
        <v>Inspection at production line</v>
      </c>
    </row>
    <row r="2014" spans="1:4" ht="13.8">
      <c r="A2014" s="47" t="s">
        <v>6209</v>
      </c>
      <c r="B2014" s="92" t="s">
        <v>1554</v>
      </c>
      <c r="C2014" s="92" t="s">
        <v>6210</v>
      </c>
      <c r="D2014" s="72" t="str">
        <f>IFERROR(VLOOKUP(A2014,'[1]ST-QA-ZZ5'!$C$5:$M$299,11,0),"Inspection at production line")</f>
        <v>Inspection at production line</v>
      </c>
    </row>
    <row r="2015" spans="1:4" ht="13.8">
      <c r="A2015" s="47" t="s">
        <v>6211</v>
      </c>
      <c r="B2015" s="92" t="s">
        <v>1554</v>
      </c>
      <c r="C2015" s="92" t="s">
        <v>6212</v>
      </c>
      <c r="D2015" s="72" t="str">
        <f>IFERROR(VLOOKUP(A2015,'[1]ST-QA-ZZ5'!$C$5:$M$299,11,0),"Inspection at production line")</f>
        <v>Inspection at production line</v>
      </c>
    </row>
    <row r="2016" spans="1:4" ht="13.8">
      <c r="A2016" s="47" t="s">
        <v>6213</v>
      </c>
      <c r="B2016" s="92" t="s">
        <v>1543</v>
      </c>
      <c r="C2016" s="92" t="s">
        <v>6214</v>
      </c>
      <c r="D2016" s="72" t="str">
        <f>IFERROR(VLOOKUP(A2016,'[1]ST-QA-ZZ5'!$C$5:$M$299,11,0),"Inspection at production line")</f>
        <v>Inspection at production line</v>
      </c>
    </row>
    <row r="2017" spans="1:4" ht="13.8">
      <c r="A2017" s="47" t="s">
        <v>6215</v>
      </c>
      <c r="B2017" s="92" t="s">
        <v>1543</v>
      </c>
      <c r="C2017" s="92" t="s">
        <v>6216</v>
      </c>
      <c r="D2017" s="72" t="str">
        <f>IFERROR(VLOOKUP(A2017,'[1]ST-QA-ZZ5'!$C$5:$M$299,11,0),"Inspection at production line")</f>
        <v>Inspection at production line</v>
      </c>
    </row>
    <row r="2018" spans="1:4" ht="13.8">
      <c r="A2018" s="47" t="s">
        <v>6217</v>
      </c>
      <c r="B2018" s="92" t="s">
        <v>1543</v>
      </c>
      <c r="C2018" s="92" t="s">
        <v>6218</v>
      </c>
      <c r="D2018" s="72" t="str">
        <f>IFERROR(VLOOKUP(A2018,'[1]ST-QA-ZZ5'!$C$5:$M$299,11,0),"Inspection at production line")</f>
        <v>Inspection at production line</v>
      </c>
    </row>
    <row r="2019" spans="1:4" ht="13.8">
      <c r="A2019" s="47" t="s">
        <v>6219</v>
      </c>
      <c r="B2019" s="92" t="s">
        <v>1896</v>
      </c>
      <c r="C2019" s="92" t="s">
        <v>6220</v>
      </c>
      <c r="D2019" s="72" t="str">
        <f>IFERROR(VLOOKUP(A2019,'[1]ST-QA-ZZ5'!$C$5:$M$299,11,0),"Inspection at production line")</f>
        <v>Inspection at production line</v>
      </c>
    </row>
    <row r="2020" spans="1:4" ht="13.8">
      <c r="A2020" s="47" t="s">
        <v>5130</v>
      </c>
      <c r="B2020" s="92" t="s">
        <v>1896</v>
      </c>
      <c r="C2020" s="92" t="s">
        <v>5131</v>
      </c>
      <c r="D2020" s="72" t="str">
        <f>IFERROR(VLOOKUP(A2020,'[1]ST-QA-ZZ5'!$C$5:$M$299,11,0),"Inspection at production line")</f>
        <v>Inspection at production line</v>
      </c>
    </row>
    <row r="2021" spans="1:4" ht="13.8">
      <c r="A2021" s="47" t="s">
        <v>6221</v>
      </c>
      <c r="B2021" s="92" t="s">
        <v>1554</v>
      </c>
      <c r="C2021" s="92" t="s">
        <v>6222</v>
      </c>
      <c r="D2021" s="72" t="str">
        <f>IFERROR(VLOOKUP(A2021,'[1]ST-QA-ZZ5'!$C$5:$M$299,11,0),"Inspection at production line")</f>
        <v>Inspection at production line</v>
      </c>
    </row>
    <row r="2022" spans="1:4" ht="13.8">
      <c r="A2022" s="47" t="s">
        <v>6223</v>
      </c>
      <c r="B2022" s="92" t="s">
        <v>68</v>
      </c>
      <c r="C2022" s="92" t="s">
        <v>6224</v>
      </c>
      <c r="D2022" s="72" t="str">
        <f>IFERROR(VLOOKUP(A2022,'[1]ST-QA-ZZ5'!$C$5:$M$299,11,0),"Inspection at production line")</f>
        <v>Inspection at production line</v>
      </c>
    </row>
    <row r="2023" spans="1:4" ht="13.8">
      <c r="A2023" s="47" t="s">
        <v>2580</v>
      </c>
      <c r="B2023" s="92" t="s">
        <v>174</v>
      </c>
      <c r="C2023" s="92" t="s">
        <v>476</v>
      </c>
      <c r="D2023" s="72" t="str">
        <f>IFERROR(VLOOKUP(A2023,'[1]ST-QA-ZZ5'!$C$5:$M$299,11,0),"Inspection at production line")</f>
        <v>Inspection at production line</v>
      </c>
    </row>
    <row r="2024" spans="1:4" ht="13.8">
      <c r="A2024" s="47" t="s">
        <v>6225</v>
      </c>
      <c r="B2024" s="92" t="s">
        <v>174</v>
      </c>
      <c r="C2024" s="92" t="s">
        <v>517</v>
      </c>
      <c r="D2024" s="72" t="str">
        <f>IFERROR(VLOOKUP(A2024,'[1]ST-QA-ZZ5'!$C$5:$M$299,11,0),"Inspection at production line")</f>
        <v>Inspection at production line</v>
      </c>
    </row>
    <row r="2025" spans="1:4" ht="13.8">
      <c r="A2025" s="47" t="s">
        <v>6226</v>
      </c>
      <c r="B2025" s="92" t="s">
        <v>174</v>
      </c>
      <c r="C2025" s="92" t="s">
        <v>6227</v>
      </c>
      <c r="D2025" s="72" t="str">
        <f>IFERROR(VLOOKUP(A2025,'[1]ST-QA-ZZ5'!$C$5:$M$299,11,0),"Inspection at production line")</f>
        <v>Inspection at production line</v>
      </c>
    </row>
    <row r="2026" spans="1:4" ht="13.8">
      <c r="A2026" s="47" t="s">
        <v>6228</v>
      </c>
      <c r="B2026" s="92" t="s">
        <v>174</v>
      </c>
      <c r="C2026" s="92" t="s">
        <v>5115</v>
      </c>
      <c r="D2026" s="72" t="str">
        <f>IFERROR(VLOOKUP(A2026,'[1]ST-QA-ZZ5'!$C$5:$M$299,11,0),"Inspection at production line")</f>
        <v>Inspection at production line</v>
      </c>
    </row>
    <row r="2027" spans="1:4" ht="13.8">
      <c r="A2027" s="47" t="s">
        <v>6229</v>
      </c>
      <c r="B2027" s="92" t="s">
        <v>174</v>
      </c>
      <c r="C2027" s="92" t="s">
        <v>2005</v>
      </c>
      <c r="D2027" s="72" t="str">
        <f>IFERROR(VLOOKUP(A2027,'[1]ST-QA-ZZ5'!$C$5:$M$299,11,0),"Inspection at production line")</f>
        <v>Inspection at production line</v>
      </c>
    </row>
    <row r="2028" spans="1:4" ht="13.8">
      <c r="A2028" s="47" t="s">
        <v>6230</v>
      </c>
      <c r="B2028" s="92" t="s">
        <v>174</v>
      </c>
      <c r="C2028" s="92" t="s">
        <v>6231</v>
      </c>
      <c r="D2028" s="72" t="str">
        <f>IFERROR(VLOOKUP(A2028,'[1]ST-QA-ZZ5'!$C$5:$M$299,11,0),"Inspection at production line")</f>
        <v>Inspection at production line</v>
      </c>
    </row>
    <row r="2029" spans="1:4" ht="13.8">
      <c r="A2029" s="47" t="s">
        <v>2636</v>
      </c>
      <c r="B2029" s="92" t="s">
        <v>174</v>
      </c>
      <c r="C2029" s="92" t="s">
        <v>498</v>
      </c>
      <c r="D2029" s="72" t="str">
        <f>IFERROR(VLOOKUP(A2029,'[1]ST-QA-ZZ5'!$C$5:$M$299,11,0),"Inspection at production line")</f>
        <v>Inspection at production line</v>
      </c>
    </row>
    <row r="2030" spans="1:4" ht="13.8">
      <c r="A2030" s="47" t="s">
        <v>2616</v>
      </c>
      <c r="B2030" s="92" t="s">
        <v>174</v>
      </c>
      <c r="C2030" s="92" t="s">
        <v>6232</v>
      </c>
      <c r="D2030" s="72" t="str">
        <f>IFERROR(VLOOKUP(A2030,'[1]ST-QA-ZZ5'!$C$5:$M$299,11,0),"Inspection at production line")</f>
        <v>Inspection at production line</v>
      </c>
    </row>
    <row r="2031" spans="1:4" ht="13.8">
      <c r="A2031" s="47" t="s">
        <v>2496</v>
      </c>
      <c r="B2031" s="92" t="s">
        <v>1975</v>
      </c>
      <c r="C2031" s="92" t="s">
        <v>1976</v>
      </c>
      <c r="D2031" s="72" t="str">
        <f>IFERROR(VLOOKUP(A2031,'[1]ST-QA-ZZ5'!$C$5:$M$299,11,0),"Inspection at production line")</f>
        <v>Inspection at production line</v>
      </c>
    </row>
    <row r="2032" spans="1:4" ht="13.8">
      <c r="A2032" s="47" t="s">
        <v>6233</v>
      </c>
      <c r="B2032" s="92" t="s">
        <v>2037</v>
      </c>
      <c r="C2032" s="92" t="s">
        <v>2037</v>
      </c>
      <c r="D2032" s="72" t="str">
        <f>IFERROR(VLOOKUP(A2032,'[1]ST-QA-ZZ5'!$C$5:$M$299,11,0),"Inspection at production line")</f>
        <v>Inspection at production line</v>
      </c>
    </row>
    <row r="2033" spans="1:4" ht="13.8">
      <c r="A2033" s="47" t="s">
        <v>6234</v>
      </c>
      <c r="B2033" s="92" t="s">
        <v>857</v>
      </c>
      <c r="C2033" s="92" t="s">
        <v>5033</v>
      </c>
      <c r="D2033" s="72" t="str">
        <f>IFERROR(VLOOKUP(A2033,'[1]ST-QA-ZZ5'!$C$5:$M$299,11,0),"Inspection at production line")</f>
        <v>Inspection at production line</v>
      </c>
    </row>
    <row r="2034" spans="1:4" ht="13.8">
      <c r="A2034" s="47" t="s">
        <v>6235</v>
      </c>
      <c r="B2034" s="92" t="s">
        <v>6236</v>
      </c>
      <c r="C2034" s="92" t="s">
        <v>6237</v>
      </c>
      <c r="D2034" s="72" t="str">
        <f>IFERROR(VLOOKUP(A2034,'[1]ST-QA-ZZ5'!$C$5:$M$299,11,0),"Inspection at production line")</f>
        <v>Inspection at production line</v>
      </c>
    </row>
    <row r="2035" spans="1:4" ht="13.8">
      <c r="A2035" s="47" t="s">
        <v>6238</v>
      </c>
      <c r="B2035" s="92" t="s">
        <v>6236</v>
      </c>
      <c r="C2035" s="92" t="s">
        <v>6239</v>
      </c>
      <c r="D2035" s="72" t="str">
        <f>IFERROR(VLOOKUP(A2035,'[1]ST-QA-ZZ5'!$C$5:$M$299,11,0),"Inspection at production line")</f>
        <v>Inspection at production line</v>
      </c>
    </row>
    <row r="2036" spans="1:4" ht="13.8">
      <c r="A2036" s="47" t="s">
        <v>6240</v>
      </c>
      <c r="B2036" s="92" t="s">
        <v>6236</v>
      </c>
      <c r="C2036" s="92" t="s">
        <v>6241</v>
      </c>
      <c r="D2036" s="72" t="str">
        <f>IFERROR(VLOOKUP(A2036,'[1]ST-QA-ZZ5'!$C$5:$M$299,11,0),"Inspection at production line")</f>
        <v>Inspection at production line</v>
      </c>
    </row>
    <row r="2037" spans="1:4" ht="13.8">
      <c r="A2037" s="47" t="s">
        <v>6242</v>
      </c>
      <c r="B2037" s="92" t="s">
        <v>6236</v>
      </c>
      <c r="C2037" s="92" t="s">
        <v>6243</v>
      </c>
      <c r="D2037" s="72" t="str">
        <f>IFERROR(VLOOKUP(A2037,'[1]ST-QA-ZZ5'!$C$5:$M$299,11,0),"Inspection at production line")</f>
        <v>Inspection at production line</v>
      </c>
    </row>
    <row r="2038" spans="1:4" ht="13.8">
      <c r="A2038" s="47" t="s">
        <v>6244</v>
      </c>
      <c r="B2038" s="92" t="s">
        <v>1896</v>
      </c>
      <c r="C2038" s="92" t="s">
        <v>6245</v>
      </c>
      <c r="D2038" s="72" t="str">
        <f>IFERROR(VLOOKUP(A2038,'[1]ST-QA-ZZ5'!$C$5:$M$299,11,0),"Inspection at production line")</f>
        <v>Inspection at production line</v>
      </c>
    </row>
    <row r="2039" spans="1:4" ht="13.8">
      <c r="A2039" s="47" t="s">
        <v>6246</v>
      </c>
      <c r="B2039" s="92" t="s">
        <v>90</v>
      </c>
      <c r="C2039" s="92" t="s">
        <v>6247</v>
      </c>
      <c r="D2039" s="72" t="str">
        <f>IFERROR(VLOOKUP(A2039,'[1]ST-QA-ZZ5'!$C$5:$M$299,11,0),"Inspection at production line")</f>
        <v>Inspection at production line</v>
      </c>
    </row>
    <row r="2040" spans="1:4" ht="13.8">
      <c r="A2040" s="47" t="s">
        <v>6248</v>
      </c>
      <c r="B2040" s="92" t="s">
        <v>4634</v>
      </c>
      <c r="C2040" s="92" t="s">
        <v>6249</v>
      </c>
      <c r="D2040" s="72" t="str">
        <f>IFERROR(VLOOKUP(A2040,'[1]ST-QA-ZZ5'!$C$5:$M$299,11,0),"Inspection at production line")</f>
        <v>Inspection at production line</v>
      </c>
    </row>
    <row r="2041" spans="1:4" ht="13.8">
      <c r="A2041" s="47" t="s">
        <v>6250</v>
      </c>
      <c r="B2041" s="92" t="s">
        <v>174</v>
      </c>
      <c r="C2041" s="92" t="s">
        <v>6251</v>
      </c>
      <c r="D2041" s="72" t="str">
        <f>IFERROR(VLOOKUP(A2041,'[1]ST-QA-ZZ5'!$C$5:$M$299,11,0),"Inspection at production line")</f>
        <v>Inspection at production line</v>
      </c>
    </row>
    <row r="2042" spans="1:4" ht="13.8">
      <c r="A2042" s="47" t="s">
        <v>6252</v>
      </c>
      <c r="B2042" s="92" t="s">
        <v>1949</v>
      </c>
      <c r="C2042" s="92" t="s">
        <v>6253</v>
      </c>
      <c r="D2042" s="72" t="str">
        <f>IFERROR(VLOOKUP(A2042,'[1]ST-QA-ZZ5'!$C$5:$M$299,11,0),"Inspection at production line")</f>
        <v>Inspection at production line</v>
      </c>
    </row>
    <row r="2043" spans="1:4" ht="13.8">
      <c r="A2043" s="47" t="s">
        <v>6254</v>
      </c>
      <c r="B2043" s="92" t="s">
        <v>104</v>
      </c>
      <c r="C2043" s="92" t="s">
        <v>6255</v>
      </c>
      <c r="D2043" s="72" t="str">
        <f>IFERROR(VLOOKUP(A2043,'[1]ST-QA-ZZ5'!$C$5:$M$299,11,0),"Inspection at production line")</f>
        <v>Inspection at production line</v>
      </c>
    </row>
    <row r="2044" spans="1:4" ht="13.8">
      <c r="A2044" s="47" t="s">
        <v>6256</v>
      </c>
      <c r="B2044" s="92" t="s">
        <v>75</v>
      </c>
      <c r="C2044" s="92" t="s">
        <v>6257</v>
      </c>
      <c r="D2044" s="72" t="str">
        <f>IFERROR(VLOOKUP(A2044,'[1]ST-QA-ZZ5'!$C$5:$M$299,11,0),"Inspection at production line")</f>
        <v>Inspection at production line</v>
      </c>
    </row>
    <row r="2045" spans="1:4" ht="13.8">
      <c r="A2045" s="47" t="s">
        <v>6258</v>
      </c>
      <c r="B2045" s="92" t="s">
        <v>104</v>
      </c>
      <c r="C2045" s="92" t="s">
        <v>6259</v>
      </c>
      <c r="D2045" s="72" t="str">
        <f>IFERROR(VLOOKUP(A2045,'[1]ST-QA-ZZ5'!$C$5:$M$299,11,0),"Inspection at production line")</f>
        <v>Inspection at production line</v>
      </c>
    </row>
    <row r="2046" spans="1:4" ht="13.8">
      <c r="A2046" s="47" t="s">
        <v>6260</v>
      </c>
      <c r="B2046" s="92" t="s">
        <v>75</v>
      </c>
      <c r="C2046" s="92" t="s">
        <v>6261</v>
      </c>
      <c r="D2046" s="72" t="str">
        <f>IFERROR(VLOOKUP(A2046,'[1]ST-QA-ZZ5'!$C$5:$M$299,11,0),"Inspection at production line")</f>
        <v>Inspection at production line</v>
      </c>
    </row>
    <row r="2047" spans="1:4" ht="13.8">
      <c r="A2047" s="47" t="s">
        <v>6262</v>
      </c>
      <c r="B2047" s="92" t="s">
        <v>6263</v>
      </c>
      <c r="C2047" s="92" t="s">
        <v>6263</v>
      </c>
      <c r="D2047" s="72" t="str">
        <f>IFERROR(VLOOKUP(A2047,'[1]ST-QA-ZZ5'!$C$5:$M$299,11,0),"Inspection at production line")</f>
        <v>Inspection at production line</v>
      </c>
    </row>
    <row r="2048" spans="1:4" ht="13.8">
      <c r="A2048" s="47" t="s">
        <v>6264</v>
      </c>
      <c r="B2048" s="92" t="s">
        <v>1513</v>
      </c>
      <c r="C2048" s="92" t="s">
        <v>6265</v>
      </c>
      <c r="D2048" s="72" t="str">
        <f>IFERROR(VLOOKUP(A2048,'[1]ST-QA-ZZ5'!$C$5:$M$299,11,0),"Inspection at production line")</f>
        <v>Inspection at production line</v>
      </c>
    </row>
    <row r="2049" spans="1:4" ht="13.8">
      <c r="A2049" s="47" t="s">
        <v>6266</v>
      </c>
      <c r="B2049" s="92" t="s">
        <v>797</v>
      </c>
      <c r="C2049" s="92" t="s">
        <v>6267</v>
      </c>
      <c r="D2049" s="72" t="str">
        <f>IFERROR(VLOOKUP(A2049,'[1]ST-QA-ZZ5'!$C$5:$M$299,11,0),"Inspection at production line")</f>
        <v>Inspection at production line</v>
      </c>
    </row>
    <row r="2050" spans="1:4" ht="13.8">
      <c r="A2050" s="47" t="s">
        <v>6268</v>
      </c>
      <c r="B2050" s="92" t="s">
        <v>1513</v>
      </c>
      <c r="C2050" s="92" t="s">
        <v>6269</v>
      </c>
      <c r="D2050" s="72" t="str">
        <f>IFERROR(VLOOKUP(A2050,'[1]ST-QA-ZZ5'!$C$5:$M$299,11,0),"Inspection at production line")</f>
        <v>Inspection at production line</v>
      </c>
    </row>
    <row r="2051" spans="1:4" ht="13.8">
      <c r="A2051" s="47" t="s">
        <v>6270</v>
      </c>
      <c r="B2051" s="92" t="s">
        <v>6271</v>
      </c>
      <c r="C2051" s="92" t="s">
        <v>6272</v>
      </c>
      <c r="D2051" s="72" t="str">
        <f>IFERROR(VLOOKUP(A2051,'[1]ST-QA-ZZ5'!$C$5:$M$299,11,0),"Inspection at production line")</f>
        <v>Inspection at production line</v>
      </c>
    </row>
    <row r="2052" spans="1:4" ht="13.8">
      <c r="A2052" s="47" t="s">
        <v>6273</v>
      </c>
      <c r="B2052" s="92" t="s">
        <v>6274</v>
      </c>
      <c r="C2052" s="92" t="s">
        <v>6275</v>
      </c>
      <c r="D2052" s="72" t="str">
        <f>IFERROR(VLOOKUP(A2052,'[1]ST-QA-ZZ5'!$C$5:$M$299,11,0),"Inspection at production line")</f>
        <v>Inspection at production line</v>
      </c>
    </row>
    <row r="2053" spans="1:4" ht="13.8">
      <c r="A2053" s="47" t="s">
        <v>6276</v>
      </c>
      <c r="B2053" s="92" t="s">
        <v>797</v>
      </c>
      <c r="C2053" s="92" t="s">
        <v>6277</v>
      </c>
      <c r="D2053" s="72" t="str">
        <f>IFERROR(VLOOKUP(A2053,'[1]ST-QA-ZZ5'!$C$5:$M$299,11,0),"Inspection at production line")</f>
        <v>Inspection at production line</v>
      </c>
    </row>
    <row r="2054" spans="1:4" ht="13.8">
      <c r="A2054" s="47" t="s">
        <v>6278</v>
      </c>
      <c r="B2054" s="92" t="s">
        <v>6279</v>
      </c>
      <c r="C2054" s="92" t="s">
        <v>6279</v>
      </c>
      <c r="D2054" s="72" t="str">
        <f>IFERROR(VLOOKUP(A2054,'[1]ST-QA-ZZ5'!$C$5:$M$299,11,0),"Inspection at production line")</f>
        <v>Inspection at production line</v>
      </c>
    </row>
    <row r="2055" spans="1:4" ht="13.8">
      <c r="A2055" s="47" t="s">
        <v>6280</v>
      </c>
      <c r="B2055" s="92" t="s">
        <v>6281</v>
      </c>
      <c r="C2055" s="92" t="s">
        <v>6282</v>
      </c>
      <c r="D2055" s="72" t="str">
        <f>IFERROR(VLOOKUP(A2055,'[1]ST-QA-ZZ5'!$C$5:$M$299,11,0),"Inspection at production line")</f>
        <v>Inspection at production line</v>
      </c>
    </row>
    <row r="2056" spans="1:4" ht="13.8">
      <c r="A2056" s="47" t="s">
        <v>6283</v>
      </c>
      <c r="B2056" s="92" t="s">
        <v>6271</v>
      </c>
      <c r="C2056" s="92" t="s">
        <v>6284</v>
      </c>
      <c r="D2056" s="72" t="str">
        <f>IFERROR(VLOOKUP(A2056,'[1]ST-QA-ZZ5'!$C$5:$M$299,11,0),"Inspection at production line")</f>
        <v>Inspection at production line</v>
      </c>
    </row>
    <row r="2057" spans="1:4" ht="13.8">
      <c r="A2057" s="47" t="s">
        <v>6285</v>
      </c>
      <c r="B2057" s="92" t="s">
        <v>857</v>
      </c>
      <c r="C2057" s="92" t="s">
        <v>6286</v>
      </c>
      <c r="D2057" s="72" t="str">
        <f>IFERROR(VLOOKUP(A2057,'[1]ST-QA-ZZ5'!$C$5:$M$299,11,0),"Inspection at production line")</f>
        <v>Inspection at production line</v>
      </c>
    </row>
    <row r="2058" spans="1:4" ht="13.8">
      <c r="A2058" s="47" t="s">
        <v>6287</v>
      </c>
      <c r="B2058" s="92" t="s">
        <v>1669</v>
      </c>
      <c r="C2058" s="92" t="s">
        <v>6288</v>
      </c>
      <c r="D2058" s="72" t="str">
        <f>IFERROR(VLOOKUP(A2058,'[1]ST-QA-ZZ5'!$C$5:$M$299,11,0),"Inspection at production line")</f>
        <v>Inspection at production line</v>
      </c>
    </row>
    <row r="2059" spans="1:4" ht="13.8">
      <c r="A2059" s="47" t="s">
        <v>2628</v>
      </c>
      <c r="B2059" s="92" t="s">
        <v>2629</v>
      </c>
      <c r="C2059" s="92" t="s">
        <v>6289</v>
      </c>
      <c r="D2059" s="72" t="str">
        <f>IFERROR(VLOOKUP(A2059,'[1]ST-QA-ZZ5'!$C$5:$M$299,11,0),"Inspection at production line")</f>
        <v>Inspection at production line</v>
      </c>
    </row>
    <row r="2060" spans="1:4" ht="13.8">
      <c r="A2060" s="47" t="s">
        <v>2527</v>
      </c>
      <c r="B2060" s="92" t="s">
        <v>818</v>
      </c>
      <c r="C2060" s="92" t="s">
        <v>6290</v>
      </c>
      <c r="D2060" s="72" t="str">
        <f>IFERROR(VLOOKUP(A2060,'[1]ST-QA-ZZ5'!$C$5:$M$299,11,0),"Inspection at production line")</f>
        <v>Inspection at production line</v>
      </c>
    </row>
    <row r="2061" spans="1:4" ht="13.8">
      <c r="A2061" s="47" t="s">
        <v>6291</v>
      </c>
      <c r="B2061" s="92" t="s">
        <v>2584</v>
      </c>
      <c r="C2061" s="92" t="s">
        <v>6292</v>
      </c>
      <c r="D2061" s="72" t="str">
        <f>IFERROR(VLOOKUP(A2061,'[1]ST-QA-ZZ5'!$C$5:$M$299,11,0),"Inspection at production line")</f>
        <v>Inspection at production line</v>
      </c>
    </row>
    <row r="2062" spans="1:4" ht="13.8">
      <c r="A2062" s="47" t="s">
        <v>219</v>
      </c>
      <c r="B2062" s="92" t="s">
        <v>119</v>
      </c>
      <c r="C2062" s="92" t="s">
        <v>220</v>
      </c>
      <c r="D2062" s="72" t="str">
        <f>IFERROR(VLOOKUP(A2062,'[1]ST-QA-ZZ5'!$C$5:$M$299,11,0),"Inspection at production line")</f>
        <v>Sampling check</v>
      </c>
    </row>
    <row r="2063" spans="1:4" ht="13.8">
      <c r="A2063" s="47" t="s">
        <v>2570</v>
      </c>
      <c r="B2063" s="92" t="s">
        <v>2566</v>
      </c>
      <c r="C2063" s="92" t="s">
        <v>6293</v>
      </c>
      <c r="D2063" s="72" t="str">
        <f>IFERROR(VLOOKUP(A2063,'[1]ST-QA-ZZ5'!$C$5:$M$299,11,0),"Inspection at production line")</f>
        <v>Sampling check</v>
      </c>
    </row>
    <row r="2064" spans="1:4" ht="13.8">
      <c r="A2064" s="47" t="s">
        <v>5134</v>
      </c>
      <c r="B2064" s="92" t="s">
        <v>279</v>
      </c>
      <c r="C2064" s="92" t="s">
        <v>280</v>
      </c>
      <c r="D2064" s="72" t="str">
        <f>IFERROR(VLOOKUP(A2064,'[1]ST-QA-ZZ5'!$C$5:$M$299,11,0),"Inspection at production line")</f>
        <v>Sampling check</v>
      </c>
    </row>
    <row r="2065" spans="1:4" ht="13.8">
      <c r="A2065" s="47" t="s">
        <v>6294</v>
      </c>
      <c r="B2065" s="92" t="s">
        <v>279</v>
      </c>
      <c r="C2065" s="92" t="s">
        <v>6295</v>
      </c>
      <c r="D2065" s="72" t="str">
        <f>IFERROR(VLOOKUP(A2065,'[1]ST-QA-ZZ5'!$C$5:$M$299,11,0),"Inspection at production line")</f>
        <v>Inspection at production line</v>
      </c>
    </row>
    <row r="2066" spans="1:4" ht="13.8">
      <c r="A2066" s="47" t="s">
        <v>5402</v>
      </c>
      <c r="B2066" s="92" t="s">
        <v>57</v>
      </c>
      <c r="C2066" s="92" t="s">
        <v>238</v>
      </c>
      <c r="D2066" s="72" t="str">
        <f>IFERROR(VLOOKUP(A2066,'[1]ST-QA-ZZ5'!$C$5:$M$299,11,0),"Inspection at production line")</f>
        <v>Sampling check</v>
      </c>
    </row>
    <row r="2067" spans="1:4" ht="13.8">
      <c r="A2067" s="47" t="s">
        <v>2591</v>
      </c>
      <c r="B2067" s="92" t="s">
        <v>57</v>
      </c>
      <c r="C2067" s="92" t="s">
        <v>6296</v>
      </c>
      <c r="D2067" s="72" t="str">
        <f>IFERROR(VLOOKUP(A2067,'[1]ST-QA-ZZ5'!$C$5:$M$299,11,0),"Inspection at production line")</f>
        <v>Sampling check</v>
      </c>
    </row>
    <row r="2068" spans="1:4" ht="13.8">
      <c r="A2068" s="47" t="s">
        <v>2623</v>
      </c>
      <c r="B2068" s="92" t="s">
        <v>57</v>
      </c>
      <c r="C2068" s="92" t="s">
        <v>6297</v>
      </c>
      <c r="D2068" s="72" t="str">
        <f>IFERROR(VLOOKUP(A2068,'[1]ST-QA-ZZ5'!$C$5:$M$299,11,0),"Inspection at production line")</f>
        <v>Sampling check</v>
      </c>
    </row>
    <row r="2069" spans="1:4" ht="13.8">
      <c r="A2069" s="47" t="s">
        <v>2583</v>
      </c>
      <c r="B2069" s="92" t="s">
        <v>2584</v>
      </c>
      <c r="C2069" s="92" t="s">
        <v>6298</v>
      </c>
      <c r="D2069" s="72" t="str">
        <f>IFERROR(VLOOKUP(A2069,'[1]ST-QA-ZZ5'!$C$5:$M$299,11,0),"Inspection at production line")</f>
        <v>Inspection at production line</v>
      </c>
    </row>
    <row r="2070" spans="1:4" ht="13.8">
      <c r="A2070" s="47" t="s">
        <v>2658</v>
      </c>
      <c r="B2070" s="92" t="s">
        <v>2659</v>
      </c>
      <c r="C2070" s="92" t="s">
        <v>2660</v>
      </c>
      <c r="D2070" s="72" t="str">
        <f>IFERROR(VLOOKUP(A2070,'[1]ST-QA-ZZ5'!$C$5:$M$299,11,0),"Inspection at production line")</f>
        <v>Inspection at production line</v>
      </c>
    </row>
    <row r="2071" spans="1:4" ht="13.8">
      <c r="A2071" s="47" t="s">
        <v>6299</v>
      </c>
      <c r="B2071" s="92" t="s">
        <v>2659</v>
      </c>
      <c r="C2071" s="92" t="s">
        <v>6300</v>
      </c>
      <c r="D2071" s="72" t="str">
        <f>IFERROR(VLOOKUP(A2071,'[1]ST-QA-ZZ5'!$C$5:$M$299,11,0),"Inspection at production line")</f>
        <v>Inspection at production line</v>
      </c>
    </row>
    <row r="2072" spans="1:4" ht="13.8">
      <c r="A2072" s="47" t="s">
        <v>6301</v>
      </c>
      <c r="B2072" s="92" t="s">
        <v>174</v>
      </c>
      <c r="C2072" s="92" t="s">
        <v>2005</v>
      </c>
      <c r="D2072" s="72" t="str">
        <f>IFERROR(VLOOKUP(A2072,'[1]ST-QA-ZZ5'!$C$5:$M$299,11,0),"Inspection at production line")</f>
        <v>Inspection at production line</v>
      </c>
    </row>
    <row r="2073" spans="1:4" ht="13.8">
      <c r="A2073" s="47" t="s">
        <v>6302</v>
      </c>
      <c r="B2073" s="92" t="s">
        <v>1523</v>
      </c>
      <c r="C2073" s="92" t="s">
        <v>6303</v>
      </c>
      <c r="D2073" s="72" t="str">
        <f>IFERROR(VLOOKUP(A2073,'[1]ST-QA-ZZ5'!$C$5:$M$299,11,0),"Inspection at production line")</f>
        <v>Appearance check 100%</v>
      </c>
    </row>
    <row r="2074" spans="1:4" ht="13.8">
      <c r="A2074" s="47" t="s">
        <v>2588</v>
      </c>
      <c r="B2074" s="92" t="s">
        <v>1949</v>
      </c>
      <c r="C2074" s="92" t="s">
        <v>6304</v>
      </c>
      <c r="D2074" s="72" t="str">
        <f>IFERROR(VLOOKUP(A2074,'[1]ST-QA-ZZ5'!$C$5:$M$299,11,0),"Inspection at production line")</f>
        <v>Inspection at production line</v>
      </c>
    </row>
    <row r="2075" spans="1:4" ht="13.8">
      <c r="A2075" s="47" t="s">
        <v>6305</v>
      </c>
      <c r="B2075" s="92" t="s">
        <v>2584</v>
      </c>
      <c r="C2075" s="92" t="s">
        <v>6306</v>
      </c>
      <c r="D2075" s="72" t="str">
        <f>IFERROR(VLOOKUP(A2075,'[1]ST-QA-ZZ5'!$C$5:$M$299,11,0),"Inspection at production line")</f>
        <v>Inspection at production line</v>
      </c>
    </row>
    <row r="2076" spans="1:4" ht="13.8">
      <c r="A2076" s="47" t="s">
        <v>6307</v>
      </c>
      <c r="B2076" s="92" t="s">
        <v>4075</v>
      </c>
      <c r="C2076" s="92" t="s">
        <v>6308</v>
      </c>
      <c r="D2076" s="72" t="str">
        <f>IFERROR(VLOOKUP(A2076,'[1]ST-QA-ZZ5'!$C$5:$M$299,11,0),"Inspection at production line")</f>
        <v>Sampling check</v>
      </c>
    </row>
    <row r="2077" spans="1:4" ht="13.8">
      <c r="A2077" s="47" t="s">
        <v>6309</v>
      </c>
      <c r="B2077" s="92" t="s">
        <v>6310</v>
      </c>
      <c r="C2077" s="92" t="s">
        <v>6310</v>
      </c>
      <c r="D2077" s="72" t="str">
        <f>IFERROR(VLOOKUP(A2077,'[1]ST-QA-ZZ5'!$C$5:$M$299,11,0),"Inspection at production line")</f>
        <v>Inspection at production line</v>
      </c>
    </row>
    <row r="2078" spans="1:4" ht="13.8">
      <c r="A2078" s="47" t="s">
        <v>6311</v>
      </c>
      <c r="B2078" s="92" t="s">
        <v>6312</v>
      </c>
      <c r="C2078" s="92" t="s">
        <v>6312</v>
      </c>
      <c r="D2078" s="72" t="str">
        <f>IFERROR(VLOOKUP(A2078,'[1]ST-QA-ZZ5'!$C$5:$M$299,11,0),"Inspection at production line")</f>
        <v>Inspection at production line</v>
      </c>
    </row>
    <row r="2079" spans="1:4" ht="13.8">
      <c r="A2079" s="47" t="s">
        <v>6313</v>
      </c>
      <c r="B2079" s="92" t="s">
        <v>2566</v>
      </c>
      <c r="C2079" s="92" t="s">
        <v>6314</v>
      </c>
      <c r="D2079" s="72" t="str">
        <f>IFERROR(VLOOKUP(A2079,'[1]ST-QA-ZZ5'!$C$5:$M$299,11,0),"Inspection at production line")</f>
        <v>Inspection at production line</v>
      </c>
    </row>
    <row r="2080" spans="1:4" ht="13.8">
      <c r="A2080" s="47" t="s">
        <v>6315</v>
      </c>
      <c r="B2080" s="92" t="s">
        <v>1513</v>
      </c>
      <c r="C2080" s="92" t="s">
        <v>6316</v>
      </c>
      <c r="D2080" s="72" t="str">
        <f>IFERROR(VLOOKUP(A2080,'[1]ST-QA-ZZ5'!$C$5:$M$299,11,0),"Inspection at production line")</f>
        <v>Inspection at production line</v>
      </c>
    </row>
    <row r="2081" spans="1:4" ht="13.8">
      <c r="A2081" s="47" t="s">
        <v>6317</v>
      </c>
      <c r="B2081" s="92" t="s">
        <v>6318</v>
      </c>
      <c r="C2081" s="92" t="s">
        <v>6318</v>
      </c>
      <c r="D2081" s="72" t="str">
        <f>IFERROR(VLOOKUP(A2081,'[1]ST-QA-ZZ5'!$C$5:$M$299,11,0),"Inspection at production line")</f>
        <v>Inspection at production line</v>
      </c>
    </row>
    <row r="2082" spans="1:4" ht="13.8">
      <c r="A2082" s="47" t="s">
        <v>6319</v>
      </c>
      <c r="B2082" s="92" t="s">
        <v>797</v>
      </c>
      <c r="C2082" s="92" t="s">
        <v>6320</v>
      </c>
      <c r="D2082" s="72" t="str">
        <f>IFERROR(VLOOKUP(A2082,'[1]ST-QA-ZZ5'!$C$5:$M$299,11,0),"Inspection at production line")</f>
        <v>Inspection at production line</v>
      </c>
    </row>
    <row r="2083" spans="1:4" ht="13.8">
      <c r="A2083" s="47" t="s">
        <v>6321</v>
      </c>
      <c r="B2083" s="92" t="s">
        <v>797</v>
      </c>
      <c r="C2083" s="92" t="s">
        <v>6322</v>
      </c>
      <c r="D2083" s="72" t="str">
        <f>IFERROR(VLOOKUP(A2083,'[1]ST-QA-ZZ5'!$C$5:$M$299,11,0),"Inspection at production line")</f>
        <v>Inspection at production line</v>
      </c>
    </row>
    <row r="2084" spans="1:4" ht="13.8">
      <c r="A2084" s="47" t="s">
        <v>6323</v>
      </c>
      <c r="B2084" s="92" t="s">
        <v>797</v>
      </c>
      <c r="C2084" s="92" t="s">
        <v>6324</v>
      </c>
      <c r="D2084" s="72" t="str">
        <f>IFERROR(VLOOKUP(A2084,'[1]ST-QA-ZZ5'!$C$5:$M$299,11,0),"Inspection at production line")</f>
        <v>Inspection at production line</v>
      </c>
    </row>
    <row r="2085" spans="1:4" ht="13.8">
      <c r="A2085" s="47" t="s">
        <v>2601</v>
      </c>
      <c r="B2085" s="92" t="s">
        <v>2602</v>
      </c>
      <c r="C2085" s="92" t="s">
        <v>2603</v>
      </c>
      <c r="D2085" s="72" t="str">
        <f>IFERROR(VLOOKUP(A2085,'[1]ST-QA-ZZ5'!$C$5:$M$299,11,0),"Inspection at production line")</f>
        <v>Inspection at production line</v>
      </c>
    </row>
    <row r="2086" spans="1:4" ht="13.8">
      <c r="A2086" s="47" t="s">
        <v>6325</v>
      </c>
      <c r="B2086" s="92" t="s">
        <v>104</v>
      </c>
      <c r="C2086" s="92" t="s">
        <v>6326</v>
      </c>
      <c r="D2086" s="72" t="str">
        <f>IFERROR(VLOOKUP(A2086,'[1]ST-QA-ZZ5'!$C$5:$M$299,11,0),"Inspection at production line")</f>
        <v>Inspection at production line</v>
      </c>
    </row>
    <row r="2087" spans="1:4" ht="13.8">
      <c r="A2087" s="47" t="s">
        <v>6327</v>
      </c>
      <c r="B2087" s="92" t="s">
        <v>2074</v>
      </c>
      <c r="C2087" s="92" t="s">
        <v>6328</v>
      </c>
      <c r="D2087" s="72" t="str">
        <f>IFERROR(VLOOKUP(A2087,'[1]ST-QA-ZZ5'!$C$5:$M$299,11,0),"Inspection at production line")</f>
        <v>Inspection at production line</v>
      </c>
    </row>
    <row r="2088" spans="1:4" ht="13.8">
      <c r="A2088" s="47" t="s">
        <v>6329</v>
      </c>
      <c r="B2088" s="92" t="s">
        <v>2074</v>
      </c>
      <c r="C2088" s="92" t="s">
        <v>6330</v>
      </c>
      <c r="D2088" s="72" t="str">
        <f>IFERROR(VLOOKUP(A2088,'[1]ST-QA-ZZ5'!$C$5:$M$299,11,0),"Inspection at production line")</f>
        <v>Sampling check</v>
      </c>
    </row>
    <row r="2089" spans="1:4" ht="13.8">
      <c r="A2089" s="47" t="s">
        <v>6331</v>
      </c>
      <c r="B2089" s="92" t="s">
        <v>104</v>
      </c>
      <c r="C2089" s="92" t="s">
        <v>6332</v>
      </c>
      <c r="D2089" s="72" t="str">
        <f>IFERROR(VLOOKUP(A2089,'[1]ST-QA-ZZ5'!$C$5:$M$299,11,0),"Inspection at production line")</f>
        <v>Inspection at production line</v>
      </c>
    </row>
    <row r="2090" spans="1:4" ht="13.8">
      <c r="A2090" s="47" t="s">
        <v>6333</v>
      </c>
      <c r="B2090" s="92" t="s">
        <v>1880</v>
      </c>
      <c r="C2090" s="92" t="s">
        <v>6334</v>
      </c>
      <c r="D2090" s="72" t="str">
        <f>IFERROR(VLOOKUP(A2090,'[1]ST-QA-ZZ5'!$C$5:$M$299,11,0),"Inspection at production line")</f>
        <v>Inspection at production line</v>
      </c>
    </row>
    <row r="2091" spans="1:4" ht="13.8">
      <c r="A2091" s="47" t="s">
        <v>6335</v>
      </c>
      <c r="B2091" s="92" t="s">
        <v>104</v>
      </c>
      <c r="C2091" s="92" t="s">
        <v>6336</v>
      </c>
      <c r="D2091" s="72" t="str">
        <f>IFERROR(VLOOKUP(A2091,'[1]ST-QA-ZZ5'!$C$5:$M$299,11,0),"Inspection at production line")</f>
        <v>Inspection at production line</v>
      </c>
    </row>
    <row r="2092" spans="1:4" ht="13.8">
      <c r="A2092" s="47" t="s">
        <v>6337</v>
      </c>
      <c r="B2092" s="92" t="s">
        <v>1880</v>
      </c>
      <c r="C2092" s="92" t="s">
        <v>6338</v>
      </c>
      <c r="D2092" s="72" t="str">
        <f>IFERROR(VLOOKUP(A2092,'[1]ST-QA-ZZ5'!$C$5:$M$299,11,0),"Inspection at production line")</f>
        <v>Inspection at production line</v>
      </c>
    </row>
    <row r="2093" spans="1:4" ht="13.8">
      <c r="A2093" s="47" t="s">
        <v>6339</v>
      </c>
      <c r="B2093" s="92" t="s">
        <v>5435</v>
      </c>
      <c r="C2093" s="92" t="s">
        <v>6340</v>
      </c>
      <c r="D2093" s="72" t="str">
        <f>IFERROR(VLOOKUP(A2093,'[1]ST-QA-ZZ5'!$C$5:$M$299,11,0),"Inspection at production line")</f>
        <v>Inspection at production line</v>
      </c>
    </row>
    <row r="2094" spans="1:4" ht="13.8">
      <c r="A2094" s="47" t="s">
        <v>6341</v>
      </c>
      <c r="B2094" s="92" t="s">
        <v>857</v>
      </c>
      <c r="C2094" s="92" t="s">
        <v>6340</v>
      </c>
      <c r="D2094" s="72" t="str">
        <f>IFERROR(VLOOKUP(A2094,'[1]ST-QA-ZZ5'!$C$5:$M$299,11,0),"Inspection at production line")</f>
        <v>Inspection at production line</v>
      </c>
    </row>
    <row r="2095" spans="1:4" ht="13.8">
      <c r="A2095" s="47" t="s">
        <v>2597</v>
      </c>
      <c r="B2095" s="92" t="s">
        <v>119</v>
      </c>
      <c r="C2095" s="92" t="s">
        <v>2598</v>
      </c>
      <c r="D2095" s="72" t="str">
        <f>IFERROR(VLOOKUP(A2095,'[1]ST-QA-ZZ5'!$C$5:$M$299,11,0),"Inspection at production line")</f>
        <v>Inspection at production line</v>
      </c>
    </row>
    <row r="2096" spans="1:4" ht="13.8">
      <c r="A2096" s="47" t="s">
        <v>2574</v>
      </c>
      <c r="B2096" s="92" t="s">
        <v>2074</v>
      </c>
      <c r="C2096" s="92" t="s">
        <v>6342</v>
      </c>
      <c r="D2096" s="72" t="str">
        <f>IFERROR(VLOOKUP(A2096,'[1]ST-QA-ZZ5'!$C$5:$M$299,11,0),"Inspection at production line")</f>
        <v>Inspection at production line</v>
      </c>
    </row>
    <row r="2097" spans="1:4" ht="13.8">
      <c r="A2097" s="47" t="s">
        <v>6343</v>
      </c>
      <c r="B2097" s="92" t="s">
        <v>857</v>
      </c>
      <c r="C2097" s="92" t="s">
        <v>6344</v>
      </c>
      <c r="D2097" s="72" t="str">
        <f>IFERROR(VLOOKUP(A2097,'[1]ST-QA-ZZ5'!$C$5:$M$299,11,0),"Inspection at production line")</f>
        <v>Inspection at production line</v>
      </c>
    </row>
    <row r="2098" spans="1:4" ht="13.8">
      <c r="A2098" s="47" t="s">
        <v>2565</v>
      </c>
      <c r="B2098" s="92" t="s">
        <v>2566</v>
      </c>
      <c r="C2098" s="92" t="s">
        <v>2567</v>
      </c>
      <c r="D2098" s="72" t="str">
        <f>IFERROR(VLOOKUP(A2098,'[1]ST-QA-ZZ5'!$C$5:$M$299,11,0),"Inspection at production line")</f>
        <v>Inspection at production line</v>
      </c>
    </row>
    <row r="2099" spans="1:4" ht="13.8">
      <c r="A2099" s="47" t="s">
        <v>6345</v>
      </c>
      <c r="B2099" s="92" t="s">
        <v>75</v>
      </c>
      <c r="C2099" s="92" t="s">
        <v>6346</v>
      </c>
      <c r="D2099" s="72" t="str">
        <f>IFERROR(VLOOKUP(A2099,'[1]ST-QA-ZZ5'!$C$5:$M$299,11,0),"Inspection at production line")</f>
        <v>Inspection at production line</v>
      </c>
    </row>
    <row r="2100" spans="1:4" ht="13.8">
      <c r="A2100" s="47" t="s">
        <v>6347</v>
      </c>
      <c r="B2100" s="92" t="s">
        <v>1554</v>
      </c>
      <c r="C2100" s="92" t="s">
        <v>6348</v>
      </c>
      <c r="D2100" s="72" t="str">
        <f>IFERROR(VLOOKUP(A2100,'[1]ST-QA-ZZ5'!$C$5:$M$299,11,0),"Inspection at production line")</f>
        <v>Inspection at production line</v>
      </c>
    </row>
    <row r="2101" spans="1:4" ht="13.8">
      <c r="A2101" s="47" t="s">
        <v>6349</v>
      </c>
      <c r="B2101" s="92" t="s">
        <v>104</v>
      </c>
      <c r="C2101" s="92" t="s">
        <v>6350</v>
      </c>
      <c r="D2101" s="72" t="str">
        <f>IFERROR(VLOOKUP(A2101,'[1]ST-QA-ZZ5'!$C$5:$M$299,11,0),"Inspection at production line")</f>
        <v>Inspection at production line</v>
      </c>
    </row>
    <row r="2102" spans="1:4" ht="13.8">
      <c r="A2102" s="47" t="s">
        <v>6351</v>
      </c>
      <c r="B2102" s="92" t="s">
        <v>6352</v>
      </c>
      <c r="C2102" s="92" t="s">
        <v>6353</v>
      </c>
      <c r="D2102" s="72" t="str">
        <f>IFERROR(VLOOKUP(A2102,'[1]ST-QA-ZZ5'!$C$5:$M$299,11,0),"Inspection at production line")</f>
        <v>Inspection at production line</v>
      </c>
    </row>
    <row r="2103" spans="1:4" ht="13.8">
      <c r="A2103" s="47" t="s">
        <v>6354</v>
      </c>
      <c r="B2103" s="92" t="s">
        <v>75</v>
      </c>
      <c r="C2103" s="92" t="s">
        <v>6355</v>
      </c>
      <c r="D2103" s="72" t="str">
        <f>IFERROR(VLOOKUP(A2103,'[1]ST-QA-ZZ5'!$C$5:$M$299,11,0),"Inspection at production line")</f>
        <v>Inspection at production line</v>
      </c>
    </row>
    <row r="2104" spans="1:4" ht="13.8">
      <c r="A2104" s="47" t="s">
        <v>6356</v>
      </c>
      <c r="B2104" s="92" t="s">
        <v>75</v>
      </c>
      <c r="C2104" s="92" t="s">
        <v>6357</v>
      </c>
      <c r="D2104" s="72" t="str">
        <f>IFERROR(VLOOKUP(A2104,'[1]ST-QA-ZZ5'!$C$5:$M$299,11,0),"Inspection at production line")</f>
        <v>Inspection at production line</v>
      </c>
    </row>
    <row r="2105" spans="1:4" ht="13.8">
      <c r="A2105" s="47" t="s">
        <v>6358</v>
      </c>
      <c r="B2105" s="92" t="s">
        <v>75</v>
      </c>
      <c r="C2105" s="92" t="s">
        <v>6357</v>
      </c>
      <c r="D2105" s="72" t="str">
        <f>IFERROR(VLOOKUP(A2105,'[1]ST-QA-ZZ5'!$C$5:$M$299,11,0),"Inspection at production line")</f>
        <v>Inspection at production line</v>
      </c>
    </row>
    <row r="2106" spans="1:4" ht="13.8">
      <c r="A2106" s="47" t="s">
        <v>6359</v>
      </c>
      <c r="B2106" s="92" t="s">
        <v>75</v>
      </c>
      <c r="C2106" s="92" t="s">
        <v>5803</v>
      </c>
      <c r="D2106" s="72" t="str">
        <f>IFERROR(VLOOKUP(A2106,'[1]ST-QA-ZZ5'!$C$5:$M$299,11,0),"Inspection at production line")</f>
        <v>Inspection at production line</v>
      </c>
    </row>
    <row r="2107" spans="1:4" ht="13.8">
      <c r="A2107" s="47" t="s">
        <v>6360</v>
      </c>
      <c r="B2107" s="92" t="s">
        <v>75</v>
      </c>
      <c r="C2107" s="92" t="s">
        <v>6182</v>
      </c>
      <c r="D2107" s="72" t="str">
        <f>IFERROR(VLOOKUP(A2107,'[1]ST-QA-ZZ5'!$C$5:$M$299,11,0),"Inspection at production line")</f>
        <v>Inspection at production line</v>
      </c>
    </row>
    <row r="2108" spans="1:4" ht="13.8">
      <c r="A2108" s="47" t="s">
        <v>6361</v>
      </c>
      <c r="B2108" s="92" t="s">
        <v>104</v>
      </c>
      <c r="C2108" s="92" t="s">
        <v>6362</v>
      </c>
      <c r="D2108" s="72" t="str">
        <f>IFERROR(VLOOKUP(A2108,'[1]ST-QA-ZZ5'!$C$5:$M$299,11,0),"Inspection at production line")</f>
        <v>Inspection at production line</v>
      </c>
    </row>
    <row r="2109" spans="1:4" ht="13.8">
      <c r="A2109" s="47" t="s">
        <v>2540</v>
      </c>
      <c r="B2109" s="92" t="s">
        <v>2492</v>
      </c>
      <c r="C2109" s="92" t="s">
        <v>2541</v>
      </c>
      <c r="D2109" s="72" t="str">
        <f>IFERROR(VLOOKUP(A2109,'[1]ST-QA-ZZ5'!$C$5:$M$299,11,0),"Inspection at production line")</f>
        <v>Inspection at production line</v>
      </c>
    </row>
    <row r="2110" spans="1:4" ht="13.8">
      <c r="A2110" s="47" t="s">
        <v>6363</v>
      </c>
      <c r="B2110" s="92" t="s">
        <v>2492</v>
      </c>
      <c r="C2110" s="92" t="s">
        <v>6364</v>
      </c>
      <c r="D2110" s="72" t="str">
        <f>IFERROR(VLOOKUP(A2110,'[1]ST-QA-ZZ5'!$C$5:$M$299,11,0),"Inspection at production line")</f>
        <v>Inspection at production line</v>
      </c>
    </row>
    <row r="2111" spans="1:4" ht="13.8">
      <c r="A2111" s="47" t="s">
        <v>2543</v>
      </c>
      <c r="B2111" s="92" t="s">
        <v>2492</v>
      </c>
      <c r="C2111" s="92" t="s">
        <v>6365</v>
      </c>
      <c r="D2111" s="72" t="str">
        <f>IFERROR(VLOOKUP(A2111,'[1]ST-QA-ZZ5'!$C$5:$M$299,11,0),"Inspection at production line")</f>
        <v>Inspection at production line</v>
      </c>
    </row>
    <row r="2112" spans="1:4" ht="13.8">
      <c r="A2112" s="47" t="s">
        <v>6366</v>
      </c>
      <c r="B2112" s="92" t="s">
        <v>2492</v>
      </c>
      <c r="C2112" s="92" t="s">
        <v>6367</v>
      </c>
      <c r="D2112" s="72" t="str">
        <f>IFERROR(VLOOKUP(A2112,'[1]ST-QA-ZZ5'!$C$5:$M$299,11,0),"Inspection at production line")</f>
        <v>Inspection at production line</v>
      </c>
    </row>
    <row r="2113" spans="1:4" ht="13.8">
      <c r="A2113" s="47" t="s">
        <v>2548</v>
      </c>
      <c r="B2113" s="92" t="s">
        <v>2492</v>
      </c>
      <c r="C2113" s="92" t="s">
        <v>2549</v>
      </c>
      <c r="D2113" s="72" t="str">
        <f>IFERROR(VLOOKUP(A2113,'[1]ST-QA-ZZ5'!$C$5:$M$299,11,0),"Inspection at production line")</f>
        <v>Inspection at production line</v>
      </c>
    </row>
    <row r="2114" spans="1:4" ht="13.8">
      <c r="A2114" s="47" t="s">
        <v>6368</v>
      </c>
      <c r="B2114" s="92" t="s">
        <v>2492</v>
      </c>
      <c r="C2114" s="92" t="s">
        <v>6369</v>
      </c>
      <c r="D2114" s="72" t="str">
        <f>IFERROR(VLOOKUP(A2114,'[1]ST-QA-ZZ5'!$C$5:$M$299,11,0),"Inspection at production line")</f>
        <v>Inspection at production line</v>
      </c>
    </row>
    <row r="2115" spans="1:4" ht="13.8">
      <c r="A2115" s="47" t="s">
        <v>2552</v>
      </c>
      <c r="B2115" s="92" t="s">
        <v>2492</v>
      </c>
      <c r="C2115" s="92" t="s">
        <v>2553</v>
      </c>
      <c r="D2115" s="72" t="str">
        <f>IFERROR(VLOOKUP(A2115,'[1]ST-QA-ZZ5'!$C$5:$M$299,11,0),"Inspection at production line")</f>
        <v>Inspection at production line</v>
      </c>
    </row>
    <row r="2116" spans="1:4" ht="13.8">
      <c r="A2116" s="47" t="s">
        <v>6370</v>
      </c>
      <c r="B2116" s="92" t="s">
        <v>2492</v>
      </c>
      <c r="C2116" s="92" t="s">
        <v>6371</v>
      </c>
      <c r="D2116" s="72" t="str">
        <f>IFERROR(VLOOKUP(A2116,'[1]ST-QA-ZZ5'!$C$5:$M$299,11,0),"Inspection at production line")</f>
        <v>Inspection at production line</v>
      </c>
    </row>
    <row r="2117" spans="1:4" ht="13.8">
      <c r="A2117" s="47" t="s">
        <v>6372</v>
      </c>
      <c r="B2117" s="92" t="s">
        <v>6271</v>
      </c>
      <c r="C2117" s="92" t="s">
        <v>6373</v>
      </c>
      <c r="D2117" s="72" t="str">
        <f>IFERROR(VLOOKUP(A2117,'[1]ST-QA-ZZ5'!$C$5:$M$299,11,0),"Inspection at production line")</f>
        <v>Inspection at production line</v>
      </c>
    </row>
    <row r="2118" spans="1:4" ht="13.8">
      <c r="A2118" s="47" t="s">
        <v>6374</v>
      </c>
      <c r="B2118" s="92" t="s">
        <v>1954</v>
      </c>
      <c r="C2118" s="92" t="s">
        <v>6375</v>
      </c>
      <c r="D2118" s="72" t="str">
        <f>IFERROR(VLOOKUP(A2118,'[1]ST-QA-ZZ5'!$C$5:$M$299,11,0),"Inspection at production line")</f>
        <v>Inspection at production line</v>
      </c>
    </row>
    <row r="2119" spans="1:4" ht="13.8">
      <c r="A2119" s="47" t="s">
        <v>6376</v>
      </c>
      <c r="B2119" s="92" t="s">
        <v>1880</v>
      </c>
      <c r="C2119" s="92" t="s">
        <v>6377</v>
      </c>
      <c r="D2119" s="72" t="str">
        <f>IFERROR(VLOOKUP(A2119,'[1]ST-QA-ZZ5'!$C$5:$M$299,11,0),"Inspection at production line")</f>
        <v>Inspection at production line</v>
      </c>
    </row>
    <row r="2120" spans="1:4" ht="13.8">
      <c r="A2120" s="47" t="s">
        <v>6378</v>
      </c>
      <c r="B2120" s="92" t="s">
        <v>1880</v>
      </c>
      <c r="C2120" s="92" t="s">
        <v>6379</v>
      </c>
      <c r="D2120" s="72" t="str">
        <f>IFERROR(VLOOKUP(A2120,'[1]ST-QA-ZZ5'!$C$5:$M$299,11,0),"Inspection at production line")</f>
        <v>Inspection at production line</v>
      </c>
    </row>
    <row r="2121" spans="1:4" ht="13.8">
      <c r="A2121" s="47" t="s">
        <v>6380</v>
      </c>
      <c r="B2121" s="92" t="s">
        <v>119</v>
      </c>
      <c r="C2121" s="92" t="s">
        <v>6381</v>
      </c>
      <c r="D2121" s="72" t="str">
        <f>IFERROR(VLOOKUP(A2121,'[1]ST-QA-ZZ5'!$C$5:$M$299,11,0),"Inspection at production line")</f>
        <v>Inspection at production line</v>
      </c>
    </row>
    <row r="2122" spans="1:4" ht="13.8">
      <c r="A2122" s="47" t="s">
        <v>6382</v>
      </c>
      <c r="B2122" s="92" t="s">
        <v>119</v>
      </c>
      <c r="C2122" s="92" t="s">
        <v>6383</v>
      </c>
      <c r="D2122" s="72" t="str">
        <f>IFERROR(VLOOKUP(A2122,'[1]ST-QA-ZZ5'!$C$5:$M$299,11,0),"Inspection at production line")</f>
        <v>Inspection at production line</v>
      </c>
    </row>
    <row r="2123" spans="1:4" ht="13.8">
      <c r="A2123" s="47" t="s">
        <v>6384</v>
      </c>
      <c r="B2123" s="92" t="s">
        <v>1554</v>
      </c>
      <c r="C2123" s="92" t="s">
        <v>6385</v>
      </c>
      <c r="D2123" s="72" t="str">
        <f>IFERROR(VLOOKUP(A2123,'[1]ST-QA-ZZ5'!$C$5:$M$299,11,0),"Inspection at production line")</f>
        <v>Inspection at production line</v>
      </c>
    </row>
    <row r="2124" spans="1:4" ht="13.8">
      <c r="A2124" s="47" t="s">
        <v>6386</v>
      </c>
      <c r="B2124" s="92" t="s">
        <v>857</v>
      </c>
      <c r="C2124" s="92" t="s">
        <v>6385</v>
      </c>
      <c r="D2124" s="72" t="str">
        <f>IFERROR(VLOOKUP(A2124,'[1]ST-QA-ZZ5'!$C$5:$M$299,11,0),"Inspection at production line")</f>
        <v>Inspection at production line</v>
      </c>
    </row>
    <row r="2125" spans="1:4" ht="13.8">
      <c r="A2125" s="47" t="s">
        <v>2531</v>
      </c>
      <c r="B2125" s="92" t="s">
        <v>2532</v>
      </c>
      <c r="C2125" s="92" t="s">
        <v>2533</v>
      </c>
      <c r="D2125" s="72" t="str">
        <f>IFERROR(VLOOKUP(A2125,'[1]ST-QA-ZZ5'!$C$5:$M$299,11,0),"Inspection at production line")</f>
        <v>Inspection at production line</v>
      </c>
    </row>
    <row r="2126" spans="1:4" ht="13.8">
      <c r="A2126" s="47" t="s">
        <v>2536</v>
      </c>
      <c r="B2126" s="92" t="s">
        <v>2532</v>
      </c>
      <c r="C2126" s="92" t="s">
        <v>2537</v>
      </c>
      <c r="D2126" s="72" t="str">
        <f>IFERROR(VLOOKUP(A2126,'[1]ST-QA-ZZ5'!$C$5:$M$299,11,0),"Inspection at production line")</f>
        <v>Inspection at production line</v>
      </c>
    </row>
    <row r="2127" spans="1:4" ht="13.8">
      <c r="A2127" s="47" t="s">
        <v>6387</v>
      </c>
      <c r="B2127" s="92" t="s">
        <v>6388</v>
      </c>
      <c r="C2127" s="92" t="s">
        <v>6389</v>
      </c>
      <c r="D2127" s="72" t="str">
        <f>IFERROR(VLOOKUP(A2127,'[1]ST-QA-ZZ5'!$C$5:$M$299,11,0),"Inspection at production line")</f>
        <v>Inspection at production line</v>
      </c>
    </row>
    <row r="2128" spans="1:4" ht="13.8">
      <c r="A2128" s="47" t="s">
        <v>6390</v>
      </c>
      <c r="B2128" s="92" t="s">
        <v>1896</v>
      </c>
      <c r="C2128" s="92" t="s">
        <v>6391</v>
      </c>
      <c r="D2128" s="72" t="str">
        <f>IFERROR(VLOOKUP(A2128,'[1]ST-QA-ZZ5'!$C$5:$M$299,11,0),"Inspection at production line")</f>
        <v>Inspection at production line</v>
      </c>
    </row>
    <row r="2129" spans="1:4" ht="13.8">
      <c r="A2129" s="47" t="s">
        <v>6392</v>
      </c>
      <c r="B2129" s="92" t="s">
        <v>1896</v>
      </c>
      <c r="C2129" s="92" t="s">
        <v>6393</v>
      </c>
      <c r="D2129" s="72" t="str">
        <f>IFERROR(VLOOKUP(A2129,'[1]ST-QA-ZZ5'!$C$5:$M$299,11,0),"Inspection at production line")</f>
        <v>Inspection at production line</v>
      </c>
    </row>
    <row r="2130" spans="1:4" ht="13.8">
      <c r="A2130" s="47" t="s">
        <v>6394</v>
      </c>
      <c r="B2130" s="92" t="s">
        <v>1896</v>
      </c>
      <c r="C2130" s="92" t="s">
        <v>6395</v>
      </c>
      <c r="D2130" s="72" t="str">
        <f>IFERROR(VLOOKUP(A2130,'[1]ST-QA-ZZ5'!$C$5:$M$299,11,0),"Inspection at production line")</f>
        <v>Inspection at production line</v>
      </c>
    </row>
    <row r="2131" spans="1:4" ht="13.8">
      <c r="A2131" s="47" t="s">
        <v>6396</v>
      </c>
      <c r="B2131" s="92" t="s">
        <v>1896</v>
      </c>
      <c r="C2131" s="92" t="s">
        <v>6397</v>
      </c>
      <c r="D2131" s="72" t="str">
        <f>IFERROR(VLOOKUP(A2131,'[1]ST-QA-ZZ5'!$C$5:$M$299,11,0),"Inspection at production line")</f>
        <v>Inspection at production line</v>
      </c>
    </row>
    <row r="2132" spans="1:4" ht="13.8">
      <c r="A2132" s="47" t="s">
        <v>6398</v>
      </c>
      <c r="B2132" s="92" t="s">
        <v>1513</v>
      </c>
      <c r="C2132" s="92" t="s">
        <v>6399</v>
      </c>
      <c r="D2132" s="72" t="str">
        <f>IFERROR(VLOOKUP(A2132,'[1]ST-QA-ZZ5'!$C$5:$M$299,11,0),"Inspection at production line")</f>
        <v>Inspection at production line</v>
      </c>
    </row>
    <row r="2133" spans="1:4" ht="13.8">
      <c r="A2133" s="47" t="s">
        <v>6400</v>
      </c>
      <c r="B2133" s="92" t="s">
        <v>900</v>
      </c>
      <c r="C2133" s="92" t="s">
        <v>6401</v>
      </c>
      <c r="D2133" s="72" t="str">
        <f>IFERROR(VLOOKUP(A2133,'[1]ST-QA-ZZ5'!$C$5:$M$299,11,0),"Inspection at production line")</f>
        <v>Inspection at production line</v>
      </c>
    </row>
    <row r="2134" spans="1:4" ht="13.8">
      <c r="A2134" s="47" t="s">
        <v>6402</v>
      </c>
      <c r="B2134" s="92" t="s">
        <v>104</v>
      </c>
      <c r="C2134" s="92" t="s">
        <v>6403</v>
      </c>
      <c r="D2134" s="72" t="str">
        <f>IFERROR(VLOOKUP(A2134,'[1]ST-QA-ZZ5'!$C$5:$M$299,11,0),"Inspection at production line")</f>
        <v>Inspection at production line</v>
      </c>
    </row>
    <row r="2135" spans="1:4" ht="13.8">
      <c r="A2135" s="47" t="s">
        <v>2609</v>
      </c>
      <c r="B2135" s="92" t="s">
        <v>818</v>
      </c>
      <c r="C2135" s="92" t="s">
        <v>2610</v>
      </c>
      <c r="D2135" s="72" t="str">
        <f>IFERROR(VLOOKUP(A2135,'[1]ST-QA-ZZ5'!$C$5:$M$299,11,0),"Inspection at production line")</f>
        <v>Inspection at production line</v>
      </c>
    </row>
    <row r="2136" spans="1:4" ht="13.8">
      <c r="A2136" s="47" t="s">
        <v>2643</v>
      </c>
      <c r="B2136" s="92" t="s">
        <v>2584</v>
      </c>
      <c r="C2136" s="92" t="s">
        <v>2644</v>
      </c>
      <c r="D2136" s="72" t="str">
        <f>IFERROR(VLOOKUP(A2136,'[1]ST-QA-ZZ5'!$C$5:$M$299,11,0),"Inspection at production line")</f>
        <v>Inspection at production line</v>
      </c>
    </row>
    <row r="2137" spans="1:4" ht="13.8">
      <c r="A2137" s="47" t="s">
        <v>2640</v>
      </c>
      <c r="B2137" s="92" t="s">
        <v>104</v>
      </c>
      <c r="C2137" s="92" t="s">
        <v>6404</v>
      </c>
      <c r="D2137" s="72" t="str">
        <f>IFERROR(VLOOKUP(A2137,'[1]ST-QA-ZZ5'!$C$5:$M$299,11,0),"Inspection at production line")</f>
        <v>Inspection at production line</v>
      </c>
    </row>
    <row r="2138" spans="1:4" ht="13.8">
      <c r="A2138" s="47" t="s">
        <v>6405</v>
      </c>
      <c r="B2138" s="92" t="s">
        <v>104</v>
      </c>
      <c r="C2138" s="92" t="s">
        <v>6406</v>
      </c>
      <c r="D2138" s="72" t="str">
        <f>IFERROR(VLOOKUP(A2138,'[1]ST-QA-ZZ5'!$C$5:$M$299,11,0),"Inspection at production line")</f>
        <v>Inspection at production line</v>
      </c>
    </row>
    <row r="2139" spans="1:4" ht="13.8">
      <c r="A2139" s="47" t="s">
        <v>6407</v>
      </c>
      <c r="B2139" s="92" t="s">
        <v>6408</v>
      </c>
      <c r="C2139" s="92" t="s">
        <v>6409</v>
      </c>
      <c r="D2139" s="72" t="str">
        <f>IFERROR(VLOOKUP(A2139,'[1]ST-QA-ZZ5'!$C$5:$M$299,11,0),"Inspection at production line")</f>
        <v>Appearance check 100%</v>
      </c>
    </row>
    <row r="2140" spans="1:4" ht="13.8">
      <c r="A2140" s="47" t="s">
        <v>3765</v>
      </c>
      <c r="B2140" s="92" t="s">
        <v>905</v>
      </c>
      <c r="C2140" s="92" t="s">
        <v>3766</v>
      </c>
      <c r="D2140" s="72" t="str">
        <f>IFERROR(VLOOKUP(A2140,'[1]ST-QA-ZZ5'!$C$5:$M$299,11,0),"Inspection at production line")</f>
        <v>Inspection at production line</v>
      </c>
    </row>
    <row r="2141" spans="1:4" ht="13.8">
      <c r="A2141" s="47" t="s">
        <v>3770</v>
      </c>
      <c r="B2141" s="92" t="s">
        <v>3468</v>
      </c>
      <c r="C2141" s="92" t="s">
        <v>3771</v>
      </c>
      <c r="D2141" s="72" t="str">
        <f>IFERROR(VLOOKUP(A2141,'[1]ST-QA-ZZ5'!$C$5:$M$299,11,0),"Inspection at production line")</f>
        <v>Inspection at production line</v>
      </c>
    </row>
    <row r="2142" spans="1:4" ht="13.8">
      <c r="A2142" s="47" t="s">
        <v>3775</v>
      </c>
      <c r="B2142" s="92" t="s">
        <v>3473</v>
      </c>
      <c r="C2142" s="92" t="s">
        <v>3776</v>
      </c>
      <c r="D2142" s="72" t="str">
        <f>IFERROR(VLOOKUP(A2142,'[1]ST-QA-ZZ5'!$C$5:$M$299,11,0),"Inspection at production line")</f>
        <v>Inspection at production line</v>
      </c>
    </row>
    <row r="2143" spans="1:4" ht="13.8">
      <c r="A2143" s="47" t="s">
        <v>3779</v>
      </c>
      <c r="B2143" s="92" t="s">
        <v>811</v>
      </c>
      <c r="C2143" s="92" t="s">
        <v>3780</v>
      </c>
      <c r="D2143" s="72" t="str">
        <f>IFERROR(VLOOKUP(A2143,'[1]ST-QA-ZZ5'!$C$5:$M$299,11,0),"Inspection at production line")</f>
        <v>Inspection at production line</v>
      </c>
    </row>
    <row r="2144" spans="1:4" ht="13.8">
      <c r="A2144" s="47" t="s">
        <v>6410</v>
      </c>
      <c r="B2144" s="92" t="s">
        <v>941</v>
      </c>
      <c r="C2144" s="92" t="s">
        <v>6411</v>
      </c>
      <c r="D2144" s="72" t="str">
        <f>IFERROR(VLOOKUP(A2144,'[1]ST-QA-ZZ5'!$C$5:$M$299,11,0),"Inspection at production line")</f>
        <v>Inspection at production line</v>
      </c>
    </row>
    <row r="2145" spans="1:4" ht="13.8">
      <c r="A2145" s="47" t="s">
        <v>3783</v>
      </c>
      <c r="B2145" s="92" t="s">
        <v>797</v>
      </c>
      <c r="C2145" s="92" t="s">
        <v>3784</v>
      </c>
      <c r="D2145" s="72" t="str">
        <f>IFERROR(VLOOKUP(A2145,'[1]ST-QA-ZZ5'!$C$5:$M$299,11,0),"Inspection at production line")</f>
        <v>Inspection at production line</v>
      </c>
    </row>
    <row r="2146" spans="1:4" ht="13.8">
      <c r="A2146" s="47" t="s">
        <v>3785</v>
      </c>
      <c r="B2146" s="92" t="s">
        <v>2546</v>
      </c>
      <c r="C2146" s="92" t="s">
        <v>3786</v>
      </c>
      <c r="D2146" s="72" t="str">
        <f>IFERROR(VLOOKUP(A2146,'[1]ST-QA-ZZ5'!$C$5:$M$299,11,0),"Inspection at production line")</f>
        <v>Inspection at production line</v>
      </c>
    </row>
    <row r="2147" spans="1:4" ht="13.8">
      <c r="A2147" s="47" t="s">
        <v>6412</v>
      </c>
      <c r="B2147" s="92" t="s">
        <v>1177</v>
      </c>
      <c r="C2147" s="92" t="s">
        <v>6413</v>
      </c>
      <c r="D2147" s="72" t="str">
        <f>IFERROR(VLOOKUP(A2147,'[1]ST-QA-ZZ5'!$C$5:$M$299,11,0),"Inspection at production line")</f>
        <v>Inspection at production line</v>
      </c>
    </row>
    <row r="2148" spans="1:4" ht="13.8">
      <c r="A2148" s="47" t="s">
        <v>3787</v>
      </c>
      <c r="B2148" s="92" t="s">
        <v>828</v>
      </c>
      <c r="C2148" s="92" t="s">
        <v>3788</v>
      </c>
      <c r="D2148" s="72" t="str">
        <f>IFERROR(VLOOKUP(A2148,'[1]ST-QA-ZZ5'!$C$5:$M$299,11,0),"Inspection at production line")</f>
        <v>Inspection at production line</v>
      </c>
    </row>
    <row r="2149" spans="1:4" ht="13.8">
      <c r="A2149" s="47" t="s">
        <v>6414</v>
      </c>
      <c r="B2149" s="92" t="s">
        <v>3612</v>
      </c>
      <c r="C2149" s="92" t="s">
        <v>6415</v>
      </c>
      <c r="D2149" s="72" t="str">
        <f>IFERROR(VLOOKUP(A2149,'[1]ST-QA-ZZ5'!$C$5:$M$299,11,0),"Inspection at production line")</f>
        <v>Inspection at production line</v>
      </c>
    </row>
    <row r="2150" spans="1:4" ht="13.8">
      <c r="A2150" s="47" t="s">
        <v>6416</v>
      </c>
      <c r="B2150" s="92" t="s">
        <v>1592</v>
      </c>
      <c r="C2150" s="92" t="s">
        <v>5006</v>
      </c>
      <c r="D2150" s="72" t="str">
        <f>IFERROR(VLOOKUP(A2150,'[1]ST-QA-ZZ5'!$C$5:$M$299,11,0),"Inspection at production line")</f>
        <v>Inspection at production line</v>
      </c>
    </row>
    <row r="2151" spans="1:4" ht="13.8">
      <c r="A2151" s="47" t="s">
        <v>6417</v>
      </c>
      <c r="B2151" s="92" t="s">
        <v>961</v>
      </c>
      <c r="C2151" s="92" t="s">
        <v>4059</v>
      </c>
      <c r="D2151" s="72" t="str">
        <f>IFERROR(VLOOKUP(A2151,'[1]ST-QA-ZZ5'!$C$5:$M$299,11,0),"Inspection at production line")</f>
        <v>Inspection at production line</v>
      </c>
    </row>
    <row r="2152" spans="1:4" ht="13.8">
      <c r="A2152" s="47" t="s">
        <v>3789</v>
      </c>
      <c r="B2152" s="92" t="s">
        <v>1177</v>
      </c>
      <c r="C2152" s="92" t="s">
        <v>3790</v>
      </c>
      <c r="D2152" s="72" t="str">
        <f>IFERROR(VLOOKUP(A2152,'[1]ST-QA-ZZ5'!$C$5:$M$299,11,0),"Inspection at production line")</f>
        <v>Inspection at production line</v>
      </c>
    </row>
    <row r="2153" spans="1:4" ht="13.8">
      <c r="A2153" s="47" t="s">
        <v>3793</v>
      </c>
      <c r="B2153" s="92" t="s">
        <v>905</v>
      </c>
      <c r="C2153" s="92" t="s">
        <v>3794</v>
      </c>
      <c r="D2153" s="72" t="str">
        <f>IFERROR(VLOOKUP(A2153,'[1]ST-QA-ZZ5'!$C$5:$M$299,11,0),"Inspection at production line")</f>
        <v>Inspection at production line</v>
      </c>
    </row>
    <row r="2154" spans="1:4" ht="13.8">
      <c r="A2154" s="47" t="s">
        <v>3797</v>
      </c>
      <c r="B2154" s="92" t="s">
        <v>3468</v>
      </c>
      <c r="C2154" s="92" t="s">
        <v>6418</v>
      </c>
      <c r="D2154" s="72" t="str">
        <f>IFERROR(VLOOKUP(A2154,'[1]ST-QA-ZZ5'!$C$5:$M$299,11,0),"Inspection at production line")</f>
        <v>Inspection at production line</v>
      </c>
    </row>
    <row r="2155" spans="1:4" ht="13.8">
      <c r="A2155" s="47" t="s">
        <v>3800</v>
      </c>
      <c r="B2155" s="92" t="s">
        <v>3473</v>
      </c>
      <c r="C2155" s="92" t="s">
        <v>3801</v>
      </c>
      <c r="D2155" s="72" t="str">
        <f>IFERROR(VLOOKUP(A2155,'[1]ST-QA-ZZ5'!$C$5:$M$299,11,0),"Inspection at production line")</f>
        <v>Inspection at production line</v>
      </c>
    </row>
    <row r="2156" spans="1:4" ht="13.8">
      <c r="A2156" s="47" t="s">
        <v>3804</v>
      </c>
      <c r="B2156" s="92" t="s">
        <v>3543</v>
      </c>
      <c r="C2156" s="92" t="s">
        <v>3805</v>
      </c>
      <c r="D2156" s="72" t="str">
        <f>IFERROR(VLOOKUP(A2156,'[1]ST-QA-ZZ5'!$C$5:$M$299,11,0),"Inspection at production line")</f>
        <v>Inspection at production line</v>
      </c>
    </row>
    <row r="2157" spans="1:4" ht="13.8">
      <c r="A2157" s="47" t="s">
        <v>3808</v>
      </c>
      <c r="B2157" s="92" t="s">
        <v>1177</v>
      </c>
      <c r="C2157" s="92" t="s">
        <v>3809</v>
      </c>
      <c r="D2157" s="72" t="str">
        <f>IFERROR(VLOOKUP(A2157,'[1]ST-QA-ZZ5'!$C$5:$M$299,11,0),"Inspection at production line")</f>
        <v>Inspection at production line</v>
      </c>
    </row>
    <row r="2158" spans="1:4" ht="13.8">
      <c r="A2158" s="47" t="s">
        <v>3811</v>
      </c>
      <c r="B2158" s="92" t="s">
        <v>3564</v>
      </c>
      <c r="C2158" s="92" t="s">
        <v>3812</v>
      </c>
      <c r="D2158" s="72" t="str">
        <f>IFERROR(VLOOKUP(A2158,'[1]ST-QA-ZZ5'!$C$5:$M$299,11,0),"Inspection at production line")</f>
        <v>Inspection at production line</v>
      </c>
    </row>
    <row r="2159" spans="1:4" ht="13.8">
      <c r="A2159" s="47" t="s">
        <v>6419</v>
      </c>
      <c r="B2159" s="92" t="s">
        <v>3564</v>
      </c>
      <c r="C2159" s="92" t="s">
        <v>6420</v>
      </c>
      <c r="D2159" s="72" t="str">
        <f>IFERROR(VLOOKUP(A2159,'[1]ST-QA-ZZ5'!$C$5:$M$299,11,0),"Inspection at production line")</f>
        <v>Sampling check</v>
      </c>
    </row>
    <row r="2160" spans="1:4" ht="13.8">
      <c r="A2160" s="47" t="s">
        <v>6421</v>
      </c>
      <c r="B2160" s="92" t="s">
        <v>857</v>
      </c>
      <c r="C2160" s="92" t="s">
        <v>6420</v>
      </c>
      <c r="D2160" s="72" t="str">
        <f>IFERROR(VLOOKUP(A2160,'[1]ST-QA-ZZ5'!$C$5:$M$299,11,0),"Inspection at production line")</f>
        <v>Inspection at production line</v>
      </c>
    </row>
    <row r="2161" spans="1:4" ht="13.8">
      <c r="A2161" s="47" t="s">
        <v>6422</v>
      </c>
      <c r="B2161" s="92" t="s">
        <v>6423</v>
      </c>
      <c r="C2161" s="92" t="s">
        <v>6423</v>
      </c>
      <c r="D2161" s="72" t="str">
        <f>IFERROR(VLOOKUP(A2161,'[1]ST-QA-ZZ5'!$C$5:$M$299,11,0),"Inspection at production line")</f>
        <v>Inspection at production line</v>
      </c>
    </row>
    <row r="2162" spans="1:4" ht="13.8">
      <c r="A2162" s="47" t="s">
        <v>6424</v>
      </c>
      <c r="B2162" s="92" t="s">
        <v>555</v>
      </c>
      <c r="C2162" s="92" t="s">
        <v>3558</v>
      </c>
      <c r="D2162" s="72" t="str">
        <f>IFERROR(VLOOKUP(A2162,'[1]ST-QA-ZZ5'!$C$5:$M$299,11,0),"Inspection at production line")</f>
        <v>Inspection at production line</v>
      </c>
    </row>
    <row r="2163" spans="1:4" ht="13.8">
      <c r="A2163" s="47" t="s">
        <v>6425</v>
      </c>
      <c r="B2163" s="92" t="s">
        <v>6426</v>
      </c>
      <c r="C2163" s="92" t="s">
        <v>6427</v>
      </c>
      <c r="D2163" s="72" t="str">
        <f>IFERROR(VLOOKUP(A2163,'[1]ST-QA-ZZ5'!$C$5:$M$299,11,0),"Inspection at production line")</f>
        <v>Inspection at production line</v>
      </c>
    </row>
    <row r="2164" spans="1:4" ht="13.8">
      <c r="A2164" s="47" t="s">
        <v>6428</v>
      </c>
      <c r="B2164" s="92" t="s">
        <v>4769</v>
      </c>
      <c r="C2164" s="92" t="s">
        <v>6429</v>
      </c>
      <c r="D2164" s="72" t="str">
        <f>IFERROR(VLOOKUP(A2164,'[1]ST-QA-ZZ5'!$C$5:$M$299,11,0),"Inspection at production line")</f>
        <v>Inspection at production line</v>
      </c>
    </row>
    <row r="2165" spans="1:4" ht="13.8">
      <c r="A2165" s="47" t="s">
        <v>6430</v>
      </c>
      <c r="B2165" s="92" t="s">
        <v>4769</v>
      </c>
      <c r="C2165" s="92" t="s">
        <v>6431</v>
      </c>
      <c r="D2165" s="72" t="str">
        <f>IFERROR(VLOOKUP(A2165,'[1]ST-QA-ZZ5'!$C$5:$M$299,11,0),"Inspection at production line")</f>
        <v>Inspection at production line</v>
      </c>
    </row>
    <row r="2166" spans="1:4" ht="13.8">
      <c r="A2166" s="47" t="s">
        <v>6432</v>
      </c>
      <c r="B2166" s="92" t="s">
        <v>6433</v>
      </c>
      <c r="C2166" s="92" t="s">
        <v>6434</v>
      </c>
      <c r="D2166" s="72" t="str">
        <f>IFERROR(VLOOKUP(A2166,'[1]ST-QA-ZZ5'!$C$5:$M$299,11,0),"Inspection at production line")</f>
        <v>Inspection at production line</v>
      </c>
    </row>
    <row r="2167" spans="1:4" ht="13.8">
      <c r="A2167" s="47" t="s">
        <v>6435</v>
      </c>
      <c r="B2167" s="92" t="s">
        <v>6436</v>
      </c>
      <c r="C2167" s="92" t="s">
        <v>6437</v>
      </c>
      <c r="D2167" s="72" t="str">
        <f>IFERROR(VLOOKUP(A2167,'[1]ST-QA-ZZ5'!$C$5:$M$299,11,0),"Inspection at production line")</f>
        <v>Inspection at production line</v>
      </c>
    </row>
    <row r="2168" spans="1:4" ht="13.8">
      <c r="A2168" s="47" t="s">
        <v>6438</v>
      </c>
      <c r="B2168" s="92" t="s">
        <v>6436</v>
      </c>
      <c r="C2168" s="92" t="s">
        <v>6439</v>
      </c>
      <c r="D2168" s="72" t="str">
        <f>IFERROR(VLOOKUP(A2168,'[1]ST-QA-ZZ5'!$C$5:$M$299,11,0),"Inspection at production line")</f>
        <v>Inspection at production line</v>
      </c>
    </row>
    <row r="2169" spans="1:4" ht="13.8">
      <c r="A2169" s="47" t="s">
        <v>6440</v>
      </c>
      <c r="B2169" s="92" t="s">
        <v>1302</v>
      </c>
      <c r="C2169" s="92" t="s">
        <v>6441</v>
      </c>
      <c r="D2169" s="72" t="str">
        <f>IFERROR(VLOOKUP(A2169,'[1]ST-QA-ZZ5'!$C$5:$M$299,11,0),"Inspection at production line")</f>
        <v>Inspection at production line</v>
      </c>
    </row>
    <row r="2170" spans="1:4" ht="13.8">
      <c r="A2170" s="47" t="s">
        <v>6442</v>
      </c>
      <c r="B2170" s="92" t="s">
        <v>6443</v>
      </c>
      <c r="C2170" s="92" t="s">
        <v>6444</v>
      </c>
      <c r="D2170" s="72" t="str">
        <f>IFERROR(VLOOKUP(A2170,'[1]ST-QA-ZZ5'!$C$5:$M$299,11,0),"Inspection at production line")</f>
        <v>Inspection at production line</v>
      </c>
    </row>
    <row r="2171" spans="1:4" ht="13.8">
      <c r="A2171" s="47" t="s">
        <v>6445</v>
      </c>
      <c r="B2171" s="92" t="s">
        <v>6443</v>
      </c>
      <c r="C2171" s="92" t="s">
        <v>6446</v>
      </c>
      <c r="D2171" s="72" t="str">
        <f>IFERROR(VLOOKUP(A2171,'[1]ST-QA-ZZ5'!$C$5:$M$299,11,0),"Inspection at production line")</f>
        <v>Inspection at production line</v>
      </c>
    </row>
    <row r="2172" spans="1:4" ht="13.8">
      <c r="A2172" s="47" t="s">
        <v>6447</v>
      </c>
      <c r="B2172" s="92" t="s">
        <v>6443</v>
      </c>
      <c r="C2172" s="92" t="s">
        <v>6448</v>
      </c>
      <c r="D2172" s="72" t="str">
        <f>IFERROR(VLOOKUP(A2172,'[1]ST-QA-ZZ5'!$C$5:$M$299,11,0),"Inspection at production line")</f>
        <v>Inspection at production line</v>
      </c>
    </row>
    <row r="2173" spans="1:4" ht="13.8">
      <c r="A2173" s="47" t="s">
        <v>6449</v>
      </c>
      <c r="B2173" s="92" t="s">
        <v>6443</v>
      </c>
      <c r="C2173" s="92" t="s">
        <v>6450</v>
      </c>
      <c r="D2173" s="72" t="str">
        <f>IFERROR(VLOOKUP(A2173,'[1]ST-QA-ZZ5'!$C$5:$M$299,11,0),"Inspection at production line")</f>
        <v>Inspection at production line</v>
      </c>
    </row>
    <row r="2174" spans="1:4" ht="13.8">
      <c r="A2174" s="47" t="s">
        <v>6451</v>
      </c>
      <c r="B2174" s="92" t="s">
        <v>818</v>
      </c>
      <c r="C2174" s="92" t="s">
        <v>6452</v>
      </c>
      <c r="D2174" s="72" t="str">
        <f>IFERROR(VLOOKUP(A2174,'[1]ST-QA-ZZ5'!$C$5:$M$299,11,0),"Inspection at production line")</f>
        <v>Inspection at production line</v>
      </c>
    </row>
    <row r="2175" spans="1:4" ht="13.8">
      <c r="A2175" s="47" t="s">
        <v>6453</v>
      </c>
      <c r="B2175" s="92" t="s">
        <v>6443</v>
      </c>
      <c r="C2175" s="92" t="s">
        <v>6454</v>
      </c>
      <c r="D2175" s="72" t="str">
        <f>IFERROR(VLOOKUP(A2175,'[1]ST-QA-ZZ5'!$C$5:$M$299,11,0),"Inspection at production line")</f>
        <v>Inspection at production line</v>
      </c>
    </row>
    <row r="2176" spans="1:4" ht="13.8">
      <c r="A2176" s="47" t="s">
        <v>6455</v>
      </c>
      <c r="B2176" s="92" t="s">
        <v>397</v>
      </c>
      <c r="C2176" s="92" t="s">
        <v>6456</v>
      </c>
      <c r="D2176" s="72" t="str">
        <f>IFERROR(VLOOKUP(A2176,'[1]ST-QA-ZZ5'!$C$5:$M$299,11,0),"Inspection at production line")</f>
        <v>Inspection at production line</v>
      </c>
    </row>
    <row r="2177" spans="1:4" ht="13.8">
      <c r="A2177" s="47" t="s">
        <v>6457</v>
      </c>
      <c r="B2177" s="92" t="s">
        <v>1233</v>
      </c>
      <c r="C2177" s="92" t="s">
        <v>6458</v>
      </c>
      <c r="D2177" s="72" t="str">
        <f>IFERROR(VLOOKUP(A2177,'[1]ST-QA-ZZ5'!$C$5:$M$299,11,0),"Inspection at production line")</f>
        <v>Inspection at production line</v>
      </c>
    </row>
    <row r="2178" spans="1:4" ht="13.8">
      <c r="A2178" s="47" t="s">
        <v>6459</v>
      </c>
      <c r="B2178" s="92" t="s">
        <v>936</v>
      </c>
      <c r="C2178" s="92" t="s">
        <v>6460</v>
      </c>
      <c r="D2178" s="72" t="str">
        <f>IFERROR(VLOOKUP(A2178,'[1]ST-QA-ZZ5'!$C$5:$M$299,11,0),"Inspection at production line")</f>
        <v>Inspection at production line</v>
      </c>
    </row>
    <row r="2179" spans="1:4" ht="13.8">
      <c r="A2179" s="47" t="s">
        <v>6461</v>
      </c>
      <c r="B2179" s="92" t="s">
        <v>213</v>
      </c>
      <c r="C2179" s="92" t="s">
        <v>6462</v>
      </c>
      <c r="D2179" s="72" t="str">
        <f>IFERROR(VLOOKUP(A2179,'[1]ST-QA-ZZ5'!$C$5:$M$299,11,0),"Inspection at production line")</f>
        <v>Inspection at production line</v>
      </c>
    </row>
    <row r="2180" spans="1:4" ht="13.8">
      <c r="A2180" s="47" t="s">
        <v>6463</v>
      </c>
      <c r="B2180" s="92" t="s">
        <v>404</v>
      </c>
      <c r="C2180" s="92" t="s">
        <v>6464</v>
      </c>
      <c r="D2180" s="72" t="str">
        <f>IFERROR(VLOOKUP(A2180,'[1]ST-QA-ZZ5'!$C$5:$M$299,11,0),"Inspection at production line")</f>
        <v>Inspection at production line</v>
      </c>
    </row>
    <row r="2181" spans="1:4" ht="13.8">
      <c r="A2181" s="47" t="s">
        <v>6465</v>
      </c>
      <c r="B2181" s="92" t="s">
        <v>404</v>
      </c>
      <c r="C2181" s="92" t="s">
        <v>6466</v>
      </c>
      <c r="D2181" s="72" t="str">
        <f>IFERROR(VLOOKUP(A2181,'[1]ST-QA-ZZ5'!$C$5:$M$299,11,0),"Inspection at production line")</f>
        <v>Inspection at production line</v>
      </c>
    </row>
    <row r="2182" spans="1:4" ht="13.8">
      <c r="A2182" s="47" t="s">
        <v>6467</v>
      </c>
      <c r="B2182" s="92" t="s">
        <v>811</v>
      </c>
      <c r="C2182" s="92" t="s">
        <v>6468</v>
      </c>
      <c r="D2182" s="72" t="str">
        <f>IFERROR(VLOOKUP(A2182,'[1]ST-QA-ZZ5'!$C$5:$M$299,11,0),"Inspection at production line")</f>
        <v>Inspection at production line</v>
      </c>
    </row>
    <row r="2183" spans="1:4" ht="13.8">
      <c r="A2183" s="47" t="s">
        <v>6469</v>
      </c>
      <c r="B2183" s="92" t="s">
        <v>1046</v>
      </c>
      <c r="C2183" s="92" t="s">
        <v>33</v>
      </c>
      <c r="D2183" s="72" t="str">
        <f>IFERROR(VLOOKUP(A2183,'[1]ST-QA-ZZ5'!$C$5:$M$299,11,0),"Inspection at production line")</f>
        <v>Inspection at production line</v>
      </c>
    </row>
    <row r="2184" spans="1:4" ht="13.8">
      <c r="A2184" s="47" t="s">
        <v>6470</v>
      </c>
      <c r="B2184" s="92" t="s">
        <v>1946</v>
      </c>
      <c r="C2184" s="92" t="s">
        <v>33</v>
      </c>
      <c r="D2184" s="72" t="str">
        <f>IFERROR(VLOOKUP(A2184,'[1]ST-QA-ZZ5'!$C$5:$M$299,11,0),"Inspection at production line")</f>
        <v>Inspection at production line</v>
      </c>
    </row>
    <row r="2185" spans="1:4" ht="13.8">
      <c r="A2185" s="47" t="s">
        <v>6471</v>
      </c>
      <c r="B2185" s="92" t="s">
        <v>4014</v>
      </c>
      <c r="C2185" s="92" t="s">
        <v>33</v>
      </c>
      <c r="D2185" s="72" t="str">
        <f>IFERROR(VLOOKUP(A2185,'[1]ST-QA-ZZ5'!$C$5:$M$299,11,0),"Inspection at production line")</f>
        <v>Inspection at production line</v>
      </c>
    </row>
    <row r="2186" spans="1:4" ht="13.8">
      <c r="A2186" s="47" t="s">
        <v>6472</v>
      </c>
      <c r="B2186" s="92" t="s">
        <v>6473</v>
      </c>
      <c r="C2186" s="92" t="s">
        <v>33</v>
      </c>
      <c r="D2186" s="72" t="str">
        <f>IFERROR(VLOOKUP(A2186,'[1]ST-QA-ZZ5'!$C$5:$M$299,11,0),"Inspection at production line")</f>
        <v>Inspection at production line</v>
      </c>
    </row>
    <row r="2187" spans="1:4" ht="13.8">
      <c r="A2187" s="47" t="s">
        <v>6474</v>
      </c>
      <c r="B2187" s="92" t="s">
        <v>1315</v>
      </c>
      <c r="C2187" s="92" t="s">
        <v>6475</v>
      </c>
      <c r="D2187" s="72" t="str">
        <f>IFERROR(VLOOKUP(A2187,'[1]ST-QA-ZZ5'!$C$5:$M$299,11,0),"Inspection at production line")</f>
        <v>Inspection at production line</v>
      </c>
    </row>
    <row r="2188" spans="1:4" ht="13.8">
      <c r="A2188" s="47" t="s">
        <v>6476</v>
      </c>
      <c r="B2188" s="92" t="s">
        <v>1070</v>
      </c>
      <c r="C2188" s="92" t="s">
        <v>6477</v>
      </c>
      <c r="D2188" s="72" t="str">
        <f>IFERROR(VLOOKUP(A2188,'[1]ST-QA-ZZ5'!$C$5:$M$299,11,0),"Inspection at production line")</f>
        <v>Inspection at production line</v>
      </c>
    </row>
    <row r="2189" spans="1:4" ht="13.8">
      <c r="A2189" s="47" t="s">
        <v>6478</v>
      </c>
      <c r="B2189" s="92" t="s">
        <v>555</v>
      </c>
      <c r="C2189" s="92" t="s">
        <v>6479</v>
      </c>
      <c r="D2189" s="72" t="str">
        <f>IFERROR(VLOOKUP(A2189,'[1]ST-QA-ZZ5'!$C$5:$M$299,11,0),"Inspection at production line")</f>
        <v>Inspection at production line</v>
      </c>
    </row>
    <row r="2190" spans="1:4" ht="13.8">
      <c r="A2190" s="47" t="s">
        <v>3186</v>
      </c>
      <c r="B2190" s="92" t="s">
        <v>555</v>
      </c>
      <c r="C2190" s="92" t="s">
        <v>6480</v>
      </c>
      <c r="D2190" s="72" t="str">
        <f>IFERROR(VLOOKUP(A2190,'[1]ST-QA-ZZ5'!$C$5:$M$299,11,0),"Inspection at production line")</f>
        <v>Inspection at production line</v>
      </c>
    </row>
    <row r="2191" spans="1:4" ht="13.8">
      <c r="A2191" s="47" t="s">
        <v>3157</v>
      </c>
      <c r="B2191" s="92" t="s">
        <v>555</v>
      </c>
      <c r="C2191" s="92" t="s">
        <v>6481</v>
      </c>
      <c r="D2191" s="72" t="str">
        <f>IFERROR(VLOOKUP(A2191,'[1]ST-QA-ZZ5'!$C$5:$M$299,11,0),"Inspection at production line")</f>
        <v>Inspection at production line</v>
      </c>
    </row>
    <row r="2192" spans="1:4" ht="13.8">
      <c r="A2192" s="47" t="s">
        <v>3170</v>
      </c>
      <c r="B2192" s="92" t="s">
        <v>555</v>
      </c>
      <c r="C2192" s="92" t="s">
        <v>6482</v>
      </c>
      <c r="D2192" s="72" t="str">
        <f>IFERROR(VLOOKUP(A2192,'[1]ST-QA-ZZ5'!$C$5:$M$299,11,0),"Inspection at production line")</f>
        <v>Inspection at production line</v>
      </c>
    </row>
    <row r="2193" spans="1:4" ht="13.8">
      <c r="A2193" s="47" t="s">
        <v>3190</v>
      </c>
      <c r="B2193" s="92" t="s">
        <v>555</v>
      </c>
      <c r="C2193" s="92" t="s">
        <v>6483</v>
      </c>
      <c r="D2193" s="72" t="str">
        <f>IFERROR(VLOOKUP(A2193,'[1]ST-QA-ZZ5'!$C$5:$M$299,11,0),"Inspection at production line")</f>
        <v>Inspection at production line</v>
      </c>
    </row>
    <row r="2194" spans="1:4" ht="13.8">
      <c r="A2194" s="47" t="s">
        <v>6484</v>
      </c>
      <c r="B2194" s="92" t="s">
        <v>555</v>
      </c>
      <c r="C2194" s="92" t="s">
        <v>6485</v>
      </c>
      <c r="D2194" s="72" t="str">
        <f>IFERROR(VLOOKUP(A2194,'[1]ST-QA-ZZ5'!$C$5:$M$299,11,0),"Inspection at production line")</f>
        <v>Inspection at production line</v>
      </c>
    </row>
    <row r="2195" spans="1:4" ht="13.8">
      <c r="A2195" s="47" t="s">
        <v>3174</v>
      </c>
      <c r="B2195" s="92" t="s">
        <v>555</v>
      </c>
      <c r="C2195" s="92" t="s">
        <v>6486</v>
      </c>
      <c r="D2195" s="72" t="str">
        <f>IFERROR(VLOOKUP(A2195,'[1]ST-QA-ZZ5'!$C$5:$M$299,11,0),"Inspection at production line")</f>
        <v>Inspection at production line</v>
      </c>
    </row>
    <row r="2196" spans="1:4" ht="13.8">
      <c r="A2196" s="47" t="s">
        <v>3194</v>
      </c>
      <c r="B2196" s="92" t="s">
        <v>555</v>
      </c>
      <c r="C2196" s="92" t="s">
        <v>6487</v>
      </c>
      <c r="D2196" s="72" t="str">
        <f>IFERROR(VLOOKUP(A2196,'[1]ST-QA-ZZ5'!$C$5:$M$299,11,0),"Inspection at production line")</f>
        <v>Inspection at production line</v>
      </c>
    </row>
    <row r="2197" spans="1:4" ht="13.8">
      <c r="A2197" s="47" t="s">
        <v>3162</v>
      </c>
      <c r="B2197" s="92" t="s">
        <v>555</v>
      </c>
      <c r="C2197" s="92" t="s">
        <v>6488</v>
      </c>
      <c r="D2197" s="72" t="str">
        <f>IFERROR(VLOOKUP(A2197,'[1]ST-QA-ZZ5'!$C$5:$M$299,11,0),"Inspection at production line")</f>
        <v>Inspection at production line</v>
      </c>
    </row>
    <row r="2198" spans="1:4" ht="13.8">
      <c r="A2198" s="47" t="s">
        <v>3178</v>
      </c>
      <c r="B2198" s="92" t="s">
        <v>555</v>
      </c>
      <c r="C2198" s="92" t="s">
        <v>6489</v>
      </c>
      <c r="D2198" s="72" t="str">
        <f>IFERROR(VLOOKUP(A2198,'[1]ST-QA-ZZ5'!$C$5:$M$299,11,0),"Inspection at production line")</f>
        <v>Inspection at production line</v>
      </c>
    </row>
    <row r="2199" spans="1:4" ht="13.8">
      <c r="A2199" s="47" t="s">
        <v>3198</v>
      </c>
      <c r="B2199" s="92" t="s">
        <v>555</v>
      </c>
      <c r="C2199" s="92" t="s">
        <v>6490</v>
      </c>
      <c r="D2199" s="72" t="str">
        <f>IFERROR(VLOOKUP(A2199,'[1]ST-QA-ZZ5'!$C$5:$M$299,11,0),"Inspection at production line")</f>
        <v>Inspection at production line</v>
      </c>
    </row>
    <row r="2200" spans="1:4" ht="13.8">
      <c r="A2200" s="47" t="s">
        <v>3166</v>
      </c>
      <c r="B2200" s="92" t="s">
        <v>555</v>
      </c>
      <c r="C2200" s="92" t="s">
        <v>6491</v>
      </c>
      <c r="D2200" s="72" t="str">
        <f>IFERROR(VLOOKUP(A2200,'[1]ST-QA-ZZ5'!$C$5:$M$299,11,0),"Inspection at production line")</f>
        <v>Inspection at production line</v>
      </c>
    </row>
    <row r="2201" spans="1:4" ht="13.8">
      <c r="A2201" s="47" t="s">
        <v>3182</v>
      </c>
      <c r="B2201" s="92" t="s">
        <v>555</v>
      </c>
      <c r="C2201" s="92" t="s">
        <v>6492</v>
      </c>
      <c r="D2201" s="72" t="str">
        <f>IFERROR(VLOOKUP(A2201,'[1]ST-QA-ZZ5'!$C$5:$M$299,11,0),"Inspection at production line")</f>
        <v>Inspection at production line</v>
      </c>
    </row>
    <row r="2202" spans="1:4" ht="13.8">
      <c r="A2202" s="47" t="s">
        <v>6493</v>
      </c>
      <c r="B2202" s="92" t="s">
        <v>959</v>
      </c>
      <c r="C2202" s="92" t="s">
        <v>6494</v>
      </c>
      <c r="D2202" s="72" t="str">
        <f>IFERROR(VLOOKUP(A2202,'[1]ST-QA-ZZ5'!$C$5:$M$299,11,0),"Inspection at production line")</f>
        <v>Inspection at production line</v>
      </c>
    </row>
    <row r="2203" spans="1:4" ht="13.8">
      <c r="A2203" s="47" t="s">
        <v>6495</v>
      </c>
      <c r="B2203" s="92" t="s">
        <v>68</v>
      </c>
      <c r="C2203" s="92" t="s">
        <v>6496</v>
      </c>
      <c r="D2203" s="72" t="str">
        <f>IFERROR(VLOOKUP(A2203,'[1]ST-QA-ZZ5'!$C$5:$M$299,11,0),"Inspection at production line")</f>
        <v>Inspection at production line</v>
      </c>
    </row>
    <row r="2204" spans="1:4" ht="13.8">
      <c r="A2204" s="47" t="s">
        <v>5268</v>
      </c>
      <c r="B2204" s="92" t="s">
        <v>3543</v>
      </c>
      <c r="C2204" s="92" t="s">
        <v>5269</v>
      </c>
      <c r="D2204" s="72" t="str">
        <f>IFERROR(VLOOKUP(A2204,'[1]ST-QA-ZZ5'!$C$5:$M$299,11,0),"Inspection at production line")</f>
        <v>Inspection at production line</v>
      </c>
    </row>
    <row r="2205" spans="1:4" ht="13.8">
      <c r="A2205" s="47" t="s">
        <v>6497</v>
      </c>
      <c r="B2205" s="92" t="s">
        <v>3092</v>
      </c>
      <c r="C2205" s="92" t="s">
        <v>6498</v>
      </c>
      <c r="D2205" s="72" t="str">
        <f>IFERROR(VLOOKUP(A2205,'[1]ST-QA-ZZ5'!$C$5:$M$299,11,0),"Inspection at production line")</f>
        <v>Inspection at production line</v>
      </c>
    </row>
    <row r="2206" spans="1:4" ht="13.8">
      <c r="A2206" s="47" t="s">
        <v>6499</v>
      </c>
      <c r="B2206" s="92" t="s">
        <v>3092</v>
      </c>
      <c r="C2206" s="92" t="s">
        <v>6500</v>
      </c>
      <c r="D2206" s="72" t="str">
        <f>IFERROR(VLOOKUP(A2206,'[1]ST-QA-ZZ5'!$C$5:$M$299,11,0),"Inspection at production line")</f>
        <v>Inspection at production line</v>
      </c>
    </row>
    <row r="2207" spans="1:4" ht="13.8">
      <c r="A2207" s="47" t="s">
        <v>6501</v>
      </c>
      <c r="B2207" s="92" t="s">
        <v>2205</v>
      </c>
      <c r="C2207" s="92" t="s">
        <v>6502</v>
      </c>
      <c r="D2207" s="72" t="str">
        <f>IFERROR(VLOOKUP(A2207,'[1]ST-QA-ZZ5'!$C$5:$M$299,11,0),"Inspection at production line")</f>
        <v>Inspection at production line</v>
      </c>
    </row>
    <row r="2208" spans="1:4" ht="13.8">
      <c r="A2208" s="47" t="s">
        <v>6503</v>
      </c>
      <c r="B2208" s="92" t="s">
        <v>6504</v>
      </c>
      <c r="C2208" s="92" t="s">
        <v>6505</v>
      </c>
      <c r="D2208" s="72" t="str">
        <f>IFERROR(VLOOKUP(A2208,'[1]ST-QA-ZZ5'!$C$5:$M$299,11,0),"Inspection at production line")</f>
        <v>Inspection at production line</v>
      </c>
    </row>
    <row r="2209" spans="1:4" ht="13.8">
      <c r="A2209" s="47" t="s">
        <v>6506</v>
      </c>
      <c r="B2209" s="92" t="s">
        <v>6507</v>
      </c>
      <c r="C2209" s="92" t="s">
        <v>6508</v>
      </c>
      <c r="D2209" s="72" t="str">
        <f>IFERROR(VLOOKUP(A2209,'[1]ST-QA-ZZ5'!$C$5:$M$299,11,0),"Inspection at production line")</f>
        <v>Inspection at production line</v>
      </c>
    </row>
    <row r="2210" spans="1:4" ht="13.8">
      <c r="A2210" s="47" t="s">
        <v>6509</v>
      </c>
      <c r="B2210" s="92" t="s">
        <v>1833</v>
      </c>
      <c r="C2210" s="92" t="s">
        <v>6510</v>
      </c>
      <c r="D2210" s="72" t="str">
        <f>IFERROR(VLOOKUP(A2210,'[1]ST-QA-ZZ5'!$C$5:$M$299,11,0),"Inspection at production line")</f>
        <v>Inspection at production line</v>
      </c>
    </row>
    <row r="2211" spans="1:4" ht="13.8">
      <c r="A2211" s="47" t="s">
        <v>6511</v>
      </c>
      <c r="B2211" s="92" t="s">
        <v>1833</v>
      </c>
      <c r="C2211" s="92" t="s">
        <v>6512</v>
      </c>
      <c r="D2211" s="72" t="str">
        <f>IFERROR(VLOOKUP(A2211,'[1]ST-QA-ZZ5'!$C$5:$M$299,11,0),"Inspection at production line")</f>
        <v>Inspection at production line</v>
      </c>
    </row>
    <row r="2212" spans="1:4" ht="13.8">
      <c r="A2212" s="47" t="s">
        <v>6513</v>
      </c>
      <c r="B2212" s="92" t="s">
        <v>3092</v>
      </c>
      <c r="C2212" s="92" t="s">
        <v>6514</v>
      </c>
      <c r="D2212" s="72" t="str">
        <f>IFERROR(VLOOKUP(A2212,'[1]ST-QA-ZZ5'!$C$5:$M$299,11,0),"Inspection at production line")</f>
        <v>Inspection at production line</v>
      </c>
    </row>
    <row r="2213" spans="1:4" ht="13.8">
      <c r="A2213" s="47" t="s">
        <v>6515</v>
      </c>
      <c r="B2213" s="92" t="s">
        <v>3092</v>
      </c>
      <c r="C2213" s="92" t="s">
        <v>6516</v>
      </c>
      <c r="D2213" s="72" t="str">
        <f>IFERROR(VLOOKUP(A2213,'[1]ST-QA-ZZ5'!$C$5:$M$299,11,0),"Inspection at production line")</f>
        <v>Inspection at production line</v>
      </c>
    </row>
    <row r="2214" spans="1:4" ht="13.8">
      <c r="A2214" s="47" t="s">
        <v>6517</v>
      </c>
      <c r="B2214" s="92" t="s">
        <v>6518</v>
      </c>
      <c r="C2214" s="92" t="s">
        <v>6519</v>
      </c>
      <c r="D2214" s="72" t="str">
        <f>IFERROR(VLOOKUP(A2214,'[1]ST-QA-ZZ5'!$C$5:$M$299,11,0),"Inspection at production line")</f>
        <v>Inspection at production line</v>
      </c>
    </row>
    <row r="2215" spans="1:4" ht="13.8">
      <c r="A2215" s="47" t="s">
        <v>6520</v>
      </c>
      <c r="B2215" s="92" t="s">
        <v>3092</v>
      </c>
      <c r="C2215" s="92" t="s">
        <v>6521</v>
      </c>
      <c r="D2215" s="72" t="str">
        <f>IFERROR(VLOOKUP(A2215,'[1]ST-QA-ZZ5'!$C$5:$M$299,11,0),"Inspection at production line")</f>
        <v>Inspection at production line</v>
      </c>
    </row>
    <row r="2216" spans="1:4" ht="13.8">
      <c r="A2216" s="47" t="s">
        <v>6522</v>
      </c>
      <c r="B2216" s="92" t="s">
        <v>3092</v>
      </c>
      <c r="C2216" s="92" t="s">
        <v>6523</v>
      </c>
      <c r="D2216" s="72" t="str">
        <f>IFERROR(VLOOKUP(A2216,'[1]ST-QA-ZZ5'!$C$5:$M$299,11,0),"Inspection at production line")</f>
        <v>Inspection at production line</v>
      </c>
    </row>
    <row r="2217" spans="1:4" ht="13.8">
      <c r="A2217" s="47" t="s">
        <v>5261</v>
      </c>
      <c r="B2217" s="92" t="s">
        <v>174</v>
      </c>
      <c r="C2217" s="92" t="s">
        <v>476</v>
      </c>
      <c r="D2217" s="72" t="str">
        <f>IFERROR(VLOOKUP(A2217,'[1]ST-QA-ZZ5'!$C$5:$M$299,11,0),"Inspection at production line")</f>
        <v>Inspection at production line</v>
      </c>
    </row>
    <row r="2218" spans="1:4" ht="13.8">
      <c r="A2218" s="47" t="s">
        <v>5275</v>
      </c>
      <c r="B2218" s="92" t="s">
        <v>174</v>
      </c>
      <c r="C2218" s="92" t="s">
        <v>5276</v>
      </c>
      <c r="D2218" s="72" t="str">
        <f>IFERROR(VLOOKUP(A2218,'[1]ST-QA-ZZ5'!$C$5:$M$299,11,0),"Inspection at production line")</f>
        <v>Inspection at production line</v>
      </c>
    </row>
    <row r="2219" spans="1:4" ht="13.8">
      <c r="A2219" s="47" t="s">
        <v>6524</v>
      </c>
      <c r="B2219" s="92" t="s">
        <v>174</v>
      </c>
      <c r="C2219" s="92" t="s">
        <v>6525</v>
      </c>
      <c r="D2219" s="72" t="str">
        <f>IFERROR(VLOOKUP(A2219,'[1]ST-QA-ZZ5'!$C$5:$M$299,11,0),"Inspection at production line")</f>
        <v>Inspection at production line</v>
      </c>
    </row>
    <row r="2220" spans="1:4" ht="13.8">
      <c r="A2220" s="47" t="s">
        <v>6526</v>
      </c>
      <c r="B2220" s="92" t="s">
        <v>174</v>
      </c>
      <c r="C2220" s="92" t="s">
        <v>6527</v>
      </c>
      <c r="D2220" s="72" t="str">
        <f>IFERROR(VLOOKUP(A2220,'[1]ST-QA-ZZ5'!$C$5:$M$299,11,0),"Inspection at production line")</f>
        <v>Inspection at production line</v>
      </c>
    </row>
    <row r="2221" spans="1:4" ht="13.8">
      <c r="A2221" s="47" t="s">
        <v>6528</v>
      </c>
      <c r="B2221" s="92" t="s">
        <v>174</v>
      </c>
      <c r="C2221" s="92" t="s">
        <v>6529</v>
      </c>
      <c r="D2221" s="72" t="str">
        <f>IFERROR(VLOOKUP(A2221,'[1]ST-QA-ZZ5'!$C$5:$M$299,11,0),"Inspection at production line")</f>
        <v>Inspection at production line</v>
      </c>
    </row>
    <row r="2222" spans="1:4" ht="13.8">
      <c r="A2222" s="47" t="s">
        <v>4944</v>
      </c>
      <c r="B2222" s="92" t="s">
        <v>57</v>
      </c>
      <c r="C2222" s="92" t="s">
        <v>62</v>
      </c>
      <c r="D2222" s="72" t="str">
        <f>IFERROR(VLOOKUP(A2222,'[1]ST-QA-ZZ5'!$C$5:$M$299,11,0),"Inspection at production line")</f>
        <v>Sampling check</v>
      </c>
    </row>
    <row r="2223" spans="1:4" ht="13.8">
      <c r="A2223" s="47" t="s">
        <v>4931</v>
      </c>
      <c r="B2223" s="92" t="s">
        <v>4075</v>
      </c>
      <c r="C2223" s="92" t="s">
        <v>6530</v>
      </c>
      <c r="D2223" s="72" t="str">
        <f>IFERROR(VLOOKUP(A2223,'[1]ST-QA-ZZ5'!$C$5:$M$299,11,0),"Inspection at production line")</f>
        <v>Inspection at production line</v>
      </c>
    </row>
    <row r="2224" spans="1:4" ht="13.8">
      <c r="A2224" s="47" t="s">
        <v>4952</v>
      </c>
      <c r="B2224" s="92" t="s">
        <v>57</v>
      </c>
      <c r="C2224" s="92" t="s">
        <v>58</v>
      </c>
      <c r="D2224" s="72" t="str">
        <f>IFERROR(VLOOKUP(A2224,'[1]ST-QA-ZZ5'!$C$5:$M$299,11,0),"Inspection at production line")</f>
        <v>Inspection at production line</v>
      </c>
    </row>
    <row r="2225" spans="1:4" ht="13.8">
      <c r="A2225" s="47" t="s">
        <v>6531</v>
      </c>
      <c r="B2225" s="92" t="s">
        <v>57</v>
      </c>
      <c r="C2225" s="92" t="s">
        <v>6532</v>
      </c>
      <c r="D2225" s="72" t="str">
        <f>IFERROR(VLOOKUP(A2225,'[1]ST-QA-ZZ5'!$C$5:$M$299,11,0),"Inspection at production line")</f>
        <v>Inspection at production line</v>
      </c>
    </row>
    <row r="2226" spans="1:4" ht="13.8">
      <c r="A2226" s="47" t="s">
        <v>6533</v>
      </c>
      <c r="B2226" s="92" t="s">
        <v>119</v>
      </c>
      <c r="C2226" s="92" t="s">
        <v>6534</v>
      </c>
      <c r="D2226" s="72" t="str">
        <f>IFERROR(VLOOKUP(A2226,'[1]ST-QA-ZZ5'!$C$5:$M$299,11,0),"Inspection at production line")</f>
        <v>Inspection at production line</v>
      </c>
    </row>
    <row r="2227" spans="1:4" ht="13.8">
      <c r="A2227" s="47" t="s">
        <v>4955</v>
      </c>
      <c r="B2227" s="92" t="s">
        <v>4956</v>
      </c>
      <c r="C2227" s="92" t="s">
        <v>6535</v>
      </c>
      <c r="D2227" s="72" t="str">
        <f>IFERROR(VLOOKUP(A2227,'[1]ST-QA-ZZ5'!$C$5:$M$299,11,0),"Inspection at production line")</f>
        <v>Inspection at production line</v>
      </c>
    </row>
    <row r="2228" spans="1:4" ht="13.8">
      <c r="A2228" s="47" t="s">
        <v>6536</v>
      </c>
      <c r="B2228" s="92" t="s">
        <v>1975</v>
      </c>
      <c r="C2228" s="92" t="s">
        <v>6537</v>
      </c>
      <c r="D2228" s="72" t="str">
        <f>IFERROR(VLOOKUP(A2228,'[1]ST-QA-ZZ5'!$C$5:$M$299,11,0),"Inspection at production line")</f>
        <v>Inspection at production line</v>
      </c>
    </row>
    <row r="2229" spans="1:4" ht="13.8">
      <c r="A2229" s="47" t="s">
        <v>6538</v>
      </c>
      <c r="B2229" s="92" t="s">
        <v>1523</v>
      </c>
      <c r="C2229" s="92" t="s">
        <v>6539</v>
      </c>
      <c r="D2229" s="72" t="str">
        <f>IFERROR(VLOOKUP(A2229,'[1]ST-QA-ZZ5'!$C$5:$M$299,11,0),"Inspection at production line")</f>
        <v>Inspection at production line</v>
      </c>
    </row>
    <row r="2230" spans="1:4" ht="13.8">
      <c r="A2230" s="47" t="s">
        <v>4959</v>
      </c>
      <c r="B2230" s="92" t="s">
        <v>104</v>
      </c>
      <c r="C2230" s="92" t="s">
        <v>6540</v>
      </c>
      <c r="D2230" s="72" t="str">
        <f>IFERROR(VLOOKUP(A2230,'[1]ST-QA-ZZ5'!$C$5:$M$299,11,0),"Inspection at production line")</f>
        <v>Inspection at production line</v>
      </c>
    </row>
    <row r="2231" spans="1:4" ht="13.8">
      <c r="A2231" s="47" t="s">
        <v>5049</v>
      </c>
      <c r="B2231" s="92" t="s">
        <v>104</v>
      </c>
      <c r="C2231" s="92" t="s">
        <v>5050</v>
      </c>
      <c r="D2231" s="72" t="str">
        <f>IFERROR(VLOOKUP(A2231,'[1]ST-QA-ZZ5'!$C$5:$M$299,11,0),"Inspection at production line")</f>
        <v>Inspection at production line</v>
      </c>
    </row>
    <row r="2232" spans="1:4" ht="13.8">
      <c r="A2232" s="47" t="s">
        <v>6541</v>
      </c>
      <c r="B2232" s="92" t="s">
        <v>1177</v>
      </c>
      <c r="C2232" s="92" t="s">
        <v>6542</v>
      </c>
      <c r="D2232" s="72" t="str">
        <f>IFERROR(VLOOKUP(A2232,'[1]ST-QA-ZZ5'!$C$5:$M$299,11,0),"Inspection at production line")</f>
        <v>Inspection at production line</v>
      </c>
    </row>
    <row r="2233" spans="1:4" ht="13.8">
      <c r="A2233" s="47" t="s">
        <v>4940</v>
      </c>
      <c r="B2233" s="92" t="s">
        <v>1177</v>
      </c>
      <c r="C2233" s="92" t="s">
        <v>4941</v>
      </c>
      <c r="D2233" s="72" t="str">
        <f>IFERROR(VLOOKUP(A2233,'[1]ST-QA-ZZ5'!$C$5:$M$299,11,0),"Inspection at production line")</f>
        <v>Inspection at production line</v>
      </c>
    </row>
    <row r="2234" spans="1:4" ht="13.8">
      <c r="A2234" s="47" t="s">
        <v>6543</v>
      </c>
      <c r="B2234" s="92" t="s">
        <v>3543</v>
      </c>
      <c r="C2234" s="92" t="s">
        <v>6544</v>
      </c>
      <c r="D2234" s="72" t="str">
        <f>IFERROR(VLOOKUP(A2234,'[1]ST-QA-ZZ5'!$C$5:$M$299,11,0),"Inspection at production line")</f>
        <v>Inspection at production line</v>
      </c>
    </row>
    <row r="2235" spans="1:4" ht="13.8">
      <c r="A2235" s="47" t="s">
        <v>6545</v>
      </c>
      <c r="B2235" s="92" t="s">
        <v>3543</v>
      </c>
      <c r="C2235" s="92" t="s">
        <v>6546</v>
      </c>
      <c r="D2235" s="72" t="str">
        <f>IFERROR(VLOOKUP(A2235,'[1]ST-QA-ZZ5'!$C$5:$M$299,11,0),"Inspection at production line")</f>
        <v>Inspection at production line</v>
      </c>
    </row>
    <row r="2236" spans="1:4" ht="13.8">
      <c r="A2236" s="47" t="s">
        <v>6547</v>
      </c>
      <c r="B2236" s="92" t="s">
        <v>119</v>
      </c>
      <c r="C2236" s="92" t="s">
        <v>6548</v>
      </c>
      <c r="D2236" s="72" t="str">
        <f>IFERROR(VLOOKUP(A2236,'[1]ST-QA-ZZ5'!$C$5:$M$299,11,0),"Inspection at production line")</f>
        <v>Inspection at production line</v>
      </c>
    </row>
    <row r="2237" spans="1:4" ht="13.8">
      <c r="A2237" s="47" t="s">
        <v>6549</v>
      </c>
      <c r="B2237" s="92" t="s">
        <v>6550</v>
      </c>
      <c r="C2237" s="92" t="s">
        <v>6551</v>
      </c>
      <c r="D2237" s="72" t="str">
        <f>IFERROR(VLOOKUP(A2237,'[1]ST-QA-ZZ5'!$C$5:$M$299,11,0),"Inspection at production line")</f>
        <v>Inspection at production line</v>
      </c>
    </row>
    <row r="2238" spans="1:4" ht="13.8">
      <c r="A2238" s="47" t="s">
        <v>6552</v>
      </c>
      <c r="B2238" s="92" t="s">
        <v>6550</v>
      </c>
      <c r="C2238" s="92" t="s">
        <v>6553</v>
      </c>
      <c r="D2238" s="72" t="str">
        <f>IFERROR(VLOOKUP(A2238,'[1]ST-QA-ZZ5'!$C$5:$M$299,11,0),"Inspection at production line")</f>
        <v>Inspection at production line</v>
      </c>
    </row>
    <row r="2239" spans="1:4" ht="13.8">
      <c r="A2239" s="47" t="s">
        <v>6554</v>
      </c>
      <c r="B2239" s="92" t="s">
        <v>75</v>
      </c>
      <c r="C2239" s="92" t="s">
        <v>6555</v>
      </c>
      <c r="D2239" s="72" t="str">
        <f>IFERROR(VLOOKUP(A2239,'[1]ST-QA-ZZ5'!$C$5:$M$299,11,0),"Inspection at production line")</f>
        <v>Inspection at production line</v>
      </c>
    </row>
    <row r="2240" spans="1:4" ht="13.8">
      <c r="A2240" s="47" t="s">
        <v>6556</v>
      </c>
      <c r="B2240" s="92" t="s">
        <v>75</v>
      </c>
      <c r="C2240" s="92" t="s">
        <v>6557</v>
      </c>
      <c r="D2240" s="72" t="str">
        <f>IFERROR(VLOOKUP(A2240,'[1]ST-QA-ZZ5'!$C$5:$M$299,11,0),"Inspection at production line")</f>
        <v>Inspection at production line</v>
      </c>
    </row>
    <row r="2241" spans="1:4" ht="13.8">
      <c r="A2241" s="47" t="s">
        <v>6558</v>
      </c>
      <c r="B2241" s="92" t="s">
        <v>75</v>
      </c>
      <c r="C2241" s="92" t="s">
        <v>6559</v>
      </c>
      <c r="D2241" s="72" t="str">
        <f>IFERROR(VLOOKUP(A2241,'[1]ST-QA-ZZ5'!$C$5:$M$299,11,0),"Inspection at production line")</f>
        <v>Inspection at production line</v>
      </c>
    </row>
    <row r="2242" spans="1:4" ht="13.8">
      <c r="A2242" s="47" t="s">
        <v>6560</v>
      </c>
      <c r="B2242" s="92" t="s">
        <v>75</v>
      </c>
      <c r="C2242" s="92" t="s">
        <v>6561</v>
      </c>
      <c r="D2242" s="72" t="str">
        <f>IFERROR(VLOOKUP(A2242,'[1]ST-QA-ZZ5'!$C$5:$M$299,11,0),"Inspection at production line")</f>
        <v>Inspection at production line</v>
      </c>
    </row>
    <row r="2243" spans="1:4" ht="13.8">
      <c r="A2243" s="47" t="s">
        <v>6562</v>
      </c>
      <c r="B2243" s="92" t="s">
        <v>75</v>
      </c>
      <c r="C2243" s="92" t="s">
        <v>6563</v>
      </c>
      <c r="D2243" s="72" t="str">
        <f>IFERROR(VLOOKUP(A2243,'[1]ST-QA-ZZ5'!$C$5:$M$299,11,0),"Inspection at production line")</f>
        <v>Inspection at production line</v>
      </c>
    </row>
    <row r="2244" spans="1:4" ht="13.8">
      <c r="A2244" s="47" t="s">
        <v>6564</v>
      </c>
      <c r="B2244" s="92" t="s">
        <v>75</v>
      </c>
      <c r="C2244" s="92" t="s">
        <v>6565</v>
      </c>
      <c r="D2244" s="72" t="str">
        <f>IFERROR(VLOOKUP(A2244,'[1]ST-QA-ZZ5'!$C$5:$M$299,11,0),"Inspection at production line")</f>
        <v>Inspection at production line</v>
      </c>
    </row>
    <row r="2245" spans="1:4" ht="13.8">
      <c r="A2245" s="47" t="s">
        <v>6566</v>
      </c>
      <c r="B2245" s="92" t="s">
        <v>6567</v>
      </c>
      <c r="C2245" s="92" t="s">
        <v>6568</v>
      </c>
      <c r="D2245" s="72" t="str">
        <f>IFERROR(VLOOKUP(A2245,'[1]ST-QA-ZZ5'!$C$5:$M$299,11,0),"Inspection at production line")</f>
        <v>Inspection at production line</v>
      </c>
    </row>
    <row r="2246" spans="1:4" ht="13.8">
      <c r="A2246" s="47" t="s">
        <v>6569</v>
      </c>
      <c r="B2246" s="92" t="s">
        <v>6570</v>
      </c>
      <c r="C2246" s="92" t="s">
        <v>797</v>
      </c>
      <c r="D2246" s="72" t="str">
        <f>IFERROR(VLOOKUP(A2246,'[1]ST-QA-ZZ5'!$C$5:$M$299,11,0),"Inspection at production line")</f>
        <v>Sampling check</v>
      </c>
    </row>
    <row r="2247" spans="1:4" ht="13.8">
      <c r="A2247" s="47" t="s">
        <v>6571</v>
      </c>
      <c r="B2247" s="92" t="s">
        <v>6572</v>
      </c>
      <c r="C2247" s="92" t="s">
        <v>797</v>
      </c>
      <c r="D2247" s="72" t="str">
        <f>IFERROR(VLOOKUP(A2247,'[1]ST-QA-ZZ5'!$C$5:$M$299,11,0),"Inspection at production line")</f>
        <v>Sampling check</v>
      </c>
    </row>
    <row r="2248" spans="1:4" ht="13.8">
      <c r="A2248" s="47" t="s">
        <v>6573</v>
      </c>
      <c r="B2248" s="92" t="s">
        <v>6574</v>
      </c>
      <c r="C2248" s="92" t="s">
        <v>75</v>
      </c>
      <c r="D2248" s="72" t="str">
        <f>IFERROR(VLOOKUP(A2248,'[1]ST-QA-ZZ5'!$C$5:$M$299,11,0),"Inspection at production line")</f>
        <v>Sampling check</v>
      </c>
    </row>
    <row r="2249" spans="1:4" ht="13.8">
      <c r="A2249" s="47" t="s">
        <v>6575</v>
      </c>
      <c r="B2249" s="92" t="s">
        <v>57</v>
      </c>
      <c r="C2249" s="92" t="s">
        <v>6576</v>
      </c>
      <c r="D2249" s="72" t="str">
        <f>IFERROR(VLOOKUP(A2249,'[1]ST-QA-ZZ5'!$C$5:$M$299,11,0),"Inspection at production line")</f>
        <v>Appearance check 100%</v>
      </c>
    </row>
    <row r="2250" spans="1:4" ht="13.8">
      <c r="A2250" s="47" t="s">
        <v>6577</v>
      </c>
      <c r="B2250" s="92" t="s">
        <v>2492</v>
      </c>
      <c r="C2250" s="92" t="s">
        <v>6578</v>
      </c>
      <c r="D2250" s="72" t="str">
        <f>IFERROR(VLOOKUP(A2250,'[1]ST-QA-ZZ5'!$C$5:$M$299,11,0),"Inspection at production line")</f>
        <v>Inspection at production line</v>
      </c>
    </row>
    <row r="2251" spans="1:4" ht="13.8">
      <c r="A2251" s="47" t="s">
        <v>6579</v>
      </c>
      <c r="B2251" s="92" t="s">
        <v>6580</v>
      </c>
      <c r="C2251" s="92" t="s">
        <v>900</v>
      </c>
      <c r="D2251" s="72" t="str">
        <f>IFERROR(VLOOKUP(A2251,'[1]ST-QA-ZZ5'!$C$5:$M$299,11,0),"Inspection at production line")</f>
        <v>Inspection at production line</v>
      </c>
    </row>
    <row r="2252" spans="1:4" ht="13.8">
      <c r="A2252" s="47" t="s">
        <v>6581</v>
      </c>
      <c r="B2252" s="92" t="s">
        <v>900</v>
      </c>
      <c r="C2252" s="92" t="s">
        <v>6582</v>
      </c>
      <c r="D2252" s="72" t="str">
        <f>IFERROR(VLOOKUP(A2252,'[1]ST-QA-ZZ5'!$C$5:$M$299,11,0),"Inspection at production line")</f>
        <v>Inspection at production line</v>
      </c>
    </row>
    <row r="2253" spans="1:4" ht="13.8">
      <c r="A2253" s="47" t="s">
        <v>6583</v>
      </c>
      <c r="B2253" s="92" t="s">
        <v>900</v>
      </c>
      <c r="C2253" s="92" t="s">
        <v>6584</v>
      </c>
      <c r="D2253" s="72" t="str">
        <f>IFERROR(VLOOKUP(A2253,'[1]ST-QA-ZZ5'!$C$5:$M$299,11,0),"Inspection at production line")</f>
        <v>Inspection at production line</v>
      </c>
    </row>
    <row r="2254" spans="1:4" ht="13.8">
      <c r="A2254" s="47" t="s">
        <v>6585</v>
      </c>
      <c r="B2254" s="92" t="s">
        <v>900</v>
      </c>
      <c r="C2254" s="92" t="s">
        <v>6586</v>
      </c>
      <c r="D2254" s="72" t="str">
        <f>IFERROR(VLOOKUP(A2254,'[1]ST-QA-ZZ5'!$C$5:$M$299,11,0),"Inspection at production line")</f>
        <v>Inspection at production line</v>
      </c>
    </row>
    <row r="2255" spans="1:4" ht="13.8">
      <c r="A2255" s="47" t="s">
        <v>4933</v>
      </c>
      <c r="B2255" s="92" t="s">
        <v>1954</v>
      </c>
      <c r="C2255" s="92" t="s">
        <v>6587</v>
      </c>
      <c r="D2255" s="72" t="str">
        <f>IFERROR(VLOOKUP(A2255,'[1]ST-QA-ZZ5'!$C$5:$M$299,11,0),"Inspection at production line")</f>
        <v>Inspection at production line</v>
      </c>
    </row>
    <row r="2256" spans="1:4" ht="13.8">
      <c r="A2256" s="47" t="s">
        <v>4936</v>
      </c>
      <c r="B2256" s="92" t="s">
        <v>1954</v>
      </c>
      <c r="C2256" s="92" t="s">
        <v>6588</v>
      </c>
      <c r="D2256" s="72" t="str">
        <f>IFERROR(VLOOKUP(A2256,'[1]ST-QA-ZZ5'!$C$5:$M$299,11,0),"Inspection at production line")</f>
        <v>Inspection at production line</v>
      </c>
    </row>
    <row r="2257" spans="1:4" ht="13.8">
      <c r="A2257" s="47" t="s">
        <v>4938</v>
      </c>
      <c r="B2257" s="92" t="s">
        <v>1954</v>
      </c>
      <c r="C2257" s="92" t="s">
        <v>6589</v>
      </c>
      <c r="D2257" s="72" t="str">
        <f>IFERROR(VLOOKUP(A2257,'[1]ST-QA-ZZ5'!$C$5:$M$299,11,0),"Inspection at production line")</f>
        <v>Inspection at production line</v>
      </c>
    </row>
    <row r="2258" spans="1:4" ht="13.8">
      <c r="A2258" s="47" t="s">
        <v>6590</v>
      </c>
      <c r="B2258" s="92" t="s">
        <v>174</v>
      </c>
      <c r="C2258" s="92" t="s">
        <v>6591</v>
      </c>
      <c r="D2258" s="72" t="str">
        <f>IFERROR(VLOOKUP(A2258,'[1]ST-QA-ZZ5'!$C$5:$M$299,11,0),"Inspection at production line")</f>
        <v>Inspection at production line</v>
      </c>
    </row>
    <row r="2259" spans="1:4" ht="13.8">
      <c r="A2259" s="47" t="s">
        <v>6592</v>
      </c>
      <c r="B2259" s="92" t="s">
        <v>174</v>
      </c>
      <c r="C2259" s="92" t="s">
        <v>6593</v>
      </c>
      <c r="D2259" s="72" t="str">
        <f>IFERROR(VLOOKUP(A2259,'[1]ST-QA-ZZ5'!$C$5:$M$299,11,0),"Inspection at production line")</f>
        <v>Inspection at production line</v>
      </c>
    </row>
    <row r="2260" spans="1:4" ht="13.8">
      <c r="A2260" s="47" t="s">
        <v>6594</v>
      </c>
      <c r="B2260" s="92" t="s">
        <v>174</v>
      </c>
      <c r="C2260" s="92" t="s">
        <v>6595</v>
      </c>
      <c r="D2260" s="72" t="str">
        <f>IFERROR(VLOOKUP(A2260,'[1]ST-QA-ZZ5'!$C$5:$M$299,11,0),"Inspection at production line")</f>
        <v>Inspection at production line</v>
      </c>
    </row>
    <row r="2261" spans="1:4" ht="13.8">
      <c r="A2261" s="47" t="s">
        <v>6596</v>
      </c>
      <c r="B2261" s="92" t="s">
        <v>174</v>
      </c>
      <c r="C2261" s="92" t="s">
        <v>6597</v>
      </c>
      <c r="D2261" s="72" t="str">
        <f>IFERROR(VLOOKUP(A2261,'[1]ST-QA-ZZ5'!$C$5:$M$299,11,0),"Inspection at production line")</f>
        <v>Inspection at production line</v>
      </c>
    </row>
    <row r="2262" spans="1:4" ht="13.8">
      <c r="A2262" s="47" t="s">
        <v>6598</v>
      </c>
      <c r="B2262" s="92" t="s">
        <v>843</v>
      </c>
      <c r="C2262" s="92" t="s">
        <v>6599</v>
      </c>
      <c r="D2262" s="72" t="str">
        <f>IFERROR(VLOOKUP(A2262,'[1]ST-QA-ZZ5'!$C$5:$M$299,11,0),"Inspection at production line")</f>
        <v>Inspection at production line</v>
      </c>
    </row>
    <row r="2263" spans="1:4" ht="13.8">
      <c r="A2263" s="47" t="s">
        <v>6600</v>
      </c>
      <c r="B2263" s="92" t="s">
        <v>83</v>
      </c>
      <c r="C2263" s="92" t="s">
        <v>6601</v>
      </c>
      <c r="D2263" s="72" t="str">
        <f>IFERROR(VLOOKUP(A2263,'[1]ST-QA-ZZ5'!$C$5:$M$299,11,0),"Inspection at production line")</f>
        <v>Inspection at production line</v>
      </c>
    </row>
    <row r="2264" spans="1:4" ht="13.8">
      <c r="A2264" s="47" t="s">
        <v>3813</v>
      </c>
      <c r="B2264" s="92" t="s">
        <v>849</v>
      </c>
      <c r="C2264" s="92" t="s">
        <v>3814</v>
      </c>
      <c r="D2264" s="72" t="str">
        <f>IFERROR(VLOOKUP(A2264,'[1]ST-QA-ZZ5'!$C$5:$M$299,11,0),"Inspection at production line")</f>
        <v>Inspection at production line</v>
      </c>
    </row>
    <row r="2265" spans="1:4" ht="13.8">
      <c r="A2265" s="47" t="s">
        <v>738</v>
      </c>
      <c r="B2265" s="92" t="s">
        <v>630</v>
      </c>
      <c r="C2265" s="92" t="s">
        <v>739</v>
      </c>
      <c r="D2265" s="72" t="str">
        <f>IFERROR(VLOOKUP(A2265,'[1]ST-QA-ZZ5'!$C$5:$M$299,11,0),"Inspection at production line")</f>
        <v>Inspection at production line</v>
      </c>
    </row>
    <row r="2266" spans="1:4" ht="13.8">
      <c r="A2266" s="47" t="s">
        <v>3815</v>
      </c>
      <c r="B2266" s="92" t="s">
        <v>90</v>
      </c>
      <c r="C2266" s="92" t="s">
        <v>3816</v>
      </c>
      <c r="D2266" s="72" t="str">
        <f>IFERROR(VLOOKUP(A2266,'[1]ST-QA-ZZ5'!$C$5:$M$299,11,0),"Inspection at production line")</f>
        <v>Inspection at production line</v>
      </c>
    </row>
    <row r="2267" spans="1:4" ht="13.8">
      <c r="A2267" s="47" t="s">
        <v>3817</v>
      </c>
      <c r="B2267" s="92" t="s">
        <v>900</v>
      </c>
      <c r="C2267" s="92" t="s">
        <v>3818</v>
      </c>
      <c r="D2267" s="72" t="str">
        <f>IFERROR(VLOOKUP(A2267,'[1]ST-QA-ZZ5'!$C$5:$M$299,11,0),"Inspection at production line")</f>
        <v>Inspection at production line</v>
      </c>
    </row>
    <row r="2268" spans="1:4" ht="13.8">
      <c r="A2268" s="47" t="s">
        <v>3819</v>
      </c>
      <c r="B2268" s="92" t="s">
        <v>900</v>
      </c>
      <c r="C2268" s="92" t="s">
        <v>3820</v>
      </c>
      <c r="D2268" s="72" t="str">
        <f>IFERROR(VLOOKUP(A2268,'[1]ST-QA-ZZ5'!$C$5:$M$299,11,0),"Inspection at production line")</f>
        <v>Inspection at production line</v>
      </c>
    </row>
    <row r="2269" spans="1:4" ht="13.8">
      <c r="A2269" s="47" t="s">
        <v>3823</v>
      </c>
      <c r="B2269" s="92" t="s">
        <v>900</v>
      </c>
      <c r="C2269" s="92" t="s">
        <v>3824</v>
      </c>
      <c r="D2269" s="72" t="str">
        <f>IFERROR(VLOOKUP(A2269,'[1]ST-QA-ZZ5'!$C$5:$M$299,11,0),"Inspection at production line")</f>
        <v>Inspection at production line</v>
      </c>
    </row>
    <row r="2270" spans="1:4" ht="13.8">
      <c r="A2270" s="47" t="s">
        <v>3827</v>
      </c>
      <c r="B2270" s="92" t="s">
        <v>745</v>
      </c>
      <c r="C2270" s="92" t="s">
        <v>3828</v>
      </c>
      <c r="D2270" s="72" t="str">
        <f>IFERROR(VLOOKUP(A2270,'[1]ST-QA-ZZ5'!$C$5:$M$299,11,0),"Inspection at production line")</f>
        <v>Inspection at production line</v>
      </c>
    </row>
    <row r="2271" spans="1:4" ht="13.8">
      <c r="A2271" s="47" t="s">
        <v>3833</v>
      </c>
      <c r="B2271" s="92" t="s">
        <v>1070</v>
      </c>
      <c r="C2271" s="92" t="s">
        <v>3834</v>
      </c>
      <c r="D2271" s="72" t="str">
        <f>IFERROR(VLOOKUP(A2271,'[1]ST-QA-ZZ5'!$C$5:$M$299,11,0),"Inspection at production line")</f>
        <v>Inspection at production line</v>
      </c>
    </row>
    <row r="2272" spans="1:4" ht="13.8">
      <c r="A2272" s="47" t="s">
        <v>3837</v>
      </c>
      <c r="B2272" s="92" t="s">
        <v>90</v>
      </c>
      <c r="C2272" s="92" t="s">
        <v>3838</v>
      </c>
      <c r="D2272" s="72" t="str">
        <f>IFERROR(VLOOKUP(A2272,'[1]ST-QA-ZZ5'!$C$5:$M$299,11,0),"Inspection at production line")</f>
        <v>Inspection at production line</v>
      </c>
    </row>
    <row r="2273" spans="1:4" ht="13.8">
      <c r="A2273" s="47" t="s">
        <v>3839</v>
      </c>
      <c r="B2273" s="92" t="s">
        <v>745</v>
      </c>
      <c r="C2273" s="92" t="s">
        <v>3840</v>
      </c>
      <c r="D2273" s="72" t="str">
        <f>IFERROR(VLOOKUP(A2273,'[1]ST-QA-ZZ5'!$C$5:$M$299,11,0),"Inspection at production line")</f>
        <v>Inspection at production line</v>
      </c>
    </row>
    <row r="2274" spans="1:4" ht="13.8">
      <c r="A2274" s="47" t="s">
        <v>3844</v>
      </c>
      <c r="B2274" s="92" t="s">
        <v>1070</v>
      </c>
      <c r="C2274" s="92" t="s">
        <v>3845</v>
      </c>
      <c r="D2274" s="72" t="str">
        <f>IFERROR(VLOOKUP(A2274,'[1]ST-QA-ZZ5'!$C$5:$M$299,11,0),"Inspection at production line")</f>
        <v>Inspection at production line</v>
      </c>
    </row>
    <row r="2275" spans="1:4" ht="13.8">
      <c r="A2275" s="47" t="s">
        <v>3849</v>
      </c>
      <c r="B2275" s="92" t="s">
        <v>90</v>
      </c>
      <c r="C2275" s="92" t="s">
        <v>3850</v>
      </c>
      <c r="D2275" s="72" t="str">
        <f>IFERROR(VLOOKUP(A2275,'[1]ST-QA-ZZ5'!$C$5:$M$299,11,0),"Inspection at production line")</f>
        <v>Inspection at production line</v>
      </c>
    </row>
    <row r="2276" spans="1:4" ht="13.8">
      <c r="A2276" s="47" t="s">
        <v>3854</v>
      </c>
      <c r="B2276" s="92" t="s">
        <v>1070</v>
      </c>
      <c r="C2276" s="92" t="s">
        <v>3855</v>
      </c>
      <c r="D2276" s="72" t="str">
        <f>IFERROR(VLOOKUP(A2276,'[1]ST-QA-ZZ5'!$C$5:$M$299,11,0),"Inspection at production line")</f>
        <v>Inspection at production line</v>
      </c>
    </row>
    <row r="2277" spans="1:4" ht="13.8">
      <c r="A2277" s="47" t="s">
        <v>3858</v>
      </c>
      <c r="B2277" s="92" t="s">
        <v>90</v>
      </c>
      <c r="C2277" s="92" t="s">
        <v>3859</v>
      </c>
      <c r="D2277" s="72" t="str">
        <f>IFERROR(VLOOKUP(A2277,'[1]ST-QA-ZZ5'!$C$5:$M$299,11,0),"Inspection at production line")</f>
        <v>Inspection at production line</v>
      </c>
    </row>
    <row r="2278" spans="1:4" ht="13.8">
      <c r="A2278" s="47" t="s">
        <v>3863</v>
      </c>
      <c r="B2278" s="92" t="s">
        <v>1070</v>
      </c>
      <c r="C2278" s="92" t="s">
        <v>3864</v>
      </c>
      <c r="D2278" s="72" t="str">
        <f>IFERROR(VLOOKUP(A2278,'[1]ST-QA-ZZ5'!$C$5:$M$299,11,0),"Inspection at production line")</f>
        <v>Inspection at production line</v>
      </c>
    </row>
    <row r="2279" spans="1:4" ht="13.8">
      <c r="A2279" s="47" t="s">
        <v>3867</v>
      </c>
      <c r="B2279" s="92" t="s">
        <v>90</v>
      </c>
      <c r="C2279" s="92" t="s">
        <v>3868</v>
      </c>
      <c r="D2279" s="72" t="str">
        <f>IFERROR(VLOOKUP(A2279,'[1]ST-QA-ZZ5'!$C$5:$M$299,11,0),"Inspection at production line")</f>
        <v>Inspection at production line</v>
      </c>
    </row>
    <row r="2280" spans="1:4" ht="13.8">
      <c r="A2280" s="47" t="s">
        <v>3871</v>
      </c>
      <c r="B2280" s="92" t="s">
        <v>900</v>
      </c>
      <c r="C2280" s="92" t="s">
        <v>3872</v>
      </c>
      <c r="D2280" s="72" t="str">
        <f>IFERROR(VLOOKUP(A2280,'[1]ST-QA-ZZ5'!$C$5:$M$299,11,0),"Inspection at production line")</f>
        <v>Inspection at production line</v>
      </c>
    </row>
    <row r="2281" spans="1:4" ht="13.8">
      <c r="A2281" s="47" t="s">
        <v>3873</v>
      </c>
      <c r="B2281" s="92" t="s">
        <v>1070</v>
      </c>
      <c r="C2281" s="92" t="s">
        <v>3874</v>
      </c>
      <c r="D2281" s="72" t="str">
        <f>IFERROR(VLOOKUP(A2281,'[1]ST-QA-ZZ5'!$C$5:$M$299,11,0),"Inspection at production line")</f>
        <v>Inspection at production line</v>
      </c>
    </row>
    <row r="2282" spans="1:4" ht="13.8">
      <c r="A2282" s="47" t="s">
        <v>3875</v>
      </c>
      <c r="B2282" s="92" t="s">
        <v>90</v>
      </c>
      <c r="C2282" s="92" t="s">
        <v>3876</v>
      </c>
      <c r="D2282" s="72" t="str">
        <f>IFERROR(VLOOKUP(A2282,'[1]ST-QA-ZZ5'!$C$5:$M$299,11,0),"Inspection at production line")</f>
        <v>Inspection at production line</v>
      </c>
    </row>
    <row r="2283" spans="1:4" ht="13.8">
      <c r="A2283" s="47" t="s">
        <v>3878</v>
      </c>
      <c r="B2283" s="92" t="s">
        <v>1070</v>
      </c>
      <c r="C2283" s="92" t="s">
        <v>3879</v>
      </c>
      <c r="D2283" s="72" t="str">
        <f>IFERROR(VLOOKUP(A2283,'[1]ST-QA-ZZ5'!$C$5:$M$299,11,0),"Inspection at production line")</f>
        <v>Inspection at production line</v>
      </c>
    </row>
    <row r="2284" spans="1:4" ht="13.8">
      <c r="A2284" s="47" t="s">
        <v>3880</v>
      </c>
      <c r="B2284" s="92" t="s">
        <v>90</v>
      </c>
      <c r="C2284" s="92" t="s">
        <v>3881</v>
      </c>
      <c r="D2284" s="72" t="str">
        <f>IFERROR(VLOOKUP(A2284,'[1]ST-QA-ZZ5'!$C$5:$M$299,11,0),"Inspection at production line")</f>
        <v>Inspection at production line</v>
      </c>
    </row>
    <row r="2285" spans="1:4" ht="13.8">
      <c r="A2285" s="47" t="s">
        <v>3883</v>
      </c>
      <c r="B2285" s="92" t="s">
        <v>809</v>
      </c>
      <c r="C2285" s="92" t="s">
        <v>3884</v>
      </c>
      <c r="D2285" s="72" t="str">
        <f>IFERROR(VLOOKUP(A2285,'[1]ST-QA-ZZ5'!$C$5:$M$299,11,0),"Inspection at production line")</f>
        <v>Inspection at production line</v>
      </c>
    </row>
    <row r="2286" spans="1:4" ht="13.8">
      <c r="A2286" s="47" t="s">
        <v>6602</v>
      </c>
      <c r="B2286" s="92" t="s">
        <v>3363</v>
      </c>
      <c r="C2286" s="92" t="s">
        <v>806</v>
      </c>
      <c r="D2286" s="72" t="str">
        <f>IFERROR(VLOOKUP(A2286,'[1]ST-QA-ZZ5'!$C$5:$M$299,11,0),"Inspection at production line")</f>
        <v>Inspection at production line</v>
      </c>
    </row>
    <row r="2287" spans="1:4" ht="13.8">
      <c r="A2287" s="47" t="s">
        <v>3885</v>
      </c>
      <c r="B2287" s="92" t="s">
        <v>877</v>
      </c>
      <c r="C2287" s="92" t="s">
        <v>878</v>
      </c>
      <c r="D2287" s="72" t="str">
        <f>IFERROR(VLOOKUP(A2287,'[1]ST-QA-ZZ5'!$C$5:$M$299,11,0),"Inspection at production line")</f>
        <v>Inspection at production line</v>
      </c>
    </row>
    <row r="2288" spans="1:4" ht="13.8">
      <c r="A2288" s="47" t="s">
        <v>3887</v>
      </c>
      <c r="B2288" s="92" t="s">
        <v>3029</v>
      </c>
      <c r="C2288" s="92" t="s">
        <v>3888</v>
      </c>
      <c r="D2288" s="72" t="str">
        <f>IFERROR(VLOOKUP(A2288,'[1]ST-QA-ZZ5'!$C$5:$M$299,11,0),"Inspection at production line")</f>
        <v>Inspection at production line</v>
      </c>
    </row>
    <row r="2289" spans="1:4" ht="13.8">
      <c r="A2289" s="47" t="s">
        <v>6603</v>
      </c>
      <c r="B2289" s="92" t="s">
        <v>1177</v>
      </c>
      <c r="C2289" s="92" t="s">
        <v>6604</v>
      </c>
      <c r="D2289" s="72" t="str">
        <f>IFERROR(VLOOKUP(A2289,'[1]ST-QA-ZZ5'!$C$5:$M$299,11,0),"Inspection at production line")</f>
        <v>Inspection at production line</v>
      </c>
    </row>
    <row r="2290" spans="1:4" ht="13.8">
      <c r="A2290" s="47" t="s">
        <v>6605</v>
      </c>
      <c r="B2290" s="92" t="s">
        <v>1177</v>
      </c>
      <c r="C2290" s="92" t="s">
        <v>6606</v>
      </c>
      <c r="D2290" s="72" t="str">
        <f>IFERROR(VLOOKUP(A2290,'[1]ST-QA-ZZ5'!$C$5:$M$299,11,0),"Inspection at production line")</f>
        <v>Inspection at production line</v>
      </c>
    </row>
    <row r="2291" spans="1:4" ht="13.8">
      <c r="A2291" s="47" t="s">
        <v>3889</v>
      </c>
      <c r="B2291" s="92" t="s">
        <v>75</v>
      </c>
      <c r="C2291" s="92" t="s">
        <v>3890</v>
      </c>
      <c r="D2291" s="72" t="str">
        <f>IFERROR(VLOOKUP(A2291,'[1]ST-QA-ZZ5'!$C$5:$M$299,11,0),"Inspection at production line")</f>
        <v>Inspection at production line</v>
      </c>
    </row>
    <row r="2292" spans="1:4" ht="13.8">
      <c r="A2292" s="47" t="s">
        <v>6607</v>
      </c>
      <c r="B2292" s="92" t="s">
        <v>809</v>
      </c>
      <c r="C2292" s="92" t="s">
        <v>6608</v>
      </c>
      <c r="D2292" s="72" t="str">
        <f>IFERROR(VLOOKUP(A2292,'[1]ST-QA-ZZ5'!$C$5:$M$299,11,0),"Inspection at production line")</f>
        <v>Inspection at production line</v>
      </c>
    </row>
    <row r="2293" spans="1:4" ht="13.8">
      <c r="A2293" s="47" t="s">
        <v>3891</v>
      </c>
      <c r="B2293" s="92" t="s">
        <v>809</v>
      </c>
      <c r="C2293" s="92" t="s">
        <v>3892</v>
      </c>
      <c r="D2293" s="72" t="str">
        <f>IFERROR(VLOOKUP(A2293,'[1]ST-QA-ZZ5'!$C$5:$M$299,11,0),"Inspection at production line")</f>
        <v>Inspection at production line</v>
      </c>
    </row>
    <row r="2294" spans="1:4" ht="13.8">
      <c r="A2294" s="47" t="s">
        <v>3893</v>
      </c>
      <c r="B2294" s="92" t="s">
        <v>1257</v>
      </c>
      <c r="C2294" s="92" t="s">
        <v>6609</v>
      </c>
      <c r="D2294" s="72" t="str">
        <f>IFERROR(VLOOKUP(A2294,'[1]ST-QA-ZZ5'!$C$5:$M$299,11,0),"Inspection at production line")</f>
        <v>Inspection at production line</v>
      </c>
    </row>
    <row r="2295" spans="1:4" ht="13.8">
      <c r="A2295" s="47" t="s">
        <v>3894</v>
      </c>
      <c r="B2295" s="92" t="s">
        <v>1257</v>
      </c>
      <c r="C2295" s="92" t="s">
        <v>6610</v>
      </c>
      <c r="D2295" s="72" t="str">
        <f>IFERROR(VLOOKUP(A2295,'[1]ST-QA-ZZ5'!$C$5:$M$299,11,0),"Inspection at production line")</f>
        <v>Inspection at production line</v>
      </c>
    </row>
    <row r="2296" spans="1:4" ht="13.8">
      <c r="A2296" s="47" t="s">
        <v>3895</v>
      </c>
      <c r="B2296" s="92" t="s">
        <v>1257</v>
      </c>
      <c r="C2296" s="92" t="s">
        <v>6611</v>
      </c>
      <c r="D2296" s="72" t="str">
        <f>IFERROR(VLOOKUP(A2296,'[1]ST-QA-ZZ5'!$C$5:$M$299,11,0),"Inspection at production line")</f>
        <v>Inspection at production line</v>
      </c>
    </row>
    <row r="2297" spans="1:4" ht="13.8">
      <c r="A2297" s="47" t="s">
        <v>3896</v>
      </c>
      <c r="B2297" s="92" t="s">
        <v>1070</v>
      </c>
      <c r="C2297" s="92" t="s">
        <v>3897</v>
      </c>
      <c r="D2297" s="72" t="str">
        <f>IFERROR(VLOOKUP(A2297,'[1]ST-QA-ZZ5'!$C$5:$M$299,11,0),"Inspection at production line")</f>
        <v>Inspection at production line</v>
      </c>
    </row>
    <row r="2298" spans="1:4" ht="13.8">
      <c r="A2298" s="47" t="s">
        <v>3898</v>
      </c>
      <c r="B2298" s="92" t="s">
        <v>1257</v>
      </c>
      <c r="C2298" s="92" t="s">
        <v>6612</v>
      </c>
      <c r="D2298" s="72" t="str">
        <f>IFERROR(VLOOKUP(A2298,'[1]ST-QA-ZZ5'!$C$5:$M$299,11,0),"Inspection at production line")</f>
        <v>Inspection at production line</v>
      </c>
    </row>
    <row r="2299" spans="1:4" ht="13.8">
      <c r="A2299" s="47" t="s">
        <v>3899</v>
      </c>
      <c r="B2299" s="92" t="s">
        <v>843</v>
      </c>
      <c r="C2299" s="92" t="s">
        <v>3900</v>
      </c>
      <c r="D2299" s="72" t="str">
        <f>IFERROR(VLOOKUP(A2299,'[1]ST-QA-ZZ5'!$C$5:$M$299,11,0),"Inspection at production line")</f>
        <v>Inspection at production line</v>
      </c>
    </row>
    <row r="2300" spans="1:4" ht="13.8">
      <c r="A2300" s="47" t="s">
        <v>3901</v>
      </c>
      <c r="B2300" s="92" t="s">
        <v>83</v>
      </c>
      <c r="C2300" s="92" t="s">
        <v>3900</v>
      </c>
      <c r="D2300" s="72" t="str">
        <f>IFERROR(VLOOKUP(A2300,'[1]ST-QA-ZZ5'!$C$5:$M$299,11,0),"Inspection at production line")</f>
        <v>Inspection at production line</v>
      </c>
    </row>
    <row r="2301" spans="1:4" ht="13.8">
      <c r="A2301" s="47" t="s">
        <v>3902</v>
      </c>
      <c r="B2301" s="92" t="s">
        <v>1070</v>
      </c>
      <c r="C2301" s="92" t="s">
        <v>3903</v>
      </c>
      <c r="D2301" s="72" t="str">
        <f>IFERROR(VLOOKUP(A2301,'[1]ST-QA-ZZ5'!$C$5:$M$299,11,0),"Inspection at production line")</f>
        <v>Inspection at production line</v>
      </c>
    </row>
    <row r="2302" spans="1:4" ht="13.8">
      <c r="A2302" s="47" t="s">
        <v>3905</v>
      </c>
      <c r="B2302" s="92" t="s">
        <v>90</v>
      </c>
      <c r="C2302" s="92" t="s">
        <v>3906</v>
      </c>
      <c r="D2302" s="72" t="str">
        <f>IFERROR(VLOOKUP(A2302,'[1]ST-QA-ZZ5'!$C$5:$M$299,11,0),"Inspection at production line")</f>
        <v>Inspection at production line</v>
      </c>
    </row>
    <row r="2303" spans="1:4" ht="13.8">
      <c r="A2303" s="47" t="s">
        <v>3907</v>
      </c>
      <c r="B2303" s="92" t="s">
        <v>1070</v>
      </c>
      <c r="C2303" s="92" t="s">
        <v>3908</v>
      </c>
      <c r="D2303" s="72" t="str">
        <f>IFERROR(VLOOKUP(A2303,'[1]ST-QA-ZZ5'!$C$5:$M$299,11,0),"Inspection at production line")</f>
        <v>Inspection at production line</v>
      </c>
    </row>
    <row r="2304" spans="1:4" ht="13.8">
      <c r="A2304" s="47" t="s">
        <v>3909</v>
      </c>
      <c r="B2304" s="92" t="s">
        <v>90</v>
      </c>
      <c r="C2304" s="92" t="s">
        <v>3910</v>
      </c>
      <c r="D2304" s="72" t="str">
        <f>IFERROR(VLOOKUP(A2304,'[1]ST-QA-ZZ5'!$C$5:$M$299,11,0),"Inspection at production line")</f>
        <v>Inspection at production line</v>
      </c>
    </row>
    <row r="2305" spans="1:4" ht="13.8">
      <c r="A2305" s="47" t="s">
        <v>3911</v>
      </c>
      <c r="B2305" s="92" t="s">
        <v>1070</v>
      </c>
      <c r="C2305" s="92" t="s">
        <v>3912</v>
      </c>
      <c r="D2305" s="72" t="str">
        <f>IFERROR(VLOOKUP(A2305,'[1]ST-QA-ZZ5'!$C$5:$M$299,11,0),"Inspection at production line")</f>
        <v>Inspection at production line</v>
      </c>
    </row>
    <row r="2306" spans="1:4" ht="13.8">
      <c r="A2306" s="47" t="s">
        <v>3913</v>
      </c>
      <c r="B2306" s="92" t="s">
        <v>90</v>
      </c>
      <c r="C2306" s="92" t="s">
        <v>3914</v>
      </c>
      <c r="D2306" s="72" t="str">
        <f>IFERROR(VLOOKUP(A2306,'[1]ST-QA-ZZ5'!$C$5:$M$299,11,0),"Inspection at production line")</f>
        <v>Inspection at production line</v>
      </c>
    </row>
    <row r="2307" spans="1:4" ht="13.8">
      <c r="A2307" s="47" t="s">
        <v>3915</v>
      </c>
      <c r="B2307" s="92" t="s">
        <v>1070</v>
      </c>
      <c r="C2307" s="92" t="s">
        <v>3916</v>
      </c>
      <c r="D2307" s="72" t="str">
        <f>IFERROR(VLOOKUP(A2307,'[1]ST-QA-ZZ5'!$C$5:$M$299,11,0),"Inspection at production line")</f>
        <v>Inspection at production line</v>
      </c>
    </row>
    <row r="2308" spans="1:4" ht="13.8">
      <c r="A2308" s="47" t="s">
        <v>3917</v>
      </c>
      <c r="B2308" s="92" t="s">
        <v>90</v>
      </c>
      <c r="C2308" s="92" t="s">
        <v>3918</v>
      </c>
      <c r="D2308" s="72" t="str">
        <f>IFERROR(VLOOKUP(A2308,'[1]ST-QA-ZZ5'!$C$5:$M$299,11,0),"Inspection at production line")</f>
        <v>Inspection at production line</v>
      </c>
    </row>
    <row r="2309" spans="1:4" ht="13.8">
      <c r="A2309" s="47" t="s">
        <v>3919</v>
      </c>
      <c r="B2309" s="92" t="s">
        <v>1070</v>
      </c>
      <c r="C2309" s="92" t="s">
        <v>6613</v>
      </c>
      <c r="D2309" s="72" t="str">
        <f>IFERROR(VLOOKUP(A2309,'[1]ST-QA-ZZ5'!$C$5:$M$299,11,0),"Inspection at production line")</f>
        <v>Inspection at production line</v>
      </c>
    </row>
    <row r="2310" spans="1:4" ht="13.8">
      <c r="A2310" s="47" t="s">
        <v>3920</v>
      </c>
      <c r="B2310" s="92" t="s">
        <v>90</v>
      </c>
      <c r="C2310" s="92" t="s">
        <v>3921</v>
      </c>
      <c r="D2310" s="72" t="str">
        <f>IFERROR(VLOOKUP(A2310,'[1]ST-QA-ZZ5'!$C$5:$M$299,11,0),"Inspection at production line")</f>
        <v>Inspection at production line</v>
      </c>
    </row>
    <row r="2311" spans="1:4" ht="13.8">
      <c r="A2311" s="47" t="s">
        <v>3922</v>
      </c>
      <c r="B2311" s="92" t="s">
        <v>1070</v>
      </c>
      <c r="C2311" s="92" t="s">
        <v>3923</v>
      </c>
      <c r="D2311" s="72" t="str">
        <f>IFERROR(VLOOKUP(A2311,'[1]ST-QA-ZZ5'!$C$5:$M$299,11,0),"Inspection at production line")</f>
        <v>Inspection at production line</v>
      </c>
    </row>
    <row r="2312" spans="1:4" ht="13.8">
      <c r="A2312" s="47" t="s">
        <v>3924</v>
      </c>
      <c r="B2312" s="92" t="s">
        <v>90</v>
      </c>
      <c r="C2312" s="92" t="s">
        <v>3925</v>
      </c>
      <c r="D2312" s="72" t="str">
        <f>IFERROR(VLOOKUP(A2312,'[1]ST-QA-ZZ5'!$C$5:$M$299,11,0),"Inspection at production line")</f>
        <v>Inspection at production line</v>
      </c>
    </row>
    <row r="2313" spans="1:4" ht="13.8">
      <c r="A2313" s="47" t="s">
        <v>3928</v>
      </c>
      <c r="B2313" s="92" t="s">
        <v>1070</v>
      </c>
      <c r="C2313" s="92" t="s">
        <v>3929</v>
      </c>
      <c r="D2313" s="72" t="str">
        <f>IFERROR(VLOOKUP(A2313,'[1]ST-QA-ZZ5'!$C$5:$M$299,11,0),"Inspection at production line")</f>
        <v>Inspection at production line</v>
      </c>
    </row>
    <row r="2314" spans="1:4" ht="13.8">
      <c r="A2314" s="47" t="s">
        <v>3932</v>
      </c>
      <c r="B2314" s="92" t="s">
        <v>90</v>
      </c>
      <c r="C2314" s="92" t="s">
        <v>3933</v>
      </c>
      <c r="D2314" s="72" t="str">
        <f>IFERROR(VLOOKUP(A2314,'[1]ST-QA-ZZ5'!$C$5:$M$299,11,0),"Inspection at production line")</f>
        <v>Inspection at production line</v>
      </c>
    </row>
    <row r="2315" spans="1:4" ht="13.8">
      <c r="A2315" s="47" t="s">
        <v>3935</v>
      </c>
      <c r="B2315" s="92" t="s">
        <v>1257</v>
      </c>
      <c r="C2315" s="92" t="s">
        <v>6614</v>
      </c>
      <c r="D2315" s="72" t="str">
        <f>IFERROR(VLOOKUP(A2315,'[1]ST-QA-ZZ5'!$C$5:$M$299,11,0),"Inspection at production line")</f>
        <v>Inspection at production line</v>
      </c>
    </row>
    <row r="2316" spans="1:4" ht="13.8">
      <c r="A2316" s="47" t="s">
        <v>3938</v>
      </c>
      <c r="B2316" s="92" t="s">
        <v>1257</v>
      </c>
      <c r="C2316" s="92" t="s">
        <v>6615</v>
      </c>
      <c r="D2316" s="72" t="str">
        <f>IFERROR(VLOOKUP(A2316,'[1]ST-QA-ZZ5'!$C$5:$M$299,11,0),"Inspection at production line")</f>
        <v>Inspection at production line</v>
      </c>
    </row>
    <row r="2317" spans="1:4" ht="13.8">
      <c r="A2317" s="47" t="s">
        <v>3941</v>
      </c>
      <c r="B2317" s="92" t="s">
        <v>1257</v>
      </c>
      <c r="C2317" s="92" t="s">
        <v>6616</v>
      </c>
      <c r="D2317" s="72" t="str">
        <f>IFERROR(VLOOKUP(A2317,'[1]ST-QA-ZZ5'!$C$5:$M$299,11,0),"Inspection at production line")</f>
        <v>Inspection at production line</v>
      </c>
    </row>
    <row r="2318" spans="1:4" ht="13.8">
      <c r="A2318" s="47" t="s">
        <v>3944</v>
      </c>
      <c r="B2318" s="92" t="s">
        <v>1257</v>
      </c>
      <c r="C2318" s="92" t="s">
        <v>6617</v>
      </c>
      <c r="D2318" s="72" t="str">
        <f>IFERROR(VLOOKUP(A2318,'[1]ST-QA-ZZ5'!$C$5:$M$299,11,0),"Inspection at production line")</f>
        <v>Inspection at production line</v>
      </c>
    </row>
    <row r="2319" spans="1:4" ht="13.8">
      <c r="A2319" s="47" t="s">
        <v>3953</v>
      </c>
      <c r="B2319" s="92" t="s">
        <v>843</v>
      </c>
      <c r="C2319" s="92" t="s">
        <v>3958</v>
      </c>
      <c r="D2319" s="72" t="str">
        <f>IFERROR(VLOOKUP(A2319,'[1]ST-QA-ZZ5'!$C$5:$M$299,11,0),"Inspection at production line")</f>
        <v>Inspection at production line</v>
      </c>
    </row>
    <row r="2320" spans="1:4" ht="13.8">
      <c r="A2320" s="47" t="s">
        <v>3957</v>
      </c>
      <c r="B2320" s="92" t="s">
        <v>83</v>
      </c>
      <c r="C2320" s="92" t="s">
        <v>3958</v>
      </c>
      <c r="D2320" s="72" t="str">
        <f>IFERROR(VLOOKUP(A2320,'[1]ST-QA-ZZ5'!$C$5:$M$299,11,0),"Inspection at production line")</f>
        <v>Inspection at production line</v>
      </c>
    </row>
    <row r="2321" spans="1:4" ht="13.8">
      <c r="A2321" s="47" t="s">
        <v>3961</v>
      </c>
      <c r="B2321" s="92" t="s">
        <v>6618</v>
      </c>
      <c r="C2321" s="92" t="s">
        <v>3962</v>
      </c>
      <c r="D2321" s="72" t="str">
        <f>IFERROR(VLOOKUP(A2321,'[1]ST-QA-ZZ5'!$C$5:$M$299,11,0),"Inspection at production line")</f>
        <v>Inspection at production line</v>
      </c>
    </row>
    <row r="2322" spans="1:4" ht="13.8">
      <c r="A2322" s="47" t="s">
        <v>3965</v>
      </c>
      <c r="B2322" s="92" t="s">
        <v>90</v>
      </c>
      <c r="C2322" s="92" t="s">
        <v>6619</v>
      </c>
      <c r="D2322" s="72" t="str">
        <f>IFERROR(VLOOKUP(A2322,'[1]ST-QA-ZZ5'!$C$5:$M$299,11,0),"Inspection at production line")</f>
        <v>Inspection at production line</v>
      </c>
    </row>
    <row r="2323" spans="1:4" ht="13.8">
      <c r="A2323" s="47" t="s">
        <v>3969</v>
      </c>
      <c r="B2323" s="92" t="s">
        <v>1070</v>
      </c>
      <c r="C2323" s="92" t="s">
        <v>3962</v>
      </c>
      <c r="D2323" s="72" t="str">
        <f>IFERROR(VLOOKUP(A2323,'[1]ST-QA-ZZ5'!$C$5:$M$299,11,0),"Inspection at production line")</f>
        <v>Inspection at production line</v>
      </c>
    </row>
    <row r="2324" spans="1:4" ht="13.8">
      <c r="A2324" s="47" t="s">
        <v>3972</v>
      </c>
      <c r="B2324" s="92" t="s">
        <v>90</v>
      </c>
      <c r="C2324" s="92" t="s">
        <v>6620</v>
      </c>
      <c r="D2324" s="72" t="str">
        <f>IFERROR(VLOOKUP(A2324,'[1]ST-QA-ZZ5'!$C$5:$M$299,11,0),"Inspection at production line")</f>
        <v>Inspection at production line</v>
      </c>
    </row>
    <row r="2325" spans="1:4" ht="13.8">
      <c r="A2325" s="47" t="s">
        <v>3975</v>
      </c>
      <c r="B2325" s="92" t="s">
        <v>900</v>
      </c>
      <c r="C2325" s="92" t="s">
        <v>3976</v>
      </c>
      <c r="D2325" s="72" t="str">
        <f>IFERROR(VLOOKUP(A2325,'[1]ST-QA-ZZ5'!$C$5:$M$299,11,0),"Inspection at production line")</f>
        <v>Inspection at production line</v>
      </c>
    </row>
    <row r="2326" spans="1:4" ht="13.8">
      <c r="A2326" s="47" t="s">
        <v>6621</v>
      </c>
      <c r="B2326" s="92" t="s">
        <v>809</v>
      </c>
      <c r="C2326" s="92" t="s">
        <v>3966</v>
      </c>
      <c r="D2326" s="72" t="str">
        <f>IFERROR(VLOOKUP(A2326,'[1]ST-QA-ZZ5'!$C$5:$M$299,11,0),"Inspection at production line")</f>
        <v>Inspection at production line</v>
      </c>
    </row>
    <row r="2327" spans="1:4" ht="13.8">
      <c r="A2327" s="47" t="s">
        <v>6622</v>
      </c>
      <c r="B2327" s="92" t="s">
        <v>789</v>
      </c>
      <c r="C2327" s="92" t="s">
        <v>6623</v>
      </c>
      <c r="D2327" s="72" t="str">
        <f>IFERROR(VLOOKUP(A2327,'[1]ST-QA-ZZ5'!$C$5:$M$299,11,0),"Inspection at production line")</f>
        <v>Inspection at production line</v>
      </c>
    </row>
    <row r="2328" spans="1:4" ht="13.8">
      <c r="A2328" s="47" t="s">
        <v>6624</v>
      </c>
      <c r="B2328" s="92" t="s">
        <v>208</v>
      </c>
      <c r="C2328" s="92" t="s">
        <v>6625</v>
      </c>
      <c r="D2328" s="72" t="str">
        <f>IFERROR(VLOOKUP(A2328,'[1]ST-QA-ZZ5'!$C$5:$M$299,11,0),"Inspection at production line")</f>
        <v>Inspection at production line</v>
      </c>
    </row>
    <row r="2329" spans="1:4" ht="13.8">
      <c r="A2329" s="47" t="s">
        <v>6626</v>
      </c>
      <c r="B2329" s="92" t="s">
        <v>789</v>
      </c>
      <c r="C2329" s="92" t="s">
        <v>6627</v>
      </c>
      <c r="D2329" s="72" t="str">
        <f>IFERROR(VLOOKUP(A2329,'[1]ST-QA-ZZ5'!$C$5:$M$299,11,0),"Inspection at production line")</f>
        <v>Inspection at production line</v>
      </c>
    </row>
    <row r="2330" spans="1:4" ht="13.8">
      <c r="A2330" s="47" t="s">
        <v>2693</v>
      </c>
      <c r="B2330" s="92" t="s">
        <v>704</v>
      </c>
      <c r="C2330" s="92" t="s">
        <v>2694</v>
      </c>
      <c r="D2330" s="72" t="str">
        <f>IFERROR(VLOOKUP(A2330,'[1]ST-QA-ZZ5'!$C$5:$M$299,11,0),"Inspection at production line")</f>
        <v>Inspection at production line</v>
      </c>
    </row>
    <row r="2331" spans="1:4" ht="13.8">
      <c r="A2331" s="47" t="s">
        <v>6628</v>
      </c>
      <c r="B2331" s="92" t="s">
        <v>789</v>
      </c>
      <c r="C2331" s="92" t="s">
        <v>6629</v>
      </c>
      <c r="D2331" s="72" t="str">
        <f>IFERROR(VLOOKUP(A2331,'[1]ST-QA-ZZ5'!$C$5:$M$299,11,0),"Inspection at production line")</f>
        <v>Inspection at production line</v>
      </c>
    </row>
    <row r="2332" spans="1:4" ht="13.8">
      <c r="A2332" s="47" t="s">
        <v>3980</v>
      </c>
      <c r="B2332" s="92" t="s">
        <v>1177</v>
      </c>
      <c r="C2332" s="92" t="s">
        <v>3981</v>
      </c>
      <c r="D2332" s="72" t="str">
        <f>IFERROR(VLOOKUP(A2332,'[1]ST-QA-ZZ5'!$C$5:$M$299,11,0),"Inspection at production line")</f>
        <v>Inspection at production line</v>
      </c>
    </row>
    <row r="2333" spans="1:4" ht="13.8">
      <c r="A2333" s="47" t="s">
        <v>3984</v>
      </c>
      <c r="B2333" s="92" t="s">
        <v>843</v>
      </c>
      <c r="C2333" s="92" t="s">
        <v>3985</v>
      </c>
      <c r="D2333" s="72" t="str">
        <f>IFERROR(VLOOKUP(A2333,'[1]ST-QA-ZZ5'!$C$5:$M$299,11,0),"Inspection at production line")</f>
        <v>Inspection at production line</v>
      </c>
    </row>
    <row r="2334" spans="1:4" ht="13.8">
      <c r="A2334" s="47" t="s">
        <v>3988</v>
      </c>
      <c r="B2334" s="92" t="s">
        <v>83</v>
      </c>
      <c r="C2334" s="92" t="s">
        <v>3989</v>
      </c>
      <c r="D2334" s="72" t="str">
        <f>IFERROR(VLOOKUP(A2334,'[1]ST-QA-ZZ5'!$C$5:$M$299,11,0),"Inspection at production line")</f>
        <v>Inspection at production line</v>
      </c>
    </row>
    <row r="2335" spans="1:4" ht="13.8">
      <c r="A2335" s="47" t="s">
        <v>3992</v>
      </c>
      <c r="B2335" s="92" t="s">
        <v>843</v>
      </c>
      <c r="C2335" s="92" t="s">
        <v>3993</v>
      </c>
      <c r="D2335" s="72" t="str">
        <f>IFERROR(VLOOKUP(A2335,'[1]ST-QA-ZZ5'!$C$5:$M$299,11,0),"Inspection at production line")</f>
        <v>Inspection at production line</v>
      </c>
    </row>
    <row r="2336" spans="1:4" ht="13.8">
      <c r="A2336" s="47" t="s">
        <v>3996</v>
      </c>
      <c r="B2336" s="92" t="s">
        <v>83</v>
      </c>
      <c r="C2336" s="92" t="s">
        <v>3993</v>
      </c>
      <c r="D2336" s="72" t="str">
        <f>IFERROR(VLOOKUP(A2336,'[1]ST-QA-ZZ5'!$C$5:$M$299,11,0),"Inspection at production line")</f>
        <v>Inspection at production line</v>
      </c>
    </row>
    <row r="2337" spans="1:4" ht="13.8">
      <c r="A2337" s="47" t="s">
        <v>3999</v>
      </c>
      <c r="B2337" s="92" t="s">
        <v>900</v>
      </c>
      <c r="C2337" s="92" t="s">
        <v>4000</v>
      </c>
      <c r="D2337" s="72" t="str">
        <f>IFERROR(VLOOKUP(A2337,'[1]ST-QA-ZZ5'!$C$5:$M$299,11,0),"Inspection at production line")</f>
        <v>Inspection at production line</v>
      </c>
    </row>
    <row r="2338" spans="1:4" ht="13.8">
      <c r="A2338" s="47" t="s">
        <v>4003</v>
      </c>
      <c r="B2338" s="92" t="s">
        <v>900</v>
      </c>
      <c r="C2338" s="92" t="s">
        <v>4004</v>
      </c>
      <c r="D2338" s="72" t="str">
        <f>IFERROR(VLOOKUP(A2338,'[1]ST-QA-ZZ5'!$C$5:$M$299,11,0),"Inspection at production line")</f>
        <v>Inspection at production line</v>
      </c>
    </row>
    <row r="2339" spans="1:4" ht="13.8">
      <c r="A2339" s="47" t="s">
        <v>4007</v>
      </c>
      <c r="B2339" s="92" t="s">
        <v>1070</v>
      </c>
      <c r="C2339" s="92" t="s">
        <v>4008</v>
      </c>
      <c r="D2339" s="72" t="str">
        <f>IFERROR(VLOOKUP(A2339,'[1]ST-QA-ZZ5'!$C$5:$M$299,11,0),"Inspection at production line")</f>
        <v>Inspection at production line</v>
      </c>
    </row>
    <row r="2340" spans="1:4" ht="13.8">
      <c r="A2340" s="47" t="s">
        <v>4011</v>
      </c>
      <c r="B2340" s="92" t="s">
        <v>90</v>
      </c>
      <c r="C2340" s="92" t="s">
        <v>4012</v>
      </c>
      <c r="D2340" s="72" t="str">
        <f>IFERROR(VLOOKUP(A2340,'[1]ST-QA-ZZ5'!$C$5:$M$299,11,0),"Inspection at production line")</f>
        <v>Inspection at production line</v>
      </c>
    </row>
    <row r="2341" spans="1:4" ht="13.8">
      <c r="A2341" s="47" t="s">
        <v>4016</v>
      </c>
      <c r="B2341" s="92" t="s">
        <v>1070</v>
      </c>
      <c r="C2341" s="92" t="s">
        <v>4017</v>
      </c>
      <c r="D2341" s="72" t="str">
        <f>IFERROR(VLOOKUP(A2341,'[1]ST-QA-ZZ5'!$C$5:$M$299,11,0),"Inspection at production line")</f>
        <v>Inspection at production line</v>
      </c>
    </row>
    <row r="2342" spans="1:4" ht="13.8">
      <c r="A2342" s="47" t="s">
        <v>4020</v>
      </c>
      <c r="B2342" s="92" t="s">
        <v>90</v>
      </c>
      <c r="C2342" s="92" t="s">
        <v>4021</v>
      </c>
      <c r="D2342" s="72" t="str">
        <f>IFERROR(VLOOKUP(A2342,'[1]ST-QA-ZZ5'!$C$5:$M$299,11,0),"Inspection at production line")</f>
        <v>Inspection at production line</v>
      </c>
    </row>
    <row r="2343" spans="1:4" ht="13.8">
      <c r="A2343" s="47" t="s">
        <v>4024</v>
      </c>
      <c r="B2343" s="92" t="s">
        <v>809</v>
      </c>
      <c r="C2343" s="92" t="s">
        <v>4025</v>
      </c>
      <c r="D2343" s="72" t="str">
        <f>IFERROR(VLOOKUP(A2343,'[1]ST-QA-ZZ5'!$C$5:$M$299,11,0),"Inspection at production line")</f>
        <v>Inspection at production line</v>
      </c>
    </row>
    <row r="2344" spans="1:4" ht="13.8">
      <c r="A2344" s="47" t="s">
        <v>4028</v>
      </c>
      <c r="B2344" s="92" t="s">
        <v>630</v>
      </c>
      <c r="C2344" s="92" t="s">
        <v>4029</v>
      </c>
      <c r="D2344" s="72" t="str">
        <f>IFERROR(VLOOKUP(A2344,'[1]ST-QA-ZZ5'!$C$5:$M$299,11,0),"Inspection at production line")</f>
        <v>Inspection at production line</v>
      </c>
    </row>
    <row r="2345" spans="1:4" ht="13.8">
      <c r="A2345" s="47" t="s">
        <v>744</v>
      </c>
      <c r="B2345" s="92" t="s">
        <v>745</v>
      </c>
      <c r="C2345" s="92" t="s">
        <v>746</v>
      </c>
      <c r="D2345" s="72" t="str">
        <f>IFERROR(VLOOKUP(A2345,'[1]ST-QA-ZZ5'!$C$5:$M$299,11,0),"Inspection at production line")</f>
        <v>Inspection at production line</v>
      </c>
    </row>
    <row r="2346" spans="1:4" ht="13.8">
      <c r="A2346" s="47" t="s">
        <v>4034</v>
      </c>
      <c r="B2346" s="92" t="s">
        <v>1070</v>
      </c>
      <c r="C2346" s="92" t="s">
        <v>4035</v>
      </c>
      <c r="D2346" s="72" t="str">
        <f>IFERROR(VLOOKUP(A2346,'[1]ST-QA-ZZ5'!$C$5:$M$299,11,0),"Inspection at production line")</f>
        <v>Inspection at production line</v>
      </c>
    </row>
    <row r="2347" spans="1:4" ht="13.8">
      <c r="A2347" s="47" t="s">
        <v>4040</v>
      </c>
      <c r="B2347" s="92" t="s">
        <v>90</v>
      </c>
      <c r="C2347" s="92" t="s">
        <v>4041</v>
      </c>
      <c r="D2347" s="72" t="str">
        <f>IFERROR(VLOOKUP(A2347,'[1]ST-QA-ZZ5'!$C$5:$M$299,11,0),"Inspection at production line")</f>
        <v>Inspection at production line</v>
      </c>
    </row>
    <row r="2348" spans="1:4" ht="13.8">
      <c r="A2348" s="47" t="s">
        <v>4046</v>
      </c>
      <c r="B2348" s="92" t="s">
        <v>1070</v>
      </c>
      <c r="C2348" s="92" t="s">
        <v>4047</v>
      </c>
      <c r="D2348" s="72" t="str">
        <f>IFERROR(VLOOKUP(A2348,'[1]ST-QA-ZZ5'!$C$5:$M$299,11,0),"Inspection at production line")</f>
        <v>Inspection at production line</v>
      </c>
    </row>
    <row r="2349" spans="1:4" ht="13.8">
      <c r="A2349" s="47" t="s">
        <v>4051</v>
      </c>
      <c r="B2349" s="92" t="s">
        <v>90</v>
      </c>
      <c r="C2349" s="92" t="s">
        <v>4052</v>
      </c>
      <c r="D2349" s="72" t="str">
        <f>IFERROR(VLOOKUP(A2349,'[1]ST-QA-ZZ5'!$C$5:$M$299,11,0),"Inspection at production line")</f>
        <v>Inspection at production line</v>
      </c>
    </row>
    <row r="2350" spans="1:4" ht="13.8">
      <c r="A2350" s="47" t="s">
        <v>4056</v>
      </c>
      <c r="B2350" s="92" t="s">
        <v>1070</v>
      </c>
      <c r="C2350" s="92" t="s">
        <v>4057</v>
      </c>
      <c r="D2350" s="72" t="str">
        <f>IFERROR(VLOOKUP(A2350,'[1]ST-QA-ZZ5'!$C$5:$M$299,11,0),"Inspection at production line")</f>
        <v>Inspection at production line</v>
      </c>
    </row>
    <row r="2351" spans="1:4" ht="13.8">
      <c r="A2351" s="47" t="s">
        <v>4061</v>
      </c>
      <c r="B2351" s="92" t="s">
        <v>90</v>
      </c>
      <c r="C2351" s="92" t="s">
        <v>4062</v>
      </c>
      <c r="D2351" s="72" t="str">
        <f>IFERROR(VLOOKUP(A2351,'[1]ST-QA-ZZ5'!$C$5:$M$299,11,0),"Inspection at production line")</f>
        <v>Inspection at production line</v>
      </c>
    </row>
    <row r="2352" spans="1:4" ht="13.8">
      <c r="A2352" s="47" t="s">
        <v>6630</v>
      </c>
      <c r="B2352" s="92" t="s">
        <v>857</v>
      </c>
      <c r="C2352" s="92" t="s">
        <v>6631</v>
      </c>
      <c r="D2352" s="72" t="str">
        <f>IFERROR(VLOOKUP(A2352,'[1]ST-QA-ZZ5'!$C$5:$M$299,11,0),"Inspection at production line")</f>
        <v>Inspection at production line</v>
      </c>
    </row>
    <row r="2353" spans="1:4" ht="13.8">
      <c r="A2353" s="47" t="s">
        <v>6632</v>
      </c>
      <c r="B2353" s="92" t="s">
        <v>6633</v>
      </c>
      <c r="C2353" s="92" t="s">
        <v>6633</v>
      </c>
      <c r="D2353" s="72" t="str">
        <f>IFERROR(VLOOKUP(A2353,'[1]ST-QA-ZZ5'!$C$5:$M$299,11,0),"Inspection at production line")</f>
        <v>Inspection at production line</v>
      </c>
    </row>
    <row r="2354" spans="1:4" ht="13.8">
      <c r="A2354" s="47" t="s">
        <v>6634</v>
      </c>
      <c r="B2354" s="92" t="s">
        <v>857</v>
      </c>
      <c r="C2354" s="92" t="s">
        <v>6635</v>
      </c>
      <c r="D2354" s="72" t="str">
        <f>IFERROR(VLOOKUP(A2354,'[1]ST-QA-ZZ5'!$C$5:$M$299,11,0),"Inspection at production line")</f>
        <v>Inspection at production line</v>
      </c>
    </row>
    <row r="2355" spans="1:4" ht="13.8">
      <c r="A2355" s="47" t="s">
        <v>6636</v>
      </c>
      <c r="B2355" s="92" t="s">
        <v>6637</v>
      </c>
      <c r="C2355" s="92" t="s">
        <v>6637</v>
      </c>
      <c r="D2355" s="72" t="str">
        <f>IFERROR(VLOOKUP(A2355,'[1]ST-QA-ZZ5'!$C$5:$M$299,11,0),"Inspection at production line")</f>
        <v>Inspection at production line</v>
      </c>
    </row>
    <row r="2356" spans="1:4" ht="13.8">
      <c r="A2356" s="47" t="s">
        <v>6638</v>
      </c>
      <c r="B2356" s="92" t="s">
        <v>6639</v>
      </c>
      <c r="C2356" s="92" t="s">
        <v>6639</v>
      </c>
      <c r="D2356" s="72" t="str">
        <f>IFERROR(VLOOKUP(A2356,'[1]ST-QA-ZZ5'!$C$5:$M$299,11,0),"Inspection at production line")</f>
        <v>Inspection at production line</v>
      </c>
    </row>
    <row r="2357" spans="1:4" ht="13.8">
      <c r="A2357" s="47" t="s">
        <v>6640</v>
      </c>
      <c r="B2357" s="92" t="s">
        <v>857</v>
      </c>
      <c r="C2357" s="92" t="s">
        <v>6641</v>
      </c>
      <c r="D2357" s="72" t="str">
        <f>IFERROR(VLOOKUP(A2357,'[1]ST-QA-ZZ5'!$C$5:$M$299,11,0),"Inspection at production line")</f>
        <v>Inspection at production line</v>
      </c>
    </row>
    <row r="2358" spans="1:4" ht="13.8">
      <c r="A2358" s="47" t="s">
        <v>6642</v>
      </c>
      <c r="B2358" s="92" t="s">
        <v>857</v>
      </c>
      <c r="C2358" s="92" t="s">
        <v>6643</v>
      </c>
      <c r="D2358" s="72" t="str">
        <f>IFERROR(VLOOKUP(A2358,'[1]ST-QA-ZZ5'!$C$5:$M$299,11,0),"Inspection at production line")</f>
        <v>Inspection at production line</v>
      </c>
    </row>
    <row r="2359" spans="1:4" ht="13.8">
      <c r="A2359" s="47" t="s">
        <v>6644</v>
      </c>
      <c r="B2359" s="92" t="s">
        <v>857</v>
      </c>
      <c r="C2359" s="92" t="s">
        <v>6645</v>
      </c>
      <c r="D2359" s="72" t="str">
        <f>IFERROR(VLOOKUP(A2359,'[1]ST-QA-ZZ5'!$C$5:$M$299,11,0),"Inspection at production line")</f>
        <v>Inspection at production line</v>
      </c>
    </row>
    <row r="2360" spans="1:4" ht="13.8">
      <c r="A2360" s="47" t="s">
        <v>6646</v>
      </c>
      <c r="B2360" s="92" t="s">
        <v>857</v>
      </c>
      <c r="C2360" s="92" t="s">
        <v>6647</v>
      </c>
      <c r="D2360" s="72" t="str">
        <f>IFERROR(VLOOKUP(A2360,'[1]ST-QA-ZZ5'!$C$5:$M$299,11,0),"Inspection at production line")</f>
        <v>Inspection at production line</v>
      </c>
    </row>
    <row r="2361" spans="1:4" ht="13.8">
      <c r="A2361" s="47" t="s">
        <v>6648</v>
      </c>
      <c r="B2361" s="92" t="s">
        <v>857</v>
      </c>
      <c r="C2361" s="92" t="s">
        <v>6649</v>
      </c>
      <c r="D2361" s="72" t="str">
        <f>IFERROR(VLOOKUP(A2361,'[1]ST-QA-ZZ5'!$C$5:$M$299,11,0),"Inspection at production line")</f>
        <v>Inspection at production line</v>
      </c>
    </row>
    <row r="2362" spans="1:4" ht="13.8">
      <c r="A2362" s="47" t="s">
        <v>6650</v>
      </c>
      <c r="B2362" s="92" t="s">
        <v>6651</v>
      </c>
      <c r="C2362" s="92" t="s">
        <v>6652</v>
      </c>
      <c r="D2362" s="72" t="str">
        <f>IFERROR(VLOOKUP(A2362,'[1]ST-QA-ZZ5'!$C$5:$M$299,11,0),"Inspection at production line")</f>
        <v>Inspection at production line</v>
      </c>
    </row>
    <row r="2363" spans="1:4" ht="13.8">
      <c r="A2363" s="47" t="s">
        <v>6653</v>
      </c>
      <c r="B2363" s="92" t="s">
        <v>857</v>
      </c>
      <c r="C2363" s="92" t="s">
        <v>6654</v>
      </c>
      <c r="D2363" s="72" t="str">
        <f>IFERROR(VLOOKUP(A2363,'[1]ST-QA-ZZ5'!$C$5:$M$299,11,0),"Inspection at production line")</f>
        <v>Inspection at production line</v>
      </c>
    </row>
    <row r="2364" spans="1:4" ht="13.8">
      <c r="A2364" s="47" t="s">
        <v>6655</v>
      </c>
      <c r="B2364" s="92" t="s">
        <v>857</v>
      </c>
      <c r="C2364" s="92" t="s">
        <v>6656</v>
      </c>
      <c r="D2364" s="72" t="str">
        <f>IFERROR(VLOOKUP(A2364,'[1]ST-QA-ZZ5'!$C$5:$M$299,11,0),"Inspection at production line")</f>
        <v>Inspection at production line</v>
      </c>
    </row>
    <row r="2365" spans="1:4" ht="13.8">
      <c r="A2365" s="47" t="s">
        <v>6657</v>
      </c>
      <c r="B2365" s="92" t="s">
        <v>857</v>
      </c>
      <c r="C2365" s="92" t="s">
        <v>6658</v>
      </c>
      <c r="D2365" s="72" t="str">
        <f>IFERROR(VLOOKUP(A2365,'[1]ST-QA-ZZ5'!$C$5:$M$299,11,0),"Inspection at production line")</f>
        <v>Inspection at production line</v>
      </c>
    </row>
    <row r="2366" spans="1:4" ht="13.8">
      <c r="A2366" s="47" t="s">
        <v>6659</v>
      </c>
      <c r="B2366" s="92" t="s">
        <v>857</v>
      </c>
      <c r="C2366" s="92" t="s">
        <v>6660</v>
      </c>
      <c r="D2366" s="72" t="str">
        <f>IFERROR(VLOOKUP(A2366,'[1]ST-QA-ZZ5'!$C$5:$M$299,11,0),"Inspection at production line")</f>
        <v>Inspection at production line</v>
      </c>
    </row>
    <row r="2367" spans="1:4" ht="13.8">
      <c r="A2367" s="47" t="s">
        <v>6661</v>
      </c>
      <c r="B2367" s="92" t="s">
        <v>857</v>
      </c>
      <c r="C2367" s="92" t="s">
        <v>6662</v>
      </c>
      <c r="D2367" s="72" t="str">
        <f>IFERROR(VLOOKUP(A2367,'[1]ST-QA-ZZ5'!$C$5:$M$299,11,0),"Inspection at production line")</f>
        <v>Inspection at production line</v>
      </c>
    </row>
    <row r="2368" spans="1:4" ht="13.8">
      <c r="A2368" s="47" t="s">
        <v>6663</v>
      </c>
      <c r="B2368" s="92" t="s">
        <v>857</v>
      </c>
      <c r="C2368" s="92" t="s">
        <v>6664</v>
      </c>
      <c r="D2368" s="72" t="str">
        <f>IFERROR(VLOOKUP(A2368,'[1]ST-QA-ZZ5'!$C$5:$M$299,11,0),"Inspection at production line")</f>
        <v>Inspection at production line</v>
      </c>
    </row>
    <row r="2369" spans="1:4" ht="13.8">
      <c r="A2369" s="47" t="s">
        <v>6665</v>
      </c>
      <c r="B2369" s="92" t="s">
        <v>857</v>
      </c>
      <c r="C2369" s="92" t="s">
        <v>6666</v>
      </c>
      <c r="D2369" s="72" t="str">
        <f>IFERROR(VLOOKUP(A2369,'[1]ST-QA-ZZ5'!$C$5:$M$299,11,0),"Inspection at production line")</f>
        <v>Inspection at production line</v>
      </c>
    </row>
    <row r="2370" spans="1:4" ht="13.8">
      <c r="A2370" s="47" t="s">
        <v>6667</v>
      </c>
      <c r="B2370" s="92" t="s">
        <v>6668</v>
      </c>
      <c r="C2370" s="92" t="s">
        <v>6668</v>
      </c>
      <c r="D2370" s="72" t="str">
        <f>IFERROR(VLOOKUP(A2370,'[1]ST-QA-ZZ5'!$C$5:$M$299,11,0),"Inspection at production line")</f>
        <v>Inspection at production line</v>
      </c>
    </row>
    <row r="2371" spans="1:4" ht="13.8">
      <c r="A2371" s="47" t="s">
        <v>6669</v>
      </c>
      <c r="B2371" s="92" t="s">
        <v>2058</v>
      </c>
      <c r="C2371" s="92" t="s">
        <v>2058</v>
      </c>
      <c r="D2371" s="72" t="str">
        <f>IFERROR(VLOOKUP(A2371,'[1]ST-QA-ZZ5'!$C$5:$M$299,11,0),"Inspection at production line")</f>
        <v>Inspection at production line</v>
      </c>
    </row>
    <row r="2372" spans="1:4" ht="13.8">
      <c r="A2372" s="47" t="s">
        <v>6670</v>
      </c>
      <c r="B2372" s="92" t="s">
        <v>6671</v>
      </c>
      <c r="C2372" s="92" t="s">
        <v>6671</v>
      </c>
      <c r="D2372" s="72" t="str">
        <f>IFERROR(VLOOKUP(A2372,'[1]ST-QA-ZZ5'!$C$5:$M$299,11,0),"Inspection at production line")</f>
        <v>Inspection at production line</v>
      </c>
    </row>
    <row r="2373" spans="1:4" ht="13.8">
      <c r="A2373" s="47" t="s">
        <v>6672</v>
      </c>
      <c r="B2373" s="92" t="s">
        <v>6673</v>
      </c>
      <c r="C2373" s="92" t="s">
        <v>6673</v>
      </c>
      <c r="D2373" s="72" t="str">
        <f>IFERROR(VLOOKUP(A2373,'[1]ST-QA-ZZ5'!$C$5:$M$299,11,0),"Inspection at production line")</f>
        <v>Inspection at production line</v>
      </c>
    </row>
    <row r="2374" spans="1:4" ht="13.8">
      <c r="A2374" s="47" t="s">
        <v>6674</v>
      </c>
      <c r="B2374" s="92" t="s">
        <v>857</v>
      </c>
      <c r="C2374" s="92" t="s">
        <v>6675</v>
      </c>
      <c r="D2374" s="72" t="str">
        <f>IFERROR(VLOOKUP(A2374,'[1]ST-QA-ZZ5'!$C$5:$M$299,11,0),"Inspection at production line")</f>
        <v>Inspection at production line</v>
      </c>
    </row>
    <row r="2375" spans="1:4" ht="13.8">
      <c r="A2375" s="47" t="s">
        <v>6676</v>
      </c>
      <c r="B2375" s="92" t="s">
        <v>6677</v>
      </c>
      <c r="C2375" s="92" t="s">
        <v>6677</v>
      </c>
      <c r="D2375" s="72" t="str">
        <f>IFERROR(VLOOKUP(A2375,'[1]ST-QA-ZZ5'!$C$5:$M$299,11,0),"Inspection at production line")</f>
        <v>Inspection at production line</v>
      </c>
    </row>
    <row r="2376" spans="1:4" ht="13.8">
      <c r="A2376" s="47" t="s">
        <v>6678</v>
      </c>
      <c r="B2376" s="92" t="s">
        <v>6679</v>
      </c>
      <c r="C2376" s="92" t="s">
        <v>6679</v>
      </c>
      <c r="D2376" s="72" t="str">
        <f>IFERROR(VLOOKUP(A2376,'[1]ST-QA-ZZ5'!$C$5:$M$299,11,0),"Inspection at production line")</f>
        <v>Inspection at production line</v>
      </c>
    </row>
    <row r="2377" spans="1:4" ht="13.8">
      <c r="A2377" s="47" t="s">
        <v>6680</v>
      </c>
      <c r="B2377" s="92" t="s">
        <v>857</v>
      </c>
      <c r="C2377" s="92" t="s">
        <v>6681</v>
      </c>
      <c r="D2377" s="72" t="str">
        <f>IFERROR(VLOOKUP(A2377,'[1]ST-QA-ZZ5'!$C$5:$M$299,11,0),"Inspection at production line")</f>
        <v>Inspection at production line</v>
      </c>
    </row>
    <row r="2378" spans="1:4" ht="13.8">
      <c r="A2378" s="47" t="s">
        <v>6682</v>
      </c>
      <c r="B2378" s="92" t="s">
        <v>6683</v>
      </c>
      <c r="C2378" s="92" t="s">
        <v>6683</v>
      </c>
      <c r="D2378" s="72" t="str">
        <f>IFERROR(VLOOKUP(A2378,'[1]ST-QA-ZZ5'!$C$5:$M$299,11,0),"Inspection at production line")</f>
        <v>Inspection at production line</v>
      </c>
    </row>
    <row r="2379" spans="1:4" ht="13.8">
      <c r="A2379" s="47" t="s">
        <v>6684</v>
      </c>
      <c r="B2379" s="92" t="s">
        <v>6685</v>
      </c>
      <c r="C2379" s="92" t="s">
        <v>6685</v>
      </c>
      <c r="D2379" s="72" t="str">
        <f>IFERROR(VLOOKUP(A2379,'[1]ST-QA-ZZ5'!$C$5:$M$299,11,0),"Inspection at production line")</f>
        <v>Inspection at production line</v>
      </c>
    </row>
    <row r="2380" spans="1:4" ht="13.8">
      <c r="A2380" s="47" t="s">
        <v>6686</v>
      </c>
      <c r="B2380" s="92" t="s">
        <v>857</v>
      </c>
      <c r="C2380" s="92" t="s">
        <v>6687</v>
      </c>
      <c r="D2380" s="72" t="str">
        <f>IFERROR(VLOOKUP(A2380,'[1]ST-QA-ZZ5'!$C$5:$M$299,11,0),"Inspection at production line")</f>
        <v>Inspection at production line</v>
      </c>
    </row>
    <row r="2381" spans="1:4" ht="13.8">
      <c r="A2381" s="47" t="s">
        <v>6688</v>
      </c>
      <c r="B2381" s="92" t="s">
        <v>6689</v>
      </c>
      <c r="C2381" s="92" t="s">
        <v>6689</v>
      </c>
      <c r="D2381" s="72" t="str">
        <f>IFERROR(VLOOKUP(A2381,'[1]ST-QA-ZZ5'!$C$5:$M$299,11,0),"Inspection at production line")</f>
        <v>Inspection at production line</v>
      </c>
    </row>
    <row r="2382" spans="1:4" ht="13.8">
      <c r="A2382" s="47" t="s">
        <v>6690</v>
      </c>
      <c r="B2382" s="92" t="s">
        <v>6691</v>
      </c>
      <c r="C2382" s="92" t="s">
        <v>6691</v>
      </c>
      <c r="D2382" s="72" t="str">
        <f>IFERROR(VLOOKUP(A2382,'[1]ST-QA-ZZ5'!$C$5:$M$299,11,0),"Inspection at production line")</f>
        <v>Inspection at production line</v>
      </c>
    </row>
    <row r="2383" spans="1:4" ht="13.8">
      <c r="A2383" s="47" t="s">
        <v>6692</v>
      </c>
      <c r="B2383" s="92" t="s">
        <v>6693</v>
      </c>
      <c r="C2383" s="92" t="s">
        <v>6693</v>
      </c>
      <c r="D2383" s="72" t="str">
        <f>IFERROR(VLOOKUP(A2383,'[1]ST-QA-ZZ5'!$C$5:$M$299,11,0),"Inspection at production line")</f>
        <v>Inspection at production line</v>
      </c>
    </row>
    <row r="2384" spans="1:4" ht="13.8">
      <c r="A2384" s="47" t="s">
        <v>6694</v>
      </c>
      <c r="B2384" s="92" t="s">
        <v>6695</v>
      </c>
      <c r="C2384" s="92" t="s">
        <v>6695</v>
      </c>
      <c r="D2384" s="72" t="str">
        <f>IFERROR(VLOOKUP(A2384,'[1]ST-QA-ZZ5'!$C$5:$M$299,11,0),"Inspection at production line")</f>
        <v>Inspection at production line</v>
      </c>
    </row>
    <row r="2385" spans="1:4" ht="13.8">
      <c r="A2385" s="47" t="s">
        <v>2078</v>
      </c>
      <c r="B2385" s="92" t="s">
        <v>2079</v>
      </c>
      <c r="C2385" s="92" t="s">
        <v>2080</v>
      </c>
      <c r="D2385" s="72" t="str">
        <f>IFERROR(VLOOKUP(A2385,'[1]ST-QA-ZZ5'!$C$5:$M$299,11,0),"Inspection at production line")</f>
        <v>Inspection at production line</v>
      </c>
    </row>
    <row r="2386" spans="1:4" ht="13.8">
      <c r="A2386" s="47" t="s">
        <v>6696</v>
      </c>
      <c r="B2386" s="92" t="s">
        <v>2079</v>
      </c>
      <c r="C2386" s="92" t="s">
        <v>6697</v>
      </c>
      <c r="D2386" s="72" t="str">
        <f>IFERROR(VLOOKUP(A2386,'[1]ST-QA-ZZ5'!$C$5:$M$299,11,0),"Inspection at production line")</f>
        <v>Inspection at production line</v>
      </c>
    </row>
    <row r="2387" spans="1:4" ht="13.8">
      <c r="A2387" s="47" t="s">
        <v>6698</v>
      </c>
      <c r="B2387" s="92" t="s">
        <v>857</v>
      </c>
      <c r="C2387" s="92" t="s">
        <v>6699</v>
      </c>
      <c r="D2387" s="72" t="str">
        <f>IFERROR(VLOOKUP(A2387,'[1]ST-QA-ZZ5'!$C$5:$M$299,11,0),"Inspection at production line")</f>
        <v>Inspection at production line</v>
      </c>
    </row>
    <row r="2388" spans="1:4" ht="13.8">
      <c r="A2388" s="47" t="s">
        <v>6700</v>
      </c>
      <c r="B2388" s="92" t="s">
        <v>174</v>
      </c>
      <c r="C2388" s="92" t="s">
        <v>6701</v>
      </c>
      <c r="D2388" s="72" t="str">
        <f>IFERROR(VLOOKUP(A2388,'[1]ST-QA-ZZ5'!$C$5:$M$299,11,0),"Inspection at production line")</f>
        <v>Inspection at production line</v>
      </c>
    </row>
    <row r="2389" spans="1:4" ht="13.8">
      <c r="A2389" s="47" t="s">
        <v>2084</v>
      </c>
      <c r="B2389" s="92" t="s">
        <v>2079</v>
      </c>
      <c r="C2389" s="92" t="s">
        <v>6702</v>
      </c>
      <c r="D2389" s="72" t="str">
        <f>IFERROR(VLOOKUP(A2389,'[1]ST-QA-ZZ5'!$C$5:$M$299,11,0),"Inspection at production line")</f>
        <v>Inspection at production line</v>
      </c>
    </row>
    <row r="2390" spans="1:4" ht="13.8">
      <c r="A2390" s="47" t="s">
        <v>6703</v>
      </c>
      <c r="B2390" s="92" t="s">
        <v>174</v>
      </c>
      <c r="C2390" s="92" t="s">
        <v>6704</v>
      </c>
      <c r="D2390" s="72" t="str">
        <f>IFERROR(VLOOKUP(A2390,'[1]ST-QA-ZZ5'!$C$5:$M$299,11,0),"Inspection at production line")</f>
        <v>Inspection at production line</v>
      </c>
    </row>
    <row r="2391" spans="1:4" ht="13.8">
      <c r="A2391" s="47" t="s">
        <v>6705</v>
      </c>
      <c r="B2391" s="92" t="s">
        <v>6706</v>
      </c>
      <c r="C2391" s="92" t="s">
        <v>6707</v>
      </c>
      <c r="D2391" s="72" t="str">
        <f>IFERROR(VLOOKUP(A2391,'[1]ST-QA-ZZ5'!$C$5:$M$299,11,0),"Inspection at production line")</f>
        <v>Inspection at production line</v>
      </c>
    </row>
    <row r="2392" spans="1:4" ht="13.8">
      <c r="A2392" s="47" t="s">
        <v>6708</v>
      </c>
      <c r="B2392" s="92" t="s">
        <v>174</v>
      </c>
      <c r="C2392" s="92" t="s">
        <v>6709</v>
      </c>
      <c r="D2392" s="72" t="str">
        <f>IFERROR(VLOOKUP(A2392,'[1]ST-QA-ZZ5'!$C$5:$M$299,11,0),"Inspection at production line")</f>
        <v>Inspection at production line</v>
      </c>
    </row>
    <row r="2393" spans="1:4" ht="13.8">
      <c r="A2393" s="47" t="s">
        <v>2088</v>
      </c>
      <c r="B2393" s="92" t="s">
        <v>2079</v>
      </c>
      <c r="C2393" s="92" t="s">
        <v>2089</v>
      </c>
      <c r="D2393" s="72" t="str">
        <f>IFERROR(VLOOKUP(A2393,'[1]ST-QA-ZZ5'!$C$5:$M$299,11,0),"Inspection at production line")</f>
        <v>Inspection at production line</v>
      </c>
    </row>
    <row r="2394" spans="1:4" ht="13.8">
      <c r="A2394" s="47" t="s">
        <v>6710</v>
      </c>
      <c r="B2394" s="92" t="s">
        <v>174</v>
      </c>
      <c r="C2394" s="92" t="s">
        <v>6711</v>
      </c>
      <c r="D2394" s="72" t="str">
        <f>IFERROR(VLOOKUP(A2394,'[1]ST-QA-ZZ5'!$C$5:$M$299,11,0),"Inspection at production line")</f>
        <v>Inspection at production line</v>
      </c>
    </row>
    <row r="2395" spans="1:4" ht="13.8">
      <c r="A2395" s="47" t="s">
        <v>6712</v>
      </c>
      <c r="B2395" s="92" t="s">
        <v>174</v>
      </c>
      <c r="C2395" s="92" t="s">
        <v>6713</v>
      </c>
      <c r="D2395" s="72" t="str">
        <f>IFERROR(VLOOKUP(A2395,'[1]ST-QA-ZZ5'!$C$5:$M$299,11,0),"Inspection at production line")</f>
        <v>Inspection at production line</v>
      </c>
    </row>
    <row r="2396" spans="1:4" ht="13.8">
      <c r="A2396" s="47" t="s">
        <v>6714</v>
      </c>
      <c r="B2396" s="92" t="s">
        <v>857</v>
      </c>
      <c r="C2396" s="92" t="s">
        <v>6715</v>
      </c>
      <c r="D2396" s="72" t="str">
        <f>IFERROR(VLOOKUP(A2396,'[1]ST-QA-ZZ5'!$C$5:$M$299,11,0),"Inspection at production line")</f>
        <v>Inspection at production line</v>
      </c>
    </row>
    <row r="2397" spans="1:4" ht="13.8">
      <c r="A2397" s="47" t="s">
        <v>6716</v>
      </c>
      <c r="B2397" s="92" t="s">
        <v>174</v>
      </c>
      <c r="C2397" s="92" t="s">
        <v>6717</v>
      </c>
      <c r="D2397" s="72" t="str">
        <f>IFERROR(VLOOKUP(A2397,'[1]ST-QA-ZZ5'!$C$5:$M$299,11,0),"Inspection at production line")</f>
        <v>Inspection at production line</v>
      </c>
    </row>
    <row r="2398" spans="1:4" ht="13.8">
      <c r="A2398" s="47" t="s">
        <v>2092</v>
      </c>
      <c r="B2398" s="92" t="s">
        <v>2079</v>
      </c>
      <c r="C2398" s="92" t="s">
        <v>2093</v>
      </c>
      <c r="D2398" s="72" t="str">
        <f>IFERROR(VLOOKUP(A2398,'[1]ST-QA-ZZ5'!$C$5:$M$299,11,0),"Inspection at production line")</f>
        <v>Inspection at production line</v>
      </c>
    </row>
    <row r="2399" spans="1:4" ht="13.8">
      <c r="A2399" s="47" t="s">
        <v>6718</v>
      </c>
      <c r="B2399" s="92" t="s">
        <v>174</v>
      </c>
      <c r="C2399" s="92" t="s">
        <v>6719</v>
      </c>
      <c r="D2399" s="72" t="str">
        <f>IFERROR(VLOOKUP(A2399,'[1]ST-QA-ZZ5'!$C$5:$M$299,11,0),"Inspection at production line")</f>
        <v>Inspection at production line</v>
      </c>
    </row>
    <row r="2400" spans="1:4" ht="13.8">
      <c r="A2400" s="47" t="s">
        <v>2096</v>
      </c>
      <c r="B2400" s="92" t="s">
        <v>2079</v>
      </c>
      <c r="C2400" s="92" t="s">
        <v>2097</v>
      </c>
      <c r="D2400" s="72" t="str">
        <f>IFERROR(VLOOKUP(A2400,'[1]ST-QA-ZZ5'!$C$5:$M$299,11,0),"Inspection at production line")</f>
        <v>Inspection at production line</v>
      </c>
    </row>
    <row r="2401" spans="1:4" ht="13.8">
      <c r="A2401" s="47" t="s">
        <v>6720</v>
      </c>
      <c r="B2401" s="92" t="s">
        <v>174</v>
      </c>
      <c r="C2401" s="92" t="s">
        <v>6721</v>
      </c>
      <c r="D2401" s="72" t="str">
        <f>IFERROR(VLOOKUP(A2401,'[1]ST-QA-ZZ5'!$C$5:$M$299,11,0),"Inspection at production line")</f>
        <v>Inspection at production line</v>
      </c>
    </row>
    <row r="2402" spans="1:4" ht="13.8">
      <c r="A2402" s="47" t="s">
        <v>6722</v>
      </c>
      <c r="B2402" s="92" t="s">
        <v>174</v>
      </c>
      <c r="C2402" s="92" t="s">
        <v>6723</v>
      </c>
      <c r="D2402" s="72" t="str">
        <f>IFERROR(VLOOKUP(A2402,'[1]ST-QA-ZZ5'!$C$5:$M$299,11,0),"Inspection at production line")</f>
        <v>Inspection at production line</v>
      </c>
    </row>
    <row r="2403" spans="1:4" ht="13.8">
      <c r="A2403" s="47" t="s">
        <v>6724</v>
      </c>
      <c r="B2403" s="92" t="s">
        <v>174</v>
      </c>
      <c r="C2403" s="92" t="s">
        <v>6725</v>
      </c>
      <c r="D2403" s="72" t="str">
        <f>IFERROR(VLOOKUP(A2403,'[1]ST-QA-ZZ5'!$C$5:$M$299,11,0),"Inspection at production line")</f>
        <v>Inspection at production line</v>
      </c>
    </row>
    <row r="2404" spans="1:4" ht="13.8">
      <c r="A2404" s="47" t="s">
        <v>2100</v>
      </c>
      <c r="B2404" s="92" t="s">
        <v>2079</v>
      </c>
      <c r="C2404" s="92" t="s">
        <v>2101</v>
      </c>
      <c r="D2404" s="72" t="str">
        <f>IFERROR(VLOOKUP(A2404,'[1]ST-QA-ZZ5'!$C$5:$M$299,11,0),"Inspection at production line")</f>
        <v>Inspection at production line</v>
      </c>
    </row>
    <row r="2405" spans="1:4" ht="13.8">
      <c r="A2405" s="47" t="s">
        <v>6726</v>
      </c>
      <c r="B2405" s="92" t="s">
        <v>857</v>
      </c>
      <c r="C2405" s="92" t="s">
        <v>6727</v>
      </c>
      <c r="D2405" s="72" t="str">
        <f>IFERROR(VLOOKUP(A2405,'[1]ST-QA-ZZ5'!$C$5:$M$299,11,0),"Inspection at production line")</f>
        <v>Inspection at production line</v>
      </c>
    </row>
    <row r="2406" spans="1:4" ht="13.8">
      <c r="A2406" s="47" t="s">
        <v>6728</v>
      </c>
      <c r="B2406" s="92" t="s">
        <v>174</v>
      </c>
      <c r="C2406" s="92" t="s">
        <v>6729</v>
      </c>
      <c r="D2406" s="72" t="str">
        <f>IFERROR(VLOOKUP(A2406,'[1]ST-QA-ZZ5'!$C$5:$M$299,11,0),"Inspection at production line")</f>
        <v>Inspection at production line</v>
      </c>
    </row>
    <row r="2407" spans="1:4" ht="13.8">
      <c r="A2407" s="47" t="s">
        <v>2104</v>
      </c>
      <c r="B2407" s="92" t="s">
        <v>2079</v>
      </c>
      <c r="C2407" s="92" t="s">
        <v>2105</v>
      </c>
      <c r="D2407" s="72" t="str">
        <f>IFERROR(VLOOKUP(A2407,'[1]ST-QA-ZZ5'!$C$5:$M$299,11,0),"Inspection at production line")</f>
        <v>Inspection at production line</v>
      </c>
    </row>
    <row r="2408" spans="1:4" ht="13.8">
      <c r="A2408" s="47" t="s">
        <v>6730</v>
      </c>
      <c r="B2408" s="92" t="s">
        <v>857</v>
      </c>
      <c r="C2408" s="92" t="s">
        <v>6731</v>
      </c>
      <c r="D2408" s="72" t="str">
        <f>IFERROR(VLOOKUP(A2408,'[1]ST-QA-ZZ5'!$C$5:$M$299,11,0),"Inspection at production line")</f>
        <v>Inspection at production line</v>
      </c>
    </row>
    <row r="2409" spans="1:4" ht="13.8">
      <c r="A2409" s="47" t="s">
        <v>6732</v>
      </c>
      <c r="B2409" s="92" t="s">
        <v>857</v>
      </c>
      <c r="C2409" s="92" t="s">
        <v>6733</v>
      </c>
      <c r="D2409" s="72" t="str">
        <f>IFERROR(VLOOKUP(A2409,'[1]ST-QA-ZZ5'!$C$5:$M$299,11,0),"Inspection at production line")</f>
        <v>Inspection at production line</v>
      </c>
    </row>
    <row r="2410" spans="1:4" ht="13.8">
      <c r="A2410" s="47" t="s">
        <v>6734</v>
      </c>
      <c r="B2410" s="92" t="s">
        <v>174</v>
      </c>
      <c r="C2410" s="92" t="s">
        <v>6735</v>
      </c>
      <c r="D2410" s="72" t="str">
        <f>IFERROR(VLOOKUP(A2410,'[1]ST-QA-ZZ5'!$C$5:$M$299,11,0),"Inspection at production line")</f>
        <v>Inspection at production line</v>
      </c>
    </row>
    <row r="2411" spans="1:4" ht="13.8">
      <c r="A2411" s="47" t="s">
        <v>2108</v>
      </c>
      <c r="B2411" s="92" t="s">
        <v>2079</v>
      </c>
      <c r="C2411" s="92" t="s">
        <v>2109</v>
      </c>
      <c r="D2411" s="72" t="str">
        <f>IFERROR(VLOOKUP(A2411,'[1]ST-QA-ZZ5'!$C$5:$M$299,11,0),"Inspection at production line")</f>
        <v>Inspection at production line</v>
      </c>
    </row>
    <row r="2412" spans="1:4" ht="13.8">
      <c r="A2412" s="47" t="s">
        <v>6736</v>
      </c>
      <c r="B2412" s="92" t="s">
        <v>857</v>
      </c>
      <c r="C2412" s="92" t="s">
        <v>2109</v>
      </c>
      <c r="D2412" s="72" t="str">
        <f>IFERROR(VLOOKUP(A2412,'[1]ST-QA-ZZ5'!$C$5:$M$299,11,0),"Inspection at production line")</f>
        <v>Inspection at production line</v>
      </c>
    </row>
    <row r="2413" spans="1:4" ht="13.8">
      <c r="A2413" s="47" t="s">
        <v>6737</v>
      </c>
      <c r="B2413" s="92" t="s">
        <v>857</v>
      </c>
      <c r="C2413" s="92" t="s">
        <v>6738</v>
      </c>
      <c r="D2413" s="72" t="str">
        <f>IFERROR(VLOOKUP(A2413,'[1]ST-QA-ZZ5'!$C$5:$M$299,11,0),"Inspection at production line")</f>
        <v>Inspection at production line</v>
      </c>
    </row>
    <row r="2414" spans="1:4" ht="13.8">
      <c r="A2414" s="47" t="s">
        <v>6739</v>
      </c>
      <c r="B2414" s="92" t="s">
        <v>2069</v>
      </c>
      <c r="C2414" s="92" t="s">
        <v>6740</v>
      </c>
      <c r="D2414" s="72" t="str">
        <f>IFERROR(VLOOKUP(A2414,'[1]ST-QA-ZZ5'!$C$5:$M$299,11,0),"Inspection at production line")</f>
        <v>Inspection at production line</v>
      </c>
    </row>
    <row r="2415" spans="1:4" ht="13.8">
      <c r="A2415" s="47" t="s">
        <v>2112</v>
      </c>
      <c r="B2415" s="92" t="s">
        <v>2069</v>
      </c>
      <c r="C2415" s="92" t="s">
        <v>2113</v>
      </c>
      <c r="D2415" s="72" t="str">
        <f>IFERROR(VLOOKUP(A2415,'[1]ST-QA-ZZ5'!$C$5:$M$299,11,0),"Inspection at production line")</f>
        <v>Inspection at production line</v>
      </c>
    </row>
    <row r="2416" spans="1:4" ht="13.8">
      <c r="A2416" s="47" t="s">
        <v>2116</v>
      </c>
      <c r="B2416" s="92" t="s">
        <v>2069</v>
      </c>
      <c r="C2416" s="92" t="s">
        <v>6741</v>
      </c>
      <c r="D2416" s="72" t="str">
        <f>IFERROR(VLOOKUP(A2416,'[1]ST-QA-ZZ5'!$C$5:$M$299,11,0),"Inspection at production line")</f>
        <v>Inspection at production line</v>
      </c>
    </row>
    <row r="2417" spans="1:4" ht="13.8">
      <c r="A2417" s="47" t="s">
        <v>2120</v>
      </c>
      <c r="B2417" s="92" t="s">
        <v>2069</v>
      </c>
      <c r="C2417" s="92" t="s">
        <v>2121</v>
      </c>
      <c r="D2417" s="72" t="str">
        <f>IFERROR(VLOOKUP(A2417,'[1]ST-QA-ZZ5'!$C$5:$M$299,11,0),"Inspection at production line")</f>
        <v>Inspection at production line</v>
      </c>
    </row>
    <row r="2418" spans="1:4" ht="13.8">
      <c r="A2418" s="47" t="s">
        <v>2124</v>
      </c>
      <c r="B2418" s="92" t="s">
        <v>2069</v>
      </c>
      <c r="C2418" s="92" t="s">
        <v>2125</v>
      </c>
      <c r="D2418" s="72" t="str">
        <f>IFERROR(VLOOKUP(A2418,'[1]ST-QA-ZZ5'!$C$5:$M$299,11,0),"Inspection at production line")</f>
        <v>Inspection at production line</v>
      </c>
    </row>
    <row r="2419" spans="1:4" ht="13.8">
      <c r="A2419" s="47" t="s">
        <v>2128</v>
      </c>
      <c r="B2419" s="92" t="s">
        <v>2069</v>
      </c>
      <c r="C2419" s="92" t="s">
        <v>2129</v>
      </c>
      <c r="D2419" s="72" t="str">
        <f>IFERROR(VLOOKUP(A2419,'[1]ST-QA-ZZ5'!$C$5:$M$299,11,0),"Inspection at production line")</f>
        <v>Inspection at production line</v>
      </c>
    </row>
    <row r="2420" spans="1:4" ht="13.8">
      <c r="A2420" s="47" t="s">
        <v>2132</v>
      </c>
      <c r="B2420" s="92" t="s">
        <v>2069</v>
      </c>
      <c r="C2420" s="92" t="s">
        <v>2133</v>
      </c>
      <c r="D2420" s="72" t="str">
        <f>IFERROR(VLOOKUP(A2420,'[1]ST-QA-ZZ5'!$C$5:$M$299,11,0),"Inspection at production line")</f>
        <v>Inspection at production line</v>
      </c>
    </row>
    <row r="2421" spans="1:4" ht="13.8">
      <c r="A2421" s="47" t="s">
        <v>6742</v>
      </c>
      <c r="B2421" s="92" t="s">
        <v>2069</v>
      </c>
      <c r="C2421" s="92" t="s">
        <v>6743</v>
      </c>
      <c r="D2421" s="72" t="str">
        <f>IFERROR(VLOOKUP(A2421,'[1]ST-QA-ZZ5'!$C$5:$M$299,11,0),"Inspection at production line")</f>
        <v>Inspection at production line</v>
      </c>
    </row>
    <row r="2422" spans="1:4" ht="13.8">
      <c r="A2422" s="47" t="s">
        <v>2136</v>
      </c>
      <c r="B2422" s="92" t="s">
        <v>2137</v>
      </c>
      <c r="C2422" s="92" t="s">
        <v>2138</v>
      </c>
      <c r="D2422" s="72" t="str">
        <f>IFERROR(VLOOKUP(A2422,'[1]ST-QA-ZZ5'!$C$5:$M$299,11,0),"Inspection at production line")</f>
        <v>Inspection at production line</v>
      </c>
    </row>
    <row r="2423" spans="1:4" ht="13.8">
      <c r="A2423" s="47" t="s">
        <v>6744</v>
      </c>
      <c r="B2423" s="92" t="s">
        <v>2137</v>
      </c>
      <c r="C2423" s="92" t="s">
        <v>2175</v>
      </c>
      <c r="D2423" s="72" t="str">
        <f>IFERROR(VLOOKUP(A2423,'[1]ST-QA-ZZ5'!$C$5:$M$299,11,0),"Inspection at production line")</f>
        <v>Inspection at production line</v>
      </c>
    </row>
    <row r="2424" spans="1:4" ht="13.8">
      <c r="A2424" s="47" t="s">
        <v>2141</v>
      </c>
      <c r="B2424" s="92" t="s">
        <v>2137</v>
      </c>
      <c r="C2424" s="92" t="s">
        <v>6745</v>
      </c>
      <c r="D2424" s="72" t="str">
        <f>IFERROR(VLOOKUP(A2424,'[1]ST-QA-ZZ5'!$C$5:$M$299,11,0),"Inspection at production line")</f>
        <v>Inspection at production line</v>
      </c>
    </row>
    <row r="2425" spans="1:4" ht="13.8">
      <c r="A2425" s="47" t="s">
        <v>2145</v>
      </c>
      <c r="B2425" s="92" t="s">
        <v>2137</v>
      </c>
      <c r="C2425" s="92" t="s">
        <v>2146</v>
      </c>
      <c r="D2425" s="72" t="str">
        <f>IFERROR(VLOOKUP(A2425,'[1]ST-QA-ZZ5'!$C$5:$M$299,11,0),"Inspection at production line")</f>
        <v>Inspection at production line</v>
      </c>
    </row>
    <row r="2426" spans="1:4" ht="13.8">
      <c r="A2426" s="47" t="s">
        <v>6746</v>
      </c>
      <c r="B2426" s="92" t="s">
        <v>2137</v>
      </c>
      <c r="C2426" s="92" t="s">
        <v>6747</v>
      </c>
      <c r="D2426" s="72" t="str">
        <f>IFERROR(VLOOKUP(A2426,'[1]ST-QA-ZZ5'!$C$5:$M$299,11,0),"Inspection at production line")</f>
        <v>Inspection at production line</v>
      </c>
    </row>
    <row r="2427" spans="1:4" ht="13.8">
      <c r="A2427" s="47" t="s">
        <v>2150</v>
      </c>
      <c r="B2427" s="92" t="s">
        <v>2137</v>
      </c>
      <c r="C2427" s="92" t="s">
        <v>2151</v>
      </c>
      <c r="D2427" s="72" t="str">
        <f>IFERROR(VLOOKUP(A2427,'[1]ST-QA-ZZ5'!$C$5:$M$299,11,0),"Inspection at production line")</f>
        <v>Inspection at production line</v>
      </c>
    </row>
    <row r="2428" spans="1:4" ht="13.8">
      <c r="A2428" s="47" t="s">
        <v>6748</v>
      </c>
      <c r="B2428" s="92" t="s">
        <v>2137</v>
      </c>
      <c r="C2428" s="92" t="s">
        <v>6749</v>
      </c>
      <c r="D2428" s="72" t="str">
        <f>IFERROR(VLOOKUP(A2428,'[1]ST-QA-ZZ5'!$C$5:$M$299,11,0),"Inspection at production line")</f>
        <v>Inspection at production line</v>
      </c>
    </row>
    <row r="2429" spans="1:4" ht="13.8">
      <c r="A2429" s="47" t="s">
        <v>2155</v>
      </c>
      <c r="B2429" s="92" t="s">
        <v>1592</v>
      </c>
      <c r="C2429" s="92" t="s">
        <v>2156</v>
      </c>
      <c r="D2429" s="72" t="str">
        <f>IFERROR(VLOOKUP(A2429,'[1]ST-QA-ZZ5'!$C$5:$M$299,11,0),"Inspection at production line")</f>
        <v>Inspection at production line</v>
      </c>
    </row>
    <row r="2430" spans="1:4" ht="13.8">
      <c r="A2430" s="47" t="s">
        <v>6750</v>
      </c>
      <c r="B2430" s="92" t="s">
        <v>1592</v>
      </c>
      <c r="C2430" s="92" t="s">
        <v>6751</v>
      </c>
      <c r="D2430" s="72" t="str">
        <f>IFERROR(VLOOKUP(A2430,'[1]ST-QA-ZZ5'!$C$5:$M$299,11,0),"Inspection at production line")</f>
        <v>Inspection at production line</v>
      </c>
    </row>
    <row r="2431" spans="1:4" ht="13.8">
      <c r="A2431" s="47" t="s">
        <v>2159</v>
      </c>
      <c r="B2431" s="92" t="s">
        <v>2137</v>
      </c>
      <c r="C2431" s="92" t="s">
        <v>2160</v>
      </c>
      <c r="D2431" s="72" t="str">
        <f>IFERROR(VLOOKUP(A2431,'[1]ST-QA-ZZ5'!$C$5:$M$299,11,0),"Inspection at production line")</f>
        <v>Inspection at production line</v>
      </c>
    </row>
    <row r="2432" spans="1:4" ht="13.8">
      <c r="A2432" s="47" t="s">
        <v>2164</v>
      </c>
      <c r="B2432" s="92" t="s">
        <v>2137</v>
      </c>
      <c r="C2432" s="92" t="s">
        <v>2165</v>
      </c>
      <c r="D2432" s="72" t="str">
        <f>IFERROR(VLOOKUP(A2432,'[1]ST-QA-ZZ5'!$C$5:$M$299,11,0),"Inspection at production line")</f>
        <v>Inspection at production line</v>
      </c>
    </row>
    <row r="2433" spans="1:4" ht="13.8">
      <c r="A2433" s="47" t="s">
        <v>6752</v>
      </c>
      <c r="B2433" s="92" t="s">
        <v>2137</v>
      </c>
      <c r="C2433" s="92" t="s">
        <v>2184</v>
      </c>
      <c r="D2433" s="72" t="str">
        <f>IFERROR(VLOOKUP(A2433,'[1]ST-QA-ZZ5'!$C$5:$M$299,11,0),"Inspection at production line")</f>
        <v>Inspection at production line</v>
      </c>
    </row>
    <row r="2434" spans="1:4" ht="13.8">
      <c r="A2434" s="47" t="s">
        <v>2169</v>
      </c>
      <c r="B2434" s="92" t="s">
        <v>2137</v>
      </c>
      <c r="C2434" s="92" t="s">
        <v>2170</v>
      </c>
      <c r="D2434" s="72" t="str">
        <f>IFERROR(VLOOKUP(A2434,'[1]ST-QA-ZZ5'!$C$5:$M$299,11,0),"Inspection at production line")</f>
        <v>Inspection at production line</v>
      </c>
    </row>
    <row r="2435" spans="1:4" ht="13.8">
      <c r="A2435" s="47" t="s">
        <v>6753</v>
      </c>
      <c r="B2435" s="92" t="s">
        <v>2137</v>
      </c>
      <c r="C2435" s="92" t="s">
        <v>6754</v>
      </c>
      <c r="D2435" s="72" t="str">
        <f>IFERROR(VLOOKUP(A2435,'[1]ST-QA-ZZ5'!$C$5:$M$299,11,0),"Inspection at production line")</f>
        <v>Inspection at production line</v>
      </c>
    </row>
    <row r="2436" spans="1:4" ht="13.8">
      <c r="A2436" s="47" t="s">
        <v>6755</v>
      </c>
      <c r="B2436" s="92" t="s">
        <v>1592</v>
      </c>
      <c r="C2436" s="92" t="s">
        <v>6756</v>
      </c>
      <c r="D2436" s="72" t="str">
        <f>IFERROR(VLOOKUP(A2436,'[1]ST-QA-ZZ5'!$C$5:$M$299,11,0),"Inspection at production line")</f>
        <v>Inspection at production line</v>
      </c>
    </row>
    <row r="2437" spans="1:4" ht="13.8">
      <c r="A2437" s="47" t="s">
        <v>2174</v>
      </c>
      <c r="B2437" s="92" t="s">
        <v>2137</v>
      </c>
      <c r="C2437" s="92" t="s">
        <v>2175</v>
      </c>
      <c r="D2437" s="72" t="str">
        <f>IFERROR(VLOOKUP(A2437,'[1]ST-QA-ZZ5'!$C$5:$M$299,11,0),"Inspection at production line")</f>
        <v>Inspection at production line</v>
      </c>
    </row>
    <row r="2438" spans="1:4" ht="13.8">
      <c r="A2438" s="47" t="s">
        <v>6757</v>
      </c>
      <c r="B2438" s="92" t="s">
        <v>1592</v>
      </c>
      <c r="C2438" s="92" t="s">
        <v>6758</v>
      </c>
      <c r="D2438" s="72" t="str">
        <f>IFERROR(VLOOKUP(A2438,'[1]ST-QA-ZZ5'!$C$5:$M$299,11,0),"Inspection at production line")</f>
        <v>Inspection at production line</v>
      </c>
    </row>
    <row r="2439" spans="1:4" ht="13.8">
      <c r="A2439" s="47" t="s">
        <v>2179</v>
      </c>
      <c r="B2439" s="92" t="s">
        <v>1592</v>
      </c>
      <c r="C2439" s="92" t="s">
        <v>6759</v>
      </c>
      <c r="D2439" s="72" t="str">
        <f>IFERROR(VLOOKUP(A2439,'[1]ST-QA-ZZ5'!$C$5:$M$299,11,0),"Inspection at production line")</f>
        <v>Inspection at production line</v>
      </c>
    </row>
    <row r="2440" spans="1:4" ht="13.8">
      <c r="A2440" s="47" t="s">
        <v>6760</v>
      </c>
      <c r="B2440" s="92" t="s">
        <v>1592</v>
      </c>
      <c r="C2440" s="92" t="s">
        <v>6761</v>
      </c>
      <c r="D2440" s="72" t="str">
        <f>IFERROR(VLOOKUP(A2440,'[1]ST-QA-ZZ5'!$C$5:$M$299,11,0),"Inspection at production line")</f>
        <v>Inspection at production line</v>
      </c>
    </row>
    <row r="2441" spans="1:4" ht="13.8">
      <c r="A2441" s="47" t="s">
        <v>2183</v>
      </c>
      <c r="B2441" s="92" t="s">
        <v>2137</v>
      </c>
      <c r="C2441" s="92" t="s">
        <v>2184</v>
      </c>
      <c r="D2441" s="72" t="str">
        <f>IFERROR(VLOOKUP(A2441,'[1]ST-QA-ZZ5'!$C$5:$M$299,11,0),"Inspection at production line")</f>
        <v>Inspection at production line</v>
      </c>
    </row>
    <row r="2442" spans="1:4" ht="13.8">
      <c r="A2442" s="47" t="s">
        <v>6762</v>
      </c>
      <c r="B2442" s="92" t="s">
        <v>1592</v>
      </c>
      <c r="C2442" s="92" t="s">
        <v>6763</v>
      </c>
      <c r="D2442" s="72" t="str">
        <f>IFERROR(VLOOKUP(A2442,'[1]ST-QA-ZZ5'!$C$5:$M$299,11,0),"Inspection at production line")</f>
        <v>Inspection at production line</v>
      </c>
    </row>
    <row r="2443" spans="1:4" ht="13.8">
      <c r="A2443" s="47" t="s">
        <v>2189</v>
      </c>
      <c r="B2443" s="92" t="s">
        <v>2190</v>
      </c>
      <c r="C2443" s="92" t="s">
        <v>2191</v>
      </c>
      <c r="D2443" s="72" t="str">
        <f>IFERROR(VLOOKUP(A2443,'[1]ST-QA-ZZ5'!$C$5:$M$299,11,0),"Inspection at production line")</f>
        <v>Inspection at production line</v>
      </c>
    </row>
    <row r="2444" spans="1:4" ht="13.8">
      <c r="A2444" s="47" t="s">
        <v>6764</v>
      </c>
      <c r="B2444" s="92" t="s">
        <v>2137</v>
      </c>
      <c r="C2444" s="92" t="s">
        <v>6765</v>
      </c>
      <c r="D2444" s="72" t="str">
        <f>IFERROR(VLOOKUP(A2444,'[1]ST-QA-ZZ5'!$C$5:$M$299,11,0),"Inspection at production line")</f>
        <v>Inspection at production line</v>
      </c>
    </row>
    <row r="2445" spans="1:4" ht="13.8">
      <c r="A2445" s="47" t="s">
        <v>2193</v>
      </c>
      <c r="B2445" s="92" t="s">
        <v>2190</v>
      </c>
      <c r="C2445" s="92" t="s">
        <v>2194</v>
      </c>
      <c r="D2445" s="72" t="str">
        <f>IFERROR(VLOOKUP(A2445,'[1]ST-QA-ZZ5'!$C$5:$M$299,11,0),"Inspection at production line")</f>
        <v>Inspection at production line</v>
      </c>
    </row>
    <row r="2446" spans="1:4" ht="13.8">
      <c r="A2446" s="47" t="s">
        <v>2197</v>
      </c>
      <c r="B2446" s="92" t="s">
        <v>2198</v>
      </c>
      <c r="C2446" s="92" t="s">
        <v>2199</v>
      </c>
      <c r="D2446" s="72" t="str">
        <f>IFERROR(VLOOKUP(A2446,'[1]ST-QA-ZZ5'!$C$5:$M$299,11,0),"Inspection at production line")</f>
        <v>Inspection at production line</v>
      </c>
    </row>
    <row r="2447" spans="1:4" ht="13.8">
      <c r="A2447" s="47" t="s">
        <v>6766</v>
      </c>
      <c r="B2447" s="92" t="s">
        <v>857</v>
      </c>
      <c r="C2447" s="92" t="s">
        <v>6767</v>
      </c>
      <c r="D2447" s="72" t="str">
        <f>IFERROR(VLOOKUP(A2447,'[1]ST-QA-ZZ5'!$C$5:$M$299,11,0),"Inspection at production line")</f>
        <v>Inspection at production line</v>
      </c>
    </row>
    <row r="2448" spans="1:4" ht="13.8">
      <c r="A2448" s="47" t="s">
        <v>6768</v>
      </c>
      <c r="B2448" s="92" t="s">
        <v>2198</v>
      </c>
      <c r="C2448" s="92" t="s">
        <v>2199</v>
      </c>
      <c r="D2448" s="72" t="str">
        <f>IFERROR(VLOOKUP(A2448,'[1]ST-QA-ZZ5'!$C$5:$M$299,11,0),"Inspection at production line")</f>
        <v>Inspection at production line</v>
      </c>
    </row>
    <row r="2449" spans="1:4" ht="13.8">
      <c r="A2449" s="47" t="s">
        <v>6769</v>
      </c>
      <c r="B2449" s="92" t="s">
        <v>2198</v>
      </c>
      <c r="C2449" s="92" t="s">
        <v>2208</v>
      </c>
      <c r="D2449" s="72" t="str">
        <f>IFERROR(VLOOKUP(A2449,'[1]ST-QA-ZZ5'!$C$5:$M$299,11,0),"Inspection at production line")</f>
        <v>Inspection at production line</v>
      </c>
    </row>
    <row r="2450" spans="1:4" ht="13.8">
      <c r="A2450" s="47" t="s">
        <v>2202</v>
      </c>
      <c r="B2450" s="92" t="s">
        <v>2190</v>
      </c>
      <c r="C2450" s="92" t="s">
        <v>2203</v>
      </c>
      <c r="D2450" s="72" t="str">
        <f>IFERROR(VLOOKUP(A2450,'[1]ST-QA-ZZ5'!$C$5:$M$299,11,0),"Inspection at production line")</f>
        <v>Inspection at production line</v>
      </c>
    </row>
    <row r="2451" spans="1:4" ht="13.8">
      <c r="A2451" s="47" t="s">
        <v>6770</v>
      </c>
      <c r="B2451" s="92" t="s">
        <v>2137</v>
      </c>
      <c r="C2451" s="92" t="s">
        <v>6771</v>
      </c>
      <c r="D2451" s="72" t="str">
        <f>IFERROR(VLOOKUP(A2451,'[1]ST-QA-ZZ5'!$C$5:$M$299,11,0),"Inspection at production line")</f>
        <v>Inspection at production line</v>
      </c>
    </row>
    <row r="2452" spans="1:4" ht="13.8">
      <c r="A2452" s="47" t="s">
        <v>2207</v>
      </c>
      <c r="B2452" s="92" t="s">
        <v>2198</v>
      </c>
      <c r="C2452" s="92" t="s">
        <v>2208</v>
      </c>
      <c r="D2452" s="72" t="str">
        <f>IFERROR(VLOOKUP(A2452,'[1]ST-QA-ZZ5'!$C$5:$M$299,11,0),"Inspection at production line")</f>
        <v>Inspection at production line</v>
      </c>
    </row>
    <row r="2453" spans="1:4" ht="13.8">
      <c r="A2453" s="47" t="s">
        <v>6772</v>
      </c>
      <c r="B2453" s="92" t="s">
        <v>857</v>
      </c>
      <c r="C2453" s="92" t="s">
        <v>6773</v>
      </c>
      <c r="D2453" s="72" t="str">
        <f>IFERROR(VLOOKUP(A2453,'[1]ST-QA-ZZ5'!$C$5:$M$299,11,0),"Inspection at production line")</f>
        <v>Inspection at production line</v>
      </c>
    </row>
    <row r="2454" spans="1:4" ht="13.8">
      <c r="A2454" s="47" t="s">
        <v>6774</v>
      </c>
      <c r="B2454" s="92" t="s">
        <v>6773</v>
      </c>
      <c r="C2454" s="92" t="s">
        <v>6773</v>
      </c>
      <c r="D2454" s="72" t="str">
        <f>IFERROR(VLOOKUP(A2454,'[1]ST-QA-ZZ5'!$C$5:$M$299,11,0),"Inspection at production line")</f>
        <v>Inspection at production line</v>
      </c>
    </row>
    <row r="2455" spans="1:4" ht="13.8">
      <c r="A2455" s="47" t="s">
        <v>6775</v>
      </c>
      <c r="B2455" s="92" t="s">
        <v>2137</v>
      </c>
      <c r="C2455" s="92" t="s">
        <v>6776</v>
      </c>
      <c r="D2455" s="72" t="str">
        <f>IFERROR(VLOOKUP(A2455,'[1]ST-QA-ZZ5'!$C$5:$M$299,11,0),"Inspection at production line")</f>
        <v>Inspection at production line</v>
      </c>
    </row>
    <row r="2456" spans="1:4" ht="13.8">
      <c r="A2456" s="47" t="s">
        <v>6777</v>
      </c>
      <c r="B2456" s="92" t="s">
        <v>2190</v>
      </c>
      <c r="C2456" s="92" t="s">
        <v>6778</v>
      </c>
      <c r="D2456" s="72" t="str">
        <f>IFERROR(VLOOKUP(A2456,'[1]ST-QA-ZZ5'!$C$5:$M$299,11,0),"Inspection at production line")</f>
        <v>Inspection at production line</v>
      </c>
    </row>
    <row r="2457" spans="1:4" ht="13.8">
      <c r="A2457" s="47" t="s">
        <v>6779</v>
      </c>
      <c r="B2457" s="92" t="s">
        <v>2137</v>
      </c>
      <c r="C2457" s="92" t="s">
        <v>6780</v>
      </c>
      <c r="D2457" s="72" t="str">
        <f>IFERROR(VLOOKUP(A2457,'[1]ST-QA-ZZ5'!$C$5:$M$299,11,0),"Inspection at production line")</f>
        <v>Inspection at production line</v>
      </c>
    </row>
    <row r="2458" spans="1:4" ht="13.8">
      <c r="A2458" s="47" t="s">
        <v>6781</v>
      </c>
      <c r="B2458" s="92" t="s">
        <v>2190</v>
      </c>
      <c r="C2458" s="92" t="s">
        <v>6782</v>
      </c>
      <c r="D2458" s="72" t="str">
        <f>IFERROR(VLOOKUP(A2458,'[1]ST-QA-ZZ5'!$C$5:$M$299,11,0),"Inspection at production line")</f>
        <v>Inspection at production line</v>
      </c>
    </row>
    <row r="2459" spans="1:4" ht="13.8">
      <c r="A2459" s="47" t="s">
        <v>6783</v>
      </c>
      <c r="B2459" s="92" t="s">
        <v>2137</v>
      </c>
      <c r="C2459" s="92" t="s">
        <v>6784</v>
      </c>
      <c r="D2459" s="72" t="str">
        <f>IFERROR(VLOOKUP(A2459,'[1]ST-QA-ZZ5'!$C$5:$M$299,11,0),"Inspection at production line")</f>
        <v>Inspection at production line</v>
      </c>
    </row>
    <row r="2460" spans="1:4" ht="13.8">
      <c r="A2460" s="47" t="s">
        <v>6785</v>
      </c>
      <c r="B2460" s="92" t="s">
        <v>2190</v>
      </c>
      <c r="C2460" s="92" t="s">
        <v>6786</v>
      </c>
      <c r="D2460" s="72" t="str">
        <f>IFERROR(VLOOKUP(A2460,'[1]ST-QA-ZZ5'!$C$5:$M$299,11,0),"Inspection at production line")</f>
        <v>Inspection at production line</v>
      </c>
    </row>
    <row r="2461" spans="1:4" ht="13.8">
      <c r="A2461" s="47" t="s">
        <v>6787</v>
      </c>
      <c r="B2461" s="92" t="s">
        <v>2190</v>
      </c>
      <c r="C2461" s="92" t="s">
        <v>6788</v>
      </c>
      <c r="D2461" s="72" t="str">
        <f>IFERROR(VLOOKUP(A2461,'[1]ST-QA-ZZ5'!$C$5:$M$299,11,0),"Inspection at production line")</f>
        <v>Inspection at production line</v>
      </c>
    </row>
    <row r="2462" spans="1:4" ht="13.8">
      <c r="A2462" s="47" t="s">
        <v>6789</v>
      </c>
      <c r="B2462" s="92" t="s">
        <v>75</v>
      </c>
      <c r="C2462" s="92" t="s">
        <v>6790</v>
      </c>
      <c r="D2462" s="72" t="str">
        <f>IFERROR(VLOOKUP(A2462,'[1]ST-QA-ZZ5'!$C$5:$M$299,11,0),"Inspection at production line")</f>
        <v>Inspection at production line</v>
      </c>
    </row>
    <row r="2463" spans="1:4" ht="13.8">
      <c r="A2463" s="47" t="s">
        <v>6791</v>
      </c>
      <c r="B2463" s="92" t="s">
        <v>75</v>
      </c>
      <c r="C2463" s="92" t="s">
        <v>6792</v>
      </c>
      <c r="D2463" s="72" t="str">
        <f>IFERROR(VLOOKUP(A2463,'[1]ST-QA-ZZ5'!$C$5:$M$299,11,0),"Inspection at production line")</f>
        <v>Inspection at production line</v>
      </c>
    </row>
    <row r="2464" spans="1:4" ht="13.8">
      <c r="A2464" s="47" t="s">
        <v>2212</v>
      </c>
      <c r="B2464" s="92" t="s">
        <v>75</v>
      </c>
      <c r="C2464" s="92" t="s">
        <v>2213</v>
      </c>
      <c r="D2464" s="72" t="str">
        <f>IFERROR(VLOOKUP(A2464,'[1]ST-QA-ZZ5'!$C$5:$M$299,11,0),"Inspection at production line")</f>
        <v>Inspection at production line</v>
      </c>
    </row>
    <row r="2465" spans="1:4" ht="13.8">
      <c r="A2465" s="47" t="s">
        <v>2217</v>
      </c>
      <c r="B2465" s="92" t="s">
        <v>75</v>
      </c>
      <c r="C2465" s="92" t="s">
        <v>2218</v>
      </c>
      <c r="D2465" s="72" t="str">
        <f>IFERROR(VLOOKUP(A2465,'[1]ST-QA-ZZ5'!$C$5:$M$299,11,0),"Inspection at production line")</f>
        <v>Inspection at production line</v>
      </c>
    </row>
    <row r="2466" spans="1:4" ht="13.8">
      <c r="A2466" s="47" t="s">
        <v>6793</v>
      </c>
      <c r="B2466" s="92" t="s">
        <v>75</v>
      </c>
      <c r="C2466" s="92" t="s">
        <v>2226</v>
      </c>
      <c r="D2466" s="72" t="str">
        <f>IFERROR(VLOOKUP(A2466,'[1]ST-QA-ZZ5'!$C$5:$M$299,11,0),"Inspection at production line")</f>
        <v>Inspection at production line</v>
      </c>
    </row>
    <row r="2467" spans="1:4" ht="13.8">
      <c r="A2467" s="47" t="s">
        <v>2220</v>
      </c>
      <c r="B2467" s="92" t="s">
        <v>75</v>
      </c>
      <c r="C2467" s="92" t="s">
        <v>2221</v>
      </c>
      <c r="D2467" s="72" t="str">
        <f>IFERROR(VLOOKUP(A2467,'[1]ST-QA-ZZ5'!$C$5:$M$299,11,0),"Inspection at production line")</f>
        <v>Inspection at production line</v>
      </c>
    </row>
    <row r="2468" spans="1:4" ht="13.8">
      <c r="A2468" s="47" t="s">
        <v>6794</v>
      </c>
      <c r="B2468" s="92" t="s">
        <v>1592</v>
      </c>
      <c r="C2468" s="92" t="s">
        <v>6795</v>
      </c>
      <c r="D2468" s="72" t="str">
        <f>IFERROR(VLOOKUP(A2468,'[1]ST-QA-ZZ5'!$C$5:$M$299,11,0),"Inspection at production line")</f>
        <v>Inspection at production line</v>
      </c>
    </row>
    <row r="2469" spans="1:4" ht="13.8">
      <c r="A2469" s="47" t="s">
        <v>6796</v>
      </c>
      <c r="B2469" s="92" t="s">
        <v>2069</v>
      </c>
      <c r="C2469" s="92" t="s">
        <v>6797</v>
      </c>
      <c r="D2469" s="72" t="str">
        <f>IFERROR(VLOOKUP(A2469,'[1]ST-QA-ZZ5'!$C$5:$M$299,11,0),"Inspection at production line")</f>
        <v>Inspection at production line</v>
      </c>
    </row>
    <row r="2470" spans="1:4" ht="13.8">
      <c r="A2470" s="47" t="s">
        <v>2225</v>
      </c>
      <c r="B2470" s="92" t="s">
        <v>75</v>
      </c>
      <c r="C2470" s="92" t="s">
        <v>2226</v>
      </c>
      <c r="D2470" s="72" t="str">
        <f>IFERROR(VLOOKUP(A2470,'[1]ST-QA-ZZ5'!$C$5:$M$299,11,0),"Inspection at production line")</f>
        <v>Inspection at production line</v>
      </c>
    </row>
    <row r="2471" spans="1:4" ht="13.8">
      <c r="A2471" s="47" t="s">
        <v>6798</v>
      </c>
      <c r="B2471" s="92" t="s">
        <v>1554</v>
      </c>
      <c r="C2471" s="92" t="s">
        <v>6799</v>
      </c>
      <c r="D2471" s="72" t="str">
        <f>IFERROR(VLOOKUP(A2471,'[1]ST-QA-ZZ5'!$C$5:$M$299,11,0),"Inspection at production line")</f>
        <v>Inspection at production line</v>
      </c>
    </row>
    <row r="2472" spans="1:4" ht="13.8">
      <c r="A2472" s="47" t="s">
        <v>6800</v>
      </c>
      <c r="B2472" s="92" t="s">
        <v>4772</v>
      </c>
      <c r="C2472" s="92" t="s">
        <v>6801</v>
      </c>
      <c r="D2472" s="72" t="str">
        <f>IFERROR(VLOOKUP(A2472,'[1]ST-QA-ZZ5'!$C$5:$M$299,11,0),"Inspection at production line")</f>
        <v>Inspection at production line</v>
      </c>
    </row>
    <row r="2473" spans="1:4" ht="13.8">
      <c r="A2473" s="47" t="s">
        <v>2230</v>
      </c>
      <c r="B2473" s="92" t="s">
        <v>75</v>
      </c>
      <c r="C2473" s="92" t="s">
        <v>2231</v>
      </c>
      <c r="D2473" s="72" t="str">
        <f>IFERROR(VLOOKUP(A2473,'[1]ST-QA-ZZ5'!$C$5:$M$299,11,0),"Inspection at production line")</f>
        <v>Inspection at production line</v>
      </c>
    </row>
    <row r="2474" spans="1:4" ht="13.8">
      <c r="A2474" s="47" t="s">
        <v>6802</v>
      </c>
      <c r="B2474" s="92" t="s">
        <v>75</v>
      </c>
      <c r="C2474" s="92" t="s">
        <v>6803</v>
      </c>
      <c r="D2474" s="72" t="str">
        <f>IFERROR(VLOOKUP(A2474,'[1]ST-QA-ZZ5'!$C$5:$M$299,11,0),"Inspection at production line")</f>
        <v>Inspection at production line</v>
      </c>
    </row>
    <row r="2475" spans="1:4" ht="13.8">
      <c r="A2475" s="47" t="s">
        <v>2234</v>
      </c>
      <c r="B2475" s="92" t="s">
        <v>75</v>
      </c>
      <c r="C2475" s="92" t="s">
        <v>2235</v>
      </c>
      <c r="D2475" s="72" t="str">
        <f>IFERROR(VLOOKUP(A2475,'[1]ST-QA-ZZ5'!$C$5:$M$299,11,0),"Inspection at production line")</f>
        <v>Inspection at production line</v>
      </c>
    </row>
    <row r="2476" spans="1:4" ht="13.8">
      <c r="A2476" s="47" t="s">
        <v>6804</v>
      </c>
      <c r="B2476" s="92" t="s">
        <v>75</v>
      </c>
      <c r="C2476" s="92" t="s">
        <v>6805</v>
      </c>
      <c r="D2476" s="72" t="str">
        <f>IFERROR(VLOOKUP(A2476,'[1]ST-QA-ZZ5'!$C$5:$M$299,11,0),"Inspection at production line")</f>
        <v>Inspection at production line</v>
      </c>
    </row>
    <row r="2477" spans="1:4" ht="13.8">
      <c r="A2477" s="47" t="s">
        <v>2238</v>
      </c>
      <c r="B2477" s="92" t="s">
        <v>75</v>
      </c>
      <c r="C2477" s="92" t="s">
        <v>2239</v>
      </c>
      <c r="D2477" s="72" t="str">
        <f>IFERROR(VLOOKUP(A2477,'[1]ST-QA-ZZ5'!$C$5:$M$299,11,0),"Inspection at production line")</f>
        <v>Inspection at production line</v>
      </c>
    </row>
    <row r="2478" spans="1:4" ht="13.8">
      <c r="A2478" s="47" t="s">
        <v>2242</v>
      </c>
      <c r="B2478" s="92" t="s">
        <v>75</v>
      </c>
      <c r="C2478" s="92" t="s">
        <v>2243</v>
      </c>
      <c r="D2478" s="72" t="str">
        <f>IFERROR(VLOOKUP(A2478,'[1]ST-QA-ZZ5'!$C$5:$M$299,11,0),"Inspection at production line")</f>
        <v>Inspection at production line</v>
      </c>
    </row>
    <row r="2479" spans="1:4" ht="13.8">
      <c r="A2479" s="47" t="s">
        <v>2247</v>
      </c>
      <c r="B2479" s="92" t="s">
        <v>1543</v>
      </c>
      <c r="C2479" s="92" t="s">
        <v>2248</v>
      </c>
      <c r="D2479" s="72" t="str">
        <f>IFERROR(VLOOKUP(A2479,'[1]ST-QA-ZZ5'!$C$5:$M$299,11,0),"Inspection at production line")</f>
        <v>Inspection at production line</v>
      </c>
    </row>
    <row r="2480" spans="1:4" ht="13.8">
      <c r="A2480" s="47" t="s">
        <v>6806</v>
      </c>
      <c r="B2480" s="92" t="s">
        <v>75</v>
      </c>
      <c r="C2480" s="92" t="s">
        <v>6807</v>
      </c>
      <c r="D2480" s="72" t="str">
        <f>IFERROR(VLOOKUP(A2480,'[1]ST-QA-ZZ5'!$C$5:$M$299,11,0),"Inspection at production line")</f>
        <v>Inspection at production line</v>
      </c>
    </row>
    <row r="2481" spans="1:4" ht="13.8">
      <c r="A2481" s="47" t="s">
        <v>6808</v>
      </c>
      <c r="B2481" s="92" t="s">
        <v>75</v>
      </c>
      <c r="C2481" s="92" t="s">
        <v>6809</v>
      </c>
      <c r="D2481" s="72" t="str">
        <f>IFERROR(VLOOKUP(A2481,'[1]ST-QA-ZZ5'!$C$5:$M$299,11,0),"Inspection at production line")</f>
        <v>Inspection at production line</v>
      </c>
    </row>
    <row r="2482" spans="1:4" ht="13.8">
      <c r="A2482" s="47" t="s">
        <v>2251</v>
      </c>
      <c r="B2482" s="92" t="s">
        <v>1554</v>
      </c>
      <c r="C2482" s="92" t="s">
        <v>2252</v>
      </c>
      <c r="D2482" s="72" t="str">
        <f>IFERROR(VLOOKUP(A2482,'[1]ST-QA-ZZ5'!$C$5:$M$299,11,0),"Inspection at production line")</f>
        <v>Inspection at production line</v>
      </c>
    </row>
    <row r="2483" spans="1:4" ht="13.8">
      <c r="A2483" s="47" t="s">
        <v>6810</v>
      </c>
      <c r="B2483" s="92" t="s">
        <v>1554</v>
      </c>
      <c r="C2483" s="92" t="s">
        <v>6811</v>
      </c>
      <c r="D2483" s="72" t="str">
        <f>IFERROR(VLOOKUP(A2483,'[1]ST-QA-ZZ5'!$C$5:$M$299,11,0),"Inspection at production line")</f>
        <v>Inspection at production line</v>
      </c>
    </row>
    <row r="2484" spans="1:4" ht="13.8">
      <c r="A2484" s="47" t="s">
        <v>6812</v>
      </c>
      <c r="B2484" s="92" t="s">
        <v>75</v>
      </c>
      <c r="C2484" s="92" t="s">
        <v>6813</v>
      </c>
      <c r="D2484" s="72" t="str">
        <f>IFERROR(VLOOKUP(A2484,'[1]ST-QA-ZZ5'!$C$5:$M$299,11,0),"Inspection at production line")</f>
        <v>Inspection at production line</v>
      </c>
    </row>
    <row r="2485" spans="1:4" ht="13.8">
      <c r="A2485" s="47" t="s">
        <v>6814</v>
      </c>
      <c r="B2485" s="92" t="s">
        <v>75</v>
      </c>
      <c r="C2485" s="92" t="s">
        <v>6815</v>
      </c>
      <c r="D2485" s="72" t="str">
        <f>IFERROR(VLOOKUP(A2485,'[1]ST-QA-ZZ5'!$C$5:$M$299,11,0),"Inspection at production line")</f>
        <v>Inspection at production line</v>
      </c>
    </row>
    <row r="2486" spans="1:4" ht="13.8">
      <c r="A2486" s="47" t="s">
        <v>6816</v>
      </c>
      <c r="B2486" s="92" t="s">
        <v>2190</v>
      </c>
      <c r="C2486" s="92" t="s">
        <v>6817</v>
      </c>
      <c r="D2486" s="72" t="str">
        <f>IFERROR(VLOOKUP(A2486,'[1]ST-QA-ZZ5'!$C$5:$M$299,11,0),"Inspection at production line")</f>
        <v>Inspection at production line</v>
      </c>
    </row>
    <row r="2487" spans="1:4" ht="13.8">
      <c r="A2487" s="47" t="s">
        <v>6818</v>
      </c>
      <c r="B2487" s="92" t="s">
        <v>2137</v>
      </c>
      <c r="C2487" s="92" t="s">
        <v>6819</v>
      </c>
      <c r="D2487" s="72" t="str">
        <f>IFERROR(VLOOKUP(A2487,'[1]ST-QA-ZZ5'!$C$5:$M$299,11,0),"Inspection at production line")</f>
        <v>Inspection at production line</v>
      </c>
    </row>
    <row r="2488" spans="1:4" ht="13.8">
      <c r="A2488" s="47" t="s">
        <v>2255</v>
      </c>
      <c r="B2488" s="92" t="s">
        <v>1193</v>
      </c>
      <c r="C2488" s="92" t="s">
        <v>2256</v>
      </c>
      <c r="D2488" s="72" t="str">
        <f>IFERROR(VLOOKUP(A2488,'[1]ST-QA-ZZ5'!$C$5:$M$299,11,0),"Inspection at production line")</f>
        <v>Inspection at production line</v>
      </c>
    </row>
    <row r="2489" spans="1:4" ht="13.8">
      <c r="A2489" s="47" t="s">
        <v>6820</v>
      </c>
      <c r="B2489" s="92" t="s">
        <v>835</v>
      </c>
      <c r="C2489" s="92" t="s">
        <v>6821</v>
      </c>
      <c r="D2489" s="72" t="str">
        <f>IFERROR(VLOOKUP(A2489,'[1]ST-QA-ZZ5'!$C$5:$M$299,11,0),"Inspection at production line")</f>
        <v>Inspection at production line</v>
      </c>
    </row>
    <row r="2490" spans="1:4" ht="13.8">
      <c r="A2490" s="47" t="s">
        <v>2259</v>
      </c>
      <c r="B2490" s="92" t="s">
        <v>2260</v>
      </c>
      <c r="C2490" s="92" t="s">
        <v>6822</v>
      </c>
      <c r="D2490" s="72" t="str">
        <f>IFERROR(VLOOKUP(A2490,'[1]ST-QA-ZZ5'!$C$5:$M$299,11,0),"Inspection at production line")</f>
        <v>Inspection at production line</v>
      </c>
    </row>
    <row r="2491" spans="1:4" ht="13.8">
      <c r="A2491" s="47" t="s">
        <v>6823</v>
      </c>
      <c r="B2491" s="92" t="s">
        <v>1219</v>
      </c>
      <c r="C2491" s="92" t="s">
        <v>6824</v>
      </c>
      <c r="D2491" s="72" t="str">
        <f>IFERROR(VLOOKUP(A2491,'[1]ST-QA-ZZ5'!$C$5:$M$299,11,0),"Inspection at production line")</f>
        <v>Inspection at production line</v>
      </c>
    </row>
    <row r="2492" spans="1:4" ht="13.8">
      <c r="A2492" s="47" t="s">
        <v>2265</v>
      </c>
      <c r="B2492" s="92" t="s">
        <v>1219</v>
      </c>
      <c r="C2492" s="92" t="s">
        <v>2266</v>
      </c>
      <c r="D2492" s="72" t="str">
        <f>IFERROR(VLOOKUP(A2492,'[1]ST-QA-ZZ5'!$C$5:$M$299,11,0),"Inspection at production line")</f>
        <v>Inspection at production line</v>
      </c>
    </row>
    <row r="2493" spans="1:4" ht="13.8">
      <c r="A2493" s="47" t="s">
        <v>2269</v>
      </c>
      <c r="B2493" s="92" t="s">
        <v>1219</v>
      </c>
      <c r="C2493" s="92" t="s">
        <v>2270</v>
      </c>
      <c r="D2493" s="72" t="str">
        <f>IFERROR(VLOOKUP(A2493,'[1]ST-QA-ZZ5'!$C$5:$M$299,11,0),"Inspection at production line")</f>
        <v>Inspection at production line</v>
      </c>
    </row>
    <row r="2494" spans="1:4" ht="13.8">
      <c r="A2494" s="47" t="s">
        <v>6825</v>
      </c>
      <c r="B2494" s="92" t="s">
        <v>1219</v>
      </c>
      <c r="C2494" s="92" t="s">
        <v>6826</v>
      </c>
      <c r="D2494" s="72" t="str">
        <f>IFERROR(VLOOKUP(A2494,'[1]ST-QA-ZZ5'!$C$5:$M$299,11,0),"Inspection at production line")</f>
        <v>Inspection at production line</v>
      </c>
    </row>
    <row r="2495" spans="1:4" ht="13.8">
      <c r="A2495" s="47" t="s">
        <v>6827</v>
      </c>
      <c r="B2495" s="92" t="s">
        <v>1219</v>
      </c>
      <c r="C2495" s="92" t="s">
        <v>6828</v>
      </c>
      <c r="D2495" s="72" t="str">
        <f>IFERROR(VLOOKUP(A2495,'[1]ST-QA-ZZ5'!$C$5:$M$299,11,0),"Inspection at production line")</f>
        <v>Inspection at production line</v>
      </c>
    </row>
    <row r="2496" spans="1:4" ht="13.8">
      <c r="A2496" s="47" t="s">
        <v>6829</v>
      </c>
      <c r="B2496" s="92" t="s">
        <v>1946</v>
      </c>
      <c r="C2496" s="92" t="s">
        <v>6830</v>
      </c>
      <c r="D2496" s="72" t="str">
        <f>IFERROR(VLOOKUP(A2496,'[1]ST-QA-ZZ5'!$C$5:$M$299,11,0),"Inspection at production line")</f>
        <v>Inspection at production line</v>
      </c>
    </row>
    <row r="2497" spans="1:4" ht="13.8">
      <c r="A2497" s="47" t="s">
        <v>6831</v>
      </c>
      <c r="B2497" s="92" t="s">
        <v>6832</v>
      </c>
      <c r="C2497" s="92" t="s">
        <v>6833</v>
      </c>
      <c r="D2497" s="72" t="str">
        <f>IFERROR(VLOOKUP(A2497,'[1]ST-QA-ZZ5'!$C$5:$M$299,11,0),"Inspection at production line")</f>
        <v>Inspection at production line</v>
      </c>
    </row>
    <row r="2498" spans="1:4" ht="13.8">
      <c r="A2498" s="47" t="s">
        <v>6834</v>
      </c>
      <c r="B2498" s="92" t="s">
        <v>4014</v>
      </c>
      <c r="C2498" s="92" t="s">
        <v>6830</v>
      </c>
      <c r="D2498" s="72" t="str">
        <f>IFERROR(VLOOKUP(A2498,'[1]ST-QA-ZZ5'!$C$5:$M$299,11,0),"Inspection at production line")</f>
        <v>Inspection at production line</v>
      </c>
    </row>
    <row r="2499" spans="1:4" ht="13.8">
      <c r="A2499" s="47" t="s">
        <v>6835</v>
      </c>
      <c r="B2499" s="92" t="s">
        <v>6836</v>
      </c>
      <c r="C2499" s="92" t="s">
        <v>6837</v>
      </c>
      <c r="D2499" s="72" t="str">
        <f>IFERROR(VLOOKUP(A2499,'[1]ST-QA-ZZ5'!$C$5:$M$299,11,0),"Inspection at production line")</f>
        <v>Inspection at production line</v>
      </c>
    </row>
    <row r="2500" spans="1:4" ht="13.8">
      <c r="A2500" s="47" t="s">
        <v>6838</v>
      </c>
      <c r="B2500" s="92" t="s">
        <v>1057</v>
      </c>
      <c r="C2500" s="92" t="s">
        <v>6839</v>
      </c>
      <c r="D2500" s="72" t="str">
        <f>IFERROR(VLOOKUP(A2500,'[1]ST-QA-ZZ5'!$C$5:$M$299,11,0),"Inspection at production line")</f>
        <v>Inspection at production line</v>
      </c>
    </row>
    <row r="2501" spans="1:4" ht="13.8">
      <c r="A2501" s="47" t="s">
        <v>6840</v>
      </c>
      <c r="B2501" s="92" t="s">
        <v>6841</v>
      </c>
      <c r="C2501" s="92" t="s">
        <v>6841</v>
      </c>
      <c r="D2501" s="72" t="str">
        <f>IFERROR(VLOOKUP(A2501,'[1]ST-QA-ZZ5'!$C$5:$M$299,11,0),"Inspection at production line")</f>
        <v>Inspection at production line</v>
      </c>
    </row>
    <row r="2502" spans="1:4" ht="13.8">
      <c r="A2502" s="47" t="s">
        <v>6842</v>
      </c>
      <c r="B2502" s="92" t="s">
        <v>6843</v>
      </c>
      <c r="C2502" s="92" t="s">
        <v>6843</v>
      </c>
      <c r="D2502" s="72" t="str">
        <f>IFERROR(VLOOKUP(A2502,'[1]ST-QA-ZZ5'!$C$5:$M$299,11,0),"Inspection at production line")</f>
        <v>Inspection at production line</v>
      </c>
    </row>
    <row r="2503" spans="1:4" ht="13.8">
      <c r="A2503" s="47" t="s">
        <v>6844</v>
      </c>
      <c r="B2503" s="92" t="s">
        <v>2079</v>
      </c>
      <c r="C2503" s="92" t="s">
        <v>6845</v>
      </c>
      <c r="D2503" s="72" t="str">
        <f>IFERROR(VLOOKUP(A2503,'[1]ST-QA-ZZ5'!$C$5:$M$299,11,0),"Inspection at production line")</f>
        <v>Inspection at production line</v>
      </c>
    </row>
    <row r="2504" spans="1:4" ht="13.8">
      <c r="A2504" s="47" t="s">
        <v>6846</v>
      </c>
      <c r="B2504" s="92" t="s">
        <v>2079</v>
      </c>
      <c r="C2504" s="92" t="s">
        <v>6847</v>
      </c>
      <c r="D2504" s="72" t="str">
        <f>IFERROR(VLOOKUP(A2504,'[1]ST-QA-ZZ5'!$C$5:$M$299,11,0),"Inspection at production line")</f>
        <v>Inspection at production line</v>
      </c>
    </row>
    <row r="2505" spans="1:4" ht="13.8">
      <c r="A2505" s="47" t="s">
        <v>2273</v>
      </c>
      <c r="B2505" s="92" t="s">
        <v>2205</v>
      </c>
      <c r="C2505" s="92" t="s">
        <v>2274</v>
      </c>
      <c r="D2505" s="72" t="str">
        <f>IFERROR(VLOOKUP(A2505,'[1]ST-QA-ZZ5'!$C$5:$M$299,11,0),"Inspection at production line")</f>
        <v>Inspection at production line</v>
      </c>
    </row>
    <row r="2506" spans="1:4" ht="13.8">
      <c r="A2506" s="47" t="s">
        <v>2277</v>
      </c>
      <c r="B2506" s="92" t="s">
        <v>90</v>
      </c>
      <c r="C2506" s="92" t="s">
        <v>6848</v>
      </c>
      <c r="D2506" s="72" t="str">
        <f>IFERROR(VLOOKUP(A2506,'[1]ST-QA-ZZ5'!$C$5:$M$299,11,0),"Inspection at production line")</f>
        <v>Inspection at production line</v>
      </c>
    </row>
    <row r="2507" spans="1:4" ht="13.8">
      <c r="A2507" s="47" t="s">
        <v>2282</v>
      </c>
      <c r="B2507" s="92" t="s">
        <v>1257</v>
      </c>
      <c r="C2507" s="92" t="s">
        <v>2283</v>
      </c>
      <c r="D2507" s="72" t="str">
        <f>IFERROR(VLOOKUP(A2507,'[1]ST-QA-ZZ5'!$C$5:$M$299,11,0),"Inspection at production line")</f>
        <v>Inspection at production line</v>
      </c>
    </row>
    <row r="2508" spans="1:4" ht="13.8">
      <c r="A2508" s="47" t="s">
        <v>2287</v>
      </c>
      <c r="B2508" s="92" t="s">
        <v>2288</v>
      </c>
      <c r="C2508" s="92" t="s">
        <v>2289</v>
      </c>
      <c r="D2508" s="72" t="str">
        <f>IFERROR(VLOOKUP(A2508,'[1]ST-QA-ZZ5'!$C$5:$M$299,11,0),"Inspection at production line")</f>
        <v>Inspection at production line</v>
      </c>
    </row>
    <row r="2509" spans="1:4" ht="13.8">
      <c r="A2509" s="47" t="s">
        <v>2293</v>
      </c>
      <c r="B2509" s="92" t="s">
        <v>2294</v>
      </c>
      <c r="C2509" s="92" t="s">
        <v>2295</v>
      </c>
      <c r="D2509" s="72" t="str">
        <f>IFERROR(VLOOKUP(A2509,'[1]ST-QA-ZZ5'!$C$5:$M$299,11,0),"Inspection at production line")</f>
        <v>Inspection at production line</v>
      </c>
    </row>
    <row r="2510" spans="1:4" ht="13.8">
      <c r="A2510" s="47" t="s">
        <v>6849</v>
      </c>
      <c r="B2510" s="92" t="s">
        <v>68</v>
      </c>
      <c r="C2510" s="92" t="s">
        <v>6850</v>
      </c>
      <c r="D2510" s="72" t="str">
        <f>IFERROR(VLOOKUP(A2510,'[1]ST-QA-ZZ5'!$C$5:$M$299,11,0),"Inspection at production line")</f>
        <v>Inspection at production line</v>
      </c>
    </row>
    <row r="2511" spans="1:4" ht="13.8">
      <c r="A2511" s="47" t="s">
        <v>4067</v>
      </c>
      <c r="B2511" s="92" t="s">
        <v>805</v>
      </c>
      <c r="C2511" s="92" t="s">
        <v>4068</v>
      </c>
      <c r="D2511" s="72" t="str">
        <f>IFERROR(VLOOKUP(A2511,'[1]ST-QA-ZZ5'!$C$5:$M$299,11,0),"Inspection at production line")</f>
        <v>Inspection at production line</v>
      </c>
    </row>
    <row r="2512" spans="1:4" ht="13.8">
      <c r="A2512" s="47" t="s">
        <v>4072</v>
      </c>
      <c r="B2512" s="92" t="s">
        <v>905</v>
      </c>
      <c r="C2512" s="92" t="s">
        <v>4073</v>
      </c>
      <c r="D2512" s="72" t="str">
        <f>IFERROR(VLOOKUP(A2512,'[1]ST-QA-ZZ5'!$C$5:$M$299,11,0),"Inspection at production line")</f>
        <v>Inspection at production line</v>
      </c>
    </row>
    <row r="2513" spans="1:4" ht="13.8">
      <c r="A2513" s="47" t="s">
        <v>4077</v>
      </c>
      <c r="B2513" s="92" t="s">
        <v>4078</v>
      </c>
      <c r="C2513" s="92" t="s">
        <v>4079</v>
      </c>
      <c r="D2513" s="72" t="str">
        <f>IFERROR(VLOOKUP(A2513,'[1]ST-QA-ZZ5'!$C$5:$M$299,11,0),"Inspection at production line")</f>
        <v>Inspection at production line</v>
      </c>
    </row>
    <row r="2514" spans="1:4" ht="13.8">
      <c r="A2514" s="47" t="s">
        <v>4083</v>
      </c>
      <c r="B2514" s="92" t="s">
        <v>4078</v>
      </c>
      <c r="C2514" s="92" t="s">
        <v>4084</v>
      </c>
      <c r="D2514" s="72" t="str">
        <f>IFERROR(VLOOKUP(A2514,'[1]ST-QA-ZZ5'!$C$5:$M$299,11,0),"Inspection at production line")</f>
        <v>Inspection at production line</v>
      </c>
    </row>
    <row r="2515" spans="1:4" ht="13.8">
      <c r="A2515" s="47" t="s">
        <v>4087</v>
      </c>
      <c r="B2515" s="92" t="s">
        <v>68</v>
      </c>
      <c r="C2515" s="92" t="s">
        <v>4088</v>
      </c>
      <c r="D2515" s="72" t="str">
        <f>IFERROR(VLOOKUP(A2515,'[1]ST-QA-ZZ5'!$C$5:$M$299,11,0),"Inspection at production line")</f>
        <v>Inspection at production line</v>
      </c>
    </row>
    <row r="2516" spans="1:4" ht="13.8">
      <c r="A2516" s="47" t="s">
        <v>4092</v>
      </c>
      <c r="B2516" s="92" t="s">
        <v>4093</v>
      </c>
      <c r="C2516" s="92" t="s">
        <v>4094</v>
      </c>
      <c r="D2516" s="72" t="str">
        <f>IFERROR(VLOOKUP(A2516,'[1]ST-QA-ZZ5'!$C$5:$M$299,11,0),"Inspection at production line")</f>
        <v>Inspection at production line</v>
      </c>
    </row>
    <row r="2517" spans="1:4" ht="13.8">
      <c r="A2517" s="47" t="s">
        <v>4097</v>
      </c>
      <c r="B2517" s="92" t="s">
        <v>2024</v>
      </c>
      <c r="C2517" s="92" t="s">
        <v>4098</v>
      </c>
      <c r="D2517" s="72" t="str">
        <f>IFERROR(VLOOKUP(A2517,'[1]ST-QA-ZZ5'!$C$5:$M$299,11,0),"Inspection at production line")</f>
        <v>Inspection at production line</v>
      </c>
    </row>
    <row r="2518" spans="1:4" ht="13.8">
      <c r="A2518" s="47" t="s">
        <v>4101</v>
      </c>
      <c r="B2518" s="92" t="s">
        <v>2024</v>
      </c>
      <c r="C2518" s="92" t="s">
        <v>4102</v>
      </c>
      <c r="D2518" s="72" t="str">
        <f>IFERROR(VLOOKUP(A2518,'[1]ST-QA-ZZ5'!$C$5:$M$299,11,0),"Inspection at production line")</f>
        <v>Inspection at production line</v>
      </c>
    </row>
    <row r="2519" spans="1:4" ht="13.8">
      <c r="A2519" s="47" t="s">
        <v>4106</v>
      </c>
      <c r="B2519" s="92" t="s">
        <v>2024</v>
      </c>
      <c r="C2519" s="92" t="s">
        <v>4107</v>
      </c>
      <c r="D2519" s="72" t="str">
        <f>IFERROR(VLOOKUP(A2519,'[1]ST-QA-ZZ5'!$C$5:$M$299,11,0),"Inspection at production line")</f>
        <v>Inspection at production line</v>
      </c>
    </row>
    <row r="2520" spans="1:4" ht="13.8">
      <c r="A2520" s="47" t="s">
        <v>4110</v>
      </c>
      <c r="B2520" s="92" t="s">
        <v>2024</v>
      </c>
      <c r="C2520" s="92" t="s">
        <v>4111</v>
      </c>
      <c r="D2520" s="72" t="str">
        <f>IFERROR(VLOOKUP(A2520,'[1]ST-QA-ZZ5'!$C$5:$M$299,11,0),"Inspection at production line")</f>
        <v>Inspection at production line</v>
      </c>
    </row>
    <row r="2521" spans="1:4" ht="13.8">
      <c r="A2521" s="47" t="s">
        <v>4114</v>
      </c>
      <c r="B2521" s="92" t="s">
        <v>2024</v>
      </c>
      <c r="C2521" s="92" t="s">
        <v>4115</v>
      </c>
      <c r="D2521" s="72" t="str">
        <f>IFERROR(VLOOKUP(A2521,'[1]ST-QA-ZZ5'!$C$5:$M$299,11,0),"Inspection at production line")</f>
        <v>Inspection at production line</v>
      </c>
    </row>
    <row r="2522" spans="1:4" ht="13.8">
      <c r="A2522" s="47" t="s">
        <v>4118</v>
      </c>
      <c r="B2522" s="92" t="s">
        <v>2024</v>
      </c>
      <c r="C2522" s="92" t="s">
        <v>4119</v>
      </c>
      <c r="D2522" s="72" t="str">
        <f>IFERROR(VLOOKUP(A2522,'[1]ST-QA-ZZ5'!$C$5:$M$299,11,0),"Inspection at production line")</f>
        <v>Inspection at production line</v>
      </c>
    </row>
    <row r="2523" spans="1:4" ht="13.8">
      <c r="A2523" s="47" t="s">
        <v>4121</v>
      </c>
      <c r="B2523" s="92" t="s">
        <v>2024</v>
      </c>
      <c r="C2523" s="92" t="s">
        <v>4122</v>
      </c>
      <c r="D2523" s="72" t="str">
        <f>IFERROR(VLOOKUP(A2523,'[1]ST-QA-ZZ5'!$C$5:$M$299,11,0),"Inspection at production line")</f>
        <v>Inspection at production line</v>
      </c>
    </row>
    <row r="2524" spans="1:4" ht="13.8">
      <c r="A2524" s="47" t="s">
        <v>4125</v>
      </c>
      <c r="B2524" s="92" t="s">
        <v>2024</v>
      </c>
      <c r="C2524" s="92" t="s">
        <v>4126</v>
      </c>
      <c r="D2524" s="72" t="str">
        <f>IFERROR(VLOOKUP(A2524,'[1]ST-QA-ZZ5'!$C$5:$M$299,11,0),"Inspection at production line")</f>
        <v>Inspection at production line</v>
      </c>
    </row>
    <row r="2525" spans="1:4" ht="13.8">
      <c r="A2525" s="47" t="s">
        <v>4128</v>
      </c>
      <c r="B2525" s="92" t="s">
        <v>2024</v>
      </c>
      <c r="C2525" s="92" t="s">
        <v>4129</v>
      </c>
      <c r="D2525" s="72" t="str">
        <f>IFERROR(VLOOKUP(A2525,'[1]ST-QA-ZZ5'!$C$5:$M$299,11,0),"Inspection at production line")</f>
        <v>Inspection at production line</v>
      </c>
    </row>
    <row r="2526" spans="1:4" ht="13.8">
      <c r="A2526" s="47" t="s">
        <v>4131</v>
      </c>
      <c r="B2526" s="92" t="s">
        <v>2024</v>
      </c>
      <c r="C2526" s="92" t="s">
        <v>4132</v>
      </c>
      <c r="D2526" s="72" t="str">
        <f>IFERROR(VLOOKUP(A2526,'[1]ST-QA-ZZ5'!$C$5:$M$299,11,0),"Inspection at production line")</f>
        <v>Inspection at production line</v>
      </c>
    </row>
    <row r="2527" spans="1:4" ht="13.8">
      <c r="A2527" s="47" t="s">
        <v>4134</v>
      </c>
      <c r="B2527" s="92" t="s">
        <v>2024</v>
      </c>
      <c r="C2527" s="92" t="s">
        <v>4135</v>
      </c>
      <c r="D2527" s="72" t="str">
        <f>IFERROR(VLOOKUP(A2527,'[1]ST-QA-ZZ5'!$C$5:$M$299,11,0),"Inspection at production line")</f>
        <v>Inspection at production line</v>
      </c>
    </row>
    <row r="2528" spans="1:4" ht="13.8">
      <c r="A2528" s="47" t="s">
        <v>4137</v>
      </c>
      <c r="B2528" s="92" t="s">
        <v>2024</v>
      </c>
      <c r="C2528" s="92" t="s">
        <v>4138</v>
      </c>
      <c r="D2528" s="72" t="str">
        <f>IFERROR(VLOOKUP(A2528,'[1]ST-QA-ZZ5'!$C$5:$M$299,11,0),"Inspection at production line")</f>
        <v>Inspection at production line</v>
      </c>
    </row>
    <row r="2529" spans="1:4" ht="13.8">
      <c r="A2529" s="47" t="s">
        <v>4140</v>
      </c>
      <c r="B2529" s="92" t="s">
        <v>2024</v>
      </c>
      <c r="C2529" s="92" t="s">
        <v>4141</v>
      </c>
      <c r="D2529" s="72" t="str">
        <f>IFERROR(VLOOKUP(A2529,'[1]ST-QA-ZZ5'!$C$5:$M$299,11,0),"Inspection at production line")</f>
        <v>Inspection at production line</v>
      </c>
    </row>
    <row r="2530" spans="1:4" ht="13.8">
      <c r="A2530" s="47" t="s">
        <v>4143</v>
      </c>
      <c r="B2530" s="92" t="s">
        <v>2024</v>
      </c>
      <c r="C2530" s="92" t="s">
        <v>4144</v>
      </c>
      <c r="D2530" s="72" t="str">
        <f>IFERROR(VLOOKUP(A2530,'[1]ST-QA-ZZ5'!$C$5:$M$299,11,0),"Inspection at production line")</f>
        <v>Inspection at production line</v>
      </c>
    </row>
    <row r="2531" spans="1:4" ht="13.8">
      <c r="A2531" s="47" t="s">
        <v>4146</v>
      </c>
      <c r="B2531" s="92" t="s">
        <v>2024</v>
      </c>
      <c r="C2531" s="92" t="s">
        <v>4147</v>
      </c>
      <c r="D2531" s="72" t="str">
        <f>IFERROR(VLOOKUP(A2531,'[1]ST-QA-ZZ5'!$C$5:$M$299,11,0),"Inspection at production line")</f>
        <v>Inspection at production line</v>
      </c>
    </row>
    <row r="2532" spans="1:4" ht="13.8">
      <c r="A2532" s="47" t="s">
        <v>4149</v>
      </c>
      <c r="B2532" s="92" t="s">
        <v>2024</v>
      </c>
      <c r="C2532" s="92" t="s">
        <v>4150</v>
      </c>
      <c r="D2532" s="72" t="str">
        <f>IFERROR(VLOOKUP(A2532,'[1]ST-QA-ZZ5'!$C$5:$M$299,11,0),"Inspection at production line")</f>
        <v>Inspection at production line</v>
      </c>
    </row>
    <row r="2533" spans="1:4" ht="13.8">
      <c r="A2533" s="47" t="s">
        <v>4153</v>
      </c>
      <c r="B2533" s="92" t="s">
        <v>2024</v>
      </c>
      <c r="C2533" s="92" t="s">
        <v>4154</v>
      </c>
      <c r="D2533" s="72" t="str">
        <f>IFERROR(VLOOKUP(A2533,'[1]ST-QA-ZZ5'!$C$5:$M$299,11,0),"Inspection at production line")</f>
        <v>Inspection at production line</v>
      </c>
    </row>
    <row r="2534" spans="1:4" ht="13.8">
      <c r="A2534" s="47" t="s">
        <v>4156</v>
      </c>
      <c r="B2534" s="92" t="s">
        <v>2024</v>
      </c>
      <c r="C2534" s="92" t="s">
        <v>4157</v>
      </c>
      <c r="D2534" s="72" t="str">
        <f>IFERROR(VLOOKUP(A2534,'[1]ST-QA-ZZ5'!$C$5:$M$299,11,0),"Inspection at production line")</f>
        <v>Inspection at production line</v>
      </c>
    </row>
    <row r="2535" spans="1:4" ht="13.8">
      <c r="A2535" s="47" t="s">
        <v>4160</v>
      </c>
      <c r="B2535" s="92" t="s">
        <v>2024</v>
      </c>
      <c r="C2535" s="92" t="s">
        <v>4161</v>
      </c>
      <c r="D2535" s="72" t="str">
        <f>IFERROR(VLOOKUP(A2535,'[1]ST-QA-ZZ5'!$C$5:$M$299,11,0),"Inspection at production line")</f>
        <v>Inspection at production line</v>
      </c>
    </row>
    <row r="2536" spans="1:4" ht="13.8">
      <c r="A2536" s="47" t="s">
        <v>4164</v>
      </c>
      <c r="B2536" s="92" t="s">
        <v>2024</v>
      </c>
      <c r="C2536" s="92" t="s">
        <v>4165</v>
      </c>
      <c r="D2536" s="72" t="str">
        <f>IFERROR(VLOOKUP(A2536,'[1]ST-QA-ZZ5'!$C$5:$M$299,11,0),"Inspection at production line")</f>
        <v>Inspection at production line</v>
      </c>
    </row>
    <row r="2537" spans="1:4" ht="13.8">
      <c r="A2537" s="47" t="s">
        <v>4168</v>
      </c>
      <c r="B2537" s="92" t="s">
        <v>2024</v>
      </c>
      <c r="C2537" s="92" t="s">
        <v>4169</v>
      </c>
      <c r="D2537" s="72" t="str">
        <f>IFERROR(VLOOKUP(A2537,'[1]ST-QA-ZZ5'!$C$5:$M$299,11,0),"Inspection at production line")</f>
        <v>Inspection at production line</v>
      </c>
    </row>
    <row r="2538" spans="1:4" ht="13.8">
      <c r="A2538" s="47" t="s">
        <v>4172</v>
      </c>
      <c r="B2538" s="92" t="s">
        <v>2024</v>
      </c>
      <c r="C2538" s="92" t="s">
        <v>4173</v>
      </c>
      <c r="D2538" s="72" t="str">
        <f>IFERROR(VLOOKUP(A2538,'[1]ST-QA-ZZ5'!$C$5:$M$299,11,0),"Inspection at production line")</f>
        <v>Inspection at production line</v>
      </c>
    </row>
    <row r="2539" spans="1:4" ht="13.8">
      <c r="A2539" s="47" t="s">
        <v>4176</v>
      </c>
      <c r="B2539" s="92" t="s">
        <v>2024</v>
      </c>
      <c r="C2539" s="92" t="s">
        <v>4177</v>
      </c>
      <c r="D2539" s="72" t="str">
        <f>IFERROR(VLOOKUP(A2539,'[1]ST-QA-ZZ5'!$C$5:$M$299,11,0),"Inspection at production line")</f>
        <v>Inspection at production line</v>
      </c>
    </row>
    <row r="2540" spans="1:4" ht="13.8">
      <c r="A2540" s="47" t="s">
        <v>4179</v>
      </c>
      <c r="B2540" s="92" t="s">
        <v>2024</v>
      </c>
      <c r="C2540" s="92" t="s">
        <v>4180</v>
      </c>
      <c r="D2540" s="72" t="str">
        <f>IFERROR(VLOOKUP(A2540,'[1]ST-QA-ZZ5'!$C$5:$M$299,11,0),"Inspection at production line")</f>
        <v>Inspection at production line</v>
      </c>
    </row>
    <row r="2541" spans="1:4" ht="13.8">
      <c r="A2541" s="47" t="s">
        <v>4182</v>
      </c>
      <c r="B2541" s="92" t="s">
        <v>2024</v>
      </c>
      <c r="C2541" s="92" t="s">
        <v>4183</v>
      </c>
      <c r="D2541" s="72" t="str">
        <f>IFERROR(VLOOKUP(A2541,'[1]ST-QA-ZZ5'!$C$5:$M$299,11,0),"Inspection at production line")</f>
        <v>Inspection at production line</v>
      </c>
    </row>
    <row r="2542" spans="1:4" ht="13.8">
      <c r="A2542" s="47" t="s">
        <v>4186</v>
      </c>
      <c r="B2542" s="92" t="s">
        <v>2024</v>
      </c>
      <c r="C2542" s="92" t="s">
        <v>4187</v>
      </c>
      <c r="D2542" s="72" t="str">
        <f>IFERROR(VLOOKUP(A2542,'[1]ST-QA-ZZ5'!$C$5:$M$299,11,0),"Inspection at production line")</f>
        <v>Inspection at production line</v>
      </c>
    </row>
    <row r="2543" spans="1:4" ht="13.8">
      <c r="A2543" s="47" t="s">
        <v>4190</v>
      </c>
      <c r="B2543" s="92" t="s">
        <v>2024</v>
      </c>
      <c r="C2543" s="92" t="s">
        <v>4191</v>
      </c>
      <c r="D2543" s="72" t="str">
        <f>IFERROR(VLOOKUP(A2543,'[1]ST-QA-ZZ5'!$C$5:$M$299,11,0),"Inspection at production line")</f>
        <v>Inspection at production line</v>
      </c>
    </row>
    <row r="2544" spans="1:4" ht="13.8">
      <c r="A2544" s="47" t="s">
        <v>4194</v>
      </c>
      <c r="B2544" s="92" t="s">
        <v>2024</v>
      </c>
      <c r="C2544" s="92" t="s">
        <v>4195</v>
      </c>
      <c r="D2544" s="72" t="str">
        <f>IFERROR(VLOOKUP(A2544,'[1]ST-QA-ZZ5'!$C$5:$M$299,11,0),"Inspection at production line")</f>
        <v>Inspection at production line</v>
      </c>
    </row>
    <row r="2545" spans="1:4" ht="13.8">
      <c r="A2545" s="47" t="s">
        <v>4198</v>
      </c>
      <c r="B2545" s="92" t="s">
        <v>2024</v>
      </c>
      <c r="C2545" s="92" t="s">
        <v>4199</v>
      </c>
      <c r="D2545" s="72" t="str">
        <f>IFERROR(VLOOKUP(A2545,'[1]ST-QA-ZZ5'!$C$5:$M$299,11,0),"Inspection at production line")</f>
        <v>Inspection at production line</v>
      </c>
    </row>
    <row r="2546" spans="1:4" ht="13.8">
      <c r="A2546" s="47" t="s">
        <v>4202</v>
      </c>
      <c r="B2546" s="92" t="s">
        <v>2024</v>
      </c>
      <c r="C2546" s="92" t="s">
        <v>4203</v>
      </c>
      <c r="D2546" s="72" t="str">
        <f>IFERROR(VLOOKUP(A2546,'[1]ST-QA-ZZ5'!$C$5:$M$299,11,0),"Inspection at production line")</f>
        <v>Inspection at production line</v>
      </c>
    </row>
    <row r="2547" spans="1:4" ht="13.8">
      <c r="A2547" s="47" t="s">
        <v>4206</v>
      </c>
      <c r="B2547" s="92" t="s">
        <v>2024</v>
      </c>
      <c r="C2547" s="92" t="s">
        <v>4207</v>
      </c>
      <c r="D2547" s="72" t="str">
        <f>IFERROR(VLOOKUP(A2547,'[1]ST-QA-ZZ5'!$C$5:$M$299,11,0),"Inspection at production line")</f>
        <v>Inspection at production line</v>
      </c>
    </row>
    <row r="2548" spans="1:4" ht="13.8">
      <c r="A2548" s="47" t="s">
        <v>4210</v>
      </c>
      <c r="B2548" s="92" t="s">
        <v>2024</v>
      </c>
      <c r="C2548" s="92" t="s">
        <v>4211</v>
      </c>
      <c r="D2548" s="72" t="str">
        <f>IFERROR(VLOOKUP(A2548,'[1]ST-QA-ZZ5'!$C$5:$M$299,11,0),"Inspection at production line")</f>
        <v>Inspection at production line</v>
      </c>
    </row>
    <row r="2549" spans="1:4" ht="13.8">
      <c r="A2549" s="47" t="s">
        <v>4214</v>
      </c>
      <c r="B2549" s="92" t="s">
        <v>2024</v>
      </c>
      <c r="C2549" s="92" t="s">
        <v>4215</v>
      </c>
      <c r="D2549" s="72" t="str">
        <f>IFERROR(VLOOKUP(A2549,'[1]ST-QA-ZZ5'!$C$5:$M$299,11,0),"Inspection at production line")</f>
        <v>Inspection at production line</v>
      </c>
    </row>
    <row r="2550" spans="1:4" ht="13.8">
      <c r="A2550" s="47" t="s">
        <v>4218</v>
      </c>
      <c r="B2550" s="92" t="s">
        <v>2024</v>
      </c>
      <c r="C2550" s="92" t="s">
        <v>4219</v>
      </c>
      <c r="D2550" s="72" t="str">
        <f>IFERROR(VLOOKUP(A2550,'[1]ST-QA-ZZ5'!$C$5:$M$299,11,0),"Inspection at production line")</f>
        <v>Inspection at production line</v>
      </c>
    </row>
    <row r="2551" spans="1:4" ht="13.8">
      <c r="A2551" s="47" t="s">
        <v>4222</v>
      </c>
      <c r="B2551" s="92" t="s">
        <v>2024</v>
      </c>
      <c r="C2551" s="92" t="s">
        <v>4223</v>
      </c>
      <c r="D2551" s="72" t="str">
        <f>IFERROR(VLOOKUP(A2551,'[1]ST-QA-ZZ5'!$C$5:$M$299,11,0),"Inspection at production line")</f>
        <v>Inspection at production line</v>
      </c>
    </row>
    <row r="2552" spans="1:4" ht="13.8">
      <c r="A2552" s="47" t="s">
        <v>4226</v>
      </c>
      <c r="B2552" s="92" t="s">
        <v>2024</v>
      </c>
      <c r="C2552" s="92" t="s">
        <v>4227</v>
      </c>
      <c r="D2552" s="72" t="str">
        <f>IFERROR(VLOOKUP(A2552,'[1]ST-QA-ZZ5'!$C$5:$M$299,11,0),"Inspection at production line")</f>
        <v>Inspection at production line</v>
      </c>
    </row>
    <row r="2553" spans="1:4" ht="13.8">
      <c r="A2553" s="47" t="s">
        <v>4230</v>
      </c>
      <c r="B2553" s="92" t="s">
        <v>2024</v>
      </c>
      <c r="C2553" s="92" t="s">
        <v>4231</v>
      </c>
      <c r="D2553" s="72" t="str">
        <f>IFERROR(VLOOKUP(A2553,'[1]ST-QA-ZZ5'!$C$5:$M$299,11,0),"Inspection at production line")</f>
        <v>Inspection at production line</v>
      </c>
    </row>
    <row r="2554" spans="1:4" ht="13.8">
      <c r="A2554" s="47" t="s">
        <v>4234</v>
      </c>
      <c r="B2554" s="92" t="s">
        <v>2024</v>
      </c>
      <c r="C2554" s="92" t="s">
        <v>4235</v>
      </c>
      <c r="D2554" s="72" t="str">
        <f>IFERROR(VLOOKUP(A2554,'[1]ST-QA-ZZ5'!$C$5:$M$299,11,0),"Inspection at production line")</f>
        <v>Inspection at production line</v>
      </c>
    </row>
    <row r="2555" spans="1:4" ht="13.8">
      <c r="A2555" s="47" t="s">
        <v>4238</v>
      </c>
      <c r="B2555" s="92" t="s">
        <v>2024</v>
      </c>
      <c r="C2555" s="92" t="s">
        <v>4239</v>
      </c>
      <c r="D2555" s="72" t="str">
        <f>IFERROR(VLOOKUP(A2555,'[1]ST-QA-ZZ5'!$C$5:$M$299,11,0),"Inspection at production line")</f>
        <v>Inspection at production line</v>
      </c>
    </row>
    <row r="2556" spans="1:4" ht="13.8">
      <c r="A2556" s="47" t="s">
        <v>4241</v>
      </c>
      <c r="B2556" s="92" t="s">
        <v>2024</v>
      </c>
      <c r="C2556" s="92" t="s">
        <v>4242</v>
      </c>
      <c r="D2556" s="72" t="str">
        <f>IFERROR(VLOOKUP(A2556,'[1]ST-QA-ZZ5'!$C$5:$M$299,11,0),"Inspection at production line")</f>
        <v>Inspection at production line</v>
      </c>
    </row>
    <row r="2557" spans="1:4" ht="13.8">
      <c r="A2557" s="47" t="s">
        <v>4244</v>
      </c>
      <c r="B2557" s="92" t="s">
        <v>2024</v>
      </c>
      <c r="C2557" s="92" t="s">
        <v>4245</v>
      </c>
      <c r="D2557" s="72" t="str">
        <f>IFERROR(VLOOKUP(A2557,'[1]ST-QA-ZZ5'!$C$5:$M$299,11,0),"Inspection at production line")</f>
        <v>Inspection at production line</v>
      </c>
    </row>
    <row r="2558" spans="1:4" ht="13.8">
      <c r="A2558" s="47" t="s">
        <v>4248</v>
      </c>
      <c r="B2558" s="92" t="s">
        <v>2024</v>
      </c>
      <c r="C2558" s="92" t="s">
        <v>4249</v>
      </c>
      <c r="D2558" s="72" t="str">
        <f>IFERROR(VLOOKUP(A2558,'[1]ST-QA-ZZ5'!$C$5:$M$299,11,0),"Inspection at production line")</f>
        <v>Inspection at production line</v>
      </c>
    </row>
    <row r="2559" spans="1:4" ht="13.8">
      <c r="A2559" s="47" t="s">
        <v>4252</v>
      </c>
      <c r="B2559" s="92" t="s">
        <v>2024</v>
      </c>
      <c r="C2559" s="92" t="s">
        <v>4253</v>
      </c>
      <c r="D2559" s="72" t="str">
        <f>IFERROR(VLOOKUP(A2559,'[1]ST-QA-ZZ5'!$C$5:$M$299,11,0),"Inspection at production line")</f>
        <v>Inspection at production line</v>
      </c>
    </row>
    <row r="2560" spans="1:4" ht="13.8">
      <c r="A2560" s="47" t="s">
        <v>4256</v>
      </c>
      <c r="B2560" s="92" t="s">
        <v>2024</v>
      </c>
      <c r="C2560" s="92" t="s">
        <v>4257</v>
      </c>
      <c r="D2560" s="72" t="str">
        <f>IFERROR(VLOOKUP(A2560,'[1]ST-QA-ZZ5'!$C$5:$M$299,11,0),"Inspection at production line")</f>
        <v>Inspection at production line</v>
      </c>
    </row>
    <row r="2561" spans="1:4" ht="13.8">
      <c r="A2561" s="47" t="s">
        <v>4260</v>
      </c>
      <c r="B2561" s="92" t="s">
        <v>2024</v>
      </c>
      <c r="C2561" s="92" t="s">
        <v>4261</v>
      </c>
      <c r="D2561" s="72" t="str">
        <f>IFERROR(VLOOKUP(A2561,'[1]ST-QA-ZZ5'!$C$5:$M$299,11,0),"Inspection at production line")</f>
        <v>Inspection at production line</v>
      </c>
    </row>
    <row r="2562" spans="1:4" ht="13.8">
      <c r="A2562" s="47" t="s">
        <v>4264</v>
      </c>
      <c r="B2562" s="92" t="s">
        <v>2024</v>
      </c>
      <c r="C2562" s="92" t="s">
        <v>4265</v>
      </c>
      <c r="D2562" s="72" t="str">
        <f>IFERROR(VLOOKUP(A2562,'[1]ST-QA-ZZ5'!$C$5:$M$299,11,0),"Inspection at production line")</f>
        <v>Inspection at production line</v>
      </c>
    </row>
    <row r="2563" spans="1:4" ht="13.8">
      <c r="A2563" s="47" t="s">
        <v>4266</v>
      </c>
      <c r="B2563" s="92" t="s">
        <v>2024</v>
      </c>
      <c r="C2563" s="92" t="s">
        <v>4267</v>
      </c>
      <c r="D2563" s="72" t="str">
        <f>IFERROR(VLOOKUP(A2563,'[1]ST-QA-ZZ5'!$C$5:$M$299,11,0),"Inspection at production line")</f>
        <v>Inspection at production line</v>
      </c>
    </row>
    <row r="2564" spans="1:4" ht="13.8">
      <c r="A2564" s="47" t="s">
        <v>4269</v>
      </c>
      <c r="B2564" s="92" t="s">
        <v>2024</v>
      </c>
      <c r="C2564" s="92" t="s">
        <v>4270</v>
      </c>
      <c r="D2564" s="72" t="str">
        <f>IFERROR(VLOOKUP(A2564,'[1]ST-QA-ZZ5'!$C$5:$M$299,11,0),"Inspection at production line")</f>
        <v>Inspection at production line</v>
      </c>
    </row>
    <row r="2565" spans="1:4" ht="13.8">
      <c r="A2565" s="47" t="s">
        <v>4272</v>
      </c>
      <c r="B2565" s="92" t="s">
        <v>2024</v>
      </c>
      <c r="C2565" s="92" t="s">
        <v>4273</v>
      </c>
      <c r="D2565" s="72" t="str">
        <f>IFERROR(VLOOKUP(A2565,'[1]ST-QA-ZZ5'!$C$5:$M$299,11,0),"Inspection at production line")</f>
        <v>Inspection at production line</v>
      </c>
    </row>
    <row r="2566" spans="1:4" ht="13.8">
      <c r="A2566" s="47" t="s">
        <v>4276</v>
      </c>
      <c r="B2566" s="92" t="s">
        <v>2024</v>
      </c>
      <c r="C2566" s="92" t="s">
        <v>4277</v>
      </c>
      <c r="D2566" s="72" t="str">
        <f>IFERROR(VLOOKUP(A2566,'[1]ST-QA-ZZ5'!$C$5:$M$299,11,0),"Inspection at production line")</f>
        <v>Inspection at production line</v>
      </c>
    </row>
    <row r="2567" spans="1:4" ht="13.8">
      <c r="A2567" s="47" t="s">
        <v>4281</v>
      </c>
      <c r="B2567" s="92" t="s">
        <v>2024</v>
      </c>
      <c r="C2567" s="92" t="s">
        <v>4282</v>
      </c>
      <c r="D2567" s="72" t="str">
        <f>IFERROR(VLOOKUP(A2567,'[1]ST-QA-ZZ5'!$C$5:$M$299,11,0),"Inspection at production line")</f>
        <v>Inspection at production line</v>
      </c>
    </row>
    <row r="2568" spans="1:4" ht="13.8">
      <c r="A2568" s="47" t="s">
        <v>4284</v>
      </c>
      <c r="B2568" s="92" t="s">
        <v>2024</v>
      </c>
      <c r="C2568" s="92" t="s">
        <v>4285</v>
      </c>
      <c r="D2568" s="72" t="str">
        <f>IFERROR(VLOOKUP(A2568,'[1]ST-QA-ZZ5'!$C$5:$M$299,11,0),"Inspection at production line")</f>
        <v>Inspection at production line</v>
      </c>
    </row>
    <row r="2569" spans="1:4" ht="13.8">
      <c r="A2569" s="47" t="s">
        <v>4288</v>
      </c>
      <c r="B2569" s="92" t="s">
        <v>2024</v>
      </c>
      <c r="C2569" s="92" t="s">
        <v>4289</v>
      </c>
      <c r="D2569" s="72" t="str">
        <f>IFERROR(VLOOKUP(A2569,'[1]ST-QA-ZZ5'!$C$5:$M$299,11,0),"Inspection at production line")</f>
        <v>Inspection at production line</v>
      </c>
    </row>
    <row r="2570" spans="1:4" ht="13.8">
      <c r="A2570" s="47" t="s">
        <v>4292</v>
      </c>
      <c r="B2570" s="92" t="s">
        <v>2024</v>
      </c>
      <c r="C2570" s="92" t="s">
        <v>4293</v>
      </c>
      <c r="D2570" s="72" t="str">
        <f>IFERROR(VLOOKUP(A2570,'[1]ST-QA-ZZ5'!$C$5:$M$299,11,0),"Inspection at production line")</f>
        <v>Inspection at production line</v>
      </c>
    </row>
    <row r="2571" spans="1:4" ht="13.8">
      <c r="A2571" s="47" t="s">
        <v>4295</v>
      </c>
      <c r="B2571" s="92" t="s">
        <v>2024</v>
      </c>
      <c r="C2571" s="92" t="s">
        <v>4296</v>
      </c>
      <c r="D2571" s="72" t="str">
        <f>IFERROR(VLOOKUP(A2571,'[1]ST-QA-ZZ5'!$C$5:$M$299,11,0),"Inspection at production line")</f>
        <v>Inspection at production line</v>
      </c>
    </row>
    <row r="2572" spans="1:4" ht="13.8">
      <c r="A2572" s="47" t="s">
        <v>4299</v>
      </c>
      <c r="B2572" s="92" t="s">
        <v>2024</v>
      </c>
      <c r="C2572" s="92" t="s">
        <v>4300</v>
      </c>
      <c r="D2572" s="72" t="str">
        <f>IFERROR(VLOOKUP(A2572,'[1]ST-QA-ZZ5'!$C$5:$M$299,11,0),"Inspection at production line")</f>
        <v>Inspection at production line</v>
      </c>
    </row>
    <row r="2573" spans="1:4" ht="13.8">
      <c r="A2573" s="47" t="s">
        <v>4302</v>
      </c>
      <c r="B2573" s="92" t="s">
        <v>2024</v>
      </c>
      <c r="C2573" s="92" t="s">
        <v>4303</v>
      </c>
      <c r="D2573" s="72" t="str">
        <f>IFERROR(VLOOKUP(A2573,'[1]ST-QA-ZZ5'!$C$5:$M$299,11,0),"Inspection at production line")</f>
        <v>Inspection at production line</v>
      </c>
    </row>
    <row r="2574" spans="1:4" ht="13.8">
      <c r="A2574" s="47" t="s">
        <v>4305</v>
      </c>
      <c r="B2574" s="92" t="s">
        <v>2024</v>
      </c>
      <c r="C2574" s="92" t="s">
        <v>4306</v>
      </c>
      <c r="D2574" s="72" t="str">
        <f>IFERROR(VLOOKUP(A2574,'[1]ST-QA-ZZ5'!$C$5:$M$299,11,0),"Inspection at production line")</f>
        <v>Inspection at production line</v>
      </c>
    </row>
    <row r="2575" spans="1:4" ht="13.8">
      <c r="A2575" s="47" t="s">
        <v>4308</v>
      </c>
      <c r="B2575" s="92" t="s">
        <v>2024</v>
      </c>
      <c r="C2575" s="92" t="s">
        <v>4309</v>
      </c>
      <c r="D2575" s="72" t="str">
        <f>IFERROR(VLOOKUP(A2575,'[1]ST-QA-ZZ5'!$C$5:$M$299,11,0),"Inspection at production line")</f>
        <v>Inspection at production line</v>
      </c>
    </row>
    <row r="2576" spans="1:4" ht="13.8">
      <c r="A2576" s="47" t="s">
        <v>4312</v>
      </c>
      <c r="B2576" s="92" t="s">
        <v>2024</v>
      </c>
      <c r="C2576" s="92" t="s">
        <v>4313</v>
      </c>
      <c r="D2576" s="72" t="str">
        <f>IFERROR(VLOOKUP(A2576,'[1]ST-QA-ZZ5'!$C$5:$M$299,11,0),"Inspection at production line")</f>
        <v>Inspection at production line</v>
      </c>
    </row>
    <row r="2577" spans="1:4" ht="13.8">
      <c r="A2577" s="47" t="s">
        <v>4316</v>
      </c>
      <c r="B2577" s="92" t="s">
        <v>2024</v>
      </c>
      <c r="C2577" s="94" t="s">
        <v>4317</v>
      </c>
      <c r="D2577" s="72" t="str">
        <f>IFERROR(VLOOKUP(A2577,'[1]ST-QA-ZZ5'!$C$5:$M$299,11,0),"Inspection at production line")</f>
        <v>Inspection at production line</v>
      </c>
    </row>
    <row r="2578" spans="1:4" ht="13.8">
      <c r="A2578" s="47" t="s">
        <v>4320</v>
      </c>
      <c r="B2578" s="92" t="s">
        <v>2024</v>
      </c>
      <c r="C2578" s="92" t="s">
        <v>4321</v>
      </c>
      <c r="D2578" s="72" t="str">
        <f>IFERROR(VLOOKUP(A2578,'[1]ST-QA-ZZ5'!$C$5:$M$299,11,0),"Inspection at production line")</f>
        <v>Inspection at production line</v>
      </c>
    </row>
    <row r="2579" spans="1:4" ht="13.8">
      <c r="A2579" s="47" t="s">
        <v>4324</v>
      </c>
      <c r="B2579" s="92" t="s">
        <v>2024</v>
      </c>
      <c r="C2579" s="94" t="s">
        <v>4325</v>
      </c>
      <c r="D2579" s="72" t="str">
        <f>IFERROR(VLOOKUP(A2579,'[1]ST-QA-ZZ5'!$C$5:$M$299,11,0),"Inspection at production line")</f>
        <v>Inspection at production line</v>
      </c>
    </row>
    <row r="2580" spans="1:4" ht="13.8">
      <c r="A2580" s="47" t="s">
        <v>4328</v>
      </c>
      <c r="B2580" s="92" t="s">
        <v>2024</v>
      </c>
      <c r="C2580" s="92" t="s">
        <v>4329</v>
      </c>
      <c r="D2580" s="72" t="str">
        <f>IFERROR(VLOOKUP(A2580,'[1]ST-QA-ZZ5'!$C$5:$M$299,11,0),"Inspection at production line")</f>
        <v>Inspection at production line</v>
      </c>
    </row>
    <row r="2581" spans="1:4" ht="13.8">
      <c r="A2581" s="47" t="s">
        <v>4331</v>
      </c>
      <c r="B2581" s="92" t="s">
        <v>805</v>
      </c>
      <c r="C2581" s="92" t="s">
        <v>4332</v>
      </c>
      <c r="D2581" s="72" t="str">
        <f>IFERROR(VLOOKUP(A2581,'[1]ST-QA-ZZ5'!$C$5:$M$299,11,0),"Inspection at production line")</f>
        <v>Inspection at production line</v>
      </c>
    </row>
    <row r="2582" spans="1:4" ht="13.8">
      <c r="A2582" s="47" t="s">
        <v>4335</v>
      </c>
      <c r="B2582" s="92" t="s">
        <v>957</v>
      </c>
      <c r="C2582" s="92" t="s">
        <v>4336</v>
      </c>
      <c r="D2582" s="72" t="str">
        <f>IFERROR(VLOOKUP(A2582,'[1]ST-QA-ZZ5'!$C$5:$M$299,11,0),"Inspection at production line")</f>
        <v>Inspection at production line</v>
      </c>
    </row>
    <row r="2583" spans="1:4" ht="13.8">
      <c r="A2583" s="47" t="s">
        <v>4338</v>
      </c>
      <c r="B2583" s="92" t="s">
        <v>2507</v>
      </c>
      <c r="C2583" s="92" t="s">
        <v>4339</v>
      </c>
      <c r="D2583" s="72" t="str">
        <f>IFERROR(VLOOKUP(A2583,'[1]ST-QA-ZZ5'!$C$5:$M$299,11,0),"Inspection at production line")</f>
        <v>Inspection at production line</v>
      </c>
    </row>
    <row r="2584" spans="1:4" ht="13.8">
      <c r="A2584" s="47" t="s">
        <v>4341</v>
      </c>
      <c r="B2584" s="92" t="s">
        <v>3602</v>
      </c>
      <c r="C2584" s="94" t="s">
        <v>4342</v>
      </c>
      <c r="D2584" s="72" t="str">
        <f>IFERROR(VLOOKUP(A2584,'[1]ST-QA-ZZ5'!$C$5:$M$299,11,0),"Inspection at production line")</f>
        <v>Inspection at production line</v>
      </c>
    </row>
    <row r="2585" spans="1:4" ht="13.8">
      <c r="A2585" s="47" t="s">
        <v>4344</v>
      </c>
      <c r="B2585" s="92" t="s">
        <v>949</v>
      </c>
      <c r="C2585" s="92" t="s">
        <v>4345</v>
      </c>
      <c r="D2585" s="72" t="str">
        <f>IFERROR(VLOOKUP(A2585,'[1]ST-QA-ZZ5'!$C$5:$M$299,11,0),"Inspection at production line")</f>
        <v>Inspection at production line</v>
      </c>
    </row>
    <row r="2586" spans="1:4" ht="13.8">
      <c r="A2586" s="47" t="s">
        <v>4347</v>
      </c>
      <c r="B2586" s="92" t="s">
        <v>814</v>
      </c>
      <c r="C2586" s="94" t="s">
        <v>4348</v>
      </c>
      <c r="D2586" s="72" t="str">
        <f>IFERROR(VLOOKUP(A2586,'[1]ST-QA-ZZ5'!$C$5:$M$299,11,0),"Inspection at production line")</f>
        <v>Inspection at production line</v>
      </c>
    </row>
    <row r="2587" spans="1:4" ht="13.8">
      <c r="A2587" s="47" t="s">
        <v>4349</v>
      </c>
      <c r="B2587" s="92" t="s">
        <v>957</v>
      </c>
      <c r="C2587" s="92" t="s">
        <v>4350</v>
      </c>
      <c r="D2587" s="72" t="str">
        <f>IFERROR(VLOOKUP(A2587,'[1]ST-QA-ZZ5'!$C$5:$M$299,11,0),"Inspection at production line")</f>
        <v>Inspection at production line</v>
      </c>
    </row>
    <row r="2588" spans="1:4" ht="13.8">
      <c r="A2588" s="47" t="s">
        <v>4351</v>
      </c>
      <c r="B2588" s="92" t="s">
        <v>2507</v>
      </c>
      <c r="C2588" s="92" t="s">
        <v>6851</v>
      </c>
      <c r="D2588" s="72" t="str">
        <f>IFERROR(VLOOKUP(A2588,'[1]ST-QA-ZZ5'!$C$5:$M$299,11,0),"Inspection at production line")</f>
        <v>Inspection at production line</v>
      </c>
    </row>
    <row r="2589" spans="1:4" ht="13.8">
      <c r="A2589" s="47" t="s">
        <v>4354</v>
      </c>
      <c r="B2589" s="92" t="s">
        <v>797</v>
      </c>
      <c r="C2589" s="92" t="s">
        <v>3304</v>
      </c>
      <c r="D2589" s="72" t="str">
        <f>IFERROR(VLOOKUP(A2589,'[1]ST-QA-ZZ5'!$C$5:$M$299,11,0),"Inspection at production line")</f>
        <v>Inspection at production line</v>
      </c>
    </row>
    <row r="2590" spans="1:4" ht="13.8">
      <c r="A2590" s="47" t="s">
        <v>4357</v>
      </c>
      <c r="B2590" s="92" t="s">
        <v>355</v>
      </c>
      <c r="C2590" s="94" t="s">
        <v>4358</v>
      </c>
      <c r="D2590" s="72" t="str">
        <f>IFERROR(VLOOKUP(A2590,'[1]ST-QA-ZZ5'!$C$5:$M$299,11,0),"Inspection at production line")</f>
        <v>Inspection at production line</v>
      </c>
    </row>
    <row r="2591" spans="1:4" ht="13.8">
      <c r="A2591" s="47" t="s">
        <v>4359</v>
      </c>
      <c r="B2591" s="92" t="s">
        <v>2546</v>
      </c>
      <c r="C2591" s="92" t="s">
        <v>4360</v>
      </c>
      <c r="D2591" s="72" t="str">
        <f>IFERROR(VLOOKUP(A2591,'[1]ST-QA-ZZ5'!$C$5:$M$299,11,0),"Inspection at production line")</f>
        <v>Inspection at production line</v>
      </c>
    </row>
    <row r="2592" spans="1:4" ht="13.8">
      <c r="A2592" s="47" t="s">
        <v>4363</v>
      </c>
      <c r="B2592" s="92" t="s">
        <v>949</v>
      </c>
      <c r="C2592" s="92" t="s">
        <v>4364</v>
      </c>
      <c r="D2592" s="72" t="str">
        <f>IFERROR(VLOOKUP(A2592,'[1]ST-QA-ZZ5'!$C$5:$M$299,11,0),"Inspection at production line")</f>
        <v>Inspection at production line</v>
      </c>
    </row>
    <row r="2593" spans="1:4" ht="13.8">
      <c r="A2593" s="47" t="s">
        <v>6852</v>
      </c>
      <c r="B2593" s="92" t="s">
        <v>1954</v>
      </c>
      <c r="C2593" s="92" t="s">
        <v>6853</v>
      </c>
      <c r="D2593" s="72" t="str">
        <f>IFERROR(VLOOKUP(A2593,'[1]ST-QA-ZZ5'!$C$5:$M$299,11,0),"Inspection at production line")</f>
        <v>Sampling check</v>
      </c>
    </row>
    <row r="2594" spans="1:4" ht="13.8">
      <c r="A2594" s="47" t="s">
        <v>6854</v>
      </c>
      <c r="B2594" s="92" t="s">
        <v>1954</v>
      </c>
      <c r="C2594" s="92" t="s">
        <v>6855</v>
      </c>
      <c r="D2594" s="72" t="str">
        <f>IFERROR(VLOOKUP(A2594,'[1]ST-QA-ZZ5'!$C$5:$M$299,11,0),"Inspection at production line")</f>
        <v>Sampling check</v>
      </c>
    </row>
    <row r="2595" spans="1:4" ht="13.8">
      <c r="A2595" s="47" t="s">
        <v>6856</v>
      </c>
      <c r="B2595" s="92" t="s">
        <v>1954</v>
      </c>
      <c r="C2595" s="92" t="s">
        <v>6857</v>
      </c>
      <c r="D2595" s="72" t="str">
        <f>IFERROR(VLOOKUP(A2595,'[1]ST-QA-ZZ5'!$C$5:$M$299,11,0),"Inspection at production line")</f>
        <v>Sampling check</v>
      </c>
    </row>
    <row r="2596" spans="1:4" ht="13.8">
      <c r="A2596" s="47" t="s">
        <v>6858</v>
      </c>
      <c r="B2596" s="92" t="s">
        <v>1954</v>
      </c>
      <c r="C2596" s="94" t="s">
        <v>6859</v>
      </c>
      <c r="D2596" s="72" t="str">
        <f>IFERROR(VLOOKUP(A2596,'[1]ST-QA-ZZ5'!$C$5:$M$299,11,0),"Inspection at production line")</f>
        <v>Sampling check</v>
      </c>
    </row>
    <row r="2597" spans="1:4" ht="13.8">
      <c r="A2597" s="47" t="s">
        <v>6860</v>
      </c>
      <c r="B2597" s="92" t="s">
        <v>1954</v>
      </c>
      <c r="C2597" s="92" t="s">
        <v>6861</v>
      </c>
      <c r="D2597" s="72" t="str">
        <f>IFERROR(VLOOKUP(A2597,'[1]ST-QA-ZZ5'!$C$5:$M$299,11,0),"Inspection at production line")</f>
        <v>Sampling check</v>
      </c>
    </row>
    <row r="2598" spans="1:4" ht="13.8">
      <c r="A2598" s="47" t="s">
        <v>40</v>
      </c>
      <c r="B2598" s="92" t="s">
        <v>1968</v>
      </c>
      <c r="C2598" s="92" t="s">
        <v>6862</v>
      </c>
      <c r="D2598" s="72" t="str">
        <f>IFERROR(VLOOKUP(A2598,'[1]ST-QA-ZZ5'!$C$5:$M$299,11,0),"Inspection at production line")</f>
        <v>Sampling check</v>
      </c>
    </row>
    <row r="2599" spans="1:4" ht="13.8">
      <c r="A2599" s="47" t="s">
        <v>6863</v>
      </c>
      <c r="B2599" s="92" t="s">
        <v>857</v>
      </c>
      <c r="C2599" s="94" t="s">
        <v>6864</v>
      </c>
      <c r="D2599" s="72" t="str">
        <f>IFERROR(VLOOKUP(A2599,'[1]ST-QA-ZZ5'!$C$5:$M$299,11,0),"Inspection at production line")</f>
        <v>Sampling check</v>
      </c>
    </row>
    <row r="2600" spans="1:4" ht="13.8">
      <c r="A2600" s="47" t="s">
        <v>6865</v>
      </c>
      <c r="B2600" s="92" t="s">
        <v>2074</v>
      </c>
      <c r="C2600" s="92" t="s">
        <v>6866</v>
      </c>
      <c r="D2600" s="72" t="str">
        <f>IFERROR(VLOOKUP(A2600,'[1]ST-QA-ZZ5'!$C$5:$M$299,11,0),"Inspection at production line")</f>
        <v>Sampling check</v>
      </c>
    </row>
    <row r="2601" spans="1:4" ht="13.8">
      <c r="A2601" s="47" t="s">
        <v>6867</v>
      </c>
      <c r="B2601" s="92" t="s">
        <v>857</v>
      </c>
      <c r="C2601" s="92" t="s">
        <v>6868</v>
      </c>
      <c r="D2601" s="72" t="str">
        <f>IFERROR(VLOOKUP(A2601,'[1]ST-QA-ZZ5'!$C$5:$M$299,11,0),"Inspection at production line")</f>
        <v>Sampling check</v>
      </c>
    </row>
    <row r="2602" spans="1:4" ht="13.8">
      <c r="A2602" s="47" t="s">
        <v>6869</v>
      </c>
      <c r="B2602" s="92" t="s">
        <v>6870</v>
      </c>
      <c r="C2602" s="92" t="s">
        <v>6871</v>
      </c>
      <c r="D2602" s="72" t="str">
        <f>IFERROR(VLOOKUP(A2602,'[1]ST-QA-ZZ5'!$C$5:$M$299,11,0),"Inspection at production line")</f>
        <v>Sampling check</v>
      </c>
    </row>
    <row r="2603" spans="1:4" ht="13.8">
      <c r="A2603" s="47" t="s">
        <v>6872</v>
      </c>
      <c r="B2603" s="92" t="s">
        <v>797</v>
      </c>
      <c r="C2603" s="92" t="s">
        <v>6873</v>
      </c>
      <c r="D2603" s="72" t="str">
        <f>IFERROR(VLOOKUP(A2603,'[1]ST-QA-ZZ5'!$C$5:$M$299,11,0),"Inspection at production line")</f>
        <v>Sampling check</v>
      </c>
    </row>
    <row r="2604" spans="1:4" ht="13.8">
      <c r="A2604" s="47" t="s">
        <v>6874</v>
      </c>
      <c r="B2604" s="92" t="s">
        <v>797</v>
      </c>
      <c r="C2604" s="92" t="s">
        <v>6875</v>
      </c>
      <c r="D2604" s="72" t="str">
        <f>IFERROR(VLOOKUP(A2604,'[1]ST-QA-ZZ5'!$C$5:$M$299,11,0),"Inspection at production line")</f>
        <v>Sampling check</v>
      </c>
    </row>
    <row r="2605" spans="1:4" ht="13.8">
      <c r="A2605" s="47" t="s">
        <v>6876</v>
      </c>
      <c r="B2605" s="92" t="s">
        <v>797</v>
      </c>
      <c r="C2605" s="92" t="s">
        <v>6877</v>
      </c>
      <c r="D2605" s="72" t="str">
        <f>IFERROR(VLOOKUP(A2605,'[1]ST-QA-ZZ5'!$C$5:$M$299,11,0),"Inspection at production line")</f>
        <v>Sampling check</v>
      </c>
    </row>
    <row r="2606" spans="1:4" ht="13.8">
      <c r="A2606" s="47" t="s">
        <v>6878</v>
      </c>
      <c r="B2606" s="92" t="s">
        <v>797</v>
      </c>
      <c r="C2606" s="92" t="s">
        <v>6879</v>
      </c>
      <c r="D2606" s="72" t="str">
        <f>IFERROR(VLOOKUP(A2606,'[1]ST-QA-ZZ5'!$C$5:$M$299,11,0),"Inspection at production line")</f>
        <v>Sampling check</v>
      </c>
    </row>
    <row r="2607" spans="1:4" ht="13.8">
      <c r="A2607" s="47" t="s">
        <v>6880</v>
      </c>
      <c r="B2607" s="92" t="s">
        <v>6881</v>
      </c>
      <c r="C2607" s="92" t="s">
        <v>6882</v>
      </c>
      <c r="D2607" s="72" t="str">
        <f>IFERROR(VLOOKUP(A2607,'[1]ST-QA-ZZ5'!$C$5:$M$299,11,0),"Inspection at production line")</f>
        <v>Sampling check</v>
      </c>
    </row>
    <row r="2608" spans="1:4" ht="13.8">
      <c r="A2608" s="47" t="s">
        <v>6883</v>
      </c>
      <c r="B2608" s="92" t="s">
        <v>6881</v>
      </c>
      <c r="C2608" s="92" t="s">
        <v>6884</v>
      </c>
      <c r="D2608" s="72" t="str">
        <f>IFERROR(VLOOKUP(A2608,'[1]ST-QA-ZZ5'!$C$5:$M$299,11,0),"Inspection at production line")</f>
        <v>Sampling check</v>
      </c>
    </row>
    <row r="2609" spans="1:4" ht="13.8">
      <c r="A2609" s="47" t="s">
        <v>6885</v>
      </c>
      <c r="B2609" s="92" t="s">
        <v>5435</v>
      </c>
      <c r="C2609" s="92" t="s">
        <v>6886</v>
      </c>
      <c r="D2609" s="72" t="str">
        <f>IFERROR(VLOOKUP(A2609,'[1]ST-QA-ZZ5'!$C$5:$M$299,11,0),"Inspection at production line")</f>
        <v>Sampling check</v>
      </c>
    </row>
    <row r="2610" spans="1:4" ht="13.8">
      <c r="A2610" s="47" t="s">
        <v>6887</v>
      </c>
      <c r="B2610" s="92" t="s">
        <v>5435</v>
      </c>
      <c r="C2610" s="92" t="s">
        <v>6888</v>
      </c>
      <c r="D2610" s="72" t="str">
        <f>IFERROR(VLOOKUP(A2610,'[1]ST-QA-ZZ5'!$C$5:$M$299,11,0),"Inspection at production line")</f>
        <v>Sampling check</v>
      </c>
    </row>
    <row r="2611" spans="1:4" ht="13.8">
      <c r="A2611" s="47" t="s">
        <v>6889</v>
      </c>
      <c r="B2611" s="92" t="s">
        <v>6890</v>
      </c>
      <c r="C2611" s="92" t="s">
        <v>6891</v>
      </c>
      <c r="D2611" s="72" t="str">
        <f>IFERROR(VLOOKUP(A2611,'[1]ST-QA-ZZ5'!$C$5:$M$299,11,0),"Inspection at production line")</f>
        <v>Sampling check</v>
      </c>
    </row>
    <row r="2612" spans="1:4" ht="13.8">
      <c r="A2612" s="47" t="s">
        <v>6892</v>
      </c>
      <c r="B2612" s="92" t="s">
        <v>6893</v>
      </c>
      <c r="C2612" s="92" t="s">
        <v>6893</v>
      </c>
      <c r="D2612" s="72" t="str">
        <f>IFERROR(VLOOKUP(A2612,'[1]ST-QA-ZZ5'!$C$5:$M$299,11,0),"Inspection at production line")</f>
        <v>Inspection at production line</v>
      </c>
    </row>
    <row r="2613" spans="1:4" ht="13.8">
      <c r="A2613" s="47" t="s">
        <v>6894</v>
      </c>
      <c r="B2613" s="92" t="s">
        <v>857</v>
      </c>
      <c r="C2613" s="92" t="s">
        <v>6895</v>
      </c>
      <c r="D2613" s="72" t="str">
        <f>IFERROR(VLOOKUP(A2613,'[1]ST-QA-ZZ5'!$C$5:$M$299,11,0),"Inspection at production line")</f>
        <v>Inspection at production line</v>
      </c>
    </row>
    <row r="2614" spans="1:4" ht="13.8">
      <c r="A2614" s="47" t="s">
        <v>6896</v>
      </c>
      <c r="B2614" s="92" t="s">
        <v>6897</v>
      </c>
      <c r="C2614" s="92" t="s">
        <v>6897</v>
      </c>
      <c r="D2614" s="72" t="str">
        <f>IFERROR(VLOOKUP(A2614,'[1]ST-QA-ZZ5'!$C$5:$M$299,11,0),"Inspection at production line")</f>
        <v>Inspection at production line</v>
      </c>
    </row>
    <row r="2615" spans="1:4" ht="13.8">
      <c r="A2615" s="47" t="s">
        <v>6898</v>
      </c>
      <c r="B2615" s="92" t="s">
        <v>6899</v>
      </c>
      <c r="C2615" s="92" t="s">
        <v>6899</v>
      </c>
      <c r="D2615" s="72" t="str">
        <f>IFERROR(VLOOKUP(A2615,'[1]ST-QA-ZZ5'!$C$5:$M$299,11,0),"Inspection at production line")</f>
        <v>Inspection at production line</v>
      </c>
    </row>
    <row r="2616" spans="1:4" ht="13.8">
      <c r="A2616" s="47" t="s">
        <v>6900</v>
      </c>
      <c r="B2616" s="92" t="s">
        <v>6901</v>
      </c>
      <c r="C2616" s="92" t="s">
        <v>6901</v>
      </c>
      <c r="D2616" s="72" t="str">
        <f>IFERROR(VLOOKUP(A2616,'[1]ST-QA-ZZ5'!$C$5:$M$299,11,0),"Inspection at production line")</f>
        <v>Inspection at production line</v>
      </c>
    </row>
    <row r="2617" spans="1:4" ht="13.8">
      <c r="A2617" s="47" t="s">
        <v>6902</v>
      </c>
      <c r="B2617" s="92" t="s">
        <v>857</v>
      </c>
      <c r="C2617" s="92" t="s">
        <v>6895</v>
      </c>
      <c r="D2617" s="72" t="str">
        <f>IFERROR(VLOOKUP(A2617,'[1]ST-QA-ZZ5'!$C$5:$M$299,11,0),"Inspection at production line")</f>
        <v>Inspection at production line</v>
      </c>
    </row>
    <row r="2618" spans="1:4" ht="13.8">
      <c r="A2618" s="47" t="s">
        <v>6903</v>
      </c>
      <c r="B2618" s="92" t="s">
        <v>2725</v>
      </c>
      <c r="C2618" s="92" t="s">
        <v>2725</v>
      </c>
      <c r="D2618" s="72" t="str">
        <f>IFERROR(VLOOKUP(A2618,'[1]ST-QA-ZZ5'!$C$5:$M$299,11,0),"Inspection at production line")</f>
        <v>Inspection at production line</v>
      </c>
    </row>
    <row r="2619" spans="1:4" ht="13.8">
      <c r="A2619" s="47" t="s">
        <v>6904</v>
      </c>
      <c r="B2619" s="92" t="s">
        <v>857</v>
      </c>
      <c r="C2619" s="92" t="s">
        <v>6905</v>
      </c>
      <c r="D2619" s="72" t="str">
        <f>IFERROR(VLOOKUP(A2619,'[1]ST-QA-ZZ5'!$C$5:$M$299,11,0),"Inspection at production line")</f>
        <v>Inspection at production line</v>
      </c>
    </row>
    <row r="2620" spans="1:4" ht="13.8">
      <c r="A2620" s="47" t="s">
        <v>6906</v>
      </c>
      <c r="B2620" s="92" t="s">
        <v>6907</v>
      </c>
      <c r="C2620" s="92" t="s">
        <v>6907</v>
      </c>
      <c r="D2620" s="72" t="str">
        <f>IFERROR(VLOOKUP(A2620,'[1]ST-QA-ZZ5'!$C$5:$M$299,11,0),"Inspection at production line")</f>
        <v>Inspection at production line</v>
      </c>
    </row>
    <row r="2621" spans="1:4" ht="13.8">
      <c r="A2621" s="47" t="s">
        <v>6908</v>
      </c>
      <c r="B2621" s="92" t="s">
        <v>857</v>
      </c>
      <c r="C2621" s="92"/>
      <c r="D2621" s="72" t="str">
        <f>IFERROR(VLOOKUP(A2621,'[1]ST-QA-ZZ5'!$C$5:$M$299,11,0),"Inspection at production line")</f>
        <v>Inspection at production line</v>
      </c>
    </row>
    <row r="2622" spans="1:4" ht="13.8">
      <c r="A2622" s="47" t="s">
        <v>6909</v>
      </c>
      <c r="B2622" s="92" t="s">
        <v>857</v>
      </c>
      <c r="C2622" s="92"/>
      <c r="D2622" s="72" t="str">
        <f>IFERROR(VLOOKUP(A2622,'[1]ST-QA-ZZ5'!$C$5:$M$299,11,0),"Inspection at production line")</f>
        <v>Inspection at production line</v>
      </c>
    </row>
    <row r="2623" spans="1:4" ht="13.8">
      <c r="A2623" s="47" t="s">
        <v>6910</v>
      </c>
      <c r="B2623" s="92" t="s">
        <v>857</v>
      </c>
      <c r="C2623" s="92" t="s">
        <v>6911</v>
      </c>
      <c r="D2623" s="72" t="str">
        <f>IFERROR(VLOOKUP(A2623,'[1]ST-QA-ZZ5'!$C$5:$M$299,11,0),"Inspection at production line")</f>
        <v>Inspection at production line</v>
      </c>
    </row>
    <row r="2624" spans="1:4" ht="13.8">
      <c r="A2624" s="47" t="s">
        <v>6912</v>
      </c>
      <c r="B2624" s="92" t="s">
        <v>857</v>
      </c>
      <c r="C2624" s="92"/>
      <c r="D2624" s="72" t="str">
        <f>IFERROR(VLOOKUP(A2624,'[1]ST-QA-ZZ5'!$C$5:$M$299,11,0),"Inspection at production line")</f>
        <v>Inspection at production line</v>
      </c>
    </row>
    <row r="2625" spans="1:4" ht="13.8">
      <c r="A2625" s="47" t="s">
        <v>6913</v>
      </c>
      <c r="B2625" s="92" t="s">
        <v>6914</v>
      </c>
      <c r="C2625" s="94" t="s">
        <v>6915</v>
      </c>
      <c r="D2625" s="72" t="str">
        <f>IFERROR(VLOOKUP(A2625,'[1]ST-QA-ZZ5'!$C$5:$M$299,11,0),"Inspection at production line")</f>
        <v>Inspection at production line</v>
      </c>
    </row>
    <row r="2626" spans="1:4" ht="13.8">
      <c r="A2626" s="47" t="s">
        <v>6916</v>
      </c>
      <c r="B2626" s="92" t="s">
        <v>6917</v>
      </c>
      <c r="C2626" s="92" t="s">
        <v>6918</v>
      </c>
      <c r="D2626" s="72" t="str">
        <f>IFERROR(VLOOKUP(A2626,'[1]ST-QA-ZZ5'!$C$5:$M$299,11,0),"Inspection at production line")</f>
        <v>Inspection at production line</v>
      </c>
    </row>
    <row r="2627" spans="1:4" ht="13.8">
      <c r="A2627" s="47" t="s">
        <v>6919</v>
      </c>
      <c r="B2627" s="92" t="s">
        <v>6920</v>
      </c>
      <c r="C2627" s="92" t="s">
        <v>6921</v>
      </c>
      <c r="D2627" s="72" t="str">
        <f>IFERROR(VLOOKUP(A2627,'[1]ST-QA-ZZ5'!$C$5:$M$299,11,0),"Inspection at production line")</f>
        <v>Inspection at production line</v>
      </c>
    </row>
    <row r="2628" spans="1:4" ht="13.8">
      <c r="A2628" s="47" t="s">
        <v>6922</v>
      </c>
      <c r="B2628" s="92" t="s">
        <v>857</v>
      </c>
      <c r="C2628" s="92" t="s">
        <v>6923</v>
      </c>
      <c r="D2628" s="72" t="str">
        <f>IFERROR(VLOOKUP(A2628,'[1]ST-QA-ZZ5'!$C$5:$M$299,11,0),"Inspection at production line")</f>
        <v>Inspection at production line</v>
      </c>
    </row>
    <row r="2629" spans="1:4" ht="13.8">
      <c r="A2629" s="47" t="s">
        <v>6924</v>
      </c>
      <c r="B2629" s="92" t="s">
        <v>857</v>
      </c>
      <c r="C2629" s="92" t="s">
        <v>6925</v>
      </c>
      <c r="D2629" s="72" t="str">
        <f>IFERROR(VLOOKUP(A2629,'[1]ST-QA-ZZ5'!$C$5:$M$299,11,0),"Inspection at production line")</f>
        <v>Inspection at production line</v>
      </c>
    </row>
    <row r="2630" spans="1:4" ht="13.8">
      <c r="A2630" s="47" t="s">
        <v>6926</v>
      </c>
      <c r="B2630" s="92" t="s">
        <v>857</v>
      </c>
      <c r="C2630" s="92" t="s">
        <v>6927</v>
      </c>
      <c r="D2630" s="72" t="str">
        <f>IFERROR(VLOOKUP(A2630,'[1]ST-QA-ZZ5'!$C$5:$M$299,11,0),"Inspection at production line")</f>
        <v>Inspection at production line</v>
      </c>
    </row>
    <row r="2631" spans="1:4" ht="13.8">
      <c r="A2631" s="47" t="s">
        <v>6928</v>
      </c>
      <c r="B2631" s="92" t="s">
        <v>857</v>
      </c>
      <c r="C2631" s="92" t="s">
        <v>6929</v>
      </c>
      <c r="D2631" s="72" t="str">
        <f>IFERROR(VLOOKUP(A2631,'[1]ST-QA-ZZ5'!$C$5:$M$299,11,0),"Inspection at production line")</f>
        <v>Inspection at production line</v>
      </c>
    </row>
    <row r="2632" spans="1:4" ht="13.8">
      <c r="A2632" s="47" t="s">
        <v>6930</v>
      </c>
      <c r="B2632" s="92" t="s">
        <v>857</v>
      </c>
      <c r="C2632" s="94"/>
      <c r="D2632" s="72" t="str">
        <f>IFERROR(VLOOKUP(A2632,'[1]ST-QA-ZZ5'!$C$5:$M$299,11,0),"Inspection at production line")</f>
        <v>Inspection at production line</v>
      </c>
    </row>
    <row r="2633" spans="1:4" ht="13.8">
      <c r="A2633" s="47" t="s">
        <v>6931</v>
      </c>
      <c r="B2633" s="92" t="s">
        <v>6932</v>
      </c>
      <c r="C2633" s="92" t="s">
        <v>6932</v>
      </c>
      <c r="D2633" s="72" t="str">
        <f>IFERROR(VLOOKUP(A2633,'[1]ST-QA-ZZ5'!$C$5:$M$299,11,0),"Inspection at production line")</f>
        <v>Inspection at production line</v>
      </c>
    </row>
    <row r="2634" spans="1:4" ht="13.8">
      <c r="A2634" s="47" t="s">
        <v>6933</v>
      </c>
      <c r="B2634" s="92" t="s">
        <v>857</v>
      </c>
      <c r="C2634" s="92" t="s">
        <v>6934</v>
      </c>
      <c r="D2634" s="72" t="str">
        <f>IFERROR(VLOOKUP(A2634,'[1]ST-QA-ZZ5'!$C$5:$M$299,11,0),"Inspection at production line")</f>
        <v>Inspection at production line</v>
      </c>
    </row>
    <row r="2635" spans="1:4" ht="13.8">
      <c r="A2635" s="47" t="s">
        <v>6935</v>
      </c>
      <c r="B2635" s="92" t="s">
        <v>857</v>
      </c>
      <c r="C2635" s="92" t="s">
        <v>6936</v>
      </c>
      <c r="D2635" s="72" t="str">
        <f>IFERROR(VLOOKUP(A2635,'[1]ST-QA-ZZ5'!$C$5:$M$299,11,0),"Inspection at production line")</f>
        <v>Inspection at production line</v>
      </c>
    </row>
    <row r="2636" spans="1:4" ht="13.8">
      <c r="A2636" s="47" t="s">
        <v>6937</v>
      </c>
      <c r="B2636" s="92" t="s">
        <v>857</v>
      </c>
      <c r="C2636" s="92" t="s">
        <v>6938</v>
      </c>
      <c r="D2636" s="72" t="str">
        <f>IFERROR(VLOOKUP(A2636,'[1]ST-QA-ZZ5'!$C$5:$M$299,11,0),"Inspection at production line")</f>
        <v>Inspection at production line</v>
      </c>
    </row>
    <row r="2637" spans="1:4" ht="13.8">
      <c r="A2637" s="47" t="s">
        <v>6939</v>
      </c>
      <c r="B2637" s="92" t="s">
        <v>6940</v>
      </c>
      <c r="C2637" s="92" t="s">
        <v>6940</v>
      </c>
      <c r="D2637" s="72" t="str">
        <f>IFERROR(VLOOKUP(A2637,'[1]ST-QA-ZZ5'!$C$5:$M$299,11,0),"Inspection at production line")</f>
        <v>Inspection at production line</v>
      </c>
    </row>
    <row r="2638" spans="1:4" ht="13.8">
      <c r="A2638" s="47" t="s">
        <v>6941</v>
      </c>
      <c r="B2638" s="92" t="s">
        <v>857</v>
      </c>
      <c r="C2638" s="92" t="s">
        <v>6942</v>
      </c>
      <c r="D2638" s="72" t="str">
        <f>IFERROR(VLOOKUP(A2638,'[1]ST-QA-ZZ5'!$C$5:$M$299,11,0),"Inspection at production line")</f>
        <v>Inspection at production line</v>
      </c>
    </row>
    <row r="2639" spans="1:4" ht="13.8">
      <c r="A2639" s="47" t="s">
        <v>6943</v>
      </c>
      <c r="B2639" s="92" t="s">
        <v>857</v>
      </c>
      <c r="C2639" s="92" t="s">
        <v>6944</v>
      </c>
      <c r="D2639" s="72" t="str">
        <f>IFERROR(VLOOKUP(A2639,'[1]ST-QA-ZZ5'!$C$5:$M$299,11,0),"Inspection at production line")</f>
        <v>Inspection at production line</v>
      </c>
    </row>
    <row r="2640" spans="1:4" ht="13.8">
      <c r="A2640" s="47" t="s">
        <v>6945</v>
      </c>
      <c r="B2640" s="92" t="s">
        <v>6946</v>
      </c>
      <c r="C2640" s="92" t="s">
        <v>6946</v>
      </c>
      <c r="D2640" s="72" t="str">
        <f>IFERROR(VLOOKUP(A2640,'[1]ST-QA-ZZ5'!$C$5:$M$299,11,0),"Inspection at production line")</f>
        <v>Inspection at production line</v>
      </c>
    </row>
    <row r="2641" spans="1:4" ht="13.8">
      <c r="A2641" s="47" t="s">
        <v>6947</v>
      </c>
      <c r="B2641" s="92" t="s">
        <v>857</v>
      </c>
      <c r="C2641" s="94" t="s">
        <v>6948</v>
      </c>
      <c r="D2641" s="72" t="str">
        <f>IFERROR(VLOOKUP(A2641,'[1]ST-QA-ZZ5'!$C$5:$M$299,11,0),"Inspection at production line")</f>
        <v>Inspection at production line</v>
      </c>
    </row>
    <row r="2642" spans="1:4" ht="13.8">
      <c r="A2642" s="47" t="s">
        <v>6949</v>
      </c>
      <c r="B2642" s="92" t="s">
        <v>6950</v>
      </c>
      <c r="C2642" s="92" t="s">
        <v>6950</v>
      </c>
      <c r="D2642" s="72" t="str">
        <f>IFERROR(VLOOKUP(A2642,'[1]ST-QA-ZZ5'!$C$5:$M$299,11,0),"Inspection at production line")</f>
        <v>Inspection at production line</v>
      </c>
    </row>
    <row r="2643" spans="1:4" ht="13.8">
      <c r="A2643" s="47" t="s">
        <v>6951</v>
      </c>
      <c r="B2643" s="92" t="s">
        <v>857</v>
      </c>
      <c r="C2643" s="92" t="s">
        <v>6952</v>
      </c>
      <c r="D2643" s="72" t="str">
        <f>IFERROR(VLOOKUP(A2643,'[1]ST-QA-ZZ5'!$C$5:$M$299,11,0),"Inspection at production line")</f>
        <v>Inspection at production line</v>
      </c>
    </row>
    <row r="2644" spans="1:4" ht="13.8">
      <c r="A2644" s="47" t="s">
        <v>6953</v>
      </c>
      <c r="B2644" s="92" t="s">
        <v>6954</v>
      </c>
      <c r="C2644" s="92" t="s">
        <v>6954</v>
      </c>
      <c r="D2644" s="72" t="str">
        <f>IFERROR(VLOOKUP(A2644,'[1]ST-QA-ZZ5'!$C$5:$M$299,11,0),"Inspection at production line")</f>
        <v>Inspection at production line</v>
      </c>
    </row>
    <row r="2645" spans="1:4" ht="13.8">
      <c r="A2645" s="47" t="s">
        <v>6955</v>
      </c>
      <c r="B2645" s="92" t="s">
        <v>6956</v>
      </c>
      <c r="C2645" s="92" t="s">
        <v>6956</v>
      </c>
      <c r="D2645" s="72" t="str">
        <f>IFERROR(VLOOKUP(A2645,'[1]ST-QA-ZZ5'!$C$5:$M$299,11,0),"Inspection at production line")</f>
        <v>Inspection at production line</v>
      </c>
    </row>
    <row r="2646" spans="1:4" ht="13.8">
      <c r="A2646" s="47" t="s">
        <v>6957</v>
      </c>
      <c r="B2646" s="92" t="s">
        <v>857</v>
      </c>
      <c r="C2646" s="94" t="s">
        <v>6958</v>
      </c>
      <c r="D2646" s="72" t="str">
        <f>IFERROR(VLOOKUP(A2646,'[1]ST-QA-ZZ5'!$C$5:$M$299,11,0),"Inspection at production line")</f>
        <v>Inspection at production line</v>
      </c>
    </row>
    <row r="2647" spans="1:4" ht="13.8">
      <c r="A2647" s="47" t="s">
        <v>6959</v>
      </c>
      <c r="B2647" s="92" t="s">
        <v>6960</v>
      </c>
      <c r="C2647" s="92" t="s">
        <v>6960</v>
      </c>
      <c r="D2647" s="72" t="str">
        <f>IFERROR(VLOOKUP(A2647,'[1]ST-QA-ZZ5'!$C$5:$M$299,11,0),"Inspection at production line")</f>
        <v>Inspection at production line</v>
      </c>
    </row>
    <row r="2648" spans="1:4" ht="13.8">
      <c r="A2648" s="47" t="s">
        <v>6961</v>
      </c>
      <c r="B2648" s="92" t="s">
        <v>6962</v>
      </c>
      <c r="C2648" s="92" t="s">
        <v>6962</v>
      </c>
      <c r="D2648" s="72" t="str">
        <f>IFERROR(VLOOKUP(A2648,'[1]ST-QA-ZZ5'!$C$5:$M$299,11,0),"Inspection at production line")</f>
        <v>Inspection at production line</v>
      </c>
    </row>
    <row r="2649" spans="1:4" ht="13.8">
      <c r="A2649" s="47" t="s">
        <v>6963</v>
      </c>
      <c r="B2649" s="92" t="s">
        <v>6964</v>
      </c>
      <c r="C2649" s="92" t="s">
        <v>6964</v>
      </c>
      <c r="D2649" s="72" t="str">
        <f>IFERROR(VLOOKUP(A2649,'[1]ST-QA-ZZ5'!$C$5:$M$299,11,0),"Inspection at production line")</f>
        <v>Inspection at production line</v>
      </c>
    </row>
    <row r="2650" spans="1:4" ht="13.8">
      <c r="A2650" s="47" t="s">
        <v>6965</v>
      </c>
      <c r="B2650" s="92" t="s">
        <v>6966</v>
      </c>
      <c r="C2650" s="92" t="s">
        <v>6966</v>
      </c>
      <c r="D2650" s="72" t="str">
        <f>IFERROR(VLOOKUP(A2650,'[1]ST-QA-ZZ5'!$C$5:$M$299,11,0),"Inspection at production line")</f>
        <v>Inspection at production line</v>
      </c>
    </row>
    <row r="2651" spans="1:4" ht="13.8">
      <c r="A2651" s="47" t="s">
        <v>6967</v>
      </c>
      <c r="B2651" s="92" t="s">
        <v>6968</v>
      </c>
      <c r="C2651" s="92" t="s">
        <v>6968</v>
      </c>
      <c r="D2651" s="72" t="str">
        <f>IFERROR(VLOOKUP(A2651,'[1]ST-QA-ZZ5'!$C$5:$M$299,11,0),"Inspection at production line")</f>
        <v>Inspection at production line</v>
      </c>
    </row>
    <row r="2652" spans="1:4" ht="13.8">
      <c r="A2652" s="47" t="s">
        <v>6969</v>
      </c>
      <c r="B2652" s="92" t="s">
        <v>6970</v>
      </c>
      <c r="C2652" s="92" t="s">
        <v>6970</v>
      </c>
      <c r="D2652" s="72" t="str">
        <f>IFERROR(VLOOKUP(A2652,'[1]ST-QA-ZZ5'!$C$5:$M$299,11,0),"Inspection at production line")</f>
        <v>Inspection at production line</v>
      </c>
    </row>
    <row r="2653" spans="1:4" ht="13.8">
      <c r="A2653" s="47" t="s">
        <v>6971</v>
      </c>
      <c r="B2653" s="92" t="s">
        <v>2223</v>
      </c>
      <c r="C2653" s="92" t="s">
        <v>6972</v>
      </c>
      <c r="D2653" s="72" t="str">
        <f>IFERROR(VLOOKUP(A2653,'[1]ST-QA-ZZ5'!$C$5:$M$299,11,0),"Inspection at production line")</f>
        <v>Inspection at production line</v>
      </c>
    </row>
    <row r="2654" spans="1:4" ht="13.8">
      <c r="A2654" s="47" t="s">
        <v>6973</v>
      </c>
      <c r="B2654" s="92" t="s">
        <v>2223</v>
      </c>
      <c r="C2654" s="92" t="s">
        <v>6974</v>
      </c>
      <c r="D2654" s="72" t="str">
        <f>IFERROR(VLOOKUP(A2654,'[1]ST-QA-ZZ5'!$C$5:$M$299,11,0),"Inspection at production line")</f>
        <v>Inspection at production line</v>
      </c>
    </row>
    <row r="2655" spans="1:4" ht="13.8">
      <c r="A2655" s="47" t="s">
        <v>6975</v>
      </c>
      <c r="B2655" s="92" t="s">
        <v>2223</v>
      </c>
      <c r="C2655" s="92" t="s">
        <v>6976</v>
      </c>
      <c r="D2655" s="72" t="str">
        <f>IFERROR(VLOOKUP(A2655,'[1]ST-QA-ZZ5'!$C$5:$M$299,11,0),"Inspection at production line")</f>
        <v>Inspection at production line</v>
      </c>
    </row>
    <row r="2656" spans="1:4" ht="13.8">
      <c r="A2656" s="47" t="s">
        <v>6977</v>
      </c>
      <c r="B2656" s="92" t="s">
        <v>857</v>
      </c>
      <c r="C2656" s="94" t="s">
        <v>6978</v>
      </c>
      <c r="D2656" s="72" t="str">
        <f>IFERROR(VLOOKUP(A2656,'[1]ST-QA-ZZ5'!$C$5:$M$299,11,0),"Inspection at production line")</f>
        <v>Inspection at production line</v>
      </c>
    </row>
    <row r="2657" spans="1:4" ht="13.8">
      <c r="A2657" s="47" t="s">
        <v>5051</v>
      </c>
      <c r="B2657" s="92" t="s">
        <v>555</v>
      </c>
      <c r="C2657" s="92" t="s">
        <v>5052</v>
      </c>
      <c r="D2657" s="72" t="str">
        <f>IFERROR(VLOOKUP(A2657,'[1]ST-QA-ZZ5'!$C$5:$M$299,11,0),"Inspection at production line")</f>
        <v>Inspection at production line</v>
      </c>
    </row>
    <row r="2658" spans="1:4" ht="13.8">
      <c r="A2658" s="47" t="s">
        <v>6979</v>
      </c>
      <c r="B2658" s="92" t="s">
        <v>821</v>
      </c>
      <c r="C2658" s="92" t="s">
        <v>6980</v>
      </c>
      <c r="D2658" s="72" t="str">
        <f>IFERROR(VLOOKUP(A2658,'[1]ST-QA-ZZ5'!$C$5:$M$299,11,0),"Inspection at production line")</f>
        <v>Inspection at production line</v>
      </c>
    </row>
    <row r="2659" spans="1:4" ht="13.8">
      <c r="A2659" s="47" t="s">
        <v>6981</v>
      </c>
      <c r="B2659" s="92" t="s">
        <v>555</v>
      </c>
      <c r="C2659" s="92" t="s">
        <v>6982</v>
      </c>
      <c r="D2659" s="72" t="str">
        <f>IFERROR(VLOOKUP(A2659,'[1]ST-QA-ZZ5'!$C$5:$M$299,11,0),"Inspection at production line")</f>
        <v>Inspection at production line</v>
      </c>
    </row>
    <row r="2660" spans="1:4" ht="13.8">
      <c r="A2660" s="47" t="s">
        <v>6983</v>
      </c>
      <c r="B2660" s="92" t="s">
        <v>821</v>
      </c>
      <c r="C2660" s="92" t="s">
        <v>6984</v>
      </c>
      <c r="D2660" s="72" t="str">
        <f>IFERROR(VLOOKUP(A2660,'[1]ST-QA-ZZ5'!$C$5:$M$299,11,0),"Inspection at production line")</f>
        <v>Inspection at production line</v>
      </c>
    </row>
    <row r="2661" spans="1:4" ht="13.8">
      <c r="A2661" s="47" t="s">
        <v>6985</v>
      </c>
      <c r="B2661" s="92" t="s">
        <v>555</v>
      </c>
      <c r="C2661" s="92" t="s">
        <v>6986</v>
      </c>
      <c r="D2661" s="72" t="str">
        <f>IFERROR(VLOOKUP(A2661,'[1]ST-QA-ZZ5'!$C$5:$M$299,11,0),"Inspection at production line")</f>
        <v>Inspection at production line</v>
      </c>
    </row>
    <row r="2662" spans="1:4" ht="13.8">
      <c r="A2662" s="47" t="s">
        <v>6987</v>
      </c>
      <c r="B2662" s="92" t="s">
        <v>857</v>
      </c>
      <c r="C2662" s="92" t="s">
        <v>6988</v>
      </c>
      <c r="D2662" s="72" t="str">
        <f>IFERROR(VLOOKUP(A2662,'[1]ST-QA-ZZ5'!$C$5:$M$299,11,0),"Inspection at production line")</f>
        <v>Inspection at production line</v>
      </c>
    </row>
    <row r="2663" spans="1:4" ht="13.8">
      <c r="A2663" s="47" t="s">
        <v>6989</v>
      </c>
      <c r="B2663" s="92" t="s">
        <v>857</v>
      </c>
      <c r="C2663" s="94" t="s">
        <v>6990</v>
      </c>
      <c r="D2663" s="72" t="str">
        <f>IFERROR(VLOOKUP(A2663,'[1]ST-QA-ZZ5'!$C$5:$M$299,11,0),"Inspection at production line")</f>
        <v>Inspection at production line</v>
      </c>
    </row>
    <row r="2664" spans="1:4" ht="13.8">
      <c r="A2664" s="47" t="s">
        <v>6991</v>
      </c>
      <c r="B2664" s="92" t="s">
        <v>857</v>
      </c>
      <c r="C2664" s="92" t="s">
        <v>6992</v>
      </c>
      <c r="D2664" s="72" t="str">
        <f>IFERROR(VLOOKUP(A2664,'[1]ST-QA-ZZ5'!$C$5:$M$299,11,0),"Inspection at production line")</f>
        <v>Inspection at production line</v>
      </c>
    </row>
    <row r="2665" spans="1:4" ht="13.8">
      <c r="A2665" s="47" t="s">
        <v>6993</v>
      </c>
      <c r="B2665" s="92" t="s">
        <v>857</v>
      </c>
      <c r="C2665" s="92" t="s">
        <v>6994</v>
      </c>
      <c r="D2665" s="72" t="str">
        <f>IFERROR(VLOOKUP(A2665,'[1]ST-QA-ZZ5'!$C$5:$M$299,11,0),"Inspection at production line")</f>
        <v>Inspection at production line</v>
      </c>
    </row>
    <row r="2666" spans="1:4" ht="13.8">
      <c r="A2666" s="47" t="s">
        <v>6995</v>
      </c>
      <c r="B2666" s="92" t="s">
        <v>857</v>
      </c>
      <c r="C2666" s="94" t="s">
        <v>6996</v>
      </c>
      <c r="D2666" s="72" t="str">
        <f>IFERROR(VLOOKUP(A2666,'[1]ST-QA-ZZ5'!$C$5:$M$299,11,0),"Inspection at production line")</f>
        <v>Inspection at production line</v>
      </c>
    </row>
    <row r="2667" spans="1:4" ht="13.8">
      <c r="A2667" s="47" t="s">
        <v>6997</v>
      </c>
      <c r="B2667" s="92" t="s">
        <v>857</v>
      </c>
      <c r="C2667" s="92" t="s">
        <v>6998</v>
      </c>
      <c r="D2667" s="72" t="str">
        <f>IFERROR(VLOOKUP(A2667,'[1]ST-QA-ZZ5'!$C$5:$M$299,11,0),"Inspection at production line")</f>
        <v>Inspection at production line</v>
      </c>
    </row>
    <row r="2668" spans="1:4" ht="13.8">
      <c r="A2668" s="47" t="s">
        <v>6999</v>
      </c>
      <c r="B2668" s="92" t="s">
        <v>857</v>
      </c>
      <c r="C2668" s="92" t="s">
        <v>7000</v>
      </c>
      <c r="D2668" s="72" t="str">
        <f>IFERROR(VLOOKUP(A2668,'[1]ST-QA-ZZ5'!$C$5:$M$299,11,0),"Inspection at production line")</f>
        <v>Inspection at production line</v>
      </c>
    </row>
    <row r="2669" spans="1:4" ht="13.8">
      <c r="A2669" s="47" t="s">
        <v>7001</v>
      </c>
      <c r="B2669" s="92" t="s">
        <v>857</v>
      </c>
      <c r="C2669" s="94" t="s">
        <v>7002</v>
      </c>
      <c r="D2669" s="72" t="str">
        <f>IFERROR(VLOOKUP(A2669,'[1]ST-QA-ZZ5'!$C$5:$M$299,11,0),"Inspection at production line")</f>
        <v>Inspection at production line</v>
      </c>
    </row>
    <row r="2670" spans="1:4" ht="13.8">
      <c r="A2670" s="47" t="s">
        <v>7003</v>
      </c>
      <c r="B2670" s="92" t="s">
        <v>857</v>
      </c>
      <c r="C2670" s="92" t="s">
        <v>7004</v>
      </c>
      <c r="D2670" s="72" t="str">
        <f>IFERROR(VLOOKUP(A2670,'[1]ST-QA-ZZ5'!$C$5:$M$299,11,0),"Inspection at production line")</f>
        <v>Inspection at production line</v>
      </c>
    </row>
    <row r="2671" spans="1:4" ht="13.8">
      <c r="A2671" s="47" t="s">
        <v>7005</v>
      </c>
      <c r="B2671" s="92" t="s">
        <v>857</v>
      </c>
      <c r="C2671" s="92" t="s">
        <v>7006</v>
      </c>
      <c r="D2671" s="72" t="str">
        <f>IFERROR(VLOOKUP(A2671,'[1]ST-QA-ZZ5'!$C$5:$M$299,11,0),"Inspection at production line")</f>
        <v>Inspection at production line</v>
      </c>
    </row>
    <row r="2672" spans="1:4" ht="13.8">
      <c r="A2672" s="47" t="s">
        <v>7007</v>
      </c>
      <c r="B2672" s="92" t="s">
        <v>857</v>
      </c>
      <c r="C2672" s="92" t="s">
        <v>7008</v>
      </c>
      <c r="D2672" s="72" t="str">
        <f>IFERROR(VLOOKUP(A2672,'[1]ST-QA-ZZ5'!$C$5:$M$299,11,0),"Inspection at production line")</f>
        <v>Inspection at production line</v>
      </c>
    </row>
    <row r="2673" spans="1:4" ht="13.8">
      <c r="A2673" s="47" t="s">
        <v>7009</v>
      </c>
      <c r="B2673" s="92" t="s">
        <v>857</v>
      </c>
      <c r="C2673" s="92" t="s">
        <v>7010</v>
      </c>
      <c r="D2673" s="72" t="str">
        <f>IFERROR(VLOOKUP(A2673,'[1]ST-QA-ZZ5'!$C$5:$M$299,11,0),"Inspection at production line")</f>
        <v>Inspection at production line</v>
      </c>
    </row>
    <row r="2674" spans="1:4" ht="13.8">
      <c r="A2674" s="47" t="s">
        <v>7011</v>
      </c>
      <c r="B2674" s="92" t="s">
        <v>857</v>
      </c>
      <c r="C2674" s="92" t="s">
        <v>7012</v>
      </c>
      <c r="D2674" s="72" t="str">
        <f>IFERROR(VLOOKUP(A2674,'[1]ST-QA-ZZ5'!$C$5:$M$299,11,0),"Inspection at production line")</f>
        <v>Inspection at production line</v>
      </c>
    </row>
    <row r="2675" spans="1:4" ht="13.8">
      <c r="A2675" s="47" t="s">
        <v>7013</v>
      </c>
      <c r="B2675" s="92" t="s">
        <v>7014</v>
      </c>
      <c r="C2675" s="92" t="s">
        <v>7015</v>
      </c>
      <c r="D2675" s="72" t="str">
        <f>IFERROR(VLOOKUP(A2675,'[1]ST-QA-ZZ5'!$C$5:$M$299,11,0),"Inspection at production line")</f>
        <v>Inspection at production line</v>
      </c>
    </row>
    <row r="2676" spans="1:4" ht="13.8">
      <c r="A2676" s="47" t="s">
        <v>7016</v>
      </c>
      <c r="B2676" s="92" t="s">
        <v>857</v>
      </c>
      <c r="C2676" s="92" t="s">
        <v>7017</v>
      </c>
      <c r="D2676" s="72" t="str">
        <f>IFERROR(VLOOKUP(A2676,'[1]ST-QA-ZZ5'!$C$5:$M$299,11,0),"Inspection at production line")</f>
        <v>Inspection at production line</v>
      </c>
    </row>
    <row r="2677" spans="1:4" ht="13.8">
      <c r="A2677" s="47" t="s">
        <v>7018</v>
      </c>
      <c r="B2677" s="92" t="s">
        <v>857</v>
      </c>
      <c r="C2677" s="94" t="s">
        <v>7019</v>
      </c>
      <c r="D2677" s="72" t="str">
        <f>IFERROR(VLOOKUP(A2677,'[1]ST-QA-ZZ5'!$C$5:$M$299,11,0),"Inspection at production line")</f>
        <v>Inspection at production line</v>
      </c>
    </row>
    <row r="2678" spans="1:4" ht="13.8">
      <c r="A2678" s="47" t="s">
        <v>7020</v>
      </c>
      <c r="B2678" s="92" t="s">
        <v>7021</v>
      </c>
      <c r="C2678" s="94" t="s">
        <v>7021</v>
      </c>
      <c r="D2678" s="72" t="str">
        <f>IFERROR(VLOOKUP(A2678,'[1]ST-QA-ZZ5'!$C$5:$M$299,11,0),"Inspection at production line")</f>
        <v>Inspection at production line</v>
      </c>
    </row>
    <row r="2679" spans="1:4" ht="13.8">
      <c r="A2679" s="47" t="s">
        <v>7022</v>
      </c>
      <c r="B2679" s="92" t="s">
        <v>7023</v>
      </c>
      <c r="C2679" s="92" t="s">
        <v>7023</v>
      </c>
      <c r="D2679" s="72" t="str">
        <f>IFERROR(VLOOKUP(A2679,'[1]ST-QA-ZZ5'!$C$5:$M$299,11,0),"Inspection at production line")</f>
        <v>Inspection at production line</v>
      </c>
    </row>
    <row r="2680" spans="1:4" ht="13.8">
      <c r="A2680" s="47" t="s">
        <v>7024</v>
      </c>
      <c r="B2680" s="92" t="s">
        <v>857</v>
      </c>
      <c r="C2680" s="92" t="s">
        <v>7025</v>
      </c>
      <c r="D2680" s="72" t="str">
        <f>IFERROR(VLOOKUP(A2680,'[1]ST-QA-ZZ5'!$C$5:$M$299,11,0),"Inspection at production line")</f>
        <v>Inspection at production line</v>
      </c>
    </row>
    <row r="2681" spans="1:4" ht="13.8">
      <c r="A2681" s="47" t="s">
        <v>7026</v>
      </c>
      <c r="B2681" s="92" t="s">
        <v>2268</v>
      </c>
      <c r="C2681" s="92" t="s">
        <v>2268</v>
      </c>
      <c r="D2681" s="72" t="str">
        <f>IFERROR(VLOOKUP(A2681,'[1]ST-QA-ZZ5'!$C$5:$M$299,11,0),"Inspection at production line")</f>
        <v>Inspection at production line</v>
      </c>
    </row>
    <row r="2682" spans="1:4" ht="13.8">
      <c r="A2682" s="47" t="s">
        <v>7027</v>
      </c>
      <c r="B2682" s="92" t="s">
        <v>7028</v>
      </c>
      <c r="C2682" s="94" t="s">
        <v>7028</v>
      </c>
      <c r="D2682" s="72" t="str">
        <f>IFERROR(VLOOKUP(A2682,'[1]ST-QA-ZZ5'!$C$5:$M$299,11,0),"Inspection at production line")</f>
        <v>Inspection at production line</v>
      </c>
    </row>
    <row r="2683" spans="1:4" ht="13.8">
      <c r="A2683" s="47" t="s">
        <v>7029</v>
      </c>
      <c r="B2683" s="92" t="s">
        <v>857</v>
      </c>
      <c r="C2683" s="92" t="s">
        <v>7030</v>
      </c>
      <c r="D2683" s="72" t="str">
        <f>IFERROR(VLOOKUP(A2683,'[1]ST-QA-ZZ5'!$C$5:$M$299,11,0),"Inspection at production line")</f>
        <v>Inspection at production line</v>
      </c>
    </row>
    <row r="2684" spans="1:4" ht="13.8">
      <c r="A2684" s="47" t="s">
        <v>7031</v>
      </c>
      <c r="B2684" s="92" t="s">
        <v>7032</v>
      </c>
      <c r="C2684" s="92" t="s">
        <v>7033</v>
      </c>
      <c r="D2684" s="72" t="str">
        <f>IFERROR(VLOOKUP(A2684,'[1]ST-QA-ZZ5'!$C$5:$M$299,11,0),"Inspection at production line")</f>
        <v>Inspection at production line</v>
      </c>
    </row>
    <row r="2685" spans="1:4" ht="13.8">
      <c r="A2685" s="47" t="s">
        <v>7034</v>
      </c>
      <c r="B2685" s="92" t="s">
        <v>7035</v>
      </c>
      <c r="C2685" s="92" t="s">
        <v>7036</v>
      </c>
      <c r="D2685" s="72" t="str">
        <f>IFERROR(VLOOKUP(A2685,'[1]ST-QA-ZZ5'!$C$5:$M$299,11,0),"Inspection at production line")</f>
        <v>Inspection at production line</v>
      </c>
    </row>
    <row r="2686" spans="1:4" ht="13.8">
      <c r="A2686" s="47" t="s">
        <v>7037</v>
      </c>
      <c r="B2686" s="92" t="s">
        <v>7038</v>
      </c>
      <c r="C2686" s="92" t="s">
        <v>7038</v>
      </c>
      <c r="D2686" s="72" t="str">
        <f>IFERROR(VLOOKUP(A2686,'[1]ST-QA-ZZ5'!$C$5:$M$299,11,0),"Inspection at production line")</f>
        <v>Inspection at production line</v>
      </c>
    </row>
    <row r="2687" spans="1:4" ht="13.8">
      <c r="A2687" s="47" t="s">
        <v>7039</v>
      </c>
      <c r="B2687" s="92" t="s">
        <v>857</v>
      </c>
      <c r="C2687" s="94" t="s">
        <v>7040</v>
      </c>
      <c r="D2687" s="72" t="str">
        <f>IFERROR(VLOOKUP(A2687,'[1]ST-QA-ZZ5'!$C$5:$M$299,11,0),"Inspection at production line")</f>
        <v>Inspection at production line</v>
      </c>
    </row>
    <row r="2688" spans="1:4" ht="13.8">
      <c r="A2688" s="47" t="s">
        <v>7041</v>
      </c>
      <c r="B2688" s="92" t="s">
        <v>7042</v>
      </c>
      <c r="C2688" s="94" t="s">
        <v>7043</v>
      </c>
      <c r="D2688" s="72" t="str">
        <f>IFERROR(VLOOKUP(A2688,'[1]ST-QA-ZZ5'!$C$5:$M$299,11,0),"Inspection at production line")</f>
        <v>Inspection at production line</v>
      </c>
    </row>
    <row r="2689" spans="1:4" ht="13.8">
      <c r="A2689" s="47" t="s">
        <v>7044</v>
      </c>
      <c r="B2689" s="92" t="s">
        <v>3415</v>
      </c>
      <c r="C2689" s="92" t="s">
        <v>7045</v>
      </c>
      <c r="D2689" s="72" t="str">
        <f>IFERROR(VLOOKUP(A2689,'[1]ST-QA-ZZ5'!$C$5:$M$299,11,0),"Inspection at production line")</f>
        <v>Inspection at production line</v>
      </c>
    </row>
    <row r="2690" spans="1:4" ht="13.8">
      <c r="A2690" s="47" t="s">
        <v>7046</v>
      </c>
      <c r="B2690" s="92" t="s">
        <v>941</v>
      </c>
      <c r="C2690" s="92" t="s">
        <v>7045</v>
      </c>
      <c r="D2690" s="72" t="str">
        <f>IFERROR(VLOOKUP(A2690,'[1]ST-QA-ZZ5'!$C$5:$M$299,11,0),"Inspection at production line")</f>
        <v>Inspection at production line</v>
      </c>
    </row>
    <row r="2691" spans="1:4" ht="13.8">
      <c r="A2691" s="47" t="s">
        <v>7047</v>
      </c>
      <c r="B2691" s="92" t="s">
        <v>946</v>
      </c>
      <c r="C2691" s="92" t="s">
        <v>7045</v>
      </c>
      <c r="D2691" s="72" t="str">
        <f>IFERROR(VLOOKUP(A2691,'[1]ST-QA-ZZ5'!$C$5:$M$299,11,0),"Inspection at production line")</f>
        <v>Inspection at production line</v>
      </c>
    </row>
    <row r="2692" spans="1:4" ht="13.8">
      <c r="A2692" s="47" t="s">
        <v>7048</v>
      </c>
      <c r="B2692" s="92" t="s">
        <v>1273</v>
      </c>
      <c r="C2692" s="92" t="s">
        <v>7045</v>
      </c>
      <c r="D2692" s="72" t="str">
        <f>IFERROR(VLOOKUP(A2692,'[1]ST-QA-ZZ5'!$C$5:$M$299,11,0),"Inspection at production line")</f>
        <v>Inspection at production line</v>
      </c>
    </row>
    <row r="2693" spans="1:4" ht="13.8">
      <c r="A2693" s="47" t="s">
        <v>7049</v>
      </c>
      <c r="B2693" s="92" t="s">
        <v>3530</v>
      </c>
      <c r="C2693" s="94" t="s">
        <v>7045</v>
      </c>
      <c r="D2693" s="72" t="str">
        <f>IFERROR(VLOOKUP(A2693,'[1]ST-QA-ZZ5'!$C$5:$M$299,11,0),"Inspection at production line")</f>
        <v>Inspection at production line</v>
      </c>
    </row>
    <row r="2694" spans="1:4" ht="13.8">
      <c r="A2694" s="47" t="s">
        <v>7050</v>
      </c>
      <c r="B2694" s="92" t="s">
        <v>7051</v>
      </c>
      <c r="C2694" s="92" t="s">
        <v>7052</v>
      </c>
      <c r="D2694" s="72" t="str">
        <f>IFERROR(VLOOKUP(A2694,'[1]ST-QA-ZZ5'!$C$5:$M$299,11,0),"Inspection at production line")</f>
        <v>Inspection at production line</v>
      </c>
    </row>
    <row r="2695" spans="1:4" ht="13.8">
      <c r="A2695" s="47" t="s">
        <v>7053</v>
      </c>
      <c r="B2695" s="92" t="s">
        <v>857</v>
      </c>
      <c r="C2695" s="92" t="s">
        <v>7054</v>
      </c>
      <c r="D2695" s="72" t="str">
        <f>IFERROR(VLOOKUP(A2695,'[1]ST-QA-ZZ5'!$C$5:$M$299,11,0),"Inspection at production line")</f>
        <v>Inspection at production line</v>
      </c>
    </row>
    <row r="2696" spans="1:4" ht="13.8">
      <c r="A2696" s="47" t="s">
        <v>7055</v>
      </c>
      <c r="B2696" s="92" t="s">
        <v>857</v>
      </c>
      <c r="C2696" s="92" t="s">
        <v>7056</v>
      </c>
      <c r="D2696" s="72" t="str">
        <f>IFERROR(VLOOKUP(A2696,'[1]ST-QA-ZZ5'!$C$5:$M$299,11,0),"Inspection at production line")</f>
        <v>Inspection at production line</v>
      </c>
    </row>
    <row r="2697" spans="1:4" ht="13.8">
      <c r="A2697" s="47" t="s">
        <v>7057</v>
      </c>
      <c r="B2697" s="92" t="s">
        <v>7058</v>
      </c>
      <c r="C2697" s="92" t="s">
        <v>7058</v>
      </c>
      <c r="D2697" s="72" t="str">
        <f>IFERROR(VLOOKUP(A2697,'[1]ST-QA-ZZ5'!$C$5:$M$299,11,0),"Inspection at production line")</f>
        <v>Inspection at production line</v>
      </c>
    </row>
    <row r="2698" spans="1:4" ht="13.8">
      <c r="A2698" s="47" t="s">
        <v>7059</v>
      </c>
      <c r="B2698" s="92" t="s">
        <v>1208</v>
      </c>
      <c r="C2698" s="92" t="s">
        <v>7051</v>
      </c>
      <c r="D2698" s="72" t="str">
        <f>IFERROR(VLOOKUP(A2698,'[1]ST-QA-ZZ5'!$C$5:$M$299,11,0),"Inspection at production line")</f>
        <v>Inspection at production line</v>
      </c>
    </row>
    <row r="2699" spans="1:4" ht="13.8">
      <c r="A2699" s="47" t="s">
        <v>7060</v>
      </c>
      <c r="B2699" s="92" t="s">
        <v>857</v>
      </c>
      <c r="C2699" s="92" t="s">
        <v>7052</v>
      </c>
      <c r="D2699" s="72" t="str">
        <f>IFERROR(VLOOKUP(A2699,'[1]ST-QA-ZZ5'!$C$5:$M$299,11,0),"Inspection at production line")</f>
        <v>Inspection at production line</v>
      </c>
    </row>
    <row r="2700" spans="1:4" ht="13.8">
      <c r="A2700" s="47" t="s">
        <v>7061</v>
      </c>
      <c r="B2700" s="92" t="s">
        <v>857</v>
      </c>
      <c r="C2700" s="92" t="s">
        <v>7062</v>
      </c>
      <c r="D2700" s="72" t="str">
        <f>IFERROR(VLOOKUP(A2700,'[1]ST-QA-ZZ5'!$C$5:$M$299,11,0),"Inspection at production line")</f>
        <v>Inspection at production line</v>
      </c>
    </row>
    <row r="2701" spans="1:4" ht="13.8">
      <c r="A2701" s="47" t="s">
        <v>7063</v>
      </c>
      <c r="B2701" s="92" t="s">
        <v>7064</v>
      </c>
      <c r="C2701" s="92" t="s">
        <v>7064</v>
      </c>
      <c r="D2701" s="72" t="str">
        <f>IFERROR(VLOOKUP(A2701,'[1]ST-QA-ZZ5'!$C$5:$M$299,11,0),"Inspection at production line")</f>
        <v>Inspection at production line</v>
      </c>
    </row>
    <row r="2702" spans="1:4" ht="13.8">
      <c r="A2702" s="47" t="s">
        <v>7065</v>
      </c>
      <c r="B2702" s="92" t="s">
        <v>7066</v>
      </c>
      <c r="C2702" s="92" t="s">
        <v>7066</v>
      </c>
      <c r="D2702" s="72" t="str">
        <f>IFERROR(VLOOKUP(A2702,'[1]ST-QA-ZZ5'!$C$5:$M$299,11,0),"Inspection at production line")</f>
        <v>Inspection at production line</v>
      </c>
    </row>
    <row r="2703" spans="1:4" ht="13.8">
      <c r="A2703" s="47" t="s">
        <v>7067</v>
      </c>
      <c r="B2703" s="92" t="s">
        <v>857</v>
      </c>
      <c r="C2703" s="92" t="s">
        <v>7068</v>
      </c>
      <c r="D2703" s="72" t="str">
        <f>IFERROR(VLOOKUP(A2703,'[1]ST-QA-ZZ5'!$C$5:$M$299,11,0),"Inspection at production line")</f>
        <v>Inspection at production line</v>
      </c>
    </row>
    <row r="2704" spans="1:4" ht="13.8">
      <c r="A2704" s="47" t="s">
        <v>7069</v>
      </c>
      <c r="B2704" s="92" t="s">
        <v>857</v>
      </c>
      <c r="C2704" s="92" t="s">
        <v>7070</v>
      </c>
      <c r="D2704" s="72" t="str">
        <f>IFERROR(VLOOKUP(A2704,'[1]ST-QA-ZZ5'!$C$5:$M$299,11,0),"Inspection at production line")</f>
        <v>Inspection at production line</v>
      </c>
    </row>
    <row r="2705" spans="1:4" ht="13.8">
      <c r="A2705" s="47" t="s">
        <v>7071</v>
      </c>
      <c r="B2705" s="92" t="s">
        <v>857</v>
      </c>
      <c r="C2705" s="92" t="s">
        <v>7072</v>
      </c>
      <c r="D2705" s="72" t="str">
        <f>IFERROR(VLOOKUP(A2705,'[1]ST-QA-ZZ5'!$C$5:$M$299,11,0),"Inspection at production line")</f>
        <v>Inspection at production line</v>
      </c>
    </row>
    <row r="2706" spans="1:4" ht="13.8">
      <c r="A2706" s="47" t="s">
        <v>7073</v>
      </c>
      <c r="B2706" s="92" t="s">
        <v>857</v>
      </c>
      <c r="C2706" s="92" t="s">
        <v>7074</v>
      </c>
      <c r="D2706" s="72" t="str">
        <f>IFERROR(VLOOKUP(A2706,'[1]ST-QA-ZZ5'!$C$5:$M$299,11,0),"Inspection at production line")</f>
        <v>Inspection at production line</v>
      </c>
    </row>
    <row r="2707" spans="1:4" ht="13.8">
      <c r="A2707" s="47" t="s">
        <v>7075</v>
      </c>
      <c r="B2707" s="92" t="s">
        <v>7076</v>
      </c>
      <c r="C2707" s="92" t="s">
        <v>7076</v>
      </c>
      <c r="D2707" s="72" t="str">
        <f>IFERROR(VLOOKUP(A2707,'[1]ST-QA-ZZ5'!$C$5:$M$299,11,0),"Inspection at production line")</f>
        <v>Inspection at production line</v>
      </c>
    </row>
    <row r="2708" spans="1:4" ht="13.8">
      <c r="A2708" s="47" t="s">
        <v>7077</v>
      </c>
      <c r="B2708" s="92" t="s">
        <v>7078</v>
      </c>
      <c r="C2708" s="92" t="s">
        <v>7078</v>
      </c>
      <c r="D2708" s="72" t="str">
        <f>IFERROR(VLOOKUP(A2708,'[1]ST-QA-ZZ5'!$C$5:$M$299,11,0),"Inspection at production line")</f>
        <v>Inspection at production line</v>
      </c>
    </row>
    <row r="2709" spans="1:4" ht="13.8">
      <c r="A2709" s="47" t="s">
        <v>7079</v>
      </c>
      <c r="B2709" s="92" t="s">
        <v>7080</v>
      </c>
      <c r="C2709" s="92" t="s">
        <v>7080</v>
      </c>
      <c r="D2709" s="72" t="str">
        <f>IFERROR(VLOOKUP(A2709,'[1]ST-QA-ZZ5'!$C$5:$M$299,11,0),"Inspection at production line")</f>
        <v>Inspection at production line</v>
      </c>
    </row>
    <row r="2710" spans="1:4" ht="13.8">
      <c r="A2710" s="47" t="s">
        <v>7081</v>
      </c>
      <c r="B2710" s="92" t="s">
        <v>7082</v>
      </c>
      <c r="C2710" s="92" t="s">
        <v>7082</v>
      </c>
      <c r="D2710" s="72" t="str">
        <f>IFERROR(VLOOKUP(A2710,'[1]ST-QA-ZZ5'!$C$5:$M$299,11,0),"Inspection at production line")</f>
        <v>Inspection at production line</v>
      </c>
    </row>
    <row r="2711" spans="1:4" ht="13.8">
      <c r="A2711" s="47" t="s">
        <v>7083</v>
      </c>
      <c r="B2711" s="92" t="s">
        <v>7084</v>
      </c>
      <c r="C2711" s="92" t="s">
        <v>7085</v>
      </c>
      <c r="D2711" s="72" t="str">
        <f>IFERROR(VLOOKUP(A2711,'[1]ST-QA-ZZ5'!$C$5:$M$299,11,0),"Inspection at production line")</f>
        <v>Inspection at production line</v>
      </c>
    </row>
    <row r="2712" spans="1:4" ht="13.8">
      <c r="A2712" s="47" t="s">
        <v>7086</v>
      </c>
      <c r="B2712" s="92" t="s">
        <v>857</v>
      </c>
      <c r="C2712" s="92" t="s">
        <v>1542</v>
      </c>
      <c r="D2712" s="72" t="str">
        <f>IFERROR(VLOOKUP(A2712,'[1]ST-QA-ZZ5'!$C$5:$M$299,11,0),"Inspection at production line")</f>
        <v>Inspection at production line</v>
      </c>
    </row>
    <row r="2713" spans="1:4" ht="13.8">
      <c r="A2713" s="47" t="s">
        <v>7087</v>
      </c>
      <c r="B2713" s="92" t="s">
        <v>857</v>
      </c>
      <c r="C2713" s="92" t="s">
        <v>7088</v>
      </c>
      <c r="D2713" s="72" t="str">
        <f>IFERROR(VLOOKUP(A2713,'[1]ST-QA-ZZ5'!$C$5:$M$299,11,0),"Inspection at production line")</f>
        <v>Inspection at production line</v>
      </c>
    </row>
    <row r="2714" spans="1:4" ht="13.8">
      <c r="A2714" s="47" t="s">
        <v>7089</v>
      </c>
      <c r="B2714" s="92" t="s">
        <v>857</v>
      </c>
      <c r="C2714" s="92" t="s">
        <v>7090</v>
      </c>
      <c r="D2714" s="72" t="str">
        <f>IFERROR(VLOOKUP(A2714,'[1]ST-QA-ZZ5'!$C$5:$M$299,11,0),"Inspection at production line")</f>
        <v>Inspection at production line</v>
      </c>
    </row>
    <row r="2715" spans="1:4" ht="13.8">
      <c r="A2715" s="47" t="s">
        <v>7091</v>
      </c>
      <c r="B2715" s="92" t="s">
        <v>857</v>
      </c>
      <c r="C2715" s="92" t="s">
        <v>1646</v>
      </c>
      <c r="D2715" s="72" t="str">
        <f>IFERROR(VLOOKUP(A2715,'[1]ST-QA-ZZ5'!$C$5:$M$299,11,0),"Inspection at production line")</f>
        <v>Inspection at production line</v>
      </c>
    </row>
    <row r="2716" spans="1:4" ht="13.8">
      <c r="A2716" s="47" t="s">
        <v>7092</v>
      </c>
      <c r="B2716" s="92" t="s">
        <v>857</v>
      </c>
      <c r="C2716" s="92" t="s">
        <v>1665</v>
      </c>
      <c r="D2716" s="72" t="str">
        <f>IFERROR(VLOOKUP(A2716,'[1]ST-QA-ZZ5'!$C$5:$M$299,11,0),"Inspection at production line")</f>
        <v>Inspection at production line</v>
      </c>
    </row>
    <row r="2717" spans="1:4" ht="13.8">
      <c r="A2717" s="47" t="s">
        <v>7093</v>
      </c>
      <c r="B2717" s="92" t="s">
        <v>857</v>
      </c>
      <c r="C2717" s="92" t="s">
        <v>7094</v>
      </c>
      <c r="D2717" s="72" t="str">
        <f>IFERROR(VLOOKUP(A2717,'[1]ST-QA-ZZ5'!$C$5:$M$299,11,0),"Inspection at production line")</f>
        <v>Inspection at production line</v>
      </c>
    </row>
    <row r="2718" spans="1:4" ht="13.8">
      <c r="A2718" s="47" t="s">
        <v>4365</v>
      </c>
      <c r="B2718" s="92" t="s">
        <v>797</v>
      </c>
      <c r="C2718" s="92" t="s">
        <v>4366</v>
      </c>
      <c r="D2718" s="72" t="str">
        <f>IFERROR(VLOOKUP(A2718,'[1]ST-QA-ZZ5'!$C$5:$M$299,11,0),"Inspection at production line")</f>
        <v>Inspection at production line</v>
      </c>
    </row>
    <row r="2719" spans="1:4" ht="13.8">
      <c r="A2719" s="47" t="s">
        <v>4369</v>
      </c>
      <c r="B2719" s="92" t="s">
        <v>2721</v>
      </c>
      <c r="C2719" s="92" t="s">
        <v>4370</v>
      </c>
      <c r="D2719" s="72" t="str">
        <f>IFERROR(VLOOKUP(A2719,'[1]ST-QA-ZZ5'!$C$5:$M$299,11,0),"Inspection at production line")</f>
        <v>Inspection at production line</v>
      </c>
    </row>
    <row r="2720" spans="1:4" ht="13.8">
      <c r="A2720" s="47" t="s">
        <v>4373</v>
      </c>
      <c r="B2720" s="92" t="s">
        <v>905</v>
      </c>
      <c r="C2720" s="94" t="s">
        <v>4374</v>
      </c>
      <c r="D2720" s="72" t="str">
        <f>IFERROR(VLOOKUP(A2720,'[1]ST-QA-ZZ5'!$C$5:$M$299,11,0),"Inspection at production line")</f>
        <v>Inspection at production line</v>
      </c>
    </row>
    <row r="2721" spans="1:4" ht="13.8">
      <c r="A2721" s="47" t="s">
        <v>4375</v>
      </c>
      <c r="B2721" s="92" t="s">
        <v>949</v>
      </c>
      <c r="C2721" s="92" t="s">
        <v>4376</v>
      </c>
      <c r="D2721" s="72" t="str">
        <f>IFERROR(VLOOKUP(A2721,'[1]ST-QA-ZZ5'!$C$5:$M$299,11,0),"Inspection at production line")</f>
        <v>Inspection at production line</v>
      </c>
    </row>
    <row r="2722" spans="1:4" ht="13.8">
      <c r="A2722" s="47" t="s">
        <v>4379</v>
      </c>
      <c r="B2722" s="92" t="s">
        <v>814</v>
      </c>
      <c r="C2722" s="94" t="s">
        <v>4380</v>
      </c>
      <c r="D2722" s="72" t="str">
        <f>IFERROR(VLOOKUP(A2722,'[1]ST-QA-ZZ5'!$C$5:$M$299,11,0),"Inspection at production line")</f>
        <v>Inspection at production line</v>
      </c>
    </row>
    <row r="2723" spans="1:4" ht="13.8">
      <c r="A2723" s="47" t="s">
        <v>4381</v>
      </c>
      <c r="B2723" s="92" t="s">
        <v>4637</v>
      </c>
      <c r="C2723" s="92" t="s">
        <v>4383</v>
      </c>
      <c r="D2723" s="72" t="str">
        <f>IFERROR(VLOOKUP(A2723,'[1]ST-QA-ZZ5'!$C$5:$M$299,11,0),"Inspection at production line")</f>
        <v>Inspection at production line</v>
      </c>
    </row>
    <row r="2724" spans="1:4" ht="13.8">
      <c r="A2724" s="47" t="s">
        <v>4384</v>
      </c>
      <c r="B2724" s="92" t="s">
        <v>949</v>
      </c>
      <c r="C2724" s="92" t="s">
        <v>4385</v>
      </c>
      <c r="D2724" s="72" t="str">
        <f>IFERROR(VLOOKUP(A2724,'[1]ST-QA-ZZ5'!$C$5:$M$299,11,0),"Inspection at production line")</f>
        <v>Inspection at production line</v>
      </c>
    </row>
    <row r="2725" spans="1:4" ht="13.8">
      <c r="A2725" s="47" t="s">
        <v>7095</v>
      </c>
      <c r="B2725" s="92" t="s">
        <v>949</v>
      </c>
      <c r="C2725" s="94" t="s">
        <v>7096</v>
      </c>
      <c r="D2725" s="72" t="str">
        <f>IFERROR(VLOOKUP(A2725,'[1]ST-QA-ZZ5'!$C$5:$M$299,11,0),"Inspection at production line")</f>
        <v>Inspection at production line</v>
      </c>
    </row>
    <row r="2726" spans="1:4" ht="13.8">
      <c r="A2726" s="47" t="s">
        <v>7097</v>
      </c>
      <c r="B2726" s="92" t="s">
        <v>4637</v>
      </c>
      <c r="C2726" s="92" t="s">
        <v>7098</v>
      </c>
      <c r="D2726" s="72" t="str">
        <f>IFERROR(VLOOKUP(A2726,'[1]ST-QA-ZZ5'!$C$5:$M$299,11,0),"Inspection at production line")</f>
        <v>Inspection at production line</v>
      </c>
    </row>
    <row r="2727" spans="1:4" ht="13.8">
      <c r="A2727" s="47" t="s">
        <v>7099</v>
      </c>
      <c r="B2727" s="92" t="s">
        <v>3363</v>
      </c>
      <c r="C2727" s="92" t="s">
        <v>7100</v>
      </c>
      <c r="D2727" s="72" t="str">
        <f>IFERROR(VLOOKUP(A2727,'[1]ST-QA-ZZ5'!$C$5:$M$299,11,0),"Inspection at production line")</f>
        <v>Inspection at production line</v>
      </c>
    </row>
    <row r="2728" spans="1:4" ht="13.8">
      <c r="A2728" s="47" t="s">
        <v>7101</v>
      </c>
      <c r="B2728" s="92" t="s">
        <v>7102</v>
      </c>
      <c r="C2728" s="92" t="s">
        <v>7103</v>
      </c>
      <c r="D2728" s="72" t="str">
        <f>IFERROR(VLOOKUP(A2728,'[1]ST-QA-ZZ5'!$C$5:$M$299,11,0),"Inspection at production line")</f>
        <v>Inspection at production line</v>
      </c>
    </row>
    <row r="2729" spans="1:4" ht="13.8">
      <c r="A2729" s="47" t="s">
        <v>7104</v>
      </c>
      <c r="B2729" s="92" t="s">
        <v>797</v>
      </c>
      <c r="C2729" s="92" t="s">
        <v>7105</v>
      </c>
      <c r="D2729" s="72" t="str">
        <f>IFERROR(VLOOKUP(A2729,'[1]ST-QA-ZZ5'!$C$5:$M$299,11,0),"Inspection at production line")</f>
        <v>Inspection at production line</v>
      </c>
    </row>
    <row r="2730" spans="1:4" ht="13.8">
      <c r="A2730" s="47" t="s">
        <v>7106</v>
      </c>
      <c r="B2730" s="92" t="s">
        <v>949</v>
      </c>
      <c r="C2730" s="92" t="s">
        <v>7107</v>
      </c>
      <c r="D2730" s="72" t="str">
        <f>IFERROR(VLOOKUP(A2730,'[1]ST-QA-ZZ5'!$C$5:$M$299,11,0),"Inspection at production line")</f>
        <v>Inspection at production line</v>
      </c>
    </row>
    <row r="2731" spans="1:4" ht="13.8">
      <c r="A2731" s="47" t="s">
        <v>7108</v>
      </c>
      <c r="B2731" s="92" t="s">
        <v>949</v>
      </c>
      <c r="C2731" s="92" t="s">
        <v>7109</v>
      </c>
      <c r="D2731" s="72" t="str">
        <f>IFERROR(VLOOKUP(A2731,'[1]ST-QA-ZZ5'!$C$5:$M$299,11,0),"Inspection at production line")</f>
        <v>Inspection at production line</v>
      </c>
    </row>
    <row r="2732" spans="1:4" ht="13.8">
      <c r="A2732" s="47" t="s">
        <v>7110</v>
      </c>
      <c r="B2732" s="92" t="s">
        <v>811</v>
      </c>
      <c r="C2732" s="92" t="s">
        <v>7111</v>
      </c>
      <c r="D2732" s="72" t="str">
        <f>IFERROR(VLOOKUP(A2732,'[1]ST-QA-ZZ5'!$C$5:$M$299,11,0),"Inspection at production line")</f>
        <v>Inspection at production line</v>
      </c>
    </row>
    <row r="2733" spans="1:4" ht="13.8">
      <c r="A2733" s="47" t="s">
        <v>7112</v>
      </c>
      <c r="B2733" s="92" t="s">
        <v>2511</v>
      </c>
      <c r="C2733" s="94" t="s">
        <v>7113</v>
      </c>
      <c r="D2733" s="72" t="str">
        <f>IFERROR(VLOOKUP(A2733,'[1]ST-QA-ZZ5'!$C$5:$M$299,11,0),"Inspection at production line")</f>
        <v>Inspection at production line</v>
      </c>
    </row>
    <row r="2734" spans="1:4" ht="13.8">
      <c r="A2734" s="47" t="s">
        <v>7114</v>
      </c>
      <c r="B2734" s="92" t="s">
        <v>814</v>
      </c>
      <c r="C2734" s="92" t="s">
        <v>7096</v>
      </c>
      <c r="D2734" s="72" t="str">
        <f>IFERROR(VLOOKUP(A2734,'[1]ST-QA-ZZ5'!$C$5:$M$299,11,0),"Inspection at production line")</f>
        <v>Inspection at production line</v>
      </c>
    </row>
    <row r="2735" spans="1:4" ht="13.8">
      <c r="A2735" s="47" t="s">
        <v>7115</v>
      </c>
      <c r="B2735" s="92" t="s">
        <v>4637</v>
      </c>
      <c r="C2735" s="94" t="s">
        <v>7098</v>
      </c>
      <c r="D2735" s="72" t="str">
        <f>IFERROR(VLOOKUP(A2735,'[1]ST-QA-ZZ5'!$C$5:$M$299,11,0),"Inspection at production line")</f>
        <v>Inspection at production line</v>
      </c>
    </row>
    <row r="2736" spans="1:4" ht="13.8">
      <c r="A2736" s="47" t="s">
        <v>7116</v>
      </c>
      <c r="B2736" s="92" t="s">
        <v>3363</v>
      </c>
      <c r="C2736" s="92" t="s">
        <v>7117</v>
      </c>
      <c r="D2736" s="72" t="str">
        <f>IFERROR(VLOOKUP(A2736,'[1]ST-QA-ZZ5'!$C$5:$M$299,11,0),"Inspection at production line")</f>
        <v>Inspection at production line</v>
      </c>
    </row>
    <row r="2737" spans="1:4" ht="13.8">
      <c r="A2737" s="47" t="s">
        <v>7118</v>
      </c>
      <c r="B2737" s="92" t="s">
        <v>7102</v>
      </c>
      <c r="C2737" s="92" t="s">
        <v>7103</v>
      </c>
      <c r="D2737" s="72" t="str">
        <f>IFERROR(VLOOKUP(A2737,'[1]ST-QA-ZZ5'!$C$5:$M$299,11,0),"Inspection at production line")</f>
        <v>Inspection at production line</v>
      </c>
    </row>
    <row r="2738" spans="1:4" ht="13.8">
      <c r="A2738" s="47" t="s">
        <v>7119</v>
      </c>
      <c r="B2738" s="92" t="s">
        <v>797</v>
      </c>
      <c r="C2738" s="94" t="s">
        <v>7105</v>
      </c>
      <c r="D2738" s="72" t="str">
        <f>IFERROR(VLOOKUP(A2738,'[1]ST-QA-ZZ5'!$C$5:$M$299,11,0),"Inspection at production line")</f>
        <v>Inspection at production line</v>
      </c>
    </row>
    <row r="2739" spans="1:4" ht="13.8">
      <c r="A2739" s="47" t="s">
        <v>7120</v>
      </c>
      <c r="B2739" s="92" t="s">
        <v>949</v>
      </c>
      <c r="C2739" s="94" t="s">
        <v>7121</v>
      </c>
      <c r="D2739" s="72" t="str">
        <f>IFERROR(VLOOKUP(A2739,'[1]ST-QA-ZZ5'!$C$5:$M$299,11,0),"Inspection at production line")</f>
        <v>Inspection at production line</v>
      </c>
    </row>
    <row r="2740" spans="1:4" ht="13.8">
      <c r="A2740" s="47" t="s">
        <v>7122</v>
      </c>
      <c r="B2740" s="92" t="s">
        <v>957</v>
      </c>
      <c r="C2740" s="94" t="s">
        <v>7123</v>
      </c>
      <c r="D2740" s="72" t="str">
        <f>IFERROR(VLOOKUP(A2740,'[1]ST-QA-ZZ5'!$C$5:$M$299,11,0),"Inspection at production line")</f>
        <v>Inspection at production line</v>
      </c>
    </row>
    <row r="2741" spans="1:4" ht="13.8">
      <c r="A2741" s="47" t="s">
        <v>7124</v>
      </c>
      <c r="B2741" s="92" t="s">
        <v>1896</v>
      </c>
      <c r="C2741" s="92" t="s">
        <v>7125</v>
      </c>
      <c r="D2741" s="72" t="str">
        <f>IFERROR(VLOOKUP(A2741,'[1]ST-QA-ZZ5'!$C$5:$M$299,11,0),"Inspection at production line")</f>
        <v>Inspection at production line</v>
      </c>
    </row>
    <row r="2742" spans="1:4" ht="13.8">
      <c r="A2742" s="47" t="s">
        <v>7126</v>
      </c>
      <c r="B2742" s="92" t="s">
        <v>2511</v>
      </c>
      <c r="C2742" s="94" t="s">
        <v>7113</v>
      </c>
      <c r="D2742" s="72" t="str">
        <f>IFERROR(VLOOKUP(A2742,'[1]ST-QA-ZZ5'!$C$5:$M$299,11,0),"Inspection at production line")</f>
        <v>Inspection at production line</v>
      </c>
    </row>
    <row r="2743" spans="1:4" ht="13.8">
      <c r="A2743" s="47" t="s">
        <v>7127</v>
      </c>
      <c r="B2743" s="92" t="s">
        <v>949</v>
      </c>
      <c r="C2743" s="92" t="s">
        <v>7128</v>
      </c>
      <c r="D2743" s="72" t="str">
        <f>IFERROR(VLOOKUP(A2743,'[1]ST-QA-ZZ5'!$C$5:$M$299,11,0),"Inspection at production line")</f>
        <v>Inspection at production line</v>
      </c>
    </row>
    <row r="2744" spans="1:4" ht="27.6">
      <c r="A2744" s="47" t="s">
        <v>7129</v>
      </c>
      <c r="B2744" s="92" t="s">
        <v>4637</v>
      </c>
      <c r="C2744" s="94" t="s">
        <v>7130</v>
      </c>
      <c r="D2744" s="72" t="str">
        <f>IFERROR(VLOOKUP(A2744,'[1]ST-QA-ZZ5'!$C$5:$M$299,11,0),"Inspection at production line")</f>
        <v>Inspection at production line</v>
      </c>
    </row>
    <row r="2745" spans="1:4" ht="13.8">
      <c r="A2745" s="47" t="s">
        <v>7131</v>
      </c>
      <c r="B2745" s="92" t="s">
        <v>3363</v>
      </c>
      <c r="C2745" s="92" t="s">
        <v>7132</v>
      </c>
      <c r="D2745" s="72" t="str">
        <f>IFERROR(VLOOKUP(A2745,'[1]ST-QA-ZZ5'!$C$5:$M$299,11,0),"Inspection at production line")</f>
        <v>Inspection at production line</v>
      </c>
    </row>
    <row r="2746" spans="1:4" ht="13.8">
      <c r="A2746" s="47" t="s">
        <v>7133</v>
      </c>
      <c r="B2746" s="92" t="s">
        <v>2721</v>
      </c>
      <c r="C2746" s="92" t="s">
        <v>7134</v>
      </c>
      <c r="D2746" s="72" t="str">
        <f>IFERROR(VLOOKUP(A2746,'[1]ST-QA-ZZ5'!$C$5:$M$299,11,0),"Inspection at production line")</f>
        <v>Inspection at production line</v>
      </c>
    </row>
    <row r="2747" spans="1:4" ht="13.8">
      <c r="A2747" s="47" t="s">
        <v>7135</v>
      </c>
      <c r="B2747" s="92" t="s">
        <v>797</v>
      </c>
      <c r="C2747" s="92" t="s">
        <v>7136</v>
      </c>
      <c r="D2747" s="72" t="str">
        <f>IFERROR(VLOOKUP(A2747,'[1]ST-QA-ZZ5'!$C$5:$M$299,11,0),"Inspection at production line")</f>
        <v>Inspection at production line</v>
      </c>
    </row>
    <row r="2748" spans="1:4" ht="13.8">
      <c r="A2748" s="47" t="s">
        <v>7137</v>
      </c>
      <c r="B2748" s="92" t="s">
        <v>1273</v>
      </c>
      <c r="C2748" s="92" t="s">
        <v>7138</v>
      </c>
      <c r="D2748" s="72" t="str">
        <f>IFERROR(VLOOKUP(A2748,'[1]ST-QA-ZZ5'!$C$5:$M$299,11,0),"Inspection at production line")</f>
        <v>Inspection at production line</v>
      </c>
    </row>
    <row r="2749" spans="1:4" ht="13.8">
      <c r="A2749" s="47" t="s">
        <v>7139</v>
      </c>
      <c r="B2749" s="92" t="s">
        <v>811</v>
      </c>
      <c r="C2749" s="92" t="s">
        <v>7140</v>
      </c>
      <c r="D2749" s="72" t="str">
        <f>IFERROR(VLOOKUP(A2749,'[1]ST-QA-ZZ5'!$C$5:$M$299,11,0),"Inspection at production line")</f>
        <v>Inspection at production line</v>
      </c>
    </row>
    <row r="2750" spans="1:4" ht="13.8">
      <c r="A2750" s="47" t="s">
        <v>7141</v>
      </c>
      <c r="B2750" s="92" t="s">
        <v>2511</v>
      </c>
      <c r="C2750" s="92" t="s">
        <v>7142</v>
      </c>
      <c r="D2750" s="72" t="str">
        <f>IFERROR(VLOOKUP(A2750,'[1]ST-QA-ZZ5'!$C$5:$M$299,11,0),"Inspection at production line")</f>
        <v>Inspection at production line</v>
      </c>
    </row>
    <row r="2751" spans="1:4" ht="13.8">
      <c r="A2751" s="47" t="s">
        <v>4388</v>
      </c>
      <c r="B2751" s="92" t="s">
        <v>941</v>
      </c>
      <c r="C2751" s="92" t="s">
        <v>4389</v>
      </c>
      <c r="D2751" s="72" t="str">
        <f>IFERROR(VLOOKUP(A2751,'[1]ST-QA-ZZ5'!$C$5:$M$299,11,0),"Inspection at production line")</f>
        <v>Inspection at production line</v>
      </c>
    </row>
    <row r="2752" spans="1:4" ht="13.8">
      <c r="A2752" s="47" t="s">
        <v>4390</v>
      </c>
      <c r="B2752" s="92" t="s">
        <v>797</v>
      </c>
      <c r="C2752" s="92" t="s">
        <v>4391</v>
      </c>
      <c r="D2752" s="72" t="str">
        <f>IFERROR(VLOOKUP(A2752,'[1]ST-QA-ZZ5'!$C$5:$M$299,11,0),"Inspection at production line")</f>
        <v>Inspection at production line</v>
      </c>
    </row>
    <row r="2753" spans="1:4" ht="13.8">
      <c r="A2753" s="47" t="s">
        <v>4392</v>
      </c>
      <c r="B2753" s="92" t="s">
        <v>1177</v>
      </c>
      <c r="C2753" s="92" t="s">
        <v>4393</v>
      </c>
      <c r="D2753" s="72" t="str">
        <f>IFERROR(VLOOKUP(A2753,'[1]ST-QA-ZZ5'!$C$5:$M$299,11,0),"Inspection at production line")</f>
        <v>Inspection at production line</v>
      </c>
    </row>
    <row r="2754" spans="1:4" ht="13.8">
      <c r="A2754" s="47" t="s">
        <v>4394</v>
      </c>
      <c r="B2754" s="92" t="s">
        <v>797</v>
      </c>
      <c r="C2754" s="92" t="s">
        <v>4395</v>
      </c>
      <c r="D2754" s="72" t="str">
        <f>IFERROR(VLOOKUP(A2754,'[1]ST-QA-ZZ5'!$C$5:$M$299,11,0),"Inspection at production line")</f>
        <v>Inspection at production line</v>
      </c>
    </row>
    <row r="2755" spans="1:4" ht="13.8">
      <c r="A2755" s="47" t="s">
        <v>4398</v>
      </c>
      <c r="B2755" s="92" t="s">
        <v>2566</v>
      </c>
      <c r="C2755" s="92" t="s">
        <v>4399</v>
      </c>
      <c r="D2755" s="72" t="str">
        <f>IFERROR(VLOOKUP(A2755,'[1]ST-QA-ZZ5'!$C$5:$M$299,11,0),"Inspection at production line")</f>
        <v>Inspection at production line</v>
      </c>
    </row>
    <row r="2756" spans="1:4" ht="13.8">
      <c r="A2756" s="47" t="s">
        <v>4402</v>
      </c>
      <c r="B2756" s="92" t="s">
        <v>916</v>
      </c>
      <c r="C2756" s="92" t="s">
        <v>4403</v>
      </c>
      <c r="D2756" s="72" t="str">
        <f>IFERROR(VLOOKUP(A2756,'[1]ST-QA-ZZ5'!$C$5:$M$299,11,0),"Inspection at production line")</f>
        <v>Inspection at production line</v>
      </c>
    </row>
    <row r="2757" spans="1:4" ht="13.8">
      <c r="A2757" s="47" t="s">
        <v>4407</v>
      </c>
      <c r="B2757" s="92" t="s">
        <v>975</v>
      </c>
      <c r="C2757" s="92" t="s">
        <v>4408</v>
      </c>
      <c r="D2757" s="72" t="str">
        <f>IFERROR(VLOOKUP(A2757,'[1]ST-QA-ZZ5'!$C$5:$M$299,11,0),"Inspection at production line")</f>
        <v>Inspection at production line</v>
      </c>
    </row>
    <row r="2758" spans="1:4" ht="13.8">
      <c r="A2758" s="47" t="s">
        <v>4411</v>
      </c>
      <c r="B2758" s="92" t="s">
        <v>916</v>
      </c>
      <c r="C2758" s="92" t="s">
        <v>4412</v>
      </c>
      <c r="D2758" s="72" t="str">
        <f>IFERROR(VLOOKUP(A2758,'[1]ST-QA-ZZ5'!$C$5:$M$299,11,0),"Inspection at production line")</f>
        <v>Inspection at production line</v>
      </c>
    </row>
    <row r="2759" spans="1:4" ht="13.8">
      <c r="A2759" s="47" t="s">
        <v>4416</v>
      </c>
      <c r="B2759" s="92" t="s">
        <v>2489</v>
      </c>
      <c r="C2759" s="92" t="s">
        <v>4417</v>
      </c>
      <c r="D2759" s="72" t="str">
        <f>IFERROR(VLOOKUP(A2759,'[1]ST-QA-ZZ5'!$C$5:$M$299,11,0),"Inspection at production line")</f>
        <v>Inspection at production line</v>
      </c>
    </row>
    <row r="2760" spans="1:4" ht="13.8">
      <c r="A2760" s="47" t="s">
        <v>4420</v>
      </c>
      <c r="B2760" s="92" t="s">
        <v>2489</v>
      </c>
      <c r="C2760" s="92" t="s">
        <v>4421</v>
      </c>
      <c r="D2760" s="72" t="str">
        <f>IFERROR(VLOOKUP(A2760,'[1]ST-QA-ZZ5'!$C$5:$M$299,11,0),"Inspection at production line")</f>
        <v>Inspection at production line</v>
      </c>
    </row>
    <row r="2761" spans="1:4" ht="13.8">
      <c r="A2761" s="47" t="s">
        <v>4425</v>
      </c>
      <c r="B2761" s="92" t="s">
        <v>2024</v>
      </c>
      <c r="C2761" s="92" t="s">
        <v>4426</v>
      </c>
      <c r="D2761" s="72" t="str">
        <f>IFERROR(VLOOKUP(A2761,'[1]ST-QA-ZZ5'!$C$5:$M$299,11,0),"Inspection at production line")</f>
        <v>Inspection at production line</v>
      </c>
    </row>
    <row r="2762" spans="1:4" ht="13.8">
      <c r="A2762" s="47" t="s">
        <v>4428</v>
      </c>
      <c r="B2762" s="92" t="s">
        <v>2489</v>
      </c>
      <c r="C2762" s="92" t="s">
        <v>4429</v>
      </c>
      <c r="D2762" s="72" t="str">
        <f>IFERROR(VLOOKUP(A2762,'[1]ST-QA-ZZ5'!$C$5:$M$299,11,0),"Inspection at production line")</f>
        <v>Inspection at production line</v>
      </c>
    </row>
    <row r="2763" spans="1:4" ht="13.8">
      <c r="A2763" s="47" t="s">
        <v>4432</v>
      </c>
      <c r="B2763" s="92" t="s">
        <v>68</v>
      </c>
      <c r="C2763" s="92" t="s">
        <v>4433</v>
      </c>
      <c r="D2763" s="72" t="str">
        <f>IFERROR(VLOOKUP(A2763,'[1]ST-QA-ZZ5'!$C$5:$M$299,11,0),"Inspection at production line")</f>
        <v>Inspection at production line</v>
      </c>
    </row>
    <row r="2764" spans="1:4" ht="13.8">
      <c r="A2764" s="47" t="s">
        <v>4436</v>
      </c>
      <c r="B2764" s="92" t="s">
        <v>828</v>
      </c>
      <c r="C2764" s="92" t="s">
        <v>4437</v>
      </c>
      <c r="D2764" s="72" t="str">
        <f>IFERROR(VLOOKUP(A2764,'[1]ST-QA-ZZ5'!$C$5:$M$299,11,0),"Inspection at production line")</f>
        <v>Inspection at production line</v>
      </c>
    </row>
    <row r="2765" spans="1:4" ht="13.8">
      <c r="A2765" s="47" t="s">
        <v>4438</v>
      </c>
      <c r="B2765" s="92" t="s">
        <v>957</v>
      </c>
      <c r="C2765" s="92" t="s">
        <v>4439</v>
      </c>
      <c r="D2765" s="72" t="str">
        <f>IFERROR(VLOOKUP(A2765,'[1]ST-QA-ZZ5'!$C$5:$M$299,11,0),"Inspection at production line")</f>
        <v>Inspection at production line</v>
      </c>
    </row>
    <row r="2766" spans="1:4" ht="13.8">
      <c r="A2766" s="47" t="s">
        <v>4443</v>
      </c>
      <c r="B2766" s="92" t="s">
        <v>3543</v>
      </c>
      <c r="C2766" s="92" t="s">
        <v>7143</v>
      </c>
      <c r="D2766" s="72" t="str">
        <f>IFERROR(VLOOKUP(A2766,'[1]ST-QA-ZZ5'!$C$5:$M$299,11,0),"Inspection at production line")</f>
        <v>Inspection at production line</v>
      </c>
    </row>
    <row r="2767" spans="1:4" ht="13.8">
      <c r="A2767" s="47" t="s">
        <v>4445</v>
      </c>
      <c r="B2767" s="92" t="s">
        <v>828</v>
      </c>
      <c r="C2767" s="92" t="s">
        <v>4446</v>
      </c>
      <c r="D2767" s="72" t="str">
        <f>IFERROR(VLOOKUP(A2767,'[1]ST-QA-ZZ5'!$C$5:$M$299,11,0),"Inspection at production line")</f>
        <v>Inspection at production line</v>
      </c>
    </row>
    <row r="2768" spans="1:4" ht="13.8">
      <c r="A2768" s="47" t="s">
        <v>4447</v>
      </c>
      <c r="B2768" s="92" t="s">
        <v>1592</v>
      </c>
      <c r="C2768" s="92" t="s">
        <v>7144</v>
      </c>
      <c r="D2768" s="72" t="str">
        <f>IFERROR(VLOOKUP(A2768,'[1]ST-QA-ZZ5'!$C$5:$M$299,11,0),"Inspection at production line")</f>
        <v>Inspection at production line</v>
      </c>
    </row>
    <row r="2769" spans="1:4" ht="13.8">
      <c r="A2769" s="47" t="s">
        <v>4451</v>
      </c>
      <c r="B2769" s="92" t="s">
        <v>814</v>
      </c>
      <c r="C2769" s="92" t="s">
        <v>7145</v>
      </c>
      <c r="D2769" s="72" t="str">
        <f>IFERROR(VLOOKUP(A2769,'[1]ST-QA-ZZ5'!$C$5:$M$299,11,0),"Inspection at production line")</f>
        <v>Inspection at production line</v>
      </c>
    </row>
    <row r="2770" spans="1:4" ht="13.8">
      <c r="A2770" s="47" t="s">
        <v>4455</v>
      </c>
      <c r="B2770" s="92" t="s">
        <v>819</v>
      </c>
      <c r="C2770" s="92" t="s">
        <v>7146</v>
      </c>
      <c r="D2770" s="72" t="str">
        <f>IFERROR(VLOOKUP(A2770,'[1]ST-QA-ZZ5'!$C$5:$M$299,11,0),"Inspection at production line")</f>
        <v>Inspection at production line</v>
      </c>
    </row>
    <row r="2771" spans="1:4" ht="13.8">
      <c r="A2771" s="47" t="s">
        <v>4459</v>
      </c>
      <c r="B2771" s="92" t="s">
        <v>814</v>
      </c>
      <c r="C2771" s="92" t="s">
        <v>7147</v>
      </c>
      <c r="D2771" s="72" t="str">
        <f>IFERROR(VLOOKUP(A2771,'[1]ST-QA-ZZ5'!$C$5:$M$299,11,0),"Inspection at production line")</f>
        <v>Inspection at production line</v>
      </c>
    </row>
    <row r="2772" spans="1:4" ht="13.8">
      <c r="A2772" s="47" t="s">
        <v>4461</v>
      </c>
      <c r="B2772" s="92" t="s">
        <v>208</v>
      </c>
      <c r="C2772" s="92" t="s">
        <v>2523</v>
      </c>
      <c r="D2772" s="72" t="str">
        <f>IFERROR(VLOOKUP(A2772,'[1]ST-QA-ZZ5'!$C$5:$M$299,11,0),"Inspection at production line")</f>
        <v>Inspection at production line</v>
      </c>
    </row>
    <row r="2773" spans="1:4" ht="13.8">
      <c r="A2773" s="47" t="s">
        <v>4466</v>
      </c>
      <c r="B2773" s="92" t="s">
        <v>2507</v>
      </c>
      <c r="C2773" s="92" t="s">
        <v>4467</v>
      </c>
      <c r="D2773" s="72" t="str">
        <f>IFERROR(VLOOKUP(A2773,'[1]ST-QA-ZZ5'!$C$5:$M$299,11,0),"Inspection at production line")</f>
        <v>Inspection at production line</v>
      </c>
    </row>
    <row r="2774" spans="1:4" ht="13.8">
      <c r="A2774" s="47" t="s">
        <v>4470</v>
      </c>
      <c r="B2774" s="92" t="s">
        <v>2507</v>
      </c>
      <c r="C2774" s="92" t="s">
        <v>4471</v>
      </c>
      <c r="D2774" s="72" t="str">
        <f>IFERROR(VLOOKUP(A2774,'[1]ST-QA-ZZ5'!$C$5:$M$299,11,0),"Inspection at production line")</f>
        <v>Inspection at production line</v>
      </c>
    </row>
    <row r="2775" spans="1:4" ht="13.8">
      <c r="A2775" s="47" t="s">
        <v>4472</v>
      </c>
      <c r="B2775" s="92" t="s">
        <v>957</v>
      </c>
      <c r="C2775" s="92" t="s">
        <v>4473</v>
      </c>
      <c r="D2775" s="72" t="str">
        <f>IFERROR(VLOOKUP(A2775,'[1]ST-QA-ZZ5'!$C$5:$M$299,11,0),"Inspection at production line")</f>
        <v>Inspection at production line</v>
      </c>
    </row>
    <row r="2776" spans="1:4" ht="13.8">
      <c r="A2776" s="47" t="s">
        <v>4477</v>
      </c>
      <c r="B2776" s="92" t="s">
        <v>2507</v>
      </c>
      <c r="C2776" s="92" t="s">
        <v>4478</v>
      </c>
      <c r="D2776" s="72" t="str">
        <f>IFERROR(VLOOKUP(A2776,'[1]ST-QA-ZZ5'!$C$5:$M$299,11,0),"Inspection at production line")</f>
        <v>Inspection at production line</v>
      </c>
    </row>
    <row r="2777" spans="1:4" ht="13.8">
      <c r="A2777" s="47" t="s">
        <v>4481</v>
      </c>
      <c r="B2777" s="92" t="s">
        <v>957</v>
      </c>
      <c r="C2777" s="92" t="s">
        <v>4482</v>
      </c>
      <c r="D2777" s="72" t="str">
        <f>IFERROR(VLOOKUP(A2777,'[1]ST-QA-ZZ5'!$C$5:$M$299,11,0),"Inspection at production line")</f>
        <v>Inspection at production line</v>
      </c>
    </row>
    <row r="2778" spans="1:4" ht="13.8">
      <c r="A2778" s="47" t="s">
        <v>4484</v>
      </c>
      <c r="B2778" s="92" t="s">
        <v>953</v>
      </c>
      <c r="C2778" s="92" t="s">
        <v>4485</v>
      </c>
      <c r="D2778" s="72" t="str">
        <f>IFERROR(VLOOKUP(A2778,'[1]ST-QA-ZZ5'!$C$5:$M$299,11,0),"Inspection at production line")</f>
        <v>Inspection at production line</v>
      </c>
    </row>
    <row r="2779" spans="1:4" ht="13.8">
      <c r="A2779" s="47" t="s">
        <v>4486</v>
      </c>
      <c r="B2779" s="92" t="s">
        <v>2511</v>
      </c>
      <c r="C2779" s="92" t="s">
        <v>4487</v>
      </c>
      <c r="D2779" s="72" t="str">
        <f>IFERROR(VLOOKUP(A2779,'[1]ST-QA-ZZ5'!$C$5:$M$299,11,0),"Inspection at production line")</f>
        <v>Inspection at production line</v>
      </c>
    </row>
    <row r="2780" spans="1:4" ht="13.8">
      <c r="A2780" s="47" t="s">
        <v>4488</v>
      </c>
      <c r="B2780" s="92" t="s">
        <v>2511</v>
      </c>
      <c r="C2780" s="92" t="s">
        <v>4489</v>
      </c>
      <c r="D2780" s="72" t="str">
        <f>IFERROR(VLOOKUP(A2780,'[1]ST-QA-ZZ5'!$C$5:$M$299,11,0),"Inspection at production line")</f>
        <v>Inspection at production line</v>
      </c>
    </row>
    <row r="2781" spans="1:4" ht="13.8">
      <c r="A2781" s="47" t="s">
        <v>4492</v>
      </c>
      <c r="B2781" s="92" t="s">
        <v>2546</v>
      </c>
      <c r="C2781" s="92" t="s">
        <v>4493</v>
      </c>
      <c r="D2781" s="72" t="str">
        <f>IFERROR(VLOOKUP(A2781,'[1]ST-QA-ZZ5'!$C$5:$M$299,11,0),"Inspection at production line")</f>
        <v>Inspection at production line</v>
      </c>
    </row>
    <row r="2782" spans="1:4" ht="13.8">
      <c r="A2782" s="47" t="s">
        <v>4494</v>
      </c>
      <c r="B2782" s="92" t="s">
        <v>814</v>
      </c>
      <c r="C2782" s="92" t="s">
        <v>4495</v>
      </c>
      <c r="D2782" s="72" t="str">
        <f>IFERROR(VLOOKUP(A2782,'[1]ST-QA-ZZ5'!$C$5:$M$299,11,0),"Inspection at production line")</f>
        <v>Inspection at production line</v>
      </c>
    </row>
    <row r="2783" spans="1:4" ht="13.8">
      <c r="A2783" s="47" t="s">
        <v>4496</v>
      </c>
      <c r="B2783" s="92" t="s">
        <v>814</v>
      </c>
      <c r="C2783" s="92" t="s">
        <v>4497</v>
      </c>
      <c r="D2783" s="72" t="str">
        <f>IFERROR(VLOOKUP(A2783,'[1]ST-QA-ZZ5'!$C$5:$M$299,11,0),"Inspection at production line")</f>
        <v>Inspection at production line</v>
      </c>
    </row>
    <row r="2784" spans="1:4" ht="13.8">
      <c r="A2784" s="47" t="s">
        <v>4500</v>
      </c>
      <c r="B2784" s="92" t="s">
        <v>828</v>
      </c>
      <c r="C2784" s="92" t="s">
        <v>4501</v>
      </c>
      <c r="D2784" s="72" t="str">
        <f>IFERROR(VLOOKUP(A2784,'[1]ST-QA-ZZ5'!$C$5:$M$299,11,0),"Inspection at production line")</f>
        <v>Inspection at production line</v>
      </c>
    </row>
    <row r="2785" spans="1:4" ht="13.8">
      <c r="A2785" s="47" t="s">
        <v>4502</v>
      </c>
      <c r="B2785" s="92" t="s">
        <v>819</v>
      </c>
      <c r="C2785" s="92" t="s">
        <v>4503</v>
      </c>
      <c r="D2785" s="72" t="str">
        <f>IFERROR(VLOOKUP(A2785,'[1]ST-QA-ZZ5'!$C$5:$M$299,11,0),"Inspection at production line")</f>
        <v>Inspection at production line</v>
      </c>
    </row>
    <row r="2786" spans="1:4" ht="13.8">
      <c r="A2786" s="47" t="s">
        <v>4504</v>
      </c>
      <c r="B2786" s="92" t="s">
        <v>3415</v>
      </c>
      <c r="C2786" s="92" t="s">
        <v>7148</v>
      </c>
      <c r="D2786" s="72" t="str">
        <f>IFERROR(VLOOKUP(A2786,'[1]ST-QA-ZZ5'!$C$5:$M$299,11,0),"Inspection at production line")</f>
        <v>Inspection at production line</v>
      </c>
    </row>
    <row r="2787" spans="1:4" ht="13.8">
      <c r="A2787" s="47" t="s">
        <v>4506</v>
      </c>
      <c r="B2787" s="92" t="s">
        <v>905</v>
      </c>
      <c r="C2787" s="92" t="s">
        <v>4507</v>
      </c>
      <c r="D2787" s="72" t="str">
        <f>IFERROR(VLOOKUP(A2787,'[1]ST-QA-ZZ5'!$C$5:$M$299,11,0),"Inspection at production line")</f>
        <v>Inspection at production line</v>
      </c>
    </row>
    <row r="2788" spans="1:4" ht="13.8">
      <c r="A2788" s="47" t="s">
        <v>4509</v>
      </c>
      <c r="B2788" s="92" t="s">
        <v>4093</v>
      </c>
      <c r="C2788" s="92" t="s">
        <v>4510</v>
      </c>
      <c r="D2788" s="72" t="str">
        <f>IFERROR(VLOOKUP(A2788,'[1]ST-QA-ZZ5'!$C$5:$M$299,11,0),"Inspection at production line")</f>
        <v>Inspection at production line</v>
      </c>
    </row>
    <row r="2789" spans="1:4" ht="13.8">
      <c r="A2789" s="47" t="s">
        <v>4513</v>
      </c>
      <c r="B2789" s="92" t="s">
        <v>2024</v>
      </c>
      <c r="C2789" s="92" t="s">
        <v>4514</v>
      </c>
      <c r="D2789" s="72" t="str">
        <f>IFERROR(VLOOKUP(A2789,'[1]ST-QA-ZZ5'!$C$5:$M$299,11,0),"Inspection at production line")</f>
        <v>Inspection at production line</v>
      </c>
    </row>
    <row r="2790" spans="1:4" ht="13.8">
      <c r="A2790" s="47" t="s">
        <v>4516</v>
      </c>
      <c r="B2790" s="92" t="s">
        <v>916</v>
      </c>
      <c r="C2790" s="92" t="s">
        <v>4517</v>
      </c>
      <c r="D2790" s="72" t="str">
        <f>IFERROR(VLOOKUP(A2790,'[1]ST-QA-ZZ5'!$C$5:$M$299,11,0),"Inspection at production line")</f>
        <v>Inspection at production line</v>
      </c>
    </row>
    <row r="2791" spans="1:4" ht="13.8">
      <c r="A2791" s="47" t="s">
        <v>4519</v>
      </c>
      <c r="B2791" s="92" t="s">
        <v>1177</v>
      </c>
      <c r="C2791" s="92" t="s">
        <v>4520</v>
      </c>
      <c r="D2791" s="72" t="str">
        <f>IFERROR(VLOOKUP(A2791,'[1]ST-QA-ZZ5'!$C$5:$M$299,11,0),"Inspection at production line")</f>
        <v>Inspection at production line</v>
      </c>
    </row>
    <row r="2792" spans="1:4" ht="13.8">
      <c r="A2792" s="47" t="s">
        <v>4523</v>
      </c>
      <c r="B2792" s="92" t="s">
        <v>814</v>
      </c>
      <c r="C2792" s="92" t="s">
        <v>4524</v>
      </c>
      <c r="D2792" s="72" t="str">
        <f>IFERROR(VLOOKUP(A2792,'[1]ST-QA-ZZ5'!$C$5:$M$299,11,0),"Inspection at production line")</f>
        <v>Inspection at production line</v>
      </c>
    </row>
    <row r="2793" spans="1:4" ht="13.8">
      <c r="A2793" s="47" t="s">
        <v>4525</v>
      </c>
      <c r="B2793" s="92" t="s">
        <v>828</v>
      </c>
      <c r="C2793" s="92" t="s">
        <v>4526</v>
      </c>
      <c r="D2793" s="72" t="str">
        <f>IFERROR(VLOOKUP(A2793,'[1]ST-QA-ZZ5'!$C$5:$M$299,11,0),"Inspection at production line")</f>
        <v>Inspection at production line</v>
      </c>
    </row>
    <row r="2794" spans="1:4" ht="13.8">
      <c r="A2794" s="47" t="s">
        <v>4527</v>
      </c>
      <c r="B2794" s="92" t="s">
        <v>2511</v>
      </c>
      <c r="C2794" s="92" t="s">
        <v>4528</v>
      </c>
      <c r="D2794" s="72" t="str">
        <f>IFERROR(VLOOKUP(A2794,'[1]ST-QA-ZZ5'!$C$5:$M$299,11,0),"Inspection at production line")</f>
        <v>Inspection at production line</v>
      </c>
    </row>
    <row r="2795" spans="1:4" ht="13.8">
      <c r="A2795" s="47" t="s">
        <v>4529</v>
      </c>
      <c r="B2795" s="92" t="s">
        <v>949</v>
      </c>
      <c r="C2795" s="92" t="s">
        <v>4530</v>
      </c>
      <c r="D2795" s="72" t="str">
        <f>IFERROR(VLOOKUP(A2795,'[1]ST-QA-ZZ5'!$C$5:$M$299,11,0),"Inspection at production line")</f>
        <v>Inspection at production line</v>
      </c>
    </row>
    <row r="2796" spans="1:4" ht="13.8">
      <c r="A2796" s="47" t="s">
        <v>4533</v>
      </c>
      <c r="B2796" s="92" t="s">
        <v>1177</v>
      </c>
      <c r="C2796" s="92" t="s">
        <v>7149</v>
      </c>
      <c r="D2796" s="72" t="str">
        <f>IFERROR(VLOOKUP(A2796,'[1]ST-QA-ZZ5'!$C$5:$M$299,11,0),"Inspection at production line")</f>
        <v>Inspection at production line</v>
      </c>
    </row>
    <row r="2797" spans="1:4" ht="13.8">
      <c r="A2797" s="47" t="s">
        <v>7150</v>
      </c>
      <c r="B2797" s="92" t="s">
        <v>555</v>
      </c>
      <c r="C2797" s="92" t="s">
        <v>7151</v>
      </c>
      <c r="D2797" s="72" t="str">
        <f>IFERROR(VLOOKUP(A2797,'[1]ST-QA-ZZ5'!$C$5:$M$299,11,0),"Inspection at production line")</f>
        <v>Inspection at production line</v>
      </c>
    </row>
    <row r="2798" spans="1:4" ht="13.8">
      <c r="A2798" s="47" t="s">
        <v>7152</v>
      </c>
      <c r="B2798" s="92" t="s">
        <v>555</v>
      </c>
      <c r="C2798" s="92" t="s">
        <v>7153</v>
      </c>
      <c r="D2798" s="72" t="str">
        <f>IFERROR(VLOOKUP(A2798,'[1]ST-QA-ZZ5'!$C$5:$M$299,11,0),"Inspection at production line")</f>
        <v>Inspection at production line</v>
      </c>
    </row>
    <row r="2799" spans="1:4" ht="13.8">
      <c r="A2799" s="47" t="s">
        <v>7154</v>
      </c>
      <c r="B2799" s="92" t="s">
        <v>555</v>
      </c>
      <c r="C2799" s="92" t="s">
        <v>7155</v>
      </c>
      <c r="D2799" s="72" t="str">
        <f>IFERROR(VLOOKUP(A2799,'[1]ST-QA-ZZ5'!$C$5:$M$299,11,0),"Inspection at production line")</f>
        <v>Inspection at production line</v>
      </c>
    </row>
    <row r="2800" spans="1:4" ht="13.8">
      <c r="A2800" s="47" t="s">
        <v>7156</v>
      </c>
      <c r="B2800" s="92" t="s">
        <v>555</v>
      </c>
      <c r="C2800" s="92" t="s">
        <v>7157</v>
      </c>
      <c r="D2800" s="72" t="str">
        <f>IFERROR(VLOOKUP(A2800,'[1]ST-QA-ZZ5'!$C$5:$M$299,11,0),"Inspection at production line")</f>
        <v>Inspection at production line</v>
      </c>
    </row>
    <row r="2801" spans="1:4" ht="13.8">
      <c r="A2801" s="47" t="s">
        <v>7158</v>
      </c>
      <c r="B2801" s="92" t="s">
        <v>7159</v>
      </c>
      <c r="C2801" s="92" t="s">
        <v>7160</v>
      </c>
      <c r="D2801" s="72" t="str">
        <f>IFERROR(VLOOKUP(A2801,'[1]ST-QA-ZZ5'!$C$5:$M$299,11,0),"Inspection at production line")</f>
        <v>Inspection at production line</v>
      </c>
    </row>
    <row r="2802" spans="1:4" ht="13.8">
      <c r="A2802" s="47" t="s">
        <v>7161</v>
      </c>
      <c r="B2802" s="92" t="s">
        <v>2489</v>
      </c>
      <c r="C2802" s="92" t="s">
        <v>7162</v>
      </c>
      <c r="D2802" s="72" t="str">
        <f>IFERROR(VLOOKUP(A2802,'[1]ST-QA-ZZ5'!$C$5:$M$299,11,0),"Inspection at production line")</f>
        <v>Inspection at production line</v>
      </c>
    </row>
    <row r="2803" spans="1:4" ht="13.8">
      <c r="A2803" s="47" t="s">
        <v>7163</v>
      </c>
      <c r="B2803" s="92" t="s">
        <v>68</v>
      </c>
      <c r="C2803" s="92" t="s">
        <v>7164</v>
      </c>
      <c r="D2803" s="72" t="str">
        <f>IFERROR(VLOOKUP(A2803,'[1]ST-QA-ZZ5'!$C$5:$M$299,11,0),"Inspection at production line")</f>
        <v>Inspection at production line</v>
      </c>
    </row>
    <row r="2804" spans="1:4" ht="13.8">
      <c r="A2804" s="47" t="s">
        <v>7165</v>
      </c>
      <c r="B2804" s="92" t="s">
        <v>68</v>
      </c>
      <c r="C2804" s="92" t="s">
        <v>7166</v>
      </c>
      <c r="D2804" s="72" t="str">
        <f>IFERROR(VLOOKUP(A2804,'[1]ST-QA-ZZ5'!$C$5:$M$299,11,0),"Inspection at production line")</f>
        <v>Inspection at production line</v>
      </c>
    </row>
    <row r="2805" spans="1:4" ht="13.8">
      <c r="A2805" s="47" t="s">
        <v>7167</v>
      </c>
      <c r="B2805" s="92" t="s">
        <v>68</v>
      </c>
      <c r="C2805" s="92" t="s">
        <v>7168</v>
      </c>
      <c r="D2805" s="72" t="str">
        <f>IFERROR(VLOOKUP(A2805,'[1]ST-QA-ZZ5'!$C$5:$M$299,11,0),"Inspection at production line")</f>
        <v>Inspection at production line</v>
      </c>
    </row>
    <row r="2806" spans="1:4" ht="13.8">
      <c r="A2806" s="47" t="s">
        <v>7169</v>
      </c>
      <c r="B2806" s="92" t="s">
        <v>946</v>
      </c>
      <c r="C2806" s="92" t="s">
        <v>7170</v>
      </c>
      <c r="D2806" s="72" t="str">
        <f>IFERROR(VLOOKUP(A2806,'[1]ST-QA-ZZ5'!$C$5:$M$299,11,0),"Inspection at production line")</f>
        <v>Inspection at production line</v>
      </c>
    </row>
    <row r="2807" spans="1:4" ht="13.8">
      <c r="A2807" s="47" t="s">
        <v>7171</v>
      </c>
      <c r="B2807" s="92" t="s">
        <v>2546</v>
      </c>
      <c r="C2807" s="92" t="s">
        <v>7172</v>
      </c>
      <c r="D2807" s="72" t="str">
        <f>IFERROR(VLOOKUP(A2807,'[1]ST-QA-ZZ5'!$C$5:$M$299,11,0),"Inspection at production line")</f>
        <v>Inspection at production line</v>
      </c>
    </row>
    <row r="2808" spans="1:4" ht="13.8">
      <c r="A2808" s="47" t="s">
        <v>7173</v>
      </c>
      <c r="B2808" s="92" t="s">
        <v>797</v>
      </c>
      <c r="C2808" s="92" t="s">
        <v>7174</v>
      </c>
      <c r="D2808" s="72" t="str">
        <f>IFERROR(VLOOKUP(A2808,'[1]ST-QA-ZZ5'!$C$5:$M$299,11,0),"Inspection at production line")</f>
        <v>Inspection at production line</v>
      </c>
    </row>
    <row r="2809" spans="1:4" ht="13.8">
      <c r="A2809" s="47" t="s">
        <v>7175</v>
      </c>
      <c r="B2809" s="92" t="s">
        <v>2507</v>
      </c>
      <c r="C2809" s="92" t="s">
        <v>7176</v>
      </c>
      <c r="D2809" s="72" t="str">
        <f>IFERROR(VLOOKUP(A2809,'[1]ST-QA-ZZ5'!$C$5:$M$299,11,0),"Inspection at production line")</f>
        <v>Inspection at production line</v>
      </c>
    </row>
    <row r="2810" spans="1:4" ht="13.8">
      <c r="A2810" s="47" t="s">
        <v>7177</v>
      </c>
      <c r="B2810" s="92" t="s">
        <v>957</v>
      </c>
      <c r="C2810" s="92" t="s">
        <v>7178</v>
      </c>
      <c r="D2810" s="72" t="str">
        <f>IFERROR(VLOOKUP(A2810,'[1]ST-QA-ZZ5'!$C$5:$M$299,11,0),"Inspection at production line")</f>
        <v>Inspection at production line</v>
      </c>
    </row>
    <row r="2811" spans="1:4" ht="13.8">
      <c r="A2811" s="47" t="s">
        <v>7179</v>
      </c>
      <c r="B2811" s="92" t="s">
        <v>1896</v>
      </c>
      <c r="C2811" s="92" t="s">
        <v>7180</v>
      </c>
      <c r="D2811" s="72" t="str">
        <f>IFERROR(VLOOKUP(A2811,'[1]ST-QA-ZZ5'!$C$5:$M$299,11,0),"Inspection at production line")</f>
        <v>Inspection at production line</v>
      </c>
    </row>
    <row r="2812" spans="1:4" ht="13.8">
      <c r="A2812" s="47" t="s">
        <v>7181</v>
      </c>
      <c r="B2812" s="92" t="s">
        <v>949</v>
      </c>
      <c r="C2812" s="92" t="s">
        <v>7182</v>
      </c>
      <c r="D2812" s="72" t="str">
        <f>IFERROR(VLOOKUP(A2812,'[1]ST-QA-ZZ5'!$C$5:$M$299,11,0),"Inspection at production line")</f>
        <v>Inspection at production line</v>
      </c>
    </row>
    <row r="2813" spans="1:4" ht="13.8">
      <c r="A2813" s="47" t="s">
        <v>7183</v>
      </c>
      <c r="B2813" s="92" t="s">
        <v>2511</v>
      </c>
      <c r="C2813" s="92" t="s">
        <v>7184</v>
      </c>
      <c r="D2813" s="72" t="str">
        <f>IFERROR(VLOOKUP(A2813,'[1]ST-QA-ZZ5'!$C$5:$M$299,11,0),"Inspection at production line")</f>
        <v>Inspection at production line</v>
      </c>
    </row>
    <row r="2814" spans="1:4" ht="13.8">
      <c r="A2814" s="47" t="s">
        <v>7185</v>
      </c>
      <c r="B2814" s="92" t="s">
        <v>946</v>
      </c>
      <c r="C2814" s="92" t="s">
        <v>7186</v>
      </c>
      <c r="D2814" s="72" t="str">
        <f>IFERROR(VLOOKUP(A2814,'[1]ST-QA-ZZ5'!$C$5:$M$299,11,0),"Inspection at production line")</f>
        <v>Inspection at production line</v>
      </c>
    </row>
    <row r="2815" spans="1:4" ht="13.8">
      <c r="A2815" s="47" t="s">
        <v>7187</v>
      </c>
      <c r="B2815" s="92" t="s">
        <v>2546</v>
      </c>
      <c r="C2815" s="92" t="s">
        <v>7188</v>
      </c>
      <c r="D2815" s="72" t="str">
        <f>IFERROR(VLOOKUP(A2815,'[1]ST-QA-ZZ5'!$C$5:$M$299,11,0),"Inspection at production line")</f>
        <v>Inspection at production line</v>
      </c>
    </row>
    <row r="2816" spans="1:4" ht="13.8">
      <c r="A2816" s="47" t="s">
        <v>7189</v>
      </c>
      <c r="B2816" s="92" t="s">
        <v>797</v>
      </c>
      <c r="C2816" s="92" t="s">
        <v>7190</v>
      </c>
      <c r="D2816" s="72" t="str">
        <f>IFERROR(VLOOKUP(A2816,'[1]ST-QA-ZZ5'!$C$5:$M$299,11,0),"Inspection at production line")</f>
        <v>Inspection at production line</v>
      </c>
    </row>
    <row r="2817" spans="1:4" ht="13.8">
      <c r="A2817" s="47" t="s">
        <v>7191</v>
      </c>
      <c r="B2817" s="92" t="s">
        <v>2507</v>
      </c>
      <c r="C2817" s="92" t="s">
        <v>7192</v>
      </c>
      <c r="D2817" s="72" t="str">
        <f>IFERROR(VLOOKUP(A2817,'[1]ST-QA-ZZ5'!$C$5:$M$299,11,0),"Inspection at production line")</f>
        <v>Inspection at production line</v>
      </c>
    </row>
    <row r="2818" spans="1:4" ht="13.8">
      <c r="A2818" s="47" t="s">
        <v>7193</v>
      </c>
      <c r="B2818" s="92" t="s">
        <v>957</v>
      </c>
      <c r="C2818" s="92" t="s">
        <v>7194</v>
      </c>
      <c r="D2818" s="72" t="str">
        <f>IFERROR(VLOOKUP(A2818,'[1]ST-QA-ZZ5'!$C$5:$M$299,11,0),"Inspection at production line")</f>
        <v>Inspection at production line</v>
      </c>
    </row>
    <row r="2819" spans="1:4" ht="13.8">
      <c r="A2819" s="47" t="s">
        <v>7195</v>
      </c>
      <c r="B2819" s="92" t="s">
        <v>1896</v>
      </c>
      <c r="C2819" s="92" t="s">
        <v>7196</v>
      </c>
      <c r="D2819" s="72" t="str">
        <f>IFERROR(VLOOKUP(A2819,'[1]ST-QA-ZZ5'!$C$5:$M$299,11,0),"Inspection at production line")</f>
        <v>Inspection at production line</v>
      </c>
    </row>
    <row r="2820" spans="1:4" ht="13.8">
      <c r="A2820" s="47" t="s">
        <v>7197</v>
      </c>
      <c r="B2820" s="92" t="s">
        <v>949</v>
      </c>
      <c r="C2820" s="92" t="s">
        <v>7198</v>
      </c>
      <c r="D2820" s="72" t="str">
        <f>IFERROR(VLOOKUP(A2820,'[1]ST-QA-ZZ5'!$C$5:$M$299,11,0),"Inspection at production line")</f>
        <v>Inspection at production line</v>
      </c>
    </row>
    <row r="2821" spans="1:4" ht="13.8">
      <c r="A2821" s="47" t="s">
        <v>7199</v>
      </c>
      <c r="B2821" s="92" t="s">
        <v>2511</v>
      </c>
      <c r="C2821" s="92" t="s">
        <v>7200</v>
      </c>
      <c r="D2821" s="72" t="str">
        <f>IFERROR(VLOOKUP(A2821,'[1]ST-QA-ZZ5'!$C$5:$M$299,11,0),"Inspection at production line")</f>
        <v>Inspection at production line</v>
      </c>
    </row>
    <row r="2822" spans="1:4" ht="13.8">
      <c r="A2822" s="47" t="s">
        <v>7201</v>
      </c>
      <c r="B2822" s="92" t="s">
        <v>949</v>
      </c>
      <c r="C2822" s="92" t="s">
        <v>7202</v>
      </c>
      <c r="D2822" s="72" t="str">
        <f>IFERROR(VLOOKUP(A2822,'[1]ST-QA-ZZ5'!$C$5:$M$299,11,0),"Inspection at production line")</f>
        <v>Inspection at production line</v>
      </c>
    </row>
    <row r="2823" spans="1:4" ht="13.8">
      <c r="A2823" s="47" t="s">
        <v>7203</v>
      </c>
      <c r="B2823" s="92" t="s">
        <v>4637</v>
      </c>
      <c r="C2823" s="92" t="s">
        <v>7204</v>
      </c>
      <c r="D2823" s="72" t="str">
        <f>IFERROR(VLOOKUP(A2823,'[1]ST-QA-ZZ5'!$C$5:$M$299,11,0),"Inspection at production line")</f>
        <v>Inspection at production line</v>
      </c>
    </row>
    <row r="2824" spans="1:4" ht="13.8">
      <c r="A2824" s="47" t="s">
        <v>7205</v>
      </c>
      <c r="B2824" s="92" t="s">
        <v>3363</v>
      </c>
      <c r="C2824" s="92" t="s">
        <v>7206</v>
      </c>
      <c r="D2824" s="72" t="str">
        <f>IFERROR(VLOOKUP(A2824,'[1]ST-QA-ZZ5'!$C$5:$M$299,11,0),"Inspection at production line")</f>
        <v>Inspection at production line</v>
      </c>
    </row>
    <row r="2825" spans="1:4" ht="13.8">
      <c r="A2825" s="47" t="s">
        <v>7207</v>
      </c>
      <c r="B2825" s="92" t="s">
        <v>2721</v>
      </c>
      <c r="C2825" s="92" t="s">
        <v>7208</v>
      </c>
      <c r="D2825" s="72" t="str">
        <f>IFERROR(VLOOKUP(A2825,'[1]ST-QA-ZZ5'!$C$5:$M$299,11,0),"Inspection at production line")</f>
        <v>Inspection at production line</v>
      </c>
    </row>
    <row r="2826" spans="1:4" ht="13.8">
      <c r="A2826" s="47" t="s">
        <v>7209</v>
      </c>
      <c r="B2826" s="92" t="s">
        <v>797</v>
      </c>
      <c r="C2826" s="92" t="s">
        <v>7210</v>
      </c>
      <c r="D2826" s="72" t="str">
        <f>IFERROR(VLOOKUP(A2826,'[1]ST-QA-ZZ5'!$C$5:$M$299,11,0),"Inspection at production line")</f>
        <v>Inspection at production line</v>
      </c>
    </row>
    <row r="2827" spans="1:4" ht="13.8">
      <c r="A2827" s="47" t="s">
        <v>7211</v>
      </c>
      <c r="B2827" s="92" t="s">
        <v>1273</v>
      </c>
      <c r="C2827" s="92" t="s">
        <v>7212</v>
      </c>
      <c r="D2827" s="72" t="str">
        <f>IFERROR(VLOOKUP(A2827,'[1]ST-QA-ZZ5'!$C$5:$M$299,11,0),"Inspection at production line")</f>
        <v>Inspection at production line</v>
      </c>
    </row>
    <row r="2828" spans="1:4" ht="13.8">
      <c r="A2828" s="47" t="s">
        <v>7213</v>
      </c>
      <c r="B2828" s="92" t="s">
        <v>949</v>
      </c>
      <c r="C2828" s="92" t="s">
        <v>7214</v>
      </c>
      <c r="D2828" s="72" t="str">
        <f>IFERROR(VLOOKUP(A2828,'[1]ST-QA-ZZ5'!$C$5:$M$299,11,0),"Inspection at production line")</f>
        <v>Inspection at production line</v>
      </c>
    </row>
    <row r="2829" spans="1:4" ht="13.8">
      <c r="A2829" s="47" t="s">
        <v>7215</v>
      </c>
      <c r="B2829" s="92" t="s">
        <v>811</v>
      </c>
      <c r="C2829" s="92" t="s">
        <v>7216</v>
      </c>
      <c r="D2829" s="72" t="str">
        <f>IFERROR(VLOOKUP(A2829,'[1]ST-QA-ZZ5'!$C$5:$M$299,11,0),"Inspection at production line")</f>
        <v>Inspection at production line</v>
      </c>
    </row>
    <row r="2830" spans="1:4" ht="13.8">
      <c r="A2830" s="47" t="s">
        <v>7217</v>
      </c>
      <c r="B2830" s="92" t="s">
        <v>2511</v>
      </c>
      <c r="C2830" s="92" t="s">
        <v>7218</v>
      </c>
      <c r="D2830" s="72" t="str">
        <f>IFERROR(VLOOKUP(A2830,'[1]ST-QA-ZZ5'!$C$5:$M$299,11,0),"Inspection at production line")</f>
        <v>Inspection at production line</v>
      </c>
    </row>
    <row r="2831" spans="1:4" ht="13.8">
      <c r="A2831" s="47" t="s">
        <v>7219</v>
      </c>
      <c r="B2831" s="92" t="s">
        <v>949</v>
      </c>
      <c r="C2831" s="92" t="s">
        <v>7220</v>
      </c>
      <c r="D2831" s="72" t="str">
        <f>IFERROR(VLOOKUP(A2831,'[1]ST-QA-ZZ5'!$C$5:$M$299,11,0),"Inspection at production line")</f>
        <v>Inspection at production line</v>
      </c>
    </row>
    <row r="2832" spans="1:4" ht="13.8">
      <c r="A2832" s="47" t="s">
        <v>7221</v>
      </c>
      <c r="B2832" s="92" t="s">
        <v>4637</v>
      </c>
      <c r="C2832" s="92" t="s">
        <v>7222</v>
      </c>
      <c r="D2832" s="72" t="str">
        <f>IFERROR(VLOOKUP(A2832,'[1]ST-QA-ZZ5'!$C$5:$M$299,11,0),"Inspection at production line")</f>
        <v>Inspection at production line</v>
      </c>
    </row>
    <row r="2833" spans="1:4" ht="13.8">
      <c r="A2833" s="47" t="s">
        <v>7223</v>
      </c>
      <c r="B2833" s="92" t="s">
        <v>3363</v>
      </c>
      <c r="C2833" s="92" t="s">
        <v>7224</v>
      </c>
      <c r="D2833" s="72" t="str">
        <f>IFERROR(VLOOKUP(A2833,'[1]ST-QA-ZZ5'!$C$5:$M$299,11,0),"Inspection at production line")</f>
        <v>Inspection at production line</v>
      </c>
    </row>
    <row r="2834" spans="1:4" ht="13.8">
      <c r="A2834" s="47" t="s">
        <v>7225</v>
      </c>
      <c r="B2834" s="92" t="s">
        <v>2721</v>
      </c>
      <c r="C2834" s="92" t="s">
        <v>7226</v>
      </c>
      <c r="D2834" s="72" t="str">
        <f>IFERROR(VLOOKUP(A2834,'[1]ST-QA-ZZ5'!$C$5:$M$299,11,0),"Inspection at production line")</f>
        <v>Inspection at production line</v>
      </c>
    </row>
    <row r="2835" spans="1:4" ht="13.8">
      <c r="A2835" s="47" t="s">
        <v>7227</v>
      </c>
      <c r="B2835" s="92" t="s">
        <v>797</v>
      </c>
      <c r="C2835" s="92" t="s">
        <v>7228</v>
      </c>
      <c r="D2835" s="72" t="str">
        <f>IFERROR(VLOOKUP(A2835,'[1]ST-QA-ZZ5'!$C$5:$M$299,11,0),"Inspection at production line")</f>
        <v>Inspection at production line</v>
      </c>
    </row>
    <row r="2836" spans="1:4" ht="13.8">
      <c r="A2836" s="47" t="s">
        <v>7229</v>
      </c>
      <c r="B2836" s="92" t="s">
        <v>1273</v>
      </c>
      <c r="C2836" s="92" t="s">
        <v>7230</v>
      </c>
      <c r="D2836" s="72" t="str">
        <f>IFERROR(VLOOKUP(A2836,'[1]ST-QA-ZZ5'!$C$5:$M$299,11,0),"Inspection at production line")</f>
        <v>Inspection at production line</v>
      </c>
    </row>
    <row r="2837" spans="1:4" ht="13.8">
      <c r="A2837" s="47" t="s">
        <v>7231</v>
      </c>
      <c r="B2837" s="92" t="s">
        <v>811</v>
      </c>
      <c r="C2837" s="92" t="s">
        <v>7232</v>
      </c>
      <c r="D2837" s="72" t="str">
        <f>IFERROR(VLOOKUP(A2837,'[1]ST-QA-ZZ5'!$C$5:$M$299,11,0),"Inspection at production line")</f>
        <v>Inspection at production line</v>
      </c>
    </row>
    <row r="2838" spans="1:4" ht="13.8">
      <c r="A2838" s="47" t="s">
        <v>7233</v>
      </c>
      <c r="B2838" s="92" t="s">
        <v>2511</v>
      </c>
      <c r="C2838" s="92" t="s">
        <v>7234</v>
      </c>
      <c r="D2838" s="72" t="str">
        <f>IFERROR(VLOOKUP(A2838,'[1]ST-QA-ZZ5'!$C$5:$M$299,11,0),"Inspection at production line")</f>
        <v>Inspection at production line</v>
      </c>
    </row>
    <row r="2839" spans="1:4" ht="13.8">
      <c r="A2839" s="47" t="s">
        <v>7235</v>
      </c>
      <c r="B2839" s="92" t="s">
        <v>949</v>
      </c>
      <c r="C2839" s="92" t="s">
        <v>7236</v>
      </c>
      <c r="D2839" s="72" t="str">
        <f>IFERROR(VLOOKUP(A2839,'[1]ST-QA-ZZ5'!$C$5:$M$299,11,0),"Inspection at production line")</f>
        <v>Inspection at production line</v>
      </c>
    </row>
    <row r="2840" spans="1:4" ht="13.8">
      <c r="A2840" s="47" t="s">
        <v>7237</v>
      </c>
      <c r="B2840" s="92" t="s">
        <v>4637</v>
      </c>
      <c r="C2840" s="92" t="s">
        <v>7238</v>
      </c>
      <c r="D2840" s="72" t="str">
        <f>IFERROR(VLOOKUP(A2840,'[1]ST-QA-ZZ5'!$C$5:$M$299,11,0),"Inspection at production line")</f>
        <v>Inspection at production line</v>
      </c>
    </row>
    <row r="2841" spans="1:4" ht="13.8">
      <c r="A2841" s="47" t="s">
        <v>7239</v>
      </c>
      <c r="B2841" s="92" t="s">
        <v>3363</v>
      </c>
      <c r="C2841" s="92" t="s">
        <v>7240</v>
      </c>
      <c r="D2841" s="72" t="str">
        <f>IFERROR(VLOOKUP(A2841,'[1]ST-QA-ZZ5'!$C$5:$M$299,11,0),"Inspection at production line")</f>
        <v>Inspection at production line</v>
      </c>
    </row>
    <row r="2842" spans="1:4" ht="13.8">
      <c r="A2842" s="47" t="s">
        <v>7241</v>
      </c>
      <c r="B2842" s="92" t="s">
        <v>2721</v>
      </c>
      <c r="C2842" s="92" t="s">
        <v>7242</v>
      </c>
      <c r="D2842" s="72" t="str">
        <f>IFERROR(VLOOKUP(A2842,'[1]ST-QA-ZZ5'!$C$5:$M$299,11,0),"Inspection at production line")</f>
        <v>Inspection at production line</v>
      </c>
    </row>
    <row r="2843" spans="1:4" ht="13.8">
      <c r="A2843" s="47" t="s">
        <v>7243</v>
      </c>
      <c r="B2843" s="92" t="s">
        <v>797</v>
      </c>
      <c r="C2843" s="92" t="s">
        <v>7244</v>
      </c>
      <c r="D2843" s="72" t="str">
        <f>IFERROR(VLOOKUP(A2843,'[1]ST-QA-ZZ5'!$C$5:$M$299,11,0),"Inspection at production line")</f>
        <v>Inspection at production line</v>
      </c>
    </row>
    <row r="2844" spans="1:4" ht="13.8">
      <c r="A2844" s="47" t="s">
        <v>7245</v>
      </c>
      <c r="B2844" s="92" t="s">
        <v>1273</v>
      </c>
      <c r="C2844" s="92" t="s">
        <v>7246</v>
      </c>
      <c r="D2844" s="72" t="str">
        <f>IFERROR(VLOOKUP(A2844,'[1]ST-QA-ZZ5'!$C$5:$M$299,11,0),"Inspection at production line")</f>
        <v>Inspection at production line</v>
      </c>
    </row>
    <row r="2845" spans="1:4" ht="13.8">
      <c r="A2845" s="47" t="s">
        <v>7247</v>
      </c>
      <c r="B2845" s="92" t="s">
        <v>7248</v>
      </c>
      <c r="C2845" s="92" t="s">
        <v>7249</v>
      </c>
      <c r="D2845" s="72" t="str">
        <f>IFERROR(VLOOKUP(A2845,'[1]ST-QA-ZZ5'!$C$5:$M$299,11,0),"Inspection at production line")</f>
        <v>Inspection at production line</v>
      </c>
    </row>
    <row r="2846" spans="1:4" ht="13.8">
      <c r="A2846" s="47" t="s">
        <v>7250</v>
      </c>
      <c r="B2846" s="92" t="s">
        <v>2511</v>
      </c>
      <c r="C2846" s="92" t="s">
        <v>7251</v>
      </c>
      <c r="D2846" s="72" t="str">
        <f>IFERROR(VLOOKUP(A2846,'[1]ST-QA-ZZ5'!$C$5:$M$299,11,0),"Inspection at production line")</f>
        <v>Inspection at production line</v>
      </c>
    </row>
    <row r="2847" spans="1:4" ht="13.8">
      <c r="A2847" s="47" t="s">
        <v>7252</v>
      </c>
      <c r="B2847" s="92" t="s">
        <v>1177</v>
      </c>
      <c r="C2847" s="92" t="s">
        <v>7253</v>
      </c>
      <c r="D2847" s="72" t="str">
        <f>IFERROR(VLOOKUP(A2847,'[1]ST-QA-ZZ5'!$C$5:$M$299,11,0),"Inspection at production line")</f>
        <v>Inspection at production line</v>
      </c>
    </row>
    <row r="2848" spans="1:4" ht="13.8">
      <c r="A2848" s="47" t="s">
        <v>7254</v>
      </c>
      <c r="B2848" s="92" t="s">
        <v>949</v>
      </c>
      <c r="C2848" s="92" t="s">
        <v>7255</v>
      </c>
      <c r="D2848" s="72" t="str">
        <f>IFERROR(VLOOKUP(A2848,'[1]ST-QA-ZZ5'!$C$5:$M$299,11,0),"Inspection at production line")</f>
        <v>Inspection at production line</v>
      </c>
    </row>
    <row r="2849" spans="1:4" ht="13.8">
      <c r="A2849" s="47" t="s">
        <v>7256</v>
      </c>
      <c r="B2849" s="92" t="s">
        <v>2578</v>
      </c>
      <c r="C2849" s="92" t="s">
        <v>7257</v>
      </c>
      <c r="D2849" s="72" t="str">
        <f>IFERROR(VLOOKUP(A2849,'[1]ST-QA-ZZ5'!$C$5:$M$299,11,0),"Inspection at production line")</f>
        <v>Inspection at production line</v>
      </c>
    </row>
    <row r="2850" spans="1:4" ht="13.8">
      <c r="A2850" s="47" t="s">
        <v>7258</v>
      </c>
      <c r="B2850" s="92" t="s">
        <v>2578</v>
      </c>
      <c r="C2850" s="92" t="s">
        <v>7259</v>
      </c>
      <c r="D2850" s="72" t="str">
        <f>IFERROR(VLOOKUP(A2850,'[1]ST-QA-ZZ5'!$C$5:$M$299,11,0),"Inspection at production line")</f>
        <v>Inspection at production line</v>
      </c>
    </row>
    <row r="2851" spans="1:4" ht="13.8">
      <c r="A2851" s="47" t="s">
        <v>4927</v>
      </c>
      <c r="B2851" s="92" t="s">
        <v>2578</v>
      </c>
      <c r="C2851" s="92" t="s">
        <v>4929</v>
      </c>
      <c r="D2851" s="72" t="str">
        <f>IFERROR(VLOOKUP(A2851,'[1]ST-QA-ZZ5'!$C$5:$M$299,11,0),"Inspection at production line")</f>
        <v>Inspection at production line</v>
      </c>
    </row>
    <row r="2852" spans="1:4" ht="13.8">
      <c r="A2852" s="47" t="s">
        <v>7260</v>
      </c>
      <c r="B2852" s="92" t="s">
        <v>2578</v>
      </c>
      <c r="C2852" s="92" t="s">
        <v>7261</v>
      </c>
      <c r="D2852" s="72" t="str">
        <f>IFERROR(VLOOKUP(A2852,'[1]ST-QA-ZZ5'!$C$5:$M$299,11,0),"Inspection at production line")</f>
        <v>Inspection at production line</v>
      </c>
    </row>
    <row r="2853" spans="1:4" ht="13.8">
      <c r="A2853" s="47" t="s">
        <v>7262</v>
      </c>
      <c r="B2853" s="92" t="s">
        <v>797</v>
      </c>
      <c r="C2853" s="92" t="s">
        <v>7263</v>
      </c>
      <c r="D2853" s="72" t="str">
        <f>IFERROR(VLOOKUP(A2853,'[1]ST-QA-ZZ5'!$C$5:$M$299,11,0),"Inspection at production line")</f>
        <v>Inspection at production line</v>
      </c>
    </row>
    <row r="2854" spans="1:4" ht="13.8">
      <c r="A2854" s="47" t="s">
        <v>7264</v>
      </c>
      <c r="B2854" s="92" t="s">
        <v>2507</v>
      </c>
      <c r="C2854" s="92" t="s">
        <v>7265</v>
      </c>
      <c r="D2854" s="72" t="str">
        <f>IFERROR(VLOOKUP(A2854,'[1]ST-QA-ZZ5'!$C$5:$M$299,11,0),"Inspection at production line")</f>
        <v>Inspection at production line</v>
      </c>
    </row>
    <row r="2855" spans="1:4" ht="13.8">
      <c r="A2855" s="47" t="s">
        <v>7266</v>
      </c>
      <c r="B2855" s="92" t="s">
        <v>957</v>
      </c>
      <c r="C2855" s="92" t="s">
        <v>7267</v>
      </c>
      <c r="D2855" s="72" t="str">
        <f>IFERROR(VLOOKUP(A2855,'[1]ST-QA-ZZ5'!$C$5:$M$299,11,0),"Inspection at production line")</f>
        <v>Inspection at production line</v>
      </c>
    </row>
    <row r="2856" spans="1:4" ht="13.8">
      <c r="A2856" s="47" t="s">
        <v>7268</v>
      </c>
      <c r="B2856" s="92" t="s">
        <v>953</v>
      </c>
      <c r="C2856" s="92" t="s">
        <v>7269</v>
      </c>
      <c r="D2856" s="72" t="str">
        <f>IFERROR(VLOOKUP(A2856,'[1]ST-QA-ZZ5'!$C$5:$M$299,11,0),"Inspection at production line")</f>
        <v>Inspection at production line</v>
      </c>
    </row>
    <row r="2857" spans="1:4" ht="13.8">
      <c r="A2857" s="47" t="s">
        <v>7270</v>
      </c>
      <c r="B2857" s="92" t="s">
        <v>2511</v>
      </c>
      <c r="C2857" s="92" t="s">
        <v>5065</v>
      </c>
      <c r="D2857" s="72" t="str">
        <f>IFERROR(VLOOKUP(A2857,'[1]ST-QA-ZZ5'!$C$5:$M$299,11,0),"Inspection at production line")</f>
        <v>Inspection at production line</v>
      </c>
    </row>
    <row r="2858" spans="1:4" ht="13.8">
      <c r="A2858" s="47" t="s">
        <v>7271</v>
      </c>
      <c r="B2858" s="92" t="s">
        <v>2546</v>
      </c>
      <c r="C2858" s="92" t="s">
        <v>7272</v>
      </c>
      <c r="D2858" s="72" t="str">
        <f>IFERROR(VLOOKUP(A2858,'[1]ST-QA-ZZ5'!$C$5:$M$299,11,0),"Inspection at production line")</f>
        <v>Inspection at production line</v>
      </c>
    </row>
    <row r="2859" spans="1:4" ht="13.8">
      <c r="A2859" s="47" t="s">
        <v>7273</v>
      </c>
      <c r="B2859" s="92" t="s">
        <v>949</v>
      </c>
      <c r="C2859" s="92" t="s">
        <v>7274</v>
      </c>
      <c r="D2859" s="72" t="str">
        <f>IFERROR(VLOOKUP(A2859,'[1]ST-QA-ZZ5'!$C$5:$M$299,11,0),"Inspection at production line")</f>
        <v>Inspection at production line</v>
      </c>
    </row>
    <row r="2860" spans="1:4" ht="13.8">
      <c r="A2860" s="47" t="s">
        <v>7275</v>
      </c>
      <c r="B2860" s="92" t="s">
        <v>555</v>
      </c>
      <c r="C2860" s="92" t="s">
        <v>7276</v>
      </c>
      <c r="D2860" s="72" t="str">
        <f>IFERROR(VLOOKUP(A2860,'[1]ST-QA-ZZ5'!$C$5:$M$299,11,0),"Inspection at production line")</f>
        <v>Inspection at production line</v>
      </c>
    </row>
    <row r="2861" spans="1:4" ht="13.8">
      <c r="A2861" s="47" t="s">
        <v>7277</v>
      </c>
      <c r="B2861" s="92" t="s">
        <v>68</v>
      </c>
      <c r="C2861" s="92" t="s">
        <v>7278</v>
      </c>
      <c r="D2861" s="72" t="str">
        <f>IFERROR(VLOOKUP(A2861,'[1]ST-QA-ZZ5'!$C$5:$M$299,11,0),"Inspection at production line")</f>
        <v>Inspection at production line</v>
      </c>
    </row>
    <row r="2862" spans="1:4" ht="13.8">
      <c r="A2862" s="47" t="s">
        <v>7279</v>
      </c>
      <c r="B2862" s="92" t="s">
        <v>555</v>
      </c>
      <c r="C2862" s="92" t="s">
        <v>7280</v>
      </c>
      <c r="D2862" s="72" t="str">
        <f>IFERROR(VLOOKUP(A2862,'[1]ST-QA-ZZ5'!$C$5:$M$299,11,0),"Inspection at production line")</f>
        <v>Inspection at production line</v>
      </c>
    </row>
    <row r="2863" spans="1:4" ht="13.8">
      <c r="A2863" s="47" t="s">
        <v>7281</v>
      </c>
      <c r="B2863" s="92" t="s">
        <v>555</v>
      </c>
      <c r="C2863" s="92" t="s">
        <v>7282</v>
      </c>
      <c r="D2863" s="72" t="str">
        <f>IFERROR(VLOOKUP(A2863,'[1]ST-QA-ZZ5'!$C$5:$M$299,11,0),"Inspection at production line")</f>
        <v>Inspection at production line</v>
      </c>
    </row>
    <row r="2864" spans="1:4" ht="13.8">
      <c r="A2864" s="47" t="s">
        <v>7283</v>
      </c>
      <c r="B2864" s="92" t="s">
        <v>555</v>
      </c>
      <c r="C2864" s="92" t="s">
        <v>7284</v>
      </c>
      <c r="D2864" s="72" t="str">
        <f>IFERROR(VLOOKUP(A2864,'[1]ST-QA-ZZ5'!$C$5:$M$299,11,0),"Inspection at production line")</f>
        <v>Inspection at production line</v>
      </c>
    </row>
    <row r="2865" spans="1:4" ht="13.8">
      <c r="A2865" s="47" t="s">
        <v>7285</v>
      </c>
      <c r="B2865" s="92" t="s">
        <v>2511</v>
      </c>
      <c r="C2865" s="92" t="s">
        <v>7286</v>
      </c>
      <c r="D2865" s="72" t="str">
        <f>IFERROR(VLOOKUP(A2865,'[1]ST-QA-ZZ5'!$C$5:$M$299,11,0),"Inspection at production line")</f>
        <v>Inspection at production line</v>
      </c>
    </row>
    <row r="2866" spans="1:4" ht="13.8">
      <c r="A2866" s="47" t="s">
        <v>7287</v>
      </c>
      <c r="B2866" s="92" t="s">
        <v>2511</v>
      </c>
      <c r="C2866" s="92" t="s">
        <v>7288</v>
      </c>
      <c r="D2866" s="72" t="str">
        <f>IFERROR(VLOOKUP(A2866,'[1]ST-QA-ZZ5'!$C$5:$M$299,11,0),"Inspection at production line")</f>
        <v>Inspection at production line</v>
      </c>
    </row>
    <row r="2867" spans="1:4" ht="13.8">
      <c r="A2867" s="47" t="s">
        <v>7289</v>
      </c>
      <c r="B2867" s="92" t="s">
        <v>555</v>
      </c>
      <c r="C2867" s="92" t="s">
        <v>7290</v>
      </c>
      <c r="D2867" s="72" t="str">
        <f>IFERROR(VLOOKUP(A2867,'[1]ST-QA-ZZ5'!$C$5:$M$299,11,0),"Inspection at production line")</f>
        <v>Inspection at production line</v>
      </c>
    </row>
    <row r="2868" spans="1:4" ht="13.8">
      <c r="A2868" s="47" t="s">
        <v>7291</v>
      </c>
      <c r="B2868" s="92" t="s">
        <v>555</v>
      </c>
      <c r="C2868" s="92" t="s">
        <v>7292</v>
      </c>
      <c r="D2868" s="72" t="str">
        <f>IFERROR(VLOOKUP(A2868,'[1]ST-QA-ZZ5'!$C$5:$M$299,11,0),"Inspection at production line")</f>
        <v>Inspection at production line</v>
      </c>
    </row>
    <row r="2869" spans="1:4" ht="13.8">
      <c r="A2869" s="47" t="s">
        <v>7293</v>
      </c>
      <c r="B2869" s="92" t="s">
        <v>2489</v>
      </c>
      <c r="C2869" s="92" t="s">
        <v>7294</v>
      </c>
      <c r="D2869" s="72" t="str">
        <f>IFERROR(VLOOKUP(A2869,'[1]ST-QA-ZZ5'!$C$5:$M$299,11,0),"Inspection at production line")</f>
        <v>Inspection at production line</v>
      </c>
    </row>
    <row r="2870" spans="1:4" ht="13.8">
      <c r="A2870" s="47" t="s">
        <v>7295</v>
      </c>
      <c r="B2870" s="92" t="s">
        <v>2578</v>
      </c>
      <c r="C2870" s="92" t="s">
        <v>7296</v>
      </c>
      <c r="D2870" s="72" t="str">
        <f>IFERROR(VLOOKUP(A2870,'[1]ST-QA-ZZ5'!$C$5:$M$299,11,0),"Inspection at production line")</f>
        <v>Inspection at production line</v>
      </c>
    </row>
    <row r="2871" spans="1:4" ht="13.8">
      <c r="A2871" s="47" t="s">
        <v>7297</v>
      </c>
      <c r="B2871" s="92" t="s">
        <v>2578</v>
      </c>
      <c r="C2871" s="92" t="s">
        <v>7298</v>
      </c>
      <c r="D2871" s="72" t="str">
        <f>IFERROR(VLOOKUP(A2871,'[1]ST-QA-ZZ5'!$C$5:$M$299,11,0),"Inspection at production line")</f>
        <v>Inspection at production line</v>
      </c>
    </row>
    <row r="2872" spans="1:4" ht="13.8">
      <c r="A2872" s="47" t="s">
        <v>7299</v>
      </c>
      <c r="B2872" s="92" t="s">
        <v>2578</v>
      </c>
      <c r="C2872" s="92" t="s">
        <v>7300</v>
      </c>
      <c r="D2872" s="72" t="str">
        <f>IFERROR(VLOOKUP(A2872,'[1]ST-QA-ZZ5'!$C$5:$M$299,11,0),"Inspection at production line")</f>
        <v>Inspection at production line</v>
      </c>
    </row>
    <row r="2873" spans="1:4" ht="13.8">
      <c r="A2873" s="47" t="s">
        <v>7301</v>
      </c>
      <c r="B2873" s="92" t="s">
        <v>2578</v>
      </c>
      <c r="C2873" s="92" t="s">
        <v>7302</v>
      </c>
      <c r="D2873" s="72" t="str">
        <f>IFERROR(VLOOKUP(A2873,'[1]ST-QA-ZZ5'!$C$5:$M$299,11,0),"Inspection at production line")</f>
        <v>Inspection at production line</v>
      </c>
    </row>
    <row r="2874" spans="1:4" ht="13.8">
      <c r="A2874" s="47" t="s">
        <v>7303</v>
      </c>
      <c r="B2874" s="92" t="s">
        <v>2578</v>
      </c>
      <c r="C2874" s="92" t="s">
        <v>7304</v>
      </c>
      <c r="D2874" s="72" t="str">
        <f>IFERROR(VLOOKUP(A2874,'[1]ST-QA-ZZ5'!$C$5:$M$299,11,0),"Inspection at production line")</f>
        <v>Inspection at production line</v>
      </c>
    </row>
    <row r="2875" spans="1:4" ht="13.8">
      <c r="A2875" s="47" t="s">
        <v>7305</v>
      </c>
      <c r="B2875" s="92" t="s">
        <v>2578</v>
      </c>
      <c r="C2875" s="92" t="s">
        <v>7306</v>
      </c>
      <c r="D2875" s="72" t="str">
        <f>IFERROR(VLOOKUP(A2875,'[1]ST-QA-ZZ5'!$C$5:$M$299,11,0),"Inspection at production line")</f>
        <v>Inspection at production line</v>
      </c>
    </row>
    <row r="2876" spans="1:4" ht="13.8">
      <c r="A2876" s="47" t="s">
        <v>7307</v>
      </c>
      <c r="B2876" s="92" t="s">
        <v>2578</v>
      </c>
      <c r="C2876" s="92" t="s">
        <v>7308</v>
      </c>
      <c r="D2876" s="72" t="str">
        <f>IFERROR(VLOOKUP(A2876,'[1]ST-QA-ZZ5'!$C$5:$M$299,11,0),"Inspection at production line")</f>
        <v>Inspection at production line</v>
      </c>
    </row>
    <row r="2877" spans="1:4" ht="13.8">
      <c r="A2877" s="47" t="s">
        <v>7309</v>
      </c>
      <c r="B2877" s="92" t="s">
        <v>2578</v>
      </c>
      <c r="C2877" s="92" t="s">
        <v>7310</v>
      </c>
      <c r="D2877" s="72" t="str">
        <f>IFERROR(VLOOKUP(A2877,'[1]ST-QA-ZZ5'!$C$5:$M$299,11,0),"Inspection at production line")</f>
        <v>Inspection at production line</v>
      </c>
    </row>
    <row r="2878" spans="1:4" ht="13.8">
      <c r="A2878" s="47" t="s">
        <v>7311</v>
      </c>
      <c r="B2878" s="92" t="s">
        <v>555</v>
      </c>
      <c r="C2878" s="92" t="s">
        <v>7312</v>
      </c>
      <c r="D2878" s="72" t="str">
        <f>IFERROR(VLOOKUP(A2878,'[1]ST-QA-ZZ5'!$C$5:$M$299,11,0),"Inspection at production line")</f>
        <v>Inspection at production line</v>
      </c>
    </row>
    <row r="2879" spans="1:4" ht="13.8">
      <c r="A2879" s="47" t="s">
        <v>7313</v>
      </c>
      <c r="B2879" s="92" t="s">
        <v>555</v>
      </c>
      <c r="C2879" s="92" t="s">
        <v>7314</v>
      </c>
      <c r="D2879" s="72" t="str">
        <f>IFERROR(VLOOKUP(A2879,'[1]ST-QA-ZZ5'!$C$5:$M$299,11,0),"Inspection at production line")</f>
        <v>Inspection at production line</v>
      </c>
    </row>
    <row r="2880" spans="1:4" ht="13.8">
      <c r="A2880" s="47" t="s">
        <v>7315</v>
      </c>
      <c r="B2880" s="92" t="s">
        <v>555</v>
      </c>
      <c r="C2880" s="92" t="s">
        <v>7316</v>
      </c>
      <c r="D2880" s="72" t="str">
        <f>IFERROR(VLOOKUP(A2880,'[1]ST-QA-ZZ5'!$C$5:$M$299,11,0),"Inspection at production line")</f>
        <v>Inspection at production line</v>
      </c>
    </row>
    <row r="2881" spans="1:4" ht="13.8">
      <c r="A2881" s="47" t="s">
        <v>7317</v>
      </c>
      <c r="B2881" s="92" t="s">
        <v>819</v>
      </c>
      <c r="C2881" s="92" t="s">
        <v>7318</v>
      </c>
      <c r="D2881" s="72" t="str">
        <f>IFERROR(VLOOKUP(A2881,'[1]ST-QA-ZZ5'!$C$5:$M$299,11,0),"Inspection at production line")</f>
        <v>Inspection at production line</v>
      </c>
    </row>
    <row r="2882" spans="1:4" ht="13.8">
      <c r="A2882" s="47" t="s">
        <v>7319</v>
      </c>
      <c r="B2882" s="92" t="s">
        <v>3415</v>
      </c>
      <c r="C2882" s="92" t="s">
        <v>7320</v>
      </c>
      <c r="D2882" s="72" t="str">
        <f>IFERROR(VLOOKUP(A2882,'[1]ST-QA-ZZ5'!$C$5:$M$299,11,0),"Inspection at production line")</f>
        <v>Inspection at production line</v>
      </c>
    </row>
    <row r="2883" spans="1:4" ht="13.8">
      <c r="A2883" s="47" t="s">
        <v>7321</v>
      </c>
      <c r="B2883" s="92" t="s">
        <v>957</v>
      </c>
      <c r="C2883" s="92" t="s">
        <v>7322</v>
      </c>
      <c r="D2883" s="72" t="str">
        <f>IFERROR(VLOOKUP(A2883,'[1]ST-QA-ZZ5'!$C$5:$M$299,11,0),"Inspection at production line")</f>
        <v>Inspection at production line</v>
      </c>
    </row>
    <row r="2884" spans="1:4" ht="13.8">
      <c r="A2884" s="47" t="s">
        <v>7323</v>
      </c>
      <c r="B2884" s="92" t="s">
        <v>3543</v>
      </c>
      <c r="C2884" s="92" t="s">
        <v>7324</v>
      </c>
      <c r="D2884" s="72" t="str">
        <f>IFERROR(VLOOKUP(A2884,'[1]ST-QA-ZZ5'!$C$5:$M$299,11,0),"Inspection at production line")</f>
        <v>Inspection at production line</v>
      </c>
    </row>
    <row r="2885" spans="1:4" ht="13.8">
      <c r="A2885" s="47" t="s">
        <v>7325</v>
      </c>
      <c r="B2885" s="92" t="s">
        <v>828</v>
      </c>
      <c r="C2885" s="92" t="s">
        <v>7326</v>
      </c>
      <c r="D2885" s="72" t="str">
        <f>IFERROR(VLOOKUP(A2885,'[1]ST-QA-ZZ5'!$C$5:$M$299,11,0),"Inspection at production line")</f>
        <v>Inspection at production line</v>
      </c>
    </row>
    <row r="2886" spans="1:4" ht="13.8">
      <c r="A2886" s="47" t="s">
        <v>7327</v>
      </c>
      <c r="B2886" s="92" t="s">
        <v>1833</v>
      </c>
      <c r="C2886" s="92" t="s">
        <v>7328</v>
      </c>
      <c r="D2886" s="72" t="str">
        <f>IFERROR(VLOOKUP(A2886,'[1]ST-QA-ZZ5'!$C$5:$M$299,11,0),"Inspection at production line")</f>
        <v>Inspection at production line</v>
      </c>
    </row>
    <row r="2887" spans="1:4" ht="13.8">
      <c r="A2887" s="47" t="s">
        <v>7329</v>
      </c>
      <c r="B2887" s="92" t="s">
        <v>1833</v>
      </c>
      <c r="C2887" s="92" t="s">
        <v>7330</v>
      </c>
      <c r="D2887" s="72" t="str">
        <f>IFERROR(VLOOKUP(A2887,'[1]ST-QA-ZZ5'!$C$5:$M$299,11,0),"Inspection at production line")</f>
        <v>Inspection at production line</v>
      </c>
    </row>
    <row r="2888" spans="1:4" ht="13.8">
      <c r="A2888" s="47" t="s">
        <v>7331</v>
      </c>
      <c r="B2888" s="92" t="s">
        <v>555</v>
      </c>
      <c r="C2888" s="92" t="s">
        <v>7332</v>
      </c>
      <c r="D2888" s="72" t="str">
        <f>IFERROR(VLOOKUP(A2888,'[1]ST-QA-ZZ5'!$C$5:$M$299,11,0),"Inspection at production line")</f>
        <v>Inspection at production line</v>
      </c>
    </row>
    <row r="2889" spans="1:4" ht="13.8">
      <c r="A2889" s="47" t="s">
        <v>7333</v>
      </c>
      <c r="B2889" s="92" t="s">
        <v>555</v>
      </c>
      <c r="C2889" s="92" t="s">
        <v>7334</v>
      </c>
      <c r="D2889" s="72" t="str">
        <f>IFERROR(VLOOKUP(A2889,'[1]ST-QA-ZZ5'!$C$5:$M$299,11,0),"Inspection at production line")</f>
        <v>Inspection at production line</v>
      </c>
    </row>
    <row r="2890" spans="1:4" ht="13.8">
      <c r="A2890" s="47" t="s">
        <v>7335</v>
      </c>
      <c r="B2890" s="92" t="s">
        <v>949</v>
      </c>
      <c r="C2890" s="92" t="s">
        <v>7096</v>
      </c>
      <c r="D2890" s="72" t="str">
        <f>IFERROR(VLOOKUP(A2890,'[1]ST-QA-ZZ5'!$C$5:$M$299,11,0),"Inspection at production line")</f>
        <v>Inspection at production line</v>
      </c>
    </row>
    <row r="2891" spans="1:4" ht="13.8">
      <c r="A2891" s="47" t="s">
        <v>7336</v>
      </c>
      <c r="B2891" s="92" t="s">
        <v>3363</v>
      </c>
      <c r="C2891" s="92" t="s">
        <v>7100</v>
      </c>
      <c r="D2891" s="72" t="str">
        <f>IFERROR(VLOOKUP(A2891,'[1]ST-QA-ZZ5'!$C$5:$M$299,11,0),"Inspection at production line")</f>
        <v>Inspection at production line</v>
      </c>
    </row>
    <row r="2892" spans="1:4" ht="13.8">
      <c r="A2892" s="47" t="s">
        <v>7337</v>
      </c>
      <c r="B2892" s="92" t="s">
        <v>7102</v>
      </c>
      <c r="C2892" s="92" t="s">
        <v>7103</v>
      </c>
      <c r="D2892" s="72" t="str">
        <f>IFERROR(VLOOKUP(A2892,'[1]ST-QA-ZZ5'!$C$5:$M$299,11,0),"Inspection at production line")</f>
        <v>Inspection at production line</v>
      </c>
    </row>
    <row r="2893" spans="1:4" ht="13.8">
      <c r="A2893" s="47" t="s">
        <v>7338</v>
      </c>
      <c r="B2893" s="92" t="s">
        <v>4637</v>
      </c>
      <c r="C2893" s="92" t="s">
        <v>7098</v>
      </c>
      <c r="D2893" s="72" t="str">
        <f>IFERROR(VLOOKUP(A2893,'[1]ST-QA-ZZ5'!$C$5:$M$299,11,0),"Inspection at production line")</f>
        <v>Inspection at production line</v>
      </c>
    </row>
    <row r="2894" spans="1:4" ht="13.8">
      <c r="A2894" s="47" t="s">
        <v>7339</v>
      </c>
      <c r="B2894" s="92" t="s">
        <v>1273</v>
      </c>
      <c r="C2894" s="92" t="s">
        <v>7107</v>
      </c>
      <c r="D2894" s="72" t="str">
        <f>IFERROR(VLOOKUP(A2894,'[1]ST-QA-ZZ5'!$C$5:$M$299,11,0),"Inspection at production line")</f>
        <v>Inspection at production line</v>
      </c>
    </row>
    <row r="2895" spans="1:4" ht="13.8">
      <c r="A2895" s="47" t="s">
        <v>7340</v>
      </c>
      <c r="B2895" s="92" t="s">
        <v>2511</v>
      </c>
      <c r="C2895" s="92" t="s">
        <v>7113</v>
      </c>
      <c r="D2895" s="72" t="str">
        <f>IFERROR(VLOOKUP(A2895,'[1]ST-QA-ZZ5'!$C$5:$M$299,11,0),"Inspection at production line")</f>
        <v>Inspection at production line</v>
      </c>
    </row>
    <row r="2896" spans="1:4" ht="13.8">
      <c r="A2896" s="47" t="s">
        <v>7341</v>
      </c>
      <c r="B2896" s="92" t="s">
        <v>811</v>
      </c>
      <c r="C2896" s="92" t="s">
        <v>7111</v>
      </c>
      <c r="D2896" s="72" t="str">
        <f>IFERROR(VLOOKUP(A2896,'[1]ST-QA-ZZ5'!$C$5:$M$299,11,0),"Inspection at production line")</f>
        <v>Inspection at production line</v>
      </c>
    </row>
    <row r="2897" spans="1:4" ht="13.8">
      <c r="A2897" s="47" t="s">
        <v>7342</v>
      </c>
      <c r="B2897" s="92" t="s">
        <v>797</v>
      </c>
      <c r="C2897" s="92" t="s">
        <v>7105</v>
      </c>
      <c r="D2897" s="72" t="str">
        <f>IFERROR(VLOOKUP(A2897,'[1]ST-QA-ZZ5'!$C$5:$M$299,11,0),"Inspection at production line")</f>
        <v>Inspection at production line</v>
      </c>
    </row>
    <row r="2898" spans="1:4" ht="13.8">
      <c r="A2898" s="47" t="s">
        <v>7343</v>
      </c>
      <c r="B2898" s="92" t="s">
        <v>119</v>
      </c>
      <c r="C2898" s="92" t="s">
        <v>7344</v>
      </c>
      <c r="D2898" s="72" t="str">
        <f>IFERROR(VLOOKUP(A2898,'[1]ST-QA-ZZ5'!$C$5:$M$299,11,0),"Inspection at production line")</f>
        <v>Inspection at production line</v>
      </c>
    </row>
    <row r="2899" spans="1:4" ht="13.8">
      <c r="A2899" s="47" t="s">
        <v>7345</v>
      </c>
      <c r="B2899" s="92" t="s">
        <v>2511</v>
      </c>
      <c r="C2899" s="92" t="s">
        <v>7346</v>
      </c>
      <c r="D2899" s="72" t="str">
        <f>IFERROR(VLOOKUP(A2899,'[1]ST-QA-ZZ5'!$C$5:$M$299,11,0),"Inspection at production line")</f>
        <v>Inspection at production line</v>
      </c>
    </row>
    <row r="2900" spans="1:4" ht="13.8">
      <c r="A2900" s="47" t="s">
        <v>7347</v>
      </c>
      <c r="B2900" s="92" t="s">
        <v>1896</v>
      </c>
      <c r="C2900" s="92" t="s">
        <v>7348</v>
      </c>
      <c r="D2900" s="72" t="str">
        <f>IFERROR(VLOOKUP(A2900,'[1]ST-QA-ZZ5'!$C$5:$M$299,11,0),"Inspection at production line")</f>
        <v>Inspection at production line</v>
      </c>
    </row>
    <row r="2901" spans="1:4" ht="13.8">
      <c r="A2901" s="47" t="s">
        <v>7349</v>
      </c>
      <c r="B2901" s="92" t="s">
        <v>957</v>
      </c>
      <c r="C2901" s="92" t="s">
        <v>7350</v>
      </c>
      <c r="D2901" s="72" t="str">
        <f>IFERROR(VLOOKUP(A2901,'[1]ST-QA-ZZ5'!$C$5:$M$299,11,0),"Inspection at production line")</f>
        <v>Inspection at production line</v>
      </c>
    </row>
    <row r="2902" spans="1:4" ht="13.8">
      <c r="A2902" s="47" t="s">
        <v>7351</v>
      </c>
      <c r="B2902" s="92" t="s">
        <v>1896</v>
      </c>
      <c r="C2902" s="92" t="s">
        <v>3552</v>
      </c>
      <c r="D2902" s="72" t="str">
        <f>IFERROR(VLOOKUP(A2902,'[1]ST-QA-ZZ5'!$C$5:$M$299,11,0),"Inspection at production line")</f>
        <v>Inspection at production line</v>
      </c>
    </row>
    <row r="2903" spans="1:4" ht="13.8">
      <c r="A2903" s="47" t="s">
        <v>7352</v>
      </c>
      <c r="B2903" s="92" t="s">
        <v>2584</v>
      </c>
      <c r="C2903" s="92" t="s">
        <v>7353</v>
      </c>
      <c r="D2903" s="72" t="str">
        <f>IFERROR(VLOOKUP(A2903,'[1]ST-QA-ZZ5'!$C$5:$M$299,11,0),"Inspection at production line")</f>
        <v>Inspection at production line</v>
      </c>
    </row>
    <row r="2904" spans="1:4" ht="13.8">
      <c r="A2904" s="47" t="s">
        <v>7354</v>
      </c>
      <c r="B2904" s="92" t="s">
        <v>797</v>
      </c>
      <c r="C2904" s="92" t="s">
        <v>7355</v>
      </c>
      <c r="D2904" s="72" t="str">
        <f>IFERROR(VLOOKUP(A2904,'[1]ST-QA-ZZ5'!$C$5:$M$299,11,0),"Inspection at production line")</f>
        <v>Inspection at production line</v>
      </c>
    </row>
    <row r="2905" spans="1:4" ht="13.8">
      <c r="A2905" s="47" t="s">
        <v>7356</v>
      </c>
      <c r="B2905" s="92" t="s">
        <v>946</v>
      </c>
      <c r="C2905" s="92" t="s">
        <v>7357</v>
      </c>
      <c r="D2905" s="72" t="str">
        <f>IFERROR(VLOOKUP(A2905,'[1]ST-QA-ZZ5'!$C$5:$M$299,11,0),"Inspection at production line")</f>
        <v>Inspection at production line</v>
      </c>
    </row>
    <row r="2906" spans="1:4" ht="13.8">
      <c r="A2906" s="47" t="s">
        <v>7358</v>
      </c>
      <c r="B2906" s="92" t="s">
        <v>949</v>
      </c>
      <c r="C2906" s="92" t="s">
        <v>949</v>
      </c>
      <c r="D2906" s="72" t="str">
        <f>IFERROR(VLOOKUP(A2906,'[1]ST-QA-ZZ5'!$C$5:$M$299,11,0),"Inspection at production line")</f>
        <v>Inspection at production line</v>
      </c>
    </row>
    <row r="2907" spans="1:4" ht="13.8">
      <c r="A2907" s="47" t="s">
        <v>7359</v>
      </c>
      <c r="B2907" s="92" t="s">
        <v>119</v>
      </c>
      <c r="C2907" s="92" t="s">
        <v>7360</v>
      </c>
      <c r="D2907" s="72" t="str">
        <f>IFERROR(VLOOKUP(A2907,'[1]ST-QA-ZZ5'!$C$5:$M$299,11,0),"Inspection at production line")</f>
        <v>Inspection at production line</v>
      </c>
    </row>
    <row r="2908" spans="1:4" ht="13.8">
      <c r="A2908" s="47" t="s">
        <v>7361</v>
      </c>
      <c r="B2908" s="92" t="s">
        <v>119</v>
      </c>
      <c r="C2908" s="92" t="s">
        <v>7362</v>
      </c>
      <c r="D2908" s="72" t="str">
        <f>IFERROR(VLOOKUP(A2908,'[1]ST-QA-ZZ5'!$C$5:$M$299,11,0),"Inspection at production line")</f>
        <v>Inspection at production line</v>
      </c>
    </row>
    <row r="2909" spans="1:4" ht="13.8">
      <c r="A2909" s="47" t="s">
        <v>7363</v>
      </c>
      <c r="B2909" s="92" t="s">
        <v>2024</v>
      </c>
      <c r="C2909" s="92" t="s">
        <v>7364</v>
      </c>
      <c r="D2909" s="72" t="str">
        <f>IFERROR(VLOOKUP(A2909,'[1]ST-QA-ZZ5'!$C$5:$M$299,11,0),"Inspection at production line")</f>
        <v>Inspection at production line</v>
      </c>
    </row>
    <row r="2910" spans="1:4" ht="13.8">
      <c r="A2910" s="47" t="s">
        <v>4536</v>
      </c>
      <c r="B2910" s="92" t="s">
        <v>797</v>
      </c>
      <c r="C2910" s="92" t="s">
        <v>4537</v>
      </c>
      <c r="D2910" s="72" t="str">
        <f>IFERROR(VLOOKUP(A2910,'[1]ST-QA-ZZ5'!$C$5:$M$299,11,0),"Inspection at production line")</f>
        <v>Inspection at production line</v>
      </c>
    </row>
    <row r="2911" spans="1:4" ht="13.8">
      <c r="A2911" s="47" t="s">
        <v>7365</v>
      </c>
      <c r="B2911" s="92" t="s">
        <v>797</v>
      </c>
      <c r="C2911" s="92" t="s">
        <v>7366</v>
      </c>
      <c r="D2911" s="72" t="str">
        <f>IFERROR(VLOOKUP(A2911,'[1]ST-QA-ZZ5'!$C$5:$M$299,11,0),"Inspection at production line")</f>
        <v>Inspection at production line</v>
      </c>
    </row>
    <row r="2912" spans="1:4" ht="13.8">
      <c r="A2912" s="47" t="s">
        <v>4538</v>
      </c>
      <c r="B2912" s="92" t="s">
        <v>2507</v>
      </c>
      <c r="C2912" s="92" t="s">
        <v>4539</v>
      </c>
      <c r="D2912" s="72" t="str">
        <f>IFERROR(VLOOKUP(A2912,'[1]ST-QA-ZZ5'!$C$5:$M$299,11,0),"Inspection at production line")</f>
        <v>Inspection at production line</v>
      </c>
    </row>
    <row r="2913" spans="1:4" ht="13.8">
      <c r="A2913" s="47" t="s">
        <v>7367</v>
      </c>
      <c r="B2913" s="92" t="s">
        <v>2507</v>
      </c>
      <c r="C2913" s="92" t="s">
        <v>7368</v>
      </c>
      <c r="D2913" s="72" t="str">
        <f>IFERROR(VLOOKUP(A2913,'[1]ST-QA-ZZ5'!$C$5:$M$299,11,0),"Inspection at production line")</f>
        <v>Inspection at production line</v>
      </c>
    </row>
    <row r="2914" spans="1:4" ht="13.8">
      <c r="A2914" s="47" t="s">
        <v>4540</v>
      </c>
      <c r="B2914" s="92" t="s">
        <v>957</v>
      </c>
      <c r="C2914" s="92" t="s">
        <v>4541</v>
      </c>
      <c r="D2914" s="72" t="str">
        <f>IFERROR(VLOOKUP(A2914,'[1]ST-QA-ZZ5'!$C$5:$M$299,11,0),"Inspection at production line")</f>
        <v>Inspection at production line</v>
      </c>
    </row>
    <row r="2915" spans="1:4" ht="13.8">
      <c r="A2915" s="47" t="s">
        <v>7369</v>
      </c>
      <c r="B2915" s="92" t="s">
        <v>957</v>
      </c>
      <c r="C2915" s="92" t="s">
        <v>7370</v>
      </c>
      <c r="D2915" s="72" t="str">
        <f>IFERROR(VLOOKUP(A2915,'[1]ST-QA-ZZ5'!$C$5:$M$299,11,0),"Inspection at production line")</f>
        <v>Inspection at production line</v>
      </c>
    </row>
    <row r="2916" spans="1:4" ht="13.8">
      <c r="A2916" s="47" t="s">
        <v>4542</v>
      </c>
      <c r="B2916" s="92" t="s">
        <v>953</v>
      </c>
      <c r="C2916" s="92" t="s">
        <v>4543</v>
      </c>
      <c r="D2916" s="72" t="str">
        <f>IFERROR(VLOOKUP(A2916,'[1]ST-QA-ZZ5'!$C$5:$M$299,11,0),"Inspection at production line")</f>
        <v>Inspection at production line</v>
      </c>
    </row>
    <row r="2917" spans="1:4" ht="13.8">
      <c r="A2917" s="47" t="s">
        <v>7371</v>
      </c>
      <c r="B2917" s="92" t="s">
        <v>953</v>
      </c>
      <c r="C2917" s="92" t="s">
        <v>7372</v>
      </c>
      <c r="D2917" s="72" t="str">
        <f>IFERROR(VLOOKUP(A2917,'[1]ST-QA-ZZ5'!$C$5:$M$299,11,0),"Inspection at production line")</f>
        <v>Inspection at production line</v>
      </c>
    </row>
    <row r="2918" spans="1:4" ht="13.8">
      <c r="A2918" s="47" t="s">
        <v>4544</v>
      </c>
      <c r="B2918" s="92" t="s">
        <v>2511</v>
      </c>
      <c r="C2918" s="92" t="s">
        <v>4545</v>
      </c>
      <c r="D2918" s="72" t="str">
        <f>IFERROR(VLOOKUP(A2918,'[1]ST-QA-ZZ5'!$C$5:$M$299,11,0),"Inspection at production line")</f>
        <v>Inspection at production line</v>
      </c>
    </row>
    <row r="2919" spans="1:4" ht="13.8">
      <c r="A2919" s="47" t="s">
        <v>7373</v>
      </c>
      <c r="B2919" s="92" t="s">
        <v>2546</v>
      </c>
      <c r="C2919" s="92" t="s">
        <v>7374</v>
      </c>
      <c r="D2919" s="72" t="str">
        <f>IFERROR(VLOOKUP(A2919,'[1]ST-QA-ZZ5'!$C$5:$M$299,11,0),"Inspection at production line")</f>
        <v>Inspection at production line</v>
      </c>
    </row>
    <row r="2920" spans="1:4" ht="13.8">
      <c r="A2920" s="47" t="s">
        <v>4547</v>
      </c>
      <c r="B2920" s="92" t="s">
        <v>2546</v>
      </c>
      <c r="C2920" s="92" t="s">
        <v>4548</v>
      </c>
      <c r="D2920" s="72" t="str">
        <f>IFERROR(VLOOKUP(A2920,'[1]ST-QA-ZZ5'!$C$5:$M$299,11,0),"Inspection at production line")</f>
        <v>Inspection at production line</v>
      </c>
    </row>
    <row r="2921" spans="1:4" ht="13.8">
      <c r="A2921" s="47" t="s">
        <v>7375</v>
      </c>
      <c r="B2921" s="92" t="s">
        <v>2511</v>
      </c>
      <c r="C2921" s="92" t="s">
        <v>7376</v>
      </c>
      <c r="D2921" s="72" t="str">
        <f>IFERROR(VLOOKUP(A2921,'[1]ST-QA-ZZ5'!$C$5:$M$299,11,0),"Inspection at production line")</f>
        <v>Inspection at production line</v>
      </c>
    </row>
    <row r="2922" spans="1:4" ht="13.8">
      <c r="A2922" s="47" t="s">
        <v>4550</v>
      </c>
      <c r="B2922" s="92" t="s">
        <v>949</v>
      </c>
      <c r="C2922" s="92" t="s">
        <v>4551</v>
      </c>
      <c r="D2922" s="72" t="str">
        <f>IFERROR(VLOOKUP(A2922,'[1]ST-QA-ZZ5'!$C$5:$M$299,11,0),"Inspection at production line")</f>
        <v>Inspection at production line</v>
      </c>
    </row>
    <row r="2923" spans="1:4" ht="13.8">
      <c r="A2923" s="47" t="s">
        <v>7377</v>
      </c>
      <c r="B2923" s="92" t="s">
        <v>949</v>
      </c>
      <c r="C2923" s="92" t="s">
        <v>7378</v>
      </c>
      <c r="D2923" s="72" t="str">
        <f>IFERROR(VLOOKUP(A2923,'[1]ST-QA-ZZ5'!$C$5:$M$299,11,0),"Inspection at production line")</f>
        <v>Inspection at production line</v>
      </c>
    </row>
    <row r="2924" spans="1:4" ht="13.8">
      <c r="A2924" s="47" t="s">
        <v>7379</v>
      </c>
      <c r="B2924" s="92" t="s">
        <v>946</v>
      </c>
      <c r="C2924" s="92" t="s">
        <v>7380</v>
      </c>
      <c r="D2924" s="72" t="str">
        <f>IFERROR(VLOOKUP(A2924,'[1]ST-QA-ZZ5'!$C$5:$M$299,11,0),"Inspection at production line")</f>
        <v>Inspection at production line</v>
      </c>
    </row>
    <row r="2925" spans="1:4" ht="13.8">
      <c r="A2925" s="47" t="s">
        <v>7381</v>
      </c>
      <c r="B2925" s="92" t="s">
        <v>4093</v>
      </c>
      <c r="C2925" s="92" t="s">
        <v>4510</v>
      </c>
      <c r="D2925" s="72" t="str">
        <f>IFERROR(VLOOKUP(A2925,'[1]ST-QA-ZZ5'!$C$5:$M$299,11,0),"Inspection at production line")</f>
        <v>Inspection at production line</v>
      </c>
    </row>
    <row r="2926" spans="1:4" ht="13.8">
      <c r="A2926" s="47" t="s">
        <v>7382</v>
      </c>
      <c r="B2926" s="92" t="s">
        <v>814</v>
      </c>
      <c r="C2926" s="92" t="s">
        <v>7147</v>
      </c>
      <c r="D2926" s="72" t="str">
        <f>IFERROR(VLOOKUP(A2926,'[1]ST-QA-ZZ5'!$C$5:$M$299,11,0),"Inspection at production line")</f>
        <v>Inspection at production line</v>
      </c>
    </row>
    <row r="2927" spans="1:4" ht="13.8">
      <c r="A2927" s="47" t="s">
        <v>7383</v>
      </c>
      <c r="B2927" s="92" t="s">
        <v>208</v>
      </c>
      <c r="C2927" s="92" t="s">
        <v>2523</v>
      </c>
      <c r="D2927" s="72" t="str">
        <f>IFERROR(VLOOKUP(A2927,'[1]ST-QA-ZZ5'!$C$5:$M$299,11,0),"Inspection at production line")</f>
        <v>Inspection at production line</v>
      </c>
    </row>
    <row r="2928" spans="1:4" ht="13.8">
      <c r="A2928" s="47" t="s">
        <v>7384</v>
      </c>
      <c r="B2928" s="92" t="s">
        <v>2507</v>
      </c>
      <c r="C2928" s="92" t="s">
        <v>4467</v>
      </c>
      <c r="D2928" s="72" t="str">
        <f>IFERROR(VLOOKUP(A2928,'[1]ST-QA-ZZ5'!$C$5:$M$299,11,0),"Inspection at production line")</f>
        <v>Inspection at production line</v>
      </c>
    </row>
    <row r="2929" spans="1:4" ht="13.8">
      <c r="A2929" s="47" t="s">
        <v>7385</v>
      </c>
      <c r="B2929" s="92" t="s">
        <v>2507</v>
      </c>
      <c r="C2929" s="92" t="s">
        <v>4471</v>
      </c>
      <c r="D2929" s="72" t="str">
        <f>IFERROR(VLOOKUP(A2929,'[1]ST-QA-ZZ5'!$C$5:$M$299,11,0),"Inspection at production line")</f>
        <v>Inspection at production line</v>
      </c>
    </row>
    <row r="2930" spans="1:4" ht="13.8">
      <c r="A2930" s="47" t="s">
        <v>7386</v>
      </c>
      <c r="B2930" s="92" t="s">
        <v>957</v>
      </c>
      <c r="C2930" s="92" t="s">
        <v>4473</v>
      </c>
      <c r="D2930" s="72" t="str">
        <f>IFERROR(VLOOKUP(A2930,'[1]ST-QA-ZZ5'!$C$5:$M$299,11,0),"Inspection at production line")</f>
        <v>Inspection at production line</v>
      </c>
    </row>
    <row r="2931" spans="1:4" ht="13.8">
      <c r="A2931" s="47" t="s">
        <v>7387</v>
      </c>
      <c r="B2931" s="92" t="s">
        <v>957</v>
      </c>
      <c r="C2931" s="92" t="s">
        <v>4482</v>
      </c>
      <c r="D2931" s="72" t="str">
        <f>IFERROR(VLOOKUP(A2931,'[1]ST-QA-ZZ5'!$C$5:$M$299,11,0),"Inspection at production line")</f>
        <v>Inspection at production line</v>
      </c>
    </row>
    <row r="2932" spans="1:4" ht="13.8">
      <c r="A2932" s="47" t="s">
        <v>7388</v>
      </c>
      <c r="B2932" s="92" t="s">
        <v>953</v>
      </c>
      <c r="C2932" s="92" t="s">
        <v>4485</v>
      </c>
      <c r="D2932" s="72" t="str">
        <f>IFERROR(VLOOKUP(A2932,'[1]ST-QA-ZZ5'!$C$5:$M$299,11,0),"Inspection at production line")</f>
        <v>Inspection at production line</v>
      </c>
    </row>
    <row r="2933" spans="1:4" ht="13.8">
      <c r="A2933" s="47" t="s">
        <v>7389</v>
      </c>
      <c r="B2933" s="92" t="s">
        <v>2507</v>
      </c>
      <c r="C2933" s="92" t="s">
        <v>4478</v>
      </c>
      <c r="D2933" s="72" t="str">
        <f>IFERROR(VLOOKUP(A2933,'[1]ST-QA-ZZ5'!$C$5:$M$299,11,0),"Inspection at production line")</f>
        <v>Inspection at production line</v>
      </c>
    </row>
    <row r="2934" spans="1:4" ht="13.8">
      <c r="A2934" s="47" t="s">
        <v>7390</v>
      </c>
      <c r="B2934" s="92" t="s">
        <v>2511</v>
      </c>
      <c r="C2934" s="92" t="s">
        <v>4487</v>
      </c>
      <c r="D2934" s="72" t="str">
        <f>IFERROR(VLOOKUP(A2934,'[1]ST-QA-ZZ5'!$C$5:$M$299,11,0),"Inspection at production line")</f>
        <v>Inspection at production line</v>
      </c>
    </row>
    <row r="2935" spans="1:4" ht="13.8">
      <c r="A2935" s="47" t="s">
        <v>7391</v>
      </c>
      <c r="B2935" s="92" t="s">
        <v>2511</v>
      </c>
      <c r="C2935" s="92" t="s">
        <v>4489</v>
      </c>
      <c r="D2935" s="72" t="str">
        <f>IFERROR(VLOOKUP(A2935,'[1]ST-QA-ZZ5'!$C$5:$M$299,11,0),"Inspection at production line")</f>
        <v>Inspection at production line</v>
      </c>
    </row>
    <row r="2936" spans="1:4" ht="13.8">
      <c r="A2936" s="47" t="s">
        <v>7392</v>
      </c>
      <c r="B2936" s="92" t="s">
        <v>828</v>
      </c>
      <c r="C2936" s="92" t="s">
        <v>4446</v>
      </c>
      <c r="D2936" s="72" t="str">
        <f>IFERROR(VLOOKUP(A2936,'[1]ST-QA-ZZ5'!$C$5:$M$299,11,0),"Inspection at production line")</f>
        <v>Inspection at production line</v>
      </c>
    </row>
    <row r="2937" spans="1:4" ht="13.8">
      <c r="A2937" s="47" t="s">
        <v>7393</v>
      </c>
      <c r="B2937" s="92" t="s">
        <v>819</v>
      </c>
      <c r="C2937" s="92" t="s">
        <v>4503</v>
      </c>
      <c r="D2937" s="72" t="str">
        <f>IFERROR(VLOOKUP(A2937,'[1]ST-QA-ZZ5'!$C$5:$M$299,11,0),"Inspection at production line")</f>
        <v>Inspection at production line</v>
      </c>
    </row>
    <row r="2938" spans="1:4" ht="13.8">
      <c r="A2938" s="47" t="s">
        <v>7394</v>
      </c>
      <c r="B2938" s="92" t="s">
        <v>905</v>
      </c>
      <c r="C2938" s="92" t="s">
        <v>4507</v>
      </c>
      <c r="D2938" s="72" t="str">
        <f>IFERROR(VLOOKUP(A2938,'[1]ST-QA-ZZ5'!$C$5:$M$299,11,0),"Inspection at production line")</f>
        <v>Inspection at production line</v>
      </c>
    </row>
    <row r="2939" spans="1:4" ht="13.8">
      <c r="A2939" s="47" t="s">
        <v>7395</v>
      </c>
      <c r="B2939" s="92" t="s">
        <v>797</v>
      </c>
      <c r="C2939" s="92" t="s">
        <v>7263</v>
      </c>
      <c r="D2939" s="72" t="str">
        <f>IFERROR(VLOOKUP(A2939,'[1]ST-QA-ZZ5'!$C$5:$M$299,11,0),"Inspection at production line")</f>
        <v>Inspection at production line</v>
      </c>
    </row>
    <row r="2940" spans="1:4" ht="13.8">
      <c r="A2940" s="47" t="s">
        <v>7396</v>
      </c>
      <c r="B2940" s="92" t="s">
        <v>2507</v>
      </c>
      <c r="C2940" s="92" t="s">
        <v>7265</v>
      </c>
      <c r="D2940" s="72" t="str">
        <f>IFERROR(VLOOKUP(A2940,'[1]ST-QA-ZZ5'!$C$5:$M$299,11,0),"Inspection at production line")</f>
        <v>Inspection at production line</v>
      </c>
    </row>
    <row r="2941" spans="1:4" ht="13.8">
      <c r="A2941" s="47" t="s">
        <v>7397</v>
      </c>
      <c r="B2941" s="92" t="s">
        <v>957</v>
      </c>
      <c r="C2941" s="92" t="s">
        <v>7267</v>
      </c>
      <c r="D2941" s="72" t="str">
        <f>IFERROR(VLOOKUP(A2941,'[1]ST-QA-ZZ5'!$C$5:$M$299,11,0),"Inspection at production line")</f>
        <v>Inspection at production line</v>
      </c>
    </row>
    <row r="2942" spans="1:4" ht="13.8">
      <c r="A2942" s="47" t="s">
        <v>7398</v>
      </c>
      <c r="B2942" s="92" t="s">
        <v>953</v>
      </c>
      <c r="C2942" s="92" t="s">
        <v>7269</v>
      </c>
      <c r="D2942" s="72" t="str">
        <f>IFERROR(VLOOKUP(A2942,'[1]ST-QA-ZZ5'!$C$5:$M$299,11,0),"Inspection at production line")</f>
        <v>Inspection at production line</v>
      </c>
    </row>
    <row r="2943" spans="1:4" ht="13.8">
      <c r="A2943" s="47" t="s">
        <v>5064</v>
      </c>
      <c r="B2943" s="92" t="s">
        <v>2511</v>
      </c>
      <c r="C2943" s="92" t="s">
        <v>5065</v>
      </c>
      <c r="D2943" s="72" t="str">
        <f>IFERROR(VLOOKUP(A2943,'[1]ST-QA-ZZ5'!$C$5:$M$299,11,0),"Inspection at production line")</f>
        <v>Inspection at production line</v>
      </c>
    </row>
    <row r="2944" spans="1:4" ht="13.8">
      <c r="A2944" s="47" t="s">
        <v>7399</v>
      </c>
      <c r="B2944" s="92" t="s">
        <v>2546</v>
      </c>
      <c r="C2944" s="92" t="s">
        <v>7272</v>
      </c>
      <c r="D2944" s="72" t="str">
        <f>IFERROR(VLOOKUP(A2944,'[1]ST-QA-ZZ5'!$C$5:$M$299,11,0),"Inspection at production line")</f>
        <v>Inspection at production line</v>
      </c>
    </row>
    <row r="2945" spans="1:4" ht="13.8">
      <c r="A2945" s="47" t="s">
        <v>7400</v>
      </c>
      <c r="B2945" s="92" t="s">
        <v>949</v>
      </c>
      <c r="C2945" s="92" t="s">
        <v>7274</v>
      </c>
      <c r="D2945" s="72" t="str">
        <f>IFERROR(VLOOKUP(A2945,'[1]ST-QA-ZZ5'!$C$5:$M$299,11,0),"Inspection at production line")</f>
        <v>Inspection at production line</v>
      </c>
    </row>
    <row r="2946" spans="1:4" ht="13.8">
      <c r="A2946" s="47" t="s">
        <v>7401</v>
      </c>
      <c r="B2946" s="92" t="s">
        <v>68</v>
      </c>
      <c r="C2946" s="92" t="s">
        <v>7402</v>
      </c>
      <c r="D2946" s="72" t="str">
        <f>IFERROR(VLOOKUP(A2946,'[1]ST-QA-ZZ5'!$C$5:$M$299,11,0),"Inspection at production line")</f>
        <v>Inspection at production line</v>
      </c>
    </row>
    <row r="2947" spans="1:4" ht="13.8">
      <c r="A2947" s="47" t="s">
        <v>7403</v>
      </c>
      <c r="B2947" s="92" t="s">
        <v>68</v>
      </c>
      <c r="C2947" s="92" t="s">
        <v>7168</v>
      </c>
      <c r="D2947" s="72" t="str">
        <f>IFERROR(VLOOKUP(A2947,'[1]ST-QA-ZZ5'!$C$5:$M$299,11,0),"Inspection at production line")</f>
        <v>Inspection at production line</v>
      </c>
    </row>
    <row r="2948" spans="1:4" ht="13.8">
      <c r="A2948" s="47" t="s">
        <v>7404</v>
      </c>
      <c r="B2948" s="92" t="s">
        <v>1177</v>
      </c>
      <c r="C2948" s="92" t="s">
        <v>7253</v>
      </c>
      <c r="D2948" s="72" t="str">
        <f>IFERROR(VLOOKUP(A2948,'[1]ST-QA-ZZ5'!$C$5:$M$299,11,0),"Inspection at production line")</f>
        <v>Inspection at production line</v>
      </c>
    </row>
    <row r="2949" spans="1:4" ht="13.8">
      <c r="A2949" s="47" t="s">
        <v>7405</v>
      </c>
      <c r="B2949" s="92" t="s">
        <v>797</v>
      </c>
      <c r="C2949" s="92" t="s">
        <v>7406</v>
      </c>
      <c r="D2949" s="72" t="str">
        <f>IFERROR(VLOOKUP(A2949,'[1]ST-QA-ZZ5'!$C$5:$M$299,11,0),"Inspection at production line")</f>
        <v>Inspection at production line</v>
      </c>
    </row>
    <row r="2950" spans="1:4" ht="13.8">
      <c r="A2950" s="47" t="s">
        <v>7407</v>
      </c>
      <c r="B2950" s="92" t="s">
        <v>2507</v>
      </c>
      <c r="C2950" s="92" t="s">
        <v>7408</v>
      </c>
      <c r="D2950" s="72" t="str">
        <f>IFERROR(VLOOKUP(A2950,'[1]ST-QA-ZZ5'!$C$5:$M$299,11,0),"Inspection at production line")</f>
        <v>Inspection at production line</v>
      </c>
    </row>
    <row r="2951" spans="1:4" ht="13.8">
      <c r="A2951" s="47" t="s">
        <v>7409</v>
      </c>
      <c r="B2951" s="92" t="s">
        <v>957</v>
      </c>
      <c r="C2951" s="92" t="s">
        <v>7410</v>
      </c>
      <c r="D2951" s="72" t="str">
        <f>IFERROR(VLOOKUP(A2951,'[1]ST-QA-ZZ5'!$C$5:$M$299,11,0),"Inspection at production line")</f>
        <v>Inspection at production line</v>
      </c>
    </row>
    <row r="2952" spans="1:4" ht="13.8">
      <c r="A2952" s="47" t="s">
        <v>7411</v>
      </c>
      <c r="B2952" s="92" t="s">
        <v>1896</v>
      </c>
      <c r="C2952" s="92" t="s">
        <v>7412</v>
      </c>
      <c r="D2952" s="72" t="str">
        <f>IFERROR(VLOOKUP(A2952,'[1]ST-QA-ZZ5'!$C$5:$M$299,11,0),"Inspection at production line")</f>
        <v>Inspection at production line</v>
      </c>
    </row>
    <row r="2953" spans="1:4" ht="13.8">
      <c r="A2953" s="47" t="s">
        <v>7413</v>
      </c>
      <c r="B2953" s="92" t="s">
        <v>2511</v>
      </c>
      <c r="C2953" s="92" t="s">
        <v>7414</v>
      </c>
      <c r="D2953" s="72" t="str">
        <f>IFERROR(VLOOKUP(A2953,'[1]ST-QA-ZZ5'!$C$5:$M$299,11,0),"Inspection at production line")</f>
        <v>Inspection at production line</v>
      </c>
    </row>
    <row r="2954" spans="1:4" ht="13.8">
      <c r="A2954" s="47" t="s">
        <v>7415</v>
      </c>
      <c r="B2954" s="92" t="s">
        <v>2546</v>
      </c>
      <c r="C2954" s="92" t="s">
        <v>7416</v>
      </c>
      <c r="D2954" s="72" t="str">
        <f>IFERROR(VLOOKUP(A2954,'[1]ST-QA-ZZ5'!$C$5:$M$299,11,0),"Inspection at production line")</f>
        <v>Inspection at production line</v>
      </c>
    </row>
    <row r="2955" spans="1:4" ht="13.8">
      <c r="A2955" s="47" t="s">
        <v>7417</v>
      </c>
      <c r="B2955" s="92" t="s">
        <v>946</v>
      </c>
      <c r="C2955" s="92" t="s">
        <v>7418</v>
      </c>
      <c r="D2955" s="72" t="str">
        <f>IFERROR(VLOOKUP(A2955,'[1]ST-QA-ZZ5'!$C$5:$M$299,11,0),"Inspection at production line")</f>
        <v>Inspection at production line</v>
      </c>
    </row>
    <row r="2956" spans="1:4" ht="13.8">
      <c r="A2956" s="47" t="s">
        <v>7419</v>
      </c>
      <c r="B2956" s="92" t="s">
        <v>949</v>
      </c>
      <c r="C2956" s="92" t="s">
        <v>7420</v>
      </c>
      <c r="D2956" s="72" t="str">
        <f>IFERROR(VLOOKUP(A2956,'[1]ST-QA-ZZ5'!$C$5:$M$299,11,0),"Inspection at production line")</f>
        <v>Inspection at production line</v>
      </c>
    </row>
    <row r="2957" spans="1:4" ht="13.8">
      <c r="A2957" s="47" t="s">
        <v>7421</v>
      </c>
      <c r="B2957" s="92" t="s">
        <v>3363</v>
      </c>
      <c r="C2957" s="92" t="s">
        <v>4806</v>
      </c>
      <c r="D2957" s="72" t="str">
        <f>IFERROR(VLOOKUP(A2957,'[1]ST-QA-ZZ5'!$C$5:$M$299,11,0),"Inspection at production line")</f>
        <v>Inspection at production line</v>
      </c>
    </row>
    <row r="2958" spans="1:4" ht="13.8">
      <c r="A2958" s="47" t="s">
        <v>7422</v>
      </c>
      <c r="B2958" s="92" t="s">
        <v>555</v>
      </c>
      <c r="C2958" s="92" t="s">
        <v>7423</v>
      </c>
      <c r="D2958" s="72" t="str">
        <f>IFERROR(VLOOKUP(A2958,'[1]ST-QA-ZZ5'!$C$5:$M$299,11,0),"Inspection at production line")</f>
        <v>Inspection at production line</v>
      </c>
    </row>
    <row r="2959" spans="1:4" ht="13.8">
      <c r="A2959" s="47" t="s">
        <v>7424</v>
      </c>
      <c r="B2959" s="92" t="s">
        <v>905</v>
      </c>
      <c r="C2959" s="92" t="s">
        <v>7425</v>
      </c>
      <c r="D2959" s="72" t="str">
        <f>IFERROR(VLOOKUP(A2959,'[1]ST-QA-ZZ5'!$C$5:$M$299,11,0),"Inspection at production line")</f>
        <v>Inspection at production line</v>
      </c>
    </row>
    <row r="2960" spans="1:4" ht="13.8">
      <c r="A2960" s="47" t="s">
        <v>7426</v>
      </c>
      <c r="B2960" s="92" t="s">
        <v>941</v>
      </c>
      <c r="C2960" s="92" t="s">
        <v>7357</v>
      </c>
      <c r="D2960" s="72" t="str">
        <f>IFERROR(VLOOKUP(A2960,'[1]ST-QA-ZZ5'!$C$5:$M$299,11,0),"Inspection at production line")</f>
        <v>Inspection at production line</v>
      </c>
    </row>
    <row r="2961" spans="1:4" ht="13.8">
      <c r="A2961" s="47" t="s">
        <v>7427</v>
      </c>
      <c r="B2961" s="92" t="s">
        <v>1273</v>
      </c>
      <c r="C2961" s="92" t="s">
        <v>7428</v>
      </c>
      <c r="D2961" s="72" t="str">
        <f>IFERROR(VLOOKUP(A2961,'[1]ST-QA-ZZ5'!$C$5:$M$299,11,0),"Inspection at production line")</f>
        <v>Inspection at production line</v>
      </c>
    </row>
    <row r="2962" spans="1:4" ht="13.8">
      <c r="A2962" s="47" t="s">
        <v>7429</v>
      </c>
      <c r="B2962" s="92" t="s">
        <v>961</v>
      </c>
      <c r="C2962" s="92" t="s">
        <v>7430</v>
      </c>
      <c r="D2962" s="72" t="str">
        <f>IFERROR(VLOOKUP(A2962,'[1]ST-QA-ZZ5'!$C$5:$M$299,11,0),"Inspection at production line")</f>
        <v>Inspection at production line</v>
      </c>
    </row>
    <row r="2963" spans="1:4" ht="13.8">
      <c r="A2963" s="47" t="s">
        <v>7431</v>
      </c>
      <c r="B2963" s="92" t="s">
        <v>2511</v>
      </c>
      <c r="C2963" s="92" t="s">
        <v>7432</v>
      </c>
      <c r="D2963" s="72" t="str">
        <f>IFERROR(VLOOKUP(A2963,'[1]ST-QA-ZZ5'!$C$5:$M$299,11,0),"Inspection at production line")</f>
        <v>Inspection at production line</v>
      </c>
    </row>
    <row r="2964" spans="1:4" ht="13.8">
      <c r="A2964" s="47" t="s">
        <v>7433</v>
      </c>
      <c r="B2964" s="92" t="s">
        <v>949</v>
      </c>
      <c r="C2964" s="92" t="s">
        <v>7434</v>
      </c>
      <c r="D2964" s="72" t="str">
        <f>IFERROR(VLOOKUP(A2964,'[1]ST-QA-ZZ5'!$C$5:$M$299,11,0),"Inspection at production line")</f>
        <v>Inspection at production line</v>
      </c>
    </row>
    <row r="2965" spans="1:4" ht="13.8">
      <c r="A2965" s="47" t="s">
        <v>7435</v>
      </c>
      <c r="B2965" s="92" t="s">
        <v>1122</v>
      </c>
      <c r="C2965" s="92" t="s">
        <v>7436</v>
      </c>
      <c r="D2965" s="72" t="str">
        <f>IFERROR(VLOOKUP(A2965,'[1]ST-QA-ZZ5'!$C$5:$M$299,11,0),"Inspection at production line")</f>
        <v>Inspection at production line</v>
      </c>
    </row>
    <row r="2966" spans="1:4" ht="13.8">
      <c r="A2966" s="47" t="s">
        <v>7437</v>
      </c>
      <c r="B2966" s="92" t="s">
        <v>3468</v>
      </c>
      <c r="C2966" s="92" t="s">
        <v>3469</v>
      </c>
      <c r="D2966" s="72" t="str">
        <f>IFERROR(VLOOKUP(A2966,'[1]ST-QA-ZZ5'!$C$5:$M$299,11,0),"Inspection at production line")</f>
        <v>Inspection at production line</v>
      </c>
    </row>
    <row r="2967" spans="1:4" ht="13.8">
      <c r="A2967" s="47" t="s">
        <v>7438</v>
      </c>
      <c r="B2967" s="92" t="s">
        <v>7439</v>
      </c>
      <c r="C2967" s="92" t="s">
        <v>7440</v>
      </c>
      <c r="D2967" s="72" t="str">
        <f>IFERROR(VLOOKUP(A2967,'[1]ST-QA-ZZ5'!$C$5:$M$299,11,0),"Inspection at production line")</f>
        <v>Inspection at production line</v>
      </c>
    </row>
    <row r="2968" spans="1:4" ht="13.8">
      <c r="A2968" s="47" t="s">
        <v>7441</v>
      </c>
      <c r="B2968" s="92" t="s">
        <v>7439</v>
      </c>
      <c r="C2968" s="92" t="s">
        <v>7442</v>
      </c>
      <c r="D2968" s="72" t="str">
        <f>IFERROR(VLOOKUP(A2968,'[1]ST-QA-ZZ5'!$C$5:$M$299,11,0),"Inspection at production line")</f>
        <v>Inspection at production line</v>
      </c>
    </row>
    <row r="2969" spans="1:4" ht="13.8">
      <c r="A2969" s="47" t="s">
        <v>7443</v>
      </c>
      <c r="B2969" s="92" t="s">
        <v>7444</v>
      </c>
      <c r="C2969" s="92" t="s">
        <v>7445</v>
      </c>
      <c r="D2969" s="72" t="str">
        <f>IFERROR(VLOOKUP(A2969,'[1]ST-QA-ZZ5'!$C$5:$M$299,11,0),"Inspection at production line")</f>
        <v>Inspection at production line</v>
      </c>
    </row>
    <row r="2970" spans="1:4" ht="13.8">
      <c r="A2970" s="47" t="s">
        <v>7446</v>
      </c>
      <c r="B2970" s="92" t="s">
        <v>4984</v>
      </c>
      <c r="C2970" s="92" t="s">
        <v>7447</v>
      </c>
      <c r="D2970" s="72" t="str">
        <f>IFERROR(VLOOKUP(A2970,'[1]ST-QA-ZZ5'!$C$5:$M$299,11,0),"Inspection at production line")</f>
        <v>Inspection at production line</v>
      </c>
    </row>
    <row r="2971" spans="1:4" ht="13.8">
      <c r="A2971" s="47" t="s">
        <v>7448</v>
      </c>
      <c r="B2971" s="92" t="s">
        <v>7449</v>
      </c>
      <c r="C2971" s="92" t="s">
        <v>2340</v>
      </c>
      <c r="D2971" s="72" t="str">
        <f>IFERROR(VLOOKUP(A2971,'[1]ST-QA-ZZ5'!$C$5:$M$299,11,0),"Inspection at production line")</f>
        <v>Inspection at production line</v>
      </c>
    </row>
    <row r="2972" spans="1:4" ht="13.8">
      <c r="A2972" s="47" t="s">
        <v>7450</v>
      </c>
      <c r="B2972" s="92" t="s">
        <v>7451</v>
      </c>
      <c r="C2972" s="92" t="s">
        <v>7452</v>
      </c>
      <c r="D2972" s="72" t="str">
        <f>IFERROR(VLOOKUP(A2972,'[1]ST-QA-ZZ5'!$C$5:$M$299,11,0),"Inspection at production line")</f>
        <v>Inspection at production line</v>
      </c>
    </row>
    <row r="2973" spans="1:4" ht="13.8">
      <c r="A2973" s="47" t="s">
        <v>7453</v>
      </c>
      <c r="B2973" s="92" t="s">
        <v>7454</v>
      </c>
      <c r="C2973" s="92" t="s">
        <v>7455</v>
      </c>
      <c r="D2973" s="72" t="str">
        <f>IFERROR(VLOOKUP(A2973,'[1]ST-QA-ZZ5'!$C$5:$M$299,11,0),"Inspection at production line")</f>
        <v>Inspection at production line</v>
      </c>
    </row>
    <row r="2974" spans="1:4" ht="13.8">
      <c r="A2974" s="47" t="s">
        <v>7456</v>
      </c>
      <c r="B2974" s="92" t="s">
        <v>1212</v>
      </c>
      <c r="C2974" s="92" t="s">
        <v>7457</v>
      </c>
      <c r="D2974" s="72" t="str">
        <f>IFERROR(VLOOKUP(A2974,'[1]ST-QA-ZZ5'!$C$5:$M$299,11,0),"Inspection at production line")</f>
        <v>Inspection at production line</v>
      </c>
    </row>
    <row r="2975" spans="1:4" ht="13.8">
      <c r="A2975" s="47" t="s">
        <v>4553</v>
      </c>
      <c r="B2975" s="92" t="s">
        <v>555</v>
      </c>
      <c r="C2975" s="92" t="s">
        <v>7458</v>
      </c>
      <c r="D2975" s="72" t="str">
        <f>IFERROR(VLOOKUP(A2975,'[1]ST-QA-ZZ5'!$C$5:$M$299,11,0),"Inspection at production line")</f>
        <v>Inspection at production line</v>
      </c>
    </row>
    <row r="2976" spans="1:4" ht="13.8">
      <c r="A2976" s="47" t="s">
        <v>4557</v>
      </c>
      <c r="B2976" s="92" t="s">
        <v>555</v>
      </c>
      <c r="C2976" s="92" t="s">
        <v>4558</v>
      </c>
      <c r="D2976" s="72" t="str">
        <f>IFERROR(VLOOKUP(A2976,'[1]ST-QA-ZZ5'!$C$5:$M$299,11,0),"Inspection at production line")</f>
        <v>Inspection at production line</v>
      </c>
    </row>
    <row r="2977" spans="1:4" ht="13.8">
      <c r="A2977" s="47" t="s">
        <v>4561</v>
      </c>
      <c r="B2977" s="92" t="s">
        <v>797</v>
      </c>
      <c r="C2977" s="92" t="s">
        <v>4562</v>
      </c>
      <c r="D2977" s="72" t="str">
        <f>IFERROR(VLOOKUP(A2977,'[1]ST-QA-ZZ5'!$C$5:$M$299,11,0),"Inspection at production line")</f>
        <v>Inspection at production line</v>
      </c>
    </row>
    <row r="2978" spans="1:4" ht="13.8">
      <c r="A2978" s="47" t="s">
        <v>4563</v>
      </c>
      <c r="B2978" s="92" t="s">
        <v>2507</v>
      </c>
      <c r="C2978" s="92" t="s">
        <v>4564</v>
      </c>
      <c r="D2978" s="72" t="str">
        <f>IFERROR(VLOOKUP(A2978,'[1]ST-QA-ZZ5'!$C$5:$M$299,11,0),"Inspection at production line")</f>
        <v>Inspection at production line</v>
      </c>
    </row>
    <row r="2979" spans="1:4" ht="13.8">
      <c r="A2979" s="47" t="s">
        <v>4565</v>
      </c>
      <c r="B2979" s="92" t="s">
        <v>957</v>
      </c>
      <c r="C2979" s="92" t="s">
        <v>4566</v>
      </c>
      <c r="D2979" s="72" t="str">
        <f>IFERROR(VLOOKUP(A2979,'[1]ST-QA-ZZ5'!$C$5:$M$299,11,0),"Inspection at production line")</f>
        <v>Inspection at production line</v>
      </c>
    </row>
    <row r="2980" spans="1:4" ht="13.8">
      <c r="A2980" s="47" t="s">
        <v>4569</v>
      </c>
      <c r="B2980" s="92" t="s">
        <v>1896</v>
      </c>
      <c r="C2980" s="92" t="s">
        <v>4570</v>
      </c>
      <c r="D2980" s="72" t="str">
        <f>IFERROR(VLOOKUP(A2980,'[1]ST-QA-ZZ5'!$C$5:$M$299,11,0),"Inspection at production line")</f>
        <v>Inspection at production line</v>
      </c>
    </row>
    <row r="2981" spans="1:4" ht="13.8">
      <c r="A2981" s="47" t="s">
        <v>4573</v>
      </c>
      <c r="B2981" s="92" t="s">
        <v>2511</v>
      </c>
      <c r="C2981" s="92" t="s">
        <v>4574</v>
      </c>
      <c r="D2981" s="72" t="str">
        <f>IFERROR(VLOOKUP(A2981,'[1]ST-QA-ZZ5'!$C$5:$M$299,11,0),"Inspection at production line")</f>
        <v>Inspection at production line</v>
      </c>
    </row>
    <row r="2982" spans="1:4" ht="13.8">
      <c r="A2982" s="47" t="s">
        <v>4576</v>
      </c>
      <c r="B2982" s="92" t="s">
        <v>2546</v>
      </c>
      <c r="C2982" s="92" t="s">
        <v>4577</v>
      </c>
      <c r="D2982" s="72" t="str">
        <f>IFERROR(VLOOKUP(A2982,'[1]ST-QA-ZZ5'!$C$5:$M$299,11,0),"Inspection at production line")</f>
        <v>Inspection at production line</v>
      </c>
    </row>
    <row r="2983" spans="1:4" ht="13.8">
      <c r="A2983" s="47" t="s">
        <v>4580</v>
      </c>
      <c r="B2983" s="92" t="s">
        <v>946</v>
      </c>
      <c r="C2983" s="92" t="s">
        <v>4581</v>
      </c>
      <c r="D2983" s="72" t="str">
        <f>IFERROR(VLOOKUP(A2983,'[1]ST-QA-ZZ5'!$C$5:$M$299,11,0),"Inspection at production line")</f>
        <v>Inspection at production line</v>
      </c>
    </row>
    <row r="2984" spans="1:4" ht="13.8">
      <c r="A2984" s="47" t="s">
        <v>4583</v>
      </c>
      <c r="B2984" s="92" t="s">
        <v>949</v>
      </c>
      <c r="C2984" s="92" t="s">
        <v>4584</v>
      </c>
      <c r="D2984" s="72" t="str">
        <f>IFERROR(VLOOKUP(A2984,'[1]ST-QA-ZZ5'!$C$5:$M$299,11,0),"Inspection at production line")</f>
        <v>Inspection at production line</v>
      </c>
    </row>
    <row r="2985" spans="1:4" ht="13.8">
      <c r="A2985" s="47" t="s">
        <v>4585</v>
      </c>
      <c r="B2985" s="92" t="s">
        <v>797</v>
      </c>
      <c r="C2985" s="92" t="s">
        <v>4586</v>
      </c>
      <c r="D2985" s="72" t="str">
        <f>IFERROR(VLOOKUP(A2985,'[1]ST-QA-ZZ5'!$C$5:$M$299,11,0),"Inspection at production line")</f>
        <v>Inspection at production line</v>
      </c>
    </row>
    <row r="2986" spans="1:4" ht="13.8">
      <c r="A2986" s="47" t="s">
        <v>4589</v>
      </c>
      <c r="B2986" s="92" t="s">
        <v>2507</v>
      </c>
      <c r="C2986" s="92" t="s">
        <v>4590</v>
      </c>
      <c r="D2986" s="72" t="str">
        <f>IFERROR(VLOOKUP(A2986,'[1]ST-QA-ZZ5'!$C$5:$M$299,11,0),"Inspection at production line")</f>
        <v>Inspection at production line</v>
      </c>
    </row>
    <row r="2987" spans="1:4" ht="13.8">
      <c r="A2987" s="47" t="s">
        <v>4593</v>
      </c>
      <c r="B2987" s="92" t="s">
        <v>957</v>
      </c>
      <c r="C2987" s="92" t="s">
        <v>4594</v>
      </c>
      <c r="D2987" s="72" t="str">
        <f>IFERROR(VLOOKUP(A2987,'[1]ST-QA-ZZ5'!$C$5:$M$299,11,0),"Inspection at production line")</f>
        <v>Inspection at production line</v>
      </c>
    </row>
    <row r="2988" spans="1:4" ht="13.8">
      <c r="A2988" s="47" t="s">
        <v>4598</v>
      </c>
      <c r="B2988" s="92" t="s">
        <v>1896</v>
      </c>
      <c r="C2988" s="92" t="s">
        <v>4599</v>
      </c>
      <c r="D2988" s="72" t="str">
        <f>IFERROR(VLOOKUP(A2988,'[1]ST-QA-ZZ5'!$C$5:$M$299,11,0),"Inspection at production line")</f>
        <v>Inspection at production line</v>
      </c>
    </row>
    <row r="2989" spans="1:4" ht="13.8">
      <c r="A2989" s="47" t="s">
        <v>4602</v>
      </c>
      <c r="B2989" s="92" t="s">
        <v>2511</v>
      </c>
      <c r="C2989" s="92" t="s">
        <v>4603</v>
      </c>
      <c r="D2989" s="72" t="str">
        <f>IFERROR(VLOOKUP(A2989,'[1]ST-QA-ZZ5'!$C$5:$M$299,11,0),"Inspection at production line")</f>
        <v>Inspection at production line</v>
      </c>
    </row>
    <row r="2990" spans="1:4" ht="13.8">
      <c r="A2990" s="47" t="s">
        <v>4606</v>
      </c>
      <c r="B2990" s="92" t="s">
        <v>2546</v>
      </c>
      <c r="C2990" s="92" t="s">
        <v>4607</v>
      </c>
      <c r="D2990" s="72" t="str">
        <f>IFERROR(VLOOKUP(A2990,'[1]ST-QA-ZZ5'!$C$5:$M$299,11,0),"Inspection at production line")</f>
        <v>Inspection at production line</v>
      </c>
    </row>
    <row r="2991" spans="1:4" ht="13.8">
      <c r="A2991" s="47" t="s">
        <v>4610</v>
      </c>
      <c r="B2991" s="92" t="s">
        <v>946</v>
      </c>
      <c r="C2991" s="92" t="s">
        <v>4611</v>
      </c>
      <c r="D2991" s="72" t="str">
        <f>IFERROR(VLOOKUP(A2991,'[1]ST-QA-ZZ5'!$C$5:$M$299,11,0),"Inspection at production line")</f>
        <v>Inspection at production line</v>
      </c>
    </row>
    <row r="2992" spans="1:4" ht="13.8">
      <c r="A2992" s="47" t="s">
        <v>4614</v>
      </c>
      <c r="B2992" s="92" t="s">
        <v>949</v>
      </c>
      <c r="C2992" s="92" t="s">
        <v>4615</v>
      </c>
      <c r="D2992" s="72" t="str">
        <f>IFERROR(VLOOKUP(A2992,'[1]ST-QA-ZZ5'!$C$5:$M$299,11,0),"Inspection at production line")</f>
        <v>Inspection at production line</v>
      </c>
    </row>
    <row r="2993" spans="1:4" ht="13.8">
      <c r="A2993" s="47" t="s">
        <v>4618</v>
      </c>
      <c r="B2993" s="92" t="s">
        <v>949</v>
      </c>
      <c r="C2993" s="92" t="s">
        <v>7220</v>
      </c>
      <c r="D2993" s="72" t="str">
        <f>IFERROR(VLOOKUP(A2993,'[1]ST-QA-ZZ5'!$C$5:$M$299,11,0),"Inspection at production line")</f>
        <v>Inspection at production line</v>
      </c>
    </row>
    <row r="2994" spans="1:4" ht="13.8">
      <c r="A2994" s="47" t="s">
        <v>4622</v>
      </c>
      <c r="B2994" s="92" t="s">
        <v>3363</v>
      </c>
      <c r="C2994" s="92" t="s">
        <v>7224</v>
      </c>
      <c r="D2994" s="72" t="str">
        <f>IFERROR(VLOOKUP(A2994,'[1]ST-QA-ZZ5'!$C$5:$M$299,11,0),"Inspection at production line")</f>
        <v>Inspection at production line</v>
      </c>
    </row>
    <row r="2995" spans="1:4" ht="13.8">
      <c r="A2995" s="47" t="s">
        <v>4627</v>
      </c>
      <c r="B2995" s="92" t="s">
        <v>2721</v>
      </c>
      <c r="C2995" s="92" t="s">
        <v>7226</v>
      </c>
      <c r="D2995" s="72" t="str">
        <f>IFERROR(VLOOKUP(A2995,'[1]ST-QA-ZZ5'!$C$5:$M$299,11,0),"Inspection at production line")</f>
        <v>Inspection at production line</v>
      </c>
    </row>
    <row r="2996" spans="1:4" ht="13.8">
      <c r="A2996" s="47" t="s">
        <v>4631</v>
      </c>
      <c r="B2996" s="92" t="s">
        <v>797</v>
      </c>
      <c r="C2996" s="92" t="s">
        <v>7228</v>
      </c>
      <c r="D2996" s="72" t="str">
        <f>IFERROR(VLOOKUP(A2996,'[1]ST-QA-ZZ5'!$C$5:$M$299,11,0),"Inspection at production line")</f>
        <v>Inspection at production line</v>
      </c>
    </row>
    <row r="2997" spans="1:4" ht="13.8">
      <c r="A2997" s="47" t="s">
        <v>4636</v>
      </c>
      <c r="B2997" s="92" t="s">
        <v>4637</v>
      </c>
      <c r="C2997" s="92" t="s">
        <v>7222</v>
      </c>
      <c r="D2997" s="72" t="str">
        <f>IFERROR(VLOOKUP(A2997,'[1]ST-QA-ZZ5'!$C$5:$M$299,11,0),"Inspection at production line")</f>
        <v>Inspection at production line</v>
      </c>
    </row>
    <row r="2998" spans="1:4" ht="13.8">
      <c r="A2998" s="47" t="s">
        <v>4641</v>
      </c>
      <c r="B2998" s="92" t="s">
        <v>1273</v>
      </c>
      <c r="C2998" s="92" t="s">
        <v>7230</v>
      </c>
      <c r="D2998" s="72" t="str">
        <f>IFERROR(VLOOKUP(A2998,'[1]ST-QA-ZZ5'!$C$5:$M$299,11,0),"Inspection at production line")</f>
        <v>Inspection at production line</v>
      </c>
    </row>
    <row r="2999" spans="1:4" ht="13.8">
      <c r="A2999" s="47" t="s">
        <v>4644</v>
      </c>
      <c r="B2999" s="92" t="s">
        <v>208</v>
      </c>
      <c r="C2999" s="92" t="s">
        <v>7232</v>
      </c>
      <c r="D2999" s="72" t="str">
        <f>IFERROR(VLOOKUP(A2999,'[1]ST-QA-ZZ5'!$C$5:$M$299,11,0),"Inspection at production line")</f>
        <v>Inspection at production line</v>
      </c>
    </row>
    <row r="3000" spans="1:4" ht="13.8">
      <c r="A3000" s="47" t="s">
        <v>4646</v>
      </c>
      <c r="B3000" s="92" t="s">
        <v>2511</v>
      </c>
      <c r="C3000" s="92" t="s">
        <v>7234</v>
      </c>
      <c r="D3000" s="72" t="str">
        <f>IFERROR(VLOOKUP(A3000,'[1]ST-QA-ZZ5'!$C$5:$M$299,11,0),"Inspection at production line")</f>
        <v>Inspection at production line</v>
      </c>
    </row>
    <row r="3001" spans="1:4" ht="13.8">
      <c r="A3001" s="47" t="s">
        <v>4649</v>
      </c>
      <c r="B3001" s="92" t="s">
        <v>949</v>
      </c>
      <c r="C3001" s="92" t="s">
        <v>4650</v>
      </c>
      <c r="D3001" s="72" t="str">
        <f>IFERROR(VLOOKUP(A3001,'[1]ST-QA-ZZ5'!$C$5:$M$299,11,0),"Inspection at production line")</f>
        <v>Inspection at production line</v>
      </c>
    </row>
    <row r="3002" spans="1:4" ht="13.8">
      <c r="A3002" s="47" t="s">
        <v>4651</v>
      </c>
      <c r="B3002" s="92" t="s">
        <v>3363</v>
      </c>
      <c r="C3002" s="92" t="s">
        <v>4652</v>
      </c>
      <c r="D3002" s="72" t="str">
        <f>IFERROR(VLOOKUP(A3002,'[1]ST-QA-ZZ5'!$C$5:$M$299,11,0),"Inspection at production line")</f>
        <v>Inspection at production line</v>
      </c>
    </row>
    <row r="3003" spans="1:4" ht="13.8">
      <c r="A3003" s="47" t="s">
        <v>4653</v>
      </c>
      <c r="B3003" s="92" t="s">
        <v>2721</v>
      </c>
      <c r="C3003" s="92" t="s">
        <v>4654</v>
      </c>
      <c r="D3003" s="72" t="str">
        <f>IFERROR(VLOOKUP(A3003,'[1]ST-QA-ZZ5'!$C$5:$M$299,11,0),"Inspection at production line")</f>
        <v>Inspection at production line</v>
      </c>
    </row>
    <row r="3004" spans="1:4" ht="13.8">
      <c r="A3004" s="47" t="s">
        <v>4655</v>
      </c>
      <c r="B3004" s="92" t="s">
        <v>797</v>
      </c>
      <c r="C3004" s="92" t="s">
        <v>4656</v>
      </c>
      <c r="D3004" s="72" t="str">
        <f>IFERROR(VLOOKUP(A3004,'[1]ST-QA-ZZ5'!$C$5:$M$299,11,0),"Inspection at production line")</f>
        <v>Inspection at production line</v>
      </c>
    </row>
    <row r="3005" spans="1:4" ht="13.8">
      <c r="A3005" s="47" t="s">
        <v>4657</v>
      </c>
      <c r="B3005" s="92" t="s">
        <v>4637</v>
      </c>
      <c r="C3005" s="92" t="s">
        <v>4658</v>
      </c>
      <c r="D3005" s="72" t="str">
        <f>IFERROR(VLOOKUP(A3005,'[1]ST-QA-ZZ5'!$C$5:$M$299,11,0),"Inspection at production line")</f>
        <v>Inspection at production line</v>
      </c>
    </row>
    <row r="3006" spans="1:4" ht="13.8">
      <c r="A3006" s="47" t="s">
        <v>4660</v>
      </c>
      <c r="B3006" s="92" t="s">
        <v>1273</v>
      </c>
      <c r="C3006" s="92" t="s">
        <v>4661</v>
      </c>
      <c r="D3006" s="72" t="str">
        <f>IFERROR(VLOOKUP(A3006,'[1]ST-QA-ZZ5'!$C$5:$M$299,11,0),"Inspection at production line")</f>
        <v>Inspection at production line</v>
      </c>
    </row>
    <row r="3007" spans="1:4" ht="13.8">
      <c r="A3007" s="47" t="s">
        <v>4662</v>
      </c>
      <c r="B3007" s="92" t="s">
        <v>811</v>
      </c>
      <c r="C3007" s="92" t="s">
        <v>4663</v>
      </c>
      <c r="D3007" s="72" t="str">
        <f>IFERROR(VLOOKUP(A3007,'[1]ST-QA-ZZ5'!$C$5:$M$299,11,0),"Inspection at production line")</f>
        <v>Inspection at production line</v>
      </c>
    </row>
    <row r="3008" spans="1:4" ht="13.8">
      <c r="A3008" s="47" t="s">
        <v>4665</v>
      </c>
      <c r="B3008" s="92" t="s">
        <v>2511</v>
      </c>
      <c r="C3008" s="92" t="s">
        <v>4666</v>
      </c>
      <c r="D3008" s="72" t="str">
        <f>IFERROR(VLOOKUP(A3008,'[1]ST-QA-ZZ5'!$C$5:$M$299,11,0),"Inspection at production line")</f>
        <v>Inspection at production line</v>
      </c>
    </row>
    <row r="3009" spans="1:4" ht="13.8">
      <c r="A3009" s="47" t="s">
        <v>4712</v>
      </c>
      <c r="B3009" s="92" t="s">
        <v>949</v>
      </c>
      <c r="C3009" s="92" t="s">
        <v>4713</v>
      </c>
      <c r="D3009" s="72" t="str">
        <f>IFERROR(VLOOKUP(A3009,'[1]ST-QA-ZZ5'!$C$5:$M$299,11,0),"Inspection at production line")</f>
        <v>Inspection at production line</v>
      </c>
    </row>
    <row r="3010" spans="1:4" ht="13.8">
      <c r="A3010" s="47" t="s">
        <v>4715</v>
      </c>
      <c r="B3010" s="92" t="s">
        <v>2507</v>
      </c>
      <c r="C3010" s="92" t="s">
        <v>4716</v>
      </c>
      <c r="D3010" s="72" t="str">
        <f>IFERROR(VLOOKUP(A3010,'[1]ST-QA-ZZ5'!$C$5:$M$299,11,0),"Inspection at production line")</f>
        <v>Inspection at production line</v>
      </c>
    </row>
    <row r="3011" spans="1:4" ht="13.8">
      <c r="A3011" s="47" t="s">
        <v>4717</v>
      </c>
      <c r="B3011" s="92" t="s">
        <v>4093</v>
      </c>
      <c r="C3011" s="92" t="s">
        <v>4718</v>
      </c>
      <c r="D3011" s="72" t="str">
        <f>IFERROR(VLOOKUP(A3011,'[1]ST-QA-ZZ5'!$C$5:$M$299,11,0),"Inspection at production line")</f>
        <v>Inspection at production line</v>
      </c>
    </row>
    <row r="3012" spans="1:4" ht="13.8">
      <c r="A3012" s="47" t="s">
        <v>4722</v>
      </c>
      <c r="B3012" s="92" t="s">
        <v>797</v>
      </c>
      <c r="C3012" s="92" t="s">
        <v>4723</v>
      </c>
      <c r="D3012" s="72" t="str">
        <f>IFERROR(VLOOKUP(A3012,'[1]ST-QA-ZZ5'!$C$5:$M$299,11,0),"Inspection at production line")</f>
        <v>Inspection at production line</v>
      </c>
    </row>
    <row r="3013" spans="1:4" ht="13.8">
      <c r="A3013" s="47" t="s">
        <v>4725</v>
      </c>
      <c r="B3013" s="92" t="s">
        <v>891</v>
      </c>
      <c r="C3013" s="92" t="s">
        <v>4726</v>
      </c>
      <c r="D3013" s="72" t="str">
        <f>IFERROR(VLOOKUP(A3013,'[1]ST-QA-ZZ5'!$C$5:$M$299,11,0),"Inspection at production line")</f>
        <v>Inspection at production line</v>
      </c>
    </row>
    <row r="3014" spans="1:4" ht="13.8">
      <c r="A3014" s="47" t="s">
        <v>4728</v>
      </c>
      <c r="B3014" s="92" t="s">
        <v>957</v>
      </c>
      <c r="C3014" s="92" t="s">
        <v>4729</v>
      </c>
      <c r="D3014" s="72" t="str">
        <f>IFERROR(VLOOKUP(A3014,'[1]ST-QA-ZZ5'!$C$5:$M$299,11,0),"Inspection at production line")</f>
        <v>Inspection at production line</v>
      </c>
    </row>
    <row r="3015" spans="1:4" ht="13.8">
      <c r="A3015" s="47" t="s">
        <v>4733</v>
      </c>
      <c r="B3015" s="92" t="s">
        <v>1896</v>
      </c>
      <c r="C3015" s="92" t="s">
        <v>4734</v>
      </c>
      <c r="D3015" s="72" t="str">
        <f>IFERROR(VLOOKUP(A3015,'[1]ST-QA-ZZ5'!$C$5:$M$299,11,0),"Inspection at production line")</f>
        <v>Inspection at production line</v>
      </c>
    </row>
    <row r="3016" spans="1:4" ht="13.8">
      <c r="A3016" s="47" t="s">
        <v>4737</v>
      </c>
      <c r="B3016" s="92" t="s">
        <v>2511</v>
      </c>
      <c r="C3016" s="92" t="s">
        <v>4738</v>
      </c>
      <c r="D3016" s="72" t="str">
        <f>IFERROR(VLOOKUP(A3016,'[1]ST-QA-ZZ5'!$C$5:$M$299,11,0),"Inspection at production line")</f>
        <v>Inspection at production line</v>
      </c>
    </row>
    <row r="3017" spans="1:4" ht="13.8">
      <c r="A3017" s="47" t="s">
        <v>4741</v>
      </c>
      <c r="B3017" s="92" t="s">
        <v>949</v>
      </c>
      <c r="C3017" s="92" t="s">
        <v>4742</v>
      </c>
      <c r="D3017" s="72" t="str">
        <f>IFERROR(VLOOKUP(A3017,'[1]ST-QA-ZZ5'!$C$5:$M$299,11,0),"Inspection at production line")</f>
        <v>Inspection at production line</v>
      </c>
    </row>
    <row r="3018" spans="1:4" ht="13.8">
      <c r="A3018" s="47" t="s">
        <v>4745</v>
      </c>
      <c r="B3018" s="92" t="s">
        <v>941</v>
      </c>
      <c r="C3018" s="92" t="s">
        <v>4746</v>
      </c>
      <c r="D3018" s="72" t="str">
        <f>IFERROR(VLOOKUP(A3018,'[1]ST-QA-ZZ5'!$C$5:$M$299,11,0),"Inspection at production line")</f>
        <v>Inspection at production line</v>
      </c>
    </row>
    <row r="3019" spans="1:4" ht="13.8">
      <c r="A3019" s="47" t="s">
        <v>4750</v>
      </c>
      <c r="B3019" s="92" t="s">
        <v>946</v>
      </c>
      <c r="C3019" s="92" t="s">
        <v>4751</v>
      </c>
      <c r="D3019" s="72" t="str">
        <f>IFERROR(VLOOKUP(A3019,'[1]ST-QA-ZZ5'!$C$5:$M$299,11,0),"Inspection at production line")</f>
        <v>Inspection at production line</v>
      </c>
    </row>
    <row r="3020" spans="1:4" ht="13.8">
      <c r="A3020" s="47" t="s">
        <v>4754</v>
      </c>
      <c r="B3020" s="92" t="s">
        <v>797</v>
      </c>
      <c r="C3020" s="92" t="s">
        <v>4755</v>
      </c>
      <c r="D3020" s="72" t="str">
        <f>IFERROR(VLOOKUP(A3020,'[1]ST-QA-ZZ5'!$C$5:$M$299,11,0),"Inspection at production line")</f>
        <v>Inspection at production line</v>
      </c>
    </row>
    <row r="3021" spans="1:4" ht="13.8">
      <c r="A3021" s="47" t="s">
        <v>4758</v>
      </c>
      <c r="B3021" s="92" t="s">
        <v>2507</v>
      </c>
      <c r="C3021" s="92" t="s">
        <v>4759</v>
      </c>
      <c r="D3021" s="72" t="str">
        <f>IFERROR(VLOOKUP(A3021,'[1]ST-QA-ZZ5'!$C$5:$M$299,11,0),"Inspection at production line")</f>
        <v>Inspection at production line</v>
      </c>
    </row>
    <row r="3022" spans="1:4" ht="13.8">
      <c r="A3022" s="47" t="s">
        <v>4762</v>
      </c>
      <c r="B3022" s="92" t="s">
        <v>957</v>
      </c>
      <c r="C3022" s="92" t="s">
        <v>4763</v>
      </c>
      <c r="D3022" s="72" t="str">
        <f>IFERROR(VLOOKUP(A3022,'[1]ST-QA-ZZ5'!$C$5:$M$299,11,0),"Inspection at production line")</f>
        <v>Inspection at production line</v>
      </c>
    </row>
    <row r="3023" spans="1:4" ht="13.8">
      <c r="A3023" s="47" t="s">
        <v>4766</v>
      </c>
      <c r="B3023" s="92" t="s">
        <v>2511</v>
      </c>
      <c r="C3023" s="92" t="s">
        <v>4767</v>
      </c>
      <c r="D3023" s="72" t="str">
        <f>IFERROR(VLOOKUP(A3023,'[1]ST-QA-ZZ5'!$C$5:$M$299,11,0),"Inspection at production line")</f>
        <v>Inspection at production line</v>
      </c>
    </row>
    <row r="3024" spans="1:4" ht="13.8">
      <c r="A3024" s="47" t="s">
        <v>4794</v>
      </c>
      <c r="B3024" s="92" t="s">
        <v>3363</v>
      </c>
      <c r="C3024" s="92" t="s">
        <v>4795</v>
      </c>
      <c r="D3024" s="72" t="str">
        <f>IFERROR(VLOOKUP(A3024,'[1]ST-QA-ZZ5'!$C$5:$M$299,11,0),"Inspection at production line")</f>
        <v>Inspection at production line</v>
      </c>
    </row>
    <row r="3025" spans="1:4" ht="13.8">
      <c r="A3025" s="47" t="s">
        <v>4798</v>
      </c>
      <c r="B3025" s="92" t="s">
        <v>3363</v>
      </c>
      <c r="C3025" s="92" t="s">
        <v>7459</v>
      </c>
      <c r="D3025" s="72" t="str">
        <f>IFERROR(VLOOKUP(A3025,'[1]ST-QA-ZZ5'!$C$5:$M$299,11,0),"Inspection at production line")</f>
        <v>Inspection at production line</v>
      </c>
    </row>
    <row r="3026" spans="1:4" ht="13.8">
      <c r="A3026" s="47" t="s">
        <v>4802</v>
      </c>
      <c r="B3026" s="92" t="s">
        <v>3363</v>
      </c>
      <c r="C3026" s="92" t="s">
        <v>4799</v>
      </c>
      <c r="D3026" s="72" t="str">
        <f>IFERROR(VLOOKUP(A3026,'[1]ST-QA-ZZ5'!$C$5:$M$299,11,0),"Inspection at production line")</f>
        <v>Inspection at production line</v>
      </c>
    </row>
    <row r="3027" spans="1:4" ht="13.8">
      <c r="A3027" s="47" t="s">
        <v>4805</v>
      </c>
      <c r="B3027" s="92" t="s">
        <v>3363</v>
      </c>
      <c r="C3027" s="92" t="s">
        <v>4806</v>
      </c>
      <c r="D3027" s="72" t="str">
        <f>IFERROR(VLOOKUP(A3027,'[1]ST-QA-ZZ5'!$C$5:$M$299,11,0),"Inspection at production line")</f>
        <v>Inspection at production line</v>
      </c>
    </row>
    <row r="3028" spans="1:4" ht="13.8">
      <c r="A3028" s="47" t="s">
        <v>4809</v>
      </c>
      <c r="B3028" s="92" t="s">
        <v>3363</v>
      </c>
      <c r="C3028" s="92" t="s">
        <v>7460</v>
      </c>
      <c r="D3028" s="72" t="str">
        <f>IFERROR(VLOOKUP(A3028,'[1]ST-QA-ZZ5'!$C$5:$M$299,11,0),"Inspection at production line")</f>
        <v>Inspection at production line</v>
      </c>
    </row>
    <row r="3029" spans="1:4" ht="13.8">
      <c r="A3029" s="47" t="s">
        <v>4811</v>
      </c>
      <c r="B3029" s="92" t="s">
        <v>949</v>
      </c>
      <c r="C3029" s="92" t="s">
        <v>4812</v>
      </c>
      <c r="D3029" s="72" t="str">
        <f>IFERROR(VLOOKUP(A3029,'[1]ST-QA-ZZ5'!$C$5:$M$299,11,0),"Inspection at production line")</f>
        <v>Inspection at production line</v>
      </c>
    </row>
    <row r="3030" spans="1:4" ht="13.8">
      <c r="A3030" s="47" t="s">
        <v>4815</v>
      </c>
      <c r="B3030" s="92" t="s">
        <v>2507</v>
      </c>
      <c r="C3030" s="92" t="s">
        <v>4816</v>
      </c>
      <c r="D3030" s="72" t="str">
        <f>IFERROR(VLOOKUP(A3030,'[1]ST-QA-ZZ5'!$C$5:$M$299,11,0),"Inspection at production line")</f>
        <v>Inspection at production line</v>
      </c>
    </row>
    <row r="3031" spans="1:4" ht="13.8">
      <c r="A3031" s="47" t="s">
        <v>4819</v>
      </c>
      <c r="B3031" s="92" t="s">
        <v>1760</v>
      </c>
      <c r="C3031" s="94" t="s">
        <v>4820</v>
      </c>
      <c r="D3031" s="72" t="str">
        <f>IFERROR(VLOOKUP(A3031,'[1]ST-QA-ZZ5'!$C$5:$M$299,11,0),"Inspection at production line")</f>
        <v>Inspection at production line</v>
      </c>
    </row>
    <row r="3032" spans="1:4" ht="13.8">
      <c r="A3032" s="47" t="s">
        <v>4823</v>
      </c>
      <c r="B3032" s="92" t="s">
        <v>104</v>
      </c>
      <c r="C3032" s="92" t="s">
        <v>4824</v>
      </c>
      <c r="D3032" s="72" t="str">
        <f>IFERROR(VLOOKUP(A3032,'[1]ST-QA-ZZ5'!$C$5:$M$299,11,0),"Inspection at production line")</f>
        <v>Inspection at production line</v>
      </c>
    </row>
    <row r="3033" spans="1:4" ht="13.8">
      <c r="A3033" s="47" t="s">
        <v>4827</v>
      </c>
      <c r="B3033" s="92" t="s">
        <v>797</v>
      </c>
      <c r="C3033" s="92" t="s">
        <v>4828</v>
      </c>
      <c r="D3033" s="72" t="str">
        <f>IFERROR(VLOOKUP(A3033,'[1]ST-QA-ZZ5'!$C$5:$M$299,11,0),"Inspection at production line")</f>
        <v>Inspection at production line</v>
      </c>
    </row>
    <row r="3034" spans="1:4" ht="13.8">
      <c r="A3034" s="47" t="s">
        <v>4832</v>
      </c>
      <c r="B3034" s="92" t="s">
        <v>891</v>
      </c>
      <c r="C3034" s="92" t="s">
        <v>4833</v>
      </c>
      <c r="D3034" s="72" t="str">
        <f>IFERROR(VLOOKUP(A3034,'[1]ST-QA-ZZ5'!$C$5:$M$299,11,0),"Inspection at production line")</f>
        <v>Inspection at production line</v>
      </c>
    </row>
    <row r="3035" spans="1:4" ht="13.8">
      <c r="A3035" s="47" t="s">
        <v>4836</v>
      </c>
      <c r="B3035" s="92" t="s">
        <v>957</v>
      </c>
      <c r="C3035" s="92" t="s">
        <v>4837</v>
      </c>
      <c r="D3035" s="72" t="str">
        <f>IFERROR(VLOOKUP(A3035,'[1]ST-QA-ZZ5'!$C$5:$M$299,11,0),"Inspection at production line")</f>
        <v>Inspection at production line</v>
      </c>
    </row>
    <row r="3036" spans="1:4" ht="13.8">
      <c r="A3036" s="47" t="s">
        <v>4840</v>
      </c>
      <c r="B3036" s="92" t="s">
        <v>953</v>
      </c>
      <c r="C3036" s="92" t="s">
        <v>4841</v>
      </c>
      <c r="D3036" s="72" t="str">
        <f>IFERROR(VLOOKUP(A3036,'[1]ST-QA-ZZ5'!$C$5:$M$299,11,0),"Inspection at production line")</f>
        <v>Inspection at production line</v>
      </c>
    </row>
    <row r="3037" spans="1:4" ht="13.8">
      <c r="A3037" s="47" t="s">
        <v>4844</v>
      </c>
      <c r="B3037" s="92" t="s">
        <v>2511</v>
      </c>
      <c r="C3037" s="92" t="s">
        <v>4845</v>
      </c>
      <c r="D3037" s="72" t="str">
        <f>IFERROR(VLOOKUP(A3037,'[1]ST-QA-ZZ5'!$C$5:$M$299,11,0),"Inspection at production line")</f>
        <v>Inspection at production line</v>
      </c>
    </row>
    <row r="3038" spans="1:4" ht="13.8">
      <c r="A3038" s="47" t="s">
        <v>4848</v>
      </c>
      <c r="B3038" s="92" t="s">
        <v>2578</v>
      </c>
      <c r="C3038" s="92" t="s">
        <v>4849</v>
      </c>
      <c r="D3038" s="72" t="str">
        <f>IFERROR(VLOOKUP(A3038,'[1]ST-QA-ZZ5'!$C$5:$M$299,11,0),"Inspection at production line")</f>
        <v>Inspection at production line</v>
      </c>
    </row>
    <row r="3039" spans="1:4" ht="13.8">
      <c r="A3039" s="47" t="s">
        <v>4852</v>
      </c>
      <c r="B3039" s="92" t="s">
        <v>2578</v>
      </c>
      <c r="C3039" s="92" t="s">
        <v>7461</v>
      </c>
      <c r="D3039" s="72" t="str">
        <f>IFERROR(VLOOKUP(A3039,'[1]ST-QA-ZZ5'!$C$5:$M$299,11,0),"Inspection at production line")</f>
        <v>Inspection at production line</v>
      </c>
    </row>
    <row r="3040" spans="1:4" ht="13.8">
      <c r="A3040" s="47" t="s">
        <v>7462</v>
      </c>
      <c r="B3040" s="92" t="s">
        <v>3363</v>
      </c>
      <c r="C3040" s="92" t="s">
        <v>7463</v>
      </c>
      <c r="D3040" s="72" t="str">
        <f>IFERROR(VLOOKUP(A3040,'[1]ST-QA-ZZ5'!$C$5:$M$299,11,0),"Inspection at production line")</f>
        <v>Inspection at production line</v>
      </c>
    </row>
    <row r="3041" spans="1:4" ht="13.8">
      <c r="A3041" s="47" t="s">
        <v>5257</v>
      </c>
      <c r="B3041" s="92" t="s">
        <v>905</v>
      </c>
      <c r="C3041" s="92" t="s">
        <v>5258</v>
      </c>
      <c r="D3041" s="72" t="str">
        <f>IFERROR(VLOOKUP(A3041,'[1]ST-QA-ZZ5'!$C$5:$M$299,11,0),"Inspection at production line")</f>
        <v>Inspection at production line</v>
      </c>
    </row>
    <row r="3042" spans="1:4" ht="13.8">
      <c r="A3042" s="47" t="s">
        <v>7464</v>
      </c>
      <c r="B3042" s="92" t="s">
        <v>1273</v>
      </c>
      <c r="C3042" s="92" t="s">
        <v>7465</v>
      </c>
      <c r="D3042" s="72" t="str">
        <f>IFERROR(VLOOKUP(A3042,'[1]ST-QA-ZZ5'!$C$5:$M$299,11,0),"Inspection at production line")</f>
        <v>Inspection at production line</v>
      </c>
    </row>
    <row r="3043" spans="1:4" ht="13.8">
      <c r="A3043" s="47" t="s">
        <v>7466</v>
      </c>
      <c r="B3043" s="92" t="s">
        <v>941</v>
      </c>
      <c r="C3043" s="92" t="s">
        <v>7467</v>
      </c>
      <c r="D3043" s="72" t="str">
        <f>IFERROR(VLOOKUP(A3043,'[1]ST-QA-ZZ5'!$C$5:$M$299,11,0),"Inspection at production line")</f>
        <v>Inspection at production line</v>
      </c>
    </row>
    <row r="3044" spans="1:4" ht="13.8">
      <c r="A3044" s="47" t="s">
        <v>7468</v>
      </c>
      <c r="B3044" s="92" t="s">
        <v>1554</v>
      </c>
      <c r="C3044" s="92" t="s">
        <v>7469</v>
      </c>
      <c r="D3044" s="72" t="str">
        <f>IFERROR(VLOOKUP(A3044,'[1]ST-QA-ZZ5'!$C$5:$M$299,11,0),"Inspection at production line")</f>
        <v>Inspection at production line</v>
      </c>
    </row>
    <row r="3045" spans="1:4" ht="13.8">
      <c r="A3045" s="47" t="s">
        <v>5398</v>
      </c>
      <c r="B3045" s="92" t="s">
        <v>1543</v>
      </c>
      <c r="C3045" s="92" t="s">
        <v>5399</v>
      </c>
      <c r="D3045" s="72" t="str">
        <f>IFERROR(VLOOKUP(A3045,'[1]ST-QA-ZZ5'!$C$5:$M$299,11,0),"Inspection at production line")</f>
        <v>Inspection at production line</v>
      </c>
    </row>
    <row r="3046" spans="1:4" ht="13.8">
      <c r="A3046" s="47" t="s">
        <v>7470</v>
      </c>
      <c r="B3046" s="92" t="s">
        <v>797</v>
      </c>
      <c r="C3046" s="92" t="s">
        <v>7471</v>
      </c>
      <c r="D3046" s="72" t="str">
        <f>IFERROR(VLOOKUP(A3046,'[1]ST-QA-ZZ5'!$C$5:$M$299,11,0),"Inspection at production line")</f>
        <v>Inspection at production line</v>
      </c>
    </row>
    <row r="3047" spans="1:4" ht="13.8">
      <c r="A3047" s="47" t="s">
        <v>7472</v>
      </c>
      <c r="B3047" s="92" t="s">
        <v>3543</v>
      </c>
      <c r="C3047" s="92" t="s">
        <v>7473</v>
      </c>
      <c r="D3047" s="72" t="str">
        <f>IFERROR(VLOOKUP(A3047,'[1]ST-QA-ZZ5'!$C$5:$M$299,11,0),"Inspection at production line")</f>
        <v>Inspection at production line</v>
      </c>
    </row>
    <row r="3048" spans="1:4" ht="13.8">
      <c r="A3048" s="47" t="s">
        <v>7474</v>
      </c>
      <c r="B3048" s="92" t="s">
        <v>3415</v>
      </c>
      <c r="C3048" s="92" t="s">
        <v>7475</v>
      </c>
      <c r="D3048" s="72" t="str">
        <f>IFERROR(VLOOKUP(A3048,'[1]ST-QA-ZZ5'!$C$5:$M$299,11,0),"Inspection at production line")</f>
        <v>Inspection at production line</v>
      </c>
    </row>
    <row r="3049" spans="1:4" ht="13.8">
      <c r="A3049" s="47" t="s">
        <v>7476</v>
      </c>
      <c r="B3049" s="92" t="s">
        <v>5033</v>
      </c>
      <c r="C3049" s="92" t="s">
        <v>5033</v>
      </c>
      <c r="D3049" s="72" t="str">
        <f>IFERROR(VLOOKUP(A3049,'[1]ST-QA-ZZ5'!$C$5:$M$299,11,0),"Inspection at production line")</f>
        <v>Inspection at production line</v>
      </c>
    </row>
    <row r="3050" spans="1:4" ht="13.8">
      <c r="A3050" s="47" t="s">
        <v>7477</v>
      </c>
      <c r="B3050" s="92" t="s">
        <v>7478</v>
      </c>
      <c r="C3050" s="92" t="s">
        <v>7479</v>
      </c>
      <c r="D3050" s="72" t="str">
        <f>IFERROR(VLOOKUP(A3050,'[1]ST-QA-ZZ5'!$C$5:$M$299,11,0),"Inspection at production line")</f>
        <v>Inspection at production line</v>
      </c>
    </row>
    <row r="3051" spans="1:4" ht="13.8">
      <c r="A3051" s="47" t="s">
        <v>7480</v>
      </c>
      <c r="B3051" s="92" t="s">
        <v>7478</v>
      </c>
      <c r="C3051" s="92" t="s">
        <v>7481</v>
      </c>
      <c r="D3051" s="72" t="str">
        <f>IFERROR(VLOOKUP(A3051,'[1]ST-QA-ZZ5'!$C$5:$M$299,11,0),"Inspection at production line")</f>
        <v>Inspection at production line</v>
      </c>
    </row>
    <row r="3052" spans="1:4" ht="13.8">
      <c r="A3052" s="47" t="s">
        <v>7482</v>
      </c>
      <c r="B3052" s="92" t="s">
        <v>7478</v>
      </c>
      <c r="C3052" s="92" t="s">
        <v>7483</v>
      </c>
      <c r="D3052" s="72" t="str">
        <f>IFERROR(VLOOKUP(A3052,'[1]ST-QA-ZZ5'!$C$5:$M$299,11,0),"Inspection at production line")</f>
        <v>Inspection at production line</v>
      </c>
    </row>
    <row r="3053" spans="1:4" ht="13.8">
      <c r="A3053" s="47" t="s">
        <v>7484</v>
      </c>
      <c r="B3053" s="92" t="s">
        <v>7478</v>
      </c>
      <c r="C3053" s="92" t="s">
        <v>7485</v>
      </c>
      <c r="D3053" s="72" t="str">
        <f>IFERROR(VLOOKUP(A3053,'[1]ST-QA-ZZ5'!$C$5:$M$299,11,0),"Inspection at production line")</f>
        <v>Inspection at production line</v>
      </c>
    </row>
    <row r="3054" spans="1:4" ht="13.8">
      <c r="A3054" s="47" t="s">
        <v>7486</v>
      </c>
      <c r="B3054" s="92" t="s">
        <v>7478</v>
      </c>
      <c r="C3054" s="92" t="s">
        <v>7487</v>
      </c>
      <c r="D3054" s="72" t="str">
        <f>IFERROR(VLOOKUP(A3054,'[1]ST-QA-ZZ5'!$C$5:$M$299,11,0),"Inspection at production line")</f>
        <v>Inspection at production line</v>
      </c>
    </row>
    <row r="3055" spans="1:4" ht="13.8">
      <c r="A3055" s="47" t="s">
        <v>7488</v>
      </c>
      <c r="B3055" s="92" t="s">
        <v>7478</v>
      </c>
      <c r="C3055" s="92" t="s">
        <v>7489</v>
      </c>
      <c r="D3055" s="72" t="str">
        <f>IFERROR(VLOOKUP(A3055,'[1]ST-QA-ZZ5'!$C$5:$M$299,11,0),"Inspection at production line")</f>
        <v>Inspection at production line</v>
      </c>
    </row>
    <row r="3056" spans="1:4" ht="13.8">
      <c r="A3056" s="47" t="s">
        <v>7490</v>
      </c>
      <c r="B3056" s="92" t="s">
        <v>7478</v>
      </c>
      <c r="C3056" s="92" t="s">
        <v>7491</v>
      </c>
      <c r="D3056" s="72" t="str">
        <f>IFERROR(VLOOKUP(A3056,'[1]ST-QA-ZZ5'!$C$5:$M$299,11,0),"Inspection at production line")</f>
        <v>Inspection at production line</v>
      </c>
    </row>
    <row r="3057" spans="1:4" ht="13.8">
      <c r="A3057" s="47" t="s">
        <v>7492</v>
      </c>
      <c r="B3057" s="92" t="s">
        <v>7478</v>
      </c>
      <c r="C3057" s="92" t="s">
        <v>7493</v>
      </c>
      <c r="D3057" s="72" t="str">
        <f>IFERROR(VLOOKUP(A3057,'[1]ST-QA-ZZ5'!$C$5:$M$299,11,0),"Inspection at production line")</f>
        <v>Inspection at production line</v>
      </c>
    </row>
    <row r="3058" spans="1:4" ht="13.8">
      <c r="A3058" s="47" t="s">
        <v>7494</v>
      </c>
      <c r="B3058" s="92" t="s">
        <v>7478</v>
      </c>
      <c r="C3058" s="92" t="s">
        <v>7495</v>
      </c>
      <c r="D3058" s="72" t="str">
        <f>IFERROR(VLOOKUP(A3058,'[1]ST-QA-ZZ5'!$C$5:$M$299,11,0),"Inspection at production line")</f>
        <v>Inspection at production line</v>
      </c>
    </row>
    <row r="3059" spans="1:4" ht="13.8">
      <c r="A3059" s="47" t="s">
        <v>7496</v>
      </c>
      <c r="B3059" s="92" t="s">
        <v>7478</v>
      </c>
      <c r="C3059" s="92" t="s">
        <v>7497</v>
      </c>
      <c r="D3059" s="72" t="str">
        <f>IFERROR(VLOOKUP(A3059,'[1]ST-QA-ZZ5'!$C$5:$M$299,11,0),"Inspection at production line")</f>
        <v>Inspection at production line</v>
      </c>
    </row>
    <row r="3060" spans="1:4" ht="13.8">
      <c r="A3060" s="47" t="s">
        <v>7498</v>
      </c>
      <c r="B3060" s="92" t="s">
        <v>174</v>
      </c>
      <c r="C3060" s="92" t="s">
        <v>7499</v>
      </c>
      <c r="D3060" s="72" t="str">
        <f>IFERROR(VLOOKUP(A3060,'[1]ST-QA-ZZ5'!$C$5:$M$299,11,0),"Inspection at production line")</f>
        <v>Inspection at production line</v>
      </c>
    </row>
    <row r="3061" spans="1:4" ht="13.8">
      <c r="A3061" s="47" t="s">
        <v>7500</v>
      </c>
      <c r="B3061" s="92" t="s">
        <v>174</v>
      </c>
      <c r="C3061" s="92" t="s">
        <v>7501</v>
      </c>
      <c r="D3061" s="72" t="str">
        <f>IFERROR(VLOOKUP(A3061,'[1]ST-QA-ZZ5'!$C$5:$M$299,11,0),"Inspection at production line")</f>
        <v>Inspection at production line</v>
      </c>
    </row>
    <row r="3062" spans="1:4" ht="13.8">
      <c r="A3062" s="47" t="s">
        <v>7502</v>
      </c>
      <c r="B3062" s="92" t="s">
        <v>7503</v>
      </c>
      <c r="C3062" s="92" t="s">
        <v>7503</v>
      </c>
      <c r="D3062" s="72" t="str">
        <f>IFERROR(VLOOKUP(A3062,'[1]ST-QA-ZZ5'!$C$5:$M$299,11,0),"Inspection at production line")</f>
        <v>Inspection at production line</v>
      </c>
    </row>
    <row r="3063" spans="1:4" ht="13.8">
      <c r="A3063" s="47" t="s">
        <v>7504</v>
      </c>
      <c r="B3063" s="92" t="s">
        <v>7503</v>
      </c>
      <c r="C3063" s="92" t="s">
        <v>7503</v>
      </c>
      <c r="D3063" s="72" t="str">
        <f>IFERROR(VLOOKUP(A3063,'[1]ST-QA-ZZ5'!$C$5:$M$299,11,0),"Inspection at production line")</f>
        <v>Inspection at production line</v>
      </c>
    </row>
    <row r="3064" spans="1:4" ht="13.8">
      <c r="A3064" s="47" t="s">
        <v>7505</v>
      </c>
      <c r="B3064" s="92" t="s">
        <v>213</v>
      </c>
      <c r="C3064" s="92" t="s">
        <v>7506</v>
      </c>
      <c r="D3064" s="72" t="str">
        <f>IFERROR(VLOOKUP(A3064,'[1]ST-QA-ZZ5'!$C$5:$M$299,11,0),"Inspection at production line")</f>
        <v>Inspection at production line</v>
      </c>
    </row>
    <row r="3065" spans="1:4" ht="13.8">
      <c r="A3065" s="47" t="s">
        <v>7507</v>
      </c>
      <c r="B3065" s="92" t="s">
        <v>1592</v>
      </c>
      <c r="C3065" s="92" t="s">
        <v>7508</v>
      </c>
      <c r="D3065" s="72" t="str">
        <f>IFERROR(VLOOKUP(A3065,'[1]ST-QA-ZZ5'!$C$5:$M$299,11,0),"Inspection at production line")</f>
        <v>Inspection at production line</v>
      </c>
    </row>
    <row r="3066" spans="1:4" ht="13.8">
      <c r="A3066" s="47" t="s">
        <v>7509</v>
      </c>
      <c r="B3066" s="92" t="s">
        <v>104</v>
      </c>
      <c r="C3066" s="92" t="s">
        <v>1050</v>
      </c>
      <c r="D3066" s="72" t="str">
        <f>IFERROR(VLOOKUP(A3066,'[1]ST-QA-ZZ5'!$C$5:$M$299,11,0),"Inspection at production line")</f>
        <v>Inspection at production line</v>
      </c>
    </row>
    <row r="3067" spans="1:4" ht="13.8">
      <c r="A3067" s="47" t="s">
        <v>2298</v>
      </c>
      <c r="B3067" s="92" t="s">
        <v>57</v>
      </c>
      <c r="C3067" s="92" t="s">
        <v>2299</v>
      </c>
      <c r="D3067" s="72" t="str">
        <f>IFERROR(VLOOKUP(A3067,'[1]ST-QA-ZZ5'!$C$5:$M$299,11,0),"Inspection at production line")</f>
        <v>Inspection at production line</v>
      </c>
    </row>
    <row r="3068" spans="1:4" ht="13.8">
      <c r="A3068" s="47" t="s">
        <v>2304</v>
      </c>
      <c r="B3068" s="92" t="s">
        <v>2305</v>
      </c>
      <c r="C3068" s="92" t="s">
        <v>2306</v>
      </c>
      <c r="D3068" s="72" t="str">
        <f>IFERROR(VLOOKUP(A3068,'[1]ST-QA-ZZ5'!$C$5:$M$299,11,0),"Inspection at production line")</f>
        <v>Inspection at production line</v>
      </c>
    </row>
    <row r="3069" spans="1:4" ht="13.8">
      <c r="A3069" s="47" t="s">
        <v>2309</v>
      </c>
      <c r="B3069" s="92" t="s">
        <v>174</v>
      </c>
      <c r="C3069" s="92" t="s">
        <v>7510</v>
      </c>
      <c r="D3069" s="72" t="str">
        <f>IFERROR(VLOOKUP(A3069,'[1]ST-QA-ZZ5'!$C$5:$M$299,11,0),"Inspection at production line")</f>
        <v>Inspection at production line</v>
      </c>
    </row>
    <row r="3070" spans="1:4" ht="13.8">
      <c r="A3070" s="47" t="s">
        <v>7511</v>
      </c>
      <c r="B3070" s="92" t="s">
        <v>174</v>
      </c>
      <c r="C3070" s="92" t="s">
        <v>7512</v>
      </c>
      <c r="D3070" s="72" t="str">
        <f>IFERROR(VLOOKUP(A3070,'[1]ST-QA-ZZ5'!$C$5:$M$299,11,0),"Inspection at production line")</f>
        <v>Inspection at production line</v>
      </c>
    </row>
    <row r="3071" spans="1:4" ht="13.8">
      <c r="A3071" s="47" t="s">
        <v>7513</v>
      </c>
      <c r="B3071" s="92" t="s">
        <v>857</v>
      </c>
      <c r="C3071" s="92" t="s">
        <v>7514</v>
      </c>
      <c r="D3071" s="72" t="str">
        <f>IFERROR(VLOOKUP(A3071,'[1]ST-QA-ZZ5'!$C$5:$M$299,11,0),"Inspection at production line")</f>
        <v>Inspection at production line</v>
      </c>
    </row>
    <row r="3072" spans="1:4" ht="13.8">
      <c r="A3072" s="47" t="s">
        <v>7515</v>
      </c>
      <c r="B3072" s="92" t="s">
        <v>857</v>
      </c>
      <c r="C3072" s="92" t="s">
        <v>7516</v>
      </c>
      <c r="D3072" s="72" t="str">
        <f>IFERROR(VLOOKUP(A3072,'[1]ST-QA-ZZ5'!$C$5:$M$299,11,0),"Inspection at production line")</f>
        <v>Inspection at production line</v>
      </c>
    </row>
    <row r="3073" spans="1:4" ht="13.8">
      <c r="A3073" s="47" t="s">
        <v>7517</v>
      </c>
      <c r="B3073" s="92" t="s">
        <v>174</v>
      </c>
      <c r="C3073" s="92" t="s">
        <v>7518</v>
      </c>
      <c r="D3073" s="72" t="str">
        <f>IFERROR(VLOOKUP(A3073,'[1]ST-QA-ZZ5'!$C$5:$M$299,11,0),"Inspection at production line")</f>
        <v>Inspection at production line</v>
      </c>
    </row>
    <row r="3074" spans="1:4" ht="13.8">
      <c r="A3074" s="47" t="s">
        <v>7519</v>
      </c>
      <c r="B3074" s="92" t="s">
        <v>857</v>
      </c>
      <c r="C3074" s="92" t="s">
        <v>7520</v>
      </c>
      <c r="D3074" s="72" t="str">
        <f>IFERROR(VLOOKUP(A3074,'[1]ST-QA-ZZ5'!$C$5:$M$299,11,0),"Inspection at production line")</f>
        <v>Inspection at production line</v>
      </c>
    </row>
    <row r="3075" spans="1:4" ht="13.8">
      <c r="A3075" s="47" t="s">
        <v>7521</v>
      </c>
      <c r="B3075" s="92" t="s">
        <v>104</v>
      </c>
      <c r="C3075" s="92" t="s">
        <v>7522</v>
      </c>
      <c r="D3075" s="72" t="str">
        <f>IFERROR(VLOOKUP(A3075,'[1]ST-QA-ZZ5'!$C$5:$M$299,11,0),"Inspection at production line")</f>
        <v>Inspection at production line</v>
      </c>
    </row>
    <row r="3076" spans="1:4" ht="13.8">
      <c r="A3076" s="47" t="s">
        <v>7523</v>
      </c>
      <c r="B3076" s="92" t="s">
        <v>174</v>
      </c>
      <c r="C3076" s="92" t="s">
        <v>7524</v>
      </c>
      <c r="D3076" s="72" t="str">
        <f>IFERROR(VLOOKUP(A3076,'[1]ST-QA-ZZ5'!$C$5:$M$299,11,0),"Inspection at production line")</f>
        <v>Inspection at production line</v>
      </c>
    </row>
    <row r="3077" spans="1:4" ht="13.8">
      <c r="A3077" s="47" t="s">
        <v>7525</v>
      </c>
      <c r="B3077" s="92" t="s">
        <v>2074</v>
      </c>
      <c r="C3077" s="92" t="s">
        <v>7526</v>
      </c>
      <c r="D3077" s="72" t="str">
        <f>IFERROR(VLOOKUP(A3077,'[1]ST-QA-ZZ5'!$C$5:$M$299,11,0),"Inspection at production line")</f>
        <v>Sampling check</v>
      </c>
    </row>
    <row r="3078" spans="1:4" ht="13.8">
      <c r="A3078" s="47" t="s">
        <v>7527</v>
      </c>
      <c r="B3078" s="92" t="s">
        <v>1885</v>
      </c>
      <c r="C3078" s="92" t="s">
        <v>7528</v>
      </c>
      <c r="D3078" s="72" t="str">
        <f>IFERROR(VLOOKUP(A3078,'[1]ST-QA-ZZ5'!$C$5:$M$299,11,0),"Inspection at production line")</f>
        <v>Sampling check</v>
      </c>
    </row>
    <row r="3079" spans="1:4" ht="13.8">
      <c r="A3079" s="47" t="s">
        <v>7529</v>
      </c>
      <c r="B3079" s="92" t="s">
        <v>1885</v>
      </c>
      <c r="C3079" s="92" t="s">
        <v>7530</v>
      </c>
      <c r="D3079" s="72" t="str">
        <f>IFERROR(VLOOKUP(A3079,'[1]ST-QA-ZZ5'!$C$5:$M$299,11,0),"Inspection at production line")</f>
        <v>Sampling check</v>
      </c>
    </row>
    <row r="3080" spans="1:4" ht="13.8">
      <c r="A3080" s="47" t="s">
        <v>7531</v>
      </c>
      <c r="B3080" s="92" t="s">
        <v>75</v>
      </c>
      <c r="C3080" s="92" t="s">
        <v>7532</v>
      </c>
      <c r="D3080" s="72" t="str">
        <f>IFERROR(VLOOKUP(A3080,'[1]ST-QA-ZZ5'!$C$5:$M$299,11,0),"Inspection at production line")</f>
        <v>Sampling check</v>
      </c>
    </row>
    <row r="3081" spans="1:4" ht="13.8">
      <c r="A3081" s="47" t="s">
        <v>7533</v>
      </c>
      <c r="B3081" s="92" t="s">
        <v>7534</v>
      </c>
      <c r="C3081" s="92" t="s">
        <v>7535</v>
      </c>
      <c r="D3081" s="72" t="str">
        <f>IFERROR(VLOOKUP(A3081,'[1]ST-QA-ZZ5'!$C$5:$M$299,11,0),"Inspection at production line")</f>
        <v>Sampling check</v>
      </c>
    </row>
    <row r="3082" spans="1:4" ht="13.8">
      <c r="A3082" s="47" t="s">
        <v>7536</v>
      </c>
      <c r="B3082" s="92" t="s">
        <v>5890</v>
      </c>
      <c r="C3082" s="92" t="s">
        <v>7537</v>
      </c>
      <c r="D3082" s="72" t="str">
        <f>IFERROR(VLOOKUP(A3082,'[1]ST-QA-ZZ5'!$C$5:$M$299,11,0),"Inspection at production line")</f>
        <v>Sampling check</v>
      </c>
    </row>
    <row r="3083" spans="1:4" ht="13.8">
      <c r="A3083" s="47" t="s">
        <v>7538</v>
      </c>
      <c r="B3083" s="92" t="s">
        <v>5890</v>
      </c>
      <c r="C3083" s="92" t="s">
        <v>7539</v>
      </c>
      <c r="D3083" s="72" t="str">
        <f>IFERROR(VLOOKUP(A3083,'[1]ST-QA-ZZ5'!$C$5:$M$299,11,0),"Inspection at production line")</f>
        <v>Sampling check</v>
      </c>
    </row>
    <row r="3084" spans="1:4" ht="13.8">
      <c r="A3084" s="47" t="s">
        <v>7540</v>
      </c>
      <c r="B3084" s="92" t="s">
        <v>5890</v>
      </c>
      <c r="C3084" s="92" t="s">
        <v>7541</v>
      </c>
      <c r="D3084" s="72" t="str">
        <f>IFERROR(VLOOKUP(A3084,'[1]ST-QA-ZZ5'!$C$5:$M$299,11,0),"Inspection at production line")</f>
        <v>Sampling check</v>
      </c>
    </row>
    <row r="3085" spans="1:4" ht="13.8">
      <c r="A3085" s="47" t="s">
        <v>7542</v>
      </c>
      <c r="B3085" s="92" t="s">
        <v>7543</v>
      </c>
      <c r="C3085" s="92" t="s">
        <v>7544</v>
      </c>
      <c r="D3085" s="72" t="str">
        <f>IFERROR(VLOOKUP(A3085,'[1]ST-QA-ZZ5'!$C$5:$M$299,11,0),"Inspection at production line")</f>
        <v>Sampling check</v>
      </c>
    </row>
    <row r="3086" spans="1:4" ht="13.8">
      <c r="A3086" s="47" t="s">
        <v>7545</v>
      </c>
      <c r="B3086" s="92" t="s">
        <v>857</v>
      </c>
      <c r="C3086" s="92" t="s">
        <v>7546</v>
      </c>
      <c r="D3086" s="72" t="str">
        <f>IFERROR(VLOOKUP(A3086,'[1]ST-QA-ZZ5'!$C$5:$M$299,11,0),"Inspection at production line")</f>
        <v>Sampling check</v>
      </c>
    </row>
    <row r="3087" spans="1:4" ht="13.8">
      <c r="A3087" s="47" t="s">
        <v>4873</v>
      </c>
      <c r="B3087" s="92" t="s">
        <v>916</v>
      </c>
      <c r="C3087" s="92" t="s">
        <v>4874</v>
      </c>
      <c r="D3087" s="72" t="str">
        <f>IFERROR(VLOOKUP(A3087,'[1]ST-QA-ZZ5'!$C$5:$M$299,11,0),"Inspection at production line")</f>
        <v>Inspection at production line</v>
      </c>
    </row>
    <row r="3088" spans="1:4" ht="13.8">
      <c r="A3088" s="47" t="s">
        <v>4877</v>
      </c>
      <c r="B3088" s="92" t="s">
        <v>916</v>
      </c>
      <c r="C3088" s="92" t="s">
        <v>4878</v>
      </c>
      <c r="D3088" s="72" t="str">
        <f>IFERROR(VLOOKUP(A3088,'[1]ST-QA-ZZ5'!$C$5:$M$299,11,0),"Inspection at production line")</f>
        <v>Inspection at production line</v>
      </c>
    </row>
    <row r="3089" spans="1:4" ht="13.8">
      <c r="A3089" s="47" t="s">
        <v>4881</v>
      </c>
      <c r="B3089" s="92" t="s">
        <v>819</v>
      </c>
      <c r="C3089" s="92" t="s">
        <v>4882</v>
      </c>
      <c r="D3089" s="72" t="str">
        <f>IFERROR(VLOOKUP(A3089,'[1]ST-QA-ZZ5'!$C$5:$M$299,11,0),"Inspection at production line")</f>
        <v>Inspection at production line</v>
      </c>
    </row>
    <row r="3090" spans="1:4" ht="13.8">
      <c r="A3090" s="47" t="s">
        <v>4885</v>
      </c>
      <c r="B3090" s="92" t="s">
        <v>814</v>
      </c>
      <c r="C3090" s="92" t="s">
        <v>817</v>
      </c>
      <c r="D3090" s="72" t="str">
        <f>IFERROR(VLOOKUP(A3090,'[1]ST-QA-ZZ5'!$C$5:$M$299,11,0),"Inspection at production line")</f>
        <v>Inspection at production line</v>
      </c>
    </row>
    <row r="3091" spans="1:4" ht="13.8">
      <c r="A3091" s="47" t="s">
        <v>4888</v>
      </c>
      <c r="B3091" s="92" t="s">
        <v>90</v>
      </c>
      <c r="C3091" s="92" t="s">
        <v>817</v>
      </c>
      <c r="D3091" s="72" t="str">
        <f>IFERROR(VLOOKUP(A3091,'[1]ST-QA-ZZ5'!$C$5:$M$299,11,0),"Inspection at production line")</f>
        <v>Inspection at production line</v>
      </c>
    </row>
    <row r="3092" spans="1:4" ht="13.8">
      <c r="A3092" s="47" t="s">
        <v>7547</v>
      </c>
      <c r="B3092" s="92" t="s">
        <v>857</v>
      </c>
      <c r="C3092" s="92" t="s">
        <v>7548</v>
      </c>
      <c r="D3092" s="72" t="str">
        <f>IFERROR(VLOOKUP(A3092,'[1]ST-QA-ZZ5'!$C$5:$M$299,11,0),"Inspection at production line")</f>
        <v>Inspection at production line</v>
      </c>
    </row>
    <row r="3093" spans="1:4" ht="13.8">
      <c r="A3093" s="47" t="s">
        <v>4891</v>
      </c>
      <c r="B3093" s="92" t="s">
        <v>916</v>
      </c>
      <c r="C3093" s="92" t="s">
        <v>917</v>
      </c>
      <c r="D3093" s="72" t="str">
        <f>IFERROR(VLOOKUP(A3093,'[1]ST-QA-ZZ5'!$C$5:$M$299,11,0),"Inspection at production line")</f>
        <v>Inspection at production line</v>
      </c>
    </row>
    <row r="3094" spans="1:4" ht="13.8">
      <c r="A3094" s="47" t="s">
        <v>4894</v>
      </c>
      <c r="B3094" s="92" t="s">
        <v>90</v>
      </c>
      <c r="C3094" s="92" t="s">
        <v>4895</v>
      </c>
      <c r="D3094" s="72" t="str">
        <f>IFERROR(VLOOKUP(A3094,'[1]ST-QA-ZZ5'!$C$5:$M$299,11,0),"Inspection at production line")</f>
        <v>Inspection at production line</v>
      </c>
    </row>
    <row r="3095" spans="1:4" ht="13.8">
      <c r="A3095" s="47" t="s">
        <v>4898</v>
      </c>
      <c r="B3095" s="92" t="s">
        <v>828</v>
      </c>
      <c r="C3095" s="92" t="s">
        <v>4899</v>
      </c>
      <c r="D3095" s="72" t="str">
        <f>IFERROR(VLOOKUP(A3095,'[1]ST-QA-ZZ5'!$C$5:$M$299,11,0),"Inspection at production line")</f>
        <v>Inspection at production line</v>
      </c>
    </row>
    <row r="3096" spans="1:4" ht="13.8">
      <c r="A3096" s="47" t="s">
        <v>4901</v>
      </c>
      <c r="B3096" s="92" t="s">
        <v>828</v>
      </c>
      <c r="C3096" s="92" t="s">
        <v>829</v>
      </c>
      <c r="D3096" s="72" t="str">
        <f>IFERROR(VLOOKUP(A3096,'[1]ST-QA-ZZ5'!$C$5:$M$299,11,0),"Inspection at production line")</f>
        <v>Inspection at production line</v>
      </c>
    </row>
    <row r="3097" spans="1:4" ht="13.8">
      <c r="A3097" s="47" t="s">
        <v>4904</v>
      </c>
      <c r="B3097" s="92" t="s">
        <v>90</v>
      </c>
      <c r="C3097" s="92" t="s">
        <v>4905</v>
      </c>
      <c r="D3097" s="72" t="str">
        <f>IFERROR(VLOOKUP(A3097,'[1]ST-QA-ZZ5'!$C$5:$M$299,11,0),"Inspection at production line")</f>
        <v>Inspection at production line</v>
      </c>
    </row>
    <row r="3098" spans="1:4" ht="13.8">
      <c r="A3098" s="47" t="s">
        <v>4906</v>
      </c>
      <c r="B3098" s="92" t="s">
        <v>90</v>
      </c>
      <c r="C3098" s="92" t="s">
        <v>4907</v>
      </c>
      <c r="D3098" s="72" t="str">
        <f>IFERROR(VLOOKUP(A3098,'[1]ST-QA-ZZ5'!$C$5:$M$299,11,0),"Inspection at production line")</f>
        <v>Inspection at production line</v>
      </c>
    </row>
    <row r="3099" spans="1:4" ht="13.8">
      <c r="A3099" s="47" t="s">
        <v>4908</v>
      </c>
      <c r="B3099" s="92" t="s">
        <v>90</v>
      </c>
      <c r="C3099" s="92" t="s">
        <v>4909</v>
      </c>
      <c r="D3099" s="72" t="str">
        <f>IFERROR(VLOOKUP(A3099,'[1]ST-QA-ZZ5'!$C$5:$M$299,11,0),"Inspection at production line")</f>
        <v>Inspection at production line</v>
      </c>
    </row>
    <row r="3100" spans="1:4" ht="13.8">
      <c r="A3100" s="47" t="s">
        <v>4910</v>
      </c>
      <c r="B3100" s="92" t="s">
        <v>1257</v>
      </c>
      <c r="C3100" s="92" t="s">
        <v>7549</v>
      </c>
      <c r="D3100" s="72" t="str">
        <f>IFERROR(VLOOKUP(A3100,'[1]ST-QA-ZZ5'!$C$5:$M$299,11,0),"Inspection at production line")</f>
        <v>Inspection at production line</v>
      </c>
    </row>
    <row r="3101" spans="1:4" ht="13.8">
      <c r="A3101" s="47" t="s">
        <v>4911</v>
      </c>
      <c r="B3101" s="92" t="s">
        <v>819</v>
      </c>
      <c r="C3101" s="92" t="s">
        <v>4912</v>
      </c>
      <c r="D3101" s="72" t="str">
        <f>IFERROR(VLOOKUP(A3101,'[1]ST-QA-ZZ5'!$C$5:$M$299,11,0),"Inspection at production line")</f>
        <v>Inspection at production line</v>
      </c>
    </row>
    <row r="3102" spans="1:4" ht="13.8">
      <c r="A3102" s="47" t="s">
        <v>7550</v>
      </c>
      <c r="B3102" s="92" t="s">
        <v>819</v>
      </c>
      <c r="C3102" s="92" t="s">
        <v>4912</v>
      </c>
      <c r="D3102" s="72" t="str">
        <f>IFERROR(VLOOKUP(A3102,'[1]ST-QA-ZZ5'!$C$5:$M$299,11,0),"Inspection at production line")</f>
        <v>Inspection at production line</v>
      </c>
    </row>
    <row r="3103" spans="1:4" ht="13.8">
      <c r="A3103" s="47" t="s">
        <v>7551</v>
      </c>
      <c r="B3103" s="92" t="s">
        <v>814</v>
      </c>
      <c r="C3103" s="92" t="s">
        <v>815</v>
      </c>
      <c r="D3103" s="72" t="str">
        <f>IFERROR(VLOOKUP(A3103,'[1]ST-QA-ZZ5'!$C$5:$M$299,11,0),"Inspection at production line")</f>
        <v>Inspection at production line</v>
      </c>
    </row>
    <row r="3104" spans="1:4" ht="13.8">
      <c r="A3104" s="47" t="s">
        <v>7552</v>
      </c>
      <c r="B3104" s="92" t="s">
        <v>857</v>
      </c>
      <c r="C3104" s="92" t="s">
        <v>7553</v>
      </c>
      <c r="D3104" s="72" t="str">
        <f>IFERROR(VLOOKUP(A3104,'[1]ST-QA-ZZ5'!$C$5:$M$299,11,0),"Inspection at production line")</f>
        <v>Inspection at production line</v>
      </c>
    </row>
    <row r="3105" spans="1:4" ht="13.8">
      <c r="A3105" s="47" t="s">
        <v>7554</v>
      </c>
      <c r="B3105" s="92" t="s">
        <v>7555</v>
      </c>
      <c r="C3105" s="92" t="s">
        <v>7555</v>
      </c>
      <c r="D3105" s="72" t="str">
        <f>IFERROR(VLOOKUP(A3105,'[1]ST-QA-ZZ5'!$C$5:$M$299,11,0),"Inspection at production line")</f>
        <v>Inspection at production line</v>
      </c>
    </row>
    <row r="3106" spans="1:4" ht="13.8">
      <c r="A3106" s="47" t="s">
        <v>7556</v>
      </c>
      <c r="B3106" s="92" t="s">
        <v>857</v>
      </c>
      <c r="C3106" s="92" t="s">
        <v>7557</v>
      </c>
      <c r="D3106" s="72" t="str">
        <f>IFERROR(VLOOKUP(A3106,'[1]ST-QA-ZZ5'!$C$5:$M$299,11,0),"Inspection at production line")</f>
        <v>Inspection at production line</v>
      </c>
    </row>
    <row r="3107" spans="1:4" ht="13.8">
      <c r="A3107" s="47" t="s">
        <v>7558</v>
      </c>
      <c r="B3107" s="92" t="s">
        <v>857</v>
      </c>
      <c r="C3107" s="92" t="s">
        <v>7559</v>
      </c>
      <c r="D3107" s="72" t="str">
        <f>IFERROR(VLOOKUP(A3107,'[1]ST-QA-ZZ5'!$C$5:$M$299,11,0),"Inspection at production line")</f>
        <v>Inspection at production line</v>
      </c>
    </row>
    <row r="3108" spans="1:4" ht="13.8">
      <c r="A3108" s="47" t="s">
        <v>7560</v>
      </c>
      <c r="B3108" s="92" t="s">
        <v>857</v>
      </c>
      <c r="C3108" s="92" t="s">
        <v>7561</v>
      </c>
      <c r="D3108" s="72" t="str">
        <f>IFERROR(VLOOKUP(A3108,'[1]ST-QA-ZZ5'!$C$5:$M$299,11,0),"Inspection at production line")</f>
        <v>Inspection at production line</v>
      </c>
    </row>
    <row r="3109" spans="1:4" ht="13.8">
      <c r="A3109" s="47" t="s">
        <v>7562</v>
      </c>
      <c r="B3109" s="92" t="s">
        <v>857</v>
      </c>
      <c r="C3109" s="92" t="s">
        <v>7563</v>
      </c>
      <c r="D3109" s="72" t="str">
        <f>IFERROR(VLOOKUP(A3109,'[1]ST-QA-ZZ5'!$C$5:$M$299,11,0),"Inspection at production line")</f>
        <v>Inspection at production line</v>
      </c>
    </row>
    <row r="3110" spans="1:4" ht="13.8">
      <c r="A3110" s="47" t="s">
        <v>7564</v>
      </c>
      <c r="B3110" s="92" t="s">
        <v>857</v>
      </c>
      <c r="C3110" s="92" t="s">
        <v>7565</v>
      </c>
      <c r="D3110" s="72" t="str">
        <f>IFERROR(VLOOKUP(A3110,'[1]ST-QA-ZZ5'!$C$5:$M$299,11,0),"Inspection at production line")</f>
        <v>Inspection at production line</v>
      </c>
    </row>
    <row r="3111" spans="1:4" ht="13.8">
      <c r="A3111" s="47" t="s">
        <v>7566</v>
      </c>
      <c r="B3111" s="92" t="s">
        <v>857</v>
      </c>
      <c r="C3111" s="92" t="s">
        <v>7567</v>
      </c>
      <c r="D3111" s="72" t="str">
        <f>IFERROR(VLOOKUP(A3111,'[1]ST-QA-ZZ5'!$C$5:$M$299,11,0),"Inspection at production line")</f>
        <v>Inspection at production line</v>
      </c>
    </row>
    <row r="3112" spans="1:4" ht="13.8">
      <c r="A3112" s="47" t="s">
        <v>7568</v>
      </c>
      <c r="B3112" s="92" t="s">
        <v>857</v>
      </c>
      <c r="C3112" s="92" t="s">
        <v>7569</v>
      </c>
      <c r="D3112" s="72" t="str">
        <f>IFERROR(VLOOKUP(A3112,'[1]ST-QA-ZZ5'!$C$5:$M$299,11,0),"Inspection at production line")</f>
        <v>Inspection at production line</v>
      </c>
    </row>
    <row r="3113" spans="1:4" ht="13.8">
      <c r="A3113" s="47" t="s">
        <v>7570</v>
      </c>
      <c r="B3113" s="92" t="s">
        <v>857</v>
      </c>
      <c r="C3113" s="92" t="s">
        <v>7571</v>
      </c>
      <c r="D3113" s="72" t="str">
        <f>IFERROR(VLOOKUP(A3113,'[1]ST-QA-ZZ5'!$C$5:$M$299,11,0),"Inspection at production line")</f>
        <v>Inspection at production line</v>
      </c>
    </row>
    <row r="3114" spans="1:4" ht="13.8">
      <c r="A3114" s="47" t="s">
        <v>7572</v>
      </c>
      <c r="B3114" s="92" t="s">
        <v>7573</v>
      </c>
      <c r="C3114" s="92" t="s">
        <v>7573</v>
      </c>
      <c r="D3114" s="72" t="str">
        <f>IFERROR(VLOOKUP(A3114,'[1]ST-QA-ZZ5'!$C$5:$M$299,11,0),"Inspection at production line")</f>
        <v>Inspection at production line</v>
      </c>
    </row>
    <row r="3115" spans="1:4" ht="13.8">
      <c r="A3115" s="47" t="s">
        <v>7574</v>
      </c>
      <c r="B3115" s="92" t="s">
        <v>7575</v>
      </c>
      <c r="C3115" s="92" t="s">
        <v>7575</v>
      </c>
      <c r="D3115" s="72" t="str">
        <f>IFERROR(VLOOKUP(A3115,'[1]ST-QA-ZZ5'!$C$5:$M$299,11,0),"Inspection at production line")</f>
        <v>Inspection at production line</v>
      </c>
    </row>
    <row r="3116" spans="1:4" ht="13.8">
      <c r="A3116" s="47" t="s">
        <v>7576</v>
      </c>
      <c r="B3116" s="92" t="s">
        <v>7577</v>
      </c>
      <c r="C3116" s="92" t="s">
        <v>7577</v>
      </c>
      <c r="D3116" s="72" t="str">
        <f>IFERROR(VLOOKUP(A3116,'[1]ST-QA-ZZ5'!$C$5:$M$299,11,0),"Inspection at production line")</f>
        <v>Inspection at production line</v>
      </c>
    </row>
    <row r="3117" spans="1:4" ht="13.8">
      <c r="A3117" s="47" t="s">
        <v>7578</v>
      </c>
      <c r="B3117" s="92" t="s">
        <v>7579</v>
      </c>
      <c r="C3117" s="92" t="s">
        <v>7580</v>
      </c>
      <c r="D3117" s="72" t="str">
        <f>IFERROR(VLOOKUP(A3117,'[1]ST-QA-ZZ5'!$C$5:$M$299,11,0),"Inspection at production line")</f>
        <v>Inspection at production line</v>
      </c>
    </row>
    <row r="3118" spans="1:4" ht="13.8">
      <c r="A3118" s="47" t="s">
        <v>7581</v>
      </c>
      <c r="B3118" s="92" t="s">
        <v>7582</v>
      </c>
      <c r="C3118" s="92" t="s">
        <v>7583</v>
      </c>
      <c r="D3118" s="72" t="str">
        <f>IFERROR(VLOOKUP(A3118,'[1]ST-QA-ZZ5'!$C$5:$M$299,11,0),"Inspection at production line")</f>
        <v>Inspection at production line</v>
      </c>
    </row>
    <row r="3119" spans="1:4" ht="13.8">
      <c r="A3119" s="47" t="s">
        <v>7584</v>
      </c>
      <c r="B3119" s="92" t="s">
        <v>7585</v>
      </c>
      <c r="C3119" s="92" t="s">
        <v>7585</v>
      </c>
      <c r="D3119" s="72" t="str">
        <f>IFERROR(VLOOKUP(A3119,'[1]ST-QA-ZZ5'!$C$5:$M$299,11,0),"Inspection at production line")</f>
        <v>Inspection at production line</v>
      </c>
    </row>
    <row r="3120" spans="1:4" ht="13.8">
      <c r="A3120" s="47" t="s">
        <v>7586</v>
      </c>
      <c r="B3120" s="92" t="s">
        <v>7587</v>
      </c>
      <c r="C3120" s="92" t="s">
        <v>7588</v>
      </c>
      <c r="D3120" s="72" t="str">
        <f>IFERROR(VLOOKUP(A3120,'[1]ST-QA-ZZ5'!$C$5:$M$299,11,0),"Inspection at production line")</f>
        <v>Inspection at production line</v>
      </c>
    </row>
    <row r="3121" spans="1:4" ht="13.8">
      <c r="A3121" s="47" t="s">
        <v>7589</v>
      </c>
      <c r="B3121" s="92" t="s">
        <v>7590</v>
      </c>
      <c r="C3121" s="92" t="s">
        <v>7590</v>
      </c>
      <c r="D3121" s="72" t="str">
        <f>IFERROR(VLOOKUP(A3121,'[1]ST-QA-ZZ5'!$C$5:$M$299,11,0),"Inspection at production line")</f>
        <v>Inspection at production line</v>
      </c>
    </row>
    <row r="3122" spans="1:4" ht="13.8">
      <c r="A3122" s="47" t="s">
        <v>7591</v>
      </c>
      <c r="B3122" s="92" t="s">
        <v>7592</v>
      </c>
      <c r="C3122" s="92" t="s">
        <v>7592</v>
      </c>
      <c r="D3122" s="72" t="str">
        <f>IFERROR(VLOOKUP(A3122,'[1]ST-QA-ZZ5'!$C$5:$M$299,11,0),"Inspection at production line")</f>
        <v>Inspection at production line</v>
      </c>
    </row>
    <row r="3123" spans="1:4" ht="13.8">
      <c r="A3123" s="47" t="s">
        <v>7593</v>
      </c>
      <c r="B3123" s="92" t="s">
        <v>7594</v>
      </c>
      <c r="C3123" s="92" t="s">
        <v>7594</v>
      </c>
      <c r="D3123" s="72" t="str">
        <f>IFERROR(VLOOKUP(A3123,'[1]ST-QA-ZZ5'!$C$5:$M$299,11,0),"Inspection at production line")</f>
        <v>Inspection at production line</v>
      </c>
    </row>
    <row r="3124" spans="1:4" ht="13.8">
      <c r="A3124" s="47" t="s">
        <v>7595</v>
      </c>
      <c r="B3124" s="92" t="s">
        <v>7596</v>
      </c>
      <c r="C3124" s="92" t="s">
        <v>7596</v>
      </c>
      <c r="D3124" s="72" t="str">
        <f>IFERROR(VLOOKUP(A3124,'[1]ST-QA-ZZ5'!$C$5:$M$299,11,0),"Inspection at production line")</f>
        <v>Inspection at production line</v>
      </c>
    </row>
    <row r="3125" spans="1:4" ht="13.8">
      <c r="A3125" s="47" t="s">
        <v>7597</v>
      </c>
      <c r="B3125" s="92" t="s">
        <v>857</v>
      </c>
      <c r="C3125" s="92" t="s">
        <v>7598</v>
      </c>
      <c r="D3125" s="72" t="str">
        <f>IFERROR(VLOOKUP(A3125,'[1]ST-QA-ZZ5'!$C$5:$M$299,11,0),"Inspection at production line")</f>
        <v>Inspection at production line</v>
      </c>
    </row>
    <row r="3126" spans="1:4" ht="13.8">
      <c r="A3126" s="47" t="s">
        <v>7599</v>
      </c>
      <c r="B3126" s="92" t="s">
        <v>7600</v>
      </c>
      <c r="C3126" s="92" t="s">
        <v>7600</v>
      </c>
      <c r="D3126" s="72" t="str">
        <f>IFERROR(VLOOKUP(A3126,'[1]ST-QA-ZZ5'!$C$5:$M$299,11,0),"Inspection at production line")</f>
        <v>Inspection at production line</v>
      </c>
    </row>
    <row r="3127" spans="1:4" ht="13.8">
      <c r="A3127" s="47" t="s">
        <v>7601</v>
      </c>
      <c r="B3127" s="92" t="s">
        <v>857</v>
      </c>
      <c r="C3127" s="92" t="s">
        <v>7602</v>
      </c>
      <c r="D3127" s="72" t="str">
        <f>IFERROR(VLOOKUP(A3127,'[1]ST-QA-ZZ5'!$C$5:$M$299,11,0),"Inspection at production line")</f>
        <v>Inspection at production line</v>
      </c>
    </row>
    <row r="3128" spans="1:4" ht="13.8">
      <c r="A3128" s="47" t="s">
        <v>7603</v>
      </c>
      <c r="B3128" s="92" t="s">
        <v>857</v>
      </c>
      <c r="C3128" s="92" t="s">
        <v>7604</v>
      </c>
      <c r="D3128" s="72" t="str">
        <f>IFERROR(VLOOKUP(A3128,'[1]ST-QA-ZZ5'!$C$5:$M$299,11,0),"Inspection at production line")</f>
        <v>Inspection at production line</v>
      </c>
    </row>
    <row r="3129" spans="1:4" ht="13.8">
      <c r="A3129" s="47" t="s">
        <v>7605</v>
      </c>
      <c r="B3129" s="92" t="s">
        <v>7606</v>
      </c>
      <c r="C3129" s="92" t="s">
        <v>7606</v>
      </c>
      <c r="D3129" s="72" t="str">
        <f>IFERROR(VLOOKUP(A3129,'[1]ST-QA-ZZ5'!$C$5:$M$299,11,0),"Inspection at production line")</f>
        <v>Inspection at production line</v>
      </c>
    </row>
    <row r="3130" spans="1:4" ht="13.8">
      <c r="A3130" s="47" t="s">
        <v>7607</v>
      </c>
      <c r="B3130" s="92" t="s">
        <v>857</v>
      </c>
      <c r="C3130" s="92"/>
      <c r="D3130" s="72" t="str">
        <f>IFERROR(VLOOKUP(A3130,'[1]ST-QA-ZZ5'!$C$5:$M$299,11,0),"Inspection at production line")</f>
        <v>Inspection at production line</v>
      </c>
    </row>
    <row r="3131" spans="1:4" ht="13.8">
      <c r="A3131" s="47" t="s">
        <v>7608</v>
      </c>
      <c r="B3131" s="92" t="s">
        <v>857</v>
      </c>
      <c r="C3131" s="92" t="s">
        <v>7609</v>
      </c>
      <c r="D3131" s="72" t="str">
        <f>IFERROR(VLOOKUP(A3131,'[1]ST-QA-ZZ5'!$C$5:$M$299,11,0),"Inspection at production line")</f>
        <v>Inspection at production line</v>
      </c>
    </row>
    <row r="3132" spans="1:4" ht="13.8">
      <c r="A3132" s="47" t="s">
        <v>7610</v>
      </c>
      <c r="B3132" s="92" t="s">
        <v>857</v>
      </c>
      <c r="C3132" s="92" t="s">
        <v>7611</v>
      </c>
      <c r="D3132" s="72" t="str">
        <f>IFERROR(VLOOKUP(A3132,'[1]ST-QA-ZZ5'!$C$5:$M$299,11,0),"Inspection at production line")</f>
        <v>Inspection at production line</v>
      </c>
    </row>
    <row r="3133" spans="1:4" ht="13.8">
      <c r="A3133" s="47" t="s">
        <v>7612</v>
      </c>
      <c r="B3133" s="92" t="s">
        <v>857</v>
      </c>
      <c r="C3133" s="92" t="s">
        <v>7613</v>
      </c>
      <c r="D3133" s="72" t="str">
        <f>IFERROR(VLOOKUP(A3133,'[1]ST-QA-ZZ5'!$C$5:$M$299,11,0),"Inspection at production line")</f>
        <v>Inspection at production line</v>
      </c>
    </row>
    <row r="3134" spans="1:4" ht="13.8">
      <c r="A3134" s="47" t="s">
        <v>7614</v>
      </c>
      <c r="B3134" s="92" t="s">
        <v>857</v>
      </c>
      <c r="C3134" s="92" t="s">
        <v>7615</v>
      </c>
      <c r="D3134" s="72" t="str">
        <f>IFERROR(VLOOKUP(A3134,'[1]ST-QA-ZZ5'!$C$5:$M$299,11,0),"Inspection at production line")</f>
        <v>Inspection at production line</v>
      </c>
    </row>
    <row r="3135" spans="1:4" ht="13.8">
      <c r="A3135" s="47" t="s">
        <v>7616</v>
      </c>
      <c r="B3135" s="92" t="s">
        <v>857</v>
      </c>
      <c r="C3135" s="92" t="s">
        <v>7617</v>
      </c>
      <c r="D3135" s="72" t="str">
        <f>IFERROR(VLOOKUP(A3135,'[1]ST-QA-ZZ5'!$C$5:$M$299,11,0),"Inspection at production line")</f>
        <v>Inspection at production line</v>
      </c>
    </row>
    <row r="3136" spans="1:4" ht="13.8">
      <c r="A3136" s="47" t="s">
        <v>7618</v>
      </c>
      <c r="B3136" s="92" t="s">
        <v>857</v>
      </c>
      <c r="C3136" s="92" t="s">
        <v>7619</v>
      </c>
      <c r="D3136" s="72" t="str">
        <f>IFERROR(VLOOKUP(A3136,'[1]ST-QA-ZZ5'!$C$5:$M$299,11,0),"Inspection at production line")</f>
        <v>Inspection at production line</v>
      </c>
    </row>
    <row r="3137" spans="1:4" ht="13.8">
      <c r="A3137" s="47" t="s">
        <v>7620</v>
      </c>
      <c r="B3137" s="92" t="s">
        <v>7621</v>
      </c>
      <c r="C3137" s="92" t="s">
        <v>7621</v>
      </c>
      <c r="D3137" s="72" t="str">
        <f>IFERROR(VLOOKUP(A3137,'[1]ST-QA-ZZ5'!$C$5:$M$299,11,0),"Inspection at production line")</f>
        <v>Inspection at production line</v>
      </c>
    </row>
    <row r="3138" spans="1:4" ht="13.8">
      <c r="A3138" s="47" t="s">
        <v>7622</v>
      </c>
      <c r="B3138" s="92" t="s">
        <v>7623</v>
      </c>
      <c r="C3138" s="92" t="s">
        <v>7623</v>
      </c>
      <c r="D3138" s="72" t="str">
        <f>IFERROR(VLOOKUP(A3138,'[1]ST-QA-ZZ5'!$C$5:$M$299,11,0),"Inspection at production line")</f>
        <v>Inspection at production line</v>
      </c>
    </row>
    <row r="3139" spans="1:4" ht="13.8">
      <c r="A3139" s="47" t="s">
        <v>7624</v>
      </c>
      <c r="B3139" s="92" t="s">
        <v>7625</v>
      </c>
      <c r="C3139" s="92" t="s">
        <v>7625</v>
      </c>
      <c r="D3139" s="72" t="str">
        <f>IFERROR(VLOOKUP(A3139,'[1]ST-QA-ZZ5'!$C$5:$M$299,11,0),"Inspection at production line")</f>
        <v>Inspection at production line</v>
      </c>
    </row>
    <row r="3140" spans="1:4" ht="13.8">
      <c r="A3140" s="47" t="s">
        <v>7626</v>
      </c>
      <c r="B3140" s="92" t="s">
        <v>7627</v>
      </c>
      <c r="C3140" s="92" t="s">
        <v>7627</v>
      </c>
      <c r="D3140" s="72" t="str">
        <f>IFERROR(VLOOKUP(A3140,'[1]ST-QA-ZZ5'!$C$5:$M$299,11,0),"Inspection at production line")</f>
        <v>Inspection at production line</v>
      </c>
    </row>
    <row r="3141" spans="1:4" ht="13.8">
      <c r="A3141" s="47" t="s">
        <v>7628</v>
      </c>
      <c r="B3141" s="92" t="s">
        <v>7629</v>
      </c>
      <c r="C3141" s="92" t="s">
        <v>7629</v>
      </c>
      <c r="D3141" s="72" t="str">
        <f>IFERROR(VLOOKUP(A3141,'[1]ST-QA-ZZ5'!$C$5:$M$299,11,0),"Inspection at production line")</f>
        <v>Inspection at production line</v>
      </c>
    </row>
    <row r="3142" spans="1:4" ht="13.8">
      <c r="A3142" s="47" t="s">
        <v>7630</v>
      </c>
      <c r="B3142" s="92" t="s">
        <v>7631</v>
      </c>
      <c r="C3142" s="92" t="s">
        <v>7631</v>
      </c>
      <c r="D3142" s="72" t="str">
        <f>IFERROR(VLOOKUP(A3142,'[1]ST-QA-ZZ5'!$C$5:$M$299,11,0),"Inspection at production line")</f>
        <v>Inspection at production line</v>
      </c>
    </row>
    <row r="3143" spans="1:4" ht="13.8">
      <c r="A3143" s="47" t="s">
        <v>7632</v>
      </c>
      <c r="B3143" s="92" t="s">
        <v>857</v>
      </c>
      <c r="C3143" s="92" t="s">
        <v>7633</v>
      </c>
      <c r="D3143" s="72" t="str">
        <f>IFERROR(VLOOKUP(A3143,'[1]ST-QA-ZZ5'!$C$5:$M$299,11,0),"Inspection at production line")</f>
        <v>Inspection at production line</v>
      </c>
    </row>
    <row r="3144" spans="1:4" ht="13.8">
      <c r="A3144" s="47" t="s">
        <v>7634</v>
      </c>
      <c r="B3144" s="92" t="s">
        <v>857</v>
      </c>
      <c r="C3144" s="92" t="s">
        <v>7635</v>
      </c>
      <c r="D3144" s="72" t="str">
        <f>IFERROR(VLOOKUP(A3144,'[1]ST-QA-ZZ5'!$C$5:$M$299,11,0),"Inspection at production line")</f>
        <v>Inspection at production line</v>
      </c>
    </row>
    <row r="3145" spans="1:4" ht="13.8">
      <c r="A3145" s="47" t="s">
        <v>7636</v>
      </c>
      <c r="B3145" s="92" t="s">
        <v>1158</v>
      </c>
      <c r="C3145" s="92" t="s">
        <v>7637</v>
      </c>
      <c r="D3145" s="72" t="str">
        <f>IFERROR(VLOOKUP(A3145,'[1]ST-QA-ZZ5'!$C$5:$M$299,11,0),"Inspection at production line")</f>
        <v>Inspection at production line</v>
      </c>
    </row>
    <row r="3146" spans="1:4" ht="13.8">
      <c r="A3146" s="47" t="s">
        <v>7638</v>
      </c>
      <c r="B3146" s="92" t="s">
        <v>4720</v>
      </c>
      <c r="C3146" s="92" t="s">
        <v>7639</v>
      </c>
      <c r="D3146" s="72" t="str">
        <f>IFERROR(VLOOKUP(A3146,'[1]ST-QA-ZZ5'!$C$5:$M$299,11,0),"Inspection at production line")</f>
        <v>Inspection at production line</v>
      </c>
    </row>
    <row r="3147" spans="1:4" ht="13.8">
      <c r="A3147" s="47" t="s">
        <v>7640</v>
      </c>
      <c r="B3147" s="92" t="s">
        <v>1158</v>
      </c>
      <c r="C3147" s="92" t="s">
        <v>7641</v>
      </c>
      <c r="D3147" s="72" t="str">
        <f>IFERROR(VLOOKUP(A3147,'[1]ST-QA-ZZ5'!$C$5:$M$299,11,0),"Inspection at production line")</f>
        <v>Inspection at production line</v>
      </c>
    </row>
    <row r="3148" spans="1:4" ht="13.8">
      <c r="A3148" s="47" t="s">
        <v>7642</v>
      </c>
      <c r="B3148" s="92" t="s">
        <v>1257</v>
      </c>
      <c r="C3148" s="92" t="s">
        <v>7643</v>
      </c>
      <c r="D3148" s="72" t="str">
        <f>IFERROR(VLOOKUP(A3148,'[1]ST-QA-ZZ5'!$C$5:$M$299,11,0),"Inspection at production line")</f>
        <v>Inspection at production line</v>
      </c>
    </row>
    <row r="3149" spans="1:4" ht="13.8">
      <c r="A3149" s="47" t="s">
        <v>7644</v>
      </c>
      <c r="B3149" s="92" t="s">
        <v>2566</v>
      </c>
      <c r="C3149" s="92" t="s">
        <v>7645</v>
      </c>
      <c r="D3149" s="72" t="str">
        <f>IFERROR(VLOOKUP(A3149,'[1]ST-QA-ZZ5'!$C$5:$M$299,11,0),"Inspection at production line")</f>
        <v>Inspection at production line</v>
      </c>
    </row>
    <row r="3150" spans="1:4" ht="13.8">
      <c r="A3150" s="47" t="s">
        <v>7646</v>
      </c>
      <c r="B3150" s="92" t="s">
        <v>2566</v>
      </c>
      <c r="C3150" s="92" t="s">
        <v>7647</v>
      </c>
      <c r="D3150" s="72" t="str">
        <f>IFERROR(VLOOKUP(A3150,'[1]ST-QA-ZZ5'!$C$5:$M$299,11,0),"Inspection at production line")</f>
        <v>Inspection at production line</v>
      </c>
    </row>
    <row r="3151" spans="1:4" ht="13.8">
      <c r="A3151" s="47" t="s">
        <v>7648</v>
      </c>
      <c r="B3151" s="92" t="s">
        <v>2566</v>
      </c>
      <c r="C3151" s="92" t="s">
        <v>7647</v>
      </c>
      <c r="D3151" s="72" t="str">
        <f>IFERROR(VLOOKUP(A3151,'[1]ST-QA-ZZ5'!$C$5:$M$299,11,0),"Inspection at production line")</f>
        <v>Sampling check</v>
      </c>
    </row>
    <row r="3152" spans="1:4" ht="13.8">
      <c r="A3152" s="47" t="s">
        <v>5005</v>
      </c>
      <c r="B3152" s="92" t="s">
        <v>5006</v>
      </c>
      <c r="C3152" s="92" t="s">
        <v>7649</v>
      </c>
      <c r="D3152" s="72" t="str">
        <f>IFERROR(VLOOKUP(A3152,'[1]ST-QA-ZZ5'!$C$5:$M$299,11,0),"Inspection at production line")</f>
        <v>Inspection at production line</v>
      </c>
    </row>
    <row r="3153" spans="1:4" ht="13.8">
      <c r="A3153" s="47" t="s">
        <v>7650</v>
      </c>
      <c r="B3153" s="92" t="s">
        <v>5006</v>
      </c>
      <c r="C3153" s="92" t="s">
        <v>7651</v>
      </c>
      <c r="D3153" s="72" t="str">
        <f>IFERROR(VLOOKUP(A3153,'[1]ST-QA-ZZ5'!$C$5:$M$299,11,0),"Inspection at production line")</f>
        <v>Inspection at production line</v>
      </c>
    </row>
    <row r="3154" spans="1:4" ht="13.8">
      <c r="A3154" s="47" t="s">
        <v>7652</v>
      </c>
      <c r="B3154" s="92" t="s">
        <v>5006</v>
      </c>
      <c r="C3154" s="92" t="s">
        <v>7651</v>
      </c>
      <c r="D3154" s="72" t="str">
        <f>IFERROR(VLOOKUP(A3154,'[1]ST-QA-ZZ5'!$C$5:$M$299,11,0),"Inspection at production line")</f>
        <v>Sampling check</v>
      </c>
    </row>
    <row r="3155" spans="1:4" ht="13.8">
      <c r="A3155" s="47" t="s">
        <v>7653</v>
      </c>
      <c r="B3155" s="92" t="s">
        <v>961</v>
      </c>
      <c r="C3155" s="92" t="s">
        <v>7654</v>
      </c>
      <c r="D3155" s="72" t="str">
        <f>IFERROR(VLOOKUP(A3155,'[1]ST-QA-ZZ5'!$C$5:$M$299,11,0),"Inspection at production line")</f>
        <v>Inspection at production line</v>
      </c>
    </row>
    <row r="3156" spans="1:4" ht="13.8">
      <c r="A3156" s="47" t="s">
        <v>7655</v>
      </c>
      <c r="B3156" s="92" t="s">
        <v>961</v>
      </c>
      <c r="C3156" s="92" t="s">
        <v>5177</v>
      </c>
      <c r="D3156" s="72" t="str">
        <f>IFERROR(VLOOKUP(A3156,'[1]ST-QA-ZZ5'!$C$5:$M$299,11,0),"Inspection at production line")</f>
        <v>Inspection at production line</v>
      </c>
    </row>
    <row r="3157" spans="1:4" ht="13.8">
      <c r="A3157" s="47" t="s">
        <v>5176</v>
      </c>
      <c r="B3157" s="92" t="s">
        <v>961</v>
      </c>
      <c r="C3157" s="92" t="s">
        <v>5177</v>
      </c>
      <c r="D3157" s="72" t="str">
        <f>IFERROR(VLOOKUP(A3157,'[1]ST-QA-ZZ5'!$C$5:$M$299,11,0),"Inspection at production line")</f>
        <v>Sampling check</v>
      </c>
    </row>
    <row r="3158" spans="1:4" ht="13.8">
      <c r="A3158" s="47" t="s">
        <v>4990</v>
      </c>
      <c r="B3158" s="92" t="s">
        <v>4949</v>
      </c>
      <c r="C3158" s="92" t="s">
        <v>7656</v>
      </c>
      <c r="D3158" s="72" t="str">
        <f>IFERROR(VLOOKUP(A3158,'[1]ST-QA-ZZ5'!$C$5:$M$299,11,0),"Inspection at production line")</f>
        <v>Inspection at production line</v>
      </c>
    </row>
    <row r="3159" spans="1:4" ht="13.8">
      <c r="A3159" s="47" t="s">
        <v>7657</v>
      </c>
      <c r="B3159" s="92" t="s">
        <v>4949</v>
      </c>
      <c r="C3159" s="92" t="s">
        <v>5138</v>
      </c>
      <c r="D3159" s="72" t="str">
        <f>IFERROR(VLOOKUP(A3159,'[1]ST-QA-ZZ5'!$C$5:$M$299,11,0),"Inspection at production line")</f>
        <v>Inspection at production line</v>
      </c>
    </row>
    <row r="3160" spans="1:4" ht="13.8">
      <c r="A3160" s="47" t="s">
        <v>5137</v>
      </c>
      <c r="B3160" s="92" t="s">
        <v>4949</v>
      </c>
      <c r="C3160" s="92" t="s">
        <v>5138</v>
      </c>
      <c r="D3160" s="72" t="str">
        <f>IFERROR(VLOOKUP(A3160,'[1]ST-QA-ZZ5'!$C$5:$M$299,11,0),"Inspection at production line")</f>
        <v>Sampling check</v>
      </c>
    </row>
    <row r="3161" spans="1:4" ht="13.8">
      <c r="A3161" s="47" t="s">
        <v>7658</v>
      </c>
      <c r="B3161" s="92" t="s">
        <v>2546</v>
      </c>
      <c r="C3161" s="92" t="s">
        <v>7659</v>
      </c>
      <c r="D3161" s="72" t="str">
        <f>IFERROR(VLOOKUP(A3161,'[1]ST-QA-ZZ5'!$C$5:$M$299,11,0),"Inspection at production line")</f>
        <v>Inspection at production line</v>
      </c>
    </row>
    <row r="3162" spans="1:4" ht="13.8">
      <c r="A3162" s="47" t="s">
        <v>7660</v>
      </c>
      <c r="B3162" s="92" t="s">
        <v>2546</v>
      </c>
      <c r="C3162" s="92" t="s">
        <v>7661</v>
      </c>
      <c r="D3162" s="72" t="str">
        <f>IFERROR(VLOOKUP(A3162,'[1]ST-QA-ZZ5'!$C$5:$M$299,11,0),"Inspection at production line")</f>
        <v>Inspection at production line</v>
      </c>
    </row>
    <row r="3163" spans="1:4" ht="13.8">
      <c r="A3163" s="47" t="s">
        <v>7662</v>
      </c>
      <c r="B3163" s="92" t="s">
        <v>2546</v>
      </c>
      <c r="C3163" s="92" t="s">
        <v>7661</v>
      </c>
      <c r="D3163" s="72" t="str">
        <f>IFERROR(VLOOKUP(A3163,'[1]ST-QA-ZZ5'!$C$5:$M$299,11,0),"Inspection at production line")</f>
        <v>Sampling check</v>
      </c>
    </row>
    <row r="3164" spans="1:4" ht="13.8">
      <c r="A3164" s="47" t="s">
        <v>5020</v>
      </c>
      <c r="B3164" s="92" t="s">
        <v>946</v>
      </c>
      <c r="C3164" s="92" t="s">
        <v>5021</v>
      </c>
      <c r="D3164" s="72" t="str">
        <f>IFERROR(VLOOKUP(A3164,'[1]ST-QA-ZZ5'!$C$5:$M$299,11,0),"Inspection at production line")</f>
        <v>Inspection at production line</v>
      </c>
    </row>
    <row r="3165" spans="1:4" ht="13.8">
      <c r="A3165" s="47" t="s">
        <v>7663</v>
      </c>
      <c r="B3165" s="92" t="s">
        <v>946</v>
      </c>
      <c r="C3165" s="92" t="s">
        <v>5174</v>
      </c>
      <c r="D3165" s="72" t="str">
        <f>IFERROR(VLOOKUP(A3165,'[1]ST-QA-ZZ5'!$C$5:$M$299,11,0),"Inspection at production line")</f>
        <v>Inspection at production line</v>
      </c>
    </row>
    <row r="3166" spans="1:4" ht="13.8">
      <c r="A3166" s="47" t="s">
        <v>5173</v>
      </c>
      <c r="B3166" s="92" t="s">
        <v>946</v>
      </c>
      <c r="C3166" s="92" t="s">
        <v>5174</v>
      </c>
      <c r="D3166" s="72" t="str">
        <f>IFERROR(VLOOKUP(A3166,'[1]ST-QA-ZZ5'!$C$5:$M$299,11,0),"Inspection at production line")</f>
        <v>Sampling check</v>
      </c>
    </row>
    <row r="3167" spans="1:4" ht="13.8">
      <c r="A3167" s="47" t="s">
        <v>5073</v>
      </c>
      <c r="B3167" s="92" t="s">
        <v>3564</v>
      </c>
      <c r="C3167" s="92" t="s">
        <v>5074</v>
      </c>
      <c r="D3167" s="72" t="str">
        <f>IFERROR(VLOOKUP(A3167,'[1]ST-QA-ZZ5'!$C$5:$M$299,11,0),"Inspection at production line")</f>
        <v>Inspection at production line</v>
      </c>
    </row>
    <row r="3168" spans="1:4" ht="13.8">
      <c r="A3168" s="47" t="s">
        <v>7664</v>
      </c>
      <c r="B3168" s="92" t="s">
        <v>3564</v>
      </c>
      <c r="C3168" s="92" t="s">
        <v>5202</v>
      </c>
      <c r="D3168" s="72" t="str">
        <f>IFERROR(VLOOKUP(A3168,'[1]ST-QA-ZZ5'!$C$5:$M$299,11,0),"Inspection at production line")</f>
        <v>Inspection at production line</v>
      </c>
    </row>
    <row r="3169" spans="1:4" ht="13.8">
      <c r="A3169" s="47" t="s">
        <v>5201</v>
      </c>
      <c r="B3169" s="92" t="s">
        <v>3564</v>
      </c>
      <c r="C3169" s="92" t="s">
        <v>5202</v>
      </c>
      <c r="D3169" s="72" t="str">
        <f>IFERROR(VLOOKUP(A3169,'[1]ST-QA-ZZ5'!$C$5:$M$299,11,0),"Inspection at production line")</f>
        <v>Sampling check</v>
      </c>
    </row>
    <row r="3170" spans="1:4" ht="13.8">
      <c r="A3170" s="47" t="s">
        <v>7665</v>
      </c>
      <c r="B3170" s="92" t="s">
        <v>949</v>
      </c>
      <c r="C3170" s="92" t="s">
        <v>7666</v>
      </c>
      <c r="D3170" s="72" t="str">
        <f>IFERROR(VLOOKUP(A3170,'[1]ST-QA-ZZ5'!$C$5:$M$299,11,0),"Inspection at production line")</f>
        <v>Inspection at production line</v>
      </c>
    </row>
    <row r="3171" spans="1:4" ht="13.8">
      <c r="A3171" s="47" t="s">
        <v>7667</v>
      </c>
      <c r="B3171" s="92" t="s">
        <v>949</v>
      </c>
      <c r="C3171" s="92" t="s">
        <v>7668</v>
      </c>
      <c r="D3171" s="72" t="str">
        <f>IFERROR(VLOOKUP(A3171,'[1]ST-QA-ZZ5'!$C$5:$M$299,11,0),"Inspection at production line")</f>
        <v>Inspection at production line</v>
      </c>
    </row>
    <row r="3172" spans="1:4" ht="13.8">
      <c r="A3172" s="47" t="s">
        <v>7669</v>
      </c>
      <c r="B3172" s="92" t="s">
        <v>3543</v>
      </c>
      <c r="C3172" s="92" t="s">
        <v>7670</v>
      </c>
      <c r="D3172" s="72" t="str">
        <f>IFERROR(VLOOKUP(A3172,'[1]ST-QA-ZZ5'!$C$5:$M$299,11,0),"Inspection at production line")</f>
        <v>Inspection at production line</v>
      </c>
    </row>
    <row r="3173" spans="1:4" ht="13.8">
      <c r="A3173" s="47" t="s">
        <v>7671</v>
      </c>
      <c r="B3173" s="92" t="s">
        <v>3543</v>
      </c>
      <c r="C3173" s="92" t="s">
        <v>7672</v>
      </c>
      <c r="D3173" s="72" t="str">
        <f>IFERROR(VLOOKUP(A3173,'[1]ST-QA-ZZ5'!$C$5:$M$299,11,0),"Inspection at production line")</f>
        <v>Inspection at production line</v>
      </c>
    </row>
    <row r="3174" spans="1:4" ht="13.8">
      <c r="A3174" s="47" t="s">
        <v>7673</v>
      </c>
      <c r="B3174" s="92" t="s">
        <v>3543</v>
      </c>
      <c r="C3174" s="92" t="s">
        <v>7672</v>
      </c>
      <c r="D3174" s="72" t="str">
        <f>IFERROR(VLOOKUP(A3174,'[1]ST-QA-ZZ5'!$C$5:$M$299,11,0),"Inspection at production line")</f>
        <v>Sampling check</v>
      </c>
    </row>
    <row r="3175" spans="1:4" ht="13.8">
      <c r="A3175" s="47" t="s">
        <v>7674</v>
      </c>
      <c r="B3175" s="92" t="s">
        <v>1177</v>
      </c>
      <c r="C3175" s="92" t="s">
        <v>7675</v>
      </c>
      <c r="D3175" s="72" t="str">
        <f>IFERROR(VLOOKUP(A3175,'[1]ST-QA-ZZ5'!$C$5:$M$299,11,0),"Inspection at production line")</f>
        <v>Inspection at production line</v>
      </c>
    </row>
    <row r="3176" spans="1:4" ht="13.8">
      <c r="A3176" s="47" t="s">
        <v>7676</v>
      </c>
      <c r="B3176" s="92" t="s">
        <v>1177</v>
      </c>
      <c r="C3176" s="92" t="s">
        <v>7677</v>
      </c>
      <c r="D3176" s="72" t="str">
        <f>IFERROR(VLOOKUP(A3176,'[1]ST-QA-ZZ5'!$C$5:$M$299,11,0),"Inspection at production line")</f>
        <v>Inspection at production line</v>
      </c>
    </row>
    <row r="3177" spans="1:4" ht="13.8">
      <c r="A3177" s="47" t="s">
        <v>7678</v>
      </c>
      <c r="B3177" s="92" t="s">
        <v>1177</v>
      </c>
      <c r="C3177" s="92" t="s">
        <v>7677</v>
      </c>
      <c r="D3177" s="72" t="str">
        <f>IFERROR(VLOOKUP(A3177,'[1]ST-QA-ZZ5'!$C$5:$M$299,11,0),"Inspection at production line")</f>
        <v>Sampling check</v>
      </c>
    </row>
    <row r="3178" spans="1:4" ht="13.8">
      <c r="A3178" s="47" t="s">
        <v>7679</v>
      </c>
      <c r="B3178" s="92" t="s">
        <v>3454</v>
      </c>
      <c r="C3178" s="92" t="s">
        <v>7680</v>
      </c>
      <c r="D3178" s="72" t="str">
        <f>IFERROR(VLOOKUP(A3178,'[1]ST-QA-ZZ5'!$C$5:$M$299,11,0),"Inspection at production line")</f>
        <v>Inspection at production line</v>
      </c>
    </row>
    <row r="3179" spans="1:4" ht="13.8">
      <c r="A3179" s="47" t="s">
        <v>7681</v>
      </c>
      <c r="B3179" s="92" t="s">
        <v>3454</v>
      </c>
      <c r="C3179" s="92" t="s">
        <v>7682</v>
      </c>
      <c r="D3179" s="72" t="str">
        <f>IFERROR(VLOOKUP(A3179,'[1]ST-QA-ZZ5'!$C$5:$M$299,11,0),"Inspection at production line")</f>
        <v>Inspection at production line</v>
      </c>
    </row>
    <row r="3180" spans="1:4" ht="13.8">
      <c r="A3180" s="47" t="s">
        <v>7683</v>
      </c>
      <c r="B3180" s="92" t="s">
        <v>3454</v>
      </c>
      <c r="C3180" s="92" t="s">
        <v>7682</v>
      </c>
      <c r="D3180" s="72" t="str">
        <f>IFERROR(VLOOKUP(A3180,'[1]ST-QA-ZZ5'!$C$5:$M$299,11,0),"Inspection at production line")</f>
        <v>Sampling check</v>
      </c>
    </row>
    <row r="3181" spans="1:4" ht="13.8">
      <c r="A3181" s="47" t="s">
        <v>5002</v>
      </c>
      <c r="B3181" s="92" t="s">
        <v>1177</v>
      </c>
      <c r="C3181" s="92" t="s">
        <v>7684</v>
      </c>
      <c r="D3181" s="72" t="str">
        <f>IFERROR(VLOOKUP(A3181,'[1]ST-QA-ZZ5'!$C$5:$M$299,11,0),"Inspection at production line")</f>
        <v>Inspection at production line</v>
      </c>
    </row>
    <row r="3182" spans="1:4" ht="13.8">
      <c r="A3182" s="47" t="s">
        <v>7685</v>
      </c>
      <c r="B3182" s="92" t="s">
        <v>1177</v>
      </c>
      <c r="C3182" s="92" t="s">
        <v>7686</v>
      </c>
      <c r="D3182" s="72" t="str">
        <f>IFERROR(VLOOKUP(A3182,'[1]ST-QA-ZZ5'!$C$5:$M$299,11,0),"Inspection at production line")</f>
        <v>Inspection at production line</v>
      </c>
    </row>
    <row r="3183" spans="1:4" ht="13.8">
      <c r="A3183" s="47" t="s">
        <v>5142</v>
      </c>
      <c r="B3183" s="92" t="s">
        <v>1177</v>
      </c>
      <c r="C3183" s="92" t="s">
        <v>5143</v>
      </c>
      <c r="D3183" s="72" t="str">
        <f>IFERROR(VLOOKUP(A3183,'[1]ST-QA-ZZ5'!$C$5:$M$299,11,0),"Inspection at production line")</f>
        <v>Sampling check</v>
      </c>
    </row>
    <row r="3184" spans="1:4" ht="13.8">
      <c r="A3184" s="47" t="s">
        <v>7687</v>
      </c>
      <c r="B3184" s="92" t="s">
        <v>857</v>
      </c>
      <c r="C3184" s="92" t="s">
        <v>7688</v>
      </c>
      <c r="D3184" s="72" t="str">
        <f>IFERROR(VLOOKUP(A3184,'[1]ST-QA-ZZ5'!$C$5:$M$299,11,0),"Inspection at production line")</f>
        <v>Inspection at production line</v>
      </c>
    </row>
    <row r="3185" spans="1:4" ht="13.8">
      <c r="A3185" s="47" t="s">
        <v>7689</v>
      </c>
      <c r="B3185" s="92" t="s">
        <v>2511</v>
      </c>
      <c r="C3185" s="92" t="s">
        <v>7690</v>
      </c>
      <c r="D3185" s="72" t="str">
        <f>IFERROR(VLOOKUP(A3185,'[1]ST-QA-ZZ5'!$C$5:$M$299,11,0),"Inspection at production line")</f>
        <v>Inspection at production line</v>
      </c>
    </row>
    <row r="3186" spans="1:4" ht="13.8">
      <c r="A3186" s="47" t="s">
        <v>7691</v>
      </c>
      <c r="B3186" s="92" t="s">
        <v>2511</v>
      </c>
      <c r="C3186" s="92" t="s">
        <v>7690</v>
      </c>
      <c r="D3186" s="72" t="str">
        <f>IFERROR(VLOOKUP(A3186,'[1]ST-QA-ZZ5'!$C$5:$M$299,11,0),"Inspection at production line")</f>
        <v>Inspection at production line</v>
      </c>
    </row>
    <row r="3187" spans="1:4" ht="13.8">
      <c r="A3187" s="47" t="s">
        <v>7692</v>
      </c>
      <c r="B3187" s="92" t="s">
        <v>857</v>
      </c>
      <c r="C3187" s="92" t="s">
        <v>7693</v>
      </c>
      <c r="D3187" s="72" t="str">
        <f>IFERROR(VLOOKUP(A3187,'[1]ST-QA-ZZ5'!$C$5:$M$299,11,0),"Inspection at production line")</f>
        <v>Inspection at production line</v>
      </c>
    </row>
    <row r="3188" spans="1:4" ht="13.8">
      <c r="A3188" s="47" t="s">
        <v>7694</v>
      </c>
      <c r="B3188" s="92" t="s">
        <v>119</v>
      </c>
      <c r="C3188" s="92" t="s">
        <v>7695</v>
      </c>
      <c r="D3188" s="72" t="str">
        <f>IFERROR(VLOOKUP(A3188,'[1]ST-QA-ZZ5'!$C$5:$M$299,11,0),"Inspection at production line")</f>
        <v>Inspection at production line</v>
      </c>
    </row>
    <row r="3189" spans="1:4" ht="13.8">
      <c r="A3189" s="47" t="s">
        <v>7696</v>
      </c>
      <c r="B3189" s="92" t="s">
        <v>119</v>
      </c>
      <c r="C3189" s="92" t="s">
        <v>7695</v>
      </c>
      <c r="D3189" s="72" t="str">
        <f>IFERROR(VLOOKUP(A3189,'[1]ST-QA-ZZ5'!$C$5:$M$299,11,0),"Inspection at production line")</f>
        <v>Inspection at production line</v>
      </c>
    </row>
    <row r="3190" spans="1:4" ht="13.8">
      <c r="A3190" s="47" t="s">
        <v>7697</v>
      </c>
      <c r="B3190" s="92" t="s">
        <v>3612</v>
      </c>
      <c r="C3190" s="92" t="s">
        <v>7698</v>
      </c>
      <c r="D3190" s="72" t="str">
        <f>IFERROR(VLOOKUP(A3190,'[1]ST-QA-ZZ5'!$C$5:$M$299,11,0),"Inspection at production line")</f>
        <v>Inspection at production line</v>
      </c>
    </row>
    <row r="3191" spans="1:4" ht="13.8">
      <c r="A3191" s="47" t="s">
        <v>7699</v>
      </c>
      <c r="B3191" s="92" t="s">
        <v>3612</v>
      </c>
      <c r="C3191" s="92" t="s">
        <v>7700</v>
      </c>
      <c r="D3191" s="72" t="str">
        <f>IFERROR(VLOOKUP(A3191,'[1]ST-QA-ZZ5'!$C$5:$M$299,11,0),"Inspection at production line")</f>
        <v>Inspection at production line</v>
      </c>
    </row>
    <row r="3192" spans="1:4" ht="13.8">
      <c r="A3192" s="47" t="s">
        <v>7701</v>
      </c>
      <c r="B3192" s="92" t="s">
        <v>3612</v>
      </c>
      <c r="C3192" s="92" t="s">
        <v>7700</v>
      </c>
      <c r="D3192" s="72" t="str">
        <f>IFERROR(VLOOKUP(A3192,'[1]ST-QA-ZZ5'!$C$5:$M$299,11,0),"Inspection at production line")</f>
        <v>Inspection at production line</v>
      </c>
    </row>
    <row r="3193" spans="1:4" ht="13.8">
      <c r="A3193" s="47" t="s">
        <v>7702</v>
      </c>
      <c r="B3193" s="92" t="s">
        <v>3612</v>
      </c>
      <c r="C3193" s="92" t="s">
        <v>7703</v>
      </c>
      <c r="D3193" s="72" t="str">
        <f>IFERROR(VLOOKUP(A3193,'[1]ST-QA-ZZ5'!$C$5:$M$299,11,0),"Inspection at production line")</f>
        <v>Inspection at production line</v>
      </c>
    </row>
    <row r="3194" spans="1:4" ht="13.8">
      <c r="A3194" s="47" t="s">
        <v>7704</v>
      </c>
      <c r="B3194" s="92" t="s">
        <v>3612</v>
      </c>
      <c r="C3194" s="92" t="s">
        <v>7705</v>
      </c>
      <c r="D3194" s="72" t="str">
        <f>IFERROR(VLOOKUP(A3194,'[1]ST-QA-ZZ5'!$C$5:$M$299,11,0),"Inspection at production line")</f>
        <v>Inspection at production line</v>
      </c>
    </row>
    <row r="3195" spans="1:4" ht="13.8">
      <c r="A3195" s="47" t="s">
        <v>796</v>
      </c>
      <c r="B3195" s="92" t="s">
        <v>797</v>
      </c>
      <c r="C3195" s="92" t="s">
        <v>7706</v>
      </c>
      <c r="D3195" s="72" t="str">
        <f>IFERROR(VLOOKUP(A3195,'[1]ST-QA-ZZ5'!$C$5:$M$299,11,0),"Inspection at production line")</f>
        <v>Inspection at production line</v>
      </c>
    </row>
    <row r="3196" spans="1:4" ht="13.8">
      <c r="A3196" s="47" t="s">
        <v>7707</v>
      </c>
      <c r="B3196" s="92" t="s">
        <v>946</v>
      </c>
      <c r="C3196" s="92" t="s">
        <v>7708</v>
      </c>
      <c r="D3196" s="72" t="str">
        <f>IFERROR(VLOOKUP(A3196,'[1]ST-QA-ZZ5'!$C$5:$M$299,11,0),"Inspection at production line")</f>
        <v>Inspection at production line</v>
      </c>
    </row>
    <row r="3197" spans="1:4" ht="13.8">
      <c r="A3197" s="47" t="s">
        <v>7709</v>
      </c>
      <c r="B3197" s="92" t="s">
        <v>946</v>
      </c>
      <c r="C3197" s="92" t="s">
        <v>7710</v>
      </c>
      <c r="D3197" s="72" t="str">
        <f>IFERROR(VLOOKUP(A3197,'[1]ST-QA-ZZ5'!$C$5:$M$299,11,0),"Inspection at production line")</f>
        <v>Inspection at production line</v>
      </c>
    </row>
    <row r="3198" spans="1:4" ht="13.8">
      <c r="A3198" s="47" t="s">
        <v>7711</v>
      </c>
      <c r="B3198" s="92" t="s">
        <v>946</v>
      </c>
      <c r="C3198" s="92" t="s">
        <v>7710</v>
      </c>
      <c r="D3198" s="72" t="str">
        <f>IFERROR(VLOOKUP(A3198,'[1]ST-QA-ZZ5'!$C$5:$M$299,11,0),"Inspection at production line")</f>
        <v>Inspection at production line</v>
      </c>
    </row>
    <row r="3199" spans="1:4" ht="13.8">
      <c r="A3199" s="47" t="s">
        <v>7712</v>
      </c>
      <c r="B3199" s="92" t="s">
        <v>1472</v>
      </c>
      <c r="C3199" s="92" t="s">
        <v>7713</v>
      </c>
      <c r="D3199" s="72" t="str">
        <f>IFERROR(VLOOKUP(A3199,'[1]ST-QA-ZZ5'!$C$5:$M$299,11,0),"Inspection at production line")</f>
        <v>Inspection at production line</v>
      </c>
    </row>
    <row r="3200" spans="1:4" ht="13.8">
      <c r="A3200" s="47" t="s">
        <v>7714</v>
      </c>
      <c r="B3200" s="92" t="s">
        <v>1472</v>
      </c>
      <c r="C3200" s="92" t="s">
        <v>7713</v>
      </c>
      <c r="D3200" s="72" t="str">
        <f>IFERROR(VLOOKUP(A3200,'[1]ST-QA-ZZ5'!$C$5:$M$299,11,0),"Inspection at production line")</f>
        <v>Inspection at production line</v>
      </c>
    </row>
    <row r="3201" spans="1:4" ht="13.8">
      <c r="A3201" s="47" t="s">
        <v>7715</v>
      </c>
      <c r="B3201" s="92" t="s">
        <v>4419</v>
      </c>
      <c r="C3201" s="92" t="s">
        <v>7716</v>
      </c>
      <c r="D3201" s="72" t="str">
        <f>IFERROR(VLOOKUP(A3201,'[1]ST-QA-ZZ5'!$C$5:$M$299,11,0),"Inspection at production line")</f>
        <v>Inspection at production line</v>
      </c>
    </row>
    <row r="3202" spans="1:4" ht="13.8">
      <c r="A3202" s="47" t="s">
        <v>7717</v>
      </c>
      <c r="B3202" s="92" t="s">
        <v>4419</v>
      </c>
      <c r="C3202" s="92" t="s">
        <v>7716</v>
      </c>
      <c r="D3202" s="72" t="str">
        <f>IFERROR(VLOOKUP(A3202,'[1]ST-QA-ZZ5'!$C$5:$M$299,11,0),"Inspection at production line")</f>
        <v>Inspection at production line</v>
      </c>
    </row>
    <row r="3203" spans="1:4" ht="13.8">
      <c r="A3203" s="47" t="s">
        <v>7718</v>
      </c>
      <c r="B3203" s="92" t="s">
        <v>4949</v>
      </c>
      <c r="C3203" s="92" t="s">
        <v>7719</v>
      </c>
      <c r="D3203" s="72" t="str">
        <f>IFERROR(VLOOKUP(A3203,'[1]ST-QA-ZZ5'!$C$5:$M$299,11,0),"Inspection at production line")</f>
        <v>Inspection at production line</v>
      </c>
    </row>
    <row r="3204" spans="1:4" ht="13.8">
      <c r="A3204" s="47" t="s">
        <v>4948</v>
      </c>
      <c r="B3204" s="92" t="s">
        <v>4949</v>
      </c>
      <c r="C3204" s="92" t="s">
        <v>7720</v>
      </c>
      <c r="D3204" s="72" t="str">
        <f>IFERROR(VLOOKUP(A3204,'[1]ST-QA-ZZ5'!$C$5:$M$299,11,0),"Inspection at production line")</f>
        <v>Inspection at production line</v>
      </c>
    </row>
    <row r="3205" spans="1:4" ht="13.8">
      <c r="A3205" s="47" t="s">
        <v>7721</v>
      </c>
      <c r="B3205" s="92" t="s">
        <v>905</v>
      </c>
      <c r="C3205" s="92" t="s">
        <v>4954</v>
      </c>
      <c r="D3205" s="72" t="str">
        <f>IFERROR(VLOOKUP(A3205,'[1]ST-QA-ZZ5'!$C$5:$M$299,11,0),"Inspection at production line")</f>
        <v>Inspection at production line</v>
      </c>
    </row>
    <row r="3206" spans="1:4" ht="13.8">
      <c r="A3206" s="47" t="s">
        <v>4953</v>
      </c>
      <c r="B3206" s="92" t="s">
        <v>905</v>
      </c>
      <c r="C3206" s="92" t="s">
        <v>4954</v>
      </c>
      <c r="D3206" s="72" t="str">
        <f>IFERROR(VLOOKUP(A3206,'[1]ST-QA-ZZ5'!$C$5:$M$299,11,0),"Inspection at production line")</f>
        <v>Inspection at production line</v>
      </c>
    </row>
    <row r="3207" spans="1:4" ht="13.8">
      <c r="A3207" s="47" t="s">
        <v>7722</v>
      </c>
      <c r="B3207" s="92" t="s">
        <v>905</v>
      </c>
      <c r="C3207" s="92" t="s">
        <v>4965</v>
      </c>
      <c r="D3207" s="72" t="str">
        <f>IFERROR(VLOOKUP(A3207,'[1]ST-QA-ZZ5'!$C$5:$M$299,11,0),"Inspection at production line")</f>
        <v>Inspection at production line</v>
      </c>
    </row>
    <row r="3208" spans="1:4" ht="13.8">
      <c r="A3208" s="47" t="s">
        <v>4963</v>
      </c>
      <c r="B3208" s="92" t="s">
        <v>905</v>
      </c>
      <c r="C3208" s="92" t="s">
        <v>4965</v>
      </c>
      <c r="D3208" s="72" t="str">
        <f>IFERROR(VLOOKUP(A3208,'[1]ST-QA-ZZ5'!$C$5:$M$299,11,0),"Inspection at production line")</f>
        <v>Inspection at production line</v>
      </c>
    </row>
    <row r="3209" spans="1:4" ht="13.8">
      <c r="A3209" s="47" t="s">
        <v>37</v>
      </c>
      <c r="B3209" s="92" t="s">
        <v>3602</v>
      </c>
      <c r="C3209" s="92" t="s">
        <v>4124</v>
      </c>
      <c r="D3209" s="72" t="str">
        <f>IFERROR(VLOOKUP(A3209,'[1]ST-QA-ZZ5'!$C$5:$M$299,11,0),"Inspection at production line")</f>
        <v>Sampling check</v>
      </c>
    </row>
    <row r="3210" spans="1:4" ht="13.8">
      <c r="A3210" s="47" t="s">
        <v>7723</v>
      </c>
      <c r="B3210" s="92" t="s">
        <v>3543</v>
      </c>
      <c r="C3210" s="92" t="s">
        <v>4197</v>
      </c>
      <c r="D3210" s="72" t="str">
        <f>IFERROR(VLOOKUP(A3210,'[1]ST-QA-ZZ5'!$C$5:$M$299,11,0),"Inspection at production line")</f>
        <v>Inspection at production line</v>
      </c>
    </row>
    <row r="3211" spans="1:4" ht="13.8">
      <c r="A3211" s="47" t="s">
        <v>7724</v>
      </c>
      <c r="B3211" s="92" t="s">
        <v>3543</v>
      </c>
      <c r="C3211" s="92" t="s">
        <v>4163</v>
      </c>
      <c r="D3211" s="72" t="str">
        <f>IFERROR(VLOOKUP(A3211,'[1]ST-QA-ZZ5'!$C$5:$M$299,11,0),"Inspection at production line")</f>
        <v>Inspection at production line</v>
      </c>
    </row>
    <row r="3212" spans="1:4" ht="13.8">
      <c r="A3212" s="47" t="s">
        <v>7725</v>
      </c>
      <c r="B3212" s="92" t="s">
        <v>797</v>
      </c>
      <c r="C3212" s="92" t="s">
        <v>7706</v>
      </c>
      <c r="D3212" s="72" t="str">
        <f>IFERROR(VLOOKUP(A3212,'[1]ST-QA-ZZ5'!$C$5:$M$299,11,0),"Inspection at production line")</f>
        <v>Inspection at production line</v>
      </c>
    </row>
    <row r="3213" spans="1:4" ht="13.8">
      <c r="A3213" s="47" t="s">
        <v>7726</v>
      </c>
      <c r="B3213" s="92" t="s">
        <v>814</v>
      </c>
      <c r="C3213" s="92" t="s">
        <v>7727</v>
      </c>
      <c r="D3213" s="72" t="str">
        <f>IFERROR(VLOOKUP(A3213,'[1]ST-QA-ZZ5'!$C$5:$M$299,11,0),"Inspection at production line")</f>
        <v>Inspection at production line</v>
      </c>
    </row>
    <row r="3214" spans="1:4" ht="13.8">
      <c r="A3214" s="47" t="s">
        <v>7728</v>
      </c>
      <c r="B3214" s="92" t="s">
        <v>814</v>
      </c>
      <c r="C3214" s="92" t="s">
        <v>7727</v>
      </c>
      <c r="D3214" s="72" t="str">
        <f>IFERROR(VLOOKUP(A3214,'[1]ST-QA-ZZ5'!$C$5:$M$299,11,0),"Inspection at production line")</f>
        <v>Inspection at production line</v>
      </c>
    </row>
    <row r="3215" spans="1:4" ht="13.8">
      <c r="A3215" s="47" t="s">
        <v>7729</v>
      </c>
      <c r="B3215" s="92" t="s">
        <v>961</v>
      </c>
      <c r="C3215" s="92" t="s">
        <v>5453</v>
      </c>
      <c r="D3215" s="72" t="str">
        <f>IFERROR(VLOOKUP(A3215,'[1]ST-QA-ZZ5'!$C$5:$M$299,11,0),"Inspection at production line")</f>
        <v>Inspection at production line</v>
      </c>
    </row>
    <row r="3216" spans="1:4" ht="13.8">
      <c r="A3216" s="47" t="s">
        <v>5452</v>
      </c>
      <c r="B3216" s="92" t="s">
        <v>961</v>
      </c>
      <c r="C3216" s="92" t="s">
        <v>5453</v>
      </c>
      <c r="D3216" s="72" t="str">
        <f>IFERROR(VLOOKUP(A3216,'[1]ST-QA-ZZ5'!$C$5:$M$299,11,0),"Inspection at production line")</f>
        <v>Inspection at production line</v>
      </c>
    </row>
    <row r="3217" spans="1:4" ht="13.8">
      <c r="A3217" s="47" t="s">
        <v>7730</v>
      </c>
      <c r="B3217" s="92" t="s">
        <v>3454</v>
      </c>
      <c r="C3217" s="92" t="s">
        <v>7731</v>
      </c>
      <c r="D3217" s="72" t="str">
        <f>IFERROR(VLOOKUP(A3217,'[1]ST-QA-ZZ5'!$C$5:$M$299,11,0),"Inspection at production line")</f>
        <v>Inspection at production line</v>
      </c>
    </row>
    <row r="3218" spans="1:4" ht="13.8">
      <c r="A3218" s="47" t="s">
        <v>7732</v>
      </c>
      <c r="B3218" s="92" t="s">
        <v>3454</v>
      </c>
      <c r="C3218" s="92" t="s">
        <v>7731</v>
      </c>
      <c r="D3218" s="72" t="str">
        <f>IFERROR(VLOOKUP(A3218,'[1]ST-QA-ZZ5'!$C$5:$M$299,11,0),"Inspection at production line")</f>
        <v>Inspection at production line</v>
      </c>
    </row>
    <row r="3219" spans="1:4" ht="13.8">
      <c r="A3219" s="47" t="s">
        <v>7733</v>
      </c>
      <c r="B3219" s="92" t="s">
        <v>3473</v>
      </c>
      <c r="C3219" s="92" t="s">
        <v>7734</v>
      </c>
      <c r="D3219" s="72" t="str">
        <f>IFERROR(VLOOKUP(A3219,'[1]ST-QA-ZZ5'!$C$5:$M$299,11,0),"Inspection at production line")</f>
        <v>Inspection at production line</v>
      </c>
    </row>
    <row r="3220" spans="1:4" ht="13.8">
      <c r="A3220" s="47" t="s">
        <v>7735</v>
      </c>
      <c r="B3220" s="92" t="s">
        <v>3473</v>
      </c>
      <c r="C3220" s="92" t="s">
        <v>7734</v>
      </c>
      <c r="D3220" s="72" t="str">
        <f>IFERROR(VLOOKUP(A3220,'[1]ST-QA-ZZ5'!$C$5:$M$299,11,0),"Inspection at production line")</f>
        <v>Inspection at production line</v>
      </c>
    </row>
    <row r="3221" spans="1:4" ht="13.8">
      <c r="A3221" s="47" t="s">
        <v>7736</v>
      </c>
      <c r="B3221" s="92" t="s">
        <v>905</v>
      </c>
      <c r="C3221" s="92" t="s">
        <v>7737</v>
      </c>
      <c r="D3221" s="72" t="str">
        <f>IFERROR(VLOOKUP(A3221,'[1]ST-QA-ZZ5'!$C$5:$M$299,11,0),"Inspection at production line")</f>
        <v>Inspection at production line</v>
      </c>
    </row>
    <row r="3222" spans="1:4" ht="13.8">
      <c r="A3222" s="47" t="s">
        <v>7738</v>
      </c>
      <c r="B3222" s="92" t="s">
        <v>905</v>
      </c>
      <c r="C3222" s="92" t="s">
        <v>7737</v>
      </c>
      <c r="D3222" s="72" t="str">
        <f>IFERROR(VLOOKUP(A3222,'[1]ST-QA-ZZ5'!$C$5:$M$299,11,0),"Inspection at production line")</f>
        <v>Inspection at production line</v>
      </c>
    </row>
    <row r="3223" spans="1:4" ht="13.8">
      <c r="A3223" s="47" t="s">
        <v>7739</v>
      </c>
      <c r="B3223" s="92" t="s">
        <v>119</v>
      </c>
      <c r="C3223" s="92" t="s">
        <v>3535</v>
      </c>
      <c r="D3223" s="72" t="str">
        <f>IFERROR(VLOOKUP(A3223,'[1]ST-QA-ZZ5'!$C$5:$M$299,11,0),"Inspection at production line")</f>
        <v>Inspection at production line</v>
      </c>
    </row>
    <row r="3224" spans="1:4" ht="13.8">
      <c r="A3224" s="47" t="s">
        <v>7740</v>
      </c>
      <c r="B3224" s="92" t="s">
        <v>3468</v>
      </c>
      <c r="C3224" s="92" t="s">
        <v>4268</v>
      </c>
      <c r="D3224" s="72" t="str">
        <f>IFERROR(VLOOKUP(A3224,'[1]ST-QA-ZZ5'!$C$5:$M$299,11,0),"Inspection at production line")</f>
        <v>Inspection at production line</v>
      </c>
    </row>
    <row r="3225" spans="1:4" ht="13.8">
      <c r="A3225" s="47" t="s">
        <v>7741</v>
      </c>
      <c r="B3225" s="92" t="s">
        <v>3473</v>
      </c>
      <c r="C3225" s="92" t="s">
        <v>4271</v>
      </c>
      <c r="D3225" s="72" t="str">
        <f>IFERROR(VLOOKUP(A3225,'[1]ST-QA-ZZ5'!$C$5:$M$299,11,0),"Inspection at production line")</f>
        <v>Inspection at production line</v>
      </c>
    </row>
    <row r="3226" spans="1:4" ht="13.8">
      <c r="A3226" s="47" t="s">
        <v>7742</v>
      </c>
      <c r="B3226" s="92" t="s">
        <v>1177</v>
      </c>
      <c r="C3226" s="92" t="s">
        <v>1122</v>
      </c>
      <c r="D3226" s="72" t="str">
        <f>IFERROR(VLOOKUP(A3226,'[1]ST-QA-ZZ5'!$C$5:$M$299,11,0),"Inspection at production line")</f>
        <v>Inspection at production line</v>
      </c>
    </row>
    <row r="3227" spans="1:4" ht="13.8">
      <c r="A3227" s="47" t="s">
        <v>7743</v>
      </c>
      <c r="B3227" s="92" t="s">
        <v>3564</v>
      </c>
      <c r="C3227" s="92" t="s">
        <v>1554</v>
      </c>
      <c r="D3227" s="72" t="str">
        <f>IFERROR(VLOOKUP(A3227,'[1]ST-QA-ZZ5'!$C$5:$M$299,11,0),"Inspection at production line")</f>
        <v>Inspection at production line</v>
      </c>
    </row>
    <row r="3228" spans="1:4" ht="13.8">
      <c r="A3228" s="47" t="s">
        <v>7744</v>
      </c>
      <c r="B3228" s="92" t="s">
        <v>961</v>
      </c>
      <c r="C3228" s="92" t="s">
        <v>7745</v>
      </c>
      <c r="D3228" s="72" t="str">
        <f>IFERROR(VLOOKUP(A3228,'[1]ST-QA-ZZ5'!$C$5:$M$299,11,0),"Inspection at production line")</f>
        <v>Inspection at production line</v>
      </c>
    </row>
    <row r="3229" spans="1:4" ht="13.8">
      <c r="A3229" s="47" t="s">
        <v>7746</v>
      </c>
      <c r="B3229" s="92" t="s">
        <v>119</v>
      </c>
      <c r="C3229" s="92" t="s">
        <v>7747</v>
      </c>
      <c r="D3229" s="72" t="str">
        <f>IFERROR(VLOOKUP(A3229,'[1]ST-QA-ZZ5'!$C$5:$M$299,11,0),"Inspection at production line")</f>
        <v>Inspection at production line</v>
      </c>
    </row>
    <row r="3230" spans="1:4" ht="13.8">
      <c r="A3230" s="47" t="s">
        <v>7748</v>
      </c>
      <c r="B3230" s="92" t="s">
        <v>949</v>
      </c>
      <c r="C3230" s="92" t="s">
        <v>7749</v>
      </c>
      <c r="D3230" s="72" t="str">
        <f>IFERROR(VLOOKUP(A3230,'[1]ST-QA-ZZ5'!$C$5:$M$299,11,0),"Inspection at production line")</f>
        <v>Sampling check</v>
      </c>
    </row>
    <row r="3231" spans="1:4" ht="13.8">
      <c r="A3231" s="47" t="s">
        <v>7750</v>
      </c>
      <c r="B3231" s="92" t="s">
        <v>555</v>
      </c>
      <c r="C3231" s="92" t="s">
        <v>7751</v>
      </c>
      <c r="D3231" s="72" t="str">
        <f>IFERROR(VLOOKUP(A3231,'[1]ST-QA-ZZ5'!$C$5:$M$299,11,0),"Inspection at production line")</f>
        <v>Inspection at production line</v>
      </c>
    </row>
    <row r="3232" spans="1:4" ht="13.8">
      <c r="A3232" s="47" t="s">
        <v>7752</v>
      </c>
      <c r="B3232" s="92" t="s">
        <v>3468</v>
      </c>
      <c r="C3232" s="92" t="s">
        <v>3469</v>
      </c>
      <c r="D3232" s="72" t="str">
        <f>IFERROR(VLOOKUP(A3232,'[1]ST-QA-ZZ5'!$C$5:$M$299,11,0),"Inspection at production line")</f>
        <v>Inspection at production line</v>
      </c>
    </row>
    <row r="3233" spans="1:4" ht="13.8">
      <c r="A3233" s="47" t="s">
        <v>7753</v>
      </c>
      <c r="B3233" s="92" t="s">
        <v>3473</v>
      </c>
      <c r="C3233" s="92" t="s">
        <v>3474</v>
      </c>
      <c r="D3233" s="72" t="str">
        <f>IFERROR(VLOOKUP(A3233,'[1]ST-QA-ZZ5'!$C$5:$M$299,11,0),"Inspection at production line")</f>
        <v>Inspection at production line</v>
      </c>
    </row>
    <row r="3234" spans="1:4" ht="13.8">
      <c r="A3234" s="47" t="s">
        <v>7754</v>
      </c>
      <c r="B3234" s="92" t="s">
        <v>119</v>
      </c>
      <c r="C3234" s="92" t="s">
        <v>3535</v>
      </c>
      <c r="D3234" s="72" t="str">
        <f>IFERROR(VLOOKUP(A3234,'[1]ST-QA-ZZ5'!$C$5:$M$299,11,0),"Inspection at production line")</f>
        <v>Inspection at production line</v>
      </c>
    </row>
    <row r="3235" spans="1:4" ht="13.8">
      <c r="A3235" s="47" t="s">
        <v>7755</v>
      </c>
      <c r="B3235" s="92" t="s">
        <v>555</v>
      </c>
      <c r="C3235" s="92" t="s">
        <v>7756</v>
      </c>
      <c r="D3235" s="72" t="str">
        <f>IFERROR(VLOOKUP(A3235,'[1]ST-QA-ZZ5'!$C$5:$M$299,11,0),"Inspection at production line")</f>
        <v>Inspection at production line</v>
      </c>
    </row>
    <row r="3236" spans="1:4" ht="13.8">
      <c r="A3236" s="47" t="s">
        <v>7757</v>
      </c>
      <c r="B3236" s="92" t="s">
        <v>3363</v>
      </c>
      <c r="C3236" s="92" t="s">
        <v>7758</v>
      </c>
      <c r="D3236" s="72" t="str">
        <f>IFERROR(VLOOKUP(A3236,'[1]ST-QA-ZZ5'!$C$5:$M$299,11,0),"Inspection at production line")</f>
        <v>Inspection at production line</v>
      </c>
    </row>
    <row r="3237" spans="1:4" ht="13.8">
      <c r="A3237" s="47" t="s">
        <v>7759</v>
      </c>
      <c r="B3237" s="92" t="s">
        <v>3363</v>
      </c>
      <c r="C3237" s="92" t="s">
        <v>7760</v>
      </c>
      <c r="D3237" s="72" t="str">
        <f>IFERROR(VLOOKUP(A3237,'[1]ST-QA-ZZ5'!$C$5:$M$299,11,0),"Inspection at production line")</f>
        <v>Inspection at production line</v>
      </c>
    </row>
    <row r="3238" spans="1:4" ht="13.8">
      <c r="A3238" s="47" t="s">
        <v>7761</v>
      </c>
      <c r="B3238" s="92" t="s">
        <v>946</v>
      </c>
      <c r="C3238" s="92" t="s">
        <v>4751</v>
      </c>
      <c r="D3238" s="72" t="str">
        <f>IFERROR(VLOOKUP(A3238,'[1]ST-QA-ZZ5'!$C$5:$M$299,11,0),"Inspection at production line")</f>
        <v>Inspection at production line</v>
      </c>
    </row>
    <row r="3239" spans="1:4" ht="13.8">
      <c r="A3239" s="47" t="s">
        <v>4970</v>
      </c>
      <c r="B3239" s="92" t="s">
        <v>905</v>
      </c>
      <c r="C3239" s="92" t="s">
        <v>7762</v>
      </c>
      <c r="D3239" s="72" t="str">
        <f>IFERROR(VLOOKUP(A3239,'[1]ST-QA-ZZ5'!$C$5:$M$299,11,0),"Inspection at production line")</f>
        <v>Inspection at production line</v>
      </c>
    </row>
    <row r="3240" spans="1:4" ht="13.8">
      <c r="A3240" s="47" t="s">
        <v>7763</v>
      </c>
      <c r="B3240" s="92" t="s">
        <v>857</v>
      </c>
      <c r="C3240" s="92" t="s">
        <v>7764</v>
      </c>
      <c r="D3240" s="72" t="str">
        <f>IFERROR(VLOOKUP(A3240,'[1]ST-QA-ZZ5'!$C$5:$M$299,11,0),"Inspection at production line")</f>
        <v>Inspection at production line</v>
      </c>
    </row>
    <row r="3241" spans="1:4" ht="13.8">
      <c r="A3241" s="47" t="s">
        <v>7765</v>
      </c>
      <c r="B3241" s="92" t="s">
        <v>857</v>
      </c>
      <c r="C3241" s="92" t="s">
        <v>7766</v>
      </c>
      <c r="D3241" s="72" t="str">
        <f>IFERROR(VLOOKUP(A3241,'[1]ST-QA-ZZ5'!$C$5:$M$299,11,0),"Inspection at production line")</f>
        <v>Inspection at production line</v>
      </c>
    </row>
    <row r="3242" spans="1:4" ht="13.8">
      <c r="A3242" s="47" t="s">
        <v>7767</v>
      </c>
      <c r="B3242" s="92" t="s">
        <v>857</v>
      </c>
      <c r="C3242" s="92" t="s">
        <v>7768</v>
      </c>
      <c r="D3242" s="72" t="str">
        <f>IFERROR(VLOOKUP(A3242,'[1]ST-QA-ZZ5'!$C$5:$M$299,11,0),"Inspection at production line")</f>
        <v>Inspection at production line</v>
      </c>
    </row>
    <row r="3243" spans="1:4" ht="13.8">
      <c r="A3243" s="47" t="s">
        <v>7769</v>
      </c>
      <c r="B3243" s="92" t="s">
        <v>857</v>
      </c>
      <c r="C3243" s="92" t="s">
        <v>7770</v>
      </c>
      <c r="D3243" s="72" t="str">
        <f>IFERROR(VLOOKUP(A3243,'[1]ST-QA-ZZ5'!$C$5:$M$299,11,0),"Inspection at production line")</f>
        <v>Inspection at production line</v>
      </c>
    </row>
    <row r="3244" spans="1:4" ht="13.8">
      <c r="A3244" s="47" t="s">
        <v>7771</v>
      </c>
      <c r="B3244" s="92" t="s">
        <v>857</v>
      </c>
      <c r="C3244" s="92" t="s">
        <v>7772</v>
      </c>
      <c r="D3244" s="72" t="str">
        <f>IFERROR(VLOOKUP(A3244,'[1]ST-QA-ZZ5'!$C$5:$M$299,11,0),"Inspection at production line")</f>
        <v>Inspection at production line</v>
      </c>
    </row>
    <row r="3245" spans="1:4" ht="13.8">
      <c r="A3245" s="47" t="s">
        <v>7773</v>
      </c>
      <c r="B3245" s="92" t="s">
        <v>857</v>
      </c>
      <c r="C3245" s="92" t="s">
        <v>7774</v>
      </c>
      <c r="D3245" s="72" t="str">
        <f>IFERROR(VLOOKUP(A3245,'[1]ST-QA-ZZ5'!$C$5:$M$299,11,0),"Inspection at production line")</f>
        <v>Inspection at production line</v>
      </c>
    </row>
    <row r="3246" spans="1:4" ht="13.8">
      <c r="A3246" s="47" t="s">
        <v>7775</v>
      </c>
      <c r="B3246" s="92" t="s">
        <v>857</v>
      </c>
      <c r="C3246" s="92" t="s">
        <v>7776</v>
      </c>
      <c r="D3246" s="72" t="str">
        <f>IFERROR(VLOOKUP(A3246,'[1]ST-QA-ZZ5'!$C$5:$M$299,11,0),"Inspection at production line")</f>
        <v>Inspection at production line</v>
      </c>
    </row>
    <row r="3247" spans="1:4" ht="13.8">
      <c r="A3247" s="47" t="s">
        <v>7777</v>
      </c>
      <c r="B3247" s="92" t="s">
        <v>857</v>
      </c>
      <c r="C3247" s="92" t="s">
        <v>7778</v>
      </c>
      <c r="D3247" s="72" t="str">
        <f>IFERROR(VLOOKUP(A3247,'[1]ST-QA-ZZ5'!$C$5:$M$299,11,0),"Inspection at production line")</f>
        <v>Inspection at production line</v>
      </c>
    </row>
    <row r="3248" spans="1:4" ht="13.8">
      <c r="A3248" s="47" t="s">
        <v>7779</v>
      </c>
      <c r="B3248" s="92" t="s">
        <v>857</v>
      </c>
      <c r="C3248" s="92" t="s">
        <v>7780</v>
      </c>
      <c r="D3248" s="72" t="str">
        <f>IFERROR(VLOOKUP(A3248,'[1]ST-QA-ZZ5'!$C$5:$M$299,11,0),"Inspection at production line")</f>
        <v>Inspection at production line</v>
      </c>
    </row>
    <row r="3249" spans="1:4" ht="13.8">
      <c r="A3249" s="47" t="s">
        <v>7781</v>
      </c>
      <c r="B3249" s="92" t="s">
        <v>905</v>
      </c>
      <c r="C3249" s="92" t="s">
        <v>7782</v>
      </c>
      <c r="D3249" s="72" t="str">
        <f>IFERROR(VLOOKUP(A3249,'[1]ST-QA-ZZ5'!$C$5:$M$299,11,0),"Inspection at production line")</f>
        <v>Inspection at production line</v>
      </c>
    </row>
    <row r="3250" spans="1:4" ht="13.8">
      <c r="A3250" s="47" t="s">
        <v>7783</v>
      </c>
      <c r="B3250" s="92" t="s">
        <v>7784</v>
      </c>
      <c r="C3250" s="92" t="s">
        <v>7784</v>
      </c>
      <c r="D3250" s="72" t="str">
        <f>IFERROR(VLOOKUP(A3250,'[1]ST-QA-ZZ5'!$C$5:$M$299,11,0),"Inspection at production line")</f>
        <v>Inspection at production line</v>
      </c>
    </row>
    <row r="3251" spans="1:4" ht="13.8">
      <c r="A3251" s="47" t="s">
        <v>7785</v>
      </c>
      <c r="B3251" s="92" t="s">
        <v>7786</v>
      </c>
      <c r="C3251" s="92" t="s">
        <v>7786</v>
      </c>
      <c r="D3251" s="72" t="str">
        <f>IFERROR(VLOOKUP(A3251,'[1]ST-QA-ZZ5'!$C$5:$M$299,11,0),"Inspection at production line")</f>
        <v>Inspection at production line</v>
      </c>
    </row>
    <row r="3252" spans="1:4" ht="13.8">
      <c r="A3252" s="47" t="s">
        <v>7787</v>
      </c>
      <c r="B3252" s="92" t="s">
        <v>7788</v>
      </c>
      <c r="C3252" s="92" t="s">
        <v>7788</v>
      </c>
      <c r="D3252" s="72" t="str">
        <f>IFERROR(VLOOKUP(A3252,'[1]ST-QA-ZZ5'!$C$5:$M$299,11,0),"Inspection at production line")</f>
        <v>Inspection at production line</v>
      </c>
    </row>
    <row r="3253" spans="1:4" ht="13.8">
      <c r="A3253" s="47" t="s">
        <v>7789</v>
      </c>
      <c r="B3253" s="92" t="s">
        <v>555</v>
      </c>
      <c r="C3253" s="92" t="s">
        <v>7790</v>
      </c>
      <c r="D3253" s="72" t="str">
        <f>IFERROR(VLOOKUP(A3253,'[1]ST-QA-ZZ5'!$C$5:$M$299,11,0),"Inspection at production line")</f>
        <v>Inspection at production line</v>
      </c>
    </row>
    <row r="3254" spans="1:4" ht="13.8">
      <c r="A3254" s="47" t="s">
        <v>7791</v>
      </c>
      <c r="B3254" s="92" t="s">
        <v>905</v>
      </c>
      <c r="C3254" s="92" t="s">
        <v>7792</v>
      </c>
      <c r="D3254" s="72" t="str">
        <f>IFERROR(VLOOKUP(A3254,'[1]ST-QA-ZZ5'!$C$5:$M$299,11,0),"Inspection at production line")</f>
        <v>Inspection at production line</v>
      </c>
    </row>
    <row r="3255" spans="1:4" ht="13.8">
      <c r="A3255" s="47" t="s">
        <v>7793</v>
      </c>
      <c r="B3255" s="92" t="s">
        <v>1491</v>
      </c>
      <c r="C3255" s="92" t="s">
        <v>7794</v>
      </c>
      <c r="D3255" s="72" t="str">
        <f>IFERROR(VLOOKUP(A3255,'[1]ST-QA-ZZ5'!$C$5:$M$299,11,0),"Inspection at production line")</f>
        <v>Inspection at production line</v>
      </c>
    </row>
    <row r="3256" spans="1:4" ht="13.8">
      <c r="A3256" s="47" t="s">
        <v>7795</v>
      </c>
      <c r="B3256" s="92" t="s">
        <v>7796</v>
      </c>
      <c r="C3256" s="92" t="s">
        <v>7796</v>
      </c>
      <c r="D3256" s="72" t="str">
        <f>IFERROR(VLOOKUP(A3256,'[1]ST-QA-ZZ5'!$C$5:$M$299,11,0),"Inspection at production line")</f>
        <v>Inspection at production line</v>
      </c>
    </row>
    <row r="3257" spans="1:4" ht="13.8">
      <c r="A3257" s="47" t="s">
        <v>7797</v>
      </c>
      <c r="B3257" s="92" t="s">
        <v>7798</v>
      </c>
      <c r="C3257" s="92" t="s">
        <v>7798</v>
      </c>
      <c r="D3257" s="72" t="str">
        <f>IFERROR(VLOOKUP(A3257,'[1]ST-QA-ZZ5'!$C$5:$M$299,11,0),"Inspection at production line")</f>
        <v>Inspection at production line</v>
      </c>
    </row>
    <row r="3258" spans="1:4" ht="13.8">
      <c r="A3258" s="47" t="s">
        <v>7799</v>
      </c>
      <c r="B3258" s="92" t="s">
        <v>818</v>
      </c>
      <c r="C3258" s="92" t="s">
        <v>7800</v>
      </c>
      <c r="D3258" s="72" t="str">
        <f>IFERROR(VLOOKUP(A3258,'[1]ST-QA-ZZ5'!$C$5:$M$299,11,0),"Inspection at production line")</f>
        <v>Inspection at production line</v>
      </c>
    </row>
    <row r="3259" spans="1:4" ht="13.8">
      <c r="A3259" s="47" t="s">
        <v>7801</v>
      </c>
      <c r="B3259" s="92" t="s">
        <v>1534</v>
      </c>
      <c r="C3259" s="92" t="s">
        <v>7802</v>
      </c>
      <c r="D3259" s="72" t="str">
        <f>IFERROR(VLOOKUP(A3259,'[1]ST-QA-ZZ5'!$C$5:$M$299,11,0),"Inspection at production line")</f>
        <v>Inspection at production line</v>
      </c>
    </row>
    <row r="3260" spans="1:4" ht="13.8">
      <c r="A3260" s="47" t="s">
        <v>7803</v>
      </c>
      <c r="B3260" s="92" t="s">
        <v>7804</v>
      </c>
      <c r="C3260" s="92" t="s">
        <v>7804</v>
      </c>
      <c r="D3260" s="72" t="str">
        <f>IFERROR(VLOOKUP(A3260,'[1]ST-QA-ZZ5'!$C$5:$M$299,11,0),"Inspection at production line")</f>
        <v>Inspection at production line</v>
      </c>
    </row>
    <row r="3261" spans="1:4" ht="13.8">
      <c r="A3261" s="47" t="s">
        <v>7805</v>
      </c>
      <c r="B3261" s="92" t="s">
        <v>7806</v>
      </c>
      <c r="C3261" s="92" t="s">
        <v>7806</v>
      </c>
      <c r="D3261" s="72" t="str">
        <f>IFERROR(VLOOKUP(A3261,'[1]ST-QA-ZZ5'!$C$5:$M$299,11,0),"Inspection at production line")</f>
        <v>Inspection at production line</v>
      </c>
    </row>
    <row r="3262" spans="1:4" ht="13.8">
      <c r="A3262" s="47" t="s">
        <v>7807</v>
      </c>
      <c r="B3262" s="92" t="s">
        <v>7808</v>
      </c>
      <c r="C3262" s="92" t="s">
        <v>7808</v>
      </c>
      <c r="D3262" s="72" t="str">
        <f>IFERROR(VLOOKUP(A3262,'[1]ST-QA-ZZ5'!$C$5:$M$299,11,0),"Inspection at production line")</f>
        <v>Inspection at production line</v>
      </c>
    </row>
    <row r="3263" spans="1:4" ht="13.8">
      <c r="A3263" s="47" t="s">
        <v>7809</v>
      </c>
      <c r="B3263" s="92" t="s">
        <v>7810</v>
      </c>
      <c r="C3263" s="92" t="s">
        <v>7810</v>
      </c>
      <c r="D3263" s="72" t="str">
        <f>IFERROR(VLOOKUP(A3263,'[1]ST-QA-ZZ5'!$C$5:$M$299,11,0),"Inspection at production line")</f>
        <v>Inspection at production line</v>
      </c>
    </row>
    <row r="3264" spans="1:4" ht="13.8">
      <c r="A3264" s="47" t="s">
        <v>5305</v>
      </c>
      <c r="B3264" s="92" t="s">
        <v>818</v>
      </c>
      <c r="C3264" s="92" t="s">
        <v>5306</v>
      </c>
      <c r="D3264" s="72" t="str">
        <f>IFERROR(VLOOKUP(A3264,'[1]ST-QA-ZZ5'!$C$5:$M$299,11,0),"Inspection at production line")</f>
        <v>Inspection at production line</v>
      </c>
    </row>
    <row r="3265" spans="1:4" ht="13.8">
      <c r="A3265" s="47" t="s">
        <v>7811</v>
      </c>
      <c r="B3265" s="92" t="s">
        <v>7812</v>
      </c>
      <c r="C3265" s="92" t="s">
        <v>7812</v>
      </c>
      <c r="D3265" s="72" t="str">
        <f>IFERROR(VLOOKUP(A3265,'[1]ST-QA-ZZ5'!$C$5:$M$299,11,0),"Inspection at production line")</f>
        <v>Inspection at production line</v>
      </c>
    </row>
    <row r="3266" spans="1:4" ht="13.8">
      <c r="A3266" s="47" t="s">
        <v>7813</v>
      </c>
      <c r="B3266" s="92" t="s">
        <v>7814</v>
      </c>
      <c r="C3266" s="92" t="s">
        <v>7814</v>
      </c>
      <c r="D3266" s="72" t="str">
        <f>IFERROR(VLOOKUP(A3266,'[1]ST-QA-ZZ5'!$C$5:$M$299,11,0),"Inspection at production line")</f>
        <v>Appearance check 100%</v>
      </c>
    </row>
    <row r="3267" spans="1:4" ht="13.8">
      <c r="A3267" s="47" t="s">
        <v>7815</v>
      </c>
      <c r="B3267" s="92" t="s">
        <v>7816</v>
      </c>
      <c r="C3267" s="92" t="s">
        <v>7816</v>
      </c>
      <c r="D3267" s="72" t="str">
        <f>IFERROR(VLOOKUP(A3267,'[1]ST-QA-ZZ5'!$C$5:$M$299,11,0),"Inspection at production line")</f>
        <v>Inspection at production line</v>
      </c>
    </row>
    <row r="3268" spans="1:4" ht="13.8">
      <c r="A3268" s="47" t="s">
        <v>7817</v>
      </c>
      <c r="B3268" s="92" t="s">
        <v>818</v>
      </c>
      <c r="C3268" s="92" t="s">
        <v>7818</v>
      </c>
      <c r="D3268" s="72" t="str">
        <f>IFERROR(VLOOKUP(A3268,'[1]ST-QA-ZZ5'!$C$5:$M$299,11,0),"Inspection at production line")</f>
        <v>Inspection at production line</v>
      </c>
    </row>
    <row r="3269" spans="1:4" ht="13.8">
      <c r="A3269" s="47" t="s">
        <v>7819</v>
      </c>
      <c r="B3269" s="92" t="s">
        <v>7820</v>
      </c>
      <c r="C3269" s="92" t="s">
        <v>7820</v>
      </c>
      <c r="D3269" s="72" t="str">
        <f>IFERROR(VLOOKUP(A3269,'[1]ST-QA-ZZ5'!$C$5:$M$299,11,0),"Inspection at production line")</f>
        <v>Inspection at production line</v>
      </c>
    </row>
    <row r="3270" spans="1:4" ht="13.8">
      <c r="A3270" s="47" t="s">
        <v>7821</v>
      </c>
      <c r="B3270" s="92" t="s">
        <v>7822</v>
      </c>
      <c r="C3270" s="92" t="s">
        <v>7822</v>
      </c>
      <c r="D3270" s="72" t="str">
        <f>IFERROR(VLOOKUP(A3270,'[1]ST-QA-ZZ5'!$C$5:$M$299,11,0),"Inspection at production line")</f>
        <v>Inspection at production line</v>
      </c>
    </row>
    <row r="3271" spans="1:4" ht="13.8">
      <c r="A3271" s="47" t="s">
        <v>7823</v>
      </c>
      <c r="B3271" s="92" t="s">
        <v>75</v>
      </c>
      <c r="C3271" s="92" t="s">
        <v>7824</v>
      </c>
      <c r="D3271" s="72" t="str">
        <f>IFERROR(VLOOKUP(A3271,'[1]ST-QA-ZZ5'!$C$5:$M$299,11,0),"Inspection at production line")</f>
        <v>Inspection at production line</v>
      </c>
    </row>
    <row r="3272" spans="1:4" ht="13.8">
      <c r="A3272" s="47" t="s">
        <v>7825</v>
      </c>
      <c r="B3272" s="92" t="s">
        <v>7826</v>
      </c>
      <c r="C3272" s="92" t="s">
        <v>7826</v>
      </c>
      <c r="D3272" s="72" t="str">
        <f>IFERROR(VLOOKUP(A3272,'[1]ST-QA-ZZ5'!$C$5:$M$299,11,0),"Inspection at production line")</f>
        <v>Inspection at production line</v>
      </c>
    </row>
    <row r="3273" spans="1:4" ht="13.8">
      <c r="A3273" s="47" t="s">
        <v>7827</v>
      </c>
      <c r="B3273" s="92" t="s">
        <v>7828</v>
      </c>
      <c r="C3273" s="92" t="s">
        <v>7828</v>
      </c>
      <c r="D3273" s="72" t="str">
        <f>IFERROR(VLOOKUP(A3273,'[1]ST-QA-ZZ5'!$C$5:$M$299,11,0),"Inspection at production line")</f>
        <v>Inspection at production line</v>
      </c>
    </row>
    <row r="3274" spans="1:4" ht="13.8">
      <c r="A3274" s="47" t="s">
        <v>7829</v>
      </c>
      <c r="B3274" s="92" t="s">
        <v>57</v>
      </c>
      <c r="C3274" s="92" t="s">
        <v>7830</v>
      </c>
      <c r="D3274" s="72" t="str">
        <f>IFERROR(VLOOKUP(A3274,'[1]ST-QA-ZZ5'!$C$5:$M$299,11,0),"Inspection at production line")</f>
        <v>Inspection at production line</v>
      </c>
    </row>
    <row r="3275" spans="1:4" ht="13.8">
      <c r="A3275" s="47" t="s">
        <v>7831</v>
      </c>
      <c r="B3275" s="92" t="s">
        <v>1534</v>
      </c>
      <c r="C3275" s="92" t="s">
        <v>7832</v>
      </c>
      <c r="D3275" s="72" t="str">
        <f>IFERROR(VLOOKUP(A3275,'[1]ST-QA-ZZ5'!$C$5:$M$299,11,0),"Inspection at production line")</f>
        <v>Inspection at production line</v>
      </c>
    </row>
    <row r="3276" spans="1:4" ht="13.8">
      <c r="A3276" s="47" t="s">
        <v>7833</v>
      </c>
      <c r="B3276" s="92" t="s">
        <v>7834</v>
      </c>
      <c r="C3276" s="92" t="s">
        <v>7834</v>
      </c>
      <c r="D3276" s="72" t="str">
        <f>IFERROR(VLOOKUP(A3276,'[1]ST-QA-ZZ5'!$C$5:$M$299,11,0),"Inspection at production line")</f>
        <v>Appearance check 100%</v>
      </c>
    </row>
    <row r="3277" spans="1:4" ht="13.8">
      <c r="A3277" s="47" t="s">
        <v>7835</v>
      </c>
      <c r="B3277" s="92" t="s">
        <v>57</v>
      </c>
      <c r="C3277" s="92" t="s">
        <v>7836</v>
      </c>
      <c r="D3277" s="72" t="str">
        <f>IFERROR(VLOOKUP(A3277,'[1]ST-QA-ZZ5'!$C$5:$M$299,11,0),"Inspection at production line")</f>
        <v>Inspection at production line</v>
      </c>
    </row>
    <row r="3278" spans="1:4" ht="13.8">
      <c r="A3278" s="47" t="s">
        <v>7837</v>
      </c>
      <c r="B3278" s="92" t="s">
        <v>75</v>
      </c>
      <c r="C3278" s="92" t="s">
        <v>7838</v>
      </c>
      <c r="D3278" s="72" t="str">
        <f>IFERROR(VLOOKUP(A3278,'[1]ST-QA-ZZ5'!$C$5:$M$299,11,0),"Inspection at production line")</f>
        <v>Inspection at production line</v>
      </c>
    </row>
    <row r="3279" spans="1:4" ht="13.8">
      <c r="A3279" s="47" t="s">
        <v>7839</v>
      </c>
      <c r="B3279" s="92" t="s">
        <v>7840</v>
      </c>
      <c r="C3279" s="92" t="s">
        <v>7840</v>
      </c>
      <c r="D3279" s="72" t="str">
        <f>IFERROR(VLOOKUP(A3279,'[1]ST-QA-ZZ5'!$C$5:$M$299,11,0),"Inspection at production line")</f>
        <v>Inspection at production line</v>
      </c>
    </row>
    <row r="3280" spans="1:4" ht="13.8">
      <c r="A3280" s="47" t="s">
        <v>5123</v>
      </c>
      <c r="B3280" s="92" t="s">
        <v>57</v>
      </c>
      <c r="C3280" s="92" t="s">
        <v>5124</v>
      </c>
      <c r="D3280" s="72" t="str">
        <f>IFERROR(VLOOKUP(A3280,'[1]ST-QA-ZZ5'!$C$5:$M$299,11,0),"Inspection at production line")</f>
        <v>Inspection at production line</v>
      </c>
    </row>
    <row r="3281" spans="1:4" ht="13.8">
      <c r="A3281" s="47" t="s">
        <v>7841</v>
      </c>
      <c r="B3281" s="92" t="s">
        <v>1554</v>
      </c>
      <c r="C3281" s="92" t="s">
        <v>7842</v>
      </c>
      <c r="D3281" s="72" t="str">
        <f>IFERROR(VLOOKUP(A3281,'[1]ST-QA-ZZ5'!$C$5:$M$299,11,0),"Inspection at production line")</f>
        <v>Inspection at production line</v>
      </c>
    </row>
    <row r="3282" spans="1:4" ht="13.8">
      <c r="A3282" s="47" t="s">
        <v>5069</v>
      </c>
      <c r="B3282" s="92" t="s">
        <v>2602</v>
      </c>
      <c r="C3282" s="92" t="s">
        <v>5070</v>
      </c>
      <c r="D3282" s="72" t="str">
        <f>IFERROR(VLOOKUP(A3282,'[1]ST-QA-ZZ5'!$C$5:$M$299,11,0),"Inspection at production line")</f>
        <v>Inspection at production line</v>
      </c>
    </row>
    <row r="3283" spans="1:4" ht="13.8">
      <c r="A3283" s="47" t="s">
        <v>7843</v>
      </c>
      <c r="B3283" s="92" t="s">
        <v>75</v>
      </c>
      <c r="C3283" s="92" t="s">
        <v>7844</v>
      </c>
      <c r="D3283" s="72" t="str">
        <f>IFERROR(VLOOKUP(A3283,'[1]ST-QA-ZZ5'!$C$5:$M$299,11,0),"Inspection at production line")</f>
        <v>Inspection at production line</v>
      </c>
    </row>
    <row r="3284" spans="1:4" ht="13.8">
      <c r="A3284" s="47" t="s">
        <v>7845</v>
      </c>
      <c r="B3284" s="92" t="s">
        <v>7846</v>
      </c>
      <c r="C3284" s="92" t="s">
        <v>7847</v>
      </c>
      <c r="D3284" s="72" t="str">
        <f>IFERROR(VLOOKUP(A3284,'[1]ST-QA-ZZ5'!$C$5:$M$299,11,0),"Inspection at production line")</f>
        <v>Inspection at production line</v>
      </c>
    </row>
    <row r="3285" spans="1:4" ht="13.8">
      <c r="A3285" s="47" t="s">
        <v>7848</v>
      </c>
      <c r="B3285" s="92" t="s">
        <v>1543</v>
      </c>
      <c r="C3285" s="92" t="s">
        <v>7849</v>
      </c>
      <c r="D3285" s="72" t="str">
        <f>IFERROR(VLOOKUP(A3285,'[1]ST-QA-ZZ5'!$C$5:$M$299,11,0),"Inspection at production line")</f>
        <v>Inspection at production line</v>
      </c>
    </row>
    <row r="3286" spans="1:4" ht="13.8">
      <c r="A3286" s="47" t="s">
        <v>7850</v>
      </c>
      <c r="B3286" s="92" t="s">
        <v>7846</v>
      </c>
      <c r="C3286" s="92" t="s">
        <v>7851</v>
      </c>
      <c r="D3286" s="72" t="str">
        <f>IFERROR(VLOOKUP(A3286,'[1]ST-QA-ZZ5'!$C$5:$M$299,11,0),"Inspection at production line")</f>
        <v>Inspection at production line</v>
      </c>
    </row>
    <row r="3287" spans="1:4" ht="13.8">
      <c r="A3287" s="47" t="s">
        <v>7852</v>
      </c>
      <c r="B3287" s="92" t="s">
        <v>75</v>
      </c>
      <c r="C3287" s="92" t="s">
        <v>7853</v>
      </c>
      <c r="D3287" s="72" t="str">
        <f>IFERROR(VLOOKUP(A3287,'[1]ST-QA-ZZ5'!$C$5:$M$299,11,0),"Inspection at production line")</f>
        <v>Inspection at production line</v>
      </c>
    </row>
    <row r="3288" spans="1:4" ht="13.8">
      <c r="A3288" s="47" t="s">
        <v>7854</v>
      </c>
      <c r="B3288" s="92" t="s">
        <v>1517</v>
      </c>
      <c r="C3288" s="92" t="s">
        <v>6138</v>
      </c>
      <c r="D3288" s="72" t="str">
        <f>IFERROR(VLOOKUP(A3288,'[1]ST-QA-ZZ5'!$C$5:$M$299,11,0),"Inspection at production line")</f>
        <v>Inspection at production line</v>
      </c>
    </row>
    <row r="3289" spans="1:4" ht="13.8">
      <c r="A3289" s="47" t="s">
        <v>7855</v>
      </c>
      <c r="B3289" s="92" t="s">
        <v>1554</v>
      </c>
      <c r="C3289" s="92" t="s">
        <v>7856</v>
      </c>
      <c r="D3289" s="72" t="str">
        <f>IFERROR(VLOOKUP(A3289,'[1]ST-QA-ZZ5'!$C$5:$M$299,11,0),"Inspection at production line")</f>
        <v>Inspection at production line</v>
      </c>
    </row>
    <row r="3290" spans="1:4" ht="13.8">
      <c r="A3290" s="47" t="s">
        <v>7857</v>
      </c>
      <c r="B3290" s="92" t="s">
        <v>1177</v>
      </c>
      <c r="C3290" s="92" t="s">
        <v>7858</v>
      </c>
      <c r="D3290" s="72" t="str">
        <f>IFERROR(VLOOKUP(A3290,'[1]ST-QA-ZZ5'!$C$5:$M$299,11,0),"Inspection at production line")</f>
        <v>Inspection at production line</v>
      </c>
    </row>
    <row r="3291" spans="1:4" ht="13.8">
      <c r="A3291" s="47" t="s">
        <v>7859</v>
      </c>
      <c r="B3291" s="92" t="s">
        <v>75</v>
      </c>
      <c r="C3291" s="92" t="s">
        <v>7860</v>
      </c>
      <c r="D3291" s="72" t="str">
        <f>IFERROR(VLOOKUP(A3291,'[1]ST-QA-ZZ5'!$C$5:$M$299,11,0),"Inspection at production line")</f>
        <v>Inspection at production line</v>
      </c>
    </row>
    <row r="3292" spans="1:4" ht="13.8">
      <c r="A3292" s="47" t="s">
        <v>7861</v>
      </c>
      <c r="B3292" s="92" t="s">
        <v>1916</v>
      </c>
      <c r="C3292" s="92" t="s">
        <v>7862</v>
      </c>
      <c r="D3292" s="72" t="str">
        <f>IFERROR(VLOOKUP(A3292,'[1]ST-QA-ZZ5'!$C$5:$M$299,11,0),"Inspection at production line")</f>
        <v>Inspection at production line</v>
      </c>
    </row>
    <row r="3293" spans="1:4" ht="13.8">
      <c r="A3293" s="47" t="s">
        <v>7863</v>
      </c>
      <c r="B3293" s="92" t="s">
        <v>75</v>
      </c>
      <c r="C3293" s="92" t="s">
        <v>7864</v>
      </c>
      <c r="D3293" s="72" t="str">
        <f>IFERROR(VLOOKUP(A3293,'[1]ST-QA-ZZ5'!$C$5:$M$299,11,0),"Inspection at production line")</f>
        <v>Inspection at production line</v>
      </c>
    </row>
    <row r="3294" spans="1:4" ht="13.8">
      <c r="A3294" s="47" t="s">
        <v>7865</v>
      </c>
      <c r="B3294" s="92" t="s">
        <v>1592</v>
      </c>
      <c r="C3294" s="92" t="s">
        <v>7866</v>
      </c>
      <c r="D3294" s="72" t="str">
        <f>IFERROR(VLOOKUP(A3294,'[1]ST-QA-ZZ5'!$C$5:$M$299,11,0),"Inspection at production line")</f>
        <v>Inspection at production line</v>
      </c>
    </row>
    <row r="3295" spans="1:4" ht="13.8">
      <c r="A3295" s="47" t="s">
        <v>7867</v>
      </c>
      <c r="B3295" s="92" t="s">
        <v>75</v>
      </c>
      <c r="C3295" s="92" t="s">
        <v>7868</v>
      </c>
      <c r="D3295" s="72" t="str">
        <f>IFERROR(VLOOKUP(A3295,'[1]ST-QA-ZZ5'!$C$5:$M$299,11,0),"Inspection at production line")</f>
        <v>Inspection at production line</v>
      </c>
    </row>
    <row r="3296" spans="1:4" ht="13.8">
      <c r="A3296" s="47" t="s">
        <v>7869</v>
      </c>
      <c r="B3296" s="92" t="s">
        <v>1592</v>
      </c>
      <c r="C3296" s="92" t="s">
        <v>7870</v>
      </c>
      <c r="D3296" s="72" t="str">
        <f>IFERROR(VLOOKUP(A3296,'[1]ST-QA-ZZ5'!$C$5:$M$299,11,0),"Inspection at production line")</f>
        <v>Inspection at production line</v>
      </c>
    </row>
    <row r="3297" spans="1:4" ht="13.8">
      <c r="A3297" s="47" t="s">
        <v>7871</v>
      </c>
      <c r="B3297" s="92" t="s">
        <v>2037</v>
      </c>
      <c r="C3297" s="92" t="s">
        <v>7872</v>
      </c>
      <c r="D3297" s="72" t="str">
        <f>IFERROR(VLOOKUP(A3297,'[1]ST-QA-ZZ5'!$C$5:$M$299,11,0),"Inspection at production line")</f>
        <v>Inspection at production line</v>
      </c>
    </row>
    <row r="3298" spans="1:4" ht="13.8">
      <c r="A3298" s="47" t="s">
        <v>7873</v>
      </c>
      <c r="B3298" s="92" t="s">
        <v>2037</v>
      </c>
      <c r="C3298" s="92" t="s">
        <v>7874</v>
      </c>
      <c r="D3298" s="72" t="str">
        <f>IFERROR(VLOOKUP(A3298,'[1]ST-QA-ZZ5'!$C$5:$M$299,11,0),"Inspection at production line")</f>
        <v>Inspection at production line</v>
      </c>
    </row>
    <row r="3299" spans="1:4" ht="13.8">
      <c r="A3299" s="47" t="s">
        <v>7875</v>
      </c>
      <c r="B3299" s="92" t="s">
        <v>2037</v>
      </c>
      <c r="C3299" s="92" t="s">
        <v>7876</v>
      </c>
      <c r="D3299" s="72" t="str">
        <f>IFERROR(VLOOKUP(A3299,'[1]ST-QA-ZZ5'!$C$5:$M$299,11,0),"Inspection at production line")</f>
        <v>Inspection at production line</v>
      </c>
    </row>
    <row r="3300" spans="1:4" ht="13.8">
      <c r="A3300" s="47" t="s">
        <v>7877</v>
      </c>
      <c r="B3300" s="92" t="s">
        <v>1994</v>
      </c>
      <c r="C3300" s="92" t="s">
        <v>7878</v>
      </c>
      <c r="D3300" s="72" t="str">
        <f>IFERROR(VLOOKUP(A3300,'[1]ST-QA-ZZ5'!$C$5:$M$299,11,0),"Inspection at production line")</f>
        <v>Inspection at production line</v>
      </c>
    </row>
    <row r="3301" spans="1:4" ht="13.8">
      <c r="A3301" s="47" t="s">
        <v>7879</v>
      </c>
      <c r="B3301" s="92" t="s">
        <v>119</v>
      </c>
      <c r="C3301" s="92" t="s">
        <v>7880</v>
      </c>
      <c r="D3301" s="72" t="str">
        <f>IFERROR(VLOOKUP(A3301,'[1]ST-QA-ZZ5'!$C$5:$M$299,11,0),"Inspection at production line")</f>
        <v>Inspection at production line</v>
      </c>
    </row>
    <row r="3302" spans="1:4" ht="13.8">
      <c r="A3302" s="47" t="s">
        <v>7881</v>
      </c>
      <c r="B3302" s="92" t="s">
        <v>1985</v>
      </c>
      <c r="C3302" s="92" t="s">
        <v>7882</v>
      </c>
      <c r="D3302" s="72" t="str">
        <f>IFERROR(VLOOKUP(A3302,'[1]ST-QA-ZZ5'!$C$5:$M$299,11,0),"Inspection at production line")</f>
        <v>Inspection at production line</v>
      </c>
    </row>
    <row r="3303" spans="1:4" ht="13.8">
      <c r="A3303" s="47" t="s">
        <v>7883</v>
      </c>
      <c r="B3303" s="92" t="s">
        <v>1985</v>
      </c>
      <c r="C3303" s="92" t="s">
        <v>7884</v>
      </c>
      <c r="D3303" s="72" t="str">
        <f>IFERROR(VLOOKUP(A3303,'[1]ST-QA-ZZ5'!$C$5:$M$299,11,0),"Inspection at production line")</f>
        <v>Inspection at production line</v>
      </c>
    </row>
    <row r="3304" spans="1:4" ht="13.8">
      <c r="A3304" s="47" t="s">
        <v>7885</v>
      </c>
      <c r="B3304" s="92" t="s">
        <v>1985</v>
      </c>
      <c r="C3304" s="92" t="s">
        <v>7886</v>
      </c>
      <c r="D3304" s="72" t="str">
        <f>IFERROR(VLOOKUP(A3304,'[1]ST-QA-ZZ5'!$C$5:$M$299,11,0),"Inspection at production line")</f>
        <v>Inspection at production line</v>
      </c>
    </row>
    <row r="3305" spans="1:4" ht="13.8">
      <c r="A3305" s="47" t="s">
        <v>7887</v>
      </c>
      <c r="B3305" s="92" t="s">
        <v>2500</v>
      </c>
      <c r="C3305" s="92" t="s">
        <v>5055</v>
      </c>
      <c r="D3305" s="72" t="str">
        <f>IFERROR(VLOOKUP(A3305,'[1]ST-QA-ZZ5'!$C$5:$M$299,11,0),"Inspection at production line")</f>
        <v>Inspection at production line</v>
      </c>
    </row>
    <row r="3306" spans="1:4" ht="13.8">
      <c r="A3306" s="47" t="s">
        <v>5054</v>
      </c>
      <c r="B3306" s="92" t="s">
        <v>2500</v>
      </c>
      <c r="C3306" s="92" t="s">
        <v>5055</v>
      </c>
      <c r="D3306" s="72" t="str">
        <f>IFERROR(VLOOKUP(A3306,'[1]ST-QA-ZZ5'!$C$5:$M$299,11,0),"Inspection at production line")</f>
        <v>Inspection at production line</v>
      </c>
    </row>
    <row r="3307" spans="1:4" ht="13.8">
      <c r="A3307" s="47" t="s">
        <v>7888</v>
      </c>
      <c r="B3307" s="92" t="s">
        <v>818</v>
      </c>
      <c r="C3307" s="92" t="s">
        <v>7889</v>
      </c>
      <c r="D3307" s="72" t="str">
        <f>IFERROR(VLOOKUP(A3307,'[1]ST-QA-ZZ5'!$C$5:$M$299,11,0),"Inspection at production line")</f>
        <v>Inspection at production line</v>
      </c>
    </row>
    <row r="3308" spans="1:4" ht="13.8">
      <c r="A3308" s="47" t="s">
        <v>7890</v>
      </c>
      <c r="B3308" s="92" t="s">
        <v>818</v>
      </c>
      <c r="C3308" s="92" t="s">
        <v>7889</v>
      </c>
      <c r="D3308" s="72" t="str">
        <f>IFERROR(VLOOKUP(A3308,'[1]ST-QA-ZZ5'!$C$5:$M$299,11,0),"Inspection at production line")</f>
        <v>Inspection at production line</v>
      </c>
    </row>
    <row r="3309" spans="1:4" ht="13.8">
      <c r="A3309" s="47" t="s">
        <v>7891</v>
      </c>
      <c r="B3309" s="92" t="s">
        <v>119</v>
      </c>
      <c r="C3309" s="92" t="s">
        <v>7892</v>
      </c>
      <c r="D3309" s="72" t="str">
        <f>IFERROR(VLOOKUP(A3309,'[1]ST-QA-ZZ5'!$C$5:$M$299,11,0),"Inspection at production line")</f>
        <v>Inspection at production line</v>
      </c>
    </row>
    <row r="3310" spans="1:4" ht="13.8">
      <c r="A3310" s="47" t="s">
        <v>7893</v>
      </c>
      <c r="B3310" s="92" t="s">
        <v>119</v>
      </c>
      <c r="C3310" s="92" t="s">
        <v>7894</v>
      </c>
      <c r="D3310" s="72" t="str">
        <f>IFERROR(VLOOKUP(A3310,'[1]ST-QA-ZZ5'!$C$5:$M$299,11,0),"Inspection at production line")</f>
        <v>Inspection at production line</v>
      </c>
    </row>
    <row r="3311" spans="1:4" ht="13.8">
      <c r="A3311" s="47" t="s">
        <v>7895</v>
      </c>
      <c r="B3311" s="92" t="s">
        <v>119</v>
      </c>
      <c r="C3311" s="92" t="s">
        <v>7896</v>
      </c>
      <c r="D3311" s="72" t="str">
        <f>IFERROR(VLOOKUP(A3311,'[1]ST-QA-ZZ5'!$C$5:$M$299,11,0),"Inspection at production line")</f>
        <v>Inspection at production line</v>
      </c>
    </row>
    <row r="3312" spans="1:4" ht="13.8">
      <c r="A3312" s="47" t="s">
        <v>7897</v>
      </c>
      <c r="B3312" s="92" t="s">
        <v>7898</v>
      </c>
      <c r="C3312" s="92" t="s">
        <v>7899</v>
      </c>
      <c r="D3312" s="72" t="str">
        <f>IFERROR(VLOOKUP(A3312,'[1]ST-QA-ZZ5'!$C$5:$M$299,11,0),"Inspection at production line")</f>
        <v>Inspection at production line</v>
      </c>
    </row>
    <row r="3313" spans="1:4" ht="13.8">
      <c r="A3313" s="47" t="s">
        <v>7900</v>
      </c>
      <c r="B3313" s="92" t="s">
        <v>7901</v>
      </c>
      <c r="C3313" s="92" t="s">
        <v>7902</v>
      </c>
      <c r="D3313" s="72" t="str">
        <f>IFERROR(VLOOKUP(A3313,'[1]ST-QA-ZZ5'!$C$5:$M$299,11,0),"Inspection at production line")</f>
        <v>Inspection at production line</v>
      </c>
    </row>
    <row r="3314" spans="1:4" ht="13.8">
      <c r="A3314" s="47" t="s">
        <v>7903</v>
      </c>
      <c r="B3314" s="92" t="s">
        <v>75</v>
      </c>
      <c r="C3314" s="94" t="s">
        <v>7904</v>
      </c>
      <c r="D3314" s="72" t="str">
        <f>IFERROR(VLOOKUP(A3314,'[1]ST-QA-ZZ5'!$C$5:$M$299,11,0),"Inspection at production line")</f>
        <v>Inspection at production line</v>
      </c>
    </row>
    <row r="3315" spans="1:4" ht="13.8">
      <c r="A3315" s="47" t="s">
        <v>7905</v>
      </c>
      <c r="B3315" s="92" t="s">
        <v>1523</v>
      </c>
      <c r="C3315" s="92" t="s">
        <v>7906</v>
      </c>
      <c r="D3315" s="72" t="str">
        <f>IFERROR(VLOOKUP(A3315,'[1]ST-QA-ZZ5'!$C$5:$M$299,11,0),"Inspection at production line")</f>
        <v>Inspection at production line</v>
      </c>
    </row>
    <row r="3316" spans="1:4" ht="13.8">
      <c r="A3316" s="47" t="s">
        <v>7907</v>
      </c>
      <c r="B3316" s="92" t="s">
        <v>1554</v>
      </c>
      <c r="C3316" s="92" t="s">
        <v>7908</v>
      </c>
      <c r="D3316" s="72" t="str">
        <f>IFERROR(VLOOKUP(A3316,'[1]ST-QA-ZZ5'!$C$5:$M$299,11,0),"Inspection at production line")</f>
        <v>Inspection at production line</v>
      </c>
    </row>
    <row r="3317" spans="1:4" ht="13.8">
      <c r="A3317" s="47" t="s">
        <v>7909</v>
      </c>
      <c r="B3317" s="92" t="s">
        <v>1523</v>
      </c>
      <c r="C3317" s="92" t="s">
        <v>7910</v>
      </c>
      <c r="D3317" s="72" t="str">
        <f>IFERROR(VLOOKUP(A3317,'[1]ST-QA-ZZ5'!$C$5:$M$299,11,0),"Inspection at production line")</f>
        <v>Inspection at production line</v>
      </c>
    </row>
    <row r="3318" spans="1:4" ht="13.8">
      <c r="A3318" s="47" t="s">
        <v>7911</v>
      </c>
      <c r="B3318" s="92" t="s">
        <v>1554</v>
      </c>
      <c r="C3318" s="94" t="s">
        <v>7912</v>
      </c>
      <c r="D3318" s="72" t="str">
        <f>IFERROR(VLOOKUP(A3318,'[1]ST-QA-ZZ5'!$C$5:$M$299,11,0),"Inspection at production line")</f>
        <v>Inspection at production line</v>
      </c>
    </row>
    <row r="3319" spans="1:4" ht="13.8">
      <c r="A3319" s="47" t="s">
        <v>7913</v>
      </c>
      <c r="B3319" s="92" t="s">
        <v>7914</v>
      </c>
      <c r="C3319" s="92" t="s">
        <v>7915</v>
      </c>
      <c r="D3319" s="72" t="str">
        <f>IFERROR(VLOOKUP(A3319,'[1]ST-QA-ZZ5'!$C$5:$M$299,11,0),"Inspection at production line")</f>
        <v>Inspection at production line</v>
      </c>
    </row>
    <row r="3320" spans="1:4" ht="13.8">
      <c r="A3320" s="47" t="s">
        <v>7916</v>
      </c>
      <c r="B3320" s="92" t="s">
        <v>1523</v>
      </c>
      <c r="C3320" s="92" t="s">
        <v>7917</v>
      </c>
      <c r="D3320" s="72" t="str">
        <f>IFERROR(VLOOKUP(A3320,'[1]ST-QA-ZZ5'!$C$5:$M$299,11,0),"Inspection at production line")</f>
        <v>Inspection at production line</v>
      </c>
    </row>
    <row r="3321" spans="1:4" ht="13.8">
      <c r="A3321" s="47" t="s">
        <v>7918</v>
      </c>
      <c r="B3321" s="92" t="s">
        <v>797</v>
      </c>
      <c r="C3321" s="92" t="s">
        <v>7919</v>
      </c>
      <c r="D3321" s="72" t="str">
        <f>IFERROR(VLOOKUP(A3321,'[1]ST-QA-ZZ5'!$C$5:$M$299,11,0),"Inspection at production line")</f>
        <v>Inspection at production line</v>
      </c>
    </row>
    <row r="3322" spans="1:4" ht="13.8">
      <c r="A3322" s="47" t="s">
        <v>7920</v>
      </c>
      <c r="B3322" s="92" t="s">
        <v>1880</v>
      </c>
      <c r="C3322" s="92" t="s">
        <v>7921</v>
      </c>
      <c r="D3322" s="72" t="str">
        <f>IFERROR(VLOOKUP(A3322,'[1]ST-QA-ZZ5'!$C$5:$M$299,11,0),"Inspection at production line")</f>
        <v>Inspection at production line</v>
      </c>
    </row>
    <row r="3323" spans="1:4" ht="13.8">
      <c r="A3323" s="47" t="s">
        <v>7922</v>
      </c>
      <c r="B3323" s="92" t="s">
        <v>1880</v>
      </c>
      <c r="C3323" s="92" t="s">
        <v>7923</v>
      </c>
      <c r="D3323" s="72" t="str">
        <f>IFERROR(VLOOKUP(A3323,'[1]ST-QA-ZZ5'!$C$5:$M$299,11,0),"Inspection at production line")</f>
        <v>Inspection at production line</v>
      </c>
    </row>
    <row r="3324" spans="1:4" ht="13.8">
      <c r="A3324" s="47" t="s">
        <v>7924</v>
      </c>
      <c r="B3324" s="92" t="s">
        <v>797</v>
      </c>
      <c r="C3324" s="92" t="s">
        <v>7925</v>
      </c>
      <c r="D3324" s="72" t="str">
        <f>IFERROR(VLOOKUP(A3324,'[1]ST-QA-ZZ5'!$C$5:$M$299,11,0),"Inspection at production line")</f>
        <v>Inspection at production line</v>
      </c>
    </row>
    <row r="3325" spans="1:4" ht="13.8">
      <c r="A3325" s="47" t="s">
        <v>7926</v>
      </c>
      <c r="B3325" s="92" t="s">
        <v>1959</v>
      </c>
      <c r="C3325" s="92" t="s">
        <v>7927</v>
      </c>
      <c r="D3325" s="72" t="str">
        <f>IFERROR(VLOOKUP(A3325,'[1]ST-QA-ZZ5'!$C$5:$M$299,11,0),"Inspection at production line")</f>
        <v>Inspection at production line</v>
      </c>
    </row>
    <row r="3326" spans="1:4" ht="13.8">
      <c r="A3326" s="47" t="s">
        <v>7928</v>
      </c>
      <c r="B3326" s="92" t="s">
        <v>1534</v>
      </c>
      <c r="C3326" s="92" t="s">
        <v>7929</v>
      </c>
      <c r="D3326" s="72" t="str">
        <f>IFERROR(VLOOKUP(A3326,'[1]ST-QA-ZZ5'!$C$5:$M$299,11,0),"Inspection at production line")</f>
        <v>Inspection at production line</v>
      </c>
    </row>
    <row r="3327" spans="1:4" ht="13.8">
      <c r="A3327" s="47" t="s">
        <v>5125</v>
      </c>
      <c r="B3327" s="92" t="s">
        <v>5126</v>
      </c>
      <c r="C3327" s="92" t="s">
        <v>5127</v>
      </c>
      <c r="D3327" s="72" t="str">
        <f>IFERROR(VLOOKUP(A3327,'[1]ST-QA-ZZ5'!$C$5:$M$299,11,0),"Inspection at production line")</f>
        <v>Inspection at production line</v>
      </c>
    </row>
    <row r="3328" spans="1:4" ht="13.8">
      <c r="A3328" s="47" t="s">
        <v>7930</v>
      </c>
      <c r="B3328" s="92" t="s">
        <v>75</v>
      </c>
      <c r="C3328" s="92" t="s">
        <v>7931</v>
      </c>
      <c r="D3328" s="72" t="str">
        <f>IFERROR(VLOOKUP(A3328,'[1]ST-QA-ZZ5'!$C$5:$M$299,11,0),"Inspection at production line")</f>
        <v>Inspection at production line</v>
      </c>
    </row>
    <row r="3329" spans="1:4" ht="13.8">
      <c r="A3329" s="47" t="s">
        <v>7932</v>
      </c>
      <c r="B3329" s="92" t="s">
        <v>1513</v>
      </c>
      <c r="C3329" s="92" t="s">
        <v>7933</v>
      </c>
      <c r="D3329" s="72" t="str">
        <f>IFERROR(VLOOKUP(A3329,'[1]ST-QA-ZZ5'!$C$5:$M$299,11,0),"Inspection at production line")</f>
        <v>Inspection at production line</v>
      </c>
    </row>
    <row r="3330" spans="1:4" ht="13.8">
      <c r="A3330" s="47" t="s">
        <v>7934</v>
      </c>
      <c r="B3330" s="92" t="s">
        <v>119</v>
      </c>
      <c r="C3330" s="92" t="s">
        <v>7935</v>
      </c>
      <c r="D3330" s="72" t="str">
        <f>IFERROR(VLOOKUP(A3330,'[1]ST-QA-ZZ5'!$C$5:$M$299,11,0),"Inspection at production line")</f>
        <v>Inspection at production line</v>
      </c>
    </row>
    <row r="3331" spans="1:4" ht="13.8">
      <c r="A3331" s="47" t="s">
        <v>7936</v>
      </c>
      <c r="B3331" s="92" t="s">
        <v>7937</v>
      </c>
      <c r="C3331" s="92" t="s">
        <v>7938</v>
      </c>
      <c r="D3331" s="72" t="str">
        <f>IFERROR(VLOOKUP(A3331,'[1]ST-QA-ZZ5'!$C$5:$M$299,11,0),"Inspection at production line")</f>
        <v>Inspection at production line</v>
      </c>
    </row>
    <row r="3332" spans="1:4" ht="13.8">
      <c r="A3332" s="47" t="s">
        <v>7939</v>
      </c>
      <c r="B3332" s="92" t="s">
        <v>75</v>
      </c>
      <c r="C3332" s="92" t="s">
        <v>7824</v>
      </c>
      <c r="D3332" s="72" t="str">
        <f>IFERROR(VLOOKUP(A3332,'[1]ST-QA-ZZ5'!$C$5:$M$299,11,0),"Inspection at production line")</f>
        <v>Inspection at production line</v>
      </c>
    </row>
    <row r="3333" spans="1:4" ht="13.8">
      <c r="A3333" s="47" t="s">
        <v>7940</v>
      </c>
      <c r="B3333" s="92" t="s">
        <v>1534</v>
      </c>
      <c r="C3333" s="92" t="s">
        <v>7941</v>
      </c>
      <c r="D3333" s="72" t="str">
        <f>IFERROR(VLOOKUP(A3333,'[1]ST-QA-ZZ5'!$C$5:$M$299,11,0),"Inspection at production line")</f>
        <v>Inspection at production line</v>
      </c>
    </row>
    <row r="3334" spans="1:4" ht="13.8">
      <c r="A3334" s="47" t="s">
        <v>7942</v>
      </c>
      <c r="B3334" s="92" t="s">
        <v>75</v>
      </c>
      <c r="C3334" s="94" t="s">
        <v>7943</v>
      </c>
      <c r="D3334" s="72" t="str">
        <f>IFERROR(VLOOKUP(A3334,'[1]ST-QA-ZZ5'!$C$5:$M$299,11,0),"Inspection at production line")</f>
        <v>Inspection at production line</v>
      </c>
    </row>
    <row r="3335" spans="1:4" ht="13.8">
      <c r="A3335" s="47" t="s">
        <v>7944</v>
      </c>
      <c r="B3335" s="92" t="s">
        <v>1554</v>
      </c>
      <c r="C3335" s="92" t="s">
        <v>7842</v>
      </c>
      <c r="D3335" s="72" t="str">
        <f>IFERROR(VLOOKUP(A3335,'[1]ST-QA-ZZ5'!$C$5:$M$299,11,0),"Inspection at production line")</f>
        <v>Inspection at production line</v>
      </c>
    </row>
    <row r="3336" spans="1:4" ht="13.8">
      <c r="A3336" s="47" t="s">
        <v>7945</v>
      </c>
      <c r="B3336" s="92" t="s">
        <v>75</v>
      </c>
      <c r="C3336" s="92" t="s">
        <v>7943</v>
      </c>
      <c r="D3336" s="72" t="str">
        <f>IFERROR(VLOOKUP(A3336,'[1]ST-QA-ZZ5'!$C$5:$M$299,11,0),"Inspection at production line")</f>
        <v>Inspection at production line</v>
      </c>
    </row>
    <row r="3337" spans="1:4" ht="13.8">
      <c r="A3337" s="47" t="s">
        <v>7946</v>
      </c>
      <c r="B3337" s="92" t="s">
        <v>1543</v>
      </c>
      <c r="C3337" s="94" t="s">
        <v>7849</v>
      </c>
      <c r="D3337" s="72" t="str">
        <f>IFERROR(VLOOKUP(A3337,'[1]ST-QA-ZZ5'!$C$5:$M$299,11,0),"Inspection at production line")</f>
        <v>Inspection at production line</v>
      </c>
    </row>
    <row r="3338" spans="1:4" ht="13.8">
      <c r="A3338" s="47" t="s">
        <v>7947</v>
      </c>
      <c r="B3338" s="92" t="s">
        <v>75</v>
      </c>
      <c r="C3338" s="92" t="s">
        <v>7948</v>
      </c>
      <c r="D3338" s="72" t="str">
        <f>IFERROR(VLOOKUP(A3338,'[1]ST-QA-ZZ5'!$C$5:$M$299,11,0),"Inspection at production line")</f>
        <v>Inspection at production line</v>
      </c>
    </row>
    <row r="3339" spans="1:4" ht="13.8">
      <c r="A3339" s="47" t="s">
        <v>7949</v>
      </c>
      <c r="B3339" s="92" t="s">
        <v>1554</v>
      </c>
      <c r="C3339" s="92" t="s">
        <v>7856</v>
      </c>
      <c r="D3339" s="72" t="str">
        <f>IFERROR(VLOOKUP(A3339,'[1]ST-QA-ZZ5'!$C$5:$M$299,11,0),"Inspection at production line")</f>
        <v>Inspection at production line</v>
      </c>
    </row>
    <row r="3340" spans="1:4" ht="13.8">
      <c r="A3340" s="47" t="s">
        <v>7950</v>
      </c>
      <c r="B3340" s="92" t="s">
        <v>1954</v>
      </c>
      <c r="C3340" s="94" t="s">
        <v>7951</v>
      </c>
      <c r="D3340" s="72" t="str">
        <f>IFERROR(VLOOKUP(A3340,'[1]ST-QA-ZZ5'!$C$5:$M$299,11,0),"Inspection at production line")</f>
        <v>Inspection at production line</v>
      </c>
    </row>
    <row r="3341" spans="1:4" ht="13.8">
      <c r="A3341" s="47" t="s">
        <v>7952</v>
      </c>
      <c r="B3341" s="92" t="s">
        <v>1954</v>
      </c>
      <c r="C3341" s="92" t="s">
        <v>7953</v>
      </c>
      <c r="D3341" s="72" t="str">
        <f>IFERROR(VLOOKUP(A3341,'[1]ST-QA-ZZ5'!$C$5:$M$299,11,0),"Inspection at production line")</f>
        <v>Inspection at production line</v>
      </c>
    </row>
    <row r="3342" spans="1:4" ht="13.8">
      <c r="A3342" s="47" t="s">
        <v>7954</v>
      </c>
      <c r="B3342" s="92" t="s">
        <v>1954</v>
      </c>
      <c r="C3342" s="92" t="s">
        <v>7955</v>
      </c>
      <c r="D3342" s="72" t="str">
        <f>IFERROR(VLOOKUP(A3342,'[1]ST-QA-ZZ5'!$C$5:$M$299,11,0),"Inspection at production line")</f>
        <v>Inspection at production line</v>
      </c>
    </row>
    <row r="3343" spans="1:4" ht="13.8">
      <c r="A3343" s="47" t="s">
        <v>5047</v>
      </c>
      <c r="B3343" s="92" t="s">
        <v>174</v>
      </c>
      <c r="C3343" s="92" t="s">
        <v>5048</v>
      </c>
      <c r="D3343" s="72" t="str">
        <f>IFERROR(VLOOKUP(A3343,'[1]ST-QA-ZZ5'!$C$5:$M$299,11,0),"Inspection at production line")</f>
        <v>Inspection at production line</v>
      </c>
    </row>
    <row r="3344" spans="1:4" ht="13.8">
      <c r="A3344" s="47" t="s">
        <v>491</v>
      </c>
      <c r="B3344" s="92" t="s">
        <v>174</v>
      </c>
      <c r="C3344" s="92" t="s">
        <v>492</v>
      </c>
      <c r="D3344" s="72" t="str">
        <f>IFERROR(VLOOKUP(A3344,'[1]ST-QA-ZZ5'!$C$5:$M$299,11,0),"Inspection at production line")</f>
        <v>Inspection at production line</v>
      </c>
    </row>
    <row r="3345" spans="1:4" ht="13.8">
      <c r="A3345" s="47" t="s">
        <v>7956</v>
      </c>
      <c r="B3345" s="92" t="s">
        <v>174</v>
      </c>
      <c r="C3345" s="92" t="s">
        <v>174</v>
      </c>
      <c r="D3345" s="72" t="str">
        <f>IFERROR(VLOOKUP(A3345,'[1]ST-QA-ZZ5'!$C$5:$M$299,11,0),"Inspection at production line")</f>
        <v>Inspection at production line</v>
      </c>
    </row>
    <row r="3346" spans="1:4" ht="13.8">
      <c r="A3346" s="47" t="s">
        <v>5158</v>
      </c>
      <c r="B3346" s="92" t="s">
        <v>174</v>
      </c>
      <c r="C3346" s="92" t="s">
        <v>5159</v>
      </c>
      <c r="D3346" s="72" t="str">
        <f>IFERROR(VLOOKUP(A3346,'[1]ST-QA-ZZ5'!$C$5:$M$299,11,0),"Inspection at production line")</f>
        <v>Inspection at production line</v>
      </c>
    </row>
    <row r="3347" spans="1:4" ht="13.8">
      <c r="A3347" s="47" t="s">
        <v>7957</v>
      </c>
      <c r="B3347" s="92" t="s">
        <v>174</v>
      </c>
      <c r="C3347" s="92" t="s">
        <v>2005</v>
      </c>
      <c r="D3347" s="72" t="str">
        <f>IFERROR(VLOOKUP(A3347,'[1]ST-QA-ZZ5'!$C$5:$M$299,11,0),"Inspection at production line")</f>
        <v>Inspection at production line</v>
      </c>
    </row>
    <row r="3348" spans="1:4" ht="13.8">
      <c r="A3348" s="47" t="s">
        <v>7958</v>
      </c>
      <c r="B3348" s="92" t="s">
        <v>174</v>
      </c>
      <c r="C3348" s="92" t="s">
        <v>7959</v>
      </c>
      <c r="D3348" s="72" t="str">
        <f>IFERROR(VLOOKUP(A3348,'[1]ST-QA-ZZ5'!$C$5:$M$299,11,0),"Inspection at production line")</f>
        <v>Inspection at production line</v>
      </c>
    </row>
    <row r="3349" spans="1:4" ht="13.8">
      <c r="A3349" s="47" t="s">
        <v>7960</v>
      </c>
      <c r="B3349" s="92" t="s">
        <v>174</v>
      </c>
      <c r="C3349" s="92" t="s">
        <v>5115</v>
      </c>
      <c r="D3349" s="72" t="str">
        <f>IFERROR(VLOOKUP(A3349,'[1]ST-QA-ZZ5'!$C$5:$M$299,11,0),"Inspection at production line")</f>
        <v>Inspection at production line</v>
      </c>
    </row>
    <row r="3350" spans="1:4" ht="13.8">
      <c r="A3350" s="47" t="s">
        <v>7961</v>
      </c>
      <c r="B3350" s="92" t="s">
        <v>174</v>
      </c>
      <c r="C3350" s="92" t="s">
        <v>7962</v>
      </c>
      <c r="D3350" s="72" t="str">
        <f>IFERROR(VLOOKUP(A3350,'[1]ST-QA-ZZ5'!$C$5:$M$299,11,0),"Inspection at production line")</f>
        <v>Inspection at production line</v>
      </c>
    </row>
    <row r="3351" spans="1:4" ht="13.8">
      <c r="A3351" s="47" t="s">
        <v>7963</v>
      </c>
      <c r="B3351" s="92" t="s">
        <v>174</v>
      </c>
      <c r="C3351" s="92" t="s">
        <v>498</v>
      </c>
      <c r="D3351" s="72" t="str">
        <f>IFERROR(VLOOKUP(A3351,'[1]ST-QA-ZZ5'!$C$5:$M$299,11,0),"Inspection at production line")</f>
        <v>Inspection at production line</v>
      </c>
    </row>
    <row r="3352" spans="1:4" ht="13.8">
      <c r="A3352" s="47" t="s">
        <v>7964</v>
      </c>
      <c r="B3352" s="92" t="s">
        <v>174</v>
      </c>
      <c r="C3352" s="92" t="s">
        <v>7965</v>
      </c>
      <c r="D3352" s="72" t="str">
        <f>IFERROR(VLOOKUP(A3352,'[1]ST-QA-ZZ5'!$C$5:$M$299,11,0),"Inspection at production line")</f>
        <v>Inspection at production line</v>
      </c>
    </row>
    <row r="3353" spans="1:4" ht="13.8">
      <c r="A3353" s="47" t="s">
        <v>7966</v>
      </c>
      <c r="B3353" s="92" t="s">
        <v>119</v>
      </c>
      <c r="C3353" s="92" t="s">
        <v>7967</v>
      </c>
      <c r="D3353" s="72" t="str">
        <f>IFERROR(VLOOKUP(A3353,'[1]ST-QA-ZZ5'!$C$5:$M$299,11,0),"Inspection at production line")</f>
        <v>Inspection at production line</v>
      </c>
    </row>
    <row r="3354" spans="1:4" ht="13.8">
      <c r="A3354" s="47" t="s">
        <v>7968</v>
      </c>
      <c r="B3354" s="92" t="s">
        <v>1964</v>
      </c>
      <c r="C3354" s="92" t="s">
        <v>7969</v>
      </c>
      <c r="D3354" s="72" t="str">
        <f>IFERROR(VLOOKUP(A3354,'[1]ST-QA-ZZ5'!$C$5:$M$299,11,0),"Inspection at production line")</f>
        <v>Inspection at production line</v>
      </c>
    </row>
    <row r="3355" spans="1:4" ht="13.8">
      <c r="A3355" s="47" t="s">
        <v>7970</v>
      </c>
      <c r="B3355" s="92" t="s">
        <v>7846</v>
      </c>
      <c r="C3355" s="92" t="s">
        <v>7846</v>
      </c>
      <c r="D3355" s="72" t="str">
        <f>IFERROR(VLOOKUP(A3355,'[1]ST-QA-ZZ5'!$C$5:$M$299,11,0),"Inspection at production line")</f>
        <v>Inspection at production line</v>
      </c>
    </row>
    <row r="3356" spans="1:4" ht="13.8">
      <c r="A3356" s="47" t="s">
        <v>7971</v>
      </c>
      <c r="B3356" s="92" t="s">
        <v>174</v>
      </c>
      <c r="C3356" s="92" t="s">
        <v>7972</v>
      </c>
      <c r="D3356" s="72" t="str">
        <f>IFERROR(VLOOKUP(A3356,'[1]ST-QA-ZZ5'!$C$5:$M$299,11,0),"Inspection at production line")</f>
        <v>Inspection at production line</v>
      </c>
    </row>
    <row r="3357" spans="1:4" ht="13.8">
      <c r="A3357" s="47" t="s">
        <v>332</v>
      </c>
      <c r="B3357" s="92" t="s">
        <v>174</v>
      </c>
      <c r="C3357" s="92" t="s">
        <v>333</v>
      </c>
      <c r="D3357" s="72" t="str">
        <f>IFERROR(VLOOKUP(A3357,'[1]ST-QA-ZZ5'!$C$5:$M$299,11,0),"Inspection at production line")</f>
        <v>Inspection at production line</v>
      </c>
    </row>
    <row r="3358" spans="1:4" ht="13.8">
      <c r="A3358" s="47" t="s">
        <v>178</v>
      </c>
      <c r="B3358" s="92" t="s">
        <v>174</v>
      </c>
      <c r="C3358" s="92" t="s">
        <v>179</v>
      </c>
      <c r="D3358" s="72" t="str">
        <f>IFERROR(VLOOKUP(A3358,'[1]ST-QA-ZZ5'!$C$5:$M$299,11,0),"Inspection at production line")</f>
        <v>Inspection at production line</v>
      </c>
    </row>
    <row r="3359" spans="1:4" ht="13.8">
      <c r="A3359" s="47" t="s">
        <v>5012</v>
      </c>
      <c r="B3359" s="92" t="s">
        <v>2024</v>
      </c>
      <c r="C3359" s="92" t="s">
        <v>5013</v>
      </c>
      <c r="D3359" s="72" t="str">
        <f>IFERROR(VLOOKUP(A3359,'[1]ST-QA-ZZ5'!$C$5:$M$299,11,0),"Inspection at production line")</f>
        <v>Inspection at production line</v>
      </c>
    </row>
    <row r="3360" spans="1:4" ht="13.8">
      <c r="A3360" s="47" t="s">
        <v>5014</v>
      </c>
      <c r="B3360" s="92" t="s">
        <v>2024</v>
      </c>
      <c r="C3360" s="92" t="s">
        <v>5015</v>
      </c>
      <c r="D3360" s="72" t="str">
        <f>IFERROR(VLOOKUP(A3360,'[1]ST-QA-ZZ5'!$C$5:$M$299,11,0),"Inspection at production line")</f>
        <v>Inspection at production line</v>
      </c>
    </row>
    <row r="3361" spans="1:4" ht="13.8">
      <c r="A3361" s="47" t="s">
        <v>5016</v>
      </c>
      <c r="B3361" s="92" t="s">
        <v>2024</v>
      </c>
      <c r="C3361" s="92" t="s">
        <v>5017</v>
      </c>
      <c r="D3361" s="72" t="str">
        <f>IFERROR(VLOOKUP(A3361,'[1]ST-QA-ZZ5'!$C$5:$M$299,11,0),"Inspection at production line")</f>
        <v>Inspection at production line</v>
      </c>
    </row>
    <row r="3362" spans="1:4" ht="13.8">
      <c r="A3362" s="47" t="s">
        <v>5018</v>
      </c>
      <c r="B3362" s="92" t="s">
        <v>2041</v>
      </c>
      <c r="C3362" s="92" t="s">
        <v>5019</v>
      </c>
      <c r="D3362" s="72" t="str">
        <f>IFERROR(VLOOKUP(A3362,'[1]ST-QA-ZZ5'!$C$5:$M$299,11,0),"Inspection at production line")</f>
        <v>Inspection at production line</v>
      </c>
    </row>
    <row r="3363" spans="1:4" ht="13.8">
      <c r="A3363" s="47" t="s">
        <v>7973</v>
      </c>
      <c r="B3363" s="92" t="s">
        <v>2602</v>
      </c>
      <c r="C3363" s="92" t="s">
        <v>7974</v>
      </c>
      <c r="D3363" s="72" t="str">
        <f>IFERROR(VLOOKUP(A3363,'[1]ST-QA-ZZ5'!$C$5:$M$299,11,0),"Inspection at production line")</f>
        <v>Inspection at production line</v>
      </c>
    </row>
    <row r="3364" spans="1:4" ht="13.8">
      <c r="A3364" s="47" t="s">
        <v>7975</v>
      </c>
      <c r="B3364" s="92" t="s">
        <v>2602</v>
      </c>
      <c r="C3364" s="92" t="s">
        <v>7976</v>
      </c>
      <c r="D3364" s="72" t="str">
        <f>IFERROR(VLOOKUP(A3364,'[1]ST-QA-ZZ5'!$C$5:$M$299,11,0),"Inspection at production line")</f>
        <v>Inspection at production line</v>
      </c>
    </row>
    <row r="3365" spans="1:4" ht="13.8">
      <c r="A3365" s="47" t="s">
        <v>7977</v>
      </c>
      <c r="B3365" s="92" t="s">
        <v>7898</v>
      </c>
      <c r="C3365" s="92" t="s">
        <v>7978</v>
      </c>
      <c r="D3365" s="72" t="str">
        <f>IFERROR(VLOOKUP(A3365,'[1]ST-QA-ZZ5'!$C$5:$M$299,11,0),"Inspection at production line")</f>
        <v>Inspection at production line</v>
      </c>
    </row>
    <row r="3366" spans="1:4" ht="13.8">
      <c r="A3366" s="47" t="s">
        <v>7979</v>
      </c>
      <c r="B3366" s="92" t="s">
        <v>75</v>
      </c>
      <c r="C3366" s="92" t="s">
        <v>7980</v>
      </c>
      <c r="D3366" s="72" t="str">
        <f>IFERROR(VLOOKUP(A3366,'[1]ST-QA-ZZ5'!$C$5:$M$299,11,0),"Inspection at production line")</f>
        <v>Inspection at production line</v>
      </c>
    </row>
    <row r="3367" spans="1:4" ht="13.8">
      <c r="A3367" s="47" t="s">
        <v>7981</v>
      </c>
      <c r="B3367" s="92" t="s">
        <v>1523</v>
      </c>
      <c r="C3367" s="92" t="s">
        <v>7982</v>
      </c>
      <c r="D3367" s="72" t="str">
        <f>IFERROR(VLOOKUP(A3367,'[1]ST-QA-ZZ5'!$C$5:$M$299,11,0),"Inspection at production line")</f>
        <v>Inspection at production line</v>
      </c>
    </row>
    <row r="3368" spans="1:4" ht="13.8">
      <c r="A3368" s="47" t="s">
        <v>7983</v>
      </c>
      <c r="B3368" s="92" t="s">
        <v>1554</v>
      </c>
      <c r="C3368" s="92" t="s">
        <v>7984</v>
      </c>
      <c r="D3368" s="72" t="str">
        <f>IFERROR(VLOOKUP(A3368,'[1]ST-QA-ZZ5'!$C$5:$M$299,11,0),"Inspection at production line")</f>
        <v>Inspection at production line</v>
      </c>
    </row>
    <row r="3369" spans="1:4" ht="13.8">
      <c r="A3369" s="47" t="s">
        <v>7985</v>
      </c>
      <c r="B3369" s="92" t="s">
        <v>1523</v>
      </c>
      <c r="C3369" s="92" t="s">
        <v>7986</v>
      </c>
      <c r="D3369" s="72" t="str">
        <f>IFERROR(VLOOKUP(A3369,'[1]ST-QA-ZZ5'!$C$5:$M$299,11,0),"Inspection at production line")</f>
        <v>Inspection at production line</v>
      </c>
    </row>
    <row r="3370" spans="1:4" ht="13.8">
      <c r="A3370" s="47" t="s">
        <v>7987</v>
      </c>
      <c r="B3370" s="92" t="s">
        <v>1554</v>
      </c>
      <c r="C3370" s="92" t="s">
        <v>7988</v>
      </c>
      <c r="D3370" s="72" t="str">
        <f>IFERROR(VLOOKUP(A3370,'[1]ST-QA-ZZ5'!$C$5:$M$299,11,0),"Inspection at production line")</f>
        <v>Inspection at production line</v>
      </c>
    </row>
    <row r="3371" spans="1:4" ht="13.8">
      <c r="A3371" s="47" t="s">
        <v>7989</v>
      </c>
      <c r="B3371" s="92" t="s">
        <v>7914</v>
      </c>
      <c r="C3371" s="92" t="s">
        <v>7990</v>
      </c>
      <c r="D3371" s="72" t="str">
        <f>IFERROR(VLOOKUP(A3371,'[1]ST-QA-ZZ5'!$C$5:$M$299,11,0),"Inspection at production line")</f>
        <v>Inspection at production line</v>
      </c>
    </row>
    <row r="3372" spans="1:4" ht="13.8">
      <c r="A3372" s="47" t="s">
        <v>7991</v>
      </c>
      <c r="B3372" s="92" t="s">
        <v>1523</v>
      </c>
      <c r="C3372" s="92" t="s">
        <v>7992</v>
      </c>
      <c r="D3372" s="72" t="str">
        <f>IFERROR(VLOOKUP(A3372,'[1]ST-QA-ZZ5'!$C$5:$M$299,11,0),"Inspection at production line")</f>
        <v>Inspection at production line</v>
      </c>
    </row>
    <row r="3373" spans="1:4" ht="13.8">
      <c r="A3373" s="47" t="s">
        <v>7993</v>
      </c>
      <c r="B3373" s="92" t="s">
        <v>6271</v>
      </c>
      <c r="C3373" s="92" t="s">
        <v>7994</v>
      </c>
      <c r="D3373" s="72" t="str">
        <f>IFERROR(VLOOKUP(A3373,'[1]ST-QA-ZZ5'!$C$5:$M$299,11,0),"Inspection at production line")</f>
        <v>Inspection at production line</v>
      </c>
    </row>
    <row r="3374" spans="1:4" ht="13.8">
      <c r="A3374" s="47" t="s">
        <v>7995</v>
      </c>
      <c r="B3374" s="92" t="s">
        <v>797</v>
      </c>
      <c r="C3374" s="92" t="s">
        <v>7996</v>
      </c>
      <c r="D3374" s="72" t="str">
        <f>IFERROR(VLOOKUP(A3374,'[1]ST-QA-ZZ5'!$C$5:$M$299,11,0),"Inspection at production line")</f>
        <v>Inspection at production line</v>
      </c>
    </row>
    <row r="3375" spans="1:4" ht="13.8">
      <c r="A3375" s="47" t="s">
        <v>7997</v>
      </c>
      <c r="B3375" s="92" t="s">
        <v>1880</v>
      </c>
      <c r="C3375" s="92" t="s">
        <v>7998</v>
      </c>
      <c r="D3375" s="72" t="str">
        <f>IFERROR(VLOOKUP(A3375,'[1]ST-QA-ZZ5'!$C$5:$M$299,11,0),"Inspection at production line")</f>
        <v>Inspection at production line</v>
      </c>
    </row>
    <row r="3376" spans="1:4" ht="13.8">
      <c r="A3376" s="47" t="s">
        <v>7999</v>
      </c>
      <c r="B3376" s="92" t="s">
        <v>1880</v>
      </c>
      <c r="C3376" s="92" t="s">
        <v>8000</v>
      </c>
      <c r="D3376" s="72" t="str">
        <f>IFERROR(VLOOKUP(A3376,'[1]ST-QA-ZZ5'!$C$5:$M$299,11,0),"Inspection at production line")</f>
        <v>Inspection at production line</v>
      </c>
    </row>
    <row r="3377" spans="1:4" ht="13.8">
      <c r="A3377" s="47" t="s">
        <v>8001</v>
      </c>
      <c r="B3377" s="92" t="s">
        <v>797</v>
      </c>
      <c r="C3377" s="92" t="s">
        <v>8002</v>
      </c>
      <c r="D3377" s="72" t="str">
        <f>IFERROR(VLOOKUP(A3377,'[1]ST-QA-ZZ5'!$C$5:$M$299,11,0),"Inspection at production line")</f>
        <v>Inspection at production line</v>
      </c>
    </row>
    <row r="3378" spans="1:4" ht="13.8">
      <c r="A3378" s="47" t="s">
        <v>8003</v>
      </c>
      <c r="B3378" s="92" t="s">
        <v>174</v>
      </c>
      <c r="C3378" s="92" t="s">
        <v>8004</v>
      </c>
      <c r="D3378" s="72" t="str">
        <f>IFERROR(VLOOKUP(A3378,'[1]ST-QA-ZZ5'!$C$5:$M$299,11,0),"Inspection at production line")</f>
        <v>Inspection at production line</v>
      </c>
    </row>
    <row r="3379" spans="1:4" ht="13.8">
      <c r="A3379" s="47" t="s">
        <v>8005</v>
      </c>
      <c r="B3379" s="92" t="s">
        <v>8006</v>
      </c>
      <c r="C3379" s="92" t="s">
        <v>8007</v>
      </c>
      <c r="D3379" s="72" t="str">
        <f>IFERROR(VLOOKUP(A3379,'[1]ST-QA-ZZ5'!$C$5:$M$299,11,0),"Inspection at production line")</f>
        <v>Inspection at production line</v>
      </c>
    </row>
    <row r="3380" spans="1:4" ht="13.8">
      <c r="A3380" s="47" t="s">
        <v>8008</v>
      </c>
      <c r="B3380" s="92" t="s">
        <v>4634</v>
      </c>
      <c r="C3380" s="92" t="s">
        <v>8009</v>
      </c>
      <c r="D3380" s="72" t="str">
        <f>IFERROR(VLOOKUP(A3380,'[1]ST-QA-ZZ5'!$C$5:$M$299,11,0),"Inspection at production line")</f>
        <v>Inspection at production line</v>
      </c>
    </row>
    <row r="3381" spans="1:4" ht="13.8">
      <c r="A3381" s="47" t="s">
        <v>8010</v>
      </c>
      <c r="B3381" s="92" t="s">
        <v>8011</v>
      </c>
      <c r="C3381" s="92" t="s">
        <v>8011</v>
      </c>
      <c r="D3381" s="72" t="str">
        <f>IFERROR(VLOOKUP(A3381,'[1]ST-QA-ZZ5'!$C$5:$M$299,11,0),"Inspection at production line")</f>
        <v>Inspection at production line</v>
      </c>
    </row>
    <row r="3382" spans="1:4" ht="13.8">
      <c r="A3382" s="47" t="s">
        <v>8012</v>
      </c>
      <c r="B3382" s="92" t="s">
        <v>90</v>
      </c>
      <c r="C3382" s="92" t="s">
        <v>8013</v>
      </c>
      <c r="D3382" s="72" t="str">
        <f>IFERROR(VLOOKUP(A3382,'[1]ST-QA-ZZ5'!$C$5:$M$299,11,0),"Inspection at production line")</f>
        <v>Inspection at production line</v>
      </c>
    </row>
    <row r="3383" spans="1:4" ht="13.8">
      <c r="A3383" s="47" t="s">
        <v>8014</v>
      </c>
      <c r="B3383" s="92" t="s">
        <v>90</v>
      </c>
      <c r="C3383" s="92" t="s">
        <v>8015</v>
      </c>
      <c r="D3383" s="72" t="str">
        <f>IFERROR(VLOOKUP(A3383,'[1]ST-QA-ZZ5'!$C$5:$M$299,11,0),"Inspection at production line")</f>
        <v>Inspection at production line</v>
      </c>
    </row>
    <row r="3384" spans="1:4" ht="13.8">
      <c r="A3384" s="47" t="s">
        <v>8016</v>
      </c>
      <c r="B3384" s="92" t="s">
        <v>90</v>
      </c>
      <c r="C3384" s="92" t="s">
        <v>8017</v>
      </c>
      <c r="D3384" s="72" t="str">
        <f>IFERROR(VLOOKUP(A3384,'[1]ST-QA-ZZ5'!$C$5:$M$299,11,0),"Inspection at production line")</f>
        <v>Inspection at production line</v>
      </c>
    </row>
    <row r="3385" spans="1:4" ht="13.8">
      <c r="A3385" s="47" t="s">
        <v>8018</v>
      </c>
      <c r="B3385" s="92" t="s">
        <v>90</v>
      </c>
      <c r="C3385" s="92" t="s">
        <v>8019</v>
      </c>
      <c r="D3385" s="72" t="str">
        <f>IFERROR(VLOOKUP(A3385,'[1]ST-QA-ZZ5'!$C$5:$M$299,11,0),"Inspection at production line")</f>
        <v>Inspection at production line</v>
      </c>
    </row>
    <row r="3386" spans="1:4" ht="13.8">
      <c r="A3386" s="47" t="s">
        <v>8020</v>
      </c>
      <c r="B3386" s="92" t="s">
        <v>2024</v>
      </c>
      <c r="C3386" s="92" t="s">
        <v>8021</v>
      </c>
      <c r="D3386" s="72" t="str">
        <f>IFERROR(VLOOKUP(A3386,'[1]ST-QA-ZZ5'!$C$5:$M$299,11,0),"Inspection at production line")</f>
        <v>Inspection at production line</v>
      </c>
    </row>
    <row r="3387" spans="1:4" ht="13.8">
      <c r="A3387" s="47" t="s">
        <v>8022</v>
      </c>
      <c r="B3387" s="92" t="s">
        <v>857</v>
      </c>
      <c r="C3387" s="92" t="s">
        <v>8023</v>
      </c>
      <c r="D3387" s="72" t="str">
        <f>IFERROR(VLOOKUP(A3387,'[1]ST-QA-ZZ5'!$C$5:$M$299,11,0),"Inspection at production line")</f>
        <v>Inspection at production line</v>
      </c>
    </row>
    <row r="3388" spans="1:4" ht="13.8">
      <c r="A3388" s="47" t="s">
        <v>8024</v>
      </c>
      <c r="B3388" s="92" t="s">
        <v>2500</v>
      </c>
      <c r="C3388" s="92" t="s">
        <v>5055</v>
      </c>
      <c r="D3388" s="72" t="str">
        <f>IFERROR(VLOOKUP(A3388,'[1]ST-QA-ZZ5'!$C$5:$M$299,11,0),"Inspection at production line")</f>
        <v>Inspection at production line</v>
      </c>
    </row>
    <row r="3389" spans="1:4" ht="13.8">
      <c r="A3389" s="47" t="s">
        <v>5287</v>
      </c>
      <c r="B3389" s="92" t="s">
        <v>818</v>
      </c>
      <c r="C3389" s="92" t="s">
        <v>5288</v>
      </c>
      <c r="D3389" s="72" t="str">
        <f>IFERROR(VLOOKUP(A3389,'[1]ST-QA-ZZ5'!$C$5:$M$299,11,0),"Inspection at production line")</f>
        <v>Inspection at production line</v>
      </c>
    </row>
    <row r="3390" spans="1:4" ht="13.8">
      <c r="A3390" s="47" t="s">
        <v>8025</v>
      </c>
      <c r="B3390" s="92" t="s">
        <v>75</v>
      </c>
      <c r="C3390" s="92" t="s">
        <v>8026</v>
      </c>
      <c r="D3390" s="72" t="str">
        <f>IFERROR(VLOOKUP(A3390,'[1]ST-QA-ZZ5'!$C$5:$M$299,11,0),"Inspection at production line")</f>
        <v>Inspection at production line</v>
      </c>
    </row>
    <row r="3391" spans="1:4" ht="13.8">
      <c r="A3391" s="47" t="s">
        <v>8027</v>
      </c>
      <c r="B3391" s="92" t="s">
        <v>75</v>
      </c>
      <c r="C3391" s="92" t="s">
        <v>8028</v>
      </c>
      <c r="D3391" s="72" t="str">
        <f>IFERROR(VLOOKUP(A3391,'[1]ST-QA-ZZ5'!$C$5:$M$299,11,0),"Inspection at production line")</f>
        <v>Inspection at production line</v>
      </c>
    </row>
    <row r="3392" spans="1:4" ht="13.8">
      <c r="A3392" s="47" t="s">
        <v>8029</v>
      </c>
      <c r="B3392" s="92" t="s">
        <v>2137</v>
      </c>
      <c r="C3392" s="92" t="s">
        <v>8030</v>
      </c>
      <c r="D3392" s="72" t="str">
        <f>IFERROR(VLOOKUP(A3392,'[1]ST-QA-ZZ5'!$C$5:$M$299,11,0),"Inspection at production line")</f>
        <v>Inspection at production line</v>
      </c>
    </row>
    <row r="3393" spans="1:4" ht="13.8">
      <c r="A3393" s="47" t="s">
        <v>8031</v>
      </c>
      <c r="B3393" s="92" t="s">
        <v>1592</v>
      </c>
      <c r="C3393" s="92" t="s">
        <v>8032</v>
      </c>
      <c r="D3393" s="72" t="str">
        <f>IFERROR(VLOOKUP(A3393,'[1]ST-QA-ZZ5'!$C$5:$M$299,11,0),"Inspection at production line")</f>
        <v>Inspection at production line</v>
      </c>
    </row>
    <row r="3394" spans="1:4" ht="13.8">
      <c r="A3394" s="47" t="s">
        <v>8033</v>
      </c>
      <c r="B3394" s="92" t="s">
        <v>1781</v>
      </c>
      <c r="C3394" s="92" t="s">
        <v>8034</v>
      </c>
      <c r="D3394" s="72" t="str">
        <f>IFERROR(VLOOKUP(A3394,'[1]ST-QA-ZZ5'!$C$5:$M$299,11,0),"Inspection at production line")</f>
        <v>Inspection at production line</v>
      </c>
    </row>
    <row r="3395" spans="1:4" ht="13.8">
      <c r="A3395" s="47" t="s">
        <v>8035</v>
      </c>
      <c r="B3395" s="92" t="s">
        <v>8036</v>
      </c>
      <c r="C3395" s="92" t="s">
        <v>8036</v>
      </c>
      <c r="D3395" s="72" t="str">
        <f>IFERROR(VLOOKUP(A3395,'[1]ST-QA-ZZ5'!$C$5:$M$299,11,0),"Inspection at production line")</f>
        <v>Inspection at production line</v>
      </c>
    </row>
    <row r="3396" spans="1:4" ht="13.8">
      <c r="A3396" s="47" t="s">
        <v>8037</v>
      </c>
      <c r="B3396" s="92" t="s">
        <v>104</v>
      </c>
      <c r="C3396" s="92" t="s">
        <v>8038</v>
      </c>
      <c r="D3396" s="72" t="str">
        <f>IFERROR(VLOOKUP(A3396,'[1]ST-QA-ZZ5'!$C$5:$M$299,11,0),"Inspection at production line")</f>
        <v>Inspection at production line</v>
      </c>
    </row>
    <row r="3397" spans="1:4" ht="13.8">
      <c r="A3397" s="47" t="s">
        <v>8039</v>
      </c>
      <c r="B3397" s="92" t="s">
        <v>8040</v>
      </c>
      <c r="C3397" s="92" t="s">
        <v>8040</v>
      </c>
      <c r="D3397" s="72" t="str">
        <f>IFERROR(VLOOKUP(A3397,'[1]ST-QA-ZZ5'!$C$5:$M$299,11,0),"Inspection at production line")</f>
        <v>Inspection at production line</v>
      </c>
    </row>
    <row r="3398" spans="1:4" ht="13.8">
      <c r="A3398" s="47" t="s">
        <v>8041</v>
      </c>
      <c r="B3398" s="92" t="s">
        <v>8042</v>
      </c>
      <c r="C3398" s="92" t="s">
        <v>8042</v>
      </c>
      <c r="D3398" s="72" t="str">
        <f>IFERROR(VLOOKUP(A3398,'[1]ST-QA-ZZ5'!$C$5:$M$299,11,0),"Inspection at production line")</f>
        <v>Inspection at production line</v>
      </c>
    </row>
    <row r="3399" spans="1:4" ht="13.8">
      <c r="A3399" s="47" t="s">
        <v>8043</v>
      </c>
      <c r="B3399" s="92" t="s">
        <v>6870</v>
      </c>
      <c r="C3399" s="92" t="s">
        <v>8044</v>
      </c>
      <c r="D3399" s="72" t="str">
        <f>IFERROR(VLOOKUP(A3399,'[1]ST-QA-ZZ5'!$C$5:$M$299,11,0),"Inspection at production line")</f>
        <v>Inspection at production line</v>
      </c>
    </row>
    <row r="3400" spans="1:4" ht="13.8">
      <c r="A3400" s="47" t="s">
        <v>8045</v>
      </c>
      <c r="B3400" s="92" t="s">
        <v>1554</v>
      </c>
      <c r="C3400" s="92" t="s">
        <v>5571</v>
      </c>
      <c r="D3400" s="72" t="str">
        <f>IFERROR(VLOOKUP(A3400,'[1]ST-QA-ZZ5'!$C$5:$M$299,11,0),"Inspection at production line")</f>
        <v>Inspection at production line</v>
      </c>
    </row>
    <row r="3401" spans="1:4" ht="13.8">
      <c r="A3401" s="47" t="s">
        <v>8046</v>
      </c>
      <c r="B3401" s="92" t="s">
        <v>8047</v>
      </c>
      <c r="C3401" s="92" t="s">
        <v>8047</v>
      </c>
      <c r="D3401" s="72" t="str">
        <f>IFERROR(VLOOKUP(A3401,'[1]ST-QA-ZZ5'!$C$5:$M$299,11,0),"Inspection at production line")</f>
        <v>Inspection at production line</v>
      </c>
    </row>
    <row r="3402" spans="1:4" ht="13.8">
      <c r="A3402" s="47" t="s">
        <v>8048</v>
      </c>
      <c r="B3402" s="92" t="s">
        <v>4634</v>
      </c>
      <c r="C3402" s="92" t="s">
        <v>8049</v>
      </c>
      <c r="D3402" s="72" t="str">
        <f>IFERROR(VLOOKUP(A3402,'[1]ST-QA-ZZ5'!$C$5:$M$299,11,0),"Inspection at production line")</f>
        <v>Inspection at production line</v>
      </c>
    </row>
    <row r="3403" spans="1:4" ht="13.8">
      <c r="A3403" s="47" t="s">
        <v>8050</v>
      </c>
      <c r="B3403" s="92" t="s">
        <v>8051</v>
      </c>
      <c r="C3403" s="92" t="s">
        <v>8051</v>
      </c>
      <c r="D3403" s="72" t="str">
        <f>IFERROR(VLOOKUP(A3403,'[1]ST-QA-ZZ5'!$C$5:$M$299,11,0),"Inspection at production line")</f>
        <v>Inspection at production line</v>
      </c>
    </row>
    <row r="3404" spans="1:4" ht="13.8">
      <c r="A3404" s="47" t="s">
        <v>8052</v>
      </c>
      <c r="B3404" s="92" t="s">
        <v>8053</v>
      </c>
      <c r="C3404" s="92" t="s">
        <v>8054</v>
      </c>
      <c r="D3404" s="72" t="str">
        <f>IFERROR(VLOOKUP(A3404,'[1]ST-QA-ZZ5'!$C$5:$M$299,11,0),"Inspection at production line")</f>
        <v>Inspection at production line</v>
      </c>
    </row>
    <row r="3405" spans="1:4" ht="13.8">
      <c r="A3405" s="47" t="s">
        <v>8055</v>
      </c>
      <c r="B3405" s="92" t="s">
        <v>1954</v>
      </c>
      <c r="C3405" s="92" t="s">
        <v>8056</v>
      </c>
      <c r="D3405" s="72" t="str">
        <f>IFERROR(VLOOKUP(A3405,'[1]ST-QA-ZZ5'!$C$5:$M$299,11,0),"Inspection at production line")</f>
        <v>Inspection at production line</v>
      </c>
    </row>
    <row r="3406" spans="1:4" ht="13.8">
      <c r="A3406" s="47" t="s">
        <v>8057</v>
      </c>
      <c r="B3406" s="92" t="s">
        <v>1954</v>
      </c>
      <c r="C3406" s="92" t="s">
        <v>8058</v>
      </c>
      <c r="D3406" s="72" t="str">
        <f>IFERROR(VLOOKUP(A3406,'[1]ST-QA-ZZ5'!$C$5:$M$299,11,0),"Inspection at production line")</f>
        <v>Inspection at production line</v>
      </c>
    </row>
    <row r="3407" spans="1:4" ht="13.8">
      <c r="A3407" s="47" t="s">
        <v>8059</v>
      </c>
      <c r="B3407" s="92" t="s">
        <v>1954</v>
      </c>
      <c r="C3407" s="92" t="s">
        <v>8060</v>
      </c>
      <c r="D3407" s="72" t="str">
        <f>IFERROR(VLOOKUP(A3407,'[1]ST-QA-ZZ5'!$C$5:$M$299,11,0),"Inspection at production line")</f>
        <v>Inspection at production line</v>
      </c>
    </row>
    <row r="3408" spans="1:4" ht="13.8">
      <c r="A3408" s="47" t="s">
        <v>8061</v>
      </c>
      <c r="B3408" s="92" t="s">
        <v>1964</v>
      </c>
      <c r="C3408" s="92" t="s">
        <v>8062</v>
      </c>
      <c r="D3408" s="72" t="str">
        <f>IFERROR(VLOOKUP(A3408,'[1]ST-QA-ZZ5'!$C$5:$M$299,11,0),"Inspection at production line")</f>
        <v>Inspection at production line</v>
      </c>
    </row>
    <row r="3409" spans="1:4" ht="13.8">
      <c r="A3409" s="47" t="s">
        <v>8063</v>
      </c>
      <c r="B3409" s="92" t="s">
        <v>1964</v>
      </c>
      <c r="C3409" s="92" t="s">
        <v>8064</v>
      </c>
      <c r="D3409" s="72" t="str">
        <f>IFERROR(VLOOKUP(A3409,'[1]ST-QA-ZZ5'!$C$5:$M$299,11,0),"Inspection at production line")</f>
        <v>Inspection at production line</v>
      </c>
    </row>
    <row r="3410" spans="1:4" ht="13.8">
      <c r="A3410" s="47" t="s">
        <v>8065</v>
      </c>
      <c r="B3410" s="92" t="s">
        <v>8066</v>
      </c>
      <c r="C3410" s="92" t="s">
        <v>8066</v>
      </c>
      <c r="D3410" s="72" t="str">
        <f>IFERROR(VLOOKUP(A3410,'[1]ST-QA-ZZ5'!$C$5:$M$299,11,0),"Inspection at production line")</f>
        <v>Inspection at production line</v>
      </c>
    </row>
    <row r="3411" spans="1:4" ht="13.8">
      <c r="A3411" s="47" t="s">
        <v>8067</v>
      </c>
      <c r="B3411" s="92" t="s">
        <v>8068</v>
      </c>
      <c r="C3411" s="92" t="s">
        <v>8068</v>
      </c>
      <c r="D3411" s="72" t="str">
        <f>IFERROR(VLOOKUP(A3411,'[1]ST-QA-ZZ5'!$C$5:$M$299,11,0),"Inspection at production line")</f>
        <v>Inspection at production line</v>
      </c>
    </row>
    <row r="3412" spans="1:4" ht="13.8">
      <c r="A3412" s="47" t="s">
        <v>8069</v>
      </c>
      <c r="B3412" s="92" t="s">
        <v>119</v>
      </c>
      <c r="C3412" s="94" t="s">
        <v>8070</v>
      </c>
      <c r="D3412" s="72" t="str">
        <f>IFERROR(VLOOKUP(A3412,'[1]ST-QA-ZZ5'!$C$5:$M$299,11,0),"Inspection at production line")</f>
        <v>Inspection at production line</v>
      </c>
    </row>
    <row r="3413" spans="1:4" ht="13.8">
      <c r="A3413" s="47" t="s">
        <v>8071</v>
      </c>
      <c r="B3413" s="92" t="s">
        <v>8072</v>
      </c>
      <c r="C3413" s="92" t="s">
        <v>8072</v>
      </c>
      <c r="D3413" s="72" t="str">
        <f>IFERROR(VLOOKUP(A3413,'[1]ST-QA-ZZ5'!$C$5:$M$299,11,0),"Inspection at production line")</f>
        <v>Inspection at production line</v>
      </c>
    </row>
    <row r="3414" spans="1:4" ht="13.8">
      <c r="A3414" s="47" t="s">
        <v>5277</v>
      </c>
      <c r="B3414" s="92" t="s">
        <v>119</v>
      </c>
      <c r="C3414" s="92" t="s">
        <v>5278</v>
      </c>
      <c r="D3414" s="72" t="str">
        <f>IFERROR(VLOOKUP(A3414,'[1]ST-QA-ZZ5'!$C$5:$M$299,11,0),"Inspection at production line")</f>
        <v>Inspection at production line</v>
      </c>
    </row>
    <row r="3415" spans="1:4" ht="13.8">
      <c r="A3415" s="47" t="s">
        <v>8073</v>
      </c>
      <c r="B3415" s="92" t="s">
        <v>2024</v>
      </c>
      <c r="C3415" s="92" t="s">
        <v>8074</v>
      </c>
      <c r="D3415" s="72" t="str">
        <f>IFERROR(VLOOKUP(A3415,'[1]ST-QA-ZZ5'!$C$5:$M$299,11,0),"Inspection at production line")</f>
        <v>Inspection at production line</v>
      </c>
    </row>
    <row r="3416" spans="1:4" ht="13.8">
      <c r="A3416" s="47" t="s">
        <v>8075</v>
      </c>
      <c r="B3416" s="92" t="s">
        <v>8076</v>
      </c>
      <c r="C3416" s="92" t="s">
        <v>8076</v>
      </c>
      <c r="D3416" s="72" t="str">
        <f>IFERROR(VLOOKUP(A3416,'[1]ST-QA-ZZ5'!$C$5:$M$299,11,0),"Inspection at production line")</f>
        <v>Inspection at production line</v>
      </c>
    </row>
    <row r="3417" spans="1:4" ht="13.8">
      <c r="A3417" s="47" t="s">
        <v>8077</v>
      </c>
      <c r="B3417" s="92" t="s">
        <v>4634</v>
      </c>
      <c r="C3417" s="92" t="s">
        <v>8078</v>
      </c>
      <c r="D3417" s="72" t="str">
        <f>IFERROR(VLOOKUP(A3417,'[1]ST-QA-ZZ5'!$C$5:$M$299,11,0),"Inspection at production line")</f>
        <v>Inspection at production line</v>
      </c>
    </row>
    <row r="3418" spans="1:4" ht="13.8">
      <c r="A3418" s="47" t="s">
        <v>8079</v>
      </c>
      <c r="B3418" s="92" t="s">
        <v>8080</v>
      </c>
      <c r="C3418" s="92" t="s">
        <v>8080</v>
      </c>
      <c r="D3418" s="72" t="str">
        <f>IFERROR(VLOOKUP(A3418,'[1]ST-QA-ZZ5'!$C$5:$M$299,11,0),"Inspection at production line")</f>
        <v>Inspection at production line</v>
      </c>
    </row>
    <row r="3419" spans="1:4" ht="13.8">
      <c r="A3419" s="47" t="s">
        <v>5340</v>
      </c>
      <c r="B3419" s="92" t="s">
        <v>1554</v>
      </c>
      <c r="C3419" s="92" t="s">
        <v>5341</v>
      </c>
      <c r="D3419" s="72" t="str">
        <f>IFERROR(VLOOKUP(A3419,'[1]ST-QA-ZZ5'!$C$5:$M$299,11,0),"Inspection at production line")</f>
        <v>Inspection at production line</v>
      </c>
    </row>
    <row r="3420" spans="1:4" ht="13.8">
      <c r="A3420" s="47" t="s">
        <v>8081</v>
      </c>
      <c r="B3420" s="92" t="s">
        <v>8082</v>
      </c>
      <c r="C3420" s="92" t="s">
        <v>8082</v>
      </c>
      <c r="D3420" s="72" t="str">
        <f>IFERROR(VLOOKUP(A3420,'[1]ST-QA-ZZ5'!$C$5:$M$299,11,0),"Inspection at production line")</f>
        <v>Inspection at production line</v>
      </c>
    </row>
    <row r="3421" spans="1:4" ht="13.8">
      <c r="A3421" s="47" t="s">
        <v>8083</v>
      </c>
      <c r="B3421" s="92" t="s">
        <v>1513</v>
      </c>
      <c r="C3421" s="92" t="s">
        <v>8084</v>
      </c>
      <c r="D3421" s="72" t="str">
        <f>IFERROR(VLOOKUP(A3421,'[1]ST-QA-ZZ5'!$C$5:$M$299,11,0),"Inspection at production line")</f>
        <v>Inspection at production line</v>
      </c>
    </row>
    <row r="3422" spans="1:4" ht="13.8">
      <c r="A3422" s="47" t="s">
        <v>8085</v>
      </c>
      <c r="B3422" s="92" t="s">
        <v>8086</v>
      </c>
      <c r="C3422" s="92" t="s">
        <v>8086</v>
      </c>
      <c r="D3422" s="72" t="str">
        <f>IFERROR(VLOOKUP(A3422,'[1]ST-QA-ZZ5'!$C$5:$M$299,11,0),"Inspection at production line")</f>
        <v>Inspection at production line</v>
      </c>
    </row>
    <row r="3423" spans="1:4" ht="13.8">
      <c r="A3423" s="47" t="s">
        <v>8087</v>
      </c>
      <c r="B3423" s="92" t="s">
        <v>8088</v>
      </c>
      <c r="C3423" s="92" t="s">
        <v>8089</v>
      </c>
      <c r="D3423" s="72" t="str">
        <f>IFERROR(VLOOKUP(A3423,'[1]ST-QA-ZZ5'!$C$5:$M$299,11,0),"Inspection at production line")</f>
        <v>Inspection at production line</v>
      </c>
    </row>
    <row r="3424" spans="1:4" ht="13.8">
      <c r="A3424" s="47" t="s">
        <v>8090</v>
      </c>
      <c r="B3424" s="92" t="s">
        <v>8091</v>
      </c>
      <c r="C3424" s="92" t="s">
        <v>8091</v>
      </c>
      <c r="D3424" s="72" t="str">
        <f>IFERROR(VLOOKUP(A3424,'[1]ST-QA-ZZ5'!$C$5:$M$299,11,0),"Inspection at production line")</f>
        <v>Inspection at production line</v>
      </c>
    </row>
    <row r="3425" spans="1:4" ht="13.8">
      <c r="A3425" s="47" t="s">
        <v>8092</v>
      </c>
      <c r="B3425" s="92" t="s">
        <v>1959</v>
      </c>
      <c r="C3425" s="94" t="s">
        <v>8093</v>
      </c>
      <c r="D3425" s="72" t="str">
        <f>IFERROR(VLOOKUP(A3425,'[1]ST-QA-ZZ5'!$C$5:$M$299,11,0),"Inspection at production line")</f>
        <v>Inspection at production line</v>
      </c>
    </row>
    <row r="3426" spans="1:4" ht="13.8">
      <c r="A3426" s="47" t="s">
        <v>8094</v>
      </c>
      <c r="B3426" s="92" t="s">
        <v>8095</v>
      </c>
      <c r="C3426" s="92" t="s">
        <v>8095</v>
      </c>
      <c r="D3426" s="72" t="str">
        <f>IFERROR(VLOOKUP(A3426,'[1]ST-QA-ZZ5'!$C$5:$M$299,11,0),"Inspection at production line")</f>
        <v>Inspection at production line</v>
      </c>
    </row>
    <row r="3427" spans="1:4" ht="13.8">
      <c r="A3427" s="47" t="s">
        <v>8096</v>
      </c>
      <c r="B3427" s="92" t="s">
        <v>2137</v>
      </c>
      <c r="C3427" s="92" t="s">
        <v>8097</v>
      </c>
      <c r="D3427" s="72" t="str">
        <f>IFERROR(VLOOKUP(A3427,'[1]ST-QA-ZZ5'!$C$5:$M$299,11,0),"Inspection at production line")</f>
        <v>Inspection at production line</v>
      </c>
    </row>
    <row r="3428" spans="1:4" ht="13.8">
      <c r="A3428" s="47" t="s">
        <v>8098</v>
      </c>
      <c r="B3428" s="92" t="s">
        <v>8099</v>
      </c>
      <c r="C3428" s="92" t="s">
        <v>8100</v>
      </c>
      <c r="D3428" s="72" t="str">
        <f>IFERROR(VLOOKUP(A3428,'[1]ST-QA-ZZ5'!$C$5:$M$299,11,0),"Inspection at production line")</f>
        <v>Inspection at production line</v>
      </c>
    </row>
    <row r="3429" spans="1:4" ht="13.8">
      <c r="A3429" s="47" t="s">
        <v>8101</v>
      </c>
      <c r="B3429" s="92" t="s">
        <v>6352</v>
      </c>
      <c r="C3429" s="92" t="s">
        <v>8102</v>
      </c>
      <c r="D3429" s="72" t="str">
        <f>IFERROR(VLOOKUP(A3429,'[1]ST-QA-ZZ5'!$C$5:$M$299,11,0),"Inspection at production line")</f>
        <v>Inspection at production line</v>
      </c>
    </row>
    <row r="3430" spans="1:4" ht="13.8">
      <c r="A3430" s="47" t="s">
        <v>8103</v>
      </c>
      <c r="B3430" s="92" t="s">
        <v>797</v>
      </c>
      <c r="C3430" s="92" t="s">
        <v>8104</v>
      </c>
      <c r="D3430" s="72" t="str">
        <f>IFERROR(VLOOKUP(A3430,'[1]ST-QA-ZZ5'!$C$5:$M$299,11,0),"Inspection at production line")</f>
        <v>Inspection at production line</v>
      </c>
    </row>
    <row r="3431" spans="1:4" ht="13.8">
      <c r="A3431" s="47" t="s">
        <v>8105</v>
      </c>
      <c r="B3431" s="92" t="s">
        <v>2659</v>
      </c>
      <c r="C3431" s="92" t="s">
        <v>8106</v>
      </c>
      <c r="D3431" s="72" t="str">
        <f>IFERROR(VLOOKUP(A3431,'[1]ST-QA-ZZ5'!$C$5:$M$299,11,0),"Inspection at production line")</f>
        <v>Inspection at production line</v>
      </c>
    </row>
    <row r="3432" spans="1:4" ht="13.8">
      <c r="A3432" s="47" t="s">
        <v>8107</v>
      </c>
      <c r="B3432" s="92" t="s">
        <v>8108</v>
      </c>
      <c r="C3432" s="92" t="s">
        <v>8108</v>
      </c>
      <c r="D3432" s="72" t="str">
        <f>IFERROR(VLOOKUP(A3432,'[1]ST-QA-ZZ5'!$C$5:$M$299,11,0),"Inspection at production line")</f>
        <v>Inspection at production line</v>
      </c>
    </row>
    <row r="3433" spans="1:4" ht="13.8">
      <c r="A3433" s="47" t="s">
        <v>8109</v>
      </c>
      <c r="B3433" s="92" t="s">
        <v>8110</v>
      </c>
      <c r="C3433" s="92" t="s">
        <v>8110</v>
      </c>
      <c r="D3433" s="72" t="str">
        <f>IFERROR(VLOOKUP(A3433,'[1]ST-QA-ZZ5'!$C$5:$M$299,11,0),"Inspection at production line")</f>
        <v>Inspection at production line</v>
      </c>
    </row>
    <row r="3434" spans="1:4" ht="13.8">
      <c r="A3434" s="47" t="s">
        <v>8111</v>
      </c>
      <c r="B3434" s="92" t="s">
        <v>8112</v>
      </c>
      <c r="C3434" s="92" t="s">
        <v>8112</v>
      </c>
      <c r="D3434" s="72" t="str">
        <f>IFERROR(VLOOKUP(A3434,'[1]ST-QA-ZZ5'!$C$5:$M$299,11,0),"Inspection at production line")</f>
        <v>Inspection at production line</v>
      </c>
    </row>
    <row r="3435" spans="1:4" ht="13.8">
      <c r="A3435" s="47" t="s">
        <v>8113</v>
      </c>
      <c r="B3435" s="92" t="s">
        <v>8114</v>
      </c>
      <c r="C3435" s="92" t="s">
        <v>8114</v>
      </c>
      <c r="D3435" s="72" t="str">
        <f>IFERROR(VLOOKUP(A3435,'[1]ST-QA-ZZ5'!$C$5:$M$299,11,0),"Inspection at production line")</f>
        <v>Inspection at production line</v>
      </c>
    </row>
    <row r="3436" spans="1:4" ht="13.8">
      <c r="A3436" s="47" t="s">
        <v>8115</v>
      </c>
      <c r="B3436" s="92" t="s">
        <v>8116</v>
      </c>
      <c r="C3436" s="92" t="s">
        <v>8116</v>
      </c>
      <c r="D3436" s="72" t="str">
        <f>IFERROR(VLOOKUP(A3436,'[1]ST-QA-ZZ5'!$C$5:$M$299,11,0),"Inspection at production line")</f>
        <v>Inspection at production line</v>
      </c>
    </row>
    <row r="3437" spans="1:4" ht="13.8">
      <c r="A3437" s="47" t="s">
        <v>8117</v>
      </c>
      <c r="B3437" s="92" t="s">
        <v>2137</v>
      </c>
      <c r="C3437" s="92" t="s">
        <v>8118</v>
      </c>
      <c r="D3437" s="72" t="str">
        <f>IFERROR(VLOOKUP(A3437,'[1]ST-QA-ZZ5'!$C$5:$M$299,11,0),"Inspection at production line")</f>
        <v>Inspection at production line</v>
      </c>
    </row>
    <row r="3438" spans="1:4" ht="13.8">
      <c r="A3438" s="47" t="s">
        <v>8119</v>
      </c>
      <c r="B3438" s="92" t="s">
        <v>1513</v>
      </c>
      <c r="C3438" s="92" t="s">
        <v>8120</v>
      </c>
      <c r="D3438" s="72" t="str">
        <f>IFERROR(VLOOKUP(A3438,'[1]ST-QA-ZZ5'!$C$5:$M$299,11,0),"Inspection at production line")</f>
        <v>Inspection at production line</v>
      </c>
    </row>
    <row r="3439" spans="1:4" ht="13.8">
      <c r="A3439" s="47" t="s">
        <v>8121</v>
      </c>
      <c r="B3439" s="92" t="s">
        <v>213</v>
      </c>
      <c r="C3439" s="92" t="s">
        <v>8122</v>
      </c>
      <c r="D3439" s="72" t="str">
        <f>IFERROR(VLOOKUP(A3439,'[1]ST-QA-ZZ5'!$C$5:$M$299,11,0),"Inspection at production line")</f>
        <v>Inspection at production line</v>
      </c>
    </row>
    <row r="3440" spans="1:4" ht="13.8">
      <c r="A3440" s="47" t="s">
        <v>8123</v>
      </c>
      <c r="B3440" s="92" t="s">
        <v>813</v>
      </c>
      <c r="C3440" s="92" t="s">
        <v>8124</v>
      </c>
      <c r="D3440" s="72" t="str">
        <f>IFERROR(VLOOKUP(A3440,'[1]ST-QA-ZZ5'!$C$5:$M$299,11,0),"Inspection at production line")</f>
        <v>Inspection at production line</v>
      </c>
    </row>
    <row r="3441" spans="1:4" ht="13.8">
      <c r="A3441" s="47" t="s">
        <v>8125</v>
      </c>
      <c r="B3441" s="92" t="s">
        <v>944</v>
      </c>
      <c r="C3441" s="92" t="s">
        <v>8126</v>
      </c>
      <c r="D3441" s="72" t="str">
        <f>IFERROR(VLOOKUP(A3441,'[1]ST-QA-ZZ5'!$C$5:$M$299,11,0),"Inspection at production line")</f>
        <v>Inspection at production line</v>
      </c>
    </row>
    <row r="3442" spans="1:4" ht="13.8">
      <c r="A3442" s="47" t="s">
        <v>8127</v>
      </c>
      <c r="B3442" s="92" t="s">
        <v>818</v>
      </c>
      <c r="C3442" s="92" t="s">
        <v>8128</v>
      </c>
      <c r="D3442" s="72" t="str">
        <f>IFERROR(VLOOKUP(A3442,'[1]ST-QA-ZZ5'!$C$5:$M$299,11,0),"Inspection at production line")</f>
        <v>Inspection at production line</v>
      </c>
    </row>
    <row r="3443" spans="1:4" ht="13.8">
      <c r="A3443" s="47" t="s">
        <v>8129</v>
      </c>
      <c r="B3443" s="92" t="s">
        <v>404</v>
      </c>
      <c r="C3443" s="92" t="s">
        <v>431</v>
      </c>
      <c r="D3443" s="72" t="str">
        <f>IFERROR(VLOOKUP(A3443,'[1]ST-QA-ZZ5'!$C$5:$M$299,11,0),"Inspection at production line")</f>
        <v>Inspection at production line</v>
      </c>
    </row>
    <row r="3444" spans="1:4" ht="13.8">
      <c r="A3444" s="47" t="s">
        <v>430</v>
      </c>
      <c r="B3444" s="92" t="s">
        <v>404</v>
      </c>
      <c r="C3444" s="92" t="s">
        <v>431</v>
      </c>
      <c r="D3444" s="72" t="str">
        <f>IFERROR(VLOOKUP(A3444,'[1]ST-QA-ZZ5'!$C$5:$M$299,11,0),"Inspection at production line")</f>
        <v>Inspection at production line</v>
      </c>
    </row>
    <row r="3445" spans="1:4" ht="13.8">
      <c r="A3445" s="47" t="s">
        <v>212</v>
      </c>
      <c r="B3445" s="92" t="s">
        <v>213</v>
      </c>
      <c r="C3445" s="92" t="s">
        <v>214</v>
      </c>
      <c r="D3445" s="72" t="str">
        <f>IFERROR(VLOOKUP(A3445,'[1]ST-QA-ZZ5'!$C$5:$M$299,11,0),"Inspection at production line")</f>
        <v>Inspection at production line</v>
      </c>
    </row>
    <row r="3446" spans="1:4" ht="13.8">
      <c r="A3446" s="47" t="s">
        <v>8130</v>
      </c>
      <c r="B3446" s="92" t="s">
        <v>174</v>
      </c>
      <c r="C3446" s="92" t="s">
        <v>8131</v>
      </c>
      <c r="D3446" s="72" t="str">
        <f>IFERROR(VLOOKUP(A3446,'[1]ST-QA-ZZ5'!$C$5:$M$299,11,0),"Inspection at production line")</f>
        <v>Inspection at production line</v>
      </c>
    </row>
    <row r="3447" spans="1:4" ht="13.8">
      <c r="A3447" s="47" t="s">
        <v>8132</v>
      </c>
      <c r="B3447" s="92" t="s">
        <v>8133</v>
      </c>
      <c r="C3447" s="92" t="s">
        <v>8133</v>
      </c>
      <c r="D3447" s="72" t="str">
        <f>IFERROR(VLOOKUP(A3447,'[1]ST-QA-ZZ5'!$C$5:$M$299,11,0),"Inspection at production line")</f>
        <v>Inspection at production line</v>
      </c>
    </row>
    <row r="3448" spans="1:4" ht="13.8">
      <c r="A3448" s="47" t="s">
        <v>8134</v>
      </c>
      <c r="B3448" s="92" t="s">
        <v>75</v>
      </c>
      <c r="C3448" s="92" t="s">
        <v>8135</v>
      </c>
      <c r="D3448" s="72" t="str">
        <f>IFERROR(VLOOKUP(A3448,'[1]ST-QA-ZZ5'!$C$5:$M$299,11,0),"Inspection at production line")</f>
        <v>Inspection at production line</v>
      </c>
    </row>
    <row r="3449" spans="1:4" ht="13.8">
      <c r="A3449" s="47" t="s">
        <v>8136</v>
      </c>
      <c r="B3449" s="92" t="s">
        <v>75</v>
      </c>
      <c r="C3449" s="92" t="s">
        <v>8137</v>
      </c>
      <c r="D3449" s="72" t="str">
        <f>IFERROR(VLOOKUP(A3449,'[1]ST-QA-ZZ5'!$C$5:$M$299,11,0),"Inspection at production line")</f>
        <v>Inspection at production line</v>
      </c>
    </row>
    <row r="3450" spans="1:4" ht="13.8">
      <c r="A3450" s="47" t="s">
        <v>8138</v>
      </c>
      <c r="B3450" s="92" t="s">
        <v>213</v>
      </c>
      <c r="C3450" s="92" t="s">
        <v>8139</v>
      </c>
      <c r="D3450" s="72" t="str">
        <f>IFERROR(VLOOKUP(A3450,'[1]ST-QA-ZZ5'!$C$5:$M$299,11,0),"Inspection at production line")</f>
        <v>Inspection at production line</v>
      </c>
    </row>
    <row r="3451" spans="1:4" ht="13.8">
      <c r="A3451" s="47" t="s">
        <v>8140</v>
      </c>
      <c r="B3451" s="92" t="s">
        <v>213</v>
      </c>
      <c r="C3451" s="92" t="s">
        <v>8141</v>
      </c>
      <c r="D3451" s="72" t="str">
        <f>IFERROR(VLOOKUP(A3451,'[1]ST-QA-ZZ5'!$C$5:$M$299,11,0),"Inspection at production line")</f>
        <v>Inspection at production line</v>
      </c>
    </row>
    <row r="3452" spans="1:4" ht="13.8">
      <c r="A3452" s="47" t="s">
        <v>8142</v>
      </c>
      <c r="B3452" s="92" t="s">
        <v>174</v>
      </c>
      <c r="C3452" s="92" t="s">
        <v>8143</v>
      </c>
      <c r="D3452" s="72" t="str">
        <f>IFERROR(VLOOKUP(A3452,'[1]ST-QA-ZZ5'!$C$5:$M$299,11,0),"Inspection at production line")</f>
        <v>Inspection at production line</v>
      </c>
    </row>
    <row r="3453" spans="1:4" ht="13.8">
      <c r="A3453" s="47" t="s">
        <v>8144</v>
      </c>
      <c r="B3453" s="92" t="s">
        <v>8145</v>
      </c>
      <c r="C3453" s="92" t="s">
        <v>8145</v>
      </c>
      <c r="D3453" s="72" t="str">
        <f>IFERROR(VLOOKUP(A3453,'[1]ST-QA-ZZ5'!$C$5:$M$299,11,0),"Inspection at production line")</f>
        <v>Inspection at production line</v>
      </c>
    </row>
    <row r="3454" spans="1:4" ht="13.8">
      <c r="A3454" s="47" t="s">
        <v>8146</v>
      </c>
      <c r="B3454" s="92" t="s">
        <v>8147</v>
      </c>
      <c r="C3454" s="92" t="s">
        <v>8147</v>
      </c>
      <c r="D3454" s="72" t="str">
        <f>IFERROR(VLOOKUP(A3454,'[1]ST-QA-ZZ5'!$C$5:$M$299,11,0),"Inspection at production line")</f>
        <v>Inspection at production line</v>
      </c>
    </row>
    <row r="3455" spans="1:4" ht="13.8">
      <c r="A3455" s="47" t="s">
        <v>8148</v>
      </c>
      <c r="B3455" s="92" t="s">
        <v>8149</v>
      </c>
      <c r="C3455" s="92" t="s">
        <v>8149</v>
      </c>
      <c r="D3455" s="72" t="str">
        <f>IFERROR(VLOOKUP(A3455,'[1]ST-QA-ZZ5'!$C$5:$M$299,11,0),"Inspection at production line")</f>
        <v>Inspection at production line</v>
      </c>
    </row>
    <row r="3456" spans="1:4" ht="13.8">
      <c r="A3456" s="47" t="s">
        <v>8150</v>
      </c>
      <c r="B3456" s="92" t="s">
        <v>8151</v>
      </c>
      <c r="C3456" s="92" t="s">
        <v>8151</v>
      </c>
      <c r="D3456" s="72" t="str">
        <f>IFERROR(VLOOKUP(A3456,'[1]ST-QA-ZZ5'!$C$5:$M$299,11,0),"Inspection at production line")</f>
        <v>Inspection at production line</v>
      </c>
    </row>
    <row r="3457" spans="1:4" ht="13.8">
      <c r="A3457" s="47" t="s">
        <v>8152</v>
      </c>
      <c r="B3457" s="92" t="s">
        <v>6281</v>
      </c>
      <c r="C3457" s="92" t="s">
        <v>6281</v>
      </c>
      <c r="D3457" s="72" t="str">
        <f>IFERROR(VLOOKUP(A3457,'[1]ST-QA-ZZ5'!$C$5:$M$299,11,0),"Inspection at production line")</f>
        <v>Inspection at production line</v>
      </c>
    </row>
    <row r="3458" spans="1:4" ht="13.8">
      <c r="A3458" s="47" t="s">
        <v>8153</v>
      </c>
      <c r="B3458" s="92" t="s">
        <v>8154</v>
      </c>
      <c r="C3458" s="92" t="s">
        <v>8154</v>
      </c>
      <c r="D3458" s="72" t="str">
        <f>IFERROR(VLOOKUP(A3458,'[1]ST-QA-ZZ5'!$C$5:$M$299,11,0),"Inspection at production line")</f>
        <v>Inspection at production line</v>
      </c>
    </row>
    <row r="3459" spans="1:4" ht="13.8">
      <c r="A3459" s="47" t="s">
        <v>8155</v>
      </c>
      <c r="B3459" s="92" t="s">
        <v>75</v>
      </c>
      <c r="C3459" s="92" t="s">
        <v>8156</v>
      </c>
      <c r="D3459" s="72" t="str">
        <f>IFERROR(VLOOKUP(A3459,'[1]ST-QA-ZZ5'!$C$5:$M$299,11,0),"Inspection at production line")</f>
        <v>Inspection at production line</v>
      </c>
    </row>
    <row r="3460" spans="1:4" ht="13.8">
      <c r="A3460" s="47" t="s">
        <v>532</v>
      </c>
      <c r="B3460" s="92" t="s">
        <v>304</v>
      </c>
      <c r="C3460" s="92" t="s">
        <v>533</v>
      </c>
      <c r="D3460" s="72" t="str">
        <f>IFERROR(VLOOKUP(A3460,'[1]ST-QA-ZZ5'!$C$5:$M$299,11,0),"Inspection at production line")</f>
        <v>Inspection at production line</v>
      </c>
    </row>
    <row r="3461" spans="1:4" ht="13.8">
      <c r="A3461" s="47" t="s">
        <v>8157</v>
      </c>
      <c r="B3461" s="92" t="s">
        <v>8158</v>
      </c>
      <c r="C3461" s="92" t="s">
        <v>8158</v>
      </c>
      <c r="D3461" s="72" t="str">
        <f>IFERROR(VLOOKUP(A3461,'[1]ST-QA-ZZ5'!$C$5:$M$299,11,0),"Inspection at production line")</f>
        <v>Inspection at production line</v>
      </c>
    </row>
    <row r="3462" spans="1:4" ht="13.8">
      <c r="A3462" s="47" t="s">
        <v>8159</v>
      </c>
      <c r="B3462" s="92" t="s">
        <v>8160</v>
      </c>
      <c r="C3462" s="92" t="s">
        <v>8160</v>
      </c>
      <c r="D3462" s="72" t="str">
        <f>IFERROR(VLOOKUP(A3462,'[1]ST-QA-ZZ5'!$C$5:$M$299,11,0),"Inspection at production line")</f>
        <v>Inspection at production line</v>
      </c>
    </row>
    <row r="3463" spans="1:4" ht="13.8">
      <c r="A3463" s="47" t="s">
        <v>8161</v>
      </c>
      <c r="B3463" s="92" t="s">
        <v>75</v>
      </c>
      <c r="C3463" s="92" t="s">
        <v>8162</v>
      </c>
      <c r="D3463" s="72" t="str">
        <f>IFERROR(VLOOKUP(A3463,'[1]ST-QA-ZZ5'!$C$5:$M$299,11,0),"Inspection at production line")</f>
        <v>Inspection at production line</v>
      </c>
    </row>
    <row r="3464" spans="1:4" ht="13.8">
      <c r="A3464" s="47" t="s">
        <v>8163</v>
      </c>
      <c r="B3464" s="92" t="s">
        <v>8164</v>
      </c>
      <c r="C3464" s="92" t="s">
        <v>8164</v>
      </c>
      <c r="D3464" s="72" t="str">
        <f>IFERROR(VLOOKUP(A3464,'[1]ST-QA-ZZ5'!$C$5:$M$299,11,0),"Inspection at production line")</f>
        <v>Inspection at production line</v>
      </c>
    </row>
    <row r="3465" spans="1:4" ht="13.8">
      <c r="A3465" s="47" t="s">
        <v>8165</v>
      </c>
      <c r="B3465" s="92" t="s">
        <v>75</v>
      </c>
      <c r="C3465" s="92" t="s">
        <v>8166</v>
      </c>
      <c r="D3465" s="72" t="str">
        <f>IFERROR(VLOOKUP(A3465,'[1]ST-QA-ZZ5'!$C$5:$M$299,11,0),"Inspection at production line")</f>
        <v>Inspection at production line</v>
      </c>
    </row>
    <row r="3466" spans="1:4" ht="13.8">
      <c r="A3466" s="47" t="s">
        <v>8167</v>
      </c>
      <c r="B3466" s="92" t="s">
        <v>75</v>
      </c>
      <c r="C3466" s="92" t="s">
        <v>8168</v>
      </c>
      <c r="D3466" s="72" t="str">
        <f>IFERROR(VLOOKUP(A3466,'[1]ST-QA-ZZ5'!$C$5:$M$299,11,0),"Inspection at production line")</f>
        <v>Inspection at production line</v>
      </c>
    </row>
    <row r="3467" spans="1:4" ht="13.8">
      <c r="A3467" s="47" t="s">
        <v>8169</v>
      </c>
      <c r="B3467" s="92" t="s">
        <v>75</v>
      </c>
      <c r="C3467" s="92" t="s">
        <v>8170</v>
      </c>
      <c r="D3467" s="72" t="str">
        <f>IFERROR(VLOOKUP(A3467,'[1]ST-QA-ZZ5'!$C$5:$M$299,11,0),"Inspection at production line")</f>
        <v>Inspection at production line</v>
      </c>
    </row>
    <row r="3468" spans="1:4" ht="13.8">
      <c r="A3468" s="47" t="s">
        <v>8171</v>
      </c>
      <c r="B3468" s="92" t="s">
        <v>75</v>
      </c>
      <c r="C3468" s="92" t="s">
        <v>8172</v>
      </c>
      <c r="D3468" s="72" t="str">
        <f>IFERROR(VLOOKUP(A3468,'[1]ST-QA-ZZ5'!$C$5:$M$299,11,0),"Inspection at production line")</f>
        <v>Inspection at production line</v>
      </c>
    </row>
    <row r="3469" spans="1:4" ht="13.8">
      <c r="A3469" s="47" t="s">
        <v>8173</v>
      </c>
      <c r="B3469" s="92" t="s">
        <v>75</v>
      </c>
      <c r="C3469" s="92" t="s">
        <v>8174</v>
      </c>
      <c r="D3469" s="72" t="str">
        <f>IFERROR(VLOOKUP(A3469,'[1]ST-QA-ZZ5'!$C$5:$M$299,11,0),"Inspection at production line")</f>
        <v>Inspection at production line</v>
      </c>
    </row>
    <row r="3470" spans="1:4" ht="13.8">
      <c r="A3470" s="47" t="s">
        <v>8175</v>
      </c>
      <c r="B3470" s="92" t="s">
        <v>75</v>
      </c>
      <c r="C3470" s="92" t="s">
        <v>8176</v>
      </c>
      <c r="D3470" s="72" t="str">
        <f>IFERROR(VLOOKUP(A3470,'[1]ST-QA-ZZ5'!$C$5:$M$299,11,0),"Inspection at production line")</f>
        <v>Inspection at production line</v>
      </c>
    </row>
    <row r="3471" spans="1:4" ht="13.8">
      <c r="A3471" s="47" t="s">
        <v>8177</v>
      </c>
      <c r="B3471" s="92" t="s">
        <v>75</v>
      </c>
      <c r="C3471" s="92" t="s">
        <v>8178</v>
      </c>
      <c r="D3471" s="72" t="str">
        <f>IFERROR(VLOOKUP(A3471,'[1]ST-QA-ZZ5'!$C$5:$M$299,11,0),"Inspection at production line")</f>
        <v>Inspection at production line</v>
      </c>
    </row>
    <row r="3472" spans="1:4" ht="13.8">
      <c r="A3472" s="47" t="s">
        <v>8179</v>
      </c>
      <c r="B3472" s="92" t="s">
        <v>75</v>
      </c>
      <c r="C3472" s="92" t="s">
        <v>8180</v>
      </c>
      <c r="D3472" s="72" t="str">
        <f>IFERROR(VLOOKUP(A3472,'[1]ST-QA-ZZ5'!$C$5:$M$299,11,0),"Inspection at production line")</f>
        <v>Inspection at production line</v>
      </c>
    </row>
    <row r="3473" spans="1:4" ht="13.8">
      <c r="A3473" s="47" t="s">
        <v>8181</v>
      </c>
      <c r="B3473" s="92" t="s">
        <v>75</v>
      </c>
      <c r="C3473" s="92" t="s">
        <v>8182</v>
      </c>
      <c r="D3473" s="72" t="str">
        <f>IFERROR(VLOOKUP(A3473,'[1]ST-QA-ZZ5'!$C$5:$M$299,11,0),"Inspection at production line")</f>
        <v>Inspection at production line</v>
      </c>
    </row>
    <row r="3474" spans="1:4" ht="13.8">
      <c r="A3474" s="47" t="s">
        <v>8183</v>
      </c>
      <c r="B3474" s="92" t="s">
        <v>75</v>
      </c>
      <c r="C3474" s="92" t="s">
        <v>8184</v>
      </c>
      <c r="D3474" s="72" t="str">
        <f>IFERROR(VLOOKUP(A3474,'[1]ST-QA-ZZ5'!$C$5:$M$299,11,0),"Inspection at production line")</f>
        <v>Inspection at production line</v>
      </c>
    </row>
    <row r="3475" spans="1:4" ht="13.8">
      <c r="A3475" s="47" t="s">
        <v>8185</v>
      </c>
      <c r="B3475" s="92" t="s">
        <v>75</v>
      </c>
      <c r="C3475" s="92" t="s">
        <v>8186</v>
      </c>
      <c r="D3475" s="72" t="str">
        <f>IFERROR(VLOOKUP(A3475,'[1]ST-QA-ZZ5'!$C$5:$M$299,11,0),"Inspection at production line")</f>
        <v>Inspection at production line</v>
      </c>
    </row>
    <row r="3476" spans="1:4" ht="13.8">
      <c r="A3476" s="47" t="s">
        <v>8187</v>
      </c>
      <c r="B3476" s="92" t="s">
        <v>75</v>
      </c>
      <c r="C3476" s="92" t="s">
        <v>8188</v>
      </c>
      <c r="D3476" s="72" t="str">
        <f>IFERROR(VLOOKUP(A3476,'[1]ST-QA-ZZ5'!$C$5:$M$299,11,0),"Inspection at production line")</f>
        <v>Inspection at production line</v>
      </c>
    </row>
    <row r="3477" spans="1:4" ht="13.8">
      <c r="A3477" s="47" t="s">
        <v>8189</v>
      </c>
      <c r="B3477" s="92" t="s">
        <v>75</v>
      </c>
      <c r="C3477" s="92" t="s">
        <v>8190</v>
      </c>
      <c r="D3477" s="72" t="str">
        <f>IFERROR(VLOOKUP(A3477,'[1]ST-QA-ZZ5'!$C$5:$M$299,11,0),"Inspection at production line")</f>
        <v>Inspection at production line</v>
      </c>
    </row>
    <row r="3478" spans="1:4" ht="13.8">
      <c r="A3478" s="47" t="s">
        <v>8191</v>
      </c>
      <c r="B3478" s="92" t="s">
        <v>75</v>
      </c>
      <c r="C3478" s="92" t="s">
        <v>8192</v>
      </c>
      <c r="D3478" s="72" t="str">
        <f>IFERROR(VLOOKUP(A3478,'[1]ST-QA-ZZ5'!$C$5:$M$299,11,0),"Inspection at production line")</f>
        <v>Inspection at production line</v>
      </c>
    </row>
    <row r="3479" spans="1:4" ht="13.8">
      <c r="A3479" s="47" t="s">
        <v>8193</v>
      </c>
      <c r="B3479" s="92" t="s">
        <v>1896</v>
      </c>
      <c r="C3479" s="92" t="s">
        <v>8194</v>
      </c>
      <c r="D3479" s="72" t="str">
        <f>IFERROR(VLOOKUP(A3479,'[1]ST-QA-ZZ5'!$C$5:$M$299,11,0),"Inspection at production line")</f>
        <v>Inspection at production line</v>
      </c>
    </row>
    <row r="3480" spans="1:4" ht="13.8">
      <c r="A3480" s="47" t="s">
        <v>8195</v>
      </c>
      <c r="B3480" s="92" t="s">
        <v>1896</v>
      </c>
      <c r="C3480" s="92" t="s">
        <v>8196</v>
      </c>
      <c r="D3480" s="72" t="str">
        <f>IFERROR(VLOOKUP(A3480,'[1]ST-QA-ZZ5'!$C$5:$M$299,11,0),"Inspection at production line")</f>
        <v>Inspection at production line</v>
      </c>
    </row>
    <row r="3481" spans="1:4" ht="13.8">
      <c r="A3481" s="47" t="s">
        <v>8197</v>
      </c>
      <c r="B3481" s="92" t="s">
        <v>1896</v>
      </c>
      <c r="C3481" s="92" t="s">
        <v>8198</v>
      </c>
      <c r="D3481" s="72" t="str">
        <f>IFERROR(VLOOKUP(A3481,'[1]ST-QA-ZZ5'!$C$5:$M$299,11,0),"Inspection at production line")</f>
        <v>Inspection at production line</v>
      </c>
    </row>
    <row r="3482" spans="1:4" ht="13.8">
      <c r="A3482" s="47" t="s">
        <v>8199</v>
      </c>
      <c r="B3482" s="92" t="s">
        <v>1543</v>
      </c>
      <c r="C3482" s="92" t="s">
        <v>8200</v>
      </c>
      <c r="D3482" s="72" t="str">
        <f>IFERROR(VLOOKUP(A3482,'[1]ST-QA-ZZ5'!$C$5:$M$299,11,0),"Inspection at production line")</f>
        <v>Inspection at production line</v>
      </c>
    </row>
    <row r="3483" spans="1:4" ht="13.8">
      <c r="A3483" s="47" t="s">
        <v>8201</v>
      </c>
      <c r="B3483" s="92" t="s">
        <v>1543</v>
      </c>
      <c r="C3483" s="92" t="s">
        <v>8202</v>
      </c>
      <c r="D3483" s="72" t="str">
        <f>IFERROR(VLOOKUP(A3483,'[1]ST-QA-ZZ5'!$C$5:$M$299,11,0),"Inspection at production line")</f>
        <v>Inspection at production line</v>
      </c>
    </row>
    <row r="3484" spans="1:4" ht="13.8">
      <c r="A3484" s="47" t="s">
        <v>8203</v>
      </c>
      <c r="B3484" s="92" t="s">
        <v>75</v>
      </c>
      <c r="C3484" s="92" t="s">
        <v>8204</v>
      </c>
      <c r="D3484" s="72" t="str">
        <f>IFERROR(VLOOKUP(A3484,'[1]ST-QA-ZZ5'!$C$5:$M$299,11,0),"Inspection at production line")</f>
        <v>Inspection at production line</v>
      </c>
    </row>
    <row r="3485" spans="1:4" ht="13.8">
      <c r="A3485" s="47" t="s">
        <v>8205</v>
      </c>
      <c r="B3485" s="92" t="s">
        <v>75</v>
      </c>
      <c r="C3485" s="92" t="s">
        <v>8206</v>
      </c>
      <c r="D3485" s="72" t="str">
        <f>IFERROR(VLOOKUP(A3485,'[1]ST-QA-ZZ5'!$C$5:$M$299,11,0),"Inspection at production line")</f>
        <v>Inspection at production line</v>
      </c>
    </row>
    <row r="3486" spans="1:4" ht="13.8">
      <c r="A3486" s="47" t="s">
        <v>8207</v>
      </c>
      <c r="B3486" s="92" t="s">
        <v>75</v>
      </c>
      <c r="C3486" s="92" t="s">
        <v>8208</v>
      </c>
      <c r="D3486" s="72" t="str">
        <f>IFERROR(VLOOKUP(A3486,'[1]ST-QA-ZZ5'!$C$5:$M$299,11,0),"Inspection at production line")</f>
        <v>Inspection at production line</v>
      </c>
    </row>
    <row r="3487" spans="1:4" ht="13.8">
      <c r="A3487" s="47" t="s">
        <v>8209</v>
      </c>
      <c r="B3487" s="92" t="s">
        <v>75</v>
      </c>
      <c r="C3487" s="92" t="s">
        <v>8210</v>
      </c>
      <c r="D3487" s="72" t="str">
        <f>IFERROR(VLOOKUP(A3487,'[1]ST-QA-ZZ5'!$C$5:$M$299,11,0),"Inspection at production line")</f>
        <v>Inspection at production line</v>
      </c>
    </row>
    <row r="3488" spans="1:4" ht="13.8">
      <c r="A3488" s="47" t="s">
        <v>8211</v>
      </c>
      <c r="B3488" s="92" t="s">
        <v>75</v>
      </c>
      <c r="C3488" s="92" t="s">
        <v>8212</v>
      </c>
      <c r="D3488" s="72" t="str">
        <f>IFERROR(VLOOKUP(A3488,'[1]ST-QA-ZZ5'!$C$5:$M$299,11,0),"Inspection at production line")</f>
        <v>Inspection at production line</v>
      </c>
    </row>
    <row r="3489" spans="1:4" ht="13.8">
      <c r="A3489" s="47" t="s">
        <v>8213</v>
      </c>
      <c r="B3489" s="92" t="s">
        <v>75</v>
      </c>
      <c r="C3489" s="92" t="s">
        <v>8214</v>
      </c>
      <c r="D3489" s="72" t="str">
        <f>IFERROR(VLOOKUP(A3489,'[1]ST-QA-ZZ5'!$C$5:$M$299,11,0),"Inspection at production line")</f>
        <v>Inspection at production line</v>
      </c>
    </row>
    <row r="3490" spans="1:4" ht="13.8">
      <c r="A3490" s="47" t="s">
        <v>8215</v>
      </c>
      <c r="B3490" s="92" t="s">
        <v>75</v>
      </c>
      <c r="C3490" s="92" t="s">
        <v>8216</v>
      </c>
      <c r="D3490" s="72" t="str">
        <f>IFERROR(VLOOKUP(A3490,'[1]ST-QA-ZZ5'!$C$5:$M$299,11,0),"Inspection at production line")</f>
        <v>Inspection at production line</v>
      </c>
    </row>
    <row r="3491" spans="1:4" ht="13.8">
      <c r="A3491" s="47" t="s">
        <v>8217</v>
      </c>
      <c r="B3491" s="92" t="s">
        <v>75</v>
      </c>
      <c r="C3491" s="92" t="s">
        <v>8218</v>
      </c>
      <c r="D3491" s="72" t="str">
        <f>IFERROR(VLOOKUP(A3491,'[1]ST-QA-ZZ5'!$C$5:$M$299,11,0),"Inspection at production line")</f>
        <v>Inspection at production line</v>
      </c>
    </row>
    <row r="3492" spans="1:4" ht="13.8">
      <c r="A3492" s="47" t="s">
        <v>8219</v>
      </c>
      <c r="B3492" s="92" t="s">
        <v>75</v>
      </c>
      <c r="C3492" s="92" t="s">
        <v>8220</v>
      </c>
      <c r="D3492" s="72" t="str">
        <f>IFERROR(VLOOKUP(A3492,'[1]ST-QA-ZZ5'!$C$5:$M$299,11,0),"Inspection at production line")</f>
        <v>Inspection at production line</v>
      </c>
    </row>
    <row r="3493" spans="1:4" ht="13.8">
      <c r="A3493" s="47" t="s">
        <v>8221</v>
      </c>
      <c r="B3493" s="92" t="s">
        <v>75</v>
      </c>
      <c r="C3493" s="92" t="s">
        <v>8222</v>
      </c>
      <c r="D3493" s="72" t="str">
        <f>IFERROR(VLOOKUP(A3493,'[1]ST-QA-ZZ5'!$C$5:$M$299,11,0),"Inspection at production line")</f>
        <v>Inspection at production line</v>
      </c>
    </row>
    <row r="3494" spans="1:4" ht="13.8">
      <c r="A3494" s="47" t="s">
        <v>8223</v>
      </c>
      <c r="B3494" s="92" t="s">
        <v>75</v>
      </c>
      <c r="C3494" s="92" t="s">
        <v>8224</v>
      </c>
      <c r="D3494" s="72" t="str">
        <f>IFERROR(VLOOKUP(A3494,'[1]ST-QA-ZZ5'!$C$5:$M$299,11,0),"Inspection at production line")</f>
        <v>Inspection at production line</v>
      </c>
    </row>
    <row r="3495" spans="1:4" ht="13.8">
      <c r="A3495" s="47" t="s">
        <v>8225</v>
      </c>
      <c r="B3495" s="92" t="s">
        <v>75</v>
      </c>
      <c r="C3495" s="92" t="s">
        <v>8226</v>
      </c>
      <c r="D3495" s="72" t="str">
        <f>IFERROR(VLOOKUP(A3495,'[1]ST-QA-ZZ5'!$C$5:$M$299,11,0),"Inspection at production line")</f>
        <v>Inspection at production line</v>
      </c>
    </row>
    <row r="3496" spans="1:4" ht="13.8">
      <c r="A3496" s="47" t="s">
        <v>8227</v>
      </c>
      <c r="B3496" s="92" t="s">
        <v>1554</v>
      </c>
      <c r="C3496" s="92" t="s">
        <v>8228</v>
      </c>
      <c r="D3496" s="72" t="str">
        <f>IFERROR(VLOOKUP(A3496,'[1]ST-QA-ZZ5'!$C$5:$M$299,11,0),"Inspection at production line")</f>
        <v>Inspection at production line</v>
      </c>
    </row>
    <row r="3497" spans="1:4" ht="13.8">
      <c r="A3497" s="47" t="s">
        <v>8229</v>
      </c>
      <c r="B3497" s="92" t="s">
        <v>1554</v>
      </c>
      <c r="C3497" s="92" t="s">
        <v>8230</v>
      </c>
      <c r="D3497" s="72" t="str">
        <f>IFERROR(VLOOKUP(A3497,'[1]ST-QA-ZZ5'!$C$5:$M$299,11,0),"Inspection at production line")</f>
        <v>Inspection at production line</v>
      </c>
    </row>
    <row r="3498" spans="1:4" ht="13.8">
      <c r="A3498" s="47" t="s">
        <v>8231</v>
      </c>
      <c r="B3498" s="92" t="s">
        <v>1554</v>
      </c>
      <c r="C3498" s="92" t="s">
        <v>8232</v>
      </c>
      <c r="D3498" s="72" t="str">
        <f>IFERROR(VLOOKUP(A3498,'[1]ST-QA-ZZ5'!$C$5:$M$299,11,0),"Inspection at production line")</f>
        <v>Inspection at production line</v>
      </c>
    </row>
    <row r="3499" spans="1:4" ht="13.8">
      <c r="A3499" s="47" t="s">
        <v>8233</v>
      </c>
      <c r="B3499" s="92" t="s">
        <v>75</v>
      </c>
      <c r="C3499" s="92" t="s">
        <v>8234</v>
      </c>
      <c r="D3499" s="72" t="str">
        <f>IFERROR(VLOOKUP(A3499,'[1]ST-QA-ZZ5'!$C$5:$M$299,11,0),"Inspection at production line")</f>
        <v>Inspection at production line</v>
      </c>
    </row>
    <row r="3500" spans="1:4" ht="13.8">
      <c r="A3500" s="47" t="s">
        <v>8235</v>
      </c>
      <c r="B3500" s="92" t="s">
        <v>1554</v>
      </c>
      <c r="C3500" s="92" t="s">
        <v>6348</v>
      </c>
      <c r="D3500" s="72" t="str">
        <f>IFERROR(VLOOKUP(A3500,'[1]ST-QA-ZZ5'!$C$5:$M$299,11,0),"Inspection at production line")</f>
        <v>Inspection at production line</v>
      </c>
    </row>
    <row r="3501" spans="1:4" ht="13.8">
      <c r="A3501" s="47" t="s">
        <v>8236</v>
      </c>
      <c r="B3501" s="92" t="s">
        <v>75</v>
      </c>
      <c r="C3501" s="92" t="s">
        <v>8237</v>
      </c>
      <c r="D3501" s="72" t="str">
        <f>IFERROR(VLOOKUP(A3501,'[1]ST-QA-ZZ5'!$C$5:$M$299,11,0),"Inspection at production line")</f>
        <v>Inspection at production line</v>
      </c>
    </row>
    <row r="3502" spans="1:4" ht="13.8">
      <c r="A3502" s="47" t="s">
        <v>8238</v>
      </c>
      <c r="B3502" s="92" t="s">
        <v>1554</v>
      </c>
      <c r="C3502" s="92" t="s">
        <v>8239</v>
      </c>
      <c r="D3502" s="72" t="str">
        <f>IFERROR(VLOOKUP(A3502,'[1]ST-QA-ZZ5'!$C$5:$M$299,11,0),"Inspection at production line")</f>
        <v>Inspection at production line</v>
      </c>
    </row>
    <row r="3503" spans="1:4" ht="13.8">
      <c r="A3503" s="47" t="s">
        <v>8240</v>
      </c>
      <c r="B3503" s="92" t="s">
        <v>104</v>
      </c>
      <c r="C3503" s="92" t="s">
        <v>6373</v>
      </c>
      <c r="D3503" s="72" t="str">
        <f>IFERROR(VLOOKUP(A3503,'[1]ST-QA-ZZ5'!$C$5:$M$299,11,0),"Inspection at production line")</f>
        <v>Inspection at production line</v>
      </c>
    </row>
    <row r="3504" spans="1:4" ht="13.8">
      <c r="A3504" s="47" t="s">
        <v>8241</v>
      </c>
      <c r="B3504" s="92" t="s">
        <v>8242</v>
      </c>
      <c r="C3504" s="92" t="s">
        <v>8242</v>
      </c>
      <c r="D3504" s="72" t="str">
        <f>IFERROR(VLOOKUP(A3504,'[1]ST-QA-ZZ5'!$C$5:$M$299,11,0),"Inspection at production line")</f>
        <v>Inspection at production line</v>
      </c>
    </row>
    <row r="3505" spans="1:4" ht="13.8">
      <c r="A3505" s="47" t="s">
        <v>2633</v>
      </c>
      <c r="B3505" s="92" t="s">
        <v>174</v>
      </c>
      <c r="C3505" s="92" t="s">
        <v>476</v>
      </c>
      <c r="D3505" s="72" t="str">
        <f>IFERROR(VLOOKUP(A3505,'[1]ST-QA-ZZ5'!$C$5:$M$299,11,0),"Inspection at production line")</f>
        <v>Inspection at production line</v>
      </c>
    </row>
    <row r="3506" spans="1:4" ht="13.8">
      <c r="A3506" s="47" t="s">
        <v>8243</v>
      </c>
      <c r="B3506" s="92" t="s">
        <v>174</v>
      </c>
      <c r="C3506" s="92" t="s">
        <v>517</v>
      </c>
      <c r="D3506" s="72" t="str">
        <f>IFERROR(VLOOKUP(A3506,'[1]ST-QA-ZZ5'!$C$5:$M$299,11,0),"Inspection at production line")</f>
        <v>Inspection at production line</v>
      </c>
    </row>
    <row r="3507" spans="1:4" ht="13.8">
      <c r="A3507" s="47" t="s">
        <v>8244</v>
      </c>
      <c r="B3507" s="92" t="s">
        <v>174</v>
      </c>
      <c r="C3507" s="92" t="s">
        <v>2005</v>
      </c>
      <c r="D3507" s="72" t="str">
        <f>IFERROR(VLOOKUP(A3507,'[1]ST-QA-ZZ5'!$C$5:$M$299,11,0),"Inspection at production line")</f>
        <v>Inspection at production line</v>
      </c>
    </row>
    <row r="3508" spans="1:4" ht="13.8">
      <c r="A3508" s="47" t="s">
        <v>8245</v>
      </c>
      <c r="B3508" s="92" t="s">
        <v>174</v>
      </c>
      <c r="C3508" s="92" t="s">
        <v>5115</v>
      </c>
      <c r="D3508" s="72" t="str">
        <f>IFERROR(VLOOKUP(A3508,'[1]ST-QA-ZZ5'!$C$5:$M$299,11,0),"Inspection at production line")</f>
        <v>Inspection at production line</v>
      </c>
    </row>
    <row r="3509" spans="1:4" ht="13.8">
      <c r="A3509" s="47" t="s">
        <v>8246</v>
      </c>
      <c r="B3509" s="92" t="s">
        <v>174</v>
      </c>
      <c r="C3509" s="92" t="s">
        <v>498</v>
      </c>
      <c r="D3509" s="72" t="str">
        <f>IFERROR(VLOOKUP(A3509,'[1]ST-QA-ZZ5'!$C$5:$M$299,11,0),"Inspection at production line")</f>
        <v>Inspection at production line</v>
      </c>
    </row>
    <row r="3510" spans="1:4" ht="13.8">
      <c r="A3510" s="47" t="s">
        <v>4985</v>
      </c>
      <c r="B3510" s="92" t="s">
        <v>304</v>
      </c>
      <c r="C3510" s="92" t="s">
        <v>8247</v>
      </c>
      <c r="D3510" s="72" t="str">
        <f>IFERROR(VLOOKUP(A3510,'[1]ST-QA-ZZ5'!$C$5:$M$299,11,0),"Inspection at production line")</f>
        <v>Inspection at production line</v>
      </c>
    </row>
    <row r="3511" spans="1:4" ht="13.8">
      <c r="A3511" s="47" t="s">
        <v>8248</v>
      </c>
      <c r="B3511" s="92" t="s">
        <v>4075</v>
      </c>
      <c r="C3511" s="92" t="s">
        <v>8249</v>
      </c>
      <c r="D3511" s="72" t="str">
        <f>IFERROR(VLOOKUP(A3511,'[1]ST-QA-ZZ5'!$C$5:$M$299,11,0),"Inspection at production line")</f>
        <v>Inspection at production line</v>
      </c>
    </row>
    <row r="3512" spans="1:4" ht="13.8">
      <c r="A3512" s="47" t="s">
        <v>8250</v>
      </c>
      <c r="B3512" s="92" t="s">
        <v>104</v>
      </c>
      <c r="C3512" s="92" t="s">
        <v>8251</v>
      </c>
      <c r="D3512" s="72" t="str">
        <f>IFERROR(VLOOKUP(A3512,'[1]ST-QA-ZZ5'!$C$5:$M$299,11,0),"Inspection at production line")</f>
        <v>Inspection at production line</v>
      </c>
    </row>
    <row r="3513" spans="1:4" ht="13.8">
      <c r="A3513" s="47" t="s">
        <v>8252</v>
      </c>
      <c r="B3513" s="92" t="s">
        <v>5996</v>
      </c>
      <c r="C3513" s="92" t="s">
        <v>8253</v>
      </c>
      <c r="D3513" s="72" t="str">
        <f>IFERROR(VLOOKUP(A3513,'[1]ST-QA-ZZ5'!$C$5:$M$299,11,0),"Inspection at production line")</f>
        <v>Inspection at production line</v>
      </c>
    </row>
    <row r="3514" spans="1:4" ht="13.8">
      <c r="A3514" s="47" t="s">
        <v>8254</v>
      </c>
      <c r="B3514" s="92" t="s">
        <v>4075</v>
      </c>
      <c r="C3514" s="92" t="s">
        <v>8255</v>
      </c>
      <c r="D3514" s="72" t="str">
        <f>IFERROR(VLOOKUP(A3514,'[1]ST-QA-ZZ5'!$C$5:$M$299,11,0),"Inspection at production line")</f>
        <v>Inspection at production line</v>
      </c>
    </row>
    <row r="3515" spans="1:4" ht="13.8">
      <c r="A3515" s="47" t="s">
        <v>8256</v>
      </c>
      <c r="B3515" s="92" t="s">
        <v>8257</v>
      </c>
      <c r="C3515" s="92" t="s">
        <v>8257</v>
      </c>
      <c r="D3515" s="72" t="str">
        <f>IFERROR(VLOOKUP(A3515,'[1]ST-QA-ZZ5'!$C$5:$M$299,11,0),"Inspection at production line")</f>
        <v>Inspection at production line</v>
      </c>
    </row>
    <row r="3516" spans="1:4" ht="13.8">
      <c r="A3516" s="47" t="s">
        <v>8258</v>
      </c>
      <c r="B3516" s="92" t="s">
        <v>8259</v>
      </c>
      <c r="C3516" s="92" t="s">
        <v>8259</v>
      </c>
      <c r="D3516" s="72" t="str">
        <f>IFERROR(VLOOKUP(A3516,'[1]ST-QA-ZZ5'!$C$5:$M$299,11,0),"Inspection at production line")</f>
        <v>Inspection at production line</v>
      </c>
    </row>
    <row r="3517" spans="1:4" ht="13.8">
      <c r="A3517" s="47" t="s">
        <v>8260</v>
      </c>
      <c r="B3517" s="92" t="s">
        <v>8261</v>
      </c>
      <c r="C3517" s="92" t="s">
        <v>8261</v>
      </c>
      <c r="D3517" s="72" t="str">
        <f>IFERROR(VLOOKUP(A3517,'[1]ST-QA-ZZ5'!$C$5:$M$299,11,0),"Inspection at production line")</f>
        <v>Inspection at production line</v>
      </c>
    </row>
    <row r="3518" spans="1:4" ht="13.8">
      <c r="A3518" s="47" t="s">
        <v>8262</v>
      </c>
      <c r="B3518" s="92" t="s">
        <v>8263</v>
      </c>
      <c r="C3518" s="92" t="s">
        <v>8263</v>
      </c>
      <c r="D3518" s="72" t="str">
        <f>IFERROR(VLOOKUP(A3518,'[1]ST-QA-ZZ5'!$C$5:$M$299,11,0),"Inspection at production line")</f>
        <v>Inspection at production line</v>
      </c>
    </row>
    <row r="3519" spans="1:4" ht="13.8">
      <c r="A3519" s="47" t="s">
        <v>8264</v>
      </c>
      <c r="B3519" s="92" t="s">
        <v>8265</v>
      </c>
      <c r="C3519" s="92" t="s">
        <v>8265</v>
      </c>
      <c r="D3519" s="72" t="str">
        <f>IFERROR(VLOOKUP(A3519,'[1]ST-QA-ZZ5'!$C$5:$M$299,11,0),"Inspection at production line")</f>
        <v>Inspection at production line</v>
      </c>
    </row>
    <row r="3520" spans="1:4" ht="13.8">
      <c r="A3520" s="47" t="s">
        <v>8266</v>
      </c>
      <c r="B3520" s="92" t="s">
        <v>8267</v>
      </c>
      <c r="C3520" s="92" t="s">
        <v>8267</v>
      </c>
      <c r="D3520" s="72" t="str">
        <f>IFERROR(VLOOKUP(A3520,'[1]ST-QA-ZZ5'!$C$5:$M$299,11,0),"Inspection at production line")</f>
        <v>Inspection at production line</v>
      </c>
    </row>
    <row r="3521" spans="1:4" ht="13.8">
      <c r="A3521" s="47" t="s">
        <v>8268</v>
      </c>
      <c r="B3521" s="92" t="s">
        <v>8269</v>
      </c>
      <c r="C3521" s="92" t="s">
        <v>8269</v>
      </c>
      <c r="D3521" s="72" t="str">
        <f>IFERROR(VLOOKUP(A3521,'[1]ST-QA-ZZ5'!$C$5:$M$299,11,0),"Inspection at production line")</f>
        <v>Inspection at production line</v>
      </c>
    </row>
    <row r="3522" spans="1:4" ht="13.8">
      <c r="A3522" s="47" t="s">
        <v>8270</v>
      </c>
      <c r="B3522" s="92" t="s">
        <v>8271</v>
      </c>
      <c r="C3522" s="92" t="s">
        <v>8271</v>
      </c>
      <c r="D3522" s="72" t="str">
        <f>IFERROR(VLOOKUP(A3522,'[1]ST-QA-ZZ5'!$C$5:$M$299,11,0),"Inspection at production line")</f>
        <v>Inspection at production line</v>
      </c>
    </row>
    <row r="3523" spans="1:4" ht="13.8">
      <c r="A3523" s="47" t="s">
        <v>8272</v>
      </c>
      <c r="B3523" s="92" t="s">
        <v>8273</v>
      </c>
      <c r="C3523" s="92" t="s">
        <v>8273</v>
      </c>
      <c r="D3523" s="72" t="str">
        <f>IFERROR(VLOOKUP(A3523,'[1]ST-QA-ZZ5'!$C$5:$M$299,11,0),"Inspection at production line")</f>
        <v>Inspection at production line</v>
      </c>
    </row>
    <row r="3524" spans="1:4" ht="13.8">
      <c r="A3524" s="47" t="s">
        <v>8274</v>
      </c>
      <c r="B3524" s="92" t="s">
        <v>8275</v>
      </c>
      <c r="C3524" s="92" t="s">
        <v>8275</v>
      </c>
      <c r="D3524" s="72" t="str">
        <f>IFERROR(VLOOKUP(A3524,'[1]ST-QA-ZZ5'!$C$5:$M$299,11,0),"Inspection at production line")</f>
        <v>Inspection at production line</v>
      </c>
    </row>
    <row r="3525" spans="1:4" ht="13.8">
      <c r="A3525" s="47" t="s">
        <v>8276</v>
      </c>
      <c r="B3525" s="92" t="s">
        <v>8277</v>
      </c>
      <c r="C3525" s="92" t="s">
        <v>8277</v>
      </c>
      <c r="D3525" s="72" t="str">
        <f>IFERROR(VLOOKUP(A3525,'[1]ST-QA-ZZ5'!$C$5:$M$299,11,0),"Inspection at production line")</f>
        <v>Inspection at production line</v>
      </c>
    </row>
    <row r="3526" spans="1:4" ht="13.8">
      <c r="A3526" s="47" t="s">
        <v>8278</v>
      </c>
      <c r="B3526" s="92" t="s">
        <v>8279</v>
      </c>
      <c r="C3526" s="92" t="s">
        <v>8279</v>
      </c>
      <c r="D3526" s="72" t="str">
        <f>IFERROR(VLOOKUP(A3526,'[1]ST-QA-ZZ5'!$C$5:$M$299,11,0),"Inspection at production line")</f>
        <v>Inspection at production line</v>
      </c>
    </row>
    <row r="3527" spans="1:4" ht="13.8">
      <c r="A3527" s="47" t="s">
        <v>8280</v>
      </c>
      <c r="B3527" s="92" t="s">
        <v>8281</v>
      </c>
      <c r="C3527" s="92" t="s">
        <v>8281</v>
      </c>
      <c r="D3527" s="72" t="str">
        <f>IFERROR(VLOOKUP(A3527,'[1]ST-QA-ZZ5'!$C$5:$M$299,11,0),"Inspection at production line")</f>
        <v>Inspection at production line</v>
      </c>
    </row>
    <row r="3528" spans="1:4" ht="13.8">
      <c r="A3528" s="47" t="s">
        <v>8282</v>
      </c>
      <c r="B3528" s="92" t="s">
        <v>8283</v>
      </c>
      <c r="C3528" s="92" t="s">
        <v>8283</v>
      </c>
      <c r="D3528" s="72" t="str">
        <f>IFERROR(VLOOKUP(A3528,'[1]ST-QA-ZZ5'!$C$5:$M$299,11,0),"Inspection at production line")</f>
        <v>Inspection at production line</v>
      </c>
    </row>
    <row r="3529" spans="1:4" ht="13.8">
      <c r="A3529" s="47" t="s">
        <v>8284</v>
      </c>
      <c r="B3529" s="92" t="s">
        <v>8285</v>
      </c>
      <c r="C3529" s="92" t="s">
        <v>8285</v>
      </c>
      <c r="D3529" s="72" t="str">
        <f>IFERROR(VLOOKUP(A3529,'[1]ST-QA-ZZ5'!$C$5:$M$299,11,0),"Inspection at production line")</f>
        <v>Inspection at production line</v>
      </c>
    </row>
    <row r="3530" spans="1:4" ht="13.8">
      <c r="A3530" s="47" t="s">
        <v>8286</v>
      </c>
      <c r="B3530" s="92" t="s">
        <v>104</v>
      </c>
      <c r="C3530" s="92" t="s">
        <v>8287</v>
      </c>
      <c r="D3530" s="72" t="str">
        <f>IFERROR(VLOOKUP(A3530,'[1]ST-QA-ZZ5'!$C$5:$M$299,11,0),"Inspection at production line")</f>
        <v>Inspection at production line</v>
      </c>
    </row>
    <row r="3531" spans="1:4" ht="13.8">
      <c r="A3531" s="47" t="s">
        <v>8288</v>
      </c>
      <c r="B3531" s="92" t="s">
        <v>8289</v>
      </c>
      <c r="C3531" s="92" t="s">
        <v>8289</v>
      </c>
      <c r="D3531" s="72" t="str">
        <f>IFERROR(VLOOKUP(A3531,'[1]ST-QA-ZZ5'!$C$5:$M$299,11,0),"Inspection at production line")</f>
        <v>Inspection at production line</v>
      </c>
    </row>
    <row r="3532" spans="1:4" ht="13.8">
      <c r="A3532" s="47" t="s">
        <v>8290</v>
      </c>
      <c r="B3532" s="92" t="s">
        <v>75</v>
      </c>
      <c r="C3532" s="94" t="s">
        <v>8291</v>
      </c>
      <c r="D3532" s="72" t="str">
        <f>IFERROR(VLOOKUP(A3532,'[1]ST-QA-ZZ5'!$C$5:$M$299,11,0),"Inspection at production line")</f>
        <v>Inspection at production line</v>
      </c>
    </row>
    <row r="3533" spans="1:4" ht="13.8">
      <c r="A3533" s="47" t="s">
        <v>8292</v>
      </c>
      <c r="B3533" s="92" t="s">
        <v>2438</v>
      </c>
      <c r="C3533" s="92" t="s">
        <v>8293</v>
      </c>
      <c r="D3533" s="72" t="str">
        <f>IFERROR(VLOOKUP(A3533,'[1]ST-QA-ZZ5'!$C$5:$M$299,11,0),"Inspection at production line")</f>
        <v>Inspection at production line</v>
      </c>
    </row>
    <row r="3534" spans="1:4" ht="13.8">
      <c r="A3534" s="47" t="s">
        <v>8294</v>
      </c>
      <c r="B3534" s="92" t="s">
        <v>1554</v>
      </c>
      <c r="C3534" s="92" t="s">
        <v>8232</v>
      </c>
      <c r="D3534" s="72" t="str">
        <f>IFERROR(VLOOKUP(A3534,'[1]ST-QA-ZZ5'!$C$5:$M$299,11,0),"Inspection at production line")</f>
        <v>Inspection at production line</v>
      </c>
    </row>
    <row r="3535" spans="1:4" ht="13.8">
      <c r="A3535" s="47" t="s">
        <v>8295</v>
      </c>
      <c r="B3535" s="92" t="s">
        <v>8296</v>
      </c>
      <c r="C3535" s="92" t="s">
        <v>8296</v>
      </c>
      <c r="D3535" s="72" t="str">
        <f>IFERROR(VLOOKUP(A3535,'[1]ST-QA-ZZ5'!$C$5:$M$299,11,0),"Inspection at production line")</f>
        <v>Inspection at production line</v>
      </c>
    </row>
    <row r="3536" spans="1:4" ht="13.8">
      <c r="A3536" s="47" t="s">
        <v>475</v>
      </c>
      <c r="B3536" s="92" t="s">
        <v>174</v>
      </c>
      <c r="C3536" s="92" t="s">
        <v>476</v>
      </c>
      <c r="D3536" s="72" t="str">
        <f>IFERROR(VLOOKUP(A3536,'[1]ST-QA-ZZ5'!$C$5:$M$299,11,0),"Inspection at production line")</f>
        <v>Inspection at production line</v>
      </c>
    </row>
    <row r="3537" spans="1:11" ht="13.8">
      <c r="A3537" s="47" t="s">
        <v>516</v>
      </c>
      <c r="B3537" s="92" t="s">
        <v>174</v>
      </c>
      <c r="C3537" s="92" t="s">
        <v>517</v>
      </c>
      <c r="D3537" s="72" t="str">
        <f>IFERROR(VLOOKUP(A3537,'[1]ST-QA-ZZ5'!$C$5:$M$299,11,0),"Inspection at production line")</f>
        <v>Inspection at production line</v>
      </c>
    </row>
    <row r="3538" spans="1:11" ht="13.8">
      <c r="A3538" s="47" t="s">
        <v>5114</v>
      </c>
      <c r="B3538" s="92" t="s">
        <v>174</v>
      </c>
      <c r="C3538" s="92" t="s">
        <v>5115</v>
      </c>
      <c r="D3538" s="72" t="str">
        <f>IFERROR(VLOOKUP(A3538,'[1]ST-QA-ZZ5'!$C$5:$M$299,11,0),"Inspection at production line")</f>
        <v>Inspection at production line</v>
      </c>
    </row>
    <row r="3539" spans="1:11" ht="13.8">
      <c r="A3539" s="47" t="s">
        <v>5120</v>
      </c>
      <c r="B3539" s="92" t="s">
        <v>174</v>
      </c>
      <c r="C3539" s="92" t="s">
        <v>498</v>
      </c>
      <c r="D3539" s="72" t="str">
        <f>IFERROR(VLOOKUP(A3539,'[1]ST-QA-ZZ5'!$C$5:$M$299,11,0),"Inspection at production line")</f>
        <v>Inspection at production line</v>
      </c>
    </row>
    <row r="3540" spans="1:11" ht="13.8">
      <c r="A3540" s="47" t="s">
        <v>8297</v>
      </c>
      <c r="B3540" s="92" t="s">
        <v>174</v>
      </c>
      <c r="C3540" s="92" t="s">
        <v>2005</v>
      </c>
      <c r="D3540" s="72" t="str">
        <f>IFERROR(VLOOKUP(A3540,'[1]ST-QA-ZZ5'!$C$5:$M$299,11,0),"Inspection at production line")</f>
        <v>Inspection at production line</v>
      </c>
    </row>
    <row r="3541" spans="1:11" ht="13.8">
      <c r="A3541" s="47" t="s">
        <v>8298</v>
      </c>
      <c r="B3541" s="92" t="s">
        <v>2464</v>
      </c>
      <c r="C3541" s="94" t="s">
        <v>8299</v>
      </c>
      <c r="D3541" s="72" t="str">
        <f>IFERROR(VLOOKUP(A3541,'[1]ST-QA-ZZ5'!$C$5:$M$299,11,0),"Inspection at production line")</f>
        <v>Inspection at production line</v>
      </c>
    </row>
    <row r="3542" spans="1:11" ht="13.8">
      <c r="A3542" s="47" t="s">
        <v>8300</v>
      </c>
      <c r="B3542" s="92" t="s">
        <v>8301</v>
      </c>
      <c r="C3542" s="92" t="s">
        <v>8302</v>
      </c>
      <c r="D3542" s="72" t="str">
        <f>IFERROR(VLOOKUP(A3542,'[1]ST-QA-ZZ5'!$C$5:$M$299,11,0),"Inspection at production line")</f>
        <v>Inspection at production line</v>
      </c>
      <c r="F3542" s="47"/>
      <c r="G3542" s="92"/>
      <c r="H3542" s="92"/>
      <c r="I3542" s="92"/>
      <c r="J3542" s="92"/>
      <c r="K3542" s="47"/>
    </row>
    <row r="3543" spans="1:11" ht="13.8">
      <c r="A3543" s="47" t="s">
        <v>8303</v>
      </c>
      <c r="B3543" s="92" t="s">
        <v>75</v>
      </c>
      <c r="C3543" s="92" t="s">
        <v>8304</v>
      </c>
      <c r="D3543" s="72" t="str">
        <f>IFERROR(VLOOKUP(A3543,'[1]ST-QA-ZZ5'!$C$5:$M$299,11,0),"Inspection at production line")</f>
        <v>Inspection at production line</v>
      </c>
    </row>
    <row r="3544" spans="1:11" ht="13.8">
      <c r="A3544" s="47" t="s">
        <v>8305</v>
      </c>
      <c r="B3544" s="92" t="s">
        <v>797</v>
      </c>
      <c r="C3544" s="92" t="s">
        <v>8306</v>
      </c>
      <c r="D3544" s="72" t="str">
        <f>IFERROR(VLOOKUP(A3544,'[1]ST-QA-ZZ5'!$C$5:$M$299,11,0),"Inspection at production line")</f>
        <v>Inspection at production line</v>
      </c>
    </row>
    <row r="3545" spans="1:11" ht="13.8">
      <c r="A3545" s="47" t="s">
        <v>5032</v>
      </c>
      <c r="B3545" s="92" t="s">
        <v>5033</v>
      </c>
      <c r="C3545" s="92" t="s">
        <v>5034</v>
      </c>
      <c r="D3545" s="72" t="str">
        <f>IFERROR(VLOOKUP(A3545,'[1]ST-QA-ZZ5'!$C$5:$M$299,11,0),"Inspection at production line")</f>
        <v>Inspection at production line</v>
      </c>
    </row>
    <row r="3546" spans="1:11" ht="13.8">
      <c r="A3546" s="47" t="s">
        <v>8307</v>
      </c>
      <c r="B3546" s="92" t="s">
        <v>104</v>
      </c>
      <c r="C3546" s="92" t="s">
        <v>6406</v>
      </c>
      <c r="D3546" s="72" t="str">
        <f>IFERROR(VLOOKUP(A3546,'[1]ST-QA-ZZ5'!$C$5:$M$299,11,0),"Inspection at production line")</f>
        <v>Inspection at production line</v>
      </c>
    </row>
    <row r="3547" spans="1:11" ht="13.8">
      <c r="A3547" s="47" t="s">
        <v>322</v>
      </c>
      <c r="B3547" s="92" t="s">
        <v>323</v>
      </c>
      <c r="C3547" s="92" t="s">
        <v>324</v>
      </c>
      <c r="D3547" s="72" t="str">
        <f>IFERROR(VLOOKUP(A3547,'[1]ST-QA-ZZ5'!$C$5:$M$299,11,0),"Inspection at production line")</f>
        <v>Inspection at production line</v>
      </c>
    </row>
    <row r="3548" spans="1:11" ht="13.8">
      <c r="A3548" s="47" t="s">
        <v>8308</v>
      </c>
      <c r="B3548" s="92" t="s">
        <v>8309</v>
      </c>
      <c r="C3548" s="92" t="s">
        <v>8309</v>
      </c>
      <c r="D3548" s="72" t="str">
        <f>IFERROR(VLOOKUP(A3548,'[1]ST-QA-ZZ5'!$C$5:$M$299,11,0),"Inspection at production line")</f>
        <v>Inspection at production line</v>
      </c>
    </row>
    <row r="3549" spans="1:11" ht="13.8">
      <c r="A3549" s="47" t="s">
        <v>5083</v>
      </c>
      <c r="B3549" s="92" t="s">
        <v>96</v>
      </c>
      <c r="C3549" s="92" t="s">
        <v>97</v>
      </c>
      <c r="D3549" s="72" t="str">
        <f>IFERROR(VLOOKUP(A3549,'[1]ST-QA-ZZ5'!$C$5:$M$299,11,0),"Inspection at production line")</f>
        <v>Inspection at production line</v>
      </c>
    </row>
    <row r="3550" spans="1:11" ht="13.8">
      <c r="A3550" s="47" t="s">
        <v>8310</v>
      </c>
      <c r="B3550" s="92" t="s">
        <v>8311</v>
      </c>
      <c r="C3550" s="92" t="s">
        <v>8311</v>
      </c>
      <c r="D3550" s="72" t="str">
        <f>IFERROR(VLOOKUP(A3550,'[1]ST-QA-ZZ5'!$C$5:$M$299,11,0),"Inspection at production line")</f>
        <v>Inspection at production line</v>
      </c>
    </row>
    <row r="3551" spans="1:11" ht="13.8">
      <c r="A3551" s="47" t="s">
        <v>8312</v>
      </c>
      <c r="B3551" s="92" t="s">
        <v>104</v>
      </c>
      <c r="C3551" s="92" t="s">
        <v>8313</v>
      </c>
      <c r="D3551" s="72" t="str">
        <f>IFERROR(VLOOKUP(A3551,'[1]ST-QA-ZZ5'!$C$5:$M$299,11,0),"Inspection at production line")</f>
        <v>Inspection at production line</v>
      </c>
    </row>
    <row r="3552" spans="1:11" ht="13.8">
      <c r="A3552" s="47" t="s">
        <v>8314</v>
      </c>
      <c r="B3552" s="92" t="s">
        <v>4596</v>
      </c>
      <c r="C3552" s="92" t="s">
        <v>8315</v>
      </c>
      <c r="D3552" s="72" t="str">
        <f>IFERROR(VLOOKUP(A3552,'[1]ST-QA-ZZ5'!$C$5:$M$299,11,0),"Inspection at production line")</f>
        <v>Inspection at production line</v>
      </c>
    </row>
    <row r="3553" spans="1:4" ht="13.8">
      <c r="A3553" s="47" t="s">
        <v>8316</v>
      </c>
      <c r="B3553" s="92" t="s">
        <v>213</v>
      </c>
      <c r="C3553" s="92" t="s">
        <v>8317</v>
      </c>
      <c r="D3553" s="72" t="str">
        <f>IFERROR(VLOOKUP(A3553,'[1]ST-QA-ZZ5'!$C$5:$M$299,11,0),"Inspection at production line")</f>
        <v>Inspection at production line</v>
      </c>
    </row>
    <row r="3554" spans="1:4" ht="13.8">
      <c r="A3554" s="47" t="s">
        <v>8318</v>
      </c>
      <c r="B3554" s="92" t="s">
        <v>1954</v>
      </c>
      <c r="C3554" s="92" t="s">
        <v>8319</v>
      </c>
      <c r="D3554" s="72" t="str">
        <f>IFERROR(VLOOKUP(A3554,'[1]ST-QA-ZZ5'!$C$5:$M$299,11,0),"Inspection at production line")</f>
        <v>Inspection at production line</v>
      </c>
    </row>
    <row r="3555" spans="1:4" ht="13.8">
      <c r="A3555" s="47" t="s">
        <v>8320</v>
      </c>
      <c r="B3555" s="92" t="s">
        <v>3644</v>
      </c>
      <c r="C3555" s="92" t="s">
        <v>8321</v>
      </c>
      <c r="D3555" s="72" t="str">
        <f>IFERROR(VLOOKUP(A3555,'[1]ST-QA-ZZ5'!$C$5:$M$299,11,0),"Inspection at production line")</f>
        <v>Inspection at production line</v>
      </c>
    </row>
    <row r="3556" spans="1:4" ht="13.8">
      <c r="A3556" s="47" t="s">
        <v>8322</v>
      </c>
      <c r="B3556" s="92" t="s">
        <v>8301</v>
      </c>
      <c r="C3556" s="92" t="s">
        <v>8323</v>
      </c>
      <c r="D3556" s="72" t="str">
        <f>IFERROR(VLOOKUP(A3556,'[1]ST-QA-ZZ5'!$C$5:$M$299,11,0),"Inspection at production line")</f>
        <v>Inspection at production line</v>
      </c>
    </row>
    <row r="3557" spans="1:4" ht="13.8">
      <c r="A3557" s="47" t="s">
        <v>8324</v>
      </c>
      <c r="B3557" s="92" t="s">
        <v>1212</v>
      </c>
      <c r="C3557" s="92" t="s">
        <v>8325</v>
      </c>
      <c r="D3557" s="72" t="str">
        <f>IFERROR(VLOOKUP(A3557,'[1]ST-QA-ZZ5'!$C$5:$M$299,11,0),"Inspection at production line")</f>
        <v>Inspection at production line</v>
      </c>
    </row>
    <row r="3558" spans="1:4" ht="13.8">
      <c r="A3558" s="47" t="s">
        <v>8326</v>
      </c>
      <c r="B3558" s="92" t="s">
        <v>8327</v>
      </c>
      <c r="C3558" s="92" t="s">
        <v>8328</v>
      </c>
      <c r="D3558" s="72" t="str">
        <f>IFERROR(VLOOKUP(A3558,'[1]ST-QA-ZZ5'!$C$5:$M$299,11,0),"Inspection at production line")</f>
        <v>Inspection at production line</v>
      </c>
    </row>
    <row r="3559" spans="1:4" ht="13.8">
      <c r="A3559" s="47" t="s">
        <v>8329</v>
      </c>
      <c r="B3559" s="92" t="s">
        <v>8330</v>
      </c>
      <c r="C3559" s="92" t="s">
        <v>8331</v>
      </c>
      <c r="D3559" s="72" t="str">
        <f>IFERROR(VLOOKUP(A3559,'[1]ST-QA-ZZ5'!$C$5:$M$299,11,0),"Inspection at production line")</f>
        <v>Inspection at production line</v>
      </c>
    </row>
    <row r="3560" spans="1:4" ht="13.8">
      <c r="A3560" s="47" t="s">
        <v>8332</v>
      </c>
      <c r="B3560" s="92" t="s">
        <v>8330</v>
      </c>
      <c r="C3560" s="92" t="s">
        <v>8333</v>
      </c>
      <c r="D3560" s="72" t="str">
        <f>IFERROR(VLOOKUP(A3560,'[1]ST-QA-ZZ5'!$C$5:$M$299,11,0),"Inspection at production line")</f>
        <v>Inspection at production line</v>
      </c>
    </row>
    <row r="3561" spans="1:4" ht="13.8">
      <c r="A3561" s="47" t="s">
        <v>8334</v>
      </c>
      <c r="B3561" s="92" t="s">
        <v>5253</v>
      </c>
      <c r="C3561" s="92" t="s">
        <v>8335</v>
      </c>
      <c r="D3561" s="72" t="str">
        <f>IFERROR(VLOOKUP(A3561,'[1]ST-QA-ZZ5'!$C$5:$M$299,11,0),"Inspection at production line")</f>
        <v>Inspection at production line</v>
      </c>
    </row>
    <row r="3562" spans="1:4" ht="13.8">
      <c r="A3562" s="47" t="s">
        <v>8336</v>
      </c>
      <c r="B3562" s="92" t="s">
        <v>8337</v>
      </c>
      <c r="C3562" s="92" t="s">
        <v>8338</v>
      </c>
      <c r="D3562" s="72" t="str">
        <f>IFERROR(VLOOKUP(A3562,'[1]ST-QA-ZZ5'!$C$5:$M$299,11,0),"Inspection at production line")</f>
        <v>Inspection at production line</v>
      </c>
    </row>
    <row r="3563" spans="1:4" ht="13.8">
      <c r="A3563" s="47" t="s">
        <v>8339</v>
      </c>
      <c r="B3563" s="92" t="s">
        <v>8340</v>
      </c>
      <c r="C3563" s="92" t="s">
        <v>8340</v>
      </c>
      <c r="D3563" s="72" t="str">
        <f>IFERROR(VLOOKUP(A3563,'[1]ST-QA-ZZ5'!$C$5:$M$299,11,0),"Inspection at production line")</f>
        <v>Inspection at production line</v>
      </c>
    </row>
    <row r="3564" spans="1:4" ht="13.8">
      <c r="A3564" s="47" t="s">
        <v>5285</v>
      </c>
      <c r="B3564" s="92" t="s">
        <v>213</v>
      </c>
      <c r="C3564" s="92" t="s">
        <v>5286</v>
      </c>
      <c r="D3564" s="72" t="str">
        <f>IFERROR(VLOOKUP(A3564,'[1]ST-QA-ZZ5'!$C$5:$M$299,11,0),"Inspection at production line")</f>
        <v>Inspection at production line</v>
      </c>
    </row>
    <row r="3565" spans="1:4" ht="13.8">
      <c r="A3565" s="47" t="s">
        <v>8341</v>
      </c>
      <c r="B3565" s="92" t="s">
        <v>8342</v>
      </c>
      <c r="C3565" s="92" t="s">
        <v>8342</v>
      </c>
      <c r="D3565" s="72" t="str">
        <f>IFERROR(VLOOKUP(A3565,'[1]ST-QA-ZZ5'!$C$5:$M$299,11,0),"Inspection at production line")</f>
        <v>Inspection at production line</v>
      </c>
    </row>
    <row r="3566" spans="1:4" ht="13.8">
      <c r="A3566" s="47" t="s">
        <v>8343</v>
      </c>
      <c r="B3566" s="92" t="s">
        <v>1980</v>
      </c>
      <c r="C3566" s="92" t="s">
        <v>8344</v>
      </c>
      <c r="D3566" s="72" t="str">
        <f>IFERROR(VLOOKUP(A3566,'[1]ST-QA-ZZ5'!$C$5:$M$299,11,0),"Inspection at production line")</f>
        <v>Inspection at production line</v>
      </c>
    </row>
    <row r="3567" spans="1:4" ht="13.8">
      <c r="A3567" s="47" t="s">
        <v>8345</v>
      </c>
      <c r="B3567" s="92" t="s">
        <v>8346</v>
      </c>
      <c r="C3567" s="94" t="s">
        <v>8347</v>
      </c>
      <c r="D3567" s="72" t="str">
        <f>IFERROR(VLOOKUP(A3567,'[1]ST-QA-ZZ5'!$C$5:$M$299,11,0),"Inspection at production line")</f>
        <v>Inspection at production line</v>
      </c>
    </row>
    <row r="3568" spans="1:4" ht="13.8">
      <c r="A3568" s="47" t="s">
        <v>8348</v>
      </c>
      <c r="B3568" s="92" t="s">
        <v>1669</v>
      </c>
      <c r="C3568" s="92" t="s">
        <v>8349</v>
      </c>
      <c r="D3568" s="72" t="str">
        <f>IFERROR(VLOOKUP(A3568,'[1]ST-QA-ZZ5'!$C$5:$M$299,11,0),"Inspection at production line")</f>
        <v>Inspection at production line</v>
      </c>
    </row>
    <row r="3569" spans="1:4" ht="13.8">
      <c r="A3569" s="47" t="s">
        <v>8350</v>
      </c>
      <c r="B3569" s="92" t="s">
        <v>1669</v>
      </c>
      <c r="C3569" s="92" t="s">
        <v>8349</v>
      </c>
      <c r="D3569" s="72" t="str">
        <f>IFERROR(VLOOKUP(A3569,'[1]ST-QA-ZZ5'!$C$5:$M$299,11,0),"Inspection at production line")</f>
        <v>Inspection at production line</v>
      </c>
    </row>
    <row r="3570" spans="1:4" ht="13.8">
      <c r="A3570" s="47" t="s">
        <v>8351</v>
      </c>
      <c r="B3570" s="92" t="s">
        <v>1669</v>
      </c>
      <c r="C3570" s="92" t="s">
        <v>8352</v>
      </c>
      <c r="D3570" s="72" t="str">
        <f>IFERROR(VLOOKUP(A3570,'[1]ST-QA-ZZ5'!$C$5:$M$299,11,0),"Inspection at production line")</f>
        <v>Inspection at production line</v>
      </c>
    </row>
    <row r="3571" spans="1:4" ht="13.8">
      <c r="A3571" s="47" t="s">
        <v>8353</v>
      </c>
      <c r="B3571" s="92" t="s">
        <v>1669</v>
      </c>
      <c r="C3571" s="94" t="s">
        <v>8354</v>
      </c>
      <c r="D3571" s="72" t="str">
        <f>IFERROR(VLOOKUP(A3571,'[1]ST-QA-ZZ5'!$C$5:$M$299,11,0),"Inspection at production line")</f>
        <v>Inspection at production line</v>
      </c>
    </row>
    <row r="3572" spans="1:4" ht="13.8">
      <c r="A3572" s="47" t="s">
        <v>5304</v>
      </c>
      <c r="B3572" s="92" t="s">
        <v>317</v>
      </c>
      <c r="C3572" s="94" t="s">
        <v>317</v>
      </c>
      <c r="D3572" s="72" t="str">
        <f>IFERROR(VLOOKUP(A3572,'[1]ST-QA-ZZ5'!$C$5:$M$299,11,0),"Inspection at production line")</f>
        <v>Appearance check 100%</v>
      </c>
    </row>
    <row r="3573" spans="1:4" ht="13.8">
      <c r="A3573" s="47" t="s">
        <v>8355</v>
      </c>
      <c r="B3573" s="92" t="s">
        <v>1554</v>
      </c>
      <c r="C3573" s="92" t="s">
        <v>8356</v>
      </c>
      <c r="D3573" s="72" t="str">
        <f>IFERROR(VLOOKUP(A3573,'[1]ST-QA-ZZ5'!$C$5:$M$299,11,0),"Inspection at production line")</f>
        <v>Inspection at production line</v>
      </c>
    </row>
    <row r="3574" spans="1:4" ht="13.8">
      <c r="A3574" s="47" t="s">
        <v>8357</v>
      </c>
      <c r="B3574" s="92" t="s">
        <v>8358</v>
      </c>
      <c r="C3574" s="92" t="s">
        <v>8358</v>
      </c>
      <c r="D3574" s="72" t="str">
        <f>IFERROR(VLOOKUP(A3574,'[1]ST-QA-ZZ5'!$C$5:$M$299,11,0),"Inspection at production line")</f>
        <v>Inspection at production line</v>
      </c>
    </row>
    <row r="3575" spans="1:4" ht="13.8">
      <c r="A3575" s="47" t="s">
        <v>8359</v>
      </c>
      <c r="B3575" s="92" t="s">
        <v>310</v>
      </c>
      <c r="C3575" s="94" t="s">
        <v>8360</v>
      </c>
      <c r="D3575" s="72" t="str">
        <f>IFERROR(VLOOKUP(A3575,'[1]ST-QA-ZZ5'!$C$5:$M$299,11,0),"Inspection at production line")</f>
        <v>Inspection at production line</v>
      </c>
    </row>
    <row r="3576" spans="1:4" ht="13.8">
      <c r="A3576" s="47" t="s">
        <v>8361</v>
      </c>
      <c r="B3576" s="92" t="s">
        <v>818</v>
      </c>
      <c r="C3576" s="94" t="s">
        <v>8362</v>
      </c>
      <c r="D3576" s="72" t="str">
        <f>IFERROR(VLOOKUP(A3576,'[1]ST-QA-ZZ5'!$C$5:$M$299,11,0),"Inspection at production line")</f>
        <v>Inspection at production line</v>
      </c>
    </row>
    <row r="3577" spans="1:4" ht="13.8">
      <c r="A3577" s="47" t="s">
        <v>8363</v>
      </c>
      <c r="B3577" s="92" t="s">
        <v>1980</v>
      </c>
      <c r="C3577" s="92" t="s">
        <v>8364</v>
      </c>
      <c r="D3577" s="72" t="str">
        <f>IFERROR(VLOOKUP(A3577,'[1]ST-QA-ZZ5'!$C$5:$M$299,11,0),"Inspection at production line")</f>
        <v>Inspection at production line</v>
      </c>
    </row>
    <row r="3578" spans="1:4" ht="13.8">
      <c r="A3578" s="47" t="s">
        <v>5417</v>
      </c>
      <c r="B3578" s="92" t="s">
        <v>827</v>
      </c>
      <c r="C3578" s="92" t="s">
        <v>827</v>
      </c>
      <c r="D3578" s="72" t="str">
        <f>IFERROR(VLOOKUP(A3578,'[1]ST-QA-ZZ5'!$C$5:$M$299,11,0),"Inspection at production line")</f>
        <v>Inspection at production line</v>
      </c>
    </row>
    <row r="3579" spans="1:4" ht="13.8">
      <c r="A3579" s="47" t="s">
        <v>8365</v>
      </c>
      <c r="B3579" s="92" t="s">
        <v>174</v>
      </c>
      <c r="C3579" s="92" t="s">
        <v>8366</v>
      </c>
      <c r="D3579" s="72" t="str">
        <f>IFERROR(VLOOKUP(A3579,'[1]ST-QA-ZZ5'!$C$5:$M$299,11,0),"Inspection at production line")</f>
        <v>Inspection at production line</v>
      </c>
    </row>
    <row r="3580" spans="1:4" ht="13.8">
      <c r="A3580" s="47" t="s">
        <v>8367</v>
      </c>
      <c r="B3580" s="92" t="s">
        <v>174</v>
      </c>
      <c r="C3580" s="92" t="s">
        <v>8368</v>
      </c>
      <c r="D3580" s="72" t="str">
        <f>IFERROR(VLOOKUP(A3580,'[1]ST-QA-ZZ5'!$C$5:$M$299,11,0),"Inspection at production line")</f>
        <v>Inspection at production line</v>
      </c>
    </row>
    <row r="3581" spans="1:4" ht="13.8">
      <c r="A3581" s="47" t="s">
        <v>8369</v>
      </c>
      <c r="B3581" s="92" t="s">
        <v>213</v>
      </c>
      <c r="C3581" s="92" t="s">
        <v>8370</v>
      </c>
      <c r="D3581" s="72" t="str">
        <f>IFERROR(VLOOKUP(A3581,'[1]ST-QA-ZZ5'!$C$5:$M$299,11,0),"Inspection at production line")</f>
        <v>Inspection at production line</v>
      </c>
    </row>
    <row r="3582" spans="1:4" ht="13.8">
      <c r="A3582" s="47" t="s">
        <v>8371</v>
      </c>
      <c r="B3582" s="92" t="s">
        <v>8372</v>
      </c>
      <c r="C3582" s="94" t="s">
        <v>8372</v>
      </c>
      <c r="D3582" s="72" t="str">
        <f>IFERROR(VLOOKUP(A3582,'[1]ST-QA-ZZ5'!$C$5:$M$299,11,0),"Inspection at production line")</f>
        <v>Inspection at production line</v>
      </c>
    </row>
    <row r="3583" spans="1:4" ht="13.8">
      <c r="A3583" s="47" t="s">
        <v>8373</v>
      </c>
      <c r="B3583" s="92" t="s">
        <v>397</v>
      </c>
      <c r="C3583" s="92" t="s">
        <v>8374</v>
      </c>
      <c r="D3583" s="72" t="str">
        <f>IFERROR(VLOOKUP(A3583,'[1]ST-QA-ZZ5'!$C$5:$M$299,11,0),"Inspection at production line")</f>
        <v>Inspection at production line</v>
      </c>
    </row>
    <row r="3584" spans="1:4" ht="13.8">
      <c r="A3584" s="47" t="s">
        <v>8375</v>
      </c>
      <c r="B3584" s="92" t="s">
        <v>1167</v>
      </c>
      <c r="C3584" s="92" t="s">
        <v>8376</v>
      </c>
      <c r="D3584" s="72" t="str">
        <f>IFERROR(VLOOKUP(A3584,'[1]ST-QA-ZZ5'!$C$5:$M$299,11,0),"Inspection at production line")</f>
        <v>Inspection at production line</v>
      </c>
    </row>
    <row r="3585" spans="1:4" ht="13.8">
      <c r="A3585" s="47" t="s">
        <v>8377</v>
      </c>
      <c r="B3585" s="92" t="s">
        <v>1167</v>
      </c>
      <c r="C3585" s="94" t="s">
        <v>8378</v>
      </c>
      <c r="D3585" s="72" t="str">
        <f>IFERROR(VLOOKUP(A3585,'[1]ST-QA-ZZ5'!$C$5:$M$299,11,0),"Inspection at production line")</f>
        <v>Inspection at production line</v>
      </c>
    </row>
    <row r="3586" spans="1:4" ht="13.8">
      <c r="A3586" s="47" t="s">
        <v>8379</v>
      </c>
      <c r="B3586" s="92" t="s">
        <v>865</v>
      </c>
      <c r="C3586" s="92" t="s">
        <v>8380</v>
      </c>
      <c r="D3586" s="72" t="str">
        <f>IFERROR(VLOOKUP(A3586,'[1]ST-QA-ZZ5'!$C$5:$M$299,11,0),"Inspection at production line")</f>
        <v>Inspection at production line</v>
      </c>
    </row>
    <row r="3587" spans="1:4" ht="13.8">
      <c r="A3587" s="47" t="s">
        <v>8381</v>
      </c>
      <c r="B3587" s="92" t="s">
        <v>397</v>
      </c>
      <c r="C3587" s="92" t="s">
        <v>8382</v>
      </c>
      <c r="D3587" s="72" t="str">
        <f>IFERROR(VLOOKUP(A3587,'[1]ST-QA-ZZ5'!$C$5:$M$299,11,0),"Inspection at production line")</f>
        <v>Inspection at production line</v>
      </c>
    </row>
    <row r="3588" spans="1:4" ht="13.8">
      <c r="A3588" s="47" t="s">
        <v>8383</v>
      </c>
      <c r="B3588" s="92" t="s">
        <v>1167</v>
      </c>
      <c r="C3588" s="92" t="s">
        <v>8384</v>
      </c>
      <c r="D3588" s="72" t="str">
        <f>IFERROR(VLOOKUP(A3588,'[1]ST-QA-ZZ5'!$C$5:$M$299,11,0),"Inspection at production line")</f>
        <v>Inspection at production line</v>
      </c>
    </row>
    <row r="3589" spans="1:4" ht="13.8">
      <c r="A3589" s="47" t="s">
        <v>2556</v>
      </c>
      <c r="B3589" s="92" t="s">
        <v>994</v>
      </c>
      <c r="C3589" s="92" t="s">
        <v>8385</v>
      </c>
      <c r="D3589" s="72" t="str">
        <f>IFERROR(VLOOKUP(A3589,'[1]ST-QA-ZZ5'!$C$5:$M$299,11,0),"Inspection at production line")</f>
        <v>Inspection at production line</v>
      </c>
    </row>
    <row r="3590" spans="1:4" ht="13.8">
      <c r="A3590" s="47" t="s">
        <v>4993</v>
      </c>
      <c r="B3590" s="92" t="s">
        <v>994</v>
      </c>
      <c r="C3590" s="92" t="s">
        <v>8386</v>
      </c>
      <c r="D3590" s="72" t="str">
        <f>IFERROR(VLOOKUP(A3590,'[1]ST-QA-ZZ5'!$C$5:$M$299,11,0),"Inspection at production line")</f>
        <v>Inspection at production line</v>
      </c>
    </row>
    <row r="3591" spans="1:4" ht="13.8">
      <c r="A3591" s="47" t="s">
        <v>5162</v>
      </c>
      <c r="B3591" s="92" t="s">
        <v>994</v>
      </c>
      <c r="C3591" s="92" t="s">
        <v>5163</v>
      </c>
      <c r="D3591" s="72" t="str">
        <f>IFERROR(VLOOKUP(A3591,'[1]ST-QA-ZZ5'!$C$5:$M$299,11,0),"Inspection at production line")</f>
        <v>Inspection at production line</v>
      </c>
    </row>
    <row r="3592" spans="1:4" ht="13.8">
      <c r="A3592" s="47" t="s">
        <v>8387</v>
      </c>
      <c r="B3592" s="92" t="s">
        <v>994</v>
      </c>
      <c r="C3592" s="92" t="s">
        <v>8388</v>
      </c>
      <c r="D3592" s="72" t="str">
        <f>IFERROR(VLOOKUP(A3592,'[1]ST-QA-ZZ5'!$C$5:$M$299,11,0),"Inspection at production line")</f>
        <v>Inspection at production line</v>
      </c>
    </row>
    <row r="3593" spans="1:4" ht="13.8">
      <c r="A3593" s="47" t="s">
        <v>5167</v>
      </c>
      <c r="B3593" s="92" t="s">
        <v>994</v>
      </c>
      <c r="C3593" s="92" t="s">
        <v>5168</v>
      </c>
      <c r="D3593" s="72" t="str">
        <f>IFERROR(VLOOKUP(A3593,'[1]ST-QA-ZZ5'!$C$5:$M$299,11,0),"Inspection at production line")</f>
        <v>Inspection at production line</v>
      </c>
    </row>
    <row r="3594" spans="1:4" ht="13.8">
      <c r="A3594" s="47" t="s">
        <v>8389</v>
      </c>
      <c r="B3594" s="92" t="s">
        <v>994</v>
      </c>
      <c r="C3594" s="92" t="s">
        <v>8390</v>
      </c>
      <c r="D3594" s="72" t="str">
        <f>IFERROR(VLOOKUP(A3594,'[1]ST-QA-ZZ5'!$C$5:$M$299,11,0),"Inspection at production line")</f>
        <v>Inspection at production line</v>
      </c>
    </row>
    <row r="3595" spans="1:4" ht="13.8">
      <c r="A3595" s="47" t="s">
        <v>8391</v>
      </c>
      <c r="B3595" s="92" t="s">
        <v>994</v>
      </c>
      <c r="C3595" s="92" t="s">
        <v>8392</v>
      </c>
      <c r="D3595" s="72" t="str">
        <f>IFERROR(VLOOKUP(A3595,'[1]ST-QA-ZZ5'!$C$5:$M$299,11,0),"Inspection at production line")</f>
        <v>Inspection at production line</v>
      </c>
    </row>
    <row r="3596" spans="1:4" ht="13.8">
      <c r="A3596" s="47" t="s">
        <v>8393</v>
      </c>
      <c r="B3596" s="92" t="s">
        <v>1494</v>
      </c>
      <c r="C3596" s="92" t="s">
        <v>8394</v>
      </c>
      <c r="D3596" s="72" t="str">
        <f>IFERROR(VLOOKUP(A3596,'[1]ST-QA-ZZ5'!$C$5:$M$299,11,0),"Inspection at production line")</f>
        <v>Inspection at production line</v>
      </c>
    </row>
    <row r="3597" spans="1:4" ht="13.8">
      <c r="A3597" s="47" t="s">
        <v>8395</v>
      </c>
      <c r="B3597" s="92" t="s">
        <v>818</v>
      </c>
      <c r="C3597" s="94" t="s">
        <v>8396</v>
      </c>
      <c r="D3597" s="72" t="str">
        <f>IFERROR(VLOOKUP(A3597,'[1]ST-QA-ZZ5'!$C$5:$M$299,11,0),"Inspection at production line")</f>
        <v>Inspection at production line</v>
      </c>
    </row>
    <row r="3598" spans="1:4" ht="13.8">
      <c r="A3598" s="47" t="s">
        <v>8397</v>
      </c>
      <c r="B3598" s="92" t="s">
        <v>818</v>
      </c>
      <c r="C3598" s="92" t="s">
        <v>8398</v>
      </c>
      <c r="D3598" s="72" t="str">
        <f>IFERROR(VLOOKUP(A3598,'[1]ST-QA-ZZ5'!$C$5:$M$299,11,0),"Inspection at production line")</f>
        <v>Inspection at production line</v>
      </c>
    </row>
    <row r="3599" spans="1:4" ht="13.8">
      <c r="A3599" s="47" t="s">
        <v>8399</v>
      </c>
      <c r="B3599" s="92" t="s">
        <v>818</v>
      </c>
      <c r="C3599" s="92" t="s">
        <v>8400</v>
      </c>
      <c r="D3599" s="72" t="str">
        <f>IFERROR(VLOOKUP(A3599,'[1]ST-QA-ZZ5'!$C$5:$M$299,11,0),"Inspection at production line")</f>
        <v>Inspection at production line</v>
      </c>
    </row>
    <row r="3600" spans="1:4" ht="13.8">
      <c r="A3600" s="47" t="s">
        <v>8401</v>
      </c>
      <c r="B3600" s="92" t="s">
        <v>6567</v>
      </c>
      <c r="C3600" s="92" t="s">
        <v>8402</v>
      </c>
      <c r="D3600" s="72" t="str">
        <f>IFERROR(VLOOKUP(A3600,'[1]ST-QA-ZZ5'!$C$5:$M$299,11,0),"Inspection at production line")</f>
        <v>Inspection at production line</v>
      </c>
    </row>
    <row r="3601" spans="1:4" ht="13.8">
      <c r="A3601" s="47" t="s">
        <v>8403</v>
      </c>
      <c r="B3601" s="92" t="s">
        <v>865</v>
      </c>
      <c r="C3601" s="92" t="s">
        <v>8404</v>
      </c>
      <c r="D3601" s="72" t="str">
        <f>IFERROR(VLOOKUP(A3601,'[1]ST-QA-ZZ5'!$C$5:$M$299,11,0),"Inspection at production line")</f>
        <v>Inspection at production line</v>
      </c>
    </row>
    <row r="3602" spans="1:4" ht="13.8">
      <c r="A3602" s="47" t="s">
        <v>8405</v>
      </c>
      <c r="B3602" s="92" t="s">
        <v>865</v>
      </c>
      <c r="C3602" s="92" t="s">
        <v>8406</v>
      </c>
      <c r="D3602" s="72" t="str">
        <f>IFERROR(VLOOKUP(A3602,'[1]ST-QA-ZZ5'!$C$5:$M$299,11,0),"Inspection at production line")</f>
        <v>Inspection at production line</v>
      </c>
    </row>
    <row r="3603" spans="1:4" ht="13.8">
      <c r="A3603" s="47" t="s">
        <v>8407</v>
      </c>
      <c r="B3603" s="92" t="s">
        <v>1494</v>
      </c>
      <c r="C3603" s="92" t="s">
        <v>8408</v>
      </c>
      <c r="D3603" s="72" t="str">
        <f>IFERROR(VLOOKUP(A3603,'[1]ST-QA-ZZ5'!$C$5:$M$299,11,0),"Inspection at production line")</f>
        <v>Inspection at production line</v>
      </c>
    </row>
    <row r="3604" spans="1:4" ht="13.8">
      <c r="A3604" s="47" t="s">
        <v>8409</v>
      </c>
      <c r="B3604" s="92" t="s">
        <v>818</v>
      </c>
      <c r="C3604" s="92" t="s">
        <v>8410</v>
      </c>
      <c r="D3604" s="72" t="str">
        <f>IFERROR(VLOOKUP(A3604,'[1]ST-QA-ZZ5'!$C$5:$M$299,11,0),"Inspection at production line")</f>
        <v>Inspection at production line</v>
      </c>
    </row>
    <row r="3605" spans="1:4" ht="13.8">
      <c r="A3605" s="47" t="s">
        <v>8411</v>
      </c>
      <c r="B3605" s="92" t="s">
        <v>818</v>
      </c>
      <c r="C3605" s="92" t="s">
        <v>8412</v>
      </c>
      <c r="D3605" s="72" t="str">
        <f>IFERROR(VLOOKUP(A3605,'[1]ST-QA-ZZ5'!$C$5:$M$299,11,0),"Inspection at production line")</f>
        <v>Inspection at production line</v>
      </c>
    </row>
    <row r="3606" spans="1:4" ht="13.8">
      <c r="A3606" s="47" t="s">
        <v>8413</v>
      </c>
      <c r="B3606" s="92" t="s">
        <v>6567</v>
      </c>
      <c r="C3606" s="92" t="s">
        <v>8414</v>
      </c>
      <c r="D3606" s="72" t="str">
        <f>IFERROR(VLOOKUP(A3606,'[1]ST-QA-ZZ5'!$C$5:$M$299,11,0),"Inspection at production line")</f>
        <v>Inspection at production line</v>
      </c>
    </row>
    <row r="3607" spans="1:4" ht="13.8">
      <c r="A3607" s="47" t="s">
        <v>8415</v>
      </c>
      <c r="B3607" s="92" t="s">
        <v>818</v>
      </c>
      <c r="C3607" s="92" t="s">
        <v>8416</v>
      </c>
      <c r="D3607" s="72" t="str">
        <f>IFERROR(VLOOKUP(A3607,'[1]ST-QA-ZZ5'!$C$5:$M$299,11,0),"Inspection at production line")</f>
        <v>Inspection at production line</v>
      </c>
    </row>
    <row r="3608" spans="1:4" ht="13.8">
      <c r="A3608" s="47" t="s">
        <v>8417</v>
      </c>
      <c r="B3608" s="92" t="s">
        <v>818</v>
      </c>
      <c r="C3608" s="92" t="s">
        <v>8418</v>
      </c>
      <c r="D3608" s="72" t="str">
        <f>IFERROR(VLOOKUP(A3608,'[1]ST-QA-ZZ5'!$C$5:$M$299,11,0),"Inspection at production line")</f>
        <v>Inspection at production line</v>
      </c>
    </row>
    <row r="3609" spans="1:4" ht="13.8">
      <c r="A3609" s="47" t="s">
        <v>8419</v>
      </c>
      <c r="B3609" s="92" t="s">
        <v>818</v>
      </c>
      <c r="C3609" s="92" t="s">
        <v>8420</v>
      </c>
      <c r="D3609" s="72" t="str">
        <f>IFERROR(VLOOKUP(A3609,'[1]ST-QA-ZZ5'!$C$5:$M$299,11,0),"Inspection at production line")</f>
        <v>Inspection at production line</v>
      </c>
    </row>
    <row r="3610" spans="1:4" ht="13.8">
      <c r="A3610" s="47" t="s">
        <v>8421</v>
      </c>
      <c r="B3610" s="92" t="s">
        <v>818</v>
      </c>
      <c r="C3610" s="92" t="s">
        <v>8422</v>
      </c>
      <c r="D3610" s="72" t="str">
        <f>IFERROR(VLOOKUP(A3610,'[1]ST-QA-ZZ5'!$C$5:$M$299,11,0),"Inspection at production line")</f>
        <v>Inspection at production line</v>
      </c>
    </row>
    <row r="3611" spans="1:4" ht="13.8">
      <c r="A3611" s="47" t="s">
        <v>8423</v>
      </c>
      <c r="B3611" s="92" t="s">
        <v>6567</v>
      </c>
      <c r="C3611" s="92" t="s">
        <v>8424</v>
      </c>
      <c r="D3611" s="72" t="str">
        <f>IFERROR(VLOOKUP(A3611,'[1]ST-QA-ZZ5'!$C$5:$M$299,11,0),"Inspection at production line")</f>
        <v>Inspection at production line</v>
      </c>
    </row>
    <row r="3612" spans="1:4" ht="13.8">
      <c r="A3612" s="47" t="s">
        <v>8425</v>
      </c>
      <c r="B3612" s="92" t="s">
        <v>83</v>
      </c>
      <c r="C3612" s="92" t="s">
        <v>8426</v>
      </c>
      <c r="D3612" s="72" t="str">
        <f>IFERROR(VLOOKUP(A3612,'[1]ST-QA-ZZ5'!$C$5:$M$299,11,0),"Inspection at production line")</f>
        <v>Inspection at production line</v>
      </c>
    </row>
    <row r="3613" spans="1:4" ht="13.8">
      <c r="A3613" s="47" t="s">
        <v>8427</v>
      </c>
      <c r="B3613" s="92" t="s">
        <v>83</v>
      </c>
      <c r="C3613" s="94" t="s">
        <v>8428</v>
      </c>
      <c r="D3613" s="72" t="str">
        <f>IFERROR(VLOOKUP(A3613,'[1]ST-QA-ZZ5'!$C$5:$M$299,11,0),"Inspection at production line")</f>
        <v>Inspection at production line</v>
      </c>
    </row>
    <row r="3614" spans="1:4" ht="13.8">
      <c r="A3614" s="47" t="s">
        <v>8429</v>
      </c>
      <c r="B3614" s="92" t="s">
        <v>83</v>
      </c>
      <c r="C3614" s="92" t="s">
        <v>8430</v>
      </c>
      <c r="D3614" s="72" t="str">
        <f>IFERROR(VLOOKUP(A3614,'[1]ST-QA-ZZ5'!$C$5:$M$299,11,0),"Inspection at production line")</f>
        <v>Inspection at production line</v>
      </c>
    </row>
    <row r="3615" spans="1:4" ht="13.8">
      <c r="A3615" s="47" t="s">
        <v>8431</v>
      </c>
      <c r="B3615" s="92" t="s">
        <v>990</v>
      </c>
      <c r="C3615" s="92" t="s">
        <v>8432</v>
      </c>
      <c r="D3615" s="72" t="str">
        <f>IFERROR(VLOOKUP(A3615,'[1]ST-QA-ZZ5'!$C$5:$M$299,11,0),"Inspection at production line")</f>
        <v>Inspection at production line</v>
      </c>
    </row>
    <row r="3616" spans="1:4" ht="13.8">
      <c r="A3616" s="47" t="s">
        <v>8433</v>
      </c>
      <c r="B3616" s="92" t="s">
        <v>1359</v>
      </c>
      <c r="C3616" s="92" t="s">
        <v>8434</v>
      </c>
      <c r="D3616" s="72" t="str">
        <f>IFERROR(VLOOKUP(A3616,'[1]ST-QA-ZZ5'!$C$5:$M$299,11,0),"Inspection at production line")</f>
        <v>Inspection at production line</v>
      </c>
    </row>
    <row r="3617" spans="1:4" ht="13.8">
      <c r="A3617" s="47" t="s">
        <v>8435</v>
      </c>
      <c r="B3617" s="92" t="s">
        <v>1359</v>
      </c>
      <c r="C3617" s="92" t="s">
        <v>8436</v>
      </c>
      <c r="D3617" s="72" t="str">
        <f>IFERROR(VLOOKUP(A3617,'[1]ST-QA-ZZ5'!$C$5:$M$299,11,0),"Inspection at production line")</f>
        <v>Inspection at production line</v>
      </c>
    </row>
    <row r="3618" spans="1:4" ht="13.8">
      <c r="A3618" s="47" t="s">
        <v>8437</v>
      </c>
      <c r="B3618" s="92" t="s">
        <v>1359</v>
      </c>
      <c r="C3618" s="92" t="s">
        <v>8438</v>
      </c>
      <c r="D3618" s="72" t="str">
        <f>IFERROR(VLOOKUP(A3618,'[1]ST-QA-ZZ5'!$C$5:$M$299,11,0),"Inspection at production line")</f>
        <v>Inspection at production line</v>
      </c>
    </row>
    <row r="3619" spans="1:4" ht="13.8">
      <c r="A3619" s="47" t="s">
        <v>8439</v>
      </c>
      <c r="B3619" s="92" t="s">
        <v>1359</v>
      </c>
      <c r="C3619" s="92" t="s">
        <v>8440</v>
      </c>
      <c r="D3619" s="72" t="str">
        <f>IFERROR(VLOOKUP(A3619,'[1]ST-QA-ZZ5'!$C$5:$M$299,11,0),"Inspection at production line")</f>
        <v>Inspection at production line</v>
      </c>
    </row>
    <row r="3620" spans="1:4" ht="13.8">
      <c r="A3620" s="47" t="s">
        <v>8441</v>
      </c>
      <c r="B3620" s="92" t="s">
        <v>1016</v>
      </c>
      <c r="C3620" s="92" t="s">
        <v>8442</v>
      </c>
      <c r="D3620" s="72" t="str">
        <f>IFERROR(VLOOKUP(A3620,'[1]ST-QA-ZZ5'!$C$5:$M$299,11,0),"Inspection at production line")</f>
        <v>Inspection at production line</v>
      </c>
    </row>
    <row r="3621" spans="1:4" ht="13.8">
      <c r="A3621" s="47" t="s">
        <v>8443</v>
      </c>
      <c r="B3621" s="92" t="s">
        <v>1016</v>
      </c>
      <c r="C3621" s="92" t="s">
        <v>8444</v>
      </c>
      <c r="D3621" s="72" t="str">
        <f>IFERROR(VLOOKUP(A3621,'[1]ST-QA-ZZ5'!$C$5:$M$299,11,0),"Inspection at production line")</f>
        <v>Inspection at production line</v>
      </c>
    </row>
    <row r="3622" spans="1:4" ht="13.8">
      <c r="A3622" s="47" t="s">
        <v>8445</v>
      </c>
      <c r="B3622" s="92" t="s">
        <v>1016</v>
      </c>
      <c r="C3622" s="92" t="s">
        <v>8446</v>
      </c>
      <c r="D3622" s="72" t="str">
        <f>IFERROR(VLOOKUP(A3622,'[1]ST-QA-ZZ5'!$C$5:$M$299,11,0),"Inspection at production line")</f>
        <v>Inspection at production line</v>
      </c>
    </row>
    <row r="3623" spans="1:4" ht="13.8">
      <c r="A3623" s="47" t="s">
        <v>8447</v>
      </c>
      <c r="B3623" s="92" t="s">
        <v>1016</v>
      </c>
      <c r="C3623" s="92" t="s">
        <v>8448</v>
      </c>
      <c r="D3623" s="72" t="str">
        <f>IFERROR(VLOOKUP(A3623,'[1]ST-QA-ZZ5'!$C$5:$M$299,11,0),"Inspection at production line")</f>
        <v>Inspection at production line</v>
      </c>
    </row>
    <row r="3624" spans="1:4" ht="13.8">
      <c r="A3624" s="47" t="s">
        <v>8449</v>
      </c>
      <c r="B3624" s="92" t="s">
        <v>8450</v>
      </c>
      <c r="C3624" s="92" t="s">
        <v>8451</v>
      </c>
      <c r="D3624" s="72" t="str">
        <f>IFERROR(VLOOKUP(A3624,'[1]ST-QA-ZZ5'!$C$5:$M$299,11,0),"Inspection at production line")</f>
        <v>Inspection at production line</v>
      </c>
    </row>
    <row r="3625" spans="1:4" ht="13.8">
      <c r="A3625" s="47" t="s">
        <v>8452</v>
      </c>
      <c r="B3625" s="92" t="s">
        <v>8450</v>
      </c>
      <c r="C3625" s="92" t="s">
        <v>8453</v>
      </c>
      <c r="D3625" s="72" t="str">
        <f>IFERROR(VLOOKUP(A3625,'[1]ST-QA-ZZ5'!$C$5:$M$299,11,0),"Inspection at production line")</f>
        <v>Inspection at production line</v>
      </c>
    </row>
    <row r="3626" spans="1:4" ht="13.8">
      <c r="A3626" s="47" t="s">
        <v>8454</v>
      </c>
      <c r="B3626" s="92" t="s">
        <v>8450</v>
      </c>
      <c r="C3626" s="92" t="s">
        <v>8455</v>
      </c>
      <c r="D3626" s="72" t="str">
        <f>IFERROR(VLOOKUP(A3626,'[1]ST-QA-ZZ5'!$C$5:$M$299,11,0),"Inspection at production line")</f>
        <v>Inspection at production line</v>
      </c>
    </row>
    <row r="3627" spans="1:4" ht="13.8">
      <c r="A3627" s="47" t="s">
        <v>8456</v>
      </c>
      <c r="B3627" s="92" t="s">
        <v>1369</v>
      </c>
      <c r="C3627" s="92" t="s">
        <v>8457</v>
      </c>
      <c r="D3627" s="72" t="str">
        <f>IFERROR(VLOOKUP(A3627,'[1]ST-QA-ZZ5'!$C$5:$M$299,11,0),"Inspection at production line")</f>
        <v>Inspection at production line</v>
      </c>
    </row>
    <row r="3628" spans="1:4" ht="13.8">
      <c r="A3628" s="47" t="s">
        <v>8458</v>
      </c>
      <c r="B3628" s="92" t="s">
        <v>1369</v>
      </c>
      <c r="C3628" s="92" t="s">
        <v>8459</v>
      </c>
      <c r="D3628" s="72" t="str">
        <f>IFERROR(VLOOKUP(A3628,'[1]ST-QA-ZZ5'!$C$5:$M$299,11,0),"Inspection at production line")</f>
        <v>Inspection at production line</v>
      </c>
    </row>
    <row r="3629" spans="1:4" ht="13.8">
      <c r="A3629" s="47" t="s">
        <v>8460</v>
      </c>
      <c r="B3629" s="92" t="s">
        <v>404</v>
      </c>
      <c r="C3629" s="92" t="s">
        <v>8461</v>
      </c>
      <c r="D3629" s="72" t="str">
        <f>IFERROR(VLOOKUP(A3629,'[1]ST-QA-ZZ5'!$C$5:$M$299,11,0),"Inspection at production line")</f>
        <v>Inspection at production line</v>
      </c>
    </row>
    <row r="3630" spans="1:4" ht="13.8">
      <c r="A3630" s="47" t="s">
        <v>8462</v>
      </c>
      <c r="B3630" s="92" t="s">
        <v>404</v>
      </c>
      <c r="C3630" s="92" t="s">
        <v>8463</v>
      </c>
      <c r="D3630" s="72" t="str">
        <f>IFERROR(VLOOKUP(A3630,'[1]ST-QA-ZZ5'!$C$5:$M$299,11,0),"Inspection at production line")</f>
        <v>Inspection at production line</v>
      </c>
    </row>
    <row r="3631" spans="1:4" ht="13.8">
      <c r="A3631" s="47" t="s">
        <v>8464</v>
      </c>
      <c r="B3631" s="92" t="s">
        <v>404</v>
      </c>
      <c r="C3631" s="92" t="s">
        <v>8465</v>
      </c>
      <c r="D3631" s="72" t="str">
        <f>IFERROR(VLOOKUP(A3631,'[1]ST-QA-ZZ5'!$C$5:$M$299,11,0),"Inspection at production line")</f>
        <v>Inspection at production line</v>
      </c>
    </row>
    <row r="3632" spans="1:4" ht="13.8">
      <c r="A3632" s="47" t="s">
        <v>8466</v>
      </c>
      <c r="B3632" s="92" t="s">
        <v>404</v>
      </c>
      <c r="C3632" s="92" t="s">
        <v>8467</v>
      </c>
      <c r="D3632" s="72" t="str">
        <f>IFERROR(VLOOKUP(A3632,'[1]ST-QA-ZZ5'!$C$5:$M$299,11,0),"Inspection at production line")</f>
        <v>Inspection at production line</v>
      </c>
    </row>
    <row r="3633" spans="1:4" ht="13.8">
      <c r="A3633" s="47" t="s">
        <v>8468</v>
      </c>
      <c r="B3633" s="92" t="s">
        <v>68</v>
      </c>
      <c r="C3633" s="92" t="s">
        <v>8469</v>
      </c>
      <c r="D3633" s="72" t="str">
        <f>IFERROR(VLOOKUP(A3633,'[1]ST-QA-ZZ5'!$C$5:$M$299,11,0),"Inspection at production line")</f>
        <v>Inspection at production line</v>
      </c>
    </row>
    <row r="3634" spans="1:4" ht="13.8">
      <c r="A3634" s="47" t="s">
        <v>8470</v>
      </c>
      <c r="B3634" s="92" t="s">
        <v>371</v>
      </c>
      <c r="C3634" s="94" t="s">
        <v>5328</v>
      </c>
      <c r="D3634" s="72" t="str">
        <f>IFERROR(VLOOKUP(A3634,'[1]ST-QA-ZZ5'!$C$5:$M$299,11,0),"Inspection at production line")</f>
        <v>Inspection at production line</v>
      </c>
    </row>
    <row r="3635" spans="1:4" ht="13.8">
      <c r="A3635" s="47" t="s">
        <v>8471</v>
      </c>
      <c r="B3635" s="92" t="s">
        <v>174</v>
      </c>
      <c r="C3635" s="92" t="s">
        <v>8472</v>
      </c>
      <c r="D3635" s="72" t="str">
        <f>IFERROR(VLOOKUP(A3635,'[1]ST-QA-ZZ5'!$C$5:$M$299,11,0),"Inspection at production line")</f>
        <v>Inspection at production line</v>
      </c>
    </row>
    <row r="3636" spans="1:4" ht="13.8">
      <c r="A3636" s="47" t="s">
        <v>8473</v>
      </c>
      <c r="B3636" s="92" t="s">
        <v>898</v>
      </c>
      <c r="C3636" s="92" t="s">
        <v>8474</v>
      </c>
      <c r="D3636" s="72" t="str">
        <f>IFERROR(VLOOKUP(A3636,'[1]ST-QA-ZZ5'!$C$5:$M$299,11,0),"Inspection at production line")</f>
        <v>Inspection at production line</v>
      </c>
    </row>
    <row r="3637" spans="1:4" ht="13.8">
      <c r="A3637" s="47" t="s">
        <v>8475</v>
      </c>
      <c r="B3637" s="92" t="s">
        <v>174</v>
      </c>
      <c r="C3637" s="92" t="s">
        <v>8476</v>
      </c>
      <c r="D3637" s="72" t="str">
        <f>IFERROR(VLOOKUP(A3637,'[1]ST-QA-ZZ5'!$C$5:$M$299,11,0),"Inspection at production line")</f>
        <v>Inspection at production line</v>
      </c>
    </row>
    <row r="3638" spans="1:4" ht="13.8">
      <c r="A3638" s="47" t="s">
        <v>8477</v>
      </c>
      <c r="B3638" s="92" t="s">
        <v>174</v>
      </c>
      <c r="C3638" s="92" t="s">
        <v>8476</v>
      </c>
      <c r="D3638" s="72" t="str">
        <f>IFERROR(VLOOKUP(A3638,'[1]ST-QA-ZZ5'!$C$5:$M$299,11,0),"Inspection at production line")</f>
        <v>Inspection at production line</v>
      </c>
    </row>
    <row r="3639" spans="1:4" ht="13.8">
      <c r="A3639" s="47" t="s">
        <v>8478</v>
      </c>
      <c r="B3639" s="92" t="s">
        <v>404</v>
      </c>
      <c r="C3639" s="92" t="s">
        <v>8479</v>
      </c>
      <c r="D3639" s="72" t="str">
        <f>IFERROR(VLOOKUP(A3639,'[1]ST-QA-ZZ5'!$C$5:$M$299,11,0),"Inspection at production line")</f>
        <v>Inspection at production line</v>
      </c>
    </row>
    <row r="3640" spans="1:4" ht="13.8">
      <c r="A3640" s="47" t="s">
        <v>8480</v>
      </c>
      <c r="B3640" s="92" t="s">
        <v>940</v>
      </c>
      <c r="C3640" s="92" t="s">
        <v>8481</v>
      </c>
      <c r="D3640" s="72" t="str">
        <f>IFERROR(VLOOKUP(A3640,'[1]ST-QA-ZZ5'!$C$5:$M$299,11,0),"Inspection at production line")</f>
        <v>Inspection at production line</v>
      </c>
    </row>
    <row r="3641" spans="1:4" ht="13.8">
      <c r="A3641" s="47" t="s">
        <v>8482</v>
      </c>
      <c r="B3641" s="92" t="s">
        <v>1369</v>
      </c>
      <c r="C3641" s="92" t="s">
        <v>8483</v>
      </c>
      <c r="D3641" s="72" t="str">
        <f>IFERROR(VLOOKUP(A3641,'[1]ST-QA-ZZ5'!$C$5:$M$299,11,0),"Inspection at production line")</f>
        <v>Inspection at production line</v>
      </c>
    </row>
    <row r="3642" spans="1:4" ht="13.8">
      <c r="A3642" s="47" t="s">
        <v>410</v>
      </c>
      <c r="B3642" s="92" t="s">
        <v>404</v>
      </c>
      <c r="C3642" s="92" t="s">
        <v>411</v>
      </c>
      <c r="D3642" s="72" t="str">
        <f>IFERROR(VLOOKUP(A3642,'[1]ST-QA-ZZ5'!$C$5:$M$299,11,0),"Inspection at production line")</f>
        <v>Inspection at production line</v>
      </c>
    </row>
    <row r="3643" spans="1:4" ht="13.8">
      <c r="A3643" s="47" t="s">
        <v>8484</v>
      </c>
      <c r="B3643" s="92" t="s">
        <v>1016</v>
      </c>
      <c r="C3643" s="92" t="s">
        <v>8485</v>
      </c>
      <c r="D3643" s="72" t="str">
        <f>IFERROR(VLOOKUP(A3643,'[1]ST-QA-ZZ5'!$C$5:$M$299,11,0),"Inspection at production line")</f>
        <v>Inspection at production line</v>
      </c>
    </row>
    <row r="3644" spans="1:4" ht="13.8">
      <c r="A3644" s="47" t="s">
        <v>8486</v>
      </c>
      <c r="B3644" s="92" t="s">
        <v>404</v>
      </c>
      <c r="C3644" s="94" t="s">
        <v>8487</v>
      </c>
      <c r="D3644" s="72" t="str">
        <f>IFERROR(VLOOKUP(A3644,'[1]ST-QA-ZZ5'!$C$5:$M$299,11,0),"Inspection at production line")</f>
        <v>Inspection at production line</v>
      </c>
    </row>
    <row r="3645" spans="1:4" ht="13.8">
      <c r="A3645" s="47" t="s">
        <v>8488</v>
      </c>
      <c r="B3645" s="92" t="s">
        <v>1016</v>
      </c>
      <c r="C3645" s="92" t="s">
        <v>8489</v>
      </c>
      <c r="D3645" s="72" t="str">
        <f>IFERROR(VLOOKUP(A3645,'[1]ST-QA-ZZ5'!$C$5:$M$299,11,0),"Inspection at production line")</f>
        <v>Inspection at production line</v>
      </c>
    </row>
    <row r="3646" spans="1:4" ht="13.8">
      <c r="A3646" s="47" t="s">
        <v>8490</v>
      </c>
      <c r="B3646" s="92" t="s">
        <v>174</v>
      </c>
      <c r="C3646" s="92" t="s">
        <v>8491</v>
      </c>
      <c r="D3646" s="72" t="str">
        <f>IFERROR(VLOOKUP(A3646,'[1]ST-QA-ZZ5'!$C$5:$M$299,11,0),"Inspection at production line")</f>
        <v>Inspection at production line</v>
      </c>
    </row>
    <row r="3647" spans="1:4" ht="13.8">
      <c r="A3647" s="47" t="s">
        <v>8492</v>
      </c>
      <c r="B3647" s="92" t="s">
        <v>174</v>
      </c>
      <c r="C3647" s="92" t="s">
        <v>8493</v>
      </c>
      <c r="D3647" s="72" t="str">
        <f>IFERROR(VLOOKUP(A3647,'[1]ST-QA-ZZ5'!$C$5:$M$299,11,0),"Inspection at production line")</f>
        <v>Inspection at production line</v>
      </c>
    </row>
    <row r="3648" spans="1:4" ht="13.8">
      <c r="A3648" s="47" t="s">
        <v>8494</v>
      </c>
      <c r="B3648" s="92" t="s">
        <v>1359</v>
      </c>
      <c r="C3648" s="92" t="s">
        <v>8495</v>
      </c>
      <c r="D3648" s="72" t="str">
        <f>IFERROR(VLOOKUP(A3648,'[1]ST-QA-ZZ5'!$C$5:$M$299,11,0),"Inspection at production line")</f>
        <v>Inspection at production line</v>
      </c>
    </row>
    <row r="3649" spans="1:4" ht="13.8">
      <c r="A3649" s="47" t="s">
        <v>8496</v>
      </c>
      <c r="B3649" s="92" t="s">
        <v>1359</v>
      </c>
      <c r="C3649" s="92" t="s">
        <v>8497</v>
      </c>
      <c r="D3649" s="72" t="str">
        <f>IFERROR(VLOOKUP(A3649,'[1]ST-QA-ZZ5'!$C$5:$M$299,11,0),"Inspection at production line")</f>
        <v>Inspection at production line</v>
      </c>
    </row>
    <row r="3650" spans="1:4" ht="13.8">
      <c r="A3650" s="47" t="s">
        <v>8498</v>
      </c>
      <c r="B3650" s="92" t="s">
        <v>8450</v>
      </c>
      <c r="C3650" s="92" t="s">
        <v>8499</v>
      </c>
      <c r="D3650" s="72" t="str">
        <f>IFERROR(VLOOKUP(A3650,'[1]ST-QA-ZZ5'!$C$5:$M$299,11,0),"Inspection at production line")</f>
        <v>Inspection at production line</v>
      </c>
    </row>
    <row r="3651" spans="1:4" ht="13.8">
      <c r="A3651" s="47" t="s">
        <v>8500</v>
      </c>
      <c r="B3651" s="92" t="s">
        <v>818</v>
      </c>
      <c r="C3651" s="94" t="s">
        <v>8501</v>
      </c>
      <c r="D3651" s="72" t="str">
        <f>IFERROR(VLOOKUP(A3651,'[1]ST-QA-ZZ5'!$C$5:$M$299,11,0),"Inspection at production line")</f>
        <v>Inspection at production line</v>
      </c>
    </row>
    <row r="3652" spans="1:4" ht="13.8">
      <c r="A3652" s="47" t="s">
        <v>8502</v>
      </c>
      <c r="B3652" s="92" t="s">
        <v>75</v>
      </c>
      <c r="C3652" s="92" t="s">
        <v>8503</v>
      </c>
      <c r="D3652" s="72" t="str">
        <f>IFERROR(VLOOKUP(A3652,'[1]ST-QA-ZZ5'!$C$5:$M$299,11,0),"Inspection at production line")</f>
        <v>Inspection at production line</v>
      </c>
    </row>
    <row r="3653" spans="1:4" ht="13.8">
      <c r="A3653" s="47" t="s">
        <v>8504</v>
      </c>
      <c r="B3653" s="92" t="s">
        <v>75</v>
      </c>
      <c r="C3653" s="92" t="s">
        <v>8503</v>
      </c>
      <c r="D3653" s="72" t="str">
        <f>IFERROR(VLOOKUP(A3653,'[1]ST-QA-ZZ5'!$C$5:$M$299,11,0),"Inspection at production line")</f>
        <v>Inspection at production line</v>
      </c>
    </row>
    <row r="3654" spans="1:4" ht="13.8">
      <c r="A3654" s="47" t="s">
        <v>8505</v>
      </c>
      <c r="B3654" s="92" t="s">
        <v>75</v>
      </c>
      <c r="C3654" s="92" t="s">
        <v>8506</v>
      </c>
      <c r="D3654" s="72" t="str">
        <f>IFERROR(VLOOKUP(A3654,'[1]ST-QA-ZZ5'!$C$5:$M$299,11,0),"Inspection at production line")</f>
        <v>Inspection at production line</v>
      </c>
    </row>
    <row r="3655" spans="1:4" ht="13.8">
      <c r="A3655" s="47" t="s">
        <v>8507</v>
      </c>
      <c r="B3655" s="92" t="s">
        <v>1167</v>
      </c>
      <c r="C3655" s="92" t="s">
        <v>8508</v>
      </c>
      <c r="D3655" s="72" t="str">
        <f>IFERROR(VLOOKUP(A3655,'[1]ST-QA-ZZ5'!$C$5:$M$299,11,0),"Inspection at production line")</f>
        <v>Inspection at production line</v>
      </c>
    </row>
    <row r="3656" spans="1:4" ht="13.8">
      <c r="A3656" s="47" t="s">
        <v>8509</v>
      </c>
      <c r="B3656" s="92" t="s">
        <v>813</v>
      </c>
      <c r="C3656" s="94" t="s">
        <v>8510</v>
      </c>
      <c r="D3656" s="72" t="str">
        <f>IFERROR(VLOOKUP(A3656,'[1]ST-QA-ZZ5'!$C$5:$M$299,11,0),"Inspection at production line")</f>
        <v>Inspection at production line</v>
      </c>
    </row>
    <row r="3657" spans="1:4" ht="13.8">
      <c r="A3657" s="47" t="s">
        <v>8511</v>
      </c>
      <c r="B3657" s="92" t="s">
        <v>5391</v>
      </c>
      <c r="C3657" s="92" t="s">
        <v>5391</v>
      </c>
      <c r="D3657" s="72" t="str">
        <f>IFERROR(VLOOKUP(A3657,'[1]ST-QA-ZZ5'!$C$5:$M$299,11,0),"Inspection at production line")</f>
        <v>Inspection at production line</v>
      </c>
    </row>
    <row r="3658" spans="1:4" ht="13.8">
      <c r="A3658" s="47" t="s">
        <v>8512</v>
      </c>
      <c r="B3658" s="92" t="s">
        <v>814</v>
      </c>
      <c r="C3658" s="92" t="s">
        <v>8513</v>
      </c>
      <c r="D3658" s="72" t="str">
        <f>IFERROR(VLOOKUP(A3658,'[1]ST-QA-ZZ5'!$C$5:$M$299,11,0),"Inspection at production line")</f>
        <v>Inspection at production line</v>
      </c>
    </row>
    <row r="3659" spans="1:4" ht="13.8">
      <c r="A3659" s="47" t="s">
        <v>8514</v>
      </c>
      <c r="B3659" s="92" t="s">
        <v>865</v>
      </c>
      <c r="C3659" s="92" t="s">
        <v>8515</v>
      </c>
      <c r="D3659" s="72" t="str">
        <f>IFERROR(VLOOKUP(A3659,'[1]ST-QA-ZZ5'!$C$5:$M$299,11,0),"Inspection at production line")</f>
        <v>Inspection at production line</v>
      </c>
    </row>
    <row r="3660" spans="1:4" ht="13.8">
      <c r="A3660" s="47" t="s">
        <v>8516</v>
      </c>
      <c r="B3660" s="92" t="s">
        <v>1614</v>
      </c>
      <c r="C3660" s="94" t="s">
        <v>8517</v>
      </c>
      <c r="D3660" s="72" t="str">
        <f>IFERROR(VLOOKUP(A3660,'[1]ST-QA-ZZ5'!$C$5:$M$299,11,0),"Inspection at production line")</f>
        <v>Inspection at production line</v>
      </c>
    </row>
    <row r="3661" spans="1:4" ht="13.8">
      <c r="A3661" s="47" t="s">
        <v>5318</v>
      </c>
      <c r="B3661" s="92" t="s">
        <v>397</v>
      </c>
      <c r="C3661" s="92" t="s">
        <v>5319</v>
      </c>
      <c r="D3661" s="72" t="str">
        <f>IFERROR(VLOOKUP(A3661,'[1]ST-QA-ZZ5'!$C$5:$M$299,11,0),"Inspection at production line")</f>
        <v>Inspection at production line</v>
      </c>
    </row>
    <row r="3662" spans="1:4" ht="13.8">
      <c r="A3662" s="47" t="s">
        <v>8518</v>
      </c>
      <c r="B3662" s="92" t="s">
        <v>1167</v>
      </c>
      <c r="C3662" s="92" t="s">
        <v>8519</v>
      </c>
      <c r="D3662" s="72" t="str">
        <f>IFERROR(VLOOKUP(A3662,'[1]ST-QA-ZZ5'!$C$5:$M$299,11,0),"Inspection at production line")</f>
        <v>Inspection at production line</v>
      </c>
    </row>
    <row r="3663" spans="1:4" ht="13.8">
      <c r="A3663" s="47" t="s">
        <v>8520</v>
      </c>
      <c r="B3663" s="92" t="s">
        <v>818</v>
      </c>
      <c r="C3663" s="92" t="s">
        <v>8521</v>
      </c>
      <c r="D3663" s="72" t="str">
        <f>IFERROR(VLOOKUP(A3663,'[1]ST-QA-ZZ5'!$C$5:$M$299,11,0),"Inspection at production line")</f>
        <v>Inspection at production line</v>
      </c>
    </row>
    <row r="3664" spans="1:4" ht="13.8">
      <c r="A3664" s="47" t="s">
        <v>8522</v>
      </c>
      <c r="B3664" s="92" t="s">
        <v>83</v>
      </c>
      <c r="C3664" s="92" t="s">
        <v>8523</v>
      </c>
      <c r="D3664" s="72" t="str">
        <f>IFERROR(VLOOKUP(A3664,'[1]ST-QA-ZZ5'!$C$5:$M$299,11,0),"Inspection at production line")</f>
        <v>Inspection at production line</v>
      </c>
    </row>
    <row r="3665" spans="1:4" ht="13.8">
      <c r="A3665" s="47" t="s">
        <v>8524</v>
      </c>
      <c r="B3665" s="92" t="s">
        <v>1494</v>
      </c>
      <c r="C3665" s="94" t="s">
        <v>8525</v>
      </c>
      <c r="D3665" s="72" t="str">
        <f>IFERROR(VLOOKUP(A3665,'[1]ST-QA-ZZ5'!$C$5:$M$299,11,0),"Inspection at production line")</f>
        <v>Inspection at production line</v>
      </c>
    </row>
    <row r="3666" spans="1:4" ht="13.8">
      <c r="A3666" s="47" t="s">
        <v>8526</v>
      </c>
      <c r="B3666" s="92" t="s">
        <v>362</v>
      </c>
      <c r="C3666" s="92" t="s">
        <v>8527</v>
      </c>
      <c r="D3666" s="72" t="str">
        <f>IFERROR(VLOOKUP(A3666,'[1]ST-QA-ZZ5'!$C$5:$M$299,11,0),"Inspection at production line")</f>
        <v>Inspection at production line</v>
      </c>
    </row>
    <row r="3667" spans="1:4" ht="13.8">
      <c r="A3667" s="47" t="s">
        <v>8528</v>
      </c>
      <c r="B3667" s="92" t="s">
        <v>865</v>
      </c>
      <c r="C3667" s="92" t="s">
        <v>8529</v>
      </c>
      <c r="D3667" s="72" t="str">
        <f>IFERROR(VLOOKUP(A3667,'[1]ST-QA-ZZ5'!$C$5:$M$299,11,0),"Inspection at production line")</f>
        <v>Inspection at production line</v>
      </c>
    </row>
    <row r="3668" spans="1:4" ht="13.8">
      <c r="A3668" s="47" t="s">
        <v>8530</v>
      </c>
      <c r="B3668" s="92" t="s">
        <v>865</v>
      </c>
      <c r="C3668" s="92" t="s">
        <v>8531</v>
      </c>
      <c r="D3668" s="72" t="str">
        <f>IFERROR(VLOOKUP(A3668,'[1]ST-QA-ZZ5'!$C$5:$M$299,11,0),"Inspection at production line")</f>
        <v>Inspection at production line</v>
      </c>
    </row>
    <row r="3669" spans="1:4" ht="13.8">
      <c r="A3669" s="47" t="s">
        <v>8532</v>
      </c>
      <c r="B3669" s="92" t="s">
        <v>865</v>
      </c>
      <c r="C3669" s="92" t="s">
        <v>8533</v>
      </c>
      <c r="D3669" s="72" t="str">
        <f>IFERROR(VLOOKUP(A3669,'[1]ST-QA-ZZ5'!$C$5:$M$299,11,0),"Inspection at production line")</f>
        <v>Inspection at production line</v>
      </c>
    </row>
    <row r="3670" spans="1:4" ht="13.8">
      <c r="A3670" s="47" t="s">
        <v>8534</v>
      </c>
      <c r="B3670" s="92" t="s">
        <v>865</v>
      </c>
      <c r="C3670" s="92" t="s">
        <v>8535</v>
      </c>
      <c r="D3670" s="72" t="str">
        <f>IFERROR(VLOOKUP(A3670,'[1]ST-QA-ZZ5'!$C$5:$M$299,11,0),"Inspection at production line")</f>
        <v>Inspection at production line</v>
      </c>
    </row>
    <row r="3671" spans="1:4" ht="13.8">
      <c r="A3671" s="47" t="s">
        <v>8536</v>
      </c>
      <c r="B3671" s="92" t="s">
        <v>813</v>
      </c>
      <c r="C3671" s="92" t="s">
        <v>8537</v>
      </c>
      <c r="D3671" s="72" t="str">
        <f>IFERROR(VLOOKUP(A3671,'[1]ST-QA-ZZ5'!$C$5:$M$299,11,0),"Inspection at production line")</f>
        <v>Inspection at production line</v>
      </c>
    </row>
    <row r="3672" spans="1:4" ht="13.8">
      <c r="A3672" s="47" t="s">
        <v>8538</v>
      </c>
      <c r="B3672" s="92" t="s">
        <v>8539</v>
      </c>
      <c r="C3672" s="92" t="s">
        <v>8539</v>
      </c>
      <c r="D3672" s="72" t="str">
        <f>IFERROR(VLOOKUP(A3672,'[1]ST-QA-ZZ5'!$C$5:$M$299,11,0),"Inspection at production line")</f>
        <v>Inspection at production line</v>
      </c>
    </row>
    <row r="3673" spans="1:4" ht="13.8">
      <c r="A3673" s="47" t="s">
        <v>5008</v>
      </c>
      <c r="B3673" s="92" t="s">
        <v>355</v>
      </c>
      <c r="C3673" s="92" t="s">
        <v>5009</v>
      </c>
      <c r="D3673" s="72" t="str">
        <f>IFERROR(VLOOKUP(A3673,'[1]ST-QA-ZZ5'!$C$5:$M$299,11,0),"Inspection at production line")</f>
        <v>Inspection at production line</v>
      </c>
    </row>
    <row r="3674" spans="1:4" ht="13.8">
      <c r="A3674" s="47" t="s">
        <v>5144</v>
      </c>
      <c r="B3674" s="92" t="s">
        <v>891</v>
      </c>
      <c r="C3674" s="92" t="s">
        <v>5145</v>
      </c>
      <c r="D3674" s="72" t="str">
        <f>IFERROR(VLOOKUP(A3674,'[1]ST-QA-ZZ5'!$C$5:$M$299,11,0),"Inspection at production line")</f>
        <v>Inspection at production line</v>
      </c>
    </row>
    <row r="3675" spans="1:4" ht="13.8">
      <c r="A3675" s="47" t="s">
        <v>343</v>
      </c>
      <c r="B3675" s="92" t="s">
        <v>344</v>
      </c>
      <c r="C3675" s="92" t="s">
        <v>345</v>
      </c>
      <c r="D3675" s="72" t="str">
        <f>IFERROR(VLOOKUP(A3675,'[1]ST-QA-ZZ5'!$C$5:$M$299,11,0),"Inspection at production line")</f>
        <v>Inspection at production line</v>
      </c>
    </row>
    <row r="3676" spans="1:4" ht="13.8">
      <c r="A3676" s="47" t="s">
        <v>8540</v>
      </c>
      <c r="B3676" s="92" t="s">
        <v>68</v>
      </c>
      <c r="C3676" s="92" t="s">
        <v>8541</v>
      </c>
      <c r="D3676" s="72" t="str">
        <f>IFERROR(VLOOKUP(A3676,'[1]ST-QA-ZZ5'!$C$5:$M$299,11,0),"Inspection at production line")</f>
        <v>Inspection at production line</v>
      </c>
    </row>
    <row r="3677" spans="1:4" ht="13.8">
      <c r="A3677" s="47" t="s">
        <v>8542</v>
      </c>
      <c r="B3677" s="92" t="s">
        <v>362</v>
      </c>
      <c r="C3677" s="92" t="s">
        <v>8543</v>
      </c>
      <c r="D3677" s="72" t="str">
        <f>IFERROR(VLOOKUP(A3677,'[1]ST-QA-ZZ5'!$C$5:$M$299,11,0),"Inspection at production line")</f>
        <v>Inspection at production line</v>
      </c>
    </row>
    <row r="3678" spans="1:4" ht="13.8">
      <c r="A3678" s="47" t="s">
        <v>8544</v>
      </c>
      <c r="B3678" s="92" t="s">
        <v>1781</v>
      </c>
      <c r="C3678" s="92" t="s">
        <v>8545</v>
      </c>
      <c r="D3678" s="72" t="str">
        <f>IFERROR(VLOOKUP(A3678,'[1]ST-QA-ZZ5'!$C$5:$M$299,11,0),"Inspection at production line")</f>
        <v>Inspection at production line</v>
      </c>
    </row>
    <row r="3679" spans="1:4" ht="13.8">
      <c r="A3679" s="47" t="s">
        <v>8546</v>
      </c>
      <c r="B3679" s="92" t="s">
        <v>865</v>
      </c>
      <c r="C3679" s="92" t="s">
        <v>8547</v>
      </c>
      <c r="D3679" s="72" t="str">
        <f>IFERROR(VLOOKUP(A3679,'[1]ST-QA-ZZ5'!$C$5:$M$299,11,0),"Inspection at production line")</f>
        <v>Inspection at production line</v>
      </c>
    </row>
    <row r="3680" spans="1:4" ht="13.8">
      <c r="A3680" s="47" t="s">
        <v>8548</v>
      </c>
      <c r="B3680" s="92" t="s">
        <v>397</v>
      </c>
      <c r="C3680" s="92" t="s">
        <v>8549</v>
      </c>
      <c r="D3680" s="72" t="str">
        <f>IFERROR(VLOOKUP(A3680,'[1]ST-QA-ZZ5'!$C$5:$M$299,11,0),"Inspection at production line")</f>
        <v>Inspection at production line</v>
      </c>
    </row>
    <row r="3681" spans="1:4" ht="13.8">
      <c r="A3681" s="47" t="s">
        <v>8550</v>
      </c>
      <c r="B3681" s="92" t="s">
        <v>865</v>
      </c>
      <c r="C3681" s="92" t="s">
        <v>8551</v>
      </c>
      <c r="D3681" s="72" t="str">
        <f>IFERROR(VLOOKUP(A3681,'[1]ST-QA-ZZ5'!$C$5:$M$299,11,0),"Inspection at production line")</f>
        <v>Inspection at production line</v>
      </c>
    </row>
    <row r="3682" spans="1:4" ht="13.8">
      <c r="A3682" s="47" t="s">
        <v>8552</v>
      </c>
      <c r="B3682" s="92" t="s">
        <v>344</v>
      </c>
      <c r="C3682" s="92" t="s">
        <v>8553</v>
      </c>
      <c r="D3682" s="72" t="str">
        <f>IFERROR(VLOOKUP(A3682,'[1]ST-QA-ZZ5'!$C$5:$M$299,11,0),"Inspection at production line")</f>
        <v>Inspection at production line</v>
      </c>
    </row>
    <row r="3683" spans="1:4" ht="13.8">
      <c r="A3683" s="47" t="s">
        <v>8554</v>
      </c>
      <c r="B3683" s="92" t="s">
        <v>371</v>
      </c>
      <c r="C3683" s="92" t="s">
        <v>8555</v>
      </c>
      <c r="D3683" s="72" t="str">
        <f>IFERROR(VLOOKUP(A3683,'[1]ST-QA-ZZ5'!$C$5:$M$299,11,0),"Inspection at production line")</f>
        <v>Inspection at production line</v>
      </c>
    </row>
    <row r="3684" spans="1:4" ht="13.8">
      <c r="A3684" s="47" t="s">
        <v>8556</v>
      </c>
      <c r="B3684" s="92" t="s">
        <v>371</v>
      </c>
      <c r="C3684" s="92" t="s">
        <v>8557</v>
      </c>
      <c r="D3684" s="72" t="str">
        <f>IFERROR(VLOOKUP(A3684,'[1]ST-QA-ZZ5'!$C$5:$M$299,11,0),"Inspection at production line")</f>
        <v>Inspection at production line</v>
      </c>
    </row>
    <row r="3685" spans="1:4" ht="13.8">
      <c r="A3685" s="47" t="s">
        <v>8558</v>
      </c>
      <c r="B3685" s="92" t="s">
        <v>912</v>
      </c>
      <c r="C3685" s="92" t="s">
        <v>8559</v>
      </c>
      <c r="D3685" s="72" t="str">
        <f>IFERROR(VLOOKUP(A3685,'[1]ST-QA-ZZ5'!$C$5:$M$299,11,0),"Inspection at production line")</f>
        <v>Inspection at production line</v>
      </c>
    </row>
    <row r="3686" spans="1:4" ht="13.8">
      <c r="A3686" s="47" t="s">
        <v>8560</v>
      </c>
      <c r="B3686" s="92" t="s">
        <v>903</v>
      </c>
      <c r="C3686" s="92" t="s">
        <v>8561</v>
      </c>
      <c r="D3686" s="72" t="str">
        <f>IFERROR(VLOOKUP(A3686,'[1]ST-QA-ZZ5'!$C$5:$M$299,11,0),"Inspection at production line")</f>
        <v>Inspection at production line</v>
      </c>
    </row>
    <row r="3687" spans="1:4" ht="13.8">
      <c r="A3687" s="47" t="s">
        <v>8562</v>
      </c>
      <c r="B3687" s="92" t="s">
        <v>898</v>
      </c>
      <c r="C3687" s="92" t="s">
        <v>8563</v>
      </c>
      <c r="D3687" s="72" t="str">
        <f>IFERROR(VLOOKUP(A3687,'[1]ST-QA-ZZ5'!$C$5:$M$299,11,0),"Inspection at production line")</f>
        <v>Inspection at production line</v>
      </c>
    </row>
    <row r="3688" spans="1:4" ht="13.8">
      <c r="A3688" s="47" t="s">
        <v>8564</v>
      </c>
      <c r="B3688" s="92" t="s">
        <v>923</v>
      </c>
      <c r="C3688" s="92" t="s">
        <v>8565</v>
      </c>
      <c r="D3688" s="72" t="str">
        <f>IFERROR(VLOOKUP(A3688,'[1]ST-QA-ZZ5'!$C$5:$M$299,11,0),"Inspection at production line")</f>
        <v>Inspection at production line</v>
      </c>
    </row>
    <row r="3689" spans="1:4" ht="13.8">
      <c r="A3689" s="47" t="s">
        <v>8566</v>
      </c>
      <c r="B3689" s="92" t="s">
        <v>927</v>
      </c>
      <c r="C3689" s="92" t="s">
        <v>8567</v>
      </c>
      <c r="D3689" s="72" t="str">
        <f>IFERROR(VLOOKUP(A3689,'[1]ST-QA-ZZ5'!$C$5:$M$299,11,0),"Inspection at production line")</f>
        <v>Inspection at production line</v>
      </c>
    </row>
    <row r="3690" spans="1:4" ht="13.8">
      <c r="A3690" s="47" t="s">
        <v>8568</v>
      </c>
      <c r="B3690" s="92" t="s">
        <v>936</v>
      </c>
      <c r="C3690" s="92" t="s">
        <v>8569</v>
      </c>
      <c r="D3690" s="72" t="str">
        <f>IFERROR(VLOOKUP(A3690,'[1]ST-QA-ZZ5'!$C$5:$M$299,11,0),"Inspection at production line")</f>
        <v>Inspection at production line</v>
      </c>
    </row>
    <row r="3691" spans="1:4" ht="13.8">
      <c r="A3691" s="47" t="s">
        <v>8570</v>
      </c>
      <c r="B3691" s="92" t="s">
        <v>1554</v>
      </c>
      <c r="C3691" s="92" t="s">
        <v>8571</v>
      </c>
      <c r="D3691" s="72" t="str">
        <f>IFERROR(VLOOKUP(A3691,'[1]ST-QA-ZZ5'!$C$5:$M$299,11,0),"Inspection at production line")</f>
        <v>Inspection at production line</v>
      </c>
    </row>
    <row r="3692" spans="1:4" ht="13.8">
      <c r="A3692" s="47" t="s">
        <v>8572</v>
      </c>
      <c r="B3692" s="92" t="s">
        <v>1223</v>
      </c>
      <c r="C3692" s="92" t="s">
        <v>8573</v>
      </c>
      <c r="D3692" s="72" t="str">
        <f>IFERROR(VLOOKUP(A3692,'[1]ST-QA-ZZ5'!$C$5:$M$299,11,0),"Inspection at production line")</f>
        <v>Inspection at production line</v>
      </c>
    </row>
    <row r="3693" spans="1:4" ht="13.8">
      <c r="A3693" s="47" t="s">
        <v>8574</v>
      </c>
      <c r="B3693" s="92" t="s">
        <v>898</v>
      </c>
      <c r="C3693" s="92" t="s">
        <v>899</v>
      </c>
      <c r="D3693" s="72" t="str">
        <f>IFERROR(VLOOKUP(A3693,'[1]ST-QA-ZZ5'!$C$5:$M$299,11,0),"Inspection at production line")</f>
        <v>Inspection at production line</v>
      </c>
    </row>
    <row r="3694" spans="1:4" ht="13.8">
      <c r="A3694" s="47" t="s">
        <v>8575</v>
      </c>
      <c r="B3694" s="92" t="s">
        <v>821</v>
      </c>
      <c r="C3694" s="92" t="s">
        <v>8576</v>
      </c>
      <c r="D3694" s="72" t="str">
        <f>IFERROR(VLOOKUP(A3694,'[1]ST-QA-ZZ5'!$C$5:$M$299,11,0),"Inspection at production line")</f>
        <v>Inspection at production line</v>
      </c>
    </row>
    <row r="3695" spans="1:4" ht="13.8">
      <c r="A3695" s="47" t="s">
        <v>8577</v>
      </c>
      <c r="B3695" s="92" t="s">
        <v>8578</v>
      </c>
      <c r="C3695" s="92" t="s">
        <v>8578</v>
      </c>
      <c r="D3695" s="72" t="str">
        <f>IFERROR(VLOOKUP(A3695,'[1]ST-QA-ZZ5'!$C$5:$M$299,11,0),"Inspection at production line")</f>
        <v>Inspection at production line</v>
      </c>
    </row>
    <row r="3696" spans="1:4" ht="13.8">
      <c r="A3696" s="47" t="s">
        <v>8579</v>
      </c>
      <c r="B3696" s="92" t="s">
        <v>75</v>
      </c>
      <c r="C3696" s="92" t="s">
        <v>8580</v>
      </c>
      <c r="D3696" s="72" t="str">
        <f>IFERROR(VLOOKUP(A3696,'[1]ST-QA-ZZ5'!$C$5:$M$299,11,0),"Inspection at production line")</f>
        <v>Inspection at production line</v>
      </c>
    </row>
    <row r="3697" spans="1:4" ht="13.8">
      <c r="A3697" s="47" t="s">
        <v>8581</v>
      </c>
      <c r="B3697" s="92" t="s">
        <v>1563</v>
      </c>
      <c r="C3697" s="92" t="s">
        <v>8582</v>
      </c>
      <c r="D3697" s="72" t="str">
        <f>IFERROR(VLOOKUP(A3697,'[1]ST-QA-ZZ5'!$C$5:$M$299,11,0),"Inspection at production line")</f>
        <v>Inspection at production line</v>
      </c>
    </row>
    <row r="3698" spans="1:4" ht="13.8">
      <c r="A3698" s="47" t="s">
        <v>8583</v>
      </c>
      <c r="B3698" s="92" t="s">
        <v>1563</v>
      </c>
      <c r="C3698" s="92" t="s">
        <v>8584</v>
      </c>
      <c r="D3698" s="72" t="str">
        <f>IFERROR(VLOOKUP(A3698,'[1]ST-QA-ZZ5'!$C$5:$M$299,11,0),"Inspection at production line")</f>
        <v>Inspection at production line</v>
      </c>
    </row>
    <row r="3699" spans="1:4" ht="13.8">
      <c r="A3699" s="47" t="s">
        <v>8585</v>
      </c>
      <c r="B3699" s="92" t="s">
        <v>1563</v>
      </c>
      <c r="C3699" s="92" t="s">
        <v>8586</v>
      </c>
      <c r="D3699" s="72" t="str">
        <f>IFERROR(VLOOKUP(A3699,'[1]ST-QA-ZZ5'!$C$5:$M$299,11,0),"Inspection at production line")</f>
        <v>Inspection at production line</v>
      </c>
    </row>
    <row r="3700" spans="1:4" ht="13.8">
      <c r="A3700" s="47" t="s">
        <v>8587</v>
      </c>
      <c r="B3700" s="92" t="s">
        <v>8588</v>
      </c>
      <c r="C3700" s="92" t="s">
        <v>8589</v>
      </c>
      <c r="D3700" s="72" t="str">
        <f>IFERROR(VLOOKUP(A3700,'[1]ST-QA-ZZ5'!$C$5:$M$299,11,0),"Inspection at production line")</f>
        <v>Inspection at production line</v>
      </c>
    </row>
    <row r="3701" spans="1:4" ht="13.8">
      <c r="A3701" s="47" t="s">
        <v>8590</v>
      </c>
      <c r="B3701" s="92" t="s">
        <v>8591</v>
      </c>
      <c r="C3701" s="92" t="s">
        <v>8592</v>
      </c>
      <c r="D3701" s="72" t="str">
        <f>IFERROR(VLOOKUP(A3701,'[1]ST-QA-ZZ5'!$C$5:$M$299,11,0),"Inspection at production line")</f>
        <v>Inspection at production line</v>
      </c>
    </row>
    <row r="3702" spans="1:4" ht="13.8">
      <c r="A3702" s="47" t="s">
        <v>8593</v>
      </c>
      <c r="B3702" s="92" t="s">
        <v>8591</v>
      </c>
      <c r="C3702" s="92" t="s">
        <v>8594</v>
      </c>
      <c r="D3702" s="72" t="str">
        <f>IFERROR(VLOOKUP(A3702,'[1]ST-QA-ZZ5'!$C$5:$M$299,11,0),"Inspection at production line")</f>
        <v>Inspection at production line</v>
      </c>
    </row>
    <row r="3703" spans="1:4" ht="13.8">
      <c r="A3703" s="47" t="s">
        <v>8595</v>
      </c>
      <c r="B3703" s="92" t="s">
        <v>8596</v>
      </c>
      <c r="C3703" s="92" t="s">
        <v>8597</v>
      </c>
      <c r="D3703" s="72" t="str">
        <f>IFERROR(VLOOKUP(A3703,'[1]ST-QA-ZZ5'!$C$5:$M$299,11,0),"Inspection at production line")</f>
        <v>Inspection at production line</v>
      </c>
    </row>
    <row r="3704" spans="1:4" ht="13.8">
      <c r="A3704" s="47" t="s">
        <v>8598</v>
      </c>
      <c r="B3704" s="92" t="s">
        <v>857</v>
      </c>
      <c r="C3704" s="94" t="s">
        <v>8599</v>
      </c>
      <c r="D3704" s="72" t="str">
        <f>IFERROR(VLOOKUP(A3704,'[1]ST-QA-ZZ5'!$C$5:$M$299,11,0),"Inspection at production line")</f>
        <v>Inspection at production line</v>
      </c>
    </row>
    <row r="3705" spans="1:4" ht="13.8">
      <c r="A3705" s="47" t="s">
        <v>8600</v>
      </c>
      <c r="B3705" s="92" t="s">
        <v>857</v>
      </c>
      <c r="C3705" s="94" t="s">
        <v>8601</v>
      </c>
      <c r="D3705" s="72" t="str">
        <f>IFERROR(VLOOKUP(A3705,'[1]ST-QA-ZZ5'!$C$5:$M$299,11,0),"Inspection at production line")</f>
        <v>Inspection at production line</v>
      </c>
    </row>
    <row r="3706" spans="1:4" ht="13.8">
      <c r="A3706" s="47" t="s">
        <v>8602</v>
      </c>
      <c r="B3706" s="92" t="s">
        <v>857</v>
      </c>
      <c r="C3706" s="92" t="s">
        <v>8603</v>
      </c>
      <c r="D3706" s="72" t="str">
        <f>IFERROR(VLOOKUP(A3706,'[1]ST-QA-ZZ5'!$C$5:$M$299,11,0),"Inspection at production line")</f>
        <v>Inspection at production line</v>
      </c>
    </row>
    <row r="3707" spans="1:4" ht="13.8">
      <c r="A3707" s="47" t="s">
        <v>8604</v>
      </c>
      <c r="B3707" s="92" t="s">
        <v>857</v>
      </c>
      <c r="C3707" s="92" t="s">
        <v>8605</v>
      </c>
      <c r="D3707" s="72" t="str">
        <f>IFERROR(VLOOKUP(A3707,'[1]ST-QA-ZZ5'!$C$5:$M$299,11,0),"Inspection at production line")</f>
        <v>Inspection at production line</v>
      </c>
    </row>
    <row r="3708" spans="1:4" ht="13.8">
      <c r="A3708" s="47" t="s">
        <v>3086</v>
      </c>
      <c r="B3708" s="92" t="s">
        <v>75</v>
      </c>
      <c r="C3708" s="92" t="s">
        <v>3087</v>
      </c>
      <c r="D3708" s="72" t="str">
        <f>IFERROR(VLOOKUP(A3708,'[1]ST-QA-ZZ5'!$C$5:$M$299,11,0),"Inspection at production line")</f>
        <v>Inspection at production line</v>
      </c>
    </row>
    <row r="3709" spans="1:4" ht="13.8">
      <c r="A3709" s="47" t="s">
        <v>8606</v>
      </c>
      <c r="B3709" s="92" t="s">
        <v>8607</v>
      </c>
      <c r="C3709" s="92" t="s">
        <v>8607</v>
      </c>
      <c r="D3709" s="72" t="str">
        <f>IFERROR(VLOOKUP(A3709,'[1]ST-QA-ZZ5'!$C$5:$M$299,11,0),"Inspection at production line")</f>
        <v>Inspection at production line</v>
      </c>
    </row>
    <row r="3710" spans="1:4" ht="13.8">
      <c r="A3710" s="47" t="s">
        <v>8608</v>
      </c>
      <c r="B3710" s="92" t="s">
        <v>1257</v>
      </c>
      <c r="C3710" s="92" t="s">
        <v>8609</v>
      </c>
      <c r="D3710" s="72" t="str">
        <f>IFERROR(VLOOKUP(A3710,'[1]ST-QA-ZZ5'!$C$5:$M$299,11,0),"Inspection at production line")</f>
        <v>Inspection at production line</v>
      </c>
    </row>
    <row r="3711" spans="1:4" ht="13.8">
      <c r="A3711" s="47" t="s">
        <v>8610</v>
      </c>
      <c r="B3711" s="92" t="s">
        <v>8611</v>
      </c>
      <c r="C3711" s="92" t="s">
        <v>8612</v>
      </c>
      <c r="D3711" s="72" t="str">
        <f>IFERROR(VLOOKUP(A3711,'[1]ST-QA-ZZ5'!$C$5:$M$299,11,0),"Inspection at production line")</f>
        <v>Inspection at production line</v>
      </c>
    </row>
    <row r="3712" spans="1:4" ht="13.8">
      <c r="A3712" s="47" t="s">
        <v>8613</v>
      </c>
      <c r="B3712" s="92" t="s">
        <v>8614</v>
      </c>
      <c r="C3712" s="92" t="s">
        <v>8614</v>
      </c>
      <c r="D3712" s="72" t="str">
        <f>IFERROR(VLOOKUP(A3712,'[1]ST-QA-ZZ5'!$C$5:$M$299,11,0),"Inspection at production line")</f>
        <v>Inspection at production line</v>
      </c>
    </row>
    <row r="3713" spans="1:4" ht="13.8">
      <c r="A3713" s="47" t="s">
        <v>8615</v>
      </c>
      <c r="B3713" s="92" t="s">
        <v>1513</v>
      </c>
      <c r="C3713" s="92" t="s">
        <v>8616</v>
      </c>
      <c r="D3713" s="72" t="str">
        <f>IFERROR(VLOOKUP(A3713,'[1]ST-QA-ZZ5'!$C$5:$M$299,11,0),"Inspection at production line")</f>
        <v>Inspection at production line</v>
      </c>
    </row>
    <row r="3714" spans="1:4" ht="13.8">
      <c r="A3714" s="47" t="s">
        <v>8617</v>
      </c>
      <c r="B3714" s="92" t="s">
        <v>4596</v>
      </c>
      <c r="C3714" s="92" t="s">
        <v>8618</v>
      </c>
      <c r="D3714" s="72" t="str">
        <f>IFERROR(VLOOKUP(A3714,'[1]ST-QA-ZZ5'!$C$5:$M$299,11,0),"Inspection at production line")</f>
        <v>Inspection at production line</v>
      </c>
    </row>
    <row r="3715" spans="1:4" ht="13.8">
      <c r="A3715" s="47" t="s">
        <v>8619</v>
      </c>
      <c r="B3715" s="92" t="s">
        <v>8620</v>
      </c>
      <c r="C3715" s="94" t="s">
        <v>8620</v>
      </c>
      <c r="D3715" s="72" t="str">
        <f>IFERROR(VLOOKUP(A3715,'[1]ST-QA-ZZ5'!$C$5:$M$299,11,0),"Inspection at production line")</f>
        <v>Sampling check</v>
      </c>
    </row>
    <row r="3716" spans="1:4" ht="13.8">
      <c r="A3716" s="47" t="s">
        <v>8621</v>
      </c>
      <c r="B3716" s="92" t="s">
        <v>1513</v>
      </c>
      <c r="C3716" s="92" t="s">
        <v>8622</v>
      </c>
      <c r="D3716" s="72" t="str">
        <f>IFERROR(VLOOKUP(A3716,'[1]ST-QA-ZZ5'!$C$5:$M$299,11,0),"Inspection at production line")</f>
        <v>Inspection at production line</v>
      </c>
    </row>
    <row r="3717" spans="1:4" ht="13.8">
      <c r="A3717" s="47" t="s">
        <v>8623</v>
      </c>
      <c r="B3717" s="92" t="s">
        <v>8624</v>
      </c>
      <c r="C3717" s="92" t="s">
        <v>8624</v>
      </c>
      <c r="D3717" s="72" t="str">
        <f>IFERROR(VLOOKUP(A3717,'[1]ST-QA-ZZ5'!$C$5:$M$299,11,0),"Inspection at production line")</f>
        <v>Sampling check</v>
      </c>
    </row>
    <row r="3718" spans="1:4" ht="13.8">
      <c r="A3718" s="47" t="s">
        <v>8625</v>
      </c>
      <c r="B3718" s="92" t="s">
        <v>1592</v>
      </c>
      <c r="C3718" s="92" t="s">
        <v>8626</v>
      </c>
      <c r="D3718" s="72" t="str">
        <f>IFERROR(VLOOKUP(A3718,'[1]ST-QA-ZZ5'!$C$5:$M$299,11,0),"Inspection at production line")</f>
        <v>Inspection at production line</v>
      </c>
    </row>
    <row r="3719" spans="1:4" ht="13.8">
      <c r="A3719" s="47" t="s">
        <v>8627</v>
      </c>
      <c r="B3719" s="92" t="s">
        <v>8628</v>
      </c>
      <c r="C3719" s="92" t="s">
        <v>8628</v>
      </c>
      <c r="D3719" s="72" t="str">
        <f>IFERROR(VLOOKUP(A3719,'[1]ST-QA-ZZ5'!$C$5:$M$299,11,0),"Inspection at production line")</f>
        <v>Sampling check</v>
      </c>
    </row>
    <row r="3720" spans="1:4" ht="13.8">
      <c r="A3720" s="47" t="s">
        <v>8629</v>
      </c>
      <c r="B3720" s="92" t="s">
        <v>8630</v>
      </c>
      <c r="C3720" s="94" t="s">
        <v>8630</v>
      </c>
      <c r="D3720" s="72" t="str">
        <f>IFERROR(VLOOKUP(A3720,'[1]ST-QA-ZZ5'!$C$5:$M$299,11,0),"Inspection at production line")</f>
        <v>Sampling check</v>
      </c>
    </row>
    <row r="3721" spans="1:4" ht="13.8">
      <c r="A3721" s="47" t="s">
        <v>8631</v>
      </c>
      <c r="B3721" s="92" t="s">
        <v>2659</v>
      </c>
      <c r="C3721" s="92" t="s">
        <v>8632</v>
      </c>
      <c r="D3721" s="72" t="str">
        <f>IFERROR(VLOOKUP(A3721,'[1]ST-QA-ZZ5'!$C$5:$M$299,11,0),"Inspection at production line")</f>
        <v>Inspection at production line</v>
      </c>
    </row>
    <row r="3722" spans="1:4" ht="13.8">
      <c r="A3722" s="47" t="s">
        <v>8633</v>
      </c>
      <c r="B3722" s="92" t="s">
        <v>8634</v>
      </c>
      <c r="C3722" s="92" t="s">
        <v>8634</v>
      </c>
      <c r="D3722" s="72" t="str">
        <f>IFERROR(VLOOKUP(A3722,'[1]ST-QA-ZZ5'!$C$5:$M$299,11,0),"Inspection at production line")</f>
        <v>Sampling check</v>
      </c>
    </row>
    <row r="3723" spans="1:4" ht="13.8">
      <c r="A3723" s="47" t="s">
        <v>8635</v>
      </c>
      <c r="B3723" s="92" t="s">
        <v>8636</v>
      </c>
      <c r="C3723" s="92" t="s">
        <v>8636</v>
      </c>
      <c r="D3723" s="72" t="str">
        <f>IFERROR(VLOOKUP(A3723,'[1]ST-QA-ZZ5'!$C$5:$M$299,11,0),"Inspection at production line")</f>
        <v>Inspection at production line</v>
      </c>
    </row>
    <row r="3724" spans="1:4" ht="13.8">
      <c r="A3724" s="47" t="s">
        <v>8637</v>
      </c>
      <c r="B3724" s="92" t="s">
        <v>2659</v>
      </c>
      <c r="C3724" s="92" t="s">
        <v>8638</v>
      </c>
      <c r="D3724" s="72" t="str">
        <f>IFERROR(VLOOKUP(A3724,'[1]ST-QA-ZZ5'!$C$5:$M$299,11,0),"Inspection at production line")</f>
        <v>Inspection at production line</v>
      </c>
    </row>
    <row r="3725" spans="1:4" ht="13.8">
      <c r="A3725" s="47" t="s">
        <v>8639</v>
      </c>
      <c r="B3725" s="92" t="s">
        <v>8640</v>
      </c>
      <c r="C3725" s="92" t="s">
        <v>8640</v>
      </c>
      <c r="D3725" s="72" t="str">
        <f>IFERROR(VLOOKUP(A3725,'[1]ST-QA-ZZ5'!$C$5:$M$299,11,0),"Inspection at production line")</f>
        <v>Sampling check</v>
      </c>
    </row>
    <row r="3726" spans="1:4" ht="13.8">
      <c r="A3726" s="47" t="s">
        <v>8641</v>
      </c>
      <c r="B3726" s="92" t="s">
        <v>8642</v>
      </c>
      <c r="C3726" s="92" t="s">
        <v>8642</v>
      </c>
      <c r="D3726" s="72" t="str">
        <f>IFERROR(VLOOKUP(A3726,'[1]ST-QA-ZZ5'!$C$5:$M$299,11,0),"Inspection at production line")</f>
        <v>Sampling check</v>
      </c>
    </row>
    <row r="3727" spans="1:4" ht="13.8">
      <c r="A3727" s="47" t="s">
        <v>8643</v>
      </c>
      <c r="B3727" s="92" t="s">
        <v>75</v>
      </c>
      <c r="C3727" s="92" t="s">
        <v>8644</v>
      </c>
      <c r="D3727" s="72" t="str">
        <f>IFERROR(VLOOKUP(A3727,'[1]ST-QA-ZZ5'!$C$5:$M$299,11,0),"Inspection at production line")</f>
        <v>Inspection at production line</v>
      </c>
    </row>
    <row r="3728" spans="1:4" ht="13.8">
      <c r="A3728" s="47" t="s">
        <v>8645</v>
      </c>
      <c r="B3728" s="92" t="s">
        <v>8646</v>
      </c>
      <c r="C3728" s="92" t="s">
        <v>8646</v>
      </c>
      <c r="D3728" s="72" t="str">
        <f>IFERROR(VLOOKUP(A3728,'[1]ST-QA-ZZ5'!$C$5:$M$299,11,0),"Inspection at production line")</f>
        <v>Inspection at production line</v>
      </c>
    </row>
    <row r="3729" spans="1:4" ht="13.8">
      <c r="A3729" s="47" t="s">
        <v>8647</v>
      </c>
      <c r="B3729" s="92" t="s">
        <v>75</v>
      </c>
      <c r="C3729" s="92" t="s">
        <v>8648</v>
      </c>
      <c r="D3729" s="72" t="str">
        <f>IFERROR(VLOOKUP(A3729,'[1]ST-QA-ZZ5'!$C$5:$M$299,11,0),"Inspection at production line")</f>
        <v>Inspection at production line</v>
      </c>
    </row>
    <row r="3730" spans="1:4" ht="13.8">
      <c r="A3730" s="47" t="s">
        <v>8649</v>
      </c>
      <c r="B3730" s="92" t="s">
        <v>75</v>
      </c>
      <c r="C3730" s="92" t="s">
        <v>8650</v>
      </c>
      <c r="D3730" s="72" t="str">
        <f>IFERROR(VLOOKUP(A3730,'[1]ST-QA-ZZ5'!$C$5:$M$299,11,0),"Inspection at production line")</f>
        <v>Inspection at production line</v>
      </c>
    </row>
    <row r="3731" spans="1:4" ht="13.8">
      <c r="A3731" s="47" t="s">
        <v>8651</v>
      </c>
      <c r="B3731" s="92" t="s">
        <v>8652</v>
      </c>
      <c r="C3731" s="92" t="s">
        <v>8653</v>
      </c>
      <c r="D3731" s="72" t="str">
        <f>IFERROR(VLOOKUP(A3731,'[1]ST-QA-ZZ5'!$C$5:$M$299,11,0),"Inspection at production line")</f>
        <v>Inspection at production line</v>
      </c>
    </row>
    <row r="3732" spans="1:4" ht="13.8">
      <c r="A3732" s="47" t="s">
        <v>8654</v>
      </c>
      <c r="B3732" s="92" t="s">
        <v>8655</v>
      </c>
      <c r="C3732" s="92" t="s">
        <v>8656</v>
      </c>
      <c r="D3732" s="72" t="str">
        <f>IFERROR(VLOOKUP(A3732,'[1]ST-QA-ZZ5'!$C$5:$M$299,11,0),"Inspection at production line")</f>
        <v>Inspection at production line</v>
      </c>
    </row>
    <row r="3733" spans="1:4" ht="13.8">
      <c r="A3733" s="47" t="s">
        <v>8657</v>
      </c>
      <c r="B3733" s="92" t="s">
        <v>8658</v>
      </c>
      <c r="C3733" s="92" t="s">
        <v>8659</v>
      </c>
      <c r="D3733" s="72" t="str">
        <f>IFERROR(VLOOKUP(A3733,'[1]ST-QA-ZZ5'!$C$5:$M$299,11,0),"Inspection at production line")</f>
        <v>Inspection at production line</v>
      </c>
    </row>
    <row r="3734" spans="1:4" ht="13.8">
      <c r="A3734" s="47" t="s">
        <v>8660</v>
      </c>
      <c r="B3734" s="92" t="s">
        <v>8661</v>
      </c>
      <c r="C3734" s="92" t="s">
        <v>8662</v>
      </c>
      <c r="D3734" s="72" t="str">
        <f>IFERROR(VLOOKUP(A3734,'[1]ST-QA-ZZ5'!$C$5:$M$299,11,0),"Inspection at production line")</f>
        <v>Inspection at production line</v>
      </c>
    </row>
    <row r="3735" spans="1:4" ht="13.8">
      <c r="A3735" s="47" t="s">
        <v>8663</v>
      </c>
      <c r="B3735" s="92" t="s">
        <v>8664</v>
      </c>
      <c r="C3735" s="92" t="s">
        <v>8664</v>
      </c>
      <c r="D3735" s="72" t="str">
        <f>IFERROR(VLOOKUP(A3735,'[1]ST-QA-ZZ5'!$C$5:$M$299,11,0),"Inspection at production line")</f>
        <v>Inspection at production line</v>
      </c>
    </row>
    <row r="3736" spans="1:4" ht="13.8">
      <c r="A3736" s="47" t="s">
        <v>8665</v>
      </c>
      <c r="B3736" s="92" t="s">
        <v>8666</v>
      </c>
      <c r="C3736" s="92" t="s">
        <v>8666</v>
      </c>
      <c r="D3736" s="72" t="str">
        <f>IFERROR(VLOOKUP(A3736,'[1]ST-QA-ZZ5'!$C$5:$M$299,11,0),"Inspection at production line")</f>
        <v>Inspection at production line</v>
      </c>
    </row>
    <row r="3737" spans="1:4" ht="13.8">
      <c r="A3737" s="47" t="s">
        <v>8667</v>
      </c>
      <c r="B3737" s="92" t="s">
        <v>8668</v>
      </c>
      <c r="C3737" s="92" t="s">
        <v>8669</v>
      </c>
      <c r="D3737" s="72" t="str">
        <f>IFERROR(VLOOKUP(A3737,'[1]ST-QA-ZZ5'!$C$5:$M$299,11,0),"Inspection at production line")</f>
        <v>Inspection at production line</v>
      </c>
    </row>
    <row r="3738" spans="1:4" ht="13.8">
      <c r="A3738" s="47" t="s">
        <v>8670</v>
      </c>
      <c r="B3738" s="92" t="s">
        <v>8671</v>
      </c>
      <c r="C3738" s="92" t="s">
        <v>8672</v>
      </c>
      <c r="D3738" s="72" t="str">
        <f>IFERROR(VLOOKUP(A3738,'[1]ST-QA-ZZ5'!$C$5:$M$299,11,0),"Inspection at production line")</f>
        <v>Inspection at production line</v>
      </c>
    </row>
    <row r="3739" spans="1:4" ht="13.8">
      <c r="A3739" s="47" t="s">
        <v>8673</v>
      </c>
      <c r="B3739" s="92" t="s">
        <v>8674</v>
      </c>
      <c r="C3739" s="92" t="s">
        <v>8675</v>
      </c>
      <c r="D3739" s="72" t="str">
        <f>IFERROR(VLOOKUP(A3739,'[1]ST-QA-ZZ5'!$C$5:$M$299,11,0),"Inspection at production line")</f>
        <v>Inspection at production line</v>
      </c>
    </row>
    <row r="3740" spans="1:4" ht="13.8">
      <c r="A3740" s="47" t="s">
        <v>8676</v>
      </c>
      <c r="B3740" s="92" t="s">
        <v>8674</v>
      </c>
      <c r="C3740" s="92" t="s">
        <v>8677</v>
      </c>
      <c r="D3740" s="72" t="str">
        <f>IFERROR(VLOOKUP(A3740,'[1]ST-QA-ZZ5'!$C$5:$M$299,11,0),"Inspection at production line")</f>
        <v>Inspection at production line</v>
      </c>
    </row>
    <row r="3741" spans="1:4" ht="13.8">
      <c r="A3741" s="47" t="s">
        <v>8678</v>
      </c>
      <c r="B3741" s="92" t="s">
        <v>8674</v>
      </c>
      <c r="C3741" s="92" t="s">
        <v>8679</v>
      </c>
      <c r="D3741" s="72" t="str">
        <f>IFERROR(VLOOKUP(A3741,'[1]ST-QA-ZZ5'!$C$5:$M$299,11,0),"Inspection at production line")</f>
        <v>Inspection at production line</v>
      </c>
    </row>
    <row r="3742" spans="1:4" ht="13.8">
      <c r="A3742" s="47" t="s">
        <v>8680</v>
      </c>
      <c r="B3742" s="92" t="s">
        <v>8681</v>
      </c>
      <c r="C3742" s="92" t="s">
        <v>8681</v>
      </c>
      <c r="D3742" s="72" t="str">
        <f>IFERROR(VLOOKUP(A3742,'[1]ST-QA-ZZ5'!$C$5:$M$299,11,0),"Inspection at production line")</f>
        <v>Inspection at production line</v>
      </c>
    </row>
    <row r="3743" spans="1:4" ht="13.8">
      <c r="A3743" s="47" t="s">
        <v>8682</v>
      </c>
      <c r="B3743" s="92" t="s">
        <v>8681</v>
      </c>
      <c r="C3743" s="92" t="s">
        <v>8681</v>
      </c>
      <c r="D3743" s="72" t="str">
        <f>IFERROR(VLOOKUP(A3743,'[1]ST-QA-ZZ5'!$C$5:$M$299,11,0),"Inspection at production line")</f>
        <v>Inspection at production line</v>
      </c>
    </row>
    <row r="3744" spans="1:4" ht="13.8">
      <c r="A3744" s="47" t="s">
        <v>8683</v>
      </c>
      <c r="B3744" s="92" t="s">
        <v>8684</v>
      </c>
      <c r="C3744" s="92" t="s">
        <v>8684</v>
      </c>
      <c r="D3744" s="72" t="str">
        <f>IFERROR(VLOOKUP(A3744,'[1]ST-QA-ZZ5'!$C$5:$M$299,11,0),"Inspection at production line")</f>
        <v>Inspection at production line</v>
      </c>
    </row>
    <row r="3745" spans="1:4" ht="13.8">
      <c r="A3745" s="47" t="s">
        <v>8685</v>
      </c>
      <c r="B3745" s="92" t="s">
        <v>8674</v>
      </c>
      <c r="C3745" s="92" t="s">
        <v>8686</v>
      </c>
      <c r="D3745" s="72" t="str">
        <f>IFERROR(VLOOKUP(A3745,'[1]ST-QA-ZZ5'!$C$5:$M$299,11,0),"Inspection at production line")</f>
        <v>Inspection at production line</v>
      </c>
    </row>
    <row r="3746" spans="1:4" ht="13.8">
      <c r="A3746" s="47" t="s">
        <v>8687</v>
      </c>
      <c r="B3746" s="92" t="s">
        <v>1257</v>
      </c>
      <c r="C3746" s="92" t="s">
        <v>8688</v>
      </c>
      <c r="D3746" s="72" t="str">
        <f>IFERROR(VLOOKUP(A3746,'[1]ST-QA-ZZ5'!$C$5:$M$299,11,0),"Inspection at production line")</f>
        <v>Inspection at production line</v>
      </c>
    </row>
    <row r="3747" spans="1:4" ht="13.8">
      <c r="A3747" s="47" t="s">
        <v>8689</v>
      </c>
      <c r="B3747" s="92" t="s">
        <v>1257</v>
      </c>
      <c r="C3747" s="92" t="s">
        <v>8690</v>
      </c>
      <c r="D3747" s="72" t="str">
        <f>IFERROR(VLOOKUP(A3747,'[1]ST-QA-ZZ5'!$C$5:$M$299,11,0),"Inspection at production line")</f>
        <v>Inspection at production line</v>
      </c>
    </row>
    <row r="3748" spans="1:4" ht="13.8">
      <c r="A3748" s="47" t="s">
        <v>8691</v>
      </c>
      <c r="B3748" s="92" t="s">
        <v>1257</v>
      </c>
      <c r="C3748" s="92" t="s">
        <v>8692</v>
      </c>
      <c r="D3748" s="72" t="str">
        <f>IFERROR(VLOOKUP(A3748,'[1]ST-QA-ZZ5'!$C$5:$M$299,11,0),"Inspection at production line")</f>
        <v>Inspection at production line</v>
      </c>
    </row>
    <row r="3749" spans="1:4" ht="13.8">
      <c r="A3749" s="47" t="s">
        <v>8693</v>
      </c>
      <c r="B3749" s="92" t="s">
        <v>1257</v>
      </c>
      <c r="C3749" s="92" t="s">
        <v>8694</v>
      </c>
      <c r="D3749" s="72" t="str">
        <f>IFERROR(VLOOKUP(A3749,'[1]ST-QA-ZZ5'!$C$5:$M$299,11,0),"Inspection at production line")</f>
        <v>Inspection at production line</v>
      </c>
    </row>
    <row r="3750" spans="1:4" ht="13.8">
      <c r="A3750" s="47" t="s">
        <v>8695</v>
      </c>
      <c r="B3750" s="92" t="s">
        <v>8696</v>
      </c>
      <c r="C3750" s="92" t="s">
        <v>8696</v>
      </c>
      <c r="D3750" s="72" t="str">
        <f>IFERROR(VLOOKUP(A3750,'[1]ST-QA-ZZ5'!$C$5:$M$299,11,0),"Inspection at production line")</f>
        <v>Inspection at production line</v>
      </c>
    </row>
    <row r="3751" spans="1:4" ht="13.8">
      <c r="A3751" s="47" t="s">
        <v>8697</v>
      </c>
      <c r="B3751" s="92" t="s">
        <v>8698</v>
      </c>
      <c r="C3751" s="94" t="s">
        <v>8698</v>
      </c>
      <c r="D3751" s="72" t="str">
        <f>IFERROR(VLOOKUP(A3751,'[1]ST-QA-ZZ5'!$C$5:$M$299,11,0),"Inspection at production line")</f>
        <v>Inspection at production line</v>
      </c>
    </row>
    <row r="3752" spans="1:4" ht="13.8">
      <c r="A3752" s="47" t="s">
        <v>8699</v>
      </c>
      <c r="B3752" s="92" t="s">
        <v>8700</v>
      </c>
      <c r="C3752" s="92" t="s">
        <v>8700</v>
      </c>
      <c r="D3752" s="72" t="str">
        <f>IFERROR(VLOOKUP(A3752,'[1]ST-QA-ZZ5'!$C$5:$M$299,11,0),"Inspection at production line")</f>
        <v>Inspection at production line</v>
      </c>
    </row>
    <row r="3753" spans="1:4" ht="13.8">
      <c r="A3753" s="47" t="s">
        <v>8701</v>
      </c>
      <c r="B3753" s="92" t="s">
        <v>8702</v>
      </c>
      <c r="C3753" s="92" t="s">
        <v>8702</v>
      </c>
      <c r="D3753" s="72" t="str">
        <f>IFERROR(VLOOKUP(A3753,'[1]ST-QA-ZZ5'!$C$5:$M$299,11,0),"Inspection at production line")</f>
        <v>Inspection at production line</v>
      </c>
    </row>
    <row r="3754" spans="1:4" ht="13.8">
      <c r="A3754" s="47" t="s">
        <v>8703</v>
      </c>
      <c r="B3754" s="92" t="s">
        <v>8704</v>
      </c>
      <c r="C3754" s="92" t="s">
        <v>8705</v>
      </c>
      <c r="D3754" s="72" t="str">
        <f>IFERROR(VLOOKUP(A3754,'[1]ST-QA-ZZ5'!$C$5:$M$299,11,0),"Inspection at production line")</f>
        <v>Inspection at production line</v>
      </c>
    </row>
    <row r="3755" spans="1:4" ht="13.8">
      <c r="A3755" s="47" t="s">
        <v>8706</v>
      </c>
      <c r="B3755" s="92" t="s">
        <v>8707</v>
      </c>
      <c r="C3755" s="92" t="s">
        <v>8707</v>
      </c>
      <c r="D3755" s="72" t="str">
        <f>IFERROR(VLOOKUP(A3755,'[1]ST-QA-ZZ5'!$C$5:$M$299,11,0),"Inspection at production line")</f>
        <v>Inspection at production line</v>
      </c>
    </row>
    <row r="3756" spans="1:4" ht="13.8">
      <c r="A3756" s="47" t="s">
        <v>8708</v>
      </c>
      <c r="B3756" s="92" t="s">
        <v>8709</v>
      </c>
      <c r="C3756" s="92" t="s">
        <v>8710</v>
      </c>
      <c r="D3756" s="72" t="str">
        <f>IFERROR(VLOOKUP(A3756,'[1]ST-QA-ZZ5'!$C$5:$M$299,11,0),"Inspection at production line")</f>
        <v>Inspection at production line</v>
      </c>
    </row>
    <row r="3757" spans="1:4" ht="13.8">
      <c r="A3757" s="47" t="s">
        <v>8711</v>
      </c>
      <c r="B3757" s="92" t="s">
        <v>8712</v>
      </c>
      <c r="C3757" s="92" t="s">
        <v>8712</v>
      </c>
      <c r="D3757" s="72" t="str">
        <f>IFERROR(VLOOKUP(A3757,'[1]ST-QA-ZZ5'!$C$5:$M$299,11,0),"Inspection at production line")</f>
        <v>Inspection at production line</v>
      </c>
    </row>
    <row r="3758" spans="1:4" ht="13.8">
      <c r="A3758" s="47" t="s">
        <v>8713</v>
      </c>
      <c r="B3758" s="92" t="s">
        <v>8714</v>
      </c>
      <c r="C3758" s="92" t="s">
        <v>8714</v>
      </c>
      <c r="D3758" s="72" t="str">
        <f>IFERROR(VLOOKUP(A3758,'[1]ST-QA-ZZ5'!$C$5:$M$299,11,0),"Inspection at production line")</f>
        <v>Inspection at production line</v>
      </c>
    </row>
    <row r="3759" spans="1:4" ht="13.8">
      <c r="A3759" s="47" t="s">
        <v>8715</v>
      </c>
      <c r="B3759" s="92" t="s">
        <v>8716</v>
      </c>
      <c r="C3759" s="92" t="s">
        <v>8717</v>
      </c>
      <c r="D3759" s="72" t="str">
        <f>IFERROR(VLOOKUP(A3759,'[1]ST-QA-ZZ5'!$C$5:$M$299,11,0),"Inspection at production line")</f>
        <v>Inspection at production line</v>
      </c>
    </row>
    <row r="3760" spans="1:4" ht="13.8">
      <c r="A3760" s="47" t="s">
        <v>8718</v>
      </c>
      <c r="B3760" s="92" t="s">
        <v>8719</v>
      </c>
      <c r="C3760" s="92" t="s">
        <v>8720</v>
      </c>
      <c r="D3760" s="72" t="str">
        <f>IFERROR(VLOOKUP(A3760,'[1]ST-QA-ZZ5'!$C$5:$M$299,11,0),"Inspection at production line")</f>
        <v>Inspection at production line</v>
      </c>
    </row>
    <row r="3761" spans="1:4" ht="13.8">
      <c r="A3761" s="47" t="s">
        <v>8721</v>
      </c>
      <c r="B3761" s="92" t="s">
        <v>8722</v>
      </c>
      <c r="C3761" s="92" t="s">
        <v>8723</v>
      </c>
      <c r="D3761" s="72" t="str">
        <f>IFERROR(VLOOKUP(A3761,'[1]ST-QA-ZZ5'!$C$5:$M$299,11,0),"Inspection at production line")</f>
        <v>Inspection at production line</v>
      </c>
    </row>
    <row r="3762" spans="1:4" ht="13.8">
      <c r="A3762" s="47" t="s">
        <v>8724</v>
      </c>
      <c r="B3762" s="92" t="s">
        <v>8725</v>
      </c>
      <c r="C3762" s="92" t="s">
        <v>8725</v>
      </c>
      <c r="D3762" s="72" t="str">
        <f>IFERROR(VLOOKUP(A3762,'[1]ST-QA-ZZ5'!$C$5:$M$299,11,0),"Inspection at production line")</f>
        <v>Inspection at production line</v>
      </c>
    </row>
    <row r="3763" spans="1:4" ht="13.8">
      <c r="A3763" s="47" t="s">
        <v>8726</v>
      </c>
      <c r="B3763" s="92" t="s">
        <v>8727</v>
      </c>
      <c r="C3763" s="92" t="s">
        <v>8727</v>
      </c>
      <c r="D3763" s="72" t="str">
        <f>IFERROR(VLOOKUP(A3763,'[1]ST-QA-ZZ5'!$C$5:$M$299,11,0),"Inspection at production line")</f>
        <v>Inspection at production line</v>
      </c>
    </row>
    <row r="3764" spans="1:4" ht="13.8">
      <c r="A3764" s="47" t="s">
        <v>8728</v>
      </c>
      <c r="B3764" s="92" t="s">
        <v>8729</v>
      </c>
      <c r="C3764" s="92" t="s">
        <v>8729</v>
      </c>
      <c r="D3764" s="72" t="str">
        <f>IFERROR(VLOOKUP(A3764,'[1]ST-QA-ZZ5'!$C$5:$M$299,11,0),"Inspection at production line")</f>
        <v>Inspection at production line</v>
      </c>
    </row>
    <row r="3765" spans="1:4" ht="13.8">
      <c r="A3765" s="47" t="s">
        <v>8730</v>
      </c>
      <c r="B3765" s="92" t="s">
        <v>8731</v>
      </c>
      <c r="C3765" s="92" t="s">
        <v>8731</v>
      </c>
      <c r="D3765" s="72" t="str">
        <f>IFERROR(VLOOKUP(A3765,'[1]ST-QA-ZZ5'!$C$5:$M$299,11,0),"Inspection at production line")</f>
        <v>Inspection at production line</v>
      </c>
    </row>
    <row r="3766" spans="1:4" ht="13.8">
      <c r="A3766" s="47" t="s">
        <v>8732</v>
      </c>
      <c r="B3766" s="92" t="s">
        <v>835</v>
      </c>
      <c r="C3766" s="92" t="s">
        <v>8733</v>
      </c>
      <c r="D3766" s="72" t="str">
        <f>IFERROR(VLOOKUP(A3766,'[1]ST-QA-ZZ5'!$C$5:$M$299,11,0),"Inspection at production line")</f>
        <v>Inspection at production line</v>
      </c>
    </row>
    <row r="3767" spans="1:4" ht="13.8">
      <c r="A3767" s="47" t="s">
        <v>8734</v>
      </c>
      <c r="B3767" s="92" t="s">
        <v>8735</v>
      </c>
      <c r="C3767" s="92" t="s">
        <v>8736</v>
      </c>
      <c r="D3767" s="72" t="str">
        <f>IFERROR(VLOOKUP(A3767,'[1]ST-QA-ZZ5'!$C$5:$M$299,11,0),"Inspection at production line")</f>
        <v>Inspection at production line</v>
      </c>
    </row>
    <row r="3768" spans="1:4" ht="13.8">
      <c r="A3768" s="47" t="s">
        <v>8737</v>
      </c>
      <c r="B3768" s="92" t="s">
        <v>8738</v>
      </c>
      <c r="C3768" s="92" t="s">
        <v>8738</v>
      </c>
      <c r="D3768" s="72" t="str">
        <f>IFERROR(VLOOKUP(A3768,'[1]ST-QA-ZZ5'!$C$5:$M$299,11,0),"Inspection at production line")</f>
        <v>Inspection at production line</v>
      </c>
    </row>
    <row r="3769" spans="1:4" ht="13.8">
      <c r="A3769" s="47" t="s">
        <v>8739</v>
      </c>
      <c r="B3769" s="92" t="s">
        <v>8740</v>
      </c>
      <c r="C3769" s="92" t="s">
        <v>8741</v>
      </c>
      <c r="D3769" s="72" t="str">
        <f>IFERROR(VLOOKUP(A3769,'[1]ST-QA-ZZ5'!$C$5:$M$299,11,0),"Inspection at production line")</f>
        <v>Inspection at production line</v>
      </c>
    </row>
    <row r="3770" spans="1:4" ht="13.8">
      <c r="A3770" s="47" t="s">
        <v>8742</v>
      </c>
      <c r="B3770" s="92" t="s">
        <v>8743</v>
      </c>
      <c r="C3770" s="92" t="s">
        <v>8744</v>
      </c>
      <c r="D3770" s="72" t="str">
        <f>IFERROR(VLOOKUP(A3770,'[1]ST-QA-ZZ5'!$C$5:$M$299,11,0),"Inspection at production line")</f>
        <v>Inspection at production line</v>
      </c>
    </row>
    <row r="3771" spans="1:4" ht="13.8">
      <c r="A3771" s="47" t="s">
        <v>8745</v>
      </c>
      <c r="B3771" s="92" t="s">
        <v>8743</v>
      </c>
      <c r="C3771" s="92" t="s">
        <v>8746</v>
      </c>
      <c r="D3771" s="72" t="str">
        <f>IFERROR(VLOOKUP(A3771,'[1]ST-QA-ZZ5'!$C$5:$M$299,11,0),"Inspection at production line")</f>
        <v>Inspection at production line</v>
      </c>
    </row>
    <row r="3772" spans="1:4" ht="13.8">
      <c r="A3772" s="47" t="s">
        <v>8747</v>
      </c>
      <c r="B3772" s="92" t="s">
        <v>8748</v>
      </c>
      <c r="C3772" s="94" t="s">
        <v>8749</v>
      </c>
      <c r="D3772" s="72" t="str">
        <f>IFERROR(VLOOKUP(A3772,'[1]ST-QA-ZZ5'!$C$5:$M$299,11,0),"Inspection at production line")</f>
        <v>Inspection at production line</v>
      </c>
    </row>
    <row r="3773" spans="1:4" ht="13.8">
      <c r="A3773" s="47" t="s">
        <v>8750</v>
      </c>
      <c r="B3773" s="92" t="s">
        <v>8751</v>
      </c>
      <c r="C3773" s="92" t="s">
        <v>8751</v>
      </c>
      <c r="D3773" s="72" t="str">
        <f>IFERROR(VLOOKUP(A3773,'[1]ST-QA-ZZ5'!$C$5:$M$299,11,0),"Inspection at production line")</f>
        <v>Inspection at production line</v>
      </c>
    </row>
    <row r="3774" spans="1:4" ht="13.8">
      <c r="A3774" s="47" t="s">
        <v>8752</v>
      </c>
      <c r="B3774" s="92" t="s">
        <v>8753</v>
      </c>
      <c r="C3774" s="92" t="s">
        <v>8754</v>
      </c>
      <c r="D3774" s="72" t="str">
        <f>IFERROR(VLOOKUP(A3774,'[1]ST-QA-ZZ5'!$C$5:$M$299,11,0),"Inspection at production line")</f>
        <v>Inspection at production line</v>
      </c>
    </row>
    <row r="3775" spans="1:4" ht="13.8">
      <c r="A3775" s="47" t="s">
        <v>8755</v>
      </c>
      <c r="B3775" s="92" t="s">
        <v>8756</v>
      </c>
      <c r="C3775" s="92" t="s">
        <v>8757</v>
      </c>
      <c r="D3775" s="72" t="str">
        <f>IFERROR(VLOOKUP(A3775,'[1]ST-QA-ZZ5'!$C$5:$M$299,11,0),"Inspection at production line")</f>
        <v>Inspection at production line</v>
      </c>
    </row>
    <row r="3776" spans="1:4" ht="13.8">
      <c r="A3776" s="47" t="s">
        <v>8758</v>
      </c>
      <c r="B3776" s="92" t="s">
        <v>8759</v>
      </c>
      <c r="C3776" s="92" t="s">
        <v>8760</v>
      </c>
      <c r="D3776" s="72" t="str">
        <f>IFERROR(VLOOKUP(A3776,'[1]ST-QA-ZZ5'!$C$5:$M$299,11,0),"Inspection at production line")</f>
        <v>Inspection at production line</v>
      </c>
    </row>
    <row r="3777" spans="1:4" ht="13.8">
      <c r="A3777" s="47" t="s">
        <v>8761</v>
      </c>
      <c r="B3777" s="92" t="s">
        <v>8762</v>
      </c>
      <c r="C3777" s="92" t="s">
        <v>8763</v>
      </c>
      <c r="D3777" s="72" t="str">
        <f>IFERROR(VLOOKUP(A3777,'[1]ST-QA-ZZ5'!$C$5:$M$299,11,0),"Inspection at production line")</f>
        <v>Inspection at production line</v>
      </c>
    </row>
    <row r="3778" spans="1:4" ht="13.8">
      <c r="A3778" s="47" t="s">
        <v>8764</v>
      </c>
      <c r="B3778" s="92" t="s">
        <v>4769</v>
      </c>
      <c r="C3778" s="92" t="s">
        <v>8765</v>
      </c>
      <c r="D3778" s="72" t="str">
        <f>IFERROR(VLOOKUP(A3778,'[1]ST-QA-ZZ5'!$C$5:$M$299,11,0),"Inspection at production line")</f>
        <v>Inspection at production line</v>
      </c>
    </row>
    <row r="3779" spans="1:4" ht="13.8">
      <c r="A3779" s="47" t="s">
        <v>8766</v>
      </c>
      <c r="B3779" s="92" t="s">
        <v>978</v>
      </c>
      <c r="C3779" s="92" t="s">
        <v>8767</v>
      </c>
      <c r="D3779" s="72" t="str">
        <f>IFERROR(VLOOKUP(A3779,'[1]ST-QA-ZZ5'!$C$5:$M$299,11,0),"Inspection at production line")</f>
        <v>Inspection at production line</v>
      </c>
    </row>
    <row r="3780" spans="1:4" ht="13.8">
      <c r="A3780" s="47" t="s">
        <v>8768</v>
      </c>
      <c r="B3780" s="92" t="s">
        <v>8753</v>
      </c>
      <c r="C3780" s="92" t="s">
        <v>8769</v>
      </c>
      <c r="D3780" s="72" t="str">
        <f>IFERROR(VLOOKUP(A3780,'[1]ST-QA-ZZ5'!$C$5:$M$299,11,0),"Inspection at production line")</f>
        <v>Inspection at production line</v>
      </c>
    </row>
    <row r="3781" spans="1:4" ht="13.8">
      <c r="A3781" s="47" t="s">
        <v>8770</v>
      </c>
      <c r="B3781" s="92" t="s">
        <v>8771</v>
      </c>
      <c r="C3781" s="92" t="s">
        <v>8772</v>
      </c>
      <c r="D3781" s="72" t="str">
        <f>IFERROR(VLOOKUP(A3781,'[1]ST-QA-ZZ5'!$C$5:$M$299,11,0),"Inspection at production line")</f>
        <v>Inspection at production line</v>
      </c>
    </row>
    <row r="3782" spans="1:4" ht="13.8">
      <c r="A3782" s="47" t="s">
        <v>8773</v>
      </c>
      <c r="B3782" s="92" t="s">
        <v>8774</v>
      </c>
      <c r="C3782" s="92" t="s">
        <v>8775</v>
      </c>
      <c r="D3782" s="72" t="str">
        <f>IFERROR(VLOOKUP(A3782,'[1]ST-QA-ZZ5'!$C$5:$M$299,11,0),"Inspection at production line")</f>
        <v>Inspection at production line</v>
      </c>
    </row>
    <row r="3783" spans="1:4" ht="13.8">
      <c r="A3783" s="47" t="s">
        <v>18189</v>
      </c>
      <c r="B3783" s="92" t="s">
        <v>8753</v>
      </c>
      <c r="C3783" s="92" t="s">
        <v>8782</v>
      </c>
      <c r="D3783" s="72" t="str">
        <f>IFERROR(VLOOKUP(A3783,'[1]ST-QA-ZZ5'!$C$5:$M$299,11,0),"Inspection at production line")</f>
        <v>Inspection at production line</v>
      </c>
    </row>
    <row r="3784" spans="1:4" ht="13.8">
      <c r="A3784" s="47" t="s">
        <v>8776</v>
      </c>
      <c r="B3784" s="92" t="s">
        <v>8777</v>
      </c>
      <c r="C3784" s="92" t="s">
        <v>8778</v>
      </c>
      <c r="D3784" s="72" t="str">
        <f>IFERROR(VLOOKUP(A3784,'[1]ST-QA-ZZ5'!$C$5:$M$299,11,0),"Inspection at production line")</f>
        <v>Inspection at production line</v>
      </c>
    </row>
    <row r="3785" spans="1:4" ht="13.8">
      <c r="A3785" s="47" t="s">
        <v>8779</v>
      </c>
      <c r="B3785" s="92" t="s">
        <v>8748</v>
      </c>
      <c r="C3785" s="92" t="s">
        <v>8780</v>
      </c>
      <c r="D3785" s="72" t="str">
        <f>IFERROR(VLOOKUP(A3785,'[1]ST-QA-ZZ5'!$C$5:$M$299,11,0),"Inspection at production line")</f>
        <v>Inspection at production line</v>
      </c>
    </row>
    <row r="3786" spans="1:4" ht="13.8">
      <c r="A3786" s="47" t="s">
        <v>8781</v>
      </c>
      <c r="B3786" s="92" t="s">
        <v>8753</v>
      </c>
      <c r="C3786" s="92" t="s">
        <v>8782</v>
      </c>
      <c r="D3786" s="72" t="str">
        <f>IFERROR(VLOOKUP(A3786,'[1]ST-QA-ZZ5'!$C$5:$M$299,11,0),"Inspection at production line")</f>
        <v>Inspection at production line</v>
      </c>
    </row>
    <row r="3787" spans="1:4" ht="13.8">
      <c r="A3787" s="47" t="s">
        <v>8783</v>
      </c>
      <c r="B3787" s="92" t="s">
        <v>1223</v>
      </c>
      <c r="C3787" s="92" t="s">
        <v>8784</v>
      </c>
      <c r="D3787" s="72" t="str">
        <f>IFERROR(VLOOKUP(A3787,'[1]ST-QA-ZZ5'!$C$5:$M$299,11,0),"Inspection at production line")</f>
        <v>Inspection at production line</v>
      </c>
    </row>
    <row r="3788" spans="1:4" ht="13.8">
      <c r="A3788" s="47" t="s">
        <v>8785</v>
      </c>
      <c r="B3788" s="92" t="s">
        <v>8786</v>
      </c>
      <c r="C3788" s="92" t="s">
        <v>8787</v>
      </c>
      <c r="D3788" s="72" t="str">
        <f>IFERROR(VLOOKUP(A3788,'[1]ST-QA-ZZ5'!$C$5:$M$299,11,0),"Inspection at production line")</f>
        <v>Inspection at production line</v>
      </c>
    </row>
    <row r="3789" spans="1:4" ht="13.8">
      <c r="A3789" s="47" t="s">
        <v>8788</v>
      </c>
      <c r="B3789" s="92" t="s">
        <v>978</v>
      </c>
      <c r="C3789" s="92" t="s">
        <v>979</v>
      </c>
      <c r="D3789" s="72" t="str">
        <f>IFERROR(VLOOKUP(A3789,'[1]ST-QA-ZZ5'!$C$5:$M$299,11,0),"Inspection at production line")</f>
        <v>Inspection at production line</v>
      </c>
    </row>
    <row r="3790" spans="1:4" ht="13.8">
      <c r="A3790" s="47" t="s">
        <v>8789</v>
      </c>
      <c r="B3790" s="92" t="s">
        <v>8790</v>
      </c>
      <c r="C3790" s="92" t="s">
        <v>984</v>
      </c>
      <c r="D3790" s="72" t="str">
        <f>IFERROR(VLOOKUP(A3790,'[1]ST-QA-ZZ5'!$C$5:$M$299,11,0),"Inspection at production line")</f>
        <v>Inspection at production line</v>
      </c>
    </row>
    <row r="3791" spans="1:4" ht="13.8">
      <c r="A3791" s="47" t="s">
        <v>8791</v>
      </c>
      <c r="B3791" s="92" t="s">
        <v>8790</v>
      </c>
      <c r="C3791" s="92" t="s">
        <v>987</v>
      </c>
      <c r="D3791" s="72" t="str">
        <f>IFERROR(VLOOKUP(A3791,'[1]ST-QA-ZZ5'!$C$5:$M$299,11,0),"Inspection at production line")</f>
        <v>Inspection at production line</v>
      </c>
    </row>
    <row r="3792" spans="1:4" ht="13.8">
      <c r="A3792" s="47" t="s">
        <v>8792</v>
      </c>
      <c r="B3792" s="92" t="s">
        <v>8793</v>
      </c>
      <c r="C3792" s="92" t="s">
        <v>8793</v>
      </c>
      <c r="D3792" s="72" t="str">
        <f>IFERROR(VLOOKUP(A3792,'[1]ST-QA-ZZ5'!$C$5:$M$299,11,0),"Inspection at production line")</f>
        <v>Inspection at production line</v>
      </c>
    </row>
    <row r="3793" spans="1:4" ht="13.8">
      <c r="A3793" s="47" t="s">
        <v>8794</v>
      </c>
      <c r="B3793" s="92" t="s">
        <v>8795</v>
      </c>
      <c r="C3793" s="92" t="s">
        <v>8795</v>
      </c>
      <c r="D3793" s="72" t="str">
        <f>IFERROR(VLOOKUP(A3793,'[1]ST-QA-ZZ5'!$C$5:$M$299,11,0),"Inspection at production line")</f>
        <v>Inspection at production line</v>
      </c>
    </row>
    <row r="3794" spans="1:4" ht="13.8">
      <c r="A3794" s="47" t="s">
        <v>8796</v>
      </c>
      <c r="B3794" s="92" t="s">
        <v>8797</v>
      </c>
      <c r="C3794" s="92" t="s">
        <v>8797</v>
      </c>
      <c r="D3794" s="72" t="str">
        <f>IFERROR(VLOOKUP(A3794,'[1]ST-QA-ZZ5'!$C$5:$M$299,11,0),"Inspection at production line")</f>
        <v>Inspection at production line</v>
      </c>
    </row>
    <row r="3795" spans="1:4" ht="13.8">
      <c r="A3795" s="47" t="s">
        <v>8798</v>
      </c>
      <c r="B3795" s="92" t="s">
        <v>1223</v>
      </c>
      <c r="C3795" s="92" t="s">
        <v>8799</v>
      </c>
      <c r="D3795" s="72" t="str">
        <f>IFERROR(VLOOKUP(A3795,'[1]ST-QA-ZZ5'!$C$5:$M$299,11,0),"Inspection at production line")</f>
        <v>Inspection at production line</v>
      </c>
    </row>
    <row r="3796" spans="1:4" ht="13.8">
      <c r="A3796" s="47" t="s">
        <v>8800</v>
      </c>
      <c r="B3796" s="92" t="s">
        <v>8801</v>
      </c>
      <c r="C3796" s="92" t="s">
        <v>8801</v>
      </c>
      <c r="D3796" s="72" t="str">
        <f>IFERROR(VLOOKUP(A3796,'[1]ST-QA-ZZ5'!$C$5:$M$299,11,0),"Inspection at production line")</f>
        <v>Inspection at production line</v>
      </c>
    </row>
    <row r="3797" spans="1:4" ht="13.8">
      <c r="A3797" s="47" t="s">
        <v>8802</v>
      </c>
      <c r="B3797" s="92" t="s">
        <v>8803</v>
      </c>
      <c r="C3797" s="92" t="s">
        <v>8803</v>
      </c>
      <c r="D3797" s="72" t="str">
        <f>IFERROR(VLOOKUP(A3797,'[1]ST-QA-ZZ5'!$C$5:$M$299,11,0),"Inspection at production line")</f>
        <v>Inspection at production line</v>
      </c>
    </row>
    <row r="3798" spans="1:4" ht="13.8">
      <c r="A3798" s="47" t="s">
        <v>8804</v>
      </c>
      <c r="B3798" s="92" t="s">
        <v>2260</v>
      </c>
      <c r="C3798" s="92" t="s">
        <v>8805</v>
      </c>
      <c r="D3798" s="72" t="str">
        <f>IFERROR(VLOOKUP(A3798,'[1]ST-QA-ZZ5'!$C$5:$M$299,11,0),"Inspection at production line")</f>
        <v>Inspection at production line</v>
      </c>
    </row>
    <row r="3799" spans="1:4" ht="13.8">
      <c r="A3799" s="47" t="s">
        <v>8806</v>
      </c>
      <c r="B3799" s="92" t="s">
        <v>8807</v>
      </c>
      <c r="C3799" s="92" t="s">
        <v>8808</v>
      </c>
      <c r="D3799" s="72" t="str">
        <f>IFERROR(VLOOKUP(A3799,'[1]ST-QA-ZZ5'!$C$5:$M$299,11,0),"Inspection at production line")</f>
        <v>Inspection at production line</v>
      </c>
    </row>
    <row r="3800" spans="1:4" ht="13.8">
      <c r="A3800" s="47" t="s">
        <v>8809</v>
      </c>
      <c r="B3800" s="92" t="s">
        <v>4769</v>
      </c>
      <c r="C3800" s="92" t="s">
        <v>8738</v>
      </c>
      <c r="D3800" s="72" t="str">
        <f>IFERROR(VLOOKUP(A3800,'[1]ST-QA-ZZ5'!$C$5:$M$299,11,0),"Inspection at production line")</f>
        <v>Inspection at production line</v>
      </c>
    </row>
    <row r="3801" spans="1:4" ht="13.8">
      <c r="A3801" s="47" t="s">
        <v>8810</v>
      </c>
      <c r="B3801" s="92" t="s">
        <v>8753</v>
      </c>
      <c r="C3801" s="92" t="s">
        <v>8811</v>
      </c>
      <c r="D3801" s="72" t="str">
        <f>IFERROR(VLOOKUP(A3801,'[1]ST-QA-ZZ5'!$C$5:$M$299,11,0),"Inspection at production line")</f>
        <v>Inspection at production line</v>
      </c>
    </row>
    <row r="3802" spans="1:4" ht="13.8">
      <c r="A3802" s="47" t="s">
        <v>8812</v>
      </c>
      <c r="B3802" s="92" t="s">
        <v>8753</v>
      </c>
      <c r="C3802" s="92" t="s">
        <v>8813</v>
      </c>
      <c r="D3802" s="72" t="str">
        <f>IFERROR(VLOOKUP(A3802,'[1]ST-QA-ZZ5'!$C$5:$M$299,11,0),"Inspection at production line")</f>
        <v>Inspection at production line</v>
      </c>
    </row>
    <row r="3803" spans="1:4" ht="13.8">
      <c r="A3803" s="47" t="s">
        <v>8814</v>
      </c>
      <c r="B3803" s="92" t="s">
        <v>8759</v>
      </c>
      <c r="C3803" s="92" t="s">
        <v>8815</v>
      </c>
      <c r="D3803" s="72" t="str">
        <f>IFERROR(VLOOKUP(A3803,'[1]ST-QA-ZZ5'!$C$5:$M$299,11,0),"Inspection at production line")</f>
        <v>Inspection at production line</v>
      </c>
    </row>
    <row r="3804" spans="1:4" ht="13.8">
      <c r="A3804" s="47" t="s">
        <v>8816</v>
      </c>
      <c r="B3804" s="92" t="s">
        <v>8817</v>
      </c>
      <c r="C3804" s="92" t="s">
        <v>8818</v>
      </c>
      <c r="D3804" s="72" t="str">
        <f>IFERROR(VLOOKUP(A3804,'[1]ST-QA-ZZ5'!$C$5:$M$299,11,0),"Inspection at production line")</f>
        <v>Inspection at production line</v>
      </c>
    </row>
    <row r="3805" spans="1:4" ht="13.8">
      <c r="A3805" s="47" t="s">
        <v>8819</v>
      </c>
      <c r="B3805" s="92" t="s">
        <v>838</v>
      </c>
      <c r="C3805" s="92" t="s">
        <v>8820</v>
      </c>
      <c r="D3805" s="72" t="str">
        <f>IFERROR(VLOOKUP(A3805,'[1]ST-QA-ZZ5'!$C$5:$M$299,11,0),"Inspection at production line")</f>
        <v>Inspection at production line</v>
      </c>
    </row>
    <row r="3806" spans="1:4" ht="13.8">
      <c r="A3806" s="47" t="s">
        <v>8821</v>
      </c>
      <c r="B3806" s="92" t="s">
        <v>8822</v>
      </c>
      <c r="C3806" s="92" t="s">
        <v>8822</v>
      </c>
      <c r="D3806" s="72" t="str">
        <f>IFERROR(VLOOKUP(A3806,'[1]ST-QA-ZZ5'!$C$5:$M$299,11,0),"Inspection at production line")</f>
        <v>Inspection at production line</v>
      </c>
    </row>
    <row r="3807" spans="1:4" ht="13.8">
      <c r="A3807" s="47" t="s">
        <v>8823</v>
      </c>
      <c r="B3807" s="92" t="s">
        <v>8824</v>
      </c>
      <c r="C3807" s="92" t="s">
        <v>8824</v>
      </c>
      <c r="D3807" s="72" t="str">
        <f>IFERROR(VLOOKUP(A3807,'[1]ST-QA-ZZ5'!$C$5:$M$299,11,0),"Inspection at production line")</f>
        <v>Inspection at production line</v>
      </c>
    </row>
    <row r="3808" spans="1:4" ht="13.8">
      <c r="A3808" s="47" t="s">
        <v>8825</v>
      </c>
      <c r="B3808" s="92" t="s">
        <v>2721</v>
      </c>
      <c r="C3808" s="92" t="s">
        <v>8826</v>
      </c>
      <c r="D3808" s="72" t="str">
        <f>IFERROR(VLOOKUP(A3808,'[1]ST-QA-ZZ5'!$C$5:$M$299,11,0),"Inspection at production line")</f>
        <v>Inspection at production line</v>
      </c>
    </row>
    <row r="3809" spans="1:4" ht="13.8">
      <c r="A3809" s="47" t="s">
        <v>8827</v>
      </c>
      <c r="B3809" s="92" t="s">
        <v>2721</v>
      </c>
      <c r="C3809" s="92" t="s">
        <v>8828</v>
      </c>
      <c r="D3809" s="72" t="str">
        <f>IFERROR(VLOOKUP(A3809,'[1]ST-QA-ZZ5'!$C$5:$M$299,11,0),"Inspection at production line")</f>
        <v>Inspection at production line</v>
      </c>
    </row>
    <row r="3810" spans="1:4" ht="13.8">
      <c r="A3810" s="47" t="s">
        <v>8829</v>
      </c>
      <c r="B3810" s="92" t="s">
        <v>7102</v>
      </c>
      <c r="C3810" s="92" t="s">
        <v>8830</v>
      </c>
      <c r="D3810" s="72" t="str">
        <f>IFERROR(VLOOKUP(A3810,'[1]ST-QA-ZZ5'!$C$5:$M$299,11,0),"Inspection at production line")</f>
        <v>Inspection at production line</v>
      </c>
    </row>
    <row r="3811" spans="1:4" ht="13.8">
      <c r="A3811" s="47" t="s">
        <v>8831</v>
      </c>
      <c r="B3811" s="92" t="s">
        <v>4499</v>
      </c>
      <c r="C3811" s="92" t="s">
        <v>8832</v>
      </c>
      <c r="D3811" s="72" t="str">
        <f>IFERROR(VLOOKUP(A3811,'[1]ST-QA-ZZ5'!$C$5:$M$299,11,0),"Inspection at production line")</f>
        <v>Inspection at production line</v>
      </c>
    </row>
    <row r="3812" spans="1:4" ht="13.8">
      <c r="A3812" s="47" t="s">
        <v>8833</v>
      </c>
      <c r="B3812" s="92" t="s">
        <v>8834</v>
      </c>
      <c r="C3812" s="92" t="s">
        <v>8834</v>
      </c>
      <c r="D3812" s="72" t="str">
        <f>IFERROR(VLOOKUP(A3812,'[1]ST-QA-ZZ5'!$C$5:$M$299,11,0),"Inspection at production line")</f>
        <v>Inspection at production line</v>
      </c>
    </row>
    <row r="3813" spans="1:4" ht="13.8">
      <c r="A3813" s="47" t="s">
        <v>8835</v>
      </c>
      <c r="B3813" s="92" t="s">
        <v>8836</v>
      </c>
      <c r="C3813" s="92" t="s">
        <v>8837</v>
      </c>
      <c r="D3813" s="72" t="str">
        <f>IFERROR(VLOOKUP(A3813,'[1]ST-QA-ZZ5'!$C$5:$M$299,11,0),"Inspection at production line")</f>
        <v>Inspection at production line</v>
      </c>
    </row>
    <row r="3814" spans="1:4" ht="13.8">
      <c r="A3814" s="47" t="s">
        <v>8838</v>
      </c>
      <c r="B3814" s="92" t="s">
        <v>8836</v>
      </c>
      <c r="C3814" s="92" t="s">
        <v>8839</v>
      </c>
      <c r="D3814" s="72" t="str">
        <f>IFERROR(VLOOKUP(A3814,'[1]ST-QA-ZZ5'!$C$5:$M$299,11,0),"Inspection at production line")</f>
        <v>Inspection at production line</v>
      </c>
    </row>
    <row r="3815" spans="1:4" ht="13.8">
      <c r="A3815" s="47" t="s">
        <v>8840</v>
      </c>
      <c r="B3815" s="92" t="s">
        <v>8841</v>
      </c>
      <c r="C3815" s="92" t="s">
        <v>8841</v>
      </c>
      <c r="D3815" s="72" t="str">
        <f>IFERROR(VLOOKUP(A3815,'[1]ST-QA-ZZ5'!$C$5:$M$299,11,0),"Inspection at production line")</f>
        <v>Inspection at production line</v>
      </c>
    </row>
    <row r="3816" spans="1:4" ht="13.8">
      <c r="A3816" s="47" t="s">
        <v>8842</v>
      </c>
      <c r="B3816" s="92" t="s">
        <v>8843</v>
      </c>
      <c r="C3816" s="92" t="s">
        <v>8843</v>
      </c>
      <c r="D3816" s="72" t="str">
        <f>IFERROR(VLOOKUP(A3816,'[1]ST-QA-ZZ5'!$C$5:$M$299,11,0),"Inspection at production line")</f>
        <v>Inspection at production line</v>
      </c>
    </row>
    <row r="3817" spans="1:4" ht="13.8">
      <c r="A3817" s="47" t="s">
        <v>8844</v>
      </c>
      <c r="B3817" s="92" t="s">
        <v>8845</v>
      </c>
      <c r="C3817" s="92" t="s">
        <v>8845</v>
      </c>
      <c r="D3817" s="72" t="str">
        <f>IFERROR(VLOOKUP(A3817,'[1]ST-QA-ZZ5'!$C$5:$M$299,11,0),"Inspection at production line")</f>
        <v>Inspection at production line</v>
      </c>
    </row>
    <row r="3818" spans="1:4" ht="13.8">
      <c r="A3818" s="47" t="s">
        <v>8846</v>
      </c>
      <c r="B3818" s="92" t="s">
        <v>6518</v>
      </c>
      <c r="C3818" s="92" t="s">
        <v>8847</v>
      </c>
      <c r="D3818" s="72" t="str">
        <f>IFERROR(VLOOKUP(A3818,'[1]ST-QA-ZZ5'!$C$5:$M$299,11,0),"Inspection at production line")</f>
        <v>Inspection at production line</v>
      </c>
    </row>
    <row r="3819" spans="1:4" ht="13.8">
      <c r="A3819" s="47" t="s">
        <v>8848</v>
      </c>
      <c r="B3819" s="92" t="s">
        <v>3092</v>
      </c>
      <c r="C3819" s="92" t="s">
        <v>8849</v>
      </c>
      <c r="D3819" s="72" t="str">
        <f>IFERROR(VLOOKUP(A3819,'[1]ST-QA-ZZ5'!$C$5:$M$299,11,0),"Inspection at production line")</f>
        <v>Inspection at production line</v>
      </c>
    </row>
    <row r="3820" spans="1:4" ht="13.8">
      <c r="A3820" s="47" t="s">
        <v>8850</v>
      </c>
      <c r="B3820" s="92" t="s">
        <v>8851</v>
      </c>
      <c r="C3820" s="92" t="s">
        <v>8852</v>
      </c>
      <c r="D3820" s="72" t="str">
        <f>IFERROR(VLOOKUP(A3820,'[1]ST-QA-ZZ5'!$C$5:$M$299,11,0),"Inspection at production line")</f>
        <v>Inspection at production line</v>
      </c>
    </row>
    <row r="3821" spans="1:4" ht="13.8">
      <c r="A3821" s="47" t="s">
        <v>8853</v>
      </c>
      <c r="B3821" s="92" t="s">
        <v>8854</v>
      </c>
      <c r="C3821" s="92" t="s">
        <v>8855</v>
      </c>
      <c r="D3821" s="72" t="str">
        <f>IFERROR(VLOOKUP(A3821,'[1]ST-QA-ZZ5'!$C$5:$M$299,11,0),"Inspection at production line")</f>
        <v>Inspection at production line</v>
      </c>
    </row>
    <row r="3822" spans="1:4" ht="13.8">
      <c r="A3822" s="47" t="s">
        <v>18190</v>
      </c>
      <c r="B3822" s="92" t="s">
        <v>18191</v>
      </c>
      <c r="C3822" s="92" t="s">
        <v>18191</v>
      </c>
      <c r="D3822" s="72" t="str">
        <f>IFERROR(VLOOKUP(A3822,'[1]ST-QA-ZZ5'!$C$5:$M$299,11,0),"Inspection at production line")</f>
        <v>Inspection at production line</v>
      </c>
    </row>
    <row r="3823" spans="1:4" ht="13.8">
      <c r="A3823" s="47" t="s">
        <v>8856</v>
      </c>
      <c r="B3823" s="92" t="s">
        <v>8857</v>
      </c>
      <c r="C3823" s="92" t="s">
        <v>8858</v>
      </c>
      <c r="D3823" s="72" t="str">
        <f>IFERROR(VLOOKUP(A3823,'[1]ST-QA-ZZ5'!$C$5:$M$299,11,0),"Inspection at production line")</f>
        <v>Inspection at production line</v>
      </c>
    </row>
    <row r="3824" spans="1:4" ht="13.8">
      <c r="A3824" s="47" t="s">
        <v>8859</v>
      </c>
      <c r="B3824" s="92" t="s">
        <v>8860</v>
      </c>
      <c r="C3824" s="92" t="s">
        <v>8860</v>
      </c>
      <c r="D3824" s="72" t="str">
        <f>IFERROR(VLOOKUP(A3824,'[1]ST-QA-ZZ5'!$C$5:$M$299,11,0),"Inspection at production line")</f>
        <v>Inspection at production line</v>
      </c>
    </row>
    <row r="3825" spans="1:4" ht="13.8">
      <c r="A3825" s="47" t="s">
        <v>8861</v>
      </c>
      <c r="B3825" s="92" t="s">
        <v>8862</v>
      </c>
      <c r="C3825" s="92" t="s">
        <v>8862</v>
      </c>
      <c r="D3825" s="72" t="str">
        <f>IFERROR(VLOOKUP(A3825,'[1]ST-QA-ZZ5'!$C$5:$M$299,11,0),"Inspection at production line")</f>
        <v>Inspection at production line</v>
      </c>
    </row>
    <row r="3826" spans="1:4" ht="13.8">
      <c r="A3826" s="47" t="s">
        <v>8863</v>
      </c>
      <c r="B3826" s="92" t="s">
        <v>8864</v>
      </c>
      <c r="C3826" s="92" t="s">
        <v>8864</v>
      </c>
      <c r="D3826" s="72" t="str">
        <f>IFERROR(VLOOKUP(A3826,'[1]ST-QA-ZZ5'!$C$5:$M$299,11,0),"Inspection at production line")</f>
        <v>Inspection at production line</v>
      </c>
    </row>
    <row r="3827" spans="1:4" ht="13.8">
      <c r="A3827" s="47" t="s">
        <v>8865</v>
      </c>
      <c r="B3827" s="92" t="s">
        <v>3463</v>
      </c>
      <c r="C3827" s="92" t="s">
        <v>8866</v>
      </c>
      <c r="D3827" s="72" t="str">
        <f>IFERROR(VLOOKUP(A3827,'[1]ST-QA-ZZ5'!$C$5:$M$299,11,0),"Inspection at production line")</f>
        <v>Inspection at production line</v>
      </c>
    </row>
    <row r="3828" spans="1:4" ht="13.8">
      <c r="A3828" s="47" t="s">
        <v>8867</v>
      </c>
      <c r="B3828" s="92" t="s">
        <v>8868</v>
      </c>
      <c r="C3828" s="92" t="s">
        <v>8868</v>
      </c>
      <c r="D3828" s="72" t="str">
        <f>IFERROR(VLOOKUP(A3828,'[1]ST-QA-ZZ5'!$C$5:$M$299,11,0),"Inspection at production line")</f>
        <v>Inspection at production line</v>
      </c>
    </row>
    <row r="3829" spans="1:4" ht="13.8">
      <c r="A3829" s="47" t="s">
        <v>8869</v>
      </c>
      <c r="B3829" s="92" t="s">
        <v>8870</v>
      </c>
      <c r="C3829" s="92" t="s">
        <v>8870</v>
      </c>
      <c r="D3829" s="72" t="str">
        <f>IFERROR(VLOOKUP(A3829,'[1]ST-QA-ZZ5'!$C$5:$M$299,11,0),"Inspection at production line")</f>
        <v>Inspection at production line</v>
      </c>
    </row>
    <row r="3830" spans="1:4" ht="13.8">
      <c r="A3830" s="47" t="s">
        <v>8871</v>
      </c>
      <c r="B3830" s="92" t="s">
        <v>8872</v>
      </c>
      <c r="C3830" s="92" t="s">
        <v>8872</v>
      </c>
      <c r="D3830" s="72" t="str">
        <f>IFERROR(VLOOKUP(A3830,'[1]ST-QA-ZZ5'!$C$5:$M$299,11,0),"Inspection at production line")</f>
        <v>Inspection at production line</v>
      </c>
    </row>
    <row r="3831" spans="1:4" ht="13.8">
      <c r="A3831" s="47" t="s">
        <v>8873</v>
      </c>
      <c r="B3831" s="92" t="s">
        <v>8874</v>
      </c>
      <c r="C3831" s="92" t="s">
        <v>8874</v>
      </c>
      <c r="D3831" s="72" t="str">
        <f>IFERROR(VLOOKUP(A3831,'[1]ST-QA-ZZ5'!$C$5:$M$299,11,0),"Inspection at production line")</f>
        <v>Inspection at production line</v>
      </c>
    </row>
    <row r="3832" spans="1:4" ht="13.8">
      <c r="A3832" s="47" t="s">
        <v>8875</v>
      </c>
      <c r="B3832" s="92" t="s">
        <v>8876</v>
      </c>
      <c r="C3832" s="92" t="s">
        <v>8876</v>
      </c>
      <c r="D3832" s="72" t="str">
        <f>IFERROR(VLOOKUP(A3832,'[1]ST-QA-ZZ5'!$C$5:$M$299,11,0),"Inspection at production line")</f>
        <v>Inspection at production line</v>
      </c>
    </row>
    <row r="3833" spans="1:4" ht="13.8">
      <c r="A3833" s="47" t="s">
        <v>8877</v>
      </c>
      <c r="B3833" s="92" t="s">
        <v>8878</v>
      </c>
      <c r="C3833" s="92" t="s">
        <v>8878</v>
      </c>
      <c r="D3833" s="72" t="str">
        <f>IFERROR(VLOOKUP(A3833,'[1]ST-QA-ZZ5'!$C$5:$M$299,11,0),"Inspection at production line")</f>
        <v>Inspection at production line</v>
      </c>
    </row>
    <row r="3834" spans="1:4" ht="13.8">
      <c r="A3834" s="47" t="s">
        <v>8879</v>
      </c>
      <c r="B3834" s="92" t="s">
        <v>8880</v>
      </c>
      <c r="C3834" s="92" t="s">
        <v>8880</v>
      </c>
      <c r="D3834" s="72" t="str">
        <f>IFERROR(VLOOKUP(A3834,'[1]ST-QA-ZZ5'!$C$5:$M$299,11,0),"Inspection at production line")</f>
        <v>Inspection at production line</v>
      </c>
    </row>
    <row r="3835" spans="1:4" ht="13.8">
      <c r="A3835" s="47" t="s">
        <v>18192</v>
      </c>
      <c r="B3835" s="92" t="s">
        <v>18193</v>
      </c>
      <c r="C3835" s="92" t="s">
        <v>18194</v>
      </c>
      <c r="D3835" s="72" t="str">
        <f>IFERROR(VLOOKUP(A3835,'[1]ST-QA-ZZ5'!$C$5:$M$299,11,0),"Inspection at production line")</f>
        <v>Inspection at production line</v>
      </c>
    </row>
    <row r="3836" spans="1:4" ht="13.8">
      <c r="A3836" s="47" t="s">
        <v>8881</v>
      </c>
      <c r="B3836" s="92" t="s">
        <v>2546</v>
      </c>
      <c r="C3836" s="92" t="s">
        <v>8882</v>
      </c>
      <c r="D3836" s="72" t="str">
        <f>IFERROR(VLOOKUP(A3836,'[1]ST-QA-ZZ5'!$C$5:$M$299,11,0),"Inspection at production line")</f>
        <v>Sampling check</v>
      </c>
    </row>
    <row r="3837" spans="1:4" ht="13.8">
      <c r="A3837" s="47" t="s">
        <v>8883</v>
      </c>
      <c r="B3837" s="92" t="s">
        <v>2546</v>
      </c>
      <c r="C3837" s="92" t="s">
        <v>8884</v>
      </c>
      <c r="D3837" s="72" t="str">
        <f>IFERROR(VLOOKUP(A3837,'[1]ST-QA-ZZ5'!$C$5:$M$299,11,0),"Inspection at production line")</f>
        <v>Sampling check</v>
      </c>
    </row>
    <row r="3838" spans="1:4" ht="13.8">
      <c r="A3838" s="47" t="s">
        <v>8885</v>
      </c>
      <c r="B3838" s="92" t="s">
        <v>3543</v>
      </c>
      <c r="C3838" s="94" t="s">
        <v>8886</v>
      </c>
      <c r="D3838" s="72" t="str">
        <f>IFERROR(VLOOKUP(A3838,'[1]ST-QA-ZZ5'!$C$5:$M$299,11,0),"Inspection at production line")</f>
        <v>Sampling check</v>
      </c>
    </row>
    <row r="3839" spans="1:4" ht="13.8">
      <c r="A3839" s="47" t="s">
        <v>8887</v>
      </c>
      <c r="B3839" s="92" t="s">
        <v>6413</v>
      </c>
      <c r="C3839" s="94" t="s">
        <v>8888</v>
      </c>
      <c r="D3839" s="72" t="str">
        <f>IFERROR(VLOOKUP(A3839,'[1]ST-QA-ZZ5'!$C$5:$M$299,11,0),"Inspection at production line")</f>
        <v>Sampling check</v>
      </c>
    </row>
    <row r="3840" spans="1:4" ht="13.8">
      <c r="A3840" s="47" t="s">
        <v>8889</v>
      </c>
      <c r="B3840" s="92" t="s">
        <v>4949</v>
      </c>
      <c r="C3840" s="92" t="s">
        <v>8890</v>
      </c>
      <c r="D3840" s="72" t="str">
        <f>IFERROR(VLOOKUP(A3840,'[1]ST-QA-ZZ5'!$C$5:$M$299,11,0),"Inspection at production line")</f>
        <v>Sampling check</v>
      </c>
    </row>
    <row r="3841" spans="1:4" ht="13.8">
      <c r="A3841" s="47" t="s">
        <v>8891</v>
      </c>
      <c r="B3841" s="92" t="s">
        <v>4949</v>
      </c>
      <c r="C3841" s="92" t="s">
        <v>8892</v>
      </c>
      <c r="D3841" s="72" t="str">
        <f>IFERROR(VLOOKUP(A3841,'[1]ST-QA-ZZ5'!$C$5:$M$299,11,0),"Inspection at production line")</f>
        <v>Sampling check</v>
      </c>
    </row>
    <row r="3842" spans="1:4" ht="13.8">
      <c r="A3842" s="47" t="s">
        <v>8893</v>
      </c>
      <c r="B3842" s="92" t="s">
        <v>4949</v>
      </c>
      <c r="C3842" s="92" t="s">
        <v>7719</v>
      </c>
      <c r="D3842" s="72" t="str">
        <f>IFERROR(VLOOKUP(A3842,'[1]ST-QA-ZZ5'!$C$5:$M$299,11,0),"Inspection at production line")</f>
        <v>Sampling check</v>
      </c>
    </row>
    <row r="3843" spans="1:4" ht="13.8">
      <c r="A3843" s="47" t="s">
        <v>8894</v>
      </c>
      <c r="B3843" s="92" t="s">
        <v>4949</v>
      </c>
      <c r="C3843" s="92" t="s">
        <v>7720</v>
      </c>
      <c r="D3843" s="72" t="str">
        <f>IFERROR(VLOOKUP(A3843,'[1]ST-QA-ZZ5'!$C$5:$M$299,11,0),"Inspection at production line")</f>
        <v>Sampling check</v>
      </c>
    </row>
    <row r="3844" spans="1:4" ht="13.8">
      <c r="A3844" s="47" t="s">
        <v>8895</v>
      </c>
      <c r="B3844" s="92" t="s">
        <v>8896</v>
      </c>
      <c r="C3844" s="92" t="s">
        <v>8897</v>
      </c>
      <c r="D3844" s="72" t="str">
        <f>IFERROR(VLOOKUP(A3844,'[1]ST-QA-ZZ5'!$C$5:$M$299,11,0),"Inspection at production line")</f>
        <v>Inspection at production line</v>
      </c>
    </row>
    <row r="3845" spans="1:4" ht="13.8">
      <c r="A3845" s="47" t="s">
        <v>8898</v>
      </c>
      <c r="B3845" s="92" t="s">
        <v>8899</v>
      </c>
      <c r="C3845" s="92" t="s">
        <v>8900</v>
      </c>
      <c r="D3845" s="72" t="str">
        <f>IFERROR(VLOOKUP(A3845,'[1]ST-QA-ZZ5'!$C$5:$M$299,11,0),"Inspection at production line")</f>
        <v>Inspection at production line</v>
      </c>
    </row>
    <row r="3846" spans="1:4" ht="13.8">
      <c r="A3846" s="47" t="s">
        <v>8901</v>
      </c>
      <c r="B3846" s="92" t="s">
        <v>3415</v>
      </c>
      <c r="C3846" s="92" t="s">
        <v>8902</v>
      </c>
      <c r="D3846" s="72" t="str">
        <f>IFERROR(VLOOKUP(A3846,'[1]ST-QA-ZZ5'!$C$5:$M$299,11,0),"Inspection at production line")</f>
        <v>Inspection at production line</v>
      </c>
    </row>
    <row r="3847" spans="1:4" ht="13.8">
      <c r="A3847" s="47" t="s">
        <v>8903</v>
      </c>
      <c r="B3847" s="92" t="s">
        <v>2546</v>
      </c>
      <c r="C3847" s="94" t="s">
        <v>8904</v>
      </c>
      <c r="D3847" s="72" t="str">
        <f>IFERROR(VLOOKUP(A3847,'[1]ST-QA-ZZ5'!$C$5:$M$299,11,0),"Inspection at production line")</f>
        <v>Inspection at production line</v>
      </c>
    </row>
    <row r="3848" spans="1:4" ht="13.8">
      <c r="A3848" s="47" t="s">
        <v>8905</v>
      </c>
      <c r="B3848" s="92" t="s">
        <v>905</v>
      </c>
      <c r="C3848" s="92" t="s">
        <v>8906</v>
      </c>
      <c r="D3848" s="72" t="str">
        <f>IFERROR(VLOOKUP(A3848,'[1]ST-QA-ZZ5'!$C$5:$M$299,11,0),"Inspection at production line")</f>
        <v>Inspection at production line</v>
      </c>
    </row>
    <row r="3849" spans="1:4" ht="13.8">
      <c r="A3849" s="47" t="s">
        <v>8907</v>
      </c>
      <c r="B3849" s="92" t="s">
        <v>877</v>
      </c>
      <c r="C3849" s="92" t="s">
        <v>8908</v>
      </c>
      <c r="D3849" s="72" t="str">
        <f>IFERROR(VLOOKUP(A3849,'[1]ST-QA-ZZ5'!$C$5:$M$299,11,0),"Inspection at production line")</f>
        <v>Inspection at production line</v>
      </c>
    </row>
    <row r="3850" spans="1:4" ht="13.8">
      <c r="A3850" s="47" t="s">
        <v>8909</v>
      </c>
      <c r="B3850" s="92" t="s">
        <v>3363</v>
      </c>
      <c r="C3850" s="92" t="s">
        <v>8910</v>
      </c>
      <c r="D3850" s="72" t="str">
        <f>IFERROR(VLOOKUP(A3850,'[1]ST-QA-ZZ5'!$C$5:$M$299,11,0),"Inspection at production line")</f>
        <v>Inspection at production line</v>
      </c>
    </row>
    <row r="3851" spans="1:4" ht="13.8">
      <c r="A3851" s="47" t="s">
        <v>8911</v>
      </c>
      <c r="B3851" s="92" t="s">
        <v>975</v>
      </c>
      <c r="C3851" s="92" t="s">
        <v>2853</v>
      </c>
      <c r="D3851" s="72" t="str">
        <f>IFERROR(VLOOKUP(A3851,'[1]ST-QA-ZZ5'!$C$5:$M$299,11,0),"Inspection at production line")</f>
        <v>Inspection at production line</v>
      </c>
    </row>
    <row r="3852" spans="1:4" ht="13.8">
      <c r="A3852" s="47" t="s">
        <v>8912</v>
      </c>
      <c r="B3852" s="92" t="s">
        <v>975</v>
      </c>
      <c r="C3852" s="92" t="s">
        <v>2855</v>
      </c>
      <c r="D3852" s="72" t="str">
        <f>IFERROR(VLOOKUP(A3852,'[1]ST-QA-ZZ5'!$C$5:$M$299,11,0),"Inspection at production line")</f>
        <v>Inspection at production line</v>
      </c>
    </row>
    <row r="3853" spans="1:4" ht="13.8">
      <c r="A3853" s="47" t="s">
        <v>8913</v>
      </c>
      <c r="B3853" s="92" t="s">
        <v>843</v>
      </c>
      <c r="C3853" s="94" t="s">
        <v>8914</v>
      </c>
      <c r="D3853" s="72" t="str">
        <f>IFERROR(VLOOKUP(A3853,'[1]ST-QA-ZZ5'!$C$5:$M$299,11,0),"Inspection at production line")</f>
        <v>Sampling check</v>
      </c>
    </row>
    <row r="3854" spans="1:4" ht="13.8">
      <c r="A3854" s="47" t="s">
        <v>8915</v>
      </c>
      <c r="B3854" s="92" t="s">
        <v>843</v>
      </c>
      <c r="C3854" s="92" t="s">
        <v>8916</v>
      </c>
      <c r="D3854" s="72" t="str">
        <f>IFERROR(VLOOKUP(A3854,'[1]ST-QA-ZZ5'!$C$5:$M$299,11,0),"Inspection at production line")</f>
        <v>Sampling check</v>
      </c>
    </row>
    <row r="3855" spans="1:4" ht="13.8">
      <c r="A3855" s="47" t="s">
        <v>8917</v>
      </c>
      <c r="B3855" s="92" t="s">
        <v>83</v>
      </c>
      <c r="C3855" s="92" t="s">
        <v>8918</v>
      </c>
      <c r="D3855" s="72" t="str">
        <f>IFERROR(VLOOKUP(A3855,'[1]ST-QA-ZZ5'!$C$5:$M$299,11,0),"Inspection at production line")</f>
        <v>Inspection at production line</v>
      </c>
    </row>
    <row r="3856" spans="1:4" ht="13.8">
      <c r="A3856" s="47" t="s">
        <v>8919</v>
      </c>
      <c r="B3856" s="92" t="s">
        <v>279</v>
      </c>
      <c r="C3856" s="92" t="s">
        <v>8920</v>
      </c>
      <c r="D3856" s="72" t="str">
        <f>IFERROR(VLOOKUP(A3856,'[1]ST-QA-ZZ5'!$C$5:$M$299,11,0),"Inspection at production line")</f>
        <v>Sampling check</v>
      </c>
    </row>
    <row r="3857" spans="1:4" ht="13.8">
      <c r="A3857" s="47" t="s">
        <v>8921</v>
      </c>
      <c r="B3857" s="92" t="s">
        <v>2785</v>
      </c>
      <c r="C3857" s="92" t="s">
        <v>8922</v>
      </c>
      <c r="D3857" s="72" t="str">
        <f>IFERROR(VLOOKUP(A3857,'[1]ST-QA-ZZ5'!$C$5:$M$299,11,0),"Inspection at production line")</f>
        <v>Sampling check</v>
      </c>
    </row>
    <row r="3858" spans="1:4" ht="13.8">
      <c r="A3858" s="47" t="s">
        <v>8923</v>
      </c>
      <c r="B3858" s="92" t="s">
        <v>1233</v>
      </c>
      <c r="C3858" s="92" t="s">
        <v>8924</v>
      </c>
      <c r="D3858" s="72" t="str">
        <f>IFERROR(VLOOKUP(A3858,'[1]ST-QA-ZZ5'!$C$5:$M$299,11,0),"Inspection at production line")</f>
        <v>Inspection at production line</v>
      </c>
    </row>
    <row r="3859" spans="1:4" ht="13.8">
      <c r="A3859" s="47" t="s">
        <v>8925</v>
      </c>
      <c r="B3859" s="92" t="s">
        <v>1204</v>
      </c>
      <c r="C3859" s="92" t="s">
        <v>8926</v>
      </c>
      <c r="D3859" s="72" t="str">
        <f>IFERROR(VLOOKUP(A3859,'[1]ST-QA-ZZ5'!$C$5:$M$299,11,0),"Inspection at production line")</f>
        <v>Inspection at production line</v>
      </c>
    </row>
    <row r="3860" spans="1:4" ht="13.8">
      <c r="A3860" s="47" t="s">
        <v>8927</v>
      </c>
      <c r="B3860" s="92" t="s">
        <v>1204</v>
      </c>
      <c r="C3860" s="92" t="s">
        <v>8928</v>
      </c>
      <c r="D3860" s="72" t="str">
        <f>IFERROR(VLOOKUP(A3860,'[1]ST-QA-ZZ5'!$C$5:$M$299,11,0),"Inspection at production line")</f>
        <v>Inspection at production line</v>
      </c>
    </row>
    <row r="3861" spans="1:4" ht="13.8">
      <c r="A3861" s="47" t="s">
        <v>8929</v>
      </c>
      <c r="B3861" s="92" t="s">
        <v>4769</v>
      </c>
      <c r="C3861" s="92" t="s">
        <v>8930</v>
      </c>
      <c r="D3861" s="72" t="str">
        <f>IFERROR(VLOOKUP(A3861,'[1]ST-QA-ZZ5'!$C$5:$M$299,11,0),"Inspection at production line")</f>
        <v>Inspection at production line</v>
      </c>
    </row>
    <row r="3862" spans="1:4" ht="13.8">
      <c r="A3862" s="47" t="s">
        <v>8931</v>
      </c>
      <c r="B3862" s="92" t="s">
        <v>8932</v>
      </c>
      <c r="C3862" s="92" t="s">
        <v>8933</v>
      </c>
      <c r="D3862" s="72" t="str">
        <f>IFERROR(VLOOKUP(A3862,'[1]ST-QA-ZZ5'!$C$5:$M$299,11,0),"Inspection at production line")</f>
        <v>Inspection at production line</v>
      </c>
    </row>
    <row r="3863" spans="1:4" ht="13.8">
      <c r="A3863" s="47" t="s">
        <v>8934</v>
      </c>
      <c r="B3863" s="92" t="s">
        <v>1177</v>
      </c>
      <c r="C3863" s="92" t="s">
        <v>8935</v>
      </c>
      <c r="D3863" s="72" t="str">
        <f>IFERROR(VLOOKUP(A3863,'[1]ST-QA-ZZ5'!$C$5:$M$299,11,0),"Inspection at production line")</f>
        <v>Inspection at production line</v>
      </c>
    </row>
    <row r="3864" spans="1:4" ht="13.8">
      <c r="A3864" s="47" t="s">
        <v>3209</v>
      </c>
      <c r="B3864" s="92" t="s">
        <v>857</v>
      </c>
      <c r="C3864" s="92" t="s">
        <v>8936</v>
      </c>
      <c r="D3864" s="72" t="str">
        <f>IFERROR(VLOOKUP(A3864,'[1]ST-QA-ZZ5'!$C$5:$M$299,11,0),"Inspection at production line")</f>
        <v>Inspection at production line</v>
      </c>
    </row>
    <row r="3865" spans="1:4" ht="13.8">
      <c r="A3865" s="47" t="s">
        <v>8937</v>
      </c>
      <c r="B3865" s="92" t="s">
        <v>857</v>
      </c>
      <c r="C3865" s="92" t="s">
        <v>8938</v>
      </c>
      <c r="D3865" s="72" t="str">
        <f>IFERROR(VLOOKUP(A3865,'[1]ST-QA-ZZ5'!$C$5:$M$299,11,0),"Inspection at production line")</f>
        <v>Inspection at production line</v>
      </c>
    </row>
    <row r="3866" spans="1:4" ht="13.8">
      <c r="A3866" s="47" t="s">
        <v>8939</v>
      </c>
      <c r="B3866" s="92" t="s">
        <v>174</v>
      </c>
      <c r="C3866" s="92" t="s">
        <v>8938</v>
      </c>
      <c r="D3866" s="72" t="str">
        <f>IFERROR(VLOOKUP(A3866,'[1]ST-QA-ZZ5'!$C$5:$M$299,11,0),"Inspection at production line")</f>
        <v>Inspection at production line</v>
      </c>
    </row>
    <row r="3867" spans="1:4" ht="13.8">
      <c r="A3867" s="47" t="s">
        <v>3214</v>
      </c>
      <c r="B3867" s="92" t="s">
        <v>857</v>
      </c>
      <c r="C3867" s="92" t="s">
        <v>8940</v>
      </c>
      <c r="D3867" s="72" t="str">
        <f>IFERROR(VLOOKUP(A3867,'[1]ST-QA-ZZ5'!$C$5:$M$299,11,0),"Inspection at production line")</f>
        <v>Inspection at production line</v>
      </c>
    </row>
    <row r="3868" spans="1:4" ht="13.8">
      <c r="A3868" s="47" t="s">
        <v>3218</v>
      </c>
      <c r="B3868" s="92" t="s">
        <v>857</v>
      </c>
      <c r="C3868" s="92" t="s">
        <v>8941</v>
      </c>
      <c r="D3868" s="72" t="str">
        <f>IFERROR(VLOOKUP(A3868,'[1]ST-QA-ZZ5'!$C$5:$M$299,11,0),"Inspection at production line")</f>
        <v>Inspection at production line</v>
      </c>
    </row>
    <row r="3869" spans="1:4" ht="13.8">
      <c r="A3869" s="47" t="s">
        <v>3222</v>
      </c>
      <c r="B3869" s="92" t="s">
        <v>857</v>
      </c>
      <c r="C3869" s="92" t="s">
        <v>8942</v>
      </c>
      <c r="D3869" s="72" t="str">
        <f>IFERROR(VLOOKUP(A3869,'[1]ST-QA-ZZ5'!$C$5:$M$299,11,0),"Inspection at production line")</f>
        <v>Inspection at production line</v>
      </c>
    </row>
    <row r="3870" spans="1:4" ht="13.8">
      <c r="A3870" s="47" t="s">
        <v>3226</v>
      </c>
      <c r="B3870" s="92" t="s">
        <v>857</v>
      </c>
      <c r="C3870" s="92" t="s">
        <v>8943</v>
      </c>
      <c r="D3870" s="72" t="str">
        <f>IFERROR(VLOOKUP(A3870,'[1]ST-QA-ZZ5'!$C$5:$M$299,11,0),"Inspection at production line")</f>
        <v>Inspection at production line</v>
      </c>
    </row>
    <row r="3871" spans="1:4" ht="13.8">
      <c r="A3871" s="47" t="s">
        <v>3230</v>
      </c>
      <c r="B3871" s="92" t="s">
        <v>857</v>
      </c>
      <c r="C3871" s="92" t="s">
        <v>8944</v>
      </c>
      <c r="D3871" s="72" t="str">
        <f>IFERROR(VLOOKUP(A3871,'[1]ST-QA-ZZ5'!$C$5:$M$299,11,0),"Inspection at production line")</f>
        <v>Inspection at production line</v>
      </c>
    </row>
    <row r="3872" spans="1:4" ht="13.8">
      <c r="A3872" s="47" t="s">
        <v>3234</v>
      </c>
      <c r="B3872" s="92" t="s">
        <v>2069</v>
      </c>
      <c r="C3872" s="92" t="s">
        <v>8945</v>
      </c>
      <c r="D3872" s="72" t="str">
        <f>IFERROR(VLOOKUP(A3872,'[1]ST-QA-ZZ5'!$C$5:$M$299,11,0),"Inspection at production line")</f>
        <v>Inspection at production line</v>
      </c>
    </row>
    <row r="3873" spans="1:4" ht="13.8">
      <c r="A3873" s="47" t="s">
        <v>3238</v>
      </c>
      <c r="B3873" s="92" t="s">
        <v>2069</v>
      </c>
      <c r="C3873" s="92" t="s">
        <v>8946</v>
      </c>
      <c r="D3873" s="72" t="str">
        <f>IFERROR(VLOOKUP(A3873,'[1]ST-QA-ZZ5'!$C$5:$M$299,11,0),"Inspection at production line")</f>
        <v>Inspection at production line</v>
      </c>
    </row>
    <row r="3874" spans="1:4" ht="13.8">
      <c r="A3874" s="47" t="s">
        <v>3242</v>
      </c>
      <c r="B3874" s="92" t="s">
        <v>453</v>
      </c>
      <c r="C3874" s="94" t="s">
        <v>8947</v>
      </c>
      <c r="D3874" s="72" t="str">
        <f>IFERROR(VLOOKUP(A3874,'[1]ST-QA-ZZ5'!$C$5:$M$299,11,0),"Inspection at production line")</f>
        <v>Inspection at production line</v>
      </c>
    </row>
    <row r="3875" spans="1:4" ht="13.8">
      <c r="A3875" s="47" t="s">
        <v>8948</v>
      </c>
      <c r="B3875" s="92" t="s">
        <v>1167</v>
      </c>
      <c r="C3875" s="92" t="s">
        <v>8949</v>
      </c>
      <c r="D3875" s="72" t="str">
        <f>IFERROR(VLOOKUP(A3875,'[1]ST-QA-ZZ5'!$C$5:$M$299,11,0),"Inspection at production line")</f>
        <v>Inspection at production line</v>
      </c>
    </row>
    <row r="3876" spans="1:4" ht="13.8">
      <c r="A3876" s="47" t="s">
        <v>8950</v>
      </c>
      <c r="B3876" s="92" t="s">
        <v>404</v>
      </c>
      <c r="C3876" s="92" t="s">
        <v>8951</v>
      </c>
      <c r="D3876" s="72" t="str">
        <f>IFERROR(VLOOKUP(A3876,'[1]ST-QA-ZZ5'!$C$5:$M$299,11,0),"Inspection at production line")</f>
        <v>Inspection at production line</v>
      </c>
    </row>
    <row r="3877" spans="1:4" ht="13.8">
      <c r="A3877" s="47" t="s">
        <v>8952</v>
      </c>
      <c r="B3877" s="92" t="s">
        <v>877</v>
      </c>
      <c r="C3877" s="94" t="s">
        <v>8953</v>
      </c>
      <c r="D3877" s="72" t="str">
        <f>IFERROR(VLOOKUP(A3877,'[1]ST-QA-ZZ5'!$C$5:$M$299,11,0),"Inspection at production line")</f>
        <v>Inspection at production line</v>
      </c>
    </row>
    <row r="3878" spans="1:4" ht="13.8">
      <c r="A3878" s="47" t="s">
        <v>5028</v>
      </c>
      <c r="B3878" s="92" t="s">
        <v>994</v>
      </c>
      <c r="C3878" s="92" t="s">
        <v>5029</v>
      </c>
      <c r="D3878" s="72" t="str">
        <f>IFERROR(VLOOKUP(A3878,'[1]ST-QA-ZZ5'!$C$5:$M$299,11,0),"Inspection at production line")</f>
        <v>Inspection at production line</v>
      </c>
    </row>
    <row r="3879" spans="1:4" ht="13.8">
      <c r="A3879" s="47" t="s">
        <v>5152</v>
      </c>
      <c r="B3879" s="92" t="s">
        <v>994</v>
      </c>
      <c r="C3879" s="92" t="s">
        <v>5153</v>
      </c>
      <c r="D3879" s="72" t="str">
        <f>IFERROR(VLOOKUP(A3879,'[1]ST-QA-ZZ5'!$C$5:$M$299,11,0),"Inspection at production line")</f>
        <v>Inspection at production line</v>
      </c>
    </row>
    <row r="3880" spans="1:4" ht="13.8">
      <c r="A3880" s="47" t="s">
        <v>5156</v>
      </c>
      <c r="B3880" s="92" t="s">
        <v>994</v>
      </c>
      <c r="C3880" s="92" t="s">
        <v>5157</v>
      </c>
      <c r="D3880" s="72" t="str">
        <f>IFERROR(VLOOKUP(A3880,'[1]ST-QA-ZZ5'!$C$5:$M$299,11,0),"Inspection at production line")</f>
        <v>Inspection at production line</v>
      </c>
    </row>
    <row r="3881" spans="1:4" ht="13.8">
      <c r="A3881" s="47" t="s">
        <v>8954</v>
      </c>
      <c r="B3881" s="92" t="s">
        <v>865</v>
      </c>
      <c r="C3881" s="92" t="s">
        <v>1436</v>
      </c>
      <c r="D3881" s="72" t="str">
        <f>IFERROR(VLOOKUP(A3881,'[1]ST-QA-ZZ5'!$C$5:$M$299,11,0),"Inspection at production line")</f>
        <v>Inspection at production line</v>
      </c>
    </row>
    <row r="3882" spans="1:4" ht="13.8">
      <c r="A3882" s="47" t="s">
        <v>8955</v>
      </c>
      <c r="B3882" s="92" t="s">
        <v>865</v>
      </c>
      <c r="C3882" s="92" t="s">
        <v>1439</v>
      </c>
      <c r="D3882" s="72" t="str">
        <f>IFERROR(VLOOKUP(A3882,'[1]ST-QA-ZZ5'!$C$5:$M$299,11,0),"Inspection at production line")</f>
        <v>Inspection at production line</v>
      </c>
    </row>
    <row r="3883" spans="1:4" ht="13.8">
      <c r="A3883" s="47" t="s">
        <v>8956</v>
      </c>
      <c r="B3883" s="92" t="s">
        <v>813</v>
      </c>
      <c r="C3883" s="92" t="s">
        <v>8957</v>
      </c>
      <c r="D3883" s="72" t="str">
        <f>IFERROR(VLOOKUP(A3883,'[1]ST-QA-ZZ5'!$C$5:$M$299,11,0),"Inspection at production line")</f>
        <v>Inspection at production line</v>
      </c>
    </row>
    <row r="3884" spans="1:4" ht="13.8">
      <c r="A3884" s="47" t="s">
        <v>8958</v>
      </c>
      <c r="B3884" s="92" t="s">
        <v>990</v>
      </c>
      <c r="C3884" s="94" t="s">
        <v>8959</v>
      </c>
      <c r="D3884" s="72" t="str">
        <f>IFERROR(VLOOKUP(A3884,'[1]ST-QA-ZZ5'!$C$5:$M$299,11,0),"Inspection at production line")</f>
        <v>Inspection at production line</v>
      </c>
    </row>
    <row r="3885" spans="1:4" ht="13.8">
      <c r="A3885" s="47" t="s">
        <v>8960</v>
      </c>
      <c r="B3885" s="92" t="s">
        <v>371</v>
      </c>
      <c r="C3885" s="92" t="s">
        <v>8961</v>
      </c>
      <c r="D3885" s="72" t="str">
        <f>IFERROR(VLOOKUP(A3885,'[1]ST-QA-ZZ5'!$C$5:$M$299,11,0),"Inspection at production line")</f>
        <v>Inspection at production line</v>
      </c>
    </row>
    <row r="3886" spans="1:4" ht="13.8">
      <c r="A3886" s="47" t="s">
        <v>8962</v>
      </c>
      <c r="B3886" s="92" t="s">
        <v>8963</v>
      </c>
      <c r="C3886" s="94" t="s">
        <v>8963</v>
      </c>
      <c r="D3886" s="72" t="str">
        <f>IFERROR(VLOOKUP(A3886,'[1]ST-QA-ZZ5'!$C$5:$M$299,11,0),"Inspection at production line")</f>
        <v>Inspection at production line</v>
      </c>
    </row>
    <row r="3887" spans="1:4" ht="13.8">
      <c r="A3887" s="47" t="s">
        <v>8964</v>
      </c>
      <c r="B3887" s="92" t="s">
        <v>8965</v>
      </c>
      <c r="C3887" s="94" t="s">
        <v>8965</v>
      </c>
      <c r="D3887" s="72" t="str">
        <f>IFERROR(VLOOKUP(A3887,'[1]ST-QA-ZZ5'!$C$5:$M$299,11,0),"Inspection at production line")</f>
        <v>Inspection at production line</v>
      </c>
    </row>
    <row r="3888" spans="1:4" ht="13.8">
      <c r="A3888" s="47" t="s">
        <v>8966</v>
      </c>
      <c r="B3888" s="92" t="s">
        <v>797</v>
      </c>
      <c r="C3888" s="92" t="s">
        <v>8967</v>
      </c>
      <c r="D3888" s="72" t="str">
        <f>IFERROR(VLOOKUP(A3888,'[1]ST-QA-ZZ5'!$C$5:$M$299,11,0),"Inspection at production line")</f>
        <v>Inspection at production line</v>
      </c>
    </row>
    <row r="3889" spans="1:4" ht="13.8">
      <c r="A3889" s="47" t="s">
        <v>8968</v>
      </c>
      <c r="B3889" s="92" t="s">
        <v>8969</v>
      </c>
      <c r="C3889" s="94" t="s">
        <v>8969</v>
      </c>
      <c r="D3889" s="72" t="str">
        <f>IFERROR(VLOOKUP(A3889,'[1]ST-QA-ZZ5'!$C$5:$M$299,11,0),"Inspection at production line")</f>
        <v>Inspection at production line</v>
      </c>
    </row>
    <row r="3890" spans="1:4" ht="13.8">
      <c r="A3890" s="47" t="s">
        <v>8970</v>
      </c>
      <c r="B3890" s="92" t="s">
        <v>1669</v>
      </c>
      <c r="C3890" s="92" t="s">
        <v>8971</v>
      </c>
      <c r="D3890" s="72" t="str">
        <f>IFERROR(VLOOKUP(A3890,'[1]ST-QA-ZZ5'!$C$5:$M$299,11,0),"Inspection at production line")</f>
        <v>Inspection at production line</v>
      </c>
    </row>
    <row r="3891" spans="1:4" ht="13.8">
      <c r="A3891" s="47" t="s">
        <v>8972</v>
      </c>
      <c r="B3891" s="92" t="s">
        <v>8973</v>
      </c>
      <c r="C3891" s="92" t="s">
        <v>8973</v>
      </c>
      <c r="D3891" s="72" t="str">
        <f>IFERROR(VLOOKUP(A3891,'[1]ST-QA-ZZ5'!$C$5:$M$299,11,0),"Inspection at production line")</f>
        <v>Inspection at production line</v>
      </c>
    </row>
    <row r="3892" spans="1:4" ht="13.8">
      <c r="A3892" s="47" t="s">
        <v>8974</v>
      </c>
      <c r="B3892" s="92" t="s">
        <v>8975</v>
      </c>
      <c r="C3892" s="94" t="s">
        <v>8975</v>
      </c>
      <c r="D3892" s="72" t="str">
        <f>IFERROR(VLOOKUP(A3892,'[1]ST-QA-ZZ5'!$C$5:$M$299,11,0),"Inspection at production line")</f>
        <v>Inspection at production line</v>
      </c>
    </row>
    <row r="3893" spans="1:4" ht="13.8">
      <c r="A3893" s="47" t="s">
        <v>8976</v>
      </c>
      <c r="B3893" s="92" t="s">
        <v>797</v>
      </c>
      <c r="C3893" s="92" t="s">
        <v>8977</v>
      </c>
      <c r="D3893" s="72" t="str">
        <f>IFERROR(VLOOKUP(A3893,'[1]ST-QA-ZZ5'!$C$5:$M$299,11,0),"Inspection at production line")</f>
        <v>Inspection at production line</v>
      </c>
    </row>
    <row r="3894" spans="1:4" ht="13.8">
      <c r="A3894" s="47" t="s">
        <v>8978</v>
      </c>
      <c r="B3894" s="92" t="s">
        <v>8979</v>
      </c>
      <c r="C3894" s="94" t="s">
        <v>8979</v>
      </c>
      <c r="D3894" s="72" t="str">
        <f>IFERROR(VLOOKUP(A3894,'[1]ST-QA-ZZ5'!$C$5:$M$299,11,0),"Inspection at production line")</f>
        <v>Inspection at production line</v>
      </c>
    </row>
    <row r="3895" spans="1:4" ht="13.8">
      <c r="A3895" s="47" t="s">
        <v>8980</v>
      </c>
      <c r="B3895" s="92" t="s">
        <v>8981</v>
      </c>
      <c r="C3895" s="94" t="s">
        <v>8981</v>
      </c>
      <c r="D3895" s="72" t="str">
        <f>IFERROR(VLOOKUP(A3895,'[1]ST-QA-ZZ5'!$C$5:$M$299,11,0),"Inspection at production line")</f>
        <v>Inspection at production line</v>
      </c>
    </row>
    <row r="3896" spans="1:4" ht="13.8">
      <c r="A3896" s="47" t="s">
        <v>8982</v>
      </c>
      <c r="B3896" s="92" t="s">
        <v>75</v>
      </c>
      <c r="C3896" s="92" t="s">
        <v>8983</v>
      </c>
      <c r="D3896" s="72" t="str">
        <f>IFERROR(VLOOKUP(A3896,'[1]ST-QA-ZZ5'!$C$5:$M$299,11,0),"Inspection at production line")</f>
        <v>Inspection at production line</v>
      </c>
    </row>
    <row r="3897" spans="1:4" ht="13.8">
      <c r="A3897" s="47" t="s">
        <v>8984</v>
      </c>
      <c r="B3897" s="92" t="s">
        <v>1995</v>
      </c>
      <c r="C3897" s="94" t="s">
        <v>8985</v>
      </c>
      <c r="D3897" s="72" t="str">
        <f>IFERROR(VLOOKUP(A3897,'[1]ST-QA-ZZ5'!$C$5:$M$299,11,0),"Inspection at production line")</f>
        <v>Inspection at production line</v>
      </c>
    </row>
    <row r="3898" spans="1:4" ht="13.8">
      <c r="A3898" s="47" t="s">
        <v>5110</v>
      </c>
      <c r="B3898" s="92" t="s">
        <v>953</v>
      </c>
      <c r="C3898" s="92" t="s">
        <v>5111</v>
      </c>
      <c r="D3898" s="72" t="str">
        <f>IFERROR(VLOOKUP(A3898,'[1]ST-QA-ZZ5'!$C$5:$M$299,11,0),"Inspection at production line")</f>
        <v>Inspection at production line</v>
      </c>
    </row>
    <row r="3899" spans="1:4" ht="13.8">
      <c r="A3899" s="47" t="s">
        <v>8986</v>
      </c>
      <c r="B3899" s="92" t="s">
        <v>8987</v>
      </c>
      <c r="C3899" s="92" t="s">
        <v>7088</v>
      </c>
      <c r="D3899" s="72" t="str">
        <f>IFERROR(VLOOKUP(A3899,'[1]ST-QA-ZZ5'!$C$5:$M$299,11,0),"Inspection at production line")</f>
        <v>Inspection at production line</v>
      </c>
    </row>
    <row r="3900" spans="1:4" ht="13.8">
      <c r="A3900" s="47" t="s">
        <v>2675</v>
      </c>
      <c r="B3900" s="92" t="s">
        <v>1669</v>
      </c>
      <c r="C3900" s="92" t="s">
        <v>8988</v>
      </c>
      <c r="D3900" s="72" t="str">
        <f>IFERROR(VLOOKUP(A3900,'[1]ST-QA-ZZ5'!$C$5:$M$299,11,0),"Inspection at production line")</f>
        <v>Inspection at production line</v>
      </c>
    </row>
    <row r="3901" spans="1:4" ht="13.8">
      <c r="A3901" s="47" t="s">
        <v>8989</v>
      </c>
      <c r="B3901" s="92" t="s">
        <v>8990</v>
      </c>
      <c r="C3901" s="94" t="s">
        <v>7090</v>
      </c>
      <c r="D3901" s="72" t="str">
        <f>IFERROR(VLOOKUP(A3901,'[1]ST-QA-ZZ5'!$C$5:$M$299,11,0),"Inspection at production line")</f>
        <v>Inspection at production line</v>
      </c>
    </row>
    <row r="3902" spans="1:4" ht="27.6">
      <c r="A3902" s="47" t="s">
        <v>8991</v>
      </c>
      <c r="B3902" s="92" t="s">
        <v>104</v>
      </c>
      <c r="C3902" s="94" t="s">
        <v>8992</v>
      </c>
      <c r="D3902" s="72" t="str">
        <f>IFERROR(VLOOKUP(A3902,'[1]ST-QA-ZZ5'!$C$5:$M$299,11,0),"Inspection at production line")</f>
        <v>Inspection at production line</v>
      </c>
    </row>
    <row r="3903" spans="1:4" ht="13.8">
      <c r="A3903" s="47" t="s">
        <v>8993</v>
      </c>
      <c r="B3903" s="92" t="s">
        <v>8994</v>
      </c>
      <c r="C3903" s="92" t="s">
        <v>8995</v>
      </c>
      <c r="D3903" s="72" t="str">
        <f>IFERROR(VLOOKUP(A3903,'[1]ST-QA-ZZ5'!$C$5:$M$299,11,0),"Inspection at production line")</f>
        <v>Inspection at production line</v>
      </c>
    </row>
    <row r="3904" spans="1:4" ht="13.8">
      <c r="A3904" s="47" t="s">
        <v>103</v>
      </c>
      <c r="B3904" s="92" t="s">
        <v>104</v>
      </c>
      <c r="C3904" s="92" t="s">
        <v>105</v>
      </c>
      <c r="D3904" s="72" t="str">
        <f>IFERROR(VLOOKUP(A3904,'[1]ST-QA-ZZ5'!$C$5:$M$299,11,0),"Inspection at production line")</f>
        <v>Inspection at production line</v>
      </c>
    </row>
    <row r="3905" spans="1:4" ht="13.8">
      <c r="A3905" s="47" t="s">
        <v>8996</v>
      </c>
      <c r="B3905" s="92" t="s">
        <v>6129</v>
      </c>
      <c r="C3905" s="92" t="s">
        <v>8997</v>
      </c>
      <c r="D3905" s="72" t="str">
        <f>IFERROR(VLOOKUP(A3905,'[1]ST-QA-ZZ5'!$C$5:$M$299,11,0),"Inspection at production line")</f>
        <v>Inspection at production line</v>
      </c>
    </row>
    <row r="3906" spans="1:4" ht="13.8">
      <c r="A3906" s="47" t="s">
        <v>8998</v>
      </c>
      <c r="B3906" s="92" t="s">
        <v>1698</v>
      </c>
      <c r="C3906" s="92" t="s">
        <v>8999</v>
      </c>
      <c r="D3906" s="72" t="str">
        <f>IFERROR(VLOOKUP(A3906,'[1]ST-QA-ZZ5'!$C$5:$M$299,11,0),"Inspection at production line")</f>
        <v>Inspection at production line</v>
      </c>
    </row>
    <row r="3907" spans="1:4" ht="13.8">
      <c r="A3907" s="47" t="s">
        <v>9000</v>
      </c>
      <c r="B3907" s="92" t="s">
        <v>9001</v>
      </c>
      <c r="C3907" s="92" t="s">
        <v>9001</v>
      </c>
      <c r="D3907" s="72" t="str">
        <f>IFERROR(VLOOKUP(A3907,'[1]ST-QA-ZZ5'!$C$5:$M$299,11,0),"Inspection at production line")</f>
        <v>Inspection at production line</v>
      </c>
    </row>
    <row r="3908" spans="1:4" ht="13.8">
      <c r="A3908" s="47" t="s">
        <v>9002</v>
      </c>
      <c r="B3908" s="92" t="s">
        <v>9003</v>
      </c>
      <c r="C3908" s="92" t="s">
        <v>9003</v>
      </c>
      <c r="D3908" s="72" t="str">
        <f>IFERROR(VLOOKUP(A3908,'[1]ST-QA-ZZ5'!$C$5:$M$299,11,0),"Inspection at production line")</f>
        <v>Inspection at production line</v>
      </c>
    </row>
    <row r="3909" spans="1:4" ht="13.8">
      <c r="A3909" s="47" t="s">
        <v>9004</v>
      </c>
      <c r="B3909" s="92" t="s">
        <v>818</v>
      </c>
      <c r="C3909" s="92" t="s">
        <v>9005</v>
      </c>
      <c r="D3909" s="72" t="str">
        <f>IFERROR(VLOOKUP(A3909,'[1]ST-QA-ZZ5'!$C$5:$M$299,11,0),"Inspection at production line")</f>
        <v>Inspection at production line</v>
      </c>
    </row>
    <row r="3910" spans="1:4" ht="13.8">
      <c r="A3910" s="47" t="s">
        <v>9006</v>
      </c>
      <c r="B3910" s="92" t="s">
        <v>9007</v>
      </c>
      <c r="C3910" s="92" t="s">
        <v>9007</v>
      </c>
      <c r="D3910" s="72" t="str">
        <f>IFERROR(VLOOKUP(A3910,'[1]ST-QA-ZZ5'!$C$5:$M$299,11,0),"Inspection at production line")</f>
        <v>Inspection at production line</v>
      </c>
    </row>
    <row r="3911" spans="1:4" ht="13.8">
      <c r="A3911" s="47" t="s">
        <v>9008</v>
      </c>
      <c r="B3911" s="92" t="s">
        <v>1523</v>
      </c>
      <c r="C3911" s="92" t="s">
        <v>9009</v>
      </c>
      <c r="D3911" s="72" t="str">
        <f>IFERROR(VLOOKUP(A3911,'[1]ST-QA-ZZ5'!$C$5:$M$299,11,0),"Inspection at production line")</f>
        <v>Inspection at production line</v>
      </c>
    </row>
    <row r="3912" spans="1:4" ht="13.8">
      <c r="A3912" s="47" t="s">
        <v>9010</v>
      </c>
      <c r="B3912" s="92" t="s">
        <v>4093</v>
      </c>
      <c r="C3912" s="92" t="s">
        <v>9011</v>
      </c>
      <c r="D3912" s="72" t="str">
        <f>IFERROR(VLOOKUP(A3912,'[1]ST-QA-ZZ5'!$C$5:$M$299,11,0),"Inspection at production line")</f>
        <v>Inspection at production line</v>
      </c>
    </row>
    <row r="3913" spans="1:4" ht="13.8">
      <c r="A3913" s="47" t="s">
        <v>9012</v>
      </c>
      <c r="B3913" s="92" t="s">
        <v>818</v>
      </c>
      <c r="C3913" s="92" t="s">
        <v>9013</v>
      </c>
      <c r="D3913" s="72" t="str">
        <f>IFERROR(VLOOKUP(A3913,'[1]ST-QA-ZZ5'!$C$5:$M$299,11,0),"Inspection at production line")</f>
        <v>Inspection at production line</v>
      </c>
    </row>
    <row r="3914" spans="1:4" ht="13.8">
      <c r="A3914" s="47" t="s">
        <v>9014</v>
      </c>
      <c r="B3914" s="92" t="s">
        <v>818</v>
      </c>
      <c r="C3914" s="92" t="s">
        <v>9015</v>
      </c>
      <c r="D3914" s="72" t="str">
        <f>IFERROR(VLOOKUP(A3914,'[1]ST-QA-ZZ5'!$C$5:$M$299,11,0),"Inspection at production line")</f>
        <v>Inspection at production line</v>
      </c>
    </row>
    <row r="3915" spans="1:4" ht="13.8">
      <c r="A3915" s="47" t="s">
        <v>9016</v>
      </c>
      <c r="B3915" s="92" t="s">
        <v>6141</v>
      </c>
      <c r="C3915" s="92" t="s">
        <v>9017</v>
      </c>
      <c r="D3915" s="72" t="str">
        <f>IFERROR(VLOOKUP(A3915,'[1]ST-QA-ZZ5'!$C$5:$M$299,11,0),"Inspection at production line")</f>
        <v>Inspection at production line</v>
      </c>
    </row>
    <row r="3916" spans="1:4" ht="13.8">
      <c r="A3916" s="47" t="s">
        <v>118</v>
      </c>
      <c r="B3916" s="92" t="s">
        <v>119</v>
      </c>
      <c r="C3916" s="92" t="s">
        <v>120</v>
      </c>
      <c r="D3916" s="72" t="str">
        <f>IFERROR(VLOOKUP(A3916,'[1]ST-QA-ZZ5'!$C$5:$M$299,11,0),"Inspection at production line")</f>
        <v>Inspection at production line</v>
      </c>
    </row>
    <row r="3917" spans="1:4" ht="13.8">
      <c r="A3917" s="47" t="s">
        <v>9018</v>
      </c>
      <c r="B3917" s="92" t="s">
        <v>90</v>
      </c>
      <c r="C3917" s="92" t="s">
        <v>9019</v>
      </c>
      <c r="D3917" s="72" t="str">
        <f>IFERROR(VLOOKUP(A3917,'[1]ST-QA-ZZ5'!$C$5:$M$299,11,0),"Inspection at production line")</f>
        <v>Inspection at production line</v>
      </c>
    </row>
    <row r="3918" spans="1:4" ht="13.8">
      <c r="A3918" s="47" t="s">
        <v>9020</v>
      </c>
      <c r="B3918" s="92" t="s">
        <v>940</v>
      </c>
      <c r="C3918" s="92" t="s">
        <v>9021</v>
      </c>
      <c r="D3918" s="72" t="str">
        <f>IFERROR(VLOOKUP(A3918,'[1]ST-QA-ZZ5'!$C$5:$M$299,11,0),"Inspection at production line")</f>
        <v>Inspection at production line</v>
      </c>
    </row>
    <row r="3919" spans="1:4" ht="13.8">
      <c r="A3919" s="47" t="s">
        <v>9022</v>
      </c>
      <c r="B3919" s="92" t="s">
        <v>1513</v>
      </c>
      <c r="C3919" s="92" t="s">
        <v>5471</v>
      </c>
      <c r="D3919" s="72" t="str">
        <f>IFERROR(VLOOKUP(A3919,'[1]ST-QA-ZZ5'!$C$5:$M$299,11,0),"Inspection at production line")</f>
        <v>Inspection at production line</v>
      </c>
    </row>
    <row r="3920" spans="1:4" ht="13.8">
      <c r="A3920" s="47" t="s">
        <v>9023</v>
      </c>
      <c r="B3920" s="92" t="s">
        <v>75</v>
      </c>
      <c r="C3920" s="92" t="s">
        <v>9024</v>
      </c>
      <c r="D3920" s="72" t="str">
        <f>IFERROR(VLOOKUP(A3920,'[1]ST-QA-ZZ5'!$C$5:$M$299,11,0),"Inspection at production line")</f>
        <v>Inspection at production line</v>
      </c>
    </row>
    <row r="3921" spans="1:4" ht="13.8">
      <c r="A3921" s="47" t="s">
        <v>9025</v>
      </c>
      <c r="B3921" s="92" t="s">
        <v>90</v>
      </c>
      <c r="C3921" s="92" t="s">
        <v>9026</v>
      </c>
      <c r="D3921" s="72" t="str">
        <f>IFERROR(VLOOKUP(A3921,'[1]ST-QA-ZZ5'!$C$5:$M$299,11,0),"Inspection at production line")</f>
        <v>Inspection at production line</v>
      </c>
    </row>
    <row r="3922" spans="1:4" ht="13.8">
      <c r="A3922" s="47" t="s">
        <v>9027</v>
      </c>
      <c r="B3922" s="92" t="s">
        <v>1669</v>
      </c>
      <c r="C3922" s="92" t="s">
        <v>8971</v>
      </c>
      <c r="D3922" s="72" t="str">
        <f>IFERROR(VLOOKUP(A3922,'[1]ST-QA-ZZ5'!$C$5:$M$299,11,0),"Inspection at production line")</f>
        <v>Inspection at production line</v>
      </c>
    </row>
    <row r="3923" spans="1:4" ht="13.8">
      <c r="A3923" s="47" t="s">
        <v>9028</v>
      </c>
      <c r="B3923" s="92" t="s">
        <v>5450</v>
      </c>
      <c r="C3923" s="92" t="s">
        <v>5323</v>
      </c>
      <c r="D3923" s="72" t="str">
        <f>IFERROR(VLOOKUP(A3923,'[1]ST-QA-ZZ5'!$C$5:$M$299,11,0),"Inspection at production line")</f>
        <v>Sampling check</v>
      </c>
    </row>
    <row r="3924" spans="1:4" ht="13.8">
      <c r="A3924" s="47" t="s">
        <v>9029</v>
      </c>
      <c r="B3924" s="92" t="s">
        <v>5323</v>
      </c>
      <c r="C3924" s="92" t="s">
        <v>5323</v>
      </c>
      <c r="D3924" s="72" t="str">
        <f>IFERROR(VLOOKUP(A3924,'[1]ST-QA-ZZ5'!$C$5:$M$299,11,0),"Inspection at production line")</f>
        <v>Inspection at production line</v>
      </c>
    </row>
    <row r="3925" spans="1:4" ht="13.8">
      <c r="A3925" s="47" t="s">
        <v>9030</v>
      </c>
      <c r="B3925" s="92" t="s">
        <v>9031</v>
      </c>
      <c r="C3925" s="92" t="s">
        <v>9032</v>
      </c>
      <c r="D3925" s="72" t="str">
        <f>IFERROR(VLOOKUP(A3925,'[1]ST-QA-ZZ5'!$C$5:$M$299,11,0),"Inspection at production line")</f>
        <v>Inspection at production line</v>
      </c>
    </row>
    <row r="3926" spans="1:4" ht="13.8">
      <c r="A3926" s="47" t="s">
        <v>9033</v>
      </c>
      <c r="B3926" s="92" t="s">
        <v>9031</v>
      </c>
      <c r="C3926" s="92" t="s">
        <v>9034</v>
      </c>
      <c r="D3926" s="72" t="str">
        <f>IFERROR(VLOOKUP(A3926,'[1]ST-QA-ZZ5'!$C$5:$M$299,11,0),"Inspection at production line")</f>
        <v>Appearance check 100%</v>
      </c>
    </row>
    <row r="3927" spans="1:4" ht="13.8">
      <c r="A3927" s="47" t="s">
        <v>9035</v>
      </c>
      <c r="B3927" s="92" t="s">
        <v>3002</v>
      </c>
      <c r="C3927" s="92" t="s">
        <v>9036</v>
      </c>
      <c r="D3927" s="72" t="str">
        <f>IFERROR(VLOOKUP(A3927,'[1]ST-QA-ZZ5'!$C$5:$M$299,11,0),"Inspection at production line")</f>
        <v>Inspection at production line</v>
      </c>
    </row>
    <row r="3928" spans="1:4" ht="13.8">
      <c r="A3928" s="47" t="s">
        <v>9037</v>
      </c>
      <c r="B3928" s="92" t="s">
        <v>9038</v>
      </c>
      <c r="C3928" s="92" t="s">
        <v>9038</v>
      </c>
      <c r="D3928" s="72" t="str">
        <f>IFERROR(VLOOKUP(A3928,'[1]ST-QA-ZZ5'!$C$5:$M$299,11,0),"Inspection at production line")</f>
        <v>Inspection at production line</v>
      </c>
    </row>
    <row r="3929" spans="1:4" ht="13.8">
      <c r="A3929" s="47" t="s">
        <v>9039</v>
      </c>
      <c r="B3929" s="92" t="s">
        <v>3103</v>
      </c>
      <c r="C3929" s="92" t="s">
        <v>9040</v>
      </c>
      <c r="D3929" s="72" t="str">
        <f>IFERROR(VLOOKUP(A3929,'[1]ST-QA-ZZ5'!$C$5:$M$299,11,0),"Inspection at production line")</f>
        <v>Inspection at production line</v>
      </c>
    </row>
    <row r="3930" spans="1:4" ht="13.8">
      <c r="A3930" s="47" t="s">
        <v>9041</v>
      </c>
      <c r="B3930" s="92" t="s">
        <v>9042</v>
      </c>
      <c r="C3930" s="92" t="s">
        <v>9043</v>
      </c>
      <c r="D3930" s="72" t="str">
        <f>IFERROR(VLOOKUP(A3930,'[1]ST-QA-ZZ5'!$C$5:$M$299,11,0),"Inspection at production line")</f>
        <v>Inspection at production line</v>
      </c>
    </row>
    <row r="3931" spans="1:4" ht="13.8">
      <c r="A3931" s="47" t="s">
        <v>9044</v>
      </c>
      <c r="B3931" s="92" t="s">
        <v>3079</v>
      </c>
      <c r="C3931" s="92" t="s">
        <v>9045</v>
      </c>
      <c r="D3931" s="72" t="str">
        <f>IFERROR(VLOOKUP(A3931,'[1]ST-QA-ZZ5'!$C$5:$M$299,11,0),"Inspection at production line")</f>
        <v>Inspection at production line</v>
      </c>
    </row>
    <row r="3932" spans="1:4" ht="13.8">
      <c r="A3932" s="47" t="s">
        <v>9046</v>
      </c>
      <c r="B3932" s="92" t="s">
        <v>9047</v>
      </c>
      <c r="C3932" s="92" t="s">
        <v>9048</v>
      </c>
      <c r="D3932" s="72" t="str">
        <f>IFERROR(VLOOKUP(A3932,'[1]ST-QA-ZZ5'!$C$5:$M$299,11,0),"Inspection at production line")</f>
        <v>Inspection at production line</v>
      </c>
    </row>
    <row r="3933" spans="1:4" ht="13.8">
      <c r="A3933" s="47" t="s">
        <v>9049</v>
      </c>
      <c r="B3933" s="92" t="s">
        <v>3121</v>
      </c>
      <c r="C3933" s="92" t="s">
        <v>9050</v>
      </c>
      <c r="D3933" s="72" t="str">
        <f>IFERROR(VLOOKUP(A3933,'[1]ST-QA-ZZ5'!$C$5:$M$299,11,0),"Inspection at production line")</f>
        <v>Inspection at production line</v>
      </c>
    </row>
    <row r="3934" spans="1:4" ht="13.8">
      <c r="A3934" s="47" t="s">
        <v>9051</v>
      </c>
      <c r="B3934" s="92" t="s">
        <v>9052</v>
      </c>
      <c r="C3934" s="92" t="s">
        <v>9053</v>
      </c>
      <c r="D3934" s="72" t="str">
        <f>IFERROR(VLOOKUP(A3934,'[1]ST-QA-ZZ5'!$C$5:$M$299,11,0),"Inspection at production line")</f>
        <v>Inspection at production line</v>
      </c>
    </row>
    <row r="3935" spans="1:4" ht="13.8">
      <c r="A3935" s="47" t="s">
        <v>9054</v>
      </c>
      <c r="B3935" s="92" t="s">
        <v>9055</v>
      </c>
      <c r="C3935" s="92" t="s">
        <v>9056</v>
      </c>
      <c r="D3935" s="72" t="str">
        <f>IFERROR(VLOOKUP(A3935,'[1]ST-QA-ZZ5'!$C$5:$M$299,11,0),"Inspection at production line")</f>
        <v>Inspection at production line</v>
      </c>
    </row>
    <row r="3936" spans="1:4" ht="13.8">
      <c r="A3936" s="47" t="s">
        <v>9057</v>
      </c>
      <c r="B3936" s="92" t="s">
        <v>9058</v>
      </c>
      <c r="C3936" s="92" t="s">
        <v>9058</v>
      </c>
      <c r="D3936" s="72" t="str">
        <f>IFERROR(VLOOKUP(A3936,'[1]ST-QA-ZZ5'!$C$5:$M$299,11,0),"Inspection at production line")</f>
        <v>Inspection at production line</v>
      </c>
    </row>
    <row r="3937" spans="1:4" ht="13.8">
      <c r="A3937" s="47" t="s">
        <v>9059</v>
      </c>
      <c r="B3937" s="92" t="s">
        <v>75</v>
      </c>
      <c r="C3937" s="92" t="s">
        <v>9060</v>
      </c>
      <c r="D3937" s="72" t="str">
        <f>IFERROR(VLOOKUP(A3937,'[1]ST-QA-ZZ5'!$C$5:$M$299,11,0),"Inspection at production line")</f>
        <v>Inspection at production line</v>
      </c>
    </row>
    <row r="3938" spans="1:4" ht="13.8">
      <c r="A3938" s="47" t="s">
        <v>9061</v>
      </c>
      <c r="B3938" s="92" t="s">
        <v>75</v>
      </c>
      <c r="C3938" s="92" t="s">
        <v>9062</v>
      </c>
      <c r="D3938" s="72" t="str">
        <f>IFERROR(VLOOKUP(A3938,'[1]ST-QA-ZZ5'!$C$5:$M$299,11,0),"Inspection at production line")</f>
        <v>Inspection at production line</v>
      </c>
    </row>
    <row r="3939" spans="1:4" ht="13.8">
      <c r="A3939" s="47" t="s">
        <v>9063</v>
      </c>
      <c r="B3939" s="92" t="s">
        <v>75</v>
      </c>
      <c r="C3939" s="92" t="s">
        <v>9064</v>
      </c>
      <c r="D3939" s="72" t="str">
        <f>IFERROR(VLOOKUP(A3939,'[1]ST-QA-ZZ5'!$C$5:$M$299,11,0),"Inspection at production line")</f>
        <v>Inspection at production line</v>
      </c>
    </row>
    <row r="3940" spans="1:4" ht="13.8">
      <c r="A3940" s="47" t="s">
        <v>9065</v>
      </c>
      <c r="B3940" s="92" t="s">
        <v>7914</v>
      </c>
      <c r="C3940" s="92" t="s">
        <v>9066</v>
      </c>
      <c r="D3940" s="72" t="str">
        <f>IFERROR(VLOOKUP(A3940,'[1]ST-QA-ZZ5'!$C$5:$M$299,11,0),"Inspection at production line")</f>
        <v>Inspection at production line</v>
      </c>
    </row>
    <row r="3941" spans="1:4" ht="13.8">
      <c r="A3941" s="47" t="s">
        <v>9067</v>
      </c>
      <c r="B3941" s="92" t="s">
        <v>75</v>
      </c>
      <c r="C3941" s="92" t="s">
        <v>9068</v>
      </c>
      <c r="D3941" s="72" t="str">
        <f>IFERROR(VLOOKUP(A3941,'[1]ST-QA-ZZ5'!$C$5:$M$299,11,0),"Inspection at production line")</f>
        <v>Inspection at production line</v>
      </c>
    </row>
    <row r="3942" spans="1:4" ht="13.8">
      <c r="A3942" s="47" t="s">
        <v>9069</v>
      </c>
      <c r="B3942" s="92" t="s">
        <v>75</v>
      </c>
      <c r="C3942" s="92" t="s">
        <v>9070</v>
      </c>
      <c r="D3942" s="72" t="str">
        <f>IFERROR(VLOOKUP(A3942,'[1]ST-QA-ZZ5'!$C$5:$M$299,11,0),"Inspection at production line")</f>
        <v>Inspection at production line</v>
      </c>
    </row>
    <row r="3943" spans="1:4" ht="13.8">
      <c r="A3943" s="47" t="s">
        <v>9071</v>
      </c>
      <c r="B3943" s="92" t="s">
        <v>857</v>
      </c>
      <c r="C3943" s="92" t="s">
        <v>9072</v>
      </c>
      <c r="D3943" s="72" t="str">
        <f>IFERROR(VLOOKUP(A3943,'[1]ST-QA-ZZ5'!$C$5:$M$299,11,0),"Inspection at production line")</f>
        <v>Inspection at production line</v>
      </c>
    </row>
    <row r="3944" spans="1:4" ht="13.8">
      <c r="A3944" s="47" t="s">
        <v>9073</v>
      </c>
      <c r="B3944" s="92" t="s">
        <v>3002</v>
      </c>
      <c r="C3944" s="92" t="s">
        <v>9074</v>
      </c>
      <c r="D3944" s="72" t="str">
        <f>IFERROR(VLOOKUP(A3944,'[1]ST-QA-ZZ5'!$C$5:$M$299,11,0),"Inspection at production line")</f>
        <v>Inspection at production line</v>
      </c>
    </row>
    <row r="3945" spans="1:4" ht="13.8">
      <c r="A3945" s="47" t="s">
        <v>9075</v>
      </c>
      <c r="B3945" s="92" t="s">
        <v>555</v>
      </c>
      <c r="C3945" s="92" t="s">
        <v>9076</v>
      </c>
      <c r="D3945" s="72" t="str">
        <f>IFERROR(VLOOKUP(A3945,'[1]ST-QA-ZZ5'!$C$5:$M$299,11,0),"Inspection at production line")</f>
        <v>Inspection at production line</v>
      </c>
    </row>
    <row r="3946" spans="1:4" ht="13.8">
      <c r="A3946" s="47" t="s">
        <v>9077</v>
      </c>
      <c r="B3946" s="92" t="s">
        <v>3138</v>
      </c>
      <c r="C3946" s="92" t="s">
        <v>5604</v>
      </c>
      <c r="D3946" s="72" t="str">
        <f>IFERROR(VLOOKUP(A3946,'[1]ST-QA-ZZ5'!$C$5:$M$299,11,0),"Inspection at production line")</f>
        <v>Inspection at production line</v>
      </c>
    </row>
    <row r="3947" spans="1:4" ht="13.8">
      <c r="A3947" s="47" t="s">
        <v>9078</v>
      </c>
      <c r="B3947" s="92" t="s">
        <v>9079</v>
      </c>
      <c r="C3947" s="92" t="s">
        <v>9080</v>
      </c>
      <c r="D3947" s="72" t="str">
        <f>IFERROR(VLOOKUP(A3947,'[1]ST-QA-ZZ5'!$C$5:$M$299,11,0),"Inspection at production line")</f>
        <v>Inspection at production line</v>
      </c>
    </row>
    <row r="3948" spans="1:4" ht="13.8">
      <c r="A3948" s="47" t="s">
        <v>9081</v>
      </c>
      <c r="B3948" s="92" t="s">
        <v>9082</v>
      </c>
      <c r="C3948" s="92" t="s">
        <v>9083</v>
      </c>
      <c r="D3948" s="72" t="str">
        <f>IFERROR(VLOOKUP(A3948,'[1]ST-QA-ZZ5'!$C$5:$M$299,11,0),"Inspection at production line")</f>
        <v>Inspection at production line</v>
      </c>
    </row>
    <row r="3949" spans="1:4" ht="13.8">
      <c r="A3949" s="47" t="s">
        <v>9084</v>
      </c>
      <c r="B3949" s="92" t="s">
        <v>9085</v>
      </c>
      <c r="C3949" s="92" t="s">
        <v>9086</v>
      </c>
      <c r="D3949" s="72" t="str">
        <f>IFERROR(VLOOKUP(A3949,'[1]ST-QA-ZZ5'!$C$5:$M$299,11,0),"Inspection at production line")</f>
        <v>Inspection at production line</v>
      </c>
    </row>
    <row r="3950" spans="1:4" ht="13.8">
      <c r="A3950" s="47" t="s">
        <v>9087</v>
      </c>
      <c r="B3950" s="92" t="s">
        <v>9088</v>
      </c>
      <c r="C3950" s="92" t="s">
        <v>9088</v>
      </c>
      <c r="D3950" s="72" t="str">
        <f>IFERROR(VLOOKUP(A3950,'[1]ST-QA-ZZ5'!$C$5:$M$299,11,0),"Inspection at production line")</f>
        <v>Inspection at production line</v>
      </c>
    </row>
    <row r="3951" spans="1:4" ht="13.8">
      <c r="A3951" s="47" t="s">
        <v>9089</v>
      </c>
      <c r="B3951" s="92" t="s">
        <v>9090</v>
      </c>
      <c r="C3951" s="92" t="s">
        <v>9090</v>
      </c>
      <c r="D3951" s="72" t="str">
        <f>IFERROR(VLOOKUP(A3951,'[1]ST-QA-ZZ5'!$C$5:$M$299,11,0),"Inspection at production line")</f>
        <v>Inspection at production line</v>
      </c>
    </row>
    <row r="3952" spans="1:4" ht="13.8">
      <c r="A3952" s="47" t="s">
        <v>9091</v>
      </c>
      <c r="B3952" s="92" t="s">
        <v>857</v>
      </c>
      <c r="C3952" s="92" t="s">
        <v>9092</v>
      </c>
      <c r="D3952" s="72" t="str">
        <f>IFERROR(VLOOKUP(A3952,'[1]ST-QA-ZZ5'!$C$5:$M$299,11,0),"Inspection at production line")</f>
        <v>Inspection at production line</v>
      </c>
    </row>
    <row r="3953" spans="1:4" ht="13.8">
      <c r="A3953" s="47" t="s">
        <v>9093</v>
      </c>
      <c r="B3953" s="92" t="s">
        <v>75</v>
      </c>
      <c r="C3953" s="92" t="s">
        <v>9094</v>
      </c>
      <c r="D3953" s="72" t="str">
        <f>IFERROR(VLOOKUP(A3953,'[1]ST-QA-ZZ5'!$C$5:$M$299,11,0),"Inspection at production line")</f>
        <v>Inspection at production line</v>
      </c>
    </row>
    <row r="3954" spans="1:4" ht="13.8">
      <c r="A3954" s="47" t="s">
        <v>9095</v>
      </c>
      <c r="B3954" s="92" t="s">
        <v>857</v>
      </c>
      <c r="C3954" s="92" t="s">
        <v>9096</v>
      </c>
      <c r="D3954" s="72" t="str">
        <f>IFERROR(VLOOKUP(A3954,'[1]ST-QA-ZZ5'!$C$5:$M$299,11,0),"Inspection at production line")</f>
        <v>Inspection at production line</v>
      </c>
    </row>
    <row r="3955" spans="1:4" ht="13.8">
      <c r="A3955" s="47" t="s">
        <v>9097</v>
      </c>
      <c r="B3955" s="92" t="s">
        <v>857</v>
      </c>
      <c r="C3955" s="92" t="s">
        <v>9098</v>
      </c>
      <c r="D3955" s="72" t="str">
        <f>IFERROR(VLOOKUP(A3955,'[1]ST-QA-ZZ5'!$C$5:$M$299,11,0),"Inspection at production line")</f>
        <v>Inspection at production line</v>
      </c>
    </row>
    <row r="3956" spans="1:4" ht="13.8">
      <c r="A3956" s="47" t="s">
        <v>9099</v>
      </c>
      <c r="B3956" s="92" t="s">
        <v>9100</v>
      </c>
      <c r="C3956" s="92" t="s">
        <v>9100</v>
      </c>
      <c r="D3956" s="72" t="str">
        <f>IFERROR(VLOOKUP(A3956,'[1]ST-QA-ZZ5'!$C$5:$M$299,11,0),"Inspection at production line")</f>
        <v>Inspection at production line</v>
      </c>
    </row>
    <row r="3957" spans="1:4" ht="13.8">
      <c r="A3957" s="47" t="s">
        <v>9101</v>
      </c>
      <c r="B3957" s="92" t="s">
        <v>857</v>
      </c>
      <c r="C3957" s="92" t="s">
        <v>9102</v>
      </c>
      <c r="D3957" s="72" t="str">
        <f>IFERROR(VLOOKUP(A3957,'[1]ST-QA-ZZ5'!$C$5:$M$299,11,0),"Inspection at production line")</f>
        <v>Inspection at production line</v>
      </c>
    </row>
    <row r="3958" spans="1:4" ht="13.8">
      <c r="A3958" s="47" t="s">
        <v>9103</v>
      </c>
      <c r="B3958" s="92" t="s">
        <v>8896</v>
      </c>
      <c r="C3958" s="92" t="s">
        <v>9104</v>
      </c>
      <c r="D3958" s="72" t="str">
        <f>IFERROR(VLOOKUP(A3958,'[1]ST-QA-ZZ5'!$C$5:$M$299,11,0),"Inspection at production line")</f>
        <v>Inspection at production line</v>
      </c>
    </row>
    <row r="3959" spans="1:4" ht="13.8">
      <c r="A3959" s="47" t="s">
        <v>9105</v>
      </c>
      <c r="B3959" s="92" t="s">
        <v>9106</v>
      </c>
      <c r="C3959" s="92" t="s">
        <v>9106</v>
      </c>
      <c r="D3959" s="72" t="str">
        <f>IFERROR(VLOOKUP(A3959,'[1]ST-QA-ZZ5'!$C$5:$M$299,11,0),"Inspection at production line")</f>
        <v>Inspection at production line</v>
      </c>
    </row>
    <row r="3960" spans="1:4" ht="13.8">
      <c r="A3960" s="47" t="s">
        <v>9107</v>
      </c>
      <c r="B3960" s="92" t="s">
        <v>857</v>
      </c>
      <c r="C3960" s="92" t="s">
        <v>9108</v>
      </c>
      <c r="D3960" s="72" t="str">
        <f>IFERROR(VLOOKUP(A3960,'[1]ST-QA-ZZ5'!$C$5:$M$299,11,0),"Inspection at production line")</f>
        <v>Inspection at production line</v>
      </c>
    </row>
    <row r="3961" spans="1:4" ht="13.8">
      <c r="A3961" s="47" t="s">
        <v>9109</v>
      </c>
      <c r="B3961" s="92" t="s">
        <v>857</v>
      </c>
      <c r="C3961" s="92" t="s">
        <v>9110</v>
      </c>
      <c r="D3961" s="72" t="str">
        <f>IFERROR(VLOOKUP(A3961,'[1]ST-QA-ZZ5'!$C$5:$M$299,11,0),"Inspection at production line")</f>
        <v>Inspection at production line</v>
      </c>
    </row>
    <row r="3962" spans="1:4" ht="13.8">
      <c r="A3962" s="47" t="s">
        <v>9111</v>
      </c>
      <c r="B3962" s="92" t="s">
        <v>9112</v>
      </c>
      <c r="C3962" s="92" t="s">
        <v>9113</v>
      </c>
      <c r="D3962" s="72" t="str">
        <f>IFERROR(VLOOKUP(A3962,'[1]ST-QA-ZZ5'!$C$5:$M$299,11,0),"Inspection at production line")</f>
        <v>Inspection at production line</v>
      </c>
    </row>
    <row r="3963" spans="1:4" ht="13.8">
      <c r="A3963" s="47" t="s">
        <v>9114</v>
      </c>
      <c r="B3963" s="92" t="s">
        <v>75</v>
      </c>
      <c r="C3963" s="92" t="s">
        <v>9115</v>
      </c>
      <c r="D3963" s="72" t="str">
        <f>IFERROR(VLOOKUP(A3963,'[1]ST-QA-ZZ5'!$C$5:$M$299,11,0),"Inspection at production line")</f>
        <v>Inspection at production line</v>
      </c>
    </row>
    <row r="3964" spans="1:4" ht="13.8">
      <c r="A3964" s="47" t="s">
        <v>9116</v>
      </c>
      <c r="B3964" s="92" t="s">
        <v>5099</v>
      </c>
      <c r="C3964" s="92" t="s">
        <v>9117</v>
      </c>
      <c r="D3964" s="72" t="str">
        <f>IFERROR(VLOOKUP(A3964,'[1]ST-QA-ZZ5'!$C$5:$M$299,11,0),"Inspection at production line")</f>
        <v>Inspection at production line</v>
      </c>
    </row>
    <row r="3965" spans="1:4" ht="13.8">
      <c r="A3965" s="47" t="s">
        <v>9118</v>
      </c>
      <c r="B3965" s="92" t="s">
        <v>2024</v>
      </c>
      <c r="C3965" s="92" t="s">
        <v>9119</v>
      </c>
      <c r="D3965" s="72" t="str">
        <f>IFERROR(VLOOKUP(A3965,'[1]ST-QA-ZZ5'!$C$5:$M$299,11,0),"Inspection at production line")</f>
        <v>Inspection at production line</v>
      </c>
    </row>
    <row r="3966" spans="1:4" ht="13.8">
      <c r="A3966" s="47" t="s">
        <v>9120</v>
      </c>
      <c r="B3966" s="92" t="s">
        <v>68</v>
      </c>
      <c r="C3966" s="92" t="s">
        <v>9121</v>
      </c>
      <c r="D3966" s="72" t="str">
        <f>IFERROR(VLOOKUP(A3966,'[1]ST-QA-ZZ5'!$C$5:$M$299,11,0),"Inspection at production line")</f>
        <v>Inspection at production line</v>
      </c>
    </row>
    <row r="3967" spans="1:4" ht="13.8">
      <c r="A3967" s="47" t="s">
        <v>9122</v>
      </c>
      <c r="B3967" s="92" t="s">
        <v>68</v>
      </c>
      <c r="C3967" s="92" t="s">
        <v>9121</v>
      </c>
      <c r="D3967" s="72" t="str">
        <f>IFERROR(VLOOKUP(A3967,'[1]ST-QA-ZZ5'!$C$5:$M$299,11,0),"Inspection at production line")</f>
        <v>Inspection at production line</v>
      </c>
    </row>
    <row r="3968" spans="1:4" ht="13.8">
      <c r="A3968" s="47" t="s">
        <v>9123</v>
      </c>
      <c r="B3968" s="92" t="s">
        <v>3002</v>
      </c>
      <c r="C3968" s="92" t="s">
        <v>9124</v>
      </c>
      <c r="D3968" s="72" t="str">
        <f>IFERROR(VLOOKUP(A3968,'[1]ST-QA-ZZ5'!$C$5:$M$299,11,0),"Inspection at production line")</f>
        <v>Inspection at production line</v>
      </c>
    </row>
    <row r="3969" spans="1:4" ht="13.8">
      <c r="A3969" s="47" t="s">
        <v>9125</v>
      </c>
      <c r="B3969" s="92" t="s">
        <v>3002</v>
      </c>
      <c r="C3969" s="92" t="s">
        <v>9126</v>
      </c>
      <c r="D3969" s="72" t="str">
        <f>IFERROR(VLOOKUP(A3969,'[1]ST-QA-ZZ5'!$C$5:$M$299,11,0),"Inspection at production line")</f>
        <v>Inspection at production line</v>
      </c>
    </row>
    <row r="3970" spans="1:4" ht="13.8">
      <c r="A3970" s="47" t="s">
        <v>9127</v>
      </c>
      <c r="B3970" s="92" t="s">
        <v>555</v>
      </c>
      <c r="C3970" s="92" t="s">
        <v>9128</v>
      </c>
      <c r="D3970" s="72" t="str">
        <f>IFERROR(VLOOKUP(A3970,'[1]ST-QA-ZZ5'!$C$5:$M$299,11,0),"Inspection at production line")</f>
        <v>Inspection at production line</v>
      </c>
    </row>
    <row r="3971" spans="1:4" ht="13.8">
      <c r="A3971" s="47" t="s">
        <v>9129</v>
      </c>
      <c r="B3971" s="92" t="s">
        <v>9130</v>
      </c>
      <c r="C3971" s="92" t="s">
        <v>9131</v>
      </c>
      <c r="D3971" s="72" t="str">
        <f>IFERROR(VLOOKUP(A3971,'[1]ST-QA-ZZ5'!$C$5:$M$299,11,0),"Inspection at production line")</f>
        <v>Inspection at production line</v>
      </c>
    </row>
    <row r="3972" spans="1:4" ht="13.8">
      <c r="A3972" s="47" t="s">
        <v>9132</v>
      </c>
      <c r="B3972" s="92" t="s">
        <v>9133</v>
      </c>
      <c r="C3972" s="92" t="s">
        <v>9133</v>
      </c>
      <c r="D3972" s="72" t="str">
        <f>IFERROR(VLOOKUP(A3972,'[1]ST-QA-ZZ5'!$C$5:$M$299,11,0),"Inspection at production line")</f>
        <v>Inspection at production line</v>
      </c>
    </row>
    <row r="3973" spans="1:4" ht="13.8">
      <c r="A3973" s="47" t="s">
        <v>9134</v>
      </c>
      <c r="B3973" s="92" t="s">
        <v>9135</v>
      </c>
      <c r="C3973" s="92" t="s">
        <v>9135</v>
      </c>
      <c r="D3973" s="72" t="str">
        <f>IFERROR(VLOOKUP(A3973,'[1]ST-QA-ZZ5'!$C$5:$M$299,11,0),"Inspection at production line")</f>
        <v>Inspection at production line</v>
      </c>
    </row>
    <row r="3974" spans="1:4" ht="13.8">
      <c r="A3974" s="47" t="s">
        <v>9136</v>
      </c>
      <c r="B3974" s="92" t="s">
        <v>9137</v>
      </c>
      <c r="C3974" s="92" t="s">
        <v>9137</v>
      </c>
      <c r="D3974" s="72" t="str">
        <f>IFERROR(VLOOKUP(A3974,'[1]ST-QA-ZZ5'!$C$5:$M$299,11,0),"Inspection at production line")</f>
        <v>Inspection at production line</v>
      </c>
    </row>
    <row r="3975" spans="1:4" ht="13.8">
      <c r="A3975" s="47" t="s">
        <v>9138</v>
      </c>
      <c r="B3975" s="92" t="s">
        <v>9139</v>
      </c>
      <c r="C3975" s="92" t="s">
        <v>9139</v>
      </c>
      <c r="D3975" s="72" t="str">
        <f>IFERROR(VLOOKUP(A3975,'[1]ST-QA-ZZ5'!$C$5:$M$299,11,0),"Inspection at production line")</f>
        <v>Inspection at production line</v>
      </c>
    </row>
    <row r="3976" spans="1:4" ht="13.8">
      <c r="A3976" s="47" t="s">
        <v>9140</v>
      </c>
      <c r="B3976" s="92" t="s">
        <v>9141</v>
      </c>
      <c r="C3976" s="92" t="s">
        <v>9141</v>
      </c>
      <c r="D3976" s="72" t="str">
        <f>IFERROR(VLOOKUP(A3976,'[1]ST-QA-ZZ5'!$C$5:$M$299,11,0),"Inspection at production line")</f>
        <v>Inspection at production line</v>
      </c>
    </row>
    <row r="3977" spans="1:4" ht="13.8">
      <c r="A3977" s="47" t="s">
        <v>9142</v>
      </c>
      <c r="B3977" s="92" t="s">
        <v>9143</v>
      </c>
      <c r="C3977" s="92" t="s">
        <v>9143</v>
      </c>
      <c r="D3977" s="72" t="str">
        <f>IFERROR(VLOOKUP(A3977,'[1]ST-QA-ZZ5'!$C$5:$M$299,11,0),"Inspection at production line")</f>
        <v>Inspection at production line</v>
      </c>
    </row>
    <row r="3978" spans="1:4" ht="13.8">
      <c r="A3978" s="47" t="s">
        <v>9144</v>
      </c>
      <c r="B3978" s="92" t="s">
        <v>2024</v>
      </c>
      <c r="C3978" s="92" t="s">
        <v>9145</v>
      </c>
      <c r="D3978" s="72" t="str">
        <f>IFERROR(VLOOKUP(A3978,'[1]ST-QA-ZZ5'!$C$5:$M$299,11,0),"Inspection at production line")</f>
        <v>Inspection at production line</v>
      </c>
    </row>
    <row r="3979" spans="1:4" ht="13.8">
      <c r="A3979" s="47" t="s">
        <v>9146</v>
      </c>
      <c r="B3979" s="92" t="s">
        <v>9147</v>
      </c>
      <c r="C3979" s="92" t="s">
        <v>9147</v>
      </c>
      <c r="D3979" s="72" t="str">
        <f>IFERROR(VLOOKUP(A3979,'[1]ST-QA-ZZ5'!$C$5:$M$299,11,0),"Inspection at production line")</f>
        <v>Inspection at production line</v>
      </c>
    </row>
    <row r="3980" spans="1:4" ht="13.8">
      <c r="A3980" s="47" t="s">
        <v>9148</v>
      </c>
      <c r="B3980" s="92" t="s">
        <v>9149</v>
      </c>
      <c r="C3980" s="92" t="s">
        <v>9149</v>
      </c>
      <c r="D3980" s="72" t="str">
        <f>IFERROR(VLOOKUP(A3980,'[1]ST-QA-ZZ5'!$C$5:$M$299,11,0),"Inspection at production line")</f>
        <v>Inspection at production line</v>
      </c>
    </row>
    <row r="3981" spans="1:4" ht="13.8">
      <c r="A3981" s="47" t="s">
        <v>9150</v>
      </c>
      <c r="B3981" s="92" t="s">
        <v>9151</v>
      </c>
      <c r="C3981" s="92" t="s">
        <v>9152</v>
      </c>
      <c r="D3981" s="72" t="str">
        <f>IFERROR(VLOOKUP(A3981,'[1]ST-QA-ZZ5'!$C$5:$M$299,11,0),"Inspection at production line")</f>
        <v>Inspection at production line</v>
      </c>
    </row>
    <row r="3982" spans="1:4" ht="13.8">
      <c r="A3982" s="47" t="s">
        <v>9153</v>
      </c>
      <c r="B3982" s="92" t="s">
        <v>2024</v>
      </c>
      <c r="C3982" s="92" t="s">
        <v>9154</v>
      </c>
      <c r="D3982" s="72" t="str">
        <f>IFERROR(VLOOKUP(A3982,'[1]ST-QA-ZZ5'!$C$5:$M$299,11,0),"Inspection at production line")</f>
        <v>Inspection at production line</v>
      </c>
    </row>
    <row r="3983" spans="1:4" ht="13.8">
      <c r="A3983" s="47" t="s">
        <v>9155</v>
      </c>
      <c r="B3983" s="92" t="s">
        <v>2024</v>
      </c>
      <c r="C3983" s="92" t="s">
        <v>9156</v>
      </c>
      <c r="D3983" s="72" t="str">
        <f>IFERROR(VLOOKUP(A3983,'[1]ST-QA-ZZ5'!$C$5:$M$299,11,0),"Inspection at production line")</f>
        <v>Inspection at production line</v>
      </c>
    </row>
    <row r="3984" spans="1:4" ht="13.8">
      <c r="A3984" s="47" t="s">
        <v>9157</v>
      </c>
      <c r="B3984" s="92" t="s">
        <v>2024</v>
      </c>
      <c r="C3984" s="92" t="s">
        <v>9158</v>
      </c>
      <c r="D3984" s="72" t="str">
        <f>IFERROR(VLOOKUP(A3984,'[1]ST-QA-ZZ5'!$C$5:$M$299,11,0),"Inspection at production line")</f>
        <v>Inspection at production line</v>
      </c>
    </row>
    <row r="3985" spans="1:4" ht="13.8">
      <c r="A3985" s="47" t="s">
        <v>9159</v>
      </c>
      <c r="B3985" s="92" t="s">
        <v>9160</v>
      </c>
      <c r="C3985" s="92" t="s">
        <v>9160</v>
      </c>
      <c r="D3985" s="72" t="str">
        <f>IFERROR(VLOOKUP(A3985,'[1]ST-QA-ZZ5'!$C$5:$M$299,11,0),"Inspection at production line")</f>
        <v>Inspection at production line</v>
      </c>
    </row>
    <row r="3986" spans="1:4" ht="13.8">
      <c r="A3986" s="47" t="s">
        <v>9161</v>
      </c>
      <c r="B3986" s="92" t="s">
        <v>9162</v>
      </c>
      <c r="C3986" s="92" t="s">
        <v>9162</v>
      </c>
      <c r="D3986" s="72" t="str">
        <f>IFERROR(VLOOKUP(A3986,'[1]ST-QA-ZZ5'!$C$5:$M$299,11,0),"Inspection at production line")</f>
        <v>Inspection at production line</v>
      </c>
    </row>
    <row r="3987" spans="1:4" ht="13.8">
      <c r="A3987" s="47" t="s">
        <v>9163</v>
      </c>
      <c r="B3987" s="92" t="s">
        <v>9164</v>
      </c>
      <c r="C3987" s="92" t="s">
        <v>9164</v>
      </c>
      <c r="D3987" s="72" t="str">
        <f>IFERROR(VLOOKUP(A3987,'[1]ST-QA-ZZ5'!$C$5:$M$299,11,0),"Inspection at production line")</f>
        <v>Inspection at production line</v>
      </c>
    </row>
    <row r="3988" spans="1:4" ht="13.8">
      <c r="A3988" s="47" t="s">
        <v>9165</v>
      </c>
      <c r="B3988" s="92" t="s">
        <v>9166</v>
      </c>
      <c r="C3988" s="92" t="s">
        <v>9166</v>
      </c>
      <c r="D3988" s="72" t="str">
        <f>IFERROR(VLOOKUP(A3988,'[1]ST-QA-ZZ5'!$C$5:$M$299,11,0),"Inspection at production line")</f>
        <v>Inspection at production line</v>
      </c>
    </row>
    <row r="3989" spans="1:4" ht="13.8">
      <c r="A3989" s="47" t="s">
        <v>9167</v>
      </c>
      <c r="B3989" s="92" t="s">
        <v>9168</v>
      </c>
      <c r="C3989" s="92" t="s">
        <v>9168</v>
      </c>
      <c r="D3989" s="72" t="str">
        <f>IFERROR(VLOOKUP(A3989,'[1]ST-QA-ZZ5'!$C$5:$M$299,11,0),"Inspection at production line")</f>
        <v>Inspection at production line</v>
      </c>
    </row>
    <row r="3990" spans="1:4" ht="13.8">
      <c r="A3990" s="47" t="s">
        <v>9169</v>
      </c>
      <c r="B3990" s="92" t="s">
        <v>9170</v>
      </c>
      <c r="C3990" s="92" t="s">
        <v>9170</v>
      </c>
      <c r="D3990" s="72" t="str">
        <f>IFERROR(VLOOKUP(A3990,'[1]ST-QA-ZZ5'!$C$5:$M$299,11,0),"Inspection at production line")</f>
        <v>Inspection at production line</v>
      </c>
    </row>
    <row r="3991" spans="1:4" ht="13.8">
      <c r="A3991" s="47" t="s">
        <v>9171</v>
      </c>
      <c r="B3991" s="92" t="s">
        <v>9172</v>
      </c>
      <c r="C3991" s="92" t="s">
        <v>9172</v>
      </c>
      <c r="D3991" s="72" t="str">
        <f>IFERROR(VLOOKUP(A3991,'[1]ST-QA-ZZ5'!$C$5:$M$299,11,0),"Inspection at production line")</f>
        <v>Inspection at production line</v>
      </c>
    </row>
    <row r="3992" spans="1:4" ht="13.8">
      <c r="A3992" s="47" t="s">
        <v>9173</v>
      </c>
      <c r="B3992" s="92" t="s">
        <v>9174</v>
      </c>
      <c r="C3992" s="92" t="s">
        <v>9174</v>
      </c>
      <c r="D3992" s="72" t="str">
        <f>IFERROR(VLOOKUP(A3992,'[1]ST-QA-ZZ5'!$C$5:$M$299,11,0),"Inspection at production line")</f>
        <v>Inspection at production line</v>
      </c>
    </row>
    <row r="3993" spans="1:4" ht="13.8">
      <c r="A3993" s="47" t="s">
        <v>9175</v>
      </c>
      <c r="B3993" s="92" t="s">
        <v>2024</v>
      </c>
      <c r="C3993" s="92" t="s">
        <v>9176</v>
      </c>
      <c r="D3993" s="72" t="str">
        <f>IFERROR(VLOOKUP(A3993,'[1]ST-QA-ZZ5'!$C$5:$M$299,11,0),"Inspection at production line")</f>
        <v>Inspection at production line</v>
      </c>
    </row>
    <row r="3994" spans="1:4" ht="13.8">
      <c r="A3994" s="47" t="s">
        <v>9177</v>
      </c>
      <c r="B3994" s="92" t="s">
        <v>9178</v>
      </c>
      <c r="C3994" s="92" t="s">
        <v>9178</v>
      </c>
      <c r="D3994" s="72" t="str">
        <f>IFERROR(VLOOKUP(A3994,'[1]ST-QA-ZZ5'!$C$5:$M$299,11,0),"Inspection at production line")</f>
        <v>Inspection at production line</v>
      </c>
    </row>
    <row r="3995" spans="1:4" ht="13.8">
      <c r="A3995" s="47" t="s">
        <v>9179</v>
      </c>
      <c r="B3995" s="92" t="s">
        <v>5450</v>
      </c>
      <c r="C3995" s="92" t="s">
        <v>9180</v>
      </c>
      <c r="D3995" s="72" t="str">
        <f>IFERROR(VLOOKUP(A3995,'[1]ST-QA-ZZ5'!$C$5:$M$299,11,0),"Inspection at production line")</f>
        <v>Inspection at production line</v>
      </c>
    </row>
    <row r="3996" spans="1:4" ht="13.8">
      <c r="A3996" s="47" t="s">
        <v>9181</v>
      </c>
      <c r="B3996" s="92" t="s">
        <v>9182</v>
      </c>
      <c r="C3996" s="92" t="s">
        <v>9182</v>
      </c>
      <c r="D3996" s="72" t="str">
        <f>IFERROR(VLOOKUP(A3996,'[1]ST-QA-ZZ5'!$C$5:$M$299,11,0),"Inspection at production line")</f>
        <v>Sampling check</v>
      </c>
    </row>
    <row r="3997" spans="1:4" ht="13.8">
      <c r="A3997" s="47" t="s">
        <v>9183</v>
      </c>
      <c r="B3997" s="92" t="s">
        <v>2024</v>
      </c>
      <c r="C3997" s="92" t="s">
        <v>9184</v>
      </c>
      <c r="D3997" s="72" t="str">
        <f>IFERROR(VLOOKUP(A3997,'[1]ST-QA-ZZ5'!$C$5:$M$299,11,0),"Inspection at production line")</f>
        <v>Inspection at production line</v>
      </c>
    </row>
    <row r="3998" spans="1:4" ht="13.8">
      <c r="A3998" s="47" t="s">
        <v>9185</v>
      </c>
      <c r="B3998" s="92" t="s">
        <v>9186</v>
      </c>
      <c r="C3998" s="92" t="s">
        <v>9187</v>
      </c>
      <c r="D3998" s="72" t="str">
        <f>IFERROR(VLOOKUP(A3998,'[1]ST-QA-ZZ5'!$C$5:$M$299,11,0),"Inspection at production line")</f>
        <v>Inspection at production line</v>
      </c>
    </row>
    <row r="3999" spans="1:4" ht="13.8">
      <c r="A3999" s="47" t="s">
        <v>9188</v>
      </c>
      <c r="B3999" s="92" t="s">
        <v>5450</v>
      </c>
      <c r="C3999" s="92" t="s">
        <v>9189</v>
      </c>
      <c r="D3999" s="72" t="str">
        <f>IFERROR(VLOOKUP(A3999,'[1]ST-QA-ZZ5'!$C$5:$M$299,11,0),"Inspection at production line")</f>
        <v>Inspection at production line</v>
      </c>
    </row>
    <row r="4000" spans="1:4" ht="13.8">
      <c r="A4000" s="47" t="s">
        <v>9190</v>
      </c>
      <c r="B4000" s="92" t="s">
        <v>9031</v>
      </c>
      <c r="C4000" s="92" t="s">
        <v>9191</v>
      </c>
      <c r="D4000" s="72" t="str">
        <f>IFERROR(VLOOKUP(A4000,'[1]ST-QA-ZZ5'!$C$5:$M$299,11,0),"Inspection at production line")</f>
        <v>Inspection at production line</v>
      </c>
    </row>
    <row r="4001" spans="1:4" ht="13.8">
      <c r="A4001" s="47" t="s">
        <v>9192</v>
      </c>
      <c r="B4001" s="92" t="s">
        <v>555</v>
      </c>
      <c r="C4001" s="92" t="s">
        <v>9193</v>
      </c>
      <c r="D4001" s="72" t="str">
        <f>IFERROR(VLOOKUP(A4001,'[1]ST-QA-ZZ5'!$C$5:$M$299,11,0),"Inspection at production line")</f>
        <v>Inspection at production line</v>
      </c>
    </row>
    <row r="4002" spans="1:4" ht="13.8">
      <c r="A4002" s="47" t="s">
        <v>9194</v>
      </c>
      <c r="B4002" s="92" t="s">
        <v>68</v>
      </c>
      <c r="C4002" s="92" t="s">
        <v>9195</v>
      </c>
      <c r="D4002" s="72" t="str">
        <f>IFERROR(VLOOKUP(A4002,'[1]ST-QA-ZZ5'!$C$5:$M$299,11,0),"Inspection at production line")</f>
        <v>Inspection at production line</v>
      </c>
    </row>
    <row r="4003" spans="1:4" ht="13.8">
      <c r="A4003" s="47" t="s">
        <v>9196</v>
      </c>
      <c r="B4003" s="92" t="s">
        <v>9197</v>
      </c>
      <c r="C4003" s="92" t="s">
        <v>9197</v>
      </c>
      <c r="D4003" s="72" t="str">
        <f>IFERROR(VLOOKUP(A4003,'[1]ST-QA-ZZ5'!$C$5:$M$299,11,0),"Inspection at production line")</f>
        <v>Appearance check 100%</v>
      </c>
    </row>
    <row r="4004" spans="1:4" ht="13.8">
      <c r="A4004" s="47" t="s">
        <v>9198</v>
      </c>
      <c r="B4004" s="92" t="s">
        <v>9186</v>
      </c>
      <c r="C4004" s="92" t="s">
        <v>9199</v>
      </c>
      <c r="D4004" s="72" t="str">
        <f>IFERROR(VLOOKUP(A4004,'[1]ST-QA-ZZ5'!$C$5:$M$299,11,0),"Inspection at production line")</f>
        <v>Inspection at production line</v>
      </c>
    </row>
    <row r="4005" spans="1:4" ht="13.8">
      <c r="A4005" s="47" t="s">
        <v>5449</v>
      </c>
      <c r="B4005" s="92" t="s">
        <v>5450</v>
      </c>
      <c r="C4005" s="92" t="s">
        <v>5451</v>
      </c>
      <c r="D4005" s="72" t="str">
        <f>IFERROR(VLOOKUP(A4005,'[1]ST-QA-ZZ5'!$C$5:$M$299,11,0),"Inspection at production line")</f>
        <v>Inspection at production line</v>
      </c>
    </row>
    <row r="4006" spans="1:4" ht="13.8">
      <c r="A4006" s="47" t="s">
        <v>9200</v>
      </c>
      <c r="B4006" s="92" t="s">
        <v>9031</v>
      </c>
      <c r="C4006" s="92" t="s">
        <v>9201</v>
      </c>
      <c r="D4006" s="72" t="str">
        <f>IFERROR(VLOOKUP(A4006,'[1]ST-QA-ZZ5'!$C$5:$M$299,11,0),"Inspection at production line")</f>
        <v>Inspection at production line</v>
      </c>
    </row>
    <row r="4007" spans="1:4" ht="13.8">
      <c r="A4007" s="47" t="s">
        <v>9202</v>
      </c>
      <c r="B4007" s="92" t="s">
        <v>1880</v>
      </c>
      <c r="C4007" s="92" t="s">
        <v>9203</v>
      </c>
      <c r="D4007" s="72" t="str">
        <f>IFERROR(VLOOKUP(A4007,'[1]ST-QA-ZZ5'!$C$5:$M$299,11,0),"Inspection at production line")</f>
        <v>Inspection at production line</v>
      </c>
    </row>
    <row r="4008" spans="1:4" ht="13.8">
      <c r="A4008" s="47" t="s">
        <v>9204</v>
      </c>
      <c r="B4008" s="92" t="s">
        <v>1880</v>
      </c>
      <c r="C4008" s="92" t="s">
        <v>9205</v>
      </c>
      <c r="D4008" s="72" t="str">
        <f>IFERROR(VLOOKUP(A4008,'[1]ST-QA-ZZ5'!$C$5:$M$299,11,0),"Inspection at production line")</f>
        <v>Inspection at production line</v>
      </c>
    </row>
    <row r="4009" spans="1:4" ht="13.8">
      <c r="A4009" s="47" t="s">
        <v>9206</v>
      </c>
      <c r="B4009" s="92" t="s">
        <v>1880</v>
      </c>
      <c r="C4009" s="92" t="s">
        <v>9207</v>
      </c>
      <c r="D4009" s="72" t="str">
        <f>IFERROR(VLOOKUP(A4009,'[1]ST-QA-ZZ5'!$C$5:$M$299,11,0),"Inspection at production line")</f>
        <v>Inspection at production line</v>
      </c>
    </row>
    <row r="4010" spans="1:4" ht="13.8">
      <c r="A4010" s="47" t="s">
        <v>9208</v>
      </c>
      <c r="B4010" s="92" t="s">
        <v>1880</v>
      </c>
      <c r="C4010" s="92" t="s">
        <v>9209</v>
      </c>
      <c r="D4010" s="72" t="str">
        <f>IFERROR(VLOOKUP(A4010,'[1]ST-QA-ZZ5'!$C$5:$M$299,11,0),"Inspection at production line")</f>
        <v>Inspection at production line</v>
      </c>
    </row>
    <row r="4011" spans="1:4" ht="13.8">
      <c r="A4011" s="47" t="s">
        <v>9210</v>
      </c>
      <c r="B4011" s="92" t="s">
        <v>9211</v>
      </c>
      <c r="C4011" s="92" t="s">
        <v>9211</v>
      </c>
      <c r="D4011" s="72" t="str">
        <f>IFERROR(VLOOKUP(A4011,'[1]ST-QA-ZZ5'!$C$5:$M$299,11,0),"Inspection at production line")</f>
        <v>Inspection at production line</v>
      </c>
    </row>
    <row r="4012" spans="1:4" ht="13.8">
      <c r="A4012" s="47" t="s">
        <v>9212</v>
      </c>
      <c r="B4012" s="92" t="s">
        <v>9213</v>
      </c>
      <c r="C4012" s="92" t="s">
        <v>9213</v>
      </c>
      <c r="D4012" s="72" t="str">
        <f>IFERROR(VLOOKUP(A4012,'[1]ST-QA-ZZ5'!$C$5:$M$299,11,0),"Inspection at production line")</f>
        <v>Inspection at production line</v>
      </c>
    </row>
    <row r="4013" spans="1:4" ht="13.8">
      <c r="A4013" s="47" t="s">
        <v>9214</v>
      </c>
      <c r="B4013" s="92" t="s">
        <v>9215</v>
      </c>
      <c r="C4013" s="92" t="s">
        <v>9215</v>
      </c>
      <c r="D4013" s="72" t="str">
        <f>IFERROR(VLOOKUP(A4013,'[1]ST-QA-ZZ5'!$C$5:$M$299,11,0),"Inspection at production line")</f>
        <v>Inspection at production line</v>
      </c>
    </row>
    <row r="4014" spans="1:4" ht="13.8">
      <c r="A4014" s="47" t="s">
        <v>9216</v>
      </c>
      <c r="B4014" s="92" t="s">
        <v>9217</v>
      </c>
      <c r="C4014" s="92" t="s">
        <v>9217</v>
      </c>
      <c r="D4014" s="72" t="str">
        <f>IFERROR(VLOOKUP(A4014,'[1]ST-QA-ZZ5'!$C$5:$M$299,11,0),"Inspection at production line")</f>
        <v>Inspection at production line</v>
      </c>
    </row>
    <row r="4015" spans="1:4" ht="13.8">
      <c r="A4015" s="47" t="s">
        <v>9218</v>
      </c>
      <c r="B4015" s="92" t="s">
        <v>9219</v>
      </c>
      <c r="C4015" s="92" t="s">
        <v>9219</v>
      </c>
      <c r="D4015" s="72" t="str">
        <f>IFERROR(VLOOKUP(A4015,'[1]ST-QA-ZZ5'!$C$5:$M$299,11,0),"Inspection at production line")</f>
        <v>Inspection at production line</v>
      </c>
    </row>
    <row r="4016" spans="1:4" ht="13.8">
      <c r="A4016" s="47" t="s">
        <v>9220</v>
      </c>
      <c r="B4016" s="92" t="s">
        <v>1880</v>
      </c>
      <c r="C4016" s="92" t="s">
        <v>9221</v>
      </c>
      <c r="D4016" s="72" t="str">
        <f>IFERROR(VLOOKUP(A4016,'[1]ST-QA-ZZ5'!$C$5:$M$299,11,0),"Inspection at production line")</f>
        <v>Inspection at production line</v>
      </c>
    </row>
    <row r="4017" spans="1:4" ht="13.8">
      <c r="A4017" s="47" t="s">
        <v>9222</v>
      </c>
      <c r="B4017" s="92" t="s">
        <v>1554</v>
      </c>
      <c r="C4017" s="92" t="s">
        <v>9223</v>
      </c>
      <c r="D4017" s="72" t="str">
        <f>IFERROR(VLOOKUP(A4017,'[1]ST-QA-ZZ5'!$C$5:$M$299,11,0),"Inspection at production line")</f>
        <v>Inspection at production line</v>
      </c>
    </row>
    <row r="4018" spans="1:4" ht="13.8">
      <c r="A4018" s="47" t="s">
        <v>9224</v>
      </c>
      <c r="B4018" s="92" t="s">
        <v>9225</v>
      </c>
      <c r="C4018" s="92" t="s">
        <v>9225</v>
      </c>
      <c r="D4018" s="72" t="str">
        <f>IFERROR(VLOOKUP(A4018,'[1]ST-QA-ZZ5'!$C$5:$M$299,11,0),"Inspection at production line")</f>
        <v>Inspection at production line</v>
      </c>
    </row>
    <row r="4019" spans="1:4" ht="13.8">
      <c r="A4019" s="47" t="s">
        <v>9226</v>
      </c>
      <c r="B4019" s="92" t="s">
        <v>1880</v>
      </c>
      <c r="C4019" s="92" t="s">
        <v>9227</v>
      </c>
      <c r="D4019" s="72" t="str">
        <f>IFERROR(VLOOKUP(A4019,'[1]ST-QA-ZZ5'!$C$5:$M$299,11,0),"Inspection at production line")</f>
        <v>Inspection at production line</v>
      </c>
    </row>
    <row r="4020" spans="1:4" ht="13.8">
      <c r="A4020" s="47" t="s">
        <v>9228</v>
      </c>
      <c r="B4020" s="92" t="s">
        <v>1880</v>
      </c>
      <c r="C4020" s="94" t="s">
        <v>9229</v>
      </c>
      <c r="D4020" s="72" t="str">
        <f>IFERROR(VLOOKUP(A4020,'[1]ST-QA-ZZ5'!$C$5:$M$299,11,0),"Inspection at production line")</f>
        <v>Inspection at production line</v>
      </c>
    </row>
    <row r="4021" spans="1:4" ht="13.8">
      <c r="A4021" s="47" t="s">
        <v>9230</v>
      </c>
      <c r="B4021" s="92" t="s">
        <v>1880</v>
      </c>
      <c r="C4021" s="92" t="s">
        <v>9231</v>
      </c>
      <c r="D4021" s="72" t="str">
        <f>IFERROR(VLOOKUP(A4021,'[1]ST-QA-ZZ5'!$C$5:$M$299,11,0),"Inspection at production line")</f>
        <v>Inspection at production line</v>
      </c>
    </row>
    <row r="4022" spans="1:4" ht="13.8">
      <c r="A4022" s="47" t="s">
        <v>9232</v>
      </c>
      <c r="B4022" s="92" t="s">
        <v>2137</v>
      </c>
      <c r="C4022" s="92" t="s">
        <v>9233</v>
      </c>
      <c r="D4022" s="72" t="str">
        <f>IFERROR(VLOOKUP(A4022,'[1]ST-QA-ZZ5'!$C$5:$M$299,11,0),"Inspection at production line")</f>
        <v>Inspection at production line</v>
      </c>
    </row>
    <row r="4023" spans="1:4" ht="13.8">
      <c r="A4023" s="47" t="s">
        <v>9234</v>
      </c>
      <c r="B4023" s="92" t="s">
        <v>3084</v>
      </c>
      <c r="C4023" s="92" t="s">
        <v>9235</v>
      </c>
      <c r="D4023" s="72" t="str">
        <f>IFERROR(VLOOKUP(A4023,'[1]ST-QA-ZZ5'!$C$5:$M$299,11,0),"Inspection at production line")</f>
        <v>Inspection at production line</v>
      </c>
    </row>
    <row r="4024" spans="1:4" ht="13.8">
      <c r="A4024" s="47" t="s">
        <v>9236</v>
      </c>
      <c r="B4024" s="92" t="s">
        <v>2137</v>
      </c>
      <c r="C4024" s="92" t="s">
        <v>9237</v>
      </c>
      <c r="D4024" s="72" t="str">
        <f>IFERROR(VLOOKUP(A4024,'[1]ST-QA-ZZ5'!$C$5:$M$299,11,0),"Inspection at production line")</f>
        <v>Inspection at production line</v>
      </c>
    </row>
    <row r="4025" spans="1:4" ht="13.8">
      <c r="A4025" s="47" t="s">
        <v>9238</v>
      </c>
      <c r="B4025" s="92" t="s">
        <v>3084</v>
      </c>
      <c r="C4025" s="92" t="s">
        <v>9239</v>
      </c>
      <c r="D4025" s="72" t="str">
        <f>IFERROR(VLOOKUP(A4025,'[1]ST-QA-ZZ5'!$C$5:$M$299,11,0),"Inspection at production line")</f>
        <v>Inspection at production line</v>
      </c>
    </row>
    <row r="4026" spans="1:4" ht="13.8">
      <c r="A4026" s="47" t="s">
        <v>9240</v>
      </c>
      <c r="B4026" s="92" t="s">
        <v>1509</v>
      </c>
      <c r="C4026" s="92" t="s">
        <v>9241</v>
      </c>
      <c r="D4026" s="72" t="str">
        <f>IFERROR(VLOOKUP(A4026,'[1]ST-QA-ZZ5'!$C$5:$M$299,11,0),"Inspection at production line")</f>
        <v>Inspection at production line</v>
      </c>
    </row>
    <row r="4027" spans="1:4" ht="13.8">
      <c r="A4027" s="47" t="s">
        <v>9242</v>
      </c>
      <c r="B4027" s="92" t="s">
        <v>1509</v>
      </c>
      <c r="C4027" s="92" t="s">
        <v>9243</v>
      </c>
      <c r="D4027" s="72" t="str">
        <f>IFERROR(VLOOKUP(A4027,'[1]ST-QA-ZZ5'!$C$5:$M$299,11,0),"Inspection at production line")</f>
        <v>Inspection at production line</v>
      </c>
    </row>
    <row r="4028" spans="1:4" ht="13.8">
      <c r="A4028" s="47" t="s">
        <v>9244</v>
      </c>
      <c r="B4028" s="92" t="s">
        <v>3079</v>
      </c>
      <c r="C4028" s="92" t="s">
        <v>9245</v>
      </c>
      <c r="D4028" s="72" t="str">
        <f>IFERROR(VLOOKUP(A4028,'[1]ST-QA-ZZ5'!$C$5:$M$299,11,0),"Inspection at production line")</f>
        <v>Inspection at production line</v>
      </c>
    </row>
    <row r="4029" spans="1:4" ht="13.8">
      <c r="A4029" s="47" t="s">
        <v>9246</v>
      </c>
      <c r="B4029" s="92" t="s">
        <v>3079</v>
      </c>
      <c r="C4029" s="92" t="s">
        <v>9247</v>
      </c>
      <c r="D4029" s="72" t="str">
        <f>IFERROR(VLOOKUP(A4029,'[1]ST-QA-ZZ5'!$C$5:$M$299,11,0),"Inspection at production line")</f>
        <v>Inspection at production line</v>
      </c>
    </row>
    <row r="4030" spans="1:4" ht="13.8">
      <c r="A4030" s="47" t="s">
        <v>9248</v>
      </c>
      <c r="B4030" s="92" t="s">
        <v>3079</v>
      </c>
      <c r="C4030" s="92" t="s">
        <v>9249</v>
      </c>
      <c r="D4030" s="72" t="str">
        <f>IFERROR(VLOOKUP(A4030,'[1]ST-QA-ZZ5'!$C$5:$M$299,11,0),"Inspection at production line")</f>
        <v>Inspection at production line</v>
      </c>
    </row>
    <row r="4031" spans="1:4" ht="13.8">
      <c r="A4031" s="47" t="s">
        <v>9250</v>
      </c>
      <c r="B4031" s="92" t="s">
        <v>2137</v>
      </c>
      <c r="C4031" s="92" t="s">
        <v>9251</v>
      </c>
      <c r="D4031" s="72" t="str">
        <f>IFERROR(VLOOKUP(A4031,'[1]ST-QA-ZZ5'!$C$5:$M$299,11,0),"Inspection at production line")</f>
        <v>Inspection at production line</v>
      </c>
    </row>
    <row r="4032" spans="1:4" ht="13.8">
      <c r="A4032" s="47" t="s">
        <v>9252</v>
      </c>
      <c r="B4032" s="92" t="s">
        <v>3084</v>
      </c>
      <c r="C4032" s="92" t="s">
        <v>9253</v>
      </c>
      <c r="D4032" s="72" t="str">
        <f>IFERROR(VLOOKUP(A4032,'[1]ST-QA-ZZ5'!$C$5:$M$299,11,0),"Inspection at production line")</f>
        <v>Inspection at production line</v>
      </c>
    </row>
    <row r="4033" spans="1:4" ht="13.8">
      <c r="A4033" s="47" t="s">
        <v>9254</v>
      </c>
      <c r="B4033" s="92" t="s">
        <v>3084</v>
      </c>
      <c r="C4033" s="92" t="s">
        <v>9255</v>
      </c>
      <c r="D4033" s="72" t="str">
        <f>IFERROR(VLOOKUP(A4033,'[1]ST-QA-ZZ5'!$C$5:$M$299,11,0),"Inspection at production line")</f>
        <v>Inspection at production line</v>
      </c>
    </row>
    <row r="4034" spans="1:4" ht="13.8">
      <c r="A4034" s="47" t="s">
        <v>9256</v>
      </c>
      <c r="B4034" s="92" t="s">
        <v>5377</v>
      </c>
      <c r="C4034" s="92" t="s">
        <v>9257</v>
      </c>
      <c r="D4034" s="72" t="str">
        <f>IFERROR(VLOOKUP(A4034,'[1]ST-QA-ZZ5'!$C$5:$M$299,11,0),"Inspection at production line")</f>
        <v>Inspection at production line</v>
      </c>
    </row>
    <row r="4035" spans="1:4" ht="13.8">
      <c r="A4035" s="47" t="s">
        <v>9258</v>
      </c>
      <c r="B4035" s="92" t="s">
        <v>5377</v>
      </c>
      <c r="C4035" s="92" t="s">
        <v>9259</v>
      </c>
      <c r="D4035" s="72" t="str">
        <f>IFERROR(VLOOKUP(A4035,'[1]ST-QA-ZZ5'!$C$5:$M$299,11,0),"Inspection at production line")</f>
        <v>Inspection at production line</v>
      </c>
    </row>
    <row r="4036" spans="1:4" ht="13.8">
      <c r="A4036" s="47" t="s">
        <v>9260</v>
      </c>
      <c r="B4036" s="92" t="s">
        <v>5377</v>
      </c>
      <c r="C4036" s="92" t="s">
        <v>9261</v>
      </c>
      <c r="D4036" s="72" t="str">
        <f>IFERROR(VLOOKUP(A4036,'[1]ST-QA-ZZ5'!$C$5:$M$299,11,0),"Inspection at production line")</f>
        <v>Inspection at production line</v>
      </c>
    </row>
    <row r="4037" spans="1:4" ht="13.8">
      <c r="A4037" s="47" t="s">
        <v>9262</v>
      </c>
      <c r="B4037" s="92" t="s">
        <v>5377</v>
      </c>
      <c r="C4037" s="92" t="s">
        <v>9263</v>
      </c>
      <c r="D4037" s="72" t="str">
        <f>IFERROR(VLOOKUP(A4037,'[1]ST-QA-ZZ5'!$C$5:$M$299,11,0),"Inspection at production line")</f>
        <v>Inspection at production line</v>
      </c>
    </row>
    <row r="4038" spans="1:4" ht="13.8">
      <c r="A4038" s="47" t="s">
        <v>9264</v>
      </c>
      <c r="B4038" s="92" t="s">
        <v>5377</v>
      </c>
      <c r="C4038" s="92" t="s">
        <v>9265</v>
      </c>
      <c r="D4038" s="72" t="str">
        <f>IFERROR(VLOOKUP(A4038,'[1]ST-QA-ZZ5'!$C$5:$M$299,11,0),"Inspection at production line")</f>
        <v>Inspection at production line</v>
      </c>
    </row>
    <row r="4039" spans="1:4" ht="13.8">
      <c r="A4039" s="47" t="s">
        <v>9266</v>
      </c>
      <c r="B4039" s="92" t="s">
        <v>5377</v>
      </c>
      <c r="C4039" s="92" t="s">
        <v>9267</v>
      </c>
      <c r="D4039" s="72" t="str">
        <f>IFERROR(VLOOKUP(A4039,'[1]ST-QA-ZZ5'!$C$5:$M$299,11,0),"Inspection at production line")</f>
        <v>Inspection at production line</v>
      </c>
    </row>
    <row r="4040" spans="1:4" ht="13.8">
      <c r="A4040" s="47" t="s">
        <v>9268</v>
      </c>
      <c r="B4040" s="92" t="s">
        <v>2137</v>
      </c>
      <c r="C4040" s="92" t="s">
        <v>9269</v>
      </c>
      <c r="D4040" s="72" t="str">
        <f>IFERROR(VLOOKUP(A4040,'[1]ST-QA-ZZ5'!$C$5:$M$299,11,0),"Inspection at production line")</f>
        <v>Inspection at production line</v>
      </c>
    </row>
    <row r="4041" spans="1:4" ht="13.8">
      <c r="A4041" s="47" t="s">
        <v>9270</v>
      </c>
      <c r="B4041" s="92" t="s">
        <v>3084</v>
      </c>
      <c r="C4041" s="92" t="s">
        <v>9271</v>
      </c>
      <c r="D4041" s="72" t="str">
        <f>IFERROR(VLOOKUP(A4041,'[1]ST-QA-ZZ5'!$C$5:$M$299,11,0),"Inspection at production line")</f>
        <v>Inspection at production line</v>
      </c>
    </row>
    <row r="4042" spans="1:4" ht="13.8">
      <c r="A4042" s="47" t="s">
        <v>9272</v>
      </c>
      <c r="B4042" s="92" t="s">
        <v>9273</v>
      </c>
      <c r="C4042" s="92" t="s">
        <v>9274</v>
      </c>
      <c r="D4042" s="72" t="str">
        <f>IFERROR(VLOOKUP(A4042,'[1]ST-QA-ZZ5'!$C$5:$M$299,11,0),"Inspection at production line")</f>
        <v>Inspection at production line</v>
      </c>
    </row>
    <row r="4043" spans="1:4" ht="13.8">
      <c r="A4043" s="47" t="s">
        <v>9275</v>
      </c>
      <c r="B4043" s="92" t="s">
        <v>9031</v>
      </c>
      <c r="C4043" s="92" t="s">
        <v>9276</v>
      </c>
      <c r="D4043" s="72" t="str">
        <f>IFERROR(VLOOKUP(A4043,'[1]ST-QA-ZZ5'!$C$5:$M$299,11,0),"Inspection at production line")</f>
        <v>Inspection at production line</v>
      </c>
    </row>
    <row r="4044" spans="1:4" ht="13.8">
      <c r="A4044" s="47" t="s">
        <v>9277</v>
      </c>
      <c r="B4044" s="92" t="s">
        <v>3084</v>
      </c>
      <c r="C4044" s="92" t="s">
        <v>9278</v>
      </c>
      <c r="D4044" s="72" t="str">
        <f>IFERROR(VLOOKUP(A4044,'[1]ST-QA-ZZ5'!$C$5:$M$299,11,0),"Inspection at production line")</f>
        <v>Inspection at production line</v>
      </c>
    </row>
    <row r="4045" spans="1:4" ht="13.8">
      <c r="A4045" s="47" t="s">
        <v>9279</v>
      </c>
      <c r="B4045" s="92" t="s">
        <v>9280</v>
      </c>
      <c r="C4045" s="92" t="s">
        <v>9281</v>
      </c>
      <c r="D4045" s="72" t="str">
        <f>IFERROR(VLOOKUP(A4045,'[1]ST-QA-ZZ5'!$C$5:$M$299,11,0),"Inspection at production line")</f>
        <v>Inspection at production line</v>
      </c>
    </row>
    <row r="4046" spans="1:4" ht="13.8">
      <c r="A4046" s="47" t="s">
        <v>9282</v>
      </c>
      <c r="B4046" s="92" t="s">
        <v>2137</v>
      </c>
      <c r="C4046" s="92" t="s">
        <v>9283</v>
      </c>
      <c r="D4046" s="72" t="str">
        <f>IFERROR(VLOOKUP(A4046,'[1]ST-QA-ZZ5'!$C$5:$M$299,11,0),"Inspection at production line")</f>
        <v>Inspection at production line</v>
      </c>
    </row>
    <row r="4047" spans="1:4" ht="13.8">
      <c r="A4047" s="47" t="s">
        <v>9284</v>
      </c>
      <c r="B4047" s="92" t="s">
        <v>2137</v>
      </c>
      <c r="C4047" s="92" t="s">
        <v>9285</v>
      </c>
      <c r="D4047" s="72" t="str">
        <f>IFERROR(VLOOKUP(A4047,'[1]ST-QA-ZZ5'!$C$5:$M$299,11,0),"Inspection at production line")</f>
        <v>Inspection at production line</v>
      </c>
    </row>
    <row r="4048" spans="1:4" ht="13.8">
      <c r="A4048" s="47" t="s">
        <v>9286</v>
      </c>
      <c r="B4048" s="92" t="s">
        <v>5438</v>
      </c>
      <c r="C4048" s="92" t="s">
        <v>9287</v>
      </c>
      <c r="D4048" s="72" t="str">
        <f>IFERROR(VLOOKUP(A4048,'[1]ST-QA-ZZ5'!$C$5:$M$299,11,0),"Inspection at production line")</f>
        <v>Inspection at production line</v>
      </c>
    </row>
    <row r="4049" spans="1:4" ht="13.8">
      <c r="A4049" s="47" t="s">
        <v>9288</v>
      </c>
      <c r="B4049" s="92" t="s">
        <v>5438</v>
      </c>
      <c r="C4049" s="92" t="s">
        <v>9289</v>
      </c>
      <c r="D4049" s="72" t="str">
        <f>IFERROR(VLOOKUP(A4049,'[1]ST-QA-ZZ5'!$C$5:$M$299,11,0),"Inspection at production line")</f>
        <v>Inspection at production line</v>
      </c>
    </row>
    <row r="4050" spans="1:4" ht="13.8">
      <c r="A4050" s="47" t="s">
        <v>9290</v>
      </c>
      <c r="B4050" s="92" t="s">
        <v>5438</v>
      </c>
      <c r="C4050" s="92" t="s">
        <v>9291</v>
      </c>
      <c r="D4050" s="72" t="str">
        <f>IFERROR(VLOOKUP(A4050,'[1]ST-QA-ZZ5'!$C$5:$M$299,11,0),"Inspection at production line")</f>
        <v>Inspection at production line</v>
      </c>
    </row>
    <row r="4051" spans="1:4" ht="13.8">
      <c r="A4051" s="47" t="s">
        <v>9292</v>
      </c>
      <c r="B4051" s="92" t="s">
        <v>1509</v>
      </c>
      <c r="C4051" s="92" t="s">
        <v>9293</v>
      </c>
      <c r="D4051" s="72" t="str">
        <f>IFERROR(VLOOKUP(A4051,'[1]ST-QA-ZZ5'!$C$5:$M$299,11,0),"Inspection at production line")</f>
        <v>Inspection at production line</v>
      </c>
    </row>
    <row r="4052" spans="1:4" ht="13.8">
      <c r="A4052" s="47" t="s">
        <v>9294</v>
      </c>
      <c r="B4052" s="92" t="s">
        <v>9273</v>
      </c>
      <c r="C4052" s="92" t="s">
        <v>9295</v>
      </c>
      <c r="D4052" s="72" t="str">
        <f>IFERROR(VLOOKUP(A4052,'[1]ST-QA-ZZ5'!$C$5:$M$299,11,0),"Inspection at production line")</f>
        <v>Inspection at production line</v>
      </c>
    </row>
    <row r="4053" spans="1:4" ht="13.8">
      <c r="A4053" s="47" t="s">
        <v>9296</v>
      </c>
      <c r="B4053" s="92" t="s">
        <v>2137</v>
      </c>
      <c r="C4053" s="92" t="s">
        <v>9297</v>
      </c>
      <c r="D4053" s="72" t="str">
        <f>IFERROR(VLOOKUP(A4053,'[1]ST-QA-ZZ5'!$C$5:$M$299,11,0),"Inspection at production line")</f>
        <v>Inspection at production line</v>
      </c>
    </row>
    <row r="4054" spans="1:4" ht="13.8">
      <c r="A4054" s="47" t="s">
        <v>9298</v>
      </c>
      <c r="B4054" s="92" t="s">
        <v>3084</v>
      </c>
      <c r="C4054" s="92" t="s">
        <v>9299</v>
      </c>
      <c r="D4054" s="72" t="str">
        <f>IFERROR(VLOOKUP(A4054,'[1]ST-QA-ZZ5'!$C$5:$M$299,11,0),"Inspection at production line")</f>
        <v>Inspection at production line</v>
      </c>
    </row>
    <row r="4055" spans="1:4" ht="13.8">
      <c r="A4055" s="47" t="s">
        <v>9300</v>
      </c>
      <c r="B4055" s="92" t="s">
        <v>3084</v>
      </c>
      <c r="C4055" s="92" t="s">
        <v>9301</v>
      </c>
      <c r="D4055" s="72" t="str">
        <f>IFERROR(VLOOKUP(A4055,'[1]ST-QA-ZZ5'!$C$5:$M$299,11,0),"Inspection at production line")</f>
        <v>Inspection at production line</v>
      </c>
    </row>
    <row r="4056" spans="1:4" ht="13.8">
      <c r="A4056" s="47" t="s">
        <v>9302</v>
      </c>
      <c r="B4056" s="92" t="s">
        <v>9280</v>
      </c>
      <c r="C4056" s="92" t="s">
        <v>9303</v>
      </c>
      <c r="D4056" s="72" t="str">
        <f>IFERROR(VLOOKUP(A4056,'[1]ST-QA-ZZ5'!$C$5:$M$299,11,0),"Inspection at production line")</f>
        <v>Inspection at production line</v>
      </c>
    </row>
    <row r="4057" spans="1:4" ht="13.8">
      <c r="A4057" s="47" t="s">
        <v>9304</v>
      </c>
      <c r="B4057" s="92" t="s">
        <v>1954</v>
      </c>
      <c r="C4057" s="92" t="s">
        <v>9305</v>
      </c>
      <c r="D4057" s="72" t="str">
        <f>IFERROR(VLOOKUP(A4057,'[1]ST-QA-ZZ5'!$C$5:$M$299,11,0),"Inspection at production line")</f>
        <v>Inspection at production line</v>
      </c>
    </row>
    <row r="4058" spans="1:4" ht="13.8">
      <c r="A4058" s="47" t="s">
        <v>9306</v>
      </c>
      <c r="B4058" s="92" t="s">
        <v>1954</v>
      </c>
      <c r="C4058" s="92" t="s">
        <v>9307</v>
      </c>
      <c r="D4058" s="72" t="str">
        <f>IFERROR(VLOOKUP(A4058,'[1]ST-QA-ZZ5'!$C$5:$M$299,11,0),"Inspection at production line")</f>
        <v>Inspection at production line</v>
      </c>
    </row>
    <row r="4059" spans="1:4" ht="13.8">
      <c r="A4059" s="47" t="s">
        <v>9308</v>
      </c>
      <c r="B4059" s="92" t="s">
        <v>1954</v>
      </c>
      <c r="C4059" s="92" t="s">
        <v>9309</v>
      </c>
      <c r="D4059" s="72" t="str">
        <f>IFERROR(VLOOKUP(A4059,'[1]ST-QA-ZZ5'!$C$5:$M$299,11,0),"Inspection at production line")</f>
        <v>Inspection at production line</v>
      </c>
    </row>
    <row r="4060" spans="1:4" ht="13.8">
      <c r="A4060" s="47" t="s">
        <v>9310</v>
      </c>
      <c r="B4060" s="92" t="s">
        <v>1954</v>
      </c>
      <c r="C4060" s="92" t="s">
        <v>9311</v>
      </c>
      <c r="D4060" s="72" t="str">
        <f>IFERROR(VLOOKUP(A4060,'[1]ST-QA-ZZ5'!$C$5:$M$299,11,0),"Inspection at production line")</f>
        <v>Inspection at production line</v>
      </c>
    </row>
    <row r="4061" spans="1:4" ht="13.8">
      <c r="A4061" s="47" t="s">
        <v>9312</v>
      </c>
      <c r="B4061" s="92" t="s">
        <v>1954</v>
      </c>
      <c r="C4061" s="92" t="s">
        <v>9313</v>
      </c>
      <c r="D4061" s="72" t="str">
        <f>IFERROR(VLOOKUP(A4061,'[1]ST-QA-ZZ5'!$C$5:$M$299,11,0),"Inspection at production line")</f>
        <v>Inspection at production line</v>
      </c>
    </row>
    <row r="4062" spans="1:4" ht="13.8">
      <c r="A4062" s="47" t="s">
        <v>9314</v>
      </c>
      <c r="B4062" s="92" t="s">
        <v>1954</v>
      </c>
      <c r="C4062" s="92" t="s">
        <v>9315</v>
      </c>
      <c r="D4062" s="72" t="str">
        <f>IFERROR(VLOOKUP(A4062,'[1]ST-QA-ZZ5'!$C$5:$M$299,11,0),"Inspection at production line")</f>
        <v>Inspection at production line</v>
      </c>
    </row>
    <row r="4063" spans="1:4" ht="13.8">
      <c r="A4063" s="47" t="s">
        <v>9316</v>
      </c>
      <c r="B4063" s="92" t="s">
        <v>1954</v>
      </c>
      <c r="C4063" s="92" t="s">
        <v>9317</v>
      </c>
      <c r="D4063" s="72" t="str">
        <f>IFERROR(VLOOKUP(A4063,'[1]ST-QA-ZZ5'!$C$5:$M$299,11,0),"Inspection at production line")</f>
        <v>Inspection at production line</v>
      </c>
    </row>
    <row r="4064" spans="1:4" ht="13.8">
      <c r="A4064" s="47" t="s">
        <v>9318</v>
      </c>
      <c r="B4064" s="92" t="s">
        <v>1954</v>
      </c>
      <c r="C4064" s="92" t="s">
        <v>9319</v>
      </c>
      <c r="D4064" s="72" t="str">
        <f>IFERROR(VLOOKUP(A4064,'[1]ST-QA-ZZ5'!$C$5:$M$299,11,0),"Inspection at production line")</f>
        <v>Inspection at production line</v>
      </c>
    </row>
    <row r="4065" spans="1:4" ht="13.8">
      <c r="A4065" s="47" t="s">
        <v>9320</v>
      </c>
      <c r="B4065" s="92" t="s">
        <v>174</v>
      </c>
      <c r="C4065" s="92" t="s">
        <v>9321</v>
      </c>
      <c r="D4065" s="72" t="str">
        <f>IFERROR(VLOOKUP(A4065,'[1]ST-QA-ZZ5'!$C$5:$M$299,11,0),"Inspection at production line")</f>
        <v>Inspection at production line</v>
      </c>
    </row>
    <row r="4066" spans="1:4" ht="13.8">
      <c r="A4066" s="47" t="s">
        <v>9322</v>
      </c>
      <c r="B4066" s="92" t="s">
        <v>174</v>
      </c>
      <c r="C4066" s="92" t="s">
        <v>9323</v>
      </c>
      <c r="D4066" s="72" t="str">
        <f>IFERROR(VLOOKUP(A4066,'[1]ST-QA-ZZ5'!$C$5:$M$299,11,0),"Inspection at production line")</f>
        <v>Inspection at production line</v>
      </c>
    </row>
    <row r="4067" spans="1:4" ht="13.8">
      <c r="A4067" s="47" t="s">
        <v>9324</v>
      </c>
      <c r="B4067" s="92" t="s">
        <v>174</v>
      </c>
      <c r="C4067" s="92" t="s">
        <v>9325</v>
      </c>
      <c r="D4067" s="72" t="str">
        <f>IFERROR(VLOOKUP(A4067,'[1]ST-QA-ZZ5'!$C$5:$M$299,11,0),"Inspection at production line")</f>
        <v>Inspection at production line</v>
      </c>
    </row>
    <row r="4068" spans="1:4" ht="13.8">
      <c r="A4068" s="47" t="s">
        <v>9326</v>
      </c>
      <c r="B4068" s="92" t="s">
        <v>174</v>
      </c>
      <c r="C4068" s="92" t="s">
        <v>9327</v>
      </c>
      <c r="D4068" s="72" t="str">
        <f>IFERROR(VLOOKUP(A4068,'[1]ST-QA-ZZ5'!$C$5:$M$299,11,0),"Inspection at production line")</f>
        <v>Inspection at production line</v>
      </c>
    </row>
    <row r="4069" spans="1:4" ht="13.8">
      <c r="A4069" s="47" t="s">
        <v>9328</v>
      </c>
      <c r="B4069" s="92" t="s">
        <v>9329</v>
      </c>
      <c r="C4069" s="92" t="s">
        <v>9329</v>
      </c>
      <c r="D4069" s="72" t="str">
        <f>IFERROR(VLOOKUP(A4069,'[1]ST-QA-ZZ5'!$C$5:$M$299,11,0),"Inspection at production line")</f>
        <v>Appearance check 100%</v>
      </c>
    </row>
    <row r="4070" spans="1:4" ht="13.8">
      <c r="A4070" s="47" t="s">
        <v>9330</v>
      </c>
      <c r="B4070" s="92" t="s">
        <v>9085</v>
      </c>
      <c r="C4070" s="92" t="s">
        <v>9086</v>
      </c>
      <c r="D4070" s="72" t="str">
        <f>IFERROR(VLOOKUP(A4070,'[1]ST-QA-ZZ5'!$C$5:$M$299,11,0),"Inspection at production line")</f>
        <v>Inspection at production line</v>
      </c>
    </row>
    <row r="4071" spans="1:4" ht="13.8">
      <c r="A4071" s="47" t="s">
        <v>9331</v>
      </c>
      <c r="B4071" s="92" t="s">
        <v>9332</v>
      </c>
      <c r="C4071" s="92" t="s">
        <v>9333</v>
      </c>
      <c r="D4071" s="72" t="str">
        <f>IFERROR(VLOOKUP(A4071,'[1]ST-QA-ZZ5'!$C$5:$M$299,11,0),"Inspection at production line")</f>
        <v>Inspection at production line</v>
      </c>
    </row>
    <row r="4072" spans="1:4" ht="13.8">
      <c r="A4072" s="47" t="s">
        <v>9334</v>
      </c>
      <c r="B4072" s="92" t="s">
        <v>5586</v>
      </c>
      <c r="C4072" s="92" t="s">
        <v>9335</v>
      </c>
      <c r="D4072" s="72" t="str">
        <f>IFERROR(VLOOKUP(A4072,'[1]ST-QA-ZZ5'!$C$5:$M$299,11,0),"Inspection at production line")</f>
        <v>Appearance check 100%</v>
      </c>
    </row>
    <row r="4073" spans="1:4" ht="13.8">
      <c r="A4073" s="47" t="s">
        <v>9336</v>
      </c>
      <c r="B4073" s="92" t="s">
        <v>9337</v>
      </c>
      <c r="C4073" s="92" t="s">
        <v>9337</v>
      </c>
      <c r="D4073" s="72" t="str">
        <f>IFERROR(VLOOKUP(A4073,'[1]ST-QA-ZZ5'!$C$5:$M$299,11,0),"Inspection at production line")</f>
        <v>Inspection at production line</v>
      </c>
    </row>
    <row r="4074" spans="1:4" ht="13.8">
      <c r="A4074" s="47" t="s">
        <v>9338</v>
      </c>
      <c r="B4074" s="92" t="s">
        <v>9339</v>
      </c>
      <c r="C4074" s="92" t="s">
        <v>9340</v>
      </c>
      <c r="D4074" s="72" t="str">
        <f>IFERROR(VLOOKUP(A4074,'[1]ST-QA-ZZ5'!$C$5:$M$299,11,0),"Inspection at production line")</f>
        <v>Inspection at production line</v>
      </c>
    </row>
    <row r="4075" spans="1:4" ht="13.8">
      <c r="A4075" s="47" t="s">
        <v>9341</v>
      </c>
      <c r="B4075" s="92" t="s">
        <v>9342</v>
      </c>
      <c r="C4075" s="92" t="s">
        <v>9342</v>
      </c>
      <c r="D4075" s="72" t="str">
        <f>IFERROR(VLOOKUP(A4075,'[1]ST-QA-ZZ5'!$C$5:$M$299,11,0),"Inspection at production line")</f>
        <v>Inspection at production line</v>
      </c>
    </row>
    <row r="4076" spans="1:4" ht="13.8">
      <c r="A4076" s="47" t="s">
        <v>9343</v>
      </c>
      <c r="B4076" s="92" t="s">
        <v>9344</v>
      </c>
      <c r="C4076" s="94" t="s">
        <v>9345</v>
      </c>
      <c r="D4076" s="72" t="str">
        <f>IFERROR(VLOOKUP(A4076,'[1]ST-QA-ZZ5'!$C$5:$M$299,11,0),"Inspection at production line")</f>
        <v>Inspection at production line</v>
      </c>
    </row>
    <row r="4077" spans="1:4" ht="13.8">
      <c r="A4077" s="47" t="s">
        <v>9346</v>
      </c>
      <c r="B4077" s="92" t="s">
        <v>9347</v>
      </c>
      <c r="C4077" s="92" t="s">
        <v>9347</v>
      </c>
      <c r="D4077" s="72" t="str">
        <f>IFERROR(VLOOKUP(A4077,'[1]ST-QA-ZZ5'!$C$5:$M$299,11,0),"Inspection at production line")</f>
        <v>Inspection at production line</v>
      </c>
    </row>
    <row r="4078" spans="1:4" ht="13.8">
      <c r="A4078" s="47" t="s">
        <v>9348</v>
      </c>
      <c r="B4078" s="92" t="s">
        <v>555</v>
      </c>
      <c r="C4078" s="92" t="s">
        <v>9349</v>
      </c>
      <c r="D4078" s="72" t="str">
        <f>IFERROR(VLOOKUP(A4078,'[1]ST-QA-ZZ5'!$C$5:$M$299,11,0),"Inspection at production line")</f>
        <v>Inspection at production line</v>
      </c>
    </row>
    <row r="4079" spans="1:4" ht="13.8">
      <c r="A4079" s="47" t="s">
        <v>9350</v>
      </c>
      <c r="B4079" s="92" t="s">
        <v>9351</v>
      </c>
      <c r="C4079" s="92" t="s">
        <v>9351</v>
      </c>
      <c r="D4079" s="72" t="str">
        <f>IFERROR(VLOOKUP(A4079,'[1]ST-QA-ZZ5'!$C$5:$M$299,11,0),"Inspection at production line")</f>
        <v>Inspection at production line</v>
      </c>
    </row>
    <row r="4080" spans="1:4" ht="13.8">
      <c r="A4080" s="47" t="s">
        <v>9352</v>
      </c>
      <c r="B4080" s="92" t="s">
        <v>857</v>
      </c>
      <c r="C4080" s="92" t="s">
        <v>9351</v>
      </c>
      <c r="D4080" s="72" t="str">
        <f>IFERROR(VLOOKUP(A4080,'[1]ST-QA-ZZ5'!$C$5:$M$299,11,0),"Inspection at production line")</f>
        <v>Inspection at production line</v>
      </c>
    </row>
    <row r="4081" spans="1:4" ht="13.8">
      <c r="A4081" s="47" t="s">
        <v>9353</v>
      </c>
      <c r="B4081" s="92" t="s">
        <v>4772</v>
      </c>
      <c r="C4081" s="92" t="s">
        <v>9354</v>
      </c>
      <c r="D4081" s="72" t="str">
        <f>IFERROR(VLOOKUP(A4081,'[1]ST-QA-ZZ5'!$C$5:$M$299,11,0),"Inspection at production line")</f>
        <v>Inspection at production line</v>
      </c>
    </row>
    <row r="4082" spans="1:4" ht="13.8">
      <c r="A4082" s="47" t="s">
        <v>9355</v>
      </c>
      <c r="B4082" s="92" t="s">
        <v>9356</v>
      </c>
      <c r="C4082" s="92" t="s">
        <v>9357</v>
      </c>
      <c r="D4082" s="72" t="str">
        <f>IFERROR(VLOOKUP(A4082,'[1]ST-QA-ZZ5'!$C$5:$M$299,11,0),"Inspection at production line")</f>
        <v>Inspection at production line</v>
      </c>
    </row>
    <row r="4083" spans="1:4" ht="13.8">
      <c r="A4083" s="47" t="s">
        <v>9358</v>
      </c>
      <c r="B4083" s="92" t="s">
        <v>9356</v>
      </c>
      <c r="C4083" s="92" t="s">
        <v>9359</v>
      </c>
      <c r="D4083" s="72" t="str">
        <f>IFERROR(VLOOKUP(A4083,'[1]ST-QA-ZZ5'!$C$5:$M$299,11,0),"Inspection at production line")</f>
        <v>Inspection at production line</v>
      </c>
    </row>
    <row r="4084" spans="1:4" ht="13.8">
      <c r="A4084" s="47" t="s">
        <v>9360</v>
      </c>
      <c r="B4084" s="92" t="s">
        <v>857</v>
      </c>
      <c r="C4084" s="92" t="s">
        <v>9361</v>
      </c>
      <c r="D4084" s="72" t="str">
        <f>IFERROR(VLOOKUP(A4084,'[1]ST-QA-ZZ5'!$C$5:$M$299,11,0),"Inspection at production line")</f>
        <v>Inspection at production line</v>
      </c>
    </row>
    <row r="4085" spans="1:4" ht="13.8">
      <c r="A4085" s="47" t="s">
        <v>9362</v>
      </c>
      <c r="B4085" s="92" t="s">
        <v>9356</v>
      </c>
      <c r="C4085" s="92" t="s">
        <v>9363</v>
      </c>
      <c r="D4085" s="72" t="str">
        <f>IFERROR(VLOOKUP(A4085,'[1]ST-QA-ZZ5'!$C$5:$M$299,11,0),"Inspection at production line")</f>
        <v>Inspection at production line</v>
      </c>
    </row>
    <row r="4086" spans="1:4" ht="13.8">
      <c r="A4086" s="47" t="s">
        <v>9364</v>
      </c>
      <c r="B4086" s="92" t="s">
        <v>9365</v>
      </c>
      <c r="C4086" s="92" t="s">
        <v>9366</v>
      </c>
      <c r="D4086" s="72" t="str">
        <f>IFERROR(VLOOKUP(A4086,'[1]ST-QA-ZZ5'!$C$5:$M$299,11,0),"Inspection at production line")</f>
        <v>Inspection at production line</v>
      </c>
    </row>
    <row r="4087" spans="1:4" ht="13.8">
      <c r="A4087" s="47" t="s">
        <v>9367</v>
      </c>
      <c r="B4087" s="92" t="s">
        <v>9368</v>
      </c>
      <c r="C4087" s="92" t="s">
        <v>9369</v>
      </c>
      <c r="D4087" s="72" t="str">
        <f>IFERROR(VLOOKUP(A4087,'[1]ST-QA-ZZ5'!$C$5:$M$299,11,0),"Inspection at production line")</f>
        <v>Inspection at production line</v>
      </c>
    </row>
    <row r="4088" spans="1:4" ht="13.8">
      <c r="A4088" s="47" t="s">
        <v>9370</v>
      </c>
      <c r="B4088" s="92" t="s">
        <v>3002</v>
      </c>
      <c r="C4088" s="92" t="s">
        <v>9371</v>
      </c>
      <c r="D4088" s="72" t="str">
        <f>IFERROR(VLOOKUP(A4088,'[1]ST-QA-ZZ5'!$C$5:$M$299,11,0),"Inspection at production line")</f>
        <v>Inspection at production line</v>
      </c>
    </row>
    <row r="4089" spans="1:4" ht="13.8">
      <c r="A4089" s="47" t="s">
        <v>9372</v>
      </c>
      <c r="B4089" s="92" t="s">
        <v>9373</v>
      </c>
      <c r="C4089" s="92" t="s">
        <v>9374</v>
      </c>
      <c r="D4089" s="72" t="str">
        <f>IFERROR(VLOOKUP(A4089,'[1]ST-QA-ZZ5'!$C$5:$M$299,11,0),"Inspection at production line")</f>
        <v>Inspection at production line</v>
      </c>
    </row>
    <row r="4090" spans="1:4" ht="13.8">
      <c r="A4090" s="47" t="s">
        <v>9375</v>
      </c>
      <c r="B4090" s="92" t="s">
        <v>9373</v>
      </c>
      <c r="C4090" s="92" t="s">
        <v>9376</v>
      </c>
      <c r="D4090" s="72" t="str">
        <f>IFERROR(VLOOKUP(A4090,'[1]ST-QA-ZZ5'!$C$5:$M$299,11,0),"Inspection at production line")</f>
        <v>Appearance check 100%</v>
      </c>
    </row>
    <row r="4091" spans="1:4" ht="13.8">
      <c r="A4091" s="47" t="s">
        <v>9377</v>
      </c>
      <c r="B4091" s="92" t="s">
        <v>857</v>
      </c>
      <c r="C4091" s="92" t="s">
        <v>9376</v>
      </c>
      <c r="D4091" s="72" t="str">
        <f>IFERROR(VLOOKUP(A4091,'[1]ST-QA-ZZ5'!$C$5:$M$299,11,0),"Inspection at production line")</f>
        <v>Inspection at production line</v>
      </c>
    </row>
    <row r="4092" spans="1:4" ht="13.8">
      <c r="A4092" s="47" t="s">
        <v>9378</v>
      </c>
      <c r="B4092" s="92" t="s">
        <v>174</v>
      </c>
      <c r="C4092" s="92" t="s">
        <v>9379</v>
      </c>
      <c r="D4092" s="72" t="str">
        <f>IFERROR(VLOOKUP(A4092,'[1]ST-QA-ZZ5'!$C$5:$M$299,11,0),"Inspection at production line")</f>
        <v>Inspection at production line</v>
      </c>
    </row>
    <row r="4093" spans="1:4" ht="13.8">
      <c r="A4093" s="47" t="s">
        <v>9380</v>
      </c>
      <c r="B4093" s="92" t="s">
        <v>9381</v>
      </c>
      <c r="C4093" s="92" t="s">
        <v>9381</v>
      </c>
      <c r="D4093" s="72" t="str">
        <f>IFERROR(VLOOKUP(A4093,'[1]ST-QA-ZZ5'!$C$5:$M$299,11,0),"Inspection at production line")</f>
        <v>Inspection at production line</v>
      </c>
    </row>
    <row r="4094" spans="1:4" ht="13.8">
      <c r="A4094" s="47" t="s">
        <v>9382</v>
      </c>
      <c r="B4094" s="92" t="s">
        <v>9339</v>
      </c>
      <c r="C4094" s="92" t="s">
        <v>9383</v>
      </c>
      <c r="D4094" s="72" t="str">
        <f>IFERROR(VLOOKUP(A4094,'[1]ST-QA-ZZ5'!$C$5:$M$299,11,0),"Inspection at production line")</f>
        <v>Inspection at production line</v>
      </c>
    </row>
    <row r="4095" spans="1:4" ht="13.8">
      <c r="A4095" s="47" t="s">
        <v>9384</v>
      </c>
      <c r="B4095" s="92" t="s">
        <v>9339</v>
      </c>
      <c r="C4095" s="92" t="s">
        <v>9385</v>
      </c>
      <c r="D4095" s="72" t="str">
        <f>IFERROR(VLOOKUP(A4095,'[1]ST-QA-ZZ5'!$C$5:$M$299,11,0),"Inspection at production line")</f>
        <v>Inspection at production line</v>
      </c>
    </row>
    <row r="4096" spans="1:4" ht="13.8">
      <c r="A4096" s="47" t="s">
        <v>9386</v>
      </c>
      <c r="B4096" s="92" t="s">
        <v>3002</v>
      </c>
      <c r="C4096" s="92" t="s">
        <v>9387</v>
      </c>
      <c r="D4096" s="72" t="str">
        <f>IFERROR(VLOOKUP(A4096,'[1]ST-QA-ZZ5'!$C$5:$M$299,11,0),"Inspection at production line")</f>
        <v>Inspection at production line</v>
      </c>
    </row>
    <row r="4097" spans="1:4" ht="13.8">
      <c r="A4097" s="47" t="s">
        <v>9388</v>
      </c>
      <c r="B4097" s="92" t="s">
        <v>2024</v>
      </c>
      <c r="C4097" s="92" t="s">
        <v>9389</v>
      </c>
      <c r="D4097" s="72" t="str">
        <f>IFERROR(VLOOKUP(A4097,'[1]ST-QA-ZZ5'!$C$5:$M$299,11,0),"Inspection at production line")</f>
        <v>Inspection at production line</v>
      </c>
    </row>
    <row r="4098" spans="1:4" ht="13.8">
      <c r="A4098" s="47" t="s">
        <v>9390</v>
      </c>
      <c r="B4098" s="92" t="s">
        <v>9339</v>
      </c>
      <c r="C4098" s="92" t="s">
        <v>9391</v>
      </c>
      <c r="D4098" s="72" t="str">
        <f>IFERROR(VLOOKUP(A4098,'[1]ST-QA-ZZ5'!$C$5:$M$299,11,0),"Inspection at production line")</f>
        <v>Inspection at production line</v>
      </c>
    </row>
    <row r="4099" spans="1:4" ht="13.8">
      <c r="A4099" s="47" t="s">
        <v>9392</v>
      </c>
      <c r="B4099" s="92" t="s">
        <v>9393</v>
      </c>
      <c r="C4099" s="92" t="s">
        <v>9393</v>
      </c>
      <c r="D4099" s="72" t="str">
        <f>IFERROR(VLOOKUP(A4099,'[1]ST-QA-ZZ5'!$C$5:$M$299,11,0),"Inspection at production line")</f>
        <v>Inspection at production line</v>
      </c>
    </row>
    <row r="4100" spans="1:4" ht="13.8">
      <c r="A4100" s="47" t="s">
        <v>9394</v>
      </c>
      <c r="B4100" s="92" t="s">
        <v>2024</v>
      </c>
      <c r="C4100" s="92" t="s">
        <v>9395</v>
      </c>
      <c r="D4100" s="72" t="str">
        <f>IFERROR(VLOOKUP(A4100,'[1]ST-QA-ZZ5'!$C$5:$M$299,11,0),"Inspection at production line")</f>
        <v>Inspection at production line</v>
      </c>
    </row>
    <row r="4101" spans="1:4" ht="13.8">
      <c r="A4101" s="47" t="s">
        <v>9396</v>
      </c>
      <c r="B4101" s="92" t="s">
        <v>2024</v>
      </c>
      <c r="C4101" s="92" t="s">
        <v>9397</v>
      </c>
      <c r="D4101" s="72" t="str">
        <f>IFERROR(VLOOKUP(A4101,'[1]ST-QA-ZZ5'!$C$5:$M$299,11,0),"Inspection at production line")</f>
        <v>Inspection at production line</v>
      </c>
    </row>
    <row r="4102" spans="1:4" ht="13.8">
      <c r="A4102" s="47" t="s">
        <v>9398</v>
      </c>
      <c r="B4102" s="92" t="s">
        <v>4769</v>
      </c>
      <c r="C4102" s="92" t="s">
        <v>9399</v>
      </c>
      <c r="D4102" s="72" t="str">
        <f>IFERROR(VLOOKUP(A4102,'[1]ST-QA-ZZ5'!$C$5:$M$299,11,0),"Inspection at production line")</f>
        <v>Inspection at production line</v>
      </c>
    </row>
    <row r="4103" spans="1:4" ht="13.8">
      <c r="A4103" s="47" t="s">
        <v>9400</v>
      </c>
      <c r="B4103" s="92" t="s">
        <v>3002</v>
      </c>
      <c r="C4103" s="92" t="s">
        <v>9401</v>
      </c>
      <c r="D4103" s="72" t="str">
        <f>IFERROR(VLOOKUP(A4103,'[1]ST-QA-ZZ5'!$C$5:$M$299,11,0),"Inspection at production line")</f>
        <v>Inspection at production line</v>
      </c>
    </row>
    <row r="4104" spans="1:4" ht="13.8">
      <c r="A4104" s="47" t="s">
        <v>9402</v>
      </c>
      <c r="B4104" s="92" t="s">
        <v>9403</v>
      </c>
      <c r="C4104" s="92" t="s">
        <v>9403</v>
      </c>
      <c r="D4104" s="72" t="str">
        <f>IFERROR(VLOOKUP(A4104,'[1]ST-QA-ZZ5'!$C$5:$M$299,11,0),"Inspection at production line")</f>
        <v>Inspection at production line</v>
      </c>
    </row>
    <row r="4105" spans="1:4" ht="13.8">
      <c r="A4105" s="47" t="s">
        <v>9404</v>
      </c>
      <c r="B4105" s="92" t="s">
        <v>9405</v>
      </c>
      <c r="C4105" s="92" t="s">
        <v>9405</v>
      </c>
      <c r="D4105" s="72" t="str">
        <f>IFERROR(VLOOKUP(A4105,'[1]ST-QA-ZZ5'!$C$5:$M$299,11,0),"Inspection at production line")</f>
        <v>Inspection at production line</v>
      </c>
    </row>
    <row r="4106" spans="1:4" ht="13.8">
      <c r="A4106" s="47" t="s">
        <v>9406</v>
      </c>
      <c r="B4106" s="92" t="s">
        <v>9407</v>
      </c>
      <c r="C4106" s="92" t="s">
        <v>9407</v>
      </c>
      <c r="D4106" s="72" t="str">
        <f>IFERROR(VLOOKUP(A4106,'[1]ST-QA-ZZ5'!$C$5:$M$299,11,0),"Inspection at production line")</f>
        <v>Inspection at production line</v>
      </c>
    </row>
    <row r="4107" spans="1:4" ht="13.8">
      <c r="A4107" s="47" t="s">
        <v>5440</v>
      </c>
      <c r="B4107" s="92" t="s">
        <v>2652</v>
      </c>
      <c r="C4107" s="92" t="s">
        <v>5441</v>
      </c>
      <c r="D4107" s="72" t="str">
        <f>IFERROR(VLOOKUP(A4107,'[1]ST-QA-ZZ5'!$C$5:$M$299,11,0),"Inspection at production line")</f>
        <v>Inspection at production line</v>
      </c>
    </row>
    <row r="4108" spans="1:4" ht="13.8">
      <c r="A4108" s="47" t="s">
        <v>5346</v>
      </c>
      <c r="B4108" s="92" t="s">
        <v>2137</v>
      </c>
      <c r="C4108" s="92" t="s">
        <v>5347</v>
      </c>
      <c r="D4108" s="72" t="str">
        <f>IFERROR(VLOOKUP(A4108,'[1]ST-QA-ZZ5'!$C$5:$M$299,11,0),"Inspection at production line")</f>
        <v>Inspection at production line</v>
      </c>
    </row>
    <row r="4109" spans="1:4" ht="13.8">
      <c r="A4109" s="47" t="s">
        <v>9408</v>
      </c>
      <c r="B4109" s="92" t="s">
        <v>2137</v>
      </c>
      <c r="C4109" s="92" t="s">
        <v>9409</v>
      </c>
      <c r="D4109" s="72" t="str">
        <f>IFERROR(VLOOKUP(A4109,'[1]ST-QA-ZZ5'!$C$5:$M$299,11,0),"Inspection at production line")</f>
        <v>Inspection at production line</v>
      </c>
    </row>
    <row r="4110" spans="1:4" ht="13.8">
      <c r="A4110" s="47" t="s">
        <v>9410</v>
      </c>
      <c r="B4110" s="92" t="s">
        <v>5438</v>
      </c>
      <c r="C4110" s="92" t="s">
        <v>9411</v>
      </c>
      <c r="D4110" s="72" t="str">
        <f>IFERROR(VLOOKUP(A4110,'[1]ST-QA-ZZ5'!$C$5:$M$299,11,0),"Inspection at production line")</f>
        <v>Inspection at production line</v>
      </c>
    </row>
    <row r="4111" spans="1:4" ht="13.8">
      <c r="A4111" s="47" t="s">
        <v>9412</v>
      </c>
      <c r="B4111" s="92" t="s">
        <v>9413</v>
      </c>
      <c r="C4111" s="92" t="s">
        <v>9414</v>
      </c>
      <c r="D4111" s="72" t="str">
        <f>IFERROR(VLOOKUP(A4111,'[1]ST-QA-ZZ5'!$C$5:$M$299,11,0),"Inspection at production line")</f>
        <v>Inspection at production line</v>
      </c>
    </row>
    <row r="4112" spans="1:4" ht="13.8">
      <c r="A4112" s="47" t="s">
        <v>9415</v>
      </c>
      <c r="B4112" s="92" t="s">
        <v>9413</v>
      </c>
      <c r="C4112" s="92" t="s">
        <v>9416</v>
      </c>
      <c r="D4112" s="72" t="str">
        <f>IFERROR(VLOOKUP(A4112,'[1]ST-QA-ZZ5'!$C$5:$M$299,11,0),"Inspection at production line")</f>
        <v>Inspection at production line</v>
      </c>
    </row>
    <row r="4113" spans="1:4" ht="13.8">
      <c r="A4113" s="47" t="s">
        <v>9417</v>
      </c>
      <c r="B4113" s="92" t="s">
        <v>5281</v>
      </c>
      <c r="C4113" s="92" t="s">
        <v>9418</v>
      </c>
      <c r="D4113" s="72" t="str">
        <f>IFERROR(VLOOKUP(A4113,'[1]ST-QA-ZZ5'!$C$5:$M$299,11,0),"Inspection at production line")</f>
        <v>Inspection at production line</v>
      </c>
    </row>
    <row r="4114" spans="1:4" ht="13.8">
      <c r="A4114" s="47" t="s">
        <v>5301</v>
      </c>
      <c r="B4114" s="92" t="s">
        <v>5099</v>
      </c>
      <c r="C4114" s="92" t="s">
        <v>5100</v>
      </c>
      <c r="D4114" s="72" t="str">
        <f>IFERROR(VLOOKUP(A4114,'[1]ST-QA-ZZ5'!$C$5:$M$299,11,0),"Inspection at production line")</f>
        <v>Inspection at production line</v>
      </c>
    </row>
    <row r="4115" spans="1:4" ht="13.8">
      <c r="A4115" s="47" t="s">
        <v>9419</v>
      </c>
      <c r="B4115" s="92" t="s">
        <v>1212</v>
      </c>
      <c r="C4115" s="92" t="s">
        <v>1971</v>
      </c>
      <c r="D4115" s="72" t="str">
        <f>IFERROR(VLOOKUP(A4115,'[1]ST-QA-ZZ5'!$C$5:$M$299,11,0),"Inspection at production line")</f>
        <v>Inspection at production line</v>
      </c>
    </row>
    <row r="4116" spans="1:4" ht="13.8">
      <c r="A4116" s="47" t="s">
        <v>9420</v>
      </c>
      <c r="B4116" s="92" t="s">
        <v>3181</v>
      </c>
      <c r="C4116" s="92" t="s">
        <v>3181</v>
      </c>
      <c r="D4116" s="72" t="str">
        <f>IFERROR(VLOOKUP(A4116,'[1]ST-QA-ZZ5'!$C$5:$M$299,11,0),"Inspection at production line")</f>
        <v>Inspection at production line</v>
      </c>
    </row>
    <row r="4117" spans="1:4" ht="13.8">
      <c r="A4117" s="47" t="s">
        <v>9421</v>
      </c>
      <c r="B4117" s="92" t="s">
        <v>2652</v>
      </c>
      <c r="C4117" s="92" t="s">
        <v>9422</v>
      </c>
      <c r="D4117" s="72" t="str">
        <f>IFERROR(VLOOKUP(A4117,'[1]ST-QA-ZZ5'!$C$5:$M$299,11,0),"Inspection at production line")</f>
        <v>Inspection at production line</v>
      </c>
    </row>
    <row r="4118" spans="1:4" ht="13.8">
      <c r="A4118" s="47" t="s">
        <v>9423</v>
      </c>
      <c r="B4118" s="92" t="s">
        <v>4996</v>
      </c>
      <c r="C4118" s="92" t="s">
        <v>9424</v>
      </c>
      <c r="D4118" s="72" t="str">
        <f>IFERROR(VLOOKUP(A4118,'[1]ST-QA-ZZ5'!$C$5:$M$299,11,0),"Inspection at production line")</f>
        <v>Inspection at production line</v>
      </c>
    </row>
    <row r="4119" spans="1:4" ht="13.8">
      <c r="A4119" s="47" t="s">
        <v>9425</v>
      </c>
      <c r="B4119" s="92" t="s">
        <v>9426</v>
      </c>
      <c r="C4119" s="92" t="s">
        <v>9427</v>
      </c>
      <c r="D4119" s="72" t="str">
        <f>IFERROR(VLOOKUP(A4119,'[1]ST-QA-ZZ5'!$C$5:$M$299,11,0),"Inspection at production line")</f>
        <v>Inspection at production line</v>
      </c>
    </row>
    <row r="4120" spans="1:4" ht="13.8">
      <c r="A4120" s="47" t="s">
        <v>9428</v>
      </c>
      <c r="B4120" s="92" t="s">
        <v>4996</v>
      </c>
      <c r="C4120" s="92" t="s">
        <v>9429</v>
      </c>
      <c r="D4120" s="72" t="str">
        <f>IFERROR(VLOOKUP(A4120,'[1]ST-QA-ZZ5'!$C$5:$M$299,11,0),"Inspection at production line")</f>
        <v>Inspection at production line</v>
      </c>
    </row>
    <row r="4121" spans="1:4" ht="13.8">
      <c r="A4121" s="47" t="s">
        <v>9430</v>
      </c>
      <c r="B4121" s="92" t="s">
        <v>2137</v>
      </c>
      <c r="C4121" s="92" t="s">
        <v>9431</v>
      </c>
      <c r="D4121" s="72" t="str">
        <f>IFERROR(VLOOKUP(A4121,'[1]ST-QA-ZZ5'!$C$5:$M$299,11,0),"Inspection at production line")</f>
        <v>Inspection at production line</v>
      </c>
    </row>
    <row r="4122" spans="1:4" ht="13.8">
      <c r="A4122" s="47" t="s">
        <v>9432</v>
      </c>
      <c r="B4122" s="92" t="s">
        <v>2137</v>
      </c>
      <c r="C4122" s="92" t="s">
        <v>9433</v>
      </c>
      <c r="D4122" s="72" t="str">
        <f>IFERROR(VLOOKUP(A4122,'[1]ST-QA-ZZ5'!$C$5:$M$299,11,0),"Inspection at production line")</f>
        <v>Inspection at production line</v>
      </c>
    </row>
    <row r="4123" spans="1:4" ht="13.8">
      <c r="A4123" s="47" t="s">
        <v>9434</v>
      </c>
      <c r="B4123" s="92" t="s">
        <v>5438</v>
      </c>
      <c r="C4123" s="92" t="s">
        <v>9435</v>
      </c>
      <c r="D4123" s="72" t="str">
        <f>IFERROR(VLOOKUP(A4123,'[1]ST-QA-ZZ5'!$C$5:$M$299,11,0),"Inspection at production line")</f>
        <v>Inspection at production line</v>
      </c>
    </row>
    <row r="4124" spans="1:4" ht="13.8">
      <c r="A4124" s="47" t="s">
        <v>9436</v>
      </c>
      <c r="B4124" s="92" t="s">
        <v>5438</v>
      </c>
      <c r="C4124" s="92" t="s">
        <v>9437</v>
      </c>
      <c r="D4124" s="72" t="str">
        <f>IFERROR(VLOOKUP(A4124,'[1]ST-QA-ZZ5'!$C$5:$M$299,11,0),"Inspection at production line")</f>
        <v>Inspection at production line</v>
      </c>
    </row>
    <row r="4125" spans="1:4" ht="13.8">
      <c r="A4125" s="47" t="s">
        <v>9438</v>
      </c>
      <c r="B4125" s="92" t="s">
        <v>5438</v>
      </c>
      <c r="C4125" s="92" t="s">
        <v>9439</v>
      </c>
      <c r="D4125" s="72" t="str">
        <f>IFERROR(VLOOKUP(A4125,'[1]ST-QA-ZZ5'!$C$5:$M$299,11,0),"Inspection at production line")</f>
        <v>Inspection at production line</v>
      </c>
    </row>
    <row r="4126" spans="1:4" ht="13.8">
      <c r="A4126" s="47" t="s">
        <v>9440</v>
      </c>
      <c r="B4126" s="92" t="s">
        <v>5438</v>
      </c>
      <c r="C4126" s="92" t="s">
        <v>9441</v>
      </c>
      <c r="D4126" s="72" t="str">
        <f>IFERROR(VLOOKUP(A4126,'[1]ST-QA-ZZ5'!$C$5:$M$299,11,0),"Inspection at production line")</f>
        <v>Inspection at production line</v>
      </c>
    </row>
    <row r="4127" spans="1:4" ht="13.8">
      <c r="A4127" s="47" t="s">
        <v>9442</v>
      </c>
      <c r="B4127" s="92" t="s">
        <v>3079</v>
      </c>
      <c r="C4127" s="92" t="s">
        <v>9443</v>
      </c>
      <c r="D4127" s="72" t="str">
        <f>IFERROR(VLOOKUP(A4127,'[1]ST-QA-ZZ5'!$C$5:$M$299,11,0),"Inspection at production line")</f>
        <v>Inspection at production line</v>
      </c>
    </row>
    <row r="4128" spans="1:4" ht="13.8">
      <c r="A4128" s="47" t="s">
        <v>9444</v>
      </c>
      <c r="B4128" s="92" t="s">
        <v>3079</v>
      </c>
      <c r="C4128" s="92" t="s">
        <v>9445</v>
      </c>
      <c r="D4128" s="72" t="str">
        <f>IFERROR(VLOOKUP(A4128,'[1]ST-QA-ZZ5'!$C$5:$M$299,11,0),"Inspection at production line")</f>
        <v>Inspection at production line</v>
      </c>
    </row>
    <row r="4129" spans="1:4" ht="13.8">
      <c r="A4129" s="47" t="s">
        <v>9446</v>
      </c>
      <c r="B4129" s="92" t="s">
        <v>2137</v>
      </c>
      <c r="C4129" s="92" t="s">
        <v>9447</v>
      </c>
      <c r="D4129" s="72" t="str">
        <f>IFERROR(VLOOKUP(A4129,'[1]ST-QA-ZZ5'!$C$5:$M$299,11,0),"Inspection at production line")</f>
        <v>Inspection at production line</v>
      </c>
    </row>
    <row r="4130" spans="1:4" ht="13.8">
      <c r="A4130" s="47" t="s">
        <v>5424</v>
      </c>
      <c r="B4130" s="92" t="s">
        <v>4996</v>
      </c>
      <c r="C4130" s="92" t="s">
        <v>5425</v>
      </c>
      <c r="D4130" s="72" t="str">
        <f>IFERROR(VLOOKUP(A4130,'[1]ST-QA-ZZ5'!$C$5:$M$299,11,0),"Inspection at production line")</f>
        <v>Inspection at production line</v>
      </c>
    </row>
    <row r="4131" spans="1:4" ht="13.8">
      <c r="A4131" s="47" t="s">
        <v>9448</v>
      </c>
      <c r="B4131" s="92" t="s">
        <v>2137</v>
      </c>
      <c r="C4131" s="92" t="s">
        <v>9449</v>
      </c>
      <c r="D4131" s="72" t="str">
        <f>IFERROR(VLOOKUP(A4131,'[1]ST-QA-ZZ5'!$C$5:$M$299,11,0),"Inspection at production line")</f>
        <v>Inspection at production line</v>
      </c>
    </row>
    <row r="4132" spans="1:4" ht="13.8">
      <c r="A4132" s="47" t="s">
        <v>9450</v>
      </c>
      <c r="B4132" s="92" t="s">
        <v>404</v>
      </c>
      <c r="C4132" s="92" t="s">
        <v>9451</v>
      </c>
      <c r="D4132" s="72" t="str">
        <f>IFERROR(VLOOKUP(A4132,'[1]ST-QA-ZZ5'!$C$5:$M$299,11,0),"Inspection at production line")</f>
        <v>Inspection at production line</v>
      </c>
    </row>
    <row r="4133" spans="1:4" ht="13.8">
      <c r="A4133" s="47" t="s">
        <v>5420</v>
      </c>
      <c r="B4133" s="92" t="s">
        <v>1880</v>
      </c>
      <c r="C4133" s="92" t="s">
        <v>5421</v>
      </c>
      <c r="D4133" s="72" t="str">
        <f>IFERROR(VLOOKUP(A4133,'[1]ST-QA-ZZ5'!$C$5:$M$299,11,0),"Inspection at production line")</f>
        <v>Inspection at production line</v>
      </c>
    </row>
    <row r="4134" spans="1:4" ht="13.8">
      <c r="A4134" s="47" t="s">
        <v>9452</v>
      </c>
      <c r="B4134" s="92" t="s">
        <v>2137</v>
      </c>
      <c r="C4134" s="92" t="s">
        <v>9453</v>
      </c>
      <c r="D4134" s="72" t="str">
        <f>IFERROR(VLOOKUP(A4134,'[1]ST-QA-ZZ5'!$C$5:$M$299,11,0),"Inspection at production line")</f>
        <v>Inspection at production line</v>
      </c>
    </row>
    <row r="4135" spans="1:4" ht="13.8">
      <c r="A4135" s="47" t="s">
        <v>9454</v>
      </c>
      <c r="B4135" s="92" t="s">
        <v>119</v>
      </c>
      <c r="C4135" s="92" t="s">
        <v>9455</v>
      </c>
      <c r="D4135" s="72" t="str">
        <f>IFERROR(VLOOKUP(A4135,'[1]ST-QA-ZZ5'!$C$5:$M$299,11,0),"Inspection at production line")</f>
        <v>Inspection at production line</v>
      </c>
    </row>
    <row r="4136" spans="1:4" ht="13.8">
      <c r="A4136" s="47" t="s">
        <v>9456</v>
      </c>
      <c r="B4136" s="92" t="s">
        <v>5299</v>
      </c>
      <c r="C4136" s="92" t="s">
        <v>9457</v>
      </c>
      <c r="D4136" s="72" t="str">
        <f>IFERROR(VLOOKUP(A4136,'[1]ST-QA-ZZ5'!$C$5:$M$299,11,0),"Inspection at production line")</f>
        <v>Inspection at production line</v>
      </c>
    </row>
    <row r="4137" spans="1:4" ht="13.8">
      <c r="A4137" s="47" t="s">
        <v>9458</v>
      </c>
      <c r="B4137" s="92" t="s">
        <v>9459</v>
      </c>
      <c r="C4137" s="92" t="s">
        <v>9460</v>
      </c>
      <c r="D4137" s="72" t="str">
        <f>IFERROR(VLOOKUP(A4137,'[1]ST-QA-ZZ5'!$C$5:$M$299,11,0),"Inspection at production line")</f>
        <v>Inspection at production line</v>
      </c>
    </row>
    <row r="4138" spans="1:4" ht="13.8">
      <c r="A4138" s="47" t="s">
        <v>9461</v>
      </c>
      <c r="B4138" s="92" t="s">
        <v>9459</v>
      </c>
      <c r="C4138" s="92" t="s">
        <v>9462</v>
      </c>
      <c r="D4138" s="72" t="str">
        <f>IFERROR(VLOOKUP(A4138,'[1]ST-QA-ZZ5'!$C$5:$M$299,11,0),"Inspection at production line")</f>
        <v>Inspection at production line</v>
      </c>
    </row>
    <row r="4139" spans="1:4" ht="13.8">
      <c r="A4139" s="47" t="s">
        <v>9463</v>
      </c>
      <c r="B4139" s="92" t="s">
        <v>6870</v>
      </c>
      <c r="C4139" s="92" t="s">
        <v>9207</v>
      </c>
      <c r="D4139" s="72" t="str">
        <f>IFERROR(VLOOKUP(A4139,'[1]ST-QA-ZZ5'!$C$5:$M$299,11,0),"Inspection at production line")</f>
        <v>Inspection at production line</v>
      </c>
    </row>
    <row r="4140" spans="1:4" ht="13.8">
      <c r="A4140" s="47" t="s">
        <v>9464</v>
      </c>
      <c r="B4140" s="92" t="s">
        <v>75</v>
      </c>
      <c r="C4140" s="92" t="s">
        <v>9465</v>
      </c>
      <c r="D4140" s="72" t="str">
        <f>IFERROR(VLOOKUP(A4140,'[1]ST-QA-ZZ5'!$C$5:$M$299,11,0),"Inspection at production line")</f>
        <v>Inspection at production line</v>
      </c>
    </row>
    <row r="4141" spans="1:4" ht="13.8">
      <c r="A4141" s="47" t="s">
        <v>9466</v>
      </c>
      <c r="B4141" s="92" t="s">
        <v>5092</v>
      </c>
      <c r="C4141" s="92" t="s">
        <v>9467</v>
      </c>
      <c r="D4141" s="72" t="str">
        <f>IFERROR(VLOOKUP(A4141,'[1]ST-QA-ZZ5'!$C$5:$M$299,11,0),"Inspection at production line")</f>
        <v>Inspection at production line</v>
      </c>
    </row>
    <row r="4142" spans="1:4" ht="13.8">
      <c r="A4142" s="47" t="s">
        <v>9468</v>
      </c>
      <c r="B4142" s="92" t="s">
        <v>5435</v>
      </c>
      <c r="C4142" s="92" t="s">
        <v>9469</v>
      </c>
      <c r="D4142" s="72" t="str">
        <f>IFERROR(VLOOKUP(A4142,'[1]ST-QA-ZZ5'!$C$5:$M$299,11,0),"Inspection at production line")</f>
        <v>Inspection at production line</v>
      </c>
    </row>
    <row r="4143" spans="1:4" ht="13.8">
      <c r="A4143" s="47" t="s">
        <v>9470</v>
      </c>
      <c r="B4143" s="92" t="s">
        <v>5435</v>
      </c>
      <c r="C4143" s="92" t="s">
        <v>9471</v>
      </c>
      <c r="D4143" s="72" t="str">
        <f>IFERROR(VLOOKUP(A4143,'[1]ST-QA-ZZ5'!$C$5:$M$299,11,0),"Inspection at production line")</f>
        <v>Inspection at production line</v>
      </c>
    </row>
    <row r="4144" spans="1:4" ht="13.8">
      <c r="A4144" s="47" t="s">
        <v>9472</v>
      </c>
      <c r="B4144" s="92" t="s">
        <v>5092</v>
      </c>
      <c r="C4144" s="92" t="s">
        <v>9473</v>
      </c>
      <c r="D4144" s="72" t="str">
        <f>IFERROR(VLOOKUP(A4144,'[1]ST-QA-ZZ5'!$C$5:$M$299,11,0),"Inspection at production line")</f>
        <v>Inspection at production line</v>
      </c>
    </row>
    <row r="4145" spans="1:4" ht="13.8">
      <c r="A4145" s="47" t="s">
        <v>9474</v>
      </c>
      <c r="B4145" s="92" t="s">
        <v>1986</v>
      </c>
      <c r="C4145" s="92" t="s">
        <v>9475</v>
      </c>
      <c r="D4145" s="72" t="str">
        <f>IFERROR(VLOOKUP(A4145,'[1]ST-QA-ZZ5'!$C$5:$M$299,11,0),"Inspection at production line")</f>
        <v>Inspection at production line</v>
      </c>
    </row>
    <row r="4146" spans="1:4" ht="13.8">
      <c r="A4146" s="47" t="s">
        <v>9476</v>
      </c>
      <c r="B4146" s="92" t="s">
        <v>75</v>
      </c>
      <c r="C4146" s="92" t="s">
        <v>9477</v>
      </c>
      <c r="D4146" s="72" t="str">
        <f>IFERROR(VLOOKUP(A4146,'[1]ST-QA-ZZ5'!$C$5:$M$299,11,0),"Inspection at production line")</f>
        <v>Inspection at production line</v>
      </c>
    </row>
    <row r="4147" spans="1:4" ht="13.8">
      <c r="A4147" s="47" t="s">
        <v>9478</v>
      </c>
      <c r="B4147" s="92" t="s">
        <v>174</v>
      </c>
      <c r="C4147" s="92" t="s">
        <v>9479</v>
      </c>
      <c r="D4147" s="72" t="str">
        <f>IFERROR(VLOOKUP(A4147,'[1]ST-QA-ZZ5'!$C$5:$M$299,11,0),"Inspection at production line")</f>
        <v>Inspection at production line</v>
      </c>
    </row>
    <row r="4148" spans="1:4" ht="13.8">
      <c r="A4148" s="47" t="s">
        <v>9480</v>
      </c>
      <c r="B4148" s="92" t="s">
        <v>174</v>
      </c>
      <c r="C4148" s="92" t="s">
        <v>9481</v>
      </c>
      <c r="D4148" s="72" t="str">
        <f>IFERROR(VLOOKUP(A4148,'[1]ST-QA-ZZ5'!$C$5:$M$299,11,0),"Inspection at production line")</f>
        <v>Inspection at production line</v>
      </c>
    </row>
    <row r="4149" spans="1:4" ht="13.8">
      <c r="A4149" s="47" t="s">
        <v>9482</v>
      </c>
      <c r="B4149" s="92" t="s">
        <v>1954</v>
      </c>
      <c r="C4149" s="92" t="s">
        <v>9483</v>
      </c>
      <c r="D4149" s="72" t="str">
        <f>IFERROR(VLOOKUP(A4149,'[1]ST-QA-ZZ5'!$C$5:$M$299,11,0),"Inspection at production line")</f>
        <v>Inspection at production line</v>
      </c>
    </row>
    <row r="4150" spans="1:4" ht="13.8">
      <c r="A4150" s="47" t="s">
        <v>9484</v>
      </c>
      <c r="B4150" s="92" t="s">
        <v>1954</v>
      </c>
      <c r="C4150" s="92" t="s">
        <v>9485</v>
      </c>
      <c r="D4150" s="72" t="str">
        <f>IFERROR(VLOOKUP(A4150,'[1]ST-QA-ZZ5'!$C$5:$M$299,11,0),"Inspection at production line")</f>
        <v>Inspection at production line</v>
      </c>
    </row>
    <row r="4151" spans="1:4" ht="13.8">
      <c r="A4151" s="47" t="s">
        <v>9486</v>
      </c>
      <c r="B4151" s="92" t="s">
        <v>1954</v>
      </c>
      <c r="C4151" s="92" t="s">
        <v>9487</v>
      </c>
      <c r="D4151" s="72" t="str">
        <f>IFERROR(VLOOKUP(A4151,'[1]ST-QA-ZZ5'!$C$5:$M$299,11,0),"Inspection at production line")</f>
        <v>Inspection at production line</v>
      </c>
    </row>
    <row r="4152" spans="1:4" ht="13.8">
      <c r="A4152" s="47" t="s">
        <v>9488</v>
      </c>
      <c r="B4152" s="92" t="s">
        <v>1954</v>
      </c>
      <c r="C4152" s="92" t="s">
        <v>9489</v>
      </c>
      <c r="D4152" s="72" t="str">
        <f>IFERROR(VLOOKUP(A4152,'[1]ST-QA-ZZ5'!$C$5:$M$299,11,0),"Inspection at production line")</f>
        <v>Inspection at production line</v>
      </c>
    </row>
    <row r="4153" spans="1:4" ht="13.8">
      <c r="A4153" s="47" t="s">
        <v>9490</v>
      </c>
      <c r="B4153" s="92" t="s">
        <v>1954</v>
      </c>
      <c r="C4153" s="92" t="s">
        <v>9491</v>
      </c>
      <c r="D4153" s="72" t="str">
        <f>IFERROR(VLOOKUP(A4153,'[1]ST-QA-ZZ5'!$C$5:$M$299,11,0),"Inspection at production line")</f>
        <v>Inspection at production line</v>
      </c>
    </row>
    <row r="4154" spans="1:4" ht="13.8">
      <c r="A4154" s="47" t="s">
        <v>9492</v>
      </c>
      <c r="B4154" s="92" t="s">
        <v>1954</v>
      </c>
      <c r="C4154" s="92" t="s">
        <v>9493</v>
      </c>
      <c r="D4154" s="72" t="str">
        <f>IFERROR(VLOOKUP(A4154,'[1]ST-QA-ZZ5'!$C$5:$M$299,11,0),"Inspection at production line")</f>
        <v>Inspection at production line</v>
      </c>
    </row>
    <row r="4155" spans="1:4" ht="13.8">
      <c r="A4155" s="47" t="s">
        <v>9494</v>
      </c>
      <c r="B4155" s="92" t="s">
        <v>1954</v>
      </c>
      <c r="C4155" s="92" t="s">
        <v>9495</v>
      </c>
      <c r="D4155" s="72" t="str">
        <f>IFERROR(VLOOKUP(A4155,'[1]ST-QA-ZZ5'!$C$5:$M$299,11,0),"Inspection at production line")</f>
        <v>Inspection at production line</v>
      </c>
    </row>
    <row r="4156" spans="1:4" ht="13.8">
      <c r="A4156" s="47" t="s">
        <v>9496</v>
      </c>
      <c r="B4156" s="92" t="s">
        <v>1954</v>
      </c>
      <c r="C4156" s="92" t="s">
        <v>9497</v>
      </c>
      <c r="D4156" s="72" t="str">
        <f>IFERROR(VLOOKUP(A4156,'[1]ST-QA-ZZ5'!$C$5:$M$299,11,0),"Inspection at production line")</f>
        <v>Inspection at production line</v>
      </c>
    </row>
    <row r="4157" spans="1:4" ht="13.8">
      <c r="A4157" s="47" t="s">
        <v>9498</v>
      </c>
      <c r="B4157" s="92" t="s">
        <v>1954</v>
      </c>
      <c r="C4157" s="92" t="s">
        <v>9499</v>
      </c>
      <c r="D4157" s="72" t="str">
        <f>IFERROR(VLOOKUP(A4157,'[1]ST-QA-ZZ5'!$C$5:$M$299,11,0),"Inspection at production line")</f>
        <v>Inspection at production line</v>
      </c>
    </row>
    <row r="4158" spans="1:4" ht="13.8">
      <c r="A4158" s="47" t="s">
        <v>9500</v>
      </c>
      <c r="B4158" s="92" t="s">
        <v>1954</v>
      </c>
      <c r="C4158" s="92" t="s">
        <v>9501</v>
      </c>
      <c r="D4158" s="72" t="str">
        <f>IFERROR(VLOOKUP(A4158,'[1]ST-QA-ZZ5'!$C$5:$M$299,11,0),"Inspection at production line")</f>
        <v>Inspection at production line</v>
      </c>
    </row>
    <row r="4159" spans="1:4" ht="13.8">
      <c r="A4159" s="47" t="s">
        <v>9502</v>
      </c>
      <c r="B4159" s="92" t="s">
        <v>1954</v>
      </c>
      <c r="C4159" s="92" t="s">
        <v>9503</v>
      </c>
      <c r="D4159" s="72" t="str">
        <f>IFERROR(VLOOKUP(A4159,'[1]ST-QA-ZZ5'!$C$5:$M$299,11,0),"Inspection at production line")</f>
        <v>Inspection at production line</v>
      </c>
    </row>
    <row r="4160" spans="1:4" ht="13.8">
      <c r="A4160" s="47" t="s">
        <v>9504</v>
      </c>
      <c r="B4160" s="92" t="s">
        <v>1954</v>
      </c>
      <c r="C4160" s="92" t="s">
        <v>9505</v>
      </c>
      <c r="D4160" s="72" t="str">
        <f>IFERROR(VLOOKUP(A4160,'[1]ST-QA-ZZ5'!$C$5:$M$299,11,0),"Inspection at production line")</f>
        <v>Inspection at production line</v>
      </c>
    </row>
    <row r="4161" spans="1:4" ht="13.8">
      <c r="A4161" s="47" t="s">
        <v>9506</v>
      </c>
      <c r="B4161" s="92" t="s">
        <v>1954</v>
      </c>
      <c r="C4161" s="92" t="s">
        <v>9507</v>
      </c>
      <c r="D4161" s="72" t="str">
        <f>IFERROR(VLOOKUP(A4161,'[1]ST-QA-ZZ5'!$C$5:$M$299,11,0),"Inspection at production line")</f>
        <v>Inspection at production line</v>
      </c>
    </row>
    <row r="4162" spans="1:4" ht="13.8">
      <c r="A4162" s="47" t="s">
        <v>9508</v>
      </c>
      <c r="B4162" s="92" t="s">
        <v>9413</v>
      </c>
      <c r="C4162" s="92" t="s">
        <v>9509</v>
      </c>
      <c r="D4162" s="72" t="str">
        <f>IFERROR(VLOOKUP(A4162,'[1]ST-QA-ZZ5'!$C$5:$M$299,11,0),"Inspection at production line")</f>
        <v>Inspection at production line</v>
      </c>
    </row>
    <row r="4163" spans="1:4" ht="13.8">
      <c r="A4163" s="47" t="s">
        <v>9510</v>
      </c>
      <c r="B4163" s="92" t="s">
        <v>5281</v>
      </c>
      <c r="C4163" s="92" t="s">
        <v>9511</v>
      </c>
      <c r="D4163" s="72" t="str">
        <f>IFERROR(VLOOKUP(A4163,'[1]ST-QA-ZZ5'!$C$5:$M$299,11,0),"Inspection at production line")</f>
        <v>Inspection at production line</v>
      </c>
    </row>
    <row r="4164" spans="1:4" ht="13.8">
      <c r="A4164" s="47" t="s">
        <v>9512</v>
      </c>
      <c r="B4164" s="92" t="s">
        <v>2205</v>
      </c>
      <c r="C4164" s="92" t="s">
        <v>9513</v>
      </c>
      <c r="D4164" s="72" t="str">
        <f>IFERROR(VLOOKUP(A4164,'[1]ST-QA-ZZ5'!$C$5:$M$299,11,0),"Inspection at production line")</f>
        <v>Inspection at production line</v>
      </c>
    </row>
    <row r="4165" spans="1:4" ht="13.8">
      <c r="A4165" s="47" t="s">
        <v>9514</v>
      </c>
      <c r="B4165" s="92" t="s">
        <v>3084</v>
      </c>
      <c r="C4165" s="92" t="s">
        <v>9515</v>
      </c>
      <c r="D4165" s="72" t="str">
        <f>IFERROR(VLOOKUP(A4165,'[1]ST-QA-ZZ5'!$C$5:$M$299,11,0),"Inspection at production line")</f>
        <v>Inspection at production line</v>
      </c>
    </row>
    <row r="4166" spans="1:4" ht="13.8">
      <c r="A4166" s="47" t="s">
        <v>9516</v>
      </c>
      <c r="B4166" s="92" t="s">
        <v>2137</v>
      </c>
      <c r="C4166" s="92" t="s">
        <v>9517</v>
      </c>
      <c r="D4166" s="72" t="str">
        <f>IFERROR(VLOOKUP(A4166,'[1]ST-QA-ZZ5'!$C$5:$M$299,11,0),"Inspection at production line")</f>
        <v>Inspection at production line</v>
      </c>
    </row>
    <row r="4167" spans="1:4" ht="13.8">
      <c r="A4167" s="47" t="s">
        <v>9518</v>
      </c>
      <c r="B4167" s="92" t="s">
        <v>57</v>
      </c>
      <c r="C4167" s="92" t="s">
        <v>9519</v>
      </c>
      <c r="D4167" s="72" t="str">
        <f>IFERROR(VLOOKUP(A4167,'[1]ST-QA-ZZ5'!$C$5:$M$299,11,0),"Inspection at production line")</f>
        <v>Inspection at production line</v>
      </c>
    </row>
    <row r="4168" spans="1:4" ht="13.8">
      <c r="A4168" s="47" t="s">
        <v>9520</v>
      </c>
      <c r="B4168" s="92" t="s">
        <v>2653</v>
      </c>
      <c r="C4168" s="92" t="s">
        <v>9521</v>
      </c>
      <c r="D4168" s="72" t="str">
        <f>IFERROR(VLOOKUP(A4168,'[1]ST-QA-ZZ5'!$C$5:$M$299,11,0),"Inspection at production line")</f>
        <v>Inspection at production line</v>
      </c>
    </row>
    <row r="4169" spans="1:4" ht="13.8">
      <c r="A4169" s="47" t="s">
        <v>9522</v>
      </c>
      <c r="B4169" s="92" t="s">
        <v>9523</v>
      </c>
      <c r="C4169" s="92" t="s">
        <v>9524</v>
      </c>
      <c r="D4169" s="72" t="str">
        <f>IFERROR(VLOOKUP(A4169,'[1]ST-QA-ZZ5'!$C$5:$M$299,11,0),"Inspection at production line")</f>
        <v>Inspection at production line</v>
      </c>
    </row>
    <row r="4170" spans="1:4" ht="13.8">
      <c r="A4170" s="47" t="s">
        <v>9525</v>
      </c>
      <c r="B4170" s="92" t="s">
        <v>9523</v>
      </c>
      <c r="C4170" s="92" t="s">
        <v>9526</v>
      </c>
      <c r="D4170" s="72" t="str">
        <f>IFERROR(VLOOKUP(A4170,'[1]ST-QA-ZZ5'!$C$5:$M$299,11,0),"Inspection at production line")</f>
        <v>Inspection at production line</v>
      </c>
    </row>
    <row r="4171" spans="1:4" ht="13.8">
      <c r="A4171" s="47" t="s">
        <v>9527</v>
      </c>
      <c r="B4171" s="92" t="s">
        <v>9523</v>
      </c>
      <c r="C4171" s="92" t="s">
        <v>9528</v>
      </c>
      <c r="D4171" s="72" t="str">
        <f>IFERROR(VLOOKUP(A4171,'[1]ST-QA-ZZ5'!$C$5:$M$299,11,0),"Inspection at production line")</f>
        <v>Inspection at production line</v>
      </c>
    </row>
    <row r="4172" spans="1:4" ht="13.8">
      <c r="A4172" s="47" t="s">
        <v>9529</v>
      </c>
      <c r="B4172" s="92" t="s">
        <v>9523</v>
      </c>
      <c r="C4172" s="92" t="s">
        <v>9530</v>
      </c>
      <c r="D4172" s="72" t="str">
        <f>IFERROR(VLOOKUP(A4172,'[1]ST-QA-ZZ5'!$C$5:$M$299,11,0),"Inspection at production line")</f>
        <v>Inspection at production line</v>
      </c>
    </row>
    <row r="4173" spans="1:4" ht="13.8">
      <c r="A4173" s="47" t="s">
        <v>9531</v>
      </c>
      <c r="B4173" s="92" t="s">
        <v>9523</v>
      </c>
      <c r="C4173" s="92" t="s">
        <v>9532</v>
      </c>
      <c r="D4173" s="72" t="str">
        <f>IFERROR(VLOOKUP(A4173,'[1]ST-QA-ZZ5'!$C$5:$M$299,11,0),"Inspection at production line")</f>
        <v>Inspection at production line</v>
      </c>
    </row>
    <row r="4174" spans="1:4" ht="13.8">
      <c r="A4174" s="47" t="s">
        <v>9533</v>
      </c>
      <c r="B4174" s="92" t="s">
        <v>9523</v>
      </c>
      <c r="C4174" s="92" t="s">
        <v>9534</v>
      </c>
      <c r="D4174" s="72" t="str">
        <f>IFERROR(VLOOKUP(A4174,'[1]ST-QA-ZZ5'!$C$5:$M$299,11,0),"Inspection at production line")</f>
        <v>Inspection at production line</v>
      </c>
    </row>
    <row r="4175" spans="1:4" ht="13.8">
      <c r="A4175" s="47" t="s">
        <v>9535</v>
      </c>
      <c r="B4175" s="92" t="s">
        <v>9459</v>
      </c>
      <c r="C4175" s="92" t="s">
        <v>9536</v>
      </c>
      <c r="D4175" s="72" t="str">
        <f>IFERROR(VLOOKUP(A4175,'[1]ST-QA-ZZ5'!$C$5:$M$299,11,0),"Inspection at production line")</f>
        <v>Inspection at production line</v>
      </c>
    </row>
    <row r="4176" spans="1:4" ht="13.8">
      <c r="A4176" s="47" t="s">
        <v>9537</v>
      </c>
      <c r="B4176" s="92" t="s">
        <v>9523</v>
      </c>
      <c r="C4176" s="92" t="s">
        <v>9538</v>
      </c>
      <c r="D4176" s="72" t="str">
        <f>IFERROR(VLOOKUP(A4176,'[1]ST-QA-ZZ5'!$C$5:$M$299,11,0),"Inspection at production line")</f>
        <v>Inspection at production line</v>
      </c>
    </row>
    <row r="4177" spans="1:4" ht="13.8">
      <c r="A4177" s="47" t="s">
        <v>9539</v>
      </c>
      <c r="B4177" s="92" t="s">
        <v>6870</v>
      </c>
      <c r="C4177" s="92" t="s">
        <v>9540</v>
      </c>
      <c r="D4177" s="72" t="str">
        <f>IFERROR(VLOOKUP(A4177,'[1]ST-QA-ZZ5'!$C$5:$M$299,11,0),"Inspection at production line")</f>
        <v>Inspection at production line</v>
      </c>
    </row>
    <row r="4178" spans="1:4" ht="13.8">
      <c r="A4178" s="47" t="s">
        <v>9541</v>
      </c>
      <c r="B4178" s="92" t="s">
        <v>9523</v>
      </c>
      <c r="C4178" s="92" t="s">
        <v>9542</v>
      </c>
      <c r="D4178" s="72" t="str">
        <f>IFERROR(VLOOKUP(A4178,'[1]ST-QA-ZZ5'!$C$5:$M$299,11,0),"Inspection at production line")</f>
        <v>Inspection at production line</v>
      </c>
    </row>
    <row r="4179" spans="1:4" ht="13.8">
      <c r="A4179" s="47" t="s">
        <v>9543</v>
      </c>
      <c r="B4179" s="92" t="s">
        <v>9523</v>
      </c>
      <c r="C4179" s="92" t="s">
        <v>9544</v>
      </c>
      <c r="D4179" s="72" t="str">
        <f>IFERROR(VLOOKUP(A4179,'[1]ST-QA-ZZ5'!$C$5:$M$299,11,0),"Inspection at production line")</f>
        <v>Inspection at production line</v>
      </c>
    </row>
    <row r="4180" spans="1:4" ht="13.8">
      <c r="A4180" s="47" t="s">
        <v>9545</v>
      </c>
      <c r="B4180" s="92" t="s">
        <v>9523</v>
      </c>
      <c r="C4180" s="92" t="s">
        <v>9546</v>
      </c>
      <c r="D4180" s="72" t="str">
        <f>IFERROR(VLOOKUP(A4180,'[1]ST-QA-ZZ5'!$C$5:$M$299,11,0),"Inspection at production line")</f>
        <v>Inspection at production line</v>
      </c>
    </row>
    <row r="4181" spans="1:4" ht="13.8">
      <c r="A4181" s="47" t="s">
        <v>9547</v>
      </c>
      <c r="B4181" s="92" t="s">
        <v>9523</v>
      </c>
      <c r="C4181" s="92" t="s">
        <v>9548</v>
      </c>
      <c r="D4181" s="72" t="str">
        <f>IFERROR(VLOOKUP(A4181,'[1]ST-QA-ZZ5'!$C$5:$M$299,11,0),"Inspection at production line")</f>
        <v>Inspection at production line</v>
      </c>
    </row>
    <row r="4182" spans="1:4" ht="13.8">
      <c r="A4182" s="47" t="s">
        <v>9549</v>
      </c>
      <c r="B4182" s="92" t="s">
        <v>9523</v>
      </c>
      <c r="C4182" s="92" t="s">
        <v>9550</v>
      </c>
      <c r="D4182" s="72" t="str">
        <f>IFERROR(VLOOKUP(A4182,'[1]ST-QA-ZZ5'!$C$5:$M$299,11,0),"Inspection at production line")</f>
        <v>Inspection at production line</v>
      </c>
    </row>
    <row r="4183" spans="1:4" ht="13.8">
      <c r="A4183" s="47" t="s">
        <v>9551</v>
      </c>
      <c r="B4183" s="92" t="s">
        <v>9523</v>
      </c>
      <c r="C4183" s="92" t="s">
        <v>9552</v>
      </c>
      <c r="D4183" s="72" t="str">
        <f>IFERROR(VLOOKUP(A4183,'[1]ST-QA-ZZ5'!$C$5:$M$299,11,0),"Inspection at production line")</f>
        <v>Inspection at production line</v>
      </c>
    </row>
    <row r="4184" spans="1:4" ht="13.8">
      <c r="A4184" s="47" t="s">
        <v>9553</v>
      </c>
      <c r="B4184" s="92" t="s">
        <v>1994</v>
      </c>
      <c r="C4184" s="92" t="s">
        <v>9554</v>
      </c>
      <c r="D4184" s="72" t="str">
        <f>IFERROR(VLOOKUP(A4184,'[1]ST-QA-ZZ5'!$C$5:$M$299,11,0),"Inspection at production line")</f>
        <v>Inspection at production line</v>
      </c>
    </row>
    <row r="4185" spans="1:4" ht="13.8">
      <c r="A4185" s="47" t="s">
        <v>9555</v>
      </c>
      <c r="B4185" s="92" t="s">
        <v>75</v>
      </c>
      <c r="C4185" s="92" t="s">
        <v>9556</v>
      </c>
      <c r="D4185" s="72" t="str">
        <f>IFERROR(VLOOKUP(A4185,'[1]ST-QA-ZZ5'!$C$5:$M$299,11,0),"Inspection at production line")</f>
        <v>Inspection at production line</v>
      </c>
    </row>
    <row r="4186" spans="1:4" ht="13.8">
      <c r="A4186" s="47" t="s">
        <v>9557</v>
      </c>
      <c r="B4186" s="92" t="s">
        <v>5092</v>
      </c>
      <c r="C4186" s="92" t="s">
        <v>18195</v>
      </c>
      <c r="D4186" s="72" t="str">
        <f>IFERROR(VLOOKUP(A4186,'[1]ST-QA-ZZ5'!$C$5:$M$299,11,0),"Inspection at production line")</f>
        <v>Inspection at production line</v>
      </c>
    </row>
    <row r="4187" spans="1:4" ht="13.8">
      <c r="A4187" s="47" t="s">
        <v>9558</v>
      </c>
      <c r="B4187" s="92" t="s">
        <v>1554</v>
      </c>
      <c r="C4187" s="92" t="s">
        <v>9559</v>
      </c>
      <c r="D4187" s="72" t="str">
        <f>IFERROR(VLOOKUP(A4187,'[1]ST-QA-ZZ5'!$C$5:$M$299,11,0),"Inspection at production line")</f>
        <v>Inspection at production line</v>
      </c>
    </row>
    <row r="4188" spans="1:4" ht="13.8">
      <c r="A4188" s="47" t="s">
        <v>9560</v>
      </c>
      <c r="B4188" s="92" t="s">
        <v>9561</v>
      </c>
      <c r="C4188" s="92" t="s">
        <v>9562</v>
      </c>
      <c r="D4188" s="72" t="str">
        <f>IFERROR(VLOOKUP(A4188,'[1]ST-QA-ZZ5'!$C$5:$M$299,11,0),"Inspection at production line")</f>
        <v>Inspection at production line</v>
      </c>
    </row>
    <row r="4189" spans="1:4" ht="13.8">
      <c r="A4189" s="47" t="s">
        <v>9563</v>
      </c>
      <c r="B4189" s="92" t="s">
        <v>7914</v>
      </c>
      <c r="C4189" s="92" t="s">
        <v>9564</v>
      </c>
      <c r="D4189" s="72" t="str">
        <f>IFERROR(VLOOKUP(A4189,'[1]ST-QA-ZZ5'!$C$5:$M$299,11,0),"Inspection at production line")</f>
        <v>Inspection at production line</v>
      </c>
    </row>
    <row r="4190" spans="1:4" ht="13.8">
      <c r="A4190" s="47" t="s">
        <v>9565</v>
      </c>
      <c r="B4190" s="92" t="s">
        <v>7914</v>
      </c>
      <c r="C4190" s="92" t="s">
        <v>9566</v>
      </c>
      <c r="D4190" s="72" t="str">
        <f>IFERROR(VLOOKUP(A4190,'[1]ST-QA-ZZ5'!$C$5:$M$299,11,0),"Inspection at production line")</f>
        <v>Inspection at production line</v>
      </c>
    </row>
    <row r="4191" spans="1:4" ht="13.8">
      <c r="A4191" s="47" t="s">
        <v>9567</v>
      </c>
      <c r="B4191" s="92" t="s">
        <v>7914</v>
      </c>
      <c r="C4191" s="92" t="s">
        <v>9568</v>
      </c>
      <c r="D4191" s="72" t="str">
        <f>IFERROR(VLOOKUP(A4191,'[1]ST-QA-ZZ5'!$C$5:$M$299,11,0),"Inspection at production line")</f>
        <v>Inspection at production line</v>
      </c>
    </row>
    <row r="4192" spans="1:4" ht="13.8">
      <c r="A4192" s="47" t="s">
        <v>9569</v>
      </c>
      <c r="B4192" s="92" t="s">
        <v>7914</v>
      </c>
      <c r="C4192" s="92" t="s">
        <v>9570</v>
      </c>
      <c r="D4192" s="72" t="str">
        <f>IFERROR(VLOOKUP(A4192,'[1]ST-QA-ZZ5'!$C$5:$M$299,11,0),"Inspection at production line")</f>
        <v>Inspection at production line</v>
      </c>
    </row>
    <row r="4193" spans="1:4" ht="13.8">
      <c r="A4193" s="47" t="s">
        <v>9571</v>
      </c>
      <c r="B4193" s="92" t="s">
        <v>7914</v>
      </c>
      <c r="C4193" s="92" t="s">
        <v>9572</v>
      </c>
      <c r="D4193" s="72" t="str">
        <f>IFERROR(VLOOKUP(A4193,'[1]ST-QA-ZZ5'!$C$5:$M$299,11,0),"Inspection at production line")</f>
        <v>Inspection at production line</v>
      </c>
    </row>
    <row r="4194" spans="1:4" ht="13.8">
      <c r="A4194" s="47" t="s">
        <v>9573</v>
      </c>
      <c r="B4194" s="92" t="s">
        <v>7914</v>
      </c>
      <c r="C4194" s="92" t="s">
        <v>9574</v>
      </c>
      <c r="D4194" s="72" t="str">
        <f>IFERROR(VLOOKUP(A4194,'[1]ST-QA-ZZ5'!$C$5:$M$299,11,0),"Inspection at production line")</f>
        <v>Inspection at production line</v>
      </c>
    </row>
    <row r="4195" spans="1:4" ht="13.8">
      <c r="A4195" s="47" t="s">
        <v>9575</v>
      </c>
      <c r="B4195" s="92" t="s">
        <v>7914</v>
      </c>
      <c r="C4195" s="92" t="s">
        <v>9576</v>
      </c>
      <c r="D4195" s="72" t="str">
        <f>IFERROR(VLOOKUP(A4195,'[1]ST-QA-ZZ5'!$C$5:$M$299,11,0),"Inspection at production line")</f>
        <v>Inspection at production line</v>
      </c>
    </row>
    <row r="4196" spans="1:4" ht="13.8">
      <c r="A4196" s="47" t="s">
        <v>9577</v>
      </c>
      <c r="B4196" s="92" t="s">
        <v>174</v>
      </c>
      <c r="C4196" s="92" t="s">
        <v>9578</v>
      </c>
      <c r="D4196" s="72" t="str">
        <f>IFERROR(VLOOKUP(A4196,'[1]ST-QA-ZZ5'!$C$5:$M$299,11,0),"Inspection at production line")</f>
        <v>Inspection at production line</v>
      </c>
    </row>
    <row r="4197" spans="1:4" ht="13.8">
      <c r="A4197" s="47" t="s">
        <v>9579</v>
      </c>
      <c r="B4197" s="92" t="s">
        <v>1954</v>
      </c>
      <c r="C4197" s="92" t="s">
        <v>9580</v>
      </c>
      <c r="D4197" s="72" t="str">
        <f>IFERROR(VLOOKUP(A4197,'[1]ST-QA-ZZ5'!$C$5:$M$299,11,0),"Inspection at production line")</f>
        <v>Inspection at production line</v>
      </c>
    </row>
    <row r="4198" spans="1:4" ht="13.8">
      <c r="A4198" s="47" t="s">
        <v>9581</v>
      </c>
      <c r="B4198" s="92" t="s">
        <v>5092</v>
      </c>
      <c r="C4198" s="92" t="s">
        <v>9582</v>
      </c>
      <c r="D4198" s="72" t="str">
        <f>IFERROR(VLOOKUP(A4198,'[1]ST-QA-ZZ5'!$C$5:$M$299,11,0),"Inspection at production line")</f>
        <v>Inspection at production line</v>
      </c>
    </row>
    <row r="4199" spans="1:4" ht="13.8">
      <c r="A4199" s="47" t="s">
        <v>9583</v>
      </c>
      <c r="B4199" s="92" t="s">
        <v>1954</v>
      </c>
      <c r="C4199" s="92" t="s">
        <v>9584</v>
      </c>
      <c r="D4199" s="72" t="str">
        <f>IFERROR(VLOOKUP(A4199,'[1]ST-QA-ZZ5'!$C$5:$M$299,11,0),"Inspection at production line")</f>
        <v>Inspection at production line</v>
      </c>
    </row>
    <row r="4200" spans="1:4" ht="13.8">
      <c r="A4200" s="47" t="s">
        <v>9585</v>
      </c>
      <c r="B4200" s="92" t="s">
        <v>9459</v>
      </c>
      <c r="C4200" s="92" t="s">
        <v>9586</v>
      </c>
      <c r="D4200" s="72" t="str">
        <f>IFERROR(VLOOKUP(A4200,'[1]ST-QA-ZZ5'!$C$5:$M$299,11,0),"Inspection at production line")</f>
        <v>Inspection at production line</v>
      </c>
    </row>
    <row r="4201" spans="1:4" ht="13.8">
      <c r="A4201" s="47" t="s">
        <v>18196</v>
      </c>
      <c r="B4201" s="92" t="s">
        <v>18197</v>
      </c>
      <c r="C4201" s="92" t="s">
        <v>18197</v>
      </c>
      <c r="D4201" s="72" t="str">
        <f>IFERROR(VLOOKUP(A4201,'[1]ST-QA-ZZ5'!$C$5:$M$299,11,0),"Inspection at production line")</f>
        <v>Inspection at production line</v>
      </c>
    </row>
    <row r="4202" spans="1:4" ht="13.8">
      <c r="A4202" s="47" t="s">
        <v>18198</v>
      </c>
      <c r="B4202" s="92" t="s">
        <v>9459</v>
      </c>
      <c r="C4202" s="92" t="s">
        <v>18199</v>
      </c>
      <c r="D4202" s="72" t="str">
        <f>IFERROR(VLOOKUP(A4202,'[1]ST-QA-ZZ5'!$C$5:$M$299,11,0),"Inspection at production line")</f>
        <v>Inspection at production line</v>
      </c>
    </row>
    <row r="4203" spans="1:4" ht="13.8">
      <c r="A4203" s="47" t="s">
        <v>18200</v>
      </c>
      <c r="B4203" s="92" t="s">
        <v>9459</v>
      </c>
      <c r="C4203" s="92" t="s">
        <v>18201</v>
      </c>
      <c r="D4203" s="72" t="str">
        <f>IFERROR(VLOOKUP(A4203,'[1]ST-QA-ZZ5'!$C$5:$M$299,11,0),"Inspection at production line")</f>
        <v>Inspection at production line</v>
      </c>
    </row>
    <row r="4204" spans="1:4" ht="13.8">
      <c r="A4204" s="47" t="s">
        <v>2651</v>
      </c>
      <c r="B4204" s="92" t="s">
        <v>2652</v>
      </c>
      <c r="C4204" s="92" t="s">
        <v>2653</v>
      </c>
      <c r="D4204" s="72" t="str">
        <f>IFERROR(VLOOKUP(A4204,'[1]ST-QA-ZZ5'!$C$5:$M$299,11,0),"Inspection at production line")</f>
        <v>Inspection at production line</v>
      </c>
    </row>
    <row r="4205" spans="1:4" ht="13.8">
      <c r="A4205" s="47" t="s">
        <v>5056</v>
      </c>
      <c r="B4205" s="92" t="s">
        <v>4996</v>
      </c>
      <c r="C4205" s="92" t="s">
        <v>9587</v>
      </c>
      <c r="D4205" s="72" t="str">
        <f>IFERROR(VLOOKUP(A4205,'[1]ST-QA-ZZ5'!$C$5:$M$299,11,0),"Inspection at production line")</f>
        <v>Inspection at production line</v>
      </c>
    </row>
    <row r="4206" spans="1:4" ht="13.8">
      <c r="A4206" s="47" t="s">
        <v>9588</v>
      </c>
      <c r="B4206" s="92" t="s">
        <v>9426</v>
      </c>
      <c r="C4206" s="92" t="s">
        <v>9589</v>
      </c>
      <c r="D4206" s="72" t="str">
        <f>IFERROR(VLOOKUP(A4206,'[1]ST-QA-ZZ5'!$C$5:$M$299,11,0),"Inspection at production line")</f>
        <v>Inspection at production line</v>
      </c>
    </row>
    <row r="4207" spans="1:4" ht="13.8">
      <c r="A4207" s="47" t="s">
        <v>9590</v>
      </c>
      <c r="B4207" s="92" t="s">
        <v>9426</v>
      </c>
      <c r="C4207" s="92" t="s">
        <v>9591</v>
      </c>
      <c r="D4207" s="72" t="str">
        <f>IFERROR(VLOOKUP(A4207,'[1]ST-QA-ZZ5'!$C$5:$M$299,11,0),"Inspection at production line")</f>
        <v>Inspection at production line</v>
      </c>
    </row>
    <row r="4208" spans="1:4" ht="13.8">
      <c r="A4208" s="47" t="s">
        <v>9592</v>
      </c>
      <c r="B4208" s="92" t="s">
        <v>9426</v>
      </c>
      <c r="C4208" s="92" t="s">
        <v>9593</v>
      </c>
      <c r="D4208" s="72" t="str">
        <f>IFERROR(VLOOKUP(A4208,'[1]ST-QA-ZZ5'!$C$5:$M$299,11,0),"Inspection at production line")</f>
        <v>Inspection at production line</v>
      </c>
    </row>
    <row r="4209" spans="1:4" ht="13.8">
      <c r="A4209" s="47" t="s">
        <v>9594</v>
      </c>
      <c r="B4209" s="92" t="s">
        <v>4996</v>
      </c>
      <c r="C4209" s="92" t="s">
        <v>9595</v>
      </c>
      <c r="D4209" s="72" t="str">
        <f>IFERROR(VLOOKUP(A4209,'[1]ST-QA-ZZ5'!$C$5:$M$299,11,0),"Inspection at production line")</f>
        <v>Inspection at production line</v>
      </c>
    </row>
    <row r="4210" spans="1:4" ht="13.8">
      <c r="A4210" s="47" t="s">
        <v>5000</v>
      </c>
      <c r="B4210" s="92" t="s">
        <v>2137</v>
      </c>
      <c r="C4210" s="92" t="s">
        <v>5001</v>
      </c>
      <c r="D4210" s="72" t="str">
        <f>IFERROR(VLOOKUP(A4210,'[1]ST-QA-ZZ5'!$C$5:$M$299,11,0),"Inspection at production line")</f>
        <v>Inspection at production line</v>
      </c>
    </row>
    <row r="4211" spans="1:4" ht="13.8">
      <c r="A4211" s="47" t="s">
        <v>2669</v>
      </c>
      <c r="B4211" s="92" t="s">
        <v>2137</v>
      </c>
      <c r="C4211" s="92" t="s">
        <v>2671</v>
      </c>
      <c r="D4211" s="72" t="str">
        <f>IFERROR(VLOOKUP(A4211,'[1]ST-QA-ZZ5'!$C$5:$M$299,11,0),"Inspection at production line")</f>
        <v>Inspection at production line</v>
      </c>
    </row>
    <row r="4212" spans="1:4" ht="13.8">
      <c r="A4212" s="47" t="s">
        <v>5437</v>
      </c>
      <c r="B4212" s="92" t="s">
        <v>5438</v>
      </c>
      <c r="C4212" s="92" t="s">
        <v>5439</v>
      </c>
      <c r="D4212" s="72" t="str">
        <f>IFERROR(VLOOKUP(A4212,'[1]ST-QA-ZZ5'!$C$5:$M$299,11,0),"Inspection at production line")</f>
        <v>Inspection at production line</v>
      </c>
    </row>
    <row r="4213" spans="1:4" ht="13.8">
      <c r="A4213" s="47" t="s">
        <v>9596</v>
      </c>
      <c r="B4213" s="92" t="s">
        <v>5438</v>
      </c>
      <c r="C4213" s="94" t="s">
        <v>9597</v>
      </c>
      <c r="D4213" s="72" t="str">
        <f>IFERROR(VLOOKUP(A4213,'[1]ST-QA-ZZ5'!$C$5:$M$299,11,0),"Inspection at production line")</f>
        <v>Inspection at production line</v>
      </c>
    </row>
    <row r="4214" spans="1:4" ht="13.8">
      <c r="A4214" s="47" t="s">
        <v>9598</v>
      </c>
      <c r="B4214" s="92" t="s">
        <v>5438</v>
      </c>
      <c r="C4214" s="92" t="s">
        <v>9599</v>
      </c>
      <c r="D4214" s="72" t="str">
        <f>IFERROR(VLOOKUP(A4214,'[1]ST-QA-ZZ5'!$C$5:$M$299,11,0),"Inspection at production line")</f>
        <v>Inspection at production line</v>
      </c>
    </row>
    <row r="4215" spans="1:4" ht="13.8">
      <c r="A4215" s="47" t="s">
        <v>5077</v>
      </c>
      <c r="B4215" s="92" t="s">
        <v>3079</v>
      </c>
      <c r="C4215" s="92" t="s">
        <v>5078</v>
      </c>
      <c r="D4215" s="72" t="str">
        <f>IFERROR(VLOOKUP(A4215,'[1]ST-QA-ZZ5'!$C$5:$M$299,11,0),"Inspection at production line")</f>
        <v>Inspection at production line</v>
      </c>
    </row>
    <row r="4216" spans="1:4" ht="13.8">
      <c r="A4216" s="47" t="s">
        <v>9600</v>
      </c>
      <c r="B4216" s="92" t="s">
        <v>2137</v>
      </c>
      <c r="C4216" s="92" t="s">
        <v>9601</v>
      </c>
      <c r="D4216" s="72" t="str">
        <f>IFERROR(VLOOKUP(A4216,'[1]ST-QA-ZZ5'!$C$5:$M$299,11,0),"Inspection at production line")</f>
        <v>Inspection at production line</v>
      </c>
    </row>
    <row r="4217" spans="1:4" ht="13.8">
      <c r="A4217" s="47" t="s">
        <v>9602</v>
      </c>
      <c r="B4217" s="92" t="s">
        <v>2137</v>
      </c>
      <c r="C4217" s="92" t="s">
        <v>9603</v>
      </c>
      <c r="D4217" s="72" t="str">
        <f>IFERROR(VLOOKUP(A4217,'[1]ST-QA-ZZ5'!$C$5:$M$299,11,0),"Inspection at production line")</f>
        <v>Inspection at production line</v>
      </c>
    </row>
    <row r="4218" spans="1:4" ht="13.8">
      <c r="A4218" s="47" t="s">
        <v>5434</v>
      </c>
      <c r="B4218" s="92" t="s">
        <v>5435</v>
      </c>
      <c r="C4218" s="92" t="s">
        <v>5436</v>
      </c>
      <c r="D4218" s="72" t="str">
        <f>IFERROR(VLOOKUP(A4218,'[1]ST-QA-ZZ5'!$C$5:$M$299,11,0),"Inspection at production line")</f>
        <v>Inspection at production line</v>
      </c>
    </row>
    <row r="4219" spans="1:4" ht="13.8">
      <c r="A4219" s="47" t="s">
        <v>9604</v>
      </c>
      <c r="B4219" s="92" t="s">
        <v>5435</v>
      </c>
      <c r="C4219" s="92" t="s">
        <v>9605</v>
      </c>
      <c r="D4219" s="72" t="str">
        <f>IFERROR(VLOOKUP(A4219,'[1]ST-QA-ZZ5'!$C$5:$M$299,11,0),"Inspection at production line")</f>
        <v>Inspection at production line</v>
      </c>
    </row>
    <row r="4220" spans="1:4" ht="13.8">
      <c r="A4220" s="47" t="s">
        <v>9606</v>
      </c>
      <c r="B4220" s="92" t="s">
        <v>9130</v>
      </c>
      <c r="C4220" s="92" t="s">
        <v>1880</v>
      </c>
      <c r="D4220" s="72" t="str">
        <f>IFERROR(VLOOKUP(A4220,'[1]ST-QA-ZZ5'!$C$5:$M$299,11,0),"Inspection at production line")</f>
        <v>Inspection at production line</v>
      </c>
    </row>
    <row r="4221" spans="1:4" ht="13.8">
      <c r="A4221" s="47" t="s">
        <v>9607</v>
      </c>
      <c r="B4221" s="92" t="s">
        <v>9608</v>
      </c>
      <c r="C4221" s="92" t="s">
        <v>9609</v>
      </c>
      <c r="D4221" s="72" t="str">
        <f>IFERROR(VLOOKUP(A4221,'[1]ST-QA-ZZ5'!$C$5:$M$299,11,0),"Inspection at production line")</f>
        <v>Inspection at production line</v>
      </c>
    </row>
    <row r="4222" spans="1:4" ht="13.8">
      <c r="A4222" s="47" t="s">
        <v>9610</v>
      </c>
      <c r="B4222" s="92" t="s">
        <v>9611</v>
      </c>
      <c r="C4222" s="92" t="s">
        <v>9612</v>
      </c>
      <c r="D4222" s="72" t="str">
        <f>IFERROR(VLOOKUP(A4222,'[1]ST-QA-ZZ5'!$C$5:$M$299,11,0),"Inspection at production line")</f>
        <v>Inspection at production line</v>
      </c>
    </row>
    <row r="4223" spans="1:4" ht="13.8">
      <c r="A4223" s="47" t="s">
        <v>9613</v>
      </c>
      <c r="B4223" s="92" t="s">
        <v>5435</v>
      </c>
      <c r="C4223" s="92" t="s">
        <v>9614</v>
      </c>
      <c r="D4223" s="72" t="str">
        <f>IFERROR(VLOOKUP(A4223,'[1]ST-QA-ZZ5'!$C$5:$M$299,11,0),"Inspection at production line")</f>
        <v>Inspection at production line</v>
      </c>
    </row>
    <row r="4224" spans="1:4" ht="13.8">
      <c r="A4224" s="47" t="s">
        <v>9615</v>
      </c>
      <c r="B4224" s="92" t="s">
        <v>5299</v>
      </c>
      <c r="C4224" s="92" t="s">
        <v>9616</v>
      </c>
      <c r="D4224" s="72" t="str">
        <f>IFERROR(VLOOKUP(A4224,'[1]ST-QA-ZZ5'!$C$5:$M$299,11,0),"Inspection at production line")</f>
        <v>Inspection at production line</v>
      </c>
    </row>
    <row r="4225" spans="1:19" ht="13.8">
      <c r="A4225" s="47" t="s">
        <v>9617</v>
      </c>
      <c r="B4225" s="92" t="s">
        <v>5299</v>
      </c>
      <c r="C4225" s="92" t="s">
        <v>9618</v>
      </c>
      <c r="D4225" s="72" t="str">
        <f>IFERROR(VLOOKUP(A4225,'[1]ST-QA-ZZ5'!$C$5:$M$299,11,0),"Inspection at production line")</f>
        <v>Inspection at production line</v>
      </c>
    </row>
    <row r="4226" spans="1:19" ht="13.8">
      <c r="A4226" s="47" t="s">
        <v>5298</v>
      </c>
      <c r="B4226" s="92" t="s">
        <v>5299</v>
      </c>
      <c r="C4226" s="92" t="s">
        <v>5300</v>
      </c>
      <c r="D4226" s="72" t="str">
        <f>IFERROR(VLOOKUP(A4226,'[1]ST-QA-ZZ5'!$C$5:$M$299,11,0),"Inspection at production line")</f>
        <v>Inspection at production line</v>
      </c>
    </row>
    <row r="4227" spans="1:19" ht="13.8">
      <c r="A4227" s="47" t="s">
        <v>9619</v>
      </c>
      <c r="B4227" s="92" t="s">
        <v>1986</v>
      </c>
      <c r="C4227" s="92" t="s">
        <v>9620</v>
      </c>
      <c r="D4227" s="72" t="str">
        <f>IFERROR(VLOOKUP(A4227,'[1]ST-QA-ZZ5'!$C$5:$M$299,11,0),"Inspection at production line")</f>
        <v>Inspection at production line</v>
      </c>
    </row>
    <row r="4228" spans="1:19" ht="13.8">
      <c r="A4228" s="47" t="s">
        <v>9621</v>
      </c>
      <c r="B4228" s="92" t="s">
        <v>3002</v>
      </c>
      <c r="C4228" s="92" t="s">
        <v>9622</v>
      </c>
      <c r="D4228" s="72" t="str">
        <f>IFERROR(VLOOKUP(A4228,'[1]ST-QA-ZZ5'!$C$5:$M$299,11,0),"Inspection at production line")</f>
        <v>Inspection at production line</v>
      </c>
    </row>
    <row r="4229" spans="1:19" ht="13.8">
      <c r="A4229" s="47" t="s">
        <v>9623</v>
      </c>
      <c r="B4229" s="92" t="s">
        <v>9624</v>
      </c>
      <c r="C4229" s="92" t="s">
        <v>9624</v>
      </c>
      <c r="D4229" s="72" t="str">
        <f>IFERROR(VLOOKUP(A4229,'[1]ST-QA-ZZ5'!$C$5:$M$299,11,0),"Inspection at production line")</f>
        <v>Inspection at production line</v>
      </c>
    </row>
    <row r="4230" spans="1:19" ht="13.8">
      <c r="A4230" s="47" t="s">
        <v>9625</v>
      </c>
      <c r="B4230" s="92" t="s">
        <v>3002</v>
      </c>
      <c r="C4230" s="92" t="s">
        <v>9626</v>
      </c>
      <c r="D4230" s="72" t="str">
        <f>IFERROR(VLOOKUP(A4230,'[1]ST-QA-ZZ5'!$C$5:$M$299,11,0),"Inspection at production line")</f>
        <v>Inspection at production line</v>
      </c>
      <c r="E4230" s="47"/>
      <c r="F4230" s="92"/>
      <c r="G4230" s="92"/>
      <c r="H4230" s="92"/>
      <c r="I4230" s="92"/>
      <c r="J4230" s="47"/>
    </row>
    <row r="4231" spans="1:19" ht="13.8">
      <c r="A4231" s="47" t="s">
        <v>9627</v>
      </c>
      <c r="B4231" s="92" t="s">
        <v>3002</v>
      </c>
      <c r="C4231" s="92" t="s">
        <v>9628</v>
      </c>
      <c r="D4231" s="72" t="str">
        <f>IFERROR(VLOOKUP(A4231,'[1]ST-QA-ZZ5'!$C$5:$M$299,11,0),"Inspection at production line")</f>
        <v>Inspection at production line</v>
      </c>
    </row>
    <row r="4232" spans="1:19" s="75" customFormat="1" ht="13.8">
      <c r="A4232" s="101" t="s">
        <v>9629</v>
      </c>
      <c r="B4232" s="102" t="s">
        <v>2653</v>
      </c>
      <c r="C4232" s="102" t="s">
        <v>9630</v>
      </c>
      <c r="D4232" s="72" t="str">
        <f>IFERROR(VLOOKUP(A4232,'[1]ST-QA-ZZ5'!$C$5:$M$299,11,0),"Inspection at production line")</f>
        <v>Inspection at production line</v>
      </c>
      <c r="E4232" s="101" t="s">
        <v>703</v>
      </c>
      <c r="F4232" s="102" t="s">
        <v>704</v>
      </c>
      <c r="G4232" s="102" t="s">
        <v>705</v>
      </c>
      <c r="H4232" s="102" t="s">
        <v>9647</v>
      </c>
      <c r="I4232" s="102" t="s">
        <v>60</v>
      </c>
      <c r="J4232" s="101" t="s">
        <v>707</v>
      </c>
      <c r="K4232" s="59"/>
      <c r="Q4232" s="59"/>
      <c r="R4232" s="59"/>
      <c r="S4232" s="59"/>
    </row>
    <row r="4233" spans="1:19" ht="13.8">
      <c r="A4233" s="47" t="s">
        <v>9631</v>
      </c>
      <c r="B4233" s="92" t="s">
        <v>6870</v>
      </c>
      <c r="C4233" s="92" t="s">
        <v>9632</v>
      </c>
      <c r="D4233" s="72" t="str">
        <f>IFERROR(VLOOKUP(A4233,'[1]ST-QA-ZZ5'!$C$5:$M$299,11,0),"Inspection at production line")</f>
        <v>Inspection at production line</v>
      </c>
    </row>
    <row r="4234" spans="1:19" ht="13.8">
      <c r="A4234" s="47" t="s">
        <v>9633</v>
      </c>
      <c r="B4234" s="92" t="s">
        <v>9611</v>
      </c>
      <c r="C4234" s="92" t="s">
        <v>9634</v>
      </c>
      <c r="D4234" s="72" t="str">
        <f>IFERROR(VLOOKUP(A4234,'[1]ST-QA-ZZ5'!$C$5:$M$299,11,0),"Inspection at production line")</f>
        <v>Inspection at production line</v>
      </c>
    </row>
    <row r="4235" spans="1:19" ht="13.8">
      <c r="A4235" s="47" t="s">
        <v>9635</v>
      </c>
      <c r="B4235" s="92" t="s">
        <v>9611</v>
      </c>
      <c r="C4235" s="92" t="s">
        <v>9636</v>
      </c>
      <c r="D4235" s="72" t="str">
        <f>IFERROR(VLOOKUP(A4235,'[1]ST-QA-ZZ5'!$C$5:$M$299,11,0),"Inspection at production line")</f>
        <v>Inspection at production line</v>
      </c>
    </row>
    <row r="4236" spans="1:19" ht="13.8">
      <c r="A4236" s="47" t="s">
        <v>5118</v>
      </c>
      <c r="B4236" s="92" t="s">
        <v>174</v>
      </c>
      <c r="C4236" s="92" t="s">
        <v>5119</v>
      </c>
      <c r="D4236" s="72" t="str">
        <f>IFERROR(VLOOKUP(A4236,'[1]ST-QA-ZZ5'!$C$5:$M$299,11,0),"Inspection at production line")</f>
        <v>Inspection at production line</v>
      </c>
    </row>
    <row r="4237" spans="1:19" ht="13.8">
      <c r="A4237" s="47" t="s">
        <v>9637</v>
      </c>
      <c r="B4237" s="92" t="s">
        <v>1994</v>
      </c>
      <c r="C4237" s="92" t="s">
        <v>9638</v>
      </c>
      <c r="D4237" s="72" t="str">
        <f>IFERROR(VLOOKUP(A4237,'[1]ST-QA-ZZ5'!$C$5:$M$299,11,0),"Inspection at production line")</f>
        <v>Inspection at production line</v>
      </c>
    </row>
    <row r="4238" spans="1:19" ht="13.8">
      <c r="A4238" s="47" t="s">
        <v>9639</v>
      </c>
      <c r="B4238" s="92" t="s">
        <v>9640</v>
      </c>
      <c r="C4238" s="92" t="s">
        <v>9641</v>
      </c>
      <c r="D4238" s="72" t="str">
        <f>IFERROR(VLOOKUP(A4238,'[1]ST-QA-ZZ5'!$C$5:$M$299,11,0),"Inspection at production line")</f>
        <v>Inspection at production line</v>
      </c>
    </row>
    <row r="4239" spans="1:19" ht="13.8">
      <c r="A4239" s="47" t="s">
        <v>9642</v>
      </c>
      <c r="B4239" s="92" t="s">
        <v>9643</v>
      </c>
      <c r="C4239" s="92" t="s">
        <v>9643</v>
      </c>
      <c r="D4239" s="72" t="str">
        <f>IFERROR(VLOOKUP(A4239,'[1]ST-QA-ZZ5'!$C$5:$M$299,11,0),"Inspection at production line")</f>
        <v>Inspection at production line</v>
      </c>
    </row>
    <row r="4240" spans="1:19" ht="13.8">
      <c r="A4240" s="47" t="s">
        <v>9644</v>
      </c>
      <c r="B4240" s="92" t="s">
        <v>9645</v>
      </c>
      <c r="C4240" s="92" t="s">
        <v>9646</v>
      </c>
      <c r="D4240" s="72" t="str">
        <f>IFERROR(VLOOKUP(A4240,'[1]ST-QA-ZZ5'!$C$5:$M$299,11,0),"Inspection at production line")</f>
        <v>Inspection at production line</v>
      </c>
    </row>
    <row r="4241" spans="1:4" ht="13.8">
      <c r="A4241" s="47" t="s">
        <v>9648</v>
      </c>
      <c r="B4241" s="92" t="s">
        <v>9649</v>
      </c>
      <c r="C4241" s="92" t="s">
        <v>9649</v>
      </c>
      <c r="D4241" s="72" t="str">
        <f>IFERROR(VLOOKUP(A4241,'[1]ST-QA-ZZ5'!$C$5:$M$299,11,0),"Inspection at production line")</f>
        <v>Inspection at production line</v>
      </c>
    </row>
    <row r="4242" spans="1:4" ht="13.8">
      <c r="A4242" s="47" t="s">
        <v>9650</v>
      </c>
      <c r="B4242" s="92" t="s">
        <v>9651</v>
      </c>
      <c r="C4242" s="92" t="s">
        <v>9652</v>
      </c>
      <c r="D4242" s="72" t="str">
        <f>IFERROR(VLOOKUP(A4242,'[1]ST-QA-ZZ5'!$C$5:$M$299,11,0),"Inspection at production line")</f>
        <v>Inspection at production line</v>
      </c>
    </row>
    <row r="4243" spans="1:4" ht="13.8">
      <c r="A4243" s="47" t="s">
        <v>9653</v>
      </c>
      <c r="B4243" s="92" t="s">
        <v>8753</v>
      </c>
      <c r="C4243" s="92" t="s">
        <v>9654</v>
      </c>
      <c r="D4243" s="72" t="str">
        <f>IFERROR(VLOOKUP(A4243,'[1]ST-QA-ZZ5'!$C$5:$M$299,11,0),"Inspection at production line")</f>
        <v>Inspection at production line</v>
      </c>
    </row>
    <row r="4244" spans="1:4" ht="13.8">
      <c r="A4244" s="47" t="s">
        <v>9655</v>
      </c>
      <c r="B4244" s="92" t="s">
        <v>9656</v>
      </c>
      <c r="C4244" s="92" t="s">
        <v>9657</v>
      </c>
      <c r="D4244" s="72" t="str">
        <f>IFERROR(VLOOKUP(A4244,'[1]ST-QA-ZZ5'!$C$5:$M$299,11,0),"Inspection at production line")</f>
        <v>Inspection at production line</v>
      </c>
    </row>
    <row r="4245" spans="1:4" ht="13.8">
      <c r="A4245" s="47" t="s">
        <v>9658</v>
      </c>
      <c r="B4245" s="92" t="s">
        <v>9659</v>
      </c>
      <c r="C4245" s="92" t="s">
        <v>9660</v>
      </c>
      <c r="D4245" s="72" t="str">
        <f>IFERROR(VLOOKUP(A4245,'[1]ST-QA-ZZ5'!$C$5:$M$299,11,0),"Inspection at production line")</f>
        <v>Inspection at production line</v>
      </c>
    </row>
    <row r="4246" spans="1:4" ht="13.8">
      <c r="A4246" s="47" t="s">
        <v>9661</v>
      </c>
      <c r="B4246" s="92" t="s">
        <v>9662</v>
      </c>
      <c r="C4246" s="92" t="s">
        <v>9662</v>
      </c>
      <c r="D4246" s="72" t="str">
        <f>IFERROR(VLOOKUP(A4246,'[1]ST-QA-ZZ5'!$C$5:$M$299,11,0),"Inspection at production line")</f>
        <v>Inspection at production line</v>
      </c>
    </row>
    <row r="4247" spans="1:4" ht="13.8">
      <c r="A4247" s="47" t="s">
        <v>9663</v>
      </c>
      <c r="B4247" s="92" t="s">
        <v>9664</v>
      </c>
      <c r="C4247" s="92" t="s">
        <v>9664</v>
      </c>
      <c r="D4247" s="72" t="str">
        <f>IFERROR(VLOOKUP(A4247,'[1]ST-QA-ZZ5'!$C$5:$M$299,11,0),"Inspection at production line")</f>
        <v>Inspection at production line</v>
      </c>
    </row>
    <row r="4248" spans="1:4" ht="13.8">
      <c r="A4248" s="47" t="s">
        <v>9665</v>
      </c>
      <c r="B4248" s="92" t="s">
        <v>9666</v>
      </c>
      <c r="C4248" s="92" t="s">
        <v>9667</v>
      </c>
      <c r="D4248" s="72" t="str">
        <f>IFERROR(VLOOKUP(A4248,'[1]ST-QA-ZZ5'!$C$5:$M$299,11,0),"Inspection at production line")</f>
        <v>Inspection at production line</v>
      </c>
    </row>
    <row r="4249" spans="1:4" ht="13.8">
      <c r="A4249" s="47" t="s">
        <v>9668</v>
      </c>
      <c r="B4249" s="92" t="s">
        <v>5092</v>
      </c>
      <c r="C4249" s="94" t="s">
        <v>9669</v>
      </c>
      <c r="D4249" s="72" t="str">
        <f>IFERROR(VLOOKUP(A4249,'[1]ST-QA-ZZ5'!$C$5:$M$299,11,0),"Inspection at production line")</f>
        <v>Inspection at production line</v>
      </c>
    </row>
    <row r="4250" spans="1:4" ht="13.8">
      <c r="A4250" s="47" t="s">
        <v>9670</v>
      </c>
      <c r="B4250" s="92" t="s">
        <v>7914</v>
      </c>
      <c r="C4250" s="92" t="s">
        <v>9671</v>
      </c>
      <c r="D4250" s="72" t="str">
        <f>IFERROR(VLOOKUP(A4250,'[1]ST-QA-ZZ5'!$C$5:$M$299,11,0),"Inspection at production line")</f>
        <v>Inspection at production line</v>
      </c>
    </row>
    <row r="4251" spans="1:4" ht="13.8">
      <c r="A4251" s="47" t="s">
        <v>9672</v>
      </c>
      <c r="B4251" s="92" t="s">
        <v>9673</v>
      </c>
      <c r="C4251" s="92" t="s">
        <v>9673</v>
      </c>
      <c r="D4251" s="72" t="str">
        <f>IFERROR(VLOOKUP(A4251,'[1]ST-QA-ZZ5'!$C$5:$M$299,11,0),"Inspection at production line")</f>
        <v>Inspection at production line</v>
      </c>
    </row>
    <row r="4252" spans="1:4" ht="13.8">
      <c r="A4252" s="47" t="s">
        <v>9674</v>
      </c>
      <c r="B4252" s="92" t="s">
        <v>7914</v>
      </c>
      <c r="C4252" s="92" t="s">
        <v>9675</v>
      </c>
      <c r="D4252" s="72" t="str">
        <f>IFERROR(VLOOKUP(A4252,'[1]ST-QA-ZZ5'!$C$5:$M$299,11,0),"Inspection at production line")</f>
        <v>Inspection at production line</v>
      </c>
    </row>
    <row r="4253" spans="1:4" ht="13.8">
      <c r="A4253" s="47" t="s">
        <v>9676</v>
      </c>
      <c r="B4253" s="92" t="s">
        <v>9677</v>
      </c>
      <c r="C4253" s="92" t="s">
        <v>9677</v>
      </c>
      <c r="D4253" s="72" t="str">
        <f>IFERROR(VLOOKUP(A4253,'[1]ST-QA-ZZ5'!$C$5:$M$299,11,0),"Inspection at production line")</f>
        <v>Inspection at production line</v>
      </c>
    </row>
    <row r="4254" spans="1:4" ht="13.8">
      <c r="A4254" s="47" t="s">
        <v>9678</v>
      </c>
      <c r="B4254" s="92" t="s">
        <v>7914</v>
      </c>
      <c r="C4254" s="92" t="s">
        <v>9679</v>
      </c>
      <c r="D4254" s="72" t="str">
        <f>IFERROR(VLOOKUP(A4254,'[1]ST-QA-ZZ5'!$C$5:$M$299,11,0),"Inspection at production line")</f>
        <v>Inspection at production line</v>
      </c>
    </row>
    <row r="4255" spans="1:4" ht="13.8">
      <c r="A4255" s="47" t="s">
        <v>9680</v>
      </c>
      <c r="B4255" s="92" t="s">
        <v>9681</v>
      </c>
      <c r="C4255" s="92" t="s">
        <v>9681</v>
      </c>
      <c r="D4255" s="72" t="str">
        <f>IFERROR(VLOOKUP(A4255,'[1]ST-QA-ZZ5'!$C$5:$M$299,11,0),"Inspection at production line")</f>
        <v>Inspection at production line</v>
      </c>
    </row>
    <row r="4256" spans="1:4" ht="13.8">
      <c r="A4256" s="47" t="s">
        <v>9682</v>
      </c>
      <c r="B4256" s="92" t="s">
        <v>7914</v>
      </c>
      <c r="C4256" s="92" t="s">
        <v>9683</v>
      </c>
      <c r="D4256" s="72" t="str">
        <f>IFERROR(VLOOKUP(A4256,'[1]ST-QA-ZZ5'!$C$5:$M$299,11,0),"Inspection at production line")</f>
        <v>Inspection at production line</v>
      </c>
    </row>
    <row r="4257" spans="1:4" ht="13.8">
      <c r="A4257" s="47" t="s">
        <v>9684</v>
      </c>
      <c r="B4257" s="92" t="s">
        <v>9685</v>
      </c>
      <c r="C4257" s="92" t="s">
        <v>9685</v>
      </c>
      <c r="D4257" s="72" t="str">
        <f>IFERROR(VLOOKUP(A4257,'[1]ST-QA-ZZ5'!$C$5:$M$299,11,0),"Inspection at production line")</f>
        <v>Inspection at production line</v>
      </c>
    </row>
    <row r="4258" spans="1:4" ht="13.8">
      <c r="A4258" s="47" t="s">
        <v>9686</v>
      </c>
      <c r="B4258" s="92" t="s">
        <v>9687</v>
      </c>
      <c r="C4258" s="92" t="s">
        <v>9688</v>
      </c>
      <c r="D4258" s="72" t="str">
        <f>IFERROR(VLOOKUP(A4258,'[1]ST-QA-ZZ5'!$C$5:$M$299,11,0),"Inspection at production line")</f>
        <v>Inspection at production line</v>
      </c>
    </row>
    <row r="4259" spans="1:4" ht="13.8">
      <c r="A4259" s="47" t="s">
        <v>9689</v>
      </c>
      <c r="B4259" s="92" t="s">
        <v>9690</v>
      </c>
      <c r="C4259" s="92" t="s">
        <v>9690</v>
      </c>
      <c r="D4259" s="72" t="str">
        <f>IFERROR(VLOOKUP(A4259,'[1]ST-QA-ZZ5'!$C$5:$M$299,11,0),"Inspection at production line")</f>
        <v>Inspection at production line</v>
      </c>
    </row>
    <row r="4260" spans="1:4" ht="13.8">
      <c r="A4260" s="47" t="s">
        <v>9691</v>
      </c>
      <c r="B4260" s="92" t="s">
        <v>7914</v>
      </c>
      <c r="C4260" s="92" t="s">
        <v>9692</v>
      </c>
      <c r="D4260" s="72" t="str">
        <f>IFERROR(VLOOKUP(A4260,'[1]ST-QA-ZZ5'!$C$5:$M$299,11,0),"Inspection at production line")</f>
        <v>Inspection at production line</v>
      </c>
    </row>
    <row r="4261" spans="1:4" ht="13.8">
      <c r="A4261" s="47" t="s">
        <v>9693</v>
      </c>
      <c r="B4261" s="92" t="s">
        <v>9694</v>
      </c>
      <c r="C4261" s="92" t="s">
        <v>9694</v>
      </c>
      <c r="D4261" s="72" t="str">
        <f>IFERROR(VLOOKUP(A4261,'[1]ST-QA-ZZ5'!$C$5:$M$299,11,0),"Inspection at production line")</f>
        <v>Inspection at production line</v>
      </c>
    </row>
    <row r="4262" spans="1:4" ht="13.8">
      <c r="A4262" s="47" t="s">
        <v>9695</v>
      </c>
      <c r="B4262" s="92" t="s">
        <v>7914</v>
      </c>
      <c r="C4262" s="92" t="s">
        <v>9696</v>
      </c>
      <c r="D4262" s="72" t="str">
        <f>IFERROR(VLOOKUP(A4262,'[1]ST-QA-ZZ5'!$C$5:$M$299,11,0),"Inspection at production line")</f>
        <v>Inspection at production line</v>
      </c>
    </row>
    <row r="4263" spans="1:4" ht="13.8">
      <c r="A4263" s="47" t="s">
        <v>9697</v>
      </c>
      <c r="B4263" s="92" t="s">
        <v>9698</v>
      </c>
      <c r="C4263" s="92" t="s">
        <v>9698</v>
      </c>
      <c r="D4263" s="72" t="str">
        <f>IFERROR(VLOOKUP(A4263,'[1]ST-QA-ZZ5'!$C$5:$M$299,11,0),"Inspection at production line")</f>
        <v>Inspection at production line</v>
      </c>
    </row>
    <row r="4264" spans="1:4" ht="13.8">
      <c r="A4264" s="47" t="s">
        <v>9699</v>
      </c>
      <c r="B4264" s="92" t="s">
        <v>7914</v>
      </c>
      <c r="C4264" s="92" t="s">
        <v>9700</v>
      </c>
      <c r="D4264" s="72" t="str">
        <f>IFERROR(VLOOKUP(A4264,'[1]ST-QA-ZZ5'!$C$5:$M$299,11,0),"Inspection at production line")</f>
        <v>Inspection at production line</v>
      </c>
    </row>
    <row r="4265" spans="1:4" ht="13.8">
      <c r="A4265" s="47" t="s">
        <v>9701</v>
      </c>
      <c r="B4265" s="92" t="s">
        <v>9702</v>
      </c>
      <c r="C4265" s="92" t="s">
        <v>9702</v>
      </c>
      <c r="D4265" s="72" t="str">
        <f>IFERROR(VLOOKUP(A4265,'[1]ST-QA-ZZ5'!$C$5:$M$299,11,0),"Inspection at production line")</f>
        <v>Inspection at production line</v>
      </c>
    </row>
    <row r="4266" spans="1:4" ht="13.8">
      <c r="A4266" s="47" t="s">
        <v>9703</v>
      </c>
      <c r="B4266" s="92" t="s">
        <v>7914</v>
      </c>
      <c r="C4266" s="92" t="s">
        <v>9704</v>
      </c>
      <c r="D4266" s="72" t="str">
        <f>IFERROR(VLOOKUP(A4266,'[1]ST-QA-ZZ5'!$C$5:$M$299,11,0),"Inspection at production line")</f>
        <v>Inspection at production line</v>
      </c>
    </row>
    <row r="4267" spans="1:4" ht="13.8">
      <c r="A4267" s="47" t="s">
        <v>9705</v>
      </c>
      <c r="B4267" s="92" t="s">
        <v>9706</v>
      </c>
      <c r="C4267" s="92" t="s">
        <v>9706</v>
      </c>
      <c r="D4267" s="72" t="str">
        <f>IFERROR(VLOOKUP(A4267,'[1]ST-QA-ZZ5'!$C$5:$M$299,11,0),"Inspection at production line")</f>
        <v>Inspection at production line</v>
      </c>
    </row>
    <row r="4268" spans="1:4" ht="13.8">
      <c r="A4268" s="47" t="s">
        <v>4995</v>
      </c>
      <c r="B4268" s="92" t="s">
        <v>4996</v>
      </c>
      <c r="C4268" s="92" t="s">
        <v>9707</v>
      </c>
      <c r="D4268" s="72" t="str">
        <f>IFERROR(VLOOKUP(A4268,'[1]ST-QA-ZZ5'!$C$5:$M$299,11,0),"Inspection at production line")</f>
        <v>Inspection at production line</v>
      </c>
    </row>
    <row r="4269" spans="1:4" ht="13.8">
      <c r="A4269" s="47" t="s">
        <v>9708</v>
      </c>
      <c r="B4269" s="92" t="s">
        <v>2137</v>
      </c>
      <c r="C4269" s="92" t="s">
        <v>9709</v>
      </c>
      <c r="D4269" s="72" t="str">
        <f>IFERROR(VLOOKUP(A4269,'[1]ST-QA-ZZ5'!$C$5:$M$299,11,0),"Inspection at production line")</f>
        <v>Inspection at production line</v>
      </c>
    </row>
    <row r="4270" spans="1:4" ht="13.8">
      <c r="A4270" s="47" t="s">
        <v>9710</v>
      </c>
      <c r="B4270" s="92" t="s">
        <v>5092</v>
      </c>
      <c r="C4270" s="92" t="s">
        <v>9711</v>
      </c>
      <c r="D4270" s="72" t="str">
        <f>IFERROR(VLOOKUP(A4270,'[1]ST-QA-ZZ5'!$C$5:$M$299,11,0),"Inspection at production line")</f>
        <v>Inspection at production line</v>
      </c>
    </row>
    <row r="4271" spans="1:4" ht="13.8">
      <c r="A4271" s="47" t="s">
        <v>9712</v>
      </c>
      <c r="B4271" s="92" t="s">
        <v>3084</v>
      </c>
      <c r="C4271" s="92" t="s">
        <v>9713</v>
      </c>
      <c r="D4271" s="72" t="str">
        <f>IFERROR(VLOOKUP(A4271,'[1]ST-QA-ZZ5'!$C$5:$M$299,11,0),"Inspection at production line")</f>
        <v>Inspection at production line</v>
      </c>
    </row>
    <row r="4272" spans="1:4" ht="13.8">
      <c r="A4272" s="47" t="s">
        <v>9714</v>
      </c>
      <c r="B4272" s="92" t="s">
        <v>7914</v>
      </c>
      <c r="C4272" s="92" t="s">
        <v>9715</v>
      </c>
      <c r="D4272" s="72" t="str">
        <f>IFERROR(VLOOKUP(A4272,'[1]ST-QA-ZZ5'!$C$5:$M$299,11,0),"Inspection at production line")</f>
        <v>Inspection at production line</v>
      </c>
    </row>
    <row r="4273" spans="1:4" ht="13.8">
      <c r="A4273" s="47" t="s">
        <v>9716</v>
      </c>
      <c r="B4273" s="92" t="s">
        <v>1554</v>
      </c>
      <c r="C4273" s="92" t="s">
        <v>9717</v>
      </c>
      <c r="D4273" s="72" t="str">
        <f>IFERROR(VLOOKUP(A4273,'[1]ST-QA-ZZ5'!$C$5:$M$299,11,0),"Inspection at production line")</f>
        <v>Inspection at production line</v>
      </c>
    </row>
    <row r="4274" spans="1:4" ht="13.8">
      <c r="A4274" s="47" t="s">
        <v>9718</v>
      </c>
      <c r="B4274" s="92" t="s">
        <v>1554</v>
      </c>
      <c r="C4274" s="92" t="s">
        <v>9719</v>
      </c>
      <c r="D4274" s="72" t="str">
        <f>IFERROR(VLOOKUP(A4274,'[1]ST-QA-ZZ5'!$C$5:$M$299,11,0),"Inspection at production line")</f>
        <v>Inspection at production line</v>
      </c>
    </row>
    <row r="4275" spans="1:4" ht="13.8">
      <c r="A4275" s="47" t="s">
        <v>9720</v>
      </c>
      <c r="B4275" s="92" t="s">
        <v>4772</v>
      </c>
      <c r="C4275" s="92" t="s">
        <v>9721</v>
      </c>
      <c r="D4275" s="72" t="str">
        <f>IFERROR(VLOOKUP(A4275,'[1]ST-QA-ZZ5'!$C$5:$M$299,11,0),"Inspection at production line")</f>
        <v>Inspection at production line</v>
      </c>
    </row>
    <row r="4276" spans="1:4" ht="13.8">
      <c r="A4276" s="47" t="s">
        <v>9722</v>
      </c>
      <c r="B4276" s="92" t="s">
        <v>7914</v>
      </c>
      <c r="C4276" s="92" t="s">
        <v>9723</v>
      </c>
      <c r="D4276" s="72" t="str">
        <f>IFERROR(VLOOKUP(A4276,'[1]ST-QA-ZZ5'!$C$5:$M$299,11,0),"Inspection at production line")</f>
        <v>Inspection at production line</v>
      </c>
    </row>
    <row r="4277" spans="1:4" ht="13.8">
      <c r="A4277" s="47" t="s">
        <v>9724</v>
      </c>
      <c r="B4277" s="92" t="s">
        <v>9725</v>
      </c>
      <c r="C4277" s="92" t="s">
        <v>9725</v>
      </c>
      <c r="D4277" s="72" t="str">
        <f>IFERROR(VLOOKUP(A4277,'[1]ST-QA-ZZ5'!$C$5:$M$299,11,0),"Inspection at production line")</f>
        <v>Inspection at production line</v>
      </c>
    </row>
    <row r="4278" spans="1:4" ht="13.8">
      <c r="A4278" s="47" t="s">
        <v>9726</v>
      </c>
      <c r="B4278" s="92" t="s">
        <v>7914</v>
      </c>
      <c r="C4278" s="92" t="s">
        <v>9727</v>
      </c>
      <c r="D4278" s="72" t="str">
        <f>IFERROR(VLOOKUP(A4278,'[1]ST-QA-ZZ5'!$C$5:$M$299,11,0),"Inspection at production line")</f>
        <v>Inspection at production line</v>
      </c>
    </row>
    <row r="4279" spans="1:4" ht="13.8">
      <c r="A4279" s="47" t="s">
        <v>9728</v>
      </c>
      <c r="B4279" s="92" t="s">
        <v>9729</v>
      </c>
      <c r="C4279" s="92" t="s">
        <v>9729</v>
      </c>
      <c r="D4279" s="72" t="str">
        <f>IFERROR(VLOOKUP(A4279,'[1]ST-QA-ZZ5'!$C$5:$M$299,11,0),"Inspection at production line")</f>
        <v>Inspection at production line</v>
      </c>
    </row>
    <row r="4280" spans="1:4" ht="13.8">
      <c r="A4280" s="47" t="s">
        <v>9730</v>
      </c>
      <c r="B4280" s="92" t="s">
        <v>1554</v>
      </c>
      <c r="C4280" s="92" t="s">
        <v>9731</v>
      </c>
      <c r="D4280" s="72" t="str">
        <f>IFERROR(VLOOKUP(A4280,'[1]ST-QA-ZZ5'!$C$5:$M$299,11,0),"Inspection at production line")</f>
        <v>Inspection at production line</v>
      </c>
    </row>
    <row r="4281" spans="1:4" ht="13.8">
      <c r="A4281" s="47" t="s">
        <v>5091</v>
      </c>
      <c r="B4281" s="92" t="s">
        <v>5092</v>
      </c>
      <c r="C4281" s="92" t="s">
        <v>5093</v>
      </c>
      <c r="D4281" s="72" t="str">
        <f>IFERROR(VLOOKUP(A4281,'[1]ST-QA-ZZ5'!$C$5:$M$299,11,0),"Inspection at production line")</f>
        <v>Inspection at production line</v>
      </c>
    </row>
    <row r="4282" spans="1:4" ht="13.8">
      <c r="A4282" s="47" t="s">
        <v>9732</v>
      </c>
      <c r="B4282" s="92" t="s">
        <v>5299</v>
      </c>
      <c r="C4282" s="92" t="s">
        <v>9733</v>
      </c>
      <c r="D4282" s="72" t="str">
        <f>IFERROR(VLOOKUP(A4282,'[1]ST-QA-ZZ5'!$C$5:$M$299,11,0),"Inspection at production line")</f>
        <v>Inspection at production line</v>
      </c>
    </row>
    <row r="4283" spans="1:4" ht="13.8">
      <c r="A4283" s="47" t="s">
        <v>9734</v>
      </c>
      <c r="B4283" s="92" t="s">
        <v>5299</v>
      </c>
      <c r="C4283" s="94" t="s">
        <v>9735</v>
      </c>
      <c r="D4283" s="72" t="str">
        <f>IFERROR(VLOOKUP(A4283,'[1]ST-QA-ZZ5'!$C$5:$M$299,11,0),"Inspection at production line")</f>
        <v>Inspection at production line</v>
      </c>
    </row>
    <row r="4284" spans="1:4" ht="13.8">
      <c r="A4284" s="47" t="s">
        <v>9736</v>
      </c>
      <c r="B4284" s="92" t="s">
        <v>5299</v>
      </c>
      <c r="C4284" s="92" t="s">
        <v>9737</v>
      </c>
      <c r="D4284" s="72" t="str">
        <f>IFERROR(VLOOKUP(A4284,'[1]ST-QA-ZZ5'!$C$5:$M$299,11,0),"Inspection at production line")</f>
        <v>Inspection at production line</v>
      </c>
    </row>
    <row r="4285" spans="1:4" ht="13.8">
      <c r="A4285" s="47" t="s">
        <v>9738</v>
      </c>
      <c r="B4285" s="92" t="s">
        <v>5299</v>
      </c>
      <c r="C4285" s="92" t="s">
        <v>9739</v>
      </c>
      <c r="D4285" s="72" t="str">
        <f>IFERROR(VLOOKUP(A4285,'[1]ST-QA-ZZ5'!$C$5:$M$299,11,0),"Inspection at production line")</f>
        <v>Inspection at production line</v>
      </c>
    </row>
    <row r="4286" spans="1:4" ht="13.8">
      <c r="A4286" s="47" t="s">
        <v>9740</v>
      </c>
      <c r="B4286" s="92" t="s">
        <v>1273</v>
      </c>
      <c r="C4286" s="92" t="s">
        <v>9741</v>
      </c>
      <c r="D4286" s="72" t="str">
        <f>IFERROR(VLOOKUP(A4286,'[1]ST-QA-ZZ5'!$C$5:$M$299,11,0),"Inspection at production line")</f>
        <v>Inspection at production line</v>
      </c>
    </row>
    <row r="4287" spans="1:4" ht="13.8">
      <c r="A4287" s="47" t="s">
        <v>9742</v>
      </c>
      <c r="B4287" s="92" t="s">
        <v>57</v>
      </c>
      <c r="C4287" s="92" t="s">
        <v>9743</v>
      </c>
      <c r="D4287" s="72" t="str">
        <f>IFERROR(VLOOKUP(A4287,'[1]ST-QA-ZZ5'!$C$5:$M$299,11,0),"Inspection at production line")</f>
        <v>Inspection at production line</v>
      </c>
    </row>
    <row r="4288" spans="1:4" ht="13.8">
      <c r="A4288" s="47" t="s">
        <v>9744</v>
      </c>
      <c r="B4288" s="92" t="s">
        <v>5657</v>
      </c>
      <c r="C4288" s="92" t="s">
        <v>9745</v>
      </c>
      <c r="D4288" s="72" t="str">
        <f>IFERROR(VLOOKUP(A4288,'[1]ST-QA-ZZ5'!$C$5:$M$299,11,0),"Inspection at production line")</f>
        <v>Inspection at production line</v>
      </c>
    </row>
    <row r="4289" spans="1:4" ht="13.8">
      <c r="A4289" s="47" t="s">
        <v>9746</v>
      </c>
      <c r="B4289" s="92" t="s">
        <v>2037</v>
      </c>
      <c r="C4289" s="92" t="s">
        <v>9747</v>
      </c>
      <c r="D4289" s="72" t="str">
        <f>IFERROR(VLOOKUP(A4289,'[1]ST-QA-ZZ5'!$C$5:$M$299,11,0),"Inspection at production line")</f>
        <v>Inspection at production line</v>
      </c>
    </row>
    <row r="4290" spans="1:4" ht="13.8">
      <c r="A4290" s="47" t="s">
        <v>9748</v>
      </c>
      <c r="B4290" s="92" t="s">
        <v>2037</v>
      </c>
      <c r="C4290" s="92" t="s">
        <v>9749</v>
      </c>
      <c r="D4290" s="72" t="str">
        <f>IFERROR(VLOOKUP(A4290,'[1]ST-QA-ZZ5'!$C$5:$M$299,11,0),"Inspection at production line")</f>
        <v>Inspection at production line</v>
      </c>
    </row>
    <row r="4291" spans="1:4" ht="13.8">
      <c r="A4291" s="47" t="s">
        <v>9750</v>
      </c>
      <c r="B4291" s="92" t="s">
        <v>1994</v>
      </c>
      <c r="C4291" s="92" t="s">
        <v>9751</v>
      </c>
      <c r="D4291" s="72" t="str">
        <f>IFERROR(VLOOKUP(A4291,'[1]ST-QA-ZZ5'!$C$5:$M$299,11,0),"Inspection at production line")</f>
        <v>Inspection at production line</v>
      </c>
    </row>
    <row r="4292" spans="1:4" ht="13.8">
      <c r="A4292" s="47" t="s">
        <v>9752</v>
      </c>
      <c r="B4292" s="92" t="s">
        <v>404</v>
      </c>
      <c r="C4292" s="92" t="s">
        <v>9753</v>
      </c>
      <c r="D4292" s="72" t="str">
        <f>IFERROR(VLOOKUP(A4292,'[1]ST-QA-ZZ5'!$C$5:$M$299,11,0),"Inspection at production line")</f>
        <v>Inspection at production line</v>
      </c>
    </row>
    <row r="4293" spans="1:4" ht="13.8">
      <c r="A4293" s="47" t="s">
        <v>5098</v>
      </c>
      <c r="B4293" s="92" t="s">
        <v>5099</v>
      </c>
      <c r="C4293" s="92" t="s">
        <v>5100</v>
      </c>
      <c r="D4293" s="72" t="str">
        <f>IFERROR(VLOOKUP(A4293,'[1]ST-QA-ZZ5'!$C$5:$M$299,11,0),"Inspection at production line")</f>
        <v>Inspection at production line</v>
      </c>
    </row>
    <row r="4294" spans="1:4" ht="13.8">
      <c r="A4294" s="47" t="s">
        <v>5103</v>
      </c>
      <c r="B4294" s="92" t="s">
        <v>1954</v>
      </c>
      <c r="C4294" s="92" t="s">
        <v>5104</v>
      </c>
      <c r="D4294" s="72" t="str">
        <f>IFERROR(VLOOKUP(A4294,'[1]ST-QA-ZZ5'!$C$5:$M$299,11,0),"Inspection at production line")</f>
        <v>Inspection at production line</v>
      </c>
    </row>
    <row r="4295" spans="1:4" ht="13.8">
      <c r="A4295" s="47" t="s">
        <v>5107</v>
      </c>
      <c r="B4295" s="92" t="s">
        <v>1954</v>
      </c>
      <c r="C4295" s="92" t="s">
        <v>5108</v>
      </c>
      <c r="D4295" s="72" t="str">
        <f>IFERROR(VLOOKUP(A4295,'[1]ST-QA-ZZ5'!$C$5:$M$299,11,0),"Inspection at production line")</f>
        <v>Inspection at production line</v>
      </c>
    </row>
    <row r="4296" spans="1:4" ht="13.8">
      <c r="A4296" s="47" t="s">
        <v>9754</v>
      </c>
      <c r="B4296" s="92" t="s">
        <v>5099</v>
      </c>
      <c r="C4296" s="92" t="s">
        <v>9755</v>
      </c>
      <c r="D4296" s="72" t="str">
        <f>IFERROR(VLOOKUP(A4296,'[1]ST-QA-ZZ5'!$C$5:$M$299,11,0),"Inspection at production line")</f>
        <v>Inspection at production line</v>
      </c>
    </row>
    <row r="4297" spans="1:4" ht="13.8">
      <c r="A4297" s="47" t="s">
        <v>5148</v>
      </c>
      <c r="B4297" s="92" t="s">
        <v>1208</v>
      </c>
      <c r="C4297" s="92" t="s">
        <v>5149</v>
      </c>
      <c r="D4297" s="72" t="str">
        <f>IFERROR(VLOOKUP(A4297,'[1]ST-QA-ZZ5'!$C$5:$M$299,11,0),"Inspection at production line")</f>
        <v>Inspection at production line</v>
      </c>
    </row>
    <row r="4298" spans="1:4" ht="13.8">
      <c r="A4298" s="47" t="s">
        <v>9756</v>
      </c>
      <c r="B4298" s="92" t="s">
        <v>404</v>
      </c>
      <c r="C4298" s="92" t="s">
        <v>9757</v>
      </c>
      <c r="D4298" s="72" t="str">
        <f>IFERROR(VLOOKUP(A4298,'[1]ST-QA-ZZ5'!$C$5:$M$299,11,0),"Inspection at production line")</f>
        <v>Inspection at production line</v>
      </c>
    </row>
    <row r="4299" spans="1:4" ht="13.8">
      <c r="A4299" s="47" t="s">
        <v>9758</v>
      </c>
      <c r="B4299" s="92" t="s">
        <v>90</v>
      </c>
      <c r="C4299" s="92" t="s">
        <v>9759</v>
      </c>
      <c r="D4299" s="72" t="str">
        <f>IFERROR(VLOOKUP(A4299,'[1]ST-QA-ZZ5'!$C$5:$M$299,11,0),"Inspection at production line")</f>
        <v>Inspection at production line</v>
      </c>
    </row>
    <row r="4300" spans="1:4" ht="13.8">
      <c r="A4300" s="47" t="s">
        <v>9760</v>
      </c>
      <c r="B4300" s="92" t="s">
        <v>90</v>
      </c>
      <c r="C4300" s="92" t="s">
        <v>9761</v>
      </c>
      <c r="D4300" s="72" t="str">
        <f>IFERROR(VLOOKUP(A4300,'[1]ST-QA-ZZ5'!$C$5:$M$299,11,0),"Inspection at production line")</f>
        <v>Inspection at production line</v>
      </c>
    </row>
    <row r="4301" spans="1:4" ht="13.8">
      <c r="A4301" s="47" t="s">
        <v>5280</v>
      </c>
      <c r="B4301" s="92" t="s">
        <v>5281</v>
      </c>
      <c r="C4301" s="92" t="s">
        <v>5282</v>
      </c>
      <c r="D4301" s="72" t="str">
        <f>IFERROR(VLOOKUP(A4301,'[1]ST-QA-ZZ5'!$C$5:$M$299,11,0),"Inspection at production line")</f>
        <v>Inspection at production line</v>
      </c>
    </row>
    <row r="4302" spans="1:4" ht="13.8">
      <c r="A4302" s="47" t="s">
        <v>9762</v>
      </c>
      <c r="B4302" s="92" t="s">
        <v>9608</v>
      </c>
      <c r="C4302" s="92" t="s">
        <v>9763</v>
      </c>
      <c r="D4302" s="72" t="str">
        <f>IFERROR(VLOOKUP(A4302,'[1]ST-QA-ZZ5'!$C$5:$M$299,11,0),"Inspection at production line")</f>
        <v>Inspection at production line</v>
      </c>
    </row>
    <row r="4303" spans="1:4" ht="13.8">
      <c r="A4303" s="47" t="s">
        <v>9764</v>
      </c>
      <c r="B4303" s="92" t="s">
        <v>2595</v>
      </c>
      <c r="C4303" s="92" t="s">
        <v>2596</v>
      </c>
      <c r="D4303" s="72" t="str">
        <f>IFERROR(VLOOKUP(A4303,'[1]ST-QA-ZZ5'!$C$5:$M$299,11,0),"Inspection at production line")</f>
        <v>Inspection at production line</v>
      </c>
    </row>
    <row r="4304" spans="1:4" ht="13.8">
      <c r="A4304" s="47" t="s">
        <v>9765</v>
      </c>
      <c r="B4304" s="92" t="s">
        <v>9766</v>
      </c>
      <c r="C4304" s="92" t="s">
        <v>9767</v>
      </c>
      <c r="D4304" s="72" t="str">
        <f>IFERROR(VLOOKUP(A4304,'[1]ST-QA-ZZ5'!$C$5:$M$299,11,0),"Inspection at production line")</f>
        <v>Inspection at production line</v>
      </c>
    </row>
    <row r="4305" spans="1:4" ht="13.8">
      <c r="A4305" s="47" t="s">
        <v>9768</v>
      </c>
      <c r="B4305" s="92" t="s">
        <v>9766</v>
      </c>
      <c r="C4305" s="92" t="s">
        <v>9769</v>
      </c>
      <c r="D4305" s="72" t="str">
        <f>IFERROR(VLOOKUP(A4305,'[1]ST-QA-ZZ5'!$C$5:$M$299,11,0),"Inspection at production line")</f>
        <v>Inspection at production line</v>
      </c>
    </row>
    <row r="4306" spans="1:4" ht="13.8">
      <c r="A4306" s="47" t="s">
        <v>9770</v>
      </c>
      <c r="B4306" s="92" t="s">
        <v>9766</v>
      </c>
      <c r="C4306" s="92" t="s">
        <v>9771</v>
      </c>
      <c r="D4306" s="72" t="str">
        <f>IFERROR(VLOOKUP(A4306,'[1]ST-QA-ZZ5'!$C$5:$M$299,11,0),"Inspection at production line")</f>
        <v>Inspection at production line</v>
      </c>
    </row>
    <row r="4307" spans="1:4" ht="13.8">
      <c r="A4307" s="47" t="s">
        <v>9772</v>
      </c>
      <c r="B4307" s="92" t="s">
        <v>9766</v>
      </c>
      <c r="C4307" s="92" t="s">
        <v>9773</v>
      </c>
      <c r="D4307" s="72" t="str">
        <f>IFERROR(VLOOKUP(A4307,'[1]ST-QA-ZZ5'!$C$5:$M$299,11,0),"Inspection at production line")</f>
        <v>Inspection at production line</v>
      </c>
    </row>
    <row r="4308" spans="1:4" ht="13.8">
      <c r="A4308" s="47" t="s">
        <v>9774</v>
      </c>
      <c r="B4308" s="92" t="s">
        <v>9766</v>
      </c>
      <c r="C4308" s="92" t="s">
        <v>9775</v>
      </c>
      <c r="D4308" s="72" t="str">
        <f>IFERROR(VLOOKUP(A4308,'[1]ST-QA-ZZ5'!$C$5:$M$299,11,0),"Inspection at production line")</f>
        <v>Inspection at production line</v>
      </c>
    </row>
    <row r="4309" spans="1:4" ht="13.8">
      <c r="A4309" s="47" t="s">
        <v>9776</v>
      </c>
      <c r="B4309" s="92" t="s">
        <v>4769</v>
      </c>
      <c r="C4309" s="92" t="s">
        <v>9777</v>
      </c>
      <c r="D4309" s="72" t="str">
        <f>IFERROR(VLOOKUP(A4309,'[1]ST-QA-ZZ5'!$C$5:$M$299,11,0),"Inspection at production line")</f>
        <v>Inspection at production line</v>
      </c>
    </row>
    <row r="4310" spans="1:4" ht="13.8">
      <c r="A4310" s="47" t="s">
        <v>9778</v>
      </c>
      <c r="B4310" s="92" t="s">
        <v>4769</v>
      </c>
      <c r="C4310" s="92" t="s">
        <v>9779</v>
      </c>
      <c r="D4310" s="72" t="str">
        <f>IFERROR(VLOOKUP(A4310,'[1]ST-QA-ZZ5'!$C$5:$M$299,11,0),"Inspection at production line")</f>
        <v>Inspection at production line</v>
      </c>
    </row>
    <row r="4311" spans="1:4" ht="13.8">
      <c r="A4311" s="47" t="s">
        <v>9780</v>
      </c>
      <c r="B4311" s="92" t="s">
        <v>4769</v>
      </c>
      <c r="C4311" s="92" t="s">
        <v>9781</v>
      </c>
      <c r="D4311" s="72" t="str">
        <f>IFERROR(VLOOKUP(A4311,'[1]ST-QA-ZZ5'!$C$5:$M$299,11,0),"Inspection at production line")</f>
        <v>Inspection at production line</v>
      </c>
    </row>
    <row r="4312" spans="1:4" ht="13.8">
      <c r="A4312" s="47" t="s">
        <v>9782</v>
      </c>
      <c r="B4312" s="92" t="s">
        <v>3103</v>
      </c>
      <c r="C4312" s="92" t="s">
        <v>9783</v>
      </c>
      <c r="D4312" s="72" t="str">
        <f>IFERROR(VLOOKUP(A4312,'[1]ST-QA-ZZ5'!$C$5:$M$299,11,0),"Inspection at production line")</f>
        <v>Inspection at production line</v>
      </c>
    </row>
    <row r="4313" spans="1:4" ht="13.8">
      <c r="A4313" s="47" t="s">
        <v>9784</v>
      </c>
      <c r="B4313" s="92" t="s">
        <v>3103</v>
      </c>
      <c r="C4313" s="92" t="s">
        <v>9785</v>
      </c>
      <c r="D4313" s="72" t="str">
        <f>IFERROR(VLOOKUP(A4313,'[1]ST-QA-ZZ5'!$C$5:$M$299,11,0),"Inspection at production line")</f>
        <v>Inspection at production line</v>
      </c>
    </row>
    <row r="4314" spans="1:4" ht="13.8">
      <c r="A4314" s="47" t="s">
        <v>9786</v>
      </c>
      <c r="B4314" s="92" t="s">
        <v>3103</v>
      </c>
      <c r="C4314" s="92" t="s">
        <v>9787</v>
      </c>
      <c r="D4314" s="72" t="str">
        <f>IFERROR(VLOOKUP(A4314,'[1]ST-QA-ZZ5'!$C$5:$M$299,11,0),"Inspection at production line")</f>
        <v>Inspection at production line</v>
      </c>
    </row>
    <row r="4315" spans="1:4" ht="13.8">
      <c r="A4315" s="47" t="s">
        <v>9788</v>
      </c>
      <c r="B4315" s="92" t="s">
        <v>2024</v>
      </c>
      <c r="C4315" s="92" t="s">
        <v>9789</v>
      </c>
      <c r="D4315" s="72" t="str">
        <f>IFERROR(VLOOKUP(A4315,'[1]ST-QA-ZZ5'!$C$5:$M$299,11,0),"Inspection at production line")</f>
        <v>Inspection at production line</v>
      </c>
    </row>
    <row r="4316" spans="1:4" ht="13.8">
      <c r="A4316" s="47" t="s">
        <v>9790</v>
      </c>
      <c r="B4316" s="92" t="s">
        <v>5853</v>
      </c>
      <c r="C4316" s="92" t="s">
        <v>9791</v>
      </c>
      <c r="D4316" s="72" t="str">
        <f>IFERROR(VLOOKUP(A4316,'[1]ST-QA-ZZ5'!$C$5:$M$299,11,0),"Inspection at production line")</f>
        <v>Inspection at production line</v>
      </c>
    </row>
    <row r="4317" spans="1:4" ht="13.8">
      <c r="A4317" s="47" t="s">
        <v>9792</v>
      </c>
      <c r="B4317" s="92" t="s">
        <v>9186</v>
      </c>
      <c r="C4317" s="92" t="s">
        <v>9793</v>
      </c>
      <c r="D4317" s="72" t="str">
        <f>IFERROR(VLOOKUP(A4317,'[1]ST-QA-ZZ5'!$C$5:$M$299,11,0),"Inspection at production line")</f>
        <v>Inspection at production line</v>
      </c>
    </row>
    <row r="4318" spans="1:4" ht="13.8">
      <c r="A4318" s="47" t="s">
        <v>9794</v>
      </c>
      <c r="B4318" s="92" t="s">
        <v>555</v>
      </c>
      <c r="C4318" s="92" t="s">
        <v>9795</v>
      </c>
      <c r="D4318" s="72" t="str">
        <f>IFERROR(VLOOKUP(A4318,'[1]ST-QA-ZZ5'!$C$5:$M$299,11,0),"Inspection at production line")</f>
        <v>Inspection at production line</v>
      </c>
    </row>
    <row r="4319" spans="1:4" ht="13.8">
      <c r="A4319" s="47" t="s">
        <v>5362</v>
      </c>
      <c r="B4319" s="92" t="s">
        <v>174</v>
      </c>
      <c r="C4319" s="92" t="s">
        <v>5363</v>
      </c>
      <c r="D4319" s="72" t="str">
        <f>IFERROR(VLOOKUP(A4319,'[1]ST-QA-ZZ5'!$C$5:$M$299,11,0),"Inspection at production line")</f>
        <v>Inspection at production line</v>
      </c>
    </row>
    <row r="4320" spans="1:4" ht="13.8">
      <c r="A4320" s="47" t="s">
        <v>5366</v>
      </c>
      <c r="B4320" s="92" t="s">
        <v>174</v>
      </c>
      <c r="C4320" s="92" t="s">
        <v>5367</v>
      </c>
      <c r="D4320" s="72" t="str">
        <f>IFERROR(VLOOKUP(A4320,'[1]ST-QA-ZZ5'!$C$5:$M$299,11,0),"Inspection at production line")</f>
        <v>Inspection at production line</v>
      </c>
    </row>
    <row r="4321" spans="1:4" ht="13.8">
      <c r="A4321" s="47" t="s">
        <v>9796</v>
      </c>
      <c r="B4321" s="92" t="s">
        <v>1954</v>
      </c>
      <c r="C4321" s="92" t="s">
        <v>9797</v>
      </c>
      <c r="D4321" s="72" t="str">
        <f>IFERROR(VLOOKUP(A4321,'[1]ST-QA-ZZ5'!$C$5:$M$299,11,0),"Inspection at production line")</f>
        <v>Inspection at production line</v>
      </c>
    </row>
    <row r="4322" spans="1:4" ht="13.8">
      <c r="A4322" s="47" t="s">
        <v>9798</v>
      </c>
      <c r="B4322" s="92" t="s">
        <v>1954</v>
      </c>
      <c r="C4322" s="92" t="s">
        <v>9799</v>
      </c>
      <c r="D4322" s="72" t="str">
        <f>IFERROR(VLOOKUP(A4322,'[1]ST-QA-ZZ5'!$C$5:$M$299,11,0),"Inspection at production line")</f>
        <v>Inspection at production line</v>
      </c>
    </row>
    <row r="4323" spans="1:4" ht="13.8">
      <c r="A4323" s="47" t="s">
        <v>9800</v>
      </c>
      <c r="B4323" s="92" t="s">
        <v>1954</v>
      </c>
      <c r="C4323" s="92" t="s">
        <v>9801</v>
      </c>
      <c r="D4323" s="72" t="str">
        <f>IFERROR(VLOOKUP(A4323,'[1]ST-QA-ZZ5'!$C$5:$M$299,11,0),"Inspection at production line")</f>
        <v>Inspection at production line</v>
      </c>
    </row>
    <row r="4324" spans="1:4" ht="13.8">
      <c r="A4324" s="47" t="s">
        <v>9802</v>
      </c>
      <c r="B4324" s="92" t="s">
        <v>1954</v>
      </c>
      <c r="C4324" s="92" t="s">
        <v>9803</v>
      </c>
      <c r="D4324" s="72" t="str">
        <f>IFERROR(VLOOKUP(A4324,'[1]ST-QA-ZZ5'!$C$5:$M$299,11,0),"Inspection at production line")</f>
        <v>Inspection at production line</v>
      </c>
    </row>
    <row r="4325" spans="1:4" ht="13.8">
      <c r="A4325" s="47" t="s">
        <v>9804</v>
      </c>
      <c r="B4325" s="92" t="s">
        <v>1954</v>
      </c>
      <c r="C4325" s="92" t="s">
        <v>9805</v>
      </c>
      <c r="D4325" s="72" t="str">
        <f>IFERROR(VLOOKUP(A4325,'[1]ST-QA-ZZ5'!$C$5:$M$299,11,0),"Inspection at production line")</f>
        <v>Inspection at production line</v>
      </c>
    </row>
    <row r="4326" spans="1:4" ht="13.8">
      <c r="A4326" s="47" t="s">
        <v>9806</v>
      </c>
      <c r="B4326" s="92" t="s">
        <v>1954</v>
      </c>
      <c r="C4326" s="92" t="s">
        <v>9807</v>
      </c>
      <c r="D4326" s="72" t="str">
        <f>IFERROR(VLOOKUP(A4326,'[1]ST-QA-ZZ5'!$C$5:$M$299,11,0),"Inspection at production line")</f>
        <v>Inspection at production line</v>
      </c>
    </row>
    <row r="4327" spans="1:4" ht="13.8">
      <c r="A4327" s="47" t="s">
        <v>9808</v>
      </c>
      <c r="B4327" s="92" t="s">
        <v>1954</v>
      </c>
      <c r="C4327" s="92" t="s">
        <v>9809</v>
      </c>
      <c r="D4327" s="72" t="str">
        <f>IFERROR(VLOOKUP(A4327,'[1]ST-QA-ZZ5'!$C$5:$M$299,11,0),"Inspection at production line")</f>
        <v>Inspection at production line</v>
      </c>
    </row>
    <row r="4328" spans="1:4" ht="13.8">
      <c r="A4328" s="47" t="s">
        <v>9810</v>
      </c>
      <c r="B4328" s="92" t="s">
        <v>1954</v>
      </c>
      <c r="C4328" s="92" t="s">
        <v>9811</v>
      </c>
      <c r="D4328" s="72" t="str">
        <f>IFERROR(VLOOKUP(A4328,'[1]ST-QA-ZZ5'!$C$5:$M$299,11,0),"Inspection at production line")</f>
        <v>Inspection at production line</v>
      </c>
    </row>
    <row r="4329" spans="1:4" ht="13.8">
      <c r="A4329" s="47" t="s">
        <v>9812</v>
      </c>
      <c r="B4329" s="92" t="s">
        <v>1954</v>
      </c>
      <c r="C4329" s="92" t="s">
        <v>9813</v>
      </c>
      <c r="D4329" s="72" t="str">
        <f>IFERROR(VLOOKUP(A4329,'[1]ST-QA-ZZ5'!$C$5:$M$299,11,0),"Inspection at production line")</f>
        <v>Inspection at production line</v>
      </c>
    </row>
    <row r="4330" spans="1:4" ht="13.8">
      <c r="A4330" s="47" t="s">
        <v>5331</v>
      </c>
      <c r="B4330" s="92" t="s">
        <v>1954</v>
      </c>
      <c r="C4330" s="92" t="s">
        <v>5332</v>
      </c>
      <c r="D4330" s="72" t="str">
        <f>IFERROR(VLOOKUP(A4330,'[1]ST-QA-ZZ5'!$C$5:$M$299,11,0),"Inspection at production line")</f>
        <v>Inspection at production line</v>
      </c>
    </row>
    <row r="4331" spans="1:4" ht="13.8">
      <c r="A4331" s="47" t="s">
        <v>9814</v>
      </c>
      <c r="B4331" s="92" t="s">
        <v>1954</v>
      </c>
      <c r="C4331" s="92" t="s">
        <v>9815</v>
      </c>
      <c r="D4331" s="72" t="str">
        <f>IFERROR(VLOOKUP(A4331,'[1]ST-QA-ZZ5'!$C$5:$M$299,11,0),"Inspection at production line")</f>
        <v>Inspection at production line</v>
      </c>
    </row>
    <row r="4332" spans="1:4" ht="13.8">
      <c r="A4332" s="47" t="s">
        <v>9816</v>
      </c>
      <c r="B4332" s="92" t="s">
        <v>1954</v>
      </c>
      <c r="C4332" s="92" t="s">
        <v>9817</v>
      </c>
      <c r="D4332" s="72" t="str">
        <f>IFERROR(VLOOKUP(A4332,'[1]ST-QA-ZZ5'!$C$5:$M$299,11,0),"Inspection at production line")</f>
        <v>Inspection at production line</v>
      </c>
    </row>
    <row r="4333" spans="1:4" ht="13.8">
      <c r="A4333" s="47" t="s">
        <v>9818</v>
      </c>
      <c r="B4333" s="92" t="s">
        <v>1954</v>
      </c>
      <c r="C4333" s="92" t="s">
        <v>9819</v>
      </c>
      <c r="D4333" s="72" t="str">
        <f>IFERROR(VLOOKUP(A4333,'[1]ST-QA-ZZ5'!$C$5:$M$299,11,0),"Inspection at production line")</f>
        <v>Inspection at production line</v>
      </c>
    </row>
    <row r="4334" spans="1:4" ht="13.8">
      <c r="A4334" s="47" t="s">
        <v>9820</v>
      </c>
      <c r="B4334" s="92" t="s">
        <v>1986</v>
      </c>
      <c r="C4334" s="92" t="s">
        <v>9821</v>
      </c>
      <c r="D4334" s="72" t="str">
        <f>IFERROR(VLOOKUP(A4334,'[1]ST-QA-ZZ5'!$C$5:$M$299,11,0),"Inspection at production line")</f>
        <v>Inspection at production line</v>
      </c>
    </row>
    <row r="4335" spans="1:4" ht="13.8">
      <c r="A4335" s="47" t="s">
        <v>9822</v>
      </c>
      <c r="B4335" s="92" t="s">
        <v>9823</v>
      </c>
      <c r="C4335" s="92" t="s">
        <v>9824</v>
      </c>
      <c r="D4335" s="72" t="str">
        <f>IFERROR(VLOOKUP(A4335,'[1]ST-QA-ZZ5'!$C$5:$M$299,11,0),"Inspection at production line")</f>
        <v>Inspection at production line</v>
      </c>
    </row>
    <row r="4336" spans="1:4" ht="13.8">
      <c r="A4336" s="47" t="s">
        <v>9825</v>
      </c>
      <c r="B4336" s="92" t="s">
        <v>1491</v>
      </c>
      <c r="C4336" s="92" t="s">
        <v>9826</v>
      </c>
      <c r="D4336" s="72" t="str">
        <f>IFERROR(VLOOKUP(A4336,'[1]ST-QA-ZZ5'!$C$5:$M$299,11,0),"Inspection at production line")</f>
        <v>Inspection at production line</v>
      </c>
    </row>
    <row r="4337" spans="1:4" ht="13.8">
      <c r="A4337" s="47" t="s">
        <v>5388</v>
      </c>
      <c r="B4337" s="92" t="s">
        <v>404</v>
      </c>
      <c r="C4337" s="92" t="s">
        <v>5389</v>
      </c>
      <c r="D4337" s="72" t="str">
        <f>IFERROR(VLOOKUP(A4337,'[1]ST-QA-ZZ5'!$C$5:$M$299,11,0),"Inspection at production line")</f>
        <v>Inspection at production line</v>
      </c>
    </row>
    <row r="4338" spans="1:4" ht="13.8">
      <c r="A4338" s="47" t="s">
        <v>5392</v>
      </c>
      <c r="B4338" s="92" t="s">
        <v>404</v>
      </c>
      <c r="C4338" s="92" t="s">
        <v>5393</v>
      </c>
      <c r="D4338" s="72" t="str">
        <f>IFERROR(VLOOKUP(A4338,'[1]ST-QA-ZZ5'!$C$5:$M$299,11,0),"Inspection at production line")</f>
        <v>Inspection at production line</v>
      </c>
    </row>
    <row r="4339" spans="1:4" ht="13.8">
      <c r="A4339" s="47" t="s">
        <v>9827</v>
      </c>
      <c r="B4339" s="92" t="s">
        <v>174</v>
      </c>
      <c r="C4339" s="92" t="s">
        <v>9828</v>
      </c>
      <c r="D4339" s="72" t="str">
        <f>IFERROR(VLOOKUP(A4339,'[1]ST-QA-ZZ5'!$C$5:$M$299,11,0),"Inspection at production line")</f>
        <v>Inspection at production line</v>
      </c>
    </row>
    <row r="4340" spans="1:4" ht="13.8">
      <c r="A4340" s="47" t="s">
        <v>9829</v>
      </c>
      <c r="B4340" s="92" t="s">
        <v>404</v>
      </c>
      <c r="C4340" s="92" t="s">
        <v>9830</v>
      </c>
      <c r="D4340" s="72" t="str">
        <f>IFERROR(VLOOKUP(A4340,'[1]ST-QA-ZZ5'!$C$5:$M$299,11,0),"Inspection at production line")</f>
        <v>Inspection at production line</v>
      </c>
    </row>
    <row r="4341" spans="1:4" ht="13.8">
      <c r="A4341" s="47" t="s">
        <v>9831</v>
      </c>
      <c r="B4341" s="92" t="s">
        <v>3454</v>
      </c>
      <c r="C4341" s="92" t="s">
        <v>9832</v>
      </c>
      <c r="D4341" s="72" t="str">
        <f>IFERROR(VLOOKUP(A4341,'[1]ST-QA-ZZ5'!$C$5:$M$299,11,0),"Inspection at production line")</f>
        <v>Inspection at production line</v>
      </c>
    </row>
    <row r="4342" spans="1:4" ht="13.8">
      <c r="A4342" s="47" t="s">
        <v>9833</v>
      </c>
      <c r="B4342" s="92" t="s">
        <v>9834</v>
      </c>
      <c r="C4342" s="92" t="s">
        <v>9835</v>
      </c>
      <c r="D4342" s="72" t="str">
        <f>IFERROR(VLOOKUP(A4342,'[1]ST-QA-ZZ5'!$C$5:$M$299,11,0),"Inspection at production line")</f>
        <v>Inspection at production line</v>
      </c>
    </row>
    <row r="4343" spans="1:4" ht="13.8">
      <c r="A4343" s="47" t="s">
        <v>5355</v>
      </c>
      <c r="B4343" s="92" t="s">
        <v>404</v>
      </c>
      <c r="C4343" s="92" t="s">
        <v>5356</v>
      </c>
      <c r="D4343" s="72" t="str">
        <f>IFERROR(VLOOKUP(A4343,'[1]ST-QA-ZZ5'!$C$5:$M$299,11,0),"Inspection at production line")</f>
        <v>Inspection at production line</v>
      </c>
    </row>
    <row r="4344" spans="1:4" ht="13.8">
      <c r="A4344" s="47" t="s">
        <v>5376</v>
      </c>
      <c r="B4344" s="92" t="s">
        <v>5377</v>
      </c>
      <c r="C4344" s="92" t="s">
        <v>5001</v>
      </c>
      <c r="D4344" s="72" t="str">
        <f>IFERROR(VLOOKUP(A4344,'[1]ST-QA-ZZ5'!$C$5:$M$299,11,0),"Inspection at production line")</f>
        <v>Inspection at production line</v>
      </c>
    </row>
    <row r="4345" spans="1:4" ht="13.8">
      <c r="A4345" s="47" t="s">
        <v>5380</v>
      </c>
      <c r="B4345" s="92" t="s">
        <v>3079</v>
      </c>
      <c r="C4345" s="92" t="s">
        <v>2671</v>
      </c>
      <c r="D4345" s="72" t="str">
        <f>IFERROR(VLOOKUP(A4345,'[1]ST-QA-ZZ5'!$C$5:$M$299,11,0),"Inspection at production line")</f>
        <v>Inspection at production line</v>
      </c>
    </row>
    <row r="4346" spans="1:4" ht="13.8">
      <c r="A4346" s="47" t="s">
        <v>9836</v>
      </c>
      <c r="B4346" s="92" t="s">
        <v>4996</v>
      </c>
      <c r="C4346" s="92" t="s">
        <v>9587</v>
      </c>
      <c r="D4346" s="72" t="str">
        <f>IFERROR(VLOOKUP(A4346,'[1]ST-QA-ZZ5'!$C$5:$M$299,11,0),"Inspection at production line")</f>
        <v>Inspection at production line</v>
      </c>
    </row>
    <row r="4347" spans="1:4" ht="13.8">
      <c r="A4347" s="47" t="s">
        <v>5357</v>
      </c>
      <c r="B4347" s="92" t="s">
        <v>4996</v>
      </c>
      <c r="C4347" s="92" t="s">
        <v>5358</v>
      </c>
      <c r="D4347" s="72" t="str">
        <f>IFERROR(VLOOKUP(A4347,'[1]ST-QA-ZZ5'!$C$5:$M$299,11,0),"Inspection at production line")</f>
        <v>Inspection at production line</v>
      </c>
    </row>
    <row r="4348" spans="1:4" ht="13.8">
      <c r="A4348" s="47" t="s">
        <v>9837</v>
      </c>
      <c r="B4348" s="92" t="s">
        <v>3084</v>
      </c>
      <c r="C4348" s="92" t="s">
        <v>9838</v>
      </c>
      <c r="D4348" s="72" t="str">
        <f>IFERROR(VLOOKUP(A4348,'[1]ST-QA-ZZ5'!$C$5:$M$299,11,0),"Inspection at production line")</f>
        <v>Inspection at production line</v>
      </c>
    </row>
    <row r="4349" spans="1:4" ht="13.8">
      <c r="A4349" s="47" t="s">
        <v>5329</v>
      </c>
      <c r="B4349" s="92" t="s">
        <v>3084</v>
      </c>
      <c r="C4349" s="92" t="s">
        <v>5330</v>
      </c>
      <c r="D4349" s="72" t="str">
        <f>IFERROR(VLOOKUP(A4349,'[1]ST-QA-ZZ5'!$C$5:$M$299,11,0),"Inspection at production line")</f>
        <v>Inspection at production line</v>
      </c>
    </row>
    <row r="4350" spans="1:4" ht="13.8">
      <c r="A4350" s="47" t="s">
        <v>9839</v>
      </c>
      <c r="B4350" s="92" t="s">
        <v>3084</v>
      </c>
      <c r="C4350" s="92" t="s">
        <v>9840</v>
      </c>
      <c r="D4350" s="72" t="str">
        <f>IFERROR(VLOOKUP(A4350,'[1]ST-QA-ZZ5'!$C$5:$M$299,11,0),"Inspection at production line")</f>
        <v>Inspection at production line</v>
      </c>
    </row>
    <row r="4351" spans="1:4" ht="13.8">
      <c r="A4351" s="47" t="s">
        <v>9841</v>
      </c>
      <c r="B4351" s="92" t="s">
        <v>3084</v>
      </c>
      <c r="C4351" s="92" t="s">
        <v>9842</v>
      </c>
      <c r="D4351" s="72" t="str">
        <f>IFERROR(VLOOKUP(A4351,'[1]ST-QA-ZZ5'!$C$5:$M$299,11,0),"Inspection at production line")</f>
        <v>Inspection at production line</v>
      </c>
    </row>
    <row r="4352" spans="1:4" ht="13.8">
      <c r="A4352" s="47" t="s">
        <v>9843</v>
      </c>
      <c r="B4352" s="92" t="s">
        <v>2137</v>
      </c>
      <c r="C4352" s="92" t="s">
        <v>9844</v>
      </c>
      <c r="D4352" s="72" t="str">
        <f>IFERROR(VLOOKUP(A4352,'[1]ST-QA-ZZ5'!$C$5:$M$299,11,0),"Inspection at production line")</f>
        <v>Inspection at production line</v>
      </c>
    </row>
    <row r="4353" spans="1:4" ht="13.8">
      <c r="A4353" s="47" t="s">
        <v>9845</v>
      </c>
      <c r="B4353" s="92" t="s">
        <v>2137</v>
      </c>
      <c r="C4353" s="92" t="s">
        <v>9846</v>
      </c>
      <c r="D4353" s="72" t="str">
        <f>IFERROR(VLOOKUP(A4353,'[1]ST-QA-ZZ5'!$C$5:$M$299,11,0),"Inspection at production line")</f>
        <v>Inspection at production line</v>
      </c>
    </row>
    <row r="4354" spans="1:4" ht="13.8">
      <c r="A4354" s="47" t="s">
        <v>9847</v>
      </c>
      <c r="B4354" s="92" t="s">
        <v>9848</v>
      </c>
      <c r="C4354" s="92" t="s">
        <v>9849</v>
      </c>
      <c r="D4354" s="72" t="str">
        <f>IFERROR(VLOOKUP(A4354,'[1]ST-QA-ZZ5'!$C$5:$M$299,11,0),"Inspection at production line")</f>
        <v>Inspection at production line</v>
      </c>
    </row>
    <row r="4355" spans="1:4" ht="13.8">
      <c r="A4355" s="47" t="s">
        <v>5374</v>
      </c>
      <c r="B4355" s="92" t="s">
        <v>2137</v>
      </c>
      <c r="C4355" s="92" t="s">
        <v>5375</v>
      </c>
      <c r="D4355" s="72" t="str">
        <f>IFERROR(VLOOKUP(A4355,'[1]ST-QA-ZZ5'!$C$5:$M$299,11,0),"Inspection at production line")</f>
        <v>Inspection at production line</v>
      </c>
    </row>
    <row r="4356" spans="1:4" ht="13.8">
      <c r="A4356" s="47" t="s">
        <v>5386</v>
      </c>
      <c r="B4356" s="92" t="s">
        <v>5299</v>
      </c>
      <c r="C4356" s="92" t="s">
        <v>5387</v>
      </c>
      <c r="D4356" s="72" t="str">
        <f>IFERROR(VLOOKUP(A4356,'[1]ST-QA-ZZ5'!$C$5:$M$299,11,0),"Inspection at production line")</f>
        <v>Inspection at production line</v>
      </c>
    </row>
    <row r="4357" spans="1:4" ht="13.8">
      <c r="A4357" s="47" t="s">
        <v>9850</v>
      </c>
      <c r="B4357" s="92" t="s">
        <v>57</v>
      </c>
      <c r="C4357" s="92" t="s">
        <v>9851</v>
      </c>
      <c r="D4357" s="72" t="str">
        <f>IFERROR(VLOOKUP(A4357,'[1]ST-QA-ZZ5'!$C$5:$M$299,11,0),"Inspection at production line")</f>
        <v>Inspection at production line</v>
      </c>
    </row>
    <row r="4358" spans="1:4" ht="13.8">
      <c r="A4358" s="47" t="s">
        <v>9852</v>
      </c>
      <c r="B4358" s="92" t="s">
        <v>9853</v>
      </c>
      <c r="C4358" s="92" t="s">
        <v>9854</v>
      </c>
      <c r="D4358" s="72" t="str">
        <f>IFERROR(VLOOKUP(A4358,'[1]ST-QA-ZZ5'!$C$5:$M$299,11,0),"Inspection at production line")</f>
        <v>Inspection at production line</v>
      </c>
    </row>
    <row r="4359" spans="1:4" ht="13.8">
      <c r="A4359" s="47" t="s">
        <v>9855</v>
      </c>
      <c r="B4359" s="92" t="s">
        <v>9853</v>
      </c>
      <c r="C4359" s="92" t="s">
        <v>9856</v>
      </c>
      <c r="D4359" s="72" t="str">
        <f>IFERROR(VLOOKUP(A4359,'[1]ST-QA-ZZ5'!$C$5:$M$299,11,0),"Inspection at production line")</f>
        <v>Inspection at production line</v>
      </c>
    </row>
    <row r="4360" spans="1:4" ht="13.8">
      <c r="A4360" s="47" t="s">
        <v>9857</v>
      </c>
      <c r="B4360" s="92" t="s">
        <v>9853</v>
      </c>
      <c r="C4360" s="92" t="s">
        <v>9858</v>
      </c>
      <c r="D4360" s="72" t="str">
        <f>IFERROR(VLOOKUP(A4360,'[1]ST-QA-ZZ5'!$C$5:$M$299,11,0),"Inspection at production line")</f>
        <v>Inspection at production line</v>
      </c>
    </row>
    <row r="4361" spans="1:4" ht="13.8">
      <c r="A4361" s="47" t="s">
        <v>9859</v>
      </c>
      <c r="B4361" s="92" t="s">
        <v>3079</v>
      </c>
      <c r="C4361" s="92" t="s">
        <v>9860</v>
      </c>
      <c r="D4361" s="72" t="str">
        <f>IFERROR(VLOOKUP(A4361,'[1]ST-QA-ZZ5'!$C$5:$M$299,11,0),"Inspection at production line")</f>
        <v>Inspection at production line</v>
      </c>
    </row>
    <row r="4362" spans="1:4" ht="13.8">
      <c r="A4362" s="47" t="s">
        <v>9861</v>
      </c>
      <c r="B4362" s="92" t="s">
        <v>3079</v>
      </c>
      <c r="C4362" s="92" t="s">
        <v>9862</v>
      </c>
      <c r="D4362" s="72" t="str">
        <f>IFERROR(VLOOKUP(A4362,'[1]ST-QA-ZZ5'!$C$5:$M$299,11,0),"Inspection at production line")</f>
        <v>Inspection at production line</v>
      </c>
    </row>
    <row r="4363" spans="1:4" ht="13.8">
      <c r="A4363" s="47" t="s">
        <v>9863</v>
      </c>
      <c r="B4363" s="92" t="s">
        <v>2137</v>
      </c>
      <c r="C4363" s="92" t="s">
        <v>9601</v>
      </c>
      <c r="D4363" s="72" t="str">
        <f>IFERROR(VLOOKUP(A4363,'[1]ST-QA-ZZ5'!$C$5:$M$299,11,0),"Inspection at production line")</f>
        <v>Inspection at production line</v>
      </c>
    </row>
    <row r="4364" spans="1:4" ht="13.8">
      <c r="A4364" s="47" t="s">
        <v>9864</v>
      </c>
      <c r="B4364" s="92" t="s">
        <v>3084</v>
      </c>
      <c r="C4364" s="92" t="s">
        <v>9865</v>
      </c>
      <c r="D4364" s="72" t="str">
        <f>IFERROR(VLOOKUP(A4364,'[1]ST-QA-ZZ5'!$C$5:$M$299,11,0),"Inspection at production line")</f>
        <v>Inspection at production line</v>
      </c>
    </row>
    <row r="4365" spans="1:4" ht="13.8">
      <c r="A4365" s="47" t="s">
        <v>9866</v>
      </c>
      <c r="B4365" s="92" t="s">
        <v>9853</v>
      </c>
      <c r="C4365" s="92" t="s">
        <v>9867</v>
      </c>
      <c r="D4365" s="72" t="str">
        <f>IFERROR(VLOOKUP(A4365,'[1]ST-QA-ZZ5'!$C$5:$M$299,11,0),"Inspection at production line")</f>
        <v>Inspection at production line</v>
      </c>
    </row>
    <row r="4366" spans="1:4" ht="13.8">
      <c r="A4366" s="47" t="s">
        <v>9868</v>
      </c>
      <c r="B4366" s="92" t="s">
        <v>828</v>
      </c>
      <c r="C4366" s="92" t="s">
        <v>9869</v>
      </c>
      <c r="D4366" s="72" t="str">
        <f>IFERROR(VLOOKUP(A4366,'[1]ST-QA-ZZ5'!$C$5:$M$299,11,0),"Inspection at production line")</f>
        <v>Inspection at production line</v>
      </c>
    </row>
    <row r="4367" spans="1:4" ht="13.8">
      <c r="A4367" s="47" t="s">
        <v>9870</v>
      </c>
      <c r="B4367" s="92" t="s">
        <v>5343</v>
      </c>
      <c r="C4367" s="92" t="s">
        <v>9871</v>
      </c>
      <c r="D4367" s="72" t="str">
        <f>IFERROR(VLOOKUP(A4367,'[1]ST-QA-ZZ5'!$C$5:$M$299,11,0),"Inspection at production line")</f>
        <v>Inspection at production line</v>
      </c>
    </row>
    <row r="4368" spans="1:4" ht="13.8">
      <c r="A4368" s="47" t="s">
        <v>9872</v>
      </c>
      <c r="B4368" s="92" t="s">
        <v>2137</v>
      </c>
      <c r="C4368" s="92" t="s">
        <v>9873</v>
      </c>
      <c r="D4368" s="72" t="str">
        <f>IFERROR(VLOOKUP(A4368,'[1]ST-QA-ZZ5'!$C$5:$M$299,11,0),"Inspection at production line")</f>
        <v>Inspection at production line</v>
      </c>
    </row>
    <row r="4369" spans="1:4" ht="13.8">
      <c r="A4369" s="47" t="s">
        <v>9874</v>
      </c>
      <c r="B4369" s="92" t="s">
        <v>949</v>
      </c>
      <c r="C4369" s="92" t="s">
        <v>9875</v>
      </c>
      <c r="D4369" s="72" t="str">
        <f>IFERROR(VLOOKUP(A4369,'[1]ST-QA-ZZ5'!$C$5:$M$299,11,0),"Inspection at production line")</f>
        <v>Inspection at production line</v>
      </c>
    </row>
    <row r="4370" spans="1:4" ht="13.8">
      <c r="A4370" s="47" t="s">
        <v>9876</v>
      </c>
      <c r="B4370" s="92" t="s">
        <v>828</v>
      </c>
      <c r="C4370" s="92" t="s">
        <v>9877</v>
      </c>
      <c r="D4370" s="72" t="str">
        <f>IFERROR(VLOOKUP(A4370,'[1]ST-QA-ZZ5'!$C$5:$M$299,11,0),"Inspection at production line")</f>
        <v>Inspection at production line</v>
      </c>
    </row>
    <row r="4371" spans="1:4" ht="13.8">
      <c r="A4371" s="47" t="s">
        <v>9878</v>
      </c>
      <c r="B4371" s="92" t="s">
        <v>9280</v>
      </c>
      <c r="C4371" s="92" t="s">
        <v>9879</v>
      </c>
      <c r="D4371" s="72" t="str">
        <f>IFERROR(VLOOKUP(A4371,'[1]ST-QA-ZZ5'!$C$5:$M$299,11,0),"Inspection at production line")</f>
        <v>Inspection at production line</v>
      </c>
    </row>
    <row r="4372" spans="1:4" ht="13.8">
      <c r="A4372" s="47" t="s">
        <v>9880</v>
      </c>
      <c r="B4372" s="92" t="s">
        <v>6881</v>
      </c>
      <c r="C4372" s="92" t="s">
        <v>9881</v>
      </c>
      <c r="D4372" s="72" t="str">
        <f>IFERROR(VLOOKUP(A4372,'[1]ST-QA-ZZ5'!$C$5:$M$299,11,0),"Inspection at production line")</f>
        <v>Inspection at production line</v>
      </c>
    </row>
    <row r="4373" spans="1:4" ht="13.8">
      <c r="A4373" s="47" t="s">
        <v>9882</v>
      </c>
      <c r="B4373" s="92" t="s">
        <v>9561</v>
      </c>
      <c r="C4373" s="92" t="s">
        <v>9883</v>
      </c>
      <c r="D4373" s="72" t="str">
        <f>IFERROR(VLOOKUP(A4373,'[1]ST-QA-ZZ5'!$C$5:$M$299,11,0),"Inspection at production line")</f>
        <v>Inspection at production line</v>
      </c>
    </row>
    <row r="4374" spans="1:4" ht="13.8">
      <c r="A4374" s="47" t="s">
        <v>9884</v>
      </c>
      <c r="B4374" s="92" t="s">
        <v>5299</v>
      </c>
      <c r="C4374" s="92" t="s">
        <v>9885</v>
      </c>
      <c r="D4374" s="72" t="str">
        <f>IFERROR(VLOOKUP(A4374,'[1]ST-QA-ZZ5'!$C$5:$M$299,11,0),"Inspection at production line")</f>
        <v>Inspection at production line</v>
      </c>
    </row>
    <row r="4375" spans="1:4" ht="13.8">
      <c r="A4375" s="47" t="s">
        <v>9886</v>
      </c>
      <c r="B4375" s="92" t="s">
        <v>9887</v>
      </c>
      <c r="C4375" s="92" t="s">
        <v>9888</v>
      </c>
      <c r="D4375" s="72" t="str">
        <f>IFERROR(VLOOKUP(A4375,'[1]ST-QA-ZZ5'!$C$5:$M$299,11,0),"Inspection at production line")</f>
        <v>Inspection at production line</v>
      </c>
    </row>
    <row r="4376" spans="1:4" ht="13.8">
      <c r="A4376" s="47" t="s">
        <v>9889</v>
      </c>
      <c r="B4376" s="92" t="s">
        <v>9887</v>
      </c>
      <c r="C4376" s="92" t="s">
        <v>9890</v>
      </c>
      <c r="D4376" s="72" t="str">
        <f>IFERROR(VLOOKUP(A4376,'[1]ST-QA-ZZ5'!$C$5:$M$299,11,0),"Inspection at production line")</f>
        <v>Inspection at production line</v>
      </c>
    </row>
    <row r="4377" spans="1:4" ht="13.8">
      <c r="A4377" s="47" t="s">
        <v>9891</v>
      </c>
      <c r="B4377" s="92" t="s">
        <v>5299</v>
      </c>
      <c r="C4377" s="92" t="s">
        <v>9892</v>
      </c>
      <c r="D4377" s="72" t="str">
        <f>IFERROR(VLOOKUP(A4377,'[1]ST-QA-ZZ5'!$C$5:$M$299,11,0),"Inspection at production line")</f>
        <v>Inspection at production line</v>
      </c>
    </row>
    <row r="4378" spans="1:4" ht="13.8">
      <c r="A4378" s="47" t="s">
        <v>9893</v>
      </c>
      <c r="B4378" s="92" t="s">
        <v>828</v>
      </c>
      <c r="C4378" s="92" t="s">
        <v>9894</v>
      </c>
      <c r="D4378" s="72" t="str">
        <f>IFERROR(VLOOKUP(A4378,'[1]ST-QA-ZZ5'!$C$5:$M$299,11,0),"Inspection at production line")</f>
        <v>Inspection at production line</v>
      </c>
    </row>
    <row r="4379" spans="1:4" ht="13.8">
      <c r="A4379" s="47" t="s">
        <v>9895</v>
      </c>
      <c r="B4379" s="92" t="s">
        <v>2653</v>
      </c>
      <c r="C4379" s="92" t="s">
        <v>9896</v>
      </c>
      <c r="D4379" s="72" t="str">
        <f>IFERROR(VLOOKUP(A4379,'[1]ST-QA-ZZ5'!$C$5:$M$299,11,0),"Inspection at production line")</f>
        <v>Inspection at production line</v>
      </c>
    </row>
    <row r="4380" spans="1:4" ht="13.8">
      <c r="A4380" s="47" t="s">
        <v>9897</v>
      </c>
      <c r="B4380" s="92" t="s">
        <v>2653</v>
      </c>
      <c r="C4380" s="92" t="s">
        <v>9898</v>
      </c>
      <c r="D4380" s="72" t="str">
        <f>IFERROR(VLOOKUP(A4380,'[1]ST-QA-ZZ5'!$C$5:$M$299,11,0),"Inspection at production line")</f>
        <v>Inspection at production line</v>
      </c>
    </row>
    <row r="4381" spans="1:4" ht="13.8">
      <c r="A4381" s="47" t="s">
        <v>9899</v>
      </c>
      <c r="B4381" s="92" t="s">
        <v>2653</v>
      </c>
      <c r="C4381" s="92" t="s">
        <v>9900</v>
      </c>
      <c r="D4381" s="72" t="str">
        <f>IFERROR(VLOOKUP(A4381,'[1]ST-QA-ZZ5'!$C$5:$M$299,11,0),"Inspection at production line")</f>
        <v>Inspection at production line</v>
      </c>
    </row>
    <row r="4382" spans="1:4" ht="13.8">
      <c r="A4382" s="47" t="s">
        <v>9901</v>
      </c>
      <c r="B4382" s="92" t="s">
        <v>7914</v>
      </c>
      <c r="C4382" s="92" t="s">
        <v>9902</v>
      </c>
      <c r="D4382" s="72" t="str">
        <f>IFERROR(VLOOKUP(A4382,'[1]ST-QA-ZZ5'!$C$5:$M$299,11,0),"Inspection at production line")</f>
        <v>Inspection at production line</v>
      </c>
    </row>
    <row r="4383" spans="1:4" ht="13.8">
      <c r="A4383" s="47" t="s">
        <v>9903</v>
      </c>
      <c r="B4383" s="92" t="s">
        <v>7914</v>
      </c>
      <c r="C4383" s="92" t="s">
        <v>9904</v>
      </c>
      <c r="D4383" s="72" t="str">
        <f>IFERROR(VLOOKUP(A4383,'[1]ST-QA-ZZ5'!$C$5:$M$299,11,0),"Inspection at production line")</f>
        <v>Inspection at production line</v>
      </c>
    </row>
    <row r="4384" spans="1:4" ht="13.8">
      <c r="A4384" s="47" t="s">
        <v>9905</v>
      </c>
      <c r="B4384" s="92" t="s">
        <v>6870</v>
      </c>
      <c r="C4384" s="92" t="s">
        <v>9906</v>
      </c>
      <c r="D4384" s="72" t="str">
        <f>IFERROR(VLOOKUP(A4384,'[1]ST-QA-ZZ5'!$C$5:$M$299,11,0),"Inspection at production line")</f>
        <v>Inspection at production line</v>
      </c>
    </row>
    <row r="4385" spans="1:4" ht="13.8">
      <c r="A4385" s="47" t="s">
        <v>9907</v>
      </c>
      <c r="B4385" s="92" t="s">
        <v>6870</v>
      </c>
      <c r="C4385" s="92" t="s">
        <v>9908</v>
      </c>
      <c r="D4385" s="72" t="str">
        <f>IFERROR(VLOOKUP(A4385,'[1]ST-QA-ZZ5'!$C$5:$M$299,11,0),"Inspection at production line")</f>
        <v>Inspection at production line</v>
      </c>
    </row>
    <row r="4386" spans="1:4" ht="13.8">
      <c r="A4386" s="47" t="s">
        <v>9909</v>
      </c>
      <c r="B4386" s="92" t="s">
        <v>7914</v>
      </c>
      <c r="C4386" s="92" t="s">
        <v>9910</v>
      </c>
      <c r="D4386" s="72" t="str">
        <f>IFERROR(VLOOKUP(A4386,'[1]ST-QA-ZZ5'!$C$5:$M$299,11,0),"Inspection at production line")</f>
        <v>Inspection at production line</v>
      </c>
    </row>
    <row r="4387" spans="1:4" ht="13.8">
      <c r="A4387" s="47" t="s">
        <v>9911</v>
      </c>
      <c r="B4387" s="92" t="s">
        <v>6870</v>
      </c>
      <c r="C4387" s="92" t="s">
        <v>9912</v>
      </c>
      <c r="D4387" s="72" t="str">
        <f>IFERROR(VLOOKUP(A4387,'[1]ST-QA-ZZ5'!$C$5:$M$299,11,0),"Inspection at production line")</f>
        <v>Inspection at production line</v>
      </c>
    </row>
    <row r="4388" spans="1:4" ht="13.8">
      <c r="A4388" s="47" t="s">
        <v>9913</v>
      </c>
      <c r="B4388" s="92" t="s">
        <v>7914</v>
      </c>
      <c r="C4388" s="92" t="s">
        <v>9914</v>
      </c>
      <c r="D4388" s="72" t="str">
        <f>IFERROR(VLOOKUP(A4388,'[1]ST-QA-ZZ5'!$C$5:$M$299,11,0),"Inspection at production line")</f>
        <v>Inspection at production line</v>
      </c>
    </row>
    <row r="4389" spans="1:4" ht="13.8">
      <c r="A4389" s="47" t="s">
        <v>9915</v>
      </c>
      <c r="B4389" s="92" t="s">
        <v>7914</v>
      </c>
      <c r="C4389" s="92" t="s">
        <v>9916</v>
      </c>
      <c r="D4389" s="72" t="str">
        <f>IFERROR(VLOOKUP(A4389,'[1]ST-QA-ZZ5'!$C$5:$M$299,11,0),"Inspection at production line")</f>
        <v>Inspection at production line</v>
      </c>
    </row>
    <row r="4390" spans="1:4" ht="13.8">
      <c r="A4390" s="47" t="s">
        <v>9917</v>
      </c>
      <c r="B4390" s="92" t="s">
        <v>6870</v>
      </c>
      <c r="C4390" s="92" t="s">
        <v>9918</v>
      </c>
      <c r="D4390" s="72" t="str">
        <f>IFERROR(VLOOKUP(A4390,'[1]ST-QA-ZZ5'!$C$5:$M$299,11,0),"Inspection at production line")</f>
        <v>Inspection at production line</v>
      </c>
    </row>
    <row r="4391" spans="1:4" ht="13.8">
      <c r="A4391" s="47" t="s">
        <v>9919</v>
      </c>
      <c r="B4391" s="92" t="s">
        <v>6870</v>
      </c>
      <c r="C4391" s="92" t="s">
        <v>9920</v>
      </c>
      <c r="D4391" s="72" t="str">
        <f>IFERROR(VLOOKUP(A4391,'[1]ST-QA-ZZ5'!$C$5:$M$299,11,0),"Inspection at production line")</f>
        <v>Inspection at production line</v>
      </c>
    </row>
    <row r="4392" spans="1:4" ht="13.8">
      <c r="A4392" s="47" t="s">
        <v>9921</v>
      </c>
      <c r="B4392" s="92" t="s">
        <v>7914</v>
      </c>
      <c r="C4392" s="92" t="s">
        <v>9922</v>
      </c>
      <c r="D4392" s="72" t="str">
        <f>IFERROR(VLOOKUP(A4392,'[1]ST-QA-ZZ5'!$C$5:$M$299,11,0),"Inspection at production line")</f>
        <v>Inspection at production line</v>
      </c>
    </row>
    <row r="4393" spans="1:4" ht="13.8">
      <c r="A4393" s="47" t="s">
        <v>9923</v>
      </c>
      <c r="B4393" s="92" t="s">
        <v>7914</v>
      </c>
      <c r="C4393" s="92" t="s">
        <v>9924</v>
      </c>
      <c r="D4393" s="72" t="str">
        <f>IFERROR(VLOOKUP(A4393,'[1]ST-QA-ZZ5'!$C$5:$M$299,11,0),"Inspection at production line")</f>
        <v>Inspection at production line</v>
      </c>
    </row>
    <row r="4394" spans="1:4" ht="13.8">
      <c r="A4394" s="47" t="s">
        <v>9925</v>
      </c>
      <c r="B4394" s="92" t="s">
        <v>7914</v>
      </c>
      <c r="C4394" s="92" t="s">
        <v>9926</v>
      </c>
      <c r="D4394" s="72" t="str">
        <f>IFERROR(VLOOKUP(A4394,'[1]ST-QA-ZZ5'!$C$5:$M$299,11,0),"Inspection at production line")</f>
        <v>Inspection at production line</v>
      </c>
    </row>
    <row r="4395" spans="1:4" ht="13.8">
      <c r="A4395" s="47" t="s">
        <v>9927</v>
      </c>
      <c r="B4395" s="92" t="s">
        <v>6870</v>
      </c>
      <c r="C4395" s="92" t="s">
        <v>9928</v>
      </c>
      <c r="D4395" s="72" t="str">
        <f>IFERROR(VLOOKUP(A4395,'[1]ST-QA-ZZ5'!$C$5:$M$299,11,0),"Inspection at production line")</f>
        <v>Inspection at production line</v>
      </c>
    </row>
    <row r="4396" spans="1:4" ht="13.8">
      <c r="A4396" s="47" t="s">
        <v>9929</v>
      </c>
      <c r="B4396" s="92" t="s">
        <v>7914</v>
      </c>
      <c r="C4396" s="92" t="s">
        <v>9930</v>
      </c>
      <c r="D4396" s="72" t="str">
        <f>IFERROR(VLOOKUP(A4396,'[1]ST-QA-ZZ5'!$C$5:$M$299,11,0),"Inspection at production line")</f>
        <v>Inspection at production line</v>
      </c>
    </row>
    <row r="4397" spans="1:4" ht="13.8">
      <c r="A4397" s="47" t="s">
        <v>9931</v>
      </c>
      <c r="B4397" s="92" t="s">
        <v>7914</v>
      </c>
      <c r="C4397" s="92" t="s">
        <v>9932</v>
      </c>
      <c r="D4397" s="72" t="str">
        <f>IFERROR(VLOOKUP(A4397,'[1]ST-QA-ZZ5'!$C$5:$M$299,11,0),"Inspection at production line")</f>
        <v>Inspection at production line</v>
      </c>
    </row>
    <row r="4398" spans="1:4" ht="13.8">
      <c r="A4398" s="47" t="s">
        <v>9933</v>
      </c>
      <c r="B4398" s="92" t="s">
        <v>7914</v>
      </c>
      <c r="C4398" s="92" t="s">
        <v>9934</v>
      </c>
      <c r="D4398" s="72" t="str">
        <f>IFERROR(VLOOKUP(A4398,'[1]ST-QA-ZZ5'!$C$5:$M$299,11,0),"Inspection at production line")</f>
        <v>Inspection at production line</v>
      </c>
    </row>
    <row r="4399" spans="1:4" ht="13.8">
      <c r="A4399" s="47" t="s">
        <v>9935</v>
      </c>
      <c r="B4399" s="92" t="s">
        <v>7914</v>
      </c>
      <c r="C4399" s="92" t="s">
        <v>9936</v>
      </c>
      <c r="D4399" s="72" t="str">
        <f>IFERROR(VLOOKUP(A4399,'[1]ST-QA-ZZ5'!$C$5:$M$299,11,0),"Inspection at production line")</f>
        <v>Inspection at production line</v>
      </c>
    </row>
    <row r="4400" spans="1:4" ht="13.8">
      <c r="A4400" s="47" t="s">
        <v>9937</v>
      </c>
      <c r="B4400" s="92" t="s">
        <v>7914</v>
      </c>
      <c r="C4400" s="92" t="s">
        <v>9938</v>
      </c>
      <c r="D4400" s="72" t="str">
        <f>IFERROR(VLOOKUP(A4400,'[1]ST-QA-ZZ5'!$C$5:$M$299,11,0),"Inspection at production line")</f>
        <v>Inspection at production line</v>
      </c>
    </row>
    <row r="4401" spans="1:4" ht="13.8">
      <c r="A4401" s="47" t="s">
        <v>9939</v>
      </c>
      <c r="B4401" s="92" t="s">
        <v>7914</v>
      </c>
      <c r="C4401" s="92" t="s">
        <v>9940</v>
      </c>
      <c r="D4401" s="72" t="str">
        <f>IFERROR(VLOOKUP(A4401,'[1]ST-QA-ZZ5'!$C$5:$M$299,11,0),"Inspection at production line")</f>
        <v>Inspection at production line</v>
      </c>
    </row>
    <row r="4402" spans="1:4" ht="13.8">
      <c r="A4402" s="47" t="s">
        <v>9941</v>
      </c>
      <c r="B4402" s="92" t="s">
        <v>7914</v>
      </c>
      <c r="C4402" s="92" t="s">
        <v>9942</v>
      </c>
      <c r="D4402" s="72" t="str">
        <f>IFERROR(VLOOKUP(A4402,'[1]ST-QA-ZZ5'!$C$5:$M$299,11,0),"Inspection at production line")</f>
        <v>Inspection at production line</v>
      </c>
    </row>
    <row r="4403" spans="1:4" ht="13.8">
      <c r="A4403" s="47" t="s">
        <v>9943</v>
      </c>
      <c r="B4403" s="92" t="s">
        <v>7914</v>
      </c>
      <c r="C4403" s="92" t="s">
        <v>9944</v>
      </c>
      <c r="D4403" s="72" t="str">
        <f>IFERROR(VLOOKUP(A4403,'[1]ST-QA-ZZ5'!$C$5:$M$299,11,0),"Inspection at production line")</f>
        <v>Inspection at production line</v>
      </c>
    </row>
    <row r="4404" spans="1:4" ht="13.8">
      <c r="A4404" s="47" t="s">
        <v>9945</v>
      </c>
      <c r="B4404" s="92" t="s">
        <v>7914</v>
      </c>
      <c r="C4404" s="92" t="s">
        <v>9946</v>
      </c>
      <c r="D4404" s="72" t="str">
        <f>IFERROR(VLOOKUP(A4404,'[1]ST-QA-ZZ5'!$C$5:$M$299,11,0),"Inspection at production line")</f>
        <v>Inspection at production line</v>
      </c>
    </row>
    <row r="4405" spans="1:4" ht="13.8">
      <c r="A4405" s="47" t="s">
        <v>9947</v>
      </c>
      <c r="B4405" s="92" t="s">
        <v>7914</v>
      </c>
      <c r="C4405" s="92" t="s">
        <v>9948</v>
      </c>
      <c r="D4405" s="72" t="str">
        <f>IFERROR(VLOOKUP(A4405,'[1]ST-QA-ZZ5'!$C$5:$M$299,11,0),"Inspection at production line")</f>
        <v>Inspection at production line</v>
      </c>
    </row>
    <row r="4406" spans="1:4" ht="13.8">
      <c r="A4406" s="47" t="s">
        <v>9949</v>
      </c>
      <c r="B4406" s="92" t="s">
        <v>9950</v>
      </c>
      <c r="C4406" s="92" t="s">
        <v>9951</v>
      </c>
      <c r="D4406" s="72" t="str">
        <f>IFERROR(VLOOKUP(A4406,'[1]ST-QA-ZZ5'!$C$5:$M$299,11,0),"Inspection at production line")</f>
        <v>Inspection at production line</v>
      </c>
    </row>
    <row r="4407" spans="1:4" ht="13.8">
      <c r="A4407" s="47" t="s">
        <v>9952</v>
      </c>
      <c r="B4407" s="92" t="s">
        <v>9953</v>
      </c>
      <c r="C4407" s="92" t="s">
        <v>9954</v>
      </c>
      <c r="D4407" s="72" t="str">
        <f>IFERROR(VLOOKUP(A4407,'[1]ST-QA-ZZ5'!$C$5:$M$299,11,0),"Inspection at production line")</f>
        <v>Inspection at production line</v>
      </c>
    </row>
    <row r="4408" spans="1:4" ht="13.8">
      <c r="A4408" s="47" t="s">
        <v>9955</v>
      </c>
      <c r="B4408" s="92" t="s">
        <v>3002</v>
      </c>
      <c r="C4408" s="92" t="s">
        <v>9956</v>
      </c>
      <c r="D4408" s="72" t="str">
        <f>IFERROR(VLOOKUP(A4408,'[1]ST-QA-ZZ5'!$C$5:$M$299,11,0),"Inspection at production line")</f>
        <v>Inspection at production line</v>
      </c>
    </row>
    <row r="4409" spans="1:4" ht="13.8">
      <c r="A4409" s="47" t="s">
        <v>9957</v>
      </c>
      <c r="B4409" s="92" t="s">
        <v>9958</v>
      </c>
      <c r="C4409" s="92" t="s">
        <v>9959</v>
      </c>
      <c r="D4409" s="72" t="str">
        <f>IFERROR(VLOOKUP(A4409,'[1]ST-QA-ZZ5'!$C$5:$M$299,11,0),"Inspection at production line")</f>
        <v>Inspection at production line</v>
      </c>
    </row>
    <row r="4410" spans="1:4" ht="13.8">
      <c r="A4410" s="47" t="s">
        <v>9960</v>
      </c>
      <c r="B4410" s="92" t="s">
        <v>3002</v>
      </c>
      <c r="C4410" s="92" t="s">
        <v>9961</v>
      </c>
      <c r="D4410" s="72" t="str">
        <f>IFERROR(VLOOKUP(A4410,'[1]ST-QA-ZZ5'!$C$5:$M$299,11,0),"Inspection at production line")</f>
        <v>Inspection at production line</v>
      </c>
    </row>
    <row r="4411" spans="1:4" ht="13.8">
      <c r="A4411" s="47" t="s">
        <v>9962</v>
      </c>
      <c r="B4411" s="92" t="s">
        <v>3002</v>
      </c>
      <c r="C4411" s="92" t="s">
        <v>9963</v>
      </c>
      <c r="D4411" s="72" t="str">
        <f>IFERROR(VLOOKUP(A4411,'[1]ST-QA-ZZ5'!$C$5:$M$299,11,0),"Inspection at production line")</f>
        <v>Inspection at production line</v>
      </c>
    </row>
    <row r="4412" spans="1:4" ht="13.8">
      <c r="A4412" s="47" t="s">
        <v>9964</v>
      </c>
      <c r="B4412" s="92" t="s">
        <v>2464</v>
      </c>
      <c r="C4412" s="92" t="s">
        <v>2469</v>
      </c>
      <c r="D4412" s="72" t="str">
        <f>IFERROR(VLOOKUP(A4412,'[1]ST-QA-ZZ5'!$C$5:$M$299,11,0),"Inspection at production line")</f>
        <v>Inspection at production line</v>
      </c>
    </row>
    <row r="4413" spans="1:4" ht="13.8">
      <c r="A4413" s="47" t="s">
        <v>9965</v>
      </c>
      <c r="B4413" s="92" t="s">
        <v>1212</v>
      </c>
      <c r="C4413" s="92" t="s">
        <v>1983</v>
      </c>
      <c r="D4413" s="72" t="str">
        <f>IFERROR(VLOOKUP(A4413,'[1]ST-QA-ZZ5'!$C$5:$M$299,11,0),"Inspection at production line")</f>
        <v>Inspection at production line</v>
      </c>
    </row>
    <row r="4414" spans="1:4" ht="13.8">
      <c r="A4414" s="47" t="s">
        <v>5370</v>
      </c>
      <c r="B4414" s="92" t="s">
        <v>174</v>
      </c>
      <c r="C4414" s="92" t="s">
        <v>5371</v>
      </c>
      <c r="D4414" s="72" t="str">
        <f>IFERROR(VLOOKUP(A4414,'[1]ST-QA-ZZ5'!$C$5:$M$299,11,0),"Inspection at production line")</f>
        <v>Inspection at production line</v>
      </c>
    </row>
    <row r="4415" spans="1:4" ht="13.8">
      <c r="A4415" s="47" t="s">
        <v>9966</v>
      </c>
      <c r="B4415" s="92" t="s">
        <v>9611</v>
      </c>
      <c r="C4415" s="92" t="s">
        <v>9634</v>
      </c>
      <c r="D4415" s="72" t="str">
        <f>IFERROR(VLOOKUP(A4415,'[1]ST-QA-ZZ5'!$C$5:$M$299,11,0),"Inspection at production line")</f>
        <v>Inspection at production line</v>
      </c>
    </row>
    <row r="4416" spans="1:4" ht="13.8">
      <c r="A4416" s="47" t="s">
        <v>9967</v>
      </c>
      <c r="B4416" s="92" t="s">
        <v>9611</v>
      </c>
      <c r="C4416" s="92" t="s">
        <v>9636</v>
      </c>
      <c r="D4416" s="72" t="str">
        <f>IFERROR(VLOOKUP(A4416,'[1]ST-QA-ZZ5'!$C$5:$M$299,11,0),"Inspection at production line")</f>
        <v>Inspection at production line</v>
      </c>
    </row>
    <row r="4417" spans="1:4" ht="13.8">
      <c r="A4417" s="47" t="s">
        <v>9968</v>
      </c>
      <c r="B4417" s="92" t="s">
        <v>9651</v>
      </c>
      <c r="C4417" s="92" t="s">
        <v>9652</v>
      </c>
      <c r="D4417" s="72" t="str">
        <f>IFERROR(VLOOKUP(A4417,'[1]ST-QA-ZZ5'!$C$5:$M$299,11,0),"Inspection at production line")</f>
        <v>Inspection at production line</v>
      </c>
    </row>
    <row r="4418" spans="1:4" ht="13.8">
      <c r="A4418" s="47" t="s">
        <v>9969</v>
      </c>
      <c r="B4418" s="92" t="s">
        <v>8753</v>
      </c>
      <c r="C4418" s="92" t="s">
        <v>9654</v>
      </c>
      <c r="D4418" s="72" t="str">
        <f>IFERROR(VLOOKUP(A4418,'[1]ST-QA-ZZ5'!$C$5:$M$299,11,0),"Inspection at production line")</f>
        <v>Inspection at production line</v>
      </c>
    </row>
    <row r="4419" spans="1:4" ht="13.8">
      <c r="A4419" s="47" t="s">
        <v>9970</v>
      </c>
      <c r="B4419" s="92" t="s">
        <v>7914</v>
      </c>
      <c r="C4419" s="92" t="s">
        <v>9971</v>
      </c>
      <c r="D4419" s="72" t="str">
        <f>IFERROR(VLOOKUP(A4419,'[1]ST-QA-ZZ5'!$C$5:$M$299,11,0),"Inspection at production line")</f>
        <v>Inspection at production line</v>
      </c>
    </row>
    <row r="4420" spans="1:4" ht="13.8">
      <c r="A4420" s="47" t="s">
        <v>9972</v>
      </c>
      <c r="B4420" s="92" t="s">
        <v>7914</v>
      </c>
      <c r="C4420" s="92" t="s">
        <v>9973</v>
      </c>
      <c r="D4420" s="72" t="str">
        <f>IFERROR(VLOOKUP(A4420,'[1]ST-QA-ZZ5'!$C$5:$M$299,11,0),"Inspection at production line")</f>
        <v>Inspection at production line</v>
      </c>
    </row>
    <row r="4421" spans="1:4" ht="13.8">
      <c r="A4421" s="47" t="s">
        <v>9974</v>
      </c>
      <c r="B4421" s="92" t="s">
        <v>7914</v>
      </c>
      <c r="C4421" s="92" t="s">
        <v>9975</v>
      </c>
      <c r="D4421" s="72" t="str">
        <f>IFERROR(VLOOKUP(A4421,'[1]ST-QA-ZZ5'!$C$5:$M$299,11,0),"Inspection at production line")</f>
        <v>Inspection at production line</v>
      </c>
    </row>
    <row r="4422" spans="1:4" ht="13.8">
      <c r="A4422" s="47" t="s">
        <v>9976</v>
      </c>
      <c r="B4422" s="92" t="s">
        <v>9977</v>
      </c>
      <c r="C4422" s="92" t="s">
        <v>9745</v>
      </c>
      <c r="D4422" s="72" t="str">
        <f>IFERROR(VLOOKUP(A4422,'[1]ST-QA-ZZ5'!$C$5:$M$299,11,0),"Inspection at production line")</f>
        <v>Inspection at production line</v>
      </c>
    </row>
    <row r="4423" spans="1:4" ht="13.8">
      <c r="A4423" s="47" t="s">
        <v>9978</v>
      </c>
      <c r="B4423" s="92" t="s">
        <v>90</v>
      </c>
      <c r="C4423" s="92" t="s">
        <v>9761</v>
      </c>
      <c r="D4423" s="72" t="str">
        <f>IFERROR(VLOOKUP(A4423,'[1]ST-QA-ZZ5'!$C$5:$M$299,11,0),"Inspection at production line")</f>
        <v>Inspection at production line</v>
      </c>
    </row>
    <row r="4424" spans="1:4" ht="13.8">
      <c r="A4424" s="47" t="s">
        <v>9979</v>
      </c>
      <c r="B4424" s="92" t="s">
        <v>9980</v>
      </c>
      <c r="C4424" s="92" t="s">
        <v>9981</v>
      </c>
      <c r="D4424" s="72" t="str">
        <f>IFERROR(VLOOKUP(A4424,'[1]ST-QA-ZZ5'!$C$5:$M$299,11,0),"Inspection at production line")</f>
        <v>Inspection at production line</v>
      </c>
    </row>
    <row r="4425" spans="1:4" ht="13.8">
      <c r="A4425" s="47" t="s">
        <v>9982</v>
      </c>
      <c r="B4425" s="92" t="s">
        <v>9980</v>
      </c>
      <c r="C4425" s="92" t="s">
        <v>9983</v>
      </c>
      <c r="D4425" s="72" t="str">
        <f>IFERROR(VLOOKUP(A4425,'[1]ST-QA-ZZ5'!$C$5:$M$299,11,0),"Inspection at production line")</f>
        <v>Inspection at production line</v>
      </c>
    </row>
    <row r="4426" spans="1:4" ht="13.8">
      <c r="A4426" s="47" t="s">
        <v>9984</v>
      </c>
      <c r="B4426" s="92" t="s">
        <v>9980</v>
      </c>
      <c r="C4426" s="92" t="s">
        <v>9985</v>
      </c>
      <c r="D4426" s="72" t="str">
        <f>IFERROR(VLOOKUP(A4426,'[1]ST-QA-ZZ5'!$C$5:$M$299,11,0),"Inspection at production line")</f>
        <v>Inspection at production line</v>
      </c>
    </row>
    <row r="4427" spans="1:4" ht="13.8">
      <c r="A4427" s="47" t="s">
        <v>9986</v>
      </c>
      <c r="B4427" s="92" t="s">
        <v>9980</v>
      </c>
      <c r="C4427" s="92" t="s">
        <v>9987</v>
      </c>
      <c r="D4427" s="72" t="str">
        <f>IFERROR(VLOOKUP(A4427,'[1]ST-QA-ZZ5'!$C$5:$M$299,11,0),"Inspection at production line")</f>
        <v>Inspection at production line</v>
      </c>
    </row>
    <row r="4428" spans="1:4" ht="13.8">
      <c r="A4428" s="47" t="s">
        <v>9988</v>
      </c>
      <c r="B4428" s="92" t="s">
        <v>9980</v>
      </c>
      <c r="C4428" s="92" t="s">
        <v>9989</v>
      </c>
      <c r="D4428" s="72" t="str">
        <f>IFERROR(VLOOKUP(A4428,'[1]ST-QA-ZZ5'!$C$5:$M$299,11,0),"Inspection at production line")</f>
        <v>Inspection at production line</v>
      </c>
    </row>
    <row r="4429" spans="1:4" ht="13.8">
      <c r="A4429" s="47" t="s">
        <v>9990</v>
      </c>
      <c r="B4429" s="92" t="s">
        <v>9980</v>
      </c>
      <c r="C4429" s="92" t="s">
        <v>9991</v>
      </c>
      <c r="D4429" s="72" t="str">
        <f>IFERROR(VLOOKUP(A4429,'[1]ST-QA-ZZ5'!$C$5:$M$299,11,0),"Inspection at production line")</f>
        <v>Inspection at production line</v>
      </c>
    </row>
    <row r="4430" spans="1:4" ht="13.8">
      <c r="A4430" s="47" t="s">
        <v>9992</v>
      </c>
      <c r="B4430" s="92" t="s">
        <v>9980</v>
      </c>
      <c r="C4430" s="92" t="s">
        <v>9993</v>
      </c>
      <c r="D4430" s="72" t="str">
        <f>IFERROR(VLOOKUP(A4430,'[1]ST-QA-ZZ5'!$C$5:$M$299,11,0),"Inspection at production line")</f>
        <v>Inspection at production line</v>
      </c>
    </row>
    <row r="4431" spans="1:4" ht="13.8">
      <c r="A4431" s="47" t="s">
        <v>9994</v>
      </c>
      <c r="B4431" s="92" t="s">
        <v>9980</v>
      </c>
      <c r="C4431" s="92" t="s">
        <v>9995</v>
      </c>
      <c r="D4431" s="72" t="str">
        <f>IFERROR(VLOOKUP(A4431,'[1]ST-QA-ZZ5'!$C$5:$M$299,11,0),"Inspection at production line")</f>
        <v>Inspection at production line</v>
      </c>
    </row>
    <row r="4432" spans="1:4" ht="13.8">
      <c r="A4432" s="47" t="s">
        <v>9996</v>
      </c>
      <c r="B4432" s="92" t="s">
        <v>9980</v>
      </c>
      <c r="C4432" s="92" t="s">
        <v>9997</v>
      </c>
      <c r="D4432" s="72" t="str">
        <f>IFERROR(VLOOKUP(A4432,'[1]ST-QA-ZZ5'!$C$5:$M$299,11,0),"Inspection at production line")</f>
        <v>Inspection at production line</v>
      </c>
    </row>
    <row r="4433" spans="1:4" ht="13.8">
      <c r="A4433" s="47" t="s">
        <v>9998</v>
      </c>
      <c r="B4433" s="92" t="s">
        <v>9980</v>
      </c>
      <c r="C4433" s="92" t="s">
        <v>9999</v>
      </c>
      <c r="D4433" s="72" t="str">
        <f>IFERROR(VLOOKUP(A4433,'[1]ST-QA-ZZ5'!$C$5:$M$299,11,0),"Inspection at production line")</f>
        <v>Inspection at production line</v>
      </c>
    </row>
    <row r="4434" spans="1:4" ht="13.8">
      <c r="A4434" s="47" t="s">
        <v>10000</v>
      </c>
      <c r="B4434" s="92" t="s">
        <v>9980</v>
      </c>
      <c r="C4434" s="92" t="s">
        <v>10001</v>
      </c>
      <c r="D4434" s="72" t="str">
        <f>IFERROR(VLOOKUP(A4434,'[1]ST-QA-ZZ5'!$C$5:$M$299,11,0),"Inspection at production line")</f>
        <v>Inspection at production line</v>
      </c>
    </row>
    <row r="4435" spans="1:4" ht="13.8">
      <c r="A4435" s="47" t="s">
        <v>10002</v>
      </c>
      <c r="B4435" s="92" t="s">
        <v>9980</v>
      </c>
      <c r="C4435" s="92" t="s">
        <v>10003</v>
      </c>
      <c r="D4435" s="72" t="str">
        <f>IFERROR(VLOOKUP(A4435,'[1]ST-QA-ZZ5'!$C$5:$M$299,11,0),"Inspection at production line")</f>
        <v>Inspection at production line</v>
      </c>
    </row>
    <row r="4436" spans="1:4" ht="13.8">
      <c r="A4436" s="47" t="s">
        <v>5464</v>
      </c>
      <c r="B4436" s="92" t="s">
        <v>404</v>
      </c>
      <c r="C4436" s="92" t="s">
        <v>5465</v>
      </c>
      <c r="D4436" s="72" t="str">
        <f>IFERROR(VLOOKUP(A4436,'[1]ST-QA-ZZ5'!$C$5:$M$299,11,0),"Inspection at production line")</f>
        <v>Inspection at production line</v>
      </c>
    </row>
    <row r="4437" spans="1:4" ht="13.8">
      <c r="A4437" s="47" t="s">
        <v>5390</v>
      </c>
      <c r="B4437" s="92" t="s">
        <v>5377</v>
      </c>
      <c r="C4437" s="92" t="s">
        <v>5001</v>
      </c>
      <c r="D4437" s="72" t="str">
        <f>IFERROR(VLOOKUP(A4437,'[1]ST-QA-ZZ5'!$C$5:$M$299,11,0),"Inspection at production line")</f>
        <v>Inspection at production line</v>
      </c>
    </row>
    <row r="4438" spans="1:4" ht="13.8">
      <c r="A4438" s="47" t="s">
        <v>5372</v>
      </c>
      <c r="B4438" s="92" t="s">
        <v>3079</v>
      </c>
      <c r="C4438" s="92" t="s">
        <v>2671</v>
      </c>
      <c r="D4438" s="72" t="str">
        <f>IFERROR(VLOOKUP(A4438,'[1]ST-QA-ZZ5'!$C$5:$M$299,11,0),"Inspection at production line")</f>
        <v>Inspection at production line</v>
      </c>
    </row>
    <row r="4439" spans="1:4" ht="13.8">
      <c r="A4439" s="47" t="s">
        <v>10004</v>
      </c>
      <c r="B4439" s="92" t="s">
        <v>4996</v>
      </c>
      <c r="C4439" s="92" t="s">
        <v>9587</v>
      </c>
      <c r="D4439" s="72" t="str">
        <f>IFERROR(VLOOKUP(A4439,'[1]ST-QA-ZZ5'!$C$5:$M$299,11,0),"Inspection at production line")</f>
        <v>Inspection at production line</v>
      </c>
    </row>
    <row r="4440" spans="1:4" ht="13.8">
      <c r="A4440" s="47" t="s">
        <v>5408</v>
      </c>
      <c r="B4440" s="92" t="s">
        <v>4996</v>
      </c>
      <c r="C4440" s="92" t="s">
        <v>5409</v>
      </c>
      <c r="D4440" s="72" t="str">
        <f>IFERROR(VLOOKUP(A4440,'[1]ST-QA-ZZ5'!$C$5:$M$299,11,0),"Inspection at production line")</f>
        <v>Inspection at production line</v>
      </c>
    </row>
    <row r="4441" spans="1:4" ht="13.8">
      <c r="A4441" s="47" t="s">
        <v>5411</v>
      </c>
      <c r="B4441" s="92" t="s">
        <v>4996</v>
      </c>
      <c r="C4441" s="92" t="s">
        <v>5412</v>
      </c>
      <c r="D4441" s="72" t="str">
        <f>IFERROR(VLOOKUP(A4441,'[1]ST-QA-ZZ5'!$C$5:$M$299,11,0),"Inspection at production line")</f>
        <v>Inspection at production line</v>
      </c>
    </row>
    <row r="4442" spans="1:4" ht="13.8">
      <c r="A4442" s="47" t="s">
        <v>5413</v>
      </c>
      <c r="B4442" s="92" t="s">
        <v>5343</v>
      </c>
      <c r="C4442" s="92" t="s">
        <v>5414</v>
      </c>
      <c r="D4442" s="72" t="str">
        <f>IFERROR(VLOOKUP(A4442,'[1]ST-QA-ZZ5'!$C$5:$M$299,11,0),"Inspection at production line")</f>
        <v>Inspection at production line</v>
      </c>
    </row>
    <row r="4443" spans="1:4" ht="13.8">
      <c r="A4443" s="47" t="s">
        <v>10005</v>
      </c>
      <c r="B4443" s="92" t="s">
        <v>5343</v>
      </c>
      <c r="C4443" s="92" t="s">
        <v>10006</v>
      </c>
      <c r="D4443" s="72" t="str">
        <f>IFERROR(VLOOKUP(A4443,'[1]ST-QA-ZZ5'!$C$5:$M$299,11,0),"Inspection at production line")</f>
        <v>Inspection at production line</v>
      </c>
    </row>
    <row r="4444" spans="1:4" ht="13.8">
      <c r="A4444" s="47" t="s">
        <v>10007</v>
      </c>
      <c r="B4444" s="92" t="s">
        <v>5343</v>
      </c>
      <c r="C4444" s="92" t="s">
        <v>10008</v>
      </c>
      <c r="D4444" s="72" t="str">
        <f>IFERROR(VLOOKUP(A4444,'[1]ST-QA-ZZ5'!$C$5:$M$299,11,0),"Inspection at production line")</f>
        <v>Inspection at production line</v>
      </c>
    </row>
    <row r="4445" spans="1:4" ht="13.8">
      <c r="A4445" s="47" t="s">
        <v>10009</v>
      </c>
      <c r="B4445" s="92" t="s">
        <v>5343</v>
      </c>
      <c r="C4445" s="92" t="s">
        <v>10010</v>
      </c>
      <c r="D4445" s="72" t="str">
        <f>IFERROR(VLOOKUP(A4445,'[1]ST-QA-ZZ5'!$C$5:$M$299,11,0),"Inspection at production line")</f>
        <v>Inspection at production line</v>
      </c>
    </row>
    <row r="4446" spans="1:4" ht="13.8">
      <c r="A4446" s="47" t="s">
        <v>10011</v>
      </c>
      <c r="B4446" s="92" t="s">
        <v>5343</v>
      </c>
      <c r="C4446" s="92" t="s">
        <v>10012</v>
      </c>
      <c r="D4446" s="72" t="str">
        <f>IFERROR(VLOOKUP(A4446,'[1]ST-QA-ZZ5'!$C$5:$M$299,11,0),"Inspection at production line")</f>
        <v>Inspection at production line</v>
      </c>
    </row>
    <row r="4447" spans="1:4" ht="13.8">
      <c r="A4447" s="47" t="s">
        <v>10013</v>
      </c>
      <c r="B4447" s="92" t="s">
        <v>5343</v>
      </c>
      <c r="C4447" s="92" t="s">
        <v>10014</v>
      </c>
      <c r="D4447" s="72" t="str">
        <f>IFERROR(VLOOKUP(A4447,'[1]ST-QA-ZZ5'!$C$5:$M$299,11,0),"Inspection at production line")</f>
        <v>Inspection at production line</v>
      </c>
    </row>
    <row r="4448" spans="1:4" ht="13.8">
      <c r="A4448" s="47" t="s">
        <v>10015</v>
      </c>
      <c r="B4448" s="92" t="s">
        <v>5343</v>
      </c>
      <c r="C4448" s="92" t="s">
        <v>10016</v>
      </c>
      <c r="D4448" s="72" t="str">
        <f>IFERROR(VLOOKUP(A4448,'[1]ST-QA-ZZ5'!$C$5:$M$299,11,0),"Inspection at production line")</f>
        <v>Inspection at production line</v>
      </c>
    </row>
    <row r="4449" spans="1:4" ht="13.8">
      <c r="A4449" s="47" t="s">
        <v>10017</v>
      </c>
      <c r="B4449" s="92" t="s">
        <v>5343</v>
      </c>
      <c r="C4449" s="92" t="s">
        <v>10018</v>
      </c>
      <c r="D4449" s="72" t="str">
        <f>IFERROR(VLOOKUP(A4449,'[1]ST-QA-ZZ5'!$C$5:$M$299,11,0),"Inspection at production line")</f>
        <v>Inspection at production line</v>
      </c>
    </row>
    <row r="4450" spans="1:4" ht="13.8">
      <c r="A4450" s="47" t="s">
        <v>10019</v>
      </c>
      <c r="B4450" s="92" t="s">
        <v>6881</v>
      </c>
      <c r="C4450" s="92" t="s">
        <v>10020</v>
      </c>
      <c r="D4450" s="72" t="str">
        <f>IFERROR(VLOOKUP(A4450,'[1]ST-QA-ZZ5'!$C$5:$M$299,11,0),"Inspection at production line")</f>
        <v>Inspection at production line</v>
      </c>
    </row>
    <row r="4451" spans="1:4" ht="13.8">
      <c r="A4451" s="47" t="s">
        <v>10021</v>
      </c>
      <c r="B4451" s="92" t="s">
        <v>6881</v>
      </c>
      <c r="C4451" s="92" t="s">
        <v>10022</v>
      </c>
      <c r="D4451" s="72" t="str">
        <f>IFERROR(VLOOKUP(A4451,'[1]ST-QA-ZZ5'!$C$5:$M$299,11,0),"Inspection at production line")</f>
        <v>Inspection at production line</v>
      </c>
    </row>
    <row r="4452" spans="1:4" ht="13.8">
      <c r="A4452" s="47" t="s">
        <v>10023</v>
      </c>
      <c r="B4452" s="92" t="s">
        <v>6881</v>
      </c>
      <c r="C4452" s="92" t="s">
        <v>10024</v>
      </c>
      <c r="D4452" s="72" t="str">
        <f>IFERROR(VLOOKUP(A4452,'[1]ST-QA-ZZ5'!$C$5:$M$299,11,0),"Inspection at production line")</f>
        <v>Inspection at production line</v>
      </c>
    </row>
    <row r="4453" spans="1:4" ht="13.8">
      <c r="A4453" s="47" t="s">
        <v>10025</v>
      </c>
      <c r="B4453" s="92" t="s">
        <v>5343</v>
      </c>
      <c r="C4453" s="92" t="s">
        <v>10026</v>
      </c>
      <c r="D4453" s="72" t="str">
        <f>IFERROR(VLOOKUP(A4453,'[1]ST-QA-ZZ5'!$C$5:$M$299,11,0),"Inspection at production line")</f>
        <v>Inspection at production line</v>
      </c>
    </row>
    <row r="4454" spans="1:4" ht="13.8">
      <c r="A4454" s="47" t="s">
        <v>5432</v>
      </c>
      <c r="B4454" s="92" t="s">
        <v>2074</v>
      </c>
      <c r="C4454" s="92" t="s">
        <v>5433</v>
      </c>
      <c r="D4454" s="72" t="str">
        <f>IFERROR(VLOOKUP(A4454,'[1]ST-QA-ZZ5'!$C$5:$M$299,11,0),"Inspection at production line")</f>
        <v>Inspection at production line</v>
      </c>
    </row>
    <row r="4455" spans="1:4" ht="13.8">
      <c r="A4455" s="47" t="s">
        <v>10027</v>
      </c>
      <c r="B4455" s="92" t="s">
        <v>2074</v>
      </c>
      <c r="C4455" s="92" t="s">
        <v>9601</v>
      </c>
      <c r="D4455" s="72" t="str">
        <f>IFERROR(VLOOKUP(A4455,'[1]ST-QA-ZZ5'!$C$5:$M$299,11,0),"Inspection at production line")</f>
        <v>Inspection at production line</v>
      </c>
    </row>
    <row r="4456" spans="1:4" ht="13.8">
      <c r="A4456" s="47" t="s">
        <v>10028</v>
      </c>
      <c r="B4456" s="92" t="s">
        <v>5343</v>
      </c>
      <c r="C4456" s="92" t="s">
        <v>10029</v>
      </c>
      <c r="D4456" s="72" t="str">
        <f>IFERROR(VLOOKUP(A4456,'[1]ST-QA-ZZ5'!$C$5:$M$299,11,0),"Inspection at production line")</f>
        <v>Inspection at production line</v>
      </c>
    </row>
    <row r="4457" spans="1:4" ht="13.8">
      <c r="A4457" s="47" t="s">
        <v>10030</v>
      </c>
      <c r="B4457" s="92" t="s">
        <v>5343</v>
      </c>
      <c r="C4457" s="92" t="s">
        <v>10031</v>
      </c>
      <c r="D4457" s="72" t="str">
        <f>IFERROR(VLOOKUP(A4457,'[1]ST-QA-ZZ5'!$C$5:$M$299,11,0),"Inspection at production line")</f>
        <v>Inspection at production line</v>
      </c>
    </row>
    <row r="4458" spans="1:4" ht="13.8">
      <c r="A4458" s="47" t="s">
        <v>10032</v>
      </c>
      <c r="B4458" s="92" t="s">
        <v>3079</v>
      </c>
      <c r="C4458" s="92" t="s">
        <v>10033</v>
      </c>
      <c r="D4458" s="72" t="str">
        <f>IFERROR(VLOOKUP(A4458,'[1]ST-QA-ZZ5'!$C$5:$M$299,11,0),"Inspection at production line")</f>
        <v>Inspection at production line</v>
      </c>
    </row>
    <row r="4459" spans="1:4" ht="13.8">
      <c r="A4459" s="47" t="s">
        <v>10034</v>
      </c>
      <c r="B4459" s="92" t="s">
        <v>6271</v>
      </c>
      <c r="C4459" s="92" t="s">
        <v>10035</v>
      </c>
      <c r="D4459" s="72" t="str">
        <f>IFERROR(VLOOKUP(A4459,'[1]ST-QA-ZZ5'!$C$5:$M$299,11,0),"Inspection at production line")</f>
        <v>Inspection at production line</v>
      </c>
    </row>
    <row r="4460" spans="1:4" ht="13.8">
      <c r="A4460" s="47" t="s">
        <v>10036</v>
      </c>
      <c r="B4460" s="92" t="s">
        <v>7914</v>
      </c>
      <c r="C4460" s="92" t="s">
        <v>10037</v>
      </c>
      <c r="D4460" s="72" t="str">
        <f>IFERROR(VLOOKUP(A4460,'[1]ST-QA-ZZ5'!$C$5:$M$299,11,0),"Inspection at production line")</f>
        <v>Inspection at production line</v>
      </c>
    </row>
    <row r="4461" spans="1:4" ht="13.8">
      <c r="A4461" s="47" t="s">
        <v>10038</v>
      </c>
      <c r="B4461" s="92" t="s">
        <v>2721</v>
      </c>
      <c r="C4461" s="92" t="s">
        <v>10039</v>
      </c>
      <c r="D4461" s="72" t="str">
        <f>IFERROR(VLOOKUP(A4461,'[1]ST-QA-ZZ5'!$C$5:$M$299,11,0),"Inspection at production line")</f>
        <v>Inspection at production line</v>
      </c>
    </row>
    <row r="4462" spans="1:4" ht="13.8">
      <c r="A4462" s="47" t="s">
        <v>10040</v>
      </c>
      <c r="B4462" s="92" t="s">
        <v>6870</v>
      </c>
      <c r="C4462" s="92" t="s">
        <v>10041</v>
      </c>
      <c r="D4462" s="72" t="str">
        <f>IFERROR(VLOOKUP(A4462,'[1]ST-QA-ZZ5'!$C$5:$M$299,11,0),"Inspection at production line")</f>
        <v>Inspection at production line</v>
      </c>
    </row>
    <row r="4463" spans="1:4" ht="13.8">
      <c r="A4463" s="47" t="s">
        <v>10042</v>
      </c>
      <c r="B4463" s="92" t="s">
        <v>7914</v>
      </c>
      <c r="C4463" s="92" t="s">
        <v>10043</v>
      </c>
      <c r="D4463" s="72" t="str">
        <f>IFERROR(VLOOKUP(A4463,'[1]ST-QA-ZZ5'!$C$5:$M$299,11,0),"Inspection at production line")</f>
        <v>Inspection at production line</v>
      </c>
    </row>
    <row r="4464" spans="1:4" ht="13.8">
      <c r="A4464" s="47" t="s">
        <v>10044</v>
      </c>
      <c r="B4464" s="92" t="s">
        <v>2464</v>
      </c>
      <c r="C4464" s="92" t="s">
        <v>2465</v>
      </c>
      <c r="D4464" s="72" t="str">
        <f>IFERROR(VLOOKUP(A4464,'[1]ST-QA-ZZ5'!$C$5:$M$299,11,0),"Inspection at production line")</f>
        <v>Inspection at production line</v>
      </c>
    </row>
    <row r="4465" spans="1:4" ht="13.8">
      <c r="A4465" s="47" t="s">
        <v>10045</v>
      </c>
      <c r="B4465" s="92" t="s">
        <v>1212</v>
      </c>
      <c r="C4465" s="92" t="s">
        <v>1973</v>
      </c>
      <c r="D4465" s="72" t="str">
        <f>IFERROR(VLOOKUP(A4465,'[1]ST-QA-ZZ5'!$C$5:$M$299,11,0),"Inspection at production line")</f>
        <v>Inspection at production line</v>
      </c>
    </row>
    <row r="4466" spans="1:4" ht="13.8">
      <c r="A4466" s="47" t="s">
        <v>10046</v>
      </c>
      <c r="B4466" s="92" t="s">
        <v>1212</v>
      </c>
      <c r="C4466" s="92" t="s">
        <v>1978</v>
      </c>
      <c r="D4466" s="72" t="str">
        <f>IFERROR(VLOOKUP(A4466,'[1]ST-QA-ZZ5'!$C$5:$M$299,11,0),"Inspection at production line")</f>
        <v>Inspection at production line</v>
      </c>
    </row>
    <row r="4467" spans="1:4" ht="13.8">
      <c r="A4467" s="47" t="s">
        <v>10047</v>
      </c>
      <c r="B4467" s="92" t="s">
        <v>404</v>
      </c>
      <c r="C4467" s="92" t="s">
        <v>10048</v>
      </c>
      <c r="D4467" s="72" t="str">
        <f>IFERROR(VLOOKUP(A4467,'[1]ST-QA-ZZ5'!$C$5:$M$299,11,0),"Inspection at production line")</f>
        <v>Inspection at production line</v>
      </c>
    </row>
    <row r="4468" spans="1:4" ht="13.8">
      <c r="A4468" s="47" t="s">
        <v>5426</v>
      </c>
      <c r="B4468" s="92" t="s">
        <v>5281</v>
      </c>
      <c r="C4468" s="92" t="s">
        <v>5427</v>
      </c>
      <c r="D4468" s="72" t="str">
        <f>IFERROR(VLOOKUP(A4468,'[1]ST-QA-ZZ5'!$C$5:$M$299,11,0),"Inspection at production line")</f>
        <v>Inspection at production line</v>
      </c>
    </row>
    <row r="4469" spans="1:4" ht="13.8">
      <c r="A4469" s="47" t="s">
        <v>10049</v>
      </c>
      <c r="B4469" s="92" t="s">
        <v>75</v>
      </c>
      <c r="C4469" s="92" t="s">
        <v>10050</v>
      </c>
      <c r="D4469" s="72" t="str">
        <f>IFERROR(VLOOKUP(A4469,'[1]ST-QA-ZZ5'!$C$5:$M$299,11,0),"Inspection at production line")</f>
        <v>Inspection at production line</v>
      </c>
    </row>
    <row r="4470" spans="1:4" ht="13.8">
      <c r="A4470" s="47" t="s">
        <v>10051</v>
      </c>
      <c r="B4470" s="92" t="s">
        <v>75</v>
      </c>
      <c r="C4470" s="92" t="s">
        <v>10052</v>
      </c>
      <c r="D4470" s="72" t="str">
        <f>IFERROR(VLOOKUP(A4470,'[1]ST-QA-ZZ5'!$C$5:$M$299,11,0),"Inspection at production line")</f>
        <v>Inspection at production line</v>
      </c>
    </row>
    <row r="4471" spans="1:4" ht="13.8">
      <c r="A4471" s="47" t="s">
        <v>10053</v>
      </c>
      <c r="B4471" s="92" t="s">
        <v>4996</v>
      </c>
      <c r="C4471" s="92" t="s">
        <v>10054</v>
      </c>
      <c r="D4471" s="72" t="str">
        <f>IFERROR(VLOOKUP(A4471,'[1]ST-QA-ZZ5'!$C$5:$M$299,11,0),"Inspection at production line")</f>
        <v>Inspection at production line</v>
      </c>
    </row>
    <row r="4472" spans="1:4" ht="13.8">
      <c r="A4472" s="47" t="s">
        <v>10055</v>
      </c>
      <c r="B4472" s="92" t="s">
        <v>4996</v>
      </c>
      <c r="C4472" s="92" t="s">
        <v>10056</v>
      </c>
      <c r="D4472" s="72" t="str">
        <f>IFERROR(VLOOKUP(A4472,'[1]ST-QA-ZZ5'!$C$5:$M$299,11,0),"Inspection at production line")</f>
        <v>Inspection at production line</v>
      </c>
    </row>
    <row r="4473" spans="1:4" ht="13.8">
      <c r="A4473" s="47" t="s">
        <v>10057</v>
      </c>
      <c r="B4473" s="92" t="s">
        <v>2652</v>
      </c>
      <c r="C4473" s="92" t="s">
        <v>10058</v>
      </c>
      <c r="D4473" s="72" t="str">
        <f>IFERROR(VLOOKUP(A4473,'[1]ST-QA-ZZ5'!$C$5:$M$299,11,0),"Inspection at production line")</f>
        <v>Inspection at production line</v>
      </c>
    </row>
    <row r="4474" spans="1:4" ht="13.8">
      <c r="A4474" s="47" t="s">
        <v>5405</v>
      </c>
      <c r="B4474" s="92" t="s">
        <v>2652</v>
      </c>
      <c r="C4474" s="92" t="s">
        <v>5406</v>
      </c>
      <c r="D4474" s="72" t="str">
        <f>IFERROR(VLOOKUP(A4474,'[1]ST-QA-ZZ5'!$C$5:$M$299,11,0),"Inspection at production line")</f>
        <v>Inspection at production line</v>
      </c>
    </row>
    <row r="4475" spans="1:4" ht="13.8">
      <c r="A4475" s="47" t="s">
        <v>10059</v>
      </c>
      <c r="B4475" s="92" t="s">
        <v>5343</v>
      </c>
      <c r="C4475" s="92" t="s">
        <v>10060</v>
      </c>
      <c r="D4475" s="72" t="str">
        <f>IFERROR(VLOOKUP(A4475,'[1]ST-QA-ZZ5'!$C$5:$M$299,11,0),"Inspection at production line")</f>
        <v>Inspection at production line</v>
      </c>
    </row>
    <row r="4476" spans="1:4" ht="13.8">
      <c r="A4476" s="47" t="s">
        <v>5342</v>
      </c>
      <c r="B4476" s="92" t="s">
        <v>5343</v>
      </c>
      <c r="C4476" s="92" t="s">
        <v>5344</v>
      </c>
      <c r="D4476" s="72" t="str">
        <f>IFERROR(VLOOKUP(A4476,'[1]ST-QA-ZZ5'!$C$5:$M$299,11,0),"Inspection at production line")</f>
        <v>Inspection at production line</v>
      </c>
    </row>
    <row r="4477" spans="1:4" ht="13.8">
      <c r="A4477" s="47" t="s">
        <v>10061</v>
      </c>
      <c r="B4477" s="92" t="s">
        <v>10062</v>
      </c>
      <c r="C4477" s="92" t="s">
        <v>10063</v>
      </c>
      <c r="D4477" s="72" t="str">
        <f>IFERROR(VLOOKUP(A4477,'[1]ST-QA-ZZ5'!$C$5:$M$299,11,0),"Inspection at production line")</f>
        <v>Inspection at production line</v>
      </c>
    </row>
    <row r="4478" spans="1:4" ht="13.8">
      <c r="A4478" s="47" t="s">
        <v>10064</v>
      </c>
      <c r="B4478" s="92" t="s">
        <v>865</v>
      </c>
      <c r="C4478" s="92" t="s">
        <v>10065</v>
      </c>
      <c r="D4478" s="72" t="str">
        <f>IFERROR(VLOOKUP(A4478,'[1]ST-QA-ZZ5'!$C$5:$M$299,11,0),"Inspection at production line")</f>
        <v>Inspection at production line</v>
      </c>
    </row>
    <row r="4479" spans="1:4" ht="13.8">
      <c r="A4479" s="47" t="s">
        <v>10066</v>
      </c>
      <c r="B4479" s="92" t="s">
        <v>959</v>
      </c>
      <c r="C4479" s="92" t="s">
        <v>10067</v>
      </c>
      <c r="D4479" s="72" t="str">
        <f>IFERROR(VLOOKUP(A4479,'[1]ST-QA-ZZ5'!$C$5:$M$299,11,0),"Inspection at production line")</f>
        <v>Inspection at production line</v>
      </c>
    </row>
    <row r="4480" spans="1:4" ht="13.8">
      <c r="A4480" s="47" t="s">
        <v>10068</v>
      </c>
      <c r="B4480" s="92" t="s">
        <v>9339</v>
      </c>
      <c r="C4480" s="92" t="s">
        <v>10069</v>
      </c>
      <c r="D4480" s="72" t="str">
        <f>IFERROR(VLOOKUP(A4480,'[1]ST-QA-ZZ5'!$C$5:$M$299,11,0),"Inspection at production line")</f>
        <v>Inspection at production line</v>
      </c>
    </row>
    <row r="4481" spans="1:4" ht="13.8">
      <c r="A4481" s="47" t="s">
        <v>10070</v>
      </c>
      <c r="B4481" s="92" t="s">
        <v>10071</v>
      </c>
      <c r="C4481" s="92" t="s">
        <v>9034</v>
      </c>
      <c r="D4481" s="72" t="str">
        <f>IFERROR(VLOOKUP(A4481,'[1]ST-QA-ZZ5'!$C$5:$M$299,11,0),"Inspection at production line")</f>
        <v>Appearance check 100%</v>
      </c>
    </row>
    <row r="4482" spans="1:4" ht="13.8">
      <c r="A4482" s="47" t="s">
        <v>10072</v>
      </c>
      <c r="B4482" s="92" t="s">
        <v>3002</v>
      </c>
      <c r="C4482" s="92" t="s">
        <v>10073</v>
      </c>
      <c r="D4482" s="72" t="str">
        <f>IFERROR(VLOOKUP(A4482,'[1]ST-QA-ZZ5'!$C$5:$M$299,11,0),"Inspection at production line")</f>
        <v>Inspection at production line</v>
      </c>
    </row>
    <row r="4483" spans="1:4" ht="13.8">
      <c r="A4483" s="47" t="s">
        <v>10074</v>
      </c>
      <c r="B4483" s="92" t="s">
        <v>9079</v>
      </c>
      <c r="C4483" s="92" t="s">
        <v>10075</v>
      </c>
      <c r="D4483" s="72" t="str">
        <f>IFERROR(VLOOKUP(A4483,'[1]ST-QA-ZZ5'!$C$5:$M$299,11,0),"Inspection at production line")</f>
        <v>Inspection at production line</v>
      </c>
    </row>
    <row r="4484" spans="1:4" ht="13.8">
      <c r="A4484" s="47" t="s">
        <v>5322</v>
      </c>
      <c r="B4484" s="92" t="s">
        <v>3103</v>
      </c>
      <c r="C4484" s="92" t="s">
        <v>5323</v>
      </c>
      <c r="D4484" s="72" t="str">
        <f>IFERROR(VLOOKUP(A4484,'[1]ST-QA-ZZ5'!$C$5:$M$299,11,0),"Inspection at production line")</f>
        <v>Sampling check</v>
      </c>
    </row>
    <row r="4485" spans="1:4" ht="13.8">
      <c r="A4485" s="47" t="s">
        <v>5211</v>
      </c>
      <c r="B4485" s="92" t="s">
        <v>555</v>
      </c>
      <c r="C4485" s="92" t="s">
        <v>5212</v>
      </c>
      <c r="D4485" s="72" t="str">
        <f>IFERROR(VLOOKUP(A4485,'[1]ST-QA-ZZ5'!$C$5:$M$299,11,0),"Inspection at production line")</f>
        <v>Inspection at production line</v>
      </c>
    </row>
    <row r="4486" spans="1:4" ht="13.8">
      <c r="A4486" s="47" t="s">
        <v>10076</v>
      </c>
      <c r="B4486" s="92" t="s">
        <v>555</v>
      </c>
      <c r="C4486" s="92" t="s">
        <v>5212</v>
      </c>
      <c r="D4486" s="72" t="str">
        <f>IFERROR(VLOOKUP(A4486,'[1]ST-QA-ZZ5'!$C$5:$M$299,11,0),"Inspection at production line")</f>
        <v>Inspection at production line</v>
      </c>
    </row>
    <row r="4487" spans="1:4" ht="13.8">
      <c r="A4487" s="47" t="s">
        <v>10077</v>
      </c>
      <c r="B4487" s="92" t="s">
        <v>957</v>
      </c>
      <c r="C4487" s="92" t="s">
        <v>10078</v>
      </c>
      <c r="D4487" s="72" t="str">
        <f>IFERROR(VLOOKUP(A4487,'[1]ST-QA-ZZ5'!$C$5:$M$299,11,0),"Inspection at production line")</f>
        <v>Inspection at production line</v>
      </c>
    </row>
    <row r="4488" spans="1:4" ht="13.8">
      <c r="A4488" s="47" t="s">
        <v>10079</v>
      </c>
      <c r="B4488" s="92" t="s">
        <v>1896</v>
      </c>
      <c r="C4488" s="92" t="s">
        <v>10080</v>
      </c>
      <c r="D4488" s="72" t="str">
        <f>IFERROR(VLOOKUP(A4488,'[1]ST-QA-ZZ5'!$C$5:$M$299,11,0),"Inspection at production line")</f>
        <v>Inspection at production line</v>
      </c>
    </row>
    <row r="4489" spans="1:4" ht="13.8">
      <c r="A4489" s="47" t="s">
        <v>10081</v>
      </c>
      <c r="B4489" s="92" t="s">
        <v>68</v>
      </c>
      <c r="C4489" s="92" t="s">
        <v>10082</v>
      </c>
      <c r="D4489" s="72" t="str">
        <f>IFERROR(VLOOKUP(A4489,'[1]ST-QA-ZZ5'!$C$5:$M$299,11,0),"Inspection at production line")</f>
        <v>Inspection at production line</v>
      </c>
    </row>
    <row r="4490" spans="1:4" ht="13.8">
      <c r="A4490" s="47" t="s">
        <v>10083</v>
      </c>
      <c r="B4490" s="92" t="s">
        <v>9887</v>
      </c>
      <c r="C4490" s="92" t="s">
        <v>10084</v>
      </c>
      <c r="D4490" s="72" t="str">
        <f>IFERROR(VLOOKUP(A4490,'[1]ST-QA-ZZ5'!$C$5:$M$299,11,0),"Inspection at production line")</f>
        <v>Inspection at production line</v>
      </c>
    </row>
    <row r="4491" spans="1:4" ht="13.8">
      <c r="A4491" s="47" t="s">
        <v>10085</v>
      </c>
      <c r="B4491" s="92" t="s">
        <v>1070</v>
      </c>
      <c r="C4491" s="92" t="s">
        <v>10086</v>
      </c>
      <c r="D4491" s="72" t="str">
        <f>IFERROR(VLOOKUP(A4491,'[1]ST-QA-ZZ5'!$C$5:$M$299,11,0),"Inspection at production line")</f>
        <v>Inspection at production line</v>
      </c>
    </row>
    <row r="4492" spans="1:4" ht="13.8">
      <c r="A4492" s="47" t="s">
        <v>10087</v>
      </c>
      <c r="B4492" s="92" t="s">
        <v>75</v>
      </c>
      <c r="C4492" s="92" t="s">
        <v>10088</v>
      </c>
      <c r="D4492" s="72" t="str">
        <f>IFERROR(VLOOKUP(A4492,'[1]ST-QA-ZZ5'!$C$5:$M$299,11,0),"Inspection at production line")</f>
        <v>Inspection at production line</v>
      </c>
    </row>
    <row r="4493" spans="1:4" ht="13.8">
      <c r="A4493" s="47" t="s">
        <v>10089</v>
      </c>
      <c r="B4493" s="92" t="s">
        <v>75</v>
      </c>
      <c r="C4493" s="92" t="s">
        <v>10090</v>
      </c>
      <c r="D4493" s="72" t="str">
        <f>IFERROR(VLOOKUP(A4493,'[1]ST-QA-ZZ5'!$C$5:$M$299,11,0),"Inspection at production line")</f>
        <v>Inspection at production line</v>
      </c>
    </row>
    <row r="4494" spans="1:4" ht="13.8">
      <c r="A4494" s="47" t="s">
        <v>10091</v>
      </c>
      <c r="B4494" s="92" t="s">
        <v>1554</v>
      </c>
      <c r="C4494" s="92" t="s">
        <v>10092</v>
      </c>
      <c r="D4494" s="72" t="str">
        <f>IFERROR(VLOOKUP(A4494,'[1]ST-QA-ZZ5'!$C$5:$M$299,11,0),"Inspection at production line")</f>
        <v>Inspection at production line</v>
      </c>
    </row>
    <row r="4495" spans="1:4" ht="13.8">
      <c r="A4495" s="47" t="s">
        <v>10093</v>
      </c>
      <c r="B4495" s="92" t="s">
        <v>7102</v>
      </c>
      <c r="C4495" s="92" t="s">
        <v>10094</v>
      </c>
      <c r="D4495" s="72" t="str">
        <f>IFERROR(VLOOKUP(A4495,'[1]ST-QA-ZZ5'!$C$5:$M$299,11,0),"Inspection at production line")</f>
        <v>Inspection at production line</v>
      </c>
    </row>
    <row r="4496" spans="1:4" ht="13.8">
      <c r="A4496" s="47" t="s">
        <v>10095</v>
      </c>
      <c r="B4496" s="92" t="s">
        <v>75</v>
      </c>
      <c r="C4496" s="92" t="s">
        <v>10096</v>
      </c>
      <c r="D4496" s="72" t="str">
        <f>IFERROR(VLOOKUP(A4496,'[1]ST-QA-ZZ5'!$C$5:$M$299,11,0),"Inspection at production line")</f>
        <v>Inspection at production line</v>
      </c>
    </row>
    <row r="4497" spans="1:4" ht="13.8">
      <c r="A4497" s="47" t="s">
        <v>10097</v>
      </c>
      <c r="B4497" s="92" t="s">
        <v>9887</v>
      </c>
      <c r="C4497" s="92" t="s">
        <v>10098</v>
      </c>
      <c r="D4497" s="72" t="str">
        <f>IFERROR(VLOOKUP(A4497,'[1]ST-QA-ZZ5'!$C$5:$M$299,11,0),"Inspection at production line")</f>
        <v>Inspection at production line</v>
      </c>
    </row>
    <row r="4498" spans="1:4" ht="13.8">
      <c r="A4498" s="47" t="s">
        <v>10099</v>
      </c>
      <c r="B4498" s="92" t="s">
        <v>1833</v>
      </c>
      <c r="C4498" s="92" t="s">
        <v>10100</v>
      </c>
      <c r="D4498" s="72" t="str">
        <f>IFERROR(VLOOKUP(A4498,'[1]ST-QA-ZZ5'!$C$5:$M$299,11,0),"Inspection at production line")</f>
        <v>Inspection at production line</v>
      </c>
    </row>
    <row r="4499" spans="1:4" ht="13.8">
      <c r="A4499" s="47" t="s">
        <v>10101</v>
      </c>
      <c r="B4499" s="92" t="s">
        <v>2578</v>
      </c>
      <c r="C4499" s="92" t="s">
        <v>10102</v>
      </c>
      <c r="D4499" s="72" t="str">
        <f>IFERROR(VLOOKUP(A4499,'[1]ST-QA-ZZ5'!$C$5:$M$299,11,0),"Inspection at production line")</f>
        <v>Inspection at production line</v>
      </c>
    </row>
    <row r="4500" spans="1:4" ht="13.8">
      <c r="A4500" s="47" t="s">
        <v>10103</v>
      </c>
      <c r="B4500" s="92" t="s">
        <v>2578</v>
      </c>
      <c r="C4500" s="92" t="s">
        <v>10104</v>
      </c>
      <c r="D4500" s="72" t="str">
        <f>IFERROR(VLOOKUP(A4500,'[1]ST-QA-ZZ5'!$C$5:$M$299,11,0),"Inspection at production line")</f>
        <v>Inspection at production line</v>
      </c>
    </row>
    <row r="4501" spans="1:4" ht="13.8">
      <c r="A4501" s="47" t="s">
        <v>10105</v>
      </c>
      <c r="B4501" s="92" t="s">
        <v>2578</v>
      </c>
      <c r="C4501" s="92" t="s">
        <v>10106</v>
      </c>
      <c r="D4501" s="72" t="str">
        <f>IFERROR(VLOOKUP(A4501,'[1]ST-QA-ZZ5'!$C$5:$M$299,11,0),"Inspection at production line")</f>
        <v>Inspection at production line</v>
      </c>
    </row>
    <row r="4502" spans="1:4" ht="13.8">
      <c r="A4502" s="47" t="s">
        <v>10107</v>
      </c>
      <c r="B4502" s="92" t="s">
        <v>2578</v>
      </c>
      <c r="C4502" s="92" t="s">
        <v>10108</v>
      </c>
      <c r="D4502" s="72" t="str">
        <f>IFERROR(VLOOKUP(A4502,'[1]ST-QA-ZZ5'!$C$5:$M$299,11,0),"Inspection at production line")</f>
        <v>Inspection at production line</v>
      </c>
    </row>
    <row r="4503" spans="1:4" ht="13.8">
      <c r="A4503" s="47" t="s">
        <v>10109</v>
      </c>
      <c r="B4503" s="92" t="s">
        <v>2578</v>
      </c>
      <c r="C4503" s="92" t="s">
        <v>10110</v>
      </c>
      <c r="D4503" s="72" t="str">
        <f>IFERROR(VLOOKUP(A4503,'[1]ST-QA-ZZ5'!$C$5:$M$299,11,0),"Inspection at production line")</f>
        <v>Inspection at production line</v>
      </c>
    </row>
    <row r="4504" spans="1:4" ht="13.8">
      <c r="A4504" s="47" t="s">
        <v>10111</v>
      </c>
      <c r="B4504" s="92" t="s">
        <v>2578</v>
      </c>
      <c r="C4504" s="92" t="s">
        <v>10112</v>
      </c>
      <c r="D4504" s="72" t="str">
        <f>IFERROR(VLOOKUP(A4504,'[1]ST-QA-ZZ5'!$C$5:$M$299,11,0),"Inspection at production line")</f>
        <v>Inspection at production line</v>
      </c>
    </row>
    <row r="4505" spans="1:4" ht="13.8">
      <c r="A4505" s="47" t="s">
        <v>10113</v>
      </c>
      <c r="B4505" s="92" t="s">
        <v>2578</v>
      </c>
      <c r="C4505" s="92" t="s">
        <v>10114</v>
      </c>
      <c r="D4505" s="72" t="str">
        <f>IFERROR(VLOOKUP(A4505,'[1]ST-QA-ZZ5'!$C$5:$M$299,11,0),"Inspection at production line")</f>
        <v>Inspection at production line</v>
      </c>
    </row>
    <row r="4506" spans="1:4" ht="13.8">
      <c r="A4506" s="47" t="s">
        <v>10115</v>
      </c>
      <c r="B4506" s="92" t="s">
        <v>2578</v>
      </c>
      <c r="C4506" s="92" t="s">
        <v>10116</v>
      </c>
      <c r="D4506" s="72" t="str">
        <f>IFERROR(VLOOKUP(A4506,'[1]ST-QA-ZZ5'!$C$5:$M$299,11,0),"Inspection at production line")</f>
        <v>Inspection at production line</v>
      </c>
    </row>
    <row r="4507" spans="1:4" ht="13.8">
      <c r="A4507" s="47" t="s">
        <v>10117</v>
      </c>
      <c r="B4507" s="92" t="s">
        <v>1491</v>
      </c>
      <c r="C4507" s="92" t="s">
        <v>10118</v>
      </c>
      <c r="D4507" s="72" t="str">
        <f>IFERROR(VLOOKUP(A4507,'[1]ST-QA-ZZ5'!$C$5:$M$299,11,0),"Inspection at production line")</f>
        <v>Inspection at production line</v>
      </c>
    </row>
    <row r="4508" spans="1:4" ht="13.8">
      <c r="A4508" s="47" t="s">
        <v>5216</v>
      </c>
      <c r="B4508" s="92" t="s">
        <v>57</v>
      </c>
      <c r="C4508" s="92" t="s">
        <v>5217</v>
      </c>
      <c r="D4508" s="72" t="str">
        <f>IFERROR(VLOOKUP(A4508,'[1]ST-QA-ZZ5'!$C$5:$M$299,11,0),"Inspection at production line")</f>
        <v>Inspection at production line</v>
      </c>
    </row>
    <row r="4509" spans="1:4" ht="13.8">
      <c r="A4509" s="47" t="s">
        <v>5220</v>
      </c>
      <c r="B4509" s="92" t="s">
        <v>57</v>
      </c>
      <c r="C4509" s="92" t="s">
        <v>5221</v>
      </c>
      <c r="D4509" s="72" t="str">
        <f>IFERROR(VLOOKUP(A4509,'[1]ST-QA-ZZ5'!$C$5:$M$299,11,0),"Inspection at production line")</f>
        <v>Inspection at production line</v>
      </c>
    </row>
    <row r="4510" spans="1:4" ht="13.8">
      <c r="A4510" s="47" t="s">
        <v>5222</v>
      </c>
      <c r="B4510" s="92" t="s">
        <v>1491</v>
      </c>
      <c r="C4510" s="92" t="s">
        <v>5223</v>
      </c>
      <c r="D4510" s="72" t="str">
        <f>IFERROR(VLOOKUP(A4510,'[1]ST-QA-ZZ5'!$C$5:$M$299,11,0),"Inspection at production line")</f>
        <v>Inspection at production line</v>
      </c>
    </row>
    <row r="4511" spans="1:4" ht="13.8">
      <c r="A4511" s="47" t="s">
        <v>5224</v>
      </c>
      <c r="B4511" s="92" t="s">
        <v>5214</v>
      </c>
      <c r="C4511" s="92" t="s">
        <v>5225</v>
      </c>
      <c r="D4511" s="72" t="str">
        <f>IFERROR(VLOOKUP(A4511,'[1]ST-QA-ZZ5'!$C$5:$M$299,11,0),"Inspection at production line")</f>
        <v>Inspection at production line</v>
      </c>
    </row>
    <row r="4512" spans="1:4" ht="13.8">
      <c r="A4512" s="47" t="s">
        <v>5213</v>
      </c>
      <c r="B4512" s="92" t="s">
        <v>5214</v>
      </c>
      <c r="C4512" s="92" t="s">
        <v>5215</v>
      </c>
      <c r="D4512" s="72" t="str">
        <f>IFERROR(VLOOKUP(A4512,'[1]ST-QA-ZZ5'!$C$5:$M$299,11,0),"Inspection at production line")</f>
        <v>Inspection at production line</v>
      </c>
    </row>
    <row r="4513" spans="1:4" ht="13.8">
      <c r="A4513" s="47" t="s">
        <v>5227</v>
      </c>
      <c r="B4513" s="92" t="s">
        <v>5214</v>
      </c>
      <c r="C4513" s="92" t="s">
        <v>5228</v>
      </c>
      <c r="D4513" s="72" t="str">
        <f>IFERROR(VLOOKUP(A4513,'[1]ST-QA-ZZ5'!$C$5:$M$299,11,0),"Inspection at production line")</f>
        <v>Inspection at production line</v>
      </c>
    </row>
    <row r="4514" spans="1:4" ht="13.8">
      <c r="A4514" s="47" t="s">
        <v>5229</v>
      </c>
      <c r="B4514" s="92" t="s">
        <v>57</v>
      </c>
      <c r="C4514" s="92" t="s">
        <v>5230</v>
      </c>
      <c r="D4514" s="72" t="str">
        <f>IFERROR(VLOOKUP(A4514,'[1]ST-QA-ZZ5'!$C$5:$M$299,11,0),"Inspection at production line")</f>
        <v>Inspection at production line</v>
      </c>
    </row>
    <row r="4515" spans="1:4" ht="13.8">
      <c r="A4515" s="47" t="s">
        <v>5231</v>
      </c>
      <c r="B4515" s="92" t="s">
        <v>57</v>
      </c>
      <c r="C4515" s="92" t="s">
        <v>5232</v>
      </c>
      <c r="D4515" s="72" t="str">
        <f>IFERROR(VLOOKUP(A4515,'[1]ST-QA-ZZ5'!$C$5:$M$299,11,0),"Inspection at production line")</f>
        <v>Inspection at production line</v>
      </c>
    </row>
    <row r="4516" spans="1:4" ht="13.8">
      <c r="A4516" s="47" t="s">
        <v>10119</v>
      </c>
      <c r="B4516" s="92" t="s">
        <v>959</v>
      </c>
      <c r="C4516" s="92" t="s">
        <v>10120</v>
      </c>
      <c r="D4516" s="72" t="str">
        <f>IFERROR(VLOOKUP(A4516,'[1]ST-QA-ZZ5'!$C$5:$M$299,11,0),"Inspection at production line")</f>
        <v>Inspection at production line</v>
      </c>
    </row>
    <row r="4517" spans="1:4" ht="13.8">
      <c r="A4517" s="47" t="s">
        <v>10121</v>
      </c>
      <c r="B4517" s="92" t="s">
        <v>10122</v>
      </c>
      <c r="C4517" s="92" t="s">
        <v>10123</v>
      </c>
      <c r="D4517" s="72" t="str">
        <f>IFERROR(VLOOKUP(A4517,'[1]ST-QA-ZZ5'!$C$5:$M$299,11,0),"Inspection at production line")</f>
        <v>Inspection at production line</v>
      </c>
    </row>
    <row r="4518" spans="1:4" ht="13.8">
      <c r="A4518" s="47" t="s">
        <v>10124</v>
      </c>
      <c r="B4518" s="92" t="s">
        <v>10125</v>
      </c>
      <c r="C4518" s="92" t="s">
        <v>10126</v>
      </c>
      <c r="D4518" s="72" t="str">
        <f>IFERROR(VLOOKUP(A4518,'[1]ST-QA-ZZ5'!$C$5:$M$299,11,0),"Inspection at production line")</f>
        <v>Inspection at production line</v>
      </c>
    </row>
    <row r="4519" spans="1:4" ht="13.8">
      <c r="A4519" s="47" t="s">
        <v>10127</v>
      </c>
      <c r="B4519" s="92" t="s">
        <v>905</v>
      </c>
      <c r="C4519" s="92" t="s">
        <v>10128</v>
      </c>
      <c r="D4519" s="72" t="str">
        <f>IFERROR(VLOOKUP(A4519,'[1]ST-QA-ZZ5'!$C$5:$M$299,11,0),"Inspection at production line")</f>
        <v>Inspection at production line</v>
      </c>
    </row>
    <row r="4520" spans="1:4" ht="13.8">
      <c r="A4520" s="47" t="s">
        <v>10129</v>
      </c>
      <c r="B4520" s="92" t="s">
        <v>905</v>
      </c>
      <c r="C4520" s="92" t="s">
        <v>10130</v>
      </c>
      <c r="D4520" s="72" t="str">
        <f>IFERROR(VLOOKUP(A4520,'[1]ST-QA-ZZ5'!$C$5:$M$299,11,0),"Inspection at production line")</f>
        <v>Inspection at production line</v>
      </c>
    </row>
    <row r="4521" spans="1:4" ht="13.8">
      <c r="A4521" s="47" t="s">
        <v>10131</v>
      </c>
      <c r="B4521" s="92" t="s">
        <v>3363</v>
      </c>
      <c r="C4521" s="92" t="s">
        <v>10132</v>
      </c>
      <c r="D4521" s="72" t="str">
        <f>IFERROR(VLOOKUP(A4521,'[1]ST-QA-ZZ5'!$C$5:$M$299,11,0),"Inspection at production line")</f>
        <v>Inspection at production line</v>
      </c>
    </row>
    <row r="4522" spans="1:4" ht="13.8">
      <c r="A4522" s="47" t="s">
        <v>10133</v>
      </c>
      <c r="B4522" s="92" t="s">
        <v>959</v>
      </c>
      <c r="C4522" s="92" t="s">
        <v>10134</v>
      </c>
      <c r="D4522" s="72" t="str">
        <f>IFERROR(VLOOKUP(A4522,'[1]ST-QA-ZZ5'!$C$5:$M$299,11,0),"Inspection at production line")</f>
        <v>Inspection at production line</v>
      </c>
    </row>
    <row r="4523" spans="1:4" ht="13.8">
      <c r="A4523" s="47" t="s">
        <v>10135</v>
      </c>
      <c r="B4523" s="92" t="s">
        <v>959</v>
      </c>
      <c r="C4523" s="92" t="s">
        <v>10136</v>
      </c>
      <c r="D4523" s="72" t="str">
        <f>IFERROR(VLOOKUP(A4523,'[1]ST-QA-ZZ5'!$C$5:$M$299,11,0),"Inspection at production line")</f>
        <v>Inspection at production line</v>
      </c>
    </row>
    <row r="4524" spans="1:4" ht="13.8">
      <c r="A4524" s="47" t="s">
        <v>10137</v>
      </c>
      <c r="B4524" s="92" t="s">
        <v>959</v>
      </c>
      <c r="C4524" s="92" t="s">
        <v>10138</v>
      </c>
      <c r="D4524" s="72" t="str">
        <f>IFERROR(VLOOKUP(A4524,'[1]ST-QA-ZZ5'!$C$5:$M$299,11,0),"Inspection at production line")</f>
        <v>Inspection at production line</v>
      </c>
    </row>
    <row r="4525" spans="1:4" ht="13.8">
      <c r="A4525" s="47" t="s">
        <v>10139</v>
      </c>
      <c r="B4525" s="92" t="s">
        <v>959</v>
      </c>
      <c r="C4525" s="92" t="s">
        <v>10140</v>
      </c>
      <c r="D4525" s="72" t="str">
        <f>IFERROR(VLOOKUP(A4525,'[1]ST-QA-ZZ5'!$C$5:$M$299,11,0),"Inspection at production line")</f>
        <v>Inspection at production line</v>
      </c>
    </row>
    <row r="4526" spans="1:4" ht="13.8">
      <c r="A4526" s="47" t="s">
        <v>10141</v>
      </c>
      <c r="B4526" s="92" t="s">
        <v>959</v>
      </c>
      <c r="C4526" s="92" t="s">
        <v>10142</v>
      </c>
      <c r="D4526" s="72" t="str">
        <f>IFERROR(VLOOKUP(A4526,'[1]ST-QA-ZZ5'!$C$5:$M$299,11,0),"Inspection at production line")</f>
        <v>Inspection at production line</v>
      </c>
    </row>
    <row r="4527" spans="1:4" ht="13.8">
      <c r="A4527" s="47" t="s">
        <v>10143</v>
      </c>
      <c r="B4527" s="92" t="s">
        <v>849</v>
      </c>
      <c r="C4527" s="92" t="s">
        <v>10144</v>
      </c>
      <c r="D4527" s="72" t="str">
        <f>IFERROR(VLOOKUP(A4527,'[1]ST-QA-ZZ5'!$C$5:$M$299,11,0),"Inspection at production line")</f>
        <v>Inspection at production line</v>
      </c>
    </row>
    <row r="4528" spans="1:4" ht="13.8">
      <c r="A4528" s="47" t="s">
        <v>2714</v>
      </c>
      <c r="B4528" s="92" t="s">
        <v>794</v>
      </c>
      <c r="C4528" s="92" t="s">
        <v>2715</v>
      </c>
      <c r="D4528" s="72" t="str">
        <f>IFERROR(VLOOKUP(A4528,'[1]ST-QA-ZZ5'!$C$5:$M$299,11,0),"Inspection at production line")</f>
        <v>Inspection at production line</v>
      </c>
    </row>
    <row r="4529" spans="1:4" ht="13.8">
      <c r="A4529" s="47" t="s">
        <v>10145</v>
      </c>
      <c r="B4529" s="92" t="s">
        <v>819</v>
      </c>
      <c r="C4529" s="92" t="s">
        <v>10146</v>
      </c>
      <c r="D4529" s="72" t="str">
        <f>IFERROR(VLOOKUP(A4529,'[1]ST-QA-ZZ5'!$C$5:$M$299,11,0),"Inspection at production line")</f>
        <v>Inspection at production line</v>
      </c>
    </row>
    <row r="4530" spans="1:4" ht="13.8">
      <c r="A4530" s="47" t="s">
        <v>10147</v>
      </c>
      <c r="B4530" s="92" t="s">
        <v>4949</v>
      </c>
      <c r="C4530" s="92" t="s">
        <v>10148</v>
      </c>
      <c r="D4530" s="72" t="str">
        <f>IFERROR(VLOOKUP(A4530,'[1]ST-QA-ZZ5'!$C$5:$M$299,11,0),"Inspection at production line")</f>
        <v>Inspection at production line</v>
      </c>
    </row>
    <row r="4531" spans="1:4" ht="13.8">
      <c r="A4531" s="47" t="s">
        <v>10149</v>
      </c>
      <c r="B4531" s="92" t="s">
        <v>4949</v>
      </c>
      <c r="C4531" s="92" t="s">
        <v>10150</v>
      </c>
      <c r="D4531" s="72" t="str">
        <f>IFERROR(VLOOKUP(A4531,'[1]ST-QA-ZZ5'!$C$5:$M$299,11,0),"Inspection at production line")</f>
        <v>Inspection at production line</v>
      </c>
    </row>
    <row r="4532" spans="1:4" ht="13.8">
      <c r="A4532" s="47" t="s">
        <v>10151</v>
      </c>
      <c r="B4532" s="92" t="s">
        <v>379</v>
      </c>
      <c r="C4532" s="92" t="s">
        <v>10152</v>
      </c>
      <c r="D4532" s="72" t="str">
        <f>IFERROR(VLOOKUP(A4532,'[1]ST-QA-ZZ5'!$C$5:$M$299,11,0),"Inspection at production line")</f>
        <v>Inspection at production line</v>
      </c>
    </row>
    <row r="4533" spans="1:4" ht="13.8">
      <c r="A4533" s="47" t="s">
        <v>378</v>
      </c>
      <c r="B4533" s="92" t="s">
        <v>379</v>
      </c>
      <c r="C4533" s="92" t="s">
        <v>380</v>
      </c>
      <c r="D4533" s="72" t="str">
        <f>IFERROR(VLOOKUP(A4533,'[1]ST-QA-ZZ5'!$C$5:$M$299,11,0),"Inspection at production line")</f>
        <v>Inspection at production line</v>
      </c>
    </row>
    <row r="4534" spans="1:4" ht="13.8">
      <c r="A4534" s="47" t="s">
        <v>10153</v>
      </c>
      <c r="B4534" s="92" t="s">
        <v>10154</v>
      </c>
      <c r="C4534" s="92" t="s">
        <v>10155</v>
      </c>
      <c r="D4534" s="72" t="str">
        <f>IFERROR(VLOOKUP(A4534,'[1]ST-QA-ZZ5'!$C$5:$M$299,11,0),"Inspection at production line")</f>
        <v>Inspection at production line</v>
      </c>
    </row>
    <row r="4535" spans="1:4" ht="13.8">
      <c r="A4535" s="47" t="s">
        <v>10156</v>
      </c>
      <c r="B4535" s="92" t="s">
        <v>1359</v>
      </c>
      <c r="C4535" s="92" t="s">
        <v>10157</v>
      </c>
      <c r="D4535" s="72" t="str">
        <f>IFERROR(VLOOKUP(A4535,'[1]ST-QA-ZZ5'!$C$5:$M$299,11,0),"Inspection at production line")</f>
        <v>Inspection at production line</v>
      </c>
    </row>
    <row r="4536" spans="1:4" ht="13.8">
      <c r="A4536" s="47" t="s">
        <v>10158</v>
      </c>
      <c r="B4536" s="92" t="s">
        <v>1359</v>
      </c>
      <c r="C4536" s="92" t="s">
        <v>10159</v>
      </c>
      <c r="D4536" s="72" t="str">
        <f>IFERROR(VLOOKUP(A4536,'[1]ST-QA-ZZ5'!$C$5:$M$299,11,0),"Inspection at production line")</f>
        <v>Inspection at production line</v>
      </c>
    </row>
    <row r="4537" spans="1:4" ht="13.8">
      <c r="A4537" s="47" t="s">
        <v>10160</v>
      </c>
      <c r="B4537" s="92" t="s">
        <v>371</v>
      </c>
      <c r="C4537" s="92" t="s">
        <v>10161</v>
      </c>
      <c r="D4537" s="72" t="str">
        <f>IFERROR(VLOOKUP(A4537,'[1]ST-QA-ZZ5'!$C$5:$M$299,11,0),"Inspection at production line")</f>
        <v>Inspection at production line</v>
      </c>
    </row>
    <row r="4538" spans="1:4" ht="13.8">
      <c r="A4538" s="47" t="s">
        <v>10162</v>
      </c>
      <c r="B4538" s="92" t="s">
        <v>213</v>
      </c>
      <c r="C4538" s="92" t="s">
        <v>10163</v>
      </c>
      <c r="D4538" s="72" t="str">
        <f>IFERROR(VLOOKUP(A4538,'[1]ST-QA-ZZ5'!$C$5:$M$299,11,0),"Inspection at production line")</f>
        <v>Inspection at production line</v>
      </c>
    </row>
    <row r="4539" spans="1:4" ht="13.8">
      <c r="A4539" s="47" t="s">
        <v>10164</v>
      </c>
      <c r="B4539" s="92" t="s">
        <v>213</v>
      </c>
      <c r="C4539" s="92" t="s">
        <v>10165</v>
      </c>
      <c r="D4539" s="72" t="str">
        <f>IFERROR(VLOOKUP(A4539,'[1]ST-QA-ZZ5'!$C$5:$M$299,11,0),"Inspection at production line")</f>
        <v>Inspection at production line</v>
      </c>
    </row>
    <row r="4540" spans="1:4" ht="13.8">
      <c r="A4540" s="47" t="s">
        <v>10166</v>
      </c>
      <c r="B4540" s="92" t="s">
        <v>83</v>
      </c>
      <c r="C4540" s="92" t="s">
        <v>10167</v>
      </c>
      <c r="D4540" s="72" t="str">
        <f>IFERROR(VLOOKUP(A4540,'[1]ST-QA-ZZ5'!$C$5:$M$299,11,0),"Inspection at production line")</f>
        <v>Inspection at production line</v>
      </c>
    </row>
    <row r="4541" spans="1:4" ht="13.8">
      <c r="A4541" s="47" t="s">
        <v>10168</v>
      </c>
      <c r="B4541" s="92" t="s">
        <v>404</v>
      </c>
      <c r="C4541" s="92" t="s">
        <v>10169</v>
      </c>
      <c r="D4541" s="72" t="str">
        <f>IFERROR(VLOOKUP(A4541,'[1]ST-QA-ZZ5'!$C$5:$M$299,11,0),"Inspection at production line")</f>
        <v>Inspection at production line</v>
      </c>
    </row>
    <row r="4542" spans="1:4" ht="13.8">
      <c r="A4542" s="47" t="s">
        <v>384</v>
      </c>
      <c r="B4542" s="92" t="s">
        <v>379</v>
      </c>
      <c r="C4542" s="92" t="s">
        <v>385</v>
      </c>
      <c r="D4542" s="72" t="str">
        <f>IFERROR(VLOOKUP(A4542,'[1]ST-QA-ZZ5'!$C$5:$M$299,11,0),"Inspection at production line")</f>
        <v>Inspection at production line</v>
      </c>
    </row>
    <row r="4543" spans="1:4" ht="13.8">
      <c r="A4543" s="47" t="s">
        <v>389</v>
      </c>
      <c r="B4543" s="92" t="s">
        <v>379</v>
      </c>
      <c r="C4543" s="92" t="s">
        <v>422</v>
      </c>
      <c r="D4543" s="72" t="str">
        <f>IFERROR(VLOOKUP(A4543,'[1]ST-QA-ZZ5'!$C$5:$M$299,11,0),"Inspection at production line")</f>
        <v>Inspection at production line</v>
      </c>
    </row>
    <row r="4544" spans="1:4" ht="13.8">
      <c r="A4544" s="47" t="s">
        <v>10170</v>
      </c>
      <c r="B4544" s="92" t="s">
        <v>2137</v>
      </c>
      <c r="C4544" s="92" t="s">
        <v>10171</v>
      </c>
      <c r="D4544" s="72" t="str">
        <f>IFERROR(VLOOKUP(A4544,'[1]ST-QA-ZZ5'!$C$5:$M$299,11,0),"Inspection at production line")</f>
        <v>Inspection at production line</v>
      </c>
    </row>
    <row r="4545" spans="1:4" ht="13.8">
      <c r="A4545" s="47" t="s">
        <v>10172</v>
      </c>
      <c r="B4545" s="92" t="s">
        <v>404</v>
      </c>
      <c r="C4545" s="92" t="s">
        <v>10173</v>
      </c>
      <c r="D4545" s="72" t="str">
        <f>IFERROR(VLOOKUP(A4545,'[1]ST-QA-ZZ5'!$C$5:$M$299,11,0),"Inspection at production line")</f>
        <v>Inspection at production line</v>
      </c>
    </row>
    <row r="4546" spans="1:4" ht="13.8">
      <c r="A4546" s="47" t="s">
        <v>10174</v>
      </c>
      <c r="B4546" s="92" t="s">
        <v>404</v>
      </c>
      <c r="C4546" s="94" t="s">
        <v>10175</v>
      </c>
      <c r="D4546" s="72" t="str">
        <f>IFERROR(VLOOKUP(A4546,'[1]ST-QA-ZZ5'!$C$5:$M$299,11,0),"Inspection at production line")</f>
        <v>Inspection at production line</v>
      </c>
    </row>
    <row r="4547" spans="1:4" ht="13.8">
      <c r="A4547" s="47" t="s">
        <v>10176</v>
      </c>
      <c r="B4547" s="92" t="s">
        <v>4637</v>
      </c>
      <c r="C4547" s="92" t="s">
        <v>10177</v>
      </c>
      <c r="D4547" s="72" t="str">
        <f>IFERROR(VLOOKUP(A4547,'[1]ST-QA-ZZ5'!$C$5:$M$299,11,0),"Inspection at production line")</f>
        <v>Inspection at production line</v>
      </c>
    </row>
    <row r="4548" spans="1:4" ht="13.8">
      <c r="A4548" s="47" t="s">
        <v>10178</v>
      </c>
      <c r="B4548" s="92" t="s">
        <v>900</v>
      </c>
      <c r="C4548" s="92" t="s">
        <v>10179</v>
      </c>
      <c r="D4548" s="72" t="str">
        <f>IFERROR(VLOOKUP(A4548,'[1]ST-QA-ZZ5'!$C$5:$M$299,11,0),"Inspection at production line")</f>
        <v>Inspection at production line</v>
      </c>
    </row>
    <row r="4549" spans="1:4" ht="13.8">
      <c r="A4549" s="47" t="s">
        <v>10180</v>
      </c>
      <c r="B4549" s="92" t="s">
        <v>10181</v>
      </c>
      <c r="C4549" s="92" t="s">
        <v>10182</v>
      </c>
      <c r="D4549" s="72" t="str">
        <f>IFERROR(VLOOKUP(A4549,'[1]ST-QA-ZZ5'!$C$5:$M$299,11,0),"Inspection at production line")</f>
        <v>Inspection at production line</v>
      </c>
    </row>
    <row r="4550" spans="1:4" ht="13.8">
      <c r="A4550" s="47" t="s">
        <v>10183</v>
      </c>
      <c r="B4550" s="92" t="s">
        <v>68</v>
      </c>
      <c r="C4550" s="92" t="s">
        <v>69</v>
      </c>
      <c r="D4550" s="72" t="str">
        <f>IFERROR(VLOOKUP(A4550,'[1]ST-QA-ZZ5'!$C$5:$M$299,11,0),"Inspection at production line")</f>
        <v>Inspection at production line</v>
      </c>
    </row>
    <row r="4551" spans="1:4" ht="13.8">
      <c r="A4551" s="47" t="s">
        <v>10184</v>
      </c>
      <c r="B4551" s="92" t="s">
        <v>975</v>
      </c>
      <c r="C4551" s="92" t="s">
        <v>10185</v>
      </c>
      <c r="D4551" s="72" t="str">
        <f>IFERROR(VLOOKUP(A4551,'[1]ST-QA-ZZ5'!$C$5:$M$299,11,0),"Inspection at production line")</f>
        <v>Inspection at production line</v>
      </c>
    </row>
    <row r="4552" spans="1:4" ht="13.8">
      <c r="A4552" s="47" t="s">
        <v>10186</v>
      </c>
      <c r="B4552" s="92" t="s">
        <v>1669</v>
      </c>
      <c r="C4552" s="92" t="s">
        <v>10187</v>
      </c>
      <c r="D4552" s="72" t="str">
        <f>IFERROR(VLOOKUP(A4552,'[1]ST-QA-ZZ5'!$C$5:$M$299,11,0),"Inspection at production line")</f>
        <v>Inspection at production line</v>
      </c>
    </row>
    <row r="4553" spans="1:4" ht="13.8">
      <c r="A4553" s="47" t="s">
        <v>10188</v>
      </c>
      <c r="B4553" s="92" t="s">
        <v>555</v>
      </c>
      <c r="C4553" s="92" t="s">
        <v>10189</v>
      </c>
      <c r="D4553" s="72" t="str">
        <f>IFERROR(VLOOKUP(A4553,'[1]ST-QA-ZZ5'!$C$5:$M$299,11,0),"Inspection at production line")</f>
        <v>Inspection at production line</v>
      </c>
    </row>
    <row r="4554" spans="1:4" ht="13.8">
      <c r="A4554" s="47" t="s">
        <v>10190</v>
      </c>
      <c r="B4554" s="92" t="s">
        <v>555</v>
      </c>
      <c r="C4554" s="92" t="s">
        <v>10191</v>
      </c>
      <c r="D4554" s="72" t="str">
        <f>IFERROR(VLOOKUP(A4554,'[1]ST-QA-ZZ5'!$C$5:$M$299,11,0),"Inspection at production line")</f>
        <v>Inspection at production line</v>
      </c>
    </row>
    <row r="4555" spans="1:4" ht="13.8">
      <c r="A4555" s="47" t="s">
        <v>10192</v>
      </c>
      <c r="B4555" s="92" t="s">
        <v>555</v>
      </c>
      <c r="C4555" s="92" t="s">
        <v>10193</v>
      </c>
      <c r="D4555" s="72" t="str">
        <f>IFERROR(VLOOKUP(A4555,'[1]ST-QA-ZZ5'!$C$5:$M$299,11,0),"Inspection at production line")</f>
        <v>Inspection at production line</v>
      </c>
    </row>
    <row r="4556" spans="1:4" ht="13.8">
      <c r="A4556" s="47" t="s">
        <v>10194</v>
      </c>
      <c r="B4556" s="92" t="s">
        <v>555</v>
      </c>
      <c r="C4556" s="92" t="s">
        <v>10195</v>
      </c>
      <c r="D4556" s="72" t="str">
        <f>IFERROR(VLOOKUP(A4556,'[1]ST-QA-ZZ5'!$C$5:$M$299,11,0),"Inspection at production line")</f>
        <v>Inspection at production line</v>
      </c>
    </row>
    <row r="4557" spans="1:4" ht="13.8">
      <c r="A4557" s="47" t="s">
        <v>10196</v>
      </c>
      <c r="B4557" s="92" t="s">
        <v>555</v>
      </c>
      <c r="C4557" s="92" t="s">
        <v>10197</v>
      </c>
      <c r="D4557" s="72" t="str">
        <f>IFERROR(VLOOKUP(A4557,'[1]ST-QA-ZZ5'!$C$5:$M$299,11,0),"Inspection at production line")</f>
        <v>Inspection at production line</v>
      </c>
    </row>
    <row r="4558" spans="1:4" ht="13.8">
      <c r="A4558" s="47" t="s">
        <v>10198</v>
      </c>
      <c r="B4558" s="92" t="s">
        <v>555</v>
      </c>
      <c r="C4558" s="92" t="s">
        <v>10199</v>
      </c>
      <c r="D4558" s="72" t="str">
        <f>IFERROR(VLOOKUP(A4558,'[1]ST-QA-ZZ5'!$C$5:$M$299,11,0),"Inspection at production line")</f>
        <v>Inspection at production line</v>
      </c>
    </row>
    <row r="4559" spans="1:4" ht="13.8">
      <c r="A4559" s="47" t="s">
        <v>10200</v>
      </c>
      <c r="B4559" s="92" t="s">
        <v>90</v>
      </c>
      <c r="C4559" s="92" t="s">
        <v>10201</v>
      </c>
      <c r="D4559" s="72" t="str">
        <f>IFERROR(VLOOKUP(A4559,'[1]ST-QA-ZZ5'!$C$5:$M$299,11,0),"Inspection at production line")</f>
        <v>Inspection at production line</v>
      </c>
    </row>
    <row r="4560" spans="1:4" ht="13.8">
      <c r="A4560" s="47" t="s">
        <v>10202</v>
      </c>
      <c r="B4560" s="92" t="s">
        <v>959</v>
      </c>
      <c r="C4560" s="92" t="s">
        <v>10203</v>
      </c>
      <c r="D4560" s="72" t="str">
        <f>IFERROR(VLOOKUP(A4560,'[1]ST-QA-ZZ5'!$C$5:$M$299,11,0),"Inspection at production line")</f>
        <v>Inspection at production line</v>
      </c>
    </row>
    <row r="4561" spans="1:4" ht="13.8">
      <c r="A4561" s="47" t="s">
        <v>10204</v>
      </c>
      <c r="B4561" s="92" t="s">
        <v>3092</v>
      </c>
      <c r="C4561" s="94" t="s">
        <v>10205</v>
      </c>
      <c r="D4561" s="72" t="str">
        <f>IFERROR(VLOOKUP(A4561,'[1]ST-QA-ZZ5'!$C$5:$M$299,11,0),"Inspection at production line")</f>
        <v>Inspection at production line</v>
      </c>
    </row>
    <row r="4562" spans="1:4" ht="13.8">
      <c r="A4562" s="47" t="s">
        <v>10206</v>
      </c>
      <c r="B4562" s="92" t="s">
        <v>2024</v>
      </c>
      <c r="C4562" s="92" t="s">
        <v>10207</v>
      </c>
      <c r="D4562" s="72" t="str">
        <f>IFERROR(VLOOKUP(A4562,'[1]ST-QA-ZZ5'!$C$5:$M$299,11,0),"Inspection at production line")</f>
        <v>Inspection at production line</v>
      </c>
    </row>
    <row r="4563" spans="1:4" ht="13.8">
      <c r="A4563" s="47" t="s">
        <v>10208</v>
      </c>
      <c r="B4563" s="92" t="s">
        <v>68</v>
      </c>
      <c r="C4563" s="92" t="s">
        <v>10209</v>
      </c>
      <c r="D4563" s="72" t="str">
        <f>IFERROR(VLOOKUP(A4563,'[1]ST-QA-ZZ5'!$C$5:$M$299,11,0),"Inspection at production line")</f>
        <v>Inspection at production line</v>
      </c>
    </row>
    <row r="4564" spans="1:4" ht="13.8">
      <c r="A4564" s="47" t="s">
        <v>10210</v>
      </c>
      <c r="B4564" s="92" t="s">
        <v>4093</v>
      </c>
      <c r="C4564" s="92" t="s">
        <v>10211</v>
      </c>
      <c r="D4564" s="72" t="str">
        <f>IFERROR(VLOOKUP(A4564,'[1]ST-QA-ZZ5'!$C$5:$M$299,11,0),"Inspection at production line")</f>
        <v>Inspection at production line</v>
      </c>
    </row>
    <row r="4565" spans="1:4" ht="13.8">
      <c r="A4565" s="47" t="s">
        <v>10212</v>
      </c>
      <c r="B4565" s="92" t="s">
        <v>68</v>
      </c>
      <c r="C4565" s="92" t="s">
        <v>10213</v>
      </c>
      <c r="D4565" s="72" t="str">
        <f>IFERROR(VLOOKUP(A4565,'[1]ST-QA-ZZ5'!$C$5:$M$299,11,0),"Inspection at production line")</f>
        <v>Inspection at production line</v>
      </c>
    </row>
    <row r="4566" spans="1:4" ht="13.8">
      <c r="A4566" s="47" t="s">
        <v>10214</v>
      </c>
      <c r="B4566" s="92" t="s">
        <v>2578</v>
      </c>
      <c r="C4566" s="92" t="s">
        <v>10215</v>
      </c>
      <c r="D4566" s="72" t="str">
        <f>IFERROR(VLOOKUP(A4566,'[1]ST-QA-ZZ5'!$C$5:$M$299,11,0),"Inspection at production line")</f>
        <v>Inspection at production line</v>
      </c>
    </row>
    <row r="4567" spans="1:4" ht="13.8">
      <c r="A4567" s="47" t="s">
        <v>10216</v>
      </c>
      <c r="B4567" s="92" t="s">
        <v>2578</v>
      </c>
      <c r="C4567" s="92" t="s">
        <v>10217</v>
      </c>
      <c r="D4567" s="72" t="str">
        <f>IFERROR(VLOOKUP(A4567,'[1]ST-QA-ZZ5'!$C$5:$M$299,11,0),"Inspection at production line")</f>
        <v>Inspection at production line</v>
      </c>
    </row>
    <row r="4568" spans="1:4" ht="13.8">
      <c r="A4568" s="47" t="s">
        <v>10218</v>
      </c>
      <c r="B4568" s="92" t="s">
        <v>2578</v>
      </c>
      <c r="C4568" s="92" t="s">
        <v>10219</v>
      </c>
      <c r="D4568" s="72" t="str">
        <f>IFERROR(VLOOKUP(A4568,'[1]ST-QA-ZZ5'!$C$5:$M$299,11,0),"Inspection at production line")</f>
        <v>Inspection at production line</v>
      </c>
    </row>
    <row r="4569" spans="1:4" ht="13.8">
      <c r="A4569" s="47" t="s">
        <v>10220</v>
      </c>
      <c r="B4569" s="92" t="s">
        <v>2578</v>
      </c>
      <c r="C4569" s="92" t="s">
        <v>10221</v>
      </c>
      <c r="D4569" s="72" t="str">
        <f>IFERROR(VLOOKUP(A4569,'[1]ST-QA-ZZ5'!$C$5:$M$299,11,0),"Inspection at production line")</f>
        <v>Inspection at production line</v>
      </c>
    </row>
    <row r="4570" spans="1:4" ht="13.8">
      <c r="A4570" s="47" t="s">
        <v>10222</v>
      </c>
      <c r="B4570" s="92" t="s">
        <v>555</v>
      </c>
      <c r="C4570" s="92" t="s">
        <v>10223</v>
      </c>
      <c r="D4570" s="72" t="str">
        <f>IFERROR(VLOOKUP(A4570,'[1]ST-QA-ZZ5'!$C$5:$M$299,11,0),"Inspection at production line")</f>
        <v>Inspection at production line</v>
      </c>
    </row>
    <row r="4571" spans="1:4" ht="13.8">
      <c r="A4571" s="47" t="s">
        <v>10224</v>
      </c>
      <c r="B4571" s="92" t="s">
        <v>555</v>
      </c>
      <c r="C4571" s="92" t="s">
        <v>10225</v>
      </c>
      <c r="D4571" s="72" t="str">
        <f>IFERROR(VLOOKUP(A4571,'[1]ST-QA-ZZ5'!$C$5:$M$299,11,0),"Inspection at production line")</f>
        <v>Inspection at production line</v>
      </c>
    </row>
    <row r="4572" spans="1:4" ht="13.8">
      <c r="A4572" s="47" t="s">
        <v>10226</v>
      </c>
      <c r="B4572" s="92" t="s">
        <v>555</v>
      </c>
      <c r="C4572" s="92" t="s">
        <v>10227</v>
      </c>
      <c r="D4572" s="72" t="str">
        <f>IFERROR(VLOOKUP(A4572,'[1]ST-QA-ZZ5'!$C$5:$M$299,11,0),"Inspection at production line")</f>
        <v>Inspection at production line</v>
      </c>
    </row>
    <row r="4573" spans="1:4" ht="13.8">
      <c r="A4573" s="47" t="s">
        <v>10228</v>
      </c>
      <c r="B4573" s="92" t="s">
        <v>555</v>
      </c>
      <c r="C4573" s="92" t="s">
        <v>10229</v>
      </c>
      <c r="D4573" s="72" t="str">
        <f>IFERROR(VLOOKUP(A4573,'[1]ST-QA-ZZ5'!$C$5:$M$299,11,0),"Inspection at production line")</f>
        <v>Inspection at production line</v>
      </c>
    </row>
    <row r="4574" spans="1:4" ht="13.8">
      <c r="A4574" s="47" t="s">
        <v>10230</v>
      </c>
      <c r="B4574" s="92" t="s">
        <v>555</v>
      </c>
      <c r="C4574" s="92" t="s">
        <v>10231</v>
      </c>
      <c r="D4574" s="72" t="str">
        <f>IFERROR(VLOOKUP(A4574,'[1]ST-QA-ZZ5'!$C$5:$M$299,11,0),"Inspection at production line")</f>
        <v>Inspection at production line</v>
      </c>
    </row>
    <row r="4575" spans="1:4" ht="13.8">
      <c r="A4575" s="47" t="s">
        <v>10232</v>
      </c>
      <c r="B4575" s="92" t="s">
        <v>555</v>
      </c>
      <c r="C4575" s="92" t="s">
        <v>10233</v>
      </c>
      <c r="D4575" s="72" t="str">
        <f>IFERROR(VLOOKUP(A4575,'[1]ST-QA-ZZ5'!$C$5:$M$299,11,0),"Inspection at production line")</f>
        <v>Inspection at production line</v>
      </c>
    </row>
    <row r="4576" spans="1:4" ht="13.8">
      <c r="A4576" s="47" t="s">
        <v>10234</v>
      </c>
      <c r="B4576" s="92" t="s">
        <v>555</v>
      </c>
      <c r="C4576" s="92" t="s">
        <v>10235</v>
      </c>
      <c r="D4576" s="72" t="str">
        <f>IFERROR(VLOOKUP(A4576,'[1]ST-QA-ZZ5'!$C$5:$M$299,11,0),"Inspection at production line")</f>
        <v>Inspection at production line</v>
      </c>
    </row>
    <row r="4577" spans="1:4" ht="13.8">
      <c r="A4577" s="47" t="s">
        <v>10236</v>
      </c>
      <c r="B4577" s="92" t="s">
        <v>555</v>
      </c>
      <c r="C4577" s="92" t="s">
        <v>10237</v>
      </c>
      <c r="D4577" s="72" t="str">
        <f>IFERROR(VLOOKUP(A4577,'[1]ST-QA-ZZ5'!$C$5:$M$299,11,0),"Inspection at production line")</f>
        <v>Inspection at production line</v>
      </c>
    </row>
    <row r="4578" spans="1:4" ht="13.8">
      <c r="A4578" s="47" t="s">
        <v>10238</v>
      </c>
      <c r="B4578" s="92" t="s">
        <v>555</v>
      </c>
      <c r="C4578" s="92" t="s">
        <v>10239</v>
      </c>
      <c r="D4578" s="72" t="str">
        <f>IFERROR(VLOOKUP(A4578,'[1]ST-QA-ZZ5'!$C$5:$M$299,11,0),"Inspection at production line")</f>
        <v>Inspection at production line</v>
      </c>
    </row>
    <row r="4579" spans="1:4" ht="13.8">
      <c r="A4579" s="47" t="s">
        <v>10240</v>
      </c>
      <c r="B4579" s="92" t="s">
        <v>555</v>
      </c>
      <c r="C4579" s="92" t="s">
        <v>10241</v>
      </c>
      <c r="D4579" s="72" t="str">
        <f>IFERROR(VLOOKUP(A4579,'[1]ST-QA-ZZ5'!$C$5:$M$299,11,0),"Inspection at production line")</f>
        <v>Inspection at production line</v>
      </c>
    </row>
    <row r="4580" spans="1:4" ht="13.8">
      <c r="A4580" s="47" t="s">
        <v>10242</v>
      </c>
      <c r="B4580" s="92" t="s">
        <v>555</v>
      </c>
      <c r="C4580" s="92" t="s">
        <v>10243</v>
      </c>
      <c r="D4580" s="72" t="str">
        <f>IFERROR(VLOOKUP(A4580,'[1]ST-QA-ZZ5'!$C$5:$M$299,11,0),"Inspection at production line")</f>
        <v>Inspection at production line</v>
      </c>
    </row>
    <row r="4581" spans="1:4" ht="13.8">
      <c r="A4581" s="47" t="s">
        <v>10244</v>
      </c>
      <c r="B4581" s="92" t="s">
        <v>555</v>
      </c>
      <c r="C4581" s="94" t="s">
        <v>10245</v>
      </c>
      <c r="D4581" s="72" t="str">
        <f>IFERROR(VLOOKUP(A4581,'[1]ST-QA-ZZ5'!$C$5:$M$299,11,0),"Inspection at production line")</f>
        <v>Inspection at production line</v>
      </c>
    </row>
    <row r="4582" spans="1:4" ht="13.8">
      <c r="A4582" s="47" t="s">
        <v>10246</v>
      </c>
      <c r="B4582" s="92" t="s">
        <v>555</v>
      </c>
      <c r="C4582" s="92" t="s">
        <v>10247</v>
      </c>
      <c r="D4582" s="72" t="str">
        <f>IFERROR(VLOOKUP(A4582,'[1]ST-QA-ZZ5'!$C$5:$M$299,11,0),"Inspection at production line")</f>
        <v>Inspection at production line</v>
      </c>
    </row>
    <row r="4583" spans="1:4" ht="13.8">
      <c r="A4583" s="47" t="s">
        <v>10248</v>
      </c>
      <c r="B4583" s="92" t="s">
        <v>555</v>
      </c>
      <c r="C4583" s="92" t="s">
        <v>10249</v>
      </c>
      <c r="D4583" s="72" t="str">
        <f>IFERROR(VLOOKUP(A4583,'[1]ST-QA-ZZ5'!$C$5:$M$299,11,0),"Inspection at production line")</f>
        <v>Inspection at production line</v>
      </c>
    </row>
    <row r="4584" spans="1:4" ht="13.8">
      <c r="A4584" s="47" t="s">
        <v>10250</v>
      </c>
      <c r="B4584" s="92" t="s">
        <v>555</v>
      </c>
      <c r="C4584" s="92" t="s">
        <v>10251</v>
      </c>
      <c r="D4584" s="72" t="str">
        <f>IFERROR(VLOOKUP(A4584,'[1]ST-QA-ZZ5'!$C$5:$M$299,11,0),"Inspection at production line")</f>
        <v>Inspection at production line</v>
      </c>
    </row>
    <row r="4585" spans="1:4" ht="13.8">
      <c r="A4585" s="47" t="s">
        <v>10252</v>
      </c>
      <c r="B4585" s="92" t="s">
        <v>555</v>
      </c>
      <c r="C4585" s="92" t="s">
        <v>10253</v>
      </c>
      <c r="D4585" s="72" t="str">
        <f>IFERROR(VLOOKUP(A4585,'[1]ST-QA-ZZ5'!$C$5:$M$299,11,0),"Inspection at production line")</f>
        <v>Inspection at production line</v>
      </c>
    </row>
    <row r="4586" spans="1:4" ht="13.8">
      <c r="A4586" s="47" t="s">
        <v>10254</v>
      </c>
      <c r="B4586" s="92" t="s">
        <v>555</v>
      </c>
      <c r="C4586" s="92" t="s">
        <v>10255</v>
      </c>
      <c r="D4586" s="72" t="str">
        <f>IFERROR(VLOOKUP(A4586,'[1]ST-QA-ZZ5'!$C$5:$M$299,11,0),"Inspection at production line")</f>
        <v>Inspection at production line</v>
      </c>
    </row>
    <row r="4587" spans="1:4" ht="13.8">
      <c r="A4587" s="47" t="s">
        <v>10256</v>
      </c>
      <c r="B4587" s="92" t="s">
        <v>555</v>
      </c>
      <c r="C4587" s="92" t="s">
        <v>10257</v>
      </c>
      <c r="D4587" s="72" t="str">
        <f>IFERROR(VLOOKUP(A4587,'[1]ST-QA-ZZ5'!$C$5:$M$299,11,0),"Inspection at production line")</f>
        <v>Inspection at production line</v>
      </c>
    </row>
    <row r="4588" spans="1:4" ht="13.8">
      <c r="A4588" s="47" t="s">
        <v>10258</v>
      </c>
      <c r="B4588" s="92" t="s">
        <v>555</v>
      </c>
      <c r="C4588" s="92" t="s">
        <v>10259</v>
      </c>
      <c r="D4588" s="72" t="str">
        <f>IFERROR(VLOOKUP(A4588,'[1]ST-QA-ZZ5'!$C$5:$M$299,11,0),"Inspection at production line")</f>
        <v>Inspection at production line</v>
      </c>
    </row>
    <row r="4589" spans="1:4" ht="13.8">
      <c r="A4589" s="47" t="s">
        <v>10260</v>
      </c>
      <c r="B4589" s="92" t="s">
        <v>555</v>
      </c>
      <c r="C4589" s="92" t="s">
        <v>10261</v>
      </c>
      <c r="D4589" s="72" t="str">
        <f>IFERROR(VLOOKUP(A4589,'[1]ST-QA-ZZ5'!$C$5:$M$299,11,0),"Inspection at production line")</f>
        <v>Inspection at production line</v>
      </c>
    </row>
    <row r="4590" spans="1:4" ht="13.8">
      <c r="A4590" s="47" t="s">
        <v>10262</v>
      </c>
      <c r="B4590" s="92" t="s">
        <v>555</v>
      </c>
      <c r="C4590" s="92" t="s">
        <v>10263</v>
      </c>
      <c r="D4590" s="72" t="str">
        <f>IFERROR(VLOOKUP(A4590,'[1]ST-QA-ZZ5'!$C$5:$M$299,11,0),"Inspection at production line")</f>
        <v>Inspection at production line</v>
      </c>
    </row>
    <row r="4591" spans="1:4" ht="13.8">
      <c r="A4591" s="47" t="s">
        <v>10264</v>
      </c>
      <c r="B4591" s="92" t="s">
        <v>555</v>
      </c>
      <c r="C4591" s="92" t="s">
        <v>10265</v>
      </c>
      <c r="D4591" s="72" t="str">
        <f>IFERROR(VLOOKUP(A4591,'[1]ST-QA-ZZ5'!$C$5:$M$299,11,0),"Inspection at production line")</f>
        <v>Inspection at production line</v>
      </c>
    </row>
    <row r="4592" spans="1:4" ht="13.8">
      <c r="A4592" s="47" t="s">
        <v>10266</v>
      </c>
      <c r="B4592" s="92" t="s">
        <v>555</v>
      </c>
      <c r="C4592" s="92" t="s">
        <v>10267</v>
      </c>
      <c r="D4592" s="72" t="str">
        <f>IFERROR(VLOOKUP(A4592,'[1]ST-QA-ZZ5'!$C$5:$M$299,11,0),"Inspection at production line")</f>
        <v>Inspection at production line</v>
      </c>
    </row>
    <row r="4593" spans="1:4" ht="13.8">
      <c r="A4593" s="47" t="s">
        <v>10268</v>
      </c>
      <c r="B4593" s="92" t="s">
        <v>555</v>
      </c>
      <c r="C4593" s="92" t="s">
        <v>10269</v>
      </c>
      <c r="D4593" s="72" t="str">
        <f>IFERROR(VLOOKUP(A4593,'[1]ST-QA-ZZ5'!$C$5:$M$299,11,0),"Inspection at production line")</f>
        <v>Inspection at production line</v>
      </c>
    </row>
    <row r="4594" spans="1:4" ht="13.8">
      <c r="A4594" s="47" t="s">
        <v>10270</v>
      </c>
      <c r="B4594" s="92" t="s">
        <v>2024</v>
      </c>
      <c r="C4594" s="92" t="s">
        <v>10271</v>
      </c>
      <c r="D4594" s="72" t="str">
        <f>IFERROR(VLOOKUP(A4594,'[1]ST-QA-ZZ5'!$C$5:$M$299,11,0),"Inspection at production line")</f>
        <v>Inspection at production line</v>
      </c>
    </row>
    <row r="4595" spans="1:4" ht="13.8">
      <c r="A4595" s="47" t="s">
        <v>10272</v>
      </c>
      <c r="B4595" s="92" t="s">
        <v>905</v>
      </c>
      <c r="C4595" s="92" t="s">
        <v>905</v>
      </c>
      <c r="D4595" s="72" t="str">
        <f>IFERROR(VLOOKUP(A4595,'[1]ST-QA-ZZ5'!$C$5:$M$299,11,0),"Inspection at production line")</f>
        <v>Inspection at production line</v>
      </c>
    </row>
    <row r="4596" spans="1:4" ht="13.8">
      <c r="A4596" s="47" t="s">
        <v>10273</v>
      </c>
      <c r="B4596" s="92" t="s">
        <v>4637</v>
      </c>
      <c r="C4596" s="92" t="s">
        <v>10274</v>
      </c>
      <c r="D4596" s="72" t="str">
        <f>IFERROR(VLOOKUP(A4596,'[1]ST-QA-ZZ5'!$C$5:$M$299,11,0),"Inspection at production line")</f>
        <v>Inspection at production line</v>
      </c>
    </row>
    <row r="4597" spans="1:4" ht="13.8">
      <c r="A4597" s="47" t="s">
        <v>10275</v>
      </c>
      <c r="B4597" s="92" t="s">
        <v>6518</v>
      </c>
      <c r="C4597" s="92" t="s">
        <v>10276</v>
      </c>
      <c r="D4597" s="72" t="str">
        <f>IFERROR(VLOOKUP(A4597,'[1]ST-QA-ZZ5'!$C$5:$M$299,11,0),"Inspection at production line")</f>
        <v>Inspection at production line</v>
      </c>
    </row>
    <row r="4598" spans="1:4" ht="13.8">
      <c r="A4598" s="47" t="s">
        <v>10277</v>
      </c>
      <c r="B4598" s="92" t="s">
        <v>1833</v>
      </c>
      <c r="C4598" s="92" t="s">
        <v>10278</v>
      </c>
      <c r="D4598" s="72" t="str">
        <f>IFERROR(VLOOKUP(A4598,'[1]ST-QA-ZZ5'!$C$5:$M$299,11,0),"Inspection at production line")</f>
        <v>Inspection at production line</v>
      </c>
    </row>
    <row r="4599" spans="1:4" ht="13.8">
      <c r="A4599" s="47" t="s">
        <v>10279</v>
      </c>
      <c r="B4599" s="92" t="s">
        <v>2460</v>
      </c>
      <c r="C4599" s="92" t="s">
        <v>10280</v>
      </c>
      <c r="D4599" s="72" t="str">
        <f>IFERROR(VLOOKUP(A4599,'[1]ST-QA-ZZ5'!$C$5:$M$299,11,0),"Inspection at production line")</f>
        <v>Inspection at production line</v>
      </c>
    </row>
    <row r="4600" spans="1:4" ht="13.8">
      <c r="A4600" s="47" t="s">
        <v>10281</v>
      </c>
      <c r="B4600" s="92" t="s">
        <v>6504</v>
      </c>
      <c r="C4600" s="92" t="s">
        <v>10282</v>
      </c>
      <c r="D4600" s="72" t="str">
        <f>IFERROR(VLOOKUP(A4600,'[1]ST-QA-ZZ5'!$C$5:$M$299,11,0),"Inspection at production line")</f>
        <v>Inspection at production line</v>
      </c>
    </row>
    <row r="4601" spans="1:4" ht="13.8">
      <c r="A4601" s="47" t="s">
        <v>554</v>
      </c>
      <c r="B4601" s="92" t="s">
        <v>555</v>
      </c>
      <c r="C4601" s="92" t="s">
        <v>556</v>
      </c>
      <c r="D4601" s="72" t="str">
        <f>IFERROR(VLOOKUP(A4601,'[1]ST-QA-ZZ5'!$C$5:$M$299,11,0),"Inspection at production line")</f>
        <v>Inspection at production line</v>
      </c>
    </row>
    <row r="4602" spans="1:4" ht="13.8">
      <c r="A4602" s="47" t="s">
        <v>10283</v>
      </c>
      <c r="B4602" s="92" t="s">
        <v>555</v>
      </c>
      <c r="C4602" s="92" t="s">
        <v>10284</v>
      </c>
      <c r="D4602" s="72" t="str">
        <f>IFERROR(VLOOKUP(A4602,'[1]ST-QA-ZZ5'!$C$5:$M$299,11,0),"Inspection at production line")</f>
        <v>Inspection at production line</v>
      </c>
    </row>
    <row r="4603" spans="1:4" ht="13.8">
      <c r="A4603" s="47" t="s">
        <v>10285</v>
      </c>
      <c r="B4603" s="92" t="s">
        <v>90</v>
      </c>
      <c r="C4603" s="92" t="s">
        <v>3966</v>
      </c>
      <c r="D4603" s="72" t="str">
        <f>IFERROR(VLOOKUP(A4603,'[1]ST-QA-ZZ5'!$C$5:$M$299,11,0),"Inspection at production line")</f>
        <v>Inspection at production line</v>
      </c>
    </row>
    <row r="4604" spans="1:4" ht="13.8">
      <c r="A4604" s="47" t="s">
        <v>10286</v>
      </c>
      <c r="B4604" s="92" t="s">
        <v>555</v>
      </c>
      <c r="C4604" s="92" t="s">
        <v>10287</v>
      </c>
      <c r="D4604" s="72" t="str">
        <f>IFERROR(VLOOKUP(A4604,'[1]ST-QA-ZZ5'!$C$5:$M$299,11,0),"Inspection at production line")</f>
        <v>Inspection at production line</v>
      </c>
    </row>
    <row r="4605" spans="1:4" ht="13.8">
      <c r="A4605" s="47" t="s">
        <v>10288</v>
      </c>
      <c r="B4605" s="92" t="s">
        <v>4637</v>
      </c>
      <c r="C4605" s="92" t="s">
        <v>10289</v>
      </c>
      <c r="D4605" s="72" t="str">
        <f>IFERROR(VLOOKUP(A4605,'[1]ST-QA-ZZ5'!$C$5:$M$299,11,0),"Inspection at production line")</f>
        <v>Inspection at production line</v>
      </c>
    </row>
    <row r="4606" spans="1:4" ht="13.8">
      <c r="A4606" s="47" t="s">
        <v>10290</v>
      </c>
      <c r="B4606" s="92" t="s">
        <v>2205</v>
      </c>
      <c r="C4606" s="92" t="s">
        <v>10291</v>
      </c>
      <c r="D4606" s="72" t="str">
        <f>IFERROR(VLOOKUP(A4606,'[1]ST-QA-ZZ5'!$C$5:$M$299,11,0),"Inspection at production line")</f>
        <v>Inspection at production line</v>
      </c>
    </row>
    <row r="4607" spans="1:4" ht="13.8">
      <c r="A4607" s="47" t="s">
        <v>10292</v>
      </c>
      <c r="B4607" s="92" t="s">
        <v>959</v>
      </c>
      <c r="C4607" s="92" t="s">
        <v>10293</v>
      </c>
      <c r="D4607" s="72" t="str">
        <f>IFERROR(VLOOKUP(A4607,'[1]ST-QA-ZZ5'!$C$5:$M$299,11,0),"Inspection at production line")</f>
        <v>Inspection at production line</v>
      </c>
    </row>
    <row r="4608" spans="1:4" ht="13.8">
      <c r="A4608" s="47" t="s">
        <v>10294</v>
      </c>
      <c r="B4608" s="92" t="s">
        <v>555</v>
      </c>
      <c r="C4608" s="92" t="s">
        <v>10295</v>
      </c>
      <c r="D4608" s="72" t="str">
        <f>IFERROR(VLOOKUP(A4608,'[1]ST-QA-ZZ5'!$C$5:$M$299,11,0),"Inspection at production line")</f>
        <v>Inspection at production line</v>
      </c>
    </row>
    <row r="4609" spans="1:4" ht="13.8">
      <c r="A4609" s="47" t="s">
        <v>10296</v>
      </c>
      <c r="B4609" s="92" t="s">
        <v>959</v>
      </c>
      <c r="C4609" s="92" t="s">
        <v>959</v>
      </c>
      <c r="D4609" s="72" t="str">
        <f>IFERROR(VLOOKUP(A4609,'[1]ST-QA-ZZ5'!$C$5:$M$299,11,0),"Inspection at production line")</f>
        <v>Inspection at production line</v>
      </c>
    </row>
    <row r="4610" spans="1:4" ht="13.8">
      <c r="A4610" s="47" t="s">
        <v>10297</v>
      </c>
      <c r="B4610" s="92" t="s">
        <v>940</v>
      </c>
      <c r="C4610" s="92" t="s">
        <v>10298</v>
      </c>
      <c r="D4610" s="72" t="str">
        <f>IFERROR(VLOOKUP(A4610,'[1]ST-QA-ZZ5'!$C$5:$M$299,11,0),"Inspection at production line")</f>
        <v>Inspection at production line</v>
      </c>
    </row>
    <row r="4611" spans="1:4" ht="13.8">
      <c r="A4611" s="47" t="s">
        <v>10299</v>
      </c>
      <c r="B4611" s="92" t="s">
        <v>940</v>
      </c>
      <c r="C4611" s="92" t="s">
        <v>10300</v>
      </c>
      <c r="D4611" s="72" t="str">
        <f>IFERROR(VLOOKUP(A4611,'[1]ST-QA-ZZ5'!$C$5:$M$299,11,0),"Inspection at production line")</f>
        <v>Inspection at production line</v>
      </c>
    </row>
    <row r="4612" spans="1:4" ht="13.8">
      <c r="A4612" s="47" t="s">
        <v>10301</v>
      </c>
      <c r="B4612" s="92" t="s">
        <v>4637</v>
      </c>
      <c r="C4612" s="92" t="s">
        <v>10302</v>
      </c>
      <c r="D4612" s="72" t="str">
        <f>IFERROR(VLOOKUP(A4612,'[1]ST-QA-ZZ5'!$C$5:$M$299,11,0),"Inspection at production line")</f>
        <v>Inspection at production line</v>
      </c>
    </row>
    <row r="4613" spans="1:4" ht="13.8">
      <c r="A4613" s="47" t="s">
        <v>10303</v>
      </c>
      <c r="B4613" s="92" t="s">
        <v>4637</v>
      </c>
      <c r="C4613" s="92" t="s">
        <v>10304</v>
      </c>
      <c r="D4613" s="72" t="str">
        <f>IFERROR(VLOOKUP(A4613,'[1]ST-QA-ZZ5'!$C$5:$M$299,11,0),"Inspection at production line")</f>
        <v>Inspection at production line</v>
      </c>
    </row>
    <row r="4614" spans="1:4" ht="13.8">
      <c r="A4614" s="47" t="s">
        <v>10305</v>
      </c>
      <c r="B4614" s="92" t="s">
        <v>805</v>
      </c>
      <c r="C4614" s="92" t="s">
        <v>805</v>
      </c>
      <c r="D4614" s="72" t="str">
        <f>IFERROR(VLOOKUP(A4614,'[1]ST-QA-ZZ5'!$C$5:$M$299,11,0),"Inspection at production line")</f>
        <v>Inspection at production line</v>
      </c>
    </row>
    <row r="4615" spans="1:4" ht="13.8">
      <c r="A4615" s="47" t="s">
        <v>10306</v>
      </c>
      <c r="B4615" s="92" t="s">
        <v>905</v>
      </c>
      <c r="C4615" s="92" t="s">
        <v>905</v>
      </c>
      <c r="D4615" s="72" t="str">
        <f>IFERROR(VLOOKUP(A4615,'[1]ST-QA-ZZ5'!$C$5:$M$299,11,0),"Inspection at production line")</f>
        <v>Inspection at production line</v>
      </c>
    </row>
    <row r="4616" spans="1:4" ht="13.8">
      <c r="A4616" s="47" t="s">
        <v>10307</v>
      </c>
      <c r="B4616" s="92" t="s">
        <v>2578</v>
      </c>
      <c r="C4616" s="92" t="s">
        <v>10308</v>
      </c>
      <c r="D4616" s="72" t="str">
        <f>IFERROR(VLOOKUP(A4616,'[1]ST-QA-ZZ5'!$C$5:$M$299,11,0),"Inspection at production line")</f>
        <v>Inspection at production line</v>
      </c>
    </row>
    <row r="4617" spans="1:4" ht="13.8">
      <c r="A4617" s="47" t="s">
        <v>10309</v>
      </c>
      <c r="B4617" s="92" t="s">
        <v>2578</v>
      </c>
      <c r="C4617" s="92" t="s">
        <v>10310</v>
      </c>
      <c r="D4617" s="72" t="str">
        <f>IFERROR(VLOOKUP(A4617,'[1]ST-QA-ZZ5'!$C$5:$M$299,11,0),"Inspection at production line")</f>
        <v>Inspection at production line</v>
      </c>
    </row>
    <row r="4618" spans="1:4" ht="13.8">
      <c r="A4618" s="47" t="s">
        <v>10311</v>
      </c>
      <c r="B4618" s="92" t="s">
        <v>2578</v>
      </c>
      <c r="C4618" s="92" t="s">
        <v>10312</v>
      </c>
      <c r="D4618" s="72" t="str">
        <f>IFERROR(VLOOKUP(A4618,'[1]ST-QA-ZZ5'!$C$5:$M$299,11,0),"Inspection at production line")</f>
        <v>Inspection at production line</v>
      </c>
    </row>
    <row r="4619" spans="1:4" ht="13.8">
      <c r="A4619" s="47" t="s">
        <v>10313</v>
      </c>
      <c r="B4619" s="92" t="s">
        <v>2578</v>
      </c>
      <c r="C4619" s="92" t="s">
        <v>10314</v>
      </c>
      <c r="D4619" s="72" t="str">
        <f>IFERROR(VLOOKUP(A4619,'[1]ST-QA-ZZ5'!$C$5:$M$299,11,0),"Inspection at production line")</f>
        <v>Inspection at production line</v>
      </c>
    </row>
    <row r="4620" spans="1:4" ht="13.8">
      <c r="A4620" s="47" t="s">
        <v>10315</v>
      </c>
      <c r="B4620" s="92" t="s">
        <v>2578</v>
      </c>
      <c r="C4620" s="92" t="s">
        <v>10316</v>
      </c>
      <c r="D4620" s="72" t="str">
        <f>IFERROR(VLOOKUP(A4620,'[1]ST-QA-ZZ5'!$C$5:$M$299,11,0),"Inspection at production line")</f>
        <v>Inspection at production line</v>
      </c>
    </row>
    <row r="4621" spans="1:4" ht="13.8">
      <c r="A4621" s="47" t="s">
        <v>10317</v>
      </c>
      <c r="B4621" s="92" t="s">
        <v>2578</v>
      </c>
      <c r="C4621" s="92" t="s">
        <v>10318</v>
      </c>
      <c r="D4621" s="72" t="str">
        <f>IFERROR(VLOOKUP(A4621,'[1]ST-QA-ZZ5'!$C$5:$M$299,11,0),"Inspection at production line")</f>
        <v>Inspection at production line</v>
      </c>
    </row>
    <row r="4622" spans="1:4" ht="13.8">
      <c r="A4622" s="47" t="s">
        <v>10319</v>
      </c>
      <c r="B4622" s="92" t="s">
        <v>2578</v>
      </c>
      <c r="C4622" s="92" t="s">
        <v>10320</v>
      </c>
      <c r="D4622" s="72" t="str">
        <f>IFERROR(VLOOKUP(A4622,'[1]ST-QA-ZZ5'!$C$5:$M$299,11,0),"Inspection at production line")</f>
        <v>Inspection at production line</v>
      </c>
    </row>
    <row r="4623" spans="1:4" ht="13.8">
      <c r="A4623" s="47" t="s">
        <v>10321</v>
      </c>
      <c r="B4623" s="92" t="s">
        <v>2578</v>
      </c>
      <c r="C4623" s="92" t="s">
        <v>10322</v>
      </c>
      <c r="D4623" s="72" t="str">
        <f>IFERROR(VLOOKUP(A4623,'[1]ST-QA-ZZ5'!$C$5:$M$299,11,0),"Inspection at production line")</f>
        <v>Inspection at production line</v>
      </c>
    </row>
    <row r="4624" spans="1:4" ht="13.8">
      <c r="A4624" s="47" t="s">
        <v>10323</v>
      </c>
      <c r="B4624" s="92" t="s">
        <v>2578</v>
      </c>
      <c r="C4624" s="92" t="s">
        <v>10324</v>
      </c>
      <c r="D4624" s="72" t="str">
        <f>IFERROR(VLOOKUP(A4624,'[1]ST-QA-ZZ5'!$C$5:$M$299,11,0),"Inspection at production line")</f>
        <v>Inspection at production line</v>
      </c>
    </row>
    <row r="4625" spans="1:4" ht="13.8">
      <c r="A4625" s="47" t="s">
        <v>10325</v>
      </c>
      <c r="B4625" s="92" t="s">
        <v>2578</v>
      </c>
      <c r="C4625" s="92" t="s">
        <v>10326</v>
      </c>
      <c r="D4625" s="72" t="str">
        <f>IFERROR(VLOOKUP(A4625,'[1]ST-QA-ZZ5'!$C$5:$M$299,11,0),"Inspection at production line")</f>
        <v>Inspection at production line</v>
      </c>
    </row>
    <row r="4626" spans="1:4" ht="13.8">
      <c r="A4626" s="47" t="s">
        <v>10327</v>
      </c>
      <c r="B4626" s="92" t="s">
        <v>1070</v>
      </c>
      <c r="C4626" s="92" t="s">
        <v>10328</v>
      </c>
      <c r="D4626" s="72" t="str">
        <f>IFERROR(VLOOKUP(A4626,'[1]ST-QA-ZZ5'!$C$5:$M$299,11,0),"Inspection at production line")</f>
        <v>Inspection at production line</v>
      </c>
    </row>
    <row r="4627" spans="1:4" ht="13.8">
      <c r="A4627" s="47" t="s">
        <v>10329</v>
      </c>
      <c r="B4627" s="92" t="s">
        <v>90</v>
      </c>
      <c r="C4627" s="92" t="s">
        <v>10330</v>
      </c>
      <c r="D4627" s="72" t="str">
        <f>IFERROR(VLOOKUP(A4627,'[1]ST-QA-ZZ5'!$C$5:$M$299,11,0),"Inspection at production line")</f>
        <v>Inspection at production line</v>
      </c>
    </row>
    <row r="4628" spans="1:4" ht="13.8">
      <c r="A4628" s="47" t="s">
        <v>10331</v>
      </c>
      <c r="B4628" s="92" t="s">
        <v>805</v>
      </c>
      <c r="C4628" s="92" t="s">
        <v>4068</v>
      </c>
      <c r="D4628" s="72" t="str">
        <f>IFERROR(VLOOKUP(A4628,'[1]ST-QA-ZZ5'!$C$5:$M$299,11,0),"Inspection at production line")</f>
        <v>Inspection at production line</v>
      </c>
    </row>
    <row r="4629" spans="1:4" ht="13.8">
      <c r="A4629" s="47" t="s">
        <v>10332</v>
      </c>
      <c r="B4629" s="92" t="s">
        <v>905</v>
      </c>
      <c r="C4629" s="92" t="s">
        <v>4073</v>
      </c>
      <c r="D4629" s="72" t="str">
        <f>IFERROR(VLOOKUP(A4629,'[1]ST-QA-ZZ5'!$C$5:$M$299,11,0),"Inspection at production line")</f>
        <v>Inspection at production line</v>
      </c>
    </row>
    <row r="4630" spans="1:4" ht="13.8">
      <c r="A4630" s="47" t="s">
        <v>10333</v>
      </c>
      <c r="B4630" s="92" t="s">
        <v>4078</v>
      </c>
      <c r="C4630" s="92" t="s">
        <v>4079</v>
      </c>
      <c r="D4630" s="72" t="str">
        <f>IFERROR(VLOOKUP(A4630,'[1]ST-QA-ZZ5'!$C$5:$M$299,11,0),"Inspection at production line")</f>
        <v>Inspection at production line</v>
      </c>
    </row>
    <row r="4631" spans="1:4" ht="13.8">
      <c r="A4631" s="47" t="s">
        <v>10334</v>
      </c>
      <c r="B4631" s="92" t="s">
        <v>4078</v>
      </c>
      <c r="C4631" s="92" t="s">
        <v>4084</v>
      </c>
      <c r="D4631" s="72" t="str">
        <f>IFERROR(VLOOKUP(A4631,'[1]ST-QA-ZZ5'!$C$5:$M$299,11,0),"Inspection at production line")</f>
        <v>Inspection at production line</v>
      </c>
    </row>
    <row r="4632" spans="1:4" ht="13.8">
      <c r="A4632" s="47" t="s">
        <v>10335</v>
      </c>
      <c r="B4632" s="92" t="s">
        <v>68</v>
      </c>
      <c r="C4632" s="92" t="s">
        <v>4088</v>
      </c>
      <c r="D4632" s="72" t="str">
        <f>IFERROR(VLOOKUP(A4632,'[1]ST-QA-ZZ5'!$C$5:$M$299,11,0),"Inspection at production line")</f>
        <v>Inspection at production line</v>
      </c>
    </row>
    <row r="4633" spans="1:4" ht="13.8">
      <c r="A4633" s="47" t="s">
        <v>10336</v>
      </c>
      <c r="B4633" s="92" t="s">
        <v>805</v>
      </c>
      <c r="C4633" s="92" t="s">
        <v>10337</v>
      </c>
      <c r="D4633" s="72" t="str">
        <f>IFERROR(VLOOKUP(A4633,'[1]ST-QA-ZZ5'!$C$5:$M$299,11,0),"Inspection at production line")</f>
        <v>Inspection at production line</v>
      </c>
    </row>
    <row r="4634" spans="1:4" ht="13.8">
      <c r="A4634" s="47" t="s">
        <v>10338</v>
      </c>
      <c r="B4634" s="92" t="s">
        <v>10339</v>
      </c>
      <c r="C4634" s="92" t="s">
        <v>10340</v>
      </c>
      <c r="D4634" s="72" t="str">
        <f>IFERROR(VLOOKUP(A4634,'[1]ST-QA-ZZ5'!$C$5:$M$299,11,0),"Inspection at production line")</f>
        <v>Inspection at production line</v>
      </c>
    </row>
    <row r="4635" spans="1:4" ht="13.8">
      <c r="A4635" s="47" t="s">
        <v>10341</v>
      </c>
      <c r="B4635" s="92" t="s">
        <v>745</v>
      </c>
      <c r="C4635" s="92" t="s">
        <v>10342</v>
      </c>
      <c r="D4635" s="72" t="str">
        <f>IFERROR(VLOOKUP(A4635,'[1]ST-QA-ZZ5'!$C$5:$M$299,11,0),"Inspection at production line")</f>
        <v>Inspection at production line</v>
      </c>
    </row>
    <row r="4636" spans="1:4" ht="13.8">
      <c r="A4636" s="47" t="s">
        <v>5396</v>
      </c>
      <c r="B4636" s="92" t="s">
        <v>1472</v>
      </c>
      <c r="C4636" s="92" t="s">
        <v>5397</v>
      </c>
      <c r="D4636" s="72" t="str">
        <f>IFERROR(VLOOKUP(A4636,'[1]ST-QA-ZZ5'!$C$5:$M$299,11,0),"Inspection at production line")</f>
        <v>Inspection at production line</v>
      </c>
    </row>
    <row r="4637" spans="1:4" ht="13.8">
      <c r="A4637" s="47" t="s">
        <v>5246</v>
      </c>
      <c r="B4637" s="92" t="s">
        <v>83</v>
      </c>
      <c r="C4637" s="92" t="s">
        <v>5247</v>
      </c>
      <c r="D4637" s="72" t="str">
        <f>IFERROR(VLOOKUP(A4637,'[1]ST-QA-ZZ5'!$C$5:$M$299,11,0),"Inspection at production line")</f>
        <v>Inspection at production line</v>
      </c>
    </row>
    <row r="4638" spans="1:4" ht="13.8">
      <c r="A4638" s="47" t="s">
        <v>10343</v>
      </c>
      <c r="B4638" s="92" t="s">
        <v>1070</v>
      </c>
      <c r="C4638" s="92" t="s">
        <v>10344</v>
      </c>
      <c r="D4638" s="72" t="str">
        <f>IFERROR(VLOOKUP(A4638,'[1]ST-QA-ZZ5'!$C$5:$M$299,11,0),"Inspection at production line")</f>
        <v>Inspection at production line</v>
      </c>
    </row>
    <row r="4639" spans="1:4" ht="13.8">
      <c r="A4639" s="47" t="s">
        <v>10345</v>
      </c>
      <c r="B4639" s="92" t="s">
        <v>90</v>
      </c>
      <c r="C4639" s="92" t="s">
        <v>10346</v>
      </c>
      <c r="D4639" s="72" t="str">
        <f>IFERROR(VLOOKUP(A4639,'[1]ST-QA-ZZ5'!$C$5:$M$299,11,0),"Inspection at production line")</f>
        <v>Inspection at production line</v>
      </c>
    </row>
    <row r="4640" spans="1:4" ht="13.8">
      <c r="A4640" s="47" t="s">
        <v>629</v>
      </c>
      <c r="B4640" s="92" t="s">
        <v>630</v>
      </c>
      <c r="C4640" s="92" t="s">
        <v>631</v>
      </c>
      <c r="D4640" s="72" t="str">
        <f>IFERROR(VLOOKUP(A4640,'[1]ST-QA-ZZ5'!$C$5:$M$299,11,0),"Inspection at production line")</f>
        <v>Inspection at production line</v>
      </c>
    </row>
    <row r="4641" spans="1:4" ht="13.8">
      <c r="A4641" s="47" t="s">
        <v>10347</v>
      </c>
      <c r="B4641" s="92" t="s">
        <v>10348</v>
      </c>
      <c r="C4641" s="92" t="s">
        <v>10348</v>
      </c>
      <c r="D4641" s="72" t="str">
        <f>IFERROR(VLOOKUP(A4641,'[1]ST-QA-ZZ5'!$C$5:$M$299,11,0),"Inspection at production line")</f>
        <v>Inspection at production line</v>
      </c>
    </row>
    <row r="4642" spans="1:4" ht="13.8">
      <c r="A4642" s="47" t="s">
        <v>5263</v>
      </c>
      <c r="B4642" s="92" t="s">
        <v>745</v>
      </c>
      <c r="C4642" s="92" t="s">
        <v>5264</v>
      </c>
      <c r="D4642" s="72" t="str">
        <f>IFERROR(VLOOKUP(A4642,'[1]ST-QA-ZZ5'!$C$5:$M$299,11,0),"Inspection at production line")</f>
        <v>Inspection at production line</v>
      </c>
    </row>
    <row r="4643" spans="1:4" ht="13.8">
      <c r="A4643" s="47" t="s">
        <v>10349</v>
      </c>
      <c r="B4643" s="92" t="s">
        <v>90</v>
      </c>
      <c r="C4643" s="92" t="s">
        <v>10350</v>
      </c>
      <c r="D4643" s="72" t="str">
        <f>IFERROR(VLOOKUP(A4643,'[1]ST-QA-ZZ5'!$C$5:$M$299,11,0),"Inspection at production line")</f>
        <v>Inspection at production line</v>
      </c>
    </row>
    <row r="4644" spans="1:4" ht="13.8">
      <c r="A4644" s="47" t="s">
        <v>10351</v>
      </c>
      <c r="B4644" s="92" t="s">
        <v>1070</v>
      </c>
      <c r="C4644" s="92" t="s">
        <v>10352</v>
      </c>
      <c r="D4644" s="72" t="str">
        <f>IFERROR(VLOOKUP(A4644,'[1]ST-QA-ZZ5'!$C$5:$M$299,11,0),"Inspection at production line")</f>
        <v>Inspection at production line</v>
      </c>
    </row>
    <row r="4645" spans="1:4" ht="13.8">
      <c r="A4645" s="47" t="s">
        <v>5243</v>
      </c>
      <c r="B4645" s="92" t="s">
        <v>1177</v>
      </c>
      <c r="C4645" s="92" t="s">
        <v>5244</v>
      </c>
      <c r="D4645" s="72" t="str">
        <f>IFERROR(VLOOKUP(A4645,'[1]ST-QA-ZZ5'!$C$5:$M$299,11,0),"Inspection at production line")</f>
        <v>Inspection at production line</v>
      </c>
    </row>
    <row r="4646" spans="1:4" ht="13.8">
      <c r="A4646" s="47" t="s">
        <v>10353</v>
      </c>
      <c r="B4646" s="92" t="s">
        <v>1070</v>
      </c>
      <c r="C4646" s="92" t="s">
        <v>10354</v>
      </c>
      <c r="D4646" s="72" t="str">
        <f>IFERROR(VLOOKUP(A4646,'[1]ST-QA-ZZ5'!$C$5:$M$299,11,0),"Inspection at production line")</f>
        <v>Inspection at production line</v>
      </c>
    </row>
    <row r="4647" spans="1:4" ht="13.8">
      <c r="A4647" s="47" t="s">
        <v>10355</v>
      </c>
      <c r="B4647" s="92" t="s">
        <v>90</v>
      </c>
      <c r="C4647" s="92" t="s">
        <v>10356</v>
      </c>
      <c r="D4647" s="72" t="str">
        <f>IFERROR(VLOOKUP(A4647,'[1]ST-QA-ZZ5'!$C$5:$M$299,11,0),"Inspection at production line")</f>
        <v>Inspection at production line</v>
      </c>
    </row>
    <row r="4648" spans="1:4" ht="13.8">
      <c r="A4648" s="47" t="s">
        <v>10357</v>
      </c>
      <c r="B4648" s="92" t="s">
        <v>1070</v>
      </c>
      <c r="C4648" s="92" t="s">
        <v>10358</v>
      </c>
      <c r="D4648" s="72" t="str">
        <f>IFERROR(VLOOKUP(A4648,'[1]ST-QA-ZZ5'!$C$5:$M$299,11,0),"Inspection at production line")</f>
        <v>Inspection at production line</v>
      </c>
    </row>
    <row r="4649" spans="1:4" ht="13.8">
      <c r="A4649" s="47" t="s">
        <v>10359</v>
      </c>
      <c r="B4649" s="92" t="s">
        <v>90</v>
      </c>
      <c r="C4649" s="92" t="s">
        <v>10360</v>
      </c>
      <c r="D4649" s="72" t="str">
        <f>IFERROR(VLOOKUP(A4649,'[1]ST-QA-ZZ5'!$C$5:$M$299,11,0),"Inspection at production line")</f>
        <v>Inspection at production line</v>
      </c>
    </row>
    <row r="4650" spans="1:4" ht="13.8">
      <c r="A4650" s="47" t="s">
        <v>10361</v>
      </c>
      <c r="B4650" s="92" t="s">
        <v>1472</v>
      </c>
      <c r="C4650" s="92" t="s">
        <v>10362</v>
      </c>
      <c r="D4650" s="72" t="str">
        <f>IFERROR(VLOOKUP(A4650,'[1]ST-QA-ZZ5'!$C$5:$M$299,11,0),"Inspection at production line")</f>
        <v>Inspection at production line</v>
      </c>
    </row>
    <row r="4651" spans="1:4" ht="13.8">
      <c r="A4651" s="47" t="s">
        <v>10363</v>
      </c>
      <c r="B4651" s="92" t="s">
        <v>83</v>
      </c>
      <c r="C4651" s="92" t="s">
        <v>10364</v>
      </c>
      <c r="D4651" s="72" t="str">
        <f>IFERROR(VLOOKUP(A4651,'[1]ST-QA-ZZ5'!$C$5:$M$299,11,0),"Inspection at production line")</f>
        <v>Inspection at production line</v>
      </c>
    </row>
    <row r="4652" spans="1:4" ht="13.8">
      <c r="A4652" s="47" t="s">
        <v>10365</v>
      </c>
      <c r="B4652" s="92" t="s">
        <v>90</v>
      </c>
      <c r="C4652" s="92" t="s">
        <v>10366</v>
      </c>
      <c r="D4652" s="72" t="str">
        <f>IFERROR(VLOOKUP(A4652,'[1]ST-QA-ZZ5'!$C$5:$M$299,11,0),"Inspection at production line")</f>
        <v>Inspection at production line</v>
      </c>
    </row>
    <row r="4653" spans="1:4" ht="13.8">
      <c r="A4653" s="47" t="s">
        <v>10367</v>
      </c>
      <c r="B4653" s="92" t="s">
        <v>90</v>
      </c>
      <c r="C4653" s="92" t="s">
        <v>10368</v>
      </c>
      <c r="D4653" s="72" t="str">
        <f>IFERROR(VLOOKUP(A4653,'[1]ST-QA-ZZ5'!$C$5:$M$299,11,0),"Inspection at production line")</f>
        <v>Inspection at production line</v>
      </c>
    </row>
    <row r="4654" spans="1:4" ht="13.8">
      <c r="A4654" s="47" t="s">
        <v>10369</v>
      </c>
      <c r="B4654" s="92" t="s">
        <v>1070</v>
      </c>
      <c r="C4654" s="92" t="s">
        <v>10370</v>
      </c>
      <c r="D4654" s="72" t="str">
        <f>IFERROR(VLOOKUP(A4654,'[1]ST-QA-ZZ5'!$C$5:$M$299,11,0),"Inspection at production line")</f>
        <v>Inspection at production line</v>
      </c>
    </row>
    <row r="4655" spans="1:4" ht="13.8">
      <c r="A4655" s="47" t="s">
        <v>10371</v>
      </c>
      <c r="B4655" s="92" t="s">
        <v>90</v>
      </c>
      <c r="C4655" s="92" t="s">
        <v>10372</v>
      </c>
      <c r="D4655" s="72" t="str">
        <f>IFERROR(VLOOKUP(A4655,'[1]ST-QA-ZZ5'!$C$5:$M$299,11,0),"Inspection at production line")</f>
        <v>Inspection at production line</v>
      </c>
    </row>
    <row r="4656" spans="1:4" ht="13.8">
      <c r="A4656" s="47" t="s">
        <v>10373</v>
      </c>
      <c r="B4656" s="92" t="s">
        <v>704</v>
      </c>
      <c r="C4656" s="92" t="s">
        <v>2694</v>
      </c>
      <c r="D4656" s="72" t="str">
        <f>IFERROR(VLOOKUP(A4656,'[1]ST-QA-ZZ5'!$C$5:$M$299,11,0),"Inspection at production line")</f>
        <v>Inspection at production line</v>
      </c>
    </row>
    <row r="4657" spans="1:4" ht="13.8">
      <c r="A4657" s="47" t="s">
        <v>10374</v>
      </c>
      <c r="B4657" s="92" t="s">
        <v>1070</v>
      </c>
      <c r="C4657" s="92" t="s">
        <v>10375</v>
      </c>
      <c r="D4657" s="72" t="str">
        <f>IFERROR(VLOOKUP(A4657,'[1]ST-QA-ZZ5'!$C$5:$M$299,11,0),"Inspection at production line")</f>
        <v>Inspection at production line</v>
      </c>
    </row>
    <row r="4658" spans="1:4" ht="13.8">
      <c r="A4658" s="47" t="s">
        <v>10376</v>
      </c>
      <c r="B4658" s="92" t="s">
        <v>90</v>
      </c>
      <c r="C4658" s="92" t="s">
        <v>10377</v>
      </c>
      <c r="D4658" s="72" t="str">
        <f>IFERROR(VLOOKUP(A4658,'[1]ST-QA-ZZ5'!$C$5:$M$299,11,0),"Inspection at production line")</f>
        <v>Inspection at production line</v>
      </c>
    </row>
    <row r="4659" spans="1:4" ht="13.8">
      <c r="A4659" s="47" t="s">
        <v>10378</v>
      </c>
      <c r="B4659" s="92" t="s">
        <v>1070</v>
      </c>
      <c r="C4659" s="92" t="s">
        <v>10379</v>
      </c>
      <c r="D4659" s="72" t="str">
        <f>IFERROR(VLOOKUP(A4659,'[1]ST-QA-ZZ5'!$C$5:$M$299,11,0),"Inspection at production line")</f>
        <v>Inspection at production line</v>
      </c>
    </row>
    <row r="4660" spans="1:4" ht="13.8">
      <c r="A4660" s="47" t="s">
        <v>10380</v>
      </c>
      <c r="B4660" s="92" t="s">
        <v>90</v>
      </c>
      <c r="C4660" s="92" t="s">
        <v>10381</v>
      </c>
      <c r="D4660" s="72" t="str">
        <f>IFERROR(VLOOKUP(A4660,'[1]ST-QA-ZZ5'!$C$5:$M$299,11,0),"Inspection at production line")</f>
        <v>Inspection at production line</v>
      </c>
    </row>
    <row r="4661" spans="1:4" ht="13.8">
      <c r="A4661" s="47" t="s">
        <v>10382</v>
      </c>
      <c r="B4661" s="92" t="s">
        <v>1070</v>
      </c>
      <c r="C4661" s="92" t="s">
        <v>10383</v>
      </c>
      <c r="D4661" s="72" t="str">
        <f>IFERROR(VLOOKUP(A4661,'[1]ST-QA-ZZ5'!$C$5:$M$299,11,0),"Inspection at production line")</f>
        <v>Inspection at production line</v>
      </c>
    </row>
    <row r="4662" spans="1:4" ht="13.8">
      <c r="A4662" s="47" t="s">
        <v>10384</v>
      </c>
      <c r="B4662" s="92" t="s">
        <v>90</v>
      </c>
      <c r="C4662" s="92" t="s">
        <v>10385</v>
      </c>
      <c r="D4662" s="72" t="str">
        <f>IFERROR(VLOOKUP(A4662,'[1]ST-QA-ZZ5'!$C$5:$M$299,11,0),"Inspection at production line")</f>
        <v>Inspection at production line</v>
      </c>
    </row>
    <row r="4663" spans="1:4" ht="13.8">
      <c r="A4663" s="47" t="s">
        <v>10386</v>
      </c>
      <c r="B4663" s="92" t="s">
        <v>1472</v>
      </c>
      <c r="C4663" s="92" t="s">
        <v>10387</v>
      </c>
      <c r="D4663" s="72" t="str">
        <f>IFERROR(VLOOKUP(A4663,'[1]ST-QA-ZZ5'!$C$5:$M$299,11,0),"Inspection at production line")</f>
        <v>Inspection at production line</v>
      </c>
    </row>
    <row r="4664" spans="1:4" ht="13.8">
      <c r="A4664" s="47" t="s">
        <v>10388</v>
      </c>
      <c r="B4664" s="92" t="s">
        <v>83</v>
      </c>
      <c r="C4664" s="92" t="s">
        <v>10389</v>
      </c>
      <c r="D4664" s="72" t="str">
        <f>IFERROR(VLOOKUP(A4664,'[1]ST-QA-ZZ5'!$C$5:$M$299,11,0),"Inspection at production line")</f>
        <v>Inspection at production line</v>
      </c>
    </row>
    <row r="4665" spans="1:4" ht="13.8">
      <c r="A4665" s="47" t="s">
        <v>10390</v>
      </c>
      <c r="B4665" s="92" t="s">
        <v>1070</v>
      </c>
      <c r="C4665" s="92" t="s">
        <v>10391</v>
      </c>
      <c r="D4665" s="72" t="str">
        <f>IFERROR(VLOOKUP(A4665,'[1]ST-QA-ZZ5'!$C$5:$M$299,11,0),"Inspection at production line")</f>
        <v>Inspection at production line</v>
      </c>
    </row>
    <row r="4666" spans="1:4" ht="13.8">
      <c r="A4666" s="47" t="s">
        <v>10392</v>
      </c>
      <c r="B4666" s="92" t="s">
        <v>90</v>
      </c>
      <c r="C4666" s="92" t="s">
        <v>10393</v>
      </c>
      <c r="D4666" s="72" t="str">
        <f>IFERROR(VLOOKUP(A4666,'[1]ST-QA-ZZ5'!$C$5:$M$299,11,0),"Inspection at production line")</f>
        <v>Inspection at production line</v>
      </c>
    </row>
    <row r="4667" spans="1:4" ht="13.8">
      <c r="A4667" s="47" t="s">
        <v>10394</v>
      </c>
      <c r="B4667" s="92" t="s">
        <v>1070</v>
      </c>
      <c r="C4667" s="92" t="s">
        <v>10395</v>
      </c>
      <c r="D4667" s="72" t="str">
        <f>IFERROR(VLOOKUP(A4667,'[1]ST-QA-ZZ5'!$C$5:$M$299,11,0),"Inspection at production line")</f>
        <v>Inspection at production line</v>
      </c>
    </row>
    <row r="4668" spans="1:4" ht="13.8">
      <c r="A4668" s="47" t="s">
        <v>10396</v>
      </c>
      <c r="B4668" s="92" t="s">
        <v>90</v>
      </c>
      <c r="C4668" s="92" t="s">
        <v>10397</v>
      </c>
      <c r="D4668" s="72" t="str">
        <f>IFERROR(VLOOKUP(A4668,'[1]ST-QA-ZZ5'!$C$5:$M$299,11,0),"Inspection at production line")</f>
        <v>Inspection at production line</v>
      </c>
    </row>
    <row r="4669" spans="1:4" ht="13.8">
      <c r="A4669" s="47" t="s">
        <v>10398</v>
      </c>
      <c r="B4669" s="92" t="s">
        <v>1472</v>
      </c>
      <c r="C4669" s="92" t="s">
        <v>10399</v>
      </c>
      <c r="D4669" s="72" t="str">
        <f>IFERROR(VLOOKUP(A4669,'[1]ST-QA-ZZ5'!$C$5:$M$299,11,0),"Inspection at production line")</f>
        <v>Inspection at production line</v>
      </c>
    </row>
    <row r="4670" spans="1:4" ht="13.8">
      <c r="A4670" s="47" t="s">
        <v>10400</v>
      </c>
      <c r="B4670" s="92" t="s">
        <v>90</v>
      </c>
      <c r="C4670" s="92" t="s">
        <v>10401</v>
      </c>
      <c r="D4670" s="72" t="str">
        <f>IFERROR(VLOOKUP(A4670,'[1]ST-QA-ZZ5'!$C$5:$M$299,11,0),"Inspection at production line")</f>
        <v>Inspection at production line</v>
      </c>
    </row>
    <row r="4671" spans="1:4" ht="13.8">
      <c r="A4671" s="47" t="s">
        <v>10402</v>
      </c>
      <c r="B4671" s="92" t="s">
        <v>83</v>
      </c>
      <c r="C4671" s="92" t="s">
        <v>10403</v>
      </c>
      <c r="D4671" s="72" t="str">
        <f>IFERROR(VLOOKUP(A4671,'[1]ST-QA-ZZ5'!$C$5:$M$299,11,0),"Inspection at production line")</f>
        <v>Inspection at production line</v>
      </c>
    </row>
    <row r="4672" spans="1:4" ht="13.8">
      <c r="A4672" s="47" t="s">
        <v>10404</v>
      </c>
      <c r="B4672" s="92" t="s">
        <v>90</v>
      </c>
      <c r="C4672" s="92" t="s">
        <v>10405</v>
      </c>
      <c r="D4672" s="72" t="str">
        <f>IFERROR(VLOOKUP(A4672,'[1]ST-QA-ZZ5'!$C$5:$M$299,11,0),"Inspection at production line")</f>
        <v>Inspection at production line</v>
      </c>
    </row>
    <row r="4673" spans="1:4" ht="13.8">
      <c r="A4673" s="47" t="s">
        <v>10406</v>
      </c>
      <c r="B4673" s="92" t="s">
        <v>90</v>
      </c>
      <c r="C4673" s="92" t="s">
        <v>10407</v>
      </c>
      <c r="D4673" s="72" t="str">
        <f>IFERROR(VLOOKUP(A4673,'[1]ST-QA-ZZ5'!$C$5:$M$299,11,0),"Inspection at production line")</f>
        <v>Inspection at production line</v>
      </c>
    </row>
    <row r="4674" spans="1:4" ht="13.8">
      <c r="A4674" s="47" t="s">
        <v>10408</v>
      </c>
      <c r="B4674" s="92" t="s">
        <v>90</v>
      </c>
      <c r="C4674" s="92" t="s">
        <v>10409</v>
      </c>
      <c r="D4674" s="72" t="str">
        <f>IFERROR(VLOOKUP(A4674,'[1]ST-QA-ZZ5'!$C$5:$M$299,11,0),"Inspection at production line")</f>
        <v>Inspection at production line</v>
      </c>
    </row>
    <row r="4675" spans="1:4" ht="13.8">
      <c r="A4675" s="47" t="s">
        <v>10410</v>
      </c>
      <c r="B4675" s="92" t="s">
        <v>90</v>
      </c>
      <c r="C4675" s="92" t="s">
        <v>10411</v>
      </c>
      <c r="D4675" s="72" t="str">
        <f>IFERROR(VLOOKUP(A4675,'[1]ST-QA-ZZ5'!$C$5:$M$299,11,0),"Inspection at production line")</f>
        <v>Inspection at production line</v>
      </c>
    </row>
    <row r="4676" spans="1:4" ht="13.8">
      <c r="A4676" s="47" t="s">
        <v>10412</v>
      </c>
      <c r="B4676" s="92" t="s">
        <v>818</v>
      </c>
      <c r="C4676" s="92" t="s">
        <v>10413</v>
      </c>
      <c r="D4676" s="72" t="str">
        <f>IFERROR(VLOOKUP(A4676,'[1]ST-QA-ZZ5'!$C$5:$M$299,11,0),"Inspection at production line")</f>
        <v>Inspection at production line</v>
      </c>
    </row>
    <row r="4677" spans="1:4" ht="13.8">
      <c r="A4677" s="47" t="s">
        <v>10414</v>
      </c>
      <c r="B4677" s="92" t="s">
        <v>898</v>
      </c>
      <c r="C4677" s="92" t="s">
        <v>10415</v>
      </c>
      <c r="D4677" s="72" t="str">
        <f>IFERROR(VLOOKUP(A4677,'[1]ST-QA-ZZ5'!$C$5:$M$299,11,0),"Inspection at production line")</f>
        <v>Inspection at production line</v>
      </c>
    </row>
    <row r="4678" spans="1:4" ht="13.8">
      <c r="A4678" s="47" t="s">
        <v>10416</v>
      </c>
      <c r="B4678" s="92" t="s">
        <v>1359</v>
      </c>
      <c r="C4678" s="92" t="s">
        <v>10417</v>
      </c>
      <c r="D4678" s="72" t="str">
        <f>IFERROR(VLOOKUP(A4678,'[1]ST-QA-ZZ5'!$C$5:$M$299,11,0),"Inspection at production line")</f>
        <v>Inspection at production line</v>
      </c>
    </row>
    <row r="4679" spans="1:4" ht="13.8">
      <c r="A4679" s="47" t="s">
        <v>10418</v>
      </c>
      <c r="B4679" s="92" t="s">
        <v>1016</v>
      </c>
      <c r="C4679" s="92" t="s">
        <v>10419</v>
      </c>
      <c r="D4679" s="72" t="str">
        <f>IFERROR(VLOOKUP(A4679,'[1]ST-QA-ZZ5'!$C$5:$M$299,11,0),"Inspection at production line")</f>
        <v>Inspection at production line</v>
      </c>
    </row>
    <row r="4680" spans="1:4" ht="13.8">
      <c r="A4680" s="47" t="s">
        <v>10420</v>
      </c>
      <c r="B4680" s="92" t="s">
        <v>1016</v>
      </c>
      <c r="C4680" s="92" t="s">
        <v>10421</v>
      </c>
      <c r="D4680" s="72" t="str">
        <f>IFERROR(VLOOKUP(A4680,'[1]ST-QA-ZZ5'!$C$5:$M$299,11,0),"Inspection at production line")</f>
        <v>Inspection at production line</v>
      </c>
    </row>
    <row r="4681" spans="1:4" ht="13.8">
      <c r="A4681" s="47" t="s">
        <v>10422</v>
      </c>
      <c r="B4681" s="92" t="s">
        <v>2288</v>
      </c>
      <c r="C4681" s="92" t="s">
        <v>10423</v>
      </c>
      <c r="D4681" s="72" t="str">
        <f>IFERROR(VLOOKUP(A4681,'[1]ST-QA-ZZ5'!$C$5:$M$299,11,0),"Inspection at production line")</f>
        <v>Inspection at production line</v>
      </c>
    </row>
    <row r="4682" spans="1:4" ht="13.8">
      <c r="A4682" s="47" t="s">
        <v>10424</v>
      </c>
      <c r="B4682" s="92" t="s">
        <v>174</v>
      </c>
      <c r="C4682" s="92" t="s">
        <v>10425</v>
      </c>
      <c r="D4682" s="72" t="str">
        <f>IFERROR(VLOOKUP(A4682,'[1]ST-QA-ZZ5'!$C$5:$M$299,11,0),"Inspection at production line")</f>
        <v>Inspection at production line</v>
      </c>
    </row>
    <row r="4683" spans="1:4" ht="13.8">
      <c r="A4683" s="47" t="s">
        <v>10426</v>
      </c>
      <c r="B4683" s="92" t="s">
        <v>2137</v>
      </c>
      <c r="C4683" s="92" t="s">
        <v>10427</v>
      </c>
      <c r="D4683" s="72" t="str">
        <f>IFERROR(VLOOKUP(A4683,'[1]ST-QA-ZZ5'!$C$5:$M$299,11,0),"Inspection at production line")</f>
        <v>Inspection at production line</v>
      </c>
    </row>
    <row r="4684" spans="1:4" ht="13.8">
      <c r="A4684" s="47" t="s">
        <v>10428</v>
      </c>
      <c r="B4684" s="92" t="s">
        <v>2137</v>
      </c>
      <c r="C4684" s="92" t="s">
        <v>10427</v>
      </c>
      <c r="D4684" s="72" t="str">
        <f>IFERROR(VLOOKUP(A4684,'[1]ST-QA-ZZ5'!$C$5:$M$299,11,0),"Inspection at production line")</f>
        <v>Inspection at production line</v>
      </c>
    </row>
    <row r="4685" spans="1:4" ht="13.8">
      <c r="A4685" s="47" t="s">
        <v>10429</v>
      </c>
      <c r="B4685" s="92" t="s">
        <v>857</v>
      </c>
      <c r="C4685" s="92" t="s">
        <v>10430</v>
      </c>
      <c r="D4685" s="72" t="str">
        <f>IFERROR(VLOOKUP(A4685,'[1]ST-QA-ZZ5'!$C$5:$M$299,11,0),"Inspection at production line")</f>
        <v>Inspection at production line</v>
      </c>
    </row>
    <row r="4686" spans="1:4" ht="13.8">
      <c r="A4686" s="47" t="s">
        <v>10431</v>
      </c>
      <c r="B4686" s="92" t="s">
        <v>857</v>
      </c>
      <c r="C4686" s="92" t="s">
        <v>10432</v>
      </c>
      <c r="D4686" s="72" t="str">
        <f>IFERROR(VLOOKUP(A4686,'[1]ST-QA-ZZ5'!$C$5:$M$299,11,0),"Inspection at production line")</f>
        <v>Inspection at production line</v>
      </c>
    </row>
    <row r="4687" spans="1:4" ht="13.8">
      <c r="A4687" s="47" t="s">
        <v>10433</v>
      </c>
      <c r="B4687" s="92" t="s">
        <v>857</v>
      </c>
      <c r="C4687" s="92" t="s">
        <v>10434</v>
      </c>
      <c r="D4687" s="72" t="str">
        <f>IFERROR(VLOOKUP(A4687,'[1]ST-QA-ZZ5'!$C$5:$M$299,11,0),"Inspection at production line")</f>
        <v>Inspection at production line</v>
      </c>
    </row>
    <row r="4688" spans="1:4" ht="13.8">
      <c r="A4688" s="47" t="s">
        <v>10435</v>
      </c>
      <c r="B4688" s="92" t="s">
        <v>857</v>
      </c>
      <c r="C4688" s="92" t="s">
        <v>10436</v>
      </c>
      <c r="D4688" s="72" t="str">
        <f>IFERROR(VLOOKUP(A4688,'[1]ST-QA-ZZ5'!$C$5:$M$299,11,0),"Inspection at production line")</f>
        <v>Inspection at production line</v>
      </c>
    </row>
    <row r="4689" spans="1:4" ht="13.8">
      <c r="A4689" s="47" t="s">
        <v>10437</v>
      </c>
      <c r="B4689" s="92" t="s">
        <v>857</v>
      </c>
      <c r="C4689" s="92" t="s">
        <v>10438</v>
      </c>
      <c r="D4689" s="72" t="str">
        <f>IFERROR(VLOOKUP(A4689,'[1]ST-QA-ZZ5'!$C$5:$M$299,11,0),"Inspection at production line")</f>
        <v>Inspection at production line</v>
      </c>
    </row>
    <row r="4690" spans="1:4" ht="13.8">
      <c r="A4690" s="47" t="s">
        <v>10439</v>
      </c>
      <c r="B4690" s="92" t="s">
        <v>857</v>
      </c>
      <c r="C4690" s="92" t="s">
        <v>10440</v>
      </c>
      <c r="D4690" s="72" t="str">
        <f>IFERROR(VLOOKUP(A4690,'[1]ST-QA-ZZ5'!$C$5:$M$299,11,0),"Inspection at production line")</f>
        <v>Inspection at production line</v>
      </c>
    </row>
    <row r="4691" spans="1:4" ht="13.8">
      <c r="A4691" s="47" t="s">
        <v>10441</v>
      </c>
      <c r="B4691" s="92" t="s">
        <v>857</v>
      </c>
      <c r="C4691" s="92" t="s">
        <v>10442</v>
      </c>
      <c r="D4691" s="72" t="str">
        <f>IFERROR(VLOOKUP(A4691,'[1]ST-QA-ZZ5'!$C$5:$M$299,11,0),"Inspection at production line")</f>
        <v>Inspection at production line</v>
      </c>
    </row>
    <row r="4692" spans="1:4" ht="13.8">
      <c r="A4692" s="47" t="s">
        <v>10443</v>
      </c>
      <c r="B4692" s="92" t="s">
        <v>857</v>
      </c>
      <c r="C4692" s="92" t="s">
        <v>10444</v>
      </c>
      <c r="D4692" s="72" t="str">
        <f>IFERROR(VLOOKUP(A4692,'[1]ST-QA-ZZ5'!$C$5:$M$299,11,0),"Inspection at production line")</f>
        <v>Inspection at production line</v>
      </c>
    </row>
    <row r="4693" spans="1:4" ht="13.8">
      <c r="A4693" s="47" t="s">
        <v>10445</v>
      </c>
      <c r="B4693" s="92" t="s">
        <v>857</v>
      </c>
      <c r="C4693" s="92" t="s">
        <v>10446</v>
      </c>
      <c r="D4693" s="72" t="str">
        <f>IFERROR(VLOOKUP(A4693,'[1]ST-QA-ZZ5'!$C$5:$M$299,11,0),"Inspection at production line")</f>
        <v>Inspection at production line</v>
      </c>
    </row>
    <row r="4694" spans="1:4" ht="13.8">
      <c r="A4694" s="47" t="s">
        <v>10447</v>
      </c>
      <c r="B4694" s="92" t="s">
        <v>857</v>
      </c>
      <c r="C4694" s="92" t="s">
        <v>10448</v>
      </c>
      <c r="D4694" s="72" t="str">
        <f>IFERROR(VLOOKUP(A4694,'[1]ST-QA-ZZ5'!$C$5:$M$299,11,0),"Inspection at production line")</f>
        <v>Inspection at production line</v>
      </c>
    </row>
    <row r="4695" spans="1:4" ht="13.8">
      <c r="A4695" s="47" t="s">
        <v>10449</v>
      </c>
      <c r="B4695" s="92" t="s">
        <v>174</v>
      </c>
      <c r="C4695" s="92" t="s">
        <v>10425</v>
      </c>
      <c r="D4695" s="72" t="str">
        <f>IFERROR(VLOOKUP(A4695,'[1]ST-QA-ZZ5'!$C$5:$M$299,11,0),"Inspection at production line")</f>
        <v>Inspection at production line</v>
      </c>
    </row>
    <row r="4696" spans="1:4" ht="13.8">
      <c r="A4696" s="47" t="s">
        <v>10450</v>
      </c>
      <c r="B4696" s="92" t="s">
        <v>857</v>
      </c>
      <c r="C4696" s="92" t="s">
        <v>10451</v>
      </c>
      <c r="D4696" s="72" t="str">
        <f>IFERROR(VLOOKUP(A4696,'[1]ST-QA-ZZ5'!$C$5:$M$299,11,0),"Inspection at production line")</f>
        <v>Inspection at production line</v>
      </c>
    </row>
    <row r="4697" spans="1:4" ht="13.8">
      <c r="A4697" s="47" t="s">
        <v>10452</v>
      </c>
      <c r="B4697" s="92" t="s">
        <v>857</v>
      </c>
      <c r="C4697" s="92" t="s">
        <v>10453</v>
      </c>
      <c r="D4697" s="72" t="str">
        <f>IFERROR(VLOOKUP(A4697,'[1]ST-QA-ZZ5'!$C$5:$M$299,11,0),"Inspection at production line")</f>
        <v>Inspection at production line</v>
      </c>
    </row>
    <row r="4698" spans="1:4" ht="13.8">
      <c r="A4698" s="47" t="s">
        <v>10454</v>
      </c>
      <c r="B4698" s="92" t="s">
        <v>2137</v>
      </c>
      <c r="C4698" s="92" t="s">
        <v>2146</v>
      </c>
      <c r="D4698" s="72" t="str">
        <f>IFERROR(VLOOKUP(A4698,'[1]ST-QA-ZZ5'!$C$5:$M$299,11,0),"Inspection at production line")</f>
        <v>Inspection at production line</v>
      </c>
    </row>
    <row r="4699" spans="1:4" ht="13.8">
      <c r="A4699" s="47" t="s">
        <v>10455</v>
      </c>
      <c r="B4699" s="92" t="s">
        <v>857</v>
      </c>
      <c r="C4699" s="92" t="s">
        <v>10456</v>
      </c>
      <c r="D4699" s="72" t="str">
        <f>IFERROR(VLOOKUP(A4699,'[1]ST-QA-ZZ5'!$C$5:$M$299,11,0),"Inspection at production line")</f>
        <v>Inspection at production line</v>
      </c>
    </row>
    <row r="4700" spans="1:4" ht="13.8">
      <c r="A4700" s="47" t="s">
        <v>10457</v>
      </c>
      <c r="B4700" s="92" t="s">
        <v>10458</v>
      </c>
      <c r="C4700" s="92" t="s">
        <v>10459</v>
      </c>
      <c r="D4700" s="72" t="str">
        <f>IFERROR(VLOOKUP(A4700,'[1]ST-QA-ZZ5'!$C$5:$M$299,11,0),"Inspection at production line")</f>
        <v>Inspection at production line</v>
      </c>
    </row>
    <row r="4701" spans="1:4" ht="13.8">
      <c r="A4701" s="47" t="s">
        <v>10460</v>
      </c>
      <c r="B4701" s="92" t="s">
        <v>857</v>
      </c>
      <c r="C4701" s="92" t="s">
        <v>10461</v>
      </c>
      <c r="D4701" s="72" t="str">
        <f>IFERROR(VLOOKUP(A4701,'[1]ST-QA-ZZ5'!$C$5:$M$299,11,0),"Inspection at production line")</f>
        <v>Inspection at production line</v>
      </c>
    </row>
    <row r="4702" spans="1:4" ht="13.8">
      <c r="A4702" s="47" t="s">
        <v>10462</v>
      </c>
      <c r="B4702" s="92" t="s">
        <v>4772</v>
      </c>
      <c r="C4702" s="92" t="s">
        <v>10463</v>
      </c>
      <c r="D4702" s="72" t="str">
        <f>IFERROR(VLOOKUP(A4702,'[1]ST-QA-ZZ5'!$C$5:$M$299,11,0),"Inspection at production line")</f>
        <v>Inspection at production line</v>
      </c>
    </row>
    <row r="4703" spans="1:4" ht="13.8">
      <c r="A4703" s="47" t="s">
        <v>10464</v>
      </c>
      <c r="B4703" s="92" t="s">
        <v>174</v>
      </c>
      <c r="C4703" s="92" t="s">
        <v>10465</v>
      </c>
      <c r="D4703" s="72" t="str">
        <f>IFERROR(VLOOKUP(A4703,'[1]ST-QA-ZZ5'!$C$5:$M$299,11,0),"Inspection at production line")</f>
        <v>Inspection at production line</v>
      </c>
    </row>
    <row r="4704" spans="1:4" ht="13.8">
      <c r="A4704" s="47" t="s">
        <v>10466</v>
      </c>
      <c r="B4704" s="92" t="s">
        <v>174</v>
      </c>
      <c r="C4704" s="92" t="s">
        <v>10467</v>
      </c>
      <c r="D4704" s="72" t="str">
        <f>IFERROR(VLOOKUP(A4704,'[1]ST-QA-ZZ5'!$C$5:$M$299,11,0),"Inspection at production line")</f>
        <v>Inspection at production line</v>
      </c>
    </row>
    <row r="4705" spans="1:4" ht="13.8">
      <c r="A4705" s="47" t="s">
        <v>10468</v>
      </c>
      <c r="B4705" s="92" t="s">
        <v>404</v>
      </c>
      <c r="C4705" s="92" t="s">
        <v>10469</v>
      </c>
      <c r="D4705" s="72" t="str">
        <f>IFERROR(VLOOKUP(A4705,'[1]ST-QA-ZZ5'!$C$5:$M$299,11,0),"Inspection at production line")</f>
        <v>Inspection at production line</v>
      </c>
    </row>
    <row r="4706" spans="1:4" ht="13.8">
      <c r="A4706" s="47" t="s">
        <v>10470</v>
      </c>
      <c r="B4706" s="92" t="s">
        <v>174</v>
      </c>
      <c r="C4706" s="92" t="s">
        <v>10471</v>
      </c>
      <c r="D4706" s="72" t="str">
        <f>IFERROR(VLOOKUP(A4706,'[1]ST-QA-ZZ5'!$C$5:$M$299,11,0),"Inspection at production line")</f>
        <v>Inspection at production line</v>
      </c>
    </row>
    <row r="4707" spans="1:4" ht="13.8">
      <c r="A4707" s="47" t="s">
        <v>10472</v>
      </c>
      <c r="B4707" s="92" t="s">
        <v>857</v>
      </c>
      <c r="C4707" s="92" t="s">
        <v>10473</v>
      </c>
      <c r="D4707" s="72" t="str">
        <f>IFERROR(VLOOKUP(A4707,'[1]ST-QA-ZZ5'!$C$5:$M$299,11,0),"Inspection at production line")</f>
        <v>Inspection at production line</v>
      </c>
    </row>
    <row r="4708" spans="1:4" ht="13.8">
      <c r="A4708" s="47" t="s">
        <v>10474</v>
      </c>
      <c r="B4708" s="92" t="s">
        <v>174</v>
      </c>
      <c r="C4708" s="92" t="s">
        <v>10475</v>
      </c>
      <c r="D4708" s="72" t="str">
        <f>IFERROR(VLOOKUP(A4708,'[1]ST-QA-ZZ5'!$C$5:$M$299,11,0),"Inspection at production line")</f>
        <v>Inspection at production line</v>
      </c>
    </row>
    <row r="4709" spans="1:4" ht="13.8">
      <c r="A4709" s="47" t="s">
        <v>10476</v>
      </c>
      <c r="B4709" s="92" t="s">
        <v>404</v>
      </c>
      <c r="C4709" s="92" t="s">
        <v>10477</v>
      </c>
      <c r="D4709" s="72" t="str">
        <f>IFERROR(VLOOKUP(A4709,'[1]ST-QA-ZZ5'!$C$5:$M$299,11,0),"Inspection at production line")</f>
        <v>Inspection at production line</v>
      </c>
    </row>
    <row r="4710" spans="1:4" ht="13.8">
      <c r="A4710" s="47" t="s">
        <v>10478</v>
      </c>
      <c r="B4710" s="92" t="s">
        <v>857</v>
      </c>
      <c r="C4710" s="92" t="s">
        <v>10479</v>
      </c>
      <c r="D4710" s="72" t="str">
        <f>IFERROR(VLOOKUP(A4710,'[1]ST-QA-ZZ5'!$C$5:$M$299,11,0),"Inspection at production line")</f>
        <v>Inspection at production line</v>
      </c>
    </row>
    <row r="4711" spans="1:4" ht="13.8">
      <c r="A4711" s="47" t="s">
        <v>10480</v>
      </c>
      <c r="B4711" s="92" t="s">
        <v>10458</v>
      </c>
      <c r="C4711" s="92" t="s">
        <v>10481</v>
      </c>
      <c r="D4711" s="72" t="str">
        <f>IFERROR(VLOOKUP(A4711,'[1]ST-QA-ZZ5'!$C$5:$M$299,11,0),"Inspection at production line")</f>
        <v>Inspection at production line</v>
      </c>
    </row>
    <row r="4712" spans="1:4" ht="13.8">
      <c r="A4712" s="47" t="s">
        <v>10482</v>
      </c>
      <c r="B4712" s="92" t="s">
        <v>174</v>
      </c>
      <c r="C4712" s="92" t="s">
        <v>10483</v>
      </c>
      <c r="D4712" s="72" t="str">
        <f>IFERROR(VLOOKUP(A4712,'[1]ST-QA-ZZ5'!$C$5:$M$299,11,0),"Inspection at production line")</f>
        <v>Inspection at production line</v>
      </c>
    </row>
    <row r="4713" spans="1:4" ht="13.8">
      <c r="A4713" s="47" t="s">
        <v>10484</v>
      </c>
      <c r="B4713" s="92" t="s">
        <v>10485</v>
      </c>
      <c r="C4713" s="92" t="s">
        <v>10486</v>
      </c>
      <c r="D4713" s="72" t="str">
        <f>IFERROR(VLOOKUP(A4713,'[1]ST-QA-ZZ5'!$C$5:$M$299,11,0),"Inspection at production line")</f>
        <v>Inspection at production line</v>
      </c>
    </row>
    <row r="4714" spans="1:4" ht="13.8">
      <c r="A4714" s="47" t="s">
        <v>10487</v>
      </c>
      <c r="B4714" s="92" t="s">
        <v>9823</v>
      </c>
      <c r="C4714" s="92" t="s">
        <v>10488</v>
      </c>
      <c r="D4714" s="72" t="str">
        <f>IFERROR(VLOOKUP(A4714,'[1]ST-QA-ZZ5'!$C$5:$M$299,11,0),"Inspection at production line")</f>
        <v>Inspection at production line</v>
      </c>
    </row>
    <row r="4715" spans="1:4" ht="13.8">
      <c r="A4715" s="47" t="s">
        <v>10489</v>
      </c>
      <c r="B4715" s="92" t="s">
        <v>9823</v>
      </c>
      <c r="C4715" s="92" t="s">
        <v>10490</v>
      </c>
      <c r="D4715" s="72" t="str">
        <f>IFERROR(VLOOKUP(A4715,'[1]ST-QA-ZZ5'!$C$5:$M$299,11,0),"Inspection at production line")</f>
        <v>Inspection at production line</v>
      </c>
    </row>
    <row r="4716" spans="1:4" ht="13.8">
      <c r="A4716" s="47" t="s">
        <v>10491</v>
      </c>
      <c r="B4716" s="92" t="s">
        <v>10485</v>
      </c>
      <c r="C4716" s="92" t="s">
        <v>10492</v>
      </c>
      <c r="D4716" s="72" t="str">
        <f>IFERROR(VLOOKUP(A4716,'[1]ST-QA-ZZ5'!$C$5:$M$299,11,0),"Inspection at production line")</f>
        <v>Inspection at production line</v>
      </c>
    </row>
    <row r="4717" spans="1:4" ht="13.8">
      <c r="A4717" s="47" t="s">
        <v>10493</v>
      </c>
      <c r="B4717" s="92" t="s">
        <v>10485</v>
      </c>
      <c r="C4717" s="92" t="s">
        <v>10494</v>
      </c>
      <c r="D4717" s="72" t="str">
        <f>IFERROR(VLOOKUP(A4717,'[1]ST-QA-ZZ5'!$C$5:$M$299,11,0),"Inspection at production line")</f>
        <v>Inspection at production line</v>
      </c>
    </row>
    <row r="4718" spans="1:4" ht="13.8">
      <c r="A4718" s="47" t="s">
        <v>10495</v>
      </c>
      <c r="B4718" s="92" t="s">
        <v>10458</v>
      </c>
      <c r="C4718" s="92" t="s">
        <v>10496</v>
      </c>
      <c r="D4718" s="72" t="str">
        <f>IFERROR(VLOOKUP(A4718,'[1]ST-QA-ZZ5'!$C$5:$M$299,11,0),"Inspection at production line")</f>
        <v>Inspection at production line</v>
      </c>
    </row>
    <row r="4719" spans="1:4" ht="13.8">
      <c r="A4719" s="47" t="s">
        <v>10497</v>
      </c>
      <c r="B4719" s="92" t="s">
        <v>10458</v>
      </c>
      <c r="C4719" s="92" t="s">
        <v>10498</v>
      </c>
      <c r="D4719" s="72" t="str">
        <f>IFERROR(VLOOKUP(A4719,'[1]ST-QA-ZZ5'!$C$5:$M$299,11,0),"Inspection at production line")</f>
        <v>Inspection at production line</v>
      </c>
    </row>
    <row r="4720" spans="1:4" ht="13.8">
      <c r="A4720" s="47" t="s">
        <v>10499</v>
      </c>
      <c r="B4720" s="92" t="s">
        <v>10458</v>
      </c>
      <c r="C4720" s="92" t="s">
        <v>10481</v>
      </c>
      <c r="D4720" s="72" t="str">
        <f>IFERROR(VLOOKUP(A4720,'[1]ST-QA-ZZ5'!$C$5:$M$299,11,0),"Inspection at production line")</f>
        <v>Inspection at production line</v>
      </c>
    </row>
    <row r="4721" spans="1:4" ht="13.8">
      <c r="A4721" s="47" t="s">
        <v>10500</v>
      </c>
      <c r="B4721" s="92" t="s">
        <v>10458</v>
      </c>
      <c r="C4721" s="92" t="s">
        <v>10501</v>
      </c>
      <c r="D4721" s="72" t="str">
        <f>IFERROR(VLOOKUP(A4721,'[1]ST-QA-ZZ5'!$C$5:$M$299,11,0),"Inspection at production line")</f>
        <v>Inspection at production line</v>
      </c>
    </row>
    <row r="4722" spans="1:4" ht="13.8">
      <c r="A4722" s="47" t="s">
        <v>10502</v>
      </c>
      <c r="B4722" s="92" t="s">
        <v>10458</v>
      </c>
      <c r="C4722" s="92" t="s">
        <v>10503</v>
      </c>
      <c r="D4722" s="72" t="str">
        <f>IFERROR(VLOOKUP(A4722,'[1]ST-QA-ZZ5'!$C$5:$M$299,11,0),"Inspection at production line")</f>
        <v>Inspection at production line</v>
      </c>
    </row>
    <row r="4723" spans="1:4" ht="13.8">
      <c r="A4723" s="47" t="s">
        <v>10504</v>
      </c>
      <c r="B4723" s="92" t="s">
        <v>10485</v>
      </c>
      <c r="C4723" s="94" t="s">
        <v>10479</v>
      </c>
      <c r="D4723" s="72" t="str">
        <f>IFERROR(VLOOKUP(A4723,'[1]ST-QA-ZZ5'!$C$5:$M$299,11,0),"Inspection at production line")</f>
        <v>Inspection at production line</v>
      </c>
    </row>
    <row r="4724" spans="1:4" ht="13.8">
      <c r="A4724" s="47" t="s">
        <v>10505</v>
      </c>
      <c r="B4724" s="92" t="s">
        <v>10485</v>
      </c>
      <c r="C4724" s="92" t="s">
        <v>10479</v>
      </c>
      <c r="D4724" s="72" t="str">
        <f>IFERROR(VLOOKUP(A4724,'[1]ST-QA-ZZ5'!$C$5:$M$299,11,0),"Inspection at production line")</f>
        <v>Inspection at production line</v>
      </c>
    </row>
    <row r="4725" spans="1:4" ht="13.8">
      <c r="A4725" s="47" t="s">
        <v>10506</v>
      </c>
      <c r="B4725" s="92" t="s">
        <v>174</v>
      </c>
      <c r="C4725" s="92" t="s">
        <v>10507</v>
      </c>
      <c r="D4725" s="72" t="str">
        <f>IFERROR(VLOOKUP(A4725,'[1]ST-QA-ZZ5'!$C$5:$M$299,11,0),"Inspection at production line")</f>
        <v>Inspection at production line</v>
      </c>
    </row>
    <row r="4726" spans="1:4" ht="13.8">
      <c r="A4726" s="47" t="s">
        <v>10508</v>
      </c>
      <c r="B4726" s="92" t="s">
        <v>9823</v>
      </c>
      <c r="C4726" s="92" t="s">
        <v>10509</v>
      </c>
      <c r="D4726" s="72" t="str">
        <f>IFERROR(VLOOKUP(A4726,'[1]ST-QA-ZZ5'!$C$5:$M$299,11,0),"Inspection at production line")</f>
        <v>Inspection at production line</v>
      </c>
    </row>
    <row r="4727" spans="1:4" ht="13.8">
      <c r="A4727" s="47" t="s">
        <v>10510</v>
      </c>
      <c r="B4727" s="92" t="s">
        <v>10485</v>
      </c>
      <c r="C4727" s="92" t="s">
        <v>10511</v>
      </c>
      <c r="D4727" s="72" t="str">
        <f>IFERROR(VLOOKUP(A4727,'[1]ST-QA-ZZ5'!$C$5:$M$299,11,0),"Inspection at production line")</f>
        <v>Inspection at production line</v>
      </c>
    </row>
    <row r="4728" spans="1:4" ht="13.8">
      <c r="A4728" s="47" t="s">
        <v>10512</v>
      </c>
      <c r="B4728" s="92" t="s">
        <v>10485</v>
      </c>
      <c r="C4728" s="92" t="s">
        <v>10513</v>
      </c>
      <c r="D4728" s="72" t="str">
        <f>IFERROR(VLOOKUP(A4728,'[1]ST-QA-ZZ5'!$C$5:$M$299,11,0),"Inspection at production line")</f>
        <v>Inspection at production line</v>
      </c>
    </row>
    <row r="4729" spans="1:4" ht="13.8">
      <c r="A4729" s="47" t="s">
        <v>10514</v>
      </c>
      <c r="B4729" s="92" t="s">
        <v>10485</v>
      </c>
      <c r="C4729" s="92" t="s">
        <v>10515</v>
      </c>
      <c r="D4729" s="72" t="str">
        <f>IFERROR(VLOOKUP(A4729,'[1]ST-QA-ZZ5'!$C$5:$M$299,11,0),"Inspection at production line")</f>
        <v>Inspection at production line</v>
      </c>
    </row>
    <row r="4730" spans="1:4" ht="13.8">
      <c r="A4730" s="47" t="s">
        <v>10516</v>
      </c>
      <c r="B4730" s="92" t="s">
        <v>10517</v>
      </c>
      <c r="C4730" s="92" t="s">
        <v>10518</v>
      </c>
      <c r="D4730" s="72" t="str">
        <f>IFERROR(VLOOKUP(A4730,'[1]ST-QA-ZZ5'!$C$5:$M$299,11,0),"Inspection at production line")</f>
        <v>Inspection at production line</v>
      </c>
    </row>
    <row r="4731" spans="1:4" ht="13.8">
      <c r="A4731" s="47" t="s">
        <v>10519</v>
      </c>
      <c r="B4731" s="92" t="s">
        <v>10517</v>
      </c>
      <c r="C4731" s="92" t="s">
        <v>10520</v>
      </c>
      <c r="D4731" s="72" t="str">
        <f>IFERROR(VLOOKUP(A4731,'[1]ST-QA-ZZ5'!$C$5:$M$299,11,0),"Inspection at production line")</f>
        <v>Inspection at production line</v>
      </c>
    </row>
    <row r="4732" spans="1:4" ht="13.8">
      <c r="A4732" s="47" t="s">
        <v>10521</v>
      </c>
      <c r="B4732" s="92" t="s">
        <v>10485</v>
      </c>
      <c r="C4732" s="92" t="s">
        <v>10522</v>
      </c>
      <c r="D4732" s="72" t="str">
        <f>IFERROR(VLOOKUP(A4732,'[1]ST-QA-ZZ5'!$C$5:$M$299,11,0),"Inspection at production line")</f>
        <v>Inspection at production line</v>
      </c>
    </row>
    <row r="4733" spans="1:4" ht="13.8">
      <c r="A4733" s="47" t="s">
        <v>10523</v>
      </c>
      <c r="B4733" s="92" t="s">
        <v>10524</v>
      </c>
      <c r="C4733" s="92" t="s">
        <v>10525</v>
      </c>
      <c r="D4733" s="72" t="str">
        <f>IFERROR(VLOOKUP(A4733,'[1]ST-QA-ZZ5'!$C$5:$M$299,11,0),"Inspection at production line")</f>
        <v>Inspection at production line</v>
      </c>
    </row>
    <row r="4734" spans="1:4" ht="13.8">
      <c r="A4734" s="47" t="s">
        <v>10526</v>
      </c>
      <c r="B4734" s="92" t="s">
        <v>10485</v>
      </c>
      <c r="C4734" s="92" t="s">
        <v>10527</v>
      </c>
      <c r="D4734" s="72" t="str">
        <f>IFERROR(VLOOKUP(A4734,'[1]ST-QA-ZZ5'!$C$5:$M$299,11,0),"Inspection at production line")</f>
        <v>Inspection at production line</v>
      </c>
    </row>
    <row r="4735" spans="1:4" ht="13.8">
      <c r="A4735" s="47" t="s">
        <v>10528</v>
      </c>
      <c r="B4735" s="92" t="s">
        <v>10524</v>
      </c>
      <c r="C4735" s="92" t="s">
        <v>10529</v>
      </c>
      <c r="D4735" s="72" t="str">
        <f>IFERROR(VLOOKUP(A4735,'[1]ST-QA-ZZ5'!$C$5:$M$299,11,0),"Inspection at production line")</f>
        <v>Inspection at production line</v>
      </c>
    </row>
    <row r="4736" spans="1:4" ht="13.8">
      <c r="A4736" s="47" t="s">
        <v>10530</v>
      </c>
      <c r="B4736" s="92" t="s">
        <v>10531</v>
      </c>
      <c r="C4736" s="92" t="s">
        <v>10532</v>
      </c>
      <c r="D4736" s="72" t="str">
        <f>IFERROR(VLOOKUP(A4736,'[1]ST-QA-ZZ5'!$C$5:$M$299,11,0),"Inspection at production line")</f>
        <v>Inspection at production line</v>
      </c>
    </row>
    <row r="4737" spans="1:4" ht="13.8">
      <c r="A4737" s="47" t="s">
        <v>10533</v>
      </c>
      <c r="B4737" s="92" t="s">
        <v>10524</v>
      </c>
      <c r="C4737" s="92" t="s">
        <v>10534</v>
      </c>
      <c r="D4737" s="72" t="str">
        <f>IFERROR(VLOOKUP(A4737,'[1]ST-QA-ZZ5'!$C$5:$M$299,11,0),"Inspection at production line")</f>
        <v>Inspection at production line</v>
      </c>
    </row>
    <row r="4738" spans="1:4" ht="13.8">
      <c r="A4738" s="47" t="s">
        <v>10535</v>
      </c>
      <c r="B4738" s="92" t="s">
        <v>10517</v>
      </c>
      <c r="C4738" s="92" t="s">
        <v>10536</v>
      </c>
      <c r="D4738" s="72" t="str">
        <f>IFERROR(VLOOKUP(A4738,'[1]ST-QA-ZZ5'!$C$5:$M$299,11,0),"Inspection at production line")</f>
        <v>Inspection at production line</v>
      </c>
    </row>
    <row r="4739" spans="1:4" ht="13.8">
      <c r="A4739" s="47" t="s">
        <v>10537</v>
      </c>
      <c r="B4739" s="92" t="s">
        <v>10524</v>
      </c>
      <c r="C4739" s="92" t="s">
        <v>10538</v>
      </c>
      <c r="D4739" s="72" t="str">
        <f>IFERROR(VLOOKUP(A4739,'[1]ST-QA-ZZ5'!$C$5:$M$299,11,0),"Inspection at production line")</f>
        <v>Inspection at production line</v>
      </c>
    </row>
    <row r="4740" spans="1:4" ht="13.8">
      <c r="A4740" s="47" t="s">
        <v>10539</v>
      </c>
      <c r="B4740" s="92" t="s">
        <v>10524</v>
      </c>
      <c r="C4740" s="92" t="s">
        <v>10540</v>
      </c>
      <c r="D4740" s="72" t="str">
        <f>IFERROR(VLOOKUP(A4740,'[1]ST-QA-ZZ5'!$C$5:$M$299,11,0),"Inspection at production line")</f>
        <v>Inspection at production line</v>
      </c>
    </row>
    <row r="4741" spans="1:4" ht="13.8">
      <c r="A4741" s="47" t="s">
        <v>10541</v>
      </c>
      <c r="B4741" s="92" t="s">
        <v>10485</v>
      </c>
      <c r="C4741" s="92" t="s">
        <v>10542</v>
      </c>
      <c r="D4741" s="72" t="str">
        <f>IFERROR(VLOOKUP(A4741,'[1]ST-QA-ZZ5'!$C$5:$M$299,11,0),"Inspection at production line")</f>
        <v>Inspection at production line</v>
      </c>
    </row>
    <row r="4742" spans="1:4" ht="13.8">
      <c r="A4742" s="47" t="s">
        <v>10543</v>
      </c>
      <c r="B4742" s="92" t="s">
        <v>10517</v>
      </c>
      <c r="C4742" s="92" t="s">
        <v>10544</v>
      </c>
      <c r="D4742" s="72" t="str">
        <f>IFERROR(VLOOKUP(A4742,'[1]ST-QA-ZZ5'!$C$5:$M$299,11,0),"Inspection at production line")</f>
        <v>Inspection at production line</v>
      </c>
    </row>
    <row r="4743" spans="1:4" ht="13.8">
      <c r="A4743" s="47" t="s">
        <v>10545</v>
      </c>
      <c r="B4743" s="92" t="s">
        <v>10517</v>
      </c>
      <c r="C4743" s="92" t="s">
        <v>10546</v>
      </c>
      <c r="D4743" s="72" t="str">
        <f>IFERROR(VLOOKUP(A4743,'[1]ST-QA-ZZ5'!$C$5:$M$299,11,0),"Inspection at production line")</f>
        <v>Inspection at production line</v>
      </c>
    </row>
    <row r="4744" spans="1:4" ht="13.8">
      <c r="A4744" s="47" t="s">
        <v>10547</v>
      </c>
      <c r="B4744" s="92" t="s">
        <v>10485</v>
      </c>
      <c r="C4744" s="92" t="s">
        <v>10548</v>
      </c>
      <c r="D4744" s="72" t="str">
        <f>IFERROR(VLOOKUP(A4744,'[1]ST-QA-ZZ5'!$C$5:$M$299,11,0),"Inspection at production line")</f>
        <v>Inspection at production line</v>
      </c>
    </row>
    <row r="4745" spans="1:4" ht="13.8">
      <c r="A4745" s="47" t="s">
        <v>10549</v>
      </c>
      <c r="B4745" s="92" t="s">
        <v>10485</v>
      </c>
      <c r="C4745" s="92" t="s">
        <v>10550</v>
      </c>
      <c r="D4745" s="72" t="str">
        <f>IFERROR(VLOOKUP(A4745,'[1]ST-QA-ZZ5'!$C$5:$M$299,11,0),"Inspection at production line")</f>
        <v>Inspection at production line</v>
      </c>
    </row>
    <row r="4746" spans="1:4" ht="13.8">
      <c r="A4746" s="47" t="s">
        <v>10551</v>
      </c>
      <c r="B4746" s="92" t="s">
        <v>10485</v>
      </c>
      <c r="C4746" s="92" t="s">
        <v>10552</v>
      </c>
      <c r="D4746" s="72" t="str">
        <f>IFERROR(VLOOKUP(A4746,'[1]ST-QA-ZZ5'!$C$5:$M$299,11,0),"Inspection at production line")</f>
        <v>Inspection at production line</v>
      </c>
    </row>
    <row r="4747" spans="1:4" ht="13.8">
      <c r="A4747" s="47" t="s">
        <v>10553</v>
      </c>
      <c r="B4747" s="92" t="s">
        <v>10485</v>
      </c>
      <c r="C4747" s="92" t="s">
        <v>10554</v>
      </c>
      <c r="D4747" s="72" t="str">
        <f>IFERROR(VLOOKUP(A4747,'[1]ST-QA-ZZ5'!$C$5:$M$299,11,0),"Inspection at production line")</f>
        <v>Inspection at production line</v>
      </c>
    </row>
    <row r="4748" spans="1:4" ht="13.8">
      <c r="A4748" s="47" t="s">
        <v>10555</v>
      </c>
      <c r="B4748" s="92" t="s">
        <v>10517</v>
      </c>
      <c r="C4748" s="92" t="s">
        <v>10556</v>
      </c>
      <c r="D4748" s="72" t="str">
        <f>IFERROR(VLOOKUP(A4748,'[1]ST-QA-ZZ5'!$C$5:$M$299,11,0),"Inspection at production line")</f>
        <v>Inspection at production line</v>
      </c>
    </row>
    <row r="4749" spans="1:4" ht="13.8">
      <c r="A4749" s="47" t="s">
        <v>10557</v>
      </c>
      <c r="B4749" s="92" t="s">
        <v>10517</v>
      </c>
      <c r="C4749" s="92" t="s">
        <v>10558</v>
      </c>
      <c r="D4749" s="72" t="str">
        <f>IFERROR(VLOOKUP(A4749,'[1]ST-QA-ZZ5'!$C$5:$M$299,11,0),"Inspection at production line")</f>
        <v>Inspection at production line</v>
      </c>
    </row>
    <row r="4750" spans="1:4" ht="13.8">
      <c r="A4750" s="47" t="s">
        <v>10559</v>
      </c>
      <c r="B4750" s="92" t="s">
        <v>10517</v>
      </c>
      <c r="C4750" s="92" t="s">
        <v>10560</v>
      </c>
      <c r="D4750" s="72" t="str">
        <f>IFERROR(VLOOKUP(A4750,'[1]ST-QA-ZZ5'!$C$5:$M$299,11,0),"Inspection at production line")</f>
        <v>Inspection at production line</v>
      </c>
    </row>
    <row r="4751" spans="1:4" ht="13.8">
      <c r="A4751" s="47" t="s">
        <v>10561</v>
      </c>
      <c r="B4751" s="92" t="s">
        <v>4772</v>
      </c>
      <c r="C4751" s="92" t="s">
        <v>10562</v>
      </c>
      <c r="D4751" s="72" t="str">
        <f>IFERROR(VLOOKUP(A4751,'[1]ST-QA-ZZ5'!$C$5:$M$299,11,0),"Inspection at production line")</f>
        <v>Inspection at production line</v>
      </c>
    </row>
    <row r="4752" spans="1:4" ht="13.8">
      <c r="A4752" s="47" t="s">
        <v>10563</v>
      </c>
      <c r="B4752" s="92" t="s">
        <v>10485</v>
      </c>
      <c r="C4752" s="92" t="s">
        <v>10564</v>
      </c>
      <c r="D4752" s="72" t="str">
        <f>IFERROR(VLOOKUP(A4752,'[1]ST-QA-ZZ5'!$C$5:$M$299,11,0),"Inspection at production line")</f>
        <v>Inspection at production line</v>
      </c>
    </row>
    <row r="4753" spans="1:4" ht="13.8">
      <c r="A4753" s="47" t="s">
        <v>10565</v>
      </c>
      <c r="B4753" s="92" t="s">
        <v>10517</v>
      </c>
      <c r="C4753" s="92" t="s">
        <v>10566</v>
      </c>
      <c r="D4753" s="72" t="str">
        <f>IFERROR(VLOOKUP(A4753,'[1]ST-QA-ZZ5'!$C$5:$M$299,11,0),"Inspection at production line")</f>
        <v>Inspection at production line</v>
      </c>
    </row>
    <row r="4754" spans="1:4" ht="13.8">
      <c r="A4754" s="47" t="s">
        <v>10567</v>
      </c>
      <c r="B4754" s="92" t="s">
        <v>10517</v>
      </c>
      <c r="C4754" s="92" t="s">
        <v>10568</v>
      </c>
      <c r="D4754" s="72" t="str">
        <f>IFERROR(VLOOKUP(A4754,'[1]ST-QA-ZZ5'!$C$5:$M$299,11,0),"Inspection at production line")</f>
        <v>Inspection at production line</v>
      </c>
    </row>
    <row r="4755" spans="1:4" ht="13.8">
      <c r="A4755" s="47" t="s">
        <v>10569</v>
      </c>
      <c r="B4755" s="92" t="s">
        <v>10570</v>
      </c>
      <c r="C4755" s="92" t="s">
        <v>10571</v>
      </c>
      <c r="D4755" s="72" t="str">
        <f>IFERROR(VLOOKUP(A4755,'[1]ST-QA-ZZ5'!$C$5:$M$299,11,0),"Inspection at production line")</f>
        <v>Inspection at production line</v>
      </c>
    </row>
    <row r="4756" spans="1:4" ht="13.8">
      <c r="A4756" s="47" t="s">
        <v>10572</v>
      </c>
      <c r="B4756" s="92" t="s">
        <v>10573</v>
      </c>
      <c r="C4756" s="92" t="s">
        <v>10574</v>
      </c>
      <c r="D4756" s="72" t="str">
        <f>IFERROR(VLOOKUP(A4756,'[1]ST-QA-ZZ5'!$C$5:$M$299,11,0),"Inspection at production line")</f>
        <v>Inspection at production line</v>
      </c>
    </row>
    <row r="4757" spans="1:4" ht="13.8">
      <c r="A4757" s="47" t="s">
        <v>10575</v>
      </c>
      <c r="B4757" s="92" t="s">
        <v>10576</v>
      </c>
      <c r="C4757" s="92" t="s">
        <v>10577</v>
      </c>
      <c r="D4757" s="72" t="str">
        <f>IFERROR(VLOOKUP(A4757,'[1]ST-QA-ZZ5'!$C$5:$M$299,11,0),"Inspection at production line")</f>
        <v>Inspection at production line</v>
      </c>
    </row>
    <row r="4758" spans="1:4" ht="13.8">
      <c r="A4758" s="47" t="s">
        <v>10578</v>
      </c>
      <c r="B4758" s="92" t="s">
        <v>10517</v>
      </c>
      <c r="C4758" s="92" t="s">
        <v>10579</v>
      </c>
      <c r="D4758" s="72" t="str">
        <f>IFERROR(VLOOKUP(A4758,'[1]ST-QA-ZZ5'!$C$5:$M$299,11,0),"Inspection at production line")</f>
        <v>Inspection at production line</v>
      </c>
    </row>
    <row r="4759" spans="1:4" ht="13.8">
      <c r="A4759" s="47" t="s">
        <v>10580</v>
      </c>
      <c r="B4759" s="92" t="s">
        <v>10581</v>
      </c>
      <c r="C4759" s="92" t="s">
        <v>10582</v>
      </c>
      <c r="D4759" s="72" t="str">
        <f>IFERROR(VLOOKUP(A4759,'[1]ST-QA-ZZ5'!$C$5:$M$299,11,0),"Inspection at production line")</f>
        <v>Inspection at production line</v>
      </c>
    </row>
    <row r="4760" spans="1:4" ht="13.8">
      <c r="A4760" s="47" t="s">
        <v>10583</v>
      </c>
      <c r="B4760" s="92" t="s">
        <v>10581</v>
      </c>
      <c r="C4760" s="92" t="s">
        <v>10584</v>
      </c>
      <c r="D4760" s="72" t="str">
        <f>IFERROR(VLOOKUP(A4760,'[1]ST-QA-ZZ5'!$C$5:$M$299,11,0),"Inspection at production line")</f>
        <v>Inspection at production line</v>
      </c>
    </row>
    <row r="4761" spans="1:4" ht="13.8">
      <c r="A4761" s="47" t="s">
        <v>10585</v>
      </c>
      <c r="B4761" s="92" t="s">
        <v>10524</v>
      </c>
      <c r="C4761" s="92" t="s">
        <v>10586</v>
      </c>
      <c r="D4761" s="72" t="str">
        <f>IFERROR(VLOOKUP(A4761,'[1]ST-QA-ZZ5'!$C$5:$M$299,11,0),"Inspection at production line")</f>
        <v>Inspection at production line</v>
      </c>
    </row>
    <row r="4762" spans="1:4" ht="13.8">
      <c r="A4762" s="47" t="s">
        <v>10587</v>
      </c>
      <c r="B4762" s="92" t="s">
        <v>10524</v>
      </c>
      <c r="C4762" s="92" t="s">
        <v>10588</v>
      </c>
      <c r="D4762" s="72" t="str">
        <f>IFERROR(VLOOKUP(A4762,'[1]ST-QA-ZZ5'!$C$5:$M$299,11,0),"Inspection at production line")</f>
        <v>Inspection at production line</v>
      </c>
    </row>
    <row r="4763" spans="1:4" ht="13.8">
      <c r="A4763" s="47" t="s">
        <v>10589</v>
      </c>
      <c r="B4763" s="92" t="s">
        <v>10581</v>
      </c>
      <c r="C4763" s="92" t="s">
        <v>10590</v>
      </c>
      <c r="D4763" s="72" t="str">
        <f>IFERROR(VLOOKUP(A4763,'[1]ST-QA-ZZ5'!$C$5:$M$299,11,0),"Inspection at production line")</f>
        <v>Inspection at production line</v>
      </c>
    </row>
    <row r="4764" spans="1:4" ht="13.8">
      <c r="A4764" s="47" t="s">
        <v>10591</v>
      </c>
      <c r="B4764" s="92" t="s">
        <v>10576</v>
      </c>
      <c r="C4764" s="92" t="s">
        <v>10592</v>
      </c>
      <c r="D4764" s="72" t="str">
        <f>IFERROR(VLOOKUP(A4764,'[1]ST-QA-ZZ5'!$C$5:$M$299,11,0),"Inspection at production line")</f>
        <v>Inspection at production line</v>
      </c>
    </row>
    <row r="4765" spans="1:4" ht="13.8">
      <c r="A4765" s="47" t="s">
        <v>10593</v>
      </c>
      <c r="B4765" s="92" t="s">
        <v>10576</v>
      </c>
      <c r="C4765" s="92" t="s">
        <v>10594</v>
      </c>
      <c r="D4765" s="72" t="str">
        <f>IFERROR(VLOOKUP(A4765,'[1]ST-QA-ZZ5'!$C$5:$M$299,11,0),"Inspection at production line")</f>
        <v>Inspection at production line</v>
      </c>
    </row>
    <row r="4766" spans="1:4" ht="13.8">
      <c r="A4766" s="47" t="s">
        <v>10595</v>
      </c>
      <c r="B4766" s="92" t="s">
        <v>10576</v>
      </c>
      <c r="C4766" s="92" t="s">
        <v>10596</v>
      </c>
      <c r="D4766" s="72" t="str">
        <f>IFERROR(VLOOKUP(A4766,'[1]ST-QA-ZZ5'!$C$5:$M$299,11,0),"Inspection at production line")</f>
        <v>Inspection at production line</v>
      </c>
    </row>
    <row r="4767" spans="1:4" ht="13.8">
      <c r="A4767" s="47" t="s">
        <v>10597</v>
      </c>
      <c r="B4767" s="92" t="s">
        <v>10576</v>
      </c>
      <c r="C4767" s="92" t="s">
        <v>10598</v>
      </c>
      <c r="D4767" s="72" t="str">
        <f>IFERROR(VLOOKUP(A4767,'[1]ST-QA-ZZ5'!$C$5:$M$299,11,0),"Inspection at production line")</f>
        <v>Inspection at production line</v>
      </c>
    </row>
    <row r="4768" spans="1:4" ht="13.8">
      <c r="A4768" s="47" t="s">
        <v>10599</v>
      </c>
      <c r="B4768" s="92" t="s">
        <v>10517</v>
      </c>
      <c r="C4768" s="92" t="s">
        <v>10600</v>
      </c>
      <c r="D4768" s="72" t="str">
        <f>IFERROR(VLOOKUP(A4768,'[1]ST-QA-ZZ5'!$C$5:$M$299,11,0),"Inspection at production line")</f>
        <v>Inspection at production line</v>
      </c>
    </row>
    <row r="4769" spans="1:4" ht="13.8">
      <c r="A4769" s="47" t="s">
        <v>10601</v>
      </c>
      <c r="B4769" s="92" t="s">
        <v>10602</v>
      </c>
      <c r="C4769" s="92" t="s">
        <v>10603</v>
      </c>
      <c r="D4769" s="72" t="str">
        <f>IFERROR(VLOOKUP(A4769,'[1]ST-QA-ZZ5'!$C$5:$M$299,11,0),"Inspection at production line")</f>
        <v>Inspection at production line</v>
      </c>
    </row>
    <row r="4770" spans="1:4" ht="13.8">
      <c r="A4770" s="47" t="s">
        <v>10604</v>
      </c>
      <c r="B4770" s="92" t="s">
        <v>10517</v>
      </c>
      <c r="C4770" s="92" t="s">
        <v>10605</v>
      </c>
      <c r="D4770" s="72" t="str">
        <f>IFERROR(VLOOKUP(A4770,'[1]ST-QA-ZZ5'!$C$5:$M$299,11,0),"Inspection at production line")</f>
        <v>Inspection at production line</v>
      </c>
    </row>
    <row r="4771" spans="1:4" ht="13.8">
      <c r="A4771" s="47" t="s">
        <v>10606</v>
      </c>
      <c r="B4771" s="92" t="s">
        <v>4772</v>
      </c>
      <c r="C4771" s="92" t="s">
        <v>10607</v>
      </c>
      <c r="D4771" s="72" t="str">
        <f>IFERROR(VLOOKUP(A4771,'[1]ST-QA-ZZ5'!$C$5:$M$299,11,0),"Inspection at production line")</f>
        <v>Inspection at production line</v>
      </c>
    </row>
    <row r="4772" spans="1:4" ht="13.8">
      <c r="A4772" s="47" t="s">
        <v>10608</v>
      </c>
      <c r="B4772" s="92" t="s">
        <v>10531</v>
      </c>
      <c r="C4772" s="92" t="s">
        <v>10609</v>
      </c>
      <c r="D4772" s="72" t="str">
        <f>IFERROR(VLOOKUP(A4772,'[1]ST-QA-ZZ5'!$C$5:$M$299,11,0),"Inspection at production line")</f>
        <v>Inspection at production line</v>
      </c>
    </row>
    <row r="4773" spans="1:4" ht="13.8">
      <c r="A4773" s="47" t="s">
        <v>10610</v>
      </c>
      <c r="B4773" s="92" t="s">
        <v>10576</v>
      </c>
      <c r="C4773" s="92" t="s">
        <v>10611</v>
      </c>
      <c r="D4773" s="72" t="str">
        <f>IFERROR(VLOOKUP(A4773,'[1]ST-QA-ZZ5'!$C$5:$M$299,11,0),"Inspection at production line")</f>
        <v>Inspection at production line</v>
      </c>
    </row>
    <row r="4774" spans="1:4" ht="13.8">
      <c r="A4774" s="47" t="s">
        <v>10612</v>
      </c>
      <c r="B4774" s="92" t="s">
        <v>10524</v>
      </c>
      <c r="C4774" s="92" t="s">
        <v>10613</v>
      </c>
      <c r="D4774" s="72" t="str">
        <f>IFERROR(VLOOKUP(A4774,'[1]ST-QA-ZZ5'!$C$5:$M$299,11,0),"Inspection at production line")</f>
        <v>Inspection at production line</v>
      </c>
    </row>
    <row r="4775" spans="1:4" ht="13.8">
      <c r="A4775" s="47" t="s">
        <v>10614</v>
      </c>
      <c r="B4775" s="92" t="s">
        <v>10576</v>
      </c>
      <c r="C4775" s="92" t="s">
        <v>10615</v>
      </c>
      <c r="D4775" s="72" t="str">
        <f>IFERROR(VLOOKUP(A4775,'[1]ST-QA-ZZ5'!$C$5:$M$299,11,0),"Inspection at production line")</f>
        <v>Inspection at production line</v>
      </c>
    </row>
    <row r="4776" spans="1:4" ht="13.8">
      <c r="A4776" s="47" t="s">
        <v>10616</v>
      </c>
      <c r="B4776" s="92" t="s">
        <v>10517</v>
      </c>
      <c r="C4776" s="92" t="s">
        <v>10617</v>
      </c>
      <c r="D4776" s="72" t="str">
        <f>IFERROR(VLOOKUP(A4776,'[1]ST-QA-ZZ5'!$C$5:$M$299,11,0),"Inspection at production line")</f>
        <v>Inspection at production line</v>
      </c>
    </row>
    <row r="4777" spans="1:4" ht="13.8">
      <c r="A4777" s="47" t="s">
        <v>10618</v>
      </c>
      <c r="B4777" s="92" t="s">
        <v>10576</v>
      </c>
      <c r="C4777" s="92" t="s">
        <v>10619</v>
      </c>
      <c r="D4777" s="72" t="str">
        <f>IFERROR(VLOOKUP(A4777,'[1]ST-QA-ZZ5'!$C$5:$M$299,11,0),"Inspection at production line")</f>
        <v>Inspection at production line</v>
      </c>
    </row>
    <row r="4778" spans="1:4" ht="13.8">
      <c r="A4778" s="47" t="s">
        <v>10620</v>
      </c>
      <c r="B4778" s="92" t="s">
        <v>10517</v>
      </c>
      <c r="C4778" s="92" t="s">
        <v>10621</v>
      </c>
      <c r="D4778" s="72" t="str">
        <f>IFERROR(VLOOKUP(A4778,'[1]ST-QA-ZZ5'!$C$5:$M$299,11,0),"Inspection at production line")</f>
        <v>Inspection at production line</v>
      </c>
    </row>
    <row r="4779" spans="1:4" ht="13.8">
      <c r="A4779" s="47" t="s">
        <v>10622</v>
      </c>
      <c r="B4779" s="92" t="s">
        <v>10576</v>
      </c>
      <c r="C4779" s="92" t="s">
        <v>10623</v>
      </c>
      <c r="D4779" s="72" t="str">
        <f>IFERROR(VLOOKUP(A4779,'[1]ST-QA-ZZ5'!$C$5:$M$299,11,0),"Inspection at production line")</f>
        <v>Inspection at production line</v>
      </c>
    </row>
    <row r="4780" spans="1:4" ht="13.8">
      <c r="A4780" s="47" t="s">
        <v>10624</v>
      </c>
      <c r="B4780" s="92" t="s">
        <v>10625</v>
      </c>
      <c r="C4780" s="92" t="s">
        <v>10626</v>
      </c>
      <c r="D4780" s="72" t="str">
        <f>IFERROR(VLOOKUP(A4780,'[1]ST-QA-ZZ5'!$C$5:$M$299,11,0),"Inspection at production line")</f>
        <v>Inspection at production line</v>
      </c>
    </row>
    <row r="4781" spans="1:4" ht="13.8">
      <c r="A4781" s="47" t="s">
        <v>10627</v>
      </c>
      <c r="B4781" s="92" t="s">
        <v>10517</v>
      </c>
      <c r="C4781" s="92" t="s">
        <v>10628</v>
      </c>
      <c r="D4781" s="72" t="str">
        <f>IFERROR(VLOOKUP(A4781,'[1]ST-QA-ZZ5'!$C$5:$M$299,11,0),"Inspection at production line")</f>
        <v>Inspection at production line</v>
      </c>
    </row>
    <row r="4782" spans="1:4" ht="13.8">
      <c r="A4782" s="47" t="s">
        <v>10629</v>
      </c>
      <c r="B4782" s="92" t="s">
        <v>10524</v>
      </c>
      <c r="C4782" s="92" t="s">
        <v>10630</v>
      </c>
      <c r="D4782" s="72" t="str">
        <f>IFERROR(VLOOKUP(A4782,'[1]ST-QA-ZZ5'!$C$5:$M$299,11,0),"Inspection at production line")</f>
        <v>Inspection at production line</v>
      </c>
    </row>
    <row r="4783" spans="1:4" ht="13.8">
      <c r="A4783" s="47" t="s">
        <v>10631</v>
      </c>
      <c r="B4783" s="92" t="s">
        <v>10576</v>
      </c>
      <c r="C4783" s="92" t="s">
        <v>10632</v>
      </c>
      <c r="D4783" s="72" t="str">
        <f>IFERROR(VLOOKUP(A4783,'[1]ST-QA-ZZ5'!$C$5:$M$299,11,0),"Inspection at production line")</f>
        <v>Inspection at production line</v>
      </c>
    </row>
    <row r="4784" spans="1:4" ht="13.8">
      <c r="A4784" s="47" t="s">
        <v>10633</v>
      </c>
      <c r="B4784" s="92" t="s">
        <v>10517</v>
      </c>
      <c r="C4784" s="92" t="s">
        <v>10634</v>
      </c>
      <c r="D4784" s="72" t="str">
        <f>IFERROR(VLOOKUP(A4784,'[1]ST-QA-ZZ5'!$C$5:$M$299,11,0),"Inspection at production line")</f>
        <v>Inspection at production line</v>
      </c>
    </row>
    <row r="4785" spans="1:4" ht="13.8">
      <c r="A4785" s="47" t="s">
        <v>10635</v>
      </c>
      <c r="B4785" s="92" t="s">
        <v>10576</v>
      </c>
      <c r="C4785" s="92" t="s">
        <v>10636</v>
      </c>
      <c r="D4785" s="72" t="str">
        <f>IFERROR(VLOOKUP(A4785,'[1]ST-QA-ZZ5'!$C$5:$M$299,11,0),"Inspection at production line")</f>
        <v>Inspection at production line</v>
      </c>
    </row>
    <row r="4786" spans="1:4" ht="13.8">
      <c r="A4786" s="47" t="s">
        <v>10637</v>
      </c>
      <c r="B4786" s="92" t="s">
        <v>10517</v>
      </c>
      <c r="C4786" s="92" t="s">
        <v>10638</v>
      </c>
      <c r="D4786" s="72" t="str">
        <f>IFERROR(VLOOKUP(A4786,'[1]ST-QA-ZZ5'!$C$5:$M$299,11,0),"Inspection at production line")</f>
        <v>Inspection at production line</v>
      </c>
    </row>
    <row r="4787" spans="1:4" ht="13.8">
      <c r="A4787" s="47" t="s">
        <v>10639</v>
      </c>
      <c r="B4787" s="92" t="s">
        <v>10576</v>
      </c>
      <c r="C4787" s="92" t="s">
        <v>10640</v>
      </c>
      <c r="D4787" s="72" t="str">
        <f>IFERROR(VLOOKUP(A4787,'[1]ST-QA-ZZ5'!$C$5:$M$299,11,0),"Inspection at production line")</f>
        <v>Inspection at production line</v>
      </c>
    </row>
    <row r="4788" spans="1:4" ht="13.8">
      <c r="A4788" s="47" t="s">
        <v>10641</v>
      </c>
      <c r="B4788" s="92" t="s">
        <v>10576</v>
      </c>
      <c r="C4788" s="92" t="s">
        <v>10642</v>
      </c>
      <c r="D4788" s="72" t="str">
        <f>IFERROR(VLOOKUP(A4788,'[1]ST-QA-ZZ5'!$C$5:$M$299,11,0),"Inspection at production line")</f>
        <v>Inspection at production line</v>
      </c>
    </row>
    <row r="4789" spans="1:4" ht="13.8">
      <c r="A4789" s="47" t="s">
        <v>10643</v>
      </c>
      <c r="B4789" s="92" t="s">
        <v>10517</v>
      </c>
      <c r="C4789" s="92" t="s">
        <v>10644</v>
      </c>
      <c r="D4789" s="72" t="str">
        <f>IFERROR(VLOOKUP(A4789,'[1]ST-QA-ZZ5'!$C$5:$M$299,11,0),"Inspection at production line")</f>
        <v>Inspection at production line</v>
      </c>
    </row>
    <row r="4790" spans="1:4" ht="13.8">
      <c r="A4790" s="47" t="s">
        <v>10645</v>
      </c>
      <c r="B4790" s="92" t="s">
        <v>10576</v>
      </c>
      <c r="C4790" s="92" t="s">
        <v>10646</v>
      </c>
      <c r="D4790" s="72" t="str">
        <f>IFERROR(VLOOKUP(A4790,'[1]ST-QA-ZZ5'!$C$5:$M$299,11,0),"Inspection at production line")</f>
        <v>Inspection at production line</v>
      </c>
    </row>
    <row r="4791" spans="1:4" ht="13.8">
      <c r="A4791" s="47" t="s">
        <v>10647</v>
      </c>
      <c r="B4791" s="92" t="s">
        <v>10570</v>
      </c>
      <c r="C4791" s="92" t="s">
        <v>10648</v>
      </c>
      <c r="D4791" s="72" t="str">
        <f>IFERROR(VLOOKUP(A4791,'[1]ST-QA-ZZ5'!$C$5:$M$299,11,0),"Inspection at production line")</f>
        <v>Inspection at production line</v>
      </c>
    </row>
    <row r="4792" spans="1:4" ht="13.8">
      <c r="A4792" s="47" t="s">
        <v>10649</v>
      </c>
      <c r="B4792" s="92" t="s">
        <v>10517</v>
      </c>
      <c r="C4792" s="92" t="s">
        <v>10650</v>
      </c>
      <c r="D4792" s="72" t="str">
        <f>IFERROR(VLOOKUP(A4792,'[1]ST-QA-ZZ5'!$C$5:$M$299,11,0),"Inspection at production line")</f>
        <v>Inspection at production line</v>
      </c>
    </row>
    <row r="4793" spans="1:4" ht="13.8">
      <c r="A4793" s="47" t="s">
        <v>10651</v>
      </c>
      <c r="B4793" s="92" t="s">
        <v>10524</v>
      </c>
      <c r="C4793" s="92" t="s">
        <v>10652</v>
      </c>
      <c r="D4793" s="72" t="str">
        <f>IFERROR(VLOOKUP(A4793,'[1]ST-QA-ZZ5'!$C$5:$M$299,11,0),"Inspection at production line")</f>
        <v>Inspection at production line</v>
      </c>
    </row>
    <row r="4794" spans="1:4" ht="13.8">
      <c r="A4794" s="47" t="s">
        <v>10653</v>
      </c>
      <c r="B4794" s="92" t="s">
        <v>10602</v>
      </c>
      <c r="C4794" s="92" t="s">
        <v>10654</v>
      </c>
      <c r="D4794" s="72" t="str">
        <f>IFERROR(VLOOKUP(A4794,'[1]ST-QA-ZZ5'!$C$5:$M$299,11,0),"Inspection at production line")</f>
        <v>Inspection at production line</v>
      </c>
    </row>
    <row r="4795" spans="1:4" ht="13.8">
      <c r="A4795" s="47" t="s">
        <v>10655</v>
      </c>
      <c r="B4795" s="92" t="s">
        <v>10517</v>
      </c>
      <c r="C4795" s="92" t="s">
        <v>10656</v>
      </c>
      <c r="D4795" s="72" t="str">
        <f>IFERROR(VLOOKUP(A4795,'[1]ST-QA-ZZ5'!$C$5:$M$299,11,0),"Inspection at production line")</f>
        <v>Inspection at production line</v>
      </c>
    </row>
    <row r="4796" spans="1:4" ht="13.8">
      <c r="A4796" s="47" t="s">
        <v>10657</v>
      </c>
      <c r="B4796" s="92" t="s">
        <v>10517</v>
      </c>
      <c r="C4796" s="92" t="s">
        <v>10658</v>
      </c>
      <c r="D4796" s="72" t="str">
        <f>IFERROR(VLOOKUP(A4796,'[1]ST-QA-ZZ5'!$C$5:$M$299,11,0),"Inspection at production line")</f>
        <v>Inspection at production line</v>
      </c>
    </row>
    <row r="4797" spans="1:4" ht="13.8">
      <c r="A4797" s="47" t="s">
        <v>10659</v>
      </c>
      <c r="B4797" s="92" t="s">
        <v>10517</v>
      </c>
      <c r="C4797" s="92" t="s">
        <v>10660</v>
      </c>
      <c r="D4797" s="72" t="str">
        <f>IFERROR(VLOOKUP(A4797,'[1]ST-QA-ZZ5'!$C$5:$M$299,11,0),"Inspection at production line")</f>
        <v>Inspection at production line</v>
      </c>
    </row>
    <row r="4798" spans="1:4" ht="13.8">
      <c r="A4798" s="47" t="s">
        <v>10661</v>
      </c>
      <c r="B4798" s="92" t="s">
        <v>10517</v>
      </c>
      <c r="C4798" s="92" t="s">
        <v>10662</v>
      </c>
      <c r="D4798" s="72" t="str">
        <f>IFERROR(VLOOKUP(A4798,'[1]ST-QA-ZZ5'!$C$5:$M$299,11,0),"Inspection at production line")</f>
        <v>Inspection at production line</v>
      </c>
    </row>
    <row r="4799" spans="1:4" ht="13.8">
      <c r="A4799" s="47" t="s">
        <v>10663</v>
      </c>
      <c r="B4799" s="92" t="s">
        <v>10576</v>
      </c>
      <c r="C4799" s="92" t="s">
        <v>10664</v>
      </c>
      <c r="D4799" s="72" t="str">
        <f>IFERROR(VLOOKUP(A4799,'[1]ST-QA-ZZ5'!$C$5:$M$299,11,0),"Inspection at production line")</f>
        <v>Inspection at production line</v>
      </c>
    </row>
    <row r="4800" spans="1:4" ht="13.8">
      <c r="A4800" s="47" t="s">
        <v>10665</v>
      </c>
      <c r="B4800" s="92" t="s">
        <v>10524</v>
      </c>
      <c r="C4800" s="92" t="s">
        <v>10666</v>
      </c>
      <c r="D4800" s="72" t="str">
        <f>IFERROR(VLOOKUP(A4800,'[1]ST-QA-ZZ5'!$C$5:$M$299,11,0),"Inspection at production line")</f>
        <v>Inspection at production line</v>
      </c>
    </row>
    <row r="4801" spans="1:4" ht="13.8">
      <c r="A4801" s="47" t="s">
        <v>10667</v>
      </c>
      <c r="B4801" s="92" t="s">
        <v>10517</v>
      </c>
      <c r="C4801" s="92" t="s">
        <v>10668</v>
      </c>
      <c r="D4801" s="72" t="str">
        <f>IFERROR(VLOOKUP(A4801,'[1]ST-QA-ZZ5'!$C$5:$M$299,11,0),"Inspection at production line")</f>
        <v>Inspection at production line</v>
      </c>
    </row>
    <row r="4802" spans="1:4" ht="13.8">
      <c r="A4802" s="47" t="s">
        <v>10669</v>
      </c>
      <c r="B4802" s="92" t="s">
        <v>10524</v>
      </c>
      <c r="C4802" s="92" t="s">
        <v>10670</v>
      </c>
      <c r="D4802" s="72" t="str">
        <f>IFERROR(VLOOKUP(A4802,'[1]ST-QA-ZZ5'!$C$5:$M$299,11,0),"Inspection at production line")</f>
        <v>Inspection at production line</v>
      </c>
    </row>
    <row r="4803" spans="1:4" ht="13.8">
      <c r="A4803" s="47" t="s">
        <v>10671</v>
      </c>
      <c r="B4803" s="92" t="s">
        <v>10517</v>
      </c>
      <c r="C4803" s="92" t="s">
        <v>10672</v>
      </c>
      <c r="D4803" s="72" t="str">
        <f>IFERROR(VLOOKUP(A4803,'[1]ST-QA-ZZ5'!$C$5:$M$299,11,0),"Inspection at production line")</f>
        <v>Inspection at production line</v>
      </c>
    </row>
    <row r="4804" spans="1:4" ht="13.8">
      <c r="A4804" s="47" t="s">
        <v>10673</v>
      </c>
      <c r="B4804" s="92" t="s">
        <v>10674</v>
      </c>
      <c r="C4804" s="92" t="s">
        <v>10675</v>
      </c>
      <c r="D4804" s="72" t="str">
        <f>IFERROR(VLOOKUP(A4804,'[1]ST-QA-ZZ5'!$C$5:$M$299,11,0),"Inspection at production line")</f>
        <v>Inspection at production line</v>
      </c>
    </row>
    <row r="4805" spans="1:4" ht="13.8">
      <c r="A4805" s="47" t="s">
        <v>10676</v>
      </c>
      <c r="B4805" s="92" t="s">
        <v>10517</v>
      </c>
      <c r="C4805" s="92" t="s">
        <v>10677</v>
      </c>
      <c r="D4805" s="72" t="str">
        <f>IFERROR(VLOOKUP(A4805,'[1]ST-QA-ZZ5'!$C$5:$M$299,11,0),"Inspection at production line")</f>
        <v>Inspection at production line</v>
      </c>
    </row>
    <row r="4806" spans="1:4" ht="13.8">
      <c r="A4806" s="47" t="s">
        <v>10678</v>
      </c>
      <c r="B4806" s="92" t="s">
        <v>10531</v>
      </c>
      <c r="C4806" s="92" t="s">
        <v>10679</v>
      </c>
      <c r="D4806" s="72" t="str">
        <f>IFERROR(VLOOKUP(A4806,'[1]ST-QA-ZZ5'!$C$5:$M$299,11,0),"Inspection at production line")</f>
        <v>Inspection at production line</v>
      </c>
    </row>
    <row r="4807" spans="1:4" ht="13.8">
      <c r="A4807" s="47" t="s">
        <v>10680</v>
      </c>
      <c r="B4807" s="92" t="s">
        <v>10517</v>
      </c>
      <c r="C4807" s="92" t="s">
        <v>10681</v>
      </c>
      <c r="D4807" s="72" t="str">
        <f>IFERROR(VLOOKUP(A4807,'[1]ST-QA-ZZ5'!$C$5:$M$299,11,0),"Inspection at production line")</f>
        <v>Inspection at production line</v>
      </c>
    </row>
    <row r="4808" spans="1:4" ht="13.8">
      <c r="A4808" s="47" t="s">
        <v>10682</v>
      </c>
      <c r="B4808" s="92" t="s">
        <v>10524</v>
      </c>
      <c r="C4808" s="92" t="s">
        <v>10683</v>
      </c>
      <c r="D4808" s="72" t="str">
        <f>IFERROR(VLOOKUP(A4808,'[1]ST-QA-ZZ5'!$C$5:$M$299,11,0),"Inspection at production line")</f>
        <v>Inspection at production line</v>
      </c>
    </row>
    <row r="4809" spans="1:4" ht="13.8">
      <c r="A4809" s="47" t="s">
        <v>10684</v>
      </c>
      <c r="B4809" s="92" t="s">
        <v>10517</v>
      </c>
      <c r="C4809" s="92" t="s">
        <v>10685</v>
      </c>
      <c r="D4809" s="72" t="str">
        <f>IFERROR(VLOOKUP(A4809,'[1]ST-QA-ZZ5'!$C$5:$M$299,11,0),"Inspection at production line")</f>
        <v>Inspection at production line</v>
      </c>
    </row>
    <row r="4810" spans="1:4" ht="13.8">
      <c r="A4810" s="47" t="s">
        <v>10686</v>
      </c>
      <c r="B4810" s="92" t="s">
        <v>10576</v>
      </c>
      <c r="C4810" s="92" t="s">
        <v>10687</v>
      </c>
      <c r="D4810" s="72" t="str">
        <f>IFERROR(VLOOKUP(A4810,'[1]ST-QA-ZZ5'!$C$5:$M$299,11,0),"Inspection at production line")</f>
        <v>Inspection at production line</v>
      </c>
    </row>
    <row r="4811" spans="1:4" ht="13.8">
      <c r="A4811" s="47" t="s">
        <v>10688</v>
      </c>
      <c r="B4811" s="92" t="s">
        <v>10576</v>
      </c>
      <c r="C4811" s="92" t="s">
        <v>10689</v>
      </c>
      <c r="D4811" s="72" t="str">
        <f>IFERROR(VLOOKUP(A4811,'[1]ST-QA-ZZ5'!$C$5:$M$299,11,0),"Inspection at production line")</f>
        <v>Inspection at production line</v>
      </c>
    </row>
    <row r="4812" spans="1:4" ht="13.8">
      <c r="A4812" s="47" t="s">
        <v>10690</v>
      </c>
      <c r="B4812" s="92" t="s">
        <v>10517</v>
      </c>
      <c r="C4812" s="92" t="s">
        <v>10691</v>
      </c>
      <c r="D4812" s="72" t="str">
        <f>IFERROR(VLOOKUP(A4812,'[1]ST-QA-ZZ5'!$C$5:$M$299,11,0),"Inspection at production line")</f>
        <v>Inspection at production line</v>
      </c>
    </row>
    <row r="4813" spans="1:4" ht="13.8">
      <c r="A4813" s="47" t="s">
        <v>10692</v>
      </c>
      <c r="B4813" s="92" t="s">
        <v>10524</v>
      </c>
      <c r="C4813" s="92" t="s">
        <v>10693</v>
      </c>
      <c r="D4813" s="72" t="str">
        <f>IFERROR(VLOOKUP(A4813,'[1]ST-QA-ZZ5'!$C$5:$M$299,11,0),"Inspection at production line")</f>
        <v>Inspection at production line</v>
      </c>
    </row>
    <row r="4814" spans="1:4" ht="13.8">
      <c r="A4814" s="47" t="s">
        <v>10694</v>
      </c>
      <c r="B4814" s="92" t="s">
        <v>10517</v>
      </c>
      <c r="C4814" s="92" t="s">
        <v>10695</v>
      </c>
      <c r="D4814" s="72" t="str">
        <f>IFERROR(VLOOKUP(A4814,'[1]ST-QA-ZZ5'!$C$5:$M$299,11,0),"Inspection at production line")</f>
        <v>Inspection at production line</v>
      </c>
    </row>
    <row r="4815" spans="1:4" ht="13.8">
      <c r="A4815" s="47" t="s">
        <v>10696</v>
      </c>
      <c r="B4815" s="92" t="s">
        <v>10524</v>
      </c>
      <c r="C4815" s="92" t="s">
        <v>10697</v>
      </c>
      <c r="D4815" s="72" t="str">
        <f>IFERROR(VLOOKUP(A4815,'[1]ST-QA-ZZ5'!$C$5:$M$299,11,0),"Inspection at production line")</f>
        <v>Inspection at production line</v>
      </c>
    </row>
    <row r="4816" spans="1:4" ht="13.8">
      <c r="A4816" s="47" t="s">
        <v>10698</v>
      </c>
      <c r="B4816" s="92" t="s">
        <v>10517</v>
      </c>
      <c r="C4816" s="92" t="s">
        <v>10699</v>
      </c>
      <c r="D4816" s="72" t="str">
        <f>IFERROR(VLOOKUP(A4816,'[1]ST-QA-ZZ5'!$C$5:$M$299,11,0),"Inspection at production line")</f>
        <v>Inspection at production line</v>
      </c>
    </row>
    <row r="4817" spans="1:4" ht="13.8">
      <c r="A4817" s="47" t="s">
        <v>10700</v>
      </c>
      <c r="B4817" s="92" t="s">
        <v>10602</v>
      </c>
      <c r="C4817" s="92" t="s">
        <v>10701</v>
      </c>
      <c r="D4817" s="72" t="str">
        <f>IFERROR(VLOOKUP(A4817,'[1]ST-QA-ZZ5'!$C$5:$M$299,11,0),"Inspection at production line")</f>
        <v>Inspection at production line</v>
      </c>
    </row>
    <row r="4818" spans="1:4" ht="13.8">
      <c r="A4818" s="47" t="s">
        <v>10702</v>
      </c>
      <c r="B4818" s="92" t="s">
        <v>10531</v>
      </c>
      <c r="C4818" s="92" t="s">
        <v>10703</v>
      </c>
      <c r="D4818" s="72" t="str">
        <f>IFERROR(VLOOKUP(A4818,'[1]ST-QA-ZZ5'!$C$5:$M$299,11,0),"Inspection at production line")</f>
        <v>Inspection at production line</v>
      </c>
    </row>
    <row r="4819" spans="1:4" ht="13.8">
      <c r="A4819" s="47" t="s">
        <v>10704</v>
      </c>
      <c r="B4819" s="92" t="s">
        <v>10531</v>
      </c>
      <c r="C4819" s="92" t="s">
        <v>10705</v>
      </c>
      <c r="D4819" s="72" t="str">
        <f>IFERROR(VLOOKUP(A4819,'[1]ST-QA-ZZ5'!$C$5:$M$299,11,0),"Inspection at production line")</f>
        <v>Inspection at production line</v>
      </c>
    </row>
    <row r="4820" spans="1:4" ht="13.8">
      <c r="A4820" s="47" t="s">
        <v>10706</v>
      </c>
      <c r="B4820" s="92" t="s">
        <v>10570</v>
      </c>
      <c r="C4820" s="92" t="s">
        <v>10707</v>
      </c>
      <c r="D4820" s="72" t="str">
        <f>IFERROR(VLOOKUP(A4820,'[1]ST-QA-ZZ5'!$C$5:$M$299,11,0),"Inspection at production line")</f>
        <v>Inspection at production line</v>
      </c>
    </row>
    <row r="4821" spans="1:4" ht="13.8">
      <c r="A4821" s="47" t="s">
        <v>10708</v>
      </c>
      <c r="B4821" s="92" t="s">
        <v>10517</v>
      </c>
      <c r="C4821" s="92" t="s">
        <v>10709</v>
      </c>
      <c r="D4821" s="72" t="str">
        <f>IFERROR(VLOOKUP(A4821,'[1]ST-QA-ZZ5'!$C$5:$M$299,11,0),"Inspection at production line")</f>
        <v>Inspection at production line</v>
      </c>
    </row>
    <row r="4822" spans="1:4" ht="13.8">
      <c r="A4822" s="47" t="s">
        <v>10710</v>
      </c>
      <c r="B4822" s="92" t="s">
        <v>10576</v>
      </c>
      <c r="C4822" s="92" t="s">
        <v>10711</v>
      </c>
      <c r="D4822" s="72" t="str">
        <f>IFERROR(VLOOKUP(A4822,'[1]ST-QA-ZZ5'!$C$5:$M$299,11,0),"Inspection at production line")</f>
        <v>Inspection at production line</v>
      </c>
    </row>
    <row r="4823" spans="1:4" ht="13.8">
      <c r="A4823" s="47" t="s">
        <v>10712</v>
      </c>
      <c r="B4823" s="92" t="s">
        <v>10524</v>
      </c>
      <c r="C4823" s="92" t="s">
        <v>10713</v>
      </c>
      <c r="D4823" s="72" t="str">
        <f>IFERROR(VLOOKUP(A4823,'[1]ST-QA-ZZ5'!$C$5:$M$299,11,0),"Inspection at production line")</f>
        <v>Inspection at production line</v>
      </c>
    </row>
    <row r="4824" spans="1:4" ht="13.8">
      <c r="A4824" s="47" t="s">
        <v>10714</v>
      </c>
      <c r="B4824" s="92" t="s">
        <v>10570</v>
      </c>
      <c r="C4824" s="92" t="s">
        <v>10715</v>
      </c>
      <c r="D4824" s="72" t="str">
        <f>IFERROR(VLOOKUP(A4824,'[1]ST-QA-ZZ5'!$C$5:$M$299,11,0),"Inspection at production line")</f>
        <v>Inspection at production line</v>
      </c>
    </row>
    <row r="4825" spans="1:4" ht="13.8">
      <c r="A4825" s="47" t="s">
        <v>10716</v>
      </c>
      <c r="B4825" s="92" t="s">
        <v>10524</v>
      </c>
      <c r="C4825" s="92" t="s">
        <v>10717</v>
      </c>
      <c r="D4825" s="72" t="str">
        <f>IFERROR(VLOOKUP(A4825,'[1]ST-QA-ZZ5'!$C$5:$M$299,11,0),"Inspection at production line")</f>
        <v>Inspection at production line</v>
      </c>
    </row>
    <row r="4826" spans="1:4" ht="13.8">
      <c r="A4826" s="47" t="s">
        <v>10718</v>
      </c>
      <c r="B4826" s="92" t="s">
        <v>10517</v>
      </c>
      <c r="C4826" s="92" t="s">
        <v>10719</v>
      </c>
      <c r="D4826" s="72" t="str">
        <f>IFERROR(VLOOKUP(A4826,'[1]ST-QA-ZZ5'!$C$5:$M$299,11,0),"Inspection at production line")</f>
        <v>Inspection at production line</v>
      </c>
    </row>
    <row r="4827" spans="1:4" ht="13.8">
      <c r="A4827" s="47" t="s">
        <v>10720</v>
      </c>
      <c r="B4827" s="92" t="s">
        <v>10721</v>
      </c>
      <c r="C4827" s="92" t="s">
        <v>10722</v>
      </c>
      <c r="D4827" s="72" t="str">
        <f>IFERROR(VLOOKUP(A4827,'[1]ST-QA-ZZ5'!$C$5:$M$299,11,0),"Inspection at production line")</f>
        <v>Inspection at production line</v>
      </c>
    </row>
    <row r="4828" spans="1:4" ht="13.8">
      <c r="A4828" s="47" t="s">
        <v>10723</v>
      </c>
      <c r="B4828" s="92" t="s">
        <v>10517</v>
      </c>
      <c r="C4828" s="92" t="s">
        <v>10724</v>
      </c>
      <c r="D4828" s="72" t="str">
        <f>IFERROR(VLOOKUP(A4828,'[1]ST-QA-ZZ5'!$C$5:$M$299,11,0),"Inspection at production line")</f>
        <v>Inspection at production line</v>
      </c>
    </row>
    <row r="4829" spans="1:4" ht="13.8">
      <c r="A4829" s="47" t="s">
        <v>10725</v>
      </c>
      <c r="B4829" s="92" t="s">
        <v>10524</v>
      </c>
      <c r="C4829" s="92" t="s">
        <v>10726</v>
      </c>
      <c r="D4829" s="72" t="str">
        <f>IFERROR(VLOOKUP(A4829,'[1]ST-QA-ZZ5'!$C$5:$M$299,11,0),"Inspection at production line")</f>
        <v>Inspection at production line</v>
      </c>
    </row>
    <row r="4830" spans="1:4" ht="13.8">
      <c r="A4830" s="47" t="s">
        <v>10727</v>
      </c>
      <c r="B4830" s="92" t="s">
        <v>10517</v>
      </c>
      <c r="C4830" s="92" t="s">
        <v>10728</v>
      </c>
      <c r="D4830" s="72" t="str">
        <f>IFERROR(VLOOKUP(A4830,'[1]ST-QA-ZZ5'!$C$5:$M$299,11,0),"Inspection at production line")</f>
        <v>Inspection at production line</v>
      </c>
    </row>
    <row r="4831" spans="1:4" ht="13.8">
      <c r="A4831" s="47" t="s">
        <v>10729</v>
      </c>
      <c r="B4831" s="92" t="s">
        <v>10524</v>
      </c>
      <c r="C4831" s="92" t="s">
        <v>10730</v>
      </c>
      <c r="D4831" s="72" t="str">
        <f>IFERROR(VLOOKUP(A4831,'[1]ST-QA-ZZ5'!$C$5:$M$299,11,0),"Inspection at production line")</f>
        <v>Inspection at production line</v>
      </c>
    </row>
    <row r="4832" spans="1:4" ht="13.8">
      <c r="A4832" s="47" t="s">
        <v>10731</v>
      </c>
      <c r="B4832" s="92" t="s">
        <v>10570</v>
      </c>
      <c r="C4832" s="92" t="s">
        <v>10732</v>
      </c>
      <c r="D4832" s="72" t="str">
        <f>IFERROR(VLOOKUP(A4832,'[1]ST-QA-ZZ5'!$C$5:$M$299,11,0),"Inspection at production line")</f>
        <v>Inspection at production line</v>
      </c>
    </row>
    <row r="4833" spans="1:4" ht="13.8">
      <c r="A4833" s="47" t="s">
        <v>10733</v>
      </c>
      <c r="B4833" s="92" t="s">
        <v>10517</v>
      </c>
      <c r="C4833" s="92" t="s">
        <v>10734</v>
      </c>
      <c r="D4833" s="72" t="str">
        <f>IFERROR(VLOOKUP(A4833,'[1]ST-QA-ZZ5'!$C$5:$M$299,11,0),"Inspection at production line")</f>
        <v>Inspection at production line</v>
      </c>
    </row>
    <row r="4834" spans="1:4" ht="13.8">
      <c r="A4834" s="47" t="s">
        <v>10735</v>
      </c>
      <c r="B4834" s="92" t="s">
        <v>10531</v>
      </c>
      <c r="C4834" s="92" t="s">
        <v>10736</v>
      </c>
      <c r="D4834" s="72" t="str">
        <f>IFERROR(VLOOKUP(A4834,'[1]ST-QA-ZZ5'!$C$5:$M$299,11,0),"Inspection at production line")</f>
        <v>Inspection at production line</v>
      </c>
    </row>
    <row r="4835" spans="1:4" ht="13.8">
      <c r="A4835" s="47" t="s">
        <v>10737</v>
      </c>
      <c r="B4835" s="92" t="s">
        <v>10531</v>
      </c>
      <c r="C4835" s="92" t="s">
        <v>10738</v>
      </c>
      <c r="D4835" s="72" t="str">
        <f>IFERROR(VLOOKUP(A4835,'[1]ST-QA-ZZ5'!$C$5:$M$299,11,0),"Inspection at production line")</f>
        <v>Inspection at production line</v>
      </c>
    </row>
    <row r="4836" spans="1:4" ht="13.8">
      <c r="A4836" s="47" t="s">
        <v>10739</v>
      </c>
      <c r="B4836" s="92" t="s">
        <v>10721</v>
      </c>
      <c r="C4836" s="92" t="s">
        <v>10740</v>
      </c>
      <c r="D4836" s="72" t="str">
        <f>IFERROR(VLOOKUP(A4836,'[1]ST-QA-ZZ5'!$C$5:$M$299,11,0),"Inspection at production line")</f>
        <v>Inspection at production line</v>
      </c>
    </row>
    <row r="4837" spans="1:4" ht="13.8">
      <c r="A4837" s="47" t="s">
        <v>10741</v>
      </c>
      <c r="B4837" s="92" t="s">
        <v>10517</v>
      </c>
      <c r="C4837" s="92" t="s">
        <v>10742</v>
      </c>
      <c r="D4837" s="72" t="str">
        <f>IFERROR(VLOOKUP(A4837,'[1]ST-QA-ZZ5'!$C$5:$M$299,11,0),"Inspection at production line")</f>
        <v>Inspection at production line</v>
      </c>
    </row>
    <row r="4838" spans="1:4" ht="13.8">
      <c r="A4838" s="47" t="s">
        <v>10743</v>
      </c>
      <c r="B4838" s="92" t="s">
        <v>10517</v>
      </c>
      <c r="C4838" s="92" t="s">
        <v>10744</v>
      </c>
      <c r="D4838" s="72" t="str">
        <f>IFERROR(VLOOKUP(A4838,'[1]ST-QA-ZZ5'!$C$5:$M$299,11,0),"Inspection at production line")</f>
        <v>Inspection at production line</v>
      </c>
    </row>
    <row r="4839" spans="1:4" ht="13.8">
      <c r="A4839" s="47" t="s">
        <v>10745</v>
      </c>
      <c r="B4839" s="92" t="s">
        <v>10517</v>
      </c>
      <c r="C4839" s="92" t="s">
        <v>10746</v>
      </c>
      <c r="D4839" s="72" t="str">
        <f>IFERROR(VLOOKUP(A4839,'[1]ST-QA-ZZ5'!$C$5:$M$299,11,0),"Inspection at production line")</f>
        <v>Inspection at production line</v>
      </c>
    </row>
    <row r="4840" spans="1:4" ht="13.8">
      <c r="A4840" s="47" t="s">
        <v>10747</v>
      </c>
      <c r="B4840" s="92" t="s">
        <v>10517</v>
      </c>
      <c r="C4840" s="92" t="s">
        <v>10748</v>
      </c>
      <c r="D4840" s="72" t="str">
        <f>IFERROR(VLOOKUP(A4840,'[1]ST-QA-ZZ5'!$C$5:$M$299,11,0),"Inspection at production line")</f>
        <v>Inspection at production line</v>
      </c>
    </row>
    <row r="4841" spans="1:4" ht="13.8">
      <c r="A4841" s="47" t="s">
        <v>10749</v>
      </c>
      <c r="B4841" s="92" t="s">
        <v>10517</v>
      </c>
      <c r="C4841" s="92" t="s">
        <v>10750</v>
      </c>
      <c r="D4841" s="72" t="str">
        <f>IFERROR(VLOOKUP(A4841,'[1]ST-QA-ZZ5'!$C$5:$M$299,11,0),"Inspection at production line")</f>
        <v>Inspection at production line</v>
      </c>
    </row>
    <row r="4842" spans="1:4" ht="13.8">
      <c r="A4842" s="47" t="s">
        <v>10751</v>
      </c>
      <c r="B4842" s="92" t="s">
        <v>10517</v>
      </c>
      <c r="C4842" s="92" t="s">
        <v>10752</v>
      </c>
      <c r="D4842" s="72" t="str">
        <f>IFERROR(VLOOKUP(A4842,'[1]ST-QA-ZZ5'!$C$5:$M$299,11,0),"Inspection at production line")</f>
        <v>Inspection at production line</v>
      </c>
    </row>
    <row r="4843" spans="1:4" ht="13.8">
      <c r="A4843" s="47" t="s">
        <v>10753</v>
      </c>
      <c r="B4843" s="92" t="s">
        <v>10517</v>
      </c>
      <c r="C4843" s="92" t="s">
        <v>10754</v>
      </c>
      <c r="D4843" s="72" t="str">
        <f>IFERROR(VLOOKUP(A4843,'[1]ST-QA-ZZ5'!$C$5:$M$299,11,0),"Inspection at production line")</f>
        <v>Inspection at production line</v>
      </c>
    </row>
    <row r="4844" spans="1:4" ht="13.8">
      <c r="A4844" s="47" t="s">
        <v>10755</v>
      </c>
      <c r="B4844" s="92" t="s">
        <v>10517</v>
      </c>
      <c r="C4844" s="92" t="s">
        <v>10756</v>
      </c>
      <c r="D4844" s="72" t="str">
        <f>IFERROR(VLOOKUP(A4844,'[1]ST-QA-ZZ5'!$C$5:$M$299,11,0),"Inspection at production line")</f>
        <v>Inspection at production line</v>
      </c>
    </row>
    <row r="4845" spans="1:4" ht="13.8">
      <c r="A4845" s="47" t="s">
        <v>10757</v>
      </c>
      <c r="B4845" s="92" t="s">
        <v>10517</v>
      </c>
      <c r="C4845" s="92" t="s">
        <v>10758</v>
      </c>
      <c r="D4845" s="72" t="str">
        <f>IFERROR(VLOOKUP(A4845,'[1]ST-QA-ZZ5'!$C$5:$M$299,11,0),"Inspection at production line")</f>
        <v>Inspection at production line</v>
      </c>
    </row>
    <row r="4846" spans="1:4" ht="13.8">
      <c r="A4846" s="47" t="s">
        <v>10759</v>
      </c>
      <c r="B4846" s="92" t="s">
        <v>10517</v>
      </c>
      <c r="C4846" s="92" t="s">
        <v>10760</v>
      </c>
      <c r="D4846" s="72" t="str">
        <f>IFERROR(VLOOKUP(A4846,'[1]ST-QA-ZZ5'!$C$5:$M$299,11,0),"Inspection at production line")</f>
        <v>Inspection at production line</v>
      </c>
    </row>
    <row r="4847" spans="1:4" ht="13.8">
      <c r="A4847" s="47" t="s">
        <v>10761</v>
      </c>
      <c r="B4847" s="92" t="s">
        <v>10517</v>
      </c>
      <c r="C4847" s="92" t="s">
        <v>10762</v>
      </c>
      <c r="D4847" s="72" t="str">
        <f>IFERROR(VLOOKUP(A4847,'[1]ST-QA-ZZ5'!$C$5:$M$299,11,0),"Inspection at production line")</f>
        <v>Inspection at production line</v>
      </c>
    </row>
    <row r="4848" spans="1:4" ht="13.8">
      <c r="A4848" s="47" t="s">
        <v>10763</v>
      </c>
      <c r="B4848" s="92" t="s">
        <v>10764</v>
      </c>
      <c r="C4848" s="92" t="s">
        <v>10765</v>
      </c>
      <c r="D4848" s="72" t="str">
        <f>IFERROR(VLOOKUP(A4848,'[1]ST-QA-ZZ5'!$C$5:$M$299,11,0),"Inspection at production line")</f>
        <v>Inspection at production line</v>
      </c>
    </row>
    <row r="4849" spans="1:4" ht="13.8">
      <c r="A4849" s="47" t="s">
        <v>10766</v>
      </c>
      <c r="B4849" s="92" t="s">
        <v>10524</v>
      </c>
      <c r="C4849" s="92" t="s">
        <v>10767</v>
      </c>
      <c r="D4849" s="72" t="str">
        <f>IFERROR(VLOOKUP(A4849,'[1]ST-QA-ZZ5'!$C$5:$M$299,11,0),"Inspection at production line")</f>
        <v>Inspection at production line</v>
      </c>
    </row>
    <row r="4850" spans="1:4" ht="13.8">
      <c r="A4850" s="47" t="s">
        <v>10768</v>
      </c>
      <c r="B4850" s="92" t="s">
        <v>10517</v>
      </c>
      <c r="C4850" s="92" t="s">
        <v>10769</v>
      </c>
      <c r="D4850" s="72" t="str">
        <f>IFERROR(VLOOKUP(A4850,'[1]ST-QA-ZZ5'!$C$5:$M$299,11,0),"Inspection at production line")</f>
        <v>Inspection at production line</v>
      </c>
    </row>
    <row r="4851" spans="1:4" ht="13.8">
      <c r="A4851" s="47" t="s">
        <v>10770</v>
      </c>
      <c r="B4851" s="92" t="s">
        <v>10524</v>
      </c>
      <c r="C4851" s="92" t="s">
        <v>10771</v>
      </c>
      <c r="D4851" s="72" t="str">
        <f>IFERROR(VLOOKUP(A4851,'[1]ST-QA-ZZ5'!$C$5:$M$299,11,0),"Inspection at production line")</f>
        <v>Inspection at production line</v>
      </c>
    </row>
    <row r="4852" spans="1:4" ht="13.8">
      <c r="A4852" s="47" t="s">
        <v>10772</v>
      </c>
      <c r="B4852" s="92" t="s">
        <v>10570</v>
      </c>
      <c r="C4852" s="92" t="s">
        <v>10773</v>
      </c>
      <c r="D4852" s="72" t="str">
        <f>IFERROR(VLOOKUP(A4852,'[1]ST-QA-ZZ5'!$C$5:$M$299,11,0),"Inspection at production line")</f>
        <v>Inspection at production line</v>
      </c>
    </row>
    <row r="4853" spans="1:4" ht="13.8">
      <c r="A4853" s="47" t="s">
        <v>10774</v>
      </c>
      <c r="B4853" s="92" t="s">
        <v>10517</v>
      </c>
      <c r="C4853" s="92" t="s">
        <v>10775</v>
      </c>
      <c r="D4853" s="72" t="str">
        <f>IFERROR(VLOOKUP(A4853,'[1]ST-QA-ZZ5'!$C$5:$M$299,11,0),"Inspection at production line")</f>
        <v>Inspection at production line</v>
      </c>
    </row>
    <row r="4854" spans="1:4" ht="13.8">
      <c r="A4854" s="47" t="s">
        <v>10776</v>
      </c>
      <c r="B4854" s="92" t="s">
        <v>10517</v>
      </c>
      <c r="C4854" s="92" t="s">
        <v>10777</v>
      </c>
      <c r="D4854" s="72" t="str">
        <f>IFERROR(VLOOKUP(A4854,'[1]ST-QA-ZZ5'!$C$5:$M$299,11,0),"Inspection at production line")</f>
        <v>Inspection at production line</v>
      </c>
    </row>
    <row r="4855" spans="1:4" ht="13.8">
      <c r="A4855" s="47" t="s">
        <v>10778</v>
      </c>
      <c r="B4855" s="92" t="s">
        <v>10524</v>
      </c>
      <c r="C4855" s="92" t="s">
        <v>10779</v>
      </c>
      <c r="D4855" s="72" t="str">
        <f>IFERROR(VLOOKUP(A4855,'[1]ST-QA-ZZ5'!$C$5:$M$299,11,0),"Inspection at production line")</f>
        <v>Inspection at production line</v>
      </c>
    </row>
    <row r="4856" spans="1:4" ht="13.8">
      <c r="A4856" s="47" t="s">
        <v>10780</v>
      </c>
      <c r="B4856" s="92" t="s">
        <v>10602</v>
      </c>
      <c r="C4856" s="92" t="s">
        <v>10781</v>
      </c>
      <c r="D4856" s="72" t="str">
        <f>IFERROR(VLOOKUP(A4856,'[1]ST-QA-ZZ5'!$C$5:$M$299,11,0),"Inspection at production line")</f>
        <v>Inspection at production line</v>
      </c>
    </row>
    <row r="4857" spans="1:4" ht="13.8">
      <c r="A4857" s="47" t="s">
        <v>10782</v>
      </c>
      <c r="B4857" s="92" t="s">
        <v>10524</v>
      </c>
      <c r="C4857" s="92" t="s">
        <v>10783</v>
      </c>
      <c r="D4857" s="72" t="str">
        <f>IFERROR(VLOOKUP(A4857,'[1]ST-QA-ZZ5'!$C$5:$M$299,11,0),"Inspection at production line")</f>
        <v>Inspection at production line</v>
      </c>
    </row>
    <row r="4858" spans="1:4" ht="13.8">
      <c r="A4858" s="47" t="s">
        <v>10784</v>
      </c>
      <c r="B4858" s="92" t="s">
        <v>10531</v>
      </c>
      <c r="C4858" s="92" t="s">
        <v>10785</v>
      </c>
      <c r="D4858" s="72" t="str">
        <f>IFERROR(VLOOKUP(A4858,'[1]ST-QA-ZZ5'!$C$5:$M$299,11,0),"Inspection at production line")</f>
        <v>Inspection at production line</v>
      </c>
    </row>
    <row r="4859" spans="1:4" ht="13.8">
      <c r="A4859" s="47" t="s">
        <v>10786</v>
      </c>
      <c r="B4859" s="92" t="s">
        <v>10517</v>
      </c>
      <c r="C4859" s="92" t="s">
        <v>10787</v>
      </c>
      <c r="D4859" s="72" t="str">
        <f>IFERROR(VLOOKUP(A4859,'[1]ST-QA-ZZ5'!$C$5:$M$299,11,0),"Inspection at production line")</f>
        <v>Inspection at production line</v>
      </c>
    </row>
    <row r="4860" spans="1:4" ht="13.8">
      <c r="A4860" s="47" t="s">
        <v>10788</v>
      </c>
      <c r="B4860" s="92" t="s">
        <v>10524</v>
      </c>
      <c r="C4860" s="92" t="s">
        <v>10789</v>
      </c>
      <c r="D4860" s="72" t="str">
        <f>IFERROR(VLOOKUP(A4860,'[1]ST-QA-ZZ5'!$C$5:$M$299,11,0),"Inspection at production line")</f>
        <v>Inspection at production line</v>
      </c>
    </row>
    <row r="4861" spans="1:4" ht="13.8">
      <c r="A4861" s="47" t="s">
        <v>10790</v>
      </c>
      <c r="B4861" s="92" t="s">
        <v>10517</v>
      </c>
      <c r="C4861" s="92" t="s">
        <v>10791</v>
      </c>
      <c r="D4861" s="72" t="str">
        <f>IFERROR(VLOOKUP(A4861,'[1]ST-QA-ZZ5'!$C$5:$M$299,11,0),"Inspection at production line")</f>
        <v>Inspection at production line</v>
      </c>
    </row>
    <row r="4862" spans="1:4" ht="13.8">
      <c r="A4862" s="47" t="s">
        <v>10792</v>
      </c>
      <c r="B4862" s="92" t="s">
        <v>10524</v>
      </c>
      <c r="C4862" s="92" t="s">
        <v>10793</v>
      </c>
      <c r="D4862" s="72" t="str">
        <f>IFERROR(VLOOKUP(A4862,'[1]ST-QA-ZZ5'!$C$5:$M$299,11,0),"Inspection at production line")</f>
        <v>Inspection at production line</v>
      </c>
    </row>
    <row r="4863" spans="1:4" ht="13.8">
      <c r="A4863" s="47" t="s">
        <v>10794</v>
      </c>
      <c r="B4863" s="92" t="s">
        <v>174</v>
      </c>
      <c r="C4863" s="92" t="s">
        <v>10795</v>
      </c>
      <c r="D4863" s="72" t="str">
        <f>IFERROR(VLOOKUP(A4863,'[1]ST-QA-ZZ5'!$C$5:$M$299,11,0),"Inspection at production line")</f>
        <v>Inspection at production line</v>
      </c>
    </row>
    <row r="4864" spans="1:4" ht="13.8">
      <c r="A4864" s="47" t="s">
        <v>10796</v>
      </c>
      <c r="B4864" s="92" t="s">
        <v>174</v>
      </c>
      <c r="C4864" s="92" t="s">
        <v>10797</v>
      </c>
      <c r="D4864" s="72" t="str">
        <f>IFERROR(VLOOKUP(A4864,'[1]ST-QA-ZZ5'!$C$5:$M$299,11,0),"Inspection at production line")</f>
        <v>Inspection at production line</v>
      </c>
    </row>
    <row r="4865" spans="1:4" ht="13.8">
      <c r="A4865" s="47" t="s">
        <v>10798</v>
      </c>
      <c r="B4865" s="92" t="s">
        <v>10485</v>
      </c>
      <c r="C4865" s="92" t="s">
        <v>10799</v>
      </c>
      <c r="D4865" s="72" t="str">
        <f>IFERROR(VLOOKUP(A4865,'[1]ST-QA-ZZ5'!$C$5:$M$299,11,0),"Inspection at production line")</f>
        <v>Inspection at production line</v>
      </c>
    </row>
    <row r="4866" spans="1:4" ht="13.8">
      <c r="A4866" s="47" t="s">
        <v>10800</v>
      </c>
      <c r="B4866" s="92" t="s">
        <v>10458</v>
      </c>
      <c r="C4866" s="92" t="s">
        <v>10801</v>
      </c>
      <c r="D4866" s="72" t="str">
        <f>IFERROR(VLOOKUP(A4866,'[1]ST-QA-ZZ5'!$C$5:$M$299,11,0),"Inspection at production line")</f>
        <v>Inspection at production line</v>
      </c>
    </row>
    <row r="4867" spans="1:4" ht="13.8">
      <c r="A4867" s="47" t="s">
        <v>10802</v>
      </c>
      <c r="B4867" s="92" t="s">
        <v>10485</v>
      </c>
      <c r="C4867" s="92" t="s">
        <v>10803</v>
      </c>
      <c r="D4867" s="72" t="str">
        <f>IFERROR(VLOOKUP(A4867,'[1]ST-QA-ZZ5'!$C$5:$M$299,11,0),"Inspection at production line")</f>
        <v>Inspection at production line</v>
      </c>
    </row>
    <row r="4868" spans="1:4" ht="13.8">
      <c r="A4868" s="47" t="s">
        <v>10804</v>
      </c>
      <c r="B4868" s="92" t="s">
        <v>9823</v>
      </c>
      <c r="C4868" s="92" t="s">
        <v>10805</v>
      </c>
      <c r="D4868" s="72" t="str">
        <f>IFERROR(VLOOKUP(A4868,'[1]ST-QA-ZZ5'!$C$5:$M$299,11,0),"Inspection at production line")</f>
        <v>Inspection at production line</v>
      </c>
    </row>
    <row r="4869" spans="1:4" ht="13.8">
      <c r="A4869" s="47" t="s">
        <v>10806</v>
      </c>
      <c r="B4869" s="92" t="s">
        <v>10485</v>
      </c>
      <c r="C4869" s="92" t="s">
        <v>10807</v>
      </c>
      <c r="D4869" s="72" t="str">
        <f>IFERROR(VLOOKUP(A4869,'[1]ST-QA-ZZ5'!$C$5:$M$299,11,0),"Inspection at production line")</f>
        <v>Inspection at production line</v>
      </c>
    </row>
    <row r="4870" spans="1:4" ht="13.8">
      <c r="A4870" s="47" t="s">
        <v>10808</v>
      </c>
      <c r="B4870" s="92" t="s">
        <v>10809</v>
      </c>
      <c r="C4870" s="92" t="s">
        <v>10810</v>
      </c>
      <c r="D4870" s="72" t="str">
        <f>IFERROR(VLOOKUP(A4870,'[1]ST-QA-ZZ5'!$C$5:$M$299,11,0),"Inspection at production line")</f>
        <v>Inspection at production line</v>
      </c>
    </row>
    <row r="4871" spans="1:4" ht="13.8">
      <c r="A4871" s="47" t="s">
        <v>10811</v>
      </c>
      <c r="B4871" s="92" t="s">
        <v>10485</v>
      </c>
      <c r="C4871" s="92" t="s">
        <v>10812</v>
      </c>
      <c r="D4871" s="72" t="str">
        <f>IFERROR(VLOOKUP(A4871,'[1]ST-QA-ZZ5'!$C$5:$M$299,11,0),"Inspection at production line")</f>
        <v>Inspection at production line</v>
      </c>
    </row>
    <row r="4872" spans="1:4" ht="13.8">
      <c r="A4872" s="47" t="s">
        <v>10813</v>
      </c>
      <c r="B4872" s="92" t="s">
        <v>10814</v>
      </c>
      <c r="C4872" s="92" t="s">
        <v>10801</v>
      </c>
      <c r="D4872" s="72" t="str">
        <f>IFERROR(VLOOKUP(A4872,'[1]ST-QA-ZZ5'!$C$5:$M$299,11,0),"Inspection at production line")</f>
        <v>Inspection at production line</v>
      </c>
    </row>
    <row r="4873" spans="1:4" ht="13.8">
      <c r="A4873" s="47" t="s">
        <v>10815</v>
      </c>
      <c r="B4873" s="92" t="s">
        <v>10816</v>
      </c>
      <c r="C4873" s="92" t="s">
        <v>10803</v>
      </c>
      <c r="D4873" s="72" t="str">
        <f>IFERROR(VLOOKUP(A4873,'[1]ST-QA-ZZ5'!$C$5:$M$299,11,0),"Inspection at production line")</f>
        <v>Inspection at production line</v>
      </c>
    </row>
    <row r="4874" spans="1:4" ht="13.8">
      <c r="A4874" s="47" t="s">
        <v>10817</v>
      </c>
      <c r="B4874" s="92" t="s">
        <v>10818</v>
      </c>
      <c r="C4874" s="92" t="s">
        <v>10819</v>
      </c>
      <c r="D4874" s="72" t="str">
        <f>IFERROR(VLOOKUP(A4874,'[1]ST-QA-ZZ5'!$C$5:$M$299,11,0),"Inspection at production line")</f>
        <v>Inspection at production line</v>
      </c>
    </row>
    <row r="4875" spans="1:4" ht="13.8">
      <c r="A4875" s="47" t="s">
        <v>10820</v>
      </c>
      <c r="B4875" s="92" t="s">
        <v>10458</v>
      </c>
      <c r="C4875" s="92" t="s">
        <v>10453</v>
      </c>
      <c r="D4875" s="72" t="str">
        <f>IFERROR(VLOOKUP(A4875,'[1]ST-QA-ZZ5'!$C$5:$M$299,11,0),"Inspection at production line")</f>
        <v>Inspection at production line</v>
      </c>
    </row>
    <row r="4876" spans="1:4" ht="13.8">
      <c r="A4876" s="47" t="s">
        <v>10821</v>
      </c>
      <c r="B4876" s="92" t="s">
        <v>10822</v>
      </c>
      <c r="C4876" s="92" t="s">
        <v>10823</v>
      </c>
      <c r="D4876" s="72" t="str">
        <f>IFERROR(VLOOKUP(A4876,'[1]ST-QA-ZZ5'!$C$5:$M$299,11,0),"Inspection at production line")</f>
        <v>Inspection at production line</v>
      </c>
    </row>
    <row r="4877" spans="1:4" ht="13.8">
      <c r="A4877" s="47" t="s">
        <v>10824</v>
      </c>
      <c r="B4877" s="92" t="s">
        <v>10458</v>
      </c>
      <c r="C4877" s="92" t="s">
        <v>10825</v>
      </c>
      <c r="D4877" s="72" t="str">
        <f>IFERROR(VLOOKUP(A4877,'[1]ST-QA-ZZ5'!$C$5:$M$299,11,0),"Inspection at production line")</f>
        <v>Inspection at production line</v>
      </c>
    </row>
    <row r="4878" spans="1:4" ht="13.8">
      <c r="A4878" s="47" t="s">
        <v>10826</v>
      </c>
      <c r="B4878" s="92" t="s">
        <v>9823</v>
      </c>
      <c r="C4878" s="92" t="s">
        <v>10827</v>
      </c>
      <c r="D4878" s="72" t="str">
        <f>IFERROR(VLOOKUP(A4878,'[1]ST-QA-ZZ5'!$C$5:$M$299,11,0),"Inspection at production line")</f>
        <v>Inspection at production line</v>
      </c>
    </row>
    <row r="4879" spans="1:4" ht="13.8">
      <c r="A4879" s="47" t="s">
        <v>10828</v>
      </c>
      <c r="B4879" s="92" t="s">
        <v>10485</v>
      </c>
      <c r="C4879" s="92" t="s">
        <v>10829</v>
      </c>
      <c r="D4879" s="72" t="str">
        <f>IFERROR(VLOOKUP(A4879,'[1]ST-QA-ZZ5'!$C$5:$M$299,11,0),"Inspection at production line")</f>
        <v>Inspection at production line</v>
      </c>
    </row>
    <row r="4880" spans="1:4" ht="13.8">
      <c r="A4880" s="47" t="s">
        <v>10830</v>
      </c>
      <c r="B4880" s="92" t="s">
        <v>10576</v>
      </c>
      <c r="C4880" s="92" t="s">
        <v>10831</v>
      </c>
      <c r="D4880" s="72" t="str">
        <f>IFERROR(VLOOKUP(A4880,'[1]ST-QA-ZZ5'!$C$5:$M$299,11,0),"Inspection at production line")</f>
        <v>Inspection at production line</v>
      </c>
    </row>
    <row r="4881" spans="1:4" ht="13.8">
      <c r="A4881" s="47" t="s">
        <v>10832</v>
      </c>
      <c r="B4881" s="92" t="s">
        <v>10517</v>
      </c>
      <c r="C4881" s="92" t="s">
        <v>10833</v>
      </c>
      <c r="D4881" s="72" t="str">
        <f>IFERROR(VLOOKUP(A4881,'[1]ST-QA-ZZ5'!$C$5:$M$299,11,0),"Inspection at production line")</f>
        <v>Inspection at production line</v>
      </c>
    </row>
    <row r="4882" spans="1:4" ht="13.8">
      <c r="A4882" s="47" t="s">
        <v>10834</v>
      </c>
      <c r="B4882" s="92" t="s">
        <v>10517</v>
      </c>
      <c r="C4882" s="92" t="s">
        <v>10560</v>
      </c>
      <c r="D4882" s="72" t="str">
        <f>IFERROR(VLOOKUP(A4882,'[1]ST-QA-ZZ5'!$C$5:$M$299,11,0),"Inspection at production line")</f>
        <v>Inspection at production line</v>
      </c>
    </row>
    <row r="4883" spans="1:4" ht="13.8">
      <c r="A4883" s="47" t="s">
        <v>10835</v>
      </c>
      <c r="B4883" s="92" t="s">
        <v>10517</v>
      </c>
      <c r="C4883" s="92" t="s">
        <v>10836</v>
      </c>
      <c r="D4883" s="72" t="str">
        <f>IFERROR(VLOOKUP(A4883,'[1]ST-QA-ZZ5'!$C$5:$M$299,11,0),"Inspection at production line")</f>
        <v>Inspection at production line</v>
      </c>
    </row>
    <row r="4884" spans="1:4" ht="13.8">
      <c r="A4884" s="47" t="s">
        <v>10837</v>
      </c>
      <c r="B4884" s="92" t="s">
        <v>10524</v>
      </c>
      <c r="C4884" s="92" t="s">
        <v>10838</v>
      </c>
      <c r="D4884" s="72" t="str">
        <f>IFERROR(VLOOKUP(A4884,'[1]ST-QA-ZZ5'!$C$5:$M$299,11,0),"Inspection at production line")</f>
        <v>Inspection at production line</v>
      </c>
    </row>
    <row r="4885" spans="1:4" ht="13.8">
      <c r="A4885" s="47" t="s">
        <v>10839</v>
      </c>
      <c r="B4885" s="92" t="s">
        <v>10517</v>
      </c>
      <c r="C4885" s="92" t="s">
        <v>10840</v>
      </c>
      <c r="D4885" s="72" t="str">
        <f>IFERROR(VLOOKUP(A4885,'[1]ST-QA-ZZ5'!$C$5:$M$299,11,0),"Inspection at production line")</f>
        <v>Inspection at production line</v>
      </c>
    </row>
    <row r="4886" spans="1:4" ht="13.8">
      <c r="A4886" s="47" t="s">
        <v>10841</v>
      </c>
      <c r="B4886" s="92" t="s">
        <v>10581</v>
      </c>
      <c r="C4886" s="92" t="s">
        <v>10842</v>
      </c>
      <c r="D4886" s="72" t="str">
        <f>IFERROR(VLOOKUP(A4886,'[1]ST-QA-ZZ5'!$C$5:$M$299,11,0),"Inspection at production line")</f>
        <v>Inspection at production line</v>
      </c>
    </row>
    <row r="4887" spans="1:4" ht="13.8">
      <c r="A4887" s="47" t="s">
        <v>10843</v>
      </c>
      <c r="B4887" s="92" t="s">
        <v>10517</v>
      </c>
      <c r="C4887" s="92" t="s">
        <v>10844</v>
      </c>
      <c r="D4887" s="72" t="str">
        <f>IFERROR(VLOOKUP(A4887,'[1]ST-QA-ZZ5'!$C$5:$M$299,11,0),"Inspection at production line")</f>
        <v>Inspection at production line</v>
      </c>
    </row>
    <row r="4888" spans="1:4" ht="13.8">
      <c r="A4888" s="47" t="s">
        <v>10845</v>
      </c>
      <c r="B4888" s="92" t="s">
        <v>10517</v>
      </c>
      <c r="C4888" s="92" t="s">
        <v>10846</v>
      </c>
      <c r="D4888" s="72" t="str">
        <f>IFERROR(VLOOKUP(A4888,'[1]ST-QA-ZZ5'!$C$5:$M$299,11,0),"Inspection at production line")</f>
        <v>Inspection at production line</v>
      </c>
    </row>
    <row r="4889" spans="1:4" ht="13.8">
      <c r="A4889" s="47" t="s">
        <v>10847</v>
      </c>
      <c r="B4889" s="92" t="s">
        <v>10517</v>
      </c>
      <c r="C4889" s="92" t="s">
        <v>10848</v>
      </c>
      <c r="D4889" s="72" t="str">
        <f>IFERROR(VLOOKUP(A4889,'[1]ST-QA-ZZ5'!$C$5:$M$299,11,0),"Inspection at production line")</f>
        <v>Inspection at production line</v>
      </c>
    </row>
    <row r="4890" spans="1:4" ht="13.8">
      <c r="A4890" s="47" t="s">
        <v>10849</v>
      </c>
      <c r="B4890" s="92" t="s">
        <v>10517</v>
      </c>
      <c r="C4890" s="92" t="s">
        <v>10850</v>
      </c>
      <c r="D4890" s="72" t="str">
        <f>IFERROR(VLOOKUP(A4890,'[1]ST-QA-ZZ5'!$C$5:$M$299,11,0),"Inspection at production line")</f>
        <v>Inspection at production line</v>
      </c>
    </row>
    <row r="4891" spans="1:4" ht="13.8">
      <c r="A4891" s="47" t="s">
        <v>10851</v>
      </c>
      <c r="B4891" s="92" t="s">
        <v>10517</v>
      </c>
      <c r="C4891" s="92" t="s">
        <v>10852</v>
      </c>
      <c r="D4891" s="72" t="str">
        <f>IFERROR(VLOOKUP(A4891,'[1]ST-QA-ZZ5'!$C$5:$M$299,11,0),"Inspection at production line")</f>
        <v>Inspection at production line</v>
      </c>
    </row>
    <row r="4892" spans="1:4" ht="13.8">
      <c r="A4892" s="47" t="s">
        <v>10853</v>
      </c>
      <c r="B4892" s="92" t="s">
        <v>10517</v>
      </c>
      <c r="C4892" s="92" t="s">
        <v>10854</v>
      </c>
      <c r="D4892" s="72" t="str">
        <f>IFERROR(VLOOKUP(A4892,'[1]ST-QA-ZZ5'!$C$5:$M$299,11,0),"Inspection at production line")</f>
        <v>Inspection at production line</v>
      </c>
    </row>
    <row r="4893" spans="1:4" ht="13.8">
      <c r="A4893" s="47" t="s">
        <v>10855</v>
      </c>
      <c r="B4893" s="92" t="s">
        <v>10570</v>
      </c>
      <c r="C4893" s="92" t="s">
        <v>10856</v>
      </c>
      <c r="D4893" s="72" t="str">
        <f>IFERROR(VLOOKUP(A4893,'[1]ST-QA-ZZ5'!$C$5:$M$299,11,0),"Inspection at production line")</f>
        <v>Inspection at production line</v>
      </c>
    </row>
    <row r="4894" spans="1:4" ht="13.8">
      <c r="A4894" s="47" t="s">
        <v>10857</v>
      </c>
      <c r="B4894" s="92" t="s">
        <v>10674</v>
      </c>
      <c r="C4894" s="92" t="s">
        <v>10858</v>
      </c>
      <c r="D4894" s="72" t="str">
        <f>IFERROR(VLOOKUP(A4894,'[1]ST-QA-ZZ5'!$C$5:$M$299,11,0),"Inspection at production line")</f>
        <v>Inspection at production line</v>
      </c>
    </row>
    <row r="4895" spans="1:4" ht="13.8">
      <c r="A4895" s="47" t="s">
        <v>10859</v>
      </c>
      <c r="B4895" s="92" t="s">
        <v>10531</v>
      </c>
      <c r="C4895" s="92" t="s">
        <v>10860</v>
      </c>
      <c r="D4895" s="72" t="str">
        <f>IFERROR(VLOOKUP(A4895,'[1]ST-QA-ZZ5'!$C$5:$M$299,11,0),"Inspection at production line")</f>
        <v>Inspection at production line</v>
      </c>
    </row>
    <row r="4896" spans="1:4" ht="13.8">
      <c r="A4896" s="47" t="s">
        <v>10861</v>
      </c>
      <c r="B4896" s="92" t="s">
        <v>10576</v>
      </c>
      <c r="C4896" s="92" t="s">
        <v>10862</v>
      </c>
      <c r="D4896" s="72" t="str">
        <f>IFERROR(VLOOKUP(A4896,'[1]ST-QA-ZZ5'!$C$5:$M$299,11,0),"Inspection at production line")</f>
        <v>Inspection at production line</v>
      </c>
    </row>
    <row r="4897" spans="1:4" ht="13.8">
      <c r="A4897" s="47" t="s">
        <v>10863</v>
      </c>
      <c r="B4897" s="92" t="s">
        <v>10524</v>
      </c>
      <c r="C4897" s="92" t="s">
        <v>10864</v>
      </c>
      <c r="D4897" s="72" t="str">
        <f>IFERROR(VLOOKUP(A4897,'[1]ST-QA-ZZ5'!$C$5:$M$299,11,0),"Inspection at production line")</f>
        <v>Inspection at production line</v>
      </c>
    </row>
    <row r="4898" spans="1:4" ht="13.8">
      <c r="A4898" s="47" t="s">
        <v>10865</v>
      </c>
      <c r="B4898" s="92" t="s">
        <v>4772</v>
      </c>
      <c r="C4898" s="92" t="s">
        <v>10866</v>
      </c>
      <c r="D4898" s="72" t="str">
        <f>IFERROR(VLOOKUP(A4898,'[1]ST-QA-ZZ5'!$C$5:$M$299,11,0),"Inspection at production line")</f>
        <v>Inspection at production line</v>
      </c>
    </row>
    <row r="4899" spans="1:4" ht="13.8">
      <c r="A4899" s="47" t="s">
        <v>10867</v>
      </c>
      <c r="B4899" s="92" t="s">
        <v>10570</v>
      </c>
      <c r="C4899" s="92" t="s">
        <v>10868</v>
      </c>
      <c r="D4899" s="72" t="str">
        <f>IFERROR(VLOOKUP(A4899,'[1]ST-QA-ZZ5'!$C$5:$M$299,11,0),"Inspection at production line")</f>
        <v>Inspection at production line</v>
      </c>
    </row>
    <row r="4900" spans="1:4" ht="13.8">
      <c r="A4900" s="47" t="s">
        <v>10869</v>
      </c>
      <c r="B4900" s="92" t="s">
        <v>10517</v>
      </c>
      <c r="C4900" s="92" t="s">
        <v>10870</v>
      </c>
      <c r="D4900" s="72" t="str">
        <f>IFERROR(VLOOKUP(A4900,'[1]ST-QA-ZZ5'!$C$5:$M$299,11,0),"Inspection at production line")</f>
        <v>Inspection at production line</v>
      </c>
    </row>
    <row r="4901" spans="1:4" ht="13.8">
      <c r="A4901" s="47" t="s">
        <v>10871</v>
      </c>
      <c r="B4901" s="92" t="s">
        <v>10517</v>
      </c>
      <c r="C4901" s="92" t="s">
        <v>10872</v>
      </c>
      <c r="D4901" s="72" t="str">
        <f>IFERROR(VLOOKUP(A4901,'[1]ST-QA-ZZ5'!$C$5:$M$299,11,0),"Inspection at production line")</f>
        <v>Inspection at production line</v>
      </c>
    </row>
    <row r="4902" spans="1:4" ht="13.8">
      <c r="A4902" s="47" t="s">
        <v>10873</v>
      </c>
      <c r="B4902" s="92" t="s">
        <v>10517</v>
      </c>
      <c r="C4902" s="92" t="s">
        <v>10874</v>
      </c>
      <c r="D4902" s="72" t="str">
        <f>IFERROR(VLOOKUP(A4902,'[1]ST-QA-ZZ5'!$C$5:$M$299,11,0),"Inspection at production line")</f>
        <v>Inspection at production line</v>
      </c>
    </row>
    <row r="4903" spans="1:4" ht="13.8">
      <c r="A4903" s="47" t="s">
        <v>10875</v>
      </c>
      <c r="B4903" s="92" t="s">
        <v>10524</v>
      </c>
      <c r="C4903" s="92" t="s">
        <v>10876</v>
      </c>
      <c r="D4903" s="72" t="str">
        <f>IFERROR(VLOOKUP(A4903,'[1]ST-QA-ZZ5'!$C$5:$M$299,11,0),"Inspection at production line")</f>
        <v>Inspection at production line</v>
      </c>
    </row>
    <row r="4904" spans="1:4" ht="13.8">
      <c r="A4904" s="47" t="s">
        <v>10877</v>
      </c>
      <c r="B4904" s="92" t="s">
        <v>10517</v>
      </c>
      <c r="C4904" s="92" t="s">
        <v>10878</v>
      </c>
      <c r="D4904" s="72" t="str">
        <f>IFERROR(VLOOKUP(A4904,'[1]ST-QA-ZZ5'!$C$5:$M$299,11,0),"Inspection at production line")</f>
        <v>Inspection at production line</v>
      </c>
    </row>
    <row r="4905" spans="1:4" ht="13.8">
      <c r="A4905" s="47" t="s">
        <v>10879</v>
      </c>
      <c r="B4905" s="92" t="s">
        <v>10517</v>
      </c>
      <c r="C4905" s="92" t="s">
        <v>10880</v>
      </c>
      <c r="D4905" s="72" t="str">
        <f>IFERROR(VLOOKUP(A4905,'[1]ST-QA-ZZ5'!$C$5:$M$299,11,0),"Inspection at production line")</f>
        <v>Inspection at production line</v>
      </c>
    </row>
    <row r="4906" spans="1:4" ht="13.8">
      <c r="A4906" s="47" t="s">
        <v>10881</v>
      </c>
      <c r="B4906" s="92" t="s">
        <v>10721</v>
      </c>
      <c r="C4906" s="92" t="s">
        <v>10882</v>
      </c>
      <c r="D4906" s="72" t="str">
        <f>IFERROR(VLOOKUP(A4906,'[1]ST-QA-ZZ5'!$C$5:$M$299,11,0),"Inspection at production line")</f>
        <v>Inspection at production line</v>
      </c>
    </row>
    <row r="4907" spans="1:4" ht="13.8">
      <c r="A4907" s="47" t="s">
        <v>10883</v>
      </c>
      <c r="B4907" s="92" t="s">
        <v>10517</v>
      </c>
      <c r="C4907" s="92" t="s">
        <v>10884</v>
      </c>
      <c r="D4907" s="72" t="str">
        <f>IFERROR(VLOOKUP(A4907,'[1]ST-QA-ZZ5'!$C$5:$M$299,11,0),"Inspection at production line")</f>
        <v>Inspection at production line</v>
      </c>
    </row>
    <row r="4908" spans="1:4" ht="13.8">
      <c r="A4908" s="47" t="s">
        <v>10885</v>
      </c>
      <c r="B4908" s="92" t="s">
        <v>10517</v>
      </c>
      <c r="C4908" s="92" t="s">
        <v>10886</v>
      </c>
      <c r="D4908" s="72" t="str">
        <f>IFERROR(VLOOKUP(A4908,'[1]ST-QA-ZZ5'!$C$5:$M$299,11,0),"Inspection at production line")</f>
        <v>Inspection at production line</v>
      </c>
    </row>
    <row r="4909" spans="1:4" ht="13.8">
      <c r="A4909" s="47" t="s">
        <v>10887</v>
      </c>
      <c r="B4909" s="92" t="s">
        <v>10517</v>
      </c>
      <c r="C4909" s="92" t="s">
        <v>10888</v>
      </c>
      <c r="D4909" s="72" t="str">
        <f>IFERROR(VLOOKUP(A4909,'[1]ST-QA-ZZ5'!$C$5:$M$299,11,0),"Inspection at production line")</f>
        <v>Inspection at production line</v>
      </c>
    </row>
    <row r="4910" spans="1:4" ht="13.8">
      <c r="A4910" s="47" t="s">
        <v>10889</v>
      </c>
      <c r="B4910" s="92" t="s">
        <v>10570</v>
      </c>
      <c r="C4910" s="92" t="s">
        <v>10890</v>
      </c>
      <c r="D4910" s="72" t="str">
        <f>IFERROR(VLOOKUP(A4910,'[1]ST-QA-ZZ5'!$C$5:$M$299,11,0),"Inspection at production line")</f>
        <v>Inspection at production line</v>
      </c>
    </row>
    <row r="4911" spans="1:4" ht="13.8">
      <c r="A4911" s="47" t="s">
        <v>10891</v>
      </c>
      <c r="B4911" s="92" t="s">
        <v>10524</v>
      </c>
      <c r="C4911" s="92" t="s">
        <v>10892</v>
      </c>
      <c r="D4911" s="72" t="str">
        <f>IFERROR(VLOOKUP(A4911,'[1]ST-QA-ZZ5'!$C$5:$M$299,11,0),"Inspection at production line")</f>
        <v>Inspection at production line</v>
      </c>
    </row>
    <row r="4912" spans="1:4" ht="13.8">
      <c r="A4912" s="47" t="s">
        <v>10893</v>
      </c>
      <c r="B4912" s="92" t="s">
        <v>2205</v>
      </c>
      <c r="C4912" s="92" t="s">
        <v>10894</v>
      </c>
      <c r="D4912" s="72" t="str">
        <f>IFERROR(VLOOKUP(A4912,'[1]ST-QA-ZZ5'!$C$5:$M$299,11,0),"Inspection at production line")</f>
        <v>Inspection at production line</v>
      </c>
    </row>
    <row r="4913" spans="1:4" ht="13.8">
      <c r="A4913" s="47" t="s">
        <v>10895</v>
      </c>
      <c r="B4913" s="92" t="s">
        <v>10602</v>
      </c>
      <c r="C4913" s="92" t="s">
        <v>10896</v>
      </c>
      <c r="D4913" s="72" t="str">
        <f>IFERROR(VLOOKUP(A4913,'[1]ST-QA-ZZ5'!$C$5:$M$299,11,0),"Inspection at production line")</f>
        <v>Inspection at production line</v>
      </c>
    </row>
    <row r="4914" spans="1:4" ht="13.8">
      <c r="A4914" s="47" t="s">
        <v>10897</v>
      </c>
      <c r="B4914" s="92" t="s">
        <v>10524</v>
      </c>
      <c r="C4914" s="92" t="s">
        <v>10898</v>
      </c>
      <c r="D4914" s="72" t="str">
        <f>IFERROR(VLOOKUP(A4914,'[1]ST-QA-ZZ5'!$C$5:$M$299,11,0),"Inspection at production line")</f>
        <v>Inspection at production line</v>
      </c>
    </row>
    <row r="4915" spans="1:4" ht="13.8">
      <c r="A4915" s="47" t="s">
        <v>10899</v>
      </c>
      <c r="B4915" s="92" t="s">
        <v>10602</v>
      </c>
      <c r="C4915" s="92" t="s">
        <v>10900</v>
      </c>
      <c r="D4915" s="72" t="str">
        <f>IFERROR(VLOOKUP(A4915,'[1]ST-QA-ZZ5'!$C$5:$M$299,11,0),"Inspection at production line")</f>
        <v>Inspection at production line</v>
      </c>
    </row>
    <row r="4916" spans="1:4" ht="13.8">
      <c r="A4916" s="47" t="s">
        <v>10901</v>
      </c>
      <c r="B4916" s="92" t="s">
        <v>10517</v>
      </c>
      <c r="C4916" s="92" t="s">
        <v>10560</v>
      </c>
      <c r="D4916" s="72" t="str">
        <f>IFERROR(VLOOKUP(A4916,'[1]ST-QA-ZZ5'!$C$5:$M$299,11,0),"Inspection at production line")</f>
        <v>Inspection at production line</v>
      </c>
    </row>
    <row r="4917" spans="1:4" ht="13.8">
      <c r="A4917" s="47" t="s">
        <v>10902</v>
      </c>
      <c r="B4917" s="92" t="s">
        <v>10524</v>
      </c>
      <c r="C4917" s="92" t="s">
        <v>10903</v>
      </c>
      <c r="D4917" s="72" t="str">
        <f>IFERROR(VLOOKUP(A4917,'[1]ST-QA-ZZ5'!$C$5:$M$299,11,0),"Inspection at production line")</f>
        <v>Inspection at production line</v>
      </c>
    </row>
    <row r="4918" spans="1:4" ht="13.8">
      <c r="A4918" s="47" t="s">
        <v>10904</v>
      </c>
      <c r="B4918" s="92" t="s">
        <v>10517</v>
      </c>
      <c r="C4918" s="92" t="s">
        <v>10905</v>
      </c>
      <c r="D4918" s="72" t="str">
        <f>IFERROR(VLOOKUP(A4918,'[1]ST-QA-ZZ5'!$C$5:$M$299,11,0),"Inspection at production line")</f>
        <v>Inspection at production line</v>
      </c>
    </row>
    <row r="4919" spans="1:4" ht="13.8">
      <c r="A4919" s="47" t="s">
        <v>10906</v>
      </c>
      <c r="B4919" s="92" t="s">
        <v>10517</v>
      </c>
      <c r="C4919" s="92" t="s">
        <v>10907</v>
      </c>
      <c r="D4919" s="72" t="str">
        <f>IFERROR(VLOOKUP(A4919,'[1]ST-QA-ZZ5'!$C$5:$M$299,11,0),"Inspection at production line")</f>
        <v>Inspection at production line</v>
      </c>
    </row>
    <row r="4920" spans="1:4" ht="13.8">
      <c r="A4920" s="47" t="s">
        <v>10908</v>
      </c>
      <c r="B4920" s="92" t="s">
        <v>10517</v>
      </c>
      <c r="C4920" s="92" t="s">
        <v>10909</v>
      </c>
      <c r="D4920" s="72" t="str">
        <f>IFERROR(VLOOKUP(A4920,'[1]ST-QA-ZZ5'!$C$5:$M$299,11,0),"Inspection at production line")</f>
        <v>Inspection at production line</v>
      </c>
    </row>
    <row r="4921" spans="1:4" ht="13.8">
      <c r="A4921" s="47" t="s">
        <v>10910</v>
      </c>
      <c r="B4921" s="92" t="s">
        <v>10517</v>
      </c>
      <c r="C4921" s="92" t="s">
        <v>10911</v>
      </c>
      <c r="D4921" s="72" t="str">
        <f>IFERROR(VLOOKUP(A4921,'[1]ST-QA-ZZ5'!$C$5:$M$299,11,0),"Inspection at production line")</f>
        <v>Inspection at production line</v>
      </c>
    </row>
    <row r="4922" spans="1:4" ht="13.8">
      <c r="A4922" s="47" t="s">
        <v>10912</v>
      </c>
      <c r="B4922" s="92" t="s">
        <v>10517</v>
      </c>
      <c r="C4922" s="92" t="s">
        <v>10913</v>
      </c>
      <c r="D4922" s="72" t="str">
        <f>IFERROR(VLOOKUP(A4922,'[1]ST-QA-ZZ5'!$C$5:$M$299,11,0),"Inspection at production line")</f>
        <v>Inspection at production line</v>
      </c>
    </row>
    <row r="4923" spans="1:4" ht="13.8">
      <c r="A4923" s="47" t="s">
        <v>10914</v>
      </c>
      <c r="B4923" s="92" t="s">
        <v>10524</v>
      </c>
      <c r="C4923" s="92" t="s">
        <v>10915</v>
      </c>
      <c r="D4923" s="72" t="str">
        <f>IFERROR(VLOOKUP(A4923,'[1]ST-QA-ZZ5'!$C$5:$M$299,11,0),"Inspection at production line")</f>
        <v>Inspection at production line</v>
      </c>
    </row>
    <row r="4924" spans="1:4" ht="13.8">
      <c r="A4924" s="47" t="s">
        <v>10916</v>
      </c>
      <c r="B4924" s="92" t="s">
        <v>10517</v>
      </c>
      <c r="C4924" s="92" t="s">
        <v>10621</v>
      </c>
      <c r="D4924" s="72" t="str">
        <f>IFERROR(VLOOKUP(A4924,'[1]ST-QA-ZZ5'!$C$5:$M$299,11,0),"Inspection at production line")</f>
        <v>Inspection at production line</v>
      </c>
    </row>
    <row r="4925" spans="1:4" ht="13.8">
      <c r="A4925" s="47" t="s">
        <v>10917</v>
      </c>
      <c r="B4925" s="92" t="s">
        <v>10517</v>
      </c>
      <c r="C4925" s="92" t="s">
        <v>10918</v>
      </c>
      <c r="D4925" s="72" t="str">
        <f>IFERROR(VLOOKUP(A4925,'[1]ST-QA-ZZ5'!$C$5:$M$299,11,0),"Inspection at production line")</f>
        <v>Inspection at production line</v>
      </c>
    </row>
    <row r="4926" spans="1:4" ht="13.8">
      <c r="A4926" s="47" t="s">
        <v>10919</v>
      </c>
      <c r="B4926" s="92" t="s">
        <v>10517</v>
      </c>
      <c r="C4926" s="92" t="s">
        <v>10880</v>
      </c>
      <c r="D4926" s="72" t="str">
        <f>IFERROR(VLOOKUP(A4926,'[1]ST-QA-ZZ5'!$C$5:$M$299,11,0),"Inspection at production line")</f>
        <v>Inspection at production line</v>
      </c>
    </row>
    <row r="4927" spans="1:4" ht="13.8">
      <c r="A4927" s="47" t="s">
        <v>10920</v>
      </c>
      <c r="B4927" s="92" t="s">
        <v>10517</v>
      </c>
      <c r="C4927" s="92" t="s">
        <v>10921</v>
      </c>
      <c r="D4927" s="72" t="str">
        <f>IFERROR(VLOOKUP(A4927,'[1]ST-QA-ZZ5'!$C$5:$M$299,11,0),"Inspection at production line")</f>
        <v>Inspection at production line</v>
      </c>
    </row>
    <row r="4928" spans="1:4" ht="13.8">
      <c r="A4928" s="47" t="s">
        <v>10922</v>
      </c>
      <c r="B4928" s="92" t="s">
        <v>10517</v>
      </c>
      <c r="C4928" s="92" t="s">
        <v>10923</v>
      </c>
      <c r="D4928" s="72" t="str">
        <f>IFERROR(VLOOKUP(A4928,'[1]ST-QA-ZZ5'!$C$5:$M$299,11,0),"Inspection at production line")</f>
        <v>Inspection at production line</v>
      </c>
    </row>
    <row r="4929" spans="1:4" ht="13.8">
      <c r="A4929" s="47" t="s">
        <v>10924</v>
      </c>
      <c r="B4929" s="92" t="s">
        <v>10517</v>
      </c>
      <c r="C4929" s="92" t="s">
        <v>10560</v>
      </c>
      <c r="D4929" s="72" t="str">
        <f>IFERROR(VLOOKUP(A4929,'[1]ST-QA-ZZ5'!$C$5:$M$299,11,0),"Inspection at production line")</f>
        <v>Inspection at production line</v>
      </c>
    </row>
    <row r="4930" spans="1:4" ht="13.8">
      <c r="A4930" s="47" t="s">
        <v>10925</v>
      </c>
      <c r="B4930" s="92" t="s">
        <v>10517</v>
      </c>
      <c r="C4930" s="92" t="s">
        <v>10833</v>
      </c>
      <c r="D4930" s="72" t="str">
        <f>IFERROR(VLOOKUP(A4930,'[1]ST-QA-ZZ5'!$C$5:$M$299,11,0),"Inspection at production line")</f>
        <v>Inspection at production line</v>
      </c>
    </row>
    <row r="4931" spans="1:4" ht="13.8">
      <c r="A4931" s="47" t="s">
        <v>10926</v>
      </c>
      <c r="B4931" s="92" t="s">
        <v>10517</v>
      </c>
      <c r="C4931" s="92" t="s">
        <v>10927</v>
      </c>
      <c r="D4931" s="72" t="str">
        <f>IFERROR(VLOOKUP(A4931,'[1]ST-QA-ZZ5'!$C$5:$M$299,11,0),"Inspection at production line")</f>
        <v>Inspection at production line</v>
      </c>
    </row>
    <row r="4932" spans="1:4" ht="13.8">
      <c r="A4932" s="47" t="s">
        <v>10928</v>
      </c>
      <c r="B4932" s="92" t="s">
        <v>10517</v>
      </c>
      <c r="C4932" s="92" t="s">
        <v>10929</v>
      </c>
      <c r="D4932" s="72" t="str">
        <f>IFERROR(VLOOKUP(A4932,'[1]ST-QA-ZZ5'!$C$5:$M$299,11,0),"Inspection at production line")</f>
        <v>Inspection at production line</v>
      </c>
    </row>
    <row r="4933" spans="1:4" ht="13.8">
      <c r="A4933" s="47" t="s">
        <v>10930</v>
      </c>
      <c r="B4933" s="92" t="s">
        <v>10517</v>
      </c>
      <c r="C4933" s="92" t="s">
        <v>10748</v>
      </c>
      <c r="D4933" s="72" t="str">
        <f>IFERROR(VLOOKUP(A4933,'[1]ST-QA-ZZ5'!$C$5:$M$299,11,0),"Inspection at production line")</f>
        <v>Inspection at production line</v>
      </c>
    </row>
    <row r="4934" spans="1:4" ht="13.8">
      <c r="A4934" s="47" t="s">
        <v>10931</v>
      </c>
      <c r="B4934" s="92" t="s">
        <v>10517</v>
      </c>
      <c r="C4934" s="92" t="s">
        <v>10932</v>
      </c>
      <c r="D4934" s="72" t="str">
        <f>IFERROR(VLOOKUP(A4934,'[1]ST-QA-ZZ5'!$C$5:$M$299,11,0),"Inspection at production line")</f>
        <v>Inspection at production line</v>
      </c>
    </row>
    <row r="4935" spans="1:4" ht="13.8">
      <c r="A4935" s="47" t="s">
        <v>10933</v>
      </c>
      <c r="B4935" s="92" t="s">
        <v>10524</v>
      </c>
      <c r="C4935" s="92" t="s">
        <v>10934</v>
      </c>
      <c r="D4935" s="72" t="str">
        <f>IFERROR(VLOOKUP(A4935,'[1]ST-QA-ZZ5'!$C$5:$M$299,11,0),"Inspection at production line")</f>
        <v>Inspection at production line</v>
      </c>
    </row>
    <row r="4936" spans="1:4" ht="13.8">
      <c r="A4936" s="47" t="s">
        <v>10935</v>
      </c>
      <c r="B4936" s="92" t="s">
        <v>10517</v>
      </c>
      <c r="C4936" s="92" t="s">
        <v>10936</v>
      </c>
      <c r="D4936" s="72" t="str">
        <f>IFERROR(VLOOKUP(A4936,'[1]ST-QA-ZZ5'!$C$5:$M$299,11,0),"Inspection at production line")</f>
        <v>Inspection at production line</v>
      </c>
    </row>
    <row r="4937" spans="1:4" ht="13.8">
      <c r="A4937" s="47" t="s">
        <v>10937</v>
      </c>
      <c r="B4937" s="92" t="s">
        <v>10517</v>
      </c>
      <c r="C4937" s="92" t="s">
        <v>10938</v>
      </c>
      <c r="D4937" s="72" t="str">
        <f>IFERROR(VLOOKUP(A4937,'[1]ST-QA-ZZ5'!$C$5:$M$299,11,0),"Inspection at production line")</f>
        <v>Inspection at production line</v>
      </c>
    </row>
    <row r="4938" spans="1:4" ht="13.8">
      <c r="A4938" s="47" t="s">
        <v>10939</v>
      </c>
      <c r="B4938" s="92" t="s">
        <v>10517</v>
      </c>
      <c r="C4938" s="92" t="s">
        <v>10940</v>
      </c>
      <c r="D4938" s="72" t="str">
        <f>IFERROR(VLOOKUP(A4938,'[1]ST-QA-ZZ5'!$C$5:$M$299,11,0),"Inspection at production line")</f>
        <v>Inspection at production line</v>
      </c>
    </row>
    <row r="4939" spans="1:4" ht="13.8">
      <c r="A4939" s="47" t="s">
        <v>10941</v>
      </c>
      <c r="B4939" s="92" t="s">
        <v>10517</v>
      </c>
      <c r="C4939" s="94" t="s">
        <v>10942</v>
      </c>
      <c r="D4939" s="72" t="str">
        <f>IFERROR(VLOOKUP(A4939,'[1]ST-QA-ZZ5'!$C$5:$M$299,11,0),"Inspection at production line")</f>
        <v>Inspection at production line</v>
      </c>
    </row>
    <row r="4940" spans="1:4" ht="13.8">
      <c r="A4940" s="47" t="s">
        <v>10943</v>
      </c>
      <c r="B4940" s="92" t="s">
        <v>10517</v>
      </c>
      <c r="C4940" s="92" t="s">
        <v>10762</v>
      </c>
      <c r="D4940" s="72" t="str">
        <f>IFERROR(VLOOKUP(A4940,'[1]ST-QA-ZZ5'!$C$5:$M$299,11,0),"Inspection at production line")</f>
        <v>Inspection at production line</v>
      </c>
    </row>
    <row r="4941" spans="1:4" ht="13.8">
      <c r="A4941" s="47" t="s">
        <v>10944</v>
      </c>
      <c r="B4941" s="92" t="s">
        <v>10517</v>
      </c>
      <c r="C4941" s="92" t="s">
        <v>10945</v>
      </c>
      <c r="D4941" s="72" t="str">
        <f>IFERROR(VLOOKUP(A4941,'[1]ST-QA-ZZ5'!$C$5:$M$299,11,0),"Inspection at production line")</f>
        <v>Inspection at production line</v>
      </c>
    </row>
    <row r="4942" spans="1:4" ht="13.8">
      <c r="A4942" s="47" t="s">
        <v>10946</v>
      </c>
      <c r="B4942" s="92" t="s">
        <v>10517</v>
      </c>
      <c r="C4942" s="92" t="s">
        <v>10833</v>
      </c>
      <c r="D4942" s="72" t="str">
        <f>IFERROR(VLOOKUP(A4942,'[1]ST-QA-ZZ5'!$C$5:$M$299,11,0),"Inspection at production line")</f>
        <v>Inspection at production line</v>
      </c>
    </row>
    <row r="4943" spans="1:4" ht="13.8">
      <c r="A4943" s="47" t="s">
        <v>10947</v>
      </c>
      <c r="B4943" s="92" t="s">
        <v>10517</v>
      </c>
      <c r="C4943" s="92" t="s">
        <v>10948</v>
      </c>
      <c r="D4943" s="72" t="str">
        <f>IFERROR(VLOOKUP(A4943,'[1]ST-QA-ZZ5'!$C$5:$M$299,11,0),"Inspection at production line")</f>
        <v>Inspection at production line</v>
      </c>
    </row>
    <row r="4944" spans="1:4" ht="13.8">
      <c r="A4944" s="47" t="s">
        <v>10949</v>
      </c>
      <c r="B4944" s="92" t="s">
        <v>10517</v>
      </c>
      <c r="C4944" s="92" t="s">
        <v>10950</v>
      </c>
      <c r="D4944" s="72" t="str">
        <f>IFERROR(VLOOKUP(A4944,'[1]ST-QA-ZZ5'!$C$5:$M$299,11,0),"Inspection at production line")</f>
        <v>Inspection at production line</v>
      </c>
    </row>
    <row r="4945" spans="1:4" ht="13.8">
      <c r="A4945" s="47" t="s">
        <v>10951</v>
      </c>
      <c r="B4945" s="92" t="s">
        <v>10517</v>
      </c>
      <c r="C4945" s="92" t="s">
        <v>10836</v>
      </c>
      <c r="D4945" s="72" t="str">
        <f>IFERROR(VLOOKUP(A4945,'[1]ST-QA-ZZ5'!$C$5:$M$299,11,0),"Inspection at production line")</f>
        <v>Inspection at production line</v>
      </c>
    </row>
    <row r="4946" spans="1:4" ht="13.8">
      <c r="A4946" s="47" t="s">
        <v>10952</v>
      </c>
      <c r="B4946" s="92" t="s">
        <v>10517</v>
      </c>
      <c r="C4946" s="92" t="s">
        <v>10953</v>
      </c>
      <c r="D4946" s="72" t="str">
        <f>IFERROR(VLOOKUP(A4946,'[1]ST-QA-ZZ5'!$C$5:$M$299,11,0),"Inspection at production line")</f>
        <v>Inspection at production line</v>
      </c>
    </row>
    <row r="4947" spans="1:4" ht="13.8">
      <c r="A4947" s="47" t="s">
        <v>10954</v>
      </c>
      <c r="B4947" s="92" t="s">
        <v>10517</v>
      </c>
      <c r="C4947" s="92" t="s">
        <v>10955</v>
      </c>
      <c r="D4947" s="72" t="str">
        <f>IFERROR(VLOOKUP(A4947,'[1]ST-QA-ZZ5'!$C$5:$M$299,11,0),"Inspection at production line")</f>
        <v>Inspection at production line</v>
      </c>
    </row>
    <row r="4948" spans="1:4" ht="13.8">
      <c r="A4948" s="47" t="s">
        <v>10956</v>
      </c>
      <c r="B4948" s="92" t="s">
        <v>10517</v>
      </c>
      <c r="C4948" s="92" t="s">
        <v>10957</v>
      </c>
      <c r="D4948" s="72" t="str">
        <f>IFERROR(VLOOKUP(A4948,'[1]ST-QA-ZZ5'!$C$5:$M$299,11,0),"Inspection at production line")</f>
        <v>Inspection at production line</v>
      </c>
    </row>
    <row r="4949" spans="1:4" ht="13.8">
      <c r="A4949" s="47" t="s">
        <v>10958</v>
      </c>
      <c r="B4949" s="92" t="s">
        <v>10517</v>
      </c>
      <c r="C4949" s="92" t="s">
        <v>10959</v>
      </c>
      <c r="D4949" s="72" t="str">
        <f>IFERROR(VLOOKUP(A4949,'[1]ST-QA-ZZ5'!$C$5:$M$299,11,0),"Inspection at production line")</f>
        <v>Inspection at production line</v>
      </c>
    </row>
    <row r="4950" spans="1:4" ht="13.8">
      <c r="A4950" s="47" t="s">
        <v>10960</v>
      </c>
      <c r="B4950" s="92" t="s">
        <v>10531</v>
      </c>
      <c r="C4950" s="92" t="s">
        <v>10961</v>
      </c>
      <c r="D4950" s="72" t="str">
        <f>IFERROR(VLOOKUP(A4950,'[1]ST-QA-ZZ5'!$C$5:$M$299,11,0),"Inspection at production line")</f>
        <v>Inspection at production line</v>
      </c>
    </row>
    <row r="4951" spans="1:4" ht="13.8">
      <c r="A4951" s="47" t="s">
        <v>10962</v>
      </c>
      <c r="B4951" s="92" t="s">
        <v>10517</v>
      </c>
      <c r="C4951" s="92" t="s">
        <v>10963</v>
      </c>
      <c r="D4951" s="72" t="str">
        <f>IFERROR(VLOOKUP(A4951,'[1]ST-QA-ZZ5'!$C$5:$M$299,11,0),"Inspection at production line")</f>
        <v>Inspection at production line</v>
      </c>
    </row>
    <row r="4952" spans="1:4" ht="13.8">
      <c r="A4952" s="47" t="s">
        <v>10964</v>
      </c>
      <c r="B4952" s="92" t="s">
        <v>10524</v>
      </c>
      <c r="C4952" s="92" t="s">
        <v>10965</v>
      </c>
      <c r="D4952" s="72" t="str">
        <f>IFERROR(VLOOKUP(A4952,'[1]ST-QA-ZZ5'!$C$5:$M$299,11,0),"Inspection at production line")</f>
        <v>Inspection at production line</v>
      </c>
    </row>
    <row r="4953" spans="1:4" ht="13.8">
      <c r="A4953" s="47" t="s">
        <v>10966</v>
      </c>
      <c r="B4953" s="92" t="s">
        <v>10517</v>
      </c>
      <c r="C4953" s="92" t="s">
        <v>10967</v>
      </c>
      <c r="D4953" s="72" t="str">
        <f>IFERROR(VLOOKUP(A4953,'[1]ST-QA-ZZ5'!$C$5:$M$299,11,0),"Inspection at production line")</f>
        <v>Inspection at production line</v>
      </c>
    </row>
    <row r="4954" spans="1:4" ht="13.8">
      <c r="A4954" s="47" t="s">
        <v>10968</v>
      </c>
      <c r="B4954" s="92" t="s">
        <v>10531</v>
      </c>
      <c r="C4954" s="92" t="s">
        <v>10969</v>
      </c>
      <c r="D4954" s="72" t="str">
        <f>IFERROR(VLOOKUP(A4954,'[1]ST-QA-ZZ5'!$C$5:$M$299,11,0),"Inspection at production line")</f>
        <v>Inspection at production line</v>
      </c>
    </row>
    <row r="4955" spans="1:4" ht="13.8">
      <c r="A4955" s="47" t="s">
        <v>10970</v>
      </c>
      <c r="B4955" s="92" t="s">
        <v>10517</v>
      </c>
      <c r="C4955" s="92" t="s">
        <v>10971</v>
      </c>
      <c r="D4955" s="72" t="str">
        <f>IFERROR(VLOOKUP(A4955,'[1]ST-QA-ZZ5'!$C$5:$M$299,11,0),"Inspection at production line")</f>
        <v>Inspection at production line</v>
      </c>
    </row>
    <row r="4956" spans="1:4" ht="13.8">
      <c r="A4956" s="47" t="s">
        <v>10972</v>
      </c>
      <c r="B4956" s="92" t="s">
        <v>10524</v>
      </c>
      <c r="C4956" s="92" t="s">
        <v>10973</v>
      </c>
      <c r="D4956" s="72" t="str">
        <f>IFERROR(VLOOKUP(A4956,'[1]ST-QA-ZZ5'!$C$5:$M$299,11,0),"Inspection at production line")</f>
        <v>Inspection at production line</v>
      </c>
    </row>
    <row r="4957" spans="1:4" ht="13.8">
      <c r="A4957" s="47" t="s">
        <v>10974</v>
      </c>
      <c r="B4957" s="92" t="s">
        <v>10524</v>
      </c>
      <c r="C4957" s="92" t="s">
        <v>10975</v>
      </c>
      <c r="D4957" s="72" t="str">
        <f>IFERROR(VLOOKUP(A4957,'[1]ST-QA-ZZ5'!$C$5:$M$299,11,0),"Inspection at production line")</f>
        <v>Inspection at production line</v>
      </c>
    </row>
    <row r="4958" spans="1:4" ht="13.8">
      <c r="A4958" s="47" t="s">
        <v>10976</v>
      </c>
      <c r="B4958" s="92" t="s">
        <v>10517</v>
      </c>
      <c r="C4958" s="92" t="s">
        <v>10977</v>
      </c>
      <c r="D4958" s="72" t="str">
        <f>IFERROR(VLOOKUP(A4958,'[1]ST-QA-ZZ5'!$C$5:$M$299,11,0),"Inspection at production line")</f>
        <v>Inspection at production line</v>
      </c>
    </row>
    <row r="4959" spans="1:4" ht="13.8">
      <c r="A4959" s="47" t="s">
        <v>10978</v>
      </c>
      <c r="B4959" s="92" t="s">
        <v>10517</v>
      </c>
      <c r="C4959" s="92" t="s">
        <v>10979</v>
      </c>
      <c r="D4959" s="72" t="str">
        <f>IFERROR(VLOOKUP(A4959,'[1]ST-QA-ZZ5'!$C$5:$M$299,11,0),"Inspection at production line")</f>
        <v>Inspection at production line</v>
      </c>
    </row>
    <row r="4960" spans="1:4" ht="13.8">
      <c r="A4960" s="47" t="s">
        <v>10980</v>
      </c>
      <c r="B4960" s="92" t="s">
        <v>10517</v>
      </c>
      <c r="C4960" s="92" t="s">
        <v>10981</v>
      </c>
      <c r="D4960" s="72" t="str">
        <f>IFERROR(VLOOKUP(A4960,'[1]ST-QA-ZZ5'!$C$5:$M$299,11,0),"Inspection at production line")</f>
        <v>Inspection at production line</v>
      </c>
    </row>
    <row r="4961" spans="1:4" ht="13.8">
      <c r="A4961" s="47" t="s">
        <v>10982</v>
      </c>
      <c r="B4961" s="92" t="s">
        <v>10524</v>
      </c>
      <c r="C4961" s="92" t="s">
        <v>10983</v>
      </c>
      <c r="D4961" s="72" t="str">
        <f>IFERROR(VLOOKUP(A4961,'[1]ST-QA-ZZ5'!$C$5:$M$299,11,0),"Inspection at production line")</f>
        <v>Inspection at production line</v>
      </c>
    </row>
    <row r="4962" spans="1:4" ht="13.8">
      <c r="A4962" s="47" t="s">
        <v>10984</v>
      </c>
      <c r="B4962" s="92" t="s">
        <v>10517</v>
      </c>
      <c r="C4962" s="92" t="s">
        <v>10985</v>
      </c>
      <c r="D4962" s="72" t="str">
        <f>IFERROR(VLOOKUP(A4962,'[1]ST-QA-ZZ5'!$C$5:$M$299,11,0),"Inspection at production line")</f>
        <v>Inspection at production line</v>
      </c>
    </row>
    <row r="4963" spans="1:4" ht="13.8">
      <c r="A4963" s="47" t="s">
        <v>10986</v>
      </c>
      <c r="B4963" s="92" t="s">
        <v>10721</v>
      </c>
      <c r="C4963" s="92" t="s">
        <v>10987</v>
      </c>
      <c r="D4963" s="72" t="str">
        <f>IFERROR(VLOOKUP(A4963,'[1]ST-QA-ZZ5'!$C$5:$M$299,11,0),"Inspection at production line")</f>
        <v>Inspection at production line</v>
      </c>
    </row>
    <row r="4964" spans="1:4" ht="13.8">
      <c r="A4964" s="47" t="s">
        <v>10988</v>
      </c>
      <c r="B4964" s="92" t="s">
        <v>174</v>
      </c>
      <c r="C4964" s="92" t="s">
        <v>10989</v>
      </c>
      <c r="D4964" s="72" t="str">
        <f>IFERROR(VLOOKUP(A4964,'[1]ST-QA-ZZ5'!$C$5:$M$299,11,0),"Inspection at production line")</f>
        <v>Inspection at production line</v>
      </c>
    </row>
    <row r="4965" spans="1:4" ht="13.8">
      <c r="A4965" s="47" t="s">
        <v>10990</v>
      </c>
      <c r="B4965" s="92" t="s">
        <v>10991</v>
      </c>
      <c r="C4965" s="92" t="s">
        <v>10434</v>
      </c>
      <c r="D4965" s="72" t="str">
        <f>IFERROR(VLOOKUP(A4965,'[1]ST-QA-ZZ5'!$C$5:$M$299,11,0),"Inspection at production line")</f>
        <v>Inspection at production line</v>
      </c>
    </row>
    <row r="4966" spans="1:4" ht="13.8">
      <c r="A4966" s="47" t="s">
        <v>10992</v>
      </c>
      <c r="B4966" s="92" t="s">
        <v>10991</v>
      </c>
      <c r="C4966" s="92" t="s">
        <v>10993</v>
      </c>
      <c r="D4966" s="72" t="str">
        <f>IFERROR(VLOOKUP(A4966,'[1]ST-QA-ZZ5'!$C$5:$M$299,11,0),"Inspection at production line")</f>
        <v>Inspection at production line</v>
      </c>
    </row>
    <row r="4967" spans="1:4" ht="13.8">
      <c r="A4967" s="47" t="s">
        <v>10994</v>
      </c>
      <c r="B4967" s="92" t="s">
        <v>10485</v>
      </c>
      <c r="C4967" s="92" t="s">
        <v>10995</v>
      </c>
      <c r="D4967" s="72" t="str">
        <f>IFERROR(VLOOKUP(A4967,'[1]ST-QA-ZZ5'!$C$5:$M$299,11,0),"Inspection at production line")</f>
        <v>Inspection at production line</v>
      </c>
    </row>
    <row r="4968" spans="1:4" ht="13.8">
      <c r="A4968" s="47" t="s">
        <v>10996</v>
      </c>
      <c r="B4968" s="92" t="s">
        <v>10485</v>
      </c>
      <c r="C4968" s="92" t="s">
        <v>10997</v>
      </c>
      <c r="D4968" s="72" t="str">
        <f>IFERROR(VLOOKUP(A4968,'[1]ST-QA-ZZ5'!$C$5:$M$299,11,0),"Inspection at production line")</f>
        <v>Inspection at production line</v>
      </c>
    </row>
    <row r="4969" spans="1:4" ht="13.8">
      <c r="A4969" s="47" t="s">
        <v>10998</v>
      </c>
      <c r="B4969" s="92" t="s">
        <v>10991</v>
      </c>
      <c r="C4969" s="92" t="s">
        <v>10434</v>
      </c>
      <c r="D4969" s="72" t="str">
        <f>IFERROR(VLOOKUP(A4969,'[1]ST-QA-ZZ5'!$C$5:$M$299,11,0),"Inspection at production line")</f>
        <v>Inspection at production line</v>
      </c>
    </row>
    <row r="4970" spans="1:4" ht="13.8">
      <c r="A4970" s="47" t="s">
        <v>10999</v>
      </c>
      <c r="B4970" s="92" t="s">
        <v>10485</v>
      </c>
      <c r="C4970" s="92" t="s">
        <v>11000</v>
      </c>
      <c r="D4970" s="72" t="str">
        <f>IFERROR(VLOOKUP(A4970,'[1]ST-QA-ZZ5'!$C$5:$M$299,11,0),"Inspection at production line")</f>
        <v>Inspection at production line</v>
      </c>
    </row>
    <row r="4971" spans="1:4" ht="13.8">
      <c r="A4971" s="47" t="s">
        <v>11001</v>
      </c>
      <c r="B4971" s="92" t="s">
        <v>10485</v>
      </c>
      <c r="C4971" s="92" t="s">
        <v>11002</v>
      </c>
      <c r="D4971" s="72" t="str">
        <f>IFERROR(VLOOKUP(A4971,'[1]ST-QA-ZZ5'!$C$5:$M$299,11,0),"Inspection at production line")</f>
        <v>Inspection at production line</v>
      </c>
    </row>
    <row r="4972" spans="1:4" ht="13.8">
      <c r="A4972" s="47" t="s">
        <v>11003</v>
      </c>
      <c r="B4972" s="92" t="s">
        <v>10991</v>
      </c>
      <c r="C4972" s="92" t="s">
        <v>10440</v>
      </c>
      <c r="D4972" s="72" t="str">
        <f>IFERROR(VLOOKUP(A4972,'[1]ST-QA-ZZ5'!$C$5:$M$299,11,0),"Inspection at production line")</f>
        <v>Inspection at production line</v>
      </c>
    </row>
    <row r="4973" spans="1:4" ht="13.8">
      <c r="A4973" s="47" t="s">
        <v>11004</v>
      </c>
      <c r="B4973" s="92" t="s">
        <v>10485</v>
      </c>
      <c r="C4973" s="92" t="s">
        <v>11005</v>
      </c>
      <c r="D4973" s="72" t="str">
        <f>IFERROR(VLOOKUP(A4973,'[1]ST-QA-ZZ5'!$C$5:$M$299,11,0),"Inspection at production line")</f>
        <v>Inspection at production line</v>
      </c>
    </row>
    <row r="4974" spans="1:4" ht="13.8">
      <c r="A4974" s="47" t="s">
        <v>11006</v>
      </c>
      <c r="B4974" s="92" t="s">
        <v>10485</v>
      </c>
      <c r="C4974" s="92" t="s">
        <v>11007</v>
      </c>
      <c r="D4974" s="72" t="str">
        <f>IFERROR(VLOOKUP(A4974,'[1]ST-QA-ZZ5'!$C$5:$M$299,11,0),"Inspection at production line")</f>
        <v>Inspection at production line</v>
      </c>
    </row>
    <row r="4975" spans="1:4" ht="13.8">
      <c r="A4975" s="47" t="s">
        <v>11008</v>
      </c>
      <c r="B4975" s="92" t="s">
        <v>10485</v>
      </c>
      <c r="C4975" s="92" t="s">
        <v>10812</v>
      </c>
      <c r="D4975" s="72" t="str">
        <f>IFERROR(VLOOKUP(A4975,'[1]ST-QA-ZZ5'!$C$5:$M$299,11,0),"Inspection at production line")</f>
        <v>Inspection at production line</v>
      </c>
    </row>
    <row r="4976" spans="1:4" ht="13.8">
      <c r="A4976" s="47" t="s">
        <v>11009</v>
      </c>
      <c r="B4976" s="92" t="s">
        <v>10991</v>
      </c>
      <c r="C4976" s="92" t="s">
        <v>10440</v>
      </c>
      <c r="D4976" s="72" t="str">
        <f>IFERROR(VLOOKUP(A4976,'[1]ST-QA-ZZ5'!$C$5:$M$299,11,0),"Inspection at production line")</f>
        <v>Inspection at production line</v>
      </c>
    </row>
    <row r="4977" spans="1:4" ht="13.8">
      <c r="A4977" s="47" t="s">
        <v>11010</v>
      </c>
      <c r="B4977" s="92" t="s">
        <v>10485</v>
      </c>
      <c r="C4977" s="92" t="s">
        <v>10812</v>
      </c>
      <c r="D4977" s="72" t="str">
        <f>IFERROR(VLOOKUP(A4977,'[1]ST-QA-ZZ5'!$C$5:$M$299,11,0),"Inspection at production line")</f>
        <v>Inspection at production line</v>
      </c>
    </row>
    <row r="4978" spans="1:4" ht="13.8">
      <c r="A4978" s="47" t="s">
        <v>11011</v>
      </c>
      <c r="B4978" s="92" t="s">
        <v>10991</v>
      </c>
      <c r="C4978" s="92" t="s">
        <v>10440</v>
      </c>
      <c r="D4978" s="72" t="str">
        <f>IFERROR(VLOOKUP(A4978,'[1]ST-QA-ZZ5'!$C$5:$M$299,11,0),"Inspection at production line")</f>
        <v>Inspection at production line</v>
      </c>
    </row>
    <row r="4979" spans="1:4" ht="13.8">
      <c r="A4979" s="47" t="s">
        <v>11012</v>
      </c>
      <c r="B4979" s="92" t="s">
        <v>10485</v>
      </c>
      <c r="C4979" s="92" t="s">
        <v>10995</v>
      </c>
      <c r="D4979" s="72" t="str">
        <f>IFERROR(VLOOKUP(A4979,'[1]ST-QA-ZZ5'!$C$5:$M$299,11,0),"Inspection at production line")</f>
        <v>Inspection at production line</v>
      </c>
    </row>
    <row r="4980" spans="1:4" ht="13.8">
      <c r="A4980" s="47" t="s">
        <v>11013</v>
      </c>
      <c r="B4980" s="92" t="s">
        <v>10485</v>
      </c>
      <c r="C4980" s="92" t="s">
        <v>10995</v>
      </c>
      <c r="D4980" s="72" t="str">
        <f>IFERROR(VLOOKUP(A4980,'[1]ST-QA-ZZ5'!$C$5:$M$299,11,0),"Inspection at production line")</f>
        <v>Inspection at production line</v>
      </c>
    </row>
    <row r="4981" spans="1:4" ht="13.8">
      <c r="A4981" s="47" t="s">
        <v>11014</v>
      </c>
      <c r="B4981" s="92" t="s">
        <v>10991</v>
      </c>
      <c r="C4981" s="92" t="s">
        <v>10440</v>
      </c>
      <c r="D4981" s="72" t="str">
        <f>IFERROR(VLOOKUP(A4981,'[1]ST-QA-ZZ5'!$C$5:$M$299,11,0),"Inspection at production line")</f>
        <v>Inspection at production line</v>
      </c>
    </row>
    <row r="4982" spans="1:4" ht="13.8">
      <c r="A4982" s="47" t="s">
        <v>11015</v>
      </c>
      <c r="B4982" s="92" t="s">
        <v>10517</v>
      </c>
      <c r="C4982" s="92" t="s">
        <v>10438</v>
      </c>
      <c r="D4982" s="72" t="str">
        <f>IFERROR(VLOOKUP(A4982,'[1]ST-QA-ZZ5'!$C$5:$M$299,11,0),"Inspection at production line")</f>
        <v>Inspection at production line</v>
      </c>
    </row>
    <row r="4983" spans="1:4" ht="13.8">
      <c r="A4983" s="47" t="s">
        <v>11016</v>
      </c>
      <c r="B4983" s="92" t="s">
        <v>10485</v>
      </c>
      <c r="C4983" s="92" t="s">
        <v>11017</v>
      </c>
      <c r="D4983" s="72" t="str">
        <f>IFERROR(VLOOKUP(A4983,'[1]ST-QA-ZZ5'!$C$5:$M$299,11,0),"Inspection at production line")</f>
        <v>Inspection at production line</v>
      </c>
    </row>
    <row r="4984" spans="1:4" ht="13.8">
      <c r="A4984" s="47" t="s">
        <v>11018</v>
      </c>
      <c r="B4984" s="92" t="s">
        <v>10991</v>
      </c>
      <c r="C4984" s="92" t="s">
        <v>11019</v>
      </c>
      <c r="D4984" s="72" t="str">
        <f>IFERROR(VLOOKUP(A4984,'[1]ST-QA-ZZ5'!$C$5:$M$299,11,0),"Inspection at production line")</f>
        <v>Inspection at production line</v>
      </c>
    </row>
    <row r="4985" spans="1:4" ht="13.8">
      <c r="A4985" s="47" t="s">
        <v>11020</v>
      </c>
      <c r="B4985" s="92" t="s">
        <v>10517</v>
      </c>
      <c r="C4985" s="92" t="s">
        <v>10438</v>
      </c>
      <c r="D4985" s="72" t="str">
        <f>IFERROR(VLOOKUP(A4985,'[1]ST-QA-ZZ5'!$C$5:$M$299,11,0),"Inspection at production line")</f>
        <v>Inspection at production line</v>
      </c>
    </row>
    <row r="4986" spans="1:4" ht="13.8">
      <c r="A4986" s="47" t="s">
        <v>11021</v>
      </c>
      <c r="B4986" s="92" t="s">
        <v>10485</v>
      </c>
      <c r="C4986" s="92" t="s">
        <v>11017</v>
      </c>
      <c r="D4986" s="72" t="str">
        <f>IFERROR(VLOOKUP(A4986,'[1]ST-QA-ZZ5'!$C$5:$M$299,11,0),"Inspection at production line")</f>
        <v>Inspection at production line</v>
      </c>
    </row>
    <row r="4987" spans="1:4" ht="13.8">
      <c r="A4987" s="47" t="s">
        <v>11022</v>
      </c>
      <c r="B4987" s="92" t="s">
        <v>9823</v>
      </c>
      <c r="C4987" s="92" t="s">
        <v>11023</v>
      </c>
      <c r="D4987" s="72" t="str">
        <f>IFERROR(VLOOKUP(A4987,'[1]ST-QA-ZZ5'!$C$5:$M$299,11,0),"Inspection at production line")</f>
        <v>Inspection at production line</v>
      </c>
    </row>
    <row r="4988" spans="1:4" ht="13.8">
      <c r="A4988" s="47" t="s">
        <v>11024</v>
      </c>
      <c r="B4988" s="92" t="s">
        <v>9823</v>
      </c>
      <c r="C4988" s="92" t="s">
        <v>11025</v>
      </c>
      <c r="D4988" s="72" t="str">
        <f>IFERROR(VLOOKUP(A4988,'[1]ST-QA-ZZ5'!$C$5:$M$299,11,0),"Inspection at production line")</f>
        <v>Inspection at production line</v>
      </c>
    </row>
    <row r="4989" spans="1:4" ht="13.8">
      <c r="A4989" s="47" t="s">
        <v>11026</v>
      </c>
      <c r="B4989" s="92" t="s">
        <v>10485</v>
      </c>
      <c r="C4989" s="92" t="s">
        <v>11027</v>
      </c>
      <c r="D4989" s="72" t="str">
        <f>IFERROR(VLOOKUP(A4989,'[1]ST-QA-ZZ5'!$C$5:$M$299,11,0),"Inspection at production line")</f>
        <v>Inspection at production line</v>
      </c>
    </row>
    <row r="4990" spans="1:4" ht="13.8">
      <c r="A4990" s="47" t="s">
        <v>11028</v>
      </c>
      <c r="B4990" s="92" t="s">
        <v>10485</v>
      </c>
      <c r="C4990" s="92" t="s">
        <v>11029</v>
      </c>
      <c r="D4990" s="72" t="str">
        <f>IFERROR(VLOOKUP(A4990,'[1]ST-QA-ZZ5'!$C$5:$M$299,11,0),"Inspection at production line")</f>
        <v>Inspection at production line</v>
      </c>
    </row>
    <row r="4991" spans="1:4" ht="13.8">
      <c r="A4991" s="47" t="s">
        <v>11030</v>
      </c>
      <c r="B4991" s="92" t="s">
        <v>10458</v>
      </c>
      <c r="C4991" s="92" t="s">
        <v>11031</v>
      </c>
      <c r="D4991" s="72" t="str">
        <f>IFERROR(VLOOKUP(A4991,'[1]ST-QA-ZZ5'!$C$5:$M$299,11,0),"Inspection at production line")</f>
        <v>Inspection at production line</v>
      </c>
    </row>
    <row r="4992" spans="1:4" ht="13.8">
      <c r="A4992" s="47" t="s">
        <v>11032</v>
      </c>
      <c r="B4992" s="92" t="s">
        <v>10458</v>
      </c>
      <c r="C4992" s="92" t="s">
        <v>11033</v>
      </c>
      <c r="D4992" s="72" t="str">
        <f>IFERROR(VLOOKUP(A4992,'[1]ST-QA-ZZ5'!$C$5:$M$299,11,0),"Inspection at production line")</f>
        <v>Inspection at production line</v>
      </c>
    </row>
    <row r="4993" spans="1:4" ht="13.8">
      <c r="A4993" s="47" t="s">
        <v>11034</v>
      </c>
      <c r="B4993" s="92" t="s">
        <v>10458</v>
      </c>
      <c r="C4993" s="92" t="s">
        <v>11035</v>
      </c>
      <c r="D4993" s="72" t="str">
        <f>IFERROR(VLOOKUP(A4993,'[1]ST-QA-ZZ5'!$C$5:$M$299,11,0),"Inspection at production line")</f>
        <v>Inspection at production line</v>
      </c>
    </row>
    <row r="4994" spans="1:4" ht="13.8">
      <c r="A4994" s="47" t="s">
        <v>11036</v>
      </c>
      <c r="B4994" s="92" t="s">
        <v>11037</v>
      </c>
      <c r="C4994" s="92" t="s">
        <v>11038</v>
      </c>
      <c r="D4994" s="72" t="str">
        <f>IFERROR(VLOOKUP(A4994,'[1]ST-QA-ZZ5'!$C$5:$M$299,11,0),"Inspection at production line")</f>
        <v>Inspection at production line</v>
      </c>
    </row>
    <row r="4995" spans="1:4" ht="13.8">
      <c r="A4995" s="47" t="s">
        <v>11039</v>
      </c>
      <c r="B4995" s="92" t="s">
        <v>11040</v>
      </c>
      <c r="C4995" s="92" t="s">
        <v>11041</v>
      </c>
      <c r="D4995" s="72" t="str">
        <f>IFERROR(VLOOKUP(A4995,'[1]ST-QA-ZZ5'!$C$5:$M$299,11,0),"Inspection at production line")</f>
        <v>Inspection at production line</v>
      </c>
    </row>
    <row r="4996" spans="1:4" ht="13.8">
      <c r="A4996" s="47" t="s">
        <v>11042</v>
      </c>
      <c r="B4996" s="92" t="s">
        <v>9823</v>
      </c>
      <c r="C4996" s="92" t="s">
        <v>11043</v>
      </c>
      <c r="D4996" s="72" t="str">
        <f>IFERROR(VLOOKUP(A4996,'[1]ST-QA-ZZ5'!$C$5:$M$299,11,0),"Inspection at production line")</f>
        <v>Inspection at production line</v>
      </c>
    </row>
    <row r="4997" spans="1:4" ht="13.8">
      <c r="A4997" s="47" t="s">
        <v>11044</v>
      </c>
      <c r="B4997" s="92" t="s">
        <v>9823</v>
      </c>
      <c r="C4997" s="92" t="s">
        <v>11045</v>
      </c>
      <c r="D4997" s="72" t="str">
        <f>IFERROR(VLOOKUP(A4997,'[1]ST-QA-ZZ5'!$C$5:$M$299,11,0),"Inspection at production line")</f>
        <v>Inspection at production line</v>
      </c>
    </row>
    <row r="4998" spans="1:4" ht="13.8">
      <c r="A4998" s="47" t="s">
        <v>11046</v>
      </c>
      <c r="B4998" s="92" t="s">
        <v>9823</v>
      </c>
      <c r="C4998" s="92" t="s">
        <v>11047</v>
      </c>
      <c r="D4998" s="72" t="str">
        <f>IFERROR(VLOOKUP(A4998,'[1]ST-QA-ZZ5'!$C$5:$M$299,11,0),"Inspection at production line")</f>
        <v>Inspection at production line</v>
      </c>
    </row>
    <row r="4999" spans="1:4" ht="13.8">
      <c r="A4999" s="47" t="s">
        <v>11048</v>
      </c>
      <c r="B4999" s="92" t="s">
        <v>9823</v>
      </c>
      <c r="C4999" s="92" t="s">
        <v>11049</v>
      </c>
      <c r="D4999" s="72" t="str">
        <f>IFERROR(VLOOKUP(A4999,'[1]ST-QA-ZZ5'!$C$5:$M$299,11,0),"Inspection at production line")</f>
        <v>Inspection at production line</v>
      </c>
    </row>
    <row r="5000" spans="1:4" ht="13.8">
      <c r="A5000" s="47" t="s">
        <v>11050</v>
      </c>
      <c r="B5000" s="92" t="s">
        <v>9823</v>
      </c>
      <c r="C5000" s="92" t="s">
        <v>11051</v>
      </c>
      <c r="D5000" s="72" t="str">
        <f>IFERROR(VLOOKUP(A5000,'[1]ST-QA-ZZ5'!$C$5:$M$299,11,0),"Inspection at production line")</f>
        <v>Inspection at production line</v>
      </c>
    </row>
    <row r="5001" spans="1:4" ht="13.8">
      <c r="A5001" s="47" t="s">
        <v>11052</v>
      </c>
      <c r="B5001" s="92" t="s">
        <v>9823</v>
      </c>
      <c r="C5001" s="92" t="s">
        <v>11053</v>
      </c>
      <c r="D5001" s="72" t="str">
        <f>IFERROR(VLOOKUP(A5001,'[1]ST-QA-ZZ5'!$C$5:$M$299,11,0),"Inspection at production line")</f>
        <v>Inspection at production line</v>
      </c>
    </row>
    <row r="5002" spans="1:4" ht="13.8">
      <c r="A5002" s="47" t="s">
        <v>11054</v>
      </c>
      <c r="B5002" s="92" t="s">
        <v>9823</v>
      </c>
      <c r="C5002" s="92" t="s">
        <v>11055</v>
      </c>
      <c r="D5002" s="72" t="str">
        <f>IFERROR(VLOOKUP(A5002,'[1]ST-QA-ZZ5'!$C$5:$M$299,11,0),"Inspection at production line")</f>
        <v>Inspection at production line</v>
      </c>
    </row>
    <row r="5003" spans="1:4" ht="13.8">
      <c r="A5003" s="47" t="s">
        <v>11056</v>
      </c>
      <c r="B5003" s="92" t="s">
        <v>9823</v>
      </c>
      <c r="C5003" s="92" t="s">
        <v>11057</v>
      </c>
      <c r="D5003" s="72" t="str">
        <f>IFERROR(VLOOKUP(A5003,'[1]ST-QA-ZZ5'!$C$5:$M$299,11,0),"Inspection at production line")</f>
        <v>Inspection at production line</v>
      </c>
    </row>
    <row r="5004" spans="1:4" ht="13.8">
      <c r="A5004" s="47" t="s">
        <v>11058</v>
      </c>
      <c r="B5004" s="92" t="s">
        <v>9823</v>
      </c>
      <c r="C5004" s="92" t="s">
        <v>11059</v>
      </c>
      <c r="D5004" s="72" t="str">
        <f>IFERROR(VLOOKUP(A5004,'[1]ST-QA-ZZ5'!$C$5:$M$299,11,0),"Inspection at production line")</f>
        <v>Inspection at production line</v>
      </c>
    </row>
    <row r="5005" spans="1:4" ht="13.8">
      <c r="A5005" s="47" t="s">
        <v>11060</v>
      </c>
      <c r="B5005" s="92" t="s">
        <v>9823</v>
      </c>
      <c r="C5005" s="92" t="s">
        <v>11061</v>
      </c>
      <c r="D5005" s="72" t="str">
        <f>IFERROR(VLOOKUP(A5005,'[1]ST-QA-ZZ5'!$C$5:$M$299,11,0),"Inspection at production line")</f>
        <v>Inspection at production line</v>
      </c>
    </row>
    <row r="5006" spans="1:4" ht="13.8">
      <c r="A5006" s="47" t="s">
        <v>11062</v>
      </c>
      <c r="B5006" s="92" t="s">
        <v>9823</v>
      </c>
      <c r="C5006" s="92" t="s">
        <v>11063</v>
      </c>
      <c r="D5006" s="72" t="str">
        <f>IFERROR(VLOOKUP(A5006,'[1]ST-QA-ZZ5'!$C$5:$M$299,11,0),"Inspection at production line")</f>
        <v>Inspection at production line</v>
      </c>
    </row>
    <row r="5007" spans="1:4" ht="13.8">
      <c r="A5007" s="47" t="s">
        <v>11064</v>
      </c>
      <c r="B5007" s="92" t="s">
        <v>9823</v>
      </c>
      <c r="C5007" s="92" t="s">
        <v>11065</v>
      </c>
      <c r="D5007" s="72" t="str">
        <f>IFERROR(VLOOKUP(A5007,'[1]ST-QA-ZZ5'!$C$5:$M$299,11,0),"Inspection at production line")</f>
        <v>Inspection at production line</v>
      </c>
    </row>
    <row r="5008" spans="1:4" ht="13.8">
      <c r="A5008" s="47" t="s">
        <v>11066</v>
      </c>
      <c r="B5008" s="92" t="s">
        <v>9823</v>
      </c>
      <c r="C5008" s="92" t="s">
        <v>11067</v>
      </c>
      <c r="D5008" s="72" t="str">
        <f>IFERROR(VLOOKUP(A5008,'[1]ST-QA-ZZ5'!$C$5:$M$299,11,0),"Inspection at production line")</f>
        <v>Inspection at production line</v>
      </c>
    </row>
    <row r="5009" spans="1:4" ht="13.8">
      <c r="A5009" s="47" t="s">
        <v>11068</v>
      </c>
      <c r="B5009" s="92" t="s">
        <v>9823</v>
      </c>
      <c r="C5009" s="92" t="s">
        <v>11069</v>
      </c>
      <c r="D5009" s="72" t="str">
        <f>IFERROR(VLOOKUP(A5009,'[1]ST-QA-ZZ5'!$C$5:$M$299,11,0),"Inspection at production line")</f>
        <v>Inspection at production line</v>
      </c>
    </row>
    <row r="5010" spans="1:4" ht="13.8">
      <c r="A5010" s="47" t="s">
        <v>11070</v>
      </c>
      <c r="B5010" s="92" t="s">
        <v>9823</v>
      </c>
      <c r="C5010" s="92" t="s">
        <v>11069</v>
      </c>
      <c r="D5010" s="72" t="str">
        <f>IFERROR(VLOOKUP(A5010,'[1]ST-QA-ZZ5'!$C$5:$M$299,11,0),"Inspection at production line")</f>
        <v>Inspection at production line</v>
      </c>
    </row>
    <row r="5011" spans="1:4" ht="13.8">
      <c r="A5011" s="47" t="s">
        <v>11071</v>
      </c>
      <c r="B5011" s="92" t="s">
        <v>9823</v>
      </c>
      <c r="C5011" s="92" t="s">
        <v>11072</v>
      </c>
      <c r="D5011" s="72" t="str">
        <f>IFERROR(VLOOKUP(A5011,'[1]ST-QA-ZZ5'!$C$5:$M$299,11,0),"Inspection at production line")</f>
        <v>Inspection at production line</v>
      </c>
    </row>
    <row r="5012" spans="1:4" ht="13.8">
      <c r="A5012" s="47" t="s">
        <v>11073</v>
      </c>
      <c r="B5012" s="92" t="s">
        <v>9823</v>
      </c>
      <c r="C5012" s="92" t="s">
        <v>11074</v>
      </c>
      <c r="D5012" s="72" t="str">
        <f>IFERROR(VLOOKUP(A5012,'[1]ST-QA-ZZ5'!$C$5:$M$299,11,0),"Inspection at production line")</f>
        <v>Inspection at production line</v>
      </c>
    </row>
    <row r="5013" spans="1:4" ht="13.8">
      <c r="A5013" s="47" t="s">
        <v>11075</v>
      </c>
      <c r="B5013" s="92" t="s">
        <v>9823</v>
      </c>
      <c r="C5013" s="92" t="s">
        <v>11076</v>
      </c>
      <c r="D5013" s="72" t="str">
        <f>IFERROR(VLOOKUP(A5013,'[1]ST-QA-ZZ5'!$C$5:$M$299,11,0),"Inspection at production line")</f>
        <v>Inspection at production line</v>
      </c>
    </row>
    <row r="5014" spans="1:4" ht="13.8">
      <c r="A5014" s="47" t="s">
        <v>11077</v>
      </c>
      <c r="B5014" s="92" t="s">
        <v>9823</v>
      </c>
      <c r="C5014" s="92" t="s">
        <v>11078</v>
      </c>
      <c r="D5014" s="72" t="str">
        <f>IFERROR(VLOOKUP(A5014,'[1]ST-QA-ZZ5'!$C$5:$M$299,11,0),"Inspection at production line")</f>
        <v>Inspection at production line</v>
      </c>
    </row>
    <row r="5015" spans="1:4" ht="13.8">
      <c r="A5015" s="47" t="s">
        <v>11079</v>
      </c>
      <c r="B5015" s="92" t="s">
        <v>4772</v>
      </c>
      <c r="C5015" s="92" t="s">
        <v>4772</v>
      </c>
      <c r="D5015" s="72" t="str">
        <f>IFERROR(VLOOKUP(A5015,'[1]ST-QA-ZZ5'!$C$5:$M$299,11,0),"Inspection at production line")</f>
        <v>Inspection at production line</v>
      </c>
    </row>
    <row r="5016" spans="1:4" ht="13.8">
      <c r="A5016" s="47" t="s">
        <v>11080</v>
      </c>
      <c r="B5016" s="92" t="s">
        <v>11081</v>
      </c>
      <c r="C5016" s="92" t="s">
        <v>11082</v>
      </c>
      <c r="D5016" s="72" t="str">
        <f>IFERROR(VLOOKUP(A5016,'[1]ST-QA-ZZ5'!$C$5:$M$299,11,0),"Inspection at production line")</f>
        <v>Inspection at production line</v>
      </c>
    </row>
    <row r="5017" spans="1:4" ht="13.8">
      <c r="A5017" s="47" t="s">
        <v>11083</v>
      </c>
      <c r="B5017" s="92" t="s">
        <v>11084</v>
      </c>
      <c r="C5017" s="92" t="s">
        <v>11085</v>
      </c>
      <c r="D5017" s="72" t="str">
        <f>IFERROR(VLOOKUP(A5017,'[1]ST-QA-ZZ5'!$C$5:$M$299,11,0),"Inspection at production line")</f>
        <v>Inspection at production line</v>
      </c>
    </row>
    <row r="5018" spans="1:4" ht="13.8">
      <c r="A5018" s="47" t="s">
        <v>11086</v>
      </c>
      <c r="B5018" s="92" t="s">
        <v>10485</v>
      </c>
      <c r="C5018" s="92" t="s">
        <v>11087</v>
      </c>
      <c r="D5018" s="72" t="str">
        <f>IFERROR(VLOOKUP(A5018,'[1]ST-QA-ZZ5'!$C$5:$M$299,11,0),"Inspection at production line")</f>
        <v>Inspection at production line</v>
      </c>
    </row>
    <row r="5019" spans="1:4" ht="13.8">
      <c r="A5019" s="47" t="s">
        <v>11088</v>
      </c>
      <c r="B5019" s="92" t="s">
        <v>10485</v>
      </c>
      <c r="C5019" s="92" t="s">
        <v>11089</v>
      </c>
      <c r="D5019" s="72" t="str">
        <f>IFERROR(VLOOKUP(A5019,'[1]ST-QA-ZZ5'!$C$5:$M$299,11,0),"Inspection at production line")</f>
        <v>Inspection at production line</v>
      </c>
    </row>
    <row r="5020" spans="1:4" ht="13.8">
      <c r="A5020" s="47" t="s">
        <v>11090</v>
      </c>
      <c r="B5020" s="92" t="s">
        <v>10485</v>
      </c>
      <c r="C5020" s="92" t="s">
        <v>11091</v>
      </c>
      <c r="D5020" s="72" t="str">
        <f>IFERROR(VLOOKUP(A5020,'[1]ST-QA-ZZ5'!$C$5:$M$299,11,0),"Inspection at production line")</f>
        <v>Inspection at production line</v>
      </c>
    </row>
    <row r="5021" spans="1:4" ht="13.8">
      <c r="A5021" s="47" t="s">
        <v>11092</v>
      </c>
      <c r="B5021" s="92" t="s">
        <v>10485</v>
      </c>
      <c r="C5021" s="92" t="s">
        <v>11093</v>
      </c>
      <c r="D5021" s="72" t="str">
        <f>IFERROR(VLOOKUP(A5021,'[1]ST-QA-ZZ5'!$C$5:$M$299,11,0),"Inspection at production line")</f>
        <v>Inspection at production line</v>
      </c>
    </row>
    <row r="5022" spans="1:4" ht="13.8">
      <c r="A5022" s="47" t="s">
        <v>11094</v>
      </c>
      <c r="B5022" s="92" t="s">
        <v>10485</v>
      </c>
      <c r="C5022" s="92" t="s">
        <v>11095</v>
      </c>
      <c r="D5022" s="72" t="str">
        <f>IFERROR(VLOOKUP(A5022,'[1]ST-QA-ZZ5'!$C$5:$M$299,11,0),"Inspection at production line")</f>
        <v>Inspection at production line</v>
      </c>
    </row>
    <row r="5023" spans="1:4" ht="13.8">
      <c r="A5023" s="47" t="s">
        <v>11096</v>
      </c>
      <c r="B5023" s="92" t="s">
        <v>10485</v>
      </c>
      <c r="C5023" s="92" t="s">
        <v>11097</v>
      </c>
      <c r="D5023" s="72" t="str">
        <f>IFERROR(VLOOKUP(A5023,'[1]ST-QA-ZZ5'!$C$5:$M$299,11,0),"Inspection at production line")</f>
        <v>Inspection at production line</v>
      </c>
    </row>
    <row r="5024" spans="1:4" ht="13.8">
      <c r="A5024" s="47" t="s">
        <v>11098</v>
      </c>
      <c r="B5024" s="92" t="s">
        <v>10485</v>
      </c>
      <c r="C5024" s="92" t="s">
        <v>11099</v>
      </c>
      <c r="D5024" s="72" t="str">
        <f>IFERROR(VLOOKUP(A5024,'[1]ST-QA-ZZ5'!$C$5:$M$299,11,0),"Inspection at production line")</f>
        <v>Inspection at production line</v>
      </c>
    </row>
    <row r="5025" spans="1:4" ht="13.8">
      <c r="A5025" s="47" t="s">
        <v>11100</v>
      </c>
      <c r="B5025" s="92" t="s">
        <v>10485</v>
      </c>
      <c r="C5025" s="92" t="s">
        <v>11101</v>
      </c>
      <c r="D5025" s="72" t="str">
        <f>IFERROR(VLOOKUP(A5025,'[1]ST-QA-ZZ5'!$C$5:$M$299,11,0),"Inspection at production line")</f>
        <v>Inspection at production line</v>
      </c>
    </row>
    <row r="5026" spans="1:4" ht="13.8">
      <c r="A5026" s="47" t="s">
        <v>11102</v>
      </c>
      <c r="B5026" s="92" t="s">
        <v>10485</v>
      </c>
      <c r="C5026" s="92" t="s">
        <v>11103</v>
      </c>
      <c r="D5026" s="72" t="str">
        <f>IFERROR(VLOOKUP(A5026,'[1]ST-QA-ZZ5'!$C$5:$M$299,11,0),"Inspection at production line")</f>
        <v>Inspection at production line</v>
      </c>
    </row>
    <row r="5027" spans="1:4" ht="13.8">
      <c r="A5027" s="47" t="s">
        <v>11104</v>
      </c>
      <c r="B5027" s="92" t="s">
        <v>10485</v>
      </c>
      <c r="C5027" s="92" t="s">
        <v>11105</v>
      </c>
      <c r="D5027" s="72" t="str">
        <f>IFERROR(VLOOKUP(A5027,'[1]ST-QA-ZZ5'!$C$5:$M$299,11,0),"Inspection at production line")</f>
        <v>Inspection at production line</v>
      </c>
    </row>
    <row r="5028" spans="1:4" ht="13.8">
      <c r="A5028" s="47" t="s">
        <v>11106</v>
      </c>
      <c r="B5028" s="92" t="s">
        <v>10485</v>
      </c>
      <c r="C5028" s="92" t="s">
        <v>11107</v>
      </c>
      <c r="D5028" s="72" t="str">
        <f>IFERROR(VLOOKUP(A5028,'[1]ST-QA-ZZ5'!$C$5:$M$299,11,0),"Inspection at production line")</f>
        <v>Inspection at production line</v>
      </c>
    </row>
    <row r="5029" spans="1:4" ht="13.8">
      <c r="A5029" s="47" t="s">
        <v>11108</v>
      </c>
      <c r="B5029" s="92" t="s">
        <v>10458</v>
      </c>
      <c r="C5029" s="92" t="s">
        <v>11109</v>
      </c>
      <c r="D5029" s="72" t="str">
        <f>IFERROR(VLOOKUP(A5029,'[1]ST-QA-ZZ5'!$C$5:$M$299,11,0),"Inspection at production line")</f>
        <v>Inspection at production line</v>
      </c>
    </row>
    <row r="5030" spans="1:4" ht="13.8">
      <c r="A5030" s="47" t="s">
        <v>11110</v>
      </c>
      <c r="B5030" s="92" t="s">
        <v>11111</v>
      </c>
      <c r="C5030" s="92" t="s">
        <v>11112</v>
      </c>
      <c r="D5030" s="72" t="str">
        <f>IFERROR(VLOOKUP(A5030,'[1]ST-QA-ZZ5'!$C$5:$M$299,11,0),"Inspection at production line")</f>
        <v>Inspection at production line</v>
      </c>
    </row>
    <row r="5031" spans="1:4" ht="13.8">
      <c r="A5031" s="47" t="s">
        <v>11113</v>
      </c>
      <c r="B5031" s="92" t="s">
        <v>11114</v>
      </c>
      <c r="C5031" s="92" t="s">
        <v>11114</v>
      </c>
      <c r="D5031" s="72" t="str">
        <f>IFERROR(VLOOKUP(A5031,'[1]ST-QA-ZZ5'!$C$5:$M$299,11,0),"Inspection at production line")</f>
        <v>Inspection at production line</v>
      </c>
    </row>
    <row r="5032" spans="1:4" ht="13.8">
      <c r="A5032" s="47" t="s">
        <v>11115</v>
      </c>
      <c r="B5032" s="92" t="s">
        <v>10458</v>
      </c>
      <c r="C5032" s="92" t="s">
        <v>11116</v>
      </c>
      <c r="D5032" s="72" t="str">
        <f>IFERROR(VLOOKUP(A5032,'[1]ST-QA-ZZ5'!$C$5:$M$299,11,0),"Inspection at production line")</f>
        <v>Inspection at production line</v>
      </c>
    </row>
    <row r="5033" spans="1:4" ht="13.8">
      <c r="A5033" s="47" t="s">
        <v>11117</v>
      </c>
      <c r="B5033" s="92" t="s">
        <v>10458</v>
      </c>
      <c r="C5033" s="92" t="s">
        <v>11118</v>
      </c>
      <c r="D5033" s="72" t="str">
        <f>IFERROR(VLOOKUP(A5033,'[1]ST-QA-ZZ5'!$C$5:$M$299,11,0),"Inspection at production line")</f>
        <v>Inspection at production line</v>
      </c>
    </row>
    <row r="5034" spans="1:4" ht="13.8">
      <c r="A5034" s="47" t="s">
        <v>11119</v>
      </c>
      <c r="B5034" s="92" t="s">
        <v>10458</v>
      </c>
      <c r="C5034" s="92" t="s">
        <v>11120</v>
      </c>
      <c r="D5034" s="72" t="str">
        <f>IFERROR(VLOOKUP(A5034,'[1]ST-QA-ZZ5'!$C$5:$M$299,11,0),"Inspection at production line")</f>
        <v>Inspection at production line</v>
      </c>
    </row>
    <row r="5035" spans="1:4" ht="13.8">
      <c r="A5035" s="47" t="s">
        <v>11121</v>
      </c>
      <c r="B5035" s="92" t="s">
        <v>10458</v>
      </c>
      <c r="C5035" s="92" t="s">
        <v>11122</v>
      </c>
      <c r="D5035" s="72" t="str">
        <f>IFERROR(VLOOKUP(A5035,'[1]ST-QA-ZZ5'!$C$5:$M$299,11,0),"Inspection at production line")</f>
        <v>Inspection at production line</v>
      </c>
    </row>
    <row r="5036" spans="1:4" ht="13.8">
      <c r="A5036" s="47" t="s">
        <v>11123</v>
      </c>
      <c r="B5036" s="92" t="s">
        <v>10458</v>
      </c>
      <c r="C5036" s="92" t="s">
        <v>11124</v>
      </c>
      <c r="D5036" s="72" t="str">
        <f>IFERROR(VLOOKUP(A5036,'[1]ST-QA-ZZ5'!$C$5:$M$299,11,0),"Inspection at production line")</f>
        <v>Inspection at production line</v>
      </c>
    </row>
    <row r="5037" spans="1:4" ht="13.8">
      <c r="A5037" s="47" t="s">
        <v>11125</v>
      </c>
      <c r="B5037" s="92" t="s">
        <v>10458</v>
      </c>
      <c r="C5037" s="92" t="s">
        <v>11126</v>
      </c>
      <c r="D5037" s="72" t="str">
        <f>IFERROR(VLOOKUP(A5037,'[1]ST-QA-ZZ5'!$C$5:$M$299,11,0),"Inspection at production line")</f>
        <v>Inspection at production line</v>
      </c>
    </row>
    <row r="5038" spans="1:4" ht="13.8">
      <c r="A5038" s="47" t="s">
        <v>11127</v>
      </c>
      <c r="B5038" s="92" t="s">
        <v>10458</v>
      </c>
      <c r="C5038" s="92" t="s">
        <v>11128</v>
      </c>
      <c r="D5038" s="72" t="str">
        <f>IFERROR(VLOOKUP(A5038,'[1]ST-QA-ZZ5'!$C$5:$M$299,11,0),"Inspection at production line")</f>
        <v>Inspection at production line</v>
      </c>
    </row>
    <row r="5039" spans="1:4" ht="13.8">
      <c r="A5039" s="47" t="s">
        <v>11129</v>
      </c>
      <c r="B5039" s="92" t="s">
        <v>10458</v>
      </c>
      <c r="C5039" s="92" t="s">
        <v>11130</v>
      </c>
      <c r="D5039" s="72" t="str">
        <f>IFERROR(VLOOKUP(A5039,'[1]ST-QA-ZZ5'!$C$5:$M$299,11,0),"Inspection at production line")</f>
        <v>Inspection at production line</v>
      </c>
    </row>
    <row r="5040" spans="1:4" ht="13.8">
      <c r="A5040" s="47" t="s">
        <v>11131</v>
      </c>
      <c r="B5040" s="92" t="s">
        <v>10458</v>
      </c>
      <c r="C5040" s="92" t="s">
        <v>11132</v>
      </c>
      <c r="D5040" s="72" t="str">
        <f>IFERROR(VLOOKUP(A5040,'[1]ST-QA-ZZ5'!$C$5:$M$299,11,0),"Inspection at production line")</f>
        <v>Inspection at production line</v>
      </c>
    </row>
    <row r="5041" spans="1:4" ht="13.8">
      <c r="A5041" s="47" t="s">
        <v>11133</v>
      </c>
      <c r="B5041" s="92" t="s">
        <v>10458</v>
      </c>
      <c r="C5041" s="92" t="s">
        <v>11134</v>
      </c>
      <c r="D5041" s="72" t="str">
        <f>IFERROR(VLOOKUP(A5041,'[1]ST-QA-ZZ5'!$C$5:$M$299,11,0),"Inspection at production line")</f>
        <v>Inspection at production line</v>
      </c>
    </row>
    <row r="5042" spans="1:4" ht="13.8">
      <c r="A5042" s="47" t="s">
        <v>11135</v>
      </c>
      <c r="B5042" s="92" t="s">
        <v>10458</v>
      </c>
      <c r="C5042" s="92" t="s">
        <v>11136</v>
      </c>
      <c r="D5042" s="72" t="str">
        <f>IFERROR(VLOOKUP(A5042,'[1]ST-QA-ZZ5'!$C$5:$M$299,11,0),"Inspection at production line")</f>
        <v>Inspection at production line</v>
      </c>
    </row>
    <row r="5043" spans="1:4" ht="13.8">
      <c r="A5043" s="47" t="s">
        <v>11137</v>
      </c>
      <c r="B5043" s="92" t="s">
        <v>10458</v>
      </c>
      <c r="C5043" s="92" t="s">
        <v>11138</v>
      </c>
      <c r="D5043" s="72" t="str">
        <f>IFERROR(VLOOKUP(A5043,'[1]ST-QA-ZZ5'!$C$5:$M$299,11,0),"Inspection at production line")</f>
        <v>Inspection at production line</v>
      </c>
    </row>
    <row r="5044" spans="1:4" ht="13.8">
      <c r="A5044" s="47" t="s">
        <v>11139</v>
      </c>
      <c r="B5044" s="92" t="s">
        <v>10458</v>
      </c>
      <c r="C5044" s="92" t="s">
        <v>11140</v>
      </c>
      <c r="D5044" s="72" t="str">
        <f>IFERROR(VLOOKUP(A5044,'[1]ST-QA-ZZ5'!$C$5:$M$299,11,0),"Inspection at production line")</f>
        <v>Inspection at production line</v>
      </c>
    </row>
    <row r="5045" spans="1:4" ht="13.8">
      <c r="A5045" s="47" t="s">
        <v>11141</v>
      </c>
      <c r="B5045" s="92" t="s">
        <v>10458</v>
      </c>
      <c r="C5045" s="92" t="s">
        <v>11142</v>
      </c>
      <c r="D5045" s="72" t="str">
        <f>IFERROR(VLOOKUP(A5045,'[1]ST-QA-ZZ5'!$C$5:$M$299,11,0),"Inspection at production line")</f>
        <v>Inspection at production line</v>
      </c>
    </row>
    <row r="5046" spans="1:4" ht="13.8">
      <c r="A5046" s="47" t="s">
        <v>11143</v>
      </c>
      <c r="B5046" s="92" t="s">
        <v>10458</v>
      </c>
      <c r="C5046" s="92" t="s">
        <v>11144</v>
      </c>
      <c r="D5046" s="72" t="str">
        <f>IFERROR(VLOOKUP(A5046,'[1]ST-QA-ZZ5'!$C$5:$M$299,11,0),"Inspection at production line")</f>
        <v>Inspection at production line</v>
      </c>
    </row>
    <row r="5047" spans="1:4" ht="13.8">
      <c r="A5047" s="47" t="s">
        <v>11145</v>
      </c>
      <c r="B5047" s="92" t="s">
        <v>10458</v>
      </c>
      <c r="C5047" s="92" t="s">
        <v>11146</v>
      </c>
      <c r="D5047" s="72" t="str">
        <f>IFERROR(VLOOKUP(A5047,'[1]ST-QA-ZZ5'!$C$5:$M$299,11,0),"Inspection at production line")</f>
        <v>Inspection at production line</v>
      </c>
    </row>
    <row r="5048" spans="1:4" ht="13.8">
      <c r="A5048" s="47" t="s">
        <v>11147</v>
      </c>
      <c r="B5048" s="92" t="s">
        <v>10458</v>
      </c>
      <c r="C5048" s="92" t="s">
        <v>11148</v>
      </c>
      <c r="D5048" s="72" t="str">
        <f>IFERROR(VLOOKUP(A5048,'[1]ST-QA-ZZ5'!$C$5:$M$299,11,0),"Inspection at production line")</f>
        <v>Inspection at production line</v>
      </c>
    </row>
    <row r="5049" spans="1:4" ht="13.8">
      <c r="A5049" s="47" t="s">
        <v>11149</v>
      </c>
      <c r="B5049" s="92" t="s">
        <v>10458</v>
      </c>
      <c r="C5049" s="92" t="s">
        <v>11150</v>
      </c>
      <c r="D5049" s="72" t="str">
        <f>IFERROR(VLOOKUP(A5049,'[1]ST-QA-ZZ5'!$C$5:$M$299,11,0),"Inspection at production line")</f>
        <v>Inspection at production line</v>
      </c>
    </row>
    <row r="5050" spans="1:4" ht="13.8">
      <c r="A5050" s="47" t="s">
        <v>11151</v>
      </c>
      <c r="B5050" s="92" t="s">
        <v>10458</v>
      </c>
      <c r="C5050" s="92" t="s">
        <v>11152</v>
      </c>
      <c r="D5050" s="72" t="str">
        <f>IFERROR(VLOOKUP(A5050,'[1]ST-QA-ZZ5'!$C$5:$M$299,11,0),"Inspection at production line")</f>
        <v>Inspection at production line</v>
      </c>
    </row>
    <row r="5051" spans="1:4" ht="13.8">
      <c r="A5051" s="47" t="s">
        <v>11153</v>
      </c>
      <c r="B5051" s="92" t="s">
        <v>10458</v>
      </c>
      <c r="C5051" s="92" t="s">
        <v>11154</v>
      </c>
      <c r="D5051" s="72" t="str">
        <f>IFERROR(VLOOKUP(A5051,'[1]ST-QA-ZZ5'!$C$5:$M$299,11,0),"Inspection at production line")</f>
        <v>Inspection at production line</v>
      </c>
    </row>
    <row r="5052" spans="1:4" ht="13.8">
      <c r="A5052" s="47" t="s">
        <v>11155</v>
      </c>
      <c r="B5052" s="92" t="s">
        <v>10458</v>
      </c>
      <c r="C5052" s="92" t="s">
        <v>11156</v>
      </c>
      <c r="D5052" s="72" t="str">
        <f>IFERROR(VLOOKUP(A5052,'[1]ST-QA-ZZ5'!$C$5:$M$299,11,0),"Inspection at production line")</f>
        <v>Inspection at production line</v>
      </c>
    </row>
    <row r="5053" spans="1:4" ht="13.8">
      <c r="A5053" s="47" t="s">
        <v>11157</v>
      </c>
      <c r="B5053" s="92" t="s">
        <v>10458</v>
      </c>
      <c r="C5053" s="92" t="s">
        <v>11158</v>
      </c>
      <c r="D5053" s="72" t="str">
        <f>IFERROR(VLOOKUP(A5053,'[1]ST-QA-ZZ5'!$C$5:$M$299,11,0),"Inspection at production line")</f>
        <v>Inspection at production line</v>
      </c>
    </row>
    <row r="5054" spans="1:4" ht="13.8">
      <c r="A5054" s="47" t="s">
        <v>11159</v>
      </c>
      <c r="B5054" s="92" t="s">
        <v>10458</v>
      </c>
      <c r="C5054" s="92" t="s">
        <v>11160</v>
      </c>
      <c r="D5054" s="72" t="str">
        <f>IFERROR(VLOOKUP(A5054,'[1]ST-QA-ZZ5'!$C$5:$M$299,11,0),"Inspection at production line")</f>
        <v>Inspection at production line</v>
      </c>
    </row>
    <row r="5055" spans="1:4" ht="13.8">
      <c r="A5055" s="47" t="s">
        <v>11161</v>
      </c>
      <c r="B5055" s="92" t="s">
        <v>10458</v>
      </c>
      <c r="C5055" s="92" t="s">
        <v>11162</v>
      </c>
      <c r="D5055" s="72" t="str">
        <f>IFERROR(VLOOKUP(A5055,'[1]ST-QA-ZZ5'!$C$5:$M$299,11,0),"Inspection at production line")</f>
        <v>Inspection at production line</v>
      </c>
    </row>
    <row r="5056" spans="1:4" ht="13.8">
      <c r="A5056" s="47" t="s">
        <v>11163</v>
      </c>
      <c r="B5056" s="92" t="s">
        <v>10458</v>
      </c>
      <c r="C5056" s="92" t="s">
        <v>11164</v>
      </c>
      <c r="D5056" s="72" t="str">
        <f>IFERROR(VLOOKUP(A5056,'[1]ST-QA-ZZ5'!$C$5:$M$299,11,0),"Inspection at production line")</f>
        <v>Inspection at production line</v>
      </c>
    </row>
    <row r="5057" spans="1:4" ht="13.8">
      <c r="A5057" s="47" t="s">
        <v>11165</v>
      </c>
      <c r="B5057" s="92" t="s">
        <v>10458</v>
      </c>
      <c r="C5057" s="92" t="s">
        <v>11166</v>
      </c>
      <c r="D5057" s="72" t="str">
        <f>IFERROR(VLOOKUP(A5057,'[1]ST-QA-ZZ5'!$C$5:$M$299,11,0),"Inspection at production line")</f>
        <v>Inspection at production line</v>
      </c>
    </row>
    <row r="5058" spans="1:4" ht="13.8">
      <c r="A5058" s="47" t="s">
        <v>11167</v>
      </c>
      <c r="B5058" s="92" t="s">
        <v>10458</v>
      </c>
      <c r="C5058" s="92" t="s">
        <v>11168</v>
      </c>
      <c r="D5058" s="72" t="str">
        <f>IFERROR(VLOOKUP(A5058,'[1]ST-QA-ZZ5'!$C$5:$M$299,11,0),"Inspection at production line")</f>
        <v>Inspection at production line</v>
      </c>
    </row>
    <row r="5059" spans="1:4" ht="13.8">
      <c r="A5059" s="47" t="s">
        <v>11169</v>
      </c>
      <c r="B5059" s="92" t="s">
        <v>10458</v>
      </c>
      <c r="C5059" s="92" t="s">
        <v>11170</v>
      </c>
      <c r="D5059" s="72" t="str">
        <f>IFERROR(VLOOKUP(A5059,'[1]ST-QA-ZZ5'!$C$5:$M$299,11,0),"Inspection at production line")</f>
        <v>Inspection at production line</v>
      </c>
    </row>
    <row r="5060" spans="1:4" ht="13.8">
      <c r="A5060" s="47" t="s">
        <v>11171</v>
      </c>
      <c r="B5060" s="92" t="s">
        <v>10458</v>
      </c>
      <c r="C5060" s="92" t="s">
        <v>11172</v>
      </c>
      <c r="D5060" s="72" t="str">
        <f>IFERROR(VLOOKUP(A5060,'[1]ST-QA-ZZ5'!$C$5:$M$299,11,0),"Inspection at production line")</f>
        <v>Inspection at production line</v>
      </c>
    </row>
    <row r="5061" spans="1:4" ht="13.8">
      <c r="A5061" s="47" t="s">
        <v>11173</v>
      </c>
      <c r="B5061" s="92" t="s">
        <v>10458</v>
      </c>
      <c r="C5061" s="92" t="s">
        <v>11174</v>
      </c>
      <c r="D5061" s="72" t="str">
        <f>IFERROR(VLOOKUP(A5061,'[1]ST-QA-ZZ5'!$C$5:$M$299,11,0),"Inspection at production line")</f>
        <v>Inspection at production line</v>
      </c>
    </row>
    <row r="5062" spans="1:4" ht="13.8">
      <c r="A5062" s="47" t="s">
        <v>11175</v>
      </c>
      <c r="B5062" s="92" t="s">
        <v>10458</v>
      </c>
      <c r="C5062" s="92" t="s">
        <v>11176</v>
      </c>
      <c r="D5062" s="72" t="str">
        <f>IFERROR(VLOOKUP(A5062,'[1]ST-QA-ZZ5'!$C$5:$M$299,11,0),"Inspection at production line")</f>
        <v>Inspection at production line</v>
      </c>
    </row>
    <row r="5063" spans="1:4" ht="13.8">
      <c r="A5063" s="47" t="s">
        <v>11177</v>
      </c>
      <c r="B5063" s="92" t="s">
        <v>10458</v>
      </c>
      <c r="C5063" s="92" t="s">
        <v>11178</v>
      </c>
      <c r="D5063" s="72" t="str">
        <f>IFERROR(VLOOKUP(A5063,'[1]ST-QA-ZZ5'!$C$5:$M$299,11,0),"Inspection at production line")</f>
        <v>Inspection at production line</v>
      </c>
    </row>
    <row r="5064" spans="1:4" ht="13.8">
      <c r="A5064" s="47" t="s">
        <v>11179</v>
      </c>
      <c r="B5064" s="92" t="s">
        <v>10458</v>
      </c>
      <c r="C5064" s="92" t="s">
        <v>11180</v>
      </c>
      <c r="D5064" s="72" t="str">
        <f>IFERROR(VLOOKUP(A5064,'[1]ST-QA-ZZ5'!$C$5:$M$299,11,0),"Inspection at production line")</f>
        <v>Inspection at production line</v>
      </c>
    </row>
    <row r="5065" spans="1:4" ht="13.8">
      <c r="A5065" s="47" t="s">
        <v>11181</v>
      </c>
      <c r="B5065" s="92" t="s">
        <v>10458</v>
      </c>
      <c r="C5065" s="92" t="s">
        <v>11182</v>
      </c>
      <c r="D5065" s="72" t="str">
        <f>IFERROR(VLOOKUP(A5065,'[1]ST-QA-ZZ5'!$C$5:$M$299,11,0),"Inspection at production line")</f>
        <v>Inspection at production line</v>
      </c>
    </row>
    <row r="5066" spans="1:4" ht="13.8">
      <c r="A5066" s="47" t="s">
        <v>11183</v>
      </c>
      <c r="B5066" s="92" t="s">
        <v>10458</v>
      </c>
      <c r="C5066" s="92" t="s">
        <v>11184</v>
      </c>
      <c r="D5066" s="72" t="str">
        <f>IFERROR(VLOOKUP(A5066,'[1]ST-QA-ZZ5'!$C$5:$M$299,11,0),"Inspection at production line")</f>
        <v>Inspection at production line</v>
      </c>
    </row>
    <row r="5067" spans="1:4" ht="13.8">
      <c r="A5067" s="47" t="s">
        <v>11185</v>
      </c>
      <c r="B5067" s="92" t="s">
        <v>10458</v>
      </c>
      <c r="C5067" s="92" t="s">
        <v>11186</v>
      </c>
      <c r="D5067" s="72" t="str">
        <f>IFERROR(VLOOKUP(A5067,'[1]ST-QA-ZZ5'!$C$5:$M$299,11,0),"Inspection at production line")</f>
        <v>Inspection at production line</v>
      </c>
    </row>
    <row r="5068" spans="1:4" ht="13.8">
      <c r="A5068" s="47" t="s">
        <v>11187</v>
      </c>
      <c r="B5068" s="92" t="s">
        <v>10458</v>
      </c>
      <c r="C5068" s="92" t="s">
        <v>11188</v>
      </c>
      <c r="D5068" s="72" t="str">
        <f>IFERROR(VLOOKUP(A5068,'[1]ST-QA-ZZ5'!$C$5:$M$299,11,0),"Inspection at production line")</f>
        <v>Inspection at production line</v>
      </c>
    </row>
    <row r="5069" spans="1:4" ht="13.8">
      <c r="A5069" s="47" t="s">
        <v>11189</v>
      </c>
      <c r="B5069" s="92" t="s">
        <v>10458</v>
      </c>
      <c r="C5069" s="92" t="s">
        <v>11190</v>
      </c>
      <c r="D5069" s="72" t="str">
        <f>IFERROR(VLOOKUP(A5069,'[1]ST-QA-ZZ5'!$C$5:$M$299,11,0),"Inspection at production line")</f>
        <v>Inspection at production line</v>
      </c>
    </row>
    <row r="5070" spans="1:4" ht="13.8">
      <c r="A5070" s="47" t="s">
        <v>11191</v>
      </c>
      <c r="B5070" s="92" t="s">
        <v>10458</v>
      </c>
      <c r="C5070" s="92" t="s">
        <v>11192</v>
      </c>
      <c r="D5070" s="72" t="str">
        <f>IFERROR(VLOOKUP(A5070,'[1]ST-QA-ZZ5'!$C$5:$M$299,11,0),"Inspection at production line")</f>
        <v>Inspection at production line</v>
      </c>
    </row>
    <row r="5071" spans="1:4" ht="13.8">
      <c r="A5071" s="47" t="s">
        <v>11193</v>
      </c>
      <c r="B5071" s="92" t="s">
        <v>10458</v>
      </c>
      <c r="C5071" s="92" t="s">
        <v>11194</v>
      </c>
      <c r="D5071" s="72" t="str">
        <f>IFERROR(VLOOKUP(A5071,'[1]ST-QA-ZZ5'!$C$5:$M$299,11,0),"Inspection at production line")</f>
        <v>Inspection at production line</v>
      </c>
    </row>
    <row r="5072" spans="1:4" ht="13.8">
      <c r="A5072" s="47" t="s">
        <v>11195</v>
      </c>
      <c r="B5072" s="92" t="s">
        <v>10458</v>
      </c>
      <c r="C5072" s="92" t="s">
        <v>11188</v>
      </c>
      <c r="D5072" s="72" t="str">
        <f>IFERROR(VLOOKUP(A5072,'[1]ST-QA-ZZ5'!$C$5:$M$299,11,0),"Inspection at production line")</f>
        <v>Inspection at production line</v>
      </c>
    </row>
    <row r="5073" spans="1:4" ht="13.8">
      <c r="A5073" s="47" t="s">
        <v>11196</v>
      </c>
      <c r="B5073" s="92" t="s">
        <v>10458</v>
      </c>
      <c r="C5073" s="92" t="s">
        <v>11197</v>
      </c>
      <c r="D5073" s="72" t="str">
        <f>IFERROR(VLOOKUP(A5073,'[1]ST-QA-ZZ5'!$C$5:$M$299,11,0),"Inspection at production line")</f>
        <v>Inspection at production line</v>
      </c>
    </row>
    <row r="5074" spans="1:4" ht="13.8">
      <c r="A5074" s="47" t="s">
        <v>11198</v>
      </c>
      <c r="B5074" s="92" t="s">
        <v>10458</v>
      </c>
      <c r="C5074" s="92" t="s">
        <v>11199</v>
      </c>
      <c r="D5074" s="72" t="str">
        <f>IFERROR(VLOOKUP(A5074,'[1]ST-QA-ZZ5'!$C$5:$M$299,11,0),"Inspection at production line")</f>
        <v>Inspection at production line</v>
      </c>
    </row>
    <row r="5075" spans="1:4" ht="13.8">
      <c r="A5075" s="47" t="s">
        <v>11200</v>
      </c>
      <c r="B5075" s="92" t="s">
        <v>10458</v>
      </c>
      <c r="C5075" s="92" t="s">
        <v>11201</v>
      </c>
      <c r="D5075" s="72" t="str">
        <f>IFERROR(VLOOKUP(A5075,'[1]ST-QA-ZZ5'!$C$5:$M$299,11,0),"Inspection at production line")</f>
        <v>Inspection at production line</v>
      </c>
    </row>
    <row r="5076" spans="1:4" ht="13.8">
      <c r="A5076" s="47" t="s">
        <v>11202</v>
      </c>
      <c r="B5076" s="92" t="s">
        <v>10458</v>
      </c>
      <c r="C5076" s="92" t="s">
        <v>11203</v>
      </c>
      <c r="D5076" s="72" t="str">
        <f>IFERROR(VLOOKUP(A5076,'[1]ST-QA-ZZ5'!$C$5:$M$299,11,0),"Inspection at production line")</f>
        <v>Inspection at production line</v>
      </c>
    </row>
    <row r="5077" spans="1:4" ht="13.8">
      <c r="A5077" s="47" t="s">
        <v>11204</v>
      </c>
      <c r="B5077" s="92" t="s">
        <v>10458</v>
      </c>
      <c r="C5077" s="92" t="s">
        <v>11205</v>
      </c>
      <c r="D5077" s="72" t="str">
        <f>IFERROR(VLOOKUP(A5077,'[1]ST-QA-ZZ5'!$C$5:$M$299,11,0),"Inspection at production line")</f>
        <v>Inspection at production line</v>
      </c>
    </row>
    <row r="5078" spans="1:4" ht="13.8">
      <c r="A5078" s="47" t="s">
        <v>11206</v>
      </c>
      <c r="B5078" s="92" t="s">
        <v>10458</v>
      </c>
      <c r="C5078" s="92" t="s">
        <v>11207</v>
      </c>
      <c r="D5078" s="72" t="str">
        <f>IFERROR(VLOOKUP(A5078,'[1]ST-QA-ZZ5'!$C$5:$M$299,11,0),"Inspection at production line")</f>
        <v>Inspection at production line</v>
      </c>
    </row>
    <row r="5079" spans="1:4" ht="13.8">
      <c r="A5079" s="47" t="s">
        <v>11208</v>
      </c>
      <c r="B5079" s="92" t="s">
        <v>10458</v>
      </c>
      <c r="C5079" s="92" t="s">
        <v>11209</v>
      </c>
      <c r="D5079" s="72" t="str">
        <f>IFERROR(VLOOKUP(A5079,'[1]ST-QA-ZZ5'!$C$5:$M$299,11,0),"Inspection at production line")</f>
        <v>Inspection at production line</v>
      </c>
    </row>
    <row r="5080" spans="1:4" ht="13.8">
      <c r="A5080" s="47" t="s">
        <v>11210</v>
      </c>
      <c r="B5080" s="92" t="s">
        <v>10458</v>
      </c>
      <c r="C5080" s="92" t="s">
        <v>11211</v>
      </c>
      <c r="D5080" s="72" t="str">
        <f>IFERROR(VLOOKUP(A5080,'[1]ST-QA-ZZ5'!$C$5:$M$299,11,0),"Inspection at production line")</f>
        <v>Inspection at production line</v>
      </c>
    </row>
    <row r="5081" spans="1:4" ht="13.8">
      <c r="A5081" s="47" t="s">
        <v>11212</v>
      </c>
      <c r="B5081" s="92" t="s">
        <v>10458</v>
      </c>
      <c r="C5081" s="92" t="s">
        <v>11213</v>
      </c>
      <c r="D5081" s="72" t="str">
        <f>IFERROR(VLOOKUP(A5081,'[1]ST-QA-ZZ5'!$C$5:$M$299,11,0),"Inspection at production line")</f>
        <v>Inspection at production line</v>
      </c>
    </row>
    <row r="5082" spans="1:4" ht="13.8">
      <c r="A5082" s="47" t="s">
        <v>11214</v>
      </c>
      <c r="B5082" s="92" t="s">
        <v>10458</v>
      </c>
      <c r="C5082" s="92" t="s">
        <v>11215</v>
      </c>
      <c r="D5082" s="72" t="str">
        <f>IFERROR(VLOOKUP(A5082,'[1]ST-QA-ZZ5'!$C$5:$M$299,11,0),"Inspection at production line")</f>
        <v>Inspection at production line</v>
      </c>
    </row>
    <row r="5083" spans="1:4" ht="13.8">
      <c r="A5083" s="47" t="s">
        <v>11216</v>
      </c>
      <c r="B5083" s="92" t="s">
        <v>10458</v>
      </c>
      <c r="C5083" s="92" t="s">
        <v>11217</v>
      </c>
      <c r="D5083" s="72" t="str">
        <f>IFERROR(VLOOKUP(A5083,'[1]ST-QA-ZZ5'!$C$5:$M$299,11,0),"Inspection at production line")</f>
        <v>Inspection at production line</v>
      </c>
    </row>
    <row r="5084" spans="1:4" ht="13.8">
      <c r="A5084" s="47" t="s">
        <v>11218</v>
      </c>
      <c r="B5084" s="92" t="s">
        <v>10458</v>
      </c>
      <c r="C5084" s="92" t="s">
        <v>11219</v>
      </c>
      <c r="D5084" s="72" t="str">
        <f>IFERROR(VLOOKUP(A5084,'[1]ST-QA-ZZ5'!$C$5:$M$299,11,0),"Inspection at production line")</f>
        <v>Inspection at production line</v>
      </c>
    </row>
    <row r="5085" spans="1:4" ht="13.8">
      <c r="A5085" s="47" t="s">
        <v>11220</v>
      </c>
      <c r="B5085" s="92" t="s">
        <v>10458</v>
      </c>
      <c r="C5085" s="92" t="s">
        <v>11221</v>
      </c>
      <c r="D5085" s="72" t="str">
        <f>IFERROR(VLOOKUP(A5085,'[1]ST-QA-ZZ5'!$C$5:$M$299,11,0),"Inspection at production line")</f>
        <v>Inspection at production line</v>
      </c>
    </row>
    <row r="5086" spans="1:4" ht="13.8">
      <c r="A5086" s="47" t="s">
        <v>11222</v>
      </c>
      <c r="B5086" s="92" t="s">
        <v>10458</v>
      </c>
      <c r="C5086" s="92" t="s">
        <v>11223</v>
      </c>
      <c r="D5086" s="72" t="str">
        <f>IFERROR(VLOOKUP(A5086,'[1]ST-QA-ZZ5'!$C$5:$M$299,11,0),"Inspection at production line")</f>
        <v>Inspection at production line</v>
      </c>
    </row>
    <row r="5087" spans="1:4" ht="13.8">
      <c r="A5087" s="47" t="s">
        <v>11224</v>
      </c>
      <c r="B5087" s="92" t="s">
        <v>10458</v>
      </c>
      <c r="C5087" s="92" t="s">
        <v>11225</v>
      </c>
      <c r="D5087" s="72" t="str">
        <f>IFERROR(VLOOKUP(A5087,'[1]ST-QA-ZZ5'!$C$5:$M$299,11,0),"Inspection at production line")</f>
        <v>Inspection at production line</v>
      </c>
    </row>
    <row r="5088" spans="1:4" ht="13.8">
      <c r="A5088" s="47" t="s">
        <v>11226</v>
      </c>
      <c r="B5088" s="92" t="s">
        <v>10458</v>
      </c>
      <c r="C5088" s="92" t="s">
        <v>11227</v>
      </c>
      <c r="D5088" s="72" t="str">
        <f>IFERROR(VLOOKUP(A5088,'[1]ST-QA-ZZ5'!$C$5:$M$299,11,0),"Inspection at production line")</f>
        <v>Inspection at production line</v>
      </c>
    </row>
    <row r="5089" spans="1:4" ht="13.8">
      <c r="A5089" s="47" t="s">
        <v>11228</v>
      </c>
      <c r="B5089" s="92" t="s">
        <v>10458</v>
      </c>
      <c r="C5089" s="92" t="s">
        <v>11229</v>
      </c>
      <c r="D5089" s="72" t="str">
        <f>IFERROR(VLOOKUP(A5089,'[1]ST-QA-ZZ5'!$C$5:$M$299,11,0),"Inspection at production line")</f>
        <v>Inspection at production line</v>
      </c>
    </row>
    <row r="5090" spans="1:4" ht="13.8">
      <c r="A5090" s="47" t="s">
        <v>11230</v>
      </c>
      <c r="B5090" s="92" t="s">
        <v>10458</v>
      </c>
      <c r="C5090" s="92" t="s">
        <v>11231</v>
      </c>
      <c r="D5090" s="72" t="str">
        <f>IFERROR(VLOOKUP(A5090,'[1]ST-QA-ZZ5'!$C$5:$M$299,11,0),"Inspection at production line")</f>
        <v>Inspection at production line</v>
      </c>
    </row>
    <row r="5091" spans="1:4" ht="13.8">
      <c r="A5091" s="47" t="s">
        <v>11232</v>
      </c>
      <c r="B5091" s="92" t="s">
        <v>10458</v>
      </c>
      <c r="C5091" s="92" t="s">
        <v>11233</v>
      </c>
      <c r="D5091" s="72" t="str">
        <f>IFERROR(VLOOKUP(A5091,'[1]ST-QA-ZZ5'!$C$5:$M$299,11,0),"Inspection at production line")</f>
        <v>Inspection at production line</v>
      </c>
    </row>
    <row r="5092" spans="1:4" ht="13.8">
      <c r="A5092" s="47" t="s">
        <v>11234</v>
      </c>
      <c r="B5092" s="92" t="s">
        <v>10458</v>
      </c>
      <c r="C5092" s="92" t="s">
        <v>11235</v>
      </c>
      <c r="D5092" s="72" t="str">
        <f>IFERROR(VLOOKUP(A5092,'[1]ST-QA-ZZ5'!$C$5:$M$299,11,0),"Inspection at production line")</f>
        <v>Inspection at production line</v>
      </c>
    </row>
    <row r="5093" spans="1:4" ht="13.8">
      <c r="A5093" s="47" t="s">
        <v>11236</v>
      </c>
      <c r="B5093" s="92" t="s">
        <v>10458</v>
      </c>
      <c r="C5093" s="92" t="s">
        <v>11237</v>
      </c>
      <c r="D5093" s="72" t="str">
        <f>IFERROR(VLOOKUP(A5093,'[1]ST-QA-ZZ5'!$C$5:$M$299,11,0),"Inspection at production line")</f>
        <v>Inspection at production line</v>
      </c>
    </row>
    <row r="5094" spans="1:4" ht="13.8">
      <c r="A5094" s="47" t="s">
        <v>11238</v>
      </c>
      <c r="B5094" s="92" t="s">
        <v>10458</v>
      </c>
      <c r="C5094" s="92" t="s">
        <v>11239</v>
      </c>
      <c r="D5094" s="72" t="str">
        <f>IFERROR(VLOOKUP(A5094,'[1]ST-QA-ZZ5'!$C$5:$M$299,11,0),"Inspection at production line")</f>
        <v>Inspection at production line</v>
      </c>
    </row>
    <row r="5095" spans="1:4" ht="13.8">
      <c r="A5095" s="47" t="s">
        <v>11240</v>
      </c>
      <c r="B5095" s="92" t="s">
        <v>10458</v>
      </c>
      <c r="C5095" s="92" t="s">
        <v>11241</v>
      </c>
      <c r="D5095" s="72" t="str">
        <f>IFERROR(VLOOKUP(A5095,'[1]ST-QA-ZZ5'!$C$5:$M$299,11,0),"Inspection at production line")</f>
        <v>Inspection at production line</v>
      </c>
    </row>
    <row r="5096" spans="1:4" ht="13.8">
      <c r="A5096" s="47" t="s">
        <v>11242</v>
      </c>
      <c r="B5096" s="92" t="s">
        <v>10458</v>
      </c>
      <c r="C5096" s="92" t="s">
        <v>11243</v>
      </c>
      <c r="D5096" s="72" t="str">
        <f>IFERROR(VLOOKUP(A5096,'[1]ST-QA-ZZ5'!$C$5:$M$299,11,0),"Inspection at production line")</f>
        <v>Inspection at production line</v>
      </c>
    </row>
    <row r="5097" spans="1:4" ht="13.8">
      <c r="A5097" s="47" t="s">
        <v>11244</v>
      </c>
      <c r="B5097" s="92" t="s">
        <v>10458</v>
      </c>
      <c r="C5097" s="92" t="s">
        <v>11245</v>
      </c>
      <c r="D5097" s="72" t="str">
        <f>IFERROR(VLOOKUP(A5097,'[1]ST-QA-ZZ5'!$C$5:$M$299,11,0),"Inspection at production line")</f>
        <v>Inspection at production line</v>
      </c>
    </row>
    <row r="5098" spans="1:4" ht="13.8">
      <c r="A5098" s="47" t="s">
        <v>11246</v>
      </c>
      <c r="B5098" s="92" t="s">
        <v>10458</v>
      </c>
      <c r="C5098" s="92" t="s">
        <v>11247</v>
      </c>
      <c r="D5098" s="72" t="str">
        <f>IFERROR(VLOOKUP(A5098,'[1]ST-QA-ZZ5'!$C$5:$M$299,11,0),"Inspection at production line")</f>
        <v>Inspection at production line</v>
      </c>
    </row>
    <row r="5099" spans="1:4" ht="13.8">
      <c r="A5099" s="47" t="s">
        <v>11248</v>
      </c>
      <c r="B5099" s="92" t="s">
        <v>10458</v>
      </c>
      <c r="C5099" s="92" t="s">
        <v>11249</v>
      </c>
      <c r="D5099" s="72" t="str">
        <f>IFERROR(VLOOKUP(A5099,'[1]ST-QA-ZZ5'!$C$5:$M$299,11,0),"Inspection at production line")</f>
        <v>Inspection at production line</v>
      </c>
    </row>
    <row r="5100" spans="1:4" ht="13.8">
      <c r="A5100" s="47" t="s">
        <v>11250</v>
      </c>
      <c r="B5100" s="92" t="s">
        <v>10458</v>
      </c>
      <c r="C5100" s="92" t="s">
        <v>11251</v>
      </c>
      <c r="D5100" s="72" t="str">
        <f>IFERROR(VLOOKUP(A5100,'[1]ST-QA-ZZ5'!$C$5:$M$299,11,0),"Inspection at production line")</f>
        <v>Inspection at production line</v>
      </c>
    </row>
    <row r="5101" spans="1:4" ht="13.8">
      <c r="A5101" s="47" t="s">
        <v>11252</v>
      </c>
      <c r="B5101" s="92" t="s">
        <v>10458</v>
      </c>
      <c r="C5101" s="92" t="s">
        <v>11253</v>
      </c>
      <c r="D5101" s="72" t="str">
        <f>IFERROR(VLOOKUP(A5101,'[1]ST-QA-ZZ5'!$C$5:$M$299,11,0),"Inspection at production line")</f>
        <v>Inspection at production line</v>
      </c>
    </row>
    <row r="5102" spans="1:4" ht="13.8">
      <c r="A5102" s="47" t="s">
        <v>11254</v>
      </c>
      <c r="B5102" s="92" t="s">
        <v>10458</v>
      </c>
      <c r="C5102" s="92" t="s">
        <v>11255</v>
      </c>
      <c r="D5102" s="72" t="str">
        <f>IFERROR(VLOOKUP(A5102,'[1]ST-QA-ZZ5'!$C$5:$M$299,11,0),"Inspection at production line")</f>
        <v>Inspection at production line</v>
      </c>
    </row>
    <row r="5103" spans="1:4" ht="13.8">
      <c r="A5103" s="47" t="s">
        <v>11256</v>
      </c>
      <c r="B5103" s="92" t="s">
        <v>10721</v>
      </c>
      <c r="C5103" s="92" t="s">
        <v>11257</v>
      </c>
      <c r="D5103" s="72" t="str">
        <f>IFERROR(VLOOKUP(A5103,'[1]ST-QA-ZZ5'!$C$5:$M$299,11,0),"Inspection at production line")</f>
        <v>Inspection at production line</v>
      </c>
    </row>
    <row r="5104" spans="1:4" ht="13.8">
      <c r="A5104" s="47" t="s">
        <v>11258</v>
      </c>
      <c r="B5104" s="92" t="s">
        <v>11259</v>
      </c>
      <c r="C5104" s="92" t="s">
        <v>11260</v>
      </c>
      <c r="D5104" s="72" t="str">
        <f>IFERROR(VLOOKUP(A5104,'[1]ST-QA-ZZ5'!$C$5:$M$299,11,0),"Inspection at production line")</f>
        <v>Inspection at production line</v>
      </c>
    </row>
    <row r="5105" spans="1:4" ht="13.8">
      <c r="A5105" s="47" t="s">
        <v>11261</v>
      </c>
      <c r="B5105" s="92" t="s">
        <v>10721</v>
      </c>
      <c r="C5105" s="92" t="s">
        <v>11262</v>
      </c>
      <c r="D5105" s="72" t="str">
        <f>IFERROR(VLOOKUP(A5105,'[1]ST-QA-ZZ5'!$C$5:$M$299,11,0),"Inspection at production line")</f>
        <v>Inspection at production line</v>
      </c>
    </row>
    <row r="5106" spans="1:4" ht="13.8">
      <c r="A5106" s="47" t="s">
        <v>11263</v>
      </c>
      <c r="B5106" s="92" t="s">
        <v>10721</v>
      </c>
      <c r="C5106" s="92" t="s">
        <v>11264</v>
      </c>
      <c r="D5106" s="72" t="str">
        <f>IFERROR(VLOOKUP(A5106,'[1]ST-QA-ZZ5'!$C$5:$M$299,11,0),"Inspection at production line")</f>
        <v>Inspection at production line</v>
      </c>
    </row>
    <row r="5107" spans="1:4" ht="13.8">
      <c r="A5107" s="47" t="s">
        <v>11265</v>
      </c>
      <c r="B5107" s="92" t="s">
        <v>10721</v>
      </c>
      <c r="C5107" s="92" t="s">
        <v>11266</v>
      </c>
      <c r="D5107" s="72" t="str">
        <f>IFERROR(VLOOKUP(A5107,'[1]ST-QA-ZZ5'!$C$5:$M$299,11,0),"Inspection at production line")</f>
        <v>Inspection at production line</v>
      </c>
    </row>
    <row r="5108" spans="1:4" ht="13.8">
      <c r="A5108" s="47" t="s">
        <v>11267</v>
      </c>
      <c r="B5108" s="92" t="s">
        <v>10458</v>
      </c>
      <c r="C5108" s="92" t="s">
        <v>11268</v>
      </c>
      <c r="D5108" s="72" t="str">
        <f>IFERROR(VLOOKUP(A5108,'[1]ST-QA-ZZ5'!$C$5:$M$299,11,0),"Inspection at production line")</f>
        <v>Inspection at production line</v>
      </c>
    </row>
    <row r="5109" spans="1:4" ht="13.8">
      <c r="A5109" s="47" t="s">
        <v>11269</v>
      </c>
      <c r="B5109" s="92" t="s">
        <v>10458</v>
      </c>
      <c r="C5109" s="92" t="s">
        <v>11270</v>
      </c>
      <c r="D5109" s="72" t="str">
        <f>IFERROR(VLOOKUP(A5109,'[1]ST-QA-ZZ5'!$C$5:$M$299,11,0),"Inspection at production line")</f>
        <v>Inspection at production line</v>
      </c>
    </row>
    <row r="5110" spans="1:4" ht="13.8">
      <c r="A5110" s="47" t="s">
        <v>11271</v>
      </c>
      <c r="B5110" s="92" t="s">
        <v>10991</v>
      </c>
      <c r="C5110" s="92" t="s">
        <v>11272</v>
      </c>
      <c r="D5110" s="72" t="str">
        <f>IFERROR(VLOOKUP(A5110,'[1]ST-QA-ZZ5'!$C$5:$M$299,11,0),"Inspection at production line")</f>
        <v>Inspection at production line</v>
      </c>
    </row>
    <row r="5111" spans="1:4" ht="13.8">
      <c r="A5111" s="47" t="s">
        <v>11273</v>
      </c>
      <c r="B5111" s="92" t="s">
        <v>11084</v>
      </c>
      <c r="C5111" s="92" t="s">
        <v>11272</v>
      </c>
      <c r="D5111" s="72" t="str">
        <f>IFERROR(VLOOKUP(A5111,'[1]ST-QA-ZZ5'!$C$5:$M$299,11,0),"Inspection at production line")</f>
        <v>Inspection at production line</v>
      </c>
    </row>
    <row r="5112" spans="1:4" ht="13.8">
      <c r="A5112" s="47" t="s">
        <v>11274</v>
      </c>
      <c r="B5112" s="92" t="s">
        <v>174</v>
      </c>
      <c r="C5112" s="92" t="s">
        <v>11275</v>
      </c>
      <c r="D5112" s="72" t="str">
        <f>IFERROR(VLOOKUP(A5112,'[1]ST-QA-ZZ5'!$C$5:$M$299,11,0),"Inspection at production line")</f>
        <v>Inspection at production line</v>
      </c>
    </row>
    <row r="5113" spans="1:4" ht="13.8">
      <c r="A5113" s="47" t="s">
        <v>11276</v>
      </c>
      <c r="B5113" s="92" t="s">
        <v>174</v>
      </c>
      <c r="C5113" s="92" t="s">
        <v>10795</v>
      </c>
      <c r="D5113" s="72" t="str">
        <f>IFERROR(VLOOKUP(A5113,'[1]ST-QA-ZZ5'!$C$5:$M$299,11,0),"Inspection at production line")</f>
        <v>Inspection at production line</v>
      </c>
    </row>
    <row r="5114" spans="1:4" ht="13.8">
      <c r="A5114" s="47" t="s">
        <v>11277</v>
      </c>
      <c r="B5114" s="92" t="s">
        <v>174</v>
      </c>
      <c r="C5114" s="92" t="s">
        <v>11278</v>
      </c>
      <c r="D5114" s="72" t="str">
        <f>IFERROR(VLOOKUP(A5114,'[1]ST-QA-ZZ5'!$C$5:$M$299,11,0),"Inspection at production line")</f>
        <v>Inspection at production line</v>
      </c>
    </row>
    <row r="5115" spans="1:4" ht="13.8">
      <c r="A5115" s="47" t="s">
        <v>11279</v>
      </c>
      <c r="B5115" s="92" t="s">
        <v>11280</v>
      </c>
      <c r="C5115" s="92" t="s">
        <v>11281</v>
      </c>
      <c r="D5115" s="72" t="str">
        <f>IFERROR(VLOOKUP(A5115,'[1]ST-QA-ZZ5'!$C$5:$M$299,11,0),"Inspection at production line")</f>
        <v>Inspection at production line</v>
      </c>
    </row>
    <row r="5116" spans="1:4" ht="13.8">
      <c r="A5116" s="47" t="s">
        <v>11282</v>
      </c>
      <c r="B5116" s="92" t="s">
        <v>10721</v>
      </c>
      <c r="C5116" s="92" t="s">
        <v>11283</v>
      </c>
      <c r="D5116" s="72" t="str">
        <f>IFERROR(VLOOKUP(A5116,'[1]ST-QA-ZZ5'!$C$5:$M$299,11,0),"Inspection at production line")</f>
        <v>Inspection at production line</v>
      </c>
    </row>
    <row r="5117" spans="1:4" ht="13.8">
      <c r="A5117" s="47" t="s">
        <v>11284</v>
      </c>
      <c r="B5117" s="92" t="s">
        <v>11285</v>
      </c>
      <c r="C5117" s="92" t="s">
        <v>11286</v>
      </c>
      <c r="D5117" s="72" t="str">
        <f>IFERROR(VLOOKUP(A5117,'[1]ST-QA-ZZ5'!$C$5:$M$299,11,0),"Inspection at production line")</f>
        <v>Inspection at production line</v>
      </c>
    </row>
    <row r="5118" spans="1:4" ht="13.8">
      <c r="A5118" s="47" t="s">
        <v>11287</v>
      </c>
      <c r="B5118" s="92" t="s">
        <v>10721</v>
      </c>
      <c r="C5118" s="92" t="s">
        <v>11288</v>
      </c>
      <c r="D5118" s="72" t="str">
        <f>IFERROR(VLOOKUP(A5118,'[1]ST-QA-ZZ5'!$C$5:$M$299,11,0),"Inspection at production line")</f>
        <v>Inspection at production line</v>
      </c>
    </row>
    <row r="5119" spans="1:4" ht="13.8">
      <c r="A5119" s="47" t="s">
        <v>11289</v>
      </c>
      <c r="B5119" s="92" t="s">
        <v>11280</v>
      </c>
      <c r="C5119" s="92" t="s">
        <v>11005</v>
      </c>
      <c r="D5119" s="72" t="str">
        <f>IFERROR(VLOOKUP(A5119,'[1]ST-QA-ZZ5'!$C$5:$M$299,11,0),"Inspection at production line")</f>
        <v>Inspection at production line</v>
      </c>
    </row>
    <row r="5120" spans="1:4" ht="13.8">
      <c r="A5120" s="47" t="s">
        <v>11290</v>
      </c>
      <c r="B5120" s="92" t="s">
        <v>11280</v>
      </c>
      <c r="C5120" s="92" t="s">
        <v>11291</v>
      </c>
      <c r="D5120" s="72" t="str">
        <f>IFERROR(VLOOKUP(A5120,'[1]ST-QA-ZZ5'!$C$5:$M$299,11,0),"Inspection at production line")</f>
        <v>Inspection at production line</v>
      </c>
    </row>
    <row r="5121" spans="1:4" ht="13.8">
      <c r="A5121" s="47" t="s">
        <v>11292</v>
      </c>
      <c r="B5121" s="92" t="s">
        <v>11293</v>
      </c>
      <c r="C5121" s="92" t="s">
        <v>11002</v>
      </c>
      <c r="D5121" s="72" t="str">
        <f>IFERROR(VLOOKUP(A5121,'[1]ST-QA-ZZ5'!$C$5:$M$299,11,0),"Inspection at production line")</f>
        <v>Inspection at production line</v>
      </c>
    </row>
    <row r="5122" spans="1:4" ht="13.8">
      <c r="A5122" s="47" t="s">
        <v>11294</v>
      </c>
      <c r="B5122" s="92" t="s">
        <v>11105</v>
      </c>
      <c r="C5122" s="92" t="s">
        <v>11295</v>
      </c>
      <c r="D5122" s="72" t="str">
        <f>IFERROR(VLOOKUP(A5122,'[1]ST-QA-ZZ5'!$C$5:$M$299,11,0),"Inspection at production line")</f>
        <v>Inspection at production line</v>
      </c>
    </row>
    <row r="5123" spans="1:4" ht="13.8">
      <c r="A5123" s="47" t="s">
        <v>11296</v>
      </c>
      <c r="B5123" s="92" t="s">
        <v>9823</v>
      </c>
      <c r="C5123" s="92" t="s">
        <v>11297</v>
      </c>
      <c r="D5123" s="72" t="str">
        <f>IFERROR(VLOOKUP(A5123,'[1]ST-QA-ZZ5'!$C$5:$M$299,11,0),"Inspection at production line")</f>
        <v>Inspection at production line</v>
      </c>
    </row>
    <row r="5124" spans="1:4" ht="13.8">
      <c r="A5124" s="47" t="s">
        <v>11298</v>
      </c>
      <c r="B5124" s="92" t="s">
        <v>11105</v>
      </c>
      <c r="C5124" s="92" t="s">
        <v>10799</v>
      </c>
      <c r="D5124" s="72" t="str">
        <f>IFERROR(VLOOKUP(A5124,'[1]ST-QA-ZZ5'!$C$5:$M$299,11,0),"Inspection at production line")</f>
        <v>Inspection at production line</v>
      </c>
    </row>
    <row r="5125" spans="1:4" ht="13.8">
      <c r="A5125" s="47" t="s">
        <v>11299</v>
      </c>
      <c r="B5125" s="92" t="s">
        <v>9823</v>
      </c>
      <c r="C5125" s="92" t="s">
        <v>11300</v>
      </c>
      <c r="D5125" s="72" t="str">
        <f>IFERROR(VLOOKUP(A5125,'[1]ST-QA-ZZ5'!$C$5:$M$299,11,0),"Inspection at production line")</f>
        <v>Inspection at production line</v>
      </c>
    </row>
    <row r="5126" spans="1:4" ht="13.8">
      <c r="A5126" s="47" t="s">
        <v>11301</v>
      </c>
      <c r="B5126" s="92" t="s">
        <v>11103</v>
      </c>
      <c r="C5126" s="92" t="s">
        <v>11000</v>
      </c>
      <c r="D5126" s="72" t="str">
        <f>IFERROR(VLOOKUP(A5126,'[1]ST-QA-ZZ5'!$C$5:$M$299,11,0),"Inspection at production line")</f>
        <v>Inspection at production line</v>
      </c>
    </row>
    <row r="5127" spans="1:4" ht="13.8">
      <c r="A5127" s="47" t="s">
        <v>11302</v>
      </c>
      <c r="B5127" s="92" t="s">
        <v>9823</v>
      </c>
      <c r="C5127" s="92" t="s">
        <v>11303</v>
      </c>
      <c r="D5127" s="72" t="str">
        <f>IFERROR(VLOOKUP(A5127,'[1]ST-QA-ZZ5'!$C$5:$M$299,11,0),"Inspection at production line")</f>
        <v>Inspection at production line</v>
      </c>
    </row>
    <row r="5128" spans="1:4" ht="13.8">
      <c r="A5128" s="47" t="s">
        <v>11304</v>
      </c>
      <c r="B5128" s="92" t="s">
        <v>9823</v>
      </c>
      <c r="C5128" s="92" t="s">
        <v>11305</v>
      </c>
      <c r="D5128" s="72" t="str">
        <f>IFERROR(VLOOKUP(A5128,'[1]ST-QA-ZZ5'!$C$5:$M$299,11,0),"Inspection at production line")</f>
        <v>Inspection at production line</v>
      </c>
    </row>
    <row r="5129" spans="1:4" ht="13.8">
      <c r="A5129" s="47" t="s">
        <v>11306</v>
      </c>
      <c r="B5129" s="92" t="s">
        <v>9823</v>
      </c>
      <c r="C5129" s="92" t="s">
        <v>11307</v>
      </c>
      <c r="D5129" s="72" t="str">
        <f>IFERROR(VLOOKUP(A5129,'[1]ST-QA-ZZ5'!$C$5:$M$299,11,0),"Inspection at production line")</f>
        <v>Inspection at production line</v>
      </c>
    </row>
    <row r="5130" spans="1:4" ht="13.8">
      <c r="A5130" s="47" t="s">
        <v>11308</v>
      </c>
      <c r="B5130" s="92" t="s">
        <v>9823</v>
      </c>
      <c r="C5130" s="92" t="s">
        <v>11309</v>
      </c>
      <c r="D5130" s="72" t="str">
        <f>IFERROR(VLOOKUP(A5130,'[1]ST-QA-ZZ5'!$C$5:$M$299,11,0),"Inspection at production line")</f>
        <v>Inspection at production line</v>
      </c>
    </row>
    <row r="5131" spans="1:4" ht="13.8">
      <c r="A5131" s="47" t="s">
        <v>11310</v>
      </c>
      <c r="B5131" s="92" t="s">
        <v>9823</v>
      </c>
      <c r="C5131" s="92" t="s">
        <v>11311</v>
      </c>
      <c r="D5131" s="72" t="str">
        <f>IFERROR(VLOOKUP(A5131,'[1]ST-QA-ZZ5'!$C$5:$M$299,11,0),"Inspection at production line")</f>
        <v>Inspection at production line</v>
      </c>
    </row>
    <row r="5132" spans="1:4" ht="13.8">
      <c r="A5132" s="47" t="s">
        <v>11312</v>
      </c>
      <c r="B5132" s="92" t="s">
        <v>9823</v>
      </c>
      <c r="C5132" s="92" t="s">
        <v>11313</v>
      </c>
      <c r="D5132" s="72" t="str">
        <f>IFERROR(VLOOKUP(A5132,'[1]ST-QA-ZZ5'!$C$5:$M$299,11,0),"Inspection at production line")</f>
        <v>Inspection at production line</v>
      </c>
    </row>
    <row r="5133" spans="1:4" ht="13.8">
      <c r="A5133" s="47" t="s">
        <v>11314</v>
      </c>
      <c r="B5133" s="92" t="s">
        <v>9823</v>
      </c>
      <c r="C5133" s="92" t="s">
        <v>11315</v>
      </c>
      <c r="D5133" s="72" t="str">
        <f>IFERROR(VLOOKUP(A5133,'[1]ST-QA-ZZ5'!$C$5:$M$299,11,0),"Inspection at production line")</f>
        <v>Inspection at production line</v>
      </c>
    </row>
    <row r="5134" spans="1:4" ht="13.8">
      <c r="A5134" s="47" t="s">
        <v>11316</v>
      </c>
      <c r="B5134" s="92" t="s">
        <v>9823</v>
      </c>
      <c r="C5134" s="92" t="s">
        <v>11317</v>
      </c>
      <c r="D5134" s="72" t="str">
        <f>IFERROR(VLOOKUP(A5134,'[1]ST-QA-ZZ5'!$C$5:$M$299,11,0),"Inspection at production line")</f>
        <v>Inspection at production line</v>
      </c>
    </row>
    <row r="5135" spans="1:4" ht="13.8">
      <c r="A5135" s="47" t="s">
        <v>11318</v>
      </c>
      <c r="B5135" s="92" t="s">
        <v>9823</v>
      </c>
      <c r="C5135" s="92" t="s">
        <v>11319</v>
      </c>
      <c r="D5135" s="72" t="str">
        <f>IFERROR(VLOOKUP(A5135,'[1]ST-QA-ZZ5'!$C$5:$M$299,11,0),"Inspection at production line")</f>
        <v>Inspection at production line</v>
      </c>
    </row>
    <row r="5136" spans="1:4" ht="13.8">
      <c r="A5136" s="47" t="s">
        <v>11320</v>
      </c>
      <c r="B5136" s="92" t="s">
        <v>9823</v>
      </c>
      <c r="C5136" s="92" t="s">
        <v>11321</v>
      </c>
      <c r="D5136" s="72" t="str">
        <f>IFERROR(VLOOKUP(A5136,'[1]ST-QA-ZZ5'!$C$5:$M$299,11,0),"Inspection at production line")</f>
        <v>Inspection at production line</v>
      </c>
    </row>
    <row r="5137" spans="1:4" ht="13.8">
      <c r="A5137" s="47" t="s">
        <v>11322</v>
      </c>
      <c r="B5137" s="92" t="s">
        <v>9823</v>
      </c>
      <c r="C5137" s="92" t="s">
        <v>11323</v>
      </c>
      <c r="D5137" s="72" t="str">
        <f>IFERROR(VLOOKUP(A5137,'[1]ST-QA-ZZ5'!$C$5:$M$299,11,0),"Inspection at production line")</f>
        <v>Inspection at production line</v>
      </c>
    </row>
    <row r="5138" spans="1:4" ht="13.8">
      <c r="A5138" s="47" t="s">
        <v>11324</v>
      </c>
      <c r="B5138" s="92" t="s">
        <v>9823</v>
      </c>
      <c r="C5138" s="92" t="s">
        <v>11325</v>
      </c>
      <c r="D5138" s="72" t="str">
        <f>IFERROR(VLOOKUP(A5138,'[1]ST-QA-ZZ5'!$C$5:$M$299,11,0),"Inspection at production line")</f>
        <v>Inspection at production line</v>
      </c>
    </row>
    <row r="5139" spans="1:4" ht="13.8">
      <c r="A5139" s="47" t="s">
        <v>11326</v>
      </c>
      <c r="B5139" s="92" t="s">
        <v>9823</v>
      </c>
      <c r="C5139" s="92" t="s">
        <v>11327</v>
      </c>
      <c r="D5139" s="72" t="str">
        <f>IFERROR(VLOOKUP(A5139,'[1]ST-QA-ZZ5'!$C$5:$M$299,11,0),"Inspection at production line")</f>
        <v>Inspection at production line</v>
      </c>
    </row>
    <row r="5140" spans="1:4" ht="13.8">
      <c r="A5140" s="47" t="s">
        <v>11328</v>
      </c>
      <c r="B5140" s="92" t="s">
        <v>9823</v>
      </c>
      <c r="C5140" s="92" t="s">
        <v>11329</v>
      </c>
      <c r="D5140" s="72" t="str">
        <f>IFERROR(VLOOKUP(A5140,'[1]ST-QA-ZZ5'!$C$5:$M$299,11,0),"Inspection at production line")</f>
        <v>Inspection at production line</v>
      </c>
    </row>
    <row r="5141" spans="1:4" ht="13.8">
      <c r="A5141" s="47" t="s">
        <v>11330</v>
      </c>
      <c r="B5141" s="92" t="s">
        <v>9823</v>
      </c>
      <c r="C5141" s="92" t="s">
        <v>11331</v>
      </c>
      <c r="D5141" s="72" t="str">
        <f>IFERROR(VLOOKUP(A5141,'[1]ST-QA-ZZ5'!$C$5:$M$299,11,0),"Inspection at production line")</f>
        <v>Inspection at production line</v>
      </c>
    </row>
    <row r="5142" spans="1:4" ht="13.8">
      <c r="A5142" s="47" t="s">
        <v>11332</v>
      </c>
      <c r="B5142" s="92" t="s">
        <v>9823</v>
      </c>
      <c r="C5142" s="92" t="s">
        <v>11333</v>
      </c>
      <c r="D5142" s="72" t="str">
        <f>IFERROR(VLOOKUP(A5142,'[1]ST-QA-ZZ5'!$C$5:$M$299,11,0),"Inspection at production line")</f>
        <v>Inspection at production line</v>
      </c>
    </row>
    <row r="5143" spans="1:4" ht="13.8">
      <c r="A5143" s="47" t="s">
        <v>11334</v>
      </c>
      <c r="B5143" s="92" t="s">
        <v>9823</v>
      </c>
      <c r="C5143" s="92" t="s">
        <v>11335</v>
      </c>
      <c r="D5143" s="72" t="str">
        <f>IFERROR(VLOOKUP(A5143,'[1]ST-QA-ZZ5'!$C$5:$M$299,11,0),"Inspection at production line")</f>
        <v>Inspection at production line</v>
      </c>
    </row>
    <row r="5144" spans="1:4" ht="13.8">
      <c r="A5144" s="47" t="s">
        <v>11336</v>
      </c>
      <c r="B5144" s="92" t="s">
        <v>9823</v>
      </c>
      <c r="C5144" s="92" t="s">
        <v>11337</v>
      </c>
      <c r="D5144" s="72" t="str">
        <f>IFERROR(VLOOKUP(A5144,'[1]ST-QA-ZZ5'!$C$5:$M$299,11,0),"Inspection at production line")</f>
        <v>Inspection at production line</v>
      </c>
    </row>
    <row r="5145" spans="1:4" ht="13.8">
      <c r="A5145" s="47" t="s">
        <v>11338</v>
      </c>
      <c r="B5145" s="92" t="s">
        <v>9823</v>
      </c>
      <c r="C5145" s="92" t="s">
        <v>11339</v>
      </c>
      <c r="D5145" s="72" t="str">
        <f>IFERROR(VLOOKUP(A5145,'[1]ST-QA-ZZ5'!$C$5:$M$299,11,0),"Inspection at production line")</f>
        <v>Inspection at production line</v>
      </c>
    </row>
    <row r="5146" spans="1:4" ht="13.8">
      <c r="A5146" s="47" t="s">
        <v>11340</v>
      </c>
      <c r="B5146" s="92" t="s">
        <v>9823</v>
      </c>
      <c r="C5146" s="92" t="s">
        <v>11341</v>
      </c>
      <c r="D5146" s="72" t="str">
        <f>IFERROR(VLOOKUP(A5146,'[1]ST-QA-ZZ5'!$C$5:$M$299,11,0),"Inspection at production line")</f>
        <v>Inspection at production line</v>
      </c>
    </row>
    <row r="5147" spans="1:4" ht="13.8">
      <c r="A5147" s="47" t="s">
        <v>11342</v>
      </c>
      <c r="B5147" s="92" t="s">
        <v>4772</v>
      </c>
      <c r="C5147" s="92" t="s">
        <v>3466</v>
      </c>
      <c r="D5147" s="72" t="str">
        <f>IFERROR(VLOOKUP(A5147,'[1]ST-QA-ZZ5'!$C$5:$M$299,11,0),"Inspection at production line")</f>
        <v>Inspection at production line</v>
      </c>
    </row>
    <row r="5148" spans="1:4" ht="13.8">
      <c r="A5148" s="47" t="s">
        <v>11343</v>
      </c>
      <c r="B5148" s="92" t="s">
        <v>4772</v>
      </c>
      <c r="C5148" s="94" t="s">
        <v>11344</v>
      </c>
      <c r="D5148" s="72" t="str">
        <f>IFERROR(VLOOKUP(A5148,'[1]ST-QA-ZZ5'!$C$5:$M$299,11,0),"Inspection at production line")</f>
        <v>Inspection at production line</v>
      </c>
    </row>
    <row r="5149" spans="1:4" ht="13.8">
      <c r="A5149" s="47" t="s">
        <v>11345</v>
      </c>
      <c r="B5149" s="92" t="s">
        <v>11081</v>
      </c>
      <c r="C5149" s="92" t="s">
        <v>11346</v>
      </c>
      <c r="D5149" s="72" t="str">
        <f>IFERROR(VLOOKUP(A5149,'[1]ST-QA-ZZ5'!$C$5:$M$299,11,0),"Inspection at production line")</f>
        <v>Inspection at production line</v>
      </c>
    </row>
    <row r="5150" spans="1:4" ht="13.8">
      <c r="A5150" s="47" t="s">
        <v>11347</v>
      </c>
      <c r="B5150" s="92" t="s">
        <v>11081</v>
      </c>
      <c r="C5150" s="92" t="s">
        <v>11348</v>
      </c>
      <c r="D5150" s="72" t="str">
        <f>IFERROR(VLOOKUP(A5150,'[1]ST-QA-ZZ5'!$C$5:$M$299,11,0),"Inspection at production line")</f>
        <v>Inspection at production line</v>
      </c>
    </row>
    <row r="5151" spans="1:4" ht="13.8">
      <c r="A5151" s="47" t="s">
        <v>11349</v>
      </c>
      <c r="B5151" s="92" t="s">
        <v>10531</v>
      </c>
      <c r="C5151" s="92" t="s">
        <v>11350</v>
      </c>
      <c r="D5151" s="72" t="str">
        <f>IFERROR(VLOOKUP(A5151,'[1]ST-QA-ZZ5'!$C$5:$M$299,11,0),"Inspection at production line")</f>
        <v>Inspection at production line</v>
      </c>
    </row>
    <row r="5152" spans="1:4" ht="13.8">
      <c r="A5152" s="47" t="s">
        <v>11351</v>
      </c>
      <c r="B5152" s="92" t="s">
        <v>10517</v>
      </c>
      <c r="C5152" s="92" t="s">
        <v>11352</v>
      </c>
      <c r="D5152" s="72" t="str">
        <f>IFERROR(VLOOKUP(A5152,'[1]ST-QA-ZZ5'!$C$5:$M$299,11,0),"Inspection at production line")</f>
        <v>Inspection at production line</v>
      </c>
    </row>
    <row r="5153" spans="1:4" ht="13.8">
      <c r="A5153" s="47" t="s">
        <v>11353</v>
      </c>
      <c r="B5153" s="92" t="s">
        <v>10517</v>
      </c>
      <c r="C5153" s="92" t="s">
        <v>11354</v>
      </c>
      <c r="D5153" s="72" t="str">
        <f>IFERROR(VLOOKUP(A5153,'[1]ST-QA-ZZ5'!$C$5:$M$299,11,0),"Inspection at production line")</f>
        <v>Inspection at production line</v>
      </c>
    </row>
    <row r="5154" spans="1:4" ht="13.8">
      <c r="A5154" s="47" t="s">
        <v>11355</v>
      </c>
      <c r="B5154" s="92" t="s">
        <v>10517</v>
      </c>
      <c r="C5154" s="92" t="s">
        <v>11356</v>
      </c>
      <c r="D5154" s="72" t="str">
        <f>IFERROR(VLOOKUP(A5154,'[1]ST-QA-ZZ5'!$C$5:$M$299,11,0),"Inspection at production line")</f>
        <v>Inspection at production line</v>
      </c>
    </row>
    <row r="5155" spans="1:4" ht="13.8">
      <c r="A5155" s="47" t="s">
        <v>11357</v>
      </c>
      <c r="B5155" s="92" t="s">
        <v>10485</v>
      </c>
      <c r="C5155" s="92" t="s">
        <v>11358</v>
      </c>
      <c r="D5155" s="72" t="str">
        <f>IFERROR(VLOOKUP(A5155,'[1]ST-QA-ZZ5'!$C$5:$M$299,11,0),"Inspection at production line")</f>
        <v>Inspection at production line</v>
      </c>
    </row>
    <row r="5156" spans="1:4" ht="13.8">
      <c r="A5156" s="47" t="s">
        <v>11359</v>
      </c>
      <c r="B5156" s="92" t="s">
        <v>10485</v>
      </c>
      <c r="C5156" s="92" t="s">
        <v>11360</v>
      </c>
      <c r="D5156" s="72" t="str">
        <f>IFERROR(VLOOKUP(A5156,'[1]ST-QA-ZZ5'!$C$5:$M$299,11,0),"Inspection at production line")</f>
        <v>Inspection at production line</v>
      </c>
    </row>
    <row r="5157" spans="1:4" ht="13.8">
      <c r="A5157" s="47" t="s">
        <v>11361</v>
      </c>
      <c r="B5157" s="92" t="s">
        <v>10485</v>
      </c>
      <c r="C5157" s="92" t="s">
        <v>11362</v>
      </c>
      <c r="D5157" s="72" t="str">
        <f>IFERROR(VLOOKUP(A5157,'[1]ST-QA-ZZ5'!$C$5:$M$299,11,0),"Inspection at production line")</f>
        <v>Inspection at production line</v>
      </c>
    </row>
    <row r="5158" spans="1:4" ht="13.8">
      <c r="A5158" s="47" t="s">
        <v>11363</v>
      </c>
      <c r="B5158" s="92" t="s">
        <v>10485</v>
      </c>
      <c r="C5158" s="92" t="s">
        <v>11364</v>
      </c>
      <c r="D5158" s="72" t="str">
        <f>IFERROR(VLOOKUP(A5158,'[1]ST-QA-ZZ5'!$C$5:$M$299,11,0),"Inspection at production line")</f>
        <v>Inspection at production line</v>
      </c>
    </row>
    <row r="5159" spans="1:4" ht="13.8">
      <c r="A5159" s="47" t="s">
        <v>11365</v>
      </c>
      <c r="B5159" s="92" t="s">
        <v>10485</v>
      </c>
      <c r="C5159" s="92" t="s">
        <v>11366</v>
      </c>
      <c r="D5159" s="72" t="str">
        <f>IFERROR(VLOOKUP(A5159,'[1]ST-QA-ZZ5'!$C$5:$M$299,11,0),"Inspection at production line")</f>
        <v>Inspection at production line</v>
      </c>
    </row>
    <row r="5160" spans="1:4" ht="13.8">
      <c r="A5160" s="47" t="s">
        <v>11367</v>
      </c>
      <c r="B5160" s="92" t="s">
        <v>10485</v>
      </c>
      <c r="C5160" s="92" t="s">
        <v>11368</v>
      </c>
      <c r="D5160" s="72" t="str">
        <f>IFERROR(VLOOKUP(A5160,'[1]ST-QA-ZZ5'!$C$5:$M$299,11,0),"Inspection at production line")</f>
        <v>Inspection at production line</v>
      </c>
    </row>
    <row r="5161" spans="1:4" ht="13.8">
      <c r="A5161" s="47" t="s">
        <v>11369</v>
      </c>
      <c r="B5161" s="92" t="s">
        <v>10485</v>
      </c>
      <c r="C5161" s="92" t="s">
        <v>11370</v>
      </c>
      <c r="D5161" s="72" t="str">
        <f>IFERROR(VLOOKUP(A5161,'[1]ST-QA-ZZ5'!$C$5:$M$299,11,0),"Inspection at production line")</f>
        <v>Inspection at production line</v>
      </c>
    </row>
    <row r="5162" spans="1:4" ht="13.8">
      <c r="A5162" s="47" t="s">
        <v>11371</v>
      </c>
      <c r="B5162" s="92" t="s">
        <v>10485</v>
      </c>
      <c r="C5162" s="92" t="s">
        <v>11372</v>
      </c>
      <c r="D5162" s="72" t="str">
        <f>IFERROR(VLOOKUP(A5162,'[1]ST-QA-ZZ5'!$C$5:$M$299,11,0),"Inspection at production line")</f>
        <v>Inspection at production line</v>
      </c>
    </row>
    <row r="5163" spans="1:4" ht="13.8">
      <c r="A5163" s="47" t="s">
        <v>11373</v>
      </c>
      <c r="B5163" s="92" t="s">
        <v>10485</v>
      </c>
      <c r="C5163" s="92" t="s">
        <v>11374</v>
      </c>
      <c r="D5163" s="72" t="str">
        <f>IFERROR(VLOOKUP(A5163,'[1]ST-QA-ZZ5'!$C$5:$M$299,11,0),"Inspection at production line")</f>
        <v>Inspection at production line</v>
      </c>
    </row>
    <row r="5164" spans="1:4" ht="13.8">
      <c r="A5164" s="47" t="s">
        <v>11375</v>
      </c>
      <c r="B5164" s="92" t="s">
        <v>10458</v>
      </c>
      <c r="C5164" s="92" t="s">
        <v>11376</v>
      </c>
      <c r="D5164" s="72" t="str">
        <f>IFERROR(VLOOKUP(A5164,'[1]ST-QA-ZZ5'!$C$5:$M$299,11,0),"Inspection at production line")</f>
        <v>Inspection at production line</v>
      </c>
    </row>
    <row r="5165" spans="1:4" ht="13.8">
      <c r="A5165" s="47" t="s">
        <v>11377</v>
      </c>
      <c r="B5165" s="92" t="s">
        <v>11114</v>
      </c>
      <c r="C5165" s="92" t="s">
        <v>11378</v>
      </c>
      <c r="D5165" s="72" t="str">
        <f>IFERROR(VLOOKUP(A5165,'[1]ST-QA-ZZ5'!$C$5:$M$299,11,0),"Inspection at production line")</f>
        <v>Inspection at production line</v>
      </c>
    </row>
    <row r="5166" spans="1:4" ht="13.8">
      <c r="A5166" s="47" t="s">
        <v>11379</v>
      </c>
      <c r="B5166" s="92" t="s">
        <v>10458</v>
      </c>
      <c r="C5166" s="92" t="s">
        <v>11380</v>
      </c>
      <c r="D5166" s="72" t="str">
        <f>IFERROR(VLOOKUP(A5166,'[1]ST-QA-ZZ5'!$C$5:$M$299,11,0),"Inspection at production line")</f>
        <v>Inspection at production line</v>
      </c>
    </row>
    <row r="5167" spans="1:4" ht="13.8">
      <c r="A5167" s="47" t="s">
        <v>11381</v>
      </c>
      <c r="B5167" s="92" t="s">
        <v>10458</v>
      </c>
      <c r="C5167" s="92" t="s">
        <v>11382</v>
      </c>
      <c r="D5167" s="72" t="str">
        <f>IFERROR(VLOOKUP(A5167,'[1]ST-QA-ZZ5'!$C$5:$M$299,11,0),"Inspection at production line")</f>
        <v>Inspection at production line</v>
      </c>
    </row>
    <row r="5168" spans="1:4" ht="13.8">
      <c r="A5168" s="47" t="s">
        <v>11383</v>
      </c>
      <c r="B5168" s="92" t="s">
        <v>10458</v>
      </c>
      <c r="C5168" s="92" t="s">
        <v>11384</v>
      </c>
      <c r="D5168" s="72" t="str">
        <f>IFERROR(VLOOKUP(A5168,'[1]ST-QA-ZZ5'!$C$5:$M$299,11,0),"Inspection at production line")</f>
        <v>Inspection at production line</v>
      </c>
    </row>
    <row r="5169" spans="1:4" ht="13.8">
      <c r="A5169" s="47" t="s">
        <v>11385</v>
      </c>
      <c r="B5169" s="92" t="s">
        <v>10458</v>
      </c>
      <c r="C5169" s="92" t="s">
        <v>11386</v>
      </c>
      <c r="D5169" s="72" t="str">
        <f>IFERROR(VLOOKUP(A5169,'[1]ST-QA-ZZ5'!$C$5:$M$299,11,0),"Inspection at production line")</f>
        <v>Inspection at production line</v>
      </c>
    </row>
    <row r="5170" spans="1:4" ht="13.8">
      <c r="A5170" s="47" t="s">
        <v>11387</v>
      </c>
      <c r="B5170" s="92" t="s">
        <v>10458</v>
      </c>
      <c r="C5170" s="92" t="s">
        <v>11388</v>
      </c>
      <c r="D5170" s="72" t="str">
        <f>IFERROR(VLOOKUP(A5170,'[1]ST-QA-ZZ5'!$C$5:$M$299,11,0),"Inspection at production line")</f>
        <v>Inspection at production line</v>
      </c>
    </row>
    <row r="5171" spans="1:4" ht="13.8">
      <c r="A5171" s="47" t="s">
        <v>11389</v>
      </c>
      <c r="B5171" s="92" t="s">
        <v>10458</v>
      </c>
      <c r="C5171" s="92" t="s">
        <v>11390</v>
      </c>
      <c r="D5171" s="72" t="str">
        <f>IFERROR(VLOOKUP(A5171,'[1]ST-QA-ZZ5'!$C$5:$M$299,11,0),"Inspection at production line")</f>
        <v>Inspection at production line</v>
      </c>
    </row>
    <row r="5172" spans="1:4" ht="13.8">
      <c r="A5172" s="47" t="s">
        <v>11391</v>
      </c>
      <c r="B5172" s="92" t="s">
        <v>10458</v>
      </c>
      <c r="C5172" s="92" t="s">
        <v>11392</v>
      </c>
      <c r="D5172" s="72" t="str">
        <f>IFERROR(VLOOKUP(A5172,'[1]ST-QA-ZZ5'!$C$5:$M$299,11,0),"Inspection at production line")</f>
        <v>Inspection at production line</v>
      </c>
    </row>
    <row r="5173" spans="1:4" ht="13.8">
      <c r="A5173" s="47" t="s">
        <v>11393</v>
      </c>
      <c r="B5173" s="92" t="s">
        <v>10458</v>
      </c>
      <c r="C5173" s="92" t="s">
        <v>11394</v>
      </c>
      <c r="D5173" s="72" t="str">
        <f>IFERROR(VLOOKUP(A5173,'[1]ST-QA-ZZ5'!$C$5:$M$299,11,0),"Inspection at production line")</f>
        <v>Inspection at production line</v>
      </c>
    </row>
    <row r="5174" spans="1:4" ht="13.8">
      <c r="A5174" s="47" t="s">
        <v>11395</v>
      </c>
      <c r="B5174" s="92" t="s">
        <v>10458</v>
      </c>
      <c r="C5174" s="92" t="s">
        <v>11396</v>
      </c>
      <c r="D5174" s="72" t="str">
        <f>IFERROR(VLOOKUP(A5174,'[1]ST-QA-ZZ5'!$C$5:$M$299,11,0),"Inspection at production line")</f>
        <v>Inspection at production line</v>
      </c>
    </row>
    <row r="5175" spans="1:4" ht="13.8">
      <c r="A5175" s="47" t="s">
        <v>11397</v>
      </c>
      <c r="B5175" s="92" t="s">
        <v>10458</v>
      </c>
      <c r="C5175" s="92" t="s">
        <v>11398</v>
      </c>
      <c r="D5175" s="72" t="str">
        <f>IFERROR(VLOOKUP(A5175,'[1]ST-QA-ZZ5'!$C$5:$M$299,11,0),"Inspection at production line")</f>
        <v>Inspection at production line</v>
      </c>
    </row>
    <row r="5176" spans="1:4" ht="13.8">
      <c r="A5176" s="47" t="s">
        <v>11399</v>
      </c>
      <c r="B5176" s="92" t="s">
        <v>10458</v>
      </c>
      <c r="C5176" s="92" t="s">
        <v>11400</v>
      </c>
      <c r="D5176" s="72" t="str">
        <f>IFERROR(VLOOKUP(A5176,'[1]ST-QA-ZZ5'!$C$5:$M$299,11,0),"Inspection at production line")</f>
        <v>Inspection at production line</v>
      </c>
    </row>
    <row r="5177" spans="1:4" ht="13.8">
      <c r="A5177" s="47" t="s">
        <v>11401</v>
      </c>
      <c r="B5177" s="92" t="s">
        <v>10458</v>
      </c>
      <c r="C5177" s="92" t="s">
        <v>11402</v>
      </c>
      <c r="D5177" s="72" t="str">
        <f>IFERROR(VLOOKUP(A5177,'[1]ST-QA-ZZ5'!$C$5:$M$299,11,0),"Inspection at production line")</f>
        <v>Inspection at production line</v>
      </c>
    </row>
    <row r="5178" spans="1:4" ht="13.8">
      <c r="A5178" s="47" t="s">
        <v>11403</v>
      </c>
      <c r="B5178" s="92" t="s">
        <v>10458</v>
      </c>
      <c r="C5178" s="94" t="s">
        <v>11404</v>
      </c>
      <c r="D5178" s="72" t="str">
        <f>IFERROR(VLOOKUP(A5178,'[1]ST-QA-ZZ5'!$C$5:$M$299,11,0),"Inspection at production line")</f>
        <v>Inspection at production line</v>
      </c>
    </row>
    <row r="5179" spans="1:4" ht="13.8">
      <c r="A5179" s="47" t="s">
        <v>11405</v>
      </c>
      <c r="B5179" s="92" t="s">
        <v>10458</v>
      </c>
      <c r="C5179" s="92" t="s">
        <v>11406</v>
      </c>
      <c r="D5179" s="72" t="str">
        <f>IFERROR(VLOOKUP(A5179,'[1]ST-QA-ZZ5'!$C$5:$M$299,11,0),"Inspection at production line")</f>
        <v>Inspection at production line</v>
      </c>
    </row>
    <row r="5180" spans="1:4" ht="13.8">
      <c r="A5180" s="47" t="s">
        <v>11407</v>
      </c>
      <c r="B5180" s="92" t="s">
        <v>10458</v>
      </c>
      <c r="C5180" s="92" t="s">
        <v>11408</v>
      </c>
      <c r="D5180" s="72" t="str">
        <f>IFERROR(VLOOKUP(A5180,'[1]ST-QA-ZZ5'!$C$5:$M$299,11,0),"Inspection at production line")</f>
        <v>Inspection at production line</v>
      </c>
    </row>
    <row r="5181" spans="1:4" ht="13.8">
      <c r="A5181" s="47" t="s">
        <v>11409</v>
      </c>
      <c r="B5181" s="92" t="s">
        <v>10458</v>
      </c>
      <c r="C5181" s="92" t="s">
        <v>11410</v>
      </c>
      <c r="D5181" s="72" t="str">
        <f>IFERROR(VLOOKUP(A5181,'[1]ST-QA-ZZ5'!$C$5:$M$299,11,0),"Inspection at production line")</f>
        <v>Inspection at production line</v>
      </c>
    </row>
    <row r="5182" spans="1:4" ht="13.8">
      <c r="A5182" s="47" t="s">
        <v>11411</v>
      </c>
      <c r="B5182" s="92" t="s">
        <v>10458</v>
      </c>
      <c r="C5182" s="92" t="s">
        <v>11412</v>
      </c>
      <c r="D5182" s="72" t="str">
        <f>IFERROR(VLOOKUP(A5182,'[1]ST-QA-ZZ5'!$C$5:$M$299,11,0),"Inspection at production line")</f>
        <v>Inspection at production line</v>
      </c>
    </row>
    <row r="5183" spans="1:4" ht="13.8">
      <c r="A5183" s="47" t="s">
        <v>11413</v>
      </c>
      <c r="B5183" s="92" t="s">
        <v>10458</v>
      </c>
      <c r="C5183" s="92" t="s">
        <v>11414</v>
      </c>
      <c r="D5183" s="72" t="str">
        <f>IFERROR(VLOOKUP(A5183,'[1]ST-QA-ZZ5'!$C$5:$M$299,11,0),"Inspection at production line")</f>
        <v>Inspection at production line</v>
      </c>
    </row>
    <row r="5184" spans="1:4" ht="13.8">
      <c r="A5184" s="47" t="s">
        <v>11415</v>
      </c>
      <c r="B5184" s="92" t="s">
        <v>10458</v>
      </c>
      <c r="C5184" s="92" t="s">
        <v>11416</v>
      </c>
      <c r="D5184" s="72" t="str">
        <f>IFERROR(VLOOKUP(A5184,'[1]ST-QA-ZZ5'!$C$5:$M$299,11,0),"Inspection at production line")</f>
        <v>Inspection at production line</v>
      </c>
    </row>
    <row r="5185" spans="1:4" ht="13.8">
      <c r="A5185" s="47" t="s">
        <v>11417</v>
      </c>
      <c r="B5185" s="92" t="s">
        <v>10458</v>
      </c>
      <c r="C5185" s="92" t="s">
        <v>11418</v>
      </c>
      <c r="D5185" s="72" t="str">
        <f>IFERROR(VLOOKUP(A5185,'[1]ST-QA-ZZ5'!$C$5:$M$299,11,0),"Inspection at production line")</f>
        <v>Inspection at production line</v>
      </c>
    </row>
    <row r="5186" spans="1:4" ht="13.8">
      <c r="A5186" s="47" t="s">
        <v>11419</v>
      </c>
      <c r="B5186" s="92" t="s">
        <v>10458</v>
      </c>
      <c r="C5186" s="92" t="s">
        <v>11420</v>
      </c>
      <c r="D5186" s="72" t="str">
        <f>IFERROR(VLOOKUP(A5186,'[1]ST-QA-ZZ5'!$C$5:$M$299,11,0),"Inspection at production line")</f>
        <v>Inspection at production line</v>
      </c>
    </row>
    <row r="5187" spans="1:4" ht="13.8">
      <c r="A5187" s="47" t="s">
        <v>11421</v>
      </c>
      <c r="B5187" s="92" t="s">
        <v>10458</v>
      </c>
      <c r="C5187" s="92" t="s">
        <v>11422</v>
      </c>
      <c r="D5187" s="72" t="str">
        <f>IFERROR(VLOOKUP(A5187,'[1]ST-QA-ZZ5'!$C$5:$M$299,11,0),"Inspection at production line")</f>
        <v>Inspection at production line</v>
      </c>
    </row>
    <row r="5188" spans="1:4" ht="13.8">
      <c r="A5188" s="47" t="s">
        <v>11423</v>
      </c>
      <c r="B5188" s="92" t="s">
        <v>10458</v>
      </c>
      <c r="C5188" s="92" t="s">
        <v>11424</v>
      </c>
      <c r="D5188" s="72" t="str">
        <f>IFERROR(VLOOKUP(A5188,'[1]ST-QA-ZZ5'!$C$5:$M$299,11,0),"Inspection at production line")</f>
        <v>Inspection at production line</v>
      </c>
    </row>
    <row r="5189" spans="1:4" ht="13.8">
      <c r="A5189" s="47" t="s">
        <v>11425</v>
      </c>
      <c r="B5189" s="92" t="s">
        <v>10458</v>
      </c>
      <c r="C5189" s="92" t="s">
        <v>11426</v>
      </c>
      <c r="D5189" s="72" t="str">
        <f>IFERROR(VLOOKUP(A5189,'[1]ST-QA-ZZ5'!$C$5:$M$299,11,0),"Inspection at production line")</f>
        <v>Inspection at production line</v>
      </c>
    </row>
    <row r="5190" spans="1:4" ht="13.8">
      <c r="A5190" s="47" t="s">
        <v>11427</v>
      </c>
      <c r="B5190" s="92" t="s">
        <v>10458</v>
      </c>
      <c r="C5190" s="92" t="s">
        <v>11428</v>
      </c>
      <c r="D5190" s="72" t="str">
        <f>IFERROR(VLOOKUP(A5190,'[1]ST-QA-ZZ5'!$C$5:$M$299,11,0),"Inspection at production line")</f>
        <v>Inspection at production line</v>
      </c>
    </row>
    <row r="5191" spans="1:4" ht="13.8">
      <c r="A5191" s="47" t="s">
        <v>11429</v>
      </c>
      <c r="B5191" s="92" t="s">
        <v>10458</v>
      </c>
      <c r="C5191" s="92" t="s">
        <v>11430</v>
      </c>
      <c r="D5191" s="72" t="str">
        <f>IFERROR(VLOOKUP(A5191,'[1]ST-QA-ZZ5'!$C$5:$M$299,11,0),"Inspection at production line")</f>
        <v>Inspection at production line</v>
      </c>
    </row>
    <row r="5192" spans="1:4" ht="13.8">
      <c r="A5192" s="47" t="s">
        <v>11431</v>
      </c>
      <c r="B5192" s="92" t="s">
        <v>10458</v>
      </c>
      <c r="C5192" s="94" t="s">
        <v>11432</v>
      </c>
      <c r="D5192" s="72" t="str">
        <f>IFERROR(VLOOKUP(A5192,'[1]ST-QA-ZZ5'!$C$5:$M$299,11,0),"Inspection at production line")</f>
        <v>Inspection at production line</v>
      </c>
    </row>
    <row r="5193" spans="1:4" ht="13.8">
      <c r="A5193" s="47" t="s">
        <v>11433</v>
      </c>
      <c r="B5193" s="92" t="s">
        <v>10458</v>
      </c>
      <c r="C5193" s="92" t="s">
        <v>11434</v>
      </c>
      <c r="D5193" s="72" t="str">
        <f>IFERROR(VLOOKUP(A5193,'[1]ST-QA-ZZ5'!$C$5:$M$299,11,0),"Inspection at production line")</f>
        <v>Inspection at production line</v>
      </c>
    </row>
    <row r="5194" spans="1:4" ht="13.8">
      <c r="A5194" s="47" t="s">
        <v>11435</v>
      </c>
      <c r="B5194" s="92" t="s">
        <v>10458</v>
      </c>
      <c r="C5194" s="92" t="s">
        <v>11436</v>
      </c>
      <c r="D5194" s="72" t="str">
        <f>IFERROR(VLOOKUP(A5194,'[1]ST-QA-ZZ5'!$C$5:$M$299,11,0),"Inspection at production line")</f>
        <v>Inspection at production line</v>
      </c>
    </row>
    <row r="5195" spans="1:4" ht="13.8">
      <c r="A5195" s="47" t="s">
        <v>11437</v>
      </c>
      <c r="B5195" s="92" t="s">
        <v>10458</v>
      </c>
      <c r="C5195" s="92" t="s">
        <v>11438</v>
      </c>
      <c r="D5195" s="72" t="str">
        <f>IFERROR(VLOOKUP(A5195,'[1]ST-QA-ZZ5'!$C$5:$M$299,11,0),"Inspection at production line")</f>
        <v>Inspection at production line</v>
      </c>
    </row>
    <row r="5196" spans="1:4" ht="13.8">
      <c r="A5196" s="47" t="s">
        <v>11439</v>
      </c>
      <c r="B5196" s="92" t="s">
        <v>10458</v>
      </c>
      <c r="C5196" s="92" t="s">
        <v>11440</v>
      </c>
      <c r="D5196" s="72" t="str">
        <f>IFERROR(VLOOKUP(A5196,'[1]ST-QA-ZZ5'!$C$5:$M$299,11,0),"Inspection at production line")</f>
        <v>Inspection at production line</v>
      </c>
    </row>
    <row r="5197" spans="1:4" ht="13.8">
      <c r="A5197" s="47" t="s">
        <v>11441</v>
      </c>
      <c r="B5197" s="92" t="s">
        <v>10458</v>
      </c>
      <c r="C5197" s="92" t="s">
        <v>11442</v>
      </c>
      <c r="D5197" s="72" t="str">
        <f>IFERROR(VLOOKUP(A5197,'[1]ST-QA-ZZ5'!$C$5:$M$299,11,0),"Inspection at production line")</f>
        <v>Inspection at production line</v>
      </c>
    </row>
    <row r="5198" spans="1:4" ht="13.8">
      <c r="A5198" s="47" t="s">
        <v>11443</v>
      </c>
      <c r="B5198" s="92" t="s">
        <v>10458</v>
      </c>
      <c r="C5198" s="92" t="s">
        <v>11444</v>
      </c>
      <c r="D5198" s="72" t="str">
        <f>IFERROR(VLOOKUP(A5198,'[1]ST-QA-ZZ5'!$C$5:$M$299,11,0),"Inspection at production line")</f>
        <v>Inspection at production line</v>
      </c>
    </row>
    <row r="5199" spans="1:4" ht="13.8">
      <c r="A5199" s="47" t="s">
        <v>11445</v>
      </c>
      <c r="B5199" s="92" t="s">
        <v>10458</v>
      </c>
      <c r="C5199" s="92" t="s">
        <v>11446</v>
      </c>
      <c r="D5199" s="72" t="str">
        <f>IFERROR(VLOOKUP(A5199,'[1]ST-QA-ZZ5'!$C$5:$M$299,11,0),"Inspection at production line")</f>
        <v>Inspection at production line</v>
      </c>
    </row>
    <row r="5200" spans="1:4" ht="13.8">
      <c r="A5200" s="47" t="s">
        <v>11447</v>
      </c>
      <c r="B5200" s="92" t="s">
        <v>10458</v>
      </c>
      <c r="C5200" s="92" t="s">
        <v>11448</v>
      </c>
      <c r="D5200" s="72" t="str">
        <f>IFERROR(VLOOKUP(A5200,'[1]ST-QA-ZZ5'!$C$5:$M$299,11,0),"Inspection at production line")</f>
        <v>Inspection at production line</v>
      </c>
    </row>
    <row r="5201" spans="1:4" ht="13.8">
      <c r="A5201" s="47" t="s">
        <v>11449</v>
      </c>
      <c r="B5201" s="92" t="s">
        <v>10458</v>
      </c>
      <c r="C5201" s="92" t="s">
        <v>11450</v>
      </c>
      <c r="D5201" s="72" t="str">
        <f>IFERROR(VLOOKUP(A5201,'[1]ST-QA-ZZ5'!$C$5:$M$299,11,0),"Inspection at production line")</f>
        <v>Inspection at production line</v>
      </c>
    </row>
    <row r="5202" spans="1:4" ht="13.8">
      <c r="A5202" s="47" t="s">
        <v>11451</v>
      </c>
      <c r="B5202" s="92" t="s">
        <v>10485</v>
      </c>
      <c r="C5202" s="92" t="s">
        <v>11452</v>
      </c>
      <c r="D5202" s="72" t="str">
        <f>IFERROR(VLOOKUP(A5202,'[1]ST-QA-ZZ5'!$C$5:$M$299,11,0),"Inspection at production line")</f>
        <v>Inspection at production line</v>
      </c>
    </row>
    <row r="5203" spans="1:4" ht="13.8">
      <c r="A5203" s="47" t="s">
        <v>11453</v>
      </c>
      <c r="B5203" s="92" t="s">
        <v>10485</v>
      </c>
      <c r="C5203" s="92" t="s">
        <v>11366</v>
      </c>
      <c r="D5203" s="72" t="str">
        <f>IFERROR(VLOOKUP(A5203,'[1]ST-QA-ZZ5'!$C$5:$M$299,11,0),"Inspection at production line")</f>
        <v>Inspection at production line</v>
      </c>
    </row>
    <row r="5204" spans="1:4" ht="13.8">
      <c r="A5204" s="47" t="s">
        <v>11454</v>
      </c>
      <c r="B5204" s="92" t="s">
        <v>10458</v>
      </c>
      <c r="C5204" s="92" t="s">
        <v>11455</v>
      </c>
      <c r="D5204" s="72" t="str">
        <f>IFERROR(VLOOKUP(A5204,'[1]ST-QA-ZZ5'!$C$5:$M$299,11,0),"Inspection at production line")</f>
        <v>Inspection at production line</v>
      </c>
    </row>
    <row r="5205" spans="1:4" ht="13.8">
      <c r="A5205" s="47" t="s">
        <v>11456</v>
      </c>
      <c r="B5205" s="92" t="s">
        <v>10458</v>
      </c>
      <c r="C5205" s="92" t="s">
        <v>11457</v>
      </c>
      <c r="D5205" s="72" t="str">
        <f>IFERROR(VLOOKUP(A5205,'[1]ST-QA-ZZ5'!$C$5:$M$299,11,0),"Inspection at production line")</f>
        <v>Inspection at production line</v>
      </c>
    </row>
    <row r="5206" spans="1:4" ht="13.8">
      <c r="A5206" s="47" t="s">
        <v>11458</v>
      </c>
      <c r="B5206" s="92" t="s">
        <v>10458</v>
      </c>
      <c r="C5206" s="92" t="s">
        <v>11459</v>
      </c>
      <c r="D5206" s="72" t="str">
        <f>IFERROR(VLOOKUP(A5206,'[1]ST-QA-ZZ5'!$C$5:$M$299,11,0),"Inspection at production line")</f>
        <v>Inspection at production line</v>
      </c>
    </row>
    <row r="5207" spans="1:4" ht="13.8">
      <c r="A5207" s="47" t="s">
        <v>11460</v>
      </c>
      <c r="B5207" s="92" t="s">
        <v>10458</v>
      </c>
      <c r="C5207" s="92" t="s">
        <v>11461</v>
      </c>
      <c r="D5207" s="72" t="str">
        <f>IFERROR(VLOOKUP(A5207,'[1]ST-QA-ZZ5'!$C$5:$M$299,11,0),"Inspection at production line")</f>
        <v>Inspection at production line</v>
      </c>
    </row>
    <row r="5208" spans="1:4" ht="13.8">
      <c r="A5208" s="47" t="s">
        <v>11462</v>
      </c>
      <c r="B5208" s="92" t="s">
        <v>10458</v>
      </c>
      <c r="C5208" s="92" t="s">
        <v>11463</v>
      </c>
      <c r="D5208" s="72" t="str">
        <f>IFERROR(VLOOKUP(A5208,'[1]ST-QA-ZZ5'!$C$5:$M$299,11,0),"Inspection at production line")</f>
        <v>Inspection at production line</v>
      </c>
    </row>
    <row r="5209" spans="1:4" ht="13.8">
      <c r="A5209" s="47" t="s">
        <v>11464</v>
      </c>
      <c r="B5209" s="92" t="s">
        <v>10458</v>
      </c>
      <c r="C5209" s="92" t="s">
        <v>11465</v>
      </c>
      <c r="D5209" s="72" t="str">
        <f>IFERROR(VLOOKUP(A5209,'[1]ST-QA-ZZ5'!$C$5:$M$299,11,0),"Inspection at production line")</f>
        <v>Inspection at production line</v>
      </c>
    </row>
    <row r="5210" spans="1:4" ht="13.8">
      <c r="A5210" s="47" t="s">
        <v>11466</v>
      </c>
      <c r="B5210" s="92" t="s">
        <v>10458</v>
      </c>
      <c r="C5210" s="92" t="s">
        <v>11467</v>
      </c>
      <c r="D5210" s="72" t="str">
        <f>IFERROR(VLOOKUP(A5210,'[1]ST-QA-ZZ5'!$C$5:$M$299,11,0),"Inspection at production line")</f>
        <v>Inspection at production line</v>
      </c>
    </row>
    <row r="5211" spans="1:4" ht="13.8">
      <c r="A5211" s="47" t="s">
        <v>11468</v>
      </c>
      <c r="B5211" s="92" t="s">
        <v>10458</v>
      </c>
      <c r="C5211" s="92" t="s">
        <v>11469</v>
      </c>
      <c r="D5211" s="72" t="str">
        <f>IFERROR(VLOOKUP(A5211,'[1]ST-QA-ZZ5'!$C$5:$M$299,11,0),"Inspection at production line")</f>
        <v>Inspection at production line</v>
      </c>
    </row>
    <row r="5212" spans="1:4" ht="13.8">
      <c r="A5212" s="47" t="s">
        <v>11470</v>
      </c>
      <c r="B5212" s="92" t="s">
        <v>10458</v>
      </c>
      <c r="C5212" s="92" t="s">
        <v>11471</v>
      </c>
      <c r="D5212" s="72" t="str">
        <f>IFERROR(VLOOKUP(A5212,'[1]ST-QA-ZZ5'!$C$5:$M$299,11,0),"Inspection at production line")</f>
        <v>Inspection at production line</v>
      </c>
    </row>
    <row r="5213" spans="1:4" ht="13.8">
      <c r="A5213" s="47" t="s">
        <v>11472</v>
      </c>
      <c r="B5213" s="92" t="s">
        <v>10458</v>
      </c>
      <c r="C5213" s="92" t="s">
        <v>11473</v>
      </c>
      <c r="D5213" s="72" t="str">
        <f>IFERROR(VLOOKUP(A5213,'[1]ST-QA-ZZ5'!$C$5:$M$299,11,0),"Inspection at production line")</f>
        <v>Inspection at production line</v>
      </c>
    </row>
    <row r="5214" spans="1:4" ht="13.8">
      <c r="A5214" s="47" t="s">
        <v>11474</v>
      </c>
      <c r="B5214" s="92" t="s">
        <v>10458</v>
      </c>
      <c r="C5214" s="92" t="s">
        <v>11475</v>
      </c>
      <c r="D5214" s="72" t="str">
        <f>IFERROR(VLOOKUP(A5214,'[1]ST-QA-ZZ5'!$C$5:$M$299,11,0),"Inspection at production line")</f>
        <v>Inspection at production line</v>
      </c>
    </row>
    <row r="5215" spans="1:4" ht="13.8">
      <c r="A5215" s="47" t="s">
        <v>11476</v>
      </c>
      <c r="B5215" s="92" t="s">
        <v>10458</v>
      </c>
      <c r="C5215" s="92" t="s">
        <v>11477</v>
      </c>
      <c r="D5215" s="72" t="str">
        <f>IFERROR(VLOOKUP(A5215,'[1]ST-QA-ZZ5'!$C$5:$M$299,11,0),"Inspection at production line")</f>
        <v>Inspection at production line</v>
      </c>
    </row>
    <row r="5216" spans="1:4" ht="13.8">
      <c r="A5216" s="47" t="s">
        <v>11478</v>
      </c>
      <c r="B5216" s="92" t="s">
        <v>10458</v>
      </c>
      <c r="C5216" s="92" t="s">
        <v>11479</v>
      </c>
      <c r="D5216" s="72" t="str">
        <f>IFERROR(VLOOKUP(A5216,'[1]ST-QA-ZZ5'!$C$5:$M$299,11,0),"Inspection at production line")</f>
        <v>Inspection at production line</v>
      </c>
    </row>
    <row r="5217" spans="1:4" ht="13.8">
      <c r="A5217" s="47" t="s">
        <v>11480</v>
      </c>
      <c r="B5217" s="92" t="s">
        <v>9823</v>
      </c>
      <c r="C5217" s="92" t="s">
        <v>11481</v>
      </c>
      <c r="D5217" s="72" t="str">
        <f>IFERROR(VLOOKUP(A5217,'[1]ST-QA-ZZ5'!$C$5:$M$299,11,0),"Inspection at production line")</f>
        <v>Inspection at production line</v>
      </c>
    </row>
    <row r="5218" spans="1:4" ht="13.8">
      <c r="A5218" s="47" t="s">
        <v>11482</v>
      </c>
      <c r="B5218" s="92" t="s">
        <v>10485</v>
      </c>
      <c r="C5218" s="92" t="s">
        <v>11483</v>
      </c>
      <c r="D5218" s="72" t="str">
        <f>IFERROR(VLOOKUP(A5218,'[1]ST-QA-ZZ5'!$C$5:$M$299,11,0),"Inspection at production line")</f>
        <v>Inspection at production line</v>
      </c>
    </row>
    <row r="5219" spans="1:4" ht="13.8">
      <c r="A5219" s="47" t="s">
        <v>11484</v>
      </c>
      <c r="B5219" s="92" t="s">
        <v>10458</v>
      </c>
      <c r="C5219" s="92" t="s">
        <v>11485</v>
      </c>
      <c r="D5219" s="72" t="str">
        <f>IFERROR(VLOOKUP(A5219,'[1]ST-QA-ZZ5'!$C$5:$M$299,11,0),"Inspection at production line")</f>
        <v>Inspection at production line</v>
      </c>
    </row>
    <row r="5220" spans="1:4" ht="13.8">
      <c r="A5220" s="47" t="s">
        <v>11486</v>
      </c>
      <c r="B5220" s="92" t="s">
        <v>10458</v>
      </c>
      <c r="C5220" s="92" t="s">
        <v>11487</v>
      </c>
      <c r="D5220" s="72" t="str">
        <f>IFERROR(VLOOKUP(A5220,'[1]ST-QA-ZZ5'!$C$5:$M$299,11,0),"Inspection at production line")</f>
        <v>Inspection at production line</v>
      </c>
    </row>
    <row r="5221" spans="1:4" ht="13.8">
      <c r="A5221" s="47" t="s">
        <v>11488</v>
      </c>
      <c r="B5221" s="92" t="s">
        <v>10458</v>
      </c>
      <c r="C5221" s="92" t="s">
        <v>11489</v>
      </c>
      <c r="D5221" s="72" t="str">
        <f>IFERROR(VLOOKUP(A5221,'[1]ST-QA-ZZ5'!$C$5:$M$299,11,0),"Inspection at production line")</f>
        <v>Inspection at production line</v>
      </c>
    </row>
    <row r="5222" spans="1:4" ht="13.8">
      <c r="A5222" s="47" t="s">
        <v>11490</v>
      </c>
      <c r="B5222" s="92" t="s">
        <v>10458</v>
      </c>
      <c r="C5222" s="92" t="s">
        <v>11491</v>
      </c>
      <c r="D5222" s="72" t="str">
        <f>IFERROR(VLOOKUP(A5222,'[1]ST-QA-ZZ5'!$C$5:$M$299,11,0),"Inspection at production line")</f>
        <v>Inspection at production line</v>
      </c>
    </row>
    <row r="5223" spans="1:4" ht="13.8">
      <c r="A5223" s="47" t="s">
        <v>11492</v>
      </c>
      <c r="B5223" s="92" t="s">
        <v>9823</v>
      </c>
      <c r="C5223" s="92" t="s">
        <v>11493</v>
      </c>
      <c r="D5223" s="72" t="str">
        <f>IFERROR(VLOOKUP(A5223,'[1]ST-QA-ZZ5'!$C$5:$M$299,11,0),"Inspection at production line")</f>
        <v>Inspection at production line</v>
      </c>
    </row>
    <row r="5224" spans="1:4" ht="13.8">
      <c r="A5224" s="47" t="s">
        <v>11494</v>
      </c>
      <c r="B5224" s="92" t="s">
        <v>10458</v>
      </c>
      <c r="C5224" s="92" t="s">
        <v>11495</v>
      </c>
      <c r="D5224" s="72" t="str">
        <f>IFERROR(VLOOKUP(A5224,'[1]ST-QA-ZZ5'!$C$5:$M$299,11,0),"Inspection at production line")</f>
        <v>Inspection at production line</v>
      </c>
    </row>
    <row r="5225" spans="1:4" ht="13.8">
      <c r="A5225" s="47" t="s">
        <v>11496</v>
      </c>
      <c r="B5225" s="92" t="s">
        <v>10485</v>
      </c>
      <c r="C5225" s="92" t="s">
        <v>11105</v>
      </c>
      <c r="D5225" s="72" t="str">
        <f>IFERROR(VLOOKUP(A5225,'[1]ST-QA-ZZ5'!$C$5:$M$299,11,0),"Inspection at production line")</f>
        <v>Inspection at production line</v>
      </c>
    </row>
    <row r="5226" spans="1:4" ht="13.8">
      <c r="A5226" s="47" t="s">
        <v>11497</v>
      </c>
      <c r="B5226" s="92" t="s">
        <v>10485</v>
      </c>
      <c r="C5226" s="92" t="s">
        <v>11029</v>
      </c>
      <c r="D5226" s="72" t="str">
        <f>IFERROR(VLOOKUP(A5226,'[1]ST-QA-ZZ5'!$C$5:$M$299,11,0),"Inspection at production line")</f>
        <v>Inspection at production line</v>
      </c>
    </row>
    <row r="5227" spans="1:4" ht="13.8">
      <c r="A5227" s="47" t="s">
        <v>11498</v>
      </c>
      <c r="B5227" s="92" t="s">
        <v>9823</v>
      </c>
      <c r="C5227" s="92" t="s">
        <v>11499</v>
      </c>
      <c r="D5227" s="72" t="str">
        <f>IFERROR(VLOOKUP(A5227,'[1]ST-QA-ZZ5'!$C$5:$M$299,11,0),"Inspection at production line")</f>
        <v>Inspection at production line</v>
      </c>
    </row>
    <row r="5228" spans="1:4" ht="13.8">
      <c r="A5228" s="47" t="s">
        <v>11500</v>
      </c>
      <c r="B5228" s="92" t="s">
        <v>10458</v>
      </c>
      <c r="C5228" s="92" t="s">
        <v>11501</v>
      </c>
      <c r="D5228" s="72" t="str">
        <f>IFERROR(VLOOKUP(A5228,'[1]ST-QA-ZZ5'!$C$5:$M$299,11,0),"Inspection at production line")</f>
        <v>Inspection at production line</v>
      </c>
    </row>
    <row r="5229" spans="1:4" ht="13.8">
      <c r="A5229" s="47" t="s">
        <v>11502</v>
      </c>
      <c r="B5229" s="92" t="s">
        <v>10485</v>
      </c>
      <c r="C5229" s="92" t="s">
        <v>10818</v>
      </c>
      <c r="D5229" s="72" t="str">
        <f>IFERROR(VLOOKUP(A5229,'[1]ST-QA-ZZ5'!$C$5:$M$299,11,0),"Inspection at production line")</f>
        <v>Inspection at production line</v>
      </c>
    </row>
    <row r="5230" spans="1:4" ht="13.8">
      <c r="A5230" s="47" t="s">
        <v>11503</v>
      </c>
      <c r="B5230" s="92" t="s">
        <v>10485</v>
      </c>
      <c r="C5230" s="92" t="s">
        <v>11504</v>
      </c>
      <c r="D5230" s="72" t="str">
        <f>IFERROR(VLOOKUP(A5230,'[1]ST-QA-ZZ5'!$C$5:$M$299,11,0),"Inspection at production line")</f>
        <v>Inspection at production line</v>
      </c>
    </row>
    <row r="5231" spans="1:4" ht="13.8">
      <c r="A5231" s="47" t="s">
        <v>11505</v>
      </c>
      <c r="B5231" s="92" t="s">
        <v>10458</v>
      </c>
      <c r="C5231" s="92" t="s">
        <v>11506</v>
      </c>
      <c r="D5231" s="72" t="str">
        <f>IFERROR(VLOOKUP(A5231,'[1]ST-QA-ZZ5'!$C$5:$M$299,11,0),"Inspection at production line")</f>
        <v>Inspection at production line</v>
      </c>
    </row>
    <row r="5232" spans="1:4" ht="13.8">
      <c r="A5232" s="47" t="s">
        <v>11507</v>
      </c>
      <c r="B5232" s="92" t="s">
        <v>10458</v>
      </c>
      <c r="C5232" s="92" t="s">
        <v>11508</v>
      </c>
      <c r="D5232" s="72" t="str">
        <f>IFERROR(VLOOKUP(A5232,'[1]ST-QA-ZZ5'!$C$5:$M$299,11,0),"Inspection at production line")</f>
        <v>Inspection at production line</v>
      </c>
    </row>
    <row r="5233" spans="1:4" ht="13.8">
      <c r="A5233" s="47" t="s">
        <v>11509</v>
      </c>
      <c r="B5233" s="92" t="s">
        <v>10458</v>
      </c>
      <c r="C5233" s="92" t="s">
        <v>11510</v>
      </c>
      <c r="D5233" s="72" t="str">
        <f>IFERROR(VLOOKUP(A5233,'[1]ST-QA-ZZ5'!$C$5:$M$299,11,0),"Inspection at production line")</f>
        <v>Inspection at production line</v>
      </c>
    </row>
    <row r="5234" spans="1:4" ht="13.8">
      <c r="A5234" s="47" t="s">
        <v>11511</v>
      </c>
      <c r="B5234" s="92" t="s">
        <v>10458</v>
      </c>
      <c r="C5234" s="92" t="s">
        <v>11512</v>
      </c>
      <c r="D5234" s="72" t="str">
        <f>IFERROR(VLOOKUP(A5234,'[1]ST-QA-ZZ5'!$C$5:$M$299,11,0),"Inspection at production line")</f>
        <v>Inspection at production line</v>
      </c>
    </row>
    <row r="5235" spans="1:4" ht="13.8">
      <c r="A5235" s="47" t="s">
        <v>11513</v>
      </c>
      <c r="B5235" s="92" t="s">
        <v>10458</v>
      </c>
      <c r="C5235" s="92" t="s">
        <v>11514</v>
      </c>
      <c r="D5235" s="72" t="str">
        <f>IFERROR(VLOOKUP(A5235,'[1]ST-QA-ZZ5'!$C$5:$M$299,11,0),"Inspection at production line")</f>
        <v>Inspection at production line</v>
      </c>
    </row>
    <row r="5236" spans="1:4" ht="13.8">
      <c r="A5236" s="47" t="s">
        <v>11515</v>
      </c>
      <c r="B5236" s="92" t="s">
        <v>10458</v>
      </c>
      <c r="C5236" s="92" t="s">
        <v>11516</v>
      </c>
      <c r="D5236" s="72" t="str">
        <f>IFERROR(VLOOKUP(A5236,'[1]ST-QA-ZZ5'!$C$5:$M$299,11,0),"Inspection at production line")</f>
        <v>Inspection at production line</v>
      </c>
    </row>
    <row r="5237" spans="1:4" ht="13.8">
      <c r="A5237" s="47" t="s">
        <v>11517</v>
      </c>
      <c r="B5237" s="92" t="s">
        <v>10721</v>
      </c>
      <c r="C5237" s="92" t="s">
        <v>11518</v>
      </c>
      <c r="D5237" s="72" t="str">
        <f>IFERROR(VLOOKUP(A5237,'[1]ST-QA-ZZ5'!$C$5:$M$299,11,0),"Inspection at production line")</f>
        <v>Inspection at production line</v>
      </c>
    </row>
    <row r="5238" spans="1:4" ht="13.8">
      <c r="A5238" s="47" t="s">
        <v>11519</v>
      </c>
      <c r="B5238" s="92" t="s">
        <v>10458</v>
      </c>
      <c r="C5238" s="92" t="s">
        <v>11520</v>
      </c>
      <c r="D5238" s="72" t="str">
        <f>IFERROR(VLOOKUP(A5238,'[1]ST-QA-ZZ5'!$C$5:$M$299,11,0),"Inspection at production line")</f>
        <v>Inspection at production line</v>
      </c>
    </row>
    <row r="5239" spans="1:4" ht="13.8">
      <c r="A5239" s="47" t="s">
        <v>11521</v>
      </c>
      <c r="B5239" s="92" t="s">
        <v>10458</v>
      </c>
      <c r="C5239" s="92" t="s">
        <v>11522</v>
      </c>
      <c r="D5239" s="72" t="str">
        <f>IFERROR(VLOOKUP(A5239,'[1]ST-QA-ZZ5'!$C$5:$M$299,11,0),"Inspection at production line")</f>
        <v>Inspection at production line</v>
      </c>
    </row>
    <row r="5240" spans="1:4" ht="13.8">
      <c r="A5240" s="47" t="s">
        <v>11523</v>
      </c>
      <c r="B5240" s="92" t="s">
        <v>10458</v>
      </c>
      <c r="C5240" s="92" t="s">
        <v>11524</v>
      </c>
      <c r="D5240" s="72" t="str">
        <f>IFERROR(VLOOKUP(A5240,'[1]ST-QA-ZZ5'!$C$5:$M$299,11,0),"Inspection at production line")</f>
        <v>Inspection at production line</v>
      </c>
    </row>
    <row r="5241" spans="1:4" ht="13.8">
      <c r="A5241" s="47" t="s">
        <v>11525</v>
      </c>
      <c r="B5241" s="92" t="s">
        <v>10458</v>
      </c>
      <c r="C5241" s="92" t="s">
        <v>11526</v>
      </c>
      <c r="D5241" s="72" t="str">
        <f>IFERROR(VLOOKUP(A5241,'[1]ST-QA-ZZ5'!$C$5:$M$299,11,0),"Inspection at production line")</f>
        <v>Inspection at production line</v>
      </c>
    </row>
    <row r="5242" spans="1:4" ht="13.8">
      <c r="A5242" s="47" t="s">
        <v>11527</v>
      </c>
      <c r="B5242" s="92" t="s">
        <v>10458</v>
      </c>
      <c r="C5242" s="92" t="s">
        <v>11528</v>
      </c>
      <c r="D5242" s="72" t="str">
        <f>IFERROR(VLOOKUP(A5242,'[1]ST-QA-ZZ5'!$C$5:$M$299,11,0),"Inspection at production line")</f>
        <v>Inspection at production line</v>
      </c>
    </row>
    <row r="5243" spans="1:4" ht="13.8">
      <c r="A5243" s="47" t="s">
        <v>11529</v>
      </c>
      <c r="B5243" s="92" t="s">
        <v>9823</v>
      </c>
      <c r="C5243" s="92" t="s">
        <v>11530</v>
      </c>
      <c r="D5243" s="72" t="str">
        <f>IFERROR(VLOOKUP(A5243,'[1]ST-QA-ZZ5'!$C$5:$M$299,11,0),"Inspection at production line")</f>
        <v>Inspection at production line</v>
      </c>
    </row>
    <row r="5244" spans="1:4" ht="13.8">
      <c r="A5244" s="47" t="s">
        <v>11531</v>
      </c>
      <c r="B5244" s="92" t="s">
        <v>9823</v>
      </c>
      <c r="C5244" s="92" t="s">
        <v>11532</v>
      </c>
      <c r="D5244" s="72" t="str">
        <f>IFERROR(VLOOKUP(A5244,'[1]ST-QA-ZZ5'!$C$5:$M$299,11,0),"Inspection at production line")</f>
        <v>Inspection at production line</v>
      </c>
    </row>
    <row r="5245" spans="1:4" ht="13.8">
      <c r="A5245" s="47" t="s">
        <v>11533</v>
      </c>
      <c r="B5245" s="92" t="s">
        <v>10458</v>
      </c>
      <c r="C5245" s="92" t="s">
        <v>11534</v>
      </c>
      <c r="D5245" s="72" t="str">
        <f>IFERROR(VLOOKUP(A5245,'[1]ST-QA-ZZ5'!$C$5:$M$299,11,0),"Inspection at production line")</f>
        <v>Inspection at production line</v>
      </c>
    </row>
    <row r="5246" spans="1:4" ht="13.8">
      <c r="A5246" s="47" t="s">
        <v>11535</v>
      </c>
      <c r="B5246" s="92" t="s">
        <v>10485</v>
      </c>
      <c r="C5246" s="92" t="s">
        <v>11091</v>
      </c>
      <c r="D5246" s="72" t="str">
        <f>IFERROR(VLOOKUP(A5246,'[1]ST-QA-ZZ5'!$C$5:$M$299,11,0),"Inspection at production line")</f>
        <v>Inspection at production line</v>
      </c>
    </row>
    <row r="5247" spans="1:4" ht="13.8">
      <c r="A5247" s="47" t="s">
        <v>11536</v>
      </c>
      <c r="B5247" s="92" t="s">
        <v>10458</v>
      </c>
      <c r="C5247" s="92" t="s">
        <v>11537</v>
      </c>
      <c r="D5247" s="72" t="str">
        <f>IFERROR(VLOOKUP(A5247,'[1]ST-QA-ZZ5'!$C$5:$M$299,11,0),"Inspection at production line")</f>
        <v>Inspection at production line</v>
      </c>
    </row>
    <row r="5248" spans="1:4" ht="13.8">
      <c r="A5248" s="47" t="s">
        <v>11538</v>
      </c>
      <c r="B5248" s="92" t="s">
        <v>10458</v>
      </c>
      <c r="C5248" s="92" t="s">
        <v>11539</v>
      </c>
      <c r="D5248" s="72" t="str">
        <f>IFERROR(VLOOKUP(A5248,'[1]ST-QA-ZZ5'!$C$5:$M$299,11,0),"Inspection at production line")</f>
        <v>Inspection at production line</v>
      </c>
    </row>
    <row r="5249" spans="1:4" ht="13.8">
      <c r="A5249" s="47" t="s">
        <v>11540</v>
      </c>
      <c r="B5249" s="92" t="s">
        <v>10458</v>
      </c>
      <c r="C5249" s="92" t="s">
        <v>11541</v>
      </c>
      <c r="D5249" s="72" t="str">
        <f>IFERROR(VLOOKUP(A5249,'[1]ST-QA-ZZ5'!$C$5:$M$299,11,0),"Inspection at production line")</f>
        <v>Inspection at production line</v>
      </c>
    </row>
    <row r="5250" spans="1:4" ht="13.8">
      <c r="A5250" s="47" t="s">
        <v>11542</v>
      </c>
      <c r="B5250" s="92" t="s">
        <v>10458</v>
      </c>
      <c r="C5250" s="92" t="s">
        <v>11543</v>
      </c>
      <c r="D5250" s="72" t="str">
        <f>IFERROR(VLOOKUP(A5250,'[1]ST-QA-ZZ5'!$C$5:$M$299,11,0),"Inspection at production line")</f>
        <v>Inspection at production line</v>
      </c>
    </row>
    <row r="5251" spans="1:4" ht="13.8">
      <c r="A5251" s="47" t="s">
        <v>11544</v>
      </c>
      <c r="B5251" s="92" t="s">
        <v>10458</v>
      </c>
      <c r="C5251" s="92" t="s">
        <v>11545</v>
      </c>
      <c r="D5251" s="72" t="str">
        <f>IFERROR(VLOOKUP(A5251,'[1]ST-QA-ZZ5'!$C$5:$M$299,11,0),"Inspection at production line")</f>
        <v>Inspection at production line</v>
      </c>
    </row>
    <row r="5252" spans="1:4" ht="13.8">
      <c r="A5252" s="47" t="s">
        <v>11546</v>
      </c>
      <c r="B5252" s="92" t="s">
        <v>10458</v>
      </c>
      <c r="C5252" s="92" t="s">
        <v>11547</v>
      </c>
      <c r="D5252" s="72" t="str">
        <f>IFERROR(VLOOKUP(A5252,'[1]ST-QA-ZZ5'!$C$5:$M$299,11,0),"Inspection at production line")</f>
        <v>Inspection at production line</v>
      </c>
    </row>
    <row r="5253" spans="1:4" ht="13.8">
      <c r="A5253" s="47" t="s">
        <v>11548</v>
      </c>
      <c r="B5253" s="92" t="s">
        <v>10458</v>
      </c>
      <c r="C5253" s="92" t="s">
        <v>11549</v>
      </c>
      <c r="D5253" s="72" t="str">
        <f>IFERROR(VLOOKUP(A5253,'[1]ST-QA-ZZ5'!$C$5:$M$299,11,0),"Inspection at production line")</f>
        <v>Inspection at production line</v>
      </c>
    </row>
    <row r="5254" spans="1:4" ht="13.8">
      <c r="A5254" s="47" t="s">
        <v>11550</v>
      </c>
      <c r="B5254" s="92" t="s">
        <v>10458</v>
      </c>
      <c r="C5254" s="92" t="s">
        <v>11551</v>
      </c>
      <c r="D5254" s="72" t="str">
        <f>IFERROR(VLOOKUP(A5254,'[1]ST-QA-ZZ5'!$C$5:$M$299,11,0),"Inspection at production line")</f>
        <v>Inspection at production line</v>
      </c>
    </row>
    <row r="5255" spans="1:4" ht="13.8">
      <c r="A5255" s="47" t="s">
        <v>11552</v>
      </c>
      <c r="B5255" s="92" t="s">
        <v>10485</v>
      </c>
      <c r="C5255" s="92" t="s">
        <v>11553</v>
      </c>
      <c r="D5255" s="72" t="str">
        <f>IFERROR(VLOOKUP(A5255,'[1]ST-QA-ZZ5'!$C$5:$M$299,11,0),"Inspection at production line")</f>
        <v>Inspection at production line</v>
      </c>
    </row>
    <row r="5256" spans="1:4" ht="13.8">
      <c r="A5256" s="47" t="s">
        <v>11554</v>
      </c>
      <c r="B5256" s="92" t="s">
        <v>10458</v>
      </c>
      <c r="C5256" s="92" t="s">
        <v>11555</v>
      </c>
      <c r="D5256" s="72" t="str">
        <f>IFERROR(VLOOKUP(A5256,'[1]ST-QA-ZZ5'!$C$5:$M$299,11,0),"Inspection at production line")</f>
        <v>Inspection at production line</v>
      </c>
    </row>
    <row r="5257" spans="1:4" ht="13.8">
      <c r="A5257" s="47" t="s">
        <v>11556</v>
      </c>
      <c r="B5257" s="92" t="s">
        <v>10458</v>
      </c>
      <c r="C5257" s="92" t="s">
        <v>11469</v>
      </c>
      <c r="D5257" s="72" t="str">
        <f>IFERROR(VLOOKUP(A5257,'[1]ST-QA-ZZ5'!$C$5:$M$299,11,0),"Inspection at production line")</f>
        <v>Inspection at production line</v>
      </c>
    </row>
    <row r="5258" spans="1:4" ht="13.8">
      <c r="A5258" s="47" t="s">
        <v>11557</v>
      </c>
      <c r="B5258" s="92" t="s">
        <v>10458</v>
      </c>
      <c r="C5258" s="92" t="s">
        <v>11558</v>
      </c>
      <c r="D5258" s="72" t="str">
        <f>IFERROR(VLOOKUP(A5258,'[1]ST-QA-ZZ5'!$C$5:$M$299,11,0),"Inspection at production line")</f>
        <v>Inspection at production line</v>
      </c>
    </row>
    <row r="5259" spans="1:4" ht="13.8">
      <c r="A5259" s="47" t="s">
        <v>11559</v>
      </c>
      <c r="B5259" s="92" t="s">
        <v>10531</v>
      </c>
      <c r="C5259" s="92" t="s">
        <v>11560</v>
      </c>
      <c r="D5259" s="72" t="str">
        <f>IFERROR(VLOOKUP(A5259,'[1]ST-QA-ZZ5'!$C$5:$M$299,11,0),"Inspection at production line")</f>
        <v>Inspection at production line</v>
      </c>
    </row>
    <row r="5260" spans="1:4" ht="13.8">
      <c r="A5260" s="47" t="s">
        <v>11561</v>
      </c>
      <c r="B5260" s="92" t="s">
        <v>10458</v>
      </c>
      <c r="C5260" s="92" t="s">
        <v>11562</v>
      </c>
      <c r="D5260" s="72" t="str">
        <f>IFERROR(VLOOKUP(A5260,'[1]ST-QA-ZZ5'!$C$5:$M$299,11,0),"Inspection at production line")</f>
        <v>Inspection at production line</v>
      </c>
    </row>
    <row r="5261" spans="1:4" ht="13.8">
      <c r="A5261" s="47" t="s">
        <v>11563</v>
      </c>
      <c r="B5261" s="92" t="s">
        <v>10485</v>
      </c>
      <c r="C5261" s="92" t="s">
        <v>11564</v>
      </c>
      <c r="D5261" s="72" t="str">
        <f>IFERROR(VLOOKUP(A5261,'[1]ST-QA-ZZ5'!$C$5:$M$299,11,0),"Inspection at production line")</f>
        <v>Inspection at production line</v>
      </c>
    </row>
    <row r="5262" spans="1:4" ht="13.8">
      <c r="A5262" s="47" t="s">
        <v>11565</v>
      </c>
      <c r="B5262" s="92" t="s">
        <v>9823</v>
      </c>
      <c r="C5262" s="92" t="s">
        <v>11566</v>
      </c>
      <c r="D5262" s="72" t="str">
        <f>IFERROR(VLOOKUP(A5262,'[1]ST-QA-ZZ5'!$C$5:$M$299,11,0),"Inspection at production line")</f>
        <v>Inspection at production line</v>
      </c>
    </row>
    <row r="5263" spans="1:4" ht="13.8">
      <c r="A5263" s="47" t="s">
        <v>11567</v>
      </c>
      <c r="B5263" s="92" t="s">
        <v>9823</v>
      </c>
      <c r="C5263" s="92" t="s">
        <v>11568</v>
      </c>
      <c r="D5263" s="72" t="str">
        <f>IFERROR(VLOOKUP(A5263,'[1]ST-QA-ZZ5'!$C$5:$M$299,11,0),"Inspection at production line")</f>
        <v>Inspection at production line</v>
      </c>
    </row>
    <row r="5264" spans="1:4" ht="13.8">
      <c r="A5264" s="47" t="s">
        <v>11569</v>
      </c>
      <c r="B5264" s="92" t="s">
        <v>10458</v>
      </c>
      <c r="C5264" s="92" t="s">
        <v>11570</v>
      </c>
      <c r="D5264" s="72" t="str">
        <f>IFERROR(VLOOKUP(A5264,'[1]ST-QA-ZZ5'!$C$5:$M$299,11,0),"Inspection at production line")</f>
        <v>Inspection at production line</v>
      </c>
    </row>
    <row r="5265" spans="1:4" ht="13.8">
      <c r="A5265" s="47" t="s">
        <v>11571</v>
      </c>
      <c r="B5265" s="92" t="s">
        <v>10458</v>
      </c>
      <c r="C5265" s="92" t="s">
        <v>11572</v>
      </c>
      <c r="D5265" s="72" t="str">
        <f>IFERROR(VLOOKUP(A5265,'[1]ST-QA-ZZ5'!$C$5:$M$299,11,0),"Inspection at production line")</f>
        <v>Inspection at production line</v>
      </c>
    </row>
    <row r="5266" spans="1:4" ht="13.8">
      <c r="A5266" s="47" t="s">
        <v>11573</v>
      </c>
      <c r="B5266" s="92" t="s">
        <v>10458</v>
      </c>
      <c r="C5266" s="92" t="s">
        <v>11574</v>
      </c>
      <c r="D5266" s="72" t="str">
        <f>IFERROR(VLOOKUP(A5266,'[1]ST-QA-ZZ5'!$C$5:$M$299,11,0),"Inspection at production line")</f>
        <v>Inspection at production line</v>
      </c>
    </row>
    <row r="5267" spans="1:4" ht="13.8">
      <c r="A5267" s="47" t="s">
        <v>11575</v>
      </c>
      <c r="B5267" s="92" t="s">
        <v>10458</v>
      </c>
      <c r="C5267" s="92" t="s">
        <v>11576</v>
      </c>
      <c r="D5267" s="72" t="str">
        <f>IFERROR(VLOOKUP(A5267,'[1]ST-QA-ZZ5'!$C$5:$M$299,11,0),"Inspection at production line")</f>
        <v>Inspection at production line</v>
      </c>
    </row>
    <row r="5268" spans="1:4" ht="13.8">
      <c r="A5268" s="47" t="s">
        <v>11577</v>
      </c>
      <c r="B5268" s="92" t="s">
        <v>10485</v>
      </c>
      <c r="C5268" s="92" t="s">
        <v>11280</v>
      </c>
      <c r="D5268" s="72" t="str">
        <f>IFERROR(VLOOKUP(A5268,'[1]ST-QA-ZZ5'!$C$5:$M$299,11,0),"Inspection at production line")</f>
        <v>Inspection at production line</v>
      </c>
    </row>
    <row r="5269" spans="1:4" ht="13.8">
      <c r="A5269" s="47" t="s">
        <v>11578</v>
      </c>
      <c r="B5269" s="92" t="s">
        <v>10458</v>
      </c>
      <c r="C5269" s="92" t="s">
        <v>11579</v>
      </c>
      <c r="D5269" s="72" t="str">
        <f>IFERROR(VLOOKUP(A5269,'[1]ST-QA-ZZ5'!$C$5:$M$299,11,0),"Inspection at production line")</f>
        <v>Inspection at production line</v>
      </c>
    </row>
    <row r="5270" spans="1:4" ht="13.8">
      <c r="A5270" s="47" t="s">
        <v>11580</v>
      </c>
      <c r="B5270" s="92" t="s">
        <v>9823</v>
      </c>
      <c r="C5270" s="92" t="s">
        <v>11051</v>
      </c>
      <c r="D5270" s="72" t="str">
        <f>IFERROR(VLOOKUP(A5270,'[1]ST-QA-ZZ5'!$C$5:$M$299,11,0),"Inspection at production line")</f>
        <v>Inspection at production line</v>
      </c>
    </row>
    <row r="5271" spans="1:4" ht="13.8">
      <c r="A5271" s="47" t="s">
        <v>11581</v>
      </c>
      <c r="B5271" s="92" t="s">
        <v>10458</v>
      </c>
      <c r="C5271" s="92" t="s">
        <v>11582</v>
      </c>
      <c r="D5271" s="72" t="str">
        <f>IFERROR(VLOOKUP(A5271,'[1]ST-QA-ZZ5'!$C$5:$M$299,11,0),"Inspection at production line")</f>
        <v>Inspection at production line</v>
      </c>
    </row>
    <row r="5272" spans="1:4" ht="13.8">
      <c r="A5272" s="47" t="s">
        <v>11583</v>
      </c>
      <c r="B5272" s="92" t="s">
        <v>9823</v>
      </c>
      <c r="C5272" s="92" t="s">
        <v>11584</v>
      </c>
      <c r="D5272" s="72" t="str">
        <f>IFERROR(VLOOKUP(A5272,'[1]ST-QA-ZZ5'!$C$5:$M$299,11,0),"Inspection at production line")</f>
        <v>Inspection at production line</v>
      </c>
    </row>
    <row r="5273" spans="1:4" ht="13.8">
      <c r="A5273" s="47" t="s">
        <v>11585</v>
      </c>
      <c r="B5273" s="92" t="s">
        <v>9823</v>
      </c>
      <c r="C5273" s="92" t="s">
        <v>11586</v>
      </c>
      <c r="D5273" s="72" t="str">
        <f>IFERROR(VLOOKUP(A5273,'[1]ST-QA-ZZ5'!$C$5:$M$299,11,0),"Inspection at production line")</f>
        <v>Inspection at production line</v>
      </c>
    </row>
    <row r="5274" spans="1:4" ht="13.8">
      <c r="A5274" s="47" t="s">
        <v>11587</v>
      </c>
      <c r="B5274" s="92" t="s">
        <v>10531</v>
      </c>
      <c r="C5274" s="92" t="s">
        <v>11588</v>
      </c>
      <c r="D5274" s="72" t="str">
        <f>IFERROR(VLOOKUP(A5274,'[1]ST-QA-ZZ5'!$C$5:$M$299,11,0),"Inspection at production line")</f>
        <v>Inspection at production line</v>
      </c>
    </row>
    <row r="5275" spans="1:4" ht="13.8">
      <c r="A5275" s="47" t="s">
        <v>11589</v>
      </c>
      <c r="B5275" s="92" t="s">
        <v>10485</v>
      </c>
      <c r="C5275" s="92" t="s">
        <v>11590</v>
      </c>
      <c r="D5275" s="72" t="str">
        <f>IFERROR(VLOOKUP(A5275,'[1]ST-QA-ZZ5'!$C$5:$M$299,11,0),"Inspection at production line")</f>
        <v>Inspection at production line</v>
      </c>
    </row>
    <row r="5276" spans="1:4" ht="13.8">
      <c r="A5276" s="47" t="s">
        <v>11591</v>
      </c>
      <c r="B5276" s="92" t="s">
        <v>10458</v>
      </c>
      <c r="C5276" s="92" t="s">
        <v>11592</v>
      </c>
      <c r="D5276" s="72" t="str">
        <f>IFERROR(VLOOKUP(A5276,'[1]ST-QA-ZZ5'!$C$5:$M$299,11,0),"Inspection at production line")</f>
        <v>Inspection at production line</v>
      </c>
    </row>
    <row r="5277" spans="1:4" ht="13.8">
      <c r="A5277" s="47" t="s">
        <v>11593</v>
      </c>
      <c r="B5277" s="92" t="s">
        <v>10458</v>
      </c>
      <c r="C5277" s="92" t="s">
        <v>11594</v>
      </c>
      <c r="D5277" s="72" t="str">
        <f>IFERROR(VLOOKUP(A5277,'[1]ST-QA-ZZ5'!$C$5:$M$299,11,0),"Inspection at production line")</f>
        <v>Inspection at production line</v>
      </c>
    </row>
    <row r="5278" spans="1:4" ht="13.8">
      <c r="A5278" s="47" t="s">
        <v>11595</v>
      </c>
      <c r="B5278" s="92" t="s">
        <v>10458</v>
      </c>
      <c r="C5278" s="92" t="s">
        <v>11596</v>
      </c>
      <c r="D5278" s="72" t="str">
        <f>IFERROR(VLOOKUP(A5278,'[1]ST-QA-ZZ5'!$C$5:$M$299,11,0),"Inspection at production line")</f>
        <v>Inspection at production line</v>
      </c>
    </row>
    <row r="5279" spans="1:4" ht="13.8">
      <c r="A5279" s="47" t="s">
        <v>11597</v>
      </c>
      <c r="B5279" s="92" t="s">
        <v>10458</v>
      </c>
      <c r="C5279" s="92" t="s">
        <v>11598</v>
      </c>
      <c r="D5279" s="72" t="str">
        <f>IFERROR(VLOOKUP(A5279,'[1]ST-QA-ZZ5'!$C$5:$M$299,11,0),"Inspection at production line")</f>
        <v>Inspection at production line</v>
      </c>
    </row>
    <row r="5280" spans="1:4" ht="13.8">
      <c r="A5280" s="47" t="s">
        <v>11599</v>
      </c>
      <c r="B5280" s="92" t="s">
        <v>10458</v>
      </c>
      <c r="C5280" s="92" t="s">
        <v>11600</v>
      </c>
      <c r="D5280" s="72" t="str">
        <f>IFERROR(VLOOKUP(A5280,'[1]ST-QA-ZZ5'!$C$5:$M$299,11,0),"Inspection at production line")</f>
        <v>Inspection at production line</v>
      </c>
    </row>
    <row r="5281" spans="1:4" ht="13.8">
      <c r="A5281" s="47" t="s">
        <v>11601</v>
      </c>
      <c r="B5281" s="92" t="s">
        <v>10458</v>
      </c>
      <c r="C5281" s="92" t="s">
        <v>11602</v>
      </c>
      <c r="D5281" s="72" t="str">
        <f>IFERROR(VLOOKUP(A5281,'[1]ST-QA-ZZ5'!$C$5:$M$299,11,0),"Inspection at production line")</f>
        <v>Inspection at production line</v>
      </c>
    </row>
    <row r="5282" spans="1:4" ht="13.8">
      <c r="A5282" s="47" t="s">
        <v>11603</v>
      </c>
      <c r="B5282" s="92" t="s">
        <v>10458</v>
      </c>
      <c r="C5282" s="92" t="s">
        <v>11604</v>
      </c>
      <c r="D5282" s="72" t="str">
        <f>IFERROR(VLOOKUP(A5282,'[1]ST-QA-ZZ5'!$C$5:$M$299,11,0),"Inspection at production line")</f>
        <v>Inspection at production line</v>
      </c>
    </row>
    <row r="5283" spans="1:4" ht="13.8">
      <c r="A5283" s="47" t="s">
        <v>11605</v>
      </c>
      <c r="B5283" s="92" t="s">
        <v>10458</v>
      </c>
      <c r="C5283" s="92" t="s">
        <v>11606</v>
      </c>
      <c r="D5283" s="72" t="str">
        <f>IFERROR(VLOOKUP(A5283,'[1]ST-QA-ZZ5'!$C$5:$M$299,11,0),"Inspection at production line")</f>
        <v>Inspection at production line</v>
      </c>
    </row>
    <row r="5284" spans="1:4" ht="13.8">
      <c r="A5284" s="47" t="s">
        <v>11607</v>
      </c>
      <c r="B5284" s="92" t="s">
        <v>10485</v>
      </c>
      <c r="C5284" s="92" t="s">
        <v>11280</v>
      </c>
      <c r="D5284" s="72" t="str">
        <f>IFERROR(VLOOKUP(A5284,'[1]ST-QA-ZZ5'!$C$5:$M$299,11,0),"Inspection at production line")</f>
        <v>Inspection at production line</v>
      </c>
    </row>
    <row r="5285" spans="1:4" ht="13.8">
      <c r="A5285" s="47" t="s">
        <v>11608</v>
      </c>
      <c r="B5285" s="92" t="s">
        <v>10531</v>
      </c>
      <c r="C5285" s="92" t="s">
        <v>11609</v>
      </c>
      <c r="D5285" s="72" t="str">
        <f>IFERROR(VLOOKUP(A5285,'[1]ST-QA-ZZ5'!$C$5:$M$299,11,0),"Inspection at production line")</f>
        <v>Inspection at production line</v>
      </c>
    </row>
    <row r="5286" spans="1:4" ht="13.8">
      <c r="A5286" s="47" t="s">
        <v>11610</v>
      </c>
      <c r="B5286" s="92" t="s">
        <v>9823</v>
      </c>
      <c r="C5286" s="92" t="s">
        <v>11300</v>
      </c>
      <c r="D5286" s="72" t="str">
        <f>IFERROR(VLOOKUP(A5286,'[1]ST-QA-ZZ5'!$C$5:$M$299,11,0),"Inspection at production line")</f>
        <v>Inspection at production line</v>
      </c>
    </row>
    <row r="5287" spans="1:4" ht="13.8">
      <c r="A5287" s="47" t="s">
        <v>11611</v>
      </c>
      <c r="B5287" s="92" t="s">
        <v>9823</v>
      </c>
      <c r="C5287" s="92" t="s">
        <v>11612</v>
      </c>
      <c r="D5287" s="72" t="str">
        <f>IFERROR(VLOOKUP(A5287,'[1]ST-QA-ZZ5'!$C$5:$M$299,11,0),"Inspection at production line")</f>
        <v>Inspection at production line</v>
      </c>
    </row>
    <row r="5288" spans="1:4" ht="13.8">
      <c r="A5288" s="47" t="s">
        <v>11613</v>
      </c>
      <c r="B5288" s="92" t="s">
        <v>9823</v>
      </c>
      <c r="C5288" s="92" t="s">
        <v>11614</v>
      </c>
      <c r="D5288" s="72" t="str">
        <f>IFERROR(VLOOKUP(A5288,'[1]ST-QA-ZZ5'!$C$5:$M$299,11,0),"Inspection at production line")</f>
        <v>Inspection at production line</v>
      </c>
    </row>
    <row r="5289" spans="1:4" ht="13.8">
      <c r="A5289" s="47" t="s">
        <v>11615</v>
      </c>
      <c r="B5289" s="92" t="s">
        <v>9823</v>
      </c>
      <c r="C5289" s="92" t="s">
        <v>11616</v>
      </c>
      <c r="D5289" s="72" t="str">
        <f>IFERROR(VLOOKUP(A5289,'[1]ST-QA-ZZ5'!$C$5:$M$299,11,0),"Inspection at production line")</f>
        <v>Inspection at production line</v>
      </c>
    </row>
    <row r="5290" spans="1:4" ht="13.8">
      <c r="A5290" s="47" t="s">
        <v>11617</v>
      </c>
      <c r="B5290" s="92" t="s">
        <v>4772</v>
      </c>
      <c r="C5290" s="92" t="s">
        <v>4772</v>
      </c>
      <c r="D5290" s="72" t="str">
        <f>IFERROR(VLOOKUP(A5290,'[1]ST-QA-ZZ5'!$C$5:$M$299,11,0),"Inspection at production line")</f>
        <v>Inspection at production line</v>
      </c>
    </row>
    <row r="5291" spans="1:4" ht="13.8">
      <c r="A5291" s="47" t="s">
        <v>11618</v>
      </c>
      <c r="B5291" s="92" t="s">
        <v>10531</v>
      </c>
      <c r="C5291" s="92" t="s">
        <v>11619</v>
      </c>
      <c r="D5291" s="72" t="str">
        <f>IFERROR(VLOOKUP(A5291,'[1]ST-QA-ZZ5'!$C$5:$M$299,11,0),"Inspection at production line")</f>
        <v>Inspection at production line</v>
      </c>
    </row>
    <row r="5292" spans="1:4" ht="13.8">
      <c r="A5292" s="47" t="s">
        <v>11620</v>
      </c>
      <c r="B5292" s="92" t="s">
        <v>10531</v>
      </c>
      <c r="C5292" s="92" t="s">
        <v>11621</v>
      </c>
      <c r="D5292" s="72" t="str">
        <f>IFERROR(VLOOKUP(A5292,'[1]ST-QA-ZZ5'!$C$5:$M$299,11,0),"Inspection at production line")</f>
        <v>Inspection at production line</v>
      </c>
    </row>
    <row r="5293" spans="1:4" ht="13.8">
      <c r="A5293" s="47" t="s">
        <v>11622</v>
      </c>
      <c r="B5293" s="92" t="s">
        <v>10485</v>
      </c>
      <c r="C5293" s="92" t="s">
        <v>11029</v>
      </c>
      <c r="D5293" s="72" t="str">
        <f>IFERROR(VLOOKUP(A5293,'[1]ST-QA-ZZ5'!$C$5:$M$299,11,0),"Inspection at production line")</f>
        <v>Inspection at production line</v>
      </c>
    </row>
    <row r="5294" spans="1:4" ht="13.8">
      <c r="A5294" s="47" t="s">
        <v>11623</v>
      </c>
      <c r="B5294" s="92" t="s">
        <v>10485</v>
      </c>
      <c r="C5294" s="92" t="s">
        <v>11029</v>
      </c>
      <c r="D5294" s="72" t="str">
        <f>IFERROR(VLOOKUP(A5294,'[1]ST-QA-ZZ5'!$C$5:$M$299,11,0),"Inspection at production line")</f>
        <v>Inspection at production line</v>
      </c>
    </row>
    <row r="5295" spans="1:4" ht="13.8">
      <c r="A5295" s="47" t="s">
        <v>11624</v>
      </c>
      <c r="B5295" s="92" t="s">
        <v>10485</v>
      </c>
      <c r="C5295" s="92" t="s">
        <v>10818</v>
      </c>
      <c r="D5295" s="72" t="str">
        <f>IFERROR(VLOOKUP(A5295,'[1]ST-QA-ZZ5'!$C$5:$M$299,11,0),"Inspection at production line")</f>
        <v>Inspection at production line</v>
      </c>
    </row>
    <row r="5296" spans="1:4" ht="13.8">
      <c r="A5296" s="47" t="s">
        <v>11625</v>
      </c>
      <c r="B5296" s="92" t="s">
        <v>10485</v>
      </c>
      <c r="C5296" s="92" t="s">
        <v>11103</v>
      </c>
      <c r="D5296" s="72" t="str">
        <f>IFERROR(VLOOKUP(A5296,'[1]ST-QA-ZZ5'!$C$5:$M$299,11,0),"Inspection at production line")</f>
        <v>Inspection at production line</v>
      </c>
    </row>
    <row r="5297" spans="1:4" ht="13.8">
      <c r="A5297" s="47" t="s">
        <v>11626</v>
      </c>
      <c r="B5297" s="92" t="s">
        <v>11111</v>
      </c>
      <c r="C5297" s="92" t="s">
        <v>11627</v>
      </c>
      <c r="D5297" s="72" t="str">
        <f>IFERROR(VLOOKUP(A5297,'[1]ST-QA-ZZ5'!$C$5:$M$299,11,0),"Inspection at production line")</f>
        <v>Inspection at production line</v>
      </c>
    </row>
    <row r="5298" spans="1:4" ht="13.8">
      <c r="A5298" s="47" t="s">
        <v>11628</v>
      </c>
      <c r="B5298" s="92" t="s">
        <v>11111</v>
      </c>
      <c r="C5298" s="92" t="s">
        <v>11629</v>
      </c>
      <c r="D5298" s="72" t="str">
        <f>IFERROR(VLOOKUP(A5298,'[1]ST-QA-ZZ5'!$C$5:$M$299,11,0),"Inspection at production line")</f>
        <v>Inspection at production line</v>
      </c>
    </row>
    <row r="5299" spans="1:4" ht="13.8">
      <c r="A5299" s="47" t="s">
        <v>11630</v>
      </c>
      <c r="B5299" s="92" t="s">
        <v>10458</v>
      </c>
      <c r="C5299" s="92" t="s">
        <v>11631</v>
      </c>
      <c r="D5299" s="72" t="str">
        <f>IFERROR(VLOOKUP(A5299,'[1]ST-QA-ZZ5'!$C$5:$M$299,11,0),"Inspection at production line")</f>
        <v>Inspection at production line</v>
      </c>
    </row>
    <row r="5300" spans="1:4" ht="13.8">
      <c r="A5300" s="47" t="s">
        <v>11632</v>
      </c>
      <c r="B5300" s="92" t="s">
        <v>10458</v>
      </c>
      <c r="C5300" s="92" t="s">
        <v>11633</v>
      </c>
      <c r="D5300" s="72" t="str">
        <f>IFERROR(VLOOKUP(A5300,'[1]ST-QA-ZZ5'!$C$5:$M$299,11,0),"Inspection at production line")</f>
        <v>Inspection at production line</v>
      </c>
    </row>
    <row r="5301" spans="1:4" ht="13.8">
      <c r="A5301" s="47" t="s">
        <v>11634</v>
      </c>
      <c r="B5301" s="92" t="s">
        <v>10458</v>
      </c>
      <c r="C5301" s="92" t="s">
        <v>11598</v>
      </c>
      <c r="D5301" s="72" t="str">
        <f>IFERROR(VLOOKUP(A5301,'[1]ST-QA-ZZ5'!$C$5:$M$299,11,0),"Inspection at production line")</f>
        <v>Inspection at production line</v>
      </c>
    </row>
    <row r="5302" spans="1:4" ht="13.8">
      <c r="A5302" s="47" t="s">
        <v>11635</v>
      </c>
      <c r="B5302" s="92" t="s">
        <v>10458</v>
      </c>
      <c r="C5302" s="92" t="s">
        <v>11636</v>
      </c>
      <c r="D5302" s="72" t="str">
        <f>IFERROR(VLOOKUP(A5302,'[1]ST-QA-ZZ5'!$C$5:$M$299,11,0),"Inspection at production line")</f>
        <v>Inspection at production line</v>
      </c>
    </row>
    <row r="5303" spans="1:4" ht="13.8">
      <c r="A5303" s="47" t="s">
        <v>11637</v>
      </c>
      <c r="B5303" s="92" t="s">
        <v>10458</v>
      </c>
      <c r="C5303" s="92" t="s">
        <v>11638</v>
      </c>
      <c r="D5303" s="72" t="str">
        <f>IFERROR(VLOOKUP(A5303,'[1]ST-QA-ZZ5'!$C$5:$M$299,11,0),"Inspection at production line")</f>
        <v>Inspection at production line</v>
      </c>
    </row>
    <row r="5304" spans="1:4" ht="13.8">
      <c r="A5304" s="47" t="s">
        <v>11639</v>
      </c>
      <c r="B5304" s="92" t="s">
        <v>10458</v>
      </c>
      <c r="C5304" s="92" t="s">
        <v>11190</v>
      </c>
      <c r="D5304" s="72" t="str">
        <f>IFERROR(VLOOKUP(A5304,'[1]ST-QA-ZZ5'!$C$5:$M$299,11,0),"Inspection at production line")</f>
        <v>Inspection at production line</v>
      </c>
    </row>
    <row r="5305" spans="1:4" ht="13.8">
      <c r="A5305" s="47" t="s">
        <v>11640</v>
      </c>
      <c r="B5305" s="92" t="s">
        <v>10458</v>
      </c>
      <c r="C5305" s="92" t="s">
        <v>11641</v>
      </c>
      <c r="D5305" s="72" t="str">
        <f>IFERROR(VLOOKUP(A5305,'[1]ST-QA-ZZ5'!$C$5:$M$299,11,0),"Inspection at production line")</f>
        <v>Inspection at production line</v>
      </c>
    </row>
    <row r="5306" spans="1:4" ht="13.8">
      <c r="A5306" s="47" t="s">
        <v>11642</v>
      </c>
      <c r="B5306" s="92" t="s">
        <v>10458</v>
      </c>
      <c r="C5306" s="92" t="s">
        <v>11643</v>
      </c>
      <c r="D5306" s="72" t="str">
        <f>IFERROR(VLOOKUP(A5306,'[1]ST-QA-ZZ5'!$C$5:$M$299,11,0),"Inspection at production line")</f>
        <v>Inspection at production line</v>
      </c>
    </row>
    <row r="5307" spans="1:4" ht="13.8">
      <c r="A5307" s="47" t="s">
        <v>11644</v>
      </c>
      <c r="B5307" s="92" t="s">
        <v>10458</v>
      </c>
      <c r="C5307" s="92" t="s">
        <v>11645</v>
      </c>
      <c r="D5307" s="72" t="str">
        <f>IFERROR(VLOOKUP(A5307,'[1]ST-QA-ZZ5'!$C$5:$M$299,11,0),"Inspection at production line")</f>
        <v>Inspection at production line</v>
      </c>
    </row>
    <row r="5308" spans="1:4" ht="13.8">
      <c r="A5308" s="47" t="s">
        <v>11646</v>
      </c>
      <c r="B5308" s="92" t="s">
        <v>10458</v>
      </c>
      <c r="C5308" s="92" t="s">
        <v>11647</v>
      </c>
      <c r="D5308" s="72" t="str">
        <f>IFERROR(VLOOKUP(A5308,'[1]ST-QA-ZZ5'!$C$5:$M$299,11,0),"Inspection at production line")</f>
        <v>Inspection at production line</v>
      </c>
    </row>
    <row r="5309" spans="1:4" ht="13.8">
      <c r="A5309" s="47" t="s">
        <v>11648</v>
      </c>
      <c r="B5309" s="92" t="s">
        <v>10458</v>
      </c>
      <c r="C5309" s="92" t="s">
        <v>11649</v>
      </c>
      <c r="D5309" s="72" t="str">
        <f>IFERROR(VLOOKUP(A5309,'[1]ST-QA-ZZ5'!$C$5:$M$299,11,0),"Inspection at production line")</f>
        <v>Inspection at production line</v>
      </c>
    </row>
    <row r="5310" spans="1:4" ht="13.8">
      <c r="A5310" s="47" t="s">
        <v>11650</v>
      </c>
      <c r="B5310" s="92" t="s">
        <v>10458</v>
      </c>
      <c r="C5310" s="92" t="s">
        <v>11651</v>
      </c>
      <c r="D5310" s="72" t="str">
        <f>IFERROR(VLOOKUP(A5310,'[1]ST-QA-ZZ5'!$C$5:$M$299,11,0),"Inspection at production line")</f>
        <v>Inspection at production line</v>
      </c>
    </row>
    <row r="5311" spans="1:4" ht="13.8">
      <c r="A5311" s="47" t="s">
        <v>11652</v>
      </c>
      <c r="B5311" s="92" t="s">
        <v>10458</v>
      </c>
      <c r="C5311" s="92" t="s">
        <v>11653</v>
      </c>
      <c r="D5311" s="72" t="str">
        <f>IFERROR(VLOOKUP(A5311,'[1]ST-QA-ZZ5'!$C$5:$M$299,11,0),"Inspection at production line")</f>
        <v>Inspection at production line</v>
      </c>
    </row>
    <row r="5312" spans="1:4" ht="13.8">
      <c r="A5312" s="47" t="s">
        <v>11654</v>
      </c>
      <c r="B5312" s="92" t="s">
        <v>10458</v>
      </c>
      <c r="C5312" s="92" t="s">
        <v>11655</v>
      </c>
      <c r="D5312" s="72" t="str">
        <f>IFERROR(VLOOKUP(A5312,'[1]ST-QA-ZZ5'!$C$5:$M$299,11,0),"Inspection at production line")</f>
        <v>Inspection at production line</v>
      </c>
    </row>
    <row r="5313" spans="1:4" ht="13.8">
      <c r="A5313" s="47" t="s">
        <v>11656</v>
      </c>
      <c r="B5313" s="92" t="s">
        <v>10458</v>
      </c>
      <c r="C5313" s="92" t="s">
        <v>11657</v>
      </c>
      <c r="D5313" s="72" t="str">
        <f>IFERROR(VLOOKUP(A5313,'[1]ST-QA-ZZ5'!$C$5:$M$299,11,0),"Inspection at production line")</f>
        <v>Inspection at production line</v>
      </c>
    </row>
    <row r="5314" spans="1:4" ht="13.8">
      <c r="A5314" s="47" t="s">
        <v>11658</v>
      </c>
      <c r="B5314" s="92" t="s">
        <v>10458</v>
      </c>
      <c r="C5314" s="92" t="s">
        <v>11659</v>
      </c>
      <c r="D5314" s="72" t="str">
        <f>IFERROR(VLOOKUP(A5314,'[1]ST-QA-ZZ5'!$C$5:$M$299,11,0),"Inspection at production line")</f>
        <v>Inspection at production line</v>
      </c>
    </row>
    <row r="5315" spans="1:4" ht="13.8">
      <c r="A5315" s="47" t="s">
        <v>11660</v>
      </c>
      <c r="B5315" s="92" t="s">
        <v>10458</v>
      </c>
      <c r="C5315" s="92" t="s">
        <v>11661</v>
      </c>
      <c r="D5315" s="72" t="str">
        <f>IFERROR(VLOOKUP(A5315,'[1]ST-QA-ZZ5'!$C$5:$M$299,11,0),"Inspection at production line")</f>
        <v>Inspection at production line</v>
      </c>
    </row>
    <row r="5316" spans="1:4" ht="13.8">
      <c r="A5316" s="47" t="s">
        <v>11662</v>
      </c>
      <c r="B5316" s="92" t="s">
        <v>10458</v>
      </c>
      <c r="C5316" s="92" t="s">
        <v>11663</v>
      </c>
      <c r="D5316" s="72" t="str">
        <f>IFERROR(VLOOKUP(A5316,'[1]ST-QA-ZZ5'!$C$5:$M$299,11,0),"Inspection at production line")</f>
        <v>Inspection at production line</v>
      </c>
    </row>
    <row r="5317" spans="1:4" ht="13.8">
      <c r="A5317" s="47" t="s">
        <v>11664</v>
      </c>
      <c r="B5317" s="92" t="s">
        <v>10458</v>
      </c>
      <c r="C5317" s="92" t="s">
        <v>11665</v>
      </c>
      <c r="D5317" s="72" t="str">
        <f>IFERROR(VLOOKUP(A5317,'[1]ST-QA-ZZ5'!$C$5:$M$299,11,0),"Inspection at production line")</f>
        <v>Inspection at production line</v>
      </c>
    </row>
    <row r="5318" spans="1:4" ht="13.8">
      <c r="A5318" s="47" t="s">
        <v>11666</v>
      </c>
      <c r="B5318" s="92" t="s">
        <v>10458</v>
      </c>
      <c r="C5318" s="92" t="s">
        <v>11667</v>
      </c>
      <c r="D5318" s="72" t="str">
        <f>IFERROR(VLOOKUP(A5318,'[1]ST-QA-ZZ5'!$C$5:$M$299,11,0),"Inspection at production line")</f>
        <v>Inspection at production line</v>
      </c>
    </row>
    <row r="5319" spans="1:4" ht="13.8">
      <c r="A5319" s="47" t="s">
        <v>11668</v>
      </c>
      <c r="B5319" s="92" t="s">
        <v>10458</v>
      </c>
      <c r="C5319" s="92" t="s">
        <v>11669</v>
      </c>
      <c r="D5319" s="72" t="str">
        <f>IFERROR(VLOOKUP(A5319,'[1]ST-QA-ZZ5'!$C$5:$M$299,11,0),"Inspection at production line")</f>
        <v>Inspection at production line</v>
      </c>
    </row>
    <row r="5320" spans="1:4" ht="13.8">
      <c r="A5320" s="47" t="s">
        <v>11670</v>
      </c>
      <c r="B5320" s="92" t="s">
        <v>10458</v>
      </c>
      <c r="C5320" s="92" t="s">
        <v>11671</v>
      </c>
      <c r="D5320" s="72" t="str">
        <f>IFERROR(VLOOKUP(A5320,'[1]ST-QA-ZZ5'!$C$5:$M$299,11,0),"Inspection at production line")</f>
        <v>Inspection at production line</v>
      </c>
    </row>
    <row r="5321" spans="1:4" ht="13.8">
      <c r="A5321" s="47" t="s">
        <v>11672</v>
      </c>
      <c r="B5321" s="92" t="s">
        <v>10458</v>
      </c>
      <c r="C5321" s="92" t="s">
        <v>11673</v>
      </c>
      <c r="D5321" s="72" t="str">
        <f>IFERROR(VLOOKUP(A5321,'[1]ST-QA-ZZ5'!$C$5:$M$299,11,0),"Inspection at production line")</f>
        <v>Inspection at production line</v>
      </c>
    </row>
    <row r="5322" spans="1:4" ht="13.8">
      <c r="A5322" s="47" t="s">
        <v>11674</v>
      </c>
      <c r="B5322" s="92" t="s">
        <v>10721</v>
      </c>
      <c r="C5322" s="92" t="s">
        <v>11675</v>
      </c>
      <c r="D5322" s="72" t="str">
        <f>IFERROR(VLOOKUP(A5322,'[1]ST-QA-ZZ5'!$C$5:$M$299,11,0),"Inspection at production line")</f>
        <v>Inspection at production line</v>
      </c>
    </row>
    <row r="5323" spans="1:4" ht="13.8">
      <c r="A5323" s="47" t="s">
        <v>11676</v>
      </c>
      <c r="B5323" s="92" t="s">
        <v>9823</v>
      </c>
      <c r="C5323" s="92" t="s">
        <v>11677</v>
      </c>
      <c r="D5323" s="72" t="str">
        <f>IFERROR(VLOOKUP(A5323,'[1]ST-QA-ZZ5'!$C$5:$M$299,11,0),"Inspection at production line")</f>
        <v>Inspection at production line</v>
      </c>
    </row>
    <row r="5324" spans="1:4" ht="13.8">
      <c r="A5324" s="47" t="s">
        <v>11678</v>
      </c>
      <c r="B5324" s="92" t="s">
        <v>9823</v>
      </c>
      <c r="C5324" s="92" t="s">
        <v>11679</v>
      </c>
      <c r="D5324" s="72" t="str">
        <f>IFERROR(VLOOKUP(A5324,'[1]ST-QA-ZZ5'!$C$5:$M$299,11,0),"Inspection at production line")</f>
        <v>Inspection at production line</v>
      </c>
    </row>
    <row r="5325" spans="1:4" ht="13.8">
      <c r="A5325" s="47" t="s">
        <v>11680</v>
      </c>
      <c r="B5325" s="92" t="s">
        <v>4772</v>
      </c>
      <c r="C5325" s="92" t="s">
        <v>4772</v>
      </c>
      <c r="D5325" s="72" t="str">
        <f>IFERROR(VLOOKUP(A5325,'[1]ST-QA-ZZ5'!$C$5:$M$299,11,0),"Inspection at production line")</f>
        <v>Inspection at production line</v>
      </c>
    </row>
    <row r="5326" spans="1:4" ht="13.8">
      <c r="A5326" s="47" t="s">
        <v>11681</v>
      </c>
      <c r="B5326" s="92" t="s">
        <v>10485</v>
      </c>
      <c r="C5326" s="92" t="s">
        <v>11682</v>
      </c>
      <c r="D5326" s="72" t="str">
        <f>IFERROR(VLOOKUP(A5326,'[1]ST-QA-ZZ5'!$C$5:$M$299,11,0),"Inspection at production line")</f>
        <v>Inspection at production line</v>
      </c>
    </row>
    <row r="5327" spans="1:4" ht="13.8">
      <c r="A5327" s="47" t="s">
        <v>11683</v>
      </c>
      <c r="B5327" s="92" t="s">
        <v>10485</v>
      </c>
      <c r="C5327" s="92" t="s">
        <v>11366</v>
      </c>
      <c r="D5327" s="72" t="str">
        <f>IFERROR(VLOOKUP(A5327,'[1]ST-QA-ZZ5'!$C$5:$M$299,11,0),"Inspection at production line")</f>
        <v>Inspection at production line</v>
      </c>
    </row>
    <row r="5328" spans="1:4" ht="13.8">
      <c r="A5328" s="47" t="s">
        <v>11684</v>
      </c>
      <c r="B5328" s="92" t="s">
        <v>10485</v>
      </c>
      <c r="C5328" s="92" t="s">
        <v>11685</v>
      </c>
      <c r="D5328" s="72" t="str">
        <f>IFERROR(VLOOKUP(A5328,'[1]ST-QA-ZZ5'!$C$5:$M$299,11,0),"Inspection at production line")</f>
        <v>Inspection at production line</v>
      </c>
    </row>
    <row r="5329" spans="1:4" ht="13.8">
      <c r="A5329" s="47" t="s">
        <v>11686</v>
      </c>
      <c r="B5329" s="92" t="s">
        <v>10485</v>
      </c>
      <c r="C5329" s="92" t="s">
        <v>11687</v>
      </c>
      <c r="D5329" s="72" t="str">
        <f>IFERROR(VLOOKUP(A5329,'[1]ST-QA-ZZ5'!$C$5:$M$299,11,0),"Inspection at production line")</f>
        <v>Inspection at production line</v>
      </c>
    </row>
    <row r="5330" spans="1:4" ht="13.8">
      <c r="A5330" s="47" t="s">
        <v>11688</v>
      </c>
      <c r="B5330" s="92" t="s">
        <v>11111</v>
      </c>
      <c r="C5330" s="92" t="s">
        <v>11689</v>
      </c>
      <c r="D5330" s="72" t="str">
        <f>IFERROR(VLOOKUP(A5330,'[1]ST-QA-ZZ5'!$C$5:$M$299,11,0),"Inspection at production line")</f>
        <v>Inspection at production line</v>
      </c>
    </row>
    <row r="5331" spans="1:4" ht="13.8">
      <c r="A5331" s="47" t="s">
        <v>11690</v>
      </c>
      <c r="B5331" s="92" t="s">
        <v>10458</v>
      </c>
      <c r="C5331" s="92" t="s">
        <v>11691</v>
      </c>
      <c r="D5331" s="72" t="str">
        <f>IFERROR(VLOOKUP(A5331,'[1]ST-QA-ZZ5'!$C$5:$M$299,11,0),"Inspection at production line")</f>
        <v>Inspection at production line</v>
      </c>
    </row>
    <row r="5332" spans="1:4" ht="13.8">
      <c r="A5332" s="47" t="s">
        <v>11692</v>
      </c>
      <c r="B5332" s="92" t="s">
        <v>10458</v>
      </c>
      <c r="C5332" s="92" t="s">
        <v>11693</v>
      </c>
      <c r="D5332" s="72" t="str">
        <f>IFERROR(VLOOKUP(A5332,'[1]ST-QA-ZZ5'!$C$5:$M$299,11,0),"Inspection at production line")</f>
        <v>Inspection at production line</v>
      </c>
    </row>
    <row r="5333" spans="1:4" ht="13.8">
      <c r="A5333" s="47" t="s">
        <v>11694</v>
      </c>
      <c r="B5333" s="92" t="s">
        <v>10458</v>
      </c>
      <c r="C5333" s="92" t="s">
        <v>11695</v>
      </c>
      <c r="D5333" s="72" t="str">
        <f>IFERROR(VLOOKUP(A5333,'[1]ST-QA-ZZ5'!$C$5:$M$299,11,0),"Inspection at production line")</f>
        <v>Inspection at production line</v>
      </c>
    </row>
    <row r="5334" spans="1:4" ht="13.8">
      <c r="A5334" s="47" t="s">
        <v>11696</v>
      </c>
      <c r="B5334" s="92" t="s">
        <v>10458</v>
      </c>
      <c r="C5334" s="92" t="s">
        <v>11697</v>
      </c>
      <c r="D5334" s="72" t="str">
        <f>IFERROR(VLOOKUP(A5334,'[1]ST-QA-ZZ5'!$C$5:$M$299,11,0),"Inspection at production line")</f>
        <v>Inspection at production line</v>
      </c>
    </row>
    <row r="5335" spans="1:4" ht="13.8">
      <c r="A5335" s="47" t="s">
        <v>11698</v>
      </c>
      <c r="B5335" s="92" t="s">
        <v>10458</v>
      </c>
      <c r="C5335" s="92" t="s">
        <v>11699</v>
      </c>
      <c r="D5335" s="72" t="str">
        <f>IFERROR(VLOOKUP(A5335,'[1]ST-QA-ZZ5'!$C$5:$M$299,11,0),"Inspection at production line")</f>
        <v>Inspection at production line</v>
      </c>
    </row>
    <row r="5336" spans="1:4" ht="13.8">
      <c r="A5336" s="47" t="s">
        <v>11700</v>
      </c>
      <c r="B5336" s="92" t="s">
        <v>10721</v>
      </c>
      <c r="C5336" s="92" t="s">
        <v>11701</v>
      </c>
      <c r="D5336" s="72" t="str">
        <f>IFERROR(VLOOKUP(A5336,'[1]ST-QA-ZZ5'!$C$5:$M$299,11,0),"Inspection at production line")</f>
        <v>Inspection at production line</v>
      </c>
    </row>
    <row r="5337" spans="1:4" ht="13.8">
      <c r="A5337" s="47" t="s">
        <v>11702</v>
      </c>
      <c r="B5337" s="92" t="s">
        <v>10721</v>
      </c>
      <c r="C5337" s="92" t="s">
        <v>11288</v>
      </c>
      <c r="D5337" s="72" t="str">
        <f>IFERROR(VLOOKUP(A5337,'[1]ST-QA-ZZ5'!$C$5:$M$299,11,0),"Inspection at production line")</f>
        <v>Inspection at production line</v>
      </c>
    </row>
    <row r="5338" spans="1:4" ht="13.8">
      <c r="A5338" s="47" t="s">
        <v>11703</v>
      </c>
      <c r="B5338" s="92" t="s">
        <v>10721</v>
      </c>
      <c r="C5338" s="94" t="s">
        <v>11704</v>
      </c>
      <c r="D5338" s="72" t="str">
        <f>IFERROR(VLOOKUP(A5338,'[1]ST-QA-ZZ5'!$C$5:$M$299,11,0),"Inspection at production line")</f>
        <v>Inspection at production line</v>
      </c>
    </row>
    <row r="5339" spans="1:4" ht="13.8">
      <c r="A5339" s="47" t="s">
        <v>11705</v>
      </c>
      <c r="B5339" s="92" t="s">
        <v>9823</v>
      </c>
      <c r="C5339" s="92" t="s">
        <v>11677</v>
      </c>
      <c r="D5339" s="72" t="str">
        <f>IFERROR(VLOOKUP(A5339,'[1]ST-QA-ZZ5'!$C$5:$M$299,11,0),"Inspection at production line")</f>
        <v>Inspection at production line</v>
      </c>
    </row>
    <row r="5340" spans="1:4" ht="13.8">
      <c r="A5340" s="47" t="s">
        <v>11706</v>
      </c>
      <c r="B5340" s="92" t="s">
        <v>9823</v>
      </c>
      <c r="C5340" s="94" t="s">
        <v>11707</v>
      </c>
      <c r="D5340" s="72" t="str">
        <f>IFERROR(VLOOKUP(A5340,'[1]ST-QA-ZZ5'!$C$5:$M$299,11,0),"Inspection at production line")</f>
        <v>Inspection at production line</v>
      </c>
    </row>
    <row r="5341" spans="1:4" ht="13.8">
      <c r="A5341" s="47" t="s">
        <v>11708</v>
      </c>
      <c r="B5341" s="92" t="s">
        <v>9823</v>
      </c>
      <c r="C5341" s="92" t="s">
        <v>11709</v>
      </c>
      <c r="D5341" s="72" t="str">
        <f>IFERROR(VLOOKUP(A5341,'[1]ST-QA-ZZ5'!$C$5:$M$299,11,0),"Inspection at production line")</f>
        <v>Inspection at production line</v>
      </c>
    </row>
    <row r="5342" spans="1:4" ht="13.8">
      <c r="A5342" s="47" t="s">
        <v>11710</v>
      </c>
      <c r="B5342" s="92" t="s">
        <v>10531</v>
      </c>
      <c r="C5342" s="92" t="s">
        <v>11588</v>
      </c>
      <c r="D5342" s="72" t="str">
        <f>IFERROR(VLOOKUP(A5342,'[1]ST-QA-ZZ5'!$C$5:$M$299,11,0),"Inspection at production line")</f>
        <v>Inspection at production line</v>
      </c>
    </row>
    <row r="5343" spans="1:4" ht="13.8">
      <c r="A5343" s="47" t="s">
        <v>11711</v>
      </c>
      <c r="B5343" s="92" t="s">
        <v>11111</v>
      </c>
      <c r="C5343" s="92" t="s">
        <v>11712</v>
      </c>
      <c r="D5343" s="72" t="str">
        <f>IFERROR(VLOOKUP(A5343,'[1]ST-QA-ZZ5'!$C$5:$M$299,11,0),"Inspection at production line")</f>
        <v>Inspection at production line</v>
      </c>
    </row>
    <row r="5344" spans="1:4" ht="13.8">
      <c r="A5344" s="47" t="s">
        <v>11713</v>
      </c>
      <c r="B5344" s="92" t="s">
        <v>11111</v>
      </c>
      <c r="C5344" s="92" t="s">
        <v>11714</v>
      </c>
      <c r="D5344" s="72" t="str">
        <f>IFERROR(VLOOKUP(A5344,'[1]ST-QA-ZZ5'!$C$5:$M$299,11,0),"Inspection at production line")</f>
        <v>Inspection at production line</v>
      </c>
    </row>
    <row r="5345" spans="1:4" ht="13.8">
      <c r="A5345" s="47" t="s">
        <v>11715</v>
      </c>
      <c r="B5345" s="92" t="s">
        <v>10485</v>
      </c>
      <c r="C5345" s="92" t="s">
        <v>11716</v>
      </c>
      <c r="D5345" s="72" t="str">
        <f>IFERROR(VLOOKUP(A5345,'[1]ST-QA-ZZ5'!$C$5:$M$299,11,0),"Inspection at production line")</f>
        <v>Inspection at production line</v>
      </c>
    </row>
    <row r="5346" spans="1:4" ht="13.8">
      <c r="A5346" s="47" t="s">
        <v>11717</v>
      </c>
      <c r="B5346" s="92" t="s">
        <v>10485</v>
      </c>
      <c r="C5346" s="92" t="s">
        <v>11718</v>
      </c>
      <c r="D5346" s="72" t="str">
        <f>IFERROR(VLOOKUP(A5346,'[1]ST-QA-ZZ5'!$C$5:$M$299,11,0),"Inspection at production line")</f>
        <v>Inspection at production line</v>
      </c>
    </row>
    <row r="5347" spans="1:4" ht="13.8">
      <c r="A5347" s="47" t="s">
        <v>11719</v>
      </c>
      <c r="B5347" s="92" t="s">
        <v>9823</v>
      </c>
      <c r="C5347" s="92" t="s">
        <v>11720</v>
      </c>
      <c r="D5347" s="72" t="str">
        <f>IFERROR(VLOOKUP(A5347,'[1]ST-QA-ZZ5'!$C$5:$M$299,11,0),"Inspection at production line")</f>
        <v>Inspection at production line</v>
      </c>
    </row>
    <row r="5348" spans="1:4" ht="13.8">
      <c r="A5348" s="47" t="s">
        <v>11721</v>
      </c>
      <c r="B5348" s="92" t="s">
        <v>10485</v>
      </c>
      <c r="C5348" s="92" t="s">
        <v>11280</v>
      </c>
      <c r="D5348" s="72" t="str">
        <f>IFERROR(VLOOKUP(A5348,'[1]ST-QA-ZZ5'!$C$5:$M$299,11,0),"Inspection at production line")</f>
        <v>Inspection at production line</v>
      </c>
    </row>
    <row r="5349" spans="1:4" ht="13.8">
      <c r="A5349" s="47" t="s">
        <v>11722</v>
      </c>
      <c r="B5349" s="92" t="s">
        <v>10485</v>
      </c>
      <c r="C5349" s="92" t="s">
        <v>11293</v>
      </c>
      <c r="D5349" s="72" t="str">
        <f>IFERROR(VLOOKUP(A5349,'[1]ST-QA-ZZ5'!$C$5:$M$299,11,0),"Inspection at production line")</f>
        <v>Inspection at production line</v>
      </c>
    </row>
    <row r="5350" spans="1:4" ht="13.8">
      <c r="A5350" s="47" t="s">
        <v>11723</v>
      </c>
      <c r="B5350" s="92" t="s">
        <v>9823</v>
      </c>
      <c r="C5350" s="92" t="s">
        <v>11724</v>
      </c>
      <c r="D5350" s="72" t="str">
        <f>IFERROR(VLOOKUP(A5350,'[1]ST-QA-ZZ5'!$C$5:$M$299,11,0),"Inspection at production line")</f>
        <v>Inspection at production line</v>
      </c>
    </row>
    <row r="5351" spans="1:4" ht="13.8">
      <c r="A5351" s="47" t="s">
        <v>11725</v>
      </c>
      <c r="B5351" s="92" t="s">
        <v>9823</v>
      </c>
      <c r="C5351" s="92" t="s">
        <v>11726</v>
      </c>
      <c r="D5351" s="72" t="str">
        <f>IFERROR(VLOOKUP(A5351,'[1]ST-QA-ZZ5'!$C$5:$M$299,11,0),"Inspection at production line")</f>
        <v>Inspection at production line</v>
      </c>
    </row>
    <row r="5352" spans="1:4" ht="13.8">
      <c r="A5352" s="47" t="s">
        <v>11727</v>
      </c>
      <c r="B5352" s="92" t="s">
        <v>10485</v>
      </c>
      <c r="C5352" s="92" t="s">
        <v>11728</v>
      </c>
      <c r="D5352" s="72" t="str">
        <f>IFERROR(VLOOKUP(A5352,'[1]ST-QA-ZZ5'!$C$5:$M$299,11,0),"Inspection at production line")</f>
        <v>Inspection at production line</v>
      </c>
    </row>
    <row r="5353" spans="1:4" ht="13.8">
      <c r="A5353" s="47" t="s">
        <v>11729</v>
      </c>
      <c r="B5353" s="92" t="s">
        <v>11111</v>
      </c>
      <c r="C5353" s="92" t="s">
        <v>11730</v>
      </c>
      <c r="D5353" s="72" t="str">
        <f>IFERROR(VLOOKUP(A5353,'[1]ST-QA-ZZ5'!$C$5:$M$299,11,0),"Inspection at production line")</f>
        <v>Inspection at production line</v>
      </c>
    </row>
    <row r="5354" spans="1:4" ht="13.8">
      <c r="A5354" s="47" t="s">
        <v>11731</v>
      </c>
      <c r="B5354" s="92" t="s">
        <v>10458</v>
      </c>
      <c r="C5354" s="92" t="s">
        <v>11732</v>
      </c>
      <c r="D5354" s="72" t="str">
        <f>IFERROR(VLOOKUP(A5354,'[1]ST-QA-ZZ5'!$C$5:$M$299,11,0),"Inspection at production line")</f>
        <v>Inspection at production line</v>
      </c>
    </row>
    <row r="5355" spans="1:4" ht="13.8">
      <c r="A5355" s="47" t="s">
        <v>11733</v>
      </c>
      <c r="B5355" s="92" t="s">
        <v>10814</v>
      </c>
      <c r="C5355" s="92" t="s">
        <v>11734</v>
      </c>
      <c r="D5355" s="72" t="str">
        <f>IFERROR(VLOOKUP(A5355,'[1]ST-QA-ZZ5'!$C$5:$M$299,11,0),"Inspection at production line")</f>
        <v>Inspection at production line</v>
      </c>
    </row>
    <row r="5356" spans="1:4" ht="13.8">
      <c r="A5356" s="47" t="s">
        <v>11735</v>
      </c>
      <c r="B5356" s="92" t="s">
        <v>10458</v>
      </c>
      <c r="C5356" s="92" t="s">
        <v>11736</v>
      </c>
      <c r="D5356" s="72" t="str">
        <f>IFERROR(VLOOKUP(A5356,'[1]ST-QA-ZZ5'!$C$5:$M$299,11,0),"Inspection at production line")</f>
        <v>Inspection at production line</v>
      </c>
    </row>
    <row r="5357" spans="1:4" ht="13.8">
      <c r="A5357" s="47" t="s">
        <v>11737</v>
      </c>
      <c r="B5357" s="92" t="s">
        <v>10485</v>
      </c>
      <c r="C5357" s="92" t="s">
        <v>11103</v>
      </c>
      <c r="D5357" s="72" t="str">
        <f>IFERROR(VLOOKUP(A5357,'[1]ST-QA-ZZ5'!$C$5:$M$299,11,0),"Inspection at production line")</f>
        <v>Inspection at production line</v>
      </c>
    </row>
    <row r="5358" spans="1:4" ht="13.8">
      <c r="A5358" s="47" t="s">
        <v>11738</v>
      </c>
      <c r="B5358" s="92" t="s">
        <v>10485</v>
      </c>
      <c r="C5358" s="92" t="s">
        <v>11105</v>
      </c>
      <c r="D5358" s="72" t="str">
        <f>IFERROR(VLOOKUP(A5358,'[1]ST-QA-ZZ5'!$C$5:$M$299,11,0),"Inspection at production line")</f>
        <v>Inspection at production line</v>
      </c>
    </row>
    <row r="5359" spans="1:4" ht="13.8">
      <c r="A5359" s="47" t="s">
        <v>11739</v>
      </c>
      <c r="B5359" s="92" t="s">
        <v>994</v>
      </c>
      <c r="C5359" s="92" t="s">
        <v>11740</v>
      </c>
      <c r="D5359" s="72" t="str">
        <f>IFERROR(VLOOKUP(A5359,'[1]ST-QA-ZZ5'!$C$5:$M$299,11,0),"Inspection at production line")</f>
        <v>Inspection at production line</v>
      </c>
    </row>
    <row r="5360" spans="1:4" ht="13.8">
      <c r="A5360" s="47" t="s">
        <v>11741</v>
      </c>
      <c r="B5360" s="92" t="s">
        <v>8450</v>
      </c>
      <c r="C5360" s="92" t="s">
        <v>11742</v>
      </c>
      <c r="D5360" s="72" t="str">
        <f>IFERROR(VLOOKUP(A5360,'[1]ST-QA-ZZ5'!$C$5:$M$299,11,0),"Inspection at production line")</f>
        <v>Inspection at production line</v>
      </c>
    </row>
    <row r="5361" spans="1:4" ht="13.8">
      <c r="A5361" s="47" t="s">
        <v>11743</v>
      </c>
      <c r="B5361" s="92" t="s">
        <v>8450</v>
      </c>
      <c r="C5361" s="92" t="s">
        <v>11744</v>
      </c>
      <c r="D5361" s="72" t="str">
        <f>IFERROR(VLOOKUP(A5361,'[1]ST-QA-ZZ5'!$C$5:$M$299,11,0),"Inspection at production line")</f>
        <v>Inspection at production line</v>
      </c>
    </row>
    <row r="5362" spans="1:4" ht="13.8">
      <c r="A5362" s="47" t="s">
        <v>11745</v>
      </c>
      <c r="B5362" s="92" t="s">
        <v>8450</v>
      </c>
      <c r="C5362" s="92" t="s">
        <v>11746</v>
      </c>
      <c r="D5362" s="72" t="str">
        <f>IFERROR(VLOOKUP(A5362,'[1]ST-QA-ZZ5'!$C$5:$M$299,11,0),"Inspection at production line")</f>
        <v>Inspection at production line</v>
      </c>
    </row>
    <row r="5363" spans="1:4" ht="13.8">
      <c r="A5363" s="47" t="s">
        <v>11747</v>
      </c>
      <c r="B5363" s="92" t="s">
        <v>865</v>
      </c>
      <c r="C5363" s="92" t="s">
        <v>11748</v>
      </c>
      <c r="D5363" s="72" t="str">
        <f>IFERROR(VLOOKUP(A5363,'[1]ST-QA-ZZ5'!$C$5:$M$299,11,0),"Inspection at production line")</f>
        <v>Inspection at production line</v>
      </c>
    </row>
    <row r="5364" spans="1:4" ht="13.8">
      <c r="A5364" s="47" t="s">
        <v>11749</v>
      </c>
      <c r="B5364" s="92" t="s">
        <v>1494</v>
      </c>
      <c r="C5364" s="92" t="s">
        <v>11750</v>
      </c>
      <c r="D5364" s="72" t="str">
        <f>IFERROR(VLOOKUP(A5364,'[1]ST-QA-ZZ5'!$C$5:$M$299,11,0),"Inspection at production line")</f>
        <v>Inspection at production line</v>
      </c>
    </row>
    <row r="5365" spans="1:4" ht="13.8">
      <c r="A5365" s="47" t="s">
        <v>11751</v>
      </c>
      <c r="B5365" s="92" t="s">
        <v>68</v>
      </c>
      <c r="C5365" s="92" t="s">
        <v>11752</v>
      </c>
      <c r="D5365" s="72" t="str">
        <f>IFERROR(VLOOKUP(A5365,'[1]ST-QA-ZZ5'!$C$5:$M$299,11,0),"Inspection at production line")</f>
        <v>Inspection at production line</v>
      </c>
    </row>
    <row r="5366" spans="1:4" ht="13.8">
      <c r="A5366" s="47" t="s">
        <v>11753</v>
      </c>
      <c r="B5366" s="92" t="s">
        <v>6567</v>
      </c>
      <c r="C5366" s="92" t="s">
        <v>11754</v>
      </c>
      <c r="D5366" s="72" t="str">
        <f>IFERROR(VLOOKUP(A5366,'[1]ST-QA-ZZ5'!$C$5:$M$299,11,0),"Inspection at production line")</f>
        <v>Inspection at production line</v>
      </c>
    </row>
    <row r="5367" spans="1:4" ht="13.8">
      <c r="A5367" s="47" t="s">
        <v>11755</v>
      </c>
      <c r="B5367" s="92" t="s">
        <v>1359</v>
      </c>
      <c r="C5367" s="92" t="s">
        <v>11756</v>
      </c>
      <c r="D5367" s="72" t="str">
        <f>IFERROR(VLOOKUP(A5367,'[1]ST-QA-ZZ5'!$C$5:$M$299,11,0),"Inspection at production line")</f>
        <v>Inspection at production line</v>
      </c>
    </row>
    <row r="5368" spans="1:4" ht="13.8">
      <c r="A5368" s="47" t="s">
        <v>11757</v>
      </c>
      <c r="B5368" s="92" t="s">
        <v>811</v>
      </c>
      <c r="C5368" s="92" t="s">
        <v>11758</v>
      </c>
      <c r="D5368" s="72" t="str">
        <f>IFERROR(VLOOKUP(A5368,'[1]ST-QA-ZZ5'!$C$5:$M$299,11,0),"Inspection at production line")</f>
        <v>Inspection at production line</v>
      </c>
    </row>
    <row r="5369" spans="1:4" ht="13.8">
      <c r="A5369" s="47" t="s">
        <v>11759</v>
      </c>
      <c r="B5369" s="92" t="s">
        <v>397</v>
      </c>
      <c r="C5369" s="92" t="s">
        <v>11760</v>
      </c>
      <c r="D5369" s="72" t="str">
        <f>IFERROR(VLOOKUP(A5369,'[1]ST-QA-ZZ5'!$C$5:$M$299,11,0),"Inspection at production line")</f>
        <v>Inspection at production line</v>
      </c>
    </row>
    <row r="5370" spans="1:4" ht="13.8">
      <c r="A5370" s="47" t="s">
        <v>11761</v>
      </c>
      <c r="B5370" s="92" t="s">
        <v>1016</v>
      </c>
      <c r="C5370" s="92" t="s">
        <v>11762</v>
      </c>
      <c r="D5370" s="72" t="str">
        <f>IFERROR(VLOOKUP(A5370,'[1]ST-QA-ZZ5'!$C$5:$M$299,11,0),"Inspection at production line")</f>
        <v>Inspection at production line</v>
      </c>
    </row>
    <row r="5371" spans="1:4" ht="13.8">
      <c r="A5371" s="47" t="s">
        <v>11763</v>
      </c>
      <c r="B5371" s="92" t="s">
        <v>1167</v>
      </c>
      <c r="C5371" s="92" t="s">
        <v>11764</v>
      </c>
      <c r="D5371" s="72" t="str">
        <f>IFERROR(VLOOKUP(A5371,'[1]ST-QA-ZZ5'!$C$5:$M$299,11,0),"Inspection at production line")</f>
        <v>Inspection at production line</v>
      </c>
    </row>
    <row r="5372" spans="1:4" ht="13.8">
      <c r="A5372" s="47" t="s">
        <v>11765</v>
      </c>
      <c r="B5372" s="92" t="s">
        <v>83</v>
      </c>
      <c r="C5372" s="92" t="s">
        <v>11766</v>
      </c>
      <c r="D5372" s="72" t="str">
        <f>IFERROR(VLOOKUP(A5372,'[1]ST-QA-ZZ5'!$C$5:$M$299,11,0),"Inspection at production line")</f>
        <v>Inspection at production line</v>
      </c>
    </row>
    <row r="5373" spans="1:4" ht="13.8">
      <c r="A5373" s="47" t="s">
        <v>11767</v>
      </c>
      <c r="B5373" s="92" t="s">
        <v>6567</v>
      </c>
      <c r="C5373" s="92" t="s">
        <v>11768</v>
      </c>
      <c r="D5373" s="72" t="str">
        <f>IFERROR(VLOOKUP(A5373,'[1]ST-QA-ZZ5'!$C$5:$M$299,11,0),"Inspection at production line")</f>
        <v>Inspection at production line</v>
      </c>
    </row>
    <row r="5374" spans="1:4" ht="13.8">
      <c r="A5374" s="47" t="s">
        <v>5462</v>
      </c>
      <c r="B5374" s="92" t="s">
        <v>994</v>
      </c>
      <c r="C5374" s="92" t="s">
        <v>5463</v>
      </c>
      <c r="D5374" s="72" t="str">
        <f>IFERROR(VLOOKUP(A5374,'[1]ST-QA-ZZ5'!$C$5:$M$299,11,0),"Inspection at production line")</f>
        <v>Inspection at production line</v>
      </c>
    </row>
    <row r="5375" spans="1:4" ht="13.8">
      <c r="A5375" s="47" t="s">
        <v>11769</v>
      </c>
      <c r="B5375" s="92" t="s">
        <v>404</v>
      </c>
      <c r="C5375" s="92" t="s">
        <v>11770</v>
      </c>
      <c r="D5375" s="72" t="str">
        <f>IFERROR(VLOOKUP(A5375,'[1]ST-QA-ZZ5'!$C$5:$M$299,11,0),"Inspection at production line")</f>
        <v>Inspection at production line</v>
      </c>
    </row>
    <row r="5376" spans="1:4" ht="13.8">
      <c r="A5376" s="47" t="s">
        <v>11771</v>
      </c>
      <c r="B5376" s="92" t="s">
        <v>811</v>
      </c>
      <c r="C5376" s="92" t="s">
        <v>11772</v>
      </c>
      <c r="D5376" s="72" t="str">
        <f>IFERROR(VLOOKUP(A5376,'[1]ST-QA-ZZ5'!$C$5:$M$299,11,0),"Inspection at production line")</f>
        <v>Inspection at production line</v>
      </c>
    </row>
    <row r="5377" spans="1:4" ht="13.8">
      <c r="A5377" s="47" t="s">
        <v>11773</v>
      </c>
      <c r="B5377" s="92" t="s">
        <v>352</v>
      </c>
      <c r="C5377" s="92" t="s">
        <v>11774</v>
      </c>
      <c r="D5377" s="72" t="str">
        <f>IFERROR(VLOOKUP(A5377,'[1]ST-QA-ZZ5'!$C$5:$M$299,11,0),"Inspection at production line")</f>
        <v>Inspection at production line</v>
      </c>
    </row>
    <row r="5378" spans="1:4" ht="13.8">
      <c r="A5378" s="47" t="s">
        <v>11775</v>
      </c>
      <c r="B5378" s="92" t="s">
        <v>811</v>
      </c>
      <c r="C5378" s="92" t="s">
        <v>11776</v>
      </c>
      <c r="D5378" s="72" t="str">
        <f>IFERROR(VLOOKUP(A5378,'[1]ST-QA-ZZ5'!$C$5:$M$299,11,0),"Inspection at production line")</f>
        <v>Inspection at production line</v>
      </c>
    </row>
    <row r="5379" spans="1:4" ht="13.8">
      <c r="A5379" s="47" t="s">
        <v>11777</v>
      </c>
      <c r="B5379" s="92" t="s">
        <v>404</v>
      </c>
      <c r="C5379" s="92" t="s">
        <v>11778</v>
      </c>
      <c r="D5379" s="72" t="str">
        <f>IFERROR(VLOOKUP(A5379,'[1]ST-QA-ZZ5'!$C$5:$M$299,11,0),"Inspection at production line")</f>
        <v>Inspection at production line</v>
      </c>
    </row>
    <row r="5380" spans="1:4" ht="13.8">
      <c r="A5380" s="47" t="s">
        <v>11779</v>
      </c>
      <c r="B5380" s="92" t="s">
        <v>11780</v>
      </c>
      <c r="C5380" s="92" t="s">
        <v>11781</v>
      </c>
      <c r="D5380" s="72" t="str">
        <f>IFERROR(VLOOKUP(A5380,'[1]ST-QA-ZZ5'!$C$5:$M$299,11,0),"Inspection at production line")</f>
        <v>Inspection at production line</v>
      </c>
    </row>
    <row r="5381" spans="1:4" ht="13.8">
      <c r="A5381" s="47" t="s">
        <v>403</v>
      </c>
      <c r="B5381" s="92" t="s">
        <v>404</v>
      </c>
      <c r="C5381" s="92" t="s">
        <v>405</v>
      </c>
      <c r="D5381" s="72" t="str">
        <f>IFERROR(VLOOKUP(A5381,'[1]ST-QA-ZZ5'!$C$5:$M$299,11,0),"Inspection at production line")</f>
        <v>Inspection at production line</v>
      </c>
    </row>
    <row r="5382" spans="1:4" ht="13.8">
      <c r="A5382" s="47" t="s">
        <v>11782</v>
      </c>
      <c r="B5382" s="92" t="s">
        <v>404</v>
      </c>
      <c r="C5382" s="92" t="s">
        <v>11783</v>
      </c>
      <c r="D5382" s="72" t="str">
        <f>IFERROR(VLOOKUP(A5382,'[1]ST-QA-ZZ5'!$C$5:$M$299,11,0),"Inspection at production line")</f>
        <v>Inspection at production line</v>
      </c>
    </row>
    <row r="5383" spans="1:4" ht="13.8">
      <c r="A5383" s="47" t="s">
        <v>5457</v>
      </c>
      <c r="B5383" s="92" t="s">
        <v>994</v>
      </c>
      <c r="C5383" s="92" t="s">
        <v>5458</v>
      </c>
      <c r="D5383" s="72" t="str">
        <f>IFERROR(VLOOKUP(A5383,'[1]ST-QA-ZZ5'!$C$5:$M$299,11,0),"Inspection at production line")</f>
        <v>Inspection at production line</v>
      </c>
    </row>
    <row r="5384" spans="1:4" ht="13.8">
      <c r="A5384" s="47" t="s">
        <v>11784</v>
      </c>
      <c r="B5384" s="92" t="s">
        <v>11780</v>
      </c>
      <c r="C5384" s="92" t="s">
        <v>11785</v>
      </c>
      <c r="D5384" s="72" t="str">
        <f>IFERROR(VLOOKUP(A5384,'[1]ST-QA-ZZ5'!$C$5:$M$299,11,0),"Inspection at production line")</f>
        <v>Inspection at production line</v>
      </c>
    </row>
    <row r="5385" spans="1:4" ht="13.8">
      <c r="A5385" s="47" t="s">
        <v>5460</v>
      </c>
      <c r="B5385" s="92" t="s">
        <v>994</v>
      </c>
      <c r="C5385" s="92" t="s">
        <v>5461</v>
      </c>
      <c r="D5385" s="72" t="str">
        <f>IFERROR(VLOOKUP(A5385,'[1]ST-QA-ZZ5'!$C$5:$M$299,11,0),"Inspection at production line")</f>
        <v>Inspection at production line</v>
      </c>
    </row>
    <row r="5386" spans="1:4" ht="13.8">
      <c r="A5386" s="47" t="s">
        <v>11786</v>
      </c>
      <c r="B5386" s="92" t="s">
        <v>994</v>
      </c>
      <c r="C5386" s="92" t="s">
        <v>5458</v>
      </c>
      <c r="D5386" s="72" t="str">
        <f>IFERROR(VLOOKUP(A5386,'[1]ST-QA-ZZ5'!$C$5:$M$299,11,0),"Inspection at production line")</f>
        <v>Inspection at production line</v>
      </c>
    </row>
    <row r="5387" spans="1:4" ht="13.8">
      <c r="A5387" s="47" t="s">
        <v>11787</v>
      </c>
      <c r="B5387" s="92" t="s">
        <v>1016</v>
      </c>
      <c r="C5387" s="92" t="s">
        <v>11788</v>
      </c>
      <c r="D5387" s="72" t="str">
        <f>IFERROR(VLOOKUP(A5387,'[1]ST-QA-ZZ5'!$C$5:$M$299,11,0),"Inspection at production line")</f>
        <v>Inspection at production line</v>
      </c>
    </row>
    <row r="5388" spans="1:4" ht="13.8">
      <c r="A5388" s="47" t="s">
        <v>11789</v>
      </c>
      <c r="B5388" s="92" t="s">
        <v>1016</v>
      </c>
      <c r="C5388" s="92" t="s">
        <v>11790</v>
      </c>
      <c r="D5388" s="72" t="str">
        <f>IFERROR(VLOOKUP(A5388,'[1]ST-QA-ZZ5'!$C$5:$M$299,11,0),"Inspection at production line")</f>
        <v>Inspection at production line</v>
      </c>
    </row>
    <row r="5389" spans="1:4" ht="13.8">
      <c r="A5389" s="47" t="s">
        <v>11791</v>
      </c>
      <c r="B5389" s="92" t="s">
        <v>8450</v>
      </c>
      <c r="C5389" s="92" t="s">
        <v>11792</v>
      </c>
      <c r="D5389" s="72" t="str">
        <f>IFERROR(VLOOKUP(A5389,'[1]ST-QA-ZZ5'!$C$5:$M$299,11,0),"Inspection at production line")</f>
        <v>Inspection at production line</v>
      </c>
    </row>
    <row r="5390" spans="1:4" ht="13.8">
      <c r="A5390" s="47" t="s">
        <v>11793</v>
      </c>
      <c r="B5390" s="92" t="s">
        <v>404</v>
      </c>
      <c r="C5390" s="92" t="s">
        <v>11794</v>
      </c>
      <c r="D5390" s="72" t="str">
        <f>IFERROR(VLOOKUP(A5390,'[1]ST-QA-ZZ5'!$C$5:$M$299,11,0),"Inspection at production line")</f>
        <v>Inspection at production line</v>
      </c>
    </row>
    <row r="5391" spans="1:4" ht="13.8">
      <c r="A5391" s="47" t="s">
        <v>361</v>
      </c>
      <c r="B5391" s="92" t="s">
        <v>994</v>
      </c>
      <c r="C5391" s="92" t="s">
        <v>363</v>
      </c>
      <c r="D5391" s="72" t="str">
        <f>IFERROR(VLOOKUP(A5391,'[1]ST-QA-ZZ5'!$C$5:$M$299,11,0),"Inspection at production line")</f>
        <v>Inspection at production line</v>
      </c>
    </row>
    <row r="5392" spans="1:4" ht="13.8">
      <c r="A5392" s="47" t="s">
        <v>11795</v>
      </c>
      <c r="B5392" s="92" t="s">
        <v>2137</v>
      </c>
      <c r="C5392" s="92" t="s">
        <v>11796</v>
      </c>
      <c r="D5392" s="72" t="str">
        <f>IFERROR(VLOOKUP(A5392,'[1]ST-QA-ZZ5'!$C$5:$M$299,11,0),"Inspection at production line")</f>
        <v>Inspection at production line</v>
      </c>
    </row>
    <row r="5393" spans="1:4" ht="13.8">
      <c r="A5393" s="47" t="s">
        <v>11797</v>
      </c>
      <c r="B5393" s="92" t="s">
        <v>75</v>
      </c>
      <c r="C5393" s="92" t="s">
        <v>11798</v>
      </c>
      <c r="D5393" s="72" t="str">
        <f>IFERROR(VLOOKUP(A5393,'[1]ST-QA-ZZ5'!$C$5:$M$299,11,0),"Inspection at production line")</f>
        <v>Inspection at production line</v>
      </c>
    </row>
    <row r="5394" spans="1:4" ht="13.8">
      <c r="A5394" s="47" t="s">
        <v>11799</v>
      </c>
      <c r="B5394" s="92" t="s">
        <v>75</v>
      </c>
      <c r="C5394" s="92" t="s">
        <v>11800</v>
      </c>
      <c r="D5394" s="72" t="str">
        <f>IFERROR(VLOOKUP(A5394,'[1]ST-QA-ZZ5'!$C$5:$M$299,11,0),"Inspection at production line")</f>
        <v>Inspection at production line</v>
      </c>
    </row>
    <row r="5395" spans="1:4" ht="13.8">
      <c r="A5395" s="47" t="s">
        <v>11801</v>
      </c>
      <c r="B5395" s="92" t="s">
        <v>1219</v>
      </c>
      <c r="C5395" s="92" t="s">
        <v>11802</v>
      </c>
      <c r="D5395" s="72" t="str">
        <f>IFERROR(VLOOKUP(A5395,'[1]ST-QA-ZZ5'!$C$5:$M$299,11,0),"Inspection at production line")</f>
        <v>Inspection at production line</v>
      </c>
    </row>
    <row r="5396" spans="1:4" ht="13.8">
      <c r="A5396" s="47" t="s">
        <v>11803</v>
      </c>
      <c r="B5396" s="92" t="s">
        <v>1219</v>
      </c>
      <c r="C5396" s="92" t="s">
        <v>11804</v>
      </c>
      <c r="D5396" s="72" t="str">
        <f>IFERROR(VLOOKUP(A5396,'[1]ST-QA-ZZ5'!$C$5:$M$299,11,0),"Inspection at production line")</f>
        <v>Inspection at production line</v>
      </c>
    </row>
    <row r="5397" spans="1:4" ht="13.8">
      <c r="A5397" s="47" t="s">
        <v>11805</v>
      </c>
      <c r="B5397" s="92" t="s">
        <v>1219</v>
      </c>
      <c r="C5397" s="92" t="s">
        <v>11806</v>
      </c>
      <c r="D5397" s="72" t="str">
        <f>IFERROR(VLOOKUP(A5397,'[1]ST-QA-ZZ5'!$C$5:$M$299,11,0),"Inspection at production line")</f>
        <v>Inspection at production line</v>
      </c>
    </row>
    <row r="5398" spans="1:4" ht="13.8">
      <c r="A5398" s="47" t="s">
        <v>11807</v>
      </c>
      <c r="B5398" s="92" t="s">
        <v>2137</v>
      </c>
      <c r="C5398" s="92" t="s">
        <v>11808</v>
      </c>
      <c r="D5398" s="72" t="str">
        <f>IFERROR(VLOOKUP(A5398,'[1]ST-QA-ZZ5'!$C$5:$M$299,11,0),"Inspection at production line")</f>
        <v>Inspection at production line</v>
      </c>
    </row>
    <row r="5399" spans="1:4" ht="13.8">
      <c r="A5399" s="47" t="s">
        <v>11809</v>
      </c>
      <c r="B5399" s="92" t="s">
        <v>2137</v>
      </c>
      <c r="C5399" s="92" t="s">
        <v>11810</v>
      </c>
      <c r="D5399" s="72" t="str">
        <f>IFERROR(VLOOKUP(A5399,'[1]ST-QA-ZZ5'!$C$5:$M$299,11,0),"Inspection at production line")</f>
        <v>Inspection at production line</v>
      </c>
    </row>
    <row r="5400" spans="1:4" ht="13.8">
      <c r="A5400" s="47" t="s">
        <v>11811</v>
      </c>
      <c r="B5400" s="92" t="s">
        <v>2198</v>
      </c>
      <c r="C5400" s="92" t="s">
        <v>11812</v>
      </c>
      <c r="D5400" s="72" t="str">
        <f>IFERROR(VLOOKUP(A5400,'[1]ST-QA-ZZ5'!$C$5:$M$299,11,0),"Inspection at production line")</f>
        <v>Inspection at production line</v>
      </c>
    </row>
    <row r="5401" spans="1:4" ht="13.8">
      <c r="A5401" s="47" t="s">
        <v>11813</v>
      </c>
      <c r="B5401" s="92" t="s">
        <v>174</v>
      </c>
      <c r="C5401" s="92" t="s">
        <v>11814</v>
      </c>
      <c r="D5401" s="72" t="str">
        <f>IFERROR(VLOOKUP(A5401,'[1]ST-QA-ZZ5'!$C$5:$M$299,11,0),"Inspection at production line")</f>
        <v>Inspection at production line</v>
      </c>
    </row>
    <row r="5402" spans="1:4" ht="13.8">
      <c r="A5402" s="47" t="s">
        <v>11815</v>
      </c>
      <c r="B5402" s="92" t="s">
        <v>75</v>
      </c>
      <c r="C5402" s="92" t="s">
        <v>2226</v>
      </c>
      <c r="D5402" s="72" t="str">
        <f>IFERROR(VLOOKUP(A5402,'[1]ST-QA-ZZ5'!$C$5:$M$299,11,0),"Inspection at production line")</f>
        <v>Inspection at production line</v>
      </c>
    </row>
    <row r="5403" spans="1:4" ht="13.8">
      <c r="A5403" s="47" t="s">
        <v>11816</v>
      </c>
      <c r="B5403" s="92" t="s">
        <v>11817</v>
      </c>
      <c r="C5403" s="92">
        <v>78318</v>
      </c>
      <c r="D5403" s="72" t="str">
        <f>IFERROR(VLOOKUP(A5403,'[1]ST-QA-ZZ5'!$C$5:$M$299,11,0),"Inspection at production line")</f>
        <v>Inspection at production line</v>
      </c>
    </row>
    <row r="5404" spans="1:4" ht="13.8">
      <c r="A5404" s="47" t="s">
        <v>11818</v>
      </c>
      <c r="B5404" s="92" t="s">
        <v>174</v>
      </c>
      <c r="C5404" s="92" t="s">
        <v>11819</v>
      </c>
      <c r="D5404" s="72" t="str">
        <f>IFERROR(VLOOKUP(A5404,'[1]ST-QA-ZZ5'!$C$5:$M$299,11,0),"Inspection at production line")</f>
        <v>Inspection at production line</v>
      </c>
    </row>
    <row r="5405" spans="1:4" ht="13.8">
      <c r="A5405" s="47" t="s">
        <v>11820</v>
      </c>
      <c r="B5405" s="92" t="s">
        <v>11821</v>
      </c>
      <c r="C5405" s="92" t="s">
        <v>11822</v>
      </c>
      <c r="D5405" s="72" t="str">
        <f>IFERROR(VLOOKUP(A5405,'[1]ST-QA-ZZ5'!$C$5:$M$299,11,0),"Inspection at production line")</f>
        <v>Inspection at production line</v>
      </c>
    </row>
    <row r="5406" spans="1:4" ht="13.8">
      <c r="A5406" s="47" t="s">
        <v>11823</v>
      </c>
      <c r="B5406" s="92" t="s">
        <v>174</v>
      </c>
      <c r="C5406" s="92" t="s">
        <v>11819</v>
      </c>
      <c r="D5406" s="72" t="str">
        <f>IFERROR(VLOOKUP(A5406,'[1]ST-QA-ZZ5'!$C$5:$M$299,11,0),"Inspection at production line")</f>
        <v>Inspection at production line</v>
      </c>
    </row>
    <row r="5407" spans="1:4" ht="13.8">
      <c r="A5407" s="47" t="s">
        <v>11824</v>
      </c>
      <c r="B5407" s="92" t="s">
        <v>2765</v>
      </c>
      <c r="C5407" s="92" t="s">
        <v>2766</v>
      </c>
      <c r="D5407" s="72" t="str">
        <f>IFERROR(VLOOKUP(A5407,'[1]ST-QA-ZZ5'!$C$5:$M$299,11,0),"Inspection at production line")</f>
        <v>Inspection at production line</v>
      </c>
    </row>
    <row r="5408" spans="1:4" ht="13.8">
      <c r="A5408" s="47" t="s">
        <v>11825</v>
      </c>
      <c r="B5408" s="92" t="s">
        <v>2215</v>
      </c>
      <c r="C5408" s="92" t="s">
        <v>2216</v>
      </c>
      <c r="D5408" s="72" t="str">
        <f>IFERROR(VLOOKUP(A5408,'[1]ST-QA-ZZ5'!$C$5:$M$299,11,0),"Inspection at production line")</f>
        <v>Inspection at production line</v>
      </c>
    </row>
    <row r="5409" spans="1:4" ht="13.8">
      <c r="A5409" s="47" t="s">
        <v>11826</v>
      </c>
      <c r="B5409" s="92" t="s">
        <v>2638</v>
      </c>
      <c r="C5409" s="92" t="s">
        <v>2639</v>
      </c>
      <c r="D5409" s="72" t="str">
        <f>IFERROR(VLOOKUP(A5409,'[1]ST-QA-ZZ5'!$C$5:$M$299,11,0),"Inspection at production line")</f>
        <v>Inspection at production line</v>
      </c>
    </row>
    <row r="5410" spans="1:4" ht="13.8">
      <c r="A5410" s="47" t="s">
        <v>11827</v>
      </c>
      <c r="B5410" s="92" t="s">
        <v>174</v>
      </c>
      <c r="C5410" s="92" t="s">
        <v>11828</v>
      </c>
      <c r="D5410" s="72" t="str">
        <f>IFERROR(VLOOKUP(A5410,'[1]ST-QA-ZZ5'!$C$5:$M$299,11,0),"Inspection at production line")</f>
        <v>Inspection at production line</v>
      </c>
    </row>
    <row r="5411" spans="1:4" ht="13.8">
      <c r="A5411" s="47" t="s">
        <v>11829</v>
      </c>
      <c r="B5411" s="92" t="s">
        <v>174</v>
      </c>
      <c r="C5411" s="92" t="s">
        <v>11828</v>
      </c>
      <c r="D5411" s="72" t="str">
        <f>IFERROR(VLOOKUP(A5411,'[1]ST-QA-ZZ5'!$C$5:$M$299,11,0),"Inspection at production line")</f>
        <v>Inspection at production line</v>
      </c>
    </row>
    <row r="5412" spans="1:4" ht="13.8">
      <c r="A5412" s="47" t="s">
        <v>11830</v>
      </c>
      <c r="B5412" s="92" t="s">
        <v>2198</v>
      </c>
      <c r="C5412" s="92" t="s">
        <v>11831</v>
      </c>
      <c r="D5412" s="72" t="str">
        <f>IFERROR(VLOOKUP(A5412,'[1]ST-QA-ZZ5'!$C$5:$M$299,11,0),"Inspection at production line")</f>
        <v>Inspection at production line</v>
      </c>
    </row>
    <row r="5413" spans="1:4" ht="13.8">
      <c r="A5413" s="47" t="s">
        <v>11832</v>
      </c>
      <c r="B5413" s="92" t="s">
        <v>90</v>
      </c>
      <c r="C5413" s="92" t="s">
        <v>11833</v>
      </c>
      <c r="D5413" s="72" t="str">
        <f>IFERROR(VLOOKUP(A5413,'[1]ST-QA-ZZ5'!$C$5:$M$299,11,0),"Inspection at production line")</f>
        <v>Inspection at production line</v>
      </c>
    </row>
    <row r="5414" spans="1:4" ht="13.8">
      <c r="A5414" s="47" t="s">
        <v>11834</v>
      </c>
      <c r="B5414" s="92" t="s">
        <v>940</v>
      </c>
      <c r="C5414" s="92" t="s">
        <v>11835</v>
      </c>
      <c r="D5414" s="72" t="str">
        <f>IFERROR(VLOOKUP(A5414,'[1]ST-QA-ZZ5'!$C$5:$M$299,11,0),"Inspection at production line")</f>
        <v>Inspection at production line</v>
      </c>
    </row>
    <row r="5415" spans="1:4" ht="13.8">
      <c r="A5415" s="47" t="s">
        <v>11836</v>
      </c>
      <c r="B5415" s="92" t="s">
        <v>940</v>
      </c>
      <c r="C5415" s="92" t="s">
        <v>11837</v>
      </c>
      <c r="D5415" s="72" t="str">
        <f>IFERROR(VLOOKUP(A5415,'[1]ST-QA-ZZ5'!$C$5:$M$299,11,0),"Inspection at production line")</f>
        <v>Inspection at production line</v>
      </c>
    </row>
    <row r="5416" spans="1:4" ht="13.8">
      <c r="A5416" s="47" t="s">
        <v>11838</v>
      </c>
      <c r="B5416" s="92" t="s">
        <v>940</v>
      </c>
      <c r="C5416" s="92" t="s">
        <v>11837</v>
      </c>
      <c r="D5416" s="72" t="str">
        <f>IFERROR(VLOOKUP(A5416,'[1]ST-QA-ZZ5'!$C$5:$M$299,11,0),"Inspection at production line")</f>
        <v>Inspection at production line</v>
      </c>
    </row>
    <row r="5417" spans="1:4" ht="13.8">
      <c r="A5417" s="47" t="s">
        <v>11839</v>
      </c>
      <c r="B5417" s="92" t="s">
        <v>174</v>
      </c>
      <c r="C5417" s="92" t="s">
        <v>11840</v>
      </c>
      <c r="D5417" s="72" t="str">
        <f>IFERROR(VLOOKUP(A5417,'[1]ST-QA-ZZ5'!$C$5:$M$299,11,0),"Inspection at production line")</f>
        <v>Inspection at production line</v>
      </c>
    </row>
    <row r="5418" spans="1:4" ht="13.8">
      <c r="A5418" s="47" t="s">
        <v>11841</v>
      </c>
      <c r="B5418" s="92" t="s">
        <v>174</v>
      </c>
      <c r="C5418" s="92" t="s">
        <v>11840</v>
      </c>
      <c r="D5418" s="72" t="str">
        <f>IFERROR(VLOOKUP(A5418,'[1]ST-QA-ZZ5'!$C$5:$M$299,11,0),"Inspection at production line")</f>
        <v>Inspection at production line</v>
      </c>
    </row>
    <row r="5419" spans="1:4" ht="13.8">
      <c r="A5419" s="47" t="s">
        <v>11842</v>
      </c>
      <c r="B5419" s="92" t="s">
        <v>2198</v>
      </c>
      <c r="C5419" s="92" t="s">
        <v>11843</v>
      </c>
      <c r="D5419" s="72" t="str">
        <f>IFERROR(VLOOKUP(A5419,'[1]ST-QA-ZZ5'!$C$5:$M$299,11,0),"Inspection at production line")</f>
        <v>Inspection at production line</v>
      </c>
    </row>
    <row r="5420" spans="1:4" ht="13.8">
      <c r="A5420" s="47" t="s">
        <v>11844</v>
      </c>
      <c r="B5420" s="92" t="s">
        <v>2137</v>
      </c>
      <c r="C5420" s="92" t="s">
        <v>11845</v>
      </c>
      <c r="D5420" s="72" t="str">
        <f>IFERROR(VLOOKUP(A5420,'[1]ST-QA-ZZ5'!$C$5:$M$299,11,0),"Inspection at production line")</f>
        <v>Inspection at production line</v>
      </c>
    </row>
    <row r="5421" spans="1:4" ht="13.8">
      <c r="A5421" s="47" t="s">
        <v>11846</v>
      </c>
      <c r="B5421" s="92" t="s">
        <v>2137</v>
      </c>
      <c r="C5421" s="92" t="s">
        <v>11847</v>
      </c>
      <c r="D5421" s="72" t="str">
        <f>IFERROR(VLOOKUP(A5421,'[1]ST-QA-ZZ5'!$C$5:$M$299,11,0),"Inspection at production line")</f>
        <v>Inspection at production line</v>
      </c>
    </row>
    <row r="5422" spans="1:4" ht="13.8">
      <c r="A5422" s="47" t="s">
        <v>11848</v>
      </c>
      <c r="B5422" s="92" t="s">
        <v>2137</v>
      </c>
      <c r="C5422" s="92" t="s">
        <v>11849</v>
      </c>
      <c r="D5422" s="72" t="str">
        <f>IFERROR(VLOOKUP(A5422,'[1]ST-QA-ZZ5'!$C$5:$M$299,11,0),"Inspection at production line")</f>
        <v>Inspection at production line</v>
      </c>
    </row>
    <row r="5423" spans="1:4" ht="13.8">
      <c r="A5423" s="47" t="s">
        <v>11850</v>
      </c>
      <c r="B5423" s="92" t="s">
        <v>1219</v>
      </c>
      <c r="C5423" s="92" t="s">
        <v>11851</v>
      </c>
      <c r="D5423" s="72" t="str">
        <f>IFERROR(VLOOKUP(A5423,'[1]ST-QA-ZZ5'!$C$5:$M$299,11,0),"Inspection at production line")</f>
        <v>Inspection at production line</v>
      </c>
    </row>
    <row r="5424" spans="1:4" ht="13.8">
      <c r="A5424" s="47" t="s">
        <v>11852</v>
      </c>
      <c r="B5424" s="92" t="s">
        <v>940</v>
      </c>
      <c r="C5424" s="92" t="s">
        <v>11853</v>
      </c>
      <c r="D5424" s="72" t="str">
        <f>IFERROR(VLOOKUP(A5424,'[1]ST-QA-ZZ5'!$C$5:$M$299,11,0),"Inspection at production line")</f>
        <v>Inspection at production line</v>
      </c>
    </row>
    <row r="5425" spans="1:4" ht="13.8">
      <c r="A5425" s="47" t="s">
        <v>11854</v>
      </c>
      <c r="B5425" s="92" t="s">
        <v>2069</v>
      </c>
      <c r="C5425" s="92" t="s">
        <v>11855</v>
      </c>
      <c r="D5425" s="72" t="str">
        <f>IFERROR(VLOOKUP(A5425,'[1]ST-QA-ZZ5'!$C$5:$M$299,11,0),"Inspection at production line")</f>
        <v>Inspection at production line</v>
      </c>
    </row>
    <row r="5426" spans="1:4" ht="13.8">
      <c r="A5426" s="47" t="s">
        <v>11856</v>
      </c>
      <c r="B5426" s="92" t="s">
        <v>174</v>
      </c>
      <c r="C5426" s="92" t="s">
        <v>11857</v>
      </c>
      <c r="D5426" s="72" t="str">
        <f>IFERROR(VLOOKUP(A5426,'[1]ST-QA-ZZ5'!$C$5:$M$299,11,0),"Inspection at production line")</f>
        <v>Inspection at production line</v>
      </c>
    </row>
    <row r="5427" spans="1:4" ht="13.8">
      <c r="A5427" s="47" t="s">
        <v>11858</v>
      </c>
      <c r="B5427" s="92" t="s">
        <v>2137</v>
      </c>
      <c r="C5427" s="92" t="s">
        <v>11859</v>
      </c>
      <c r="D5427" s="72" t="str">
        <f>IFERROR(VLOOKUP(A5427,'[1]ST-QA-ZZ5'!$C$5:$M$299,11,0),"Inspection at production line")</f>
        <v>Inspection at production line</v>
      </c>
    </row>
    <row r="5428" spans="1:4" ht="13.8">
      <c r="A5428" s="47" t="s">
        <v>11860</v>
      </c>
      <c r="B5428" s="92" t="s">
        <v>2137</v>
      </c>
      <c r="C5428" s="92" t="s">
        <v>11861</v>
      </c>
      <c r="D5428" s="72" t="str">
        <f>IFERROR(VLOOKUP(A5428,'[1]ST-QA-ZZ5'!$C$5:$M$299,11,0),"Inspection at production line")</f>
        <v>Inspection at production line</v>
      </c>
    </row>
    <row r="5429" spans="1:4" ht="13.8">
      <c r="A5429" s="47" t="s">
        <v>11862</v>
      </c>
      <c r="B5429" s="92" t="s">
        <v>2190</v>
      </c>
      <c r="C5429" s="92" t="s">
        <v>11863</v>
      </c>
      <c r="D5429" s="72" t="str">
        <f>IFERROR(VLOOKUP(A5429,'[1]ST-QA-ZZ5'!$C$5:$M$299,11,0),"Inspection at production line")</f>
        <v>Inspection at production line</v>
      </c>
    </row>
    <row r="5430" spans="1:4" ht="13.8">
      <c r="A5430" s="47" t="s">
        <v>11864</v>
      </c>
      <c r="B5430" s="92" t="s">
        <v>2190</v>
      </c>
      <c r="C5430" s="92" t="s">
        <v>11865</v>
      </c>
      <c r="D5430" s="72" t="str">
        <f>IFERROR(VLOOKUP(A5430,'[1]ST-QA-ZZ5'!$C$5:$M$299,11,0),"Inspection at production line")</f>
        <v>Inspection at production line</v>
      </c>
    </row>
    <row r="5431" spans="1:4" ht="13.8">
      <c r="A5431" s="47" t="s">
        <v>11866</v>
      </c>
      <c r="B5431" s="92" t="s">
        <v>2137</v>
      </c>
      <c r="C5431" s="92" t="s">
        <v>11867</v>
      </c>
      <c r="D5431" s="72" t="str">
        <f>IFERROR(VLOOKUP(A5431,'[1]ST-QA-ZZ5'!$C$5:$M$299,11,0),"Inspection at production line")</f>
        <v>Inspection at production line</v>
      </c>
    </row>
    <row r="5432" spans="1:4" ht="13.8">
      <c r="A5432" s="47" t="s">
        <v>11868</v>
      </c>
      <c r="B5432" s="92" t="s">
        <v>2190</v>
      </c>
      <c r="C5432" s="92" t="s">
        <v>11869</v>
      </c>
      <c r="D5432" s="72" t="str">
        <f>IFERROR(VLOOKUP(A5432,'[1]ST-QA-ZZ5'!$C$5:$M$299,11,0),"Inspection at production line")</f>
        <v>Inspection at production line</v>
      </c>
    </row>
    <row r="5433" spans="1:4" ht="13.8">
      <c r="A5433" s="47" t="s">
        <v>11870</v>
      </c>
      <c r="B5433" s="92" t="s">
        <v>2190</v>
      </c>
      <c r="C5433" s="92" t="s">
        <v>11871</v>
      </c>
      <c r="D5433" s="72" t="str">
        <f>IFERROR(VLOOKUP(A5433,'[1]ST-QA-ZZ5'!$C$5:$M$299,11,0),"Inspection at production line")</f>
        <v>Inspection at production line</v>
      </c>
    </row>
    <row r="5434" spans="1:4" ht="13.8">
      <c r="A5434" s="47" t="s">
        <v>11872</v>
      </c>
      <c r="B5434" s="92" t="s">
        <v>2137</v>
      </c>
      <c r="C5434" s="92" t="s">
        <v>11873</v>
      </c>
      <c r="D5434" s="72" t="str">
        <f>IFERROR(VLOOKUP(A5434,'[1]ST-QA-ZZ5'!$C$5:$M$299,11,0),"Inspection at production line")</f>
        <v>Inspection at production line</v>
      </c>
    </row>
    <row r="5435" spans="1:4" ht="13.8">
      <c r="A5435" s="47" t="s">
        <v>11874</v>
      </c>
      <c r="B5435" s="92" t="s">
        <v>1219</v>
      </c>
      <c r="C5435" s="92" t="s">
        <v>11802</v>
      </c>
      <c r="D5435" s="72" t="str">
        <f>IFERROR(VLOOKUP(A5435,'[1]ST-QA-ZZ5'!$C$5:$M$299,11,0),"Inspection at production line")</f>
        <v>Inspection at production line</v>
      </c>
    </row>
    <row r="5436" spans="1:4" ht="13.8">
      <c r="A5436" s="47" t="s">
        <v>11875</v>
      </c>
      <c r="B5436" s="92" t="s">
        <v>1219</v>
      </c>
      <c r="C5436" s="92" t="s">
        <v>11876</v>
      </c>
      <c r="D5436" s="72" t="str">
        <f>IFERROR(VLOOKUP(A5436,'[1]ST-QA-ZZ5'!$C$5:$M$299,11,0),"Inspection at production line")</f>
        <v>Inspection at production line</v>
      </c>
    </row>
    <row r="5437" spans="1:4" ht="13.8">
      <c r="A5437" s="47" t="s">
        <v>11877</v>
      </c>
      <c r="B5437" s="92" t="s">
        <v>1219</v>
      </c>
      <c r="C5437" s="92" t="s">
        <v>11878</v>
      </c>
      <c r="D5437" s="72" t="str">
        <f>IFERROR(VLOOKUP(A5437,'[1]ST-QA-ZZ5'!$C$5:$M$299,11,0),"Inspection at production line")</f>
        <v>Inspection at production line</v>
      </c>
    </row>
    <row r="5438" spans="1:4" ht="13.8">
      <c r="A5438" s="47" t="s">
        <v>11879</v>
      </c>
      <c r="B5438" s="92" t="s">
        <v>1219</v>
      </c>
      <c r="C5438" s="92" t="s">
        <v>11880</v>
      </c>
      <c r="D5438" s="72" t="str">
        <f>IFERROR(VLOOKUP(A5438,'[1]ST-QA-ZZ5'!$C$5:$M$299,11,0),"Inspection at production line")</f>
        <v>Inspection at production line</v>
      </c>
    </row>
    <row r="5439" spans="1:4" ht="13.8">
      <c r="A5439" s="47" t="s">
        <v>11881</v>
      </c>
      <c r="B5439" s="92" t="s">
        <v>1219</v>
      </c>
      <c r="C5439" s="92" t="s">
        <v>11882</v>
      </c>
      <c r="D5439" s="72" t="str">
        <f>IFERROR(VLOOKUP(A5439,'[1]ST-QA-ZZ5'!$C$5:$M$299,11,0),"Inspection at production line")</f>
        <v>Inspection at production line</v>
      </c>
    </row>
    <row r="5440" spans="1:4" ht="13.8">
      <c r="A5440" s="47" t="s">
        <v>11883</v>
      </c>
      <c r="B5440" s="92" t="s">
        <v>1219</v>
      </c>
      <c r="C5440" s="92" t="s">
        <v>11884</v>
      </c>
      <c r="D5440" s="72" t="str">
        <f>IFERROR(VLOOKUP(A5440,'[1]ST-QA-ZZ5'!$C$5:$M$299,11,0),"Inspection at production line")</f>
        <v>Inspection at production line</v>
      </c>
    </row>
    <row r="5441" spans="1:4" ht="13.8">
      <c r="A5441" s="47" t="s">
        <v>11885</v>
      </c>
      <c r="B5441" s="92" t="s">
        <v>174</v>
      </c>
      <c r="C5441" s="92" t="s">
        <v>11886</v>
      </c>
      <c r="D5441" s="72" t="str">
        <f>IFERROR(VLOOKUP(A5441,'[1]ST-QA-ZZ5'!$C$5:$M$299,11,0),"Inspection at production line")</f>
        <v>Inspection at production line</v>
      </c>
    </row>
    <row r="5442" spans="1:4" ht="13.8">
      <c r="A5442" s="47" t="s">
        <v>11887</v>
      </c>
      <c r="B5442" s="92" t="s">
        <v>174</v>
      </c>
      <c r="C5442" s="92" t="s">
        <v>11888</v>
      </c>
      <c r="D5442" s="72" t="str">
        <f>IFERROR(VLOOKUP(A5442,'[1]ST-QA-ZZ5'!$C$5:$M$299,11,0),"Inspection at production line")</f>
        <v>Inspection at production line</v>
      </c>
    </row>
    <row r="5443" spans="1:4" ht="13.8">
      <c r="A5443" s="47" t="s">
        <v>11889</v>
      </c>
      <c r="B5443" s="92" t="s">
        <v>2198</v>
      </c>
      <c r="C5443" s="92" t="s">
        <v>11890</v>
      </c>
      <c r="D5443" s="72" t="str">
        <f>IFERROR(VLOOKUP(A5443,'[1]ST-QA-ZZ5'!$C$5:$M$299,11,0),"Inspection at production line")</f>
        <v>Inspection at production line</v>
      </c>
    </row>
    <row r="5444" spans="1:4" ht="13.8">
      <c r="A5444" s="47" t="s">
        <v>11891</v>
      </c>
      <c r="B5444" s="92" t="s">
        <v>857</v>
      </c>
      <c r="C5444" s="92" t="s">
        <v>11892</v>
      </c>
      <c r="D5444" s="72" t="str">
        <f>IFERROR(VLOOKUP(A5444,'[1]ST-QA-ZZ5'!$C$5:$M$299,11,0),"Inspection at production line")</f>
        <v>Inspection at production line</v>
      </c>
    </row>
    <row r="5445" spans="1:4" ht="13.8">
      <c r="A5445" s="47" t="s">
        <v>11893</v>
      </c>
      <c r="B5445" s="92" t="s">
        <v>174</v>
      </c>
      <c r="C5445" s="92" t="s">
        <v>11894</v>
      </c>
      <c r="D5445" s="72" t="str">
        <f>IFERROR(VLOOKUP(A5445,'[1]ST-QA-ZZ5'!$C$5:$M$299,11,0),"Inspection at production line")</f>
        <v>Inspection at production line</v>
      </c>
    </row>
    <row r="5446" spans="1:4" ht="13.8">
      <c r="A5446" s="47" t="s">
        <v>11895</v>
      </c>
      <c r="B5446" s="92" t="s">
        <v>2190</v>
      </c>
      <c r="C5446" s="92" t="s">
        <v>11896</v>
      </c>
      <c r="D5446" s="72" t="str">
        <f>IFERROR(VLOOKUP(A5446,'[1]ST-QA-ZZ5'!$C$5:$M$299,11,0),"Inspection at production line")</f>
        <v>Inspection at production line</v>
      </c>
    </row>
    <row r="5447" spans="1:4" ht="13.8">
      <c r="A5447" s="47" t="s">
        <v>11897</v>
      </c>
      <c r="B5447" s="92" t="s">
        <v>2190</v>
      </c>
      <c r="C5447" s="92" t="s">
        <v>11898</v>
      </c>
      <c r="D5447" s="72" t="str">
        <f>IFERROR(VLOOKUP(A5447,'[1]ST-QA-ZZ5'!$C$5:$M$299,11,0),"Inspection at production line")</f>
        <v>Inspection at production line</v>
      </c>
    </row>
    <row r="5448" spans="1:4" ht="13.8">
      <c r="A5448" s="47" t="s">
        <v>11899</v>
      </c>
      <c r="B5448" s="92" t="s">
        <v>2137</v>
      </c>
      <c r="C5448" s="92" t="s">
        <v>11900</v>
      </c>
      <c r="D5448" s="72" t="str">
        <f>IFERROR(VLOOKUP(A5448,'[1]ST-QA-ZZ5'!$C$5:$M$299,11,0),"Inspection at production line")</f>
        <v>Inspection at production line</v>
      </c>
    </row>
    <row r="5449" spans="1:4" ht="13.8">
      <c r="A5449" s="47" t="s">
        <v>11901</v>
      </c>
      <c r="B5449" s="92" t="s">
        <v>2137</v>
      </c>
      <c r="C5449" s="92" t="s">
        <v>11902</v>
      </c>
      <c r="D5449" s="72" t="str">
        <f>IFERROR(VLOOKUP(A5449,'[1]ST-QA-ZZ5'!$C$5:$M$299,11,0),"Inspection at production line")</f>
        <v>Inspection at production line</v>
      </c>
    </row>
    <row r="5450" spans="1:4" ht="13.8">
      <c r="A5450" s="47" t="s">
        <v>11903</v>
      </c>
      <c r="B5450" s="92" t="s">
        <v>2137</v>
      </c>
      <c r="C5450" s="92" t="s">
        <v>11904</v>
      </c>
      <c r="D5450" s="72" t="str">
        <f>IFERROR(VLOOKUP(A5450,'[1]ST-QA-ZZ5'!$C$5:$M$299,11,0),"Inspection at production line")</f>
        <v>Inspection at production line</v>
      </c>
    </row>
    <row r="5451" spans="1:4" ht="13.8">
      <c r="A5451" s="47" t="s">
        <v>11905</v>
      </c>
      <c r="B5451" s="92" t="s">
        <v>1219</v>
      </c>
      <c r="C5451" s="92" t="s">
        <v>11906</v>
      </c>
      <c r="D5451" s="72" t="str">
        <f>IFERROR(VLOOKUP(A5451,'[1]ST-QA-ZZ5'!$C$5:$M$299,11,0),"Inspection at production line")</f>
        <v>Inspection at production line</v>
      </c>
    </row>
    <row r="5452" spans="1:4" ht="13.8">
      <c r="A5452" s="47" t="s">
        <v>11907</v>
      </c>
      <c r="B5452" s="92" t="s">
        <v>1219</v>
      </c>
      <c r="C5452" s="92" t="s">
        <v>11908</v>
      </c>
      <c r="D5452" s="72" t="str">
        <f>IFERROR(VLOOKUP(A5452,'[1]ST-QA-ZZ5'!$C$5:$M$299,11,0),"Inspection at production line")</f>
        <v>Inspection at production line</v>
      </c>
    </row>
    <row r="5453" spans="1:4" ht="13.8">
      <c r="A5453" s="47" t="s">
        <v>11909</v>
      </c>
      <c r="B5453" s="92" t="s">
        <v>174</v>
      </c>
      <c r="C5453" s="92" t="s">
        <v>11910</v>
      </c>
      <c r="D5453" s="72" t="str">
        <f>IFERROR(VLOOKUP(A5453,'[1]ST-QA-ZZ5'!$C$5:$M$299,11,0),"Inspection at production line")</f>
        <v>Inspection at production line</v>
      </c>
    </row>
    <row r="5454" spans="1:4" ht="13.8">
      <c r="A5454" s="47" t="s">
        <v>11911</v>
      </c>
      <c r="B5454" s="92" t="s">
        <v>2190</v>
      </c>
      <c r="C5454" s="92" t="s">
        <v>11912</v>
      </c>
      <c r="D5454" s="72" t="str">
        <f>IFERROR(VLOOKUP(A5454,'[1]ST-QA-ZZ5'!$C$5:$M$299,11,0),"Inspection at production line")</f>
        <v>Inspection at production line</v>
      </c>
    </row>
    <row r="5455" spans="1:4" ht="13.8">
      <c r="A5455" s="47" t="s">
        <v>11913</v>
      </c>
      <c r="B5455" s="92" t="s">
        <v>2137</v>
      </c>
      <c r="C5455" s="92" t="s">
        <v>11914</v>
      </c>
      <c r="D5455" s="72" t="str">
        <f>IFERROR(VLOOKUP(A5455,'[1]ST-QA-ZZ5'!$C$5:$M$299,11,0),"Inspection at production line")</f>
        <v>Inspection at production line</v>
      </c>
    </row>
    <row r="5456" spans="1:4" ht="13.8">
      <c r="A5456" s="47" t="s">
        <v>11915</v>
      </c>
      <c r="B5456" s="92" t="s">
        <v>2190</v>
      </c>
      <c r="C5456" s="92" t="s">
        <v>11916</v>
      </c>
      <c r="D5456" s="72" t="str">
        <f>IFERROR(VLOOKUP(A5456,'[1]ST-QA-ZZ5'!$C$5:$M$299,11,0),"Inspection at production line")</f>
        <v>Inspection at production line</v>
      </c>
    </row>
    <row r="5457" spans="1:4" ht="13.8">
      <c r="A5457" s="47" t="s">
        <v>11917</v>
      </c>
      <c r="B5457" s="92" t="s">
        <v>2190</v>
      </c>
      <c r="C5457" s="92" t="s">
        <v>11918</v>
      </c>
      <c r="D5457" s="72" t="str">
        <f>IFERROR(VLOOKUP(A5457,'[1]ST-QA-ZZ5'!$C$5:$M$299,11,0),"Inspection at production line")</f>
        <v>Inspection at production line</v>
      </c>
    </row>
    <row r="5458" spans="1:4" ht="13.8">
      <c r="A5458" s="47" t="s">
        <v>11919</v>
      </c>
      <c r="B5458" s="92" t="s">
        <v>2137</v>
      </c>
      <c r="C5458" s="92" t="s">
        <v>11920</v>
      </c>
      <c r="D5458" s="72" t="str">
        <f>IFERROR(VLOOKUP(A5458,'[1]ST-QA-ZZ5'!$C$5:$M$299,11,0),"Inspection at production line")</f>
        <v>Inspection at production line</v>
      </c>
    </row>
    <row r="5459" spans="1:4" ht="13.8">
      <c r="A5459" s="47" t="s">
        <v>11921</v>
      </c>
      <c r="B5459" s="92" t="s">
        <v>75</v>
      </c>
      <c r="C5459" s="92" t="s">
        <v>11922</v>
      </c>
      <c r="D5459" s="72" t="str">
        <f>IFERROR(VLOOKUP(A5459,'[1]ST-QA-ZZ5'!$C$5:$M$299,11,0),"Inspection at production line")</f>
        <v>Inspection at production line</v>
      </c>
    </row>
    <row r="5460" spans="1:4" ht="13.8">
      <c r="A5460" s="47" t="s">
        <v>11923</v>
      </c>
      <c r="B5460" s="92" t="s">
        <v>1219</v>
      </c>
      <c r="C5460" s="92" t="s">
        <v>11924</v>
      </c>
      <c r="D5460" s="72" t="str">
        <f>IFERROR(VLOOKUP(A5460,'[1]ST-QA-ZZ5'!$C$5:$M$299,11,0),"Inspection at production line")</f>
        <v>Inspection at production line</v>
      </c>
    </row>
    <row r="5461" spans="1:4" ht="13.8">
      <c r="A5461" s="47" t="s">
        <v>11925</v>
      </c>
      <c r="B5461" s="92" t="s">
        <v>1219</v>
      </c>
      <c r="C5461" s="92" t="s">
        <v>11926</v>
      </c>
      <c r="D5461" s="72" t="str">
        <f>IFERROR(VLOOKUP(A5461,'[1]ST-QA-ZZ5'!$C$5:$M$299,11,0),"Inspection at production line")</f>
        <v>Inspection at production line</v>
      </c>
    </row>
    <row r="5462" spans="1:4" ht="13.8">
      <c r="A5462" s="47" t="s">
        <v>11927</v>
      </c>
      <c r="B5462" s="92" t="s">
        <v>1219</v>
      </c>
      <c r="C5462" s="92" t="s">
        <v>11928</v>
      </c>
      <c r="D5462" s="72" t="str">
        <f>IFERROR(VLOOKUP(A5462,'[1]ST-QA-ZZ5'!$C$5:$M$299,11,0),"Inspection at production line")</f>
        <v>Inspection at production line</v>
      </c>
    </row>
    <row r="5463" spans="1:4" ht="13.8">
      <c r="A5463" s="47" t="s">
        <v>11929</v>
      </c>
      <c r="B5463" s="92" t="s">
        <v>1219</v>
      </c>
      <c r="C5463" s="92" t="s">
        <v>11930</v>
      </c>
      <c r="D5463" s="72" t="str">
        <f>IFERROR(VLOOKUP(A5463,'[1]ST-QA-ZZ5'!$C$5:$M$299,11,0),"Inspection at production line")</f>
        <v>Inspection at production line</v>
      </c>
    </row>
    <row r="5464" spans="1:4" ht="13.8">
      <c r="A5464" s="47" t="s">
        <v>11931</v>
      </c>
      <c r="B5464" s="92" t="s">
        <v>2190</v>
      </c>
      <c r="C5464" s="92" t="s">
        <v>11932</v>
      </c>
      <c r="D5464" s="72" t="str">
        <f>IFERROR(VLOOKUP(A5464,'[1]ST-QA-ZZ5'!$C$5:$M$299,11,0),"Inspection at production line")</f>
        <v>Inspection at production line</v>
      </c>
    </row>
    <row r="5465" spans="1:4" ht="13.8">
      <c r="A5465" s="47" t="s">
        <v>11933</v>
      </c>
      <c r="B5465" s="92" t="s">
        <v>2190</v>
      </c>
      <c r="C5465" s="92" t="s">
        <v>11934</v>
      </c>
      <c r="D5465" s="72" t="str">
        <f>IFERROR(VLOOKUP(A5465,'[1]ST-QA-ZZ5'!$C$5:$M$299,11,0),"Inspection at production line")</f>
        <v>Inspection at production line</v>
      </c>
    </row>
    <row r="5466" spans="1:4" ht="13.8">
      <c r="A5466" s="47" t="s">
        <v>11935</v>
      </c>
      <c r="B5466" s="92" t="s">
        <v>1193</v>
      </c>
      <c r="C5466" s="92" t="s">
        <v>11936</v>
      </c>
      <c r="D5466" s="72" t="str">
        <f>IFERROR(VLOOKUP(A5466,'[1]ST-QA-ZZ5'!$C$5:$M$299,11,0),"Inspection at production line")</f>
        <v>Inspection at production line</v>
      </c>
    </row>
    <row r="5467" spans="1:4" ht="13.8">
      <c r="A5467" s="47" t="s">
        <v>11937</v>
      </c>
      <c r="B5467" s="92" t="s">
        <v>2137</v>
      </c>
      <c r="C5467" s="92" t="s">
        <v>11938</v>
      </c>
      <c r="D5467" s="72" t="str">
        <f>IFERROR(VLOOKUP(A5467,'[1]ST-QA-ZZ5'!$C$5:$M$299,11,0),"Inspection at production line")</f>
        <v>Inspection at production line</v>
      </c>
    </row>
    <row r="5468" spans="1:4" ht="13.8">
      <c r="A5468" s="47" t="s">
        <v>11939</v>
      </c>
      <c r="B5468" s="92" t="s">
        <v>2137</v>
      </c>
      <c r="C5468" s="92" t="s">
        <v>11940</v>
      </c>
      <c r="D5468" s="72" t="str">
        <f>IFERROR(VLOOKUP(A5468,'[1]ST-QA-ZZ5'!$C$5:$M$299,11,0),"Inspection at production line")</f>
        <v>Inspection at production line</v>
      </c>
    </row>
    <row r="5469" spans="1:4" ht="13.8">
      <c r="A5469" s="47" t="s">
        <v>11941</v>
      </c>
      <c r="B5469" s="92" t="s">
        <v>2190</v>
      </c>
      <c r="C5469" s="92" t="s">
        <v>11942</v>
      </c>
      <c r="D5469" s="72" t="str">
        <f>IFERROR(VLOOKUP(A5469,'[1]ST-QA-ZZ5'!$C$5:$M$299,11,0),"Inspection at production line")</f>
        <v>Inspection at production line</v>
      </c>
    </row>
    <row r="5470" spans="1:4" ht="13.8">
      <c r="A5470" s="47" t="s">
        <v>11943</v>
      </c>
      <c r="B5470" s="92" t="s">
        <v>75</v>
      </c>
      <c r="C5470" s="92" t="s">
        <v>11944</v>
      </c>
      <c r="D5470" s="72" t="str">
        <f>IFERROR(VLOOKUP(A5470,'[1]ST-QA-ZZ5'!$C$5:$M$299,11,0),"Inspection at production line")</f>
        <v>Inspection at production line</v>
      </c>
    </row>
    <row r="5471" spans="1:4" ht="13.8">
      <c r="A5471" s="47" t="s">
        <v>11945</v>
      </c>
      <c r="B5471" s="92" t="s">
        <v>75</v>
      </c>
      <c r="C5471" s="92" t="s">
        <v>11946</v>
      </c>
      <c r="D5471" s="72" t="str">
        <f>IFERROR(VLOOKUP(A5471,'[1]ST-QA-ZZ5'!$C$5:$M$299,11,0),"Inspection at production line")</f>
        <v>Inspection at production line</v>
      </c>
    </row>
    <row r="5472" spans="1:4" ht="13.8">
      <c r="A5472" s="47" t="s">
        <v>11947</v>
      </c>
      <c r="B5472" s="92" t="s">
        <v>174</v>
      </c>
      <c r="C5472" s="92" t="s">
        <v>11948</v>
      </c>
      <c r="D5472" s="72" t="str">
        <f>IFERROR(VLOOKUP(A5472,'[1]ST-QA-ZZ5'!$C$5:$M$299,11,0),"Inspection at production line")</f>
        <v>Inspection at production line</v>
      </c>
    </row>
    <row r="5473" spans="1:4" ht="13.8">
      <c r="A5473" s="47" t="s">
        <v>11949</v>
      </c>
      <c r="B5473" s="92" t="s">
        <v>1219</v>
      </c>
      <c r="C5473" s="92" t="s">
        <v>11950</v>
      </c>
      <c r="D5473" s="72" t="str">
        <f>IFERROR(VLOOKUP(A5473,'[1]ST-QA-ZZ5'!$C$5:$M$299,11,0),"Inspection at production line")</f>
        <v>Inspection at production line</v>
      </c>
    </row>
    <row r="5474" spans="1:4" ht="13.8">
      <c r="A5474" s="47" t="s">
        <v>11951</v>
      </c>
      <c r="B5474" s="92" t="s">
        <v>1219</v>
      </c>
      <c r="C5474" s="92" t="s">
        <v>11952</v>
      </c>
      <c r="D5474" s="72" t="str">
        <f>IFERROR(VLOOKUP(A5474,'[1]ST-QA-ZZ5'!$C$5:$M$299,11,0),"Inspection at production line")</f>
        <v>Inspection at production line</v>
      </c>
    </row>
    <row r="5475" spans="1:4" ht="13.8">
      <c r="A5475" s="47" t="s">
        <v>11953</v>
      </c>
      <c r="B5475" s="92" t="s">
        <v>174</v>
      </c>
      <c r="C5475" s="92" t="s">
        <v>11954</v>
      </c>
      <c r="D5475" s="72" t="str">
        <f>IFERROR(VLOOKUP(A5475,'[1]ST-QA-ZZ5'!$C$5:$M$299,11,0),"Inspection at production line")</f>
        <v>Inspection at production line</v>
      </c>
    </row>
    <row r="5476" spans="1:4" ht="13.8">
      <c r="A5476" s="47" t="s">
        <v>11955</v>
      </c>
      <c r="B5476" s="92" t="s">
        <v>174</v>
      </c>
      <c r="C5476" s="92" t="s">
        <v>11956</v>
      </c>
      <c r="D5476" s="72" t="str">
        <f>IFERROR(VLOOKUP(A5476,'[1]ST-QA-ZZ5'!$C$5:$M$299,11,0),"Inspection at production line")</f>
        <v>Inspection at production line</v>
      </c>
    </row>
    <row r="5477" spans="1:4" ht="13.8">
      <c r="A5477" s="47" t="s">
        <v>11957</v>
      </c>
      <c r="B5477" s="92" t="s">
        <v>835</v>
      </c>
      <c r="C5477" s="92" t="s">
        <v>11958</v>
      </c>
      <c r="D5477" s="72" t="str">
        <f>IFERROR(VLOOKUP(A5477,'[1]ST-QA-ZZ5'!$C$5:$M$299,11,0),"Inspection at production line")</f>
        <v>Sampling check</v>
      </c>
    </row>
    <row r="5478" spans="1:4" ht="13.8">
      <c r="A5478" s="47" t="s">
        <v>11959</v>
      </c>
      <c r="B5478" s="92" t="s">
        <v>174</v>
      </c>
      <c r="C5478" s="92" t="s">
        <v>11960</v>
      </c>
      <c r="D5478" s="72" t="str">
        <f>IFERROR(VLOOKUP(A5478,'[1]ST-QA-ZZ5'!$C$5:$M$299,11,0),"Inspection at production line")</f>
        <v>Inspection at production line</v>
      </c>
    </row>
    <row r="5479" spans="1:4" ht="13.8">
      <c r="A5479" s="47" t="s">
        <v>11961</v>
      </c>
      <c r="B5479" s="92" t="s">
        <v>174</v>
      </c>
      <c r="C5479" s="92" t="s">
        <v>11962</v>
      </c>
      <c r="D5479" s="72" t="str">
        <f>IFERROR(VLOOKUP(A5479,'[1]ST-QA-ZZ5'!$C$5:$M$299,11,0),"Inspection at production line")</f>
        <v>Inspection at production line</v>
      </c>
    </row>
    <row r="5480" spans="1:4" ht="13.8">
      <c r="A5480" s="47" t="s">
        <v>11963</v>
      </c>
      <c r="B5480" s="92" t="s">
        <v>174</v>
      </c>
      <c r="C5480" s="92" t="s">
        <v>11964</v>
      </c>
      <c r="D5480" s="72" t="str">
        <f>IFERROR(VLOOKUP(A5480,'[1]ST-QA-ZZ5'!$C$5:$M$299,11,0),"Inspection at production line")</f>
        <v>Inspection at production line</v>
      </c>
    </row>
    <row r="5481" spans="1:4" ht="13.8">
      <c r="A5481" s="47" t="s">
        <v>11965</v>
      </c>
      <c r="B5481" s="92" t="s">
        <v>174</v>
      </c>
      <c r="C5481" s="92" t="s">
        <v>11966</v>
      </c>
      <c r="D5481" s="72" t="str">
        <f>IFERROR(VLOOKUP(A5481,'[1]ST-QA-ZZ5'!$C$5:$M$299,11,0),"Inspection at production line")</f>
        <v>Inspection at production line</v>
      </c>
    </row>
    <row r="5482" spans="1:4" ht="13.8">
      <c r="A5482" s="47" t="s">
        <v>11967</v>
      </c>
      <c r="B5482" s="92" t="s">
        <v>1219</v>
      </c>
      <c r="C5482" s="92" t="s">
        <v>11968</v>
      </c>
      <c r="D5482" s="72" t="str">
        <f>IFERROR(VLOOKUP(A5482,'[1]ST-QA-ZZ5'!$C$5:$M$299,11,0),"Inspection at production line")</f>
        <v>Inspection at production line</v>
      </c>
    </row>
    <row r="5483" spans="1:4" ht="13.8">
      <c r="A5483" s="47" t="s">
        <v>11969</v>
      </c>
      <c r="B5483" s="92" t="s">
        <v>174</v>
      </c>
      <c r="C5483" s="92" t="s">
        <v>11970</v>
      </c>
      <c r="D5483" s="72" t="str">
        <f>IFERROR(VLOOKUP(A5483,'[1]ST-QA-ZZ5'!$C$5:$M$299,11,0),"Inspection at production line")</f>
        <v>Inspection at production line</v>
      </c>
    </row>
    <row r="5484" spans="1:4" ht="13.8">
      <c r="A5484" s="47" t="s">
        <v>11971</v>
      </c>
      <c r="B5484" s="92" t="s">
        <v>2137</v>
      </c>
      <c r="C5484" s="92" t="s">
        <v>11972</v>
      </c>
      <c r="D5484" s="72" t="str">
        <f>IFERROR(VLOOKUP(A5484,'[1]ST-QA-ZZ5'!$C$5:$M$299,11,0),"Inspection at production line")</f>
        <v>Inspection at production line</v>
      </c>
    </row>
    <row r="5485" spans="1:4" ht="13.8">
      <c r="A5485" s="47" t="s">
        <v>11973</v>
      </c>
      <c r="B5485" s="92" t="s">
        <v>2190</v>
      </c>
      <c r="C5485" s="92" t="s">
        <v>11974</v>
      </c>
      <c r="D5485" s="72" t="str">
        <f>IFERROR(VLOOKUP(A5485,'[1]ST-QA-ZZ5'!$C$5:$M$299,11,0),"Inspection at production line")</f>
        <v>Inspection at production line</v>
      </c>
    </row>
    <row r="5486" spans="1:4" ht="13.8">
      <c r="A5486" s="47" t="s">
        <v>11975</v>
      </c>
      <c r="B5486" s="92" t="s">
        <v>2190</v>
      </c>
      <c r="C5486" s="92" t="s">
        <v>11976</v>
      </c>
      <c r="D5486" s="72" t="str">
        <f>IFERROR(VLOOKUP(A5486,'[1]ST-QA-ZZ5'!$C$5:$M$299,11,0),"Inspection at production line")</f>
        <v>Inspection at production line</v>
      </c>
    </row>
    <row r="5487" spans="1:4" ht="13.8">
      <c r="A5487" s="47" t="s">
        <v>11977</v>
      </c>
      <c r="B5487" s="92" t="s">
        <v>2190</v>
      </c>
      <c r="C5487" s="92" t="s">
        <v>11978</v>
      </c>
      <c r="D5487" s="72" t="str">
        <f>IFERROR(VLOOKUP(A5487,'[1]ST-QA-ZZ5'!$C$5:$M$299,11,0),"Inspection at production line")</f>
        <v>Inspection at production line</v>
      </c>
    </row>
    <row r="5488" spans="1:4" ht="13.8">
      <c r="A5488" s="47" t="s">
        <v>11979</v>
      </c>
      <c r="B5488" s="92" t="s">
        <v>2190</v>
      </c>
      <c r="C5488" s="92" t="s">
        <v>11980</v>
      </c>
      <c r="D5488" s="72" t="str">
        <f>IFERROR(VLOOKUP(A5488,'[1]ST-QA-ZZ5'!$C$5:$M$299,11,0),"Inspection at production line")</f>
        <v>Inspection at production line</v>
      </c>
    </row>
    <row r="5489" spans="1:11" ht="13.8">
      <c r="A5489" s="47" t="s">
        <v>11981</v>
      </c>
      <c r="B5489" s="92" t="s">
        <v>174</v>
      </c>
      <c r="C5489" s="92" t="s">
        <v>11982</v>
      </c>
      <c r="D5489" s="72" t="str">
        <f>IFERROR(VLOOKUP(A5489,'[1]ST-QA-ZZ5'!$C$5:$M$299,11,0),"Inspection at production line")</f>
        <v>Inspection at production line</v>
      </c>
    </row>
    <row r="5490" spans="1:11" ht="13.8">
      <c r="A5490" s="47" t="s">
        <v>11983</v>
      </c>
      <c r="B5490" s="92" t="s">
        <v>174</v>
      </c>
      <c r="C5490" s="92" t="s">
        <v>11984</v>
      </c>
      <c r="D5490" s="72" t="str">
        <f>IFERROR(VLOOKUP(A5490,'[1]ST-QA-ZZ5'!$C$5:$M$299,11,0),"Inspection at production line")</f>
        <v>Inspection at production line</v>
      </c>
    </row>
    <row r="5491" spans="1:11" ht="13.8">
      <c r="A5491" s="47" t="s">
        <v>11985</v>
      </c>
      <c r="B5491" s="92" t="s">
        <v>174</v>
      </c>
      <c r="C5491" s="92" t="s">
        <v>11888</v>
      </c>
      <c r="D5491" s="72" t="str">
        <f>IFERROR(VLOOKUP(A5491,'[1]ST-QA-ZZ5'!$C$5:$M$299,11,0),"Inspection at production line")</f>
        <v>Inspection at production line</v>
      </c>
    </row>
    <row r="5492" spans="1:11" s="75" customFormat="1" ht="13.8">
      <c r="A5492" s="47" t="s">
        <v>11986</v>
      </c>
      <c r="B5492" s="92" t="s">
        <v>2137</v>
      </c>
      <c r="C5492" s="92" t="s">
        <v>11987</v>
      </c>
      <c r="D5492" s="76" t="str">
        <f>IFERROR(VLOOKUP(A5492,'[1]ST-QA-ZZ5'!$C$5:$M$299,11,0),"Inspection at production line")</f>
        <v>Inspection at production line</v>
      </c>
      <c r="K5492" s="59"/>
    </row>
    <row r="5493" spans="1:11" ht="13.8">
      <c r="A5493" s="47" t="s">
        <v>11988</v>
      </c>
      <c r="B5493" s="92" t="s">
        <v>2137</v>
      </c>
      <c r="C5493" s="92" t="s">
        <v>11989</v>
      </c>
      <c r="D5493" s="72" t="str">
        <f>IFERROR(VLOOKUP(A5493,'[1]ST-QA-ZZ5'!$C$5:$M$299,11,0),"Inspection at production line")</f>
        <v>Inspection at production line</v>
      </c>
    </row>
    <row r="5494" spans="1:11" ht="13.8">
      <c r="A5494" s="47" t="s">
        <v>11990</v>
      </c>
      <c r="B5494" s="92" t="s">
        <v>2190</v>
      </c>
      <c r="C5494" s="92" t="s">
        <v>11991</v>
      </c>
      <c r="D5494" s="72" t="str">
        <f>IFERROR(VLOOKUP(A5494,'[1]ST-QA-ZZ5'!$C$5:$M$299,11,0),"Inspection at production line")</f>
        <v>Inspection at production line</v>
      </c>
    </row>
    <row r="5495" spans="1:11" ht="13.8">
      <c r="A5495" s="47" t="s">
        <v>11992</v>
      </c>
      <c r="B5495" s="92" t="s">
        <v>2190</v>
      </c>
      <c r="C5495" s="92" t="s">
        <v>11993</v>
      </c>
      <c r="D5495" s="72" t="str">
        <f>IFERROR(VLOOKUP(A5495,'[1]ST-QA-ZZ5'!$C$5:$M$299,11,0),"Inspection at production line")</f>
        <v>Inspection at production line</v>
      </c>
    </row>
    <row r="5496" spans="1:11" ht="13.8">
      <c r="A5496" s="47" t="s">
        <v>11994</v>
      </c>
      <c r="B5496" s="92" t="s">
        <v>174</v>
      </c>
      <c r="C5496" s="92" t="s">
        <v>11964</v>
      </c>
      <c r="D5496" s="72" t="str">
        <f>IFERROR(VLOOKUP(A5496,'[1]ST-QA-ZZ5'!$C$5:$M$299,11,0),"Inspection at production line")</f>
        <v>Inspection at production line</v>
      </c>
    </row>
    <row r="5497" spans="1:11" ht="13.8">
      <c r="A5497" s="47" t="s">
        <v>11995</v>
      </c>
      <c r="B5497" s="92" t="s">
        <v>940</v>
      </c>
      <c r="C5497" s="92" t="s">
        <v>11996</v>
      </c>
      <c r="D5497" s="72" t="str">
        <f>IFERROR(VLOOKUP(A5497,'[1]ST-QA-ZZ5'!$C$5:$M$299,11,0),"Inspection at production line")</f>
        <v>Inspection at production line</v>
      </c>
    </row>
    <row r="5498" spans="1:11" ht="13.8">
      <c r="A5498" s="47" t="s">
        <v>11997</v>
      </c>
      <c r="B5498" s="92" t="s">
        <v>877</v>
      </c>
      <c r="C5498" s="92" t="s">
        <v>4483</v>
      </c>
      <c r="D5498" s="72" t="str">
        <f>IFERROR(VLOOKUP(A5498,'[1]ST-QA-ZZ5'!$C$5:$M$299,11,0),"Inspection at production line")</f>
        <v>Inspection at production line</v>
      </c>
    </row>
    <row r="5499" spans="1:11" ht="13.8">
      <c r="A5499" s="47" t="s">
        <v>11998</v>
      </c>
      <c r="B5499" s="92" t="s">
        <v>11999</v>
      </c>
      <c r="C5499" s="92" t="s">
        <v>11999</v>
      </c>
      <c r="D5499" s="72" t="str">
        <f>IFERROR(VLOOKUP(A5499,'[1]ST-QA-ZZ5'!$C$5:$M$299,11,0),"Inspection at production line")</f>
        <v>Inspection at production line</v>
      </c>
    </row>
    <row r="5500" spans="1:11" ht="13.8">
      <c r="A5500" s="47" t="s">
        <v>12000</v>
      </c>
      <c r="B5500" s="92" t="s">
        <v>843</v>
      </c>
      <c r="C5500" s="92" t="s">
        <v>12001</v>
      </c>
      <c r="D5500" s="72" t="str">
        <f>IFERROR(VLOOKUP(A5500,'[1]ST-QA-ZZ5'!$C$5:$M$299,11,0),"Inspection at production line")</f>
        <v>Sampling check</v>
      </c>
    </row>
    <row r="5501" spans="1:11" ht="13.8">
      <c r="A5501" s="47" t="s">
        <v>12002</v>
      </c>
      <c r="B5501" s="92" t="s">
        <v>83</v>
      </c>
      <c r="C5501" s="92" t="s">
        <v>12003</v>
      </c>
      <c r="D5501" s="72" t="str">
        <f>IFERROR(VLOOKUP(A5501,'[1]ST-QA-ZZ5'!$C$5:$M$299,11,0),"Inspection at production line")</f>
        <v>Sampling check</v>
      </c>
    </row>
    <row r="5502" spans="1:11" ht="13.8">
      <c r="A5502" s="47" t="s">
        <v>12004</v>
      </c>
      <c r="B5502" s="92" t="s">
        <v>3454</v>
      </c>
      <c r="C5502" s="92" t="s">
        <v>12005</v>
      </c>
      <c r="D5502" s="72" t="str">
        <f>IFERROR(VLOOKUP(A5502,'[1]ST-QA-ZZ5'!$C$5:$M$299,11,0),"Inspection at production line")</f>
        <v>Sampling check</v>
      </c>
    </row>
    <row r="5503" spans="1:11" ht="13.8">
      <c r="A5503" s="47" t="s">
        <v>12006</v>
      </c>
      <c r="B5503" s="92" t="s">
        <v>843</v>
      </c>
      <c r="C5503" s="92" t="s">
        <v>12007</v>
      </c>
      <c r="D5503" s="72" t="str">
        <f>IFERROR(VLOOKUP(A5503,'[1]ST-QA-ZZ5'!$C$5:$M$299,11,0),"Inspection at production line")</f>
        <v>Sampling check</v>
      </c>
    </row>
    <row r="5504" spans="1:11" ht="13.8">
      <c r="A5504" s="47" t="s">
        <v>12008</v>
      </c>
      <c r="B5504" s="92" t="s">
        <v>279</v>
      </c>
      <c r="C5504" s="92" t="s">
        <v>12009</v>
      </c>
      <c r="D5504" s="72" t="str">
        <f>IFERROR(VLOOKUP(A5504,'[1]ST-QA-ZZ5'!$C$5:$M$299,11,0),"Inspection at production line")</f>
        <v>Sampling check</v>
      </c>
    </row>
    <row r="5505" spans="1:4" ht="13.8">
      <c r="A5505" s="47" t="s">
        <v>12010</v>
      </c>
      <c r="B5505" s="92" t="s">
        <v>2785</v>
      </c>
      <c r="C5505" s="92" t="s">
        <v>12011</v>
      </c>
      <c r="D5505" s="72" t="str">
        <f>IFERROR(VLOOKUP(A5505,'[1]ST-QA-ZZ5'!$C$5:$M$299,11,0),"Inspection at production line")</f>
        <v>Sampling check</v>
      </c>
    </row>
    <row r="5506" spans="1:4" ht="13.8">
      <c r="A5506" s="47" t="s">
        <v>12012</v>
      </c>
      <c r="B5506" s="92" t="s">
        <v>83</v>
      </c>
      <c r="C5506" s="92" t="s">
        <v>12013</v>
      </c>
      <c r="D5506" s="72" t="str">
        <f>IFERROR(VLOOKUP(A5506,'[1]ST-QA-ZZ5'!$C$5:$M$299,11,0),"Inspection at production line")</f>
        <v>Sampling check</v>
      </c>
    </row>
    <row r="5507" spans="1:4" ht="13.8">
      <c r="A5507" s="47" t="s">
        <v>5022</v>
      </c>
      <c r="B5507" s="92" t="s">
        <v>704</v>
      </c>
      <c r="C5507" s="92" t="s">
        <v>5023</v>
      </c>
      <c r="D5507" s="72" t="str">
        <f>IFERROR(VLOOKUP(A5507,'[1]ST-QA-ZZ5'!$C$5:$M$299,11,0),"Inspection at production line")</f>
        <v>Inspection at production line</v>
      </c>
    </row>
    <row r="5508" spans="1:4" ht="13.8">
      <c r="A5508" s="47" t="s">
        <v>5094</v>
      </c>
      <c r="B5508" s="92" t="s">
        <v>704</v>
      </c>
      <c r="C5508" s="92" t="s">
        <v>5095</v>
      </c>
      <c r="D5508" s="72" t="str">
        <f>IFERROR(VLOOKUP(A5508,'[1]ST-QA-ZZ5'!$C$5:$M$299,11,0),"Inspection at production line")</f>
        <v>Inspection at production line</v>
      </c>
    </row>
    <row r="5509" spans="1:4" ht="13.8">
      <c r="A5509" s="47" t="s">
        <v>5203</v>
      </c>
      <c r="B5509" s="92" t="s">
        <v>704</v>
      </c>
      <c r="C5509" s="92" t="s">
        <v>5204</v>
      </c>
      <c r="D5509" s="72" t="str">
        <f>IFERROR(VLOOKUP(A5509,'[1]ST-QA-ZZ5'!$C$5:$M$299,11,0),"Inspection at production line")</f>
        <v>Inspection at production line</v>
      </c>
    </row>
    <row r="5510" spans="1:4" ht="13.8">
      <c r="A5510" s="47" t="s">
        <v>5311</v>
      </c>
      <c r="B5510" s="92" t="s">
        <v>704</v>
      </c>
      <c r="C5510" s="92" t="s">
        <v>5312</v>
      </c>
      <c r="D5510" s="72" t="str">
        <f>IFERROR(VLOOKUP(A5510,'[1]ST-QA-ZZ5'!$C$5:$M$299,11,0),"Inspection at production line")</f>
        <v>Inspection at production line</v>
      </c>
    </row>
    <row r="5511" spans="1:4" ht="13.8">
      <c r="A5511" s="47" t="s">
        <v>12014</v>
      </c>
      <c r="B5511" s="92" t="s">
        <v>704</v>
      </c>
      <c r="C5511" s="92" t="s">
        <v>12015</v>
      </c>
      <c r="D5511" s="72" t="str">
        <f>IFERROR(VLOOKUP(A5511,'[1]ST-QA-ZZ5'!$C$5:$M$299,11,0),"Inspection at production line")</f>
        <v>Inspection at production line</v>
      </c>
    </row>
    <row r="5512" spans="1:4" ht="13.8">
      <c r="A5512" s="47" t="s">
        <v>12016</v>
      </c>
      <c r="B5512" s="92" t="s">
        <v>704</v>
      </c>
      <c r="C5512" s="92" t="s">
        <v>12017</v>
      </c>
      <c r="D5512" s="72" t="str">
        <f>IFERROR(VLOOKUP(A5512,'[1]ST-QA-ZZ5'!$C$5:$M$299,11,0),"Inspection at production line")</f>
        <v>Inspection at production line</v>
      </c>
    </row>
    <row r="5513" spans="1:4" ht="13.8">
      <c r="A5513" s="47" t="s">
        <v>12018</v>
      </c>
      <c r="B5513" s="92" t="s">
        <v>704</v>
      </c>
      <c r="C5513" s="92" t="s">
        <v>12019</v>
      </c>
      <c r="D5513" s="72" t="str">
        <f>IFERROR(VLOOKUP(A5513,'[1]ST-QA-ZZ5'!$C$5:$M$299,11,0),"Inspection at production line")</f>
        <v>Inspection at production line</v>
      </c>
    </row>
    <row r="5514" spans="1:4" ht="13.8">
      <c r="A5514" s="47" t="s">
        <v>12020</v>
      </c>
      <c r="B5514" s="92" t="s">
        <v>704</v>
      </c>
      <c r="C5514" s="92" t="s">
        <v>12021</v>
      </c>
      <c r="D5514" s="72" t="str">
        <f>IFERROR(VLOOKUP(A5514,'[1]ST-QA-ZZ5'!$C$5:$M$299,11,0),"Inspection at production line")</f>
        <v>Inspection at production line</v>
      </c>
    </row>
    <row r="5515" spans="1:4" ht="13.8">
      <c r="A5515" s="47" t="s">
        <v>12022</v>
      </c>
      <c r="B5515" s="92" t="s">
        <v>2721</v>
      </c>
      <c r="C5515" s="92" t="s">
        <v>12023</v>
      </c>
      <c r="D5515" s="72" t="str">
        <f>IFERROR(VLOOKUP(A5515,'[1]ST-QA-ZZ5'!$C$5:$M$299,11,0),"Inspection at production line")</f>
        <v>Inspection at production line</v>
      </c>
    </row>
    <row r="5516" spans="1:4" ht="13.8">
      <c r="A5516" s="47" t="s">
        <v>5419</v>
      </c>
      <c r="B5516" s="92" t="s">
        <v>90</v>
      </c>
      <c r="C5516" s="92" t="s">
        <v>91</v>
      </c>
      <c r="D5516" s="72" t="str">
        <f>IFERROR(VLOOKUP(A5516,'[1]ST-QA-ZZ5'!$C$5:$M$299,11,0),"Inspection at production line")</f>
        <v>Inspection at production line</v>
      </c>
    </row>
    <row r="5517" spans="1:4" ht="13.8">
      <c r="A5517" s="47" t="s">
        <v>5239</v>
      </c>
      <c r="B5517" s="92" t="s">
        <v>704</v>
      </c>
      <c r="C5517" s="92" t="s">
        <v>12024</v>
      </c>
      <c r="D5517" s="72" t="str">
        <f>IFERROR(VLOOKUP(A5517,'[1]ST-QA-ZZ5'!$C$5:$M$299,11,0),"Inspection at production line")</f>
        <v>Inspection at production line</v>
      </c>
    </row>
    <row r="5518" spans="1:4" ht="13.8">
      <c r="A5518" s="47" t="s">
        <v>12025</v>
      </c>
      <c r="B5518" s="92" t="s">
        <v>704</v>
      </c>
      <c r="C5518" s="92" t="s">
        <v>12026</v>
      </c>
      <c r="D5518" s="72" t="str">
        <f>IFERROR(VLOOKUP(A5518,'[1]ST-QA-ZZ5'!$C$5:$M$299,11,0),"Inspection at production line")</f>
        <v>Inspection at production line</v>
      </c>
    </row>
    <row r="5519" spans="1:4" ht="13.8">
      <c r="A5519" s="47" t="s">
        <v>12027</v>
      </c>
      <c r="B5519" s="92" t="s">
        <v>90</v>
      </c>
      <c r="C5519" s="92" t="s">
        <v>12028</v>
      </c>
      <c r="D5519" s="72" t="str">
        <f>IFERROR(VLOOKUP(A5519,'[1]ST-QA-ZZ5'!$C$5:$M$299,11,0),"Inspection at production line")</f>
        <v>Inspection at production line</v>
      </c>
    </row>
    <row r="5520" spans="1:4" ht="13.8">
      <c r="A5520" s="47" t="s">
        <v>12029</v>
      </c>
      <c r="B5520" s="92" t="s">
        <v>555</v>
      </c>
      <c r="C5520" s="92" t="s">
        <v>12030</v>
      </c>
      <c r="D5520" s="72" t="str">
        <f>IFERROR(VLOOKUP(A5520,'[1]ST-QA-ZZ5'!$C$5:$M$299,11,0),"Inspection at production line")</f>
        <v>Inspection at production line</v>
      </c>
    </row>
    <row r="5521" spans="1:4" ht="13.8">
      <c r="A5521" s="47" t="s">
        <v>703</v>
      </c>
      <c r="B5521" s="92" t="s">
        <v>704</v>
      </c>
      <c r="C5521" s="92" t="s">
        <v>705</v>
      </c>
      <c r="D5521" s="72" t="str">
        <f>IFERROR(VLOOKUP(A5521,'[1]ST-QA-ZZ5'!$C$5:$M$299,11,0),"Inspection at production line")</f>
        <v>Inspection at production line</v>
      </c>
    </row>
    <row r="5522" spans="1:4" ht="13.8">
      <c r="A5522" s="47" t="s">
        <v>12031</v>
      </c>
      <c r="B5522" s="92" t="s">
        <v>2024</v>
      </c>
      <c r="C5522" s="92" t="s">
        <v>12032</v>
      </c>
      <c r="D5522" s="72" t="str">
        <f>IFERROR(VLOOKUP(A5522,'[1]ST-QA-ZZ5'!$C$5:$M$299,11,0),"Inspection at production line")</f>
        <v>Inspection at production line</v>
      </c>
    </row>
    <row r="5523" spans="1:4" ht="13.8">
      <c r="A5523" s="47" t="s">
        <v>12033</v>
      </c>
      <c r="B5523" s="92" t="s">
        <v>2489</v>
      </c>
      <c r="C5523" s="92" t="s">
        <v>12034</v>
      </c>
      <c r="D5523" s="72" t="str">
        <f>IFERROR(VLOOKUP(A5523,'[1]ST-QA-ZZ5'!$C$5:$M$299,11,0),"Inspection at production line")</f>
        <v>Inspection at production line</v>
      </c>
    </row>
    <row r="5524" spans="1:4" ht="13.8">
      <c r="A5524" s="47" t="s">
        <v>12035</v>
      </c>
      <c r="B5524" s="92" t="s">
        <v>3415</v>
      </c>
      <c r="C5524" s="92" t="s">
        <v>12036</v>
      </c>
      <c r="D5524" s="72" t="str">
        <f>IFERROR(VLOOKUP(A5524,'[1]ST-QA-ZZ5'!$C$5:$M$299,11,0),"Inspection at production line")</f>
        <v>Inspection at production line</v>
      </c>
    </row>
    <row r="5525" spans="1:4" ht="13.8">
      <c r="A5525" s="47" t="s">
        <v>12037</v>
      </c>
      <c r="B5525" s="92" t="s">
        <v>83</v>
      </c>
      <c r="C5525" s="92" t="s">
        <v>83</v>
      </c>
      <c r="D5525" s="72" t="str">
        <f>IFERROR(VLOOKUP(A5525,'[1]ST-QA-ZZ5'!$C$5:$M$299,11,0),"Inspection at production line")</f>
        <v>Inspection at production line</v>
      </c>
    </row>
    <row r="5526" spans="1:4" ht="13.8">
      <c r="A5526" s="47" t="s">
        <v>12038</v>
      </c>
      <c r="B5526" s="92" t="s">
        <v>1472</v>
      </c>
      <c r="C5526" s="92" t="s">
        <v>12039</v>
      </c>
      <c r="D5526" s="72" t="str">
        <f>IFERROR(VLOOKUP(A5526,'[1]ST-QA-ZZ5'!$C$5:$M$299,11,0),"Inspection at production line")</f>
        <v>Inspection at production line</v>
      </c>
    </row>
    <row r="5527" spans="1:4" ht="13.8">
      <c r="A5527" s="47" t="s">
        <v>12040</v>
      </c>
      <c r="B5527" s="92" t="s">
        <v>57</v>
      </c>
      <c r="C5527" s="92" t="s">
        <v>12041</v>
      </c>
      <c r="D5527" s="72" t="str">
        <f>IFERROR(VLOOKUP(A5527,'[1]ST-QA-ZZ5'!$C$5:$M$299,11,0),"Inspection at production line")</f>
        <v>Inspection at production line</v>
      </c>
    </row>
    <row r="5528" spans="1:4" ht="13.8">
      <c r="A5528" s="47" t="s">
        <v>12042</v>
      </c>
      <c r="B5528" s="92" t="s">
        <v>900</v>
      </c>
      <c r="C5528" s="92" t="s">
        <v>12043</v>
      </c>
      <c r="D5528" s="72" t="str">
        <f>IFERROR(VLOOKUP(A5528,'[1]ST-QA-ZZ5'!$C$5:$M$299,11,0),"Inspection at production line")</f>
        <v>Inspection at production line</v>
      </c>
    </row>
    <row r="5529" spans="1:4" ht="13.8">
      <c r="A5529" s="47" t="s">
        <v>12044</v>
      </c>
      <c r="B5529" s="92" t="s">
        <v>2721</v>
      </c>
      <c r="C5529" s="92" t="s">
        <v>12045</v>
      </c>
      <c r="D5529" s="72" t="str">
        <f>IFERROR(VLOOKUP(A5529,'[1]ST-QA-ZZ5'!$C$5:$M$299,11,0),"Inspection at production line")</f>
        <v>Inspection at production line</v>
      </c>
    </row>
    <row r="5530" spans="1:4" ht="13.8">
      <c r="A5530" s="47" t="s">
        <v>12046</v>
      </c>
      <c r="B5530" s="92" t="s">
        <v>704</v>
      </c>
      <c r="C5530" s="92" t="s">
        <v>12047</v>
      </c>
      <c r="D5530" s="72" t="str">
        <f>IFERROR(VLOOKUP(A5530,'[1]ST-QA-ZZ5'!$C$5:$M$299,11,0),"Inspection at production line")</f>
        <v>Inspection at production line</v>
      </c>
    </row>
    <row r="5531" spans="1:4" ht="13.8">
      <c r="A5531" s="47" t="s">
        <v>12048</v>
      </c>
      <c r="B5531" s="92" t="s">
        <v>1070</v>
      </c>
      <c r="C5531" s="92" t="s">
        <v>12049</v>
      </c>
      <c r="D5531" s="72" t="str">
        <f>IFERROR(VLOOKUP(A5531,'[1]ST-QA-ZZ5'!$C$5:$M$299,11,0),"Inspection at production line")</f>
        <v>Inspection at production line</v>
      </c>
    </row>
    <row r="5532" spans="1:4" ht="13.8">
      <c r="A5532" s="47" t="s">
        <v>12050</v>
      </c>
      <c r="B5532" s="92" t="s">
        <v>9339</v>
      </c>
      <c r="C5532" s="92" t="s">
        <v>12051</v>
      </c>
      <c r="D5532" s="72" t="str">
        <f>IFERROR(VLOOKUP(A5532,'[1]ST-QA-ZZ5'!$C$5:$M$299,11,0),"Inspection at production line")</f>
        <v>Inspection at production line</v>
      </c>
    </row>
    <row r="5533" spans="1:4" ht="13.8">
      <c r="A5533" s="47" t="s">
        <v>12052</v>
      </c>
      <c r="B5533" s="92" t="s">
        <v>704</v>
      </c>
      <c r="C5533" s="92" t="s">
        <v>12053</v>
      </c>
      <c r="D5533" s="72" t="str">
        <f>IFERROR(VLOOKUP(A5533,'[1]ST-QA-ZZ5'!$C$5:$M$299,11,0),"Inspection at production line")</f>
        <v>Inspection at production line</v>
      </c>
    </row>
    <row r="5534" spans="1:4" ht="13.8">
      <c r="A5534" s="47" t="s">
        <v>12054</v>
      </c>
      <c r="B5534" s="92" t="s">
        <v>1472</v>
      </c>
      <c r="C5534" s="92" t="s">
        <v>12055</v>
      </c>
      <c r="D5534" s="72" t="str">
        <f>IFERROR(VLOOKUP(A5534,'[1]ST-QA-ZZ5'!$C$5:$M$299,11,0),"Inspection at production line")</f>
        <v>Inspection at production line</v>
      </c>
    </row>
    <row r="5535" spans="1:4" ht="13.8">
      <c r="A5535" s="47" t="s">
        <v>12056</v>
      </c>
      <c r="B5535" s="92" t="s">
        <v>12057</v>
      </c>
      <c r="C5535" s="92" t="s">
        <v>12058</v>
      </c>
      <c r="D5535" s="72" t="str">
        <f>IFERROR(VLOOKUP(A5535,'[1]ST-QA-ZZ5'!$C$5:$M$299,11,0),"Inspection at production line")</f>
        <v>Inspection at production line</v>
      </c>
    </row>
    <row r="5536" spans="1:4" ht="13.8">
      <c r="A5536" s="47" t="s">
        <v>12059</v>
      </c>
      <c r="B5536" s="92" t="s">
        <v>900</v>
      </c>
      <c r="C5536" s="92" t="s">
        <v>12060</v>
      </c>
      <c r="D5536" s="72" t="str">
        <f>IFERROR(VLOOKUP(A5536,'[1]ST-QA-ZZ5'!$C$5:$M$299,11,0),"Inspection at production line")</f>
        <v>Inspection at production line</v>
      </c>
    </row>
    <row r="5537" spans="1:4" ht="13.8">
      <c r="A5537" s="47" t="s">
        <v>12061</v>
      </c>
      <c r="B5537" s="92" t="s">
        <v>2721</v>
      </c>
      <c r="C5537" s="92" t="s">
        <v>12062</v>
      </c>
      <c r="D5537" s="72" t="str">
        <f>IFERROR(VLOOKUP(A5537,'[1]ST-QA-ZZ5'!$C$5:$M$299,11,0),"Inspection at production line")</f>
        <v>Inspection at production line</v>
      </c>
    </row>
    <row r="5538" spans="1:4" ht="13.8">
      <c r="A5538" s="47" t="s">
        <v>12063</v>
      </c>
      <c r="B5538" s="92" t="s">
        <v>12064</v>
      </c>
      <c r="C5538" s="92" t="s">
        <v>12065</v>
      </c>
      <c r="D5538" s="72" t="str">
        <f>IFERROR(VLOOKUP(A5538,'[1]ST-QA-ZZ5'!$C$5:$M$299,11,0),"Inspection at production line")</f>
        <v>Inspection at production line</v>
      </c>
    </row>
    <row r="5539" spans="1:4" ht="13.8">
      <c r="A5539" s="47" t="s">
        <v>12066</v>
      </c>
      <c r="B5539" s="92" t="s">
        <v>2489</v>
      </c>
      <c r="C5539" s="92" t="s">
        <v>12067</v>
      </c>
      <c r="D5539" s="72" t="str">
        <f>IFERROR(VLOOKUP(A5539,'[1]ST-QA-ZZ5'!$C$5:$M$299,11,0),"Inspection at production line")</f>
        <v>Inspection at production line</v>
      </c>
    </row>
    <row r="5540" spans="1:4" ht="13.8">
      <c r="A5540" s="47" t="s">
        <v>12068</v>
      </c>
      <c r="B5540" s="92" t="s">
        <v>12069</v>
      </c>
      <c r="C5540" s="92" t="s">
        <v>12069</v>
      </c>
      <c r="D5540" s="72" t="str">
        <f>IFERROR(VLOOKUP(A5540,'[1]ST-QA-ZZ5'!$C$5:$M$299,11,0),"Inspection at production line")</f>
        <v>Inspection at production line</v>
      </c>
    </row>
    <row r="5541" spans="1:4" ht="13.8">
      <c r="A5541" s="47" t="s">
        <v>12070</v>
      </c>
      <c r="B5541" s="92" t="s">
        <v>857</v>
      </c>
      <c r="C5541" s="92" t="s">
        <v>12071</v>
      </c>
      <c r="D5541" s="72" t="str">
        <f>IFERROR(VLOOKUP(A5541,'[1]ST-QA-ZZ5'!$C$5:$M$299,11,0),"Inspection at production line")</f>
        <v>Inspection at production line</v>
      </c>
    </row>
    <row r="5542" spans="1:4" ht="13.8">
      <c r="A5542" s="47" t="s">
        <v>12072</v>
      </c>
      <c r="B5542" s="92" t="s">
        <v>8301</v>
      </c>
      <c r="C5542" s="92" t="s">
        <v>12073</v>
      </c>
      <c r="D5542" s="72" t="str">
        <f>IFERROR(VLOOKUP(A5542,'[1]ST-QA-ZZ5'!$C$5:$M$299,11,0),"Inspection at production line")</f>
        <v>Inspection at production line</v>
      </c>
    </row>
    <row r="5543" spans="1:4" ht="13.8">
      <c r="A5543" s="47" t="s">
        <v>12074</v>
      </c>
      <c r="B5543" s="92" t="s">
        <v>12075</v>
      </c>
      <c r="C5543" s="92" t="s">
        <v>12076</v>
      </c>
      <c r="D5543" s="72" t="str">
        <f>IFERROR(VLOOKUP(A5543,'[1]ST-QA-ZZ5'!$C$5:$M$299,11,0),"Inspection at production line")</f>
        <v>Inspection at production line</v>
      </c>
    </row>
    <row r="5544" spans="1:4" ht="13.8">
      <c r="A5544" s="47" t="s">
        <v>12077</v>
      </c>
      <c r="B5544" s="92" t="s">
        <v>75</v>
      </c>
      <c r="C5544" s="92" t="s">
        <v>8166</v>
      </c>
      <c r="D5544" s="72" t="str">
        <f>IFERROR(VLOOKUP(A5544,'[1]ST-QA-ZZ5'!$C$5:$M$299,11,0),"Inspection at production line")</f>
        <v>Inspection at production line</v>
      </c>
    </row>
    <row r="5545" spans="1:4" ht="13.8">
      <c r="A5545" s="47" t="s">
        <v>469</v>
      </c>
      <c r="B5545" s="92" t="s">
        <v>174</v>
      </c>
      <c r="C5545" s="92" t="s">
        <v>470</v>
      </c>
      <c r="D5545" s="72" t="str">
        <f>IFERROR(VLOOKUP(A5545,'[1]ST-QA-ZZ5'!$C$5:$M$299,11,0),"Inspection at production line")</f>
        <v>Inspection at production line</v>
      </c>
    </row>
    <row r="5546" spans="1:4" ht="13.8">
      <c r="A5546" s="47" t="s">
        <v>12078</v>
      </c>
      <c r="B5546" s="92" t="s">
        <v>1592</v>
      </c>
      <c r="C5546" s="92" t="s">
        <v>12079</v>
      </c>
      <c r="D5546" s="72" t="str">
        <f>IFERROR(VLOOKUP(A5546,'[1]ST-QA-ZZ5'!$C$5:$M$299,11,0),"Inspection at production line")</f>
        <v>Inspection at production line</v>
      </c>
    </row>
    <row r="5547" spans="1:4" ht="13.8">
      <c r="A5547" s="47" t="s">
        <v>12080</v>
      </c>
      <c r="B5547" s="92" t="s">
        <v>75</v>
      </c>
      <c r="C5547" s="92" t="s">
        <v>12081</v>
      </c>
      <c r="D5547" s="72" t="str">
        <f>IFERROR(VLOOKUP(A5547,'[1]ST-QA-ZZ5'!$C$5:$M$299,11,0),"Inspection at production line")</f>
        <v>Inspection at production line</v>
      </c>
    </row>
    <row r="5548" spans="1:4" ht="13.8">
      <c r="A5548" s="47" t="s">
        <v>5180</v>
      </c>
      <c r="B5548" s="92" t="s">
        <v>174</v>
      </c>
      <c r="C5548" s="92" t="s">
        <v>517</v>
      </c>
      <c r="D5548" s="72" t="str">
        <f>IFERROR(VLOOKUP(A5548,'[1]ST-QA-ZZ5'!$C$5:$M$299,11,0),"Inspection at production line")</f>
        <v>Inspection at production line</v>
      </c>
    </row>
    <row r="5549" spans="1:4" ht="13.8">
      <c r="A5549" s="47" t="s">
        <v>12082</v>
      </c>
      <c r="B5549" s="92" t="s">
        <v>75</v>
      </c>
      <c r="C5549" s="92" t="s">
        <v>8206</v>
      </c>
      <c r="D5549" s="72" t="str">
        <f>IFERROR(VLOOKUP(A5549,'[1]ST-QA-ZZ5'!$C$5:$M$299,11,0),"Inspection at production line")</f>
        <v>Inspection at production line</v>
      </c>
    </row>
    <row r="5550" spans="1:4" ht="13.8">
      <c r="A5550" s="47" t="s">
        <v>5183</v>
      </c>
      <c r="B5550" s="92" t="s">
        <v>174</v>
      </c>
      <c r="C5550" s="92" t="s">
        <v>2005</v>
      </c>
      <c r="D5550" s="72" t="str">
        <f>IFERROR(VLOOKUP(A5550,'[1]ST-QA-ZZ5'!$C$5:$M$299,11,0),"Inspection at production line")</f>
        <v>Inspection at production line</v>
      </c>
    </row>
    <row r="5551" spans="1:4" ht="13.8">
      <c r="A5551" s="47" t="s">
        <v>12083</v>
      </c>
      <c r="B5551" s="92" t="s">
        <v>12084</v>
      </c>
      <c r="C5551" s="94" t="s">
        <v>12084</v>
      </c>
      <c r="D5551" s="72" t="str">
        <f>IFERROR(VLOOKUP(A5551,'[1]ST-QA-ZZ5'!$C$5:$M$299,11,0),"Inspection at production line")</f>
        <v>Inspection at production line</v>
      </c>
    </row>
    <row r="5552" spans="1:4" ht="13.8">
      <c r="A5552" s="47" t="s">
        <v>12085</v>
      </c>
      <c r="B5552" s="92" t="s">
        <v>1543</v>
      </c>
      <c r="C5552" s="92" t="s">
        <v>12086</v>
      </c>
      <c r="D5552" s="72" t="str">
        <f>IFERROR(VLOOKUP(A5552,'[1]ST-QA-ZZ5'!$C$5:$M$299,11,0),"Inspection at production line")</f>
        <v>Inspection at production line</v>
      </c>
    </row>
    <row r="5553" spans="1:11" ht="13.8">
      <c r="A5553" s="47" t="s">
        <v>5184</v>
      </c>
      <c r="B5553" s="92" t="s">
        <v>174</v>
      </c>
      <c r="C5553" s="92" t="s">
        <v>5185</v>
      </c>
      <c r="D5553" s="72" t="str">
        <f>IFERROR(VLOOKUP(A5553,'[1]ST-QA-ZZ5'!$C$5:$M$299,11,0),"Inspection at production line")</f>
        <v>Inspection at production line</v>
      </c>
    </row>
    <row r="5554" spans="1:11" ht="13.8">
      <c r="A5554" s="47" t="s">
        <v>12087</v>
      </c>
      <c r="B5554" s="92" t="s">
        <v>75</v>
      </c>
      <c r="C5554" s="92" t="s">
        <v>12088</v>
      </c>
      <c r="D5554" s="72" t="str">
        <f>IFERROR(VLOOKUP(A5554,'[1]ST-QA-ZZ5'!$C$5:$M$299,11,0),"Inspection at production line")</f>
        <v>Inspection at production line</v>
      </c>
    </row>
    <row r="5555" spans="1:11" ht="13.8">
      <c r="A5555" s="47" t="s">
        <v>5188</v>
      </c>
      <c r="B5555" s="92" t="s">
        <v>174</v>
      </c>
      <c r="C5555" s="92" t="s">
        <v>2016</v>
      </c>
      <c r="D5555" s="72" t="str">
        <f>IFERROR(VLOOKUP(A5555,'[1]ST-QA-ZZ5'!$C$5:$M$299,11,0),"Inspection at production line")</f>
        <v>Inspection at production line</v>
      </c>
    </row>
    <row r="5556" spans="1:11" ht="13.8">
      <c r="A5556" s="47" t="s">
        <v>12089</v>
      </c>
      <c r="B5556" s="92" t="s">
        <v>75</v>
      </c>
      <c r="C5556" s="92" t="s">
        <v>5800</v>
      </c>
      <c r="D5556" s="72" t="str">
        <f>IFERROR(VLOOKUP(A5556,'[1]ST-QA-ZZ5'!$C$5:$M$299,11,0),"Inspection at production line")</f>
        <v>Inspection at production line</v>
      </c>
      <c r="F5556" s="47"/>
      <c r="G5556" s="92"/>
      <c r="H5556" s="92"/>
      <c r="I5556" s="92"/>
      <c r="J5556" s="92"/>
      <c r="K5556" s="47"/>
    </row>
    <row r="5557" spans="1:11" ht="13.8">
      <c r="A5557" s="47" t="s">
        <v>497</v>
      </c>
      <c r="B5557" s="92" t="s">
        <v>174</v>
      </c>
      <c r="C5557" s="92" t="s">
        <v>498</v>
      </c>
      <c r="D5557" s="72" t="str">
        <f>IFERROR(VLOOKUP(A5557,'[1]ST-QA-ZZ5'!$C$5:$M$299,11,0),"Inspection at production line")</f>
        <v>Inspection at production line</v>
      </c>
    </row>
    <row r="5558" spans="1:11" ht="13.8">
      <c r="A5558" s="47" t="s">
        <v>12090</v>
      </c>
      <c r="B5558" s="92" t="s">
        <v>75</v>
      </c>
      <c r="C5558" s="92" t="s">
        <v>12091</v>
      </c>
      <c r="D5558" s="72" t="str">
        <f>IFERROR(VLOOKUP(A5558,'[1]ST-QA-ZZ5'!$C$5:$M$299,11,0),"Inspection at production line")</f>
        <v>Inspection at production line</v>
      </c>
    </row>
    <row r="5559" spans="1:11" ht="13.8">
      <c r="A5559" s="47" t="s">
        <v>5189</v>
      </c>
      <c r="B5559" s="92" t="s">
        <v>174</v>
      </c>
      <c r="C5559" s="92" t="s">
        <v>5190</v>
      </c>
      <c r="D5559" s="72" t="str">
        <f>IFERROR(VLOOKUP(A5559,'[1]ST-QA-ZZ5'!$C$5:$M$299,11,0),"Inspection at production line")</f>
        <v>Inspection at production line</v>
      </c>
    </row>
    <row r="5560" spans="1:11" ht="13.8">
      <c r="A5560" s="47" t="s">
        <v>12092</v>
      </c>
      <c r="B5560" s="92" t="s">
        <v>75</v>
      </c>
      <c r="C5560" s="92" t="s">
        <v>12093</v>
      </c>
      <c r="D5560" s="72" t="str">
        <f>IFERROR(VLOOKUP(A5560,'[1]ST-QA-ZZ5'!$C$5:$M$299,11,0),"Inspection at production line")</f>
        <v>Inspection at production line</v>
      </c>
    </row>
    <row r="5561" spans="1:11" ht="13.8">
      <c r="A5561" s="47" t="s">
        <v>5191</v>
      </c>
      <c r="B5561" s="92" t="s">
        <v>174</v>
      </c>
      <c r="C5561" s="92" t="s">
        <v>517</v>
      </c>
      <c r="D5561" s="72" t="str">
        <f>IFERROR(VLOOKUP(A5561,'[1]ST-QA-ZZ5'!$C$5:$M$299,11,0),"Inspection at production line")</f>
        <v>Inspection at production line</v>
      </c>
    </row>
    <row r="5562" spans="1:11" ht="13.8">
      <c r="A5562" s="47" t="s">
        <v>12094</v>
      </c>
      <c r="B5562" s="92" t="s">
        <v>75</v>
      </c>
      <c r="C5562" s="92" t="s">
        <v>12095</v>
      </c>
      <c r="D5562" s="72" t="str">
        <f>IFERROR(VLOOKUP(A5562,'[1]ST-QA-ZZ5'!$C$5:$M$299,11,0),"Inspection at production line")</f>
        <v>Inspection at production line</v>
      </c>
    </row>
    <row r="5563" spans="1:11" ht="13.8">
      <c r="A5563" s="47" t="s">
        <v>5194</v>
      </c>
      <c r="B5563" s="92" t="s">
        <v>174</v>
      </c>
      <c r="C5563" s="92" t="s">
        <v>2005</v>
      </c>
      <c r="D5563" s="72" t="str">
        <f>IFERROR(VLOOKUP(A5563,'[1]ST-QA-ZZ5'!$C$5:$M$299,11,0),"Inspection at production line")</f>
        <v>Inspection at production line</v>
      </c>
    </row>
    <row r="5564" spans="1:11" ht="13.8">
      <c r="A5564" s="47" t="s">
        <v>5197</v>
      </c>
      <c r="B5564" s="92" t="s">
        <v>174</v>
      </c>
      <c r="C5564" s="92" t="s">
        <v>5185</v>
      </c>
      <c r="D5564" s="72" t="str">
        <f>IFERROR(VLOOKUP(A5564,'[1]ST-QA-ZZ5'!$C$5:$M$299,11,0),"Inspection at production line")</f>
        <v>Inspection at production line</v>
      </c>
    </row>
    <row r="5565" spans="1:11" ht="13.8">
      <c r="A5565" s="47" t="s">
        <v>12096</v>
      </c>
      <c r="B5565" s="92" t="s">
        <v>75</v>
      </c>
      <c r="C5565" s="92" t="s">
        <v>12097</v>
      </c>
      <c r="D5565" s="72" t="str">
        <f>IFERROR(VLOOKUP(A5565,'[1]ST-QA-ZZ5'!$C$5:$M$299,11,0),"Inspection at production line")</f>
        <v>Inspection at production line</v>
      </c>
    </row>
    <row r="5566" spans="1:11" ht="13.8">
      <c r="A5566" s="47" t="s">
        <v>5198</v>
      </c>
      <c r="B5566" s="92" t="s">
        <v>174</v>
      </c>
      <c r="C5566" s="92" t="s">
        <v>2016</v>
      </c>
      <c r="D5566" s="72" t="str">
        <f>IFERROR(VLOOKUP(A5566,'[1]ST-QA-ZZ5'!$C$5:$M$299,11,0),"Inspection at production line")</f>
        <v>Inspection at production line</v>
      </c>
    </row>
    <row r="5567" spans="1:11" ht="13.8">
      <c r="A5567" s="47" t="s">
        <v>12098</v>
      </c>
      <c r="B5567" s="92" t="s">
        <v>75</v>
      </c>
      <c r="C5567" s="92" t="s">
        <v>12099</v>
      </c>
      <c r="D5567" s="72" t="str">
        <f>IFERROR(VLOOKUP(A5567,'[1]ST-QA-ZZ5'!$C$5:$M$299,11,0),"Inspection at production line")</f>
        <v>Inspection at production line</v>
      </c>
    </row>
    <row r="5568" spans="1:11" ht="13.8">
      <c r="A5568" s="47" t="s">
        <v>5200</v>
      </c>
      <c r="B5568" s="92" t="s">
        <v>174</v>
      </c>
      <c r="C5568" s="92" t="s">
        <v>498</v>
      </c>
      <c r="D5568" s="72" t="str">
        <f>IFERROR(VLOOKUP(A5568,'[1]ST-QA-ZZ5'!$C$5:$M$299,11,0),"Inspection at production line")</f>
        <v>Inspection at production line</v>
      </c>
    </row>
    <row r="5569" spans="1:4" ht="13.8">
      <c r="A5569" s="47" t="s">
        <v>12100</v>
      </c>
      <c r="B5569" s="92" t="s">
        <v>75</v>
      </c>
      <c r="C5569" s="92" t="s">
        <v>12101</v>
      </c>
      <c r="D5569" s="72" t="str">
        <f>IFERROR(VLOOKUP(A5569,'[1]ST-QA-ZZ5'!$C$5:$M$299,11,0),"Inspection at production line")</f>
        <v>Inspection at production line</v>
      </c>
    </row>
    <row r="5570" spans="1:4" ht="13.8">
      <c r="A5570" s="47" t="s">
        <v>12102</v>
      </c>
      <c r="B5570" s="92" t="s">
        <v>75</v>
      </c>
      <c r="C5570" s="92" t="s">
        <v>12103</v>
      </c>
      <c r="D5570" s="72" t="str">
        <f>IFERROR(VLOOKUP(A5570,'[1]ST-QA-ZZ5'!$C$5:$M$299,11,0),"Inspection at production line")</f>
        <v>Inspection at production line</v>
      </c>
    </row>
    <row r="5571" spans="1:4" ht="13.8">
      <c r="A5571" s="47" t="s">
        <v>12104</v>
      </c>
      <c r="B5571" s="92" t="s">
        <v>75</v>
      </c>
      <c r="C5571" s="92" t="s">
        <v>12105</v>
      </c>
      <c r="D5571" s="72" t="str">
        <f>IFERROR(VLOOKUP(A5571,'[1]ST-QA-ZZ5'!$C$5:$M$299,11,0),"Inspection at production line")</f>
        <v>Inspection at production line</v>
      </c>
    </row>
    <row r="5572" spans="1:4" ht="13.8">
      <c r="A5572" s="47" t="s">
        <v>12106</v>
      </c>
      <c r="B5572" s="92" t="s">
        <v>1554</v>
      </c>
      <c r="C5572" s="92" t="s">
        <v>12107</v>
      </c>
      <c r="D5572" s="72" t="str">
        <f>IFERROR(VLOOKUP(A5572,'[1]ST-QA-ZZ5'!$C$5:$M$299,11,0),"Inspection at production line")</f>
        <v>Inspection at production line</v>
      </c>
    </row>
    <row r="5573" spans="1:4" ht="13.8">
      <c r="A5573" s="47" t="s">
        <v>12108</v>
      </c>
      <c r="B5573" s="92" t="s">
        <v>75</v>
      </c>
      <c r="C5573" s="92" t="s">
        <v>12109</v>
      </c>
      <c r="D5573" s="72" t="str">
        <f>IFERROR(VLOOKUP(A5573,'[1]ST-QA-ZZ5'!$C$5:$M$299,11,0),"Inspection at production line")</f>
        <v>Inspection at production line</v>
      </c>
    </row>
    <row r="5574" spans="1:4" ht="13.8">
      <c r="A5574" s="47" t="s">
        <v>12110</v>
      </c>
      <c r="B5574" s="92" t="s">
        <v>1896</v>
      </c>
      <c r="C5574" s="92" t="s">
        <v>8194</v>
      </c>
      <c r="D5574" s="72" t="str">
        <f>IFERROR(VLOOKUP(A5574,'[1]ST-QA-ZZ5'!$C$5:$M$299,11,0),"Inspection at production line")</f>
        <v>Inspection at production line</v>
      </c>
    </row>
    <row r="5575" spans="1:4" ht="13.8">
      <c r="A5575" s="47" t="s">
        <v>12111</v>
      </c>
      <c r="B5575" s="92" t="s">
        <v>57</v>
      </c>
      <c r="C5575" s="92" t="s">
        <v>12112</v>
      </c>
      <c r="D5575" s="72" t="str">
        <f>IFERROR(VLOOKUP(A5575,'[1]ST-QA-ZZ5'!$C$5:$M$299,11,0),"Inspection at production line")</f>
        <v>Inspection at production line</v>
      </c>
    </row>
    <row r="5576" spans="1:4" ht="13.8">
      <c r="A5576" s="47" t="s">
        <v>12113</v>
      </c>
      <c r="B5576" s="92" t="s">
        <v>797</v>
      </c>
      <c r="C5576" s="92" t="s">
        <v>12114</v>
      </c>
      <c r="D5576" s="72" t="str">
        <f>IFERROR(VLOOKUP(A5576,'[1]ST-QA-ZZ5'!$C$5:$M$299,11,0),"Inspection at production line")</f>
        <v>Inspection at production line</v>
      </c>
    </row>
    <row r="5577" spans="1:4" ht="13.8">
      <c r="A5577" s="47" t="s">
        <v>12115</v>
      </c>
      <c r="B5577" s="92" t="s">
        <v>5996</v>
      </c>
      <c r="C5577" s="92" t="s">
        <v>7546</v>
      </c>
      <c r="D5577" s="72" t="str">
        <f>IFERROR(VLOOKUP(A5577,'[1]ST-QA-ZZ5'!$C$5:$M$299,11,0),"Inspection at production line")</f>
        <v>Appearance check 100%</v>
      </c>
    </row>
    <row r="5578" spans="1:4" ht="13.8">
      <c r="A5578" s="47" t="s">
        <v>12116</v>
      </c>
      <c r="B5578" s="92" t="s">
        <v>1781</v>
      </c>
      <c r="C5578" s="92" t="s">
        <v>7886</v>
      </c>
      <c r="D5578" s="72" t="str">
        <f>IFERROR(VLOOKUP(A5578,'[1]ST-QA-ZZ5'!$C$5:$M$299,11,0),"Inspection at production line")</f>
        <v>Inspection at production line</v>
      </c>
    </row>
    <row r="5579" spans="1:4" ht="13.8">
      <c r="A5579" s="47" t="s">
        <v>12117</v>
      </c>
      <c r="B5579" s="92" t="s">
        <v>4634</v>
      </c>
      <c r="C5579" s="92" t="s">
        <v>6249</v>
      </c>
      <c r="D5579" s="72" t="str">
        <f>IFERROR(VLOOKUP(A5579,'[1]ST-QA-ZZ5'!$C$5:$M$299,11,0),"Inspection at production line")</f>
        <v>Inspection at production line</v>
      </c>
    </row>
    <row r="5580" spans="1:4" ht="13.8">
      <c r="A5580" s="47" t="s">
        <v>5058</v>
      </c>
      <c r="B5580" s="92" t="s">
        <v>1491</v>
      </c>
      <c r="C5580" s="92" t="s">
        <v>5059</v>
      </c>
      <c r="D5580" s="72" t="str">
        <f>IFERROR(VLOOKUP(A5580,'[1]ST-QA-ZZ5'!$C$5:$M$299,11,0),"Inspection at production line")</f>
        <v>Inspection at production line</v>
      </c>
    </row>
    <row r="5581" spans="1:4" ht="13.8">
      <c r="A5581" s="47" t="s">
        <v>5252</v>
      </c>
      <c r="B5581" s="92" t="s">
        <v>5253</v>
      </c>
      <c r="C5581" s="92" t="s">
        <v>5254</v>
      </c>
      <c r="D5581" s="72" t="str">
        <f>IFERROR(VLOOKUP(A5581,'[1]ST-QA-ZZ5'!$C$5:$M$299,11,0),"Inspection at production line")</f>
        <v>Inspection at production line</v>
      </c>
    </row>
    <row r="5582" spans="1:4" ht="13.8">
      <c r="A5582" s="47" t="s">
        <v>12118</v>
      </c>
      <c r="B5582" s="92" t="s">
        <v>5253</v>
      </c>
      <c r="C5582" s="92" t="s">
        <v>12119</v>
      </c>
      <c r="D5582" s="72" t="str">
        <f>IFERROR(VLOOKUP(A5582,'[1]ST-QA-ZZ5'!$C$5:$M$299,11,0),"Inspection at production line")</f>
        <v>Inspection at production line</v>
      </c>
    </row>
    <row r="5583" spans="1:4" ht="13.8">
      <c r="A5583" s="47" t="s">
        <v>5060</v>
      </c>
      <c r="B5583" s="92" t="s">
        <v>5061</v>
      </c>
      <c r="C5583" s="92" t="s">
        <v>5062</v>
      </c>
      <c r="D5583" s="72" t="str">
        <f>IFERROR(VLOOKUP(A5583,'[1]ST-QA-ZZ5'!$C$5:$M$299,11,0),"Inspection at production line")</f>
        <v>Inspection at production line</v>
      </c>
    </row>
    <row r="5584" spans="1:4" ht="13.8">
      <c r="A5584" s="47" t="s">
        <v>12120</v>
      </c>
      <c r="B5584" s="92" t="s">
        <v>12121</v>
      </c>
      <c r="C5584" s="92" t="s">
        <v>12122</v>
      </c>
      <c r="D5584" s="72" t="str">
        <f>IFERROR(VLOOKUP(A5584,'[1]ST-QA-ZZ5'!$C$5:$M$299,11,0),"Inspection at production line")</f>
        <v>Inspection at production line</v>
      </c>
    </row>
    <row r="5585" spans="1:4" ht="13.8">
      <c r="A5585" s="47" t="s">
        <v>182</v>
      </c>
      <c r="B5585" s="92" t="s">
        <v>183</v>
      </c>
      <c r="C5585" s="92" t="s">
        <v>711</v>
      </c>
      <c r="D5585" s="72" t="str">
        <f>IFERROR(VLOOKUP(A5585,'[1]ST-QA-ZZ5'!$C$5:$M$299,11,0),"Inspection at production line")</f>
        <v>Inspection at production line</v>
      </c>
    </row>
    <row r="5586" spans="1:4" ht="13.8">
      <c r="A5586" s="47" t="s">
        <v>12123</v>
      </c>
      <c r="B5586" s="92" t="s">
        <v>183</v>
      </c>
      <c r="C5586" s="92" t="s">
        <v>12124</v>
      </c>
      <c r="D5586" s="72" t="str">
        <f>IFERROR(VLOOKUP(A5586,'[1]ST-QA-ZZ5'!$C$5:$M$299,11,0),"Inspection at production line")</f>
        <v>Inspection at production line</v>
      </c>
    </row>
    <row r="5587" spans="1:4" ht="13.8">
      <c r="A5587" s="47" t="s">
        <v>12125</v>
      </c>
      <c r="B5587" s="92" t="s">
        <v>1781</v>
      </c>
      <c r="C5587" s="92" t="s">
        <v>12126</v>
      </c>
      <c r="D5587" s="72" t="str">
        <f>IFERROR(VLOOKUP(A5587,'[1]ST-QA-ZZ5'!$C$5:$M$299,11,0),"Inspection at production line")</f>
        <v>Inspection at production line</v>
      </c>
    </row>
    <row r="5588" spans="1:4" ht="13.8">
      <c r="A5588" s="47" t="s">
        <v>5081</v>
      </c>
      <c r="B5588" s="92" t="s">
        <v>5033</v>
      </c>
      <c r="C5588" s="92" t="s">
        <v>5082</v>
      </c>
      <c r="D5588" s="72" t="str">
        <f>IFERROR(VLOOKUP(A5588,'[1]ST-QA-ZZ5'!$C$5:$M$299,11,0),"Inspection at production line")</f>
        <v>Inspection at production line</v>
      </c>
    </row>
    <row r="5589" spans="1:4" ht="13.8">
      <c r="A5589" s="47" t="s">
        <v>12127</v>
      </c>
      <c r="B5589" s="92" t="s">
        <v>1212</v>
      </c>
      <c r="C5589" s="92" t="s">
        <v>12128</v>
      </c>
      <c r="D5589" s="72" t="str">
        <f>IFERROR(VLOOKUP(A5589,'[1]ST-QA-ZZ5'!$C$5:$M$299,11,0),"Inspection at production line")</f>
        <v>Inspection at production line</v>
      </c>
    </row>
    <row r="5590" spans="1:4" ht="13.8">
      <c r="A5590" s="47" t="s">
        <v>5039</v>
      </c>
      <c r="B5590" s="92" t="s">
        <v>5040</v>
      </c>
      <c r="C5590" s="92" t="s">
        <v>5041</v>
      </c>
      <c r="D5590" s="72" t="str">
        <f>IFERROR(VLOOKUP(A5590,'[1]ST-QA-ZZ5'!$C$5:$M$299,11,0),"Inspection at production line")</f>
        <v>Inspection at production line</v>
      </c>
    </row>
    <row r="5591" spans="1:4" ht="13.8">
      <c r="A5591" s="47" t="s">
        <v>12129</v>
      </c>
      <c r="B5591" s="92" t="s">
        <v>785</v>
      </c>
      <c r="C5591" s="92" t="s">
        <v>12130</v>
      </c>
      <c r="D5591" s="72" t="str">
        <f>IFERROR(VLOOKUP(A5591,'[1]ST-QA-ZZ5'!$C$5:$M$299,11,0),"Inspection at production line")</f>
        <v>Inspection at production line</v>
      </c>
    </row>
    <row r="5592" spans="1:4" ht="13.8">
      <c r="A5592" s="47" t="s">
        <v>12131</v>
      </c>
      <c r="B5592" s="92" t="s">
        <v>2074</v>
      </c>
      <c r="C5592" s="92" t="s">
        <v>12132</v>
      </c>
      <c r="D5592" s="72" t="str">
        <f>IFERROR(VLOOKUP(A5592,'[1]ST-QA-ZZ5'!$C$5:$M$299,11,0),"Inspection at production line")</f>
        <v>Inspection at production line</v>
      </c>
    </row>
    <row r="5593" spans="1:4" ht="13.8">
      <c r="A5593" s="47" t="s">
        <v>12133</v>
      </c>
      <c r="B5593" s="92" t="s">
        <v>1208</v>
      </c>
      <c r="C5593" s="92" t="s">
        <v>12134</v>
      </c>
      <c r="D5593" s="72" t="str">
        <f>IFERROR(VLOOKUP(A5593,'[1]ST-QA-ZZ5'!$C$5:$M$299,11,0),"Inspection at production line")</f>
        <v>Inspection at production line</v>
      </c>
    </row>
    <row r="5594" spans="1:4" ht="13.8">
      <c r="A5594" s="47" t="s">
        <v>12135</v>
      </c>
      <c r="B5594" s="92" t="s">
        <v>8330</v>
      </c>
      <c r="C5594" s="92" t="s">
        <v>12136</v>
      </c>
      <c r="D5594" s="72" t="str">
        <f>IFERROR(VLOOKUP(A5594,'[1]ST-QA-ZZ5'!$C$5:$M$299,11,0),"Inspection at production line")</f>
        <v>Inspection at production line</v>
      </c>
    </row>
    <row r="5595" spans="1:4" ht="13.8">
      <c r="A5595" s="47" t="s">
        <v>12137</v>
      </c>
      <c r="B5595" s="92" t="s">
        <v>8330</v>
      </c>
      <c r="C5595" s="92" t="s">
        <v>12138</v>
      </c>
      <c r="D5595" s="72" t="str">
        <f>IFERROR(VLOOKUP(A5595,'[1]ST-QA-ZZ5'!$C$5:$M$299,11,0),"Inspection at production line")</f>
        <v>Inspection at production line</v>
      </c>
    </row>
    <row r="5596" spans="1:4" ht="13.8">
      <c r="A5596" s="47" t="s">
        <v>12139</v>
      </c>
      <c r="B5596" s="92" t="s">
        <v>90</v>
      </c>
      <c r="C5596" s="92" t="s">
        <v>12140</v>
      </c>
      <c r="D5596" s="72" t="str">
        <f>IFERROR(VLOOKUP(A5596,'[1]ST-QA-ZZ5'!$C$5:$M$299,11,0),"Inspection at production line")</f>
        <v>Inspection at production line</v>
      </c>
    </row>
    <row r="5597" spans="1:4" ht="13.8">
      <c r="A5597" s="47" t="s">
        <v>12141</v>
      </c>
      <c r="B5597" s="92" t="s">
        <v>4093</v>
      </c>
      <c r="C5597" s="92" t="s">
        <v>12142</v>
      </c>
      <c r="D5597" s="72" t="str">
        <f>IFERROR(VLOOKUP(A5597,'[1]ST-QA-ZZ5'!$C$5:$M$299,11,0),"Inspection at production line")</f>
        <v>Inspection at production line</v>
      </c>
    </row>
    <row r="5598" spans="1:4" ht="13.8">
      <c r="A5598" s="47" t="s">
        <v>12143</v>
      </c>
      <c r="B5598" s="92" t="s">
        <v>4093</v>
      </c>
      <c r="C5598" s="92" t="s">
        <v>12144</v>
      </c>
      <c r="D5598" s="72" t="str">
        <f>IFERROR(VLOOKUP(A5598,'[1]ST-QA-ZZ5'!$C$5:$M$299,11,0),"Inspection at production line")</f>
        <v>Inspection at production line</v>
      </c>
    </row>
    <row r="5599" spans="1:4" ht="13.8">
      <c r="A5599" s="47" t="s">
        <v>12145</v>
      </c>
      <c r="B5599" s="92" t="s">
        <v>2037</v>
      </c>
      <c r="C5599" s="92" t="s">
        <v>12146</v>
      </c>
      <c r="D5599" s="72" t="str">
        <f>IFERROR(VLOOKUP(A5599,'[1]ST-QA-ZZ5'!$C$5:$M$299,11,0),"Inspection at production line")</f>
        <v>Inspection at production line</v>
      </c>
    </row>
    <row r="5600" spans="1:4" ht="13.8">
      <c r="A5600" s="47" t="s">
        <v>12147</v>
      </c>
      <c r="B5600" s="92" t="s">
        <v>8330</v>
      </c>
      <c r="C5600" s="92" t="s">
        <v>12148</v>
      </c>
      <c r="D5600" s="72" t="str">
        <f>IFERROR(VLOOKUP(A5600,'[1]ST-QA-ZZ5'!$C$5:$M$299,11,0),"Inspection at production line")</f>
        <v>Inspection at production line</v>
      </c>
    </row>
    <row r="5601" spans="1:4" ht="13.8">
      <c r="A5601" s="47" t="s">
        <v>12149</v>
      </c>
      <c r="B5601" s="92" t="s">
        <v>2037</v>
      </c>
      <c r="C5601" s="92" t="s">
        <v>12150</v>
      </c>
      <c r="D5601" s="72" t="str">
        <f>IFERROR(VLOOKUP(A5601,'[1]ST-QA-ZZ5'!$C$5:$M$299,11,0),"Inspection at production line")</f>
        <v>Inspection at production line</v>
      </c>
    </row>
    <row r="5602" spans="1:4" ht="13.8">
      <c r="A5602" s="47" t="s">
        <v>12151</v>
      </c>
      <c r="B5602" s="92" t="s">
        <v>2037</v>
      </c>
      <c r="C5602" s="92" t="s">
        <v>12152</v>
      </c>
      <c r="D5602" s="72" t="str">
        <f>IFERROR(VLOOKUP(A5602,'[1]ST-QA-ZZ5'!$C$5:$M$299,11,0),"Inspection at production line")</f>
        <v>Inspection at production line</v>
      </c>
    </row>
    <row r="5603" spans="1:4" ht="13.8">
      <c r="A5603" s="47" t="s">
        <v>12153</v>
      </c>
      <c r="B5603" s="92" t="s">
        <v>818</v>
      </c>
      <c r="C5603" s="92" t="s">
        <v>12154</v>
      </c>
      <c r="D5603" s="72" t="str">
        <f>IFERROR(VLOOKUP(A5603,'[1]ST-QA-ZZ5'!$C$5:$M$299,11,0),"Inspection at production line")</f>
        <v>Inspection at production line</v>
      </c>
    </row>
    <row r="5604" spans="1:4" ht="13.8">
      <c r="A5604" s="47" t="s">
        <v>12155</v>
      </c>
      <c r="B5604" s="92" t="s">
        <v>3644</v>
      </c>
      <c r="C5604" s="92" t="s">
        <v>12156</v>
      </c>
      <c r="D5604" s="72" t="str">
        <f>IFERROR(VLOOKUP(A5604,'[1]ST-QA-ZZ5'!$C$5:$M$299,11,0),"Inspection at production line")</f>
        <v>Inspection at production line</v>
      </c>
    </row>
    <row r="5605" spans="1:4" ht="13.8">
      <c r="A5605" s="47" t="s">
        <v>303</v>
      </c>
      <c r="B5605" s="92" t="s">
        <v>304</v>
      </c>
      <c r="C5605" s="92" t="s">
        <v>305</v>
      </c>
      <c r="D5605" s="72" t="str">
        <f>IFERROR(VLOOKUP(A5605,'[1]ST-QA-ZZ5'!$C$5:$M$299,11,0),"Inspection at production line")</f>
        <v>Inspection at production line</v>
      </c>
    </row>
    <row r="5606" spans="1:4" ht="13.8">
      <c r="A5606" s="47" t="s">
        <v>12157</v>
      </c>
      <c r="B5606" s="92" t="s">
        <v>12158</v>
      </c>
      <c r="C5606" s="92" t="s">
        <v>12159</v>
      </c>
      <c r="D5606" s="72" t="str">
        <f>IFERROR(VLOOKUP(A5606,'[1]ST-QA-ZZ5'!$C$5:$M$299,11,0),"Inspection at production line")</f>
        <v>Inspection at production line</v>
      </c>
    </row>
    <row r="5607" spans="1:4" ht="13.8">
      <c r="A5607" s="47" t="s">
        <v>12160</v>
      </c>
      <c r="B5607" s="92" t="s">
        <v>3644</v>
      </c>
      <c r="C5607" s="92" t="s">
        <v>12161</v>
      </c>
      <c r="D5607" s="72" t="str">
        <f>IFERROR(VLOOKUP(A5607,'[1]ST-QA-ZZ5'!$C$5:$M$299,11,0),"Inspection at production line")</f>
        <v>Inspection at production line</v>
      </c>
    </row>
    <row r="5608" spans="1:4" ht="13.8">
      <c r="A5608" s="47" t="s">
        <v>12162</v>
      </c>
      <c r="B5608" s="92" t="s">
        <v>174</v>
      </c>
      <c r="C5608" s="92" t="s">
        <v>12163</v>
      </c>
      <c r="D5608" s="72" t="str">
        <f>IFERROR(VLOOKUP(A5608,'[1]ST-QA-ZZ5'!$C$5:$M$299,11,0),"Inspection at production line")</f>
        <v>Inspection at production line</v>
      </c>
    </row>
    <row r="5609" spans="1:4" ht="13.8">
      <c r="A5609" s="47" t="s">
        <v>12164</v>
      </c>
      <c r="B5609" s="92" t="s">
        <v>857</v>
      </c>
      <c r="C5609" s="92" t="s">
        <v>12165</v>
      </c>
      <c r="D5609" s="72" t="str">
        <f>IFERROR(VLOOKUP(A5609,'[1]ST-QA-ZZ5'!$C$5:$M$299,11,0),"Inspection at production line")</f>
        <v>Inspection at production line</v>
      </c>
    </row>
    <row r="5610" spans="1:4" ht="13.8">
      <c r="A5610" s="47" t="s">
        <v>12166</v>
      </c>
      <c r="B5610" s="92" t="s">
        <v>857</v>
      </c>
      <c r="C5610" s="92" t="s">
        <v>12167</v>
      </c>
      <c r="D5610" s="72" t="str">
        <f>IFERROR(VLOOKUP(A5610,'[1]ST-QA-ZZ5'!$C$5:$M$299,11,0),"Inspection at production line")</f>
        <v>Inspection at production line</v>
      </c>
    </row>
    <row r="5611" spans="1:4" ht="13.8">
      <c r="A5611" s="47" t="s">
        <v>12168</v>
      </c>
      <c r="B5611" s="92" t="s">
        <v>12169</v>
      </c>
      <c r="C5611" s="92" t="s">
        <v>12169</v>
      </c>
      <c r="D5611" s="72" t="str">
        <f>IFERROR(VLOOKUP(A5611,'[1]ST-QA-ZZ5'!$C$5:$M$299,11,0),"Inspection at production line")</f>
        <v>Inspection at production line</v>
      </c>
    </row>
    <row r="5612" spans="1:4" ht="13.8">
      <c r="A5612" s="47" t="s">
        <v>12170</v>
      </c>
      <c r="B5612" s="92" t="s">
        <v>857</v>
      </c>
      <c r="C5612" s="92" t="s">
        <v>12171</v>
      </c>
      <c r="D5612" s="72" t="str">
        <f>IFERROR(VLOOKUP(A5612,'[1]ST-QA-ZZ5'!$C$5:$M$299,11,0),"Inspection at production line")</f>
        <v>Inspection at production line</v>
      </c>
    </row>
    <row r="5613" spans="1:4" ht="13.8">
      <c r="A5613" s="47" t="s">
        <v>12172</v>
      </c>
      <c r="B5613" s="92" t="s">
        <v>857</v>
      </c>
      <c r="C5613" s="92" t="s">
        <v>12173</v>
      </c>
      <c r="D5613" s="72" t="str">
        <f>IFERROR(VLOOKUP(A5613,'[1]ST-QA-ZZ5'!$C$5:$M$299,11,0),"Inspection at production line")</f>
        <v>Inspection at production line</v>
      </c>
    </row>
    <row r="5614" spans="1:4" ht="13.8">
      <c r="A5614" s="47" t="s">
        <v>12174</v>
      </c>
      <c r="B5614" s="92" t="s">
        <v>174</v>
      </c>
      <c r="C5614" s="92" t="s">
        <v>12175</v>
      </c>
      <c r="D5614" s="72" t="str">
        <f>IFERROR(VLOOKUP(A5614,'[1]ST-QA-ZZ5'!$C$5:$M$299,11,0),"Inspection at production line")</f>
        <v>Inspection at production line</v>
      </c>
    </row>
    <row r="5615" spans="1:4" ht="13.8">
      <c r="A5615" s="47" t="s">
        <v>12176</v>
      </c>
      <c r="B5615" s="92" t="s">
        <v>12177</v>
      </c>
      <c r="C5615" s="92" t="s">
        <v>12177</v>
      </c>
      <c r="D5615" s="72" t="str">
        <f>IFERROR(VLOOKUP(A5615,'[1]ST-QA-ZZ5'!$C$5:$M$299,11,0),"Inspection at production line")</f>
        <v>Inspection at production line</v>
      </c>
    </row>
    <row r="5616" spans="1:4" ht="13.8">
      <c r="A5616" s="47" t="s">
        <v>41</v>
      </c>
      <c r="B5616" s="92" t="s">
        <v>12178</v>
      </c>
      <c r="C5616" s="92" t="s">
        <v>12178</v>
      </c>
      <c r="D5616" s="72" t="str">
        <f>IFERROR(VLOOKUP(A5616,'[1]ST-QA-ZZ5'!$C$5:$M$299,11,0),"Inspection at production line")</f>
        <v>Inspection at production line</v>
      </c>
    </row>
    <row r="5617" spans="1:4" ht="13.8">
      <c r="A5617" s="47" t="s">
        <v>12179</v>
      </c>
      <c r="B5617" s="92" t="s">
        <v>12180</v>
      </c>
      <c r="C5617" s="92" t="s">
        <v>12180</v>
      </c>
      <c r="D5617" s="72" t="str">
        <f>IFERROR(VLOOKUP(A5617,'[1]ST-QA-ZZ5'!$C$5:$M$299,11,0),"Inspection at production line")</f>
        <v>Inspection at production line</v>
      </c>
    </row>
    <row r="5618" spans="1:4" ht="13.8">
      <c r="A5618" s="47" t="s">
        <v>34</v>
      </c>
      <c r="B5618" s="92" t="s">
        <v>843</v>
      </c>
      <c r="C5618" s="92" t="s">
        <v>843</v>
      </c>
      <c r="D5618" s="72" t="str">
        <f>IFERROR(VLOOKUP(A5618,'[1]ST-QA-ZZ5'!$C$5:$M$299,11,0),"Inspection at production line")</f>
        <v>Inspection at production line</v>
      </c>
    </row>
    <row r="5619" spans="1:4" ht="13.8">
      <c r="A5619" s="47" t="s">
        <v>12181</v>
      </c>
      <c r="B5619" s="92" t="s">
        <v>12182</v>
      </c>
      <c r="C5619" s="92" t="s">
        <v>12182</v>
      </c>
      <c r="D5619" s="72" t="str">
        <f>IFERROR(VLOOKUP(A5619,'[1]ST-QA-ZZ5'!$C$5:$M$299,11,0),"Inspection at production line")</f>
        <v>Inspection at production line</v>
      </c>
    </row>
    <row r="5620" spans="1:4" ht="13.8">
      <c r="A5620" s="47" t="s">
        <v>12183</v>
      </c>
      <c r="B5620" s="92" t="s">
        <v>1257</v>
      </c>
      <c r="C5620" s="92" t="s">
        <v>12184</v>
      </c>
      <c r="D5620" s="72" t="str">
        <f>IFERROR(VLOOKUP(A5620,'[1]ST-QA-ZZ5'!$C$5:$M$299,11,0),"Inspection at production line")</f>
        <v>Inspection at production line</v>
      </c>
    </row>
    <row r="5621" spans="1:4" ht="13.8">
      <c r="A5621" s="47" t="s">
        <v>12185</v>
      </c>
      <c r="B5621" s="92" t="s">
        <v>12186</v>
      </c>
      <c r="C5621" s="92" t="s">
        <v>12186</v>
      </c>
      <c r="D5621" s="72" t="str">
        <f>IFERROR(VLOOKUP(A5621,'[1]ST-QA-ZZ5'!$C$5:$M$299,11,0),"Inspection at production line")</f>
        <v>Inspection at production line</v>
      </c>
    </row>
    <row r="5622" spans="1:4" ht="13.8">
      <c r="A5622" s="47" t="s">
        <v>12187</v>
      </c>
      <c r="B5622" s="92" t="s">
        <v>2205</v>
      </c>
      <c r="C5622" s="92" t="s">
        <v>12188</v>
      </c>
      <c r="D5622" s="72" t="str">
        <f>IFERROR(VLOOKUP(A5622,'[1]ST-QA-ZZ5'!$C$5:$M$299,11,0),"Inspection at production line")</f>
        <v>Inspection at production line</v>
      </c>
    </row>
    <row r="5623" spans="1:4" ht="13.8">
      <c r="A5623" s="47" t="s">
        <v>12189</v>
      </c>
      <c r="B5623" s="92" t="s">
        <v>4625</v>
      </c>
      <c r="C5623" s="92" t="s">
        <v>12190</v>
      </c>
      <c r="D5623" s="72" t="str">
        <f>IFERROR(VLOOKUP(A5623,'[1]ST-QA-ZZ5'!$C$5:$M$299,11,0),"Inspection at production line")</f>
        <v>Inspection at production line</v>
      </c>
    </row>
    <row r="5624" spans="1:4" ht="13.8">
      <c r="A5624" s="47" t="s">
        <v>12191</v>
      </c>
      <c r="B5624" s="92" t="s">
        <v>1513</v>
      </c>
      <c r="C5624" s="92" t="s">
        <v>12192</v>
      </c>
      <c r="D5624" s="72" t="str">
        <f>IFERROR(VLOOKUP(A5624,'[1]ST-QA-ZZ5'!$C$5:$M$299,11,0),"Inspection at production line")</f>
        <v>Inspection at production line</v>
      </c>
    </row>
    <row r="5625" spans="1:4" ht="13.8">
      <c r="A5625" s="47" t="s">
        <v>12193</v>
      </c>
      <c r="B5625" s="92" t="s">
        <v>90</v>
      </c>
      <c r="C5625" s="92" t="s">
        <v>12194</v>
      </c>
      <c r="D5625" s="72" t="str">
        <f>IFERROR(VLOOKUP(A5625,'[1]ST-QA-ZZ5'!$C$5:$M$299,11,0),"Inspection at production line")</f>
        <v>Inspection at production line</v>
      </c>
    </row>
    <row r="5626" spans="1:4" ht="13.8">
      <c r="A5626" s="47" t="s">
        <v>12195</v>
      </c>
      <c r="B5626" s="92" t="s">
        <v>1513</v>
      </c>
      <c r="C5626" s="92" t="s">
        <v>12196</v>
      </c>
      <c r="D5626" s="72" t="str">
        <f>IFERROR(VLOOKUP(A5626,'[1]ST-QA-ZZ5'!$C$5:$M$299,11,0),"Inspection at production line")</f>
        <v>Inspection at production line</v>
      </c>
    </row>
    <row r="5627" spans="1:4" ht="13.8">
      <c r="A5627" s="47" t="s">
        <v>12197</v>
      </c>
      <c r="B5627" s="92" t="s">
        <v>90</v>
      </c>
      <c r="C5627" s="92" t="s">
        <v>12198</v>
      </c>
      <c r="D5627" s="72" t="str">
        <f>IFERROR(VLOOKUP(A5627,'[1]ST-QA-ZZ5'!$C$5:$M$299,11,0),"Inspection at production line")</f>
        <v>Inspection at production line</v>
      </c>
    </row>
    <row r="5628" spans="1:4" ht="13.8">
      <c r="A5628" s="47" t="s">
        <v>12199</v>
      </c>
      <c r="B5628" s="92" t="s">
        <v>1513</v>
      </c>
      <c r="C5628" s="92" t="s">
        <v>12200</v>
      </c>
      <c r="D5628" s="72" t="str">
        <f>IFERROR(VLOOKUP(A5628,'[1]ST-QA-ZZ5'!$C$5:$M$299,11,0),"Inspection at production line")</f>
        <v>Inspection at production line</v>
      </c>
    </row>
    <row r="5629" spans="1:4" ht="13.8">
      <c r="A5629" s="47" t="s">
        <v>12201</v>
      </c>
      <c r="B5629" s="92" t="s">
        <v>12202</v>
      </c>
      <c r="C5629" s="92" t="s">
        <v>12202</v>
      </c>
      <c r="D5629" s="72" t="str">
        <f>IFERROR(VLOOKUP(A5629,'[1]ST-QA-ZZ5'!$C$5:$M$299,11,0),"Inspection at production line")</f>
        <v>Inspection at production line</v>
      </c>
    </row>
    <row r="5630" spans="1:4" ht="13.8">
      <c r="A5630" s="47" t="s">
        <v>12203</v>
      </c>
      <c r="B5630" s="92" t="s">
        <v>12204</v>
      </c>
      <c r="C5630" s="92" t="s">
        <v>12204</v>
      </c>
      <c r="D5630" s="72" t="str">
        <f>IFERROR(VLOOKUP(A5630,'[1]ST-QA-ZZ5'!$C$5:$M$299,11,0),"Inspection at production line")</f>
        <v>Inspection at production line</v>
      </c>
    </row>
    <row r="5631" spans="1:4" ht="13.8">
      <c r="A5631" s="47" t="s">
        <v>12205</v>
      </c>
      <c r="B5631" s="92" t="s">
        <v>12206</v>
      </c>
      <c r="C5631" s="92" t="s">
        <v>12206</v>
      </c>
      <c r="D5631" s="72" t="str">
        <f>IFERROR(VLOOKUP(A5631,'[1]ST-QA-ZZ5'!$C$5:$M$299,11,0),"Inspection at production line")</f>
        <v>Inspection at production line</v>
      </c>
    </row>
    <row r="5632" spans="1:4" ht="13.8">
      <c r="A5632" s="47" t="s">
        <v>12207</v>
      </c>
      <c r="B5632" s="92" t="s">
        <v>304</v>
      </c>
      <c r="C5632" s="92" t="s">
        <v>12208</v>
      </c>
      <c r="D5632" s="72" t="str">
        <f>IFERROR(VLOOKUP(A5632,'[1]ST-QA-ZZ5'!$C$5:$M$299,11,0),"Inspection at production line")</f>
        <v>Inspection at production line</v>
      </c>
    </row>
    <row r="5633" spans="1:4" ht="13.8">
      <c r="A5633" s="47" t="s">
        <v>12209</v>
      </c>
      <c r="B5633" s="92" t="s">
        <v>1513</v>
      </c>
      <c r="C5633" s="92" t="s">
        <v>12210</v>
      </c>
      <c r="D5633" s="72" t="str">
        <f>IFERROR(VLOOKUP(A5633,'[1]ST-QA-ZZ5'!$C$5:$M$299,11,0),"Inspection at production line")</f>
        <v>Inspection at production line</v>
      </c>
    </row>
    <row r="5634" spans="1:4" ht="13.8">
      <c r="A5634" s="47" t="s">
        <v>12211</v>
      </c>
      <c r="B5634" s="92" t="s">
        <v>12212</v>
      </c>
      <c r="C5634" s="92" t="s">
        <v>12212</v>
      </c>
      <c r="D5634" s="72" t="str">
        <f>IFERROR(VLOOKUP(A5634,'[1]ST-QA-ZZ5'!$C$5:$M$299,11,0),"Inspection at production line")</f>
        <v>Inspection at production line</v>
      </c>
    </row>
    <row r="5635" spans="1:4" ht="13.8">
      <c r="A5635" s="47" t="s">
        <v>12213</v>
      </c>
      <c r="B5635" s="92" t="s">
        <v>12214</v>
      </c>
      <c r="C5635" s="92" t="s">
        <v>12214</v>
      </c>
      <c r="D5635" s="72" t="str">
        <f>IFERROR(VLOOKUP(A5635,'[1]ST-QA-ZZ5'!$C$5:$M$299,11,0),"Inspection at production line")</f>
        <v>Inspection at production line</v>
      </c>
    </row>
    <row r="5636" spans="1:4" ht="13.8">
      <c r="A5636" s="47" t="s">
        <v>12215</v>
      </c>
      <c r="B5636" s="92" t="s">
        <v>12216</v>
      </c>
      <c r="C5636" s="92" t="s">
        <v>12217</v>
      </c>
      <c r="D5636" s="72" t="str">
        <f>IFERROR(VLOOKUP(A5636,'[1]ST-QA-ZZ5'!$C$5:$M$299,11,0),"Inspection at production line")</f>
        <v>Inspection at production line</v>
      </c>
    </row>
    <row r="5637" spans="1:4" ht="13.8">
      <c r="A5637" s="47" t="s">
        <v>12218</v>
      </c>
      <c r="B5637" s="92" t="s">
        <v>68</v>
      </c>
      <c r="C5637" s="92" t="s">
        <v>12219</v>
      </c>
      <c r="D5637" s="72" t="str">
        <f>IFERROR(VLOOKUP(A5637,'[1]ST-QA-ZZ5'!$C$5:$M$299,11,0),"Inspection at production line")</f>
        <v>Inspection at production line</v>
      </c>
    </row>
    <row r="5638" spans="1:4" ht="13.8">
      <c r="A5638" s="47" t="s">
        <v>12220</v>
      </c>
      <c r="B5638" s="92" t="s">
        <v>75</v>
      </c>
      <c r="C5638" s="92" t="s">
        <v>12221</v>
      </c>
      <c r="D5638" s="72" t="str">
        <f>IFERROR(VLOOKUP(A5638,'[1]ST-QA-ZZ5'!$C$5:$M$299,11,0),"Inspection at production line")</f>
        <v>Inspection at production line</v>
      </c>
    </row>
    <row r="5639" spans="1:4" ht="13.8">
      <c r="A5639" s="47" t="s">
        <v>12222</v>
      </c>
      <c r="B5639" s="92" t="s">
        <v>12223</v>
      </c>
      <c r="C5639" s="92" t="s">
        <v>12223</v>
      </c>
      <c r="D5639" s="72" t="str">
        <f>IFERROR(VLOOKUP(A5639,'[1]ST-QA-ZZ5'!$C$5:$M$299,11,0),"Inspection at production line")</f>
        <v>Inspection at production line</v>
      </c>
    </row>
    <row r="5640" spans="1:4" ht="13.8">
      <c r="A5640" s="47" t="s">
        <v>12224</v>
      </c>
      <c r="B5640" s="92" t="s">
        <v>174</v>
      </c>
      <c r="C5640" s="92" t="s">
        <v>12225</v>
      </c>
      <c r="D5640" s="72" t="str">
        <f>IFERROR(VLOOKUP(A5640,'[1]ST-QA-ZZ5'!$C$5:$M$299,11,0),"Inspection at production line")</f>
        <v>Inspection at production line</v>
      </c>
    </row>
    <row r="5641" spans="1:4" ht="13.8">
      <c r="A5641" s="47" t="s">
        <v>12226</v>
      </c>
      <c r="B5641" s="92" t="s">
        <v>12227</v>
      </c>
      <c r="C5641" s="92" t="s">
        <v>12227</v>
      </c>
      <c r="D5641" s="72" t="str">
        <f>IFERROR(VLOOKUP(A5641,'[1]ST-QA-ZZ5'!$C$5:$M$299,11,0),"Inspection at production line")</f>
        <v>Inspection at production line</v>
      </c>
    </row>
    <row r="5642" spans="1:4" ht="13.8">
      <c r="A5642" s="47" t="s">
        <v>12228</v>
      </c>
      <c r="B5642" s="92" t="s">
        <v>12229</v>
      </c>
      <c r="C5642" s="92" t="s">
        <v>12229</v>
      </c>
      <c r="D5642" s="72" t="str">
        <f>IFERROR(VLOOKUP(A5642,'[1]ST-QA-ZZ5'!$C$5:$M$299,11,0),"Inspection at production line")</f>
        <v>Inspection at production line</v>
      </c>
    </row>
    <row r="5643" spans="1:4" ht="13.8">
      <c r="A5643" s="47" t="s">
        <v>12230</v>
      </c>
      <c r="B5643" s="92" t="s">
        <v>12231</v>
      </c>
      <c r="C5643" s="92" t="s">
        <v>12231</v>
      </c>
      <c r="D5643" s="72" t="str">
        <f>IFERROR(VLOOKUP(A5643,'[1]ST-QA-ZZ5'!$C$5:$M$299,11,0),"Inspection at production line")</f>
        <v>Inspection at production line</v>
      </c>
    </row>
    <row r="5644" spans="1:4" ht="13.8">
      <c r="A5644" s="47" t="s">
        <v>12232</v>
      </c>
      <c r="B5644" s="92" t="s">
        <v>12233</v>
      </c>
      <c r="C5644" s="92" t="s">
        <v>12233</v>
      </c>
      <c r="D5644" s="72" t="str">
        <f>IFERROR(VLOOKUP(A5644,'[1]ST-QA-ZZ5'!$C$5:$M$299,11,0),"Inspection at production line")</f>
        <v>Inspection at production line</v>
      </c>
    </row>
    <row r="5645" spans="1:4" ht="13.8">
      <c r="A5645" s="47" t="s">
        <v>35</v>
      </c>
      <c r="B5645" s="92" t="s">
        <v>12234</v>
      </c>
      <c r="C5645" s="92" t="s">
        <v>12234</v>
      </c>
      <c r="D5645" s="72" t="str">
        <f>IFERROR(VLOOKUP(A5645,'[1]ST-QA-ZZ5'!$C$5:$M$299,11,0),"Inspection at production line")</f>
        <v>Appearance check 100%</v>
      </c>
    </row>
    <row r="5646" spans="1:4" ht="13.8">
      <c r="A5646" s="47" t="s">
        <v>12235</v>
      </c>
      <c r="B5646" s="92" t="s">
        <v>12236</v>
      </c>
      <c r="C5646" s="92" t="s">
        <v>12236</v>
      </c>
      <c r="D5646" s="72" t="str">
        <f>IFERROR(VLOOKUP(A5646,'[1]ST-QA-ZZ5'!$C$5:$M$299,11,0),"Inspection at production line")</f>
        <v>Inspection at production line</v>
      </c>
    </row>
    <row r="5647" spans="1:4" ht="13.8">
      <c r="A5647" s="47" t="s">
        <v>12237</v>
      </c>
      <c r="B5647" s="92" t="s">
        <v>12238</v>
      </c>
      <c r="C5647" s="92" t="s">
        <v>12238</v>
      </c>
      <c r="D5647" s="72" t="str">
        <f>IFERROR(VLOOKUP(A5647,'[1]ST-QA-ZZ5'!$C$5:$M$299,11,0),"Inspection at production line")</f>
        <v>Inspection at production line</v>
      </c>
    </row>
    <row r="5648" spans="1:4" ht="13.8">
      <c r="A5648" s="47" t="s">
        <v>12239</v>
      </c>
      <c r="B5648" s="92" t="s">
        <v>12240</v>
      </c>
      <c r="C5648" s="92" t="s">
        <v>12240</v>
      </c>
      <c r="D5648" s="72" t="str">
        <f>IFERROR(VLOOKUP(A5648,'[1]ST-QA-ZZ5'!$C$5:$M$299,11,0),"Inspection at production line")</f>
        <v>Inspection at production line</v>
      </c>
    </row>
    <row r="5649" spans="1:4" ht="13.8">
      <c r="A5649" s="47" t="s">
        <v>12241</v>
      </c>
      <c r="B5649" s="92" t="s">
        <v>12242</v>
      </c>
      <c r="C5649" s="92" t="s">
        <v>12242</v>
      </c>
      <c r="D5649" s="72" t="str">
        <f>IFERROR(VLOOKUP(A5649,'[1]ST-QA-ZZ5'!$C$5:$M$299,11,0),"Inspection at production line")</f>
        <v>Inspection at production line</v>
      </c>
    </row>
    <row r="5650" spans="1:4" ht="13.8">
      <c r="A5650" s="47" t="s">
        <v>233</v>
      </c>
      <c r="B5650" s="92" t="s">
        <v>174</v>
      </c>
      <c r="C5650" s="92" t="s">
        <v>234</v>
      </c>
      <c r="D5650" s="72" t="str">
        <f>IFERROR(VLOOKUP(A5650,'[1]ST-QA-ZZ5'!$C$5:$M$299,11,0),"Inspection at production line")</f>
        <v>Inspection at production line</v>
      </c>
    </row>
    <row r="5651" spans="1:4" ht="13.8">
      <c r="A5651" s="47" t="s">
        <v>12243</v>
      </c>
      <c r="B5651" s="92" t="s">
        <v>12244</v>
      </c>
      <c r="C5651" s="92" t="s">
        <v>12244</v>
      </c>
      <c r="D5651" s="72" t="str">
        <f>IFERROR(VLOOKUP(A5651,'[1]ST-QA-ZZ5'!$C$5:$M$299,11,0),"Inspection at production line")</f>
        <v>Inspection at production line</v>
      </c>
    </row>
    <row r="5652" spans="1:4" ht="13.8">
      <c r="A5652" s="47" t="s">
        <v>12245</v>
      </c>
      <c r="B5652" s="92" t="s">
        <v>12246</v>
      </c>
      <c r="C5652" s="92" t="s">
        <v>12246</v>
      </c>
      <c r="D5652" s="72" t="str">
        <f>IFERROR(VLOOKUP(A5652,'[1]ST-QA-ZZ5'!$C$5:$M$299,11,0),"Inspection at production line")</f>
        <v>Inspection at production line</v>
      </c>
    </row>
    <row r="5653" spans="1:4" ht="13.8">
      <c r="A5653" s="47" t="s">
        <v>12247</v>
      </c>
      <c r="B5653" s="92" t="s">
        <v>12248</v>
      </c>
      <c r="C5653" s="92" t="s">
        <v>12249</v>
      </c>
      <c r="D5653" s="72" t="str">
        <f>IFERROR(VLOOKUP(A5653,'[1]ST-QA-ZZ5'!$C$5:$M$299,11,0),"Inspection at production line")</f>
        <v>Inspection at production line</v>
      </c>
    </row>
    <row r="5654" spans="1:4" ht="13.8">
      <c r="A5654" s="47" t="s">
        <v>12250</v>
      </c>
      <c r="B5654" s="92" t="s">
        <v>75</v>
      </c>
      <c r="C5654" s="92" t="s">
        <v>12251</v>
      </c>
      <c r="D5654" s="72" t="str">
        <f>IFERROR(VLOOKUP(A5654,'[1]ST-QA-ZZ5'!$C$5:$M$299,11,0),"Inspection at production line")</f>
        <v>Inspection at production line</v>
      </c>
    </row>
    <row r="5655" spans="1:4" ht="13.8">
      <c r="A5655" s="47" t="s">
        <v>12252</v>
      </c>
      <c r="B5655" s="92" t="s">
        <v>12253</v>
      </c>
      <c r="C5655" s="92" t="s">
        <v>12253</v>
      </c>
      <c r="D5655" s="72" t="str">
        <f>IFERROR(VLOOKUP(A5655,'[1]ST-QA-ZZ5'!$C$5:$M$299,11,0),"Inspection at production line")</f>
        <v>Inspection at production line</v>
      </c>
    </row>
    <row r="5656" spans="1:4" ht="13.8">
      <c r="A5656" s="47" t="s">
        <v>12254</v>
      </c>
      <c r="B5656" s="92" t="s">
        <v>174</v>
      </c>
      <c r="C5656" s="92" t="s">
        <v>12255</v>
      </c>
      <c r="D5656" s="72" t="str">
        <f>IFERROR(VLOOKUP(A5656,'[1]ST-QA-ZZ5'!$C$5:$M$299,11,0),"Inspection at production line")</f>
        <v>Inspection at production line</v>
      </c>
    </row>
    <row r="5657" spans="1:4" ht="13.8">
      <c r="A5657" s="47" t="s">
        <v>12256</v>
      </c>
      <c r="B5657" s="92" t="s">
        <v>12257</v>
      </c>
      <c r="C5657" s="92" t="s">
        <v>12257</v>
      </c>
      <c r="D5657" s="72" t="str">
        <f>IFERROR(VLOOKUP(A5657,'[1]ST-QA-ZZ5'!$C$5:$M$299,11,0),"Inspection at production line")</f>
        <v>Inspection at production line</v>
      </c>
    </row>
    <row r="5658" spans="1:4" ht="13.8">
      <c r="A5658" s="47" t="s">
        <v>12258</v>
      </c>
      <c r="B5658" s="92" t="s">
        <v>12259</v>
      </c>
      <c r="C5658" s="92" t="s">
        <v>12259</v>
      </c>
      <c r="D5658" s="72" t="str">
        <f>IFERROR(VLOOKUP(A5658,'[1]ST-QA-ZZ5'!$C$5:$M$299,11,0),"Inspection at production line")</f>
        <v>Inspection at production line</v>
      </c>
    </row>
    <row r="5659" spans="1:4" ht="13.8">
      <c r="A5659" s="47" t="s">
        <v>12260</v>
      </c>
      <c r="B5659" s="92" t="s">
        <v>12261</v>
      </c>
      <c r="C5659" s="92" t="s">
        <v>12261</v>
      </c>
      <c r="D5659" s="72" t="str">
        <f>IFERROR(VLOOKUP(A5659,'[1]ST-QA-ZZ5'!$C$5:$M$299,11,0),"Inspection at production line")</f>
        <v>Appearance check 100%</v>
      </c>
    </row>
    <row r="5660" spans="1:4" ht="13.8">
      <c r="A5660" s="47" t="s">
        <v>12262</v>
      </c>
      <c r="B5660" s="92" t="s">
        <v>12263</v>
      </c>
      <c r="C5660" s="92" t="s">
        <v>12263</v>
      </c>
      <c r="D5660" s="72" t="str">
        <f>IFERROR(VLOOKUP(A5660,'[1]ST-QA-ZZ5'!$C$5:$M$299,11,0),"Inspection at production line")</f>
        <v>Inspection at production line</v>
      </c>
    </row>
    <row r="5661" spans="1:4" ht="13.8">
      <c r="A5661" s="47" t="s">
        <v>12264</v>
      </c>
      <c r="B5661" s="92" t="s">
        <v>12265</v>
      </c>
      <c r="C5661" s="92" t="s">
        <v>12265</v>
      </c>
      <c r="D5661" s="72" t="str">
        <f>IFERROR(VLOOKUP(A5661,'[1]ST-QA-ZZ5'!$C$5:$M$299,11,0),"Inspection at production line")</f>
        <v>Inspection at production line</v>
      </c>
    </row>
    <row r="5662" spans="1:4" ht="13.8">
      <c r="A5662" s="47" t="s">
        <v>12266</v>
      </c>
      <c r="B5662" s="92" t="s">
        <v>12267</v>
      </c>
      <c r="C5662" s="92" t="s">
        <v>12267</v>
      </c>
      <c r="D5662" s="72" t="str">
        <f>IFERROR(VLOOKUP(A5662,'[1]ST-QA-ZZ5'!$C$5:$M$299,11,0),"Inspection at production line")</f>
        <v>Inspection at production line</v>
      </c>
    </row>
    <row r="5663" spans="1:4" ht="13.8">
      <c r="A5663" s="47" t="s">
        <v>12268</v>
      </c>
      <c r="B5663" s="92" t="s">
        <v>12269</v>
      </c>
      <c r="C5663" s="92" t="s">
        <v>12269</v>
      </c>
      <c r="D5663" s="72" t="str">
        <f>IFERROR(VLOOKUP(A5663,'[1]ST-QA-ZZ5'!$C$5:$M$299,11,0),"Inspection at production line")</f>
        <v>Inspection at production line</v>
      </c>
    </row>
    <row r="5664" spans="1:4" ht="13.8">
      <c r="A5664" s="47" t="s">
        <v>12270</v>
      </c>
      <c r="B5664" s="92" t="s">
        <v>174</v>
      </c>
      <c r="C5664" s="92" t="s">
        <v>12271</v>
      </c>
      <c r="D5664" s="72" t="str">
        <f>IFERROR(VLOOKUP(A5664,'[1]ST-QA-ZZ5'!$C$5:$M$299,11,0),"Inspection at production line")</f>
        <v>Inspection at production line</v>
      </c>
    </row>
    <row r="5665" spans="1:4" ht="13.8">
      <c r="A5665" s="47" t="s">
        <v>12272</v>
      </c>
      <c r="B5665" s="92" t="s">
        <v>1513</v>
      </c>
      <c r="C5665" s="92" t="s">
        <v>12273</v>
      </c>
      <c r="D5665" s="72" t="str">
        <f>IFERROR(VLOOKUP(A5665,'[1]ST-QA-ZZ5'!$C$5:$M$299,11,0),"Inspection at production line")</f>
        <v>Inspection at production line</v>
      </c>
    </row>
    <row r="5666" spans="1:4" ht="13.8">
      <c r="A5666" s="47" t="s">
        <v>12274</v>
      </c>
      <c r="B5666" s="92" t="s">
        <v>797</v>
      </c>
      <c r="C5666" s="92" t="s">
        <v>12275</v>
      </c>
      <c r="D5666" s="72" t="str">
        <f>IFERROR(VLOOKUP(A5666,'[1]ST-QA-ZZ5'!$C$5:$M$299,11,0),"Inspection at production line")</f>
        <v>Inspection at production line</v>
      </c>
    </row>
    <row r="5667" spans="1:4" ht="13.8">
      <c r="A5667" s="47" t="s">
        <v>12276</v>
      </c>
      <c r="B5667" s="92" t="s">
        <v>12277</v>
      </c>
      <c r="C5667" s="92" t="s">
        <v>12278</v>
      </c>
      <c r="D5667" s="72" t="str">
        <f>IFERROR(VLOOKUP(A5667,'[1]ST-QA-ZZ5'!$C$5:$M$299,11,0),"Inspection at production line")</f>
        <v>Inspection at production line</v>
      </c>
    </row>
    <row r="5668" spans="1:4" ht="13.8">
      <c r="A5668" s="47" t="s">
        <v>12279</v>
      </c>
      <c r="B5668" s="92" t="s">
        <v>12280</v>
      </c>
      <c r="C5668" s="92" t="s">
        <v>12280</v>
      </c>
      <c r="D5668" s="72" t="str">
        <f>IFERROR(VLOOKUP(A5668,'[1]ST-QA-ZZ5'!$C$5:$M$299,11,0),"Inspection at production line")</f>
        <v>Inspection at production line</v>
      </c>
    </row>
    <row r="5669" spans="1:4" ht="13.8">
      <c r="A5669" s="47" t="s">
        <v>12281</v>
      </c>
      <c r="B5669" s="92" t="s">
        <v>174</v>
      </c>
      <c r="C5669" s="92" t="s">
        <v>12282</v>
      </c>
      <c r="D5669" s="72" t="str">
        <f>IFERROR(VLOOKUP(A5669,'[1]ST-QA-ZZ5'!$C$5:$M$299,11,0),"Inspection at production line")</f>
        <v>Inspection at production line</v>
      </c>
    </row>
    <row r="5670" spans="1:4" ht="13.8">
      <c r="A5670" s="47" t="s">
        <v>12283</v>
      </c>
      <c r="B5670" s="92" t="s">
        <v>12284</v>
      </c>
      <c r="C5670" s="92" t="s">
        <v>12284</v>
      </c>
      <c r="D5670" s="72" t="str">
        <f>IFERROR(VLOOKUP(A5670,'[1]ST-QA-ZZ5'!$C$5:$M$299,11,0),"Inspection at production line")</f>
        <v>Inspection at production line</v>
      </c>
    </row>
    <row r="5671" spans="1:4" ht="13.8">
      <c r="A5671" s="47" t="s">
        <v>12285</v>
      </c>
      <c r="B5671" s="92" t="s">
        <v>12286</v>
      </c>
      <c r="C5671" s="92" t="s">
        <v>12286</v>
      </c>
      <c r="D5671" s="72" t="str">
        <f>IFERROR(VLOOKUP(A5671,'[1]ST-QA-ZZ5'!$C$5:$M$299,11,0),"Inspection at production line")</f>
        <v>Inspection at production line</v>
      </c>
    </row>
    <row r="5672" spans="1:4" ht="13.8">
      <c r="A5672" s="47" t="s">
        <v>12287</v>
      </c>
      <c r="B5672" s="92" t="s">
        <v>12288</v>
      </c>
      <c r="C5672" s="92" t="s">
        <v>12288</v>
      </c>
      <c r="D5672" s="72" t="str">
        <f>IFERROR(VLOOKUP(A5672,'[1]ST-QA-ZZ5'!$C$5:$M$299,11,0),"Inspection at production line")</f>
        <v>Inspection at production line</v>
      </c>
    </row>
    <row r="5673" spans="1:4" ht="13.8">
      <c r="A5673" s="47" t="s">
        <v>12289</v>
      </c>
      <c r="B5673" s="92" t="s">
        <v>12290</v>
      </c>
      <c r="C5673" s="92" t="s">
        <v>12290</v>
      </c>
      <c r="D5673" s="72" t="str">
        <f>IFERROR(VLOOKUP(A5673,'[1]ST-QA-ZZ5'!$C$5:$M$299,11,0),"Inspection at production line")</f>
        <v>Inspection at production line</v>
      </c>
    </row>
    <row r="5674" spans="1:4" ht="13.8">
      <c r="A5674" s="47" t="s">
        <v>12291</v>
      </c>
      <c r="B5674" s="92" t="s">
        <v>12292</v>
      </c>
      <c r="C5674" s="92" t="s">
        <v>12292</v>
      </c>
      <c r="D5674" s="72" t="str">
        <f>IFERROR(VLOOKUP(A5674,'[1]ST-QA-ZZ5'!$C$5:$M$299,11,0),"Inspection at production line")</f>
        <v>Inspection at production line</v>
      </c>
    </row>
    <row r="5675" spans="1:4" ht="13.8">
      <c r="A5675" s="47" t="s">
        <v>12293</v>
      </c>
      <c r="B5675" s="92" t="s">
        <v>12294</v>
      </c>
      <c r="C5675" s="92" t="s">
        <v>12294</v>
      </c>
      <c r="D5675" s="72" t="str">
        <f>IFERROR(VLOOKUP(A5675,'[1]ST-QA-ZZ5'!$C$5:$M$299,11,0),"Inspection at production line")</f>
        <v>Inspection at production line</v>
      </c>
    </row>
    <row r="5676" spans="1:4" ht="13.8">
      <c r="A5676" s="47" t="s">
        <v>12295</v>
      </c>
      <c r="B5676" s="92" t="s">
        <v>174</v>
      </c>
      <c r="C5676" s="92" t="s">
        <v>12296</v>
      </c>
      <c r="D5676" s="72" t="str">
        <f>IFERROR(VLOOKUP(A5676,'[1]ST-QA-ZZ5'!$C$5:$M$299,11,0),"Inspection at production line")</f>
        <v>Inspection at production line</v>
      </c>
    </row>
    <row r="5677" spans="1:4" ht="13.8">
      <c r="A5677" s="47" t="s">
        <v>12297</v>
      </c>
      <c r="B5677" s="92" t="s">
        <v>12298</v>
      </c>
      <c r="C5677" s="92" t="s">
        <v>12298</v>
      </c>
      <c r="D5677" s="72" t="str">
        <f>IFERROR(VLOOKUP(A5677,'[1]ST-QA-ZZ5'!$C$5:$M$299,11,0),"Inspection at production line")</f>
        <v>Inspection at production line</v>
      </c>
    </row>
    <row r="5678" spans="1:4" ht="13.8">
      <c r="A5678" s="47" t="s">
        <v>12299</v>
      </c>
      <c r="B5678" s="92" t="s">
        <v>12300</v>
      </c>
      <c r="C5678" s="92" t="s">
        <v>12301</v>
      </c>
      <c r="D5678" s="72" t="str">
        <f>IFERROR(VLOOKUP(A5678,'[1]ST-QA-ZZ5'!$C$5:$M$299,11,0),"Inspection at production line")</f>
        <v>Inspection at production line</v>
      </c>
    </row>
    <row r="5679" spans="1:4" ht="13.8">
      <c r="A5679" s="47" t="s">
        <v>12302</v>
      </c>
      <c r="B5679" s="92" t="s">
        <v>75</v>
      </c>
      <c r="C5679" s="92" t="s">
        <v>12303</v>
      </c>
      <c r="D5679" s="72" t="str">
        <f>IFERROR(VLOOKUP(A5679,'[1]ST-QA-ZZ5'!$C$5:$M$299,11,0),"Inspection at production line")</f>
        <v>Inspection at production line</v>
      </c>
    </row>
    <row r="5680" spans="1:4" ht="13.8">
      <c r="A5680" s="47" t="s">
        <v>12304</v>
      </c>
      <c r="B5680" s="92" t="s">
        <v>174</v>
      </c>
      <c r="C5680" s="92" t="s">
        <v>12305</v>
      </c>
      <c r="D5680" s="72" t="str">
        <f>IFERROR(VLOOKUP(A5680,'[1]ST-QA-ZZ5'!$C$5:$M$299,11,0),"Inspection at production line")</f>
        <v>Inspection at production line</v>
      </c>
    </row>
    <row r="5681" spans="1:4" ht="13.8">
      <c r="A5681" s="47" t="s">
        <v>12306</v>
      </c>
      <c r="B5681" s="92" t="s">
        <v>12307</v>
      </c>
      <c r="C5681" s="92" t="s">
        <v>12307</v>
      </c>
      <c r="D5681" s="72" t="str">
        <f>IFERROR(VLOOKUP(A5681,'[1]ST-QA-ZZ5'!$C$5:$M$299,11,0),"Inspection at production line")</f>
        <v>Appearance check 100%</v>
      </c>
    </row>
    <row r="5682" spans="1:4" ht="13.8">
      <c r="A5682" s="47" t="s">
        <v>12308</v>
      </c>
      <c r="B5682" s="92" t="s">
        <v>12309</v>
      </c>
      <c r="C5682" s="92" t="s">
        <v>12309</v>
      </c>
      <c r="D5682" s="72" t="str">
        <f>IFERROR(VLOOKUP(A5682,'[1]ST-QA-ZZ5'!$C$5:$M$299,11,0),"Inspection at production line")</f>
        <v>Inspection at production line</v>
      </c>
    </row>
    <row r="5683" spans="1:4" ht="13.8">
      <c r="A5683" s="47" t="s">
        <v>12310</v>
      </c>
      <c r="B5683" s="92" t="s">
        <v>12311</v>
      </c>
      <c r="C5683" s="92" t="s">
        <v>12311</v>
      </c>
      <c r="D5683" s="72" t="str">
        <f>IFERROR(VLOOKUP(A5683,'[1]ST-QA-ZZ5'!$C$5:$M$299,11,0),"Inspection at production line")</f>
        <v>Inspection at production line</v>
      </c>
    </row>
    <row r="5684" spans="1:4" ht="13.8">
      <c r="A5684" s="47" t="s">
        <v>12312</v>
      </c>
      <c r="B5684" s="92" t="s">
        <v>12313</v>
      </c>
      <c r="C5684" s="92" t="s">
        <v>12313</v>
      </c>
      <c r="D5684" s="72" t="str">
        <f>IFERROR(VLOOKUP(A5684,'[1]ST-QA-ZZ5'!$C$5:$M$299,11,0),"Inspection at production line")</f>
        <v>Inspection at production line</v>
      </c>
    </row>
    <row r="5685" spans="1:4" ht="13.8">
      <c r="A5685" s="47" t="s">
        <v>12314</v>
      </c>
      <c r="B5685" s="92" t="s">
        <v>174</v>
      </c>
      <c r="C5685" s="92" t="s">
        <v>12315</v>
      </c>
      <c r="D5685" s="72" t="str">
        <f>IFERROR(VLOOKUP(A5685,'[1]ST-QA-ZZ5'!$C$5:$M$299,11,0),"Inspection at production line")</f>
        <v>Inspection at production line</v>
      </c>
    </row>
    <row r="5686" spans="1:4" ht="13.8">
      <c r="A5686" s="47" t="s">
        <v>12316</v>
      </c>
      <c r="B5686" s="92" t="s">
        <v>75</v>
      </c>
      <c r="C5686" s="92" t="s">
        <v>12317</v>
      </c>
      <c r="D5686" s="72" t="str">
        <f>IFERROR(VLOOKUP(A5686,'[1]ST-QA-ZZ5'!$C$5:$M$299,11,0),"Inspection at production line")</f>
        <v>Inspection at production line</v>
      </c>
    </row>
    <row r="5687" spans="1:4" ht="13.8">
      <c r="A5687" s="47" t="s">
        <v>12318</v>
      </c>
      <c r="B5687" s="92" t="s">
        <v>174</v>
      </c>
      <c r="C5687" s="92" t="s">
        <v>12319</v>
      </c>
      <c r="D5687" s="72" t="str">
        <f>IFERROR(VLOOKUP(A5687,'[1]ST-QA-ZZ5'!$C$5:$M$299,11,0),"Inspection at production line")</f>
        <v>Inspection at production line</v>
      </c>
    </row>
    <row r="5688" spans="1:4" ht="13.8">
      <c r="A5688" s="47" t="s">
        <v>12320</v>
      </c>
      <c r="B5688" s="92" t="s">
        <v>12321</v>
      </c>
      <c r="C5688" s="92" t="s">
        <v>12321</v>
      </c>
      <c r="D5688" s="72" t="str">
        <f>IFERROR(VLOOKUP(A5688,'[1]ST-QA-ZZ5'!$C$5:$M$299,11,0),"Inspection at production line")</f>
        <v>Inspection at production line</v>
      </c>
    </row>
    <row r="5689" spans="1:4" ht="13.8">
      <c r="A5689" s="47" t="s">
        <v>12322</v>
      </c>
      <c r="B5689" s="92" t="s">
        <v>12323</v>
      </c>
      <c r="C5689" s="92" t="s">
        <v>12323</v>
      </c>
      <c r="D5689" s="72" t="str">
        <f>IFERROR(VLOOKUP(A5689,'[1]ST-QA-ZZ5'!$C$5:$M$299,11,0),"Inspection at production line")</f>
        <v>Inspection at production line</v>
      </c>
    </row>
    <row r="5690" spans="1:4" ht="13.8">
      <c r="A5690" s="47" t="s">
        <v>12324</v>
      </c>
      <c r="B5690" s="92" t="s">
        <v>12325</v>
      </c>
      <c r="C5690" s="92" t="s">
        <v>12325</v>
      </c>
      <c r="D5690" s="72" t="str">
        <f>IFERROR(VLOOKUP(A5690,'[1]ST-QA-ZZ5'!$C$5:$M$299,11,0),"Inspection at production line")</f>
        <v>Inspection at production line</v>
      </c>
    </row>
    <row r="5691" spans="1:4" ht="13.8">
      <c r="A5691" s="47" t="s">
        <v>12326</v>
      </c>
      <c r="B5691" s="92" t="s">
        <v>12327</v>
      </c>
      <c r="C5691" s="92" t="s">
        <v>12327</v>
      </c>
      <c r="D5691" s="72" t="str">
        <f>IFERROR(VLOOKUP(A5691,'[1]ST-QA-ZZ5'!$C$5:$M$299,11,0),"Inspection at production line")</f>
        <v>Inspection at production line</v>
      </c>
    </row>
    <row r="5692" spans="1:4" ht="13.8">
      <c r="A5692" s="47" t="s">
        <v>12328</v>
      </c>
      <c r="B5692" s="92" t="s">
        <v>12329</v>
      </c>
      <c r="C5692" s="92" t="s">
        <v>12330</v>
      </c>
      <c r="D5692" s="72" t="str">
        <f>IFERROR(VLOOKUP(A5692,'[1]ST-QA-ZZ5'!$C$5:$M$299,11,0),"Inspection at production line")</f>
        <v>Inspection at production line</v>
      </c>
    </row>
    <row r="5693" spans="1:4" ht="13.8">
      <c r="A5693" s="47" t="s">
        <v>12331</v>
      </c>
      <c r="B5693" s="92" t="s">
        <v>75</v>
      </c>
      <c r="C5693" s="92" t="s">
        <v>12332</v>
      </c>
      <c r="D5693" s="72" t="str">
        <f>IFERROR(VLOOKUP(A5693,'[1]ST-QA-ZZ5'!$C$5:$M$299,11,0),"Inspection at production line")</f>
        <v>Inspection at production line</v>
      </c>
    </row>
    <row r="5694" spans="1:4" ht="13.8">
      <c r="A5694" s="47" t="s">
        <v>12333</v>
      </c>
      <c r="B5694" s="92" t="s">
        <v>174</v>
      </c>
      <c r="C5694" s="92" t="s">
        <v>12334</v>
      </c>
      <c r="D5694" s="72" t="str">
        <f>IFERROR(VLOOKUP(A5694,'[1]ST-QA-ZZ5'!$C$5:$M$299,11,0),"Inspection at production line")</f>
        <v>Inspection at production line</v>
      </c>
    </row>
    <row r="5695" spans="1:4" ht="13.8">
      <c r="A5695" s="47" t="s">
        <v>12335</v>
      </c>
      <c r="B5695" s="92" t="s">
        <v>12336</v>
      </c>
      <c r="C5695" s="92" t="s">
        <v>12336</v>
      </c>
      <c r="D5695" s="72" t="str">
        <f>IFERROR(VLOOKUP(A5695,'[1]ST-QA-ZZ5'!$C$5:$M$299,11,0),"Inspection at production line")</f>
        <v>Inspection at production line</v>
      </c>
    </row>
    <row r="5696" spans="1:4" ht="13.8">
      <c r="A5696" s="47" t="s">
        <v>12337</v>
      </c>
      <c r="B5696" s="92" t="s">
        <v>12338</v>
      </c>
      <c r="C5696" s="92" t="s">
        <v>12338</v>
      </c>
      <c r="D5696" s="72" t="str">
        <f>IFERROR(VLOOKUP(A5696,'[1]ST-QA-ZZ5'!$C$5:$M$299,11,0),"Inspection at production line")</f>
        <v>Inspection at production line</v>
      </c>
    </row>
    <row r="5697" spans="1:4" ht="13.8">
      <c r="A5697" s="47" t="s">
        <v>12339</v>
      </c>
      <c r="B5697" s="92" t="s">
        <v>12340</v>
      </c>
      <c r="C5697" s="92" t="s">
        <v>12340</v>
      </c>
      <c r="D5697" s="72" t="str">
        <f>IFERROR(VLOOKUP(A5697,'[1]ST-QA-ZZ5'!$C$5:$M$299,11,0),"Inspection at production line")</f>
        <v>Inspection at production line</v>
      </c>
    </row>
    <row r="5698" spans="1:4" ht="13.8">
      <c r="A5698" s="47" t="s">
        <v>12341</v>
      </c>
      <c r="B5698" s="92" t="s">
        <v>8301</v>
      </c>
      <c r="C5698" s="92" t="s">
        <v>12342</v>
      </c>
      <c r="D5698" s="72" t="str">
        <f>IFERROR(VLOOKUP(A5698,'[1]ST-QA-ZZ5'!$C$5:$M$299,11,0),"Inspection at production line")</f>
        <v>Inspection at production line</v>
      </c>
    </row>
    <row r="5699" spans="1:4" ht="13.8">
      <c r="A5699" s="47" t="s">
        <v>12343</v>
      </c>
      <c r="B5699" s="92" t="s">
        <v>12344</v>
      </c>
      <c r="C5699" s="92" t="s">
        <v>12345</v>
      </c>
      <c r="D5699" s="72" t="str">
        <f>IFERROR(VLOOKUP(A5699,'[1]ST-QA-ZZ5'!$C$5:$M$299,11,0),"Inspection at production line")</f>
        <v>Inspection at production line</v>
      </c>
    </row>
    <row r="5700" spans="1:4" ht="13.8">
      <c r="A5700" s="47" t="s">
        <v>12346</v>
      </c>
      <c r="B5700" s="92" t="s">
        <v>75</v>
      </c>
      <c r="C5700" s="92" t="s">
        <v>12347</v>
      </c>
      <c r="D5700" s="72" t="str">
        <f>IFERROR(VLOOKUP(A5700,'[1]ST-QA-ZZ5'!$C$5:$M$299,11,0),"Inspection at production line")</f>
        <v>Inspection at production line</v>
      </c>
    </row>
    <row r="5701" spans="1:4" ht="13.8">
      <c r="A5701" s="47" t="s">
        <v>12348</v>
      </c>
      <c r="B5701" s="92" t="s">
        <v>174</v>
      </c>
      <c r="C5701" s="92" t="s">
        <v>12349</v>
      </c>
      <c r="D5701" s="72" t="str">
        <f>IFERROR(VLOOKUP(A5701,'[1]ST-QA-ZZ5'!$C$5:$M$299,11,0),"Inspection at production line")</f>
        <v>Inspection at production line</v>
      </c>
    </row>
    <row r="5702" spans="1:4" ht="13.8">
      <c r="A5702" s="47" t="s">
        <v>12350</v>
      </c>
      <c r="B5702" s="92" t="s">
        <v>12351</v>
      </c>
      <c r="C5702" s="92" t="s">
        <v>12351</v>
      </c>
      <c r="D5702" s="72" t="str">
        <f>IFERROR(VLOOKUP(A5702,'[1]ST-QA-ZZ5'!$C$5:$M$299,11,0),"Inspection at production line")</f>
        <v>Inspection at production line</v>
      </c>
    </row>
    <row r="5703" spans="1:4" ht="13.8">
      <c r="A5703" s="47" t="s">
        <v>12352</v>
      </c>
      <c r="B5703" s="92" t="s">
        <v>12353</v>
      </c>
      <c r="C5703" s="92" t="s">
        <v>12353</v>
      </c>
      <c r="D5703" s="72" t="str">
        <f>IFERROR(VLOOKUP(A5703,'[1]ST-QA-ZZ5'!$C$5:$M$299,11,0),"Inspection at production line")</f>
        <v>Inspection at production line</v>
      </c>
    </row>
    <row r="5704" spans="1:4" ht="13.8">
      <c r="A5704" s="47" t="s">
        <v>12354</v>
      </c>
      <c r="B5704" s="92" t="s">
        <v>12355</v>
      </c>
      <c r="C5704" s="92" t="s">
        <v>12355</v>
      </c>
      <c r="D5704" s="72" t="str">
        <f>IFERROR(VLOOKUP(A5704,'[1]ST-QA-ZZ5'!$C$5:$M$299,11,0),"Inspection at production line")</f>
        <v>Inspection at production line</v>
      </c>
    </row>
    <row r="5705" spans="1:4" ht="13.8">
      <c r="A5705" s="47" t="s">
        <v>12356</v>
      </c>
      <c r="B5705" s="92" t="s">
        <v>174</v>
      </c>
      <c r="C5705" s="92" t="s">
        <v>12357</v>
      </c>
      <c r="D5705" s="72" t="str">
        <f>IFERROR(VLOOKUP(A5705,'[1]ST-QA-ZZ5'!$C$5:$M$299,11,0),"Inspection at production line")</f>
        <v>Inspection at production line</v>
      </c>
    </row>
    <row r="5706" spans="1:4" ht="13.8">
      <c r="A5706" s="47" t="s">
        <v>12358</v>
      </c>
      <c r="B5706" s="92" t="s">
        <v>12359</v>
      </c>
      <c r="C5706" s="92" t="s">
        <v>12360</v>
      </c>
      <c r="D5706" s="72" t="str">
        <f>IFERROR(VLOOKUP(A5706,'[1]ST-QA-ZZ5'!$C$5:$M$299,11,0),"Inspection at production line")</f>
        <v>Inspection at production line</v>
      </c>
    </row>
    <row r="5707" spans="1:4" ht="13.8">
      <c r="A5707" s="47" t="s">
        <v>12361</v>
      </c>
      <c r="B5707" s="92" t="s">
        <v>75</v>
      </c>
      <c r="C5707" s="92" t="s">
        <v>12362</v>
      </c>
      <c r="D5707" s="72" t="str">
        <f>IFERROR(VLOOKUP(A5707,'[1]ST-QA-ZZ5'!$C$5:$M$299,11,0),"Inspection at production line")</f>
        <v>Inspection at production line</v>
      </c>
    </row>
    <row r="5708" spans="1:4" ht="13.8">
      <c r="A5708" s="47" t="s">
        <v>12363</v>
      </c>
      <c r="B5708" s="92" t="s">
        <v>12364</v>
      </c>
      <c r="C5708" s="92" t="s">
        <v>12364</v>
      </c>
      <c r="D5708" s="72" t="str">
        <f>IFERROR(VLOOKUP(A5708,'[1]ST-QA-ZZ5'!$C$5:$M$299,11,0),"Inspection at production line")</f>
        <v>Inspection at production line</v>
      </c>
    </row>
    <row r="5709" spans="1:4" ht="13.8">
      <c r="A5709" s="47" t="s">
        <v>12365</v>
      </c>
      <c r="B5709" s="92" t="s">
        <v>12366</v>
      </c>
      <c r="C5709" s="92" t="s">
        <v>12366</v>
      </c>
      <c r="D5709" s="72" t="str">
        <f>IFERROR(VLOOKUP(A5709,'[1]ST-QA-ZZ5'!$C$5:$M$299,11,0),"Inspection at production line")</f>
        <v>Inspection at production line</v>
      </c>
    </row>
    <row r="5710" spans="1:4" ht="13.8">
      <c r="A5710" s="47" t="s">
        <v>12367</v>
      </c>
      <c r="B5710" s="92" t="s">
        <v>12368</v>
      </c>
      <c r="C5710" s="92" t="s">
        <v>12368</v>
      </c>
      <c r="D5710" s="72" t="str">
        <f>IFERROR(VLOOKUP(A5710,'[1]ST-QA-ZZ5'!$C$5:$M$299,11,0),"Inspection at production line")</f>
        <v>Inspection at production line</v>
      </c>
    </row>
    <row r="5711" spans="1:4" ht="13.8">
      <c r="A5711" s="47" t="s">
        <v>12369</v>
      </c>
      <c r="B5711" s="92" t="s">
        <v>174</v>
      </c>
      <c r="C5711" s="92" t="s">
        <v>12370</v>
      </c>
      <c r="D5711" s="72" t="str">
        <f>IFERROR(VLOOKUP(A5711,'[1]ST-QA-ZZ5'!$C$5:$M$299,11,0),"Inspection at production line")</f>
        <v>Inspection at production line</v>
      </c>
    </row>
    <row r="5712" spans="1:4" ht="13.8">
      <c r="A5712" s="47" t="s">
        <v>12371</v>
      </c>
      <c r="B5712" s="92" t="s">
        <v>12372</v>
      </c>
      <c r="C5712" s="92" t="s">
        <v>12373</v>
      </c>
      <c r="D5712" s="72" t="str">
        <f>IFERROR(VLOOKUP(A5712,'[1]ST-QA-ZZ5'!$C$5:$M$299,11,0),"Inspection at production line")</f>
        <v>Inspection at production line</v>
      </c>
    </row>
    <row r="5713" spans="1:4" ht="13.8">
      <c r="A5713" s="47" t="s">
        <v>12374</v>
      </c>
      <c r="B5713" s="92" t="s">
        <v>75</v>
      </c>
      <c r="C5713" s="92" t="s">
        <v>12375</v>
      </c>
      <c r="D5713" s="72" t="str">
        <f>IFERROR(VLOOKUP(A5713,'[1]ST-QA-ZZ5'!$C$5:$M$299,11,0),"Inspection at production line")</f>
        <v>Inspection at production line</v>
      </c>
    </row>
    <row r="5714" spans="1:4" ht="13.8">
      <c r="A5714" s="47" t="s">
        <v>36</v>
      </c>
      <c r="B5714" s="92" t="s">
        <v>12376</v>
      </c>
      <c r="C5714" s="92" t="s">
        <v>12376</v>
      </c>
      <c r="D5714" s="72" t="str">
        <f>IFERROR(VLOOKUP(A5714,'[1]ST-QA-ZZ5'!$C$5:$M$299,11,0),"Inspection at production line")</f>
        <v>Appearance check 100%</v>
      </c>
    </row>
    <row r="5715" spans="1:4" ht="13.8">
      <c r="A5715" s="47" t="s">
        <v>12377</v>
      </c>
      <c r="B5715" s="92" t="s">
        <v>12378</v>
      </c>
      <c r="C5715" s="92" t="s">
        <v>12378</v>
      </c>
      <c r="D5715" s="72" t="str">
        <f>IFERROR(VLOOKUP(A5715,'[1]ST-QA-ZZ5'!$C$5:$M$299,11,0),"Inspection at production line")</f>
        <v>Inspection at production line</v>
      </c>
    </row>
    <row r="5716" spans="1:4" ht="13.8">
      <c r="A5716" s="47" t="s">
        <v>12379</v>
      </c>
      <c r="B5716" s="92" t="s">
        <v>12380</v>
      </c>
      <c r="C5716" s="92" t="s">
        <v>12380</v>
      </c>
      <c r="D5716" s="72" t="str">
        <f>IFERROR(VLOOKUP(A5716,'[1]ST-QA-ZZ5'!$C$5:$M$299,11,0),"Inspection at production line")</f>
        <v>Inspection at production line</v>
      </c>
    </row>
    <row r="5717" spans="1:4" ht="13.8">
      <c r="A5717" s="47" t="s">
        <v>12381</v>
      </c>
      <c r="B5717" s="92" t="s">
        <v>1959</v>
      </c>
      <c r="C5717" s="92" t="s">
        <v>12382</v>
      </c>
      <c r="D5717" s="72" t="str">
        <f>IFERROR(VLOOKUP(A5717,'[1]ST-QA-ZZ5'!$C$5:$M$299,11,0),"Inspection at production line")</f>
        <v>Inspection at production line</v>
      </c>
    </row>
    <row r="5718" spans="1:4" ht="13.8">
      <c r="A5718" s="47" t="s">
        <v>12383</v>
      </c>
      <c r="B5718" s="92" t="s">
        <v>12384</v>
      </c>
      <c r="C5718" s="92" t="s">
        <v>12385</v>
      </c>
      <c r="D5718" s="72" t="str">
        <f>IFERROR(VLOOKUP(A5718,'[1]ST-QA-ZZ5'!$C$5:$M$299,11,0),"Inspection at production line")</f>
        <v>Inspection at production line</v>
      </c>
    </row>
    <row r="5719" spans="1:4" ht="13.8">
      <c r="A5719" s="47" t="s">
        <v>12386</v>
      </c>
      <c r="B5719" s="92" t="s">
        <v>75</v>
      </c>
      <c r="C5719" s="92" t="s">
        <v>12387</v>
      </c>
      <c r="D5719" s="72" t="str">
        <f>IFERROR(VLOOKUP(A5719,'[1]ST-QA-ZZ5'!$C$5:$M$299,11,0),"Inspection at production line")</f>
        <v>Inspection at production line</v>
      </c>
    </row>
    <row r="5720" spans="1:4" ht="13.8">
      <c r="A5720" s="47" t="s">
        <v>12388</v>
      </c>
      <c r="B5720" s="92" t="s">
        <v>12389</v>
      </c>
      <c r="C5720" s="92" t="s">
        <v>12390</v>
      </c>
      <c r="D5720" s="72" t="str">
        <f>IFERROR(VLOOKUP(A5720,'[1]ST-QA-ZZ5'!$C$5:$M$299,11,0),"Inspection at production line")</f>
        <v>Inspection at production line</v>
      </c>
    </row>
    <row r="5721" spans="1:4" ht="13.8">
      <c r="A5721" s="47" t="s">
        <v>12391</v>
      </c>
      <c r="B5721" s="92" t="s">
        <v>12392</v>
      </c>
      <c r="C5721" s="92" t="s">
        <v>12392</v>
      </c>
      <c r="D5721" s="72" t="str">
        <f>IFERROR(VLOOKUP(A5721,'[1]ST-QA-ZZ5'!$C$5:$M$299,11,0),"Inspection at production line")</f>
        <v>Inspection at production line</v>
      </c>
    </row>
    <row r="5722" spans="1:4" ht="13.8">
      <c r="A5722" s="47" t="s">
        <v>12393</v>
      </c>
      <c r="B5722" s="92" t="s">
        <v>174</v>
      </c>
      <c r="C5722" s="92" t="s">
        <v>12394</v>
      </c>
      <c r="D5722" s="72" t="str">
        <f>IFERROR(VLOOKUP(A5722,'[1]ST-QA-ZZ5'!$C$5:$M$299,11,0),"Inspection at production line")</f>
        <v>Inspection at production line</v>
      </c>
    </row>
    <row r="5723" spans="1:4" ht="13.8">
      <c r="A5723" s="47" t="s">
        <v>12395</v>
      </c>
      <c r="B5723" s="92" t="s">
        <v>12396</v>
      </c>
      <c r="C5723" s="92" t="s">
        <v>12397</v>
      </c>
      <c r="D5723" s="72" t="str">
        <f>IFERROR(VLOOKUP(A5723,'[1]ST-QA-ZZ5'!$C$5:$M$299,11,0),"Inspection at production line")</f>
        <v>Inspection at production line</v>
      </c>
    </row>
    <row r="5724" spans="1:4" ht="13.8">
      <c r="A5724" s="47" t="s">
        <v>12398</v>
      </c>
      <c r="B5724" s="92" t="s">
        <v>75</v>
      </c>
      <c r="C5724" s="92" t="s">
        <v>12399</v>
      </c>
      <c r="D5724" s="72" t="str">
        <f>IFERROR(VLOOKUP(A5724,'[1]ST-QA-ZZ5'!$C$5:$M$299,11,0),"Inspection at production line")</f>
        <v>Inspection at production line</v>
      </c>
    </row>
    <row r="5725" spans="1:4" ht="13.8">
      <c r="A5725" s="47" t="s">
        <v>12400</v>
      </c>
      <c r="B5725" s="92" t="s">
        <v>12401</v>
      </c>
      <c r="C5725" s="92" t="s">
        <v>12402</v>
      </c>
      <c r="D5725" s="72" t="str">
        <f>IFERROR(VLOOKUP(A5725,'[1]ST-QA-ZZ5'!$C$5:$M$299,11,0),"Inspection at production line")</f>
        <v>Inspection at production line</v>
      </c>
    </row>
    <row r="5726" spans="1:4" ht="13.8">
      <c r="A5726" s="47" t="s">
        <v>12403</v>
      </c>
      <c r="B5726" s="92" t="s">
        <v>174</v>
      </c>
      <c r="C5726" s="92" t="s">
        <v>12404</v>
      </c>
      <c r="D5726" s="72" t="str">
        <f>IFERROR(VLOOKUP(A5726,'[1]ST-QA-ZZ5'!$C$5:$M$299,11,0),"Inspection at production line")</f>
        <v>Inspection at production line</v>
      </c>
    </row>
    <row r="5727" spans="1:4" ht="13.8">
      <c r="A5727" s="47" t="s">
        <v>12405</v>
      </c>
      <c r="B5727" s="92" t="s">
        <v>75</v>
      </c>
      <c r="C5727" s="92" t="s">
        <v>12406</v>
      </c>
      <c r="D5727" s="72" t="str">
        <f>IFERROR(VLOOKUP(A5727,'[1]ST-QA-ZZ5'!$C$5:$M$299,11,0),"Inspection at production line")</f>
        <v>Inspection at production line</v>
      </c>
    </row>
    <row r="5728" spans="1:4" ht="13.8">
      <c r="A5728" s="47" t="s">
        <v>12407</v>
      </c>
      <c r="B5728" s="92" t="s">
        <v>12408</v>
      </c>
      <c r="C5728" s="92" t="s">
        <v>12408</v>
      </c>
      <c r="D5728" s="72" t="str">
        <f>IFERROR(VLOOKUP(A5728,'[1]ST-QA-ZZ5'!$C$5:$M$299,11,0),"Inspection at production line")</f>
        <v>Appearance check 100%</v>
      </c>
    </row>
    <row r="5729" spans="1:4" ht="13.8">
      <c r="A5729" s="47" t="s">
        <v>12409</v>
      </c>
      <c r="B5729" s="92" t="s">
        <v>12410</v>
      </c>
      <c r="C5729" s="92" t="s">
        <v>12410</v>
      </c>
      <c r="D5729" s="72" t="str">
        <f>IFERROR(VLOOKUP(A5729,'[1]ST-QA-ZZ5'!$C$5:$M$299,11,0),"Inspection at production line")</f>
        <v>Inspection at production line</v>
      </c>
    </row>
    <row r="5730" spans="1:4" ht="13.8">
      <c r="A5730" s="47" t="s">
        <v>5403</v>
      </c>
      <c r="B5730" s="92" t="s">
        <v>317</v>
      </c>
      <c r="C5730" s="92" t="s">
        <v>5404</v>
      </c>
      <c r="D5730" s="72" t="str">
        <f>IFERROR(VLOOKUP(A5730,'[1]ST-QA-ZZ5'!$C$5:$M$299,11,0),"Inspection at production line")</f>
        <v>Appearance check 100%</v>
      </c>
    </row>
    <row r="5731" spans="1:4" ht="13.8">
      <c r="A5731" s="47" t="s">
        <v>12411</v>
      </c>
      <c r="B5731" s="92" t="s">
        <v>12412</v>
      </c>
      <c r="C5731" s="92" t="s">
        <v>12413</v>
      </c>
      <c r="D5731" s="72" t="str">
        <f>IFERROR(VLOOKUP(A5731,'[1]ST-QA-ZZ5'!$C$5:$M$299,11,0),"Inspection at production line")</f>
        <v>Inspection at production line</v>
      </c>
    </row>
    <row r="5732" spans="1:4" ht="13.8">
      <c r="A5732" s="47" t="s">
        <v>12414</v>
      </c>
      <c r="B5732" s="92" t="s">
        <v>75</v>
      </c>
      <c r="C5732" s="92" t="s">
        <v>12415</v>
      </c>
      <c r="D5732" s="72" t="str">
        <f>IFERROR(VLOOKUP(A5732,'[1]ST-QA-ZZ5'!$C$5:$M$299,11,0),"Inspection at production line")</f>
        <v>Inspection at production line</v>
      </c>
    </row>
    <row r="5733" spans="1:4" ht="13.8">
      <c r="A5733" s="47" t="s">
        <v>12416</v>
      </c>
      <c r="B5733" s="92" t="s">
        <v>12417</v>
      </c>
      <c r="C5733" s="92" t="s">
        <v>12417</v>
      </c>
      <c r="D5733" s="72" t="str">
        <f>IFERROR(VLOOKUP(A5733,'[1]ST-QA-ZZ5'!$C$5:$M$299,11,0),"Inspection at production line")</f>
        <v>Inspection at production line</v>
      </c>
    </row>
    <row r="5734" spans="1:4" ht="13.8">
      <c r="A5734" s="47" t="s">
        <v>12418</v>
      </c>
      <c r="B5734" s="92" t="s">
        <v>12419</v>
      </c>
      <c r="C5734" s="92" t="s">
        <v>12419</v>
      </c>
      <c r="D5734" s="72" t="str">
        <f>IFERROR(VLOOKUP(A5734,'[1]ST-QA-ZZ5'!$C$5:$M$299,11,0),"Inspection at production line")</f>
        <v>Inspection at production line</v>
      </c>
    </row>
    <row r="5735" spans="1:4" ht="13.8">
      <c r="A5735" s="47" t="s">
        <v>12420</v>
      </c>
      <c r="B5735" s="92" t="s">
        <v>174</v>
      </c>
      <c r="C5735" s="92" t="s">
        <v>12421</v>
      </c>
      <c r="D5735" s="72" t="str">
        <f>IFERROR(VLOOKUP(A5735,'[1]ST-QA-ZZ5'!$C$5:$M$299,11,0),"Inspection at production line")</f>
        <v>Inspection at production line</v>
      </c>
    </row>
    <row r="5736" spans="1:4" ht="13.8">
      <c r="A5736" s="47" t="s">
        <v>12422</v>
      </c>
      <c r="B5736" s="92" t="s">
        <v>12423</v>
      </c>
      <c r="C5736" s="92" t="s">
        <v>12424</v>
      </c>
      <c r="D5736" s="72" t="str">
        <f>IFERROR(VLOOKUP(A5736,'[1]ST-QA-ZZ5'!$C$5:$M$299,11,0),"Inspection at production line")</f>
        <v>Inspection at production line</v>
      </c>
    </row>
    <row r="5737" spans="1:4" ht="13.8">
      <c r="A5737" s="47" t="s">
        <v>12425</v>
      </c>
      <c r="B5737" s="92" t="s">
        <v>75</v>
      </c>
      <c r="C5737" s="92" t="s">
        <v>12426</v>
      </c>
      <c r="D5737" s="72" t="str">
        <f>IFERROR(VLOOKUP(A5737,'[1]ST-QA-ZZ5'!$C$5:$M$299,11,0),"Inspection at production line")</f>
        <v>Inspection at production line</v>
      </c>
    </row>
    <row r="5738" spans="1:4" ht="13.8">
      <c r="A5738" s="47" t="s">
        <v>12427</v>
      </c>
      <c r="B5738" s="92" t="s">
        <v>12428</v>
      </c>
      <c r="C5738" s="92" t="s">
        <v>12428</v>
      </c>
      <c r="D5738" s="72" t="str">
        <f>IFERROR(VLOOKUP(A5738,'[1]ST-QA-ZZ5'!$C$5:$M$299,11,0),"Inspection at production line")</f>
        <v>Inspection at production line</v>
      </c>
    </row>
    <row r="5739" spans="1:4" ht="13.8">
      <c r="A5739" s="47" t="s">
        <v>12429</v>
      </c>
      <c r="B5739" s="92" t="s">
        <v>7901</v>
      </c>
      <c r="C5739" s="92" t="s">
        <v>12430</v>
      </c>
      <c r="D5739" s="72" t="str">
        <f>IFERROR(VLOOKUP(A5739,'[1]ST-QA-ZZ5'!$C$5:$M$299,11,0),"Inspection at production line")</f>
        <v>Inspection at production line</v>
      </c>
    </row>
    <row r="5740" spans="1:4" ht="13.8">
      <c r="A5740" s="47" t="s">
        <v>12431</v>
      </c>
      <c r="B5740" s="92" t="s">
        <v>12432</v>
      </c>
      <c r="C5740" s="92" t="s">
        <v>12433</v>
      </c>
      <c r="D5740" s="72" t="str">
        <f>IFERROR(VLOOKUP(A5740,'[1]ST-QA-ZZ5'!$C$5:$M$299,11,0),"Inspection at production line")</f>
        <v>Inspection at production line</v>
      </c>
    </row>
    <row r="5741" spans="1:4" ht="13.8">
      <c r="A5741" s="47" t="s">
        <v>12434</v>
      </c>
      <c r="B5741" s="92" t="s">
        <v>75</v>
      </c>
      <c r="C5741" s="94" t="s">
        <v>12435</v>
      </c>
      <c r="D5741" s="72" t="str">
        <f>IFERROR(VLOOKUP(A5741,'[1]ST-QA-ZZ5'!$C$5:$M$299,11,0),"Inspection at production line")</f>
        <v>Inspection at production line</v>
      </c>
    </row>
    <row r="5742" spans="1:4" ht="13.8">
      <c r="A5742" s="47" t="s">
        <v>12436</v>
      </c>
      <c r="B5742" s="92" t="s">
        <v>12437</v>
      </c>
      <c r="C5742" s="92" t="s">
        <v>12437</v>
      </c>
      <c r="D5742" s="72" t="str">
        <f>IFERROR(VLOOKUP(A5742,'[1]ST-QA-ZZ5'!$C$5:$M$299,11,0),"Inspection at production line")</f>
        <v>Inspection at production line</v>
      </c>
    </row>
    <row r="5743" spans="1:4" ht="13.8">
      <c r="A5743" s="47" t="s">
        <v>5394</v>
      </c>
      <c r="B5743" s="92" t="s">
        <v>119</v>
      </c>
      <c r="C5743" s="92" t="s">
        <v>5395</v>
      </c>
      <c r="D5743" s="72" t="str">
        <f>IFERROR(VLOOKUP(A5743,'[1]ST-QA-ZZ5'!$C$5:$M$299,11,0),"Inspection at production line")</f>
        <v>Inspection at production line</v>
      </c>
    </row>
    <row r="5744" spans="1:4" ht="13.8">
      <c r="A5744" s="47" t="s">
        <v>12438</v>
      </c>
      <c r="B5744" s="92" t="s">
        <v>12347</v>
      </c>
      <c r="C5744" s="92" t="s">
        <v>12439</v>
      </c>
      <c r="D5744" s="72" t="str">
        <f>IFERROR(VLOOKUP(A5744,'[1]ST-QA-ZZ5'!$C$5:$M$299,11,0),"Inspection at production line")</f>
        <v>Inspection at production line</v>
      </c>
    </row>
    <row r="5745" spans="1:4" ht="13.8">
      <c r="A5745" s="47" t="s">
        <v>12440</v>
      </c>
      <c r="B5745" s="92" t="s">
        <v>12441</v>
      </c>
      <c r="C5745" s="92" t="s">
        <v>12441</v>
      </c>
      <c r="D5745" s="72" t="str">
        <f>IFERROR(VLOOKUP(A5745,'[1]ST-QA-ZZ5'!$C$5:$M$299,11,0),"Inspection at production line")</f>
        <v>Inspection at production line</v>
      </c>
    </row>
    <row r="5746" spans="1:4" ht="13.8">
      <c r="A5746" s="47" t="s">
        <v>12442</v>
      </c>
      <c r="B5746" s="92" t="s">
        <v>119</v>
      </c>
      <c r="C5746" s="94" t="s">
        <v>12443</v>
      </c>
      <c r="D5746" s="72" t="str">
        <f>IFERROR(VLOOKUP(A5746,'[1]ST-QA-ZZ5'!$C$5:$M$299,11,0),"Inspection at production line")</f>
        <v>Inspection at production line</v>
      </c>
    </row>
    <row r="5747" spans="1:4" ht="13.8">
      <c r="A5747" s="47" t="s">
        <v>12444</v>
      </c>
      <c r="B5747" s="92" t="s">
        <v>12445</v>
      </c>
      <c r="C5747" s="92" t="s">
        <v>12446</v>
      </c>
      <c r="D5747" s="72" t="str">
        <f>IFERROR(VLOOKUP(A5747,'[1]ST-QA-ZZ5'!$C$5:$M$299,11,0),"Inspection at production line")</f>
        <v>Inspection at production line</v>
      </c>
    </row>
    <row r="5748" spans="1:4" ht="13.8">
      <c r="A5748" s="47" t="s">
        <v>12447</v>
      </c>
      <c r="B5748" s="92" t="s">
        <v>12448</v>
      </c>
      <c r="C5748" s="92" t="s">
        <v>12448</v>
      </c>
      <c r="D5748" s="72" t="str">
        <f>IFERROR(VLOOKUP(A5748,'[1]ST-QA-ZZ5'!$C$5:$M$299,11,0),"Inspection at production line")</f>
        <v>Appearance check 100%</v>
      </c>
    </row>
    <row r="5749" spans="1:4" ht="13.8">
      <c r="A5749" s="47" t="s">
        <v>5383</v>
      </c>
      <c r="B5749" s="92" t="s">
        <v>818</v>
      </c>
      <c r="C5749" s="92" t="s">
        <v>5384</v>
      </c>
      <c r="D5749" s="72" t="str">
        <f>IFERROR(VLOOKUP(A5749,'[1]ST-QA-ZZ5'!$C$5:$M$299,11,0),"Inspection at production line")</f>
        <v>Inspection at production line</v>
      </c>
    </row>
    <row r="5750" spans="1:4" ht="13.8">
      <c r="A5750" s="47" t="s">
        <v>12449</v>
      </c>
      <c r="B5750" s="92" t="s">
        <v>12450</v>
      </c>
      <c r="C5750" s="92" t="s">
        <v>12450</v>
      </c>
      <c r="D5750" s="72" t="str">
        <f>IFERROR(VLOOKUP(A5750,'[1]ST-QA-ZZ5'!$C$5:$M$299,11,0),"Inspection at production line")</f>
        <v>Appearance check 100%</v>
      </c>
    </row>
    <row r="5751" spans="1:4" ht="13.8">
      <c r="A5751" s="47" t="s">
        <v>12451</v>
      </c>
      <c r="B5751" s="92" t="s">
        <v>7901</v>
      </c>
      <c r="C5751" s="92" t="s">
        <v>12452</v>
      </c>
      <c r="D5751" s="72" t="str">
        <f>IFERROR(VLOOKUP(A5751,'[1]ST-QA-ZZ5'!$C$5:$M$299,11,0),"Inspection at production line")</f>
        <v>Inspection at production line</v>
      </c>
    </row>
    <row r="5752" spans="1:4" ht="13.8">
      <c r="A5752" s="47" t="s">
        <v>12453</v>
      </c>
      <c r="B5752" s="92" t="s">
        <v>12454</v>
      </c>
      <c r="C5752" s="92" t="s">
        <v>12455</v>
      </c>
      <c r="D5752" s="72" t="str">
        <f>IFERROR(VLOOKUP(A5752,'[1]ST-QA-ZZ5'!$C$5:$M$299,11,0),"Inspection at production line")</f>
        <v>Inspection at production line</v>
      </c>
    </row>
    <row r="5753" spans="1:4" ht="13.8">
      <c r="A5753" s="47" t="s">
        <v>12456</v>
      </c>
      <c r="B5753" s="92" t="s">
        <v>12457</v>
      </c>
      <c r="C5753" s="92" t="s">
        <v>12457</v>
      </c>
      <c r="D5753" s="72" t="str">
        <f>IFERROR(VLOOKUP(A5753,'[1]ST-QA-ZZ5'!$C$5:$M$299,11,0),"Inspection at production line")</f>
        <v>Inspection at production line</v>
      </c>
    </row>
    <row r="5754" spans="1:4" ht="13.8">
      <c r="A5754" s="47" t="s">
        <v>12458</v>
      </c>
      <c r="B5754" s="92" t="s">
        <v>6890</v>
      </c>
      <c r="C5754" s="92" t="s">
        <v>12459</v>
      </c>
      <c r="D5754" s="72" t="str">
        <f>IFERROR(VLOOKUP(A5754,'[1]ST-QA-ZZ5'!$C$5:$M$299,11,0),"Inspection at production line")</f>
        <v>Inspection at production line</v>
      </c>
    </row>
    <row r="5755" spans="1:4" ht="13.8">
      <c r="A5755" s="47" t="s">
        <v>12460</v>
      </c>
      <c r="B5755" s="92" t="s">
        <v>12461</v>
      </c>
      <c r="C5755" s="92" t="s">
        <v>12462</v>
      </c>
      <c r="D5755" s="72" t="str">
        <f>IFERROR(VLOOKUP(A5755,'[1]ST-QA-ZZ5'!$C$5:$M$299,11,0),"Inspection at production line")</f>
        <v>Inspection at production line</v>
      </c>
    </row>
    <row r="5756" spans="1:4" ht="13.8">
      <c r="A5756" s="47" t="s">
        <v>12463</v>
      </c>
      <c r="B5756" s="92" t="s">
        <v>12464</v>
      </c>
      <c r="C5756" s="94" t="s">
        <v>12464</v>
      </c>
      <c r="D5756" s="72" t="str">
        <f>IFERROR(VLOOKUP(A5756,'[1]ST-QA-ZZ5'!$C$5:$M$299,11,0),"Inspection at production line")</f>
        <v>Appearance check 100%</v>
      </c>
    </row>
    <row r="5757" spans="1:4" ht="13.8">
      <c r="A5757" s="47" t="s">
        <v>5400</v>
      </c>
      <c r="B5757" s="92" t="s">
        <v>2438</v>
      </c>
      <c r="C5757" s="92" t="s">
        <v>5401</v>
      </c>
      <c r="D5757" s="72" t="str">
        <f>IFERROR(VLOOKUP(A5757,'[1]ST-QA-ZZ5'!$C$5:$M$299,11,0),"Inspection at production line")</f>
        <v>Inspection at production line</v>
      </c>
    </row>
    <row r="5758" spans="1:4" ht="13.8">
      <c r="A5758" s="47" t="s">
        <v>12465</v>
      </c>
      <c r="B5758" s="92" t="s">
        <v>12466</v>
      </c>
      <c r="C5758" s="92" t="s">
        <v>12467</v>
      </c>
      <c r="D5758" s="72" t="str">
        <f>IFERROR(VLOOKUP(A5758,'[1]ST-QA-ZZ5'!$C$5:$M$299,11,0),"Inspection at production line")</f>
        <v>Inspection at production line</v>
      </c>
    </row>
    <row r="5759" spans="1:4" ht="13.8">
      <c r="A5759" s="47" t="s">
        <v>12468</v>
      </c>
      <c r="B5759" s="92" t="s">
        <v>12469</v>
      </c>
      <c r="C5759" s="92" t="s">
        <v>12469</v>
      </c>
      <c r="D5759" s="72" t="str">
        <f>IFERROR(VLOOKUP(A5759,'[1]ST-QA-ZZ5'!$C$5:$M$299,11,0),"Inspection at production line")</f>
        <v>Appearance check 100%</v>
      </c>
    </row>
    <row r="5760" spans="1:4" ht="13.8">
      <c r="A5760" s="47" t="s">
        <v>12470</v>
      </c>
      <c r="B5760" s="92" t="s">
        <v>1212</v>
      </c>
      <c r="C5760" s="92" t="s">
        <v>12471</v>
      </c>
      <c r="D5760" s="72" t="str">
        <f>IFERROR(VLOOKUP(A5760,'[1]ST-QA-ZZ5'!$C$5:$M$299,11,0),"Inspection at production line")</f>
        <v>Inspection at production line</v>
      </c>
    </row>
    <row r="5761" spans="1:4" ht="13.8">
      <c r="A5761" s="47" t="s">
        <v>12472</v>
      </c>
      <c r="B5761" s="92" t="s">
        <v>12473</v>
      </c>
      <c r="C5761" s="92" t="s">
        <v>12474</v>
      </c>
      <c r="D5761" s="72" t="str">
        <f>IFERROR(VLOOKUP(A5761,'[1]ST-QA-ZZ5'!$C$5:$M$299,11,0),"Inspection at production line")</f>
        <v>Inspection at production line</v>
      </c>
    </row>
    <row r="5762" spans="1:4" ht="13.8">
      <c r="A5762" s="47" t="s">
        <v>12475</v>
      </c>
      <c r="B5762" s="92" t="s">
        <v>12476</v>
      </c>
      <c r="C5762" s="92" t="s">
        <v>12476</v>
      </c>
      <c r="D5762" s="72" t="str">
        <f>IFERROR(VLOOKUP(A5762,'[1]ST-QA-ZZ5'!$C$5:$M$299,11,0),"Inspection at production line")</f>
        <v>Inspection at production line</v>
      </c>
    </row>
    <row r="5763" spans="1:4" ht="13.8">
      <c r="A5763" s="47" t="s">
        <v>12477</v>
      </c>
      <c r="B5763" s="92" t="s">
        <v>1513</v>
      </c>
      <c r="C5763" s="92" t="s">
        <v>12478</v>
      </c>
      <c r="D5763" s="72" t="str">
        <f>IFERROR(VLOOKUP(A5763,'[1]ST-QA-ZZ5'!$C$5:$M$299,11,0),"Inspection at production line")</f>
        <v>Inspection at production line</v>
      </c>
    </row>
    <row r="5764" spans="1:4" ht="13.8">
      <c r="A5764" s="47" t="s">
        <v>12479</v>
      </c>
      <c r="B5764" s="92" t="s">
        <v>12480</v>
      </c>
      <c r="C5764" s="92" t="s">
        <v>12481</v>
      </c>
      <c r="D5764" s="72" t="str">
        <f>IFERROR(VLOOKUP(A5764,'[1]ST-QA-ZZ5'!$C$5:$M$299,11,0),"Inspection at production line")</f>
        <v>Inspection at production line</v>
      </c>
    </row>
    <row r="5765" spans="1:4" ht="13.8">
      <c r="A5765" s="47" t="s">
        <v>12482</v>
      </c>
      <c r="B5765" s="92" t="s">
        <v>12483</v>
      </c>
      <c r="C5765" s="92" t="s">
        <v>12483</v>
      </c>
      <c r="D5765" s="72" t="str">
        <f>IFERROR(VLOOKUP(A5765,'[1]ST-QA-ZZ5'!$C$5:$M$299,11,0),"Inspection at production line")</f>
        <v>Inspection at production line</v>
      </c>
    </row>
    <row r="5766" spans="1:4" ht="13.8">
      <c r="A5766" s="47" t="s">
        <v>12484</v>
      </c>
      <c r="B5766" s="92" t="s">
        <v>7901</v>
      </c>
      <c r="C5766" s="92" t="s">
        <v>12485</v>
      </c>
      <c r="D5766" s="72" t="str">
        <f>IFERROR(VLOOKUP(A5766,'[1]ST-QA-ZZ5'!$C$5:$M$299,11,0),"Inspection at production line")</f>
        <v>Inspection at production line</v>
      </c>
    </row>
    <row r="5767" spans="1:4" ht="13.8">
      <c r="A5767" s="47" t="s">
        <v>12486</v>
      </c>
      <c r="B5767" s="92" t="s">
        <v>12487</v>
      </c>
      <c r="C5767" s="92" t="s">
        <v>12488</v>
      </c>
      <c r="D5767" s="72" t="str">
        <f>IFERROR(VLOOKUP(A5767,'[1]ST-QA-ZZ5'!$C$5:$M$299,11,0),"Inspection at production line")</f>
        <v>Inspection at production line</v>
      </c>
    </row>
    <row r="5768" spans="1:4" ht="13.8">
      <c r="A5768" s="47" t="s">
        <v>12489</v>
      </c>
      <c r="B5768" s="92" t="s">
        <v>90</v>
      </c>
      <c r="C5768" s="92" t="s">
        <v>12490</v>
      </c>
      <c r="D5768" s="72" t="str">
        <f>IFERROR(VLOOKUP(A5768,'[1]ST-QA-ZZ5'!$C$5:$M$299,11,0),"Inspection at production line")</f>
        <v>Inspection at production line</v>
      </c>
    </row>
    <row r="5769" spans="1:4" ht="13.8">
      <c r="A5769" s="47" t="s">
        <v>12491</v>
      </c>
      <c r="B5769" s="92" t="s">
        <v>12399</v>
      </c>
      <c r="C5769" s="92" t="s">
        <v>12492</v>
      </c>
      <c r="D5769" s="72" t="str">
        <f>IFERROR(VLOOKUP(A5769,'[1]ST-QA-ZZ5'!$C$5:$M$299,11,0),"Inspection at production line")</f>
        <v>Inspection at production line</v>
      </c>
    </row>
    <row r="5770" spans="1:4" ht="13.8">
      <c r="A5770" s="47" t="s">
        <v>12493</v>
      </c>
      <c r="B5770" s="92" t="s">
        <v>90</v>
      </c>
      <c r="C5770" s="92" t="s">
        <v>12494</v>
      </c>
      <c r="D5770" s="72" t="str">
        <f>IFERROR(VLOOKUP(A5770,'[1]ST-QA-ZZ5'!$C$5:$M$299,11,0),"Inspection at production line")</f>
        <v>Inspection at production line</v>
      </c>
    </row>
    <row r="5771" spans="1:4" ht="13.8">
      <c r="A5771" s="47" t="s">
        <v>12495</v>
      </c>
      <c r="B5771" s="92" t="s">
        <v>12496</v>
      </c>
      <c r="C5771" s="94" t="s">
        <v>12497</v>
      </c>
      <c r="D5771" s="72" t="str">
        <f>IFERROR(VLOOKUP(A5771,'[1]ST-QA-ZZ5'!$C$5:$M$299,11,0),"Inspection at production line")</f>
        <v>Inspection at production line</v>
      </c>
    </row>
    <row r="5772" spans="1:4" ht="13.8">
      <c r="A5772" s="47" t="s">
        <v>12498</v>
      </c>
      <c r="B5772" s="92" t="s">
        <v>1949</v>
      </c>
      <c r="C5772" s="92" t="s">
        <v>6253</v>
      </c>
      <c r="D5772" s="72" t="str">
        <f>IFERROR(VLOOKUP(A5772,'[1]ST-QA-ZZ5'!$C$5:$M$299,11,0),"Inspection at production line")</f>
        <v>Inspection at production line</v>
      </c>
    </row>
    <row r="5773" spans="1:4" ht="13.8">
      <c r="A5773" s="47" t="s">
        <v>12499</v>
      </c>
      <c r="B5773" s="92" t="s">
        <v>12500</v>
      </c>
      <c r="C5773" s="92" t="s">
        <v>12500</v>
      </c>
      <c r="D5773" s="72" t="str">
        <f>IFERROR(VLOOKUP(A5773,'[1]ST-QA-ZZ5'!$C$5:$M$299,11,0),"Inspection at production line")</f>
        <v>Inspection at production line</v>
      </c>
    </row>
    <row r="5774" spans="1:4" ht="13.8">
      <c r="A5774" s="47" t="s">
        <v>5351</v>
      </c>
      <c r="B5774" s="92" t="s">
        <v>2492</v>
      </c>
      <c r="C5774" s="92" t="s">
        <v>5352</v>
      </c>
      <c r="D5774" s="72" t="str">
        <f>IFERROR(VLOOKUP(A5774,'[1]ST-QA-ZZ5'!$C$5:$M$299,11,0),"Inspection at production line")</f>
        <v>Inspection at production line</v>
      </c>
    </row>
    <row r="5775" spans="1:4" ht="13.8">
      <c r="A5775" s="47" t="s">
        <v>12501</v>
      </c>
      <c r="B5775" s="92" t="s">
        <v>12502</v>
      </c>
      <c r="C5775" s="92" t="s">
        <v>12503</v>
      </c>
      <c r="D5775" s="72" t="str">
        <f>IFERROR(VLOOKUP(A5775,'[1]ST-QA-ZZ5'!$C$5:$M$299,11,0),"Inspection at production line")</f>
        <v>Inspection at production line</v>
      </c>
    </row>
    <row r="5776" spans="1:4" ht="13.8">
      <c r="A5776" s="47" t="s">
        <v>12504</v>
      </c>
      <c r="B5776" s="92" t="s">
        <v>2492</v>
      </c>
      <c r="C5776" s="92" t="s">
        <v>12505</v>
      </c>
      <c r="D5776" s="72" t="str">
        <f>IFERROR(VLOOKUP(A5776,'[1]ST-QA-ZZ5'!$C$5:$M$299,11,0),"Inspection at production line")</f>
        <v>Inspection at production line</v>
      </c>
    </row>
    <row r="5777" spans="1:4" ht="13.8">
      <c r="A5777" s="47" t="s">
        <v>12506</v>
      </c>
      <c r="B5777" s="92" t="s">
        <v>12507</v>
      </c>
      <c r="C5777" s="92" t="s">
        <v>12508</v>
      </c>
      <c r="D5777" s="72" t="str">
        <f>IFERROR(VLOOKUP(A5777,'[1]ST-QA-ZZ5'!$C$5:$M$299,11,0),"Inspection at production line")</f>
        <v>Inspection at production line</v>
      </c>
    </row>
    <row r="5778" spans="1:4" ht="13.8">
      <c r="A5778" s="47" t="s">
        <v>12509</v>
      </c>
      <c r="B5778" s="92" t="s">
        <v>1959</v>
      </c>
      <c r="C5778" s="92" t="s">
        <v>12510</v>
      </c>
      <c r="D5778" s="72" t="str">
        <f>IFERROR(VLOOKUP(A5778,'[1]ST-QA-ZZ5'!$C$5:$M$299,11,0),"Inspection at production line")</f>
        <v>Inspection at production line</v>
      </c>
    </row>
    <row r="5779" spans="1:4" ht="13.8">
      <c r="A5779" s="47" t="s">
        <v>12511</v>
      </c>
      <c r="B5779" s="92" t="s">
        <v>12415</v>
      </c>
      <c r="C5779" s="92" t="s">
        <v>12512</v>
      </c>
      <c r="D5779" s="72" t="str">
        <f>IFERROR(VLOOKUP(A5779,'[1]ST-QA-ZZ5'!$C$5:$M$299,11,0),"Inspection at production line")</f>
        <v>Inspection at production line</v>
      </c>
    </row>
    <row r="5780" spans="1:4" ht="13.8">
      <c r="A5780" s="47" t="s">
        <v>12513</v>
      </c>
      <c r="B5780" s="92" t="s">
        <v>1954</v>
      </c>
      <c r="C5780" s="92" t="s">
        <v>12514</v>
      </c>
      <c r="D5780" s="72" t="str">
        <f>IFERROR(VLOOKUP(A5780,'[1]ST-QA-ZZ5'!$C$5:$M$299,11,0),"Inspection at production line")</f>
        <v>Inspection at production line</v>
      </c>
    </row>
    <row r="5781" spans="1:4" ht="13.8">
      <c r="A5781" s="47" t="s">
        <v>12515</v>
      </c>
      <c r="B5781" s="92" t="s">
        <v>12426</v>
      </c>
      <c r="C5781" s="92" t="s">
        <v>12516</v>
      </c>
      <c r="D5781" s="72" t="str">
        <f>IFERROR(VLOOKUP(A5781,'[1]ST-QA-ZZ5'!$C$5:$M$299,11,0),"Inspection at production line")</f>
        <v>Inspection at production line</v>
      </c>
    </row>
    <row r="5782" spans="1:4" ht="13.8">
      <c r="A5782" s="47" t="s">
        <v>12517</v>
      </c>
      <c r="B5782" s="92" t="s">
        <v>1954</v>
      </c>
      <c r="C5782" s="92" t="s">
        <v>12518</v>
      </c>
      <c r="D5782" s="72" t="str">
        <f>IFERROR(VLOOKUP(A5782,'[1]ST-QA-ZZ5'!$C$5:$M$299,11,0),"Inspection at production line")</f>
        <v>Inspection at production line</v>
      </c>
    </row>
    <row r="5783" spans="1:4" ht="13.8">
      <c r="A5783" s="47" t="s">
        <v>12519</v>
      </c>
      <c r="B5783" s="92" t="s">
        <v>12520</v>
      </c>
      <c r="C5783" s="92" t="s">
        <v>12521</v>
      </c>
      <c r="D5783" s="72" t="str">
        <f>IFERROR(VLOOKUP(A5783,'[1]ST-QA-ZZ5'!$C$5:$M$299,11,0),"Inspection at production line")</f>
        <v>Inspection at production line</v>
      </c>
    </row>
    <row r="5784" spans="1:4" ht="13.8">
      <c r="A5784" s="47" t="s">
        <v>12522</v>
      </c>
      <c r="B5784" s="92" t="s">
        <v>12523</v>
      </c>
      <c r="C5784" s="92" t="s">
        <v>12524</v>
      </c>
      <c r="D5784" s="72" t="str">
        <f>IFERROR(VLOOKUP(A5784,'[1]ST-QA-ZZ5'!$C$5:$M$299,11,0),"Inspection at production line")</f>
        <v>Inspection at production line</v>
      </c>
    </row>
    <row r="5785" spans="1:4" ht="13.8">
      <c r="A5785" s="47" t="s">
        <v>12525</v>
      </c>
      <c r="B5785" s="92" t="s">
        <v>174</v>
      </c>
      <c r="C5785" s="92" t="s">
        <v>12526</v>
      </c>
      <c r="D5785" s="72" t="str">
        <f>IFERROR(VLOOKUP(A5785,'[1]ST-QA-ZZ5'!$C$5:$M$299,11,0),"Inspection at production line")</f>
        <v>Inspection at production line</v>
      </c>
    </row>
    <row r="5786" spans="1:4" ht="13.8">
      <c r="A5786" s="47" t="s">
        <v>12527</v>
      </c>
      <c r="B5786" s="92" t="s">
        <v>12528</v>
      </c>
      <c r="C5786" s="92" t="s">
        <v>12529</v>
      </c>
      <c r="D5786" s="72" t="str">
        <f>IFERROR(VLOOKUP(A5786,'[1]ST-QA-ZZ5'!$C$5:$M$299,11,0),"Inspection at production line")</f>
        <v>Inspection at production line</v>
      </c>
    </row>
    <row r="5787" spans="1:4" ht="13.8">
      <c r="A5787" s="47" t="s">
        <v>12530</v>
      </c>
      <c r="B5787" s="92" t="s">
        <v>1959</v>
      </c>
      <c r="C5787" s="92" t="s">
        <v>12531</v>
      </c>
      <c r="D5787" s="72" t="str">
        <f>IFERROR(VLOOKUP(A5787,'[1]ST-QA-ZZ5'!$C$5:$M$299,11,0),"Inspection at production line")</f>
        <v>Inspection at production line</v>
      </c>
    </row>
    <row r="5788" spans="1:4" ht="13.8">
      <c r="A5788" s="47" t="s">
        <v>12532</v>
      </c>
      <c r="B5788" s="92" t="s">
        <v>12528</v>
      </c>
      <c r="C5788" s="92" t="s">
        <v>12533</v>
      </c>
      <c r="D5788" s="72" t="str">
        <f>IFERROR(VLOOKUP(A5788,'[1]ST-QA-ZZ5'!$C$5:$M$299,11,0),"Inspection at production line")</f>
        <v>Inspection at production line</v>
      </c>
    </row>
    <row r="5789" spans="1:4" ht="13.8">
      <c r="A5789" s="47" t="s">
        <v>12534</v>
      </c>
      <c r="B5789" s="92" t="s">
        <v>8753</v>
      </c>
      <c r="C5789" s="92" t="s">
        <v>12535</v>
      </c>
      <c r="D5789" s="72" t="str">
        <f>IFERROR(VLOOKUP(A5789,'[1]ST-QA-ZZ5'!$C$5:$M$299,11,0),"Inspection at production line")</f>
        <v>Inspection at production line</v>
      </c>
    </row>
    <row r="5790" spans="1:4" ht="13.8">
      <c r="A5790" s="47" t="s">
        <v>12536</v>
      </c>
      <c r="B5790" s="92" t="s">
        <v>12537</v>
      </c>
      <c r="C5790" s="92" t="s">
        <v>12537</v>
      </c>
      <c r="D5790" s="72" t="str">
        <f>IFERROR(VLOOKUP(A5790,'[1]ST-QA-ZZ5'!$C$5:$M$299,11,0),"Inspection at production line")</f>
        <v>Inspection at production line</v>
      </c>
    </row>
    <row r="5791" spans="1:4" ht="13.8">
      <c r="A5791" s="47" t="s">
        <v>12538</v>
      </c>
      <c r="B5791" s="92" t="s">
        <v>2137</v>
      </c>
      <c r="C5791" s="92" t="s">
        <v>12539</v>
      </c>
      <c r="D5791" s="72" t="str">
        <f>IFERROR(VLOOKUP(A5791,'[1]ST-QA-ZZ5'!$C$5:$M$299,11,0),"Inspection at production line")</f>
        <v>Inspection at production line</v>
      </c>
    </row>
    <row r="5792" spans="1:4" ht="13.8">
      <c r="A5792" s="47" t="s">
        <v>12540</v>
      </c>
      <c r="B5792" s="92" t="s">
        <v>12541</v>
      </c>
      <c r="C5792" s="92" t="s">
        <v>12542</v>
      </c>
      <c r="D5792" s="72" t="str">
        <f>IFERROR(VLOOKUP(A5792,'[1]ST-QA-ZZ5'!$C$5:$M$299,11,0),"Inspection at production line")</f>
        <v>Inspection at production line</v>
      </c>
    </row>
    <row r="5793" spans="1:4" ht="13.8">
      <c r="A5793" s="47" t="s">
        <v>12543</v>
      </c>
      <c r="B5793" s="92" t="s">
        <v>1554</v>
      </c>
      <c r="C5793" s="92" t="s">
        <v>12544</v>
      </c>
      <c r="D5793" s="72" t="str">
        <f>IFERROR(VLOOKUP(A5793,'[1]ST-QA-ZZ5'!$C$5:$M$299,11,0),"Inspection at production line")</f>
        <v>Inspection at production line</v>
      </c>
    </row>
    <row r="5794" spans="1:4" ht="13.8">
      <c r="A5794" s="47" t="s">
        <v>12545</v>
      </c>
      <c r="B5794" s="92" t="s">
        <v>12541</v>
      </c>
      <c r="C5794" s="92" t="s">
        <v>12546</v>
      </c>
      <c r="D5794" s="72" t="str">
        <f>IFERROR(VLOOKUP(A5794,'[1]ST-QA-ZZ5'!$C$5:$M$299,11,0),"Inspection at production line")</f>
        <v>Inspection at production line</v>
      </c>
    </row>
    <row r="5795" spans="1:4" ht="13.8">
      <c r="A5795" s="47" t="s">
        <v>12547</v>
      </c>
      <c r="B5795" s="92" t="s">
        <v>1554</v>
      </c>
      <c r="C5795" s="92" t="s">
        <v>12277</v>
      </c>
      <c r="D5795" s="72" t="str">
        <f>IFERROR(VLOOKUP(A5795,'[1]ST-QA-ZZ5'!$C$5:$M$299,11,0),"Inspection at production line")</f>
        <v>Inspection at production line</v>
      </c>
    </row>
    <row r="5796" spans="1:4" ht="13.8">
      <c r="A5796" s="47" t="s">
        <v>12548</v>
      </c>
      <c r="B5796" s="92" t="s">
        <v>12549</v>
      </c>
      <c r="C5796" s="92" t="s">
        <v>12550</v>
      </c>
      <c r="D5796" s="72" t="str">
        <f>IFERROR(VLOOKUP(A5796,'[1]ST-QA-ZZ5'!$C$5:$M$299,11,0),"Inspection at production line")</f>
        <v>Inspection at production line</v>
      </c>
    </row>
    <row r="5797" spans="1:4" ht="13.8">
      <c r="A5797" s="47" t="s">
        <v>12551</v>
      </c>
      <c r="B5797" s="92" t="s">
        <v>75</v>
      </c>
      <c r="C5797" s="92" t="s">
        <v>12552</v>
      </c>
      <c r="D5797" s="72" t="str">
        <f>IFERROR(VLOOKUP(A5797,'[1]ST-QA-ZZ5'!$C$5:$M$299,11,0),"Inspection at production line")</f>
        <v>Inspection at production line</v>
      </c>
    </row>
    <row r="5798" spans="1:4" ht="13.8">
      <c r="A5798" s="47" t="s">
        <v>12553</v>
      </c>
      <c r="B5798" s="92" t="s">
        <v>12528</v>
      </c>
      <c r="C5798" s="92" t="s">
        <v>12554</v>
      </c>
      <c r="D5798" s="72" t="str">
        <f>IFERROR(VLOOKUP(A5798,'[1]ST-QA-ZZ5'!$C$5:$M$299,11,0),"Inspection at production line")</f>
        <v>Inspection at production line</v>
      </c>
    </row>
    <row r="5799" spans="1:4" ht="13.8">
      <c r="A5799" s="47" t="s">
        <v>12555</v>
      </c>
      <c r="B5799" s="92" t="s">
        <v>75</v>
      </c>
      <c r="C5799" s="92" t="s">
        <v>12556</v>
      </c>
      <c r="D5799" s="72" t="str">
        <f>IFERROR(VLOOKUP(A5799,'[1]ST-QA-ZZ5'!$C$5:$M$299,11,0),"Inspection at production line")</f>
        <v>Inspection at production line</v>
      </c>
    </row>
    <row r="5800" spans="1:4" ht="13.8">
      <c r="A5800" s="47" t="s">
        <v>12557</v>
      </c>
      <c r="B5800" s="92" t="s">
        <v>12558</v>
      </c>
      <c r="C5800" s="92" t="s">
        <v>12559</v>
      </c>
      <c r="D5800" s="72" t="str">
        <f>IFERROR(VLOOKUP(A5800,'[1]ST-QA-ZZ5'!$C$5:$M$299,11,0),"Inspection at production line")</f>
        <v>Inspection at production line</v>
      </c>
    </row>
    <row r="5801" spans="1:4" ht="13.8">
      <c r="A5801" s="47" t="s">
        <v>12560</v>
      </c>
      <c r="B5801" s="92" t="s">
        <v>75</v>
      </c>
      <c r="C5801" s="92" t="s">
        <v>12362</v>
      </c>
      <c r="D5801" s="72" t="str">
        <f>IFERROR(VLOOKUP(A5801,'[1]ST-QA-ZZ5'!$C$5:$M$299,11,0),"Inspection at production line")</f>
        <v>Inspection at production line</v>
      </c>
    </row>
    <row r="5802" spans="1:4" ht="13.8">
      <c r="A5802" s="47" t="s">
        <v>12561</v>
      </c>
      <c r="B5802" s="92" t="s">
        <v>1592</v>
      </c>
      <c r="C5802" s="92" t="s">
        <v>12487</v>
      </c>
      <c r="D5802" s="72" t="str">
        <f>IFERROR(VLOOKUP(A5802,'[1]ST-QA-ZZ5'!$C$5:$M$299,11,0),"Inspection at production line")</f>
        <v>Inspection at production line</v>
      </c>
    </row>
    <row r="5803" spans="1:4" ht="13.8">
      <c r="A5803" s="47" t="s">
        <v>12562</v>
      </c>
      <c r="B5803" s="92" t="s">
        <v>75</v>
      </c>
      <c r="C5803" s="92" t="s">
        <v>12399</v>
      </c>
      <c r="D5803" s="72" t="str">
        <f>IFERROR(VLOOKUP(A5803,'[1]ST-QA-ZZ5'!$C$5:$M$299,11,0),"Inspection at production line")</f>
        <v>Inspection at production line</v>
      </c>
    </row>
    <row r="5804" spans="1:4" ht="13.8">
      <c r="A5804" s="47" t="s">
        <v>12563</v>
      </c>
      <c r="B5804" s="92" t="s">
        <v>2069</v>
      </c>
      <c r="C5804" s="92" t="s">
        <v>12564</v>
      </c>
      <c r="D5804" s="72" t="str">
        <f>IFERROR(VLOOKUP(A5804,'[1]ST-QA-ZZ5'!$C$5:$M$299,11,0),"Inspection at production line")</f>
        <v>Inspection at production line</v>
      </c>
    </row>
    <row r="5805" spans="1:4" ht="13.8">
      <c r="A5805" s="47" t="s">
        <v>12565</v>
      </c>
      <c r="B5805" s="92" t="s">
        <v>2069</v>
      </c>
      <c r="C5805" s="92" t="s">
        <v>12566</v>
      </c>
      <c r="D5805" s="72" t="str">
        <f>IFERROR(VLOOKUP(A5805,'[1]ST-QA-ZZ5'!$C$5:$M$299,11,0),"Inspection at production line")</f>
        <v>Inspection at production line</v>
      </c>
    </row>
    <row r="5806" spans="1:4" ht="13.8">
      <c r="A5806" s="47" t="s">
        <v>12567</v>
      </c>
      <c r="B5806" s="92" t="s">
        <v>12568</v>
      </c>
      <c r="C5806" s="92" t="s">
        <v>12568</v>
      </c>
      <c r="D5806" s="72" t="str">
        <f>IFERROR(VLOOKUP(A5806,'[1]ST-QA-ZZ5'!$C$5:$M$299,11,0),"Inspection at production line")</f>
        <v>Inspection at production line</v>
      </c>
    </row>
    <row r="5807" spans="1:4" ht="13.8">
      <c r="A5807" s="47" t="s">
        <v>12569</v>
      </c>
      <c r="B5807" s="92" t="s">
        <v>174</v>
      </c>
      <c r="C5807" s="92" t="s">
        <v>12570</v>
      </c>
      <c r="D5807" s="72" t="str">
        <f>IFERROR(VLOOKUP(A5807,'[1]ST-QA-ZZ5'!$C$5:$M$299,11,0),"Inspection at production line")</f>
        <v>Inspection at production line</v>
      </c>
    </row>
    <row r="5808" spans="1:4" ht="13.8">
      <c r="A5808" s="47" t="s">
        <v>12571</v>
      </c>
      <c r="B5808" s="92" t="s">
        <v>12572</v>
      </c>
      <c r="C5808" s="92" t="s">
        <v>12572</v>
      </c>
      <c r="D5808" s="72" t="str">
        <f>IFERROR(VLOOKUP(A5808,'[1]ST-QA-ZZ5'!$C$5:$M$299,11,0),"Inspection at production line")</f>
        <v>Inspection at production line</v>
      </c>
    </row>
    <row r="5809" spans="1:4" ht="13.8">
      <c r="A5809" s="47" t="s">
        <v>18202</v>
      </c>
      <c r="B5809" s="92" t="s">
        <v>18203</v>
      </c>
      <c r="C5809" s="92" t="s">
        <v>18204</v>
      </c>
      <c r="D5809" s="72" t="str">
        <f>IFERROR(VLOOKUP(A5809,'[1]ST-QA-ZZ5'!$C$5:$M$299,11,0),"Inspection at production line")</f>
        <v>Inspection at production line</v>
      </c>
    </row>
    <row r="5810" spans="1:4" ht="13.8">
      <c r="A5810" s="47" t="s">
        <v>18205</v>
      </c>
      <c r="B5810" s="92" t="s">
        <v>15315</v>
      </c>
      <c r="C5810" s="92" t="s">
        <v>15316</v>
      </c>
      <c r="D5810" s="72" t="str">
        <f>IFERROR(VLOOKUP(A5810,'[1]ST-QA-ZZ5'!$C$5:$M$299,11,0),"Inspection at production line")</f>
        <v>Inspection at production line</v>
      </c>
    </row>
    <row r="5811" spans="1:4" ht="13.8">
      <c r="A5811" s="47" t="s">
        <v>18206</v>
      </c>
      <c r="B5811" s="92" t="s">
        <v>15441</v>
      </c>
      <c r="C5811" s="92" t="s">
        <v>15442</v>
      </c>
      <c r="D5811" s="72" t="str">
        <f>IFERROR(VLOOKUP(A5811,'[1]ST-QA-ZZ5'!$C$5:$M$299,11,0),"Inspection at production line")</f>
        <v>Inspection at production line</v>
      </c>
    </row>
    <row r="5812" spans="1:4" ht="13.8">
      <c r="A5812" s="47" t="s">
        <v>18207</v>
      </c>
      <c r="B5812" s="92" t="s">
        <v>15024</v>
      </c>
      <c r="C5812" s="92" t="s">
        <v>15025</v>
      </c>
      <c r="D5812" s="72" t="str">
        <f>IFERROR(VLOOKUP(A5812,'[1]ST-QA-ZZ5'!$C$5:$M$299,11,0),"Inspection at production line")</f>
        <v>Inspection at production line</v>
      </c>
    </row>
    <row r="5813" spans="1:4" ht="13.8">
      <c r="A5813" s="47" t="s">
        <v>18208</v>
      </c>
      <c r="B5813" s="92" t="s">
        <v>15412</v>
      </c>
      <c r="C5813" s="92" t="s">
        <v>15413</v>
      </c>
      <c r="D5813" s="72" t="str">
        <f>IFERROR(VLOOKUP(A5813,'[1]ST-QA-ZZ5'!$C$5:$M$299,11,0),"Inspection at production line")</f>
        <v>Inspection at production line</v>
      </c>
    </row>
    <row r="5814" spans="1:4" ht="13.8">
      <c r="A5814" s="47" t="s">
        <v>12573</v>
      </c>
      <c r="B5814" s="92" t="s">
        <v>2016</v>
      </c>
      <c r="C5814" s="92" t="s">
        <v>12574</v>
      </c>
      <c r="D5814" s="72" t="str">
        <f>IFERROR(VLOOKUP(A5814,'[1]ST-QA-ZZ5'!$C$5:$M$299,11,0),"Inspection at production line")</f>
        <v>Inspection at production line</v>
      </c>
    </row>
    <row r="5815" spans="1:4" ht="13.8">
      <c r="A5815" s="47" t="s">
        <v>18209</v>
      </c>
      <c r="B5815" s="92" t="s">
        <v>15415</v>
      </c>
      <c r="C5815" s="92" t="s">
        <v>15416</v>
      </c>
      <c r="D5815" s="72" t="str">
        <f>IFERROR(VLOOKUP(A5815,'[1]ST-QA-ZZ5'!$C$5:$M$299,11,0),"Inspection at production line")</f>
        <v>Inspection at production line</v>
      </c>
    </row>
    <row r="5816" spans="1:4" ht="13.8">
      <c r="A5816" s="47" t="s">
        <v>18210</v>
      </c>
      <c r="B5816" s="92" t="s">
        <v>15466</v>
      </c>
      <c r="C5816" s="92" t="s">
        <v>15467</v>
      </c>
      <c r="D5816" s="72" t="str">
        <f>IFERROR(VLOOKUP(A5816,'[1]ST-QA-ZZ5'!$C$5:$M$299,11,0),"Inspection at production line")</f>
        <v>Inspection at production line</v>
      </c>
    </row>
    <row r="5817" spans="1:4" ht="13.8">
      <c r="A5817" s="47" t="s">
        <v>18211</v>
      </c>
      <c r="B5817" s="92" t="s">
        <v>9356</v>
      </c>
      <c r="C5817" s="92" t="s">
        <v>18212</v>
      </c>
      <c r="D5817" s="72" t="str">
        <f>IFERROR(VLOOKUP(A5817,'[1]ST-QA-ZZ5'!$C$5:$M$299,11,0),"Inspection at production line")</f>
        <v>Inspection at production line</v>
      </c>
    </row>
    <row r="5818" spans="1:4" ht="13.8">
      <c r="A5818" s="47" t="s">
        <v>18213</v>
      </c>
      <c r="B5818" s="92" t="s">
        <v>15469</v>
      </c>
      <c r="C5818" s="92" t="s">
        <v>15470</v>
      </c>
      <c r="D5818" s="72" t="str">
        <f>IFERROR(VLOOKUP(A5818,'[1]ST-QA-ZZ5'!$C$5:$M$299,11,0),"Inspection at production line")</f>
        <v>Inspection at production line</v>
      </c>
    </row>
    <row r="5819" spans="1:4" ht="13.8">
      <c r="A5819" s="47" t="s">
        <v>18214</v>
      </c>
      <c r="B5819" s="92" t="s">
        <v>18215</v>
      </c>
      <c r="C5819" s="92" t="s">
        <v>18216</v>
      </c>
      <c r="D5819" s="72" t="str">
        <f>IFERROR(VLOOKUP(A5819,'[1]ST-QA-ZZ5'!$C$5:$M$299,11,0),"Inspection at production line")</f>
        <v>Inspection at production line</v>
      </c>
    </row>
    <row r="5820" spans="1:4" ht="13.8">
      <c r="A5820" s="47" t="s">
        <v>18217</v>
      </c>
      <c r="B5820" s="92" t="s">
        <v>15472</v>
      </c>
      <c r="C5820" s="92" t="s">
        <v>15473</v>
      </c>
      <c r="D5820" s="72" t="str">
        <f>IFERROR(VLOOKUP(A5820,'[1]ST-QA-ZZ5'!$C$5:$M$299,11,0),"Inspection at production line")</f>
        <v>Inspection at production line</v>
      </c>
    </row>
    <row r="5821" spans="1:4" ht="13.8">
      <c r="A5821" s="47" t="s">
        <v>18218</v>
      </c>
      <c r="B5821" s="92" t="s">
        <v>18219</v>
      </c>
      <c r="C5821" s="92" t="s">
        <v>18220</v>
      </c>
      <c r="D5821" s="72" t="str">
        <f>IFERROR(VLOOKUP(A5821,'[1]ST-QA-ZZ5'!$C$5:$M$299,11,0),"Inspection at production line")</f>
        <v>Inspection at production line</v>
      </c>
    </row>
    <row r="5822" spans="1:4" ht="13.8">
      <c r="A5822" s="47" t="s">
        <v>18221</v>
      </c>
      <c r="B5822" s="92" t="s">
        <v>1975</v>
      </c>
      <c r="C5822" s="92" t="s">
        <v>18222</v>
      </c>
      <c r="D5822" s="72" t="str">
        <f>IFERROR(VLOOKUP(A5822,'[1]ST-QA-ZZ5'!$C$5:$M$299,11,0),"Inspection at production line")</f>
        <v>Inspection at production line</v>
      </c>
    </row>
    <row r="5823" spans="1:4" ht="13.8">
      <c r="A5823" s="47" t="s">
        <v>12575</v>
      </c>
      <c r="B5823" s="92" t="s">
        <v>12576</v>
      </c>
      <c r="C5823" s="92" t="s">
        <v>12577</v>
      </c>
      <c r="D5823" s="72" t="str">
        <f>IFERROR(VLOOKUP(A5823,'[1]ST-QA-ZZ5'!$C$5:$M$299,11,0),"Inspection at production line")</f>
        <v>Inspection at production line</v>
      </c>
    </row>
    <row r="5824" spans="1:4" ht="13.8">
      <c r="A5824" s="47" t="s">
        <v>12578</v>
      </c>
      <c r="B5824" s="92" t="s">
        <v>12579</v>
      </c>
      <c r="C5824" s="92" t="s">
        <v>12580</v>
      </c>
      <c r="D5824" s="72" t="str">
        <f>IFERROR(VLOOKUP(A5824,'[1]ST-QA-ZZ5'!$C$5:$M$299,11,0),"Inspection at production line")</f>
        <v>Inspection at production line</v>
      </c>
    </row>
    <row r="5825" spans="1:4" ht="13.8">
      <c r="A5825" s="47" t="s">
        <v>18223</v>
      </c>
      <c r="B5825" s="92" t="s">
        <v>15375</v>
      </c>
      <c r="C5825" s="92" t="s">
        <v>15376</v>
      </c>
      <c r="D5825" s="72" t="str">
        <f>IFERROR(VLOOKUP(A5825,'[1]ST-QA-ZZ5'!$C$5:$M$299,11,0),"Inspection at production line")</f>
        <v>Inspection at production line</v>
      </c>
    </row>
    <row r="5826" spans="1:4" ht="13.8">
      <c r="A5826" s="47" t="s">
        <v>12581</v>
      </c>
      <c r="B5826" s="92" t="s">
        <v>555</v>
      </c>
      <c r="C5826" s="92" t="s">
        <v>12582</v>
      </c>
      <c r="D5826" s="72" t="str">
        <f>IFERROR(VLOOKUP(A5826,'[1]ST-QA-ZZ5'!$C$5:$M$299,11,0),"Inspection at production line")</f>
        <v>Inspection at production line</v>
      </c>
    </row>
    <row r="5827" spans="1:4" ht="13.8">
      <c r="A5827" s="47" t="s">
        <v>12583</v>
      </c>
      <c r="B5827" s="92" t="s">
        <v>785</v>
      </c>
      <c r="C5827" s="92" t="s">
        <v>12584</v>
      </c>
      <c r="D5827" s="72" t="str">
        <f>IFERROR(VLOOKUP(A5827,'[1]ST-QA-ZZ5'!$C$5:$M$299,11,0),"Inspection at production line")</f>
        <v>Inspection at production line</v>
      </c>
    </row>
    <row r="5828" spans="1:4" ht="13.8">
      <c r="A5828" s="47" t="s">
        <v>12585</v>
      </c>
      <c r="B5828" s="92" t="s">
        <v>2705</v>
      </c>
      <c r="C5828" s="92" t="s">
        <v>12586</v>
      </c>
      <c r="D5828" s="72" t="str">
        <f>IFERROR(VLOOKUP(A5828,'[1]ST-QA-ZZ5'!$C$5:$M$299,11,0),"Inspection at production line")</f>
        <v>Inspection at production line</v>
      </c>
    </row>
    <row r="5829" spans="1:4" ht="13.8">
      <c r="A5829" s="47" t="s">
        <v>12587</v>
      </c>
      <c r="B5829" s="92" t="s">
        <v>1491</v>
      </c>
      <c r="C5829" s="92" t="s">
        <v>12588</v>
      </c>
      <c r="D5829" s="72" t="str">
        <f>IFERROR(VLOOKUP(A5829,'[1]ST-QA-ZZ5'!$C$5:$M$299,11,0),"Inspection at production line")</f>
        <v>Inspection at production line</v>
      </c>
    </row>
    <row r="5830" spans="1:4" ht="13.8">
      <c r="A5830" s="47" t="s">
        <v>12589</v>
      </c>
      <c r="B5830" s="92" t="s">
        <v>4902</v>
      </c>
      <c r="C5830" s="92" t="s">
        <v>12590</v>
      </c>
      <c r="D5830" s="72" t="str">
        <f>IFERROR(VLOOKUP(A5830,'[1]ST-QA-ZZ5'!$C$5:$M$299,11,0),"Inspection at production line")</f>
        <v>Inspection at production line</v>
      </c>
    </row>
    <row r="5831" spans="1:4" ht="13.8">
      <c r="A5831" s="47" t="s">
        <v>12591</v>
      </c>
      <c r="B5831" s="92" t="s">
        <v>857</v>
      </c>
      <c r="C5831" s="92" t="s">
        <v>12592</v>
      </c>
      <c r="D5831" s="72" t="str">
        <f>IFERROR(VLOOKUP(A5831,'[1]ST-QA-ZZ5'!$C$5:$M$299,11,0),"Inspection at production line")</f>
        <v>Inspection at production line</v>
      </c>
    </row>
    <row r="5832" spans="1:4" ht="13.8">
      <c r="A5832" s="47" t="s">
        <v>12593</v>
      </c>
      <c r="B5832" s="92" t="s">
        <v>1491</v>
      </c>
      <c r="C5832" s="92" t="s">
        <v>12594</v>
      </c>
      <c r="D5832" s="72" t="str">
        <f>IFERROR(VLOOKUP(A5832,'[1]ST-QA-ZZ5'!$C$5:$M$299,11,0),"Inspection at production line")</f>
        <v>Inspection at production line</v>
      </c>
    </row>
    <row r="5833" spans="1:4" ht="13.8">
      <c r="A5833" s="47" t="s">
        <v>784</v>
      </c>
      <c r="B5833" s="92" t="s">
        <v>785</v>
      </c>
      <c r="C5833" s="92" t="s">
        <v>12595</v>
      </c>
      <c r="D5833" s="72" t="str">
        <f>IFERROR(VLOOKUP(A5833,'[1]ST-QA-ZZ5'!$C$5:$M$299,11,0),"Inspection at production line")</f>
        <v>Inspection at production line</v>
      </c>
    </row>
    <row r="5834" spans="1:4" ht="13.8">
      <c r="A5834" s="47" t="s">
        <v>12596</v>
      </c>
      <c r="B5834" s="92" t="s">
        <v>785</v>
      </c>
      <c r="C5834" s="92" t="s">
        <v>12597</v>
      </c>
      <c r="D5834" s="72" t="str">
        <f>IFERROR(VLOOKUP(A5834,'[1]ST-QA-ZZ5'!$C$5:$M$299,11,0),"Inspection at production line")</f>
        <v>Inspection at production line</v>
      </c>
    </row>
    <row r="5835" spans="1:4" ht="13.8">
      <c r="A5835" s="47" t="s">
        <v>12598</v>
      </c>
      <c r="B5835" s="92" t="s">
        <v>1517</v>
      </c>
      <c r="C5835" s="92" t="s">
        <v>12599</v>
      </c>
      <c r="D5835" s="72" t="str">
        <f>IFERROR(VLOOKUP(A5835,'[1]ST-QA-ZZ5'!$C$5:$M$299,11,0),"Inspection at production line")</f>
        <v>Inspection at production line</v>
      </c>
    </row>
    <row r="5836" spans="1:4" ht="13.8">
      <c r="A5836" s="47" t="s">
        <v>12600</v>
      </c>
      <c r="B5836" s="92" t="s">
        <v>1517</v>
      </c>
      <c r="C5836" s="92" t="s">
        <v>12601</v>
      </c>
      <c r="D5836" s="72" t="str">
        <f>IFERROR(VLOOKUP(A5836,'[1]ST-QA-ZZ5'!$C$5:$M$299,11,0),"Inspection at production line")</f>
        <v>Inspection at production line</v>
      </c>
    </row>
    <row r="5837" spans="1:4" ht="13.8">
      <c r="A5837" s="47" t="s">
        <v>12602</v>
      </c>
      <c r="B5837" s="92" t="s">
        <v>6141</v>
      </c>
      <c r="C5837" s="92" t="s">
        <v>12603</v>
      </c>
      <c r="D5837" s="72" t="str">
        <f>IFERROR(VLOOKUP(A5837,'[1]ST-QA-ZZ5'!$C$5:$M$299,11,0),"Inspection at production line")</f>
        <v>Inspection at production line</v>
      </c>
    </row>
    <row r="5838" spans="1:4" ht="13.8">
      <c r="A5838" s="47" t="s">
        <v>12604</v>
      </c>
      <c r="B5838" s="92" t="s">
        <v>6141</v>
      </c>
      <c r="C5838" s="92" t="s">
        <v>12605</v>
      </c>
      <c r="D5838" s="72" t="str">
        <f>IFERROR(VLOOKUP(A5838,'[1]ST-QA-ZZ5'!$C$5:$M$299,11,0),"Inspection at production line")</f>
        <v>Inspection at production line</v>
      </c>
    </row>
    <row r="5839" spans="1:4" ht="13.8">
      <c r="A5839" s="47" t="s">
        <v>12606</v>
      </c>
      <c r="B5839" s="92" t="s">
        <v>6141</v>
      </c>
      <c r="C5839" s="94" t="s">
        <v>12607</v>
      </c>
      <c r="D5839" s="72" t="str">
        <f>IFERROR(VLOOKUP(A5839,'[1]ST-QA-ZZ5'!$C$5:$M$299,11,0),"Inspection at production line")</f>
        <v>Inspection at production line</v>
      </c>
    </row>
    <row r="5840" spans="1:4" ht="13.8">
      <c r="A5840" s="47" t="s">
        <v>12608</v>
      </c>
      <c r="B5840" s="92" t="s">
        <v>6141</v>
      </c>
      <c r="C5840" s="92" t="s">
        <v>12609</v>
      </c>
      <c r="D5840" s="72" t="str">
        <f>IFERROR(VLOOKUP(A5840,'[1]ST-QA-ZZ5'!$C$5:$M$299,11,0),"Inspection at production line")</f>
        <v>Inspection at production line</v>
      </c>
    </row>
    <row r="5841" spans="1:4" ht="13.8">
      <c r="A5841" s="47" t="s">
        <v>5036</v>
      </c>
      <c r="B5841" s="92" t="s">
        <v>2705</v>
      </c>
      <c r="C5841" s="92" t="s">
        <v>5037</v>
      </c>
      <c r="D5841" s="72" t="str">
        <f>IFERROR(VLOOKUP(A5841,'[1]ST-QA-ZZ5'!$C$5:$M$299,11,0),"Inspection at production line")</f>
        <v>Inspection at production line</v>
      </c>
    </row>
    <row r="5842" spans="1:4" ht="13.8">
      <c r="A5842" s="47" t="s">
        <v>12610</v>
      </c>
      <c r="B5842" s="92" t="s">
        <v>857</v>
      </c>
      <c r="C5842" s="92" t="s">
        <v>12611</v>
      </c>
      <c r="D5842" s="72" t="str">
        <f>IFERROR(VLOOKUP(A5842,'[1]ST-QA-ZZ5'!$C$5:$M$299,11,0),"Inspection at production line")</f>
        <v>Inspection at production line</v>
      </c>
    </row>
    <row r="5843" spans="1:4" ht="13.8">
      <c r="A5843" s="47" t="s">
        <v>791</v>
      </c>
      <c r="B5843" s="92" t="s">
        <v>704</v>
      </c>
      <c r="C5843" s="92" t="s">
        <v>12612</v>
      </c>
      <c r="D5843" s="72" t="str">
        <f>IFERROR(VLOOKUP(A5843,'[1]ST-QA-ZZ5'!$C$5:$M$299,11,0),"Inspection at production line")</f>
        <v>Inspection at production line</v>
      </c>
    </row>
    <row r="5844" spans="1:4" ht="13.8">
      <c r="A5844" s="47" t="s">
        <v>12613</v>
      </c>
      <c r="B5844" s="92" t="s">
        <v>704</v>
      </c>
      <c r="C5844" s="92" t="s">
        <v>12614</v>
      </c>
      <c r="D5844" s="72" t="str">
        <f>IFERROR(VLOOKUP(A5844,'[1]ST-QA-ZZ5'!$C$5:$M$299,11,0),"Inspection at production line")</f>
        <v>Inspection at production line</v>
      </c>
    </row>
    <row r="5845" spans="1:4" ht="13.8">
      <c r="A5845" s="47" t="s">
        <v>5025</v>
      </c>
      <c r="B5845" s="92" t="s">
        <v>704</v>
      </c>
      <c r="C5845" s="92" t="s">
        <v>5026</v>
      </c>
      <c r="D5845" s="72" t="str">
        <f>IFERROR(VLOOKUP(A5845,'[1]ST-QA-ZZ5'!$C$5:$M$299,11,0),"Inspection at production line")</f>
        <v>Inspection at production line</v>
      </c>
    </row>
    <row r="5846" spans="1:4" ht="13.8">
      <c r="A5846" s="47" t="s">
        <v>12615</v>
      </c>
      <c r="B5846" s="92" t="s">
        <v>704</v>
      </c>
      <c r="C5846" s="92" t="s">
        <v>12616</v>
      </c>
      <c r="D5846" s="72" t="str">
        <f>IFERROR(VLOOKUP(A5846,'[1]ST-QA-ZZ5'!$C$5:$M$299,11,0),"Inspection at production line")</f>
        <v>Inspection at production line</v>
      </c>
    </row>
    <row r="5847" spans="1:4" ht="13.8">
      <c r="A5847" s="47" t="s">
        <v>12617</v>
      </c>
      <c r="B5847" s="92" t="s">
        <v>12618</v>
      </c>
      <c r="C5847" s="92" t="s">
        <v>12618</v>
      </c>
      <c r="D5847" s="72" t="str">
        <f>IFERROR(VLOOKUP(A5847,'[1]ST-QA-ZZ5'!$C$5:$M$299,11,0),"Inspection at production line")</f>
        <v>Inspection at production line</v>
      </c>
    </row>
    <row r="5848" spans="1:4" ht="13.8">
      <c r="A5848" s="47" t="s">
        <v>12619</v>
      </c>
      <c r="B5848" s="92" t="s">
        <v>2024</v>
      </c>
      <c r="C5848" s="92" t="s">
        <v>12620</v>
      </c>
      <c r="D5848" s="72" t="str">
        <f>IFERROR(VLOOKUP(A5848,'[1]ST-QA-ZZ5'!$C$5:$M$299,11,0),"Inspection at production line")</f>
        <v>Inspection at production line</v>
      </c>
    </row>
    <row r="5849" spans="1:4" ht="13.8">
      <c r="A5849" s="47" t="s">
        <v>12621</v>
      </c>
      <c r="B5849" s="92" t="s">
        <v>2024</v>
      </c>
      <c r="C5849" s="92" t="s">
        <v>12622</v>
      </c>
      <c r="D5849" s="72" t="str">
        <f>IFERROR(VLOOKUP(A5849,'[1]ST-QA-ZZ5'!$C$5:$M$299,11,0),"Inspection at production line")</f>
        <v>Inspection at production line</v>
      </c>
    </row>
    <row r="5850" spans="1:4" ht="13.8">
      <c r="A5850" s="47" t="s">
        <v>12623</v>
      </c>
      <c r="B5850" s="92" t="s">
        <v>12624</v>
      </c>
      <c r="C5850" s="92" t="s">
        <v>12625</v>
      </c>
      <c r="D5850" s="72" t="str">
        <f>IFERROR(VLOOKUP(A5850,'[1]ST-QA-ZZ5'!$C$5:$M$299,11,0),"Inspection at production line")</f>
        <v>Inspection at production line</v>
      </c>
    </row>
    <row r="5851" spans="1:4" ht="13.8">
      <c r="A5851" s="47" t="s">
        <v>12626</v>
      </c>
      <c r="B5851" s="92" t="s">
        <v>12627</v>
      </c>
      <c r="C5851" s="92" t="s">
        <v>12628</v>
      </c>
      <c r="D5851" s="72" t="str">
        <f>IFERROR(VLOOKUP(A5851,'[1]ST-QA-ZZ5'!$C$5:$M$299,11,0),"Inspection at production line")</f>
        <v>Inspection at production line</v>
      </c>
    </row>
    <row r="5852" spans="1:4" ht="13.8">
      <c r="A5852" s="47" t="s">
        <v>12629</v>
      </c>
      <c r="B5852" s="92" t="s">
        <v>2024</v>
      </c>
      <c r="C5852" s="92" t="s">
        <v>12630</v>
      </c>
      <c r="D5852" s="72" t="str">
        <f>IFERROR(VLOOKUP(A5852,'[1]ST-QA-ZZ5'!$C$5:$M$299,11,0),"Inspection at production line")</f>
        <v>Inspection at production line</v>
      </c>
    </row>
    <row r="5853" spans="1:4" ht="13.8">
      <c r="A5853" s="47" t="s">
        <v>12631</v>
      </c>
      <c r="B5853" s="92" t="s">
        <v>2024</v>
      </c>
      <c r="C5853" s="94" t="s">
        <v>12632</v>
      </c>
      <c r="D5853" s="72" t="str">
        <f>IFERROR(VLOOKUP(A5853,'[1]ST-QA-ZZ5'!$C$5:$M$299,11,0),"Inspection at production line")</f>
        <v>Inspection at production line</v>
      </c>
    </row>
    <row r="5854" spans="1:4" ht="13.8">
      <c r="A5854" s="47" t="s">
        <v>12633</v>
      </c>
      <c r="B5854" s="92" t="s">
        <v>555</v>
      </c>
      <c r="C5854" s="92" t="s">
        <v>12634</v>
      </c>
      <c r="D5854" s="72" t="str">
        <f>IFERROR(VLOOKUP(A5854,'[1]ST-QA-ZZ5'!$C$5:$M$299,11,0),"Inspection at production line")</f>
        <v>Inspection at production line</v>
      </c>
    </row>
    <row r="5855" spans="1:4" ht="13.8">
      <c r="A5855" s="47" t="s">
        <v>12635</v>
      </c>
      <c r="B5855" s="92" t="s">
        <v>119</v>
      </c>
      <c r="C5855" s="92" t="s">
        <v>311</v>
      </c>
      <c r="D5855" s="72" t="str">
        <f>IFERROR(VLOOKUP(A5855,'[1]ST-QA-ZZ5'!$C$5:$M$299,11,0),"Inspection at production line")</f>
        <v>Inspection at production line</v>
      </c>
    </row>
    <row r="5856" spans="1:4" ht="13.8">
      <c r="A5856" s="47" t="s">
        <v>12636</v>
      </c>
      <c r="B5856" s="92" t="s">
        <v>1513</v>
      </c>
      <c r="C5856" s="92" t="s">
        <v>5471</v>
      </c>
      <c r="D5856" s="72" t="str">
        <f>IFERROR(VLOOKUP(A5856,'[1]ST-QA-ZZ5'!$C$5:$M$299,11,0),"Inspection at production line")</f>
        <v>Inspection at production line</v>
      </c>
    </row>
    <row r="5857" spans="1:4" ht="13.8">
      <c r="A5857" s="47" t="s">
        <v>12637</v>
      </c>
      <c r="B5857" s="92" t="s">
        <v>5476</v>
      </c>
      <c r="C5857" s="92" t="s">
        <v>5476</v>
      </c>
      <c r="D5857" s="72" t="str">
        <f>IFERROR(VLOOKUP(A5857,'[1]ST-QA-ZZ5'!$C$5:$M$299,11,0),"Inspection at production line")</f>
        <v>Inspection at production line</v>
      </c>
    </row>
    <row r="5858" spans="1:4" ht="13.8">
      <c r="A5858" s="47" t="s">
        <v>12638</v>
      </c>
      <c r="B5858" s="92" t="s">
        <v>12639</v>
      </c>
      <c r="C5858" s="92" t="s">
        <v>12639</v>
      </c>
      <c r="D5858" s="72" t="str">
        <f>IFERROR(VLOOKUP(A5858,'[1]ST-QA-ZZ5'!$C$5:$M$299,11,0),"Inspection at production line")</f>
        <v>Inspection at production line</v>
      </c>
    </row>
    <row r="5859" spans="1:4" ht="13.8">
      <c r="A5859" s="47" t="s">
        <v>12640</v>
      </c>
      <c r="B5859" s="92" t="s">
        <v>75</v>
      </c>
      <c r="C5859" s="92" t="s">
        <v>12641</v>
      </c>
      <c r="D5859" s="72" t="str">
        <f>IFERROR(VLOOKUP(A5859,'[1]ST-QA-ZZ5'!$C$5:$M$299,11,0),"Inspection at production line")</f>
        <v>Inspection at production line</v>
      </c>
    </row>
    <row r="5860" spans="1:4" ht="13.8">
      <c r="A5860" s="47" t="s">
        <v>12642</v>
      </c>
      <c r="B5860" s="92" t="s">
        <v>12643</v>
      </c>
      <c r="C5860" s="92" t="s">
        <v>12643</v>
      </c>
      <c r="D5860" s="72" t="str">
        <f>IFERROR(VLOOKUP(A5860,'[1]ST-QA-ZZ5'!$C$5:$M$299,11,0),"Inspection at production line")</f>
        <v>Inspection at production line</v>
      </c>
    </row>
    <row r="5861" spans="1:4" ht="13.8">
      <c r="A5861" s="47" t="s">
        <v>12644</v>
      </c>
      <c r="B5861" s="92" t="s">
        <v>953</v>
      </c>
      <c r="C5861" s="92" t="s">
        <v>12645</v>
      </c>
      <c r="D5861" s="72" t="str">
        <f>IFERROR(VLOOKUP(A5861,'[1]ST-QA-ZZ5'!$C$5:$M$299,11,0),"Inspection at production line")</f>
        <v>Inspection at production line</v>
      </c>
    </row>
    <row r="5862" spans="1:4" ht="13.8">
      <c r="A5862" s="47" t="s">
        <v>12646</v>
      </c>
      <c r="B5862" s="92" t="s">
        <v>1543</v>
      </c>
      <c r="C5862" s="92" t="s">
        <v>12647</v>
      </c>
      <c r="D5862" s="72" t="str">
        <f>IFERROR(VLOOKUP(A5862,'[1]ST-QA-ZZ5'!$C$5:$M$299,11,0),"Inspection at production line")</f>
        <v>Inspection at production line</v>
      </c>
    </row>
    <row r="5863" spans="1:4" ht="13.8">
      <c r="A5863" s="47" t="s">
        <v>12648</v>
      </c>
      <c r="B5863" s="92" t="s">
        <v>253</v>
      </c>
      <c r="C5863" s="92" t="s">
        <v>254</v>
      </c>
      <c r="D5863" s="72" t="str">
        <f>IFERROR(VLOOKUP(A5863,'[1]ST-QA-ZZ5'!$C$5:$M$299,11,0),"Inspection at production line")</f>
        <v>Inspection at production line</v>
      </c>
    </row>
    <row r="5864" spans="1:4" ht="13.8">
      <c r="A5864" s="47" t="s">
        <v>12649</v>
      </c>
      <c r="B5864" s="92" t="s">
        <v>814</v>
      </c>
      <c r="C5864" s="92" t="s">
        <v>12650</v>
      </c>
      <c r="D5864" s="72" t="str">
        <f>IFERROR(VLOOKUP(A5864,'[1]ST-QA-ZZ5'!$C$5:$M$299,11,0),"Inspection at production line")</f>
        <v>Inspection at production line</v>
      </c>
    </row>
    <row r="5865" spans="1:4" ht="13.8">
      <c r="A5865" s="47" t="s">
        <v>12651</v>
      </c>
      <c r="B5865" s="92" t="s">
        <v>1554</v>
      </c>
      <c r="C5865" s="92" t="s">
        <v>12652</v>
      </c>
      <c r="D5865" s="72" t="str">
        <f>IFERROR(VLOOKUP(A5865,'[1]ST-QA-ZZ5'!$C$5:$M$299,11,0),"Inspection at production line")</f>
        <v>Inspection at production line</v>
      </c>
    </row>
    <row r="5866" spans="1:4" ht="13.8">
      <c r="A5866" s="47" t="s">
        <v>12653</v>
      </c>
      <c r="B5866" s="92" t="s">
        <v>5518</v>
      </c>
      <c r="C5866" s="92" t="s">
        <v>5518</v>
      </c>
      <c r="D5866" s="72" t="str">
        <f>IFERROR(VLOOKUP(A5866,'[1]ST-QA-ZZ5'!$C$5:$M$299,11,0),"Inspection at production line")</f>
        <v>Inspection at production line</v>
      </c>
    </row>
    <row r="5867" spans="1:4" ht="13.8">
      <c r="A5867" s="47" t="s">
        <v>12654</v>
      </c>
      <c r="B5867" s="92" t="s">
        <v>953</v>
      </c>
      <c r="C5867" s="92" t="s">
        <v>12655</v>
      </c>
      <c r="D5867" s="72" t="str">
        <f>IFERROR(VLOOKUP(A5867,'[1]ST-QA-ZZ5'!$C$5:$M$299,11,0),"Inspection at production line")</f>
        <v>Inspection at production line</v>
      </c>
    </row>
    <row r="5868" spans="1:4" ht="13.8">
      <c r="A5868" s="47" t="s">
        <v>12656</v>
      </c>
      <c r="B5868" s="92" t="s">
        <v>1574</v>
      </c>
      <c r="C5868" s="92" t="s">
        <v>12657</v>
      </c>
      <c r="D5868" s="72" t="str">
        <f>IFERROR(VLOOKUP(A5868,'[1]ST-QA-ZZ5'!$C$5:$M$299,11,0),"Inspection at production line")</f>
        <v>Inspection at production line</v>
      </c>
    </row>
    <row r="5869" spans="1:4" ht="13.8">
      <c r="A5869" s="47" t="s">
        <v>12658</v>
      </c>
      <c r="B5869" s="92" t="s">
        <v>5529</v>
      </c>
      <c r="C5869" s="92" t="s">
        <v>5529</v>
      </c>
      <c r="D5869" s="72" t="str">
        <f>IFERROR(VLOOKUP(A5869,'[1]ST-QA-ZZ5'!$C$5:$M$299,11,0),"Inspection at production line")</f>
        <v>Inspection at production line</v>
      </c>
    </row>
    <row r="5870" spans="1:4" ht="13.8">
      <c r="A5870" s="47" t="s">
        <v>12659</v>
      </c>
      <c r="B5870" s="92" t="s">
        <v>1543</v>
      </c>
      <c r="C5870" s="94" t="s">
        <v>12660</v>
      </c>
      <c r="D5870" s="72" t="str">
        <f>IFERROR(VLOOKUP(A5870,'[1]ST-QA-ZZ5'!$C$5:$M$299,11,0),"Inspection at production line")</f>
        <v>Inspection at production line</v>
      </c>
    </row>
    <row r="5871" spans="1:4" ht="13.8">
      <c r="A5871" s="47" t="s">
        <v>12661</v>
      </c>
      <c r="B5871" s="92" t="s">
        <v>75</v>
      </c>
      <c r="C5871" s="92" t="s">
        <v>12662</v>
      </c>
      <c r="D5871" s="72" t="str">
        <f>IFERROR(VLOOKUP(A5871,'[1]ST-QA-ZZ5'!$C$5:$M$299,11,0),"Inspection at production line")</f>
        <v>Inspection at production line</v>
      </c>
    </row>
    <row r="5872" spans="1:4" ht="13.8">
      <c r="A5872" s="47" t="s">
        <v>12663</v>
      </c>
      <c r="B5872" s="92" t="s">
        <v>953</v>
      </c>
      <c r="C5872" s="92" t="s">
        <v>12664</v>
      </c>
      <c r="D5872" s="72" t="str">
        <f>IFERROR(VLOOKUP(A5872,'[1]ST-QA-ZZ5'!$C$5:$M$299,11,0),"Inspection at production line")</f>
        <v>Inspection at production line</v>
      </c>
    </row>
    <row r="5873" spans="1:4" ht="13.8">
      <c r="A5873" s="47" t="s">
        <v>12665</v>
      </c>
      <c r="B5873" s="92" t="s">
        <v>797</v>
      </c>
      <c r="C5873" s="92" t="s">
        <v>12666</v>
      </c>
      <c r="D5873" s="72" t="str">
        <f>IFERROR(VLOOKUP(A5873,'[1]ST-QA-ZZ5'!$C$5:$M$299,11,0),"Inspection at production line")</f>
        <v>Inspection at production line</v>
      </c>
    </row>
    <row r="5874" spans="1:4" ht="13.8">
      <c r="A5874" s="47" t="s">
        <v>12667</v>
      </c>
      <c r="B5874" s="92" t="s">
        <v>953</v>
      </c>
      <c r="C5874" s="92" t="s">
        <v>12668</v>
      </c>
      <c r="D5874" s="72" t="str">
        <f>IFERROR(VLOOKUP(A5874,'[1]ST-QA-ZZ5'!$C$5:$M$299,11,0),"Inspection at production line")</f>
        <v>Inspection at production line</v>
      </c>
    </row>
    <row r="5875" spans="1:4" ht="13.8">
      <c r="A5875" s="47" t="s">
        <v>12669</v>
      </c>
      <c r="B5875" s="92" t="s">
        <v>1554</v>
      </c>
      <c r="C5875" s="92" t="s">
        <v>12670</v>
      </c>
      <c r="D5875" s="72" t="str">
        <f>IFERROR(VLOOKUP(A5875,'[1]ST-QA-ZZ5'!$C$5:$M$299,11,0),"Inspection at production line")</f>
        <v>Inspection at production line</v>
      </c>
    </row>
    <row r="5876" spans="1:4" ht="13.8">
      <c r="A5876" s="47" t="s">
        <v>12671</v>
      </c>
      <c r="B5876" s="92" t="s">
        <v>1592</v>
      </c>
      <c r="C5876" s="92" t="s">
        <v>12672</v>
      </c>
      <c r="D5876" s="72" t="str">
        <f>IFERROR(VLOOKUP(A5876,'[1]ST-QA-ZZ5'!$C$5:$M$299,11,0),"Inspection at production line")</f>
        <v>Inspection at production line</v>
      </c>
    </row>
    <row r="5877" spans="1:4" ht="13.8">
      <c r="A5877" s="47" t="s">
        <v>12673</v>
      </c>
      <c r="B5877" s="92" t="s">
        <v>1592</v>
      </c>
      <c r="C5877" s="92" t="s">
        <v>12674</v>
      </c>
      <c r="D5877" s="72" t="str">
        <f>IFERROR(VLOOKUP(A5877,'[1]ST-QA-ZZ5'!$C$5:$M$299,11,0),"Inspection at production line")</f>
        <v>Inspection at production line</v>
      </c>
    </row>
    <row r="5878" spans="1:4" ht="13.8">
      <c r="A5878" s="47" t="s">
        <v>12675</v>
      </c>
      <c r="B5878" s="92" t="s">
        <v>75</v>
      </c>
      <c r="C5878" s="92" t="s">
        <v>12676</v>
      </c>
      <c r="D5878" s="72" t="str">
        <f>IFERROR(VLOOKUP(A5878,'[1]ST-QA-ZZ5'!$C$5:$M$299,11,0),"Inspection at production line")</f>
        <v>Inspection at production line</v>
      </c>
    </row>
    <row r="5879" spans="1:4" ht="13.8">
      <c r="A5879" s="47" t="s">
        <v>12677</v>
      </c>
      <c r="B5879" s="92" t="s">
        <v>75</v>
      </c>
      <c r="C5879" s="92" t="s">
        <v>12678</v>
      </c>
      <c r="D5879" s="72" t="str">
        <f>IFERROR(VLOOKUP(A5879,'[1]ST-QA-ZZ5'!$C$5:$M$299,11,0),"Inspection at production line")</f>
        <v>Inspection at production line</v>
      </c>
    </row>
    <row r="5880" spans="1:4" ht="13.8">
      <c r="A5880" s="47" t="s">
        <v>12679</v>
      </c>
      <c r="B5880" s="92" t="s">
        <v>75</v>
      </c>
      <c r="C5880" s="92" t="s">
        <v>12680</v>
      </c>
      <c r="D5880" s="72" t="str">
        <f>IFERROR(VLOOKUP(A5880,'[1]ST-QA-ZZ5'!$C$5:$M$299,11,0),"Inspection at production line")</f>
        <v>Inspection at production line</v>
      </c>
    </row>
    <row r="5881" spans="1:4" ht="13.8">
      <c r="A5881" s="47" t="s">
        <v>12681</v>
      </c>
      <c r="B5881" s="92" t="s">
        <v>75</v>
      </c>
      <c r="C5881" s="92" t="s">
        <v>12682</v>
      </c>
      <c r="D5881" s="72" t="str">
        <f>IFERROR(VLOOKUP(A5881,'[1]ST-QA-ZZ5'!$C$5:$M$299,11,0),"Inspection at production line")</f>
        <v>Inspection at production line</v>
      </c>
    </row>
    <row r="5882" spans="1:4" ht="13.8">
      <c r="A5882" s="47" t="s">
        <v>12683</v>
      </c>
      <c r="B5882" s="92" t="s">
        <v>75</v>
      </c>
      <c r="C5882" s="92" t="s">
        <v>12684</v>
      </c>
      <c r="D5882" s="72" t="str">
        <f>IFERROR(VLOOKUP(A5882,'[1]ST-QA-ZZ5'!$C$5:$M$299,11,0),"Inspection at production line")</f>
        <v>Inspection at production line</v>
      </c>
    </row>
    <row r="5883" spans="1:4" ht="13.8">
      <c r="A5883" s="47" t="s">
        <v>12685</v>
      </c>
      <c r="B5883" s="92" t="s">
        <v>1678</v>
      </c>
      <c r="C5883" s="92" t="s">
        <v>12686</v>
      </c>
      <c r="D5883" s="72" t="str">
        <f>IFERROR(VLOOKUP(A5883,'[1]ST-QA-ZZ5'!$C$5:$M$299,11,0),"Inspection at production line")</f>
        <v>Inspection at production line</v>
      </c>
    </row>
    <row r="5884" spans="1:4" ht="13.8">
      <c r="A5884" s="47" t="s">
        <v>12687</v>
      </c>
      <c r="B5884" s="92" t="s">
        <v>797</v>
      </c>
      <c r="C5884" s="92" t="s">
        <v>12688</v>
      </c>
      <c r="D5884" s="72" t="str">
        <f>IFERROR(VLOOKUP(A5884,'[1]ST-QA-ZZ5'!$C$5:$M$299,11,0),"Inspection at production line")</f>
        <v>Inspection at production line</v>
      </c>
    </row>
    <row r="5885" spans="1:4" ht="13.8">
      <c r="A5885" s="47" t="s">
        <v>12689</v>
      </c>
      <c r="B5885" s="92" t="s">
        <v>1683</v>
      </c>
      <c r="C5885" s="92" t="s">
        <v>12690</v>
      </c>
      <c r="D5885" s="72" t="str">
        <f>IFERROR(VLOOKUP(A5885,'[1]ST-QA-ZZ5'!$C$5:$M$299,11,0),"Inspection at production line")</f>
        <v>Inspection at production line</v>
      </c>
    </row>
    <row r="5886" spans="1:4" ht="13.8">
      <c r="A5886" s="47" t="s">
        <v>12691</v>
      </c>
      <c r="B5886" s="92" t="s">
        <v>75</v>
      </c>
      <c r="C5886" s="94" t="s">
        <v>12692</v>
      </c>
      <c r="D5886" s="72" t="str">
        <f>IFERROR(VLOOKUP(A5886,'[1]ST-QA-ZZ5'!$C$5:$M$299,11,0),"Inspection at production line")</f>
        <v>Inspection at production line</v>
      </c>
    </row>
    <row r="5887" spans="1:4" ht="13.8">
      <c r="A5887" s="47" t="s">
        <v>12693</v>
      </c>
      <c r="B5887" s="92" t="s">
        <v>1212</v>
      </c>
      <c r="C5887" s="92" t="s">
        <v>1212</v>
      </c>
      <c r="D5887" s="72" t="str">
        <f>IFERROR(VLOOKUP(A5887,'[1]ST-QA-ZZ5'!$C$5:$M$299,11,0),"Inspection at production line")</f>
        <v>Inspection at production line</v>
      </c>
    </row>
    <row r="5888" spans="1:4" ht="13.8">
      <c r="A5888" s="47" t="s">
        <v>12694</v>
      </c>
      <c r="B5888" s="92" t="s">
        <v>75</v>
      </c>
      <c r="C5888" s="92" t="s">
        <v>1696</v>
      </c>
      <c r="D5888" s="72" t="str">
        <f>IFERROR(VLOOKUP(A5888,'[1]ST-QA-ZZ5'!$C$5:$M$299,11,0),"Inspection at production line")</f>
        <v>Inspection at production line</v>
      </c>
    </row>
    <row r="5889" spans="1:4" ht="13.8">
      <c r="A5889" s="47" t="s">
        <v>12695</v>
      </c>
      <c r="B5889" s="92" t="s">
        <v>1698</v>
      </c>
      <c r="C5889" s="92" t="s">
        <v>12696</v>
      </c>
      <c r="D5889" s="72" t="str">
        <f>IFERROR(VLOOKUP(A5889,'[1]ST-QA-ZZ5'!$C$5:$M$299,11,0),"Inspection at production line")</f>
        <v>Inspection at production line</v>
      </c>
    </row>
    <row r="5890" spans="1:4" ht="13.8">
      <c r="A5890" s="47" t="s">
        <v>12697</v>
      </c>
      <c r="B5890" s="92" t="s">
        <v>90</v>
      </c>
      <c r="C5890" s="92" t="s">
        <v>12698</v>
      </c>
      <c r="D5890" s="72" t="str">
        <f>IFERROR(VLOOKUP(A5890,'[1]ST-QA-ZZ5'!$C$5:$M$299,11,0),"Inspection at production line")</f>
        <v>Inspection at production line</v>
      </c>
    </row>
    <row r="5891" spans="1:4" ht="13.8">
      <c r="A5891" s="47" t="s">
        <v>12699</v>
      </c>
      <c r="B5891" s="92" t="s">
        <v>75</v>
      </c>
      <c r="C5891" s="92" t="s">
        <v>12700</v>
      </c>
      <c r="D5891" s="72" t="str">
        <f>IFERROR(VLOOKUP(A5891,'[1]ST-QA-ZZ5'!$C$5:$M$299,11,0),"Inspection at production line")</f>
        <v>Inspection at production line</v>
      </c>
    </row>
    <row r="5892" spans="1:4" ht="13.8">
      <c r="A5892" s="47" t="s">
        <v>12701</v>
      </c>
      <c r="B5892" s="92" t="s">
        <v>75</v>
      </c>
      <c r="C5892" s="92" t="s">
        <v>12702</v>
      </c>
      <c r="D5892" s="72" t="str">
        <f>IFERROR(VLOOKUP(A5892,'[1]ST-QA-ZZ5'!$C$5:$M$299,11,0),"Inspection at production line")</f>
        <v>Inspection at production line</v>
      </c>
    </row>
    <row r="5893" spans="1:4" ht="13.8">
      <c r="A5893" s="47" t="s">
        <v>12703</v>
      </c>
      <c r="B5893" s="92" t="s">
        <v>75</v>
      </c>
      <c r="C5893" s="92" t="s">
        <v>12704</v>
      </c>
      <c r="D5893" s="72" t="str">
        <f>IFERROR(VLOOKUP(A5893,'[1]ST-QA-ZZ5'!$C$5:$M$299,11,0),"Inspection at production line")</f>
        <v>Inspection at production line</v>
      </c>
    </row>
    <row r="5894" spans="1:4" ht="13.8">
      <c r="A5894" s="47" t="s">
        <v>12705</v>
      </c>
      <c r="B5894" s="92" t="s">
        <v>1592</v>
      </c>
      <c r="C5894" s="92" t="s">
        <v>1711</v>
      </c>
      <c r="D5894" s="72" t="str">
        <f>IFERROR(VLOOKUP(A5894,'[1]ST-QA-ZZ5'!$C$5:$M$299,11,0),"Inspection at production line")</f>
        <v>Inspection at production line</v>
      </c>
    </row>
    <row r="5895" spans="1:4" ht="13.8">
      <c r="A5895" s="47" t="s">
        <v>12706</v>
      </c>
      <c r="B5895" s="92" t="s">
        <v>797</v>
      </c>
      <c r="C5895" s="92" t="s">
        <v>12707</v>
      </c>
      <c r="D5895" s="72" t="str">
        <f>IFERROR(VLOOKUP(A5895,'[1]ST-QA-ZZ5'!$C$5:$M$299,11,0),"Inspection at production line")</f>
        <v>Inspection at production line</v>
      </c>
    </row>
    <row r="5896" spans="1:4" ht="13.8">
      <c r="A5896" s="47" t="s">
        <v>12708</v>
      </c>
      <c r="B5896" s="92" t="s">
        <v>953</v>
      </c>
      <c r="C5896" s="92" t="s">
        <v>12709</v>
      </c>
      <c r="D5896" s="72" t="str">
        <f>IFERROR(VLOOKUP(A5896,'[1]ST-QA-ZZ5'!$C$5:$M$299,11,0),"Inspection at production line")</f>
        <v>Inspection at production line</v>
      </c>
    </row>
    <row r="5897" spans="1:4" ht="13.8">
      <c r="A5897" s="47" t="s">
        <v>12710</v>
      </c>
      <c r="B5897" s="92" t="s">
        <v>1592</v>
      </c>
      <c r="C5897" s="92" t="s">
        <v>12711</v>
      </c>
      <c r="D5897" s="72" t="str">
        <f>IFERROR(VLOOKUP(A5897,'[1]ST-QA-ZZ5'!$C$5:$M$299,11,0),"Inspection at production line")</f>
        <v>Inspection at production line</v>
      </c>
    </row>
    <row r="5898" spans="1:4" ht="13.8">
      <c r="A5898" s="47" t="s">
        <v>12712</v>
      </c>
      <c r="B5898" s="92" t="s">
        <v>797</v>
      </c>
      <c r="C5898" s="92" t="s">
        <v>12713</v>
      </c>
      <c r="D5898" s="72" t="str">
        <f>IFERROR(VLOOKUP(A5898,'[1]ST-QA-ZZ5'!$C$5:$M$299,11,0),"Inspection at production line")</f>
        <v>Inspection at production line</v>
      </c>
    </row>
    <row r="5899" spans="1:4" ht="13.8">
      <c r="A5899" s="47" t="s">
        <v>12714</v>
      </c>
      <c r="B5899" s="92" t="s">
        <v>75</v>
      </c>
      <c r="C5899" s="92" t="s">
        <v>12715</v>
      </c>
      <c r="D5899" s="72" t="str">
        <f>IFERROR(VLOOKUP(A5899,'[1]ST-QA-ZZ5'!$C$5:$M$299,11,0),"Inspection at production line")</f>
        <v>Inspection at production line</v>
      </c>
    </row>
    <row r="5900" spans="1:4" ht="13.8">
      <c r="A5900" s="47" t="s">
        <v>12716</v>
      </c>
      <c r="B5900" s="92" t="s">
        <v>90</v>
      </c>
      <c r="C5900" s="92" t="s">
        <v>12717</v>
      </c>
      <c r="D5900" s="72" t="str">
        <f>IFERROR(VLOOKUP(A5900,'[1]ST-QA-ZZ5'!$C$5:$M$299,11,0),"Inspection at production line")</f>
        <v>Inspection at production line</v>
      </c>
    </row>
    <row r="5901" spans="1:4" ht="13.8">
      <c r="A5901" s="47" t="s">
        <v>12718</v>
      </c>
      <c r="B5901" s="92" t="s">
        <v>90</v>
      </c>
      <c r="C5901" s="92" t="s">
        <v>1451</v>
      </c>
      <c r="D5901" s="72" t="str">
        <f>IFERROR(VLOOKUP(A5901,'[1]ST-QA-ZZ5'!$C$5:$M$299,11,0),"Inspection at production line")</f>
        <v>Inspection at production line</v>
      </c>
    </row>
    <row r="5902" spans="1:4" ht="13.8">
      <c r="A5902" s="47" t="s">
        <v>12719</v>
      </c>
      <c r="B5902" s="92" t="s">
        <v>90</v>
      </c>
      <c r="C5902" s="92" t="s">
        <v>1257</v>
      </c>
      <c r="D5902" s="72" t="str">
        <f>IFERROR(VLOOKUP(A5902,'[1]ST-QA-ZZ5'!$C$5:$M$299,11,0),"Inspection at production line")</f>
        <v>Inspection at production line</v>
      </c>
    </row>
    <row r="5903" spans="1:4" ht="13.8">
      <c r="A5903" s="47" t="s">
        <v>12720</v>
      </c>
      <c r="B5903" s="92" t="s">
        <v>190</v>
      </c>
      <c r="C5903" s="92" t="s">
        <v>12721</v>
      </c>
      <c r="D5903" s="72" t="str">
        <f>IFERROR(VLOOKUP(A5903,'[1]ST-QA-ZZ5'!$C$5:$M$299,11,0),"Inspection at production line")</f>
        <v>Inspection at production line</v>
      </c>
    </row>
    <row r="5904" spans="1:4" ht="13.8">
      <c r="A5904" s="47" t="s">
        <v>12722</v>
      </c>
      <c r="B5904" s="92" t="s">
        <v>90</v>
      </c>
      <c r="C5904" s="92" t="s">
        <v>1746</v>
      </c>
      <c r="D5904" s="72" t="str">
        <f>IFERROR(VLOOKUP(A5904,'[1]ST-QA-ZZ5'!$C$5:$M$299,11,0),"Inspection at production line")</f>
        <v>Inspection at production line</v>
      </c>
    </row>
    <row r="5905" spans="1:4" ht="13.8">
      <c r="A5905" s="47" t="s">
        <v>12723</v>
      </c>
      <c r="B5905" s="92" t="s">
        <v>1638</v>
      </c>
      <c r="C5905" s="92" t="s">
        <v>1639</v>
      </c>
      <c r="D5905" s="72" t="str">
        <f>IFERROR(VLOOKUP(A5905,'[1]ST-QA-ZZ5'!$C$5:$M$299,11,0),"Inspection at production line")</f>
        <v>Inspection at production line</v>
      </c>
    </row>
    <row r="5906" spans="1:4" ht="13.8">
      <c r="A5906" s="47" t="s">
        <v>12724</v>
      </c>
      <c r="B5906" s="92" t="s">
        <v>75</v>
      </c>
      <c r="C5906" s="92" t="s">
        <v>12725</v>
      </c>
      <c r="D5906" s="72" t="str">
        <f>IFERROR(VLOOKUP(A5906,'[1]ST-QA-ZZ5'!$C$5:$M$299,11,0),"Inspection at production line")</f>
        <v>Inspection at production line</v>
      </c>
    </row>
    <row r="5907" spans="1:4" ht="13.8">
      <c r="A5907" s="47" t="s">
        <v>12726</v>
      </c>
      <c r="B5907" s="92" t="s">
        <v>1760</v>
      </c>
      <c r="C5907" s="92" t="s">
        <v>12727</v>
      </c>
      <c r="D5907" s="72" t="str">
        <f>IFERROR(VLOOKUP(A5907,'[1]ST-QA-ZZ5'!$C$5:$M$299,11,0),"Inspection at production line")</f>
        <v>Inspection at production line</v>
      </c>
    </row>
    <row r="5908" spans="1:4" ht="13.8">
      <c r="A5908" s="47" t="s">
        <v>12728</v>
      </c>
      <c r="B5908" s="92" t="s">
        <v>555</v>
      </c>
      <c r="C5908" s="92" t="s">
        <v>555</v>
      </c>
      <c r="D5908" s="72" t="str">
        <f>IFERROR(VLOOKUP(A5908,'[1]ST-QA-ZZ5'!$C$5:$M$299,11,0),"Inspection at production line")</f>
        <v>Inspection at production line</v>
      </c>
    </row>
    <row r="5909" spans="1:4" ht="13.8">
      <c r="A5909" s="47" t="s">
        <v>12729</v>
      </c>
      <c r="B5909" s="92" t="s">
        <v>1554</v>
      </c>
      <c r="C5909" s="92" t="s">
        <v>5566</v>
      </c>
      <c r="D5909" s="72" t="str">
        <f>IFERROR(VLOOKUP(A5909,'[1]ST-QA-ZZ5'!$C$5:$M$299,11,0),"Inspection at production line")</f>
        <v>Inspection at production line</v>
      </c>
    </row>
    <row r="5910" spans="1:4" ht="13.8">
      <c r="A5910" s="47" t="s">
        <v>12730</v>
      </c>
      <c r="B5910" s="92" t="s">
        <v>1554</v>
      </c>
      <c r="C5910" s="92" t="s">
        <v>12731</v>
      </c>
      <c r="D5910" s="72" t="str">
        <f>IFERROR(VLOOKUP(A5910,'[1]ST-QA-ZZ5'!$C$5:$M$299,11,0),"Inspection at production line")</f>
        <v>Inspection at production line</v>
      </c>
    </row>
    <row r="5911" spans="1:4" ht="13.8">
      <c r="A5911" s="47" t="s">
        <v>12732</v>
      </c>
      <c r="B5911" s="92" t="s">
        <v>75</v>
      </c>
      <c r="C5911" s="92" t="s">
        <v>5568</v>
      </c>
      <c r="D5911" s="72" t="str">
        <f>IFERROR(VLOOKUP(A5911,'[1]ST-QA-ZZ5'!$C$5:$M$299,11,0),"Inspection at production line")</f>
        <v>Inspection at production line</v>
      </c>
    </row>
    <row r="5912" spans="1:4" ht="13.8">
      <c r="A5912" s="47" t="s">
        <v>12733</v>
      </c>
      <c r="B5912" s="92" t="s">
        <v>1554</v>
      </c>
      <c r="C5912" s="92" t="s">
        <v>12734</v>
      </c>
      <c r="D5912" s="72" t="str">
        <f>IFERROR(VLOOKUP(A5912,'[1]ST-QA-ZZ5'!$C$5:$M$299,11,0),"Inspection at production line")</f>
        <v>Inspection at production line</v>
      </c>
    </row>
    <row r="5913" spans="1:4" ht="13.8">
      <c r="A5913" s="47" t="s">
        <v>12735</v>
      </c>
      <c r="B5913" s="92" t="s">
        <v>1554</v>
      </c>
      <c r="C5913" s="92" t="s">
        <v>5571</v>
      </c>
      <c r="D5913" s="72" t="str">
        <f>IFERROR(VLOOKUP(A5913,'[1]ST-QA-ZZ5'!$C$5:$M$299,11,0),"Inspection at production line")</f>
        <v>Inspection at production line</v>
      </c>
    </row>
    <row r="5914" spans="1:4" ht="13.8">
      <c r="A5914" s="47" t="s">
        <v>12736</v>
      </c>
      <c r="B5914" s="92" t="s">
        <v>104</v>
      </c>
      <c r="C5914" s="92" t="s">
        <v>5573</v>
      </c>
      <c r="D5914" s="72" t="str">
        <f>IFERROR(VLOOKUP(A5914,'[1]ST-QA-ZZ5'!$C$5:$M$299,11,0),"Inspection at production line")</f>
        <v>Inspection at production line</v>
      </c>
    </row>
    <row r="5915" spans="1:4" ht="13.8">
      <c r="A5915" s="47" t="s">
        <v>12737</v>
      </c>
      <c r="B5915" s="92" t="s">
        <v>104</v>
      </c>
      <c r="C5915" s="92" t="s">
        <v>5575</v>
      </c>
      <c r="D5915" s="72" t="str">
        <f>IFERROR(VLOOKUP(A5915,'[1]ST-QA-ZZ5'!$C$5:$M$299,11,0),"Inspection at production line")</f>
        <v>Inspection at production line</v>
      </c>
    </row>
    <row r="5916" spans="1:4" ht="13.8">
      <c r="A5916" s="47" t="s">
        <v>12738</v>
      </c>
      <c r="B5916" s="92" t="s">
        <v>75</v>
      </c>
      <c r="C5916" s="92" t="s">
        <v>12739</v>
      </c>
      <c r="D5916" s="72" t="str">
        <f>IFERROR(VLOOKUP(A5916,'[1]ST-QA-ZZ5'!$C$5:$M$299,11,0),"Inspection at production line")</f>
        <v>Inspection at production line</v>
      </c>
    </row>
    <row r="5917" spans="1:4" ht="13.8">
      <c r="A5917" s="47" t="s">
        <v>12740</v>
      </c>
      <c r="B5917" s="92" t="s">
        <v>953</v>
      </c>
      <c r="C5917" s="92" t="s">
        <v>5111</v>
      </c>
      <c r="D5917" s="72" t="str">
        <f>IFERROR(VLOOKUP(A5917,'[1]ST-QA-ZZ5'!$C$5:$M$299,11,0),"Inspection at production line")</f>
        <v>Inspection at production line</v>
      </c>
    </row>
    <row r="5918" spans="1:4" ht="13.8">
      <c r="A5918" s="47" t="s">
        <v>12741</v>
      </c>
      <c r="B5918" s="92" t="s">
        <v>5281</v>
      </c>
      <c r="C5918" s="92" t="s">
        <v>12742</v>
      </c>
      <c r="D5918" s="72" t="str">
        <f>IFERROR(VLOOKUP(A5918,'[1]ST-QA-ZZ5'!$C$5:$M$299,11,0),"Inspection at production line")</f>
        <v>Inspection at production line</v>
      </c>
    </row>
    <row r="5919" spans="1:4" ht="13.8">
      <c r="A5919" s="47" t="s">
        <v>12743</v>
      </c>
      <c r="B5919" s="92" t="s">
        <v>174</v>
      </c>
      <c r="C5919" s="92" t="s">
        <v>5371</v>
      </c>
      <c r="D5919" s="72" t="str">
        <f>IFERROR(VLOOKUP(A5919,'[1]ST-QA-ZZ5'!$C$5:$M$299,11,0),"Inspection at production line")</f>
        <v>Inspection at production line</v>
      </c>
    </row>
    <row r="5920" spans="1:4" ht="13.8">
      <c r="A5920" s="47" t="s">
        <v>12744</v>
      </c>
      <c r="B5920" s="92" t="s">
        <v>12745</v>
      </c>
      <c r="C5920" s="92" t="s">
        <v>9832</v>
      </c>
      <c r="D5920" s="72" t="str">
        <f>IFERROR(VLOOKUP(A5920,'[1]ST-QA-ZZ5'!$C$5:$M$299,11,0),"Inspection at production line")</f>
        <v>Inspection at production line</v>
      </c>
    </row>
    <row r="5921" spans="1:4" ht="13.8">
      <c r="A5921" s="47" t="s">
        <v>12746</v>
      </c>
      <c r="B5921" s="92" t="s">
        <v>877</v>
      </c>
      <c r="C5921" s="92" t="s">
        <v>12747</v>
      </c>
      <c r="D5921" s="72" t="str">
        <f>IFERROR(VLOOKUP(A5921,'[1]ST-QA-ZZ5'!$C$5:$M$299,11,0),"Inspection at production line")</f>
        <v>Inspection at production line</v>
      </c>
    </row>
    <row r="5922" spans="1:4" ht="13.8">
      <c r="A5922" s="47" t="s">
        <v>12748</v>
      </c>
      <c r="B5922" s="92" t="s">
        <v>12749</v>
      </c>
      <c r="C5922" s="92" t="s">
        <v>12750</v>
      </c>
      <c r="D5922" s="72" t="str">
        <f>IFERROR(VLOOKUP(A5922,'[1]ST-QA-ZZ5'!$C$5:$M$299,11,0),"Inspection at production line")</f>
        <v>Inspection at production line</v>
      </c>
    </row>
    <row r="5923" spans="1:4" ht="13.8">
      <c r="A5923" s="47" t="s">
        <v>12751</v>
      </c>
      <c r="B5923" s="92" t="s">
        <v>2500</v>
      </c>
      <c r="C5923" s="92" t="s">
        <v>2500</v>
      </c>
      <c r="D5923" s="72" t="str">
        <f>IFERROR(VLOOKUP(A5923,'[1]ST-QA-ZZ5'!$C$5:$M$299,11,0),"Inspection at production line")</f>
        <v>Inspection at production line</v>
      </c>
    </row>
    <row r="5924" spans="1:4" ht="13.8">
      <c r="A5924" s="47" t="s">
        <v>12752</v>
      </c>
      <c r="B5924" s="92" t="s">
        <v>6021</v>
      </c>
      <c r="C5924" s="92" t="s">
        <v>8301</v>
      </c>
      <c r="D5924" s="72" t="str">
        <f>IFERROR(VLOOKUP(A5924,'[1]ST-QA-ZZ5'!$C$5:$M$299,11,0),"Inspection at production line")</f>
        <v>Inspection at production line</v>
      </c>
    </row>
    <row r="5925" spans="1:4" ht="13.8">
      <c r="A5925" s="47" t="s">
        <v>12753</v>
      </c>
      <c r="B5925" s="92" t="s">
        <v>12754</v>
      </c>
      <c r="C5925" s="92" t="s">
        <v>12755</v>
      </c>
      <c r="D5925" s="72" t="str">
        <f>IFERROR(VLOOKUP(A5925,'[1]ST-QA-ZZ5'!$C$5:$M$299,11,0),"Inspection at production line")</f>
        <v>Inspection at production line</v>
      </c>
    </row>
    <row r="5926" spans="1:4" ht="13.8">
      <c r="A5926" s="47" t="s">
        <v>12756</v>
      </c>
      <c r="B5926" s="92" t="s">
        <v>12757</v>
      </c>
      <c r="C5926" s="92" t="s">
        <v>12758</v>
      </c>
      <c r="D5926" s="72" t="str">
        <f>IFERROR(VLOOKUP(A5926,'[1]ST-QA-ZZ5'!$C$5:$M$299,11,0),"Inspection at production line")</f>
        <v>Inspection at production line</v>
      </c>
    </row>
    <row r="5927" spans="1:4" ht="13.8">
      <c r="A5927" s="47" t="s">
        <v>12759</v>
      </c>
      <c r="B5927" s="92" t="s">
        <v>12760</v>
      </c>
      <c r="C5927" s="92" t="s">
        <v>12761</v>
      </c>
      <c r="D5927" s="72" t="str">
        <f>IFERROR(VLOOKUP(A5927,'[1]ST-QA-ZZ5'!$C$5:$M$299,11,0),"Inspection at production line")</f>
        <v>Inspection at production line</v>
      </c>
    </row>
    <row r="5928" spans="1:4" ht="13.8">
      <c r="A5928" s="47" t="s">
        <v>12762</v>
      </c>
      <c r="B5928" s="92" t="s">
        <v>12763</v>
      </c>
      <c r="C5928" s="92" t="s">
        <v>12764</v>
      </c>
      <c r="D5928" s="72" t="str">
        <f>IFERROR(VLOOKUP(A5928,'[1]ST-QA-ZZ5'!$C$5:$M$299,11,0),"Inspection at production line")</f>
        <v>Inspection at production line</v>
      </c>
    </row>
    <row r="5929" spans="1:4" ht="13.8">
      <c r="A5929" s="47" t="s">
        <v>12765</v>
      </c>
      <c r="B5929" s="92" t="s">
        <v>1949</v>
      </c>
      <c r="C5929" s="92" t="s">
        <v>1949</v>
      </c>
      <c r="D5929" s="72" t="str">
        <f>IFERROR(VLOOKUP(A5929,'[1]ST-QA-ZZ5'!$C$5:$M$299,11,0),"Inspection at production line")</f>
        <v>Inspection at production line</v>
      </c>
    </row>
    <row r="5930" spans="1:4" ht="13.8">
      <c r="A5930" s="47" t="s">
        <v>12766</v>
      </c>
      <c r="B5930" s="92" t="s">
        <v>12767</v>
      </c>
      <c r="C5930" s="92" t="s">
        <v>5895</v>
      </c>
      <c r="D5930" s="72" t="str">
        <f>IFERROR(VLOOKUP(A5930,'[1]ST-QA-ZZ5'!$C$5:$M$299,11,0),"Inspection at production line")</f>
        <v>Inspection at production line</v>
      </c>
    </row>
    <row r="5931" spans="1:4" ht="13.8">
      <c r="A5931" s="47" t="s">
        <v>12768</v>
      </c>
      <c r="B5931" s="92" t="s">
        <v>2641</v>
      </c>
      <c r="C5931" s="92" t="s">
        <v>2641</v>
      </c>
      <c r="D5931" s="72" t="str">
        <f>IFERROR(VLOOKUP(A5931,'[1]ST-QA-ZZ5'!$C$5:$M$299,11,0),"Inspection at production line")</f>
        <v>Inspection at production line</v>
      </c>
    </row>
    <row r="5932" spans="1:4" ht="13.8">
      <c r="A5932" s="47" t="s">
        <v>12769</v>
      </c>
      <c r="B5932" s="92" t="s">
        <v>12770</v>
      </c>
      <c r="C5932" s="92" t="s">
        <v>5899</v>
      </c>
      <c r="D5932" s="72" t="str">
        <f>IFERROR(VLOOKUP(A5932,'[1]ST-QA-ZZ5'!$C$5:$M$299,11,0),"Inspection at production line")</f>
        <v>Inspection at production line</v>
      </c>
    </row>
    <row r="5933" spans="1:4" ht="13.8">
      <c r="A5933" s="47" t="s">
        <v>12771</v>
      </c>
      <c r="B5933" s="92" t="s">
        <v>12772</v>
      </c>
      <c r="C5933" s="92" t="s">
        <v>12772</v>
      </c>
      <c r="D5933" s="72" t="str">
        <f>IFERROR(VLOOKUP(A5933,'[1]ST-QA-ZZ5'!$C$5:$M$299,11,0),"Inspection at production line")</f>
        <v>Inspection at production line</v>
      </c>
    </row>
    <row r="5934" spans="1:4" ht="13.8">
      <c r="A5934" s="47" t="s">
        <v>12773</v>
      </c>
      <c r="B5934" s="92" t="s">
        <v>6232</v>
      </c>
      <c r="C5934" s="92" t="s">
        <v>6232</v>
      </c>
      <c r="D5934" s="72" t="str">
        <f>IFERROR(VLOOKUP(A5934,'[1]ST-QA-ZZ5'!$C$5:$M$299,11,0),"Inspection at production line")</f>
        <v>Inspection at production line</v>
      </c>
    </row>
    <row r="5935" spans="1:4" ht="13.8">
      <c r="A5935" s="47" t="s">
        <v>12774</v>
      </c>
      <c r="B5935" s="92" t="s">
        <v>311</v>
      </c>
      <c r="C5935" s="92" t="s">
        <v>311</v>
      </c>
      <c r="D5935" s="72" t="str">
        <f>IFERROR(VLOOKUP(A5935,'[1]ST-QA-ZZ5'!$C$5:$M$299,11,0),"Inspection at production line")</f>
        <v>Inspection at production line</v>
      </c>
    </row>
    <row r="5936" spans="1:4" ht="13.8">
      <c r="A5936" s="47" t="s">
        <v>12775</v>
      </c>
      <c r="B5936" s="92" t="s">
        <v>12776</v>
      </c>
      <c r="C5936" s="92" t="s">
        <v>12776</v>
      </c>
      <c r="D5936" s="72" t="str">
        <f>IFERROR(VLOOKUP(A5936,'[1]ST-QA-ZZ5'!$C$5:$M$299,11,0),"Inspection at production line")</f>
        <v>Inspection at production line</v>
      </c>
    </row>
    <row r="5937" spans="1:4" ht="13.8">
      <c r="A5937" s="47" t="s">
        <v>12777</v>
      </c>
      <c r="B5937" s="92" t="s">
        <v>6186</v>
      </c>
      <c r="C5937" s="92" t="s">
        <v>6186</v>
      </c>
      <c r="D5937" s="72" t="str">
        <f>IFERROR(VLOOKUP(A5937,'[1]ST-QA-ZZ5'!$C$5:$M$299,11,0),"Inspection at production line")</f>
        <v>Inspection at production line</v>
      </c>
    </row>
    <row r="5938" spans="1:4" ht="13.8">
      <c r="A5938" s="47" t="s">
        <v>12778</v>
      </c>
      <c r="B5938" s="92" t="s">
        <v>12779</v>
      </c>
      <c r="C5938" s="92" t="s">
        <v>12779</v>
      </c>
      <c r="D5938" s="72" t="str">
        <f>IFERROR(VLOOKUP(A5938,'[1]ST-QA-ZZ5'!$C$5:$M$299,11,0),"Inspection at production line")</f>
        <v>Inspection at production line</v>
      </c>
    </row>
    <row r="5939" spans="1:4" ht="13.8">
      <c r="A5939" s="47" t="s">
        <v>12780</v>
      </c>
      <c r="B5939" s="92" t="s">
        <v>5795</v>
      </c>
      <c r="C5939" s="92" t="s">
        <v>5795</v>
      </c>
      <c r="D5939" s="72" t="str">
        <f>IFERROR(VLOOKUP(A5939,'[1]ST-QA-ZZ5'!$C$5:$M$299,11,0),"Inspection at production line")</f>
        <v>Inspection at production line</v>
      </c>
    </row>
    <row r="5940" spans="1:4" ht="13.8">
      <c r="A5940" s="47" t="s">
        <v>12781</v>
      </c>
      <c r="B5940" s="92" t="s">
        <v>12782</v>
      </c>
      <c r="C5940" s="92" t="s">
        <v>12782</v>
      </c>
      <c r="D5940" s="72" t="str">
        <f>IFERROR(VLOOKUP(A5940,'[1]ST-QA-ZZ5'!$C$5:$M$299,11,0),"Inspection at production line")</f>
        <v>Inspection at production line</v>
      </c>
    </row>
    <row r="5941" spans="1:4" ht="13.8">
      <c r="A5941" s="47" t="s">
        <v>12783</v>
      </c>
      <c r="B5941" s="92" t="s">
        <v>12784</v>
      </c>
      <c r="C5941" s="92" t="s">
        <v>12785</v>
      </c>
      <c r="D5941" s="72" t="str">
        <f>IFERROR(VLOOKUP(A5941,'[1]ST-QA-ZZ5'!$C$5:$M$299,11,0),"Inspection at production line")</f>
        <v>Inspection at production line</v>
      </c>
    </row>
    <row r="5942" spans="1:4" ht="13.8">
      <c r="A5942" s="47" t="s">
        <v>12786</v>
      </c>
      <c r="B5942" s="92" t="s">
        <v>1775</v>
      </c>
      <c r="C5942" s="92" t="s">
        <v>1775</v>
      </c>
      <c r="D5942" s="72" t="str">
        <f>IFERROR(VLOOKUP(A5942,'[1]ST-QA-ZZ5'!$C$5:$M$299,11,0),"Inspection at production line")</f>
        <v>Inspection at production line</v>
      </c>
    </row>
    <row r="5943" spans="1:4" ht="13.8">
      <c r="A5943" s="47" t="s">
        <v>12787</v>
      </c>
      <c r="B5943" s="92" t="s">
        <v>12788</v>
      </c>
      <c r="C5943" s="92" t="s">
        <v>12788</v>
      </c>
      <c r="D5943" s="72" t="str">
        <f>IFERROR(VLOOKUP(A5943,'[1]ST-QA-ZZ5'!$C$5:$M$299,11,0),"Inspection at production line")</f>
        <v>Inspection at production line</v>
      </c>
    </row>
    <row r="5944" spans="1:4" ht="13.8">
      <c r="A5944" s="47" t="s">
        <v>12789</v>
      </c>
      <c r="B5944" s="92" t="s">
        <v>7526</v>
      </c>
      <c r="C5944" s="92" t="s">
        <v>7526</v>
      </c>
      <c r="D5944" s="72" t="str">
        <f>IFERROR(VLOOKUP(A5944,'[1]ST-QA-ZZ5'!$C$5:$M$299,11,0),"Inspection at production line")</f>
        <v>Inspection at production line</v>
      </c>
    </row>
    <row r="5945" spans="1:4" ht="13.8">
      <c r="A5945" s="47" t="s">
        <v>12790</v>
      </c>
      <c r="B5945" s="92" t="s">
        <v>5839</v>
      </c>
      <c r="C5945" s="92" t="s">
        <v>5839</v>
      </c>
      <c r="D5945" s="72" t="str">
        <f>IFERROR(VLOOKUP(A5945,'[1]ST-QA-ZZ5'!$C$5:$M$299,11,0),"Inspection at production line")</f>
        <v>Inspection at production line</v>
      </c>
    </row>
    <row r="5946" spans="1:4" ht="13.8">
      <c r="A5946" s="47" t="s">
        <v>12791</v>
      </c>
      <c r="B5946" s="92" t="s">
        <v>12792</v>
      </c>
      <c r="C5946" s="92" t="s">
        <v>12792</v>
      </c>
      <c r="D5946" s="72" t="str">
        <f>IFERROR(VLOOKUP(A5946,'[1]ST-QA-ZZ5'!$C$5:$M$299,11,0),"Inspection at production line")</f>
        <v>Inspection at production line</v>
      </c>
    </row>
    <row r="5947" spans="1:4" ht="13.8">
      <c r="A5947" s="47" t="s">
        <v>12793</v>
      </c>
      <c r="B5947" s="92" t="s">
        <v>5795</v>
      </c>
      <c r="C5947" s="92" t="s">
        <v>5795</v>
      </c>
      <c r="D5947" s="72" t="str">
        <f>IFERROR(VLOOKUP(A5947,'[1]ST-QA-ZZ5'!$C$5:$M$299,11,0),"Inspection at production line")</f>
        <v>Inspection at production line</v>
      </c>
    </row>
    <row r="5948" spans="1:4" ht="13.8">
      <c r="A5948" s="47" t="s">
        <v>12794</v>
      </c>
      <c r="B5948" s="92" t="s">
        <v>7528</v>
      </c>
      <c r="C5948" s="92" t="s">
        <v>7528</v>
      </c>
      <c r="D5948" s="72" t="str">
        <f>IFERROR(VLOOKUP(A5948,'[1]ST-QA-ZZ5'!$C$5:$M$299,11,0),"Inspection at production line")</f>
        <v>Inspection at production line</v>
      </c>
    </row>
    <row r="5949" spans="1:4" ht="13.8">
      <c r="A5949" s="47" t="s">
        <v>12795</v>
      </c>
      <c r="B5949" s="92" t="s">
        <v>12796</v>
      </c>
      <c r="C5949" s="92" t="s">
        <v>12796</v>
      </c>
      <c r="D5949" s="72" t="str">
        <f>IFERROR(VLOOKUP(A5949,'[1]ST-QA-ZZ5'!$C$5:$M$299,11,0),"Inspection at production line")</f>
        <v>Inspection at production line</v>
      </c>
    </row>
    <row r="5950" spans="1:4" ht="13.8">
      <c r="A5950" s="47" t="s">
        <v>12797</v>
      </c>
      <c r="B5950" s="92" t="s">
        <v>5796</v>
      </c>
      <c r="C5950" s="92" t="s">
        <v>5796</v>
      </c>
      <c r="D5950" s="72" t="str">
        <f>IFERROR(VLOOKUP(A5950,'[1]ST-QA-ZZ5'!$C$5:$M$299,11,0),"Inspection at production line")</f>
        <v>Inspection at production line</v>
      </c>
    </row>
    <row r="5951" spans="1:4" ht="13.8">
      <c r="A5951" s="47" t="s">
        <v>12798</v>
      </c>
      <c r="B5951" s="92" t="s">
        <v>7530</v>
      </c>
      <c r="C5951" s="92" t="s">
        <v>7530</v>
      </c>
      <c r="D5951" s="72" t="str">
        <f>IFERROR(VLOOKUP(A5951,'[1]ST-QA-ZZ5'!$C$5:$M$299,11,0),"Inspection at production line")</f>
        <v>Inspection at production line</v>
      </c>
    </row>
    <row r="5952" spans="1:4" ht="13.8">
      <c r="A5952" s="47" t="s">
        <v>12799</v>
      </c>
      <c r="B5952" s="92" t="s">
        <v>12800</v>
      </c>
      <c r="C5952" s="92" t="s">
        <v>12800</v>
      </c>
      <c r="D5952" s="72" t="str">
        <f>IFERROR(VLOOKUP(A5952,'[1]ST-QA-ZZ5'!$C$5:$M$299,11,0),"Inspection at production line")</f>
        <v>Inspection at production line</v>
      </c>
    </row>
    <row r="5953" spans="1:4" ht="13.8">
      <c r="A5953" s="47" t="s">
        <v>12801</v>
      </c>
      <c r="B5953" s="92" t="s">
        <v>5798</v>
      </c>
      <c r="C5953" s="92" t="s">
        <v>5798</v>
      </c>
      <c r="D5953" s="72" t="str">
        <f>IFERROR(VLOOKUP(A5953,'[1]ST-QA-ZZ5'!$C$5:$M$299,11,0),"Inspection at production line")</f>
        <v>Inspection at production line</v>
      </c>
    </row>
    <row r="5954" spans="1:4" ht="13.8">
      <c r="A5954" s="47" t="s">
        <v>12802</v>
      </c>
      <c r="B5954" s="92" t="s">
        <v>12803</v>
      </c>
      <c r="C5954" s="92" t="s">
        <v>12803</v>
      </c>
      <c r="D5954" s="72" t="str">
        <f>IFERROR(VLOOKUP(A5954,'[1]ST-QA-ZZ5'!$C$5:$M$299,11,0),"Inspection at production line")</f>
        <v>Inspection at production line</v>
      </c>
    </row>
    <row r="5955" spans="1:4" ht="13.8">
      <c r="A5955" s="47" t="s">
        <v>12804</v>
      </c>
      <c r="B5955" s="92" t="s">
        <v>12805</v>
      </c>
      <c r="C5955" s="92" t="s">
        <v>12805</v>
      </c>
      <c r="D5955" s="72" t="str">
        <f>IFERROR(VLOOKUP(A5955,'[1]ST-QA-ZZ5'!$C$5:$M$299,11,0),"Inspection at production line")</f>
        <v>Inspection at production line</v>
      </c>
    </row>
    <row r="5956" spans="1:4" ht="13.8">
      <c r="A5956" s="47" t="s">
        <v>12806</v>
      </c>
      <c r="B5956" s="92" t="s">
        <v>1813</v>
      </c>
      <c r="C5956" s="92" t="s">
        <v>1813</v>
      </c>
      <c r="D5956" s="72" t="str">
        <f>IFERROR(VLOOKUP(A5956,'[1]ST-QA-ZZ5'!$C$5:$M$299,11,0),"Inspection at production line")</f>
        <v>Inspection at production line</v>
      </c>
    </row>
    <row r="5957" spans="1:4" ht="13.8">
      <c r="A5957" s="47" t="s">
        <v>12807</v>
      </c>
      <c r="B5957" s="92" t="s">
        <v>7535</v>
      </c>
      <c r="C5957" s="92" t="s">
        <v>7535</v>
      </c>
      <c r="D5957" s="72" t="str">
        <f>IFERROR(VLOOKUP(A5957,'[1]ST-QA-ZZ5'!$C$5:$M$299,11,0),"Inspection at production line")</f>
        <v>Inspection at production line</v>
      </c>
    </row>
    <row r="5958" spans="1:4" ht="13.8">
      <c r="A5958" s="47" t="s">
        <v>12808</v>
      </c>
      <c r="B5958" s="92" t="s">
        <v>12809</v>
      </c>
      <c r="C5958" s="92" t="s">
        <v>12809</v>
      </c>
      <c r="D5958" s="72" t="str">
        <f>IFERROR(VLOOKUP(A5958,'[1]ST-QA-ZZ5'!$C$5:$M$299,11,0),"Inspection at production line")</f>
        <v>Inspection at production line</v>
      </c>
    </row>
    <row r="5959" spans="1:4" ht="13.8">
      <c r="A5959" s="47" t="s">
        <v>12810</v>
      </c>
      <c r="B5959" s="92" t="s">
        <v>5799</v>
      </c>
      <c r="C5959" s="92" t="s">
        <v>5799</v>
      </c>
      <c r="D5959" s="72" t="str">
        <f>IFERROR(VLOOKUP(A5959,'[1]ST-QA-ZZ5'!$C$5:$M$299,11,0),"Inspection at production line")</f>
        <v>Inspection at production line</v>
      </c>
    </row>
    <row r="5960" spans="1:4" ht="13.8">
      <c r="A5960" s="47" t="s">
        <v>12811</v>
      </c>
      <c r="B5960" s="92" t="s">
        <v>7537</v>
      </c>
      <c r="C5960" s="92" t="s">
        <v>7537</v>
      </c>
      <c r="D5960" s="72" t="str">
        <f>IFERROR(VLOOKUP(A5960,'[1]ST-QA-ZZ5'!$C$5:$M$299,11,0),"Inspection at production line")</f>
        <v>Inspection at production line</v>
      </c>
    </row>
    <row r="5961" spans="1:4" ht="13.8">
      <c r="A5961" s="47" t="s">
        <v>12812</v>
      </c>
      <c r="B5961" s="92" t="s">
        <v>12813</v>
      </c>
      <c r="C5961" s="92" t="s">
        <v>12813</v>
      </c>
      <c r="D5961" s="72" t="str">
        <f>IFERROR(VLOOKUP(A5961,'[1]ST-QA-ZZ5'!$C$5:$M$299,11,0),"Inspection at production line")</f>
        <v>Inspection at production line</v>
      </c>
    </row>
    <row r="5962" spans="1:4" ht="13.8">
      <c r="A5962" s="47" t="s">
        <v>12814</v>
      </c>
      <c r="B5962" s="92" t="s">
        <v>5800</v>
      </c>
      <c r="C5962" s="92" t="s">
        <v>5800</v>
      </c>
      <c r="D5962" s="72" t="str">
        <f>IFERROR(VLOOKUP(A5962,'[1]ST-QA-ZZ5'!$C$5:$M$299,11,0),"Inspection at production line")</f>
        <v>Inspection at production line</v>
      </c>
    </row>
    <row r="5963" spans="1:4" ht="13.8">
      <c r="A5963" s="47" t="s">
        <v>12815</v>
      </c>
      <c r="B5963" s="92" t="s">
        <v>7539</v>
      </c>
      <c r="C5963" s="92" t="s">
        <v>7539</v>
      </c>
      <c r="D5963" s="72" t="str">
        <f>IFERROR(VLOOKUP(A5963,'[1]ST-QA-ZZ5'!$C$5:$M$299,11,0),"Inspection at production line")</f>
        <v>Inspection at production line</v>
      </c>
    </row>
    <row r="5964" spans="1:4" ht="13.8">
      <c r="A5964" s="47" t="s">
        <v>12816</v>
      </c>
      <c r="B5964" s="92" t="s">
        <v>12817</v>
      </c>
      <c r="C5964" s="94" t="s">
        <v>12817</v>
      </c>
      <c r="D5964" s="72" t="str">
        <f>IFERROR(VLOOKUP(A5964,'[1]ST-QA-ZZ5'!$C$5:$M$299,11,0),"Inspection at production line")</f>
        <v>Inspection at production line</v>
      </c>
    </row>
    <row r="5965" spans="1:4" ht="13.8">
      <c r="A5965" s="47" t="s">
        <v>12818</v>
      </c>
      <c r="B5965" s="92" t="s">
        <v>5801</v>
      </c>
      <c r="C5965" s="92" t="s">
        <v>5801</v>
      </c>
      <c r="D5965" s="72" t="str">
        <f>IFERROR(VLOOKUP(A5965,'[1]ST-QA-ZZ5'!$C$5:$M$299,11,0),"Inspection at production line")</f>
        <v>Inspection at production line</v>
      </c>
    </row>
    <row r="5966" spans="1:4" ht="13.8">
      <c r="A5966" s="47" t="s">
        <v>12819</v>
      </c>
      <c r="B5966" s="92" t="s">
        <v>7544</v>
      </c>
      <c r="C5966" s="94" t="s">
        <v>7544</v>
      </c>
      <c r="D5966" s="72" t="str">
        <f>IFERROR(VLOOKUP(A5966,'[1]ST-QA-ZZ5'!$C$5:$M$299,11,0),"Inspection at production line")</f>
        <v>Inspection at production line</v>
      </c>
    </row>
    <row r="5967" spans="1:4" ht="13.8">
      <c r="A5967" s="47" t="s">
        <v>12820</v>
      </c>
      <c r="B5967" s="92" t="s">
        <v>5802</v>
      </c>
      <c r="C5967" s="92" t="s">
        <v>5802</v>
      </c>
      <c r="D5967" s="72" t="str">
        <f>IFERROR(VLOOKUP(A5967,'[1]ST-QA-ZZ5'!$C$5:$M$299,11,0),"Inspection at production line")</f>
        <v>Inspection at production line</v>
      </c>
    </row>
    <row r="5968" spans="1:4" ht="13.8">
      <c r="A5968" s="47" t="s">
        <v>12821</v>
      </c>
      <c r="B5968" s="92" t="s">
        <v>5803</v>
      </c>
      <c r="C5968" s="94" t="s">
        <v>5803</v>
      </c>
      <c r="D5968" s="72" t="str">
        <f>IFERROR(VLOOKUP(A5968,'[1]ST-QA-ZZ5'!$C$5:$M$299,11,0),"Inspection at production line")</f>
        <v>Inspection at production line</v>
      </c>
    </row>
    <row r="5969" spans="1:4" ht="13.8">
      <c r="A5969" s="47" t="s">
        <v>12822</v>
      </c>
      <c r="B5969" s="92" t="s">
        <v>5804</v>
      </c>
      <c r="C5969" s="92" t="s">
        <v>5804</v>
      </c>
      <c r="D5969" s="72" t="str">
        <f>IFERROR(VLOOKUP(A5969,'[1]ST-QA-ZZ5'!$C$5:$M$299,11,0),"Inspection at production line")</f>
        <v>Inspection at production line</v>
      </c>
    </row>
    <row r="5970" spans="1:4" ht="13.8">
      <c r="A5970" s="47" t="s">
        <v>12823</v>
      </c>
      <c r="B5970" s="92" t="s">
        <v>5806</v>
      </c>
      <c r="C5970" s="94" t="s">
        <v>5806</v>
      </c>
      <c r="D5970" s="72" t="str">
        <f>IFERROR(VLOOKUP(A5970,'[1]ST-QA-ZZ5'!$C$5:$M$299,11,0),"Inspection at production line")</f>
        <v>Inspection at production line</v>
      </c>
    </row>
    <row r="5971" spans="1:4" ht="13.8">
      <c r="A5971" s="47" t="s">
        <v>12824</v>
      </c>
      <c r="B5971" s="92" t="s">
        <v>5807</v>
      </c>
      <c r="C5971" s="94" t="s">
        <v>5807</v>
      </c>
      <c r="D5971" s="72" t="str">
        <f>IFERROR(VLOOKUP(A5971,'[1]ST-QA-ZZ5'!$C$5:$M$299,11,0),"Inspection at production line")</f>
        <v>Inspection at production line</v>
      </c>
    </row>
    <row r="5972" spans="1:4" ht="13.8">
      <c r="A5972" s="47" t="s">
        <v>12825</v>
      </c>
      <c r="B5972" s="92" t="s">
        <v>5808</v>
      </c>
      <c r="C5972" s="92" t="s">
        <v>5808</v>
      </c>
      <c r="D5972" s="72" t="str">
        <f>IFERROR(VLOOKUP(A5972,'[1]ST-QA-ZZ5'!$C$5:$M$299,11,0),"Inspection at production line")</f>
        <v>Inspection at production line</v>
      </c>
    </row>
    <row r="5973" spans="1:4" ht="13.8">
      <c r="A5973" s="47" t="s">
        <v>12826</v>
      </c>
      <c r="B5973" s="92" t="s">
        <v>5809</v>
      </c>
      <c r="C5973" s="92" t="s">
        <v>5809</v>
      </c>
      <c r="D5973" s="72" t="str">
        <f>IFERROR(VLOOKUP(A5973,'[1]ST-QA-ZZ5'!$C$5:$M$299,11,0),"Inspection at production line")</f>
        <v>Inspection at production line</v>
      </c>
    </row>
    <row r="5974" spans="1:4" ht="13.8">
      <c r="A5974" s="47" t="s">
        <v>12827</v>
      </c>
      <c r="B5974" s="92" t="s">
        <v>206</v>
      </c>
      <c r="C5974" s="92" t="s">
        <v>206</v>
      </c>
      <c r="D5974" s="72" t="str">
        <f>IFERROR(VLOOKUP(A5974,'[1]ST-QA-ZZ5'!$C$5:$M$299,11,0),"Inspection at production line")</f>
        <v>Inspection at production line</v>
      </c>
    </row>
    <row r="5975" spans="1:4" ht="13.8">
      <c r="A5975" s="47" t="s">
        <v>12828</v>
      </c>
      <c r="B5975" s="92" t="s">
        <v>1876</v>
      </c>
      <c r="C5975" s="94" t="s">
        <v>1876</v>
      </c>
      <c r="D5975" s="72" t="str">
        <f>IFERROR(VLOOKUP(A5975,'[1]ST-QA-ZZ5'!$C$5:$M$299,11,0),"Inspection at production line")</f>
        <v>Inspection at production line</v>
      </c>
    </row>
    <row r="5976" spans="1:4" ht="13.8">
      <c r="A5976" s="47" t="s">
        <v>12829</v>
      </c>
      <c r="B5976" s="92" t="s">
        <v>5810</v>
      </c>
      <c r="C5976" s="94" t="s">
        <v>5810</v>
      </c>
      <c r="D5976" s="72" t="str">
        <f>IFERROR(VLOOKUP(A5976,'[1]ST-QA-ZZ5'!$C$5:$M$299,11,0),"Inspection at production line")</f>
        <v>Inspection at production line</v>
      </c>
    </row>
    <row r="5977" spans="1:4" ht="13.8">
      <c r="A5977" s="47" t="s">
        <v>12830</v>
      </c>
      <c r="B5977" s="92" t="s">
        <v>5811</v>
      </c>
      <c r="C5977" s="92" t="s">
        <v>5811</v>
      </c>
      <c r="D5977" s="72" t="str">
        <f>IFERROR(VLOOKUP(A5977,'[1]ST-QA-ZZ5'!$C$5:$M$299,11,0),"Inspection at production line")</f>
        <v>Inspection at production line</v>
      </c>
    </row>
    <row r="5978" spans="1:4" ht="13.8">
      <c r="A5978" s="47" t="s">
        <v>12831</v>
      </c>
      <c r="B5978" s="92" t="s">
        <v>5812</v>
      </c>
      <c r="C5978" s="94" t="s">
        <v>5812</v>
      </c>
      <c r="D5978" s="72" t="str">
        <f>IFERROR(VLOOKUP(A5978,'[1]ST-QA-ZZ5'!$C$5:$M$299,11,0),"Inspection at production line")</f>
        <v>Inspection at production line</v>
      </c>
    </row>
    <row r="5979" spans="1:4" ht="13.8">
      <c r="A5979" s="47" t="s">
        <v>12832</v>
      </c>
      <c r="B5979" s="92" t="s">
        <v>1907</v>
      </c>
      <c r="C5979" s="92" t="s">
        <v>1907</v>
      </c>
      <c r="D5979" s="72" t="str">
        <f>IFERROR(VLOOKUP(A5979,'[1]ST-QA-ZZ5'!$C$5:$M$299,11,0),"Inspection at production line")</f>
        <v>Inspection at production line</v>
      </c>
    </row>
    <row r="5980" spans="1:4" ht="13.8">
      <c r="A5980" s="47" t="s">
        <v>12833</v>
      </c>
      <c r="B5980" s="92" t="s">
        <v>5814</v>
      </c>
      <c r="C5980" s="92" t="s">
        <v>5814</v>
      </c>
      <c r="D5980" s="72" t="str">
        <f>IFERROR(VLOOKUP(A5980,'[1]ST-QA-ZZ5'!$C$5:$M$299,11,0),"Inspection at production line")</f>
        <v>Inspection at production line</v>
      </c>
    </row>
    <row r="5981" spans="1:4" ht="13.8">
      <c r="A5981" s="47" t="s">
        <v>12834</v>
      </c>
      <c r="B5981" s="92" t="s">
        <v>1917</v>
      </c>
      <c r="C5981" s="92" t="s">
        <v>1917</v>
      </c>
      <c r="D5981" s="72" t="str">
        <f>IFERROR(VLOOKUP(A5981,'[1]ST-QA-ZZ5'!$C$5:$M$299,11,0),"Inspection at production line")</f>
        <v>Inspection at production line</v>
      </c>
    </row>
    <row r="5982" spans="1:4" ht="13.8">
      <c r="A5982" s="47" t="s">
        <v>12835</v>
      </c>
      <c r="B5982" s="92" t="s">
        <v>5815</v>
      </c>
      <c r="C5982" s="92" t="s">
        <v>5815</v>
      </c>
      <c r="D5982" s="72" t="str">
        <f>IFERROR(VLOOKUP(A5982,'[1]ST-QA-ZZ5'!$C$5:$M$299,11,0),"Inspection at production line")</f>
        <v>Inspection at production line</v>
      </c>
    </row>
    <row r="5983" spans="1:4" ht="13.8">
      <c r="A5983" s="47" t="s">
        <v>12836</v>
      </c>
      <c r="B5983" s="92" t="s">
        <v>5816</v>
      </c>
      <c r="C5983" s="92" t="s">
        <v>5816</v>
      </c>
      <c r="D5983" s="72" t="str">
        <f>IFERROR(VLOOKUP(A5983,'[1]ST-QA-ZZ5'!$C$5:$M$299,11,0),"Inspection at production line")</f>
        <v>Inspection at production line</v>
      </c>
    </row>
    <row r="5984" spans="1:4" ht="13.8">
      <c r="A5984" s="47" t="s">
        <v>12837</v>
      </c>
      <c r="B5984" s="92" t="s">
        <v>1929</v>
      </c>
      <c r="C5984" s="92" t="s">
        <v>1929</v>
      </c>
      <c r="D5984" s="72" t="str">
        <f>IFERROR(VLOOKUP(A5984,'[1]ST-QA-ZZ5'!$C$5:$M$299,11,0),"Inspection at production line")</f>
        <v>Inspection at production line</v>
      </c>
    </row>
    <row r="5985" spans="1:4" ht="13.8">
      <c r="A5985" s="47" t="s">
        <v>12838</v>
      </c>
      <c r="B5985" s="92" t="s">
        <v>1934</v>
      </c>
      <c r="C5985" s="92" t="s">
        <v>1934</v>
      </c>
      <c r="D5985" s="72" t="str">
        <f>IFERROR(VLOOKUP(A5985,'[1]ST-QA-ZZ5'!$C$5:$M$299,11,0),"Inspection at production line")</f>
        <v>Inspection at production line</v>
      </c>
    </row>
    <row r="5986" spans="1:4" ht="13.8">
      <c r="A5986" s="47" t="s">
        <v>12839</v>
      </c>
      <c r="B5986" s="92" t="s">
        <v>1949</v>
      </c>
      <c r="C5986" s="92" t="s">
        <v>1949</v>
      </c>
      <c r="D5986" s="72" t="str">
        <f>IFERROR(VLOOKUP(A5986,'[1]ST-QA-ZZ5'!$C$5:$M$299,11,0),"Inspection at production line")</f>
        <v>Inspection at production line</v>
      </c>
    </row>
    <row r="5987" spans="1:4" ht="13.8">
      <c r="A5987" s="47" t="s">
        <v>12840</v>
      </c>
      <c r="B5987" s="92" t="s">
        <v>2037</v>
      </c>
      <c r="C5987" s="92" t="s">
        <v>2037</v>
      </c>
      <c r="D5987" s="72" t="str">
        <f>IFERROR(VLOOKUP(A5987,'[1]ST-QA-ZZ5'!$C$5:$M$299,11,0),"Inspection at production line")</f>
        <v>Inspection at production line</v>
      </c>
    </row>
    <row r="5988" spans="1:4" ht="13.8">
      <c r="A5988" s="47" t="s">
        <v>12841</v>
      </c>
      <c r="B5988" s="92" t="s">
        <v>5833</v>
      </c>
      <c r="C5988" s="94" t="s">
        <v>5833</v>
      </c>
      <c r="D5988" s="72" t="str">
        <f>IFERROR(VLOOKUP(A5988,'[1]ST-QA-ZZ5'!$C$5:$M$299,11,0),"Inspection at production line")</f>
        <v>Inspection at production line</v>
      </c>
    </row>
    <row r="5989" spans="1:4" ht="13.8">
      <c r="A5989" s="47" t="s">
        <v>12842</v>
      </c>
      <c r="B5989" s="92" t="s">
        <v>5835</v>
      </c>
      <c r="C5989" s="92" t="s">
        <v>5835</v>
      </c>
      <c r="D5989" s="72" t="str">
        <f>IFERROR(VLOOKUP(A5989,'[1]ST-QA-ZZ5'!$C$5:$M$299,11,0),"Inspection at production line")</f>
        <v>Inspection at production line</v>
      </c>
    </row>
    <row r="5990" spans="1:4" ht="13.8">
      <c r="A5990" s="47" t="s">
        <v>12843</v>
      </c>
      <c r="B5990" s="92" t="s">
        <v>7546</v>
      </c>
      <c r="C5990" s="92" t="s">
        <v>7546</v>
      </c>
      <c r="D5990" s="72" t="str">
        <f>IFERROR(VLOOKUP(A5990,'[1]ST-QA-ZZ5'!$C$5:$M$299,11,0),"Inspection at production line")</f>
        <v>Inspection at production line</v>
      </c>
    </row>
    <row r="5991" spans="1:4" ht="13.8">
      <c r="A5991" s="47" t="s">
        <v>12844</v>
      </c>
      <c r="B5991" s="92" t="s">
        <v>7886</v>
      </c>
      <c r="C5991" s="92" t="s">
        <v>7886</v>
      </c>
      <c r="D5991" s="72" t="str">
        <f>IFERROR(VLOOKUP(A5991,'[1]ST-QA-ZZ5'!$C$5:$M$299,11,0),"Inspection at production line")</f>
        <v>Inspection at production line</v>
      </c>
    </row>
    <row r="5992" spans="1:4" ht="13.8">
      <c r="A5992" s="47" t="s">
        <v>12845</v>
      </c>
      <c r="B5992" s="92" t="s">
        <v>6249</v>
      </c>
      <c r="C5992" s="92" t="s">
        <v>6249</v>
      </c>
      <c r="D5992" s="72" t="str">
        <f>IFERROR(VLOOKUP(A5992,'[1]ST-QA-ZZ5'!$C$5:$M$299,11,0),"Inspection at production line")</f>
        <v>Inspection at production line</v>
      </c>
    </row>
    <row r="5993" spans="1:4" ht="13.8">
      <c r="A5993" s="47" t="s">
        <v>12846</v>
      </c>
      <c r="B5993" s="92" t="s">
        <v>12847</v>
      </c>
      <c r="C5993" s="92" t="s">
        <v>12848</v>
      </c>
      <c r="D5993" s="72" t="str">
        <f>IFERROR(VLOOKUP(A5993,'[1]ST-QA-ZZ5'!$C$5:$M$299,11,0),"Inspection at production line")</f>
        <v>Inspection at production line</v>
      </c>
    </row>
    <row r="5994" spans="1:4" ht="13.8">
      <c r="A5994" s="47" t="s">
        <v>12849</v>
      </c>
      <c r="B5994" s="92" t="s">
        <v>1167</v>
      </c>
      <c r="C5994" s="92" t="s">
        <v>12850</v>
      </c>
      <c r="D5994" s="72" t="str">
        <f>IFERROR(VLOOKUP(A5994,'[1]ST-QA-ZZ5'!$C$5:$M$299,11,0),"Inspection at production line")</f>
        <v>Inspection at production line</v>
      </c>
    </row>
    <row r="5995" spans="1:4" ht="13.8">
      <c r="A5995" s="47" t="s">
        <v>12851</v>
      </c>
      <c r="B5995" s="92" t="s">
        <v>818</v>
      </c>
      <c r="C5995" s="92" t="s">
        <v>12852</v>
      </c>
      <c r="D5995" s="72" t="str">
        <f>IFERROR(VLOOKUP(A5995,'[1]ST-QA-ZZ5'!$C$5:$M$299,11,0),"Inspection at production line")</f>
        <v>Inspection at production line</v>
      </c>
    </row>
    <row r="5996" spans="1:4" ht="13.8">
      <c r="A5996" s="47" t="s">
        <v>12853</v>
      </c>
      <c r="B5996" s="92" t="s">
        <v>994</v>
      </c>
      <c r="C5996" s="92" t="s">
        <v>5446</v>
      </c>
      <c r="D5996" s="72" t="str">
        <f>IFERROR(VLOOKUP(A5996,'[1]ST-QA-ZZ5'!$C$5:$M$299,11,0),"Inspection at production line")</f>
        <v>Inspection at production line</v>
      </c>
    </row>
    <row r="5997" spans="1:4" ht="13.8">
      <c r="A5997" s="47" t="s">
        <v>12854</v>
      </c>
      <c r="B5997" s="92" t="s">
        <v>813</v>
      </c>
      <c r="C5997" s="92" t="s">
        <v>12855</v>
      </c>
      <c r="D5997" s="72" t="str">
        <f>IFERROR(VLOOKUP(A5997,'[1]ST-QA-ZZ5'!$C$5:$M$299,11,0),"Inspection at production line")</f>
        <v>Inspection at production line</v>
      </c>
    </row>
    <row r="5998" spans="1:4" ht="13.8">
      <c r="A5998" s="47" t="s">
        <v>12856</v>
      </c>
      <c r="B5998" s="92" t="s">
        <v>8450</v>
      </c>
      <c r="C5998" s="92" t="s">
        <v>12857</v>
      </c>
      <c r="D5998" s="72" t="str">
        <f>IFERROR(VLOOKUP(A5998,'[1]ST-QA-ZZ5'!$C$5:$M$299,11,0),"Inspection at production line")</f>
        <v>Inspection at production line</v>
      </c>
    </row>
    <row r="5999" spans="1:4" ht="13.8">
      <c r="A5999" s="47" t="s">
        <v>12858</v>
      </c>
      <c r="B5999" s="92" t="s">
        <v>1016</v>
      </c>
      <c r="C5999" s="92" t="s">
        <v>12859</v>
      </c>
      <c r="D5999" s="72" t="str">
        <f>IFERROR(VLOOKUP(A5999,'[1]ST-QA-ZZ5'!$C$5:$M$299,11,0),"Inspection at production line")</f>
        <v>Inspection at production line</v>
      </c>
    </row>
    <row r="6000" spans="1:4" ht="13.8">
      <c r="A6000" s="47" t="s">
        <v>12860</v>
      </c>
      <c r="B6000" s="92" t="s">
        <v>9958</v>
      </c>
      <c r="C6000" s="92" t="s">
        <v>12861</v>
      </c>
      <c r="D6000" s="72" t="str">
        <f>IFERROR(VLOOKUP(A6000,'[1]ST-QA-ZZ5'!$C$5:$M$299,11,0),"Inspection at production line")</f>
        <v>Inspection at production line</v>
      </c>
    </row>
    <row r="6001" spans="1:4" ht="13.8">
      <c r="A6001" s="47" t="s">
        <v>12862</v>
      </c>
      <c r="B6001" s="92" t="s">
        <v>814</v>
      </c>
      <c r="C6001" s="94" t="s">
        <v>12863</v>
      </c>
      <c r="D6001" s="72" t="str">
        <f>IFERROR(VLOOKUP(A6001,'[1]ST-QA-ZZ5'!$C$5:$M$299,11,0),"Inspection at production line")</f>
        <v>Inspection at production line</v>
      </c>
    </row>
    <row r="6002" spans="1:4" ht="13.8">
      <c r="A6002" s="47" t="s">
        <v>12864</v>
      </c>
      <c r="B6002" s="92" t="s">
        <v>4772</v>
      </c>
      <c r="C6002" s="92" t="s">
        <v>12865</v>
      </c>
      <c r="D6002" s="72" t="str">
        <f>IFERROR(VLOOKUP(A6002,'[1]ST-QA-ZZ5'!$C$5:$M$299,11,0),"Inspection at production line")</f>
        <v>Inspection at production line</v>
      </c>
    </row>
    <row r="6003" spans="1:4" ht="13.8">
      <c r="A6003" s="47" t="s">
        <v>12866</v>
      </c>
      <c r="B6003" s="92" t="s">
        <v>3002</v>
      </c>
      <c r="C6003" s="94" t="s">
        <v>12867</v>
      </c>
      <c r="D6003" s="72" t="str">
        <f>IFERROR(VLOOKUP(A6003,'[1]ST-QA-ZZ5'!$C$5:$M$299,11,0),"Inspection at production line")</f>
        <v>Inspection at production line</v>
      </c>
    </row>
    <row r="6004" spans="1:4" ht="13.8">
      <c r="A6004" s="47" t="s">
        <v>12868</v>
      </c>
      <c r="B6004" s="92" t="s">
        <v>3002</v>
      </c>
      <c r="C6004" s="94" t="s">
        <v>12869</v>
      </c>
      <c r="D6004" s="72" t="str">
        <f>IFERROR(VLOOKUP(A6004,'[1]ST-QA-ZZ5'!$C$5:$M$299,11,0),"Inspection at production line")</f>
        <v>Inspection at production line</v>
      </c>
    </row>
    <row r="6005" spans="1:4" ht="13.8">
      <c r="A6005" s="47" t="s">
        <v>12870</v>
      </c>
      <c r="B6005" s="92" t="s">
        <v>68</v>
      </c>
      <c r="C6005" s="92" t="s">
        <v>12871</v>
      </c>
      <c r="D6005" s="72" t="str">
        <f>IFERROR(VLOOKUP(A6005,'[1]ST-QA-ZZ5'!$C$5:$M$299,11,0),"Inspection at production line")</f>
        <v>Inspection at production line</v>
      </c>
    </row>
    <row r="6006" spans="1:4" ht="13.8">
      <c r="A6006" s="47" t="s">
        <v>5445</v>
      </c>
      <c r="B6006" s="92" t="s">
        <v>362</v>
      </c>
      <c r="C6006" s="92" t="s">
        <v>5446</v>
      </c>
      <c r="D6006" s="72" t="str">
        <f>IFERROR(VLOOKUP(A6006,'[1]ST-QA-ZZ5'!$C$5:$M$299,11,0),"Inspection at production line")</f>
        <v>Inspection at production line</v>
      </c>
    </row>
    <row r="6007" spans="1:4" ht="13.8">
      <c r="A6007" s="47" t="s">
        <v>12872</v>
      </c>
      <c r="B6007" s="92" t="s">
        <v>2489</v>
      </c>
      <c r="C6007" s="92" t="s">
        <v>12873</v>
      </c>
      <c r="D6007" s="72" t="str">
        <f>IFERROR(VLOOKUP(A6007,'[1]ST-QA-ZZ5'!$C$5:$M$299,11,0),"Inspection at production line")</f>
        <v>Inspection at production line</v>
      </c>
    </row>
    <row r="6008" spans="1:4" ht="13.8">
      <c r="A6008" s="47" t="s">
        <v>2647</v>
      </c>
      <c r="B6008" s="92" t="s">
        <v>2489</v>
      </c>
      <c r="C6008" s="92" t="s">
        <v>12874</v>
      </c>
      <c r="D6008" s="72" t="str">
        <f>IFERROR(VLOOKUP(A6008,'[1]ST-QA-ZZ5'!$C$5:$M$299,11,0),"Inspection at production line")</f>
        <v>Inspection at production line</v>
      </c>
    </row>
    <row r="6009" spans="1:4" ht="13.8">
      <c r="A6009" s="47" t="s">
        <v>5294</v>
      </c>
      <c r="B6009" s="92" t="s">
        <v>2489</v>
      </c>
      <c r="C6009" s="92" t="s">
        <v>5295</v>
      </c>
      <c r="D6009" s="72" t="str">
        <f>IFERROR(VLOOKUP(A6009,'[1]ST-QA-ZZ5'!$C$5:$M$299,11,0),"Inspection at production line")</f>
        <v>Inspection at production line</v>
      </c>
    </row>
    <row r="6010" spans="1:4" ht="13.8">
      <c r="A6010" s="47" t="s">
        <v>12875</v>
      </c>
      <c r="B6010" s="92" t="s">
        <v>2489</v>
      </c>
      <c r="C6010" s="92" t="s">
        <v>12873</v>
      </c>
      <c r="D6010" s="72" t="str">
        <f>IFERROR(VLOOKUP(A6010,'[1]ST-QA-ZZ5'!$C$5:$M$299,11,0),"Inspection at production line")</f>
        <v>Inspection at production line</v>
      </c>
    </row>
    <row r="6011" spans="1:4" ht="13.8">
      <c r="A6011" s="47" t="s">
        <v>12876</v>
      </c>
      <c r="B6011" s="92" t="s">
        <v>2489</v>
      </c>
      <c r="C6011" s="92" t="s">
        <v>12877</v>
      </c>
      <c r="D6011" s="72" t="str">
        <f>IFERROR(VLOOKUP(A6011,'[1]ST-QA-ZZ5'!$C$5:$M$299,11,0),"Inspection at production line")</f>
        <v>Inspection at production line</v>
      </c>
    </row>
    <row r="6012" spans="1:4" ht="13.8">
      <c r="A6012" s="47" t="s">
        <v>12878</v>
      </c>
      <c r="B6012" s="92" t="s">
        <v>2489</v>
      </c>
      <c r="C6012" s="92" t="s">
        <v>12879</v>
      </c>
      <c r="D6012" s="72" t="str">
        <f>IFERROR(VLOOKUP(A6012,'[1]ST-QA-ZZ5'!$C$5:$M$299,11,0),"Inspection at production line")</f>
        <v>Inspection at production line</v>
      </c>
    </row>
    <row r="6013" spans="1:4" ht="13.8">
      <c r="A6013" s="47" t="s">
        <v>260</v>
      </c>
      <c r="B6013" s="92" t="s">
        <v>206</v>
      </c>
      <c r="C6013" s="92" t="s">
        <v>207</v>
      </c>
      <c r="D6013" s="72" t="str">
        <f>IFERROR(VLOOKUP(A6013,'[1]ST-QA-ZZ5'!$C$5:$M$299,11,0),"Inspection at production line")</f>
        <v>Appearance check 100%</v>
      </c>
    </row>
    <row r="6014" spans="1:4" ht="13.8">
      <c r="A6014" s="47" t="s">
        <v>12880</v>
      </c>
      <c r="B6014" s="92" t="s">
        <v>2489</v>
      </c>
      <c r="C6014" s="92" t="s">
        <v>12873</v>
      </c>
      <c r="D6014" s="72" t="str">
        <f>IFERROR(VLOOKUP(A6014,'[1]ST-QA-ZZ5'!$C$5:$M$299,11,0),"Inspection at production line")</f>
        <v>Inspection at production line</v>
      </c>
    </row>
    <row r="6015" spans="1:4" ht="13.8">
      <c r="A6015" s="47" t="s">
        <v>12881</v>
      </c>
      <c r="B6015" s="92" t="s">
        <v>2489</v>
      </c>
      <c r="C6015" s="92" t="s">
        <v>12882</v>
      </c>
      <c r="D6015" s="72" t="str">
        <f>IFERROR(VLOOKUP(A6015,'[1]ST-QA-ZZ5'!$C$5:$M$299,11,0),"Inspection at production line")</f>
        <v>Inspection at production line</v>
      </c>
    </row>
    <row r="6016" spans="1:4" ht="13.8">
      <c r="A6016" s="47" t="s">
        <v>12883</v>
      </c>
      <c r="B6016" s="92" t="s">
        <v>2489</v>
      </c>
      <c r="C6016" s="92" t="s">
        <v>12884</v>
      </c>
      <c r="D6016" s="72" t="str">
        <f>IFERROR(VLOOKUP(A6016,'[1]ST-QA-ZZ5'!$C$5:$M$299,11,0),"Inspection at production line")</f>
        <v>Inspection at production line</v>
      </c>
    </row>
    <row r="6017" spans="1:4" ht="13.8">
      <c r="A6017" s="47" t="s">
        <v>12885</v>
      </c>
      <c r="B6017" s="92" t="s">
        <v>2489</v>
      </c>
      <c r="C6017" s="92" t="s">
        <v>12886</v>
      </c>
      <c r="D6017" s="72" t="str">
        <f>IFERROR(VLOOKUP(A6017,'[1]ST-QA-ZZ5'!$C$5:$M$299,11,0),"Inspection at production line")</f>
        <v>Inspection at production line</v>
      </c>
    </row>
    <row r="6018" spans="1:4" ht="13.8">
      <c r="A6018" s="47" t="s">
        <v>5043</v>
      </c>
      <c r="B6018" s="92" t="s">
        <v>1592</v>
      </c>
      <c r="C6018" s="92" t="s">
        <v>5044</v>
      </c>
      <c r="D6018" s="72" t="str">
        <f>IFERROR(VLOOKUP(A6018,'[1]ST-QA-ZZ5'!$C$5:$M$299,11,0),"Inspection at production line")</f>
        <v>Inspection at production line</v>
      </c>
    </row>
    <row r="6019" spans="1:4" ht="13.8">
      <c r="A6019" s="47" t="s">
        <v>12887</v>
      </c>
      <c r="B6019" s="92" t="s">
        <v>2489</v>
      </c>
      <c r="C6019" s="92" t="s">
        <v>12888</v>
      </c>
      <c r="D6019" s="72" t="str">
        <f>IFERROR(VLOOKUP(A6019,'[1]ST-QA-ZZ5'!$C$5:$M$299,11,0),"Inspection at production line")</f>
        <v>Inspection at production line</v>
      </c>
    </row>
    <row r="6020" spans="1:4" ht="13.8">
      <c r="A6020" s="47" t="s">
        <v>5084</v>
      </c>
      <c r="B6020" s="92" t="s">
        <v>2489</v>
      </c>
      <c r="C6020" s="92" t="s">
        <v>5085</v>
      </c>
      <c r="D6020" s="72" t="str">
        <f>IFERROR(VLOOKUP(A6020,'[1]ST-QA-ZZ5'!$C$5:$M$299,11,0),"Inspection at production line")</f>
        <v>Inspection at production line</v>
      </c>
    </row>
    <row r="6021" spans="1:4" ht="13.8">
      <c r="A6021" s="47" t="s">
        <v>12889</v>
      </c>
      <c r="B6021" s="92" t="s">
        <v>1592</v>
      </c>
      <c r="C6021" s="94" t="s">
        <v>12890</v>
      </c>
      <c r="D6021" s="72" t="str">
        <f>IFERROR(VLOOKUP(A6021,'[1]ST-QA-ZZ5'!$C$5:$M$299,11,0),"Inspection at production line")</f>
        <v>Inspection at production line</v>
      </c>
    </row>
    <row r="6022" spans="1:4" ht="13.8">
      <c r="A6022" s="47" t="s">
        <v>5045</v>
      </c>
      <c r="B6022" s="92" t="s">
        <v>2629</v>
      </c>
      <c r="C6022" s="92" t="s">
        <v>5046</v>
      </c>
      <c r="D6022" s="72" t="str">
        <f>IFERROR(VLOOKUP(A6022,'[1]ST-QA-ZZ5'!$C$5:$M$299,11,0),"Inspection at production line")</f>
        <v>Inspection at production line</v>
      </c>
    </row>
    <row r="6023" spans="1:4" ht="13.8">
      <c r="A6023" s="47" t="s">
        <v>12891</v>
      </c>
      <c r="B6023" s="92" t="s">
        <v>2489</v>
      </c>
      <c r="C6023" s="92" t="s">
        <v>12892</v>
      </c>
      <c r="D6023" s="72" t="str">
        <f>IFERROR(VLOOKUP(A6023,'[1]ST-QA-ZZ5'!$C$5:$M$299,11,0),"Inspection at production line")</f>
        <v>Inspection at production line</v>
      </c>
    </row>
    <row r="6024" spans="1:4" ht="13.8">
      <c r="A6024" s="47" t="s">
        <v>12893</v>
      </c>
      <c r="B6024" s="92" t="s">
        <v>2629</v>
      </c>
      <c r="C6024" s="92" t="s">
        <v>12894</v>
      </c>
      <c r="D6024" s="72" t="str">
        <f>IFERROR(VLOOKUP(A6024,'[1]ST-QA-ZZ5'!$C$5:$M$299,11,0),"Inspection at production line")</f>
        <v>Inspection at production line</v>
      </c>
    </row>
    <row r="6025" spans="1:4" ht="13.8">
      <c r="A6025" s="47" t="s">
        <v>12895</v>
      </c>
      <c r="B6025" s="92" t="s">
        <v>2489</v>
      </c>
      <c r="C6025" s="92" t="s">
        <v>12896</v>
      </c>
      <c r="D6025" s="72" t="str">
        <f>IFERROR(VLOOKUP(A6025,'[1]ST-QA-ZZ5'!$C$5:$M$299,11,0),"Inspection at production line")</f>
        <v>Inspection at production line</v>
      </c>
    </row>
    <row r="6026" spans="1:4" ht="27.6">
      <c r="A6026" s="47" t="s">
        <v>12897</v>
      </c>
      <c r="B6026" s="92" t="s">
        <v>2489</v>
      </c>
      <c r="C6026" s="94" t="s">
        <v>12898</v>
      </c>
      <c r="D6026" s="72" t="str">
        <f>IFERROR(VLOOKUP(A6026,'[1]ST-QA-ZZ5'!$C$5:$M$299,11,0),"Inspection at production line")</f>
        <v>Inspection at production line</v>
      </c>
    </row>
    <row r="6027" spans="1:4" ht="13.8">
      <c r="A6027" s="47" t="s">
        <v>12899</v>
      </c>
      <c r="B6027" s="92" t="s">
        <v>1592</v>
      </c>
      <c r="C6027" s="92" t="s">
        <v>12900</v>
      </c>
      <c r="D6027" s="72" t="str">
        <f>IFERROR(VLOOKUP(A6027,'[1]ST-QA-ZZ5'!$C$5:$M$299,11,0),"Inspection at production line")</f>
        <v>Inspection at production line</v>
      </c>
    </row>
    <row r="6028" spans="1:4" ht="13.8">
      <c r="A6028" s="47" t="s">
        <v>12901</v>
      </c>
      <c r="B6028" s="92" t="s">
        <v>1592</v>
      </c>
      <c r="C6028" s="92" t="s">
        <v>12902</v>
      </c>
      <c r="D6028" s="72" t="str">
        <f>IFERROR(VLOOKUP(A6028,'[1]ST-QA-ZZ5'!$C$5:$M$299,11,0),"Inspection at production line")</f>
        <v>Inspection at production line</v>
      </c>
    </row>
    <row r="6029" spans="1:4" ht="13.8">
      <c r="A6029" s="47" t="s">
        <v>12903</v>
      </c>
      <c r="B6029" s="92" t="s">
        <v>1592</v>
      </c>
      <c r="C6029" s="92" t="s">
        <v>12904</v>
      </c>
      <c r="D6029" s="72" t="str">
        <f>IFERROR(VLOOKUP(A6029,'[1]ST-QA-ZZ5'!$C$5:$M$299,11,0),"Inspection at production line")</f>
        <v>Inspection at production line</v>
      </c>
    </row>
    <row r="6030" spans="1:4" ht="13.8">
      <c r="A6030" s="47" t="s">
        <v>5337</v>
      </c>
      <c r="B6030" s="92" t="s">
        <v>206</v>
      </c>
      <c r="C6030" s="92" t="s">
        <v>207</v>
      </c>
      <c r="D6030" s="72" t="str">
        <f>IFERROR(VLOOKUP(A6030,'[1]ST-QA-ZZ5'!$C$5:$M$299,11,0),"Inspection at production line")</f>
        <v>Inspection at production line</v>
      </c>
    </row>
    <row r="6031" spans="1:4" ht="13.8">
      <c r="A6031" s="47" t="s">
        <v>205</v>
      </c>
      <c r="B6031" s="92" t="s">
        <v>206</v>
      </c>
      <c r="C6031" s="92" t="s">
        <v>207</v>
      </c>
      <c r="D6031" s="72" t="str">
        <f>IFERROR(VLOOKUP(A6031,'[1]ST-QA-ZZ5'!$C$5:$M$299,11,0),"Inspection at production line")</f>
        <v>Inspection at production line</v>
      </c>
    </row>
    <row r="6032" spans="1:4" ht="13.8">
      <c r="A6032" s="47" t="s">
        <v>12905</v>
      </c>
      <c r="B6032" s="92" t="s">
        <v>1273</v>
      </c>
      <c r="C6032" s="92" t="s">
        <v>12906</v>
      </c>
      <c r="D6032" s="72" t="str">
        <f>IFERROR(VLOOKUP(A6032,'[1]ST-QA-ZZ5'!$C$5:$M$299,11,0),"Inspection at production line")</f>
        <v>Inspection at production line</v>
      </c>
    </row>
    <row r="6033" spans="1:4" ht="13.8">
      <c r="A6033" s="47" t="s">
        <v>12907</v>
      </c>
      <c r="B6033" s="92" t="s">
        <v>555</v>
      </c>
      <c r="C6033" s="92" t="s">
        <v>12908</v>
      </c>
      <c r="D6033" s="72" t="str">
        <f>IFERROR(VLOOKUP(A6033,'[1]ST-QA-ZZ5'!$C$5:$M$299,11,0),"Inspection at production line")</f>
        <v>Inspection at production line</v>
      </c>
    </row>
    <row r="6034" spans="1:4" ht="13.8">
      <c r="A6034" s="47" t="s">
        <v>12909</v>
      </c>
      <c r="B6034" s="92" t="s">
        <v>555</v>
      </c>
      <c r="C6034" s="92" t="s">
        <v>12910</v>
      </c>
      <c r="D6034" s="72" t="str">
        <f>IFERROR(VLOOKUP(A6034,'[1]ST-QA-ZZ5'!$C$5:$M$299,11,0),"Inspection at production line")</f>
        <v>Inspection at production line</v>
      </c>
    </row>
    <row r="6035" spans="1:4" ht="13.8">
      <c r="A6035" s="47" t="s">
        <v>12911</v>
      </c>
      <c r="B6035" s="92" t="s">
        <v>857</v>
      </c>
      <c r="C6035" s="92" t="s">
        <v>12912</v>
      </c>
      <c r="D6035" s="72" t="str">
        <f>IFERROR(VLOOKUP(A6035,'[1]ST-QA-ZZ5'!$C$5:$M$299,11,0),"Inspection at production line")</f>
        <v>Inspection at production line</v>
      </c>
    </row>
    <row r="6036" spans="1:4" ht="13.8">
      <c r="A6036" s="47" t="s">
        <v>12913</v>
      </c>
      <c r="B6036" s="92" t="s">
        <v>857</v>
      </c>
      <c r="C6036" s="92" t="s">
        <v>12914</v>
      </c>
      <c r="D6036" s="72" t="str">
        <f>IFERROR(VLOOKUP(A6036,'[1]ST-QA-ZZ5'!$C$5:$M$299,11,0),"Inspection at production line")</f>
        <v>Inspection at production line</v>
      </c>
    </row>
    <row r="6037" spans="1:4" ht="13.8">
      <c r="A6037" s="47" t="s">
        <v>12915</v>
      </c>
      <c r="B6037" s="92" t="s">
        <v>555</v>
      </c>
      <c r="C6037" s="92" t="s">
        <v>12916</v>
      </c>
      <c r="D6037" s="72" t="str">
        <f>IFERROR(VLOOKUP(A6037,'[1]ST-QA-ZZ5'!$C$5:$M$299,11,0),"Inspection at production line")</f>
        <v>Inspection at production line</v>
      </c>
    </row>
    <row r="6038" spans="1:4" ht="13.8">
      <c r="A6038" s="47" t="s">
        <v>12917</v>
      </c>
      <c r="B6038" s="92" t="s">
        <v>310</v>
      </c>
      <c r="C6038" s="92" t="s">
        <v>12918</v>
      </c>
      <c r="D6038" s="72" t="str">
        <f>IFERROR(VLOOKUP(A6038,'[1]ST-QA-ZZ5'!$C$5:$M$299,11,0),"Inspection at production line")</f>
        <v>Inspection at production line</v>
      </c>
    </row>
    <row r="6039" spans="1:4" ht="13.8">
      <c r="A6039" s="47" t="s">
        <v>12919</v>
      </c>
      <c r="B6039" s="92" t="s">
        <v>2190</v>
      </c>
      <c r="C6039" s="92" t="s">
        <v>12920</v>
      </c>
      <c r="D6039" s="72" t="str">
        <f>IFERROR(VLOOKUP(A6039,'[1]ST-QA-ZZ5'!$C$5:$M$299,11,0),"Inspection at production line")</f>
        <v>Inspection at production line</v>
      </c>
    </row>
    <row r="6040" spans="1:4" ht="13.8">
      <c r="A6040" s="47" t="s">
        <v>12921</v>
      </c>
      <c r="B6040" s="92" t="s">
        <v>57</v>
      </c>
      <c r="C6040" s="92" t="s">
        <v>12922</v>
      </c>
      <c r="D6040" s="72" t="str">
        <f>IFERROR(VLOOKUP(A6040,'[1]ST-QA-ZZ5'!$C$5:$M$299,11,0),"Inspection at production line")</f>
        <v>Inspection at production line</v>
      </c>
    </row>
    <row r="6041" spans="1:4" ht="13.8">
      <c r="A6041" s="47" t="s">
        <v>12923</v>
      </c>
      <c r="B6041" s="92" t="s">
        <v>7914</v>
      </c>
      <c r="C6041" s="92" t="s">
        <v>7990</v>
      </c>
      <c r="D6041" s="72" t="str">
        <f>IFERROR(VLOOKUP(A6041,'[1]ST-QA-ZZ5'!$C$5:$M$299,11,0),"Inspection at production line")</f>
        <v>Inspection at production line</v>
      </c>
    </row>
    <row r="6042" spans="1:4" ht="13.8">
      <c r="A6042" s="47" t="s">
        <v>12924</v>
      </c>
      <c r="B6042" s="92" t="s">
        <v>2137</v>
      </c>
      <c r="C6042" s="92" t="s">
        <v>12925</v>
      </c>
      <c r="D6042" s="72" t="str">
        <f>IFERROR(VLOOKUP(A6042,'[1]ST-QA-ZZ5'!$C$5:$M$299,11,0),"Inspection at production line")</f>
        <v>Inspection at production line</v>
      </c>
    </row>
    <row r="6043" spans="1:4" ht="13.8">
      <c r="A6043" s="47" t="s">
        <v>12926</v>
      </c>
      <c r="B6043" s="92" t="s">
        <v>7898</v>
      </c>
      <c r="C6043" s="92" t="s">
        <v>7978</v>
      </c>
      <c r="D6043" s="72" t="str">
        <f>IFERROR(VLOOKUP(A6043,'[1]ST-QA-ZZ5'!$C$5:$M$299,11,0),"Inspection at production line")</f>
        <v>Inspection at production line</v>
      </c>
    </row>
    <row r="6044" spans="1:4" ht="13.8">
      <c r="A6044" s="47" t="s">
        <v>12927</v>
      </c>
      <c r="B6044" s="92" t="s">
        <v>119</v>
      </c>
      <c r="C6044" s="92" t="s">
        <v>12928</v>
      </c>
      <c r="D6044" s="72" t="str">
        <f>IFERROR(VLOOKUP(A6044,'[1]ST-QA-ZZ5'!$C$5:$M$299,11,0),"Inspection at production line")</f>
        <v>Inspection at production line</v>
      </c>
    </row>
    <row r="6045" spans="1:4" ht="13.8">
      <c r="A6045" s="47" t="s">
        <v>12929</v>
      </c>
      <c r="B6045" s="92" t="s">
        <v>119</v>
      </c>
      <c r="C6045" s="92" t="s">
        <v>12930</v>
      </c>
      <c r="D6045" s="72" t="str">
        <f>IFERROR(VLOOKUP(A6045,'[1]ST-QA-ZZ5'!$C$5:$M$299,11,0),"Inspection at production line")</f>
        <v>Inspection at production line</v>
      </c>
    </row>
    <row r="6046" spans="1:4" ht="13.8">
      <c r="A6046" s="47" t="s">
        <v>12931</v>
      </c>
      <c r="B6046" s="92" t="s">
        <v>1592</v>
      </c>
      <c r="C6046" s="92" t="s">
        <v>12932</v>
      </c>
      <c r="D6046" s="72" t="str">
        <f>IFERROR(VLOOKUP(A6046,'[1]ST-QA-ZZ5'!$C$5:$M$299,11,0),"Inspection at production line")</f>
        <v>Inspection at production line</v>
      </c>
    </row>
    <row r="6047" spans="1:4" ht="13.8">
      <c r="A6047" s="47" t="s">
        <v>12933</v>
      </c>
      <c r="B6047" s="92" t="s">
        <v>119</v>
      </c>
      <c r="C6047" s="92" t="s">
        <v>12934</v>
      </c>
      <c r="D6047" s="72" t="str">
        <f>IFERROR(VLOOKUP(A6047,'[1]ST-QA-ZZ5'!$C$5:$M$299,11,0),"Inspection at production line")</f>
        <v>Inspection at production line</v>
      </c>
    </row>
    <row r="6048" spans="1:4" ht="13.8">
      <c r="A6048" s="47" t="s">
        <v>12935</v>
      </c>
      <c r="B6048" s="92" t="s">
        <v>1994</v>
      </c>
      <c r="C6048" s="92" t="s">
        <v>12936</v>
      </c>
      <c r="D6048" s="72" t="str">
        <f>IFERROR(VLOOKUP(A6048,'[1]ST-QA-ZZ5'!$C$5:$M$299,11,0),"Inspection at production line")</f>
        <v>Inspection at production line</v>
      </c>
    </row>
    <row r="6049" spans="1:4" ht="13.8">
      <c r="A6049" s="47" t="s">
        <v>12937</v>
      </c>
      <c r="B6049" s="92" t="s">
        <v>1523</v>
      </c>
      <c r="C6049" s="92" t="s">
        <v>12938</v>
      </c>
      <c r="D6049" s="72" t="str">
        <f>IFERROR(VLOOKUP(A6049,'[1]ST-QA-ZZ5'!$C$5:$M$299,11,0),"Inspection at production line")</f>
        <v>Inspection at production line</v>
      </c>
    </row>
    <row r="6050" spans="1:4" ht="13.8">
      <c r="A6050" s="47" t="s">
        <v>12939</v>
      </c>
      <c r="B6050" s="92" t="s">
        <v>1554</v>
      </c>
      <c r="C6050" s="92" t="s">
        <v>12940</v>
      </c>
      <c r="D6050" s="72" t="str">
        <f>IFERROR(VLOOKUP(A6050,'[1]ST-QA-ZZ5'!$C$5:$M$299,11,0),"Inspection at production line")</f>
        <v>Inspection at production line</v>
      </c>
    </row>
    <row r="6051" spans="1:4" ht="13.8">
      <c r="A6051" s="47" t="s">
        <v>12941</v>
      </c>
      <c r="B6051" s="92" t="s">
        <v>1523</v>
      </c>
      <c r="C6051" s="92" t="s">
        <v>12942</v>
      </c>
      <c r="D6051" s="72" t="str">
        <f>IFERROR(VLOOKUP(A6051,'[1]ST-QA-ZZ5'!$C$5:$M$299,11,0),"Inspection at production line")</f>
        <v>Inspection at production line</v>
      </c>
    </row>
    <row r="6052" spans="1:4" ht="13.8">
      <c r="A6052" s="47" t="s">
        <v>12943</v>
      </c>
      <c r="B6052" s="92" t="s">
        <v>1916</v>
      </c>
      <c r="C6052" s="92" t="s">
        <v>12944</v>
      </c>
      <c r="D6052" s="72" t="str">
        <f>IFERROR(VLOOKUP(A6052,'[1]ST-QA-ZZ5'!$C$5:$M$299,11,0),"Inspection at production line")</f>
        <v>Inspection at production line</v>
      </c>
    </row>
    <row r="6053" spans="1:4" ht="13.8">
      <c r="A6053" s="47" t="s">
        <v>12945</v>
      </c>
      <c r="B6053" s="92" t="s">
        <v>1523</v>
      </c>
      <c r="C6053" s="92" t="s">
        <v>12946</v>
      </c>
      <c r="D6053" s="72" t="str">
        <f>IFERROR(VLOOKUP(A6053,'[1]ST-QA-ZZ5'!$C$5:$M$299,11,0),"Inspection at production line")</f>
        <v>Inspection at production line</v>
      </c>
    </row>
    <row r="6054" spans="1:4" ht="13.8">
      <c r="A6054" s="47" t="s">
        <v>12947</v>
      </c>
      <c r="B6054" s="92" t="s">
        <v>75</v>
      </c>
      <c r="C6054" s="92" t="s">
        <v>12948</v>
      </c>
      <c r="D6054" s="72" t="str">
        <f>IFERROR(VLOOKUP(A6054,'[1]ST-QA-ZZ5'!$C$5:$M$299,11,0),"Inspection at production line")</f>
        <v>Inspection at production line</v>
      </c>
    </row>
    <row r="6055" spans="1:4" ht="13.8">
      <c r="A6055" s="47" t="s">
        <v>12949</v>
      </c>
      <c r="B6055" s="92" t="s">
        <v>1554</v>
      </c>
      <c r="C6055" s="92" t="s">
        <v>7988</v>
      </c>
      <c r="D6055" s="72" t="str">
        <f>IFERROR(VLOOKUP(A6055,'[1]ST-QA-ZZ5'!$C$5:$M$299,11,0),"Inspection at production line")</f>
        <v>Inspection at production line</v>
      </c>
    </row>
    <row r="6056" spans="1:4" ht="13.8">
      <c r="A6056" s="47" t="s">
        <v>12950</v>
      </c>
      <c r="B6056" s="92" t="s">
        <v>797</v>
      </c>
      <c r="C6056" s="92" t="s">
        <v>12951</v>
      </c>
      <c r="D6056" s="72" t="str">
        <f>IFERROR(VLOOKUP(A6056,'[1]ST-QA-ZZ5'!$C$5:$M$299,11,0),"Inspection at production line")</f>
        <v>Inspection at production line</v>
      </c>
    </row>
    <row r="6057" spans="1:4" ht="13.8">
      <c r="A6057" s="47" t="s">
        <v>12952</v>
      </c>
      <c r="B6057" s="92" t="s">
        <v>7846</v>
      </c>
      <c r="C6057" s="92" t="s">
        <v>12953</v>
      </c>
      <c r="D6057" s="72" t="str">
        <f>IFERROR(VLOOKUP(A6057,'[1]ST-QA-ZZ5'!$C$5:$M$299,11,0),"Inspection at production line")</f>
        <v>Inspection at production line</v>
      </c>
    </row>
    <row r="6058" spans="1:4" ht="13.8">
      <c r="A6058" s="47" t="s">
        <v>12954</v>
      </c>
      <c r="B6058" s="92" t="s">
        <v>7846</v>
      </c>
      <c r="C6058" s="92" t="s">
        <v>12955</v>
      </c>
      <c r="D6058" s="72" t="str">
        <f>IFERROR(VLOOKUP(A6058,'[1]ST-QA-ZZ5'!$C$5:$M$299,11,0),"Inspection at production line")</f>
        <v>Inspection at production line</v>
      </c>
    </row>
    <row r="6059" spans="1:4" ht="13.8">
      <c r="A6059" s="47" t="s">
        <v>12956</v>
      </c>
      <c r="B6059" s="92" t="s">
        <v>797</v>
      </c>
      <c r="C6059" s="92" t="s">
        <v>12957</v>
      </c>
      <c r="D6059" s="72" t="str">
        <f>IFERROR(VLOOKUP(A6059,'[1]ST-QA-ZZ5'!$C$5:$M$299,11,0),"Inspection at production line")</f>
        <v>Inspection at production line</v>
      </c>
    </row>
    <row r="6060" spans="1:4" ht="13.8">
      <c r="A6060" s="47" t="s">
        <v>12958</v>
      </c>
      <c r="B6060" s="92" t="s">
        <v>1985</v>
      </c>
      <c r="C6060" s="92" t="s">
        <v>12959</v>
      </c>
      <c r="D6060" s="72" t="str">
        <f>IFERROR(VLOOKUP(A6060,'[1]ST-QA-ZZ5'!$C$5:$M$299,11,0),"Inspection at production line")</f>
        <v>Inspection at production line</v>
      </c>
    </row>
    <row r="6061" spans="1:4" ht="13.8">
      <c r="A6061" s="47" t="s">
        <v>12960</v>
      </c>
      <c r="B6061" s="92" t="s">
        <v>1880</v>
      </c>
      <c r="C6061" s="92" t="s">
        <v>7998</v>
      </c>
      <c r="D6061" s="72" t="str">
        <f>IFERROR(VLOOKUP(A6061,'[1]ST-QA-ZZ5'!$C$5:$M$299,11,0),"Inspection at production line")</f>
        <v>Inspection at production line</v>
      </c>
    </row>
    <row r="6062" spans="1:4" ht="13.8">
      <c r="A6062" s="47" t="s">
        <v>12961</v>
      </c>
      <c r="B6062" s="92" t="s">
        <v>1880</v>
      </c>
      <c r="C6062" s="92" t="s">
        <v>8000</v>
      </c>
      <c r="D6062" s="72" t="str">
        <f>IFERROR(VLOOKUP(A6062,'[1]ST-QA-ZZ5'!$C$5:$M$299,11,0),"Inspection at production line")</f>
        <v>Inspection at production line</v>
      </c>
    </row>
    <row r="6063" spans="1:4" ht="13.8">
      <c r="A6063" s="47" t="s">
        <v>12962</v>
      </c>
      <c r="B6063" s="92" t="s">
        <v>1177</v>
      </c>
      <c r="C6063" s="92" t="s">
        <v>12963</v>
      </c>
      <c r="D6063" s="72" t="str">
        <f>IFERROR(VLOOKUP(A6063,'[1]ST-QA-ZZ5'!$C$5:$M$299,11,0),"Inspection at production line")</f>
        <v>Inspection at production line</v>
      </c>
    </row>
    <row r="6064" spans="1:4" ht="13.8">
      <c r="A6064" s="47" t="s">
        <v>12964</v>
      </c>
      <c r="B6064" s="92" t="s">
        <v>1592</v>
      </c>
      <c r="C6064" s="92" t="s">
        <v>12965</v>
      </c>
      <c r="D6064" s="72" t="str">
        <f>IFERROR(VLOOKUP(A6064,'[1]ST-QA-ZZ5'!$C$5:$M$299,11,0),"Inspection at production line")</f>
        <v>Inspection at production line</v>
      </c>
    </row>
    <row r="6065" spans="1:4" ht="13.8">
      <c r="A6065" s="47" t="s">
        <v>12966</v>
      </c>
      <c r="B6065" s="92" t="s">
        <v>57</v>
      </c>
      <c r="C6065" s="92" t="s">
        <v>12967</v>
      </c>
      <c r="D6065" s="72" t="str">
        <f>IFERROR(VLOOKUP(A6065,'[1]ST-QA-ZZ5'!$C$5:$M$299,11,0),"Inspection at production line")</f>
        <v>Inspection at production line</v>
      </c>
    </row>
    <row r="6066" spans="1:4" ht="13.8">
      <c r="A6066" s="47" t="s">
        <v>12968</v>
      </c>
      <c r="B6066" s="92" t="s">
        <v>57</v>
      </c>
      <c r="C6066" s="92" t="s">
        <v>12969</v>
      </c>
      <c r="D6066" s="72" t="str">
        <f>IFERROR(VLOOKUP(A6066,'[1]ST-QA-ZZ5'!$C$5:$M$299,11,0),"Inspection at production line")</f>
        <v>Inspection at production line</v>
      </c>
    </row>
    <row r="6067" spans="1:4" ht="13.8">
      <c r="A6067" s="47" t="s">
        <v>12970</v>
      </c>
      <c r="B6067" s="92" t="s">
        <v>1985</v>
      </c>
      <c r="C6067" s="92" t="s">
        <v>12971</v>
      </c>
      <c r="D6067" s="72" t="str">
        <f>IFERROR(VLOOKUP(A6067,'[1]ST-QA-ZZ5'!$C$5:$M$299,11,0),"Inspection at production line")</f>
        <v>Inspection at production line</v>
      </c>
    </row>
    <row r="6068" spans="1:4" ht="13.8">
      <c r="A6068" s="47" t="s">
        <v>12972</v>
      </c>
      <c r="B6068" s="92" t="s">
        <v>1985</v>
      </c>
      <c r="C6068" s="92" t="s">
        <v>12973</v>
      </c>
      <c r="D6068" s="72" t="str">
        <f>IFERROR(VLOOKUP(A6068,'[1]ST-QA-ZZ5'!$C$5:$M$299,11,0),"Inspection at production line")</f>
        <v>Inspection at production line</v>
      </c>
    </row>
    <row r="6069" spans="1:4" ht="13.8">
      <c r="A6069" s="47" t="s">
        <v>12974</v>
      </c>
      <c r="B6069" s="92" t="s">
        <v>174</v>
      </c>
      <c r="C6069" s="92" t="s">
        <v>12975</v>
      </c>
      <c r="D6069" s="72" t="str">
        <f>IFERROR(VLOOKUP(A6069,'[1]ST-QA-ZZ5'!$C$5:$M$299,11,0),"Inspection at production line")</f>
        <v>Inspection at production line</v>
      </c>
    </row>
    <row r="6070" spans="1:4" ht="13.8">
      <c r="A6070" s="47" t="s">
        <v>12976</v>
      </c>
      <c r="B6070" s="92" t="s">
        <v>1994</v>
      </c>
      <c r="C6070" s="92" t="s">
        <v>12977</v>
      </c>
      <c r="D6070" s="72" t="str">
        <f>IFERROR(VLOOKUP(A6070,'[1]ST-QA-ZZ5'!$C$5:$M$299,11,0),"Inspection at production line")</f>
        <v>Inspection at production line</v>
      </c>
    </row>
    <row r="6071" spans="1:4" ht="13.8">
      <c r="A6071" s="47" t="s">
        <v>12978</v>
      </c>
      <c r="B6071" s="92" t="s">
        <v>1994</v>
      </c>
      <c r="C6071" s="92" t="s">
        <v>12979</v>
      </c>
      <c r="D6071" s="72" t="str">
        <f>IFERROR(VLOOKUP(A6071,'[1]ST-QA-ZZ5'!$C$5:$M$299,11,0),"Inspection at production line")</f>
        <v>Inspection at production line</v>
      </c>
    </row>
    <row r="6072" spans="1:4" ht="13.8">
      <c r="A6072" s="47" t="s">
        <v>12980</v>
      </c>
      <c r="B6072" s="92" t="s">
        <v>174</v>
      </c>
      <c r="C6072" s="92" t="s">
        <v>12981</v>
      </c>
      <c r="D6072" s="72" t="str">
        <f>IFERROR(VLOOKUP(A6072,'[1]ST-QA-ZZ5'!$C$5:$M$299,11,0),"Inspection at production line")</f>
        <v>Inspection at production line</v>
      </c>
    </row>
    <row r="6073" spans="1:4" ht="13.8">
      <c r="A6073" s="47" t="s">
        <v>12982</v>
      </c>
      <c r="B6073" s="92" t="s">
        <v>1959</v>
      </c>
      <c r="C6073" s="92" t="s">
        <v>12983</v>
      </c>
      <c r="D6073" s="72" t="str">
        <f>IFERROR(VLOOKUP(A6073,'[1]ST-QA-ZZ5'!$C$5:$M$299,11,0),"Inspection at production line")</f>
        <v>Inspection at production line</v>
      </c>
    </row>
    <row r="6074" spans="1:4" ht="13.8">
      <c r="A6074" s="47" t="s">
        <v>12984</v>
      </c>
      <c r="B6074" s="92" t="s">
        <v>1592</v>
      </c>
      <c r="C6074" s="92" t="s">
        <v>12985</v>
      </c>
      <c r="D6074" s="72" t="str">
        <f>IFERROR(VLOOKUP(A6074,'[1]ST-QA-ZZ5'!$C$5:$M$299,11,0),"Inspection at production line")</f>
        <v>Inspection at production line</v>
      </c>
    </row>
    <row r="6075" spans="1:4" ht="13.8">
      <c r="A6075" s="47" t="s">
        <v>12986</v>
      </c>
      <c r="B6075" s="92" t="s">
        <v>1513</v>
      </c>
      <c r="C6075" s="92" t="s">
        <v>12987</v>
      </c>
      <c r="D6075" s="72" t="str">
        <f>IFERROR(VLOOKUP(A6075,'[1]ST-QA-ZZ5'!$C$5:$M$299,11,0),"Inspection at production line")</f>
        <v>Inspection at production line</v>
      </c>
    </row>
    <row r="6076" spans="1:4" ht="13.8">
      <c r="A6076" s="47" t="s">
        <v>12988</v>
      </c>
      <c r="B6076" s="92" t="s">
        <v>1964</v>
      </c>
      <c r="C6076" s="92" t="s">
        <v>12989</v>
      </c>
      <c r="D6076" s="72" t="str">
        <f>IFERROR(VLOOKUP(A6076,'[1]ST-QA-ZZ5'!$C$5:$M$299,11,0),"Inspection at production line")</f>
        <v>Inspection at production line</v>
      </c>
    </row>
    <row r="6077" spans="1:4" ht="13.8">
      <c r="A6077" s="47" t="s">
        <v>12990</v>
      </c>
      <c r="B6077" s="92" t="s">
        <v>7846</v>
      </c>
      <c r="C6077" s="92" t="s">
        <v>12991</v>
      </c>
      <c r="D6077" s="72" t="str">
        <f>IFERROR(VLOOKUP(A6077,'[1]ST-QA-ZZ5'!$C$5:$M$299,11,0),"Inspection at production line")</f>
        <v>Inspection at production line</v>
      </c>
    </row>
    <row r="6078" spans="1:4" ht="13.8">
      <c r="A6078" s="47" t="s">
        <v>12992</v>
      </c>
      <c r="B6078" s="92" t="s">
        <v>5126</v>
      </c>
      <c r="C6078" s="92" t="s">
        <v>12993</v>
      </c>
      <c r="D6078" s="72" t="str">
        <f>IFERROR(VLOOKUP(A6078,'[1]ST-QA-ZZ5'!$C$5:$M$299,11,0),"Inspection at production line")</f>
        <v>Inspection at production line</v>
      </c>
    </row>
    <row r="6079" spans="1:4" ht="13.8">
      <c r="A6079" s="47" t="s">
        <v>12994</v>
      </c>
      <c r="B6079" s="92" t="s">
        <v>2602</v>
      </c>
      <c r="C6079" s="92" t="s">
        <v>12995</v>
      </c>
      <c r="D6079" s="72" t="str">
        <f>IFERROR(VLOOKUP(A6079,'[1]ST-QA-ZZ5'!$C$5:$M$299,11,0),"Inspection at production line")</f>
        <v>Inspection at production line</v>
      </c>
    </row>
    <row r="6080" spans="1:4" ht="13.8">
      <c r="A6080" s="47" t="s">
        <v>12996</v>
      </c>
      <c r="B6080" s="92" t="s">
        <v>119</v>
      </c>
      <c r="C6080" s="92" t="s">
        <v>12997</v>
      </c>
      <c r="D6080" s="72" t="str">
        <f>IFERROR(VLOOKUP(A6080,'[1]ST-QA-ZZ5'!$C$5:$M$299,11,0),"Inspection at production line")</f>
        <v>Inspection at production line</v>
      </c>
    </row>
    <row r="6081" spans="1:4" ht="13.8">
      <c r="A6081" s="47" t="s">
        <v>12998</v>
      </c>
      <c r="B6081" s="92" t="s">
        <v>119</v>
      </c>
      <c r="C6081" s="92" t="s">
        <v>7994</v>
      </c>
      <c r="D6081" s="72" t="str">
        <f>IFERROR(VLOOKUP(A6081,'[1]ST-QA-ZZ5'!$C$5:$M$299,11,0),"Inspection at production line")</f>
        <v>Inspection at production line</v>
      </c>
    </row>
    <row r="6082" spans="1:4" ht="13.8">
      <c r="A6082" s="47" t="s">
        <v>12999</v>
      </c>
      <c r="B6082" s="92" t="s">
        <v>119</v>
      </c>
      <c r="C6082" s="92" t="s">
        <v>7994</v>
      </c>
      <c r="D6082" s="72" t="str">
        <f>IFERROR(VLOOKUP(A6082,'[1]ST-QA-ZZ5'!$C$5:$M$299,11,0),"Inspection at production line")</f>
        <v>Inspection at production line</v>
      </c>
    </row>
    <row r="6083" spans="1:4" ht="13.8">
      <c r="A6083" s="47" t="s">
        <v>13000</v>
      </c>
      <c r="B6083" s="92" t="s">
        <v>818</v>
      </c>
      <c r="C6083" s="92" t="s">
        <v>13001</v>
      </c>
      <c r="D6083" s="72" t="str">
        <f>IFERROR(VLOOKUP(A6083,'[1]ST-QA-ZZ5'!$C$5:$M$299,11,0),"Inspection at production line")</f>
        <v>Inspection at production line</v>
      </c>
    </row>
    <row r="6084" spans="1:4" ht="13.8">
      <c r="A6084" s="47" t="s">
        <v>13002</v>
      </c>
      <c r="B6084" s="92" t="s">
        <v>75</v>
      </c>
      <c r="C6084" s="92" t="s">
        <v>13003</v>
      </c>
      <c r="D6084" s="72" t="str">
        <f>IFERROR(VLOOKUP(A6084,'[1]ST-QA-ZZ5'!$C$5:$M$299,11,0),"Inspection at production line")</f>
        <v>Inspection at production line</v>
      </c>
    </row>
    <row r="6085" spans="1:4" ht="13.8">
      <c r="A6085" s="47" t="s">
        <v>13004</v>
      </c>
      <c r="B6085" s="92" t="s">
        <v>75</v>
      </c>
      <c r="C6085" s="92" t="s">
        <v>13005</v>
      </c>
      <c r="D6085" s="72" t="str">
        <f>IFERROR(VLOOKUP(A6085,'[1]ST-QA-ZZ5'!$C$5:$M$299,11,0),"Inspection at production line")</f>
        <v>Inspection at production line</v>
      </c>
    </row>
    <row r="6086" spans="1:4" ht="13.8">
      <c r="A6086" s="47" t="s">
        <v>13006</v>
      </c>
      <c r="B6086" s="92" t="s">
        <v>75</v>
      </c>
      <c r="C6086" s="92" t="s">
        <v>13007</v>
      </c>
      <c r="D6086" s="72" t="str">
        <f>IFERROR(VLOOKUP(A6086,'[1]ST-QA-ZZ5'!$C$5:$M$299,11,0),"Inspection at production line")</f>
        <v>Inspection at production line</v>
      </c>
    </row>
    <row r="6087" spans="1:4" ht="13.8">
      <c r="A6087" s="47" t="s">
        <v>13008</v>
      </c>
      <c r="B6087" s="92" t="s">
        <v>75</v>
      </c>
      <c r="C6087" s="92" t="s">
        <v>13009</v>
      </c>
      <c r="D6087" s="72" t="str">
        <f>IFERROR(VLOOKUP(A6087,'[1]ST-QA-ZZ5'!$C$5:$M$299,11,0),"Inspection at production line")</f>
        <v>Inspection at production line</v>
      </c>
    </row>
    <row r="6088" spans="1:4" ht="13.8">
      <c r="A6088" s="47" t="s">
        <v>13010</v>
      </c>
      <c r="B6088" s="92" t="s">
        <v>75</v>
      </c>
      <c r="C6088" s="92" t="s">
        <v>13011</v>
      </c>
      <c r="D6088" s="72" t="str">
        <f>IFERROR(VLOOKUP(A6088,'[1]ST-QA-ZZ5'!$C$5:$M$299,11,0),"Inspection at production line")</f>
        <v>Inspection at production line</v>
      </c>
    </row>
    <row r="6089" spans="1:4" ht="13.8">
      <c r="A6089" s="47" t="s">
        <v>13012</v>
      </c>
      <c r="B6089" s="92" t="s">
        <v>75</v>
      </c>
      <c r="C6089" s="92" t="s">
        <v>13013</v>
      </c>
      <c r="D6089" s="72" t="str">
        <f>IFERROR(VLOOKUP(A6089,'[1]ST-QA-ZZ5'!$C$5:$M$299,11,0),"Inspection at production line")</f>
        <v>Inspection at production line</v>
      </c>
    </row>
    <row r="6090" spans="1:4" ht="13.8">
      <c r="A6090" s="47" t="s">
        <v>13014</v>
      </c>
      <c r="B6090" s="92" t="s">
        <v>75</v>
      </c>
      <c r="C6090" s="92" t="s">
        <v>13015</v>
      </c>
      <c r="D6090" s="72" t="str">
        <f>IFERROR(VLOOKUP(A6090,'[1]ST-QA-ZZ5'!$C$5:$M$299,11,0),"Inspection at production line")</f>
        <v>Inspection at production line</v>
      </c>
    </row>
    <row r="6091" spans="1:4" ht="13.8">
      <c r="A6091" s="47" t="s">
        <v>13016</v>
      </c>
      <c r="B6091" s="92" t="s">
        <v>75</v>
      </c>
      <c r="C6091" s="92" t="s">
        <v>13017</v>
      </c>
      <c r="D6091" s="72" t="str">
        <f>IFERROR(VLOOKUP(A6091,'[1]ST-QA-ZZ5'!$C$5:$M$299,11,0),"Inspection at production line")</f>
        <v>Inspection at production line</v>
      </c>
    </row>
    <row r="6092" spans="1:4" ht="13.8">
      <c r="A6092" s="47" t="s">
        <v>13018</v>
      </c>
      <c r="B6092" s="92" t="s">
        <v>75</v>
      </c>
      <c r="C6092" s="92" t="s">
        <v>13019</v>
      </c>
      <c r="D6092" s="72" t="str">
        <f>IFERROR(VLOOKUP(A6092,'[1]ST-QA-ZZ5'!$C$5:$M$299,11,0),"Inspection at production line")</f>
        <v>Inspection at production line</v>
      </c>
    </row>
    <row r="6093" spans="1:4" ht="13.8">
      <c r="A6093" s="47" t="s">
        <v>13020</v>
      </c>
      <c r="B6093" s="92" t="s">
        <v>75</v>
      </c>
      <c r="C6093" s="92" t="s">
        <v>13021</v>
      </c>
      <c r="D6093" s="72" t="str">
        <f>IFERROR(VLOOKUP(A6093,'[1]ST-QA-ZZ5'!$C$5:$M$299,11,0),"Inspection at production line")</f>
        <v>Inspection at production line</v>
      </c>
    </row>
    <row r="6094" spans="1:4" ht="13.8">
      <c r="A6094" s="47" t="s">
        <v>13022</v>
      </c>
      <c r="B6094" s="92" t="s">
        <v>75</v>
      </c>
      <c r="C6094" s="92" t="s">
        <v>13023</v>
      </c>
      <c r="D6094" s="72" t="str">
        <f>IFERROR(VLOOKUP(A6094,'[1]ST-QA-ZZ5'!$C$5:$M$299,11,0),"Inspection at production line")</f>
        <v>Inspection at production line</v>
      </c>
    </row>
    <row r="6095" spans="1:4" ht="13.8">
      <c r="A6095" s="47" t="s">
        <v>13024</v>
      </c>
      <c r="B6095" s="92" t="s">
        <v>75</v>
      </c>
      <c r="C6095" s="92" t="s">
        <v>13025</v>
      </c>
      <c r="D6095" s="72" t="str">
        <f>IFERROR(VLOOKUP(A6095,'[1]ST-QA-ZZ5'!$C$5:$M$299,11,0),"Inspection at production line")</f>
        <v>Inspection at production line</v>
      </c>
    </row>
    <row r="6096" spans="1:4" ht="13.8">
      <c r="A6096" s="47" t="s">
        <v>13026</v>
      </c>
      <c r="B6096" s="92" t="s">
        <v>75</v>
      </c>
      <c r="C6096" s="92" t="s">
        <v>13027</v>
      </c>
      <c r="D6096" s="72" t="str">
        <f>IFERROR(VLOOKUP(A6096,'[1]ST-QA-ZZ5'!$C$5:$M$299,11,0),"Inspection at production line")</f>
        <v>Inspection at production line</v>
      </c>
    </row>
    <row r="6097" spans="1:4" ht="13.8">
      <c r="A6097" s="47" t="s">
        <v>13028</v>
      </c>
      <c r="B6097" s="92" t="s">
        <v>75</v>
      </c>
      <c r="C6097" s="92" t="s">
        <v>13029</v>
      </c>
      <c r="D6097" s="72" t="str">
        <f>IFERROR(VLOOKUP(A6097,'[1]ST-QA-ZZ5'!$C$5:$M$299,11,0),"Inspection at production line")</f>
        <v>Inspection at production line</v>
      </c>
    </row>
    <row r="6098" spans="1:4" ht="13.8">
      <c r="A6098" s="47" t="s">
        <v>13030</v>
      </c>
      <c r="B6098" s="92" t="s">
        <v>75</v>
      </c>
      <c r="C6098" s="92" t="s">
        <v>13031</v>
      </c>
      <c r="D6098" s="72" t="str">
        <f>IFERROR(VLOOKUP(A6098,'[1]ST-QA-ZZ5'!$C$5:$M$299,11,0),"Inspection at production line")</f>
        <v>Inspection at production line</v>
      </c>
    </row>
    <row r="6099" spans="1:4" ht="13.8">
      <c r="A6099" s="47" t="s">
        <v>13032</v>
      </c>
      <c r="B6099" s="92" t="s">
        <v>1554</v>
      </c>
      <c r="C6099" s="92" t="s">
        <v>13033</v>
      </c>
      <c r="D6099" s="72" t="str">
        <f>IFERROR(VLOOKUP(A6099,'[1]ST-QA-ZZ5'!$C$5:$M$299,11,0),"Inspection at production line")</f>
        <v>Inspection at production line</v>
      </c>
    </row>
    <row r="6100" spans="1:4" ht="13.8">
      <c r="A6100" s="47" t="s">
        <v>13034</v>
      </c>
      <c r="B6100" s="92" t="s">
        <v>1543</v>
      </c>
      <c r="C6100" s="92" t="s">
        <v>13035</v>
      </c>
      <c r="D6100" s="72" t="str">
        <f>IFERROR(VLOOKUP(A6100,'[1]ST-QA-ZZ5'!$C$5:$M$299,11,0),"Inspection at production line")</f>
        <v>Inspection at production line</v>
      </c>
    </row>
    <row r="6101" spans="1:4" ht="13.8">
      <c r="A6101" s="47" t="s">
        <v>13036</v>
      </c>
      <c r="B6101" s="92" t="s">
        <v>1534</v>
      </c>
      <c r="C6101" s="92" t="s">
        <v>13037</v>
      </c>
      <c r="D6101" s="72" t="str">
        <f>IFERROR(VLOOKUP(A6101,'[1]ST-QA-ZZ5'!$C$5:$M$299,11,0),"Inspection at production line")</f>
        <v>Inspection at production line</v>
      </c>
    </row>
    <row r="6102" spans="1:4" ht="13.8">
      <c r="A6102" s="47" t="s">
        <v>13038</v>
      </c>
      <c r="B6102" s="92" t="s">
        <v>1534</v>
      </c>
      <c r="C6102" s="92" t="s">
        <v>13039</v>
      </c>
      <c r="D6102" s="72" t="str">
        <f>IFERROR(VLOOKUP(A6102,'[1]ST-QA-ZZ5'!$C$5:$M$299,11,0),"Inspection at production line")</f>
        <v>Inspection at production line</v>
      </c>
    </row>
    <row r="6103" spans="1:4" ht="13.8">
      <c r="A6103" s="47" t="s">
        <v>13040</v>
      </c>
      <c r="B6103" s="92" t="s">
        <v>6352</v>
      </c>
      <c r="C6103" s="92" t="s">
        <v>13041</v>
      </c>
      <c r="D6103" s="72" t="str">
        <f>IFERROR(VLOOKUP(A6103,'[1]ST-QA-ZZ5'!$C$5:$M$299,11,0),"Inspection at production line")</f>
        <v>Inspection at production line</v>
      </c>
    </row>
    <row r="6104" spans="1:4" ht="13.8">
      <c r="A6104" s="47" t="s">
        <v>13042</v>
      </c>
      <c r="B6104" s="92" t="s">
        <v>1592</v>
      </c>
      <c r="C6104" s="92" t="s">
        <v>13043</v>
      </c>
      <c r="D6104" s="72" t="str">
        <f>IFERROR(VLOOKUP(A6104,'[1]ST-QA-ZZ5'!$C$5:$M$299,11,0),"Inspection at production line")</f>
        <v>Inspection at production line</v>
      </c>
    </row>
    <row r="6105" spans="1:4" ht="13.8">
      <c r="A6105" s="47" t="s">
        <v>13044</v>
      </c>
      <c r="B6105" s="92" t="s">
        <v>2500</v>
      </c>
      <c r="C6105" s="92" t="s">
        <v>13045</v>
      </c>
      <c r="D6105" s="72" t="str">
        <f>IFERROR(VLOOKUP(A6105,'[1]ST-QA-ZZ5'!$C$5:$M$299,11,0),"Inspection at production line")</f>
        <v>Inspection at production line</v>
      </c>
    </row>
    <row r="6106" spans="1:4" ht="13.8">
      <c r="A6106" s="47" t="s">
        <v>13046</v>
      </c>
      <c r="B6106" s="92" t="s">
        <v>818</v>
      </c>
      <c r="C6106" s="92" t="s">
        <v>13047</v>
      </c>
      <c r="D6106" s="72" t="str">
        <f>IFERROR(VLOOKUP(A6106,'[1]ST-QA-ZZ5'!$C$5:$M$299,11,0),"Inspection at production line")</f>
        <v>Inspection at production line</v>
      </c>
    </row>
    <row r="6107" spans="1:4" ht="13.8">
      <c r="A6107" s="47" t="s">
        <v>13048</v>
      </c>
      <c r="B6107" s="92" t="s">
        <v>555</v>
      </c>
      <c r="C6107" s="92" t="s">
        <v>13049</v>
      </c>
      <c r="D6107" s="72" t="str">
        <f>IFERROR(VLOOKUP(A6107,'[1]ST-QA-ZZ5'!$C$5:$M$299,11,0),"Inspection at production line")</f>
        <v>Inspection at production line</v>
      </c>
    </row>
    <row r="6108" spans="1:4" ht="13.8">
      <c r="A6108" s="47" t="s">
        <v>13050</v>
      </c>
      <c r="B6108" s="92" t="s">
        <v>555</v>
      </c>
      <c r="C6108" s="92" t="s">
        <v>13051</v>
      </c>
      <c r="D6108" s="72" t="str">
        <f>IFERROR(VLOOKUP(A6108,'[1]ST-QA-ZZ5'!$C$5:$M$299,11,0),"Inspection at production line")</f>
        <v>Inspection at production line</v>
      </c>
    </row>
    <row r="6109" spans="1:4" ht="13.8">
      <c r="A6109" s="47" t="s">
        <v>13052</v>
      </c>
      <c r="B6109" s="92" t="s">
        <v>555</v>
      </c>
      <c r="C6109" s="92" t="s">
        <v>13053</v>
      </c>
      <c r="D6109" s="72" t="str">
        <f>IFERROR(VLOOKUP(A6109,'[1]ST-QA-ZZ5'!$C$5:$M$299,11,0),"Inspection at production line")</f>
        <v>Inspection at production line</v>
      </c>
    </row>
    <row r="6110" spans="1:4" ht="13.8">
      <c r="A6110" s="47" t="s">
        <v>13054</v>
      </c>
      <c r="B6110" s="92" t="s">
        <v>555</v>
      </c>
      <c r="C6110" s="92" t="s">
        <v>13055</v>
      </c>
      <c r="D6110" s="72" t="str">
        <f>IFERROR(VLOOKUP(A6110,'[1]ST-QA-ZZ5'!$C$5:$M$299,11,0),"Inspection at production line")</f>
        <v>Inspection at production line</v>
      </c>
    </row>
    <row r="6111" spans="1:4" ht="13.8">
      <c r="A6111" s="47" t="s">
        <v>13056</v>
      </c>
      <c r="B6111" s="92" t="s">
        <v>555</v>
      </c>
      <c r="C6111" s="92" t="s">
        <v>13057</v>
      </c>
      <c r="D6111" s="72" t="str">
        <f>IFERROR(VLOOKUP(A6111,'[1]ST-QA-ZZ5'!$C$5:$M$299,11,0),"Inspection at production line")</f>
        <v>Inspection at production line</v>
      </c>
    </row>
    <row r="6112" spans="1:4" ht="13.8">
      <c r="A6112" s="47" t="s">
        <v>13058</v>
      </c>
      <c r="B6112" s="92" t="s">
        <v>555</v>
      </c>
      <c r="C6112" s="92" t="s">
        <v>13059</v>
      </c>
      <c r="D6112" s="72" t="str">
        <f>IFERROR(VLOOKUP(A6112,'[1]ST-QA-ZZ5'!$C$5:$M$299,11,0),"Inspection at production line")</f>
        <v>Inspection at production line</v>
      </c>
    </row>
    <row r="6113" spans="1:4" ht="13.8">
      <c r="A6113" s="47" t="s">
        <v>13060</v>
      </c>
      <c r="B6113" s="92" t="s">
        <v>555</v>
      </c>
      <c r="C6113" s="92" t="s">
        <v>13061</v>
      </c>
      <c r="D6113" s="72" t="str">
        <f>IFERROR(VLOOKUP(A6113,'[1]ST-QA-ZZ5'!$C$5:$M$299,11,0),"Inspection at production line")</f>
        <v>Inspection at production line</v>
      </c>
    </row>
    <row r="6114" spans="1:4" ht="13.8">
      <c r="A6114" s="47" t="s">
        <v>13062</v>
      </c>
      <c r="B6114" s="92" t="s">
        <v>555</v>
      </c>
      <c r="C6114" s="92" t="s">
        <v>13063</v>
      </c>
      <c r="D6114" s="72" t="str">
        <f>IFERROR(VLOOKUP(A6114,'[1]ST-QA-ZZ5'!$C$5:$M$299,11,0),"Inspection at production line")</f>
        <v>Inspection at production line</v>
      </c>
    </row>
    <row r="6115" spans="1:4" ht="13.8">
      <c r="A6115" s="47" t="s">
        <v>13064</v>
      </c>
      <c r="B6115" s="92" t="s">
        <v>555</v>
      </c>
      <c r="C6115" s="92" t="s">
        <v>13065</v>
      </c>
      <c r="D6115" s="72" t="str">
        <f>IFERROR(VLOOKUP(A6115,'[1]ST-QA-ZZ5'!$C$5:$M$299,11,0),"Inspection at production line")</f>
        <v>Inspection at production line</v>
      </c>
    </row>
    <row r="6116" spans="1:4" ht="13.8">
      <c r="A6116" s="47" t="s">
        <v>13066</v>
      </c>
      <c r="B6116" s="92" t="s">
        <v>818</v>
      </c>
      <c r="C6116" s="92" t="s">
        <v>13067</v>
      </c>
      <c r="D6116" s="72" t="str">
        <f>IFERROR(VLOOKUP(A6116,'[1]ST-QA-ZZ5'!$C$5:$M$299,11,0),"Inspection at production line")</f>
        <v>Inspection at production line</v>
      </c>
    </row>
    <row r="6117" spans="1:4" ht="13.8">
      <c r="A6117" s="47" t="s">
        <v>13068</v>
      </c>
      <c r="B6117" s="92" t="s">
        <v>1513</v>
      </c>
      <c r="C6117" s="92" t="s">
        <v>13069</v>
      </c>
      <c r="D6117" s="72" t="str">
        <f>IFERROR(VLOOKUP(A6117,'[1]ST-QA-ZZ5'!$C$5:$M$299,11,0),"Inspection at production line")</f>
        <v>Inspection at production line</v>
      </c>
    </row>
    <row r="6118" spans="1:4" ht="13.8">
      <c r="A6118" s="47" t="s">
        <v>13070</v>
      </c>
      <c r="B6118" s="92" t="s">
        <v>7901</v>
      </c>
      <c r="C6118" s="92" t="s">
        <v>13071</v>
      </c>
      <c r="D6118" s="72" t="str">
        <f>IFERROR(VLOOKUP(A6118,'[1]ST-QA-ZZ5'!$C$5:$M$299,11,0),"Inspection at production line")</f>
        <v>Inspection at production line</v>
      </c>
    </row>
    <row r="6119" spans="1:4" ht="13.8">
      <c r="A6119" s="47" t="s">
        <v>13072</v>
      </c>
      <c r="B6119" s="92" t="s">
        <v>2500</v>
      </c>
      <c r="C6119" s="92" t="s">
        <v>13073</v>
      </c>
      <c r="D6119" s="72" t="str">
        <f>IFERROR(VLOOKUP(A6119,'[1]ST-QA-ZZ5'!$C$5:$M$299,11,0),"Inspection at production line")</f>
        <v>Inspection at production line</v>
      </c>
    </row>
    <row r="6120" spans="1:4" ht="13.8">
      <c r="A6120" s="47" t="s">
        <v>13074</v>
      </c>
      <c r="B6120" s="92" t="s">
        <v>7898</v>
      </c>
      <c r="C6120" s="92" t="s">
        <v>13075</v>
      </c>
      <c r="D6120" s="72" t="str">
        <f>IFERROR(VLOOKUP(A6120,'[1]ST-QA-ZZ5'!$C$5:$M$299,11,0),"Inspection at production line")</f>
        <v>Inspection at production line</v>
      </c>
    </row>
    <row r="6121" spans="1:4" ht="13.8">
      <c r="A6121" s="47" t="s">
        <v>13076</v>
      </c>
      <c r="B6121" s="92" t="s">
        <v>1994</v>
      </c>
      <c r="C6121" s="92" t="s">
        <v>13077</v>
      </c>
      <c r="D6121" s="72" t="str">
        <f>IFERROR(VLOOKUP(A6121,'[1]ST-QA-ZZ5'!$C$5:$M$299,11,0),"Inspection at production line")</f>
        <v>Inspection at production line</v>
      </c>
    </row>
    <row r="6122" spans="1:4" ht="13.8">
      <c r="A6122" s="47" t="s">
        <v>13078</v>
      </c>
      <c r="B6122" s="92" t="s">
        <v>1523</v>
      </c>
      <c r="C6122" s="92" t="s">
        <v>13079</v>
      </c>
      <c r="D6122" s="72" t="str">
        <f>IFERROR(VLOOKUP(A6122,'[1]ST-QA-ZZ5'!$C$5:$M$299,11,0),"Inspection at production line")</f>
        <v>Inspection at production line</v>
      </c>
    </row>
    <row r="6123" spans="1:4" ht="13.8">
      <c r="A6123" s="47" t="s">
        <v>13080</v>
      </c>
      <c r="B6123" s="92" t="s">
        <v>1554</v>
      </c>
      <c r="C6123" s="92" t="s">
        <v>13081</v>
      </c>
      <c r="D6123" s="72" t="str">
        <f>IFERROR(VLOOKUP(A6123,'[1]ST-QA-ZZ5'!$C$5:$M$299,11,0),"Inspection at production line")</f>
        <v>Inspection at production line</v>
      </c>
    </row>
    <row r="6124" spans="1:4" ht="13.8">
      <c r="A6124" s="47" t="s">
        <v>13082</v>
      </c>
      <c r="B6124" s="92" t="s">
        <v>1517</v>
      </c>
      <c r="C6124" s="92" t="s">
        <v>13083</v>
      </c>
      <c r="D6124" s="72" t="str">
        <f>IFERROR(VLOOKUP(A6124,'[1]ST-QA-ZZ5'!$C$5:$M$299,11,0),"Inspection at production line")</f>
        <v>Inspection at production line</v>
      </c>
    </row>
    <row r="6125" spans="1:4" ht="13.8">
      <c r="A6125" s="47" t="s">
        <v>13084</v>
      </c>
      <c r="B6125" s="92" t="s">
        <v>1534</v>
      </c>
      <c r="C6125" s="92" t="s">
        <v>13085</v>
      </c>
      <c r="D6125" s="72" t="str">
        <f>IFERROR(VLOOKUP(A6125,'[1]ST-QA-ZZ5'!$C$5:$M$299,11,0),"Inspection at production line")</f>
        <v>Inspection at production line</v>
      </c>
    </row>
    <row r="6126" spans="1:4" ht="13.8">
      <c r="A6126" s="47" t="s">
        <v>13086</v>
      </c>
      <c r="B6126" s="92" t="s">
        <v>119</v>
      </c>
      <c r="C6126" s="92" t="s">
        <v>13087</v>
      </c>
      <c r="D6126" s="72" t="str">
        <f>IFERROR(VLOOKUP(A6126,'[1]ST-QA-ZZ5'!$C$5:$M$299,11,0),"Inspection at production line")</f>
        <v>Inspection at production line</v>
      </c>
    </row>
    <row r="6127" spans="1:4" ht="13.8">
      <c r="A6127" s="47" t="s">
        <v>13088</v>
      </c>
      <c r="B6127" s="92" t="s">
        <v>119</v>
      </c>
      <c r="C6127" s="92" t="s">
        <v>13089</v>
      </c>
      <c r="D6127" s="72" t="str">
        <f>IFERROR(VLOOKUP(A6127,'[1]ST-QA-ZZ5'!$C$5:$M$299,11,0),"Inspection at production line")</f>
        <v>Inspection at production line</v>
      </c>
    </row>
    <row r="6128" spans="1:4" ht="13.8">
      <c r="A6128" s="47" t="s">
        <v>13090</v>
      </c>
      <c r="B6128" s="92" t="s">
        <v>119</v>
      </c>
      <c r="C6128" s="92" t="s">
        <v>13091</v>
      </c>
      <c r="D6128" s="72" t="str">
        <f>IFERROR(VLOOKUP(A6128,'[1]ST-QA-ZZ5'!$C$5:$M$299,11,0),"Inspection at production line")</f>
        <v>Inspection at production line</v>
      </c>
    </row>
    <row r="6129" spans="1:4" ht="13.8">
      <c r="A6129" s="47" t="s">
        <v>13092</v>
      </c>
      <c r="B6129" s="92" t="s">
        <v>119</v>
      </c>
      <c r="C6129" s="92" t="s">
        <v>13093</v>
      </c>
      <c r="D6129" s="72" t="str">
        <f>IFERROR(VLOOKUP(A6129,'[1]ST-QA-ZZ5'!$C$5:$M$299,11,0),"Inspection at production line")</f>
        <v>Inspection at production line</v>
      </c>
    </row>
    <row r="6130" spans="1:4" ht="13.8">
      <c r="A6130" s="47" t="s">
        <v>13094</v>
      </c>
      <c r="B6130" s="92" t="s">
        <v>7937</v>
      </c>
      <c r="C6130" s="92" t="s">
        <v>13095</v>
      </c>
      <c r="D6130" s="72" t="str">
        <f>IFERROR(VLOOKUP(A6130,'[1]ST-QA-ZZ5'!$C$5:$M$299,11,0),"Inspection at production line")</f>
        <v>Inspection at production line</v>
      </c>
    </row>
    <row r="6131" spans="1:4" ht="13.8">
      <c r="A6131" s="47" t="s">
        <v>13096</v>
      </c>
      <c r="B6131" s="92" t="s">
        <v>75</v>
      </c>
      <c r="C6131" s="92" t="s">
        <v>13097</v>
      </c>
      <c r="D6131" s="72" t="str">
        <f>IFERROR(VLOOKUP(A6131,'[1]ST-QA-ZZ5'!$C$5:$M$299,11,0),"Inspection at production line")</f>
        <v>Inspection at production line</v>
      </c>
    </row>
    <row r="6132" spans="1:4" ht="13.8">
      <c r="A6132" s="47" t="s">
        <v>13098</v>
      </c>
      <c r="B6132" s="92" t="s">
        <v>119</v>
      </c>
      <c r="C6132" s="92" t="s">
        <v>13099</v>
      </c>
      <c r="D6132" s="72" t="str">
        <f>IFERROR(VLOOKUP(A6132,'[1]ST-QA-ZZ5'!$C$5:$M$299,11,0),"Inspection at production line")</f>
        <v>Inspection at production line</v>
      </c>
    </row>
    <row r="6133" spans="1:4" ht="13.8">
      <c r="A6133" s="47" t="s">
        <v>13100</v>
      </c>
      <c r="B6133" s="92" t="s">
        <v>119</v>
      </c>
      <c r="C6133" s="92" t="s">
        <v>13101</v>
      </c>
      <c r="D6133" s="72" t="str">
        <f>IFERROR(VLOOKUP(A6133,'[1]ST-QA-ZZ5'!$C$5:$M$299,11,0),"Inspection at production line")</f>
        <v>Inspection at production line</v>
      </c>
    </row>
    <row r="6134" spans="1:4" ht="13.8">
      <c r="A6134" s="47" t="s">
        <v>13102</v>
      </c>
      <c r="B6134" s="92" t="s">
        <v>7846</v>
      </c>
      <c r="C6134" s="92" t="s">
        <v>13103</v>
      </c>
      <c r="D6134" s="72" t="str">
        <f>IFERROR(VLOOKUP(A6134,'[1]ST-QA-ZZ5'!$C$5:$M$299,11,0),"Inspection at production line")</f>
        <v>Inspection at production line</v>
      </c>
    </row>
    <row r="6135" spans="1:4" ht="13.8">
      <c r="A6135" s="47" t="s">
        <v>13104</v>
      </c>
      <c r="B6135" s="92" t="s">
        <v>7846</v>
      </c>
      <c r="C6135" s="92" t="s">
        <v>13105</v>
      </c>
      <c r="D6135" s="72" t="str">
        <f>IFERROR(VLOOKUP(A6135,'[1]ST-QA-ZZ5'!$C$5:$M$299,11,0),"Inspection at production line")</f>
        <v>Inspection at production line</v>
      </c>
    </row>
    <row r="6136" spans="1:4" ht="13.8">
      <c r="A6136" s="47" t="s">
        <v>13106</v>
      </c>
      <c r="B6136" s="92" t="s">
        <v>75</v>
      </c>
      <c r="C6136" s="92" t="s">
        <v>13107</v>
      </c>
      <c r="D6136" s="72" t="str">
        <f>IFERROR(VLOOKUP(A6136,'[1]ST-QA-ZZ5'!$C$5:$M$299,11,0),"Inspection at production line")</f>
        <v>Inspection at production line</v>
      </c>
    </row>
    <row r="6137" spans="1:4" ht="13.8">
      <c r="A6137" s="47" t="s">
        <v>13108</v>
      </c>
      <c r="B6137" s="92" t="s">
        <v>1523</v>
      </c>
      <c r="C6137" s="92" t="s">
        <v>13109</v>
      </c>
      <c r="D6137" s="72" t="str">
        <f>IFERROR(VLOOKUP(A6137,'[1]ST-QA-ZZ5'!$C$5:$M$299,11,0),"Inspection at production line")</f>
        <v>Inspection at production line</v>
      </c>
    </row>
    <row r="6138" spans="1:4" ht="13.8">
      <c r="A6138" s="47" t="s">
        <v>13110</v>
      </c>
      <c r="B6138" s="92" t="s">
        <v>1554</v>
      </c>
      <c r="C6138" s="92" t="s">
        <v>13111</v>
      </c>
      <c r="D6138" s="72" t="str">
        <f>IFERROR(VLOOKUP(A6138,'[1]ST-QA-ZZ5'!$C$5:$M$299,11,0),"Inspection at production line")</f>
        <v>Inspection at production line</v>
      </c>
    </row>
    <row r="6139" spans="1:4" ht="13.8">
      <c r="A6139" s="47" t="s">
        <v>13112</v>
      </c>
      <c r="B6139" s="92" t="s">
        <v>1592</v>
      </c>
      <c r="C6139" s="92" t="s">
        <v>13113</v>
      </c>
      <c r="D6139" s="72" t="str">
        <f>IFERROR(VLOOKUP(A6139,'[1]ST-QA-ZZ5'!$C$5:$M$299,11,0),"Inspection at production line")</f>
        <v>Inspection at production line</v>
      </c>
    </row>
    <row r="6140" spans="1:4" ht="13.8">
      <c r="A6140" s="47" t="s">
        <v>13114</v>
      </c>
      <c r="B6140" s="92" t="s">
        <v>1916</v>
      </c>
      <c r="C6140" s="92" t="s">
        <v>13115</v>
      </c>
      <c r="D6140" s="72" t="str">
        <f>IFERROR(VLOOKUP(A6140,'[1]ST-QA-ZZ5'!$C$5:$M$299,11,0),"Inspection at production line")</f>
        <v>Inspection at production line</v>
      </c>
    </row>
    <row r="6141" spans="1:4" ht="13.8">
      <c r="A6141" s="47" t="s">
        <v>13116</v>
      </c>
      <c r="B6141" s="92" t="s">
        <v>1534</v>
      </c>
      <c r="C6141" s="92" t="s">
        <v>13117</v>
      </c>
      <c r="D6141" s="72" t="str">
        <f>IFERROR(VLOOKUP(A6141,'[1]ST-QA-ZZ5'!$C$5:$M$299,11,0),"Inspection at production line")</f>
        <v>Inspection at production line</v>
      </c>
    </row>
    <row r="6142" spans="1:4" ht="13.8">
      <c r="A6142" s="47" t="s">
        <v>13118</v>
      </c>
      <c r="B6142" s="92" t="s">
        <v>5126</v>
      </c>
      <c r="C6142" s="92" t="s">
        <v>13119</v>
      </c>
      <c r="D6142" s="72" t="str">
        <f>IFERROR(VLOOKUP(A6142,'[1]ST-QA-ZZ5'!$C$5:$M$299,11,0),"Inspection at production line")</f>
        <v>Inspection at production line</v>
      </c>
    </row>
    <row r="6143" spans="1:4" ht="13.8">
      <c r="A6143" s="47" t="s">
        <v>13120</v>
      </c>
      <c r="B6143" s="92" t="s">
        <v>797</v>
      </c>
      <c r="C6143" s="92" t="s">
        <v>8002</v>
      </c>
      <c r="D6143" s="72" t="str">
        <f>IFERROR(VLOOKUP(A6143,'[1]ST-QA-ZZ5'!$C$5:$M$299,11,0),"Inspection at production line")</f>
        <v>Inspection at production line</v>
      </c>
    </row>
    <row r="6144" spans="1:4" ht="13.8">
      <c r="A6144" s="47" t="s">
        <v>13121</v>
      </c>
      <c r="B6144" s="92" t="s">
        <v>1523</v>
      </c>
      <c r="C6144" s="92" t="s">
        <v>12946</v>
      </c>
      <c r="D6144" s="72" t="str">
        <f>IFERROR(VLOOKUP(A6144,'[1]ST-QA-ZZ5'!$C$5:$M$299,11,0),"Inspection at production line")</f>
        <v>Inspection at production line</v>
      </c>
    </row>
    <row r="6145" spans="1:4" ht="13.8">
      <c r="A6145" s="47" t="s">
        <v>13122</v>
      </c>
      <c r="B6145" s="92" t="s">
        <v>1959</v>
      </c>
      <c r="C6145" s="92" t="s">
        <v>13123</v>
      </c>
      <c r="D6145" s="72" t="str">
        <f>IFERROR(VLOOKUP(A6145,'[1]ST-QA-ZZ5'!$C$5:$M$299,11,0),"Inspection at production line")</f>
        <v>Inspection at production line</v>
      </c>
    </row>
    <row r="6146" spans="1:4" ht="13.8">
      <c r="A6146" s="47" t="s">
        <v>13124</v>
      </c>
      <c r="B6146" s="92" t="s">
        <v>75</v>
      </c>
      <c r="C6146" s="92" t="s">
        <v>13125</v>
      </c>
      <c r="D6146" s="72" t="str">
        <f>IFERROR(VLOOKUP(A6146,'[1]ST-QA-ZZ5'!$C$5:$M$299,11,0),"Inspection at production line")</f>
        <v>Inspection at production line</v>
      </c>
    </row>
    <row r="6147" spans="1:4" ht="13.8">
      <c r="A6147" s="47" t="s">
        <v>13126</v>
      </c>
      <c r="B6147" s="92" t="s">
        <v>1554</v>
      </c>
      <c r="C6147" s="92" t="s">
        <v>7842</v>
      </c>
      <c r="D6147" s="72" t="str">
        <f>IFERROR(VLOOKUP(A6147,'[1]ST-QA-ZZ5'!$C$5:$M$299,11,0),"Inspection at production line")</f>
        <v>Inspection at production line</v>
      </c>
    </row>
    <row r="6148" spans="1:4" ht="13.8">
      <c r="A6148" s="47" t="s">
        <v>13127</v>
      </c>
      <c r="B6148" s="92" t="s">
        <v>1554</v>
      </c>
      <c r="C6148" s="92" t="s">
        <v>13128</v>
      </c>
      <c r="D6148" s="72" t="str">
        <f>IFERROR(VLOOKUP(A6148,'[1]ST-QA-ZZ5'!$C$5:$M$299,11,0),"Inspection at production line")</f>
        <v>Inspection at production line</v>
      </c>
    </row>
    <row r="6149" spans="1:4" ht="13.8">
      <c r="A6149" s="47" t="s">
        <v>13129</v>
      </c>
      <c r="B6149" s="92" t="s">
        <v>1543</v>
      </c>
      <c r="C6149" s="92" t="s">
        <v>7849</v>
      </c>
      <c r="D6149" s="72" t="str">
        <f>IFERROR(VLOOKUP(A6149,'[1]ST-QA-ZZ5'!$C$5:$M$299,11,0),"Inspection at production line")</f>
        <v>Inspection at production line</v>
      </c>
    </row>
    <row r="6150" spans="1:4" ht="13.8">
      <c r="A6150" s="47" t="s">
        <v>13130</v>
      </c>
      <c r="B6150" s="92" t="s">
        <v>1880</v>
      </c>
      <c r="C6150" s="92" t="s">
        <v>7998</v>
      </c>
      <c r="D6150" s="72" t="str">
        <f>IFERROR(VLOOKUP(A6150,'[1]ST-QA-ZZ5'!$C$5:$M$299,11,0),"Inspection at production line")</f>
        <v>Inspection at production line</v>
      </c>
    </row>
    <row r="6151" spans="1:4" ht="13.8">
      <c r="A6151" s="47" t="s">
        <v>13131</v>
      </c>
      <c r="B6151" s="92" t="s">
        <v>57</v>
      </c>
      <c r="C6151" s="92" t="s">
        <v>12967</v>
      </c>
      <c r="D6151" s="72" t="str">
        <f>IFERROR(VLOOKUP(A6151,'[1]ST-QA-ZZ5'!$C$5:$M$299,11,0),"Inspection at production line")</f>
        <v>Inspection at production line</v>
      </c>
    </row>
    <row r="6152" spans="1:4" ht="13.8">
      <c r="A6152" s="47" t="s">
        <v>13132</v>
      </c>
      <c r="B6152" s="92" t="s">
        <v>57</v>
      </c>
      <c r="C6152" s="92" t="s">
        <v>12969</v>
      </c>
      <c r="D6152" s="72" t="str">
        <f>IFERROR(VLOOKUP(A6152,'[1]ST-QA-ZZ5'!$C$5:$M$299,11,0),"Inspection at production line")</f>
        <v>Inspection at production line</v>
      </c>
    </row>
    <row r="6153" spans="1:4" ht="13.8">
      <c r="A6153" s="47" t="s">
        <v>13133</v>
      </c>
      <c r="B6153" s="92" t="s">
        <v>1985</v>
      </c>
      <c r="C6153" s="92" t="s">
        <v>12971</v>
      </c>
      <c r="D6153" s="72" t="str">
        <f>IFERROR(VLOOKUP(A6153,'[1]ST-QA-ZZ5'!$C$5:$M$299,11,0),"Inspection at production line")</f>
        <v>Inspection at production line</v>
      </c>
    </row>
    <row r="6154" spans="1:4" ht="13.8">
      <c r="A6154" s="47" t="s">
        <v>13134</v>
      </c>
      <c r="B6154" s="92" t="s">
        <v>1985</v>
      </c>
      <c r="C6154" s="92" t="s">
        <v>13135</v>
      </c>
      <c r="D6154" s="72" t="str">
        <f>IFERROR(VLOOKUP(A6154,'[1]ST-QA-ZZ5'!$C$5:$M$299,11,0),"Inspection at production line")</f>
        <v>Inspection at production line</v>
      </c>
    </row>
    <row r="6155" spans="1:4" ht="13.8">
      <c r="A6155" s="47" t="s">
        <v>13136</v>
      </c>
      <c r="B6155" s="92" t="s">
        <v>75</v>
      </c>
      <c r="C6155" s="92" t="s">
        <v>13137</v>
      </c>
      <c r="D6155" s="72" t="str">
        <f>IFERROR(VLOOKUP(A6155,'[1]ST-QA-ZZ5'!$C$5:$M$299,11,0),"Inspection at production line")</f>
        <v>Inspection at production line</v>
      </c>
    </row>
    <row r="6156" spans="1:4" ht="13.8">
      <c r="A6156" s="47" t="s">
        <v>13138</v>
      </c>
      <c r="B6156" s="92" t="s">
        <v>75</v>
      </c>
      <c r="C6156" s="92" t="s">
        <v>13139</v>
      </c>
      <c r="D6156" s="72" t="str">
        <f>IFERROR(VLOOKUP(A6156,'[1]ST-QA-ZZ5'!$C$5:$M$299,11,0),"Inspection at production line")</f>
        <v>Inspection at production line</v>
      </c>
    </row>
    <row r="6157" spans="1:4" ht="13.8">
      <c r="A6157" s="47" t="s">
        <v>13140</v>
      </c>
      <c r="B6157" s="92" t="s">
        <v>1554</v>
      </c>
      <c r="C6157" s="92" t="s">
        <v>7856</v>
      </c>
      <c r="D6157" s="72" t="str">
        <f>IFERROR(VLOOKUP(A6157,'[1]ST-QA-ZZ5'!$C$5:$M$299,11,0),"Inspection at production line")</f>
        <v>Inspection at production line</v>
      </c>
    </row>
    <row r="6158" spans="1:4" ht="13.8">
      <c r="A6158" s="47" t="s">
        <v>13141</v>
      </c>
      <c r="B6158" s="92" t="s">
        <v>797</v>
      </c>
      <c r="C6158" s="92" t="s">
        <v>7996</v>
      </c>
      <c r="D6158" s="72" t="str">
        <f>IFERROR(VLOOKUP(A6158,'[1]ST-QA-ZZ5'!$C$5:$M$299,11,0),"Inspection at production line")</f>
        <v>Inspection at production line</v>
      </c>
    </row>
    <row r="6159" spans="1:4" ht="13.8">
      <c r="A6159" s="47" t="s">
        <v>13142</v>
      </c>
      <c r="B6159" s="92" t="s">
        <v>2566</v>
      </c>
      <c r="C6159" s="92" t="s">
        <v>12922</v>
      </c>
      <c r="D6159" s="72" t="str">
        <f>IFERROR(VLOOKUP(A6159,'[1]ST-QA-ZZ5'!$C$5:$M$299,11,0),"Inspection at production line")</f>
        <v>Inspection at production line</v>
      </c>
    </row>
    <row r="6160" spans="1:4" ht="13.8">
      <c r="A6160" s="47" t="s">
        <v>13143</v>
      </c>
      <c r="B6160" s="92" t="s">
        <v>1985</v>
      </c>
      <c r="C6160" s="92" t="s">
        <v>13144</v>
      </c>
      <c r="D6160" s="72" t="str">
        <f>IFERROR(VLOOKUP(A6160,'[1]ST-QA-ZZ5'!$C$5:$M$299,11,0),"Inspection at production line")</f>
        <v>Inspection at production line</v>
      </c>
    </row>
    <row r="6161" spans="1:4" ht="13.8">
      <c r="A6161" s="47" t="s">
        <v>13145</v>
      </c>
      <c r="B6161" s="92" t="s">
        <v>7914</v>
      </c>
      <c r="C6161" s="92" t="s">
        <v>7990</v>
      </c>
      <c r="D6161" s="72" t="str">
        <f>IFERROR(VLOOKUP(A6161,'[1]ST-QA-ZZ5'!$C$5:$M$299,11,0),"Inspection at production line")</f>
        <v>Inspection at production line</v>
      </c>
    </row>
    <row r="6162" spans="1:4" ht="13.8">
      <c r="A6162" s="47" t="s">
        <v>13146</v>
      </c>
      <c r="B6162" s="92" t="s">
        <v>818</v>
      </c>
      <c r="C6162" s="92" t="s">
        <v>13147</v>
      </c>
      <c r="D6162" s="72" t="str">
        <f>IFERROR(VLOOKUP(A6162,'[1]ST-QA-ZZ5'!$C$5:$M$299,11,0),"Inspection at production line")</f>
        <v>Inspection at production line</v>
      </c>
    </row>
    <row r="6163" spans="1:4" ht="13.8">
      <c r="A6163" s="47" t="s">
        <v>13148</v>
      </c>
      <c r="B6163" s="92" t="s">
        <v>1592</v>
      </c>
      <c r="C6163" s="92" t="s">
        <v>12965</v>
      </c>
      <c r="D6163" s="72" t="str">
        <f>IFERROR(VLOOKUP(A6163,'[1]ST-QA-ZZ5'!$C$5:$M$299,11,0),"Inspection at production line")</f>
        <v>Inspection at production line</v>
      </c>
    </row>
    <row r="6164" spans="1:4" ht="13.8">
      <c r="A6164" s="47" t="s">
        <v>13149</v>
      </c>
      <c r="B6164" s="92" t="s">
        <v>2602</v>
      </c>
      <c r="C6164" s="92" t="s">
        <v>13150</v>
      </c>
      <c r="D6164" s="72" t="str">
        <f>IFERROR(VLOOKUP(A6164,'[1]ST-QA-ZZ5'!$C$5:$M$299,11,0),"Inspection at production line")</f>
        <v>Inspection at production line</v>
      </c>
    </row>
    <row r="6165" spans="1:4" ht="13.8">
      <c r="A6165" s="47" t="s">
        <v>13151</v>
      </c>
      <c r="B6165" s="92" t="s">
        <v>13152</v>
      </c>
      <c r="C6165" s="92" t="s">
        <v>13153</v>
      </c>
      <c r="D6165" s="72" t="str">
        <f>IFERROR(VLOOKUP(A6165,'[1]ST-QA-ZZ5'!$C$5:$M$299,11,0),"Inspection at production line")</f>
        <v>Inspection at production line</v>
      </c>
    </row>
    <row r="6166" spans="1:4" ht="13.8">
      <c r="A6166" s="47" t="s">
        <v>13154</v>
      </c>
      <c r="B6166" s="92" t="s">
        <v>4634</v>
      </c>
      <c r="C6166" s="92" t="s">
        <v>13155</v>
      </c>
      <c r="D6166" s="72" t="str">
        <f>IFERROR(VLOOKUP(A6166,'[1]ST-QA-ZZ5'!$C$5:$M$299,11,0),"Inspection at production line")</f>
        <v>Inspection at production line</v>
      </c>
    </row>
    <row r="6167" spans="1:4" ht="13.8">
      <c r="A6167" s="47" t="s">
        <v>13156</v>
      </c>
      <c r="B6167" s="92" t="s">
        <v>1177</v>
      </c>
      <c r="C6167" s="92" t="s">
        <v>12963</v>
      </c>
      <c r="D6167" s="72" t="str">
        <f>IFERROR(VLOOKUP(A6167,'[1]ST-QA-ZZ5'!$C$5:$M$299,11,0),"Inspection at production line")</f>
        <v>Inspection at production line</v>
      </c>
    </row>
    <row r="6168" spans="1:4" ht="13.8">
      <c r="A6168" s="47" t="s">
        <v>13157</v>
      </c>
      <c r="B6168" s="92" t="s">
        <v>2037</v>
      </c>
      <c r="C6168" s="92" t="s">
        <v>13158</v>
      </c>
      <c r="D6168" s="72" t="str">
        <f>IFERROR(VLOOKUP(A6168,'[1]ST-QA-ZZ5'!$C$5:$M$299,11,0),"Inspection at production line")</f>
        <v>Inspection at production line</v>
      </c>
    </row>
    <row r="6169" spans="1:4" ht="13.8">
      <c r="A6169" s="47" t="s">
        <v>13159</v>
      </c>
      <c r="B6169" s="92" t="s">
        <v>7846</v>
      </c>
      <c r="C6169" s="92" t="s">
        <v>13160</v>
      </c>
      <c r="D6169" s="72" t="str">
        <f>IFERROR(VLOOKUP(A6169,'[1]ST-QA-ZZ5'!$C$5:$M$299,11,0),"Inspection at production line")</f>
        <v>Inspection at production line</v>
      </c>
    </row>
    <row r="6170" spans="1:4" ht="13.8">
      <c r="A6170" s="47" t="s">
        <v>13161</v>
      </c>
      <c r="B6170" s="92" t="s">
        <v>1954</v>
      </c>
      <c r="C6170" s="92" t="s">
        <v>13162</v>
      </c>
      <c r="D6170" s="72" t="str">
        <f>IFERROR(VLOOKUP(A6170,'[1]ST-QA-ZZ5'!$C$5:$M$299,11,0),"Inspection at production line")</f>
        <v>Inspection at production line</v>
      </c>
    </row>
    <row r="6171" spans="1:4" ht="13.8">
      <c r="A6171" s="47" t="s">
        <v>13163</v>
      </c>
      <c r="B6171" s="92" t="s">
        <v>1954</v>
      </c>
      <c r="C6171" s="92" t="s">
        <v>13164</v>
      </c>
      <c r="D6171" s="72" t="str">
        <f>IFERROR(VLOOKUP(A6171,'[1]ST-QA-ZZ5'!$C$5:$M$299,11,0),"Inspection at production line")</f>
        <v>Inspection at production line</v>
      </c>
    </row>
    <row r="6172" spans="1:4" ht="13.8">
      <c r="A6172" s="47" t="s">
        <v>13165</v>
      </c>
      <c r="B6172" s="92" t="s">
        <v>1954</v>
      </c>
      <c r="C6172" s="92" t="s">
        <v>13166</v>
      </c>
      <c r="D6172" s="72" t="str">
        <f>IFERROR(VLOOKUP(A6172,'[1]ST-QA-ZZ5'!$C$5:$M$299,11,0),"Inspection at production line")</f>
        <v>Inspection at production line</v>
      </c>
    </row>
    <row r="6173" spans="1:4" ht="13.8">
      <c r="A6173" s="47" t="s">
        <v>13167</v>
      </c>
      <c r="B6173" s="92" t="s">
        <v>174</v>
      </c>
      <c r="C6173" s="92" t="s">
        <v>13168</v>
      </c>
      <c r="D6173" s="72" t="str">
        <f>IFERROR(VLOOKUP(A6173,'[1]ST-QA-ZZ5'!$C$5:$M$299,11,0),"Inspection at production line")</f>
        <v>Inspection at production line</v>
      </c>
    </row>
    <row r="6174" spans="1:4" ht="13.8">
      <c r="A6174" s="47" t="s">
        <v>13169</v>
      </c>
      <c r="B6174" s="92" t="s">
        <v>857</v>
      </c>
      <c r="C6174" s="92" t="s">
        <v>13170</v>
      </c>
      <c r="D6174" s="72" t="str">
        <f>IFERROR(VLOOKUP(A6174,'[1]ST-QA-ZZ5'!$C$5:$M$299,11,0),"Inspection at production line")</f>
        <v>Inspection at production line</v>
      </c>
    </row>
    <row r="6175" spans="1:4" ht="13.8">
      <c r="A6175" s="47" t="s">
        <v>13171</v>
      </c>
      <c r="B6175" s="92" t="s">
        <v>2024</v>
      </c>
      <c r="C6175" s="92" t="s">
        <v>13172</v>
      </c>
      <c r="D6175" s="72" t="str">
        <f>IFERROR(VLOOKUP(A6175,'[1]ST-QA-ZZ5'!$C$5:$M$299,11,0),"Inspection at production line")</f>
        <v>Inspection at production line</v>
      </c>
    </row>
    <row r="6176" spans="1:4" ht="13.8">
      <c r="A6176" s="47" t="s">
        <v>13173</v>
      </c>
      <c r="B6176" s="92" t="s">
        <v>2024</v>
      </c>
      <c r="C6176" s="92" t="s">
        <v>13174</v>
      </c>
      <c r="D6176" s="72" t="str">
        <f>IFERROR(VLOOKUP(A6176,'[1]ST-QA-ZZ5'!$C$5:$M$299,11,0),"Inspection at production line")</f>
        <v>Inspection at production line</v>
      </c>
    </row>
    <row r="6177" spans="1:4" ht="13.8">
      <c r="A6177" s="47" t="s">
        <v>13175</v>
      </c>
      <c r="B6177" s="92" t="s">
        <v>1954</v>
      </c>
      <c r="C6177" s="92" t="s">
        <v>8056</v>
      </c>
      <c r="D6177" s="72" t="str">
        <f>IFERROR(VLOOKUP(A6177,'[1]ST-QA-ZZ5'!$C$5:$M$299,11,0),"Inspection at production line")</f>
        <v>Inspection at production line</v>
      </c>
    </row>
    <row r="6178" spans="1:4" ht="13.8">
      <c r="A6178" s="47" t="s">
        <v>13176</v>
      </c>
      <c r="B6178" s="92" t="s">
        <v>1954</v>
      </c>
      <c r="C6178" s="92" t="s">
        <v>8058</v>
      </c>
      <c r="D6178" s="72" t="str">
        <f>IFERROR(VLOOKUP(A6178,'[1]ST-QA-ZZ5'!$C$5:$M$299,11,0),"Inspection at production line")</f>
        <v>Inspection at production line</v>
      </c>
    </row>
    <row r="6179" spans="1:4" ht="13.8">
      <c r="A6179" s="47" t="s">
        <v>13177</v>
      </c>
      <c r="B6179" s="92" t="s">
        <v>1954</v>
      </c>
      <c r="C6179" s="92" t="s">
        <v>13178</v>
      </c>
      <c r="D6179" s="72" t="str">
        <f>IFERROR(VLOOKUP(A6179,'[1]ST-QA-ZZ5'!$C$5:$M$299,11,0),"Inspection at production line")</f>
        <v>Inspection at production line</v>
      </c>
    </row>
    <row r="6180" spans="1:4" ht="13.8">
      <c r="A6180" s="47" t="s">
        <v>13179</v>
      </c>
      <c r="B6180" s="92" t="s">
        <v>13180</v>
      </c>
      <c r="C6180" s="92" t="s">
        <v>13180</v>
      </c>
      <c r="D6180" s="72" t="str">
        <f>IFERROR(VLOOKUP(A6180,'[1]ST-QA-ZZ5'!$C$5:$M$299,11,0),"Inspection at production line")</f>
        <v>Inspection at production line</v>
      </c>
    </row>
    <row r="6181" spans="1:4" ht="13.8">
      <c r="A6181" s="47" t="s">
        <v>13181</v>
      </c>
      <c r="B6181" s="92" t="s">
        <v>13182</v>
      </c>
      <c r="C6181" s="92" t="s">
        <v>13183</v>
      </c>
      <c r="D6181" s="72" t="str">
        <f>IFERROR(VLOOKUP(A6181,'[1]ST-QA-ZZ5'!$C$5:$M$299,11,0),"Inspection at production line")</f>
        <v>Inspection at production line</v>
      </c>
    </row>
    <row r="6182" spans="1:4" ht="13.8">
      <c r="A6182" s="47" t="s">
        <v>13184</v>
      </c>
      <c r="B6182" s="92" t="s">
        <v>8068</v>
      </c>
      <c r="C6182" s="92" t="s">
        <v>8068</v>
      </c>
      <c r="D6182" s="72" t="str">
        <f>IFERROR(VLOOKUP(A6182,'[1]ST-QA-ZZ5'!$C$5:$M$299,11,0),"Inspection at production line")</f>
        <v>Inspection at production line</v>
      </c>
    </row>
    <row r="6183" spans="1:4" ht="13.8">
      <c r="A6183" s="47" t="s">
        <v>13185</v>
      </c>
      <c r="B6183" s="92" t="s">
        <v>8072</v>
      </c>
      <c r="C6183" s="92" t="s">
        <v>8072</v>
      </c>
      <c r="D6183" s="72" t="str">
        <f>IFERROR(VLOOKUP(A6183,'[1]ST-QA-ZZ5'!$C$5:$M$299,11,0),"Inspection at production line")</f>
        <v>Inspection at production line</v>
      </c>
    </row>
    <row r="6184" spans="1:4" ht="13.8">
      <c r="A6184" s="47" t="s">
        <v>13186</v>
      </c>
      <c r="B6184" s="92" t="s">
        <v>13187</v>
      </c>
      <c r="C6184" s="92" t="s">
        <v>13187</v>
      </c>
      <c r="D6184" s="72" t="str">
        <f>IFERROR(VLOOKUP(A6184,'[1]ST-QA-ZZ5'!$C$5:$M$299,11,0),"Inspection at production line")</f>
        <v>Inspection at production line</v>
      </c>
    </row>
    <row r="6185" spans="1:4" ht="13.8">
      <c r="A6185" s="47" t="s">
        <v>13188</v>
      </c>
      <c r="B6185" s="92" t="s">
        <v>7812</v>
      </c>
      <c r="C6185" s="92" t="s">
        <v>7812</v>
      </c>
      <c r="D6185" s="72" t="str">
        <f>IFERROR(VLOOKUP(A6185,'[1]ST-QA-ZZ5'!$C$5:$M$299,11,0),"Inspection at production line")</f>
        <v>Inspection at production line</v>
      </c>
    </row>
    <row r="6186" spans="1:4" ht="13.8">
      <c r="A6186" s="47" t="s">
        <v>13189</v>
      </c>
      <c r="B6186" s="92" t="s">
        <v>7804</v>
      </c>
      <c r="C6186" s="92" t="s">
        <v>7804</v>
      </c>
      <c r="D6186" s="72" t="str">
        <f>IFERROR(VLOOKUP(A6186,'[1]ST-QA-ZZ5'!$C$5:$M$299,11,0),"Inspection at production line")</f>
        <v>Inspection at production line</v>
      </c>
    </row>
    <row r="6187" spans="1:4" ht="13.8">
      <c r="A6187" s="47" t="s">
        <v>13190</v>
      </c>
      <c r="B6187" s="92" t="s">
        <v>7820</v>
      </c>
      <c r="C6187" s="92" t="s">
        <v>7820</v>
      </c>
      <c r="D6187" s="72" t="str">
        <f>IFERROR(VLOOKUP(A6187,'[1]ST-QA-ZZ5'!$C$5:$M$299,11,0),"Inspection at production line")</f>
        <v>Inspection at production line</v>
      </c>
    </row>
    <row r="6188" spans="1:4" ht="13.8">
      <c r="A6188" s="47" t="s">
        <v>13191</v>
      </c>
      <c r="B6188" s="92" t="s">
        <v>13192</v>
      </c>
      <c r="C6188" s="92" t="s">
        <v>13192</v>
      </c>
      <c r="D6188" s="72" t="str">
        <f>IFERROR(VLOOKUP(A6188,'[1]ST-QA-ZZ5'!$C$5:$M$299,11,0),"Inspection at production line")</f>
        <v>Inspection at production line</v>
      </c>
    </row>
    <row r="6189" spans="1:4" ht="13.8">
      <c r="A6189" s="47" t="s">
        <v>13193</v>
      </c>
      <c r="B6189" s="92" t="s">
        <v>119</v>
      </c>
      <c r="C6189" s="92" t="s">
        <v>311</v>
      </c>
      <c r="D6189" s="72" t="str">
        <f>IFERROR(VLOOKUP(A6189,'[1]ST-QA-ZZ5'!$C$5:$M$299,11,0),"Inspection at production line")</f>
        <v>Inspection at production line</v>
      </c>
    </row>
    <row r="6190" spans="1:4" ht="13.8">
      <c r="A6190" s="47" t="s">
        <v>13194</v>
      </c>
      <c r="B6190" s="92" t="s">
        <v>119</v>
      </c>
      <c r="C6190" s="92" t="s">
        <v>5841</v>
      </c>
      <c r="D6190" s="72" t="str">
        <f>IFERROR(VLOOKUP(A6190,'[1]ST-QA-ZZ5'!$C$5:$M$299,11,0),"Inspection at production line")</f>
        <v>Inspection at production line</v>
      </c>
    </row>
    <row r="6191" spans="1:4" ht="13.8">
      <c r="A6191" s="47" t="s">
        <v>13195</v>
      </c>
      <c r="B6191" s="92" t="s">
        <v>13196</v>
      </c>
      <c r="C6191" s="92" t="s">
        <v>13196</v>
      </c>
      <c r="D6191" s="72" t="str">
        <f>IFERROR(VLOOKUP(A6191,'[1]ST-QA-ZZ5'!$C$5:$M$299,11,0),"Inspection at production line")</f>
        <v>Inspection at production line</v>
      </c>
    </row>
    <row r="6192" spans="1:4" ht="13.8">
      <c r="A6192" s="47" t="s">
        <v>13197</v>
      </c>
      <c r="B6192" s="92" t="s">
        <v>13198</v>
      </c>
      <c r="C6192" s="92" t="s">
        <v>13198</v>
      </c>
      <c r="D6192" s="72" t="str">
        <f>IFERROR(VLOOKUP(A6192,'[1]ST-QA-ZZ5'!$C$5:$M$299,11,0),"Inspection at production line")</f>
        <v>Inspection at production line</v>
      </c>
    </row>
    <row r="6193" spans="1:4" ht="13.8">
      <c r="A6193" s="47" t="s">
        <v>13199</v>
      </c>
      <c r="B6193" s="92" t="s">
        <v>13200</v>
      </c>
      <c r="C6193" s="92" t="s">
        <v>13200</v>
      </c>
      <c r="D6193" s="72" t="str">
        <f>IFERROR(VLOOKUP(A6193,'[1]ST-QA-ZZ5'!$C$5:$M$299,11,0),"Inspection at production line")</f>
        <v>Inspection at production line</v>
      </c>
    </row>
    <row r="6194" spans="1:4" ht="13.8">
      <c r="A6194" s="47" t="s">
        <v>13201</v>
      </c>
      <c r="B6194" s="92" t="s">
        <v>13202</v>
      </c>
      <c r="C6194" s="92" t="s">
        <v>13202</v>
      </c>
      <c r="D6194" s="72" t="str">
        <f>IFERROR(VLOOKUP(A6194,'[1]ST-QA-ZZ5'!$C$5:$M$299,11,0),"Inspection at production line")</f>
        <v>Inspection at production line</v>
      </c>
    </row>
    <row r="6195" spans="1:4" ht="13.8">
      <c r="A6195" s="47" t="s">
        <v>13203</v>
      </c>
      <c r="B6195" s="92" t="s">
        <v>13204</v>
      </c>
      <c r="C6195" s="92" t="s">
        <v>13204</v>
      </c>
      <c r="D6195" s="72" t="str">
        <f>IFERROR(VLOOKUP(A6195,'[1]ST-QA-ZZ5'!$C$5:$M$299,11,0),"Inspection at production line")</f>
        <v>Inspection at production line</v>
      </c>
    </row>
    <row r="6196" spans="1:4" ht="13.8">
      <c r="A6196" s="47" t="s">
        <v>13205</v>
      </c>
      <c r="B6196" s="92" t="s">
        <v>13206</v>
      </c>
      <c r="C6196" s="92" t="s">
        <v>13206</v>
      </c>
      <c r="D6196" s="72" t="str">
        <f>IFERROR(VLOOKUP(A6196,'[1]ST-QA-ZZ5'!$C$5:$M$299,11,0),"Inspection at production line")</f>
        <v>Inspection at production line</v>
      </c>
    </row>
    <row r="6197" spans="1:4" ht="13.8">
      <c r="A6197" s="47" t="s">
        <v>13207</v>
      </c>
      <c r="B6197" s="92" t="s">
        <v>13208</v>
      </c>
      <c r="C6197" s="92" t="s">
        <v>13208</v>
      </c>
      <c r="D6197" s="72" t="str">
        <f>IFERROR(VLOOKUP(A6197,'[1]ST-QA-ZZ5'!$C$5:$M$299,11,0),"Inspection at production line")</f>
        <v>Inspection at production line</v>
      </c>
    </row>
    <row r="6198" spans="1:4" ht="13.8">
      <c r="A6198" s="47" t="s">
        <v>13209</v>
      </c>
      <c r="B6198" s="92" t="s">
        <v>13208</v>
      </c>
      <c r="C6198" s="92" t="s">
        <v>13208</v>
      </c>
      <c r="D6198" s="72" t="str">
        <f>IFERROR(VLOOKUP(A6198,'[1]ST-QA-ZZ5'!$C$5:$M$299,11,0),"Inspection at production line")</f>
        <v>Inspection at production line</v>
      </c>
    </row>
    <row r="6199" spans="1:4" ht="13.8">
      <c r="A6199" s="47" t="s">
        <v>13210</v>
      </c>
      <c r="B6199" s="92" t="s">
        <v>13204</v>
      </c>
      <c r="C6199" s="92" t="s">
        <v>13204</v>
      </c>
      <c r="D6199" s="72" t="str">
        <f>IFERROR(VLOOKUP(A6199,'[1]ST-QA-ZZ5'!$C$5:$M$299,11,0),"Inspection at production line")</f>
        <v>Inspection at production line</v>
      </c>
    </row>
    <row r="6200" spans="1:4" ht="13.8">
      <c r="A6200" s="47" t="s">
        <v>13211</v>
      </c>
      <c r="B6200" s="92" t="s">
        <v>13202</v>
      </c>
      <c r="C6200" s="92" t="s">
        <v>13202</v>
      </c>
      <c r="D6200" s="72" t="str">
        <f>IFERROR(VLOOKUP(A6200,'[1]ST-QA-ZZ5'!$C$5:$M$299,11,0),"Inspection at production line")</f>
        <v>Inspection at production line</v>
      </c>
    </row>
    <row r="6201" spans="1:4" ht="13.8">
      <c r="A6201" s="47" t="s">
        <v>13212</v>
      </c>
      <c r="B6201" s="92" t="s">
        <v>13206</v>
      </c>
      <c r="C6201" s="92" t="s">
        <v>13206</v>
      </c>
      <c r="D6201" s="72" t="str">
        <f>IFERROR(VLOOKUP(A6201,'[1]ST-QA-ZZ5'!$C$5:$M$299,11,0),"Inspection at production line")</f>
        <v>Inspection at production line</v>
      </c>
    </row>
    <row r="6202" spans="1:4" ht="13.8">
      <c r="A6202" s="47" t="s">
        <v>13213</v>
      </c>
      <c r="B6202" s="92" t="s">
        <v>13214</v>
      </c>
      <c r="C6202" s="92" t="s">
        <v>13214</v>
      </c>
      <c r="D6202" s="72" t="str">
        <f>IFERROR(VLOOKUP(A6202,'[1]ST-QA-ZZ5'!$C$5:$M$299,11,0),"Inspection at production line")</f>
        <v>Inspection at production line</v>
      </c>
    </row>
    <row r="6203" spans="1:4" ht="13.8">
      <c r="A6203" s="47" t="s">
        <v>13215</v>
      </c>
      <c r="B6203" s="92" t="s">
        <v>13216</v>
      </c>
      <c r="C6203" s="92" t="s">
        <v>13216</v>
      </c>
      <c r="D6203" s="72" t="str">
        <f>IFERROR(VLOOKUP(A6203,'[1]ST-QA-ZZ5'!$C$5:$M$299,11,0),"Inspection at production line")</f>
        <v>Inspection at production line</v>
      </c>
    </row>
    <row r="6204" spans="1:4" ht="13.8">
      <c r="A6204" s="47" t="s">
        <v>13217</v>
      </c>
      <c r="B6204" s="92" t="s">
        <v>13218</v>
      </c>
      <c r="C6204" s="92" t="s">
        <v>13218</v>
      </c>
      <c r="D6204" s="72" t="str">
        <f>IFERROR(VLOOKUP(A6204,'[1]ST-QA-ZZ5'!$C$5:$M$299,11,0),"Inspection at production line")</f>
        <v>Inspection at production line</v>
      </c>
    </row>
    <row r="6205" spans="1:4" ht="13.8">
      <c r="A6205" s="47" t="s">
        <v>13219</v>
      </c>
      <c r="B6205" s="92" t="s">
        <v>13220</v>
      </c>
      <c r="C6205" s="92" t="s">
        <v>13220</v>
      </c>
      <c r="D6205" s="72" t="str">
        <f>IFERROR(VLOOKUP(A6205,'[1]ST-QA-ZZ5'!$C$5:$M$299,11,0),"Inspection at production line")</f>
        <v>Inspection at production line</v>
      </c>
    </row>
    <row r="6206" spans="1:4" ht="13.8">
      <c r="A6206" s="47" t="s">
        <v>13221</v>
      </c>
      <c r="B6206" s="92" t="s">
        <v>13222</v>
      </c>
      <c r="C6206" s="92" t="s">
        <v>13222</v>
      </c>
      <c r="D6206" s="72" t="str">
        <f>IFERROR(VLOOKUP(A6206,'[1]ST-QA-ZZ5'!$C$5:$M$299,11,0),"Inspection at production line")</f>
        <v>Inspection at production line</v>
      </c>
    </row>
    <row r="6207" spans="1:4" ht="13.8">
      <c r="A6207" s="47" t="s">
        <v>13223</v>
      </c>
      <c r="B6207" s="92" t="s">
        <v>7814</v>
      </c>
      <c r="C6207" s="92" t="s">
        <v>7814</v>
      </c>
      <c r="D6207" s="72" t="str">
        <f>IFERROR(VLOOKUP(A6207,'[1]ST-QA-ZZ5'!$C$5:$M$299,11,0),"Inspection at production line")</f>
        <v>Inspection at production line</v>
      </c>
    </row>
    <row r="6208" spans="1:4" ht="13.8">
      <c r="A6208" s="47" t="s">
        <v>13224</v>
      </c>
      <c r="B6208" s="92" t="s">
        <v>7806</v>
      </c>
      <c r="C6208" s="94" t="s">
        <v>7806</v>
      </c>
      <c r="D6208" s="72" t="str">
        <f>IFERROR(VLOOKUP(A6208,'[1]ST-QA-ZZ5'!$C$5:$M$299,11,0),"Inspection at production line")</f>
        <v>Inspection at production line</v>
      </c>
    </row>
    <row r="6209" spans="1:4" ht="13.8">
      <c r="A6209" s="47" t="s">
        <v>13225</v>
      </c>
      <c r="B6209" s="92" t="s">
        <v>7822</v>
      </c>
      <c r="C6209" s="92" t="s">
        <v>7822</v>
      </c>
      <c r="D6209" s="72" t="str">
        <f>IFERROR(VLOOKUP(A6209,'[1]ST-QA-ZZ5'!$C$5:$M$299,11,0),"Inspection at production line")</f>
        <v>Inspection at production line</v>
      </c>
    </row>
    <row r="6210" spans="1:4" ht="13.8">
      <c r="A6210" s="47" t="s">
        <v>13226</v>
      </c>
      <c r="B6210" s="92" t="s">
        <v>13227</v>
      </c>
      <c r="C6210" s="92" t="s">
        <v>13228</v>
      </c>
      <c r="D6210" s="72" t="str">
        <f>IFERROR(VLOOKUP(A6210,'[1]ST-QA-ZZ5'!$C$5:$M$299,11,0),"Inspection at production line")</f>
        <v>Inspection at production line</v>
      </c>
    </row>
    <row r="6211" spans="1:4" ht="13.8">
      <c r="A6211" s="47" t="s">
        <v>13229</v>
      </c>
      <c r="B6211" s="92" t="s">
        <v>13230</v>
      </c>
      <c r="C6211" s="92" t="s">
        <v>13231</v>
      </c>
      <c r="D6211" s="72" t="str">
        <f>IFERROR(VLOOKUP(A6211,'[1]ST-QA-ZZ5'!$C$5:$M$299,11,0),"Inspection at production line")</f>
        <v>Inspection at production line</v>
      </c>
    </row>
    <row r="6212" spans="1:4" ht="13.8">
      <c r="A6212" s="47" t="s">
        <v>13232</v>
      </c>
      <c r="B6212" s="92" t="s">
        <v>13233</v>
      </c>
      <c r="C6212" s="92" t="s">
        <v>13234</v>
      </c>
      <c r="D6212" s="72" t="str">
        <f>IFERROR(VLOOKUP(A6212,'[1]ST-QA-ZZ5'!$C$5:$M$299,11,0),"Inspection at production line")</f>
        <v>Inspection at production line</v>
      </c>
    </row>
    <row r="6213" spans="1:4" ht="13.8">
      <c r="A6213" s="47" t="s">
        <v>13235</v>
      </c>
      <c r="B6213" s="92" t="s">
        <v>13236</v>
      </c>
      <c r="C6213" s="92" t="s">
        <v>13236</v>
      </c>
      <c r="D6213" s="72" t="str">
        <f>IFERROR(VLOOKUP(A6213,'[1]ST-QA-ZZ5'!$C$5:$M$299,11,0),"Inspection at production line")</f>
        <v>Inspection at production line</v>
      </c>
    </row>
    <row r="6214" spans="1:4" ht="13.8">
      <c r="A6214" s="47" t="s">
        <v>13237</v>
      </c>
      <c r="B6214" s="92" t="s">
        <v>13238</v>
      </c>
      <c r="C6214" s="92" t="s">
        <v>13238</v>
      </c>
      <c r="D6214" s="72" t="str">
        <f>IFERROR(VLOOKUP(A6214,'[1]ST-QA-ZZ5'!$C$5:$M$299,11,0),"Inspection at production line")</f>
        <v>Inspection at production line</v>
      </c>
    </row>
    <row r="6215" spans="1:4" ht="13.8">
      <c r="A6215" s="47" t="s">
        <v>13239</v>
      </c>
      <c r="B6215" s="92" t="s">
        <v>8088</v>
      </c>
      <c r="C6215" s="92" t="s">
        <v>8089</v>
      </c>
      <c r="D6215" s="72" t="str">
        <f>IFERROR(VLOOKUP(A6215,'[1]ST-QA-ZZ5'!$C$5:$M$299,11,0),"Inspection at production line")</f>
        <v>Inspection at production line</v>
      </c>
    </row>
    <row r="6216" spans="1:4" ht="13.8">
      <c r="A6216" s="47" t="s">
        <v>13240</v>
      </c>
      <c r="B6216" s="92" t="s">
        <v>13241</v>
      </c>
      <c r="C6216" s="92" t="s">
        <v>13241</v>
      </c>
      <c r="D6216" s="72" t="str">
        <f>IFERROR(VLOOKUP(A6216,'[1]ST-QA-ZZ5'!$C$5:$M$299,11,0),"Inspection at production line")</f>
        <v>Inspection at production line</v>
      </c>
    </row>
    <row r="6217" spans="1:4" ht="13.8">
      <c r="A6217" s="47" t="s">
        <v>13242</v>
      </c>
      <c r="B6217" s="92" t="s">
        <v>13238</v>
      </c>
      <c r="C6217" s="92" t="s">
        <v>13238</v>
      </c>
      <c r="D6217" s="72" t="str">
        <f>IFERROR(VLOOKUP(A6217,'[1]ST-QA-ZZ5'!$C$5:$M$299,11,0),"Inspection at production line")</f>
        <v>Inspection at production line</v>
      </c>
    </row>
    <row r="6218" spans="1:4" ht="13.8">
      <c r="A6218" s="47" t="s">
        <v>13243</v>
      </c>
      <c r="B6218" s="92" t="s">
        <v>1959</v>
      </c>
      <c r="C6218" s="92" t="s">
        <v>13244</v>
      </c>
      <c r="D6218" s="72" t="str">
        <f>IFERROR(VLOOKUP(A6218,'[1]ST-QA-ZZ5'!$C$5:$M$299,11,0),"Inspection at production line")</f>
        <v>Inspection at production line</v>
      </c>
    </row>
    <row r="6219" spans="1:4" ht="13.8">
      <c r="A6219" s="47" t="s">
        <v>13245</v>
      </c>
      <c r="B6219" s="92" t="s">
        <v>213</v>
      </c>
      <c r="C6219" s="92" t="s">
        <v>8122</v>
      </c>
      <c r="D6219" s="72" t="str">
        <f>IFERROR(VLOOKUP(A6219,'[1]ST-QA-ZZ5'!$C$5:$M$299,11,0),"Inspection at production line")</f>
        <v>Inspection at production line</v>
      </c>
    </row>
    <row r="6220" spans="1:4" ht="13.8">
      <c r="A6220" s="47" t="s">
        <v>13246</v>
      </c>
      <c r="B6220" s="92" t="s">
        <v>13247</v>
      </c>
      <c r="C6220" s="92" t="s">
        <v>13247</v>
      </c>
      <c r="D6220" s="72" t="str">
        <f>IFERROR(VLOOKUP(A6220,'[1]ST-QA-ZZ5'!$C$5:$M$299,11,0),"Inspection at production line")</f>
        <v>Inspection at production line</v>
      </c>
    </row>
    <row r="6221" spans="1:4" ht="13.8">
      <c r="A6221" s="47" t="s">
        <v>13248</v>
      </c>
      <c r="B6221" s="92" t="s">
        <v>1517</v>
      </c>
      <c r="C6221" s="92" t="s">
        <v>6138</v>
      </c>
      <c r="D6221" s="72" t="str">
        <f>IFERROR(VLOOKUP(A6221,'[1]ST-QA-ZZ5'!$C$5:$M$299,11,0),"Inspection at production line")</f>
        <v>Inspection at production line</v>
      </c>
    </row>
    <row r="6222" spans="1:4" ht="13.8">
      <c r="A6222" s="47" t="s">
        <v>13249</v>
      </c>
      <c r="B6222" s="92" t="s">
        <v>13250</v>
      </c>
      <c r="C6222" s="92" t="s">
        <v>13250</v>
      </c>
      <c r="D6222" s="72" t="str">
        <f>IFERROR(VLOOKUP(A6222,'[1]ST-QA-ZZ5'!$C$5:$M$299,11,0),"Inspection at production line")</f>
        <v>Inspection at production line</v>
      </c>
    </row>
    <row r="6223" spans="1:4" ht="13.8">
      <c r="A6223" s="47" t="s">
        <v>13251</v>
      </c>
      <c r="B6223" s="92" t="s">
        <v>13252</v>
      </c>
      <c r="C6223" s="92" t="s">
        <v>13252</v>
      </c>
      <c r="D6223" s="72" t="str">
        <f>IFERROR(VLOOKUP(A6223,'[1]ST-QA-ZZ5'!$C$5:$M$299,11,0),"Inspection at production line")</f>
        <v>Inspection at production line</v>
      </c>
    </row>
    <row r="6224" spans="1:4" ht="13.8">
      <c r="A6224" s="47" t="s">
        <v>13253</v>
      </c>
      <c r="B6224" s="92" t="s">
        <v>13254</v>
      </c>
      <c r="C6224" s="92" t="s">
        <v>13254</v>
      </c>
      <c r="D6224" s="72" t="str">
        <f>IFERROR(VLOOKUP(A6224,'[1]ST-QA-ZZ5'!$C$5:$M$299,11,0),"Inspection at production line")</f>
        <v>Inspection at production line</v>
      </c>
    </row>
    <row r="6225" spans="1:4" ht="13.8">
      <c r="A6225" s="47" t="s">
        <v>13255</v>
      </c>
      <c r="B6225" s="92" t="s">
        <v>13256</v>
      </c>
      <c r="C6225" s="92" t="s">
        <v>13256</v>
      </c>
      <c r="D6225" s="72" t="str">
        <f>IFERROR(VLOOKUP(A6225,'[1]ST-QA-ZZ5'!$C$5:$M$299,11,0),"Inspection at production line")</f>
        <v>Inspection at production line</v>
      </c>
    </row>
    <row r="6226" spans="1:4" ht="13.8">
      <c r="A6226" s="47" t="s">
        <v>13257</v>
      </c>
      <c r="B6226" s="92" t="s">
        <v>8104</v>
      </c>
      <c r="C6226" s="92" t="s">
        <v>8104</v>
      </c>
      <c r="D6226" s="72" t="str">
        <f>IFERROR(VLOOKUP(A6226,'[1]ST-QA-ZZ5'!$C$5:$M$299,11,0),"Inspection at production line")</f>
        <v>Inspection at production line</v>
      </c>
    </row>
    <row r="6227" spans="1:4" ht="13.8">
      <c r="A6227" s="47" t="s">
        <v>13258</v>
      </c>
      <c r="B6227" s="92" t="s">
        <v>8108</v>
      </c>
      <c r="C6227" s="92" t="s">
        <v>8108</v>
      </c>
      <c r="D6227" s="72" t="str">
        <f>IFERROR(VLOOKUP(A6227,'[1]ST-QA-ZZ5'!$C$5:$M$299,11,0),"Inspection at production line")</f>
        <v>Inspection at production line</v>
      </c>
    </row>
    <row r="6228" spans="1:4" ht="13.8">
      <c r="A6228" s="47" t="s">
        <v>13259</v>
      </c>
      <c r="B6228" s="92" t="s">
        <v>13260</v>
      </c>
      <c r="C6228" s="92" t="s">
        <v>13260</v>
      </c>
      <c r="D6228" s="72" t="str">
        <f>IFERROR(VLOOKUP(A6228,'[1]ST-QA-ZZ5'!$C$5:$M$299,11,0),"Inspection at production line")</f>
        <v>Inspection at production line</v>
      </c>
    </row>
    <row r="6229" spans="1:4" ht="13.8">
      <c r="A6229" s="47" t="s">
        <v>13261</v>
      </c>
      <c r="B6229" s="92" t="s">
        <v>13262</v>
      </c>
      <c r="C6229" s="92" t="s">
        <v>13262</v>
      </c>
      <c r="D6229" s="72" t="str">
        <f>IFERROR(VLOOKUP(A6229,'[1]ST-QA-ZZ5'!$C$5:$M$299,11,0),"Inspection at production line")</f>
        <v>Inspection at production line</v>
      </c>
    </row>
    <row r="6230" spans="1:4" ht="13.8">
      <c r="A6230" s="47" t="s">
        <v>13263</v>
      </c>
      <c r="B6230" s="92" t="s">
        <v>1513</v>
      </c>
      <c r="C6230" s="92" t="s">
        <v>8120</v>
      </c>
      <c r="D6230" s="72" t="str">
        <f>IFERROR(VLOOKUP(A6230,'[1]ST-QA-ZZ5'!$C$5:$M$299,11,0),"Inspection at production line")</f>
        <v>Inspection at production line</v>
      </c>
    </row>
    <row r="6231" spans="1:4" ht="13.8">
      <c r="A6231" s="47" t="s">
        <v>13264</v>
      </c>
      <c r="B6231" s="92" t="s">
        <v>13265</v>
      </c>
      <c r="C6231" s="92" t="s">
        <v>13265</v>
      </c>
      <c r="D6231" s="72" t="str">
        <f>IFERROR(VLOOKUP(A6231,'[1]ST-QA-ZZ5'!$C$5:$M$299,11,0),"Inspection at production line")</f>
        <v>Inspection at production line</v>
      </c>
    </row>
    <row r="6232" spans="1:4" ht="13.8">
      <c r="A6232" s="47" t="s">
        <v>13266</v>
      </c>
      <c r="B6232" s="92" t="s">
        <v>7828</v>
      </c>
      <c r="C6232" s="92" t="s">
        <v>7828</v>
      </c>
      <c r="D6232" s="72" t="str">
        <f>IFERROR(VLOOKUP(A6232,'[1]ST-QA-ZZ5'!$C$5:$M$299,11,0),"Inspection at production line")</f>
        <v>Inspection at production line</v>
      </c>
    </row>
    <row r="6233" spans="1:4" ht="13.8">
      <c r="A6233" s="47" t="s">
        <v>13267</v>
      </c>
      <c r="B6233" s="92" t="s">
        <v>119</v>
      </c>
      <c r="C6233" s="92" t="s">
        <v>7896</v>
      </c>
      <c r="D6233" s="72" t="str">
        <f>IFERROR(VLOOKUP(A6233,'[1]ST-QA-ZZ5'!$C$5:$M$299,11,0),"Inspection at production line")</f>
        <v>Inspection at production line</v>
      </c>
    </row>
    <row r="6234" spans="1:4" ht="13.8">
      <c r="A6234" s="47" t="s">
        <v>13268</v>
      </c>
      <c r="B6234" s="92" t="s">
        <v>797</v>
      </c>
      <c r="C6234" s="92" t="s">
        <v>13269</v>
      </c>
      <c r="D6234" s="72" t="str">
        <f>IFERROR(VLOOKUP(A6234,'[1]ST-QA-ZZ5'!$C$5:$M$299,11,0),"Inspection at production line")</f>
        <v>Inspection at production line</v>
      </c>
    </row>
    <row r="6235" spans="1:4" ht="13.8">
      <c r="A6235" s="47" t="s">
        <v>13270</v>
      </c>
      <c r="B6235" s="92" t="s">
        <v>2438</v>
      </c>
      <c r="C6235" s="92" t="s">
        <v>2624</v>
      </c>
      <c r="D6235" s="72" t="str">
        <f>IFERROR(VLOOKUP(A6235,'[1]ST-QA-ZZ5'!$C$5:$M$299,11,0),"Inspection at production line")</f>
        <v>Inspection at production line</v>
      </c>
    </row>
    <row r="6236" spans="1:4" ht="13.8">
      <c r="A6236" s="47" t="s">
        <v>13271</v>
      </c>
      <c r="B6236" s="92" t="s">
        <v>1669</v>
      </c>
      <c r="C6236" s="92" t="s">
        <v>13272</v>
      </c>
      <c r="D6236" s="72" t="str">
        <f>IFERROR(VLOOKUP(A6236,'[1]ST-QA-ZZ5'!$C$5:$M$299,11,0),"Inspection at production line")</f>
        <v>Inspection at production line</v>
      </c>
    </row>
    <row r="6237" spans="1:4" ht="13.8">
      <c r="A6237" s="47" t="s">
        <v>13273</v>
      </c>
      <c r="B6237" s="92" t="s">
        <v>1669</v>
      </c>
      <c r="C6237" s="92" t="s">
        <v>13274</v>
      </c>
      <c r="D6237" s="72" t="str">
        <f>IFERROR(VLOOKUP(A6237,'[1]ST-QA-ZZ5'!$C$5:$M$299,11,0),"Inspection at production line")</f>
        <v>Inspection at production line</v>
      </c>
    </row>
    <row r="6238" spans="1:4" ht="13.8">
      <c r="A6238" s="47" t="s">
        <v>13275</v>
      </c>
      <c r="B6238" s="92" t="s">
        <v>818</v>
      </c>
      <c r="C6238" s="92" t="s">
        <v>5172</v>
      </c>
      <c r="D6238" s="72" t="str">
        <f>IFERROR(VLOOKUP(A6238,'[1]ST-QA-ZZ5'!$C$5:$M$299,11,0),"Inspection at production line")</f>
        <v>Inspection at production line</v>
      </c>
    </row>
    <row r="6239" spans="1:4" ht="13.8">
      <c r="A6239" s="47" t="s">
        <v>13276</v>
      </c>
      <c r="B6239" s="92" t="s">
        <v>310</v>
      </c>
      <c r="C6239" s="92" t="s">
        <v>311</v>
      </c>
      <c r="D6239" s="72" t="str">
        <f>IFERROR(VLOOKUP(A6239,'[1]ST-QA-ZZ5'!$C$5:$M$299,11,0),"Inspection at production line")</f>
        <v>Inspection at production line</v>
      </c>
    </row>
    <row r="6240" spans="1:4" ht="13.8">
      <c r="A6240" s="47" t="s">
        <v>13277</v>
      </c>
      <c r="B6240" s="92" t="s">
        <v>818</v>
      </c>
      <c r="C6240" s="92" t="s">
        <v>5172</v>
      </c>
      <c r="D6240" s="72" t="str">
        <f>IFERROR(VLOOKUP(A6240,'[1]ST-QA-ZZ5'!$C$5:$M$299,11,0),"Inspection at production line")</f>
        <v>Inspection at production line</v>
      </c>
    </row>
    <row r="6241" spans="1:4" ht="13.8">
      <c r="A6241" s="47" t="s">
        <v>13278</v>
      </c>
      <c r="B6241" s="92" t="s">
        <v>827</v>
      </c>
      <c r="C6241" s="92" t="s">
        <v>827</v>
      </c>
      <c r="D6241" s="72" t="str">
        <f>IFERROR(VLOOKUP(A6241,'[1]ST-QA-ZZ5'!$C$5:$M$299,11,0),"Inspection at production line")</f>
        <v>Inspection at production line</v>
      </c>
    </row>
    <row r="6242" spans="1:4" ht="13.8">
      <c r="A6242" s="47" t="s">
        <v>13279</v>
      </c>
      <c r="B6242" s="92" t="s">
        <v>857</v>
      </c>
      <c r="C6242" s="92" t="s">
        <v>13280</v>
      </c>
      <c r="D6242" s="72" t="str">
        <f>IFERROR(VLOOKUP(A6242,'[1]ST-QA-ZZ5'!$C$5:$M$299,11,0),"Inspection at production line")</f>
        <v>Inspection at production line</v>
      </c>
    </row>
    <row r="6243" spans="1:4" ht="13.8">
      <c r="A6243" s="47" t="s">
        <v>13281</v>
      </c>
      <c r="B6243" s="92" t="s">
        <v>13282</v>
      </c>
      <c r="C6243" s="92" t="s">
        <v>13282</v>
      </c>
      <c r="D6243" s="72" t="str">
        <f>IFERROR(VLOOKUP(A6243,'[1]ST-QA-ZZ5'!$C$5:$M$299,11,0),"Inspection at production line")</f>
        <v>Inspection at production line</v>
      </c>
    </row>
    <row r="6244" spans="1:4" ht="13.8">
      <c r="A6244" s="47" t="s">
        <v>13283</v>
      </c>
      <c r="B6244" s="92" t="s">
        <v>13284</v>
      </c>
      <c r="C6244" s="92" t="s">
        <v>13284</v>
      </c>
      <c r="D6244" s="72" t="str">
        <f>IFERROR(VLOOKUP(A6244,'[1]ST-QA-ZZ5'!$C$5:$M$299,11,0),"Inspection at production line")</f>
        <v>Inspection at production line</v>
      </c>
    </row>
    <row r="6245" spans="1:4" ht="13.8">
      <c r="A6245" s="47" t="s">
        <v>13285</v>
      </c>
      <c r="B6245" s="92" t="s">
        <v>13286</v>
      </c>
      <c r="C6245" s="92" t="s">
        <v>13286</v>
      </c>
      <c r="D6245" s="72" t="str">
        <f>IFERROR(VLOOKUP(A6245,'[1]ST-QA-ZZ5'!$C$5:$M$299,11,0),"Inspection at production line")</f>
        <v>Inspection at production line</v>
      </c>
    </row>
    <row r="6246" spans="1:4" ht="13.8">
      <c r="A6246" s="47" t="s">
        <v>13287</v>
      </c>
      <c r="B6246" s="92" t="s">
        <v>2566</v>
      </c>
      <c r="C6246" s="92" t="s">
        <v>13288</v>
      </c>
      <c r="D6246" s="72" t="str">
        <f>IFERROR(VLOOKUP(A6246,'[1]ST-QA-ZZ5'!$C$5:$M$299,11,0),"Inspection at production line")</f>
        <v>Inspection at production line</v>
      </c>
    </row>
    <row r="6247" spans="1:4" ht="13.8">
      <c r="A6247" s="47" t="s">
        <v>13289</v>
      </c>
      <c r="B6247" s="92" t="s">
        <v>2566</v>
      </c>
      <c r="C6247" s="92" t="s">
        <v>13290</v>
      </c>
      <c r="D6247" s="72" t="str">
        <f>IFERROR(VLOOKUP(A6247,'[1]ST-QA-ZZ5'!$C$5:$M$299,11,0),"Inspection at production line")</f>
        <v>Inspection at production line</v>
      </c>
    </row>
    <row r="6248" spans="1:4" ht="13.8">
      <c r="A6248" s="47" t="s">
        <v>13291</v>
      </c>
      <c r="B6248" s="92" t="s">
        <v>1949</v>
      </c>
      <c r="C6248" s="92" t="s">
        <v>1949</v>
      </c>
      <c r="D6248" s="72" t="str">
        <f>IFERROR(VLOOKUP(A6248,'[1]ST-QA-ZZ5'!$C$5:$M$299,11,0),"Inspection at production line")</f>
        <v>Inspection at production line</v>
      </c>
    </row>
    <row r="6249" spans="1:4" ht="13.8">
      <c r="A6249" s="47" t="s">
        <v>13292</v>
      </c>
      <c r="B6249" s="92" t="s">
        <v>13293</v>
      </c>
      <c r="C6249" s="92" t="s">
        <v>13293</v>
      </c>
      <c r="D6249" s="72" t="str">
        <f>IFERROR(VLOOKUP(A6249,'[1]ST-QA-ZZ5'!$C$5:$M$299,11,0),"Inspection at production line")</f>
        <v>Inspection at production line</v>
      </c>
    </row>
    <row r="6250" spans="1:4" ht="13.8">
      <c r="A6250" s="47" t="s">
        <v>13294</v>
      </c>
      <c r="B6250" s="92" t="s">
        <v>8149</v>
      </c>
      <c r="C6250" s="92" t="s">
        <v>8149</v>
      </c>
      <c r="D6250" s="72" t="str">
        <f>IFERROR(VLOOKUP(A6250,'[1]ST-QA-ZZ5'!$C$5:$M$299,11,0),"Inspection at production line")</f>
        <v>Inspection at production line</v>
      </c>
    </row>
    <row r="6251" spans="1:4" ht="13.8">
      <c r="A6251" s="47" t="s">
        <v>13295</v>
      </c>
      <c r="B6251" s="92" t="s">
        <v>355</v>
      </c>
      <c r="C6251" s="92" t="s">
        <v>13296</v>
      </c>
      <c r="D6251" s="72" t="str">
        <f>IFERROR(VLOOKUP(A6251,'[1]ST-QA-ZZ5'!$C$5:$M$299,11,0),"Inspection at production line")</f>
        <v>Inspection at production line</v>
      </c>
    </row>
    <row r="6252" spans="1:4" ht="13.8">
      <c r="A6252" s="47" t="s">
        <v>13297</v>
      </c>
      <c r="B6252" s="92" t="s">
        <v>891</v>
      </c>
      <c r="C6252" s="92" t="s">
        <v>5145</v>
      </c>
      <c r="D6252" s="72" t="str">
        <f>IFERROR(VLOOKUP(A6252,'[1]ST-QA-ZZ5'!$C$5:$M$299,11,0),"Inspection at production line")</f>
        <v>Inspection at production line</v>
      </c>
    </row>
    <row r="6253" spans="1:4" ht="13.8">
      <c r="A6253" s="47" t="s">
        <v>13298</v>
      </c>
      <c r="B6253" s="92" t="s">
        <v>352</v>
      </c>
      <c r="C6253" s="92" t="s">
        <v>13299</v>
      </c>
      <c r="D6253" s="72" t="str">
        <f>IFERROR(VLOOKUP(A6253,'[1]ST-QA-ZZ5'!$C$5:$M$299,11,0),"Inspection at production line")</f>
        <v>Inspection at production line</v>
      </c>
    </row>
    <row r="6254" spans="1:4" ht="13.8">
      <c r="A6254" s="47" t="s">
        <v>13300</v>
      </c>
      <c r="B6254" s="92" t="s">
        <v>355</v>
      </c>
      <c r="C6254" s="92" t="s">
        <v>13301</v>
      </c>
      <c r="D6254" s="72" t="str">
        <f>IFERROR(VLOOKUP(A6254,'[1]ST-QA-ZZ5'!$C$5:$M$299,11,0),"Inspection at production line")</f>
        <v>Inspection at production line</v>
      </c>
    </row>
    <row r="6255" spans="1:4" ht="13.8">
      <c r="A6255" s="47" t="s">
        <v>13302</v>
      </c>
      <c r="B6255" s="92" t="s">
        <v>355</v>
      </c>
      <c r="C6255" s="92" t="s">
        <v>5009</v>
      </c>
      <c r="D6255" s="72" t="str">
        <f>IFERROR(VLOOKUP(A6255,'[1]ST-QA-ZZ5'!$C$5:$M$299,11,0),"Inspection at production line")</f>
        <v>Inspection at production line</v>
      </c>
    </row>
    <row r="6256" spans="1:4" ht="13.8">
      <c r="A6256" s="47" t="s">
        <v>13303</v>
      </c>
      <c r="B6256" s="92" t="s">
        <v>174</v>
      </c>
      <c r="C6256" s="92" t="s">
        <v>5371</v>
      </c>
      <c r="D6256" s="72" t="str">
        <f>IFERROR(VLOOKUP(A6256,'[1]ST-QA-ZZ5'!$C$5:$M$299,11,0),"Inspection at production line")</f>
        <v>Inspection at production line</v>
      </c>
    </row>
    <row r="6257" spans="1:4" ht="13.8">
      <c r="A6257" s="47" t="s">
        <v>13304</v>
      </c>
      <c r="B6257" s="92" t="s">
        <v>362</v>
      </c>
      <c r="C6257" s="92" t="s">
        <v>13305</v>
      </c>
      <c r="D6257" s="72" t="str">
        <f>IFERROR(VLOOKUP(A6257,'[1]ST-QA-ZZ5'!$C$5:$M$299,11,0),"Inspection at production line")</f>
        <v>Inspection at production line</v>
      </c>
    </row>
    <row r="6258" spans="1:4" ht="13.8">
      <c r="A6258" s="47" t="s">
        <v>13306</v>
      </c>
      <c r="B6258" s="92" t="s">
        <v>397</v>
      </c>
      <c r="C6258" s="92" t="s">
        <v>13307</v>
      </c>
      <c r="D6258" s="72" t="str">
        <f>IFERROR(VLOOKUP(A6258,'[1]ST-QA-ZZ5'!$C$5:$M$299,11,0),"Inspection at production line")</f>
        <v>Inspection at production line</v>
      </c>
    </row>
    <row r="6259" spans="1:4" ht="13.8">
      <c r="A6259" s="47" t="s">
        <v>13308</v>
      </c>
      <c r="B6259" s="92" t="s">
        <v>865</v>
      </c>
      <c r="C6259" s="92" t="s">
        <v>8551</v>
      </c>
      <c r="D6259" s="72" t="str">
        <f>IFERROR(VLOOKUP(A6259,'[1]ST-QA-ZZ5'!$C$5:$M$299,11,0),"Inspection at production line")</f>
        <v>Inspection at production line</v>
      </c>
    </row>
    <row r="6260" spans="1:4" ht="13.8">
      <c r="A6260" s="47" t="s">
        <v>13309</v>
      </c>
      <c r="B6260" s="92" t="s">
        <v>898</v>
      </c>
      <c r="C6260" s="92" t="s">
        <v>13310</v>
      </c>
      <c r="D6260" s="72" t="str">
        <f>IFERROR(VLOOKUP(A6260,'[1]ST-QA-ZZ5'!$C$5:$M$299,11,0),"Inspection at production line")</f>
        <v>Inspection at production line</v>
      </c>
    </row>
    <row r="6261" spans="1:4" ht="13.8">
      <c r="A6261" s="47" t="s">
        <v>13311</v>
      </c>
      <c r="B6261" s="92" t="s">
        <v>932</v>
      </c>
      <c r="C6261" s="92" t="s">
        <v>13312</v>
      </c>
      <c r="D6261" s="72" t="str">
        <f>IFERROR(VLOOKUP(A6261,'[1]ST-QA-ZZ5'!$C$5:$M$299,11,0),"Inspection at production line")</f>
        <v>Inspection at production line</v>
      </c>
    </row>
    <row r="6262" spans="1:4" ht="13.8">
      <c r="A6262" s="47" t="s">
        <v>13313</v>
      </c>
      <c r="B6262" s="92" t="s">
        <v>344</v>
      </c>
      <c r="C6262" s="92" t="s">
        <v>353</v>
      </c>
      <c r="D6262" s="72" t="str">
        <f>IFERROR(VLOOKUP(A6262,'[1]ST-QA-ZZ5'!$C$5:$M$299,11,0),"Inspection at production line")</f>
        <v>Inspection at production line</v>
      </c>
    </row>
    <row r="6263" spans="1:4" ht="13.8">
      <c r="A6263" s="47" t="s">
        <v>13314</v>
      </c>
      <c r="B6263" s="92" t="s">
        <v>865</v>
      </c>
      <c r="C6263" s="92" t="s">
        <v>18224</v>
      </c>
      <c r="D6263" s="72" t="str">
        <f>IFERROR(VLOOKUP(A6263,'[1]ST-QA-ZZ5'!$C$5:$M$299,11,0),"Inspection at production line")</f>
        <v>Inspection at production line</v>
      </c>
    </row>
    <row r="6264" spans="1:4" ht="13.8">
      <c r="A6264" s="47" t="s">
        <v>13315</v>
      </c>
      <c r="B6264" s="92" t="s">
        <v>865</v>
      </c>
      <c r="C6264" s="92" t="s">
        <v>13316</v>
      </c>
      <c r="D6264" s="72" t="str">
        <f>IFERROR(VLOOKUP(A6264,'[1]ST-QA-ZZ5'!$C$5:$M$299,11,0),"Inspection at production line")</f>
        <v>Inspection at production line</v>
      </c>
    </row>
    <row r="6265" spans="1:4" ht="13.8">
      <c r="A6265" s="47" t="s">
        <v>13317</v>
      </c>
      <c r="B6265" s="92" t="s">
        <v>898</v>
      </c>
      <c r="C6265" s="92" t="s">
        <v>13318</v>
      </c>
      <c r="D6265" s="72" t="str">
        <f>IFERROR(VLOOKUP(A6265,'[1]ST-QA-ZZ5'!$C$5:$M$299,11,0),"Inspection at production line")</f>
        <v>Inspection at production line</v>
      </c>
    </row>
    <row r="6266" spans="1:4" ht="13.8">
      <c r="A6266" s="47" t="s">
        <v>13319</v>
      </c>
      <c r="B6266" s="92" t="s">
        <v>898</v>
      </c>
      <c r="C6266" s="92" t="s">
        <v>13320</v>
      </c>
      <c r="D6266" s="72" t="str">
        <f>IFERROR(VLOOKUP(A6266,'[1]ST-QA-ZZ5'!$C$5:$M$299,11,0),"Inspection at production line")</f>
        <v>Inspection at production line</v>
      </c>
    </row>
    <row r="6267" spans="1:4" ht="13.8">
      <c r="A6267" s="47" t="s">
        <v>13321</v>
      </c>
      <c r="B6267" s="92" t="s">
        <v>865</v>
      </c>
      <c r="C6267" s="92" t="s">
        <v>13322</v>
      </c>
      <c r="D6267" s="72" t="str">
        <f>IFERROR(VLOOKUP(A6267,'[1]ST-QA-ZZ5'!$C$5:$M$299,11,0),"Inspection at production line")</f>
        <v>Inspection at production line</v>
      </c>
    </row>
    <row r="6268" spans="1:4" ht="13.8">
      <c r="A6268" s="47" t="s">
        <v>13323</v>
      </c>
      <c r="B6268" s="92" t="s">
        <v>1193</v>
      </c>
      <c r="C6268" s="92" t="s">
        <v>13324</v>
      </c>
      <c r="D6268" s="72" t="str">
        <f>IFERROR(VLOOKUP(A6268,'[1]ST-QA-ZZ5'!$C$5:$M$299,11,0),"Inspection at production line")</f>
        <v>Inspection at production line</v>
      </c>
    </row>
    <row r="6269" spans="1:4" ht="13.8">
      <c r="A6269" s="47" t="s">
        <v>13325</v>
      </c>
      <c r="B6269" s="92" t="s">
        <v>813</v>
      </c>
      <c r="C6269" s="92" t="s">
        <v>13326</v>
      </c>
      <c r="D6269" s="72" t="str">
        <f>IFERROR(VLOOKUP(A6269,'[1]ST-QA-ZZ5'!$C$5:$M$299,11,0),"Inspection at production line")</f>
        <v>Inspection at production line</v>
      </c>
    </row>
    <row r="6270" spans="1:4" ht="13.8">
      <c r="A6270" s="47" t="s">
        <v>13327</v>
      </c>
      <c r="B6270" s="92" t="s">
        <v>1167</v>
      </c>
      <c r="C6270" s="92" t="s">
        <v>13328</v>
      </c>
      <c r="D6270" s="72" t="str">
        <f>IFERROR(VLOOKUP(A6270,'[1]ST-QA-ZZ5'!$C$5:$M$299,11,0),"Inspection at production line")</f>
        <v>Inspection at production line</v>
      </c>
    </row>
    <row r="6271" spans="1:4" ht="13.8">
      <c r="A6271" s="47" t="s">
        <v>13329</v>
      </c>
      <c r="B6271" s="92" t="s">
        <v>1167</v>
      </c>
      <c r="C6271" s="92" t="s">
        <v>13330</v>
      </c>
      <c r="D6271" s="72" t="str">
        <f>IFERROR(VLOOKUP(A6271,'[1]ST-QA-ZZ5'!$C$5:$M$299,11,0),"Inspection at production line")</f>
        <v>Inspection at production line</v>
      </c>
    </row>
    <row r="6272" spans="1:4" ht="13.8">
      <c r="A6272" s="47" t="s">
        <v>13331</v>
      </c>
      <c r="B6272" s="92" t="s">
        <v>814</v>
      </c>
      <c r="C6272" s="92" t="s">
        <v>13332</v>
      </c>
      <c r="D6272" s="72" t="str">
        <f>IFERROR(VLOOKUP(A6272,'[1]ST-QA-ZZ5'!$C$5:$M$299,11,0),"Inspection at production line")</f>
        <v>Inspection at production line</v>
      </c>
    </row>
    <row r="6273" spans="1:4" ht="13.8">
      <c r="A6273" s="47" t="s">
        <v>13333</v>
      </c>
      <c r="B6273" s="92" t="s">
        <v>814</v>
      </c>
      <c r="C6273" s="92" t="s">
        <v>13334</v>
      </c>
      <c r="D6273" s="72" t="str">
        <f>IFERROR(VLOOKUP(A6273,'[1]ST-QA-ZZ5'!$C$5:$M$299,11,0),"Inspection at production line")</f>
        <v>Inspection at production line</v>
      </c>
    </row>
    <row r="6274" spans="1:4" ht="13.8">
      <c r="A6274" s="47" t="s">
        <v>13335</v>
      </c>
      <c r="B6274" s="92" t="s">
        <v>83</v>
      </c>
      <c r="C6274" s="92" t="s">
        <v>13336</v>
      </c>
      <c r="D6274" s="72" t="str">
        <f>IFERROR(VLOOKUP(A6274,'[1]ST-QA-ZZ5'!$C$5:$M$299,11,0),"Inspection at production line")</f>
        <v>Inspection at production line</v>
      </c>
    </row>
    <row r="6275" spans="1:4" ht="13.8">
      <c r="A6275" s="47" t="s">
        <v>13337</v>
      </c>
      <c r="B6275" s="92" t="s">
        <v>83</v>
      </c>
      <c r="C6275" s="92" t="s">
        <v>13338</v>
      </c>
      <c r="D6275" s="72" t="str">
        <f>IFERROR(VLOOKUP(A6275,'[1]ST-QA-ZZ5'!$C$5:$M$299,11,0),"Inspection at production line")</f>
        <v>Inspection at production line</v>
      </c>
    </row>
    <row r="6276" spans="1:4" ht="13.8">
      <c r="A6276" s="47" t="s">
        <v>13339</v>
      </c>
      <c r="B6276" s="92" t="s">
        <v>1614</v>
      </c>
      <c r="C6276" s="92" t="s">
        <v>13340</v>
      </c>
      <c r="D6276" s="72" t="str">
        <f>IFERROR(VLOOKUP(A6276,'[1]ST-QA-ZZ5'!$C$5:$M$299,11,0),"Inspection at production line")</f>
        <v>Inspection at production line</v>
      </c>
    </row>
    <row r="6277" spans="1:4" ht="13.8">
      <c r="A6277" s="47" t="s">
        <v>13341</v>
      </c>
      <c r="B6277" s="92" t="s">
        <v>397</v>
      </c>
      <c r="C6277" s="92" t="s">
        <v>13342</v>
      </c>
      <c r="D6277" s="72" t="str">
        <f>IFERROR(VLOOKUP(A6277,'[1]ST-QA-ZZ5'!$C$5:$M$299,11,0),"Inspection at production line")</f>
        <v>Inspection at production line</v>
      </c>
    </row>
    <row r="6278" spans="1:4" ht="13.8">
      <c r="A6278" s="47" t="s">
        <v>13343</v>
      </c>
      <c r="B6278" s="92" t="s">
        <v>397</v>
      </c>
      <c r="C6278" s="92" t="s">
        <v>13344</v>
      </c>
      <c r="D6278" s="72" t="str">
        <f>IFERROR(VLOOKUP(A6278,'[1]ST-QA-ZZ5'!$C$5:$M$299,11,0),"Inspection at production line")</f>
        <v>Inspection at production line</v>
      </c>
    </row>
    <row r="6279" spans="1:4" ht="13.8">
      <c r="A6279" s="47" t="s">
        <v>13345</v>
      </c>
      <c r="B6279" s="92" t="s">
        <v>818</v>
      </c>
      <c r="C6279" s="92" t="s">
        <v>13346</v>
      </c>
      <c r="D6279" s="72" t="str">
        <f>IFERROR(VLOOKUP(A6279,'[1]ST-QA-ZZ5'!$C$5:$M$299,11,0),"Inspection at production line")</f>
        <v>Inspection at production line</v>
      </c>
    </row>
    <row r="6280" spans="1:4" ht="13.8">
      <c r="A6280" s="47" t="s">
        <v>13347</v>
      </c>
      <c r="B6280" s="92" t="s">
        <v>818</v>
      </c>
      <c r="C6280" s="92" t="s">
        <v>13348</v>
      </c>
      <c r="D6280" s="72" t="str">
        <f>IFERROR(VLOOKUP(A6280,'[1]ST-QA-ZZ5'!$C$5:$M$299,11,0),"Inspection at production line")</f>
        <v>Inspection at production line</v>
      </c>
    </row>
    <row r="6281" spans="1:4" ht="13.8">
      <c r="A6281" s="47" t="s">
        <v>13349</v>
      </c>
      <c r="B6281" s="92" t="s">
        <v>362</v>
      </c>
      <c r="C6281" s="92" t="s">
        <v>13350</v>
      </c>
      <c r="D6281" s="72" t="str">
        <f>IFERROR(VLOOKUP(A6281,'[1]ST-QA-ZZ5'!$C$5:$M$299,11,0),"Inspection at production line")</f>
        <v>Inspection at production line</v>
      </c>
    </row>
    <row r="6282" spans="1:4" ht="13.8">
      <c r="A6282" s="47" t="s">
        <v>13351</v>
      </c>
      <c r="B6282" s="92" t="s">
        <v>362</v>
      </c>
      <c r="C6282" s="92" t="s">
        <v>13352</v>
      </c>
      <c r="D6282" s="72" t="str">
        <f>IFERROR(VLOOKUP(A6282,'[1]ST-QA-ZZ5'!$C$5:$M$299,11,0),"Inspection at production line")</f>
        <v>Inspection at production line</v>
      </c>
    </row>
    <row r="6283" spans="1:4" ht="13.8">
      <c r="A6283" s="47" t="s">
        <v>13353</v>
      </c>
      <c r="B6283" s="92" t="s">
        <v>818</v>
      </c>
      <c r="C6283" s="92" t="s">
        <v>13354</v>
      </c>
      <c r="D6283" s="72" t="str">
        <f>IFERROR(VLOOKUP(A6283,'[1]ST-QA-ZZ5'!$C$5:$M$299,11,0),"Inspection at production line")</f>
        <v>Inspection at production line</v>
      </c>
    </row>
    <row r="6284" spans="1:4" ht="13.8">
      <c r="A6284" s="47" t="s">
        <v>13355</v>
      </c>
      <c r="B6284" s="92" t="s">
        <v>818</v>
      </c>
      <c r="C6284" s="92" t="s">
        <v>13354</v>
      </c>
      <c r="D6284" s="72" t="str">
        <f>IFERROR(VLOOKUP(A6284,'[1]ST-QA-ZZ5'!$C$5:$M$299,11,0),"Inspection at production line")</f>
        <v>Inspection at production line</v>
      </c>
    </row>
    <row r="6285" spans="1:4" ht="13.8">
      <c r="A6285" s="47" t="s">
        <v>13356</v>
      </c>
      <c r="B6285" s="92" t="s">
        <v>397</v>
      </c>
      <c r="C6285" s="92" t="s">
        <v>13342</v>
      </c>
      <c r="D6285" s="72" t="str">
        <f>IFERROR(VLOOKUP(A6285,'[1]ST-QA-ZZ5'!$C$5:$M$299,11,0),"Inspection at production line")</f>
        <v>Inspection at production line</v>
      </c>
    </row>
    <row r="6286" spans="1:4" ht="13.8">
      <c r="A6286" s="47" t="s">
        <v>13357</v>
      </c>
      <c r="B6286" s="92" t="s">
        <v>13358</v>
      </c>
      <c r="C6286" s="92" t="s">
        <v>13359</v>
      </c>
      <c r="D6286" s="72" t="str">
        <f>IFERROR(VLOOKUP(A6286,'[1]ST-QA-ZZ5'!$C$5:$M$299,11,0),"Inspection at production line")</f>
        <v>Inspection at production line</v>
      </c>
    </row>
    <row r="6287" spans="1:4" ht="13.8">
      <c r="A6287" s="47" t="s">
        <v>13360</v>
      </c>
      <c r="B6287" s="92" t="s">
        <v>362</v>
      </c>
      <c r="C6287" s="92" t="s">
        <v>13361</v>
      </c>
      <c r="D6287" s="72" t="str">
        <f>IFERROR(VLOOKUP(A6287,'[1]ST-QA-ZZ5'!$C$5:$M$299,11,0),"Inspection at production line")</f>
        <v>Inspection at production line</v>
      </c>
    </row>
    <row r="6288" spans="1:4" ht="13.8">
      <c r="A6288" s="47" t="s">
        <v>13362</v>
      </c>
      <c r="B6288" s="92" t="s">
        <v>1614</v>
      </c>
      <c r="C6288" s="92" t="s">
        <v>13363</v>
      </c>
      <c r="D6288" s="72" t="str">
        <f>IFERROR(VLOOKUP(A6288,'[1]ST-QA-ZZ5'!$C$5:$M$299,11,0),"Inspection at production line")</f>
        <v>Inspection at production line</v>
      </c>
    </row>
    <row r="6289" spans="1:4" ht="13.8">
      <c r="A6289" s="47" t="s">
        <v>13364</v>
      </c>
      <c r="B6289" s="92" t="s">
        <v>1614</v>
      </c>
      <c r="C6289" s="92" t="s">
        <v>13365</v>
      </c>
      <c r="D6289" s="72" t="str">
        <f>IFERROR(VLOOKUP(A6289,'[1]ST-QA-ZZ5'!$C$5:$M$299,11,0),"Inspection at production line")</f>
        <v>Inspection at production line</v>
      </c>
    </row>
    <row r="6290" spans="1:4" ht="13.8">
      <c r="A6290" s="47" t="s">
        <v>13366</v>
      </c>
      <c r="B6290" s="92" t="s">
        <v>1614</v>
      </c>
      <c r="C6290" s="94" t="s">
        <v>13367</v>
      </c>
      <c r="D6290" s="72" t="str">
        <f>IFERROR(VLOOKUP(A6290,'[1]ST-QA-ZZ5'!$C$5:$M$299,11,0),"Inspection at production line")</f>
        <v>Inspection at production line</v>
      </c>
    </row>
    <row r="6291" spans="1:4" ht="13.8">
      <c r="A6291" s="47" t="s">
        <v>13368</v>
      </c>
      <c r="B6291" s="92" t="s">
        <v>1614</v>
      </c>
      <c r="C6291" s="92" t="s">
        <v>13369</v>
      </c>
      <c r="D6291" s="72" t="str">
        <f>IFERROR(VLOOKUP(A6291,'[1]ST-QA-ZZ5'!$C$5:$M$299,11,0),"Inspection at production line")</f>
        <v>Inspection at production line</v>
      </c>
    </row>
    <row r="6292" spans="1:4" ht="13.8">
      <c r="A6292" s="47" t="s">
        <v>13370</v>
      </c>
      <c r="B6292" s="92" t="s">
        <v>1167</v>
      </c>
      <c r="C6292" s="92" t="s">
        <v>13371</v>
      </c>
      <c r="D6292" s="72" t="str">
        <f>IFERROR(VLOOKUP(A6292,'[1]ST-QA-ZZ5'!$C$5:$M$299,11,0),"Inspection at production line")</f>
        <v>Inspection at production line</v>
      </c>
    </row>
    <row r="6293" spans="1:4" ht="13.8">
      <c r="A6293" s="47" t="s">
        <v>13372</v>
      </c>
      <c r="B6293" s="92" t="s">
        <v>865</v>
      </c>
      <c r="C6293" s="92" t="s">
        <v>13373</v>
      </c>
      <c r="D6293" s="72" t="str">
        <f>IFERROR(VLOOKUP(A6293,'[1]ST-QA-ZZ5'!$C$5:$M$299,11,0),"Inspection at production line")</f>
        <v>Inspection at production line</v>
      </c>
    </row>
    <row r="6294" spans="1:4" ht="13.8">
      <c r="A6294" s="47" t="s">
        <v>13374</v>
      </c>
      <c r="B6294" s="92" t="s">
        <v>13358</v>
      </c>
      <c r="C6294" s="92" t="s">
        <v>13375</v>
      </c>
      <c r="D6294" s="72" t="str">
        <f>IFERROR(VLOOKUP(A6294,'[1]ST-QA-ZZ5'!$C$5:$M$299,11,0),"Inspection at production line")</f>
        <v>Inspection at production line</v>
      </c>
    </row>
    <row r="6295" spans="1:4" ht="13.8">
      <c r="A6295" s="47" t="s">
        <v>13376</v>
      </c>
      <c r="B6295" s="92" t="s">
        <v>813</v>
      </c>
      <c r="C6295" s="92" t="s">
        <v>13377</v>
      </c>
      <c r="D6295" s="72" t="str">
        <f>IFERROR(VLOOKUP(A6295,'[1]ST-QA-ZZ5'!$C$5:$M$299,11,0),"Inspection at production line")</f>
        <v>Inspection at production line</v>
      </c>
    </row>
    <row r="6296" spans="1:4" ht="13.8">
      <c r="A6296" s="47" t="s">
        <v>13378</v>
      </c>
      <c r="B6296" s="92" t="s">
        <v>813</v>
      </c>
      <c r="C6296" s="92" t="s">
        <v>13379</v>
      </c>
      <c r="D6296" s="72" t="str">
        <f>IFERROR(VLOOKUP(A6296,'[1]ST-QA-ZZ5'!$C$5:$M$299,11,0),"Inspection at production line")</f>
        <v>Inspection at production line</v>
      </c>
    </row>
    <row r="6297" spans="1:4" ht="13.8">
      <c r="A6297" s="47" t="s">
        <v>13380</v>
      </c>
      <c r="B6297" s="92" t="s">
        <v>397</v>
      </c>
      <c r="C6297" s="92" t="s">
        <v>13381</v>
      </c>
      <c r="D6297" s="72" t="str">
        <f>IFERROR(VLOOKUP(A6297,'[1]ST-QA-ZZ5'!$C$5:$M$299,11,0),"Inspection at production line")</f>
        <v>Inspection at production line</v>
      </c>
    </row>
    <row r="6298" spans="1:4" ht="13.8">
      <c r="A6298" s="47" t="s">
        <v>13382</v>
      </c>
      <c r="B6298" s="92" t="s">
        <v>1645</v>
      </c>
      <c r="C6298" s="92" t="s">
        <v>13383</v>
      </c>
      <c r="D6298" s="72" t="str">
        <f>IFERROR(VLOOKUP(A6298,'[1]ST-QA-ZZ5'!$C$5:$M$299,11,0),"Inspection at production line")</f>
        <v>Inspection at production line</v>
      </c>
    </row>
    <row r="6299" spans="1:4" ht="13.8">
      <c r="A6299" s="47" t="s">
        <v>13384</v>
      </c>
      <c r="B6299" s="92" t="s">
        <v>397</v>
      </c>
      <c r="C6299" s="92" t="s">
        <v>13385</v>
      </c>
      <c r="D6299" s="72" t="str">
        <f>IFERROR(VLOOKUP(A6299,'[1]ST-QA-ZZ5'!$C$5:$M$299,11,0),"Inspection at production line")</f>
        <v>Inspection at production line</v>
      </c>
    </row>
    <row r="6300" spans="1:4" ht="13.8">
      <c r="A6300" s="47" t="s">
        <v>13386</v>
      </c>
      <c r="B6300" s="92" t="s">
        <v>83</v>
      </c>
      <c r="C6300" s="92" t="s">
        <v>13387</v>
      </c>
      <c r="D6300" s="72" t="str">
        <f>IFERROR(VLOOKUP(A6300,'[1]ST-QA-ZZ5'!$C$5:$M$299,11,0),"Inspection at production line")</f>
        <v>Inspection at production line</v>
      </c>
    </row>
    <row r="6301" spans="1:4" ht="13.8">
      <c r="A6301" s="47" t="s">
        <v>13388</v>
      </c>
      <c r="B6301" s="92" t="s">
        <v>397</v>
      </c>
      <c r="C6301" s="92" t="s">
        <v>13389</v>
      </c>
      <c r="D6301" s="72" t="str">
        <f>IFERROR(VLOOKUP(A6301,'[1]ST-QA-ZZ5'!$C$5:$M$299,11,0),"Inspection at production line")</f>
        <v>Inspection at production line</v>
      </c>
    </row>
    <row r="6302" spans="1:4" ht="13.8">
      <c r="A6302" s="47" t="s">
        <v>13390</v>
      </c>
      <c r="B6302" s="92" t="s">
        <v>397</v>
      </c>
      <c r="C6302" s="92" t="s">
        <v>13391</v>
      </c>
      <c r="D6302" s="72" t="str">
        <f>IFERROR(VLOOKUP(A6302,'[1]ST-QA-ZZ5'!$C$5:$M$299,11,0),"Inspection at production line")</f>
        <v>Inspection at production line</v>
      </c>
    </row>
    <row r="6303" spans="1:4" ht="13.8">
      <c r="A6303" s="47" t="s">
        <v>13392</v>
      </c>
      <c r="B6303" s="92" t="s">
        <v>83</v>
      </c>
      <c r="C6303" s="92" t="s">
        <v>13393</v>
      </c>
      <c r="D6303" s="72" t="str">
        <f>IFERROR(VLOOKUP(A6303,'[1]ST-QA-ZZ5'!$C$5:$M$299,11,0),"Inspection at production line")</f>
        <v>Inspection at production line</v>
      </c>
    </row>
    <row r="6304" spans="1:4" ht="13.8">
      <c r="A6304" s="47" t="s">
        <v>13394</v>
      </c>
      <c r="B6304" s="92" t="s">
        <v>1167</v>
      </c>
      <c r="C6304" s="92" t="s">
        <v>13395</v>
      </c>
      <c r="D6304" s="72" t="str">
        <f>IFERROR(VLOOKUP(A6304,'[1]ST-QA-ZZ5'!$C$5:$M$299,11,0),"Inspection at production line")</f>
        <v>Inspection at production line</v>
      </c>
    </row>
    <row r="6305" spans="1:4" ht="13.8">
      <c r="A6305" s="47" t="s">
        <v>13396</v>
      </c>
      <c r="B6305" s="92" t="s">
        <v>1167</v>
      </c>
      <c r="C6305" s="92" t="s">
        <v>13397</v>
      </c>
      <c r="D6305" s="72" t="str">
        <f>IFERROR(VLOOKUP(A6305,'[1]ST-QA-ZZ5'!$C$5:$M$299,11,0),"Inspection at production line")</f>
        <v>Inspection at production line</v>
      </c>
    </row>
    <row r="6306" spans="1:4" ht="13.8">
      <c r="A6306" s="47" t="s">
        <v>13398</v>
      </c>
      <c r="B6306" s="92" t="s">
        <v>818</v>
      </c>
      <c r="C6306" s="92" t="s">
        <v>13399</v>
      </c>
      <c r="D6306" s="72" t="str">
        <f>IFERROR(VLOOKUP(A6306,'[1]ST-QA-ZZ5'!$C$5:$M$299,11,0),"Inspection at production line")</f>
        <v>Inspection at production line</v>
      </c>
    </row>
    <row r="6307" spans="1:4" ht="13.8">
      <c r="A6307" s="47" t="s">
        <v>13400</v>
      </c>
      <c r="B6307" s="92" t="s">
        <v>813</v>
      </c>
      <c r="C6307" s="92" t="s">
        <v>13401</v>
      </c>
      <c r="D6307" s="72" t="str">
        <f>IFERROR(VLOOKUP(A6307,'[1]ST-QA-ZZ5'!$C$5:$M$299,11,0),"Inspection at production line")</f>
        <v>Inspection at production line</v>
      </c>
    </row>
    <row r="6308" spans="1:4" ht="13.8">
      <c r="A6308" s="47" t="s">
        <v>13402</v>
      </c>
      <c r="B6308" s="92" t="s">
        <v>1614</v>
      </c>
      <c r="C6308" s="92" t="s">
        <v>13403</v>
      </c>
      <c r="D6308" s="72" t="str">
        <f>IFERROR(VLOOKUP(A6308,'[1]ST-QA-ZZ5'!$C$5:$M$299,11,0),"Inspection at production line")</f>
        <v>Inspection at production line</v>
      </c>
    </row>
    <row r="6309" spans="1:4" ht="13.8">
      <c r="A6309" s="47" t="s">
        <v>13404</v>
      </c>
      <c r="B6309" s="92" t="s">
        <v>1614</v>
      </c>
      <c r="C6309" s="94" t="s">
        <v>13405</v>
      </c>
      <c r="D6309" s="72" t="str">
        <f>IFERROR(VLOOKUP(A6309,'[1]ST-QA-ZZ5'!$C$5:$M$299,11,0),"Inspection at production line")</f>
        <v>Inspection at production line</v>
      </c>
    </row>
    <row r="6310" spans="1:4" ht="13.8">
      <c r="A6310" s="47" t="s">
        <v>13406</v>
      </c>
      <c r="B6310" s="92" t="s">
        <v>818</v>
      </c>
      <c r="C6310" s="92" t="s">
        <v>13407</v>
      </c>
      <c r="D6310" s="72" t="str">
        <f>IFERROR(VLOOKUP(A6310,'[1]ST-QA-ZZ5'!$C$5:$M$299,11,0),"Inspection at production line")</f>
        <v>Inspection at production line</v>
      </c>
    </row>
    <row r="6311" spans="1:4" ht="13.8">
      <c r="A6311" s="47" t="s">
        <v>13408</v>
      </c>
      <c r="B6311" s="92" t="s">
        <v>865</v>
      </c>
      <c r="C6311" s="92" t="s">
        <v>13409</v>
      </c>
      <c r="D6311" s="72" t="str">
        <f>IFERROR(VLOOKUP(A6311,'[1]ST-QA-ZZ5'!$C$5:$M$299,11,0),"Inspection at production line")</f>
        <v>Inspection at production line</v>
      </c>
    </row>
    <row r="6312" spans="1:4" ht="13.8">
      <c r="A6312" s="47" t="s">
        <v>13410</v>
      </c>
      <c r="B6312" s="92" t="s">
        <v>865</v>
      </c>
      <c r="C6312" s="92" t="s">
        <v>13411</v>
      </c>
      <c r="D6312" s="72" t="str">
        <f>IFERROR(VLOOKUP(A6312,'[1]ST-QA-ZZ5'!$C$5:$M$299,11,0),"Inspection at production line")</f>
        <v>Inspection at production line</v>
      </c>
    </row>
    <row r="6313" spans="1:4" ht="13.8">
      <c r="A6313" s="47" t="s">
        <v>13412</v>
      </c>
      <c r="B6313" s="92" t="s">
        <v>814</v>
      </c>
      <c r="C6313" s="92" t="s">
        <v>13413</v>
      </c>
      <c r="D6313" s="72" t="str">
        <f>IFERROR(VLOOKUP(A6313,'[1]ST-QA-ZZ5'!$C$5:$M$299,11,0),"Inspection at production line")</f>
        <v>Inspection at production line</v>
      </c>
    </row>
    <row r="6314" spans="1:4" ht="13.8">
      <c r="A6314" s="47" t="s">
        <v>13414</v>
      </c>
      <c r="B6314" s="92" t="s">
        <v>1223</v>
      </c>
      <c r="C6314" s="92" t="s">
        <v>13415</v>
      </c>
      <c r="D6314" s="72" t="str">
        <f>IFERROR(VLOOKUP(A6314,'[1]ST-QA-ZZ5'!$C$5:$M$299,11,0),"Inspection at production line")</f>
        <v>Inspection at production line</v>
      </c>
    </row>
    <row r="6315" spans="1:4" ht="13.8">
      <c r="A6315" s="47" t="s">
        <v>13416</v>
      </c>
      <c r="B6315" s="92" t="s">
        <v>1614</v>
      </c>
      <c r="C6315" s="92" t="s">
        <v>13417</v>
      </c>
      <c r="D6315" s="72" t="str">
        <f>IFERROR(VLOOKUP(A6315,'[1]ST-QA-ZZ5'!$C$5:$M$299,11,0),"Inspection at production line")</f>
        <v>Inspection at production line</v>
      </c>
    </row>
    <row r="6316" spans="1:4" ht="13.8">
      <c r="A6316" s="47" t="s">
        <v>13418</v>
      </c>
      <c r="B6316" s="92" t="s">
        <v>1614</v>
      </c>
      <c r="C6316" s="92" t="s">
        <v>13419</v>
      </c>
      <c r="D6316" s="72" t="str">
        <f>IFERROR(VLOOKUP(A6316,'[1]ST-QA-ZZ5'!$C$5:$M$299,11,0),"Inspection at production line")</f>
        <v>Inspection at production line</v>
      </c>
    </row>
    <row r="6317" spans="1:4" ht="13.8">
      <c r="A6317" s="47" t="s">
        <v>13420</v>
      </c>
      <c r="B6317" s="92" t="s">
        <v>397</v>
      </c>
      <c r="C6317" s="92" t="s">
        <v>13421</v>
      </c>
      <c r="D6317" s="72" t="str">
        <f>IFERROR(VLOOKUP(A6317,'[1]ST-QA-ZZ5'!$C$5:$M$299,11,0),"Inspection at production line")</f>
        <v>Inspection at production line</v>
      </c>
    </row>
    <row r="6318" spans="1:4" ht="13.8">
      <c r="A6318" s="47" t="s">
        <v>13422</v>
      </c>
      <c r="B6318" s="92" t="s">
        <v>83</v>
      </c>
      <c r="C6318" s="92" t="s">
        <v>13423</v>
      </c>
      <c r="D6318" s="72" t="str">
        <f>IFERROR(VLOOKUP(A6318,'[1]ST-QA-ZZ5'!$C$5:$M$299,11,0),"Inspection at production line")</f>
        <v>Inspection at production line</v>
      </c>
    </row>
    <row r="6319" spans="1:4" ht="13.8">
      <c r="A6319" s="47" t="s">
        <v>13424</v>
      </c>
      <c r="B6319" s="92" t="s">
        <v>1167</v>
      </c>
      <c r="C6319" s="92" t="s">
        <v>13425</v>
      </c>
      <c r="D6319" s="72" t="str">
        <f>IFERROR(VLOOKUP(A6319,'[1]ST-QA-ZZ5'!$C$5:$M$299,11,0),"Inspection at production line")</f>
        <v>Inspection at production line</v>
      </c>
    </row>
    <row r="6320" spans="1:4" ht="13.8">
      <c r="A6320" s="47" t="s">
        <v>13426</v>
      </c>
      <c r="B6320" s="92" t="s">
        <v>1167</v>
      </c>
      <c r="C6320" s="92" t="s">
        <v>13427</v>
      </c>
      <c r="D6320" s="72" t="str">
        <f>IFERROR(VLOOKUP(A6320,'[1]ST-QA-ZZ5'!$C$5:$M$299,11,0),"Inspection at production line")</f>
        <v>Inspection at production line</v>
      </c>
    </row>
    <row r="6321" spans="1:4" ht="13.8">
      <c r="A6321" s="47" t="s">
        <v>13428</v>
      </c>
      <c r="B6321" s="92" t="s">
        <v>814</v>
      </c>
      <c r="C6321" s="92" t="s">
        <v>13429</v>
      </c>
      <c r="D6321" s="72" t="str">
        <f>IFERROR(VLOOKUP(A6321,'[1]ST-QA-ZZ5'!$C$5:$M$299,11,0),"Inspection at production line")</f>
        <v>Inspection at production line</v>
      </c>
    </row>
    <row r="6322" spans="1:4" ht="13.8">
      <c r="A6322" s="47" t="s">
        <v>13430</v>
      </c>
      <c r="B6322" s="92" t="s">
        <v>814</v>
      </c>
      <c r="C6322" s="92" t="s">
        <v>13431</v>
      </c>
      <c r="D6322" s="72" t="str">
        <f>IFERROR(VLOOKUP(A6322,'[1]ST-QA-ZZ5'!$C$5:$M$299,11,0),"Inspection at production line")</f>
        <v>Inspection at production line</v>
      </c>
    </row>
    <row r="6323" spans="1:4" ht="13.8">
      <c r="A6323" s="47" t="s">
        <v>13432</v>
      </c>
      <c r="B6323" s="92" t="s">
        <v>865</v>
      </c>
      <c r="C6323" s="92" t="s">
        <v>13433</v>
      </c>
      <c r="D6323" s="72" t="str">
        <f>IFERROR(VLOOKUP(A6323,'[1]ST-QA-ZZ5'!$C$5:$M$299,11,0),"Inspection at production line")</f>
        <v>Inspection at production line</v>
      </c>
    </row>
    <row r="6324" spans="1:4" ht="13.8">
      <c r="A6324" s="47" t="s">
        <v>13434</v>
      </c>
      <c r="B6324" s="92" t="s">
        <v>865</v>
      </c>
      <c r="C6324" s="92" t="s">
        <v>13435</v>
      </c>
      <c r="D6324" s="72" t="str">
        <f>IFERROR(VLOOKUP(A6324,'[1]ST-QA-ZZ5'!$C$5:$M$299,11,0),"Inspection at production line")</f>
        <v>Inspection at production line</v>
      </c>
    </row>
    <row r="6325" spans="1:4" ht="13.8">
      <c r="A6325" s="47" t="s">
        <v>13436</v>
      </c>
      <c r="B6325" s="92" t="s">
        <v>865</v>
      </c>
      <c r="C6325" s="92" t="s">
        <v>13437</v>
      </c>
      <c r="D6325" s="72" t="str">
        <f>IFERROR(VLOOKUP(A6325,'[1]ST-QA-ZZ5'!$C$5:$M$299,11,0),"Inspection at production line")</f>
        <v>Inspection at production line</v>
      </c>
    </row>
    <row r="6326" spans="1:4" ht="13.8">
      <c r="A6326" s="47" t="s">
        <v>13438</v>
      </c>
      <c r="B6326" s="92" t="s">
        <v>13439</v>
      </c>
      <c r="C6326" s="92" t="s">
        <v>13440</v>
      </c>
      <c r="D6326" s="72" t="str">
        <f>IFERROR(VLOOKUP(A6326,'[1]ST-QA-ZZ5'!$C$5:$M$299,11,0),"Inspection at production line")</f>
        <v>Inspection at production line</v>
      </c>
    </row>
    <row r="6327" spans="1:4" ht="13.8">
      <c r="A6327" s="47" t="s">
        <v>13441</v>
      </c>
      <c r="B6327" s="92" t="s">
        <v>13439</v>
      </c>
      <c r="C6327" s="94" t="s">
        <v>13442</v>
      </c>
      <c r="D6327" s="72" t="str">
        <f>IFERROR(VLOOKUP(A6327,'[1]ST-QA-ZZ5'!$C$5:$M$299,11,0),"Inspection at production line")</f>
        <v>Inspection at production line</v>
      </c>
    </row>
    <row r="6328" spans="1:4" ht="13.8">
      <c r="A6328" s="47" t="s">
        <v>13443</v>
      </c>
      <c r="B6328" s="92" t="s">
        <v>13439</v>
      </c>
      <c r="C6328" s="92" t="s">
        <v>13444</v>
      </c>
      <c r="D6328" s="72" t="str">
        <f>IFERROR(VLOOKUP(A6328,'[1]ST-QA-ZZ5'!$C$5:$M$299,11,0),"Inspection at production line")</f>
        <v>Inspection at production line</v>
      </c>
    </row>
    <row r="6329" spans="1:4" ht="13.8">
      <c r="A6329" s="47" t="s">
        <v>5314</v>
      </c>
      <c r="B6329" s="92" t="s">
        <v>397</v>
      </c>
      <c r="C6329" s="92" t="s">
        <v>5315</v>
      </c>
      <c r="D6329" s="72" t="str">
        <f>IFERROR(VLOOKUP(A6329,'[1]ST-QA-ZZ5'!$C$5:$M$299,11,0),"Inspection at production line")</f>
        <v>Inspection at production line</v>
      </c>
    </row>
    <row r="6330" spans="1:4" ht="13.8">
      <c r="A6330" s="47" t="s">
        <v>13445</v>
      </c>
      <c r="B6330" s="92" t="s">
        <v>1614</v>
      </c>
      <c r="C6330" s="92" t="s">
        <v>8517</v>
      </c>
      <c r="D6330" s="72" t="str">
        <f>IFERROR(VLOOKUP(A6330,'[1]ST-QA-ZZ5'!$C$5:$M$299,11,0),"Inspection at production line")</f>
        <v>Inspection at production line</v>
      </c>
    </row>
    <row r="6331" spans="1:4" ht="13.8">
      <c r="A6331" s="47" t="s">
        <v>13446</v>
      </c>
      <c r="B6331" s="92" t="s">
        <v>69</v>
      </c>
      <c r="C6331" s="92" t="s">
        <v>13447</v>
      </c>
      <c r="D6331" s="72" t="str">
        <f>IFERROR(VLOOKUP(A6331,'[1]ST-QA-ZZ5'!$C$5:$M$299,11,0),"Inspection at production line")</f>
        <v>Inspection at production line</v>
      </c>
    </row>
    <row r="6332" spans="1:4" ht="13.8">
      <c r="A6332" s="47" t="s">
        <v>13448</v>
      </c>
      <c r="B6332" s="92" t="s">
        <v>813</v>
      </c>
      <c r="C6332" s="92" t="s">
        <v>8537</v>
      </c>
      <c r="D6332" s="72" t="str">
        <f>IFERROR(VLOOKUP(A6332,'[1]ST-QA-ZZ5'!$C$5:$M$299,11,0),"Inspection at production line")</f>
        <v>Inspection at production line</v>
      </c>
    </row>
    <row r="6333" spans="1:4" ht="13.8">
      <c r="A6333" s="47" t="s">
        <v>13449</v>
      </c>
      <c r="B6333" s="92" t="s">
        <v>807</v>
      </c>
      <c r="C6333" s="92" t="s">
        <v>13450</v>
      </c>
      <c r="D6333" s="72" t="str">
        <f>IFERROR(VLOOKUP(A6333,'[1]ST-QA-ZZ5'!$C$5:$M$299,11,0),"Inspection at production line")</f>
        <v>Inspection at production line</v>
      </c>
    </row>
    <row r="6334" spans="1:4" ht="13.8">
      <c r="A6334" s="47" t="s">
        <v>13451</v>
      </c>
      <c r="B6334" s="92" t="s">
        <v>362</v>
      </c>
      <c r="C6334" s="92" t="s">
        <v>8527</v>
      </c>
      <c r="D6334" s="72" t="str">
        <f>IFERROR(VLOOKUP(A6334,'[1]ST-QA-ZZ5'!$C$5:$M$299,11,0),"Inspection at production line")</f>
        <v>Inspection at production line</v>
      </c>
    </row>
    <row r="6335" spans="1:4" ht="13.8">
      <c r="A6335" s="47" t="s">
        <v>13452</v>
      </c>
      <c r="B6335" s="92" t="s">
        <v>397</v>
      </c>
      <c r="C6335" s="92" t="s">
        <v>13453</v>
      </c>
      <c r="D6335" s="72" t="str">
        <f>IFERROR(VLOOKUP(A6335,'[1]ST-QA-ZZ5'!$C$5:$M$299,11,0),"Inspection at production line")</f>
        <v>Inspection at production line</v>
      </c>
    </row>
    <row r="6336" spans="1:4" ht="13.8">
      <c r="A6336" s="47" t="s">
        <v>13454</v>
      </c>
      <c r="B6336" s="92" t="s">
        <v>865</v>
      </c>
      <c r="C6336" s="92" t="s">
        <v>13455</v>
      </c>
      <c r="D6336" s="72" t="str">
        <f>IFERROR(VLOOKUP(A6336,'[1]ST-QA-ZZ5'!$C$5:$M$299,11,0),"Inspection at production line")</f>
        <v>Inspection at production line</v>
      </c>
    </row>
    <row r="6337" spans="1:4" ht="13.8">
      <c r="A6337" s="47" t="s">
        <v>13456</v>
      </c>
      <c r="B6337" s="92" t="s">
        <v>404</v>
      </c>
      <c r="C6337" s="92" t="s">
        <v>13457</v>
      </c>
      <c r="D6337" s="72" t="str">
        <f>IFERROR(VLOOKUP(A6337,'[1]ST-QA-ZZ5'!$C$5:$M$299,11,0),"Inspection at production line")</f>
        <v>Inspection at production line</v>
      </c>
    </row>
    <row r="6338" spans="1:4" ht="13.8">
      <c r="A6338" s="47" t="s">
        <v>13458</v>
      </c>
      <c r="B6338" s="92" t="s">
        <v>362</v>
      </c>
      <c r="C6338" s="92" t="s">
        <v>13459</v>
      </c>
      <c r="D6338" s="72" t="str">
        <f>IFERROR(VLOOKUP(A6338,'[1]ST-QA-ZZ5'!$C$5:$M$299,11,0),"Inspection at production line")</f>
        <v>Inspection at production line</v>
      </c>
    </row>
    <row r="6339" spans="1:4" ht="13.8">
      <c r="A6339" s="47" t="s">
        <v>13460</v>
      </c>
      <c r="B6339" s="92" t="s">
        <v>865</v>
      </c>
      <c r="C6339" s="92" t="s">
        <v>13461</v>
      </c>
      <c r="D6339" s="72" t="str">
        <f>IFERROR(VLOOKUP(A6339,'[1]ST-QA-ZZ5'!$C$5:$M$299,11,0),"Inspection at production line")</f>
        <v>Inspection at production line</v>
      </c>
    </row>
    <row r="6340" spans="1:4" ht="13.8">
      <c r="A6340" s="47" t="s">
        <v>13462</v>
      </c>
      <c r="B6340" s="92" t="s">
        <v>69</v>
      </c>
      <c r="C6340" s="92" t="s">
        <v>13463</v>
      </c>
      <c r="D6340" s="72" t="str">
        <f>IFERROR(VLOOKUP(A6340,'[1]ST-QA-ZZ5'!$C$5:$M$299,11,0),"Inspection at production line")</f>
        <v>Inspection at production line</v>
      </c>
    </row>
    <row r="6341" spans="1:4" ht="13.8">
      <c r="A6341" s="47" t="s">
        <v>13464</v>
      </c>
      <c r="B6341" s="92" t="s">
        <v>69</v>
      </c>
      <c r="C6341" s="92" t="s">
        <v>13465</v>
      </c>
      <c r="D6341" s="72" t="str">
        <f>IFERROR(VLOOKUP(A6341,'[1]ST-QA-ZZ5'!$C$5:$M$299,11,0),"Inspection at production line")</f>
        <v>Inspection at production line</v>
      </c>
    </row>
    <row r="6342" spans="1:4" ht="13.8">
      <c r="A6342" s="47" t="s">
        <v>13466</v>
      </c>
      <c r="B6342" s="92" t="s">
        <v>807</v>
      </c>
      <c r="C6342" s="92" t="s">
        <v>1773</v>
      </c>
      <c r="D6342" s="72" t="str">
        <f>IFERROR(VLOOKUP(A6342,'[1]ST-QA-ZZ5'!$C$5:$M$299,11,0),"Inspection at production line")</f>
        <v>Inspection at production line</v>
      </c>
    </row>
    <row r="6343" spans="1:4" ht="13.8">
      <c r="A6343" s="47" t="s">
        <v>13467</v>
      </c>
      <c r="B6343" s="92" t="s">
        <v>362</v>
      </c>
      <c r="C6343" s="92" t="s">
        <v>13468</v>
      </c>
      <c r="D6343" s="72" t="str">
        <f>IFERROR(VLOOKUP(A6343,'[1]ST-QA-ZZ5'!$C$5:$M$299,11,0),"Inspection at production line")</f>
        <v>Inspection at production line</v>
      </c>
    </row>
    <row r="6344" spans="1:4" ht="13.8">
      <c r="A6344" s="47" t="s">
        <v>13469</v>
      </c>
      <c r="B6344" s="92" t="s">
        <v>818</v>
      </c>
      <c r="C6344" s="94" t="s">
        <v>13470</v>
      </c>
      <c r="D6344" s="72" t="str">
        <f>IFERROR(VLOOKUP(A6344,'[1]ST-QA-ZZ5'!$C$5:$M$299,11,0),"Inspection at production line")</f>
        <v>Inspection at production line</v>
      </c>
    </row>
    <row r="6345" spans="1:4" ht="13.8">
      <c r="A6345" s="47" t="s">
        <v>13471</v>
      </c>
      <c r="B6345" s="92" t="s">
        <v>818</v>
      </c>
      <c r="C6345" s="92" t="s">
        <v>13472</v>
      </c>
      <c r="D6345" s="72" t="str">
        <f>IFERROR(VLOOKUP(A6345,'[1]ST-QA-ZZ5'!$C$5:$M$299,11,0),"Inspection at production line")</f>
        <v>Inspection at production line</v>
      </c>
    </row>
    <row r="6346" spans="1:4" ht="13.8">
      <c r="A6346" s="47" t="s">
        <v>13473</v>
      </c>
      <c r="B6346" s="92" t="s">
        <v>994</v>
      </c>
      <c r="C6346" s="92" t="s">
        <v>13474</v>
      </c>
      <c r="D6346" s="72" t="str">
        <f>IFERROR(VLOOKUP(A6346,'[1]ST-QA-ZZ5'!$C$5:$M$299,11,0),"Inspection at production line")</f>
        <v>Inspection at production line</v>
      </c>
    </row>
    <row r="6347" spans="1:4" ht="13.8">
      <c r="A6347" s="47" t="s">
        <v>13475</v>
      </c>
      <c r="B6347" s="92" t="s">
        <v>1167</v>
      </c>
      <c r="C6347" s="92" t="s">
        <v>13476</v>
      </c>
      <c r="D6347" s="72" t="str">
        <f>IFERROR(VLOOKUP(A6347,'[1]ST-QA-ZZ5'!$C$5:$M$299,11,0),"Inspection at production line")</f>
        <v>Inspection at production line</v>
      </c>
    </row>
    <row r="6348" spans="1:4" ht="13.8">
      <c r="A6348" s="47" t="s">
        <v>13477</v>
      </c>
      <c r="B6348" s="92" t="s">
        <v>1167</v>
      </c>
      <c r="C6348" s="92" t="s">
        <v>13478</v>
      </c>
      <c r="D6348" s="72" t="str">
        <f>IFERROR(VLOOKUP(A6348,'[1]ST-QA-ZZ5'!$C$5:$M$299,11,0),"Inspection at production line")</f>
        <v>Inspection at production line</v>
      </c>
    </row>
    <row r="6349" spans="1:4" ht="13.8">
      <c r="A6349" s="47" t="s">
        <v>13479</v>
      </c>
      <c r="B6349" s="92" t="s">
        <v>397</v>
      </c>
      <c r="C6349" s="92" t="s">
        <v>13480</v>
      </c>
      <c r="D6349" s="72" t="str">
        <f>IFERROR(VLOOKUP(A6349,'[1]ST-QA-ZZ5'!$C$5:$M$299,11,0),"Inspection at production line")</f>
        <v>Inspection at production line</v>
      </c>
    </row>
    <row r="6350" spans="1:4" ht="13.8">
      <c r="A6350" s="47" t="s">
        <v>13481</v>
      </c>
      <c r="B6350" s="92" t="s">
        <v>898</v>
      </c>
      <c r="C6350" s="92" t="s">
        <v>13482</v>
      </c>
      <c r="D6350" s="72" t="str">
        <f>IFERROR(VLOOKUP(A6350,'[1]ST-QA-ZZ5'!$C$5:$M$299,11,0),"Inspection at production line")</f>
        <v>Inspection at production line</v>
      </c>
    </row>
    <row r="6351" spans="1:4" ht="13.8">
      <c r="A6351" s="47" t="s">
        <v>13483</v>
      </c>
      <c r="B6351" s="92" t="s">
        <v>818</v>
      </c>
      <c r="C6351" s="92" t="s">
        <v>13484</v>
      </c>
      <c r="D6351" s="72" t="str">
        <f>IFERROR(VLOOKUP(A6351,'[1]ST-QA-ZZ5'!$C$5:$M$299,11,0),"Inspection at production line")</f>
        <v>Inspection at production line</v>
      </c>
    </row>
    <row r="6352" spans="1:4" ht="13.8">
      <c r="A6352" s="47" t="s">
        <v>13485</v>
      </c>
      <c r="B6352" s="92" t="s">
        <v>1167</v>
      </c>
      <c r="C6352" s="92" t="s">
        <v>13486</v>
      </c>
      <c r="D6352" s="72" t="str">
        <f>IFERROR(VLOOKUP(A6352,'[1]ST-QA-ZZ5'!$C$5:$M$299,11,0),"Inspection at production line")</f>
        <v>Inspection at production line</v>
      </c>
    </row>
    <row r="6353" spans="1:4" ht="13.8">
      <c r="A6353" s="47" t="s">
        <v>13487</v>
      </c>
      <c r="B6353" s="92" t="s">
        <v>404</v>
      </c>
      <c r="C6353" s="92" t="s">
        <v>13488</v>
      </c>
      <c r="D6353" s="72" t="str">
        <f>IFERROR(VLOOKUP(A6353,'[1]ST-QA-ZZ5'!$C$5:$M$299,11,0),"Inspection at production line")</f>
        <v>Inspection at production line</v>
      </c>
    </row>
    <row r="6354" spans="1:4" ht="13.8">
      <c r="A6354" s="47" t="s">
        <v>13489</v>
      </c>
      <c r="B6354" s="92" t="s">
        <v>818</v>
      </c>
      <c r="C6354" s="92" t="s">
        <v>13490</v>
      </c>
      <c r="D6354" s="72" t="str">
        <f>IFERROR(VLOOKUP(A6354,'[1]ST-QA-ZZ5'!$C$5:$M$299,11,0),"Inspection at production line")</f>
        <v>Inspection at production line</v>
      </c>
    </row>
    <row r="6355" spans="1:4" ht="13.8">
      <c r="A6355" s="47" t="s">
        <v>13491</v>
      </c>
      <c r="B6355" s="92" t="s">
        <v>818</v>
      </c>
      <c r="C6355" s="92" t="s">
        <v>13492</v>
      </c>
      <c r="D6355" s="72" t="str">
        <f>IFERROR(VLOOKUP(A6355,'[1]ST-QA-ZZ5'!$C$5:$M$299,11,0),"Inspection at production line")</f>
        <v>Inspection at production line</v>
      </c>
    </row>
    <row r="6356" spans="1:4" ht="13.8">
      <c r="A6356" s="47" t="s">
        <v>13493</v>
      </c>
      <c r="B6356" s="92" t="s">
        <v>994</v>
      </c>
      <c r="C6356" s="92" t="s">
        <v>13494</v>
      </c>
      <c r="D6356" s="72" t="str">
        <f>IFERROR(VLOOKUP(A6356,'[1]ST-QA-ZZ5'!$C$5:$M$299,11,0),"Inspection at production line")</f>
        <v>Inspection at production line</v>
      </c>
    </row>
    <row r="6357" spans="1:4" ht="13.8">
      <c r="A6357" s="47" t="s">
        <v>13495</v>
      </c>
      <c r="B6357" s="92" t="s">
        <v>814</v>
      </c>
      <c r="C6357" s="92" t="s">
        <v>1661</v>
      </c>
      <c r="D6357" s="72" t="str">
        <f>IFERROR(VLOOKUP(A6357,'[1]ST-QA-ZZ5'!$C$5:$M$299,11,0),"Inspection at production line")</f>
        <v>Inspection at production line</v>
      </c>
    </row>
    <row r="6358" spans="1:4" ht="13.8">
      <c r="A6358" s="47" t="s">
        <v>13496</v>
      </c>
      <c r="B6358" s="92" t="s">
        <v>813</v>
      </c>
      <c r="C6358" s="92" t="s">
        <v>13326</v>
      </c>
      <c r="D6358" s="72" t="str">
        <f>IFERROR(VLOOKUP(A6358,'[1]ST-QA-ZZ5'!$C$5:$M$299,11,0),"Inspection at production line")</f>
        <v>Inspection at production line</v>
      </c>
    </row>
    <row r="6359" spans="1:4" ht="13.8">
      <c r="A6359" s="47" t="s">
        <v>13497</v>
      </c>
      <c r="B6359" s="92" t="s">
        <v>865</v>
      </c>
      <c r="C6359" s="92" t="s">
        <v>13498</v>
      </c>
      <c r="D6359" s="72" t="str">
        <f>IFERROR(VLOOKUP(A6359,'[1]ST-QA-ZZ5'!$C$5:$M$299,11,0),"Inspection at production line")</f>
        <v>Inspection at production line</v>
      </c>
    </row>
    <row r="6360" spans="1:4" ht="13.8">
      <c r="A6360" s="47" t="s">
        <v>13499</v>
      </c>
      <c r="B6360" s="92" t="s">
        <v>397</v>
      </c>
      <c r="C6360" s="92" t="s">
        <v>13500</v>
      </c>
      <c r="D6360" s="72" t="str">
        <f>IFERROR(VLOOKUP(A6360,'[1]ST-QA-ZZ5'!$C$5:$M$299,11,0),"Inspection at production line")</f>
        <v>Inspection at production line</v>
      </c>
    </row>
    <row r="6361" spans="1:4" ht="13.8">
      <c r="A6361" s="47" t="s">
        <v>13501</v>
      </c>
      <c r="B6361" s="92" t="s">
        <v>1167</v>
      </c>
      <c r="C6361" s="92" t="s">
        <v>13502</v>
      </c>
      <c r="D6361" s="72" t="str">
        <f>IFERROR(VLOOKUP(A6361,'[1]ST-QA-ZZ5'!$C$5:$M$299,11,0),"Inspection at production line")</f>
        <v>Inspection at production line</v>
      </c>
    </row>
    <row r="6362" spans="1:4" ht="13.8">
      <c r="A6362" s="47" t="s">
        <v>13503</v>
      </c>
      <c r="B6362" s="92" t="s">
        <v>1167</v>
      </c>
      <c r="C6362" s="92" t="s">
        <v>13504</v>
      </c>
      <c r="D6362" s="72" t="str">
        <f>IFERROR(VLOOKUP(A6362,'[1]ST-QA-ZZ5'!$C$5:$M$299,11,0),"Inspection at production line")</f>
        <v>Inspection at production line</v>
      </c>
    </row>
    <row r="6363" spans="1:4" ht="13.8">
      <c r="A6363" s="47" t="s">
        <v>13505</v>
      </c>
      <c r="B6363" s="92" t="s">
        <v>404</v>
      </c>
      <c r="C6363" s="92" t="s">
        <v>13506</v>
      </c>
      <c r="D6363" s="72" t="str">
        <f>IFERROR(VLOOKUP(A6363,'[1]ST-QA-ZZ5'!$C$5:$M$299,11,0),"Inspection at production line")</f>
        <v>Inspection at production line</v>
      </c>
    </row>
    <row r="6364" spans="1:4" ht="13.8">
      <c r="A6364" s="47" t="s">
        <v>13507</v>
      </c>
      <c r="B6364" s="92" t="s">
        <v>1167</v>
      </c>
      <c r="C6364" s="92" t="s">
        <v>13508</v>
      </c>
      <c r="D6364" s="72" t="str">
        <f>IFERROR(VLOOKUP(A6364,'[1]ST-QA-ZZ5'!$C$5:$M$299,11,0),"Inspection at production line")</f>
        <v>Inspection at production line</v>
      </c>
    </row>
    <row r="6365" spans="1:4" ht="13.8">
      <c r="A6365" s="47" t="s">
        <v>13509</v>
      </c>
      <c r="B6365" s="92" t="s">
        <v>1167</v>
      </c>
      <c r="C6365" s="92" t="s">
        <v>13486</v>
      </c>
      <c r="D6365" s="72" t="str">
        <f>IFERROR(VLOOKUP(A6365,'[1]ST-QA-ZZ5'!$C$5:$M$299,11,0),"Inspection at production line")</f>
        <v>Inspection at production line</v>
      </c>
    </row>
    <row r="6366" spans="1:4" ht="13.8">
      <c r="A6366" s="47" t="s">
        <v>13510</v>
      </c>
      <c r="B6366" s="92" t="s">
        <v>397</v>
      </c>
      <c r="C6366" s="92" t="s">
        <v>13511</v>
      </c>
      <c r="D6366" s="72" t="str">
        <f>IFERROR(VLOOKUP(A6366,'[1]ST-QA-ZZ5'!$C$5:$M$299,11,0),"Inspection at production line")</f>
        <v>Inspection at production line</v>
      </c>
    </row>
    <row r="6367" spans="1:4" ht="13.8">
      <c r="A6367" s="47" t="s">
        <v>13512</v>
      </c>
      <c r="B6367" s="92" t="s">
        <v>994</v>
      </c>
      <c r="C6367" s="92" t="s">
        <v>13513</v>
      </c>
      <c r="D6367" s="72" t="str">
        <f>IFERROR(VLOOKUP(A6367,'[1]ST-QA-ZZ5'!$C$5:$M$299,11,0),"Inspection at production line")</f>
        <v>Inspection at production line</v>
      </c>
    </row>
    <row r="6368" spans="1:4" ht="13.8">
      <c r="A6368" s="47" t="s">
        <v>13514</v>
      </c>
      <c r="B6368" s="92" t="s">
        <v>994</v>
      </c>
      <c r="C6368" s="92" t="s">
        <v>5446</v>
      </c>
      <c r="D6368" s="72" t="str">
        <f>IFERROR(VLOOKUP(A6368,'[1]ST-QA-ZZ5'!$C$5:$M$299,11,0),"Inspection at production line")</f>
        <v>Inspection at production line</v>
      </c>
    </row>
    <row r="6369" spans="1:4" ht="13.8">
      <c r="A6369" s="47" t="s">
        <v>13515</v>
      </c>
      <c r="B6369" s="92" t="s">
        <v>1016</v>
      </c>
      <c r="C6369" s="92" t="s">
        <v>13516</v>
      </c>
      <c r="D6369" s="72" t="str">
        <f>IFERROR(VLOOKUP(A6369,'[1]ST-QA-ZZ5'!$C$5:$M$299,11,0),"Inspection at production line")</f>
        <v>Inspection at production line</v>
      </c>
    </row>
    <row r="6370" spans="1:4" ht="13.8">
      <c r="A6370" s="47" t="s">
        <v>13517</v>
      </c>
      <c r="B6370" s="92" t="s">
        <v>818</v>
      </c>
      <c r="C6370" s="92" t="s">
        <v>13518</v>
      </c>
      <c r="D6370" s="72" t="str">
        <f>IFERROR(VLOOKUP(A6370,'[1]ST-QA-ZZ5'!$C$5:$M$299,11,0),"Inspection at production line")</f>
        <v>Inspection at production line</v>
      </c>
    </row>
    <row r="6371" spans="1:4" ht="13.8">
      <c r="A6371" s="47" t="s">
        <v>13519</v>
      </c>
      <c r="B6371" s="92" t="s">
        <v>1167</v>
      </c>
      <c r="C6371" s="92" t="s">
        <v>2368</v>
      </c>
      <c r="D6371" s="72" t="str">
        <f>IFERROR(VLOOKUP(A6371,'[1]ST-QA-ZZ5'!$C$5:$M$299,11,0),"Inspection at production line")</f>
        <v>Inspection at production line</v>
      </c>
    </row>
    <row r="6372" spans="1:4" ht="13.8">
      <c r="A6372" s="47" t="s">
        <v>13520</v>
      </c>
      <c r="B6372" s="92" t="s">
        <v>1167</v>
      </c>
      <c r="C6372" s="92" t="s">
        <v>13476</v>
      </c>
      <c r="D6372" s="72" t="str">
        <f>IFERROR(VLOOKUP(A6372,'[1]ST-QA-ZZ5'!$C$5:$M$299,11,0),"Inspection at production line")</f>
        <v>Inspection at production line</v>
      </c>
    </row>
    <row r="6373" spans="1:4" ht="13.8">
      <c r="A6373" s="47" t="s">
        <v>13521</v>
      </c>
      <c r="B6373" s="92" t="s">
        <v>208</v>
      </c>
      <c r="C6373" s="92" t="s">
        <v>13522</v>
      </c>
      <c r="D6373" s="72" t="str">
        <f>IFERROR(VLOOKUP(A6373,'[1]ST-QA-ZZ5'!$C$5:$M$299,11,0),"Inspection at production line")</f>
        <v>Inspection at production line</v>
      </c>
    </row>
    <row r="6374" spans="1:4" ht="13.8">
      <c r="A6374" s="47" t="s">
        <v>13523</v>
      </c>
      <c r="B6374" s="92" t="s">
        <v>1167</v>
      </c>
      <c r="C6374" s="92" t="s">
        <v>13508</v>
      </c>
      <c r="D6374" s="72" t="str">
        <f>IFERROR(VLOOKUP(A6374,'[1]ST-QA-ZZ5'!$C$5:$M$299,11,0),"Inspection at production line")</f>
        <v>Inspection at production line</v>
      </c>
    </row>
    <row r="6375" spans="1:4" ht="13.8">
      <c r="A6375" s="47" t="s">
        <v>13524</v>
      </c>
      <c r="B6375" s="92" t="s">
        <v>818</v>
      </c>
      <c r="C6375" s="92" t="s">
        <v>13525</v>
      </c>
      <c r="D6375" s="72" t="str">
        <f>IFERROR(VLOOKUP(A6375,'[1]ST-QA-ZZ5'!$C$5:$M$299,11,0),"Inspection at production line")</f>
        <v>Inspection at production line</v>
      </c>
    </row>
    <row r="6376" spans="1:4" ht="13.8">
      <c r="A6376" s="47" t="s">
        <v>13526</v>
      </c>
      <c r="B6376" s="92" t="s">
        <v>397</v>
      </c>
      <c r="C6376" s="92" t="s">
        <v>13511</v>
      </c>
      <c r="D6376" s="72" t="str">
        <f>IFERROR(VLOOKUP(A6376,'[1]ST-QA-ZZ5'!$C$5:$M$299,11,0),"Inspection at production line")</f>
        <v>Inspection at production line</v>
      </c>
    </row>
    <row r="6377" spans="1:4" ht="13.8">
      <c r="A6377" s="47" t="s">
        <v>13527</v>
      </c>
      <c r="B6377" s="92" t="s">
        <v>994</v>
      </c>
      <c r="C6377" s="92" t="s">
        <v>13494</v>
      </c>
      <c r="D6377" s="72" t="str">
        <f>IFERROR(VLOOKUP(A6377,'[1]ST-QA-ZZ5'!$C$5:$M$299,11,0),"Inspection at production line")</f>
        <v>Inspection at production line</v>
      </c>
    </row>
    <row r="6378" spans="1:4" ht="13.8">
      <c r="A6378" s="47" t="s">
        <v>13528</v>
      </c>
      <c r="B6378" s="92" t="s">
        <v>813</v>
      </c>
      <c r="C6378" s="92" t="s">
        <v>13326</v>
      </c>
      <c r="D6378" s="72" t="str">
        <f>IFERROR(VLOOKUP(A6378,'[1]ST-QA-ZZ5'!$C$5:$M$299,11,0),"Inspection at production line")</f>
        <v>Inspection at production line</v>
      </c>
    </row>
    <row r="6379" spans="1:4" ht="13.8">
      <c r="A6379" s="47" t="s">
        <v>13529</v>
      </c>
      <c r="B6379" s="92" t="s">
        <v>208</v>
      </c>
      <c r="C6379" s="92" t="s">
        <v>13530</v>
      </c>
      <c r="D6379" s="72" t="str">
        <f>IFERROR(VLOOKUP(A6379,'[1]ST-QA-ZZ5'!$C$5:$M$299,11,0),"Inspection at production line")</f>
        <v>Inspection at production line</v>
      </c>
    </row>
    <row r="6380" spans="1:4" ht="13.8">
      <c r="A6380" s="47" t="s">
        <v>13531</v>
      </c>
      <c r="B6380" s="92" t="s">
        <v>865</v>
      </c>
      <c r="C6380" s="92" t="s">
        <v>13532</v>
      </c>
      <c r="D6380" s="72" t="str">
        <f>IFERROR(VLOOKUP(A6380,'[1]ST-QA-ZZ5'!$C$5:$M$299,11,0),"Inspection at production line")</f>
        <v>Inspection at production line</v>
      </c>
    </row>
    <row r="6381" spans="1:4" ht="13.8">
      <c r="A6381" s="47" t="s">
        <v>13533</v>
      </c>
      <c r="B6381" s="92" t="s">
        <v>1167</v>
      </c>
      <c r="C6381" s="92" t="s">
        <v>13534</v>
      </c>
      <c r="D6381" s="72" t="str">
        <f>IFERROR(VLOOKUP(A6381,'[1]ST-QA-ZZ5'!$C$5:$M$299,11,0),"Inspection at production line")</f>
        <v>Inspection at production line</v>
      </c>
    </row>
    <row r="6382" spans="1:4" ht="13.8">
      <c r="A6382" s="47" t="s">
        <v>13535</v>
      </c>
      <c r="B6382" s="92" t="s">
        <v>1167</v>
      </c>
      <c r="C6382" s="92" t="s">
        <v>13536</v>
      </c>
      <c r="D6382" s="72" t="str">
        <f>IFERROR(VLOOKUP(A6382,'[1]ST-QA-ZZ5'!$C$5:$M$299,11,0),"Inspection at production line")</f>
        <v>Inspection at production line</v>
      </c>
    </row>
    <row r="6383" spans="1:4" ht="13.8">
      <c r="A6383" s="47" t="s">
        <v>13537</v>
      </c>
      <c r="B6383" s="92" t="s">
        <v>1494</v>
      </c>
      <c r="C6383" s="92" t="s">
        <v>5454</v>
      </c>
      <c r="D6383" s="72" t="str">
        <f>IFERROR(VLOOKUP(A6383,'[1]ST-QA-ZZ5'!$C$5:$M$299,11,0),"Inspection at production line")</f>
        <v>Inspection at production line</v>
      </c>
    </row>
    <row r="6384" spans="1:4" ht="13.8">
      <c r="A6384" s="47" t="s">
        <v>13538</v>
      </c>
      <c r="B6384" s="92" t="s">
        <v>994</v>
      </c>
      <c r="C6384" s="92" t="s">
        <v>13539</v>
      </c>
      <c r="D6384" s="72" t="str">
        <f>IFERROR(VLOOKUP(A6384,'[1]ST-QA-ZZ5'!$C$5:$M$299,11,0),"Inspection at production line")</f>
        <v>Inspection at production line</v>
      </c>
    </row>
    <row r="6385" spans="1:4" ht="13.8">
      <c r="A6385" s="47" t="s">
        <v>13540</v>
      </c>
      <c r="B6385" s="92" t="s">
        <v>208</v>
      </c>
      <c r="C6385" s="92" t="s">
        <v>13541</v>
      </c>
      <c r="D6385" s="72" t="str">
        <f>IFERROR(VLOOKUP(A6385,'[1]ST-QA-ZZ5'!$C$5:$M$299,11,0),"Inspection at production line")</f>
        <v>Inspection at production line</v>
      </c>
    </row>
    <row r="6386" spans="1:4" ht="13.8">
      <c r="A6386" s="47" t="s">
        <v>13542</v>
      </c>
      <c r="B6386" s="92" t="s">
        <v>857</v>
      </c>
      <c r="C6386" s="92" t="s">
        <v>13543</v>
      </c>
      <c r="D6386" s="72" t="str">
        <f>IFERROR(VLOOKUP(A6386,'[1]ST-QA-ZZ5'!$C$5:$M$299,11,0),"Inspection at production line")</f>
        <v>Inspection at production line</v>
      </c>
    </row>
    <row r="6387" spans="1:4" ht="13.8">
      <c r="A6387" s="47" t="s">
        <v>13544</v>
      </c>
      <c r="B6387" s="92" t="s">
        <v>174</v>
      </c>
      <c r="C6387" s="92" t="s">
        <v>13545</v>
      </c>
      <c r="D6387" s="72" t="str">
        <f>IFERROR(VLOOKUP(A6387,'[1]ST-QA-ZZ5'!$C$5:$M$299,11,0),"Inspection at production line")</f>
        <v>Inspection at production line</v>
      </c>
    </row>
    <row r="6388" spans="1:4" ht="13.8">
      <c r="A6388" s="47" t="s">
        <v>13546</v>
      </c>
      <c r="B6388" s="92" t="s">
        <v>1678</v>
      </c>
      <c r="C6388" s="92" t="s">
        <v>13547</v>
      </c>
      <c r="D6388" s="72" t="str">
        <f>IFERROR(VLOOKUP(A6388,'[1]ST-QA-ZZ5'!$C$5:$M$299,11,0),"Inspection at production line")</f>
        <v>Inspection at production line</v>
      </c>
    </row>
    <row r="6389" spans="1:4" ht="13.8">
      <c r="A6389" s="47" t="s">
        <v>13548</v>
      </c>
      <c r="B6389" s="92" t="s">
        <v>857</v>
      </c>
      <c r="C6389" s="92" t="s">
        <v>13549</v>
      </c>
      <c r="D6389" s="72" t="str">
        <f>IFERROR(VLOOKUP(A6389,'[1]ST-QA-ZZ5'!$C$5:$M$299,11,0),"Inspection at production line")</f>
        <v>Inspection at production line</v>
      </c>
    </row>
    <row r="6390" spans="1:4" ht="13.8">
      <c r="A6390" s="47" t="s">
        <v>13550</v>
      </c>
      <c r="B6390" s="92" t="s">
        <v>4772</v>
      </c>
      <c r="C6390" s="92" t="s">
        <v>13551</v>
      </c>
      <c r="D6390" s="72" t="str">
        <f>IFERROR(VLOOKUP(A6390,'[1]ST-QA-ZZ5'!$C$5:$M$299,11,0),"Inspection at production line")</f>
        <v>Inspection at production line</v>
      </c>
    </row>
    <row r="6391" spans="1:4" ht="13.8">
      <c r="A6391" s="47" t="s">
        <v>13552</v>
      </c>
      <c r="B6391" s="92" t="s">
        <v>13553</v>
      </c>
      <c r="C6391" s="92" t="s">
        <v>13554</v>
      </c>
      <c r="D6391" s="72" t="str">
        <f>IFERROR(VLOOKUP(A6391,'[1]ST-QA-ZZ5'!$C$5:$M$299,11,0),"Inspection at production line")</f>
        <v>Inspection at production line</v>
      </c>
    </row>
    <row r="6392" spans="1:4" ht="13.8">
      <c r="A6392" s="47" t="s">
        <v>13555</v>
      </c>
      <c r="B6392" s="92" t="s">
        <v>208</v>
      </c>
      <c r="C6392" s="92" t="s">
        <v>13556</v>
      </c>
      <c r="D6392" s="72" t="str">
        <f>IFERROR(VLOOKUP(A6392,'[1]ST-QA-ZZ5'!$C$5:$M$299,11,0),"Inspection at production line")</f>
        <v>Inspection at production line</v>
      </c>
    </row>
    <row r="6393" spans="1:4" ht="13.8">
      <c r="A6393" s="47" t="s">
        <v>13557</v>
      </c>
      <c r="B6393" s="92" t="s">
        <v>813</v>
      </c>
      <c r="C6393" s="92" t="s">
        <v>1010</v>
      </c>
      <c r="D6393" s="72" t="str">
        <f>IFERROR(VLOOKUP(A6393,'[1]ST-QA-ZZ5'!$C$5:$M$299,11,0),"Inspection at production line")</f>
        <v>Inspection at production line</v>
      </c>
    </row>
    <row r="6394" spans="1:4" ht="13.8">
      <c r="A6394" s="47" t="s">
        <v>13558</v>
      </c>
      <c r="B6394" s="92" t="s">
        <v>404</v>
      </c>
      <c r="C6394" s="92" t="s">
        <v>13559</v>
      </c>
      <c r="D6394" s="72" t="str">
        <f>IFERROR(VLOOKUP(A6394,'[1]ST-QA-ZZ5'!$C$5:$M$299,11,0),"Inspection at production line")</f>
        <v>Inspection at production line</v>
      </c>
    </row>
    <row r="6395" spans="1:4" ht="13.8">
      <c r="A6395" s="47" t="s">
        <v>13560</v>
      </c>
      <c r="B6395" s="92" t="s">
        <v>818</v>
      </c>
      <c r="C6395" s="92" t="s">
        <v>13561</v>
      </c>
      <c r="D6395" s="72" t="str">
        <f>IFERROR(VLOOKUP(A6395,'[1]ST-QA-ZZ5'!$C$5:$M$299,11,0),"Inspection at production line")</f>
        <v>Inspection at production line</v>
      </c>
    </row>
    <row r="6396" spans="1:4" ht="13.8">
      <c r="A6396" s="47" t="s">
        <v>13562</v>
      </c>
      <c r="B6396" s="92" t="s">
        <v>1167</v>
      </c>
      <c r="C6396" s="92" t="s">
        <v>13563</v>
      </c>
      <c r="D6396" s="72" t="str">
        <f>IFERROR(VLOOKUP(A6396,'[1]ST-QA-ZZ5'!$C$5:$M$299,11,0),"Inspection at production line")</f>
        <v>Inspection at production line</v>
      </c>
    </row>
    <row r="6397" spans="1:4" ht="13.8">
      <c r="A6397" s="47" t="s">
        <v>13564</v>
      </c>
      <c r="B6397" s="92" t="s">
        <v>1016</v>
      </c>
      <c r="C6397" s="92" t="s">
        <v>13565</v>
      </c>
      <c r="D6397" s="72" t="str">
        <f>IFERROR(VLOOKUP(A6397,'[1]ST-QA-ZZ5'!$C$5:$M$299,11,0),"Inspection at production line")</f>
        <v>Inspection at production line</v>
      </c>
    </row>
    <row r="6398" spans="1:4" ht="13.8">
      <c r="A6398" s="47" t="s">
        <v>13566</v>
      </c>
      <c r="B6398" s="92" t="s">
        <v>2721</v>
      </c>
      <c r="C6398" s="92" t="s">
        <v>13567</v>
      </c>
      <c r="D6398" s="72" t="str">
        <f>IFERROR(VLOOKUP(A6398,'[1]ST-QA-ZZ5'!$C$5:$M$299,11,0),"Inspection at production line")</f>
        <v>Inspection at production line</v>
      </c>
    </row>
    <row r="6399" spans="1:4" ht="13.8">
      <c r="A6399" s="47" t="s">
        <v>13568</v>
      </c>
      <c r="B6399" s="92" t="s">
        <v>2721</v>
      </c>
      <c r="C6399" s="92" t="s">
        <v>13569</v>
      </c>
      <c r="D6399" s="72" t="str">
        <f>IFERROR(VLOOKUP(A6399,'[1]ST-QA-ZZ5'!$C$5:$M$299,11,0),"Inspection at production line")</f>
        <v>Inspection at production line</v>
      </c>
    </row>
    <row r="6400" spans="1:4" ht="13.8">
      <c r="A6400" s="47" t="s">
        <v>13570</v>
      </c>
      <c r="B6400" s="92" t="s">
        <v>344</v>
      </c>
      <c r="C6400" s="92" t="s">
        <v>13571</v>
      </c>
      <c r="D6400" s="72" t="str">
        <f>IFERROR(VLOOKUP(A6400,'[1]ST-QA-ZZ5'!$C$5:$M$299,11,0),"Inspection at production line")</f>
        <v>Inspection at production line</v>
      </c>
    </row>
    <row r="6401" spans="1:4" ht="13.8">
      <c r="A6401" s="47" t="s">
        <v>13572</v>
      </c>
      <c r="B6401" s="92" t="s">
        <v>814</v>
      </c>
      <c r="C6401" s="92" t="s">
        <v>13573</v>
      </c>
      <c r="D6401" s="72" t="str">
        <f>IFERROR(VLOOKUP(A6401,'[1]ST-QA-ZZ5'!$C$5:$M$299,11,0),"Inspection at production line")</f>
        <v>Inspection at production line</v>
      </c>
    </row>
    <row r="6402" spans="1:4" ht="13.8">
      <c r="A6402" s="47" t="s">
        <v>13574</v>
      </c>
      <c r="B6402" s="92" t="s">
        <v>8596</v>
      </c>
      <c r="C6402" s="92" t="s">
        <v>13575</v>
      </c>
      <c r="D6402" s="72" t="str">
        <f>IFERROR(VLOOKUP(A6402,'[1]ST-QA-ZZ5'!$C$5:$M$299,11,0),"Inspection at production line")</f>
        <v>Inspection at production line</v>
      </c>
    </row>
    <row r="6403" spans="1:4" ht="13.8">
      <c r="A6403" s="47" t="s">
        <v>13576</v>
      </c>
      <c r="B6403" s="92" t="s">
        <v>404</v>
      </c>
      <c r="C6403" s="92" t="s">
        <v>13577</v>
      </c>
      <c r="D6403" s="72" t="str">
        <f>IFERROR(VLOOKUP(A6403,'[1]ST-QA-ZZ5'!$C$5:$M$299,11,0),"Inspection at production line")</f>
        <v>Inspection at production line</v>
      </c>
    </row>
    <row r="6404" spans="1:4" ht="13.8">
      <c r="A6404" s="47" t="s">
        <v>13578</v>
      </c>
      <c r="B6404" s="92" t="s">
        <v>818</v>
      </c>
      <c r="C6404" s="92" t="s">
        <v>13579</v>
      </c>
      <c r="D6404" s="72" t="str">
        <f>IFERROR(VLOOKUP(A6404,'[1]ST-QA-ZZ5'!$C$5:$M$299,11,0),"Inspection at production line")</f>
        <v>Inspection at production line</v>
      </c>
    </row>
    <row r="6405" spans="1:4" ht="13.8">
      <c r="A6405" s="47" t="s">
        <v>13580</v>
      </c>
      <c r="B6405" s="92" t="s">
        <v>1016</v>
      </c>
      <c r="C6405" s="92" t="s">
        <v>13581</v>
      </c>
      <c r="D6405" s="72" t="str">
        <f>IFERROR(VLOOKUP(A6405,'[1]ST-QA-ZZ5'!$C$5:$M$299,11,0),"Inspection at production line")</f>
        <v>Inspection at production line</v>
      </c>
    </row>
    <row r="6406" spans="1:4" ht="13.8">
      <c r="A6406" s="47" t="s">
        <v>13582</v>
      </c>
      <c r="B6406" s="92" t="s">
        <v>6567</v>
      </c>
      <c r="C6406" s="92" t="s">
        <v>13583</v>
      </c>
      <c r="D6406" s="72" t="str">
        <f>IFERROR(VLOOKUP(A6406,'[1]ST-QA-ZZ5'!$C$5:$M$299,11,0),"Inspection at production line")</f>
        <v>Inspection at production line</v>
      </c>
    </row>
    <row r="6407" spans="1:4" ht="13.8">
      <c r="A6407" s="47" t="s">
        <v>13584</v>
      </c>
      <c r="B6407" s="92" t="s">
        <v>898</v>
      </c>
      <c r="C6407" s="92" t="s">
        <v>13585</v>
      </c>
      <c r="D6407" s="72" t="str">
        <f>IFERROR(VLOOKUP(A6407,'[1]ST-QA-ZZ5'!$C$5:$M$299,11,0),"Inspection at production line")</f>
        <v>Inspection at production line</v>
      </c>
    </row>
    <row r="6408" spans="1:4" ht="13.8">
      <c r="A6408" s="47" t="s">
        <v>13586</v>
      </c>
      <c r="B6408" s="92" t="s">
        <v>1199</v>
      </c>
      <c r="C6408" s="92" t="s">
        <v>13587</v>
      </c>
      <c r="D6408" s="72" t="str">
        <f>IFERROR(VLOOKUP(A6408,'[1]ST-QA-ZZ5'!$C$5:$M$299,11,0),"Inspection at production line")</f>
        <v>Inspection at production line</v>
      </c>
    </row>
    <row r="6409" spans="1:4" ht="13.8">
      <c r="A6409" s="47" t="s">
        <v>13588</v>
      </c>
      <c r="B6409" s="92" t="s">
        <v>1199</v>
      </c>
      <c r="C6409" s="92" t="s">
        <v>13589</v>
      </c>
      <c r="D6409" s="72" t="str">
        <f>IFERROR(VLOOKUP(A6409,'[1]ST-QA-ZZ5'!$C$5:$M$299,11,0),"Inspection at production line")</f>
        <v>Inspection at production line</v>
      </c>
    </row>
    <row r="6410" spans="1:4" ht="13.8">
      <c r="A6410" s="47" t="s">
        <v>13590</v>
      </c>
      <c r="B6410" s="92" t="s">
        <v>1199</v>
      </c>
      <c r="C6410" s="92" t="s">
        <v>13591</v>
      </c>
      <c r="D6410" s="72" t="str">
        <f>IFERROR(VLOOKUP(A6410,'[1]ST-QA-ZZ5'!$C$5:$M$299,11,0),"Inspection at production line")</f>
        <v>Inspection at production line</v>
      </c>
    </row>
    <row r="6411" spans="1:4" ht="13.8">
      <c r="A6411" s="47" t="s">
        <v>13592</v>
      </c>
      <c r="B6411" s="92" t="s">
        <v>1199</v>
      </c>
      <c r="C6411" s="92" t="s">
        <v>13593</v>
      </c>
      <c r="D6411" s="72" t="str">
        <f>IFERROR(VLOOKUP(A6411,'[1]ST-QA-ZZ5'!$C$5:$M$299,11,0),"Inspection at production line")</f>
        <v>Inspection at production line</v>
      </c>
    </row>
    <row r="6412" spans="1:4" ht="13.8">
      <c r="A6412" s="47" t="s">
        <v>13594</v>
      </c>
      <c r="B6412" s="92" t="s">
        <v>13595</v>
      </c>
      <c r="C6412" s="92" t="s">
        <v>13596</v>
      </c>
      <c r="D6412" s="72" t="str">
        <f>IFERROR(VLOOKUP(A6412,'[1]ST-QA-ZZ5'!$C$5:$M$299,11,0),"Inspection at production line")</f>
        <v>Inspection at production line</v>
      </c>
    </row>
    <row r="6413" spans="1:4" ht="13.8">
      <c r="A6413" s="47" t="s">
        <v>13597</v>
      </c>
      <c r="B6413" s="92" t="s">
        <v>818</v>
      </c>
      <c r="C6413" s="92" t="s">
        <v>13598</v>
      </c>
      <c r="D6413" s="72" t="str">
        <f>IFERROR(VLOOKUP(A6413,'[1]ST-QA-ZZ5'!$C$5:$M$299,11,0),"Inspection at production line")</f>
        <v>Inspection at production line</v>
      </c>
    </row>
    <row r="6414" spans="1:4" ht="13.8">
      <c r="A6414" s="47" t="s">
        <v>13599</v>
      </c>
      <c r="B6414" s="92" t="s">
        <v>2069</v>
      </c>
      <c r="C6414" s="92" t="s">
        <v>13600</v>
      </c>
      <c r="D6414" s="72" t="str">
        <f>IFERROR(VLOOKUP(A6414,'[1]ST-QA-ZZ5'!$C$5:$M$299,11,0),"Inspection at production line")</f>
        <v>Inspection at production line</v>
      </c>
    </row>
    <row r="6415" spans="1:4" ht="13.8">
      <c r="A6415" s="47" t="s">
        <v>13601</v>
      </c>
      <c r="B6415" s="92" t="s">
        <v>397</v>
      </c>
      <c r="C6415" s="92" t="s">
        <v>1763</v>
      </c>
      <c r="D6415" s="72" t="str">
        <f>IFERROR(VLOOKUP(A6415,'[1]ST-QA-ZZ5'!$C$5:$M$299,11,0),"Inspection at production line")</f>
        <v>Inspection at production line</v>
      </c>
    </row>
    <row r="6416" spans="1:4" ht="13.8">
      <c r="A6416" s="47" t="s">
        <v>13602</v>
      </c>
      <c r="B6416" s="92" t="s">
        <v>813</v>
      </c>
      <c r="C6416" s="92" t="s">
        <v>12855</v>
      </c>
      <c r="D6416" s="72" t="str">
        <f>IFERROR(VLOOKUP(A6416,'[1]ST-QA-ZZ5'!$C$5:$M$299,11,0),"Inspection at production line")</f>
        <v>Inspection at production line</v>
      </c>
    </row>
    <row r="6417" spans="1:4" ht="13.8">
      <c r="A6417" s="47" t="s">
        <v>13603</v>
      </c>
      <c r="B6417" s="92" t="s">
        <v>865</v>
      </c>
      <c r="C6417" s="92" t="s">
        <v>13498</v>
      </c>
      <c r="D6417" s="72" t="str">
        <f>IFERROR(VLOOKUP(A6417,'[1]ST-QA-ZZ5'!$C$5:$M$299,11,0),"Inspection at production line")</f>
        <v>Inspection at production line</v>
      </c>
    </row>
    <row r="6418" spans="1:4" ht="13.8">
      <c r="A6418" s="47" t="s">
        <v>13604</v>
      </c>
      <c r="B6418" s="92" t="s">
        <v>994</v>
      </c>
      <c r="C6418" s="92" t="s">
        <v>13539</v>
      </c>
      <c r="D6418" s="72" t="str">
        <f>IFERROR(VLOOKUP(A6418,'[1]ST-QA-ZZ5'!$C$5:$M$299,11,0),"Inspection at production line")</f>
        <v>Inspection at production line</v>
      </c>
    </row>
    <row r="6419" spans="1:4" ht="13.8">
      <c r="A6419" s="47" t="s">
        <v>13605</v>
      </c>
      <c r="B6419" s="92" t="s">
        <v>1199</v>
      </c>
      <c r="C6419" s="92" t="s">
        <v>13606</v>
      </c>
      <c r="D6419" s="72" t="str">
        <f>IFERROR(VLOOKUP(A6419,'[1]ST-QA-ZZ5'!$C$5:$M$299,11,0),"Inspection at production line")</f>
        <v>Inspection at production line</v>
      </c>
    </row>
    <row r="6420" spans="1:4" ht="13.8">
      <c r="A6420" s="47" t="s">
        <v>13607</v>
      </c>
      <c r="B6420" s="92" t="s">
        <v>1199</v>
      </c>
      <c r="C6420" s="92" t="s">
        <v>13608</v>
      </c>
      <c r="D6420" s="72" t="str">
        <f>IFERROR(VLOOKUP(A6420,'[1]ST-QA-ZZ5'!$C$5:$M$299,11,0),"Inspection at production line")</f>
        <v>Inspection at production line</v>
      </c>
    </row>
    <row r="6421" spans="1:4" ht="13.8">
      <c r="A6421" s="47" t="s">
        <v>13609</v>
      </c>
      <c r="B6421" s="92" t="s">
        <v>1167</v>
      </c>
      <c r="C6421" s="92" t="s">
        <v>13610</v>
      </c>
      <c r="D6421" s="72" t="str">
        <f>IFERROR(VLOOKUP(A6421,'[1]ST-QA-ZZ5'!$C$5:$M$299,11,0),"Inspection at production line")</f>
        <v>Inspection at production line</v>
      </c>
    </row>
    <row r="6422" spans="1:4" ht="13.8">
      <c r="A6422" s="47" t="s">
        <v>13611</v>
      </c>
      <c r="B6422" s="92" t="s">
        <v>404</v>
      </c>
      <c r="C6422" s="94" t="s">
        <v>13612</v>
      </c>
      <c r="D6422" s="72" t="str">
        <f>IFERROR(VLOOKUP(A6422,'[1]ST-QA-ZZ5'!$C$5:$M$299,11,0),"Inspection at production line")</f>
        <v>Inspection at production line</v>
      </c>
    </row>
    <row r="6423" spans="1:4" ht="13.8">
      <c r="A6423" s="47" t="s">
        <v>13613</v>
      </c>
      <c r="B6423" s="92" t="s">
        <v>994</v>
      </c>
      <c r="C6423" s="92" t="s">
        <v>13614</v>
      </c>
      <c r="D6423" s="72" t="str">
        <f>IFERROR(VLOOKUP(A6423,'[1]ST-QA-ZZ5'!$C$5:$M$299,11,0),"Inspection at production line")</f>
        <v>Inspection at production line</v>
      </c>
    </row>
    <row r="6424" spans="1:4" ht="13.8">
      <c r="A6424" s="47" t="s">
        <v>13615</v>
      </c>
      <c r="B6424" s="92" t="s">
        <v>994</v>
      </c>
      <c r="C6424" s="94" t="s">
        <v>13616</v>
      </c>
      <c r="D6424" s="72" t="str">
        <f>IFERROR(VLOOKUP(A6424,'[1]ST-QA-ZZ5'!$C$5:$M$299,11,0),"Inspection at production line")</f>
        <v>Inspection at production line</v>
      </c>
    </row>
    <row r="6425" spans="1:4" ht="13.8">
      <c r="A6425" s="47" t="s">
        <v>13617</v>
      </c>
      <c r="B6425" s="92" t="s">
        <v>818</v>
      </c>
      <c r="C6425" s="92" t="s">
        <v>13618</v>
      </c>
      <c r="D6425" s="72" t="str">
        <f>IFERROR(VLOOKUP(A6425,'[1]ST-QA-ZZ5'!$C$5:$M$299,11,0),"Inspection at production line")</f>
        <v>Inspection at production line</v>
      </c>
    </row>
    <row r="6426" spans="1:4" ht="13.8">
      <c r="A6426" s="47" t="s">
        <v>13619</v>
      </c>
      <c r="B6426" s="92" t="s">
        <v>818</v>
      </c>
      <c r="C6426" s="92" t="s">
        <v>13620</v>
      </c>
      <c r="D6426" s="72" t="str">
        <f>IFERROR(VLOOKUP(A6426,'[1]ST-QA-ZZ5'!$C$5:$M$299,11,0),"Inspection at production line")</f>
        <v>Inspection at production line</v>
      </c>
    </row>
    <row r="6427" spans="1:4" ht="13.8">
      <c r="A6427" s="47" t="s">
        <v>13621</v>
      </c>
      <c r="B6427" s="92" t="s">
        <v>404</v>
      </c>
      <c r="C6427" s="94" t="s">
        <v>431</v>
      </c>
      <c r="D6427" s="72" t="str">
        <f>IFERROR(VLOOKUP(A6427,'[1]ST-QA-ZZ5'!$C$5:$M$299,11,0),"Inspection at production line")</f>
        <v>Inspection at production line</v>
      </c>
    </row>
    <row r="6428" spans="1:4" ht="13.8">
      <c r="A6428" s="47" t="s">
        <v>13622</v>
      </c>
      <c r="B6428" s="92" t="s">
        <v>13623</v>
      </c>
      <c r="C6428" s="94" t="s">
        <v>13623</v>
      </c>
      <c r="D6428" s="72" t="str">
        <f>IFERROR(VLOOKUP(A6428,'[1]ST-QA-ZZ5'!$C$5:$M$299,11,0),"Inspection at production line")</f>
        <v>Inspection at production line</v>
      </c>
    </row>
    <row r="6429" spans="1:4" ht="13.8">
      <c r="A6429" s="47" t="s">
        <v>13624</v>
      </c>
      <c r="B6429" s="92" t="s">
        <v>404</v>
      </c>
      <c r="C6429" s="92" t="s">
        <v>13625</v>
      </c>
      <c r="D6429" s="72" t="str">
        <f>IFERROR(VLOOKUP(A6429,'[1]ST-QA-ZZ5'!$C$5:$M$299,11,0),"Inspection at production line")</f>
        <v>Inspection at production line</v>
      </c>
    </row>
    <row r="6430" spans="1:4" ht="13.8">
      <c r="A6430" s="47" t="s">
        <v>13626</v>
      </c>
      <c r="B6430" s="92" t="s">
        <v>994</v>
      </c>
      <c r="C6430" s="94" t="s">
        <v>13627</v>
      </c>
      <c r="D6430" s="72" t="str">
        <f>IFERROR(VLOOKUP(A6430,'[1]ST-QA-ZZ5'!$C$5:$M$299,11,0),"Inspection at production line")</f>
        <v>Inspection at production line</v>
      </c>
    </row>
    <row r="6431" spans="1:4" ht="13.8">
      <c r="A6431" s="47" t="s">
        <v>13628</v>
      </c>
      <c r="B6431" s="92" t="s">
        <v>404</v>
      </c>
      <c r="C6431" s="94" t="s">
        <v>431</v>
      </c>
      <c r="D6431" s="72" t="str">
        <f>IFERROR(VLOOKUP(A6431,'[1]ST-QA-ZZ5'!$C$5:$M$299,11,0),"Inspection at production line")</f>
        <v>Inspection at production line</v>
      </c>
    </row>
    <row r="6432" spans="1:4" ht="13.8">
      <c r="A6432" s="47" t="s">
        <v>13629</v>
      </c>
      <c r="B6432" s="92" t="s">
        <v>1016</v>
      </c>
      <c r="C6432" s="92" t="s">
        <v>13630</v>
      </c>
      <c r="D6432" s="72" t="str">
        <f>IFERROR(VLOOKUP(A6432,'[1]ST-QA-ZZ5'!$C$5:$M$299,11,0),"Inspection at production line")</f>
        <v>Inspection at production line</v>
      </c>
    </row>
    <row r="6433" spans="1:4" ht="13.8">
      <c r="A6433" s="47" t="s">
        <v>13631</v>
      </c>
      <c r="B6433" s="92" t="s">
        <v>994</v>
      </c>
      <c r="C6433" s="92" t="s">
        <v>13632</v>
      </c>
      <c r="D6433" s="72" t="str">
        <f>IFERROR(VLOOKUP(A6433,'[1]ST-QA-ZZ5'!$C$5:$M$299,11,0),"Inspection at production line")</f>
        <v>Inspection at production line</v>
      </c>
    </row>
    <row r="6434" spans="1:4" ht="13.8">
      <c r="A6434" s="47" t="s">
        <v>13633</v>
      </c>
      <c r="B6434" s="92" t="s">
        <v>818</v>
      </c>
      <c r="C6434" s="92" t="s">
        <v>13634</v>
      </c>
      <c r="D6434" s="72" t="str">
        <f>IFERROR(VLOOKUP(A6434,'[1]ST-QA-ZZ5'!$C$5:$M$299,11,0),"Inspection at production line")</f>
        <v>Inspection at production line</v>
      </c>
    </row>
    <row r="6435" spans="1:4" ht="13.8">
      <c r="A6435" s="47" t="s">
        <v>13635</v>
      </c>
      <c r="B6435" s="92" t="s">
        <v>397</v>
      </c>
      <c r="C6435" s="94" t="s">
        <v>13511</v>
      </c>
      <c r="D6435" s="72" t="str">
        <f>IFERROR(VLOOKUP(A6435,'[1]ST-QA-ZZ5'!$C$5:$M$299,11,0),"Inspection at production line")</f>
        <v>Inspection at production line</v>
      </c>
    </row>
    <row r="6436" spans="1:4" ht="13.8">
      <c r="A6436" s="47" t="s">
        <v>13636</v>
      </c>
      <c r="B6436" s="92" t="s">
        <v>994</v>
      </c>
      <c r="C6436" s="94" t="s">
        <v>13637</v>
      </c>
      <c r="D6436" s="72" t="str">
        <f>IFERROR(VLOOKUP(A6436,'[1]ST-QA-ZZ5'!$C$5:$M$299,11,0),"Inspection at production line")</f>
        <v>Inspection at production line</v>
      </c>
    </row>
    <row r="6437" spans="1:4" ht="13.8">
      <c r="A6437" s="47" t="s">
        <v>13638</v>
      </c>
      <c r="B6437" s="92" t="s">
        <v>818</v>
      </c>
      <c r="C6437" s="92" t="s">
        <v>13639</v>
      </c>
      <c r="D6437" s="72" t="str">
        <f>IFERROR(VLOOKUP(A6437,'[1]ST-QA-ZZ5'!$C$5:$M$299,11,0),"Inspection at production line")</f>
        <v>Inspection at production line</v>
      </c>
    </row>
    <row r="6438" spans="1:4" ht="13.8">
      <c r="A6438" s="47" t="s">
        <v>13640</v>
      </c>
      <c r="B6438" s="92" t="s">
        <v>404</v>
      </c>
      <c r="C6438" s="92" t="s">
        <v>13559</v>
      </c>
      <c r="D6438" s="72" t="str">
        <f>IFERROR(VLOOKUP(A6438,'[1]ST-QA-ZZ5'!$C$5:$M$299,11,0),"Inspection at production line")</f>
        <v>Inspection at production line</v>
      </c>
    </row>
    <row r="6439" spans="1:4" ht="13.8">
      <c r="A6439" s="47" t="s">
        <v>13641</v>
      </c>
      <c r="B6439" s="92" t="s">
        <v>813</v>
      </c>
      <c r="C6439" s="92" t="s">
        <v>12855</v>
      </c>
      <c r="D6439" s="72" t="str">
        <f>IFERROR(VLOOKUP(A6439,'[1]ST-QA-ZZ5'!$C$5:$M$299,11,0),"Inspection at production line")</f>
        <v>Inspection at production line</v>
      </c>
    </row>
    <row r="6440" spans="1:4" ht="13.8">
      <c r="A6440" s="47" t="s">
        <v>13642</v>
      </c>
      <c r="B6440" s="92" t="s">
        <v>818</v>
      </c>
      <c r="C6440" s="94" t="s">
        <v>13643</v>
      </c>
      <c r="D6440" s="72" t="str">
        <f>IFERROR(VLOOKUP(A6440,'[1]ST-QA-ZZ5'!$C$5:$M$299,11,0),"Inspection at production line")</f>
        <v>Inspection at production line</v>
      </c>
    </row>
    <row r="6441" spans="1:4" ht="13.8">
      <c r="A6441" s="47" t="s">
        <v>13644</v>
      </c>
      <c r="B6441" s="92" t="s">
        <v>818</v>
      </c>
      <c r="C6441" s="92" t="s">
        <v>13645</v>
      </c>
      <c r="D6441" s="72" t="str">
        <f>IFERROR(VLOOKUP(A6441,'[1]ST-QA-ZZ5'!$C$5:$M$299,11,0),"Inspection at production line")</f>
        <v>Inspection at production line</v>
      </c>
    </row>
    <row r="6442" spans="1:4" ht="13.8">
      <c r="A6442" s="47" t="s">
        <v>13646</v>
      </c>
      <c r="B6442" s="92" t="s">
        <v>1167</v>
      </c>
      <c r="C6442" s="92" t="s">
        <v>13536</v>
      </c>
      <c r="D6442" s="72" t="str">
        <f>IFERROR(VLOOKUP(A6442,'[1]ST-QA-ZZ5'!$C$5:$M$299,11,0),"Inspection at production line")</f>
        <v>Inspection at production line</v>
      </c>
    </row>
    <row r="6443" spans="1:4" ht="13.8">
      <c r="A6443" s="47" t="s">
        <v>13647</v>
      </c>
      <c r="B6443" s="92" t="s">
        <v>397</v>
      </c>
      <c r="C6443" s="92" t="s">
        <v>13648</v>
      </c>
      <c r="D6443" s="72" t="str">
        <f>IFERROR(VLOOKUP(A6443,'[1]ST-QA-ZZ5'!$C$5:$M$299,11,0),"Inspection at production line")</f>
        <v>Inspection at production line</v>
      </c>
    </row>
    <row r="6444" spans="1:4" ht="13.8">
      <c r="A6444" s="47" t="s">
        <v>13649</v>
      </c>
      <c r="B6444" s="92" t="s">
        <v>397</v>
      </c>
      <c r="C6444" s="92" t="s">
        <v>13650</v>
      </c>
      <c r="D6444" s="72" t="str">
        <f>IFERROR(VLOOKUP(A6444,'[1]ST-QA-ZZ5'!$C$5:$M$299,11,0),"Inspection at production line")</f>
        <v>Inspection at production line</v>
      </c>
    </row>
    <row r="6445" spans="1:4" ht="13.8">
      <c r="A6445" s="47" t="s">
        <v>13651</v>
      </c>
      <c r="B6445" s="92" t="s">
        <v>397</v>
      </c>
      <c r="C6445" s="92" t="s">
        <v>13652</v>
      </c>
      <c r="D6445" s="72" t="str">
        <f>IFERROR(VLOOKUP(A6445,'[1]ST-QA-ZZ5'!$C$5:$M$299,11,0),"Inspection at production line")</f>
        <v>Inspection at production line</v>
      </c>
    </row>
    <row r="6446" spans="1:4" ht="13.8">
      <c r="A6446" s="47" t="s">
        <v>13653</v>
      </c>
      <c r="B6446" s="92" t="s">
        <v>814</v>
      </c>
      <c r="C6446" s="92" t="s">
        <v>1661</v>
      </c>
      <c r="D6446" s="72" t="str">
        <f>IFERROR(VLOOKUP(A6446,'[1]ST-QA-ZZ5'!$C$5:$M$299,11,0),"Inspection at production line")</f>
        <v>Inspection at production line</v>
      </c>
    </row>
    <row r="6447" spans="1:4" ht="13.8">
      <c r="A6447" s="47" t="s">
        <v>13654</v>
      </c>
      <c r="B6447" s="92" t="s">
        <v>818</v>
      </c>
      <c r="C6447" s="92" t="s">
        <v>13655</v>
      </c>
      <c r="D6447" s="72" t="str">
        <f>IFERROR(VLOOKUP(A6447,'[1]ST-QA-ZZ5'!$C$5:$M$299,11,0),"Inspection at production line")</f>
        <v>Inspection at production line</v>
      </c>
    </row>
    <row r="6448" spans="1:4" ht="13.8">
      <c r="A6448" s="47" t="s">
        <v>13656</v>
      </c>
      <c r="B6448" s="92" t="s">
        <v>814</v>
      </c>
      <c r="C6448" s="92" t="s">
        <v>13657</v>
      </c>
      <c r="D6448" s="72" t="str">
        <f>IFERROR(VLOOKUP(A6448,'[1]ST-QA-ZZ5'!$C$5:$M$299,11,0),"Inspection at production line")</f>
        <v>Inspection at production line</v>
      </c>
    </row>
    <row r="6449" spans="1:4" ht="13.8">
      <c r="A6449" s="47" t="s">
        <v>13658</v>
      </c>
      <c r="B6449" s="92" t="s">
        <v>994</v>
      </c>
      <c r="C6449" s="92" t="s">
        <v>13659</v>
      </c>
      <c r="D6449" s="72" t="str">
        <f>IFERROR(VLOOKUP(A6449,'[1]ST-QA-ZZ5'!$C$5:$M$299,11,0),"Inspection at production line")</f>
        <v>Inspection at production line</v>
      </c>
    </row>
    <row r="6450" spans="1:4" ht="13.8">
      <c r="A6450" s="47" t="s">
        <v>13660</v>
      </c>
      <c r="B6450" s="92" t="s">
        <v>404</v>
      </c>
      <c r="C6450" s="94" t="s">
        <v>13661</v>
      </c>
      <c r="D6450" s="72" t="str">
        <f>IFERROR(VLOOKUP(A6450,'[1]ST-QA-ZZ5'!$C$5:$M$299,11,0),"Inspection at production line")</f>
        <v>Inspection at production line</v>
      </c>
    </row>
    <row r="6451" spans="1:4" ht="13.8">
      <c r="A6451" s="47" t="s">
        <v>13662</v>
      </c>
      <c r="B6451" s="92" t="s">
        <v>865</v>
      </c>
      <c r="C6451" s="92" t="s">
        <v>13663</v>
      </c>
      <c r="D6451" s="72" t="str">
        <f>IFERROR(VLOOKUP(A6451,'[1]ST-QA-ZZ5'!$C$5:$M$299,11,0),"Inspection at production line")</f>
        <v>Inspection at production line</v>
      </c>
    </row>
    <row r="6452" spans="1:4" ht="13.8">
      <c r="A6452" s="47" t="s">
        <v>13664</v>
      </c>
      <c r="B6452" s="92" t="s">
        <v>362</v>
      </c>
      <c r="C6452" s="92" t="s">
        <v>13665</v>
      </c>
      <c r="D6452" s="72" t="str">
        <f>IFERROR(VLOOKUP(A6452,'[1]ST-QA-ZZ5'!$C$5:$M$299,11,0),"Inspection at production line")</f>
        <v>Inspection at production line</v>
      </c>
    </row>
    <row r="6453" spans="1:4" ht="13.8">
      <c r="A6453" s="47" t="s">
        <v>13666</v>
      </c>
      <c r="B6453" s="92" t="s">
        <v>994</v>
      </c>
      <c r="C6453" s="92" t="s">
        <v>13667</v>
      </c>
      <c r="D6453" s="72" t="str">
        <f>IFERROR(VLOOKUP(A6453,'[1]ST-QA-ZZ5'!$C$5:$M$299,11,0),"Inspection at production line")</f>
        <v>Inspection at production line</v>
      </c>
    </row>
    <row r="6454" spans="1:4" ht="13.8">
      <c r="A6454" s="47" t="s">
        <v>13668</v>
      </c>
      <c r="B6454" s="92" t="s">
        <v>857</v>
      </c>
      <c r="C6454" s="92" t="s">
        <v>13669</v>
      </c>
      <c r="D6454" s="72" t="str">
        <f>IFERROR(VLOOKUP(A6454,'[1]ST-QA-ZZ5'!$C$5:$M$299,11,0),"Inspection at production line")</f>
        <v>Inspection at production line</v>
      </c>
    </row>
    <row r="6455" spans="1:4" ht="13.8">
      <c r="A6455" s="47" t="s">
        <v>13670</v>
      </c>
      <c r="B6455" s="92" t="s">
        <v>994</v>
      </c>
      <c r="C6455" s="92" t="s">
        <v>13671</v>
      </c>
      <c r="D6455" s="72" t="str">
        <f>IFERROR(VLOOKUP(A6455,'[1]ST-QA-ZZ5'!$C$5:$M$299,11,0),"Inspection at production line")</f>
        <v>Inspection at production line</v>
      </c>
    </row>
    <row r="6456" spans="1:4" ht="13.8">
      <c r="A6456" s="47" t="s">
        <v>13672</v>
      </c>
      <c r="B6456" s="92" t="s">
        <v>813</v>
      </c>
      <c r="C6456" s="92" t="s">
        <v>1010</v>
      </c>
      <c r="D6456" s="72" t="str">
        <f>IFERROR(VLOOKUP(A6456,'[1]ST-QA-ZZ5'!$C$5:$M$299,11,0),"Inspection at production line")</f>
        <v>Inspection at production line</v>
      </c>
    </row>
    <row r="6457" spans="1:4" ht="13.8">
      <c r="A6457" s="47" t="s">
        <v>13673</v>
      </c>
      <c r="B6457" s="92" t="s">
        <v>818</v>
      </c>
      <c r="C6457" s="92" t="s">
        <v>13674</v>
      </c>
      <c r="D6457" s="72" t="str">
        <f>IFERROR(VLOOKUP(A6457,'[1]ST-QA-ZZ5'!$C$5:$M$299,11,0),"Inspection at production line")</f>
        <v>Inspection at production line</v>
      </c>
    </row>
    <row r="6458" spans="1:4" ht="13.8">
      <c r="A6458" s="47" t="s">
        <v>13675</v>
      </c>
      <c r="B6458" s="92" t="s">
        <v>865</v>
      </c>
      <c r="C6458" s="92" t="s">
        <v>13676</v>
      </c>
      <c r="D6458" s="72" t="str">
        <f>IFERROR(VLOOKUP(A6458,'[1]ST-QA-ZZ5'!$C$5:$M$299,11,0),"Inspection at production line")</f>
        <v>Inspection at production line</v>
      </c>
    </row>
    <row r="6459" spans="1:4" ht="13.8">
      <c r="A6459" s="47" t="s">
        <v>13677</v>
      </c>
      <c r="B6459" s="92" t="s">
        <v>898</v>
      </c>
      <c r="C6459" s="92" t="s">
        <v>13678</v>
      </c>
      <c r="D6459" s="72" t="str">
        <f>IFERROR(VLOOKUP(A6459,'[1]ST-QA-ZZ5'!$C$5:$M$299,11,0),"Inspection at production line")</f>
        <v>Inspection at production line</v>
      </c>
    </row>
    <row r="6460" spans="1:4" ht="13.8">
      <c r="A6460" s="47" t="s">
        <v>13679</v>
      </c>
      <c r="B6460" s="92" t="s">
        <v>208</v>
      </c>
      <c r="C6460" s="92" t="s">
        <v>1346</v>
      </c>
      <c r="D6460" s="72" t="str">
        <f>IFERROR(VLOOKUP(A6460,'[1]ST-QA-ZZ5'!$C$5:$M$299,11,0),"Inspection at production line")</f>
        <v>Inspection at production line</v>
      </c>
    </row>
    <row r="6461" spans="1:4" ht="13.8">
      <c r="A6461" s="47" t="s">
        <v>13680</v>
      </c>
      <c r="B6461" s="92" t="s">
        <v>1016</v>
      </c>
      <c r="C6461" s="92" t="s">
        <v>13681</v>
      </c>
      <c r="D6461" s="72" t="str">
        <f>IFERROR(VLOOKUP(A6461,'[1]ST-QA-ZZ5'!$C$5:$M$299,11,0),"Inspection at production line")</f>
        <v>Inspection at production line</v>
      </c>
    </row>
    <row r="6462" spans="1:4" ht="13.8">
      <c r="A6462" s="47" t="s">
        <v>13682</v>
      </c>
      <c r="B6462" s="92" t="s">
        <v>371</v>
      </c>
      <c r="C6462" s="92" t="s">
        <v>13683</v>
      </c>
      <c r="D6462" s="72" t="str">
        <f>IFERROR(VLOOKUP(A6462,'[1]ST-QA-ZZ5'!$C$5:$M$299,11,0),"Inspection at production line")</f>
        <v>Inspection at production line</v>
      </c>
    </row>
    <row r="6463" spans="1:4" ht="13.8">
      <c r="A6463" s="47" t="s">
        <v>13684</v>
      </c>
      <c r="B6463" s="92" t="s">
        <v>811</v>
      </c>
      <c r="C6463" s="92" t="s">
        <v>1410</v>
      </c>
      <c r="D6463" s="72" t="str">
        <f>IFERROR(VLOOKUP(A6463,'[1]ST-QA-ZZ5'!$C$5:$M$299,11,0),"Inspection at production line")</f>
        <v>Inspection at production line</v>
      </c>
    </row>
    <row r="6464" spans="1:4" ht="13.8">
      <c r="A6464" s="47" t="s">
        <v>13685</v>
      </c>
      <c r="B6464" s="92" t="s">
        <v>936</v>
      </c>
      <c r="C6464" s="92" t="s">
        <v>5297</v>
      </c>
      <c r="D6464" s="72" t="str">
        <f>IFERROR(VLOOKUP(A6464,'[1]ST-QA-ZZ5'!$C$5:$M$299,11,0),"Inspection at production line")</f>
        <v>Inspection at production line</v>
      </c>
    </row>
    <row r="6465" spans="1:4" ht="13.8">
      <c r="A6465" s="47" t="s">
        <v>13686</v>
      </c>
      <c r="B6465" s="92" t="s">
        <v>404</v>
      </c>
      <c r="C6465" s="92" t="s">
        <v>1395</v>
      </c>
      <c r="D6465" s="72" t="str">
        <f>IFERROR(VLOOKUP(A6465,'[1]ST-QA-ZZ5'!$C$5:$M$299,11,0),"Inspection at production line")</f>
        <v>Inspection at production line</v>
      </c>
    </row>
    <row r="6466" spans="1:4" ht="13.8">
      <c r="A6466" s="47" t="s">
        <v>13687</v>
      </c>
      <c r="B6466" s="92" t="s">
        <v>404</v>
      </c>
      <c r="C6466" s="94" t="s">
        <v>13688</v>
      </c>
      <c r="D6466" s="72" t="str">
        <f>IFERROR(VLOOKUP(A6466,'[1]ST-QA-ZZ5'!$C$5:$M$299,11,0),"Inspection at production line")</f>
        <v>Inspection at production line</v>
      </c>
    </row>
    <row r="6467" spans="1:4" ht="13.8">
      <c r="A6467" s="47" t="s">
        <v>13689</v>
      </c>
      <c r="B6467" s="92" t="s">
        <v>404</v>
      </c>
      <c r="C6467" s="92" t="s">
        <v>13690</v>
      </c>
      <c r="D6467" s="72" t="str">
        <f>IFERROR(VLOOKUP(A6467,'[1]ST-QA-ZZ5'!$C$5:$M$299,11,0),"Inspection at production line")</f>
        <v>Inspection at production line</v>
      </c>
    </row>
    <row r="6468" spans="1:4" ht="13.8">
      <c r="A6468" s="47" t="s">
        <v>13691</v>
      </c>
      <c r="B6468" s="92" t="s">
        <v>1016</v>
      </c>
      <c r="C6468" s="94" t="s">
        <v>13692</v>
      </c>
      <c r="D6468" s="72" t="str">
        <f>IFERROR(VLOOKUP(A6468,'[1]ST-QA-ZZ5'!$C$5:$M$299,11,0),"Inspection at production line")</f>
        <v>Inspection at production line</v>
      </c>
    </row>
    <row r="6469" spans="1:4" ht="13.8">
      <c r="A6469" s="47" t="s">
        <v>13693</v>
      </c>
      <c r="B6469" s="92" t="s">
        <v>1016</v>
      </c>
      <c r="C6469" s="94" t="s">
        <v>13694</v>
      </c>
      <c r="D6469" s="72" t="str">
        <f>IFERROR(VLOOKUP(A6469,'[1]ST-QA-ZZ5'!$C$5:$M$299,11,0),"Inspection at production line")</f>
        <v>Inspection at production line</v>
      </c>
    </row>
    <row r="6470" spans="1:4" ht="13.8">
      <c r="A6470" s="47" t="s">
        <v>13695</v>
      </c>
      <c r="B6470" s="92" t="s">
        <v>818</v>
      </c>
      <c r="C6470" s="92" t="s">
        <v>13696</v>
      </c>
      <c r="D6470" s="72" t="str">
        <f>IFERROR(VLOOKUP(A6470,'[1]ST-QA-ZZ5'!$C$5:$M$299,11,0),"Inspection at production line")</f>
        <v>Inspection at production line</v>
      </c>
    </row>
    <row r="6471" spans="1:4" ht="13.8">
      <c r="A6471" s="47" t="s">
        <v>13697</v>
      </c>
      <c r="B6471" s="92" t="s">
        <v>818</v>
      </c>
      <c r="C6471" s="92" t="s">
        <v>13698</v>
      </c>
      <c r="D6471" s="72" t="str">
        <f>IFERROR(VLOOKUP(A6471,'[1]ST-QA-ZZ5'!$C$5:$M$299,11,0),"Inspection at production line")</f>
        <v>Inspection at production line</v>
      </c>
    </row>
    <row r="6472" spans="1:4" ht="13.8">
      <c r="A6472" s="47" t="s">
        <v>13699</v>
      </c>
      <c r="B6472" s="92" t="s">
        <v>1167</v>
      </c>
      <c r="C6472" s="92" t="s">
        <v>12850</v>
      </c>
      <c r="D6472" s="72" t="str">
        <f>IFERROR(VLOOKUP(A6472,'[1]ST-QA-ZZ5'!$C$5:$M$299,11,0),"Inspection at production line")</f>
        <v>Inspection at production line</v>
      </c>
    </row>
    <row r="6473" spans="1:4" ht="13.8">
      <c r="A6473" s="47" t="s">
        <v>13700</v>
      </c>
      <c r="B6473" s="92" t="s">
        <v>1016</v>
      </c>
      <c r="C6473" s="92" t="s">
        <v>12859</v>
      </c>
      <c r="D6473" s="72" t="str">
        <f>IFERROR(VLOOKUP(A6473,'[1]ST-QA-ZZ5'!$C$5:$M$299,11,0),"Inspection at production line")</f>
        <v>Inspection at production line</v>
      </c>
    </row>
    <row r="6474" spans="1:4" ht="13.8">
      <c r="A6474" s="47" t="s">
        <v>13701</v>
      </c>
      <c r="B6474" s="92" t="s">
        <v>1167</v>
      </c>
      <c r="C6474" s="92" t="s">
        <v>13536</v>
      </c>
      <c r="D6474" s="72" t="str">
        <f>IFERROR(VLOOKUP(A6474,'[1]ST-QA-ZZ5'!$C$5:$M$299,11,0),"Inspection at production line")</f>
        <v>Inspection at production line</v>
      </c>
    </row>
    <row r="6475" spans="1:4" ht="13.8">
      <c r="A6475" s="47" t="s">
        <v>13702</v>
      </c>
      <c r="B6475" s="92" t="s">
        <v>932</v>
      </c>
      <c r="C6475" s="92" t="s">
        <v>13703</v>
      </c>
      <c r="D6475" s="72" t="str">
        <f>IFERROR(VLOOKUP(A6475,'[1]ST-QA-ZZ5'!$C$5:$M$299,11,0),"Inspection at production line")</f>
        <v>Inspection at production line</v>
      </c>
    </row>
    <row r="6476" spans="1:4" ht="13.8">
      <c r="A6476" s="47" t="s">
        <v>13704</v>
      </c>
      <c r="B6476" s="92" t="s">
        <v>404</v>
      </c>
      <c r="C6476" s="92" t="s">
        <v>13705</v>
      </c>
      <c r="D6476" s="72" t="str">
        <f>IFERROR(VLOOKUP(A6476,'[1]ST-QA-ZZ5'!$C$5:$M$299,11,0),"Inspection at production line")</f>
        <v>Inspection at production line</v>
      </c>
    </row>
    <row r="6477" spans="1:4" ht="13.8">
      <c r="A6477" s="47" t="s">
        <v>13706</v>
      </c>
      <c r="B6477" s="92" t="s">
        <v>404</v>
      </c>
      <c r="C6477" s="92" t="s">
        <v>13707</v>
      </c>
      <c r="D6477" s="72" t="str">
        <f>IFERROR(VLOOKUP(A6477,'[1]ST-QA-ZZ5'!$C$5:$M$299,11,0),"Inspection at production line")</f>
        <v>Inspection at production line</v>
      </c>
    </row>
    <row r="6478" spans="1:4" ht="13.8">
      <c r="A6478" s="47" t="s">
        <v>13708</v>
      </c>
      <c r="B6478" s="92" t="s">
        <v>905</v>
      </c>
      <c r="C6478" s="92" t="s">
        <v>7782</v>
      </c>
      <c r="D6478" s="72" t="str">
        <f>IFERROR(VLOOKUP(A6478,'[1]ST-QA-ZZ5'!$C$5:$M$299,11,0),"Inspection at production line")</f>
        <v>Inspection at production line</v>
      </c>
    </row>
    <row r="6479" spans="1:4" ht="13.8">
      <c r="A6479" s="47" t="s">
        <v>13709</v>
      </c>
      <c r="B6479" s="92" t="s">
        <v>4769</v>
      </c>
      <c r="C6479" s="92" t="s">
        <v>13710</v>
      </c>
      <c r="D6479" s="72" t="str">
        <f>IFERROR(VLOOKUP(A6479,'[1]ST-QA-ZZ5'!$C$5:$M$299,11,0),"Inspection at production line")</f>
        <v>Inspection at production line</v>
      </c>
    </row>
    <row r="6480" spans="1:4" ht="13.8">
      <c r="A6480" s="47" t="s">
        <v>13711</v>
      </c>
      <c r="B6480" s="92" t="s">
        <v>994</v>
      </c>
      <c r="C6480" s="92" t="s">
        <v>13712</v>
      </c>
      <c r="D6480" s="72" t="str">
        <f>IFERROR(VLOOKUP(A6480,'[1]ST-QA-ZZ5'!$C$5:$M$299,11,0),"Inspection at production line")</f>
        <v>Inspection at production line</v>
      </c>
    </row>
    <row r="6481" spans="1:4" ht="13.8">
      <c r="A6481" s="47" t="s">
        <v>13713</v>
      </c>
      <c r="B6481" s="92" t="s">
        <v>213</v>
      </c>
      <c r="C6481" s="92" t="s">
        <v>13714</v>
      </c>
      <c r="D6481" s="72" t="str">
        <f>IFERROR(VLOOKUP(A6481,'[1]ST-QA-ZZ5'!$C$5:$M$299,11,0),"Inspection at production line")</f>
        <v>Inspection at production line</v>
      </c>
    </row>
    <row r="6482" spans="1:4" ht="13.8">
      <c r="A6482" s="47" t="s">
        <v>13715</v>
      </c>
      <c r="B6482" s="92" t="s">
        <v>818</v>
      </c>
      <c r="C6482" s="92" t="s">
        <v>13716</v>
      </c>
      <c r="D6482" s="72" t="str">
        <f>IFERROR(VLOOKUP(A6482,'[1]ST-QA-ZZ5'!$C$5:$M$299,11,0),"Inspection at production line")</f>
        <v>Inspection at production line</v>
      </c>
    </row>
    <row r="6483" spans="1:4" ht="13.8">
      <c r="A6483" s="47" t="s">
        <v>13717</v>
      </c>
      <c r="B6483" s="92" t="s">
        <v>4769</v>
      </c>
      <c r="C6483" s="92" t="s">
        <v>13718</v>
      </c>
      <c r="D6483" s="72" t="str">
        <f>IFERROR(VLOOKUP(A6483,'[1]ST-QA-ZZ5'!$C$5:$M$299,11,0),"Inspection at production line")</f>
        <v>Inspection at production line</v>
      </c>
    </row>
    <row r="6484" spans="1:4" ht="13.8">
      <c r="A6484" s="47" t="s">
        <v>13719</v>
      </c>
      <c r="B6484" s="92" t="s">
        <v>344</v>
      </c>
      <c r="C6484" s="92" t="s">
        <v>13720</v>
      </c>
      <c r="D6484" s="72" t="str">
        <f>IFERROR(VLOOKUP(A6484,'[1]ST-QA-ZZ5'!$C$5:$M$299,11,0),"Inspection at production line")</f>
        <v>Inspection at production line</v>
      </c>
    </row>
    <row r="6485" spans="1:4" ht="13.8">
      <c r="A6485" s="47" t="s">
        <v>13721</v>
      </c>
      <c r="B6485" s="92" t="s">
        <v>2566</v>
      </c>
      <c r="C6485" s="92" t="s">
        <v>13722</v>
      </c>
      <c r="D6485" s="72" t="str">
        <f>IFERROR(VLOOKUP(A6485,'[1]ST-QA-ZZ5'!$C$5:$M$299,11,0),"Inspection at production line")</f>
        <v>Inspection at production line</v>
      </c>
    </row>
    <row r="6486" spans="1:4" ht="13.8">
      <c r="A6486" s="47" t="s">
        <v>13723</v>
      </c>
      <c r="B6486" s="92" t="s">
        <v>1208</v>
      </c>
      <c r="C6486" s="94" t="s">
        <v>13724</v>
      </c>
      <c r="D6486" s="72" t="str">
        <f>IFERROR(VLOOKUP(A6486,'[1]ST-QA-ZZ5'!$C$5:$M$299,11,0),"Inspection at production line")</f>
        <v>Inspection at production line</v>
      </c>
    </row>
    <row r="6487" spans="1:4" ht="13.8">
      <c r="A6487" s="47" t="s">
        <v>13725</v>
      </c>
      <c r="B6487" s="92" t="s">
        <v>13726</v>
      </c>
      <c r="C6487" s="92" t="s">
        <v>13727</v>
      </c>
      <c r="D6487" s="72" t="str">
        <f>IFERROR(VLOOKUP(A6487,'[1]ST-QA-ZZ5'!$C$5:$M$299,11,0),"Inspection at production line")</f>
        <v>Inspection at production line</v>
      </c>
    </row>
    <row r="6488" spans="1:4" ht="13.8">
      <c r="A6488" s="47" t="s">
        <v>13728</v>
      </c>
      <c r="B6488" s="92" t="s">
        <v>404</v>
      </c>
      <c r="C6488" s="92" t="s">
        <v>13729</v>
      </c>
      <c r="D6488" s="72" t="str">
        <f>IFERROR(VLOOKUP(A6488,'[1]ST-QA-ZZ5'!$C$5:$M$299,11,0),"Inspection at production line")</f>
        <v>Inspection at production line</v>
      </c>
    </row>
    <row r="6489" spans="1:4" ht="13.8">
      <c r="A6489" s="47" t="s">
        <v>13730</v>
      </c>
      <c r="B6489" s="92" t="s">
        <v>1016</v>
      </c>
      <c r="C6489" s="92" t="s">
        <v>13731</v>
      </c>
      <c r="D6489" s="72" t="str">
        <f>IFERROR(VLOOKUP(A6489,'[1]ST-QA-ZZ5'!$C$5:$M$299,11,0),"Inspection at production line")</f>
        <v>Inspection at production line</v>
      </c>
    </row>
    <row r="6490" spans="1:4" ht="13.8">
      <c r="A6490" s="47" t="s">
        <v>13732</v>
      </c>
      <c r="B6490" s="92" t="s">
        <v>818</v>
      </c>
      <c r="C6490" s="92" t="s">
        <v>13733</v>
      </c>
      <c r="D6490" s="72" t="str">
        <f>IFERROR(VLOOKUP(A6490,'[1]ST-QA-ZZ5'!$C$5:$M$299,11,0),"Inspection at production line")</f>
        <v>Inspection at production line</v>
      </c>
    </row>
    <row r="6491" spans="1:4" ht="27.6">
      <c r="A6491" s="47" t="s">
        <v>13734</v>
      </c>
      <c r="B6491" s="92" t="s">
        <v>994</v>
      </c>
      <c r="C6491" s="94" t="s">
        <v>13735</v>
      </c>
      <c r="D6491" s="72" t="str">
        <f>IFERROR(VLOOKUP(A6491,'[1]ST-QA-ZZ5'!$C$5:$M$299,11,0),"Inspection at production line")</f>
        <v>Inspection at production line</v>
      </c>
    </row>
    <row r="6492" spans="1:4" ht="13.8">
      <c r="A6492" s="47" t="s">
        <v>13736</v>
      </c>
      <c r="B6492" s="92" t="s">
        <v>8450</v>
      </c>
      <c r="C6492" s="92" t="s">
        <v>13737</v>
      </c>
      <c r="D6492" s="72" t="str">
        <f>IFERROR(VLOOKUP(A6492,'[1]ST-QA-ZZ5'!$C$5:$M$299,11,0),"Inspection at production line")</f>
        <v>Inspection at production line</v>
      </c>
    </row>
    <row r="6493" spans="1:4" ht="13.8">
      <c r="A6493" s="47" t="s">
        <v>13738</v>
      </c>
      <c r="B6493" s="92" t="s">
        <v>90</v>
      </c>
      <c r="C6493" s="92" t="s">
        <v>91</v>
      </c>
      <c r="D6493" s="72" t="str">
        <f>IFERROR(VLOOKUP(A6493,'[1]ST-QA-ZZ5'!$C$5:$M$299,11,0),"Inspection at production line")</f>
        <v>Inspection at production line</v>
      </c>
    </row>
    <row r="6494" spans="1:4" ht="13.8">
      <c r="A6494" s="47" t="s">
        <v>13739</v>
      </c>
      <c r="B6494" s="92" t="s">
        <v>3564</v>
      </c>
      <c r="C6494" s="92" t="s">
        <v>5202</v>
      </c>
      <c r="D6494" s="72" t="str">
        <f>IFERROR(VLOOKUP(A6494,'[1]ST-QA-ZZ5'!$C$5:$M$299,11,0),"Inspection at production line")</f>
        <v>Inspection at production line</v>
      </c>
    </row>
    <row r="6495" spans="1:4" ht="13.8">
      <c r="A6495" s="47" t="s">
        <v>13740</v>
      </c>
      <c r="B6495" s="92" t="s">
        <v>3543</v>
      </c>
      <c r="C6495" s="92" t="s">
        <v>7672</v>
      </c>
      <c r="D6495" s="72" t="str">
        <f>IFERROR(VLOOKUP(A6495,'[1]ST-QA-ZZ5'!$C$5:$M$299,11,0),"Inspection at production line")</f>
        <v>Inspection at production line</v>
      </c>
    </row>
    <row r="6496" spans="1:4" ht="13.8">
      <c r="A6496" s="47" t="s">
        <v>13741</v>
      </c>
      <c r="B6496" s="92" t="s">
        <v>949</v>
      </c>
      <c r="C6496" s="92" t="s">
        <v>7668</v>
      </c>
      <c r="D6496" s="72" t="str">
        <f>IFERROR(VLOOKUP(A6496,'[1]ST-QA-ZZ5'!$C$5:$M$299,11,0),"Inspection at production line")</f>
        <v>Inspection at production line</v>
      </c>
    </row>
    <row r="6497" spans="1:4" ht="13.8">
      <c r="A6497" s="47" t="s">
        <v>13742</v>
      </c>
      <c r="B6497" s="92" t="s">
        <v>555</v>
      </c>
      <c r="C6497" s="92" t="s">
        <v>13743</v>
      </c>
      <c r="D6497" s="72" t="str">
        <f>IFERROR(VLOOKUP(A6497,'[1]ST-QA-ZZ5'!$C$5:$M$299,11,0),"Inspection at production line")</f>
        <v>Inspection at production line</v>
      </c>
    </row>
    <row r="6498" spans="1:4" ht="13.8">
      <c r="A6498" s="47" t="s">
        <v>13744</v>
      </c>
      <c r="B6498" s="92" t="s">
        <v>4949</v>
      </c>
      <c r="C6498" s="92" t="s">
        <v>13745</v>
      </c>
      <c r="D6498" s="72" t="str">
        <f>IFERROR(VLOOKUP(A6498,'[1]ST-QA-ZZ5'!$C$5:$M$299,11,0),"Inspection at production line")</f>
        <v>Inspection at production line</v>
      </c>
    </row>
    <row r="6499" spans="1:4" ht="13.8">
      <c r="A6499" s="47" t="s">
        <v>13746</v>
      </c>
      <c r="B6499" s="92" t="s">
        <v>1167</v>
      </c>
      <c r="C6499" s="92" t="s">
        <v>13747</v>
      </c>
      <c r="D6499" s="72" t="str">
        <f>IFERROR(VLOOKUP(A6499,'[1]ST-QA-ZZ5'!$C$5:$M$299,11,0),"Inspection at production line")</f>
        <v>Inspection at production line</v>
      </c>
    </row>
    <row r="6500" spans="1:4" ht="13.8">
      <c r="A6500" s="47" t="s">
        <v>13748</v>
      </c>
      <c r="B6500" s="92" t="s">
        <v>404</v>
      </c>
      <c r="C6500" s="92" t="s">
        <v>13749</v>
      </c>
      <c r="D6500" s="72" t="str">
        <f>IFERROR(VLOOKUP(A6500,'[1]ST-QA-ZZ5'!$C$5:$M$299,11,0),"Inspection at production line")</f>
        <v>Inspection at production line</v>
      </c>
    </row>
    <row r="6501" spans="1:4" ht="13.8">
      <c r="A6501" s="47" t="s">
        <v>13750</v>
      </c>
      <c r="B6501" s="92" t="s">
        <v>404</v>
      </c>
      <c r="C6501" s="92" t="s">
        <v>13751</v>
      </c>
      <c r="D6501" s="72" t="str">
        <f>IFERROR(VLOOKUP(A6501,'[1]ST-QA-ZZ5'!$C$5:$M$299,11,0),"Inspection at production line")</f>
        <v>Inspection at production line</v>
      </c>
    </row>
    <row r="6502" spans="1:4" ht="13.8">
      <c r="A6502" s="47" t="s">
        <v>13752</v>
      </c>
      <c r="B6502" s="92" t="s">
        <v>404</v>
      </c>
      <c r="C6502" s="92" t="s">
        <v>13753</v>
      </c>
      <c r="D6502" s="72" t="str">
        <f>IFERROR(VLOOKUP(A6502,'[1]ST-QA-ZZ5'!$C$5:$M$299,11,0),"Inspection at production line")</f>
        <v>Inspection at production line</v>
      </c>
    </row>
    <row r="6503" spans="1:4" ht="13.8">
      <c r="A6503" s="47" t="s">
        <v>13754</v>
      </c>
      <c r="B6503" s="92" t="s">
        <v>404</v>
      </c>
      <c r="C6503" s="92" t="s">
        <v>13755</v>
      </c>
      <c r="D6503" s="72" t="str">
        <f>IFERROR(VLOOKUP(A6503,'[1]ST-QA-ZZ5'!$C$5:$M$299,11,0),"Inspection at production line")</f>
        <v>Inspection at production line</v>
      </c>
    </row>
    <row r="6504" spans="1:4" ht="13.8">
      <c r="A6504" s="47" t="s">
        <v>13756</v>
      </c>
      <c r="B6504" s="92" t="s">
        <v>397</v>
      </c>
      <c r="C6504" s="92" t="s">
        <v>13757</v>
      </c>
      <c r="D6504" s="72" t="str">
        <f>IFERROR(VLOOKUP(A6504,'[1]ST-QA-ZZ5'!$C$5:$M$299,11,0),"Inspection at production line")</f>
        <v>Inspection at production line</v>
      </c>
    </row>
    <row r="6505" spans="1:4" ht="13.8">
      <c r="A6505" s="47" t="s">
        <v>13758</v>
      </c>
      <c r="B6505" s="92" t="s">
        <v>1359</v>
      </c>
      <c r="C6505" s="92" t="s">
        <v>8436</v>
      </c>
      <c r="D6505" s="72" t="str">
        <f>IFERROR(VLOOKUP(A6505,'[1]ST-QA-ZZ5'!$C$5:$M$299,11,0),"Inspection at production line")</f>
        <v>Inspection at production line</v>
      </c>
    </row>
    <row r="6506" spans="1:4" ht="13.8">
      <c r="A6506" s="47" t="s">
        <v>13759</v>
      </c>
      <c r="B6506" s="92" t="s">
        <v>404</v>
      </c>
      <c r="C6506" s="92" t="s">
        <v>13760</v>
      </c>
      <c r="D6506" s="72" t="str">
        <f>IFERROR(VLOOKUP(A6506,'[1]ST-QA-ZZ5'!$C$5:$M$299,11,0),"Inspection at production line")</f>
        <v>Inspection at production line</v>
      </c>
    </row>
    <row r="6507" spans="1:4" ht="13.8">
      <c r="A6507" s="47" t="s">
        <v>13761</v>
      </c>
      <c r="B6507" s="92" t="s">
        <v>865</v>
      </c>
      <c r="C6507" s="92" t="s">
        <v>5379</v>
      </c>
      <c r="D6507" s="72" t="str">
        <f>IFERROR(VLOOKUP(A6507,'[1]ST-QA-ZZ5'!$C$5:$M$299,11,0),"Inspection at production line")</f>
        <v>Inspection at production line</v>
      </c>
    </row>
    <row r="6508" spans="1:4" ht="13.8">
      <c r="A6508" s="47" t="s">
        <v>13762</v>
      </c>
      <c r="B6508" s="92" t="s">
        <v>75</v>
      </c>
      <c r="C6508" s="92" t="s">
        <v>13763</v>
      </c>
      <c r="D6508" s="72" t="str">
        <f>IFERROR(VLOOKUP(A6508,'[1]ST-QA-ZZ5'!$C$5:$M$299,11,0),"Inspection at production line")</f>
        <v>Inspection at production line</v>
      </c>
    </row>
    <row r="6509" spans="1:4" ht="13.8">
      <c r="A6509" s="47" t="s">
        <v>13764</v>
      </c>
      <c r="B6509" s="92" t="s">
        <v>953</v>
      </c>
      <c r="C6509" s="92" t="s">
        <v>13765</v>
      </c>
      <c r="D6509" s="72" t="str">
        <f>IFERROR(VLOOKUP(A6509,'[1]ST-QA-ZZ5'!$C$5:$M$299,11,0),"Inspection at production line")</f>
        <v>Inspection at production line</v>
      </c>
    </row>
    <row r="6510" spans="1:4" ht="13.8">
      <c r="A6510" s="47" t="s">
        <v>13766</v>
      </c>
      <c r="B6510" s="92" t="s">
        <v>953</v>
      </c>
      <c r="C6510" s="92" t="s">
        <v>13767</v>
      </c>
      <c r="D6510" s="72" t="str">
        <f>IFERROR(VLOOKUP(A6510,'[1]ST-QA-ZZ5'!$C$5:$M$299,11,0),"Inspection at production line")</f>
        <v>Inspection at production line</v>
      </c>
    </row>
    <row r="6511" spans="1:4" ht="13.8">
      <c r="A6511" s="47" t="s">
        <v>13768</v>
      </c>
      <c r="B6511" s="92" t="s">
        <v>953</v>
      </c>
      <c r="C6511" s="92" t="s">
        <v>13769</v>
      </c>
      <c r="D6511" s="72" t="str">
        <f>IFERROR(VLOOKUP(A6511,'[1]ST-QA-ZZ5'!$C$5:$M$299,11,0),"Inspection at production line")</f>
        <v>Inspection at production line</v>
      </c>
    </row>
    <row r="6512" spans="1:4" ht="13.8">
      <c r="A6512" s="47" t="s">
        <v>13770</v>
      </c>
      <c r="B6512" s="92" t="s">
        <v>857</v>
      </c>
      <c r="C6512" s="92" t="s">
        <v>13771</v>
      </c>
      <c r="D6512" s="72" t="str">
        <f>IFERROR(VLOOKUP(A6512,'[1]ST-QA-ZZ5'!$C$5:$M$299,11,0),"Inspection at production line")</f>
        <v>Inspection at production line</v>
      </c>
    </row>
    <row r="6513" spans="1:4" ht="13.8">
      <c r="A6513" s="47" t="s">
        <v>13772</v>
      </c>
      <c r="B6513" s="92" t="s">
        <v>857</v>
      </c>
      <c r="C6513" s="92" t="s">
        <v>13773</v>
      </c>
      <c r="D6513" s="72" t="str">
        <f>IFERROR(VLOOKUP(A6513,'[1]ST-QA-ZZ5'!$C$5:$M$299,11,0),"Inspection at production line")</f>
        <v>Inspection at production line</v>
      </c>
    </row>
    <row r="6514" spans="1:4" ht="13.8">
      <c r="A6514" s="47" t="s">
        <v>13774</v>
      </c>
      <c r="B6514" s="92" t="s">
        <v>857</v>
      </c>
      <c r="C6514" s="92" t="s">
        <v>13775</v>
      </c>
      <c r="D6514" s="72" t="str">
        <f>IFERROR(VLOOKUP(A6514,'[1]ST-QA-ZZ5'!$C$5:$M$299,11,0),"Inspection at production line")</f>
        <v>Inspection at production line</v>
      </c>
    </row>
    <row r="6515" spans="1:4" ht="13.8">
      <c r="A6515" s="47" t="s">
        <v>13776</v>
      </c>
      <c r="B6515" s="92" t="s">
        <v>857</v>
      </c>
      <c r="C6515" s="92" t="s">
        <v>13777</v>
      </c>
      <c r="D6515" s="72" t="str">
        <f>IFERROR(VLOOKUP(A6515,'[1]ST-QA-ZZ5'!$C$5:$M$299,11,0),"Inspection at production line")</f>
        <v>Inspection at production line</v>
      </c>
    </row>
    <row r="6516" spans="1:4" ht="13.8">
      <c r="A6516" s="47" t="s">
        <v>13778</v>
      </c>
      <c r="B6516" s="92" t="s">
        <v>1698</v>
      </c>
      <c r="C6516" s="92" t="s">
        <v>13779</v>
      </c>
      <c r="D6516" s="72" t="str">
        <f>IFERROR(VLOOKUP(A6516,'[1]ST-QA-ZZ5'!$C$5:$M$299,11,0),"Inspection at production line")</f>
        <v>Inspection at production line</v>
      </c>
    </row>
    <row r="6517" spans="1:4" ht="13.8">
      <c r="A6517" s="47" t="s">
        <v>13780</v>
      </c>
      <c r="B6517" s="92" t="s">
        <v>1698</v>
      </c>
      <c r="C6517" s="92" t="s">
        <v>8999</v>
      </c>
      <c r="D6517" s="72" t="str">
        <f>IFERROR(VLOOKUP(A6517,'[1]ST-QA-ZZ5'!$C$5:$M$299,11,0),"Inspection at production line")</f>
        <v>Inspection at production line</v>
      </c>
    </row>
    <row r="6518" spans="1:4" ht="13.8">
      <c r="A6518" s="47" t="s">
        <v>13781</v>
      </c>
      <c r="B6518" s="92" t="s">
        <v>119</v>
      </c>
      <c r="C6518" s="92" t="s">
        <v>120</v>
      </c>
      <c r="D6518" s="72" t="str">
        <f>IFERROR(VLOOKUP(A6518,'[1]ST-QA-ZZ5'!$C$5:$M$299,11,0),"Inspection at production line")</f>
        <v>Inspection at production line</v>
      </c>
    </row>
    <row r="6519" spans="1:4" ht="13.8">
      <c r="A6519" s="47" t="s">
        <v>13782</v>
      </c>
      <c r="B6519" s="92" t="s">
        <v>13783</v>
      </c>
      <c r="C6519" s="92" t="s">
        <v>13783</v>
      </c>
      <c r="D6519" s="72" t="str">
        <f>IFERROR(VLOOKUP(A6519,'[1]ST-QA-ZZ5'!$C$5:$M$299,11,0),"Inspection at production line")</f>
        <v>Inspection at production line</v>
      </c>
    </row>
    <row r="6520" spans="1:4" ht="13.8">
      <c r="A6520" s="47" t="s">
        <v>13784</v>
      </c>
      <c r="B6520" s="92" t="s">
        <v>13785</v>
      </c>
      <c r="C6520" s="92" t="s">
        <v>13785</v>
      </c>
      <c r="D6520" s="72" t="str">
        <f>IFERROR(VLOOKUP(A6520,'[1]ST-QA-ZZ5'!$C$5:$M$299,11,0),"Inspection at production line")</f>
        <v>Inspection at production line</v>
      </c>
    </row>
    <row r="6521" spans="1:4" ht="13.8">
      <c r="A6521" s="47" t="s">
        <v>13786</v>
      </c>
      <c r="B6521" s="92" t="s">
        <v>13787</v>
      </c>
      <c r="C6521" s="92" t="s">
        <v>13787</v>
      </c>
      <c r="D6521" s="72" t="str">
        <f>IFERROR(VLOOKUP(A6521,'[1]ST-QA-ZZ5'!$C$5:$M$299,11,0),"Inspection at production line")</f>
        <v>Inspection at production line</v>
      </c>
    </row>
    <row r="6522" spans="1:4" ht="13.8">
      <c r="A6522" s="47" t="s">
        <v>13788</v>
      </c>
      <c r="B6522" s="92" t="s">
        <v>797</v>
      </c>
      <c r="C6522" s="92" t="s">
        <v>8977</v>
      </c>
      <c r="D6522" s="72" t="str">
        <f>IFERROR(VLOOKUP(A6522,'[1]ST-QA-ZZ5'!$C$5:$M$299,11,0),"Inspection at production line")</f>
        <v>Inspection at production line</v>
      </c>
    </row>
    <row r="6523" spans="1:4" ht="13.8">
      <c r="A6523" s="47" t="s">
        <v>13789</v>
      </c>
      <c r="B6523" s="92" t="s">
        <v>13790</v>
      </c>
      <c r="C6523" s="92" t="s">
        <v>13790</v>
      </c>
      <c r="D6523" s="72" t="str">
        <f>IFERROR(VLOOKUP(A6523,'[1]ST-QA-ZZ5'!$C$5:$M$299,11,0),"Inspection at production line")</f>
        <v>Inspection at production line</v>
      </c>
    </row>
    <row r="6524" spans="1:4" ht="13.8">
      <c r="A6524" s="47" t="s">
        <v>13791</v>
      </c>
      <c r="B6524" s="92" t="s">
        <v>857</v>
      </c>
      <c r="C6524" s="92" t="s">
        <v>13792</v>
      </c>
      <c r="D6524" s="72" t="str">
        <f>IFERROR(VLOOKUP(A6524,'[1]ST-QA-ZZ5'!$C$5:$M$299,11,0),"Inspection at production line")</f>
        <v>Inspection at production line</v>
      </c>
    </row>
    <row r="6525" spans="1:4" ht="13.8">
      <c r="A6525" s="47" t="s">
        <v>13793</v>
      </c>
      <c r="B6525" s="92" t="s">
        <v>857</v>
      </c>
      <c r="C6525" s="92" t="s">
        <v>13794</v>
      </c>
      <c r="D6525" s="72" t="str">
        <f>IFERROR(VLOOKUP(A6525,'[1]ST-QA-ZZ5'!$C$5:$M$299,11,0),"Inspection at production line")</f>
        <v>Inspection at production line</v>
      </c>
    </row>
    <row r="6526" spans="1:4" ht="13.8">
      <c r="A6526" s="47" t="s">
        <v>13795</v>
      </c>
      <c r="B6526" s="92" t="s">
        <v>857</v>
      </c>
      <c r="C6526" s="92" t="s">
        <v>13796</v>
      </c>
      <c r="D6526" s="72" t="str">
        <f>IFERROR(VLOOKUP(A6526,'[1]ST-QA-ZZ5'!$C$5:$M$299,11,0),"Inspection at production line")</f>
        <v>Inspection at production line</v>
      </c>
    </row>
    <row r="6527" spans="1:4" ht="13.8">
      <c r="A6527" s="47" t="s">
        <v>13797</v>
      </c>
      <c r="B6527" s="92" t="s">
        <v>857</v>
      </c>
      <c r="C6527" s="92" t="s">
        <v>13798</v>
      </c>
      <c r="D6527" s="72" t="str">
        <f>IFERROR(VLOOKUP(A6527,'[1]ST-QA-ZZ5'!$C$5:$M$299,11,0),"Inspection at production line")</f>
        <v>Inspection at production line</v>
      </c>
    </row>
    <row r="6528" spans="1:4" ht="13.8">
      <c r="A6528" s="47" t="s">
        <v>13799</v>
      </c>
      <c r="B6528" s="92" t="s">
        <v>857</v>
      </c>
      <c r="C6528" s="92" t="s">
        <v>13800</v>
      </c>
      <c r="D6528" s="72" t="str">
        <f>IFERROR(VLOOKUP(A6528,'[1]ST-QA-ZZ5'!$C$5:$M$299,11,0),"Inspection at production line")</f>
        <v>Inspection at production line</v>
      </c>
    </row>
    <row r="6529" spans="1:4" ht="13.8">
      <c r="A6529" s="47" t="s">
        <v>13801</v>
      </c>
      <c r="B6529" s="92" t="s">
        <v>857</v>
      </c>
      <c r="C6529" s="92" t="s">
        <v>13802</v>
      </c>
      <c r="D6529" s="72" t="str">
        <f>IFERROR(VLOOKUP(A6529,'[1]ST-QA-ZZ5'!$C$5:$M$299,11,0),"Inspection at production line")</f>
        <v>Inspection at production line</v>
      </c>
    </row>
    <row r="6530" spans="1:4" ht="13.8">
      <c r="A6530" s="47" t="s">
        <v>13803</v>
      </c>
      <c r="B6530" s="92" t="s">
        <v>857</v>
      </c>
      <c r="C6530" s="92" t="s">
        <v>13804</v>
      </c>
      <c r="D6530" s="72" t="str">
        <f>IFERROR(VLOOKUP(A6530,'[1]ST-QA-ZZ5'!$C$5:$M$299,11,0),"Inspection at production line")</f>
        <v>Inspection at production line</v>
      </c>
    </row>
    <row r="6531" spans="1:4" ht="13.8">
      <c r="A6531" s="47" t="s">
        <v>13805</v>
      </c>
      <c r="B6531" s="92" t="s">
        <v>857</v>
      </c>
      <c r="C6531" s="92" t="s">
        <v>13806</v>
      </c>
      <c r="D6531" s="72" t="str">
        <f>IFERROR(VLOOKUP(A6531,'[1]ST-QA-ZZ5'!$C$5:$M$299,11,0),"Inspection at production line")</f>
        <v>Inspection at production line</v>
      </c>
    </row>
    <row r="6532" spans="1:4" ht="13.8">
      <c r="A6532" s="47" t="s">
        <v>13807</v>
      </c>
      <c r="B6532" s="92" t="s">
        <v>857</v>
      </c>
      <c r="C6532" s="92" t="s">
        <v>13808</v>
      </c>
      <c r="D6532" s="72" t="str">
        <f>IFERROR(VLOOKUP(A6532,'[1]ST-QA-ZZ5'!$C$5:$M$299,11,0),"Inspection at production line")</f>
        <v>Inspection at production line</v>
      </c>
    </row>
    <row r="6533" spans="1:4" ht="13.8">
      <c r="A6533" s="47" t="s">
        <v>13809</v>
      </c>
      <c r="B6533" s="92" t="s">
        <v>857</v>
      </c>
      <c r="C6533" s="92" t="s">
        <v>13810</v>
      </c>
      <c r="D6533" s="72" t="str">
        <f>IFERROR(VLOOKUP(A6533,'[1]ST-QA-ZZ5'!$C$5:$M$299,11,0),"Inspection at production line")</f>
        <v>Inspection at production line</v>
      </c>
    </row>
    <row r="6534" spans="1:4" ht="13.8">
      <c r="A6534" s="47" t="s">
        <v>13811</v>
      </c>
      <c r="B6534" s="92" t="s">
        <v>857</v>
      </c>
      <c r="C6534" s="92" t="s">
        <v>13812</v>
      </c>
      <c r="D6534" s="72" t="str">
        <f>IFERROR(VLOOKUP(A6534,'[1]ST-QA-ZZ5'!$C$5:$M$299,11,0),"Inspection at production line")</f>
        <v>Inspection at production line</v>
      </c>
    </row>
    <row r="6535" spans="1:4" ht="13.8">
      <c r="A6535" s="47" t="s">
        <v>13813</v>
      </c>
      <c r="B6535" s="92" t="s">
        <v>857</v>
      </c>
      <c r="C6535" s="92" t="s">
        <v>13814</v>
      </c>
      <c r="D6535" s="72" t="str">
        <f>IFERROR(VLOOKUP(A6535,'[1]ST-QA-ZZ5'!$C$5:$M$299,11,0),"Inspection at production line")</f>
        <v>Inspection at production line</v>
      </c>
    </row>
    <row r="6536" spans="1:4" ht="13.8">
      <c r="A6536" s="47" t="s">
        <v>13815</v>
      </c>
      <c r="B6536" s="92" t="s">
        <v>857</v>
      </c>
      <c r="C6536" s="92" t="s">
        <v>13816</v>
      </c>
      <c r="D6536" s="72" t="str">
        <f>IFERROR(VLOOKUP(A6536,'[1]ST-QA-ZZ5'!$C$5:$M$299,11,0),"Inspection at production line")</f>
        <v>Inspection at production line</v>
      </c>
    </row>
    <row r="6537" spans="1:4" ht="13.8">
      <c r="A6537" s="47" t="s">
        <v>13817</v>
      </c>
      <c r="B6537" s="92" t="s">
        <v>857</v>
      </c>
      <c r="C6537" s="92" t="s">
        <v>13818</v>
      </c>
      <c r="D6537" s="72" t="str">
        <f>IFERROR(VLOOKUP(A6537,'[1]ST-QA-ZZ5'!$C$5:$M$299,11,0),"Inspection at production line")</f>
        <v>Inspection at production line</v>
      </c>
    </row>
    <row r="6538" spans="1:4" ht="13.8">
      <c r="A6538" s="47" t="s">
        <v>13819</v>
      </c>
      <c r="B6538" s="92" t="s">
        <v>857</v>
      </c>
      <c r="C6538" s="92" t="s">
        <v>13820</v>
      </c>
      <c r="D6538" s="72" t="str">
        <f>IFERROR(VLOOKUP(A6538,'[1]ST-QA-ZZ5'!$C$5:$M$299,11,0),"Inspection at production line")</f>
        <v>Inspection at production line</v>
      </c>
    </row>
    <row r="6539" spans="1:4" ht="13.8">
      <c r="A6539" s="47" t="s">
        <v>13821</v>
      </c>
      <c r="B6539" s="92" t="s">
        <v>857</v>
      </c>
      <c r="C6539" s="92" t="s">
        <v>13822</v>
      </c>
      <c r="D6539" s="72" t="str">
        <f>IFERROR(VLOOKUP(A6539,'[1]ST-QA-ZZ5'!$C$5:$M$299,11,0),"Inspection at production line")</f>
        <v>Inspection at production line</v>
      </c>
    </row>
    <row r="6540" spans="1:4" ht="13.8">
      <c r="A6540" s="47" t="s">
        <v>13823</v>
      </c>
      <c r="B6540" s="92" t="s">
        <v>857</v>
      </c>
      <c r="C6540" s="92" t="s">
        <v>13824</v>
      </c>
      <c r="D6540" s="72" t="str">
        <f>IFERROR(VLOOKUP(A6540,'[1]ST-QA-ZZ5'!$C$5:$M$299,11,0),"Inspection at production line")</f>
        <v>Inspection at production line</v>
      </c>
    </row>
    <row r="6541" spans="1:4" ht="13.8">
      <c r="A6541" s="47" t="s">
        <v>13825</v>
      </c>
      <c r="B6541" s="92" t="s">
        <v>857</v>
      </c>
      <c r="C6541" s="92" t="s">
        <v>8784</v>
      </c>
      <c r="D6541" s="72" t="str">
        <f>IFERROR(VLOOKUP(A6541,'[1]ST-QA-ZZ5'!$C$5:$M$299,11,0),"Inspection at production line")</f>
        <v>Inspection at production line</v>
      </c>
    </row>
    <row r="6542" spans="1:4" ht="13.8">
      <c r="A6542" s="47" t="s">
        <v>13826</v>
      </c>
      <c r="B6542" s="92" t="s">
        <v>857</v>
      </c>
      <c r="C6542" s="92" t="s">
        <v>13827</v>
      </c>
      <c r="D6542" s="72" t="str">
        <f>IFERROR(VLOOKUP(A6542,'[1]ST-QA-ZZ5'!$C$5:$M$299,11,0),"Inspection at production line")</f>
        <v>Inspection at production line</v>
      </c>
    </row>
    <row r="6543" spans="1:4" ht="13.8">
      <c r="A6543" s="47" t="s">
        <v>13828</v>
      </c>
      <c r="B6543" s="92" t="s">
        <v>2024</v>
      </c>
      <c r="C6543" s="92" t="s">
        <v>13829</v>
      </c>
      <c r="D6543" s="72" t="str">
        <f>IFERROR(VLOOKUP(A6543,'[1]ST-QA-ZZ5'!$C$5:$M$299,11,0),"Inspection at production line")</f>
        <v>Inspection at production line</v>
      </c>
    </row>
    <row r="6544" spans="1:4" ht="13.8">
      <c r="A6544" s="47" t="s">
        <v>13830</v>
      </c>
      <c r="B6544" s="92" t="s">
        <v>2024</v>
      </c>
      <c r="C6544" s="92" t="s">
        <v>9158</v>
      </c>
      <c r="D6544" s="72" t="str">
        <f>IFERROR(VLOOKUP(A6544,'[1]ST-QA-ZZ5'!$C$5:$M$299,11,0),"Inspection at production line")</f>
        <v>Inspection at production line</v>
      </c>
    </row>
    <row r="6545" spans="1:4" ht="13.8">
      <c r="A6545" s="47" t="s">
        <v>13831</v>
      </c>
      <c r="B6545" s="92" t="s">
        <v>857</v>
      </c>
      <c r="C6545" s="92" t="s">
        <v>13832</v>
      </c>
      <c r="D6545" s="72" t="str">
        <f>IFERROR(VLOOKUP(A6545,'[1]ST-QA-ZZ5'!$C$5:$M$299,11,0),"Inspection at production line")</f>
        <v>Inspection at production line</v>
      </c>
    </row>
    <row r="6546" spans="1:4" ht="13.8">
      <c r="A6546" s="47" t="s">
        <v>13833</v>
      </c>
      <c r="B6546" s="92" t="s">
        <v>857</v>
      </c>
      <c r="C6546" s="92" t="s">
        <v>13834</v>
      </c>
      <c r="D6546" s="72" t="str">
        <f>IFERROR(VLOOKUP(A6546,'[1]ST-QA-ZZ5'!$C$5:$M$299,11,0),"Inspection at production line")</f>
        <v>Inspection at production line</v>
      </c>
    </row>
    <row r="6547" spans="1:4" ht="13.8">
      <c r="A6547" s="47" t="s">
        <v>13835</v>
      </c>
      <c r="B6547" s="92" t="s">
        <v>857</v>
      </c>
      <c r="C6547" s="92" t="s">
        <v>13836</v>
      </c>
      <c r="D6547" s="72" t="str">
        <f>IFERROR(VLOOKUP(A6547,'[1]ST-QA-ZZ5'!$C$5:$M$299,11,0),"Inspection at production line")</f>
        <v>Inspection at production line</v>
      </c>
    </row>
    <row r="6548" spans="1:4" ht="13.8">
      <c r="A6548" s="47" t="s">
        <v>13837</v>
      </c>
      <c r="B6548" s="92" t="s">
        <v>857</v>
      </c>
      <c r="C6548" s="92" t="s">
        <v>13838</v>
      </c>
      <c r="D6548" s="72" t="str">
        <f>IFERROR(VLOOKUP(A6548,'[1]ST-QA-ZZ5'!$C$5:$M$299,11,0),"Inspection at production line")</f>
        <v>Inspection at production line</v>
      </c>
    </row>
    <row r="6549" spans="1:4" ht="13.8">
      <c r="A6549" s="47" t="s">
        <v>13839</v>
      </c>
      <c r="B6549" s="92" t="s">
        <v>857</v>
      </c>
      <c r="C6549" s="92" t="s">
        <v>13840</v>
      </c>
      <c r="D6549" s="72" t="str">
        <f>IFERROR(VLOOKUP(A6549,'[1]ST-QA-ZZ5'!$C$5:$M$299,11,0),"Inspection at production line")</f>
        <v>Inspection at production line</v>
      </c>
    </row>
    <row r="6550" spans="1:4" ht="13.8">
      <c r="A6550" s="47" t="s">
        <v>13841</v>
      </c>
      <c r="B6550" s="92" t="s">
        <v>857</v>
      </c>
      <c r="C6550" s="92" t="s">
        <v>13842</v>
      </c>
      <c r="D6550" s="72" t="str">
        <f>IFERROR(VLOOKUP(A6550,'[1]ST-QA-ZZ5'!$C$5:$M$299,11,0),"Inspection at production line")</f>
        <v>Inspection at production line</v>
      </c>
    </row>
    <row r="6551" spans="1:4" ht="13.8">
      <c r="A6551" s="47" t="s">
        <v>13843</v>
      </c>
      <c r="B6551" s="92" t="s">
        <v>857</v>
      </c>
      <c r="C6551" s="92" t="s">
        <v>13844</v>
      </c>
      <c r="D6551" s="72" t="str">
        <f>IFERROR(VLOOKUP(A6551,'[1]ST-QA-ZZ5'!$C$5:$M$299,11,0),"Inspection at production line")</f>
        <v>Inspection at production line</v>
      </c>
    </row>
    <row r="6552" spans="1:4" ht="13.8">
      <c r="A6552" s="47" t="s">
        <v>13845</v>
      </c>
      <c r="B6552" s="92" t="s">
        <v>857</v>
      </c>
      <c r="C6552" s="92" t="s">
        <v>13846</v>
      </c>
      <c r="D6552" s="72" t="str">
        <f>IFERROR(VLOOKUP(A6552,'[1]ST-QA-ZZ5'!$C$5:$M$299,11,0),"Inspection at production line")</f>
        <v>Inspection at production line</v>
      </c>
    </row>
    <row r="6553" spans="1:4" ht="13.8">
      <c r="A6553" s="47" t="s">
        <v>13847</v>
      </c>
      <c r="B6553" s="92" t="s">
        <v>857</v>
      </c>
      <c r="C6553" s="92" t="s">
        <v>13848</v>
      </c>
      <c r="D6553" s="72" t="str">
        <f>IFERROR(VLOOKUP(A6553,'[1]ST-QA-ZZ5'!$C$5:$M$299,11,0),"Inspection at production line")</f>
        <v>Inspection at production line</v>
      </c>
    </row>
    <row r="6554" spans="1:4" ht="13.8">
      <c r="A6554" s="47" t="s">
        <v>13849</v>
      </c>
      <c r="B6554" s="92" t="s">
        <v>857</v>
      </c>
      <c r="C6554" s="92" t="s">
        <v>13850</v>
      </c>
      <c r="D6554" s="72" t="str">
        <f>IFERROR(VLOOKUP(A6554,'[1]ST-QA-ZZ5'!$C$5:$M$299,11,0),"Inspection at production line")</f>
        <v>Inspection at production line</v>
      </c>
    </row>
    <row r="6555" spans="1:4" ht="13.8">
      <c r="A6555" s="47" t="s">
        <v>13851</v>
      </c>
      <c r="B6555" s="92" t="s">
        <v>857</v>
      </c>
      <c r="C6555" s="92" t="s">
        <v>13852</v>
      </c>
      <c r="D6555" s="72" t="str">
        <f>IFERROR(VLOOKUP(A6555,'[1]ST-QA-ZZ5'!$C$5:$M$299,11,0),"Inspection at production line")</f>
        <v>Inspection at production line</v>
      </c>
    </row>
    <row r="6556" spans="1:4" ht="13.8">
      <c r="A6556" s="47" t="s">
        <v>13853</v>
      </c>
      <c r="B6556" s="92" t="s">
        <v>2024</v>
      </c>
      <c r="C6556" s="92" t="s">
        <v>13854</v>
      </c>
      <c r="D6556" s="72" t="str">
        <f>IFERROR(VLOOKUP(A6556,'[1]ST-QA-ZZ5'!$C$5:$M$299,11,0),"Inspection at production line")</f>
        <v>Inspection at production line</v>
      </c>
    </row>
    <row r="6557" spans="1:4" ht="13.8">
      <c r="A6557" s="47" t="s">
        <v>13855</v>
      </c>
      <c r="B6557" s="92" t="s">
        <v>857</v>
      </c>
      <c r="C6557" s="92" t="s">
        <v>13856</v>
      </c>
      <c r="D6557" s="72" t="str">
        <f>IFERROR(VLOOKUP(A6557,'[1]ST-QA-ZZ5'!$C$5:$M$299,11,0),"Inspection at production line")</f>
        <v>Inspection at production line</v>
      </c>
    </row>
    <row r="6558" spans="1:4" ht="13.8">
      <c r="A6558" s="47" t="s">
        <v>13857</v>
      </c>
      <c r="B6558" s="92" t="s">
        <v>857</v>
      </c>
      <c r="C6558" s="92" t="s">
        <v>13858</v>
      </c>
      <c r="D6558" s="72" t="str">
        <f>IFERROR(VLOOKUP(A6558,'[1]ST-QA-ZZ5'!$C$5:$M$299,11,0),"Inspection at production line")</f>
        <v>Inspection at production line</v>
      </c>
    </row>
    <row r="6559" spans="1:4" ht="13.8">
      <c r="A6559" s="47" t="s">
        <v>13859</v>
      </c>
      <c r="B6559" s="92" t="s">
        <v>13860</v>
      </c>
      <c r="C6559" s="92" t="s">
        <v>13860</v>
      </c>
      <c r="D6559" s="72" t="str">
        <f>IFERROR(VLOOKUP(A6559,'[1]ST-QA-ZZ5'!$C$5:$M$299,11,0),"Inspection at production line")</f>
        <v>Inspection at production line</v>
      </c>
    </row>
    <row r="6560" spans="1:4" ht="13.8">
      <c r="A6560" s="47" t="s">
        <v>13861</v>
      </c>
      <c r="B6560" s="92" t="s">
        <v>13862</v>
      </c>
      <c r="C6560" s="92" t="s">
        <v>13862</v>
      </c>
      <c r="D6560" s="72" t="str">
        <f>IFERROR(VLOOKUP(A6560,'[1]ST-QA-ZZ5'!$C$5:$M$299,11,0),"Inspection at production line")</f>
        <v>Inspection at production line</v>
      </c>
    </row>
    <row r="6561" spans="1:4" ht="13.8">
      <c r="A6561" s="47" t="s">
        <v>13863</v>
      </c>
      <c r="B6561" s="92" t="s">
        <v>13864</v>
      </c>
      <c r="C6561" s="92" t="s">
        <v>13864</v>
      </c>
      <c r="D6561" s="72" t="str">
        <f>IFERROR(VLOOKUP(A6561,'[1]ST-QA-ZZ5'!$C$5:$M$299,11,0),"Inspection at production line")</f>
        <v>Inspection at production line</v>
      </c>
    </row>
    <row r="6562" spans="1:4" ht="13.8">
      <c r="A6562" s="47" t="s">
        <v>13865</v>
      </c>
      <c r="B6562" s="92" t="s">
        <v>13866</v>
      </c>
      <c r="C6562" s="92" t="s">
        <v>13866</v>
      </c>
      <c r="D6562" s="72" t="str">
        <f>IFERROR(VLOOKUP(A6562,'[1]ST-QA-ZZ5'!$C$5:$M$299,11,0),"Inspection at production line")</f>
        <v>Inspection at production line</v>
      </c>
    </row>
    <row r="6563" spans="1:4" ht="13.8">
      <c r="A6563" s="47" t="s">
        <v>13867</v>
      </c>
      <c r="B6563" s="92" t="s">
        <v>13868</v>
      </c>
      <c r="C6563" s="92" t="s">
        <v>13868</v>
      </c>
      <c r="D6563" s="72" t="str">
        <f>IFERROR(VLOOKUP(A6563,'[1]ST-QA-ZZ5'!$C$5:$M$299,11,0),"Inspection at production line")</f>
        <v>Inspection at production line</v>
      </c>
    </row>
    <row r="6564" spans="1:4" ht="13.8">
      <c r="A6564" s="47" t="s">
        <v>13869</v>
      </c>
      <c r="B6564" s="92" t="s">
        <v>13870</v>
      </c>
      <c r="C6564" s="92" t="s">
        <v>13870</v>
      </c>
      <c r="D6564" s="72" t="str">
        <f>IFERROR(VLOOKUP(A6564,'[1]ST-QA-ZZ5'!$C$5:$M$299,11,0),"Inspection at production line")</f>
        <v>Inspection at production line</v>
      </c>
    </row>
    <row r="6565" spans="1:4" ht="13.8">
      <c r="A6565" s="47" t="s">
        <v>13871</v>
      </c>
      <c r="B6565" s="92" t="s">
        <v>13872</v>
      </c>
      <c r="C6565" s="92" t="s">
        <v>13872</v>
      </c>
      <c r="D6565" s="72" t="str">
        <f>IFERROR(VLOOKUP(A6565,'[1]ST-QA-ZZ5'!$C$5:$M$299,11,0),"Inspection at production line")</f>
        <v>Inspection at production line</v>
      </c>
    </row>
    <row r="6566" spans="1:4" ht="13.8">
      <c r="A6566" s="47" t="s">
        <v>13873</v>
      </c>
      <c r="B6566" s="92" t="s">
        <v>13874</v>
      </c>
      <c r="C6566" s="92" t="s">
        <v>13875</v>
      </c>
      <c r="D6566" s="72" t="str">
        <f>IFERROR(VLOOKUP(A6566,'[1]ST-QA-ZZ5'!$C$5:$M$299,11,0),"Inspection at production line")</f>
        <v>Inspection at production line</v>
      </c>
    </row>
    <row r="6567" spans="1:4" ht="13.8">
      <c r="A6567" s="47" t="s">
        <v>13876</v>
      </c>
      <c r="B6567" s="92" t="s">
        <v>13877</v>
      </c>
      <c r="C6567" s="92" t="s">
        <v>13877</v>
      </c>
      <c r="D6567" s="72" t="str">
        <f>IFERROR(VLOOKUP(A6567,'[1]ST-QA-ZZ5'!$C$5:$M$299,11,0),"Inspection at production line")</f>
        <v>Inspection at production line</v>
      </c>
    </row>
    <row r="6568" spans="1:4" ht="13.8">
      <c r="A6568" s="47" t="s">
        <v>13878</v>
      </c>
      <c r="B6568" s="92" t="s">
        <v>5450</v>
      </c>
      <c r="C6568" s="92" t="s">
        <v>13879</v>
      </c>
      <c r="D6568" s="72" t="str">
        <f>IFERROR(VLOOKUP(A6568,'[1]ST-QA-ZZ5'!$C$5:$M$299,11,0),"Inspection at production line")</f>
        <v>Inspection at production line</v>
      </c>
    </row>
    <row r="6569" spans="1:4" ht="13.8">
      <c r="A6569" s="47" t="s">
        <v>13880</v>
      </c>
      <c r="B6569" s="92" t="s">
        <v>9031</v>
      </c>
      <c r="C6569" s="92" t="s">
        <v>13881</v>
      </c>
      <c r="D6569" s="72" t="str">
        <f>IFERROR(VLOOKUP(A6569,'[1]ST-QA-ZZ5'!$C$5:$M$299,11,0),"Inspection at production line")</f>
        <v>Inspection at production line</v>
      </c>
    </row>
    <row r="6570" spans="1:4" ht="13.8">
      <c r="A6570" s="47" t="s">
        <v>13882</v>
      </c>
      <c r="B6570" s="92" t="s">
        <v>9031</v>
      </c>
      <c r="C6570" s="92" t="s">
        <v>13883</v>
      </c>
      <c r="D6570" s="72" t="str">
        <f>IFERROR(VLOOKUP(A6570,'[1]ST-QA-ZZ5'!$C$5:$M$299,11,0),"Inspection at production line")</f>
        <v>Inspection at production line</v>
      </c>
    </row>
    <row r="6571" spans="1:4" ht="13.8">
      <c r="A6571" s="47" t="s">
        <v>13884</v>
      </c>
      <c r="B6571" s="92" t="s">
        <v>5450</v>
      </c>
      <c r="C6571" s="92" t="s">
        <v>13885</v>
      </c>
      <c r="D6571" s="72" t="str">
        <f>IFERROR(VLOOKUP(A6571,'[1]ST-QA-ZZ5'!$C$5:$M$299,11,0),"Inspection at production line")</f>
        <v>Inspection at production line</v>
      </c>
    </row>
    <row r="6572" spans="1:4" ht="13.8">
      <c r="A6572" s="47" t="s">
        <v>13886</v>
      </c>
      <c r="B6572" s="92" t="s">
        <v>9178</v>
      </c>
      <c r="C6572" s="92" t="s">
        <v>9178</v>
      </c>
      <c r="D6572" s="72" t="str">
        <f>IFERROR(VLOOKUP(A6572,'[1]ST-QA-ZZ5'!$C$5:$M$299,11,0),"Inspection at production line")</f>
        <v>Inspection at production line</v>
      </c>
    </row>
    <row r="6573" spans="1:4" ht="13.8">
      <c r="A6573" s="47" t="s">
        <v>13887</v>
      </c>
      <c r="B6573" s="92" t="s">
        <v>4769</v>
      </c>
      <c r="C6573" s="92" t="s">
        <v>13888</v>
      </c>
      <c r="D6573" s="72" t="str">
        <f>IFERROR(VLOOKUP(A6573,'[1]ST-QA-ZZ5'!$C$5:$M$299,11,0),"Inspection at production line")</f>
        <v>Inspection at production line</v>
      </c>
    </row>
    <row r="6574" spans="1:4" ht="13.8">
      <c r="A6574" s="47" t="s">
        <v>13889</v>
      </c>
      <c r="B6574" s="92" t="s">
        <v>5450</v>
      </c>
      <c r="C6574" s="92" t="s">
        <v>13890</v>
      </c>
      <c r="D6574" s="72" t="str">
        <f>IFERROR(VLOOKUP(A6574,'[1]ST-QA-ZZ5'!$C$5:$M$299,11,0),"Inspection at production line")</f>
        <v>Inspection at production line</v>
      </c>
    </row>
    <row r="6575" spans="1:4" ht="13.8">
      <c r="A6575" s="47" t="s">
        <v>13891</v>
      </c>
      <c r="B6575" s="92" t="s">
        <v>9031</v>
      </c>
      <c r="C6575" s="92" t="s">
        <v>9032</v>
      </c>
      <c r="D6575" s="72" t="str">
        <f>IFERROR(VLOOKUP(A6575,'[1]ST-QA-ZZ5'!$C$5:$M$299,11,0),"Inspection at production line")</f>
        <v>Inspection at production line</v>
      </c>
    </row>
    <row r="6576" spans="1:4" ht="13.8">
      <c r="A6576" s="47" t="s">
        <v>13892</v>
      </c>
      <c r="B6576" s="92" t="s">
        <v>9032</v>
      </c>
      <c r="C6576" s="92" t="s">
        <v>9032</v>
      </c>
      <c r="D6576" s="72" t="str">
        <f>IFERROR(VLOOKUP(A6576,'[1]ST-QA-ZZ5'!$C$5:$M$299,11,0),"Inspection at production line")</f>
        <v>Inspection at production line</v>
      </c>
    </row>
    <row r="6577" spans="1:4" ht="13.8">
      <c r="A6577" s="47" t="s">
        <v>13893</v>
      </c>
      <c r="B6577" s="92" t="s">
        <v>5450</v>
      </c>
      <c r="C6577" s="92" t="s">
        <v>13894</v>
      </c>
      <c r="D6577" s="72" t="str">
        <f>IFERROR(VLOOKUP(A6577,'[1]ST-QA-ZZ5'!$C$5:$M$299,11,0),"Inspection at production line")</f>
        <v>Inspection at production line</v>
      </c>
    </row>
    <row r="6578" spans="1:4" ht="13.8">
      <c r="A6578" s="47" t="s">
        <v>13895</v>
      </c>
      <c r="B6578" s="92" t="s">
        <v>5450</v>
      </c>
      <c r="C6578" s="92" t="s">
        <v>13896</v>
      </c>
      <c r="D6578" s="72" t="str">
        <f>IFERROR(VLOOKUP(A6578,'[1]ST-QA-ZZ5'!$C$5:$M$299,11,0),"Inspection at production line")</f>
        <v>Inspection at production line</v>
      </c>
    </row>
    <row r="6579" spans="1:4" ht="13.8">
      <c r="A6579" s="47" t="s">
        <v>13897</v>
      </c>
      <c r="B6579" s="92" t="s">
        <v>5450</v>
      </c>
      <c r="C6579" s="92" t="s">
        <v>13898</v>
      </c>
      <c r="D6579" s="72" t="str">
        <f>IFERROR(VLOOKUP(A6579,'[1]ST-QA-ZZ5'!$C$5:$M$299,11,0),"Inspection at production line")</f>
        <v>Inspection at production line</v>
      </c>
    </row>
    <row r="6580" spans="1:4" ht="13.8">
      <c r="A6580" s="47" t="s">
        <v>13899</v>
      </c>
      <c r="B6580" s="92" t="s">
        <v>9031</v>
      </c>
      <c r="C6580" s="92" t="s">
        <v>9032</v>
      </c>
      <c r="D6580" s="72" t="str">
        <f>IFERROR(VLOOKUP(A6580,'[1]ST-QA-ZZ5'!$C$5:$M$299,11,0),"Inspection at production line")</f>
        <v>Inspection at production line</v>
      </c>
    </row>
    <row r="6581" spans="1:4" ht="13.8">
      <c r="A6581" s="47" t="s">
        <v>13900</v>
      </c>
      <c r="B6581" s="92" t="s">
        <v>9031</v>
      </c>
      <c r="C6581" s="92" t="s">
        <v>9032</v>
      </c>
      <c r="D6581" s="72" t="str">
        <f>IFERROR(VLOOKUP(A6581,'[1]ST-QA-ZZ5'!$C$5:$M$299,11,0),"Inspection at production line")</f>
        <v>Inspection at production line</v>
      </c>
    </row>
    <row r="6582" spans="1:4" ht="13.8">
      <c r="A6582" s="47" t="s">
        <v>13901</v>
      </c>
      <c r="B6582" s="92" t="s">
        <v>9141</v>
      </c>
      <c r="C6582" s="92" t="s">
        <v>9141</v>
      </c>
      <c r="D6582" s="72" t="str">
        <f>IFERROR(VLOOKUP(A6582,'[1]ST-QA-ZZ5'!$C$5:$M$299,11,0),"Inspection at production line")</f>
        <v>Inspection at production line</v>
      </c>
    </row>
    <row r="6583" spans="1:4" ht="13.8">
      <c r="A6583" s="47" t="s">
        <v>13902</v>
      </c>
      <c r="B6583" s="92" t="s">
        <v>555</v>
      </c>
      <c r="C6583" s="92" t="s">
        <v>13903</v>
      </c>
      <c r="D6583" s="72" t="str">
        <f>IFERROR(VLOOKUP(A6583,'[1]ST-QA-ZZ5'!$C$5:$M$299,11,0),"Inspection at production line")</f>
        <v>Inspection at production line</v>
      </c>
    </row>
    <row r="6584" spans="1:4" ht="13.8">
      <c r="A6584" s="47" t="s">
        <v>13904</v>
      </c>
      <c r="B6584" s="92" t="s">
        <v>2024</v>
      </c>
      <c r="C6584" s="92" t="s">
        <v>13905</v>
      </c>
      <c r="D6584" s="72" t="str">
        <f>IFERROR(VLOOKUP(A6584,'[1]ST-QA-ZZ5'!$C$5:$M$299,11,0),"Inspection at production line")</f>
        <v>Inspection at production line</v>
      </c>
    </row>
    <row r="6585" spans="1:4" ht="13.8">
      <c r="A6585" s="47" t="s">
        <v>13906</v>
      </c>
      <c r="B6585" s="92" t="s">
        <v>2024</v>
      </c>
      <c r="C6585" s="92" t="s">
        <v>13907</v>
      </c>
      <c r="D6585" s="72" t="str">
        <f>IFERROR(VLOOKUP(A6585,'[1]ST-QA-ZZ5'!$C$5:$M$299,11,0),"Inspection at production line")</f>
        <v>Inspection at production line</v>
      </c>
    </row>
    <row r="6586" spans="1:4" ht="13.8">
      <c r="A6586" s="47" t="s">
        <v>13908</v>
      </c>
      <c r="B6586" s="92" t="s">
        <v>555</v>
      </c>
      <c r="C6586" s="92" t="s">
        <v>13909</v>
      </c>
      <c r="D6586" s="72" t="str">
        <f>IFERROR(VLOOKUP(A6586,'[1]ST-QA-ZZ5'!$C$5:$M$299,11,0),"Inspection at production line")</f>
        <v>Inspection at production line</v>
      </c>
    </row>
    <row r="6587" spans="1:4" ht="13.8">
      <c r="A6587" s="47" t="s">
        <v>13910</v>
      </c>
      <c r="B6587" s="92" t="s">
        <v>12745</v>
      </c>
      <c r="C6587" s="92" t="s">
        <v>13911</v>
      </c>
      <c r="D6587" s="72" t="str">
        <f>IFERROR(VLOOKUP(A6587,'[1]ST-QA-ZZ5'!$C$5:$M$299,11,0),"Inspection at production line")</f>
        <v>Inspection at production line</v>
      </c>
    </row>
    <row r="6588" spans="1:4" ht="13.8">
      <c r="A6588" s="47" t="s">
        <v>13912</v>
      </c>
      <c r="B6588" s="92" t="s">
        <v>6567</v>
      </c>
      <c r="C6588" s="92" t="s">
        <v>13913</v>
      </c>
      <c r="D6588" s="72" t="str">
        <f>IFERROR(VLOOKUP(A6588,'[1]ST-QA-ZZ5'!$C$5:$M$299,11,0),"Inspection at production line")</f>
        <v>Inspection at production line</v>
      </c>
    </row>
    <row r="6589" spans="1:4" ht="13.8">
      <c r="A6589" s="47" t="s">
        <v>13914</v>
      </c>
      <c r="B6589" s="92" t="s">
        <v>794</v>
      </c>
      <c r="C6589" s="92" t="s">
        <v>13915</v>
      </c>
      <c r="D6589" s="72" t="str">
        <f>IFERROR(VLOOKUP(A6589,'[1]ST-QA-ZZ5'!$C$5:$M$299,11,0),"Inspection at production line")</f>
        <v>Inspection at production line</v>
      </c>
    </row>
    <row r="6590" spans="1:4" ht="13.8">
      <c r="A6590" s="47" t="s">
        <v>13916</v>
      </c>
      <c r="B6590" s="92" t="s">
        <v>208</v>
      </c>
      <c r="C6590" s="92" t="s">
        <v>13917</v>
      </c>
      <c r="D6590" s="72" t="str">
        <f>IFERROR(VLOOKUP(A6590,'[1]ST-QA-ZZ5'!$C$5:$M$299,11,0),"Inspection at production line")</f>
        <v>Inspection at production line</v>
      </c>
    </row>
    <row r="6591" spans="1:4" ht="13.8">
      <c r="A6591" s="47" t="s">
        <v>13918</v>
      </c>
      <c r="B6591" s="92" t="s">
        <v>857</v>
      </c>
      <c r="C6591" s="92" t="s">
        <v>13919</v>
      </c>
      <c r="D6591" s="72" t="str">
        <f>IFERROR(VLOOKUP(A6591,'[1]ST-QA-ZZ5'!$C$5:$M$299,11,0),"Inspection at production line")</f>
        <v>Inspection at production line</v>
      </c>
    </row>
    <row r="6592" spans="1:4" ht="13.8">
      <c r="A6592" s="47" t="s">
        <v>13920</v>
      </c>
      <c r="B6592" s="92" t="s">
        <v>857</v>
      </c>
      <c r="C6592" s="92" t="s">
        <v>13921</v>
      </c>
      <c r="D6592" s="72" t="str">
        <f>IFERROR(VLOOKUP(A6592,'[1]ST-QA-ZZ5'!$C$5:$M$299,11,0),"Inspection at production line")</f>
        <v>Inspection at production line</v>
      </c>
    </row>
    <row r="6593" spans="1:4" ht="13.8">
      <c r="A6593" s="47" t="s">
        <v>13922</v>
      </c>
      <c r="B6593" s="92" t="s">
        <v>857</v>
      </c>
      <c r="C6593" s="92" t="s">
        <v>13923</v>
      </c>
      <c r="D6593" s="72" t="str">
        <f>IFERROR(VLOOKUP(A6593,'[1]ST-QA-ZZ5'!$C$5:$M$299,11,0),"Inspection at production line")</f>
        <v>Inspection at production line</v>
      </c>
    </row>
    <row r="6594" spans="1:4" ht="13.8">
      <c r="A6594" s="47" t="s">
        <v>13924</v>
      </c>
      <c r="B6594" s="92" t="s">
        <v>857</v>
      </c>
      <c r="C6594" s="92" t="s">
        <v>13925</v>
      </c>
      <c r="D6594" s="72" t="str">
        <f>IFERROR(VLOOKUP(A6594,'[1]ST-QA-ZZ5'!$C$5:$M$299,11,0),"Inspection at production line")</f>
        <v>Inspection at production line</v>
      </c>
    </row>
    <row r="6595" spans="1:4" ht="13.8">
      <c r="A6595" s="47" t="s">
        <v>13926</v>
      </c>
      <c r="B6595" s="92" t="s">
        <v>857</v>
      </c>
      <c r="C6595" s="92" t="s">
        <v>13927</v>
      </c>
      <c r="D6595" s="72" t="str">
        <f>IFERROR(VLOOKUP(A6595,'[1]ST-QA-ZZ5'!$C$5:$M$299,11,0),"Inspection at production line")</f>
        <v>Inspection at production line</v>
      </c>
    </row>
    <row r="6596" spans="1:4" ht="13.8">
      <c r="A6596" s="47" t="s">
        <v>13928</v>
      </c>
      <c r="B6596" s="92" t="s">
        <v>857</v>
      </c>
      <c r="C6596" s="92" t="s">
        <v>13929</v>
      </c>
      <c r="D6596" s="72" t="str">
        <f>IFERROR(VLOOKUP(A6596,'[1]ST-QA-ZZ5'!$C$5:$M$299,11,0),"Inspection at production line")</f>
        <v>Inspection at production line</v>
      </c>
    </row>
    <row r="6597" spans="1:4" ht="13.8">
      <c r="A6597" s="47" t="s">
        <v>13930</v>
      </c>
      <c r="B6597" s="92" t="s">
        <v>857</v>
      </c>
      <c r="C6597" s="92" t="s">
        <v>13931</v>
      </c>
      <c r="D6597" s="72" t="str">
        <f>IFERROR(VLOOKUP(A6597,'[1]ST-QA-ZZ5'!$C$5:$M$299,11,0),"Inspection at production line")</f>
        <v>Inspection at production line</v>
      </c>
    </row>
    <row r="6598" spans="1:4" ht="13.8">
      <c r="A6598" s="47" t="s">
        <v>13932</v>
      </c>
      <c r="B6598" s="92" t="s">
        <v>857</v>
      </c>
      <c r="C6598" s="92" t="s">
        <v>13933</v>
      </c>
      <c r="D6598" s="72" t="str">
        <f>IFERROR(VLOOKUP(A6598,'[1]ST-QA-ZZ5'!$C$5:$M$299,11,0),"Inspection at production line")</f>
        <v>Inspection at production line</v>
      </c>
    </row>
    <row r="6599" spans="1:4" ht="13.8">
      <c r="A6599" s="47" t="s">
        <v>13934</v>
      </c>
      <c r="B6599" s="92" t="s">
        <v>857</v>
      </c>
      <c r="C6599" s="92" t="s">
        <v>13935</v>
      </c>
      <c r="D6599" s="72" t="str">
        <f>IFERROR(VLOOKUP(A6599,'[1]ST-QA-ZZ5'!$C$5:$M$299,11,0),"Inspection at production line")</f>
        <v>Inspection at production line</v>
      </c>
    </row>
    <row r="6600" spans="1:4" ht="13.8">
      <c r="A6600" s="47" t="s">
        <v>13936</v>
      </c>
      <c r="B6600" s="92" t="s">
        <v>630</v>
      </c>
      <c r="C6600" s="92" t="s">
        <v>13937</v>
      </c>
      <c r="D6600" s="72" t="str">
        <f>IFERROR(VLOOKUP(A6600,'[1]ST-QA-ZZ5'!$C$5:$M$299,11,0),"Inspection at production line")</f>
        <v>Inspection at production line</v>
      </c>
    </row>
    <row r="6601" spans="1:4" ht="13.8">
      <c r="A6601" s="47" t="s">
        <v>13938</v>
      </c>
      <c r="B6601" s="92" t="s">
        <v>857</v>
      </c>
      <c r="C6601" s="92" t="s">
        <v>13939</v>
      </c>
      <c r="D6601" s="72" t="str">
        <f>IFERROR(VLOOKUP(A6601,'[1]ST-QA-ZZ5'!$C$5:$M$299,11,0),"Inspection at production line")</f>
        <v>Inspection at production line</v>
      </c>
    </row>
    <row r="6602" spans="1:4" ht="13.8">
      <c r="A6602" s="47" t="s">
        <v>13940</v>
      </c>
      <c r="B6602" s="92" t="s">
        <v>13941</v>
      </c>
      <c r="C6602" s="92" t="s">
        <v>13941</v>
      </c>
      <c r="D6602" s="72" t="str">
        <f>IFERROR(VLOOKUP(A6602,'[1]ST-QA-ZZ5'!$C$5:$M$299,11,0),"Inspection at production line")</f>
        <v>Inspection at production line</v>
      </c>
    </row>
    <row r="6603" spans="1:4" ht="13.8">
      <c r="A6603" s="47" t="s">
        <v>13942</v>
      </c>
      <c r="B6603" s="92" t="s">
        <v>13943</v>
      </c>
      <c r="C6603" s="92" t="s">
        <v>13943</v>
      </c>
      <c r="D6603" s="72" t="str">
        <f>IFERROR(VLOOKUP(A6603,'[1]ST-QA-ZZ5'!$C$5:$M$299,11,0),"Inspection at production line")</f>
        <v>Inspection at production line</v>
      </c>
    </row>
    <row r="6604" spans="1:4" ht="13.8">
      <c r="A6604" s="47" t="s">
        <v>13944</v>
      </c>
      <c r="B6604" s="92" t="s">
        <v>2024</v>
      </c>
      <c r="C6604" s="92" t="s">
        <v>13945</v>
      </c>
      <c r="D6604" s="72" t="str">
        <f>IFERROR(VLOOKUP(A6604,'[1]ST-QA-ZZ5'!$C$5:$M$299,11,0),"Inspection at production line")</f>
        <v>Inspection at production line</v>
      </c>
    </row>
    <row r="6605" spans="1:4" ht="13.8">
      <c r="A6605" s="47" t="s">
        <v>13946</v>
      </c>
      <c r="B6605" s="92" t="s">
        <v>13947</v>
      </c>
      <c r="C6605" s="92" t="s">
        <v>13947</v>
      </c>
      <c r="D6605" s="72" t="str">
        <f>IFERROR(VLOOKUP(A6605,'[1]ST-QA-ZZ5'!$C$5:$M$299,11,0),"Inspection at production line")</f>
        <v>Inspection at production line</v>
      </c>
    </row>
    <row r="6606" spans="1:4" ht="13.8">
      <c r="A6606" s="47" t="s">
        <v>13948</v>
      </c>
      <c r="B6606" s="92" t="s">
        <v>8753</v>
      </c>
      <c r="C6606" s="92" t="s">
        <v>13949</v>
      </c>
      <c r="D6606" s="72" t="str">
        <f>IFERROR(VLOOKUP(A6606,'[1]ST-QA-ZZ5'!$C$5:$M$299,11,0),"Inspection at production line")</f>
        <v>Inspection at production line</v>
      </c>
    </row>
    <row r="6607" spans="1:4" ht="13.8">
      <c r="A6607" s="47" t="s">
        <v>13950</v>
      </c>
      <c r="B6607" s="92" t="s">
        <v>8753</v>
      </c>
      <c r="C6607" s="92" t="s">
        <v>13951</v>
      </c>
      <c r="D6607" s="72" t="str">
        <f>IFERROR(VLOOKUP(A6607,'[1]ST-QA-ZZ5'!$C$5:$M$299,11,0),"Inspection at production line")</f>
        <v>Inspection at production line</v>
      </c>
    </row>
    <row r="6608" spans="1:4" ht="13.8">
      <c r="A6608" s="47" t="s">
        <v>13952</v>
      </c>
      <c r="B6608" s="92" t="s">
        <v>8753</v>
      </c>
      <c r="C6608" s="92" t="s">
        <v>13953</v>
      </c>
      <c r="D6608" s="72" t="str">
        <f>IFERROR(VLOOKUP(A6608,'[1]ST-QA-ZZ5'!$C$5:$M$299,11,0),"Inspection at production line")</f>
        <v>Inspection at production line</v>
      </c>
    </row>
    <row r="6609" spans="1:4" ht="13.8">
      <c r="A6609" s="47" t="s">
        <v>13954</v>
      </c>
      <c r="B6609" s="92" t="s">
        <v>4769</v>
      </c>
      <c r="C6609" s="92" t="s">
        <v>13955</v>
      </c>
      <c r="D6609" s="72" t="str">
        <f>IFERROR(VLOOKUP(A6609,'[1]ST-QA-ZZ5'!$C$5:$M$299,11,0),"Inspection at production line")</f>
        <v>Inspection at production line</v>
      </c>
    </row>
    <row r="6610" spans="1:4" ht="13.8">
      <c r="A6610" s="47" t="s">
        <v>13956</v>
      </c>
      <c r="B6610" s="92" t="s">
        <v>4769</v>
      </c>
      <c r="C6610" s="92" t="s">
        <v>13957</v>
      </c>
      <c r="D6610" s="72" t="str">
        <f>IFERROR(VLOOKUP(A6610,'[1]ST-QA-ZZ5'!$C$5:$M$299,11,0),"Inspection at production line")</f>
        <v>Inspection at production line</v>
      </c>
    </row>
    <row r="6611" spans="1:4" ht="13.8">
      <c r="A6611" s="47" t="s">
        <v>13958</v>
      </c>
      <c r="B6611" s="92" t="s">
        <v>4769</v>
      </c>
      <c r="C6611" s="92" t="s">
        <v>13959</v>
      </c>
      <c r="D6611" s="72" t="str">
        <f>IFERROR(VLOOKUP(A6611,'[1]ST-QA-ZZ5'!$C$5:$M$299,11,0),"Inspection at production line")</f>
        <v>Inspection at production line</v>
      </c>
    </row>
    <row r="6612" spans="1:4" ht="13.8">
      <c r="A6612" s="47" t="s">
        <v>13960</v>
      </c>
      <c r="B6612" s="92" t="s">
        <v>4769</v>
      </c>
      <c r="C6612" s="92" t="s">
        <v>9779</v>
      </c>
      <c r="D6612" s="72" t="str">
        <f>IFERROR(VLOOKUP(A6612,'[1]ST-QA-ZZ5'!$C$5:$M$299,11,0),"Inspection at production line")</f>
        <v>Inspection at production line</v>
      </c>
    </row>
    <row r="6613" spans="1:4" ht="13.8">
      <c r="A6613" s="47" t="s">
        <v>13961</v>
      </c>
      <c r="B6613" s="92" t="s">
        <v>8753</v>
      </c>
      <c r="C6613" s="92" t="s">
        <v>13962</v>
      </c>
      <c r="D6613" s="72" t="str">
        <f>IFERROR(VLOOKUP(A6613,'[1]ST-QA-ZZ5'!$C$5:$M$299,11,0),"Inspection at production line")</f>
        <v>Inspection at production line</v>
      </c>
    </row>
    <row r="6614" spans="1:4" ht="13.8">
      <c r="A6614" s="47" t="s">
        <v>13963</v>
      </c>
      <c r="B6614" s="92" t="s">
        <v>8753</v>
      </c>
      <c r="C6614" s="92" t="s">
        <v>13964</v>
      </c>
      <c r="D6614" s="72" t="str">
        <f>IFERROR(VLOOKUP(A6614,'[1]ST-QA-ZZ5'!$C$5:$M$299,11,0),"Inspection at production line")</f>
        <v>Inspection at production line</v>
      </c>
    </row>
    <row r="6615" spans="1:4" ht="13.8">
      <c r="A6615" s="47" t="s">
        <v>13965</v>
      </c>
      <c r="B6615" s="92" t="s">
        <v>8753</v>
      </c>
      <c r="C6615" s="92" t="s">
        <v>13966</v>
      </c>
      <c r="D6615" s="72" t="str">
        <f>IFERROR(VLOOKUP(A6615,'[1]ST-QA-ZZ5'!$C$5:$M$299,11,0),"Inspection at production line")</f>
        <v>Inspection at production line</v>
      </c>
    </row>
    <row r="6616" spans="1:4" ht="13.8">
      <c r="A6616" s="47" t="s">
        <v>13967</v>
      </c>
      <c r="B6616" s="92" t="s">
        <v>8753</v>
      </c>
      <c r="C6616" s="92" t="s">
        <v>13968</v>
      </c>
      <c r="D6616" s="72" t="str">
        <f>IFERROR(VLOOKUP(A6616,'[1]ST-QA-ZZ5'!$C$5:$M$299,11,0),"Inspection at production line")</f>
        <v>Inspection at production line</v>
      </c>
    </row>
    <row r="6617" spans="1:4" ht="13.8">
      <c r="A6617" s="47" t="s">
        <v>13969</v>
      </c>
      <c r="B6617" s="92" t="s">
        <v>2652</v>
      </c>
      <c r="C6617" s="92" t="s">
        <v>2653</v>
      </c>
      <c r="D6617" s="72" t="str">
        <f>IFERROR(VLOOKUP(A6617,'[1]ST-QA-ZZ5'!$C$5:$M$299,11,0),"Inspection at production line")</f>
        <v>Inspection at production line</v>
      </c>
    </row>
    <row r="6618" spans="1:4" ht="13.8">
      <c r="A6618" s="47" t="s">
        <v>13970</v>
      </c>
      <c r="B6618" s="92" t="s">
        <v>4996</v>
      </c>
      <c r="C6618" s="92" t="s">
        <v>9587</v>
      </c>
      <c r="D6618" s="72" t="str">
        <f>IFERROR(VLOOKUP(A6618,'[1]ST-QA-ZZ5'!$C$5:$M$299,11,0),"Inspection at production line")</f>
        <v>Inspection at production line</v>
      </c>
    </row>
    <row r="6619" spans="1:4" ht="13.8">
      <c r="A6619" s="47" t="s">
        <v>13971</v>
      </c>
      <c r="B6619" s="92" t="s">
        <v>9426</v>
      </c>
      <c r="C6619" s="92" t="s">
        <v>9589</v>
      </c>
      <c r="D6619" s="72" t="str">
        <f>IFERROR(VLOOKUP(A6619,'[1]ST-QA-ZZ5'!$C$5:$M$299,11,0),"Inspection at production line")</f>
        <v>Inspection at production line</v>
      </c>
    </row>
    <row r="6620" spans="1:4" ht="13.8">
      <c r="A6620" s="47" t="s">
        <v>13972</v>
      </c>
      <c r="B6620" s="92" t="s">
        <v>9426</v>
      </c>
      <c r="C6620" s="92" t="s">
        <v>9591</v>
      </c>
      <c r="D6620" s="72" t="str">
        <f>IFERROR(VLOOKUP(A6620,'[1]ST-QA-ZZ5'!$C$5:$M$299,11,0),"Inspection at production line")</f>
        <v>Inspection at production line</v>
      </c>
    </row>
    <row r="6621" spans="1:4" ht="13.8">
      <c r="A6621" s="47" t="s">
        <v>13973</v>
      </c>
      <c r="B6621" s="92" t="s">
        <v>9426</v>
      </c>
      <c r="C6621" s="92" t="s">
        <v>9593</v>
      </c>
      <c r="D6621" s="72" t="str">
        <f>IFERROR(VLOOKUP(A6621,'[1]ST-QA-ZZ5'!$C$5:$M$299,11,0),"Inspection at production line")</f>
        <v>Inspection at production line</v>
      </c>
    </row>
    <row r="6622" spans="1:4" ht="13.8">
      <c r="A6622" s="47" t="s">
        <v>13974</v>
      </c>
      <c r="B6622" s="92" t="s">
        <v>4996</v>
      </c>
      <c r="C6622" s="92" t="s">
        <v>9595</v>
      </c>
      <c r="D6622" s="72" t="str">
        <f>IFERROR(VLOOKUP(A6622,'[1]ST-QA-ZZ5'!$C$5:$M$299,11,0),"Inspection at production line")</f>
        <v>Inspection at production line</v>
      </c>
    </row>
    <row r="6623" spans="1:4" ht="13.8">
      <c r="A6623" s="47" t="s">
        <v>13975</v>
      </c>
      <c r="B6623" s="92" t="s">
        <v>2137</v>
      </c>
      <c r="C6623" s="92" t="s">
        <v>5001</v>
      </c>
      <c r="D6623" s="72" t="str">
        <f>IFERROR(VLOOKUP(A6623,'[1]ST-QA-ZZ5'!$C$5:$M$299,11,0),"Inspection at production line")</f>
        <v>Inspection at production line</v>
      </c>
    </row>
    <row r="6624" spans="1:4" ht="13.8">
      <c r="A6624" s="47" t="s">
        <v>13976</v>
      </c>
      <c r="B6624" s="92" t="s">
        <v>2137</v>
      </c>
      <c r="C6624" s="92" t="s">
        <v>2671</v>
      </c>
      <c r="D6624" s="72" t="str">
        <f>IFERROR(VLOOKUP(A6624,'[1]ST-QA-ZZ5'!$C$5:$M$299,11,0),"Inspection at production line")</f>
        <v>Inspection at production line</v>
      </c>
    </row>
    <row r="6625" spans="1:4" ht="13.8">
      <c r="A6625" s="47" t="s">
        <v>13977</v>
      </c>
      <c r="B6625" s="92" t="s">
        <v>5438</v>
      </c>
      <c r="C6625" s="92" t="s">
        <v>5439</v>
      </c>
      <c r="D6625" s="72" t="str">
        <f>IFERROR(VLOOKUP(A6625,'[1]ST-QA-ZZ5'!$C$5:$M$299,11,0),"Inspection at production line")</f>
        <v>Inspection at production line</v>
      </c>
    </row>
    <row r="6626" spans="1:4" ht="13.8">
      <c r="A6626" s="47" t="s">
        <v>13978</v>
      </c>
      <c r="B6626" s="92" t="s">
        <v>5438</v>
      </c>
      <c r="C6626" s="92" t="s">
        <v>13979</v>
      </c>
      <c r="D6626" s="72" t="str">
        <f>IFERROR(VLOOKUP(A6626,'[1]ST-QA-ZZ5'!$C$5:$M$299,11,0),"Inspection at production line")</f>
        <v>Inspection at production line</v>
      </c>
    </row>
    <row r="6627" spans="1:4" ht="13.8">
      <c r="A6627" s="47" t="s">
        <v>13980</v>
      </c>
      <c r="B6627" s="92" t="s">
        <v>5438</v>
      </c>
      <c r="C6627" s="92" t="s">
        <v>9597</v>
      </c>
      <c r="D6627" s="72" t="str">
        <f>IFERROR(VLOOKUP(A6627,'[1]ST-QA-ZZ5'!$C$5:$M$299,11,0),"Inspection at production line")</f>
        <v>Inspection at production line</v>
      </c>
    </row>
    <row r="6628" spans="1:4" ht="13.8">
      <c r="A6628" s="47" t="s">
        <v>13981</v>
      </c>
      <c r="B6628" s="92" t="s">
        <v>5438</v>
      </c>
      <c r="C6628" s="92" t="s">
        <v>9599</v>
      </c>
      <c r="D6628" s="72" t="str">
        <f>IFERROR(VLOOKUP(A6628,'[1]ST-QA-ZZ5'!$C$5:$M$299,11,0),"Inspection at production line")</f>
        <v>Inspection at production line</v>
      </c>
    </row>
    <row r="6629" spans="1:4" ht="13.8">
      <c r="A6629" s="47" t="s">
        <v>13982</v>
      </c>
      <c r="B6629" s="92" t="s">
        <v>3079</v>
      </c>
      <c r="C6629" s="92" t="s">
        <v>5078</v>
      </c>
      <c r="D6629" s="72" t="str">
        <f>IFERROR(VLOOKUP(A6629,'[1]ST-QA-ZZ5'!$C$5:$M$299,11,0),"Inspection at production line")</f>
        <v>Inspection at production line</v>
      </c>
    </row>
    <row r="6630" spans="1:4" ht="13.8">
      <c r="A6630" s="47" t="s">
        <v>13983</v>
      </c>
      <c r="B6630" s="92" t="s">
        <v>2137</v>
      </c>
      <c r="C6630" s="92" t="s">
        <v>9601</v>
      </c>
      <c r="D6630" s="72" t="str">
        <f>IFERROR(VLOOKUP(A6630,'[1]ST-QA-ZZ5'!$C$5:$M$299,11,0),"Inspection at production line")</f>
        <v>Inspection at production line</v>
      </c>
    </row>
    <row r="6631" spans="1:4" ht="13.8">
      <c r="A6631" s="47" t="s">
        <v>13984</v>
      </c>
      <c r="B6631" s="92" t="s">
        <v>2137</v>
      </c>
      <c r="C6631" s="92" t="s">
        <v>9603</v>
      </c>
      <c r="D6631" s="72" t="str">
        <f>IFERROR(VLOOKUP(A6631,'[1]ST-QA-ZZ5'!$C$5:$M$299,11,0),"Inspection at production line")</f>
        <v>Inspection at production line</v>
      </c>
    </row>
    <row r="6632" spans="1:4" ht="13.8">
      <c r="A6632" s="47" t="s">
        <v>13985</v>
      </c>
      <c r="B6632" s="92" t="s">
        <v>13986</v>
      </c>
      <c r="C6632" s="92" t="s">
        <v>5436</v>
      </c>
      <c r="D6632" s="72" t="str">
        <f>IFERROR(VLOOKUP(A6632,'[1]ST-QA-ZZ5'!$C$5:$M$299,11,0),"Inspection at production line")</f>
        <v>Inspection at production line</v>
      </c>
    </row>
    <row r="6633" spans="1:4" ht="13.8">
      <c r="A6633" s="47" t="s">
        <v>13987</v>
      </c>
      <c r="B6633" s="92" t="s">
        <v>13986</v>
      </c>
      <c r="C6633" s="92" t="s">
        <v>9605</v>
      </c>
      <c r="D6633" s="72" t="str">
        <f>IFERROR(VLOOKUP(A6633,'[1]ST-QA-ZZ5'!$C$5:$M$299,11,0),"Inspection at production line")</f>
        <v>Inspection at production line</v>
      </c>
    </row>
    <row r="6634" spans="1:4" ht="13.8">
      <c r="A6634" s="47" t="s">
        <v>13988</v>
      </c>
      <c r="B6634" s="92" t="s">
        <v>9130</v>
      </c>
      <c r="C6634" s="92" t="s">
        <v>1880</v>
      </c>
      <c r="D6634" s="72" t="str">
        <f>IFERROR(VLOOKUP(A6634,'[1]ST-QA-ZZ5'!$C$5:$M$299,11,0),"Inspection at production line")</f>
        <v>Inspection at production line</v>
      </c>
    </row>
    <row r="6635" spans="1:4" ht="13.8">
      <c r="A6635" s="47" t="s">
        <v>13989</v>
      </c>
      <c r="B6635" s="92" t="s">
        <v>9608</v>
      </c>
      <c r="C6635" s="92" t="s">
        <v>9609</v>
      </c>
      <c r="D6635" s="72" t="str">
        <f>IFERROR(VLOOKUP(A6635,'[1]ST-QA-ZZ5'!$C$5:$M$299,11,0),"Inspection at production line")</f>
        <v>Inspection at production line</v>
      </c>
    </row>
    <row r="6636" spans="1:4" ht="13.8">
      <c r="A6636" s="47" t="s">
        <v>13990</v>
      </c>
      <c r="B6636" s="92" t="s">
        <v>9611</v>
      </c>
      <c r="C6636" s="92" t="s">
        <v>9612</v>
      </c>
      <c r="D6636" s="72" t="str">
        <f>IFERROR(VLOOKUP(A6636,'[1]ST-QA-ZZ5'!$C$5:$M$299,11,0),"Inspection at production line")</f>
        <v>Inspection at production line</v>
      </c>
    </row>
    <row r="6637" spans="1:4" ht="13.8">
      <c r="A6637" s="47" t="s">
        <v>13991</v>
      </c>
      <c r="B6637" s="92" t="s">
        <v>5092</v>
      </c>
      <c r="C6637" s="92" t="s">
        <v>13992</v>
      </c>
      <c r="D6637" s="72" t="str">
        <f>IFERROR(VLOOKUP(A6637,'[1]ST-QA-ZZ5'!$C$5:$M$299,11,0),"Inspection at production line")</f>
        <v>Inspection at production line</v>
      </c>
    </row>
    <row r="6638" spans="1:4" ht="13.8">
      <c r="A6638" s="47" t="s">
        <v>13993</v>
      </c>
      <c r="B6638" s="92" t="s">
        <v>5092</v>
      </c>
      <c r="C6638" s="92" t="s">
        <v>13994</v>
      </c>
      <c r="D6638" s="72" t="str">
        <f>IFERROR(VLOOKUP(A6638,'[1]ST-QA-ZZ5'!$C$5:$M$299,11,0),"Inspection at production line")</f>
        <v>Inspection at production line</v>
      </c>
    </row>
    <row r="6639" spans="1:4" ht="13.8">
      <c r="A6639" s="47" t="s">
        <v>13995</v>
      </c>
      <c r="B6639" s="92" t="s">
        <v>3084</v>
      </c>
      <c r="C6639" s="92" t="s">
        <v>13996</v>
      </c>
      <c r="D6639" s="72" t="str">
        <f>IFERROR(VLOOKUP(A6639,'[1]ST-QA-ZZ5'!$C$5:$M$299,11,0),"Inspection at production line")</f>
        <v>Inspection at production line</v>
      </c>
    </row>
    <row r="6640" spans="1:4" ht="13.8">
      <c r="A6640" s="47" t="s">
        <v>13997</v>
      </c>
      <c r="B6640" s="92" t="s">
        <v>5435</v>
      </c>
      <c r="C6640" s="92" t="s">
        <v>13998</v>
      </c>
      <c r="D6640" s="72" t="str">
        <f>IFERROR(VLOOKUP(A6640,'[1]ST-QA-ZZ5'!$C$5:$M$299,11,0),"Inspection at production line")</f>
        <v>Inspection at production line</v>
      </c>
    </row>
    <row r="6641" spans="1:4" ht="13.8">
      <c r="A6641" s="47" t="s">
        <v>13999</v>
      </c>
      <c r="B6641" s="92" t="s">
        <v>5299</v>
      </c>
      <c r="C6641" s="92" t="s">
        <v>9616</v>
      </c>
      <c r="D6641" s="72" t="str">
        <f>IFERROR(VLOOKUP(A6641,'[1]ST-QA-ZZ5'!$C$5:$M$299,11,0),"Inspection at production line")</f>
        <v>Inspection at production line</v>
      </c>
    </row>
    <row r="6642" spans="1:4" ht="13.8">
      <c r="A6642" s="47" t="s">
        <v>14000</v>
      </c>
      <c r="B6642" s="92" t="s">
        <v>5299</v>
      </c>
      <c r="C6642" s="92" t="s">
        <v>9618</v>
      </c>
      <c r="D6642" s="72" t="str">
        <f>IFERROR(VLOOKUP(A6642,'[1]ST-QA-ZZ5'!$C$5:$M$299,11,0),"Inspection at production line")</f>
        <v>Inspection at production line</v>
      </c>
    </row>
    <row r="6643" spans="1:4" ht="13.8">
      <c r="A6643" s="47" t="s">
        <v>14001</v>
      </c>
      <c r="B6643" s="92" t="s">
        <v>5299</v>
      </c>
      <c r="C6643" s="92" t="s">
        <v>5300</v>
      </c>
      <c r="D6643" s="72" t="str">
        <f>IFERROR(VLOOKUP(A6643,'[1]ST-QA-ZZ5'!$C$5:$M$299,11,0),"Inspection at production line")</f>
        <v>Inspection at production line</v>
      </c>
    </row>
    <row r="6644" spans="1:4" ht="13.8">
      <c r="A6644" s="47" t="s">
        <v>14002</v>
      </c>
      <c r="B6644" s="92" t="s">
        <v>5299</v>
      </c>
      <c r="C6644" s="92" t="s">
        <v>14003</v>
      </c>
      <c r="D6644" s="72" t="str">
        <f>IFERROR(VLOOKUP(A6644,'[1]ST-QA-ZZ5'!$C$5:$M$299,11,0),"Inspection at production line")</f>
        <v>Inspection at production line</v>
      </c>
    </row>
    <row r="6645" spans="1:4" ht="13.8">
      <c r="A6645" s="47" t="s">
        <v>14004</v>
      </c>
      <c r="B6645" s="92" t="s">
        <v>1986</v>
      </c>
      <c r="C6645" s="92" t="s">
        <v>9620</v>
      </c>
      <c r="D6645" s="72" t="str">
        <f>IFERROR(VLOOKUP(A6645,'[1]ST-QA-ZZ5'!$C$5:$M$299,11,0),"Inspection at production line")</f>
        <v>Inspection at production line</v>
      </c>
    </row>
    <row r="6646" spans="1:4" ht="13.8">
      <c r="A6646" s="47" t="s">
        <v>14005</v>
      </c>
      <c r="B6646" s="92" t="s">
        <v>3002</v>
      </c>
      <c r="C6646" s="92" t="s">
        <v>14006</v>
      </c>
      <c r="D6646" s="72" t="str">
        <f>IFERROR(VLOOKUP(A6646,'[1]ST-QA-ZZ5'!$C$5:$M$299,11,0),"Inspection at production line")</f>
        <v>Inspection at production line</v>
      </c>
    </row>
    <row r="6647" spans="1:4" ht="13.8">
      <c r="A6647" s="47" t="s">
        <v>14007</v>
      </c>
      <c r="B6647" s="92" t="s">
        <v>3002</v>
      </c>
      <c r="C6647" s="92" t="s">
        <v>14008</v>
      </c>
      <c r="D6647" s="72" t="str">
        <f>IFERROR(VLOOKUP(A6647,'[1]ST-QA-ZZ5'!$C$5:$M$299,11,0),"Inspection at production line")</f>
        <v>Inspection at production line</v>
      </c>
    </row>
    <row r="6648" spans="1:4" ht="13.8">
      <c r="A6648" s="47" t="s">
        <v>14009</v>
      </c>
      <c r="B6648" s="92" t="s">
        <v>3002</v>
      </c>
      <c r="C6648" s="92" t="s">
        <v>14010</v>
      </c>
      <c r="D6648" s="72" t="str">
        <f>IFERROR(VLOOKUP(A6648,'[1]ST-QA-ZZ5'!$C$5:$M$299,11,0),"Inspection at production line")</f>
        <v>Inspection at production line</v>
      </c>
    </row>
    <row r="6649" spans="1:4" ht="13.8">
      <c r="A6649" s="47" t="s">
        <v>14011</v>
      </c>
      <c r="B6649" s="92" t="s">
        <v>2653</v>
      </c>
      <c r="C6649" s="92" t="s">
        <v>9630</v>
      </c>
      <c r="D6649" s="72" t="str">
        <f>IFERROR(VLOOKUP(A6649,'[1]ST-QA-ZZ5'!$C$5:$M$299,11,0),"Inspection at production line")</f>
        <v>Inspection at production line</v>
      </c>
    </row>
    <row r="6650" spans="1:4" ht="13.8">
      <c r="A6650" s="47" t="s">
        <v>14012</v>
      </c>
      <c r="B6650" s="92" t="s">
        <v>6870</v>
      </c>
      <c r="C6650" s="92" t="s">
        <v>14013</v>
      </c>
      <c r="D6650" s="72" t="str">
        <f>IFERROR(VLOOKUP(A6650,'[1]ST-QA-ZZ5'!$C$5:$M$299,11,0),"Inspection at production line")</f>
        <v>Inspection at production line</v>
      </c>
    </row>
    <row r="6651" spans="1:4" ht="13.8">
      <c r="A6651" s="47" t="s">
        <v>14014</v>
      </c>
      <c r="B6651" s="92" t="s">
        <v>6870</v>
      </c>
      <c r="C6651" s="92" t="s">
        <v>14015</v>
      </c>
      <c r="D6651" s="72" t="str">
        <f>IFERROR(VLOOKUP(A6651,'[1]ST-QA-ZZ5'!$C$5:$M$299,11,0),"Inspection at production line")</f>
        <v>Inspection at production line</v>
      </c>
    </row>
    <row r="6652" spans="1:4" ht="13.8">
      <c r="A6652" s="47" t="s">
        <v>14016</v>
      </c>
      <c r="B6652" s="92" t="s">
        <v>6870</v>
      </c>
      <c r="C6652" s="92" t="s">
        <v>9632</v>
      </c>
      <c r="D6652" s="72" t="str">
        <f>IFERROR(VLOOKUP(A6652,'[1]ST-QA-ZZ5'!$C$5:$M$299,11,0),"Inspection at production line")</f>
        <v>Inspection at production line</v>
      </c>
    </row>
    <row r="6653" spans="1:4" ht="13.8">
      <c r="A6653" s="47" t="s">
        <v>14017</v>
      </c>
      <c r="B6653" s="92" t="s">
        <v>9611</v>
      </c>
      <c r="C6653" s="92" t="s">
        <v>9634</v>
      </c>
      <c r="D6653" s="72" t="str">
        <f>IFERROR(VLOOKUP(A6653,'[1]ST-QA-ZZ5'!$C$5:$M$299,11,0),"Inspection at production line")</f>
        <v>Inspection at production line</v>
      </c>
    </row>
    <row r="6654" spans="1:4" ht="13.8">
      <c r="A6654" s="47" t="s">
        <v>14018</v>
      </c>
      <c r="B6654" s="92" t="s">
        <v>9611</v>
      </c>
      <c r="C6654" s="92" t="s">
        <v>9636</v>
      </c>
      <c r="D6654" s="72" t="str">
        <f>IFERROR(VLOOKUP(A6654,'[1]ST-QA-ZZ5'!$C$5:$M$299,11,0),"Inspection at production line")</f>
        <v>Inspection at production line</v>
      </c>
    </row>
    <row r="6655" spans="1:4" ht="13.8">
      <c r="A6655" s="47" t="s">
        <v>14019</v>
      </c>
      <c r="B6655" s="92" t="s">
        <v>174</v>
      </c>
      <c r="C6655" s="92" t="s">
        <v>5119</v>
      </c>
      <c r="D6655" s="72" t="str">
        <f>IFERROR(VLOOKUP(A6655,'[1]ST-QA-ZZ5'!$C$5:$M$299,11,0),"Inspection at production line")</f>
        <v>Inspection at production line</v>
      </c>
    </row>
    <row r="6656" spans="1:4" ht="13.8">
      <c r="A6656" s="47" t="s">
        <v>14020</v>
      </c>
      <c r="B6656" s="92" t="s">
        <v>1994</v>
      </c>
      <c r="C6656" s="92" t="s">
        <v>9638</v>
      </c>
      <c r="D6656" s="72" t="str">
        <f>IFERROR(VLOOKUP(A6656,'[1]ST-QA-ZZ5'!$C$5:$M$299,11,0),"Inspection at production line")</f>
        <v>Inspection at production line</v>
      </c>
    </row>
    <row r="6657" spans="1:4" ht="13.8">
      <c r="A6657" s="47" t="s">
        <v>14021</v>
      </c>
      <c r="B6657" s="92" t="s">
        <v>9640</v>
      </c>
      <c r="C6657" s="92" t="s">
        <v>14022</v>
      </c>
      <c r="D6657" s="72" t="str">
        <f>IFERROR(VLOOKUP(A6657,'[1]ST-QA-ZZ5'!$C$5:$M$299,11,0),"Inspection at production line")</f>
        <v>Inspection at production line</v>
      </c>
    </row>
    <row r="6658" spans="1:4" ht="13.8">
      <c r="A6658" s="47" t="s">
        <v>14023</v>
      </c>
      <c r="B6658" s="92" t="s">
        <v>9645</v>
      </c>
      <c r="C6658" s="92" t="s">
        <v>9646</v>
      </c>
      <c r="D6658" s="72" t="str">
        <f>IFERROR(VLOOKUP(A6658,'[1]ST-QA-ZZ5'!$C$5:$M$299,11,0),"Inspection at production line")</f>
        <v>Inspection at production line</v>
      </c>
    </row>
    <row r="6659" spans="1:4" ht="13.8">
      <c r="A6659" s="47" t="s">
        <v>14024</v>
      </c>
      <c r="B6659" s="92" t="s">
        <v>404</v>
      </c>
      <c r="C6659" s="92" t="s">
        <v>14025</v>
      </c>
      <c r="D6659" s="72" t="str">
        <f>IFERROR(VLOOKUP(A6659,'[1]ST-QA-ZZ5'!$C$5:$M$299,11,0),"Inspection at production line")</f>
        <v>Inspection at production line</v>
      </c>
    </row>
    <row r="6660" spans="1:4" ht="13.8">
      <c r="A6660" s="47" t="s">
        <v>14026</v>
      </c>
      <c r="B6660" s="92" t="s">
        <v>404</v>
      </c>
      <c r="C6660" s="92" t="s">
        <v>14027</v>
      </c>
      <c r="D6660" s="72" t="str">
        <f>IFERROR(VLOOKUP(A6660,'[1]ST-QA-ZZ5'!$C$5:$M$299,11,0),"Inspection at production line")</f>
        <v>Inspection at production line</v>
      </c>
    </row>
    <row r="6661" spans="1:4" ht="13.8">
      <c r="A6661" s="47" t="s">
        <v>14028</v>
      </c>
      <c r="B6661" s="92" t="s">
        <v>9651</v>
      </c>
      <c r="C6661" s="92" t="s">
        <v>14029</v>
      </c>
      <c r="D6661" s="72" t="str">
        <f>IFERROR(VLOOKUP(A6661,'[1]ST-QA-ZZ5'!$C$5:$M$299,11,0),"Inspection at production line")</f>
        <v>Inspection at production line</v>
      </c>
    </row>
    <row r="6662" spans="1:4" ht="13.8">
      <c r="A6662" s="47" t="s">
        <v>14030</v>
      </c>
      <c r="B6662" s="92" t="s">
        <v>8753</v>
      </c>
      <c r="C6662" s="92" t="s">
        <v>9654</v>
      </c>
      <c r="D6662" s="72" t="str">
        <f>IFERROR(VLOOKUP(A6662,'[1]ST-QA-ZZ5'!$C$5:$M$299,11,0),"Inspection at production line")</f>
        <v>Inspection at production line</v>
      </c>
    </row>
    <row r="6663" spans="1:4" ht="13.8">
      <c r="A6663" s="47" t="s">
        <v>14031</v>
      </c>
      <c r="B6663" s="92" t="s">
        <v>9656</v>
      </c>
      <c r="C6663" s="92" t="s">
        <v>9657</v>
      </c>
      <c r="D6663" s="72" t="str">
        <f>IFERROR(VLOOKUP(A6663,'[1]ST-QA-ZZ5'!$C$5:$M$299,11,0),"Inspection at production line")</f>
        <v>Inspection at production line</v>
      </c>
    </row>
    <row r="6664" spans="1:4" ht="13.8">
      <c r="A6664" s="47" t="s">
        <v>14032</v>
      </c>
      <c r="B6664" s="92" t="s">
        <v>9659</v>
      </c>
      <c r="C6664" s="92" t="s">
        <v>9660</v>
      </c>
      <c r="D6664" s="72" t="str">
        <f>IFERROR(VLOOKUP(A6664,'[1]ST-QA-ZZ5'!$C$5:$M$299,11,0),"Inspection at production line")</f>
        <v>Inspection at production line</v>
      </c>
    </row>
    <row r="6665" spans="1:4" ht="13.8">
      <c r="A6665" s="47" t="s">
        <v>14033</v>
      </c>
      <c r="B6665" s="92" t="s">
        <v>9666</v>
      </c>
      <c r="C6665" s="92" t="s">
        <v>14034</v>
      </c>
      <c r="D6665" s="72" t="str">
        <f>IFERROR(VLOOKUP(A6665,'[1]ST-QA-ZZ5'!$C$5:$M$299,11,0),"Inspection at production line")</f>
        <v>Inspection at production line</v>
      </c>
    </row>
    <row r="6666" spans="1:4" ht="13.8">
      <c r="A6666" s="47" t="s">
        <v>14035</v>
      </c>
      <c r="B6666" s="92" t="s">
        <v>5092</v>
      </c>
      <c r="C6666" s="92" t="s">
        <v>14036</v>
      </c>
      <c r="D6666" s="72" t="str">
        <f>IFERROR(VLOOKUP(A6666,'[1]ST-QA-ZZ5'!$C$5:$M$299,11,0),"Inspection at production line")</f>
        <v>Inspection at production line</v>
      </c>
    </row>
    <row r="6667" spans="1:4" ht="13.8">
      <c r="A6667" s="47" t="s">
        <v>14037</v>
      </c>
      <c r="B6667" s="92" t="s">
        <v>7914</v>
      </c>
      <c r="C6667" s="92" t="s">
        <v>14038</v>
      </c>
      <c r="D6667" s="72" t="str">
        <f>IFERROR(VLOOKUP(A6667,'[1]ST-QA-ZZ5'!$C$5:$M$299,11,0),"Inspection at production line")</f>
        <v>Inspection at production line</v>
      </c>
    </row>
    <row r="6668" spans="1:4" ht="13.8">
      <c r="A6668" s="47" t="s">
        <v>14039</v>
      </c>
      <c r="B6668" s="92" t="s">
        <v>7914</v>
      </c>
      <c r="C6668" s="92" t="s">
        <v>9671</v>
      </c>
      <c r="D6668" s="72" t="str">
        <f>IFERROR(VLOOKUP(A6668,'[1]ST-QA-ZZ5'!$C$5:$M$299,11,0),"Inspection at production line")</f>
        <v>Inspection at production line</v>
      </c>
    </row>
    <row r="6669" spans="1:4" ht="13.8">
      <c r="A6669" s="47" t="s">
        <v>14040</v>
      </c>
      <c r="B6669" s="92" t="s">
        <v>7914</v>
      </c>
      <c r="C6669" s="92" t="s">
        <v>9675</v>
      </c>
      <c r="D6669" s="72" t="str">
        <f>IFERROR(VLOOKUP(A6669,'[1]ST-QA-ZZ5'!$C$5:$M$299,11,0),"Inspection at production line")</f>
        <v>Inspection at production line</v>
      </c>
    </row>
    <row r="6670" spans="1:4" ht="13.8">
      <c r="A6670" s="47" t="s">
        <v>14041</v>
      </c>
      <c r="B6670" s="92" t="s">
        <v>7914</v>
      </c>
      <c r="C6670" s="92" t="s">
        <v>9679</v>
      </c>
      <c r="D6670" s="72" t="str">
        <f>IFERROR(VLOOKUP(A6670,'[1]ST-QA-ZZ5'!$C$5:$M$299,11,0),"Inspection at production line")</f>
        <v>Inspection at production line</v>
      </c>
    </row>
    <row r="6671" spans="1:4" ht="13.8">
      <c r="A6671" s="47" t="s">
        <v>14042</v>
      </c>
      <c r="B6671" s="92" t="s">
        <v>7914</v>
      </c>
      <c r="C6671" s="92" t="s">
        <v>9683</v>
      </c>
      <c r="D6671" s="72" t="str">
        <f>IFERROR(VLOOKUP(A6671,'[1]ST-QA-ZZ5'!$C$5:$M$299,11,0),"Inspection at production line")</f>
        <v>Inspection at production line</v>
      </c>
    </row>
    <row r="6672" spans="1:4" ht="13.8">
      <c r="A6672" s="47" t="s">
        <v>14043</v>
      </c>
      <c r="B6672" s="92" t="s">
        <v>7914</v>
      </c>
      <c r="C6672" s="92" t="s">
        <v>14044</v>
      </c>
      <c r="D6672" s="72" t="str">
        <f>IFERROR(VLOOKUP(A6672,'[1]ST-QA-ZZ5'!$C$5:$M$299,11,0),"Inspection at production line")</f>
        <v>Inspection at production line</v>
      </c>
    </row>
    <row r="6673" spans="1:4" ht="13.8">
      <c r="A6673" s="47" t="s">
        <v>14045</v>
      </c>
      <c r="B6673" s="92" t="s">
        <v>7914</v>
      </c>
      <c r="C6673" s="92" t="s">
        <v>14046</v>
      </c>
      <c r="D6673" s="72" t="str">
        <f>IFERROR(VLOOKUP(A6673,'[1]ST-QA-ZZ5'!$C$5:$M$299,11,0),"Inspection at production line")</f>
        <v>Inspection at production line</v>
      </c>
    </row>
    <row r="6674" spans="1:4" ht="13.8">
      <c r="A6674" s="47" t="s">
        <v>14047</v>
      </c>
      <c r="B6674" s="92" t="s">
        <v>7914</v>
      </c>
      <c r="C6674" s="92" t="s">
        <v>9688</v>
      </c>
      <c r="D6674" s="72" t="str">
        <f>IFERROR(VLOOKUP(A6674,'[1]ST-QA-ZZ5'!$C$5:$M$299,11,0),"Inspection at production line")</f>
        <v>Inspection at production line</v>
      </c>
    </row>
    <row r="6675" spans="1:4" ht="13.8">
      <c r="A6675" s="47" t="s">
        <v>14048</v>
      </c>
      <c r="B6675" s="92" t="s">
        <v>7914</v>
      </c>
      <c r="C6675" s="92" t="s">
        <v>14049</v>
      </c>
      <c r="D6675" s="72" t="str">
        <f>IFERROR(VLOOKUP(A6675,'[1]ST-QA-ZZ5'!$C$5:$M$299,11,0),"Inspection at production line")</f>
        <v>Inspection at production line</v>
      </c>
    </row>
    <row r="6676" spans="1:4" ht="13.8">
      <c r="A6676" s="47" t="s">
        <v>14050</v>
      </c>
      <c r="B6676" s="92" t="s">
        <v>7914</v>
      </c>
      <c r="C6676" s="92" t="s">
        <v>9692</v>
      </c>
      <c r="D6676" s="72" t="str">
        <f>IFERROR(VLOOKUP(A6676,'[1]ST-QA-ZZ5'!$C$5:$M$299,11,0),"Inspection at production line")</f>
        <v>Inspection at production line</v>
      </c>
    </row>
    <row r="6677" spans="1:4" ht="13.8">
      <c r="A6677" s="47" t="s">
        <v>14051</v>
      </c>
      <c r="B6677" s="92" t="s">
        <v>7914</v>
      </c>
      <c r="C6677" s="92" t="s">
        <v>9696</v>
      </c>
      <c r="D6677" s="72" t="str">
        <f>IFERROR(VLOOKUP(A6677,'[1]ST-QA-ZZ5'!$C$5:$M$299,11,0),"Inspection at production line")</f>
        <v>Inspection at production line</v>
      </c>
    </row>
    <row r="6678" spans="1:4" ht="13.8">
      <c r="A6678" s="47" t="s">
        <v>14052</v>
      </c>
      <c r="B6678" s="92" t="s">
        <v>7914</v>
      </c>
      <c r="C6678" s="92" t="s">
        <v>14053</v>
      </c>
      <c r="D6678" s="72" t="str">
        <f>IFERROR(VLOOKUP(A6678,'[1]ST-QA-ZZ5'!$C$5:$M$299,11,0),"Inspection at production line")</f>
        <v>Inspection at production line</v>
      </c>
    </row>
    <row r="6679" spans="1:4" ht="13.8">
      <c r="A6679" s="47" t="s">
        <v>14054</v>
      </c>
      <c r="B6679" s="92" t="s">
        <v>7914</v>
      </c>
      <c r="C6679" s="92" t="s">
        <v>9700</v>
      </c>
      <c r="D6679" s="72" t="str">
        <f>IFERROR(VLOOKUP(A6679,'[1]ST-QA-ZZ5'!$C$5:$M$299,11,0),"Inspection at production line")</f>
        <v>Inspection at production line</v>
      </c>
    </row>
    <row r="6680" spans="1:4" ht="13.8">
      <c r="A6680" s="47" t="s">
        <v>14055</v>
      </c>
      <c r="B6680" s="92" t="s">
        <v>7914</v>
      </c>
      <c r="C6680" s="92" t="s">
        <v>9704</v>
      </c>
      <c r="D6680" s="72" t="str">
        <f>IFERROR(VLOOKUP(A6680,'[1]ST-QA-ZZ5'!$C$5:$M$299,11,0),"Inspection at production line")</f>
        <v>Inspection at production line</v>
      </c>
    </row>
    <row r="6681" spans="1:4" ht="13.8">
      <c r="A6681" s="47" t="s">
        <v>14056</v>
      </c>
      <c r="B6681" s="92" t="s">
        <v>14057</v>
      </c>
      <c r="C6681" s="92" t="s">
        <v>14057</v>
      </c>
      <c r="D6681" s="72" t="str">
        <f>IFERROR(VLOOKUP(A6681,'[1]ST-QA-ZZ5'!$C$5:$M$299,11,0),"Inspection at production line")</f>
        <v>Inspection at production line</v>
      </c>
    </row>
    <row r="6682" spans="1:4" ht="13.8">
      <c r="A6682" s="47" t="s">
        <v>14058</v>
      </c>
      <c r="B6682" s="92" t="s">
        <v>2653</v>
      </c>
      <c r="C6682" s="92" t="s">
        <v>14059</v>
      </c>
      <c r="D6682" s="72" t="str">
        <f>IFERROR(VLOOKUP(A6682,'[1]ST-QA-ZZ5'!$C$5:$M$299,11,0),"Inspection at production line")</f>
        <v>Inspection at production line</v>
      </c>
    </row>
    <row r="6683" spans="1:4" ht="13.8">
      <c r="A6683" s="47" t="s">
        <v>14060</v>
      </c>
      <c r="B6683" s="92" t="s">
        <v>857</v>
      </c>
      <c r="C6683" s="92" t="s">
        <v>14061</v>
      </c>
      <c r="D6683" s="72" t="str">
        <f>IFERROR(VLOOKUP(A6683,'[1]ST-QA-ZZ5'!$C$5:$M$299,11,0),"Inspection at production line")</f>
        <v>Inspection at production line</v>
      </c>
    </row>
    <row r="6684" spans="1:4" ht="13.8">
      <c r="A6684" s="47" t="s">
        <v>14062</v>
      </c>
      <c r="B6684" s="92" t="s">
        <v>857</v>
      </c>
      <c r="C6684" s="92" t="s">
        <v>14063</v>
      </c>
      <c r="D6684" s="72" t="str">
        <f>IFERROR(VLOOKUP(A6684,'[1]ST-QA-ZZ5'!$C$5:$M$299,11,0),"Inspection at production line")</f>
        <v>Inspection at production line</v>
      </c>
    </row>
    <row r="6685" spans="1:4" ht="13.8">
      <c r="A6685" s="47" t="s">
        <v>14064</v>
      </c>
      <c r="B6685" s="92" t="s">
        <v>857</v>
      </c>
      <c r="C6685" s="92" t="s">
        <v>14065</v>
      </c>
      <c r="D6685" s="72" t="str">
        <f>IFERROR(VLOOKUP(A6685,'[1]ST-QA-ZZ5'!$C$5:$M$299,11,0),"Inspection at production line")</f>
        <v>Inspection at production line</v>
      </c>
    </row>
    <row r="6686" spans="1:4" ht="13.8">
      <c r="A6686" s="47" t="s">
        <v>14066</v>
      </c>
      <c r="B6686" s="92" t="s">
        <v>857</v>
      </c>
      <c r="C6686" s="92" t="s">
        <v>14067</v>
      </c>
      <c r="D6686" s="72" t="str">
        <f>IFERROR(VLOOKUP(A6686,'[1]ST-QA-ZZ5'!$C$5:$M$299,11,0),"Inspection at production line")</f>
        <v>Inspection at production line</v>
      </c>
    </row>
    <row r="6687" spans="1:4" ht="13.8">
      <c r="A6687" s="47" t="s">
        <v>14068</v>
      </c>
      <c r="B6687" s="92" t="s">
        <v>857</v>
      </c>
      <c r="C6687" s="92" t="s">
        <v>14069</v>
      </c>
      <c r="D6687" s="72" t="str">
        <f>IFERROR(VLOOKUP(A6687,'[1]ST-QA-ZZ5'!$C$5:$M$299,11,0),"Inspection at production line")</f>
        <v>Inspection at production line</v>
      </c>
    </row>
    <row r="6688" spans="1:4" ht="13.8">
      <c r="A6688" s="47" t="s">
        <v>14070</v>
      </c>
      <c r="B6688" s="92" t="s">
        <v>857</v>
      </c>
      <c r="C6688" s="92" t="s">
        <v>14071</v>
      </c>
      <c r="D6688" s="72" t="str">
        <f>IFERROR(VLOOKUP(A6688,'[1]ST-QA-ZZ5'!$C$5:$M$299,11,0),"Inspection at production line")</f>
        <v>Inspection at production line</v>
      </c>
    </row>
    <row r="6689" spans="1:4" ht="13.8">
      <c r="A6689" s="47" t="s">
        <v>14072</v>
      </c>
      <c r="B6689" s="92" t="s">
        <v>857</v>
      </c>
      <c r="C6689" s="92" t="s">
        <v>14073</v>
      </c>
      <c r="D6689" s="72" t="str">
        <f>IFERROR(VLOOKUP(A6689,'[1]ST-QA-ZZ5'!$C$5:$M$299,11,0),"Inspection at production line")</f>
        <v>Inspection at production line</v>
      </c>
    </row>
    <row r="6690" spans="1:4" ht="13.8">
      <c r="A6690" s="47" t="s">
        <v>14074</v>
      </c>
      <c r="B6690" s="92" t="s">
        <v>857</v>
      </c>
      <c r="C6690" s="92" t="s">
        <v>14075</v>
      </c>
      <c r="D6690" s="72" t="str">
        <f>IFERROR(VLOOKUP(A6690,'[1]ST-QA-ZZ5'!$C$5:$M$299,11,0),"Inspection at production line")</f>
        <v>Inspection at production line</v>
      </c>
    </row>
    <row r="6691" spans="1:4" ht="13.8">
      <c r="A6691" s="47" t="s">
        <v>14076</v>
      </c>
      <c r="B6691" s="92" t="s">
        <v>857</v>
      </c>
      <c r="C6691" s="92" t="s">
        <v>14077</v>
      </c>
      <c r="D6691" s="72" t="str">
        <f>IFERROR(VLOOKUP(A6691,'[1]ST-QA-ZZ5'!$C$5:$M$299,11,0),"Inspection at production line")</f>
        <v>Inspection at production line</v>
      </c>
    </row>
    <row r="6692" spans="1:4" ht="13.8">
      <c r="A6692" s="47" t="s">
        <v>14078</v>
      </c>
      <c r="B6692" s="92" t="s">
        <v>857</v>
      </c>
      <c r="C6692" s="92" t="s">
        <v>14079</v>
      </c>
      <c r="D6692" s="72" t="str">
        <f>IFERROR(VLOOKUP(A6692,'[1]ST-QA-ZZ5'!$C$5:$M$299,11,0),"Inspection at production line")</f>
        <v>Inspection at production line</v>
      </c>
    </row>
    <row r="6693" spans="1:4" ht="13.8">
      <c r="A6693" s="47" t="s">
        <v>14080</v>
      </c>
      <c r="B6693" s="92" t="s">
        <v>857</v>
      </c>
      <c r="C6693" s="92" t="s">
        <v>14081</v>
      </c>
      <c r="D6693" s="72" t="str">
        <f>IFERROR(VLOOKUP(A6693,'[1]ST-QA-ZZ5'!$C$5:$M$299,11,0),"Inspection at production line")</f>
        <v>Inspection at production line</v>
      </c>
    </row>
    <row r="6694" spans="1:4" ht="13.8">
      <c r="A6694" s="47" t="s">
        <v>14082</v>
      </c>
      <c r="B6694" s="92" t="s">
        <v>857</v>
      </c>
      <c r="C6694" s="92" t="s">
        <v>14083</v>
      </c>
      <c r="D6694" s="72" t="str">
        <f>IFERROR(VLOOKUP(A6694,'[1]ST-QA-ZZ5'!$C$5:$M$299,11,0),"Inspection at production line")</f>
        <v>Inspection at production line</v>
      </c>
    </row>
    <row r="6695" spans="1:4" ht="13.8">
      <c r="A6695" s="47" t="s">
        <v>14084</v>
      </c>
      <c r="B6695" s="92" t="s">
        <v>857</v>
      </c>
      <c r="C6695" s="92" t="s">
        <v>14085</v>
      </c>
      <c r="D6695" s="72" t="str">
        <f>IFERROR(VLOOKUP(A6695,'[1]ST-QA-ZZ5'!$C$5:$M$299,11,0),"Inspection at production line")</f>
        <v>Inspection at production line</v>
      </c>
    </row>
    <row r="6696" spans="1:4" ht="13.8">
      <c r="A6696" s="47" t="s">
        <v>14086</v>
      </c>
      <c r="B6696" s="92" t="s">
        <v>857</v>
      </c>
      <c r="C6696" s="92" t="s">
        <v>14087</v>
      </c>
      <c r="D6696" s="72" t="str">
        <f>IFERROR(VLOOKUP(A6696,'[1]ST-QA-ZZ5'!$C$5:$M$299,11,0),"Inspection at production line")</f>
        <v>Inspection at production line</v>
      </c>
    </row>
    <row r="6697" spans="1:4" ht="13.8">
      <c r="A6697" s="47" t="s">
        <v>14088</v>
      </c>
      <c r="B6697" s="92" t="s">
        <v>857</v>
      </c>
      <c r="C6697" s="92" t="s">
        <v>14089</v>
      </c>
      <c r="D6697" s="72" t="str">
        <f>IFERROR(VLOOKUP(A6697,'[1]ST-QA-ZZ5'!$C$5:$M$299,11,0),"Inspection at production line")</f>
        <v>Inspection at production line</v>
      </c>
    </row>
    <row r="6698" spans="1:4" ht="13.8">
      <c r="A6698" s="47" t="s">
        <v>14090</v>
      </c>
      <c r="B6698" s="92" t="s">
        <v>857</v>
      </c>
      <c r="C6698" s="92" t="s">
        <v>14091</v>
      </c>
      <c r="D6698" s="72" t="str">
        <f>IFERROR(VLOOKUP(A6698,'[1]ST-QA-ZZ5'!$C$5:$M$299,11,0),"Inspection at production line")</f>
        <v>Inspection at production line</v>
      </c>
    </row>
    <row r="6699" spans="1:4" ht="13.8">
      <c r="A6699" s="47" t="s">
        <v>14092</v>
      </c>
      <c r="B6699" s="92" t="s">
        <v>857</v>
      </c>
      <c r="C6699" s="92" t="s">
        <v>14093</v>
      </c>
      <c r="D6699" s="72" t="str">
        <f>IFERROR(VLOOKUP(A6699,'[1]ST-QA-ZZ5'!$C$5:$M$299,11,0),"Inspection at production line")</f>
        <v>Inspection at production line</v>
      </c>
    </row>
    <row r="6700" spans="1:4" ht="13.8">
      <c r="A6700" s="47" t="s">
        <v>14094</v>
      </c>
      <c r="B6700" s="92" t="s">
        <v>9662</v>
      </c>
      <c r="C6700" s="92" t="s">
        <v>9662</v>
      </c>
      <c r="D6700" s="72" t="str">
        <f>IFERROR(VLOOKUP(A6700,'[1]ST-QA-ZZ5'!$C$5:$M$299,11,0),"Inspection at production line")</f>
        <v>Inspection at production line</v>
      </c>
    </row>
    <row r="6701" spans="1:4" ht="13.8">
      <c r="A6701" s="47" t="s">
        <v>14095</v>
      </c>
      <c r="B6701" s="92" t="s">
        <v>14096</v>
      </c>
      <c r="C6701" s="92" t="s">
        <v>14096</v>
      </c>
      <c r="D6701" s="72" t="str">
        <f>IFERROR(VLOOKUP(A6701,'[1]ST-QA-ZZ5'!$C$5:$M$299,11,0),"Inspection at production line")</f>
        <v>Inspection at production line</v>
      </c>
    </row>
    <row r="6702" spans="1:4" ht="13.8">
      <c r="A6702" s="47" t="s">
        <v>14097</v>
      </c>
      <c r="B6702" s="92" t="s">
        <v>555</v>
      </c>
      <c r="C6702" s="92" t="s">
        <v>14098</v>
      </c>
      <c r="D6702" s="72" t="str">
        <f>IFERROR(VLOOKUP(A6702,'[1]ST-QA-ZZ5'!$C$5:$M$299,11,0),"Inspection at production line")</f>
        <v>Inspection at production line</v>
      </c>
    </row>
    <row r="6703" spans="1:4" ht="13.8">
      <c r="A6703" s="47" t="s">
        <v>14099</v>
      </c>
      <c r="B6703" s="92" t="s">
        <v>555</v>
      </c>
      <c r="C6703" s="92" t="s">
        <v>5684</v>
      </c>
      <c r="D6703" s="72" t="str">
        <f>IFERROR(VLOOKUP(A6703,'[1]ST-QA-ZZ5'!$C$5:$M$299,11,0),"Inspection at production line")</f>
        <v>Inspection at production line</v>
      </c>
    </row>
    <row r="6704" spans="1:4" ht="13.8">
      <c r="A6704" s="47" t="s">
        <v>14100</v>
      </c>
      <c r="B6704" s="92" t="s">
        <v>555</v>
      </c>
      <c r="C6704" s="92" t="s">
        <v>14101</v>
      </c>
      <c r="D6704" s="72" t="str">
        <f>IFERROR(VLOOKUP(A6704,'[1]ST-QA-ZZ5'!$C$5:$M$299,11,0),"Inspection at production line")</f>
        <v>Inspection at production line</v>
      </c>
    </row>
    <row r="6705" spans="1:4" ht="13.8">
      <c r="A6705" s="47" t="s">
        <v>14102</v>
      </c>
      <c r="B6705" s="92" t="s">
        <v>555</v>
      </c>
      <c r="C6705" s="92" t="s">
        <v>14103</v>
      </c>
      <c r="D6705" s="72" t="str">
        <f>IFERROR(VLOOKUP(A6705,'[1]ST-QA-ZZ5'!$C$5:$M$299,11,0),"Inspection at production line")</f>
        <v>Inspection at production line</v>
      </c>
    </row>
    <row r="6706" spans="1:4" ht="13.8">
      <c r="A6706" s="47" t="s">
        <v>14104</v>
      </c>
      <c r="B6706" s="92" t="s">
        <v>555</v>
      </c>
      <c r="C6706" s="92" t="s">
        <v>14105</v>
      </c>
      <c r="D6706" s="72" t="str">
        <f>IFERROR(VLOOKUP(A6706,'[1]ST-QA-ZZ5'!$C$5:$M$299,11,0),"Inspection at production line")</f>
        <v>Inspection at production line</v>
      </c>
    </row>
    <row r="6707" spans="1:4" ht="13.8">
      <c r="A6707" s="47" t="s">
        <v>14106</v>
      </c>
      <c r="B6707" s="92" t="s">
        <v>555</v>
      </c>
      <c r="C6707" s="92" t="s">
        <v>14107</v>
      </c>
      <c r="D6707" s="72" t="str">
        <f>IFERROR(VLOOKUP(A6707,'[1]ST-QA-ZZ5'!$C$5:$M$299,11,0),"Inspection at production line")</f>
        <v>Inspection at production line</v>
      </c>
    </row>
    <row r="6708" spans="1:4" ht="13.8">
      <c r="A6708" s="47" t="s">
        <v>14108</v>
      </c>
      <c r="B6708" s="92" t="s">
        <v>174</v>
      </c>
      <c r="C6708" s="92" t="s">
        <v>5371</v>
      </c>
      <c r="D6708" s="72" t="str">
        <f>IFERROR(VLOOKUP(A6708,'[1]ST-QA-ZZ5'!$C$5:$M$299,11,0),"Inspection at production line")</f>
        <v>Inspection at production line</v>
      </c>
    </row>
    <row r="6709" spans="1:4" ht="13.8">
      <c r="A6709" s="47" t="s">
        <v>14109</v>
      </c>
      <c r="B6709" s="92" t="s">
        <v>174</v>
      </c>
      <c r="C6709" s="92" t="s">
        <v>14110</v>
      </c>
      <c r="D6709" s="72" t="str">
        <f>IFERROR(VLOOKUP(A6709,'[1]ST-QA-ZZ5'!$C$5:$M$299,11,0),"Inspection at production line")</f>
        <v>Inspection at production line</v>
      </c>
    </row>
    <row r="6710" spans="1:4" ht="13.8">
      <c r="A6710" s="47" t="s">
        <v>14111</v>
      </c>
      <c r="B6710" s="92" t="s">
        <v>174</v>
      </c>
      <c r="C6710" s="92" t="s">
        <v>14112</v>
      </c>
      <c r="D6710" s="72" t="str">
        <f>IFERROR(VLOOKUP(A6710,'[1]ST-QA-ZZ5'!$C$5:$M$299,11,0),"Inspection at production line")</f>
        <v>Inspection at production line</v>
      </c>
    </row>
    <row r="6711" spans="1:4" ht="13.8">
      <c r="A6711" s="47" t="s">
        <v>14113</v>
      </c>
      <c r="B6711" s="92" t="s">
        <v>1954</v>
      </c>
      <c r="C6711" s="92" t="s">
        <v>9797</v>
      </c>
      <c r="D6711" s="72" t="str">
        <f>IFERROR(VLOOKUP(A6711,'[1]ST-QA-ZZ5'!$C$5:$M$299,11,0),"Inspection at production line")</f>
        <v>Inspection at production line</v>
      </c>
    </row>
    <row r="6712" spans="1:4" ht="13.8">
      <c r="A6712" s="47" t="s">
        <v>14114</v>
      </c>
      <c r="B6712" s="92" t="s">
        <v>1954</v>
      </c>
      <c r="C6712" s="92" t="s">
        <v>9799</v>
      </c>
      <c r="D6712" s="72" t="str">
        <f>IFERROR(VLOOKUP(A6712,'[1]ST-QA-ZZ5'!$C$5:$M$299,11,0),"Inspection at production line")</f>
        <v>Inspection at production line</v>
      </c>
    </row>
    <row r="6713" spans="1:4" ht="13.8">
      <c r="A6713" s="47" t="s">
        <v>14115</v>
      </c>
      <c r="B6713" s="92" t="s">
        <v>1954</v>
      </c>
      <c r="C6713" s="92" t="s">
        <v>14116</v>
      </c>
      <c r="D6713" s="72" t="str">
        <f>IFERROR(VLOOKUP(A6713,'[1]ST-QA-ZZ5'!$C$5:$M$299,11,0),"Inspection at production line")</f>
        <v>Inspection at production line</v>
      </c>
    </row>
    <row r="6714" spans="1:4" ht="13.8">
      <c r="A6714" s="47" t="s">
        <v>14117</v>
      </c>
      <c r="B6714" s="92" t="s">
        <v>1954</v>
      </c>
      <c r="C6714" s="92" t="s">
        <v>9803</v>
      </c>
      <c r="D6714" s="72" t="str">
        <f>IFERROR(VLOOKUP(A6714,'[1]ST-QA-ZZ5'!$C$5:$M$299,11,0),"Inspection at production line")</f>
        <v>Inspection at production line</v>
      </c>
    </row>
    <row r="6715" spans="1:4" ht="13.8">
      <c r="A6715" s="47" t="s">
        <v>14118</v>
      </c>
      <c r="B6715" s="92" t="s">
        <v>1954</v>
      </c>
      <c r="C6715" s="92" t="s">
        <v>9805</v>
      </c>
      <c r="D6715" s="72" t="str">
        <f>IFERROR(VLOOKUP(A6715,'[1]ST-QA-ZZ5'!$C$5:$M$299,11,0),"Inspection at production line")</f>
        <v>Inspection at production line</v>
      </c>
    </row>
    <row r="6716" spans="1:4" ht="13.8">
      <c r="A6716" s="47" t="s">
        <v>14119</v>
      </c>
      <c r="B6716" s="92" t="s">
        <v>1954</v>
      </c>
      <c r="C6716" s="92" t="s">
        <v>14120</v>
      </c>
      <c r="D6716" s="72" t="str">
        <f>IFERROR(VLOOKUP(A6716,'[1]ST-QA-ZZ5'!$C$5:$M$299,11,0),"Inspection at production line")</f>
        <v>Inspection at production line</v>
      </c>
    </row>
    <row r="6717" spans="1:4" ht="13.8">
      <c r="A6717" s="47" t="s">
        <v>14121</v>
      </c>
      <c r="B6717" s="92" t="s">
        <v>1954</v>
      </c>
      <c r="C6717" s="92" t="s">
        <v>9809</v>
      </c>
      <c r="D6717" s="72" t="str">
        <f>IFERROR(VLOOKUP(A6717,'[1]ST-QA-ZZ5'!$C$5:$M$299,11,0),"Inspection at production line")</f>
        <v>Inspection at production line</v>
      </c>
    </row>
    <row r="6718" spans="1:4" ht="13.8">
      <c r="A6718" s="47" t="s">
        <v>14122</v>
      </c>
      <c r="B6718" s="92" t="s">
        <v>1954</v>
      </c>
      <c r="C6718" s="92" t="s">
        <v>9811</v>
      </c>
      <c r="D6718" s="72" t="str">
        <f>IFERROR(VLOOKUP(A6718,'[1]ST-QA-ZZ5'!$C$5:$M$299,11,0),"Inspection at production line")</f>
        <v>Inspection at production line</v>
      </c>
    </row>
    <row r="6719" spans="1:4" ht="13.8">
      <c r="A6719" s="47" t="s">
        <v>14123</v>
      </c>
      <c r="B6719" s="92" t="s">
        <v>1954</v>
      </c>
      <c r="C6719" s="92" t="s">
        <v>9813</v>
      </c>
      <c r="D6719" s="72" t="str">
        <f>IFERROR(VLOOKUP(A6719,'[1]ST-QA-ZZ5'!$C$5:$M$299,11,0),"Inspection at production line")</f>
        <v>Inspection at production line</v>
      </c>
    </row>
    <row r="6720" spans="1:4" ht="13.8">
      <c r="A6720" s="47" t="s">
        <v>14124</v>
      </c>
      <c r="B6720" s="92" t="s">
        <v>1954</v>
      </c>
      <c r="C6720" s="92" t="s">
        <v>5332</v>
      </c>
      <c r="D6720" s="72" t="str">
        <f>IFERROR(VLOOKUP(A6720,'[1]ST-QA-ZZ5'!$C$5:$M$299,11,0),"Inspection at production line")</f>
        <v>Inspection at production line</v>
      </c>
    </row>
    <row r="6721" spans="1:4" ht="13.8">
      <c r="A6721" s="47" t="s">
        <v>14125</v>
      </c>
      <c r="B6721" s="92" t="s">
        <v>1954</v>
      </c>
      <c r="C6721" s="92" t="s">
        <v>9815</v>
      </c>
      <c r="D6721" s="72" t="str">
        <f>IFERROR(VLOOKUP(A6721,'[1]ST-QA-ZZ5'!$C$5:$M$299,11,0),"Inspection at production line")</f>
        <v>Inspection at production line</v>
      </c>
    </row>
    <row r="6722" spans="1:4" ht="13.8">
      <c r="A6722" s="47" t="s">
        <v>14126</v>
      </c>
      <c r="B6722" s="92" t="s">
        <v>1954</v>
      </c>
      <c r="C6722" s="92" t="s">
        <v>9817</v>
      </c>
      <c r="D6722" s="72" t="str">
        <f>IFERROR(VLOOKUP(A6722,'[1]ST-QA-ZZ5'!$C$5:$M$299,11,0),"Inspection at production line")</f>
        <v>Inspection at production line</v>
      </c>
    </row>
    <row r="6723" spans="1:4" ht="13.8">
      <c r="A6723" s="47" t="s">
        <v>14127</v>
      </c>
      <c r="B6723" s="92" t="s">
        <v>1954</v>
      </c>
      <c r="C6723" s="92" t="s">
        <v>14128</v>
      </c>
      <c r="D6723" s="72" t="str">
        <f>IFERROR(VLOOKUP(A6723,'[1]ST-QA-ZZ5'!$C$5:$M$299,11,0),"Inspection at production line")</f>
        <v>Inspection at production line</v>
      </c>
    </row>
    <row r="6724" spans="1:4" ht="13.8">
      <c r="A6724" s="47" t="s">
        <v>14129</v>
      </c>
      <c r="B6724" s="92" t="s">
        <v>1986</v>
      </c>
      <c r="C6724" s="92" t="s">
        <v>14130</v>
      </c>
      <c r="D6724" s="72" t="str">
        <f>IFERROR(VLOOKUP(A6724,'[1]ST-QA-ZZ5'!$C$5:$M$299,11,0),"Inspection at production line")</f>
        <v>Inspection at production line</v>
      </c>
    </row>
    <row r="6725" spans="1:4" ht="13.8">
      <c r="A6725" s="47" t="s">
        <v>14131</v>
      </c>
      <c r="B6725" s="92" t="s">
        <v>9823</v>
      </c>
      <c r="C6725" s="92" t="s">
        <v>9824</v>
      </c>
      <c r="D6725" s="72" t="str">
        <f>IFERROR(VLOOKUP(A6725,'[1]ST-QA-ZZ5'!$C$5:$M$299,11,0),"Inspection at production line")</f>
        <v>Inspection at production line</v>
      </c>
    </row>
    <row r="6726" spans="1:4" ht="13.8">
      <c r="A6726" s="47" t="s">
        <v>14132</v>
      </c>
      <c r="B6726" s="92" t="s">
        <v>1491</v>
      </c>
      <c r="C6726" s="92" t="s">
        <v>9826</v>
      </c>
      <c r="D6726" s="72" t="str">
        <f>IFERROR(VLOOKUP(A6726,'[1]ST-QA-ZZ5'!$C$5:$M$299,11,0),"Inspection at production line")</f>
        <v>Inspection at production line</v>
      </c>
    </row>
    <row r="6727" spans="1:4" ht="13.8">
      <c r="A6727" s="47" t="s">
        <v>14133</v>
      </c>
      <c r="B6727" s="92" t="s">
        <v>404</v>
      </c>
      <c r="C6727" s="92" t="s">
        <v>5389</v>
      </c>
      <c r="D6727" s="72" t="str">
        <f>IFERROR(VLOOKUP(A6727,'[1]ST-QA-ZZ5'!$C$5:$M$299,11,0),"Inspection at production line")</f>
        <v>Inspection at production line</v>
      </c>
    </row>
    <row r="6728" spans="1:4" ht="13.8">
      <c r="A6728" s="47" t="s">
        <v>14134</v>
      </c>
      <c r="B6728" s="92" t="s">
        <v>404</v>
      </c>
      <c r="C6728" s="92" t="s">
        <v>5393</v>
      </c>
      <c r="D6728" s="72" t="str">
        <f>IFERROR(VLOOKUP(A6728,'[1]ST-QA-ZZ5'!$C$5:$M$299,11,0),"Inspection at production line")</f>
        <v>Inspection at production line</v>
      </c>
    </row>
    <row r="6729" spans="1:4" ht="13.8">
      <c r="A6729" s="47" t="s">
        <v>14135</v>
      </c>
      <c r="B6729" s="92" t="s">
        <v>174</v>
      </c>
      <c r="C6729" s="92" t="s">
        <v>9828</v>
      </c>
      <c r="D6729" s="72" t="str">
        <f>IFERROR(VLOOKUP(A6729,'[1]ST-QA-ZZ5'!$C$5:$M$299,11,0),"Inspection at production line")</f>
        <v>Inspection at production line</v>
      </c>
    </row>
    <row r="6730" spans="1:4" ht="13.8">
      <c r="A6730" s="47" t="s">
        <v>14136</v>
      </c>
      <c r="B6730" s="92" t="s">
        <v>404</v>
      </c>
      <c r="C6730" s="92" t="s">
        <v>9830</v>
      </c>
      <c r="D6730" s="72" t="str">
        <f>IFERROR(VLOOKUP(A6730,'[1]ST-QA-ZZ5'!$C$5:$M$299,11,0),"Inspection at production line")</f>
        <v>Inspection at production line</v>
      </c>
    </row>
    <row r="6731" spans="1:4" ht="13.8">
      <c r="A6731" s="47" t="s">
        <v>14137</v>
      </c>
      <c r="B6731" s="92" t="s">
        <v>3454</v>
      </c>
      <c r="C6731" s="92" t="s">
        <v>9832</v>
      </c>
      <c r="D6731" s="72" t="str">
        <f>IFERROR(VLOOKUP(A6731,'[1]ST-QA-ZZ5'!$C$5:$M$299,11,0),"Inspection at production line")</f>
        <v>Inspection at production line</v>
      </c>
    </row>
    <row r="6732" spans="1:4" ht="13.8">
      <c r="A6732" s="47" t="s">
        <v>14138</v>
      </c>
      <c r="B6732" s="92" t="s">
        <v>9834</v>
      </c>
      <c r="C6732" s="92" t="s">
        <v>12747</v>
      </c>
      <c r="D6732" s="72" t="str">
        <f>IFERROR(VLOOKUP(A6732,'[1]ST-QA-ZZ5'!$C$5:$M$299,11,0),"Inspection at production line")</f>
        <v>Inspection at production line</v>
      </c>
    </row>
    <row r="6733" spans="1:4" ht="13.8">
      <c r="A6733" s="47" t="s">
        <v>14139</v>
      </c>
      <c r="B6733" s="92" t="s">
        <v>404</v>
      </c>
      <c r="C6733" s="92" t="s">
        <v>5356</v>
      </c>
      <c r="D6733" s="72" t="str">
        <f>IFERROR(VLOOKUP(A6733,'[1]ST-QA-ZZ5'!$C$5:$M$299,11,0),"Inspection at production line")</f>
        <v>Inspection at production line</v>
      </c>
    </row>
    <row r="6734" spans="1:4" ht="13.8">
      <c r="A6734" s="47" t="s">
        <v>14140</v>
      </c>
      <c r="B6734" s="92" t="s">
        <v>2652</v>
      </c>
      <c r="C6734" s="92" t="s">
        <v>2653</v>
      </c>
      <c r="D6734" s="72" t="str">
        <f>IFERROR(VLOOKUP(A6734,'[1]ST-QA-ZZ5'!$C$5:$M$299,11,0),"Inspection at production line")</f>
        <v>Inspection at production line</v>
      </c>
    </row>
    <row r="6735" spans="1:4" ht="13.8">
      <c r="A6735" s="47" t="s">
        <v>14141</v>
      </c>
      <c r="B6735" s="92" t="s">
        <v>5377</v>
      </c>
      <c r="C6735" s="92" t="s">
        <v>5001</v>
      </c>
      <c r="D6735" s="72" t="str">
        <f>IFERROR(VLOOKUP(A6735,'[1]ST-QA-ZZ5'!$C$5:$M$299,11,0),"Inspection at production line")</f>
        <v>Inspection at production line</v>
      </c>
    </row>
    <row r="6736" spans="1:4" ht="13.8">
      <c r="A6736" s="47" t="s">
        <v>14142</v>
      </c>
      <c r="B6736" s="92" t="s">
        <v>3079</v>
      </c>
      <c r="C6736" s="92" t="s">
        <v>2671</v>
      </c>
      <c r="D6736" s="72" t="str">
        <f>IFERROR(VLOOKUP(A6736,'[1]ST-QA-ZZ5'!$C$5:$M$299,11,0),"Inspection at production line")</f>
        <v>Inspection at production line</v>
      </c>
    </row>
    <row r="6737" spans="1:4" ht="13.8">
      <c r="A6737" s="47" t="s">
        <v>14143</v>
      </c>
      <c r="B6737" s="92" t="s">
        <v>4996</v>
      </c>
      <c r="C6737" s="92" t="s">
        <v>9587</v>
      </c>
      <c r="D6737" s="72" t="str">
        <f>IFERROR(VLOOKUP(A6737,'[1]ST-QA-ZZ5'!$C$5:$M$299,11,0),"Inspection at production line")</f>
        <v>Inspection at production line</v>
      </c>
    </row>
    <row r="6738" spans="1:4" ht="13.8">
      <c r="A6738" s="47" t="s">
        <v>14144</v>
      </c>
      <c r="B6738" s="92" t="s">
        <v>4996</v>
      </c>
      <c r="C6738" s="92" t="s">
        <v>5358</v>
      </c>
      <c r="D6738" s="72" t="str">
        <f>IFERROR(VLOOKUP(A6738,'[1]ST-QA-ZZ5'!$C$5:$M$299,11,0),"Inspection at production line")</f>
        <v>Inspection at production line</v>
      </c>
    </row>
    <row r="6739" spans="1:4" ht="13.8">
      <c r="A6739" s="47" t="s">
        <v>14145</v>
      </c>
      <c r="B6739" s="92" t="s">
        <v>3084</v>
      </c>
      <c r="C6739" s="92" t="s">
        <v>9838</v>
      </c>
      <c r="D6739" s="72" t="str">
        <f>IFERROR(VLOOKUP(A6739,'[1]ST-QA-ZZ5'!$C$5:$M$299,11,0),"Inspection at production line")</f>
        <v>Inspection at production line</v>
      </c>
    </row>
    <row r="6740" spans="1:4" ht="13.8">
      <c r="A6740" s="47" t="s">
        <v>14146</v>
      </c>
      <c r="B6740" s="92" t="s">
        <v>3084</v>
      </c>
      <c r="C6740" s="92" t="s">
        <v>5330</v>
      </c>
      <c r="D6740" s="72" t="str">
        <f>IFERROR(VLOOKUP(A6740,'[1]ST-QA-ZZ5'!$C$5:$M$299,11,0),"Inspection at production line")</f>
        <v>Inspection at production line</v>
      </c>
    </row>
    <row r="6741" spans="1:4" ht="13.8">
      <c r="A6741" s="47" t="s">
        <v>14147</v>
      </c>
      <c r="B6741" s="92" t="s">
        <v>3084</v>
      </c>
      <c r="C6741" s="92" t="s">
        <v>9840</v>
      </c>
      <c r="D6741" s="72" t="str">
        <f>IFERROR(VLOOKUP(A6741,'[1]ST-QA-ZZ5'!$C$5:$M$299,11,0),"Inspection at production line")</f>
        <v>Inspection at production line</v>
      </c>
    </row>
    <row r="6742" spans="1:4" ht="13.8">
      <c r="A6742" s="47" t="s">
        <v>14148</v>
      </c>
      <c r="B6742" s="92" t="s">
        <v>3084</v>
      </c>
      <c r="C6742" s="92" t="s">
        <v>9842</v>
      </c>
      <c r="D6742" s="72" t="str">
        <f>IFERROR(VLOOKUP(A6742,'[1]ST-QA-ZZ5'!$C$5:$M$299,11,0),"Inspection at production line")</f>
        <v>Inspection at production line</v>
      </c>
    </row>
    <row r="6743" spans="1:4" ht="13.8">
      <c r="A6743" s="47" t="s">
        <v>14149</v>
      </c>
      <c r="B6743" s="92" t="s">
        <v>2137</v>
      </c>
      <c r="C6743" s="92" t="s">
        <v>9844</v>
      </c>
      <c r="D6743" s="72" t="str">
        <f>IFERROR(VLOOKUP(A6743,'[1]ST-QA-ZZ5'!$C$5:$M$299,11,0),"Inspection at production line")</f>
        <v>Inspection at production line</v>
      </c>
    </row>
    <row r="6744" spans="1:4" ht="13.8">
      <c r="A6744" s="47" t="s">
        <v>14150</v>
      </c>
      <c r="B6744" s="92" t="s">
        <v>2137</v>
      </c>
      <c r="C6744" s="92" t="s">
        <v>9846</v>
      </c>
      <c r="D6744" s="72" t="str">
        <f>IFERROR(VLOOKUP(A6744,'[1]ST-QA-ZZ5'!$C$5:$M$299,11,0),"Inspection at production line")</f>
        <v>Inspection at production line</v>
      </c>
    </row>
    <row r="6745" spans="1:4" ht="13.8">
      <c r="A6745" s="47" t="s">
        <v>14151</v>
      </c>
      <c r="B6745" s="92" t="s">
        <v>9848</v>
      </c>
      <c r="C6745" s="92" t="s">
        <v>9849</v>
      </c>
      <c r="D6745" s="72" t="str">
        <f>IFERROR(VLOOKUP(A6745,'[1]ST-QA-ZZ5'!$C$5:$M$299,11,0),"Inspection at production line")</f>
        <v>Inspection at production line</v>
      </c>
    </row>
    <row r="6746" spans="1:4" ht="13.8">
      <c r="A6746" s="47" t="s">
        <v>14152</v>
      </c>
      <c r="B6746" s="92" t="s">
        <v>2137</v>
      </c>
      <c r="C6746" s="92" t="s">
        <v>5375</v>
      </c>
      <c r="D6746" s="72" t="str">
        <f>IFERROR(VLOOKUP(A6746,'[1]ST-QA-ZZ5'!$C$5:$M$299,11,0),"Inspection at production line")</f>
        <v>Inspection at production line</v>
      </c>
    </row>
    <row r="6747" spans="1:4" ht="13.8">
      <c r="A6747" s="47" t="s">
        <v>14153</v>
      </c>
      <c r="B6747" s="92" t="s">
        <v>5299</v>
      </c>
      <c r="C6747" s="92" t="s">
        <v>5387</v>
      </c>
      <c r="D6747" s="72" t="str">
        <f>IFERROR(VLOOKUP(A6747,'[1]ST-QA-ZZ5'!$C$5:$M$299,11,0),"Inspection at production line")</f>
        <v>Inspection at production line</v>
      </c>
    </row>
    <row r="6748" spans="1:4" ht="13.8">
      <c r="A6748" s="47" t="s">
        <v>14154</v>
      </c>
      <c r="B6748" s="92" t="s">
        <v>57</v>
      </c>
      <c r="C6748" s="92" t="s">
        <v>9851</v>
      </c>
      <c r="D6748" s="72" t="str">
        <f>IFERROR(VLOOKUP(A6748,'[1]ST-QA-ZZ5'!$C$5:$M$299,11,0),"Inspection at production line")</f>
        <v>Inspection at production line</v>
      </c>
    </row>
    <row r="6749" spans="1:4" ht="13.8">
      <c r="A6749" s="47" t="s">
        <v>14155</v>
      </c>
      <c r="B6749" s="92" t="s">
        <v>9853</v>
      </c>
      <c r="C6749" s="92" t="s">
        <v>9854</v>
      </c>
      <c r="D6749" s="72" t="str">
        <f>IFERROR(VLOOKUP(A6749,'[1]ST-QA-ZZ5'!$C$5:$M$299,11,0),"Inspection at production line")</f>
        <v>Inspection at production line</v>
      </c>
    </row>
    <row r="6750" spans="1:4" ht="13.8">
      <c r="A6750" s="47" t="s">
        <v>14156</v>
      </c>
      <c r="B6750" s="92" t="s">
        <v>9853</v>
      </c>
      <c r="C6750" s="92" t="s">
        <v>9856</v>
      </c>
      <c r="D6750" s="72" t="str">
        <f>IFERROR(VLOOKUP(A6750,'[1]ST-QA-ZZ5'!$C$5:$M$299,11,0),"Inspection at production line")</f>
        <v>Inspection at production line</v>
      </c>
    </row>
    <row r="6751" spans="1:4" ht="13.8">
      <c r="A6751" s="47" t="s">
        <v>14157</v>
      </c>
      <c r="B6751" s="92" t="s">
        <v>9853</v>
      </c>
      <c r="C6751" s="92" t="s">
        <v>9858</v>
      </c>
      <c r="D6751" s="72" t="str">
        <f>IFERROR(VLOOKUP(A6751,'[1]ST-QA-ZZ5'!$C$5:$M$299,11,0),"Inspection at production line")</f>
        <v>Inspection at production line</v>
      </c>
    </row>
    <row r="6752" spans="1:4" ht="13.8">
      <c r="A6752" s="47" t="s">
        <v>14158</v>
      </c>
      <c r="B6752" s="92" t="s">
        <v>3079</v>
      </c>
      <c r="C6752" s="92" t="s">
        <v>9860</v>
      </c>
      <c r="D6752" s="72" t="str">
        <f>IFERROR(VLOOKUP(A6752,'[1]ST-QA-ZZ5'!$C$5:$M$299,11,0),"Inspection at production line")</f>
        <v>Inspection at production line</v>
      </c>
    </row>
    <row r="6753" spans="1:4" ht="13.8">
      <c r="A6753" s="47" t="s">
        <v>14159</v>
      </c>
      <c r="B6753" s="92" t="s">
        <v>3079</v>
      </c>
      <c r="C6753" s="92" t="s">
        <v>9862</v>
      </c>
      <c r="D6753" s="72" t="str">
        <f>IFERROR(VLOOKUP(A6753,'[1]ST-QA-ZZ5'!$C$5:$M$299,11,0),"Inspection at production line")</f>
        <v>Inspection at production line</v>
      </c>
    </row>
    <row r="6754" spans="1:4" ht="13.8">
      <c r="A6754" s="47" t="s">
        <v>14160</v>
      </c>
      <c r="B6754" s="92" t="s">
        <v>2137</v>
      </c>
      <c r="C6754" s="92" t="s">
        <v>9601</v>
      </c>
      <c r="D6754" s="72" t="str">
        <f>IFERROR(VLOOKUP(A6754,'[1]ST-QA-ZZ5'!$C$5:$M$299,11,0),"Inspection at production line")</f>
        <v>Inspection at production line</v>
      </c>
    </row>
    <row r="6755" spans="1:4" ht="13.8">
      <c r="A6755" s="47" t="s">
        <v>14161</v>
      </c>
      <c r="B6755" s="92" t="s">
        <v>3084</v>
      </c>
      <c r="C6755" s="92" t="s">
        <v>9865</v>
      </c>
      <c r="D6755" s="72" t="str">
        <f>IFERROR(VLOOKUP(A6755,'[1]ST-QA-ZZ5'!$C$5:$M$299,11,0),"Inspection at production line")</f>
        <v>Inspection at production line</v>
      </c>
    </row>
    <row r="6756" spans="1:4" ht="13.8">
      <c r="A6756" s="47" t="s">
        <v>14162</v>
      </c>
      <c r="B6756" s="92" t="s">
        <v>9853</v>
      </c>
      <c r="C6756" s="92" t="s">
        <v>9867</v>
      </c>
      <c r="D6756" s="72" t="str">
        <f>IFERROR(VLOOKUP(A6756,'[1]ST-QA-ZZ5'!$C$5:$M$299,11,0),"Inspection at production line")</f>
        <v>Inspection at production line</v>
      </c>
    </row>
    <row r="6757" spans="1:4" ht="13.8">
      <c r="A6757" s="47" t="s">
        <v>14163</v>
      </c>
      <c r="B6757" s="92" t="s">
        <v>828</v>
      </c>
      <c r="C6757" s="92" t="s">
        <v>14164</v>
      </c>
      <c r="D6757" s="72" t="str">
        <f>IFERROR(VLOOKUP(A6757,'[1]ST-QA-ZZ5'!$C$5:$M$299,11,0),"Inspection at production line")</f>
        <v>Inspection at production line</v>
      </c>
    </row>
    <row r="6758" spans="1:4" ht="13.8">
      <c r="A6758" s="47" t="s">
        <v>14165</v>
      </c>
      <c r="B6758" s="92" t="s">
        <v>5343</v>
      </c>
      <c r="C6758" s="92" t="s">
        <v>10029</v>
      </c>
      <c r="D6758" s="72" t="str">
        <f>IFERROR(VLOOKUP(A6758,'[1]ST-QA-ZZ5'!$C$5:$M$299,11,0),"Inspection at production line")</f>
        <v>Inspection at production line</v>
      </c>
    </row>
    <row r="6759" spans="1:4" ht="13.8">
      <c r="A6759" s="47" t="s">
        <v>14166</v>
      </c>
      <c r="B6759" s="92" t="s">
        <v>5343</v>
      </c>
      <c r="C6759" s="92" t="s">
        <v>9871</v>
      </c>
      <c r="D6759" s="72" t="str">
        <f>IFERROR(VLOOKUP(A6759,'[1]ST-QA-ZZ5'!$C$5:$M$299,11,0),"Inspection at production line")</f>
        <v>Inspection at production line</v>
      </c>
    </row>
    <row r="6760" spans="1:4" ht="13.8">
      <c r="A6760" s="47" t="s">
        <v>14167</v>
      </c>
      <c r="B6760" s="92" t="s">
        <v>5343</v>
      </c>
      <c r="C6760" s="92" t="s">
        <v>10031</v>
      </c>
      <c r="D6760" s="72" t="str">
        <f>IFERROR(VLOOKUP(A6760,'[1]ST-QA-ZZ5'!$C$5:$M$299,11,0),"Inspection at production line")</f>
        <v>Inspection at production line</v>
      </c>
    </row>
    <row r="6761" spans="1:4" ht="13.8">
      <c r="A6761" s="47" t="s">
        <v>14168</v>
      </c>
      <c r="B6761" s="92" t="s">
        <v>2137</v>
      </c>
      <c r="C6761" s="92" t="s">
        <v>9873</v>
      </c>
      <c r="D6761" s="72" t="str">
        <f>IFERROR(VLOOKUP(A6761,'[1]ST-QA-ZZ5'!$C$5:$M$299,11,0),"Inspection at production line")</f>
        <v>Inspection at production line</v>
      </c>
    </row>
    <row r="6762" spans="1:4" ht="13.8">
      <c r="A6762" s="47" t="s">
        <v>14169</v>
      </c>
      <c r="B6762" s="92" t="s">
        <v>949</v>
      </c>
      <c r="C6762" s="92" t="s">
        <v>9875</v>
      </c>
      <c r="D6762" s="72" t="str">
        <f>IFERROR(VLOOKUP(A6762,'[1]ST-QA-ZZ5'!$C$5:$M$299,11,0),"Inspection at production line")</f>
        <v>Inspection at production line</v>
      </c>
    </row>
    <row r="6763" spans="1:4" ht="13.8">
      <c r="A6763" s="47" t="s">
        <v>14170</v>
      </c>
      <c r="B6763" s="92" t="s">
        <v>828</v>
      </c>
      <c r="C6763" s="92" t="s">
        <v>14171</v>
      </c>
      <c r="D6763" s="72" t="str">
        <f>IFERROR(VLOOKUP(A6763,'[1]ST-QA-ZZ5'!$C$5:$M$299,11,0),"Inspection at production line")</f>
        <v>Inspection at production line</v>
      </c>
    </row>
    <row r="6764" spans="1:4" ht="13.8">
      <c r="A6764" s="47" t="s">
        <v>14172</v>
      </c>
      <c r="B6764" s="92" t="s">
        <v>9280</v>
      </c>
      <c r="C6764" s="92" t="s">
        <v>9879</v>
      </c>
      <c r="D6764" s="72" t="str">
        <f>IFERROR(VLOOKUP(A6764,'[1]ST-QA-ZZ5'!$C$5:$M$299,11,0),"Inspection at production line")</f>
        <v>Inspection at production line</v>
      </c>
    </row>
    <row r="6765" spans="1:4" ht="13.8">
      <c r="A6765" s="47" t="s">
        <v>14173</v>
      </c>
      <c r="B6765" s="92" t="s">
        <v>6881</v>
      </c>
      <c r="C6765" s="92" t="s">
        <v>9881</v>
      </c>
      <c r="D6765" s="72" t="str">
        <f>IFERROR(VLOOKUP(A6765,'[1]ST-QA-ZZ5'!$C$5:$M$299,11,0),"Inspection at production line")</f>
        <v>Inspection at production line</v>
      </c>
    </row>
    <row r="6766" spans="1:4" ht="13.8">
      <c r="A6766" s="47" t="s">
        <v>14174</v>
      </c>
      <c r="B6766" s="92" t="s">
        <v>9561</v>
      </c>
      <c r="C6766" s="92" t="s">
        <v>9883</v>
      </c>
      <c r="D6766" s="72" t="str">
        <f>IFERROR(VLOOKUP(A6766,'[1]ST-QA-ZZ5'!$C$5:$M$299,11,0),"Inspection at production line")</f>
        <v>Inspection at production line</v>
      </c>
    </row>
    <row r="6767" spans="1:4" ht="13.8">
      <c r="A6767" s="47" t="s">
        <v>14175</v>
      </c>
      <c r="B6767" s="92" t="s">
        <v>5299</v>
      </c>
      <c r="C6767" s="92" t="s">
        <v>14176</v>
      </c>
      <c r="D6767" s="72" t="str">
        <f>IFERROR(VLOOKUP(A6767,'[1]ST-QA-ZZ5'!$C$5:$M$299,11,0),"Inspection at production line")</f>
        <v>Inspection at production line</v>
      </c>
    </row>
    <row r="6768" spans="1:4" ht="13.8">
      <c r="A6768" s="47" t="s">
        <v>14177</v>
      </c>
      <c r="B6768" s="92" t="s">
        <v>5299</v>
      </c>
      <c r="C6768" s="92" t="s">
        <v>9885</v>
      </c>
      <c r="D6768" s="72" t="str">
        <f>IFERROR(VLOOKUP(A6768,'[1]ST-QA-ZZ5'!$C$5:$M$299,11,0),"Inspection at production line")</f>
        <v>Inspection at production line</v>
      </c>
    </row>
    <row r="6769" spans="1:4" ht="13.8">
      <c r="A6769" s="47" t="s">
        <v>14178</v>
      </c>
      <c r="B6769" s="92" t="s">
        <v>9887</v>
      </c>
      <c r="C6769" s="92" t="s">
        <v>9888</v>
      </c>
      <c r="D6769" s="72" t="str">
        <f>IFERROR(VLOOKUP(A6769,'[1]ST-QA-ZZ5'!$C$5:$M$299,11,0),"Inspection at production line")</f>
        <v>Inspection at production line</v>
      </c>
    </row>
    <row r="6770" spans="1:4" ht="13.8">
      <c r="A6770" s="47" t="s">
        <v>14179</v>
      </c>
      <c r="B6770" s="92" t="s">
        <v>9887</v>
      </c>
      <c r="C6770" s="92" t="s">
        <v>9890</v>
      </c>
      <c r="D6770" s="72" t="str">
        <f>IFERROR(VLOOKUP(A6770,'[1]ST-QA-ZZ5'!$C$5:$M$299,11,0),"Inspection at production line")</f>
        <v>Inspection at production line</v>
      </c>
    </row>
    <row r="6771" spans="1:4" ht="13.8">
      <c r="A6771" s="47" t="s">
        <v>14180</v>
      </c>
      <c r="B6771" s="92" t="s">
        <v>5299</v>
      </c>
      <c r="C6771" s="92" t="s">
        <v>9892</v>
      </c>
      <c r="D6771" s="72" t="str">
        <f>IFERROR(VLOOKUP(A6771,'[1]ST-QA-ZZ5'!$C$5:$M$299,11,0),"Inspection at production line")</f>
        <v>Inspection at production line</v>
      </c>
    </row>
    <row r="6772" spans="1:4" ht="13.8">
      <c r="A6772" s="47" t="s">
        <v>14181</v>
      </c>
      <c r="B6772" s="92" t="s">
        <v>828</v>
      </c>
      <c r="C6772" s="92" t="s">
        <v>14182</v>
      </c>
      <c r="D6772" s="72" t="str">
        <f>IFERROR(VLOOKUP(A6772,'[1]ST-QA-ZZ5'!$C$5:$M$299,11,0),"Inspection at production line")</f>
        <v>Inspection at production line</v>
      </c>
    </row>
    <row r="6773" spans="1:4" ht="13.8">
      <c r="A6773" s="47" t="s">
        <v>14183</v>
      </c>
      <c r="B6773" s="92" t="s">
        <v>2653</v>
      </c>
      <c r="C6773" s="92" t="s">
        <v>9896</v>
      </c>
      <c r="D6773" s="72" t="str">
        <f>IFERROR(VLOOKUP(A6773,'[1]ST-QA-ZZ5'!$C$5:$M$299,11,0),"Inspection at production line")</f>
        <v>Inspection at production line</v>
      </c>
    </row>
    <row r="6774" spans="1:4" ht="13.8">
      <c r="A6774" s="47" t="s">
        <v>14184</v>
      </c>
      <c r="B6774" s="92" t="s">
        <v>2653</v>
      </c>
      <c r="C6774" s="92" t="s">
        <v>9898</v>
      </c>
      <c r="D6774" s="72" t="str">
        <f>IFERROR(VLOOKUP(A6774,'[1]ST-QA-ZZ5'!$C$5:$M$299,11,0),"Inspection at production line")</f>
        <v>Inspection at production line</v>
      </c>
    </row>
    <row r="6775" spans="1:4" ht="13.8">
      <c r="A6775" s="47" t="s">
        <v>14185</v>
      </c>
      <c r="B6775" s="92" t="s">
        <v>2653</v>
      </c>
      <c r="C6775" s="92" t="s">
        <v>14186</v>
      </c>
      <c r="D6775" s="72" t="str">
        <f>IFERROR(VLOOKUP(A6775,'[1]ST-QA-ZZ5'!$C$5:$M$299,11,0),"Inspection at production line")</f>
        <v>Inspection at production line</v>
      </c>
    </row>
    <row r="6776" spans="1:4" ht="13.8">
      <c r="A6776" s="47" t="s">
        <v>14187</v>
      </c>
      <c r="B6776" s="92" t="s">
        <v>7914</v>
      </c>
      <c r="C6776" s="92" t="s">
        <v>9902</v>
      </c>
      <c r="D6776" s="72" t="str">
        <f>IFERROR(VLOOKUP(A6776,'[1]ST-QA-ZZ5'!$C$5:$M$299,11,0),"Inspection at production line")</f>
        <v>Inspection at production line</v>
      </c>
    </row>
    <row r="6777" spans="1:4" ht="13.8">
      <c r="A6777" s="47" t="s">
        <v>14188</v>
      </c>
      <c r="B6777" s="92" t="s">
        <v>7914</v>
      </c>
      <c r="C6777" s="92" t="s">
        <v>14189</v>
      </c>
      <c r="D6777" s="72" t="str">
        <f>IFERROR(VLOOKUP(A6777,'[1]ST-QA-ZZ5'!$C$5:$M$299,11,0),"Inspection at production line")</f>
        <v>Inspection at production line</v>
      </c>
    </row>
    <row r="6778" spans="1:4" ht="13.8">
      <c r="A6778" s="47" t="s">
        <v>14190</v>
      </c>
      <c r="B6778" s="92" t="s">
        <v>6870</v>
      </c>
      <c r="C6778" s="92" t="s">
        <v>14191</v>
      </c>
      <c r="D6778" s="72" t="str">
        <f>IFERROR(VLOOKUP(A6778,'[1]ST-QA-ZZ5'!$C$5:$M$299,11,0),"Inspection at production line")</f>
        <v>Inspection at production line</v>
      </c>
    </row>
    <row r="6779" spans="1:4" ht="13.8">
      <c r="A6779" s="47" t="s">
        <v>14192</v>
      </c>
      <c r="B6779" s="92" t="s">
        <v>6870</v>
      </c>
      <c r="C6779" s="92" t="s">
        <v>14193</v>
      </c>
      <c r="D6779" s="72" t="str">
        <f>IFERROR(VLOOKUP(A6779,'[1]ST-QA-ZZ5'!$C$5:$M$299,11,0),"Inspection at production line")</f>
        <v>Inspection at production line</v>
      </c>
    </row>
    <row r="6780" spans="1:4" ht="13.8">
      <c r="A6780" s="47" t="s">
        <v>14194</v>
      </c>
      <c r="B6780" s="92" t="s">
        <v>7914</v>
      </c>
      <c r="C6780" s="92" t="s">
        <v>14195</v>
      </c>
      <c r="D6780" s="72" t="str">
        <f>IFERROR(VLOOKUP(A6780,'[1]ST-QA-ZZ5'!$C$5:$M$299,11,0),"Inspection at production line")</f>
        <v>Inspection at production line</v>
      </c>
    </row>
    <row r="6781" spans="1:4" ht="13.8">
      <c r="A6781" s="47" t="s">
        <v>14196</v>
      </c>
      <c r="B6781" s="92" t="s">
        <v>6870</v>
      </c>
      <c r="C6781" s="92" t="s">
        <v>14197</v>
      </c>
      <c r="D6781" s="72" t="str">
        <f>IFERROR(VLOOKUP(A6781,'[1]ST-QA-ZZ5'!$C$5:$M$299,11,0),"Inspection at production line")</f>
        <v>Inspection at production line</v>
      </c>
    </row>
    <row r="6782" spans="1:4" ht="13.8">
      <c r="A6782" s="47" t="s">
        <v>14198</v>
      </c>
      <c r="B6782" s="92" t="s">
        <v>7914</v>
      </c>
      <c r="C6782" s="92" t="s">
        <v>14199</v>
      </c>
      <c r="D6782" s="72" t="str">
        <f>IFERROR(VLOOKUP(A6782,'[1]ST-QA-ZZ5'!$C$5:$M$299,11,0),"Inspection at production line")</f>
        <v>Inspection at production line</v>
      </c>
    </row>
    <row r="6783" spans="1:4" ht="13.8">
      <c r="A6783" s="47" t="s">
        <v>14200</v>
      </c>
      <c r="B6783" s="92" t="s">
        <v>7914</v>
      </c>
      <c r="C6783" s="92" t="s">
        <v>14201</v>
      </c>
      <c r="D6783" s="72" t="str">
        <f>IFERROR(VLOOKUP(A6783,'[1]ST-QA-ZZ5'!$C$5:$M$299,11,0),"Inspection at production line")</f>
        <v>Inspection at production line</v>
      </c>
    </row>
    <row r="6784" spans="1:4" ht="13.8">
      <c r="A6784" s="47" t="s">
        <v>14202</v>
      </c>
      <c r="B6784" s="92" t="s">
        <v>6870</v>
      </c>
      <c r="C6784" s="92" t="s">
        <v>14203</v>
      </c>
      <c r="D6784" s="72" t="str">
        <f>IFERROR(VLOOKUP(A6784,'[1]ST-QA-ZZ5'!$C$5:$M$299,11,0),"Inspection at production line")</f>
        <v>Inspection at production line</v>
      </c>
    </row>
    <row r="6785" spans="1:4" ht="13.8">
      <c r="A6785" s="47" t="s">
        <v>14204</v>
      </c>
      <c r="B6785" s="92" t="s">
        <v>6870</v>
      </c>
      <c r="C6785" s="92" t="s">
        <v>14205</v>
      </c>
      <c r="D6785" s="72" t="str">
        <f>IFERROR(VLOOKUP(A6785,'[1]ST-QA-ZZ5'!$C$5:$M$299,11,0),"Inspection at production line")</f>
        <v>Inspection at production line</v>
      </c>
    </row>
    <row r="6786" spans="1:4" ht="13.8">
      <c r="A6786" s="47" t="s">
        <v>14206</v>
      </c>
      <c r="B6786" s="92" t="s">
        <v>7914</v>
      </c>
      <c r="C6786" s="92" t="s">
        <v>14207</v>
      </c>
      <c r="D6786" s="72" t="str">
        <f>IFERROR(VLOOKUP(A6786,'[1]ST-QA-ZZ5'!$C$5:$M$299,11,0),"Inspection at production line")</f>
        <v>Inspection at production line</v>
      </c>
    </row>
    <row r="6787" spans="1:4" ht="13.8">
      <c r="A6787" s="47" t="s">
        <v>14208</v>
      </c>
      <c r="B6787" s="92" t="s">
        <v>7914</v>
      </c>
      <c r="C6787" s="92" t="s">
        <v>14209</v>
      </c>
      <c r="D6787" s="72" t="str">
        <f>IFERROR(VLOOKUP(A6787,'[1]ST-QA-ZZ5'!$C$5:$M$299,11,0),"Inspection at production line")</f>
        <v>Inspection at production line</v>
      </c>
    </row>
    <row r="6788" spans="1:4" ht="13.8">
      <c r="A6788" s="47" t="s">
        <v>14210</v>
      </c>
      <c r="B6788" s="92" t="s">
        <v>7914</v>
      </c>
      <c r="C6788" s="92" t="s">
        <v>9926</v>
      </c>
      <c r="D6788" s="72" t="str">
        <f>IFERROR(VLOOKUP(A6788,'[1]ST-QA-ZZ5'!$C$5:$M$299,11,0),"Inspection at production line")</f>
        <v>Inspection at production line</v>
      </c>
    </row>
    <row r="6789" spans="1:4" ht="13.8">
      <c r="A6789" s="47" t="s">
        <v>14211</v>
      </c>
      <c r="B6789" s="92" t="s">
        <v>6870</v>
      </c>
      <c r="C6789" s="92" t="s">
        <v>14205</v>
      </c>
      <c r="D6789" s="72" t="str">
        <f>IFERROR(VLOOKUP(A6789,'[1]ST-QA-ZZ5'!$C$5:$M$299,11,0),"Inspection at production line")</f>
        <v>Inspection at production line</v>
      </c>
    </row>
    <row r="6790" spans="1:4" ht="13.8">
      <c r="A6790" s="47" t="s">
        <v>14212</v>
      </c>
      <c r="B6790" s="92" t="s">
        <v>7914</v>
      </c>
      <c r="C6790" s="92" t="s">
        <v>9930</v>
      </c>
      <c r="D6790" s="72" t="str">
        <f>IFERROR(VLOOKUP(A6790,'[1]ST-QA-ZZ5'!$C$5:$M$299,11,0),"Inspection at production line")</f>
        <v>Inspection at production line</v>
      </c>
    </row>
    <row r="6791" spans="1:4" ht="13.8">
      <c r="A6791" s="47" t="s">
        <v>14213</v>
      </c>
      <c r="B6791" s="92" t="s">
        <v>7914</v>
      </c>
      <c r="C6791" s="92" t="s">
        <v>9932</v>
      </c>
      <c r="D6791" s="72" t="str">
        <f>IFERROR(VLOOKUP(A6791,'[1]ST-QA-ZZ5'!$C$5:$M$299,11,0),"Inspection at production line")</f>
        <v>Inspection at production line</v>
      </c>
    </row>
    <row r="6792" spans="1:4" ht="13.8">
      <c r="A6792" s="47" t="s">
        <v>14214</v>
      </c>
      <c r="B6792" s="92" t="s">
        <v>7914</v>
      </c>
      <c r="C6792" s="92" t="s">
        <v>14215</v>
      </c>
      <c r="D6792" s="72" t="str">
        <f>IFERROR(VLOOKUP(A6792,'[1]ST-QA-ZZ5'!$C$5:$M$299,11,0),"Inspection at production line")</f>
        <v>Inspection at production line</v>
      </c>
    </row>
    <row r="6793" spans="1:4" ht="13.8">
      <c r="A6793" s="47" t="s">
        <v>14216</v>
      </c>
      <c r="B6793" s="92" t="s">
        <v>7914</v>
      </c>
      <c r="C6793" s="92" t="s">
        <v>14046</v>
      </c>
      <c r="D6793" s="72" t="str">
        <f>IFERROR(VLOOKUP(A6793,'[1]ST-QA-ZZ5'!$C$5:$M$299,11,0),"Inspection at production line")</f>
        <v>Inspection at production line</v>
      </c>
    </row>
    <row r="6794" spans="1:4" ht="13.8">
      <c r="A6794" s="47" t="s">
        <v>14217</v>
      </c>
      <c r="B6794" s="92" t="s">
        <v>7914</v>
      </c>
      <c r="C6794" s="92" t="s">
        <v>14218</v>
      </c>
      <c r="D6794" s="72" t="str">
        <f>IFERROR(VLOOKUP(A6794,'[1]ST-QA-ZZ5'!$C$5:$M$299,11,0),"Inspection at production line")</f>
        <v>Inspection at production line</v>
      </c>
    </row>
    <row r="6795" spans="1:4" ht="13.8">
      <c r="A6795" s="47" t="s">
        <v>14219</v>
      </c>
      <c r="B6795" s="92" t="s">
        <v>7914</v>
      </c>
      <c r="C6795" s="92" t="s">
        <v>9940</v>
      </c>
      <c r="D6795" s="72" t="str">
        <f>IFERROR(VLOOKUP(A6795,'[1]ST-QA-ZZ5'!$C$5:$M$299,11,0),"Inspection at production line")</f>
        <v>Inspection at production line</v>
      </c>
    </row>
    <row r="6796" spans="1:4" ht="13.8">
      <c r="A6796" s="47" t="s">
        <v>14220</v>
      </c>
      <c r="B6796" s="92" t="s">
        <v>7914</v>
      </c>
      <c r="C6796" s="92" t="s">
        <v>9688</v>
      </c>
      <c r="D6796" s="72" t="str">
        <f>IFERROR(VLOOKUP(A6796,'[1]ST-QA-ZZ5'!$C$5:$M$299,11,0),"Inspection at production line")</f>
        <v>Inspection at production line</v>
      </c>
    </row>
    <row r="6797" spans="1:4" ht="13.8">
      <c r="A6797" s="47" t="s">
        <v>14221</v>
      </c>
      <c r="B6797" s="92" t="s">
        <v>7914</v>
      </c>
      <c r="C6797" s="92" t="s">
        <v>14222</v>
      </c>
      <c r="D6797" s="72" t="str">
        <f>IFERROR(VLOOKUP(A6797,'[1]ST-QA-ZZ5'!$C$5:$M$299,11,0),"Inspection at production line")</f>
        <v>Inspection at production line</v>
      </c>
    </row>
    <row r="6798" spans="1:4" ht="13.8">
      <c r="A6798" s="47" t="s">
        <v>14223</v>
      </c>
      <c r="B6798" s="92" t="s">
        <v>7914</v>
      </c>
      <c r="C6798" s="92" t="s">
        <v>9692</v>
      </c>
      <c r="D6798" s="72" t="str">
        <f>IFERROR(VLOOKUP(A6798,'[1]ST-QA-ZZ5'!$C$5:$M$299,11,0),"Inspection at production line")</f>
        <v>Inspection at production line</v>
      </c>
    </row>
    <row r="6799" spans="1:4" ht="13.8">
      <c r="A6799" s="47" t="s">
        <v>14224</v>
      </c>
      <c r="B6799" s="92" t="s">
        <v>7914</v>
      </c>
      <c r="C6799" s="92" t="s">
        <v>14225</v>
      </c>
      <c r="D6799" s="72" t="str">
        <f>IFERROR(VLOOKUP(A6799,'[1]ST-QA-ZZ5'!$C$5:$M$299,11,0),"Inspection at production line")</f>
        <v>Inspection at production line</v>
      </c>
    </row>
    <row r="6800" spans="1:4" ht="13.8">
      <c r="A6800" s="47" t="s">
        <v>14226</v>
      </c>
      <c r="B6800" s="92" t="s">
        <v>7914</v>
      </c>
      <c r="C6800" s="92" t="s">
        <v>14227</v>
      </c>
      <c r="D6800" s="72" t="str">
        <f>IFERROR(VLOOKUP(A6800,'[1]ST-QA-ZZ5'!$C$5:$M$299,11,0),"Inspection at production line")</f>
        <v>Inspection at production line</v>
      </c>
    </row>
    <row r="6801" spans="1:4" ht="13.8">
      <c r="A6801" s="47" t="s">
        <v>14228</v>
      </c>
      <c r="B6801" s="92" t="s">
        <v>9645</v>
      </c>
      <c r="C6801" s="92" t="s">
        <v>9646</v>
      </c>
      <c r="D6801" s="72" t="str">
        <f>IFERROR(VLOOKUP(A6801,'[1]ST-QA-ZZ5'!$C$5:$M$299,11,0),"Inspection at production line")</f>
        <v>Inspection at production line</v>
      </c>
    </row>
    <row r="6802" spans="1:4" ht="13.8">
      <c r="A6802" s="47" t="s">
        <v>14229</v>
      </c>
      <c r="B6802" s="92" t="s">
        <v>9958</v>
      </c>
      <c r="C6802" s="92" t="s">
        <v>9959</v>
      </c>
      <c r="D6802" s="72" t="str">
        <f>IFERROR(VLOOKUP(A6802,'[1]ST-QA-ZZ5'!$C$5:$M$299,11,0),"Inspection at production line")</f>
        <v>Inspection at production line</v>
      </c>
    </row>
    <row r="6803" spans="1:4" ht="13.8">
      <c r="A6803" s="47" t="s">
        <v>14230</v>
      </c>
      <c r="B6803" s="92" t="s">
        <v>3002</v>
      </c>
      <c r="C6803" s="92" t="s">
        <v>9961</v>
      </c>
      <c r="D6803" s="72" t="str">
        <f>IFERROR(VLOOKUP(A6803,'[1]ST-QA-ZZ5'!$C$5:$M$299,11,0),"Inspection at production line")</f>
        <v>Inspection at production line</v>
      </c>
    </row>
    <row r="6804" spans="1:4" ht="13.8">
      <c r="A6804" s="47" t="s">
        <v>14231</v>
      </c>
      <c r="B6804" s="92" t="s">
        <v>3002</v>
      </c>
      <c r="C6804" s="92" t="s">
        <v>9963</v>
      </c>
      <c r="D6804" s="72" t="str">
        <f>IFERROR(VLOOKUP(A6804,'[1]ST-QA-ZZ5'!$C$5:$M$299,11,0),"Inspection at production line")</f>
        <v>Inspection at production line</v>
      </c>
    </row>
    <row r="6805" spans="1:4" ht="13.8">
      <c r="A6805" s="47" t="s">
        <v>14232</v>
      </c>
      <c r="B6805" s="92" t="s">
        <v>2464</v>
      </c>
      <c r="C6805" s="92" t="s">
        <v>2469</v>
      </c>
      <c r="D6805" s="72" t="str">
        <f>IFERROR(VLOOKUP(A6805,'[1]ST-QA-ZZ5'!$C$5:$M$299,11,0),"Inspection at production line")</f>
        <v>Inspection at production line</v>
      </c>
    </row>
    <row r="6806" spans="1:4" ht="13.8">
      <c r="A6806" s="47" t="s">
        <v>14233</v>
      </c>
      <c r="B6806" s="92" t="s">
        <v>1212</v>
      </c>
      <c r="C6806" s="92" t="s">
        <v>1983</v>
      </c>
      <c r="D6806" s="72" t="str">
        <f>IFERROR(VLOOKUP(A6806,'[1]ST-QA-ZZ5'!$C$5:$M$299,11,0),"Inspection at production line")</f>
        <v>Inspection at production line</v>
      </c>
    </row>
    <row r="6807" spans="1:4" ht="13.8">
      <c r="A6807" s="47" t="s">
        <v>14234</v>
      </c>
      <c r="B6807" s="92" t="s">
        <v>14235</v>
      </c>
      <c r="C6807" s="92" t="s">
        <v>14236</v>
      </c>
      <c r="D6807" s="72" t="str">
        <f>IFERROR(VLOOKUP(A6807,'[1]ST-QA-ZZ5'!$C$5:$M$299,11,0),"Inspection at production line")</f>
        <v>Inspection at production line</v>
      </c>
    </row>
    <row r="6808" spans="1:4" ht="13.8">
      <c r="A6808" s="47" t="s">
        <v>14237</v>
      </c>
      <c r="B6808" s="92" t="s">
        <v>857</v>
      </c>
      <c r="C6808" s="92" t="s">
        <v>14238</v>
      </c>
      <c r="D6808" s="72" t="str">
        <f>IFERROR(VLOOKUP(A6808,'[1]ST-QA-ZZ5'!$C$5:$M$299,11,0),"Inspection at production line")</f>
        <v>Inspection at production line</v>
      </c>
    </row>
    <row r="6809" spans="1:4" ht="13.8">
      <c r="A6809" s="47" t="s">
        <v>14239</v>
      </c>
      <c r="B6809" s="92" t="s">
        <v>857</v>
      </c>
      <c r="C6809" s="92" t="s">
        <v>14240</v>
      </c>
      <c r="D6809" s="72" t="str">
        <f>IFERROR(VLOOKUP(A6809,'[1]ST-QA-ZZ5'!$C$5:$M$299,11,0),"Inspection at production line")</f>
        <v>Inspection at production line</v>
      </c>
    </row>
    <row r="6810" spans="1:4" ht="13.8">
      <c r="A6810" s="47" t="s">
        <v>14241</v>
      </c>
      <c r="B6810" s="92" t="s">
        <v>857</v>
      </c>
      <c r="C6810" s="92" t="s">
        <v>14242</v>
      </c>
      <c r="D6810" s="72" t="str">
        <f>IFERROR(VLOOKUP(A6810,'[1]ST-QA-ZZ5'!$C$5:$M$299,11,0),"Inspection at production line")</f>
        <v>Inspection at production line</v>
      </c>
    </row>
    <row r="6811" spans="1:4" ht="13.8">
      <c r="A6811" s="47" t="s">
        <v>14243</v>
      </c>
      <c r="B6811" s="92" t="s">
        <v>857</v>
      </c>
      <c r="C6811" s="92" t="s">
        <v>14244</v>
      </c>
      <c r="D6811" s="72" t="str">
        <f>IFERROR(VLOOKUP(A6811,'[1]ST-QA-ZZ5'!$C$5:$M$299,11,0),"Inspection at production line")</f>
        <v>Inspection at production line</v>
      </c>
    </row>
    <row r="6812" spans="1:4" ht="13.8">
      <c r="A6812" s="47" t="s">
        <v>14245</v>
      </c>
      <c r="B6812" s="92" t="s">
        <v>857</v>
      </c>
      <c r="C6812" s="92" t="s">
        <v>14246</v>
      </c>
      <c r="D6812" s="72" t="str">
        <f>IFERROR(VLOOKUP(A6812,'[1]ST-QA-ZZ5'!$C$5:$M$299,11,0),"Inspection at production line")</f>
        <v>Inspection at production line</v>
      </c>
    </row>
    <row r="6813" spans="1:4" ht="13.8">
      <c r="A6813" s="47" t="s">
        <v>14247</v>
      </c>
      <c r="B6813" s="92" t="s">
        <v>857</v>
      </c>
      <c r="C6813" s="92" t="s">
        <v>14248</v>
      </c>
      <c r="D6813" s="72" t="str">
        <f>IFERROR(VLOOKUP(A6813,'[1]ST-QA-ZZ5'!$C$5:$M$299,11,0),"Inspection at production line")</f>
        <v>Inspection at production line</v>
      </c>
    </row>
    <row r="6814" spans="1:4" ht="13.8">
      <c r="A6814" s="47" t="s">
        <v>14249</v>
      </c>
      <c r="B6814" s="92" t="s">
        <v>857</v>
      </c>
      <c r="C6814" s="92" t="s">
        <v>14250</v>
      </c>
      <c r="D6814" s="72" t="str">
        <f>IFERROR(VLOOKUP(A6814,'[1]ST-QA-ZZ5'!$C$5:$M$299,11,0),"Inspection at production line")</f>
        <v>Inspection at production line</v>
      </c>
    </row>
    <row r="6815" spans="1:4" ht="13.8">
      <c r="A6815" s="47" t="s">
        <v>14251</v>
      </c>
      <c r="B6815" s="92" t="s">
        <v>857</v>
      </c>
      <c r="C6815" s="92" t="s">
        <v>14252</v>
      </c>
      <c r="D6815" s="72" t="str">
        <f>IFERROR(VLOOKUP(A6815,'[1]ST-QA-ZZ5'!$C$5:$M$299,11,0),"Inspection at production line")</f>
        <v>Inspection at production line</v>
      </c>
    </row>
    <row r="6816" spans="1:4" ht="13.8">
      <c r="A6816" s="47" t="s">
        <v>14253</v>
      </c>
      <c r="B6816" s="92" t="s">
        <v>857</v>
      </c>
      <c r="C6816" s="92" t="s">
        <v>14254</v>
      </c>
      <c r="D6816" s="72" t="str">
        <f>IFERROR(VLOOKUP(A6816,'[1]ST-QA-ZZ5'!$C$5:$M$299,11,0),"Inspection at production line")</f>
        <v>Inspection at production line</v>
      </c>
    </row>
    <row r="6817" spans="1:4" ht="13.8">
      <c r="A6817" s="47" t="s">
        <v>14255</v>
      </c>
      <c r="B6817" s="92" t="s">
        <v>857</v>
      </c>
      <c r="C6817" s="92" t="s">
        <v>14256</v>
      </c>
      <c r="D6817" s="72" t="str">
        <f>IFERROR(VLOOKUP(A6817,'[1]ST-QA-ZZ5'!$C$5:$M$299,11,0),"Inspection at production line")</f>
        <v>Inspection at production line</v>
      </c>
    </row>
    <row r="6818" spans="1:4" ht="13.8">
      <c r="A6818" s="47" t="s">
        <v>14257</v>
      </c>
      <c r="B6818" s="92" t="s">
        <v>857</v>
      </c>
      <c r="C6818" s="92" t="s">
        <v>14258</v>
      </c>
      <c r="D6818" s="72" t="str">
        <f>IFERROR(VLOOKUP(A6818,'[1]ST-QA-ZZ5'!$C$5:$M$299,11,0),"Inspection at production line")</f>
        <v>Inspection at production line</v>
      </c>
    </row>
    <row r="6819" spans="1:4" ht="13.8">
      <c r="A6819" s="47" t="s">
        <v>14259</v>
      </c>
      <c r="B6819" s="92" t="s">
        <v>857</v>
      </c>
      <c r="C6819" s="92" t="s">
        <v>14260</v>
      </c>
      <c r="D6819" s="72" t="str">
        <f>IFERROR(VLOOKUP(A6819,'[1]ST-QA-ZZ5'!$C$5:$M$299,11,0),"Inspection at production line")</f>
        <v>Inspection at production line</v>
      </c>
    </row>
    <row r="6820" spans="1:4" ht="13.8">
      <c r="A6820" s="47" t="s">
        <v>14261</v>
      </c>
      <c r="B6820" s="92" t="s">
        <v>857</v>
      </c>
      <c r="C6820" s="92" t="s">
        <v>14262</v>
      </c>
      <c r="D6820" s="72" t="str">
        <f>IFERROR(VLOOKUP(A6820,'[1]ST-QA-ZZ5'!$C$5:$M$299,11,0),"Inspection at production line")</f>
        <v>Inspection at production line</v>
      </c>
    </row>
    <row r="6821" spans="1:4" ht="13.8">
      <c r="A6821" s="47" t="s">
        <v>14263</v>
      </c>
      <c r="B6821" s="92" t="s">
        <v>857</v>
      </c>
      <c r="C6821" s="92" t="s">
        <v>14264</v>
      </c>
      <c r="D6821" s="72" t="str">
        <f>IFERROR(VLOOKUP(A6821,'[1]ST-QA-ZZ5'!$C$5:$M$299,11,0),"Inspection at production line")</f>
        <v>Inspection at production line</v>
      </c>
    </row>
    <row r="6822" spans="1:4" ht="13.8">
      <c r="A6822" s="47" t="s">
        <v>14265</v>
      </c>
      <c r="B6822" s="92" t="s">
        <v>857</v>
      </c>
      <c r="C6822" s="92" t="s">
        <v>14266</v>
      </c>
      <c r="D6822" s="72" t="str">
        <f>IFERROR(VLOOKUP(A6822,'[1]ST-QA-ZZ5'!$C$5:$M$299,11,0),"Inspection at production line")</f>
        <v>Inspection at production line</v>
      </c>
    </row>
    <row r="6823" spans="1:4" ht="13.8">
      <c r="A6823" s="47" t="s">
        <v>14267</v>
      </c>
      <c r="B6823" s="92" t="s">
        <v>857</v>
      </c>
      <c r="C6823" s="92" t="s">
        <v>14268</v>
      </c>
      <c r="D6823" s="72" t="str">
        <f>IFERROR(VLOOKUP(A6823,'[1]ST-QA-ZZ5'!$C$5:$M$299,11,0),"Inspection at production line")</f>
        <v>Inspection at production line</v>
      </c>
    </row>
    <row r="6824" spans="1:4" ht="13.8">
      <c r="A6824" s="47" t="s">
        <v>14269</v>
      </c>
      <c r="B6824" s="92" t="s">
        <v>857</v>
      </c>
      <c r="C6824" s="92" t="s">
        <v>14270</v>
      </c>
      <c r="D6824" s="72" t="str">
        <f>IFERROR(VLOOKUP(A6824,'[1]ST-QA-ZZ5'!$C$5:$M$299,11,0),"Inspection at production line")</f>
        <v>Inspection at production line</v>
      </c>
    </row>
    <row r="6825" spans="1:4" ht="13.8">
      <c r="A6825" s="47" t="s">
        <v>14271</v>
      </c>
      <c r="B6825" s="92" t="s">
        <v>857</v>
      </c>
      <c r="C6825" s="92" t="s">
        <v>14272</v>
      </c>
      <c r="D6825" s="72" t="str">
        <f>IFERROR(VLOOKUP(A6825,'[1]ST-QA-ZZ5'!$C$5:$M$299,11,0),"Inspection at production line")</f>
        <v>Inspection at production line</v>
      </c>
    </row>
    <row r="6826" spans="1:4" ht="13.8">
      <c r="A6826" s="47" t="s">
        <v>14273</v>
      </c>
      <c r="B6826" s="92" t="s">
        <v>857</v>
      </c>
      <c r="C6826" s="92" t="s">
        <v>14274</v>
      </c>
      <c r="D6826" s="72" t="str">
        <f>IFERROR(VLOOKUP(A6826,'[1]ST-QA-ZZ5'!$C$5:$M$299,11,0),"Inspection at production line")</f>
        <v>Inspection at production line</v>
      </c>
    </row>
    <row r="6827" spans="1:4" ht="13.8">
      <c r="A6827" s="47" t="s">
        <v>14275</v>
      </c>
      <c r="B6827" s="92" t="s">
        <v>857</v>
      </c>
      <c r="C6827" s="92" t="s">
        <v>14276</v>
      </c>
      <c r="D6827" s="72" t="str">
        <f>IFERROR(VLOOKUP(A6827,'[1]ST-QA-ZZ5'!$C$5:$M$299,11,0),"Inspection at production line")</f>
        <v>Inspection at production line</v>
      </c>
    </row>
    <row r="6828" spans="1:4" ht="13.8">
      <c r="A6828" s="47" t="s">
        <v>14277</v>
      </c>
      <c r="B6828" s="92" t="s">
        <v>857</v>
      </c>
      <c r="C6828" s="92" t="s">
        <v>14278</v>
      </c>
      <c r="D6828" s="72" t="str">
        <f>IFERROR(VLOOKUP(A6828,'[1]ST-QA-ZZ5'!$C$5:$M$299,11,0),"Inspection at production line")</f>
        <v>Inspection at production line</v>
      </c>
    </row>
    <row r="6829" spans="1:4" ht="13.8">
      <c r="A6829" s="47" t="s">
        <v>14279</v>
      </c>
      <c r="B6829" s="92" t="s">
        <v>857</v>
      </c>
      <c r="C6829" s="92" t="s">
        <v>14280</v>
      </c>
      <c r="D6829" s="72" t="str">
        <f>IFERROR(VLOOKUP(A6829,'[1]ST-QA-ZZ5'!$C$5:$M$299,11,0),"Inspection at production line")</f>
        <v>Inspection at production line</v>
      </c>
    </row>
    <row r="6830" spans="1:4" ht="13.8">
      <c r="A6830" s="47" t="s">
        <v>14281</v>
      </c>
      <c r="B6830" s="92" t="s">
        <v>857</v>
      </c>
      <c r="C6830" s="92" t="s">
        <v>14282</v>
      </c>
      <c r="D6830" s="72" t="str">
        <f>IFERROR(VLOOKUP(A6830,'[1]ST-QA-ZZ5'!$C$5:$M$299,11,0),"Inspection at production line")</f>
        <v>Inspection at production line</v>
      </c>
    </row>
    <row r="6831" spans="1:4" ht="13.8">
      <c r="A6831" s="47" t="s">
        <v>14283</v>
      </c>
      <c r="B6831" s="92" t="s">
        <v>857</v>
      </c>
      <c r="C6831" s="92" t="s">
        <v>14284</v>
      </c>
      <c r="D6831" s="72" t="str">
        <f>IFERROR(VLOOKUP(A6831,'[1]ST-QA-ZZ5'!$C$5:$M$299,11,0),"Inspection at production line")</f>
        <v>Inspection at production line</v>
      </c>
    </row>
    <row r="6832" spans="1:4" ht="13.8">
      <c r="A6832" s="47" t="s">
        <v>14285</v>
      </c>
      <c r="B6832" s="92" t="s">
        <v>857</v>
      </c>
      <c r="C6832" s="92" t="s">
        <v>14286</v>
      </c>
      <c r="D6832" s="72" t="str">
        <f>IFERROR(VLOOKUP(A6832,'[1]ST-QA-ZZ5'!$C$5:$M$299,11,0),"Inspection at production line")</f>
        <v>Inspection at production line</v>
      </c>
    </row>
    <row r="6833" spans="1:4" ht="13.8">
      <c r="A6833" s="47" t="s">
        <v>14287</v>
      </c>
      <c r="B6833" s="92" t="s">
        <v>857</v>
      </c>
      <c r="C6833" s="92" t="s">
        <v>14288</v>
      </c>
      <c r="D6833" s="72" t="str">
        <f>IFERROR(VLOOKUP(A6833,'[1]ST-QA-ZZ5'!$C$5:$M$299,11,0),"Inspection at production line")</f>
        <v>Inspection at production line</v>
      </c>
    </row>
    <row r="6834" spans="1:4" ht="13.8">
      <c r="A6834" s="47" t="s">
        <v>14289</v>
      </c>
      <c r="B6834" s="92" t="s">
        <v>857</v>
      </c>
      <c r="C6834" s="92" t="s">
        <v>14238</v>
      </c>
      <c r="D6834" s="72" t="str">
        <f>IFERROR(VLOOKUP(A6834,'[1]ST-QA-ZZ5'!$C$5:$M$299,11,0),"Inspection at production line")</f>
        <v>Inspection at production line</v>
      </c>
    </row>
    <row r="6835" spans="1:4" ht="13.8">
      <c r="A6835" s="47" t="s">
        <v>14290</v>
      </c>
      <c r="B6835" s="92" t="s">
        <v>857</v>
      </c>
      <c r="C6835" s="92" t="s">
        <v>14291</v>
      </c>
      <c r="D6835" s="72" t="str">
        <f>IFERROR(VLOOKUP(A6835,'[1]ST-QA-ZZ5'!$C$5:$M$299,11,0),"Inspection at production line")</f>
        <v>Inspection at production line</v>
      </c>
    </row>
    <row r="6836" spans="1:4" ht="13.8">
      <c r="A6836" s="47" t="s">
        <v>14292</v>
      </c>
      <c r="B6836" s="92" t="s">
        <v>857</v>
      </c>
      <c r="C6836" s="92" t="s">
        <v>14258</v>
      </c>
      <c r="D6836" s="72" t="str">
        <f>IFERROR(VLOOKUP(A6836,'[1]ST-QA-ZZ5'!$C$5:$M$299,11,0),"Inspection at production line")</f>
        <v>Inspection at production line</v>
      </c>
    </row>
    <row r="6837" spans="1:4" ht="13.8">
      <c r="A6837" s="47" t="s">
        <v>14293</v>
      </c>
      <c r="B6837" s="92" t="s">
        <v>857</v>
      </c>
      <c r="C6837" s="92" t="s">
        <v>14260</v>
      </c>
      <c r="D6837" s="72" t="str">
        <f>IFERROR(VLOOKUP(A6837,'[1]ST-QA-ZZ5'!$C$5:$M$299,11,0),"Inspection at production line")</f>
        <v>Inspection at production line</v>
      </c>
    </row>
    <row r="6838" spans="1:4" ht="13.8">
      <c r="A6838" s="47" t="s">
        <v>14294</v>
      </c>
      <c r="B6838" s="92" t="s">
        <v>857</v>
      </c>
      <c r="C6838" s="92" t="s">
        <v>14262</v>
      </c>
      <c r="D6838" s="72" t="str">
        <f>IFERROR(VLOOKUP(A6838,'[1]ST-QA-ZZ5'!$C$5:$M$299,11,0),"Inspection at production line")</f>
        <v>Inspection at production line</v>
      </c>
    </row>
    <row r="6839" spans="1:4" ht="13.8">
      <c r="A6839" s="47" t="s">
        <v>14295</v>
      </c>
      <c r="B6839" s="92" t="s">
        <v>857</v>
      </c>
      <c r="C6839" s="92" t="s">
        <v>14264</v>
      </c>
      <c r="D6839" s="72" t="str">
        <f>IFERROR(VLOOKUP(A6839,'[1]ST-QA-ZZ5'!$C$5:$M$299,11,0),"Inspection at production line")</f>
        <v>Inspection at production line</v>
      </c>
    </row>
    <row r="6840" spans="1:4" ht="13.8">
      <c r="A6840" s="47" t="s">
        <v>14296</v>
      </c>
      <c r="B6840" s="92" t="s">
        <v>857</v>
      </c>
      <c r="C6840" s="92" t="s">
        <v>14297</v>
      </c>
      <c r="D6840" s="72" t="str">
        <f>IFERROR(VLOOKUP(A6840,'[1]ST-QA-ZZ5'!$C$5:$M$299,11,0),"Inspection at production line")</f>
        <v>Inspection at production line</v>
      </c>
    </row>
    <row r="6841" spans="1:4" ht="13.8">
      <c r="A6841" s="47" t="s">
        <v>14298</v>
      </c>
      <c r="B6841" s="92" t="s">
        <v>857</v>
      </c>
      <c r="C6841" s="92" t="s">
        <v>14299</v>
      </c>
      <c r="D6841" s="72" t="str">
        <f>IFERROR(VLOOKUP(A6841,'[1]ST-QA-ZZ5'!$C$5:$M$299,11,0),"Inspection at production line")</f>
        <v>Inspection at production line</v>
      </c>
    </row>
    <row r="6842" spans="1:4" ht="13.8">
      <c r="A6842" s="47" t="s">
        <v>14300</v>
      </c>
      <c r="B6842" s="92" t="s">
        <v>857</v>
      </c>
      <c r="C6842" s="92" t="s">
        <v>14301</v>
      </c>
      <c r="D6842" s="72" t="str">
        <f>IFERROR(VLOOKUP(A6842,'[1]ST-QA-ZZ5'!$C$5:$M$299,11,0),"Inspection at production line")</f>
        <v>Inspection at production line</v>
      </c>
    </row>
    <row r="6843" spans="1:4" ht="13.8">
      <c r="A6843" s="47" t="s">
        <v>14302</v>
      </c>
      <c r="B6843" s="92" t="s">
        <v>857</v>
      </c>
      <c r="C6843" s="92" t="s">
        <v>14303</v>
      </c>
      <c r="D6843" s="72" t="str">
        <f>IFERROR(VLOOKUP(A6843,'[1]ST-QA-ZZ5'!$C$5:$M$299,11,0),"Inspection at production line")</f>
        <v>Inspection at production line</v>
      </c>
    </row>
    <row r="6844" spans="1:4" ht="13.8">
      <c r="A6844" s="47" t="s">
        <v>14304</v>
      </c>
      <c r="B6844" s="92" t="s">
        <v>857</v>
      </c>
      <c r="C6844" s="92" t="s">
        <v>14305</v>
      </c>
      <c r="D6844" s="72" t="str">
        <f>IFERROR(VLOOKUP(A6844,'[1]ST-QA-ZZ5'!$C$5:$M$299,11,0),"Inspection at production line")</f>
        <v>Inspection at production line</v>
      </c>
    </row>
    <row r="6845" spans="1:4" ht="13.8">
      <c r="A6845" s="47" t="s">
        <v>14306</v>
      </c>
      <c r="B6845" s="92" t="s">
        <v>857</v>
      </c>
      <c r="C6845" s="92" t="s">
        <v>14307</v>
      </c>
      <c r="D6845" s="72" t="str">
        <f>IFERROR(VLOOKUP(A6845,'[1]ST-QA-ZZ5'!$C$5:$M$299,11,0),"Inspection at production line")</f>
        <v>Inspection at production line</v>
      </c>
    </row>
    <row r="6846" spans="1:4" ht="13.8">
      <c r="A6846" s="47" t="s">
        <v>14308</v>
      </c>
      <c r="B6846" s="92" t="s">
        <v>857</v>
      </c>
      <c r="C6846" s="92" t="s">
        <v>14309</v>
      </c>
      <c r="D6846" s="72" t="str">
        <f>IFERROR(VLOOKUP(A6846,'[1]ST-QA-ZZ5'!$C$5:$M$299,11,0),"Inspection at production line")</f>
        <v>Inspection at production line</v>
      </c>
    </row>
    <row r="6847" spans="1:4" ht="13.8">
      <c r="A6847" s="47" t="s">
        <v>14310</v>
      </c>
      <c r="B6847" s="92" t="s">
        <v>857</v>
      </c>
      <c r="C6847" s="92" t="s">
        <v>14311</v>
      </c>
      <c r="D6847" s="72" t="str">
        <f>IFERROR(VLOOKUP(A6847,'[1]ST-QA-ZZ5'!$C$5:$M$299,11,0),"Inspection at production line")</f>
        <v>Inspection at production line</v>
      </c>
    </row>
    <row r="6848" spans="1:4" ht="13.8">
      <c r="A6848" s="47" t="s">
        <v>14312</v>
      </c>
      <c r="B6848" s="92" t="s">
        <v>857</v>
      </c>
      <c r="C6848" s="92" t="s">
        <v>14313</v>
      </c>
      <c r="D6848" s="72" t="str">
        <f>IFERROR(VLOOKUP(A6848,'[1]ST-QA-ZZ5'!$C$5:$M$299,11,0),"Inspection at production line")</f>
        <v>Inspection at production line</v>
      </c>
    </row>
    <row r="6849" spans="1:4" ht="13.8">
      <c r="A6849" s="47" t="s">
        <v>14314</v>
      </c>
      <c r="B6849" s="92" t="s">
        <v>857</v>
      </c>
      <c r="C6849" s="92" t="s">
        <v>14315</v>
      </c>
      <c r="D6849" s="72" t="str">
        <f>IFERROR(VLOOKUP(A6849,'[1]ST-QA-ZZ5'!$C$5:$M$299,11,0),"Inspection at production line")</f>
        <v>Inspection at production line</v>
      </c>
    </row>
    <row r="6850" spans="1:4" ht="13.8">
      <c r="A6850" s="47" t="s">
        <v>14316</v>
      </c>
      <c r="B6850" s="92" t="s">
        <v>857</v>
      </c>
      <c r="C6850" s="92" t="s">
        <v>14317</v>
      </c>
      <c r="D6850" s="72" t="str">
        <f>IFERROR(VLOOKUP(A6850,'[1]ST-QA-ZZ5'!$C$5:$M$299,11,0),"Inspection at production line")</f>
        <v>Inspection at production line</v>
      </c>
    </row>
    <row r="6851" spans="1:4" ht="13.8">
      <c r="A6851" s="47" t="s">
        <v>14318</v>
      </c>
      <c r="B6851" s="92" t="s">
        <v>857</v>
      </c>
      <c r="C6851" s="92" t="s">
        <v>14319</v>
      </c>
      <c r="D6851" s="72" t="str">
        <f>IFERROR(VLOOKUP(A6851,'[1]ST-QA-ZZ5'!$C$5:$M$299,11,0),"Inspection at production line")</f>
        <v>Inspection at production line</v>
      </c>
    </row>
    <row r="6852" spans="1:4" ht="13.8">
      <c r="A6852" s="47" t="s">
        <v>14320</v>
      </c>
      <c r="B6852" s="92" t="s">
        <v>857</v>
      </c>
      <c r="C6852" s="92" t="s">
        <v>14266</v>
      </c>
      <c r="D6852" s="72" t="str">
        <f>IFERROR(VLOOKUP(A6852,'[1]ST-QA-ZZ5'!$C$5:$M$299,11,0),"Inspection at production line")</f>
        <v>Inspection at production line</v>
      </c>
    </row>
    <row r="6853" spans="1:4" ht="13.8">
      <c r="A6853" s="47" t="s">
        <v>14321</v>
      </c>
      <c r="B6853" s="92" t="s">
        <v>857</v>
      </c>
      <c r="C6853" s="92" t="s">
        <v>14268</v>
      </c>
      <c r="D6853" s="72" t="str">
        <f>IFERROR(VLOOKUP(A6853,'[1]ST-QA-ZZ5'!$C$5:$M$299,11,0),"Inspection at production line")</f>
        <v>Inspection at production line</v>
      </c>
    </row>
    <row r="6854" spans="1:4" ht="13.8">
      <c r="A6854" s="47" t="s">
        <v>14322</v>
      </c>
      <c r="B6854" s="92" t="s">
        <v>857</v>
      </c>
      <c r="C6854" s="92" t="s">
        <v>14323</v>
      </c>
      <c r="D6854" s="72" t="str">
        <f>IFERROR(VLOOKUP(A6854,'[1]ST-QA-ZZ5'!$C$5:$M$299,11,0),"Inspection at production line")</f>
        <v>Inspection at production line</v>
      </c>
    </row>
    <row r="6855" spans="1:4" ht="13.8">
      <c r="A6855" s="47" t="s">
        <v>14324</v>
      </c>
      <c r="B6855" s="92" t="s">
        <v>857</v>
      </c>
      <c r="C6855" s="92" t="s">
        <v>14325</v>
      </c>
      <c r="D6855" s="72" t="str">
        <f>IFERROR(VLOOKUP(A6855,'[1]ST-QA-ZZ5'!$C$5:$M$299,11,0),"Inspection at production line")</f>
        <v>Inspection at production line</v>
      </c>
    </row>
    <row r="6856" spans="1:4" ht="13.8">
      <c r="A6856" s="47" t="s">
        <v>14326</v>
      </c>
      <c r="B6856" s="92" t="s">
        <v>857</v>
      </c>
      <c r="C6856" s="92" t="s">
        <v>14327</v>
      </c>
      <c r="D6856" s="72" t="str">
        <f>IFERROR(VLOOKUP(A6856,'[1]ST-QA-ZZ5'!$C$5:$M$299,11,0),"Inspection at production line")</f>
        <v>Inspection at production line</v>
      </c>
    </row>
    <row r="6857" spans="1:4" ht="13.8">
      <c r="A6857" s="47" t="s">
        <v>14328</v>
      </c>
      <c r="B6857" s="92" t="s">
        <v>857</v>
      </c>
      <c r="C6857" s="92" t="s">
        <v>14329</v>
      </c>
      <c r="D6857" s="72" t="str">
        <f>IFERROR(VLOOKUP(A6857,'[1]ST-QA-ZZ5'!$C$5:$M$299,11,0),"Inspection at production line")</f>
        <v>Inspection at production line</v>
      </c>
    </row>
    <row r="6858" spans="1:4" ht="13.8">
      <c r="A6858" s="47" t="s">
        <v>14330</v>
      </c>
      <c r="B6858" s="92" t="s">
        <v>857</v>
      </c>
      <c r="C6858" s="92" t="s">
        <v>14331</v>
      </c>
      <c r="D6858" s="72" t="str">
        <f>IFERROR(VLOOKUP(A6858,'[1]ST-QA-ZZ5'!$C$5:$M$299,11,0),"Inspection at production line")</f>
        <v>Inspection at production line</v>
      </c>
    </row>
    <row r="6859" spans="1:4" ht="13.8">
      <c r="A6859" s="47" t="s">
        <v>14332</v>
      </c>
      <c r="B6859" s="92" t="s">
        <v>857</v>
      </c>
      <c r="C6859" s="92" t="s">
        <v>14333</v>
      </c>
      <c r="D6859" s="72" t="str">
        <f>IFERROR(VLOOKUP(A6859,'[1]ST-QA-ZZ5'!$C$5:$M$299,11,0),"Inspection at production line")</f>
        <v>Inspection at production line</v>
      </c>
    </row>
    <row r="6860" spans="1:4" ht="13.8">
      <c r="A6860" s="47" t="s">
        <v>14334</v>
      </c>
      <c r="B6860" s="92" t="s">
        <v>857</v>
      </c>
      <c r="C6860" s="92" t="s">
        <v>14335</v>
      </c>
      <c r="D6860" s="72" t="str">
        <f>IFERROR(VLOOKUP(A6860,'[1]ST-QA-ZZ5'!$C$5:$M$299,11,0),"Inspection at production line")</f>
        <v>Inspection at production line</v>
      </c>
    </row>
    <row r="6861" spans="1:4" ht="13.8">
      <c r="A6861" s="47" t="s">
        <v>14336</v>
      </c>
      <c r="B6861" s="92" t="s">
        <v>857</v>
      </c>
      <c r="C6861" s="92" t="s">
        <v>14337</v>
      </c>
      <c r="D6861" s="72" t="str">
        <f>IFERROR(VLOOKUP(A6861,'[1]ST-QA-ZZ5'!$C$5:$M$299,11,0),"Inspection at production line")</f>
        <v>Inspection at production line</v>
      </c>
    </row>
    <row r="6862" spans="1:4" ht="13.8">
      <c r="A6862" s="47" t="s">
        <v>14338</v>
      </c>
      <c r="B6862" s="92" t="s">
        <v>857</v>
      </c>
      <c r="C6862" s="92" t="s">
        <v>14286</v>
      </c>
      <c r="D6862" s="72" t="str">
        <f>IFERROR(VLOOKUP(A6862,'[1]ST-QA-ZZ5'!$C$5:$M$299,11,0),"Inspection at production line")</f>
        <v>Inspection at production line</v>
      </c>
    </row>
    <row r="6863" spans="1:4" ht="13.8">
      <c r="A6863" s="47" t="s">
        <v>14339</v>
      </c>
      <c r="B6863" s="92" t="s">
        <v>857</v>
      </c>
      <c r="C6863" s="92" t="s">
        <v>14340</v>
      </c>
      <c r="D6863" s="72" t="str">
        <f>IFERROR(VLOOKUP(A6863,'[1]ST-QA-ZZ5'!$C$5:$M$299,11,0),"Inspection at production line")</f>
        <v>Inspection at production line</v>
      </c>
    </row>
    <row r="6864" spans="1:4" ht="13.8">
      <c r="A6864" s="47" t="s">
        <v>14341</v>
      </c>
      <c r="B6864" s="92" t="s">
        <v>9980</v>
      </c>
      <c r="C6864" s="92" t="s">
        <v>9981</v>
      </c>
      <c r="D6864" s="72" t="str">
        <f>IFERROR(VLOOKUP(A6864,'[1]ST-QA-ZZ5'!$C$5:$M$299,11,0),"Inspection at production line")</f>
        <v>Inspection at production line</v>
      </c>
    </row>
    <row r="6865" spans="1:4" ht="13.8">
      <c r="A6865" s="47" t="s">
        <v>14342</v>
      </c>
      <c r="B6865" s="92" t="s">
        <v>9980</v>
      </c>
      <c r="C6865" s="92" t="s">
        <v>9983</v>
      </c>
      <c r="D6865" s="72" t="str">
        <f>IFERROR(VLOOKUP(A6865,'[1]ST-QA-ZZ5'!$C$5:$M$299,11,0),"Inspection at production line")</f>
        <v>Inspection at production line</v>
      </c>
    </row>
    <row r="6866" spans="1:4" ht="13.8">
      <c r="A6866" s="47" t="s">
        <v>14343</v>
      </c>
      <c r="B6866" s="92" t="s">
        <v>9980</v>
      </c>
      <c r="C6866" s="92" t="s">
        <v>14344</v>
      </c>
      <c r="D6866" s="72" t="str">
        <f>IFERROR(VLOOKUP(A6866,'[1]ST-QA-ZZ5'!$C$5:$M$299,11,0),"Inspection at production line")</f>
        <v>Inspection at production line</v>
      </c>
    </row>
    <row r="6867" spans="1:4" ht="13.8">
      <c r="A6867" s="47" t="s">
        <v>14345</v>
      </c>
      <c r="B6867" s="92" t="s">
        <v>9980</v>
      </c>
      <c r="C6867" s="92" t="s">
        <v>9987</v>
      </c>
      <c r="D6867" s="72" t="str">
        <f>IFERROR(VLOOKUP(A6867,'[1]ST-QA-ZZ5'!$C$5:$M$299,11,0),"Inspection at production line")</f>
        <v>Inspection at production line</v>
      </c>
    </row>
    <row r="6868" spans="1:4" ht="13.8">
      <c r="A6868" s="47" t="s">
        <v>14346</v>
      </c>
      <c r="B6868" s="92" t="s">
        <v>9980</v>
      </c>
      <c r="C6868" s="92" t="s">
        <v>9989</v>
      </c>
      <c r="D6868" s="72" t="str">
        <f>IFERROR(VLOOKUP(A6868,'[1]ST-QA-ZZ5'!$C$5:$M$299,11,0),"Inspection at production line")</f>
        <v>Inspection at production line</v>
      </c>
    </row>
    <row r="6869" spans="1:4" ht="13.8">
      <c r="A6869" s="47" t="s">
        <v>14347</v>
      </c>
      <c r="B6869" s="92" t="s">
        <v>9980</v>
      </c>
      <c r="C6869" s="92" t="s">
        <v>14348</v>
      </c>
      <c r="D6869" s="72" t="str">
        <f>IFERROR(VLOOKUP(A6869,'[1]ST-QA-ZZ5'!$C$5:$M$299,11,0),"Inspection at production line")</f>
        <v>Inspection at production line</v>
      </c>
    </row>
    <row r="6870" spans="1:4" ht="13.8">
      <c r="A6870" s="47" t="s">
        <v>14349</v>
      </c>
      <c r="B6870" s="92" t="s">
        <v>9980</v>
      </c>
      <c r="C6870" s="92" t="s">
        <v>9993</v>
      </c>
      <c r="D6870" s="72" t="str">
        <f>IFERROR(VLOOKUP(A6870,'[1]ST-QA-ZZ5'!$C$5:$M$299,11,0),"Inspection at production line")</f>
        <v>Inspection at production line</v>
      </c>
    </row>
    <row r="6871" spans="1:4" ht="13.8">
      <c r="A6871" s="47" t="s">
        <v>14350</v>
      </c>
      <c r="B6871" s="92" t="s">
        <v>9980</v>
      </c>
      <c r="C6871" s="92" t="s">
        <v>9995</v>
      </c>
      <c r="D6871" s="72" t="str">
        <f>IFERROR(VLOOKUP(A6871,'[1]ST-QA-ZZ5'!$C$5:$M$299,11,0),"Inspection at production line")</f>
        <v>Inspection at production line</v>
      </c>
    </row>
    <row r="6872" spans="1:4" ht="13.8">
      <c r="A6872" s="47" t="s">
        <v>14351</v>
      </c>
      <c r="B6872" s="92" t="s">
        <v>9980</v>
      </c>
      <c r="C6872" s="92" t="s">
        <v>9997</v>
      </c>
      <c r="D6872" s="72" t="str">
        <f>IFERROR(VLOOKUP(A6872,'[1]ST-QA-ZZ5'!$C$5:$M$299,11,0),"Inspection at production line")</f>
        <v>Inspection at production line</v>
      </c>
    </row>
    <row r="6873" spans="1:4" ht="13.8">
      <c r="A6873" s="47" t="s">
        <v>14352</v>
      </c>
      <c r="B6873" s="92" t="s">
        <v>9980</v>
      </c>
      <c r="C6873" s="92" t="s">
        <v>9999</v>
      </c>
      <c r="D6873" s="72" t="str">
        <f>IFERROR(VLOOKUP(A6873,'[1]ST-QA-ZZ5'!$C$5:$M$299,11,0),"Inspection at production line")</f>
        <v>Inspection at production line</v>
      </c>
    </row>
    <row r="6874" spans="1:4" ht="13.8">
      <c r="A6874" s="47" t="s">
        <v>14353</v>
      </c>
      <c r="B6874" s="92" t="s">
        <v>9980</v>
      </c>
      <c r="C6874" s="92" t="s">
        <v>10001</v>
      </c>
      <c r="D6874" s="72" t="str">
        <f>IFERROR(VLOOKUP(A6874,'[1]ST-QA-ZZ5'!$C$5:$M$299,11,0),"Inspection at production line")</f>
        <v>Inspection at production line</v>
      </c>
    </row>
    <row r="6875" spans="1:4" ht="13.8">
      <c r="A6875" s="47" t="s">
        <v>14354</v>
      </c>
      <c r="B6875" s="92" t="s">
        <v>9980</v>
      </c>
      <c r="C6875" s="92" t="s">
        <v>10003</v>
      </c>
      <c r="D6875" s="72" t="str">
        <f>IFERROR(VLOOKUP(A6875,'[1]ST-QA-ZZ5'!$C$5:$M$299,11,0),"Inspection at production line")</f>
        <v>Inspection at production line</v>
      </c>
    </row>
    <row r="6876" spans="1:4" ht="13.8">
      <c r="A6876" s="47" t="s">
        <v>14355</v>
      </c>
      <c r="B6876" s="92" t="s">
        <v>404</v>
      </c>
      <c r="C6876" s="92" t="s">
        <v>14356</v>
      </c>
      <c r="D6876" s="72" t="str">
        <f>IFERROR(VLOOKUP(A6876,'[1]ST-QA-ZZ5'!$C$5:$M$299,11,0),"Inspection at production line")</f>
        <v>Inspection at production line</v>
      </c>
    </row>
    <row r="6877" spans="1:4" ht="13.8">
      <c r="A6877" s="47" t="s">
        <v>14357</v>
      </c>
      <c r="B6877" s="92" t="s">
        <v>2652</v>
      </c>
      <c r="C6877" s="92" t="s">
        <v>14358</v>
      </c>
      <c r="D6877" s="72" t="str">
        <f>IFERROR(VLOOKUP(A6877,'[1]ST-QA-ZZ5'!$C$5:$M$299,11,0),"Inspection at production line")</f>
        <v>Inspection at production line</v>
      </c>
    </row>
    <row r="6878" spans="1:4" ht="13.8">
      <c r="A6878" s="47" t="s">
        <v>14359</v>
      </c>
      <c r="B6878" s="92" t="s">
        <v>5377</v>
      </c>
      <c r="C6878" s="92" t="s">
        <v>5001</v>
      </c>
      <c r="D6878" s="72" t="str">
        <f>IFERROR(VLOOKUP(A6878,'[1]ST-QA-ZZ5'!$C$5:$M$299,11,0),"Inspection at production line")</f>
        <v>Inspection at production line</v>
      </c>
    </row>
    <row r="6879" spans="1:4" ht="13.8">
      <c r="A6879" s="47" t="s">
        <v>14360</v>
      </c>
      <c r="B6879" s="92" t="s">
        <v>3079</v>
      </c>
      <c r="C6879" s="92" t="s">
        <v>2671</v>
      </c>
      <c r="D6879" s="72" t="str">
        <f>IFERROR(VLOOKUP(A6879,'[1]ST-QA-ZZ5'!$C$5:$M$299,11,0),"Inspection at production line")</f>
        <v>Inspection at production line</v>
      </c>
    </row>
    <row r="6880" spans="1:4" ht="13.8">
      <c r="A6880" s="47" t="s">
        <v>14361</v>
      </c>
      <c r="B6880" s="92" t="s">
        <v>4996</v>
      </c>
      <c r="C6880" s="92" t="s">
        <v>9587</v>
      </c>
      <c r="D6880" s="72" t="str">
        <f>IFERROR(VLOOKUP(A6880,'[1]ST-QA-ZZ5'!$C$5:$M$299,11,0),"Inspection at production line")</f>
        <v>Inspection at production line</v>
      </c>
    </row>
    <row r="6881" spans="1:4" ht="13.8">
      <c r="A6881" s="47" t="s">
        <v>14362</v>
      </c>
      <c r="B6881" s="92" t="s">
        <v>4996</v>
      </c>
      <c r="C6881" s="92" t="s">
        <v>5409</v>
      </c>
      <c r="D6881" s="72" t="str">
        <f>IFERROR(VLOOKUP(A6881,'[1]ST-QA-ZZ5'!$C$5:$M$299,11,0),"Inspection at production line")</f>
        <v>Inspection at production line</v>
      </c>
    </row>
    <row r="6882" spans="1:4" ht="13.8">
      <c r="A6882" s="47" t="s">
        <v>14363</v>
      </c>
      <c r="B6882" s="92" t="s">
        <v>4996</v>
      </c>
      <c r="C6882" s="92" t="s">
        <v>5412</v>
      </c>
      <c r="D6882" s="72" t="str">
        <f>IFERROR(VLOOKUP(A6882,'[1]ST-QA-ZZ5'!$C$5:$M$299,11,0),"Inspection at production line")</f>
        <v>Inspection at production line</v>
      </c>
    </row>
    <row r="6883" spans="1:4" ht="13.8">
      <c r="A6883" s="47" t="s">
        <v>14364</v>
      </c>
      <c r="B6883" s="92" t="s">
        <v>5343</v>
      </c>
      <c r="C6883" s="92" t="s">
        <v>5414</v>
      </c>
      <c r="D6883" s="72" t="str">
        <f>IFERROR(VLOOKUP(A6883,'[1]ST-QA-ZZ5'!$C$5:$M$299,11,0),"Inspection at production line")</f>
        <v>Inspection at production line</v>
      </c>
    </row>
    <row r="6884" spans="1:4" ht="13.8">
      <c r="A6884" s="47" t="s">
        <v>14365</v>
      </c>
      <c r="B6884" s="92" t="s">
        <v>5343</v>
      </c>
      <c r="C6884" s="92" t="s">
        <v>10006</v>
      </c>
      <c r="D6884" s="72" t="str">
        <f>IFERROR(VLOOKUP(A6884,'[1]ST-QA-ZZ5'!$C$5:$M$299,11,0),"Inspection at production line")</f>
        <v>Inspection at production line</v>
      </c>
    </row>
    <row r="6885" spans="1:4" ht="13.8">
      <c r="A6885" s="47" t="s">
        <v>14366</v>
      </c>
      <c r="B6885" s="92" t="s">
        <v>5343</v>
      </c>
      <c r="C6885" s="92" t="s">
        <v>10008</v>
      </c>
      <c r="D6885" s="72" t="str">
        <f>IFERROR(VLOOKUP(A6885,'[1]ST-QA-ZZ5'!$C$5:$M$299,11,0),"Inspection at production line")</f>
        <v>Inspection at production line</v>
      </c>
    </row>
    <row r="6886" spans="1:4" ht="13.8">
      <c r="A6886" s="47" t="s">
        <v>14367</v>
      </c>
      <c r="B6886" s="92" t="s">
        <v>5343</v>
      </c>
      <c r="C6886" s="92" t="s">
        <v>10010</v>
      </c>
      <c r="D6886" s="72" t="str">
        <f>IFERROR(VLOOKUP(A6886,'[1]ST-QA-ZZ5'!$C$5:$M$299,11,0),"Inspection at production line")</f>
        <v>Inspection at production line</v>
      </c>
    </row>
    <row r="6887" spans="1:4" ht="13.8">
      <c r="A6887" s="47" t="s">
        <v>14368</v>
      </c>
      <c r="B6887" s="92" t="s">
        <v>5343</v>
      </c>
      <c r="C6887" s="92" t="s">
        <v>10012</v>
      </c>
      <c r="D6887" s="72" t="str">
        <f>IFERROR(VLOOKUP(A6887,'[1]ST-QA-ZZ5'!$C$5:$M$299,11,0),"Inspection at production line")</f>
        <v>Inspection at production line</v>
      </c>
    </row>
    <row r="6888" spans="1:4" ht="13.8">
      <c r="A6888" s="47" t="s">
        <v>14369</v>
      </c>
      <c r="B6888" s="92" t="s">
        <v>5343</v>
      </c>
      <c r="C6888" s="92" t="s">
        <v>10014</v>
      </c>
      <c r="D6888" s="72" t="str">
        <f>IFERROR(VLOOKUP(A6888,'[1]ST-QA-ZZ5'!$C$5:$M$299,11,0),"Inspection at production line")</f>
        <v>Inspection at production line</v>
      </c>
    </row>
    <row r="6889" spans="1:4" ht="13.8">
      <c r="A6889" s="47" t="s">
        <v>14370</v>
      </c>
      <c r="B6889" s="92" t="s">
        <v>5343</v>
      </c>
      <c r="C6889" s="92" t="s">
        <v>10016</v>
      </c>
      <c r="D6889" s="72" t="str">
        <f>IFERROR(VLOOKUP(A6889,'[1]ST-QA-ZZ5'!$C$5:$M$299,11,0),"Inspection at production line")</f>
        <v>Inspection at production line</v>
      </c>
    </row>
    <row r="6890" spans="1:4" ht="13.8">
      <c r="A6890" s="47" t="s">
        <v>14371</v>
      </c>
      <c r="B6890" s="92" t="s">
        <v>5343</v>
      </c>
      <c r="C6890" s="92" t="s">
        <v>10018</v>
      </c>
      <c r="D6890" s="72" t="str">
        <f>IFERROR(VLOOKUP(A6890,'[1]ST-QA-ZZ5'!$C$5:$M$299,11,0),"Inspection at production line")</f>
        <v>Inspection at production line</v>
      </c>
    </row>
    <row r="6891" spans="1:4" ht="13.8">
      <c r="A6891" s="47" t="s">
        <v>14372</v>
      </c>
      <c r="B6891" s="92" t="s">
        <v>6881</v>
      </c>
      <c r="C6891" s="92" t="s">
        <v>10020</v>
      </c>
      <c r="D6891" s="72" t="str">
        <f>IFERROR(VLOOKUP(A6891,'[1]ST-QA-ZZ5'!$C$5:$M$299,11,0),"Inspection at production line")</f>
        <v>Inspection at production line</v>
      </c>
    </row>
    <row r="6892" spans="1:4" ht="13.8">
      <c r="A6892" s="47" t="s">
        <v>14373</v>
      </c>
      <c r="B6892" s="92" t="s">
        <v>6881</v>
      </c>
      <c r="C6892" s="92" t="s">
        <v>10022</v>
      </c>
      <c r="D6892" s="72" t="str">
        <f>IFERROR(VLOOKUP(A6892,'[1]ST-QA-ZZ5'!$C$5:$M$299,11,0),"Inspection at production line")</f>
        <v>Inspection at production line</v>
      </c>
    </row>
    <row r="6893" spans="1:4" ht="13.8">
      <c r="A6893" s="47" t="s">
        <v>14374</v>
      </c>
      <c r="B6893" s="92" t="s">
        <v>6881</v>
      </c>
      <c r="C6893" s="92" t="s">
        <v>10024</v>
      </c>
      <c r="D6893" s="72" t="str">
        <f>IFERROR(VLOOKUP(A6893,'[1]ST-QA-ZZ5'!$C$5:$M$299,11,0),"Inspection at production line")</f>
        <v>Inspection at production line</v>
      </c>
    </row>
    <row r="6894" spans="1:4" ht="13.8">
      <c r="A6894" s="47" t="s">
        <v>14375</v>
      </c>
      <c r="B6894" s="92" t="s">
        <v>5343</v>
      </c>
      <c r="C6894" s="92" t="s">
        <v>10026</v>
      </c>
      <c r="D6894" s="72" t="str">
        <f>IFERROR(VLOOKUP(A6894,'[1]ST-QA-ZZ5'!$C$5:$M$299,11,0),"Inspection at production line")</f>
        <v>Inspection at production line</v>
      </c>
    </row>
    <row r="6895" spans="1:4" ht="13.8">
      <c r="A6895" s="47" t="s">
        <v>14376</v>
      </c>
      <c r="B6895" s="92" t="s">
        <v>5343</v>
      </c>
      <c r="C6895" s="92" t="s">
        <v>14377</v>
      </c>
      <c r="D6895" s="72" t="str">
        <f>IFERROR(VLOOKUP(A6895,'[1]ST-QA-ZZ5'!$C$5:$M$299,11,0),"Inspection at production line")</f>
        <v>Inspection at production line</v>
      </c>
    </row>
    <row r="6896" spans="1:4" ht="13.8">
      <c r="A6896" s="47" t="s">
        <v>14378</v>
      </c>
      <c r="B6896" s="92" t="s">
        <v>2074</v>
      </c>
      <c r="C6896" s="92" t="s">
        <v>5433</v>
      </c>
      <c r="D6896" s="72" t="str">
        <f>IFERROR(VLOOKUP(A6896,'[1]ST-QA-ZZ5'!$C$5:$M$299,11,0),"Inspection at production line")</f>
        <v>Inspection at production line</v>
      </c>
    </row>
    <row r="6897" spans="1:4" ht="13.8">
      <c r="A6897" s="47" t="s">
        <v>14379</v>
      </c>
      <c r="B6897" s="92" t="s">
        <v>2074</v>
      </c>
      <c r="C6897" s="92" t="s">
        <v>9601</v>
      </c>
      <c r="D6897" s="72" t="str">
        <f>IFERROR(VLOOKUP(A6897,'[1]ST-QA-ZZ5'!$C$5:$M$299,11,0),"Inspection at production line")</f>
        <v>Inspection at production line</v>
      </c>
    </row>
    <row r="6898" spans="1:4" ht="13.8">
      <c r="A6898" s="47" t="s">
        <v>14380</v>
      </c>
      <c r="B6898" s="92" t="s">
        <v>5343</v>
      </c>
      <c r="C6898" s="92" t="s">
        <v>10029</v>
      </c>
      <c r="D6898" s="72" t="str">
        <f>IFERROR(VLOOKUP(A6898,'[1]ST-QA-ZZ5'!$C$5:$M$299,11,0),"Inspection at production line")</f>
        <v>Inspection at production line</v>
      </c>
    </row>
    <row r="6899" spans="1:4" ht="13.8">
      <c r="A6899" s="47" t="s">
        <v>14381</v>
      </c>
      <c r="B6899" s="92" t="s">
        <v>5343</v>
      </c>
      <c r="C6899" s="92" t="s">
        <v>10031</v>
      </c>
      <c r="D6899" s="72" t="str">
        <f>IFERROR(VLOOKUP(A6899,'[1]ST-QA-ZZ5'!$C$5:$M$299,11,0),"Inspection at production line")</f>
        <v>Inspection at production line</v>
      </c>
    </row>
    <row r="6900" spans="1:4" ht="13.8">
      <c r="A6900" s="47" t="s">
        <v>14382</v>
      </c>
      <c r="B6900" s="92" t="s">
        <v>83</v>
      </c>
      <c r="C6900" s="92" t="s">
        <v>10033</v>
      </c>
      <c r="D6900" s="72" t="str">
        <f>IFERROR(VLOOKUP(A6900,'[1]ST-QA-ZZ5'!$C$5:$M$299,11,0),"Inspection at production line")</f>
        <v>Inspection at production line</v>
      </c>
    </row>
    <row r="6901" spans="1:4" ht="13.8">
      <c r="A6901" s="47" t="s">
        <v>14383</v>
      </c>
      <c r="B6901" s="92" t="s">
        <v>6271</v>
      </c>
      <c r="C6901" s="92" t="s">
        <v>10035</v>
      </c>
      <c r="D6901" s="72" t="str">
        <f>IFERROR(VLOOKUP(A6901,'[1]ST-QA-ZZ5'!$C$5:$M$299,11,0),"Inspection at production line")</f>
        <v>Inspection at production line</v>
      </c>
    </row>
    <row r="6902" spans="1:4" ht="13.8">
      <c r="A6902" s="47" t="s">
        <v>14384</v>
      </c>
      <c r="B6902" s="92" t="s">
        <v>5435</v>
      </c>
      <c r="C6902" s="92" t="s">
        <v>14385</v>
      </c>
      <c r="D6902" s="72" t="str">
        <f>IFERROR(VLOOKUP(A6902,'[1]ST-QA-ZZ5'!$C$5:$M$299,11,0),"Inspection at production line")</f>
        <v>Inspection at production line</v>
      </c>
    </row>
    <row r="6903" spans="1:4" ht="13.8">
      <c r="A6903" s="47" t="s">
        <v>14386</v>
      </c>
      <c r="B6903" s="92" t="s">
        <v>7914</v>
      </c>
      <c r="C6903" s="92" t="s">
        <v>14387</v>
      </c>
      <c r="D6903" s="72" t="str">
        <f>IFERROR(VLOOKUP(A6903,'[1]ST-QA-ZZ5'!$C$5:$M$299,11,0),"Inspection at production line")</f>
        <v>Inspection at production line</v>
      </c>
    </row>
    <row r="6904" spans="1:4" ht="13.8">
      <c r="A6904" s="47" t="s">
        <v>14388</v>
      </c>
      <c r="B6904" s="92" t="s">
        <v>2721</v>
      </c>
      <c r="C6904" s="92" t="s">
        <v>10039</v>
      </c>
      <c r="D6904" s="72" t="str">
        <f>IFERROR(VLOOKUP(A6904,'[1]ST-QA-ZZ5'!$C$5:$M$299,11,0),"Inspection at production line")</f>
        <v>Inspection at production line</v>
      </c>
    </row>
    <row r="6905" spans="1:4" ht="13.8">
      <c r="A6905" s="47" t="s">
        <v>14389</v>
      </c>
      <c r="B6905" s="92" t="s">
        <v>6870</v>
      </c>
      <c r="C6905" s="92" t="s">
        <v>14390</v>
      </c>
      <c r="D6905" s="72" t="str">
        <f>IFERROR(VLOOKUP(A6905,'[1]ST-QA-ZZ5'!$C$5:$M$299,11,0),"Inspection at production line")</f>
        <v>Inspection at production line</v>
      </c>
    </row>
    <row r="6906" spans="1:4" ht="13.8">
      <c r="A6906" s="47" t="s">
        <v>14391</v>
      </c>
      <c r="B6906" s="92" t="s">
        <v>7914</v>
      </c>
      <c r="C6906" s="92" t="s">
        <v>14392</v>
      </c>
      <c r="D6906" s="72" t="str">
        <f>IFERROR(VLOOKUP(A6906,'[1]ST-QA-ZZ5'!$C$5:$M$299,11,0),"Inspection at production line")</f>
        <v>Inspection at production line</v>
      </c>
    </row>
    <row r="6907" spans="1:4" ht="13.8">
      <c r="A6907" s="47" t="s">
        <v>14393</v>
      </c>
      <c r="B6907" s="92" t="s">
        <v>2464</v>
      </c>
      <c r="C6907" s="92" t="s">
        <v>2465</v>
      </c>
      <c r="D6907" s="72" t="str">
        <f>IFERROR(VLOOKUP(A6907,'[1]ST-QA-ZZ5'!$C$5:$M$299,11,0),"Inspection at production line")</f>
        <v>Inspection at production line</v>
      </c>
    </row>
    <row r="6908" spans="1:4" ht="13.8">
      <c r="A6908" s="47" t="s">
        <v>14394</v>
      </c>
      <c r="B6908" s="92" t="s">
        <v>1212</v>
      </c>
      <c r="C6908" s="92" t="s">
        <v>1973</v>
      </c>
      <c r="D6908" s="72" t="str">
        <f>IFERROR(VLOOKUP(A6908,'[1]ST-QA-ZZ5'!$C$5:$M$299,11,0),"Inspection at production line")</f>
        <v>Inspection at production line</v>
      </c>
    </row>
    <row r="6909" spans="1:4" ht="13.8">
      <c r="A6909" s="47" t="s">
        <v>14395</v>
      </c>
      <c r="B6909" s="92" t="s">
        <v>1212</v>
      </c>
      <c r="C6909" s="92" t="s">
        <v>1978</v>
      </c>
      <c r="D6909" s="72" t="str">
        <f>IFERROR(VLOOKUP(A6909,'[1]ST-QA-ZZ5'!$C$5:$M$299,11,0),"Inspection at production line")</f>
        <v>Inspection at production line</v>
      </c>
    </row>
    <row r="6910" spans="1:4" ht="13.8">
      <c r="A6910" s="47" t="s">
        <v>14396</v>
      </c>
      <c r="B6910" s="92" t="s">
        <v>14235</v>
      </c>
      <c r="C6910" s="92" t="s">
        <v>14397</v>
      </c>
      <c r="D6910" s="72" t="str">
        <f>IFERROR(VLOOKUP(A6910,'[1]ST-QA-ZZ5'!$C$5:$M$299,11,0),"Inspection at production line")</f>
        <v>Inspection at production line</v>
      </c>
    </row>
    <row r="6911" spans="1:4" ht="13.8">
      <c r="A6911" s="47" t="s">
        <v>14398</v>
      </c>
      <c r="B6911" s="92" t="s">
        <v>2460</v>
      </c>
      <c r="C6911" s="92" t="s">
        <v>2465</v>
      </c>
      <c r="D6911" s="72" t="str">
        <f>IFERROR(VLOOKUP(A6911,'[1]ST-QA-ZZ5'!$C$5:$M$299,11,0),"Inspection at production line")</f>
        <v>Inspection at production line</v>
      </c>
    </row>
    <row r="6912" spans="1:4" ht="13.8">
      <c r="A6912" s="47" t="s">
        <v>14399</v>
      </c>
      <c r="B6912" s="92" t="s">
        <v>1212</v>
      </c>
      <c r="C6912" s="92" t="s">
        <v>1978</v>
      </c>
      <c r="D6912" s="72" t="str">
        <f>IFERROR(VLOOKUP(A6912,'[1]ST-QA-ZZ5'!$C$5:$M$299,11,0),"Inspection at production line")</f>
        <v>Inspection at production line</v>
      </c>
    </row>
    <row r="6913" spans="1:4" ht="13.8">
      <c r="A6913" s="47" t="s">
        <v>14400</v>
      </c>
      <c r="B6913" s="92" t="s">
        <v>404</v>
      </c>
      <c r="C6913" s="92" t="s">
        <v>10048</v>
      </c>
      <c r="D6913" s="72" t="str">
        <f>IFERROR(VLOOKUP(A6913,'[1]ST-QA-ZZ5'!$C$5:$M$299,11,0),"Inspection at production line")</f>
        <v>Inspection at production line</v>
      </c>
    </row>
    <row r="6914" spans="1:4" ht="13.8">
      <c r="A6914" s="47" t="s">
        <v>14401</v>
      </c>
      <c r="B6914" s="92" t="s">
        <v>5281</v>
      </c>
      <c r="C6914" s="92" t="s">
        <v>5427</v>
      </c>
      <c r="D6914" s="72" t="str">
        <f>IFERROR(VLOOKUP(A6914,'[1]ST-QA-ZZ5'!$C$5:$M$299,11,0),"Inspection at production line")</f>
        <v>Inspection at production line</v>
      </c>
    </row>
    <row r="6915" spans="1:4" ht="13.8">
      <c r="A6915" s="47" t="s">
        <v>14402</v>
      </c>
      <c r="B6915" s="92" t="s">
        <v>14403</v>
      </c>
      <c r="C6915" s="92" t="s">
        <v>14403</v>
      </c>
      <c r="D6915" s="72" t="str">
        <f>IFERROR(VLOOKUP(A6915,'[1]ST-QA-ZZ5'!$C$5:$M$299,11,0),"Inspection at production line")</f>
        <v>Inspection at production line</v>
      </c>
    </row>
    <row r="6916" spans="1:4" ht="13.8">
      <c r="A6916" s="47" t="s">
        <v>14404</v>
      </c>
      <c r="B6916" s="92" t="s">
        <v>10125</v>
      </c>
      <c r="C6916" s="92" t="s">
        <v>10125</v>
      </c>
      <c r="D6916" s="72" t="str">
        <f>IFERROR(VLOOKUP(A6916,'[1]ST-QA-ZZ5'!$C$5:$M$299,11,0),"Inspection at production line")</f>
        <v>Inspection at production line</v>
      </c>
    </row>
    <row r="6917" spans="1:4" ht="13.8">
      <c r="A6917" s="47" t="s">
        <v>14405</v>
      </c>
      <c r="B6917" s="92" t="s">
        <v>3363</v>
      </c>
      <c r="C6917" s="92" t="s">
        <v>10132</v>
      </c>
      <c r="D6917" s="72" t="str">
        <f>IFERROR(VLOOKUP(A6917,'[1]ST-QA-ZZ5'!$C$5:$M$299,11,0),"Inspection at production line")</f>
        <v>Inspection at production line</v>
      </c>
    </row>
    <row r="6918" spans="1:4" ht="13.8">
      <c r="A6918" s="47" t="s">
        <v>14406</v>
      </c>
      <c r="B6918" s="92" t="s">
        <v>2566</v>
      </c>
      <c r="C6918" s="92" t="s">
        <v>14407</v>
      </c>
      <c r="D6918" s="72" t="str">
        <f>IFERROR(VLOOKUP(A6918,'[1]ST-QA-ZZ5'!$C$5:$M$299,11,0),"Inspection at production line")</f>
        <v>Inspection at production line</v>
      </c>
    </row>
    <row r="6919" spans="1:4" ht="13.8">
      <c r="A6919" s="47" t="s">
        <v>14408</v>
      </c>
      <c r="B6919" s="92" t="s">
        <v>1880</v>
      </c>
      <c r="C6919" s="92" t="s">
        <v>14409</v>
      </c>
      <c r="D6919" s="72" t="str">
        <f>IFERROR(VLOOKUP(A6919,'[1]ST-QA-ZZ5'!$C$5:$M$299,11,0),"Inspection at production line")</f>
        <v>Inspection at production line</v>
      </c>
    </row>
    <row r="6920" spans="1:4" ht="13.8">
      <c r="A6920" s="47" t="s">
        <v>14410</v>
      </c>
      <c r="B6920" s="92" t="s">
        <v>704</v>
      </c>
      <c r="C6920" s="92" t="s">
        <v>14411</v>
      </c>
      <c r="D6920" s="72" t="str">
        <f>IFERROR(VLOOKUP(A6920,'[1]ST-QA-ZZ5'!$C$5:$M$299,11,0),"Inspection at production line")</f>
        <v>Inspection at production line</v>
      </c>
    </row>
    <row r="6921" spans="1:4" ht="13.8">
      <c r="A6921" s="47" t="s">
        <v>14412</v>
      </c>
      <c r="B6921" s="92" t="s">
        <v>704</v>
      </c>
      <c r="C6921" s="92" t="s">
        <v>14413</v>
      </c>
      <c r="D6921" s="72" t="str">
        <f>IFERROR(VLOOKUP(A6921,'[1]ST-QA-ZZ5'!$C$5:$M$299,11,0),"Inspection at production line")</f>
        <v>Inspection at production line</v>
      </c>
    </row>
    <row r="6922" spans="1:4" ht="13.8">
      <c r="A6922" s="47" t="s">
        <v>14414</v>
      </c>
      <c r="B6922" s="92" t="s">
        <v>14415</v>
      </c>
      <c r="C6922" s="92" t="s">
        <v>14415</v>
      </c>
      <c r="D6922" s="72" t="str">
        <f>IFERROR(VLOOKUP(A6922,'[1]ST-QA-ZZ5'!$C$5:$M$299,11,0),"Inspection at production line")</f>
        <v>Inspection at production line</v>
      </c>
    </row>
    <row r="6923" spans="1:4" ht="13.8">
      <c r="A6923" s="47" t="s">
        <v>14416</v>
      </c>
      <c r="B6923" s="92" t="s">
        <v>14417</v>
      </c>
      <c r="C6923" s="92" t="s">
        <v>14417</v>
      </c>
      <c r="D6923" s="72" t="str">
        <f>IFERROR(VLOOKUP(A6923,'[1]ST-QA-ZZ5'!$C$5:$M$299,11,0),"Inspection at production line")</f>
        <v>Inspection at production line</v>
      </c>
    </row>
    <row r="6924" spans="1:4" ht="13.8">
      <c r="A6924" s="47" t="s">
        <v>14418</v>
      </c>
      <c r="B6924" s="92" t="s">
        <v>14419</v>
      </c>
      <c r="C6924" s="92" t="s">
        <v>14419</v>
      </c>
      <c r="D6924" s="72" t="str">
        <f>IFERROR(VLOOKUP(A6924,'[1]ST-QA-ZZ5'!$C$5:$M$299,11,0),"Inspection at production line")</f>
        <v>Inspection at production line</v>
      </c>
    </row>
    <row r="6925" spans="1:4" ht="13.8">
      <c r="A6925" s="47" t="s">
        <v>14420</v>
      </c>
      <c r="B6925" s="92" t="s">
        <v>14419</v>
      </c>
      <c r="C6925" s="92" t="s">
        <v>14419</v>
      </c>
      <c r="D6925" s="72" t="str">
        <f>IFERROR(VLOOKUP(A6925,'[1]ST-QA-ZZ5'!$C$5:$M$299,11,0),"Inspection at production line")</f>
        <v>Inspection at production line</v>
      </c>
    </row>
    <row r="6926" spans="1:4" ht="13.8">
      <c r="A6926" s="47" t="s">
        <v>14421</v>
      </c>
      <c r="B6926" s="92" t="s">
        <v>905</v>
      </c>
      <c r="C6926" s="92" t="s">
        <v>4954</v>
      </c>
      <c r="D6926" s="72" t="str">
        <f>IFERROR(VLOOKUP(A6926,'[1]ST-QA-ZZ5'!$C$5:$M$299,11,0),"Inspection at production line")</f>
        <v>Inspection at production line</v>
      </c>
    </row>
    <row r="6927" spans="1:4" ht="13.8">
      <c r="A6927" s="47" t="s">
        <v>14422</v>
      </c>
      <c r="B6927" s="92" t="s">
        <v>1775</v>
      </c>
      <c r="C6927" s="92" t="s">
        <v>1775</v>
      </c>
      <c r="D6927" s="72" t="str">
        <f>IFERROR(VLOOKUP(A6927,'[1]ST-QA-ZZ5'!$C$5:$M$299,11,0),"Inspection at production line")</f>
        <v>Inspection at production line</v>
      </c>
    </row>
    <row r="6928" spans="1:4" ht="13.8">
      <c r="A6928" s="47" t="s">
        <v>14423</v>
      </c>
      <c r="B6928" s="92" t="s">
        <v>1775</v>
      </c>
      <c r="C6928" s="92" t="s">
        <v>1775</v>
      </c>
      <c r="D6928" s="72" t="str">
        <f>IFERROR(VLOOKUP(A6928,'[1]ST-QA-ZZ5'!$C$5:$M$299,11,0),"Inspection at production line")</f>
        <v>Inspection at production line</v>
      </c>
    </row>
    <row r="6929" spans="1:4" ht="13.8">
      <c r="A6929" s="47" t="s">
        <v>14424</v>
      </c>
      <c r="B6929" s="92" t="s">
        <v>4075</v>
      </c>
      <c r="C6929" s="92" t="s">
        <v>14425</v>
      </c>
      <c r="D6929" s="72" t="str">
        <f>IFERROR(VLOOKUP(A6929,'[1]ST-QA-ZZ5'!$C$5:$M$299,11,0),"Inspection at production line")</f>
        <v>Inspection at production line</v>
      </c>
    </row>
    <row r="6930" spans="1:4" ht="13.8">
      <c r="A6930" s="47" t="s">
        <v>14426</v>
      </c>
      <c r="B6930" s="92" t="s">
        <v>4075</v>
      </c>
      <c r="C6930" s="92" t="s">
        <v>14427</v>
      </c>
      <c r="D6930" s="72" t="str">
        <f>IFERROR(VLOOKUP(A6930,'[1]ST-QA-ZZ5'!$C$5:$M$299,11,0),"Inspection at production line")</f>
        <v>Inspection at production line</v>
      </c>
    </row>
    <row r="6931" spans="1:4" ht="13.8">
      <c r="A6931" s="47" t="s">
        <v>14428</v>
      </c>
      <c r="B6931" s="92" t="s">
        <v>57</v>
      </c>
      <c r="C6931" s="92" t="s">
        <v>14429</v>
      </c>
      <c r="D6931" s="72" t="str">
        <f>IFERROR(VLOOKUP(A6931,'[1]ST-QA-ZZ5'!$C$5:$M$299,11,0),"Inspection at production line")</f>
        <v>Inspection at production line</v>
      </c>
    </row>
    <row r="6932" spans="1:4" ht="13.8">
      <c r="A6932" s="47" t="s">
        <v>14430</v>
      </c>
      <c r="B6932" s="92" t="s">
        <v>57</v>
      </c>
      <c r="C6932" s="92" t="s">
        <v>14431</v>
      </c>
      <c r="D6932" s="72" t="str">
        <f>IFERROR(VLOOKUP(A6932,'[1]ST-QA-ZZ5'!$C$5:$M$299,11,0),"Inspection at production line")</f>
        <v>Inspection at production line</v>
      </c>
    </row>
    <row r="6933" spans="1:4" ht="13.8">
      <c r="A6933" s="47" t="s">
        <v>14432</v>
      </c>
      <c r="B6933" s="92" t="s">
        <v>2566</v>
      </c>
      <c r="C6933" s="92" t="s">
        <v>14433</v>
      </c>
      <c r="D6933" s="72" t="str">
        <f>IFERROR(VLOOKUP(A6933,'[1]ST-QA-ZZ5'!$C$5:$M$299,11,0),"Inspection at production line")</f>
        <v>Inspection at production line</v>
      </c>
    </row>
    <row r="6934" spans="1:4" ht="13.8">
      <c r="A6934" s="47" t="s">
        <v>14434</v>
      </c>
      <c r="B6934" s="92" t="s">
        <v>6881</v>
      </c>
      <c r="C6934" s="92" t="s">
        <v>14435</v>
      </c>
      <c r="D6934" s="72" t="str">
        <f>IFERROR(VLOOKUP(A6934,'[1]ST-QA-ZZ5'!$C$5:$M$299,11,0),"Inspection at production line")</f>
        <v>Inspection at production line</v>
      </c>
    </row>
    <row r="6935" spans="1:4" ht="13.8">
      <c r="A6935" s="47" t="s">
        <v>14436</v>
      </c>
      <c r="B6935" s="92" t="s">
        <v>6881</v>
      </c>
      <c r="C6935" s="92" t="s">
        <v>14437</v>
      </c>
      <c r="D6935" s="72" t="str">
        <f>IFERROR(VLOOKUP(A6935,'[1]ST-QA-ZZ5'!$C$5:$M$299,11,0),"Inspection at production line")</f>
        <v>Inspection at production line</v>
      </c>
    </row>
    <row r="6936" spans="1:4" ht="13.8">
      <c r="A6936" s="47" t="s">
        <v>14438</v>
      </c>
      <c r="B6936" s="92" t="s">
        <v>2566</v>
      </c>
      <c r="C6936" s="92" t="s">
        <v>14439</v>
      </c>
      <c r="D6936" s="72" t="str">
        <f>IFERROR(VLOOKUP(A6936,'[1]ST-QA-ZZ5'!$C$5:$M$299,11,0),"Inspection at production line")</f>
        <v>Inspection at production line</v>
      </c>
    </row>
    <row r="6937" spans="1:4" ht="13.8">
      <c r="A6937" s="47" t="s">
        <v>14440</v>
      </c>
      <c r="B6937" s="92" t="s">
        <v>797</v>
      </c>
      <c r="C6937" s="92" t="s">
        <v>14441</v>
      </c>
      <c r="D6937" s="72" t="str">
        <f>IFERROR(VLOOKUP(A6937,'[1]ST-QA-ZZ5'!$C$5:$M$299,11,0),"Inspection at production line")</f>
        <v>Inspection at production line</v>
      </c>
    </row>
    <row r="6938" spans="1:4" ht="13.8">
      <c r="A6938" s="47" t="s">
        <v>14442</v>
      </c>
      <c r="B6938" s="92" t="s">
        <v>4596</v>
      </c>
      <c r="C6938" s="92" t="s">
        <v>14443</v>
      </c>
      <c r="D6938" s="72" t="str">
        <f>IFERROR(VLOOKUP(A6938,'[1]ST-QA-ZZ5'!$C$5:$M$299,11,0),"Inspection at production line")</f>
        <v>Inspection at production line</v>
      </c>
    </row>
    <row r="6939" spans="1:4" ht="13.8">
      <c r="A6939" s="47" t="s">
        <v>14444</v>
      </c>
      <c r="B6939" s="92" t="s">
        <v>1592</v>
      </c>
      <c r="C6939" s="92" t="s">
        <v>14445</v>
      </c>
      <c r="D6939" s="72" t="str">
        <f>IFERROR(VLOOKUP(A6939,'[1]ST-QA-ZZ5'!$C$5:$M$299,11,0),"Inspection at production line")</f>
        <v>Inspection at production line</v>
      </c>
    </row>
    <row r="6940" spans="1:4" ht="13.8">
      <c r="A6940" s="47" t="s">
        <v>14446</v>
      </c>
      <c r="B6940" s="92" t="s">
        <v>2659</v>
      </c>
      <c r="C6940" s="92" t="s">
        <v>14447</v>
      </c>
      <c r="D6940" s="72" t="str">
        <f>IFERROR(VLOOKUP(A6940,'[1]ST-QA-ZZ5'!$C$5:$M$299,11,0),"Inspection at production line")</f>
        <v>Inspection at production line</v>
      </c>
    </row>
    <row r="6941" spans="1:4" ht="13.8">
      <c r="A6941" s="47" t="s">
        <v>14448</v>
      </c>
      <c r="B6941" s="92" t="s">
        <v>2659</v>
      </c>
      <c r="C6941" s="92" t="s">
        <v>14449</v>
      </c>
      <c r="D6941" s="72" t="str">
        <f>IFERROR(VLOOKUP(A6941,'[1]ST-QA-ZZ5'!$C$5:$M$299,11,0),"Inspection at production line")</f>
        <v>Inspection at production line</v>
      </c>
    </row>
    <row r="6942" spans="1:4" ht="13.8">
      <c r="A6942" s="47" t="s">
        <v>14450</v>
      </c>
      <c r="B6942" s="92" t="s">
        <v>75</v>
      </c>
      <c r="C6942" s="92" t="s">
        <v>14451</v>
      </c>
      <c r="D6942" s="72" t="str">
        <f>IFERROR(VLOOKUP(A6942,'[1]ST-QA-ZZ5'!$C$5:$M$299,11,0),"Inspection at production line")</f>
        <v>Inspection at production line</v>
      </c>
    </row>
    <row r="6943" spans="1:4" ht="13.8">
      <c r="A6943" s="47" t="s">
        <v>14452</v>
      </c>
      <c r="B6943" s="92" t="s">
        <v>75</v>
      </c>
      <c r="C6943" s="92" t="s">
        <v>14453</v>
      </c>
      <c r="D6943" s="72" t="str">
        <f>IFERROR(VLOOKUP(A6943,'[1]ST-QA-ZZ5'!$C$5:$M$299,11,0),"Inspection at production line")</f>
        <v>Inspection at production line</v>
      </c>
    </row>
    <row r="6944" spans="1:4" ht="13.8">
      <c r="A6944" s="47" t="s">
        <v>14454</v>
      </c>
      <c r="B6944" s="92" t="s">
        <v>75</v>
      </c>
      <c r="C6944" s="92" t="s">
        <v>14455</v>
      </c>
      <c r="D6944" s="72" t="str">
        <f>IFERROR(VLOOKUP(A6944,'[1]ST-QA-ZZ5'!$C$5:$M$299,11,0),"Inspection at production line")</f>
        <v>Inspection at production line</v>
      </c>
    </row>
    <row r="6945" spans="1:4" ht="13.8">
      <c r="A6945" s="47" t="s">
        <v>14456</v>
      </c>
      <c r="B6945" s="92" t="s">
        <v>1513</v>
      </c>
      <c r="C6945" s="92" t="s">
        <v>14457</v>
      </c>
      <c r="D6945" s="72" t="str">
        <f>IFERROR(VLOOKUP(A6945,'[1]ST-QA-ZZ5'!$C$5:$M$299,11,0),"Inspection at production line")</f>
        <v>Inspection at production line</v>
      </c>
    </row>
    <row r="6946" spans="1:4" ht="13.8">
      <c r="A6946" s="47" t="s">
        <v>14458</v>
      </c>
      <c r="B6946" s="92" t="s">
        <v>4075</v>
      </c>
      <c r="C6946" s="92" t="s">
        <v>14459</v>
      </c>
      <c r="D6946" s="72" t="str">
        <f>IFERROR(VLOOKUP(A6946,'[1]ST-QA-ZZ5'!$C$5:$M$299,11,0),"Inspection at production line")</f>
        <v>Inspection at production line</v>
      </c>
    </row>
    <row r="6947" spans="1:4" ht="13.8">
      <c r="A6947" s="47" t="s">
        <v>14460</v>
      </c>
      <c r="B6947" s="92" t="s">
        <v>1592</v>
      </c>
      <c r="C6947" s="92" t="s">
        <v>14461</v>
      </c>
      <c r="D6947" s="72" t="str">
        <f>IFERROR(VLOOKUP(A6947,'[1]ST-QA-ZZ5'!$C$5:$M$299,11,0),"Inspection at production line")</f>
        <v>Inspection at production line</v>
      </c>
    </row>
    <row r="6948" spans="1:4" ht="13.8">
      <c r="A6948" s="47" t="s">
        <v>14462</v>
      </c>
      <c r="B6948" s="92" t="s">
        <v>1513</v>
      </c>
      <c r="C6948" s="92" t="s">
        <v>14463</v>
      </c>
      <c r="D6948" s="72" t="str">
        <f>IFERROR(VLOOKUP(A6948,'[1]ST-QA-ZZ5'!$C$5:$M$299,11,0),"Inspection at production line")</f>
        <v>Inspection at production line</v>
      </c>
    </row>
    <row r="6949" spans="1:4" ht="13.8">
      <c r="A6949" s="47" t="s">
        <v>14464</v>
      </c>
      <c r="B6949" s="92" t="s">
        <v>4075</v>
      </c>
      <c r="C6949" s="92" t="s">
        <v>14465</v>
      </c>
      <c r="D6949" s="72" t="str">
        <f>IFERROR(VLOOKUP(A6949,'[1]ST-QA-ZZ5'!$C$5:$M$299,11,0),"Inspection at production line")</f>
        <v>Inspection at production line</v>
      </c>
    </row>
    <row r="6950" spans="1:4" ht="13.8">
      <c r="A6950" s="47" t="s">
        <v>14466</v>
      </c>
      <c r="B6950" s="92" t="s">
        <v>4075</v>
      </c>
      <c r="C6950" s="92" t="s">
        <v>14467</v>
      </c>
      <c r="D6950" s="72" t="str">
        <f>IFERROR(VLOOKUP(A6950,'[1]ST-QA-ZZ5'!$C$5:$M$299,11,0),"Inspection at production line")</f>
        <v>Inspection at production line</v>
      </c>
    </row>
    <row r="6951" spans="1:4" ht="13.8">
      <c r="A6951" s="47" t="s">
        <v>14468</v>
      </c>
      <c r="B6951" s="92" t="s">
        <v>2566</v>
      </c>
      <c r="C6951" s="92" t="s">
        <v>14469</v>
      </c>
      <c r="D6951" s="72" t="str">
        <f>IFERROR(VLOOKUP(A6951,'[1]ST-QA-ZZ5'!$C$5:$M$299,11,0),"Inspection at production line")</f>
        <v>Inspection at production line</v>
      </c>
    </row>
    <row r="6952" spans="1:4" ht="13.8">
      <c r="A6952" s="47" t="s">
        <v>14470</v>
      </c>
      <c r="B6952" s="92" t="s">
        <v>2566</v>
      </c>
      <c r="C6952" s="92" t="s">
        <v>14471</v>
      </c>
      <c r="D6952" s="72" t="str">
        <f>IFERROR(VLOOKUP(A6952,'[1]ST-QA-ZZ5'!$C$5:$M$299,11,0),"Inspection at production line")</f>
        <v>Inspection at production line</v>
      </c>
    </row>
    <row r="6953" spans="1:4" ht="13.8">
      <c r="A6953" s="47" t="s">
        <v>14472</v>
      </c>
      <c r="B6953" s="92" t="s">
        <v>7937</v>
      </c>
      <c r="C6953" s="92" t="s">
        <v>14473</v>
      </c>
      <c r="D6953" s="72" t="str">
        <f>IFERROR(VLOOKUP(A6953,'[1]ST-QA-ZZ5'!$C$5:$M$299,11,0),"Inspection at production line")</f>
        <v>Inspection at production line</v>
      </c>
    </row>
    <row r="6954" spans="1:4" ht="13.8">
      <c r="A6954" s="47" t="s">
        <v>14474</v>
      </c>
      <c r="B6954" s="92" t="s">
        <v>2659</v>
      </c>
      <c r="C6954" s="92" t="s">
        <v>14475</v>
      </c>
      <c r="D6954" s="72" t="str">
        <f>IFERROR(VLOOKUP(A6954,'[1]ST-QA-ZZ5'!$C$5:$M$299,11,0),"Inspection at production line")</f>
        <v>Inspection at production line</v>
      </c>
    </row>
    <row r="6955" spans="1:4" ht="13.8">
      <c r="A6955" s="47" t="s">
        <v>14476</v>
      </c>
      <c r="B6955" s="92" t="s">
        <v>1513</v>
      </c>
      <c r="C6955" s="92" t="s">
        <v>14477</v>
      </c>
      <c r="D6955" s="72" t="str">
        <f>IFERROR(VLOOKUP(A6955,'[1]ST-QA-ZZ5'!$C$5:$M$299,11,0),"Inspection at production line")</f>
        <v>Inspection at production line</v>
      </c>
    </row>
    <row r="6956" spans="1:4" ht="13.8">
      <c r="A6956" s="47" t="s">
        <v>14478</v>
      </c>
      <c r="B6956" s="92" t="s">
        <v>1513</v>
      </c>
      <c r="C6956" s="92" t="s">
        <v>14479</v>
      </c>
      <c r="D6956" s="72" t="str">
        <f>IFERROR(VLOOKUP(A6956,'[1]ST-QA-ZZ5'!$C$5:$M$299,11,0),"Inspection at production line")</f>
        <v>Inspection at production line</v>
      </c>
    </row>
    <row r="6957" spans="1:4" ht="13.8">
      <c r="A6957" s="47" t="s">
        <v>14480</v>
      </c>
      <c r="B6957" s="92" t="s">
        <v>90</v>
      </c>
      <c r="C6957" s="92" t="s">
        <v>14481</v>
      </c>
      <c r="D6957" s="72" t="str">
        <f>IFERROR(VLOOKUP(A6957,'[1]ST-QA-ZZ5'!$C$5:$M$299,11,0),"Inspection at production line")</f>
        <v>Inspection at production line</v>
      </c>
    </row>
    <row r="6958" spans="1:4" ht="13.8">
      <c r="A6958" s="47" t="s">
        <v>14482</v>
      </c>
      <c r="B6958" s="92" t="s">
        <v>90</v>
      </c>
      <c r="C6958" s="92" t="s">
        <v>14483</v>
      </c>
      <c r="D6958" s="72" t="str">
        <f>IFERROR(VLOOKUP(A6958,'[1]ST-QA-ZZ5'!$C$5:$M$299,11,0),"Inspection at production line")</f>
        <v>Inspection at production line</v>
      </c>
    </row>
    <row r="6959" spans="1:4" ht="13.8">
      <c r="A6959" s="47" t="s">
        <v>14484</v>
      </c>
      <c r="B6959" s="92" t="s">
        <v>794</v>
      </c>
      <c r="C6959" s="92" t="s">
        <v>14485</v>
      </c>
      <c r="D6959" s="72" t="str">
        <f>IFERROR(VLOOKUP(A6959,'[1]ST-QA-ZZ5'!$C$5:$M$299,11,0),"Inspection at production line")</f>
        <v>Inspection at production line</v>
      </c>
    </row>
    <row r="6960" spans="1:4" ht="13.8">
      <c r="A6960" s="47" t="s">
        <v>14486</v>
      </c>
      <c r="B6960" s="92" t="s">
        <v>794</v>
      </c>
      <c r="C6960" s="92" t="s">
        <v>14487</v>
      </c>
      <c r="D6960" s="72" t="str">
        <f>IFERROR(VLOOKUP(A6960,'[1]ST-QA-ZZ5'!$C$5:$M$299,11,0),"Inspection at production line")</f>
        <v>Inspection at production line</v>
      </c>
    </row>
    <row r="6961" spans="1:4" ht="13.8">
      <c r="A6961" s="47" t="s">
        <v>14488</v>
      </c>
      <c r="B6961" s="92" t="s">
        <v>379</v>
      </c>
      <c r="C6961" s="92" t="s">
        <v>10152</v>
      </c>
      <c r="D6961" s="72" t="str">
        <f>IFERROR(VLOOKUP(A6961,'[1]ST-QA-ZZ5'!$C$5:$M$299,11,0),"Inspection at production line")</f>
        <v>Inspection at production line</v>
      </c>
    </row>
    <row r="6962" spans="1:4" ht="13.8">
      <c r="A6962" s="47" t="s">
        <v>14489</v>
      </c>
      <c r="B6962" s="92" t="s">
        <v>10154</v>
      </c>
      <c r="C6962" s="92" t="s">
        <v>10155</v>
      </c>
      <c r="D6962" s="72" t="str">
        <f>IFERROR(VLOOKUP(A6962,'[1]ST-QA-ZZ5'!$C$5:$M$299,11,0),"Inspection at production line")</f>
        <v>Inspection at production line</v>
      </c>
    </row>
    <row r="6963" spans="1:4" ht="13.8">
      <c r="A6963" s="47" t="s">
        <v>14490</v>
      </c>
      <c r="B6963" s="92" t="s">
        <v>1359</v>
      </c>
      <c r="C6963" s="92" t="s">
        <v>10157</v>
      </c>
      <c r="D6963" s="72" t="str">
        <f>IFERROR(VLOOKUP(A6963,'[1]ST-QA-ZZ5'!$C$5:$M$299,11,0),"Inspection at production line")</f>
        <v>Inspection at production line</v>
      </c>
    </row>
    <row r="6964" spans="1:4" ht="13.8">
      <c r="A6964" s="47" t="s">
        <v>14491</v>
      </c>
      <c r="B6964" s="92" t="s">
        <v>1359</v>
      </c>
      <c r="C6964" s="92" t="s">
        <v>10159</v>
      </c>
      <c r="D6964" s="72" t="str">
        <f>IFERROR(VLOOKUP(A6964,'[1]ST-QA-ZZ5'!$C$5:$M$299,11,0),"Inspection at production line")</f>
        <v>Inspection at production line</v>
      </c>
    </row>
    <row r="6965" spans="1:4" ht="13.8">
      <c r="A6965" s="47" t="s">
        <v>14492</v>
      </c>
      <c r="B6965" s="92" t="s">
        <v>371</v>
      </c>
      <c r="C6965" s="92" t="s">
        <v>10161</v>
      </c>
      <c r="D6965" s="72" t="str">
        <f>IFERROR(VLOOKUP(A6965,'[1]ST-QA-ZZ5'!$C$5:$M$299,11,0),"Inspection at production line")</f>
        <v>Inspection at production line</v>
      </c>
    </row>
    <row r="6966" spans="1:4" ht="13.8">
      <c r="A6966" s="47" t="s">
        <v>14493</v>
      </c>
      <c r="B6966" s="92" t="s">
        <v>213</v>
      </c>
      <c r="C6966" s="92" t="s">
        <v>10163</v>
      </c>
      <c r="D6966" s="72" t="str">
        <f>IFERROR(VLOOKUP(A6966,'[1]ST-QA-ZZ5'!$C$5:$M$299,11,0),"Inspection at production line")</f>
        <v>Inspection at production line</v>
      </c>
    </row>
    <row r="6967" spans="1:4" ht="13.8">
      <c r="A6967" s="47" t="s">
        <v>14494</v>
      </c>
      <c r="B6967" s="92" t="s">
        <v>213</v>
      </c>
      <c r="C6967" s="92" t="s">
        <v>10165</v>
      </c>
      <c r="D6967" s="72" t="str">
        <f>IFERROR(VLOOKUP(A6967,'[1]ST-QA-ZZ5'!$C$5:$M$299,11,0),"Inspection at production line")</f>
        <v>Inspection at production line</v>
      </c>
    </row>
    <row r="6968" spans="1:4" ht="13.8">
      <c r="A6968" s="47" t="s">
        <v>14495</v>
      </c>
      <c r="B6968" s="92" t="s">
        <v>83</v>
      </c>
      <c r="C6968" s="92" t="s">
        <v>10167</v>
      </c>
      <c r="D6968" s="72" t="str">
        <f>IFERROR(VLOOKUP(A6968,'[1]ST-QA-ZZ5'!$C$5:$M$299,11,0),"Inspection at production line")</f>
        <v>Inspection at production line</v>
      </c>
    </row>
    <row r="6969" spans="1:4" ht="13.8">
      <c r="A6969" s="47" t="s">
        <v>14496</v>
      </c>
      <c r="B6969" s="92" t="s">
        <v>404</v>
      </c>
      <c r="C6969" s="92" t="s">
        <v>10169</v>
      </c>
      <c r="D6969" s="72" t="str">
        <f>IFERROR(VLOOKUP(A6969,'[1]ST-QA-ZZ5'!$C$5:$M$299,11,0),"Inspection at production line")</f>
        <v>Inspection at production line</v>
      </c>
    </row>
    <row r="6970" spans="1:4" ht="13.8">
      <c r="A6970" s="47" t="s">
        <v>14497</v>
      </c>
      <c r="B6970" s="92" t="s">
        <v>397</v>
      </c>
      <c r="C6970" s="92" t="s">
        <v>14498</v>
      </c>
      <c r="D6970" s="72" t="str">
        <f>IFERROR(VLOOKUP(A6970,'[1]ST-QA-ZZ5'!$C$5:$M$299,11,0),"Inspection at production line")</f>
        <v>Inspection at production line</v>
      </c>
    </row>
    <row r="6971" spans="1:4" ht="13.8">
      <c r="A6971" s="47" t="s">
        <v>14499</v>
      </c>
      <c r="B6971" s="92" t="s">
        <v>68</v>
      </c>
      <c r="C6971" s="92" t="s">
        <v>14500</v>
      </c>
      <c r="D6971" s="72" t="str">
        <f>IFERROR(VLOOKUP(A6971,'[1]ST-QA-ZZ5'!$C$5:$M$299,11,0),"Inspection at production line")</f>
        <v>Inspection at production line</v>
      </c>
    </row>
    <row r="6972" spans="1:4" ht="13.8">
      <c r="A6972" s="47" t="s">
        <v>14501</v>
      </c>
      <c r="B6972" s="92" t="s">
        <v>404</v>
      </c>
      <c r="C6972" s="92" t="s">
        <v>14502</v>
      </c>
      <c r="D6972" s="72" t="str">
        <f>IFERROR(VLOOKUP(A6972,'[1]ST-QA-ZZ5'!$C$5:$M$299,11,0),"Inspection at production line")</f>
        <v>Inspection at production line</v>
      </c>
    </row>
    <row r="6973" spans="1:4" ht="13.8">
      <c r="A6973" s="47" t="s">
        <v>14503</v>
      </c>
      <c r="B6973" s="92" t="s">
        <v>1359</v>
      </c>
      <c r="C6973" s="92" t="s">
        <v>14504</v>
      </c>
      <c r="D6973" s="72" t="str">
        <f>IFERROR(VLOOKUP(A6973,'[1]ST-QA-ZZ5'!$C$5:$M$299,11,0),"Inspection at production line")</f>
        <v>Inspection at production line</v>
      </c>
    </row>
    <row r="6974" spans="1:4" ht="13.8">
      <c r="A6974" s="47" t="s">
        <v>14505</v>
      </c>
      <c r="B6974" s="92" t="s">
        <v>1359</v>
      </c>
      <c r="C6974" s="92" t="s">
        <v>14506</v>
      </c>
      <c r="D6974" s="72" t="str">
        <f>IFERROR(VLOOKUP(A6974,'[1]ST-QA-ZZ5'!$C$5:$M$299,11,0),"Inspection at production line")</f>
        <v>Inspection at production line</v>
      </c>
    </row>
    <row r="6975" spans="1:4" ht="13.8">
      <c r="A6975" s="47" t="s">
        <v>14507</v>
      </c>
      <c r="B6975" s="92" t="s">
        <v>10154</v>
      </c>
      <c r="C6975" s="92" t="s">
        <v>14508</v>
      </c>
      <c r="D6975" s="72" t="str">
        <f>IFERROR(VLOOKUP(A6975,'[1]ST-QA-ZZ5'!$C$5:$M$299,11,0),"Inspection at production line")</f>
        <v>Inspection at production line</v>
      </c>
    </row>
    <row r="6976" spans="1:4" ht="13.8">
      <c r="A6976" s="47" t="s">
        <v>14509</v>
      </c>
      <c r="B6976" s="92" t="s">
        <v>379</v>
      </c>
      <c r="C6976" s="92" t="s">
        <v>14510</v>
      </c>
      <c r="D6976" s="72" t="str">
        <f>IFERROR(VLOOKUP(A6976,'[1]ST-QA-ZZ5'!$C$5:$M$299,11,0),"Inspection at production line")</f>
        <v>Inspection at production line</v>
      </c>
    </row>
    <row r="6977" spans="1:4" ht="13.8">
      <c r="A6977" s="47" t="s">
        <v>14511</v>
      </c>
      <c r="B6977" s="92" t="s">
        <v>397</v>
      </c>
      <c r="C6977" s="92" t="s">
        <v>14512</v>
      </c>
      <c r="D6977" s="72" t="str">
        <f>IFERROR(VLOOKUP(A6977,'[1]ST-QA-ZZ5'!$C$5:$M$299,11,0),"Inspection at production line")</f>
        <v>Inspection at production line</v>
      </c>
    </row>
    <row r="6978" spans="1:4" ht="13.8">
      <c r="A6978" s="47" t="s">
        <v>18225</v>
      </c>
      <c r="B6978" s="92" t="s">
        <v>404</v>
      </c>
      <c r="C6978" s="92" t="s">
        <v>18226</v>
      </c>
      <c r="D6978" s="72" t="str">
        <f>IFERROR(VLOOKUP(A6978,'[1]ST-QA-ZZ5'!$C$5:$M$299,11,0),"Inspection at production line")</f>
        <v>Inspection at production line</v>
      </c>
    </row>
    <row r="6979" spans="1:4" ht="13.8">
      <c r="A6979" s="47" t="s">
        <v>18227</v>
      </c>
      <c r="B6979" s="92" t="s">
        <v>404</v>
      </c>
      <c r="C6979" s="92" t="s">
        <v>18228</v>
      </c>
      <c r="D6979" s="72" t="str">
        <f>IFERROR(VLOOKUP(A6979,'[1]ST-QA-ZZ5'!$C$5:$M$299,11,0),"Inspection at production line")</f>
        <v>Inspection at production line</v>
      </c>
    </row>
    <row r="6980" spans="1:4" ht="13.8">
      <c r="A6980" s="47" t="s">
        <v>14513</v>
      </c>
      <c r="B6980" s="92" t="s">
        <v>14514</v>
      </c>
      <c r="C6980" s="92" t="s">
        <v>14514</v>
      </c>
      <c r="D6980" s="72" t="str">
        <f>IFERROR(VLOOKUP(A6980,'[1]ST-QA-ZZ5'!$C$5:$M$299,11,0),"Inspection at production line")</f>
        <v>Inspection at production line</v>
      </c>
    </row>
    <row r="6981" spans="1:4" ht="13.8">
      <c r="A6981" s="47" t="s">
        <v>14515</v>
      </c>
      <c r="B6981" s="92" t="s">
        <v>14516</v>
      </c>
      <c r="C6981" s="92" t="s">
        <v>14516</v>
      </c>
      <c r="D6981" s="72" t="str">
        <f>IFERROR(VLOOKUP(A6981,'[1]ST-QA-ZZ5'!$C$5:$M$299,11,0),"Inspection at production line")</f>
        <v>Inspection at production line</v>
      </c>
    </row>
    <row r="6982" spans="1:4" ht="13.8">
      <c r="A6982" s="47" t="s">
        <v>14517</v>
      </c>
      <c r="B6982" s="92" t="s">
        <v>10179</v>
      </c>
      <c r="C6982" s="92" t="s">
        <v>14518</v>
      </c>
      <c r="D6982" s="72" t="str">
        <f>IFERROR(VLOOKUP(A6982,'[1]ST-QA-ZZ5'!$C$5:$M$299,11,0),"Inspection at production line")</f>
        <v>Inspection at production line</v>
      </c>
    </row>
    <row r="6983" spans="1:4" ht="13.8">
      <c r="A6983" s="47" t="s">
        <v>14519</v>
      </c>
      <c r="B6983" s="92" t="s">
        <v>14520</v>
      </c>
      <c r="C6983" s="92" t="s">
        <v>14520</v>
      </c>
      <c r="D6983" s="72" t="str">
        <f>IFERROR(VLOOKUP(A6983,'[1]ST-QA-ZZ5'!$C$5:$M$299,11,0),"Inspection at production line")</f>
        <v>Inspection at production line</v>
      </c>
    </row>
    <row r="6984" spans="1:4" ht="13.8">
      <c r="A6984" s="47" t="s">
        <v>14521</v>
      </c>
      <c r="B6984" s="92" t="s">
        <v>14522</v>
      </c>
      <c r="C6984" s="92" t="s">
        <v>14523</v>
      </c>
      <c r="D6984" s="72" t="str">
        <f>IFERROR(VLOOKUP(A6984,'[1]ST-QA-ZZ5'!$C$5:$M$299,11,0),"Inspection at production line")</f>
        <v>Inspection at production line</v>
      </c>
    </row>
    <row r="6985" spans="1:4" ht="13.8">
      <c r="A6985" s="47" t="s">
        <v>14524</v>
      </c>
      <c r="B6985" s="92" t="s">
        <v>174</v>
      </c>
      <c r="C6985" s="92" t="s">
        <v>476</v>
      </c>
      <c r="D6985" s="72" t="str">
        <f>IFERROR(VLOOKUP(A6985,'[1]ST-QA-ZZ5'!$C$5:$M$299,11,0),"Inspection at production line")</f>
        <v>Inspection at production line</v>
      </c>
    </row>
    <row r="6986" spans="1:4" ht="13.8">
      <c r="A6986" s="47" t="s">
        <v>14525</v>
      </c>
      <c r="B6986" s="92" t="s">
        <v>174</v>
      </c>
      <c r="C6986" s="92" t="s">
        <v>5276</v>
      </c>
      <c r="D6986" s="72" t="str">
        <f>IFERROR(VLOOKUP(A6986,'[1]ST-QA-ZZ5'!$C$5:$M$299,11,0),"Inspection at production line")</f>
        <v>Inspection at production line</v>
      </c>
    </row>
    <row r="6987" spans="1:4" ht="13.8">
      <c r="A6987" s="47" t="s">
        <v>14526</v>
      </c>
      <c r="B6987" s="92" t="s">
        <v>174</v>
      </c>
      <c r="C6987" s="92" t="s">
        <v>6527</v>
      </c>
      <c r="D6987" s="72" t="str">
        <f>IFERROR(VLOOKUP(A6987,'[1]ST-QA-ZZ5'!$C$5:$M$299,11,0),"Inspection at production line")</f>
        <v>Inspection at production line</v>
      </c>
    </row>
    <row r="6988" spans="1:4" ht="13.8">
      <c r="A6988" s="47" t="s">
        <v>14527</v>
      </c>
      <c r="B6988" s="92" t="s">
        <v>174</v>
      </c>
      <c r="C6988" s="92" t="s">
        <v>6525</v>
      </c>
      <c r="D6988" s="72" t="str">
        <f>IFERROR(VLOOKUP(A6988,'[1]ST-QA-ZZ5'!$C$5:$M$299,11,0),"Inspection at production line")</f>
        <v>Inspection at production line</v>
      </c>
    </row>
    <row r="6989" spans="1:4" ht="13.8">
      <c r="A6989" s="47" t="s">
        <v>14528</v>
      </c>
      <c r="B6989" s="92" t="s">
        <v>174</v>
      </c>
      <c r="C6989" s="92" t="s">
        <v>6529</v>
      </c>
      <c r="D6989" s="72" t="str">
        <f>IFERROR(VLOOKUP(A6989,'[1]ST-QA-ZZ5'!$C$5:$M$299,11,0),"Inspection at production line")</f>
        <v>Inspection at production line</v>
      </c>
    </row>
    <row r="6990" spans="1:4" ht="13.8">
      <c r="A6990" s="47" t="s">
        <v>14529</v>
      </c>
      <c r="B6990" s="92" t="s">
        <v>183</v>
      </c>
      <c r="C6990" s="92" t="s">
        <v>183</v>
      </c>
      <c r="D6990" s="72" t="str">
        <f>IFERROR(VLOOKUP(A6990,'[1]ST-QA-ZZ5'!$C$5:$M$299,11,0),"Inspection at production line")</f>
        <v>Inspection at production line</v>
      </c>
    </row>
    <row r="6991" spans="1:4" ht="13.8">
      <c r="A6991" s="47" t="s">
        <v>14530</v>
      </c>
      <c r="B6991" s="92" t="s">
        <v>2024</v>
      </c>
      <c r="C6991" s="92" t="s">
        <v>14531</v>
      </c>
      <c r="D6991" s="72" t="str">
        <f>IFERROR(VLOOKUP(A6991,'[1]ST-QA-ZZ5'!$C$5:$M$299,11,0),"Inspection at production line")</f>
        <v>Inspection at production line</v>
      </c>
    </row>
    <row r="6992" spans="1:4" ht="13.8">
      <c r="A6992" s="47" t="s">
        <v>14532</v>
      </c>
      <c r="B6992" s="92" t="s">
        <v>555</v>
      </c>
      <c r="C6992" s="92" t="s">
        <v>14533</v>
      </c>
      <c r="D6992" s="72" t="str">
        <f>IFERROR(VLOOKUP(A6992,'[1]ST-QA-ZZ5'!$C$5:$M$299,11,0),"Inspection at production line")</f>
        <v>Inspection at production line</v>
      </c>
    </row>
    <row r="6993" spans="1:4" ht="13.8">
      <c r="A6993" s="47" t="s">
        <v>14534</v>
      </c>
      <c r="B6993" s="92" t="s">
        <v>2069</v>
      </c>
      <c r="C6993" s="92" t="s">
        <v>14535</v>
      </c>
      <c r="D6993" s="72" t="str">
        <f>IFERROR(VLOOKUP(A6993,'[1]ST-QA-ZZ5'!$C$5:$M$299,11,0),"Inspection at production line")</f>
        <v>Inspection at production line</v>
      </c>
    </row>
    <row r="6994" spans="1:4" ht="13.8">
      <c r="A6994" s="47" t="s">
        <v>14536</v>
      </c>
      <c r="B6994" s="92" t="s">
        <v>14537</v>
      </c>
      <c r="C6994" s="92" t="s">
        <v>14538</v>
      </c>
      <c r="D6994" s="72" t="str">
        <f>IFERROR(VLOOKUP(A6994,'[1]ST-QA-ZZ5'!$C$5:$M$299,11,0),"Inspection at production line")</f>
        <v>Inspection at production line</v>
      </c>
    </row>
    <row r="6995" spans="1:4" ht="13.8">
      <c r="A6995" s="47" t="s">
        <v>14539</v>
      </c>
      <c r="B6995" s="92" t="s">
        <v>119</v>
      </c>
      <c r="C6995" s="92" t="s">
        <v>14540</v>
      </c>
      <c r="D6995" s="72" t="str">
        <f>IFERROR(VLOOKUP(A6995,'[1]ST-QA-ZZ5'!$C$5:$M$299,11,0),"Inspection at production line")</f>
        <v>Inspection at production line</v>
      </c>
    </row>
    <row r="6996" spans="1:4" ht="13.8">
      <c r="A6996" s="47" t="s">
        <v>14541</v>
      </c>
      <c r="B6996" s="92" t="s">
        <v>75</v>
      </c>
      <c r="C6996" s="92" t="s">
        <v>14542</v>
      </c>
      <c r="D6996" s="72" t="str">
        <f>IFERROR(VLOOKUP(A6996,'[1]ST-QA-ZZ5'!$C$5:$M$299,11,0),"Inspection at production line")</f>
        <v>Inspection at production line</v>
      </c>
    </row>
    <row r="6997" spans="1:4" ht="13.8">
      <c r="A6997" s="47" t="s">
        <v>14543</v>
      </c>
      <c r="B6997" s="92" t="s">
        <v>1833</v>
      </c>
      <c r="C6997" s="92" t="s">
        <v>14544</v>
      </c>
      <c r="D6997" s="72" t="str">
        <f>IFERROR(VLOOKUP(A6997,'[1]ST-QA-ZZ5'!$C$5:$M$299,11,0),"Inspection at production line")</f>
        <v>Inspection at production line</v>
      </c>
    </row>
    <row r="6998" spans="1:4" ht="13.8">
      <c r="A6998" s="47" t="s">
        <v>14545</v>
      </c>
      <c r="B6998" s="92" t="s">
        <v>68</v>
      </c>
      <c r="C6998" s="92" t="s">
        <v>14546</v>
      </c>
      <c r="D6998" s="72" t="str">
        <f>IFERROR(VLOOKUP(A6998,'[1]ST-QA-ZZ5'!$C$5:$M$299,11,0),"Inspection at production line")</f>
        <v>Inspection at production line</v>
      </c>
    </row>
    <row r="6999" spans="1:4" ht="13.8">
      <c r="A6999" s="47" t="s">
        <v>14547</v>
      </c>
      <c r="B6999" s="92" t="s">
        <v>1833</v>
      </c>
      <c r="C6999" s="92" t="s">
        <v>14548</v>
      </c>
      <c r="D6999" s="72" t="str">
        <f>IFERROR(VLOOKUP(A6999,'[1]ST-QA-ZZ5'!$C$5:$M$299,11,0),"Inspection at production line")</f>
        <v>Inspection at production line</v>
      </c>
    </row>
    <row r="7000" spans="1:4" ht="13.8">
      <c r="A7000" s="47" t="s">
        <v>14549</v>
      </c>
      <c r="B7000" s="92" t="s">
        <v>857</v>
      </c>
      <c r="C7000" s="92" t="s">
        <v>14550</v>
      </c>
      <c r="D7000" s="72" t="str">
        <f>IFERROR(VLOOKUP(A7000,'[1]ST-QA-ZZ5'!$C$5:$M$299,11,0),"Inspection at production line")</f>
        <v>Inspection at production line</v>
      </c>
    </row>
    <row r="7001" spans="1:4" ht="13.8">
      <c r="A7001" s="47" t="s">
        <v>14551</v>
      </c>
      <c r="B7001" s="92" t="s">
        <v>2024</v>
      </c>
      <c r="C7001" s="92" t="s">
        <v>14552</v>
      </c>
      <c r="D7001" s="72" t="str">
        <f>IFERROR(VLOOKUP(A7001,'[1]ST-QA-ZZ5'!$C$5:$M$299,11,0),"Inspection at production line")</f>
        <v>Inspection at production line</v>
      </c>
    </row>
    <row r="7002" spans="1:4" ht="13.8">
      <c r="A7002" s="47" t="s">
        <v>14553</v>
      </c>
      <c r="B7002" s="92" t="s">
        <v>555</v>
      </c>
      <c r="C7002" s="92" t="s">
        <v>14554</v>
      </c>
      <c r="D7002" s="72" t="str">
        <f>IFERROR(VLOOKUP(A7002,'[1]ST-QA-ZZ5'!$C$5:$M$299,11,0),"Inspection at production line")</f>
        <v>Inspection at production line</v>
      </c>
    </row>
    <row r="7003" spans="1:4" ht="13.8">
      <c r="A7003" s="47" t="s">
        <v>14555</v>
      </c>
      <c r="B7003" s="92" t="s">
        <v>555</v>
      </c>
      <c r="C7003" s="92" t="s">
        <v>14556</v>
      </c>
      <c r="D7003" s="72" t="str">
        <f>IFERROR(VLOOKUP(A7003,'[1]ST-QA-ZZ5'!$C$5:$M$299,11,0),"Inspection at production line")</f>
        <v>Inspection at production line</v>
      </c>
    </row>
    <row r="7004" spans="1:4" ht="13.8">
      <c r="A7004" s="47" t="s">
        <v>14557</v>
      </c>
      <c r="B7004" s="92" t="s">
        <v>555</v>
      </c>
      <c r="C7004" s="92" t="s">
        <v>14558</v>
      </c>
      <c r="D7004" s="72" t="str">
        <f>IFERROR(VLOOKUP(A7004,'[1]ST-QA-ZZ5'!$C$5:$M$299,11,0),"Inspection at production line")</f>
        <v>Inspection at production line</v>
      </c>
    </row>
    <row r="7005" spans="1:4" ht="13.8">
      <c r="A7005" s="47" t="s">
        <v>14559</v>
      </c>
      <c r="B7005" s="92" t="s">
        <v>555</v>
      </c>
      <c r="C7005" s="92" t="s">
        <v>14560</v>
      </c>
      <c r="D7005" s="72" t="str">
        <f>IFERROR(VLOOKUP(A7005,'[1]ST-QA-ZZ5'!$C$5:$M$299,11,0),"Inspection at production line")</f>
        <v>Inspection at production line</v>
      </c>
    </row>
    <row r="7006" spans="1:4" ht="13.8">
      <c r="A7006" s="47" t="s">
        <v>14561</v>
      </c>
      <c r="B7006" s="92" t="s">
        <v>555</v>
      </c>
      <c r="C7006" s="92" t="s">
        <v>14562</v>
      </c>
      <c r="D7006" s="72" t="str">
        <f>IFERROR(VLOOKUP(A7006,'[1]ST-QA-ZZ5'!$C$5:$M$299,11,0),"Inspection at production line")</f>
        <v>Inspection at production line</v>
      </c>
    </row>
    <row r="7007" spans="1:4" ht="13.8">
      <c r="A7007" s="47" t="s">
        <v>14563</v>
      </c>
      <c r="B7007" s="92" t="s">
        <v>794</v>
      </c>
      <c r="C7007" s="92" t="s">
        <v>14564</v>
      </c>
      <c r="D7007" s="72" t="str">
        <f>IFERROR(VLOOKUP(A7007,'[1]ST-QA-ZZ5'!$C$5:$M$299,11,0),"Inspection at production line")</f>
        <v>Inspection at production line</v>
      </c>
    </row>
    <row r="7008" spans="1:4" ht="13.8">
      <c r="A7008" s="47" t="s">
        <v>14565</v>
      </c>
      <c r="B7008" s="92" t="s">
        <v>794</v>
      </c>
      <c r="C7008" s="92" t="s">
        <v>14566</v>
      </c>
      <c r="D7008" s="72" t="str">
        <f>IFERROR(VLOOKUP(A7008,'[1]ST-QA-ZZ5'!$C$5:$M$299,11,0),"Inspection at production line")</f>
        <v>Inspection at production line</v>
      </c>
    </row>
    <row r="7009" spans="1:4" ht="13.8">
      <c r="A7009" s="47" t="s">
        <v>14567</v>
      </c>
      <c r="B7009" s="92" t="s">
        <v>4637</v>
      </c>
      <c r="C7009" s="92" t="s">
        <v>14568</v>
      </c>
      <c r="D7009" s="72" t="str">
        <f>IFERROR(VLOOKUP(A7009,'[1]ST-QA-ZZ5'!$C$5:$M$299,11,0),"Inspection at production line")</f>
        <v>Inspection at production line</v>
      </c>
    </row>
    <row r="7010" spans="1:4" ht="13.8">
      <c r="A7010" s="47" t="s">
        <v>14569</v>
      </c>
      <c r="B7010" s="92" t="s">
        <v>2024</v>
      </c>
      <c r="C7010" s="92" t="s">
        <v>14570</v>
      </c>
      <c r="D7010" s="72" t="str">
        <f>IFERROR(VLOOKUP(A7010,'[1]ST-QA-ZZ5'!$C$5:$M$299,11,0),"Inspection at production line")</f>
        <v>Inspection at production line</v>
      </c>
    </row>
    <row r="7011" spans="1:4" ht="13.8">
      <c r="A7011" s="47" t="s">
        <v>14571</v>
      </c>
      <c r="B7011" s="92" t="s">
        <v>4637</v>
      </c>
      <c r="C7011" s="92" t="s">
        <v>14572</v>
      </c>
      <c r="D7011" s="72" t="str">
        <f>IFERROR(VLOOKUP(A7011,'[1]ST-QA-ZZ5'!$C$5:$M$299,11,0),"Inspection at production line")</f>
        <v>Inspection at production line</v>
      </c>
    </row>
    <row r="7012" spans="1:4" ht="13.8">
      <c r="A7012" s="47" t="s">
        <v>14573</v>
      </c>
      <c r="B7012" s="92" t="s">
        <v>4637</v>
      </c>
      <c r="C7012" s="92" t="s">
        <v>14574</v>
      </c>
      <c r="D7012" s="72" t="str">
        <f>IFERROR(VLOOKUP(A7012,'[1]ST-QA-ZZ5'!$C$5:$M$299,11,0),"Inspection at production line")</f>
        <v>Inspection at production line</v>
      </c>
    </row>
    <row r="7013" spans="1:4" ht="13.8">
      <c r="A7013" s="47" t="s">
        <v>14575</v>
      </c>
      <c r="B7013" s="92" t="s">
        <v>4637</v>
      </c>
      <c r="C7013" s="92" t="s">
        <v>14576</v>
      </c>
      <c r="D7013" s="72" t="str">
        <f>IFERROR(VLOOKUP(A7013,'[1]ST-QA-ZZ5'!$C$5:$M$299,11,0),"Inspection at production line")</f>
        <v>Inspection at production line</v>
      </c>
    </row>
    <row r="7014" spans="1:4" ht="13.8">
      <c r="A7014" s="47" t="s">
        <v>14577</v>
      </c>
      <c r="B7014" s="92" t="s">
        <v>6518</v>
      </c>
      <c r="C7014" s="92" t="s">
        <v>14578</v>
      </c>
      <c r="D7014" s="72" t="str">
        <f>IFERROR(VLOOKUP(A7014,'[1]ST-QA-ZZ5'!$C$5:$M$299,11,0),"Inspection at production line")</f>
        <v>Inspection at production line</v>
      </c>
    </row>
    <row r="7015" spans="1:4" ht="13.8">
      <c r="A7015" s="47" t="s">
        <v>14579</v>
      </c>
      <c r="B7015" s="92" t="s">
        <v>1833</v>
      </c>
      <c r="C7015" s="92" t="s">
        <v>10278</v>
      </c>
      <c r="D7015" s="72" t="str">
        <f>IFERROR(VLOOKUP(A7015,'[1]ST-QA-ZZ5'!$C$5:$M$299,11,0),"Inspection at production line")</f>
        <v>Inspection at production line</v>
      </c>
    </row>
    <row r="7016" spans="1:4" ht="13.8">
      <c r="A7016" s="47" t="s">
        <v>14580</v>
      </c>
      <c r="B7016" s="92" t="s">
        <v>2460</v>
      </c>
      <c r="C7016" s="92" t="s">
        <v>10280</v>
      </c>
      <c r="D7016" s="72" t="str">
        <f>IFERROR(VLOOKUP(A7016,'[1]ST-QA-ZZ5'!$C$5:$M$299,11,0),"Inspection at production line")</f>
        <v>Inspection at production line</v>
      </c>
    </row>
    <row r="7017" spans="1:4" ht="13.8">
      <c r="A7017" s="47" t="s">
        <v>14581</v>
      </c>
      <c r="B7017" s="92" t="s">
        <v>6504</v>
      </c>
      <c r="C7017" s="92" t="s">
        <v>10282</v>
      </c>
      <c r="D7017" s="72" t="str">
        <f>IFERROR(VLOOKUP(A7017,'[1]ST-QA-ZZ5'!$C$5:$M$299,11,0),"Inspection at production line")</f>
        <v>Inspection at production line</v>
      </c>
    </row>
    <row r="7018" spans="1:4" ht="13.8">
      <c r="A7018" s="47" t="s">
        <v>14582</v>
      </c>
      <c r="B7018" s="92" t="s">
        <v>745</v>
      </c>
      <c r="C7018" s="92" t="s">
        <v>10342</v>
      </c>
      <c r="D7018" s="72" t="str">
        <f>IFERROR(VLOOKUP(A7018,'[1]ST-QA-ZZ5'!$C$5:$M$299,11,0),"Inspection at production line")</f>
        <v>Inspection at production line</v>
      </c>
    </row>
    <row r="7019" spans="1:4" ht="13.8">
      <c r="A7019" s="47" t="s">
        <v>14583</v>
      </c>
      <c r="B7019" s="92" t="s">
        <v>805</v>
      </c>
      <c r="C7019" s="92" t="s">
        <v>805</v>
      </c>
      <c r="D7019" s="72" t="str">
        <f>IFERROR(VLOOKUP(A7019,'[1]ST-QA-ZZ5'!$C$5:$M$299,11,0),"Inspection at production line")</f>
        <v>Inspection at production line</v>
      </c>
    </row>
    <row r="7020" spans="1:4" ht="13.8">
      <c r="A7020" s="47" t="s">
        <v>14584</v>
      </c>
      <c r="B7020" s="92" t="s">
        <v>3363</v>
      </c>
      <c r="C7020" s="92" t="s">
        <v>14585</v>
      </c>
      <c r="D7020" s="72" t="str">
        <f>IFERROR(VLOOKUP(A7020,'[1]ST-QA-ZZ5'!$C$5:$M$299,11,0),"Inspection at production line")</f>
        <v>Inspection at production line</v>
      </c>
    </row>
    <row r="7021" spans="1:4" ht="13.8">
      <c r="A7021" s="47" t="s">
        <v>14586</v>
      </c>
      <c r="B7021" s="92" t="s">
        <v>2024</v>
      </c>
      <c r="C7021" s="92" t="s">
        <v>14587</v>
      </c>
      <c r="D7021" s="72" t="str">
        <f>IFERROR(VLOOKUP(A7021,'[1]ST-QA-ZZ5'!$C$5:$M$299,11,0),"Inspection at production line")</f>
        <v>Inspection at production line</v>
      </c>
    </row>
    <row r="7022" spans="1:4" ht="13.8">
      <c r="A7022" s="47" t="s">
        <v>14588</v>
      </c>
      <c r="B7022" s="92" t="s">
        <v>2024</v>
      </c>
      <c r="C7022" s="92" t="s">
        <v>14589</v>
      </c>
      <c r="D7022" s="72" t="str">
        <f>IFERROR(VLOOKUP(A7022,'[1]ST-QA-ZZ5'!$C$5:$M$299,11,0),"Inspection at production line")</f>
        <v>Inspection at production line</v>
      </c>
    </row>
    <row r="7023" spans="1:4" ht="13.8">
      <c r="A7023" s="47" t="s">
        <v>14590</v>
      </c>
      <c r="B7023" s="92" t="s">
        <v>2024</v>
      </c>
      <c r="C7023" s="92" t="s">
        <v>14591</v>
      </c>
      <c r="D7023" s="72" t="str">
        <f>IFERROR(VLOOKUP(A7023,'[1]ST-QA-ZZ5'!$C$5:$M$299,11,0),"Inspection at production line")</f>
        <v>Inspection at production line</v>
      </c>
    </row>
    <row r="7024" spans="1:4" ht="13.8">
      <c r="A7024" s="47" t="s">
        <v>14592</v>
      </c>
      <c r="B7024" s="92" t="s">
        <v>2024</v>
      </c>
      <c r="C7024" s="92" t="s">
        <v>14593</v>
      </c>
      <c r="D7024" s="72" t="str">
        <f>IFERROR(VLOOKUP(A7024,'[1]ST-QA-ZZ5'!$C$5:$M$299,11,0),"Inspection at production line")</f>
        <v>Inspection at production line</v>
      </c>
    </row>
    <row r="7025" spans="1:4" ht="13.8">
      <c r="A7025" s="47" t="s">
        <v>14594</v>
      </c>
      <c r="B7025" s="92" t="s">
        <v>2024</v>
      </c>
      <c r="C7025" s="92" t="s">
        <v>14595</v>
      </c>
      <c r="D7025" s="72" t="str">
        <f>IFERROR(VLOOKUP(A7025,'[1]ST-QA-ZZ5'!$C$5:$M$299,11,0),"Inspection at production line")</f>
        <v>Inspection at production line</v>
      </c>
    </row>
    <row r="7026" spans="1:4" ht="13.8">
      <c r="A7026" s="47" t="s">
        <v>14596</v>
      </c>
      <c r="B7026" s="92" t="s">
        <v>14597</v>
      </c>
      <c r="C7026" s="92" t="s">
        <v>14597</v>
      </c>
      <c r="D7026" s="72" t="str">
        <f>IFERROR(VLOOKUP(A7026,'[1]ST-QA-ZZ5'!$C$5:$M$299,11,0),"Inspection at production line")</f>
        <v>Inspection at production line</v>
      </c>
    </row>
    <row r="7027" spans="1:4" ht="13.8">
      <c r="A7027" s="47" t="s">
        <v>14598</v>
      </c>
      <c r="B7027" s="92" t="s">
        <v>959</v>
      </c>
      <c r="C7027" s="92" t="s">
        <v>14599</v>
      </c>
      <c r="D7027" s="72" t="str">
        <f>IFERROR(VLOOKUP(A7027,'[1]ST-QA-ZZ5'!$C$5:$M$299,11,0),"Inspection at production line")</f>
        <v>Inspection at production line</v>
      </c>
    </row>
    <row r="7028" spans="1:4" ht="13.8">
      <c r="A7028" s="47" t="s">
        <v>14600</v>
      </c>
      <c r="B7028" s="92" t="s">
        <v>90</v>
      </c>
      <c r="C7028" s="92" t="s">
        <v>14601</v>
      </c>
      <c r="D7028" s="72" t="str">
        <f>IFERROR(VLOOKUP(A7028,'[1]ST-QA-ZZ5'!$C$5:$M$299,11,0),"Inspection at production line")</f>
        <v>Inspection at production line</v>
      </c>
    </row>
    <row r="7029" spans="1:4" ht="13.8">
      <c r="A7029" s="47" t="s">
        <v>14602</v>
      </c>
      <c r="B7029" s="92" t="s">
        <v>90</v>
      </c>
      <c r="C7029" s="92" t="s">
        <v>14603</v>
      </c>
      <c r="D7029" s="72" t="str">
        <f>IFERROR(VLOOKUP(A7029,'[1]ST-QA-ZZ5'!$C$5:$M$299,11,0),"Inspection at production line")</f>
        <v>Inspection at production line</v>
      </c>
    </row>
    <row r="7030" spans="1:4" ht="13.8">
      <c r="A7030" s="47" t="s">
        <v>14604</v>
      </c>
      <c r="B7030" s="92" t="s">
        <v>90</v>
      </c>
      <c r="C7030" s="92" t="s">
        <v>14605</v>
      </c>
      <c r="D7030" s="72" t="str">
        <f>IFERROR(VLOOKUP(A7030,'[1]ST-QA-ZZ5'!$C$5:$M$299,11,0),"Inspection at production line")</f>
        <v>Inspection at production line</v>
      </c>
    </row>
    <row r="7031" spans="1:4" ht="13.8">
      <c r="A7031" s="47" t="s">
        <v>14606</v>
      </c>
      <c r="B7031" s="92" t="s">
        <v>90</v>
      </c>
      <c r="C7031" s="92" t="s">
        <v>14607</v>
      </c>
      <c r="D7031" s="72" t="str">
        <f>IFERROR(VLOOKUP(A7031,'[1]ST-QA-ZZ5'!$C$5:$M$299,11,0),"Inspection at production line")</f>
        <v>Inspection at production line</v>
      </c>
    </row>
    <row r="7032" spans="1:4" ht="13.8">
      <c r="A7032" s="47" t="s">
        <v>14608</v>
      </c>
      <c r="B7032" s="92" t="s">
        <v>905</v>
      </c>
      <c r="C7032" s="92" t="s">
        <v>905</v>
      </c>
      <c r="D7032" s="72" t="str">
        <f>IFERROR(VLOOKUP(A7032,'[1]ST-QA-ZZ5'!$C$5:$M$299,11,0),"Inspection at production line")</f>
        <v>Inspection at production line</v>
      </c>
    </row>
    <row r="7033" spans="1:4" ht="13.8">
      <c r="A7033" s="47" t="s">
        <v>14609</v>
      </c>
      <c r="B7033" s="92" t="s">
        <v>4637</v>
      </c>
      <c r="C7033" s="92" t="s">
        <v>10302</v>
      </c>
      <c r="D7033" s="72" t="str">
        <f>IFERROR(VLOOKUP(A7033,'[1]ST-QA-ZZ5'!$C$5:$M$299,11,0),"Inspection at production line")</f>
        <v>Inspection at production line</v>
      </c>
    </row>
    <row r="7034" spans="1:4" ht="13.8">
      <c r="A7034" s="47" t="s">
        <v>14610</v>
      </c>
      <c r="B7034" s="92" t="s">
        <v>1678</v>
      </c>
      <c r="C7034" s="92" t="s">
        <v>14611</v>
      </c>
      <c r="D7034" s="72" t="str">
        <f>IFERROR(VLOOKUP(A7034,'[1]ST-QA-ZZ5'!$C$5:$M$299,11,0),"Inspection at production line")</f>
        <v>Inspection at production line</v>
      </c>
    </row>
    <row r="7035" spans="1:4" ht="13.8">
      <c r="A7035" s="47" t="s">
        <v>14612</v>
      </c>
      <c r="B7035" s="92" t="s">
        <v>4637</v>
      </c>
      <c r="C7035" s="92" t="s">
        <v>14613</v>
      </c>
      <c r="D7035" s="72" t="str">
        <f>IFERROR(VLOOKUP(A7035,'[1]ST-QA-ZZ5'!$C$5:$M$299,11,0),"Inspection at production line")</f>
        <v>Inspection at production line</v>
      </c>
    </row>
    <row r="7036" spans="1:4" ht="13.8">
      <c r="A7036" s="47" t="s">
        <v>14614</v>
      </c>
      <c r="B7036" s="92" t="s">
        <v>4637</v>
      </c>
      <c r="C7036" s="92" t="s">
        <v>14615</v>
      </c>
      <c r="D7036" s="72" t="str">
        <f>IFERROR(VLOOKUP(A7036,'[1]ST-QA-ZZ5'!$C$5:$M$299,11,0),"Inspection at production line")</f>
        <v>Inspection at production line</v>
      </c>
    </row>
    <row r="7037" spans="1:4" ht="13.8">
      <c r="A7037" s="47" t="s">
        <v>14616</v>
      </c>
      <c r="B7037" s="92" t="s">
        <v>1833</v>
      </c>
      <c r="C7037" s="92" t="s">
        <v>14617</v>
      </c>
      <c r="D7037" s="72" t="str">
        <f>IFERROR(VLOOKUP(A7037,'[1]ST-QA-ZZ5'!$C$5:$M$299,11,0),"Inspection at production line")</f>
        <v>Inspection at production line</v>
      </c>
    </row>
    <row r="7038" spans="1:4" ht="13.8">
      <c r="A7038" s="47" t="s">
        <v>14618</v>
      </c>
      <c r="B7038" s="92" t="s">
        <v>2460</v>
      </c>
      <c r="C7038" s="92" t="s">
        <v>14619</v>
      </c>
      <c r="D7038" s="72" t="str">
        <f>IFERROR(VLOOKUP(A7038,'[1]ST-QA-ZZ5'!$C$5:$M$299,11,0),"Inspection at production line")</f>
        <v>Inspection at production line</v>
      </c>
    </row>
    <row r="7039" spans="1:4" ht="13.8">
      <c r="A7039" s="47" t="s">
        <v>14620</v>
      </c>
      <c r="B7039" s="92" t="s">
        <v>959</v>
      </c>
      <c r="C7039" s="92" t="s">
        <v>14621</v>
      </c>
      <c r="D7039" s="72" t="str">
        <f>IFERROR(VLOOKUP(A7039,'[1]ST-QA-ZZ5'!$C$5:$M$299,11,0),"Inspection at production line")</f>
        <v>Inspection at production line</v>
      </c>
    </row>
    <row r="7040" spans="1:4" ht="13.8">
      <c r="A7040" s="47" t="s">
        <v>14622</v>
      </c>
      <c r="B7040" s="92" t="s">
        <v>959</v>
      </c>
      <c r="C7040" s="92" t="s">
        <v>14623</v>
      </c>
      <c r="D7040" s="72" t="str">
        <f>IFERROR(VLOOKUP(A7040,'[1]ST-QA-ZZ5'!$C$5:$M$299,11,0),"Inspection at production line")</f>
        <v>Inspection at production line</v>
      </c>
    </row>
    <row r="7041" spans="1:4" ht="13.8">
      <c r="A7041" s="47" t="s">
        <v>14624</v>
      </c>
      <c r="B7041" s="92" t="s">
        <v>3092</v>
      </c>
      <c r="C7041" s="92" t="s">
        <v>14625</v>
      </c>
      <c r="D7041" s="72" t="str">
        <f>IFERROR(VLOOKUP(A7041,'[1]ST-QA-ZZ5'!$C$5:$M$299,11,0),"Inspection at production line")</f>
        <v>Inspection at production line</v>
      </c>
    </row>
    <row r="7042" spans="1:4" ht="13.8">
      <c r="A7042" s="47" t="s">
        <v>14626</v>
      </c>
      <c r="B7042" s="92" t="s">
        <v>2024</v>
      </c>
      <c r="C7042" s="92" t="s">
        <v>14627</v>
      </c>
      <c r="D7042" s="72" t="str">
        <f>IFERROR(VLOOKUP(A7042,'[1]ST-QA-ZZ5'!$C$5:$M$299,11,0),"Inspection at production line")</f>
        <v>Inspection at production line</v>
      </c>
    </row>
    <row r="7043" spans="1:4" ht="13.8">
      <c r="A7043" s="47" t="s">
        <v>14628</v>
      </c>
      <c r="B7043" s="92" t="s">
        <v>2024</v>
      </c>
      <c r="C7043" s="92" t="s">
        <v>14629</v>
      </c>
      <c r="D7043" s="72" t="str">
        <f>IFERROR(VLOOKUP(A7043,'[1]ST-QA-ZZ5'!$C$5:$M$299,11,0),"Inspection at production line")</f>
        <v>Inspection at production line</v>
      </c>
    </row>
    <row r="7044" spans="1:4" ht="13.8">
      <c r="A7044" s="47" t="s">
        <v>14630</v>
      </c>
      <c r="B7044" s="92" t="s">
        <v>2024</v>
      </c>
      <c r="C7044" s="92" t="s">
        <v>14631</v>
      </c>
      <c r="D7044" s="72" t="str">
        <f>IFERROR(VLOOKUP(A7044,'[1]ST-QA-ZZ5'!$C$5:$M$299,11,0),"Inspection at production line")</f>
        <v>Inspection at production line</v>
      </c>
    </row>
    <row r="7045" spans="1:4" ht="13.8">
      <c r="A7045" s="47" t="s">
        <v>14632</v>
      </c>
      <c r="B7045" s="92" t="s">
        <v>2024</v>
      </c>
      <c r="C7045" s="92" t="s">
        <v>14633</v>
      </c>
      <c r="D7045" s="72" t="str">
        <f>IFERROR(VLOOKUP(A7045,'[1]ST-QA-ZZ5'!$C$5:$M$299,11,0),"Inspection at production line")</f>
        <v>Inspection at production line</v>
      </c>
    </row>
    <row r="7046" spans="1:4" ht="13.8">
      <c r="A7046" s="47" t="s">
        <v>14634</v>
      </c>
      <c r="B7046" s="92" t="s">
        <v>2024</v>
      </c>
      <c r="C7046" s="92" t="s">
        <v>14635</v>
      </c>
      <c r="D7046" s="72" t="str">
        <f>IFERROR(VLOOKUP(A7046,'[1]ST-QA-ZZ5'!$C$5:$M$299,11,0),"Inspection at production line")</f>
        <v>Inspection at production line</v>
      </c>
    </row>
    <row r="7047" spans="1:4" ht="13.8">
      <c r="A7047" s="47" t="s">
        <v>14636</v>
      </c>
      <c r="B7047" s="92" t="s">
        <v>959</v>
      </c>
      <c r="C7047" s="92" t="s">
        <v>959</v>
      </c>
      <c r="D7047" s="72" t="str">
        <f>IFERROR(VLOOKUP(A7047,'[1]ST-QA-ZZ5'!$C$5:$M$299,11,0),"Inspection at production line")</f>
        <v>Inspection at production line</v>
      </c>
    </row>
    <row r="7048" spans="1:4" ht="13.8">
      <c r="A7048" s="47" t="s">
        <v>14637</v>
      </c>
      <c r="B7048" s="92" t="s">
        <v>2578</v>
      </c>
      <c r="C7048" s="92" t="s">
        <v>14638</v>
      </c>
      <c r="D7048" s="72" t="str">
        <f>IFERROR(VLOOKUP(A7048,'[1]ST-QA-ZZ5'!$C$5:$M$299,11,0),"Inspection at production line")</f>
        <v>Inspection at production line</v>
      </c>
    </row>
    <row r="7049" spans="1:4" ht="13.8">
      <c r="A7049" s="47" t="s">
        <v>14639</v>
      </c>
      <c r="B7049" s="92" t="s">
        <v>2578</v>
      </c>
      <c r="C7049" s="92" t="s">
        <v>14640</v>
      </c>
      <c r="D7049" s="72" t="str">
        <f>IFERROR(VLOOKUP(A7049,'[1]ST-QA-ZZ5'!$C$5:$M$299,11,0),"Inspection at production line")</f>
        <v>Inspection at production line</v>
      </c>
    </row>
    <row r="7050" spans="1:4" ht="13.8">
      <c r="A7050" s="47" t="s">
        <v>14641</v>
      </c>
      <c r="B7050" s="92" t="s">
        <v>2578</v>
      </c>
      <c r="C7050" s="92" t="s">
        <v>14642</v>
      </c>
      <c r="D7050" s="72" t="str">
        <f>IFERROR(VLOOKUP(A7050,'[1]ST-QA-ZZ5'!$C$5:$M$299,11,0),"Inspection at production line")</f>
        <v>Inspection at production line</v>
      </c>
    </row>
    <row r="7051" spans="1:4" ht="13.8">
      <c r="A7051" s="47" t="s">
        <v>14643</v>
      </c>
      <c r="B7051" s="92" t="s">
        <v>2578</v>
      </c>
      <c r="C7051" s="92" t="s">
        <v>14644</v>
      </c>
      <c r="D7051" s="72" t="str">
        <f>IFERROR(VLOOKUP(A7051,'[1]ST-QA-ZZ5'!$C$5:$M$299,11,0),"Inspection at production line")</f>
        <v>Inspection at production line</v>
      </c>
    </row>
    <row r="7052" spans="1:4" ht="13.8">
      <c r="A7052" s="47" t="s">
        <v>14645</v>
      </c>
      <c r="B7052" s="92" t="s">
        <v>2578</v>
      </c>
      <c r="C7052" s="92" t="s">
        <v>14646</v>
      </c>
      <c r="D7052" s="72" t="str">
        <f>IFERROR(VLOOKUP(A7052,'[1]ST-QA-ZZ5'!$C$5:$M$299,11,0),"Inspection at production line")</f>
        <v>Inspection at production line</v>
      </c>
    </row>
    <row r="7053" spans="1:4" ht="13.8">
      <c r="A7053" s="47" t="s">
        <v>14647</v>
      </c>
      <c r="B7053" s="92" t="s">
        <v>2578</v>
      </c>
      <c r="C7053" s="92" t="s">
        <v>14648</v>
      </c>
      <c r="D7053" s="72" t="str">
        <f>IFERROR(VLOOKUP(A7053,'[1]ST-QA-ZZ5'!$C$5:$M$299,11,0),"Inspection at production line")</f>
        <v>Inspection at production line</v>
      </c>
    </row>
    <row r="7054" spans="1:4" ht="13.8">
      <c r="A7054" s="47" t="s">
        <v>14649</v>
      </c>
      <c r="B7054" s="92" t="s">
        <v>2578</v>
      </c>
      <c r="C7054" s="92" t="s">
        <v>14650</v>
      </c>
      <c r="D7054" s="72" t="str">
        <f>IFERROR(VLOOKUP(A7054,'[1]ST-QA-ZZ5'!$C$5:$M$299,11,0),"Inspection at production line")</f>
        <v>Inspection at production line</v>
      </c>
    </row>
    <row r="7055" spans="1:4" ht="13.8">
      <c r="A7055" s="47" t="s">
        <v>14651</v>
      </c>
      <c r="B7055" s="92" t="s">
        <v>2578</v>
      </c>
      <c r="C7055" s="92" t="s">
        <v>14652</v>
      </c>
      <c r="D7055" s="72" t="str">
        <f>IFERROR(VLOOKUP(A7055,'[1]ST-QA-ZZ5'!$C$5:$M$299,11,0),"Inspection at production line")</f>
        <v>Inspection at production line</v>
      </c>
    </row>
    <row r="7056" spans="1:4" ht="13.8">
      <c r="A7056" s="47" t="s">
        <v>14653</v>
      </c>
      <c r="B7056" s="92" t="s">
        <v>2578</v>
      </c>
      <c r="C7056" s="92" t="s">
        <v>14654</v>
      </c>
      <c r="D7056" s="72" t="str">
        <f>IFERROR(VLOOKUP(A7056,'[1]ST-QA-ZZ5'!$C$5:$M$299,11,0),"Inspection at production line")</f>
        <v>Inspection at production line</v>
      </c>
    </row>
    <row r="7057" spans="1:4" ht="13.8">
      <c r="A7057" s="47" t="s">
        <v>14655</v>
      </c>
      <c r="B7057" s="92" t="s">
        <v>2578</v>
      </c>
      <c r="C7057" s="92" t="s">
        <v>14656</v>
      </c>
      <c r="D7057" s="72" t="str">
        <f>IFERROR(VLOOKUP(A7057,'[1]ST-QA-ZZ5'!$C$5:$M$299,11,0),"Inspection at production line")</f>
        <v>Inspection at production line</v>
      </c>
    </row>
    <row r="7058" spans="1:4" ht="13.8">
      <c r="A7058" s="47" t="s">
        <v>14657</v>
      </c>
      <c r="B7058" s="92" t="s">
        <v>1257</v>
      </c>
      <c r="C7058" s="92" t="s">
        <v>14658</v>
      </c>
      <c r="D7058" s="72" t="str">
        <f>IFERROR(VLOOKUP(A7058,'[1]ST-QA-ZZ5'!$C$5:$M$299,11,0),"Inspection at production line")</f>
        <v>Inspection at production line</v>
      </c>
    </row>
    <row r="7059" spans="1:4" ht="13.8">
      <c r="A7059" s="47" t="s">
        <v>14659</v>
      </c>
      <c r="B7059" s="92" t="s">
        <v>1257</v>
      </c>
      <c r="C7059" s="92" t="s">
        <v>14660</v>
      </c>
      <c r="D7059" s="72" t="str">
        <f>IFERROR(VLOOKUP(A7059,'[1]ST-QA-ZZ5'!$C$5:$M$299,11,0),"Inspection at production line")</f>
        <v>Inspection at production line</v>
      </c>
    </row>
    <row r="7060" spans="1:4" ht="13.8">
      <c r="A7060" s="47" t="s">
        <v>14661</v>
      </c>
      <c r="B7060" s="92" t="s">
        <v>794</v>
      </c>
      <c r="C7060" s="92" t="s">
        <v>14662</v>
      </c>
      <c r="D7060" s="72" t="str">
        <f>IFERROR(VLOOKUP(A7060,'[1]ST-QA-ZZ5'!$C$5:$M$299,11,0),"Inspection at production line")</f>
        <v>Inspection at production line</v>
      </c>
    </row>
    <row r="7061" spans="1:4" ht="13.8">
      <c r="A7061" s="47" t="s">
        <v>14663</v>
      </c>
      <c r="B7061" s="92" t="s">
        <v>7436</v>
      </c>
      <c r="C7061" s="92" t="s">
        <v>14664</v>
      </c>
      <c r="D7061" s="72" t="str">
        <f>IFERROR(VLOOKUP(A7061,'[1]ST-QA-ZZ5'!$C$5:$M$299,11,0),"Inspection at production line")</f>
        <v>Inspection at production line</v>
      </c>
    </row>
    <row r="7062" spans="1:4" ht="13.8">
      <c r="A7062" s="47" t="s">
        <v>14665</v>
      </c>
      <c r="B7062" s="92" t="s">
        <v>14666</v>
      </c>
      <c r="C7062" s="92" t="s">
        <v>14667</v>
      </c>
      <c r="D7062" s="72" t="str">
        <f>IFERROR(VLOOKUP(A7062,'[1]ST-QA-ZZ5'!$C$5:$M$299,11,0),"Inspection at production line")</f>
        <v>Inspection at production line</v>
      </c>
    </row>
    <row r="7063" spans="1:4" ht="13.8">
      <c r="A7063" s="47" t="s">
        <v>14668</v>
      </c>
      <c r="B7063" s="92" t="s">
        <v>14669</v>
      </c>
      <c r="C7063" s="92" t="s">
        <v>14670</v>
      </c>
      <c r="D7063" s="72" t="str">
        <f>IFERROR(VLOOKUP(A7063,'[1]ST-QA-ZZ5'!$C$5:$M$299,11,0),"Inspection at production line")</f>
        <v>Inspection at production line</v>
      </c>
    </row>
    <row r="7064" spans="1:4" ht="13.8">
      <c r="A7064" s="47" t="s">
        <v>14671</v>
      </c>
      <c r="B7064" s="92" t="s">
        <v>14672</v>
      </c>
      <c r="C7064" s="92" t="s">
        <v>14673</v>
      </c>
      <c r="D7064" s="72" t="str">
        <f>IFERROR(VLOOKUP(A7064,'[1]ST-QA-ZZ5'!$C$5:$M$299,11,0),"Inspection at production line")</f>
        <v>Inspection at production line</v>
      </c>
    </row>
    <row r="7065" spans="1:4" ht="13.8">
      <c r="A7065" s="47" t="s">
        <v>14674</v>
      </c>
      <c r="B7065" s="92" t="s">
        <v>349</v>
      </c>
      <c r="C7065" s="92" t="s">
        <v>14675</v>
      </c>
      <c r="D7065" s="72" t="str">
        <f>IFERROR(VLOOKUP(A7065,'[1]ST-QA-ZZ5'!$C$5:$M$299,11,0),"Inspection at production line")</f>
        <v>Inspection at production line</v>
      </c>
    </row>
    <row r="7066" spans="1:4" ht="13.8">
      <c r="A7066" s="47" t="s">
        <v>14676</v>
      </c>
      <c r="B7066" s="92" t="s">
        <v>1016</v>
      </c>
      <c r="C7066" s="92" t="s">
        <v>10421</v>
      </c>
      <c r="D7066" s="72" t="str">
        <f>IFERROR(VLOOKUP(A7066,'[1]ST-QA-ZZ5'!$C$5:$M$299,11,0),"Inspection at production line")</f>
        <v>Inspection at production line</v>
      </c>
    </row>
    <row r="7067" spans="1:4" ht="13.8">
      <c r="A7067" s="47" t="s">
        <v>14677</v>
      </c>
      <c r="B7067" s="92" t="s">
        <v>818</v>
      </c>
      <c r="C7067" s="92" t="s">
        <v>14678</v>
      </c>
      <c r="D7067" s="72" t="str">
        <f>IFERROR(VLOOKUP(A7067,'[1]ST-QA-ZZ5'!$C$5:$M$299,11,0),"Inspection at production line")</f>
        <v>Inspection at production line</v>
      </c>
    </row>
    <row r="7068" spans="1:4" ht="13.8">
      <c r="A7068" s="47" t="s">
        <v>14679</v>
      </c>
      <c r="B7068" s="92" t="s">
        <v>14680</v>
      </c>
      <c r="C7068" s="92" t="s">
        <v>14681</v>
      </c>
      <c r="D7068" s="72" t="str">
        <f>IFERROR(VLOOKUP(A7068,'[1]ST-QA-ZZ5'!$C$5:$M$299,11,0),"Inspection at production line")</f>
        <v>Inspection at production line</v>
      </c>
    </row>
    <row r="7069" spans="1:4" ht="13.8">
      <c r="A7069" s="47" t="s">
        <v>14682</v>
      </c>
      <c r="B7069" s="92" t="s">
        <v>12549</v>
      </c>
      <c r="C7069" s="92" t="s">
        <v>14683</v>
      </c>
      <c r="D7069" s="72" t="str">
        <f>IFERROR(VLOOKUP(A7069,'[1]ST-QA-ZZ5'!$C$5:$M$299,11,0),"Inspection at production line")</f>
        <v>Inspection at production line</v>
      </c>
    </row>
    <row r="7070" spans="1:4" ht="13.8">
      <c r="A7070" s="47" t="s">
        <v>14684</v>
      </c>
      <c r="B7070" s="92" t="s">
        <v>994</v>
      </c>
      <c r="C7070" s="92" t="s">
        <v>14685</v>
      </c>
      <c r="D7070" s="72" t="str">
        <f>IFERROR(VLOOKUP(A7070,'[1]ST-QA-ZZ5'!$C$5:$M$299,11,0),"Inspection at production line")</f>
        <v>Inspection at production line</v>
      </c>
    </row>
    <row r="7071" spans="1:4" ht="13.8">
      <c r="A7071" s="47" t="s">
        <v>14686</v>
      </c>
      <c r="B7071" s="92" t="s">
        <v>1016</v>
      </c>
      <c r="C7071" s="92" t="s">
        <v>14687</v>
      </c>
      <c r="D7071" s="72" t="str">
        <f>IFERROR(VLOOKUP(A7071,'[1]ST-QA-ZZ5'!$C$5:$M$299,11,0),"Inspection at production line")</f>
        <v>Inspection at production line</v>
      </c>
    </row>
    <row r="7072" spans="1:4" ht="13.8">
      <c r="A7072" s="47" t="s">
        <v>14688</v>
      </c>
      <c r="B7072" s="92" t="s">
        <v>1359</v>
      </c>
      <c r="C7072" s="92" t="s">
        <v>10417</v>
      </c>
      <c r="D7072" s="72" t="str">
        <f>IFERROR(VLOOKUP(A7072,'[1]ST-QA-ZZ5'!$C$5:$M$299,11,0),"Inspection at production line")</f>
        <v>Inspection at production line</v>
      </c>
    </row>
    <row r="7073" spans="1:4" ht="13.8">
      <c r="A7073" s="47" t="s">
        <v>14689</v>
      </c>
      <c r="B7073" s="92" t="s">
        <v>994</v>
      </c>
      <c r="C7073" s="92" t="s">
        <v>14690</v>
      </c>
      <c r="D7073" s="72" t="str">
        <f>IFERROR(VLOOKUP(A7073,'[1]ST-QA-ZZ5'!$C$5:$M$299,11,0),"Inspection at production line")</f>
        <v>Inspection at production line</v>
      </c>
    </row>
    <row r="7074" spans="1:4" ht="13.8">
      <c r="A7074" s="47" t="s">
        <v>14691</v>
      </c>
      <c r="B7074" s="92" t="s">
        <v>994</v>
      </c>
      <c r="C7074" s="92" t="s">
        <v>14692</v>
      </c>
      <c r="D7074" s="72" t="str">
        <f>IFERROR(VLOOKUP(A7074,'[1]ST-QA-ZZ5'!$C$5:$M$299,11,0),"Inspection at production line")</f>
        <v>Inspection at production line</v>
      </c>
    </row>
    <row r="7075" spans="1:4" ht="13.8">
      <c r="A7075" s="47" t="s">
        <v>14693</v>
      </c>
      <c r="B7075" s="92" t="s">
        <v>898</v>
      </c>
      <c r="C7075" s="92" t="s">
        <v>14694</v>
      </c>
      <c r="D7075" s="72" t="str">
        <f>IFERROR(VLOOKUP(A7075,'[1]ST-QA-ZZ5'!$C$5:$M$299,11,0),"Inspection at production line")</f>
        <v>Inspection at production line</v>
      </c>
    </row>
    <row r="7076" spans="1:4" ht="13.8">
      <c r="A7076" s="47" t="s">
        <v>14695</v>
      </c>
      <c r="B7076" s="92" t="s">
        <v>1016</v>
      </c>
      <c r="C7076" s="92" t="s">
        <v>10419</v>
      </c>
      <c r="D7076" s="72" t="str">
        <f>IFERROR(VLOOKUP(A7076,'[1]ST-QA-ZZ5'!$C$5:$M$299,11,0),"Inspection at production line")</f>
        <v>Inspection at production line</v>
      </c>
    </row>
    <row r="7077" spans="1:4" ht="13.8">
      <c r="A7077" s="47" t="s">
        <v>14696</v>
      </c>
      <c r="B7077" s="92" t="s">
        <v>898</v>
      </c>
      <c r="C7077" s="92" t="s">
        <v>10415</v>
      </c>
      <c r="D7077" s="72" t="str">
        <f>IFERROR(VLOOKUP(A7077,'[1]ST-QA-ZZ5'!$C$5:$M$299,11,0),"Inspection at production line")</f>
        <v>Inspection at production line</v>
      </c>
    </row>
    <row r="7078" spans="1:4" ht="13.8">
      <c r="A7078" s="47" t="s">
        <v>14697</v>
      </c>
      <c r="B7078" s="92" t="s">
        <v>818</v>
      </c>
      <c r="C7078" s="92" t="s">
        <v>10413</v>
      </c>
      <c r="D7078" s="72" t="str">
        <f>IFERROR(VLOOKUP(A7078,'[1]ST-QA-ZZ5'!$C$5:$M$299,11,0),"Inspection at production line")</f>
        <v>Inspection at production line</v>
      </c>
    </row>
    <row r="7079" spans="1:4" ht="13.8">
      <c r="A7079" s="47" t="s">
        <v>14698</v>
      </c>
      <c r="B7079" s="92" t="s">
        <v>2137</v>
      </c>
      <c r="C7079" s="92" t="s">
        <v>14699</v>
      </c>
      <c r="D7079" s="72" t="str">
        <f>IFERROR(VLOOKUP(A7079,'[1]ST-QA-ZZ5'!$C$5:$M$299,11,0),"Inspection at production line")</f>
        <v>Inspection at production line</v>
      </c>
    </row>
    <row r="7080" spans="1:4" ht="13.8">
      <c r="A7080" s="47" t="s">
        <v>14700</v>
      </c>
      <c r="B7080" s="92" t="s">
        <v>75</v>
      </c>
      <c r="C7080" s="92" t="s">
        <v>14701</v>
      </c>
      <c r="D7080" s="72" t="str">
        <f>IFERROR(VLOOKUP(A7080,'[1]ST-QA-ZZ5'!$C$5:$M$299,11,0),"Inspection at production line")</f>
        <v>Inspection at production line</v>
      </c>
    </row>
    <row r="7081" spans="1:4" ht="13.8">
      <c r="A7081" s="47" t="s">
        <v>14702</v>
      </c>
      <c r="B7081" s="92" t="s">
        <v>75</v>
      </c>
      <c r="C7081" s="92" t="s">
        <v>14703</v>
      </c>
      <c r="D7081" s="72" t="str">
        <f>IFERROR(VLOOKUP(A7081,'[1]ST-QA-ZZ5'!$C$5:$M$299,11,0),"Inspection at production line")</f>
        <v>Inspection at production line</v>
      </c>
    </row>
    <row r="7082" spans="1:4" ht="13.8">
      <c r="A7082" s="47" t="s">
        <v>14704</v>
      </c>
      <c r="B7082" s="92" t="s">
        <v>1554</v>
      </c>
      <c r="C7082" s="92" t="s">
        <v>2252</v>
      </c>
      <c r="D7082" s="72" t="str">
        <f>IFERROR(VLOOKUP(A7082,'[1]ST-QA-ZZ5'!$C$5:$M$299,11,0),"Inspection at production line")</f>
        <v>Inspection at production line</v>
      </c>
    </row>
    <row r="7083" spans="1:4" ht="13.8">
      <c r="A7083" s="47" t="s">
        <v>14705</v>
      </c>
      <c r="B7083" s="92" t="s">
        <v>994</v>
      </c>
      <c r="C7083" s="92" t="s">
        <v>14685</v>
      </c>
      <c r="D7083" s="72" t="str">
        <f>IFERROR(VLOOKUP(A7083,'[1]ST-QA-ZZ5'!$C$5:$M$299,11,0),"Inspection at production line")</f>
        <v>Inspection at production line</v>
      </c>
    </row>
    <row r="7084" spans="1:4" ht="13.8">
      <c r="A7084" s="47" t="s">
        <v>14706</v>
      </c>
      <c r="B7084" s="92" t="s">
        <v>818</v>
      </c>
      <c r="C7084" s="92" t="s">
        <v>10413</v>
      </c>
      <c r="D7084" s="72" t="str">
        <f>IFERROR(VLOOKUP(A7084,'[1]ST-QA-ZZ5'!$C$5:$M$299,11,0),"Inspection at production line")</f>
        <v>Inspection at production line</v>
      </c>
    </row>
    <row r="7085" spans="1:4" ht="13.8">
      <c r="A7085" s="47" t="s">
        <v>14707</v>
      </c>
      <c r="B7085" s="92" t="s">
        <v>994</v>
      </c>
      <c r="C7085" s="92" t="s">
        <v>14685</v>
      </c>
      <c r="D7085" s="72" t="str">
        <f>IFERROR(VLOOKUP(A7085,'[1]ST-QA-ZZ5'!$C$5:$M$299,11,0),"Inspection at production line")</f>
        <v>Inspection at production line</v>
      </c>
    </row>
    <row r="7086" spans="1:4" ht="13.8">
      <c r="A7086" s="47" t="s">
        <v>14708</v>
      </c>
      <c r="B7086" s="92" t="s">
        <v>818</v>
      </c>
      <c r="C7086" s="92" t="s">
        <v>14709</v>
      </c>
      <c r="D7086" s="72" t="str">
        <f>IFERROR(VLOOKUP(A7086,'[1]ST-QA-ZZ5'!$C$5:$M$299,11,0),"Inspection at production line")</f>
        <v>Inspection at production line</v>
      </c>
    </row>
    <row r="7087" spans="1:4" ht="13.8">
      <c r="A7087" s="47" t="s">
        <v>14710</v>
      </c>
      <c r="B7087" s="92" t="s">
        <v>818</v>
      </c>
      <c r="C7087" s="92" t="s">
        <v>14711</v>
      </c>
      <c r="D7087" s="72" t="str">
        <f>IFERROR(VLOOKUP(A7087,'[1]ST-QA-ZZ5'!$C$5:$M$299,11,0),"Inspection at production line")</f>
        <v>Inspection at production line</v>
      </c>
    </row>
    <row r="7088" spans="1:4" ht="13.8">
      <c r="A7088" s="47" t="s">
        <v>14712</v>
      </c>
      <c r="B7088" s="92" t="s">
        <v>818</v>
      </c>
      <c r="C7088" s="92" t="s">
        <v>14713</v>
      </c>
      <c r="D7088" s="72" t="str">
        <f>IFERROR(VLOOKUP(A7088,'[1]ST-QA-ZZ5'!$C$5:$M$299,11,0),"Inspection at production line")</f>
        <v>Inspection at production line</v>
      </c>
    </row>
    <row r="7089" spans="1:4" ht="13.8">
      <c r="A7089" s="47" t="s">
        <v>14714</v>
      </c>
      <c r="B7089" s="92" t="s">
        <v>818</v>
      </c>
      <c r="C7089" s="92" t="s">
        <v>14715</v>
      </c>
      <c r="D7089" s="72" t="str">
        <f>IFERROR(VLOOKUP(A7089,'[1]ST-QA-ZZ5'!$C$5:$M$299,11,0),"Inspection at production line")</f>
        <v>Inspection at production line</v>
      </c>
    </row>
    <row r="7090" spans="1:4" ht="13.8">
      <c r="A7090" s="47" t="s">
        <v>14716</v>
      </c>
      <c r="B7090" s="92" t="s">
        <v>994</v>
      </c>
      <c r="C7090" s="92" t="s">
        <v>14717</v>
      </c>
      <c r="D7090" s="72" t="str">
        <f>IFERROR(VLOOKUP(A7090,'[1]ST-QA-ZZ5'!$C$5:$M$299,11,0),"Inspection at production line")</f>
        <v>Inspection at production line</v>
      </c>
    </row>
    <row r="7091" spans="1:4" ht="13.8">
      <c r="A7091" s="47" t="s">
        <v>14718</v>
      </c>
      <c r="B7091" s="92" t="s">
        <v>994</v>
      </c>
      <c r="C7091" s="92" t="s">
        <v>14719</v>
      </c>
      <c r="D7091" s="72" t="str">
        <f>IFERROR(VLOOKUP(A7091,'[1]ST-QA-ZZ5'!$C$5:$M$299,11,0),"Inspection at production line")</f>
        <v>Inspection at production line</v>
      </c>
    </row>
    <row r="7092" spans="1:4" ht="13.8">
      <c r="A7092" s="47" t="s">
        <v>14720</v>
      </c>
      <c r="B7092" s="92" t="s">
        <v>994</v>
      </c>
      <c r="C7092" s="92" t="s">
        <v>14721</v>
      </c>
      <c r="D7092" s="72" t="str">
        <f>IFERROR(VLOOKUP(A7092,'[1]ST-QA-ZZ5'!$C$5:$M$299,11,0),"Inspection at production line")</f>
        <v>Inspection at production line</v>
      </c>
    </row>
    <row r="7093" spans="1:4" ht="13.8">
      <c r="A7093" s="47" t="s">
        <v>14722</v>
      </c>
      <c r="B7093" s="92" t="s">
        <v>994</v>
      </c>
      <c r="C7093" s="92" t="s">
        <v>14723</v>
      </c>
      <c r="D7093" s="72" t="str">
        <f>IFERROR(VLOOKUP(A7093,'[1]ST-QA-ZZ5'!$C$5:$M$299,11,0),"Inspection at production line")</f>
        <v>Inspection at production line</v>
      </c>
    </row>
    <row r="7094" spans="1:4" ht="13.8">
      <c r="A7094" s="47" t="s">
        <v>14724</v>
      </c>
      <c r="B7094" s="92" t="s">
        <v>994</v>
      </c>
      <c r="C7094" s="92" t="s">
        <v>8388</v>
      </c>
      <c r="D7094" s="72" t="str">
        <f>IFERROR(VLOOKUP(A7094,'[1]ST-QA-ZZ5'!$C$5:$M$299,11,0),"Inspection at production line")</f>
        <v>Inspection at production line</v>
      </c>
    </row>
    <row r="7095" spans="1:4" ht="13.8">
      <c r="A7095" s="47" t="s">
        <v>14725</v>
      </c>
      <c r="B7095" s="92" t="s">
        <v>994</v>
      </c>
      <c r="C7095" s="92" t="s">
        <v>5163</v>
      </c>
      <c r="D7095" s="72" t="str">
        <f>IFERROR(VLOOKUP(A7095,'[1]ST-QA-ZZ5'!$C$5:$M$299,11,0),"Inspection at production line")</f>
        <v>Inspection at production line</v>
      </c>
    </row>
    <row r="7096" spans="1:4" ht="13.8">
      <c r="A7096" s="47" t="s">
        <v>14726</v>
      </c>
      <c r="B7096" s="92" t="s">
        <v>818</v>
      </c>
      <c r="C7096" s="92" t="s">
        <v>14727</v>
      </c>
      <c r="D7096" s="72" t="str">
        <f>IFERROR(VLOOKUP(A7096,'[1]ST-QA-ZZ5'!$C$5:$M$299,11,0),"Inspection at production line")</f>
        <v>Inspection at production line</v>
      </c>
    </row>
    <row r="7097" spans="1:4" ht="13.8">
      <c r="A7097" s="47" t="s">
        <v>18229</v>
      </c>
      <c r="B7097" s="92" t="s">
        <v>818</v>
      </c>
      <c r="C7097" s="92" t="s">
        <v>18230</v>
      </c>
      <c r="D7097" s="72" t="str">
        <f>IFERROR(VLOOKUP(A7097,'[1]ST-QA-ZZ5'!$C$5:$M$299,11,0),"Inspection at production line")</f>
        <v>Inspection at production line</v>
      </c>
    </row>
    <row r="7098" spans="1:4" ht="13.8">
      <c r="A7098" s="47" t="s">
        <v>14728</v>
      </c>
      <c r="B7098" s="92" t="s">
        <v>174</v>
      </c>
      <c r="C7098" s="92" t="s">
        <v>14729</v>
      </c>
      <c r="D7098" s="72" t="str">
        <f>IFERROR(VLOOKUP(A7098,'[1]ST-QA-ZZ5'!$C$5:$M$299,11,0),"Inspection at production line")</f>
        <v>Inspection at production line</v>
      </c>
    </row>
    <row r="7099" spans="1:4" ht="13.8">
      <c r="A7099" s="47" t="s">
        <v>14730</v>
      </c>
      <c r="B7099" s="92" t="s">
        <v>174</v>
      </c>
      <c r="C7099" s="92" t="s">
        <v>14731</v>
      </c>
      <c r="D7099" s="72" t="str">
        <f>IFERROR(VLOOKUP(A7099,'[1]ST-QA-ZZ5'!$C$5:$M$299,11,0),"Inspection at production line")</f>
        <v>Inspection at production line</v>
      </c>
    </row>
    <row r="7100" spans="1:4" ht="13.8">
      <c r="A7100" s="47" t="s">
        <v>14732</v>
      </c>
      <c r="B7100" s="92" t="s">
        <v>174</v>
      </c>
      <c r="C7100" s="92" t="s">
        <v>14733</v>
      </c>
      <c r="D7100" s="72" t="str">
        <f>IFERROR(VLOOKUP(A7100,'[1]ST-QA-ZZ5'!$C$5:$M$299,11,0),"Inspection at production line")</f>
        <v>Inspection at production line</v>
      </c>
    </row>
    <row r="7101" spans="1:4" ht="13.8">
      <c r="A7101" s="47" t="s">
        <v>14734</v>
      </c>
      <c r="B7101" s="92" t="s">
        <v>857</v>
      </c>
      <c r="C7101" s="92" t="s">
        <v>14735</v>
      </c>
      <c r="D7101" s="72" t="str">
        <f>IFERROR(VLOOKUP(A7101,'[1]ST-QA-ZZ5'!$C$5:$M$299,11,0),"Inspection at production line")</f>
        <v>Inspection at production line</v>
      </c>
    </row>
    <row r="7102" spans="1:4" ht="13.8">
      <c r="A7102" s="47" t="s">
        <v>14736</v>
      </c>
      <c r="B7102" s="92" t="s">
        <v>857</v>
      </c>
      <c r="C7102" s="92" t="s">
        <v>14737</v>
      </c>
      <c r="D7102" s="72" t="str">
        <f>IFERROR(VLOOKUP(A7102,'[1]ST-QA-ZZ5'!$C$5:$M$299,11,0),"Inspection at production line")</f>
        <v>Inspection at production line</v>
      </c>
    </row>
    <row r="7103" spans="1:4" ht="13.8">
      <c r="A7103" s="47" t="s">
        <v>14738</v>
      </c>
      <c r="B7103" s="92" t="s">
        <v>174</v>
      </c>
      <c r="C7103" s="92" t="s">
        <v>14739</v>
      </c>
      <c r="D7103" s="72" t="str">
        <f>IFERROR(VLOOKUP(A7103,'[1]ST-QA-ZZ5'!$C$5:$M$299,11,0),"Inspection at production line")</f>
        <v>Inspection at production line</v>
      </c>
    </row>
    <row r="7104" spans="1:4" ht="13.8">
      <c r="A7104" s="47" t="s">
        <v>14740</v>
      </c>
      <c r="B7104" s="92" t="s">
        <v>174</v>
      </c>
      <c r="C7104" s="92" t="s">
        <v>14741</v>
      </c>
      <c r="D7104" s="72" t="str">
        <f>IFERROR(VLOOKUP(A7104,'[1]ST-QA-ZZ5'!$C$5:$M$299,11,0),"Inspection at production line")</f>
        <v>Inspection at production line</v>
      </c>
    </row>
    <row r="7105" spans="1:4" ht="13.8">
      <c r="A7105" s="47" t="s">
        <v>14742</v>
      </c>
      <c r="B7105" s="92" t="s">
        <v>174</v>
      </c>
      <c r="C7105" s="92" t="s">
        <v>14743</v>
      </c>
      <c r="D7105" s="72" t="str">
        <f>IFERROR(VLOOKUP(A7105,'[1]ST-QA-ZZ5'!$C$5:$M$299,11,0),"Inspection at production line")</f>
        <v>Inspection at production line</v>
      </c>
    </row>
    <row r="7106" spans="1:4" ht="13.8">
      <c r="A7106" s="47" t="s">
        <v>14744</v>
      </c>
      <c r="B7106" s="92" t="s">
        <v>2198</v>
      </c>
      <c r="C7106" s="92" t="s">
        <v>14745</v>
      </c>
      <c r="D7106" s="72" t="str">
        <f>IFERROR(VLOOKUP(A7106,'[1]ST-QA-ZZ5'!$C$5:$M$299,11,0),"Inspection at production line")</f>
        <v>Inspection at production line</v>
      </c>
    </row>
    <row r="7107" spans="1:4" ht="13.8">
      <c r="A7107" s="47" t="s">
        <v>14746</v>
      </c>
      <c r="B7107" s="92" t="s">
        <v>2198</v>
      </c>
      <c r="C7107" s="92" t="s">
        <v>14747</v>
      </c>
      <c r="D7107" s="72" t="str">
        <f>IFERROR(VLOOKUP(A7107,'[1]ST-QA-ZZ5'!$C$5:$M$299,11,0),"Inspection at production line")</f>
        <v>Inspection at production line</v>
      </c>
    </row>
    <row r="7108" spans="1:4" ht="13.8">
      <c r="A7108" s="47" t="s">
        <v>14748</v>
      </c>
      <c r="B7108" s="92" t="s">
        <v>2198</v>
      </c>
      <c r="C7108" s="92" t="s">
        <v>14749</v>
      </c>
      <c r="D7108" s="72" t="str">
        <f>IFERROR(VLOOKUP(A7108,'[1]ST-QA-ZZ5'!$C$5:$M$299,11,0),"Inspection at production line")</f>
        <v>Inspection at production line</v>
      </c>
    </row>
    <row r="7109" spans="1:4" ht="13.8">
      <c r="A7109" s="47" t="s">
        <v>14750</v>
      </c>
      <c r="B7109" s="92" t="s">
        <v>994</v>
      </c>
      <c r="C7109" s="92" t="s">
        <v>5463</v>
      </c>
      <c r="D7109" s="72" t="str">
        <f>IFERROR(VLOOKUP(A7109,'[1]ST-QA-ZZ5'!$C$5:$M$299,11,0),"Inspection at production line")</f>
        <v>Inspection at production line</v>
      </c>
    </row>
    <row r="7110" spans="1:4" ht="13.8">
      <c r="A7110" s="47" t="s">
        <v>14751</v>
      </c>
      <c r="B7110" s="92" t="s">
        <v>404</v>
      </c>
      <c r="C7110" s="92" t="s">
        <v>405</v>
      </c>
      <c r="D7110" s="72" t="str">
        <f>IFERROR(VLOOKUP(A7110,'[1]ST-QA-ZZ5'!$C$5:$M$299,11,0),"Inspection at production line")</f>
        <v>Inspection at production line</v>
      </c>
    </row>
    <row r="7111" spans="1:4" ht="13.8">
      <c r="A7111" s="47" t="s">
        <v>14752</v>
      </c>
      <c r="B7111" s="92" t="s">
        <v>811</v>
      </c>
      <c r="C7111" s="92" t="s">
        <v>14753</v>
      </c>
      <c r="D7111" s="72" t="str">
        <f>IFERROR(VLOOKUP(A7111,'[1]ST-QA-ZZ5'!$C$5:$M$299,11,0),"Inspection at production line")</f>
        <v>Inspection at production line</v>
      </c>
    </row>
    <row r="7112" spans="1:4" ht="13.8">
      <c r="A7112" s="47" t="s">
        <v>14754</v>
      </c>
      <c r="B7112" s="92" t="s">
        <v>811</v>
      </c>
      <c r="C7112" s="92" t="s">
        <v>14755</v>
      </c>
      <c r="D7112" s="72" t="str">
        <f>IFERROR(VLOOKUP(A7112,'[1]ST-QA-ZZ5'!$C$5:$M$299,11,0),"Inspection at production line")</f>
        <v>Inspection at production line</v>
      </c>
    </row>
    <row r="7113" spans="1:4" ht="13.8">
      <c r="A7113" s="47" t="s">
        <v>14756</v>
      </c>
      <c r="B7113" s="92" t="s">
        <v>8450</v>
      </c>
      <c r="C7113" s="92" t="s">
        <v>14757</v>
      </c>
      <c r="D7113" s="72" t="str">
        <f>IFERROR(VLOOKUP(A7113,'[1]ST-QA-ZZ5'!$C$5:$M$299,11,0),"Inspection at production line")</f>
        <v>Inspection at production line</v>
      </c>
    </row>
    <row r="7114" spans="1:4" ht="13.8">
      <c r="A7114" s="47" t="s">
        <v>14758</v>
      </c>
      <c r="B7114" s="92" t="s">
        <v>994</v>
      </c>
      <c r="C7114" s="92" t="s">
        <v>363</v>
      </c>
      <c r="D7114" s="72" t="str">
        <f>IFERROR(VLOOKUP(A7114,'[1]ST-QA-ZZ5'!$C$5:$M$299,11,0),"Inspection at production line")</f>
        <v>Inspection at production line</v>
      </c>
    </row>
    <row r="7115" spans="1:4" ht="13.8">
      <c r="A7115" s="47" t="s">
        <v>18231</v>
      </c>
      <c r="B7115" s="92" t="s">
        <v>404</v>
      </c>
      <c r="C7115" s="92" t="s">
        <v>18232</v>
      </c>
      <c r="D7115" s="72" t="str">
        <f>IFERROR(VLOOKUP(A7115,'[1]ST-QA-ZZ5'!$C$5:$M$299,11,0),"Inspection at production line")</f>
        <v>Inspection at production line</v>
      </c>
    </row>
    <row r="7116" spans="1:4" ht="13.8">
      <c r="A7116" s="47" t="s">
        <v>14759</v>
      </c>
      <c r="B7116" s="92" t="s">
        <v>14760</v>
      </c>
      <c r="C7116" s="92" t="s">
        <v>14761</v>
      </c>
      <c r="D7116" s="72" t="str">
        <f>IFERROR(VLOOKUP(A7116,'[1]ST-QA-ZZ5'!$C$5:$M$299,11,0),"Inspection at production line")</f>
        <v>Inspection at production line</v>
      </c>
    </row>
    <row r="7117" spans="1:4" ht="13.8">
      <c r="A7117" s="47" t="s">
        <v>14762</v>
      </c>
      <c r="B7117" s="92" t="s">
        <v>14763</v>
      </c>
      <c r="C7117" s="92" t="s">
        <v>14764</v>
      </c>
      <c r="D7117" s="72" t="str">
        <f>IFERROR(VLOOKUP(A7117,'[1]ST-QA-ZZ5'!$C$5:$M$299,11,0),"Inspection at production line")</f>
        <v>Inspection at production line</v>
      </c>
    </row>
    <row r="7118" spans="1:4" ht="13.8">
      <c r="A7118" s="47" t="s">
        <v>14765</v>
      </c>
      <c r="B7118" s="92" t="s">
        <v>940</v>
      </c>
      <c r="C7118" s="92" t="s">
        <v>11822</v>
      </c>
      <c r="D7118" s="72" t="str">
        <f>IFERROR(VLOOKUP(A7118,'[1]ST-QA-ZZ5'!$C$5:$M$299,11,0),"Inspection at production line")</f>
        <v>Inspection at production line</v>
      </c>
    </row>
    <row r="7119" spans="1:4" ht="13.8">
      <c r="A7119" s="47" t="s">
        <v>14766</v>
      </c>
      <c r="B7119" s="92" t="s">
        <v>1219</v>
      </c>
      <c r="C7119" s="92" t="s">
        <v>11851</v>
      </c>
      <c r="D7119" s="72" t="str">
        <f>IFERROR(VLOOKUP(A7119,'[1]ST-QA-ZZ5'!$C$5:$M$299,11,0),"Inspection at production line")</f>
        <v>Inspection at production line</v>
      </c>
    </row>
    <row r="7120" spans="1:4" ht="13.8">
      <c r="A7120" s="47" t="s">
        <v>14767</v>
      </c>
      <c r="B7120" s="92" t="s">
        <v>2137</v>
      </c>
      <c r="C7120" s="92" t="s">
        <v>14768</v>
      </c>
      <c r="D7120" s="72" t="str">
        <f>IFERROR(VLOOKUP(A7120,'[1]ST-QA-ZZ5'!$C$5:$M$299,11,0),"Inspection at production line")</f>
        <v>Inspection at production line</v>
      </c>
    </row>
    <row r="7121" spans="1:4" ht="13.8">
      <c r="A7121" s="47" t="s">
        <v>14769</v>
      </c>
      <c r="B7121" s="92" t="s">
        <v>1219</v>
      </c>
      <c r="C7121" s="92" t="s">
        <v>14770</v>
      </c>
      <c r="D7121" s="72" t="str">
        <f>IFERROR(VLOOKUP(A7121,'[1]ST-QA-ZZ5'!$C$5:$M$299,11,0),"Inspection at production line")</f>
        <v>Inspection at production line</v>
      </c>
    </row>
    <row r="7122" spans="1:4" ht="13.8">
      <c r="A7122" s="47" t="s">
        <v>14771</v>
      </c>
      <c r="B7122" s="92" t="s">
        <v>75</v>
      </c>
      <c r="C7122" s="92" t="s">
        <v>11922</v>
      </c>
      <c r="D7122" s="72" t="str">
        <f>IFERROR(VLOOKUP(A7122,'[1]ST-QA-ZZ5'!$C$5:$M$299,11,0),"Inspection at production line")</f>
        <v>Inspection at production line</v>
      </c>
    </row>
    <row r="7123" spans="1:4" ht="13.8">
      <c r="A7123" s="47" t="s">
        <v>14772</v>
      </c>
      <c r="B7123" s="92" t="s">
        <v>397</v>
      </c>
      <c r="C7123" s="92" t="s">
        <v>8382</v>
      </c>
      <c r="D7123" s="72" t="str">
        <f>IFERROR(VLOOKUP(A7123,'[1]ST-QA-ZZ5'!$C$5:$M$299,11,0),"Inspection at production line")</f>
        <v>Inspection at production line</v>
      </c>
    </row>
    <row r="7124" spans="1:4" ht="13.8">
      <c r="A7124" s="47" t="s">
        <v>14773</v>
      </c>
      <c r="B7124" s="92" t="s">
        <v>1369</v>
      </c>
      <c r="C7124" s="92" t="s">
        <v>14774</v>
      </c>
      <c r="D7124" s="72" t="str">
        <f>IFERROR(VLOOKUP(A7124,'[1]ST-QA-ZZ5'!$C$5:$M$299,11,0),"Inspection at production line")</f>
        <v>Inspection at production line</v>
      </c>
    </row>
    <row r="7125" spans="1:4" ht="13.8">
      <c r="A7125" s="47" t="s">
        <v>14775</v>
      </c>
      <c r="B7125" s="92" t="s">
        <v>6567</v>
      </c>
      <c r="C7125" s="92" t="s">
        <v>8402</v>
      </c>
      <c r="D7125" s="72" t="str">
        <f>IFERROR(VLOOKUP(A7125,'[1]ST-QA-ZZ5'!$C$5:$M$299,11,0),"Inspection at production line")</f>
        <v>Inspection at production line</v>
      </c>
    </row>
    <row r="7126" spans="1:4" ht="13.8">
      <c r="A7126" s="47" t="s">
        <v>14776</v>
      </c>
      <c r="B7126" s="92" t="s">
        <v>1016</v>
      </c>
      <c r="C7126" s="92" t="s">
        <v>8485</v>
      </c>
      <c r="D7126" s="72" t="str">
        <f>IFERROR(VLOOKUP(A7126,'[1]ST-QA-ZZ5'!$C$5:$M$299,11,0),"Inspection at production line")</f>
        <v>Inspection at production line</v>
      </c>
    </row>
    <row r="7127" spans="1:4" ht="13.8">
      <c r="A7127" s="47" t="s">
        <v>14777</v>
      </c>
      <c r="B7127" s="92" t="s">
        <v>994</v>
      </c>
      <c r="C7127" s="92" t="s">
        <v>8385</v>
      </c>
      <c r="D7127" s="72" t="str">
        <f>IFERROR(VLOOKUP(A7127,'[1]ST-QA-ZZ5'!$C$5:$M$299,11,0),"Inspection at production line")</f>
        <v>Inspection at production line</v>
      </c>
    </row>
    <row r="7128" spans="1:4" ht="13.8">
      <c r="A7128" s="47" t="s">
        <v>14778</v>
      </c>
      <c r="B7128" s="92" t="s">
        <v>174</v>
      </c>
      <c r="C7128" s="92" t="s">
        <v>14779</v>
      </c>
      <c r="D7128" s="72" t="str">
        <f>IFERROR(VLOOKUP(A7128,'[1]ST-QA-ZZ5'!$C$5:$M$299,11,0),"Inspection at production line")</f>
        <v>Inspection at production line</v>
      </c>
    </row>
    <row r="7129" spans="1:4" ht="13.8">
      <c r="A7129" s="47" t="s">
        <v>14780</v>
      </c>
      <c r="B7129" s="92" t="s">
        <v>397</v>
      </c>
      <c r="C7129" s="92" t="s">
        <v>14781</v>
      </c>
      <c r="D7129" s="72" t="str">
        <f>IFERROR(VLOOKUP(A7129,'[1]ST-QA-ZZ5'!$C$5:$M$299,11,0),"Inspection at production line")</f>
        <v>Inspection at production line</v>
      </c>
    </row>
    <row r="7130" spans="1:4" ht="13.8">
      <c r="A7130" s="47" t="s">
        <v>14782</v>
      </c>
      <c r="B7130" s="92" t="s">
        <v>994</v>
      </c>
      <c r="C7130" s="92" t="s">
        <v>14783</v>
      </c>
      <c r="D7130" s="72" t="str">
        <f>IFERROR(VLOOKUP(A7130,'[1]ST-QA-ZZ5'!$C$5:$M$299,11,0),"Inspection at production line")</f>
        <v>Inspection at production line</v>
      </c>
    </row>
    <row r="7131" spans="1:4" ht="13.8">
      <c r="A7131" s="47" t="s">
        <v>14784</v>
      </c>
      <c r="B7131" s="92" t="s">
        <v>813</v>
      </c>
      <c r="C7131" s="92" t="s">
        <v>14785</v>
      </c>
      <c r="D7131" s="72" t="str">
        <f>IFERROR(VLOOKUP(A7131,'[1]ST-QA-ZZ5'!$C$5:$M$299,11,0),"Inspection at production line")</f>
        <v>Inspection at production line</v>
      </c>
    </row>
    <row r="7132" spans="1:4" ht="13.8">
      <c r="A7132" s="47" t="s">
        <v>14786</v>
      </c>
      <c r="B7132" s="92" t="s">
        <v>818</v>
      </c>
      <c r="C7132" s="92" t="s">
        <v>14787</v>
      </c>
      <c r="D7132" s="72" t="str">
        <f>IFERROR(VLOOKUP(A7132,'[1]ST-QA-ZZ5'!$C$5:$M$299,11,0),"Inspection at production line")</f>
        <v>Inspection at production line</v>
      </c>
    </row>
    <row r="7133" spans="1:4" ht="13.8">
      <c r="A7133" s="47" t="s">
        <v>14788</v>
      </c>
      <c r="B7133" s="92" t="s">
        <v>1167</v>
      </c>
      <c r="C7133" s="92" t="s">
        <v>14789</v>
      </c>
      <c r="D7133" s="72" t="str">
        <f>IFERROR(VLOOKUP(A7133,'[1]ST-QA-ZZ5'!$C$5:$M$299,11,0),"Inspection at production line")</f>
        <v>Inspection at production line</v>
      </c>
    </row>
    <row r="7134" spans="1:4" ht="13.8">
      <c r="A7134" s="47" t="s">
        <v>14790</v>
      </c>
      <c r="B7134" s="92" t="s">
        <v>14791</v>
      </c>
      <c r="C7134" s="92" t="s">
        <v>14792</v>
      </c>
      <c r="D7134" s="72" t="str">
        <f>IFERROR(VLOOKUP(A7134,'[1]ST-QA-ZZ5'!$C$5:$M$299,11,0),"Inspection at production line")</f>
        <v>Inspection at production line</v>
      </c>
    </row>
    <row r="7135" spans="1:4" ht="13.8">
      <c r="A7135" s="47" t="s">
        <v>14793</v>
      </c>
      <c r="B7135" s="92" t="s">
        <v>397</v>
      </c>
      <c r="C7135" s="92" t="s">
        <v>14794</v>
      </c>
      <c r="D7135" s="72" t="str">
        <f>IFERROR(VLOOKUP(A7135,'[1]ST-QA-ZZ5'!$C$5:$M$299,11,0),"Inspection at production line")</f>
        <v>Inspection at production line</v>
      </c>
    </row>
    <row r="7136" spans="1:4" ht="13.8">
      <c r="A7136" s="47" t="s">
        <v>14795</v>
      </c>
      <c r="B7136" s="92" t="s">
        <v>83</v>
      </c>
      <c r="C7136" s="92" t="s">
        <v>14796</v>
      </c>
      <c r="D7136" s="72" t="str">
        <f>IFERROR(VLOOKUP(A7136,'[1]ST-QA-ZZ5'!$C$5:$M$299,11,0),"Inspection at production line")</f>
        <v>Inspection at production line</v>
      </c>
    </row>
    <row r="7137" spans="1:4" ht="13.8">
      <c r="A7137" s="47" t="s">
        <v>14797</v>
      </c>
      <c r="B7137" s="92" t="s">
        <v>14791</v>
      </c>
      <c r="C7137" s="92" t="s">
        <v>14798</v>
      </c>
      <c r="D7137" s="72" t="str">
        <f>IFERROR(VLOOKUP(A7137,'[1]ST-QA-ZZ5'!$C$5:$M$299,11,0),"Inspection at production line")</f>
        <v>Inspection at production line</v>
      </c>
    </row>
    <row r="7138" spans="1:4" ht="13.8">
      <c r="A7138" s="47" t="s">
        <v>14799</v>
      </c>
      <c r="B7138" s="92" t="s">
        <v>2198</v>
      </c>
      <c r="C7138" s="92" t="s">
        <v>14800</v>
      </c>
      <c r="D7138" s="72" t="str">
        <f>IFERROR(VLOOKUP(A7138,'[1]ST-QA-ZZ5'!$C$5:$M$299,11,0),"Inspection at production line")</f>
        <v>Inspection at production line</v>
      </c>
    </row>
    <row r="7139" spans="1:4" ht="13.8">
      <c r="A7139" s="47" t="s">
        <v>14801</v>
      </c>
      <c r="B7139" s="92" t="s">
        <v>2198</v>
      </c>
      <c r="C7139" s="92" t="s">
        <v>14802</v>
      </c>
      <c r="D7139" s="72" t="str">
        <f>IFERROR(VLOOKUP(A7139,'[1]ST-QA-ZZ5'!$C$5:$M$299,11,0),"Inspection at production line")</f>
        <v>Inspection at production line</v>
      </c>
    </row>
    <row r="7140" spans="1:4" ht="13.8">
      <c r="A7140" s="47" t="s">
        <v>14803</v>
      </c>
      <c r="B7140" s="92" t="s">
        <v>2198</v>
      </c>
      <c r="C7140" s="92" t="s">
        <v>14804</v>
      </c>
      <c r="D7140" s="72" t="str">
        <f>IFERROR(VLOOKUP(A7140,'[1]ST-QA-ZZ5'!$C$5:$M$299,11,0),"Inspection at production line")</f>
        <v>Inspection at production line</v>
      </c>
    </row>
    <row r="7141" spans="1:4" ht="13.8">
      <c r="A7141" s="47" t="s">
        <v>14805</v>
      </c>
      <c r="B7141" s="92" t="s">
        <v>2198</v>
      </c>
      <c r="C7141" s="92" t="s">
        <v>14806</v>
      </c>
      <c r="D7141" s="72" t="str">
        <f>IFERROR(VLOOKUP(A7141,'[1]ST-QA-ZZ5'!$C$5:$M$299,11,0),"Inspection at production line")</f>
        <v>Inspection at production line</v>
      </c>
    </row>
    <row r="7142" spans="1:4" ht="13.8">
      <c r="A7142" s="47" t="s">
        <v>14807</v>
      </c>
      <c r="B7142" s="92" t="s">
        <v>2137</v>
      </c>
      <c r="C7142" s="92" t="s">
        <v>11873</v>
      </c>
      <c r="D7142" s="72" t="str">
        <f>IFERROR(VLOOKUP(A7142,'[1]ST-QA-ZZ5'!$C$5:$M$299,11,0),"Inspection at production line")</f>
        <v>Inspection at production line</v>
      </c>
    </row>
    <row r="7143" spans="1:4" ht="13.8">
      <c r="A7143" s="47" t="s">
        <v>14808</v>
      </c>
      <c r="B7143" s="92" t="s">
        <v>2137</v>
      </c>
      <c r="C7143" s="92" t="s">
        <v>14809</v>
      </c>
      <c r="D7143" s="72" t="str">
        <f>IFERROR(VLOOKUP(A7143,'[1]ST-QA-ZZ5'!$C$5:$M$299,11,0),"Inspection at production line")</f>
        <v>Inspection at production line</v>
      </c>
    </row>
    <row r="7144" spans="1:4" ht="13.8">
      <c r="A7144" s="47" t="s">
        <v>14810</v>
      </c>
      <c r="B7144" s="92" t="s">
        <v>2137</v>
      </c>
      <c r="C7144" s="92" t="s">
        <v>14811</v>
      </c>
      <c r="D7144" s="72" t="str">
        <f>IFERROR(VLOOKUP(A7144,'[1]ST-QA-ZZ5'!$C$5:$M$299,11,0),"Inspection at production line")</f>
        <v>Inspection at production line</v>
      </c>
    </row>
    <row r="7145" spans="1:4" ht="13.8">
      <c r="A7145" s="47" t="s">
        <v>14812</v>
      </c>
      <c r="B7145" s="92" t="s">
        <v>404</v>
      </c>
      <c r="C7145" s="92" t="s">
        <v>14813</v>
      </c>
      <c r="D7145" s="72" t="str">
        <f>IFERROR(VLOOKUP(A7145,'[1]ST-QA-ZZ5'!$C$5:$M$299,11,0),"Inspection at production line")</f>
        <v>Inspection at production line</v>
      </c>
    </row>
    <row r="7146" spans="1:4" ht="13.8">
      <c r="A7146" s="47" t="s">
        <v>14814</v>
      </c>
      <c r="B7146" s="92" t="s">
        <v>865</v>
      </c>
      <c r="C7146" s="92" t="s">
        <v>8380</v>
      </c>
      <c r="D7146" s="72" t="str">
        <f>IFERROR(VLOOKUP(A7146,'[1]ST-QA-ZZ5'!$C$5:$M$299,11,0),"Inspection at production line")</f>
        <v>Inspection at production line</v>
      </c>
    </row>
    <row r="7147" spans="1:4" ht="13.8">
      <c r="A7147" s="47" t="s">
        <v>14815</v>
      </c>
      <c r="B7147" s="92" t="s">
        <v>1359</v>
      </c>
      <c r="C7147" s="92" t="s">
        <v>8495</v>
      </c>
      <c r="D7147" s="72" t="str">
        <f>IFERROR(VLOOKUP(A7147,'[1]ST-QA-ZZ5'!$C$5:$M$299,11,0),"Inspection at production line")</f>
        <v>Inspection at production line</v>
      </c>
    </row>
    <row r="7148" spans="1:4" ht="13.8">
      <c r="A7148" s="47" t="s">
        <v>14816</v>
      </c>
      <c r="B7148" s="92" t="s">
        <v>2137</v>
      </c>
      <c r="C7148" s="92" t="s">
        <v>14817</v>
      </c>
      <c r="D7148" s="72" t="str">
        <f>IFERROR(VLOOKUP(A7148,'[1]ST-QA-ZZ5'!$C$5:$M$299,11,0),"Inspection at production line")</f>
        <v>Inspection at production line</v>
      </c>
    </row>
    <row r="7149" spans="1:4" ht="13.8">
      <c r="A7149" s="47" t="s">
        <v>14818</v>
      </c>
      <c r="B7149" s="92" t="s">
        <v>2137</v>
      </c>
      <c r="C7149" s="92" t="s">
        <v>11914</v>
      </c>
      <c r="D7149" s="72" t="str">
        <f>IFERROR(VLOOKUP(A7149,'[1]ST-QA-ZZ5'!$C$5:$M$299,11,0),"Inspection at production line")</f>
        <v>Inspection at production line</v>
      </c>
    </row>
    <row r="7150" spans="1:4" ht="13.8">
      <c r="A7150" s="47" t="s">
        <v>14819</v>
      </c>
      <c r="B7150" s="92" t="s">
        <v>2190</v>
      </c>
      <c r="C7150" s="92" t="s">
        <v>11916</v>
      </c>
      <c r="D7150" s="72" t="str">
        <f>IFERROR(VLOOKUP(A7150,'[1]ST-QA-ZZ5'!$C$5:$M$299,11,0),"Inspection at production line")</f>
        <v>Inspection at production line</v>
      </c>
    </row>
    <row r="7151" spans="1:4" ht="13.8">
      <c r="A7151" s="47" t="s">
        <v>14820</v>
      </c>
      <c r="B7151" s="92" t="s">
        <v>2137</v>
      </c>
      <c r="C7151" s="92" t="s">
        <v>11920</v>
      </c>
      <c r="D7151" s="72" t="str">
        <f>IFERROR(VLOOKUP(A7151,'[1]ST-QA-ZZ5'!$C$5:$M$299,11,0),"Inspection at production line")</f>
        <v>Inspection at production line</v>
      </c>
    </row>
    <row r="7152" spans="1:4" ht="13.8">
      <c r="A7152" s="47" t="s">
        <v>14821</v>
      </c>
      <c r="B7152" s="92" t="s">
        <v>2190</v>
      </c>
      <c r="C7152" s="92" t="s">
        <v>11918</v>
      </c>
      <c r="D7152" s="72" t="str">
        <f>IFERROR(VLOOKUP(A7152,'[1]ST-QA-ZZ5'!$C$5:$M$299,11,0),"Inspection at production line")</f>
        <v>Inspection at production line</v>
      </c>
    </row>
    <row r="7153" spans="1:4" ht="13.8">
      <c r="A7153" s="47" t="s">
        <v>14822</v>
      </c>
      <c r="B7153" s="92" t="s">
        <v>75</v>
      </c>
      <c r="C7153" s="92" t="s">
        <v>14823</v>
      </c>
      <c r="D7153" s="72" t="str">
        <f>IFERROR(VLOOKUP(A7153,'[1]ST-QA-ZZ5'!$C$5:$M$299,11,0),"Inspection at production line")</f>
        <v>Inspection at production line</v>
      </c>
    </row>
    <row r="7154" spans="1:4" ht="13.8">
      <c r="A7154" s="47" t="s">
        <v>14824</v>
      </c>
      <c r="B7154" s="92" t="s">
        <v>704</v>
      </c>
      <c r="C7154" s="92" t="s">
        <v>12015</v>
      </c>
      <c r="D7154" s="72" t="str">
        <f>IFERROR(VLOOKUP(A7154,'[1]ST-QA-ZZ5'!$C$5:$M$299,11,0),"Inspection at production line")</f>
        <v>Inspection at production line</v>
      </c>
    </row>
    <row r="7155" spans="1:4" ht="13.8">
      <c r="A7155" s="47" t="s">
        <v>14825</v>
      </c>
      <c r="B7155" s="92" t="s">
        <v>857</v>
      </c>
      <c r="C7155" s="92" t="s">
        <v>14826</v>
      </c>
      <c r="D7155" s="72" t="str">
        <f>IFERROR(VLOOKUP(A7155,'[1]ST-QA-ZZ5'!$C$5:$M$299,11,0),"Inspection at production line")</f>
        <v>Inspection at production line</v>
      </c>
    </row>
    <row r="7156" spans="1:4" ht="13.8">
      <c r="A7156" s="47" t="s">
        <v>14827</v>
      </c>
      <c r="B7156" s="92" t="s">
        <v>857</v>
      </c>
      <c r="C7156" s="92" t="s">
        <v>14828</v>
      </c>
      <c r="D7156" s="72" t="str">
        <f>IFERROR(VLOOKUP(A7156,'[1]ST-QA-ZZ5'!$C$5:$M$299,11,0),"Inspection at production line")</f>
        <v>Inspection at production line</v>
      </c>
    </row>
    <row r="7157" spans="1:4" ht="13.8">
      <c r="A7157" s="47" t="s">
        <v>14829</v>
      </c>
      <c r="B7157" s="92" t="s">
        <v>555</v>
      </c>
      <c r="C7157" s="92" t="s">
        <v>14830</v>
      </c>
      <c r="D7157" s="72" t="str">
        <f>IFERROR(VLOOKUP(A7157,'[1]ST-QA-ZZ5'!$C$5:$M$299,11,0),"Inspection at production line")</f>
        <v>Inspection at production line</v>
      </c>
    </row>
    <row r="7158" spans="1:4" ht="13.8">
      <c r="A7158" s="47" t="s">
        <v>14831</v>
      </c>
      <c r="B7158" s="92" t="s">
        <v>349</v>
      </c>
      <c r="C7158" s="92" t="s">
        <v>14832</v>
      </c>
      <c r="D7158" s="72" t="str">
        <f>IFERROR(VLOOKUP(A7158,'[1]ST-QA-ZZ5'!$C$5:$M$299,11,0),"Inspection at production line")</f>
        <v>Inspection at production line</v>
      </c>
    </row>
    <row r="7159" spans="1:4" ht="13.8">
      <c r="A7159" s="47" t="s">
        <v>14833</v>
      </c>
      <c r="B7159" s="92" t="s">
        <v>349</v>
      </c>
      <c r="C7159" s="92" t="s">
        <v>14834</v>
      </c>
      <c r="D7159" s="72" t="str">
        <f>IFERROR(VLOOKUP(A7159,'[1]ST-QA-ZZ5'!$C$5:$M$299,11,0),"Inspection at production line")</f>
        <v>Inspection at production line</v>
      </c>
    </row>
    <row r="7160" spans="1:4" ht="13.8">
      <c r="A7160" s="47" t="s">
        <v>14835</v>
      </c>
      <c r="B7160" s="92" t="s">
        <v>2024</v>
      </c>
      <c r="C7160" s="92" t="s">
        <v>14836</v>
      </c>
      <c r="D7160" s="72" t="str">
        <f>IFERROR(VLOOKUP(A7160,'[1]ST-QA-ZZ5'!$C$5:$M$299,11,0),"Inspection at production line")</f>
        <v>Inspection at production line</v>
      </c>
    </row>
    <row r="7161" spans="1:4" ht="13.8">
      <c r="A7161" s="47" t="s">
        <v>14837</v>
      </c>
      <c r="B7161" s="92" t="s">
        <v>3543</v>
      </c>
      <c r="C7161" s="92" t="s">
        <v>7143</v>
      </c>
      <c r="D7161" s="72" t="str">
        <f>IFERROR(VLOOKUP(A7161,'[1]ST-QA-ZZ5'!$C$5:$M$299,11,0),"Inspection at production line")</f>
        <v>Inspection at production line</v>
      </c>
    </row>
    <row r="7162" spans="1:4" ht="13.8">
      <c r="A7162" s="47" t="s">
        <v>14838</v>
      </c>
      <c r="B7162" s="92" t="s">
        <v>814</v>
      </c>
      <c r="C7162" s="92" t="s">
        <v>4497</v>
      </c>
      <c r="D7162" s="72" t="str">
        <f>IFERROR(VLOOKUP(A7162,'[1]ST-QA-ZZ5'!$C$5:$M$299,11,0),"Inspection at production line")</f>
        <v>Inspection at production line</v>
      </c>
    </row>
    <row r="7163" spans="1:4" ht="13.8">
      <c r="A7163" s="47" t="s">
        <v>14839</v>
      </c>
      <c r="B7163" s="92" t="s">
        <v>819</v>
      </c>
      <c r="C7163" s="92" t="s">
        <v>7146</v>
      </c>
      <c r="D7163" s="72" t="str">
        <f>IFERROR(VLOOKUP(A7163,'[1]ST-QA-ZZ5'!$C$5:$M$299,11,0),"Inspection at production line")</f>
        <v>Inspection at production line</v>
      </c>
    </row>
    <row r="7164" spans="1:4" ht="13.8">
      <c r="A7164" s="47" t="s">
        <v>14840</v>
      </c>
      <c r="B7164" s="92" t="s">
        <v>814</v>
      </c>
      <c r="C7164" s="92" t="s">
        <v>7145</v>
      </c>
      <c r="D7164" s="72" t="str">
        <f>IFERROR(VLOOKUP(A7164,'[1]ST-QA-ZZ5'!$C$5:$M$299,11,0),"Inspection at production line")</f>
        <v>Inspection at production line</v>
      </c>
    </row>
    <row r="7165" spans="1:4" ht="13.8">
      <c r="A7165" s="47" t="s">
        <v>14841</v>
      </c>
      <c r="B7165" s="92" t="s">
        <v>941</v>
      </c>
      <c r="C7165" s="92" t="s">
        <v>4389</v>
      </c>
      <c r="D7165" s="72" t="str">
        <f>IFERROR(VLOOKUP(A7165,'[1]ST-QA-ZZ5'!$C$5:$M$299,11,0),"Inspection at production line")</f>
        <v>Inspection at production line</v>
      </c>
    </row>
    <row r="7166" spans="1:4" ht="13.8">
      <c r="A7166" s="47" t="s">
        <v>14842</v>
      </c>
      <c r="B7166" s="92" t="s">
        <v>797</v>
      </c>
      <c r="C7166" s="92" t="s">
        <v>4391</v>
      </c>
      <c r="D7166" s="72" t="str">
        <f>IFERROR(VLOOKUP(A7166,'[1]ST-QA-ZZ5'!$C$5:$M$299,11,0),"Inspection at production line")</f>
        <v>Inspection at production line</v>
      </c>
    </row>
    <row r="7167" spans="1:4" ht="13.8">
      <c r="A7167" s="47" t="s">
        <v>14843</v>
      </c>
      <c r="B7167" s="92" t="s">
        <v>1177</v>
      </c>
      <c r="C7167" s="92" t="s">
        <v>4393</v>
      </c>
      <c r="D7167" s="72" t="str">
        <f>IFERROR(VLOOKUP(A7167,'[1]ST-QA-ZZ5'!$C$5:$M$299,11,0),"Inspection at production line")</f>
        <v>Inspection at production line</v>
      </c>
    </row>
    <row r="7168" spans="1:4" ht="13.8">
      <c r="A7168" s="47" t="s">
        <v>14844</v>
      </c>
      <c r="B7168" s="92" t="s">
        <v>797</v>
      </c>
      <c r="C7168" s="92" t="s">
        <v>4395</v>
      </c>
      <c r="D7168" s="72" t="str">
        <f>IFERROR(VLOOKUP(A7168,'[1]ST-QA-ZZ5'!$C$5:$M$299,11,0),"Inspection at production line")</f>
        <v>Inspection at production line</v>
      </c>
    </row>
    <row r="7169" spans="1:4" ht="13.8">
      <c r="A7169" s="47" t="s">
        <v>14845</v>
      </c>
      <c r="B7169" s="92" t="s">
        <v>2566</v>
      </c>
      <c r="C7169" s="92" t="s">
        <v>4399</v>
      </c>
      <c r="D7169" s="72" t="str">
        <f>IFERROR(VLOOKUP(A7169,'[1]ST-QA-ZZ5'!$C$5:$M$299,11,0),"Inspection at production line")</f>
        <v>Inspection at production line</v>
      </c>
    </row>
    <row r="7170" spans="1:4" ht="13.8">
      <c r="A7170" s="47" t="s">
        <v>14846</v>
      </c>
      <c r="B7170" s="92" t="s">
        <v>1592</v>
      </c>
      <c r="C7170" s="92" t="s">
        <v>7144</v>
      </c>
      <c r="D7170" s="72" t="str">
        <f>IFERROR(VLOOKUP(A7170,'[1]ST-QA-ZZ5'!$C$5:$M$299,11,0),"Inspection at production line")</f>
        <v>Inspection at production line</v>
      </c>
    </row>
    <row r="7171" spans="1:4" ht="13.8">
      <c r="A7171" s="47" t="s">
        <v>14847</v>
      </c>
      <c r="B7171" s="92" t="s">
        <v>828</v>
      </c>
      <c r="C7171" s="92" t="s">
        <v>4501</v>
      </c>
      <c r="D7171" s="72" t="str">
        <f>IFERROR(VLOOKUP(A7171,'[1]ST-QA-ZZ5'!$C$5:$M$299,11,0),"Inspection at production line")</f>
        <v>Inspection at production line</v>
      </c>
    </row>
    <row r="7172" spans="1:4" ht="13.8">
      <c r="A7172" s="47" t="s">
        <v>14848</v>
      </c>
      <c r="B7172" s="92" t="s">
        <v>905</v>
      </c>
      <c r="C7172" s="92" t="s">
        <v>7792</v>
      </c>
      <c r="D7172" s="72" t="str">
        <f>IFERROR(VLOOKUP(A7172,'[1]ST-QA-ZZ5'!$C$5:$M$299,11,0),"Inspection at production line")</f>
        <v>Inspection at production line</v>
      </c>
    </row>
    <row r="7173" spans="1:4" ht="13.8">
      <c r="A7173" s="47" t="s">
        <v>14849</v>
      </c>
      <c r="B7173" s="92" t="s">
        <v>805</v>
      </c>
      <c r="C7173" s="92" t="s">
        <v>14850</v>
      </c>
      <c r="D7173" s="72" t="str">
        <f>IFERROR(VLOOKUP(A7173,'[1]ST-QA-ZZ5'!$C$5:$M$299,11,0),"Inspection at production line")</f>
        <v>Inspection at production line</v>
      </c>
    </row>
    <row r="7174" spans="1:4" ht="13.8">
      <c r="A7174" s="47" t="s">
        <v>14851</v>
      </c>
      <c r="B7174" s="92" t="s">
        <v>905</v>
      </c>
      <c r="C7174" s="92" t="s">
        <v>14852</v>
      </c>
      <c r="D7174" s="72" t="str">
        <f>IFERROR(VLOOKUP(A7174,'[1]ST-QA-ZZ5'!$C$5:$M$299,11,0),"Inspection at production line")</f>
        <v>Inspection at production line</v>
      </c>
    </row>
    <row r="7175" spans="1:4" ht="13.8">
      <c r="A7175" s="47" t="s">
        <v>14853</v>
      </c>
      <c r="B7175" s="92" t="s">
        <v>14854</v>
      </c>
      <c r="C7175" s="92" t="s">
        <v>14854</v>
      </c>
      <c r="D7175" s="72" t="str">
        <f>IFERROR(VLOOKUP(A7175,'[1]ST-QA-ZZ5'!$C$5:$M$299,11,0),"Inspection at production line")</f>
        <v>Inspection at production line</v>
      </c>
    </row>
    <row r="7176" spans="1:4" ht="13.8">
      <c r="A7176" s="47" t="s">
        <v>14855</v>
      </c>
      <c r="B7176" s="92" t="s">
        <v>14856</v>
      </c>
      <c r="C7176" s="92" t="s">
        <v>14856</v>
      </c>
      <c r="D7176" s="72" t="str">
        <f>IFERROR(VLOOKUP(A7176,'[1]ST-QA-ZZ5'!$C$5:$M$299,11,0),"Inspection at production line")</f>
        <v>Inspection at production line</v>
      </c>
    </row>
    <row r="7177" spans="1:4" ht="13.8">
      <c r="A7177" s="47" t="s">
        <v>14857</v>
      </c>
      <c r="B7177" s="92" t="s">
        <v>83</v>
      </c>
      <c r="C7177" s="92" t="s">
        <v>14858</v>
      </c>
      <c r="D7177" s="72" t="str">
        <f>IFERROR(VLOOKUP(A7177,'[1]ST-QA-ZZ5'!$C$5:$M$299,11,0),"Inspection at production line")</f>
        <v>Inspection at production line</v>
      </c>
    </row>
    <row r="7178" spans="1:4" ht="13.8">
      <c r="A7178" s="47" t="s">
        <v>14859</v>
      </c>
      <c r="B7178" s="92" t="s">
        <v>704</v>
      </c>
      <c r="C7178" s="92" t="s">
        <v>12017</v>
      </c>
      <c r="D7178" s="72" t="str">
        <f>IFERROR(VLOOKUP(A7178,'[1]ST-QA-ZZ5'!$C$5:$M$299,11,0),"Inspection at production line")</f>
        <v>Inspection at production line</v>
      </c>
    </row>
    <row r="7179" spans="1:4" ht="13.8">
      <c r="A7179" s="47" t="s">
        <v>14860</v>
      </c>
      <c r="B7179" s="92" t="s">
        <v>704</v>
      </c>
      <c r="C7179" s="92" t="s">
        <v>12021</v>
      </c>
      <c r="D7179" s="72" t="str">
        <f>IFERROR(VLOOKUP(A7179,'[1]ST-QA-ZZ5'!$C$5:$M$299,11,0),"Inspection at production line")</f>
        <v>Inspection at production line</v>
      </c>
    </row>
    <row r="7180" spans="1:4" ht="13.8">
      <c r="A7180" s="47" t="s">
        <v>14861</v>
      </c>
      <c r="B7180" s="92" t="s">
        <v>555</v>
      </c>
      <c r="C7180" s="92" t="s">
        <v>14862</v>
      </c>
      <c r="D7180" s="72" t="str">
        <f>IFERROR(VLOOKUP(A7180,'[1]ST-QA-ZZ5'!$C$5:$M$299,11,0),"Inspection at production line")</f>
        <v>Inspection at production line</v>
      </c>
    </row>
    <row r="7181" spans="1:4" ht="13.8">
      <c r="A7181" s="47" t="s">
        <v>14863</v>
      </c>
      <c r="B7181" s="92" t="s">
        <v>555</v>
      </c>
      <c r="C7181" s="92" t="s">
        <v>14864</v>
      </c>
      <c r="D7181" s="72" t="str">
        <f>IFERROR(VLOOKUP(A7181,'[1]ST-QA-ZZ5'!$C$5:$M$299,11,0),"Inspection at production line")</f>
        <v>Inspection at production line</v>
      </c>
    </row>
    <row r="7182" spans="1:4" ht="13.8">
      <c r="A7182" s="47" t="s">
        <v>14865</v>
      </c>
      <c r="B7182" s="92" t="s">
        <v>1491</v>
      </c>
      <c r="C7182" s="92" t="s">
        <v>14866</v>
      </c>
      <c r="D7182" s="72" t="str">
        <f>IFERROR(VLOOKUP(A7182,'[1]ST-QA-ZZ5'!$C$5:$M$299,11,0),"Inspection at production line")</f>
        <v>Inspection at production line</v>
      </c>
    </row>
    <row r="7183" spans="1:4" ht="13.8">
      <c r="A7183" s="47" t="s">
        <v>14867</v>
      </c>
      <c r="B7183" s="92" t="s">
        <v>90</v>
      </c>
      <c r="C7183" s="92" t="s">
        <v>14868</v>
      </c>
      <c r="D7183" s="72" t="str">
        <f>IFERROR(VLOOKUP(A7183,'[1]ST-QA-ZZ5'!$C$5:$M$299,11,0),"Inspection at production line")</f>
        <v>Inspection at production line</v>
      </c>
    </row>
    <row r="7184" spans="1:4" ht="13.8">
      <c r="A7184" s="47" t="s">
        <v>14869</v>
      </c>
      <c r="B7184" s="92" t="s">
        <v>14870</v>
      </c>
      <c r="C7184" s="92" t="s">
        <v>14871</v>
      </c>
      <c r="D7184" s="72" t="str">
        <f>IFERROR(VLOOKUP(A7184,'[1]ST-QA-ZZ5'!$C$5:$M$299,11,0),"Inspection at production line")</f>
        <v>Inspection at production line</v>
      </c>
    </row>
    <row r="7185" spans="1:4" ht="13.8">
      <c r="A7185" s="47" t="s">
        <v>14872</v>
      </c>
      <c r="B7185" s="92" t="s">
        <v>555</v>
      </c>
      <c r="C7185" s="92" t="s">
        <v>14873</v>
      </c>
      <c r="D7185" s="72" t="str">
        <f>IFERROR(VLOOKUP(A7185,'[1]ST-QA-ZZ5'!$C$5:$M$299,11,0),"Inspection at production line")</f>
        <v>Inspection at production line</v>
      </c>
    </row>
    <row r="7186" spans="1:4" ht="13.8">
      <c r="A7186" s="47" t="s">
        <v>14874</v>
      </c>
      <c r="B7186" s="92" t="s">
        <v>555</v>
      </c>
      <c r="C7186" s="92" t="s">
        <v>9193</v>
      </c>
      <c r="D7186" s="72" t="str">
        <f>IFERROR(VLOOKUP(A7186,'[1]ST-QA-ZZ5'!$C$5:$M$299,11,0),"Inspection at production line")</f>
        <v>Inspection at production line</v>
      </c>
    </row>
    <row r="7187" spans="1:4" ht="13.8">
      <c r="A7187" s="47" t="s">
        <v>14875</v>
      </c>
      <c r="B7187" s="92" t="s">
        <v>9186</v>
      </c>
      <c r="C7187" s="92" t="s">
        <v>14876</v>
      </c>
      <c r="D7187" s="72" t="str">
        <f>IFERROR(VLOOKUP(A7187,'[1]ST-QA-ZZ5'!$C$5:$M$299,11,0),"Inspection at production line")</f>
        <v>Inspection at production line</v>
      </c>
    </row>
    <row r="7188" spans="1:4" ht="13.8">
      <c r="A7188" s="47" t="s">
        <v>14877</v>
      </c>
      <c r="B7188" s="92" t="s">
        <v>2024</v>
      </c>
      <c r="C7188" s="92" t="s">
        <v>14878</v>
      </c>
      <c r="D7188" s="72" t="str">
        <f>IFERROR(VLOOKUP(A7188,'[1]ST-QA-ZZ5'!$C$5:$M$299,11,0),"Inspection at production line")</f>
        <v>Inspection at production line</v>
      </c>
    </row>
    <row r="7189" spans="1:4" ht="13.8">
      <c r="A7189" s="47" t="s">
        <v>14879</v>
      </c>
      <c r="B7189" s="92" t="s">
        <v>349</v>
      </c>
      <c r="C7189" s="92" t="s">
        <v>14880</v>
      </c>
      <c r="D7189" s="72" t="str">
        <f>IFERROR(VLOOKUP(A7189,'[1]ST-QA-ZZ5'!$C$5:$M$299,11,0),"Inspection at production line")</f>
        <v>Inspection at production line</v>
      </c>
    </row>
    <row r="7190" spans="1:4" ht="13.8">
      <c r="A7190" s="47" t="s">
        <v>14881</v>
      </c>
      <c r="B7190" s="92" t="s">
        <v>14882</v>
      </c>
      <c r="C7190" s="92" t="s">
        <v>14882</v>
      </c>
      <c r="D7190" s="72" t="str">
        <f>IFERROR(VLOOKUP(A7190,'[1]ST-QA-ZZ5'!$C$5:$M$299,11,0),"Inspection at production line")</f>
        <v>Inspection at production line</v>
      </c>
    </row>
    <row r="7191" spans="1:4" ht="13.8">
      <c r="A7191" s="47" t="s">
        <v>14883</v>
      </c>
      <c r="B7191" s="92" t="s">
        <v>1513</v>
      </c>
      <c r="C7191" s="92" t="s">
        <v>14884</v>
      </c>
      <c r="D7191" s="72" t="str">
        <f>IFERROR(VLOOKUP(A7191,'[1]ST-QA-ZZ5'!$C$5:$M$299,11,0),"Inspection at production line")</f>
        <v>Inspection at production line</v>
      </c>
    </row>
    <row r="7192" spans="1:4" ht="13.8">
      <c r="A7192" s="47" t="s">
        <v>14885</v>
      </c>
      <c r="B7192" s="92" t="s">
        <v>14886</v>
      </c>
      <c r="C7192" s="92" t="s">
        <v>14886</v>
      </c>
      <c r="D7192" s="72" t="str">
        <f>IFERROR(VLOOKUP(A7192,'[1]ST-QA-ZZ5'!$C$5:$M$299,11,0),"Inspection at production line")</f>
        <v>Inspection at production line</v>
      </c>
    </row>
    <row r="7193" spans="1:4" ht="13.8">
      <c r="A7193" s="47" t="s">
        <v>14887</v>
      </c>
      <c r="B7193" s="92" t="s">
        <v>14888</v>
      </c>
      <c r="C7193" s="92" t="s">
        <v>14888</v>
      </c>
      <c r="D7193" s="72" t="str">
        <f>IFERROR(VLOOKUP(A7193,'[1]ST-QA-ZZ5'!$C$5:$M$299,11,0),"Inspection at production line")</f>
        <v>Inspection at production line</v>
      </c>
    </row>
    <row r="7194" spans="1:4" ht="13.8">
      <c r="A7194" s="47" t="s">
        <v>14889</v>
      </c>
      <c r="B7194" s="92" t="s">
        <v>14890</v>
      </c>
      <c r="C7194" s="92" t="s">
        <v>14890</v>
      </c>
      <c r="D7194" s="72" t="str">
        <f>IFERROR(VLOOKUP(A7194,'[1]ST-QA-ZZ5'!$C$5:$M$299,11,0),"Inspection at production line")</f>
        <v>Inspection at production line</v>
      </c>
    </row>
    <row r="7195" spans="1:4" ht="13.8">
      <c r="A7195" s="47" t="s">
        <v>14891</v>
      </c>
      <c r="B7195" s="92" t="s">
        <v>14892</v>
      </c>
      <c r="C7195" s="92" t="s">
        <v>14892</v>
      </c>
      <c r="D7195" s="72" t="str">
        <f>IFERROR(VLOOKUP(A7195,'[1]ST-QA-ZZ5'!$C$5:$M$299,11,0),"Inspection at production line")</f>
        <v>Inspection at production line</v>
      </c>
    </row>
    <row r="7196" spans="1:4" ht="13.8">
      <c r="A7196" s="47" t="s">
        <v>14893</v>
      </c>
      <c r="B7196" s="92" t="s">
        <v>1513</v>
      </c>
      <c r="C7196" s="92" t="s">
        <v>14894</v>
      </c>
      <c r="D7196" s="72" t="str">
        <f>IFERROR(VLOOKUP(A7196,'[1]ST-QA-ZZ5'!$C$5:$M$299,11,0),"Inspection at production line")</f>
        <v>Inspection at production line</v>
      </c>
    </row>
    <row r="7197" spans="1:4" ht="13.8">
      <c r="A7197" s="47" t="s">
        <v>14895</v>
      </c>
      <c r="B7197" s="92" t="s">
        <v>2659</v>
      </c>
      <c r="C7197" s="92" t="s">
        <v>14475</v>
      </c>
      <c r="D7197" s="72" t="str">
        <f>IFERROR(VLOOKUP(A7197,'[1]ST-QA-ZZ5'!$C$5:$M$299,11,0),"Inspection at production line")</f>
        <v>Inspection at production line</v>
      </c>
    </row>
    <row r="7198" spans="1:4" ht="13.8">
      <c r="A7198" s="47" t="s">
        <v>14896</v>
      </c>
      <c r="B7198" s="92" t="s">
        <v>183</v>
      </c>
      <c r="C7198" s="92" t="s">
        <v>14897</v>
      </c>
      <c r="D7198" s="72" t="str">
        <f>IFERROR(VLOOKUP(A7198,'[1]ST-QA-ZZ5'!$C$5:$M$299,11,0),"Inspection at production line")</f>
        <v>Inspection at production line</v>
      </c>
    </row>
    <row r="7199" spans="1:4" ht="13.8">
      <c r="A7199" s="47" t="s">
        <v>14898</v>
      </c>
      <c r="B7199" s="92" t="s">
        <v>183</v>
      </c>
      <c r="C7199" s="92" t="s">
        <v>14899</v>
      </c>
      <c r="D7199" s="72" t="str">
        <f>IFERROR(VLOOKUP(A7199,'[1]ST-QA-ZZ5'!$C$5:$M$299,11,0),"Inspection at production line")</f>
        <v>Inspection at production line</v>
      </c>
    </row>
    <row r="7200" spans="1:4" ht="13.8">
      <c r="A7200" s="47" t="s">
        <v>14900</v>
      </c>
      <c r="B7200" s="92" t="s">
        <v>183</v>
      </c>
      <c r="C7200" s="92" t="s">
        <v>14901</v>
      </c>
      <c r="D7200" s="72" t="str">
        <f>IFERROR(VLOOKUP(A7200,'[1]ST-QA-ZZ5'!$C$5:$M$299,11,0),"Inspection at production line")</f>
        <v>Inspection at production line</v>
      </c>
    </row>
    <row r="7201" spans="1:4" ht="13.8">
      <c r="A7201" s="47" t="s">
        <v>14902</v>
      </c>
      <c r="B7201" s="92" t="s">
        <v>183</v>
      </c>
      <c r="C7201" s="92" t="s">
        <v>14903</v>
      </c>
      <c r="D7201" s="72" t="str">
        <f>IFERROR(VLOOKUP(A7201,'[1]ST-QA-ZZ5'!$C$5:$M$299,11,0),"Inspection at production line")</f>
        <v>Inspection at production line</v>
      </c>
    </row>
    <row r="7202" spans="1:4" ht="13.8">
      <c r="A7202" s="47" t="s">
        <v>14904</v>
      </c>
      <c r="B7202" s="92" t="s">
        <v>14905</v>
      </c>
      <c r="C7202" s="92" t="s">
        <v>14905</v>
      </c>
      <c r="D7202" s="72" t="str">
        <f>IFERROR(VLOOKUP(A7202,'[1]ST-QA-ZZ5'!$C$5:$M$299,11,0),"Inspection at production line")</f>
        <v>Inspection at production line</v>
      </c>
    </row>
    <row r="7203" spans="1:4" ht="13.8">
      <c r="A7203" s="47" t="s">
        <v>14906</v>
      </c>
      <c r="B7203" s="92" t="s">
        <v>14907</v>
      </c>
      <c r="C7203" s="92" t="s">
        <v>14907</v>
      </c>
      <c r="D7203" s="72" t="str">
        <f>IFERROR(VLOOKUP(A7203,'[1]ST-QA-ZZ5'!$C$5:$M$299,11,0),"Inspection at production line")</f>
        <v>Inspection at production line</v>
      </c>
    </row>
    <row r="7204" spans="1:4" ht="13.8">
      <c r="A7204" s="47" t="s">
        <v>14908</v>
      </c>
      <c r="B7204" s="92" t="s">
        <v>14909</v>
      </c>
      <c r="C7204" s="92" t="s">
        <v>14909</v>
      </c>
      <c r="D7204" s="72" t="str">
        <f>IFERROR(VLOOKUP(A7204,'[1]ST-QA-ZZ5'!$C$5:$M$299,11,0),"Inspection at production line")</f>
        <v>Inspection at production line</v>
      </c>
    </row>
    <row r="7205" spans="1:4" ht="13.8">
      <c r="A7205" s="47" t="s">
        <v>14910</v>
      </c>
      <c r="B7205" s="92" t="s">
        <v>14911</v>
      </c>
      <c r="C7205" s="92" t="s">
        <v>14911</v>
      </c>
      <c r="D7205" s="72" t="str">
        <f>IFERROR(VLOOKUP(A7205,'[1]ST-QA-ZZ5'!$C$5:$M$299,11,0),"Inspection at production line")</f>
        <v>Inspection at production line</v>
      </c>
    </row>
    <row r="7206" spans="1:4" ht="13.8">
      <c r="A7206" s="47" t="s">
        <v>14912</v>
      </c>
      <c r="B7206" s="92" t="s">
        <v>14913</v>
      </c>
      <c r="C7206" s="92" t="s">
        <v>14913</v>
      </c>
      <c r="D7206" s="72" t="str">
        <f>IFERROR(VLOOKUP(A7206,'[1]ST-QA-ZZ5'!$C$5:$M$299,11,0),"Inspection at production line")</f>
        <v>Inspection at production line</v>
      </c>
    </row>
    <row r="7207" spans="1:4" ht="13.8">
      <c r="A7207" s="47" t="s">
        <v>14914</v>
      </c>
      <c r="B7207" s="92" t="s">
        <v>12231</v>
      </c>
      <c r="C7207" s="92" t="s">
        <v>12231</v>
      </c>
      <c r="D7207" s="72" t="str">
        <f>IFERROR(VLOOKUP(A7207,'[1]ST-QA-ZZ5'!$C$5:$M$299,11,0),"Inspection at production line")</f>
        <v>Inspection at production line</v>
      </c>
    </row>
    <row r="7208" spans="1:4" ht="13.8">
      <c r="A7208" s="47" t="s">
        <v>14915</v>
      </c>
      <c r="B7208" s="92" t="s">
        <v>2492</v>
      </c>
      <c r="C7208" s="92" t="s">
        <v>14916</v>
      </c>
      <c r="D7208" s="72" t="str">
        <f>IFERROR(VLOOKUP(A7208,'[1]ST-QA-ZZ5'!$C$5:$M$299,11,0),"Inspection at production line")</f>
        <v>Inspection at production line</v>
      </c>
    </row>
    <row r="7209" spans="1:4" ht="13.8">
      <c r="A7209" s="47" t="s">
        <v>14917</v>
      </c>
      <c r="B7209" s="92" t="s">
        <v>2492</v>
      </c>
      <c r="C7209" s="92" t="s">
        <v>14918</v>
      </c>
      <c r="D7209" s="72" t="str">
        <f>IFERROR(VLOOKUP(A7209,'[1]ST-QA-ZZ5'!$C$5:$M$299,11,0),"Inspection at production line")</f>
        <v>Inspection at production line</v>
      </c>
    </row>
    <row r="7210" spans="1:4" ht="13.8">
      <c r="A7210" s="47" t="s">
        <v>14919</v>
      </c>
      <c r="B7210" s="92" t="s">
        <v>174</v>
      </c>
      <c r="C7210" s="92" t="s">
        <v>14920</v>
      </c>
      <c r="D7210" s="72" t="str">
        <f>IFERROR(VLOOKUP(A7210,'[1]ST-QA-ZZ5'!$C$5:$M$299,11,0),"Inspection at production line")</f>
        <v>Inspection at production line</v>
      </c>
    </row>
    <row r="7211" spans="1:4" ht="13.8">
      <c r="A7211" s="47" t="s">
        <v>14921</v>
      </c>
      <c r="B7211" s="92" t="s">
        <v>12329</v>
      </c>
      <c r="C7211" s="92" t="s">
        <v>14922</v>
      </c>
      <c r="D7211" s="72" t="str">
        <f>IFERROR(VLOOKUP(A7211,'[1]ST-QA-ZZ5'!$C$5:$M$299,11,0),"Inspection at production line")</f>
        <v>Inspection at production line</v>
      </c>
    </row>
    <row r="7212" spans="1:4" ht="13.8">
      <c r="A7212" s="47" t="s">
        <v>14923</v>
      </c>
      <c r="B7212" s="92" t="s">
        <v>1954</v>
      </c>
      <c r="C7212" s="92" t="s">
        <v>14924</v>
      </c>
      <c r="D7212" s="72" t="str">
        <f>IFERROR(VLOOKUP(A7212,'[1]ST-QA-ZZ5'!$C$5:$M$299,11,0),"Inspection at production line")</f>
        <v>Inspection at production line</v>
      </c>
    </row>
    <row r="7213" spans="1:4" ht="13.8">
      <c r="A7213" s="47" t="s">
        <v>14925</v>
      </c>
      <c r="B7213" s="92" t="s">
        <v>1954</v>
      </c>
      <c r="C7213" s="92" t="s">
        <v>14926</v>
      </c>
      <c r="D7213" s="72" t="str">
        <f>IFERROR(VLOOKUP(A7213,'[1]ST-QA-ZZ5'!$C$5:$M$299,11,0),"Inspection at production line")</f>
        <v>Inspection at production line</v>
      </c>
    </row>
    <row r="7214" spans="1:4" ht="13.8">
      <c r="A7214" s="47" t="s">
        <v>14927</v>
      </c>
      <c r="B7214" s="92" t="s">
        <v>2438</v>
      </c>
      <c r="C7214" s="92" t="s">
        <v>5401</v>
      </c>
      <c r="D7214" s="72" t="str">
        <f>IFERROR(VLOOKUP(A7214,'[1]ST-QA-ZZ5'!$C$5:$M$299,11,0),"Inspection at production line")</f>
        <v>Inspection at production line</v>
      </c>
    </row>
    <row r="7215" spans="1:4" ht="13.8">
      <c r="A7215" s="47" t="s">
        <v>14928</v>
      </c>
      <c r="B7215" s="92" t="s">
        <v>14929</v>
      </c>
      <c r="C7215" s="92" t="s">
        <v>14929</v>
      </c>
      <c r="D7215" s="72" t="str">
        <f>IFERROR(VLOOKUP(A7215,'[1]ST-QA-ZZ5'!$C$5:$M$299,11,0),"Inspection at production line")</f>
        <v>Inspection at production line</v>
      </c>
    </row>
    <row r="7216" spans="1:4" ht="13.8">
      <c r="A7216" s="47" t="s">
        <v>14930</v>
      </c>
      <c r="B7216" s="92" t="s">
        <v>14931</v>
      </c>
      <c r="C7216" s="92" t="s">
        <v>14931</v>
      </c>
      <c r="D7216" s="72" t="str">
        <f>IFERROR(VLOOKUP(A7216,'[1]ST-QA-ZZ5'!$C$5:$M$299,11,0),"Inspection at production line")</f>
        <v>Inspection at production line</v>
      </c>
    </row>
    <row r="7217" spans="1:4" ht="13.8">
      <c r="A7217" s="47" t="s">
        <v>14932</v>
      </c>
      <c r="B7217" s="92" t="s">
        <v>14933</v>
      </c>
      <c r="C7217" s="92" t="s">
        <v>14933</v>
      </c>
      <c r="D7217" s="72" t="str">
        <f>IFERROR(VLOOKUP(A7217,'[1]ST-QA-ZZ5'!$C$5:$M$299,11,0),"Inspection at production line")</f>
        <v>Inspection at production line</v>
      </c>
    </row>
    <row r="7218" spans="1:4" ht="13.8">
      <c r="A7218" s="47" t="s">
        <v>14934</v>
      </c>
      <c r="B7218" s="92" t="s">
        <v>14935</v>
      </c>
      <c r="C7218" s="92" t="s">
        <v>14935</v>
      </c>
      <c r="D7218" s="72" t="str">
        <f>IFERROR(VLOOKUP(A7218,'[1]ST-QA-ZZ5'!$C$5:$M$299,11,0),"Inspection at production line")</f>
        <v>Inspection at production line</v>
      </c>
    </row>
    <row r="7219" spans="1:4" ht="13.8">
      <c r="A7219" s="47" t="s">
        <v>14936</v>
      </c>
      <c r="B7219" s="92" t="s">
        <v>14937</v>
      </c>
      <c r="C7219" s="92" t="s">
        <v>14937</v>
      </c>
      <c r="D7219" s="72" t="str">
        <f>IFERROR(VLOOKUP(A7219,'[1]ST-QA-ZZ5'!$C$5:$M$299,11,0),"Inspection at production line")</f>
        <v>Inspection at production line</v>
      </c>
    </row>
    <row r="7220" spans="1:4" ht="13.8">
      <c r="A7220" s="47" t="s">
        <v>14938</v>
      </c>
      <c r="B7220" s="92" t="s">
        <v>14939</v>
      </c>
      <c r="C7220" s="92" t="s">
        <v>14939</v>
      </c>
      <c r="D7220" s="72" t="str">
        <f>IFERROR(VLOOKUP(A7220,'[1]ST-QA-ZZ5'!$C$5:$M$299,11,0),"Inspection at production line")</f>
        <v>Inspection at production line</v>
      </c>
    </row>
    <row r="7221" spans="1:4" ht="13.8">
      <c r="A7221" s="47" t="s">
        <v>14940</v>
      </c>
      <c r="B7221" s="92" t="s">
        <v>14941</v>
      </c>
      <c r="C7221" s="92" t="s">
        <v>14941</v>
      </c>
      <c r="D7221" s="72" t="str">
        <f>IFERROR(VLOOKUP(A7221,'[1]ST-QA-ZZ5'!$C$5:$M$299,11,0),"Inspection at production line")</f>
        <v>Inspection at production line</v>
      </c>
    </row>
    <row r="7222" spans="1:4" ht="13.8">
      <c r="A7222" s="47" t="s">
        <v>14942</v>
      </c>
      <c r="B7222" s="92" t="s">
        <v>12516</v>
      </c>
      <c r="C7222" s="92" t="s">
        <v>12516</v>
      </c>
      <c r="D7222" s="72" t="str">
        <f>IFERROR(VLOOKUP(A7222,'[1]ST-QA-ZZ5'!$C$5:$M$299,11,0),"Inspection at production line")</f>
        <v>Inspection at production line</v>
      </c>
    </row>
    <row r="7223" spans="1:4" ht="13.8">
      <c r="A7223" s="47" t="s">
        <v>14943</v>
      </c>
      <c r="B7223" s="92" t="s">
        <v>14944</v>
      </c>
      <c r="C7223" s="92" t="s">
        <v>14944</v>
      </c>
      <c r="D7223" s="72" t="str">
        <f>IFERROR(VLOOKUP(A7223,'[1]ST-QA-ZZ5'!$C$5:$M$299,11,0),"Inspection at production line")</f>
        <v>Inspection at production line</v>
      </c>
    </row>
    <row r="7224" spans="1:4" ht="13.8">
      <c r="A7224" s="47" t="s">
        <v>14945</v>
      </c>
      <c r="B7224" s="92" t="s">
        <v>14946</v>
      </c>
      <c r="C7224" s="92" t="s">
        <v>14946</v>
      </c>
      <c r="D7224" s="72" t="str">
        <f>IFERROR(VLOOKUP(A7224,'[1]ST-QA-ZZ5'!$C$5:$M$299,11,0),"Inspection at production line")</f>
        <v>Inspection at production line</v>
      </c>
    </row>
    <row r="7225" spans="1:4" ht="13.8">
      <c r="A7225" s="47" t="s">
        <v>14947</v>
      </c>
      <c r="B7225" s="92" t="s">
        <v>14948</v>
      </c>
      <c r="C7225" s="92" t="s">
        <v>14948</v>
      </c>
      <c r="D7225" s="72" t="str">
        <f>IFERROR(VLOOKUP(A7225,'[1]ST-QA-ZZ5'!$C$5:$M$299,11,0),"Inspection at production line")</f>
        <v>Inspection at production line</v>
      </c>
    </row>
    <row r="7226" spans="1:4" ht="13.8">
      <c r="A7226" s="47" t="s">
        <v>14949</v>
      </c>
      <c r="B7226" s="92" t="s">
        <v>4075</v>
      </c>
      <c r="C7226" s="92" t="s">
        <v>14950</v>
      </c>
      <c r="D7226" s="72" t="str">
        <f>IFERROR(VLOOKUP(A7226,'[1]ST-QA-ZZ5'!$C$5:$M$299,11,0),"Inspection at production line")</f>
        <v>Inspection at production line</v>
      </c>
    </row>
    <row r="7227" spans="1:4" ht="13.8">
      <c r="A7227" s="47" t="s">
        <v>14951</v>
      </c>
      <c r="B7227" s="92" t="s">
        <v>4075</v>
      </c>
      <c r="C7227" s="92" t="s">
        <v>14952</v>
      </c>
      <c r="D7227" s="72" t="str">
        <f>IFERROR(VLOOKUP(A7227,'[1]ST-QA-ZZ5'!$C$5:$M$299,11,0),"Inspection at production line")</f>
        <v>Inspection at production line</v>
      </c>
    </row>
    <row r="7228" spans="1:4" ht="13.8">
      <c r="A7228" s="47" t="s">
        <v>14953</v>
      </c>
      <c r="B7228" s="92" t="s">
        <v>57</v>
      </c>
      <c r="C7228" s="92" t="s">
        <v>14954</v>
      </c>
      <c r="D7228" s="72" t="str">
        <f>IFERROR(VLOOKUP(A7228,'[1]ST-QA-ZZ5'!$C$5:$M$299,11,0),"Inspection at production line")</f>
        <v>Inspection at production line</v>
      </c>
    </row>
    <row r="7229" spans="1:4" ht="13.8">
      <c r="A7229" s="47" t="s">
        <v>14955</v>
      </c>
      <c r="B7229" s="92" t="s">
        <v>14956</v>
      </c>
      <c r="C7229" s="92" t="s">
        <v>5850</v>
      </c>
      <c r="D7229" s="72" t="str">
        <f>IFERROR(VLOOKUP(A7229,'[1]ST-QA-ZZ5'!$C$5:$M$299,11,0),"Inspection at production line")</f>
        <v>Inspection at production line</v>
      </c>
    </row>
    <row r="7230" spans="1:4" ht="13.8">
      <c r="A7230" s="47" t="s">
        <v>14957</v>
      </c>
      <c r="B7230" s="92" t="s">
        <v>119</v>
      </c>
      <c r="C7230" s="92" t="s">
        <v>14958</v>
      </c>
      <c r="D7230" s="72" t="str">
        <f>IFERROR(VLOOKUP(A7230,'[1]ST-QA-ZZ5'!$C$5:$M$299,11,0),"Inspection at production line")</f>
        <v>Inspection at production line</v>
      </c>
    </row>
    <row r="7231" spans="1:4" ht="13.8">
      <c r="A7231" s="47" t="s">
        <v>14959</v>
      </c>
      <c r="B7231" s="92" t="s">
        <v>119</v>
      </c>
      <c r="C7231" s="92" t="s">
        <v>14960</v>
      </c>
      <c r="D7231" s="72" t="str">
        <f>IFERROR(VLOOKUP(A7231,'[1]ST-QA-ZZ5'!$C$5:$M$299,11,0),"Inspection at production line")</f>
        <v>Inspection at production line</v>
      </c>
    </row>
    <row r="7232" spans="1:4" ht="13.8">
      <c r="A7232" s="47" t="s">
        <v>14961</v>
      </c>
      <c r="B7232" s="92" t="s">
        <v>57</v>
      </c>
      <c r="C7232" s="92" t="s">
        <v>6119</v>
      </c>
      <c r="D7232" s="72" t="str">
        <f>IFERROR(VLOOKUP(A7232,'[1]ST-QA-ZZ5'!$C$5:$M$299,11,0),"Inspection at production line")</f>
        <v>Inspection at production line</v>
      </c>
    </row>
    <row r="7233" spans="1:4" ht="13.8">
      <c r="A7233" s="47" t="s">
        <v>14962</v>
      </c>
      <c r="B7233" s="92" t="s">
        <v>57</v>
      </c>
      <c r="C7233" s="92" t="s">
        <v>2444</v>
      </c>
      <c r="D7233" s="72" t="str">
        <f>IFERROR(VLOOKUP(A7233,'[1]ST-QA-ZZ5'!$C$5:$M$299,11,0),"Inspection at production line")</f>
        <v>Inspection at production line</v>
      </c>
    </row>
    <row r="7234" spans="1:4" ht="13.8">
      <c r="A7234" s="47" t="s">
        <v>14963</v>
      </c>
      <c r="B7234" s="92" t="s">
        <v>57</v>
      </c>
      <c r="C7234" s="92" t="s">
        <v>14964</v>
      </c>
      <c r="D7234" s="72" t="str">
        <f>IFERROR(VLOOKUP(A7234,'[1]ST-QA-ZZ5'!$C$5:$M$299,11,0),"Inspection at production line")</f>
        <v>Inspection at production line</v>
      </c>
    </row>
    <row r="7235" spans="1:4" ht="13.8">
      <c r="A7235" s="47" t="s">
        <v>14965</v>
      </c>
      <c r="B7235" s="92" t="s">
        <v>6141</v>
      </c>
      <c r="C7235" s="92" t="s">
        <v>14966</v>
      </c>
      <c r="D7235" s="72" t="str">
        <f>IFERROR(VLOOKUP(A7235,'[1]ST-QA-ZZ5'!$C$5:$M$299,11,0),"Inspection at production line")</f>
        <v>Inspection at production line</v>
      </c>
    </row>
    <row r="7236" spans="1:4" ht="13.8">
      <c r="A7236" s="47" t="s">
        <v>14967</v>
      </c>
      <c r="B7236" s="92" t="s">
        <v>14968</v>
      </c>
      <c r="C7236" s="92" t="s">
        <v>14968</v>
      </c>
      <c r="D7236" s="72" t="str">
        <f>IFERROR(VLOOKUP(A7236,'[1]ST-QA-ZZ5'!$C$5:$M$299,11,0),"Inspection at production line")</f>
        <v>Inspection at production line</v>
      </c>
    </row>
    <row r="7237" spans="1:4" ht="13.8">
      <c r="A7237" s="47" t="s">
        <v>14969</v>
      </c>
      <c r="B7237" s="92" t="s">
        <v>14970</v>
      </c>
      <c r="C7237" s="92" t="s">
        <v>14970</v>
      </c>
      <c r="D7237" s="72" t="str">
        <f>IFERROR(VLOOKUP(A7237,'[1]ST-QA-ZZ5'!$C$5:$M$299,11,0),"Inspection at production line")</f>
        <v>Inspection at production line</v>
      </c>
    </row>
    <row r="7238" spans="1:4" ht="13.8">
      <c r="A7238" s="47" t="s">
        <v>14971</v>
      </c>
      <c r="B7238" s="92" t="s">
        <v>14972</v>
      </c>
      <c r="C7238" s="92" t="s">
        <v>14972</v>
      </c>
      <c r="D7238" s="72" t="str">
        <f>IFERROR(VLOOKUP(A7238,'[1]ST-QA-ZZ5'!$C$5:$M$299,11,0),"Inspection at production line")</f>
        <v>Inspection at production line</v>
      </c>
    </row>
    <row r="7239" spans="1:4" ht="13.8">
      <c r="A7239" s="47" t="s">
        <v>14973</v>
      </c>
      <c r="B7239" s="92" t="s">
        <v>1880</v>
      </c>
      <c r="C7239" s="92" t="s">
        <v>14974</v>
      </c>
      <c r="D7239" s="72" t="str">
        <f>IFERROR(VLOOKUP(A7239,'[1]ST-QA-ZZ5'!$C$5:$M$299,11,0),"Inspection at production line")</f>
        <v>Inspection at production line</v>
      </c>
    </row>
    <row r="7240" spans="1:4" ht="13.8">
      <c r="A7240" s="47" t="s">
        <v>14975</v>
      </c>
      <c r="B7240" s="92" t="s">
        <v>1880</v>
      </c>
      <c r="C7240" s="92" t="s">
        <v>14976</v>
      </c>
      <c r="D7240" s="72" t="str">
        <f>IFERROR(VLOOKUP(A7240,'[1]ST-QA-ZZ5'!$C$5:$M$299,11,0),"Inspection at production line")</f>
        <v>Inspection at production line</v>
      </c>
    </row>
    <row r="7241" spans="1:4" ht="13.8">
      <c r="A7241" s="47" t="s">
        <v>14977</v>
      </c>
      <c r="B7241" s="92" t="s">
        <v>14978</v>
      </c>
      <c r="C7241" s="92" t="s">
        <v>14978</v>
      </c>
      <c r="D7241" s="72" t="str">
        <f>IFERROR(VLOOKUP(A7241,'[1]ST-QA-ZZ5'!$C$5:$M$299,11,0),"Inspection at production line")</f>
        <v>Inspection at production line</v>
      </c>
    </row>
    <row r="7242" spans="1:4" ht="13.8">
      <c r="A7242" s="47" t="s">
        <v>14979</v>
      </c>
      <c r="B7242" s="92" t="s">
        <v>14980</v>
      </c>
      <c r="C7242" s="92" t="s">
        <v>14980</v>
      </c>
      <c r="D7242" s="72" t="str">
        <f>IFERROR(VLOOKUP(A7242,'[1]ST-QA-ZZ5'!$C$5:$M$299,11,0),"Inspection at production line")</f>
        <v>Inspection at production line</v>
      </c>
    </row>
    <row r="7243" spans="1:4" ht="13.8">
      <c r="A7243" s="47" t="s">
        <v>14981</v>
      </c>
      <c r="B7243" s="92" t="s">
        <v>14982</v>
      </c>
      <c r="C7243" s="92" t="s">
        <v>14982</v>
      </c>
      <c r="D7243" s="72" t="str">
        <f>IFERROR(VLOOKUP(A7243,'[1]ST-QA-ZZ5'!$C$5:$M$299,11,0),"Inspection at production line")</f>
        <v>Inspection at production line</v>
      </c>
    </row>
    <row r="7244" spans="1:4" ht="13.8">
      <c r="A7244" s="47" t="s">
        <v>14983</v>
      </c>
      <c r="B7244" s="92" t="s">
        <v>12259</v>
      </c>
      <c r="C7244" s="92" t="s">
        <v>12259</v>
      </c>
      <c r="D7244" s="72" t="str">
        <f>IFERROR(VLOOKUP(A7244,'[1]ST-QA-ZZ5'!$C$5:$M$299,11,0),"Inspection at production line")</f>
        <v>Inspection at production line</v>
      </c>
    </row>
    <row r="7245" spans="1:4" ht="13.8">
      <c r="A7245" s="47" t="s">
        <v>14984</v>
      </c>
      <c r="B7245" s="92" t="s">
        <v>14985</v>
      </c>
      <c r="C7245" s="92" t="s">
        <v>14985</v>
      </c>
      <c r="D7245" s="72" t="str">
        <f>IFERROR(VLOOKUP(A7245,'[1]ST-QA-ZZ5'!$C$5:$M$299,11,0),"Inspection at production line")</f>
        <v>Inspection at production line</v>
      </c>
    </row>
    <row r="7246" spans="1:4" ht="13.8">
      <c r="A7246" s="47" t="s">
        <v>14986</v>
      </c>
      <c r="B7246" s="92" t="s">
        <v>14987</v>
      </c>
      <c r="C7246" s="92" t="s">
        <v>14987</v>
      </c>
      <c r="D7246" s="72" t="str">
        <f>IFERROR(VLOOKUP(A7246,'[1]ST-QA-ZZ5'!$C$5:$M$299,11,0),"Inspection at production line")</f>
        <v>Inspection at production line</v>
      </c>
    </row>
    <row r="7247" spans="1:4" ht="13.8">
      <c r="A7247" s="47" t="s">
        <v>14988</v>
      </c>
      <c r="B7247" s="92" t="s">
        <v>12541</v>
      </c>
      <c r="C7247" s="92" t="s">
        <v>14989</v>
      </c>
      <c r="D7247" s="72" t="str">
        <f>IFERROR(VLOOKUP(A7247,'[1]ST-QA-ZZ5'!$C$5:$M$299,11,0),"Inspection at production line")</f>
        <v>Inspection at production line</v>
      </c>
    </row>
    <row r="7248" spans="1:4" ht="13.8">
      <c r="A7248" s="47" t="s">
        <v>14990</v>
      </c>
      <c r="B7248" s="92" t="s">
        <v>12541</v>
      </c>
      <c r="C7248" s="92" t="s">
        <v>14991</v>
      </c>
      <c r="D7248" s="72" t="str">
        <f>IFERROR(VLOOKUP(A7248,'[1]ST-QA-ZZ5'!$C$5:$M$299,11,0),"Inspection at production line")</f>
        <v>Inspection at production line</v>
      </c>
    </row>
    <row r="7249" spans="1:4" ht="13.8">
      <c r="A7249" s="47" t="s">
        <v>14992</v>
      </c>
      <c r="B7249" s="92" t="s">
        <v>12549</v>
      </c>
      <c r="C7249" s="92" t="s">
        <v>14993</v>
      </c>
      <c r="D7249" s="72" t="str">
        <f>IFERROR(VLOOKUP(A7249,'[1]ST-QA-ZZ5'!$C$5:$M$299,11,0),"Inspection at production line")</f>
        <v>Inspection at production line</v>
      </c>
    </row>
    <row r="7250" spans="1:4" ht="13.8">
      <c r="A7250" s="47" t="s">
        <v>14994</v>
      </c>
      <c r="B7250" s="92" t="s">
        <v>14995</v>
      </c>
      <c r="C7250" s="92" t="s">
        <v>14995</v>
      </c>
      <c r="D7250" s="72" t="str">
        <f>IFERROR(VLOOKUP(A7250,'[1]ST-QA-ZZ5'!$C$5:$M$299,11,0),"Inspection at production line")</f>
        <v>Inspection at production line</v>
      </c>
    </row>
    <row r="7251" spans="1:4" ht="13.8">
      <c r="A7251" s="47" t="s">
        <v>14996</v>
      </c>
      <c r="B7251" s="92" t="s">
        <v>14997</v>
      </c>
      <c r="C7251" s="92" t="s">
        <v>14998</v>
      </c>
      <c r="D7251" s="72" t="str">
        <f>IFERROR(VLOOKUP(A7251,'[1]ST-QA-ZZ5'!$C$5:$M$299,11,0),"Inspection at production line")</f>
        <v>Inspection at production line</v>
      </c>
    </row>
    <row r="7252" spans="1:4" ht="13.8">
      <c r="A7252" s="47" t="s">
        <v>14999</v>
      </c>
      <c r="B7252" s="92" t="s">
        <v>15000</v>
      </c>
      <c r="C7252" s="92" t="s">
        <v>15000</v>
      </c>
      <c r="D7252" s="72" t="str">
        <f>IFERROR(VLOOKUP(A7252,'[1]ST-QA-ZZ5'!$C$5:$M$299,11,0),"Inspection at production line")</f>
        <v>Inspection at production line</v>
      </c>
    </row>
    <row r="7253" spans="1:4" ht="13.8">
      <c r="A7253" s="47" t="s">
        <v>15001</v>
      </c>
      <c r="B7253" s="92" t="s">
        <v>12275</v>
      </c>
      <c r="C7253" s="92" t="s">
        <v>12275</v>
      </c>
      <c r="D7253" s="72" t="str">
        <f>IFERROR(VLOOKUP(A7253,'[1]ST-QA-ZZ5'!$C$5:$M$299,11,0),"Inspection at production line")</f>
        <v>Inspection at production line</v>
      </c>
    </row>
    <row r="7254" spans="1:4" ht="13.8">
      <c r="A7254" s="47" t="s">
        <v>15002</v>
      </c>
      <c r="B7254" s="92" t="s">
        <v>15003</v>
      </c>
      <c r="C7254" s="92" t="s">
        <v>15003</v>
      </c>
      <c r="D7254" s="72" t="str">
        <f>IFERROR(VLOOKUP(A7254,'[1]ST-QA-ZZ5'!$C$5:$M$299,11,0),"Inspection at production line")</f>
        <v>Inspection at production line</v>
      </c>
    </row>
    <row r="7255" spans="1:4" ht="13.8">
      <c r="A7255" s="47" t="s">
        <v>15004</v>
      </c>
      <c r="B7255" s="92" t="s">
        <v>12528</v>
      </c>
      <c r="C7255" s="92" t="s">
        <v>15005</v>
      </c>
      <c r="D7255" s="72" t="str">
        <f>IFERROR(VLOOKUP(A7255,'[1]ST-QA-ZZ5'!$C$5:$M$299,11,0),"Inspection at production line")</f>
        <v>Inspection at production line</v>
      </c>
    </row>
    <row r="7256" spans="1:4" ht="13.8">
      <c r="A7256" s="47" t="s">
        <v>15006</v>
      </c>
      <c r="B7256" s="92" t="s">
        <v>15007</v>
      </c>
      <c r="C7256" s="92" t="s">
        <v>15007</v>
      </c>
      <c r="D7256" s="72" t="str">
        <f>IFERROR(VLOOKUP(A7256,'[1]ST-QA-ZZ5'!$C$5:$M$299,11,0),"Inspection at production line")</f>
        <v>Inspection at production line</v>
      </c>
    </row>
    <row r="7257" spans="1:4" ht="13.8">
      <c r="A7257" s="47" t="s">
        <v>15008</v>
      </c>
      <c r="B7257" s="92" t="s">
        <v>12292</v>
      </c>
      <c r="C7257" s="92" t="s">
        <v>12292</v>
      </c>
      <c r="D7257" s="72" t="str">
        <f>IFERROR(VLOOKUP(A7257,'[1]ST-QA-ZZ5'!$C$5:$M$299,11,0),"Inspection at production line")</f>
        <v>Inspection at production line</v>
      </c>
    </row>
    <row r="7258" spans="1:4" ht="13.8">
      <c r="A7258" s="47" t="s">
        <v>15009</v>
      </c>
      <c r="B7258" s="92" t="s">
        <v>12558</v>
      </c>
      <c r="C7258" s="92" t="s">
        <v>12559</v>
      </c>
      <c r="D7258" s="72" t="str">
        <f>IFERROR(VLOOKUP(A7258,'[1]ST-QA-ZZ5'!$C$5:$M$299,11,0),"Inspection at production line")</f>
        <v>Inspection at production line</v>
      </c>
    </row>
    <row r="7259" spans="1:4" ht="13.8">
      <c r="A7259" s="47" t="s">
        <v>15010</v>
      </c>
      <c r="B7259" s="92" t="s">
        <v>1513</v>
      </c>
      <c r="C7259" s="92" t="s">
        <v>15011</v>
      </c>
      <c r="D7259" s="72" t="str">
        <f>IFERROR(VLOOKUP(A7259,'[1]ST-QA-ZZ5'!$C$5:$M$299,11,0),"Inspection at production line")</f>
        <v>Inspection at production line</v>
      </c>
    </row>
    <row r="7260" spans="1:4" ht="13.8">
      <c r="A7260" s="47" t="s">
        <v>15012</v>
      </c>
      <c r="B7260" s="92" t="s">
        <v>12311</v>
      </c>
      <c r="C7260" s="92" t="s">
        <v>12311</v>
      </c>
      <c r="D7260" s="72" t="str">
        <f>IFERROR(VLOOKUP(A7260,'[1]ST-QA-ZZ5'!$C$5:$M$299,11,0),"Inspection at production line")</f>
        <v>Inspection at production line</v>
      </c>
    </row>
    <row r="7261" spans="1:4" ht="13.8">
      <c r="A7261" s="47" t="s">
        <v>15013</v>
      </c>
      <c r="B7261" s="92" t="s">
        <v>15014</v>
      </c>
      <c r="C7261" s="92" t="s">
        <v>15014</v>
      </c>
      <c r="D7261" s="72" t="str">
        <f>IFERROR(VLOOKUP(A7261,'[1]ST-QA-ZZ5'!$C$5:$M$299,11,0),"Inspection at production line")</f>
        <v>Inspection at production line</v>
      </c>
    </row>
    <row r="7262" spans="1:4" ht="13.8">
      <c r="A7262" s="47" t="s">
        <v>15015</v>
      </c>
      <c r="B7262" s="92" t="s">
        <v>15016</v>
      </c>
      <c r="C7262" s="92" t="s">
        <v>15016</v>
      </c>
      <c r="D7262" s="72" t="str">
        <f>IFERROR(VLOOKUP(A7262,'[1]ST-QA-ZZ5'!$C$5:$M$299,11,0),"Inspection at production line")</f>
        <v>Inspection at production line</v>
      </c>
    </row>
    <row r="7263" spans="1:4" ht="13.8">
      <c r="A7263" s="47" t="s">
        <v>15017</v>
      </c>
      <c r="B7263" s="92" t="s">
        <v>15018</v>
      </c>
      <c r="C7263" s="92" t="s">
        <v>15018</v>
      </c>
      <c r="D7263" s="72" t="str">
        <f>IFERROR(VLOOKUP(A7263,'[1]ST-QA-ZZ5'!$C$5:$M$299,11,0),"Inspection at production line")</f>
        <v>Inspection at production line</v>
      </c>
    </row>
    <row r="7264" spans="1:4" ht="13.8">
      <c r="A7264" s="47" t="s">
        <v>15019</v>
      </c>
      <c r="B7264" s="92" t="s">
        <v>15020</v>
      </c>
      <c r="C7264" s="92" t="s">
        <v>15020</v>
      </c>
      <c r="D7264" s="72" t="str">
        <f>IFERROR(VLOOKUP(A7264,'[1]ST-QA-ZZ5'!$C$5:$M$299,11,0),"Inspection at production line")</f>
        <v>Inspection at production line</v>
      </c>
    </row>
    <row r="7265" spans="1:4" ht="13.8">
      <c r="A7265" s="47" t="s">
        <v>15021</v>
      </c>
      <c r="B7265" s="92" t="s">
        <v>15022</v>
      </c>
      <c r="C7265" s="92" t="s">
        <v>15022</v>
      </c>
      <c r="D7265" s="72" t="str">
        <f>IFERROR(VLOOKUP(A7265,'[1]ST-QA-ZZ5'!$C$5:$M$299,11,0),"Inspection at production line")</f>
        <v>Inspection at production line</v>
      </c>
    </row>
    <row r="7266" spans="1:4" ht="13.8">
      <c r="A7266" s="47" t="s">
        <v>15023</v>
      </c>
      <c r="B7266" s="92" t="s">
        <v>15024</v>
      </c>
      <c r="C7266" s="92" t="s">
        <v>15025</v>
      </c>
      <c r="D7266" s="72" t="str">
        <f>IFERROR(VLOOKUP(A7266,'[1]ST-QA-ZZ5'!$C$5:$M$299,11,0),"Inspection at production line")</f>
        <v>Inspection at production line</v>
      </c>
    </row>
    <row r="7267" spans="1:4" ht="13.8">
      <c r="A7267" s="47" t="s">
        <v>15026</v>
      </c>
      <c r="B7267" s="92" t="s">
        <v>15024</v>
      </c>
      <c r="C7267" s="92" t="s">
        <v>15027</v>
      </c>
      <c r="D7267" s="72" t="str">
        <f>IFERROR(VLOOKUP(A7267,'[1]ST-QA-ZZ5'!$C$5:$M$299,11,0),"Inspection at production line")</f>
        <v>Inspection at production line</v>
      </c>
    </row>
    <row r="7268" spans="1:4" ht="13.8">
      <c r="A7268" s="47" t="s">
        <v>15028</v>
      </c>
      <c r="B7268" s="92" t="s">
        <v>15029</v>
      </c>
      <c r="C7268" s="92" t="s">
        <v>15030</v>
      </c>
      <c r="D7268" s="72" t="str">
        <f>IFERROR(VLOOKUP(A7268,'[1]ST-QA-ZZ5'!$C$5:$M$299,11,0),"Inspection at production line")</f>
        <v>Inspection at production line</v>
      </c>
    </row>
    <row r="7269" spans="1:4" ht="13.8">
      <c r="A7269" s="47" t="s">
        <v>15031</v>
      </c>
      <c r="B7269" s="92" t="s">
        <v>15029</v>
      </c>
      <c r="C7269" s="92" t="s">
        <v>15032</v>
      </c>
      <c r="D7269" s="72" t="str">
        <f>IFERROR(VLOOKUP(A7269,'[1]ST-QA-ZZ5'!$C$5:$M$299,11,0),"Inspection at production line")</f>
        <v>Inspection at production line</v>
      </c>
    </row>
    <row r="7270" spans="1:4" ht="13.8">
      <c r="A7270" s="47" t="s">
        <v>15033</v>
      </c>
      <c r="B7270" s="92" t="s">
        <v>15029</v>
      </c>
      <c r="C7270" s="92" t="s">
        <v>15034</v>
      </c>
      <c r="D7270" s="72" t="str">
        <f>IFERROR(VLOOKUP(A7270,'[1]ST-QA-ZZ5'!$C$5:$M$299,11,0),"Inspection at production line")</f>
        <v>Inspection at production line</v>
      </c>
    </row>
    <row r="7271" spans="1:4" ht="13.8">
      <c r="A7271" s="47" t="s">
        <v>15035</v>
      </c>
      <c r="B7271" s="92" t="s">
        <v>15029</v>
      </c>
      <c r="C7271" s="92" t="s">
        <v>15036</v>
      </c>
      <c r="D7271" s="72" t="str">
        <f>IFERROR(VLOOKUP(A7271,'[1]ST-QA-ZZ5'!$C$5:$M$299,11,0),"Inspection at production line")</f>
        <v>Inspection at production line</v>
      </c>
    </row>
    <row r="7272" spans="1:4" ht="13.8">
      <c r="A7272" s="47" t="s">
        <v>15037</v>
      </c>
      <c r="B7272" s="92" t="s">
        <v>15038</v>
      </c>
      <c r="C7272" s="92" t="s">
        <v>15039</v>
      </c>
      <c r="D7272" s="72" t="str">
        <f>IFERROR(VLOOKUP(A7272,'[1]ST-QA-ZZ5'!$C$5:$M$299,11,0),"Inspection at production line")</f>
        <v>Inspection at production line</v>
      </c>
    </row>
    <row r="7273" spans="1:4" ht="13.8">
      <c r="A7273" s="47" t="s">
        <v>15040</v>
      </c>
      <c r="B7273" s="92" t="s">
        <v>15038</v>
      </c>
      <c r="C7273" s="92" t="s">
        <v>15041</v>
      </c>
      <c r="D7273" s="72" t="str">
        <f>IFERROR(VLOOKUP(A7273,'[1]ST-QA-ZZ5'!$C$5:$M$299,11,0),"Inspection at production line")</f>
        <v>Inspection at production line</v>
      </c>
    </row>
    <row r="7274" spans="1:4" ht="13.8">
      <c r="A7274" s="47" t="s">
        <v>15042</v>
      </c>
      <c r="B7274" s="92" t="s">
        <v>15043</v>
      </c>
      <c r="C7274" s="92" t="s">
        <v>15044</v>
      </c>
      <c r="D7274" s="72" t="str">
        <f>IFERROR(VLOOKUP(A7274,'[1]ST-QA-ZZ5'!$C$5:$M$299,11,0),"Inspection at production line")</f>
        <v>Inspection at production line</v>
      </c>
    </row>
    <row r="7275" spans="1:4" ht="13.8">
      <c r="A7275" s="47" t="s">
        <v>15045</v>
      </c>
      <c r="B7275" s="92" t="s">
        <v>15046</v>
      </c>
      <c r="C7275" s="92" t="s">
        <v>15047</v>
      </c>
      <c r="D7275" s="72" t="str">
        <f>IFERROR(VLOOKUP(A7275,'[1]ST-QA-ZZ5'!$C$5:$M$299,11,0),"Inspection at production line")</f>
        <v>Inspection at production line</v>
      </c>
    </row>
    <row r="7276" spans="1:4" ht="13.8">
      <c r="A7276" s="47" t="s">
        <v>15048</v>
      </c>
      <c r="B7276" s="92" t="s">
        <v>15049</v>
      </c>
      <c r="C7276" s="92" t="s">
        <v>15050</v>
      </c>
      <c r="D7276" s="72" t="str">
        <f>IFERROR(VLOOKUP(A7276,'[1]ST-QA-ZZ5'!$C$5:$M$299,11,0),"Inspection at production line")</f>
        <v>Inspection at production line</v>
      </c>
    </row>
    <row r="7277" spans="1:4" ht="13.8">
      <c r="A7277" s="47" t="s">
        <v>15051</v>
      </c>
      <c r="B7277" s="92" t="s">
        <v>15052</v>
      </c>
      <c r="C7277" s="92" t="s">
        <v>15053</v>
      </c>
      <c r="D7277" s="72" t="str">
        <f>IFERROR(VLOOKUP(A7277,'[1]ST-QA-ZZ5'!$C$5:$M$299,11,0),"Inspection at production line")</f>
        <v>Inspection at production line</v>
      </c>
    </row>
    <row r="7278" spans="1:4" ht="13.8">
      <c r="A7278" s="47" t="s">
        <v>15054</v>
      </c>
      <c r="B7278" s="92" t="s">
        <v>15055</v>
      </c>
      <c r="C7278" s="92" t="s">
        <v>15056</v>
      </c>
      <c r="D7278" s="72" t="str">
        <f>IFERROR(VLOOKUP(A7278,'[1]ST-QA-ZZ5'!$C$5:$M$299,11,0),"Inspection at production line")</f>
        <v>Inspection at production line</v>
      </c>
    </row>
    <row r="7279" spans="1:4" ht="13.8">
      <c r="A7279" s="47" t="s">
        <v>15057</v>
      </c>
      <c r="B7279" s="92" t="s">
        <v>15058</v>
      </c>
      <c r="C7279" s="92" t="s">
        <v>15059</v>
      </c>
      <c r="D7279" s="72" t="str">
        <f>IFERROR(VLOOKUP(A7279,'[1]ST-QA-ZZ5'!$C$5:$M$299,11,0),"Inspection at production line")</f>
        <v>Inspection at production line</v>
      </c>
    </row>
    <row r="7280" spans="1:4" ht="13.8">
      <c r="A7280" s="47" t="s">
        <v>15060</v>
      </c>
      <c r="B7280" s="92" t="s">
        <v>11084</v>
      </c>
      <c r="C7280" s="92" t="s">
        <v>15061</v>
      </c>
      <c r="D7280" s="72" t="str">
        <f>IFERROR(VLOOKUP(A7280,'[1]ST-QA-ZZ5'!$C$5:$M$299,11,0),"Inspection at production line")</f>
        <v>Inspection at production line</v>
      </c>
    </row>
    <row r="7281" spans="1:4" ht="13.8">
      <c r="A7281" s="47" t="s">
        <v>15062</v>
      </c>
      <c r="B7281" s="92" t="s">
        <v>15063</v>
      </c>
      <c r="C7281" s="92" t="s">
        <v>15064</v>
      </c>
      <c r="D7281" s="72" t="str">
        <f>IFERROR(VLOOKUP(A7281,'[1]ST-QA-ZZ5'!$C$5:$M$299,11,0),"Inspection at production line")</f>
        <v>Inspection at production line</v>
      </c>
    </row>
    <row r="7282" spans="1:4" ht="13.8">
      <c r="A7282" s="47" t="s">
        <v>15065</v>
      </c>
      <c r="B7282" s="92" t="s">
        <v>15066</v>
      </c>
      <c r="C7282" s="92" t="s">
        <v>15067</v>
      </c>
      <c r="D7282" s="72" t="str">
        <f>IFERROR(VLOOKUP(A7282,'[1]ST-QA-ZZ5'!$C$5:$M$299,11,0),"Inspection at production line")</f>
        <v>Inspection at production line</v>
      </c>
    </row>
    <row r="7283" spans="1:4" ht="13.8">
      <c r="A7283" s="47" t="s">
        <v>15068</v>
      </c>
      <c r="B7283" s="92" t="s">
        <v>15069</v>
      </c>
      <c r="C7283" s="92" t="s">
        <v>15070</v>
      </c>
      <c r="D7283" s="72" t="str">
        <f>IFERROR(VLOOKUP(A7283,'[1]ST-QA-ZZ5'!$C$5:$M$299,11,0),"Inspection at production line")</f>
        <v>Inspection at production line</v>
      </c>
    </row>
    <row r="7284" spans="1:4" ht="13.8">
      <c r="A7284" s="47" t="s">
        <v>15071</v>
      </c>
      <c r="B7284" s="92" t="s">
        <v>15072</v>
      </c>
      <c r="C7284" s="92" t="s">
        <v>15073</v>
      </c>
      <c r="D7284" s="72" t="str">
        <f>IFERROR(VLOOKUP(A7284,'[1]ST-QA-ZZ5'!$C$5:$M$299,11,0),"Inspection at production line")</f>
        <v>Inspection at production line</v>
      </c>
    </row>
    <row r="7285" spans="1:4" ht="13.8">
      <c r="A7285" s="47" t="s">
        <v>15074</v>
      </c>
      <c r="B7285" s="92" t="s">
        <v>15075</v>
      </c>
      <c r="C7285" s="92" t="s">
        <v>15076</v>
      </c>
      <c r="D7285" s="72" t="str">
        <f>IFERROR(VLOOKUP(A7285,'[1]ST-QA-ZZ5'!$C$5:$M$299,11,0),"Inspection at production line")</f>
        <v>Inspection at production line</v>
      </c>
    </row>
    <row r="7286" spans="1:4" ht="13.8">
      <c r="A7286" s="47" t="s">
        <v>15077</v>
      </c>
      <c r="B7286" s="92" t="s">
        <v>12576</v>
      </c>
      <c r="C7286" s="92" t="s">
        <v>15078</v>
      </c>
      <c r="D7286" s="72" t="str">
        <f>IFERROR(VLOOKUP(A7286,'[1]ST-QA-ZZ5'!$C$5:$M$299,11,0),"Inspection at production line")</f>
        <v>Inspection at production line</v>
      </c>
    </row>
    <row r="7287" spans="1:4" ht="13.8">
      <c r="A7287" s="47" t="s">
        <v>15079</v>
      </c>
      <c r="B7287" s="92" t="s">
        <v>12576</v>
      </c>
      <c r="C7287" s="92" t="s">
        <v>15080</v>
      </c>
      <c r="D7287" s="72" t="str">
        <f>IFERROR(VLOOKUP(A7287,'[1]ST-QA-ZZ5'!$C$5:$M$299,11,0),"Inspection at production line")</f>
        <v>Inspection at production line</v>
      </c>
    </row>
    <row r="7288" spans="1:4" ht="13.8">
      <c r="A7288" s="47" t="s">
        <v>15081</v>
      </c>
      <c r="B7288" s="92" t="s">
        <v>12576</v>
      </c>
      <c r="C7288" s="92" t="s">
        <v>15082</v>
      </c>
      <c r="D7288" s="72" t="str">
        <f>IFERROR(VLOOKUP(A7288,'[1]ST-QA-ZZ5'!$C$5:$M$299,11,0),"Inspection at production line")</f>
        <v>Inspection at production line</v>
      </c>
    </row>
    <row r="7289" spans="1:4" ht="13.8">
      <c r="A7289" s="47" t="s">
        <v>15083</v>
      </c>
      <c r="B7289" s="92" t="s">
        <v>12576</v>
      </c>
      <c r="C7289" s="92" t="s">
        <v>15084</v>
      </c>
      <c r="D7289" s="72" t="str">
        <f>IFERROR(VLOOKUP(A7289,'[1]ST-QA-ZZ5'!$C$5:$M$299,11,0),"Inspection at production line")</f>
        <v>Inspection at production line</v>
      </c>
    </row>
    <row r="7290" spans="1:4" ht="13.8">
      <c r="A7290" s="47" t="s">
        <v>15085</v>
      </c>
      <c r="B7290" s="92" t="s">
        <v>12576</v>
      </c>
      <c r="C7290" s="92" t="s">
        <v>15086</v>
      </c>
      <c r="D7290" s="72" t="str">
        <f>IFERROR(VLOOKUP(A7290,'[1]ST-QA-ZZ5'!$C$5:$M$299,11,0),"Inspection at production line")</f>
        <v>Inspection at production line</v>
      </c>
    </row>
    <row r="7291" spans="1:4" ht="13.8">
      <c r="A7291" s="47" t="s">
        <v>15087</v>
      </c>
      <c r="B7291" s="92" t="s">
        <v>12576</v>
      </c>
      <c r="C7291" s="92" t="s">
        <v>12577</v>
      </c>
      <c r="D7291" s="72" t="str">
        <f>IFERROR(VLOOKUP(A7291,'[1]ST-QA-ZZ5'!$C$5:$M$299,11,0),"Inspection at production line")</f>
        <v>Inspection at production line</v>
      </c>
    </row>
    <row r="7292" spans="1:4" ht="13.8">
      <c r="A7292" s="47" t="s">
        <v>15088</v>
      </c>
      <c r="B7292" s="92" t="s">
        <v>12576</v>
      </c>
      <c r="C7292" s="92" t="s">
        <v>15089</v>
      </c>
      <c r="D7292" s="72" t="str">
        <f>IFERROR(VLOOKUP(A7292,'[1]ST-QA-ZZ5'!$C$5:$M$299,11,0),"Inspection at production line")</f>
        <v>Inspection at production line</v>
      </c>
    </row>
    <row r="7293" spans="1:4" ht="13.8">
      <c r="A7293" s="47" t="s">
        <v>15090</v>
      </c>
      <c r="B7293" s="92" t="s">
        <v>12576</v>
      </c>
      <c r="C7293" s="92" t="s">
        <v>15091</v>
      </c>
      <c r="D7293" s="72" t="str">
        <f>IFERROR(VLOOKUP(A7293,'[1]ST-QA-ZZ5'!$C$5:$M$299,11,0),"Inspection at production line")</f>
        <v>Inspection at production line</v>
      </c>
    </row>
    <row r="7294" spans="1:4" ht="13.8">
      <c r="A7294" s="47" t="s">
        <v>15092</v>
      </c>
      <c r="B7294" s="92" t="s">
        <v>12576</v>
      </c>
      <c r="C7294" s="92" t="s">
        <v>15093</v>
      </c>
      <c r="D7294" s="72" t="str">
        <f>IFERROR(VLOOKUP(A7294,'[1]ST-QA-ZZ5'!$C$5:$M$299,11,0),"Inspection at production line")</f>
        <v>Inspection at production line</v>
      </c>
    </row>
    <row r="7295" spans="1:4" ht="13.8">
      <c r="A7295" s="47" t="s">
        <v>15094</v>
      </c>
      <c r="B7295" s="92" t="s">
        <v>12576</v>
      </c>
      <c r="C7295" s="92" t="s">
        <v>15095</v>
      </c>
      <c r="D7295" s="72" t="str">
        <f>IFERROR(VLOOKUP(A7295,'[1]ST-QA-ZZ5'!$C$5:$M$299,11,0),"Inspection at production line")</f>
        <v>Inspection at production line</v>
      </c>
    </row>
    <row r="7296" spans="1:4" ht="13.8">
      <c r="A7296" s="47" t="s">
        <v>15096</v>
      </c>
      <c r="B7296" s="92" t="s">
        <v>12576</v>
      </c>
      <c r="C7296" s="92" t="s">
        <v>15097</v>
      </c>
      <c r="D7296" s="72" t="str">
        <f>IFERROR(VLOOKUP(A7296,'[1]ST-QA-ZZ5'!$C$5:$M$299,11,0),"Inspection at production line")</f>
        <v>Inspection at production line</v>
      </c>
    </row>
    <row r="7297" spans="1:4" ht="13.8">
      <c r="A7297" s="47" t="s">
        <v>15098</v>
      </c>
      <c r="B7297" s="92" t="s">
        <v>12576</v>
      </c>
      <c r="C7297" s="92" t="s">
        <v>15099</v>
      </c>
      <c r="D7297" s="72" t="str">
        <f>IFERROR(VLOOKUP(A7297,'[1]ST-QA-ZZ5'!$C$5:$M$299,11,0),"Inspection at production line")</f>
        <v>Inspection at production line</v>
      </c>
    </row>
    <row r="7298" spans="1:4" ht="13.8">
      <c r="A7298" s="47" t="s">
        <v>15100</v>
      </c>
      <c r="B7298" s="92" t="s">
        <v>12576</v>
      </c>
      <c r="C7298" s="92" t="s">
        <v>15101</v>
      </c>
      <c r="D7298" s="72" t="str">
        <f>IFERROR(VLOOKUP(A7298,'[1]ST-QA-ZZ5'!$C$5:$M$299,11,0),"Inspection at production line")</f>
        <v>Inspection at production line</v>
      </c>
    </row>
    <row r="7299" spans="1:4" ht="13.8">
      <c r="A7299" s="47" t="s">
        <v>15102</v>
      </c>
      <c r="B7299" s="92" t="s">
        <v>12576</v>
      </c>
      <c r="C7299" s="92" t="s">
        <v>15103</v>
      </c>
      <c r="D7299" s="72" t="str">
        <f>IFERROR(VLOOKUP(A7299,'[1]ST-QA-ZZ5'!$C$5:$M$299,11,0),"Inspection at production line")</f>
        <v>Inspection at production line</v>
      </c>
    </row>
    <row r="7300" spans="1:4" ht="13.8">
      <c r="A7300" s="47" t="s">
        <v>15104</v>
      </c>
      <c r="B7300" s="92" t="s">
        <v>12576</v>
      </c>
      <c r="C7300" s="92" t="s">
        <v>15105</v>
      </c>
      <c r="D7300" s="72" t="str">
        <f>IFERROR(VLOOKUP(A7300,'[1]ST-QA-ZZ5'!$C$5:$M$299,11,0),"Inspection at production line")</f>
        <v>Inspection at production line</v>
      </c>
    </row>
    <row r="7301" spans="1:4" ht="13.8">
      <c r="A7301" s="47" t="s">
        <v>15106</v>
      </c>
      <c r="B7301" s="92" t="s">
        <v>12576</v>
      </c>
      <c r="C7301" s="92" t="s">
        <v>15107</v>
      </c>
      <c r="D7301" s="72" t="str">
        <f>IFERROR(VLOOKUP(A7301,'[1]ST-QA-ZZ5'!$C$5:$M$299,11,0),"Inspection at production line")</f>
        <v>Inspection at production line</v>
      </c>
    </row>
    <row r="7302" spans="1:4" ht="13.8">
      <c r="A7302" s="47" t="s">
        <v>15108</v>
      </c>
      <c r="B7302" s="92" t="s">
        <v>12576</v>
      </c>
      <c r="C7302" s="92" t="s">
        <v>15109</v>
      </c>
      <c r="D7302" s="72" t="str">
        <f>IFERROR(VLOOKUP(A7302,'[1]ST-QA-ZZ5'!$C$5:$M$299,11,0),"Inspection at production line")</f>
        <v>Inspection at production line</v>
      </c>
    </row>
    <row r="7303" spans="1:4" ht="13.8">
      <c r="A7303" s="47" t="s">
        <v>15110</v>
      </c>
      <c r="B7303" s="92" t="s">
        <v>15111</v>
      </c>
      <c r="C7303" s="92" t="s">
        <v>15112</v>
      </c>
      <c r="D7303" s="72" t="str">
        <f>IFERROR(VLOOKUP(A7303,'[1]ST-QA-ZZ5'!$C$5:$M$299,11,0),"Inspection at production line")</f>
        <v>Inspection at production line</v>
      </c>
    </row>
    <row r="7304" spans="1:4" ht="13.8">
      <c r="A7304" s="47" t="s">
        <v>15113</v>
      </c>
      <c r="B7304" s="92" t="s">
        <v>12576</v>
      </c>
      <c r="C7304" s="92" t="s">
        <v>15114</v>
      </c>
      <c r="D7304" s="72" t="str">
        <f>IFERROR(VLOOKUP(A7304,'[1]ST-QA-ZZ5'!$C$5:$M$299,11,0),"Inspection at production line")</f>
        <v>Inspection at production line</v>
      </c>
    </row>
    <row r="7305" spans="1:4" ht="13.8">
      <c r="A7305" s="47" t="s">
        <v>15115</v>
      </c>
      <c r="B7305" s="92" t="s">
        <v>12579</v>
      </c>
      <c r="C7305" s="92" t="s">
        <v>12580</v>
      </c>
      <c r="D7305" s="72" t="str">
        <f>IFERROR(VLOOKUP(A7305,'[1]ST-QA-ZZ5'!$C$5:$M$299,11,0),"Inspection at production line")</f>
        <v>Inspection at production line</v>
      </c>
    </row>
    <row r="7306" spans="1:4" ht="13.8">
      <c r="A7306" s="47" t="s">
        <v>15116</v>
      </c>
      <c r="B7306" s="92" t="s">
        <v>15117</v>
      </c>
      <c r="C7306" s="92" t="s">
        <v>15118</v>
      </c>
      <c r="D7306" s="72" t="str">
        <f>IFERROR(VLOOKUP(A7306,'[1]ST-QA-ZZ5'!$C$5:$M$299,11,0),"Inspection at production line")</f>
        <v>Inspection at production line</v>
      </c>
    </row>
    <row r="7307" spans="1:4" ht="13.8">
      <c r="A7307" s="47" t="s">
        <v>15119</v>
      </c>
      <c r="B7307" s="92" t="s">
        <v>15120</v>
      </c>
      <c r="C7307" s="92" t="s">
        <v>15121</v>
      </c>
      <c r="D7307" s="72" t="str">
        <f>IFERROR(VLOOKUP(A7307,'[1]ST-QA-ZZ5'!$C$5:$M$299,11,0),"Inspection at production line")</f>
        <v>Inspection at production line</v>
      </c>
    </row>
    <row r="7308" spans="1:4" ht="13.8">
      <c r="A7308" s="47" t="s">
        <v>15122</v>
      </c>
      <c r="B7308" s="92" t="s">
        <v>15123</v>
      </c>
      <c r="C7308" s="92" t="s">
        <v>15124</v>
      </c>
      <c r="D7308" s="72" t="str">
        <f>IFERROR(VLOOKUP(A7308,'[1]ST-QA-ZZ5'!$C$5:$M$299,11,0),"Inspection at production line")</f>
        <v>Inspection at production line</v>
      </c>
    </row>
    <row r="7309" spans="1:4" ht="13.8">
      <c r="A7309" s="47" t="s">
        <v>15125</v>
      </c>
      <c r="B7309" s="92" t="s">
        <v>15123</v>
      </c>
      <c r="C7309" s="92" t="s">
        <v>15126</v>
      </c>
      <c r="D7309" s="72" t="str">
        <f>IFERROR(VLOOKUP(A7309,'[1]ST-QA-ZZ5'!$C$5:$M$299,11,0),"Inspection at production line")</f>
        <v>Inspection at production line</v>
      </c>
    </row>
    <row r="7310" spans="1:4" ht="13.8">
      <c r="A7310" s="47" t="s">
        <v>15127</v>
      </c>
      <c r="B7310" s="92" t="s">
        <v>15128</v>
      </c>
      <c r="C7310" s="92" t="s">
        <v>15129</v>
      </c>
      <c r="D7310" s="72" t="str">
        <f>IFERROR(VLOOKUP(A7310,'[1]ST-QA-ZZ5'!$C$5:$M$299,11,0),"Inspection at production line")</f>
        <v>Inspection at production line</v>
      </c>
    </row>
    <row r="7311" spans="1:4" ht="13.8">
      <c r="A7311" s="47" t="s">
        <v>15130</v>
      </c>
      <c r="B7311" s="92" t="s">
        <v>15131</v>
      </c>
      <c r="C7311" s="92" t="s">
        <v>15132</v>
      </c>
      <c r="D7311" s="72" t="str">
        <f>IFERROR(VLOOKUP(A7311,'[1]ST-QA-ZZ5'!$C$5:$M$299,11,0),"Inspection at production line")</f>
        <v>Inspection at production line</v>
      </c>
    </row>
    <row r="7312" spans="1:4" ht="13.8">
      <c r="A7312" s="47" t="s">
        <v>15133</v>
      </c>
      <c r="B7312" s="92" t="s">
        <v>15134</v>
      </c>
      <c r="C7312" s="92" t="s">
        <v>15135</v>
      </c>
      <c r="D7312" s="72" t="str">
        <f>IFERROR(VLOOKUP(A7312,'[1]ST-QA-ZZ5'!$C$5:$M$299,11,0),"Inspection at production line")</f>
        <v>Inspection at production line</v>
      </c>
    </row>
    <row r="7313" spans="1:4" ht="13.8">
      <c r="A7313" s="47" t="s">
        <v>15136</v>
      </c>
      <c r="B7313" s="92" t="s">
        <v>15134</v>
      </c>
      <c r="C7313" s="92" t="s">
        <v>15137</v>
      </c>
      <c r="D7313" s="72" t="str">
        <f>IFERROR(VLOOKUP(A7313,'[1]ST-QA-ZZ5'!$C$5:$M$299,11,0),"Inspection at production line")</f>
        <v>Inspection at production line</v>
      </c>
    </row>
    <row r="7314" spans="1:4" ht="13.8">
      <c r="A7314" s="47" t="s">
        <v>15138</v>
      </c>
      <c r="B7314" s="92" t="s">
        <v>15134</v>
      </c>
      <c r="C7314" s="92" t="s">
        <v>15139</v>
      </c>
      <c r="D7314" s="72" t="str">
        <f>IFERROR(VLOOKUP(A7314,'[1]ST-QA-ZZ5'!$C$5:$M$299,11,0),"Inspection at production line")</f>
        <v>Inspection at production line</v>
      </c>
    </row>
    <row r="7315" spans="1:4" ht="13.8">
      <c r="A7315" s="47" t="s">
        <v>15140</v>
      </c>
      <c r="B7315" s="92" t="s">
        <v>15038</v>
      </c>
      <c r="C7315" s="92" t="s">
        <v>15141</v>
      </c>
      <c r="D7315" s="72" t="str">
        <f>IFERROR(VLOOKUP(A7315,'[1]ST-QA-ZZ5'!$C$5:$M$299,11,0),"Inspection at production line")</f>
        <v>Inspection at production line</v>
      </c>
    </row>
    <row r="7316" spans="1:4" ht="13.8">
      <c r="A7316" s="47" t="s">
        <v>15142</v>
      </c>
      <c r="B7316" s="92" t="s">
        <v>15143</v>
      </c>
      <c r="C7316" s="92" t="s">
        <v>15144</v>
      </c>
      <c r="D7316" s="72" t="str">
        <f>IFERROR(VLOOKUP(A7316,'[1]ST-QA-ZZ5'!$C$5:$M$299,11,0),"Inspection at production line")</f>
        <v>Inspection at production line</v>
      </c>
    </row>
    <row r="7317" spans="1:4" ht="13.8">
      <c r="A7317" s="47" t="s">
        <v>15145</v>
      </c>
      <c r="B7317" s="92" t="s">
        <v>15146</v>
      </c>
      <c r="C7317" s="92" t="s">
        <v>15147</v>
      </c>
      <c r="D7317" s="72" t="str">
        <f>IFERROR(VLOOKUP(A7317,'[1]ST-QA-ZZ5'!$C$5:$M$299,11,0),"Inspection at production line")</f>
        <v>Inspection at production line</v>
      </c>
    </row>
    <row r="7318" spans="1:4" ht="13.8">
      <c r="A7318" s="47" t="s">
        <v>15148</v>
      </c>
      <c r="B7318" s="92" t="s">
        <v>15149</v>
      </c>
      <c r="C7318" s="92" t="s">
        <v>15150</v>
      </c>
      <c r="D7318" s="72" t="str">
        <f>IFERROR(VLOOKUP(A7318,'[1]ST-QA-ZZ5'!$C$5:$M$299,11,0),"Inspection at production line")</f>
        <v>Inspection at production line</v>
      </c>
    </row>
    <row r="7319" spans="1:4" ht="13.8">
      <c r="A7319" s="47" t="s">
        <v>15151</v>
      </c>
      <c r="B7319" s="92" t="s">
        <v>15149</v>
      </c>
      <c r="C7319" s="92" t="s">
        <v>15152</v>
      </c>
      <c r="D7319" s="72" t="str">
        <f>IFERROR(VLOOKUP(A7319,'[1]ST-QA-ZZ5'!$C$5:$M$299,11,0),"Inspection at production line")</f>
        <v>Inspection at production line</v>
      </c>
    </row>
    <row r="7320" spans="1:4" ht="13.8">
      <c r="A7320" s="47" t="s">
        <v>15153</v>
      </c>
      <c r="B7320" s="92" t="s">
        <v>15154</v>
      </c>
      <c r="C7320" s="92" t="s">
        <v>15155</v>
      </c>
      <c r="D7320" s="72" t="str">
        <f>IFERROR(VLOOKUP(A7320,'[1]ST-QA-ZZ5'!$C$5:$M$299,11,0),"Inspection at production line")</f>
        <v>Inspection at production line</v>
      </c>
    </row>
    <row r="7321" spans="1:4" ht="13.8">
      <c r="A7321" s="47" t="s">
        <v>15156</v>
      </c>
      <c r="B7321" s="92" t="s">
        <v>15157</v>
      </c>
      <c r="C7321" s="92" t="s">
        <v>15158</v>
      </c>
      <c r="D7321" s="72" t="str">
        <f>IFERROR(VLOOKUP(A7321,'[1]ST-QA-ZZ5'!$C$5:$M$299,11,0),"Inspection at production line")</f>
        <v>Inspection at production line</v>
      </c>
    </row>
    <row r="7322" spans="1:4" ht="13.8">
      <c r="A7322" s="47" t="s">
        <v>15159</v>
      </c>
      <c r="B7322" s="92" t="s">
        <v>15160</v>
      </c>
      <c r="C7322" s="92" t="s">
        <v>15161</v>
      </c>
      <c r="D7322" s="72" t="str">
        <f>IFERROR(VLOOKUP(A7322,'[1]ST-QA-ZZ5'!$C$5:$M$299,11,0),"Inspection at production line")</f>
        <v>Inspection at production line</v>
      </c>
    </row>
    <row r="7323" spans="1:4" ht="13.8">
      <c r="A7323" s="47" t="s">
        <v>15162</v>
      </c>
      <c r="B7323" s="92" t="s">
        <v>15163</v>
      </c>
      <c r="C7323" s="92" t="s">
        <v>15164</v>
      </c>
      <c r="D7323" s="72" t="str">
        <f>IFERROR(VLOOKUP(A7323,'[1]ST-QA-ZZ5'!$C$5:$M$299,11,0),"Inspection at production line")</f>
        <v>Inspection at production line</v>
      </c>
    </row>
    <row r="7324" spans="1:4" ht="13.8">
      <c r="A7324" s="47" t="s">
        <v>15165</v>
      </c>
      <c r="B7324" s="92" t="s">
        <v>15166</v>
      </c>
      <c r="C7324" s="92" t="s">
        <v>15167</v>
      </c>
      <c r="D7324" s="72" t="str">
        <f>IFERROR(VLOOKUP(A7324,'[1]ST-QA-ZZ5'!$C$5:$M$299,11,0),"Inspection at production line")</f>
        <v>Inspection at production line</v>
      </c>
    </row>
    <row r="7325" spans="1:4" ht="13.8">
      <c r="A7325" s="47" t="s">
        <v>15168</v>
      </c>
      <c r="B7325" s="92" t="s">
        <v>15169</v>
      </c>
      <c r="C7325" s="92" t="s">
        <v>15170</v>
      </c>
      <c r="D7325" s="72" t="str">
        <f>IFERROR(VLOOKUP(A7325,'[1]ST-QA-ZZ5'!$C$5:$M$299,11,0),"Inspection at production line")</f>
        <v>Inspection at production line</v>
      </c>
    </row>
    <row r="7326" spans="1:4" ht="13.8">
      <c r="A7326" s="47" t="s">
        <v>15171</v>
      </c>
      <c r="B7326" s="92" t="s">
        <v>15172</v>
      </c>
      <c r="C7326" s="92" t="s">
        <v>15173</v>
      </c>
      <c r="D7326" s="72" t="str">
        <f>IFERROR(VLOOKUP(A7326,'[1]ST-QA-ZZ5'!$C$5:$M$299,11,0),"Inspection at production line")</f>
        <v>Inspection at production line</v>
      </c>
    </row>
    <row r="7327" spans="1:4" ht="13.8">
      <c r="A7327" s="47" t="s">
        <v>15174</v>
      </c>
      <c r="B7327" s="92" t="s">
        <v>15175</v>
      </c>
      <c r="C7327" s="92" t="s">
        <v>15176</v>
      </c>
      <c r="D7327" s="72" t="str">
        <f>IFERROR(VLOOKUP(A7327,'[1]ST-QA-ZZ5'!$C$5:$M$299,11,0),"Inspection at production line")</f>
        <v>Inspection at production line</v>
      </c>
    </row>
    <row r="7328" spans="1:4" ht="13.8">
      <c r="A7328" s="47" t="s">
        <v>15177</v>
      </c>
      <c r="B7328" s="92" t="s">
        <v>15178</v>
      </c>
      <c r="C7328" s="92" t="s">
        <v>15179</v>
      </c>
      <c r="D7328" s="72" t="str">
        <f>IFERROR(VLOOKUP(A7328,'[1]ST-QA-ZZ5'!$C$5:$M$299,11,0),"Inspection at production line")</f>
        <v>Inspection at production line</v>
      </c>
    </row>
    <row r="7329" spans="1:4" ht="13.8">
      <c r="A7329" s="47" t="s">
        <v>15180</v>
      </c>
      <c r="B7329" s="92" t="s">
        <v>15181</v>
      </c>
      <c r="C7329" s="92" t="s">
        <v>15182</v>
      </c>
      <c r="D7329" s="72" t="str">
        <f>IFERROR(VLOOKUP(A7329,'[1]ST-QA-ZZ5'!$C$5:$M$299,11,0),"Inspection at production line")</f>
        <v>Inspection at production line</v>
      </c>
    </row>
    <row r="7330" spans="1:4" ht="13.8">
      <c r="A7330" s="47" t="s">
        <v>15183</v>
      </c>
      <c r="B7330" s="92" t="s">
        <v>15184</v>
      </c>
      <c r="C7330" s="92" t="s">
        <v>15185</v>
      </c>
      <c r="D7330" s="72" t="str">
        <f>IFERROR(VLOOKUP(A7330,'[1]ST-QA-ZZ5'!$C$5:$M$299,11,0),"Inspection at production line")</f>
        <v>Inspection at production line</v>
      </c>
    </row>
    <row r="7331" spans="1:4" ht="13.8">
      <c r="A7331" s="47" t="s">
        <v>15186</v>
      </c>
      <c r="B7331" s="92" t="s">
        <v>15187</v>
      </c>
      <c r="C7331" s="92" t="s">
        <v>15188</v>
      </c>
      <c r="D7331" s="72" t="str">
        <f>IFERROR(VLOOKUP(A7331,'[1]ST-QA-ZZ5'!$C$5:$M$299,11,0),"Inspection at production line")</f>
        <v>Inspection at production line</v>
      </c>
    </row>
    <row r="7332" spans="1:4" ht="13.8">
      <c r="A7332" s="47" t="s">
        <v>15189</v>
      </c>
      <c r="B7332" s="92" t="s">
        <v>15190</v>
      </c>
      <c r="C7332" s="92">
        <v>74404054100</v>
      </c>
      <c r="D7332" s="72" t="str">
        <f>IFERROR(VLOOKUP(A7332,'[1]ST-QA-ZZ5'!$C$5:$M$299,11,0),"Inspection at production line")</f>
        <v>Inspection at production line</v>
      </c>
    </row>
    <row r="7333" spans="1:4" ht="13.8">
      <c r="A7333" s="47" t="s">
        <v>15191</v>
      </c>
      <c r="B7333" s="92" t="s">
        <v>15192</v>
      </c>
      <c r="C7333" s="92" t="s">
        <v>15193</v>
      </c>
      <c r="D7333" s="72" t="str">
        <f>IFERROR(VLOOKUP(A7333,'[1]ST-QA-ZZ5'!$C$5:$M$299,11,0),"Inspection at production line")</f>
        <v>Inspection at production line</v>
      </c>
    </row>
    <row r="7334" spans="1:4" ht="13.8">
      <c r="A7334" s="47" t="s">
        <v>15194</v>
      </c>
      <c r="B7334" s="92" t="s">
        <v>15195</v>
      </c>
      <c r="C7334" s="92" t="s">
        <v>15196</v>
      </c>
      <c r="D7334" s="72" t="str">
        <f>IFERROR(VLOOKUP(A7334,'[1]ST-QA-ZZ5'!$C$5:$M$299,11,0),"Inspection at production line")</f>
        <v>Inspection at production line</v>
      </c>
    </row>
    <row r="7335" spans="1:4" ht="13.8">
      <c r="A7335" s="47" t="s">
        <v>15197</v>
      </c>
      <c r="B7335" s="92" t="s">
        <v>15198</v>
      </c>
      <c r="C7335" s="92" t="s">
        <v>15199</v>
      </c>
      <c r="D7335" s="72" t="str">
        <f>IFERROR(VLOOKUP(A7335,'[1]ST-QA-ZZ5'!$C$5:$M$299,11,0),"Inspection at production line")</f>
        <v>Inspection at production line</v>
      </c>
    </row>
    <row r="7336" spans="1:4" ht="13.8">
      <c r="A7336" s="47" t="s">
        <v>15200</v>
      </c>
      <c r="B7336" s="92" t="s">
        <v>15201</v>
      </c>
      <c r="C7336" s="92" t="s">
        <v>15202</v>
      </c>
      <c r="D7336" s="72" t="str">
        <f>IFERROR(VLOOKUP(A7336,'[1]ST-QA-ZZ5'!$C$5:$M$299,11,0),"Inspection at production line")</f>
        <v>Inspection at production line</v>
      </c>
    </row>
    <row r="7337" spans="1:4" ht="13.8">
      <c r="A7337" s="47" t="s">
        <v>15203</v>
      </c>
      <c r="B7337" s="92" t="s">
        <v>15204</v>
      </c>
      <c r="C7337" s="92" t="s">
        <v>15205</v>
      </c>
      <c r="D7337" s="72" t="str">
        <f>IFERROR(VLOOKUP(A7337,'[1]ST-QA-ZZ5'!$C$5:$M$299,11,0),"Inspection at production line")</f>
        <v>Inspection at production line</v>
      </c>
    </row>
    <row r="7338" spans="1:4" ht="13.8">
      <c r="A7338" s="47" t="s">
        <v>15206</v>
      </c>
      <c r="B7338" s="92" t="s">
        <v>15207</v>
      </c>
      <c r="C7338" s="92" t="s">
        <v>15208</v>
      </c>
      <c r="D7338" s="72" t="str">
        <f>IFERROR(VLOOKUP(A7338,'[1]ST-QA-ZZ5'!$C$5:$M$299,11,0),"Inspection at production line")</f>
        <v>Inspection at production line</v>
      </c>
    </row>
    <row r="7339" spans="1:4" ht="13.8">
      <c r="A7339" s="47" t="s">
        <v>15209</v>
      </c>
      <c r="B7339" s="92" t="s">
        <v>15210</v>
      </c>
      <c r="C7339" s="92" t="s">
        <v>15211</v>
      </c>
      <c r="D7339" s="72" t="str">
        <f>IFERROR(VLOOKUP(A7339,'[1]ST-QA-ZZ5'!$C$5:$M$299,11,0),"Inspection at production line")</f>
        <v>Inspection at production line</v>
      </c>
    </row>
    <row r="7340" spans="1:4" ht="13.8">
      <c r="A7340" s="47" t="s">
        <v>15212</v>
      </c>
      <c r="B7340" s="92" t="s">
        <v>15213</v>
      </c>
      <c r="C7340" s="92" t="s">
        <v>15214</v>
      </c>
      <c r="D7340" s="72" t="str">
        <f>IFERROR(VLOOKUP(A7340,'[1]ST-QA-ZZ5'!$C$5:$M$299,11,0),"Inspection at production line")</f>
        <v>Inspection at production line</v>
      </c>
    </row>
    <row r="7341" spans="1:4" ht="13.8">
      <c r="A7341" s="47" t="s">
        <v>15215</v>
      </c>
      <c r="B7341" s="92" t="s">
        <v>15216</v>
      </c>
      <c r="C7341" s="92" t="s">
        <v>15217</v>
      </c>
      <c r="D7341" s="72" t="str">
        <f>IFERROR(VLOOKUP(A7341,'[1]ST-QA-ZZ5'!$C$5:$M$299,11,0),"Inspection at production line")</f>
        <v>Inspection at production line</v>
      </c>
    </row>
    <row r="7342" spans="1:4" ht="13.8">
      <c r="A7342" s="47" t="s">
        <v>15218</v>
      </c>
      <c r="B7342" s="92" t="s">
        <v>15219</v>
      </c>
      <c r="C7342" s="92" t="s">
        <v>15220</v>
      </c>
      <c r="D7342" s="72" t="str">
        <f>IFERROR(VLOOKUP(A7342,'[1]ST-QA-ZZ5'!$C$5:$M$299,11,0),"Inspection at production line")</f>
        <v>Inspection at production line</v>
      </c>
    </row>
    <row r="7343" spans="1:4" ht="13.8">
      <c r="A7343" s="47" t="s">
        <v>15221</v>
      </c>
      <c r="B7343" s="92" t="s">
        <v>15222</v>
      </c>
      <c r="C7343" s="92" t="s">
        <v>15223</v>
      </c>
      <c r="D7343" s="72" t="str">
        <f>IFERROR(VLOOKUP(A7343,'[1]ST-QA-ZZ5'!$C$5:$M$299,11,0),"Inspection at production line")</f>
        <v>Inspection at production line</v>
      </c>
    </row>
    <row r="7344" spans="1:4" ht="13.8">
      <c r="A7344" s="47" t="s">
        <v>15224</v>
      </c>
      <c r="B7344" s="92" t="s">
        <v>15225</v>
      </c>
      <c r="C7344" s="92" t="s">
        <v>15226</v>
      </c>
      <c r="D7344" s="72" t="str">
        <f>IFERROR(VLOOKUP(A7344,'[1]ST-QA-ZZ5'!$C$5:$M$299,11,0),"Inspection at production line")</f>
        <v>Inspection at production line</v>
      </c>
    </row>
    <row r="7345" spans="1:4" ht="13.8">
      <c r="A7345" s="47" t="s">
        <v>15227</v>
      </c>
      <c r="B7345" s="92" t="s">
        <v>15228</v>
      </c>
      <c r="C7345" s="92" t="s">
        <v>15229</v>
      </c>
      <c r="D7345" s="72" t="str">
        <f>IFERROR(VLOOKUP(A7345,'[1]ST-QA-ZZ5'!$C$5:$M$299,11,0),"Inspection at production line")</f>
        <v>Inspection at production line</v>
      </c>
    </row>
    <row r="7346" spans="1:4" ht="13.8">
      <c r="A7346" s="47" t="s">
        <v>15230</v>
      </c>
      <c r="B7346" s="92" t="s">
        <v>15231</v>
      </c>
      <c r="C7346" s="92" t="s">
        <v>15232</v>
      </c>
      <c r="D7346" s="72" t="str">
        <f>IFERROR(VLOOKUP(A7346,'[1]ST-QA-ZZ5'!$C$5:$M$299,11,0),"Inspection at production line")</f>
        <v>Inspection at production line</v>
      </c>
    </row>
    <row r="7347" spans="1:4" ht="13.8">
      <c r="A7347" s="47" t="s">
        <v>15233</v>
      </c>
      <c r="B7347" s="92" t="s">
        <v>15234</v>
      </c>
      <c r="C7347" s="92" t="s">
        <v>15235</v>
      </c>
      <c r="D7347" s="72" t="str">
        <f>IFERROR(VLOOKUP(A7347,'[1]ST-QA-ZZ5'!$C$5:$M$299,11,0),"Inspection at production line")</f>
        <v>Inspection at production line</v>
      </c>
    </row>
    <row r="7348" spans="1:4" ht="13.8">
      <c r="A7348" s="47" t="s">
        <v>15236</v>
      </c>
      <c r="B7348" s="92" t="s">
        <v>15237</v>
      </c>
      <c r="C7348" s="92" t="s">
        <v>15238</v>
      </c>
      <c r="D7348" s="72" t="str">
        <f>IFERROR(VLOOKUP(A7348,'[1]ST-QA-ZZ5'!$C$5:$M$299,11,0),"Inspection at production line")</f>
        <v>Inspection at production line</v>
      </c>
    </row>
    <row r="7349" spans="1:4" ht="13.8">
      <c r="A7349" s="47" t="s">
        <v>15239</v>
      </c>
      <c r="B7349" s="92" t="s">
        <v>15240</v>
      </c>
      <c r="C7349" s="92" t="s">
        <v>15241</v>
      </c>
      <c r="D7349" s="72" t="str">
        <f>IFERROR(VLOOKUP(A7349,'[1]ST-QA-ZZ5'!$C$5:$M$299,11,0),"Inspection at production line")</f>
        <v>Inspection at production line</v>
      </c>
    </row>
    <row r="7350" spans="1:4" ht="13.8">
      <c r="A7350" s="47" t="s">
        <v>15242</v>
      </c>
      <c r="B7350" s="92" t="s">
        <v>15243</v>
      </c>
      <c r="C7350" s="92" t="s">
        <v>15244</v>
      </c>
      <c r="D7350" s="72" t="str">
        <f>IFERROR(VLOOKUP(A7350,'[1]ST-QA-ZZ5'!$C$5:$M$299,11,0),"Inspection at production line")</f>
        <v>Inspection at production line</v>
      </c>
    </row>
    <row r="7351" spans="1:4" ht="13.8">
      <c r="A7351" s="47" t="s">
        <v>15245</v>
      </c>
      <c r="B7351" s="92" t="s">
        <v>15246</v>
      </c>
      <c r="C7351" s="92" t="s">
        <v>15247</v>
      </c>
      <c r="D7351" s="72" t="str">
        <f>IFERROR(VLOOKUP(A7351,'[1]ST-QA-ZZ5'!$C$5:$M$299,11,0),"Inspection at production line")</f>
        <v>Inspection at production line</v>
      </c>
    </row>
    <row r="7352" spans="1:4" ht="13.8">
      <c r="A7352" s="47" t="s">
        <v>15248</v>
      </c>
      <c r="B7352" s="92" t="s">
        <v>15249</v>
      </c>
      <c r="C7352" s="92" t="s">
        <v>15250</v>
      </c>
      <c r="D7352" s="72" t="str">
        <f>IFERROR(VLOOKUP(A7352,'[1]ST-QA-ZZ5'!$C$5:$M$299,11,0),"Inspection at production line")</f>
        <v>Inspection at production line</v>
      </c>
    </row>
    <row r="7353" spans="1:4" ht="13.8">
      <c r="A7353" s="47" t="s">
        <v>15251</v>
      </c>
      <c r="B7353" s="92" t="s">
        <v>15252</v>
      </c>
      <c r="C7353" s="92" t="s">
        <v>15253</v>
      </c>
      <c r="D7353" s="72" t="str">
        <f>IFERROR(VLOOKUP(A7353,'[1]ST-QA-ZZ5'!$C$5:$M$299,11,0),"Inspection at production line")</f>
        <v>Inspection at production line</v>
      </c>
    </row>
    <row r="7354" spans="1:4" ht="13.8">
      <c r="A7354" s="47" t="s">
        <v>15254</v>
      </c>
      <c r="B7354" s="92" t="s">
        <v>15255</v>
      </c>
      <c r="C7354" s="92" t="s">
        <v>15256</v>
      </c>
      <c r="D7354" s="72" t="str">
        <f>IFERROR(VLOOKUP(A7354,'[1]ST-QA-ZZ5'!$C$5:$M$299,11,0),"Inspection at production line")</f>
        <v>Inspection at production line</v>
      </c>
    </row>
    <row r="7355" spans="1:4" ht="13.8">
      <c r="A7355" s="47" t="s">
        <v>15257</v>
      </c>
      <c r="B7355" s="92" t="s">
        <v>15258</v>
      </c>
      <c r="C7355" s="92" t="s">
        <v>15259</v>
      </c>
      <c r="D7355" s="72" t="str">
        <f>IFERROR(VLOOKUP(A7355,'[1]ST-QA-ZZ5'!$C$5:$M$299,11,0),"Inspection at production line")</f>
        <v>Inspection at production line</v>
      </c>
    </row>
    <row r="7356" spans="1:4" ht="13.8">
      <c r="A7356" s="47" t="s">
        <v>15260</v>
      </c>
      <c r="B7356" s="92" t="s">
        <v>15261</v>
      </c>
      <c r="C7356" s="92" t="s">
        <v>15262</v>
      </c>
      <c r="D7356" s="72" t="str">
        <f>IFERROR(VLOOKUP(A7356,'[1]ST-QA-ZZ5'!$C$5:$M$299,11,0),"Inspection at production line")</f>
        <v>Inspection at production line</v>
      </c>
    </row>
    <row r="7357" spans="1:4" ht="13.8">
      <c r="A7357" s="47" t="s">
        <v>15263</v>
      </c>
      <c r="B7357" s="92" t="s">
        <v>15264</v>
      </c>
      <c r="C7357" s="92" t="s">
        <v>15265</v>
      </c>
      <c r="D7357" s="72" t="str">
        <f>IFERROR(VLOOKUP(A7357,'[1]ST-QA-ZZ5'!$C$5:$M$299,11,0),"Inspection at production line")</f>
        <v>Inspection at production line</v>
      </c>
    </row>
    <row r="7358" spans="1:4" ht="13.8">
      <c r="A7358" s="47" t="s">
        <v>15266</v>
      </c>
      <c r="B7358" s="92" t="s">
        <v>15267</v>
      </c>
      <c r="C7358" s="92" t="s">
        <v>15268</v>
      </c>
      <c r="D7358" s="72" t="str">
        <f>IFERROR(VLOOKUP(A7358,'[1]ST-QA-ZZ5'!$C$5:$M$299,11,0),"Inspection at production line")</f>
        <v>Inspection at production line</v>
      </c>
    </row>
    <row r="7359" spans="1:4" ht="13.8">
      <c r="A7359" s="47" t="s">
        <v>15269</v>
      </c>
      <c r="B7359" s="92" t="s">
        <v>15270</v>
      </c>
      <c r="C7359" s="92" t="s">
        <v>15271</v>
      </c>
      <c r="D7359" s="72" t="str">
        <f>IFERROR(VLOOKUP(A7359,'[1]ST-QA-ZZ5'!$C$5:$M$299,11,0),"Inspection at production line")</f>
        <v>Inspection at production line</v>
      </c>
    </row>
    <row r="7360" spans="1:4" ht="13.8">
      <c r="A7360" s="47" t="s">
        <v>15272</v>
      </c>
      <c r="B7360" s="92" t="s">
        <v>15273</v>
      </c>
      <c r="C7360" s="92" t="s">
        <v>15274</v>
      </c>
      <c r="D7360" s="72" t="str">
        <f>IFERROR(VLOOKUP(A7360,'[1]ST-QA-ZZ5'!$C$5:$M$299,11,0),"Inspection at production line")</f>
        <v>Inspection at production line</v>
      </c>
    </row>
    <row r="7361" spans="1:4" ht="13.8">
      <c r="A7361" s="47" t="s">
        <v>15275</v>
      </c>
      <c r="B7361" s="92" t="s">
        <v>15276</v>
      </c>
      <c r="C7361" s="92" t="s">
        <v>15277</v>
      </c>
      <c r="D7361" s="72" t="str">
        <f>IFERROR(VLOOKUP(A7361,'[1]ST-QA-ZZ5'!$C$5:$M$299,11,0),"Inspection at production line")</f>
        <v>Inspection at production line</v>
      </c>
    </row>
    <row r="7362" spans="1:4" ht="13.8">
      <c r="A7362" s="47" t="s">
        <v>15278</v>
      </c>
      <c r="B7362" s="92" t="s">
        <v>15279</v>
      </c>
      <c r="C7362" s="92" t="s">
        <v>15262</v>
      </c>
      <c r="D7362" s="72" t="str">
        <f>IFERROR(VLOOKUP(A7362,'[1]ST-QA-ZZ5'!$C$5:$M$299,11,0),"Inspection at production line")</f>
        <v>Inspection at production line</v>
      </c>
    </row>
    <row r="7363" spans="1:4" ht="13.8">
      <c r="A7363" s="47" t="s">
        <v>15280</v>
      </c>
      <c r="B7363" s="92" t="s">
        <v>15281</v>
      </c>
      <c r="C7363" s="92" t="s">
        <v>15282</v>
      </c>
      <c r="D7363" s="72" t="str">
        <f>IFERROR(VLOOKUP(A7363,'[1]ST-QA-ZZ5'!$C$5:$M$299,11,0),"Inspection at production line")</f>
        <v>Inspection at production line</v>
      </c>
    </row>
    <row r="7364" spans="1:4" ht="13.8">
      <c r="A7364" s="47" t="s">
        <v>15283</v>
      </c>
      <c r="B7364" s="92" t="s">
        <v>15284</v>
      </c>
      <c r="C7364" s="92" t="s">
        <v>15285</v>
      </c>
      <c r="D7364" s="72" t="str">
        <f>IFERROR(VLOOKUP(A7364,'[1]ST-QA-ZZ5'!$C$5:$M$299,11,0),"Inspection at production line")</f>
        <v>Inspection at production line</v>
      </c>
    </row>
    <row r="7365" spans="1:4" ht="13.8">
      <c r="A7365" s="47" t="s">
        <v>15286</v>
      </c>
      <c r="B7365" s="92" t="s">
        <v>15287</v>
      </c>
      <c r="C7365" s="92" t="s">
        <v>15288</v>
      </c>
      <c r="D7365" s="72" t="str">
        <f>IFERROR(VLOOKUP(A7365,'[1]ST-QA-ZZ5'!$C$5:$M$299,11,0),"Inspection at production line")</f>
        <v>Inspection at production line</v>
      </c>
    </row>
    <row r="7366" spans="1:4" ht="13.8">
      <c r="A7366" s="47" t="s">
        <v>15289</v>
      </c>
      <c r="B7366" s="92" t="s">
        <v>15290</v>
      </c>
      <c r="C7366" s="92" t="s">
        <v>15291</v>
      </c>
      <c r="D7366" s="72" t="str">
        <f>IFERROR(VLOOKUP(A7366,'[1]ST-QA-ZZ5'!$C$5:$M$299,11,0),"Inspection at production line")</f>
        <v>Inspection at production line</v>
      </c>
    </row>
    <row r="7367" spans="1:4" ht="13.8">
      <c r="A7367" s="47" t="s">
        <v>15292</v>
      </c>
      <c r="B7367" s="92" t="s">
        <v>15293</v>
      </c>
      <c r="C7367" s="92" t="s">
        <v>15291</v>
      </c>
      <c r="D7367" s="72" t="str">
        <f>IFERROR(VLOOKUP(A7367,'[1]ST-QA-ZZ5'!$C$5:$M$299,11,0),"Inspection at production line")</f>
        <v>Inspection at production line</v>
      </c>
    </row>
    <row r="7368" spans="1:4" ht="13.8">
      <c r="A7368" s="47" t="s">
        <v>15294</v>
      </c>
      <c r="B7368" s="92" t="s">
        <v>15295</v>
      </c>
      <c r="C7368" s="92" t="s">
        <v>15296</v>
      </c>
      <c r="D7368" s="72" t="str">
        <f>IFERROR(VLOOKUP(A7368,'[1]ST-QA-ZZ5'!$C$5:$M$299,11,0),"Inspection at production line")</f>
        <v>Inspection at production line</v>
      </c>
    </row>
    <row r="7369" spans="1:4" ht="13.8">
      <c r="A7369" s="47" t="s">
        <v>15297</v>
      </c>
      <c r="B7369" s="92" t="s">
        <v>15270</v>
      </c>
      <c r="C7369" s="92" t="s">
        <v>15271</v>
      </c>
      <c r="D7369" s="72" t="str">
        <f>IFERROR(VLOOKUP(A7369,'[1]ST-QA-ZZ5'!$C$5:$M$299,11,0),"Inspection at production line")</f>
        <v>Inspection at production line</v>
      </c>
    </row>
    <row r="7370" spans="1:4" ht="13.8">
      <c r="A7370" s="47" t="s">
        <v>15298</v>
      </c>
      <c r="B7370" s="92" t="s">
        <v>15299</v>
      </c>
      <c r="C7370" s="92" t="s">
        <v>15300</v>
      </c>
      <c r="D7370" s="72" t="str">
        <f>IFERROR(VLOOKUP(A7370,'[1]ST-QA-ZZ5'!$C$5:$M$299,11,0),"Inspection at production line")</f>
        <v>Inspection at production line</v>
      </c>
    </row>
    <row r="7371" spans="1:4" ht="13.8">
      <c r="A7371" s="47" t="s">
        <v>15301</v>
      </c>
      <c r="B7371" s="92" t="s">
        <v>15302</v>
      </c>
      <c r="C7371" s="92" t="s">
        <v>15303</v>
      </c>
      <c r="D7371" s="72" t="str">
        <f>IFERROR(VLOOKUP(A7371,'[1]ST-QA-ZZ5'!$C$5:$M$299,11,0),"Inspection at production line")</f>
        <v>Inspection at production line</v>
      </c>
    </row>
    <row r="7372" spans="1:4" ht="13.8">
      <c r="A7372" s="47" t="s">
        <v>15304</v>
      </c>
      <c r="B7372" s="92" t="s">
        <v>15305</v>
      </c>
      <c r="C7372" s="92" t="s">
        <v>15306</v>
      </c>
      <c r="D7372" s="72" t="str">
        <f>IFERROR(VLOOKUP(A7372,'[1]ST-QA-ZZ5'!$C$5:$M$299,11,0),"Inspection at production line")</f>
        <v>Inspection at production line</v>
      </c>
    </row>
    <row r="7373" spans="1:4" ht="13.8">
      <c r="A7373" s="47" t="s">
        <v>15307</v>
      </c>
      <c r="B7373" s="92" t="s">
        <v>15308</v>
      </c>
      <c r="C7373" s="92" t="s">
        <v>15309</v>
      </c>
      <c r="D7373" s="72" t="str">
        <f>IFERROR(VLOOKUP(A7373,'[1]ST-QA-ZZ5'!$C$5:$M$299,11,0),"Inspection at production line")</f>
        <v>Inspection at production line</v>
      </c>
    </row>
    <row r="7374" spans="1:4" ht="13.8">
      <c r="A7374" s="47" t="s">
        <v>15310</v>
      </c>
      <c r="B7374" s="92" t="s">
        <v>15311</v>
      </c>
      <c r="C7374" s="92" t="s">
        <v>15312</v>
      </c>
      <c r="D7374" s="72" t="str">
        <f>IFERROR(VLOOKUP(A7374,'[1]ST-QA-ZZ5'!$C$5:$M$299,11,0),"Inspection at production line")</f>
        <v>Inspection at production line</v>
      </c>
    </row>
    <row r="7375" spans="1:4" ht="13.8">
      <c r="A7375" s="47" t="s">
        <v>15313</v>
      </c>
      <c r="B7375" s="92" t="s">
        <v>15270</v>
      </c>
      <c r="C7375" s="92" t="s">
        <v>15271</v>
      </c>
      <c r="D7375" s="72" t="str">
        <f>IFERROR(VLOOKUP(A7375,'[1]ST-QA-ZZ5'!$C$5:$M$299,11,0),"Inspection at production line")</f>
        <v>Inspection at production line</v>
      </c>
    </row>
    <row r="7376" spans="1:4" ht="13.8">
      <c r="A7376" s="47" t="s">
        <v>15314</v>
      </c>
      <c r="B7376" s="92" t="s">
        <v>15315</v>
      </c>
      <c r="C7376" s="92" t="s">
        <v>15316</v>
      </c>
      <c r="D7376" s="72" t="str">
        <f>IFERROR(VLOOKUP(A7376,'[1]ST-QA-ZZ5'!$C$5:$M$299,11,0),"Inspection at production line")</f>
        <v>Inspection at production line</v>
      </c>
    </row>
    <row r="7377" spans="1:4" ht="13.8">
      <c r="A7377" s="47" t="s">
        <v>15317</v>
      </c>
      <c r="B7377" s="92" t="s">
        <v>15318</v>
      </c>
      <c r="C7377" s="92" t="s">
        <v>15319</v>
      </c>
      <c r="D7377" s="72" t="str">
        <f>IFERROR(VLOOKUP(A7377,'[1]ST-QA-ZZ5'!$C$5:$M$299,11,0),"Inspection at production line")</f>
        <v>Inspection at production line</v>
      </c>
    </row>
    <row r="7378" spans="1:4" ht="13.8">
      <c r="A7378" s="47" t="s">
        <v>15320</v>
      </c>
      <c r="B7378" s="92" t="s">
        <v>15029</v>
      </c>
      <c r="C7378" s="92" t="s">
        <v>15167</v>
      </c>
      <c r="D7378" s="72" t="str">
        <f>IFERROR(VLOOKUP(A7378,'[1]ST-QA-ZZ5'!$C$5:$M$299,11,0),"Inspection at production line")</f>
        <v>Inspection at production line</v>
      </c>
    </row>
    <row r="7379" spans="1:4" ht="13.8">
      <c r="A7379" s="47" t="s">
        <v>15321</v>
      </c>
      <c r="B7379" s="92" t="s">
        <v>15322</v>
      </c>
      <c r="C7379" s="92" t="s">
        <v>15323</v>
      </c>
      <c r="D7379" s="72" t="str">
        <f>IFERROR(VLOOKUP(A7379,'[1]ST-QA-ZZ5'!$C$5:$M$299,11,0),"Inspection at production line")</f>
        <v>Inspection at production line</v>
      </c>
    </row>
    <row r="7380" spans="1:4" ht="13.8">
      <c r="A7380" s="47" t="s">
        <v>15324</v>
      </c>
      <c r="B7380" s="92" t="s">
        <v>15325</v>
      </c>
      <c r="C7380" s="92" t="s">
        <v>15326</v>
      </c>
      <c r="D7380" s="72" t="str">
        <f>IFERROR(VLOOKUP(A7380,'[1]ST-QA-ZZ5'!$C$5:$M$299,11,0),"Inspection at production line")</f>
        <v>Inspection at production line</v>
      </c>
    </row>
    <row r="7381" spans="1:4" ht="13.8">
      <c r="A7381" s="47" t="s">
        <v>15327</v>
      </c>
      <c r="B7381" s="92" t="s">
        <v>15328</v>
      </c>
      <c r="C7381" s="92" t="s">
        <v>15329</v>
      </c>
      <c r="D7381" s="72" t="str">
        <f>IFERROR(VLOOKUP(A7381,'[1]ST-QA-ZZ5'!$C$5:$M$299,11,0),"Inspection at production line")</f>
        <v>Inspection at production line</v>
      </c>
    </row>
    <row r="7382" spans="1:4" ht="13.8">
      <c r="A7382" s="47" t="s">
        <v>15330</v>
      </c>
      <c r="B7382" s="92" t="s">
        <v>15331</v>
      </c>
      <c r="C7382" s="92" t="s">
        <v>15332</v>
      </c>
      <c r="D7382" s="72" t="str">
        <f>IFERROR(VLOOKUP(A7382,'[1]ST-QA-ZZ5'!$C$5:$M$299,11,0),"Inspection at production line")</f>
        <v>Inspection at production line</v>
      </c>
    </row>
    <row r="7383" spans="1:4" ht="13.8">
      <c r="A7383" s="47" t="s">
        <v>15333</v>
      </c>
      <c r="B7383" s="92" t="s">
        <v>15334</v>
      </c>
      <c r="C7383" s="92" t="s">
        <v>15335</v>
      </c>
      <c r="D7383" s="72" t="str">
        <f>IFERROR(VLOOKUP(A7383,'[1]ST-QA-ZZ5'!$C$5:$M$299,11,0),"Inspection at production line")</f>
        <v>Inspection at production line</v>
      </c>
    </row>
    <row r="7384" spans="1:4" ht="13.8">
      <c r="A7384" s="47" t="s">
        <v>15336</v>
      </c>
      <c r="B7384" s="92" t="s">
        <v>15337</v>
      </c>
      <c r="C7384" s="92" t="s">
        <v>15338</v>
      </c>
      <c r="D7384" s="72" t="str">
        <f>IFERROR(VLOOKUP(A7384,'[1]ST-QA-ZZ5'!$C$5:$M$299,11,0),"Inspection at production line")</f>
        <v>Inspection at production line</v>
      </c>
    </row>
    <row r="7385" spans="1:4" ht="13.8">
      <c r="A7385" s="47" t="s">
        <v>15339</v>
      </c>
      <c r="B7385" s="92" t="s">
        <v>15340</v>
      </c>
      <c r="C7385" s="92" t="s">
        <v>15341</v>
      </c>
      <c r="D7385" s="72" t="str">
        <f>IFERROR(VLOOKUP(A7385,'[1]ST-QA-ZZ5'!$C$5:$M$299,11,0),"Inspection at production line")</f>
        <v>Inspection at production line</v>
      </c>
    </row>
    <row r="7386" spans="1:4" ht="13.8">
      <c r="A7386" s="47" t="s">
        <v>15342</v>
      </c>
      <c r="B7386" s="92" t="s">
        <v>15343</v>
      </c>
      <c r="C7386" s="92" t="s">
        <v>15344</v>
      </c>
      <c r="D7386" s="72" t="str">
        <f>IFERROR(VLOOKUP(A7386,'[1]ST-QA-ZZ5'!$C$5:$M$299,11,0),"Inspection at production line")</f>
        <v>Inspection at production line</v>
      </c>
    </row>
    <row r="7387" spans="1:4" ht="13.8">
      <c r="A7387" s="47" t="s">
        <v>15345</v>
      </c>
      <c r="B7387" s="92" t="s">
        <v>15346</v>
      </c>
      <c r="C7387" s="92" t="s">
        <v>15347</v>
      </c>
      <c r="D7387" s="72" t="str">
        <f>IFERROR(VLOOKUP(A7387,'[1]ST-QA-ZZ5'!$C$5:$M$299,11,0),"Inspection at production line")</f>
        <v>Inspection at production line</v>
      </c>
    </row>
    <row r="7388" spans="1:4" ht="13.8">
      <c r="A7388" s="47" t="s">
        <v>15348</v>
      </c>
      <c r="B7388" s="92" t="s">
        <v>15349</v>
      </c>
      <c r="C7388" s="92" t="s">
        <v>15350</v>
      </c>
      <c r="D7388" s="72" t="str">
        <f>IFERROR(VLOOKUP(A7388,'[1]ST-QA-ZZ5'!$C$5:$M$299,11,0),"Inspection at production line")</f>
        <v>Inspection at production line</v>
      </c>
    </row>
    <row r="7389" spans="1:4" ht="13.8">
      <c r="A7389" s="47" t="s">
        <v>15351</v>
      </c>
      <c r="B7389" s="92" t="s">
        <v>15352</v>
      </c>
      <c r="C7389" s="92" t="s">
        <v>15353</v>
      </c>
      <c r="D7389" s="72" t="str">
        <f>IFERROR(VLOOKUP(A7389,'[1]ST-QA-ZZ5'!$C$5:$M$299,11,0),"Inspection at production line")</f>
        <v>Inspection at production line</v>
      </c>
    </row>
    <row r="7390" spans="1:4" ht="13.8">
      <c r="A7390" s="47" t="s">
        <v>15354</v>
      </c>
      <c r="B7390" s="92" t="s">
        <v>15355</v>
      </c>
      <c r="C7390" s="92" t="s">
        <v>15356</v>
      </c>
      <c r="D7390" s="72" t="str">
        <f>IFERROR(VLOOKUP(A7390,'[1]ST-QA-ZZ5'!$C$5:$M$299,11,0),"Inspection at production line")</f>
        <v>Inspection at production line</v>
      </c>
    </row>
    <row r="7391" spans="1:4" ht="13.8">
      <c r="A7391" s="47" t="s">
        <v>15357</v>
      </c>
      <c r="B7391" s="92" t="s">
        <v>12190</v>
      </c>
      <c r="C7391" s="92" t="s">
        <v>15358</v>
      </c>
      <c r="D7391" s="72" t="str">
        <f>IFERROR(VLOOKUP(A7391,'[1]ST-QA-ZZ5'!$C$5:$M$299,11,0),"Inspection at production line")</f>
        <v>Inspection at production line</v>
      </c>
    </row>
    <row r="7392" spans="1:4" ht="13.8">
      <c r="A7392" s="47" t="s">
        <v>15359</v>
      </c>
      <c r="B7392" s="92" t="s">
        <v>15360</v>
      </c>
      <c r="C7392" s="92" t="s">
        <v>15361</v>
      </c>
      <c r="D7392" s="72" t="str">
        <f>IFERROR(VLOOKUP(A7392,'[1]ST-QA-ZZ5'!$C$5:$M$299,11,0),"Inspection at production line")</f>
        <v>Inspection at production line</v>
      </c>
    </row>
    <row r="7393" spans="1:4" ht="13.8">
      <c r="A7393" s="47" t="s">
        <v>15362</v>
      </c>
      <c r="B7393" s="92" t="s">
        <v>15363</v>
      </c>
      <c r="C7393" s="92" t="s">
        <v>15364</v>
      </c>
      <c r="D7393" s="72" t="str">
        <f>IFERROR(VLOOKUP(A7393,'[1]ST-QA-ZZ5'!$C$5:$M$299,11,0),"Inspection at production line")</f>
        <v>Inspection at production line</v>
      </c>
    </row>
    <row r="7394" spans="1:4" ht="13.8">
      <c r="A7394" s="47" t="s">
        <v>15365</v>
      </c>
      <c r="B7394" s="92" t="s">
        <v>15366</v>
      </c>
      <c r="C7394" s="92" t="s">
        <v>15367</v>
      </c>
      <c r="D7394" s="72" t="str">
        <f>IFERROR(VLOOKUP(A7394,'[1]ST-QA-ZZ5'!$C$5:$M$299,11,0),"Inspection at production line")</f>
        <v>Inspection at production line</v>
      </c>
    </row>
    <row r="7395" spans="1:4" ht="13.8">
      <c r="A7395" s="47" t="s">
        <v>15368</v>
      </c>
      <c r="B7395" s="92" t="s">
        <v>15369</v>
      </c>
      <c r="C7395" s="92" t="s">
        <v>15370</v>
      </c>
      <c r="D7395" s="72" t="str">
        <f>IFERROR(VLOOKUP(A7395,'[1]ST-QA-ZZ5'!$C$5:$M$299,11,0),"Inspection at production line")</f>
        <v>Inspection at production line</v>
      </c>
    </row>
    <row r="7396" spans="1:4" ht="13.8">
      <c r="A7396" s="47" t="s">
        <v>15371</v>
      </c>
      <c r="B7396" s="92" t="s">
        <v>15372</v>
      </c>
      <c r="C7396" s="92" t="s">
        <v>15373</v>
      </c>
      <c r="D7396" s="72" t="str">
        <f>IFERROR(VLOOKUP(A7396,'[1]ST-QA-ZZ5'!$C$5:$M$299,11,0),"Inspection at production line")</f>
        <v>Inspection at production line</v>
      </c>
    </row>
    <row r="7397" spans="1:4" ht="13.8">
      <c r="A7397" s="47" t="s">
        <v>15374</v>
      </c>
      <c r="B7397" s="92" t="s">
        <v>15375</v>
      </c>
      <c r="C7397" s="92" t="s">
        <v>15376</v>
      </c>
      <c r="D7397" s="72" t="str">
        <f>IFERROR(VLOOKUP(A7397,'[1]ST-QA-ZZ5'!$C$5:$M$299,11,0),"Inspection at production line")</f>
        <v>Inspection at production line</v>
      </c>
    </row>
    <row r="7398" spans="1:4" ht="13.8">
      <c r="A7398" s="47" t="s">
        <v>15377</v>
      </c>
      <c r="B7398" s="92" t="s">
        <v>15378</v>
      </c>
      <c r="C7398" s="92" t="s">
        <v>15379</v>
      </c>
      <c r="D7398" s="72" t="str">
        <f>IFERROR(VLOOKUP(A7398,'[1]ST-QA-ZZ5'!$C$5:$M$299,11,0),"Inspection at production line")</f>
        <v>Inspection at production line</v>
      </c>
    </row>
    <row r="7399" spans="1:4" ht="13.8">
      <c r="A7399" s="47" t="s">
        <v>15380</v>
      </c>
      <c r="B7399" s="92" t="s">
        <v>15381</v>
      </c>
      <c r="C7399" s="92" t="s">
        <v>15382</v>
      </c>
      <c r="D7399" s="72" t="str">
        <f>IFERROR(VLOOKUP(A7399,'[1]ST-QA-ZZ5'!$C$5:$M$299,11,0),"Inspection at production line")</f>
        <v>Inspection at production line</v>
      </c>
    </row>
    <row r="7400" spans="1:4" ht="13.8">
      <c r="A7400" s="47" t="s">
        <v>15383</v>
      </c>
      <c r="B7400" s="92" t="s">
        <v>15384</v>
      </c>
      <c r="C7400" s="92" t="s">
        <v>15041</v>
      </c>
      <c r="D7400" s="72" t="str">
        <f>IFERROR(VLOOKUP(A7400,'[1]ST-QA-ZZ5'!$C$5:$M$299,11,0),"Inspection at production line")</f>
        <v>Inspection at production line</v>
      </c>
    </row>
    <row r="7401" spans="1:4" ht="13.8">
      <c r="A7401" s="47" t="s">
        <v>15385</v>
      </c>
      <c r="B7401" s="92" t="s">
        <v>15386</v>
      </c>
      <c r="C7401" s="92" t="s">
        <v>15053</v>
      </c>
      <c r="D7401" s="72" t="str">
        <f>IFERROR(VLOOKUP(A7401,'[1]ST-QA-ZZ5'!$C$5:$M$299,11,0),"Inspection at production line")</f>
        <v>Inspection at production line</v>
      </c>
    </row>
    <row r="7402" spans="1:4" ht="13.8">
      <c r="A7402" s="47" t="s">
        <v>15387</v>
      </c>
      <c r="B7402" s="92" t="s">
        <v>15388</v>
      </c>
      <c r="C7402" s="92" t="s">
        <v>15067</v>
      </c>
      <c r="D7402" s="72" t="str">
        <f>IFERROR(VLOOKUP(A7402,'[1]ST-QA-ZZ5'!$C$5:$M$299,11,0),"Inspection at production line")</f>
        <v>Inspection at production line</v>
      </c>
    </row>
    <row r="7403" spans="1:4" ht="13.8">
      <c r="A7403" s="47" t="s">
        <v>15389</v>
      </c>
      <c r="B7403" s="92" t="s">
        <v>15390</v>
      </c>
      <c r="C7403" s="92" t="s">
        <v>15082</v>
      </c>
      <c r="D7403" s="72" t="str">
        <f>IFERROR(VLOOKUP(A7403,'[1]ST-QA-ZZ5'!$C$5:$M$299,11,0),"Inspection at production line")</f>
        <v>Inspection at production line</v>
      </c>
    </row>
    <row r="7404" spans="1:4" ht="13.8">
      <c r="A7404" s="47" t="s">
        <v>15391</v>
      </c>
      <c r="B7404" s="92" t="s">
        <v>15392</v>
      </c>
      <c r="C7404" s="92" t="s">
        <v>15084</v>
      </c>
      <c r="D7404" s="72" t="str">
        <f>IFERROR(VLOOKUP(A7404,'[1]ST-QA-ZZ5'!$C$5:$M$299,11,0),"Inspection at production line")</f>
        <v>Inspection at production line</v>
      </c>
    </row>
    <row r="7405" spans="1:4" ht="13.8">
      <c r="A7405" s="47" t="s">
        <v>15393</v>
      </c>
      <c r="B7405" s="92" t="s">
        <v>15394</v>
      </c>
      <c r="C7405" s="92" t="s">
        <v>15086</v>
      </c>
      <c r="D7405" s="72" t="str">
        <f>IFERROR(VLOOKUP(A7405,'[1]ST-QA-ZZ5'!$C$5:$M$299,11,0),"Inspection at production line")</f>
        <v>Inspection at production line</v>
      </c>
    </row>
    <row r="7406" spans="1:4" ht="13.8">
      <c r="A7406" s="47" t="s">
        <v>15395</v>
      </c>
      <c r="B7406" s="92" t="s">
        <v>15396</v>
      </c>
      <c r="C7406" s="92" t="s">
        <v>15089</v>
      </c>
      <c r="D7406" s="72" t="str">
        <f>IFERROR(VLOOKUP(A7406,'[1]ST-QA-ZZ5'!$C$5:$M$299,11,0),"Inspection at production line")</f>
        <v>Inspection at production line</v>
      </c>
    </row>
    <row r="7407" spans="1:4" ht="13.8">
      <c r="A7407" s="47" t="s">
        <v>15397</v>
      </c>
      <c r="B7407" s="92" t="s">
        <v>15398</v>
      </c>
      <c r="C7407" s="92" t="s">
        <v>15093</v>
      </c>
      <c r="D7407" s="72" t="str">
        <f>IFERROR(VLOOKUP(A7407,'[1]ST-QA-ZZ5'!$C$5:$M$299,11,0),"Inspection at production line")</f>
        <v>Inspection at production line</v>
      </c>
    </row>
    <row r="7408" spans="1:4" ht="13.8">
      <c r="A7408" s="47" t="s">
        <v>15399</v>
      </c>
      <c r="B7408" s="92" t="s">
        <v>15400</v>
      </c>
      <c r="C7408" s="92" t="s">
        <v>15099</v>
      </c>
      <c r="D7408" s="72" t="str">
        <f>IFERROR(VLOOKUP(A7408,'[1]ST-QA-ZZ5'!$C$5:$M$299,11,0),"Inspection at production line")</f>
        <v>Inspection at production line</v>
      </c>
    </row>
    <row r="7409" spans="1:4" ht="13.8">
      <c r="A7409" s="47" t="s">
        <v>15401</v>
      </c>
      <c r="B7409" s="92" t="s">
        <v>15402</v>
      </c>
      <c r="C7409" s="92" t="s">
        <v>15112</v>
      </c>
      <c r="D7409" s="72" t="str">
        <f>IFERROR(VLOOKUP(A7409,'[1]ST-QA-ZZ5'!$C$5:$M$299,11,0),"Inspection at production line")</f>
        <v>Inspection at production line</v>
      </c>
    </row>
    <row r="7410" spans="1:4" ht="13.8">
      <c r="A7410" s="47" t="s">
        <v>15403</v>
      </c>
      <c r="B7410" s="92" t="s">
        <v>15404</v>
      </c>
      <c r="C7410" s="92" t="s">
        <v>15126</v>
      </c>
      <c r="D7410" s="72" t="str">
        <f>IFERROR(VLOOKUP(A7410,'[1]ST-QA-ZZ5'!$C$5:$M$299,11,0),"Inspection at production line")</f>
        <v>Inspection at production line</v>
      </c>
    </row>
    <row r="7411" spans="1:4" ht="13.8">
      <c r="A7411" s="47" t="s">
        <v>15405</v>
      </c>
      <c r="B7411" s="92" t="s">
        <v>15406</v>
      </c>
      <c r="C7411" s="92" t="s">
        <v>15129</v>
      </c>
      <c r="D7411" s="72" t="str">
        <f>IFERROR(VLOOKUP(A7411,'[1]ST-QA-ZZ5'!$C$5:$M$299,11,0),"Inspection at production line")</f>
        <v>Inspection at production line</v>
      </c>
    </row>
    <row r="7412" spans="1:4" ht="13.8">
      <c r="A7412" s="47" t="s">
        <v>15407</v>
      </c>
      <c r="B7412" s="92" t="s">
        <v>15408</v>
      </c>
      <c r="C7412" s="92" t="s">
        <v>15132</v>
      </c>
      <c r="D7412" s="72" t="str">
        <f>IFERROR(VLOOKUP(A7412,'[1]ST-QA-ZZ5'!$C$5:$M$299,11,0),"Inspection at production line")</f>
        <v>Inspection at production line</v>
      </c>
    </row>
    <row r="7413" spans="1:4" ht="13.8">
      <c r="A7413" s="47" t="s">
        <v>15409</v>
      </c>
      <c r="B7413" s="92" t="s">
        <v>15410</v>
      </c>
      <c r="C7413" s="92" t="s">
        <v>15137</v>
      </c>
      <c r="D7413" s="72" t="str">
        <f>IFERROR(VLOOKUP(A7413,'[1]ST-QA-ZZ5'!$C$5:$M$299,11,0),"Inspection at production line")</f>
        <v>Inspection at production line</v>
      </c>
    </row>
    <row r="7414" spans="1:4" ht="13.8">
      <c r="A7414" s="47" t="s">
        <v>15411</v>
      </c>
      <c r="B7414" s="92" t="s">
        <v>15412</v>
      </c>
      <c r="C7414" s="92" t="s">
        <v>15413</v>
      </c>
      <c r="D7414" s="72" t="str">
        <f>IFERROR(VLOOKUP(A7414,'[1]ST-QA-ZZ5'!$C$5:$M$299,11,0),"Inspection at production line")</f>
        <v>Inspection at production line</v>
      </c>
    </row>
    <row r="7415" spans="1:4" ht="13.8">
      <c r="A7415" s="47" t="s">
        <v>15414</v>
      </c>
      <c r="B7415" s="92" t="s">
        <v>15415</v>
      </c>
      <c r="C7415" s="92" t="s">
        <v>15416</v>
      </c>
      <c r="D7415" s="72" t="str">
        <f>IFERROR(VLOOKUP(A7415,'[1]ST-QA-ZZ5'!$C$5:$M$299,11,0),"Inspection at production line")</f>
        <v>Inspection at production line</v>
      </c>
    </row>
    <row r="7416" spans="1:4" ht="13.8">
      <c r="A7416" s="47" t="s">
        <v>15417</v>
      </c>
      <c r="B7416" s="92" t="s">
        <v>15418</v>
      </c>
      <c r="C7416" s="92" t="s">
        <v>15419</v>
      </c>
      <c r="D7416" s="72" t="str">
        <f>IFERROR(VLOOKUP(A7416,'[1]ST-QA-ZZ5'!$C$5:$M$299,11,0),"Inspection at production line")</f>
        <v>Inspection at production line</v>
      </c>
    </row>
    <row r="7417" spans="1:4" ht="13.8">
      <c r="A7417" s="47" t="s">
        <v>15420</v>
      </c>
      <c r="B7417" s="92" t="s">
        <v>15421</v>
      </c>
      <c r="C7417" s="92" t="s">
        <v>15161</v>
      </c>
      <c r="D7417" s="72" t="str">
        <f>IFERROR(VLOOKUP(A7417,'[1]ST-QA-ZZ5'!$C$5:$M$299,11,0),"Inspection at production line")</f>
        <v>Inspection at production line</v>
      </c>
    </row>
    <row r="7418" spans="1:4" ht="13.8">
      <c r="A7418" s="47" t="s">
        <v>15422</v>
      </c>
      <c r="B7418" s="92" t="s">
        <v>15423</v>
      </c>
      <c r="C7418" s="92" t="s">
        <v>15188</v>
      </c>
      <c r="D7418" s="72" t="str">
        <f>IFERROR(VLOOKUP(A7418,'[1]ST-QA-ZZ5'!$C$5:$M$299,11,0),"Inspection at production line")</f>
        <v>Inspection at production line</v>
      </c>
    </row>
    <row r="7419" spans="1:4" ht="13.8">
      <c r="A7419" s="47" t="s">
        <v>15424</v>
      </c>
      <c r="B7419" s="92" t="s">
        <v>15425</v>
      </c>
      <c r="C7419" s="92">
        <v>74404054100</v>
      </c>
      <c r="D7419" s="72" t="str">
        <f>IFERROR(VLOOKUP(A7419,'[1]ST-QA-ZZ5'!$C$5:$M$299,11,0),"Inspection at production line")</f>
        <v>Inspection at production line</v>
      </c>
    </row>
    <row r="7420" spans="1:4" ht="13.8">
      <c r="A7420" s="47" t="s">
        <v>15426</v>
      </c>
      <c r="B7420" s="92" t="s">
        <v>15427</v>
      </c>
      <c r="C7420" s="92" t="s">
        <v>15193</v>
      </c>
      <c r="D7420" s="72" t="str">
        <f>IFERROR(VLOOKUP(A7420,'[1]ST-QA-ZZ5'!$C$5:$M$299,11,0),"Inspection at production line")</f>
        <v>Inspection at production line</v>
      </c>
    </row>
    <row r="7421" spans="1:4" ht="13.8">
      <c r="A7421" s="47" t="s">
        <v>15428</v>
      </c>
      <c r="B7421" s="92" t="s">
        <v>15429</v>
      </c>
      <c r="C7421" s="92" t="s">
        <v>15196</v>
      </c>
      <c r="D7421" s="72" t="str">
        <f>IFERROR(VLOOKUP(A7421,'[1]ST-QA-ZZ5'!$C$5:$M$299,11,0),"Inspection at production line")</f>
        <v>Inspection at production line</v>
      </c>
    </row>
    <row r="7422" spans="1:4" ht="13.8">
      <c r="A7422" s="47" t="s">
        <v>15430</v>
      </c>
      <c r="B7422" s="92" t="s">
        <v>15431</v>
      </c>
      <c r="C7422" s="92" t="s">
        <v>15199</v>
      </c>
      <c r="D7422" s="72" t="str">
        <f>IFERROR(VLOOKUP(A7422,'[1]ST-QA-ZZ5'!$C$5:$M$299,11,0),"Inspection at production line")</f>
        <v>Inspection at production line</v>
      </c>
    </row>
    <row r="7423" spans="1:4" ht="13.8">
      <c r="A7423" s="47" t="s">
        <v>15432</v>
      </c>
      <c r="B7423" s="92" t="s">
        <v>15433</v>
      </c>
      <c r="C7423" s="92" t="s">
        <v>15205</v>
      </c>
      <c r="D7423" s="72" t="str">
        <f>IFERROR(VLOOKUP(A7423,'[1]ST-QA-ZZ5'!$C$5:$M$299,11,0),"Inspection at production line")</f>
        <v>Inspection at production line</v>
      </c>
    </row>
    <row r="7424" spans="1:4" ht="13.8">
      <c r="A7424" s="47" t="s">
        <v>15434</v>
      </c>
      <c r="B7424" s="92" t="s">
        <v>15435</v>
      </c>
      <c r="C7424" s="92" t="s">
        <v>15220</v>
      </c>
      <c r="D7424" s="72" t="str">
        <f>IFERROR(VLOOKUP(A7424,'[1]ST-QA-ZZ5'!$C$5:$M$299,11,0),"Inspection at production line")</f>
        <v>Inspection at production line</v>
      </c>
    </row>
    <row r="7425" spans="1:4" ht="13.8">
      <c r="A7425" s="47" t="s">
        <v>15436</v>
      </c>
      <c r="B7425" s="92" t="s">
        <v>15437</v>
      </c>
      <c r="C7425" s="92" t="s">
        <v>15244</v>
      </c>
      <c r="D7425" s="72" t="str">
        <f>IFERROR(VLOOKUP(A7425,'[1]ST-QA-ZZ5'!$C$5:$M$299,11,0),"Inspection at production line")</f>
        <v>Inspection at production line</v>
      </c>
    </row>
    <row r="7426" spans="1:4" ht="13.8">
      <c r="A7426" s="47" t="s">
        <v>15438</v>
      </c>
      <c r="B7426" s="92" t="s">
        <v>15439</v>
      </c>
      <c r="C7426" s="92" t="s">
        <v>15253</v>
      </c>
      <c r="D7426" s="72" t="str">
        <f>IFERROR(VLOOKUP(A7426,'[1]ST-QA-ZZ5'!$C$5:$M$299,11,0),"Inspection at production line")</f>
        <v>Inspection at production line</v>
      </c>
    </row>
    <row r="7427" spans="1:4" ht="13.8">
      <c r="A7427" s="47" t="s">
        <v>15440</v>
      </c>
      <c r="B7427" s="92" t="s">
        <v>15441</v>
      </c>
      <c r="C7427" s="92" t="s">
        <v>15442</v>
      </c>
      <c r="D7427" s="72" t="str">
        <f>IFERROR(VLOOKUP(A7427,'[1]ST-QA-ZZ5'!$C$5:$M$299,11,0),"Inspection at production line")</f>
        <v>Inspection at production line</v>
      </c>
    </row>
    <row r="7428" spans="1:4" ht="13.8">
      <c r="A7428" s="47" t="s">
        <v>15443</v>
      </c>
      <c r="B7428" s="92" t="s">
        <v>75</v>
      </c>
      <c r="C7428" s="92" t="s">
        <v>15444</v>
      </c>
      <c r="D7428" s="72" t="str">
        <f>IFERROR(VLOOKUP(A7428,'[1]ST-QA-ZZ5'!$C$5:$M$299,11,0),"Inspection at production line")</f>
        <v>Inspection at production line</v>
      </c>
    </row>
    <row r="7429" spans="1:4" ht="13.8">
      <c r="A7429" s="47" t="s">
        <v>15445</v>
      </c>
      <c r="B7429" s="92" t="s">
        <v>75</v>
      </c>
      <c r="C7429" s="92" t="s">
        <v>15446</v>
      </c>
      <c r="D7429" s="72" t="str">
        <f>IFERROR(VLOOKUP(A7429,'[1]ST-QA-ZZ5'!$C$5:$M$299,11,0),"Inspection at production line")</f>
        <v>Inspection at production line</v>
      </c>
    </row>
    <row r="7430" spans="1:4" ht="13.8">
      <c r="A7430" s="47" t="s">
        <v>15447</v>
      </c>
      <c r="B7430" s="92" t="s">
        <v>1543</v>
      </c>
      <c r="C7430" s="92" t="s">
        <v>15448</v>
      </c>
      <c r="D7430" s="72" t="str">
        <f>IFERROR(VLOOKUP(A7430,'[1]ST-QA-ZZ5'!$C$5:$M$299,11,0),"Inspection at production line")</f>
        <v>Inspection at production line</v>
      </c>
    </row>
    <row r="7431" spans="1:4" ht="13.8">
      <c r="A7431" s="47" t="s">
        <v>15449</v>
      </c>
      <c r="B7431" s="92" t="s">
        <v>1554</v>
      </c>
      <c r="C7431" s="92" t="s">
        <v>15450</v>
      </c>
      <c r="D7431" s="72" t="str">
        <f>IFERROR(VLOOKUP(A7431,'[1]ST-QA-ZZ5'!$C$5:$M$299,11,0),"Inspection at production line")</f>
        <v>Inspection at production line</v>
      </c>
    </row>
    <row r="7432" spans="1:4" ht="13.8">
      <c r="A7432" s="47" t="s">
        <v>15451</v>
      </c>
      <c r="B7432" s="92" t="s">
        <v>75</v>
      </c>
      <c r="C7432" s="92" t="s">
        <v>15452</v>
      </c>
      <c r="D7432" s="72" t="str">
        <f>IFERROR(VLOOKUP(A7432,'[1]ST-QA-ZZ5'!$C$5:$M$299,11,0),"Inspection at production line")</f>
        <v>Inspection at production line</v>
      </c>
    </row>
    <row r="7433" spans="1:4" ht="13.8">
      <c r="A7433" s="47" t="s">
        <v>15453</v>
      </c>
      <c r="B7433" s="92" t="s">
        <v>6352</v>
      </c>
      <c r="C7433" s="92" t="s">
        <v>15454</v>
      </c>
      <c r="D7433" s="72" t="str">
        <f>IFERROR(VLOOKUP(A7433,'[1]ST-QA-ZZ5'!$C$5:$M$299,11,0),"Inspection at production line")</f>
        <v>Inspection at production line</v>
      </c>
    </row>
    <row r="7434" spans="1:4" ht="13.8">
      <c r="A7434" s="47" t="s">
        <v>15455</v>
      </c>
      <c r="B7434" s="92" t="s">
        <v>75</v>
      </c>
      <c r="C7434" s="92" t="s">
        <v>15456</v>
      </c>
      <c r="D7434" s="72" t="str">
        <f>IFERROR(VLOOKUP(A7434,'[1]ST-QA-ZZ5'!$C$5:$M$299,11,0),"Inspection at production line")</f>
        <v>Inspection at production line</v>
      </c>
    </row>
    <row r="7435" spans="1:4" ht="13.8">
      <c r="A7435" s="47" t="s">
        <v>15457</v>
      </c>
      <c r="B7435" s="92" t="s">
        <v>15458</v>
      </c>
      <c r="C7435" s="92" t="s">
        <v>15459</v>
      </c>
      <c r="D7435" s="72" t="str">
        <f>IFERROR(VLOOKUP(A7435,'[1]ST-QA-ZZ5'!$C$5:$M$299,11,0),"Inspection at production line")</f>
        <v>Inspection at production line</v>
      </c>
    </row>
    <row r="7436" spans="1:4" ht="13.8">
      <c r="A7436" s="47" t="s">
        <v>15460</v>
      </c>
      <c r="B7436" s="92" t="s">
        <v>15461</v>
      </c>
      <c r="C7436" s="92" t="s">
        <v>15462</v>
      </c>
      <c r="D7436" s="72" t="str">
        <f>IFERROR(VLOOKUP(A7436,'[1]ST-QA-ZZ5'!$C$5:$M$299,11,0),"Inspection at production line")</f>
        <v>Inspection at production line</v>
      </c>
    </row>
    <row r="7437" spans="1:4" ht="13.8">
      <c r="A7437" s="47" t="s">
        <v>15463</v>
      </c>
      <c r="B7437" s="92" t="s">
        <v>15464</v>
      </c>
      <c r="C7437" s="92">
        <v>1965357</v>
      </c>
      <c r="D7437" s="72" t="str">
        <f>IFERROR(VLOOKUP(A7437,'[1]ST-QA-ZZ5'!$C$5:$M$299,11,0),"Inspection at production line")</f>
        <v>Inspection at production line</v>
      </c>
    </row>
    <row r="7438" spans="1:4" ht="13.8">
      <c r="A7438" s="47" t="s">
        <v>15465</v>
      </c>
      <c r="B7438" s="92" t="s">
        <v>15466</v>
      </c>
      <c r="C7438" s="92" t="s">
        <v>15467</v>
      </c>
      <c r="D7438" s="72" t="str">
        <f>IFERROR(VLOOKUP(A7438,'[1]ST-QA-ZZ5'!$C$5:$M$299,11,0),"Inspection at production line")</f>
        <v>Inspection at production line</v>
      </c>
    </row>
    <row r="7439" spans="1:4" ht="13.8">
      <c r="A7439" s="47" t="s">
        <v>15468</v>
      </c>
      <c r="B7439" s="92" t="s">
        <v>15469</v>
      </c>
      <c r="C7439" s="92" t="s">
        <v>15470</v>
      </c>
      <c r="D7439" s="72" t="str">
        <f>IFERROR(VLOOKUP(A7439,'[1]ST-QA-ZZ5'!$C$5:$M$299,11,0),"Inspection at production line")</f>
        <v>Inspection at production line</v>
      </c>
    </row>
    <row r="7440" spans="1:4" ht="13.8">
      <c r="A7440" s="47" t="s">
        <v>15471</v>
      </c>
      <c r="B7440" s="92" t="s">
        <v>15472</v>
      </c>
      <c r="C7440" s="92" t="s">
        <v>15473</v>
      </c>
      <c r="D7440" s="72" t="str">
        <f>IFERROR(VLOOKUP(A7440,'[1]ST-QA-ZZ5'!$C$5:$M$299,11,0),"Inspection at production line")</f>
        <v>Inspection at production line</v>
      </c>
    </row>
    <row r="7441" spans="1:4" ht="13.8">
      <c r="A7441" s="47" t="s">
        <v>15474</v>
      </c>
      <c r="B7441" s="92" t="s">
        <v>15475</v>
      </c>
      <c r="C7441" s="92" t="s">
        <v>15476</v>
      </c>
      <c r="D7441" s="72" t="str">
        <f>IFERROR(VLOOKUP(A7441,'[1]ST-QA-ZZ5'!$C$5:$M$299,11,0),"Inspection at production line")</f>
        <v>Inspection at production line</v>
      </c>
    </row>
    <row r="7442" spans="1:4" ht="13.8">
      <c r="A7442" s="47" t="s">
        <v>15477</v>
      </c>
      <c r="B7442" s="92" t="s">
        <v>174</v>
      </c>
      <c r="C7442" s="92" t="s">
        <v>15478</v>
      </c>
      <c r="D7442" s="72" t="str">
        <f>IFERROR(VLOOKUP(A7442,'[1]ST-QA-ZZ5'!$C$5:$M$299,11,0),"Inspection at production line")</f>
        <v>Inspection at production line</v>
      </c>
    </row>
    <row r="7443" spans="1:4" ht="13.8">
      <c r="A7443" s="47" t="s">
        <v>15479</v>
      </c>
      <c r="B7443" s="92" t="s">
        <v>174</v>
      </c>
      <c r="C7443" s="92" t="s">
        <v>15480</v>
      </c>
      <c r="D7443" s="72" t="str">
        <f>IFERROR(VLOOKUP(A7443,'[1]ST-QA-ZZ5'!$C$5:$M$299,11,0),"Inspection at production line")</f>
        <v>Inspection at production line</v>
      </c>
    </row>
    <row r="7444" spans="1:4" ht="13.8">
      <c r="A7444" s="47" t="s">
        <v>15481</v>
      </c>
      <c r="B7444" s="92" t="s">
        <v>15482</v>
      </c>
      <c r="C7444" s="92" t="s">
        <v>15483</v>
      </c>
      <c r="D7444" s="72" t="str">
        <f>IFERROR(VLOOKUP(A7444,'[1]ST-QA-ZZ5'!$C$5:$M$299,11,0),"Inspection at production line")</f>
        <v>Inspection at production line</v>
      </c>
    </row>
    <row r="7445" spans="1:4" ht="13.8">
      <c r="A7445" s="47" t="s">
        <v>15484</v>
      </c>
      <c r="B7445" s="92" t="s">
        <v>15485</v>
      </c>
      <c r="C7445" s="92" t="s">
        <v>15486</v>
      </c>
      <c r="D7445" s="72" t="str">
        <f>IFERROR(VLOOKUP(A7445,'[1]ST-QA-ZZ5'!$C$5:$M$299,11,0),"Inspection at production line")</f>
        <v>Inspection at production line</v>
      </c>
    </row>
    <row r="7446" spans="1:4" ht="13.8">
      <c r="A7446" s="47" t="s">
        <v>15487</v>
      </c>
      <c r="B7446" s="92" t="s">
        <v>15381</v>
      </c>
      <c r="C7446" s="92" t="s">
        <v>15488</v>
      </c>
      <c r="D7446" s="72" t="str">
        <f>IFERROR(VLOOKUP(A7446,'[1]ST-QA-ZZ5'!$C$5:$M$299,11,0),"Inspection at production line")</f>
        <v>Inspection at production line</v>
      </c>
    </row>
    <row r="7447" spans="1:4" ht="13.8">
      <c r="A7447" s="47" t="s">
        <v>15489</v>
      </c>
      <c r="B7447" s="92" t="s">
        <v>15490</v>
      </c>
      <c r="C7447" s="92" t="s">
        <v>15491</v>
      </c>
      <c r="D7447" s="72" t="str">
        <f>IFERROR(VLOOKUP(A7447,'[1]ST-QA-ZZ5'!$C$5:$M$299,11,0),"Inspection at production line")</f>
        <v>Inspection at production line</v>
      </c>
    </row>
    <row r="7448" spans="1:4" ht="13.8">
      <c r="A7448" s="47" t="s">
        <v>15492</v>
      </c>
      <c r="B7448" s="92" t="s">
        <v>4769</v>
      </c>
      <c r="C7448" s="92" t="s">
        <v>15493</v>
      </c>
      <c r="D7448" s="72" t="str">
        <f>IFERROR(VLOOKUP(A7448,'[1]ST-QA-ZZ5'!$C$5:$M$299,11,0),"Inspection at production line")</f>
        <v>Inspection at production line</v>
      </c>
    </row>
    <row r="7449" spans="1:4" ht="13.8">
      <c r="A7449" s="47" t="s">
        <v>18233</v>
      </c>
      <c r="B7449" s="92" t="s">
        <v>18234</v>
      </c>
      <c r="C7449" s="92" t="s">
        <v>18235</v>
      </c>
      <c r="D7449" s="72" t="str">
        <f>IFERROR(VLOOKUP(A7449,'[1]ST-QA-ZZ5'!$C$5:$M$299,11,0),"Inspection at production line")</f>
        <v>Inspection at production line</v>
      </c>
    </row>
    <row r="7450" spans="1:4" ht="13.8">
      <c r="A7450" s="47" t="s">
        <v>15494</v>
      </c>
      <c r="B7450" s="92" t="s">
        <v>15495</v>
      </c>
      <c r="C7450" s="92" t="s">
        <v>15495</v>
      </c>
      <c r="D7450" s="72" t="str">
        <f>IFERROR(VLOOKUP(A7450,'[1]ST-QA-ZZ5'!$C$5:$M$299,11,0),"Inspection at production line")</f>
        <v>Inspection at production line</v>
      </c>
    </row>
    <row r="7451" spans="1:4" ht="13.8">
      <c r="A7451" s="47" t="s">
        <v>15496</v>
      </c>
      <c r="B7451" s="92" t="s">
        <v>15497</v>
      </c>
      <c r="C7451" s="92" t="s">
        <v>15497</v>
      </c>
      <c r="D7451" s="72" t="str">
        <f>IFERROR(VLOOKUP(A7451,'[1]ST-QA-ZZ5'!$C$5:$M$299,11,0),"Inspection at production line")</f>
        <v>Inspection at production line</v>
      </c>
    </row>
    <row r="7452" spans="1:4" ht="13.8">
      <c r="A7452" s="47" t="s">
        <v>15498</v>
      </c>
      <c r="B7452" s="92" t="s">
        <v>9009</v>
      </c>
      <c r="C7452" s="92" t="s">
        <v>9009</v>
      </c>
      <c r="D7452" s="72" t="str">
        <f>IFERROR(VLOOKUP(A7452,'[1]ST-QA-ZZ5'!$C$5:$M$299,11,0),"Inspection at production line")</f>
        <v>Inspection at production line</v>
      </c>
    </row>
    <row r="7453" spans="1:4" ht="13.8">
      <c r="A7453" s="47" t="s">
        <v>15499</v>
      </c>
      <c r="B7453" s="92" t="s">
        <v>15500</v>
      </c>
      <c r="C7453" s="92" t="s">
        <v>15500</v>
      </c>
      <c r="D7453" s="72" t="str">
        <f>IFERROR(VLOOKUP(A7453,'[1]ST-QA-ZZ5'!$C$5:$M$299,11,0),"Inspection at production line")</f>
        <v>Inspection at production line</v>
      </c>
    </row>
    <row r="7454" spans="1:4" ht="13.8">
      <c r="A7454" s="47" t="s">
        <v>15501</v>
      </c>
      <c r="B7454" s="92" t="s">
        <v>857</v>
      </c>
      <c r="C7454" s="92" t="s">
        <v>15502</v>
      </c>
      <c r="D7454" s="72" t="str">
        <f>IFERROR(VLOOKUP(A7454,'[1]ST-QA-ZZ5'!$C$5:$M$299,11,0),"Inspection at production line")</f>
        <v>Inspection at production line</v>
      </c>
    </row>
    <row r="7455" spans="1:4" ht="13.8">
      <c r="A7455" s="47" t="s">
        <v>15503</v>
      </c>
      <c r="B7455" s="92" t="s">
        <v>857</v>
      </c>
      <c r="C7455" s="92" t="s">
        <v>15504</v>
      </c>
      <c r="D7455" s="72" t="str">
        <f>IFERROR(VLOOKUP(A7455,'[1]ST-QA-ZZ5'!$C$5:$M$299,11,0),"Inspection at production line")</f>
        <v>Inspection at production line</v>
      </c>
    </row>
    <row r="7456" spans="1:4" ht="13.8">
      <c r="A7456" s="47" t="s">
        <v>15505</v>
      </c>
      <c r="B7456" s="92" t="s">
        <v>857</v>
      </c>
      <c r="C7456" s="92" t="s">
        <v>15506</v>
      </c>
      <c r="D7456" s="72" t="str">
        <f>IFERROR(VLOOKUP(A7456,'[1]ST-QA-ZZ5'!$C$5:$M$299,11,0),"Inspection at production line")</f>
        <v>Inspection at production line</v>
      </c>
    </row>
    <row r="7457" spans="1:4" ht="13.8">
      <c r="A7457" s="47" t="s">
        <v>15507</v>
      </c>
      <c r="B7457" s="92" t="s">
        <v>857</v>
      </c>
      <c r="C7457" s="92" t="s">
        <v>15508</v>
      </c>
      <c r="D7457" s="72" t="str">
        <f>IFERROR(VLOOKUP(A7457,'[1]ST-QA-ZZ5'!$C$5:$M$299,11,0),"Inspection at production line")</f>
        <v>Inspection at production line</v>
      </c>
    </row>
    <row r="7458" spans="1:4" ht="13.8">
      <c r="A7458" s="47" t="s">
        <v>15509</v>
      </c>
      <c r="B7458" s="92" t="s">
        <v>857</v>
      </c>
      <c r="C7458" s="92" t="s">
        <v>15510</v>
      </c>
      <c r="D7458" s="72" t="str">
        <f>IFERROR(VLOOKUP(A7458,'[1]ST-QA-ZZ5'!$C$5:$M$299,11,0),"Inspection at production line")</f>
        <v>Inspection at production line</v>
      </c>
    </row>
    <row r="7459" spans="1:4" ht="13.8">
      <c r="A7459" s="47" t="s">
        <v>15511</v>
      </c>
      <c r="B7459" s="92" t="s">
        <v>857</v>
      </c>
      <c r="C7459" s="92" t="s">
        <v>15512</v>
      </c>
      <c r="D7459" s="72" t="str">
        <f>IFERROR(VLOOKUP(A7459,'[1]ST-QA-ZZ5'!$C$5:$M$299,11,0),"Inspection at production line")</f>
        <v>Inspection at production line</v>
      </c>
    </row>
    <row r="7460" spans="1:4" ht="13.8">
      <c r="A7460" s="47" t="s">
        <v>15513</v>
      </c>
      <c r="B7460" s="92" t="s">
        <v>857</v>
      </c>
      <c r="C7460" s="92" t="s">
        <v>15514</v>
      </c>
      <c r="D7460" s="72" t="str">
        <f>IFERROR(VLOOKUP(A7460,'[1]ST-QA-ZZ5'!$C$5:$M$299,11,0),"Inspection at production line")</f>
        <v>Inspection at production line</v>
      </c>
    </row>
    <row r="7461" spans="1:4" ht="13.8">
      <c r="A7461" s="47" t="s">
        <v>15515</v>
      </c>
      <c r="B7461" s="92" t="s">
        <v>857</v>
      </c>
      <c r="C7461" s="92" t="s">
        <v>15516</v>
      </c>
      <c r="D7461" s="72" t="str">
        <f>IFERROR(VLOOKUP(A7461,'[1]ST-QA-ZZ5'!$C$5:$M$299,11,0),"Inspection at production line")</f>
        <v>Inspection at production line</v>
      </c>
    </row>
    <row r="7462" spans="1:4" ht="13.8">
      <c r="A7462" s="47" t="s">
        <v>15517</v>
      </c>
      <c r="B7462" s="92" t="s">
        <v>857</v>
      </c>
      <c r="C7462" s="92" t="s">
        <v>15518</v>
      </c>
      <c r="D7462" s="72" t="str">
        <f>IFERROR(VLOOKUP(A7462,'[1]ST-QA-ZZ5'!$C$5:$M$299,11,0),"Inspection at production line")</f>
        <v>Inspection at production line</v>
      </c>
    </row>
    <row r="7463" spans="1:4" ht="13.8">
      <c r="A7463" s="47" t="s">
        <v>15519</v>
      </c>
      <c r="B7463" s="92" t="s">
        <v>857</v>
      </c>
      <c r="C7463" s="92" t="s">
        <v>15520</v>
      </c>
      <c r="D7463" s="72" t="str">
        <f>IFERROR(VLOOKUP(A7463,'[1]ST-QA-ZZ5'!$C$5:$M$299,11,0),"Inspection at production line")</f>
        <v>Inspection at production line</v>
      </c>
    </row>
    <row r="7464" spans="1:4" ht="13.8">
      <c r="A7464" s="47" t="s">
        <v>15521</v>
      </c>
      <c r="B7464" s="92" t="s">
        <v>857</v>
      </c>
      <c r="C7464" s="92" t="s">
        <v>15522</v>
      </c>
      <c r="D7464" s="72" t="str">
        <f>IFERROR(VLOOKUP(A7464,'[1]ST-QA-ZZ5'!$C$5:$M$299,11,0),"Inspection at production line")</f>
        <v>Inspection at production line</v>
      </c>
    </row>
    <row r="7465" spans="1:4" ht="13.8">
      <c r="A7465" s="47" t="s">
        <v>15523</v>
      </c>
      <c r="B7465" s="92" t="s">
        <v>857</v>
      </c>
      <c r="C7465" s="92" t="s">
        <v>15524</v>
      </c>
      <c r="D7465" s="72" t="str">
        <f>IFERROR(VLOOKUP(A7465,'[1]ST-QA-ZZ5'!$C$5:$M$299,11,0),"Inspection at production line")</f>
        <v>Inspection at production line</v>
      </c>
    </row>
    <row r="7466" spans="1:4" ht="13.8">
      <c r="A7466" s="47" t="s">
        <v>15525</v>
      </c>
      <c r="B7466" s="92" t="s">
        <v>15526</v>
      </c>
      <c r="C7466" s="92" t="s">
        <v>15526</v>
      </c>
      <c r="D7466" s="72" t="str">
        <f>IFERROR(VLOOKUP(A7466,'[1]ST-QA-ZZ5'!$C$5:$M$299,11,0),"Inspection at production line")</f>
        <v>Inspection at production line</v>
      </c>
    </row>
    <row r="7467" spans="1:4" ht="13.8">
      <c r="A7467" s="47" t="s">
        <v>15527</v>
      </c>
      <c r="B7467" s="92" t="s">
        <v>15528</v>
      </c>
      <c r="C7467" s="92" t="s">
        <v>15528</v>
      </c>
      <c r="D7467" s="72" t="str">
        <f>IFERROR(VLOOKUP(A7467,'[1]ST-QA-ZZ5'!$C$5:$M$299,11,0),"Inspection at production line")</f>
        <v>Inspection at production line</v>
      </c>
    </row>
    <row r="7468" spans="1:4" ht="13.8">
      <c r="A7468" s="47" t="s">
        <v>15529</v>
      </c>
      <c r="B7468" s="92" t="s">
        <v>2024</v>
      </c>
      <c r="C7468" s="92" t="s">
        <v>15530</v>
      </c>
      <c r="D7468" s="72" t="str">
        <f>IFERROR(VLOOKUP(A7468,'[1]ST-QA-ZZ5'!$C$5:$M$299,11,0),"Inspection at production line")</f>
        <v>Inspection at production line</v>
      </c>
    </row>
    <row r="7469" spans="1:4" ht="13.8">
      <c r="A7469" s="47" t="s">
        <v>15531</v>
      </c>
      <c r="B7469" s="92" t="s">
        <v>555</v>
      </c>
      <c r="C7469" s="92" t="s">
        <v>15532</v>
      </c>
      <c r="D7469" s="72" t="str">
        <f>IFERROR(VLOOKUP(A7469,'[1]ST-QA-ZZ5'!$C$5:$M$299,11,0),"Inspection at production line")</f>
        <v>Inspection at production line</v>
      </c>
    </row>
    <row r="7470" spans="1:4" ht="13.8">
      <c r="A7470" s="47" t="s">
        <v>15533</v>
      </c>
      <c r="B7470" s="92" t="s">
        <v>555</v>
      </c>
      <c r="C7470" s="92" t="s">
        <v>15534</v>
      </c>
      <c r="D7470" s="72" t="str">
        <f>IFERROR(VLOOKUP(A7470,'[1]ST-QA-ZZ5'!$C$5:$M$299,11,0),"Inspection at production line")</f>
        <v>Inspection at production line</v>
      </c>
    </row>
    <row r="7471" spans="1:4" ht="13.8">
      <c r="A7471" s="47" t="s">
        <v>15535</v>
      </c>
      <c r="B7471" s="92" t="s">
        <v>555</v>
      </c>
      <c r="C7471" s="92" t="s">
        <v>15536</v>
      </c>
      <c r="D7471" s="72" t="str">
        <f>IFERROR(VLOOKUP(A7471,'[1]ST-QA-ZZ5'!$C$5:$M$299,11,0),"Inspection at production line")</f>
        <v>Inspection at production line</v>
      </c>
    </row>
    <row r="7472" spans="1:4" ht="13.8">
      <c r="A7472" s="47" t="s">
        <v>15537</v>
      </c>
      <c r="B7472" s="92" t="s">
        <v>555</v>
      </c>
      <c r="C7472" s="92" t="s">
        <v>15538</v>
      </c>
      <c r="D7472" s="72" t="str">
        <f>IFERROR(VLOOKUP(A7472,'[1]ST-QA-ZZ5'!$C$5:$M$299,11,0),"Inspection at production line")</f>
        <v>Inspection at production line</v>
      </c>
    </row>
    <row r="7473" spans="1:4" ht="13.8">
      <c r="A7473" s="47" t="s">
        <v>15539</v>
      </c>
      <c r="B7473" s="92" t="s">
        <v>555</v>
      </c>
      <c r="C7473" s="92" t="s">
        <v>15540</v>
      </c>
      <c r="D7473" s="72" t="str">
        <f>IFERROR(VLOOKUP(A7473,'[1]ST-QA-ZZ5'!$C$5:$M$299,11,0),"Inspection at production line")</f>
        <v>Inspection at production line</v>
      </c>
    </row>
    <row r="7474" spans="1:4" ht="13.8">
      <c r="A7474" s="47" t="s">
        <v>15541</v>
      </c>
      <c r="B7474" s="92" t="s">
        <v>555</v>
      </c>
      <c r="C7474" s="92" t="s">
        <v>15542</v>
      </c>
      <c r="D7474" s="72" t="str">
        <f>IFERROR(VLOOKUP(A7474,'[1]ST-QA-ZZ5'!$C$5:$M$299,11,0),"Inspection at production line")</f>
        <v>Inspection at production line</v>
      </c>
    </row>
    <row r="7475" spans="1:4" ht="13.8">
      <c r="A7475" s="47" t="s">
        <v>15543</v>
      </c>
      <c r="B7475" s="92" t="s">
        <v>555</v>
      </c>
      <c r="C7475" s="92" t="s">
        <v>15544</v>
      </c>
      <c r="D7475" s="72" t="str">
        <f>IFERROR(VLOOKUP(A7475,'[1]ST-QA-ZZ5'!$C$5:$M$299,11,0),"Inspection at production line")</f>
        <v>Inspection at production line</v>
      </c>
    </row>
    <row r="7476" spans="1:4" ht="13.8">
      <c r="A7476" s="47" t="s">
        <v>15545</v>
      </c>
      <c r="B7476" s="92" t="s">
        <v>555</v>
      </c>
      <c r="C7476" s="92" t="s">
        <v>15546</v>
      </c>
      <c r="D7476" s="72" t="str">
        <f>IFERROR(VLOOKUP(A7476,'[1]ST-QA-ZZ5'!$C$5:$M$299,11,0),"Inspection at production line")</f>
        <v>Inspection at production line</v>
      </c>
    </row>
    <row r="7477" spans="1:4" ht="13.8">
      <c r="A7477" s="47" t="s">
        <v>15547</v>
      </c>
      <c r="B7477" s="92" t="s">
        <v>2024</v>
      </c>
      <c r="C7477" s="92" t="s">
        <v>15548</v>
      </c>
      <c r="D7477" s="72" t="str">
        <f>IFERROR(VLOOKUP(A7477,'[1]ST-QA-ZZ5'!$C$5:$M$299,11,0),"Inspection at production line")</f>
        <v>Inspection at production line</v>
      </c>
    </row>
    <row r="7478" spans="1:4" ht="13.8">
      <c r="A7478" s="47" t="s">
        <v>15549</v>
      </c>
      <c r="B7478" s="92" t="s">
        <v>2024</v>
      </c>
      <c r="C7478" s="92" t="s">
        <v>15550</v>
      </c>
      <c r="D7478" s="72" t="str">
        <f>IFERROR(VLOOKUP(A7478,'[1]ST-QA-ZZ5'!$C$5:$M$299,11,0),"Inspection at production line")</f>
        <v>Inspection at production line</v>
      </c>
    </row>
    <row r="7479" spans="1:4" ht="13.8">
      <c r="A7479" s="47" t="s">
        <v>15551</v>
      </c>
      <c r="B7479" s="92" t="s">
        <v>555</v>
      </c>
      <c r="C7479" s="92" t="s">
        <v>15552</v>
      </c>
      <c r="D7479" s="72" t="str">
        <f>IFERROR(VLOOKUP(A7479,'[1]ST-QA-ZZ5'!$C$5:$M$299,11,0),"Inspection at production line")</f>
        <v>Inspection at production line</v>
      </c>
    </row>
    <row r="7480" spans="1:4" ht="13.8">
      <c r="A7480" s="47" t="s">
        <v>15553</v>
      </c>
      <c r="B7480" s="92" t="s">
        <v>2024</v>
      </c>
      <c r="C7480" s="92" t="s">
        <v>9158</v>
      </c>
      <c r="D7480" s="72" t="str">
        <f>IFERROR(VLOOKUP(A7480,'[1]ST-QA-ZZ5'!$C$5:$M$299,11,0),"Inspection at production line")</f>
        <v>Inspection at production line</v>
      </c>
    </row>
    <row r="7481" spans="1:4" ht="13.8">
      <c r="A7481" s="47" t="s">
        <v>15554</v>
      </c>
      <c r="B7481" s="92" t="s">
        <v>555</v>
      </c>
      <c r="C7481" s="92" t="s">
        <v>15555</v>
      </c>
      <c r="D7481" s="72" t="str">
        <f>IFERROR(VLOOKUP(A7481,'[1]ST-QA-ZZ5'!$C$5:$M$299,11,0),"Inspection at production line")</f>
        <v>Inspection at production line</v>
      </c>
    </row>
    <row r="7482" spans="1:4" ht="13.8">
      <c r="A7482" s="47" t="s">
        <v>15556</v>
      </c>
      <c r="B7482" s="92" t="s">
        <v>555</v>
      </c>
      <c r="C7482" s="92" t="s">
        <v>15557</v>
      </c>
      <c r="D7482" s="72" t="str">
        <f>IFERROR(VLOOKUP(A7482,'[1]ST-QA-ZZ5'!$C$5:$M$299,11,0),"Inspection at production line")</f>
        <v>Inspection at production line</v>
      </c>
    </row>
    <row r="7483" spans="1:4" ht="13.8">
      <c r="A7483" s="47" t="s">
        <v>15558</v>
      </c>
      <c r="B7483" s="92" t="s">
        <v>555</v>
      </c>
      <c r="C7483" s="92" t="s">
        <v>15559</v>
      </c>
      <c r="D7483" s="72" t="str">
        <f>IFERROR(VLOOKUP(A7483,'[1]ST-QA-ZZ5'!$C$5:$M$299,11,0),"Inspection at production line")</f>
        <v>Inspection at production line</v>
      </c>
    </row>
    <row r="7484" spans="1:4" ht="13.8">
      <c r="A7484" s="47" t="s">
        <v>15560</v>
      </c>
      <c r="B7484" s="92" t="s">
        <v>555</v>
      </c>
      <c r="C7484" s="92" t="s">
        <v>15561</v>
      </c>
      <c r="D7484" s="72" t="str">
        <f>IFERROR(VLOOKUP(A7484,'[1]ST-QA-ZZ5'!$C$5:$M$299,11,0),"Inspection at production line")</f>
        <v>Inspection at production line</v>
      </c>
    </row>
    <row r="7485" spans="1:4" ht="13.8">
      <c r="A7485" s="47" t="s">
        <v>15562</v>
      </c>
      <c r="B7485" s="92" t="s">
        <v>555</v>
      </c>
      <c r="C7485" s="92" t="s">
        <v>15563</v>
      </c>
      <c r="D7485" s="72" t="str">
        <f>IFERROR(VLOOKUP(A7485,'[1]ST-QA-ZZ5'!$C$5:$M$299,11,0),"Inspection at production line")</f>
        <v>Inspection at production line</v>
      </c>
    </row>
    <row r="7486" spans="1:4" ht="13.8">
      <c r="A7486" s="47" t="s">
        <v>15564</v>
      </c>
      <c r="B7486" s="92" t="s">
        <v>555</v>
      </c>
      <c r="C7486" s="92" t="s">
        <v>15565</v>
      </c>
      <c r="D7486" s="72" t="str">
        <f>IFERROR(VLOOKUP(A7486,'[1]ST-QA-ZZ5'!$C$5:$M$299,11,0),"Inspection at production line")</f>
        <v>Inspection at production line</v>
      </c>
    </row>
    <row r="7487" spans="1:4" ht="13.8">
      <c r="A7487" s="47" t="s">
        <v>15566</v>
      </c>
      <c r="B7487" s="92" t="s">
        <v>555</v>
      </c>
      <c r="C7487" s="92" t="s">
        <v>12910</v>
      </c>
      <c r="D7487" s="72" t="str">
        <f>IFERROR(VLOOKUP(A7487,'[1]ST-QA-ZZ5'!$C$5:$M$299,11,0),"Inspection at production line")</f>
        <v>Inspection at production line</v>
      </c>
    </row>
    <row r="7488" spans="1:4" ht="13.8">
      <c r="A7488" s="47" t="s">
        <v>15567</v>
      </c>
      <c r="B7488" s="92" t="s">
        <v>555</v>
      </c>
      <c r="C7488" s="92" t="s">
        <v>3154</v>
      </c>
      <c r="D7488" s="72" t="str">
        <f>IFERROR(VLOOKUP(A7488,'[1]ST-QA-ZZ5'!$C$5:$M$299,11,0),"Inspection at production line")</f>
        <v>Inspection at production line</v>
      </c>
    </row>
    <row r="7489" spans="1:4" ht="13.8">
      <c r="A7489" s="47" t="s">
        <v>15568</v>
      </c>
      <c r="B7489" s="92" t="s">
        <v>857</v>
      </c>
      <c r="C7489" s="92" t="s">
        <v>15569</v>
      </c>
      <c r="D7489" s="72" t="str">
        <f>IFERROR(VLOOKUP(A7489,'[1]ST-QA-ZZ5'!$C$5:$M$299,11,0),"Inspection at production line")</f>
        <v>Inspection at production line</v>
      </c>
    </row>
    <row r="7490" spans="1:4" ht="13.8">
      <c r="A7490" s="47" t="s">
        <v>15570</v>
      </c>
      <c r="B7490" s="92" t="s">
        <v>1233</v>
      </c>
      <c r="C7490" s="92" t="s">
        <v>15571</v>
      </c>
      <c r="D7490" s="72" t="str">
        <f>IFERROR(VLOOKUP(A7490,'[1]ST-QA-ZZ5'!$C$5:$M$299,11,0),"Inspection at production line")</f>
        <v>Inspection at production line</v>
      </c>
    </row>
    <row r="7491" spans="1:4" ht="13.8">
      <c r="A7491" s="47" t="s">
        <v>15572</v>
      </c>
      <c r="B7491" s="92" t="s">
        <v>1233</v>
      </c>
      <c r="C7491" s="92" t="s">
        <v>15573</v>
      </c>
      <c r="D7491" s="72" t="str">
        <f>IFERROR(VLOOKUP(A7491,'[1]ST-QA-ZZ5'!$C$5:$M$299,11,0),"Inspection at production line")</f>
        <v>Inspection at production line</v>
      </c>
    </row>
    <row r="7492" spans="1:4" ht="13.8">
      <c r="A7492" s="47" t="s">
        <v>15574</v>
      </c>
      <c r="B7492" s="92" t="s">
        <v>1233</v>
      </c>
      <c r="C7492" s="92" t="s">
        <v>15575</v>
      </c>
      <c r="D7492" s="72" t="str">
        <f>IFERROR(VLOOKUP(A7492,'[1]ST-QA-ZZ5'!$C$5:$M$299,11,0),"Inspection at production line")</f>
        <v>Inspection at production line</v>
      </c>
    </row>
    <row r="7493" spans="1:4" ht="13.8">
      <c r="A7493" s="47" t="s">
        <v>15576</v>
      </c>
      <c r="B7493" s="92" t="s">
        <v>15577</v>
      </c>
      <c r="C7493" s="92" t="s">
        <v>4221</v>
      </c>
      <c r="D7493" s="72" t="str">
        <f>IFERROR(VLOOKUP(A7493,'[1]ST-QA-ZZ5'!$C$5:$M$299,11,0),"Inspection at production line")</f>
        <v>Inspection at production line</v>
      </c>
    </row>
    <row r="7494" spans="1:4" ht="13.8">
      <c r="A7494" s="47" t="s">
        <v>51</v>
      </c>
      <c r="B7494" s="92" t="s">
        <v>555</v>
      </c>
      <c r="C7494" s="92" t="s">
        <v>2314</v>
      </c>
      <c r="D7494" s="72" t="str">
        <f>IFERROR(VLOOKUP(A7494,'[1]ST-QA-ZZ5'!$C$5:$M$299,11,0),"Inspection at production line")</f>
        <v>Inspection at production line</v>
      </c>
    </row>
    <row r="7495" spans="1:4" ht="13.8">
      <c r="A7495" s="47" t="s">
        <v>235</v>
      </c>
      <c r="B7495" s="92" t="s">
        <v>838</v>
      </c>
      <c r="C7495" s="92" t="s">
        <v>1647</v>
      </c>
      <c r="D7495" s="72" t="str">
        <f>IFERROR(VLOOKUP(A7495,'[1]ST-QA-ZZ5'!$C$5:$M$299,11,0),"Inspection at production line")</f>
        <v>Inspection at production line</v>
      </c>
    </row>
    <row r="7496" spans="1:4" ht="13.8">
      <c r="A7496" s="47" t="s">
        <v>2320</v>
      </c>
      <c r="B7496" s="92" t="s">
        <v>555</v>
      </c>
      <c r="C7496" s="92" t="s">
        <v>15578</v>
      </c>
      <c r="D7496" s="72" t="str">
        <f>IFERROR(VLOOKUP(A7496,'[1]ST-QA-ZZ5'!$C$5:$M$299,11,0),"Inspection at production line")</f>
        <v>Inspection at production line</v>
      </c>
    </row>
    <row r="7497" spans="1:4" ht="13.8">
      <c r="A7497" s="47" t="s">
        <v>2324</v>
      </c>
      <c r="B7497" s="92" t="s">
        <v>555</v>
      </c>
      <c r="C7497" s="92" t="s">
        <v>2325</v>
      </c>
      <c r="D7497" s="72" t="str">
        <f>IFERROR(VLOOKUP(A7497,'[1]ST-QA-ZZ5'!$C$5:$M$299,11,0),"Inspection at production line")</f>
        <v>Inspection at production line</v>
      </c>
    </row>
    <row r="7498" spans="1:4" ht="13.8">
      <c r="A7498" s="47" t="s">
        <v>2328</v>
      </c>
      <c r="B7498" s="92" t="s">
        <v>555</v>
      </c>
      <c r="C7498" s="92" t="s">
        <v>2329</v>
      </c>
      <c r="D7498" s="72" t="str">
        <f>IFERROR(VLOOKUP(A7498,'[1]ST-QA-ZZ5'!$C$5:$M$299,11,0),"Inspection at production line")</f>
        <v>Inspection at production line</v>
      </c>
    </row>
    <row r="7499" spans="1:4" ht="13.8">
      <c r="A7499" s="47" t="s">
        <v>2332</v>
      </c>
      <c r="B7499" s="92" t="s">
        <v>555</v>
      </c>
      <c r="C7499" s="92" t="s">
        <v>15579</v>
      </c>
      <c r="D7499" s="72" t="str">
        <f>IFERROR(VLOOKUP(A7499,'[1]ST-QA-ZZ5'!$C$5:$M$299,11,0),"Inspection at production line")</f>
        <v>Inspection at production line</v>
      </c>
    </row>
    <row r="7500" spans="1:4" ht="13.8">
      <c r="A7500" s="47" t="s">
        <v>2347</v>
      </c>
      <c r="B7500" s="92" t="s">
        <v>555</v>
      </c>
      <c r="C7500" s="92" t="s">
        <v>15580</v>
      </c>
      <c r="D7500" s="72" t="str">
        <f>IFERROR(VLOOKUP(A7500,'[1]ST-QA-ZZ5'!$C$5:$M$299,11,0),"Inspection at production line")</f>
        <v>Inspection at production line</v>
      </c>
    </row>
    <row r="7501" spans="1:4" ht="13.8">
      <c r="A7501" s="47" t="s">
        <v>15581</v>
      </c>
      <c r="B7501" s="92" t="s">
        <v>555</v>
      </c>
      <c r="C7501" s="92" t="s">
        <v>15582</v>
      </c>
      <c r="D7501" s="72" t="str">
        <f>IFERROR(VLOOKUP(A7501,'[1]ST-QA-ZZ5'!$C$5:$M$299,11,0),"Inspection at production line")</f>
        <v>Inspection at production line</v>
      </c>
    </row>
    <row r="7502" spans="1:4" ht="13.8">
      <c r="A7502" s="47" t="s">
        <v>15583</v>
      </c>
      <c r="B7502" s="92" t="s">
        <v>15584</v>
      </c>
      <c r="C7502" s="92" t="s">
        <v>15584</v>
      </c>
      <c r="D7502" s="72" t="str">
        <f>IFERROR(VLOOKUP(A7502,'[1]ST-QA-ZZ5'!$C$5:$M$299,11,0),"Inspection at production line")</f>
        <v>Inspection at production line</v>
      </c>
    </row>
    <row r="7503" spans="1:4" ht="13.8">
      <c r="A7503" s="47" t="s">
        <v>15585</v>
      </c>
      <c r="B7503" s="92" t="s">
        <v>1223</v>
      </c>
      <c r="C7503" s="92" t="s">
        <v>15586</v>
      </c>
      <c r="D7503" s="72" t="str">
        <f>IFERROR(VLOOKUP(A7503,'[1]ST-QA-ZZ5'!$C$5:$M$299,11,0),"Inspection at production line")</f>
        <v>Inspection at production line</v>
      </c>
    </row>
    <row r="7504" spans="1:4" ht="13.8">
      <c r="A7504" s="47" t="s">
        <v>15587</v>
      </c>
      <c r="B7504" s="92" t="s">
        <v>1223</v>
      </c>
      <c r="C7504" s="92" t="s">
        <v>15588</v>
      </c>
      <c r="D7504" s="72" t="str">
        <f>IFERROR(VLOOKUP(A7504,'[1]ST-QA-ZZ5'!$C$5:$M$299,11,0),"Inspection at production line")</f>
        <v>Inspection at production line</v>
      </c>
    </row>
    <row r="7505" spans="1:4" ht="13.8">
      <c r="A7505" s="47" t="s">
        <v>15589</v>
      </c>
      <c r="B7505" s="92" t="s">
        <v>68</v>
      </c>
      <c r="C7505" s="92" t="s">
        <v>15590</v>
      </c>
      <c r="D7505" s="72" t="str">
        <f>IFERROR(VLOOKUP(A7505,'[1]ST-QA-ZZ5'!$C$5:$M$299,11,0),"Inspection at production line")</f>
        <v>Inspection at production line</v>
      </c>
    </row>
    <row r="7506" spans="1:4" ht="13.8">
      <c r="A7506" s="47" t="s">
        <v>15591</v>
      </c>
      <c r="B7506" s="92" t="s">
        <v>13358</v>
      </c>
      <c r="C7506" s="92" t="s">
        <v>15592</v>
      </c>
      <c r="D7506" s="72" t="str">
        <f>IFERROR(VLOOKUP(A7506,'[1]ST-QA-ZZ5'!$C$5:$M$299,11,0),"Inspection at production line")</f>
        <v>Inspection at production line</v>
      </c>
    </row>
    <row r="7507" spans="1:4" ht="13.8">
      <c r="A7507" s="47" t="s">
        <v>15593</v>
      </c>
      <c r="B7507" s="92" t="s">
        <v>814</v>
      </c>
      <c r="C7507" s="92" t="s">
        <v>15594</v>
      </c>
      <c r="D7507" s="72" t="str">
        <f>IFERROR(VLOOKUP(A7507,'[1]ST-QA-ZZ5'!$C$5:$M$299,11,0),"Inspection at production line")</f>
        <v>Inspection at production line</v>
      </c>
    </row>
    <row r="7508" spans="1:4" ht="13.8">
      <c r="A7508" s="47" t="s">
        <v>15595</v>
      </c>
      <c r="B7508" s="92" t="s">
        <v>15596</v>
      </c>
      <c r="C7508" s="92" t="s">
        <v>15597</v>
      </c>
      <c r="D7508" s="72" t="str">
        <f>IFERROR(VLOOKUP(A7508,'[1]ST-QA-ZZ5'!$C$5:$M$299,11,0),"Inspection at production line")</f>
        <v>Inspection at production line</v>
      </c>
    </row>
    <row r="7509" spans="1:4" ht="13.8">
      <c r="A7509" s="47" t="s">
        <v>15598</v>
      </c>
      <c r="B7509" s="92" t="s">
        <v>900</v>
      </c>
      <c r="C7509" s="92" t="s">
        <v>15599</v>
      </c>
      <c r="D7509" s="72" t="str">
        <f>IFERROR(VLOOKUP(A7509,'[1]ST-QA-ZZ5'!$C$5:$M$299,11,0),"Inspection at production line")</f>
        <v>Inspection at production line</v>
      </c>
    </row>
    <row r="7510" spans="1:4" ht="13.8">
      <c r="A7510" s="47" t="s">
        <v>15600</v>
      </c>
      <c r="B7510" s="92" t="s">
        <v>785</v>
      </c>
      <c r="C7510" s="92" t="s">
        <v>15599</v>
      </c>
      <c r="D7510" s="72" t="str">
        <f>IFERROR(VLOOKUP(A7510,'[1]ST-QA-ZZ5'!$C$5:$M$299,11,0),"Inspection at production line")</f>
        <v>Inspection at production line</v>
      </c>
    </row>
    <row r="7511" spans="1:4" ht="13.8">
      <c r="A7511" s="47" t="s">
        <v>15601</v>
      </c>
      <c r="B7511" s="92" t="s">
        <v>90</v>
      </c>
      <c r="C7511" s="92" t="s">
        <v>15599</v>
      </c>
      <c r="D7511" s="72" t="str">
        <f>IFERROR(VLOOKUP(A7511,'[1]ST-QA-ZZ5'!$C$5:$M$299,11,0),"Inspection at production line")</f>
        <v>Inspection at production line</v>
      </c>
    </row>
    <row r="7512" spans="1:4" ht="13.8">
      <c r="A7512" s="47" t="s">
        <v>2350</v>
      </c>
      <c r="B7512" s="92" t="s">
        <v>555</v>
      </c>
      <c r="C7512" s="92" t="s">
        <v>15602</v>
      </c>
      <c r="D7512" s="72" t="str">
        <f>IFERROR(VLOOKUP(A7512,'[1]ST-QA-ZZ5'!$C$5:$M$299,11,0),"Inspection at production line")</f>
        <v>Inspection at production line</v>
      </c>
    </row>
    <row r="7513" spans="1:4" ht="13.8">
      <c r="A7513" s="47" t="s">
        <v>2359</v>
      </c>
      <c r="B7513" s="92" t="s">
        <v>1257</v>
      </c>
      <c r="C7513" s="92" t="s">
        <v>15603</v>
      </c>
      <c r="D7513" s="72" t="str">
        <f>IFERROR(VLOOKUP(A7513,'[1]ST-QA-ZZ5'!$C$5:$M$299,11,0),"Inspection at production line")</f>
        <v>Inspection at production line</v>
      </c>
    </row>
    <row r="7514" spans="1:4" ht="13.8">
      <c r="A7514" s="47" t="s">
        <v>15604</v>
      </c>
      <c r="B7514" s="92" t="s">
        <v>555</v>
      </c>
      <c r="C7514" s="92" t="s">
        <v>15605</v>
      </c>
      <c r="D7514" s="72" t="str">
        <f>IFERROR(VLOOKUP(A7514,'[1]ST-QA-ZZ5'!$C$5:$M$299,11,0),"Inspection at production line")</f>
        <v>Inspection at production line</v>
      </c>
    </row>
    <row r="7515" spans="1:4" ht="13.8">
      <c r="A7515" s="47" t="s">
        <v>15606</v>
      </c>
      <c r="B7515" s="92" t="s">
        <v>555</v>
      </c>
      <c r="C7515" s="92" t="s">
        <v>15607</v>
      </c>
      <c r="D7515" s="72" t="str">
        <f>IFERROR(VLOOKUP(A7515,'[1]ST-QA-ZZ5'!$C$5:$M$299,11,0),"Inspection at production line")</f>
        <v>Inspection at production line</v>
      </c>
    </row>
    <row r="7516" spans="1:4" ht="13.8">
      <c r="A7516" s="47" t="s">
        <v>15608</v>
      </c>
      <c r="B7516" s="92" t="s">
        <v>555</v>
      </c>
      <c r="C7516" s="92" t="s">
        <v>5052</v>
      </c>
      <c r="D7516" s="72" t="str">
        <f>IFERROR(VLOOKUP(A7516,'[1]ST-QA-ZZ5'!$C$5:$M$299,11,0),"Inspection at production line")</f>
        <v>Inspection at production line</v>
      </c>
    </row>
    <row r="7517" spans="1:4" ht="13.8">
      <c r="A7517" s="47" t="s">
        <v>15609</v>
      </c>
      <c r="B7517" s="92" t="s">
        <v>857</v>
      </c>
      <c r="C7517" s="92" t="s">
        <v>15610</v>
      </c>
      <c r="D7517" s="72" t="str">
        <f>IFERROR(VLOOKUP(A7517,'[1]ST-QA-ZZ5'!$C$5:$M$299,11,0),"Inspection at production line")</f>
        <v>Inspection at production line</v>
      </c>
    </row>
    <row r="7518" spans="1:4" ht="13.8">
      <c r="A7518" s="47" t="s">
        <v>15611</v>
      </c>
      <c r="B7518" s="92" t="s">
        <v>857</v>
      </c>
      <c r="C7518" s="92" t="s">
        <v>15612</v>
      </c>
      <c r="D7518" s="72" t="str">
        <f>IFERROR(VLOOKUP(A7518,'[1]ST-QA-ZZ5'!$C$5:$M$299,11,0),"Inspection at production line")</f>
        <v>Inspection at production line</v>
      </c>
    </row>
    <row r="7519" spans="1:4" ht="13.8">
      <c r="A7519" s="47" t="s">
        <v>15613</v>
      </c>
      <c r="B7519" s="92" t="s">
        <v>555</v>
      </c>
      <c r="C7519" s="92" t="s">
        <v>6986</v>
      </c>
      <c r="D7519" s="72" t="str">
        <f>IFERROR(VLOOKUP(A7519,'[1]ST-QA-ZZ5'!$C$5:$M$299,11,0),"Inspection at production line")</f>
        <v>Inspection at production line</v>
      </c>
    </row>
    <row r="7520" spans="1:4" ht="13.8">
      <c r="A7520" s="47" t="s">
        <v>15614</v>
      </c>
      <c r="B7520" s="92" t="s">
        <v>555</v>
      </c>
      <c r="C7520" s="92" t="s">
        <v>15615</v>
      </c>
      <c r="D7520" s="72" t="str">
        <f>IFERROR(VLOOKUP(A7520,'[1]ST-QA-ZZ5'!$C$5:$M$299,11,0),"Inspection at production line")</f>
        <v>Inspection at production line</v>
      </c>
    </row>
    <row r="7521" spans="1:4" ht="13.8">
      <c r="A7521" s="47" t="s">
        <v>15616</v>
      </c>
      <c r="B7521" s="92" t="s">
        <v>838</v>
      </c>
      <c r="C7521" s="92" t="s">
        <v>8820</v>
      </c>
      <c r="D7521" s="72" t="str">
        <f>IFERROR(VLOOKUP(A7521,'[1]ST-QA-ZZ5'!$C$5:$M$299,11,0),"Inspection at production line")</f>
        <v>Inspection at production line</v>
      </c>
    </row>
    <row r="7522" spans="1:4" ht="13.8">
      <c r="A7522" s="47" t="s">
        <v>15617</v>
      </c>
      <c r="B7522" s="92" t="s">
        <v>555</v>
      </c>
      <c r="C7522" s="92" t="s">
        <v>15618</v>
      </c>
      <c r="D7522" s="72" t="str">
        <f>IFERROR(VLOOKUP(A7522,'[1]ST-QA-ZZ5'!$C$5:$M$299,11,0),"Inspection at production line")</f>
        <v>Inspection at production line</v>
      </c>
    </row>
    <row r="7523" spans="1:4" ht="13.8">
      <c r="A7523" s="47" t="s">
        <v>15619</v>
      </c>
      <c r="B7523" s="92" t="s">
        <v>555</v>
      </c>
      <c r="C7523" s="92" t="s">
        <v>15620</v>
      </c>
      <c r="D7523" s="72" t="str">
        <f>IFERROR(VLOOKUP(A7523,'[1]ST-QA-ZZ5'!$C$5:$M$299,11,0),"Inspection at production line")</f>
        <v>Inspection at production line</v>
      </c>
    </row>
    <row r="7524" spans="1:4" ht="13.8">
      <c r="A7524" s="47" t="s">
        <v>15621</v>
      </c>
      <c r="B7524" s="92" t="s">
        <v>555</v>
      </c>
      <c r="C7524" s="92" t="s">
        <v>15622</v>
      </c>
      <c r="D7524" s="72" t="str">
        <f>IFERROR(VLOOKUP(A7524,'[1]ST-QA-ZZ5'!$C$5:$M$299,11,0),"Inspection at production line")</f>
        <v>Inspection at production line</v>
      </c>
    </row>
    <row r="7525" spans="1:4" ht="13.8">
      <c r="A7525" s="47" t="s">
        <v>15623</v>
      </c>
      <c r="B7525" s="92" t="s">
        <v>857</v>
      </c>
      <c r="C7525" s="92" t="s">
        <v>8820</v>
      </c>
      <c r="D7525" s="72" t="str">
        <f>IFERROR(VLOOKUP(A7525,'[1]ST-QA-ZZ5'!$C$5:$M$299,11,0),"Inspection at production line")</f>
        <v>Inspection at production line</v>
      </c>
    </row>
    <row r="7526" spans="1:4" ht="13.8">
      <c r="A7526" s="47" t="s">
        <v>15624</v>
      </c>
      <c r="B7526" s="92" t="s">
        <v>555</v>
      </c>
      <c r="C7526" s="92" t="s">
        <v>15625</v>
      </c>
      <c r="D7526" s="72" t="str">
        <f>IFERROR(VLOOKUP(A7526,'[1]ST-QA-ZZ5'!$C$5:$M$299,11,0),"Inspection at production line")</f>
        <v>Inspection at production line</v>
      </c>
    </row>
    <row r="7527" spans="1:4" ht="13.8">
      <c r="A7527" s="47" t="s">
        <v>801</v>
      </c>
      <c r="B7527" s="92" t="s">
        <v>555</v>
      </c>
      <c r="C7527" s="92" t="s">
        <v>802</v>
      </c>
      <c r="D7527" s="72" t="str">
        <f>IFERROR(VLOOKUP(A7527,'[1]ST-QA-ZZ5'!$C$5:$M$299,11,0),"Inspection at production line")</f>
        <v>Inspection at production line</v>
      </c>
    </row>
    <row r="7528" spans="1:4" ht="13.8">
      <c r="A7528" s="47" t="s">
        <v>15626</v>
      </c>
      <c r="B7528" s="92" t="s">
        <v>555</v>
      </c>
      <c r="C7528" s="92" t="s">
        <v>15627</v>
      </c>
      <c r="D7528" s="72" t="str">
        <f>IFERROR(VLOOKUP(A7528,'[1]ST-QA-ZZ5'!$C$5:$M$299,11,0),"Inspection at production line")</f>
        <v>Inspection at production line</v>
      </c>
    </row>
    <row r="7529" spans="1:4" ht="13.8">
      <c r="A7529" s="47" t="s">
        <v>15628</v>
      </c>
      <c r="B7529" s="92" t="s">
        <v>2024</v>
      </c>
      <c r="C7529" s="92" t="s">
        <v>15629</v>
      </c>
      <c r="D7529" s="72" t="str">
        <f>IFERROR(VLOOKUP(A7529,'[1]ST-QA-ZZ5'!$C$5:$M$299,11,0),"Inspection at production line")</f>
        <v>Inspection at production line</v>
      </c>
    </row>
    <row r="7530" spans="1:4" ht="13.8">
      <c r="A7530" s="47" t="s">
        <v>15630</v>
      </c>
      <c r="B7530" s="92" t="s">
        <v>857</v>
      </c>
      <c r="C7530" s="92" t="s">
        <v>5726</v>
      </c>
      <c r="D7530" s="72" t="str">
        <f>IFERROR(VLOOKUP(A7530,'[1]ST-QA-ZZ5'!$C$5:$M$299,11,0),"Inspection at production line")</f>
        <v>Inspection at production line</v>
      </c>
    </row>
    <row r="7531" spans="1:4" ht="13.8">
      <c r="A7531" s="47" t="s">
        <v>3153</v>
      </c>
      <c r="B7531" s="92" t="s">
        <v>2024</v>
      </c>
      <c r="C7531" s="92" t="s">
        <v>9389</v>
      </c>
      <c r="D7531" s="72" t="str">
        <f>IFERROR(VLOOKUP(A7531,'[1]ST-QA-ZZ5'!$C$5:$M$299,11,0),"Inspection at production line")</f>
        <v>Inspection at production line</v>
      </c>
    </row>
    <row r="7532" spans="1:4" ht="13.8">
      <c r="A7532" s="47" t="s">
        <v>15631</v>
      </c>
      <c r="B7532" s="92" t="s">
        <v>2511</v>
      </c>
      <c r="C7532" s="92" t="s">
        <v>15632</v>
      </c>
      <c r="D7532" s="72" t="str">
        <f>IFERROR(VLOOKUP(A7532,'[1]ST-QA-ZZ5'!$C$5:$M$299,11,0),"Inspection at production line")</f>
        <v>Inspection at production line</v>
      </c>
    </row>
    <row r="7533" spans="1:4" ht="13.8">
      <c r="A7533" s="47" t="s">
        <v>15633</v>
      </c>
      <c r="B7533" s="92" t="s">
        <v>2511</v>
      </c>
      <c r="C7533" s="92" t="s">
        <v>15634</v>
      </c>
      <c r="D7533" s="72" t="str">
        <f>IFERROR(VLOOKUP(A7533,'[1]ST-QA-ZZ5'!$C$5:$M$299,11,0),"Inspection at production line")</f>
        <v>Inspection at production line</v>
      </c>
    </row>
    <row r="7534" spans="1:4" ht="13.8">
      <c r="A7534" s="47" t="s">
        <v>15635</v>
      </c>
      <c r="B7534" s="92" t="s">
        <v>2511</v>
      </c>
      <c r="C7534" s="92" t="s">
        <v>15636</v>
      </c>
      <c r="D7534" s="72" t="str">
        <f>IFERROR(VLOOKUP(A7534,'[1]ST-QA-ZZ5'!$C$5:$M$299,11,0),"Inspection at production line")</f>
        <v>Inspection at production line</v>
      </c>
    </row>
    <row r="7535" spans="1:4" ht="13.8">
      <c r="A7535" s="47" t="s">
        <v>15637</v>
      </c>
      <c r="B7535" s="92" t="s">
        <v>961</v>
      </c>
      <c r="C7535" s="92" t="s">
        <v>15638</v>
      </c>
      <c r="D7535" s="72" t="str">
        <f>IFERROR(VLOOKUP(A7535,'[1]ST-QA-ZZ5'!$C$5:$M$299,11,0),"Inspection at production line")</f>
        <v>Inspection at production line</v>
      </c>
    </row>
    <row r="7536" spans="1:4" ht="13.8">
      <c r="A7536" s="47" t="s">
        <v>15639</v>
      </c>
      <c r="B7536" s="92" t="s">
        <v>941</v>
      </c>
      <c r="C7536" s="92" t="s">
        <v>15640</v>
      </c>
      <c r="D7536" s="72" t="str">
        <f>IFERROR(VLOOKUP(A7536,'[1]ST-QA-ZZ5'!$C$5:$M$299,11,0),"Inspection at production line")</f>
        <v>Inspection at production line</v>
      </c>
    </row>
    <row r="7537" spans="1:4" ht="13.8">
      <c r="A7537" s="47" t="s">
        <v>15641</v>
      </c>
      <c r="B7537" s="92" t="s">
        <v>857</v>
      </c>
      <c r="C7537" s="92" t="s">
        <v>15640</v>
      </c>
      <c r="D7537" s="72" t="str">
        <f>IFERROR(VLOOKUP(A7537,'[1]ST-QA-ZZ5'!$C$5:$M$299,11,0),"Inspection at production line")</f>
        <v>Inspection at production line</v>
      </c>
    </row>
    <row r="7538" spans="1:4" ht="13.8">
      <c r="A7538" s="47" t="s">
        <v>15642</v>
      </c>
      <c r="B7538" s="92" t="s">
        <v>2511</v>
      </c>
      <c r="C7538" s="92" t="s">
        <v>15643</v>
      </c>
      <c r="D7538" s="72" t="str">
        <f>IFERROR(VLOOKUP(A7538,'[1]ST-QA-ZZ5'!$C$5:$M$299,11,0),"Inspection at production line")</f>
        <v>Inspection at production line</v>
      </c>
    </row>
    <row r="7539" spans="1:4" ht="13.8">
      <c r="A7539" s="47" t="s">
        <v>15644</v>
      </c>
      <c r="B7539" s="92" t="s">
        <v>961</v>
      </c>
      <c r="C7539" s="92" t="s">
        <v>15645</v>
      </c>
      <c r="D7539" s="72" t="str">
        <f>IFERROR(VLOOKUP(A7539,'[1]ST-QA-ZZ5'!$C$5:$M$299,11,0),"Inspection at production line")</f>
        <v>Inspection at production line</v>
      </c>
    </row>
    <row r="7540" spans="1:4" ht="13.8">
      <c r="A7540" s="47" t="s">
        <v>15646</v>
      </c>
      <c r="B7540" s="92" t="s">
        <v>3704</v>
      </c>
      <c r="C7540" s="92" t="s">
        <v>15647</v>
      </c>
      <c r="D7540" s="72" t="str">
        <f>IFERROR(VLOOKUP(A7540,'[1]ST-QA-ZZ5'!$C$5:$M$299,11,0),"Inspection at production line")</f>
        <v>Sampling check</v>
      </c>
    </row>
    <row r="7541" spans="1:4" ht="13.8">
      <c r="A7541" s="47" t="s">
        <v>15648</v>
      </c>
      <c r="B7541" s="92" t="s">
        <v>797</v>
      </c>
      <c r="C7541" s="92" t="s">
        <v>15649</v>
      </c>
      <c r="D7541" s="72" t="str">
        <f>IFERROR(VLOOKUP(A7541,'[1]ST-QA-ZZ5'!$C$5:$M$299,11,0),"Inspection at production line")</f>
        <v>Inspection at production line</v>
      </c>
    </row>
    <row r="7542" spans="1:4" ht="13.8">
      <c r="A7542" s="47" t="s">
        <v>15650</v>
      </c>
      <c r="B7542" s="92" t="s">
        <v>857</v>
      </c>
      <c r="C7542" s="92" t="s">
        <v>15649</v>
      </c>
      <c r="D7542" s="72" t="str">
        <f>IFERROR(VLOOKUP(A7542,'[1]ST-QA-ZZ5'!$C$5:$M$299,11,0),"Inspection at production line")</f>
        <v>Inspection at production line</v>
      </c>
    </row>
    <row r="7543" spans="1:4" ht="13.8">
      <c r="A7543" s="47" t="s">
        <v>15651</v>
      </c>
      <c r="B7543" s="92" t="s">
        <v>3704</v>
      </c>
      <c r="C7543" s="92" t="s">
        <v>15652</v>
      </c>
      <c r="D7543" s="72" t="str">
        <f>IFERROR(VLOOKUP(A7543,'[1]ST-QA-ZZ5'!$C$5:$M$299,11,0),"Inspection at production line")</f>
        <v>Sampling check</v>
      </c>
    </row>
    <row r="7544" spans="1:4" ht="13.8">
      <c r="A7544" s="47" t="s">
        <v>15653</v>
      </c>
      <c r="B7544" s="92" t="s">
        <v>3704</v>
      </c>
      <c r="C7544" s="92" t="s">
        <v>15652</v>
      </c>
      <c r="D7544" s="72" t="str">
        <f>IFERROR(VLOOKUP(A7544,'[1]ST-QA-ZZ5'!$C$5:$M$299,11,0),"Inspection at production line")</f>
        <v>Inspection at production line</v>
      </c>
    </row>
    <row r="7545" spans="1:4" ht="13.8">
      <c r="A7545" s="47" t="s">
        <v>15654</v>
      </c>
      <c r="B7545" s="92" t="s">
        <v>941</v>
      </c>
      <c r="C7545" s="92" t="s">
        <v>15655</v>
      </c>
      <c r="D7545" s="72" t="str">
        <f>IFERROR(VLOOKUP(A7545,'[1]ST-QA-ZZ5'!$C$5:$M$299,11,0),"Inspection at production line")</f>
        <v>Inspection at production line</v>
      </c>
    </row>
    <row r="7546" spans="1:4" ht="13.8">
      <c r="A7546" s="47" t="s">
        <v>15656</v>
      </c>
      <c r="B7546" s="92" t="s">
        <v>905</v>
      </c>
      <c r="C7546" s="92" t="s">
        <v>15657</v>
      </c>
      <c r="D7546" s="72" t="str">
        <f>IFERROR(VLOOKUP(A7546,'[1]ST-QA-ZZ5'!$C$5:$M$299,11,0),"Inspection at production line")</f>
        <v>Inspection at production line</v>
      </c>
    </row>
    <row r="7547" spans="1:4" ht="13.8">
      <c r="A7547" s="47" t="s">
        <v>15658</v>
      </c>
      <c r="B7547" s="92" t="s">
        <v>811</v>
      </c>
      <c r="C7547" s="92" t="s">
        <v>15659</v>
      </c>
      <c r="D7547" s="72" t="str">
        <f>IFERROR(VLOOKUP(A7547,'[1]ST-QA-ZZ5'!$C$5:$M$299,11,0),"Inspection at production line")</f>
        <v>Inspection at production line</v>
      </c>
    </row>
    <row r="7548" spans="1:4" ht="13.8">
      <c r="A7548" s="47" t="s">
        <v>15660</v>
      </c>
      <c r="B7548" s="92" t="s">
        <v>1491</v>
      </c>
      <c r="C7548" s="92" t="s">
        <v>15661</v>
      </c>
      <c r="D7548" s="72" t="str">
        <f>IFERROR(VLOOKUP(A7548,'[1]ST-QA-ZZ5'!$C$5:$M$299,11,0),"Inspection at production line")</f>
        <v>Sampling check</v>
      </c>
    </row>
    <row r="7549" spans="1:4" ht="13.8">
      <c r="A7549" s="47" t="s">
        <v>15662</v>
      </c>
      <c r="B7549" s="92" t="s">
        <v>15663</v>
      </c>
      <c r="C7549" s="92" t="s">
        <v>15664</v>
      </c>
      <c r="D7549" s="72" t="str">
        <f>IFERROR(VLOOKUP(A7549,'[1]ST-QA-ZZ5'!$C$5:$M$299,11,0),"Inspection at production line")</f>
        <v>Inspection at production line</v>
      </c>
    </row>
    <row r="7550" spans="1:4" ht="13.8">
      <c r="A7550" s="47" t="s">
        <v>15665</v>
      </c>
      <c r="B7550" s="92" t="s">
        <v>3029</v>
      </c>
      <c r="C7550" s="92" t="s">
        <v>15666</v>
      </c>
      <c r="D7550" s="72" t="str">
        <f>IFERROR(VLOOKUP(A7550,'[1]ST-QA-ZZ5'!$C$5:$M$299,11,0),"Inspection at production line")</f>
        <v>Inspection at production line</v>
      </c>
    </row>
    <row r="7551" spans="1:4" ht="13.8">
      <c r="A7551" s="47" t="s">
        <v>15667</v>
      </c>
      <c r="B7551" s="92" t="s">
        <v>2507</v>
      </c>
      <c r="C7551" s="92" t="s">
        <v>15668</v>
      </c>
      <c r="D7551" s="72" t="str">
        <f>IFERROR(VLOOKUP(A7551,'[1]ST-QA-ZZ5'!$C$5:$M$299,11,0),"Inspection at production line")</f>
        <v>Inspection at production line</v>
      </c>
    </row>
    <row r="7552" spans="1:4" ht="13.8">
      <c r="A7552" s="47" t="s">
        <v>15669</v>
      </c>
      <c r="B7552" s="92" t="s">
        <v>957</v>
      </c>
      <c r="C7552" s="92" t="s">
        <v>15670</v>
      </c>
      <c r="D7552" s="72" t="str">
        <f>IFERROR(VLOOKUP(A7552,'[1]ST-QA-ZZ5'!$C$5:$M$299,11,0),"Inspection at production line")</f>
        <v>Inspection at production line</v>
      </c>
    </row>
    <row r="7553" spans="1:4" ht="13.8">
      <c r="A7553" s="47" t="s">
        <v>15671</v>
      </c>
      <c r="B7553" s="92" t="s">
        <v>953</v>
      </c>
      <c r="C7553" s="92" t="s">
        <v>15672</v>
      </c>
      <c r="D7553" s="72" t="str">
        <f>IFERROR(VLOOKUP(A7553,'[1]ST-QA-ZZ5'!$C$5:$M$299,11,0),"Inspection at production line")</f>
        <v>Inspection at production line</v>
      </c>
    </row>
    <row r="7554" spans="1:4" ht="13.8">
      <c r="A7554" s="47" t="s">
        <v>15673</v>
      </c>
      <c r="B7554" s="92" t="s">
        <v>949</v>
      </c>
      <c r="C7554" s="92" t="s">
        <v>15674</v>
      </c>
      <c r="D7554" s="72" t="str">
        <f>IFERROR(VLOOKUP(A7554,'[1]ST-QA-ZZ5'!$C$5:$M$299,11,0),"Inspection at production line")</f>
        <v>Inspection at production line</v>
      </c>
    </row>
    <row r="7555" spans="1:4" ht="13.8">
      <c r="A7555" s="47" t="s">
        <v>15675</v>
      </c>
      <c r="B7555" s="92" t="s">
        <v>809</v>
      </c>
      <c r="C7555" s="92" t="s">
        <v>15676</v>
      </c>
      <c r="D7555" s="72" t="str">
        <f>IFERROR(VLOOKUP(A7555,'[1]ST-QA-ZZ5'!$C$5:$M$299,11,0),"Inspection at production line")</f>
        <v>Inspection at production line</v>
      </c>
    </row>
    <row r="7556" spans="1:4" ht="13.8">
      <c r="A7556" s="47" t="s">
        <v>15677</v>
      </c>
      <c r="B7556" s="92" t="s">
        <v>809</v>
      </c>
      <c r="C7556" s="92" t="s">
        <v>15678</v>
      </c>
      <c r="D7556" s="72" t="str">
        <f>IFERROR(VLOOKUP(A7556,'[1]ST-QA-ZZ5'!$C$5:$M$299,11,0),"Inspection at production line")</f>
        <v>Inspection at production line</v>
      </c>
    </row>
    <row r="7557" spans="1:4" ht="13.8">
      <c r="A7557" s="47" t="s">
        <v>15679</v>
      </c>
      <c r="B7557" s="92" t="s">
        <v>15663</v>
      </c>
      <c r="C7557" s="92" t="s">
        <v>15680</v>
      </c>
      <c r="D7557" s="72" t="str">
        <f>IFERROR(VLOOKUP(A7557,'[1]ST-QA-ZZ5'!$C$5:$M$299,11,0),"Inspection at production line")</f>
        <v>Inspection at production line</v>
      </c>
    </row>
    <row r="7558" spans="1:4" ht="13.8">
      <c r="A7558" s="47" t="s">
        <v>15681</v>
      </c>
      <c r="B7558" s="92" t="s">
        <v>15663</v>
      </c>
      <c r="C7558" s="92" t="s">
        <v>15682</v>
      </c>
      <c r="D7558" s="72" t="str">
        <f>IFERROR(VLOOKUP(A7558,'[1]ST-QA-ZZ5'!$C$5:$M$299,11,0),"Inspection at production line")</f>
        <v>Inspection at production line</v>
      </c>
    </row>
    <row r="7559" spans="1:4" ht="13.8">
      <c r="A7559" s="47" t="s">
        <v>15683</v>
      </c>
      <c r="B7559" s="92" t="s">
        <v>4093</v>
      </c>
      <c r="C7559" s="92" t="s">
        <v>15684</v>
      </c>
      <c r="D7559" s="72" t="str">
        <f>IFERROR(VLOOKUP(A7559,'[1]ST-QA-ZZ5'!$C$5:$M$299,11,0),"Inspection at production line")</f>
        <v>Inspection at production line</v>
      </c>
    </row>
    <row r="7560" spans="1:4" ht="13.8">
      <c r="A7560" s="47" t="s">
        <v>15685</v>
      </c>
      <c r="B7560" s="92" t="s">
        <v>805</v>
      </c>
      <c r="C7560" s="92" t="s">
        <v>15686</v>
      </c>
      <c r="D7560" s="72" t="str">
        <f>IFERROR(VLOOKUP(A7560,'[1]ST-QA-ZZ5'!$C$5:$M$299,11,0),"Inspection at production line")</f>
        <v>Inspection at production line</v>
      </c>
    </row>
    <row r="7561" spans="1:4" ht="13.8">
      <c r="A7561" s="47" t="s">
        <v>15687</v>
      </c>
      <c r="B7561" s="92" t="s">
        <v>957</v>
      </c>
      <c r="C7561" s="92" t="s">
        <v>15688</v>
      </c>
      <c r="D7561" s="72" t="str">
        <f>IFERROR(VLOOKUP(A7561,'[1]ST-QA-ZZ5'!$C$5:$M$299,11,0),"Inspection at production line")</f>
        <v>Inspection at production line</v>
      </c>
    </row>
    <row r="7562" spans="1:4" ht="13.8">
      <c r="A7562" s="47" t="s">
        <v>15689</v>
      </c>
      <c r="B7562" s="92" t="s">
        <v>2507</v>
      </c>
      <c r="C7562" s="92" t="s">
        <v>15690</v>
      </c>
      <c r="D7562" s="72" t="str">
        <f>IFERROR(VLOOKUP(A7562,'[1]ST-QA-ZZ5'!$C$5:$M$299,11,0),"Inspection at production line")</f>
        <v>Inspection at production line</v>
      </c>
    </row>
    <row r="7563" spans="1:4" ht="13.8">
      <c r="A7563" s="47" t="s">
        <v>15691</v>
      </c>
      <c r="B7563" s="92" t="s">
        <v>8896</v>
      </c>
      <c r="C7563" s="92" t="s">
        <v>15692</v>
      </c>
      <c r="D7563" s="72" t="str">
        <f>IFERROR(VLOOKUP(A7563,'[1]ST-QA-ZZ5'!$C$5:$M$299,11,0),"Inspection at production line")</f>
        <v>Inspection at production line</v>
      </c>
    </row>
    <row r="7564" spans="1:4" ht="13.8">
      <c r="A7564" s="47" t="s">
        <v>15693</v>
      </c>
      <c r="B7564" s="92" t="s">
        <v>949</v>
      </c>
      <c r="C7564" s="92" t="s">
        <v>15694</v>
      </c>
      <c r="D7564" s="72" t="str">
        <f>IFERROR(VLOOKUP(A7564,'[1]ST-QA-ZZ5'!$C$5:$M$299,11,0),"Inspection at production line")</f>
        <v>Inspection at production line</v>
      </c>
    </row>
    <row r="7565" spans="1:4" ht="13.8">
      <c r="A7565" s="47" t="s">
        <v>15695</v>
      </c>
      <c r="B7565" s="92" t="s">
        <v>814</v>
      </c>
      <c r="C7565" s="92" t="s">
        <v>15696</v>
      </c>
      <c r="D7565" s="72" t="str">
        <f>IFERROR(VLOOKUP(A7565,'[1]ST-QA-ZZ5'!$C$5:$M$299,11,0),"Inspection at production line")</f>
        <v>Inspection at production line</v>
      </c>
    </row>
    <row r="7566" spans="1:4" ht="13.8">
      <c r="A7566" s="47" t="s">
        <v>15697</v>
      </c>
      <c r="B7566" s="92" t="s">
        <v>957</v>
      </c>
      <c r="C7566" s="92" t="s">
        <v>15698</v>
      </c>
      <c r="D7566" s="72" t="str">
        <f>IFERROR(VLOOKUP(A7566,'[1]ST-QA-ZZ5'!$C$5:$M$299,11,0),"Inspection at production line")</f>
        <v>Inspection at production line</v>
      </c>
    </row>
    <row r="7567" spans="1:4" ht="13.8">
      <c r="A7567" s="47" t="s">
        <v>15699</v>
      </c>
      <c r="B7567" s="92" t="s">
        <v>2507</v>
      </c>
      <c r="C7567" s="92" t="s">
        <v>15700</v>
      </c>
      <c r="D7567" s="72" t="str">
        <f>IFERROR(VLOOKUP(A7567,'[1]ST-QA-ZZ5'!$C$5:$M$299,11,0),"Inspection at production line")</f>
        <v>Inspection at production line</v>
      </c>
    </row>
    <row r="7568" spans="1:4" ht="13.8">
      <c r="A7568" s="47" t="s">
        <v>15701</v>
      </c>
      <c r="B7568" s="92" t="s">
        <v>797</v>
      </c>
      <c r="C7568" s="92" t="s">
        <v>15649</v>
      </c>
      <c r="D7568" s="72" t="str">
        <f>IFERROR(VLOOKUP(A7568,'[1]ST-QA-ZZ5'!$C$5:$M$299,11,0),"Inspection at production line")</f>
        <v>Inspection at production line</v>
      </c>
    </row>
    <row r="7569" spans="1:4" ht="13.8">
      <c r="A7569" s="47" t="s">
        <v>15702</v>
      </c>
      <c r="B7569" s="92" t="s">
        <v>355</v>
      </c>
      <c r="C7569" s="92" t="s">
        <v>15703</v>
      </c>
      <c r="D7569" s="72" t="str">
        <f>IFERROR(VLOOKUP(A7569,'[1]ST-QA-ZZ5'!$C$5:$M$299,11,0),"Inspection at production line")</f>
        <v>Inspection at production line</v>
      </c>
    </row>
    <row r="7570" spans="1:4" ht="13.8">
      <c r="A7570" s="47" t="s">
        <v>15704</v>
      </c>
      <c r="B7570" s="92" t="s">
        <v>2546</v>
      </c>
      <c r="C7570" s="92" t="s">
        <v>15705</v>
      </c>
      <c r="D7570" s="72" t="str">
        <f>IFERROR(VLOOKUP(A7570,'[1]ST-QA-ZZ5'!$C$5:$M$299,11,0),"Inspection at production line")</f>
        <v>Inspection at production line</v>
      </c>
    </row>
    <row r="7571" spans="1:4" ht="13.8">
      <c r="A7571" s="47" t="s">
        <v>15706</v>
      </c>
      <c r="B7571" s="92" t="s">
        <v>949</v>
      </c>
      <c r="C7571" s="92" t="s">
        <v>15707</v>
      </c>
      <c r="D7571" s="72" t="str">
        <f>IFERROR(VLOOKUP(A7571,'[1]ST-QA-ZZ5'!$C$5:$M$299,11,0),"Inspection at production line")</f>
        <v>Inspection at production line</v>
      </c>
    </row>
    <row r="7572" spans="1:4" ht="13.8">
      <c r="A7572" s="47" t="s">
        <v>15708</v>
      </c>
      <c r="B7572" s="92" t="s">
        <v>957</v>
      </c>
      <c r="C7572" s="92" t="s">
        <v>15709</v>
      </c>
      <c r="D7572" s="72" t="str">
        <f>IFERROR(VLOOKUP(A7572,'[1]ST-QA-ZZ5'!$C$5:$M$299,11,0),"Inspection at production line")</f>
        <v>Inspection at production line</v>
      </c>
    </row>
    <row r="7573" spans="1:4" ht="13.8">
      <c r="A7573" s="47" t="s">
        <v>15710</v>
      </c>
      <c r="B7573" s="92" t="s">
        <v>953</v>
      </c>
      <c r="C7573" s="92" t="s">
        <v>15711</v>
      </c>
      <c r="D7573" s="72" t="str">
        <f>IFERROR(VLOOKUP(A7573,'[1]ST-QA-ZZ5'!$C$5:$M$299,11,0),"Inspection at production line")</f>
        <v>Inspection at production line</v>
      </c>
    </row>
    <row r="7574" spans="1:4" ht="13.8">
      <c r="A7574" s="47" t="s">
        <v>15712</v>
      </c>
      <c r="B7574" s="92" t="s">
        <v>2511</v>
      </c>
      <c r="C7574" s="92" t="s">
        <v>15713</v>
      </c>
      <c r="D7574" s="72" t="str">
        <f>IFERROR(VLOOKUP(A7574,'[1]ST-QA-ZZ5'!$C$5:$M$299,11,0),"Inspection at production line")</f>
        <v>Inspection at production line</v>
      </c>
    </row>
    <row r="7575" spans="1:4" ht="13.8">
      <c r="A7575" s="47" t="s">
        <v>15714</v>
      </c>
      <c r="B7575" s="92" t="s">
        <v>2566</v>
      </c>
      <c r="C7575" s="92" t="s">
        <v>15715</v>
      </c>
      <c r="D7575" s="72" t="str">
        <f>IFERROR(VLOOKUP(A7575,'[1]ST-QA-ZZ5'!$C$5:$M$299,11,0),"Inspection at production line")</f>
        <v>Sampling check</v>
      </c>
    </row>
    <row r="7576" spans="1:4" ht="13.8">
      <c r="A7576" s="47" t="s">
        <v>15716</v>
      </c>
      <c r="B7576" s="92" t="s">
        <v>3523</v>
      </c>
      <c r="C7576" s="92" t="s">
        <v>15717</v>
      </c>
      <c r="D7576" s="72" t="str">
        <f>IFERROR(VLOOKUP(A7576,'[1]ST-QA-ZZ5'!$C$5:$M$299,11,0),"Inspection at production line")</f>
        <v>Sampling check</v>
      </c>
    </row>
    <row r="7577" spans="1:4" ht="13.8">
      <c r="A7577" s="47" t="s">
        <v>15718</v>
      </c>
      <c r="B7577" s="92" t="s">
        <v>15577</v>
      </c>
      <c r="C7577" s="92" t="s">
        <v>15719</v>
      </c>
      <c r="D7577" s="72" t="str">
        <f>IFERROR(VLOOKUP(A7577,'[1]ST-QA-ZZ5'!$C$5:$M$299,11,0),"Inspection at production line")</f>
        <v>Sampling check</v>
      </c>
    </row>
    <row r="7578" spans="1:4" ht="13.8">
      <c r="A7578" s="47" t="s">
        <v>15720</v>
      </c>
      <c r="B7578" s="92" t="s">
        <v>2566</v>
      </c>
      <c r="C7578" s="92" t="s">
        <v>15721</v>
      </c>
      <c r="D7578" s="72" t="str">
        <f>IFERROR(VLOOKUP(A7578,'[1]ST-QA-ZZ5'!$C$5:$M$299,11,0),"Inspection at production line")</f>
        <v>Sampling check</v>
      </c>
    </row>
    <row r="7579" spans="1:4" ht="13.8">
      <c r="A7579" s="47" t="s">
        <v>15722</v>
      </c>
      <c r="B7579" s="92" t="s">
        <v>15723</v>
      </c>
      <c r="C7579" s="92" t="s">
        <v>15724</v>
      </c>
      <c r="D7579" s="72" t="str">
        <f>IFERROR(VLOOKUP(A7579,'[1]ST-QA-ZZ5'!$C$5:$M$299,11,0),"Inspection at production line")</f>
        <v>Sampling check</v>
      </c>
    </row>
    <row r="7580" spans="1:4" ht="13.8">
      <c r="A7580" s="47" t="s">
        <v>15725</v>
      </c>
      <c r="B7580" s="92" t="s">
        <v>15726</v>
      </c>
      <c r="C7580" s="92" t="s">
        <v>15727</v>
      </c>
      <c r="D7580" s="72" t="str">
        <f>IFERROR(VLOOKUP(A7580,'[1]ST-QA-ZZ5'!$C$5:$M$299,11,0),"Inspection at production line")</f>
        <v>Inspection at production line</v>
      </c>
    </row>
    <row r="7581" spans="1:4" ht="13.8">
      <c r="A7581" s="47" t="s">
        <v>15728</v>
      </c>
      <c r="B7581" s="92" t="s">
        <v>15729</v>
      </c>
      <c r="C7581" s="92" t="s">
        <v>33</v>
      </c>
      <c r="D7581" s="72" t="str">
        <f>IFERROR(VLOOKUP(A7581,'[1]ST-QA-ZZ5'!$C$5:$M$299,11,0),"Inspection at production line")</f>
        <v>Inspection at production line</v>
      </c>
    </row>
    <row r="7582" spans="1:4" ht="13.8">
      <c r="A7582" s="47" t="s">
        <v>15730</v>
      </c>
      <c r="B7582" s="92" t="s">
        <v>15726</v>
      </c>
      <c r="C7582" s="92" t="s">
        <v>15731</v>
      </c>
      <c r="D7582" s="72" t="str">
        <f>IFERROR(VLOOKUP(A7582,'[1]ST-QA-ZZ5'!$C$5:$M$299,11,0),"Inspection at production line")</f>
        <v>Inspection at production line</v>
      </c>
    </row>
    <row r="7583" spans="1:4" ht="13.8">
      <c r="A7583" s="47" t="s">
        <v>15732</v>
      </c>
      <c r="B7583" s="92" t="s">
        <v>75</v>
      </c>
      <c r="C7583" s="92" t="s">
        <v>15733</v>
      </c>
      <c r="D7583" s="72" t="str">
        <f>IFERROR(VLOOKUP(A7583,'[1]ST-QA-ZZ5'!$C$5:$M$299,11,0),"Inspection at production line")</f>
        <v>Inspection at production line</v>
      </c>
    </row>
    <row r="7584" spans="1:4" ht="13.8">
      <c r="A7584" s="47" t="s">
        <v>15734</v>
      </c>
      <c r="B7584" s="92" t="s">
        <v>1543</v>
      </c>
      <c r="C7584" s="92" t="s">
        <v>15735</v>
      </c>
      <c r="D7584" s="72" t="str">
        <f>IFERROR(VLOOKUP(A7584,'[1]ST-QA-ZZ5'!$C$5:$M$299,11,0),"Inspection at production line")</f>
        <v>Inspection at production line</v>
      </c>
    </row>
    <row r="7585" spans="1:4" ht="13.8">
      <c r="A7585" s="47" t="s">
        <v>15736</v>
      </c>
      <c r="B7585" s="92" t="s">
        <v>15737</v>
      </c>
      <c r="C7585" s="92" t="s">
        <v>15737</v>
      </c>
      <c r="D7585" s="72" t="str">
        <f>IFERROR(VLOOKUP(A7585,'[1]ST-QA-ZZ5'!$C$5:$M$299,11,0),"Inspection at production line")</f>
        <v>Inspection at production line</v>
      </c>
    </row>
    <row r="7586" spans="1:4" ht="13.8">
      <c r="A7586" s="47" t="s">
        <v>15738</v>
      </c>
      <c r="B7586" s="92" t="s">
        <v>15739</v>
      </c>
      <c r="C7586" s="92" t="s">
        <v>15739</v>
      </c>
      <c r="D7586" s="72" t="str">
        <f>IFERROR(VLOOKUP(A7586,'[1]ST-QA-ZZ5'!$C$5:$M$299,11,0),"Inspection at production line")</f>
        <v>Inspection at production line</v>
      </c>
    </row>
    <row r="7587" spans="1:4" ht="13.8">
      <c r="A7587" s="47" t="s">
        <v>15740</v>
      </c>
      <c r="B7587" s="92" t="s">
        <v>15741</v>
      </c>
      <c r="C7587" s="92" t="s">
        <v>15741</v>
      </c>
      <c r="D7587" s="72" t="str">
        <f>IFERROR(VLOOKUP(A7587,'[1]ST-QA-ZZ5'!$C$5:$M$299,11,0),"Inspection at production line")</f>
        <v>Inspection at production line</v>
      </c>
    </row>
    <row r="7588" spans="1:4" ht="13.8">
      <c r="A7588" s="47" t="s">
        <v>15742</v>
      </c>
      <c r="B7588" s="92" t="s">
        <v>15743</v>
      </c>
      <c r="C7588" s="92" t="s">
        <v>15743</v>
      </c>
      <c r="D7588" s="72" t="str">
        <f>IFERROR(VLOOKUP(A7588,'[1]ST-QA-ZZ5'!$C$5:$M$299,11,0),"Inspection at production line")</f>
        <v>Inspection at production line</v>
      </c>
    </row>
    <row r="7589" spans="1:4" ht="13.8">
      <c r="A7589" s="47" t="s">
        <v>15744</v>
      </c>
      <c r="B7589" s="92" t="s">
        <v>15745</v>
      </c>
      <c r="C7589" s="92" t="s">
        <v>15745</v>
      </c>
      <c r="D7589" s="72" t="str">
        <f>IFERROR(VLOOKUP(A7589,'[1]ST-QA-ZZ5'!$C$5:$M$299,11,0),"Inspection at production line")</f>
        <v>Inspection at production line</v>
      </c>
    </row>
    <row r="7590" spans="1:4" ht="13.8">
      <c r="A7590" s="47" t="s">
        <v>15746</v>
      </c>
      <c r="B7590" s="92" t="s">
        <v>15747</v>
      </c>
      <c r="C7590" s="92" t="s">
        <v>15747</v>
      </c>
      <c r="D7590" s="72" t="str">
        <f>IFERROR(VLOOKUP(A7590,'[1]ST-QA-ZZ5'!$C$5:$M$299,11,0),"Inspection at production line")</f>
        <v>Inspection at production line</v>
      </c>
    </row>
    <row r="7591" spans="1:4" ht="13.8">
      <c r="A7591" s="47" t="s">
        <v>15748</v>
      </c>
      <c r="B7591" s="92" t="s">
        <v>15749</v>
      </c>
      <c r="C7591" s="92" t="s">
        <v>15749</v>
      </c>
      <c r="D7591" s="72" t="str">
        <f>IFERROR(VLOOKUP(A7591,'[1]ST-QA-ZZ5'!$C$5:$M$299,11,0),"Inspection at production line")</f>
        <v>Inspection at production line</v>
      </c>
    </row>
    <row r="7592" spans="1:4" ht="13.8">
      <c r="A7592" s="47" t="s">
        <v>15750</v>
      </c>
      <c r="B7592" s="92" t="s">
        <v>15751</v>
      </c>
      <c r="C7592" s="92" t="s">
        <v>15751</v>
      </c>
      <c r="D7592" s="72" t="str">
        <f>IFERROR(VLOOKUP(A7592,'[1]ST-QA-ZZ5'!$C$5:$M$299,11,0),"Inspection at production line")</f>
        <v>Inspection at production line</v>
      </c>
    </row>
    <row r="7593" spans="1:4" ht="13.8">
      <c r="A7593" s="47" t="s">
        <v>15752</v>
      </c>
      <c r="B7593" s="92" t="s">
        <v>15753</v>
      </c>
      <c r="C7593" s="92" t="s">
        <v>15753</v>
      </c>
      <c r="D7593" s="72" t="str">
        <f>IFERROR(VLOOKUP(A7593,'[1]ST-QA-ZZ5'!$C$5:$M$299,11,0),"Inspection at production line")</f>
        <v>Inspection at production line</v>
      </c>
    </row>
    <row r="7594" spans="1:4" ht="13.8">
      <c r="A7594" s="47" t="s">
        <v>15754</v>
      </c>
      <c r="B7594" s="92" t="s">
        <v>555</v>
      </c>
      <c r="C7594" s="92" t="s">
        <v>15755</v>
      </c>
      <c r="D7594" s="72" t="str">
        <f>IFERROR(VLOOKUP(A7594,'[1]ST-QA-ZZ5'!$C$5:$M$299,11,0),"Inspection at production line")</f>
        <v>Inspection at production line</v>
      </c>
    </row>
    <row r="7595" spans="1:4" ht="13.8">
      <c r="A7595" s="47" t="s">
        <v>15756</v>
      </c>
      <c r="B7595" s="92" t="s">
        <v>1513</v>
      </c>
      <c r="C7595" s="92" t="s">
        <v>15757</v>
      </c>
      <c r="D7595" s="72" t="str">
        <f>IFERROR(VLOOKUP(A7595,'[1]ST-QA-ZZ5'!$C$5:$M$299,11,0),"Inspection at production line")</f>
        <v>Inspection at production line</v>
      </c>
    </row>
    <row r="7596" spans="1:4" ht="13.8">
      <c r="A7596" s="47" t="s">
        <v>15758</v>
      </c>
      <c r="B7596" s="92" t="s">
        <v>4972</v>
      </c>
      <c r="C7596" s="92" t="s">
        <v>15759</v>
      </c>
      <c r="D7596" s="72" t="str">
        <f>IFERROR(VLOOKUP(A7596,'[1]ST-QA-ZZ5'!$C$5:$M$299,11,0),"Inspection at production line")</f>
        <v>Inspection at production line</v>
      </c>
    </row>
    <row r="7597" spans="1:4" ht="13.8">
      <c r="A7597" s="47" t="s">
        <v>15760</v>
      </c>
      <c r="B7597" s="92" t="s">
        <v>8932</v>
      </c>
      <c r="C7597" s="92" t="s">
        <v>15761</v>
      </c>
      <c r="D7597" s="72" t="str">
        <f>IFERROR(VLOOKUP(A7597,'[1]ST-QA-ZZ5'!$C$5:$M$299,11,0),"Inspection at production line")</f>
        <v>Inspection at production line</v>
      </c>
    </row>
    <row r="7598" spans="1:4" ht="13.8">
      <c r="A7598" s="47" t="s">
        <v>15762</v>
      </c>
      <c r="B7598" s="92" t="s">
        <v>8932</v>
      </c>
      <c r="C7598" s="92" t="s">
        <v>15763</v>
      </c>
      <c r="D7598" s="72" t="str">
        <f>IFERROR(VLOOKUP(A7598,'[1]ST-QA-ZZ5'!$C$5:$M$299,11,0),"Inspection at production line")</f>
        <v>Inspection at production line</v>
      </c>
    </row>
    <row r="7599" spans="1:4" ht="13.8">
      <c r="A7599" s="47" t="s">
        <v>15764</v>
      </c>
      <c r="B7599" s="92" t="s">
        <v>15765</v>
      </c>
      <c r="C7599" s="92" t="s">
        <v>15766</v>
      </c>
      <c r="D7599" s="72" t="str">
        <f>IFERROR(VLOOKUP(A7599,'[1]ST-QA-ZZ5'!$C$5:$M$299,11,0),"Inspection at production line")</f>
        <v>Inspection at production line</v>
      </c>
    </row>
    <row r="7600" spans="1:4" ht="13.8">
      <c r="A7600" s="47" t="s">
        <v>15767</v>
      </c>
      <c r="B7600" s="92" t="s">
        <v>1223</v>
      </c>
      <c r="C7600" s="92" t="s">
        <v>15768</v>
      </c>
      <c r="D7600" s="72" t="str">
        <f>IFERROR(VLOOKUP(A7600,'[1]ST-QA-ZZ5'!$C$5:$M$299,11,0),"Inspection at production line")</f>
        <v>Inspection at production line</v>
      </c>
    </row>
    <row r="7601" spans="1:4" ht="13.8">
      <c r="A7601" s="47" t="s">
        <v>15769</v>
      </c>
      <c r="B7601" s="92" t="s">
        <v>3454</v>
      </c>
      <c r="C7601" s="92" t="s">
        <v>15770</v>
      </c>
      <c r="D7601" s="72" t="str">
        <f>IFERROR(VLOOKUP(A7601,'[1]ST-QA-ZZ5'!$C$5:$M$299,11,0),"Inspection at production line")</f>
        <v>Sampling check</v>
      </c>
    </row>
    <row r="7602" spans="1:4" ht="13.8">
      <c r="A7602" s="47" t="s">
        <v>15771</v>
      </c>
      <c r="B7602" s="92" t="s">
        <v>857</v>
      </c>
      <c r="C7602" s="92" t="s">
        <v>15770</v>
      </c>
      <c r="D7602" s="72" t="str">
        <f>IFERROR(VLOOKUP(A7602,'[1]ST-QA-ZZ5'!$C$5:$M$299,11,0),"Inspection at production line")</f>
        <v>Inspection at production line</v>
      </c>
    </row>
    <row r="7603" spans="1:4" ht="13.8">
      <c r="A7603" s="47" t="s">
        <v>15772</v>
      </c>
      <c r="B7603" s="92" t="s">
        <v>3543</v>
      </c>
      <c r="C7603" s="92" t="s">
        <v>8886</v>
      </c>
      <c r="D7603" s="72" t="str">
        <f>IFERROR(VLOOKUP(A7603,'[1]ST-QA-ZZ5'!$C$5:$M$299,11,0),"Inspection at production line")</f>
        <v>Sampling check</v>
      </c>
    </row>
    <row r="7604" spans="1:4" ht="13.8">
      <c r="A7604" s="47" t="s">
        <v>15773</v>
      </c>
      <c r="B7604" s="92" t="s">
        <v>857</v>
      </c>
      <c r="C7604" s="92" t="s">
        <v>8886</v>
      </c>
      <c r="D7604" s="72" t="str">
        <f>IFERROR(VLOOKUP(A7604,'[1]ST-QA-ZZ5'!$C$5:$M$299,11,0),"Inspection at production line")</f>
        <v>Inspection at production line</v>
      </c>
    </row>
    <row r="7605" spans="1:4" ht="13.8">
      <c r="A7605" s="47" t="s">
        <v>15774</v>
      </c>
      <c r="B7605" s="92" t="s">
        <v>3309</v>
      </c>
      <c r="C7605" s="92" t="s">
        <v>15775</v>
      </c>
      <c r="D7605" s="72" t="str">
        <f>IFERROR(VLOOKUP(A7605,'[1]ST-QA-ZZ5'!$C$5:$M$299,11,0),"Inspection at production line")</f>
        <v>Sampling check</v>
      </c>
    </row>
    <row r="7606" spans="1:4" ht="13.8">
      <c r="A7606" s="47" t="s">
        <v>15776</v>
      </c>
      <c r="B7606" s="92" t="s">
        <v>857</v>
      </c>
      <c r="C7606" s="92" t="s">
        <v>15777</v>
      </c>
      <c r="D7606" s="72" t="str">
        <f>IFERROR(VLOOKUP(A7606,'[1]ST-QA-ZZ5'!$C$5:$M$299,11,0),"Inspection at production line")</f>
        <v>Sampling check</v>
      </c>
    </row>
    <row r="7607" spans="1:4" ht="13.8">
      <c r="A7607" s="47" t="s">
        <v>15778</v>
      </c>
      <c r="B7607" s="92" t="s">
        <v>3602</v>
      </c>
      <c r="C7607" s="92" t="s">
        <v>4124</v>
      </c>
      <c r="D7607" s="72" t="str">
        <f>IFERROR(VLOOKUP(A7607,'[1]ST-QA-ZZ5'!$C$5:$M$299,11,0),"Inspection at production line")</f>
        <v>Sampling check</v>
      </c>
    </row>
    <row r="7608" spans="1:4" ht="13.8">
      <c r="A7608" s="47" t="s">
        <v>15779</v>
      </c>
      <c r="B7608" s="92" t="s">
        <v>3602</v>
      </c>
      <c r="C7608" s="92" t="s">
        <v>4124</v>
      </c>
      <c r="D7608" s="72" t="str">
        <f>IFERROR(VLOOKUP(A7608,'[1]ST-QA-ZZ5'!$C$5:$M$299,11,0),"Inspection at production line")</f>
        <v>Sampling check</v>
      </c>
    </row>
    <row r="7609" spans="1:4" ht="13.8">
      <c r="A7609" s="47" t="s">
        <v>15780</v>
      </c>
      <c r="B7609" s="92" t="s">
        <v>3602</v>
      </c>
      <c r="C7609" s="92" t="s">
        <v>4124</v>
      </c>
      <c r="D7609" s="72" t="str">
        <f>IFERROR(VLOOKUP(A7609,'[1]ST-QA-ZZ5'!$C$5:$M$299,11,0),"Inspection at production line")</f>
        <v>Sampling check</v>
      </c>
    </row>
    <row r="7610" spans="1:4" ht="13.8">
      <c r="A7610" s="47" t="s">
        <v>15781</v>
      </c>
      <c r="B7610" s="92" t="s">
        <v>3602</v>
      </c>
      <c r="C7610" s="92" t="s">
        <v>4124</v>
      </c>
      <c r="D7610" s="72" t="str">
        <f>IFERROR(VLOOKUP(A7610,'[1]ST-QA-ZZ5'!$C$5:$M$299,11,0),"Inspection at production line")</f>
        <v>Sampling check</v>
      </c>
    </row>
    <row r="7611" spans="1:4" ht="13.8">
      <c r="A7611" s="47" t="s">
        <v>15782</v>
      </c>
      <c r="B7611" s="92" t="s">
        <v>3602</v>
      </c>
      <c r="C7611" s="92" t="s">
        <v>4124</v>
      </c>
      <c r="D7611" s="72" t="str">
        <f>IFERROR(VLOOKUP(A7611,'[1]ST-QA-ZZ5'!$C$5:$M$299,11,0),"Inspection at production line")</f>
        <v>Sampling check</v>
      </c>
    </row>
    <row r="7612" spans="1:4" ht="13.8">
      <c r="A7612" s="47" t="s">
        <v>15783</v>
      </c>
      <c r="B7612" s="92" t="s">
        <v>3602</v>
      </c>
      <c r="C7612" s="92" t="s">
        <v>4124</v>
      </c>
      <c r="D7612" s="72" t="str">
        <f>IFERROR(VLOOKUP(A7612,'[1]ST-QA-ZZ5'!$C$5:$M$299,11,0),"Inspection at production line")</f>
        <v>Sampling check</v>
      </c>
    </row>
    <row r="7613" spans="1:4" ht="13.8">
      <c r="A7613" s="47" t="s">
        <v>39</v>
      </c>
      <c r="B7613" s="92" t="s">
        <v>3602</v>
      </c>
      <c r="C7613" s="92" t="s">
        <v>4124</v>
      </c>
      <c r="D7613" s="72" t="str">
        <f>IFERROR(VLOOKUP(A7613,'[1]ST-QA-ZZ5'!$C$5:$M$299,11,0),"Inspection at production line")</f>
        <v>Sampling check</v>
      </c>
    </row>
    <row r="7614" spans="1:4" ht="13.8">
      <c r="A7614" s="47" t="s">
        <v>15784</v>
      </c>
      <c r="B7614" s="92" t="s">
        <v>3602</v>
      </c>
      <c r="C7614" s="92" t="s">
        <v>4124</v>
      </c>
      <c r="D7614" s="72" t="str">
        <f>IFERROR(VLOOKUP(A7614,'[1]ST-QA-ZZ5'!$C$5:$M$299,11,0),"Inspection at production line")</f>
        <v>Sampling check</v>
      </c>
    </row>
    <row r="7615" spans="1:4" ht="13.8">
      <c r="A7615" s="47" t="s">
        <v>4974</v>
      </c>
      <c r="B7615" s="92" t="s">
        <v>857</v>
      </c>
      <c r="C7615" s="92" t="s">
        <v>15785</v>
      </c>
      <c r="D7615" s="72" t="str">
        <f>IFERROR(VLOOKUP(A7615,'[1]ST-QA-ZZ5'!$C$5:$M$299,11,0),"Inspection at production line")</f>
        <v>Inspection at production line</v>
      </c>
    </row>
    <row r="7616" spans="1:4" ht="13.8">
      <c r="A7616" s="47" t="s">
        <v>15786</v>
      </c>
      <c r="B7616" s="92" t="s">
        <v>1943</v>
      </c>
      <c r="C7616" s="92" t="s">
        <v>15785</v>
      </c>
      <c r="D7616" s="72" t="str">
        <f>IFERROR(VLOOKUP(A7616,'[1]ST-QA-ZZ5'!$C$5:$M$299,11,0),"Inspection at production line")</f>
        <v>Inspection at production line</v>
      </c>
    </row>
    <row r="7617" spans="1:4" ht="13.8">
      <c r="A7617" s="47" t="s">
        <v>15787</v>
      </c>
      <c r="B7617" s="92" t="s">
        <v>857</v>
      </c>
      <c r="C7617" s="92" t="s">
        <v>15788</v>
      </c>
      <c r="D7617" s="72" t="str">
        <f>IFERROR(VLOOKUP(A7617,'[1]ST-QA-ZZ5'!$C$5:$M$299,11,0),"Inspection at production line")</f>
        <v>Inspection at production line</v>
      </c>
    </row>
    <row r="7618" spans="1:4" ht="13.8">
      <c r="A7618" s="47" t="s">
        <v>15789</v>
      </c>
      <c r="B7618" s="92" t="s">
        <v>15790</v>
      </c>
      <c r="C7618" s="92" t="s">
        <v>15790</v>
      </c>
      <c r="D7618" s="72" t="str">
        <f>IFERROR(VLOOKUP(A7618,'[1]ST-QA-ZZ5'!$C$5:$M$299,11,0),"Inspection at production line")</f>
        <v>Inspection at production line</v>
      </c>
    </row>
    <row r="7619" spans="1:4" ht="13.8">
      <c r="A7619" s="47" t="s">
        <v>15791</v>
      </c>
      <c r="B7619" s="92" t="s">
        <v>857</v>
      </c>
      <c r="C7619" s="92" t="s">
        <v>15792</v>
      </c>
      <c r="D7619" s="72" t="str">
        <f>IFERROR(VLOOKUP(A7619,'[1]ST-QA-ZZ5'!$C$5:$M$299,11,0),"Inspection at production line")</f>
        <v>Inspection at production line</v>
      </c>
    </row>
    <row r="7620" spans="1:4" ht="13.8">
      <c r="A7620" s="47" t="s">
        <v>15793</v>
      </c>
      <c r="B7620" s="92" t="s">
        <v>857</v>
      </c>
      <c r="C7620" s="92" t="s">
        <v>15794</v>
      </c>
      <c r="D7620" s="72" t="str">
        <f>IFERROR(VLOOKUP(A7620,'[1]ST-QA-ZZ5'!$C$5:$M$299,11,0),"Inspection at production line")</f>
        <v>Inspection at production line</v>
      </c>
    </row>
    <row r="7621" spans="1:4" ht="13.8">
      <c r="A7621" s="47" t="s">
        <v>15795</v>
      </c>
      <c r="B7621" s="92" t="s">
        <v>857</v>
      </c>
      <c r="C7621" s="92" t="s">
        <v>15796</v>
      </c>
      <c r="D7621" s="72" t="str">
        <f>IFERROR(VLOOKUP(A7621,'[1]ST-QA-ZZ5'!$C$5:$M$299,11,0),"Inspection at production line")</f>
        <v>Inspection at production line</v>
      </c>
    </row>
    <row r="7622" spans="1:4" ht="13.8">
      <c r="A7622" s="47" t="s">
        <v>15797</v>
      </c>
      <c r="B7622" s="92" t="s">
        <v>857</v>
      </c>
      <c r="C7622" s="92" t="s">
        <v>15798</v>
      </c>
      <c r="D7622" s="72" t="str">
        <f>IFERROR(VLOOKUP(A7622,'[1]ST-QA-ZZ5'!$C$5:$M$299,11,0),"Inspection at production line")</f>
        <v>Inspection at production line</v>
      </c>
    </row>
    <row r="7623" spans="1:4" ht="13.8">
      <c r="A7623" s="47" t="s">
        <v>3011</v>
      </c>
      <c r="B7623" s="92" t="s">
        <v>1472</v>
      </c>
      <c r="C7623" s="92" t="s">
        <v>3012</v>
      </c>
      <c r="D7623" s="72" t="str">
        <f>IFERROR(VLOOKUP(A7623,'[1]ST-QA-ZZ5'!$C$5:$M$299,11,0),"Inspection at production line")</f>
        <v>Inspection at production line</v>
      </c>
    </row>
    <row r="7624" spans="1:4" ht="13.8">
      <c r="A7624" s="47" t="s">
        <v>3014</v>
      </c>
      <c r="B7624" s="92" t="s">
        <v>57</v>
      </c>
      <c r="C7624" s="92" t="s">
        <v>3015</v>
      </c>
      <c r="D7624" s="72" t="str">
        <f>IFERROR(VLOOKUP(A7624,'[1]ST-QA-ZZ5'!$C$5:$M$299,11,0),"Inspection at production line")</f>
        <v>Inspection at production line</v>
      </c>
    </row>
    <row r="7625" spans="1:4" ht="13.8">
      <c r="A7625" s="47" t="s">
        <v>3018</v>
      </c>
      <c r="B7625" s="92" t="s">
        <v>1592</v>
      </c>
      <c r="C7625" s="92" t="s">
        <v>3019</v>
      </c>
      <c r="D7625" s="72" t="str">
        <f>IFERROR(VLOOKUP(A7625,'[1]ST-QA-ZZ5'!$C$5:$M$299,11,0),"Inspection at production line")</f>
        <v>Inspection at production line</v>
      </c>
    </row>
    <row r="7626" spans="1:4" ht="13.8">
      <c r="A7626" s="47" t="s">
        <v>15799</v>
      </c>
      <c r="B7626" s="92" t="s">
        <v>2785</v>
      </c>
      <c r="C7626" s="92" t="s">
        <v>15800</v>
      </c>
      <c r="D7626" s="72" t="str">
        <f>IFERROR(VLOOKUP(A7626,'[1]ST-QA-ZZ5'!$C$5:$M$299,11,0),"Inspection at production line")</f>
        <v>Inspection at production line</v>
      </c>
    </row>
    <row r="7627" spans="1:4" ht="13.8">
      <c r="A7627" s="47" t="s">
        <v>15801</v>
      </c>
      <c r="B7627" s="92" t="s">
        <v>15802</v>
      </c>
      <c r="C7627" s="92" t="s">
        <v>15803</v>
      </c>
      <c r="D7627" s="72" t="str">
        <f>IFERROR(VLOOKUP(A7627,'[1]ST-QA-ZZ5'!$C$5:$M$299,11,0),"Inspection at production line")</f>
        <v>Appearance check 100%</v>
      </c>
    </row>
    <row r="7628" spans="1:4" ht="13.8">
      <c r="A7628" s="47" t="s">
        <v>15804</v>
      </c>
      <c r="B7628" s="92" t="s">
        <v>83</v>
      </c>
      <c r="C7628" s="92" t="s">
        <v>15805</v>
      </c>
      <c r="D7628" s="72" t="str">
        <f>IFERROR(VLOOKUP(A7628,'[1]ST-QA-ZZ5'!$C$5:$M$299,11,0),"Inspection at production line")</f>
        <v>Inspection at production line</v>
      </c>
    </row>
    <row r="7629" spans="1:4" ht="13.8">
      <c r="A7629" s="47" t="s">
        <v>15806</v>
      </c>
      <c r="B7629" s="92" t="s">
        <v>15807</v>
      </c>
      <c r="C7629" s="92" t="s">
        <v>15807</v>
      </c>
      <c r="D7629" s="72" t="str">
        <f>IFERROR(VLOOKUP(A7629,'[1]ST-QA-ZZ5'!$C$5:$M$299,11,0),"Inspection at production line")</f>
        <v>Appearance check 100%</v>
      </c>
    </row>
    <row r="7630" spans="1:4" ht="13.8">
      <c r="A7630" s="47" t="s">
        <v>3022</v>
      </c>
      <c r="B7630" s="92" t="s">
        <v>75</v>
      </c>
      <c r="C7630" s="92" t="s">
        <v>3023</v>
      </c>
      <c r="D7630" s="72" t="str">
        <f>IFERROR(VLOOKUP(A7630,'[1]ST-QA-ZZ5'!$C$5:$M$299,11,0),"Inspection at production line")</f>
        <v>Inspection at production line</v>
      </c>
    </row>
    <row r="7631" spans="1:4" ht="13.8">
      <c r="A7631" s="47" t="s">
        <v>3025</v>
      </c>
      <c r="B7631" s="92" t="s">
        <v>1070</v>
      </c>
      <c r="C7631" s="92" t="s">
        <v>3026</v>
      </c>
      <c r="D7631" s="72" t="str">
        <f>IFERROR(VLOOKUP(A7631,'[1]ST-QA-ZZ5'!$C$5:$M$299,11,0),"Inspection at production line")</f>
        <v>Inspection at production line</v>
      </c>
    </row>
    <row r="7632" spans="1:4" ht="13.8">
      <c r="A7632" s="47" t="s">
        <v>3028</v>
      </c>
      <c r="B7632" s="92" t="s">
        <v>3029</v>
      </c>
      <c r="C7632" s="92" t="s">
        <v>3030</v>
      </c>
      <c r="D7632" s="72" t="str">
        <f>IFERROR(VLOOKUP(A7632,'[1]ST-QA-ZZ5'!$C$5:$M$299,11,0),"Inspection at production line")</f>
        <v>Inspection at production line</v>
      </c>
    </row>
    <row r="7633" spans="1:4" ht="13.8">
      <c r="A7633" s="47" t="s">
        <v>3032</v>
      </c>
      <c r="B7633" s="92" t="s">
        <v>845</v>
      </c>
      <c r="C7633" s="92" t="s">
        <v>3030</v>
      </c>
      <c r="D7633" s="72" t="str">
        <f>IFERROR(VLOOKUP(A7633,'[1]ST-QA-ZZ5'!$C$5:$M$299,11,0),"Inspection at production line")</f>
        <v>Inspection at production line</v>
      </c>
    </row>
    <row r="7634" spans="1:4" ht="13.8">
      <c r="A7634" s="47" t="s">
        <v>3034</v>
      </c>
      <c r="B7634" s="92" t="s">
        <v>949</v>
      </c>
      <c r="C7634" s="92" t="s">
        <v>3030</v>
      </c>
      <c r="D7634" s="72" t="str">
        <f>IFERROR(VLOOKUP(A7634,'[1]ST-QA-ZZ5'!$C$5:$M$299,11,0),"Inspection at production line")</f>
        <v>Inspection at production line</v>
      </c>
    </row>
    <row r="7635" spans="1:4" ht="13.8">
      <c r="A7635" s="47" t="s">
        <v>3036</v>
      </c>
      <c r="B7635" s="92" t="s">
        <v>905</v>
      </c>
      <c r="C7635" s="92" t="s">
        <v>3037</v>
      </c>
      <c r="D7635" s="72" t="str">
        <f>IFERROR(VLOOKUP(A7635,'[1]ST-QA-ZZ5'!$C$5:$M$299,11,0),"Inspection at production line")</f>
        <v>Inspection at production line</v>
      </c>
    </row>
    <row r="7636" spans="1:4" ht="13.8">
      <c r="A7636" s="47" t="s">
        <v>15808</v>
      </c>
      <c r="B7636" s="92" t="s">
        <v>1158</v>
      </c>
      <c r="C7636" s="92" t="s">
        <v>15809</v>
      </c>
      <c r="D7636" s="72" t="str">
        <f>IFERROR(VLOOKUP(A7636,'[1]ST-QA-ZZ5'!$C$5:$M$299,11,0),"Inspection at production line")</f>
        <v>Inspection at production line</v>
      </c>
    </row>
    <row r="7637" spans="1:4" ht="13.8">
      <c r="A7637" s="47" t="s">
        <v>15810</v>
      </c>
      <c r="B7637" s="92" t="s">
        <v>1472</v>
      </c>
      <c r="C7637" s="92" t="s">
        <v>3012</v>
      </c>
      <c r="D7637" s="72" t="str">
        <f>IFERROR(VLOOKUP(A7637,'[1]ST-QA-ZZ5'!$C$5:$M$299,11,0),"Inspection at production line")</f>
        <v>Inspection at production line</v>
      </c>
    </row>
    <row r="7638" spans="1:4" ht="13.8">
      <c r="A7638" s="47" t="s">
        <v>15811</v>
      </c>
      <c r="B7638" s="92" t="s">
        <v>12057</v>
      </c>
      <c r="C7638" s="92" t="s">
        <v>3015</v>
      </c>
      <c r="D7638" s="72" t="str">
        <f>IFERROR(VLOOKUP(A7638,'[1]ST-QA-ZZ5'!$C$5:$M$299,11,0),"Inspection at production line")</f>
        <v>Inspection at production line</v>
      </c>
    </row>
    <row r="7639" spans="1:4" ht="13.8">
      <c r="A7639" s="47" t="s">
        <v>15812</v>
      </c>
      <c r="B7639" s="92" t="s">
        <v>794</v>
      </c>
      <c r="C7639" s="92" t="s">
        <v>15813</v>
      </c>
      <c r="D7639" s="72" t="str">
        <f>IFERROR(VLOOKUP(A7639,'[1]ST-QA-ZZ5'!$C$5:$M$299,11,0),"Inspection at production line")</f>
        <v>Inspection at production line</v>
      </c>
    </row>
    <row r="7640" spans="1:4" ht="13.8">
      <c r="A7640" s="47" t="s">
        <v>15814</v>
      </c>
      <c r="B7640" s="92" t="s">
        <v>877</v>
      </c>
      <c r="C7640" s="92" t="s">
        <v>15815</v>
      </c>
      <c r="D7640" s="72" t="str">
        <f>IFERROR(VLOOKUP(A7640,'[1]ST-QA-ZZ5'!$C$5:$M$299,11,0),"Inspection at production line")</f>
        <v>Inspection at production line</v>
      </c>
    </row>
    <row r="7641" spans="1:4" ht="13.8">
      <c r="A7641" s="47" t="s">
        <v>15816</v>
      </c>
      <c r="B7641" s="92" t="s">
        <v>877</v>
      </c>
      <c r="C7641" s="92" t="s">
        <v>15817</v>
      </c>
      <c r="D7641" s="72" t="str">
        <f>IFERROR(VLOOKUP(A7641,'[1]ST-QA-ZZ5'!$C$5:$M$299,11,0),"Inspection at production line")</f>
        <v>Inspection at production line</v>
      </c>
    </row>
    <row r="7642" spans="1:4" ht="13.8">
      <c r="A7642" s="47" t="s">
        <v>15818</v>
      </c>
      <c r="B7642" s="92" t="s">
        <v>794</v>
      </c>
      <c r="C7642" s="92" t="s">
        <v>15819</v>
      </c>
      <c r="D7642" s="72" t="str">
        <f>IFERROR(VLOOKUP(A7642,'[1]ST-QA-ZZ5'!$C$5:$M$299,11,0),"Inspection at production line")</f>
        <v>Inspection at production line</v>
      </c>
    </row>
    <row r="7643" spans="1:4" ht="13.8">
      <c r="A7643" s="47" t="s">
        <v>15820</v>
      </c>
      <c r="B7643" s="92" t="s">
        <v>794</v>
      </c>
      <c r="C7643" s="92" t="s">
        <v>15821</v>
      </c>
      <c r="D7643" s="72" t="str">
        <f>IFERROR(VLOOKUP(A7643,'[1]ST-QA-ZZ5'!$C$5:$M$299,11,0),"Inspection at production line")</f>
        <v>Inspection at production line</v>
      </c>
    </row>
    <row r="7644" spans="1:4" ht="13.8">
      <c r="A7644" s="47" t="s">
        <v>3040</v>
      </c>
      <c r="B7644" s="92" t="s">
        <v>555</v>
      </c>
      <c r="C7644" s="92" t="s">
        <v>3041</v>
      </c>
      <c r="D7644" s="72" t="str">
        <f>IFERROR(VLOOKUP(A7644,'[1]ST-QA-ZZ5'!$C$5:$M$299,11,0),"Inspection at production line")</f>
        <v>Inspection at production line</v>
      </c>
    </row>
    <row r="7645" spans="1:4" ht="13.8">
      <c r="A7645" s="47" t="s">
        <v>3044</v>
      </c>
      <c r="B7645" s="92" t="s">
        <v>946</v>
      </c>
      <c r="C7645" s="92" t="s">
        <v>3045</v>
      </c>
      <c r="D7645" s="72" t="str">
        <f>IFERROR(VLOOKUP(A7645,'[1]ST-QA-ZZ5'!$C$5:$M$299,11,0),"Inspection at production line")</f>
        <v>Inspection at production line</v>
      </c>
    </row>
    <row r="7646" spans="1:4" ht="13.8">
      <c r="A7646" s="47" t="s">
        <v>3048</v>
      </c>
      <c r="B7646" s="92" t="s">
        <v>2546</v>
      </c>
      <c r="C7646" s="92" t="s">
        <v>3049</v>
      </c>
      <c r="D7646" s="72" t="str">
        <f>IFERROR(VLOOKUP(A7646,'[1]ST-QA-ZZ5'!$C$5:$M$299,11,0),"Inspection at production line")</f>
        <v>Inspection at production line</v>
      </c>
    </row>
    <row r="7647" spans="1:4" ht="13.8">
      <c r="A7647" s="47" t="s">
        <v>3052</v>
      </c>
      <c r="B7647" s="92" t="s">
        <v>2507</v>
      </c>
      <c r="C7647" s="92" t="s">
        <v>3053</v>
      </c>
      <c r="D7647" s="72" t="str">
        <f>IFERROR(VLOOKUP(A7647,'[1]ST-QA-ZZ5'!$C$5:$M$299,11,0),"Inspection at production line")</f>
        <v>Inspection at production line</v>
      </c>
    </row>
    <row r="7648" spans="1:4" ht="13.8">
      <c r="A7648" s="47" t="s">
        <v>3056</v>
      </c>
      <c r="B7648" s="92" t="s">
        <v>957</v>
      </c>
      <c r="C7648" s="92" t="s">
        <v>3057</v>
      </c>
      <c r="D7648" s="72" t="str">
        <f>IFERROR(VLOOKUP(A7648,'[1]ST-QA-ZZ5'!$C$5:$M$299,11,0),"Inspection at production line")</f>
        <v>Inspection at production line</v>
      </c>
    </row>
    <row r="7649" spans="1:4" ht="13.8">
      <c r="A7649" s="47" t="s">
        <v>3060</v>
      </c>
      <c r="B7649" s="92" t="s">
        <v>797</v>
      </c>
      <c r="C7649" s="92" t="s">
        <v>3061</v>
      </c>
      <c r="D7649" s="72" t="str">
        <f>IFERROR(VLOOKUP(A7649,'[1]ST-QA-ZZ5'!$C$5:$M$299,11,0),"Inspection at production line")</f>
        <v>Inspection at production line</v>
      </c>
    </row>
    <row r="7650" spans="1:4" ht="13.8">
      <c r="A7650" s="47" t="s">
        <v>3063</v>
      </c>
      <c r="B7650" s="92" t="s">
        <v>953</v>
      </c>
      <c r="C7650" s="92" t="s">
        <v>3064</v>
      </c>
      <c r="D7650" s="72" t="str">
        <f>IFERROR(VLOOKUP(A7650,'[1]ST-QA-ZZ5'!$C$5:$M$299,11,0),"Inspection at production line")</f>
        <v>Inspection at production line</v>
      </c>
    </row>
    <row r="7651" spans="1:4" ht="13.8">
      <c r="A7651" s="47" t="s">
        <v>3067</v>
      </c>
      <c r="B7651" s="92" t="s">
        <v>814</v>
      </c>
      <c r="C7651" s="92" t="s">
        <v>3068</v>
      </c>
      <c r="D7651" s="72" t="str">
        <f>IFERROR(VLOOKUP(A7651,'[1]ST-QA-ZZ5'!$C$5:$M$299,11,0),"Inspection at production line")</f>
        <v>Inspection at production line</v>
      </c>
    </row>
    <row r="7652" spans="1:4" ht="13.8">
      <c r="A7652" s="47" t="s">
        <v>3071</v>
      </c>
      <c r="B7652" s="92" t="s">
        <v>905</v>
      </c>
      <c r="C7652" s="92" t="s">
        <v>3072</v>
      </c>
      <c r="D7652" s="72" t="str">
        <f>IFERROR(VLOOKUP(A7652,'[1]ST-QA-ZZ5'!$C$5:$M$299,11,0),"Inspection at production line")</f>
        <v>Inspection at production line</v>
      </c>
    </row>
    <row r="7653" spans="1:4" ht="13.8">
      <c r="A7653" s="47" t="s">
        <v>15822</v>
      </c>
      <c r="B7653" s="92" t="s">
        <v>1257</v>
      </c>
      <c r="C7653" s="92" t="s">
        <v>15823</v>
      </c>
      <c r="D7653" s="72" t="str">
        <f>IFERROR(VLOOKUP(A7653,'[1]ST-QA-ZZ5'!$C$5:$M$299,11,0),"Inspection at production line")</f>
        <v>Inspection at production line</v>
      </c>
    </row>
    <row r="7654" spans="1:4" ht="13.8">
      <c r="A7654" s="47" t="s">
        <v>15824</v>
      </c>
      <c r="B7654" s="92" t="s">
        <v>704</v>
      </c>
      <c r="C7654" s="92" t="s">
        <v>15825</v>
      </c>
      <c r="D7654" s="72" t="str">
        <f>IFERROR(VLOOKUP(A7654,'[1]ST-QA-ZZ5'!$C$5:$M$299,11,0),"Inspection at production line")</f>
        <v>Inspection at production line</v>
      </c>
    </row>
    <row r="7655" spans="1:4" ht="13.8">
      <c r="A7655" s="47" t="s">
        <v>15826</v>
      </c>
      <c r="B7655" s="92" t="s">
        <v>789</v>
      </c>
      <c r="C7655" s="92" t="s">
        <v>15827</v>
      </c>
      <c r="D7655" s="72" t="str">
        <f>IFERROR(VLOOKUP(A7655,'[1]ST-QA-ZZ5'!$C$5:$M$299,11,0),"Inspection at production line")</f>
        <v>Inspection at production line</v>
      </c>
    </row>
    <row r="7656" spans="1:4" ht="13.8">
      <c r="A7656" s="47" t="s">
        <v>15828</v>
      </c>
      <c r="B7656" s="92" t="s">
        <v>1122</v>
      </c>
      <c r="C7656" s="92" t="s">
        <v>15829</v>
      </c>
      <c r="D7656" s="72" t="str">
        <f>IFERROR(VLOOKUP(A7656,'[1]ST-QA-ZZ5'!$C$5:$M$299,11,0),"Inspection at production line")</f>
        <v>Inspection at production line</v>
      </c>
    </row>
    <row r="7657" spans="1:4" ht="13.8">
      <c r="A7657" s="47" t="s">
        <v>15830</v>
      </c>
      <c r="B7657" s="92" t="s">
        <v>15831</v>
      </c>
      <c r="C7657" s="92" t="s">
        <v>15832</v>
      </c>
      <c r="D7657" s="72" t="str">
        <f>IFERROR(VLOOKUP(A7657,'[1]ST-QA-ZZ5'!$C$5:$M$299,11,0),"Inspection at production line")</f>
        <v>Inspection at production line</v>
      </c>
    </row>
    <row r="7658" spans="1:4" ht="13.8">
      <c r="A7658" s="47" t="s">
        <v>15833</v>
      </c>
      <c r="B7658" s="92" t="s">
        <v>704</v>
      </c>
      <c r="C7658" s="92" t="s">
        <v>15834</v>
      </c>
      <c r="D7658" s="72" t="str">
        <f>IFERROR(VLOOKUP(A7658,'[1]ST-QA-ZZ5'!$C$5:$M$299,11,0),"Inspection at production line")</f>
        <v>Inspection at production line</v>
      </c>
    </row>
    <row r="7659" spans="1:4" ht="13.8">
      <c r="A7659" s="47" t="s">
        <v>15835</v>
      </c>
      <c r="B7659" s="92" t="s">
        <v>704</v>
      </c>
      <c r="C7659" s="92" t="s">
        <v>15836</v>
      </c>
      <c r="D7659" s="72" t="str">
        <f>IFERROR(VLOOKUP(A7659,'[1]ST-QA-ZZ5'!$C$5:$M$299,11,0),"Inspection at production line")</f>
        <v>Inspection at production line</v>
      </c>
    </row>
    <row r="7660" spans="1:4" ht="13.8">
      <c r="A7660" s="47" t="s">
        <v>15837</v>
      </c>
      <c r="B7660" s="92" t="s">
        <v>789</v>
      </c>
      <c r="C7660" s="92" t="s">
        <v>15838</v>
      </c>
      <c r="D7660" s="72" t="str">
        <f>IFERROR(VLOOKUP(A7660,'[1]ST-QA-ZZ5'!$C$5:$M$299,11,0),"Inspection at production line")</f>
        <v>Inspection at production line</v>
      </c>
    </row>
    <row r="7661" spans="1:4" ht="13.8">
      <c r="A7661" s="47" t="s">
        <v>2698</v>
      </c>
      <c r="B7661" s="92" t="s">
        <v>704</v>
      </c>
      <c r="C7661" s="92" t="s">
        <v>2699</v>
      </c>
      <c r="D7661" s="72" t="str">
        <f>IFERROR(VLOOKUP(A7661,'[1]ST-QA-ZZ5'!$C$5:$M$299,11,0),"Inspection at production line")</f>
        <v>Inspection at production line</v>
      </c>
    </row>
    <row r="7662" spans="1:4" ht="13.8">
      <c r="A7662" s="47" t="s">
        <v>3076</v>
      </c>
      <c r="B7662" s="92" t="s">
        <v>1070</v>
      </c>
      <c r="C7662" s="92" t="s">
        <v>3077</v>
      </c>
      <c r="D7662" s="72" t="str">
        <f>IFERROR(VLOOKUP(A7662,'[1]ST-QA-ZZ5'!$C$5:$M$299,11,0),"Inspection at production line")</f>
        <v>Inspection at production line</v>
      </c>
    </row>
    <row r="7663" spans="1:4" ht="13.8">
      <c r="A7663" s="47" t="s">
        <v>2702</v>
      </c>
      <c r="B7663" s="92" t="s">
        <v>704</v>
      </c>
      <c r="C7663" s="92" t="s">
        <v>2703</v>
      </c>
      <c r="D7663" s="72" t="str">
        <f>IFERROR(VLOOKUP(A7663,'[1]ST-QA-ZZ5'!$C$5:$M$299,11,0),"Inspection at production line")</f>
        <v>Inspection at production line</v>
      </c>
    </row>
    <row r="7664" spans="1:4" ht="13.8">
      <c r="A7664" s="47" t="s">
        <v>3081</v>
      </c>
      <c r="B7664" s="92" t="s">
        <v>704</v>
      </c>
      <c r="C7664" s="92" t="s">
        <v>3082</v>
      </c>
      <c r="D7664" s="72" t="str">
        <f>IFERROR(VLOOKUP(A7664,'[1]ST-QA-ZZ5'!$C$5:$M$299,11,0),"Inspection at production line")</f>
        <v>Inspection at production line</v>
      </c>
    </row>
    <row r="7665" spans="1:4" ht="13.8">
      <c r="A7665" s="47" t="s">
        <v>15839</v>
      </c>
      <c r="B7665" s="92" t="s">
        <v>15840</v>
      </c>
      <c r="C7665" s="92" t="s">
        <v>15841</v>
      </c>
      <c r="D7665" s="72" t="str">
        <f>IFERROR(VLOOKUP(A7665,'[1]ST-QA-ZZ5'!$C$5:$M$299,11,0),"Inspection at production line")</f>
        <v>Inspection at production line</v>
      </c>
    </row>
    <row r="7666" spans="1:4" ht="13.8">
      <c r="A7666" s="47" t="s">
        <v>15842</v>
      </c>
      <c r="B7666" s="92" t="s">
        <v>900</v>
      </c>
      <c r="C7666" s="92" t="s">
        <v>15843</v>
      </c>
      <c r="D7666" s="72" t="str">
        <f>IFERROR(VLOOKUP(A7666,'[1]ST-QA-ZZ5'!$C$5:$M$299,11,0),"Inspection at production line")</f>
        <v>Inspection at production line</v>
      </c>
    </row>
    <row r="7667" spans="1:4" ht="13.8">
      <c r="A7667" s="47" t="s">
        <v>15844</v>
      </c>
      <c r="B7667" s="92" t="s">
        <v>15845</v>
      </c>
      <c r="C7667" s="92" t="s">
        <v>15846</v>
      </c>
      <c r="D7667" s="72" t="str">
        <f>IFERROR(VLOOKUP(A7667,'[1]ST-QA-ZZ5'!$C$5:$M$299,11,0),"Inspection at production line")</f>
        <v>Inspection at production line</v>
      </c>
    </row>
    <row r="7668" spans="1:4" ht="13.8">
      <c r="A7668" s="47" t="s">
        <v>15847</v>
      </c>
      <c r="B7668" s="92" t="s">
        <v>15848</v>
      </c>
      <c r="C7668" s="92" t="s">
        <v>15849</v>
      </c>
      <c r="D7668" s="72" t="str">
        <f>IFERROR(VLOOKUP(A7668,'[1]ST-QA-ZZ5'!$C$5:$M$299,11,0),"Inspection at production line")</f>
        <v>Inspection at production line</v>
      </c>
    </row>
    <row r="7669" spans="1:4" ht="13.8">
      <c r="A7669" s="47" t="s">
        <v>15850</v>
      </c>
      <c r="B7669" s="92" t="s">
        <v>404</v>
      </c>
      <c r="C7669" s="92" t="s">
        <v>15851</v>
      </c>
      <c r="D7669" s="72" t="str">
        <f>IFERROR(VLOOKUP(A7669,'[1]ST-QA-ZZ5'!$C$5:$M$299,11,0),"Inspection at production line")</f>
        <v>Inspection at production line</v>
      </c>
    </row>
    <row r="7670" spans="1:4" ht="13.8">
      <c r="A7670" s="47" t="s">
        <v>15852</v>
      </c>
      <c r="B7670" s="92" t="s">
        <v>15853</v>
      </c>
      <c r="C7670" s="92" t="s">
        <v>15853</v>
      </c>
      <c r="D7670" s="72" t="str">
        <f>IFERROR(VLOOKUP(A7670,'[1]ST-QA-ZZ5'!$C$5:$M$299,11,0),"Inspection at production line")</f>
        <v>Inspection at production line</v>
      </c>
    </row>
    <row r="7671" spans="1:4" ht="13.8">
      <c r="A7671" s="47" t="s">
        <v>15854</v>
      </c>
      <c r="B7671" s="92" t="s">
        <v>857</v>
      </c>
      <c r="C7671" s="92" t="s">
        <v>15855</v>
      </c>
      <c r="D7671" s="72" t="str">
        <f>IFERROR(VLOOKUP(A7671,'[1]ST-QA-ZZ5'!$C$5:$M$299,11,0),"Inspection at production line")</f>
        <v>Inspection at production line</v>
      </c>
    </row>
    <row r="7672" spans="1:4" ht="13.8">
      <c r="A7672" s="47" t="s">
        <v>15856</v>
      </c>
      <c r="B7672" s="92" t="s">
        <v>857</v>
      </c>
      <c r="C7672" s="92" t="s">
        <v>15857</v>
      </c>
      <c r="D7672" s="72" t="str">
        <f>IFERROR(VLOOKUP(A7672,'[1]ST-QA-ZZ5'!$C$5:$M$299,11,0),"Inspection at production line")</f>
        <v>Inspection at production line</v>
      </c>
    </row>
    <row r="7673" spans="1:4" ht="13.8">
      <c r="A7673" s="47" t="s">
        <v>15858</v>
      </c>
      <c r="B7673" s="92" t="s">
        <v>15859</v>
      </c>
      <c r="C7673" s="92" t="s">
        <v>15860</v>
      </c>
      <c r="D7673" s="72" t="str">
        <f>IFERROR(VLOOKUP(A7673,'[1]ST-QA-ZZ5'!$C$5:$M$299,11,0),"Inspection at production line")</f>
        <v>Inspection at production line</v>
      </c>
    </row>
    <row r="7674" spans="1:4" ht="13.8">
      <c r="A7674" s="47" t="s">
        <v>15861</v>
      </c>
      <c r="B7674" s="92" t="s">
        <v>857</v>
      </c>
      <c r="C7674" s="92" t="s">
        <v>15862</v>
      </c>
      <c r="D7674" s="72" t="str">
        <f>IFERROR(VLOOKUP(A7674,'[1]ST-QA-ZZ5'!$C$5:$M$299,11,0),"Inspection at production line")</f>
        <v>Inspection at production line</v>
      </c>
    </row>
    <row r="7675" spans="1:4" ht="13.8">
      <c r="A7675" s="47" t="s">
        <v>15863</v>
      </c>
      <c r="B7675" s="92" t="s">
        <v>857</v>
      </c>
      <c r="C7675" s="92" t="s">
        <v>15864</v>
      </c>
      <c r="D7675" s="72" t="str">
        <f>IFERROR(VLOOKUP(A7675,'[1]ST-QA-ZZ5'!$C$5:$M$299,11,0),"Inspection at production line")</f>
        <v>Inspection at production line</v>
      </c>
    </row>
    <row r="7676" spans="1:4" ht="13.8">
      <c r="A7676" s="47" t="s">
        <v>15865</v>
      </c>
      <c r="B7676" s="92" t="s">
        <v>15866</v>
      </c>
      <c r="C7676" s="92" t="s">
        <v>15866</v>
      </c>
      <c r="D7676" s="72" t="str">
        <f>IFERROR(VLOOKUP(A7676,'[1]ST-QA-ZZ5'!$C$5:$M$299,11,0),"Inspection at production line")</f>
        <v>Inspection at production line</v>
      </c>
    </row>
    <row r="7677" spans="1:4" ht="13.8">
      <c r="A7677" s="47" t="s">
        <v>15867</v>
      </c>
      <c r="B7677" s="92" t="s">
        <v>15868</v>
      </c>
      <c r="C7677" s="92" t="s">
        <v>15868</v>
      </c>
      <c r="D7677" s="72" t="str">
        <f>IFERROR(VLOOKUP(A7677,'[1]ST-QA-ZZ5'!$C$5:$M$299,11,0),"Inspection at production line")</f>
        <v>Inspection at production line</v>
      </c>
    </row>
    <row r="7678" spans="1:4" ht="13.8">
      <c r="A7678" s="47" t="s">
        <v>15869</v>
      </c>
      <c r="B7678" s="92" t="s">
        <v>15870</v>
      </c>
      <c r="C7678" s="92" t="s">
        <v>15870</v>
      </c>
      <c r="D7678" s="72" t="str">
        <f>IFERROR(VLOOKUP(A7678,'[1]ST-QA-ZZ5'!$C$5:$M$299,11,0),"Inspection at production line")</f>
        <v>Inspection at production line</v>
      </c>
    </row>
    <row r="7679" spans="1:4" ht="13.8">
      <c r="A7679" s="47" t="s">
        <v>15871</v>
      </c>
      <c r="B7679" s="92" t="s">
        <v>15872</v>
      </c>
      <c r="C7679" s="92" t="s">
        <v>15872</v>
      </c>
      <c r="D7679" s="72" t="str">
        <f>IFERROR(VLOOKUP(A7679,'[1]ST-QA-ZZ5'!$C$5:$M$299,11,0),"Inspection at production line")</f>
        <v>Inspection at production line</v>
      </c>
    </row>
    <row r="7680" spans="1:4" ht="13.8">
      <c r="A7680" s="47" t="s">
        <v>15873</v>
      </c>
      <c r="B7680" s="92" t="s">
        <v>857</v>
      </c>
      <c r="C7680" s="92" t="s">
        <v>15874</v>
      </c>
      <c r="D7680" s="72" t="str">
        <f>IFERROR(VLOOKUP(A7680,'[1]ST-QA-ZZ5'!$C$5:$M$299,11,0),"Inspection at production line")</f>
        <v>Inspection at production line</v>
      </c>
    </row>
    <row r="7681" spans="1:4" ht="13.8">
      <c r="A7681" s="47" t="s">
        <v>15875</v>
      </c>
      <c r="B7681" s="92" t="s">
        <v>857</v>
      </c>
      <c r="C7681" s="92" t="s">
        <v>15876</v>
      </c>
      <c r="D7681" s="72" t="str">
        <f>IFERROR(VLOOKUP(A7681,'[1]ST-QA-ZZ5'!$C$5:$M$299,11,0),"Inspection at production line")</f>
        <v>Inspection at production line</v>
      </c>
    </row>
    <row r="7682" spans="1:4" ht="13.8">
      <c r="A7682" s="47" t="s">
        <v>15877</v>
      </c>
      <c r="B7682" s="92" t="s">
        <v>857</v>
      </c>
      <c r="C7682" s="92" t="s">
        <v>15878</v>
      </c>
      <c r="D7682" s="72" t="str">
        <f>IFERROR(VLOOKUP(A7682,'[1]ST-QA-ZZ5'!$C$5:$M$299,11,0),"Inspection at production line")</f>
        <v>Inspection at production line</v>
      </c>
    </row>
    <row r="7683" spans="1:4" ht="13.8">
      <c r="A7683" s="47" t="s">
        <v>15879</v>
      </c>
      <c r="B7683" s="92" t="s">
        <v>857</v>
      </c>
      <c r="C7683" s="92" t="s">
        <v>15880</v>
      </c>
      <c r="D7683" s="72" t="str">
        <f>IFERROR(VLOOKUP(A7683,'[1]ST-QA-ZZ5'!$C$5:$M$299,11,0),"Inspection at production line")</f>
        <v>Inspection at production line</v>
      </c>
    </row>
    <row r="7684" spans="1:4" ht="13.8">
      <c r="A7684" s="47" t="s">
        <v>15881</v>
      </c>
      <c r="B7684" s="92" t="s">
        <v>857</v>
      </c>
      <c r="C7684" s="92" t="s">
        <v>15882</v>
      </c>
      <c r="D7684" s="72" t="str">
        <f>IFERROR(VLOOKUP(A7684,'[1]ST-QA-ZZ5'!$C$5:$M$299,11,0),"Inspection at production line")</f>
        <v>Inspection at production line</v>
      </c>
    </row>
    <row r="7685" spans="1:4" ht="13.8">
      <c r="A7685" s="47" t="s">
        <v>15883</v>
      </c>
      <c r="B7685" s="92" t="s">
        <v>857</v>
      </c>
      <c r="C7685" s="92" t="s">
        <v>15884</v>
      </c>
      <c r="D7685" s="72" t="str">
        <f>IFERROR(VLOOKUP(A7685,'[1]ST-QA-ZZ5'!$C$5:$M$299,11,0),"Inspection at production line")</f>
        <v>Inspection at production line</v>
      </c>
    </row>
    <row r="7686" spans="1:4" ht="13.8">
      <c r="A7686" s="47" t="s">
        <v>15885</v>
      </c>
      <c r="B7686" s="92" t="s">
        <v>857</v>
      </c>
      <c r="C7686" s="92" t="s">
        <v>15886</v>
      </c>
      <c r="D7686" s="72" t="str">
        <f>IFERROR(VLOOKUP(A7686,'[1]ST-QA-ZZ5'!$C$5:$M$299,11,0),"Inspection at production line")</f>
        <v>Inspection at production line</v>
      </c>
    </row>
    <row r="7687" spans="1:4" ht="13.8">
      <c r="A7687" s="47" t="s">
        <v>15887</v>
      </c>
      <c r="B7687" s="92" t="s">
        <v>3092</v>
      </c>
      <c r="C7687" s="92" t="s">
        <v>15888</v>
      </c>
      <c r="D7687" s="72" t="str">
        <f>IFERROR(VLOOKUP(A7687,'[1]ST-QA-ZZ5'!$C$5:$M$299,11,0),"Inspection at production line")</f>
        <v>Inspection at production line</v>
      </c>
    </row>
    <row r="7688" spans="1:4" ht="13.8">
      <c r="A7688" s="47" t="s">
        <v>15889</v>
      </c>
      <c r="B7688" s="92" t="s">
        <v>4769</v>
      </c>
      <c r="C7688" s="92" t="s">
        <v>15890</v>
      </c>
      <c r="D7688" s="72" t="str">
        <f>IFERROR(VLOOKUP(A7688,'[1]ST-QA-ZZ5'!$C$5:$M$299,11,0),"Inspection at production line")</f>
        <v>Inspection at production line</v>
      </c>
    </row>
    <row r="7689" spans="1:4" ht="13.8">
      <c r="A7689" s="47" t="s">
        <v>15891</v>
      </c>
      <c r="B7689" s="92" t="s">
        <v>857</v>
      </c>
      <c r="C7689" s="92" t="s">
        <v>5690</v>
      </c>
      <c r="D7689" s="72" t="str">
        <f>IFERROR(VLOOKUP(A7689,'[1]ST-QA-ZZ5'!$C$5:$M$299,11,0),"Inspection at production line")</f>
        <v>Inspection at production line</v>
      </c>
    </row>
    <row r="7690" spans="1:4" ht="13.8">
      <c r="A7690" s="47" t="s">
        <v>15892</v>
      </c>
      <c r="B7690" s="92" t="s">
        <v>857</v>
      </c>
      <c r="C7690" s="92" t="s">
        <v>15893</v>
      </c>
      <c r="D7690" s="72" t="str">
        <f>IFERROR(VLOOKUP(A7690,'[1]ST-QA-ZZ5'!$C$5:$M$299,11,0),"Inspection at production line")</f>
        <v>Inspection at production line</v>
      </c>
    </row>
    <row r="7691" spans="1:4" ht="13.8">
      <c r="A7691" s="47" t="s">
        <v>15894</v>
      </c>
      <c r="B7691" s="92" t="s">
        <v>857</v>
      </c>
      <c r="C7691" s="92" t="s">
        <v>15895</v>
      </c>
      <c r="D7691" s="72" t="str">
        <f>IFERROR(VLOOKUP(A7691,'[1]ST-QA-ZZ5'!$C$5:$M$299,11,0),"Inspection at production line")</f>
        <v>Inspection at production line</v>
      </c>
    </row>
    <row r="7692" spans="1:4" ht="13.8">
      <c r="A7692" s="47" t="s">
        <v>15896</v>
      </c>
      <c r="B7692" s="92" t="s">
        <v>1208</v>
      </c>
      <c r="C7692" s="92" t="s">
        <v>15897</v>
      </c>
      <c r="D7692" s="72" t="str">
        <f>IFERROR(VLOOKUP(A7692,'[1]ST-QA-ZZ5'!$C$5:$M$299,11,0),"Inspection at production line")</f>
        <v>Inspection at production line</v>
      </c>
    </row>
    <row r="7693" spans="1:4" ht="13.8">
      <c r="A7693" s="47" t="s">
        <v>15898</v>
      </c>
      <c r="B7693" s="92" t="s">
        <v>1208</v>
      </c>
      <c r="C7693" s="92" t="s">
        <v>15899</v>
      </c>
      <c r="D7693" s="72" t="str">
        <f>IFERROR(VLOOKUP(A7693,'[1]ST-QA-ZZ5'!$C$5:$M$299,11,0),"Inspection at production line")</f>
        <v>Inspection at production line</v>
      </c>
    </row>
    <row r="7694" spans="1:4" ht="13.8">
      <c r="A7694" s="47" t="s">
        <v>15900</v>
      </c>
      <c r="B7694" s="92" t="s">
        <v>362</v>
      </c>
      <c r="C7694" s="92" t="s">
        <v>13513</v>
      </c>
      <c r="D7694" s="72" t="str">
        <f>IFERROR(VLOOKUP(A7694,'[1]ST-QA-ZZ5'!$C$5:$M$299,11,0),"Inspection at production line")</f>
        <v>Inspection at production line</v>
      </c>
    </row>
    <row r="7695" spans="1:4" ht="13.8">
      <c r="A7695" s="47" t="s">
        <v>15901</v>
      </c>
      <c r="B7695" s="92" t="s">
        <v>362</v>
      </c>
      <c r="C7695" s="92" t="s">
        <v>15902</v>
      </c>
      <c r="D7695" s="72" t="str">
        <f>IFERROR(VLOOKUP(A7695,'[1]ST-QA-ZZ5'!$C$5:$M$299,11,0),"Inspection at production line")</f>
        <v>Inspection at production line</v>
      </c>
    </row>
    <row r="7696" spans="1:4" ht="13.8">
      <c r="A7696" s="47" t="s">
        <v>15903</v>
      </c>
      <c r="B7696" s="92" t="s">
        <v>362</v>
      </c>
      <c r="C7696" s="92" t="s">
        <v>15904</v>
      </c>
      <c r="D7696" s="72" t="str">
        <f>IFERROR(VLOOKUP(A7696,'[1]ST-QA-ZZ5'!$C$5:$M$299,11,0),"Inspection at production line")</f>
        <v>Inspection at production line</v>
      </c>
    </row>
    <row r="7697" spans="1:4" ht="13.8">
      <c r="A7697" s="47" t="s">
        <v>15905</v>
      </c>
      <c r="B7697" s="92" t="s">
        <v>362</v>
      </c>
      <c r="C7697" s="92" t="s">
        <v>13667</v>
      </c>
      <c r="D7697" s="72" t="str">
        <f>IFERROR(VLOOKUP(A7697,'[1]ST-QA-ZZ5'!$C$5:$M$299,11,0),"Inspection at production line")</f>
        <v>Inspection at production line</v>
      </c>
    </row>
    <row r="7698" spans="1:4" ht="13.8">
      <c r="A7698" s="47" t="s">
        <v>15906</v>
      </c>
      <c r="B7698" s="92" t="s">
        <v>994</v>
      </c>
      <c r="C7698" s="92" t="s">
        <v>15907</v>
      </c>
      <c r="D7698" s="72" t="str">
        <f>IFERROR(VLOOKUP(A7698,'[1]ST-QA-ZZ5'!$C$5:$M$299,11,0),"Inspection at production line")</f>
        <v>Inspection at production line</v>
      </c>
    </row>
    <row r="7699" spans="1:4" ht="13.8">
      <c r="A7699" s="47" t="s">
        <v>2400</v>
      </c>
      <c r="B7699" s="92" t="s">
        <v>2137</v>
      </c>
      <c r="C7699" s="92" t="s">
        <v>2184</v>
      </c>
      <c r="D7699" s="72" t="str">
        <f>IFERROR(VLOOKUP(A7699,'[1]ST-QA-ZZ5'!$C$5:$M$299,11,0),"Inspection at production line")</f>
        <v>Inspection at production line</v>
      </c>
    </row>
    <row r="7700" spans="1:4" ht="13.8">
      <c r="A7700" s="47" t="s">
        <v>15908</v>
      </c>
      <c r="B7700" s="92" t="s">
        <v>75</v>
      </c>
      <c r="C7700" s="92" t="s">
        <v>15909</v>
      </c>
      <c r="D7700" s="72" t="str">
        <f>IFERROR(VLOOKUP(A7700,'[1]ST-QA-ZZ5'!$C$5:$M$299,11,0),"Inspection at production line")</f>
        <v>Inspection at production line</v>
      </c>
    </row>
    <row r="7701" spans="1:4" ht="13.8">
      <c r="A7701" s="47" t="s">
        <v>15910</v>
      </c>
      <c r="B7701" s="92" t="s">
        <v>1554</v>
      </c>
      <c r="C7701" s="92" t="s">
        <v>6799</v>
      </c>
      <c r="D7701" s="72" t="str">
        <f>IFERROR(VLOOKUP(A7701,'[1]ST-QA-ZZ5'!$C$5:$M$299,11,0),"Inspection at production line")</f>
        <v>Inspection at production line</v>
      </c>
    </row>
    <row r="7702" spans="1:4" ht="13.8">
      <c r="A7702" s="47" t="s">
        <v>15911</v>
      </c>
      <c r="B7702" s="92" t="s">
        <v>2190</v>
      </c>
      <c r="C7702" s="92" t="s">
        <v>2191</v>
      </c>
      <c r="D7702" s="72" t="str">
        <f>IFERROR(VLOOKUP(A7702,'[1]ST-QA-ZZ5'!$C$5:$M$299,11,0),"Inspection at production line")</f>
        <v>Inspection at production line</v>
      </c>
    </row>
    <row r="7703" spans="1:4" ht="13.8">
      <c r="A7703" s="47" t="s">
        <v>15912</v>
      </c>
      <c r="B7703" s="92" t="s">
        <v>2190</v>
      </c>
      <c r="C7703" s="92" t="s">
        <v>2194</v>
      </c>
      <c r="D7703" s="72" t="str">
        <f>IFERROR(VLOOKUP(A7703,'[1]ST-QA-ZZ5'!$C$5:$M$299,11,0),"Inspection at production line")</f>
        <v>Inspection at production line</v>
      </c>
    </row>
    <row r="7704" spans="1:4" ht="13.8">
      <c r="A7704" s="47" t="s">
        <v>15913</v>
      </c>
      <c r="B7704" s="92" t="s">
        <v>2190</v>
      </c>
      <c r="C7704" s="92" t="s">
        <v>2203</v>
      </c>
      <c r="D7704" s="72" t="str">
        <f>IFERROR(VLOOKUP(A7704,'[1]ST-QA-ZZ5'!$C$5:$M$299,11,0),"Inspection at production line")</f>
        <v>Inspection at production line</v>
      </c>
    </row>
    <row r="7705" spans="1:4" ht="13.8">
      <c r="A7705" s="47" t="s">
        <v>15914</v>
      </c>
      <c r="B7705" s="92" t="s">
        <v>1167</v>
      </c>
      <c r="C7705" s="92" t="s">
        <v>15915</v>
      </c>
      <c r="D7705" s="72" t="str">
        <f>IFERROR(VLOOKUP(A7705,'[1]ST-QA-ZZ5'!$C$5:$M$299,11,0),"Inspection at production line")</f>
        <v>Inspection at production line</v>
      </c>
    </row>
    <row r="7706" spans="1:4" ht="13.8">
      <c r="A7706" s="47" t="s">
        <v>15916</v>
      </c>
      <c r="B7706" s="92" t="s">
        <v>174</v>
      </c>
      <c r="C7706" s="92" t="s">
        <v>15917</v>
      </c>
      <c r="D7706" s="72" t="str">
        <f>IFERROR(VLOOKUP(A7706,'[1]ST-QA-ZZ5'!$C$5:$M$299,11,0),"Inspection at production line")</f>
        <v>Inspection at production line</v>
      </c>
    </row>
    <row r="7707" spans="1:4" ht="13.8">
      <c r="A7707" s="47" t="s">
        <v>15918</v>
      </c>
      <c r="B7707" s="92" t="s">
        <v>15919</v>
      </c>
      <c r="C7707" s="92" t="s">
        <v>15920</v>
      </c>
      <c r="D7707" s="72" t="str">
        <f>IFERROR(VLOOKUP(A7707,'[1]ST-QA-ZZ5'!$C$5:$M$299,11,0),"Inspection at production line")</f>
        <v>Inspection at production line</v>
      </c>
    </row>
    <row r="7708" spans="1:4" ht="13.8">
      <c r="A7708" s="47" t="s">
        <v>15921</v>
      </c>
      <c r="B7708" s="92" t="s">
        <v>397</v>
      </c>
      <c r="C7708" s="92" t="s">
        <v>15922</v>
      </c>
      <c r="D7708" s="72" t="str">
        <f>IFERROR(VLOOKUP(A7708,'[1]ST-QA-ZZ5'!$C$5:$M$299,11,0),"Inspection at production line")</f>
        <v>Inspection at production line</v>
      </c>
    </row>
    <row r="7709" spans="1:4" ht="13.8">
      <c r="A7709" s="47" t="s">
        <v>15923</v>
      </c>
      <c r="B7709" s="92" t="s">
        <v>1167</v>
      </c>
      <c r="C7709" s="92" t="s">
        <v>15924</v>
      </c>
      <c r="D7709" s="72" t="str">
        <f>IFERROR(VLOOKUP(A7709,'[1]ST-QA-ZZ5'!$C$5:$M$299,11,0),"Inspection at production line")</f>
        <v>Inspection at production line</v>
      </c>
    </row>
    <row r="7710" spans="1:4" ht="13.8">
      <c r="A7710" s="47" t="s">
        <v>15925</v>
      </c>
      <c r="B7710" s="92" t="s">
        <v>1167</v>
      </c>
      <c r="C7710" s="92" t="s">
        <v>15926</v>
      </c>
      <c r="D7710" s="72" t="str">
        <f>IFERROR(VLOOKUP(A7710,'[1]ST-QA-ZZ5'!$C$5:$M$299,11,0),"Inspection at production line")</f>
        <v>Inspection at production line</v>
      </c>
    </row>
    <row r="7711" spans="1:4" ht="13.8">
      <c r="A7711" s="47" t="s">
        <v>15927</v>
      </c>
      <c r="B7711" s="92" t="s">
        <v>1167</v>
      </c>
      <c r="C7711" s="92" t="s">
        <v>15928</v>
      </c>
      <c r="D7711" s="72" t="str">
        <f>IFERROR(VLOOKUP(A7711,'[1]ST-QA-ZZ5'!$C$5:$M$299,11,0),"Inspection at production line")</f>
        <v>Inspection at production line</v>
      </c>
    </row>
    <row r="7712" spans="1:4" ht="13.8">
      <c r="A7712" s="47" t="s">
        <v>15929</v>
      </c>
      <c r="B7712" s="92" t="s">
        <v>1167</v>
      </c>
      <c r="C7712" s="92" t="s">
        <v>5141</v>
      </c>
      <c r="D7712" s="72" t="str">
        <f>IFERROR(VLOOKUP(A7712,'[1]ST-QA-ZZ5'!$C$5:$M$299,11,0),"Inspection at production line")</f>
        <v>Inspection at production line</v>
      </c>
    </row>
    <row r="7713" spans="1:4" ht="13.8">
      <c r="A7713" s="47" t="s">
        <v>15930</v>
      </c>
      <c r="B7713" s="92" t="s">
        <v>1167</v>
      </c>
      <c r="C7713" s="92" t="s">
        <v>15931</v>
      </c>
      <c r="D7713" s="72" t="str">
        <f>IFERROR(VLOOKUP(A7713,'[1]ST-QA-ZZ5'!$C$5:$M$299,11,0),"Inspection at production line")</f>
        <v>Inspection at production line</v>
      </c>
    </row>
    <row r="7714" spans="1:4" ht="13.8">
      <c r="A7714" s="47" t="s">
        <v>15932</v>
      </c>
      <c r="B7714" s="92" t="s">
        <v>1167</v>
      </c>
      <c r="C7714" s="92" t="s">
        <v>5151</v>
      </c>
      <c r="D7714" s="72" t="str">
        <f>IFERROR(VLOOKUP(A7714,'[1]ST-QA-ZZ5'!$C$5:$M$299,11,0),"Inspection at production line")</f>
        <v>Inspection at production line</v>
      </c>
    </row>
    <row r="7715" spans="1:4" ht="13.8">
      <c r="A7715" s="47" t="s">
        <v>15933</v>
      </c>
      <c r="B7715" s="92" t="s">
        <v>1167</v>
      </c>
      <c r="C7715" s="92" t="s">
        <v>15934</v>
      </c>
      <c r="D7715" s="72" t="str">
        <f>IFERROR(VLOOKUP(A7715,'[1]ST-QA-ZZ5'!$C$5:$M$299,11,0),"Inspection at production line")</f>
        <v>Inspection at production line</v>
      </c>
    </row>
    <row r="7716" spans="1:4" ht="13.8">
      <c r="A7716" s="47" t="s">
        <v>15935</v>
      </c>
      <c r="B7716" s="92" t="s">
        <v>1167</v>
      </c>
      <c r="C7716" s="92" t="s">
        <v>15936</v>
      </c>
      <c r="D7716" s="72" t="str">
        <f>IFERROR(VLOOKUP(A7716,'[1]ST-QA-ZZ5'!$C$5:$M$299,11,0),"Inspection at production line")</f>
        <v>Inspection at production line</v>
      </c>
    </row>
    <row r="7717" spans="1:4" ht="13.8">
      <c r="A7717" s="47" t="s">
        <v>15937</v>
      </c>
      <c r="B7717" s="92" t="s">
        <v>898</v>
      </c>
      <c r="C7717" s="92" t="s">
        <v>15938</v>
      </c>
      <c r="D7717" s="72" t="str">
        <f>IFERROR(VLOOKUP(A7717,'[1]ST-QA-ZZ5'!$C$5:$M$299,11,0),"Inspection at production line")</f>
        <v>Inspection at production line</v>
      </c>
    </row>
    <row r="7718" spans="1:4" ht="13.8">
      <c r="A7718" s="47" t="s">
        <v>15939</v>
      </c>
      <c r="B7718" s="92" t="s">
        <v>174</v>
      </c>
      <c r="C7718" s="92" t="s">
        <v>15940</v>
      </c>
      <c r="D7718" s="72" t="str">
        <f>IFERROR(VLOOKUP(A7718,'[1]ST-QA-ZZ5'!$C$5:$M$299,11,0),"Inspection at production line")</f>
        <v>Inspection at production line</v>
      </c>
    </row>
    <row r="7719" spans="1:4" ht="13.8">
      <c r="A7719" s="47" t="s">
        <v>15941</v>
      </c>
      <c r="B7719" s="92" t="s">
        <v>2137</v>
      </c>
      <c r="C7719" s="92" t="s">
        <v>6771</v>
      </c>
      <c r="D7719" s="72" t="str">
        <f>IFERROR(VLOOKUP(A7719,'[1]ST-QA-ZZ5'!$C$5:$M$299,11,0),"Inspection at production line")</f>
        <v>Inspection at production line</v>
      </c>
    </row>
    <row r="7720" spans="1:4" ht="13.8">
      <c r="A7720" s="47" t="s">
        <v>15942</v>
      </c>
      <c r="B7720" s="92" t="s">
        <v>75</v>
      </c>
      <c r="C7720" s="92" t="s">
        <v>15943</v>
      </c>
      <c r="D7720" s="72" t="str">
        <f>IFERROR(VLOOKUP(A7720,'[1]ST-QA-ZZ5'!$C$5:$M$299,11,0),"Inspection at production line")</f>
        <v>Inspection at production line</v>
      </c>
    </row>
    <row r="7721" spans="1:4" ht="13.8">
      <c r="A7721" s="47" t="s">
        <v>15944</v>
      </c>
      <c r="B7721" s="92" t="s">
        <v>1233</v>
      </c>
      <c r="C7721" s="92" t="s">
        <v>4711</v>
      </c>
      <c r="D7721" s="72" t="str">
        <f>IFERROR(VLOOKUP(A7721,'[1]ST-QA-ZZ5'!$C$5:$M$299,11,0),"Inspection at production line")</f>
        <v>Inspection at production line</v>
      </c>
    </row>
    <row r="7722" spans="1:4" ht="13.8">
      <c r="A7722" s="47" t="s">
        <v>15945</v>
      </c>
      <c r="B7722" s="92" t="s">
        <v>1167</v>
      </c>
      <c r="C7722" s="92" t="s">
        <v>15946</v>
      </c>
      <c r="D7722" s="72" t="str">
        <f>IFERROR(VLOOKUP(A7722,'[1]ST-QA-ZZ5'!$C$5:$M$299,11,0),"Inspection at production line")</f>
        <v>Inspection at production line</v>
      </c>
    </row>
    <row r="7723" spans="1:4" ht="13.8">
      <c r="A7723" s="47" t="s">
        <v>15947</v>
      </c>
      <c r="B7723" s="92" t="s">
        <v>1204</v>
      </c>
      <c r="C7723" s="92" t="s">
        <v>15948</v>
      </c>
      <c r="D7723" s="72" t="str">
        <f>IFERROR(VLOOKUP(A7723,'[1]ST-QA-ZZ5'!$C$5:$M$299,11,0),"Inspection at production line")</f>
        <v>Inspection at production line</v>
      </c>
    </row>
    <row r="7724" spans="1:4" ht="13.8">
      <c r="A7724" s="47" t="s">
        <v>15949</v>
      </c>
      <c r="B7724" s="92" t="s">
        <v>857</v>
      </c>
      <c r="C7724" s="92" t="s">
        <v>15950</v>
      </c>
      <c r="D7724" s="72" t="str">
        <f>IFERROR(VLOOKUP(A7724,'[1]ST-QA-ZZ5'!$C$5:$M$299,11,0),"Inspection at production line")</f>
        <v>Inspection at production line</v>
      </c>
    </row>
    <row r="7725" spans="1:4" ht="13.8">
      <c r="A7725" s="47" t="s">
        <v>15951</v>
      </c>
      <c r="B7725" s="92" t="s">
        <v>857</v>
      </c>
      <c r="C7725" s="92" t="s">
        <v>15952</v>
      </c>
      <c r="D7725" s="72" t="str">
        <f>IFERROR(VLOOKUP(A7725,'[1]ST-QA-ZZ5'!$C$5:$M$299,11,0),"Inspection at production line")</f>
        <v>Inspection at production line</v>
      </c>
    </row>
    <row r="7726" spans="1:4" ht="13.8">
      <c r="A7726" s="47" t="s">
        <v>15953</v>
      </c>
      <c r="B7726" s="92" t="s">
        <v>397</v>
      </c>
      <c r="C7726" s="92" t="s">
        <v>15954</v>
      </c>
      <c r="D7726" s="72" t="str">
        <f>IFERROR(VLOOKUP(A7726,'[1]ST-QA-ZZ5'!$C$5:$M$299,11,0),"Inspection at production line")</f>
        <v>Inspection at production line</v>
      </c>
    </row>
    <row r="7727" spans="1:4" ht="13.8">
      <c r="A7727" s="47" t="s">
        <v>15955</v>
      </c>
      <c r="B7727" s="92" t="s">
        <v>9823</v>
      </c>
      <c r="C7727" s="92" t="s">
        <v>15956</v>
      </c>
      <c r="D7727" s="72" t="str">
        <f>IFERROR(VLOOKUP(A7727,'[1]ST-QA-ZZ5'!$C$5:$M$299,11,0),"Inspection at production line")</f>
        <v>Inspection at production line</v>
      </c>
    </row>
    <row r="7728" spans="1:4" ht="13.8">
      <c r="A7728" s="47" t="s">
        <v>15957</v>
      </c>
      <c r="B7728" s="92" t="s">
        <v>2079</v>
      </c>
      <c r="C7728" s="92" t="s">
        <v>15958</v>
      </c>
      <c r="D7728" s="72" t="str">
        <f>IFERROR(VLOOKUP(A7728,'[1]ST-QA-ZZ5'!$C$5:$M$299,11,0),"Inspection at production line")</f>
        <v>Inspection at production line</v>
      </c>
    </row>
    <row r="7729" spans="1:4" ht="13.8">
      <c r="A7729" s="47" t="s">
        <v>15959</v>
      </c>
      <c r="B7729" s="92" t="s">
        <v>397</v>
      </c>
      <c r="C7729" s="92" t="s">
        <v>5113</v>
      </c>
      <c r="D7729" s="72" t="str">
        <f>IFERROR(VLOOKUP(A7729,'[1]ST-QA-ZZ5'!$C$5:$M$299,11,0),"Inspection at production line")</f>
        <v>Inspection at production line</v>
      </c>
    </row>
    <row r="7730" spans="1:4" ht="13.8">
      <c r="A7730" s="47" t="s">
        <v>15960</v>
      </c>
      <c r="B7730" s="92" t="s">
        <v>404</v>
      </c>
      <c r="C7730" s="92" t="s">
        <v>15961</v>
      </c>
      <c r="D7730" s="72" t="str">
        <f>IFERROR(VLOOKUP(A7730,'[1]ST-QA-ZZ5'!$C$5:$M$299,11,0),"Inspection at production line")</f>
        <v>Inspection at production line</v>
      </c>
    </row>
    <row r="7731" spans="1:4" ht="13.8">
      <c r="A7731" s="47" t="s">
        <v>15962</v>
      </c>
      <c r="B7731" s="92" t="s">
        <v>404</v>
      </c>
      <c r="C7731" s="92" t="s">
        <v>15963</v>
      </c>
      <c r="D7731" s="72" t="str">
        <f>IFERROR(VLOOKUP(A7731,'[1]ST-QA-ZZ5'!$C$5:$M$299,11,0),"Inspection at production line")</f>
        <v>Inspection at production line</v>
      </c>
    </row>
    <row r="7732" spans="1:4" ht="13.8">
      <c r="A7732" s="47" t="s">
        <v>15964</v>
      </c>
      <c r="B7732" s="92" t="s">
        <v>1233</v>
      </c>
      <c r="C7732" s="92" t="s">
        <v>1237</v>
      </c>
      <c r="D7732" s="72" t="str">
        <f>IFERROR(VLOOKUP(A7732,'[1]ST-QA-ZZ5'!$C$5:$M$299,11,0),"Inspection at production line")</f>
        <v>Inspection at production line</v>
      </c>
    </row>
    <row r="7733" spans="1:4" ht="13.8">
      <c r="A7733" s="47" t="s">
        <v>15965</v>
      </c>
      <c r="B7733" s="92" t="s">
        <v>857</v>
      </c>
      <c r="C7733" s="92" t="s">
        <v>15966</v>
      </c>
      <c r="D7733" s="72" t="str">
        <f>IFERROR(VLOOKUP(A7733,'[1]ST-QA-ZZ5'!$C$5:$M$299,11,0),"Inspection at production line")</f>
        <v>Inspection at production line</v>
      </c>
    </row>
    <row r="7734" spans="1:4" ht="13.8">
      <c r="A7734" s="47" t="s">
        <v>15967</v>
      </c>
      <c r="B7734" s="92" t="s">
        <v>174</v>
      </c>
      <c r="C7734" s="92" t="s">
        <v>6719</v>
      </c>
      <c r="D7734" s="72" t="str">
        <f>IFERROR(VLOOKUP(A7734,'[1]ST-QA-ZZ5'!$C$5:$M$299,11,0),"Inspection at production line")</f>
        <v>Inspection at production line</v>
      </c>
    </row>
    <row r="7735" spans="1:4" ht="13.8">
      <c r="A7735" s="47" t="s">
        <v>15968</v>
      </c>
      <c r="B7735" s="92" t="s">
        <v>865</v>
      </c>
      <c r="C7735" s="92" t="s">
        <v>5379</v>
      </c>
      <c r="D7735" s="72" t="str">
        <f>IFERROR(VLOOKUP(A7735,'[1]ST-QA-ZZ5'!$C$5:$M$299,11,0),"Inspection at production line")</f>
        <v>Inspection at production line</v>
      </c>
    </row>
    <row r="7736" spans="1:4" ht="13.8">
      <c r="A7736" s="47" t="s">
        <v>15969</v>
      </c>
      <c r="B7736" s="92" t="s">
        <v>208</v>
      </c>
      <c r="C7736" s="92" t="s">
        <v>15970</v>
      </c>
      <c r="D7736" s="72" t="str">
        <f>IFERROR(VLOOKUP(A7736,'[1]ST-QA-ZZ5'!$C$5:$M$299,11,0),"Inspection at production line")</f>
        <v>Inspection at production line</v>
      </c>
    </row>
    <row r="7737" spans="1:4" ht="13.8">
      <c r="A7737" s="47" t="s">
        <v>15971</v>
      </c>
      <c r="B7737" s="92" t="s">
        <v>949</v>
      </c>
      <c r="C7737" s="92" t="s">
        <v>15972</v>
      </c>
      <c r="D7737" s="72" t="str">
        <f>IFERROR(VLOOKUP(A7737,'[1]ST-QA-ZZ5'!$C$5:$M$299,11,0),"Inspection at production line")</f>
        <v>Inspection at production line</v>
      </c>
    </row>
    <row r="7738" spans="1:4" ht="13.8">
      <c r="A7738" s="47" t="s">
        <v>15973</v>
      </c>
      <c r="B7738" s="92" t="s">
        <v>857</v>
      </c>
      <c r="C7738" s="92" t="s">
        <v>15974</v>
      </c>
      <c r="D7738" s="72" t="str">
        <f>IFERROR(VLOOKUP(A7738,'[1]ST-QA-ZZ5'!$C$5:$M$299,11,0),"Inspection at production line")</f>
        <v>Inspection at production line</v>
      </c>
    </row>
    <row r="7739" spans="1:4" ht="13.8">
      <c r="A7739" s="47" t="s">
        <v>15975</v>
      </c>
      <c r="B7739" s="92" t="s">
        <v>857</v>
      </c>
      <c r="C7739" s="92" t="s">
        <v>15976</v>
      </c>
      <c r="D7739" s="72" t="str">
        <f>IFERROR(VLOOKUP(A7739,'[1]ST-QA-ZZ5'!$C$5:$M$299,11,0),"Inspection at production line")</f>
        <v>Inspection at production line</v>
      </c>
    </row>
    <row r="7740" spans="1:4" ht="13.8">
      <c r="A7740" s="47" t="s">
        <v>15977</v>
      </c>
      <c r="B7740" s="92" t="s">
        <v>857</v>
      </c>
      <c r="C7740" s="92" t="s">
        <v>15978</v>
      </c>
      <c r="D7740" s="72" t="str">
        <f>IFERROR(VLOOKUP(A7740,'[1]ST-QA-ZZ5'!$C$5:$M$299,11,0),"Inspection at production line")</f>
        <v>Inspection at production line</v>
      </c>
    </row>
    <row r="7741" spans="1:4" ht="13.8">
      <c r="A7741" s="47" t="s">
        <v>15979</v>
      </c>
      <c r="B7741" s="92" t="s">
        <v>857</v>
      </c>
      <c r="C7741" s="92" t="s">
        <v>15980</v>
      </c>
      <c r="D7741" s="72" t="str">
        <f>IFERROR(VLOOKUP(A7741,'[1]ST-QA-ZZ5'!$C$5:$M$299,11,0),"Inspection at production line")</f>
        <v>Inspection at production line</v>
      </c>
    </row>
    <row r="7742" spans="1:4" ht="13.8">
      <c r="A7742" s="47" t="s">
        <v>15981</v>
      </c>
      <c r="B7742" s="92" t="s">
        <v>857</v>
      </c>
      <c r="C7742" s="92" t="s">
        <v>15982</v>
      </c>
      <c r="D7742" s="72" t="str">
        <f>IFERROR(VLOOKUP(A7742,'[1]ST-QA-ZZ5'!$C$5:$M$299,11,0),"Inspection at production line")</f>
        <v>Inspection at production line</v>
      </c>
    </row>
    <row r="7743" spans="1:4" ht="13.8">
      <c r="A7743" s="47" t="s">
        <v>15983</v>
      </c>
      <c r="B7743" s="92" t="s">
        <v>15984</v>
      </c>
      <c r="C7743" s="92" t="s">
        <v>2105</v>
      </c>
      <c r="D7743" s="72" t="str">
        <f>IFERROR(VLOOKUP(A7743,'[1]ST-QA-ZZ5'!$C$5:$M$299,11,0),"Inspection at production line")</f>
        <v>Inspection at production line</v>
      </c>
    </row>
    <row r="7744" spans="1:4" ht="13.8">
      <c r="A7744" s="47" t="s">
        <v>15985</v>
      </c>
      <c r="B7744" s="92" t="s">
        <v>857</v>
      </c>
      <c r="C7744" s="92" t="s">
        <v>15986</v>
      </c>
      <c r="D7744" s="72" t="str">
        <f>IFERROR(VLOOKUP(A7744,'[1]ST-QA-ZZ5'!$C$5:$M$299,11,0),"Inspection at production line")</f>
        <v>Inspection at production line</v>
      </c>
    </row>
    <row r="7745" spans="1:4" ht="13.8">
      <c r="A7745" s="47" t="s">
        <v>15987</v>
      </c>
      <c r="B7745" s="92" t="s">
        <v>857</v>
      </c>
      <c r="C7745" s="92" t="s">
        <v>15988</v>
      </c>
      <c r="D7745" s="72" t="str">
        <f>IFERROR(VLOOKUP(A7745,'[1]ST-QA-ZZ5'!$C$5:$M$299,11,0),"Inspection at production line")</f>
        <v>Inspection at production line</v>
      </c>
    </row>
    <row r="7746" spans="1:4" ht="13.8">
      <c r="A7746" s="47" t="s">
        <v>15989</v>
      </c>
      <c r="B7746" s="92" t="s">
        <v>857</v>
      </c>
      <c r="C7746" s="92" t="s">
        <v>15990</v>
      </c>
      <c r="D7746" s="72" t="str">
        <f>IFERROR(VLOOKUP(A7746,'[1]ST-QA-ZZ5'!$C$5:$M$299,11,0),"Inspection at production line")</f>
        <v>Inspection at production line</v>
      </c>
    </row>
    <row r="7747" spans="1:4" ht="13.8">
      <c r="A7747" s="47" t="s">
        <v>15991</v>
      </c>
      <c r="B7747" s="92" t="s">
        <v>857</v>
      </c>
      <c r="C7747" s="92" t="s">
        <v>15992</v>
      </c>
      <c r="D7747" s="72" t="str">
        <f>IFERROR(VLOOKUP(A7747,'[1]ST-QA-ZZ5'!$C$5:$M$299,11,0),"Inspection at production line")</f>
        <v>Inspection at production line</v>
      </c>
    </row>
    <row r="7748" spans="1:4" ht="13.8">
      <c r="A7748" s="47" t="s">
        <v>15993</v>
      </c>
      <c r="B7748" s="92" t="s">
        <v>857</v>
      </c>
      <c r="C7748" s="92" t="s">
        <v>15994</v>
      </c>
      <c r="D7748" s="72" t="str">
        <f>IFERROR(VLOOKUP(A7748,'[1]ST-QA-ZZ5'!$C$5:$M$299,11,0),"Inspection at production line")</f>
        <v>Inspection at production line</v>
      </c>
    </row>
    <row r="7749" spans="1:4" ht="13.8">
      <c r="A7749" s="47" t="s">
        <v>15995</v>
      </c>
      <c r="B7749" s="92" t="s">
        <v>857</v>
      </c>
      <c r="C7749" s="92" t="s">
        <v>15996</v>
      </c>
      <c r="D7749" s="72" t="str">
        <f>IFERROR(VLOOKUP(A7749,'[1]ST-QA-ZZ5'!$C$5:$M$299,11,0),"Inspection at production line")</f>
        <v>Inspection at production line</v>
      </c>
    </row>
    <row r="7750" spans="1:4" ht="13.8">
      <c r="A7750" s="47" t="s">
        <v>15997</v>
      </c>
      <c r="B7750" s="92" t="s">
        <v>857</v>
      </c>
      <c r="C7750" s="92" t="s">
        <v>15998</v>
      </c>
      <c r="D7750" s="72" t="str">
        <f>IFERROR(VLOOKUP(A7750,'[1]ST-QA-ZZ5'!$C$5:$M$299,11,0),"Inspection at production line")</f>
        <v>Inspection at production line</v>
      </c>
    </row>
    <row r="7751" spans="1:4" ht="13.8">
      <c r="A7751" s="47" t="s">
        <v>15999</v>
      </c>
      <c r="B7751" s="92" t="s">
        <v>857</v>
      </c>
      <c r="C7751" s="92" t="s">
        <v>16000</v>
      </c>
      <c r="D7751" s="72" t="str">
        <f>IFERROR(VLOOKUP(A7751,'[1]ST-QA-ZZ5'!$C$5:$M$299,11,0),"Inspection at production line")</f>
        <v>Inspection at production line</v>
      </c>
    </row>
    <row r="7752" spans="1:4" ht="13.8">
      <c r="A7752" s="47" t="s">
        <v>16001</v>
      </c>
      <c r="B7752" s="92" t="s">
        <v>857</v>
      </c>
      <c r="C7752" s="92" t="s">
        <v>16002</v>
      </c>
      <c r="D7752" s="72" t="str">
        <f>IFERROR(VLOOKUP(A7752,'[1]ST-QA-ZZ5'!$C$5:$M$299,11,0),"Inspection at production line")</f>
        <v>Inspection at production line</v>
      </c>
    </row>
    <row r="7753" spans="1:4" ht="13.8">
      <c r="A7753" s="47" t="s">
        <v>16003</v>
      </c>
      <c r="B7753" s="92" t="s">
        <v>857</v>
      </c>
      <c r="C7753" s="92" t="s">
        <v>16004</v>
      </c>
      <c r="D7753" s="72" t="str">
        <f>IFERROR(VLOOKUP(A7753,'[1]ST-QA-ZZ5'!$C$5:$M$299,11,0),"Inspection at production line")</f>
        <v>Inspection at production line</v>
      </c>
    </row>
    <row r="7754" spans="1:4" ht="13.8">
      <c r="A7754" s="47" t="s">
        <v>16005</v>
      </c>
      <c r="B7754" s="92" t="s">
        <v>857</v>
      </c>
      <c r="C7754" s="92" t="s">
        <v>16006</v>
      </c>
      <c r="D7754" s="72" t="str">
        <f>IFERROR(VLOOKUP(A7754,'[1]ST-QA-ZZ5'!$C$5:$M$299,11,0),"Inspection at production line")</f>
        <v>Inspection at production line</v>
      </c>
    </row>
    <row r="7755" spans="1:4" ht="13.8">
      <c r="A7755" s="47" t="s">
        <v>16007</v>
      </c>
      <c r="B7755" s="92" t="s">
        <v>857</v>
      </c>
      <c r="C7755" s="92" t="s">
        <v>16008</v>
      </c>
      <c r="D7755" s="72" t="str">
        <f>IFERROR(VLOOKUP(A7755,'[1]ST-QA-ZZ5'!$C$5:$M$299,11,0),"Inspection at production line")</f>
        <v>Inspection at production line</v>
      </c>
    </row>
    <row r="7756" spans="1:4" ht="13.8">
      <c r="A7756" s="47" t="s">
        <v>16009</v>
      </c>
      <c r="B7756" s="92" t="s">
        <v>857</v>
      </c>
      <c r="C7756" s="92" t="s">
        <v>16010</v>
      </c>
      <c r="D7756" s="72" t="str">
        <f>IFERROR(VLOOKUP(A7756,'[1]ST-QA-ZZ5'!$C$5:$M$299,11,0),"Inspection at production line")</f>
        <v>Inspection at production line</v>
      </c>
    </row>
    <row r="7757" spans="1:4" ht="13.8">
      <c r="A7757" s="47" t="s">
        <v>16011</v>
      </c>
      <c r="B7757" s="92" t="s">
        <v>857</v>
      </c>
      <c r="C7757" s="92" t="s">
        <v>16012</v>
      </c>
      <c r="D7757" s="72" t="str">
        <f>IFERROR(VLOOKUP(A7757,'[1]ST-QA-ZZ5'!$C$5:$M$299,11,0),"Inspection at production line")</f>
        <v>Inspection at production line</v>
      </c>
    </row>
    <row r="7758" spans="1:4" ht="13.8">
      <c r="A7758" s="47" t="s">
        <v>16013</v>
      </c>
      <c r="B7758" s="92" t="s">
        <v>857</v>
      </c>
      <c r="C7758" s="92" t="s">
        <v>16014</v>
      </c>
      <c r="D7758" s="72" t="str">
        <f>IFERROR(VLOOKUP(A7758,'[1]ST-QA-ZZ5'!$C$5:$M$299,11,0),"Inspection at production line")</f>
        <v>Inspection at production line</v>
      </c>
    </row>
    <row r="7759" spans="1:4" ht="13.8">
      <c r="A7759" s="47" t="s">
        <v>16015</v>
      </c>
      <c r="B7759" s="92" t="s">
        <v>857</v>
      </c>
      <c r="C7759" s="92" t="s">
        <v>16016</v>
      </c>
      <c r="D7759" s="72" t="str">
        <f>IFERROR(VLOOKUP(A7759,'[1]ST-QA-ZZ5'!$C$5:$M$299,11,0),"Inspection at production line")</f>
        <v>Inspection at production line</v>
      </c>
    </row>
    <row r="7760" spans="1:4" ht="13.8">
      <c r="A7760" s="47" t="s">
        <v>16017</v>
      </c>
      <c r="B7760" s="92" t="s">
        <v>857</v>
      </c>
      <c r="C7760" s="92" t="s">
        <v>16018</v>
      </c>
      <c r="D7760" s="72" t="str">
        <f>IFERROR(VLOOKUP(A7760,'[1]ST-QA-ZZ5'!$C$5:$M$299,11,0),"Inspection at production line")</f>
        <v>Inspection at production line</v>
      </c>
    </row>
    <row r="7761" spans="1:4" ht="13.8">
      <c r="A7761" s="47" t="s">
        <v>16019</v>
      </c>
      <c r="B7761" s="92" t="s">
        <v>857</v>
      </c>
      <c r="C7761" s="92" t="s">
        <v>5559</v>
      </c>
      <c r="D7761" s="72" t="str">
        <f>IFERROR(VLOOKUP(A7761,'[1]ST-QA-ZZ5'!$C$5:$M$299,11,0),"Inspection at production line")</f>
        <v>Inspection at production line</v>
      </c>
    </row>
    <row r="7762" spans="1:4" ht="13.8">
      <c r="A7762" s="47" t="s">
        <v>16020</v>
      </c>
      <c r="B7762" s="92" t="s">
        <v>174</v>
      </c>
      <c r="C7762" s="92" t="s">
        <v>16021</v>
      </c>
      <c r="D7762" s="72" t="str">
        <f>IFERROR(VLOOKUP(A7762,'[1]ST-QA-ZZ5'!$C$5:$M$299,11,0),"Inspection at production line")</f>
        <v>Inspection at production line</v>
      </c>
    </row>
    <row r="7763" spans="1:4" ht="13.8">
      <c r="A7763" s="47" t="s">
        <v>16022</v>
      </c>
      <c r="B7763" s="92" t="s">
        <v>174</v>
      </c>
      <c r="C7763" s="92" t="s">
        <v>16023</v>
      </c>
      <c r="D7763" s="72" t="str">
        <f>IFERROR(VLOOKUP(A7763,'[1]ST-QA-ZZ5'!$C$5:$M$299,11,0),"Inspection at production line")</f>
        <v>Inspection at production line</v>
      </c>
    </row>
    <row r="7764" spans="1:4" ht="13.8">
      <c r="A7764" s="47" t="s">
        <v>16024</v>
      </c>
      <c r="B7764" s="92" t="s">
        <v>174</v>
      </c>
      <c r="C7764" s="92" t="s">
        <v>16025</v>
      </c>
      <c r="D7764" s="72" t="str">
        <f>IFERROR(VLOOKUP(A7764,'[1]ST-QA-ZZ5'!$C$5:$M$299,11,0),"Inspection at production line")</f>
        <v>Inspection at production line</v>
      </c>
    </row>
    <row r="7765" spans="1:4" ht="13.8">
      <c r="A7765" s="47" t="s">
        <v>16026</v>
      </c>
      <c r="B7765" s="92" t="s">
        <v>857</v>
      </c>
      <c r="C7765" s="92" t="s">
        <v>16027</v>
      </c>
      <c r="D7765" s="72" t="str">
        <f>IFERROR(VLOOKUP(A7765,'[1]ST-QA-ZZ5'!$C$5:$M$299,11,0),"Inspection at production line")</f>
        <v>Inspection at production line</v>
      </c>
    </row>
    <row r="7766" spans="1:4" ht="13.8">
      <c r="A7766" s="47" t="s">
        <v>16028</v>
      </c>
      <c r="B7766" s="92" t="s">
        <v>857</v>
      </c>
      <c r="C7766" s="92" t="s">
        <v>16029</v>
      </c>
      <c r="D7766" s="72" t="str">
        <f>IFERROR(VLOOKUP(A7766,'[1]ST-QA-ZZ5'!$C$5:$M$299,11,0),"Inspection at production line")</f>
        <v>Inspection at production line</v>
      </c>
    </row>
    <row r="7767" spans="1:4" ht="13.8">
      <c r="A7767" s="47" t="s">
        <v>16030</v>
      </c>
      <c r="B7767" s="92" t="s">
        <v>857</v>
      </c>
      <c r="C7767" s="92" t="s">
        <v>16031</v>
      </c>
      <c r="D7767" s="72" t="str">
        <f>IFERROR(VLOOKUP(A7767,'[1]ST-QA-ZZ5'!$C$5:$M$299,11,0),"Inspection at production line")</f>
        <v>Inspection at production line</v>
      </c>
    </row>
    <row r="7768" spans="1:4" ht="13.8">
      <c r="A7768" s="47" t="s">
        <v>16032</v>
      </c>
      <c r="B7768" s="92" t="s">
        <v>857</v>
      </c>
      <c r="C7768" s="92" t="s">
        <v>16033</v>
      </c>
      <c r="D7768" s="72" t="str">
        <f>IFERROR(VLOOKUP(A7768,'[1]ST-QA-ZZ5'!$C$5:$M$299,11,0),"Inspection at production line")</f>
        <v>Inspection at production line</v>
      </c>
    </row>
    <row r="7769" spans="1:4" ht="13.8">
      <c r="A7769" s="47" t="s">
        <v>16034</v>
      </c>
      <c r="B7769" s="92" t="s">
        <v>857</v>
      </c>
      <c r="C7769" s="92" t="s">
        <v>16035</v>
      </c>
      <c r="D7769" s="72" t="str">
        <f>IFERROR(VLOOKUP(A7769,'[1]ST-QA-ZZ5'!$C$5:$M$299,11,0),"Inspection at production line")</f>
        <v>Inspection at production line</v>
      </c>
    </row>
    <row r="7770" spans="1:4" ht="13.8">
      <c r="A7770" s="47" t="s">
        <v>16036</v>
      </c>
      <c r="B7770" s="92" t="s">
        <v>555</v>
      </c>
      <c r="C7770" s="92" t="s">
        <v>16037</v>
      </c>
      <c r="D7770" s="72" t="str">
        <f>IFERROR(VLOOKUP(A7770,'[1]ST-QA-ZZ5'!$C$5:$M$299,11,0),"Inspection at production line")</f>
        <v>Inspection at production line</v>
      </c>
    </row>
    <row r="7771" spans="1:4" ht="13.8">
      <c r="A7771" s="47" t="s">
        <v>16038</v>
      </c>
      <c r="B7771" s="92" t="s">
        <v>857</v>
      </c>
      <c r="C7771" s="92" t="s">
        <v>16039</v>
      </c>
      <c r="D7771" s="72" t="str">
        <f>IFERROR(VLOOKUP(A7771,'[1]ST-QA-ZZ5'!$C$5:$M$299,11,0),"Inspection at production line")</f>
        <v>Inspection at production line</v>
      </c>
    </row>
    <row r="7772" spans="1:4" ht="13.8">
      <c r="A7772" s="47" t="s">
        <v>16040</v>
      </c>
      <c r="B7772" s="92" t="s">
        <v>1167</v>
      </c>
      <c r="C7772" s="92" t="s">
        <v>16041</v>
      </c>
      <c r="D7772" s="72" t="str">
        <f>IFERROR(VLOOKUP(A7772,'[1]ST-QA-ZZ5'!$C$5:$M$299,11,0),"Inspection at production line")</f>
        <v>Inspection at production line</v>
      </c>
    </row>
    <row r="7773" spans="1:4" ht="13.8">
      <c r="A7773" s="47" t="s">
        <v>16042</v>
      </c>
      <c r="B7773" s="92" t="s">
        <v>898</v>
      </c>
      <c r="C7773" s="92" t="s">
        <v>16043</v>
      </c>
      <c r="D7773" s="72" t="str">
        <f>IFERROR(VLOOKUP(A7773,'[1]ST-QA-ZZ5'!$C$5:$M$299,11,0),"Inspection at production line")</f>
        <v>Inspection at production line</v>
      </c>
    </row>
    <row r="7774" spans="1:4" ht="13.8">
      <c r="A7774" s="47" t="s">
        <v>16044</v>
      </c>
      <c r="B7774" s="92" t="s">
        <v>371</v>
      </c>
      <c r="C7774" s="92" t="s">
        <v>16045</v>
      </c>
      <c r="D7774" s="72" t="str">
        <f>IFERROR(VLOOKUP(A7774,'[1]ST-QA-ZZ5'!$C$5:$M$299,11,0),"Inspection at production line")</f>
        <v>Inspection at production line</v>
      </c>
    </row>
    <row r="7775" spans="1:4" ht="13.8">
      <c r="A7775" s="47" t="s">
        <v>16046</v>
      </c>
      <c r="B7775" s="92" t="s">
        <v>371</v>
      </c>
      <c r="C7775" s="92" t="s">
        <v>16047</v>
      </c>
      <c r="D7775" s="72" t="str">
        <f>IFERROR(VLOOKUP(A7775,'[1]ST-QA-ZZ5'!$C$5:$M$299,11,0),"Inspection at production line")</f>
        <v>Inspection at production line</v>
      </c>
    </row>
    <row r="7776" spans="1:4" ht="13.8">
      <c r="A7776" s="47" t="s">
        <v>16048</v>
      </c>
      <c r="B7776" s="92" t="s">
        <v>923</v>
      </c>
      <c r="C7776" s="92" t="s">
        <v>16049</v>
      </c>
      <c r="D7776" s="72" t="str">
        <f>IFERROR(VLOOKUP(A7776,'[1]ST-QA-ZZ5'!$C$5:$M$299,11,0),"Inspection at production line")</f>
        <v>Inspection at production line</v>
      </c>
    </row>
    <row r="7777" spans="1:4" ht="13.8">
      <c r="A7777" s="47" t="s">
        <v>16050</v>
      </c>
      <c r="B7777" s="92" t="s">
        <v>912</v>
      </c>
      <c r="C7777" s="92" t="s">
        <v>16051</v>
      </c>
      <c r="D7777" s="72" t="str">
        <f>IFERROR(VLOOKUP(A7777,'[1]ST-QA-ZZ5'!$C$5:$M$299,11,0),"Inspection at production line")</f>
        <v>Inspection at production line</v>
      </c>
    </row>
    <row r="7778" spans="1:4" ht="13.8">
      <c r="A7778" s="47" t="s">
        <v>16052</v>
      </c>
      <c r="B7778" s="92" t="s">
        <v>349</v>
      </c>
      <c r="C7778" s="92" t="s">
        <v>16053</v>
      </c>
      <c r="D7778" s="72" t="str">
        <f>IFERROR(VLOOKUP(A7778,'[1]ST-QA-ZZ5'!$C$5:$M$299,11,0),"Inspection at production line")</f>
        <v>Inspection at production line</v>
      </c>
    </row>
    <row r="7779" spans="1:4" ht="13.8">
      <c r="A7779" s="47" t="s">
        <v>16054</v>
      </c>
      <c r="B7779" s="92" t="s">
        <v>936</v>
      </c>
      <c r="C7779" s="92" t="s">
        <v>1748</v>
      </c>
      <c r="D7779" s="72" t="str">
        <f>IFERROR(VLOOKUP(A7779,'[1]ST-QA-ZZ5'!$C$5:$M$299,11,0),"Inspection at production line")</f>
        <v>Inspection at production line</v>
      </c>
    </row>
    <row r="7780" spans="1:4" ht="13.8">
      <c r="A7780" s="47" t="s">
        <v>16055</v>
      </c>
      <c r="B7780" s="92" t="s">
        <v>355</v>
      </c>
      <c r="C7780" s="92" t="s">
        <v>16056</v>
      </c>
      <c r="D7780" s="72" t="str">
        <f>IFERROR(VLOOKUP(A7780,'[1]ST-QA-ZZ5'!$C$5:$M$299,11,0),"Inspection at production line")</f>
        <v>Inspection at production line</v>
      </c>
    </row>
    <row r="7781" spans="1:4" ht="13.8">
      <c r="A7781" s="47" t="s">
        <v>16057</v>
      </c>
      <c r="B7781" s="92" t="s">
        <v>355</v>
      </c>
      <c r="C7781" s="92" t="s">
        <v>16058</v>
      </c>
      <c r="D7781" s="72" t="str">
        <f>IFERROR(VLOOKUP(A7781,'[1]ST-QA-ZZ5'!$C$5:$M$299,11,0),"Inspection at production line")</f>
        <v>Inspection at production line</v>
      </c>
    </row>
    <row r="7782" spans="1:4" ht="13.8">
      <c r="A7782" s="47" t="s">
        <v>16059</v>
      </c>
      <c r="B7782" s="92" t="s">
        <v>355</v>
      </c>
      <c r="C7782" s="92" t="s">
        <v>16060</v>
      </c>
      <c r="D7782" s="72" t="str">
        <f>IFERROR(VLOOKUP(A7782,'[1]ST-QA-ZZ5'!$C$5:$M$299,11,0),"Inspection at production line")</f>
        <v>Inspection at production line</v>
      </c>
    </row>
    <row r="7783" spans="1:4" ht="13.8">
      <c r="A7783" s="47" t="s">
        <v>16061</v>
      </c>
      <c r="B7783" s="92" t="s">
        <v>891</v>
      </c>
      <c r="C7783" s="92" t="s">
        <v>16062</v>
      </c>
      <c r="D7783" s="72" t="str">
        <f>IFERROR(VLOOKUP(A7783,'[1]ST-QA-ZZ5'!$C$5:$M$299,11,0),"Inspection at production line")</f>
        <v>Inspection at production line</v>
      </c>
    </row>
    <row r="7784" spans="1:4" ht="13.8">
      <c r="A7784" s="47" t="s">
        <v>16063</v>
      </c>
      <c r="B7784" s="92" t="s">
        <v>891</v>
      </c>
      <c r="C7784" s="92" t="s">
        <v>16064</v>
      </c>
      <c r="D7784" s="72" t="str">
        <f>IFERROR(VLOOKUP(A7784,'[1]ST-QA-ZZ5'!$C$5:$M$299,11,0),"Inspection at production line")</f>
        <v>Inspection at production line</v>
      </c>
    </row>
    <row r="7785" spans="1:4" ht="13.8">
      <c r="A7785" s="47" t="s">
        <v>16065</v>
      </c>
      <c r="B7785" s="92" t="s">
        <v>397</v>
      </c>
      <c r="C7785" s="92" t="s">
        <v>855</v>
      </c>
      <c r="D7785" s="72" t="str">
        <f>IFERROR(VLOOKUP(A7785,'[1]ST-QA-ZZ5'!$C$5:$M$299,11,0),"Inspection at production line")</f>
        <v>Inspection at production line</v>
      </c>
    </row>
    <row r="7786" spans="1:4" ht="13.8">
      <c r="A7786" s="47" t="s">
        <v>16066</v>
      </c>
      <c r="B7786" s="92" t="s">
        <v>898</v>
      </c>
      <c r="C7786" s="92" t="s">
        <v>16067</v>
      </c>
      <c r="D7786" s="72" t="str">
        <f>IFERROR(VLOOKUP(A7786,'[1]ST-QA-ZZ5'!$C$5:$M$299,11,0),"Inspection at production line")</f>
        <v>Inspection at production line</v>
      </c>
    </row>
    <row r="7787" spans="1:4" ht="13.8">
      <c r="A7787" s="47" t="s">
        <v>16068</v>
      </c>
      <c r="B7787" s="92" t="s">
        <v>362</v>
      </c>
      <c r="C7787" s="92" t="s">
        <v>367</v>
      </c>
      <c r="D7787" s="72" t="str">
        <f>IFERROR(VLOOKUP(A7787,'[1]ST-QA-ZZ5'!$C$5:$M$299,11,0),"Inspection at production line")</f>
        <v>Inspection at production line</v>
      </c>
    </row>
    <row r="7788" spans="1:4" ht="13.8">
      <c r="A7788" s="47" t="s">
        <v>16069</v>
      </c>
      <c r="B7788" s="92" t="s">
        <v>857</v>
      </c>
      <c r="C7788" s="92" t="s">
        <v>16070</v>
      </c>
      <c r="D7788" s="72" t="str">
        <f>IFERROR(VLOOKUP(A7788,'[1]ST-QA-ZZ5'!$C$5:$M$299,11,0),"Inspection at production line")</f>
        <v>Inspection at production line</v>
      </c>
    </row>
    <row r="7789" spans="1:4" ht="13.8">
      <c r="A7789" s="47" t="s">
        <v>16071</v>
      </c>
      <c r="B7789" s="92" t="s">
        <v>2190</v>
      </c>
      <c r="C7789" s="92" t="s">
        <v>6778</v>
      </c>
      <c r="D7789" s="72" t="str">
        <f>IFERROR(VLOOKUP(A7789,'[1]ST-QA-ZZ5'!$C$5:$M$299,11,0),"Inspection at production line")</f>
        <v>Inspection at production line</v>
      </c>
    </row>
    <row r="7790" spans="1:4" ht="13.8">
      <c r="A7790" s="47" t="s">
        <v>16072</v>
      </c>
      <c r="B7790" s="92" t="s">
        <v>857</v>
      </c>
      <c r="C7790" s="92" t="s">
        <v>16073</v>
      </c>
      <c r="D7790" s="72" t="str">
        <f>IFERROR(VLOOKUP(A7790,'[1]ST-QA-ZZ5'!$C$5:$M$299,11,0),"Inspection at production line")</f>
        <v>Inspection at production line</v>
      </c>
    </row>
    <row r="7791" spans="1:4" ht="13.8">
      <c r="A7791" s="47" t="s">
        <v>16074</v>
      </c>
      <c r="B7791" s="92" t="s">
        <v>905</v>
      </c>
      <c r="C7791" s="92" t="s">
        <v>3748</v>
      </c>
      <c r="D7791" s="72" t="str">
        <f>IFERROR(VLOOKUP(A7791,'[1]ST-QA-ZZ5'!$C$5:$M$299,11,0),"Inspection at production line")</f>
        <v>Inspection at production line</v>
      </c>
    </row>
    <row r="7792" spans="1:4" ht="13.8">
      <c r="A7792" s="47" t="s">
        <v>16075</v>
      </c>
      <c r="B7792" s="92" t="s">
        <v>857</v>
      </c>
      <c r="C7792" s="92" t="s">
        <v>16076</v>
      </c>
      <c r="D7792" s="72" t="str">
        <f>IFERROR(VLOOKUP(A7792,'[1]ST-QA-ZZ5'!$C$5:$M$299,11,0),"Inspection at production line")</f>
        <v>Inspection at production line</v>
      </c>
    </row>
    <row r="7793" spans="1:4" ht="13.8">
      <c r="A7793" s="47" t="s">
        <v>16077</v>
      </c>
      <c r="B7793" s="92" t="s">
        <v>2024</v>
      </c>
      <c r="C7793" s="92" t="s">
        <v>16078</v>
      </c>
      <c r="D7793" s="72" t="str">
        <f>IFERROR(VLOOKUP(A7793,'[1]ST-QA-ZZ5'!$C$5:$M$299,11,0),"Inspection at production line")</f>
        <v>Inspection at production line</v>
      </c>
    </row>
    <row r="7794" spans="1:4" ht="13.8">
      <c r="A7794" s="47" t="s">
        <v>16079</v>
      </c>
      <c r="B7794" s="92" t="s">
        <v>2024</v>
      </c>
      <c r="C7794" s="92" t="s">
        <v>16080</v>
      </c>
      <c r="D7794" s="72" t="str">
        <f>IFERROR(VLOOKUP(A7794,'[1]ST-QA-ZZ5'!$C$5:$M$299,11,0),"Inspection at production line")</f>
        <v>Inspection at production line</v>
      </c>
    </row>
    <row r="7795" spans="1:4" ht="13.8">
      <c r="A7795" s="47" t="s">
        <v>16081</v>
      </c>
      <c r="B7795" s="92" t="s">
        <v>2024</v>
      </c>
      <c r="C7795" s="92" t="s">
        <v>16082</v>
      </c>
      <c r="D7795" s="72" t="str">
        <f>IFERROR(VLOOKUP(A7795,'[1]ST-QA-ZZ5'!$C$5:$M$299,11,0),"Inspection at production line")</f>
        <v>Inspection at production line</v>
      </c>
    </row>
    <row r="7796" spans="1:4" ht="13.8">
      <c r="A7796" s="47" t="s">
        <v>16083</v>
      </c>
      <c r="B7796" s="92" t="s">
        <v>2024</v>
      </c>
      <c r="C7796" s="92" t="s">
        <v>16084</v>
      </c>
      <c r="D7796" s="72" t="str">
        <f>IFERROR(VLOOKUP(A7796,'[1]ST-QA-ZZ5'!$C$5:$M$299,11,0),"Inspection at production line")</f>
        <v>Inspection at production line</v>
      </c>
    </row>
    <row r="7797" spans="1:4" ht="13.8">
      <c r="A7797" s="47" t="s">
        <v>16085</v>
      </c>
      <c r="B7797" s="92" t="s">
        <v>2024</v>
      </c>
      <c r="C7797" s="92" t="s">
        <v>16086</v>
      </c>
      <c r="D7797" s="72" t="str">
        <f>IFERROR(VLOOKUP(A7797,'[1]ST-QA-ZZ5'!$C$5:$M$299,11,0),"Inspection at production line")</f>
        <v>Inspection at production line</v>
      </c>
    </row>
    <row r="7798" spans="1:4" ht="13.8">
      <c r="A7798" s="47" t="s">
        <v>16087</v>
      </c>
      <c r="B7798" s="92" t="s">
        <v>2024</v>
      </c>
      <c r="C7798" s="92" t="s">
        <v>16088</v>
      </c>
      <c r="D7798" s="72" t="str">
        <f>IFERROR(VLOOKUP(A7798,'[1]ST-QA-ZZ5'!$C$5:$M$299,11,0),"Inspection at production line")</f>
        <v>Inspection at production line</v>
      </c>
    </row>
    <row r="7799" spans="1:4" ht="13.8">
      <c r="A7799" s="47" t="s">
        <v>16089</v>
      </c>
      <c r="B7799" s="92" t="s">
        <v>2024</v>
      </c>
      <c r="C7799" s="92" t="s">
        <v>16090</v>
      </c>
      <c r="D7799" s="72" t="str">
        <f>IFERROR(VLOOKUP(A7799,'[1]ST-QA-ZZ5'!$C$5:$M$299,11,0),"Inspection at production line")</f>
        <v>Inspection at production line</v>
      </c>
    </row>
    <row r="7800" spans="1:4" ht="13.8">
      <c r="A7800" s="47" t="s">
        <v>16091</v>
      </c>
      <c r="B7800" s="92" t="s">
        <v>2024</v>
      </c>
      <c r="C7800" s="92" t="s">
        <v>16092</v>
      </c>
      <c r="D7800" s="72" t="str">
        <f>IFERROR(VLOOKUP(A7800,'[1]ST-QA-ZZ5'!$C$5:$M$299,11,0),"Inspection at production line")</f>
        <v>Inspection at production line</v>
      </c>
    </row>
    <row r="7801" spans="1:4" ht="13.8">
      <c r="A7801" s="47" t="s">
        <v>16093</v>
      </c>
      <c r="B7801" s="92" t="s">
        <v>2024</v>
      </c>
      <c r="C7801" s="92" t="s">
        <v>16094</v>
      </c>
      <c r="D7801" s="72" t="str">
        <f>IFERROR(VLOOKUP(A7801,'[1]ST-QA-ZZ5'!$C$5:$M$299,11,0),"Inspection at production line")</f>
        <v>Inspection at production line</v>
      </c>
    </row>
    <row r="7802" spans="1:4" ht="13.8">
      <c r="A7802" s="47" t="s">
        <v>16095</v>
      </c>
      <c r="B7802" s="92" t="s">
        <v>2024</v>
      </c>
      <c r="C7802" s="92" t="s">
        <v>16096</v>
      </c>
      <c r="D7802" s="72" t="str">
        <f>IFERROR(VLOOKUP(A7802,'[1]ST-QA-ZZ5'!$C$5:$M$299,11,0),"Inspection at production line")</f>
        <v>Inspection at production line</v>
      </c>
    </row>
    <row r="7803" spans="1:4" ht="13.8">
      <c r="A7803" s="47" t="s">
        <v>16097</v>
      </c>
      <c r="B7803" s="92" t="s">
        <v>2024</v>
      </c>
      <c r="C7803" s="92" t="s">
        <v>16098</v>
      </c>
      <c r="D7803" s="72" t="str">
        <f>IFERROR(VLOOKUP(A7803,'[1]ST-QA-ZZ5'!$C$5:$M$299,11,0),"Inspection at production line")</f>
        <v>Inspection at production line</v>
      </c>
    </row>
    <row r="7804" spans="1:4" ht="13.8">
      <c r="A7804" s="47" t="s">
        <v>16099</v>
      </c>
      <c r="B7804" s="92" t="s">
        <v>2024</v>
      </c>
      <c r="C7804" s="92" t="s">
        <v>16100</v>
      </c>
      <c r="D7804" s="72" t="str">
        <f>IFERROR(VLOOKUP(A7804,'[1]ST-QA-ZZ5'!$C$5:$M$299,11,0),"Inspection at production line")</f>
        <v>Inspection at production line</v>
      </c>
    </row>
    <row r="7805" spans="1:4" ht="13.8">
      <c r="A7805" s="47" t="s">
        <v>16101</v>
      </c>
      <c r="B7805" s="92" t="s">
        <v>857</v>
      </c>
      <c r="C7805" s="92" t="s">
        <v>16102</v>
      </c>
      <c r="D7805" s="72" t="str">
        <f>IFERROR(VLOOKUP(A7805,'[1]ST-QA-ZZ5'!$C$5:$M$299,11,0),"Inspection at production line")</f>
        <v>Inspection at production line</v>
      </c>
    </row>
    <row r="7806" spans="1:4" ht="13.8">
      <c r="A7806" s="47" t="s">
        <v>16103</v>
      </c>
      <c r="B7806" s="92" t="s">
        <v>857</v>
      </c>
      <c r="C7806" s="92" t="s">
        <v>16104</v>
      </c>
      <c r="D7806" s="72" t="str">
        <f>IFERROR(VLOOKUP(A7806,'[1]ST-QA-ZZ5'!$C$5:$M$299,11,0),"Inspection at production line")</f>
        <v>Inspection at production line</v>
      </c>
    </row>
    <row r="7807" spans="1:4" ht="13.8">
      <c r="A7807" s="47" t="s">
        <v>16105</v>
      </c>
      <c r="B7807" s="92" t="s">
        <v>1167</v>
      </c>
      <c r="C7807" s="92" t="s">
        <v>5147</v>
      </c>
      <c r="D7807" s="72" t="str">
        <f>IFERROR(VLOOKUP(A7807,'[1]ST-QA-ZZ5'!$C$5:$M$299,11,0),"Inspection at production line")</f>
        <v>Inspection at production line</v>
      </c>
    </row>
    <row r="7808" spans="1:4" ht="13.8">
      <c r="A7808" s="47" t="s">
        <v>16106</v>
      </c>
      <c r="B7808" s="92" t="s">
        <v>857</v>
      </c>
      <c r="C7808" s="92" t="s">
        <v>16107</v>
      </c>
      <c r="D7808" s="72" t="str">
        <f>IFERROR(VLOOKUP(A7808,'[1]ST-QA-ZZ5'!$C$5:$M$299,11,0),"Inspection at production line")</f>
        <v>Inspection at production line</v>
      </c>
    </row>
    <row r="7809" spans="1:4" ht="13.8">
      <c r="A7809" s="47" t="s">
        <v>16108</v>
      </c>
      <c r="B7809" s="92" t="s">
        <v>857</v>
      </c>
      <c r="C7809" s="92" t="s">
        <v>16109</v>
      </c>
      <c r="D7809" s="72" t="str">
        <f>IFERROR(VLOOKUP(A7809,'[1]ST-QA-ZZ5'!$C$5:$M$299,11,0),"Inspection at production line")</f>
        <v>Inspection at production line</v>
      </c>
    </row>
    <row r="7810" spans="1:4" ht="13.8">
      <c r="A7810" s="47" t="s">
        <v>16110</v>
      </c>
      <c r="B7810" s="92" t="s">
        <v>8450</v>
      </c>
      <c r="C7810" s="92" t="s">
        <v>16111</v>
      </c>
      <c r="D7810" s="72" t="str">
        <f>IFERROR(VLOOKUP(A7810,'[1]ST-QA-ZZ5'!$C$5:$M$299,11,0),"Inspection at production line")</f>
        <v>Inspection at production line</v>
      </c>
    </row>
    <row r="7811" spans="1:4" ht="13.8">
      <c r="A7811" s="47" t="s">
        <v>16112</v>
      </c>
      <c r="B7811" s="92" t="s">
        <v>174</v>
      </c>
      <c r="C7811" s="92" t="s">
        <v>7524</v>
      </c>
      <c r="D7811" s="72" t="str">
        <f>IFERROR(VLOOKUP(A7811,'[1]ST-QA-ZZ5'!$C$5:$M$299,11,0),"Inspection at production line")</f>
        <v>Inspection at production line</v>
      </c>
    </row>
    <row r="7812" spans="1:4" ht="13.8">
      <c r="A7812" s="47" t="s">
        <v>16113</v>
      </c>
      <c r="B7812" s="92" t="s">
        <v>857</v>
      </c>
      <c r="C7812" s="92" t="s">
        <v>16114</v>
      </c>
      <c r="D7812" s="72" t="str">
        <f>IFERROR(VLOOKUP(A7812,'[1]ST-QA-ZZ5'!$C$5:$M$299,11,0),"Inspection at production line")</f>
        <v>Inspection at production line</v>
      </c>
    </row>
    <row r="7813" spans="1:4" ht="13.8">
      <c r="A7813" s="47" t="s">
        <v>16115</v>
      </c>
      <c r="B7813" s="92" t="s">
        <v>1385</v>
      </c>
      <c r="C7813" s="92" t="s">
        <v>16116</v>
      </c>
      <c r="D7813" s="72" t="str">
        <f>IFERROR(VLOOKUP(A7813,'[1]ST-QA-ZZ5'!$C$5:$M$299,11,0),"Inspection at production line")</f>
        <v>Inspection at production line</v>
      </c>
    </row>
    <row r="7814" spans="1:4" ht="13.8">
      <c r="A7814" s="47" t="s">
        <v>16117</v>
      </c>
      <c r="B7814" s="92" t="s">
        <v>2566</v>
      </c>
      <c r="C7814" s="92" t="s">
        <v>16118</v>
      </c>
      <c r="D7814" s="72" t="str">
        <f>IFERROR(VLOOKUP(A7814,'[1]ST-QA-ZZ5'!$C$5:$M$299,11,0),"Inspection at production line")</f>
        <v>Inspection at production line</v>
      </c>
    </row>
    <row r="7815" spans="1:4" ht="13.8">
      <c r="A7815" s="47" t="s">
        <v>16119</v>
      </c>
      <c r="B7815" s="92" t="s">
        <v>75</v>
      </c>
      <c r="C7815" s="92" t="s">
        <v>16120</v>
      </c>
      <c r="D7815" s="72" t="str">
        <f>IFERROR(VLOOKUP(A7815,'[1]ST-QA-ZZ5'!$C$5:$M$299,11,0),"Inspection at production line")</f>
        <v>Inspection at production line</v>
      </c>
    </row>
    <row r="7816" spans="1:4" ht="13.8">
      <c r="A7816" s="47" t="s">
        <v>16121</v>
      </c>
      <c r="B7816" s="92" t="s">
        <v>397</v>
      </c>
      <c r="C7816" s="92" t="s">
        <v>969</v>
      </c>
      <c r="D7816" s="72" t="str">
        <f>IFERROR(VLOOKUP(A7816,'[1]ST-QA-ZZ5'!$C$5:$M$299,11,0),"Inspection at production line")</f>
        <v>Inspection at production line</v>
      </c>
    </row>
    <row r="7817" spans="1:4" ht="13.8">
      <c r="A7817" s="47" t="s">
        <v>16122</v>
      </c>
      <c r="B7817" s="92" t="s">
        <v>898</v>
      </c>
      <c r="C7817" s="92" t="s">
        <v>16123</v>
      </c>
      <c r="D7817" s="72" t="str">
        <f>IFERROR(VLOOKUP(A7817,'[1]ST-QA-ZZ5'!$C$5:$M$299,11,0),"Inspection at production line")</f>
        <v>Inspection at production line</v>
      </c>
    </row>
    <row r="7818" spans="1:4" ht="13.8">
      <c r="A7818" s="47" t="s">
        <v>16124</v>
      </c>
      <c r="B7818" s="92" t="s">
        <v>936</v>
      </c>
      <c r="C7818" s="92" t="s">
        <v>16125</v>
      </c>
      <c r="D7818" s="72" t="str">
        <f>IFERROR(VLOOKUP(A7818,'[1]ST-QA-ZZ5'!$C$5:$M$299,11,0),"Inspection at production line")</f>
        <v>Inspection at production line</v>
      </c>
    </row>
    <row r="7819" spans="1:4" ht="13.8">
      <c r="A7819" s="47" t="s">
        <v>16126</v>
      </c>
      <c r="B7819" s="92" t="s">
        <v>1614</v>
      </c>
      <c r="C7819" s="92" t="s">
        <v>16127</v>
      </c>
      <c r="D7819" s="72" t="str">
        <f>IFERROR(VLOOKUP(A7819,'[1]ST-QA-ZZ5'!$C$5:$M$299,11,0),"Inspection at production line")</f>
        <v>Inspection at production line</v>
      </c>
    </row>
    <row r="7820" spans="1:4" ht="13.8">
      <c r="A7820" s="47" t="s">
        <v>16128</v>
      </c>
      <c r="B7820" s="92" t="s">
        <v>1614</v>
      </c>
      <c r="C7820" s="92" t="s">
        <v>16129</v>
      </c>
      <c r="D7820" s="72" t="str">
        <f>IFERROR(VLOOKUP(A7820,'[1]ST-QA-ZZ5'!$C$5:$M$299,11,0),"Inspection at production line")</f>
        <v>Inspection at production line</v>
      </c>
    </row>
    <row r="7821" spans="1:4" ht="13.8">
      <c r="A7821" s="47" t="s">
        <v>16130</v>
      </c>
      <c r="B7821" s="92" t="s">
        <v>371</v>
      </c>
      <c r="C7821" s="92" t="s">
        <v>16131</v>
      </c>
      <c r="D7821" s="72" t="str">
        <f>IFERROR(VLOOKUP(A7821,'[1]ST-QA-ZZ5'!$C$5:$M$299,11,0),"Inspection at production line")</f>
        <v>Inspection at production line</v>
      </c>
    </row>
    <row r="7822" spans="1:4" ht="13.8">
      <c r="A7822" s="47" t="s">
        <v>16132</v>
      </c>
      <c r="B7822" s="92" t="s">
        <v>1359</v>
      </c>
      <c r="C7822" s="92" t="s">
        <v>16133</v>
      </c>
      <c r="D7822" s="72" t="str">
        <f>IFERROR(VLOOKUP(A7822,'[1]ST-QA-ZZ5'!$C$5:$M$299,11,0),"Inspection at production line")</f>
        <v>Inspection at production line</v>
      </c>
    </row>
    <row r="7823" spans="1:4" ht="13.8">
      <c r="A7823" s="47" t="s">
        <v>16134</v>
      </c>
      <c r="B7823" s="92" t="s">
        <v>1016</v>
      </c>
      <c r="C7823" s="92" t="s">
        <v>16135</v>
      </c>
      <c r="D7823" s="72" t="str">
        <f>IFERROR(VLOOKUP(A7823,'[1]ST-QA-ZZ5'!$C$5:$M$299,11,0),"Inspection at production line")</f>
        <v>Inspection at production line</v>
      </c>
    </row>
    <row r="7824" spans="1:4" ht="13.8">
      <c r="A7824" s="47" t="s">
        <v>16136</v>
      </c>
      <c r="B7824" s="92" t="s">
        <v>1016</v>
      </c>
      <c r="C7824" s="92" t="s">
        <v>16137</v>
      </c>
      <c r="D7824" s="72" t="str">
        <f>IFERROR(VLOOKUP(A7824,'[1]ST-QA-ZZ5'!$C$5:$M$299,11,0),"Inspection at production line")</f>
        <v>Inspection at production line</v>
      </c>
    </row>
    <row r="7825" spans="1:4" ht="13.8">
      <c r="A7825" s="47" t="s">
        <v>16138</v>
      </c>
      <c r="B7825" s="92" t="s">
        <v>818</v>
      </c>
      <c r="C7825" s="92" t="s">
        <v>1767</v>
      </c>
      <c r="D7825" s="72" t="str">
        <f>IFERROR(VLOOKUP(A7825,'[1]ST-QA-ZZ5'!$C$5:$M$299,11,0),"Inspection at production line")</f>
        <v>Inspection at production line</v>
      </c>
    </row>
    <row r="7826" spans="1:4" ht="13.8">
      <c r="A7826" s="47" t="s">
        <v>16139</v>
      </c>
      <c r="B7826" s="92" t="s">
        <v>818</v>
      </c>
      <c r="C7826" s="92" t="s">
        <v>16140</v>
      </c>
      <c r="D7826" s="72" t="str">
        <f>IFERROR(VLOOKUP(A7826,'[1]ST-QA-ZZ5'!$C$5:$M$299,11,0),"Inspection at production line")</f>
        <v>Inspection at production line</v>
      </c>
    </row>
    <row r="7827" spans="1:4" ht="13.8">
      <c r="A7827" s="47" t="s">
        <v>16141</v>
      </c>
      <c r="B7827" s="92" t="s">
        <v>397</v>
      </c>
      <c r="C7827" s="92" t="s">
        <v>16142</v>
      </c>
      <c r="D7827" s="72" t="str">
        <f>IFERROR(VLOOKUP(A7827,'[1]ST-QA-ZZ5'!$C$5:$M$299,11,0),"Inspection at production line")</f>
        <v>Inspection at production line</v>
      </c>
    </row>
    <row r="7828" spans="1:4" ht="13.8">
      <c r="A7828" s="47" t="s">
        <v>16143</v>
      </c>
      <c r="B7828" s="92" t="s">
        <v>404</v>
      </c>
      <c r="C7828" s="92" t="s">
        <v>16144</v>
      </c>
      <c r="D7828" s="72" t="str">
        <f>IFERROR(VLOOKUP(A7828,'[1]ST-QA-ZZ5'!$C$5:$M$299,11,0),"Inspection at production line")</f>
        <v>Inspection at production line</v>
      </c>
    </row>
    <row r="7829" spans="1:4" ht="13.8">
      <c r="A7829" s="47" t="s">
        <v>16145</v>
      </c>
      <c r="B7829" s="92" t="s">
        <v>404</v>
      </c>
      <c r="C7829" s="92" t="s">
        <v>16146</v>
      </c>
      <c r="D7829" s="72" t="str">
        <f>IFERROR(VLOOKUP(A7829,'[1]ST-QA-ZZ5'!$C$5:$M$299,11,0),"Inspection at production line")</f>
        <v>Inspection at production line</v>
      </c>
    </row>
    <row r="7830" spans="1:4" ht="13.8">
      <c r="A7830" s="47" t="s">
        <v>16147</v>
      </c>
      <c r="B7830" s="92" t="s">
        <v>404</v>
      </c>
      <c r="C7830" s="92" t="s">
        <v>16148</v>
      </c>
      <c r="D7830" s="72" t="str">
        <f>IFERROR(VLOOKUP(A7830,'[1]ST-QA-ZZ5'!$C$5:$M$299,11,0),"Inspection at production line")</f>
        <v>Inspection at production line</v>
      </c>
    </row>
    <row r="7831" spans="1:4" ht="13.8">
      <c r="A7831" s="47" t="s">
        <v>16149</v>
      </c>
      <c r="B7831" s="92" t="s">
        <v>404</v>
      </c>
      <c r="C7831" s="92" t="s">
        <v>16150</v>
      </c>
      <c r="D7831" s="72" t="str">
        <f>IFERROR(VLOOKUP(A7831,'[1]ST-QA-ZZ5'!$C$5:$M$299,11,0),"Inspection at production line")</f>
        <v>Inspection at production line</v>
      </c>
    </row>
    <row r="7832" spans="1:4" ht="13.8">
      <c r="A7832" s="47" t="s">
        <v>16151</v>
      </c>
      <c r="B7832" s="92" t="s">
        <v>404</v>
      </c>
      <c r="C7832" s="92" t="s">
        <v>16152</v>
      </c>
      <c r="D7832" s="72" t="str">
        <f>IFERROR(VLOOKUP(A7832,'[1]ST-QA-ZZ5'!$C$5:$M$299,11,0),"Inspection at production line")</f>
        <v>Inspection at production line</v>
      </c>
    </row>
    <row r="7833" spans="1:4" ht="13.8">
      <c r="A7833" s="47" t="s">
        <v>16153</v>
      </c>
      <c r="B7833" s="92" t="s">
        <v>404</v>
      </c>
      <c r="C7833" s="92" t="s">
        <v>16154</v>
      </c>
      <c r="D7833" s="72" t="str">
        <f>IFERROR(VLOOKUP(A7833,'[1]ST-QA-ZZ5'!$C$5:$M$299,11,0),"Inspection at production line")</f>
        <v>Inspection at production line</v>
      </c>
    </row>
    <row r="7834" spans="1:4" ht="13.8">
      <c r="A7834" s="47" t="s">
        <v>16155</v>
      </c>
      <c r="B7834" s="92" t="s">
        <v>13358</v>
      </c>
      <c r="C7834" s="92" t="s">
        <v>16156</v>
      </c>
      <c r="D7834" s="72" t="str">
        <f>IFERROR(VLOOKUP(A7834,'[1]ST-QA-ZZ5'!$C$5:$M$299,11,0),"Inspection at production line")</f>
        <v>Inspection at production line</v>
      </c>
    </row>
    <row r="7835" spans="1:4" ht="13.8">
      <c r="A7835" s="47" t="s">
        <v>16157</v>
      </c>
      <c r="B7835" s="92" t="s">
        <v>814</v>
      </c>
      <c r="C7835" s="92" t="s">
        <v>16158</v>
      </c>
      <c r="D7835" s="72" t="str">
        <f>IFERROR(VLOOKUP(A7835,'[1]ST-QA-ZZ5'!$C$5:$M$299,11,0),"Inspection at production line")</f>
        <v>Inspection at production line</v>
      </c>
    </row>
    <row r="7836" spans="1:4" ht="13.8">
      <c r="A7836" s="47" t="s">
        <v>16159</v>
      </c>
      <c r="B7836" s="92" t="s">
        <v>68</v>
      </c>
      <c r="C7836" s="92" t="s">
        <v>16160</v>
      </c>
      <c r="D7836" s="72" t="str">
        <f>IFERROR(VLOOKUP(A7836,'[1]ST-QA-ZZ5'!$C$5:$M$299,11,0),"Inspection at production line")</f>
        <v>Inspection at production line</v>
      </c>
    </row>
    <row r="7837" spans="1:4" ht="13.8">
      <c r="A7837" s="47" t="s">
        <v>16161</v>
      </c>
      <c r="B7837" s="92" t="s">
        <v>994</v>
      </c>
      <c r="C7837" s="92" t="s">
        <v>4575</v>
      </c>
      <c r="D7837" s="72" t="str">
        <f>IFERROR(VLOOKUP(A7837,'[1]ST-QA-ZZ5'!$C$5:$M$299,11,0),"Inspection at production line")</f>
        <v>Inspection at production line</v>
      </c>
    </row>
    <row r="7838" spans="1:4" ht="13.8">
      <c r="A7838" s="47" t="s">
        <v>16162</v>
      </c>
      <c r="B7838" s="92" t="s">
        <v>994</v>
      </c>
      <c r="C7838" s="92" t="s">
        <v>4579</v>
      </c>
      <c r="D7838" s="72" t="str">
        <f>IFERROR(VLOOKUP(A7838,'[1]ST-QA-ZZ5'!$C$5:$M$299,11,0),"Inspection at production line")</f>
        <v>Inspection at production line</v>
      </c>
    </row>
    <row r="7839" spans="1:4" ht="13.8">
      <c r="A7839" s="47" t="s">
        <v>16163</v>
      </c>
      <c r="B7839" s="92" t="s">
        <v>813</v>
      </c>
      <c r="C7839" s="92" t="s">
        <v>1777</v>
      </c>
      <c r="D7839" s="72" t="str">
        <f>IFERROR(VLOOKUP(A7839,'[1]ST-QA-ZZ5'!$C$5:$M$299,11,0),"Inspection at production line")</f>
        <v>Inspection at production line</v>
      </c>
    </row>
    <row r="7840" spans="1:4" ht="13.8">
      <c r="A7840" s="47" t="s">
        <v>16164</v>
      </c>
      <c r="B7840" s="92" t="s">
        <v>397</v>
      </c>
      <c r="C7840" s="92" t="s">
        <v>16165</v>
      </c>
      <c r="D7840" s="72" t="str">
        <f>IFERROR(VLOOKUP(A7840,'[1]ST-QA-ZZ5'!$C$5:$M$299,11,0),"Inspection at production line")</f>
        <v>Inspection at production line</v>
      </c>
    </row>
    <row r="7841" spans="1:4" ht="13.8">
      <c r="A7841" s="47" t="s">
        <v>16166</v>
      </c>
      <c r="B7841" s="92" t="s">
        <v>4769</v>
      </c>
      <c r="C7841" s="92" t="s">
        <v>16167</v>
      </c>
      <c r="D7841" s="72" t="str">
        <f>IFERROR(VLOOKUP(A7841,'[1]ST-QA-ZZ5'!$C$5:$M$299,11,0),"Inspection at production line")</f>
        <v>Inspection at production line</v>
      </c>
    </row>
    <row r="7842" spans="1:4" ht="13.8">
      <c r="A7842" s="47" t="s">
        <v>16168</v>
      </c>
      <c r="B7842" s="92" t="s">
        <v>16169</v>
      </c>
      <c r="C7842" s="92" t="s">
        <v>16170</v>
      </c>
      <c r="D7842" s="72" t="str">
        <f>IFERROR(VLOOKUP(A7842,'[1]ST-QA-ZZ5'!$C$5:$M$299,11,0),"Inspection at production line")</f>
        <v>Inspection at production line</v>
      </c>
    </row>
    <row r="7843" spans="1:4" ht="13.8">
      <c r="A7843" s="47" t="s">
        <v>16171</v>
      </c>
      <c r="B7843" s="92" t="s">
        <v>4769</v>
      </c>
      <c r="C7843" s="92" t="s">
        <v>16172</v>
      </c>
      <c r="D7843" s="72" t="str">
        <f>IFERROR(VLOOKUP(A7843,'[1]ST-QA-ZZ5'!$C$5:$M$299,11,0),"Inspection at production line")</f>
        <v>Inspection at production line</v>
      </c>
    </row>
    <row r="7844" spans="1:4" ht="13.8">
      <c r="A7844" s="47" t="s">
        <v>16173</v>
      </c>
      <c r="B7844" s="92" t="s">
        <v>397</v>
      </c>
      <c r="C7844" s="92" t="s">
        <v>16174</v>
      </c>
      <c r="D7844" s="72" t="str">
        <f>IFERROR(VLOOKUP(A7844,'[1]ST-QA-ZZ5'!$C$5:$M$299,11,0),"Inspection at production line")</f>
        <v>Inspection at production line</v>
      </c>
    </row>
    <row r="7845" spans="1:4" ht="13.8">
      <c r="A7845" s="47" t="s">
        <v>16175</v>
      </c>
      <c r="B7845" s="92" t="s">
        <v>355</v>
      </c>
      <c r="C7845" s="92" t="s">
        <v>16058</v>
      </c>
      <c r="D7845" s="72" t="str">
        <f>IFERROR(VLOOKUP(A7845,'[1]ST-QA-ZZ5'!$C$5:$M$299,11,0),"Inspection at production line")</f>
        <v>Inspection at production line</v>
      </c>
    </row>
    <row r="7846" spans="1:4" ht="13.8">
      <c r="A7846" s="47" t="s">
        <v>16176</v>
      </c>
      <c r="B7846" s="92" t="s">
        <v>891</v>
      </c>
      <c r="C7846" s="92" t="s">
        <v>16177</v>
      </c>
      <c r="D7846" s="72" t="str">
        <f>IFERROR(VLOOKUP(A7846,'[1]ST-QA-ZZ5'!$C$5:$M$299,11,0),"Inspection at production line")</f>
        <v>Inspection at production line</v>
      </c>
    </row>
    <row r="7847" spans="1:4" ht="13.8">
      <c r="A7847" s="47" t="s">
        <v>16178</v>
      </c>
      <c r="B7847" s="92" t="s">
        <v>813</v>
      </c>
      <c r="C7847" s="92" t="s">
        <v>1010</v>
      </c>
      <c r="D7847" s="72" t="str">
        <f>IFERROR(VLOOKUP(A7847,'[1]ST-QA-ZZ5'!$C$5:$M$299,11,0),"Inspection at production line")</f>
        <v>Inspection at production line</v>
      </c>
    </row>
    <row r="7848" spans="1:4" ht="13.8">
      <c r="A7848" s="47" t="s">
        <v>16179</v>
      </c>
      <c r="B7848" s="92" t="s">
        <v>9186</v>
      </c>
      <c r="C7848" s="92" t="s">
        <v>16180</v>
      </c>
      <c r="D7848" s="72" t="str">
        <f>IFERROR(VLOOKUP(A7848,'[1]ST-QA-ZZ5'!$C$5:$M$299,11,0),"Inspection at production line")</f>
        <v>Inspection at production line</v>
      </c>
    </row>
    <row r="7849" spans="1:4" ht="13.8">
      <c r="A7849" s="47" t="s">
        <v>16181</v>
      </c>
      <c r="B7849" s="92" t="s">
        <v>397</v>
      </c>
      <c r="C7849" s="92" t="s">
        <v>16182</v>
      </c>
      <c r="D7849" s="72" t="str">
        <f>IFERROR(VLOOKUP(A7849,'[1]ST-QA-ZZ5'!$C$5:$M$299,11,0),"Inspection at production line")</f>
        <v>Inspection at production line</v>
      </c>
    </row>
    <row r="7850" spans="1:4" ht="13.8">
      <c r="A7850" s="47" t="s">
        <v>16183</v>
      </c>
      <c r="B7850" s="92" t="s">
        <v>857</v>
      </c>
      <c r="C7850" s="92" t="s">
        <v>16184</v>
      </c>
      <c r="D7850" s="72" t="str">
        <f>IFERROR(VLOOKUP(A7850,'[1]ST-QA-ZZ5'!$C$5:$M$299,11,0),"Inspection at production line")</f>
        <v>Inspection at production line</v>
      </c>
    </row>
    <row r="7851" spans="1:4" ht="13.8">
      <c r="A7851" s="47" t="s">
        <v>16185</v>
      </c>
      <c r="B7851" s="92" t="s">
        <v>857</v>
      </c>
      <c r="C7851" s="92" t="s">
        <v>16186</v>
      </c>
      <c r="D7851" s="72" t="str">
        <f>IFERROR(VLOOKUP(A7851,'[1]ST-QA-ZZ5'!$C$5:$M$299,11,0),"Inspection at production line")</f>
        <v>Inspection at production line</v>
      </c>
    </row>
    <row r="7852" spans="1:4" ht="13.8">
      <c r="A7852" s="47" t="s">
        <v>16187</v>
      </c>
      <c r="B7852" s="92" t="s">
        <v>857</v>
      </c>
      <c r="C7852" s="92" t="s">
        <v>16188</v>
      </c>
      <c r="D7852" s="72" t="str">
        <f>IFERROR(VLOOKUP(A7852,'[1]ST-QA-ZZ5'!$C$5:$M$299,11,0),"Inspection at production line")</f>
        <v>Inspection at production line</v>
      </c>
    </row>
    <row r="7853" spans="1:4" ht="13.8">
      <c r="A7853" s="47" t="s">
        <v>16189</v>
      </c>
      <c r="B7853" s="92" t="s">
        <v>857</v>
      </c>
      <c r="C7853" s="92" t="s">
        <v>16190</v>
      </c>
      <c r="D7853" s="72" t="str">
        <f>IFERROR(VLOOKUP(A7853,'[1]ST-QA-ZZ5'!$C$5:$M$299,11,0),"Inspection at production line")</f>
        <v>Inspection at production line</v>
      </c>
    </row>
    <row r="7854" spans="1:4" ht="13.8">
      <c r="A7854" s="47" t="s">
        <v>16191</v>
      </c>
      <c r="B7854" s="92" t="s">
        <v>857</v>
      </c>
      <c r="C7854" s="92" t="s">
        <v>16192</v>
      </c>
      <c r="D7854" s="72" t="str">
        <f>IFERROR(VLOOKUP(A7854,'[1]ST-QA-ZZ5'!$C$5:$M$299,11,0),"Inspection at production line")</f>
        <v>Inspection at production line</v>
      </c>
    </row>
    <row r="7855" spans="1:4" ht="13.8">
      <c r="A7855" s="47" t="s">
        <v>16193</v>
      </c>
      <c r="B7855" s="92" t="s">
        <v>857</v>
      </c>
      <c r="C7855" s="92" t="s">
        <v>16194</v>
      </c>
      <c r="D7855" s="72" t="str">
        <f>IFERROR(VLOOKUP(A7855,'[1]ST-QA-ZZ5'!$C$5:$M$299,11,0),"Inspection at production line")</f>
        <v>Inspection at production line</v>
      </c>
    </row>
    <row r="7856" spans="1:4" ht="13.8">
      <c r="A7856" s="47" t="s">
        <v>16195</v>
      </c>
      <c r="B7856" s="92" t="s">
        <v>857</v>
      </c>
      <c r="C7856" s="92" t="s">
        <v>16196</v>
      </c>
      <c r="D7856" s="72" t="str">
        <f>IFERROR(VLOOKUP(A7856,'[1]ST-QA-ZZ5'!$C$5:$M$299,11,0),"Inspection at production line")</f>
        <v>Inspection at production line</v>
      </c>
    </row>
    <row r="7857" spans="1:4" ht="13.8">
      <c r="A7857" s="47" t="s">
        <v>16197</v>
      </c>
      <c r="B7857" s="92" t="s">
        <v>857</v>
      </c>
      <c r="C7857" s="92" t="s">
        <v>16198</v>
      </c>
      <c r="D7857" s="72" t="str">
        <f>IFERROR(VLOOKUP(A7857,'[1]ST-QA-ZZ5'!$C$5:$M$299,11,0),"Inspection at production line")</f>
        <v>Inspection at production line</v>
      </c>
    </row>
    <row r="7858" spans="1:4" ht="13.8">
      <c r="A7858" s="47" t="s">
        <v>16199</v>
      </c>
      <c r="B7858" s="92" t="s">
        <v>857</v>
      </c>
      <c r="C7858" s="92" t="s">
        <v>16200</v>
      </c>
      <c r="D7858" s="72" t="str">
        <f>IFERROR(VLOOKUP(A7858,'[1]ST-QA-ZZ5'!$C$5:$M$299,11,0),"Inspection at production line")</f>
        <v>Inspection at production line</v>
      </c>
    </row>
    <row r="7859" spans="1:4" ht="13.8">
      <c r="A7859" s="47" t="s">
        <v>16201</v>
      </c>
      <c r="B7859" s="92" t="s">
        <v>857</v>
      </c>
      <c r="C7859" s="92" t="s">
        <v>16202</v>
      </c>
      <c r="D7859" s="72" t="str">
        <f>IFERROR(VLOOKUP(A7859,'[1]ST-QA-ZZ5'!$C$5:$M$299,11,0),"Inspection at production line")</f>
        <v>Inspection at production line</v>
      </c>
    </row>
    <row r="7860" spans="1:4" ht="13.8">
      <c r="A7860" s="47" t="s">
        <v>16203</v>
      </c>
      <c r="B7860" s="92" t="s">
        <v>857</v>
      </c>
      <c r="C7860" s="92" t="s">
        <v>16204</v>
      </c>
      <c r="D7860" s="72" t="str">
        <f>IFERROR(VLOOKUP(A7860,'[1]ST-QA-ZZ5'!$C$5:$M$299,11,0),"Inspection at production line")</f>
        <v>Inspection at production line</v>
      </c>
    </row>
    <row r="7861" spans="1:4" ht="13.8">
      <c r="A7861" s="47" t="s">
        <v>16205</v>
      </c>
      <c r="B7861" s="92" t="s">
        <v>903</v>
      </c>
      <c r="C7861" s="92" t="s">
        <v>16206</v>
      </c>
      <c r="D7861" s="72" t="str">
        <f>IFERROR(VLOOKUP(A7861,'[1]ST-QA-ZZ5'!$C$5:$M$299,11,0),"Inspection at production line")</f>
        <v>Inspection at production line</v>
      </c>
    </row>
    <row r="7862" spans="1:4" ht="13.8">
      <c r="A7862" s="47" t="s">
        <v>16207</v>
      </c>
      <c r="B7862" s="92" t="s">
        <v>814</v>
      </c>
      <c r="C7862" s="92" t="s">
        <v>16158</v>
      </c>
      <c r="D7862" s="72" t="str">
        <f>IFERROR(VLOOKUP(A7862,'[1]ST-QA-ZZ5'!$C$5:$M$299,11,0),"Inspection at production line")</f>
        <v>Inspection at production line</v>
      </c>
    </row>
    <row r="7863" spans="1:4" ht="13.8">
      <c r="A7863" s="47" t="s">
        <v>16208</v>
      </c>
      <c r="B7863" s="92" t="s">
        <v>5053</v>
      </c>
      <c r="C7863" s="92" t="s">
        <v>16209</v>
      </c>
      <c r="D7863" s="72" t="str">
        <f>IFERROR(VLOOKUP(A7863,'[1]ST-QA-ZZ5'!$C$5:$M$299,11,0),"Inspection at production line")</f>
        <v>Inspection at production line</v>
      </c>
    </row>
    <row r="7864" spans="1:4" ht="13.8">
      <c r="A7864" s="47" t="s">
        <v>16210</v>
      </c>
      <c r="B7864" s="92" t="s">
        <v>1614</v>
      </c>
      <c r="C7864" s="92" t="s">
        <v>1771</v>
      </c>
      <c r="D7864" s="72" t="str">
        <f>IFERROR(VLOOKUP(A7864,'[1]ST-QA-ZZ5'!$C$5:$M$299,11,0),"Inspection at production line")</f>
        <v>Inspection at production line</v>
      </c>
    </row>
    <row r="7865" spans="1:4" ht="13.8">
      <c r="A7865" s="47" t="s">
        <v>16211</v>
      </c>
      <c r="B7865" s="92" t="s">
        <v>397</v>
      </c>
      <c r="C7865" s="92" t="s">
        <v>16142</v>
      </c>
      <c r="D7865" s="72" t="str">
        <f>IFERROR(VLOOKUP(A7865,'[1]ST-QA-ZZ5'!$C$5:$M$299,11,0),"Inspection at production line")</f>
        <v>Inspection at production line</v>
      </c>
    </row>
    <row r="7866" spans="1:4" ht="13.8">
      <c r="A7866" s="47" t="s">
        <v>16212</v>
      </c>
      <c r="B7866" s="92" t="s">
        <v>362</v>
      </c>
      <c r="C7866" s="92" t="s">
        <v>16213</v>
      </c>
      <c r="D7866" s="72" t="str">
        <f>IFERROR(VLOOKUP(A7866,'[1]ST-QA-ZZ5'!$C$5:$M$299,11,0),"Inspection at production line")</f>
        <v>Inspection at production line</v>
      </c>
    </row>
    <row r="7867" spans="1:4" ht="13.8">
      <c r="A7867" s="47" t="s">
        <v>16214</v>
      </c>
      <c r="B7867" s="92" t="s">
        <v>7102</v>
      </c>
      <c r="C7867" s="92" t="s">
        <v>16215</v>
      </c>
      <c r="D7867" s="72" t="str">
        <f>IFERROR(VLOOKUP(A7867,'[1]ST-QA-ZZ5'!$C$5:$M$299,11,0),"Inspection at production line")</f>
        <v>Inspection at production line</v>
      </c>
    </row>
    <row r="7868" spans="1:4" ht="13.8">
      <c r="A7868" s="47" t="s">
        <v>16216</v>
      </c>
      <c r="B7868" s="92" t="s">
        <v>857</v>
      </c>
      <c r="C7868" s="92" t="s">
        <v>16217</v>
      </c>
      <c r="D7868" s="72" t="str">
        <f>IFERROR(VLOOKUP(A7868,'[1]ST-QA-ZZ5'!$C$5:$M$299,11,0),"Inspection at production line")</f>
        <v>Inspection at production line</v>
      </c>
    </row>
    <row r="7869" spans="1:4" ht="13.8">
      <c r="A7869" s="47" t="s">
        <v>16218</v>
      </c>
      <c r="B7869" s="92" t="s">
        <v>857</v>
      </c>
      <c r="C7869" s="92" t="s">
        <v>16219</v>
      </c>
      <c r="D7869" s="72" t="str">
        <f>IFERROR(VLOOKUP(A7869,'[1]ST-QA-ZZ5'!$C$5:$M$299,11,0),"Inspection at production line")</f>
        <v>Inspection at production line</v>
      </c>
    </row>
    <row r="7870" spans="1:4" ht="13.8">
      <c r="A7870" s="47" t="s">
        <v>16220</v>
      </c>
      <c r="B7870" s="92" t="s">
        <v>857</v>
      </c>
      <c r="C7870" s="92" t="s">
        <v>16221</v>
      </c>
      <c r="D7870" s="72" t="str">
        <f>IFERROR(VLOOKUP(A7870,'[1]ST-QA-ZZ5'!$C$5:$M$299,11,0),"Inspection at production line")</f>
        <v>Inspection at production line</v>
      </c>
    </row>
    <row r="7871" spans="1:4" ht="13.8">
      <c r="A7871" s="47" t="s">
        <v>16222</v>
      </c>
      <c r="B7871" s="92" t="s">
        <v>857</v>
      </c>
      <c r="C7871" s="92" t="s">
        <v>16223</v>
      </c>
      <c r="D7871" s="72" t="str">
        <f>IFERROR(VLOOKUP(A7871,'[1]ST-QA-ZZ5'!$C$5:$M$299,11,0),"Inspection at production line")</f>
        <v>Inspection at production line</v>
      </c>
    </row>
    <row r="7872" spans="1:4" ht="13.8">
      <c r="A7872" s="47" t="s">
        <v>16224</v>
      </c>
      <c r="B7872" s="92" t="s">
        <v>857</v>
      </c>
      <c r="C7872" s="92" t="s">
        <v>16225</v>
      </c>
      <c r="D7872" s="72" t="str">
        <f>IFERROR(VLOOKUP(A7872,'[1]ST-QA-ZZ5'!$C$5:$M$299,11,0),"Inspection at production line")</f>
        <v>Inspection at production line</v>
      </c>
    </row>
    <row r="7873" spans="1:4" ht="13.8">
      <c r="A7873" s="47" t="s">
        <v>16226</v>
      </c>
      <c r="B7873" s="92" t="s">
        <v>898</v>
      </c>
      <c r="C7873" s="92" t="s">
        <v>16227</v>
      </c>
      <c r="D7873" s="72" t="str">
        <f>IFERROR(VLOOKUP(A7873,'[1]ST-QA-ZZ5'!$C$5:$M$299,11,0),"Inspection at production line")</f>
        <v>Inspection at production line</v>
      </c>
    </row>
    <row r="7874" spans="1:4" ht="13.8">
      <c r="A7874" s="47" t="s">
        <v>16228</v>
      </c>
      <c r="B7874" s="92" t="s">
        <v>898</v>
      </c>
      <c r="C7874" s="92" t="s">
        <v>16229</v>
      </c>
      <c r="D7874" s="72" t="str">
        <f>IFERROR(VLOOKUP(A7874,'[1]ST-QA-ZZ5'!$C$5:$M$299,11,0),"Inspection at production line")</f>
        <v>Inspection at production line</v>
      </c>
    </row>
    <row r="7875" spans="1:4" ht="13.8">
      <c r="A7875" s="47" t="s">
        <v>16230</v>
      </c>
      <c r="B7875" s="92" t="s">
        <v>857</v>
      </c>
      <c r="C7875" s="92" t="s">
        <v>16231</v>
      </c>
      <c r="D7875" s="72" t="str">
        <f>IFERROR(VLOOKUP(A7875,'[1]ST-QA-ZZ5'!$C$5:$M$299,11,0),"Inspection at production line")</f>
        <v>Inspection at production line</v>
      </c>
    </row>
    <row r="7876" spans="1:4" ht="13.8">
      <c r="A7876" s="47" t="s">
        <v>16232</v>
      </c>
      <c r="B7876" s="92" t="s">
        <v>2024</v>
      </c>
      <c r="C7876" s="92" t="s">
        <v>16233</v>
      </c>
      <c r="D7876" s="72" t="str">
        <f>IFERROR(VLOOKUP(A7876,'[1]ST-QA-ZZ5'!$C$5:$M$299,11,0),"Inspection at production line")</f>
        <v>Inspection at production line</v>
      </c>
    </row>
    <row r="7877" spans="1:4" ht="13.8">
      <c r="A7877" s="47" t="s">
        <v>16234</v>
      </c>
      <c r="B7877" s="92" t="s">
        <v>2024</v>
      </c>
      <c r="C7877" s="92" t="s">
        <v>16235</v>
      </c>
      <c r="D7877" s="72" t="str">
        <f>IFERROR(VLOOKUP(A7877,'[1]ST-QA-ZZ5'!$C$5:$M$299,11,0),"Inspection at production line")</f>
        <v>Inspection at production line</v>
      </c>
    </row>
    <row r="7878" spans="1:4" ht="13.8">
      <c r="A7878" s="47" t="s">
        <v>16236</v>
      </c>
      <c r="B7878" s="92" t="s">
        <v>2024</v>
      </c>
      <c r="C7878" s="92" t="s">
        <v>16237</v>
      </c>
      <c r="D7878" s="72" t="str">
        <f>IFERROR(VLOOKUP(A7878,'[1]ST-QA-ZZ5'!$C$5:$M$299,11,0),"Inspection at production line")</f>
        <v>Inspection at production line</v>
      </c>
    </row>
    <row r="7879" spans="1:4" ht="13.8">
      <c r="A7879" s="47" t="s">
        <v>16238</v>
      </c>
      <c r="B7879" s="92" t="s">
        <v>2511</v>
      </c>
      <c r="C7879" s="92" t="s">
        <v>3445</v>
      </c>
      <c r="D7879" s="72" t="str">
        <f>IFERROR(VLOOKUP(A7879,'[1]ST-QA-ZZ5'!$C$5:$M$299,11,0),"Inspection at production line")</f>
        <v>Inspection at production line</v>
      </c>
    </row>
    <row r="7880" spans="1:4" ht="13.8">
      <c r="A7880" s="47" t="s">
        <v>16239</v>
      </c>
      <c r="B7880" s="92" t="s">
        <v>3602</v>
      </c>
      <c r="C7880" s="92" t="s">
        <v>3603</v>
      </c>
      <c r="D7880" s="72" t="str">
        <f>IFERROR(VLOOKUP(A7880,'[1]ST-QA-ZZ5'!$C$5:$M$299,11,0),"Inspection at production line")</f>
        <v>Inspection at production line</v>
      </c>
    </row>
    <row r="7881" spans="1:4" ht="13.8">
      <c r="A7881" s="47" t="s">
        <v>16240</v>
      </c>
      <c r="B7881" s="92" t="s">
        <v>857</v>
      </c>
      <c r="C7881" s="92" t="s">
        <v>16241</v>
      </c>
      <c r="D7881" s="72" t="str">
        <f>IFERROR(VLOOKUP(A7881,'[1]ST-QA-ZZ5'!$C$5:$M$299,11,0),"Inspection at production line")</f>
        <v>Inspection at production line</v>
      </c>
    </row>
    <row r="7882" spans="1:4" ht="13.8">
      <c r="A7882" s="47" t="s">
        <v>16242</v>
      </c>
      <c r="B7882" s="92" t="s">
        <v>857</v>
      </c>
      <c r="C7882" s="92" t="s">
        <v>16243</v>
      </c>
      <c r="D7882" s="72" t="str">
        <f>IFERROR(VLOOKUP(A7882,'[1]ST-QA-ZZ5'!$C$5:$M$299,11,0),"Inspection at production line")</f>
        <v>Inspection at production line</v>
      </c>
    </row>
    <row r="7883" spans="1:4" ht="13.8">
      <c r="A7883" s="47" t="s">
        <v>16244</v>
      </c>
      <c r="B7883" s="92" t="s">
        <v>898</v>
      </c>
      <c r="C7883" s="92" t="s">
        <v>1337</v>
      </c>
      <c r="D7883" s="72" t="str">
        <f>IFERROR(VLOOKUP(A7883,'[1]ST-QA-ZZ5'!$C$5:$M$299,11,0),"Inspection at production line")</f>
        <v>Inspection at production line</v>
      </c>
    </row>
    <row r="7884" spans="1:4" ht="13.8">
      <c r="A7884" s="47" t="s">
        <v>16245</v>
      </c>
      <c r="B7884" s="92" t="s">
        <v>818</v>
      </c>
      <c r="C7884" s="92" t="s">
        <v>16246</v>
      </c>
      <c r="D7884" s="72" t="str">
        <f>IFERROR(VLOOKUP(A7884,'[1]ST-QA-ZZ5'!$C$5:$M$299,11,0),"Inspection at production line")</f>
        <v>Inspection at production line</v>
      </c>
    </row>
    <row r="7885" spans="1:4" ht="13.8">
      <c r="A7885" s="47" t="s">
        <v>16247</v>
      </c>
      <c r="B7885" s="92" t="s">
        <v>905</v>
      </c>
      <c r="C7885" s="92" t="s">
        <v>3748</v>
      </c>
      <c r="D7885" s="72" t="str">
        <f>IFERROR(VLOOKUP(A7885,'[1]ST-QA-ZZ5'!$C$5:$M$299,11,0),"Inspection at production line")</f>
        <v>Inspection at production line</v>
      </c>
    </row>
    <row r="7886" spans="1:4" ht="13.8">
      <c r="A7886" s="47" t="s">
        <v>16248</v>
      </c>
      <c r="B7886" s="92" t="s">
        <v>857</v>
      </c>
      <c r="C7886" s="92" t="s">
        <v>5901</v>
      </c>
      <c r="D7886" s="72" t="str">
        <f>IFERROR(VLOOKUP(A7886,'[1]ST-QA-ZZ5'!$C$5:$M$299,11,0),"Inspection at production line")</f>
        <v>Inspection at production line</v>
      </c>
    </row>
    <row r="7887" spans="1:4" ht="13.8">
      <c r="A7887" s="47" t="s">
        <v>16249</v>
      </c>
      <c r="B7887" s="92" t="s">
        <v>857</v>
      </c>
      <c r="C7887" s="92" t="s">
        <v>5904</v>
      </c>
      <c r="D7887" s="72" t="str">
        <f>IFERROR(VLOOKUP(A7887,'[1]ST-QA-ZZ5'!$C$5:$M$299,11,0),"Inspection at production line")</f>
        <v>Inspection at production line</v>
      </c>
    </row>
    <row r="7888" spans="1:4" ht="13.8">
      <c r="A7888" s="47" t="s">
        <v>16250</v>
      </c>
      <c r="B7888" s="92" t="s">
        <v>857</v>
      </c>
      <c r="C7888" s="92" t="s">
        <v>5907</v>
      </c>
      <c r="D7888" s="72" t="str">
        <f>IFERROR(VLOOKUP(A7888,'[1]ST-QA-ZZ5'!$C$5:$M$299,11,0),"Inspection at production line")</f>
        <v>Inspection at production line</v>
      </c>
    </row>
    <row r="7889" spans="1:4" ht="13.8">
      <c r="A7889" s="47" t="s">
        <v>16251</v>
      </c>
      <c r="B7889" s="92" t="s">
        <v>857</v>
      </c>
      <c r="C7889" s="92" t="s">
        <v>5910</v>
      </c>
      <c r="D7889" s="72" t="str">
        <f>IFERROR(VLOOKUP(A7889,'[1]ST-QA-ZZ5'!$C$5:$M$299,11,0),"Inspection at production line")</f>
        <v>Inspection at production line</v>
      </c>
    </row>
    <row r="7890" spans="1:4" ht="13.8">
      <c r="A7890" s="47" t="s">
        <v>16252</v>
      </c>
      <c r="B7890" s="92" t="s">
        <v>857</v>
      </c>
      <c r="C7890" s="92" t="s">
        <v>5913</v>
      </c>
      <c r="D7890" s="72" t="str">
        <f>IFERROR(VLOOKUP(A7890,'[1]ST-QA-ZZ5'!$C$5:$M$299,11,0),"Inspection at production line")</f>
        <v>Inspection at production line</v>
      </c>
    </row>
    <row r="7891" spans="1:4" ht="13.8">
      <c r="A7891" s="47" t="s">
        <v>16253</v>
      </c>
      <c r="B7891" s="92" t="s">
        <v>857</v>
      </c>
      <c r="C7891" s="92" t="s">
        <v>5916</v>
      </c>
      <c r="D7891" s="72" t="str">
        <f>IFERROR(VLOOKUP(A7891,'[1]ST-QA-ZZ5'!$C$5:$M$299,11,0),"Inspection at production line")</f>
        <v>Inspection at production line</v>
      </c>
    </row>
    <row r="7892" spans="1:4" ht="13.8">
      <c r="A7892" s="47" t="s">
        <v>16254</v>
      </c>
      <c r="B7892" s="92" t="s">
        <v>1964</v>
      </c>
      <c r="C7892" s="92" t="s">
        <v>16255</v>
      </c>
      <c r="D7892" s="72" t="str">
        <f>IFERROR(VLOOKUP(A7892,'[1]ST-QA-ZZ5'!$C$5:$M$299,11,0),"Inspection at production line")</f>
        <v>Inspection at production line</v>
      </c>
    </row>
    <row r="7893" spans="1:4" ht="13.8">
      <c r="A7893" s="47" t="s">
        <v>16256</v>
      </c>
      <c r="B7893" s="92" t="s">
        <v>857</v>
      </c>
      <c r="C7893" s="92" t="s">
        <v>16257</v>
      </c>
      <c r="D7893" s="72" t="str">
        <f>IFERROR(VLOOKUP(A7893,'[1]ST-QA-ZZ5'!$C$5:$M$299,11,0),"Inspection at production line")</f>
        <v>Inspection at production line</v>
      </c>
    </row>
    <row r="7894" spans="1:4" ht="13.8">
      <c r="A7894" s="47" t="s">
        <v>16258</v>
      </c>
      <c r="B7894" s="92" t="s">
        <v>857</v>
      </c>
      <c r="C7894" s="92" t="s">
        <v>16259</v>
      </c>
      <c r="D7894" s="72" t="str">
        <f>IFERROR(VLOOKUP(A7894,'[1]ST-QA-ZZ5'!$C$5:$M$299,11,0),"Inspection at production line")</f>
        <v>Inspection at production line</v>
      </c>
    </row>
    <row r="7895" spans="1:4" ht="13.8">
      <c r="A7895" s="47" t="s">
        <v>16260</v>
      </c>
      <c r="B7895" s="92" t="s">
        <v>857</v>
      </c>
      <c r="C7895" s="92" t="s">
        <v>16261</v>
      </c>
      <c r="D7895" s="72" t="str">
        <f>IFERROR(VLOOKUP(A7895,'[1]ST-QA-ZZ5'!$C$5:$M$299,11,0),"Inspection at production line")</f>
        <v>Inspection at production line</v>
      </c>
    </row>
    <row r="7896" spans="1:4" ht="13.8">
      <c r="A7896" s="47" t="s">
        <v>16262</v>
      </c>
      <c r="B7896" s="92" t="s">
        <v>857</v>
      </c>
      <c r="C7896" s="92" t="s">
        <v>16263</v>
      </c>
      <c r="D7896" s="72" t="str">
        <f>IFERROR(VLOOKUP(A7896,'[1]ST-QA-ZZ5'!$C$5:$M$299,11,0),"Inspection at production line")</f>
        <v>Inspection at production line</v>
      </c>
    </row>
    <row r="7897" spans="1:4" ht="13.8">
      <c r="A7897" s="47" t="s">
        <v>16264</v>
      </c>
      <c r="B7897" s="92" t="s">
        <v>857</v>
      </c>
      <c r="C7897" s="92" t="s">
        <v>16265</v>
      </c>
      <c r="D7897" s="72" t="str">
        <f>IFERROR(VLOOKUP(A7897,'[1]ST-QA-ZZ5'!$C$5:$M$299,11,0),"Inspection at production line")</f>
        <v>Inspection at production line</v>
      </c>
    </row>
    <row r="7898" spans="1:4" ht="13.8">
      <c r="A7898" s="47" t="s">
        <v>16266</v>
      </c>
      <c r="B7898" s="92" t="s">
        <v>2137</v>
      </c>
      <c r="C7898" s="92" t="s">
        <v>2175</v>
      </c>
      <c r="D7898" s="72" t="str">
        <f>IFERROR(VLOOKUP(A7898,'[1]ST-QA-ZZ5'!$C$5:$M$299,11,0),"Inspection at production line")</f>
        <v>Inspection at production line</v>
      </c>
    </row>
    <row r="7899" spans="1:4" ht="13.8">
      <c r="A7899" s="47" t="s">
        <v>16267</v>
      </c>
      <c r="B7899" s="92" t="s">
        <v>1592</v>
      </c>
      <c r="C7899" s="92" t="s">
        <v>16268</v>
      </c>
      <c r="D7899" s="72" t="str">
        <f>IFERROR(VLOOKUP(A7899,'[1]ST-QA-ZZ5'!$C$5:$M$299,11,0),"Inspection at production line")</f>
        <v>Inspection at production line</v>
      </c>
    </row>
    <row r="7900" spans="1:4" ht="13.8">
      <c r="A7900" s="47" t="s">
        <v>16269</v>
      </c>
      <c r="B7900" s="92" t="s">
        <v>75</v>
      </c>
      <c r="C7900" s="92" t="s">
        <v>16270</v>
      </c>
      <c r="D7900" s="72" t="str">
        <f>IFERROR(VLOOKUP(A7900,'[1]ST-QA-ZZ5'!$C$5:$M$299,11,0),"Inspection at production line")</f>
        <v>Inspection at production line</v>
      </c>
    </row>
    <row r="7901" spans="1:4" ht="13.8">
      <c r="A7901" s="47" t="s">
        <v>16271</v>
      </c>
      <c r="B7901" s="92" t="s">
        <v>1219</v>
      </c>
      <c r="C7901" s="92" t="s">
        <v>11802</v>
      </c>
      <c r="D7901" s="72" t="str">
        <f>IFERROR(VLOOKUP(A7901,'[1]ST-QA-ZZ5'!$C$5:$M$299,11,0),"Inspection at production line")</f>
        <v>Inspection at production line</v>
      </c>
    </row>
    <row r="7902" spans="1:4" ht="13.8">
      <c r="A7902" s="47" t="s">
        <v>16272</v>
      </c>
      <c r="B7902" s="92" t="s">
        <v>857</v>
      </c>
      <c r="C7902" s="92" t="s">
        <v>16273</v>
      </c>
      <c r="D7902" s="72" t="str">
        <f>IFERROR(VLOOKUP(A7902,'[1]ST-QA-ZZ5'!$C$5:$M$299,11,0),"Inspection at production line")</f>
        <v>Inspection at production line</v>
      </c>
    </row>
    <row r="7903" spans="1:4" ht="13.8">
      <c r="A7903" s="47" t="s">
        <v>16274</v>
      </c>
      <c r="B7903" s="92" t="s">
        <v>857</v>
      </c>
      <c r="C7903" s="92" t="s">
        <v>16275</v>
      </c>
      <c r="D7903" s="72" t="str">
        <f>IFERROR(VLOOKUP(A7903,'[1]ST-QA-ZZ5'!$C$5:$M$299,11,0),"Inspection at production line")</f>
        <v>Inspection at production line</v>
      </c>
    </row>
    <row r="7904" spans="1:4" ht="13.8">
      <c r="A7904" s="47" t="s">
        <v>16276</v>
      </c>
      <c r="B7904" s="92" t="s">
        <v>857</v>
      </c>
      <c r="C7904" s="92" t="s">
        <v>16277</v>
      </c>
      <c r="D7904" s="72" t="str">
        <f>IFERROR(VLOOKUP(A7904,'[1]ST-QA-ZZ5'!$C$5:$M$299,11,0),"Inspection at production line")</f>
        <v>Inspection at production line</v>
      </c>
    </row>
    <row r="7905" spans="1:4" ht="13.8">
      <c r="A7905" s="47" t="s">
        <v>16278</v>
      </c>
      <c r="B7905" s="92" t="s">
        <v>2024</v>
      </c>
      <c r="C7905" s="92" t="s">
        <v>16279</v>
      </c>
      <c r="D7905" s="72" t="str">
        <f>IFERROR(VLOOKUP(A7905,'[1]ST-QA-ZZ5'!$C$5:$M$299,11,0),"Inspection at production line")</f>
        <v>Inspection at production line</v>
      </c>
    </row>
    <row r="7906" spans="1:4" ht="13.8">
      <c r="A7906" s="47" t="s">
        <v>16280</v>
      </c>
      <c r="B7906" s="92" t="s">
        <v>2024</v>
      </c>
      <c r="C7906" s="92" t="s">
        <v>16281</v>
      </c>
      <c r="D7906" s="72" t="str">
        <f>IFERROR(VLOOKUP(A7906,'[1]ST-QA-ZZ5'!$C$5:$M$299,11,0),"Inspection at production line")</f>
        <v>Inspection at production line</v>
      </c>
    </row>
    <row r="7907" spans="1:4" ht="13.8">
      <c r="A7907" s="47" t="s">
        <v>16282</v>
      </c>
      <c r="B7907" s="92" t="s">
        <v>2024</v>
      </c>
      <c r="C7907" s="92" t="s">
        <v>16283</v>
      </c>
      <c r="D7907" s="72" t="str">
        <f>IFERROR(VLOOKUP(A7907,'[1]ST-QA-ZZ5'!$C$5:$M$299,11,0),"Inspection at production line")</f>
        <v>Inspection at production line</v>
      </c>
    </row>
    <row r="7908" spans="1:4" ht="13.8">
      <c r="A7908" s="47" t="s">
        <v>16284</v>
      </c>
      <c r="B7908" s="92" t="s">
        <v>994</v>
      </c>
      <c r="C7908" s="92" t="s">
        <v>4572</v>
      </c>
      <c r="D7908" s="72" t="str">
        <f>IFERROR(VLOOKUP(A7908,'[1]ST-QA-ZZ5'!$C$5:$M$299,11,0),"Inspection at production line")</f>
        <v>Inspection at production line</v>
      </c>
    </row>
    <row r="7909" spans="1:4" ht="13.8">
      <c r="A7909" s="47" t="s">
        <v>16285</v>
      </c>
      <c r="B7909" s="92" t="s">
        <v>857</v>
      </c>
      <c r="C7909" s="92" t="s">
        <v>16286</v>
      </c>
      <c r="D7909" s="72" t="str">
        <f>IFERROR(VLOOKUP(A7909,'[1]ST-QA-ZZ5'!$C$5:$M$299,11,0),"Inspection at production line")</f>
        <v>Inspection at production line</v>
      </c>
    </row>
    <row r="7910" spans="1:4" ht="13.8">
      <c r="A7910" s="47" t="s">
        <v>16287</v>
      </c>
      <c r="B7910" s="92" t="s">
        <v>857</v>
      </c>
      <c r="C7910" s="92" t="s">
        <v>16288</v>
      </c>
      <c r="D7910" s="72" t="str">
        <f>IFERROR(VLOOKUP(A7910,'[1]ST-QA-ZZ5'!$C$5:$M$299,11,0),"Inspection at production line")</f>
        <v>Inspection at production line</v>
      </c>
    </row>
    <row r="7911" spans="1:4" ht="13.8">
      <c r="A7911" s="47" t="s">
        <v>16289</v>
      </c>
      <c r="B7911" s="92" t="s">
        <v>857</v>
      </c>
      <c r="C7911" s="92" t="s">
        <v>16290</v>
      </c>
      <c r="D7911" s="72" t="str">
        <f>IFERROR(VLOOKUP(A7911,'[1]ST-QA-ZZ5'!$C$5:$M$299,11,0),"Inspection at production line")</f>
        <v>Inspection at production line</v>
      </c>
    </row>
    <row r="7912" spans="1:4" ht="13.8">
      <c r="A7912" s="47" t="s">
        <v>16291</v>
      </c>
      <c r="B7912" s="92" t="s">
        <v>16292</v>
      </c>
      <c r="C7912" s="92" t="s">
        <v>16293</v>
      </c>
      <c r="D7912" s="72" t="str">
        <f>IFERROR(VLOOKUP(A7912,'[1]ST-QA-ZZ5'!$C$5:$M$299,11,0),"Inspection at production line")</f>
        <v>Inspection at production line</v>
      </c>
    </row>
    <row r="7913" spans="1:4" ht="13.8">
      <c r="A7913" s="47" t="s">
        <v>16294</v>
      </c>
      <c r="B7913" s="92" t="s">
        <v>857</v>
      </c>
      <c r="C7913" s="92" t="s">
        <v>16295</v>
      </c>
      <c r="D7913" s="72" t="str">
        <f>IFERROR(VLOOKUP(A7913,'[1]ST-QA-ZZ5'!$C$5:$M$299,11,0),"Inspection at production line")</f>
        <v>Inspection at production line</v>
      </c>
    </row>
    <row r="7914" spans="1:4" ht="13.8">
      <c r="A7914" s="47" t="s">
        <v>16296</v>
      </c>
      <c r="B7914" s="92" t="s">
        <v>16297</v>
      </c>
      <c r="C7914" s="92" t="s">
        <v>16298</v>
      </c>
      <c r="D7914" s="72" t="str">
        <f>IFERROR(VLOOKUP(A7914,'[1]ST-QA-ZZ5'!$C$5:$M$299,11,0),"Inspection at production line")</f>
        <v>Inspection at production line</v>
      </c>
    </row>
    <row r="7915" spans="1:4" ht="13.8">
      <c r="A7915" s="47" t="s">
        <v>16299</v>
      </c>
      <c r="B7915" s="92" t="s">
        <v>857</v>
      </c>
      <c r="C7915" s="92" t="s">
        <v>16300</v>
      </c>
      <c r="D7915" s="72" t="str">
        <f>IFERROR(VLOOKUP(A7915,'[1]ST-QA-ZZ5'!$C$5:$M$299,11,0),"Inspection at production line")</f>
        <v>Inspection at production line</v>
      </c>
    </row>
    <row r="7916" spans="1:4" ht="13.8">
      <c r="A7916" s="47" t="s">
        <v>16301</v>
      </c>
      <c r="B7916" s="92" t="s">
        <v>857</v>
      </c>
      <c r="C7916" s="92" t="s">
        <v>16302</v>
      </c>
      <c r="D7916" s="72" t="str">
        <f>IFERROR(VLOOKUP(A7916,'[1]ST-QA-ZZ5'!$C$5:$M$299,11,0),"Inspection at production line")</f>
        <v>Inspection at production line</v>
      </c>
    </row>
    <row r="7917" spans="1:4" ht="13.8">
      <c r="A7917" s="47" t="s">
        <v>16303</v>
      </c>
      <c r="B7917" s="92" t="s">
        <v>5970</v>
      </c>
      <c r="C7917" s="92" t="s">
        <v>16304</v>
      </c>
      <c r="D7917" s="72" t="str">
        <f>IFERROR(VLOOKUP(A7917,'[1]ST-QA-ZZ5'!$C$5:$M$299,11,0),"Inspection at production line")</f>
        <v>Inspection at production line</v>
      </c>
    </row>
    <row r="7918" spans="1:4" ht="13.8">
      <c r="A7918" s="47" t="s">
        <v>16305</v>
      </c>
      <c r="B7918" s="92" t="s">
        <v>857</v>
      </c>
      <c r="C7918" s="92" t="s">
        <v>16306</v>
      </c>
      <c r="D7918" s="72" t="str">
        <f>IFERROR(VLOOKUP(A7918,'[1]ST-QA-ZZ5'!$C$5:$M$299,11,0),"Inspection at production line")</f>
        <v>Inspection at production line</v>
      </c>
    </row>
    <row r="7919" spans="1:4" ht="13.8">
      <c r="A7919" s="47" t="s">
        <v>16307</v>
      </c>
      <c r="B7919" s="92" t="s">
        <v>75</v>
      </c>
      <c r="C7919" s="92" t="s">
        <v>16308</v>
      </c>
      <c r="D7919" s="72" t="str">
        <f>IFERROR(VLOOKUP(A7919,'[1]ST-QA-ZZ5'!$C$5:$M$299,11,0),"Inspection at production line")</f>
        <v>Inspection at production line</v>
      </c>
    </row>
    <row r="7920" spans="1:4" ht="13.8">
      <c r="A7920" s="47" t="s">
        <v>16309</v>
      </c>
      <c r="B7920" s="92" t="s">
        <v>75</v>
      </c>
      <c r="C7920" s="92" t="s">
        <v>16310</v>
      </c>
      <c r="D7920" s="72" t="str">
        <f>IFERROR(VLOOKUP(A7920,'[1]ST-QA-ZZ5'!$C$5:$M$299,11,0),"Inspection at production line")</f>
        <v>Inspection at production line</v>
      </c>
    </row>
    <row r="7921" spans="1:4" ht="13.8">
      <c r="A7921" s="47" t="s">
        <v>16311</v>
      </c>
      <c r="B7921" s="92" t="s">
        <v>1554</v>
      </c>
      <c r="C7921" s="92" t="s">
        <v>16312</v>
      </c>
      <c r="D7921" s="72" t="str">
        <f>IFERROR(VLOOKUP(A7921,'[1]ST-QA-ZZ5'!$C$5:$M$299,11,0),"Inspection at production line")</f>
        <v>Inspection at production line</v>
      </c>
    </row>
    <row r="7922" spans="1:4" ht="13.8">
      <c r="A7922" s="47" t="s">
        <v>16313</v>
      </c>
      <c r="B7922" s="92" t="s">
        <v>857</v>
      </c>
      <c r="C7922" s="92" t="s">
        <v>5918</v>
      </c>
      <c r="D7922" s="72" t="str">
        <f>IFERROR(VLOOKUP(A7922,'[1]ST-QA-ZZ5'!$C$5:$M$299,11,0),"Inspection at production line")</f>
        <v>Inspection at production line</v>
      </c>
    </row>
    <row r="7923" spans="1:4" ht="13.8">
      <c r="A7923" s="47" t="s">
        <v>16314</v>
      </c>
      <c r="B7923" s="92" t="s">
        <v>857</v>
      </c>
      <c r="C7923" s="92" t="s">
        <v>16315</v>
      </c>
      <c r="D7923" s="72" t="str">
        <f>IFERROR(VLOOKUP(A7923,'[1]ST-QA-ZZ5'!$C$5:$M$299,11,0),"Inspection at production line")</f>
        <v>Inspection at production line</v>
      </c>
    </row>
    <row r="7924" spans="1:4" ht="13.8">
      <c r="A7924" s="47" t="s">
        <v>16316</v>
      </c>
      <c r="B7924" s="92" t="s">
        <v>857</v>
      </c>
      <c r="C7924" s="92" t="s">
        <v>16317</v>
      </c>
      <c r="D7924" s="72" t="str">
        <f>IFERROR(VLOOKUP(A7924,'[1]ST-QA-ZZ5'!$C$5:$M$299,11,0),"Inspection at production line")</f>
        <v>Inspection at production line</v>
      </c>
    </row>
    <row r="7925" spans="1:4" ht="13.8">
      <c r="A7925" s="47" t="s">
        <v>16318</v>
      </c>
      <c r="B7925" s="92" t="s">
        <v>857</v>
      </c>
      <c r="C7925" s="92" t="s">
        <v>16319</v>
      </c>
      <c r="D7925" s="72" t="str">
        <f>IFERROR(VLOOKUP(A7925,'[1]ST-QA-ZZ5'!$C$5:$M$299,11,0),"Inspection at production line")</f>
        <v>Inspection at production line</v>
      </c>
    </row>
    <row r="7926" spans="1:4" ht="13.8">
      <c r="A7926" s="47" t="s">
        <v>16320</v>
      </c>
      <c r="B7926" s="92" t="s">
        <v>857</v>
      </c>
      <c r="C7926" s="92" t="s">
        <v>16321</v>
      </c>
      <c r="D7926" s="72" t="str">
        <f>IFERROR(VLOOKUP(A7926,'[1]ST-QA-ZZ5'!$C$5:$M$299,11,0),"Inspection at production line")</f>
        <v>Inspection at production line</v>
      </c>
    </row>
    <row r="7927" spans="1:4" ht="13.8">
      <c r="A7927" s="47" t="s">
        <v>16322</v>
      </c>
      <c r="B7927" s="92" t="s">
        <v>857</v>
      </c>
      <c r="C7927" s="92" t="s">
        <v>16323</v>
      </c>
      <c r="D7927" s="72" t="str">
        <f>IFERROR(VLOOKUP(A7927,'[1]ST-QA-ZZ5'!$C$5:$M$299,11,0),"Inspection at production line")</f>
        <v>Inspection at production line</v>
      </c>
    </row>
    <row r="7928" spans="1:4" ht="13.8">
      <c r="A7928" s="47" t="s">
        <v>16324</v>
      </c>
      <c r="B7928" s="92" t="s">
        <v>857</v>
      </c>
      <c r="C7928" s="92" t="s">
        <v>16325</v>
      </c>
      <c r="D7928" s="72" t="str">
        <f>IFERROR(VLOOKUP(A7928,'[1]ST-QA-ZZ5'!$C$5:$M$299,11,0),"Inspection at production line")</f>
        <v>Inspection at production line</v>
      </c>
    </row>
    <row r="7929" spans="1:4" ht="13.8">
      <c r="A7929" s="47" t="s">
        <v>16326</v>
      </c>
      <c r="B7929" s="92" t="s">
        <v>2137</v>
      </c>
      <c r="C7929" s="92" t="s">
        <v>6784</v>
      </c>
      <c r="D7929" s="72" t="str">
        <f>IFERROR(VLOOKUP(A7929,'[1]ST-QA-ZZ5'!$C$5:$M$299,11,0),"Inspection at production line")</f>
        <v>Inspection at production line</v>
      </c>
    </row>
    <row r="7930" spans="1:4" ht="13.8">
      <c r="A7930" s="47" t="s">
        <v>16327</v>
      </c>
      <c r="B7930" s="92" t="s">
        <v>2190</v>
      </c>
      <c r="C7930" s="92" t="s">
        <v>16328</v>
      </c>
      <c r="D7930" s="72" t="str">
        <f>IFERROR(VLOOKUP(A7930,'[1]ST-QA-ZZ5'!$C$5:$M$299,11,0),"Inspection at production line")</f>
        <v>Inspection at production line</v>
      </c>
    </row>
    <row r="7931" spans="1:4" ht="13.8">
      <c r="A7931" s="47" t="s">
        <v>16329</v>
      </c>
      <c r="B7931" s="92" t="s">
        <v>903</v>
      </c>
      <c r="C7931" s="92" t="s">
        <v>16330</v>
      </c>
      <c r="D7931" s="72" t="str">
        <f>IFERROR(VLOOKUP(A7931,'[1]ST-QA-ZZ5'!$C$5:$M$299,11,0),"Inspection at production line")</f>
        <v>Inspection at production line</v>
      </c>
    </row>
    <row r="7932" spans="1:4" ht="13.8">
      <c r="A7932" s="47" t="s">
        <v>16331</v>
      </c>
      <c r="B7932" s="92" t="s">
        <v>352</v>
      </c>
      <c r="C7932" s="92" t="s">
        <v>16332</v>
      </c>
      <c r="D7932" s="72" t="str">
        <f>IFERROR(VLOOKUP(A7932,'[1]ST-QA-ZZ5'!$C$5:$M$299,11,0),"Inspection at production line")</f>
        <v>Inspection at production line</v>
      </c>
    </row>
    <row r="7933" spans="1:4" ht="13.8">
      <c r="A7933" s="47" t="s">
        <v>16333</v>
      </c>
      <c r="B7933" s="92" t="s">
        <v>352</v>
      </c>
      <c r="C7933" s="92" t="s">
        <v>16334</v>
      </c>
      <c r="D7933" s="72" t="str">
        <f>IFERROR(VLOOKUP(A7933,'[1]ST-QA-ZZ5'!$C$5:$M$299,11,0),"Inspection at production line")</f>
        <v>Inspection at production line</v>
      </c>
    </row>
    <row r="7934" spans="1:4" ht="13.8">
      <c r="A7934" s="47" t="s">
        <v>16335</v>
      </c>
      <c r="B7934" s="92" t="s">
        <v>371</v>
      </c>
      <c r="C7934" s="92" t="s">
        <v>16336</v>
      </c>
      <c r="D7934" s="72" t="str">
        <f>IFERROR(VLOOKUP(A7934,'[1]ST-QA-ZZ5'!$C$5:$M$299,11,0),"Inspection at production line")</f>
        <v>Inspection at production line</v>
      </c>
    </row>
    <row r="7935" spans="1:4" ht="13.8">
      <c r="A7935" s="47" t="s">
        <v>16337</v>
      </c>
      <c r="B7935" s="92" t="s">
        <v>2659</v>
      </c>
      <c r="C7935" s="92" t="s">
        <v>16338</v>
      </c>
      <c r="D7935" s="72" t="str">
        <f>IFERROR(VLOOKUP(A7935,'[1]ST-QA-ZZ5'!$C$5:$M$299,11,0),"Inspection at production line")</f>
        <v>Inspection at production line</v>
      </c>
    </row>
    <row r="7936" spans="1:4" ht="13.8">
      <c r="A7936" s="47" t="s">
        <v>16339</v>
      </c>
      <c r="B7936" s="92" t="s">
        <v>2659</v>
      </c>
      <c r="C7936" s="92" t="s">
        <v>12764</v>
      </c>
      <c r="D7936" s="72" t="str">
        <f>IFERROR(VLOOKUP(A7936,'[1]ST-QA-ZZ5'!$C$5:$M$299,11,0),"Inspection at production line")</f>
        <v>Inspection at production line</v>
      </c>
    </row>
    <row r="7937" spans="1:4" ht="13.8">
      <c r="A7937" s="47" t="s">
        <v>16340</v>
      </c>
      <c r="B7937" s="92" t="s">
        <v>900</v>
      </c>
      <c r="C7937" s="92" t="s">
        <v>6117</v>
      </c>
      <c r="D7937" s="72" t="str">
        <f>IFERROR(VLOOKUP(A7937,'[1]ST-QA-ZZ5'!$C$5:$M$299,11,0),"Inspection at production line")</f>
        <v>Inspection at production line</v>
      </c>
    </row>
    <row r="7938" spans="1:4" ht="13.8">
      <c r="A7938" s="47" t="s">
        <v>16341</v>
      </c>
      <c r="B7938" s="92" t="s">
        <v>2659</v>
      </c>
      <c r="C7938" s="92" t="s">
        <v>16342</v>
      </c>
      <c r="D7938" s="72" t="str">
        <f>IFERROR(VLOOKUP(A7938,'[1]ST-QA-ZZ5'!$C$5:$M$299,11,0),"Inspection at production line")</f>
        <v>Inspection at production line</v>
      </c>
    </row>
    <row r="7939" spans="1:4" ht="13.8">
      <c r="A7939" s="47" t="s">
        <v>16343</v>
      </c>
      <c r="B7939" s="92" t="s">
        <v>57</v>
      </c>
      <c r="C7939" s="92" t="s">
        <v>16344</v>
      </c>
      <c r="D7939" s="72" t="str">
        <f>IFERROR(VLOOKUP(A7939,'[1]ST-QA-ZZ5'!$C$5:$M$299,11,0),"Inspection at production line")</f>
        <v>Inspection at production line</v>
      </c>
    </row>
    <row r="7940" spans="1:4" ht="13.8">
      <c r="A7940" s="47" t="s">
        <v>16345</v>
      </c>
      <c r="B7940" s="92" t="s">
        <v>57</v>
      </c>
      <c r="C7940" s="92" t="s">
        <v>16346</v>
      </c>
      <c r="D7940" s="72" t="str">
        <f>IFERROR(VLOOKUP(A7940,'[1]ST-QA-ZZ5'!$C$5:$M$299,11,0),"Inspection at production line")</f>
        <v>Inspection at production line</v>
      </c>
    </row>
    <row r="7941" spans="1:4" ht="13.8">
      <c r="A7941" s="47" t="s">
        <v>16347</v>
      </c>
      <c r="B7941" s="92" t="s">
        <v>818</v>
      </c>
      <c r="C7941" s="92" t="s">
        <v>6129</v>
      </c>
      <c r="D7941" s="72" t="str">
        <f>IFERROR(VLOOKUP(A7941,'[1]ST-QA-ZZ5'!$C$5:$M$299,11,0),"Inspection at production line")</f>
        <v>Inspection at production line</v>
      </c>
    </row>
    <row r="7942" spans="1:4" ht="13.8">
      <c r="A7942" s="47" t="s">
        <v>16348</v>
      </c>
      <c r="B7942" s="92" t="s">
        <v>827</v>
      </c>
      <c r="C7942" s="92" t="s">
        <v>827</v>
      </c>
      <c r="D7942" s="72" t="str">
        <f>IFERROR(VLOOKUP(A7942,'[1]ST-QA-ZZ5'!$C$5:$M$299,11,0),"Inspection at production line")</f>
        <v>Inspection at production line</v>
      </c>
    </row>
    <row r="7943" spans="1:4" ht="13.8">
      <c r="A7943" s="47" t="s">
        <v>16349</v>
      </c>
      <c r="B7943" s="92" t="s">
        <v>2629</v>
      </c>
      <c r="C7943" s="92" t="s">
        <v>2629</v>
      </c>
      <c r="D7943" s="72" t="str">
        <f>IFERROR(VLOOKUP(A7943,'[1]ST-QA-ZZ5'!$C$5:$M$299,11,0),"Inspection at production line")</f>
        <v>Inspection at production line</v>
      </c>
    </row>
    <row r="7944" spans="1:4" ht="13.8">
      <c r="A7944" s="47" t="s">
        <v>16350</v>
      </c>
      <c r="B7944" s="92" t="s">
        <v>2423</v>
      </c>
      <c r="C7944" s="92" t="s">
        <v>6130</v>
      </c>
      <c r="D7944" s="72" t="str">
        <f>IFERROR(VLOOKUP(A7944,'[1]ST-QA-ZZ5'!$C$5:$M$299,11,0),"Inspection at production line")</f>
        <v>Inspection at production line</v>
      </c>
    </row>
    <row r="7945" spans="1:4" ht="13.8">
      <c r="A7945" s="47" t="s">
        <v>16351</v>
      </c>
      <c r="B7945" s="92" t="s">
        <v>2532</v>
      </c>
      <c r="C7945" s="92" t="s">
        <v>9608</v>
      </c>
      <c r="D7945" s="72" t="str">
        <f>IFERROR(VLOOKUP(A7945,'[1]ST-QA-ZZ5'!$C$5:$M$299,11,0),"Inspection at production line")</f>
        <v>Inspection at production line</v>
      </c>
    </row>
    <row r="7946" spans="1:4" ht="13.8">
      <c r="A7946" s="47" t="s">
        <v>16352</v>
      </c>
      <c r="B7946" s="92" t="s">
        <v>2584</v>
      </c>
      <c r="C7946" s="92" t="s">
        <v>12760</v>
      </c>
      <c r="D7946" s="72" t="str">
        <f>IFERROR(VLOOKUP(A7946,'[1]ST-QA-ZZ5'!$C$5:$M$299,11,0),"Inspection at production line")</f>
        <v>Inspection at production line</v>
      </c>
    </row>
    <row r="7947" spans="1:4" ht="13.8">
      <c r="A7947" s="47" t="s">
        <v>16353</v>
      </c>
      <c r="B7947" s="92" t="s">
        <v>4075</v>
      </c>
      <c r="C7947" s="92" t="s">
        <v>12754</v>
      </c>
      <c r="D7947" s="72" t="str">
        <f>IFERROR(VLOOKUP(A7947,'[1]ST-QA-ZZ5'!$C$5:$M$299,11,0),"Inspection at production line")</f>
        <v>Inspection at production line</v>
      </c>
    </row>
    <row r="7948" spans="1:4" ht="13.8">
      <c r="A7948" s="47" t="s">
        <v>16354</v>
      </c>
      <c r="B7948" s="92" t="s">
        <v>4956</v>
      </c>
      <c r="C7948" s="92" t="s">
        <v>16355</v>
      </c>
      <c r="D7948" s="72" t="str">
        <f>IFERROR(VLOOKUP(A7948,'[1]ST-QA-ZZ5'!$C$5:$M$299,11,0),"Inspection at production line")</f>
        <v>Inspection at production line</v>
      </c>
    </row>
    <row r="7949" spans="1:4" ht="13.8">
      <c r="A7949" s="47" t="s">
        <v>16356</v>
      </c>
      <c r="B7949" s="92" t="s">
        <v>1523</v>
      </c>
      <c r="C7949" s="92" t="s">
        <v>6131</v>
      </c>
      <c r="D7949" s="72" t="str">
        <f>IFERROR(VLOOKUP(A7949,'[1]ST-QA-ZZ5'!$C$5:$M$299,11,0),"Inspection at production line")</f>
        <v>Inspection at production line</v>
      </c>
    </row>
    <row r="7950" spans="1:4" ht="13.8">
      <c r="A7950" s="47" t="s">
        <v>16357</v>
      </c>
      <c r="B7950" s="92" t="s">
        <v>6271</v>
      </c>
      <c r="C7950" s="92" t="s">
        <v>16358</v>
      </c>
      <c r="D7950" s="72" t="str">
        <f>IFERROR(VLOOKUP(A7950,'[1]ST-QA-ZZ5'!$C$5:$M$299,11,0),"Inspection at production line")</f>
        <v>Inspection at production line</v>
      </c>
    </row>
    <row r="7951" spans="1:4" ht="13.8">
      <c r="A7951" s="47" t="s">
        <v>16359</v>
      </c>
      <c r="B7951" s="92" t="s">
        <v>1574</v>
      </c>
      <c r="C7951" s="92" t="s">
        <v>16360</v>
      </c>
      <c r="D7951" s="72" t="str">
        <f>IFERROR(VLOOKUP(A7951,'[1]ST-QA-ZZ5'!$C$5:$M$299,11,0),"Inspection at production line")</f>
        <v>Inspection at production line</v>
      </c>
    </row>
    <row r="7952" spans="1:4" ht="13.8">
      <c r="A7952" s="47" t="s">
        <v>16361</v>
      </c>
      <c r="B7952" s="92" t="s">
        <v>6236</v>
      </c>
      <c r="C7952" s="92" t="s">
        <v>6237</v>
      </c>
      <c r="D7952" s="72" t="str">
        <f>IFERROR(VLOOKUP(A7952,'[1]ST-QA-ZZ5'!$C$5:$M$299,11,0),"Inspection at production line")</f>
        <v>Inspection at production line</v>
      </c>
    </row>
    <row r="7953" spans="1:4" ht="13.8">
      <c r="A7953" s="47" t="s">
        <v>16362</v>
      </c>
      <c r="B7953" s="92" t="s">
        <v>1880</v>
      </c>
      <c r="C7953" s="92" t="s">
        <v>16363</v>
      </c>
      <c r="D7953" s="72" t="str">
        <f>IFERROR(VLOOKUP(A7953,'[1]ST-QA-ZZ5'!$C$5:$M$299,11,0),"Inspection at production line")</f>
        <v>Inspection at production line</v>
      </c>
    </row>
    <row r="7954" spans="1:4" ht="13.8">
      <c r="A7954" s="47" t="s">
        <v>16364</v>
      </c>
      <c r="B7954" s="92" t="s">
        <v>57</v>
      </c>
      <c r="C7954" s="92" t="s">
        <v>16365</v>
      </c>
      <c r="D7954" s="72" t="str">
        <f>IFERROR(VLOOKUP(A7954,'[1]ST-QA-ZZ5'!$C$5:$M$299,11,0),"Inspection at production line")</f>
        <v>Inspection at production line</v>
      </c>
    </row>
    <row r="7955" spans="1:4" ht="13.8">
      <c r="A7955" s="47" t="s">
        <v>16366</v>
      </c>
      <c r="B7955" s="92" t="s">
        <v>6236</v>
      </c>
      <c r="C7955" s="92" t="s">
        <v>16367</v>
      </c>
      <c r="D7955" s="72" t="str">
        <f>IFERROR(VLOOKUP(A7955,'[1]ST-QA-ZZ5'!$C$5:$M$299,11,0),"Inspection at production line")</f>
        <v>Inspection at production line</v>
      </c>
    </row>
    <row r="7956" spans="1:4" ht="13.8">
      <c r="A7956" s="47" t="s">
        <v>16368</v>
      </c>
      <c r="B7956" s="92" t="s">
        <v>6236</v>
      </c>
      <c r="C7956" s="92" t="s">
        <v>16369</v>
      </c>
      <c r="D7956" s="72" t="str">
        <f>IFERROR(VLOOKUP(A7956,'[1]ST-QA-ZZ5'!$C$5:$M$299,11,0),"Inspection at production line")</f>
        <v>Inspection at production line</v>
      </c>
    </row>
    <row r="7957" spans="1:4" ht="13.8">
      <c r="A7957" s="47" t="s">
        <v>16370</v>
      </c>
      <c r="B7957" s="92" t="s">
        <v>104</v>
      </c>
      <c r="C7957" s="92" t="s">
        <v>2603</v>
      </c>
      <c r="D7957" s="72" t="str">
        <f>IFERROR(VLOOKUP(A7957,'[1]ST-QA-ZZ5'!$C$5:$M$299,11,0),"Inspection at production line")</f>
        <v>Inspection at production line</v>
      </c>
    </row>
    <row r="7958" spans="1:4" ht="13.8">
      <c r="A7958" s="47" t="s">
        <v>16371</v>
      </c>
      <c r="B7958" s="92" t="s">
        <v>1177</v>
      </c>
      <c r="C7958" s="92" t="s">
        <v>12758</v>
      </c>
      <c r="D7958" s="72" t="str">
        <f>IFERROR(VLOOKUP(A7958,'[1]ST-QA-ZZ5'!$C$5:$M$299,11,0),"Inspection at production line")</f>
        <v>Inspection at production line</v>
      </c>
    </row>
    <row r="7959" spans="1:4" ht="13.8">
      <c r="A7959" s="47" t="s">
        <v>16372</v>
      </c>
      <c r="B7959" s="92" t="s">
        <v>4093</v>
      </c>
      <c r="C7959" s="92" t="s">
        <v>6133</v>
      </c>
      <c r="D7959" s="72" t="str">
        <f>IFERROR(VLOOKUP(A7959,'[1]ST-QA-ZZ5'!$C$5:$M$299,11,0),"Inspection at production line")</f>
        <v>Inspection at production line</v>
      </c>
    </row>
    <row r="7960" spans="1:4" ht="13.8">
      <c r="A7960" s="47" t="s">
        <v>16373</v>
      </c>
      <c r="B7960" s="92" t="s">
        <v>6271</v>
      </c>
      <c r="C7960" s="92" t="s">
        <v>16374</v>
      </c>
      <c r="D7960" s="72" t="str">
        <f>IFERROR(VLOOKUP(A7960,'[1]ST-QA-ZZ5'!$C$5:$M$299,11,0),"Inspection at production line")</f>
        <v>Inspection at production line</v>
      </c>
    </row>
    <row r="7961" spans="1:4" ht="13.8">
      <c r="A7961" s="47" t="s">
        <v>16375</v>
      </c>
      <c r="B7961" s="92" t="s">
        <v>2584</v>
      </c>
      <c r="C7961" s="92" t="s">
        <v>12772</v>
      </c>
      <c r="D7961" s="72" t="str">
        <f>IFERROR(VLOOKUP(A7961,'[1]ST-QA-ZZ5'!$C$5:$M$299,11,0),"Inspection at production line")</f>
        <v>Inspection at production line</v>
      </c>
    </row>
    <row r="7962" spans="1:4" ht="13.8">
      <c r="A7962" s="47" t="s">
        <v>16376</v>
      </c>
      <c r="B7962" s="92" t="s">
        <v>6236</v>
      </c>
      <c r="C7962" s="92" t="s">
        <v>16377</v>
      </c>
      <c r="D7962" s="72" t="str">
        <f>IFERROR(VLOOKUP(A7962,'[1]ST-QA-ZZ5'!$C$5:$M$299,11,0),"Inspection at production line")</f>
        <v>Inspection at production line</v>
      </c>
    </row>
    <row r="7963" spans="1:4" ht="13.8">
      <c r="A7963" s="47" t="s">
        <v>16378</v>
      </c>
      <c r="B7963" s="92" t="s">
        <v>1523</v>
      </c>
      <c r="C7963" s="92" t="s">
        <v>6134</v>
      </c>
      <c r="D7963" s="72" t="str">
        <f>IFERROR(VLOOKUP(A7963,'[1]ST-QA-ZZ5'!$C$5:$M$299,11,0),"Inspection at production line")</f>
        <v>Inspection at production line</v>
      </c>
    </row>
    <row r="7964" spans="1:4" ht="13.8">
      <c r="A7964" s="47" t="s">
        <v>16379</v>
      </c>
      <c r="B7964" s="92" t="s">
        <v>1574</v>
      </c>
      <c r="C7964" s="92" t="s">
        <v>16380</v>
      </c>
      <c r="D7964" s="72" t="str">
        <f>IFERROR(VLOOKUP(A7964,'[1]ST-QA-ZZ5'!$C$5:$M$299,11,0),"Inspection at production line")</f>
        <v>Inspection at production line</v>
      </c>
    </row>
    <row r="7965" spans="1:4" ht="13.8">
      <c r="A7965" s="47" t="s">
        <v>16381</v>
      </c>
      <c r="B7965" s="92" t="s">
        <v>1517</v>
      </c>
      <c r="C7965" s="92" t="s">
        <v>6136</v>
      </c>
      <c r="D7965" s="72" t="str">
        <f>IFERROR(VLOOKUP(A7965,'[1]ST-QA-ZZ5'!$C$5:$M$299,11,0),"Inspection at production line")</f>
        <v>Inspection at production line</v>
      </c>
    </row>
    <row r="7966" spans="1:4" ht="13.8">
      <c r="A7966" s="47" t="s">
        <v>16382</v>
      </c>
      <c r="B7966" s="92" t="s">
        <v>2500</v>
      </c>
      <c r="C7966" s="92" t="s">
        <v>2500</v>
      </c>
      <c r="D7966" s="72" t="str">
        <f>IFERROR(VLOOKUP(A7966,'[1]ST-QA-ZZ5'!$C$5:$M$299,11,0),"Inspection at production line")</f>
        <v>Inspection at production line</v>
      </c>
    </row>
    <row r="7967" spans="1:4" ht="13.8">
      <c r="A7967" s="47" t="s">
        <v>16383</v>
      </c>
      <c r="B7967" s="92" t="s">
        <v>4075</v>
      </c>
      <c r="C7967" s="92" t="s">
        <v>16384</v>
      </c>
      <c r="D7967" s="72" t="str">
        <f>IFERROR(VLOOKUP(A7967,'[1]ST-QA-ZZ5'!$C$5:$M$299,11,0),"Inspection at production line")</f>
        <v>Inspection at production line</v>
      </c>
    </row>
    <row r="7968" spans="1:4" ht="13.8">
      <c r="A7968" s="47" t="s">
        <v>16385</v>
      </c>
      <c r="B7968" s="92" t="s">
        <v>310</v>
      </c>
      <c r="C7968" s="92" t="s">
        <v>311</v>
      </c>
      <c r="D7968" s="72" t="str">
        <f>IFERROR(VLOOKUP(A7968,'[1]ST-QA-ZZ5'!$C$5:$M$299,11,0),"Inspection at production line")</f>
        <v>Inspection at production line</v>
      </c>
    </row>
    <row r="7969" spans="1:4" ht="13.8">
      <c r="A7969" s="47" t="s">
        <v>16386</v>
      </c>
      <c r="B7969" s="92" t="s">
        <v>818</v>
      </c>
      <c r="C7969" s="92" t="s">
        <v>5172</v>
      </c>
      <c r="D7969" s="72" t="str">
        <f>IFERROR(VLOOKUP(A7969,'[1]ST-QA-ZZ5'!$C$5:$M$299,11,0),"Inspection at production line")</f>
        <v>Inspection at production line</v>
      </c>
    </row>
    <row r="7970" spans="1:4" ht="13.8">
      <c r="A7970" s="47" t="s">
        <v>16387</v>
      </c>
      <c r="B7970" s="92" t="s">
        <v>1875</v>
      </c>
      <c r="C7970" s="92" t="s">
        <v>1876</v>
      </c>
      <c r="D7970" s="72" t="str">
        <f>IFERROR(VLOOKUP(A7970,'[1]ST-QA-ZZ5'!$C$5:$M$299,11,0),"Inspection at production line")</f>
        <v>Inspection at production line</v>
      </c>
    </row>
    <row r="7971" spans="1:4" ht="13.8">
      <c r="A7971" s="47" t="s">
        <v>16388</v>
      </c>
      <c r="B7971" s="92" t="s">
        <v>57</v>
      </c>
      <c r="C7971" s="92" t="s">
        <v>16389</v>
      </c>
      <c r="D7971" s="72" t="str">
        <f>IFERROR(VLOOKUP(A7971,'[1]ST-QA-ZZ5'!$C$5:$M$299,11,0),"Inspection at production line")</f>
        <v>Inspection at production line</v>
      </c>
    </row>
    <row r="7972" spans="1:4" ht="13.8">
      <c r="A7972" s="47" t="s">
        <v>16390</v>
      </c>
      <c r="B7972" s="92" t="s">
        <v>57</v>
      </c>
      <c r="C7972" s="92" t="s">
        <v>16391</v>
      </c>
      <c r="D7972" s="72" t="str">
        <f>IFERROR(VLOOKUP(A7972,'[1]ST-QA-ZZ5'!$C$5:$M$299,11,0),"Inspection at production line")</f>
        <v>Inspection at production line</v>
      </c>
    </row>
    <row r="7973" spans="1:4" ht="13.8">
      <c r="A7973" s="47" t="s">
        <v>16392</v>
      </c>
      <c r="B7973" s="92" t="s">
        <v>57</v>
      </c>
      <c r="C7973" s="92" t="s">
        <v>16393</v>
      </c>
      <c r="D7973" s="72" t="str">
        <f>IFERROR(VLOOKUP(A7973,'[1]ST-QA-ZZ5'!$C$5:$M$299,11,0),"Inspection at production line")</f>
        <v>Inspection at production line</v>
      </c>
    </row>
    <row r="7974" spans="1:4" ht="13.8">
      <c r="A7974" s="47" t="s">
        <v>16394</v>
      </c>
      <c r="B7974" s="92" t="s">
        <v>1177</v>
      </c>
      <c r="C7974" s="92" t="s">
        <v>16395</v>
      </c>
      <c r="D7974" s="72" t="str">
        <f>IFERROR(VLOOKUP(A7974,'[1]ST-QA-ZZ5'!$C$5:$M$299,11,0),"Inspection at production line")</f>
        <v>Inspection at production line</v>
      </c>
    </row>
    <row r="7975" spans="1:4" ht="13.8">
      <c r="A7975" s="47" t="s">
        <v>16396</v>
      </c>
      <c r="B7975" s="92" t="s">
        <v>7846</v>
      </c>
      <c r="C7975" s="92" t="s">
        <v>7846</v>
      </c>
      <c r="D7975" s="72" t="str">
        <f>IFERROR(VLOOKUP(A7975,'[1]ST-QA-ZZ5'!$C$5:$M$299,11,0),"Inspection at production line")</f>
        <v>Inspection at production line</v>
      </c>
    </row>
    <row r="7976" spans="1:4" ht="13.8">
      <c r="A7976" s="47" t="s">
        <v>16397</v>
      </c>
      <c r="B7976" s="92" t="s">
        <v>4075</v>
      </c>
      <c r="C7976" s="92" t="s">
        <v>6142</v>
      </c>
      <c r="D7976" s="72" t="str">
        <f>IFERROR(VLOOKUP(A7976,'[1]ST-QA-ZZ5'!$C$5:$M$299,11,0),"Inspection at production line")</f>
        <v>Inspection at production line</v>
      </c>
    </row>
    <row r="7977" spans="1:4" ht="13.8">
      <c r="A7977" s="47" t="s">
        <v>16398</v>
      </c>
      <c r="B7977" s="92" t="s">
        <v>119</v>
      </c>
      <c r="C7977" s="92" t="s">
        <v>16399</v>
      </c>
      <c r="D7977" s="72" t="str">
        <f>IFERROR(VLOOKUP(A7977,'[1]ST-QA-ZZ5'!$C$5:$M$299,11,0),"Inspection at production line")</f>
        <v>Inspection at production line</v>
      </c>
    </row>
    <row r="7978" spans="1:4" ht="13.8">
      <c r="A7978" s="47" t="s">
        <v>16400</v>
      </c>
      <c r="B7978" s="92" t="s">
        <v>4956</v>
      </c>
      <c r="C7978" s="92" t="s">
        <v>16401</v>
      </c>
      <c r="D7978" s="72" t="str">
        <f>IFERROR(VLOOKUP(A7978,'[1]ST-QA-ZZ5'!$C$5:$M$299,11,0),"Inspection at production line")</f>
        <v>Inspection at production line</v>
      </c>
    </row>
    <row r="7979" spans="1:4" ht="13.8">
      <c r="A7979" s="47" t="s">
        <v>16402</v>
      </c>
      <c r="B7979" s="92" t="s">
        <v>2074</v>
      </c>
      <c r="C7979" s="92" t="s">
        <v>5953</v>
      </c>
      <c r="D7979" s="72" t="str">
        <f>IFERROR(VLOOKUP(A7979,'[1]ST-QA-ZZ5'!$C$5:$M$299,11,0),"Inspection at production line")</f>
        <v>Inspection at production line</v>
      </c>
    </row>
    <row r="7980" spans="1:4" ht="13.8">
      <c r="A7980" s="47" t="s">
        <v>16403</v>
      </c>
      <c r="B7980" s="92" t="s">
        <v>16404</v>
      </c>
      <c r="C7980" s="92" t="s">
        <v>16404</v>
      </c>
      <c r="D7980" s="72" t="str">
        <f>IFERROR(VLOOKUP(A7980,'[1]ST-QA-ZZ5'!$C$5:$M$299,11,0),"Inspection at production line")</f>
        <v>Inspection at production line</v>
      </c>
    </row>
    <row r="7981" spans="1:4" ht="13.8">
      <c r="A7981" s="47" t="s">
        <v>16405</v>
      </c>
      <c r="B7981" s="92" t="s">
        <v>797</v>
      </c>
      <c r="C7981" s="92" t="s">
        <v>6146</v>
      </c>
      <c r="D7981" s="72" t="str">
        <f>IFERROR(VLOOKUP(A7981,'[1]ST-QA-ZZ5'!$C$5:$M$299,11,0),"Inspection at production line")</f>
        <v>Inspection at production line</v>
      </c>
    </row>
    <row r="7982" spans="1:4" ht="13.8">
      <c r="A7982" s="47" t="s">
        <v>16406</v>
      </c>
      <c r="B7982" s="92" t="s">
        <v>797</v>
      </c>
      <c r="C7982" s="92" t="s">
        <v>16407</v>
      </c>
      <c r="D7982" s="72" t="str">
        <f>IFERROR(VLOOKUP(A7982,'[1]ST-QA-ZZ5'!$C$5:$M$299,11,0),"Inspection at production line")</f>
        <v>Inspection at production line</v>
      </c>
    </row>
    <row r="7983" spans="1:4" ht="13.8">
      <c r="A7983" s="47" t="s">
        <v>16408</v>
      </c>
      <c r="B7983" s="92" t="s">
        <v>2566</v>
      </c>
      <c r="C7983" s="92" t="s">
        <v>16409</v>
      </c>
      <c r="D7983" s="72" t="str">
        <f>IFERROR(VLOOKUP(A7983,'[1]ST-QA-ZZ5'!$C$5:$M$299,11,0),"Inspection at production line")</f>
        <v>Inspection at production line</v>
      </c>
    </row>
    <row r="7984" spans="1:4" ht="13.8">
      <c r="A7984" s="47" t="s">
        <v>16410</v>
      </c>
      <c r="B7984" s="92" t="s">
        <v>2566</v>
      </c>
      <c r="C7984" s="92" t="s">
        <v>16411</v>
      </c>
      <c r="D7984" s="72" t="str">
        <f>IFERROR(VLOOKUP(A7984,'[1]ST-QA-ZZ5'!$C$5:$M$299,11,0),"Inspection at production line")</f>
        <v>Inspection at production line</v>
      </c>
    </row>
    <row r="7985" spans="1:4" ht="13.8">
      <c r="A7985" s="47" t="s">
        <v>16412</v>
      </c>
      <c r="B7985" s="92" t="s">
        <v>6271</v>
      </c>
      <c r="C7985" s="92" t="s">
        <v>16413</v>
      </c>
      <c r="D7985" s="72" t="str">
        <f>IFERROR(VLOOKUP(A7985,'[1]ST-QA-ZZ5'!$C$5:$M$299,11,0),"Inspection at production line")</f>
        <v>Inspection at production line</v>
      </c>
    </row>
    <row r="7986" spans="1:4" ht="13.8">
      <c r="A7986" s="47" t="s">
        <v>16414</v>
      </c>
      <c r="B7986" s="92" t="s">
        <v>8301</v>
      </c>
      <c r="C7986" s="92" t="s">
        <v>8301</v>
      </c>
      <c r="D7986" s="72" t="str">
        <f>IFERROR(VLOOKUP(A7986,'[1]ST-QA-ZZ5'!$C$5:$M$299,11,0),"Inspection at production line")</f>
        <v>Inspection at production line</v>
      </c>
    </row>
    <row r="7987" spans="1:4" ht="13.8">
      <c r="A7987" s="47" t="s">
        <v>16415</v>
      </c>
      <c r="B7987" s="92" t="s">
        <v>213</v>
      </c>
      <c r="C7987" s="92" t="s">
        <v>213</v>
      </c>
      <c r="D7987" s="72" t="str">
        <f>IFERROR(VLOOKUP(A7987,'[1]ST-QA-ZZ5'!$C$5:$M$299,11,0),"Inspection at production line")</f>
        <v>Inspection at production line</v>
      </c>
    </row>
    <row r="7988" spans="1:4" ht="13.8">
      <c r="A7988" s="47" t="s">
        <v>16416</v>
      </c>
      <c r="B7988" s="92" t="s">
        <v>75</v>
      </c>
      <c r="C7988" s="92" t="s">
        <v>16417</v>
      </c>
      <c r="D7988" s="72" t="str">
        <f>IFERROR(VLOOKUP(A7988,'[1]ST-QA-ZZ5'!$C$5:$M$299,11,0),"Inspection at production line")</f>
        <v>Inspection at production line</v>
      </c>
    </row>
    <row r="7989" spans="1:4" ht="13.8">
      <c r="A7989" s="47" t="s">
        <v>16418</v>
      </c>
      <c r="B7989" s="92" t="s">
        <v>75</v>
      </c>
      <c r="C7989" s="92" t="s">
        <v>16419</v>
      </c>
      <c r="D7989" s="72" t="str">
        <f>IFERROR(VLOOKUP(A7989,'[1]ST-QA-ZZ5'!$C$5:$M$299,11,0),"Inspection at production line")</f>
        <v>Inspection at production line</v>
      </c>
    </row>
    <row r="7990" spans="1:4" ht="13.8">
      <c r="A7990" s="47" t="s">
        <v>16420</v>
      </c>
      <c r="B7990" s="92" t="s">
        <v>75</v>
      </c>
      <c r="C7990" s="92" t="s">
        <v>16421</v>
      </c>
      <c r="D7990" s="72" t="str">
        <f>IFERROR(VLOOKUP(A7990,'[1]ST-QA-ZZ5'!$C$5:$M$299,11,0),"Inspection at production line")</f>
        <v>Inspection at production line</v>
      </c>
    </row>
    <row r="7991" spans="1:4" ht="13.8">
      <c r="A7991" s="47" t="s">
        <v>16422</v>
      </c>
      <c r="B7991" s="92" t="s">
        <v>75</v>
      </c>
      <c r="C7991" s="92" t="s">
        <v>16423</v>
      </c>
      <c r="D7991" s="72" t="str">
        <f>IFERROR(VLOOKUP(A7991,'[1]ST-QA-ZZ5'!$C$5:$M$299,11,0),"Inspection at production line")</f>
        <v>Inspection at production line</v>
      </c>
    </row>
    <row r="7992" spans="1:4" ht="13.8">
      <c r="A7992" s="47" t="s">
        <v>16424</v>
      </c>
      <c r="B7992" s="92" t="s">
        <v>75</v>
      </c>
      <c r="C7992" s="92" t="s">
        <v>7943</v>
      </c>
      <c r="D7992" s="72" t="str">
        <f>IFERROR(VLOOKUP(A7992,'[1]ST-QA-ZZ5'!$C$5:$M$299,11,0),"Inspection at production line")</f>
        <v>Inspection at production line</v>
      </c>
    </row>
    <row r="7993" spans="1:4" ht="13.8">
      <c r="A7993" s="47" t="s">
        <v>16425</v>
      </c>
      <c r="B7993" s="92" t="s">
        <v>75</v>
      </c>
      <c r="C7993" s="92" t="s">
        <v>7943</v>
      </c>
      <c r="D7993" s="72" t="str">
        <f>IFERROR(VLOOKUP(A7993,'[1]ST-QA-ZZ5'!$C$5:$M$299,11,0),"Inspection at production line")</f>
        <v>Inspection at production line</v>
      </c>
    </row>
    <row r="7994" spans="1:4" ht="13.8">
      <c r="A7994" s="47" t="s">
        <v>16426</v>
      </c>
      <c r="B7994" s="92" t="s">
        <v>75</v>
      </c>
      <c r="C7994" s="92" t="s">
        <v>7943</v>
      </c>
      <c r="D7994" s="72" t="str">
        <f>IFERROR(VLOOKUP(A7994,'[1]ST-QA-ZZ5'!$C$5:$M$299,11,0),"Inspection at production line")</f>
        <v>Inspection at production line</v>
      </c>
    </row>
    <row r="7995" spans="1:4" ht="13.8">
      <c r="A7995" s="47" t="s">
        <v>16427</v>
      </c>
      <c r="B7995" s="92" t="s">
        <v>75</v>
      </c>
      <c r="C7995" s="92" t="s">
        <v>7943</v>
      </c>
      <c r="D7995" s="72" t="str">
        <f>IFERROR(VLOOKUP(A7995,'[1]ST-QA-ZZ5'!$C$5:$M$299,11,0),"Inspection at production line")</f>
        <v>Inspection at production line</v>
      </c>
    </row>
    <row r="7996" spans="1:4" ht="13.8">
      <c r="A7996" s="47" t="s">
        <v>16428</v>
      </c>
      <c r="B7996" s="92" t="s">
        <v>75</v>
      </c>
      <c r="C7996" s="92" t="s">
        <v>16429</v>
      </c>
      <c r="D7996" s="72" t="str">
        <f>IFERROR(VLOOKUP(A7996,'[1]ST-QA-ZZ5'!$C$5:$M$299,11,0),"Inspection at production line")</f>
        <v>Inspection at production line</v>
      </c>
    </row>
    <row r="7997" spans="1:4" ht="13.8">
      <c r="A7997" s="47" t="s">
        <v>16430</v>
      </c>
      <c r="B7997" s="92" t="s">
        <v>75</v>
      </c>
      <c r="C7997" s="92" t="s">
        <v>16431</v>
      </c>
      <c r="D7997" s="72" t="str">
        <f>IFERROR(VLOOKUP(A7997,'[1]ST-QA-ZZ5'!$C$5:$M$299,11,0),"Inspection at production line")</f>
        <v>Inspection at production line</v>
      </c>
    </row>
    <row r="7998" spans="1:4" ht="13.8">
      <c r="A7998" s="47" t="s">
        <v>16432</v>
      </c>
      <c r="B7998" s="92" t="s">
        <v>75</v>
      </c>
      <c r="C7998" s="92" t="s">
        <v>16433</v>
      </c>
      <c r="D7998" s="72" t="str">
        <f>IFERROR(VLOOKUP(A7998,'[1]ST-QA-ZZ5'!$C$5:$M$299,11,0),"Inspection at production line")</f>
        <v>Inspection at production line</v>
      </c>
    </row>
    <row r="7999" spans="1:4" ht="13.8">
      <c r="A7999" s="47" t="s">
        <v>16434</v>
      </c>
      <c r="B7999" s="92" t="s">
        <v>75</v>
      </c>
      <c r="C7999" s="92" t="s">
        <v>16435</v>
      </c>
      <c r="D7999" s="72" t="str">
        <f>IFERROR(VLOOKUP(A7999,'[1]ST-QA-ZZ5'!$C$5:$M$299,11,0),"Inspection at production line")</f>
        <v>Inspection at production line</v>
      </c>
    </row>
    <row r="8000" spans="1:4" ht="13.8">
      <c r="A8000" s="47" t="s">
        <v>16436</v>
      </c>
      <c r="B8000" s="92" t="s">
        <v>75</v>
      </c>
      <c r="C8000" s="92" t="s">
        <v>16437</v>
      </c>
      <c r="D8000" s="72" t="str">
        <f>IFERROR(VLOOKUP(A8000,'[1]ST-QA-ZZ5'!$C$5:$M$299,11,0),"Inspection at production line")</f>
        <v>Inspection at production line</v>
      </c>
    </row>
    <row r="8001" spans="1:4" ht="13.8">
      <c r="A8001" s="47" t="s">
        <v>16438</v>
      </c>
      <c r="B8001" s="92" t="s">
        <v>75</v>
      </c>
      <c r="C8001" s="92" t="s">
        <v>16439</v>
      </c>
      <c r="D8001" s="72" t="str">
        <f>IFERROR(VLOOKUP(A8001,'[1]ST-QA-ZZ5'!$C$5:$M$299,11,0),"Inspection at production line")</f>
        <v>Inspection at production line</v>
      </c>
    </row>
    <row r="8002" spans="1:4" ht="13.8">
      <c r="A8002" s="47" t="s">
        <v>16440</v>
      </c>
      <c r="B8002" s="92" t="s">
        <v>75</v>
      </c>
      <c r="C8002" s="92" t="s">
        <v>16441</v>
      </c>
      <c r="D8002" s="72" t="str">
        <f>IFERROR(VLOOKUP(A8002,'[1]ST-QA-ZZ5'!$C$5:$M$299,11,0),"Inspection at production line")</f>
        <v>Inspection at production line</v>
      </c>
    </row>
    <row r="8003" spans="1:4" ht="13.8">
      <c r="A8003" s="47" t="s">
        <v>16442</v>
      </c>
      <c r="B8003" s="92" t="s">
        <v>75</v>
      </c>
      <c r="C8003" s="92" t="s">
        <v>16443</v>
      </c>
      <c r="D8003" s="72" t="str">
        <f>IFERROR(VLOOKUP(A8003,'[1]ST-QA-ZZ5'!$C$5:$M$299,11,0),"Inspection at production line")</f>
        <v>Inspection at production line</v>
      </c>
    </row>
    <row r="8004" spans="1:4" ht="13.8">
      <c r="A8004" s="47" t="s">
        <v>16444</v>
      </c>
      <c r="B8004" s="92" t="s">
        <v>75</v>
      </c>
      <c r="C8004" s="92" t="s">
        <v>16445</v>
      </c>
      <c r="D8004" s="72" t="str">
        <f>IFERROR(VLOOKUP(A8004,'[1]ST-QA-ZZ5'!$C$5:$M$299,11,0),"Inspection at production line")</f>
        <v>Inspection at production line</v>
      </c>
    </row>
    <row r="8005" spans="1:4" ht="13.8">
      <c r="A8005" s="47" t="s">
        <v>16446</v>
      </c>
      <c r="B8005" s="92" t="s">
        <v>75</v>
      </c>
      <c r="C8005" s="92" t="s">
        <v>6357</v>
      </c>
      <c r="D8005" s="72" t="str">
        <f>IFERROR(VLOOKUP(A8005,'[1]ST-QA-ZZ5'!$C$5:$M$299,11,0),"Inspection at production line")</f>
        <v>Inspection at production line</v>
      </c>
    </row>
    <row r="8006" spans="1:4" ht="13.8">
      <c r="A8006" s="47" t="s">
        <v>16447</v>
      </c>
      <c r="B8006" s="92" t="s">
        <v>75</v>
      </c>
      <c r="C8006" s="92" t="s">
        <v>6357</v>
      </c>
      <c r="D8006" s="72" t="str">
        <f>IFERROR(VLOOKUP(A8006,'[1]ST-QA-ZZ5'!$C$5:$M$299,11,0),"Inspection at production line")</f>
        <v>Inspection at production line</v>
      </c>
    </row>
    <row r="8007" spans="1:4" ht="13.8">
      <c r="A8007" s="47" t="s">
        <v>16448</v>
      </c>
      <c r="B8007" s="92" t="s">
        <v>75</v>
      </c>
      <c r="C8007" s="92" t="s">
        <v>6257</v>
      </c>
      <c r="D8007" s="72" t="str">
        <f>IFERROR(VLOOKUP(A8007,'[1]ST-QA-ZZ5'!$C$5:$M$299,11,0),"Inspection at production line")</f>
        <v>Inspection at production line</v>
      </c>
    </row>
    <row r="8008" spans="1:4" ht="13.8">
      <c r="A8008" s="47" t="s">
        <v>16449</v>
      </c>
      <c r="B8008" s="92" t="s">
        <v>75</v>
      </c>
      <c r="C8008" s="92" t="s">
        <v>16450</v>
      </c>
      <c r="D8008" s="72" t="str">
        <f>IFERROR(VLOOKUP(A8008,'[1]ST-QA-ZZ5'!$C$5:$M$299,11,0),"Inspection at production line")</f>
        <v>Inspection at production line</v>
      </c>
    </row>
    <row r="8009" spans="1:4" ht="13.8">
      <c r="A8009" s="47" t="s">
        <v>16451</v>
      </c>
      <c r="B8009" s="92" t="s">
        <v>75</v>
      </c>
      <c r="C8009" s="92" t="s">
        <v>16452</v>
      </c>
      <c r="D8009" s="72" t="str">
        <f>IFERROR(VLOOKUP(A8009,'[1]ST-QA-ZZ5'!$C$5:$M$299,11,0),"Inspection at production line")</f>
        <v>Inspection at production line</v>
      </c>
    </row>
    <row r="8010" spans="1:4" ht="13.8">
      <c r="A8010" s="47" t="s">
        <v>16453</v>
      </c>
      <c r="B8010" s="92" t="s">
        <v>75</v>
      </c>
      <c r="C8010" s="92" t="s">
        <v>16454</v>
      </c>
      <c r="D8010" s="72" t="str">
        <f>IFERROR(VLOOKUP(A8010,'[1]ST-QA-ZZ5'!$C$5:$M$299,11,0),"Inspection at production line")</f>
        <v>Inspection at production line</v>
      </c>
    </row>
    <row r="8011" spans="1:4" ht="13.8">
      <c r="A8011" s="47" t="s">
        <v>16455</v>
      </c>
      <c r="B8011" s="92" t="s">
        <v>75</v>
      </c>
      <c r="C8011" s="92" t="s">
        <v>16456</v>
      </c>
      <c r="D8011" s="72" t="str">
        <f>IFERROR(VLOOKUP(A8011,'[1]ST-QA-ZZ5'!$C$5:$M$299,11,0),"Inspection at production line")</f>
        <v>Inspection at production line</v>
      </c>
    </row>
    <row r="8012" spans="1:4" ht="13.8">
      <c r="A8012" s="47" t="s">
        <v>16457</v>
      </c>
      <c r="B8012" s="92" t="s">
        <v>75</v>
      </c>
      <c r="C8012" s="92" t="s">
        <v>16458</v>
      </c>
      <c r="D8012" s="72" t="str">
        <f>IFERROR(VLOOKUP(A8012,'[1]ST-QA-ZZ5'!$C$5:$M$299,11,0),"Inspection at production line")</f>
        <v>Inspection at production line</v>
      </c>
    </row>
    <row r="8013" spans="1:4" ht="13.8">
      <c r="A8013" s="47" t="s">
        <v>16459</v>
      </c>
      <c r="B8013" s="92" t="s">
        <v>75</v>
      </c>
      <c r="C8013" s="92" t="s">
        <v>6204</v>
      </c>
      <c r="D8013" s="72" t="str">
        <f>IFERROR(VLOOKUP(A8013,'[1]ST-QA-ZZ5'!$C$5:$M$299,11,0),"Inspection at production line")</f>
        <v>Inspection at production line</v>
      </c>
    </row>
    <row r="8014" spans="1:4" ht="13.8">
      <c r="A8014" s="47" t="s">
        <v>16460</v>
      </c>
      <c r="B8014" s="92" t="s">
        <v>1554</v>
      </c>
      <c r="C8014" s="92" t="s">
        <v>6206</v>
      </c>
      <c r="D8014" s="72" t="str">
        <f>IFERROR(VLOOKUP(A8014,'[1]ST-QA-ZZ5'!$C$5:$M$299,11,0),"Inspection at production line")</f>
        <v>Inspection at production line</v>
      </c>
    </row>
    <row r="8015" spans="1:4" ht="13.8">
      <c r="A8015" s="47" t="s">
        <v>16461</v>
      </c>
      <c r="B8015" s="92" t="s">
        <v>1554</v>
      </c>
      <c r="C8015" s="92" t="s">
        <v>6208</v>
      </c>
      <c r="D8015" s="72" t="str">
        <f>IFERROR(VLOOKUP(A8015,'[1]ST-QA-ZZ5'!$C$5:$M$299,11,0),"Inspection at production line")</f>
        <v>Inspection at production line</v>
      </c>
    </row>
    <row r="8016" spans="1:4" ht="13.8">
      <c r="A8016" s="47" t="s">
        <v>16462</v>
      </c>
      <c r="B8016" s="92" t="s">
        <v>1554</v>
      </c>
      <c r="C8016" s="92" t="s">
        <v>6210</v>
      </c>
      <c r="D8016" s="72" t="str">
        <f>IFERROR(VLOOKUP(A8016,'[1]ST-QA-ZZ5'!$C$5:$M$299,11,0),"Inspection at production line")</f>
        <v>Inspection at production line</v>
      </c>
    </row>
    <row r="8017" spans="1:4" ht="13.8">
      <c r="A8017" s="47" t="s">
        <v>16463</v>
      </c>
      <c r="B8017" s="92" t="s">
        <v>1554</v>
      </c>
      <c r="C8017" s="92" t="s">
        <v>16464</v>
      </c>
      <c r="D8017" s="72" t="str">
        <f>IFERROR(VLOOKUP(A8017,'[1]ST-QA-ZZ5'!$C$5:$M$299,11,0),"Inspection at production line")</f>
        <v>Inspection at production line</v>
      </c>
    </row>
    <row r="8018" spans="1:4" ht="13.8">
      <c r="A8018" s="47" t="s">
        <v>16465</v>
      </c>
      <c r="B8018" s="92" t="s">
        <v>1543</v>
      </c>
      <c r="C8018" s="92" t="s">
        <v>6214</v>
      </c>
      <c r="D8018" s="72" t="str">
        <f>IFERROR(VLOOKUP(A8018,'[1]ST-QA-ZZ5'!$C$5:$M$299,11,0),"Inspection at production line")</f>
        <v>Inspection at production line</v>
      </c>
    </row>
    <row r="8019" spans="1:4" ht="13.8">
      <c r="A8019" s="47" t="s">
        <v>16466</v>
      </c>
      <c r="B8019" s="92" t="s">
        <v>1543</v>
      </c>
      <c r="C8019" s="92" t="s">
        <v>6216</v>
      </c>
      <c r="D8019" s="72" t="str">
        <f>IFERROR(VLOOKUP(A8019,'[1]ST-QA-ZZ5'!$C$5:$M$299,11,0),"Inspection at production line")</f>
        <v>Inspection at production line</v>
      </c>
    </row>
    <row r="8020" spans="1:4" ht="13.8">
      <c r="A8020" s="47" t="s">
        <v>16467</v>
      </c>
      <c r="B8020" s="92" t="s">
        <v>1543</v>
      </c>
      <c r="C8020" s="92" t="s">
        <v>6218</v>
      </c>
      <c r="D8020" s="72" t="str">
        <f>IFERROR(VLOOKUP(A8020,'[1]ST-QA-ZZ5'!$C$5:$M$299,11,0),"Inspection at production line")</f>
        <v>Inspection at production line</v>
      </c>
    </row>
    <row r="8021" spans="1:4" ht="13.8">
      <c r="A8021" s="47" t="s">
        <v>16468</v>
      </c>
      <c r="B8021" s="92" t="s">
        <v>1896</v>
      </c>
      <c r="C8021" s="92" t="s">
        <v>16469</v>
      </c>
      <c r="D8021" s="72" t="str">
        <f>IFERROR(VLOOKUP(A8021,'[1]ST-QA-ZZ5'!$C$5:$M$299,11,0),"Inspection at production line")</f>
        <v>Inspection at production line</v>
      </c>
    </row>
    <row r="8022" spans="1:4" ht="13.8">
      <c r="A8022" s="47" t="s">
        <v>16470</v>
      </c>
      <c r="B8022" s="92" t="s">
        <v>1896</v>
      </c>
      <c r="C8022" s="92" t="s">
        <v>16469</v>
      </c>
      <c r="D8022" s="72" t="str">
        <f>IFERROR(VLOOKUP(A8022,'[1]ST-QA-ZZ5'!$C$5:$M$299,11,0),"Inspection at production line")</f>
        <v>Inspection at production line</v>
      </c>
    </row>
    <row r="8023" spans="1:4" ht="13.8">
      <c r="A8023" s="47" t="s">
        <v>16471</v>
      </c>
      <c r="B8023" s="92" t="s">
        <v>1896</v>
      </c>
      <c r="C8023" s="92" t="s">
        <v>16469</v>
      </c>
      <c r="D8023" s="72" t="str">
        <f>IFERROR(VLOOKUP(A8023,'[1]ST-QA-ZZ5'!$C$5:$M$299,11,0),"Inspection at production line")</f>
        <v>Inspection at production line</v>
      </c>
    </row>
    <row r="8024" spans="1:4" ht="13.8">
      <c r="A8024" s="47" t="s">
        <v>16472</v>
      </c>
      <c r="B8024" s="92" t="s">
        <v>1554</v>
      </c>
      <c r="C8024" s="92" t="s">
        <v>6222</v>
      </c>
      <c r="D8024" s="72" t="str">
        <f>IFERROR(VLOOKUP(A8024,'[1]ST-QA-ZZ5'!$C$5:$M$299,11,0),"Inspection at production line")</f>
        <v>Inspection at production line</v>
      </c>
    </row>
    <row r="8025" spans="1:4" ht="13.8">
      <c r="A8025" s="47" t="s">
        <v>16473</v>
      </c>
      <c r="B8025" s="92" t="s">
        <v>68</v>
      </c>
      <c r="C8025" s="92" t="s">
        <v>16474</v>
      </c>
      <c r="D8025" s="72" t="str">
        <f>IFERROR(VLOOKUP(A8025,'[1]ST-QA-ZZ5'!$C$5:$M$299,11,0),"Inspection at production line")</f>
        <v>Inspection at production line</v>
      </c>
    </row>
    <row r="8026" spans="1:4" ht="13.8">
      <c r="A8026" s="47" t="s">
        <v>16475</v>
      </c>
      <c r="B8026" s="92" t="s">
        <v>174</v>
      </c>
      <c r="C8026" s="92" t="s">
        <v>517</v>
      </c>
      <c r="D8026" s="72" t="str">
        <f>IFERROR(VLOOKUP(A8026,'[1]ST-QA-ZZ5'!$C$5:$M$299,11,0),"Inspection at production line")</f>
        <v>Inspection at production line</v>
      </c>
    </row>
    <row r="8027" spans="1:4" ht="13.8">
      <c r="A8027" s="47" t="s">
        <v>16476</v>
      </c>
      <c r="B8027" s="92" t="s">
        <v>174</v>
      </c>
      <c r="C8027" s="92" t="s">
        <v>6227</v>
      </c>
      <c r="D8027" s="72" t="str">
        <f>IFERROR(VLOOKUP(A8027,'[1]ST-QA-ZZ5'!$C$5:$M$299,11,0),"Inspection at production line")</f>
        <v>Inspection at production line</v>
      </c>
    </row>
    <row r="8028" spans="1:4" ht="13.8">
      <c r="A8028" s="47" t="s">
        <v>16477</v>
      </c>
      <c r="B8028" s="92" t="s">
        <v>174</v>
      </c>
      <c r="C8028" s="92" t="s">
        <v>16478</v>
      </c>
      <c r="D8028" s="72" t="str">
        <f>IFERROR(VLOOKUP(A8028,'[1]ST-QA-ZZ5'!$C$5:$M$299,11,0),"Inspection at production line")</f>
        <v>Inspection at production line</v>
      </c>
    </row>
    <row r="8029" spans="1:4" ht="13.8">
      <c r="A8029" s="47" t="s">
        <v>16479</v>
      </c>
      <c r="B8029" s="92" t="s">
        <v>174</v>
      </c>
      <c r="C8029" s="92" t="s">
        <v>5115</v>
      </c>
      <c r="D8029" s="72" t="str">
        <f>IFERROR(VLOOKUP(A8029,'[1]ST-QA-ZZ5'!$C$5:$M$299,11,0),"Inspection at production line")</f>
        <v>Inspection at production line</v>
      </c>
    </row>
    <row r="8030" spans="1:4" ht="13.8">
      <c r="A8030" s="47" t="s">
        <v>16480</v>
      </c>
      <c r="B8030" s="92" t="s">
        <v>174</v>
      </c>
      <c r="C8030" s="92" t="s">
        <v>2005</v>
      </c>
      <c r="D8030" s="72" t="str">
        <f>IFERROR(VLOOKUP(A8030,'[1]ST-QA-ZZ5'!$C$5:$M$299,11,0),"Inspection at production line")</f>
        <v>Inspection at production line</v>
      </c>
    </row>
    <row r="8031" spans="1:4" ht="13.8">
      <c r="A8031" s="47" t="s">
        <v>16481</v>
      </c>
      <c r="B8031" s="92" t="s">
        <v>174</v>
      </c>
      <c r="C8031" s="92" t="s">
        <v>6231</v>
      </c>
      <c r="D8031" s="72" t="str">
        <f>IFERROR(VLOOKUP(A8031,'[1]ST-QA-ZZ5'!$C$5:$M$299,11,0),"Inspection at production line")</f>
        <v>Inspection at production line</v>
      </c>
    </row>
    <row r="8032" spans="1:4" ht="13.8">
      <c r="A8032" s="47" t="s">
        <v>16482</v>
      </c>
      <c r="B8032" s="92" t="s">
        <v>174</v>
      </c>
      <c r="C8032" s="92" t="s">
        <v>498</v>
      </c>
      <c r="D8032" s="72" t="str">
        <f>IFERROR(VLOOKUP(A8032,'[1]ST-QA-ZZ5'!$C$5:$M$299,11,0),"Inspection at production line")</f>
        <v>Inspection at production line</v>
      </c>
    </row>
    <row r="8033" spans="1:4" ht="13.8">
      <c r="A8033" s="47" t="s">
        <v>16483</v>
      </c>
      <c r="B8033" s="92" t="s">
        <v>174</v>
      </c>
      <c r="C8033" s="92" t="s">
        <v>6232</v>
      </c>
      <c r="D8033" s="72" t="str">
        <f>IFERROR(VLOOKUP(A8033,'[1]ST-QA-ZZ5'!$C$5:$M$299,11,0),"Inspection at production line")</f>
        <v>Inspection at production line</v>
      </c>
    </row>
    <row r="8034" spans="1:4" ht="13.8">
      <c r="A8034" s="47" t="s">
        <v>16484</v>
      </c>
      <c r="B8034" s="92" t="s">
        <v>1975</v>
      </c>
      <c r="C8034" s="92" t="s">
        <v>1976</v>
      </c>
      <c r="D8034" s="72" t="str">
        <f>IFERROR(VLOOKUP(A8034,'[1]ST-QA-ZZ5'!$C$5:$M$299,11,0),"Inspection at production line")</f>
        <v>Inspection at production line</v>
      </c>
    </row>
    <row r="8035" spans="1:4" ht="13.8">
      <c r="A8035" s="47" t="s">
        <v>16485</v>
      </c>
      <c r="B8035" s="92" t="s">
        <v>1959</v>
      </c>
      <c r="C8035" s="92" t="s">
        <v>1959</v>
      </c>
      <c r="D8035" s="72" t="str">
        <f>IFERROR(VLOOKUP(A8035,'[1]ST-QA-ZZ5'!$C$5:$M$299,11,0),"Inspection at production line")</f>
        <v>Inspection at production line</v>
      </c>
    </row>
    <row r="8036" spans="1:4" ht="13.8">
      <c r="A8036" s="47" t="s">
        <v>16486</v>
      </c>
      <c r="B8036" s="92" t="s">
        <v>317</v>
      </c>
      <c r="C8036" s="92" t="s">
        <v>317</v>
      </c>
      <c r="D8036" s="72" t="str">
        <f>IFERROR(VLOOKUP(A8036,'[1]ST-QA-ZZ5'!$C$5:$M$299,11,0),"Inspection at production line")</f>
        <v>Inspection at production line</v>
      </c>
    </row>
    <row r="8037" spans="1:4" ht="13.8">
      <c r="A8037" s="47" t="s">
        <v>16487</v>
      </c>
      <c r="B8037" s="92" t="s">
        <v>1980</v>
      </c>
      <c r="C8037" s="92" t="s">
        <v>1980</v>
      </c>
      <c r="D8037" s="72" t="str">
        <f>IFERROR(VLOOKUP(A8037,'[1]ST-QA-ZZ5'!$C$5:$M$299,11,0),"Inspection at production line")</f>
        <v>Inspection at production line</v>
      </c>
    </row>
    <row r="8038" spans="1:4" ht="13.8">
      <c r="A8038" s="47" t="s">
        <v>16488</v>
      </c>
      <c r="B8038" s="92" t="s">
        <v>5253</v>
      </c>
      <c r="C8038" s="92" t="s">
        <v>5253</v>
      </c>
      <c r="D8038" s="72" t="str">
        <f>IFERROR(VLOOKUP(A8038,'[1]ST-QA-ZZ5'!$C$5:$M$299,11,0),"Inspection at production line")</f>
        <v>Inspection at production line</v>
      </c>
    </row>
    <row r="8039" spans="1:4" ht="13.8">
      <c r="A8039" s="47" t="s">
        <v>16489</v>
      </c>
      <c r="B8039" s="92" t="s">
        <v>2037</v>
      </c>
      <c r="C8039" s="92" t="s">
        <v>2037</v>
      </c>
      <c r="D8039" s="72" t="str">
        <f>IFERROR(VLOOKUP(A8039,'[1]ST-QA-ZZ5'!$C$5:$M$299,11,0),"Inspection at production line")</f>
        <v>Inspection at production line</v>
      </c>
    </row>
    <row r="8040" spans="1:4" ht="13.8">
      <c r="A8040" s="47" t="s">
        <v>16490</v>
      </c>
      <c r="B8040" s="92" t="s">
        <v>16491</v>
      </c>
      <c r="C8040" s="92" t="s">
        <v>16492</v>
      </c>
      <c r="D8040" s="72" t="str">
        <f>IFERROR(VLOOKUP(A8040,'[1]ST-QA-ZZ5'!$C$5:$M$299,11,0),"Inspection at production line")</f>
        <v>Inspection at production line</v>
      </c>
    </row>
    <row r="8041" spans="1:4" ht="13.8">
      <c r="A8041" s="47" t="s">
        <v>16493</v>
      </c>
      <c r="B8041" s="92" t="s">
        <v>1880</v>
      </c>
      <c r="C8041" s="92" t="s">
        <v>16494</v>
      </c>
      <c r="D8041" s="72" t="str">
        <f>IFERROR(VLOOKUP(A8041,'[1]ST-QA-ZZ5'!$C$5:$M$299,11,0),"Inspection at production line")</f>
        <v>Inspection at production line</v>
      </c>
    </row>
    <row r="8042" spans="1:4" ht="13.8">
      <c r="A8042" s="47" t="s">
        <v>16495</v>
      </c>
      <c r="B8042" s="92" t="s">
        <v>75</v>
      </c>
      <c r="C8042" s="92" t="s">
        <v>16496</v>
      </c>
      <c r="D8042" s="72" t="str">
        <f>IFERROR(VLOOKUP(A8042,'[1]ST-QA-ZZ5'!$C$5:$M$299,11,0),"Inspection at production line")</f>
        <v>Inspection at production line</v>
      </c>
    </row>
    <row r="8043" spans="1:4" ht="13.8">
      <c r="A8043" s="47" t="s">
        <v>16497</v>
      </c>
      <c r="B8043" s="92" t="s">
        <v>857</v>
      </c>
      <c r="C8043" s="92" t="s">
        <v>16498</v>
      </c>
      <c r="D8043" s="72" t="str">
        <f>IFERROR(VLOOKUP(A8043,'[1]ST-QA-ZZ5'!$C$5:$M$299,11,0),"Inspection at production line")</f>
        <v>Inspection at production line</v>
      </c>
    </row>
    <row r="8044" spans="1:4" ht="13.8">
      <c r="A8044" s="47" t="s">
        <v>16499</v>
      </c>
      <c r="B8044" s="92" t="s">
        <v>857</v>
      </c>
      <c r="C8044" s="92" t="s">
        <v>16500</v>
      </c>
      <c r="D8044" s="72" t="str">
        <f>IFERROR(VLOOKUP(A8044,'[1]ST-QA-ZZ5'!$C$5:$M$299,11,0),"Inspection at production line")</f>
        <v>Inspection at production line</v>
      </c>
    </row>
    <row r="8045" spans="1:4" ht="13.8">
      <c r="A8045" s="47" t="s">
        <v>16501</v>
      </c>
      <c r="B8045" s="92" t="s">
        <v>857</v>
      </c>
      <c r="C8045" s="92" t="s">
        <v>16502</v>
      </c>
      <c r="D8045" s="72" t="str">
        <f>IFERROR(VLOOKUP(A8045,'[1]ST-QA-ZZ5'!$C$5:$M$299,11,0),"Inspection at production line")</f>
        <v>Inspection at production line</v>
      </c>
    </row>
    <row r="8046" spans="1:4" ht="13.8">
      <c r="A8046" s="47" t="s">
        <v>16503</v>
      </c>
      <c r="B8046" s="92" t="s">
        <v>857</v>
      </c>
      <c r="C8046" s="92" t="s">
        <v>16504</v>
      </c>
      <c r="D8046" s="72" t="str">
        <f>IFERROR(VLOOKUP(A8046,'[1]ST-QA-ZZ5'!$C$5:$M$299,11,0),"Inspection at production line")</f>
        <v>Inspection at production line</v>
      </c>
    </row>
    <row r="8047" spans="1:4" ht="13.8">
      <c r="A8047" s="47" t="s">
        <v>16505</v>
      </c>
      <c r="B8047" s="92" t="s">
        <v>857</v>
      </c>
      <c r="C8047" s="92" t="s">
        <v>16506</v>
      </c>
      <c r="D8047" s="72" t="str">
        <f>IFERROR(VLOOKUP(A8047,'[1]ST-QA-ZZ5'!$C$5:$M$299,11,0),"Inspection at production line")</f>
        <v>Inspection at production line</v>
      </c>
    </row>
    <row r="8048" spans="1:4" ht="13.8">
      <c r="A8048" s="47" t="s">
        <v>16507</v>
      </c>
      <c r="B8048" s="92" t="s">
        <v>16508</v>
      </c>
      <c r="C8048" s="92" t="s">
        <v>16508</v>
      </c>
      <c r="D8048" s="72" t="str">
        <f>IFERROR(VLOOKUP(A8048,'[1]ST-QA-ZZ5'!$C$5:$M$299,11,0),"Inspection at production line")</f>
        <v>Inspection at production line</v>
      </c>
    </row>
    <row r="8049" spans="1:4" ht="13.8">
      <c r="A8049" s="47" t="s">
        <v>16509</v>
      </c>
      <c r="B8049" s="92" t="s">
        <v>555</v>
      </c>
      <c r="C8049" s="92" t="s">
        <v>12628</v>
      </c>
      <c r="D8049" s="72" t="str">
        <f>IFERROR(VLOOKUP(A8049,'[1]ST-QA-ZZ5'!$C$5:$M$299,11,0),"Inspection at production line")</f>
        <v>Inspection at production line</v>
      </c>
    </row>
    <row r="8050" spans="1:4" ht="13.8">
      <c r="A8050" s="47" t="s">
        <v>16510</v>
      </c>
      <c r="B8050" s="92" t="s">
        <v>555</v>
      </c>
      <c r="C8050" s="92" t="s">
        <v>16511</v>
      </c>
      <c r="D8050" s="72" t="str">
        <f>IFERROR(VLOOKUP(A8050,'[1]ST-QA-ZZ5'!$C$5:$M$299,11,0),"Inspection at production line")</f>
        <v>Inspection at production line</v>
      </c>
    </row>
    <row r="8051" spans="1:4" ht="13.8">
      <c r="A8051" s="47" t="s">
        <v>16512</v>
      </c>
      <c r="B8051" s="92" t="s">
        <v>555</v>
      </c>
      <c r="C8051" s="92" t="s">
        <v>16513</v>
      </c>
      <c r="D8051" s="72" t="str">
        <f>IFERROR(VLOOKUP(A8051,'[1]ST-QA-ZZ5'!$C$5:$M$299,11,0),"Inspection at production line")</f>
        <v>Inspection at production line</v>
      </c>
    </row>
    <row r="8052" spans="1:4" ht="13.8">
      <c r="A8052" s="47" t="s">
        <v>16514</v>
      </c>
      <c r="B8052" s="92" t="s">
        <v>555</v>
      </c>
      <c r="C8052" s="92" t="s">
        <v>16515</v>
      </c>
      <c r="D8052" s="72" t="str">
        <f>IFERROR(VLOOKUP(A8052,'[1]ST-QA-ZZ5'!$C$5:$M$299,11,0),"Inspection at production line")</f>
        <v>Inspection at production line</v>
      </c>
    </row>
    <row r="8053" spans="1:4" ht="13.8">
      <c r="A8053" s="47" t="s">
        <v>16516</v>
      </c>
      <c r="B8053" s="92" t="s">
        <v>555</v>
      </c>
      <c r="C8053" s="92" t="s">
        <v>16517</v>
      </c>
      <c r="D8053" s="72" t="str">
        <f>IFERROR(VLOOKUP(A8053,'[1]ST-QA-ZZ5'!$C$5:$M$299,11,0),"Inspection at production line")</f>
        <v>Inspection at production line</v>
      </c>
    </row>
    <row r="8054" spans="1:4" ht="13.8">
      <c r="A8054" s="47" t="s">
        <v>16518</v>
      </c>
      <c r="B8054" s="92" t="s">
        <v>555</v>
      </c>
      <c r="C8054" s="92" t="s">
        <v>16519</v>
      </c>
      <c r="D8054" s="72" t="str">
        <f>IFERROR(VLOOKUP(A8054,'[1]ST-QA-ZZ5'!$C$5:$M$299,11,0),"Inspection at production line")</f>
        <v>Inspection at production line</v>
      </c>
    </row>
    <row r="8055" spans="1:4" ht="13.8">
      <c r="A8055" s="47" t="s">
        <v>16520</v>
      </c>
      <c r="B8055" s="92" t="s">
        <v>555</v>
      </c>
      <c r="C8055" s="92" t="s">
        <v>16521</v>
      </c>
      <c r="D8055" s="72" t="str">
        <f>IFERROR(VLOOKUP(A8055,'[1]ST-QA-ZZ5'!$C$5:$M$299,11,0),"Inspection at production line")</f>
        <v>Inspection at production line</v>
      </c>
    </row>
    <row r="8056" spans="1:4" ht="13.8">
      <c r="A8056" s="47" t="s">
        <v>16522</v>
      </c>
      <c r="B8056" s="92" t="s">
        <v>555</v>
      </c>
      <c r="C8056" s="92" t="s">
        <v>16523</v>
      </c>
      <c r="D8056" s="72" t="str">
        <f>IFERROR(VLOOKUP(A8056,'[1]ST-QA-ZZ5'!$C$5:$M$299,11,0),"Inspection at production line")</f>
        <v>Inspection at production line</v>
      </c>
    </row>
    <row r="8057" spans="1:4" ht="13.8">
      <c r="A8057" s="47" t="s">
        <v>16524</v>
      </c>
      <c r="B8057" s="92" t="s">
        <v>555</v>
      </c>
      <c r="C8057" s="92" t="s">
        <v>16525</v>
      </c>
      <c r="D8057" s="72" t="str">
        <f>IFERROR(VLOOKUP(A8057,'[1]ST-QA-ZZ5'!$C$5:$M$299,11,0),"Inspection at production line")</f>
        <v>Inspection at production line</v>
      </c>
    </row>
    <row r="8058" spans="1:4" ht="13.8">
      <c r="A8058" s="47" t="s">
        <v>16526</v>
      </c>
      <c r="B8058" s="92" t="s">
        <v>555</v>
      </c>
      <c r="C8058" s="92" t="s">
        <v>16527</v>
      </c>
      <c r="D8058" s="72" t="str">
        <f>IFERROR(VLOOKUP(A8058,'[1]ST-QA-ZZ5'!$C$5:$M$299,11,0),"Inspection at production line")</f>
        <v>Inspection at production line</v>
      </c>
    </row>
    <row r="8059" spans="1:4" ht="13.8">
      <c r="A8059" s="47" t="s">
        <v>16528</v>
      </c>
      <c r="B8059" s="92" t="s">
        <v>555</v>
      </c>
      <c r="C8059" s="92" t="s">
        <v>16529</v>
      </c>
      <c r="D8059" s="72" t="str">
        <f>IFERROR(VLOOKUP(A8059,'[1]ST-QA-ZZ5'!$C$5:$M$299,11,0),"Inspection at production line")</f>
        <v>Inspection at production line</v>
      </c>
    </row>
    <row r="8060" spans="1:4" ht="13.8">
      <c r="A8060" s="47" t="s">
        <v>16530</v>
      </c>
      <c r="B8060" s="92" t="s">
        <v>555</v>
      </c>
      <c r="C8060" s="92" t="s">
        <v>16531</v>
      </c>
      <c r="D8060" s="72" t="str">
        <f>IFERROR(VLOOKUP(A8060,'[1]ST-QA-ZZ5'!$C$5:$M$299,11,0),"Inspection at production line")</f>
        <v>Inspection at production line</v>
      </c>
    </row>
    <row r="8061" spans="1:4" ht="13.8">
      <c r="A8061" s="47" t="s">
        <v>16532</v>
      </c>
      <c r="B8061" s="92" t="s">
        <v>555</v>
      </c>
      <c r="C8061" s="92" t="s">
        <v>16533</v>
      </c>
      <c r="D8061" s="72" t="str">
        <f>IFERROR(VLOOKUP(A8061,'[1]ST-QA-ZZ5'!$C$5:$M$299,11,0),"Inspection at production line")</f>
        <v>Inspection at production line</v>
      </c>
    </row>
    <row r="8062" spans="1:4" ht="13.8">
      <c r="A8062" s="47" t="s">
        <v>16534</v>
      </c>
      <c r="B8062" s="92" t="s">
        <v>555</v>
      </c>
      <c r="C8062" s="92" t="s">
        <v>16535</v>
      </c>
      <c r="D8062" s="72" t="str">
        <f>IFERROR(VLOOKUP(A8062,'[1]ST-QA-ZZ5'!$C$5:$M$299,11,0),"Inspection at production line")</f>
        <v>Inspection at production line</v>
      </c>
    </row>
    <row r="8063" spans="1:4" ht="13.8">
      <c r="A8063" s="47" t="s">
        <v>16536</v>
      </c>
      <c r="B8063" s="92" t="s">
        <v>555</v>
      </c>
      <c r="C8063" s="92" t="s">
        <v>16537</v>
      </c>
      <c r="D8063" s="72" t="str">
        <f>IFERROR(VLOOKUP(A8063,'[1]ST-QA-ZZ5'!$C$5:$M$299,11,0),"Inspection at production line")</f>
        <v>Inspection at production line</v>
      </c>
    </row>
    <row r="8064" spans="1:4" ht="13.8">
      <c r="A8064" s="47" t="s">
        <v>16538</v>
      </c>
      <c r="B8064" s="92" t="s">
        <v>555</v>
      </c>
      <c r="C8064" s="92" t="s">
        <v>16539</v>
      </c>
      <c r="D8064" s="72" t="str">
        <f>IFERROR(VLOOKUP(A8064,'[1]ST-QA-ZZ5'!$C$5:$M$299,11,0),"Inspection at production line")</f>
        <v>Inspection at production line</v>
      </c>
    </row>
    <row r="8065" spans="1:4" ht="13.8">
      <c r="A8065" s="47" t="s">
        <v>16540</v>
      </c>
      <c r="B8065" s="92" t="s">
        <v>555</v>
      </c>
      <c r="C8065" s="92" t="s">
        <v>12634</v>
      </c>
      <c r="D8065" s="72" t="str">
        <f>IFERROR(VLOOKUP(A8065,'[1]ST-QA-ZZ5'!$C$5:$M$299,11,0),"Inspection at production line")</f>
        <v>Inspection at production line</v>
      </c>
    </row>
    <row r="8066" spans="1:4" ht="13.8">
      <c r="A8066" s="47" t="s">
        <v>16541</v>
      </c>
      <c r="B8066" s="92" t="s">
        <v>555</v>
      </c>
      <c r="C8066" s="92" t="s">
        <v>16542</v>
      </c>
      <c r="D8066" s="72" t="str">
        <f>IFERROR(VLOOKUP(A8066,'[1]ST-QA-ZZ5'!$C$5:$M$299,11,0),"Inspection at production line")</f>
        <v>Inspection at production line</v>
      </c>
    </row>
    <row r="8067" spans="1:4" ht="13.8">
      <c r="A8067" s="47" t="s">
        <v>16543</v>
      </c>
      <c r="B8067" s="92" t="s">
        <v>555</v>
      </c>
      <c r="C8067" s="92" t="s">
        <v>16544</v>
      </c>
      <c r="D8067" s="72" t="str">
        <f>IFERROR(VLOOKUP(A8067,'[1]ST-QA-ZZ5'!$C$5:$M$299,11,0),"Inspection at production line")</f>
        <v>Inspection at production line</v>
      </c>
    </row>
    <row r="8068" spans="1:4" ht="13.8">
      <c r="A8068" s="47" t="s">
        <v>16545</v>
      </c>
      <c r="B8068" s="92" t="s">
        <v>555</v>
      </c>
      <c r="C8068" s="92" t="s">
        <v>16546</v>
      </c>
      <c r="D8068" s="72" t="str">
        <f>IFERROR(VLOOKUP(A8068,'[1]ST-QA-ZZ5'!$C$5:$M$299,11,0),"Inspection at production line")</f>
        <v>Inspection at production line</v>
      </c>
    </row>
    <row r="8069" spans="1:4" ht="13.8">
      <c r="A8069" s="47" t="s">
        <v>16547</v>
      </c>
      <c r="B8069" s="92" t="s">
        <v>857</v>
      </c>
      <c r="C8069" s="92" t="s">
        <v>16548</v>
      </c>
      <c r="D8069" s="72" t="str">
        <f>IFERROR(VLOOKUP(A8069,'[1]ST-QA-ZZ5'!$C$5:$M$299,11,0),"Inspection at production line")</f>
        <v>Inspection at production line</v>
      </c>
    </row>
    <row r="8070" spans="1:4" ht="13.8">
      <c r="A8070" s="47" t="s">
        <v>16549</v>
      </c>
      <c r="B8070" s="92" t="s">
        <v>857</v>
      </c>
      <c r="C8070" s="92" t="s">
        <v>6251</v>
      </c>
      <c r="D8070" s="72" t="str">
        <f>IFERROR(VLOOKUP(A8070,'[1]ST-QA-ZZ5'!$C$5:$M$299,11,0),"Inspection at production line")</f>
        <v>Inspection at production line</v>
      </c>
    </row>
    <row r="8071" spans="1:4" ht="13.8">
      <c r="A8071" s="47" t="s">
        <v>16550</v>
      </c>
      <c r="B8071" s="92" t="s">
        <v>857</v>
      </c>
      <c r="C8071" s="92" t="s">
        <v>16551</v>
      </c>
      <c r="D8071" s="72" t="str">
        <f>IFERROR(VLOOKUP(A8071,'[1]ST-QA-ZZ5'!$C$5:$M$299,11,0),"Inspection at production line")</f>
        <v>Inspection at production line</v>
      </c>
    </row>
    <row r="8072" spans="1:4" ht="13.8">
      <c r="A8072" s="47" t="s">
        <v>16552</v>
      </c>
      <c r="B8072" s="92" t="s">
        <v>857</v>
      </c>
      <c r="C8072" s="92" t="s">
        <v>16553</v>
      </c>
      <c r="D8072" s="72" t="str">
        <f>IFERROR(VLOOKUP(A8072,'[1]ST-QA-ZZ5'!$C$5:$M$299,11,0),"Inspection at production line")</f>
        <v>Inspection at production line</v>
      </c>
    </row>
    <row r="8073" spans="1:4" ht="13.8">
      <c r="A8073" s="47" t="s">
        <v>16554</v>
      </c>
      <c r="B8073" s="92" t="s">
        <v>857</v>
      </c>
      <c r="C8073" s="92" t="s">
        <v>16555</v>
      </c>
      <c r="D8073" s="72" t="str">
        <f>IFERROR(VLOOKUP(A8073,'[1]ST-QA-ZZ5'!$C$5:$M$299,11,0),"Inspection at production line")</f>
        <v>Inspection at production line</v>
      </c>
    </row>
    <row r="8074" spans="1:4" ht="13.8">
      <c r="A8074" s="47" t="s">
        <v>16556</v>
      </c>
      <c r="B8074" s="92" t="s">
        <v>857</v>
      </c>
      <c r="C8074" s="92" t="s">
        <v>16557</v>
      </c>
      <c r="D8074" s="72" t="str">
        <f>IFERROR(VLOOKUP(A8074,'[1]ST-QA-ZZ5'!$C$5:$M$299,11,0),"Inspection at production line")</f>
        <v>Inspection at production line</v>
      </c>
    </row>
    <row r="8075" spans="1:4" ht="13.8">
      <c r="A8075" s="47" t="s">
        <v>16558</v>
      </c>
      <c r="B8075" s="92" t="s">
        <v>898</v>
      </c>
      <c r="C8075" s="92" t="s">
        <v>16559</v>
      </c>
      <c r="D8075" s="72" t="str">
        <f>IFERROR(VLOOKUP(A8075,'[1]ST-QA-ZZ5'!$C$5:$M$299,11,0),"Inspection at production line")</f>
        <v>Inspection at production line</v>
      </c>
    </row>
    <row r="8076" spans="1:4" ht="13.8">
      <c r="A8076" s="47" t="s">
        <v>16560</v>
      </c>
      <c r="B8076" s="92" t="s">
        <v>1219</v>
      </c>
      <c r="C8076" s="92" t="s">
        <v>16561</v>
      </c>
      <c r="D8076" s="72" t="str">
        <f>IFERROR(VLOOKUP(A8076,'[1]ST-QA-ZZ5'!$C$5:$M$299,11,0),"Inspection at production line")</f>
        <v>Inspection at production line</v>
      </c>
    </row>
    <row r="8077" spans="1:4" ht="13.8">
      <c r="A8077" s="47" t="s">
        <v>16562</v>
      </c>
      <c r="B8077" s="92" t="s">
        <v>1219</v>
      </c>
      <c r="C8077" s="92" t="s">
        <v>16563</v>
      </c>
      <c r="D8077" s="72" t="str">
        <f>IFERROR(VLOOKUP(A8077,'[1]ST-QA-ZZ5'!$C$5:$M$299,11,0),"Inspection at production line")</f>
        <v>Inspection at production line</v>
      </c>
    </row>
    <row r="8078" spans="1:4" ht="13.8">
      <c r="A8078" s="47" t="s">
        <v>16564</v>
      </c>
      <c r="B8078" s="92" t="s">
        <v>857</v>
      </c>
      <c r="C8078" s="92" t="s">
        <v>16565</v>
      </c>
      <c r="D8078" s="72" t="str">
        <f>IFERROR(VLOOKUP(A8078,'[1]ST-QA-ZZ5'!$C$5:$M$299,11,0),"Inspection at production line")</f>
        <v>Inspection at production line</v>
      </c>
    </row>
    <row r="8079" spans="1:4" ht="13.8">
      <c r="A8079" s="47" t="s">
        <v>16566</v>
      </c>
      <c r="B8079" s="92" t="s">
        <v>857</v>
      </c>
      <c r="C8079" s="92" t="s">
        <v>16567</v>
      </c>
      <c r="D8079" s="72" t="str">
        <f>IFERROR(VLOOKUP(A8079,'[1]ST-QA-ZZ5'!$C$5:$M$299,11,0),"Inspection at production line")</f>
        <v>Inspection at production line</v>
      </c>
    </row>
    <row r="8080" spans="1:4" ht="13.8">
      <c r="A8080" s="47" t="s">
        <v>16568</v>
      </c>
      <c r="B8080" s="92" t="s">
        <v>2423</v>
      </c>
      <c r="C8080" s="92" t="s">
        <v>2423</v>
      </c>
      <c r="D8080" s="72" t="str">
        <f>IFERROR(VLOOKUP(A8080,'[1]ST-QA-ZZ5'!$C$5:$M$299,11,0),"Inspection at production line")</f>
        <v>Inspection at production line</v>
      </c>
    </row>
    <row r="8081" spans="1:4" ht="13.8">
      <c r="A8081" s="47" t="s">
        <v>16569</v>
      </c>
      <c r="B8081" s="92" t="s">
        <v>2629</v>
      </c>
      <c r="C8081" s="92" t="s">
        <v>2629</v>
      </c>
      <c r="D8081" s="72" t="str">
        <f>IFERROR(VLOOKUP(A8081,'[1]ST-QA-ZZ5'!$C$5:$M$299,11,0),"Inspection at production line")</f>
        <v>Inspection at production line</v>
      </c>
    </row>
    <row r="8082" spans="1:4" ht="13.8">
      <c r="A8082" s="47" t="s">
        <v>16570</v>
      </c>
      <c r="B8082" s="92" t="s">
        <v>1167</v>
      </c>
      <c r="C8082" s="92" t="s">
        <v>16571</v>
      </c>
      <c r="D8082" s="72" t="str">
        <f>IFERROR(VLOOKUP(A8082,'[1]ST-QA-ZZ5'!$C$5:$M$299,11,0),"Inspection at production line")</f>
        <v>Inspection at production line</v>
      </c>
    </row>
    <row r="8083" spans="1:4" ht="13.8">
      <c r="A8083" s="47" t="s">
        <v>16572</v>
      </c>
      <c r="B8083" s="92" t="s">
        <v>814</v>
      </c>
      <c r="C8083" s="92" t="s">
        <v>16573</v>
      </c>
      <c r="D8083" s="72" t="str">
        <f>IFERROR(VLOOKUP(A8083,'[1]ST-QA-ZZ5'!$C$5:$M$299,11,0),"Inspection at production line")</f>
        <v>Inspection at production line</v>
      </c>
    </row>
    <row r="8084" spans="1:4" ht="13.8">
      <c r="A8084" s="47" t="s">
        <v>16574</v>
      </c>
      <c r="B8084" s="92" t="s">
        <v>1219</v>
      </c>
      <c r="C8084" s="92" t="s">
        <v>16575</v>
      </c>
      <c r="D8084" s="72" t="str">
        <f>IFERROR(VLOOKUP(A8084,'[1]ST-QA-ZZ5'!$C$5:$M$299,11,0),"Inspection at production line")</f>
        <v>Inspection at production line</v>
      </c>
    </row>
    <row r="8085" spans="1:4" ht="13.8">
      <c r="A8085" s="47" t="s">
        <v>16576</v>
      </c>
      <c r="B8085" s="92" t="s">
        <v>1219</v>
      </c>
      <c r="C8085" s="92" t="s">
        <v>16577</v>
      </c>
      <c r="D8085" s="72" t="str">
        <f>IFERROR(VLOOKUP(A8085,'[1]ST-QA-ZZ5'!$C$5:$M$299,11,0),"Inspection at production line")</f>
        <v>Inspection at production line</v>
      </c>
    </row>
    <row r="8086" spans="1:4" ht="13.8">
      <c r="A8086" s="47" t="s">
        <v>16578</v>
      </c>
      <c r="B8086" s="92" t="s">
        <v>857</v>
      </c>
      <c r="C8086" s="92" t="s">
        <v>6146</v>
      </c>
      <c r="D8086" s="72" t="str">
        <f>IFERROR(VLOOKUP(A8086,'[1]ST-QA-ZZ5'!$C$5:$M$299,11,0),"Inspection at production line")</f>
        <v>Inspection at production line</v>
      </c>
    </row>
    <row r="8087" spans="1:4" ht="13.8">
      <c r="A8087" s="47" t="s">
        <v>16579</v>
      </c>
      <c r="B8087" s="92" t="s">
        <v>857</v>
      </c>
      <c r="C8087" s="92" t="s">
        <v>6150</v>
      </c>
      <c r="D8087" s="72" t="str">
        <f>IFERROR(VLOOKUP(A8087,'[1]ST-QA-ZZ5'!$C$5:$M$299,11,0),"Inspection at production line")</f>
        <v>Inspection at production line</v>
      </c>
    </row>
    <row r="8088" spans="1:4" ht="13.8">
      <c r="A8088" s="47" t="s">
        <v>16580</v>
      </c>
      <c r="B8088" s="92" t="s">
        <v>397</v>
      </c>
      <c r="C8088" s="92" t="s">
        <v>13480</v>
      </c>
      <c r="D8088" s="72" t="str">
        <f>IFERROR(VLOOKUP(A8088,'[1]ST-QA-ZZ5'!$C$5:$M$299,11,0),"Inspection at production line")</f>
        <v>Inspection at production line</v>
      </c>
    </row>
    <row r="8089" spans="1:4" ht="13.8">
      <c r="A8089" s="47" t="s">
        <v>16581</v>
      </c>
      <c r="B8089" s="92" t="s">
        <v>813</v>
      </c>
      <c r="C8089" s="92" t="s">
        <v>1777</v>
      </c>
      <c r="D8089" s="72" t="str">
        <f>IFERROR(VLOOKUP(A8089,'[1]ST-QA-ZZ5'!$C$5:$M$299,11,0),"Inspection at production line")</f>
        <v>Inspection at production line</v>
      </c>
    </row>
    <row r="8090" spans="1:4" ht="13.8">
      <c r="A8090" s="47" t="s">
        <v>16582</v>
      </c>
      <c r="B8090" s="92" t="s">
        <v>397</v>
      </c>
      <c r="C8090" s="92" t="s">
        <v>16583</v>
      </c>
      <c r="D8090" s="72" t="str">
        <f>IFERROR(VLOOKUP(A8090,'[1]ST-QA-ZZ5'!$C$5:$M$299,11,0),"Inspection at production line")</f>
        <v>Inspection at production line</v>
      </c>
    </row>
    <row r="8091" spans="1:4" ht="13.8">
      <c r="A8091" s="47" t="s">
        <v>16584</v>
      </c>
      <c r="B8091" s="92" t="s">
        <v>898</v>
      </c>
      <c r="C8091" s="92" t="s">
        <v>16585</v>
      </c>
      <c r="D8091" s="72" t="str">
        <f>IFERROR(VLOOKUP(A8091,'[1]ST-QA-ZZ5'!$C$5:$M$299,11,0),"Inspection at production line")</f>
        <v>Inspection at production line</v>
      </c>
    </row>
    <row r="8092" spans="1:4" ht="13.8">
      <c r="A8092" s="47" t="s">
        <v>16586</v>
      </c>
      <c r="B8092" s="92" t="s">
        <v>857</v>
      </c>
      <c r="C8092" s="92" t="s">
        <v>16587</v>
      </c>
      <c r="D8092" s="72" t="str">
        <f>IFERROR(VLOOKUP(A8092,'[1]ST-QA-ZZ5'!$C$5:$M$299,11,0),"Inspection at production line")</f>
        <v>Inspection at production line</v>
      </c>
    </row>
    <row r="8093" spans="1:4" ht="13.8">
      <c r="A8093" s="47" t="s">
        <v>16588</v>
      </c>
      <c r="B8093" s="92" t="s">
        <v>857</v>
      </c>
      <c r="C8093" s="92" t="s">
        <v>16589</v>
      </c>
      <c r="D8093" s="72" t="str">
        <f>IFERROR(VLOOKUP(A8093,'[1]ST-QA-ZZ5'!$C$5:$M$299,11,0),"Inspection at production line")</f>
        <v>Inspection at production line</v>
      </c>
    </row>
    <row r="8094" spans="1:4" ht="13.8">
      <c r="A8094" s="47" t="s">
        <v>16590</v>
      </c>
      <c r="B8094" s="92" t="s">
        <v>16591</v>
      </c>
      <c r="C8094" s="92" t="s">
        <v>16592</v>
      </c>
      <c r="D8094" s="72" t="str">
        <f>IFERROR(VLOOKUP(A8094,'[1]ST-QA-ZZ5'!$C$5:$M$299,11,0),"Inspection at production line")</f>
        <v>Inspection at production line</v>
      </c>
    </row>
    <row r="8095" spans="1:4" ht="13.8">
      <c r="A8095" s="47" t="s">
        <v>16593</v>
      </c>
      <c r="B8095" s="92" t="s">
        <v>16591</v>
      </c>
      <c r="C8095" s="92" t="s">
        <v>16594</v>
      </c>
      <c r="D8095" s="72" t="str">
        <f>IFERROR(VLOOKUP(A8095,'[1]ST-QA-ZZ5'!$C$5:$M$299,11,0),"Inspection at production line")</f>
        <v>Inspection at production line</v>
      </c>
    </row>
    <row r="8096" spans="1:4" ht="13.8">
      <c r="A8096" s="47" t="s">
        <v>16595</v>
      </c>
      <c r="B8096" s="92" t="s">
        <v>5053</v>
      </c>
      <c r="C8096" s="92" t="s">
        <v>16596</v>
      </c>
      <c r="D8096" s="72" t="str">
        <f>IFERROR(VLOOKUP(A8096,'[1]ST-QA-ZZ5'!$C$5:$M$299,11,0),"Inspection at production line")</f>
        <v>Inspection at production line</v>
      </c>
    </row>
    <row r="8097" spans="1:4" ht="13.8">
      <c r="A8097" s="47" t="s">
        <v>16597</v>
      </c>
      <c r="B8097" s="92" t="s">
        <v>1167</v>
      </c>
      <c r="C8097" s="92" t="s">
        <v>16598</v>
      </c>
      <c r="D8097" s="72" t="str">
        <f>IFERROR(VLOOKUP(A8097,'[1]ST-QA-ZZ5'!$C$5:$M$299,11,0),"Inspection at production line")</f>
        <v>Inspection at production line</v>
      </c>
    </row>
    <row r="8098" spans="1:4" ht="13.8">
      <c r="A8098" s="47" t="s">
        <v>16599</v>
      </c>
      <c r="B8098" s="92" t="s">
        <v>857</v>
      </c>
      <c r="C8098" s="92" t="s">
        <v>1638</v>
      </c>
      <c r="D8098" s="72" t="str">
        <f>IFERROR(VLOOKUP(A8098,'[1]ST-QA-ZZ5'!$C$5:$M$299,11,0),"Inspection at production line")</f>
        <v>Inspection at production line</v>
      </c>
    </row>
    <row r="8099" spans="1:4" ht="13.8">
      <c r="A8099" s="47" t="s">
        <v>16600</v>
      </c>
      <c r="B8099" s="92" t="s">
        <v>898</v>
      </c>
      <c r="C8099" s="92" t="s">
        <v>16601</v>
      </c>
      <c r="D8099" s="72" t="str">
        <f>IFERROR(VLOOKUP(A8099,'[1]ST-QA-ZZ5'!$C$5:$M$299,11,0),"Inspection at production line")</f>
        <v>Inspection at production line</v>
      </c>
    </row>
    <row r="8100" spans="1:4" ht="13.8">
      <c r="A8100" s="47" t="s">
        <v>16602</v>
      </c>
      <c r="B8100" s="92" t="s">
        <v>555</v>
      </c>
      <c r="C8100" s="92" t="s">
        <v>16603</v>
      </c>
      <c r="D8100" s="72" t="str">
        <f>IFERROR(VLOOKUP(A8100,'[1]ST-QA-ZZ5'!$C$5:$M$299,11,0),"Inspection at production line")</f>
        <v>Inspection at production line</v>
      </c>
    </row>
    <row r="8101" spans="1:4" ht="13.8">
      <c r="A8101" s="47" t="s">
        <v>16604</v>
      </c>
      <c r="B8101" s="92" t="s">
        <v>555</v>
      </c>
      <c r="C8101" s="92" t="s">
        <v>16515</v>
      </c>
      <c r="D8101" s="72" t="str">
        <f>IFERROR(VLOOKUP(A8101,'[1]ST-QA-ZZ5'!$C$5:$M$299,11,0),"Inspection at production line")</f>
        <v>Inspection at production line</v>
      </c>
    </row>
    <row r="8102" spans="1:4" ht="13.8">
      <c r="A8102" s="47" t="s">
        <v>16605</v>
      </c>
      <c r="B8102" s="92" t="s">
        <v>4788</v>
      </c>
      <c r="C8102" s="92" t="s">
        <v>16606</v>
      </c>
      <c r="D8102" s="72" t="str">
        <f>IFERROR(VLOOKUP(A8102,'[1]ST-QA-ZZ5'!$C$5:$M$299,11,0),"Inspection at production line")</f>
        <v>Inspection at production line</v>
      </c>
    </row>
    <row r="8103" spans="1:4" ht="13.8">
      <c r="A8103" s="47" t="s">
        <v>16607</v>
      </c>
      <c r="B8103" s="92" t="s">
        <v>857</v>
      </c>
      <c r="C8103" s="92" t="s">
        <v>16608</v>
      </c>
      <c r="D8103" s="72" t="str">
        <f>IFERROR(VLOOKUP(A8103,'[1]ST-QA-ZZ5'!$C$5:$M$299,11,0),"Inspection at production line")</f>
        <v>Inspection at production line</v>
      </c>
    </row>
    <row r="8104" spans="1:4" ht="13.8">
      <c r="A8104" s="47" t="s">
        <v>16609</v>
      </c>
      <c r="B8104" s="92" t="s">
        <v>174</v>
      </c>
      <c r="C8104" s="92" t="s">
        <v>16610</v>
      </c>
      <c r="D8104" s="72" t="str">
        <f>IFERROR(VLOOKUP(A8104,'[1]ST-QA-ZZ5'!$C$5:$M$299,11,0),"Inspection at production line")</f>
        <v>Inspection at production line</v>
      </c>
    </row>
    <row r="8105" spans="1:4" ht="13.8">
      <c r="A8105" s="47" t="s">
        <v>16611</v>
      </c>
      <c r="B8105" s="92" t="s">
        <v>857</v>
      </c>
      <c r="C8105" s="92" t="s">
        <v>16612</v>
      </c>
      <c r="D8105" s="72" t="str">
        <f>IFERROR(VLOOKUP(A8105,'[1]ST-QA-ZZ5'!$C$5:$M$299,11,0),"Inspection at production line")</f>
        <v>Inspection at production line</v>
      </c>
    </row>
    <row r="8106" spans="1:4" ht="13.8">
      <c r="A8106" s="47" t="s">
        <v>16613</v>
      </c>
      <c r="B8106" s="92" t="s">
        <v>857</v>
      </c>
      <c r="C8106" s="92" t="s">
        <v>16614</v>
      </c>
      <c r="D8106" s="72" t="str">
        <f>IFERROR(VLOOKUP(A8106,'[1]ST-QA-ZZ5'!$C$5:$M$299,11,0),"Inspection at production line")</f>
        <v>Inspection at production line</v>
      </c>
    </row>
    <row r="8107" spans="1:4" ht="13.8">
      <c r="A8107" s="47" t="s">
        <v>16615</v>
      </c>
      <c r="B8107" s="92" t="s">
        <v>1167</v>
      </c>
      <c r="C8107" s="92" t="s">
        <v>13476</v>
      </c>
      <c r="D8107" s="72" t="str">
        <f>IFERROR(VLOOKUP(A8107,'[1]ST-QA-ZZ5'!$C$5:$M$299,11,0),"Inspection at production line")</f>
        <v>Inspection at production line</v>
      </c>
    </row>
    <row r="8108" spans="1:4" ht="13.8">
      <c r="A8108" s="47" t="s">
        <v>16616</v>
      </c>
      <c r="B8108" s="92" t="s">
        <v>555</v>
      </c>
      <c r="C8108" s="92" t="s">
        <v>16617</v>
      </c>
      <c r="D8108" s="72" t="str">
        <f>IFERROR(VLOOKUP(A8108,'[1]ST-QA-ZZ5'!$C$5:$M$299,11,0),"Inspection at production line")</f>
        <v>Inspection at production line</v>
      </c>
    </row>
    <row r="8109" spans="1:4" ht="13.8">
      <c r="A8109" s="47" t="s">
        <v>16618</v>
      </c>
      <c r="B8109" s="92" t="s">
        <v>555</v>
      </c>
      <c r="C8109" s="92" t="s">
        <v>16619</v>
      </c>
      <c r="D8109" s="72" t="str">
        <f>IFERROR(VLOOKUP(A8109,'[1]ST-QA-ZZ5'!$C$5:$M$299,11,0),"Inspection at production line")</f>
        <v>Inspection at production line</v>
      </c>
    </row>
    <row r="8110" spans="1:4" ht="13.8">
      <c r="A8110" s="47" t="s">
        <v>16620</v>
      </c>
      <c r="B8110" s="92" t="s">
        <v>555</v>
      </c>
      <c r="C8110" s="92" t="s">
        <v>16621</v>
      </c>
      <c r="D8110" s="72" t="str">
        <f>IFERROR(VLOOKUP(A8110,'[1]ST-QA-ZZ5'!$C$5:$M$299,11,0),"Inspection at production line")</f>
        <v>Inspection at production line</v>
      </c>
    </row>
    <row r="8111" spans="1:4" ht="13.8">
      <c r="A8111" s="47" t="s">
        <v>16622</v>
      </c>
      <c r="B8111" s="92" t="s">
        <v>555</v>
      </c>
      <c r="C8111" s="92" t="s">
        <v>16623</v>
      </c>
      <c r="D8111" s="72" t="str">
        <f>IFERROR(VLOOKUP(A8111,'[1]ST-QA-ZZ5'!$C$5:$M$299,11,0),"Inspection at production line")</f>
        <v>Inspection at production line</v>
      </c>
    </row>
    <row r="8112" spans="1:4" ht="13.8">
      <c r="A8112" s="47" t="s">
        <v>16624</v>
      </c>
      <c r="B8112" s="92" t="s">
        <v>959</v>
      </c>
      <c r="C8112" s="92" t="s">
        <v>6494</v>
      </c>
      <c r="D8112" s="72" t="str">
        <f>IFERROR(VLOOKUP(A8112,'[1]ST-QA-ZZ5'!$C$5:$M$299,11,0),"Inspection at production line")</f>
        <v>Inspection at production line</v>
      </c>
    </row>
    <row r="8113" spans="1:4" ht="13.8">
      <c r="A8113" s="47" t="s">
        <v>16625</v>
      </c>
      <c r="B8113" s="92" t="s">
        <v>68</v>
      </c>
      <c r="C8113" s="92" t="s">
        <v>6496</v>
      </c>
      <c r="D8113" s="72" t="str">
        <f>IFERROR(VLOOKUP(A8113,'[1]ST-QA-ZZ5'!$C$5:$M$299,11,0),"Inspection at production line")</f>
        <v>Inspection at production line</v>
      </c>
    </row>
    <row r="8114" spans="1:4" ht="13.8">
      <c r="A8114" s="47" t="s">
        <v>16626</v>
      </c>
      <c r="B8114" s="92" t="s">
        <v>3543</v>
      </c>
      <c r="C8114" s="92" t="s">
        <v>16627</v>
      </c>
      <c r="D8114" s="72" t="str">
        <f>IFERROR(VLOOKUP(A8114,'[1]ST-QA-ZZ5'!$C$5:$M$299,11,0),"Inspection at production line")</f>
        <v>Inspection at production line</v>
      </c>
    </row>
    <row r="8115" spans="1:4" ht="13.8">
      <c r="A8115" s="47" t="s">
        <v>16628</v>
      </c>
      <c r="B8115" s="92" t="s">
        <v>2205</v>
      </c>
      <c r="C8115" s="92" t="s">
        <v>16629</v>
      </c>
      <c r="D8115" s="72" t="str">
        <f>IFERROR(VLOOKUP(A8115,'[1]ST-QA-ZZ5'!$C$5:$M$299,11,0),"Inspection at production line")</f>
        <v>Inspection at production line</v>
      </c>
    </row>
    <row r="8116" spans="1:4" ht="13.8">
      <c r="A8116" s="47" t="s">
        <v>16630</v>
      </c>
      <c r="B8116" s="92" t="s">
        <v>2205</v>
      </c>
      <c r="C8116" s="92" t="s">
        <v>16631</v>
      </c>
      <c r="D8116" s="72" t="str">
        <f>IFERROR(VLOOKUP(A8116,'[1]ST-QA-ZZ5'!$C$5:$M$299,11,0),"Inspection at production line")</f>
        <v>Inspection at production line</v>
      </c>
    </row>
    <row r="8117" spans="1:4" ht="13.8">
      <c r="A8117" s="47" t="s">
        <v>16632</v>
      </c>
      <c r="B8117" s="92" t="s">
        <v>555</v>
      </c>
      <c r="C8117" s="92" t="s">
        <v>16633</v>
      </c>
      <c r="D8117" s="72" t="str">
        <f>IFERROR(VLOOKUP(A8117,'[1]ST-QA-ZZ5'!$C$5:$M$299,11,0),"Inspection at production line")</f>
        <v>Inspection at production line</v>
      </c>
    </row>
    <row r="8118" spans="1:4" ht="13.8">
      <c r="A8118" s="47" t="s">
        <v>16634</v>
      </c>
      <c r="B8118" s="92" t="s">
        <v>555</v>
      </c>
      <c r="C8118" s="92" t="s">
        <v>16635</v>
      </c>
      <c r="D8118" s="72" t="str">
        <f>IFERROR(VLOOKUP(A8118,'[1]ST-QA-ZZ5'!$C$5:$M$299,11,0),"Inspection at production line")</f>
        <v>Inspection at production line</v>
      </c>
    </row>
    <row r="8119" spans="1:4" ht="13.8">
      <c r="A8119" s="47" t="s">
        <v>16636</v>
      </c>
      <c r="B8119" s="92" t="s">
        <v>555</v>
      </c>
      <c r="C8119" s="92" t="s">
        <v>16637</v>
      </c>
      <c r="D8119" s="72" t="str">
        <f>IFERROR(VLOOKUP(A8119,'[1]ST-QA-ZZ5'!$C$5:$M$299,11,0),"Inspection at production line")</f>
        <v>Inspection at production line</v>
      </c>
    </row>
    <row r="8120" spans="1:4" ht="13.8">
      <c r="A8120" s="47" t="s">
        <v>16638</v>
      </c>
      <c r="B8120" s="92" t="s">
        <v>555</v>
      </c>
      <c r="C8120" s="92" t="s">
        <v>16639</v>
      </c>
      <c r="D8120" s="72" t="str">
        <f>IFERROR(VLOOKUP(A8120,'[1]ST-QA-ZZ5'!$C$5:$M$299,11,0),"Inspection at production line")</f>
        <v>Inspection at production line</v>
      </c>
    </row>
    <row r="8121" spans="1:4" ht="13.8">
      <c r="A8121" s="47" t="s">
        <v>16640</v>
      </c>
      <c r="B8121" s="92" t="s">
        <v>555</v>
      </c>
      <c r="C8121" s="92" t="s">
        <v>16641</v>
      </c>
      <c r="D8121" s="72" t="str">
        <f>IFERROR(VLOOKUP(A8121,'[1]ST-QA-ZZ5'!$C$5:$M$299,11,0),"Inspection at production line")</f>
        <v>Inspection at production line</v>
      </c>
    </row>
    <row r="8122" spans="1:4" ht="13.8">
      <c r="A8122" s="47" t="s">
        <v>16642</v>
      </c>
      <c r="B8122" s="92" t="s">
        <v>3092</v>
      </c>
      <c r="C8122" s="92" t="s">
        <v>16643</v>
      </c>
      <c r="D8122" s="72" t="str">
        <f>IFERROR(VLOOKUP(A8122,'[1]ST-QA-ZZ5'!$C$5:$M$299,11,0),"Inspection at production line")</f>
        <v>Inspection at production line</v>
      </c>
    </row>
    <row r="8123" spans="1:4" ht="13.8">
      <c r="A8123" s="47" t="s">
        <v>16644</v>
      </c>
      <c r="B8123" s="92" t="s">
        <v>3092</v>
      </c>
      <c r="C8123" s="92" t="s">
        <v>16645</v>
      </c>
      <c r="D8123" s="72" t="str">
        <f>IFERROR(VLOOKUP(A8123,'[1]ST-QA-ZZ5'!$C$5:$M$299,11,0),"Inspection at production line")</f>
        <v>Inspection at production line</v>
      </c>
    </row>
    <row r="8124" spans="1:4" ht="13.8">
      <c r="A8124" s="47" t="s">
        <v>16646</v>
      </c>
      <c r="B8124" s="92" t="s">
        <v>3092</v>
      </c>
      <c r="C8124" s="92" t="s">
        <v>16647</v>
      </c>
      <c r="D8124" s="72" t="str">
        <f>IFERROR(VLOOKUP(A8124,'[1]ST-QA-ZZ5'!$C$5:$M$299,11,0),"Inspection at production line")</f>
        <v>Inspection at production line</v>
      </c>
    </row>
    <row r="8125" spans="1:4" ht="13.8">
      <c r="A8125" s="47" t="s">
        <v>16648</v>
      </c>
      <c r="B8125" s="92" t="s">
        <v>1806</v>
      </c>
      <c r="C8125" s="92" t="s">
        <v>6510</v>
      </c>
      <c r="D8125" s="72" t="str">
        <f>IFERROR(VLOOKUP(A8125,'[1]ST-QA-ZZ5'!$C$5:$M$299,11,0),"Inspection at production line")</f>
        <v>Inspection at production line</v>
      </c>
    </row>
    <row r="8126" spans="1:4" ht="13.8">
      <c r="A8126" s="47" t="s">
        <v>16649</v>
      </c>
      <c r="B8126" s="92" t="s">
        <v>1806</v>
      </c>
      <c r="C8126" s="92" t="s">
        <v>16650</v>
      </c>
      <c r="D8126" s="72" t="str">
        <f>IFERROR(VLOOKUP(A8126,'[1]ST-QA-ZZ5'!$C$5:$M$299,11,0),"Inspection at production line")</f>
        <v>Inspection at production line</v>
      </c>
    </row>
    <row r="8127" spans="1:4" ht="13.8">
      <c r="A8127" s="47" t="s">
        <v>16651</v>
      </c>
      <c r="B8127" s="92" t="s">
        <v>6504</v>
      </c>
      <c r="C8127" s="92" t="s">
        <v>16652</v>
      </c>
      <c r="D8127" s="72" t="str">
        <f>IFERROR(VLOOKUP(A8127,'[1]ST-QA-ZZ5'!$C$5:$M$299,11,0),"Inspection at production line")</f>
        <v>Inspection at production line</v>
      </c>
    </row>
    <row r="8128" spans="1:4" ht="13.8">
      <c r="A8128" s="47" t="s">
        <v>16653</v>
      </c>
      <c r="B8128" s="92" t="s">
        <v>3092</v>
      </c>
      <c r="C8128" s="92" t="s">
        <v>16654</v>
      </c>
      <c r="D8128" s="72" t="str">
        <f>IFERROR(VLOOKUP(A8128,'[1]ST-QA-ZZ5'!$C$5:$M$299,11,0),"Inspection at production line")</f>
        <v>Inspection at production line</v>
      </c>
    </row>
    <row r="8129" spans="1:4" ht="13.8">
      <c r="A8129" s="47" t="s">
        <v>16655</v>
      </c>
      <c r="B8129" s="92" t="s">
        <v>6518</v>
      </c>
      <c r="C8129" s="92" t="s">
        <v>16656</v>
      </c>
      <c r="D8129" s="72" t="str">
        <f>IFERROR(VLOOKUP(A8129,'[1]ST-QA-ZZ5'!$C$5:$M$299,11,0),"Inspection at production line")</f>
        <v>Inspection at production line</v>
      </c>
    </row>
    <row r="8130" spans="1:4" ht="13.8">
      <c r="A8130" s="47" t="s">
        <v>16657</v>
      </c>
      <c r="B8130" s="92" t="s">
        <v>3092</v>
      </c>
      <c r="C8130" s="92" t="s">
        <v>16658</v>
      </c>
      <c r="D8130" s="72" t="str">
        <f>IFERROR(VLOOKUP(A8130,'[1]ST-QA-ZZ5'!$C$5:$M$299,11,0),"Inspection at production line")</f>
        <v>Inspection at production line</v>
      </c>
    </row>
    <row r="8131" spans="1:4" ht="13.8">
      <c r="A8131" s="47" t="s">
        <v>16659</v>
      </c>
      <c r="B8131" s="92" t="s">
        <v>3092</v>
      </c>
      <c r="C8131" s="92" t="s">
        <v>16660</v>
      </c>
      <c r="D8131" s="72" t="str">
        <f>IFERROR(VLOOKUP(A8131,'[1]ST-QA-ZZ5'!$C$5:$M$299,11,0),"Inspection at production line")</f>
        <v>Inspection at production line</v>
      </c>
    </row>
    <row r="8132" spans="1:4" ht="13.8">
      <c r="A8132" s="47" t="s">
        <v>16661</v>
      </c>
      <c r="B8132" s="92" t="s">
        <v>6507</v>
      </c>
      <c r="C8132" s="92" t="s">
        <v>16662</v>
      </c>
      <c r="D8132" s="72" t="str">
        <f>IFERROR(VLOOKUP(A8132,'[1]ST-QA-ZZ5'!$C$5:$M$299,11,0),"Inspection at production line")</f>
        <v>Inspection at production line</v>
      </c>
    </row>
    <row r="8133" spans="1:4" ht="13.8">
      <c r="A8133" s="47" t="s">
        <v>16663</v>
      </c>
      <c r="B8133" s="92" t="s">
        <v>857</v>
      </c>
      <c r="C8133" s="92" t="s">
        <v>16664</v>
      </c>
      <c r="D8133" s="72" t="str">
        <f>IFERROR(VLOOKUP(A8133,'[1]ST-QA-ZZ5'!$C$5:$M$299,11,0),"Inspection at production line")</f>
        <v>Inspection at production line</v>
      </c>
    </row>
    <row r="8134" spans="1:4" ht="13.8">
      <c r="A8134" s="47" t="s">
        <v>16665</v>
      </c>
      <c r="B8134" s="92" t="s">
        <v>857</v>
      </c>
      <c r="C8134" s="92" t="s">
        <v>16666</v>
      </c>
      <c r="D8134" s="72" t="str">
        <f>IFERROR(VLOOKUP(A8134,'[1]ST-QA-ZZ5'!$C$5:$M$299,11,0),"Inspection at production line")</f>
        <v>Inspection at production line</v>
      </c>
    </row>
    <row r="8135" spans="1:4" ht="13.8">
      <c r="A8135" s="47" t="s">
        <v>16667</v>
      </c>
      <c r="B8135" s="92" t="s">
        <v>857</v>
      </c>
      <c r="C8135" s="92" t="s">
        <v>16668</v>
      </c>
      <c r="D8135" s="72" t="str">
        <f>IFERROR(VLOOKUP(A8135,'[1]ST-QA-ZZ5'!$C$5:$M$299,11,0),"Inspection at production line")</f>
        <v>Inspection at production line</v>
      </c>
    </row>
    <row r="8136" spans="1:4" ht="13.8">
      <c r="A8136" s="47" t="s">
        <v>16669</v>
      </c>
      <c r="B8136" s="92" t="s">
        <v>857</v>
      </c>
      <c r="C8136" s="92" t="s">
        <v>16670</v>
      </c>
      <c r="D8136" s="72" t="str">
        <f>IFERROR(VLOOKUP(A8136,'[1]ST-QA-ZZ5'!$C$5:$M$299,11,0),"Inspection at production line")</f>
        <v>Inspection at production line</v>
      </c>
    </row>
    <row r="8137" spans="1:4" ht="13.8">
      <c r="A8137" s="47" t="s">
        <v>16671</v>
      </c>
      <c r="B8137" s="92" t="s">
        <v>857</v>
      </c>
      <c r="C8137" s="92" t="s">
        <v>16672</v>
      </c>
      <c r="D8137" s="72" t="str">
        <f>IFERROR(VLOOKUP(A8137,'[1]ST-QA-ZZ5'!$C$5:$M$299,11,0),"Inspection at production line")</f>
        <v>Inspection at production line</v>
      </c>
    </row>
    <row r="8138" spans="1:4" ht="13.8">
      <c r="A8138" s="47" t="s">
        <v>16673</v>
      </c>
      <c r="B8138" s="92" t="s">
        <v>857</v>
      </c>
      <c r="C8138" s="92" t="s">
        <v>16674</v>
      </c>
      <c r="D8138" s="72" t="str">
        <f>IFERROR(VLOOKUP(A8138,'[1]ST-QA-ZZ5'!$C$5:$M$299,11,0),"Inspection at production line")</f>
        <v>Inspection at production line</v>
      </c>
    </row>
    <row r="8139" spans="1:4" ht="13.8">
      <c r="A8139" s="47" t="s">
        <v>16675</v>
      </c>
      <c r="B8139" s="92" t="s">
        <v>857</v>
      </c>
      <c r="C8139" s="92" t="s">
        <v>16676</v>
      </c>
      <c r="D8139" s="72" t="str">
        <f>IFERROR(VLOOKUP(A8139,'[1]ST-QA-ZZ5'!$C$5:$M$299,11,0),"Inspection at production line")</f>
        <v>Inspection at production line</v>
      </c>
    </row>
    <row r="8140" spans="1:4" ht="13.8">
      <c r="A8140" s="47" t="s">
        <v>16677</v>
      </c>
      <c r="B8140" s="92" t="s">
        <v>16678</v>
      </c>
      <c r="C8140" s="92" t="s">
        <v>16679</v>
      </c>
      <c r="D8140" s="72" t="str">
        <f>IFERROR(VLOOKUP(A8140,'[1]ST-QA-ZZ5'!$C$5:$M$299,11,0),"Inspection at production line")</f>
        <v>Inspection at production line</v>
      </c>
    </row>
    <row r="8141" spans="1:4" ht="13.8">
      <c r="A8141" s="47" t="s">
        <v>16680</v>
      </c>
      <c r="B8141" s="92" t="s">
        <v>16681</v>
      </c>
      <c r="C8141" s="92" t="s">
        <v>16681</v>
      </c>
      <c r="D8141" s="72" t="str">
        <f>IFERROR(VLOOKUP(A8141,'[1]ST-QA-ZZ5'!$C$5:$M$299,11,0),"Inspection at production line")</f>
        <v>Inspection at production line</v>
      </c>
    </row>
    <row r="8142" spans="1:4" ht="13.8">
      <c r="A8142" s="47" t="s">
        <v>16682</v>
      </c>
      <c r="B8142" s="92" t="s">
        <v>16683</v>
      </c>
      <c r="C8142" s="92" t="s">
        <v>16683</v>
      </c>
      <c r="D8142" s="72" t="str">
        <f>IFERROR(VLOOKUP(A8142,'[1]ST-QA-ZZ5'!$C$5:$M$299,11,0),"Inspection at production line")</f>
        <v>Inspection at production line</v>
      </c>
    </row>
    <row r="8143" spans="1:4" ht="13.8">
      <c r="A8143" s="47" t="s">
        <v>16684</v>
      </c>
      <c r="B8143" s="92" t="s">
        <v>16685</v>
      </c>
      <c r="C8143" s="92" t="s">
        <v>16685</v>
      </c>
      <c r="D8143" s="72" t="str">
        <f>IFERROR(VLOOKUP(A8143,'[1]ST-QA-ZZ5'!$C$5:$M$299,11,0),"Inspection at production line")</f>
        <v>Inspection at production line</v>
      </c>
    </row>
    <row r="8144" spans="1:4" ht="13.8">
      <c r="A8144" s="47" t="s">
        <v>16686</v>
      </c>
      <c r="B8144" s="92" t="s">
        <v>371</v>
      </c>
      <c r="C8144" s="92" t="s">
        <v>16687</v>
      </c>
      <c r="D8144" s="72" t="str">
        <f>IFERROR(VLOOKUP(A8144,'[1]ST-QA-ZZ5'!$C$5:$M$299,11,0),"Inspection at production line")</f>
        <v>Inspection at production line</v>
      </c>
    </row>
    <row r="8145" spans="1:4" ht="13.8">
      <c r="A8145" s="47" t="s">
        <v>16688</v>
      </c>
      <c r="B8145" s="92" t="s">
        <v>371</v>
      </c>
      <c r="C8145" s="92" t="s">
        <v>16689</v>
      </c>
      <c r="D8145" s="72" t="str">
        <f>IFERROR(VLOOKUP(A8145,'[1]ST-QA-ZZ5'!$C$5:$M$299,11,0),"Inspection at production line")</f>
        <v>Inspection at production line</v>
      </c>
    </row>
    <row r="8146" spans="1:4" ht="13.8">
      <c r="A8146" s="47" t="s">
        <v>16690</v>
      </c>
      <c r="B8146" s="92" t="s">
        <v>857</v>
      </c>
      <c r="C8146" s="92" t="s">
        <v>16691</v>
      </c>
      <c r="D8146" s="72" t="str">
        <f>IFERROR(VLOOKUP(A8146,'[1]ST-QA-ZZ5'!$C$5:$M$299,11,0),"Inspection at production line")</f>
        <v>Inspection at production line</v>
      </c>
    </row>
    <row r="8147" spans="1:4" ht="13.8">
      <c r="A8147" s="47" t="s">
        <v>16692</v>
      </c>
      <c r="B8147" s="92" t="s">
        <v>857</v>
      </c>
      <c r="C8147" s="92" t="s">
        <v>16693</v>
      </c>
      <c r="D8147" s="72" t="str">
        <f>IFERROR(VLOOKUP(A8147,'[1]ST-QA-ZZ5'!$C$5:$M$299,11,0),"Inspection at production line")</f>
        <v>Inspection at production line</v>
      </c>
    </row>
    <row r="8148" spans="1:4" ht="13.8">
      <c r="A8148" s="47" t="s">
        <v>16694</v>
      </c>
      <c r="B8148" s="92" t="s">
        <v>404</v>
      </c>
      <c r="C8148" s="92" t="s">
        <v>16695</v>
      </c>
      <c r="D8148" s="72" t="str">
        <f>IFERROR(VLOOKUP(A8148,'[1]ST-QA-ZZ5'!$C$5:$M$299,11,0),"Inspection at production line")</f>
        <v>Inspection at production line</v>
      </c>
    </row>
    <row r="8149" spans="1:4" ht="13.8">
      <c r="A8149" s="47" t="s">
        <v>16696</v>
      </c>
      <c r="B8149" s="92" t="s">
        <v>857</v>
      </c>
      <c r="C8149" s="92" t="s">
        <v>16697</v>
      </c>
      <c r="D8149" s="72" t="str">
        <f>IFERROR(VLOOKUP(A8149,'[1]ST-QA-ZZ5'!$C$5:$M$299,11,0),"Inspection at production line")</f>
        <v>Inspection at production line</v>
      </c>
    </row>
    <row r="8150" spans="1:4" ht="13.8">
      <c r="A8150" s="47" t="s">
        <v>16698</v>
      </c>
      <c r="B8150" s="92" t="s">
        <v>555</v>
      </c>
      <c r="C8150" s="92" t="s">
        <v>16699</v>
      </c>
      <c r="D8150" s="72" t="str">
        <f>IFERROR(VLOOKUP(A8150,'[1]ST-QA-ZZ5'!$C$5:$M$299,11,0),"Inspection at production line")</f>
        <v>Inspection at production line</v>
      </c>
    </row>
    <row r="8151" spans="1:4" ht="13.8">
      <c r="A8151" s="47" t="s">
        <v>16700</v>
      </c>
      <c r="B8151" s="92" t="s">
        <v>555</v>
      </c>
      <c r="C8151" s="92" t="s">
        <v>16701</v>
      </c>
      <c r="D8151" s="72" t="str">
        <f>IFERROR(VLOOKUP(A8151,'[1]ST-QA-ZZ5'!$C$5:$M$299,11,0),"Inspection at production line")</f>
        <v>Inspection at production line</v>
      </c>
    </row>
    <row r="8152" spans="1:4" ht="13.8">
      <c r="A8152" s="47" t="s">
        <v>16702</v>
      </c>
      <c r="B8152" s="92" t="s">
        <v>555</v>
      </c>
      <c r="C8152" s="92" t="s">
        <v>16703</v>
      </c>
      <c r="D8152" s="72" t="str">
        <f>IFERROR(VLOOKUP(A8152,'[1]ST-QA-ZZ5'!$C$5:$M$299,11,0),"Inspection at production line")</f>
        <v>Inspection at production line</v>
      </c>
    </row>
    <row r="8153" spans="1:4" ht="13.8">
      <c r="A8153" s="47" t="s">
        <v>16704</v>
      </c>
      <c r="B8153" s="92" t="s">
        <v>857</v>
      </c>
      <c r="C8153" s="92" t="s">
        <v>16705</v>
      </c>
      <c r="D8153" s="72" t="str">
        <f>IFERROR(VLOOKUP(A8153,'[1]ST-QA-ZZ5'!$C$5:$M$299,11,0),"Inspection at production line")</f>
        <v>Inspection at production line</v>
      </c>
    </row>
    <row r="8154" spans="1:4" ht="13.8">
      <c r="A8154" s="47" t="s">
        <v>16706</v>
      </c>
      <c r="B8154" s="92" t="s">
        <v>857</v>
      </c>
      <c r="C8154" s="92" t="s">
        <v>16707</v>
      </c>
      <c r="D8154" s="72" t="str">
        <f>IFERROR(VLOOKUP(A8154,'[1]ST-QA-ZZ5'!$C$5:$M$299,11,0),"Inspection at production line")</f>
        <v>Inspection at production line</v>
      </c>
    </row>
    <row r="8155" spans="1:4" ht="13.8">
      <c r="A8155" s="47" t="s">
        <v>16708</v>
      </c>
      <c r="B8155" s="92" t="s">
        <v>857</v>
      </c>
      <c r="C8155" s="92" t="s">
        <v>5323</v>
      </c>
      <c r="D8155" s="72" t="str">
        <f>IFERROR(VLOOKUP(A8155,'[1]ST-QA-ZZ5'!$C$5:$M$299,11,0),"Inspection at production line")</f>
        <v>Inspection at production line</v>
      </c>
    </row>
    <row r="8156" spans="1:4" ht="13.8">
      <c r="A8156" s="47" t="s">
        <v>16709</v>
      </c>
      <c r="B8156" s="92" t="s">
        <v>857</v>
      </c>
      <c r="C8156" s="92" t="s">
        <v>16710</v>
      </c>
      <c r="D8156" s="72" t="str">
        <f>IFERROR(VLOOKUP(A8156,'[1]ST-QA-ZZ5'!$C$5:$M$299,11,0),"Inspection at production line")</f>
        <v>Inspection at production line</v>
      </c>
    </row>
    <row r="8157" spans="1:4" ht="13.8">
      <c r="A8157" s="47" t="s">
        <v>16711</v>
      </c>
      <c r="B8157" s="92" t="s">
        <v>857</v>
      </c>
      <c r="C8157" s="92" t="s">
        <v>9098</v>
      </c>
      <c r="D8157" s="72" t="str">
        <f>IFERROR(VLOOKUP(A8157,'[1]ST-QA-ZZ5'!$C$5:$M$299,11,0),"Inspection at production line")</f>
        <v>Inspection at production line</v>
      </c>
    </row>
    <row r="8158" spans="1:4" ht="13.8">
      <c r="A8158" s="47" t="s">
        <v>16712</v>
      </c>
      <c r="B8158" s="92" t="s">
        <v>857</v>
      </c>
      <c r="C8158" s="92" t="s">
        <v>16713</v>
      </c>
      <c r="D8158" s="72" t="str">
        <f>IFERROR(VLOOKUP(A8158,'[1]ST-QA-ZZ5'!$C$5:$M$299,11,0),"Inspection at production line")</f>
        <v>Inspection at production line</v>
      </c>
    </row>
    <row r="8159" spans="1:4" ht="13.8">
      <c r="A8159" s="47" t="s">
        <v>16714</v>
      </c>
      <c r="B8159" s="92" t="s">
        <v>857</v>
      </c>
      <c r="C8159" s="92" t="s">
        <v>16715</v>
      </c>
      <c r="D8159" s="72" t="str">
        <f>IFERROR(VLOOKUP(A8159,'[1]ST-QA-ZZ5'!$C$5:$M$299,11,0),"Inspection at production line")</f>
        <v>Inspection at production line</v>
      </c>
    </row>
    <row r="8160" spans="1:4" ht="13.8">
      <c r="A8160" s="47" t="s">
        <v>16716</v>
      </c>
      <c r="B8160" s="92" t="s">
        <v>857</v>
      </c>
      <c r="C8160" s="92" t="s">
        <v>16717</v>
      </c>
      <c r="D8160" s="72" t="str">
        <f>IFERROR(VLOOKUP(A8160,'[1]ST-QA-ZZ5'!$C$5:$M$299,11,0),"Inspection at production line")</f>
        <v>Inspection at production line</v>
      </c>
    </row>
    <row r="8161" spans="1:4" ht="13.8">
      <c r="A8161" s="47" t="s">
        <v>16718</v>
      </c>
      <c r="B8161" s="92" t="s">
        <v>857</v>
      </c>
      <c r="C8161" s="92" t="s">
        <v>16719</v>
      </c>
      <c r="D8161" s="72" t="str">
        <f>IFERROR(VLOOKUP(A8161,'[1]ST-QA-ZZ5'!$C$5:$M$299,11,0),"Inspection at production line")</f>
        <v>Inspection at production line</v>
      </c>
    </row>
    <row r="8162" spans="1:4" ht="13.8">
      <c r="A8162" s="47" t="s">
        <v>16720</v>
      </c>
      <c r="B8162" s="92" t="s">
        <v>857</v>
      </c>
      <c r="C8162" s="92" t="s">
        <v>16721</v>
      </c>
      <c r="D8162" s="72" t="str">
        <f>IFERROR(VLOOKUP(A8162,'[1]ST-QA-ZZ5'!$C$5:$M$299,11,0),"Inspection at production line")</f>
        <v>Inspection at production line</v>
      </c>
    </row>
    <row r="8163" spans="1:4" ht="13.8">
      <c r="A8163" s="47" t="s">
        <v>16722</v>
      </c>
      <c r="B8163" s="92" t="s">
        <v>857</v>
      </c>
      <c r="C8163" s="92" t="s">
        <v>16723</v>
      </c>
      <c r="D8163" s="72" t="str">
        <f>IFERROR(VLOOKUP(A8163,'[1]ST-QA-ZZ5'!$C$5:$M$299,11,0),"Inspection at production line")</f>
        <v>Inspection at production line</v>
      </c>
    </row>
    <row r="8164" spans="1:4" ht="13.8">
      <c r="A8164" s="47" t="s">
        <v>16724</v>
      </c>
      <c r="B8164" s="92" t="s">
        <v>857</v>
      </c>
      <c r="C8164" s="92" t="s">
        <v>16725</v>
      </c>
      <c r="D8164" s="72" t="str">
        <f>IFERROR(VLOOKUP(A8164,'[1]ST-QA-ZZ5'!$C$5:$M$299,11,0),"Inspection at production line")</f>
        <v>Inspection at production line</v>
      </c>
    </row>
    <row r="8165" spans="1:4" ht="13.8">
      <c r="A8165" s="47" t="s">
        <v>16726</v>
      </c>
      <c r="B8165" s="92" t="s">
        <v>857</v>
      </c>
      <c r="C8165" s="92" t="s">
        <v>16727</v>
      </c>
      <c r="D8165" s="72" t="str">
        <f>IFERROR(VLOOKUP(A8165,'[1]ST-QA-ZZ5'!$C$5:$M$299,11,0),"Inspection at production line")</f>
        <v>Inspection at production line</v>
      </c>
    </row>
    <row r="8166" spans="1:4" ht="13.8">
      <c r="A8166" s="47" t="s">
        <v>16728</v>
      </c>
      <c r="B8166" s="92" t="s">
        <v>857</v>
      </c>
      <c r="C8166" s="92" t="s">
        <v>16729</v>
      </c>
      <c r="D8166" s="72" t="str">
        <f>IFERROR(VLOOKUP(A8166,'[1]ST-QA-ZZ5'!$C$5:$M$299,11,0),"Inspection at production line")</f>
        <v>Inspection at production line</v>
      </c>
    </row>
    <row r="8167" spans="1:4" ht="13.8">
      <c r="A8167" s="47" t="s">
        <v>16730</v>
      </c>
      <c r="B8167" s="92" t="s">
        <v>857</v>
      </c>
      <c r="C8167" s="92" t="s">
        <v>16731</v>
      </c>
      <c r="D8167" s="72" t="str">
        <f>IFERROR(VLOOKUP(A8167,'[1]ST-QA-ZZ5'!$C$5:$M$299,11,0),"Inspection at production line")</f>
        <v>Inspection at production line</v>
      </c>
    </row>
    <row r="8168" spans="1:4" ht="13.8">
      <c r="A8168" s="47" t="s">
        <v>16732</v>
      </c>
      <c r="B8168" s="92" t="s">
        <v>1167</v>
      </c>
      <c r="C8168" s="92" t="s">
        <v>16733</v>
      </c>
      <c r="D8168" s="72" t="str">
        <f>IFERROR(VLOOKUP(A8168,'[1]ST-QA-ZZ5'!$C$5:$M$299,11,0),"Inspection at production line")</f>
        <v>Inspection at production line</v>
      </c>
    </row>
    <row r="8169" spans="1:4" ht="13.8">
      <c r="A8169" s="47" t="s">
        <v>16734</v>
      </c>
      <c r="B8169" s="92" t="s">
        <v>57</v>
      </c>
      <c r="C8169" s="92" t="s">
        <v>2624</v>
      </c>
      <c r="D8169" s="72" t="str">
        <f>IFERROR(VLOOKUP(A8169,'[1]ST-QA-ZZ5'!$C$5:$M$299,11,0),"Inspection at production line")</f>
        <v>Inspection at production line</v>
      </c>
    </row>
    <row r="8170" spans="1:4" ht="13.8">
      <c r="A8170" s="47" t="s">
        <v>16735</v>
      </c>
      <c r="B8170" s="92" t="s">
        <v>818</v>
      </c>
      <c r="C8170" s="92" t="s">
        <v>6129</v>
      </c>
      <c r="D8170" s="72" t="str">
        <f>IFERROR(VLOOKUP(A8170,'[1]ST-QA-ZZ5'!$C$5:$M$299,11,0),"Inspection at production line")</f>
        <v>Inspection at production line</v>
      </c>
    </row>
    <row r="8171" spans="1:4" ht="13.8">
      <c r="A8171" s="47" t="s">
        <v>16736</v>
      </c>
      <c r="B8171" s="92" t="s">
        <v>1523</v>
      </c>
      <c r="C8171" s="92" t="s">
        <v>6131</v>
      </c>
      <c r="D8171" s="72" t="str">
        <f>IFERROR(VLOOKUP(A8171,'[1]ST-QA-ZZ5'!$C$5:$M$299,11,0),"Inspection at production line")</f>
        <v>Inspection at production line</v>
      </c>
    </row>
    <row r="8172" spans="1:4" ht="13.8">
      <c r="A8172" s="47" t="s">
        <v>16737</v>
      </c>
      <c r="B8172" s="92" t="s">
        <v>4093</v>
      </c>
      <c r="C8172" s="92" t="s">
        <v>6133</v>
      </c>
      <c r="D8172" s="72" t="str">
        <f>IFERROR(VLOOKUP(A8172,'[1]ST-QA-ZZ5'!$C$5:$M$299,11,0),"Inspection at production line")</f>
        <v>Inspection at production line</v>
      </c>
    </row>
    <row r="8173" spans="1:4" ht="13.8">
      <c r="A8173" s="47" t="s">
        <v>16738</v>
      </c>
      <c r="B8173" s="92" t="s">
        <v>1669</v>
      </c>
      <c r="C8173" s="92" t="s">
        <v>16739</v>
      </c>
      <c r="D8173" s="72" t="str">
        <f>IFERROR(VLOOKUP(A8173,'[1]ST-QA-ZZ5'!$C$5:$M$299,11,0),"Inspection at production line")</f>
        <v>Inspection at production line</v>
      </c>
    </row>
    <row r="8174" spans="1:4" ht="13.8">
      <c r="A8174" s="47" t="s">
        <v>16740</v>
      </c>
      <c r="B8174" s="92" t="s">
        <v>4075</v>
      </c>
      <c r="C8174" s="92" t="s">
        <v>16741</v>
      </c>
      <c r="D8174" s="72" t="str">
        <f>IFERROR(VLOOKUP(A8174,'[1]ST-QA-ZZ5'!$C$5:$M$299,11,0),"Inspection at production line")</f>
        <v>Inspection at production line</v>
      </c>
    </row>
    <row r="8175" spans="1:4" ht="13.8">
      <c r="A8175" s="47" t="s">
        <v>16742</v>
      </c>
      <c r="B8175" s="92" t="s">
        <v>104</v>
      </c>
      <c r="C8175" s="92" t="s">
        <v>2641</v>
      </c>
      <c r="D8175" s="72" t="str">
        <f>IFERROR(VLOOKUP(A8175,'[1]ST-QA-ZZ5'!$C$5:$M$299,11,0),"Inspection at production line")</f>
        <v>Inspection at production line</v>
      </c>
    </row>
    <row r="8176" spans="1:4" ht="13.8">
      <c r="A8176" s="47" t="s">
        <v>16743</v>
      </c>
      <c r="B8176" s="92" t="s">
        <v>797</v>
      </c>
      <c r="C8176" s="92" t="s">
        <v>16744</v>
      </c>
      <c r="D8176" s="72" t="str">
        <f>IFERROR(VLOOKUP(A8176,'[1]ST-QA-ZZ5'!$C$5:$M$299,11,0),"Inspection at production line")</f>
        <v>Inspection at production line</v>
      </c>
    </row>
    <row r="8177" spans="1:4" ht="13.8">
      <c r="A8177" s="47" t="s">
        <v>16745</v>
      </c>
      <c r="B8177" s="92" t="s">
        <v>2629</v>
      </c>
      <c r="C8177" s="92" t="s">
        <v>16746</v>
      </c>
      <c r="D8177" s="72" t="str">
        <f>IFERROR(VLOOKUP(A8177,'[1]ST-QA-ZZ5'!$C$5:$M$299,11,0),"Inspection at production line")</f>
        <v>Inspection at production line</v>
      </c>
    </row>
    <row r="8178" spans="1:4" ht="13.8">
      <c r="A8178" s="47" t="s">
        <v>16747</v>
      </c>
      <c r="B8178" s="92" t="s">
        <v>2602</v>
      </c>
      <c r="C8178" s="92" t="s">
        <v>2603</v>
      </c>
      <c r="D8178" s="72" t="str">
        <f>IFERROR(VLOOKUP(A8178,'[1]ST-QA-ZZ5'!$C$5:$M$299,11,0),"Inspection at production line")</f>
        <v>Inspection at production line</v>
      </c>
    </row>
    <row r="8179" spans="1:4" ht="13.8">
      <c r="A8179" s="47" t="s">
        <v>16748</v>
      </c>
      <c r="B8179" s="92" t="s">
        <v>2602</v>
      </c>
      <c r="C8179" s="92" t="s">
        <v>16749</v>
      </c>
      <c r="D8179" s="72" t="str">
        <f>IFERROR(VLOOKUP(A8179,'[1]ST-QA-ZZ5'!$C$5:$M$299,11,0),"Inspection at production line")</f>
        <v>Inspection at production line</v>
      </c>
    </row>
    <row r="8180" spans="1:4" ht="13.8">
      <c r="A8180" s="47" t="s">
        <v>16750</v>
      </c>
      <c r="B8180" s="92" t="s">
        <v>6271</v>
      </c>
      <c r="C8180" s="92" t="s">
        <v>16751</v>
      </c>
      <c r="D8180" s="72" t="str">
        <f>IFERROR(VLOOKUP(A8180,'[1]ST-QA-ZZ5'!$C$5:$M$299,11,0),"Inspection at production line")</f>
        <v>Inspection at production line</v>
      </c>
    </row>
    <row r="8181" spans="1:4" ht="13.8">
      <c r="A8181" s="47" t="s">
        <v>16752</v>
      </c>
      <c r="B8181" s="92" t="s">
        <v>6271</v>
      </c>
      <c r="C8181" s="92" t="s">
        <v>16753</v>
      </c>
      <c r="D8181" s="72" t="str">
        <f>IFERROR(VLOOKUP(A8181,'[1]ST-QA-ZZ5'!$C$5:$M$299,11,0),"Inspection at production line")</f>
        <v>Inspection at production line</v>
      </c>
    </row>
    <row r="8182" spans="1:4" ht="13.8">
      <c r="A8182" s="47" t="s">
        <v>16754</v>
      </c>
      <c r="B8182" s="92" t="s">
        <v>6388</v>
      </c>
      <c r="C8182" s="92" t="s">
        <v>16755</v>
      </c>
      <c r="D8182" s="72" t="str">
        <f>IFERROR(VLOOKUP(A8182,'[1]ST-QA-ZZ5'!$C$5:$M$299,11,0),"Inspection at production line")</f>
        <v>Inspection at production line</v>
      </c>
    </row>
    <row r="8183" spans="1:4" ht="13.8">
      <c r="A8183" s="47" t="s">
        <v>16756</v>
      </c>
      <c r="B8183" s="92" t="s">
        <v>6388</v>
      </c>
      <c r="C8183" s="92" t="s">
        <v>16757</v>
      </c>
      <c r="D8183" s="72" t="str">
        <f>IFERROR(VLOOKUP(A8183,'[1]ST-QA-ZZ5'!$C$5:$M$299,11,0),"Inspection at production line")</f>
        <v>Inspection at production line</v>
      </c>
    </row>
    <row r="8184" spans="1:4" ht="13.8">
      <c r="A8184" s="47" t="s">
        <v>16758</v>
      </c>
      <c r="B8184" s="92" t="s">
        <v>1554</v>
      </c>
      <c r="C8184" s="92" t="s">
        <v>16759</v>
      </c>
      <c r="D8184" s="72" t="str">
        <f>IFERROR(VLOOKUP(A8184,'[1]ST-QA-ZZ5'!$C$5:$M$299,11,0),"Inspection at production line")</f>
        <v>Inspection at production line</v>
      </c>
    </row>
    <row r="8185" spans="1:4" ht="13.8">
      <c r="A8185" s="47" t="s">
        <v>16760</v>
      </c>
      <c r="B8185" s="92" t="s">
        <v>1554</v>
      </c>
      <c r="C8185" s="92" t="s">
        <v>16761</v>
      </c>
      <c r="D8185" s="72" t="str">
        <f>IFERROR(VLOOKUP(A8185,'[1]ST-QA-ZZ5'!$C$5:$M$299,11,0),"Inspection at production line")</f>
        <v>Inspection at production line</v>
      </c>
    </row>
    <row r="8186" spans="1:4" ht="13.8">
      <c r="A8186" s="47" t="s">
        <v>16762</v>
      </c>
      <c r="B8186" s="92" t="s">
        <v>104</v>
      </c>
      <c r="C8186" s="92" t="s">
        <v>5950</v>
      </c>
      <c r="D8186" s="72" t="str">
        <f>IFERROR(VLOOKUP(A8186,'[1]ST-QA-ZZ5'!$C$5:$M$299,11,0),"Inspection at production line")</f>
        <v>Inspection at production line</v>
      </c>
    </row>
    <row r="8187" spans="1:4" ht="13.8">
      <c r="A8187" s="47" t="s">
        <v>16763</v>
      </c>
      <c r="B8187" s="92" t="s">
        <v>104</v>
      </c>
      <c r="C8187" s="92" t="s">
        <v>16363</v>
      </c>
      <c r="D8187" s="72" t="str">
        <f>IFERROR(VLOOKUP(A8187,'[1]ST-QA-ZZ5'!$C$5:$M$299,11,0),"Inspection at production line")</f>
        <v>Inspection at production line</v>
      </c>
    </row>
    <row r="8188" spans="1:4" ht="13.8">
      <c r="A8188" s="47" t="s">
        <v>16764</v>
      </c>
      <c r="B8188" s="92" t="s">
        <v>3543</v>
      </c>
      <c r="C8188" s="92" t="s">
        <v>16765</v>
      </c>
      <c r="D8188" s="72" t="str">
        <f>IFERROR(VLOOKUP(A8188,'[1]ST-QA-ZZ5'!$C$5:$M$299,11,0),"Inspection at production line")</f>
        <v>Inspection at production line</v>
      </c>
    </row>
    <row r="8189" spans="1:4" ht="13.8">
      <c r="A8189" s="47" t="s">
        <v>16766</v>
      </c>
      <c r="B8189" s="92" t="s">
        <v>2659</v>
      </c>
      <c r="C8189" s="92" t="s">
        <v>16342</v>
      </c>
      <c r="D8189" s="72" t="str">
        <f>IFERROR(VLOOKUP(A8189,'[1]ST-QA-ZZ5'!$C$5:$M$299,11,0),"Inspection at production line")</f>
        <v>Inspection at production line</v>
      </c>
    </row>
    <row r="8190" spans="1:4" ht="13.8">
      <c r="A8190" s="47" t="s">
        <v>16767</v>
      </c>
      <c r="B8190" s="92" t="s">
        <v>2659</v>
      </c>
      <c r="C8190" s="92" t="s">
        <v>16338</v>
      </c>
      <c r="D8190" s="72" t="str">
        <f>IFERROR(VLOOKUP(A8190,'[1]ST-QA-ZZ5'!$C$5:$M$299,11,0),"Inspection at production line")</f>
        <v>Inspection at production line</v>
      </c>
    </row>
    <row r="8191" spans="1:4" ht="13.8">
      <c r="A8191" s="47" t="s">
        <v>16768</v>
      </c>
      <c r="B8191" s="92" t="s">
        <v>4075</v>
      </c>
      <c r="C8191" s="92" t="s">
        <v>12754</v>
      </c>
      <c r="D8191" s="72" t="str">
        <f>IFERROR(VLOOKUP(A8191,'[1]ST-QA-ZZ5'!$C$5:$M$299,11,0),"Inspection at production line")</f>
        <v>Inspection at production line</v>
      </c>
    </row>
    <row r="8192" spans="1:4" ht="13.8">
      <c r="A8192" s="47" t="s">
        <v>16769</v>
      </c>
      <c r="B8192" s="92" t="s">
        <v>941</v>
      </c>
      <c r="C8192" s="92" t="s">
        <v>12760</v>
      </c>
      <c r="D8192" s="72" t="str">
        <f>IFERROR(VLOOKUP(A8192,'[1]ST-QA-ZZ5'!$C$5:$M$299,11,0),"Inspection at production line")</f>
        <v>Inspection at production line</v>
      </c>
    </row>
    <row r="8193" spans="1:4" ht="13.8">
      <c r="A8193" s="47" t="s">
        <v>16770</v>
      </c>
      <c r="B8193" s="92" t="s">
        <v>75</v>
      </c>
      <c r="C8193" s="92" t="s">
        <v>6355</v>
      </c>
      <c r="D8193" s="72" t="str">
        <f>IFERROR(VLOOKUP(A8193,'[1]ST-QA-ZZ5'!$C$5:$M$299,11,0),"Inspection at production line")</f>
        <v>Inspection at production line</v>
      </c>
    </row>
    <row r="8194" spans="1:4" ht="13.8">
      <c r="A8194" s="47" t="s">
        <v>16771</v>
      </c>
      <c r="B8194" s="92" t="s">
        <v>75</v>
      </c>
      <c r="C8194" s="92" t="s">
        <v>7943</v>
      </c>
      <c r="D8194" s="72" t="str">
        <f>IFERROR(VLOOKUP(A8194,'[1]ST-QA-ZZ5'!$C$5:$M$299,11,0),"Inspection at production line")</f>
        <v>Inspection at production line</v>
      </c>
    </row>
    <row r="8195" spans="1:4" ht="13.8">
      <c r="A8195" s="47" t="s">
        <v>16772</v>
      </c>
      <c r="B8195" s="92" t="s">
        <v>75</v>
      </c>
      <c r="C8195" s="92" t="s">
        <v>6357</v>
      </c>
      <c r="D8195" s="72" t="str">
        <f>IFERROR(VLOOKUP(A8195,'[1]ST-QA-ZZ5'!$C$5:$M$299,11,0),"Inspection at production line")</f>
        <v>Inspection at production line</v>
      </c>
    </row>
    <row r="8196" spans="1:4" ht="13.8">
      <c r="A8196" s="47" t="s">
        <v>16773</v>
      </c>
      <c r="B8196" s="92" t="s">
        <v>75</v>
      </c>
      <c r="C8196" s="92" t="s">
        <v>6357</v>
      </c>
      <c r="D8196" s="72" t="str">
        <f>IFERROR(VLOOKUP(A8196,'[1]ST-QA-ZZ5'!$C$5:$M$299,11,0),"Inspection at production line")</f>
        <v>Inspection at production line</v>
      </c>
    </row>
    <row r="8197" spans="1:4" ht="13.8">
      <c r="A8197" s="47" t="s">
        <v>16774</v>
      </c>
      <c r="B8197" s="92" t="s">
        <v>75</v>
      </c>
      <c r="C8197" s="92" t="s">
        <v>16775</v>
      </c>
      <c r="D8197" s="72" t="str">
        <f>IFERROR(VLOOKUP(A8197,'[1]ST-QA-ZZ5'!$C$5:$M$299,11,0),"Inspection at production line")</f>
        <v>Inspection at production line</v>
      </c>
    </row>
    <row r="8198" spans="1:4" ht="13.8">
      <c r="A8198" s="47" t="s">
        <v>16776</v>
      </c>
      <c r="B8198" s="92" t="s">
        <v>1554</v>
      </c>
      <c r="C8198" s="92" t="s">
        <v>6348</v>
      </c>
      <c r="D8198" s="72" t="str">
        <f>IFERROR(VLOOKUP(A8198,'[1]ST-QA-ZZ5'!$C$5:$M$299,11,0),"Inspection at production line")</f>
        <v>Inspection at production line</v>
      </c>
    </row>
    <row r="8199" spans="1:4" ht="13.8">
      <c r="A8199" s="47" t="s">
        <v>16777</v>
      </c>
      <c r="B8199" s="92" t="s">
        <v>6388</v>
      </c>
      <c r="C8199" s="92" t="s">
        <v>16778</v>
      </c>
      <c r="D8199" s="72" t="str">
        <f>IFERROR(VLOOKUP(A8199,'[1]ST-QA-ZZ5'!$C$5:$M$299,11,0),"Inspection at production line")</f>
        <v>Inspection at production line</v>
      </c>
    </row>
    <row r="8200" spans="1:4" ht="13.8">
      <c r="A8200" s="47" t="s">
        <v>16779</v>
      </c>
      <c r="B8200" s="92" t="s">
        <v>16780</v>
      </c>
      <c r="C8200" s="92" t="s">
        <v>6373</v>
      </c>
      <c r="D8200" s="72" t="str">
        <f>IFERROR(VLOOKUP(A8200,'[1]ST-QA-ZZ5'!$C$5:$M$299,11,0),"Inspection at production line")</f>
        <v>Inspection at production line</v>
      </c>
    </row>
    <row r="8201" spans="1:4" ht="13.8">
      <c r="A8201" s="47" t="s">
        <v>16781</v>
      </c>
      <c r="B8201" s="92" t="s">
        <v>797</v>
      </c>
      <c r="C8201" s="92" t="s">
        <v>16782</v>
      </c>
      <c r="D8201" s="72" t="str">
        <f>IFERROR(VLOOKUP(A8201,'[1]ST-QA-ZZ5'!$C$5:$M$299,11,0),"Inspection at production line")</f>
        <v>Inspection at production line</v>
      </c>
    </row>
    <row r="8202" spans="1:4" ht="13.8">
      <c r="A8202" s="47" t="s">
        <v>16783</v>
      </c>
      <c r="B8202" s="92" t="s">
        <v>797</v>
      </c>
      <c r="C8202" s="92" t="s">
        <v>16784</v>
      </c>
      <c r="D8202" s="72" t="str">
        <f>IFERROR(VLOOKUP(A8202,'[1]ST-QA-ZZ5'!$C$5:$M$299,11,0),"Inspection at production line")</f>
        <v>Inspection at production line</v>
      </c>
    </row>
    <row r="8203" spans="1:4" ht="13.8">
      <c r="A8203" s="47" t="s">
        <v>16785</v>
      </c>
      <c r="B8203" s="92" t="s">
        <v>6352</v>
      </c>
      <c r="C8203" s="92" t="s">
        <v>6352</v>
      </c>
      <c r="D8203" s="72" t="str">
        <f>IFERROR(VLOOKUP(A8203,'[1]ST-QA-ZZ5'!$C$5:$M$299,11,0),"Inspection at production line")</f>
        <v>Inspection at production line</v>
      </c>
    </row>
    <row r="8204" spans="1:4" ht="13.8">
      <c r="A8204" s="47" t="s">
        <v>16786</v>
      </c>
      <c r="B8204" s="92" t="s">
        <v>16787</v>
      </c>
      <c r="C8204" s="92" t="s">
        <v>16788</v>
      </c>
      <c r="D8204" s="72" t="str">
        <f>IFERROR(VLOOKUP(A8204,'[1]ST-QA-ZZ5'!$C$5:$M$299,11,0),"Inspection at production line")</f>
        <v>Inspection at production line</v>
      </c>
    </row>
    <row r="8205" spans="1:4" ht="13.8">
      <c r="A8205" s="47" t="s">
        <v>16789</v>
      </c>
      <c r="B8205" s="92" t="s">
        <v>16787</v>
      </c>
      <c r="C8205" s="92" t="s">
        <v>16790</v>
      </c>
      <c r="D8205" s="72" t="str">
        <f>IFERROR(VLOOKUP(A8205,'[1]ST-QA-ZZ5'!$C$5:$M$299,11,0),"Inspection at production line")</f>
        <v>Inspection at production line</v>
      </c>
    </row>
    <row r="8206" spans="1:4" ht="13.8">
      <c r="A8206" s="47" t="s">
        <v>16791</v>
      </c>
      <c r="B8206" s="92" t="s">
        <v>16787</v>
      </c>
      <c r="C8206" s="92" t="s">
        <v>16792</v>
      </c>
      <c r="D8206" s="72" t="str">
        <f>IFERROR(VLOOKUP(A8206,'[1]ST-QA-ZZ5'!$C$5:$M$299,11,0),"Inspection at production line")</f>
        <v>Inspection at production line</v>
      </c>
    </row>
    <row r="8207" spans="1:4" ht="13.8">
      <c r="A8207" s="47" t="s">
        <v>16793</v>
      </c>
      <c r="B8207" s="92" t="s">
        <v>174</v>
      </c>
      <c r="C8207" s="92" t="s">
        <v>2005</v>
      </c>
      <c r="D8207" s="72" t="str">
        <f>IFERROR(VLOOKUP(A8207,'[1]ST-QA-ZZ5'!$C$5:$M$299,11,0),"Inspection at production line")</f>
        <v>Inspection at production line</v>
      </c>
    </row>
    <row r="8208" spans="1:4" ht="13.8">
      <c r="A8208" s="47" t="s">
        <v>16794</v>
      </c>
      <c r="B8208" s="92" t="s">
        <v>75</v>
      </c>
      <c r="C8208" s="92" t="s">
        <v>16795</v>
      </c>
      <c r="D8208" s="72" t="str">
        <f>IFERROR(VLOOKUP(A8208,'[1]ST-QA-ZZ5'!$C$5:$M$299,11,0),"Inspection at production line")</f>
        <v>Inspection at production line</v>
      </c>
    </row>
    <row r="8209" spans="1:4" ht="13.8">
      <c r="A8209" s="47" t="s">
        <v>16796</v>
      </c>
      <c r="B8209" s="92" t="s">
        <v>2024</v>
      </c>
      <c r="C8209" s="92" t="s">
        <v>16797</v>
      </c>
      <c r="D8209" s="72" t="str">
        <f>IFERROR(VLOOKUP(A8209,'[1]ST-QA-ZZ5'!$C$5:$M$299,11,0),"Inspection at production line")</f>
        <v>Inspection at production line</v>
      </c>
    </row>
    <row r="8210" spans="1:4" ht="13.8">
      <c r="A8210" s="47" t="s">
        <v>16798</v>
      </c>
      <c r="B8210" s="92" t="s">
        <v>2024</v>
      </c>
      <c r="C8210" s="92" t="s">
        <v>16799</v>
      </c>
      <c r="D8210" s="72" t="str">
        <f>IFERROR(VLOOKUP(A8210,'[1]ST-QA-ZZ5'!$C$5:$M$299,11,0),"Inspection at production line")</f>
        <v>Inspection at production line</v>
      </c>
    </row>
    <row r="8211" spans="1:4" ht="13.8">
      <c r="A8211" s="47" t="s">
        <v>16800</v>
      </c>
      <c r="B8211" s="92" t="s">
        <v>2629</v>
      </c>
      <c r="C8211" s="92" t="s">
        <v>2629</v>
      </c>
      <c r="D8211" s="72" t="str">
        <f>IFERROR(VLOOKUP(A8211,'[1]ST-QA-ZZ5'!$C$5:$M$299,11,0),"Inspection at production line")</f>
        <v>Inspection at production line</v>
      </c>
    </row>
    <row r="8212" spans="1:4" ht="13.8">
      <c r="A8212" s="47" t="s">
        <v>16801</v>
      </c>
      <c r="B8212" s="92" t="s">
        <v>898</v>
      </c>
      <c r="C8212" s="92" t="s">
        <v>16802</v>
      </c>
      <c r="D8212" s="72" t="str">
        <f>IFERROR(VLOOKUP(A8212,'[1]ST-QA-ZZ5'!$C$5:$M$299,11,0),"Inspection at production line")</f>
        <v>Inspection at production line</v>
      </c>
    </row>
    <row r="8213" spans="1:4" ht="13.8">
      <c r="A8213" s="47" t="s">
        <v>16803</v>
      </c>
      <c r="B8213" s="92" t="s">
        <v>857</v>
      </c>
      <c r="C8213" s="92" t="s">
        <v>16804</v>
      </c>
      <c r="D8213" s="72" t="str">
        <f>IFERROR(VLOOKUP(A8213,'[1]ST-QA-ZZ5'!$C$5:$M$299,11,0),"Inspection at production line")</f>
        <v>Inspection at production line</v>
      </c>
    </row>
    <row r="8214" spans="1:4" ht="13.8">
      <c r="A8214" s="47" t="s">
        <v>16805</v>
      </c>
      <c r="B8214" s="92" t="s">
        <v>857</v>
      </c>
      <c r="C8214" s="92" t="s">
        <v>16806</v>
      </c>
      <c r="D8214" s="72" t="str">
        <f>IFERROR(VLOOKUP(A8214,'[1]ST-QA-ZZ5'!$C$5:$M$299,11,0),"Inspection at production line")</f>
        <v>Inspection at production line</v>
      </c>
    </row>
    <row r="8215" spans="1:4" ht="13.8">
      <c r="A8215" s="47" t="s">
        <v>16807</v>
      </c>
      <c r="B8215" s="92" t="s">
        <v>857</v>
      </c>
      <c r="C8215" s="92" t="s">
        <v>16808</v>
      </c>
      <c r="D8215" s="72" t="str">
        <f>IFERROR(VLOOKUP(A8215,'[1]ST-QA-ZZ5'!$C$5:$M$299,11,0),"Inspection at production line")</f>
        <v>Inspection at production line</v>
      </c>
    </row>
    <row r="8216" spans="1:4" ht="13.8">
      <c r="A8216" s="47" t="s">
        <v>16809</v>
      </c>
      <c r="B8216" s="92" t="s">
        <v>857</v>
      </c>
      <c r="C8216" s="92" t="s">
        <v>16810</v>
      </c>
      <c r="D8216" s="72" t="str">
        <f>IFERROR(VLOOKUP(A8216,'[1]ST-QA-ZZ5'!$C$5:$M$299,11,0),"Inspection at production line")</f>
        <v>Inspection at production line</v>
      </c>
    </row>
    <row r="8217" spans="1:4" ht="13.8">
      <c r="A8217" s="47" t="s">
        <v>16811</v>
      </c>
      <c r="B8217" s="92" t="s">
        <v>857</v>
      </c>
      <c r="C8217" s="92" t="s">
        <v>16812</v>
      </c>
      <c r="D8217" s="72" t="str">
        <f>IFERROR(VLOOKUP(A8217,'[1]ST-QA-ZZ5'!$C$5:$M$299,11,0),"Inspection at production line")</f>
        <v>Inspection at production line</v>
      </c>
    </row>
    <row r="8218" spans="1:4" ht="13.8">
      <c r="A8218" s="47" t="s">
        <v>16813</v>
      </c>
      <c r="B8218" s="92" t="s">
        <v>857</v>
      </c>
      <c r="C8218" s="92" t="s">
        <v>16814</v>
      </c>
      <c r="D8218" s="72" t="str">
        <f>IFERROR(VLOOKUP(A8218,'[1]ST-QA-ZZ5'!$C$5:$M$299,11,0),"Inspection at production line")</f>
        <v>Inspection at production line</v>
      </c>
    </row>
    <row r="8219" spans="1:4" ht="13.8">
      <c r="A8219" s="47" t="s">
        <v>16815</v>
      </c>
      <c r="B8219" s="92" t="s">
        <v>857</v>
      </c>
      <c r="C8219" s="92" t="s">
        <v>16816</v>
      </c>
      <c r="D8219" s="72" t="str">
        <f>IFERROR(VLOOKUP(A8219,'[1]ST-QA-ZZ5'!$C$5:$M$299,11,0),"Inspection at production line")</f>
        <v>Inspection at production line</v>
      </c>
    </row>
    <row r="8220" spans="1:4" ht="13.8">
      <c r="A8220" s="47" t="s">
        <v>16817</v>
      </c>
      <c r="B8220" s="92" t="s">
        <v>857</v>
      </c>
      <c r="C8220" s="92" t="s">
        <v>16818</v>
      </c>
      <c r="D8220" s="72" t="str">
        <f>IFERROR(VLOOKUP(A8220,'[1]ST-QA-ZZ5'!$C$5:$M$299,11,0),"Inspection at production line")</f>
        <v>Inspection at production line</v>
      </c>
    </row>
    <row r="8221" spans="1:4" ht="13.8">
      <c r="A8221" s="47" t="s">
        <v>16819</v>
      </c>
      <c r="B8221" s="92" t="s">
        <v>857</v>
      </c>
      <c r="C8221" s="92" t="s">
        <v>16820</v>
      </c>
      <c r="D8221" s="72" t="str">
        <f>IFERROR(VLOOKUP(A8221,'[1]ST-QA-ZZ5'!$C$5:$M$299,11,0),"Inspection at production line")</f>
        <v>Inspection at production line</v>
      </c>
    </row>
    <row r="8222" spans="1:4" ht="13.8">
      <c r="A8222" s="47" t="s">
        <v>16821</v>
      </c>
      <c r="B8222" s="92" t="s">
        <v>2024</v>
      </c>
      <c r="C8222" s="92" t="s">
        <v>9793</v>
      </c>
      <c r="D8222" s="72" t="str">
        <f>IFERROR(VLOOKUP(A8222,'[1]ST-QA-ZZ5'!$C$5:$M$299,11,0),"Inspection at production line")</f>
        <v>Inspection at production line</v>
      </c>
    </row>
    <row r="8223" spans="1:4" ht="13.8">
      <c r="A8223" s="47" t="s">
        <v>16822</v>
      </c>
      <c r="B8223" s="92" t="s">
        <v>2137</v>
      </c>
      <c r="C8223" s="92" t="s">
        <v>6373</v>
      </c>
      <c r="D8223" s="72" t="str">
        <f>IFERROR(VLOOKUP(A8223,'[1]ST-QA-ZZ5'!$C$5:$M$299,11,0),"Inspection at production line")</f>
        <v>Inspection at production line</v>
      </c>
    </row>
    <row r="8224" spans="1:4" ht="13.8">
      <c r="A8224" s="47" t="s">
        <v>16823</v>
      </c>
      <c r="B8224" s="92" t="s">
        <v>857</v>
      </c>
      <c r="C8224" s="92" t="s">
        <v>16824</v>
      </c>
      <c r="D8224" s="72" t="str">
        <f>IFERROR(VLOOKUP(A8224,'[1]ST-QA-ZZ5'!$C$5:$M$299,11,0),"Inspection at production line")</f>
        <v>Inspection at production line</v>
      </c>
    </row>
    <row r="8225" spans="1:4" ht="13.8">
      <c r="A8225" s="47" t="s">
        <v>16825</v>
      </c>
      <c r="B8225" s="92" t="s">
        <v>1472</v>
      </c>
      <c r="C8225" s="92" t="s">
        <v>6118</v>
      </c>
      <c r="D8225" s="72" t="str">
        <f>IFERROR(VLOOKUP(A8225,'[1]ST-QA-ZZ5'!$C$5:$M$299,11,0),"Inspection at production line")</f>
        <v>Inspection at production line</v>
      </c>
    </row>
    <row r="8226" spans="1:4" ht="13.8">
      <c r="A8226" s="47" t="s">
        <v>16826</v>
      </c>
      <c r="B8226" s="92" t="s">
        <v>57</v>
      </c>
      <c r="C8226" s="92" t="s">
        <v>6114</v>
      </c>
      <c r="D8226" s="72" t="str">
        <f>IFERROR(VLOOKUP(A8226,'[1]ST-QA-ZZ5'!$C$5:$M$299,11,0),"Inspection at production line")</f>
        <v>Inspection at production line</v>
      </c>
    </row>
    <row r="8227" spans="1:4" ht="13.8">
      <c r="A8227" s="47" t="s">
        <v>16827</v>
      </c>
      <c r="B8227" s="92" t="s">
        <v>2584</v>
      </c>
      <c r="C8227" s="92" t="s">
        <v>12772</v>
      </c>
      <c r="D8227" s="72" t="str">
        <f>IFERROR(VLOOKUP(A8227,'[1]ST-QA-ZZ5'!$C$5:$M$299,11,0),"Inspection at production line")</f>
        <v>Inspection at production line</v>
      </c>
    </row>
    <row r="8228" spans="1:4" ht="13.8">
      <c r="A8228" s="47" t="s">
        <v>16828</v>
      </c>
      <c r="B8228" s="92" t="s">
        <v>57</v>
      </c>
      <c r="C8228" s="92" t="s">
        <v>6115</v>
      </c>
      <c r="D8228" s="72" t="str">
        <f>IFERROR(VLOOKUP(A8228,'[1]ST-QA-ZZ5'!$C$5:$M$299,11,0),"Inspection at production line")</f>
        <v>Inspection at production line</v>
      </c>
    </row>
    <row r="8229" spans="1:4" ht="13.8">
      <c r="A8229" s="47" t="s">
        <v>16829</v>
      </c>
      <c r="B8229" s="92" t="s">
        <v>1669</v>
      </c>
      <c r="C8229" s="92" t="s">
        <v>16739</v>
      </c>
      <c r="D8229" s="72" t="str">
        <f>IFERROR(VLOOKUP(A8229,'[1]ST-QA-ZZ5'!$C$5:$M$299,11,0),"Inspection at production line")</f>
        <v>Inspection at production line</v>
      </c>
    </row>
    <row r="8230" spans="1:4" ht="13.8">
      <c r="A8230" s="47" t="s">
        <v>16830</v>
      </c>
      <c r="B8230" s="92" t="s">
        <v>1975</v>
      </c>
      <c r="C8230" s="92" t="s">
        <v>1976</v>
      </c>
      <c r="D8230" s="72" t="str">
        <f>IFERROR(VLOOKUP(A8230,'[1]ST-QA-ZZ5'!$C$5:$M$299,11,0),"Inspection at production line")</f>
        <v>Inspection at production line</v>
      </c>
    </row>
    <row r="8231" spans="1:4" ht="13.8">
      <c r="A8231" s="47" t="s">
        <v>16831</v>
      </c>
      <c r="B8231" s="92" t="s">
        <v>16491</v>
      </c>
      <c r="C8231" s="92" t="s">
        <v>16492</v>
      </c>
      <c r="D8231" s="72" t="str">
        <f>IFERROR(VLOOKUP(A8231,'[1]ST-QA-ZZ5'!$C$5:$M$299,11,0),"Inspection at production line")</f>
        <v>Inspection at production line</v>
      </c>
    </row>
    <row r="8232" spans="1:4" ht="13.8">
      <c r="A8232" s="47" t="s">
        <v>16832</v>
      </c>
      <c r="B8232" s="92" t="s">
        <v>5435</v>
      </c>
      <c r="C8232" s="92" t="s">
        <v>16833</v>
      </c>
      <c r="D8232" s="72" t="str">
        <f>IFERROR(VLOOKUP(A8232,'[1]ST-QA-ZZ5'!$C$5:$M$299,11,0),"Inspection at production line")</f>
        <v>Inspection at production line</v>
      </c>
    </row>
    <row r="8233" spans="1:4" ht="13.8">
      <c r="A8233" s="47" t="s">
        <v>16834</v>
      </c>
      <c r="B8233" s="92" t="s">
        <v>857</v>
      </c>
      <c r="C8233" s="92" t="s">
        <v>16835</v>
      </c>
      <c r="D8233" s="72" t="str">
        <f>IFERROR(VLOOKUP(A8233,'[1]ST-QA-ZZ5'!$C$5:$M$299,11,0),"Inspection at production line")</f>
        <v>Inspection at production line</v>
      </c>
    </row>
    <row r="8234" spans="1:4" ht="13.8">
      <c r="A8234" s="47" t="s">
        <v>16836</v>
      </c>
      <c r="B8234" s="92" t="s">
        <v>857</v>
      </c>
      <c r="C8234" s="92" t="s">
        <v>16837</v>
      </c>
      <c r="D8234" s="72" t="str">
        <f>IFERROR(VLOOKUP(A8234,'[1]ST-QA-ZZ5'!$C$5:$M$299,11,0),"Inspection at production line")</f>
        <v>Inspection at production line</v>
      </c>
    </row>
    <row r="8235" spans="1:4" ht="13.8">
      <c r="A8235" s="47" t="s">
        <v>16838</v>
      </c>
      <c r="B8235" s="92" t="s">
        <v>857</v>
      </c>
      <c r="C8235" s="92" t="s">
        <v>16839</v>
      </c>
      <c r="D8235" s="72" t="str">
        <f>IFERROR(VLOOKUP(A8235,'[1]ST-QA-ZZ5'!$C$5:$M$299,11,0),"Inspection at production line")</f>
        <v>Inspection at production line</v>
      </c>
    </row>
    <row r="8236" spans="1:4" ht="13.8">
      <c r="A8236" s="47" t="s">
        <v>16840</v>
      </c>
      <c r="B8236" s="92" t="s">
        <v>857</v>
      </c>
      <c r="C8236" s="92" t="s">
        <v>16841</v>
      </c>
      <c r="D8236" s="72" t="str">
        <f>IFERROR(VLOOKUP(A8236,'[1]ST-QA-ZZ5'!$C$5:$M$299,11,0),"Inspection at production line")</f>
        <v>Inspection at production line</v>
      </c>
    </row>
    <row r="8237" spans="1:4" ht="13.8">
      <c r="A8237" s="47" t="s">
        <v>16842</v>
      </c>
      <c r="B8237" s="92" t="s">
        <v>857</v>
      </c>
      <c r="C8237" s="92" t="s">
        <v>16843</v>
      </c>
      <c r="D8237" s="72" t="str">
        <f>IFERROR(VLOOKUP(A8237,'[1]ST-QA-ZZ5'!$C$5:$M$299,11,0),"Inspection at production line")</f>
        <v>Inspection at production line</v>
      </c>
    </row>
    <row r="8238" spans="1:4" ht="13.8">
      <c r="A8238" s="47" t="s">
        <v>16844</v>
      </c>
      <c r="B8238" s="92" t="s">
        <v>857</v>
      </c>
      <c r="C8238" s="92" t="s">
        <v>16845</v>
      </c>
      <c r="D8238" s="72" t="str">
        <f>IFERROR(VLOOKUP(A8238,'[1]ST-QA-ZZ5'!$C$5:$M$299,11,0),"Inspection at production line")</f>
        <v>Inspection at production line</v>
      </c>
    </row>
    <row r="8239" spans="1:4" ht="13.8">
      <c r="A8239" s="47" t="s">
        <v>16846</v>
      </c>
      <c r="B8239" s="92" t="s">
        <v>857</v>
      </c>
      <c r="C8239" s="92" t="s">
        <v>16847</v>
      </c>
      <c r="D8239" s="72" t="str">
        <f>IFERROR(VLOOKUP(A8239,'[1]ST-QA-ZZ5'!$C$5:$M$299,11,0),"Inspection at production line")</f>
        <v>Inspection at production line</v>
      </c>
    </row>
    <row r="8240" spans="1:4" ht="13.8">
      <c r="A8240" s="47" t="s">
        <v>16848</v>
      </c>
      <c r="B8240" s="92" t="s">
        <v>857</v>
      </c>
      <c r="C8240" s="92" t="s">
        <v>16849</v>
      </c>
      <c r="D8240" s="72" t="str">
        <f>IFERROR(VLOOKUP(A8240,'[1]ST-QA-ZZ5'!$C$5:$M$299,11,0),"Inspection at production line")</f>
        <v>Inspection at production line</v>
      </c>
    </row>
    <row r="8241" spans="1:4" ht="13.8">
      <c r="A8241" s="47" t="s">
        <v>16850</v>
      </c>
      <c r="B8241" s="92" t="s">
        <v>857</v>
      </c>
      <c r="C8241" s="92" t="s">
        <v>16851</v>
      </c>
      <c r="D8241" s="72" t="str">
        <f>IFERROR(VLOOKUP(A8241,'[1]ST-QA-ZZ5'!$C$5:$M$299,11,0),"Inspection at production line")</f>
        <v>Inspection at production line</v>
      </c>
    </row>
    <row r="8242" spans="1:4" ht="13.8">
      <c r="A8242" s="47" t="s">
        <v>16852</v>
      </c>
      <c r="B8242" s="92" t="s">
        <v>857</v>
      </c>
      <c r="C8242" s="92" t="s">
        <v>16853</v>
      </c>
      <c r="D8242" s="72" t="str">
        <f>IFERROR(VLOOKUP(A8242,'[1]ST-QA-ZZ5'!$C$5:$M$299,11,0),"Inspection at production line")</f>
        <v>Inspection at production line</v>
      </c>
    </row>
    <row r="8243" spans="1:4" ht="13.8">
      <c r="A8243" s="47" t="s">
        <v>16854</v>
      </c>
      <c r="B8243" s="92" t="s">
        <v>857</v>
      </c>
      <c r="C8243" s="92" t="s">
        <v>16855</v>
      </c>
      <c r="D8243" s="72" t="str">
        <f>IFERROR(VLOOKUP(A8243,'[1]ST-QA-ZZ5'!$C$5:$M$299,11,0),"Inspection at production line")</f>
        <v>Inspection at production line</v>
      </c>
    </row>
    <row r="8244" spans="1:4" ht="13.8">
      <c r="A8244" s="47" t="s">
        <v>16856</v>
      </c>
      <c r="B8244" s="92" t="s">
        <v>818</v>
      </c>
      <c r="C8244" s="92" t="s">
        <v>16857</v>
      </c>
      <c r="D8244" s="72" t="str">
        <f>IFERROR(VLOOKUP(A8244,'[1]ST-QA-ZZ5'!$C$5:$M$299,11,0),"Inspection at production line")</f>
        <v>Inspection at production line</v>
      </c>
    </row>
    <row r="8245" spans="1:4" ht="13.8">
      <c r="A8245" s="47" t="s">
        <v>16858</v>
      </c>
      <c r="B8245" s="92" t="s">
        <v>865</v>
      </c>
      <c r="C8245" s="92" t="s">
        <v>16859</v>
      </c>
      <c r="D8245" s="72" t="str">
        <f>IFERROR(VLOOKUP(A8245,'[1]ST-QA-ZZ5'!$C$5:$M$299,11,0),"Inspection at production line")</f>
        <v>Inspection at production line</v>
      </c>
    </row>
    <row r="8246" spans="1:4" ht="13.8">
      <c r="A8246" s="47" t="s">
        <v>16860</v>
      </c>
      <c r="B8246" s="92" t="s">
        <v>1949</v>
      </c>
      <c r="C8246" s="92" t="s">
        <v>1949</v>
      </c>
      <c r="D8246" s="72" t="str">
        <f>IFERROR(VLOOKUP(A8246,'[1]ST-QA-ZZ5'!$C$5:$M$299,11,0),"Inspection at production line")</f>
        <v>Inspection at production line</v>
      </c>
    </row>
    <row r="8247" spans="1:4" ht="13.8">
      <c r="A8247" s="47" t="s">
        <v>16861</v>
      </c>
      <c r="B8247" s="92" t="s">
        <v>857</v>
      </c>
      <c r="C8247" s="92" t="s">
        <v>16862</v>
      </c>
      <c r="D8247" s="72" t="str">
        <f>IFERROR(VLOOKUP(A8247,'[1]ST-QA-ZZ5'!$C$5:$M$299,11,0),"Inspection at production line")</f>
        <v>Inspection at production line</v>
      </c>
    </row>
    <row r="8248" spans="1:4" ht="13.8">
      <c r="A8248" s="47" t="s">
        <v>16863</v>
      </c>
      <c r="B8248" s="92" t="s">
        <v>857</v>
      </c>
      <c r="C8248" s="92" t="s">
        <v>16864</v>
      </c>
      <c r="D8248" s="72" t="str">
        <f>IFERROR(VLOOKUP(A8248,'[1]ST-QA-ZZ5'!$C$5:$M$299,11,0),"Inspection at production line")</f>
        <v>Inspection at production line</v>
      </c>
    </row>
    <row r="8249" spans="1:4" ht="13.8">
      <c r="A8249" s="47" t="s">
        <v>16865</v>
      </c>
      <c r="B8249" s="92" t="s">
        <v>857</v>
      </c>
      <c r="C8249" s="92" t="s">
        <v>16866</v>
      </c>
      <c r="D8249" s="72" t="str">
        <f>IFERROR(VLOOKUP(A8249,'[1]ST-QA-ZZ5'!$C$5:$M$299,11,0),"Inspection at production line")</f>
        <v>Inspection at production line</v>
      </c>
    </row>
    <row r="8250" spans="1:4" ht="13.8">
      <c r="A8250" s="47" t="s">
        <v>16867</v>
      </c>
      <c r="B8250" s="92" t="s">
        <v>2969</v>
      </c>
      <c r="C8250" s="92" t="s">
        <v>16868</v>
      </c>
      <c r="D8250" s="72" t="str">
        <f>IFERROR(VLOOKUP(A8250,'[1]ST-QA-ZZ5'!$C$5:$M$299,11,0),"Inspection at production line")</f>
        <v>Inspection at production line</v>
      </c>
    </row>
    <row r="8251" spans="1:4" ht="13.8">
      <c r="A8251" s="47" t="s">
        <v>16869</v>
      </c>
      <c r="B8251" s="92" t="s">
        <v>555</v>
      </c>
      <c r="C8251" s="92" t="s">
        <v>16870</v>
      </c>
      <c r="D8251" s="72" t="str">
        <f>IFERROR(VLOOKUP(A8251,'[1]ST-QA-ZZ5'!$C$5:$M$299,11,0),"Inspection at production line")</f>
        <v>Inspection at production line</v>
      </c>
    </row>
    <row r="8252" spans="1:4" ht="13.8">
      <c r="A8252" s="47" t="s">
        <v>16871</v>
      </c>
      <c r="B8252" s="92" t="s">
        <v>3002</v>
      </c>
      <c r="C8252" s="92" t="s">
        <v>16872</v>
      </c>
      <c r="D8252" s="72" t="str">
        <f>IFERROR(VLOOKUP(A8252,'[1]ST-QA-ZZ5'!$C$5:$M$299,11,0),"Inspection at production line")</f>
        <v>Inspection at production line</v>
      </c>
    </row>
    <row r="8253" spans="1:4" ht="13.8">
      <c r="A8253" s="47" t="s">
        <v>16873</v>
      </c>
      <c r="B8253" s="92" t="s">
        <v>3002</v>
      </c>
      <c r="C8253" s="92" t="s">
        <v>16874</v>
      </c>
      <c r="D8253" s="72" t="str">
        <f>IFERROR(VLOOKUP(A8253,'[1]ST-QA-ZZ5'!$C$5:$M$299,11,0),"Inspection at production line")</f>
        <v>Inspection at production line</v>
      </c>
    </row>
    <row r="8254" spans="1:4" ht="13.8">
      <c r="A8254" s="47" t="s">
        <v>16875</v>
      </c>
      <c r="B8254" s="92" t="s">
        <v>2969</v>
      </c>
      <c r="C8254" s="92" t="s">
        <v>16876</v>
      </c>
      <c r="D8254" s="72" t="str">
        <f>IFERROR(VLOOKUP(A8254,'[1]ST-QA-ZZ5'!$C$5:$M$299,11,0),"Inspection at production line")</f>
        <v>Inspection at production line</v>
      </c>
    </row>
    <row r="8255" spans="1:4" ht="13.8">
      <c r="A8255" s="47" t="s">
        <v>16877</v>
      </c>
      <c r="B8255" s="92" t="s">
        <v>555</v>
      </c>
      <c r="C8255" s="92" t="s">
        <v>16878</v>
      </c>
      <c r="D8255" s="72" t="str">
        <f>IFERROR(VLOOKUP(A8255,'[1]ST-QA-ZZ5'!$C$5:$M$299,11,0),"Inspection at production line")</f>
        <v>Inspection at production line</v>
      </c>
    </row>
    <row r="8256" spans="1:4" ht="13.8">
      <c r="A8256" s="47" t="s">
        <v>16879</v>
      </c>
      <c r="B8256" s="92" t="s">
        <v>555</v>
      </c>
      <c r="C8256" s="92" t="s">
        <v>16880</v>
      </c>
      <c r="D8256" s="72" t="str">
        <f>IFERROR(VLOOKUP(A8256,'[1]ST-QA-ZZ5'!$C$5:$M$299,11,0),"Inspection at production line")</f>
        <v>Inspection at production line</v>
      </c>
    </row>
    <row r="8257" spans="1:4" ht="13.8">
      <c r="A8257" s="47" t="s">
        <v>16881</v>
      </c>
      <c r="B8257" s="92" t="s">
        <v>555</v>
      </c>
      <c r="C8257" s="92" t="s">
        <v>16882</v>
      </c>
      <c r="D8257" s="72" t="str">
        <f>IFERROR(VLOOKUP(A8257,'[1]ST-QA-ZZ5'!$C$5:$M$299,11,0),"Inspection at production line")</f>
        <v>Inspection at production line</v>
      </c>
    </row>
    <row r="8258" spans="1:4" ht="13.8">
      <c r="A8258" s="47" t="s">
        <v>16883</v>
      </c>
      <c r="B8258" s="92" t="s">
        <v>555</v>
      </c>
      <c r="C8258" s="92" t="s">
        <v>16884</v>
      </c>
      <c r="D8258" s="72" t="str">
        <f>IFERROR(VLOOKUP(A8258,'[1]ST-QA-ZZ5'!$C$5:$M$299,11,0),"Inspection at production line")</f>
        <v>Inspection at production line</v>
      </c>
    </row>
    <row r="8259" spans="1:4" ht="13.8">
      <c r="A8259" s="47" t="s">
        <v>16885</v>
      </c>
      <c r="B8259" s="92" t="s">
        <v>3002</v>
      </c>
      <c r="C8259" s="92" t="s">
        <v>16886</v>
      </c>
      <c r="D8259" s="72" t="str">
        <f>IFERROR(VLOOKUP(A8259,'[1]ST-QA-ZZ5'!$C$5:$M$299,11,0),"Inspection at production line")</f>
        <v>Inspection at production line</v>
      </c>
    </row>
    <row r="8260" spans="1:4" ht="13.8">
      <c r="A8260" s="47" t="s">
        <v>16887</v>
      </c>
      <c r="B8260" s="92" t="s">
        <v>3002</v>
      </c>
      <c r="C8260" s="92" t="s">
        <v>16888</v>
      </c>
      <c r="D8260" s="72" t="str">
        <f>IFERROR(VLOOKUP(A8260,'[1]ST-QA-ZZ5'!$C$5:$M$299,11,0),"Inspection at production line")</f>
        <v>Inspection at production line</v>
      </c>
    </row>
    <row r="8261" spans="1:4" ht="13.8">
      <c r="A8261" s="47" t="s">
        <v>16889</v>
      </c>
      <c r="B8261" s="92" t="s">
        <v>555</v>
      </c>
      <c r="C8261" s="92" t="s">
        <v>16890</v>
      </c>
      <c r="D8261" s="72" t="str">
        <f>IFERROR(VLOOKUP(A8261,'[1]ST-QA-ZZ5'!$C$5:$M$299,11,0),"Inspection at production line")</f>
        <v>Inspection at production line</v>
      </c>
    </row>
    <row r="8262" spans="1:4" ht="13.8">
      <c r="A8262" s="47" t="s">
        <v>16891</v>
      </c>
      <c r="B8262" s="92" t="s">
        <v>9608</v>
      </c>
      <c r="C8262" s="92" t="s">
        <v>16892</v>
      </c>
      <c r="D8262" s="72" t="str">
        <f>IFERROR(VLOOKUP(A8262,'[1]ST-QA-ZZ5'!$C$5:$M$299,11,0),"Inspection at production line")</f>
        <v>Inspection at production line</v>
      </c>
    </row>
    <row r="8263" spans="1:4" ht="13.8">
      <c r="A8263" s="47" t="s">
        <v>16893</v>
      </c>
      <c r="B8263" s="92" t="s">
        <v>174</v>
      </c>
      <c r="C8263" s="92" t="s">
        <v>16894</v>
      </c>
      <c r="D8263" s="72" t="str">
        <f>IFERROR(VLOOKUP(A8263,'[1]ST-QA-ZZ5'!$C$5:$M$299,11,0),"Inspection at production line")</f>
        <v>Inspection at production line</v>
      </c>
    </row>
    <row r="8264" spans="1:4" ht="13.8">
      <c r="A8264" s="47" t="s">
        <v>16895</v>
      </c>
      <c r="B8264" s="92" t="s">
        <v>1880</v>
      </c>
      <c r="C8264" s="92" t="s">
        <v>16896</v>
      </c>
      <c r="D8264" s="72" t="str">
        <f>IFERROR(VLOOKUP(A8264,'[1]ST-QA-ZZ5'!$C$5:$M$299,11,0),"Inspection at production line")</f>
        <v>Inspection at production line</v>
      </c>
    </row>
    <row r="8265" spans="1:4" ht="13.8">
      <c r="A8265" s="47" t="s">
        <v>16897</v>
      </c>
      <c r="B8265" s="92" t="s">
        <v>75</v>
      </c>
      <c r="C8265" s="92" t="s">
        <v>6182</v>
      </c>
      <c r="D8265" s="72" t="str">
        <f>IFERROR(VLOOKUP(A8265,'[1]ST-QA-ZZ5'!$C$5:$M$299,11,0),"Inspection at production line")</f>
        <v>Inspection at production line</v>
      </c>
    </row>
    <row r="8266" spans="1:4" ht="13.8">
      <c r="A8266" s="47" t="s">
        <v>16898</v>
      </c>
      <c r="B8266" s="92" t="s">
        <v>2492</v>
      </c>
      <c r="C8266" s="92" t="s">
        <v>16899</v>
      </c>
      <c r="D8266" s="72" t="str">
        <f>IFERROR(VLOOKUP(A8266,'[1]ST-QA-ZZ5'!$C$5:$M$299,11,0),"Inspection at production line")</f>
        <v>Inspection at production line</v>
      </c>
    </row>
    <row r="8267" spans="1:4" ht="13.8">
      <c r="A8267" s="47" t="s">
        <v>16900</v>
      </c>
      <c r="B8267" s="92" t="s">
        <v>2492</v>
      </c>
      <c r="C8267" s="92" t="s">
        <v>16901</v>
      </c>
      <c r="D8267" s="72" t="str">
        <f>IFERROR(VLOOKUP(A8267,'[1]ST-QA-ZZ5'!$C$5:$M$299,11,0),"Inspection at production line")</f>
        <v>Inspection at production line</v>
      </c>
    </row>
    <row r="8268" spans="1:4" ht="13.8">
      <c r="A8268" s="47" t="s">
        <v>16902</v>
      </c>
      <c r="B8268" s="92" t="s">
        <v>2492</v>
      </c>
      <c r="C8268" s="92" t="s">
        <v>16903</v>
      </c>
      <c r="D8268" s="72" t="str">
        <f>IFERROR(VLOOKUP(A8268,'[1]ST-QA-ZZ5'!$C$5:$M$299,11,0),"Inspection at production line")</f>
        <v>Inspection at production line</v>
      </c>
    </row>
    <row r="8269" spans="1:4" ht="13.8">
      <c r="A8269" s="47" t="s">
        <v>16904</v>
      </c>
      <c r="B8269" s="92" t="s">
        <v>2492</v>
      </c>
      <c r="C8269" s="92" t="s">
        <v>16905</v>
      </c>
      <c r="D8269" s="72" t="str">
        <f>IFERROR(VLOOKUP(A8269,'[1]ST-QA-ZZ5'!$C$5:$M$299,11,0),"Inspection at production line")</f>
        <v>Inspection at production line</v>
      </c>
    </row>
    <row r="8270" spans="1:4" ht="13.8">
      <c r="A8270" s="47" t="s">
        <v>16906</v>
      </c>
      <c r="B8270" s="92" t="s">
        <v>4075</v>
      </c>
      <c r="C8270" s="92" t="s">
        <v>6142</v>
      </c>
      <c r="D8270" s="72" t="str">
        <f>IFERROR(VLOOKUP(A8270,'[1]ST-QA-ZZ5'!$C$5:$M$299,11,0),"Inspection at production line")</f>
        <v>Inspection at production line</v>
      </c>
    </row>
    <row r="8271" spans="1:4" ht="13.8">
      <c r="A8271" s="47" t="s">
        <v>16907</v>
      </c>
      <c r="B8271" s="92" t="s">
        <v>119</v>
      </c>
      <c r="C8271" s="92" t="s">
        <v>6144</v>
      </c>
      <c r="D8271" s="72" t="str">
        <f>IFERROR(VLOOKUP(A8271,'[1]ST-QA-ZZ5'!$C$5:$M$299,11,0),"Inspection at production line")</f>
        <v>Inspection at production line</v>
      </c>
    </row>
    <row r="8272" spans="1:4" ht="13.8">
      <c r="A8272" s="47" t="s">
        <v>16908</v>
      </c>
      <c r="B8272" s="92" t="s">
        <v>2584</v>
      </c>
      <c r="C8272" s="92" t="s">
        <v>12782</v>
      </c>
      <c r="D8272" s="72" t="str">
        <f>IFERROR(VLOOKUP(A8272,'[1]ST-QA-ZZ5'!$C$5:$M$299,11,0),"Inspection at production line")</f>
        <v>Inspection at production line</v>
      </c>
    </row>
    <row r="8273" spans="1:4" ht="13.8">
      <c r="A8273" s="47" t="s">
        <v>16909</v>
      </c>
      <c r="B8273" s="92" t="s">
        <v>119</v>
      </c>
      <c r="C8273" s="92" t="s">
        <v>16399</v>
      </c>
      <c r="D8273" s="72" t="str">
        <f>IFERROR(VLOOKUP(A8273,'[1]ST-QA-ZZ5'!$C$5:$M$299,11,0),"Inspection at production line")</f>
        <v>Inspection at production line</v>
      </c>
    </row>
    <row r="8274" spans="1:4" ht="13.8">
      <c r="A8274" s="47" t="s">
        <v>16910</v>
      </c>
      <c r="B8274" s="92" t="s">
        <v>2566</v>
      </c>
      <c r="C8274" s="92" t="s">
        <v>16411</v>
      </c>
      <c r="D8274" s="72" t="str">
        <f>IFERROR(VLOOKUP(A8274,'[1]ST-QA-ZZ5'!$C$5:$M$299,11,0),"Inspection at production line")</f>
        <v>Inspection at production line</v>
      </c>
    </row>
    <row r="8275" spans="1:4" ht="13.8">
      <c r="A8275" s="47" t="s">
        <v>16911</v>
      </c>
      <c r="B8275" s="92" t="s">
        <v>119</v>
      </c>
      <c r="C8275" s="92" t="s">
        <v>16912</v>
      </c>
      <c r="D8275" s="72" t="str">
        <f>IFERROR(VLOOKUP(A8275,'[1]ST-QA-ZZ5'!$C$5:$M$299,11,0),"Inspection at production line")</f>
        <v>Inspection at production line</v>
      </c>
    </row>
    <row r="8276" spans="1:4" ht="13.8">
      <c r="A8276" s="47" t="s">
        <v>16913</v>
      </c>
      <c r="B8276" s="92" t="s">
        <v>1513</v>
      </c>
      <c r="C8276" s="92" t="s">
        <v>5953</v>
      </c>
      <c r="D8276" s="72" t="str">
        <f>IFERROR(VLOOKUP(A8276,'[1]ST-QA-ZZ5'!$C$5:$M$299,11,0),"Inspection at production line")</f>
        <v>Inspection at production line</v>
      </c>
    </row>
    <row r="8277" spans="1:4" ht="13.8">
      <c r="A8277" s="47" t="s">
        <v>16914</v>
      </c>
      <c r="B8277" s="92" t="s">
        <v>797</v>
      </c>
      <c r="C8277" s="92" t="s">
        <v>16915</v>
      </c>
      <c r="D8277" s="72" t="str">
        <f>IFERROR(VLOOKUP(A8277,'[1]ST-QA-ZZ5'!$C$5:$M$299,11,0),"Inspection at production line")</f>
        <v>Inspection at production line</v>
      </c>
    </row>
    <row r="8278" spans="1:4" ht="13.8">
      <c r="A8278" s="47" t="s">
        <v>16916</v>
      </c>
      <c r="B8278" s="92" t="s">
        <v>797</v>
      </c>
      <c r="C8278" s="92" t="s">
        <v>16297</v>
      </c>
      <c r="D8278" s="72" t="str">
        <f>IFERROR(VLOOKUP(A8278,'[1]ST-QA-ZZ5'!$C$5:$M$299,11,0),"Inspection at production line")</f>
        <v>Inspection at production line</v>
      </c>
    </row>
    <row r="8279" spans="1:4" ht="13.8">
      <c r="A8279" s="47" t="s">
        <v>16917</v>
      </c>
      <c r="B8279" s="92" t="s">
        <v>797</v>
      </c>
      <c r="C8279" s="92" t="s">
        <v>16918</v>
      </c>
      <c r="D8279" s="72" t="str">
        <f>IFERROR(VLOOKUP(A8279,'[1]ST-QA-ZZ5'!$C$5:$M$299,11,0),"Inspection at production line")</f>
        <v>Inspection at production line</v>
      </c>
    </row>
    <row r="8280" spans="1:4" ht="13.8">
      <c r="A8280" s="47" t="s">
        <v>16919</v>
      </c>
      <c r="B8280" s="92" t="s">
        <v>1513</v>
      </c>
      <c r="C8280" s="92" t="s">
        <v>16920</v>
      </c>
      <c r="D8280" s="72" t="str">
        <f>IFERROR(VLOOKUP(A8280,'[1]ST-QA-ZZ5'!$C$5:$M$299,11,0),"Inspection at production line")</f>
        <v>Inspection at production line</v>
      </c>
    </row>
    <row r="8281" spans="1:4" ht="13.8">
      <c r="A8281" s="47" t="s">
        <v>16921</v>
      </c>
      <c r="B8281" s="92" t="s">
        <v>555</v>
      </c>
      <c r="C8281" s="92" t="s">
        <v>16922</v>
      </c>
      <c r="D8281" s="72" t="str">
        <f>IFERROR(VLOOKUP(A8281,'[1]ST-QA-ZZ5'!$C$5:$M$299,11,0),"Inspection at production line")</f>
        <v>Inspection at production line</v>
      </c>
    </row>
    <row r="8282" spans="1:4" ht="13.8">
      <c r="A8282" s="47" t="s">
        <v>16923</v>
      </c>
      <c r="B8282" s="92" t="s">
        <v>949</v>
      </c>
      <c r="C8282" s="92" t="s">
        <v>16924</v>
      </c>
      <c r="D8282" s="72" t="str">
        <f>IFERROR(VLOOKUP(A8282,'[1]ST-QA-ZZ5'!$C$5:$M$299,11,0),"Inspection at production line")</f>
        <v>Inspection at production line</v>
      </c>
    </row>
    <row r="8283" spans="1:4" ht="13.8">
      <c r="A8283" s="47" t="s">
        <v>16925</v>
      </c>
      <c r="B8283" s="92" t="s">
        <v>857</v>
      </c>
      <c r="C8283" s="92">
        <v>70000314</v>
      </c>
      <c r="D8283" s="72" t="str">
        <f>IFERROR(VLOOKUP(A8283,'[1]ST-QA-ZZ5'!$C$5:$M$299,11,0),"Inspection at production line")</f>
        <v>Inspection at production line</v>
      </c>
    </row>
    <row r="8284" spans="1:4" ht="13.8">
      <c r="A8284" s="47" t="s">
        <v>16926</v>
      </c>
      <c r="B8284" s="92" t="s">
        <v>857</v>
      </c>
      <c r="C8284" s="92" t="s">
        <v>16927</v>
      </c>
      <c r="D8284" s="72" t="str">
        <f>IFERROR(VLOOKUP(A8284,'[1]ST-QA-ZZ5'!$C$5:$M$299,11,0),"Inspection at production line")</f>
        <v>Inspection at production line</v>
      </c>
    </row>
    <row r="8285" spans="1:4" ht="13.8">
      <c r="A8285" s="47" t="s">
        <v>16928</v>
      </c>
      <c r="B8285" s="92" t="s">
        <v>857</v>
      </c>
      <c r="C8285" s="92" t="s">
        <v>16929</v>
      </c>
      <c r="D8285" s="72" t="str">
        <f>IFERROR(VLOOKUP(A8285,'[1]ST-QA-ZZ5'!$C$5:$M$299,11,0),"Inspection at production line")</f>
        <v>Inspection at production line</v>
      </c>
    </row>
    <row r="8286" spans="1:4" ht="13.8">
      <c r="A8286" s="47" t="s">
        <v>16930</v>
      </c>
      <c r="B8286" s="92" t="s">
        <v>857</v>
      </c>
      <c r="C8286" s="92" t="s">
        <v>16931</v>
      </c>
      <c r="D8286" s="72" t="str">
        <f>IFERROR(VLOOKUP(A8286,'[1]ST-QA-ZZ5'!$C$5:$M$299,11,0),"Inspection at production line")</f>
        <v>Inspection at production line</v>
      </c>
    </row>
    <row r="8287" spans="1:4" ht="13.8">
      <c r="A8287" s="47" t="s">
        <v>16932</v>
      </c>
      <c r="B8287" s="92" t="s">
        <v>1806</v>
      </c>
      <c r="C8287" s="92" t="s">
        <v>16933</v>
      </c>
      <c r="D8287" s="72" t="str">
        <f>IFERROR(VLOOKUP(A8287,'[1]ST-QA-ZZ5'!$C$5:$M$299,11,0),"Inspection at production line")</f>
        <v>Inspection at production line</v>
      </c>
    </row>
    <row r="8288" spans="1:4" ht="13.8">
      <c r="A8288" s="47" t="s">
        <v>16934</v>
      </c>
      <c r="B8288" s="92" t="s">
        <v>857</v>
      </c>
      <c r="C8288" s="92" t="s">
        <v>16935</v>
      </c>
      <c r="D8288" s="72" t="str">
        <f>IFERROR(VLOOKUP(A8288,'[1]ST-QA-ZZ5'!$C$5:$M$299,11,0),"Inspection at production line")</f>
        <v>Inspection at production line</v>
      </c>
    </row>
    <row r="8289" spans="1:4" ht="13.8">
      <c r="A8289" s="47" t="s">
        <v>16936</v>
      </c>
      <c r="B8289" s="92" t="s">
        <v>857</v>
      </c>
      <c r="C8289" s="92" t="s">
        <v>16937</v>
      </c>
      <c r="D8289" s="72" t="str">
        <f>IFERROR(VLOOKUP(A8289,'[1]ST-QA-ZZ5'!$C$5:$M$299,11,0),"Inspection at production line")</f>
        <v>Inspection at production line</v>
      </c>
    </row>
    <row r="8290" spans="1:4" ht="13.8">
      <c r="A8290" s="47" t="s">
        <v>16938</v>
      </c>
      <c r="B8290" s="92" t="s">
        <v>16939</v>
      </c>
      <c r="C8290" s="92" t="s">
        <v>16940</v>
      </c>
      <c r="D8290" s="72" t="str">
        <f>IFERROR(VLOOKUP(A8290,'[1]ST-QA-ZZ5'!$C$5:$M$299,11,0),"Inspection at production line")</f>
        <v>Inspection at production line</v>
      </c>
    </row>
    <row r="8291" spans="1:4" ht="13.8">
      <c r="A8291" s="47" t="s">
        <v>16941</v>
      </c>
      <c r="B8291" s="92" t="s">
        <v>8753</v>
      </c>
      <c r="C8291" s="92" t="s">
        <v>16942</v>
      </c>
      <c r="D8291" s="72" t="str">
        <f>IFERROR(VLOOKUP(A8291,'[1]ST-QA-ZZ5'!$C$5:$M$299,11,0),"Inspection at production line")</f>
        <v>Inspection at production line</v>
      </c>
    </row>
    <row r="8292" spans="1:4" ht="13.8">
      <c r="A8292" s="47" t="s">
        <v>16943</v>
      </c>
      <c r="B8292" s="92" t="s">
        <v>404</v>
      </c>
      <c r="C8292" s="92" t="s">
        <v>16944</v>
      </c>
      <c r="D8292" s="72" t="str">
        <f>IFERROR(VLOOKUP(A8292,'[1]ST-QA-ZZ5'!$C$5:$M$299,11,0),"Inspection at production line")</f>
        <v>Inspection at production line</v>
      </c>
    </row>
    <row r="8293" spans="1:4" ht="13.8">
      <c r="A8293" s="47" t="s">
        <v>16945</v>
      </c>
      <c r="B8293" s="92" t="s">
        <v>1994</v>
      </c>
      <c r="C8293" s="92" t="s">
        <v>16946</v>
      </c>
      <c r="D8293" s="72" t="str">
        <f>IFERROR(VLOOKUP(A8293,'[1]ST-QA-ZZ5'!$C$5:$M$299,11,0),"Inspection at production line")</f>
        <v>Inspection at production line</v>
      </c>
    </row>
    <row r="8294" spans="1:4" ht="13.8">
      <c r="A8294" s="47" t="s">
        <v>16947</v>
      </c>
      <c r="B8294" s="92" t="s">
        <v>2652</v>
      </c>
      <c r="C8294" s="92" t="s">
        <v>2652</v>
      </c>
      <c r="D8294" s="72" t="str">
        <f>IFERROR(VLOOKUP(A8294,'[1]ST-QA-ZZ5'!$C$5:$M$299,11,0),"Inspection at production line")</f>
        <v>Inspection at production line</v>
      </c>
    </row>
    <row r="8295" spans="1:4" ht="13.8">
      <c r="A8295" s="47" t="s">
        <v>16948</v>
      </c>
      <c r="B8295" s="92" t="s">
        <v>2137</v>
      </c>
      <c r="C8295" s="92" t="s">
        <v>16949</v>
      </c>
      <c r="D8295" s="72" t="str">
        <f>IFERROR(VLOOKUP(A8295,'[1]ST-QA-ZZ5'!$C$5:$M$299,11,0),"Inspection at production line")</f>
        <v>Inspection at production line</v>
      </c>
    </row>
    <row r="8296" spans="1:4" ht="13.8">
      <c r="A8296" s="47" t="s">
        <v>16950</v>
      </c>
      <c r="B8296" s="92" t="s">
        <v>2137</v>
      </c>
      <c r="C8296" s="92" t="s">
        <v>16951</v>
      </c>
      <c r="D8296" s="72" t="str">
        <f>IFERROR(VLOOKUP(A8296,'[1]ST-QA-ZZ5'!$C$5:$M$299,11,0),"Inspection at production line")</f>
        <v>Inspection at production line</v>
      </c>
    </row>
    <row r="8297" spans="1:4" ht="13.8">
      <c r="A8297" s="47" t="s">
        <v>16952</v>
      </c>
      <c r="B8297" s="92" t="s">
        <v>9426</v>
      </c>
      <c r="C8297" s="92" t="s">
        <v>9426</v>
      </c>
      <c r="D8297" s="72" t="str">
        <f>IFERROR(VLOOKUP(A8297,'[1]ST-QA-ZZ5'!$C$5:$M$299,11,0),"Inspection at production line")</f>
        <v>Inspection at production line</v>
      </c>
    </row>
    <row r="8298" spans="1:4" ht="13.8">
      <c r="A8298" s="47" t="s">
        <v>16953</v>
      </c>
      <c r="B8298" s="92" t="s">
        <v>9426</v>
      </c>
      <c r="C8298" s="92" t="s">
        <v>9426</v>
      </c>
      <c r="D8298" s="72" t="str">
        <f>IFERROR(VLOOKUP(A8298,'[1]ST-QA-ZZ5'!$C$5:$M$299,11,0),"Inspection at production line")</f>
        <v>Inspection at production line</v>
      </c>
    </row>
    <row r="8299" spans="1:4" ht="13.8">
      <c r="A8299" s="47" t="s">
        <v>16954</v>
      </c>
      <c r="B8299" s="92" t="s">
        <v>9426</v>
      </c>
      <c r="C8299" s="92" t="s">
        <v>9426</v>
      </c>
      <c r="D8299" s="72" t="str">
        <f>IFERROR(VLOOKUP(A8299,'[1]ST-QA-ZZ5'!$C$5:$M$299,11,0),"Inspection at production line")</f>
        <v>Inspection at production line</v>
      </c>
    </row>
    <row r="8300" spans="1:4" ht="13.8">
      <c r="A8300" s="47" t="s">
        <v>16955</v>
      </c>
      <c r="B8300" s="92" t="s">
        <v>9426</v>
      </c>
      <c r="C8300" s="92" t="s">
        <v>2074</v>
      </c>
      <c r="D8300" s="72" t="str">
        <f>IFERROR(VLOOKUP(A8300,'[1]ST-QA-ZZ5'!$C$5:$M$299,11,0),"Inspection at production line")</f>
        <v>Inspection at production line</v>
      </c>
    </row>
    <row r="8301" spans="1:4" ht="13.8">
      <c r="A8301" s="47" t="s">
        <v>16956</v>
      </c>
      <c r="B8301" s="92" t="s">
        <v>9426</v>
      </c>
      <c r="C8301" s="92" t="s">
        <v>2074</v>
      </c>
      <c r="D8301" s="72" t="str">
        <f>IFERROR(VLOOKUP(A8301,'[1]ST-QA-ZZ5'!$C$5:$M$299,11,0),"Inspection at production line")</f>
        <v>Inspection at production line</v>
      </c>
    </row>
    <row r="8302" spans="1:4" ht="13.8">
      <c r="A8302" s="47" t="s">
        <v>16957</v>
      </c>
      <c r="B8302" s="92" t="s">
        <v>2137</v>
      </c>
      <c r="C8302" s="92" t="s">
        <v>2137</v>
      </c>
      <c r="D8302" s="72" t="str">
        <f>IFERROR(VLOOKUP(A8302,'[1]ST-QA-ZZ5'!$C$5:$M$299,11,0),"Inspection at production line")</f>
        <v>Inspection at production line</v>
      </c>
    </row>
    <row r="8303" spans="1:4" ht="13.8">
      <c r="A8303" s="47" t="s">
        <v>16958</v>
      </c>
      <c r="B8303" s="92" t="s">
        <v>3079</v>
      </c>
      <c r="C8303" s="92"/>
      <c r="D8303" s="72" t="str">
        <f>IFERROR(VLOOKUP(A8303,'[1]ST-QA-ZZ5'!$C$5:$M$299,11,0),"Inspection at production line")</f>
        <v>Inspection at production line</v>
      </c>
    </row>
    <row r="8304" spans="1:4" ht="13.8">
      <c r="A8304" s="47" t="s">
        <v>16959</v>
      </c>
      <c r="B8304" s="92" t="s">
        <v>16780</v>
      </c>
      <c r="C8304" s="92" t="s">
        <v>16780</v>
      </c>
      <c r="D8304" s="72" t="str">
        <f>IFERROR(VLOOKUP(A8304,'[1]ST-QA-ZZ5'!$C$5:$M$299,11,0),"Inspection at production line")</f>
        <v>Inspection at production line</v>
      </c>
    </row>
    <row r="8305" spans="1:4" ht="13.8">
      <c r="A8305" s="47" t="s">
        <v>16960</v>
      </c>
      <c r="B8305" s="92" t="s">
        <v>5092</v>
      </c>
      <c r="C8305" s="92" t="s">
        <v>959</v>
      </c>
      <c r="D8305" s="72" t="str">
        <f>IFERROR(VLOOKUP(A8305,'[1]ST-QA-ZZ5'!$C$5:$M$299,11,0),"Inspection at production line")</f>
        <v>Inspection at production line</v>
      </c>
    </row>
    <row r="8306" spans="1:4" ht="13.8">
      <c r="A8306" s="47" t="s">
        <v>16961</v>
      </c>
      <c r="B8306" s="92" t="s">
        <v>9085</v>
      </c>
      <c r="C8306" s="92" t="s">
        <v>9085</v>
      </c>
      <c r="D8306" s="72" t="str">
        <f>IFERROR(VLOOKUP(A8306,'[1]ST-QA-ZZ5'!$C$5:$M$299,11,0),"Inspection at production line")</f>
        <v>Inspection at production line</v>
      </c>
    </row>
    <row r="8307" spans="1:4" ht="13.8">
      <c r="A8307" s="47" t="s">
        <v>16962</v>
      </c>
      <c r="B8307" s="92" t="s">
        <v>1204</v>
      </c>
      <c r="C8307" s="92" t="s">
        <v>1204</v>
      </c>
      <c r="D8307" s="72" t="str">
        <f>IFERROR(VLOOKUP(A8307,'[1]ST-QA-ZZ5'!$C$5:$M$299,11,0),"Inspection at production line")</f>
        <v>Inspection at production line</v>
      </c>
    </row>
    <row r="8308" spans="1:4" ht="13.8">
      <c r="A8308" s="47" t="s">
        <v>16963</v>
      </c>
      <c r="B8308" s="92" t="s">
        <v>2198</v>
      </c>
      <c r="C8308" s="92" t="s">
        <v>2198</v>
      </c>
      <c r="D8308" s="72" t="str">
        <f>IFERROR(VLOOKUP(A8308,'[1]ST-QA-ZZ5'!$C$5:$M$299,11,0),"Inspection at production line")</f>
        <v>Inspection at production line</v>
      </c>
    </row>
    <row r="8309" spans="1:4" ht="13.8">
      <c r="A8309" s="47" t="s">
        <v>16964</v>
      </c>
      <c r="B8309" s="92" t="s">
        <v>4772</v>
      </c>
      <c r="C8309" s="92" t="s">
        <v>16965</v>
      </c>
      <c r="D8309" s="72" t="str">
        <f>IFERROR(VLOOKUP(A8309,'[1]ST-QA-ZZ5'!$C$5:$M$299,11,0),"Inspection at production line")</f>
        <v>Inspection at production line</v>
      </c>
    </row>
    <row r="8310" spans="1:4" ht="13.8">
      <c r="A8310" s="47" t="s">
        <v>16966</v>
      </c>
      <c r="B8310" s="92" t="s">
        <v>4772</v>
      </c>
      <c r="C8310" s="92" t="s">
        <v>16967</v>
      </c>
      <c r="D8310" s="72" t="str">
        <f>IFERROR(VLOOKUP(A8310,'[1]ST-QA-ZZ5'!$C$5:$M$299,11,0),"Inspection at production line")</f>
        <v>Inspection at production line</v>
      </c>
    </row>
    <row r="8311" spans="1:4" ht="13.8">
      <c r="A8311" s="47" t="s">
        <v>16968</v>
      </c>
      <c r="B8311" s="92" t="s">
        <v>9853</v>
      </c>
      <c r="C8311" s="92" t="s">
        <v>9853</v>
      </c>
      <c r="D8311" s="72" t="str">
        <f>IFERROR(VLOOKUP(A8311,'[1]ST-QA-ZZ5'!$C$5:$M$299,11,0),"Inspection at production line")</f>
        <v>Inspection at production line</v>
      </c>
    </row>
    <row r="8312" spans="1:4" ht="13.8">
      <c r="A8312" s="47" t="s">
        <v>16969</v>
      </c>
      <c r="B8312" s="92" t="s">
        <v>16970</v>
      </c>
      <c r="C8312" s="92" t="s">
        <v>16970</v>
      </c>
      <c r="D8312" s="72" t="str">
        <f>IFERROR(VLOOKUP(A8312,'[1]ST-QA-ZZ5'!$C$5:$M$299,11,0),"Inspection at production line")</f>
        <v>Inspection at production line</v>
      </c>
    </row>
    <row r="8313" spans="1:4" ht="13.8">
      <c r="A8313" s="47" t="s">
        <v>16971</v>
      </c>
      <c r="B8313" s="92" t="s">
        <v>6881</v>
      </c>
      <c r="C8313" s="92" t="s">
        <v>16972</v>
      </c>
      <c r="D8313" s="72" t="str">
        <f>IFERROR(VLOOKUP(A8313,'[1]ST-QA-ZZ5'!$C$5:$M$299,11,0),"Inspection at production line")</f>
        <v>Inspection at production line</v>
      </c>
    </row>
    <row r="8314" spans="1:4" ht="13.8">
      <c r="A8314" s="47" t="s">
        <v>16973</v>
      </c>
      <c r="B8314" s="92" t="s">
        <v>16974</v>
      </c>
      <c r="C8314" s="92" t="s">
        <v>16974</v>
      </c>
      <c r="D8314" s="72" t="str">
        <f>IFERROR(VLOOKUP(A8314,'[1]ST-QA-ZZ5'!$C$5:$M$299,11,0),"Inspection at production line")</f>
        <v>Inspection at production line</v>
      </c>
    </row>
    <row r="8315" spans="1:4" ht="13.8">
      <c r="A8315" s="47" t="s">
        <v>16975</v>
      </c>
      <c r="B8315" s="92" t="s">
        <v>1954</v>
      </c>
      <c r="C8315" s="92" t="s">
        <v>1954</v>
      </c>
      <c r="D8315" s="72" t="str">
        <f>IFERROR(VLOOKUP(A8315,'[1]ST-QA-ZZ5'!$C$5:$M$299,11,0),"Inspection at production line")</f>
        <v>Inspection at production line</v>
      </c>
    </row>
    <row r="8316" spans="1:4" ht="13.8">
      <c r="A8316" s="47" t="s">
        <v>16976</v>
      </c>
      <c r="B8316" s="92" t="s">
        <v>5438</v>
      </c>
      <c r="C8316" s="92" t="s">
        <v>5438</v>
      </c>
      <c r="D8316" s="72" t="str">
        <f>IFERROR(VLOOKUP(A8316,'[1]ST-QA-ZZ5'!$C$5:$M$299,11,0),"Inspection at production line")</f>
        <v>Inspection at production line</v>
      </c>
    </row>
    <row r="8317" spans="1:4" ht="13.8">
      <c r="A8317" s="47" t="s">
        <v>16977</v>
      </c>
      <c r="B8317" s="92" t="s">
        <v>5438</v>
      </c>
      <c r="C8317" s="92" t="s">
        <v>5438</v>
      </c>
      <c r="D8317" s="72" t="str">
        <f>IFERROR(VLOOKUP(A8317,'[1]ST-QA-ZZ5'!$C$5:$M$299,11,0),"Inspection at production line")</f>
        <v>Inspection at production line</v>
      </c>
    </row>
    <row r="8318" spans="1:4" ht="13.8">
      <c r="A8318" s="47" t="s">
        <v>16978</v>
      </c>
      <c r="B8318" s="92" t="s">
        <v>6881</v>
      </c>
      <c r="C8318" s="92" t="s">
        <v>6881</v>
      </c>
      <c r="D8318" s="72" t="str">
        <f>IFERROR(VLOOKUP(A8318,'[1]ST-QA-ZZ5'!$C$5:$M$299,11,0),"Inspection at production line")</f>
        <v>Inspection at production line</v>
      </c>
    </row>
    <row r="8319" spans="1:4" ht="13.8">
      <c r="A8319" s="47" t="s">
        <v>16979</v>
      </c>
      <c r="B8319" s="92" t="s">
        <v>9887</v>
      </c>
      <c r="C8319" s="92" t="s">
        <v>9887</v>
      </c>
      <c r="D8319" s="72" t="str">
        <f>IFERROR(VLOOKUP(A8319,'[1]ST-QA-ZZ5'!$C$5:$M$299,11,0),"Inspection at production line")</f>
        <v>Inspection at production line</v>
      </c>
    </row>
    <row r="8320" spans="1:4" ht="13.8">
      <c r="A8320" s="47" t="s">
        <v>16980</v>
      </c>
      <c r="B8320" s="92" t="s">
        <v>5299</v>
      </c>
      <c r="C8320" s="92" t="s">
        <v>16981</v>
      </c>
      <c r="D8320" s="72" t="str">
        <f>IFERROR(VLOOKUP(A8320,'[1]ST-QA-ZZ5'!$C$5:$M$299,11,0),"Inspection at production line")</f>
        <v>Inspection at production line</v>
      </c>
    </row>
    <row r="8321" spans="1:4" ht="13.8">
      <c r="A8321" s="47" t="s">
        <v>16982</v>
      </c>
      <c r="B8321" s="92" t="s">
        <v>9459</v>
      </c>
      <c r="C8321" s="92" t="s">
        <v>9459</v>
      </c>
      <c r="D8321" s="72" t="str">
        <f>IFERROR(VLOOKUP(A8321,'[1]ST-QA-ZZ5'!$C$5:$M$299,11,0),"Inspection at production line")</f>
        <v>Inspection at production line</v>
      </c>
    </row>
    <row r="8322" spans="1:4" ht="13.8">
      <c r="A8322" s="47" t="s">
        <v>16983</v>
      </c>
      <c r="B8322" s="92" t="s">
        <v>4772</v>
      </c>
      <c r="C8322" s="92" t="s">
        <v>4772</v>
      </c>
      <c r="D8322" s="72" t="str">
        <f>IFERROR(VLOOKUP(A8322,'[1]ST-QA-ZZ5'!$C$5:$M$299,11,0),"Inspection at production line")</f>
        <v>Inspection at production line</v>
      </c>
    </row>
    <row r="8323" spans="1:4" ht="13.8">
      <c r="A8323" s="47" t="s">
        <v>16984</v>
      </c>
      <c r="B8323" s="92" t="s">
        <v>5299</v>
      </c>
      <c r="C8323" s="92" t="s">
        <v>16985</v>
      </c>
      <c r="D8323" s="72" t="str">
        <f>IFERROR(VLOOKUP(A8323,'[1]ST-QA-ZZ5'!$C$5:$M$299,11,0),"Inspection at production line")</f>
        <v>Inspection at production line</v>
      </c>
    </row>
    <row r="8324" spans="1:4" ht="13.8">
      <c r="A8324" s="47" t="s">
        <v>16986</v>
      </c>
      <c r="B8324" s="92" t="s">
        <v>5299</v>
      </c>
      <c r="C8324" s="92" t="s">
        <v>16987</v>
      </c>
      <c r="D8324" s="72" t="str">
        <f>IFERROR(VLOOKUP(A8324,'[1]ST-QA-ZZ5'!$C$5:$M$299,11,0),"Inspection at production line")</f>
        <v>Inspection at production line</v>
      </c>
    </row>
    <row r="8325" spans="1:4" ht="13.8">
      <c r="A8325" s="47" t="s">
        <v>16988</v>
      </c>
      <c r="B8325" s="92" t="s">
        <v>75</v>
      </c>
      <c r="C8325" s="92" t="s">
        <v>16989</v>
      </c>
      <c r="D8325" s="72" t="str">
        <f>IFERROR(VLOOKUP(A8325,'[1]ST-QA-ZZ5'!$C$5:$M$299,11,0),"Inspection at production line")</f>
        <v>Inspection at production line</v>
      </c>
    </row>
    <row r="8326" spans="1:4" ht="13.8">
      <c r="A8326" s="47" t="s">
        <v>16990</v>
      </c>
      <c r="B8326" s="92" t="s">
        <v>7914</v>
      </c>
      <c r="C8326" s="92" t="s">
        <v>16991</v>
      </c>
      <c r="D8326" s="72" t="str">
        <f>IFERROR(VLOOKUP(A8326,'[1]ST-QA-ZZ5'!$C$5:$M$299,11,0),"Inspection at production line")</f>
        <v>Inspection at production line</v>
      </c>
    </row>
    <row r="8327" spans="1:4" ht="13.8">
      <c r="A8327" s="47" t="s">
        <v>16992</v>
      </c>
      <c r="B8327" s="92" t="s">
        <v>75</v>
      </c>
      <c r="C8327" s="92" t="s">
        <v>16993</v>
      </c>
      <c r="D8327" s="72" t="str">
        <f>IFERROR(VLOOKUP(A8327,'[1]ST-QA-ZZ5'!$C$5:$M$299,11,0),"Inspection at production line")</f>
        <v>Inspection at production line</v>
      </c>
    </row>
    <row r="8328" spans="1:4" ht="13.8">
      <c r="A8328" s="47" t="s">
        <v>16994</v>
      </c>
      <c r="B8328" s="92" t="s">
        <v>1880</v>
      </c>
      <c r="C8328" s="92" t="s">
        <v>16995</v>
      </c>
      <c r="D8328" s="72" t="str">
        <f>IFERROR(VLOOKUP(A8328,'[1]ST-QA-ZZ5'!$C$5:$M$299,11,0),"Inspection at production line")</f>
        <v>Inspection at production line</v>
      </c>
    </row>
    <row r="8329" spans="1:4" ht="13.8">
      <c r="A8329" s="47" t="s">
        <v>16996</v>
      </c>
      <c r="B8329" s="92" t="s">
        <v>1880</v>
      </c>
      <c r="C8329" s="92" t="s">
        <v>16997</v>
      </c>
      <c r="D8329" s="72" t="str">
        <f>IFERROR(VLOOKUP(A8329,'[1]ST-QA-ZZ5'!$C$5:$M$299,11,0),"Inspection at production line")</f>
        <v>Inspection at production line</v>
      </c>
    </row>
    <row r="8330" spans="1:4" ht="13.8">
      <c r="A8330" s="47" t="s">
        <v>16998</v>
      </c>
      <c r="B8330" s="92" t="s">
        <v>1986</v>
      </c>
      <c r="C8330" s="92" t="s">
        <v>16999</v>
      </c>
      <c r="D8330" s="72" t="str">
        <f>IFERROR(VLOOKUP(A8330,'[1]ST-QA-ZZ5'!$C$5:$M$299,11,0),"Inspection at production line")</f>
        <v>Inspection at production line</v>
      </c>
    </row>
    <row r="8331" spans="1:4" ht="13.8">
      <c r="A8331" s="47" t="s">
        <v>17000</v>
      </c>
      <c r="B8331" s="92" t="s">
        <v>5092</v>
      </c>
      <c r="C8331" s="92" t="s">
        <v>17001</v>
      </c>
      <c r="D8331" s="72" t="str">
        <f>IFERROR(VLOOKUP(A8331,'[1]ST-QA-ZZ5'!$C$5:$M$299,11,0),"Inspection at production line")</f>
        <v>Inspection at production line</v>
      </c>
    </row>
    <row r="8332" spans="1:4" ht="13.8">
      <c r="A8332" s="47" t="s">
        <v>17002</v>
      </c>
      <c r="B8332" s="92" t="s">
        <v>5092</v>
      </c>
      <c r="C8332" s="92" t="s">
        <v>17003</v>
      </c>
      <c r="D8332" s="72" t="str">
        <f>IFERROR(VLOOKUP(A8332,'[1]ST-QA-ZZ5'!$C$5:$M$299,11,0),"Inspection at production line")</f>
        <v>Inspection at production line</v>
      </c>
    </row>
    <row r="8333" spans="1:4" ht="13.8">
      <c r="A8333" s="47" t="s">
        <v>17004</v>
      </c>
      <c r="B8333" s="92" t="s">
        <v>5092</v>
      </c>
      <c r="C8333" s="92" t="s">
        <v>17005</v>
      </c>
      <c r="D8333" s="72" t="str">
        <f>IFERROR(VLOOKUP(A8333,'[1]ST-QA-ZZ5'!$C$5:$M$299,11,0),"Inspection at production line")</f>
        <v>Inspection at production line</v>
      </c>
    </row>
    <row r="8334" spans="1:4" ht="13.8">
      <c r="A8334" s="47" t="s">
        <v>17006</v>
      </c>
      <c r="B8334" s="92" t="s">
        <v>7914</v>
      </c>
      <c r="C8334" s="92" t="s">
        <v>17007</v>
      </c>
      <c r="D8334" s="72" t="str">
        <f>IFERROR(VLOOKUP(A8334,'[1]ST-QA-ZZ5'!$C$5:$M$299,11,0),"Inspection at production line")</f>
        <v>Inspection at production line</v>
      </c>
    </row>
    <row r="8335" spans="1:4" ht="13.8">
      <c r="A8335" s="47" t="s">
        <v>17008</v>
      </c>
      <c r="B8335" s="92" t="s">
        <v>7914</v>
      </c>
      <c r="C8335" s="92" t="s">
        <v>17009</v>
      </c>
      <c r="D8335" s="72" t="str">
        <f>IFERROR(VLOOKUP(A8335,'[1]ST-QA-ZZ5'!$C$5:$M$299,11,0),"Inspection at production line")</f>
        <v>Inspection at production line</v>
      </c>
    </row>
    <row r="8336" spans="1:4" ht="13.8">
      <c r="A8336" s="47" t="s">
        <v>17010</v>
      </c>
      <c r="B8336" s="92" t="s">
        <v>7914</v>
      </c>
      <c r="C8336" s="92" t="s">
        <v>17011</v>
      </c>
      <c r="D8336" s="72" t="str">
        <f>IFERROR(VLOOKUP(A8336,'[1]ST-QA-ZZ5'!$C$5:$M$299,11,0),"Inspection at production line")</f>
        <v>Inspection at production line</v>
      </c>
    </row>
    <row r="8337" spans="1:4" ht="13.8">
      <c r="A8337" s="47" t="s">
        <v>17012</v>
      </c>
      <c r="B8337" s="92" t="s">
        <v>6870</v>
      </c>
      <c r="C8337" s="92" t="s">
        <v>17013</v>
      </c>
      <c r="D8337" s="72" t="str">
        <f>IFERROR(VLOOKUP(A8337,'[1]ST-QA-ZZ5'!$C$5:$M$299,11,0),"Inspection at production line")</f>
        <v>Inspection at production line</v>
      </c>
    </row>
    <row r="8338" spans="1:4" ht="13.8">
      <c r="A8338" s="47" t="s">
        <v>17014</v>
      </c>
      <c r="B8338" s="92" t="s">
        <v>7914</v>
      </c>
      <c r="C8338" s="92" t="s">
        <v>17015</v>
      </c>
      <c r="D8338" s="72" t="str">
        <f>IFERROR(VLOOKUP(A8338,'[1]ST-QA-ZZ5'!$C$5:$M$299,11,0),"Inspection at production line")</f>
        <v>Inspection at production line</v>
      </c>
    </row>
    <row r="8339" spans="1:4" ht="13.8">
      <c r="A8339" s="47" t="s">
        <v>17016</v>
      </c>
      <c r="B8339" s="92" t="s">
        <v>1554</v>
      </c>
      <c r="C8339" s="92" t="s">
        <v>17017</v>
      </c>
      <c r="D8339" s="72" t="str">
        <f>IFERROR(VLOOKUP(A8339,'[1]ST-QA-ZZ5'!$C$5:$M$299,11,0),"Inspection at production line")</f>
        <v>Inspection at production line</v>
      </c>
    </row>
    <row r="8340" spans="1:4" ht="13.8">
      <c r="A8340" s="47" t="s">
        <v>17018</v>
      </c>
      <c r="B8340" s="92" t="s">
        <v>7914</v>
      </c>
      <c r="C8340" s="92" t="s">
        <v>17019</v>
      </c>
      <c r="D8340" s="72" t="str">
        <f>IFERROR(VLOOKUP(A8340,'[1]ST-QA-ZZ5'!$C$5:$M$299,11,0),"Inspection at production line")</f>
        <v>Inspection at production line</v>
      </c>
    </row>
    <row r="8341" spans="1:4" ht="13.8">
      <c r="A8341" s="47" t="s">
        <v>17020</v>
      </c>
      <c r="B8341" s="92" t="s">
        <v>7914</v>
      </c>
      <c r="C8341" s="92" t="s">
        <v>17021</v>
      </c>
      <c r="D8341" s="72" t="str">
        <f>IFERROR(VLOOKUP(A8341,'[1]ST-QA-ZZ5'!$C$5:$M$299,11,0),"Inspection at production line")</f>
        <v>Inspection at production line</v>
      </c>
    </row>
    <row r="8342" spans="1:4" ht="13.8">
      <c r="A8342" s="47" t="s">
        <v>17022</v>
      </c>
      <c r="B8342" s="92" t="s">
        <v>68</v>
      </c>
      <c r="C8342" s="92" t="s">
        <v>68</v>
      </c>
      <c r="D8342" s="72" t="str">
        <f>IFERROR(VLOOKUP(A8342,'[1]ST-QA-ZZ5'!$C$5:$M$299,11,0),"Inspection at production line")</f>
        <v>Inspection at production line</v>
      </c>
    </row>
    <row r="8343" spans="1:4" ht="13.8">
      <c r="A8343" s="47" t="s">
        <v>17023</v>
      </c>
      <c r="B8343" s="92" t="s">
        <v>9659</v>
      </c>
      <c r="C8343" s="92" t="s">
        <v>9659</v>
      </c>
      <c r="D8343" s="72" t="str">
        <f>IFERROR(VLOOKUP(A8343,'[1]ST-QA-ZZ5'!$C$5:$M$299,11,0),"Inspection at production line")</f>
        <v>Inspection at production line</v>
      </c>
    </row>
    <row r="8344" spans="1:4" ht="13.8">
      <c r="A8344" s="47" t="s">
        <v>17024</v>
      </c>
      <c r="B8344" s="92" t="s">
        <v>16683</v>
      </c>
      <c r="C8344" s="92" t="s">
        <v>17025</v>
      </c>
      <c r="D8344" s="72" t="str">
        <f>IFERROR(VLOOKUP(A8344,'[1]ST-QA-ZZ5'!$C$5:$M$299,11,0),"Inspection at production line")</f>
        <v>Inspection at production line</v>
      </c>
    </row>
    <row r="8345" spans="1:4" ht="13.8">
      <c r="A8345" s="47" t="s">
        <v>17026</v>
      </c>
      <c r="B8345" s="92" t="s">
        <v>3608</v>
      </c>
      <c r="C8345" s="92" t="s">
        <v>3608</v>
      </c>
      <c r="D8345" s="72" t="str">
        <f>IFERROR(VLOOKUP(A8345,'[1]ST-QA-ZZ5'!$C$5:$M$299,11,0),"Inspection at production line")</f>
        <v>Inspection at production line</v>
      </c>
    </row>
    <row r="8346" spans="1:4" ht="13.8">
      <c r="A8346" s="47" t="s">
        <v>17027</v>
      </c>
      <c r="B8346" s="92" t="s">
        <v>17028</v>
      </c>
      <c r="C8346" s="92" t="s">
        <v>17028</v>
      </c>
      <c r="D8346" s="72" t="str">
        <f>IFERROR(VLOOKUP(A8346,'[1]ST-QA-ZZ5'!$C$5:$M$299,11,0),"Inspection at production line")</f>
        <v>Inspection at production line</v>
      </c>
    </row>
    <row r="8347" spans="1:4" ht="13.8">
      <c r="A8347" s="47" t="s">
        <v>17029</v>
      </c>
      <c r="B8347" s="92" t="s">
        <v>1986</v>
      </c>
      <c r="C8347" s="92" t="s">
        <v>1986</v>
      </c>
      <c r="D8347" s="72" t="str">
        <f>IFERROR(VLOOKUP(A8347,'[1]ST-QA-ZZ5'!$C$5:$M$299,11,0),"Inspection at production line")</f>
        <v>Inspection at production line</v>
      </c>
    </row>
    <row r="8348" spans="1:4" ht="13.8">
      <c r="A8348" s="47" t="s">
        <v>17030</v>
      </c>
      <c r="B8348" s="92" t="s">
        <v>1208</v>
      </c>
      <c r="C8348" s="92" t="s">
        <v>17031</v>
      </c>
      <c r="D8348" s="72" t="str">
        <f>IFERROR(VLOOKUP(A8348,'[1]ST-QA-ZZ5'!$C$5:$M$299,11,0),"Inspection at production line")</f>
        <v>Inspection at production line</v>
      </c>
    </row>
    <row r="8349" spans="1:4" ht="13.8">
      <c r="A8349" s="47" t="s">
        <v>17032</v>
      </c>
      <c r="B8349" s="92" t="s">
        <v>857</v>
      </c>
      <c r="C8349" s="92" t="s">
        <v>17033</v>
      </c>
      <c r="D8349" s="72" t="str">
        <f>IFERROR(VLOOKUP(A8349,'[1]ST-QA-ZZ5'!$C$5:$M$299,11,0),"Inspection at production line")</f>
        <v>Inspection at production line</v>
      </c>
    </row>
    <row r="8350" spans="1:4" ht="13.8">
      <c r="A8350" s="47" t="s">
        <v>17034</v>
      </c>
      <c r="B8350" s="92" t="s">
        <v>119</v>
      </c>
      <c r="C8350" s="92" t="s">
        <v>311</v>
      </c>
      <c r="D8350" s="72" t="str">
        <f>IFERROR(VLOOKUP(A8350,'[1]ST-QA-ZZ5'!$C$5:$M$299,11,0),"Inspection at production line")</f>
        <v>Inspection at production line</v>
      </c>
    </row>
    <row r="8351" spans="1:4" ht="13.8">
      <c r="A8351" s="47" t="s">
        <v>17035</v>
      </c>
      <c r="B8351" s="92" t="s">
        <v>2024</v>
      </c>
      <c r="C8351" s="92" t="s">
        <v>17036</v>
      </c>
      <c r="D8351" s="72" t="str">
        <f>IFERROR(VLOOKUP(A8351,'[1]ST-QA-ZZ5'!$C$5:$M$299,11,0),"Inspection at production line")</f>
        <v>Inspection at production line</v>
      </c>
    </row>
    <row r="8352" spans="1:4" ht="13.8">
      <c r="A8352" s="47" t="s">
        <v>17037</v>
      </c>
      <c r="B8352" s="92" t="s">
        <v>397</v>
      </c>
      <c r="C8352" s="92" t="s">
        <v>8374</v>
      </c>
      <c r="D8352" s="72" t="str">
        <f>IFERROR(VLOOKUP(A8352,'[1]ST-QA-ZZ5'!$C$5:$M$299,11,0),"Inspection at production line")</f>
        <v>Inspection at production line</v>
      </c>
    </row>
    <row r="8353" spans="1:4" ht="13.8">
      <c r="A8353" s="47" t="s">
        <v>17038</v>
      </c>
      <c r="B8353" s="92" t="s">
        <v>83</v>
      </c>
      <c r="C8353" s="92" t="s">
        <v>8426</v>
      </c>
      <c r="D8353" s="72" t="str">
        <f>IFERROR(VLOOKUP(A8353,'[1]ST-QA-ZZ5'!$C$5:$M$299,11,0),"Inspection at production line")</f>
        <v>Inspection at production line</v>
      </c>
    </row>
    <row r="8354" spans="1:4" ht="13.8">
      <c r="A8354" s="47" t="s">
        <v>17039</v>
      </c>
      <c r="B8354" s="92" t="s">
        <v>857</v>
      </c>
      <c r="C8354" s="92" t="s">
        <v>17040</v>
      </c>
      <c r="D8354" s="72" t="str">
        <f>IFERROR(VLOOKUP(A8354,'[1]ST-QA-ZZ5'!$C$5:$M$299,11,0),"Inspection at production line")</f>
        <v>Inspection at production line</v>
      </c>
    </row>
    <row r="8355" spans="1:4" ht="13.8">
      <c r="A8355" s="47" t="s">
        <v>17041</v>
      </c>
      <c r="B8355" s="92" t="s">
        <v>857</v>
      </c>
      <c r="C8355" s="92" t="s">
        <v>17042</v>
      </c>
      <c r="D8355" s="72" t="str">
        <f>IFERROR(VLOOKUP(A8355,'[1]ST-QA-ZZ5'!$C$5:$M$299,11,0),"Inspection at production line")</f>
        <v>Inspection at production line</v>
      </c>
    </row>
    <row r="8356" spans="1:4" ht="13.8">
      <c r="A8356" s="47" t="s">
        <v>17043</v>
      </c>
      <c r="B8356" s="92" t="s">
        <v>857</v>
      </c>
      <c r="C8356" s="92" t="s">
        <v>17044</v>
      </c>
      <c r="D8356" s="72" t="str">
        <f>IFERROR(VLOOKUP(A8356,'[1]ST-QA-ZZ5'!$C$5:$M$299,11,0),"Inspection at production line")</f>
        <v>Inspection at production line</v>
      </c>
    </row>
    <row r="8357" spans="1:4" ht="13.8">
      <c r="A8357" s="47" t="s">
        <v>17045</v>
      </c>
      <c r="B8357" s="92" t="s">
        <v>857</v>
      </c>
      <c r="C8357" s="92" t="s">
        <v>17046</v>
      </c>
      <c r="D8357" s="72" t="str">
        <f>IFERROR(VLOOKUP(A8357,'[1]ST-QA-ZZ5'!$C$5:$M$299,11,0),"Inspection at production line")</f>
        <v>Inspection at production line</v>
      </c>
    </row>
    <row r="8358" spans="1:4" ht="13.8">
      <c r="A8358" s="47" t="s">
        <v>17047</v>
      </c>
      <c r="B8358" s="92" t="s">
        <v>2024</v>
      </c>
      <c r="C8358" s="92" t="s">
        <v>17048</v>
      </c>
      <c r="D8358" s="72" t="str">
        <f>IFERROR(VLOOKUP(A8358,'[1]ST-QA-ZZ5'!$C$5:$M$299,11,0),"Inspection at production line")</f>
        <v>Inspection at production line</v>
      </c>
    </row>
    <row r="8359" spans="1:4" ht="13.8">
      <c r="A8359" s="47" t="s">
        <v>17049</v>
      </c>
      <c r="B8359" s="92" t="s">
        <v>2024</v>
      </c>
      <c r="C8359" s="92" t="s">
        <v>17050</v>
      </c>
      <c r="D8359" s="72" t="str">
        <f>IFERROR(VLOOKUP(A8359,'[1]ST-QA-ZZ5'!$C$5:$M$299,11,0),"Inspection at production line")</f>
        <v>Inspection at production line</v>
      </c>
    </row>
    <row r="8360" spans="1:4" ht="13.8">
      <c r="A8360" s="47" t="s">
        <v>17051</v>
      </c>
      <c r="B8360" s="92" t="s">
        <v>857</v>
      </c>
      <c r="C8360" s="92" t="s">
        <v>17052</v>
      </c>
      <c r="D8360" s="72" t="str">
        <f>IFERROR(VLOOKUP(A8360,'[1]ST-QA-ZZ5'!$C$5:$M$299,11,0),"Inspection at production line")</f>
        <v>Inspection at production line</v>
      </c>
    </row>
    <row r="8361" spans="1:4" ht="13.8">
      <c r="A8361" s="47" t="s">
        <v>17053</v>
      </c>
      <c r="B8361" s="92" t="s">
        <v>857</v>
      </c>
      <c r="C8361" s="92" t="s">
        <v>17054</v>
      </c>
      <c r="D8361" s="72" t="str">
        <f>IFERROR(VLOOKUP(A8361,'[1]ST-QA-ZZ5'!$C$5:$M$299,11,0),"Inspection at production line")</f>
        <v>Inspection at production line</v>
      </c>
    </row>
    <row r="8362" spans="1:4" ht="13.8">
      <c r="A8362" s="47" t="s">
        <v>17055</v>
      </c>
      <c r="B8362" s="92" t="s">
        <v>857</v>
      </c>
      <c r="C8362" s="92" t="s">
        <v>17056</v>
      </c>
      <c r="D8362" s="72" t="str">
        <f>IFERROR(VLOOKUP(A8362,'[1]ST-QA-ZZ5'!$C$5:$M$299,11,0),"Inspection at production line")</f>
        <v>Inspection at production line</v>
      </c>
    </row>
    <row r="8363" spans="1:4" ht="13.8">
      <c r="A8363" s="47" t="s">
        <v>17057</v>
      </c>
      <c r="B8363" s="92" t="s">
        <v>857</v>
      </c>
      <c r="C8363" s="92" t="s">
        <v>17058</v>
      </c>
      <c r="D8363" s="72" t="str">
        <f>IFERROR(VLOOKUP(A8363,'[1]ST-QA-ZZ5'!$C$5:$M$299,11,0),"Inspection at production line")</f>
        <v>Inspection at production line</v>
      </c>
    </row>
    <row r="8364" spans="1:4" ht="13.8">
      <c r="A8364" s="47" t="s">
        <v>17059</v>
      </c>
      <c r="B8364" s="92" t="s">
        <v>857</v>
      </c>
      <c r="C8364" s="92" t="s">
        <v>17060</v>
      </c>
      <c r="D8364" s="72" t="str">
        <f>IFERROR(VLOOKUP(A8364,'[1]ST-QA-ZZ5'!$C$5:$M$299,11,0),"Inspection at production line")</f>
        <v>Inspection at production line</v>
      </c>
    </row>
    <row r="8365" spans="1:4" ht="13.8">
      <c r="A8365" s="47" t="s">
        <v>17061</v>
      </c>
      <c r="B8365" s="92" t="s">
        <v>857</v>
      </c>
      <c r="C8365" s="92" t="s">
        <v>17062</v>
      </c>
      <c r="D8365" s="72" t="str">
        <f>IFERROR(VLOOKUP(A8365,'[1]ST-QA-ZZ5'!$C$5:$M$299,11,0),"Inspection at production line")</f>
        <v>Inspection at production line</v>
      </c>
    </row>
    <row r="8366" spans="1:4" ht="13.8">
      <c r="A8366" s="47" t="s">
        <v>17063</v>
      </c>
      <c r="B8366" s="92" t="s">
        <v>857</v>
      </c>
      <c r="C8366" s="92" t="s">
        <v>17064</v>
      </c>
      <c r="D8366" s="72" t="str">
        <f>IFERROR(VLOOKUP(A8366,'[1]ST-QA-ZZ5'!$C$5:$M$299,11,0),"Inspection at production line")</f>
        <v>Inspection at production line</v>
      </c>
    </row>
    <row r="8367" spans="1:4" ht="13.8">
      <c r="A8367" s="47" t="s">
        <v>17065</v>
      </c>
      <c r="B8367" s="92" t="s">
        <v>857</v>
      </c>
      <c r="C8367" s="92" t="s">
        <v>17066</v>
      </c>
      <c r="D8367" s="72" t="str">
        <f>IFERROR(VLOOKUP(A8367,'[1]ST-QA-ZZ5'!$C$5:$M$299,11,0),"Inspection at production line")</f>
        <v>Inspection at production line</v>
      </c>
    </row>
    <row r="8368" spans="1:4" ht="13.8">
      <c r="A8368" s="47" t="s">
        <v>17067</v>
      </c>
      <c r="B8368" s="92" t="s">
        <v>857</v>
      </c>
      <c r="C8368" s="92" t="s">
        <v>17068</v>
      </c>
      <c r="D8368" s="72" t="str">
        <f>IFERROR(VLOOKUP(A8368,'[1]ST-QA-ZZ5'!$C$5:$M$299,11,0),"Inspection at production line")</f>
        <v>Inspection at production line</v>
      </c>
    </row>
    <row r="8369" spans="1:4" ht="13.8">
      <c r="A8369" s="47" t="s">
        <v>17069</v>
      </c>
      <c r="B8369" s="92" t="s">
        <v>857</v>
      </c>
      <c r="C8369" s="92" t="s">
        <v>17070</v>
      </c>
      <c r="D8369" s="72" t="str">
        <f>IFERROR(VLOOKUP(A8369,'[1]ST-QA-ZZ5'!$C$5:$M$299,11,0),"Inspection at production line")</f>
        <v>Inspection at production line</v>
      </c>
    </row>
    <row r="8370" spans="1:4" ht="13.8">
      <c r="A8370" s="47" t="s">
        <v>17071</v>
      </c>
      <c r="B8370" s="92" t="s">
        <v>857</v>
      </c>
      <c r="C8370" s="92" t="s">
        <v>17072</v>
      </c>
      <c r="D8370" s="72" t="str">
        <f>IFERROR(VLOOKUP(A8370,'[1]ST-QA-ZZ5'!$C$5:$M$299,11,0),"Inspection at production line")</f>
        <v>Inspection at production line</v>
      </c>
    </row>
    <row r="8371" spans="1:4" ht="13.8">
      <c r="A8371" s="47" t="s">
        <v>17073</v>
      </c>
      <c r="B8371" s="92" t="s">
        <v>857</v>
      </c>
      <c r="C8371" s="92" t="s">
        <v>17074</v>
      </c>
      <c r="D8371" s="72" t="str">
        <f>IFERROR(VLOOKUP(A8371,'[1]ST-QA-ZZ5'!$C$5:$M$299,11,0),"Inspection at production line")</f>
        <v>Inspection at production line</v>
      </c>
    </row>
    <row r="8372" spans="1:4" ht="13.8">
      <c r="A8372" s="47" t="s">
        <v>17075</v>
      </c>
      <c r="B8372" s="92" t="s">
        <v>857</v>
      </c>
      <c r="C8372" s="92" t="s">
        <v>17076</v>
      </c>
      <c r="D8372" s="72" t="str">
        <f>IFERROR(VLOOKUP(A8372,'[1]ST-QA-ZZ5'!$C$5:$M$299,11,0),"Inspection at production line")</f>
        <v>Inspection at production line</v>
      </c>
    </row>
    <row r="8373" spans="1:4" ht="13.8">
      <c r="A8373" s="47" t="s">
        <v>17077</v>
      </c>
      <c r="B8373" s="92" t="s">
        <v>857</v>
      </c>
      <c r="C8373" s="92" t="s">
        <v>17078</v>
      </c>
      <c r="D8373" s="72" t="str">
        <f>IFERROR(VLOOKUP(A8373,'[1]ST-QA-ZZ5'!$C$5:$M$299,11,0),"Inspection at production line")</f>
        <v>Inspection at production line</v>
      </c>
    </row>
    <row r="8374" spans="1:4" ht="13.8">
      <c r="A8374" s="47" t="s">
        <v>17079</v>
      </c>
      <c r="B8374" s="92" t="s">
        <v>857</v>
      </c>
      <c r="C8374" s="92" t="s">
        <v>17080</v>
      </c>
      <c r="D8374" s="72" t="str">
        <f>IFERROR(VLOOKUP(A8374,'[1]ST-QA-ZZ5'!$C$5:$M$299,11,0),"Inspection at production line")</f>
        <v>Inspection at production line</v>
      </c>
    </row>
    <row r="8375" spans="1:4" ht="13.8">
      <c r="A8375" s="47" t="s">
        <v>17081</v>
      </c>
      <c r="B8375" s="92" t="s">
        <v>857</v>
      </c>
      <c r="C8375" s="92" t="s">
        <v>17082</v>
      </c>
      <c r="D8375" s="72" t="str">
        <f>IFERROR(VLOOKUP(A8375,'[1]ST-QA-ZZ5'!$C$5:$M$299,11,0),"Inspection at production line")</f>
        <v>Inspection at production line</v>
      </c>
    </row>
    <row r="8376" spans="1:4" ht="13.8">
      <c r="A8376" s="47" t="s">
        <v>17083</v>
      </c>
      <c r="B8376" s="92" t="s">
        <v>857</v>
      </c>
      <c r="C8376" s="92" t="s">
        <v>17084</v>
      </c>
      <c r="D8376" s="72" t="str">
        <f>IFERROR(VLOOKUP(A8376,'[1]ST-QA-ZZ5'!$C$5:$M$299,11,0),"Inspection at production line")</f>
        <v>Inspection at production line</v>
      </c>
    </row>
    <row r="8377" spans="1:4" ht="13.8">
      <c r="A8377" s="47" t="s">
        <v>17085</v>
      </c>
      <c r="B8377" s="92" t="s">
        <v>857</v>
      </c>
      <c r="C8377" s="92" t="s">
        <v>17086</v>
      </c>
      <c r="D8377" s="72" t="str">
        <f>IFERROR(VLOOKUP(A8377,'[1]ST-QA-ZZ5'!$C$5:$M$299,11,0),"Inspection at production line")</f>
        <v>Inspection at production line</v>
      </c>
    </row>
    <row r="8378" spans="1:4" ht="13.8">
      <c r="A8378" s="47" t="s">
        <v>17087</v>
      </c>
      <c r="B8378" s="92" t="s">
        <v>2024</v>
      </c>
      <c r="C8378" s="92" t="s">
        <v>17088</v>
      </c>
      <c r="D8378" s="72" t="str">
        <f>IFERROR(VLOOKUP(A8378,'[1]ST-QA-ZZ5'!$C$5:$M$299,11,0),"Inspection at production line")</f>
        <v>Inspection at production line</v>
      </c>
    </row>
    <row r="8379" spans="1:4" ht="13.8">
      <c r="A8379" s="47" t="s">
        <v>17089</v>
      </c>
      <c r="B8379" s="92" t="s">
        <v>857</v>
      </c>
      <c r="C8379" s="92" t="s">
        <v>17090</v>
      </c>
      <c r="D8379" s="72" t="str">
        <f>IFERROR(VLOOKUP(A8379,'[1]ST-QA-ZZ5'!$C$5:$M$299,11,0),"Inspection at production line")</f>
        <v>Inspection at production line</v>
      </c>
    </row>
    <row r="8380" spans="1:4" ht="13.8">
      <c r="A8380" s="47" t="s">
        <v>17091</v>
      </c>
      <c r="B8380" s="92" t="s">
        <v>1167</v>
      </c>
      <c r="C8380" s="92" t="s">
        <v>17092</v>
      </c>
      <c r="D8380" s="72" t="str">
        <f>IFERROR(VLOOKUP(A8380,'[1]ST-QA-ZZ5'!$C$5:$M$299,11,0),"Inspection at production line")</f>
        <v>Inspection at production line</v>
      </c>
    </row>
    <row r="8381" spans="1:4" ht="13.8">
      <c r="A8381" s="47" t="s">
        <v>17093</v>
      </c>
      <c r="B8381" s="92" t="s">
        <v>5053</v>
      </c>
      <c r="C8381" s="92" t="s">
        <v>17094</v>
      </c>
      <c r="D8381" s="72" t="str">
        <f>IFERROR(VLOOKUP(A8381,'[1]ST-QA-ZZ5'!$C$5:$M$299,11,0),"Inspection at production line")</f>
        <v>Inspection at production line</v>
      </c>
    </row>
    <row r="8382" spans="1:4" ht="13.8">
      <c r="A8382" s="47" t="s">
        <v>17095</v>
      </c>
      <c r="B8382" s="92" t="s">
        <v>1472</v>
      </c>
      <c r="C8382" s="92" t="s">
        <v>1473</v>
      </c>
      <c r="D8382" s="72" t="str">
        <f>IFERROR(VLOOKUP(A8382,'[1]ST-QA-ZZ5'!$C$5:$M$299,11,0),"Inspection at production line")</f>
        <v>Inspection at production line</v>
      </c>
    </row>
    <row r="8383" spans="1:4" ht="13.8">
      <c r="A8383" s="47" t="s">
        <v>17096</v>
      </c>
      <c r="B8383" s="92" t="s">
        <v>279</v>
      </c>
      <c r="C8383" s="92" t="s">
        <v>1476</v>
      </c>
      <c r="D8383" s="72" t="str">
        <f>IFERROR(VLOOKUP(A8383,'[1]ST-QA-ZZ5'!$C$5:$M$299,11,0),"Inspection at production line")</f>
        <v>Inspection at production line</v>
      </c>
    </row>
    <row r="8384" spans="1:4" ht="13.8">
      <c r="A8384" s="47" t="s">
        <v>17097</v>
      </c>
      <c r="B8384" s="92" t="s">
        <v>83</v>
      </c>
      <c r="C8384" s="92" t="s">
        <v>1479</v>
      </c>
      <c r="D8384" s="72" t="str">
        <f>IFERROR(VLOOKUP(A8384,'[1]ST-QA-ZZ5'!$C$5:$M$299,11,0),"Inspection at production line")</f>
        <v>Inspection at production line</v>
      </c>
    </row>
    <row r="8385" spans="1:4" ht="13.8">
      <c r="A8385" s="47" t="s">
        <v>17098</v>
      </c>
      <c r="B8385" s="92" t="s">
        <v>83</v>
      </c>
      <c r="C8385" s="92" t="s">
        <v>1482</v>
      </c>
      <c r="D8385" s="72" t="str">
        <f>IFERROR(VLOOKUP(A8385,'[1]ST-QA-ZZ5'!$C$5:$M$299,11,0),"Inspection at production line")</f>
        <v>Inspection at production line</v>
      </c>
    </row>
    <row r="8386" spans="1:4" ht="13.8">
      <c r="A8386" s="47" t="s">
        <v>17099</v>
      </c>
      <c r="B8386" s="92" t="s">
        <v>849</v>
      </c>
      <c r="C8386" s="92" t="s">
        <v>1485</v>
      </c>
      <c r="D8386" s="72" t="str">
        <f>IFERROR(VLOOKUP(A8386,'[1]ST-QA-ZZ5'!$C$5:$M$299,11,0),"Inspection at production line")</f>
        <v>Inspection at production line</v>
      </c>
    </row>
    <row r="8387" spans="1:4" ht="13.8">
      <c r="A8387" s="47" t="s">
        <v>17100</v>
      </c>
      <c r="B8387" s="92" t="s">
        <v>1177</v>
      </c>
      <c r="C8387" s="92" t="s">
        <v>1488</v>
      </c>
      <c r="D8387" s="72" t="str">
        <f>IFERROR(VLOOKUP(A8387,'[1]ST-QA-ZZ5'!$C$5:$M$299,11,0),"Inspection at production line")</f>
        <v>Inspection at production line</v>
      </c>
    </row>
    <row r="8388" spans="1:4" ht="13.8">
      <c r="A8388" s="47" t="s">
        <v>17101</v>
      </c>
      <c r="B8388" s="92" t="s">
        <v>1491</v>
      </c>
      <c r="C8388" s="92" t="s">
        <v>1492</v>
      </c>
      <c r="D8388" s="72" t="str">
        <f>IFERROR(VLOOKUP(A8388,'[1]ST-QA-ZZ5'!$C$5:$M$299,11,0),"Inspection at production line")</f>
        <v>Inspection at production line</v>
      </c>
    </row>
    <row r="8389" spans="1:4" ht="13.8">
      <c r="A8389" s="47" t="s">
        <v>17102</v>
      </c>
      <c r="B8389" s="92" t="s">
        <v>75</v>
      </c>
      <c r="C8389" s="92" t="s">
        <v>1495</v>
      </c>
      <c r="D8389" s="72" t="str">
        <f>IFERROR(VLOOKUP(A8389,'[1]ST-QA-ZZ5'!$C$5:$M$299,11,0),"Inspection at production line")</f>
        <v>Inspection at production line</v>
      </c>
    </row>
    <row r="8390" spans="1:4" ht="13.8">
      <c r="A8390" s="47" t="s">
        <v>17103</v>
      </c>
      <c r="B8390" s="92" t="s">
        <v>75</v>
      </c>
      <c r="C8390" s="92" t="s">
        <v>1498</v>
      </c>
      <c r="D8390" s="72" t="str">
        <f>IFERROR(VLOOKUP(A8390,'[1]ST-QA-ZZ5'!$C$5:$M$299,11,0),"Inspection at production line")</f>
        <v>Inspection at production line</v>
      </c>
    </row>
    <row r="8391" spans="1:4" ht="13.8">
      <c r="A8391" s="47" t="s">
        <v>17104</v>
      </c>
      <c r="B8391" s="92" t="s">
        <v>1070</v>
      </c>
      <c r="C8391" s="92" t="s">
        <v>1501</v>
      </c>
      <c r="D8391" s="72" t="str">
        <f>IFERROR(VLOOKUP(A8391,'[1]ST-QA-ZZ5'!$C$5:$M$299,11,0),"Inspection at production line")</f>
        <v>Inspection at production line</v>
      </c>
    </row>
    <row r="8392" spans="1:4" ht="13.8">
      <c r="A8392" s="47" t="s">
        <v>17105</v>
      </c>
      <c r="B8392" s="92" t="s">
        <v>857</v>
      </c>
      <c r="C8392" s="92" t="s">
        <v>17106</v>
      </c>
      <c r="D8392" s="72" t="str">
        <f>IFERROR(VLOOKUP(A8392,'[1]ST-QA-ZZ5'!$C$5:$M$299,11,0),"Inspection at production line")</f>
        <v>Inspection at production line</v>
      </c>
    </row>
    <row r="8393" spans="1:4" ht="13.8">
      <c r="A8393" s="47" t="s">
        <v>17107</v>
      </c>
      <c r="B8393" s="92" t="s">
        <v>857</v>
      </c>
      <c r="C8393" s="92" t="s">
        <v>17108</v>
      </c>
      <c r="D8393" s="72" t="str">
        <f>IFERROR(VLOOKUP(A8393,'[1]ST-QA-ZZ5'!$C$5:$M$299,11,0),"Inspection at production line")</f>
        <v>Inspection at production line</v>
      </c>
    </row>
    <row r="8394" spans="1:4" ht="13.8">
      <c r="A8394" s="47" t="s">
        <v>17109</v>
      </c>
      <c r="B8394" s="92" t="s">
        <v>857</v>
      </c>
      <c r="C8394" s="92" t="s">
        <v>17110</v>
      </c>
      <c r="D8394" s="72" t="str">
        <f>IFERROR(VLOOKUP(A8394,'[1]ST-QA-ZZ5'!$C$5:$M$299,11,0),"Inspection at production line")</f>
        <v>Inspection at production line</v>
      </c>
    </row>
    <row r="8395" spans="1:4" ht="13.8">
      <c r="A8395" s="47" t="s">
        <v>17111</v>
      </c>
      <c r="B8395" s="92" t="s">
        <v>857</v>
      </c>
      <c r="C8395" s="92" t="s">
        <v>8472</v>
      </c>
      <c r="D8395" s="72" t="str">
        <f>IFERROR(VLOOKUP(A8395,'[1]ST-QA-ZZ5'!$C$5:$M$299,11,0),"Inspection at production line")</f>
        <v>Inspection at production line</v>
      </c>
    </row>
    <row r="8396" spans="1:4" ht="13.8">
      <c r="A8396" s="47" t="s">
        <v>17112</v>
      </c>
      <c r="B8396" s="92" t="s">
        <v>857</v>
      </c>
      <c r="C8396" s="92" t="s">
        <v>8472</v>
      </c>
      <c r="D8396" s="72" t="str">
        <f>IFERROR(VLOOKUP(A8396,'[1]ST-QA-ZZ5'!$C$5:$M$299,11,0),"Inspection at production line")</f>
        <v>Inspection at production line</v>
      </c>
    </row>
    <row r="8397" spans="1:4" ht="13.8">
      <c r="A8397" s="47" t="s">
        <v>17113</v>
      </c>
      <c r="B8397" s="92" t="s">
        <v>857</v>
      </c>
      <c r="C8397" s="92" t="s">
        <v>17114</v>
      </c>
      <c r="D8397" s="72" t="str">
        <f>IFERROR(VLOOKUP(A8397,'[1]ST-QA-ZZ5'!$C$5:$M$299,11,0),"Inspection at production line")</f>
        <v>Inspection at production line</v>
      </c>
    </row>
    <row r="8398" spans="1:4" ht="13.8">
      <c r="A8398" s="47" t="s">
        <v>17115</v>
      </c>
      <c r="B8398" s="92" t="s">
        <v>857</v>
      </c>
      <c r="C8398" s="92" t="s">
        <v>17116</v>
      </c>
      <c r="D8398" s="72" t="str">
        <f>IFERROR(VLOOKUP(A8398,'[1]ST-QA-ZZ5'!$C$5:$M$299,11,0),"Inspection at production line")</f>
        <v>Inspection at production line</v>
      </c>
    </row>
    <row r="8399" spans="1:4" ht="13.8">
      <c r="A8399" s="47" t="s">
        <v>17117</v>
      </c>
      <c r="B8399" s="92" t="s">
        <v>857</v>
      </c>
      <c r="C8399" s="92" t="s">
        <v>17118</v>
      </c>
      <c r="D8399" s="72" t="str">
        <f>IFERROR(VLOOKUP(A8399,'[1]ST-QA-ZZ5'!$C$5:$M$299,11,0),"Inspection at production line")</f>
        <v>Inspection at production line</v>
      </c>
    </row>
    <row r="8400" spans="1:4" ht="13.8">
      <c r="A8400" s="47" t="s">
        <v>17119</v>
      </c>
      <c r="B8400" s="92" t="s">
        <v>857</v>
      </c>
      <c r="C8400" s="92" t="s">
        <v>17120</v>
      </c>
      <c r="D8400" s="72" t="str">
        <f>IFERROR(VLOOKUP(A8400,'[1]ST-QA-ZZ5'!$C$5:$M$299,11,0),"Inspection at production line")</f>
        <v>Inspection at production line</v>
      </c>
    </row>
    <row r="8401" spans="1:4" ht="13.8">
      <c r="A8401" s="47" t="s">
        <v>17121</v>
      </c>
      <c r="B8401" s="92" t="s">
        <v>857</v>
      </c>
      <c r="C8401" s="92" t="s">
        <v>17122</v>
      </c>
      <c r="D8401" s="72" t="str">
        <f>IFERROR(VLOOKUP(A8401,'[1]ST-QA-ZZ5'!$C$5:$M$299,11,0),"Inspection at production line")</f>
        <v>Inspection at production line</v>
      </c>
    </row>
    <row r="8402" spans="1:4" ht="13.8">
      <c r="A8402" s="47" t="s">
        <v>17123</v>
      </c>
      <c r="B8402" s="92" t="s">
        <v>857</v>
      </c>
      <c r="C8402" s="92" t="s">
        <v>17124</v>
      </c>
      <c r="D8402" s="72" t="str">
        <f>IFERROR(VLOOKUP(A8402,'[1]ST-QA-ZZ5'!$C$5:$M$299,11,0),"Inspection at production line")</f>
        <v>Inspection at production line</v>
      </c>
    </row>
    <row r="8403" spans="1:4" ht="13.8">
      <c r="A8403" s="47" t="s">
        <v>17125</v>
      </c>
      <c r="B8403" s="92" t="s">
        <v>2629</v>
      </c>
      <c r="C8403" s="92" t="s">
        <v>17126</v>
      </c>
      <c r="D8403" s="72" t="str">
        <f>IFERROR(VLOOKUP(A8403,'[1]ST-QA-ZZ5'!$C$5:$M$299,11,0),"Inspection at production line")</f>
        <v>Inspection at production line</v>
      </c>
    </row>
    <row r="8404" spans="1:4" ht="13.8">
      <c r="A8404" s="47" t="s">
        <v>17127</v>
      </c>
      <c r="B8404" s="92" t="s">
        <v>857</v>
      </c>
      <c r="C8404" s="92" t="s">
        <v>17128</v>
      </c>
      <c r="D8404" s="72" t="str">
        <f>IFERROR(VLOOKUP(A8404,'[1]ST-QA-ZZ5'!$C$5:$M$299,11,0),"Inspection at production line")</f>
        <v>Inspection at production line</v>
      </c>
    </row>
    <row r="8405" spans="1:4" ht="13.8">
      <c r="A8405" s="47" t="s">
        <v>17129</v>
      </c>
      <c r="B8405" s="92" t="s">
        <v>857</v>
      </c>
      <c r="C8405" s="92" t="s">
        <v>17130</v>
      </c>
      <c r="D8405" s="72" t="str">
        <f>IFERROR(VLOOKUP(A8405,'[1]ST-QA-ZZ5'!$C$5:$M$299,11,0),"Inspection at production line")</f>
        <v>Inspection at production line</v>
      </c>
    </row>
    <row r="8406" spans="1:4" ht="13.8">
      <c r="A8406" s="47" t="s">
        <v>17131</v>
      </c>
      <c r="B8406" s="92" t="s">
        <v>857</v>
      </c>
      <c r="C8406" s="92" t="s">
        <v>17132</v>
      </c>
      <c r="D8406" s="72" t="str">
        <f>IFERROR(VLOOKUP(A8406,'[1]ST-QA-ZZ5'!$C$5:$M$299,11,0),"Inspection at production line")</f>
        <v>Inspection at production line</v>
      </c>
    </row>
    <row r="8407" spans="1:4" ht="13.8">
      <c r="A8407" s="47" t="s">
        <v>17133</v>
      </c>
      <c r="B8407" s="92" t="s">
        <v>857</v>
      </c>
      <c r="C8407" s="92" t="s">
        <v>17134</v>
      </c>
      <c r="D8407" s="72" t="str">
        <f>IFERROR(VLOOKUP(A8407,'[1]ST-QA-ZZ5'!$C$5:$M$299,11,0),"Inspection at production line")</f>
        <v>Inspection at production line</v>
      </c>
    </row>
    <row r="8408" spans="1:4" ht="13.8">
      <c r="A8408" s="47" t="s">
        <v>17135</v>
      </c>
      <c r="B8408" s="92" t="s">
        <v>857</v>
      </c>
      <c r="C8408" s="92" t="s">
        <v>17136</v>
      </c>
      <c r="D8408" s="72" t="str">
        <f>IFERROR(VLOOKUP(A8408,'[1]ST-QA-ZZ5'!$C$5:$M$299,11,0),"Inspection at production line")</f>
        <v>Inspection at production line</v>
      </c>
    </row>
    <row r="8409" spans="1:4" ht="13.8">
      <c r="A8409" s="47" t="s">
        <v>17137</v>
      </c>
      <c r="B8409" s="92" t="s">
        <v>857</v>
      </c>
      <c r="C8409" s="92" t="s">
        <v>17138</v>
      </c>
      <c r="D8409" s="72" t="str">
        <f>IFERROR(VLOOKUP(A8409,'[1]ST-QA-ZZ5'!$C$5:$M$299,11,0),"Inspection at production line")</f>
        <v>Inspection at production line</v>
      </c>
    </row>
    <row r="8410" spans="1:4" ht="13.8">
      <c r="A8410" s="47" t="s">
        <v>17139</v>
      </c>
      <c r="B8410" s="92" t="s">
        <v>857</v>
      </c>
      <c r="C8410" s="92" t="s">
        <v>17140</v>
      </c>
      <c r="D8410" s="72" t="str">
        <f>IFERROR(VLOOKUP(A8410,'[1]ST-QA-ZZ5'!$C$5:$M$299,11,0),"Inspection at production line")</f>
        <v>Inspection at production line</v>
      </c>
    </row>
    <row r="8411" spans="1:4" ht="13.8">
      <c r="A8411" s="47" t="s">
        <v>17141</v>
      </c>
      <c r="B8411" s="92" t="s">
        <v>857</v>
      </c>
      <c r="C8411" s="92" t="s">
        <v>17142</v>
      </c>
      <c r="D8411" s="72" t="str">
        <f>IFERROR(VLOOKUP(A8411,'[1]ST-QA-ZZ5'!$C$5:$M$299,11,0),"Inspection at production line")</f>
        <v>Inspection at production line</v>
      </c>
    </row>
    <row r="8412" spans="1:4" ht="13.8">
      <c r="A8412" s="47" t="s">
        <v>17143</v>
      </c>
      <c r="B8412" s="92" t="s">
        <v>857</v>
      </c>
      <c r="C8412" s="92" t="s">
        <v>17144</v>
      </c>
      <c r="D8412" s="72" t="str">
        <f>IFERROR(VLOOKUP(A8412,'[1]ST-QA-ZZ5'!$C$5:$M$299,11,0),"Inspection at production line")</f>
        <v>Inspection at production line</v>
      </c>
    </row>
    <row r="8413" spans="1:4" ht="13.8">
      <c r="A8413" s="47" t="s">
        <v>17145</v>
      </c>
      <c r="B8413" s="92" t="s">
        <v>898</v>
      </c>
      <c r="C8413" s="92" t="s">
        <v>17146</v>
      </c>
      <c r="D8413" s="72" t="str">
        <f>IFERROR(VLOOKUP(A8413,'[1]ST-QA-ZZ5'!$C$5:$M$299,11,0),"Inspection at production line")</f>
        <v>Inspection at production line</v>
      </c>
    </row>
    <row r="8414" spans="1:4" ht="13.8">
      <c r="A8414" s="47" t="s">
        <v>17147</v>
      </c>
      <c r="B8414" s="92" t="s">
        <v>898</v>
      </c>
      <c r="C8414" s="92" t="s">
        <v>17148</v>
      </c>
      <c r="D8414" s="72" t="str">
        <f>IFERROR(VLOOKUP(A8414,'[1]ST-QA-ZZ5'!$C$5:$M$299,11,0),"Inspection at production line")</f>
        <v>Inspection at production line</v>
      </c>
    </row>
    <row r="8415" spans="1:4" ht="13.8">
      <c r="A8415" s="47" t="s">
        <v>17149</v>
      </c>
      <c r="B8415" s="92" t="s">
        <v>898</v>
      </c>
      <c r="C8415" s="92" t="s">
        <v>13318</v>
      </c>
      <c r="D8415" s="72" t="str">
        <f>IFERROR(VLOOKUP(A8415,'[1]ST-QA-ZZ5'!$C$5:$M$299,11,0),"Inspection at production line")</f>
        <v>Inspection at production line</v>
      </c>
    </row>
    <row r="8416" spans="1:4" ht="13.8">
      <c r="A8416" s="47" t="s">
        <v>17150</v>
      </c>
      <c r="B8416" s="92" t="s">
        <v>912</v>
      </c>
      <c r="C8416" s="92" t="s">
        <v>17151</v>
      </c>
      <c r="D8416" s="72" t="str">
        <f>IFERROR(VLOOKUP(A8416,'[1]ST-QA-ZZ5'!$C$5:$M$299,11,0),"Inspection at production line")</f>
        <v>Inspection at production line</v>
      </c>
    </row>
    <row r="8417" spans="1:4" ht="13.8">
      <c r="A8417" s="47" t="s">
        <v>17152</v>
      </c>
      <c r="B8417" s="92" t="s">
        <v>923</v>
      </c>
      <c r="C8417" s="92" t="s">
        <v>17153</v>
      </c>
      <c r="D8417" s="72" t="str">
        <f>IFERROR(VLOOKUP(A8417,'[1]ST-QA-ZZ5'!$C$5:$M$299,11,0),"Inspection at production line")</f>
        <v>Inspection at production line</v>
      </c>
    </row>
    <row r="8418" spans="1:4" ht="13.8">
      <c r="A8418" s="47" t="s">
        <v>17154</v>
      </c>
      <c r="B8418" s="92" t="s">
        <v>857</v>
      </c>
      <c r="C8418" s="92" t="s">
        <v>17155</v>
      </c>
      <c r="D8418" s="72" t="str">
        <f>IFERROR(VLOOKUP(A8418,'[1]ST-QA-ZZ5'!$C$5:$M$299,11,0),"Inspection at production line")</f>
        <v>Inspection at production line</v>
      </c>
    </row>
    <row r="8419" spans="1:4" ht="13.8">
      <c r="A8419" s="47" t="s">
        <v>17156</v>
      </c>
      <c r="B8419" s="92" t="s">
        <v>857</v>
      </c>
      <c r="C8419" s="92" t="s">
        <v>17157</v>
      </c>
      <c r="D8419" s="72" t="str">
        <f>IFERROR(VLOOKUP(A8419,'[1]ST-QA-ZZ5'!$C$5:$M$299,11,0),"Inspection at production line")</f>
        <v>Inspection at production line</v>
      </c>
    </row>
    <row r="8420" spans="1:4" ht="13.8">
      <c r="A8420" s="47" t="s">
        <v>17158</v>
      </c>
      <c r="B8420" s="92" t="s">
        <v>818</v>
      </c>
      <c r="C8420" s="92" t="s">
        <v>17159</v>
      </c>
      <c r="D8420" s="72" t="str">
        <f>IFERROR(VLOOKUP(A8420,'[1]ST-QA-ZZ5'!$C$5:$M$299,11,0),"Inspection at production line")</f>
        <v>Inspection at production line</v>
      </c>
    </row>
    <row r="8421" spans="1:4" ht="13.8">
      <c r="A8421" s="47" t="s">
        <v>17160</v>
      </c>
      <c r="B8421" s="92" t="s">
        <v>818</v>
      </c>
      <c r="C8421" s="92" t="s">
        <v>17161</v>
      </c>
      <c r="D8421" s="72" t="str">
        <f>IFERROR(VLOOKUP(A8421,'[1]ST-QA-ZZ5'!$C$5:$M$299,11,0),"Inspection at production line")</f>
        <v>Inspection at production line</v>
      </c>
    </row>
    <row r="8422" spans="1:4" ht="13.8">
      <c r="A8422" s="47" t="s">
        <v>17162</v>
      </c>
      <c r="B8422" s="92" t="s">
        <v>355</v>
      </c>
      <c r="C8422" s="92" t="s">
        <v>13296</v>
      </c>
      <c r="D8422" s="72" t="str">
        <f>IFERROR(VLOOKUP(A8422,'[1]ST-QA-ZZ5'!$C$5:$M$299,11,0),"Inspection at production line")</f>
        <v>Inspection at production line</v>
      </c>
    </row>
    <row r="8423" spans="1:4" ht="13.8">
      <c r="A8423" s="47" t="s">
        <v>17163</v>
      </c>
      <c r="B8423" s="92" t="s">
        <v>891</v>
      </c>
      <c r="C8423" s="92" t="s">
        <v>5145</v>
      </c>
      <c r="D8423" s="72" t="str">
        <f>IFERROR(VLOOKUP(A8423,'[1]ST-QA-ZZ5'!$C$5:$M$299,11,0),"Inspection at production line")</f>
        <v>Inspection at production line</v>
      </c>
    </row>
    <row r="8424" spans="1:4" ht="13.8">
      <c r="A8424" s="47" t="s">
        <v>17164</v>
      </c>
      <c r="B8424" s="92" t="s">
        <v>352</v>
      </c>
      <c r="C8424" s="92" t="s">
        <v>17165</v>
      </c>
      <c r="D8424" s="72" t="str">
        <f>IFERROR(VLOOKUP(A8424,'[1]ST-QA-ZZ5'!$C$5:$M$299,11,0),"Inspection at production line")</f>
        <v>Inspection at production line</v>
      </c>
    </row>
    <row r="8425" spans="1:4" ht="13.8">
      <c r="A8425" s="47" t="s">
        <v>17166</v>
      </c>
      <c r="B8425" s="92" t="s">
        <v>68</v>
      </c>
      <c r="C8425" s="92" t="s">
        <v>17167</v>
      </c>
      <c r="D8425" s="72" t="str">
        <f>IFERROR(VLOOKUP(A8425,'[1]ST-QA-ZZ5'!$C$5:$M$299,11,0),"Inspection at production line")</f>
        <v>Inspection at production line</v>
      </c>
    </row>
    <row r="8426" spans="1:4" ht="13.8">
      <c r="A8426" s="47" t="s">
        <v>17168</v>
      </c>
      <c r="B8426" s="92" t="s">
        <v>68</v>
      </c>
      <c r="C8426" s="92" t="s">
        <v>17169</v>
      </c>
      <c r="D8426" s="72" t="str">
        <f>IFERROR(VLOOKUP(A8426,'[1]ST-QA-ZZ5'!$C$5:$M$299,11,0),"Inspection at production line")</f>
        <v>Inspection at production line</v>
      </c>
    </row>
    <row r="8427" spans="1:4" ht="13.8">
      <c r="A8427" s="47" t="s">
        <v>17170</v>
      </c>
      <c r="B8427" s="92" t="s">
        <v>68</v>
      </c>
      <c r="C8427" s="92" t="s">
        <v>17171</v>
      </c>
      <c r="D8427" s="72" t="str">
        <f>IFERROR(VLOOKUP(A8427,'[1]ST-QA-ZZ5'!$C$5:$M$299,11,0),"Inspection at production line")</f>
        <v>Inspection at production line</v>
      </c>
    </row>
    <row r="8428" spans="1:4" ht="13.8">
      <c r="A8428" s="47" t="s">
        <v>17172</v>
      </c>
      <c r="B8428" s="92" t="s">
        <v>68</v>
      </c>
      <c r="C8428" s="92" t="s">
        <v>17173</v>
      </c>
      <c r="D8428" s="72" t="str">
        <f>IFERROR(VLOOKUP(A8428,'[1]ST-QA-ZZ5'!$C$5:$M$299,11,0),"Inspection at production line")</f>
        <v>Inspection at production line</v>
      </c>
    </row>
    <row r="8429" spans="1:4" ht="13.8">
      <c r="A8429" s="47" t="s">
        <v>17174</v>
      </c>
      <c r="B8429" s="92" t="s">
        <v>174</v>
      </c>
      <c r="C8429" s="92" t="s">
        <v>17175</v>
      </c>
      <c r="D8429" s="72" t="str">
        <f>IFERROR(VLOOKUP(A8429,'[1]ST-QA-ZZ5'!$C$5:$M$299,11,0),"Inspection at production line")</f>
        <v>Inspection at production line</v>
      </c>
    </row>
    <row r="8430" spans="1:4" ht="13.8">
      <c r="A8430" s="47" t="s">
        <v>17176</v>
      </c>
      <c r="B8430" s="92" t="s">
        <v>174</v>
      </c>
      <c r="C8430" s="92" t="s">
        <v>8472</v>
      </c>
      <c r="D8430" s="72" t="str">
        <f>IFERROR(VLOOKUP(A8430,'[1]ST-QA-ZZ5'!$C$5:$M$299,11,0),"Inspection at production line")</f>
        <v>Inspection at production line</v>
      </c>
    </row>
    <row r="8431" spans="1:4" ht="13.8">
      <c r="A8431" s="47" t="s">
        <v>17177</v>
      </c>
      <c r="B8431" s="92" t="s">
        <v>4949</v>
      </c>
      <c r="C8431" s="92" t="s">
        <v>7719</v>
      </c>
      <c r="D8431" s="72" t="str">
        <f>IFERROR(VLOOKUP(A8431,'[1]ST-QA-ZZ5'!$C$5:$M$299,11,0),"Inspection at production line")</f>
        <v>Inspection at production line</v>
      </c>
    </row>
    <row r="8432" spans="1:4" ht="13.8">
      <c r="A8432" s="47" t="s">
        <v>17178</v>
      </c>
      <c r="B8432" s="92" t="s">
        <v>4949</v>
      </c>
      <c r="C8432" s="92" t="s">
        <v>7720</v>
      </c>
      <c r="D8432" s="72" t="str">
        <f>IFERROR(VLOOKUP(A8432,'[1]ST-QA-ZZ5'!$C$5:$M$299,11,0),"Inspection at production line")</f>
        <v>Inspection at production line</v>
      </c>
    </row>
    <row r="8433" spans="1:4" ht="13.8">
      <c r="A8433" s="47" t="s">
        <v>17179</v>
      </c>
      <c r="B8433" s="92" t="s">
        <v>4949</v>
      </c>
      <c r="C8433" s="92" t="s">
        <v>10148</v>
      </c>
      <c r="D8433" s="72" t="str">
        <f>IFERROR(VLOOKUP(A8433,'[1]ST-QA-ZZ5'!$C$5:$M$299,11,0),"Inspection at production line")</f>
        <v>Inspection at production line</v>
      </c>
    </row>
    <row r="8434" spans="1:4" ht="13.8">
      <c r="A8434" s="47" t="s">
        <v>17180</v>
      </c>
      <c r="B8434" s="92" t="s">
        <v>1177</v>
      </c>
      <c r="C8434" s="92" t="s">
        <v>6413</v>
      </c>
      <c r="D8434" s="72" t="str">
        <f>IFERROR(VLOOKUP(A8434,'[1]ST-QA-ZZ5'!$C$5:$M$299,11,0),"Inspection at production line")</f>
        <v>Inspection at production line</v>
      </c>
    </row>
    <row r="8435" spans="1:4" ht="13.8">
      <c r="A8435" s="47" t="s">
        <v>17181</v>
      </c>
      <c r="B8435" s="92" t="s">
        <v>4949</v>
      </c>
      <c r="C8435" s="92" t="s">
        <v>17182</v>
      </c>
      <c r="D8435" s="72" t="str">
        <f>IFERROR(VLOOKUP(A8435,'[1]ST-QA-ZZ5'!$C$5:$M$299,11,0),"Inspection at production line")</f>
        <v>Inspection at production line</v>
      </c>
    </row>
    <row r="8436" spans="1:4" ht="13.8">
      <c r="A8436" s="47" t="s">
        <v>2363</v>
      </c>
      <c r="B8436" s="92" t="s">
        <v>397</v>
      </c>
      <c r="C8436" s="92" t="s">
        <v>2364</v>
      </c>
      <c r="D8436" s="72" t="str">
        <f>IFERROR(VLOOKUP(A8436,'[1]ST-QA-ZZ5'!$C$5:$M$299,11,0),"Inspection at production line")</f>
        <v>Sampling check</v>
      </c>
    </row>
    <row r="8437" spans="1:4" ht="13.8">
      <c r="A8437" s="47" t="s">
        <v>5313</v>
      </c>
      <c r="B8437" s="92" t="s">
        <v>397</v>
      </c>
      <c r="C8437" s="92" t="s">
        <v>2364</v>
      </c>
      <c r="D8437" s="72" t="str">
        <f>IFERROR(VLOOKUP(A8437,'[1]ST-QA-ZZ5'!$C$5:$M$299,11,0),"Inspection at production line")</f>
        <v>Inspection at production line</v>
      </c>
    </row>
    <row r="8438" spans="1:4" ht="13.8">
      <c r="A8438" s="47" t="s">
        <v>17183</v>
      </c>
      <c r="B8438" s="92" t="s">
        <v>397</v>
      </c>
      <c r="C8438" s="92" t="s">
        <v>17184</v>
      </c>
      <c r="D8438" s="72" t="str">
        <f>IFERROR(VLOOKUP(A8438,'[1]ST-QA-ZZ5'!$C$5:$M$299,11,0),"Inspection at production line")</f>
        <v>Inspection at production line</v>
      </c>
    </row>
    <row r="8439" spans="1:4" ht="13.8">
      <c r="A8439" s="47" t="s">
        <v>17185</v>
      </c>
      <c r="B8439" s="92" t="s">
        <v>397</v>
      </c>
      <c r="C8439" s="92" t="s">
        <v>17186</v>
      </c>
      <c r="D8439" s="72" t="str">
        <f>IFERROR(VLOOKUP(A8439,'[1]ST-QA-ZZ5'!$C$5:$M$299,11,0),"Inspection at production line")</f>
        <v>Inspection at production line</v>
      </c>
    </row>
    <row r="8440" spans="1:4" ht="13.8">
      <c r="A8440" s="47" t="s">
        <v>17187</v>
      </c>
      <c r="B8440" s="92" t="s">
        <v>397</v>
      </c>
      <c r="C8440" s="92" t="s">
        <v>17188</v>
      </c>
      <c r="D8440" s="72" t="str">
        <f>IFERROR(VLOOKUP(A8440,'[1]ST-QA-ZZ5'!$C$5:$M$299,11,0),"Inspection at production line")</f>
        <v>Inspection at production line</v>
      </c>
    </row>
    <row r="8441" spans="1:4" ht="13.8">
      <c r="A8441" s="47" t="s">
        <v>17189</v>
      </c>
      <c r="B8441" s="92" t="s">
        <v>397</v>
      </c>
      <c r="C8441" s="92" t="s">
        <v>17190</v>
      </c>
      <c r="D8441" s="72" t="str">
        <f>IFERROR(VLOOKUP(A8441,'[1]ST-QA-ZZ5'!$C$5:$M$299,11,0),"Inspection at production line")</f>
        <v>Inspection at production line</v>
      </c>
    </row>
    <row r="8442" spans="1:4" ht="13.8">
      <c r="A8442" s="47" t="s">
        <v>2367</v>
      </c>
      <c r="B8442" s="92" t="s">
        <v>1167</v>
      </c>
      <c r="C8442" s="92" t="s">
        <v>2368</v>
      </c>
      <c r="D8442" s="72" t="str">
        <f>IFERROR(VLOOKUP(A8442,'[1]ST-QA-ZZ5'!$C$5:$M$299,11,0),"Inspection at production line")</f>
        <v>Inspection at production line</v>
      </c>
    </row>
    <row r="8443" spans="1:4" ht="13.8">
      <c r="A8443" s="47" t="s">
        <v>17191</v>
      </c>
      <c r="B8443" s="92" t="s">
        <v>1167</v>
      </c>
      <c r="C8443" s="92" t="s">
        <v>17192</v>
      </c>
      <c r="D8443" s="72" t="str">
        <f>IFERROR(VLOOKUP(A8443,'[1]ST-QA-ZZ5'!$C$5:$M$299,11,0),"Inspection at production line")</f>
        <v>Inspection at production line</v>
      </c>
    </row>
    <row r="8444" spans="1:4" ht="13.8">
      <c r="A8444" s="47" t="s">
        <v>17193</v>
      </c>
      <c r="B8444" s="92" t="s">
        <v>1167</v>
      </c>
      <c r="C8444" s="92" t="s">
        <v>17194</v>
      </c>
      <c r="D8444" s="72" t="str">
        <f>IFERROR(VLOOKUP(A8444,'[1]ST-QA-ZZ5'!$C$5:$M$299,11,0),"Inspection at production line")</f>
        <v>Inspection at production line</v>
      </c>
    </row>
    <row r="8445" spans="1:4" ht="13.8">
      <c r="A8445" s="47" t="s">
        <v>17195</v>
      </c>
      <c r="B8445" s="92" t="s">
        <v>1167</v>
      </c>
      <c r="C8445" s="92" t="s">
        <v>17196</v>
      </c>
      <c r="D8445" s="72" t="str">
        <f>IFERROR(VLOOKUP(A8445,'[1]ST-QA-ZZ5'!$C$5:$M$299,11,0),"Inspection at production line")</f>
        <v>Inspection at production line</v>
      </c>
    </row>
    <row r="8446" spans="1:4" ht="13.8">
      <c r="A8446" s="47" t="s">
        <v>17197</v>
      </c>
      <c r="B8446" s="92" t="s">
        <v>1167</v>
      </c>
      <c r="C8446" s="92" t="s">
        <v>17198</v>
      </c>
      <c r="D8446" s="72" t="str">
        <f>IFERROR(VLOOKUP(A8446,'[1]ST-QA-ZZ5'!$C$5:$M$299,11,0),"Inspection at production line")</f>
        <v>Inspection at production line</v>
      </c>
    </row>
    <row r="8447" spans="1:4" ht="13.8">
      <c r="A8447" s="47" t="s">
        <v>2371</v>
      </c>
      <c r="B8447" s="92" t="s">
        <v>1167</v>
      </c>
      <c r="C8447" s="92" t="s">
        <v>2372</v>
      </c>
      <c r="D8447" s="72" t="str">
        <f>IFERROR(VLOOKUP(A8447,'[1]ST-QA-ZZ5'!$C$5:$M$299,11,0),"Inspection at production line")</f>
        <v>Inspection at production line</v>
      </c>
    </row>
    <row r="8448" spans="1:4" ht="13.8">
      <c r="A8448" s="47" t="s">
        <v>17199</v>
      </c>
      <c r="B8448" s="92" t="s">
        <v>1167</v>
      </c>
      <c r="C8448" s="92" t="s">
        <v>17200</v>
      </c>
      <c r="D8448" s="72" t="str">
        <f>IFERROR(VLOOKUP(A8448,'[1]ST-QA-ZZ5'!$C$5:$M$299,11,0),"Inspection at production line")</f>
        <v>Inspection at production line</v>
      </c>
    </row>
    <row r="8449" spans="1:4" ht="13.8">
      <c r="A8449" s="47" t="s">
        <v>2375</v>
      </c>
      <c r="B8449" s="92" t="s">
        <v>1167</v>
      </c>
      <c r="C8449" s="92" t="s">
        <v>2376</v>
      </c>
      <c r="D8449" s="72" t="str">
        <f>IFERROR(VLOOKUP(A8449,'[1]ST-QA-ZZ5'!$C$5:$M$299,11,0),"Inspection at production line")</f>
        <v>Inspection at production line</v>
      </c>
    </row>
    <row r="8450" spans="1:4" ht="13.8">
      <c r="A8450" s="47" t="s">
        <v>17201</v>
      </c>
      <c r="B8450" s="92" t="s">
        <v>1167</v>
      </c>
      <c r="C8450" s="92" t="s">
        <v>17202</v>
      </c>
      <c r="D8450" s="72" t="str">
        <f>IFERROR(VLOOKUP(A8450,'[1]ST-QA-ZZ5'!$C$5:$M$299,11,0),"Inspection at production line")</f>
        <v>Inspection at production line</v>
      </c>
    </row>
    <row r="8451" spans="1:4" ht="13.8">
      <c r="A8451" s="47" t="s">
        <v>2380</v>
      </c>
      <c r="B8451" s="92" t="s">
        <v>865</v>
      </c>
      <c r="C8451" s="92" t="s">
        <v>17203</v>
      </c>
      <c r="D8451" s="72" t="str">
        <f>IFERROR(VLOOKUP(A8451,'[1]ST-QA-ZZ5'!$C$5:$M$299,11,0),"Inspection at production line")</f>
        <v>Inspection at production line</v>
      </c>
    </row>
    <row r="8452" spans="1:4" ht="13.8">
      <c r="A8452" s="47" t="s">
        <v>2385</v>
      </c>
      <c r="B8452" s="92" t="s">
        <v>865</v>
      </c>
      <c r="C8452" s="92" t="s">
        <v>17204</v>
      </c>
      <c r="D8452" s="72" t="str">
        <f>IFERROR(VLOOKUP(A8452,'[1]ST-QA-ZZ5'!$C$5:$M$299,11,0),"Inspection at production line")</f>
        <v>Inspection at production line</v>
      </c>
    </row>
    <row r="8453" spans="1:4" ht="13.8">
      <c r="A8453" s="47" t="s">
        <v>2390</v>
      </c>
      <c r="B8453" s="92" t="s">
        <v>1193</v>
      </c>
      <c r="C8453" s="92" t="s">
        <v>2391</v>
      </c>
      <c r="D8453" s="72" t="str">
        <f>IFERROR(VLOOKUP(A8453,'[1]ST-QA-ZZ5'!$C$5:$M$299,11,0),"Inspection at production line")</f>
        <v>Inspection at production line</v>
      </c>
    </row>
    <row r="8454" spans="1:4" ht="13.8">
      <c r="A8454" s="47" t="s">
        <v>2395</v>
      </c>
      <c r="B8454" s="92" t="s">
        <v>397</v>
      </c>
      <c r="C8454" s="92" t="s">
        <v>2396</v>
      </c>
      <c r="D8454" s="72" t="str">
        <f>IFERROR(VLOOKUP(A8454,'[1]ST-QA-ZZ5'!$C$5:$M$299,11,0),"Inspection at production line")</f>
        <v>Inspection at production line</v>
      </c>
    </row>
    <row r="8455" spans="1:4" ht="13.8">
      <c r="A8455" s="47" t="s">
        <v>17205</v>
      </c>
      <c r="B8455" s="92" t="s">
        <v>857</v>
      </c>
      <c r="C8455" s="92" t="s">
        <v>15874</v>
      </c>
      <c r="D8455" s="72" t="str">
        <f>IFERROR(VLOOKUP(A8455,'[1]ST-QA-ZZ5'!$C$5:$M$299,11,0),"Inspection at production line")</f>
        <v>Inspection at production line</v>
      </c>
    </row>
    <row r="8456" spans="1:4" ht="13.8">
      <c r="A8456" s="47" t="s">
        <v>17206</v>
      </c>
      <c r="B8456" s="92" t="s">
        <v>857</v>
      </c>
      <c r="C8456" s="92" t="s">
        <v>15876</v>
      </c>
      <c r="D8456" s="72" t="str">
        <f>IFERROR(VLOOKUP(A8456,'[1]ST-QA-ZZ5'!$C$5:$M$299,11,0),"Inspection at production line")</f>
        <v>Inspection at production line</v>
      </c>
    </row>
    <row r="8457" spans="1:4" ht="13.8">
      <c r="A8457" s="47" t="s">
        <v>17207</v>
      </c>
      <c r="B8457" s="92" t="s">
        <v>865</v>
      </c>
      <c r="C8457" s="92" t="s">
        <v>1794</v>
      </c>
      <c r="D8457" s="72" t="str">
        <f>IFERROR(VLOOKUP(A8457,'[1]ST-QA-ZZ5'!$C$5:$M$299,11,0),"Inspection at production line")</f>
        <v>Inspection at production line</v>
      </c>
    </row>
    <row r="8458" spans="1:4" ht="13.8">
      <c r="A8458" s="47" t="s">
        <v>17208</v>
      </c>
      <c r="B8458" s="92" t="s">
        <v>857</v>
      </c>
      <c r="C8458" s="92" t="s">
        <v>17209</v>
      </c>
      <c r="D8458" s="72" t="str">
        <f>IFERROR(VLOOKUP(A8458,'[1]ST-QA-ZZ5'!$C$5:$M$299,11,0),"Inspection at production line")</f>
        <v>Inspection at production line</v>
      </c>
    </row>
    <row r="8459" spans="1:4" ht="13.8">
      <c r="A8459" s="47" t="s">
        <v>17210</v>
      </c>
      <c r="B8459" s="92" t="s">
        <v>857</v>
      </c>
      <c r="C8459" s="92" t="s">
        <v>17211</v>
      </c>
      <c r="D8459" s="72" t="str">
        <f>IFERROR(VLOOKUP(A8459,'[1]ST-QA-ZZ5'!$C$5:$M$299,11,0),"Inspection at production line")</f>
        <v>Inspection at production line</v>
      </c>
    </row>
    <row r="8460" spans="1:4" ht="13.8">
      <c r="A8460" s="47" t="s">
        <v>17212</v>
      </c>
      <c r="B8460" s="92" t="s">
        <v>857</v>
      </c>
      <c r="C8460" s="92" t="s">
        <v>17213</v>
      </c>
      <c r="D8460" s="72" t="str">
        <f>IFERROR(VLOOKUP(A8460,'[1]ST-QA-ZZ5'!$C$5:$M$299,11,0),"Inspection at production line")</f>
        <v>Inspection at production line</v>
      </c>
    </row>
    <row r="8461" spans="1:4" ht="13.8">
      <c r="A8461" s="47" t="s">
        <v>17214</v>
      </c>
      <c r="B8461" s="92" t="s">
        <v>857</v>
      </c>
      <c r="C8461" s="92" t="s">
        <v>17215</v>
      </c>
      <c r="D8461" s="72" t="str">
        <f>IFERROR(VLOOKUP(A8461,'[1]ST-QA-ZZ5'!$C$5:$M$299,11,0),"Inspection at production line")</f>
        <v>Inspection at production line</v>
      </c>
    </row>
    <row r="8462" spans="1:4" ht="13.8">
      <c r="A8462" s="47" t="s">
        <v>17216</v>
      </c>
      <c r="B8462" s="92" t="s">
        <v>857</v>
      </c>
      <c r="C8462" s="92" t="s">
        <v>17217</v>
      </c>
      <c r="D8462" s="72" t="str">
        <f>IFERROR(VLOOKUP(A8462,'[1]ST-QA-ZZ5'!$C$5:$M$299,11,0),"Inspection at production line")</f>
        <v>Inspection at production line</v>
      </c>
    </row>
    <row r="8463" spans="1:4" ht="13.8">
      <c r="A8463" s="47" t="s">
        <v>17218</v>
      </c>
      <c r="B8463" s="92" t="s">
        <v>857</v>
      </c>
      <c r="C8463" s="92" t="s">
        <v>17219</v>
      </c>
      <c r="D8463" s="72" t="str">
        <f>IFERROR(VLOOKUP(A8463,'[1]ST-QA-ZZ5'!$C$5:$M$299,11,0),"Inspection at production line")</f>
        <v>Inspection at production line</v>
      </c>
    </row>
    <row r="8464" spans="1:4" ht="13.8">
      <c r="A8464" s="47" t="s">
        <v>17220</v>
      </c>
      <c r="B8464" s="92" t="s">
        <v>857</v>
      </c>
      <c r="C8464" s="92" t="s">
        <v>17221</v>
      </c>
      <c r="D8464" s="72" t="str">
        <f>IFERROR(VLOOKUP(A8464,'[1]ST-QA-ZZ5'!$C$5:$M$299,11,0),"Inspection at production line")</f>
        <v>Inspection at production line</v>
      </c>
    </row>
    <row r="8465" spans="1:4" ht="13.8">
      <c r="A8465" s="47" t="s">
        <v>17222</v>
      </c>
      <c r="B8465" s="92" t="s">
        <v>555</v>
      </c>
      <c r="C8465" s="92" t="s">
        <v>16697</v>
      </c>
      <c r="D8465" s="72" t="str">
        <f>IFERROR(VLOOKUP(A8465,'[1]ST-QA-ZZ5'!$C$5:$M$299,11,0),"Inspection at production line")</f>
        <v>Inspection at production line</v>
      </c>
    </row>
    <row r="8466" spans="1:4" ht="13.8">
      <c r="A8466" s="47" t="s">
        <v>17223</v>
      </c>
      <c r="B8466" s="92" t="s">
        <v>555</v>
      </c>
      <c r="C8466" s="92" t="s">
        <v>17224</v>
      </c>
      <c r="D8466" s="72" t="str">
        <f>IFERROR(VLOOKUP(A8466,'[1]ST-QA-ZZ5'!$C$5:$M$299,11,0),"Inspection at production line")</f>
        <v>Inspection at production line</v>
      </c>
    </row>
    <row r="8467" spans="1:4" ht="13.8">
      <c r="A8467" s="47" t="s">
        <v>17225</v>
      </c>
      <c r="B8467" s="92" t="s">
        <v>555</v>
      </c>
      <c r="C8467" s="92" t="s">
        <v>15629</v>
      </c>
      <c r="D8467" s="72" t="str">
        <f>IFERROR(VLOOKUP(A8467,'[1]ST-QA-ZZ5'!$C$5:$M$299,11,0),"Inspection at production line")</f>
        <v>Inspection at production line</v>
      </c>
    </row>
    <row r="8468" spans="1:4" ht="13.8">
      <c r="A8468" s="47" t="s">
        <v>17226</v>
      </c>
      <c r="B8468" s="92" t="s">
        <v>857</v>
      </c>
      <c r="C8468" s="92" t="s">
        <v>5323</v>
      </c>
      <c r="D8468" s="72" t="str">
        <f>IFERROR(VLOOKUP(A8468,'[1]ST-QA-ZZ5'!$C$5:$M$299,11,0),"Inspection at production line")</f>
        <v>Inspection at production line</v>
      </c>
    </row>
    <row r="8469" spans="1:4" ht="13.8">
      <c r="A8469" s="47" t="s">
        <v>17227</v>
      </c>
      <c r="B8469" s="92" t="s">
        <v>857</v>
      </c>
      <c r="C8469" s="92" t="s">
        <v>16710</v>
      </c>
      <c r="D8469" s="72" t="str">
        <f>IFERROR(VLOOKUP(A8469,'[1]ST-QA-ZZ5'!$C$5:$M$299,11,0),"Inspection at production line")</f>
        <v>Inspection at production line</v>
      </c>
    </row>
    <row r="8470" spans="1:4" ht="13.8">
      <c r="A8470" s="47" t="s">
        <v>17228</v>
      </c>
      <c r="B8470" s="92" t="s">
        <v>555</v>
      </c>
      <c r="C8470" s="92" t="s">
        <v>17229</v>
      </c>
      <c r="D8470" s="72" t="str">
        <f>IFERROR(VLOOKUP(A8470,'[1]ST-QA-ZZ5'!$C$5:$M$299,11,0),"Inspection at production line")</f>
        <v>Inspection at production line</v>
      </c>
    </row>
    <row r="8471" spans="1:4" ht="13.8">
      <c r="A8471" s="47" t="s">
        <v>17230</v>
      </c>
      <c r="B8471" s="92" t="s">
        <v>857</v>
      </c>
      <c r="C8471" s="92" t="s">
        <v>17231</v>
      </c>
      <c r="D8471" s="72" t="str">
        <f>IFERROR(VLOOKUP(A8471,'[1]ST-QA-ZZ5'!$C$5:$M$299,11,0),"Inspection at production line")</f>
        <v>Inspection at production line</v>
      </c>
    </row>
    <row r="8472" spans="1:4" ht="13.8">
      <c r="A8472" s="47" t="s">
        <v>17232</v>
      </c>
      <c r="B8472" s="92" t="s">
        <v>3002</v>
      </c>
      <c r="C8472" s="92" t="s">
        <v>17233</v>
      </c>
      <c r="D8472" s="72" t="str">
        <f>IFERROR(VLOOKUP(A8472,'[1]ST-QA-ZZ5'!$C$5:$M$299,11,0),"Inspection at production line")</f>
        <v>Inspection at production line</v>
      </c>
    </row>
    <row r="8473" spans="1:4" ht="13.8">
      <c r="A8473" s="47" t="s">
        <v>17234</v>
      </c>
      <c r="B8473" s="92" t="s">
        <v>857</v>
      </c>
      <c r="C8473" s="92" t="s">
        <v>9098</v>
      </c>
      <c r="D8473" s="72" t="str">
        <f>IFERROR(VLOOKUP(A8473,'[1]ST-QA-ZZ5'!$C$5:$M$299,11,0),"Inspection at production line")</f>
        <v>Inspection at production line</v>
      </c>
    </row>
    <row r="8474" spans="1:4" ht="13.8">
      <c r="A8474" s="47" t="s">
        <v>17235</v>
      </c>
      <c r="B8474" s="92" t="s">
        <v>857</v>
      </c>
      <c r="C8474" s="92" t="s">
        <v>16713</v>
      </c>
      <c r="D8474" s="72" t="str">
        <f>IFERROR(VLOOKUP(A8474,'[1]ST-QA-ZZ5'!$C$5:$M$299,11,0),"Inspection at production line")</f>
        <v>Inspection at production line</v>
      </c>
    </row>
    <row r="8475" spans="1:4" ht="13.8">
      <c r="A8475" s="47" t="s">
        <v>17236</v>
      </c>
      <c r="B8475" s="92" t="s">
        <v>857</v>
      </c>
      <c r="C8475" s="92" t="s">
        <v>16715</v>
      </c>
      <c r="D8475" s="72" t="str">
        <f>IFERROR(VLOOKUP(A8475,'[1]ST-QA-ZZ5'!$C$5:$M$299,11,0),"Inspection at production line")</f>
        <v>Inspection at production line</v>
      </c>
    </row>
    <row r="8476" spans="1:4" ht="13.8">
      <c r="A8476" s="47" t="s">
        <v>17237</v>
      </c>
      <c r="B8476" s="92" t="s">
        <v>857</v>
      </c>
      <c r="C8476" s="92" t="s">
        <v>17238</v>
      </c>
      <c r="D8476" s="72" t="str">
        <f>IFERROR(VLOOKUP(A8476,'[1]ST-QA-ZZ5'!$C$5:$M$299,11,0),"Inspection at production line")</f>
        <v>Inspection at production line</v>
      </c>
    </row>
    <row r="8477" spans="1:4" ht="13.8">
      <c r="A8477" s="47" t="s">
        <v>17239</v>
      </c>
      <c r="B8477" s="92" t="s">
        <v>857</v>
      </c>
      <c r="C8477" s="92" t="s">
        <v>16719</v>
      </c>
      <c r="D8477" s="72" t="str">
        <f>IFERROR(VLOOKUP(A8477,'[1]ST-QA-ZZ5'!$C$5:$M$299,11,0),"Inspection at production line")</f>
        <v>Inspection at production line</v>
      </c>
    </row>
    <row r="8478" spans="1:4" ht="13.8">
      <c r="A8478" s="47" t="s">
        <v>17240</v>
      </c>
      <c r="B8478" s="92" t="s">
        <v>857</v>
      </c>
      <c r="C8478" s="92" t="s">
        <v>16721</v>
      </c>
      <c r="D8478" s="72" t="str">
        <f>IFERROR(VLOOKUP(A8478,'[1]ST-QA-ZZ5'!$C$5:$M$299,11,0),"Inspection at production line")</f>
        <v>Inspection at production line</v>
      </c>
    </row>
    <row r="8479" spans="1:4" ht="13.8">
      <c r="A8479" s="47" t="s">
        <v>17241</v>
      </c>
      <c r="B8479" s="92" t="s">
        <v>857</v>
      </c>
      <c r="C8479" s="92" t="s">
        <v>17242</v>
      </c>
      <c r="D8479" s="72" t="str">
        <f>IFERROR(VLOOKUP(A8479,'[1]ST-QA-ZZ5'!$C$5:$M$299,11,0),"Inspection at production line")</f>
        <v>Inspection at production line</v>
      </c>
    </row>
    <row r="8480" spans="1:4" ht="13.8">
      <c r="A8480" s="47" t="s">
        <v>17243</v>
      </c>
      <c r="B8480" s="92" t="s">
        <v>857</v>
      </c>
      <c r="C8480" s="92" t="s">
        <v>17244</v>
      </c>
      <c r="D8480" s="72" t="str">
        <f>IFERROR(VLOOKUP(A8480,'[1]ST-QA-ZZ5'!$C$5:$M$299,11,0),"Inspection at production line")</f>
        <v>Inspection at production line</v>
      </c>
    </row>
    <row r="8481" spans="1:4" ht="13.8">
      <c r="A8481" s="47" t="s">
        <v>17245</v>
      </c>
      <c r="B8481" s="92" t="s">
        <v>857</v>
      </c>
      <c r="C8481" s="92" t="s">
        <v>16725</v>
      </c>
      <c r="D8481" s="72" t="str">
        <f>IFERROR(VLOOKUP(A8481,'[1]ST-QA-ZZ5'!$C$5:$M$299,11,0),"Inspection at production line")</f>
        <v>Inspection at production line</v>
      </c>
    </row>
    <row r="8482" spans="1:4" ht="13.8">
      <c r="A8482" s="47" t="s">
        <v>17246</v>
      </c>
      <c r="B8482" s="92" t="s">
        <v>17247</v>
      </c>
      <c r="C8482" s="92" t="s">
        <v>17248</v>
      </c>
      <c r="D8482" s="72" t="str">
        <f>IFERROR(VLOOKUP(A8482,'[1]ST-QA-ZZ5'!$C$5:$M$299,11,0),"Inspection at production line")</f>
        <v>Inspection at production line</v>
      </c>
    </row>
    <row r="8483" spans="1:4" ht="13.8">
      <c r="A8483" s="47" t="s">
        <v>17249</v>
      </c>
      <c r="B8483" s="92" t="s">
        <v>17250</v>
      </c>
      <c r="C8483" s="92" t="s">
        <v>17251</v>
      </c>
      <c r="D8483" s="72" t="str">
        <f>IFERROR(VLOOKUP(A8483,'[1]ST-QA-ZZ5'!$C$5:$M$299,11,0),"Inspection at production line")</f>
        <v>Inspection at production line</v>
      </c>
    </row>
    <row r="8484" spans="1:4" ht="13.8">
      <c r="A8484" s="47" t="s">
        <v>17252</v>
      </c>
      <c r="B8484" s="92" t="s">
        <v>17253</v>
      </c>
      <c r="C8484" s="92" t="s">
        <v>17254</v>
      </c>
      <c r="D8484" s="72" t="str">
        <f>IFERROR(VLOOKUP(A8484,'[1]ST-QA-ZZ5'!$C$5:$M$299,11,0),"Inspection at production line")</f>
        <v>Inspection at production line</v>
      </c>
    </row>
    <row r="8485" spans="1:4" ht="13.8">
      <c r="A8485" s="47" t="s">
        <v>17255</v>
      </c>
      <c r="B8485" s="92" t="s">
        <v>17256</v>
      </c>
      <c r="C8485" s="92" t="s">
        <v>17257</v>
      </c>
      <c r="D8485" s="72" t="str">
        <f>IFERROR(VLOOKUP(A8485,'[1]ST-QA-ZZ5'!$C$5:$M$299,11,0),"Inspection at production line")</f>
        <v>Inspection at production line</v>
      </c>
    </row>
    <row r="8486" spans="1:4" ht="13.8">
      <c r="A8486" s="47" t="s">
        <v>17258</v>
      </c>
      <c r="B8486" s="92" t="s">
        <v>17259</v>
      </c>
      <c r="C8486" s="92" t="s">
        <v>17260</v>
      </c>
      <c r="D8486" s="72" t="str">
        <f>IFERROR(VLOOKUP(A8486,'[1]ST-QA-ZZ5'!$C$5:$M$299,11,0),"Inspection at production line")</f>
        <v>Inspection at production line</v>
      </c>
    </row>
    <row r="8487" spans="1:4" ht="13.8">
      <c r="A8487" s="47" t="s">
        <v>17261</v>
      </c>
      <c r="B8487" s="92" t="s">
        <v>2074</v>
      </c>
      <c r="C8487" s="92" t="s">
        <v>17262</v>
      </c>
      <c r="D8487" s="72" t="str">
        <f>IFERROR(VLOOKUP(A8487,'[1]ST-QA-ZZ5'!$C$5:$M$299,11,0),"Inspection at production line")</f>
        <v>Sampling check</v>
      </c>
    </row>
    <row r="8488" spans="1:4" ht="13.8">
      <c r="A8488" s="47" t="s">
        <v>17263</v>
      </c>
      <c r="B8488" s="92" t="s">
        <v>6388</v>
      </c>
      <c r="C8488" s="92" t="s">
        <v>17264</v>
      </c>
      <c r="D8488" s="72" t="str">
        <f>IFERROR(VLOOKUP(A8488,'[1]ST-QA-ZZ5'!$C$5:$M$299,11,0),"Inspection at production line")</f>
        <v>Sampling check</v>
      </c>
    </row>
    <row r="8489" spans="1:4" ht="13.8">
      <c r="A8489" s="47" t="s">
        <v>17265</v>
      </c>
      <c r="B8489" s="92" t="s">
        <v>2532</v>
      </c>
      <c r="C8489" s="92" t="s">
        <v>17266</v>
      </c>
      <c r="D8489" s="72" t="str">
        <f>IFERROR(VLOOKUP(A8489,'[1]ST-QA-ZZ5'!$C$5:$M$299,11,0),"Inspection at production line")</f>
        <v>Sampling check</v>
      </c>
    </row>
    <row r="8490" spans="1:4" ht="13.8">
      <c r="A8490" s="47" t="s">
        <v>17267</v>
      </c>
      <c r="B8490" s="92" t="s">
        <v>6870</v>
      </c>
      <c r="C8490" s="92" t="s">
        <v>17268</v>
      </c>
      <c r="D8490" s="72" t="str">
        <f>IFERROR(VLOOKUP(A8490,'[1]ST-QA-ZZ5'!$C$5:$M$299,11,0),"Inspection at production line")</f>
        <v>Sampling check</v>
      </c>
    </row>
    <row r="8491" spans="1:4" ht="13.8">
      <c r="A8491" s="47" t="s">
        <v>17269</v>
      </c>
      <c r="B8491" s="92" t="s">
        <v>857</v>
      </c>
      <c r="C8491" s="92" t="s">
        <v>17270</v>
      </c>
      <c r="D8491" s="72" t="str">
        <f>IFERROR(VLOOKUP(A8491,'[1]ST-QA-ZZ5'!$C$5:$M$299,11,0),"Inspection at production line")</f>
        <v>Appearance check 100%</v>
      </c>
    </row>
    <row r="8492" spans="1:4" ht="13.8">
      <c r="A8492" s="47" t="s">
        <v>17271</v>
      </c>
      <c r="B8492" s="92" t="s">
        <v>17272</v>
      </c>
      <c r="C8492" s="92" t="s">
        <v>17273</v>
      </c>
      <c r="D8492" s="72" t="str">
        <f>IFERROR(VLOOKUP(A8492,'[1]ST-QA-ZZ5'!$C$5:$M$299,11,0),"Inspection at production line")</f>
        <v>Inspection at production line</v>
      </c>
    </row>
    <row r="8493" spans="1:4" ht="13.8">
      <c r="A8493" s="47" t="s">
        <v>17274</v>
      </c>
      <c r="B8493" s="92" t="s">
        <v>17275</v>
      </c>
      <c r="C8493" s="92" t="s">
        <v>5492</v>
      </c>
      <c r="D8493" s="72" t="str">
        <f>IFERROR(VLOOKUP(A8493,'[1]ST-QA-ZZ5'!$C$5:$M$299,11,0),"Inspection at production line")</f>
        <v>Inspection at production line</v>
      </c>
    </row>
    <row r="8494" spans="1:4" ht="13.8">
      <c r="A8494" s="47" t="s">
        <v>17276</v>
      </c>
      <c r="B8494" s="92" t="s">
        <v>17277</v>
      </c>
      <c r="C8494" s="92" t="s">
        <v>17278</v>
      </c>
      <c r="D8494" s="72" t="str">
        <f>IFERROR(VLOOKUP(A8494,'[1]ST-QA-ZZ5'!$C$5:$M$299,11,0),"Inspection at production line")</f>
        <v>Inspection at production line</v>
      </c>
    </row>
    <row r="8495" spans="1:4" ht="13.8">
      <c r="A8495" s="47" t="s">
        <v>17279</v>
      </c>
      <c r="B8495" s="92" t="s">
        <v>17280</v>
      </c>
      <c r="C8495" s="92" t="s">
        <v>5498</v>
      </c>
      <c r="D8495" s="72" t="str">
        <f>IFERROR(VLOOKUP(A8495,'[1]ST-QA-ZZ5'!$C$5:$M$299,11,0),"Inspection at production line")</f>
        <v>Inspection at production line</v>
      </c>
    </row>
    <row r="8496" spans="1:4" ht="13.8">
      <c r="A8496" s="47" t="s">
        <v>17281</v>
      </c>
      <c r="B8496" s="92" t="s">
        <v>17282</v>
      </c>
      <c r="C8496" s="92" t="s">
        <v>17283</v>
      </c>
      <c r="D8496" s="72" t="str">
        <f>IFERROR(VLOOKUP(A8496,'[1]ST-QA-ZZ5'!$C$5:$M$299,11,0),"Inspection at production line")</f>
        <v>Inspection at production line</v>
      </c>
    </row>
    <row r="8497" spans="1:4" ht="13.8">
      <c r="A8497" s="47" t="s">
        <v>17284</v>
      </c>
      <c r="B8497" s="92" t="s">
        <v>17285</v>
      </c>
      <c r="C8497" s="92" t="s">
        <v>17286</v>
      </c>
      <c r="D8497" s="72" t="str">
        <f>IFERROR(VLOOKUP(A8497,'[1]ST-QA-ZZ5'!$C$5:$M$299,11,0),"Inspection at production line")</f>
        <v>Inspection at production line</v>
      </c>
    </row>
    <row r="8498" spans="1:4" ht="13.8">
      <c r="A8498" s="47" t="s">
        <v>17287</v>
      </c>
      <c r="B8498" s="92" t="s">
        <v>17288</v>
      </c>
      <c r="C8498" s="92" t="s">
        <v>17289</v>
      </c>
      <c r="D8498" s="72" t="str">
        <f>IFERROR(VLOOKUP(A8498,'[1]ST-QA-ZZ5'!$C$5:$M$299,11,0),"Inspection at production line")</f>
        <v>Inspection at production line</v>
      </c>
    </row>
    <row r="8499" spans="1:4" ht="13.8">
      <c r="A8499" s="47" t="s">
        <v>17290</v>
      </c>
      <c r="B8499" s="92" t="s">
        <v>2438</v>
      </c>
      <c r="C8499" s="92" t="s">
        <v>5533</v>
      </c>
      <c r="D8499" s="72" t="str">
        <f>IFERROR(VLOOKUP(A8499,'[1]ST-QA-ZZ5'!$C$5:$M$299,11,0),"Inspection at production line")</f>
        <v>Inspection at production line</v>
      </c>
    </row>
    <row r="8500" spans="1:4" ht="13.8">
      <c r="A8500" s="47" t="s">
        <v>17291</v>
      </c>
      <c r="B8500" s="92" t="s">
        <v>17292</v>
      </c>
      <c r="C8500" s="92" t="s">
        <v>17293</v>
      </c>
      <c r="D8500" s="72" t="str">
        <f>IFERROR(VLOOKUP(A8500,'[1]ST-QA-ZZ5'!$C$5:$M$299,11,0),"Inspection at production line")</f>
        <v>Inspection at production line</v>
      </c>
    </row>
    <row r="8501" spans="1:4" ht="13.8">
      <c r="A8501" s="47" t="s">
        <v>17294</v>
      </c>
      <c r="B8501" s="92" t="s">
        <v>17295</v>
      </c>
      <c r="C8501" s="92" t="s">
        <v>17296</v>
      </c>
      <c r="D8501" s="72" t="str">
        <f>IFERROR(VLOOKUP(A8501,'[1]ST-QA-ZZ5'!$C$5:$M$299,11,0),"Inspection at production line")</f>
        <v>Inspection at production line</v>
      </c>
    </row>
    <row r="8502" spans="1:4" ht="13.8">
      <c r="A8502" s="47" t="s">
        <v>17297</v>
      </c>
      <c r="B8502" s="92" t="s">
        <v>17298</v>
      </c>
      <c r="C8502" s="92" t="s">
        <v>17299</v>
      </c>
      <c r="D8502" s="72" t="str">
        <f>IFERROR(VLOOKUP(A8502,'[1]ST-QA-ZZ5'!$C$5:$M$299,11,0),"Inspection at production line")</f>
        <v>Inspection at production line</v>
      </c>
    </row>
    <row r="8503" spans="1:4" ht="13.8">
      <c r="A8503" s="47" t="s">
        <v>17300</v>
      </c>
      <c r="B8503" s="92" t="s">
        <v>4956</v>
      </c>
      <c r="C8503" s="92" t="s">
        <v>5557</v>
      </c>
      <c r="D8503" s="72" t="str">
        <f>IFERROR(VLOOKUP(A8503,'[1]ST-QA-ZZ5'!$C$5:$M$299,11,0),"Inspection at production line")</f>
        <v>Inspection at production line</v>
      </c>
    </row>
    <row r="8504" spans="1:4" ht="13.8">
      <c r="A8504" s="47" t="s">
        <v>17301</v>
      </c>
      <c r="B8504" s="92" t="s">
        <v>17302</v>
      </c>
      <c r="C8504" s="92" t="s">
        <v>17303</v>
      </c>
      <c r="D8504" s="72" t="str">
        <f>IFERROR(VLOOKUP(A8504,'[1]ST-QA-ZZ5'!$C$5:$M$299,11,0),"Inspection at production line")</f>
        <v>Inspection at production line</v>
      </c>
    </row>
    <row r="8505" spans="1:4" ht="13.8">
      <c r="A8505" s="47" t="s">
        <v>17304</v>
      </c>
      <c r="B8505" s="92" t="s">
        <v>17305</v>
      </c>
      <c r="C8505" s="92" t="s">
        <v>17306</v>
      </c>
      <c r="D8505" s="72" t="str">
        <f>IFERROR(VLOOKUP(A8505,'[1]ST-QA-ZZ5'!$C$5:$M$299,11,0),"Inspection at production line")</f>
        <v>Inspection at production line</v>
      </c>
    </row>
    <row r="8506" spans="1:4" ht="13.8">
      <c r="A8506" s="47" t="s">
        <v>17307</v>
      </c>
      <c r="B8506" s="92" t="s">
        <v>5577</v>
      </c>
      <c r="C8506" s="92" t="s">
        <v>17308</v>
      </c>
      <c r="D8506" s="72" t="str">
        <f>IFERROR(VLOOKUP(A8506,'[1]ST-QA-ZZ5'!$C$5:$M$299,11,0),"Inspection at production line")</f>
        <v>Inspection at production line</v>
      </c>
    </row>
    <row r="8507" spans="1:4" ht="13.8">
      <c r="A8507" s="47" t="s">
        <v>17309</v>
      </c>
      <c r="B8507" s="92" t="s">
        <v>57</v>
      </c>
      <c r="C8507" s="92" t="s">
        <v>12792</v>
      </c>
      <c r="D8507" s="72" t="str">
        <f>IFERROR(VLOOKUP(A8507,'[1]ST-QA-ZZ5'!$C$5:$M$299,11,0),"Inspection at production line")</f>
        <v>Appearance check 100%</v>
      </c>
    </row>
    <row r="8508" spans="1:4" ht="13.8">
      <c r="A8508" s="47" t="s">
        <v>17310</v>
      </c>
      <c r="B8508" s="92" t="s">
        <v>57</v>
      </c>
      <c r="C8508" s="92" t="s">
        <v>17311</v>
      </c>
      <c r="D8508" s="72" t="str">
        <f>IFERROR(VLOOKUP(A8508,'[1]ST-QA-ZZ5'!$C$5:$M$299,11,0),"Inspection at production line")</f>
        <v>Appearance check 100%</v>
      </c>
    </row>
    <row r="8509" spans="1:4" ht="13.8">
      <c r="A8509" s="47" t="s">
        <v>17312</v>
      </c>
      <c r="B8509" s="92" t="s">
        <v>57</v>
      </c>
      <c r="C8509" s="92" t="s">
        <v>12796</v>
      </c>
      <c r="D8509" s="72" t="str">
        <f>IFERROR(VLOOKUP(A8509,'[1]ST-QA-ZZ5'!$C$5:$M$299,11,0),"Inspection at production line")</f>
        <v>Sampling check</v>
      </c>
    </row>
    <row r="8510" spans="1:4" ht="13.8">
      <c r="A8510" s="47" t="s">
        <v>17313</v>
      </c>
      <c r="B8510" s="92" t="s">
        <v>57</v>
      </c>
      <c r="C8510" s="92" t="s">
        <v>17314</v>
      </c>
      <c r="D8510" s="72" t="str">
        <f>IFERROR(VLOOKUP(A8510,'[1]ST-QA-ZZ5'!$C$5:$M$299,11,0),"Inspection at production line")</f>
        <v>Sampling check</v>
      </c>
    </row>
    <row r="8511" spans="1:4" ht="13.8">
      <c r="A8511" s="47" t="s">
        <v>17315</v>
      </c>
      <c r="B8511" s="92" t="s">
        <v>57</v>
      </c>
      <c r="C8511" s="92" t="s">
        <v>12800</v>
      </c>
      <c r="D8511" s="72" t="str">
        <f>IFERROR(VLOOKUP(A8511,'[1]ST-QA-ZZ5'!$C$5:$M$299,11,0),"Inspection at production line")</f>
        <v>Sampling check</v>
      </c>
    </row>
    <row r="8512" spans="1:4" ht="13.8">
      <c r="A8512" s="47" t="s">
        <v>17316</v>
      </c>
      <c r="B8512" s="92" t="s">
        <v>57</v>
      </c>
      <c r="C8512" s="92" t="s">
        <v>17317</v>
      </c>
      <c r="D8512" s="72" t="str">
        <f>IFERROR(VLOOKUP(A8512,'[1]ST-QA-ZZ5'!$C$5:$M$299,11,0),"Inspection at production line")</f>
        <v>Sampling check</v>
      </c>
    </row>
    <row r="8513" spans="1:4" ht="13.8">
      <c r="A8513" s="47" t="s">
        <v>17318</v>
      </c>
      <c r="B8513" s="92" t="s">
        <v>4075</v>
      </c>
      <c r="C8513" s="92" t="s">
        <v>12805</v>
      </c>
      <c r="D8513" s="72" t="str">
        <f>IFERROR(VLOOKUP(A8513,'[1]ST-QA-ZZ5'!$C$5:$M$299,11,0),"Inspection at production line")</f>
        <v>Sampling check</v>
      </c>
    </row>
    <row r="8514" spans="1:4" ht="13.8">
      <c r="A8514" s="47" t="s">
        <v>17319</v>
      </c>
      <c r="B8514" s="92" t="s">
        <v>6141</v>
      </c>
      <c r="C8514" s="92" t="s">
        <v>17320</v>
      </c>
      <c r="D8514" s="72" t="str">
        <f>IFERROR(VLOOKUP(A8514,'[1]ST-QA-ZZ5'!$C$5:$M$299,11,0),"Inspection at production line")</f>
        <v>Sampling check</v>
      </c>
    </row>
    <row r="8515" spans="1:4" ht="13.8">
      <c r="A8515" s="47" t="s">
        <v>17321</v>
      </c>
      <c r="B8515" s="92" t="s">
        <v>17322</v>
      </c>
      <c r="C8515" s="92" t="s">
        <v>12809</v>
      </c>
      <c r="D8515" s="72" t="str">
        <f>IFERROR(VLOOKUP(A8515,'[1]ST-QA-ZZ5'!$C$5:$M$299,11,0),"Inspection at production line")</f>
        <v>Sampling check</v>
      </c>
    </row>
    <row r="8516" spans="1:4" ht="13.8">
      <c r="A8516" s="47" t="s">
        <v>17323</v>
      </c>
      <c r="B8516" s="92" t="s">
        <v>17324</v>
      </c>
      <c r="C8516" s="92" t="s">
        <v>12813</v>
      </c>
      <c r="D8516" s="72" t="str">
        <f>IFERROR(VLOOKUP(A8516,'[1]ST-QA-ZZ5'!$C$5:$M$299,11,0),"Inspection at production line")</f>
        <v>Sampling check</v>
      </c>
    </row>
    <row r="8517" spans="1:4" ht="13.8">
      <c r="A8517" s="47" t="s">
        <v>17325</v>
      </c>
      <c r="B8517" s="92" t="s">
        <v>14956</v>
      </c>
      <c r="C8517" s="92" t="s">
        <v>12817</v>
      </c>
      <c r="D8517" s="72" t="str">
        <f>IFERROR(VLOOKUP(A8517,'[1]ST-QA-ZZ5'!$C$5:$M$299,11,0),"Inspection at production line")</f>
        <v>Sampling check</v>
      </c>
    </row>
    <row r="8518" spans="1:4" ht="13.8">
      <c r="A8518" s="47" t="s">
        <v>17326</v>
      </c>
      <c r="B8518" s="92" t="s">
        <v>1177</v>
      </c>
      <c r="C8518" s="92" t="s">
        <v>17327</v>
      </c>
      <c r="D8518" s="72" t="str">
        <f>IFERROR(VLOOKUP(A8518,'[1]ST-QA-ZZ5'!$C$5:$M$299,11,0),"Inspection at production line")</f>
        <v>Inspection at production line</v>
      </c>
    </row>
    <row r="8519" spans="1:4" ht="13.8">
      <c r="A8519" s="47" t="s">
        <v>17328</v>
      </c>
      <c r="B8519" s="92" t="s">
        <v>17329</v>
      </c>
      <c r="C8519" s="92" t="s">
        <v>17330</v>
      </c>
      <c r="D8519" s="72" t="str">
        <f>IFERROR(VLOOKUP(A8519,'[1]ST-QA-ZZ5'!$C$5:$M$299,11,0),"Inspection at production line")</f>
        <v>Inspection at production line</v>
      </c>
    </row>
    <row r="8520" spans="1:4" ht="13.8">
      <c r="A8520" s="47" t="s">
        <v>17331</v>
      </c>
      <c r="B8520" s="92" t="s">
        <v>857</v>
      </c>
      <c r="C8520" s="92" t="s">
        <v>17332</v>
      </c>
      <c r="D8520" s="72" t="str">
        <f>IFERROR(VLOOKUP(A8520,'[1]ST-QA-ZZ5'!$C$5:$M$299,11,0),"Inspection at production line")</f>
        <v>Inspection at production line</v>
      </c>
    </row>
    <row r="8521" spans="1:4" ht="13.8">
      <c r="A8521" s="47" t="s">
        <v>17333</v>
      </c>
      <c r="B8521" s="92" t="s">
        <v>857</v>
      </c>
      <c r="C8521" s="92" t="s">
        <v>17334</v>
      </c>
      <c r="D8521" s="72" t="str">
        <f>IFERROR(VLOOKUP(A8521,'[1]ST-QA-ZZ5'!$C$5:$M$299,11,0),"Inspection at production line")</f>
        <v>Inspection at production line</v>
      </c>
    </row>
    <row r="8522" spans="1:4" ht="13.8">
      <c r="A8522" s="47" t="s">
        <v>17335</v>
      </c>
      <c r="B8522" s="92" t="s">
        <v>857</v>
      </c>
      <c r="C8522" s="92" t="s">
        <v>17336</v>
      </c>
      <c r="D8522" s="72" t="str">
        <f>IFERROR(VLOOKUP(A8522,'[1]ST-QA-ZZ5'!$C$5:$M$299,11,0),"Inspection at production line")</f>
        <v>Inspection at production line</v>
      </c>
    </row>
    <row r="8523" spans="1:4" ht="13.8">
      <c r="A8523" s="47" t="s">
        <v>17337</v>
      </c>
      <c r="B8523" s="92" t="s">
        <v>857</v>
      </c>
      <c r="C8523" s="92" t="s">
        <v>15895</v>
      </c>
      <c r="D8523" s="72" t="str">
        <f>IFERROR(VLOOKUP(A8523,'[1]ST-QA-ZZ5'!$C$5:$M$299,11,0),"Inspection at production line")</f>
        <v>Inspection at production line</v>
      </c>
    </row>
    <row r="8524" spans="1:4" ht="13.8">
      <c r="A8524" s="47" t="s">
        <v>17338</v>
      </c>
      <c r="B8524" s="92" t="s">
        <v>857</v>
      </c>
      <c r="C8524" s="92" t="s">
        <v>17339</v>
      </c>
      <c r="D8524" s="72" t="str">
        <f>IFERROR(VLOOKUP(A8524,'[1]ST-QA-ZZ5'!$C$5:$M$299,11,0),"Inspection at production line")</f>
        <v>Inspection at production line</v>
      </c>
    </row>
    <row r="8525" spans="1:4" ht="13.8">
      <c r="A8525" s="47" t="s">
        <v>17340</v>
      </c>
      <c r="B8525" s="92" t="s">
        <v>15895</v>
      </c>
      <c r="C8525" s="92" t="s">
        <v>15895</v>
      </c>
      <c r="D8525" s="72" t="str">
        <f>IFERROR(VLOOKUP(A8525,'[1]ST-QA-ZZ5'!$C$5:$M$299,11,0),"Inspection at production line")</f>
        <v>Inspection at production line</v>
      </c>
    </row>
    <row r="8526" spans="1:4" ht="13.8">
      <c r="A8526" s="47" t="s">
        <v>17341</v>
      </c>
      <c r="B8526" s="92" t="s">
        <v>857</v>
      </c>
      <c r="C8526" s="92" t="s">
        <v>17342</v>
      </c>
      <c r="D8526" s="72" t="str">
        <f>IFERROR(VLOOKUP(A8526,'[1]ST-QA-ZZ5'!$C$5:$M$299,11,0),"Inspection at production line")</f>
        <v>Inspection at production line</v>
      </c>
    </row>
    <row r="8527" spans="1:4" ht="13.8">
      <c r="A8527" s="47" t="s">
        <v>17343</v>
      </c>
      <c r="B8527" s="92" t="s">
        <v>17344</v>
      </c>
      <c r="C8527" s="92" t="s">
        <v>17345</v>
      </c>
      <c r="D8527" s="72" t="str">
        <f>IFERROR(VLOOKUP(A8527,'[1]ST-QA-ZZ5'!$C$5:$M$299,11,0),"Inspection at production line")</f>
        <v>Inspection at production line</v>
      </c>
    </row>
    <row r="8528" spans="1:4" ht="13.8">
      <c r="A8528" s="47" t="s">
        <v>17346</v>
      </c>
      <c r="B8528" s="92" t="s">
        <v>17347</v>
      </c>
      <c r="C8528" s="92" t="s">
        <v>17348</v>
      </c>
      <c r="D8528" s="72" t="str">
        <f>IFERROR(VLOOKUP(A8528,'[1]ST-QA-ZZ5'!$C$5:$M$299,11,0),"Inspection at production line")</f>
        <v>Inspection at production line</v>
      </c>
    </row>
    <row r="8529" spans="1:4" ht="13.8">
      <c r="A8529" s="47" t="s">
        <v>17349</v>
      </c>
      <c r="B8529" s="92" t="s">
        <v>857</v>
      </c>
      <c r="C8529" s="92" t="s">
        <v>17350</v>
      </c>
      <c r="D8529" s="72" t="str">
        <f>IFERROR(VLOOKUP(A8529,'[1]ST-QA-ZZ5'!$C$5:$M$299,11,0),"Inspection at production line")</f>
        <v>Inspection at production line</v>
      </c>
    </row>
    <row r="8530" spans="1:4" ht="13.8">
      <c r="A8530" s="47" t="s">
        <v>17351</v>
      </c>
      <c r="B8530" s="92" t="s">
        <v>17352</v>
      </c>
      <c r="C8530" s="92" t="s">
        <v>17352</v>
      </c>
      <c r="D8530" s="72" t="str">
        <f>IFERROR(VLOOKUP(A8530,'[1]ST-QA-ZZ5'!$C$5:$M$299,11,0),"Inspection at production line")</f>
        <v>Inspection at production line</v>
      </c>
    </row>
    <row r="8531" spans="1:4" ht="13.8">
      <c r="A8531" s="47" t="s">
        <v>17353</v>
      </c>
      <c r="B8531" s="92" t="s">
        <v>17354</v>
      </c>
      <c r="C8531" s="92" t="s">
        <v>17354</v>
      </c>
      <c r="D8531" s="72" t="str">
        <f>IFERROR(VLOOKUP(A8531,'[1]ST-QA-ZZ5'!$C$5:$M$299,11,0),"Inspection at production line")</f>
        <v>Inspection at production line</v>
      </c>
    </row>
    <row r="8532" spans="1:4" ht="13.8">
      <c r="A8532" s="47" t="s">
        <v>17355</v>
      </c>
      <c r="B8532" s="92" t="s">
        <v>17356</v>
      </c>
      <c r="C8532" s="92" t="s">
        <v>17356</v>
      </c>
      <c r="D8532" s="72" t="str">
        <f>IFERROR(VLOOKUP(A8532,'[1]ST-QA-ZZ5'!$C$5:$M$299,11,0),"Inspection at production line")</f>
        <v>Inspection at production line</v>
      </c>
    </row>
    <row r="8533" spans="1:4" ht="13.8">
      <c r="A8533" s="47" t="s">
        <v>17357</v>
      </c>
      <c r="B8533" s="92" t="s">
        <v>857</v>
      </c>
      <c r="C8533" s="92" t="s">
        <v>17358</v>
      </c>
      <c r="D8533" s="72" t="str">
        <f>IFERROR(VLOOKUP(A8533,'[1]ST-QA-ZZ5'!$C$5:$M$299,11,0),"Inspection at production line")</f>
        <v>Inspection at production line</v>
      </c>
    </row>
    <row r="8534" spans="1:4" ht="13.8">
      <c r="A8534" s="47" t="s">
        <v>17359</v>
      </c>
      <c r="B8534" s="92" t="s">
        <v>2765</v>
      </c>
      <c r="C8534" s="92" t="s">
        <v>17360</v>
      </c>
      <c r="D8534" s="72" t="str">
        <f>IFERROR(VLOOKUP(A8534,'[1]ST-QA-ZZ5'!$C$5:$M$299,11,0),"Inspection at production line")</f>
        <v>Inspection at production line</v>
      </c>
    </row>
    <row r="8535" spans="1:4" ht="13.8">
      <c r="A8535" s="47" t="s">
        <v>17361</v>
      </c>
      <c r="B8535" s="92" t="s">
        <v>17362</v>
      </c>
      <c r="C8535" s="92" t="s">
        <v>17362</v>
      </c>
      <c r="D8535" s="72" t="str">
        <f>IFERROR(VLOOKUP(A8535,'[1]ST-QA-ZZ5'!$C$5:$M$299,11,0),"Inspection at production line")</f>
        <v>Inspection at production line</v>
      </c>
    </row>
    <row r="8536" spans="1:4" ht="13.8">
      <c r="A8536" s="47" t="s">
        <v>17363</v>
      </c>
      <c r="B8536" s="92" t="s">
        <v>17364</v>
      </c>
      <c r="C8536" s="92" t="s">
        <v>17365</v>
      </c>
      <c r="D8536" s="72" t="str">
        <f>IFERROR(VLOOKUP(A8536,'[1]ST-QA-ZZ5'!$C$5:$M$299,11,0),"Inspection at production line")</f>
        <v>Inspection at production line</v>
      </c>
    </row>
    <row r="8537" spans="1:4" ht="13.8">
      <c r="A8537" s="47" t="s">
        <v>17366</v>
      </c>
      <c r="B8537" s="92" t="s">
        <v>17367</v>
      </c>
      <c r="C8537" s="92" t="s">
        <v>17367</v>
      </c>
      <c r="D8537" s="72" t="str">
        <f>IFERROR(VLOOKUP(A8537,'[1]ST-QA-ZZ5'!$C$5:$M$299,11,0),"Inspection at production line")</f>
        <v>Inspection at production line</v>
      </c>
    </row>
    <row r="8538" spans="1:4" ht="13.8">
      <c r="A8538" s="47" t="s">
        <v>17368</v>
      </c>
      <c r="B8538" s="92" t="s">
        <v>2435</v>
      </c>
      <c r="C8538" s="92" t="s">
        <v>17369</v>
      </c>
      <c r="D8538" s="72" t="str">
        <f>IFERROR(VLOOKUP(A8538,'[1]ST-QA-ZZ5'!$C$5:$M$299,11,0),"Inspection at production line")</f>
        <v>Inspection at production line</v>
      </c>
    </row>
    <row r="8539" spans="1:4" ht="13.8">
      <c r="A8539" s="47" t="s">
        <v>17370</v>
      </c>
      <c r="B8539" s="92" t="s">
        <v>3644</v>
      </c>
      <c r="C8539" s="92" t="s">
        <v>17371</v>
      </c>
      <c r="D8539" s="72" t="str">
        <f>IFERROR(VLOOKUP(A8539,'[1]ST-QA-ZZ5'!$C$5:$M$299,11,0),"Inspection at production line")</f>
        <v>Inspection at production line</v>
      </c>
    </row>
    <row r="8540" spans="1:4" ht="13.8">
      <c r="A8540" s="47" t="s">
        <v>17372</v>
      </c>
      <c r="B8540" s="92" t="s">
        <v>3644</v>
      </c>
      <c r="C8540" s="92" t="s">
        <v>17373</v>
      </c>
      <c r="D8540" s="72" t="str">
        <f>IFERROR(VLOOKUP(A8540,'[1]ST-QA-ZZ5'!$C$5:$M$299,11,0),"Inspection at production line")</f>
        <v>Inspection at production line</v>
      </c>
    </row>
    <row r="8541" spans="1:4" ht="13.8">
      <c r="A8541" s="47" t="s">
        <v>17374</v>
      </c>
      <c r="B8541" s="92" t="s">
        <v>12057</v>
      </c>
      <c r="C8541" s="92" t="s">
        <v>17375</v>
      </c>
      <c r="D8541" s="72" t="str">
        <f>IFERROR(VLOOKUP(A8541,'[1]ST-QA-ZZ5'!$C$5:$M$299,11,0),"Inspection at production line")</f>
        <v>Inspection at production line</v>
      </c>
    </row>
    <row r="8542" spans="1:4" ht="13.8">
      <c r="A8542" s="47" t="s">
        <v>17376</v>
      </c>
      <c r="B8542" s="92" t="s">
        <v>17377</v>
      </c>
      <c r="C8542" s="92" t="s">
        <v>17378</v>
      </c>
      <c r="D8542" s="72" t="str">
        <f>IFERROR(VLOOKUP(A8542,'[1]ST-QA-ZZ5'!$C$5:$M$299,11,0),"Inspection at production line")</f>
        <v>Inspection at production line</v>
      </c>
    </row>
    <row r="8543" spans="1:4" ht="13.8">
      <c r="A8543" s="47" t="s">
        <v>17379</v>
      </c>
      <c r="B8543" s="92" t="s">
        <v>17380</v>
      </c>
      <c r="C8543" s="92" t="s">
        <v>17381</v>
      </c>
      <c r="D8543" s="72" t="str">
        <f>IFERROR(VLOOKUP(A8543,'[1]ST-QA-ZZ5'!$C$5:$M$299,11,0),"Inspection at production line")</f>
        <v>Inspection at production line</v>
      </c>
    </row>
    <row r="8544" spans="1:4" ht="13.8">
      <c r="A8544" s="47" t="s">
        <v>17382</v>
      </c>
      <c r="B8544" s="92" t="s">
        <v>17383</v>
      </c>
      <c r="C8544" s="92" t="s">
        <v>17383</v>
      </c>
      <c r="D8544" s="72" t="str">
        <f>IFERROR(VLOOKUP(A8544,'[1]ST-QA-ZZ5'!$C$5:$M$299,11,0),"Inspection at production line")</f>
        <v>Inspection at production line</v>
      </c>
    </row>
    <row r="8545" spans="1:4" ht="13.8">
      <c r="A8545" s="47" t="s">
        <v>17384</v>
      </c>
      <c r="B8545" s="92" t="s">
        <v>17385</v>
      </c>
      <c r="C8545" s="92" t="s">
        <v>17385</v>
      </c>
      <c r="D8545" s="72" t="str">
        <f>IFERROR(VLOOKUP(A8545,'[1]ST-QA-ZZ5'!$C$5:$M$299,11,0),"Inspection at production line")</f>
        <v>Inspection at production line</v>
      </c>
    </row>
    <row r="8546" spans="1:4" ht="13.8">
      <c r="A8546" s="47" t="s">
        <v>17386</v>
      </c>
      <c r="B8546" s="92" t="s">
        <v>17387</v>
      </c>
      <c r="C8546" s="92" t="s">
        <v>17388</v>
      </c>
      <c r="D8546" s="72" t="str">
        <f>IFERROR(VLOOKUP(A8546,'[1]ST-QA-ZZ5'!$C$5:$M$299,11,0),"Inspection at production line")</f>
        <v>Inspection at production line</v>
      </c>
    </row>
    <row r="8547" spans="1:4" ht="13.8">
      <c r="A8547" s="47" t="s">
        <v>17389</v>
      </c>
      <c r="B8547" s="92" t="s">
        <v>17390</v>
      </c>
      <c r="C8547" s="92" t="s">
        <v>17390</v>
      </c>
      <c r="D8547" s="72" t="str">
        <f>IFERROR(VLOOKUP(A8547,'[1]ST-QA-ZZ5'!$C$5:$M$299,11,0),"Inspection at production line")</f>
        <v>Inspection at production line</v>
      </c>
    </row>
    <row r="8548" spans="1:4" ht="13.8">
      <c r="A8548" s="47" t="s">
        <v>17391</v>
      </c>
      <c r="B8548" s="92" t="s">
        <v>17392</v>
      </c>
      <c r="C8548" s="92" t="s">
        <v>17392</v>
      </c>
      <c r="D8548" s="72" t="str">
        <f>IFERROR(VLOOKUP(A8548,'[1]ST-QA-ZZ5'!$C$5:$M$299,11,0),"Inspection at production line")</f>
        <v>Inspection at production line</v>
      </c>
    </row>
    <row r="8549" spans="1:4" ht="13.8">
      <c r="A8549" s="47" t="s">
        <v>17393</v>
      </c>
      <c r="B8549" s="92" t="s">
        <v>17394</v>
      </c>
      <c r="C8549" s="92" t="s">
        <v>17394</v>
      </c>
      <c r="D8549" s="72" t="str">
        <f>IFERROR(VLOOKUP(A8549,'[1]ST-QA-ZZ5'!$C$5:$M$299,11,0),"Inspection at production line")</f>
        <v>Inspection at production line</v>
      </c>
    </row>
    <row r="8550" spans="1:4" ht="13.8">
      <c r="A8550" s="47" t="s">
        <v>17395</v>
      </c>
      <c r="B8550" s="92" t="s">
        <v>17396</v>
      </c>
      <c r="C8550" s="92" t="s">
        <v>17396</v>
      </c>
      <c r="D8550" s="72" t="str">
        <f>IFERROR(VLOOKUP(A8550,'[1]ST-QA-ZZ5'!$C$5:$M$299,11,0),"Inspection at production line")</f>
        <v>Inspection at production line</v>
      </c>
    </row>
    <row r="8551" spans="1:4" ht="13.8">
      <c r="A8551" s="47" t="s">
        <v>17397</v>
      </c>
      <c r="B8551" s="92" t="s">
        <v>17398</v>
      </c>
      <c r="C8551" s="92" t="s">
        <v>17398</v>
      </c>
      <c r="D8551" s="72" t="str">
        <f>IFERROR(VLOOKUP(A8551,'[1]ST-QA-ZZ5'!$C$5:$M$299,11,0),"Inspection at production line")</f>
        <v>Inspection at production line</v>
      </c>
    </row>
    <row r="8552" spans="1:4" ht="13.8">
      <c r="A8552" s="47" t="s">
        <v>17399</v>
      </c>
      <c r="B8552" s="92" t="s">
        <v>17400</v>
      </c>
      <c r="C8552" s="92" t="s">
        <v>17401</v>
      </c>
      <c r="D8552" s="72" t="str">
        <f>IFERROR(VLOOKUP(A8552,'[1]ST-QA-ZZ5'!$C$5:$M$299,11,0),"Inspection at production line")</f>
        <v>Inspection at production line</v>
      </c>
    </row>
    <row r="8553" spans="1:4" ht="13.8">
      <c r="A8553" s="47" t="s">
        <v>17402</v>
      </c>
      <c r="B8553" s="92" t="s">
        <v>17403</v>
      </c>
      <c r="C8553" s="92" t="s">
        <v>17404</v>
      </c>
      <c r="D8553" s="72" t="str">
        <f>IFERROR(VLOOKUP(A8553,'[1]ST-QA-ZZ5'!$C$5:$M$299,11,0),"Inspection at production line")</f>
        <v>Inspection at production line</v>
      </c>
    </row>
    <row r="8554" spans="1:4" ht="13.8">
      <c r="A8554" s="47" t="s">
        <v>17405</v>
      </c>
      <c r="B8554" s="92" t="s">
        <v>17406</v>
      </c>
      <c r="C8554" s="92" t="s">
        <v>17406</v>
      </c>
      <c r="D8554" s="72" t="str">
        <f>IFERROR(VLOOKUP(A8554,'[1]ST-QA-ZZ5'!$C$5:$M$299,11,0),"Inspection at production line")</f>
        <v>Inspection at production line</v>
      </c>
    </row>
    <row r="8555" spans="1:4" ht="13.8">
      <c r="A8555" s="47" t="s">
        <v>17407</v>
      </c>
      <c r="B8555" s="92" t="s">
        <v>1543</v>
      </c>
      <c r="C8555" s="92" t="s">
        <v>17408</v>
      </c>
      <c r="D8555" s="72" t="str">
        <f>IFERROR(VLOOKUP(A8555,'[1]ST-QA-ZZ5'!$C$5:$M$299,11,0),"Inspection at production line")</f>
        <v>Inspection at production line</v>
      </c>
    </row>
    <row r="8556" spans="1:4" ht="13.8">
      <c r="A8556" s="47" t="s">
        <v>17409</v>
      </c>
      <c r="B8556" s="92" t="s">
        <v>17410</v>
      </c>
      <c r="C8556" s="92" t="s">
        <v>17410</v>
      </c>
      <c r="D8556" s="72" t="str">
        <f>IFERROR(VLOOKUP(A8556,'[1]ST-QA-ZZ5'!$C$5:$M$299,11,0),"Inspection at production line")</f>
        <v>Inspection at production line</v>
      </c>
    </row>
    <row r="8557" spans="1:4" ht="13.8">
      <c r="A8557" s="47" t="s">
        <v>17411</v>
      </c>
      <c r="B8557" s="92" t="s">
        <v>17412</v>
      </c>
      <c r="C8557" s="92" t="s">
        <v>17412</v>
      </c>
      <c r="D8557" s="72" t="str">
        <f>IFERROR(VLOOKUP(A8557,'[1]ST-QA-ZZ5'!$C$5:$M$299,11,0),"Inspection at production line")</f>
        <v>Inspection at production line</v>
      </c>
    </row>
    <row r="8558" spans="1:4" ht="13.8">
      <c r="A8558" s="47" t="s">
        <v>17413</v>
      </c>
      <c r="B8558" s="92" t="s">
        <v>17414</v>
      </c>
      <c r="C8558" s="92" t="s">
        <v>17414</v>
      </c>
      <c r="D8558" s="72" t="str">
        <f>IFERROR(VLOOKUP(A8558,'[1]ST-QA-ZZ5'!$C$5:$M$299,11,0),"Inspection at production line")</f>
        <v>Inspection at production line</v>
      </c>
    </row>
    <row r="8559" spans="1:4" ht="13.8">
      <c r="A8559" s="47" t="s">
        <v>17415</v>
      </c>
      <c r="B8559" s="92" t="s">
        <v>17416</v>
      </c>
      <c r="C8559" s="92" t="s">
        <v>17416</v>
      </c>
      <c r="D8559" s="72" t="str">
        <f>IFERROR(VLOOKUP(A8559,'[1]ST-QA-ZZ5'!$C$5:$M$299,11,0),"Inspection at production line")</f>
        <v>Inspection at production line</v>
      </c>
    </row>
    <row r="8560" spans="1:4" ht="13.8">
      <c r="A8560" s="47" t="s">
        <v>17417</v>
      </c>
      <c r="B8560" s="92" t="s">
        <v>17418</v>
      </c>
      <c r="C8560" s="92" t="s">
        <v>17419</v>
      </c>
      <c r="D8560" s="72" t="str">
        <f>IFERROR(VLOOKUP(A8560,'[1]ST-QA-ZZ5'!$C$5:$M$299,11,0),"Inspection at production line")</f>
        <v>Inspection at production line</v>
      </c>
    </row>
    <row r="8561" spans="1:4" ht="13.8">
      <c r="A8561" s="47" t="s">
        <v>17420</v>
      </c>
      <c r="B8561" s="92" t="s">
        <v>17421</v>
      </c>
      <c r="C8561" s="92" t="s">
        <v>17422</v>
      </c>
      <c r="D8561" s="72" t="str">
        <f>IFERROR(VLOOKUP(A8561,'[1]ST-QA-ZZ5'!$C$5:$M$299,11,0),"Inspection at production line")</f>
        <v>Inspection at production line</v>
      </c>
    </row>
    <row r="8562" spans="1:4" ht="13.8">
      <c r="A8562" s="47" t="s">
        <v>17423</v>
      </c>
      <c r="B8562" s="92" t="s">
        <v>17421</v>
      </c>
      <c r="C8562" s="92" t="s">
        <v>17424</v>
      </c>
      <c r="D8562" s="72" t="str">
        <f>IFERROR(VLOOKUP(A8562,'[1]ST-QA-ZZ5'!$C$5:$M$299,11,0),"Inspection at production line")</f>
        <v>Inspection at production line</v>
      </c>
    </row>
    <row r="8563" spans="1:4" ht="13.8">
      <c r="A8563" s="47" t="s">
        <v>17425</v>
      </c>
      <c r="B8563" s="92" t="s">
        <v>17421</v>
      </c>
      <c r="C8563" s="92" t="s">
        <v>17426</v>
      </c>
      <c r="D8563" s="72" t="str">
        <f>IFERROR(VLOOKUP(A8563,'[1]ST-QA-ZZ5'!$C$5:$M$299,11,0),"Inspection at production line")</f>
        <v>Inspection at production line</v>
      </c>
    </row>
    <row r="8564" spans="1:4" ht="13.8">
      <c r="A8564" s="47" t="s">
        <v>17427</v>
      </c>
      <c r="B8564" s="92" t="s">
        <v>17421</v>
      </c>
      <c r="C8564" s="92" t="s">
        <v>17428</v>
      </c>
      <c r="D8564" s="72" t="str">
        <f>IFERROR(VLOOKUP(A8564,'[1]ST-QA-ZZ5'!$C$5:$M$299,11,0),"Inspection at production line")</f>
        <v>Inspection at production line</v>
      </c>
    </row>
    <row r="8565" spans="1:4" ht="13.8">
      <c r="A8565" s="47" t="s">
        <v>17429</v>
      </c>
      <c r="B8565" s="92" t="s">
        <v>17418</v>
      </c>
      <c r="C8565" s="92" t="s">
        <v>17430</v>
      </c>
      <c r="D8565" s="72" t="str">
        <f>IFERROR(VLOOKUP(A8565,'[1]ST-QA-ZZ5'!$C$5:$M$299,11,0),"Inspection at production line")</f>
        <v>Inspection at production line</v>
      </c>
    </row>
    <row r="8566" spans="1:4" ht="13.8">
      <c r="A8566" s="47" t="s">
        <v>17431</v>
      </c>
      <c r="B8566" s="92" t="s">
        <v>17418</v>
      </c>
      <c r="C8566" s="92" t="s">
        <v>17432</v>
      </c>
      <c r="D8566" s="72" t="str">
        <f>IFERROR(VLOOKUP(A8566,'[1]ST-QA-ZZ5'!$C$5:$M$299,11,0),"Inspection at production line")</f>
        <v>Inspection at production line</v>
      </c>
    </row>
    <row r="8567" spans="1:4" ht="13.8">
      <c r="A8567" s="47" t="s">
        <v>17433</v>
      </c>
      <c r="B8567" s="92" t="s">
        <v>17418</v>
      </c>
      <c r="C8567" s="92" t="s">
        <v>17434</v>
      </c>
      <c r="D8567" s="72" t="str">
        <f>IFERROR(VLOOKUP(A8567,'[1]ST-QA-ZZ5'!$C$5:$M$299,11,0),"Inspection at production line")</f>
        <v>Inspection at production line</v>
      </c>
    </row>
    <row r="8568" spans="1:4" ht="13.8">
      <c r="A8568" s="47" t="s">
        <v>17435</v>
      </c>
      <c r="B8568" s="92" t="s">
        <v>17418</v>
      </c>
      <c r="C8568" s="92" t="s">
        <v>17436</v>
      </c>
      <c r="D8568" s="72" t="str">
        <f>IFERROR(VLOOKUP(A8568,'[1]ST-QA-ZZ5'!$C$5:$M$299,11,0),"Inspection at production line")</f>
        <v>Inspection at production line</v>
      </c>
    </row>
    <row r="8569" spans="1:4" ht="13.8">
      <c r="A8569" s="47" t="s">
        <v>17437</v>
      </c>
      <c r="B8569" s="92" t="s">
        <v>17438</v>
      </c>
      <c r="C8569" s="92" t="s">
        <v>17439</v>
      </c>
      <c r="D8569" s="72" t="str">
        <f>IFERROR(VLOOKUP(A8569,'[1]ST-QA-ZZ5'!$C$5:$M$299,11,0),"Inspection at production line")</f>
        <v>Inspection at production line</v>
      </c>
    </row>
    <row r="8570" spans="1:4" ht="13.8">
      <c r="A8570" s="47" t="s">
        <v>17440</v>
      </c>
      <c r="B8570" s="92" t="s">
        <v>17441</v>
      </c>
      <c r="C8570" s="92" t="s">
        <v>17441</v>
      </c>
      <c r="D8570" s="72" t="str">
        <f>IFERROR(VLOOKUP(A8570,'[1]ST-QA-ZZ5'!$C$5:$M$299,11,0),"Inspection at production line")</f>
        <v>Inspection at production line</v>
      </c>
    </row>
    <row r="8571" spans="1:4" ht="13.8">
      <c r="A8571" s="47" t="s">
        <v>17442</v>
      </c>
      <c r="B8571" s="92" t="s">
        <v>17418</v>
      </c>
      <c r="C8571" s="92" t="s">
        <v>17443</v>
      </c>
      <c r="D8571" s="72" t="str">
        <f>IFERROR(VLOOKUP(A8571,'[1]ST-QA-ZZ5'!$C$5:$M$299,11,0),"Inspection at production line")</f>
        <v>Inspection at production line</v>
      </c>
    </row>
    <row r="8572" spans="1:4" ht="13.8">
      <c r="A8572" s="47" t="s">
        <v>17444</v>
      </c>
      <c r="B8572" s="92" t="s">
        <v>17445</v>
      </c>
      <c r="C8572" s="92" t="s">
        <v>17445</v>
      </c>
      <c r="D8572" s="72" t="str">
        <f>IFERROR(VLOOKUP(A8572,'[1]ST-QA-ZZ5'!$C$5:$M$299,11,0),"Inspection at production line")</f>
        <v>Inspection at production line</v>
      </c>
    </row>
    <row r="8573" spans="1:4" ht="13.8">
      <c r="A8573" s="47" t="s">
        <v>17446</v>
      </c>
      <c r="B8573" s="92" t="s">
        <v>17418</v>
      </c>
      <c r="C8573" s="92" t="s">
        <v>17447</v>
      </c>
      <c r="D8573" s="72" t="str">
        <f>IFERROR(VLOOKUP(A8573,'[1]ST-QA-ZZ5'!$C$5:$M$299,11,0),"Inspection at production line")</f>
        <v>Inspection at production line</v>
      </c>
    </row>
    <row r="8574" spans="1:4" ht="13.8">
      <c r="A8574" s="47" t="s">
        <v>17448</v>
      </c>
      <c r="B8574" s="92" t="s">
        <v>17418</v>
      </c>
      <c r="C8574" s="92" t="s">
        <v>17449</v>
      </c>
      <c r="D8574" s="72" t="str">
        <f>IFERROR(VLOOKUP(A8574,'[1]ST-QA-ZZ5'!$C$5:$M$299,11,0),"Inspection at production line")</f>
        <v>Inspection at production line</v>
      </c>
    </row>
    <row r="8575" spans="1:4" ht="13.8">
      <c r="A8575" s="47" t="s">
        <v>17450</v>
      </c>
      <c r="B8575" s="92" t="s">
        <v>17418</v>
      </c>
      <c r="C8575" s="92" t="s">
        <v>17451</v>
      </c>
      <c r="D8575" s="72" t="str">
        <f>IFERROR(VLOOKUP(A8575,'[1]ST-QA-ZZ5'!$C$5:$M$299,11,0),"Inspection at production line")</f>
        <v>Inspection at production line</v>
      </c>
    </row>
    <row r="8576" spans="1:4" ht="13.8">
      <c r="A8576" s="47" t="s">
        <v>17452</v>
      </c>
      <c r="B8576" s="92" t="s">
        <v>17418</v>
      </c>
      <c r="C8576" s="92" t="s">
        <v>17453</v>
      </c>
      <c r="D8576" s="72" t="str">
        <f>IFERROR(VLOOKUP(A8576,'[1]ST-QA-ZZ5'!$C$5:$M$299,11,0),"Inspection at production line")</f>
        <v>Inspection at production line</v>
      </c>
    </row>
    <row r="8577" spans="1:4" ht="13.8">
      <c r="A8577" s="47" t="s">
        <v>17454</v>
      </c>
      <c r="B8577" s="92" t="s">
        <v>17455</v>
      </c>
      <c r="C8577" s="92" t="s">
        <v>17456</v>
      </c>
      <c r="D8577" s="72" t="str">
        <f>IFERROR(VLOOKUP(A8577,'[1]ST-QA-ZZ5'!$C$5:$M$299,11,0),"Inspection at production line")</f>
        <v>Inspection at production line</v>
      </c>
    </row>
    <row r="8578" spans="1:4" ht="13.8">
      <c r="A8578" s="47" t="s">
        <v>17457</v>
      </c>
      <c r="B8578" s="92" t="s">
        <v>17458</v>
      </c>
      <c r="C8578" s="92" t="s">
        <v>17459</v>
      </c>
      <c r="D8578" s="72" t="str">
        <f>IFERROR(VLOOKUP(A8578,'[1]ST-QA-ZZ5'!$C$5:$M$299,11,0),"Inspection at production line")</f>
        <v>Inspection at production line</v>
      </c>
    </row>
    <row r="8579" spans="1:4" ht="13.8">
      <c r="A8579" s="47" t="s">
        <v>17460</v>
      </c>
      <c r="B8579" s="92" t="s">
        <v>17418</v>
      </c>
      <c r="C8579" s="92" t="s">
        <v>17461</v>
      </c>
      <c r="D8579" s="72" t="str">
        <f>IFERROR(VLOOKUP(A8579,'[1]ST-QA-ZZ5'!$C$5:$M$299,11,0),"Inspection at production line")</f>
        <v>Inspection at production line</v>
      </c>
    </row>
    <row r="8580" spans="1:4" ht="13.8">
      <c r="A8580" s="47" t="s">
        <v>17462</v>
      </c>
      <c r="B8580" s="92" t="s">
        <v>17418</v>
      </c>
      <c r="C8580" s="92" t="s">
        <v>17463</v>
      </c>
      <c r="D8580" s="72" t="str">
        <f>IFERROR(VLOOKUP(A8580,'[1]ST-QA-ZZ5'!$C$5:$M$299,11,0),"Inspection at production line")</f>
        <v>Inspection at production line</v>
      </c>
    </row>
    <row r="8581" spans="1:4" ht="13.8">
      <c r="A8581" s="47" t="s">
        <v>17464</v>
      </c>
      <c r="B8581" s="92" t="s">
        <v>17418</v>
      </c>
      <c r="C8581" s="92" t="s">
        <v>17465</v>
      </c>
      <c r="D8581" s="72" t="str">
        <f>IFERROR(VLOOKUP(A8581,'[1]ST-QA-ZZ5'!$C$5:$M$299,11,0),"Inspection at production line")</f>
        <v>Inspection at production line</v>
      </c>
    </row>
    <row r="8582" spans="1:4" ht="13.8">
      <c r="A8582" s="47" t="s">
        <v>17466</v>
      </c>
      <c r="B8582" s="92" t="s">
        <v>17467</v>
      </c>
      <c r="C8582" s="92" t="s">
        <v>17468</v>
      </c>
      <c r="D8582" s="72" t="str">
        <f>IFERROR(VLOOKUP(A8582,'[1]ST-QA-ZZ5'!$C$5:$M$299,11,0),"Inspection at production line")</f>
        <v>Inspection at production line</v>
      </c>
    </row>
    <row r="8583" spans="1:4" ht="13.8">
      <c r="A8583" s="47" t="s">
        <v>17469</v>
      </c>
      <c r="B8583" s="92" t="s">
        <v>17418</v>
      </c>
      <c r="C8583" s="92" t="s">
        <v>17470</v>
      </c>
      <c r="D8583" s="72" t="str">
        <f>IFERROR(VLOOKUP(A8583,'[1]ST-QA-ZZ5'!$C$5:$M$299,11,0),"Inspection at production line")</f>
        <v>Inspection at production line</v>
      </c>
    </row>
    <row r="8584" spans="1:4" ht="13.8">
      <c r="A8584" s="47" t="s">
        <v>17471</v>
      </c>
      <c r="B8584" s="92" t="s">
        <v>17418</v>
      </c>
      <c r="C8584" s="92" t="s">
        <v>17472</v>
      </c>
      <c r="D8584" s="72" t="str">
        <f>IFERROR(VLOOKUP(A8584,'[1]ST-QA-ZZ5'!$C$5:$M$299,11,0),"Inspection at production line")</f>
        <v>Inspection at production line</v>
      </c>
    </row>
    <row r="8585" spans="1:4" ht="13.8">
      <c r="A8585" s="47" t="s">
        <v>17473</v>
      </c>
      <c r="B8585" s="92" t="s">
        <v>17418</v>
      </c>
      <c r="C8585" s="92" t="s">
        <v>17474</v>
      </c>
      <c r="D8585" s="72" t="str">
        <f>IFERROR(VLOOKUP(A8585,'[1]ST-QA-ZZ5'!$C$5:$M$299,11,0),"Inspection at production line")</f>
        <v>Inspection at production line</v>
      </c>
    </row>
    <row r="8586" spans="1:4" ht="13.8">
      <c r="A8586" s="47" t="s">
        <v>17475</v>
      </c>
      <c r="B8586" s="92" t="s">
        <v>17476</v>
      </c>
      <c r="C8586" s="92" t="s">
        <v>17477</v>
      </c>
      <c r="D8586" s="72" t="str">
        <f>IFERROR(VLOOKUP(A8586,'[1]ST-QA-ZZ5'!$C$5:$M$299,11,0),"Inspection at production line")</f>
        <v>Inspection at production line</v>
      </c>
    </row>
    <row r="8587" spans="1:4" ht="13.8">
      <c r="A8587" s="47" t="s">
        <v>17478</v>
      </c>
      <c r="B8587" s="92" t="s">
        <v>17418</v>
      </c>
      <c r="C8587" s="92" t="s">
        <v>17479</v>
      </c>
      <c r="D8587" s="72" t="str">
        <f>IFERROR(VLOOKUP(A8587,'[1]ST-QA-ZZ5'!$C$5:$M$299,11,0),"Inspection at production line")</f>
        <v>Inspection at production line</v>
      </c>
    </row>
    <row r="8588" spans="1:4" ht="13.8">
      <c r="A8588" s="47" t="s">
        <v>17480</v>
      </c>
      <c r="B8588" s="92" t="s">
        <v>17481</v>
      </c>
      <c r="C8588" s="92" t="s">
        <v>17482</v>
      </c>
      <c r="D8588" s="72" t="str">
        <f>IFERROR(VLOOKUP(A8588,'[1]ST-QA-ZZ5'!$C$5:$M$299,11,0),"Inspection at production line")</f>
        <v>Inspection at production line</v>
      </c>
    </row>
    <row r="8589" spans="1:4" ht="13.8">
      <c r="A8589" s="47" t="s">
        <v>17483</v>
      </c>
      <c r="B8589" s="92" t="s">
        <v>17418</v>
      </c>
      <c r="C8589" s="92" t="s">
        <v>17484</v>
      </c>
      <c r="D8589" s="72" t="str">
        <f>IFERROR(VLOOKUP(A8589,'[1]ST-QA-ZZ5'!$C$5:$M$299,11,0),"Inspection at production line")</f>
        <v>Inspection at production line</v>
      </c>
    </row>
    <row r="8590" spans="1:4" ht="13.8">
      <c r="A8590" s="47" t="s">
        <v>17485</v>
      </c>
      <c r="B8590" s="92" t="s">
        <v>17486</v>
      </c>
      <c r="C8590" s="92" t="s">
        <v>17486</v>
      </c>
      <c r="D8590" s="72" t="str">
        <f>IFERROR(VLOOKUP(A8590,'[1]ST-QA-ZZ5'!$C$5:$M$299,11,0),"Inspection at production line")</f>
        <v>Inspection at production line</v>
      </c>
    </row>
    <row r="8591" spans="1:4" ht="13.8">
      <c r="A8591" s="47" t="s">
        <v>17487</v>
      </c>
      <c r="B8591" s="92" t="s">
        <v>17387</v>
      </c>
      <c r="C8591" s="92" t="s">
        <v>17388</v>
      </c>
      <c r="D8591" s="72" t="str">
        <f>IFERROR(VLOOKUP(A8591,'[1]ST-QA-ZZ5'!$C$5:$M$299,11,0),"Inspection at production line")</f>
        <v>Inspection at production line</v>
      </c>
    </row>
    <row r="8592" spans="1:4" ht="13.8">
      <c r="A8592" s="47" t="s">
        <v>17488</v>
      </c>
      <c r="B8592" s="92" t="s">
        <v>17489</v>
      </c>
      <c r="C8592" s="92" t="s">
        <v>17490</v>
      </c>
      <c r="D8592" s="72" t="str">
        <f>IFERROR(VLOOKUP(A8592,'[1]ST-QA-ZZ5'!$C$5:$M$299,11,0),"Inspection at production line")</f>
        <v>Inspection at production line</v>
      </c>
    </row>
    <row r="8593" spans="1:4" ht="13.8">
      <c r="A8593" s="47" t="s">
        <v>17491</v>
      </c>
      <c r="B8593" s="92" t="s">
        <v>17418</v>
      </c>
      <c r="C8593" s="92" t="s">
        <v>17492</v>
      </c>
      <c r="D8593" s="72" t="str">
        <f>IFERROR(VLOOKUP(A8593,'[1]ST-QA-ZZ5'!$C$5:$M$299,11,0),"Inspection at production line")</f>
        <v>Inspection at production line</v>
      </c>
    </row>
    <row r="8594" spans="1:4" ht="13.8">
      <c r="A8594" s="47" t="s">
        <v>17493</v>
      </c>
      <c r="B8594" s="92" t="s">
        <v>17418</v>
      </c>
      <c r="C8594" s="92" t="s">
        <v>17494</v>
      </c>
      <c r="D8594" s="72" t="str">
        <f>IFERROR(VLOOKUP(A8594,'[1]ST-QA-ZZ5'!$C$5:$M$299,11,0),"Inspection at production line")</f>
        <v>Inspection at production line</v>
      </c>
    </row>
    <row r="8595" spans="1:4" ht="13.8">
      <c r="A8595" s="47" t="s">
        <v>17495</v>
      </c>
      <c r="B8595" s="92" t="s">
        <v>17496</v>
      </c>
      <c r="C8595" s="92" t="s">
        <v>17497</v>
      </c>
      <c r="D8595" s="72" t="str">
        <f>IFERROR(VLOOKUP(A8595,'[1]ST-QA-ZZ5'!$C$5:$M$299,11,0),"Inspection at production line")</f>
        <v>Inspection at production line</v>
      </c>
    </row>
    <row r="8596" spans="1:4" ht="13.8">
      <c r="A8596" s="47" t="s">
        <v>17498</v>
      </c>
      <c r="B8596" s="92" t="s">
        <v>17499</v>
      </c>
      <c r="C8596" s="92" t="s">
        <v>17499</v>
      </c>
      <c r="D8596" s="72" t="str">
        <f>IFERROR(VLOOKUP(A8596,'[1]ST-QA-ZZ5'!$C$5:$M$299,11,0),"Inspection at production line")</f>
        <v>Inspection at production line</v>
      </c>
    </row>
    <row r="8597" spans="1:4" ht="13.8">
      <c r="A8597" s="47" t="s">
        <v>17500</v>
      </c>
      <c r="B8597" s="92" t="s">
        <v>17501</v>
      </c>
      <c r="C8597" s="92" t="s">
        <v>17501</v>
      </c>
      <c r="D8597" s="72" t="str">
        <f>IFERROR(VLOOKUP(A8597,'[1]ST-QA-ZZ5'!$C$5:$M$299,11,0),"Inspection at production line")</f>
        <v>Inspection at production line</v>
      </c>
    </row>
    <row r="8598" spans="1:4" ht="13.8">
      <c r="A8598" s="47" t="s">
        <v>17502</v>
      </c>
      <c r="B8598" s="92" t="s">
        <v>17503</v>
      </c>
      <c r="C8598" s="92" t="s">
        <v>17503</v>
      </c>
      <c r="D8598" s="72" t="str">
        <f>IFERROR(VLOOKUP(A8598,'[1]ST-QA-ZZ5'!$C$5:$M$299,11,0),"Inspection at production line")</f>
        <v>Inspection at production line</v>
      </c>
    </row>
    <row r="8599" spans="1:4" ht="13.8">
      <c r="A8599" s="47" t="s">
        <v>17504</v>
      </c>
      <c r="B8599" s="92" t="s">
        <v>17505</v>
      </c>
      <c r="C8599" s="92" t="s">
        <v>17505</v>
      </c>
      <c r="D8599" s="72" t="str">
        <f>IFERROR(VLOOKUP(A8599,'[1]ST-QA-ZZ5'!$C$5:$M$299,11,0),"Inspection at production line")</f>
        <v>Inspection at production line</v>
      </c>
    </row>
    <row r="8600" spans="1:4" ht="13.8">
      <c r="A8600" s="47" t="s">
        <v>17506</v>
      </c>
      <c r="B8600" s="92" t="s">
        <v>17507</v>
      </c>
      <c r="C8600" s="92" t="s">
        <v>17507</v>
      </c>
      <c r="D8600" s="72" t="str">
        <f>IFERROR(VLOOKUP(A8600,'[1]ST-QA-ZZ5'!$C$5:$M$299,11,0),"Inspection at production line")</f>
        <v>Inspection at production line</v>
      </c>
    </row>
    <row r="8601" spans="1:4" ht="13.8">
      <c r="A8601" s="47" t="s">
        <v>17508</v>
      </c>
      <c r="B8601" s="92" t="s">
        <v>17509</v>
      </c>
      <c r="C8601" s="92" t="s">
        <v>17509</v>
      </c>
      <c r="D8601" s="72" t="str">
        <f>IFERROR(VLOOKUP(A8601,'[1]ST-QA-ZZ5'!$C$5:$M$299,11,0),"Inspection at production line")</f>
        <v>Inspection at production line</v>
      </c>
    </row>
    <row r="8602" spans="1:4" ht="13.8">
      <c r="A8602" s="47" t="s">
        <v>17510</v>
      </c>
      <c r="B8602" s="92" t="s">
        <v>17511</v>
      </c>
      <c r="C8602" s="92" t="s">
        <v>17511</v>
      </c>
      <c r="D8602" s="72" t="str">
        <f>IFERROR(VLOOKUP(A8602,'[1]ST-QA-ZZ5'!$C$5:$M$299,11,0),"Inspection at production line")</f>
        <v>Inspection at production line</v>
      </c>
    </row>
    <row r="8603" spans="1:4" ht="13.8">
      <c r="A8603" s="47" t="s">
        <v>17512</v>
      </c>
      <c r="B8603" s="92" t="s">
        <v>17513</v>
      </c>
      <c r="C8603" s="92" t="s">
        <v>17513</v>
      </c>
      <c r="D8603" s="72" t="str">
        <f>IFERROR(VLOOKUP(A8603,'[1]ST-QA-ZZ5'!$C$5:$M$299,11,0),"Inspection at production line")</f>
        <v>Inspection at production line</v>
      </c>
    </row>
    <row r="8604" spans="1:4" ht="13.8">
      <c r="A8604" s="47" t="s">
        <v>17514</v>
      </c>
      <c r="B8604" s="92" t="s">
        <v>17515</v>
      </c>
      <c r="C8604" s="92" t="s">
        <v>6980</v>
      </c>
      <c r="D8604" s="72" t="str">
        <f>IFERROR(VLOOKUP(A8604,'[1]ST-QA-ZZ5'!$C$5:$M$299,11,0),"Inspection at production line")</f>
        <v>Inspection at production line</v>
      </c>
    </row>
    <row r="8605" spans="1:4" ht="13.8">
      <c r="A8605" s="47" t="s">
        <v>17516</v>
      </c>
      <c r="B8605" s="92" t="s">
        <v>17517</v>
      </c>
      <c r="C8605" s="92" t="s">
        <v>17518</v>
      </c>
      <c r="D8605" s="72" t="str">
        <f>IFERROR(VLOOKUP(A8605,'[1]ST-QA-ZZ5'!$C$5:$M$299,11,0),"Inspection at production line")</f>
        <v>Inspection at production line</v>
      </c>
    </row>
    <row r="8606" spans="1:4" ht="13.8">
      <c r="A8606" s="47" t="s">
        <v>17519</v>
      </c>
      <c r="B8606" s="92" t="s">
        <v>17520</v>
      </c>
      <c r="C8606" s="92" t="s">
        <v>17520</v>
      </c>
      <c r="D8606" s="72" t="str">
        <f>IFERROR(VLOOKUP(A8606,'[1]ST-QA-ZZ5'!$C$5:$M$299,11,0),"Inspection at production line")</f>
        <v>Inspection at production line</v>
      </c>
    </row>
    <row r="8607" spans="1:4" ht="13.8">
      <c r="A8607" s="47" t="s">
        <v>17521</v>
      </c>
      <c r="B8607" s="92" t="s">
        <v>17522</v>
      </c>
      <c r="C8607" s="92" t="s">
        <v>17522</v>
      </c>
      <c r="D8607" s="72" t="str">
        <f>IFERROR(VLOOKUP(A8607,'[1]ST-QA-ZZ5'!$C$5:$M$299,11,0),"Inspection at production line")</f>
        <v>Inspection at production line</v>
      </c>
    </row>
    <row r="8608" spans="1:4" ht="13.8">
      <c r="A8608" s="47" t="s">
        <v>17523</v>
      </c>
      <c r="B8608" s="92" t="s">
        <v>17524</v>
      </c>
      <c r="C8608" s="92" t="s">
        <v>17524</v>
      </c>
      <c r="D8608" s="72" t="str">
        <f>IFERROR(VLOOKUP(A8608,'[1]ST-QA-ZZ5'!$C$5:$M$299,11,0),"Inspection at production line")</f>
        <v>Inspection at production line</v>
      </c>
    </row>
    <row r="8609" spans="1:4" ht="13.8">
      <c r="A8609" s="47" t="s">
        <v>17525</v>
      </c>
      <c r="B8609" s="92" t="s">
        <v>17526</v>
      </c>
      <c r="C8609" s="92" t="s">
        <v>17526</v>
      </c>
      <c r="D8609" s="72" t="str">
        <f>IFERROR(VLOOKUP(A8609,'[1]ST-QA-ZZ5'!$C$5:$M$299,11,0),"Inspection at production line")</f>
        <v>Inspection at production line</v>
      </c>
    </row>
    <row r="8610" spans="1:4" ht="13.8">
      <c r="A8610" s="47" t="s">
        <v>17527</v>
      </c>
      <c r="B8610" s="92" t="s">
        <v>17528</v>
      </c>
      <c r="C8610" s="92" t="s">
        <v>17528</v>
      </c>
      <c r="D8610" s="72" t="str">
        <f>IFERROR(VLOOKUP(A8610,'[1]ST-QA-ZZ5'!$C$5:$M$299,11,0),"Inspection at production line")</f>
        <v>Inspection at production line</v>
      </c>
    </row>
    <row r="8611" spans="1:4" ht="13.8">
      <c r="A8611" s="47" t="s">
        <v>17529</v>
      </c>
      <c r="B8611" s="92" t="s">
        <v>17530</v>
      </c>
      <c r="C8611" s="92" t="s">
        <v>17530</v>
      </c>
      <c r="D8611" s="72" t="str">
        <f>IFERROR(VLOOKUP(A8611,'[1]ST-QA-ZZ5'!$C$5:$M$299,11,0),"Inspection at production line")</f>
        <v>Inspection at production line</v>
      </c>
    </row>
    <row r="8612" spans="1:4" ht="13.8">
      <c r="A8612" s="47" t="s">
        <v>17531</v>
      </c>
      <c r="B8612" s="92" t="s">
        <v>17532</v>
      </c>
      <c r="C8612" s="92" t="s">
        <v>6980</v>
      </c>
      <c r="D8612" s="72" t="str">
        <f>IFERROR(VLOOKUP(A8612,'[1]ST-QA-ZZ5'!$C$5:$M$299,11,0),"Inspection at production line")</f>
        <v>Inspection at production line</v>
      </c>
    </row>
    <row r="8613" spans="1:4" ht="13.8">
      <c r="A8613" s="47" t="s">
        <v>17533</v>
      </c>
      <c r="B8613" s="92" t="s">
        <v>17534</v>
      </c>
      <c r="C8613" s="92" t="s">
        <v>6980</v>
      </c>
      <c r="D8613" s="72" t="str">
        <f>IFERROR(VLOOKUP(A8613,'[1]ST-QA-ZZ5'!$C$5:$M$299,11,0),"Inspection at production line")</f>
        <v>Inspection at production line</v>
      </c>
    </row>
    <row r="8614" spans="1:4" ht="13.8">
      <c r="A8614" s="47" t="s">
        <v>17535</v>
      </c>
      <c r="B8614" s="92" t="s">
        <v>17536</v>
      </c>
      <c r="C8614" s="92" t="s">
        <v>6980</v>
      </c>
      <c r="D8614" s="72" t="str">
        <f>IFERROR(VLOOKUP(A8614,'[1]ST-QA-ZZ5'!$C$5:$M$299,11,0),"Inspection at production line")</f>
        <v>Inspection at production line</v>
      </c>
    </row>
    <row r="8615" spans="1:4" ht="13.8">
      <c r="A8615" s="47" t="s">
        <v>17537</v>
      </c>
      <c r="B8615" s="92" t="s">
        <v>17538</v>
      </c>
      <c r="C8615" s="92" t="s">
        <v>6980</v>
      </c>
      <c r="D8615" s="72" t="str">
        <f>IFERROR(VLOOKUP(A8615,'[1]ST-QA-ZZ5'!$C$5:$M$299,11,0),"Inspection at production line")</f>
        <v>Inspection at production line</v>
      </c>
    </row>
    <row r="8616" spans="1:4" ht="13.8">
      <c r="A8616" s="47" t="s">
        <v>17539</v>
      </c>
      <c r="B8616" s="92" t="s">
        <v>17540</v>
      </c>
      <c r="C8616" s="92" t="s">
        <v>17540</v>
      </c>
      <c r="D8616" s="72" t="str">
        <f>IFERROR(VLOOKUP(A8616,'[1]ST-QA-ZZ5'!$C$5:$M$299,11,0),"Inspection at production line")</f>
        <v>Inspection at production line</v>
      </c>
    </row>
    <row r="8617" spans="1:4" ht="13.8">
      <c r="A8617" s="47" t="s">
        <v>17541</v>
      </c>
      <c r="B8617" s="92" t="s">
        <v>17542</v>
      </c>
      <c r="C8617" s="92" t="s">
        <v>17542</v>
      </c>
      <c r="D8617" s="72" t="str">
        <f>IFERROR(VLOOKUP(A8617,'[1]ST-QA-ZZ5'!$C$5:$M$299,11,0),"Inspection at production line")</f>
        <v>Inspection at production line</v>
      </c>
    </row>
    <row r="8618" spans="1:4" ht="13.8">
      <c r="A8618" s="47" t="s">
        <v>17543</v>
      </c>
      <c r="B8618" s="92" t="s">
        <v>17544</v>
      </c>
      <c r="C8618" s="92" t="s">
        <v>17544</v>
      </c>
      <c r="D8618" s="72" t="str">
        <f>IFERROR(VLOOKUP(A8618,'[1]ST-QA-ZZ5'!$C$5:$M$299,11,0),"Inspection at production line")</f>
        <v>Inspection at production line</v>
      </c>
    </row>
    <row r="8619" spans="1:4" ht="13.8">
      <c r="A8619" s="47" t="s">
        <v>17545</v>
      </c>
      <c r="B8619" s="92" t="s">
        <v>17546</v>
      </c>
      <c r="C8619" s="92" t="s">
        <v>17546</v>
      </c>
      <c r="D8619" s="72" t="str">
        <f>IFERROR(VLOOKUP(A8619,'[1]ST-QA-ZZ5'!$C$5:$M$299,11,0),"Inspection at production line")</f>
        <v>Inspection at production line</v>
      </c>
    </row>
    <row r="8620" spans="1:4" ht="13.8">
      <c r="A8620" s="47" t="s">
        <v>17547</v>
      </c>
      <c r="B8620" s="92" t="s">
        <v>17548</v>
      </c>
      <c r="C8620" s="92" t="s">
        <v>17548</v>
      </c>
      <c r="D8620" s="72" t="str">
        <f>IFERROR(VLOOKUP(A8620,'[1]ST-QA-ZZ5'!$C$5:$M$299,11,0),"Inspection at production line")</f>
        <v>Inspection at production line</v>
      </c>
    </row>
    <row r="8621" spans="1:4" ht="13.8">
      <c r="A8621" s="47" t="s">
        <v>17549</v>
      </c>
      <c r="B8621" s="92" t="s">
        <v>17550</v>
      </c>
      <c r="C8621" s="92" t="s">
        <v>17550</v>
      </c>
      <c r="D8621" s="72" t="str">
        <f>IFERROR(VLOOKUP(A8621,'[1]ST-QA-ZZ5'!$C$5:$M$299,11,0),"Inspection at production line")</f>
        <v>Inspection at production line</v>
      </c>
    </row>
    <row r="8622" spans="1:4" ht="13.8">
      <c r="A8622" s="47" t="s">
        <v>17551</v>
      </c>
      <c r="B8622" s="92" t="s">
        <v>17552</v>
      </c>
      <c r="C8622" s="92" t="s">
        <v>17552</v>
      </c>
      <c r="D8622" s="72" t="str">
        <f>IFERROR(VLOOKUP(A8622,'[1]ST-QA-ZZ5'!$C$5:$M$299,11,0),"Inspection at production line")</f>
        <v>Inspection at production line</v>
      </c>
    </row>
    <row r="8623" spans="1:4" ht="13.8">
      <c r="A8623" s="47" t="s">
        <v>17553</v>
      </c>
      <c r="B8623" s="92" t="s">
        <v>17554</v>
      </c>
      <c r="C8623" s="92" t="s">
        <v>17554</v>
      </c>
      <c r="D8623" s="72" t="str">
        <f>IFERROR(VLOOKUP(A8623,'[1]ST-QA-ZZ5'!$C$5:$M$299,11,0),"Inspection at production line")</f>
        <v>Inspection at production line</v>
      </c>
    </row>
    <row r="8624" spans="1:4" ht="13.8">
      <c r="A8624" s="47" t="s">
        <v>17555</v>
      </c>
      <c r="B8624" s="92" t="s">
        <v>17556</v>
      </c>
      <c r="C8624" s="92" t="s">
        <v>17556</v>
      </c>
      <c r="D8624" s="72" t="str">
        <f>IFERROR(VLOOKUP(A8624,'[1]ST-QA-ZZ5'!$C$5:$M$299,11,0),"Inspection at production line")</f>
        <v>Inspection at production line</v>
      </c>
    </row>
    <row r="8625" spans="1:4" ht="13.8">
      <c r="A8625" s="47" t="s">
        <v>17557</v>
      </c>
      <c r="B8625" s="92" t="s">
        <v>17558</v>
      </c>
      <c r="C8625" s="92" t="s">
        <v>17558</v>
      </c>
      <c r="D8625" s="72" t="str">
        <f>IFERROR(VLOOKUP(A8625,'[1]ST-QA-ZZ5'!$C$5:$M$299,11,0),"Inspection at production line")</f>
        <v>Inspection at production line</v>
      </c>
    </row>
    <row r="8626" spans="1:4" ht="13.8">
      <c r="A8626" s="47" t="s">
        <v>17559</v>
      </c>
      <c r="B8626" s="92" t="s">
        <v>17560</v>
      </c>
      <c r="C8626" s="92" t="s">
        <v>17560</v>
      </c>
      <c r="D8626" s="72" t="str">
        <f>IFERROR(VLOOKUP(A8626,'[1]ST-QA-ZZ5'!$C$5:$M$299,11,0),"Inspection at production line")</f>
        <v>Inspection at production line</v>
      </c>
    </row>
    <row r="8627" spans="1:4" ht="13.8">
      <c r="A8627" s="47" t="s">
        <v>17561</v>
      </c>
      <c r="B8627" s="92" t="s">
        <v>17562</v>
      </c>
      <c r="C8627" s="92" t="s">
        <v>17562</v>
      </c>
      <c r="D8627" s="72" t="str">
        <f>IFERROR(VLOOKUP(A8627,'[1]ST-QA-ZZ5'!$C$5:$M$299,11,0),"Inspection at production line")</f>
        <v>Inspection at production line</v>
      </c>
    </row>
    <row r="8628" spans="1:4" ht="13.8">
      <c r="A8628" s="47" t="s">
        <v>17563</v>
      </c>
      <c r="B8628" s="92" t="s">
        <v>17564</v>
      </c>
      <c r="C8628" s="92" t="s">
        <v>17564</v>
      </c>
      <c r="D8628" s="72" t="str">
        <f>IFERROR(VLOOKUP(A8628,'[1]ST-QA-ZZ5'!$C$5:$M$299,11,0),"Inspection at production line")</f>
        <v>Inspection at production line</v>
      </c>
    </row>
    <row r="8629" spans="1:4" ht="13.8">
      <c r="A8629" s="47" t="s">
        <v>17565</v>
      </c>
      <c r="B8629" s="92" t="s">
        <v>17566</v>
      </c>
      <c r="C8629" s="92" t="s">
        <v>17566</v>
      </c>
      <c r="D8629" s="72" t="str">
        <f>IFERROR(VLOOKUP(A8629,'[1]ST-QA-ZZ5'!$C$5:$M$299,11,0),"Inspection at production line")</f>
        <v>Inspection at production line</v>
      </c>
    </row>
    <row r="8630" spans="1:4" ht="13.8">
      <c r="A8630" s="47" t="s">
        <v>17567</v>
      </c>
      <c r="B8630" s="92" t="s">
        <v>17540</v>
      </c>
      <c r="C8630" s="92" t="s">
        <v>17540</v>
      </c>
      <c r="D8630" s="72" t="str">
        <f>IFERROR(VLOOKUP(A8630,'[1]ST-QA-ZZ5'!$C$5:$M$299,11,0),"Inspection at production line")</f>
        <v>Inspection at production line</v>
      </c>
    </row>
    <row r="8631" spans="1:4" ht="13.8">
      <c r="A8631" s="47" t="s">
        <v>17568</v>
      </c>
      <c r="B8631" s="92" t="s">
        <v>17569</v>
      </c>
      <c r="C8631" s="92" t="s">
        <v>17569</v>
      </c>
      <c r="D8631" s="72" t="str">
        <f>IFERROR(VLOOKUP(A8631,'[1]ST-QA-ZZ5'!$C$5:$M$299,11,0),"Inspection at production line")</f>
        <v>Inspection at production line</v>
      </c>
    </row>
    <row r="8632" spans="1:4" ht="13.8">
      <c r="A8632" s="47" t="s">
        <v>17570</v>
      </c>
      <c r="B8632" s="92" t="s">
        <v>17571</v>
      </c>
      <c r="C8632" s="92" t="s">
        <v>17571</v>
      </c>
      <c r="D8632" s="72" t="str">
        <f>IFERROR(VLOOKUP(A8632,'[1]ST-QA-ZZ5'!$C$5:$M$299,11,0),"Inspection at production line")</f>
        <v>Inspection at production line</v>
      </c>
    </row>
    <row r="8633" spans="1:4" ht="13.8">
      <c r="A8633" s="47" t="s">
        <v>17572</v>
      </c>
      <c r="B8633" s="92" t="s">
        <v>17573</v>
      </c>
      <c r="C8633" s="92" t="s">
        <v>17573</v>
      </c>
      <c r="D8633" s="72" t="str">
        <f>IFERROR(VLOOKUP(A8633,'[1]ST-QA-ZZ5'!$C$5:$M$299,11,0),"Inspection at production line")</f>
        <v>Inspection at production line</v>
      </c>
    </row>
    <row r="8634" spans="1:4" ht="13.8">
      <c r="A8634" s="47" t="s">
        <v>17574</v>
      </c>
      <c r="B8634" s="92" t="s">
        <v>17575</v>
      </c>
      <c r="C8634" s="92" t="s">
        <v>6980</v>
      </c>
      <c r="D8634" s="72" t="str">
        <f>IFERROR(VLOOKUP(A8634,'[1]ST-QA-ZZ5'!$C$5:$M$299,11,0),"Inspection at production line")</f>
        <v>Inspection at production line</v>
      </c>
    </row>
    <row r="8635" spans="1:4" ht="13.8">
      <c r="A8635" s="47" t="s">
        <v>17576</v>
      </c>
      <c r="B8635" s="92" t="s">
        <v>17421</v>
      </c>
      <c r="C8635" s="92" t="s">
        <v>17421</v>
      </c>
      <c r="D8635" s="72" t="str">
        <f>IFERROR(VLOOKUP(A8635,'[1]ST-QA-ZZ5'!$C$5:$M$299,11,0),"Inspection at production line")</f>
        <v>Inspection at production line</v>
      </c>
    </row>
    <row r="8636" spans="1:4" ht="13.8">
      <c r="A8636" s="47" t="s">
        <v>17577</v>
      </c>
      <c r="B8636" s="92" t="s">
        <v>17578</v>
      </c>
      <c r="C8636" s="92" t="s">
        <v>17578</v>
      </c>
      <c r="D8636" s="72" t="str">
        <f>IFERROR(VLOOKUP(A8636,'[1]ST-QA-ZZ5'!$C$5:$M$299,11,0),"Inspection at production line")</f>
        <v>Inspection at production line</v>
      </c>
    </row>
    <row r="8637" spans="1:4" ht="13.8">
      <c r="A8637" s="47" t="s">
        <v>17579</v>
      </c>
      <c r="B8637" s="92" t="s">
        <v>17580</v>
      </c>
      <c r="C8637" s="92" t="s">
        <v>17580</v>
      </c>
      <c r="D8637" s="72" t="str">
        <f>IFERROR(VLOOKUP(A8637,'[1]ST-QA-ZZ5'!$C$5:$M$299,11,0),"Inspection at production line")</f>
        <v>Inspection at production line</v>
      </c>
    </row>
    <row r="8638" spans="1:4" ht="13.8">
      <c r="A8638" s="47" t="s">
        <v>17581</v>
      </c>
      <c r="B8638" s="92" t="s">
        <v>17582</v>
      </c>
      <c r="C8638" s="92" t="s">
        <v>17582</v>
      </c>
      <c r="D8638" s="72" t="str">
        <f>IFERROR(VLOOKUP(A8638,'[1]ST-QA-ZZ5'!$C$5:$M$299,11,0),"Inspection at production line")</f>
        <v>Inspection at production line</v>
      </c>
    </row>
    <row r="8639" spans="1:4" ht="13.8">
      <c r="A8639" s="47" t="s">
        <v>17583</v>
      </c>
      <c r="B8639" s="92" t="s">
        <v>17584</v>
      </c>
      <c r="C8639" s="92" t="s">
        <v>17584</v>
      </c>
      <c r="D8639" s="72" t="str">
        <f>IFERROR(VLOOKUP(A8639,'[1]ST-QA-ZZ5'!$C$5:$M$299,11,0),"Inspection at production line")</f>
        <v>Inspection at production line</v>
      </c>
    </row>
    <row r="8640" spans="1:4" ht="13.8">
      <c r="A8640" s="47" t="s">
        <v>17585</v>
      </c>
      <c r="B8640" s="92" t="s">
        <v>17586</v>
      </c>
      <c r="C8640" s="92" t="s">
        <v>17586</v>
      </c>
      <c r="D8640" s="72" t="str">
        <f>IFERROR(VLOOKUP(A8640,'[1]ST-QA-ZZ5'!$C$5:$M$299,11,0),"Inspection at production line")</f>
        <v>Inspection at production line</v>
      </c>
    </row>
    <row r="8641" spans="1:4" ht="13.8">
      <c r="A8641" s="47" t="s">
        <v>17587</v>
      </c>
      <c r="B8641" s="92" t="s">
        <v>17588</v>
      </c>
      <c r="C8641" s="92" t="s">
        <v>17588</v>
      </c>
      <c r="D8641" s="72" t="str">
        <f>IFERROR(VLOOKUP(A8641,'[1]ST-QA-ZZ5'!$C$5:$M$299,11,0),"Inspection at production line")</f>
        <v>Inspection at production line</v>
      </c>
    </row>
    <row r="8642" spans="1:4" ht="13.8">
      <c r="A8642" s="47" t="s">
        <v>17589</v>
      </c>
      <c r="B8642" s="92" t="s">
        <v>17590</v>
      </c>
      <c r="C8642" s="92" t="s">
        <v>17590</v>
      </c>
      <c r="D8642" s="72" t="str">
        <f>IFERROR(VLOOKUP(A8642,'[1]ST-QA-ZZ5'!$C$5:$M$299,11,0),"Inspection at production line")</f>
        <v>Inspection at production line</v>
      </c>
    </row>
    <row r="8643" spans="1:4" ht="13.8">
      <c r="A8643" s="47" t="s">
        <v>17591</v>
      </c>
      <c r="B8643" s="92" t="s">
        <v>17592</v>
      </c>
      <c r="C8643" s="92" t="s">
        <v>17592</v>
      </c>
      <c r="D8643" s="72" t="str">
        <f>IFERROR(VLOOKUP(A8643,'[1]ST-QA-ZZ5'!$C$5:$M$299,11,0),"Inspection at production line")</f>
        <v>Inspection at production line</v>
      </c>
    </row>
    <row r="8644" spans="1:4" ht="13.8">
      <c r="A8644" s="47" t="s">
        <v>17593</v>
      </c>
      <c r="B8644" s="92" t="s">
        <v>17594</v>
      </c>
      <c r="C8644" s="92" t="s">
        <v>17594</v>
      </c>
      <c r="D8644" s="72" t="str">
        <f>IFERROR(VLOOKUP(A8644,'[1]ST-QA-ZZ5'!$C$5:$M$299,11,0),"Inspection at production line")</f>
        <v>Inspection at production line</v>
      </c>
    </row>
    <row r="8645" spans="1:4" ht="13.8">
      <c r="A8645" s="47" t="s">
        <v>17595</v>
      </c>
      <c r="B8645" s="92" t="s">
        <v>17596</v>
      </c>
      <c r="C8645" s="92" t="s">
        <v>17596</v>
      </c>
      <c r="D8645" s="72" t="str">
        <f>IFERROR(VLOOKUP(A8645,'[1]ST-QA-ZZ5'!$C$5:$M$299,11,0),"Inspection at production line")</f>
        <v>Inspection at production line</v>
      </c>
    </row>
    <row r="8646" spans="1:4" ht="13.8">
      <c r="A8646" s="47" t="s">
        <v>17597</v>
      </c>
      <c r="B8646" s="92" t="s">
        <v>17598</v>
      </c>
      <c r="C8646" s="92" t="s">
        <v>17599</v>
      </c>
      <c r="D8646" s="72" t="str">
        <f>IFERROR(VLOOKUP(A8646,'[1]ST-QA-ZZ5'!$C$5:$M$299,11,0),"Inspection at production line")</f>
        <v>Inspection at production line</v>
      </c>
    </row>
    <row r="8647" spans="1:4" ht="13.8">
      <c r="A8647" s="47" t="s">
        <v>17600</v>
      </c>
      <c r="B8647" s="92" t="s">
        <v>17601</v>
      </c>
      <c r="C8647" s="92" t="s">
        <v>17602</v>
      </c>
      <c r="D8647" s="72" t="str">
        <f>IFERROR(VLOOKUP(A8647,'[1]ST-QA-ZZ5'!$C$5:$M$299,11,0),"Inspection at production line")</f>
        <v>Inspection at production line</v>
      </c>
    </row>
    <row r="8648" spans="1:4" ht="13.8">
      <c r="A8648" s="47" t="s">
        <v>17603</v>
      </c>
      <c r="B8648" s="92" t="s">
        <v>17604</v>
      </c>
      <c r="C8648" s="92" t="s">
        <v>17605</v>
      </c>
      <c r="D8648" s="72" t="str">
        <f>IFERROR(VLOOKUP(A8648,'[1]ST-QA-ZZ5'!$C$5:$M$299,11,0),"Inspection at production line")</f>
        <v>Inspection at production line</v>
      </c>
    </row>
    <row r="8649" spans="1:4" ht="13.8">
      <c r="A8649" s="47" t="s">
        <v>17606</v>
      </c>
      <c r="B8649" s="92" t="s">
        <v>17607</v>
      </c>
      <c r="C8649" s="92" t="s">
        <v>17608</v>
      </c>
      <c r="D8649" s="72" t="str">
        <f>IFERROR(VLOOKUP(A8649,'[1]ST-QA-ZZ5'!$C$5:$M$299,11,0),"Inspection at production line")</f>
        <v>Inspection at production line</v>
      </c>
    </row>
    <row r="8650" spans="1:4" ht="13.8">
      <c r="A8650" s="47" t="s">
        <v>17609</v>
      </c>
      <c r="B8650" s="92" t="s">
        <v>17610</v>
      </c>
      <c r="C8650" s="92" t="s">
        <v>17611</v>
      </c>
      <c r="D8650" s="72" t="str">
        <f>IFERROR(VLOOKUP(A8650,'[1]ST-QA-ZZ5'!$C$5:$M$299,11,0),"Inspection at production line")</f>
        <v>Inspection at production line</v>
      </c>
    </row>
    <row r="8651" spans="1:4" ht="13.8">
      <c r="A8651" s="47" t="s">
        <v>17612</v>
      </c>
      <c r="B8651" s="92" t="s">
        <v>17613</v>
      </c>
      <c r="C8651" s="92" t="s">
        <v>17614</v>
      </c>
      <c r="D8651" s="72" t="str">
        <f>IFERROR(VLOOKUP(A8651,'[1]ST-QA-ZZ5'!$C$5:$M$299,11,0),"Inspection at production line")</f>
        <v>Inspection at production line</v>
      </c>
    </row>
    <row r="8652" spans="1:4" ht="13.8">
      <c r="A8652" s="47" t="s">
        <v>17615</v>
      </c>
      <c r="B8652" s="92" t="s">
        <v>17613</v>
      </c>
      <c r="C8652" s="92" t="s">
        <v>17616</v>
      </c>
      <c r="D8652" s="72" t="str">
        <f>IFERROR(VLOOKUP(A8652,'[1]ST-QA-ZZ5'!$C$5:$M$299,11,0),"Inspection at production line")</f>
        <v>Inspection at production line</v>
      </c>
    </row>
    <row r="8653" spans="1:4" ht="13.8">
      <c r="A8653" s="47" t="s">
        <v>17617</v>
      </c>
      <c r="B8653" s="92" t="s">
        <v>17618</v>
      </c>
      <c r="C8653" s="92" t="s">
        <v>17618</v>
      </c>
      <c r="D8653" s="72" t="str">
        <f>IFERROR(VLOOKUP(A8653,'[1]ST-QA-ZZ5'!$C$5:$M$299,11,0),"Inspection at production line")</f>
        <v>Inspection at production line</v>
      </c>
    </row>
    <row r="8654" spans="1:4" ht="13.8">
      <c r="A8654" s="47" t="s">
        <v>17619</v>
      </c>
      <c r="B8654" s="92" t="s">
        <v>17620</v>
      </c>
      <c r="C8654" s="92" t="s">
        <v>11819</v>
      </c>
      <c r="D8654" s="72" t="str">
        <f>IFERROR(VLOOKUP(A8654,'[1]ST-QA-ZZ5'!$C$5:$M$299,11,0),"Inspection at production line")</f>
        <v>Inspection at production line</v>
      </c>
    </row>
    <row r="8655" spans="1:4" ht="13.8">
      <c r="A8655" s="47" t="s">
        <v>17621</v>
      </c>
      <c r="B8655" s="92" t="s">
        <v>17622</v>
      </c>
      <c r="C8655" s="92" t="s">
        <v>11819</v>
      </c>
      <c r="D8655" s="72" t="str">
        <f>IFERROR(VLOOKUP(A8655,'[1]ST-QA-ZZ5'!$C$5:$M$299,11,0),"Inspection at production line")</f>
        <v>Inspection at production line</v>
      </c>
    </row>
    <row r="8656" spans="1:4" ht="13.8">
      <c r="A8656" s="47" t="s">
        <v>17623</v>
      </c>
      <c r="B8656" s="92" t="s">
        <v>17624</v>
      </c>
      <c r="C8656" s="92" t="s">
        <v>11819</v>
      </c>
      <c r="D8656" s="72" t="str">
        <f>IFERROR(VLOOKUP(A8656,'[1]ST-QA-ZZ5'!$C$5:$M$299,11,0),"Inspection at production line")</f>
        <v>Inspection at production line</v>
      </c>
    </row>
    <row r="8657" spans="1:4" ht="13.8">
      <c r="A8657" s="47" t="s">
        <v>17625</v>
      </c>
      <c r="B8657" s="92" t="s">
        <v>17626</v>
      </c>
      <c r="C8657" s="92" t="s">
        <v>11819</v>
      </c>
      <c r="D8657" s="72" t="str">
        <f>IFERROR(VLOOKUP(A8657,'[1]ST-QA-ZZ5'!$C$5:$M$299,11,0),"Inspection at production line")</f>
        <v>Inspection at production line</v>
      </c>
    </row>
    <row r="8658" spans="1:4" ht="13.8">
      <c r="A8658" s="47" t="s">
        <v>17627</v>
      </c>
      <c r="B8658" s="92" t="s">
        <v>17628</v>
      </c>
      <c r="C8658" s="92" t="s">
        <v>17629</v>
      </c>
      <c r="D8658" s="72" t="str">
        <f>IFERROR(VLOOKUP(A8658,'[1]ST-QA-ZZ5'!$C$5:$M$299,11,0),"Inspection at production line")</f>
        <v>Inspection at production line</v>
      </c>
    </row>
    <row r="8659" spans="1:4" ht="13.8">
      <c r="A8659" s="47" t="s">
        <v>17630</v>
      </c>
      <c r="B8659" s="92" t="s">
        <v>17631</v>
      </c>
      <c r="C8659" s="92" t="s">
        <v>17632</v>
      </c>
      <c r="D8659" s="72" t="str">
        <f>IFERROR(VLOOKUP(A8659,'[1]ST-QA-ZZ5'!$C$5:$M$299,11,0),"Inspection at production line")</f>
        <v>Inspection at production line</v>
      </c>
    </row>
    <row r="8660" spans="1:4" ht="13.8">
      <c r="A8660" s="47" t="s">
        <v>17633</v>
      </c>
      <c r="B8660" s="92" t="s">
        <v>17634</v>
      </c>
      <c r="C8660" s="92" t="s">
        <v>17635</v>
      </c>
      <c r="D8660" s="72" t="str">
        <f>IFERROR(VLOOKUP(A8660,'[1]ST-QA-ZZ5'!$C$5:$M$299,11,0),"Inspection at production line")</f>
        <v>Inspection at production line</v>
      </c>
    </row>
    <row r="8661" spans="1:4" ht="13.8">
      <c r="A8661" s="47" t="s">
        <v>17636</v>
      </c>
      <c r="B8661" s="92" t="s">
        <v>17637</v>
      </c>
      <c r="C8661" s="92" t="s">
        <v>17638</v>
      </c>
      <c r="D8661" s="72" t="str">
        <f>IFERROR(VLOOKUP(A8661,'[1]ST-QA-ZZ5'!$C$5:$M$299,11,0),"Inspection at production line")</f>
        <v>Inspection at production line</v>
      </c>
    </row>
    <row r="8662" spans="1:4" ht="13.8">
      <c r="A8662" s="47" t="s">
        <v>17639</v>
      </c>
      <c r="B8662" s="92" t="s">
        <v>17421</v>
      </c>
      <c r="C8662" s="92" t="s">
        <v>17640</v>
      </c>
      <c r="D8662" s="72" t="str">
        <f>IFERROR(VLOOKUP(A8662,'[1]ST-QA-ZZ5'!$C$5:$M$299,11,0),"Inspection at production line")</f>
        <v>Inspection at production line</v>
      </c>
    </row>
    <row r="8663" spans="1:4" ht="13.8">
      <c r="A8663" s="47" t="s">
        <v>17641</v>
      </c>
      <c r="B8663" s="92" t="s">
        <v>17642</v>
      </c>
      <c r="C8663" s="92" t="s">
        <v>17640</v>
      </c>
      <c r="D8663" s="72" t="str">
        <f>IFERROR(VLOOKUP(A8663,'[1]ST-QA-ZZ5'!$C$5:$M$299,11,0),"Inspection at production line")</f>
        <v>Inspection at production line</v>
      </c>
    </row>
    <row r="8664" spans="1:4" ht="13.8">
      <c r="A8664" s="47" t="s">
        <v>17643</v>
      </c>
      <c r="B8664" s="92" t="s">
        <v>17421</v>
      </c>
      <c r="C8664" s="92" t="s">
        <v>17644</v>
      </c>
      <c r="D8664" s="72" t="str">
        <f>IFERROR(VLOOKUP(A8664,'[1]ST-QA-ZZ5'!$C$5:$M$299,11,0),"Inspection at production line")</f>
        <v>Inspection at production line</v>
      </c>
    </row>
    <row r="8665" spans="1:4" ht="13.8">
      <c r="A8665" s="47" t="s">
        <v>17645</v>
      </c>
      <c r="B8665" s="92" t="s">
        <v>17642</v>
      </c>
      <c r="C8665" s="92" t="s">
        <v>17644</v>
      </c>
      <c r="D8665" s="72" t="str">
        <f>IFERROR(VLOOKUP(A8665,'[1]ST-QA-ZZ5'!$C$5:$M$299,11,0),"Inspection at production line")</f>
        <v>Inspection at production line</v>
      </c>
    </row>
    <row r="8666" spans="1:4" ht="13.8">
      <c r="A8666" s="47" t="s">
        <v>17646</v>
      </c>
      <c r="B8666" s="92" t="s">
        <v>17421</v>
      </c>
      <c r="C8666" s="92" t="s">
        <v>17647</v>
      </c>
      <c r="D8666" s="72" t="str">
        <f>IFERROR(VLOOKUP(A8666,'[1]ST-QA-ZZ5'!$C$5:$M$299,11,0),"Inspection at production line")</f>
        <v>Inspection at production line</v>
      </c>
    </row>
    <row r="8667" spans="1:4" ht="13.8">
      <c r="A8667" s="47" t="s">
        <v>17648</v>
      </c>
      <c r="B8667" s="92" t="s">
        <v>17642</v>
      </c>
      <c r="C8667" s="92" t="s">
        <v>17647</v>
      </c>
      <c r="D8667" s="72" t="str">
        <f>IFERROR(VLOOKUP(A8667,'[1]ST-QA-ZZ5'!$C$5:$M$299,11,0),"Inspection at production line")</f>
        <v>Inspection at production line</v>
      </c>
    </row>
    <row r="8668" spans="1:4" ht="13.8">
      <c r="A8668" s="47" t="s">
        <v>17649</v>
      </c>
      <c r="B8668" s="92" t="s">
        <v>17421</v>
      </c>
      <c r="C8668" s="92" t="s">
        <v>17650</v>
      </c>
      <c r="D8668" s="72" t="str">
        <f>IFERROR(VLOOKUP(A8668,'[1]ST-QA-ZZ5'!$C$5:$M$299,11,0),"Inspection at production line")</f>
        <v>Inspection at production line</v>
      </c>
    </row>
    <row r="8669" spans="1:4" ht="13.8">
      <c r="A8669" s="47" t="s">
        <v>17651</v>
      </c>
      <c r="B8669" s="92" t="s">
        <v>17642</v>
      </c>
      <c r="C8669" s="92" t="s">
        <v>17650</v>
      </c>
      <c r="D8669" s="72" t="str">
        <f>IFERROR(VLOOKUP(A8669,'[1]ST-QA-ZZ5'!$C$5:$M$299,11,0),"Inspection at production line")</f>
        <v>Inspection at production line</v>
      </c>
    </row>
    <row r="8670" spans="1:4" ht="13.8">
      <c r="A8670" s="47" t="s">
        <v>17652</v>
      </c>
      <c r="B8670" s="92" t="s">
        <v>17653</v>
      </c>
      <c r="C8670" s="92" t="s">
        <v>17653</v>
      </c>
      <c r="D8670" s="72" t="str">
        <f>IFERROR(VLOOKUP(A8670,'[1]ST-QA-ZZ5'!$C$5:$M$299,11,0),"Inspection at production line")</f>
        <v>Inspection at production line</v>
      </c>
    </row>
    <row r="8671" spans="1:4" ht="13.8">
      <c r="A8671" s="47" t="s">
        <v>17654</v>
      </c>
      <c r="B8671" s="92" t="s">
        <v>17655</v>
      </c>
      <c r="C8671" s="92" t="s">
        <v>17655</v>
      </c>
      <c r="D8671" s="72" t="str">
        <f>IFERROR(VLOOKUP(A8671,'[1]ST-QA-ZZ5'!$C$5:$M$299,11,0),"Inspection at production line")</f>
        <v>Inspection at production line</v>
      </c>
    </row>
    <row r="8672" spans="1:4" ht="13.8">
      <c r="A8672" s="47" t="s">
        <v>17656</v>
      </c>
      <c r="B8672" s="92" t="s">
        <v>17657</v>
      </c>
      <c r="C8672" s="92" t="s">
        <v>17657</v>
      </c>
      <c r="D8672" s="72" t="str">
        <f>IFERROR(VLOOKUP(A8672,'[1]ST-QA-ZZ5'!$C$5:$M$299,11,0),"Inspection at production line")</f>
        <v>Inspection at production line</v>
      </c>
    </row>
    <row r="8673" spans="1:4" ht="13.8">
      <c r="A8673" s="47" t="s">
        <v>17658</v>
      </c>
      <c r="B8673" s="92" t="s">
        <v>17659</v>
      </c>
      <c r="C8673" s="92" t="s">
        <v>17659</v>
      </c>
      <c r="D8673" s="72" t="str">
        <f>IFERROR(VLOOKUP(A8673,'[1]ST-QA-ZZ5'!$C$5:$M$299,11,0),"Inspection at production line")</f>
        <v>Inspection at production line</v>
      </c>
    </row>
    <row r="8674" spans="1:4" ht="13.8">
      <c r="A8674" s="47" t="s">
        <v>17660</v>
      </c>
      <c r="B8674" s="92" t="s">
        <v>17661</v>
      </c>
      <c r="C8674" s="92" t="s">
        <v>17661</v>
      </c>
      <c r="D8674" s="72" t="str">
        <f>IFERROR(VLOOKUP(A8674,'[1]ST-QA-ZZ5'!$C$5:$M$299,11,0),"Inspection at production line")</f>
        <v>Inspection at production line</v>
      </c>
    </row>
    <row r="8675" spans="1:4" ht="13.8">
      <c r="A8675" s="47" t="s">
        <v>17662</v>
      </c>
      <c r="B8675" s="92" t="s">
        <v>17663</v>
      </c>
      <c r="C8675" s="92" t="s">
        <v>17663</v>
      </c>
      <c r="D8675" s="72" t="str">
        <f>IFERROR(VLOOKUP(A8675,'[1]ST-QA-ZZ5'!$C$5:$M$299,11,0),"Inspection at production line")</f>
        <v>Inspection at production line</v>
      </c>
    </row>
    <row r="8676" spans="1:4" ht="13.8">
      <c r="A8676" s="47" t="s">
        <v>17664</v>
      </c>
      <c r="B8676" s="92" t="s">
        <v>17598</v>
      </c>
      <c r="C8676" s="92" t="s">
        <v>17665</v>
      </c>
      <c r="D8676" s="72" t="str">
        <f>IFERROR(VLOOKUP(A8676,'[1]ST-QA-ZZ5'!$C$5:$M$299,11,0),"Inspection at production line")</f>
        <v>Inspection at production line</v>
      </c>
    </row>
    <row r="8677" spans="1:4" ht="13.8">
      <c r="A8677" s="47" t="s">
        <v>17666</v>
      </c>
      <c r="B8677" s="92" t="s">
        <v>17598</v>
      </c>
      <c r="C8677" s="92" t="s">
        <v>17667</v>
      </c>
      <c r="D8677" s="72" t="str">
        <f>IFERROR(VLOOKUP(A8677,'[1]ST-QA-ZZ5'!$C$5:$M$299,11,0),"Inspection at production line")</f>
        <v>Inspection at production line</v>
      </c>
    </row>
    <row r="8678" spans="1:4" ht="13.8">
      <c r="A8678" s="47" t="s">
        <v>17668</v>
      </c>
      <c r="B8678" s="92" t="s">
        <v>17669</v>
      </c>
      <c r="C8678" s="92" t="s">
        <v>17608</v>
      </c>
      <c r="D8678" s="72" t="str">
        <f>IFERROR(VLOOKUP(A8678,'[1]ST-QA-ZZ5'!$C$5:$M$299,11,0),"Inspection at production line")</f>
        <v>Inspection at production line</v>
      </c>
    </row>
    <row r="8679" spans="1:4" ht="13.8">
      <c r="A8679" s="47" t="s">
        <v>17670</v>
      </c>
      <c r="B8679" s="92" t="s">
        <v>17613</v>
      </c>
      <c r="C8679" s="92" t="s">
        <v>17671</v>
      </c>
      <c r="D8679" s="72" t="str">
        <f>IFERROR(VLOOKUP(A8679,'[1]ST-QA-ZZ5'!$C$5:$M$299,11,0),"Inspection at production line")</f>
        <v>Inspection at production line</v>
      </c>
    </row>
    <row r="8680" spans="1:4" ht="13.8">
      <c r="A8680" s="47" t="s">
        <v>17672</v>
      </c>
      <c r="B8680" s="92" t="s">
        <v>17673</v>
      </c>
      <c r="C8680" s="92" t="s">
        <v>17673</v>
      </c>
      <c r="D8680" s="72" t="str">
        <f>IFERROR(VLOOKUP(A8680,'[1]ST-QA-ZZ5'!$C$5:$M$299,11,0),"Inspection at production line")</f>
        <v>Inspection at production line</v>
      </c>
    </row>
    <row r="8681" spans="1:4" ht="13.8">
      <c r="A8681" s="47" t="s">
        <v>17674</v>
      </c>
      <c r="B8681" s="92" t="s">
        <v>17675</v>
      </c>
      <c r="C8681" s="92" t="s">
        <v>17675</v>
      </c>
      <c r="D8681" s="72" t="str">
        <f>IFERROR(VLOOKUP(A8681,'[1]ST-QA-ZZ5'!$C$5:$M$299,11,0),"Inspection at production line")</f>
        <v>Inspection at production line</v>
      </c>
    </row>
    <row r="8682" spans="1:4" ht="13.8">
      <c r="A8682" s="47" t="s">
        <v>17676</v>
      </c>
      <c r="B8682" s="92" t="s">
        <v>17677</v>
      </c>
      <c r="C8682" s="92" t="s">
        <v>17677</v>
      </c>
      <c r="D8682" s="72" t="str">
        <f>IFERROR(VLOOKUP(A8682,'[1]ST-QA-ZZ5'!$C$5:$M$299,11,0),"Inspection at production line")</f>
        <v>Inspection at production line</v>
      </c>
    </row>
    <row r="8683" spans="1:4" ht="13.8">
      <c r="A8683" s="47" t="s">
        <v>17678</v>
      </c>
      <c r="B8683" s="92" t="s">
        <v>17679</v>
      </c>
      <c r="C8683" s="92" t="s">
        <v>17680</v>
      </c>
      <c r="D8683" s="72" t="str">
        <f>IFERROR(VLOOKUP(A8683,'[1]ST-QA-ZZ5'!$C$5:$M$299,11,0),"Inspection at production line")</f>
        <v>Inspection at production line</v>
      </c>
    </row>
    <row r="8684" spans="1:4" ht="13.8">
      <c r="A8684" s="47" t="s">
        <v>17681</v>
      </c>
      <c r="B8684" s="92" t="s">
        <v>17682</v>
      </c>
      <c r="C8684" s="92" t="s">
        <v>17683</v>
      </c>
      <c r="D8684" s="72" t="str">
        <f>IFERROR(VLOOKUP(A8684,'[1]ST-QA-ZZ5'!$C$5:$M$299,11,0),"Inspection at production line")</f>
        <v>Inspection at production line</v>
      </c>
    </row>
    <row r="8685" spans="1:4" ht="13.8">
      <c r="A8685" s="47" t="s">
        <v>17684</v>
      </c>
      <c r="B8685" s="92" t="s">
        <v>17685</v>
      </c>
      <c r="C8685" s="92" t="s">
        <v>17685</v>
      </c>
      <c r="D8685" s="72" t="str">
        <f>IFERROR(VLOOKUP(A8685,'[1]ST-QA-ZZ5'!$C$5:$M$299,11,0),"Inspection at production line")</f>
        <v>Inspection at production line</v>
      </c>
    </row>
    <row r="8686" spans="1:4" ht="13.8">
      <c r="A8686" s="47" t="s">
        <v>17686</v>
      </c>
      <c r="B8686" s="92" t="s">
        <v>17687</v>
      </c>
      <c r="C8686" s="92" t="s">
        <v>17688</v>
      </c>
      <c r="D8686" s="72" t="str">
        <f>IFERROR(VLOOKUP(A8686,'[1]ST-QA-ZZ5'!$C$5:$M$299,11,0),"Inspection at production line")</f>
        <v>Inspection at production line</v>
      </c>
    </row>
    <row r="8687" spans="1:4" ht="13.8">
      <c r="A8687" s="47" t="s">
        <v>17689</v>
      </c>
      <c r="B8687" s="92" t="s">
        <v>17690</v>
      </c>
      <c r="C8687" s="92" t="s">
        <v>17690</v>
      </c>
      <c r="D8687" s="72" t="str">
        <f>IFERROR(VLOOKUP(A8687,'[1]ST-QA-ZZ5'!$C$5:$M$299,11,0),"Inspection at production line")</f>
        <v>Inspection at production line</v>
      </c>
    </row>
    <row r="8688" spans="1:4" ht="13.8">
      <c r="A8688" s="47" t="s">
        <v>17691</v>
      </c>
      <c r="B8688" s="92" t="s">
        <v>17692</v>
      </c>
      <c r="C8688" s="92" t="s">
        <v>17693</v>
      </c>
      <c r="D8688" s="72" t="str">
        <f>IFERROR(VLOOKUP(A8688,'[1]ST-QA-ZZ5'!$C$5:$M$299,11,0),"Inspection at production line")</f>
        <v>Inspection at production line</v>
      </c>
    </row>
    <row r="8689" spans="1:4" ht="13.8">
      <c r="A8689" s="47" t="s">
        <v>17694</v>
      </c>
      <c r="B8689" s="92" t="s">
        <v>17695</v>
      </c>
      <c r="C8689" s="92" t="s">
        <v>17696</v>
      </c>
      <c r="D8689" s="72" t="str">
        <f>IFERROR(VLOOKUP(A8689,'[1]ST-QA-ZZ5'!$C$5:$M$299,11,0),"Inspection at production line")</f>
        <v>Inspection at production line</v>
      </c>
    </row>
    <row r="8690" spans="1:4" ht="13.8">
      <c r="A8690" s="47" t="s">
        <v>17697</v>
      </c>
      <c r="B8690" s="92" t="s">
        <v>17418</v>
      </c>
      <c r="C8690" s="92" t="s">
        <v>17698</v>
      </c>
      <c r="D8690" s="72" t="str">
        <f>IFERROR(VLOOKUP(A8690,'[1]ST-QA-ZZ5'!$C$5:$M$299,11,0),"Inspection at production line")</f>
        <v>Inspection at production line</v>
      </c>
    </row>
    <row r="8691" spans="1:4" ht="13.8">
      <c r="A8691" s="47" t="s">
        <v>17699</v>
      </c>
      <c r="B8691" s="92" t="s">
        <v>17418</v>
      </c>
      <c r="C8691" s="92" t="s">
        <v>17700</v>
      </c>
      <c r="D8691" s="72" t="str">
        <f>IFERROR(VLOOKUP(A8691,'[1]ST-QA-ZZ5'!$C$5:$M$299,11,0),"Inspection at production line")</f>
        <v>Inspection at production line</v>
      </c>
    </row>
    <row r="8692" spans="1:4" ht="13.8">
      <c r="A8692" s="47" t="s">
        <v>17701</v>
      </c>
      <c r="B8692" s="92" t="s">
        <v>17702</v>
      </c>
      <c r="C8692" s="92" t="s">
        <v>17703</v>
      </c>
      <c r="D8692" s="72" t="str">
        <f>IFERROR(VLOOKUP(A8692,'[1]ST-QA-ZZ5'!$C$5:$M$299,11,0),"Inspection at production line")</f>
        <v>Inspection at production line</v>
      </c>
    </row>
    <row r="8693" spans="1:4" ht="13.8">
      <c r="A8693" s="47" t="s">
        <v>17704</v>
      </c>
      <c r="B8693" s="92" t="s">
        <v>17705</v>
      </c>
      <c r="C8693" s="92" t="s">
        <v>17706</v>
      </c>
      <c r="D8693" s="72" t="str">
        <f>IFERROR(VLOOKUP(A8693,'[1]ST-QA-ZZ5'!$C$5:$M$299,11,0),"Inspection at production line")</f>
        <v>Inspection at production line</v>
      </c>
    </row>
    <row r="8694" spans="1:4" ht="13.8">
      <c r="A8694" s="47" t="s">
        <v>17707</v>
      </c>
      <c r="B8694" s="92" t="s">
        <v>17708</v>
      </c>
      <c r="C8694" s="92" t="s">
        <v>17709</v>
      </c>
      <c r="D8694" s="72" t="str">
        <f>IFERROR(VLOOKUP(A8694,'[1]ST-QA-ZZ5'!$C$5:$M$299,11,0),"Inspection at production line")</f>
        <v>Inspection at production line</v>
      </c>
    </row>
    <row r="8695" spans="1:4" ht="13.8">
      <c r="A8695" s="47" t="s">
        <v>17710</v>
      </c>
      <c r="B8695" s="92" t="s">
        <v>17711</v>
      </c>
      <c r="C8695" s="92" t="s">
        <v>17712</v>
      </c>
      <c r="D8695" s="72" t="str">
        <f>IFERROR(VLOOKUP(A8695,'[1]ST-QA-ZZ5'!$C$5:$M$299,11,0),"Inspection at production line")</f>
        <v>Inspection at production line</v>
      </c>
    </row>
    <row r="8696" spans="1:4" ht="13.8">
      <c r="A8696" s="47" t="s">
        <v>17713</v>
      </c>
      <c r="B8696" s="92" t="s">
        <v>17714</v>
      </c>
      <c r="C8696" s="92" t="s">
        <v>17715</v>
      </c>
      <c r="D8696" s="72" t="str">
        <f>IFERROR(VLOOKUP(A8696,'[1]ST-QA-ZZ5'!$C$5:$M$299,11,0),"Inspection at production line")</f>
        <v>Inspection at production line</v>
      </c>
    </row>
    <row r="8697" spans="1:4" ht="13.8">
      <c r="A8697" s="47" t="s">
        <v>17716</v>
      </c>
      <c r="B8697" s="92" t="s">
        <v>17717</v>
      </c>
      <c r="C8697" s="92" t="s">
        <v>17718</v>
      </c>
      <c r="D8697" s="72" t="str">
        <f>IFERROR(VLOOKUP(A8697,'[1]ST-QA-ZZ5'!$C$5:$M$299,11,0),"Inspection at production line")</f>
        <v>Inspection at production line</v>
      </c>
    </row>
    <row r="8698" spans="1:4" ht="13.8">
      <c r="A8698" s="47" t="s">
        <v>17719</v>
      </c>
      <c r="B8698" s="92" t="s">
        <v>17720</v>
      </c>
      <c r="C8698" s="92" t="s">
        <v>17721</v>
      </c>
      <c r="D8698" s="72" t="str">
        <f>IFERROR(VLOOKUP(A8698,'[1]ST-QA-ZZ5'!$C$5:$M$299,11,0),"Inspection at production line")</f>
        <v>Inspection at production line</v>
      </c>
    </row>
    <row r="8699" spans="1:4" ht="13.8">
      <c r="A8699" s="47" t="s">
        <v>17722</v>
      </c>
      <c r="B8699" s="92" t="s">
        <v>17723</v>
      </c>
      <c r="C8699" s="92" t="s">
        <v>17724</v>
      </c>
      <c r="D8699" s="72" t="str">
        <f>IFERROR(VLOOKUP(A8699,'[1]ST-QA-ZZ5'!$C$5:$M$299,11,0),"Inspection at production line")</f>
        <v>Inspection at production line</v>
      </c>
    </row>
    <row r="8700" spans="1:4" ht="13.8">
      <c r="A8700" s="47" t="s">
        <v>17725</v>
      </c>
      <c r="B8700" s="92" t="s">
        <v>17720</v>
      </c>
      <c r="C8700" s="92" t="s">
        <v>17726</v>
      </c>
      <c r="D8700" s="72" t="str">
        <f>IFERROR(VLOOKUP(A8700,'[1]ST-QA-ZZ5'!$C$5:$M$299,11,0),"Inspection at production line")</f>
        <v>Inspection at production line</v>
      </c>
    </row>
    <row r="8701" spans="1:4" ht="13.8">
      <c r="A8701" s="47" t="s">
        <v>17727</v>
      </c>
      <c r="B8701" s="92" t="s">
        <v>17728</v>
      </c>
      <c r="C8701" s="92" t="s">
        <v>17728</v>
      </c>
      <c r="D8701" s="72" t="str">
        <f>IFERROR(VLOOKUP(A8701,'[1]ST-QA-ZZ5'!$C$5:$M$299,11,0),"Inspection at production line")</f>
        <v>Inspection at production line</v>
      </c>
    </row>
    <row r="8702" spans="1:4" ht="13.8">
      <c r="A8702" s="47" t="s">
        <v>17729</v>
      </c>
      <c r="B8702" s="92" t="s">
        <v>17730</v>
      </c>
      <c r="C8702" s="92" t="s">
        <v>17730</v>
      </c>
      <c r="D8702" s="72" t="str">
        <f>IFERROR(VLOOKUP(A8702,'[1]ST-QA-ZZ5'!$C$5:$M$299,11,0),"Inspection at production line")</f>
        <v>Inspection at production line</v>
      </c>
    </row>
    <row r="8703" spans="1:4" ht="13.8">
      <c r="A8703" s="47" t="s">
        <v>17731</v>
      </c>
      <c r="B8703" s="92" t="s">
        <v>17732</v>
      </c>
      <c r="C8703" s="92" t="s">
        <v>17732</v>
      </c>
      <c r="D8703" s="72" t="str">
        <f>IFERROR(VLOOKUP(A8703,'[1]ST-QA-ZZ5'!$C$5:$M$299,11,0),"Inspection at production line")</f>
        <v>Inspection at production line</v>
      </c>
    </row>
    <row r="8704" spans="1:4" ht="13.8">
      <c r="A8704" s="47" t="s">
        <v>17733</v>
      </c>
      <c r="B8704" s="92" t="s">
        <v>17734</v>
      </c>
      <c r="C8704" s="92" t="s">
        <v>17734</v>
      </c>
      <c r="D8704" s="72" t="str">
        <f>IFERROR(VLOOKUP(A8704,'[1]ST-QA-ZZ5'!$C$5:$M$299,11,0),"Inspection at production line")</f>
        <v>Inspection at production line</v>
      </c>
    </row>
    <row r="8705" spans="1:4" ht="13.8">
      <c r="A8705" s="47" t="s">
        <v>17735</v>
      </c>
      <c r="B8705" s="92" t="s">
        <v>17736</v>
      </c>
      <c r="C8705" s="92" t="s">
        <v>17736</v>
      </c>
      <c r="D8705" s="72" t="str">
        <f>IFERROR(VLOOKUP(A8705,'[1]ST-QA-ZZ5'!$C$5:$M$299,11,0),"Inspection at production line")</f>
        <v>Inspection at production line</v>
      </c>
    </row>
    <row r="8706" spans="1:4" ht="13.8">
      <c r="A8706" s="47" t="s">
        <v>17737</v>
      </c>
      <c r="B8706" s="92" t="s">
        <v>17738</v>
      </c>
      <c r="C8706" s="92" t="s">
        <v>17739</v>
      </c>
      <c r="D8706" s="72" t="str">
        <f>IFERROR(VLOOKUP(A8706,'[1]ST-QA-ZZ5'!$C$5:$M$299,11,0),"Inspection at production line")</f>
        <v>Inspection at production line</v>
      </c>
    </row>
    <row r="8707" spans="1:4" ht="13.8">
      <c r="A8707" s="47" t="s">
        <v>17740</v>
      </c>
      <c r="B8707" s="92" t="s">
        <v>17738</v>
      </c>
      <c r="C8707" s="92" t="s">
        <v>17741</v>
      </c>
      <c r="D8707" s="72" t="str">
        <f>IFERROR(VLOOKUP(A8707,'[1]ST-QA-ZZ5'!$C$5:$M$299,11,0),"Inspection at production line")</f>
        <v>Inspection at production line</v>
      </c>
    </row>
    <row r="8708" spans="1:4" ht="13.8">
      <c r="A8708" s="47" t="s">
        <v>17742</v>
      </c>
      <c r="B8708" s="92" t="s">
        <v>17743</v>
      </c>
      <c r="C8708" s="92" t="s">
        <v>17744</v>
      </c>
      <c r="D8708" s="72" t="str">
        <f>IFERROR(VLOOKUP(A8708,'[1]ST-QA-ZZ5'!$C$5:$M$299,11,0),"Inspection at production line")</f>
        <v>Inspection at production line</v>
      </c>
    </row>
    <row r="8709" spans="1:4" ht="13.8">
      <c r="A8709" s="47" t="s">
        <v>18236</v>
      </c>
      <c r="B8709" s="92" t="s">
        <v>18237</v>
      </c>
      <c r="C8709" s="92" t="s">
        <v>18238</v>
      </c>
      <c r="D8709" s="72" t="str">
        <f>IFERROR(VLOOKUP(A8709,'[1]ST-QA-ZZ5'!$C$5:$M$299,11,0),"Inspection at production line")</f>
        <v>Inspection at production line</v>
      </c>
    </row>
    <row r="8710" spans="1:4" ht="13.8">
      <c r="A8710" s="47" t="s">
        <v>17745</v>
      </c>
      <c r="B8710" s="92" t="s">
        <v>17746</v>
      </c>
      <c r="C8710" s="92" t="s">
        <v>17746</v>
      </c>
      <c r="D8710" s="72" t="str">
        <f>IFERROR(VLOOKUP(A8710,'[1]ST-QA-ZZ5'!$C$5:$M$299,11,0),"Inspection at production line")</f>
        <v>Inspection at production line</v>
      </c>
    </row>
    <row r="8711" spans="1:4" ht="13.8">
      <c r="A8711" s="47" t="s">
        <v>17747</v>
      </c>
      <c r="B8711" s="92" t="s">
        <v>17748</v>
      </c>
      <c r="C8711" s="92" t="s">
        <v>17748</v>
      </c>
      <c r="D8711" s="72" t="str">
        <f>IFERROR(VLOOKUP(A8711,'[1]ST-QA-ZZ5'!$C$5:$M$299,11,0),"Inspection at production line")</f>
        <v>Inspection at production line</v>
      </c>
    </row>
    <row r="8712" spans="1:4" ht="13.8">
      <c r="A8712" s="47" t="s">
        <v>17749</v>
      </c>
      <c r="B8712" s="92" t="s">
        <v>17750</v>
      </c>
      <c r="C8712" s="92" t="s">
        <v>17750</v>
      </c>
      <c r="D8712" s="72" t="str">
        <f>IFERROR(VLOOKUP(A8712,'[1]ST-QA-ZZ5'!$C$5:$M$299,11,0),"Inspection at production line")</f>
        <v>Inspection at production line</v>
      </c>
    </row>
    <row r="8713" spans="1:4" ht="13.8">
      <c r="A8713" s="47" t="s">
        <v>17751</v>
      </c>
      <c r="B8713" s="92" t="s">
        <v>17752</v>
      </c>
      <c r="C8713" s="92" t="s">
        <v>17752</v>
      </c>
      <c r="D8713" s="72" t="str">
        <f>IFERROR(VLOOKUP(A8713,'[1]ST-QA-ZZ5'!$C$5:$M$299,11,0),"Inspection at production line")</f>
        <v>Inspection at production line</v>
      </c>
    </row>
    <row r="8714" spans="1:4" ht="13.8">
      <c r="A8714" s="47" t="s">
        <v>17753</v>
      </c>
      <c r="B8714" s="92" t="s">
        <v>17754</v>
      </c>
      <c r="C8714" s="92" t="s">
        <v>17754</v>
      </c>
      <c r="D8714" s="72" t="str">
        <f>IFERROR(VLOOKUP(A8714,'[1]ST-QA-ZZ5'!$C$5:$M$299,11,0),"Inspection at production line")</f>
        <v>Inspection at production line</v>
      </c>
    </row>
    <row r="8715" spans="1:4" ht="13.8">
      <c r="A8715" s="47" t="s">
        <v>17755</v>
      </c>
      <c r="B8715" s="92" t="s">
        <v>2198</v>
      </c>
      <c r="C8715" s="92" t="s">
        <v>17756</v>
      </c>
      <c r="D8715" s="72" t="str">
        <f>IFERROR(VLOOKUP(A8715,'[1]ST-QA-ZZ5'!$C$5:$M$299,11,0),"Inspection at production line")</f>
        <v>Inspection at production line</v>
      </c>
    </row>
    <row r="8716" spans="1:4" ht="13.8">
      <c r="A8716" s="47" t="s">
        <v>17757</v>
      </c>
      <c r="B8716" s="92" t="s">
        <v>17758</v>
      </c>
      <c r="C8716" s="92" t="s">
        <v>17759</v>
      </c>
      <c r="D8716" s="72" t="str">
        <f>IFERROR(VLOOKUP(A8716,'[1]ST-QA-ZZ5'!$C$5:$M$299,11,0),"Inspection at production line")</f>
        <v>Inspection at production line</v>
      </c>
    </row>
    <row r="8717" spans="1:4" ht="13.8">
      <c r="A8717" s="47" t="s">
        <v>17760</v>
      </c>
      <c r="B8717" s="92" t="s">
        <v>17761</v>
      </c>
      <c r="C8717" s="92" t="s">
        <v>17762</v>
      </c>
      <c r="D8717" s="72" t="str">
        <f>IFERROR(VLOOKUP(A8717,'[1]ST-QA-ZZ5'!$C$5:$M$299,11,0),"Inspection at production line")</f>
        <v>Inspection at production line</v>
      </c>
    </row>
    <row r="8718" spans="1:4" ht="13.8">
      <c r="A8718" s="47" t="s">
        <v>17763</v>
      </c>
      <c r="B8718" s="92" t="s">
        <v>17764</v>
      </c>
      <c r="C8718" s="92" t="s">
        <v>17764</v>
      </c>
      <c r="D8718" s="72" t="str">
        <f>IFERROR(VLOOKUP(A8718,'[1]ST-QA-ZZ5'!$C$5:$M$299,11,0),"Inspection at production line")</f>
        <v>Inspection at production line</v>
      </c>
    </row>
    <row r="8719" spans="1:4" ht="13.8">
      <c r="A8719" s="47" t="s">
        <v>17765</v>
      </c>
      <c r="B8719" s="92" t="s">
        <v>17766</v>
      </c>
      <c r="C8719" s="92" t="s">
        <v>17767</v>
      </c>
      <c r="D8719" s="72" t="str">
        <f>IFERROR(VLOOKUP(A8719,'[1]ST-QA-ZZ5'!$C$5:$M$299,11,0),"Inspection at production line")</f>
        <v>Inspection at production line</v>
      </c>
    </row>
    <row r="8720" spans="1:4" ht="13.8">
      <c r="A8720" s="47" t="s">
        <v>17768</v>
      </c>
      <c r="B8720" s="92" t="s">
        <v>17769</v>
      </c>
      <c r="C8720" s="92" t="s">
        <v>17770</v>
      </c>
      <c r="D8720" s="72" t="str">
        <f>IFERROR(VLOOKUP(A8720,'[1]ST-QA-ZZ5'!$C$5:$M$299,11,0),"Inspection at production line")</f>
        <v>Inspection at production line</v>
      </c>
    </row>
    <row r="8721" spans="1:4" ht="13.8">
      <c r="A8721" s="47" t="s">
        <v>17771</v>
      </c>
      <c r="B8721" s="92" t="s">
        <v>17772</v>
      </c>
      <c r="C8721" s="92" t="s">
        <v>17773</v>
      </c>
      <c r="D8721" s="72" t="str">
        <f>IFERROR(VLOOKUP(A8721,'[1]ST-QA-ZZ5'!$C$5:$M$299,11,0),"Inspection at production line")</f>
        <v>Inspection at production line</v>
      </c>
    </row>
    <row r="8722" spans="1:4" ht="13.8">
      <c r="A8722" s="47" t="s">
        <v>17774</v>
      </c>
      <c r="B8722" s="92" t="s">
        <v>17775</v>
      </c>
      <c r="C8722" s="92" t="s">
        <v>17776</v>
      </c>
      <c r="D8722" s="72" t="str">
        <f>IFERROR(VLOOKUP(A8722,'[1]ST-QA-ZZ5'!$C$5:$M$299,11,0),"Inspection at production line")</f>
        <v>Inspection at production line</v>
      </c>
    </row>
    <row r="8723" spans="1:4" ht="13.8">
      <c r="A8723" s="47" t="s">
        <v>17777</v>
      </c>
      <c r="B8723" s="92" t="s">
        <v>17778</v>
      </c>
      <c r="C8723" s="92" t="s">
        <v>17779</v>
      </c>
      <c r="D8723" s="72" t="str">
        <f>IFERROR(VLOOKUP(A8723,'[1]ST-QA-ZZ5'!$C$5:$M$299,11,0),"Inspection at production line")</f>
        <v>Inspection at production line</v>
      </c>
    </row>
    <row r="8724" spans="1:4" ht="13.8">
      <c r="A8724" s="47" t="s">
        <v>17780</v>
      </c>
      <c r="B8724" s="92" t="s">
        <v>17781</v>
      </c>
      <c r="C8724" s="92" t="s">
        <v>17782</v>
      </c>
      <c r="D8724" s="72" t="str">
        <f>IFERROR(VLOOKUP(A8724,'[1]ST-QA-ZZ5'!$C$5:$M$299,11,0),"Inspection at production line")</f>
        <v>Inspection at production line</v>
      </c>
    </row>
    <row r="8725" spans="1:4" ht="13.8">
      <c r="A8725" s="47" t="s">
        <v>17783</v>
      </c>
      <c r="B8725" s="92" t="s">
        <v>17781</v>
      </c>
      <c r="C8725" s="92" t="s">
        <v>17784</v>
      </c>
      <c r="D8725" s="72" t="str">
        <f>IFERROR(VLOOKUP(A8725,'[1]ST-QA-ZZ5'!$C$5:$M$299,11,0),"Inspection at production line")</f>
        <v>Inspection at production line</v>
      </c>
    </row>
    <row r="8726" spans="1:4" ht="13.8">
      <c r="A8726" s="47" t="s">
        <v>17785</v>
      </c>
      <c r="B8726" s="92" t="s">
        <v>17781</v>
      </c>
      <c r="C8726" s="92" t="s">
        <v>17786</v>
      </c>
      <c r="D8726" s="72" t="str">
        <f>IFERROR(VLOOKUP(A8726,'[1]ST-QA-ZZ5'!$C$5:$M$299,11,0),"Inspection at production line")</f>
        <v>Inspection at production line</v>
      </c>
    </row>
    <row r="8727" spans="1:4" ht="13.8">
      <c r="A8727" s="47" t="s">
        <v>17787</v>
      </c>
      <c r="B8727" s="92" t="s">
        <v>17781</v>
      </c>
      <c r="C8727" s="92" t="s">
        <v>17788</v>
      </c>
      <c r="D8727" s="72" t="str">
        <f>IFERROR(VLOOKUP(A8727,'[1]ST-QA-ZZ5'!$C$5:$M$299,11,0),"Inspection at production line")</f>
        <v>Inspection at production line</v>
      </c>
    </row>
    <row r="8728" spans="1:4" ht="13.8">
      <c r="A8728" s="47" t="s">
        <v>17789</v>
      </c>
      <c r="B8728" s="92" t="s">
        <v>17790</v>
      </c>
      <c r="C8728" s="92" t="s">
        <v>17791</v>
      </c>
      <c r="D8728" s="72" t="str">
        <f>IFERROR(VLOOKUP(A8728,'[1]ST-QA-ZZ5'!$C$5:$M$299,11,0),"Inspection at production line")</f>
        <v>Inspection at production line</v>
      </c>
    </row>
    <row r="8729" spans="1:4" ht="13.8">
      <c r="A8729" s="47" t="s">
        <v>17792</v>
      </c>
      <c r="B8729" s="92" t="s">
        <v>17793</v>
      </c>
      <c r="C8729" s="92" t="s">
        <v>17794</v>
      </c>
      <c r="D8729" s="72" t="str">
        <f>IFERROR(VLOOKUP(A8729,'[1]ST-QA-ZZ5'!$C$5:$M$299,11,0),"Inspection at production line")</f>
        <v>Inspection at production line</v>
      </c>
    </row>
    <row r="8730" spans="1:4" ht="13.8">
      <c r="A8730" s="47" t="s">
        <v>17795</v>
      </c>
      <c r="B8730" s="92" t="s">
        <v>17796</v>
      </c>
      <c r="C8730" s="92" t="s">
        <v>17797</v>
      </c>
      <c r="D8730" s="72" t="str">
        <f>IFERROR(VLOOKUP(A8730,'[1]ST-QA-ZZ5'!$C$5:$M$299,11,0),"Inspection at production line")</f>
        <v>Inspection at production line</v>
      </c>
    </row>
    <row r="8731" spans="1:4" ht="13.8">
      <c r="A8731" s="47" t="s">
        <v>17798</v>
      </c>
      <c r="B8731" s="92" t="s">
        <v>17799</v>
      </c>
      <c r="C8731" s="92" t="s">
        <v>17800</v>
      </c>
      <c r="D8731" s="72" t="str">
        <f>IFERROR(VLOOKUP(A8731,'[1]ST-QA-ZZ5'!$C$5:$M$299,11,0),"Inspection at production line")</f>
        <v>Inspection at production line</v>
      </c>
    </row>
    <row r="8732" spans="1:4" ht="13.8">
      <c r="A8732" s="47" t="s">
        <v>17801</v>
      </c>
      <c r="B8732" s="92" t="s">
        <v>17802</v>
      </c>
      <c r="C8732" s="92" t="s">
        <v>17803</v>
      </c>
      <c r="D8732" s="72" t="str">
        <f>IFERROR(VLOOKUP(A8732,'[1]ST-QA-ZZ5'!$C$5:$M$299,11,0),"Inspection at production line")</f>
        <v>Inspection at production line</v>
      </c>
    </row>
    <row r="8733" spans="1:4" ht="13.8">
      <c r="A8733" s="47" t="s">
        <v>17804</v>
      </c>
      <c r="B8733" s="92" t="s">
        <v>17805</v>
      </c>
      <c r="C8733" s="92" t="s">
        <v>17806</v>
      </c>
      <c r="D8733" s="72" t="str">
        <f>IFERROR(VLOOKUP(A8733,'[1]ST-QA-ZZ5'!$C$5:$M$299,11,0),"Inspection at production line")</f>
        <v>Inspection at production line</v>
      </c>
    </row>
    <row r="8734" spans="1:4" ht="13.8">
      <c r="A8734" s="47" t="s">
        <v>17807</v>
      </c>
      <c r="B8734" s="92" t="s">
        <v>17808</v>
      </c>
      <c r="C8734" s="92" t="s">
        <v>17809</v>
      </c>
      <c r="D8734" s="72" t="str">
        <f>IFERROR(VLOOKUP(A8734,'[1]ST-QA-ZZ5'!$C$5:$M$299,11,0),"Inspection at production line")</f>
        <v>Inspection at production line</v>
      </c>
    </row>
    <row r="8735" spans="1:4" ht="13.8">
      <c r="A8735" s="47" t="s">
        <v>17810</v>
      </c>
      <c r="B8735" s="92" t="s">
        <v>17811</v>
      </c>
      <c r="C8735" s="92" t="s">
        <v>17812</v>
      </c>
      <c r="D8735" s="72" t="str">
        <f>IFERROR(VLOOKUP(A8735,'[1]ST-QA-ZZ5'!$C$5:$M$299,11,0),"Inspection at production line")</f>
        <v>Inspection at production line</v>
      </c>
    </row>
    <row r="8736" spans="1:4" ht="13.8">
      <c r="A8736" s="47" t="s">
        <v>17813</v>
      </c>
      <c r="B8736" s="92" t="s">
        <v>17814</v>
      </c>
      <c r="C8736" s="92" t="s">
        <v>17815</v>
      </c>
      <c r="D8736" s="72" t="str">
        <f>IFERROR(VLOOKUP(A8736,'[1]ST-QA-ZZ5'!$C$5:$M$299,11,0),"Inspection at production line")</f>
        <v>Inspection at production line</v>
      </c>
    </row>
    <row r="8737" spans="1:4" ht="13.8">
      <c r="A8737" s="47" t="s">
        <v>17816</v>
      </c>
      <c r="B8737" s="92" t="s">
        <v>17796</v>
      </c>
      <c r="C8737" s="92" t="s">
        <v>17797</v>
      </c>
      <c r="D8737" s="72" t="str">
        <f>IFERROR(VLOOKUP(A8737,'[1]ST-QA-ZZ5'!$C$5:$M$299,11,0),"Inspection at production line")</f>
        <v>Inspection at production line</v>
      </c>
    </row>
    <row r="8738" spans="1:4" ht="13.8">
      <c r="A8738" s="47" t="s">
        <v>17817</v>
      </c>
      <c r="B8738" s="92" t="s">
        <v>17818</v>
      </c>
      <c r="C8738" s="92" t="s">
        <v>17819</v>
      </c>
      <c r="D8738" s="72" t="str">
        <f>IFERROR(VLOOKUP(A8738,'[1]ST-QA-ZZ5'!$C$5:$M$299,11,0),"Inspection at production line")</f>
        <v>Inspection at production line</v>
      </c>
    </row>
    <row r="8739" spans="1:4" ht="13.8">
      <c r="A8739" s="47" t="s">
        <v>17820</v>
      </c>
      <c r="B8739" s="92" t="s">
        <v>17821</v>
      </c>
      <c r="C8739" s="92" t="s">
        <v>17822</v>
      </c>
      <c r="D8739" s="72" t="str">
        <f>IFERROR(VLOOKUP(A8739,'[1]ST-QA-ZZ5'!$C$5:$M$299,11,0),"Inspection at production line")</f>
        <v>Inspection at production line</v>
      </c>
    </row>
    <row r="8740" spans="1:4" ht="13.8">
      <c r="A8740" s="47" t="s">
        <v>17823</v>
      </c>
      <c r="B8740" s="92" t="s">
        <v>17824</v>
      </c>
      <c r="C8740" s="92" t="s">
        <v>17825</v>
      </c>
      <c r="D8740" s="72" t="str">
        <f>IFERROR(VLOOKUP(A8740,'[1]ST-QA-ZZ5'!$C$5:$M$299,11,0),"Inspection at production line")</f>
        <v>Inspection at production line</v>
      </c>
    </row>
    <row r="8741" spans="1:4" ht="13.8">
      <c r="A8741" s="47" t="s">
        <v>17826</v>
      </c>
      <c r="B8741" s="92" t="s">
        <v>17827</v>
      </c>
      <c r="C8741" s="92" t="s">
        <v>17828</v>
      </c>
      <c r="D8741" s="72" t="str">
        <f>IFERROR(VLOOKUP(A8741,'[1]ST-QA-ZZ5'!$C$5:$M$299,11,0),"Inspection at production line")</f>
        <v>Inspection at production line</v>
      </c>
    </row>
    <row r="8742" spans="1:4" ht="13.8">
      <c r="A8742" s="47" t="s">
        <v>17829</v>
      </c>
      <c r="B8742" s="92" t="s">
        <v>17830</v>
      </c>
      <c r="C8742" s="92" t="s">
        <v>17831</v>
      </c>
      <c r="D8742" s="72" t="str">
        <f>IFERROR(VLOOKUP(A8742,'[1]ST-QA-ZZ5'!$C$5:$M$299,11,0),"Inspection at production line")</f>
        <v>Inspection at production line</v>
      </c>
    </row>
    <row r="8743" spans="1:4" ht="13.8">
      <c r="A8743" s="47" t="s">
        <v>17832</v>
      </c>
      <c r="B8743" s="92" t="s">
        <v>17824</v>
      </c>
      <c r="C8743" s="92" t="s">
        <v>17825</v>
      </c>
      <c r="D8743" s="72" t="str">
        <f>IFERROR(VLOOKUP(A8743,'[1]ST-QA-ZZ5'!$C$5:$M$299,11,0),"Inspection at production line")</f>
        <v>Inspection at production line</v>
      </c>
    </row>
    <row r="8744" spans="1:4" ht="13.8">
      <c r="A8744" s="47" t="s">
        <v>17833</v>
      </c>
      <c r="B8744" s="92" t="s">
        <v>17834</v>
      </c>
      <c r="C8744" s="92" t="s">
        <v>17835</v>
      </c>
      <c r="D8744" s="72" t="str">
        <f>IFERROR(VLOOKUP(A8744,'[1]ST-QA-ZZ5'!$C$5:$M$299,11,0),"Inspection at production line")</f>
        <v>Inspection at production line</v>
      </c>
    </row>
    <row r="8745" spans="1:4" ht="13.8">
      <c r="A8745" s="47" t="s">
        <v>17836</v>
      </c>
      <c r="B8745" s="92" t="s">
        <v>17837</v>
      </c>
      <c r="C8745" s="92" t="s">
        <v>17838</v>
      </c>
      <c r="D8745" s="72" t="str">
        <f>IFERROR(VLOOKUP(A8745,'[1]ST-QA-ZZ5'!$C$5:$M$299,11,0),"Inspection at production line")</f>
        <v>Inspection at production line</v>
      </c>
    </row>
    <row r="8746" spans="1:4" ht="13.8">
      <c r="A8746" s="47" t="s">
        <v>17839</v>
      </c>
      <c r="B8746" s="92" t="s">
        <v>17840</v>
      </c>
      <c r="C8746" s="92" t="s">
        <v>17841</v>
      </c>
      <c r="D8746" s="72" t="str">
        <f>IFERROR(VLOOKUP(A8746,'[1]ST-QA-ZZ5'!$C$5:$M$299,11,0),"Inspection at production line")</f>
        <v>Inspection at production line</v>
      </c>
    </row>
    <row r="8747" spans="1:4" ht="13.8">
      <c r="A8747" s="47" t="s">
        <v>17842</v>
      </c>
      <c r="B8747" s="92" t="s">
        <v>17843</v>
      </c>
      <c r="C8747" s="92" t="s">
        <v>17843</v>
      </c>
      <c r="D8747" s="72" t="str">
        <f>IFERROR(VLOOKUP(A8747,'[1]ST-QA-ZZ5'!$C$5:$M$299,11,0),"Inspection at production line")</f>
        <v>Inspection at production line</v>
      </c>
    </row>
    <row r="8748" spans="1:4" ht="13.8">
      <c r="A8748" s="47" t="s">
        <v>17844</v>
      </c>
      <c r="B8748" s="92" t="s">
        <v>17845</v>
      </c>
      <c r="C8748" s="92" t="s">
        <v>17845</v>
      </c>
      <c r="D8748" s="72" t="str">
        <f>IFERROR(VLOOKUP(A8748,'[1]ST-QA-ZZ5'!$C$5:$M$299,11,0),"Inspection at production line")</f>
        <v>Inspection at production line</v>
      </c>
    </row>
    <row r="8749" spans="1:4" ht="13.8">
      <c r="A8749" s="47" t="s">
        <v>17846</v>
      </c>
      <c r="B8749" s="92" t="s">
        <v>17847</v>
      </c>
      <c r="C8749" s="92" t="s">
        <v>17847</v>
      </c>
      <c r="D8749" s="72" t="str">
        <f>IFERROR(VLOOKUP(A8749,'[1]ST-QA-ZZ5'!$C$5:$M$299,11,0),"Inspection at production line")</f>
        <v>Inspection at production line</v>
      </c>
    </row>
    <row r="8750" spans="1:4" ht="13.8">
      <c r="A8750" s="47" t="s">
        <v>17848</v>
      </c>
      <c r="B8750" s="92" t="s">
        <v>17849</v>
      </c>
      <c r="C8750" s="92" t="s">
        <v>17849</v>
      </c>
      <c r="D8750" s="72" t="str">
        <f>IFERROR(VLOOKUP(A8750,'[1]ST-QA-ZZ5'!$C$5:$M$299,11,0),"Inspection at production line")</f>
        <v>Inspection at production line</v>
      </c>
    </row>
    <row r="8751" spans="1:4" ht="13.8">
      <c r="A8751" s="47" t="s">
        <v>17850</v>
      </c>
      <c r="B8751" s="92" t="s">
        <v>17682</v>
      </c>
      <c r="C8751" s="92" t="s">
        <v>17851</v>
      </c>
      <c r="D8751" s="72" t="str">
        <f>IFERROR(VLOOKUP(A8751,'[1]ST-QA-ZZ5'!$C$5:$M$299,11,0),"Inspection at production line")</f>
        <v>Inspection at production line</v>
      </c>
    </row>
    <row r="8752" spans="1:4" ht="13.8">
      <c r="A8752" s="47" t="s">
        <v>17852</v>
      </c>
      <c r="B8752" s="92" t="s">
        <v>17853</v>
      </c>
      <c r="C8752" s="92" t="s">
        <v>17853</v>
      </c>
      <c r="D8752" s="72" t="str">
        <f>IFERROR(VLOOKUP(A8752,'[1]ST-QA-ZZ5'!$C$5:$M$299,11,0),"Inspection at production line")</f>
        <v>Inspection at production line</v>
      </c>
    </row>
    <row r="8753" spans="1:19" ht="13.8">
      <c r="A8753" s="47" t="s">
        <v>2404</v>
      </c>
      <c r="B8753" s="92" t="s">
        <v>785</v>
      </c>
      <c r="C8753" s="92" t="s">
        <v>2405</v>
      </c>
      <c r="D8753" s="72" t="str">
        <f>IFERROR(VLOOKUP(A8753,'[1]ST-QA-ZZ5'!$C$5:$M$299,11,0),"Inspection at production line")</f>
        <v>Inspection at production line</v>
      </c>
    </row>
    <row r="8754" spans="1:19" ht="13.8">
      <c r="A8754" s="47" t="s">
        <v>17854</v>
      </c>
      <c r="B8754" s="92" t="s">
        <v>17855</v>
      </c>
      <c r="C8754" s="92" t="s">
        <v>17856</v>
      </c>
      <c r="D8754" s="72" t="str">
        <f>IFERROR(VLOOKUP(A8754,'[1]ST-QA-ZZ5'!$C$5:$M$299,11,0),"Inspection at production line")</f>
        <v>Inspection at production line</v>
      </c>
      <c r="Q8754" s="75"/>
      <c r="R8754" s="75"/>
      <c r="S8754" s="75"/>
    </row>
    <row r="8755" spans="1:19" ht="13.8">
      <c r="A8755" s="47" t="s">
        <v>17857</v>
      </c>
      <c r="B8755" s="92" t="s">
        <v>404</v>
      </c>
      <c r="C8755" s="92" t="s">
        <v>17858</v>
      </c>
      <c r="D8755" s="72" t="str">
        <f>IFERROR(VLOOKUP(A8755,'[1]ST-QA-ZZ5'!$C$5:$M$299,11,0),"Inspection at production line")</f>
        <v>Inspection at production line</v>
      </c>
    </row>
    <row r="8756" spans="1:19" ht="13.8">
      <c r="A8756" s="47" t="s">
        <v>17859</v>
      </c>
      <c r="B8756" s="92" t="s">
        <v>404</v>
      </c>
      <c r="C8756" s="92" t="s">
        <v>17860</v>
      </c>
      <c r="D8756" s="72" t="str">
        <f>IFERROR(VLOOKUP(A8756,'[1]ST-QA-ZZ5'!$C$5:$M$299,11,0),"Inspection at production line")</f>
        <v>Inspection at production line</v>
      </c>
    </row>
    <row r="8757" spans="1:19" ht="13.8">
      <c r="A8757" s="47" t="s">
        <v>17861</v>
      </c>
      <c r="B8757" s="92" t="s">
        <v>404</v>
      </c>
      <c r="C8757" s="92" t="s">
        <v>17862</v>
      </c>
      <c r="D8757" s="72" t="str">
        <f>IFERROR(VLOOKUP(A8757,'[1]ST-QA-ZZ5'!$C$5:$M$299,11,0),"Inspection at production line")</f>
        <v>Inspection at production line</v>
      </c>
    </row>
    <row r="8758" spans="1:19" ht="13.8">
      <c r="A8758" s="47" t="s">
        <v>17863</v>
      </c>
      <c r="B8758" s="92" t="s">
        <v>404</v>
      </c>
      <c r="C8758" s="92" t="s">
        <v>17864</v>
      </c>
      <c r="D8758" s="72" t="str">
        <f>IFERROR(VLOOKUP(A8758,'[1]ST-QA-ZZ5'!$C$5:$M$299,11,0),"Inspection at production line")</f>
        <v>Inspection at production line</v>
      </c>
    </row>
    <row r="8759" spans="1:19" ht="13.8">
      <c r="A8759" s="47" t="s">
        <v>17865</v>
      </c>
      <c r="B8759" s="92" t="s">
        <v>404</v>
      </c>
      <c r="C8759" s="92" t="s">
        <v>17866</v>
      </c>
      <c r="D8759" s="72" t="str">
        <f>IFERROR(VLOOKUP(A8759,'[1]ST-QA-ZZ5'!$C$5:$M$299,11,0),"Inspection at production line")</f>
        <v>Inspection at production line</v>
      </c>
    </row>
    <row r="8760" spans="1:19" ht="13.8">
      <c r="A8760" s="47" t="s">
        <v>17867</v>
      </c>
      <c r="B8760" s="92" t="s">
        <v>17868</v>
      </c>
      <c r="C8760" s="92" t="s">
        <v>17869</v>
      </c>
      <c r="D8760" s="72" t="str">
        <f>IFERROR(VLOOKUP(A8760,'[1]ST-QA-ZZ5'!$C$5:$M$299,11,0),"Inspection at production line")</f>
        <v>Inspection at production line</v>
      </c>
    </row>
    <row r="8761" spans="1:19" ht="13.8">
      <c r="A8761" s="47" t="s">
        <v>17870</v>
      </c>
      <c r="B8761" s="92" t="s">
        <v>1016</v>
      </c>
      <c r="C8761" s="92" t="s">
        <v>17871</v>
      </c>
      <c r="D8761" s="72" t="str">
        <f>IFERROR(VLOOKUP(A8761,'[1]ST-QA-ZZ5'!$C$5:$M$299,11,0),"Inspection at production line")</f>
        <v>Inspection at production line</v>
      </c>
    </row>
    <row r="8762" spans="1:19" ht="13.8">
      <c r="A8762" s="47" t="s">
        <v>17872</v>
      </c>
      <c r="B8762" s="92" t="s">
        <v>1016</v>
      </c>
      <c r="C8762" s="92" t="s">
        <v>17873</v>
      </c>
      <c r="D8762" s="72" t="str">
        <f>IFERROR(VLOOKUP(A8762,'[1]ST-QA-ZZ5'!$C$5:$M$299,11,0),"Inspection at production line")</f>
        <v>Inspection at production line</v>
      </c>
    </row>
    <row r="8763" spans="1:19" ht="13.8">
      <c r="A8763" s="47" t="s">
        <v>17874</v>
      </c>
      <c r="B8763" s="92" t="s">
        <v>1167</v>
      </c>
      <c r="C8763" s="92" t="s">
        <v>1798</v>
      </c>
      <c r="D8763" s="72" t="str">
        <f>IFERROR(VLOOKUP(A8763,'[1]ST-QA-ZZ5'!$C$5:$M$299,11,0),"Inspection at production line")</f>
        <v>Inspection at production line</v>
      </c>
    </row>
    <row r="8764" spans="1:19" ht="13.8">
      <c r="A8764" s="47" t="s">
        <v>17875</v>
      </c>
      <c r="B8764" s="92" t="s">
        <v>1167</v>
      </c>
      <c r="C8764" s="92" t="s">
        <v>17876</v>
      </c>
      <c r="D8764" s="72" t="str">
        <f>IFERROR(VLOOKUP(A8764,'[1]ST-QA-ZZ5'!$C$5:$M$299,11,0),"Inspection at production line")</f>
        <v>Inspection at production line</v>
      </c>
    </row>
    <row r="8765" spans="1:19" ht="13.8">
      <c r="A8765" s="47" t="s">
        <v>17877</v>
      </c>
      <c r="B8765" s="92" t="s">
        <v>1167</v>
      </c>
      <c r="C8765" s="92" t="s">
        <v>17878</v>
      </c>
      <c r="D8765" s="72" t="str">
        <f>IFERROR(VLOOKUP(A8765,'[1]ST-QA-ZZ5'!$C$5:$M$299,11,0),"Inspection at production line")</f>
        <v>Inspection at production line</v>
      </c>
    </row>
    <row r="8766" spans="1:19" ht="13.8">
      <c r="A8766" s="47" t="s">
        <v>17879</v>
      </c>
      <c r="B8766" s="92" t="s">
        <v>1167</v>
      </c>
      <c r="C8766" s="92" t="s">
        <v>15946</v>
      </c>
      <c r="D8766" s="72" t="str">
        <f>IFERROR(VLOOKUP(A8766,'[1]ST-QA-ZZ5'!$C$5:$M$299,11,0),"Inspection at production line")</f>
        <v>Inspection at production line</v>
      </c>
    </row>
    <row r="8767" spans="1:19" ht="13.8">
      <c r="A8767" s="47" t="s">
        <v>17880</v>
      </c>
      <c r="B8767" s="92" t="s">
        <v>1167</v>
      </c>
      <c r="C8767" s="92" t="s">
        <v>17881</v>
      </c>
      <c r="D8767" s="72" t="str">
        <f>IFERROR(VLOOKUP(A8767,'[1]ST-QA-ZZ5'!$C$5:$M$299,11,0),"Inspection at production line")</f>
        <v>Inspection at production line</v>
      </c>
    </row>
    <row r="8768" spans="1:19" ht="13.8">
      <c r="A8768" s="47" t="s">
        <v>17882</v>
      </c>
      <c r="B8768" s="92" t="s">
        <v>397</v>
      </c>
      <c r="C8768" s="92" t="s">
        <v>13500</v>
      </c>
      <c r="D8768" s="72" t="str">
        <f>IFERROR(VLOOKUP(A8768,'[1]ST-QA-ZZ5'!$C$5:$M$299,11,0),"Inspection at production line")</f>
        <v>Inspection at production line</v>
      </c>
    </row>
    <row r="8769" spans="1:4" ht="13.8">
      <c r="A8769" s="47" t="s">
        <v>17883</v>
      </c>
      <c r="B8769" s="92" t="s">
        <v>397</v>
      </c>
      <c r="C8769" s="92" t="s">
        <v>17884</v>
      </c>
      <c r="D8769" s="72" t="str">
        <f>IFERROR(VLOOKUP(A8769,'[1]ST-QA-ZZ5'!$C$5:$M$299,11,0),"Inspection at production line")</f>
        <v>Inspection at production line</v>
      </c>
    </row>
    <row r="8770" spans="1:4" ht="13.8">
      <c r="A8770" s="47" t="s">
        <v>17885</v>
      </c>
      <c r="B8770" s="92" t="s">
        <v>397</v>
      </c>
      <c r="C8770" s="92" t="s">
        <v>2364</v>
      </c>
      <c r="D8770" s="72" t="str">
        <f>IFERROR(VLOOKUP(A8770,'[1]ST-QA-ZZ5'!$C$5:$M$299,11,0),"Inspection at production line")</f>
        <v>Inspection at production line</v>
      </c>
    </row>
    <row r="8771" spans="1:4" ht="13.8">
      <c r="A8771" s="47" t="s">
        <v>17886</v>
      </c>
      <c r="B8771" s="92" t="s">
        <v>397</v>
      </c>
      <c r="C8771" s="92" t="s">
        <v>17887</v>
      </c>
      <c r="D8771" s="72" t="str">
        <f>IFERROR(VLOOKUP(A8771,'[1]ST-QA-ZZ5'!$C$5:$M$299,11,0),"Inspection at production line")</f>
        <v>Inspection at production line</v>
      </c>
    </row>
    <row r="8772" spans="1:4" ht="13.8">
      <c r="A8772" s="47" t="s">
        <v>17888</v>
      </c>
      <c r="B8772" s="92" t="s">
        <v>17889</v>
      </c>
      <c r="C8772" s="92"/>
      <c r="D8772" s="72" t="str">
        <f>IFERROR(VLOOKUP(A8772,'[1]ST-QA-ZZ5'!$C$5:$M$299,11,0),"Inspection at production line")</f>
        <v>Inspection at production line</v>
      </c>
    </row>
    <row r="8773" spans="1:4" ht="13.8">
      <c r="A8773" s="47" t="s">
        <v>17890</v>
      </c>
      <c r="B8773" s="92" t="s">
        <v>17891</v>
      </c>
      <c r="C8773" s="92" t="s">
        <v>33</v>
      </c>
    </row>
    <row r="8774" spans="1:4" ht="13.8">
      <c r="A8774" s="47" t="s">
        <v>17892</v>
      </c>
      <c r="B8774" s="92" t="s">
        <v>17893</v>
      </c>
      <c r="C8774" s="92" t="s">
        <v>2151</v>
      </c>
    </row>
    <row r="8775" spans="1:4" ht="13.8">
      <c r="A8775" s="47" t="s">
        <v>17894</v>
      </c>
      <c r="B8775" s="92" t="s">
        <v>17893</v>
      </c>
      <c r="C8775" s="92" t="s">
        <v>2170</v>
      </c>
    </row>
    <row r="8776" spans="1:4" ht="13.8">
      <c r="A8776" s="47" t="s">
        <v>17895</v>
      </c>
      <c r="B8776" s="92" t="s">
        <v>17896</v>
      </c>
      <c r="C8776" s="92" t="s">
        <v>17897</v>
      </c>
    </row>
    <row r="8777" spans="1:4" ht="13.8">
      <c r="A8777" s="47" t="s">
        <v>17898</v>
      </c>
      <c r="B8777" s="92" t="s">
        <v>17899</v>
      </c>
      <c r="C8777" s="92" t="s">
        <v>17900</v>
      </c>
    </row>
    <row r="8778" spans="1:4" ht="13.8">
      <c r="A8778" s="47" t="s">
        <v>17901</v>
      </c>
      <c r="B8778" s="92" t="s">
        <v>17902</v>
      </c>
      <c r="C8778" s="92" t="s">
        <v>17903</v>
      </c>
    </row>
    <row r="8779" spans="1:4" ht="13.8">
      <c r="A8779" s="47" t="s">
        <v>17904</v>
      </c>
      <c r="B8779" s="92" t="s">
        <v>1167</v>
      </c>
      <c r="C8779" s="92" t="s">
        <v>17905</v>
      </c>
    </row>
    <row r="8780" spans="1:4" ht="13.8">
      <c r="A8780" s="47" t="s">
        <v>17906</v>
      </c>
      <c r="B8780" s="92" t="s">
        <v>994</v>
      </c>
      <c r="C8780" s="92" t="s">
        <v>1475</v>
      </c>
    </row>
    <row r="8781" spans="1:4" ht="13.8">
      <c r="A8781" s="47" t="s">
        <v>17907</v>
      </c>
      <c r="B8781" s="92" t="s">
        <v>994</v>
      </c>
      <c r="C8781" s="92" t="s">
        <v>1465</v>
      </c>
    </row>
    <row r="8782" spans="1:4" ht="13.8">
      <c r="A8782" s="47" t="s">
        <v>17908</v>
      </c>
      <c r="B8782" s="92" t="s">
        <v>785</v>
      </c>
      <c r="C8782" s="92" t="s">
        <v>17909</v>
      </c>
    </row>
    <row r="8783" spans="1:4" ht="13.8">
      <c r="A8783" s="47" t="s">
        <v>17910</v>
      </c>
      <c r="B8783" s="92" t="s">
        <v>90</v>
      </c>
      <c r="C8783" s="92" t="s">
        <v>17911</v>
      </c>
    </row>
    <row r="8784" spans="1:4" ht="13.8">
      <c r="A8784" s="47" t="s">
        <v>17912</v>
      </c>
      <c r="B8784" s="92" t="s">
        <v>811</v>
      </c>
      <c r="C8784" s="92" t="s">
        <v>17913</v>
      </c>
    </row>
    <row r="8785" spans="1:3" ht="13.8">
      <c r="A8785" s="47" t="s">
        <v>17914</v>
      </c>
      <c r="B8785" s="92" t="s">
        <v>17915</v>
      </c>
      <c r="C8785" s="92" t="s">
        <v>17916</v>
      </c>
    </row>
    <row r="8786" spans="1:3" ht="13.8">
      <c r="A8786" s="47" t="s">
        <v>17917</v>
      </c>
      <c r="B8786" s="92" t="s">
        <v>17918</v>
      </c>
      <c r="C8786" s="92" t="s">
        <v>17919</v>
      </c>
    </row>
    <row r="8787" spans="1:3" ht="13.8">
      <c r="A8787" s="47" t="s">
        <v>17920</v>
      </c>
      <c r="B8787" s="92" t="s">
        <v>905</v>
      </c>
      <c r="C8787" s="92" t="s">
        <v>17921</v>
      </c>
    </row>
    <row r="8788" spans="1:3" ht="13.8">
      <c r="A8788" s="47" t="s">
        <v>17922</v>
      </c>
      <c r="B8788" s="92" t="s">
        <v>17923</v>
      </c>
      <c r="C8788" s="92" t="s">
        <v>17924</v>
      </c>
    </row>
    <row r="8789" spans="1:3" ht="13.8">
      <c r="A8789" s="47" t="s">
        <v>17925</v>
      </c>
      <c r="B8789" s="92" t="s">
        <v>17926</v>
      </c>
      <c r="C8789" s="92" t="s">
        <v>17927</v>
      </c>
    </row>
    <row r="8790" spans="1:3" ht="13.8">
      <c r="A8790" s="47" t="s">
        <v>17928</v>
      </c>
      <c r="B8790" s="92" t="s">
        <v>17929</v>
      </c>
      <c r="C8790" s="92" t="s">
        <v>17930</v>
      </c>
    </row>
    <row r="8791" spans="1:3" ht="13.8">
      <c r="A8791" s="47" t="s">
        <v>17931</v>
      </c>
      <c r="B8791" s="92" t="s">
        <v>17932</v>
      </c>
      <c r="C8791" s="92" t="s">
        <v>17933</v>
      </c>
    </row>
    <row r="8792" spans="1:3" ht="13.8">
      <c r="A8792" s="47" t="s">
        <v>17934</v>
      </c>
      <c r="B8792" s="92" t="s">
        <v>17935</v>
      </c>
      <c r="C8792" s="92" t="s">
        <v>17936</v>
      </c>
    </row>
    <row r="8793" spans="1:3" ht="13.8">
      <c r="A8793" s="47" t="s">
        <v>17937</v>
      </c>
      <c r="B8793" s="92" t="s">
        <v>17938</v>
      </c>
      <c r="C8793" s="92" t="s">
        <v>17939</v>
      </c>
    </row>
    <row r="8794" spans="1:3" ht="13.8">
      <c r="A8794" s="47" t="s">
        <v>17940</v>
      </c>
      <c r="B8794" s="92" t="s">
        <v>17941</v>
      </c>
      <c r="C8794" s="92" t="s">
        <v>17942</v>
      </c>
    </row>
    <row r="8795" spans="1:3" ht="13.8">
      <c r="A8795" s="47" t="s">
        <v>17943</v>
      </c>
      <c r="B8795" s="92" t="s">
        <v>17944</v>
      </c>
      <c r="C8795" s="92" t="s">
        <v>17945</v>
      </c>
    </row>
    <row r="8796" spans="1:3" ht="13.8">
      <c r="A8796" s="47" t="s">
        <v>17946</v>
      </c>
      <c r="B8796" s="92" t="s">
        <v>17947</v>
      </c>
      <c r="C8796" s="92" t="s">
        <v>17948</v>
      </c>
    </row>
    <row r="8797" spans="1:3" ht="13.8">
      <c r="A8797" s="47" t="s">
        <v>17949</v>
      </c>
      <c r="B8797" s="92" t="s">
        <v>17947</v>
      </c>
      <c r="C8797" s="92" t="s">
        <v>17950</v>
      </c>
    </row>
    <row r="8798" spans="1:3" ht="13.8">
      <c r="A8798" s="47" t="s">
        <v>17951</v>
      </c>
      <c r="B8798" s="92" t="s">
        <v>17952</v>
      </c>
      <c r="C8798" s="92" t="s">
        <v>17953</v>
      </c>
    </row>
    <row r="8799" spans="1:3" ht="13.8">
      <c r="A8799" s="47" t="s">
        <v>17954</v>
      </c>
      <c r="B8799" s="92" t="s">
        <v>17955</v>
      </c>
      <c r="C8799" s="92"/>
    </row>
    <row r="8800" spans="1:3" ht="13.8">
      <c r="A8800" s="47" t="s">
        <v>17956</v>
      </c>
      <c r="B8800" s="92" t="s">
        <v>17957</v>
      </c>
      <c r="C8800" s="92"/>
    </row>
    <row r="8801" spans="1:3" ht="13.8">
      <c r="A8801" s="47" t="s">
        <v>17958</v>
      </c>
      <c r="B8801" s="92" t="s">
        <v>17959</v>
      </c>
      <c r="C8801" s="92"/>
    </row>
    <row r="8802" spans="1:3" ht="13.8">
      <c r="A8802" s="47" t="s">
        <v>17960</v>
      </c>
      <c r="B8802" s="92" t="s">
        <v>745</v>
      </c>
      <c r="C8802" s="92" t="s">
        <v>17961</v>
      </c>
    </row>
    <row r="8803" spans="1:3" ht="13.8">
      <c r="A8803" s="47" t="s">
        <v>17962</v>
      </c>
      <c r="B8803" s="92" t="s">
        <v>745</v>
      </c>
      <c r="C8803" s="92" t="s">
        <v>17963</v>
      </c>
    </row>
    <row r="8804" spans="1:3" ht="13.8">
      <c r="A8804" s="47" t="s">
        <v>17964</v>
      </c>
      <c r="B8804" s="92" t="s">
        <v>745</v>
      </c>
      <c r="C8804" s="92" t="s">
        <v>17965</v>
      </c>
    </row>
    <row r="8805" spans="1:3" ht="13.8">
      <c r="A8805" s="47" t="s">
        <v>17966</v>
      </c>
      <c r="B8805" s="92" t="s">
        <v>397</v>
      </c>
      <c r="C8805" s="92" t="s">
        <v>17967</v>
      </c>
    </row>
    <row r="8806" spans="1:3" ht="13.8">
      <c r="A8806" s="47" t="s">
        <v>17968</v>
      </c>
      <c r="B8806" s="92" t="s">
        <v>17969</v>
      </c>
      <c r="C8806" s="92" t="s">
        <v>17970</v>
      </c>
    </row>
    <row r="8807" spans="1:3" ht="13.8">
      <c r="A8807" s="47" t="s">
        <v>17971</v>
      </c>
      <c r="B8807" s="92" t="s">
        <v>17972</v>
      </c>
      <c r="C8807" s="92" t="s">
        <v>17973</v>
      </c>
    </row>
    <row r="8808" spans="1:3" ht="13.8">
      <c r="A8808" s="47" t="s">
        <v>17974</v>
      </c>
      <c r="B8808" s="92" t="s">
        <v>371</v>
      </c>
      <c r="C8808" s="92" t="s">
        <v>17975</v>
      </c>
    </row>
    <row r="8809" spans="1:3" ht="13.8">
      <c r="A8809" s="47" t="s">
        <v>17976</v>
      </c>
      <c r="B8809" s="92" t="s">
        <v>7159</v>
      </c>
      <c r="C8809" s="92" t="s">
        <v>33</v>
      </c>
    </row>
    <row r="8810" spans="1:3" ht="13.8">
      <c r="A8810" s="47" t="s">
        <v>17977</v>
      </c>
      <c r="B8810" s="92" t="s">
        <v>174</v>
      </c>
      <c r="C8810" s="92" t="s">
        <v>17978</v>
      </c>
    </row>
    <row r="8811" spans="1:3" ht="13.8">
      <c r="A8811" s="47" t="s">
        <v>17979</v>
      </c>
      <c r="B8811" s="92" t="s">
        <v>811</v>
      </c>
      <c r="C8811" s="92" t="s">
        <v>5369</v>
      </c>
    </row>
    <row r="8812" spans="1:3" ht="13.8">
      <c r="A8812" s="47" t="s">
        <v>17980</v>
      </c>
      <c r="B8812" s="92" t="s">
        <v>14791</v>
      </c>
      <c r="C8812" s="92" t="s">
        <v>17981</v>
      </c>
    </row>
    <row r="8813" spans="1:3" ht="13.8">
      <c r="A8813" s="47" t="s">
        <v>17982</v>
      </c>
      <c r="B8813" s="92" t="s">
        <v>14791</v>
      </c>
      <c r="C8813" s="92" t="s">
        <v>17983</v>
      </c>
    </row>
    <row r="8814" spans="1:3" ht="13.8">
      <c r="A8814" s="47" t="s">
        <v>17984</v>
      </c>
      <c r="B8814" s="92" t="s">
        <v>213</v>
      </c>
      <c r="C8814" s="92" t="s">
        <v>17985</v>
      </c>
    </row>
    <row r="8815" spans="1:3" ht="13.8">
      <c r="A8815" s="47" t="s">
        <v>17986</v>
      </c>
      <c r="B8815" s="92" t="s">
        <v>555</v>
      </c>
      <c r="C8815" s="92" t="s">
        <v>17987</v>
      </c>
    </row>
    <row r="8816" spans="1:3" ht="13.8">
      <c r="A8816" s="47" t="s">
        <v>17988</v>
      </c>
      <c r="B8816" s="92" t="s">
        <v>555</v>
      </c>
      <c r="C8816" s="92" t="s">
        <v>17989</v>
      </c>
    </row>
    <row r="8817" spans="1:3" ht="13.8">
      <c r="A8817" s="47" t="s">
        <v>17990</v>
      </c>
      <c r="B8817" s="92" t="s">
        <v>811</v>
      </c>
      <c r="C8817" s="92" t="s">
        <v>17991</v>
      </c>
    </row>
    <row r="8818" spans="1:3" ht="13.8">
      <c r="A8818" s="47" t="s">
        <v>17992</v>
      </c>
      <c r="B8818" s="92" t="s">
        <v>397</v>
      </c>
      <c r="C8818" s="92" t="s">
        <v>17993</v>
      </c>
    </row>
    <row r="8819" spans="1:3" ht="13.8">
      <c r="A8819" s="47" t="s">
        <v>17994</v>
      </c>
      <c r="B8819" s="92" t="s">
        <v>1233</v>
      </c>
      <c r="C8819" s="92" t="s">
        <v>17995</v>
      </c>
    </row>
    <row r="8820" spans="1:3" ht="13.8">
      <c r="A8820" s="47" t="s">
        <v>17996</v>
      </c>
      <c r="B8820" s="92" t="s">
        <v>6443</v>
      </c>
      <c r="C8820" s="92" t="s">
        <v>17997</v>
      </c>
    </row>
    <row r="8821" spans="1:3" ht="13.8">
      <c r="A8821" s="47" t="s">
        <v>17998</v>
      </c>
      <c r="B8821" s="92" t="s">
        <v>6443</v>
      </c>
      <c r="C8821" s="92" t="s">
        <v>17999</v>
      </c>
    </row>
    <row r="8822" spans="1:3" ht="13.8">
      <c r="A8822" s="47" t="s">
        <v>18000</v>
      </c>
      <c r="B8822" s="92" t="s">
        <v>6443</v>
      </c>
      <c r="C8822" s="92" t="s">
        <v>18001</v>
      </c>
    </row>
    <row r="8823" spans="1:3" ht="13.8">
      <c r="A8823" s="47" t="s">
        <v>18002</v>
      </c>
      <c r="B8823" s="92" t="s">
        <v>6443</v>
      </c>
      <c r="C8823" s="92" t="s">
        <v>18003</v>
      </c>
    </row>
    <row r="8824" spans="1:3" ht="13.8">
      <c r="A8824" s="47" t="s">
        <v>18004</v>
      </c>
      <c r="B8824" s="92" t="s">
        <v>6443</v>
      </c>
      <c r="C8824" s="92" t="s">
        <v>18005</v>
      </c>
    </row>
    <row r="8825" spans="1:3" ht="13.8">
      <c r="A8825" s="47" t="s">
        <v>18006</v>
      </c>
      <c r="B8825" s="92" t="s">
        <v>1302</v>
      </c>
      <c r="C8825" s="92" t="s">
        <v>18007</v>
      </c>
    </row>
    <row r="8826" spans="1:3" ht="13.8">
      <c r="A8826" s="47" t="s">
        <v>18008</v>
      </c>
      <c r="B8826" s="92" t="s">
        <v>841</v>
      </c>
      <c r="C8826" s="92" t="s">
        <v>18009</v>
      </c>
    </row>
    <row r="8827" spans="1:3" ht="13.8">
      <c r="A8827" s="47" t="s">
        <v>18010</v>
      </c>
      <c r="B8827" s="92" t="s">
        <v>18011</v>
      </c>
      <c r="C8827" s="92" t="s">
        <v>18012</v>
      </c>
    </row>
    <row r="8828" spans="1:3" ht="13.8">
      <c r="A8828" s="47" t="s">
        <v>18013</v>
      </c>
      <c r="B8828" s="92" t="s">
        <v>1946</v>
      </c>
      <c r="C8828" s="92" t="s">
        <v>18014</v>
      </c>
    </row>
    <row r="8829" spans="1:3" ht="13.8">
      <c r="A8829" s="47" t="s">
        <v>18015</v>
      </c>
      <c r="B8829" s="92" t="s">
        <v>4014</v>
      </c>
      <c r="C8829" s="92" t="s">
        <v>18014</v>
      </c>
    </row>
    <row r="8830" spans="1:3" ht="13.8">
      <c r="A8830" s="47" t="s">
        <v>18016</v>
      </c>
      <c r="B8830" s="92" t="s">
        <v>819</v>
      </c>
      <c r="C8830" s="92" t="s">
        <v>18017</v>
      </c>
    </row>
    <row r="8831" spans="1:3" ht="13.8">
      <c r="A8831" s="47" t="s">
        <v>18018</v>
      </c>
      <c r="B8831" s="92" t="s">
        <v>819</v>
      </c>
      <c r="C8831" s="92" t="s">
        <v>18019</v>
      </c>
    </row>
    <row r="8832" spans="1:3" ht="13.8">
      <c r="A8832" s="47" t="s">
        <v>18020</v>
      </c>
      <c r="B8832" s="92" t="s">
        <v>18021</v>
      </c>
      <c r="C8832" s="92" t="s">
        <v>18022</v>
      </c>
    </row>
    <row r="8833" spans="1:3" ht="13.8">
      <c r="A8833" s="47" t="s">
        <v>18023</v>
      </c>
      <c r="B8833" s="92" t="s">
        <v>18024</v>
      </c>
      <c r="C8833" s="92" t="s">
        <v>18025</v>
      </c>
    </row>
    <row r="8834" spans="1:3" ht="13.8">
      <c r="A8834" s="47" t="s">
        <v>18026</v>
      </c>
      <c r="B8834" s="92" t="s">
        <v>18027</v>
      </c>
      <c r="C8834" s="92" t="s">
        <v>18027</v>
      </c>
    </row>
    <row r="8835" spans="1:3" ht="13.8">
      <c r="A8835" s="47" t="s">
        <v>18028</v>
      </c>
      <c r="B8835" s="92" t="s">
        <v>18029</v>
      </c>
      <c r="C8835" s="92" t="s">
        <v>18030</v>
      </c>
    </row>
    <row r="8836" spans="1:3" ht="13.8">
      <c r="A8836" s="47" t="s">
        <v>18031</v>
      </c>
      <c r="B8836" s="92" t="s">
        <v>994</v>
      </c>
      <c r="C8836" s="92" t="s">
        <v>18032</v>
      </c>
    </row>
    <row r="8837" spans="1:3" ht="13.8">
      <c r="A8837" s="47" t="s">
        <v>18033</v>
      </c>
      <c r="B8837" s="92" t="s">
        <v>18034</v>
      </c>
      <c r="C8837" s="92" t="s">
        <v>18035</v>
      </c>
    </row>
    <row r="8838" spans="1:3" ht="13.8">
      <c r="A8838" s="47" t="s">
        <v>18036</v>
      </c>
      <c r="B8838" s="92" t="s">
        <v>18037</v>
      </c>
      <c r="C8838" s="92" t="s">
        <v>18037</v>
      </c>
    </row>
    <row r="8839" spans="1:3" ht="13.8">
      <c r="A8839" s="47" t="s">
        <v>18038</v>
      </c>
      <c r="B8839" s="92" t="s">
        <v>18039</v>
      </c>
      <c r="C8839" s="92" t="s">
        <v>18039</v>
      </c>
    </row>
    <row r="8840" spans="1:3" ht="13.8">
      <c r="A8840" s="47" t="s">
        <v>18040</v>
      </c>
      <c r="B8840" s="92" t="s">
        <v>18041</v>
      </c>
      <c r="C8840" s="92" t="s">
        <v>18041</v>
      </c>
    </row>
    <row r="8841" spans="1:3" ht="13.8">
      <c r="A8841" s="47" t="s">
        <v>18042</v>
      </c>
      <c r="B8841" s="92" t="s">
        <v>17329</v>
      </c>
      <c r="C8841" s="92" t="s">
        <v>17330</v>
      </c>
    </row>
    <row r="8842" spans="1:3" ht="13.8">
      <c r="A8842" s="47" t="s">
        <v>18043</v>
      </c>
      <c r="B8842" s="92" t="s">
        <v>18044</v>
      </c>
      <c r="C8842" s="92" t="s">
        <v>18045</v>
      </c>
    </row>
  </sheetData>
  <autoFilter ref="F1:F8814" xr:uid="{00000000-0009-0000-0000-000001000000}"/>
  <mergeCells count="5">
    <mergeCell ref="A1:G1"/>
    <mergeCell ref="A8:C8"/>
    <mergeCell ref="F8:K8"/>
    <mergeCell ref="A9:C9"/>
    <mergeCell ref="F9:K9"/>
  </mergeCells>
  <phoneticPr fontId="3"/>
  <hyperlinks>
    <hyperlink ref="D3" r:id="rId1" xr:uid="{00000000-0004-0000-0100-000000000000}"/>
    <hyperlink ref="D2" r:id="rId2" xr:uid="{00000000-0004-0000-0100-000001000000}"/>
    <hyperlink ref="A9" r:id="rId3" xr:uid="{00000000-0004-0000-0100-000002000000}"/>
  </hyperlinks>
  <pageMargins left="0.7" right="0.7" top="0.75" bottom="0.75" header="0.3" footer="0.3"/>
  <pageSetup paperSize="9"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U1060"/>
  <sheetViews>
    <sheetView tabSelected="1" zoomScale="80" zoomScaleNormal="80" workbookViewId="0">
      <pane xSplit="1" ySplit="2" topLeftCell="B306" activePane="bottomRight" state="frozen"/>
      <selection pane="topRight" activeCell="B1" sqref="B1"/>
      <selection pane="bottomLeft" activeCell="A3" sqref="A3"/>
      <selection pane="bottomRight" activeCell="C322" sqref="C322"/>
    </sheetView>
  </sheetViews>
  <sheetFormatPr defaultRowHeight="13.8"/>
  <cols>
    <col min="1" max="1" width="21" customWidth="1"/>
    <col min="2" max="2" width="50.8984375" customWidth="1"/>
    <col min="3" max="3" width="32.59765625" style="57" customWidth="1"/>
    <col min="4" max="4" width="18.19921875" style="57" customWidth="1"/>
    <col min="5" max="5" width="31" customWidth="1"/>
    <col min="6" max="6" width="8.8984375" customWidth="1"/>
    <col min="7" max="7" width="15.8984375" customWidth="1"/>
    <col min="8" max="8" width="18.59765625" customWidth="1"/>
    <col min="9" max="9" width="25.09765625" customWidth="1"/>
    <col min="10" max="10" width="43.69921875" customWidth="1"/>
    <col min="11" max="11" width="25" customWidth="1"/>
    <col min="12" max="12" width="8.59765625" customWidth="1"/>
    <col min="13" max="13" width="8.69921875" customWidth="1"/>
    <col min="14" max="14" width="88.5" customWidth="1"/>
    <col min="15" max="15" width="8.69921875" customWidth="1"/>
    <col min="16" max="16" width="25.09765625" style="47" customWidth="1"/>
    <col min="17" max="17" width="26.19921875" customWidth="1"/>
    <col min="18" max="18" width="11.5" style="42" customWidth="1"/>
    <col min="19" max="19" width="14.59765625" customWidth="1"/>
    <col min="20" max="20" width="14.59765625" style="42" customWidth="1"/>
    <col min="21" max="21" width="26.5" style="42" customWidth="1"/>
    <col min="22" max="22" width="30.8984375" style="45" customWidth="1"/>
    <col min="23" max="23" width="27.3984375" style="45" customWidth="1"/>
    <col min="24" max="24" width="29.09765625" style="47" customWidth="1"/>
    <col min="25" max="25" width="21.09765625" style="47" customWidth="1"/>
    <col min="26" max="26" width="31.19921875" style="47" customWidth="1"/>
    <col min="27" max="27" width="24.5" style="42" customWidth="1"/>
    <col min="28" max="28" width="42.5" customWidth="1"/>
    <col min="29" max="29" width="16.8984375" customWidth="1"/>
    <col min="30" max="30" width="16.8984375" style="42" customWidth="1"/>
    <col min="31" max="32" width="16.8984375" customWidth="1"/>
    <col min="33" max="33" width="18.8984375" customWidth="1"/>
    <col min="34" max="34" width="14.5" bestFit="1" customWidth="1"/>
    <col min="35" max="35" width="18.8984375" customWidth="1"/>
    <col min="36" max="39" width="18.3984375" customWidth="1"/>
    <col min="40" max="40" width="12.3984375" style="22" customWidth="1"/>
    <col min="41" max="41" width="9.59765625" style="22" customWidth="1"/>
    <col min="42" max="42" width="23.5" style="22" customWidth="1"/>
  </cols>
  <sheetData>
    <row r="1" spans="1:47" s="1" customFormat="1" ht="52.2" customHeight="1" thickBot="1">
      <c r="A1" s="125" t="s">
        <v>0</v>
      </c>
      <c r="B1" s="125"/>
      <c r="C1" s="125"/>
      <c r="D1" s="126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51"/>
      <c r="T1" s="235" t="s">
        <v>18674</v>
      </c>
      <c r="U1" s="237" t="s">
        <v>19201</v>
      </c>
      <c r="V1" s="124" t="s">
        <v>1</v>
      </c>
      <c r="W1" s="124"/>
      <c r="X1" s="124"/>
      <c r="Y1" s="210"/>
      <c r="Z1" s="52"/>
      <c r="AA1" s="123" t="s">
        <v>2</v>
      </c>
      <c r="AB1" s="123"/>
      <c r="AC1" s="123"/>
      <c r="AD1" s="123" t="s">
        <v>3</v>
      </c>
      <c r="AE1" s="122"/>
      <c r="AF1" s="122"/>
      <c r="AG1" s="119" t="s">
        <v>4</v>
      </c>
      <c r="AH1" s="120"/>
      <c r="AI1" s="121"/>
      <c r="AJ1" s="117" t="s">
        <v>5</v>
      </c>
      <c r="AK1" s="118"/>
      <c r="AL1" s="118"/>
      <c r="AM1" s="118"/>
      <c r="AN1" s="232" t="s">
        <v>18254</v>
      </c>
      <c r="AO1" s="232"/>
      <c r="AP1" s="232"/>
      <c r="AR1" s="86"/>
      <c r="AS1" s="87"/>
      <c r="AU1" s="1" t="s">
        <v>18252</v>
      </c>
    </row>
    <row r="2" spans="1:47" s="21" customFormat="1" ht="43.95" customHeight="1">
      <c r="A2" s="3" t="s">
        <v>6</v>
      </c>
      <c r="B2" s="2" t="s">
        <v>7</v>
      </c>
      <c r="C2" s="55" t="s">
        <v>8</v>
      </c>
      <c r="D2" s="55" t="s">
        <v>9</v>
      </c>
      <c r="E2" s="2" t="s">
        <v>10</v>
      </c>
      <c r="F2" s="2" t="s">
        <v>11</v>
      </c>
      <c r="G2" s="4" t="s">
        <v>12</v>
      </c>
      <c r="H2" s="3" t="s">
        <v>13</v>
      </c>
      <c r="I2" s="233" t="s">
        <v>14</v>
      </c>
      <c r="J2" s="234"/>
      <c r="K2" s="5" t="s">
        <v>15</v>
      </c>
      <c r="L2" s="5" t="s">
        <v>16</v>
      </c>
      <c r="M2" s="3" t="s">
        <v>17</v>
      </c>
      <c r="N2" s="3" t="s">
        <v>18</v>
      </c>
      <c r="O2" s="6" t="s">
        <v>19</v>
      </c>
      <c r="P2" s="5" t="s">
        <v>20</v>
      </c>
      <c r="Q2" s="5"/>
      <c r="R2" s="53" t="s">
        <v>628</v>
      </c>
      <c r="S2" s="5" t="s">
        <v>49</v>
      </c>
      <c r="T2" s="236"/>
      <c r="U2" s="238"/>
      <c r="V2" s="7" t="s">
        <v>566</v>
      </c>
      <c r="W2" s="43" t="s">
        <v>567</v>
      </c>
      <c r="X2" s="8" t="s">
        <v>568</v>
      </c>
      <c r="Y2" s="211" t="s">
        <v>19223</v>
      </c>
      <c r="Z2" s="54" t="s">
        <v>634</v>
      </c>
      <c r="AA2" s="10" t="s">
        <v>21</v>
      </c>
      <c r="AB2" s="11" t="s">
        <v>22</v>
      </c>
      <c r="AC2" s="12" t="s">
        <v>23</v>
      </c>
      <c r="AD2" s="13" t="s">
        <v>24</v>
      </c>
      <c r="AE2" s="14" t="s">
        <v>25</v>
      </c>
      <c r="AF2" s="15" t="s">
        <v>23</v>
      </c>
      <c r="AG2" s="16" t="s">
        <v>26</v>
      </c>
      <c r="AH2" s="17" t="s">
        <v>27</v>
      </c>
      <c r="AI2" s="18" t="s">
        <v>28</v>
      </c>
      <c r="AJ2" s="19" t="s">
        <v>29</v>
      </c>
      <c r="AK2" s="19" t="s">
        <v>30</v>
      </c>
      <c r="AL2" s="19" t="s">
        <v>31</v>
      </c>
      <c r="AM2" s="20" t="s">
        <v>32</v>
      </c>
      <c r="AN2" s="116" t="s">
        <v>18255</v>
      </c>
      <c r="AO2" s="116" t="s">
        <v>18256</v>
      </c>
      <c r="AP2" s="116" t="s">
        <v>18257</v>
      </c>
      <c r="AR2" s="86"/>
      <c r="AS2" s="88"/>
      <c r="AU2" s="115" t="s">
        <v>18253</v>
      </c>
    </row>
    <row r="3" spans="1:47" ht="17.399999999999999">
      <c r="A3" s="22" t="s">
        <v>18780</v>
      </c>
      <c r="B3" s="22" t="s">
        <v>94</v>
      </c>
      <c r="C3" s="56">
        <v>43780</v>
      </c>
      <c r="D3" s="56">
        <v>43682</v>
      </c>
      <c r="E3" s="22" t="s">
        <v>95</v>
      </c>
      <c r="F3" s="22" t="s">
        <v>33</v>
      </c>
      <c r="G3" s="22" t="s">
        <v>33</v>
      </c>
      <c r="H3" s="22" t="s">
        <v>5083</v>
      </c>
      <c r="I3" s="49" t="s">
        <v>96</v>
      </c>
      <c r="J3" s="50" t="s">
        <v>97</v>
      </c>
      <c r="K3" s="22" t="s">
        <v>98</v>
      </c>
      <c r="L3" s="22" t="s">
        <v>99</v>
      </c>
      <c r="M3" s="22">
        <v>1</v>
      </c>
      <c r="N3" s="22" t="s">
        <v>100</v>
      </c>
      <c r="O3" s="22"/>
      <c r="P3" s="46" t="s">
        <v>685</v>
      </c>
      <c r="Q3" s="40"/>
      <c r="R3" s="41"/>
      <c r="S3" s="22">
        <f t="shared" ref="S3:S66" si="0">IF(A3="","",M3+O3)</f>
        <v>1</v>
      </c>
      <c r="T3" s="41">
        <v>43825</v>
      </c>
      <c r="U3" s="41" t="str">
        <f>IF(OR(P3="FEC-FS",P3="PALTEK",P3="SDSE(TOKE)"),"Upload in customer box","")</f>
        <v>Upload in customer box</v>
      </c>
      <c r="V3" s="44" t="s">
        <v>571</v>
      </c>
      <c r="W3" s="44" t="s">
        <v>571</v>
      </c>
      <c r="X3" s="46" t="s">
        <v>571</v>
      </c>
      <c r="Y3" s="46">
        <v>1</v>
      </c>
      <c r="Z3" s="46" t="s">
        <v>571</v>
      </c>
      <c r="AA3" s="41"/>
      <c r="AB3" s="22"/>
      <c r="AC3" s="22"/>
      <c r="AD3" s="41">
        <v>46265</v>
      </c>
      <c r="AE3" s="22" t="s">
        <v>19442</v>
      </c>
      <c r="AF3" s="22">
        <v>1</v>
      </c>
      <c r="AG3" s="48">
        <f t="shared" ref="AG3:AG66" si="1">IF(A3="","",S3-Y3)</f>
        <v>0</v>
      </c>
      <c r="AH3" s="48">
        <f t="shared" ref="AH3:AH66" si="2">IF(A3="","",Y3-(AC3+AF3))</f>
        <v>0</v>
      </c>
      <c r="AI3" s="48">
        <f t="shared" ref="AI3:AI66" si="3">IF(A3="","",AG3+AH3)</f>
        <v>0</v>
      </c>
      <c r="AJ3" s="40" t="s">
        <v>33</v>
      </c>
      <c r="AK3" s="40">
        <v>45205</v>
      </c>
      <c r="AL3" s="40"/>
      <c r="AM3" s="146"/>
      <c r="AN3" s="136"/>
      <c r="AO3" s="136"/>
      <c r="AP3" s="136"/>
      <c r="AQ3" s="184"/>
    </row>
    <row r="4" spans="1:47" ht="17.399999999999999">
      <c r="A4" s="22" t="s">
        <v>18050</v>
      </c>
      <c r="B4" s="22" t="s">
        <v>94</v>
      </c>
      <c r="C4" s="56">
        <v>43943</v>
      </c>
      <c r="D4" s="56">
        <v>43867</v>
      </c>
      <c r="E4" s="22" t="s">
        <v>18051</v>
      </c>
      <c r="F4" s="22" t="s">
        <v>33</v>
      </c>
      <c r="G4" s="22" t="s">
        <v>33</v>
      </c>
      <c r="H4" s="22" t="s">
        <v>5114</v>
      </c>
      <c r="I4" s="49" t="s">
        <v>174</v>
      </c>
      <c r="J4" s="50" t="s">
        <v>5115</v>
      </c>
      <c r="K4" s="22" t="s">
        <v>215</v>
      </c>
      <c r="L4" s="22" t="s">
        <v>60</v>
      </c>
      <c r="M4" s="22">
        <v>1</v>
      </c>
      <c r="N4" s="22" t="s">
        <v>18052</v>
      </c>
      <c r="O4" s="22"/>
      <c r="P4" s="46" t="s">
        <v>683</v>
      </c>
      <c r="Q4" s="40"/>
      <c r="R4" s="41"/>
      <c r="S4" s="22">
        <f t="shared" si="0"/>
        <v>1</v>
      </c>
      <c r="T4" s="41">
        <v>44036</v>
      </c>
      <c r="U4" s="41" t="str">
        <f t="shared" ref="U4:U67" si="4">IF(OR(P4="FEC-FS",P4="PALTEK",P4="SDSE(TOKE)"),"Upload in customer box","")</f>
        <v>Upload in customer box</v>
      </c>
      <c r="V4" s="44">
        <v>44032</v>
      </c>
      <c r="W4" s="44">
        <v>44036</v>
      </c>
      <c r="X4" s="46" t="s">
        <v>18053</v>
      </c>
      <c r="Y4" s="46">
        <v>1</v>
      </c>
      <c r="Z4" s="46" t="s">
        <v>18054</v>
      </c>
      <c r="AA4" s="41"/>
      <c r="AB4" s="22"/>
      <c r="AC4" s="22"/>
      <c r="AD4" s="41"/>
      <c r="AE4" s="22"/>
      <c r="AF4" s="22"/>
      <c r="AG4" s="48">
        <f t="shared" si="1"/>
        <v>0</v>
      </c>
      <c r="AH4" s="48">
        <f t="shared" si="2"/>
        <v>1</v>
      </c>
      <c r="AI4" s="48">
        <f t="shared" si="3"/>
        <v>1</v>
      </c>
      <c r="AJ4" s="40" t="s">
        <v>33</v>
      </c>
      <c r="AK4" s="40" t="s">
        <v>33</v>
      </c>
      <c r="AL4" s="40"/>
      <c r="AM4" s="22"/>
      <c r="AN4" s="136"/>
      <c r="AO4" s="136"/>
      <c r="AP4" s="136"/>
      <c r="AQ4" s="184"/>
    </row>
    <row r="5" spans="1:47" ht="17.399999999999999">
      <c r="A5" s="22" t="s">
        <v>341</v>
      </c>
      <c r="B5" s="22" t="s">
        <v>94</v>
      </c>
      <c r="C5" s="56" t="s">
        <v>342</v>
      </c>
      <c r="D5" s="56" t="s">
        <v>33</v>
      </c>
      <c r="E5" s="22" t="s">
        <v>33</v>
      </c>
      <c r="F5" s="22" t="s">
        <v>33</v>
      </c>
      <c r="G5" s="22" t="s">
        <v>67</v>
      </c>
      <c r="H5" s="22" t="s">
        <v>343</v>
      </c>
      <c r="I5" s="49" t="s">
        <v>344</v>
      </c>
      <c r="J5" s="50" t="s">
        <v>345</v>
      </c>
      <c r="K5" s="22" t="s">
        <v>346</v>
      </c>
      <c r="L5" s="22" t="s">
        <v>60</v>
      </c>
      <c r="M5" s="22">
        <v>97</v>
      </c>
      <c r="N5" s="22" t="s">
        <v>347</v>
      </c>
      <c r="O5" s="22"/>
      <c r="P5" s="46" t="s">
        <v>681</v>
      </c>
      <c r="Q5" s="40"/>
      <c r="R5" s="41"/>
      <c r="S5" s="22">
        <f t="shared" si="0"/>
        <v>97</v>
      </c>
      <c r="T5" s="41">
        <v>44239</v>
      </c>
      <c r="U5" s="41" t="str">
        <f t="shared" si="4"/>
        <v/>
      </c>
      <c r="V5" s="44">
        <v>44231</v>
      </c>
      <c r="W5" s="44">
        <v>44239</v>
      </c>
      <c r="X5" s="46" t="s">
        <v>599</v>
      </c>
      <c r="Y5" s="46">
        <v>97</v>
      </c>
      <c r="Z5" s="46" t="s">
        <v>638</v>
      </c>
      <c r="AA5" s="41"/>
      <c r="AB5" s="22"/>
      <c r="AC5" s="22"/>
      <c r="AD5" s="41"/>
      <c r="AE5" s="22"/>
      <c r="AF5" s="22"/>
      <c r="AG5" s="48">
        <f t="shared" si="1"/>
        <v>0</v>
      </c>
      <c r="AH5" s="48">
        <f t="shared" si="2"/>
        <v>97</v>
      </c>
      <c r="AI5" s="48">
        <f t="shared" si="3"/>
        <v>97</v>
      </c>
      <c r="AJ5" s="40" t="s">
        <v>33</v>
      </c>
      <c r="AK5" s="40" t="s">
        <v>33</v>
      </c>
      <c r="AL5" s="40"/>
      <c r="AM5" s="22"/>
      <c r="AN5" s="136"/>
      <c r="AO5" s="136"/>
      <c r="AP5" s="136"/>
      <c r="AQ5" s="184"/>
    </row>
    <row r="6" spans="1:47" ht="17.399999999999999">
      <c r="A6" s="22" t="s">
        <v>18781</v>
      </c>
      <c r="B6" s="22" t="s">
        <v>138</v>
      </c>
      <c r="C6" s="56" t="s">
        <v>18782</v>
      </c>
      <c r="D6" s="56" t="s">
        <v>33</v>
      </c>
      <c r="E6" s="22" t="s">
        <v>33</v>
      </c>
      <c r="F6" s="22" t="s">
        <v>33</v>
      </c>
      <c r="G6" s="22" t="s">
        <v>67</v>
      </c>
      <c r="H6" s="22" t="s">
        <v>348</v>
      </c>
      <c r="I6" s="49" t="s">
        <v>349</v>
      </c>
      <c r="J6" s="50" t="s">
        <v>350</v>
      </c>
      <c r="K6" s="22" t="s">
        <v>18783</v>
      </c>
      <c r="L6" s="22" t="s">
        <v>60</v>
      </c>
      <c r="M6" s="22">
        <v>112</v>
      </c>
      <c r="N6" s="22" t="s">
        <v>18784</v>
      </c>
      <c r="O6" s="22"/>
      <c r="P6" s="46" t="s">
        <v>18088</v>
      </c>
      <c r="Q6" s="40"/>
      <c r="R6" s="41"/>
      <c r="S6" s="22">
        <f t="shared" si="0"/>
        <v>112</v>
      </c>
      <c r="T6" s="41">
        <v>44295</v>
      </c>
      <c r="U6" s="41" t="str">
        <f t="shared" si="4"/>
        <v/>
      </c>
      <c r="V6" s="44">
        <v>44292</v>
      </c>
      <c r="W6" s="44">
        <v>44295</v>
      </c>
      <c r="X6" s="46" t="s">
        <v>18785</v>
      </c>
      <c r="Y6" s="46">
        <v>112</v>
      </c>
      <c r="Z6" s="46" t="s">
        <v>18786</v>
      </c>
      <c r="AA6" s="41"/>
      <c r="AB6" s="22"/>
      <c r="AC6" s="22"/>
      <c r="AD6" s="41"/>
      <c r="AE6" s="22"/>
      <c r="AF6" s="22"/>
      <c r="AG6" s="48">
        <f t="shared" si="1"/>
        <v>0</v>
      </c>
      <c r="AH6" s="48">
        <f t="shared" si="2"/>
        <v>112</v>
      </c>
      <c r="AI6" s="48">
        <f t="shared" si="3"/>
        <v>112</v>
      </c>
      <c r="AJ6" s="40" t="s">
        <v>33</v>
      </c>
      <c r="AK6" s="40" t="s">
        <v>33</v>
      </c>
      <c r="AL6" s="40"/>
      <c r="AM6" s="146"/>
      <c r="AN6" s="136"/>
      <c r="AO6" s="136"/>
      <c r="AP6" s="136"/>
      <c r="AQ6" s="184"/>
    </row>
    <row r="7" spans="1:47" ht="17.399999999999999">
      <c r="A7" s="22" t="s">
        <v>18055</v>
      </c>
      <c r="B7" s="22" t="s">
        <v>138</v>
      </c>
      <c r="C7" s="56">
        <v>44371</v>
      </c>
      <c r="D7" s="56" t="s">
        <v>18056</v>
      </c>
      <c r="E7" s="22" t="s">
        <v>18057</v>
      </c>
      <c r="F7" s="22" t="s">
        <v>33</v>
      </c>
      <c r="G7" s="22" t="s">
        <v>33</v>
      </c>
      <c r="H7" s="22" t="s">
        <v>475</v>
      </c>
      <c r="I7" s="49" t="s">
        <v>174</v>
      </c>
      <c r="J7" s="50" t="s">
        <v>476</v>
      </c>
      <c r="K7" s="22" t="s">
        <v>215</v>
      </c>
      <c r="L7" s="22" t="s">
        <v>60</v>
      </c>
      <c r="M7" s="22">
        <v>4</v>
      </c>
      <c r="N7" s="22" t="s">
        <v>18058</v>
      </c>
      <c r="O7" s="22"/>
      <c r="P7" s="46" t="s">
        <v>683</v>
      </c>
      <c r="Q7" s="40"/>
      <c r="R7" s="41"/>
      <c r="S7" s="22">
        <f t="shared" si="0"/>
        <v>4</v>
      </c>
      <c r="T7" s="41">
        <v>44509</v>
      </c>
      <c r="U7" s="41" t="str">
        <f t="shared" si="4"/>
        <v>Upload in customer box</v>
      </c>
      <c r="V7" s="44">
        <v>44504</v>
      </c>
      <c r="W7" s="44">
        <v>44509</v>
      </c>
      <c r="X7" s="46" t="s">
        <v>18059</v>
      </c>
      <c r="Y7" s="46">
        <v>4</v>
      </c>
      <c r="Z7" s="46" t="s">
        <v>18060</v>
      </c>
      <c r="AA7" s="41" t="s">
        <v>18061</v>
      </c>
      <c r="AB7" s="22" t="s">
        <v>18062</v>
      </c>
      <c r="AC7" s="22">
        <v>3</v>
      </c>
      <c r="AD7" s="41"/>
      <c r="AE7" s="22"/>
      <c r="AF7" s="22"/>
      <c r="AG7" s="48">
        <f t="shared" si="1"/>
        <v>0</v>
      </c>
      <c r="AH7" s="48">
        <f t="shared" si="2"/>
        <v>1</v>
      </c>
      <c r="AI7" s="48">
        <f t="shared" si="3"/>
        <v>1</v>
      </c>
      <c r="AJ7" s="40" t="s">
        <v>33</v>
      </c>
      <c r="AK7" s="40" t="s">
        <v>33</v>
      </c>
      <c r="AL7" s="40"/>
      <c r="AM7" s="22"/>
      <c r="AN7" s="136"/>
      <c r="AO7" s="136"/>
      <c r="AP7" s="136"/>
      <c r="AQ7" s="184"/>
    </row>
    <row r="8" spans="1:47" ht="17.399999999999999">
      <c r="A8" s="22" t="s">
        <v>18063</v>
      </c>
      <c r="B8" s="22" t="s">
        <v>138</v>
      </c>
      <c r="C8" s="56" t="s">
        <v>18064</v>
      </c>
      <c r="D8" s="56" t="s">
        <v>18065</v>
      </c>
      <c r="E8" s="22" t="s">
        <v>18066</v>
      </c>
      <c r="F8" s="22" t="s">
        <v>33</v>
      </c>
      <c r="G8" s="22" t="s">
        <v>33</v>
      </c>
      <c r="H8" s="22" t="s">
        <v>475</v>
      </c>
      <c r="I8" s="49" t="s">
        <v>174</v>
      </c>
      <c r="J8" s="50" t="s">
        <v>476</v>
      </c>
      <c r="K8" s="22" t="s">
        <v>215</v>
      </c>
      <c r="L8" s="22" t="s">
        <v>60</v>
      </c>
      <c r="M8" s="22">
        <v>6</v>
      </c>
      <c r="N8" s="22" t="s">
        <v>18067</v>
      </c>
      <c r="O8" s="22"/>
      <c r="P8" s="46" t="s">
        <v>683</v>
      </c>
      <c r="Q8" s="40"/>
      <c r="R8" s="41"/>
      <c r="S8" s="22">
        <f t="shared" si="0"/>
        <v>6</v>
      </c>
      <c r="T8" s="41">
        <v>44509</v>
      </c>
      <c r="U8" s="41" t="str">
        <f t="shared" si="4"/>
        <v>Upload in customer box</v>
      </c>
      <c r="V8" s="44">
        <v>44504</v>
      </c>
      <c r="W8" s="44">
        <v>44509</v>
      </c>
      <c r="X8" s="46" t="s">
        <v>18059</v>
      </c>
      <c r="Y8" s="46">
        <v>6</v>
      </c>
      <c r="Z8" s="46" t="s">
        <v>18060</v>
      </c>
      <c r="AA8" s="41"/>
      <c r="AB8" s="22"/>
      <c r="AC8" s="22"/>
      <c r="AD8" s="41"/>
      <c r="AE8" s="22"/>
      <c r="AF8" s="22"/>
      <c r="AG8" s="48">
        <f t="shared" si="1"/>
        <v>0</v>
      </c>
      <c r="AH8" s="48">
        <f t="shared" si="2"/>
        <v>6</v>
      </c>
      <c r="AI8" s="48">
        <f t="shared" si="3"/>
        <v>6</v>
      </c>
      <c r="AJ8" s="40" t="s">
        <v>33</v>
      </c>
      <c r="AK8" s="40" t="s">
        <v>33</v>
      </c>
      <c r="AL8" s="40"/>
      <c r="AM8" s="22"/>
      <c r="AN8" s="136"/>
      <c r="AO8" s="136"/>
      <c r="AP8" s="136"/>
      <c r="AQ8" s="184"/>
    </row>
    <row r="9" spans="1:47" ht="17.399999999999999">
      <c r="A9" s="22" t="s">
        <v>18068</v>
      </c>
      <c r="B9" s="22" t="s">
        <v>138</v>
      </c>
      <c r="C9" s="56">
        <v>44589</v>
      </c>
      <c r="D9" s="56">
        <v>44534</v>
      </c>
      <c r="E9" s="22" t="s">
        <v>18069</v>
      </c>
      <c r="F9" s="22" t="s">
        <v>33</v>
      </c>
      <c r="G9" s="22" t="s">
        <v>33</v>
      </c>
      <c r="H9" s="22" t="s">
        <v>475</v>
      </c>
      <c r="I9" s="49" t="s">
        <v>174</v>
      </c>
      <c r="J9" s="50" t="s">
        <v>476</v>
      </c>
      <c r="K9" s="22" t="s">
        <v>215</v>
      </c>
      <c r="L9" s="22" t="s">
        <v>60</v>
      </c>
      <c r="M9" s="22">
        <v>1</v>
      </c>
      <c r="N9" s="22" t="s">
        <v>18070</v>
      </c>
      <c r="O9" s="22"/>
      <c r="P9" s="46" t="s">
        <v>683</v>
      </c>
      <c r="Q9" s="40"/>
      <c r="R9" s="41"/>
      <c r="S9" s="22">
        <f t="shared" si="0"/>
        <v>1</v>
      </c>
      <c r="T9" s="41">
        <v>44868</v>
      </c>
      <c r="U9" s="41" t="str">
        <f t="shared" si="4"/>
        <v>Upload in customer box</v>
      </c>
      <c r="V9" s="44">
        <v>44858</v>
      </c>
      <c r="W9" s="44">
        <v>44868</v>
      </c>
      <c r="X9" s="46" t="s">
        <v>18071</v>
      </c>
      <c r="Y9" s="46">
        <v>1</v>
      </c>
      <c r="Z9" s="46" t="s">
        <v>18072</v>
      </c>
      <c r="AA9" s="41"/>
      <c r="AB9" s="22"/>
      <c r="AC9" s="22"/>
      <c r="AD9" s="41"/>
      <c r="AE9" s="22"/>
      <c r="AF9" s="22"/>
      <c r="AG9" s="48">
        <f t="shared" si="1"/>
        <v>0</v>
      </c>
      <c r="AH9" s="48">
        <f t="shared" si="2"/>
        <v>1</v>
      </c>
      <c r="AI9" s="48">
        <f t="shared" si="3"/>
        <v>1</v>
      </c>
      <c r="AJ9" s="40" t="s">
        <v>33</v>
      </c>
      <c r="AK9" s="40" t="s">
        <v>33</v>
      </c>
      <c r="AL9" s="40"/>
      <c r="AM9" s="146"/>
      <c r="AN9" s="136"/>
      <c r="AO9" s="136"/>
      <c r="AP9" s="136"/>
      <c r="AQ9" s="184"/>
    </row>
    <row r="10" spans="1:47" ht="17.399999999999999">
      <c r="A10" s="22" t="s">
        <v>18073</v>
      </c>
      <c r="B10" s="22" t="s">
        <v>138</v>
      </c>
      <c r="C10" s="56" t="s">
        <v>18074</v>
      </c>
      <c r="D10" s="56">
        <v>44588</v>
      </c>
      <c r="E10" s="22" t="s">
        <v>18075</v>
      </c>
      <c r="F10" s="22" t="s">
        <v>33</v>
      </c>
      <c r="G10" s="22" t="s">
        <v>33</v>
      </c>
      <c r="H10" s="22" t="s">
        <v>5189</v>
      </c>
      <c r="I10" s="49" t="s">
        <v>174</v>
      </c>
      <c r="J10" s="50" t="s">
        <v>5190</v>
      </c>
      <c r="K10" s="22" t="s">
        <v>499</v>
      </c>
      <c r="L10" s="22" t="s">
        <v>60</v>
      </c>
      <c r="M10" s="22">
        <v>5</v>
      </c>
      <c r="N10" s="22" t="s">
        <v>18076</v>
      </c>
      <c r="O10" s="22"/>
      <c r="P10" s="46" t="s">
        <v>683</v>
      </c>
      <c r="Q10" s="40"/>
      <c r="R10" s="41"/>
      <c r="S10" s="22">
        <f t="shared" si="0"/>
        <v>5</v>
      </c>
      <c r="T10" s="41">
        <v>44868</v>
      </c>
      <c r="U10" s="41" t="str">
        <f t="shared" si="4"/>
        <v>Upload in customer box</v>
      </c>
      <c r="V10" s="44">
        <v>44858</v>
      </c>
      <c r="W10" s="44">
        <v>44868</v>
      </c>
      <c r="X10" s="46" t="s">
        <v>18071</v>
      </c>
      <c r="Y10" s="46">
        <v>5</v>
      </c>
      <c r="Z10" s="46" t="s">
        <v>18072</v>
      </c>
      <c r="AA10" s="41"/>
      <c r="AB10" s="22"/>
      <c r="AC10" s="22"/>
      <c r="AD10" s="41"/>
      <c r="AE10" s="22"/>
      <c r="AF10" s="22"/>
      <c r="AG10" s="48">
        <f t="shared" si="1"/>
        <v>0</v>
      </c>
      <c r="AH10" s="48">
        <f t="shared" si="2"/>
        <v>5</v>
      </c>
      <c r="AI10" s="48">
        <f t="shared" si="3"/>
        <v>5</v>
      </c>
      <c r="AJ10" s="40" t="s">
        <v>33</v>
      </c>
      <c r="AK10" s="40" t="s">
        <v>33</v>
      </c>
      <c r="AL10" s="40"/>
      <c r="AM10" s="146"/>
      <c r="AN10" s="136"/>
      <c r="AO10" s="136"/>
      <c r="AP10" s="136"/>
      <c r="AQ10" s="184"/>
    </row>
    <row r="11" spans="1:47" ht="17.399999999999999">
      <c r="A11" s="22" t="s">
        <v>18081</v>
      </c>
      <c r="B11" s="22" t="s">
        <v>223</v>
      </c>
      <c r="C11" s="56">
        <v>44789</v>
      </c>
      <c r="D11" s="56">
        <v>44719</v>
      </c>
      <c r="E11" s="22" t="s">
        <v>468</v>
      </c>
      <c r="F11" s="22" t="s">
        <v>33</v>
      </c>
      <c r="G11" s="22" t="s">
        <v>33</v>
      </c>
      <c r="H11" s="22" t="s">
        <v>497</v>
      </c>
      <c r="I11" s="49" t="s">
        <v>174</v>
      </c>
      <c r="J11" s="50" t="s">
        <v>498</v>
      </c>
      <c r="K11" s="22" t="s">
        <v>499</v>
      </c>
      <c r="L11" s="22" t="s">
        <v>60</v>
      </c>
      <c r="M11" s="22">
        <v>1</v>
      </c>
      <c r="N11" s="22" t="s">
        <v>18082</v>
      </c>
      <c r="O11" s="22"/>
      <c r="P11" s="46" t="s">
        <v>683</v>
      </c>
      <c r="Q11" s="40"/>
      <c r="R11" s="41"/>
      <c r="S11" s="22">
        <f t="shared" si="0"/>
        <v>1</v>
      </c>
      <c r="T11" s="41">
        <v>44868</v>
      </c>
      <c r="U11" s="41" t="str">
        <f t="shared" si="4"/>
        <v>Upload in customer box</v>
      </c>
      <c r="V11" s="44">
        <v>44858</v>
      </c>
      <c r="W11" s="44">
        <v>44868</v>
      </c>
      <c r="X11" s="46" t="s">
        <v>18071</v>
      </c>
      <c r="Y11" s="46">
        <v>1</v>
      </c>
      <c r="Z11" s="46" t="s">
        <v>18072</v>
      </c>
      <c r="AA11" s="41"/>
      <c r="AB11" s="22"/>
      <c r="AC11" s="22"/>
      <c r="AD11" s="147"/>
      <c r="AE11" s="148"/>
      <c r="AF11" s="149"/>
      <c r="AG11" s="48">
        <f t="shared" si="1"/>
        <v>0</v>
      </c>
      <c r="AH11" s="48">
        <f t="shared" si="2"/>
        <v>1</v>
      </c>
      <c r="AI11" s="48">
        <f t="shared" si="3"/>
        <v>1</v>
      </c>
      <c r="AJ11" s="40" t="s">
        <v>33</v>
      </c>
      <c r="AK11" s="40" t="s">
        <v>33</v>
      </c>
      <c r="AL11" s="40"/>
      <c r="AM11" s="146"/>
      <c r="AN11" s="136"/>
      <c r="AO11" s="136"/>
      <c r="AP11" s="136"/>
      <c r="AQ11" s="184"/>
    </row>
    <row r="12" spans="1:47" ht="17.399999999999999">
      <c r="A12" s="22" t="s">
        <v>18790</v>
      </c>
      <c r="B12" s="22" t="s">
        <v>138</v>
      </c>
      <c r="C12" s="56" t="s">
        <v>202</v>
      </c>
      <c r="D12" s="56" t="s">
        <v>203</v>
      </c>
      <c r="E12" s="22" t="s">
        <v>204</v>
      </c>
      <c r="F12" s="22" t="s">
        <v>33</v>
      </c>
      <c r="G12" s="22" t="s">
        <v>33</v>
      </c>
      <c r="H12" s="22" t="s">
        <v>205</v>
      </c>
      <c r="I12" s="49" t="s">
        <v>206</v>
      </c>
      <c r="J12" s="50" t="s">
        <v>207</v>
      </c>
      <c r="K12" s="22" t="s">
        <v>208</v>
      </c>
      <c r="L12" s="22" t="s">
        <v>60</v>
      </c>
      <c r="M12" s="22">
        <v>1986</v>
      </c>
      <c r="N12" s="22" t="s">
        <v>209</v>
      </c>
      <c r="O12" s="22"/>
      <c r="P12" s="46" t="s">
        <v>685</v>
      </c>
      <c r="Q12" s="40"/>
      <c r="R12" s="41"/>
      <c r="S12" s="22">
        <f t="shared" si="0"/>
        <v>1986</v>
      </c>
      <c r="T12" s="41">
        <v>44848</v>
      </c>
      <c r="U12" s="41" t="str">
        <f t="shared" si="4"/>
        <v>Upload in customer box</v>
      </c>
      <c r="V12" s="44">
        <v>44844</v>
      </c>
      <c r="W12" s="44">
        <v>44848</v>
      </c>
      <c r="X12" s="46" t="s">
        <v>589</v>
      </c>
      <c r="Y12" s="46">
        <v>1986</v>
      </c>
      <c r="Z12" s="46" t="s">
        <v>650</v>
      </c>
      <c r="AA12" s="41"/>
      <c r="AB12" s="22"/>
      <c r="AC12" s="22"/>
      <c r="AD12" s="41" t="s">
        <v>19294</v>
      </c>
      <c r="AE12" s="22" t="s">
        <v>19296</v>
      </c>
      <c r="AF12" s="22">
        <f>134+1852</f>
        <v>1986</v>
      </c>
      <c r="AG12" s="48">
        <f t="shared" si="1"/>
        <v>0</v>
      </c>
      <c r="AH12" s="48">
        <f t="shared" si="2"/>
        <v>0</v>
      </c>
      <c r="AI12" s="48">
        <f t="shared" si="3"/>
        <v>0</v>
      </c>
      <c r="AJ12" s="40" t="s">
        <v>33</v>
      </c>
      <c r="AK12" s="40">
        <v>45197</v>
      </c>
      <c r="AL12" s="40"/>
      <c r="AM12" s="146"/>
      <c r="AN12" s="136"/>
      <c r="AO12" s="136"/>
      <c r="AP12" s="136"/>
      <c r="AQ12" s="184"/>
    </row>
    <row r="13" spans="1:47" ht="17.399999999999999">
      <c r="A13" s="22" t="s">
        <v>217</v>
      </c>
      <c r="B13" s="22" t="s">
        <v>138</v>
      </c>
      <c r="C13" s="56">
        <v>44880</v>
      </c>
      <c r="D13" s="56">
        <v>44781</v>
      </c>
      <c r="E13" s="22" t="s">
        <v>218</v>
      </c>
      <c r="F13" s="22" t="s">
        <v>33</v>
      </c>
      <c r="G13" s="22" t="s">
        <v>33</v>
      </c>
      <c r="H13" s="22" t="s">
        <v>219</v>
      </c>
      <c r="I13" s="49" t="s">
        <v>119</v>
      </c>
      <c r="J13" s="50" t="s">
        <v>220</v>
      </c>
      <c r="K13" s="22" t="s">
        <v>98</v>
      </c>
      <c r="L13" s="22" t="s">
        <v>60</v>
      </c>
      <c r="M13" s="22">
        <v>300</v>
      </c>
      <c r="N13" s="22" t="s">
        <v>221</v>
      </c>
      <c r="O13" s="22"/>
      <c r="P13" s="46" t="s">
        <v>685</v>
      </c>
      <c r="Q13" s="40"/>
      <c r="R13" s="41"/>
      <c r="S13" s="22">
        <f t="shared" si="0"/>
        <v>300</v>
      </c>
      <c r="T13" s="41">
        <v>44942</v>
      </c>
      <c r="U13" s="41" t="str">
        <f t="shared" si="4"/>
        <v>Upload in customer box</v>
      </c>
      <c r="V13" s="44">
        <v>44930</v>
      </c>
      <c r="W13" s="44">
        <v>44936</v>
      </c>
      <c r="X13" s="46" t="s">
        <v>590</v>
      </c>
      <c r="Y13" s="46">
        <v>300</v>
      </c>
      <c r="Z13" s="46" t="s">
        <v>651</v>
      </c>
      <c r="AA13" s="41"/>
      <c r="AB13" s="22"/>
      <c r="AC13" s="22"/>
      <c r="AD13" s="41" t="s">
        <v>18317</v>
      </c>
      <c r="AE13" s="22" t="s">
        <v>18318</v>
      </c>
      <c r="AF13" s="22">
        <f>2+2</f>
        <v>4</v>
      </c>
      <c r="AG13" s="48">
        <f t="shared" si="1"/>
        <v>0</v>
      </c>
      <c r="AH13" s="48">
        <f t="shared" si="2"/>
        <v>296</v>
      </c>
      <c r="AI13" s="48">
        <f t="shared" si="3"/>
        <v>296</v>
      </c>
      <c r="AJ13" s="40" t="s">
        <v>33</v>
      </c>
      <c r="AK13" s="40">
        <v>44964</v>
      </c>
      <c r="AL13" s="40"/>
      <c r="AM13" s="146"/>
      <c r="AN13" s="136"/>
      <c r="AO13" s="136"/>
      <c r="AP13" s="136"/>
      <c r="AQ13" s="184"/>
    </row>
    <row r="14" spans="1:47" s="163" customFormat="1" ht="17.399999999999999">
      <c r="A14" s="157" t="s">
        <v>222</v>
      </c>
      <c r="B14" s="157" t="s">
        <v>223</v>
      </c>
      <c r="C14" s="158">
        <v>44953</v>
      </c>
      <c r="D14" s="158">
        <v>44949</v>
      </c>
      <c r="E14" s="157" t="s">
        <v>224</v>
      </c>
      <c r="F14" s="157">
        <v>500</v>
      </c>
      <c r="G14" s="157" t="s">
        <v>225</v>
      </c>
      <c r="H14" s="157" t="s">
        <v>219</v>
      </c>
      <c r="I14" s="182" t="s">
        <v>119</v>
      </c>
      <c r="J14" s="183" t="s">
        <v>220</v>
      </c>
      <c r="K14" s="157" t="s">
        <v>98</v>
      </c>
      <c r="L14" s="157" t="s">
        <v>60</v>
      </c>
      <c r="M14" s="157">
        <v>2</v>
      </c>
      <c r="N14" s="157" t="s">
        <v>226</v>
      </c>
      <c r="O14" s="157"/>
      <c r="P14" s="159" t="s">
        <v>685</v>
      </c>
      <c r="Q14" s="160"/>
      <c r="R14" s="161"/>
      <c r="S14" s="157">
        <f t="shared" si="0"/>
        <v>2</v>
      </c>
      <c r="T14" s="161">
        <v>44974</v>
      </c>
      <c r="U14" s="41" t="str">
        <f t="shared" si="4"/>
        <v>Upload in customer box</v>
      </c>
      <c r="V14" s="164">
        <v>44972</v>
      </c>
      <c r="W14" s="164">
        <v>44974</v>
      </c>
      <c r="X14" s="159"/>
      <c r="Y14" s="159">
        <v>2</v>
      </c>
      <c r="Z14" s="164" t="s">
        <v>652</v>
      </c>
      <c r="AA14" s="161"/>
      <c r="AB14" s="157"/>
      <c r="AC14" s="157"/>
      <c r="AD14" s="161">
        <v>46265</v>
      </c>
      <c r="AE14" s="157" t="s">
        <v>19449</v>
      </c>
      <c r="AF14" s="157">
        <v>2</v>
      </c>
      <c r="AG14" s="162">
        <f t="shared" si="1"/>
        <v>0</v>
      </c>
      <c r="AH14" s="162">
        <f t="shared" si="2"/>
        <v>0</v>
      </c>
      <c r="AI14" s="162">
        <f t="shared" si="3"/>
        <v>0</v>
      </c>
      <c r="AJ14" s="160" t="s">
        <v>33</v>
      </c>
      <c r="AK14" s="160">
        <v>44988</v>
      </c>
      <c r="AL14" s="160"/>
      <c r="AM14" s="166"/>
      <c r="AN14" s="165"/>
      <c r="AO14" s="165"/>
      <c r="AP14" s="165"/>
      <c r="AQ14" s="159"/>
    </row>
    <row r="15" spans="1:47" ht="17.399999999999999">
      <c r="A15" s="22" t="s">
        <v>437</v>
      </c>
      <c r="B15" s="22" t="s">
        <v>138</v>
      </c>
      <c r="C15" s="56">
        <v>45223</v>
      </c>
      <c r="D15" s="56">
        <v>44740</v>
      </c>
      <c r="E15" s="22" t="s">
        <v>438</v>
      </c>
      <c r="F15" s="22" t="s">
        <v>33</v>
      </c>
      <c r="G15" s="22" t="s">
        <v>33</v>
      </c>
      <c r="H15" s="22" t="s">
        <v>439</v>
      </c>
      <c r="I15" s="49" t="s">
        <v>440</v>
      </c>
      <c r="J15" s="50" t="s">
        <v>441</v>
      </c>
      <c r="K15" s="22" t="s">
        <v>312</v>
      </c>
      <c r="L15" s="22" t="s">
        <v>60</v>
      </c>
      <c r="M15" s="22">
        <v>0</v>
      </c>
      <c r="N15" s="22" t="s">
        <v>442</v>
      </c>
      <c r="O15" s="22"/>
      <c r="P15" s="46" t="s">
        <v>680</v>
      </c>
      <c r="Q15" s="40"/>
      <c r="R15" s="41"/>
      <c r="S15" s="22">
        <f t="shared" si="0"/>
        <v>0</v>
      </c>
      <c r="T15" s="41">
        <v>45070</v>
      </c>
      <c r="U15" s="41" t="str">
        <f t="shared" si="4"/>
        <v/>
      </c>
      <c r="V15" s="44">
        <v>45072</v>
      </c>
      <c r="W15" s="44">
        <v>45077</v>
      </c>
      <c r="X15" s="46" t="s">
        <v>612</v>
      </c>
      <c r="Y15" s="46">
        <v>1</v>
      </c>
      <c r="Z15" s="46" t="s">
        <v>653</v>
      </c>
      <c r="AA15" s="41" t="s">
        <v>19202</v>
      </c>
      <c r="AB15" s="22" t="s">
        <v>19202</v>
      </c>
      <c r="AC15" s="22" t="s">
        <v>19202</v>
      </c>
      <c r="AD15" s="41"/>
      <c r="AE15" s="22"/>
      <c r="AF15" s="22"/>
      <c r="AG15" s="48"/>
      <c r="AH15" s="48"/>
      <c r="AI15" s="48">
        <f t="shared" si="3"/>
        <v>0</v>
      </c>
      <c r="AJ15" s="40" t="s">
        <v>33</v>
      </c>
      <c r="AK15" s="40"/>
      <c r="AL15" s="40"/>
      <c r="AM15" s="146"/>
      <c r="AN15" s="136"/>
      <c r="AO15" s="136"/>
      <c r="AP15" s="136"/>
      <c r="AQ15" s="46"/>
    </row>
    <row r="16" spans="1:47" ht="17.399999999999999">
      <c r="A16" s="22" t="s">
        <v>237</v>
      </c>
      <c r="B16" s="22" t="s">
        <v>138</v>
      </c>
      <c r="C16" s="56">
        <v>45006</v>
      </c>
      <c r="D16" s="56">
        <v>44949</v>
      </c>
      <c r="E16" s="22" t="s">
        <v>224</v>
      </c>
      <c r="F16" s="22" t="s">
        <v>33</v>
      </c>
      <c r="G16" s="22" t="s">
        <v>33</v>
      </c>
      <c r="H16" s="22" t="s">
        <v>5402</v>
      </c>
      <c r="I16" s="49" t="s">
        <v>57</v>
      </c>
      <c r="J16" s="50" t="s">
        <v>238</v>
      </c>
      <c r="K16" s="22" t="s">
        <v>98</v>
      </c>
      <c r="L16" s="22" t="s">
        <v>239</v>
      </c>
      <c r="M16" s="22">
        <v>1</v>
      </c>
      <c r="N16" s="22" t="s">
        <v>61</v>
      </c>
      <c r="O16" s="22"/>
      <c r="P16" s="46" t="s">
        <v>685</v>
      </c>
      <c r="Q16" s="40"/>
      <c r="R16" s="41"/>
      <c r="S16" s="22">
        <f t="shared" si="0"/>
        <v>1</v>
      </c>
      <c r="T16" s="41">
        <v>45072</v>
      </c>
      <c r="U16" s="41" t="str">
        <f t="shared" si="4"/>
        <v>Upload in customer box</v>
      </c>
      <c r="V16" s="44">
        <v>45064</v>
      </c>
      <c r="W16" s="44">
        <v>45072</v>
      </c>
      <c r="X16" s="46" t="s">
        <v>592</v>
      </c>
      <c r="Y16" s="46">
        <v>1</v>
      </c>
      <c r="Z16" s="44" t="s">
        <v>655</v>
      </c>
      <c r="AA16" s="41"/>
      <c r="AB16" s="22"/>
      <c r="AC16" s="22"/>
      <c r="AD16" s="161">
        <v>46265</v>
      </c>
      <c r="AE16" s="157" t="s">
        <v>19449</v>
      </c>
      <c r="AF16" s="22">
        <v>1</v>
      </c>
      <c r="AG16" s="48">
        <f t="shared" si="1"/>
        <v>0</v>
      </c>
      <c r="AH16" s="48">
        <f t="shared" si="2"/>
        <v>0</v>
      </c>
      <c r="AI16" s="48">
        <f t="shared" si="3"/>
        <v>0</v>
      </c>
      <c r="AJ16" s="40" t="s">
        <v>33</v>
      </c>
      <c r="AK16" s="40">
        <v>45126</v>
      </c>
      <c r="AL16" s="40"/>
      <c r="AM16" s="146"/>
      <c r="AN16" s="136"/>
      <c r="AO16" s="136"/>
      <c r="AP16" s="136"/>
      <c r="AQ16" s="46"/>
    </row>
    <row r="17" spans="1:43" ht="17.399999999999999">
      <c r="A17" s="22" t="s">
        <v>443</v>
      </c>
      <c r="B17" s="22" t="s">
        <v>223</v>
      </c>
      <c r="C17" s="56" t="s">
        <v>444</v>
      </c>
      <c r="D17" s="56">
        <v>44740</v>
      </c>
      <c r="E17" s="22" t="s">
        <v>438</v>
      </c>
      <c r="F17" s="22" t="s">
        <v>33</v>
      </c>
      <c r="G17" s="22" t="s">
        <v>33</v>
      </c>
      <c r="H17" s="22" t="s">
        <v>439</v>
      </c>
      <c r="I17" s="49" t="s">
        <v>440</v>
      </c>
      <c r="J17" s="50" t="s">
        <v>441</v>
      </c>
      <c r="K17" s="22" t="s">
        <v>312</v>
      </c>
      <c r="L17" s="22" t="s">
        <v>60</v>
      </c>
      <c r="M17" s="22">
        <v>0</v>
      </c>
      <c r="N17" s="22" t="s">
        <v>445</v>
      </c>
      <c r="O17" s="22"/>
      <c r="P17" s="46" t="s">
        <v>680</v>
      </c>
      <c r="Q17" s="40"/>
      <c r="R17" s="41"/>
      <c r="S17" s="22">
        <f t="shared" si="0"/>
        <v>0</v>
      </c>
      <c r="T17" s="41">
        <v>45070</v>
      </c>
      <c r="U17" s="41" t="str">
        <f t="shared" si="4"/>
        <v/>
      </c>
      <c r="V17" s="44">
        <v>45072</v>
      </c>
      <c r="W17" s="44">
        <v>45077</v>
      </c>
      <c r="X17" s="46" t="s">
        <v>612</v>
      </c>
      <c r="Y17" s="46">
        <v>3</v>
      </c>
      <c r="Z17" s="46" t="s">
        <v>653</v>
      </c>
      <c r="AA17" s="41" t="s">
        <v>19202</v>
      </c>
      <c r="AB17" s="22" t="s">
        <v>19202</v>
      </c>
      <c r="AC17" s="22" t="s">
        <v>19202</v>
      </c>
      <c r="AD17" s="41"/>
      <c r="AE17" s="22"/>
      <c r="AF17" s="22"/>
      <c r="AG17" s="48"/>
      <c r="AH17" s="48"/>
      <c r="AI17" s="48">
        <f t="shared" si="3"/>
        <v>0</v>
      </c>
      <c r="AJ17" s="40" t="s">
        <v>33</v>
      </c>
      <c r="AK17" s="40" t="s">
        <v>33</v>
      </c>
      <c r="AL17" s="40"/>
      <c r="AM17" s="22"/>
      <c r="AN17" s="136"/>
      <c r="AO17" s="136"/>
      <c r="AP17" s="136"/>
      <c r="AQ17" s="46"/>
    </row>
    <row r="18" spans="1:43" ht="17.399999999999999">
      <c r="A18" s="22" t="s">
        <v>446</v>
      </c>
      <c r="B18" s="22" t="s">
        <v>447</v>
      </c>
      <c r="C18" s="56">
        <v>45051</v>
      </c>
      <c r="D18" s="56">
        <v>45043</v>
      </c>
      <c r="E18" s="22" t="s">
        <v>448</v>
      </c>
      <c r="F18" s="22">
        <v>3</v>
      </c>
      <c r="G18" s="22" t="s">
        <v>33</v>
      </c>
      <c r="H18" s="22" t="s">
        <v>439</v>
      </c>
      <c r="I18" s="49" t="s">
        <v>440</v>
      </c>
      <c r="J18" s="50" t="s">
        <v>441</v>
      </c>
      <c r="K18" s="22" t="s">
        <v>312</v>
      </c>
      <c r="L18" s="22" t="s">
        <v>60</v>
      </c>
      <c r="M18" s="22">
        <v>0</v>
      </c>
      <c r="N18" s="22" t="s">
        <v>449</v>
      </c>
      <c r="O18" s="22"/>
      <c r="P18" s="46" t="s">
        <v>680</v>
      </c>
      <c r="Q18" s="40"/>
      <c r="R18" s="41"/>
      <c r="S18" s="22">
        <f t="shared" si="0"/>
        <v>0</v>
      </c>
      <c r="T18" s="41">
        <v>45070</v>
      </c>
      <c r="U18" s="41" t="str">
        <f t="shared" si="4"/>
        <v/>
      </c>
      <c r="V18" s="44">
        <v>45072</v>
      </c>
      <c r="W18" s="44">
        <v>45077</v>
      </c>
      <c r="X18" s="46" t="s">
        <v>612</v>
      </c>
      <c r="Y18" s="46">
        <v>1</v>
      </c>
      <c r="Z18" s="46" t="s">
        <v>653</v>
      </c>
      <c r="AA18" s="41" t="s">
        <v>19202</v>
      </c>
      <c r="AB18" s="22" t="s">
        <v>19202</v>
      </c>
      <c r="AC18" s="22" t="s">
        <v>19202</v>
      </c>
      <c r="AD18" s="41"/>
      <c r="AE18" s="22"/>
      <c r="AF18" s="22"/>
      <c r="AG18" s="48"/>
      <c r="AH18" s="48"/>
      <c r="AI18" s="48">
        <f t="shared" si="3"/>
        <v>0</v>
      </c>
      <c r="AJ18" s="40" t="s">
        <v>33</v>
      </c>
      <c r="AK18" s="40" t="s">
        <v>33</v>
      </c>
      <c r="AL18" s="40"/>
      <c r="AM18" s="22"/>
      <c r="AN18" s="136"/>
      <c r="AO18" s="136"/>
      <c r="AP18" s="136"/>
      <c r="AQ18" s="46"/>
    </row>
    <row r="19" spans="1:43" ht="17.399999999999999">
      <c r="A19" s="22" t="s">
        <v>450</v>
      </c>
      <c r="B19" s="22" t="s">
        <v>451</v>
      </c>
      <c r="C19" s="56">
        <v>45015</v>
      </c>
      <c r="D19" s="56">
        <v>44804</v>
      </c>
      <c r="E19" s="22" t="s">
        <v>452</v>
      </c>
      <c r="F19" s="22" t="s">
        <v>33</v>
      </c>
      <c r="G19" s="22" t="s">
        <v>33</v>
      </c>
      <c r="H19" s="22" t="s">
        <v>3242</v>
      </c>
      <c r="I19" s="49" t="s">
        <v>453</v>
      </c>
      <c r="J19" s="50" t="s">
        <v>454</v>
      </c>
      <c r="K19" s="22" t="s">
        <v>98</v>
      </c>
      <c r="L19" s="22" t="s">
        <v>60</v>
      </c>
      <c r="M19" s="22">
        <v>0</v>
      </c>
      <c r="N19" s="22" t="s">
        <v>334</v>
      </c>
      <c r="O19" s="22"/>
      <c r="P19" s="46" t="s">
        <v>680</v>
      </c>
      <c r="Q19" s="40"/>
      <c r="R19" s="41"/>
      <c r="S19" s="22">
        <f t="shared" si="0"/>
        <v>0</v>
      </c>
      <c r="T19" s="41">
        <v>45128</v>
      </c>
      <c r="U19" s="41" t="str">
        <f t="shared" si="4"/>
        <v/>
      </c>
      <c r="V19" s="44">
        <v>45230</v>
      </c>
      <c r="W19" s="44">
        <v>45237</v>
      </c>
      <c r="X19" s="46" t="s">
        <v>613</v>
      </c>
      <c r="Y19" s="46">
        <v>1</v>
      </c>
      <c r="Z19" s="46" t="s">
        <v>656</v>
      </c>
      <c r="AA19" s="41" t="s">
        <v>19202</v>
      </c>
      <c r="AB19" s="22" t="s">
        <v>19202</v>
      </c>
      <c r="AC19" s="22" t="s">
        <v>19202</v>
      </c>
      <c r="AD19" s="41"/>
      <c r="AE19" s="22"/>
      <c r="AF19" s="22"/>
      <c r="AG19" s="48"/>
      <c r="AH19" s="48"/>
      <c r="AI19" s="48">
        <f t="shared" si="3"/>
        <v>0</v>
      </c>
      <c r="AJ19" s="40" t="s">
        <v>33</v>
      </c>
      <c r="AK19" s="40" t="s">
        <v>33</v>
      </c>
      <c r="AL19" s="40"/>
      <c r="AM19" s="22"/>
      <c r="AN19" s="136"/>
      <c r="AO19" s="136"/>
      <c r="AP19" s="136"/>
      <c r="AQ19" s="46"/>
    </row>
    <row r="20" spans="1:43" ht="17.399999999999999">
      <c r="A20" s="22" t="s">
        <v>18792</v>
      </c>
      <c r="B20" s="22" t="s">
        <v>138</v>
      </c>
      <c r="C20" s="56" t="s">
        <v>33</v>
      </c>
      <c r="D20" s="56" t="s">
        <v>33</v>
      </c>
      <c r="E20" s="22" t="s">
        <v>33</v>
      </c>
      <c r="F20" s="22" t="s">
        <v>33</v>
      </c>
      <c r="G20" s="22" t="s">
        <v>67</v>
      </c>
      <c r="H20" s="22" t="s">
        <v>351</v>
      </c>
      <c r="I20" s="49" t="s">
        <v>352</v>
      </c>
      <c r="J20" s="50" t="s">
        <v>353</v>
      </c>
      <c r="K20" s="22" t="s">
        <v>346</v>
      </c>
      <c r="L20" s="22" t="s">
        <v>60</v>
      </c>
      <c r="M20" s="22">
        <v>65</v>
      </c>
      <c r="N20" s="22" t="s">
        <v>18793</v>
      </c>
      <c r="O20" s="22"/>
      <c r="P20" s="46" t="s">
        <v>18088</v>
      </c>
      <c r="Q20" s="40"/>
      <c r="R20" s="41"/>
      <c r="S20" s="22">
        <f t="shared" si="0"/>
        <v>65</v>
      </c>
      <c r="T20" s="41">
        <v>45100</v>
      </c>
      <c r="U20" s="41" t="str">
        <f t="shared" si="4"/>
        <v/>
      </c>
      <c r="V20" s="44">
        <v>45093</v>
      </c>
      <c r="W20" s="44">
        <v>45100</v>
      </c>
      <c r="X20" s="46" t="s">
        <v>18794</v>
      </c>
      <c r="Y20" s="46">
        <v>65</v>
      </c>
      <c r="Z20" s="46" t="s">
        <v>18795</v>
      </c>
      <c r="AA20" s="41"/>
      <c r="AB20" s="22"/>
      <c r="AC20" s="22"/>
      <c r="AD20" s="41"/>
      <c r="AE20" s="22"/>
      <c r="AF20" s="22"/>
      <c r="AG20" s="48">
        <f t="shared" si="1"/>
        <v>0</v>
      </c>
      <c r="AH20" s="48">
        <f t="shared" si="2"/>
        <v>65</v>
      </c>
      <c r="AI20" s="48">
        <f t="shared" si="3"/>
        <v>65</v>
      </c>
      <c r="AJ20" s="40" t="s">
        <v>33</v>
      </c>
      <c r="AK20" s="40" t="s">
        <v>33</v>
      </c>
      <c r="AL20" s="40"/>
      <c r="AM20" s="22"/>
      <c r="AN20" s="136"/>
      <c r="AO20" s="136"/>
      <c r="AP20" s="136"/>
      <c r="AQ20" s="184"/>
    </row>
    <row r="21" spans="1:43" ht="17.399999999999999">
      <c r="A21" s="22" t="s">
        <v>478</v>
      </c>
      <c r="B21" s="22" t="s">
        <v>479</v>
      </c>
      <c r="C21" s="56" t="s">
        <v>480</v>
      </c>
      <c r="D21" s="56" t="s">
        <v>481</v>
      </c>
      <c r="E21" s="22" t="s">
        <v>482</v>
      </c>
      <c r="F21" s="22" t="s">
        <v>33</v>
      </c>
      <c r="G21" s="22" t="s">
        <v>33</v>
      </c>
      <c r="H21" s="22" t="s">
        <v>469</v>
      </c>
      <c r="I21" s="49" t="s">
        <v>174</v>
      </c>
      <c r="J21" s="50" t="s">
        <v>470</v>
      </c>
      <c r="K21" s="22" t="s">
        <v>499</v>
      </c>
      <c r="L21" s="22" t="s">
        <v>60</v>
      </c>
      <c r="M21" s="22">
        <v>7</v>
      </c>
      <c r="N21" s="22" t="s">
        <v>483</v>
      </c>
      <c r="O21" s="22"/>
      <c r="P21" s="46" t="s">
        <v>683</v>
      </c>
      <c r="Q21" s="40"/>
      <c r="R21" s="41"/>
      <c r="S21" s="22">
        <f t="shared" si="0"/>
        <v>7</v>
      </c>
      <c r="T21" s="41">
        <v>45225</v>
      </c>
      <c r="U21" s="41" t="str">
        <f t="shared" si="4"/>
        <v>Upload in customer box</v>
      </c>
      <c r="V21" s="44">
        <v>45278</v>
      </c>
      <c r="W21" s="44">
        <v>45280</v>
      </c>
      <c r="X21" s="46" t="s">
        <v>615</v>
      </c>
      <c r="Y21" s="46">
        <v>7</v>
      </c>
      <c r="Z21" s="46" t="s">
        <v>657</v>
      </c>
      <c r="AA21" s="41">
        <v>45819</v>
      </c>
      <c r="AB21" s="22" t="s">
        <v>18798</v>
      </c>
      <c r="AC21" s="22">
        <v>3</v>
      </c>
      <c r="AD21" s="41"/>
      <c r="AE21" s="22"/>
      <c r="AF21" s="22"/>
      <c r="AG21" s="48">
        <f t="shared" si="1"/>
        <v>0</v>
      </c>
      <c r="AH21" s="48">
        <f t="shared" si="2"/>
        <v>4</v>
      </c>
      <c r="AI21" s="48">
        <f t="shared" si="3"/>
        <v>4</v>
      </c>
      <c r="AJ21" s="40" t="s">
        <v>33</v>
      </c>
      <c r="AK21" s="40" t="s">
        <v>33</v>
      </c>
      <c r="AL21" s="40"/>
      <c r="AM21" s="22"/>
      <c r="AN21" s="136"/>
      <c r="AO21" s="136"/>
      <c r="AP21" s="136"/>
      <c r="AQ21" s="184"/>
    </row>
    <row r="22" spans="1:43" ht="17.399999999999999">
      <c r="A22" s="168" t="s">
        <v>529</v>
      </c>
      <c r="B22" s="168" t="s">
        <v>530</v>
      </c>
      <c r="C22" s="169">
        <v>45086</v>
      </c>
      <c r="D22" s="169">
        <v>44790</v>
      </c>
      <c r="E22" s="168" t="s">
        <v>531</v>
      </c>
      <c r="F22" s="168" t="s">
        <v>33</v>
      </c>
      <c r="G22" s="168" t="s">
        <v>33</v>
      </c>
      <c r="H22" s="168" t="s">
        <v>532</v>
      </c>
      <c r="I22" s="170" t="s">
        <v>304</v>
      </c>
      <c r="J22" s="171" t="s">
        <v>533</v>
      </c>
      <c r="K22" s="168" t="s">
        <v>215</v>
      </c>
      <c r="L22" s="168" t="s">
        <v>60</v>
      </c>
      <c r="M22" s="168">
        <v>1</v>
      </c>
      <c r="N22" s="168" t="s">
        <v>534</v>
      </c>
      <c r="O22" s="168"/>
      <c r="P22" s="172" t="s">
        <v>684</v>
      </c>
      <c r="Q22" s="40"/>
      <c r="R22" s="41"/>
      <c r="S22" s="22">
        <f t="shared" si="0"/>
        <v>1</v>
      </c>
      <c r="T22" s="41">
        <v>45258</v>
      </c>
      <c r="U22" s="41" t="str">
        <f t="shared" si="4"/>
        <v/>
      </c>
      <c r="V22" s="44">
        <v>45308</v>
      </c>
      <c r="W22" s="44">
        <v>45306</v>
      </c>
      <c r="X22" s="46" t="s">
        <v>617</v>
      </c>
      <c r="Y22" s="46">
        <v>1</v>
      </c>
      <c r="Z22" s="46" t="s">
        <v>658</v>
      </c>
      <c r="AA22" s="41"/>
      <c r="AB22" s="22"/>
      <c r="AC22" s="22"/>
      <c r="AD22" s="41"/>
      <c r="AE22" s="22"/>
      <c r="AF22" s="22"/>
      <c r="AG22" s="48">
        <f t="shared" si="1"/>
        <v>0</v>
      </c>
      <c r="AH22" s="48">
        <f t="shared" si="2"/>
        <v>1</v>
      </c>
      <c r="AI22" s="48">
        <f t="shared" si="3"/>
        <v>1</v>
      </c>
      <c r="AJ22" s="40" t="s">
        <v>33</v>
      </c>
      <c r="AK22" s="40" t="s">
        <v>33</v>
      </c>
      <c r="AL22" s="40"/>
      <c r="AM22" s="22"/>
      <c r="AN22" s="136"/>
      <c r="AO22" s="136"/>
      <c r="AP22" s="136"/>
      <c r="AQ22" s="46"/>
    </row>
    <row r="23" spans="1:43" ht="17.399999999999999">
      <c r="A23" s="168" t="s">
        <v>535</v>
      </c>
      <c r="B23" s="168" t="s">
        <v>536</v>
      </c>
      <c r="C23" s="169">
        <v>45098</v>
      </c>
      <c r="D23" s="169">
        <v>44790</v>
      </c>
      <c r="E23" s="168" t="s">
        <v>531</v>
      </c>
      <c r="F23" s="168" t="s">
        <v>33</v>
      </c>
      <c r="G23" s="168" t="s">
        <v>33</v>
      </c>
      <c r="H23" s="168" t="s">
        <v>532</v>
      </c>
      <c r="I23" s="170" t="s">
        <v>304</v>
      </c>
      <c r="J23" s="171" t="s">
        <v>533</v>
      </c>
      <c r="K23" s="168" t="s">
        <v>215</v>
      </c>
      <c r="L23" s="168" t="s">
        <v>60</v>
      </c>
      <c r="M23" s="168">
        <v>1</v>
      </c>
      <c r="N23" s="168" t="s">
        <v>534</v>
      </c>
      <c r="O23" s="168"/>
      <c r="P23" s="172" t="s">
        <v>684</v>
      </c>
      <c r="Q23" s="40"/>
      <c r="R23" s="41"/>
      <c r="S23" s="22">
        <f t="shared" si="0"/>
        <v>1</v>
      </c>
      <c r="T23" s="41">
        <v>45258</v>
      </c>
      <c r="U23" s="41" t="str">
        <f t="shared" si="4"/>
        <v/>
      </c>
      <c r="V23" s="44">
        <v>45308</v>
      </c>
      <c r="W23" s="44">
        <v>45306</v>
      </c>
      <c r="X23" s="46" t="s">
        <v>617</v>
      </c>
      <c r="Y23" s="46">
        <v>1</v>
      </c>
      <c r="Z23" s="46" t="s">
        <v>658</v>
      </c>
      <c r="AA23" s="41"/>
      <c r="AB23" s="22"/>
      <c r="AC23" s="22"/>
      <c r="AD23" s="41"/>
      <c r="AE23" s="22"/>
      <c r="AF23" s="22"/>
      <c r="AG23" s="48">
        <f t="shared" si="1"/>
        <v>0</v>
      </c>
      <c r="AH23" s="48">
        <f t="shared" si="2"/>
        <v>1</v>
      </c>
      <c r="AI23" s="48">
        <f t="shared" si="3"/>
        <v>1</v>
      </c>
      <c r="AJ23" s="40" t="s">
        <v>33</v>
      </c>
      <c r="AK23" s="40" t="s">
        <v>33</v>
      </c>
      <c r="AL23" s="40"/>
      <c r="AM23" s="22"/>
      <c r="AN23" s="136"/>
      <c r="AO23" s="136"/>
      <c r="AP23" s="136"/>
      <c r="AQ23" s="46"/>
    </row>
    <row r="24" spans="1:43" ht="17.399999999999999">
      <c r="A24" s="168" t="s">
        <v>537</v>
      </c>
      <c r="B24" s="168" t="s">
        <v>538</v>
      </c>
      <c r="C24" s="169">
        <v>45126</v>
      </c>
      <c r="D24" s="169">
        <v>44790</v>
      </c>
      <c r="E24" s="168" t="s">
        <v>531</v>
      </c>
      <c r="F24" s="168" t="s">
        <v>33</v>
      </c>
      <c r="G24" s="168" t="s">
        <v>33</v>
      </c>
      <c r="H24" s="168" t="s">
        <v>532</v>
      </c>
      <c r="I24" s="170" t="s">
        <v>304</v>
      </c>
      <c r="J24" s="171" t="s">
        <v>533</v>
      </c>
      <c r="K24" s="168" t="s">
        <v>215</v>
      </c>
      <c r="L24" s="168" t="s">
        <v>60</v>
      </c>
      <c r="M24" s="168">
        <v>17</v>
      </c>
      <c r="N24" s="168" t="s">
        <v>539</v>
      </c>
      <c r="O24" s="168"/>
      <c r="P24" s="172" t="s">
        <v>684</v>
      </c>
      <c r="Q24" s="40"/>
      <c r="R24" s="41"/>
      <c r="S24" s="22">
        <f t="shared" si="0"/>
        <v>17</v>
      </c>
      <c r="T24" s="41">
        <v>45258</v>
      </c>
      <c r="U24" s="41" t="str">
        <f t="shared" si="4"/>
        <v/>
      </c>
      <c r="V24" s="44" t="s">
        <v>618</v>
      </c>
      <c r="W24" s="44">
        <v>45306</v>
      </c>
      <c r="X24" s="46" t="s">
        <v>617</v>
      </c>
      <c r="Y24" s="46">
        <v>2</v>
      </c>
      <c r="Z24" s="46" t="s">
        <v>658</v>
      </c>
      <c r="AA24" s="41"/>
      <c r="AB24" s="22"/>
      <c r="AC24" s="22"/>
      <c r="AD24" s="41"/>
      <c r="AE24" s="22"/>
      <c r="AF24" s="22"/>
      <c r="AG24" s="48">
        <f t="shared" si="1"/>
        <v>15</v>
      </c>
      <c r="AH24" s="48">
        <f t="shared" si="2"/>
        <v>2</v>
      </c>
      <c r="AI24" s="48">
        <f t="shared" si="3"/>
        <v>17</v>
      </c>
      <c r="AJ24" s="40" t="s">
        <v>33</v>
      </c>
      <c r="AK24" s="40" t="s">
        <v>33</v>
      </c>
      <c r="AL24" s="40"/>
      <c r="AM24" s="22"/>
      <c r="AN24" s="136"/>
      <c r="AO24" s="136"/>
      <c r="AP24" s="136"/>
      <c r="AQ24" s="46"/>
    </row>
    <row r="25" spans="1:43" ht="17.399999999999999">
      <c r="A25" s="22" t="s">
        <v>18802</v>
      </c>
      <c r="B25" s="22" t="s">
        <v>138</v>
      </c>
      <c r="C25" s="56" t="s">
        <v>18803</v>
      </c>
      <c r="D25" s="56" t="s">
        <v>33</v>
      </c>
      <c r="E25" s="22" t="s">
        <v>33</v>
      </c>
      <c r="F25" s="22" t="s">
        <v>33</v>
      </c>
      <c r="G25" s="22" t="s">
        <v>67</v>
      </c>
      <c r="H25" s="22" t="s">
        <v>354</v>
      </c>
      <c r="I25" s="49" t="s">
        <v>355</v>
      </c>
      <c r="J25" s="50" t="s">
        <v>356</v>
      </c>
      <c r="K25" s="22" t="s">
        <v>346</v>
      </c>
      <c r="L25" s="22" t="s">
        <v>60</v>
      </c>
      <c r="M25" s="22">
        <v>577</v>
      </c>
      <c r="N25" s="22" t="s">
        <v>18804</v>
      </c>
      <c r="O25" s="22"/>
      <c r="P25" s="46" t="s">
        <v>18088</v>
      </c>
      <c r="Q25" s="40"/>
      <c r="R25" s="41"/>
      <c r="S25" s="22">
        <f t="shared" si="0"/>
        <v>577</v>
      </c>
      <c r="T25" s="41">
        <v>45281</v>
      </c>
      <c r="U25" s="41" t="str">
        <f t="shared" si="4"/>
        <v/>
      </c>
      <c r="V25" s="44">
        <v>45278</v>
      </c>
      <c r="W25" s="44">
        <v>45279</v>
      </c>
      <c r="X25" s="46" t="s">
        <v>18805</v>
      </c>
      <c r="Y25" s="46">
        <v>577</v>
      </c>
      <c r="Z25" s="46" t="s">
        <v>18806</v>
      </c>
      <c r="AA25" s="41"/>
      <c r="AB25" s="22"/>
      <c r="AC25" s="22"/>
      <c r="AD25" s="41" t="s">
        <v>18807</v>
      </c>
      <c r="AE25" s="22" t="s">
        <v>18808</v>
      </c>
      <c r="AF25" s="22">
        <v>126</v>
      </c>
      <c r="AG25" s="48">
        <f t="shared" si="1"/>
        <v>0</v>
      </c>
      <c r="AH25" s="48">
        <f t="shared" si="2"/>
        <v>451</v>
      </c>
      <c r="AI25" s="48">
        <f t="shared" si="3"/>
        <v>451</v>
      </c>
      <c r="AJ25" s="40" t="s">
        <v>33</v>
      </c>
      <c r="AK25" s="40" t="s">
        <v>33</v>
      </c>
      <c r="AL25" s="40"/>
      <c r="AM25" s="146"/>
      <c r="AN25" s="136">
        <v>45701</v>
      </c>
      <c r="AO25" s="136"/>
      <c r="AP25" s="136"/>
      <c r="AQ25" s="46"/>
    </row>
    <row r="26" spans="1:43" ht="17.399999999999999">
      <c r="A26" s="168" t="s">
        <v>540</v>
      </c>
      <c r="B26" s="168" t="s">
        <v>538</v>
      </c>
      <c r="C26" s="169" t="s">
        <v>541</v>
      </c>
      <c r="D26" s="169" t="s">
        <v>542</v>
      </c>
      <c r="E26" s="168" t="s">
        <v>543</v>
      </c>
      <c r="F26" s="168" t="s">
        <v>33</v>
      </c>
      <c r="G26" s="168" t="s">
        <v>33</v>
      </c>
      <c r="H26" s="168" t="s">
        <v>532</v>
      </c>
      <c r="I26" s="170" t="s">
        <v>304</v>
      </c>
      <c r="J26" s="171" t="s">
        <v>533</v>
      </c>
      <c r="K26" s="168" t="s">
        <v>215</v>
      </c>
      <c r="L26" s="168" t="s">
        <v>60</v>
      </c>
      <c r="M26" s="168">
        <v>8</v>
      </c>
      <c r="N26" s="168" t="s">
        <v>544</v>
      </c>
      <c r="O26" s="168"/>
      <c r="P26" s="172" t="s">
        <v>684</v>
      </c>
      <c r="Q26" s="40"/>
      <c r="R26" s="41"/>
      <c r="S26" s="22">
        <f t="shared" si="0"/>
        <v>8</v>
      </c>
      <c r="T26" s="41">
        <v>45260</v>
      </c>
      <c r="U26" s="41" t="str">
        <f t="shared" si="4"/>
        <v/>
      </c>
      <c r="V26" s="44" t="s">
        <v>18618</v>
      </c>
      <c r="W26" s="44" t="s">
        <v>619</v>
      </c>
      <c r="X26" s="46" t="s">
        <v>620</v>
      </c>
      <c r="Y26" s="46">
        <v>6</v>
      </c>
      <c r="Z26" s="46" t="s">
        <v>18619</v>
      </c>
      <c r="AA26" s="41"/>
      <c r="AB26" s="22"/>
      <c r="AC26" s="22"/>
      <c r="AD26" s="41"/>
      <c r="AE26" s="22"/>
      <c r="AF26" s="22"/>
      <c r="AG26" s="48">
        <f t="shared" si="1"/>
        <v>2</v>
      </c>
      <c r="AH26" s="48">
        <f t="shared" si="2"/>
        <v>6</v>
      </c>
      <c r="AI26" s="48">
        <f t="shared" si="3"/>
        <v>8</v>
      </c>
      <c r="AJ26" s="40" t="s">
        <v>33</v>
      </c>
      <c r="AK26" s="40" t="s">
        <v>33</v>
      </c>
      <c r="AL26" s="40"/>
      <c r="AM26" s="146"/>
      <c r="AN26" s="136"/>
      <c r="AO26" s="136"/>
      <c r="AP26" s="136"/>
      <c r="AQ26" s="46"/>
    </row>
    <row r="27" spans="1:43" ht="17.399999999999999">
      <c r="A27" s="22" t="s">
        <v>18809</v>
      </c>
      <c r="B27" s="22" t="s">
        <v>138</v>
      </c>
      <c r="C27" s="56" t="s">
        <v>18810</v>
      </c>
      <c r="D27" s="56" t="s">
        <v>33</v>
      </c>
      <c r="E27" s="22" t="s">
        <v>33</v>
      </c>
      <c r="F27" s="22" t="s">
        <v>33</v>
      </c>
      <c r="G27" s="22" t="s">
        <v>67</v>
      </c>
      <c r="H27" s="22" t="s">
        <v>351</v>
      </c>
      <c r="I27" s="49" t="s">
        <v>352</v>
      </c>
      <c r="J27" s="50" t="s">
        <v>353</v>
      </c>
      <c r="K27" s="22" t="s">
        <v>346</v>
      </c>
      <c r="L27" s="22" t="s">
        <v>60</v>
      </c>
      <c r="M27" s="22">
        <v>15</v>
      </c>
      <c r="N27" s="22" t="s">
        <v>357</v>
      </c>
      <c r="O27" s="22"/>
      <c r="P27" s="46" t="s">
        <v>18088</v>
      </c>
      <c r="Q27" s="40"/>
      <c r="R27" s="41"/>
      <c r="S27" s="22">
        <f t="shared" si="0"/>
        <v>15</v>
      </c>
      <c r="T27" s="41">
        <v>45348</v>
      </c>
      <c r="U27" s="41" t="str">
        <f t="shared" si="4"/>
        <v/>
      </c>
      <c r="V27" s="44">
        <v>45336</v>
      </c>
      <c r="W27" s="44">
        <v>45344</v>
      </c>
      <c r="X27" s="46" t="s">
        <v>18811</v>
      </c>
      <c r="Y27" s="46">
        <v>15</v>
      </c>
      <c r="Z27" s="46" t="s">
        <v>18812</v>
      </c>
      <c r="AA27" s="41"/>
      <c r="AB27" s="22"/>
      <c r="AC27" s="22"/>
      <c r="AD27" s="41"/>
      <c r="AE27" s="22"/>
      <c r="AF27" s="22"/>
      <c r="AG27" s="48">
        <f t="shared" si="1"/>
        <v>0</v>
      </c>
      <c r="AH27" s="48">
        <f t="shared" si="2"/>
        <v>15</v>
      </c>
      <c r="AI27" s="48">
        <f t="shared" si="3"/>
        <v>15</v>
      </c>
      <c r="AJ27" s="40" t="s">
        <v>33</v>
      </c>
      <c r="AK27" s="40" t="s">
        <v>33</v>
      </c>
      <c r="AL27" s="40"/>
      <c r="AM27" s="146"/>
      <c r="AN27" s="136">
        <v>45701</v>
      </c>
      <c r="AO27" s="136"/>
      <c r="AP27" s="136"/>
      <c r="AQ27" s="184"/>
    </row>
    <row r="28" spans="1:43" ht="17.399999999999999">
      <c r="A28" s="22" t="s">
        <v>18813</v>
      </c>
      <c r="B28" s="22" t="s">
        <v>346</v>
      </c>
      <c r="C28" s="56" t="s">
        <v>18814</v>
      </c>
      <c r="D28" s="56" t="s">
        <v>33</v>
      </c>
      <c r="E28" s="22" t="s">
        <v>33</v>
      </c>
      <c r="F28" s="22" t="s">
        <v>33</v>
      </c>
      <c r="G28" s="22" t="s">
        <v>67</v>
      </c>
      <c r="H28" s="22" t="s">
        <v>351</v>
      </c>
      <c r="I28" s="49" t="s">
        <v>352</v>
      </c>
      <c r="J28" s="50" t="s">
        <v>353</v>
      </c>
      <c r="K28" s="22" t="s">
        <v>346</v>
      </c>
      <c r="L28" s="22" t="s">
        <v>60</v>
      </c>
      <c r="M28" s="22">
        <v>12</v>
      </c>
      <c r="N28" s="22" t="s">
        <v>18815</v>
      </c>
      <c r="O28" s="22"/>
      <c r="P28" s="46" t="s">
        <v>18088</v>
      </c>
      <c r="Q28" s="40"/>
      <c r="R28" s="41"/>
      <c r="S28" s="22">
        <f t="shared" si="0"/>
        <v>12</v>
      </c>
      <c r="T28" s="41">
        <v>45364</v>
      </c>
      <c r="U28" s="41" t="str">
        <f t="shared" si="4"/>
        <v/>
      </c>
      <c r="V28" s="44">
        <v>45350</v>
      </c>
      <c r="W28" s="44">
        <v>45358</v>
      </c>
      <c r="X28" s="46" t="s">
        <v>18816</v>
      </c>
      <c r="Y28" s="46">
        <v>12</v>
      </c>
      <c r="Z28" s="46" t="s">
        <v>18817</v>
      </c>
      <c r="AA28" s="41"/>
      <c r="AB28" s="22"/>
      <c r="AC28" s="22"/>
      <c r="AD28" s="41"/>
      <c r="AE28" s="22"/>
      <c r="AF28" s="22"/>
      <c r="AG28" s="48">
        <f t="shared" si="1"/>
        <v>0</v>
      </c>
      <c r="AH28" s="48">
        <f t="shared" si="2"/>
        <v>12</v>
      </c>
      <c r="AI28" s="48">
        <f t="shared" si="3"/>
        <v>12</v>
      </c>
      <c r="AJ28" s="40" t="s">
        <v>33</v>
      </c>
      <c r="AK28" s="40" t="s">
        <v>33</v>
      </c>
      <c r="AL28" s="40"/>
      <c r="AM28" s="146"/>
      <c r="AN28" s="136">
        <v>45701</v>
      </c>
      <c r="AO28" s="136"/>
      <c r="AP28" s="136"/>
      <c r="AQ28" s="184"/>
    </row>
    <row r="29" spans="1:43" ht="17.399999999999999">
      <c r="A29" s="22" t="s">
        <v>18818</v>
      </c>
      <c r="B29" s="22" t="s">
        <v>346</v>
      </c>
      <c r="C29" s="56">
        <v>45356</v>
      </c>
      <c r="D29" s="56" t="s">
        <v>33</v>
      </c>
      <c r="E29" s="22" t="s">
        <v>18819</v>
      </c>
      <c r="F29" s="22"/>
      <c r="G29" s="22" t="s">
        <v>67</v>
      </c>
      <c r="H29" s="22" t="s">
        <v>354</v>
      </c>
      <c r="I29" s="49" t="s">
        <v>355</v>
      </c>
      <c r="J29" s="50" t="s">
        <v>356</v>
      </c>
      <c r="K29" s="22" t="s">
        <v>346</v>
      </c>
      <c r="L29" s="22" t="s">
        <v>52</v>
      </c>
      <c r="M29" s="22">
        <v>21</v>
      </c>
      <c r="N29" s="22" t="s">
        <v>18820</v>
      </c>
      <c r="O29" s="22"/>
      <c r="P29" s="46" t="s">
        <v>18088</v>
      </c>
      <c r="Q29" s="40"/>
      <c r="R29" s="41"/>
      <c r="S29" s="22">
        <f t="shared" si="0"/>
        <v>21</v>
      </c>
      <c r="T29" s="41">
        <v>45442</v>
      </c>
      <c r="U29" s="41" t="str">
        <f t="shared" si="4"/>
        <v/>
      </c>
      <c r="V29" s="44">
        <v>45435</v>
      </c>
      <c r="W29" s="44">
        <v>45440</v>
      </c>
      <c r="X29" s="46" t="s">
        <v>18821</v>
      </c>
      <c r="Y29" s="46">
        <v>21</v>
      </c>
      <c r="Z29" s="46" t="s">
        <v>18822</v>
      </c>
      <c r="AA29" s="41"/>
      <c r="AB29" s="22"/>
      <c r="AC29" s="22"/>
      <c r="AD29" s="41"/>
      <c r="AE29" s="22"/>
      <c r="AF29" s="22"/>
      <c r="AG29" s="48">
        <f t="shared" si="1"/>
        <v>0</v>
      </c>
      <c r="AH29" s="48">
        <f t="shared" si="2"/>
        <v>21</v>
      </c>
      <c r="AI29" s="48">
        <f t="shared" si="3"/>
        <v>21</v>
      </c>
      <c r="AJ29" s="40" t="s">
        <v>33</v>
      </c>
      <c r="AK29" s="40" t="s">
        <v>33</v>
      </c>
      <c r="AL29" s="40"/>
      <c r="AM29" s="146"/>
      <c r="AN29" s="136"/>
      <c r="AO29" s="136"/>
      <c r="AP29" s="136"/>
      <c r="AQ29" s="184"/>
    </row>
    <row r="30" spans="1:43" ht="17.399999999999999">
      <c r="A30" s="22" t="s">
        <v>358</v>
      </c>
      <c r="B30" s="22" t="s">
        <v>359</v>
      </c>
      <c r="C30" s="56" t="s">
        <v>360</v>
      </c>
      <c r="D30" s="56" t="s">
        <v>33</v>
      </c>
      <c r="E30" s="22" t="s">
        <v>33</v>
      </c>
      <c r="F30" s="22" t="s">
        <v>33</v>
      </c>
      <c r="G30" s="22" t="s">
        <v>67</v>
      </c>
      <c r="H30" s="22" t="s">
        <v>361</v>
      </c>
      <c r="I30" s="49" t="s">
        <v>362</v>
      </c>
      <c r="J30" s="50" t="s">
        <v>363</v>
      </c>
      <c r="K30" s="22" t="s">
        <v>364</v>
      </c>
      <c r="L30" s="22" t="s">
        <v>60</v>
      </c>
      <c r="M30" s="22">
        <v>8</v>
      </c>
      <c r="N30" s="22" t="s">
        <v>365</v>
      </c>
      <c r="O30" s="22"/>
      <c r="P30" s="46" t="s">
        <v>681</v>
      </c>
      <c r="Q30" s="40"/>
      <c r="R30" s="41"/>
      <c r="S30" s="22">
        <f t="shared" si="0"/>
        <v>8</v>
      </c>
      <c r="T30" s="41">
        <v>45434</v>
      </c>
      <c r="U30" s="41" t="str">
        <f t="shared" si="4"/>
        <v/>
      </c>
      <c r="V30" s="44">
        <v>45427</v>
      </c>
      <c r="W30" s="44">
        <v>45433</v>
      </c>
      <c r="X30" s="46" t="s">
        <v>600</v>
      </c>
      <c r="Y30" s="46">
        <v>8</v>
      </c>
      <c r="Z30" s="46" t="s">
        <v>660</v>
      </c>
      <c r="AA30" s="41"/>
      <c r="AB30" s="22"/>
      <c r="AC30" s="22"/>
      <c r="AD30" s="41">
        <v>46203</v>
      </c>
      <c r="AE30" s="22" t="s">
        <v>19290</v>
      </c>
      <c r="AF30" s="22">
        <v>8</v>
      </c>
      <c r="AG30" s="48">
        <f t="shared" si="1"/>
        <v>0</v>
      </c>
      <c r="AH30" s="48">
        <f t="shared" si="2"/>
        <v>0</v>
      </c>
      <c r="AI30" s="48">
        <f t="shared" si="3"/>
        <v>0</v>
      </c>
      <c r="AJ30" s="40" t="s">
        <v>33</v>
      </c>
      <c r="AK30" s="40" t="s">
        <v>33</v>
      </c>
      <c r="AL30" s="40"/>
      <c r="AM30" s="146"/>
      <c r="AN30" s="136"/>
      <c r="AO30" s="136"/>
      <c r="AP30" s="136"/>
      <c r="AQ30" s="184"/>
    </row>
    <row r="31" spans="1:43" ht="17.399999999999999">
      <c r="A31" s="22" t="s">
        <v>18823</v>
      </c>
      <c r="B31" s="22" t="s">
        <v>346</v>
      </c>
      <c r="C31" s="56">
        <v>45440</v>
      </c>
      <c r="D31" s="56" t="s">
        <v>33</v>
      </c>
      <c r="E31" s="22" t="s">
        <v>18824</v>
      </c>
      <c r="F31" s="22" t="s">
        <v>33</v>
      </c>
      <c r="G31" s="22" t="s">
        <v>18819</v>
      </c>
      <c r="H31" s="22" t="s">
        <v>354</v>
      </c>
      <c r="I31" s="49" t="s">
        <v>355</v>
      </c>
      <c r="J31" s="50" t="s">
        <v>356</v>
      </c>
      <c r="K31" s="22" t="s">
        <v>346</v>
      </c>
      <c r="L31" s="22" t="s">
        <v>52</v>
      </c>
      <c r="M31" s="22">
        <v>94</v>
      </c>
      <c r="N31" s="22" t="s">
        <v>18825</v>
      </c>
      <c r="O31" s="22"/>
      <c r="P31" s="46" t="s">
        <v>18088</v>
      </c>
      <c r="Q31" s="40"/>
      <c r="R31" s="41"/>
      <c r="S31" s="22">
        <f t="shared" si="0"/>
        <v>94</v>
      </c>
      <c r="T31" s="41">
        <v>45469</v>
      </c>
      <c r="U31" s="41" t="str">
        <f t="shared" si="4"/>
        <v/>
      </c>
      <c r="V31" s="44">
        <v>45462</v>
      </c>
      <c r="W31" s="44">
        <v>45468</v>
      </c>
      <c r="X31" s="46" t="s">
        <v>18826</v>
      </c>
      <c r="Y31" s="46">
        <v>94</v>
      </c>
      <c r="Z31" s="46" t="s">
        <v>18827</v>
      </c>
      <c r="AA31" s="41"/>
      <c r="AB31" s="22"/>
      <c r="AC31" s="22"/>
      <c r="AD31" s="41"/>
      <c r="AE31" s="22"/>
      <c r="AF31" s="22"/>
      <c r="AG31" s="48">
        <f t="shared" si="1"/>
        <v>0</v>
      </c>
      <c r="AH31" s="48">
        <f t="shared" si="2"/>
        <v>94</v>
      </c>
      <c r="AI31" s="48">
        <f t="shared" si="3"/>
        <v>94</v>
      </c>
      <c r="AJ31" s="40" t="s">
        <v>33</v>
      </c>
      <c r="AK31" s="40" t="s">
        <v>33</v>
      </c>
      <c r="AL31" s="40"/>
      <c r="AM31" s="146"/>
      <c r="AN31" s="136"/>
      <c r="AO31" s="136"/>
      <c r="AP31" s="136"/>
      <c r="AQ31" s="184"/>
    </row>
    <row r="32" spans="1:43" ht="17.399999999999999">
      <c r="A32" s="22" t="s">
        <v>551</v>
      </c>
      <c r="B32" s="22" t="s">
        <v>552</v>
      </c>
      <c r="C32" s="56">
        <v>45440</v>
      </c>
      <c r="D32" s="56">
        <v>45418</v>
      </c>
      <c r="E32" s="22" t="s">
        <v>553</v>
      </c>
      <c r="F32" s="22" t="s">
        <v>33</v>
      </c>
      <c r="G32" s="22" t="s">
        <v>33</v>
      </c>
      <c r="H32" s="22" t="s">
        <v>554</v>
      </c>
      <c r="I32" s="49" t="s">
        <v>555</v>
      </c>
      <c r="J32" s="50" t="s">
        <v>556</v>
      </c>
      <c r="K32" s="22" t="s">
        <v>557</v>
      </c>
      <c r="L32" s="22" t="s">
        <v>71</v>
      </c>
      <c r="M32" s="22">
        <v>15</v>
      </c>
      <c r="N32" s="22" t="s">
        <v>558</v>
      </c>
      <c r="O32" s="22"/>
      <c r="P32" s="46" t="s">
        <v>682</v>
      </c>
      <c r="Q32" s="40"/>
      <c r="R32" s="41"/>
      <c r="S32" s="22">
        <f t="shared" si="0"/>
        <v>15</v>
      </c>
      <c r="T32" s="41">
        <v>45490</v>
      </c>
      <c r="U32" s="41" t="str">
        <f t="shared" si="4"/>
        <v/>
      </c>
      <c r="V32" s="44">
        <v>45491</v>
      </c>
      <c r="W32" s="44">
        <v>45497</v>
      </c>
      <c r="X32" s="46" t="s">
        <v>622</v>
      </c>
      <c r="Y32" s="46">
        <v>15</v>
      </c>
      <c r="Z32" s="46" t="s">
        <v>661</v>
      </c>
      <c r="AA32" s="41"/>
      <c r="AB32" s="22"/>
      <c r="AC32" s="22"/>
      <c r="AD32" s="41">
        <v>46253</v>
      </c>
      <c r="AE32" s="22" t="s">
        <v>19420</v>
      </c>
      <c r="AF32" s="22">
        <v>15</v>
      </c>
      <c r="AG32" s="48">
        <f t="shared" si="1"/>
        <v>0</v>
      </c>
      <c r="AH32" s="48">
        <f t="shared" si="2"/>
        <v>0</v>
      </c>
      <c r="AI32" s="48">
        <f t="shared" si="3"/>
        <v>0</v>
      </c>
      <c r="AJ32" s="40" t="s">
        <v>33</v>
      </c>
      <c r="AK32" s="40" t="s">
        <v>33</v>
      </c>
      <c r="AL32" s="40"/>
      <c r="AM32" s="146"/>
      <c r="AN32" s="136">
        <v>45701</v>
      </c>
      <c r="AO32" s="136"/>
      <c r="AP32" s="136"/>
      <c r="AQ32" s="184"/>
    </row>
    <row r="33" spans="1:43" ht="17.399999999999999">
      <c r="A33" s="168" t="s">
        <v>545</v>
      </c>
      <c r="B33" s="168" t="s">
        <v>546</v>
      </c>
      <c r="C33" s="169" t="s">
        <v>547</v>
      </c>
      <c r="D33" s="169" t="s">
        <v>548</v>
      </c>
      <c r="E33" s="168" t="s">
        <v>549</v>
      </c>
      <c r="F33" s="168" t="s">
        <v>33</v>
      </c>
      <c r="G33" s="168" t="s">
        <v>33</v>
      </c>
      <c r="H33" s="168" t="s">
        <v>532</v>
      </c>
      <c r="I33" s="170" t="s">
        <v>304</v>
      </c>
      <c r="J33" s="171" t="s">
        <v>533</v>
      </c>
      <c r="K33" s="168" t="s">
        <v>215</v>
      </c>
      <c r="L33" s="168" t="s">
        <v>60</v>
      </c>
      <c r="M33" s="168">
        <v>31</v>
      </c>
      <c r="N33" s="168" t="s">
        <v>550</v>
      </c>
      <c r="O33" s="168"/>
      <c r="P33" s="172" t="s">
        <v>684</v>
      </c>
      <c r="Q33" s="40"/>
      <c r="R33" s="41"/>
      <c r="S33" s="22">
        <f t="shared" si="0"/>
        <v>31</v>
      </c>
      <c r="T33" s="41">
        <v>45510</v>
      </c>
      <c r="U33" s="41" t="str">
        <f t="shared" si="4"/>
        <v/>
      </c>
      <c r="V33" s="44">
        <v>45497</v>
      </c>
      <c r="W33" s="44">
        <v>45510</v>
      </c>
      <c r="X33" s="46" t="s">
        <v>621</v>
      </c>
      <c r="Y33" s="46">
        <v>31</v>
      </c>
      <c r="Z33" s="46" t="s">
        <v>663</v>
      </c>
      <c r="AA33" s="41"/>
      <c r="AB33" s="22"/>
      <c r="AC33" s="22"/>
      <c r="AD33" s="41"/>
      <c r="AE33" s="22"/>
      <c r="AF33" s="22"/>
      <c r="AG33" s="48">
        <f t="shared" si="1"/>
        <v>0</v>
      </c>
      <c r="AH33" s="48">
        <f t="shared" si="2"/>
        <v>31</v>
      </c>
      <c r="AI33" s="48">
        <f t="shared" si="3"/>
        <v>31</v>
      </c>
      <c r="AJ33" s="40" t="s">
        <v>33</v>
      </c>
      <c r="AK33" s="40" t="s">
        <v>33</v>
      </c>
      <c r="AL33" s="40"/>
      <c r="AM33" s="146"/>
      <c r="AN33" s="136"/>
      <c r="AO33" s="136"/>
      <c r="AP33" s="136"/>
      <c r="AQ33" s="46"/>
    </row>
    <row r="34" spans="1:43" ht="17.399999999999999">
      <c r="A34" s="22" t="s">
        <v>18828</v>
      </c>
      <c r="B34" s="22" t="s">
        <v>346</v>
      </c>
      <c r="C34" s="56" t="s">
        <v>18829</v>
      </c>
      <c r="D34" s="56" t="s">
        <v>33</v>
      </c>
      <c r="E34" s="22" t="s">
        <v>18830</v>
      </c>
      <c r="F34" s="22" t="s">
        <v>33</v>
      </c>
      <c r="G34" s="22" t="s">
        <v>67</v>
      </c>
      <c r="H34" s="22" t="s">
        <v>354</v>
      </c>
      <c r="I34" s="49" t="s">
        <v>355</v>
      </c>
      <c r="J34" s="50" t="s">
        <v>356</v>
      </c>
      <c r="K34" s="22" t="s">
        <v>346</v>
      </c>
      <c r="L34" s="22" t="s">
        <v>52</v>
      </c>
      <c r="M34" s="22">
        <v>67</v>
      </c>
      <c r="N34" s="22" t="s">
        <v>18831</v>
      </c>
      <c r="O34" s="22"/>
      <c r="P34" s="46" t="s">
        <v>18088</v>
      </c>
      <c r="Q34" s="40"/>
      <c r="R34" s="41"/>
      <c r="S34" s="22">
        <f t="shared" si="0"/>
        <v>67</v>
      </c>
      <c r="T34" s="41">
        <v>45496</v>
      </c>
      <c r="U34" s="41" t="str">
        <f t="shared" si="4"/>
        <v/>
      </c>
      <c r="V34" s="44">
        <v>45490</v>
      </c>
      <c r="W34" s="44">
        <v>45496</v>
      </c>
      <c r="X34" s="46" t="s">
        <v>18832</v>
      </c>
      <c r="Y34" s="46">
        <v>67</v>
      </c>
      <c r="Z34" s="46" t="s">
        <v>18833</v>
      </c>
      <c r="AA34" s="41"/>
      <c r="AB34" s="22"/>
      <c r="AC34" s="22"/>
      <c r="AD34" s="41"/>
      <c r="AE34" s="22"/>
      <c r="AF34" s="22"/>
      <c r="AG34" s="48">
        <f t="shared" si="1"/>
        <v>0</v>
      </c>
      <c r="AH34" s="48">
        <f t="shared" si="2"/>
        <v>67</v>
      </c>
      <c r="AI34" s="48">
        <f t="shared" si="3"/>
        <v>67</v>
      </c>
      <c r="AJ34" s="40" t="s">
        <v>33</v>
      </c>
      <c r="AK34" s="40" t="s">
        <v>33</v>
      </c>
      <c r="AL34" s="40"/>
      <c r="AM34" s="146"/>
      <c r="AN34" s="136"/>
      <c r="AO34" s="136"/>
      <c r="AP34" s="136"/>
      <c r="AQ34" s="184"/>
    </row>
    <row r="35" spans="1:43" ht="17.399999999999999">
      <c r="A35" s="22" t="s">
        <v>18834</v>
      </c>
      <c r="B35" s="22" t="s">
        <v>346</v>
      </c>
      <c r="C35" s="56" t="s">
        <v>18835</v>
      </c>
      <c r="D35" s="56" t="s">
        <v>33</v>
      </c>
      <c r="E35" s="22" t="s">
        <v>33</v>
      </c>
      <c r="F35" s="22" t="s">
        <v>33</v>
      </c>
      <c r="G35" s="22" t="s">
        <v>67</v>
      </c>
      <c r="H35" s="22" t="s">
        <v>366</v>
      </c>
      <c r="I35" s="49" t="s">
        <v>362</v>
      </c>
      <c r="J35" s="50" t="s">
        <v>367</v>
      </c>
      <c r="K35" s="22" t="s">
        <v>346</v>
      </c>
      <c r="L35" s="22" t="s">
        <v>60</v>
      </c>
      <c r="M35" s="22">
        <v>66</v>
      </c>
      <c r="N35" s="22" t="s">
        <v>18836</v>
      </c>
      <c r="O35" s="22"/>
      <c r="P35" s="46" t="s">
        <v>18088</v>
      </c>
      <c r="Q35" s="40"/>
      <c r="R35" s="41"/>
      <c r="S35" s="22">
        <f t="shared" si="0"/>
        <v>66</v>
      </c>
      <c r="T35" s="41">
        <v>45554</v>
      </c>
      <c r="U35" s="41" t="str">
        <f t="shared" si="4"/>
        <v/>
      </c>
      <c r="V35" s="44">
        <v>45553</v>
      </c>
      <c r="W35" s="44">
        <v>45554</v>
      </c>
      <c r="X35" s="46" t="s">
        <v>18837</v>
      </c>
      <c r="Y35" s="46">
        <v>66</v>
      </c>
      <c r="Z35" s="46" t="s">
        <v>18838</v>
      </c>
      <c r="AA35" s="41"/>
      <c r="AB35" s="22"/>
      <c r="AC35" s="22"/>
      <c r="AD35" s="41"/>
      <c r="AE35" s="22"/>
      <c r="AF35" s="22"/>
      <c r="AG35" s="48">
        <f t="shared" si="1"/>
        <v>0</v>
      </c>
      <c r="AH35" s="48">
        <f t="shared" si="2"/>
        <v>66</v>
      </c>
      <c r="AI35" s="48">
        <f t="shared" si="3"/>
        <v>66</v>
      </c>
      <c r="AJ35" s="40" t="s">
        <v>33</v>
      </c>
      <c r="AK35" s="40" t="s">
        <v>33</v>
      </c>
      <c r="AL35" s="40"/>
      <c r="AM35" s="146"/>
      <c r="AN35" s="136"/>
      <c r="AO35" s="136"/>
      <c r="AP35" s="136"/>
      <c r="AQ35" s="184"/>
    </row>
    <row r="36" spans="1:43" ht="17.399999999999999">
      <c r="A36" s="22" t="s">
        <v>286</v>
      </c>
      <c r="B36" s="22" t="s">
        <v>287</v>
      </c>
      <c r="C36" s="56">
        <v>45498</v>
      </c>
      <c r="D36" s="56">
        <v>45495</v>
      </c>
      <c r="E36" s="22" t="s">
        <v>288</v>
      </c>
      <c r="F36" s="22">
        <v>5</v>
      </c>
      <c r="G36" s="22" t="s">
        <v>33</v>
      </c>
      <c r="H36" s="22" t="s">
        <v>233</v>
      </c>
      <c r="I36" s="49" t="s">
        <v>174</v>
      </c>
      <c r="J36" s="50" t="s">
        <v>234</v>
      </c>
      <c r="K36" s="22" t="s">
        <v>51</v>
      </c>
      <c r="L36" s="22" t="s">
        <v>60</v>
      </c>
      <c r="M36" s="22">
        <v>90</v>
      </c>
      <c r="N36" s="22" t="s">
        <v>289</v>
      </c>
      <c r="O36" s="22"/>
      <c r="P36" s="46" t="s">
        <v>685</v>
      </c>
      <c r="Q36" s="40"/>
      <c r="R36" s="41"/>
      <c r="S36" s="22">
        <f t="shared" si="0"/>
        <v>90</v>
      </c>
      <c r="T36" s="41">
        <v>45498</v>
      </c>
      <c r="U36" s="41" t="str">
        <f t="shared" si="4"/>
        <v>Upload in customer box</v>
      </c>
      <c r="V36" s="44">
        <v>45498</v>
      </c>
      <c r="W36" s="44" t="s">
        <v>594</v>
      </c>
      <c r="X36" s="46" t="s">
        <v>595</v>
      </c>
      <c r="Y36" s="46">
        <v>90</v>
      </c>
      <c r="Z36" s="46" t="s">
        <v>664</v>
      </c>
      <c r="AA36" s="41">
        <v>45533</v>
      </c>
      <c r="AB36" s="22" t="s">
        <v>18083</v>
      </c>
      <c r="AC36" s="22">
        <v>80</v>
      </c>
      <c r="AD36" s="41"/>
      <c r="AE36" s="22"/>
      <c r="AF36" s="22"/>
      <c r="AG36" s="48">
        <f t="shared" si="1"/>
        <v>0</v>
      </c>
      <c r="AH36" s="48">
        <f t="shared" si="2"/>
        <v>10</v>
      </c>
      <c r="AI36" s="48">
        <f t="shared" si="3"/>
        <v>10</v>
      </c>
      <c r="AJ36" s="40" t="s">
        <v>33</v>
      </c>
      <c r="AK36" s="40" t="s">
        <v>33</v>
      </c>
      <c r="AL36" s="40"/>
      <c r="AM36" s="146"/>
      <c r="AN36" s="136"/>
      <c r="AO36" s="136"/>
      <c r="AP36" s="136"/>
      <c r="AQ36" s="184"/>
    </row>
    <row r="37" spans="1:43" s="163" customFormat="1" ht="17.399999999999999">
      <c r="A37" s="157" t="s">
        <v>73</v>
      </c>
      <c r="B37" s="157" t="s">
        <v>74</v>
      </c>
      <c r="C37" s="158">
        <v>45497</v>
      </c>
      <c r="D37" s="158">
        <v>45426</v>
      </c>
      <c r="E37" s="157">
        <v>20240509</v>
      </c>
      <c r="F37" s="157" t="s">
        <v>33</v>
      </c>
      <c r="G37" s="157" t="s">
        <v>33</v>
      </c>
      <c r="H37" s="157" t="s">
        <v>2833</v>
      </c>
      <c r="I37" s="182" t="s">
        <v>75</v>
      </c>
      <c r="J37" s="183" t="s">
        <v>76</v>
      </c>
      <c r="K37" s="157" t="s">
        <v>77</v>
      </c>
      <c r="L37" s="157" t="s">
        <v>60</v>
      </c>
      <c r="M37" s="157">
        <v>3</v>
      </c>
      <c r="N37" s="157" t="s">
        <v>78</v>
      </c>
      <c r="O37" s="157"/>
      <c r="P37" s="159" t="s">
        <v>19054</v>
      </c>
      <c r="Q37" s="160"/>
      <c r="R37" s="161"/>
      <c r="S37" s="157">
        <f t="shared" si="0"/>
        <v>3</v>
      </c>
      <c r="T37" s="161">
        <v>45552</v>
      </c>
      <c r="U37" s="41" t="str">
        <f t="shared" si="4"/>
        <v/>
      </c>
      <c r="V37" s="164">
        <v>45551</v>
      </c>
      <c r="W37" s="164">
        <v>45552</v>
      </c>
      <c r="X37" s="159" t="s">
        <v>572</v>
      </c>
      <c r="Y37" s="159">
        <v>3</v>
      </c>
      <c r="Z37" s="159" t="s">
        <v>665</v>
      </c>
      <c r="AA37" s="161"/>
      <c r="AB37" s="157"/>
      <c r="AC37" s="157"/>
      <c r="AD37" s="161">
        <v>46100</v>
      </c>
      <c r="AE37" s="157" t="s">
        <v>19145</v>
      </c>
      <c r="AF37" s="157">
        <v>3</v>
      </c>
      <c r="AG37" s="162">
        <f t="shared" si="1"/>
        <v>0</v>
      </c>
      <c r="AH37" s="162">
        <f t="shared" si="2"/>
        <v>0</v>
      </c>
      <c r="AI37" s="162">
        <f t="shared" si="3"/>
        <v>0</v>
      </c>
      <c r="AJ37" s="160">
        <v>45563</v>
      </c>
      <c r="AK37" s="160"/>
      <c r="AL37" s="160"/>
      <c r="AM37" s="166"/>
      <c r="AN37" s="165"/>
      <c r="AO37" s="165"/>
      <c r="AP37" s="165"/>
      <c r="AQ37" s="184"/>
    </row>
    <row r="38" spans="1:43" s="163" customFormat="1" ht="17.399999999999999">
      <c r="A38" s="157" t="s">
        <v>79</v>
      </c>
      <c r="B38" s="157" t="s">
        <v>50</v>
      </c>
      <c r="C38" s="158">
        <v>45512</v>
      </c>
      <c r="D38" s="158">
        <v>45496</v>
      </c>
      <c r="E38" s="157" t="s">
        <v>80</v>
      </c>
      <c r="F38" s="157">
        <v>350</v>
      </c>
      <c r="G38" s="157" t="s">
        <v>81</v>
      </c>
      <c r="H38" s="157" t="s">
        <v>82</v>
      </c>
      <c r="I38" s="182" t="s">
        <v>83</v>
      </c>
      <c r="J38" s="183" t="s">
        <v>84</v>
      </c>
      <c r="K38" s="157" t="s">
        <v>85</v>
      </c>
      <c r="L38" s="157" t="s">
        <v>60</v>
      </c>
      <c r="M38" s="157">
        <v>61</v>
      </c>
      <c r="N38" s="157" t="s">
        <v>86</v>
      </c>
      <c r="O38" s="157"/>
      <c r="P38" s="159" t="s">
        <v>19054</v>
      </c>
      <c r="Q38" s="160"/>
      <c r="R38" s="161"/>
      <c r="S38" s="157">
        <f t="shared" si="0"/>
        <v>61</v>
      </c>
      <c r="T38" s="161">
        <v>45552</v>
      </c>
      <c r="U38" s="41" t="str">
        <f t="shared" si="4"/>
        <v/>
      </c>
      <c r="V38" s="164">
        <v>45551</v>
      </c>
      <c r="W38" s="164">
        <v>45552</v>
      </c>
      <c r="X38" s="159" t="s">
        <v>572</v>
      </c>
      <c r="Y38" s="159">
        <v>61</v>
      </c>
      <c r="Z38" s="159" t="s">
        <v>665</v>
      </c>
      <c r="AA38" s="161"/>
      <c r="AB38" s="157"/>
      <c r="AC38" s="157"/>
      <c r="AD38" s="161">
        <v>46100</v>
      </c>
      <c r="AE38" s="157" t="s">
        <v>19145</v>
      </c>
      <c r="AF38" s="157">
        <v>61</v>
      </c>
      <c r="AG38" s="162">
        <f t="shared" si="1"/>
        <v>0</v>
      </c>
      <c r="AH38" s="162">
        <f t="shared" si="2"/>
        <v>0</v>
      </c>
      <c r="AI38" s="162">
        <f t="shared" si="3"/>
        <v>0</v>
      </c>
      <c r="AJ38" s="160">
        <v>45563</v>
      </c>
      <c r="AK38" s="160"/>
      <c r="AL38" s="160"/>
      <c r="AM38" s="166"/>
      <c r="AN38" s="165"/>
      <c r="AO38" s="165"/>
      <c r="AP38" s="165"/>
      <c r="AQ38" s="184"/>
    </row>
    <row r="39" spans="1:43" ht="17.399999999999999">
      <c r="A39" s="22" t="s">
        <v>559</v>
      </c>
      <c r="B39" s="22" t="s">
        <v>552</v>
      </c>
      <c r="C39" s="56">
        <v>45491</v>
      </c>
      <c r="D39" s="56">
        <v>45469</v>
      </c>
      <c r="E39" s="22" t="s">
        <v>560</v>
      </c>
      <c r="F39" s="22" t="s">
        <v>33</v>
      </c>
      <c r="G39" s="22" t="s">
        <v>33</v>
      </c>
      <c r="H39" s="22" t="s">
        <v>554</v>
      </c>
      <c r="I39" s="49" t="s">
        <v>555</v>
      </c>
      <c r="J39" s="50" t="s">
        <v>556</v>
      </c>
      <c r="K39" s="22" t="s">
        <v>557</v>
      </c>
      <c r="L39" s="22" t="s">
        <v>71</v>
      </c>
      <c r="M39" s="22">
        <v>25</v>
      </c>
      <c r="N39" s="22" t="s">
        <v>561</v>
      </c>
      <c r="O39" s="22"/>
      <c r="P39" s="46" t="s">
        <v>682</v>
      </c>
      <c r="Q39" s="40"/>
      <c r="R39" s="41"/>
      <c r="S39" s="22">
        <f t="shared" si="0"/>
        <v>25</v>
      </c>
      <c r="T39" s="41">
        <v>45560</v>
      </c>
      <c r="U39" s="41" t="str">
        <f t="shared" si="4"/>
        <v/>
      </c>
      <c r="V39" s="44">
        <v>45552</v>
      </c>
      <c r="W39" s="44">
        <v>45559</v>
      </c>
      <c r="X39" s="46" t="s">
        <v>623</v>
      </c>
      <c r="Y39" s="46">
        <v>25</v>
      </c>
      <c r="Z39" s="46" t="s">
        <v>666</v>
      </c>
      <c r="AA39" s="41"/>
      <c r="AB39" s="22"/>
      <c r="AC39" s="22"/>
      <c r="AD39" s="41">
        <v>46253</v>
      </c>
      <c r="AE39" s="22" t="s">
        <v>19420</v>
      </c>
      <c r="AF39" s="22">
        <v>25</v>
      </c>
      <c r="AG39" s="48">
        <f t="shared" si="1"/>
        <v>0</v>
      </c>
      <c r="AH39" s="48">
        <f t="shared" si="2"/>
        <v>0</v>
      </c>
      <c r="AI39" s="48">
        <f t="shared" si="3"/>
        <v>0</v>
      </c>
      <c r="AJ39" s="40" t="s">
        <v>33</v>
      </c>
      <c r="AK39" s="40" t="s">
        <v>33</v>
      </c>
      <c r="AL39" s="40"/>
      <c r="AM39" s="146"/>
      <c r="AN39" s="136"/>
      <c r="AO39" s="136"/>
      <c r="AP39" s="136"/>
      <c r="AQ39" s="184"/>
    </row>
    <row r="40" spans="1:43" s="163" customFormat="1" ht="17.399999999999999">
      <c r="A40" s="157" t="s">
        <v>87</v>
      </c>
      <c r="B40" s="157" t="s">
        <v>50</v>
      </c>
      <c r="C40" s="158">
        <v>45544</v>
      </c>
      <c r="D40" s="158">
        <v>45511</v>
      </c>
      <c r="E40" s="157">
        <v>20240802</v>
      </c>
      <c r="F40" s="157">
        <v>350</v>
      </c>
      <c r="G40" s="157" t="s">
        <v>81</v>
      </c>
      <c r="H40" s="157" t="s">
        <v>82</v>
      </c>
      <c r="I40" s="182" t="s">
        <v>83</v>
      </c>
      <c r="J40" s="183" t="s">
        <v>84</v>
      </c>
      <c r="K40" s="157" t="s">
        <v>85</v>
      </c>
      <c r="L40" s="157" t="s">
        <v>60</v>
      </c>
      <c r="M40" s="157">
        <v>9</v>
      </c>
      <c r="N40" s="157" t="s">
        <v>88</v>
      </c>
      <c r="O40" s="157"/>
      <c r="P40" s="159" t="s">
        <v>19054</v>
      </c>
      <c r="Q40" s="160"/>
      <c r="R40" s="161"/>
      <c r="S40" s="157">
        <f t="shared" si="0"/>
        <v>9</v>
      </c>
      <c r="T40" s="161">
        <v>45552</v>
      </c>
      <c r="U40" s="41" t="str">
        <f t="shared" si="4"/>
        <v/>
      </c>
      <c r="V40" s="164">
        <v>45551</v>
      </c>
      <c r="W40" s="164">
        <v>45552</v>
      </c>
      <c r="X40" s="159" t="s">
        <v>572</v>
      </c>
      <c r="Y40" s="159">
        <v>9</v>
      </c>
      <c r="Z40" s="159" t="s">
        <v>665</v>
      </c>
      <c r="AA40" s="161"/>
      <c r="AB40" s="157"/>
      <c r="AC40" s="157"/>
      <c r="AD40" s="161">
        <v>46100</v>
      </c>
      <c r="AE40" s="157" t="s">
        <v>19145</v>
      </c>
      <c r="AF40" s="157">
        <v>9</v>
      </c>
      <c r="AG40" s="162">
        <f t="shared" si="1"/>
        <v>0</v>
      </c>
      <c r="AH40" s="162">
        <f t="shared" si="2"/>
        <v>0</v>
      </c>
      <c r="AI40" s="162">
        <f t="shared" si="3"/>
        <v>0</v>
      </c>
      <c r="AJ40" s="160">
        <v>45563</v>
      </c>
      <c r="AK40" s="160" t="s">
        <v>38</v>
      </c>
      <c r="AL40" s="160"/>
      <c r="AM40" s="166"/>
      <c r="AN40" s="165"/>
      <c r="AO40" s="165"/>
      <c r="AP40" s="165"/>
      <c r="AQ40" s="184"/>
    </row>
    <row r="41" spans="1:43" s="163" customFormat="1" ht="17.399999999999999">
      <c r="A41" s="22" t="s">
        <v>290</v>
      </c>
      <c r="B41" s="22" t="s">
        <v>291</v>
      </c>
      <c r="C41" s="56" t="s">
        <v>292</v>
      </c>
      <c r="D41" s="56">
        <v>45356</v>
      </c>
      <c r="E41" s="22" t="s">
        <v>293</v>
      </c>
      <c r="F41" s="22" t="s">
        <v>33</v>
      </c>
      <c r="G41" s="22" t="s">
        <v>33</v>
      </c>
      <c r="H41" s="22" t="s">
        <v>182</v>
      </c>
      <c r="I41" s="49" t="s">
        <v>183</v>
      </c>
      <c r="J41" s="50" t="s">
        <v>184</v>
      </c>
      <c r="K41" s="22" t="s">
        <v>98</v>
      </c>
      <c r="L41" s="22" t="s">
        <v>60</v>
      </c>
      <c r="M41" s="22">
        <v>4</v>
      </c>
      <c r="N41" s="22" t="s">
        <v>294</v>
      </c>
      <c r="O41" s="22"/>
      <c r="P41" s="46" t="s">
        <v>19488</v>
      </c>
      <c r="Q41" s="160"/>
      <c r="R41" s="161"/>
      <c r="S41" s="157">
        <f t="shared" si="0"/>
        <v>4</v>
      </c>
      <c r="T41" s="161">
        <v>45554</v>
      </c>
      <c r="U41" s="41" t="str">
        <f t="shared" si="4"/>
        <v>Upload in customer box</v>
      </c>
      <c r="V41" s="164">
        <v>45551</v>
      </c>
      <c r="W41" s="164">
        <v>45554</v>
      </c>
      <c r="X41" s="159" t="s">
        <v>596</v>
      </c>
      <c r="Y41" s="159">
        <v>4</v>
      </c>
      <c r="Z41" s="159" t="s">
        <v>668</v>
      </c>
      <c r="AA41" s="161"/>
      <c r="AB41" s="157"/>
      <c r="AC41" s="157"/>
      <c r="AD41" s="161"/>
      <c r="AE41" s="157"/>
      <c r="AF41" s="157"/>
      <c r="AG41" s="162">
        <f t="shared" si="1"/>
        <v>0</v>
      </c>
      <c r="AH41" s="162">
        <f t="shared" si="2"/>
        <v>4</v>
      </c>
      <c r="AI41" s="162">
        <f t="shared" si="3"/>
        <v>4</v>
      </c>
      <c r="AJ41" s="160" t="s">
        <v>33</v>
      </c>
      <c r="AK41" s="160" t="s">
        <v>33</v>
      </c>
      <c r="AL41" s="160"/>
      <c r="AM41" s="157"/>
      <c r="AN41" s="165"/>
      <c r="AO41" s="165"/>
      <c r="AP41" s="165"/>
      <c r="AQ41" s="184"/>
    </row>
    <row r="42" spans="1:43" s="163" customFormat="1" ht="17.399999999999999">
      <c r="A42" s="22" t="s">
        <v>18840</v>
      </c>
      <c r="B42" s="22" t="s">
        <v>346</v>
      </c>
      <c r="C42" s="56" t="s">
        <v>18841</v>
      </c>
      <c r="D42" s="56" t="s">
        <v>33</v>
      </c>
      <c r="E42" s="22" t="s">
        <v>374</v>
      </c>
      <c r="F42" s="22" t="s">
        <v>33</v>
      </c>
      <c r="G42" s="22" t="s">
        <v>67</v>
      </c>
      <c r="H42" s="22" t="s">
        <v>354</v>
      </c>
      <c r="I42" s="49" t="s">
        <v>355</v>
      </c>
      <c r="J42" s="50" t="s">
        <v>356</v>
      </c>
      <c r="K42" s="22" t="s">
        <v>346</v>
      </c>
      <c r="L42" s="22" t="s">
        <v>52</v>
      </c>
      <c r="M42" s="22">
        <v>258</v>
      </c>
      <c r="N42" s="22" t="s">
        <v>18842</v>
      </c>
      <c r="O42" s="22"/>
      <c r="P42" s="46" t="s">
        <v>18088</v>
      </c>
      <c r="Q42" s="160"/>
      <c r="R42" s="161"/>
      <c r="S42" s="157">
        <f t="shared" si="0"/>
        <v>258</v>
      </c>
      <c r="T42" s="161">
        <v>45573</v>
      </c>
      <c r="U42" s="41" t="str">
        <f t="shared" si="4"/>
        <v/>
      </c>
      <c r="V42" s="164">
        <v>45567</v>
      </c>
      <c r="W42" s="164">
        <v>45573</v>
      </c>
      <c r="X42" s="159" t="s">
        <v>18843</v>
      </c>
      <c r="Y42" s="159">
        <v>258</v>
      </c>
      <c r="Z42" s="159" t="s">
        <v>18844</v>
      </c>
      <c r="AA42" s="161"/>
      <c r="AB42" s="157"/>
      <c r="AC42" s="157"/>
      <c r="AD42" s="161"/>
      <c r="AE42" s="157"/>
      <c r="AF42" s="157"/>
      <c r="AG42" s="162">
        <f t="shared" si="1"/>
        <v>0</v>
      </c>
      <c r="AH42" s="162">
        <f t="shared" si="2"/>
        <v>258</v>
      </c>
      <c r="AI42" s="162">
        <f t="shared" si="3"/>
        <v>258</v>
      </c>
      <c r="AJ42" s="160" t="s">
        <v>33</v>
      </c>
      <c r="AK42" s="160" t="s">
        <v>33</v>
      </c>
      <c r="AL42" s="160"/>
      <c r="AM42" s="157"/>
      <c r="AN42" s="165"/>
      <c r="AO42" s="165"/>
      <c r="AP42" s="165"/>
      <c r="AQ42" s="184"/>
    </row>
    <row r="43" spans="1:43" s="163" customFormat="1" ht="17.399999999999999">
      <c r="A43" s="22" t="s">
        <v>18845</v>
      </c>
      <c r="B43" s="22" t="s">
        <v>346</v>
      </c>
      <c r="C43" s="56" t="s">
        <v>18846</v>
      </c>
      <c r="D43" s="56" t="s">
        <v>33</v>
      </c>
      <c r="E43" s="22" t="s">
        <v>33</v>
      </c>
      <c r="F43" s="22" t="s">
        <v>33</v>
      </c>
      <c r="G43" s="22" t="s">
        <v>67</v>
      </c>
      <c r="H43" s="22" t="s">
        <v>351</v>
      </c>
      <c r="I43" s="49" t="s">
        <v>352</v>
      </c>
      <c r="J43" s="50" t="s">
        <v>353</v>
      </c>
      <c r="K43" s="22" t="s">
        <v>346</v>
      </c>
      <c r="L43" s="22" t="s">
        <v>60</v>
      </c>
      <c r="M43" s="22">
        <v>37</v>
      </c>
      <c r="N43" s="22" t="s">
        <v>18847</v>
      </c>
      <c r="O43" s="22"/>
      <c r="P43" s="46" t="s">
        <v>18088</v>
      </c>
      <c r="Q43" s="160"/>
      <c r="R43" s="161"/>
      <c r="S43" s="157">
        <f t="shared" si="0"/>
        <v>37</v>
      </c>
      <c r="T43" s="161">
        <v>45573</v>
      </c>
      <c r="U43" s="41" t="str">
        <f t="shared" si="4"/>
        <v/>
      </c>
      <c r="V43" s="164">
        <v>45567</v>
      </c>
      <c r="W43" s="164">
        <v>45573</v>
      </c>
      <c r="X43" s="159" t="s">
        <v>18843</v>
      </c>
      <c r="Y43" s="159">
        <v>37</v>
      </c>
      <c r="Z43" s="159" t="s">
        <v>18848</v>
      </c>
      <c r="AA43" s="161"/>
      <c r="AB43" s="157"/>
      <c r="AC43" s="157"/>
      <c r="AD43" s="161"/>
      <c r="AE43" s="157"/>
      <c r="AF43" s="157"/>
      <c r="AG43" s="162">
        <f t="shared" si="1"/>
        <v>0</v>
      </c>
      <c r="AH43" s="162">
        <f t="shared" si="2"/>
        <v>37</v>
      </c>
      <c r="AI43" s="162">
        <f t="shared" si="3"/>
        <v>37</v>
      </c>
      <c r="AJ43" s="160" t="s">
        <v>33</v>
      </c>
      <c r="AK43" s="160" t="s">
        <v>33</v>
      </c>
      <c r="AL43" s="160"/>
      <c r="AM43" s="157"/>
      <c r="AN43" s="165"/>
      <c r="AO43" s="165"/>
      <c r="AP43" s="165"/>
      <c r="AQ43" s="184"/>
    </row>
    <row r="44" spans="1:43" s="163" customFormat="1" ht="17.399999999999999">
      <c r="A44" s="22" t="s">
        <v>18849</v>
      </c>
      <c r="B44" s="22" t="s">
        <v>346</v>
      </c>
      <c r="C44" s="56" t="s">
        <v>18846</v>
      </c>
      <c r="D44" s="56" t="s">
        <v>33</v>
      </c>
      <c r="E44" s="22" t="s">
        <v>33</v>
      </c>
      <c r="F44" s="22" t="s">
        <v>33</v>
      </c>
      <c r="G44" s="22" t="s">
        <v>67</v>
      </c>
      <c r="H44" s="22" t="s">
        <v>366</v>
      </c>
      <c r="I44" s="49" t="s">
        <v>362</v>
      </c>
      <c r="J44" s="50" t="s">
        <v>367</v>
      </c>
      <c r="K44" s="22" t="s">
        <v>346</v>
      </c>
      <c r="L44" s="22" t="s">
        <v>60</v>
      </c>
      <c r="M44" s="22">
        <v>48</v>
      </c>
      <c r="N44" s="22" t="s">
        <v>18850</v>
      </c>
      <c r="O44" s="22"/>
      <c r="P44" s="46" t="s">
        <v>18088</v>
      </c>
      <c r="Q44" s="160"/>
      <c r="R44" s="161"/>
      <c r="S44" s="157">
        <f t="shared" si="0"/>
        <v>48</v>
      </c>
      <c r="T44" s="161" t="s">
        <v>18851</v>
      </c>
      <c r="U44" s="41" t="str">
        <f t="shared" si="4"/>
        <v/>
      </c>
      <c r="V44" s="164">
        <v>45583</v>
      </c>
      <c r="W44" s="164">
        <v>45587</v>
      </c>
      <c r="X44" s="159" t="s">
        <v>18852</v>
      </c>
      <c r="Y44" s="159">
        <v>48</v>
      </c>
      <c r="Z44" s="159" t="s">
        <v>18853</v>
      </c>
      <c r="AA44" s="161"/>
      <c r="AB44" s="157"/>
      <c r="AC44" s="157"/>
      <c r="AD44" s="161"/>
      <c r="AE44" s="157"/>
      <c r="AF44" s="157"/>
      <c r="AG44" s="162">
        <f t="shared" si="1"/>
        <v>0</v>
      </c>
      <c r="AH44" s="162">
        <f t="shared" si="2"/>
        <v>48</v>
      </c>
      <c r="AI44" s="162">
        <f t="shared" si="3"/>
        <v>48</v>
      </c>
      <c r="AJ44" s="160" t="s">
        <v>33</v>
      </c>
      <c r="AK44" s="160" t="s">
        <v>33</v>
      </c>
      <c r="AL44" s="160"/>
      <c r="AM44" s="157"/>
      <c r="AN44" s="165"/>
      <c r="AO44" s="165"/>
      <c r="AP44" s="165"/>
      <c r="AQ44" s="184"/>
    </row>
    <row r="45" spans="1:43" s="163" customFormat="1" ht="17.399999999999999">
      <c r="A45" s="22" t="s">
        <v>18854</v>
      </c>
      <c r="B45" s="22" t="s">
        <v>346</v>
      </c>
      <c r="C45" s="56" t="s">
        <v>18855</v>
      </c>
      <c r="D45" s="56" t="s">
        <v>33</v>
      </c>
      <c r="E45" s="22" t="s">
        <v>33</v>
      </c>
      <c r="F45" s="22" t="s">
        <v>33</v>
      </c>
      <c r="G45" s="22" t="s">
        <v>67</v>
      </c>
      <c r="H45" s="22" t="s">
        <v>354</v>
      </c>
      <c r="I45" s="49" t="s">
        <v>355</v>
      </c>
      <c r="J45" s="50" t="s">
        <v>356</v>
      </c>
      <c r="K45" s="22" t="s">
        <v>346</v>
      </c>
      <c r="L45" s="22" t="s">
        <v>52</v>
      </c>
      <c r="M45" s="22">
        <v>99</v>
      </c>
      <c r="N45" s="22" t="s">
        <v>18856</v>
      </c>
      <c r="O45" s="22"/>
      <c r="P45" s="46" t="s">
        <v>18088</v>
      </c>
      <c r="Q45" s="160"/>
      <c r="R45" s="161"/>
      <c r="S45" s="157">
        <f t="shared" si="0"/>
        <v>99</v>
      </c>
      <c r="T45" s="161">
        <v>45602</v>
      </c>
      <c r="U45" s="41" t="str">
        <f t="shared" si="4"/>
        <v/>
      </c>
      <c r="V45" s="164">
        <v>45595</v>
      </c>
      <c r="W45" s="164">
        <v>45601</v>
      </c>
      <c r="X45" s="159" t="s">
        <v>18857</v>
      </c>
      <c r="Y45" s="159">
        <v>99</v>
      </c>
      <c r="Z45" s="159" t="s">
        <v>18858</v>
      </c>
      <c r="AA45" s="161"/>
      <c r="AB45" s="157"/>
      <c r="AC45" s="157"/>
      <c r="AD45" s="161"/>
      <c r="AE45" s="157"/>
      <c r="AF45" s="157"/>
      <c r="AG45" s="162">
        <f t="shared" si="1"/>
        <v>0</v>
      </c>
      <c r="AH45" s="162">
        <f t="shared" si="2"/>
        <v>99</v>
      </c>
      <c r="AI45" s="162">
        <f t="shared" si="3"/>
        <v>99</v>
      </c>
      <c r="AJ45" s="160" t="s">
        <v>33</v>
      </c>
      <c r="AK45" s="160" t="s">
        <v>33</v>
      </c>
      <c r="AL45" s="160"/>
      <c r="AM45" s="157"/>
      <c r="AN45" s="165"/>
      <c r="AO45" s="165"/>
      <c r="AP45" s="165"/>
      <c r="AQ45" s="184"/>
    </row>
    <row r="46" spans="1:43" s="163" customFormat="1" ht="17.399999999999999">
      <c r="A46" s="157" t="s">
        <v>89</v>
      </c>
      <c r="B46" s="157" t="s">
        <v>74</v>
      </c>
      <c r="C46" s="158">
        <v>45574</v>
      </c>
      <c r="D46" s="158">
        <v>45538</v>
      </c>
      <c r="E46" s="157">
        <v>20240829</v>
      </c>
      <c r="F46" s="157" t="s">
        <v>33</v>
      </c>
      <c r="G46" s="157" t="s">
        <v>33</v>
      </c>
      <c r="H46" s="157" t="s">
        <v>5419</v>
      </c>
      <c r="I46" s="182" t="s">
        <v>90</v>
      </c>
      <c r="J46" s="183" t="s">
        <v>91</v>
      </c>
      <c r="K46" s="157" t="s">
        <v>92</v>
      </c>
      <c r="L46" s="157" t="s">
        <v>60</v>
      </c>
      <c r="M46" s="157">
        <v>2</v>
      </c>
      <c r="N46" s="157" t="s">
        <v>93</v>
      </c>
      <c r="O46" s="157"/>
      <c r="P46" s="159" t="s">
        <v>19054</v>
      </c>
      <c r="Q46" s="160"/>
      <c r="R46" s="161"/>
      <c r="S46" s="157">
        <f t="shared" si="0"/>
        <v>2</v>
      </c>
      <c r="T46" s="161">
        <v>45609</v>
      </c>
      <c r="U46" s="41" t="str">
        <f t="shared" si="4"/>
        <v/>
      </c>
      <c r="V46" s="164">
        <v>45603</v>
      </c>
      <c r="W46" s="164">
        <v>45608</v>
      </c>
      <c r="X46" s="159" t="s">
        <v>573</v>
      </c>
      <c r="Y46" s="159">
        <v>2</v>
      </c>
      <c r="Z46" s="159" t="s">
        <v>670</v>
      </c>
      <c r="AA46" s="161"/>
      <c r="AB46" s="157"/>
      <c r="AC46" s="157"/>
      <c r="AD46" s="161">
        <v>46100</v>
      </c>
      <c r="AE46" s="157" t="s">
        <v>19145</v>
      </c>
      <c r="AF46" s="157">
        <v>2</v>
      </c>
      <c r="AG46" s="162">
        <f t="shared" si="1"/>
        <v>0</v>
      </c>
      <c r="AH46" s="162">
        <f t="shared" si="2"/>
        <v>0</v>
      </c>
      <c r="AI46" s="162">
        <f t="shared" si="3"/>
        <v>0</v>
      </c>
      <c r="AJ46" s="160">
        <v>45623</v>
      </c>
      <c r="AK46" s="160" t="s">
        <v>38</v>
      </c>
      <c r="AL46" s="160"/>
      <c r="AM46" s="157"/>
      <c r="AN46" s="165"/>
      <c r="AO46" s="165"/>
      <c r="AP46" s="165"/>
      <c r="AQ46" s="184"/>
    </row>
    <row r="47" spans="1:43" s="163" customFormat="1" ht="17.399999999999999">
      <c r="A47" s="22" t="s">
        <v>18859</v>
      </c>
      <c r="B47" s="22" t="s">
        <v>346</v>
      </c>
      <c r="C47" s="56" t="s">
        <v>18860</v>
      </c>
      <c r="D47" s="56" t="s">
        <v>33</v>
      </c>
      <c r="E47" s="22" t="s">
        <v>33</v>
      </c>
      <c r="F47" s="22" t="s">
        <v>33</v>
      </c>
      <c r="G47" s="22" t="s">
        <v>67</v>
      </c>
      <c r="H47" s="22" t="s">
        <v>351</v>
      </c>
      <c r="I47" s="49" t="s">
        <v>352</v>
      </c>
      <c r="J47" s="50" t="s">
        <v>353</v>
      </c>
      <c r="K47" s="22" t="s">
        <v>346</v>
      </c>
      <c r="L47" s="22" t="s">
        <v>60</v>
      </c>
      <c r="M47" s="22">
        <v>8</v>
      </c>
      <c r="N47" s="22" t="s">
        <v>357</v>
      </c>
      <c r="O47" s="22"/>
      <c r="P47" s="46" t="s">
        <v>18088</v>
      </c>
      <c r="Q47" s="160"/>
      <c r="R47" s="161"/>
      <c r="S47" s="157">
        <f t="shared" si="0"/>
        <v>8</v>
      </c>
      <c r="T47" s="161">
        <v>45609</v>
      </c>
      <c r="U47" s="41" t="str">
        <f t="shared" si="4"/>
        <v/>
      </c>
      <c r="V47" s="164">
        <v>45602</v>
      </c>
      <c r="W47" s="164">
        <v>45608</v>
      </c>
      <c r="X47" s="159" t="s">
        <v>602</v>
      </c>
      <c r="Y47" s="159">
        <v>8</v>
      </c>
      <c r="Z47" s="159" t="s">
        <v>671</v>
      </c>
      <c r="AA47" s="161"/>
      <c r="AB47" s="157"/>
      <c r="AC47" s="157"/>
      <c r="AD47" s="161"/>
      <c r="AE47" s="157"/>
      <c r="AF47" s="157"/>
      <c r="AG47" s="162">
        <f t="shared" si="1"/>
        <v>0</v>
      </c>
      <c r="AH47" s="162">
        <f t="shared" si="2"/>
        <v>8</v>
      </c>
      <c r="AI47" s="162">
        <f t="shared" si="3"/>
        <v>8</v>
      </c>
      <c r="AJ47" s="160" t="s">
        <v>33</v>
      </c>
      <c r="AK47" s="160" t="s">
        <v>33</v>
      </c>
      <c r="AL47" s="160"/>
      <c r="AM47" s="157"/>
      <c r="AN47" s="165"/>
      <c r="AO47" s="165"/>
      <c r="AP47" s="165"/>
      <c r="AQ47" s="184"/>
    </row>
    <row r="48" spans="1:43" s="163" customFormat="1" ht="17.399999999999999">
      <c r="A48" s="22" t="s">
        <v>295</v>
      </c>
      <c r="B48" s="22" t="s">
        <v>269</v>
      </c>
      <c r="C48" s="56" t="s">
        <v>296</v>
      </c>
      <c r="D48" s="56" t="s">
        <v>297</v>
      </c>
      <c r="E48" s="22" t="s">
        <v>298</v>
      </c>
      <c r="F48" s="22" t="s">
        <v>33</v>
      </c>
      <c r="G48" s="22" t="s">
        <v>33</v>
      </c>
      <c r="H48" s="22" t="s">
        <v>205</v>
      </c>
      <c r="I48" s="49" t="s">
        <v>206</v>
      </c>
      <c r="J48" s="50" t="s">
        <v>207</v>
      </c>
      <c r="K48" s="22" t="s">
        <v>208</v>
      </c>
      <c r="L48" s="22" t="s">
        <v>60</v>
      </c>
      <c r="M48" s="22">
        <v>14</v>
      </c>
      <c r="N48" s="22" t="s">
        <v>299</v>
      </c>
      <c r="O48" s="22"/>
      <c r="P48" s="46" t="s">
        <v>685</v>
      </c>
      <c r="Q48" s="160"/>
      <c r="R48" s="161"/>
      <c r="S48" s="157">
        <f t="shared" si="0"/>
        <v>14</v>
      </c>
      <c r="T48" s="161">
        <v>45650</v>
      </c>
      <c r="U48" s="41" t="str">
        <f t="shared" si="4"/>
        <v>Upload in customer box</v>
      </c>
      <c r="V48" s="164" t="s">
        <v>571</v>
      </c>
      <c r="W48" s="164" t="s">
        <v>571</v>
      </c>
      <c r="X48" s="159" t="s">
        <v>571</v>
      </c>
      <c r="Y48" s="159">
        <v>14</v>
      </c>
      <c r="Z48" s="159" t="s">
        <v>571</v>
      </c>
      <c r="AA48" s="161"/>
      <c r="AB48" s="157"/>
      <c r="AC48" s="157"/>
      <c r="AD48" s="161" t="s">
        <v>19295</v>
      </c>
      <c r="AE48" s="157" t="s">
        <v>19297</v>
      </c>
      <c r="AF48" s="157">
        <f>13+1</f>
        <v>14</v>
      </c>
      <c r="AG48" s="162">
        <f t="shared" si="1"/>
        <v>0</v>
      </c>
      <c r="AH48" s="162">
        <f t="shared" si="2"/>
        <v>0</v>
      </c>
      <c r="AI48" s="162">
        <f t="shared" si="3"/>
        <v>0</v>
      </c>
      <c r="AJ48" s="160" t="s">
        <v>33</v>
      </c>
      <c r="AK48" s="160" t="s">
        <v>33</v>
      </c>
      <c r="AL48" s="160"/>
      <c r="AM48" s="157"/>
      <c r="AN48" s="165"/>
      <c r="AO48" s="165"/>
      <c r="AP48" s="165"/>
      <c r="AQ48" s="184"/>
    </row>
    <row r="49" spans="1:43" s="163" customFormat="1" ht="17.399999999999999">
      <c r="A49" s="22" t="s">
        <v>391</v>
      </c>
      <c r="B49" s="22" t="s">
        <v>346</v>
      </c>
      <c r="C49" s="56" t="s">
        <v>392</v>
      </c>
      <c r="D49" s="56" t="s">
        <v>33</v>
      </c>
      <c r="E49" s="22" t="s">
        <v>33</v>
      </c>
      <c r="F49" s="22" t="s">
        <v>33</v>
      </c>
      <c r="G49" s="22" t="s">
        <v>67</v>
      </c>
      <c r="H49" s="22" t="s">
        <v>366</v>
      </c>
      <c r="I49" s="49" t="s">
        <v>362</v>
      </c>
      <c r="J49" s="50" t="s">
        <v>367</v>
      </c>
      <c r="K49" s="22" t="s">
        <v>346</v>
      </c>
      <c r="L49" s="22" t="s">
        <v>60</v>
      </c>
      <c r="M49" s="22">
        <v>21</v>
      </c>
      <c r="N49" s="22" t="s">
        <v>393</v>
      </c>
      <c r="O49" s="22"/>
      <c r="P49" s="46" t="s">
        <v>18088</v>
      </c>
      <c r="Q49" s="160"/>
      <c r="R49" s="161"/>
      <c r="S49" s="157">
        <f t="shared" si="0"/>
        <v>21</v>
      </c>
      <c r="T49" s="161">
        <v>45609</v>
      </c>
      <c r="U49" s="41" t="str">
        <f t="shared" si="4"/>
        <v/>
      </c>
      <c r="V49" s="164">
        <v>45602</v>
      </c>
      <c r="W49" s="164">
        <v>45608</v>
      </c>
      <c r="X49" s="159" t="s">
        <v>602</v>
      </c>
      <c r="Y49" s="159">
        <v>21</v>
      </c>
      <c r="Z49" s="159" t="s">
        <v>671</v>
      </c>
      <c r="AA49" s="161"/>
      <c r="AB49" s="157"/>
      <c r="AC49" s="157"/>
      <c r="AD49" s="161"/>
      <c r="AE49" s="157"/>
      <c r="AF49" s="157"/>
      <c r="AG49" s="162">
        <f t="shared" si="1"/>
        <v>0</v>
      </c>
      <c r="AH49" s="162">
        <f t="shared" si="2"/>
        <v>21</v>
      </c>
      <c r="AI49" s="162">
        <f t="shared" si="3"/>
        <v>21</v>
      </c>
      <c r="AJ49" s="160" t="s">
        <v>33</v>
      </c>
      <c r="AK49" s="160" t="s">
        <v>33</v>
      </c>
      <c r="AL49" s="160"/>
      <c r="AM49" s="157"/>
      <c r="AN49" s="165"/>
      <c r="AO49" s="165"/>
      <c r="AP49" s="165"/>
      <c r="AQ49" s="184"/>
    </row>
    <row r="50" spans="1:43" s="163" customFormat="1" ht="17.399999999999999">
      <c r="A50" s="22" t="s">
        <v>562</v>
      </c>
      <c r="B50" s="22" t="s">
        <v>552</v>
      </c>
      <c r="C50" s="56">
        <v>45608</v>
      </c>
      <c r="D50" s="56">
        <v>45582</v>
      </c>
      <c r="E50" s="22" t="s">
        <v>563</v>
      </c>
      <c r="F50" s="22" t="s">
        <v>33</v>
      </c>
      <c r="G50" s="22" t="s">
        <v>564</v>
      </c>
      <c r="H50" s="22" t="s">
        <v>554</v>
      </c>
      <c r="I50" s="49" t="s">
        <v>555</v>
      </c>
      <c r="J50" s="50" t="s">
        <v>556</v>
      </c>
      <c r="K50" s="22" t="s">
        <v>557</v>
      </c>
      <c r="L50" s="22" t="s">
        <v>71</v>
      </c>
      <c r="M50" s="22">
        <v>25</v>
      </c>
      <c r="N50" s="22" t="s">
        <v>565</v>
      </c>
      <c r="O50" s="22"/>
      <c r="P50" s="46" t="s">
        <v>682</v>
      </c>
      <c r="Q50" s="160"/>
      <c r="R50" s="161"/>
      <c r="S50" s="157">
        <f t="shared" si="0"/>
        <v>25</v>
      </c>
      <c r="T50" s="161">
        <v>45630</v>
      </c>
      <c r="U50" s="41" t="str">
        <f t="shared" si="4"/>
        <v/>
      </c>
      <c r="V50" s="164">
        <v>45628</v>
      </c>
      <c r="W50" s="164">
        <v>45629</v>
      </c>
      <c r="X50" s="159" t="s">
        <v>624</v>
      </c>
      <c r="Y50" s="159">
        <v>25</v>
      </c>
      <c r="Z50" s="159" t="s">
        <v>673</v>
      </c>
      <c r="AA50" s="161"/>
      <c r="AB50" s="157"/>
      <c r="AC50" s="157"/>
      <c r="AD50" s="41">
        <v>46253</v>
      </c>
      <c r="AE50" s="22" t="s">
        <v>19420</v>
      </c>
      <c r="AF50" s="157">
        <v>25</v>
      </c>
      <c r="AG50" s="162">
        <f t="shared" si="1"/>
        <v>0</v>
      </c>
      <c r="AH50" s="162">
        <f t="shared" si="2"/>
        <v>0</v>
      </c>
      <c r="AI50" s="162">
        <f t="shared" si="3"/>
        <v>0</v>
      </c>
      <c r="AJ50" s="160" t="s">
        <v>33</v>
      </c>
      <c r="AK50" s="160" t="s">
        <v>33</v>
      </c>
      <c r="AL50" s="160"/>
      <c r="AM50" s="157"/>
      <c r="AN50" s="165"/>
      <c r="AO50" s="165"/>
      <c r="AP50" s="165"/>
      <c r="AQ50" s="184"/>
    </row>
    <row r="51" spans="1:43" s="163" customFormat="1" ht="17.399999999999999">
      <c r="A51" s="22" t="s">
        <v>300</v>
      </c>
      <c r="B51" s="22" t="s">
        <v>301</v>
      </c>
      <c r="C51" s="56">
        <v>45559</v>
      </c>
      <c r="D51" s="56">
        <v>45491</v>
      </c>
      <c r="E51" s="22" t="s">
        <v>302</v>
      </c>
      <c r="F51" s="22" t="s">
        <v>33</v>
      </c>
      <c r="G51" s="22" t="s">
        <v>33</v>
      </c>
      <c r="H51" s="22" t="s">
        <v>303</v>
      </c>
      <c r="I51" s="49" t="s">
        <v>304</v>
      </c>
      <c r="J51" s="50" t="s">
        <v>305</v>
      </c>
      <c r="K51" s="22" t="s">
        <v>98</v>
      </c>
      <c r="L51" s="22" t="s">
        <v>60</v>
      </c>
      <c r="M51" s="22">
        <v>1</v>
      </c>
      <c r="N51" s="22" t="s">
        <v>306</v>
      </c>
      <c r="O51" s="22"/>
      <c r="P51" s="46" t="s">
        <v>685</v>
      </c>
      <c r="Q51" s="160"/>
      <c r="R51" s="161"/>
      <c r="S51" s="157">
        <f t="shared" si="0"/>
        <v>1</v>
      </c>
      <c r="T51" s="161">
        <v>45650</v>
      </c>
      <c r="U51" s="41" t="str">
        <f t="shared" si="4"/>
        <v>Upload in customer box</v>
      </c>
      <c r="V51" s="164" t="s">
        <v>571</v>
      </c>
      <c r="W51" s="164" t="s">
        <v>571</v>
      </c>
      <c r="X51" s="159" t="s">
        <v>571</v>
      </c>
      <c r="Y51" s="159">
        <v>1</v>
      </c>
      <c r="Z51" s="159" t="s">
        <v>571</v>
      </c>
      <c r="AA51" s="161"/>
      <c r="AB51" s="157"/>
      <c r="AC51" s="157"/>
      <c r="AD51" s="161">
        <v>46142</v>
      </c>
      <c r="AE51" s="157" t="s">
        <v>19204</v>
      </c>
      <c r="AF51" s="157">
        <v>1</v>
      </c>
      <c r="AG51" s="162">
        <f t="shared" si="1"/>
        <v>0</v>
      </c>
      <c r="AH51" s="162">
        <f t="shared" si="2"/>
        <v>0</v>
      </c>
      <c r="AI51" s="162">
        <f t="shared" si="3"/>
        <v>0</v>
      </c>
      <c r="AJ51" s="160" t="s">
        <v>33</v>
      </c>
      <c r="AK51" s="160" t="s">
        <v>33</v>
      </c>
      <c r="AL51" s="160"/>
      <c r="AM51" s="157"/>
      <c r="AN51" s="165"/>
      <c r="AO51" s="165"/>
      <c r="AP51" s="165"/>
      <c r="AQ51" s="184"/>
    </row>
    <row r="52" spans="1:43" s="163" customFormat="1" ht="17.399999999999999">
      <c r="A52" s="22" t="s">
        <v>307</v>
      </c>
      <c r="B52" s="22" t="s">
        <v>308</v>
      </c>
      <c r="C52" s="56">
        <v>45399</v>
      </c>
      <c r="D52" s="56">
        <v>45370</v>
      </c>
      <c r="E52" s="22" t="s">
        <v>309</v>
      </c>
      <c r="F52" s="22" t="s">
        <v>33</v>
      </c>
      <c r="G52" s="22" t="s">
        <v>33</v>
      </c>
      <c r="H52" s="22" t="s">
        <v>1778</v>
      </c>
      <c r="I52" s="49" t="s">
        <v>310</v>
      </c>
      <c r="J52" s="50" t="s">
        <v>311</v>
      </c>
      <c r="K52" s="22" t="s">
        <v>312</v>
      </c>
      <c r="L52" s="22" t="s">
        <v>60</v>
      </c>
      <c r="M52" s="22">
        <v>1</v>
      </c>
      <c r="N52" s="22" t="s">
        <v>313</v>
      </c>
      <c r="O52" s="22"/>
      <c r="P52" s="46" t="s">
        <v>685</v>
      </c>
      <c r="Q52" s="160"/>
      <c r="R52" s="161"/>
      <c r="S52" s="157">
        <f t="shared" si="0"/>
        <v>1</v>
      </c>
      <c r="T52" s="161">
        <v>45650</v>
      </c>
      <c r="U52" s="41" t="str">
        <f t="shared" si="4"/>
        <v>Upload in customer box</v>
      </c>
      <c r="V52" s="164">
        <v>45644</v>
      </c>
      <c r="W52" s="164" t="s">
        <v>597</v>
      </c>
      <c r="X52" s="159" t="s">
        <v>598</v>
      </c>
      <c r="Y52" s="159">
        <v>1</v>
      </c>
      <c r="Z52" s="159" t="s">
        <v>676</v>
      </c>
      <c r="AA52" s="161"/>
      <c r="AB52" s="157"/>
      <c r="AC52" s="157"/>
      <c r="AD52" s="161">
        <v>46142</v>
      </c>
      <c r="AE52" s="157" t="s">
        <v>19204</v>
      </c>
      <c r="AF52" s="157">
        <v>1</v>
      </c>
      <c r="AG52" s="162">
        <f t="shared" si="1"/>
        <v>0</v>
      </c>
      <c r="AH52" s="162">
        <f t="shared" si="2"/>
        <v>0</v>
      </c>
      <c r="AI52" s="162">
        <f t="shared" si="3"/>
        <v>0</v>
      </c>
      <c r="AJ52" s="160" t="s">
        <v>33</v>
      </c>
      <c r="AK52" s="160" t="s">
        <v>33</v>
      </c>
      <c r="AL52" s="160"/>
      <c r="AM52" s="157"/>
      <c r="AN52" s="165"/>
      <c r="AO52" s="165"/>
      <c r="AP52" s="165"/>
      <c r="AQ52" s="184"/>
    </row>
    <row r="53" spans="1:43" s="163" customFormat="1" ht="17.399999999999999">
      <c r="A53" s="22" t="s">
        <v>319</v>
      </c>
      <c r="B53" s="22" t="s">
        <v>320</v>
      </c>
      <c r="C53" s="56">
        <v>45462</v>
      </c>
      <c r="D53" s="56">
        <v>44943</v>
      </c>
      <c r="E53" s="22" t="s">
        <v>321</v>
      </c>
      <c r="F53" s="22" t="s">
        <v>33</v>
      </c>
      <c r="G53" s="22" t="s">
        <v>33</v>
      </c>
      <c r="H53" s="22" t="s">
        <v>322</v>
      </c>
      <c r="I53" s="49" t="s">
        <v>323</v>
      </c>
      <c r="J53" s="50" t="s">
        <v>324</v>
      </c>
      <c r="K53" s="22" t="s">
        <v>98</v>
      </c>
      <c r="L53" s="22" t="s">
        <v>60</v>
      </c>
      <c r="M53" s="22">
        <v>1</v>
      </c>
      <c r="N53" s="22" t="s">
        <v>325</v>
      </c>
      <c r="O53" s="22"/>
      <c r="P53" s="46" t="s">
        <v>685</v>
      </c>
      <c r="Q53" s="160"/>
      <c r="R53" s="161"/>
      <c r="S53" s="157">
        <f t="shared" si="0"/>
        <v>1</v>
      </c>
      <c r="T53" s="161">
        <v>45650</v>
      </c>
      <c r="U53" s="41" t="str">
        <f t="shared" si="4"/>
        <v>Upload in customer box</v>
      </c>
      <c r="V53" s="164" t="s">
        <v>571</v>
      </c>
      <c r="W53" s="164" t="s">
        <v>571</v>
      </c>
      <c r="X53" s="159" t="s">
        <v>571</v>
      </c>
      <c r="Y53" s="159">
        <v>1</v>
      </c>
      <c r="Z53" s="159" t="s">
        <v>571</v>
      </c>
      <c r="AA53" s="161"/>
      <c r="AB53" s="157"/>
      <c r="AC53" s="157"/>
      <c r="AD53" s="161">
        <v>46265</v>
      </c>
      <c r="AE53" s="157" t="s">
        <v>19442</v>
      </c>
      <c r="AF53" s="157">
        <v>1</v>
      </c>
      <c r="AG53" s="162">
        <f t="shared" si="1"/>
        <v>0</v>
      </c>
      <c r="AH53" s="162">
        <f t="shared" si="2"/>
        <v>0</v>
      </c>
      <c r="AI53" s="162">
        <f t="shared" si="3"/>
        <v>0</v>
      </c>
      <c r="AJ53" s="160" t="s">
        <v>33</v>
      </c>
      <c r="AK53" s="160" t="s">
        <v>33</v>
      </c>
      <c r="AL53" s="160"/>
      <c r="AM53" s="157"/>
      <c r="AN53" s="165"/>
      <c r="AO53" s="165"/>
      <c r="AP53" s="165"/>
      <c r="AQ53" s="184"/>
    </row>
    <row r="54" spans="1:43" s="163" customFormat="1" ht="17.399999999999999">
      <c r="A54" s="22" t="s">
        <v>326</v>
      </c>
      <c r="B54" s="22" t="s">
        <v>301</v>
      </c>
      <c r="C54" s="56">
        <v>45434</v>
      </c>
      <c r="D54" s="56">
        <v>45369</v>
      </c>
      <c r="E54" s="22" t="s">
        <v>327</v>
      </c>
      <c r="F54" s="22" t="s">
        <v>33</v>
      </c>
      <c r="G54" s="22" t="s">
        <v>33</v>
      </c>
      <c r="H54" s="22" t="s">
        <v>303</v>
      </c>
      <c r="I54" s="49" t="s">
        <v>304</v>
      </c>
      <c r="J54" s="50" t="s">
        <v>305</v>
      </c>
      <c r="K54" s="22" t="s">
        <v>98</v>
      </c>
      <c r="L54" s="22" t="s">
        <v>60</v>
      </c>
      <c r="M54" s="22">
        <v>1</v>
      </c>
      <c r="N54" s="22" t="s">
        <v>328</v>
      </c>
      <c r="O54" s="22"/>
      <c r="P54" s="46" t="s">
        <v>685</v>
      </c>
      <c r="Q54" s="160"/>
      <c r="R54" s="161"/>
      <c r="S54" s="157">
        <f t="shared" si="0"/>
        <v>1</v>
      </c>
      <c r="T54" s="161">
        <v>45650</v>
      </c>
      <c r="U54" s="41" t="str">
        <f t="shared" si="4"/>
        <v>Upload in customer box</v>
      </c>
      <c r="V54" s="164" t="s">
        <v>571</v>
      </c>
      <c r="W54" s="164" t="s">
        <v>571</v>
      </c>
      <c r="X54" s="159" t="s">
        <v>571</v>
      </c>
      <c r="Y54" s="159">
        <v>1</v>
      </c>
      <c r="Z54" s="159" t="s">
        <v>571</v>
      </c>
      <c r="AA54" s="161"/>
      <c r="AB54" s="157"/>
      <c r="AC54" s="157"/>
      <c r="AD54" s="161">
        <v>46142</v>
      </c>
      <c r="AE54" s="157" t="s">
        <v>19204</v>
      </c>
      <c r="AF54" s="157">
        <v>1</v>
      </c>
      <c r="AG54" s="162">
        <f t="shared" si="1"/>
        <v>0</v>
      </c>
      <c r="AH54" s="162">
        <f t="shared" si="2"/>
        <v>0</v>
      </c>
      <c r="AI54" s="162">
        <f t="shared" si="3"/>
        <v>0</v>
      </c>
      <c r="AJ54" s="160" t="s">
        <v>33</v>
      </c>
      <c r="AK54" s="160" t="s">
        <v>33</v>
      </c>
      <c r="AL54" s="160"/>
      <c r="AM54" s="157"/>
      <c r="AN54" s="165"/>
      <c r="AO54" s="165"/>
      <c r="AP54" s="165"/>
      <c r="AQ54" s="184"/>
    </row>
    <row r="55" spans="1:43" s="163" customFormat="1" ht="17.399999999999999">
      <c r="A55" s="22" t="s">
        <v>329</v>
      </c>
      <c r="B55" s="22" t="s">
        <v>330</v>
      </c>
      <c r="C55" s="56">
        <v>45216</v>
      </c>
      <c r="D55" s="56">
        <v>45089</v>
      </c>
      <c r="E55" s="22" t="s">
        <v>331</v>
      </c>
      <c r="F55" s="22" t="s">
        <v>33</v>
      </c>
      <c r="G55" s="22" t="s">
        <v>33</v>
      </c>
      <c r="H55" s="22" t="s">
        <v>332</v>
      </c>
      <c r="I55" s="49" t="s">
        <v>174</v>
      </c>
      <c r="J55" s="50" t="s">
        <v>333</v>
      </c>
      <c r="K55" s="22" t="s">
        <v>98</v>
      </c>
      <c r="L55" s="22" t="s">
        <v>60</v>
      </c>
      <c r="M55" s="22">
        <v>1</v>
      </c>
      <c r="N55" s="22" t="s">
        <v>334</v>
      </c>
      <c r="O55" s="22"/>
      <c r="P55" s="46" t="s">
        <v>685</v>
      </c>
      <c r="Q55" s="160"/>
      <c r="R55" s="161"/>
      <c r="S55" s="157">
        <f t="shared" si="0"/>
        <v>1</v>
      </c>
      <c r="T55" s="161">
        <v>45667</v>
      </c>
      <c r="U55" s="41" t="str">
        <f t="shared" si="4"/>
        <v>Upload in customer box</v>
      </c>
      <c r="V55" s="164">
        <v>45667</v>
      </c>
      <c r="W55" s="164">
        <v>45673</v>
      </c>
      <c r="X55" s="159" t="s">
        <v>696</v>
      </c>
      <c r="Y55" s="159">
        <v>1</v>
      </c>
      <c r="Z55" s="159" t="s">
        <v>698</v>
      </c>
      <c r="AA55" s="161"/>
      <c r="AB55" s="157"/>
      <c r="AC55" s="157"/>
      <c r="AD55" s="161"/>
      <c r="AE55" s="157"/>
      <c r="AF55" s="157"/>
      <c r="AG55" s="162">
        <f t="shared" si="1"/>
        <v>0</v>
      </c>
      <c r="AH55" s="162">
        <f t="shared" si="2"/>
        <v>1</v>
      </c>
      <c r="AI55" s="162">
        <f t="shared" si="3"/>
        <v>1</v>
      </c>
      <c r="AJ55" s="160" t="s">
        <v>33</v>
      </c>
      <c r="AK55" s="160" t="s">
        <v>33</v>
      </c>
      <c r="AL55" s="160"/>
      <c r="AM55" s="157"/>
      <c r="AN55" s="165"/>
      <c r="AO55" s="165"/>
      <c r="AP55" s="165"/>
      <c r="AQ55" s="184"/>
    </row>
    <row r="56" spans="1:43" s="163" customFormat="1" ht="17.399999999999999">
      <c r="A56" s="22" t="s">
        <v>335</v>
      </c>
      <c r="B56" s="22" t="s">
        <v>336</v>
      </c>
      <c r="C56" s="56" t="s">
        <v>337</v>
      </c>
      <c r="D56" s="56" t="s">
        <v>338</v>
      </c>
      <c r="E56" s="22" t="s">
        <v>339</v>
      </c>
      <c r="F56" s="22" t="s">
        <v>33</v>
      </c>
      <c r="G56" s="22" t="s">
        <v>33</v>
      </c>
      <c r="H56" s="22" t="s">
        <v>233</v>
      </c>
      <c r="I56" s="49" t="s">
        <v>174</v>
      </c>
      <c r="J56" s="50" t="s">
        <v>234</v>
      </c>
      <c r="K56" s="22" t="s">
        <v>51</v>
      </c>
      <c r="L56" s="22" t="s">
        <v>60</v>
      </c>
      <c r="M56" s="22">
        <v>2</v>
      </c>
      <c r="N56" s="22" t="s">
        <v>340</v>
      </c>
      <c r="O56" s="22"/>
      <c r="P56" s="46" t="s">
        <v>685</v>
      </c>
      <c r="Q56" s="160"/>
      <c r="R56" s="161"/>
      <c r="S56" s="157">
        <f t="shared" si="0"/>
        <v>2</v>
      </c>
      <c r="T56" s="161">
        <v>45667</v>
      </c>
      <c r="U56" s="41" t="str">
        <f t="shared" si="4"/>
        <v>Upload in customer box</v>
      </c>
      <c r="V56" s="164">
        <v>45667</v>
      </c>
      <c r="W56" s="164">
        <v>45673</v>
      </c>
      <c r="X56" s="159" t="s">
        <v>696</v>
      </c>
      <c r="Y56" s="159">
        <v>2</v>
      </c>
      <c r="Z56" s="159" t="s">
        <v>698</v>
      </c>
      <c r="AA56" s="161"/>
      <c r="AB56" s="157"/>
      <c r="AC56" s="157"/>
      <c r="AD56" s="161">
        <v>46142</v>
      </c>
      <c r="AE56" s="157" t="s">
        <v>19204</v>
      </c>
      <c r="AF56" s="157">
        <v>2</v>
      </c>
      <c r="AG56" s="162">
        <f t="shared" si="1"/>
        <v>0</v>
      </c>
      <c r="AH56" s="162">
        <f t="shared" si="2"/>
        <v>0</v>
      </c>
      <c r="AI56" s="162">
        <f t="shared" si="3"/>
        <v>0</v>
      </c>
      <c r="AJ56" s="160" t="s">
        <v>33</v>
      </c>
      <c r="AK56" s="160" t="s">
        <v>33</v>
      </c>
      <c r="AL56" s="160"/>
      <c r="AM56" s="157"/>
      <c r="AN56" s="165"/>
      <c r="AO56" s="165"/>
      <c r="AP56" s="165"/>
      <c r="AQ56" s="184"/>
    </row>
    <row r="57" spans="1:43" s="163" customFormat="1" ht="17.399999999999999">
      <c r="A57" s="22" t="s">
        <v>414</v>
      </c>
      <c r="B57" s="22" t="s">
        <v>346</v>
      </c>
      <c r="C57" s="56" t="s">
        <v>415</v>
      </c>
      <c r="D57" s="56" t="s">
        <v>33</v>
      </c>
      <c r="E57" s="22" t="s">
        <v>33</v>
      </c>
      <c r="F57" s="22" t="s">
        <v>33</v>
      </c>
      <c r="G57" s="22" t="s">
        <v>67</v>
      </c>
      <c r="H57" s="22" t="s">
        <v>351</v>
      </c>
      <c r="I57" s="49" t="s">
        <v>352</v>
      </c>
      <c r="J57" s="50" t="s">
        <v>353</v>
      </c>
      <c r="K57" s="22" t="s">
        <v>346</v>
      </c>
      <c r="L57" s="22" t="s">
        <v>60</v>
      </c>
      <c r="M57" s="22">
        <v>4</v>
      </c>
      <c r="N57" s="22" t="s">
        <v>416</v>
      </c>
      <c r="O57" s="22"/>
      <c r="P57" s="46" t="s">
        <v>18088</v>
      </c>
      <c r="Q57" s="160"/>
      <c r="R57" s="161"/>
      <c r="S57" s="157">
        <f t="shared" si="0"/>
        <v>4</v>
      </c>
      <c r="T57" s="161">
        <v>45650</v>
      </c>
      <c r="U57" s="41" t="str">
        <f t="shared" si="4"/>
        <v/>
      </c>
      <c r="V57" s="164">
        <v>45645</v>
      </c>
      <c r="W57" s="164">
        <v>45650</v>
      </c>
      <c r="X57" s="159" t="s">
        <v>608</v>
      </c>
      <c r="Y57" s="159">
        <v>4</v>
      </c>
      <c r="Z57" s="159" t="s">
        <v>678</v>
      </c>
      <c r="AA57" s="161"/>
      <c r="AB57" s="157"/>
      <c r="AC57" s="157"/>
      <c r="AD57" s="161"/>
      <c r="AE57" s="157"/>
      <c r="AF57" s="157"/>
      <c r="AG57" s="162">
        <f t="shared" si="1"/>
        <v>0</v>
      </c>
      <c r="AH57" s="162">
        <f t="shared" si="2"/>
        <v>4</v>
      </c>
      <c r="AI57" s="162">
        <f t="shared" si="3"/>
        <v>4</v>
      </c>
      <c r="AJ57" s="160" t="s">
        <v>33</v>
      </c>
      <c r="AK57" s="160" t="s">
        <v>33</v>
      </c>
      <c r="AL57" s="160"/>
      <c r="AM57" s="157"/>
      <c r="AN57" s="165"/>
      <c r="AO57" s="165"/>
      <c r="AP57" s="165"/>
      <c r="AQ57" s="184"/>
    </row>
    <row r="58" spans="1:43" s="163" customFormat="1" ht="17.399999999999999">
      <c r="A58" s="22" t="s">
        <v>18863</v>
      </c>
      <c r="B58" s="22" t="s">
        <v>346</v>
      </c>
      <c r="C58" s="56" t="s">
        <v>433</v>
      </c>
      <c r="D58" s="56" t="s">
        <v>33</v>
      </c>
      <c r="E58" s="22" t="s">
        <v>33</v>
      </c>
      <c r="F58" s="22" t="s">
        <v>33</v>
      </c>
      <c r="G58" s="22" t="s">
        <v>67</v>
      </c>
      <c r="H58" s="22" t="s">
        <v>366</v>
      </c>
      <c r="I58" s="49" t="s">
        <v>362</v>
      </c>
      <c r="J58" s="50" t="s">
        <v>367</v>
      </c>
      <c r="K58" s="22" t="s">
        <v>346</v>
      </c>
      <c r="L58" s="22" t="s">
        <v>60</v>
      </c>
      <c r="M58" s="22">
        <v>16</v>
      </c>
      <c r="N58" s="22" t="s">
        <v>434</v>
      </c>
      <c r="O58" s="22"/>
      <c r="P58" s="46" t="s">
        <v>18088</v>
      </c>
      <c r="Q58" s="160"/>
      <c r="R58" s="161"/>
      <c r="S58" s="157">
        <f t="shared" si="0"/>
        <v>16</v>
      </c>
      <c r="T58" s="161">
        <v>45673</v>
      </c>
      <c r="U58" s="41" t="str">
        <f t="shared" si="4"/>
        <v/>
      </c>
      <c r="V58" s="164">
        <v>45665</v>
      </c>
      <c r="W58" s="164">
        <v>45673</v>
      </c>
      <c r="X58" s="159" t="s">
        <v>695</v>
      </c>
      <c r="Y58" s="159">
        <v>16</v>
      </c>
      <c r="Z58" s="159" t="s">
        <v>697</v>
      </c>
      <c r="AA58" s="161"/>
      <c r="AB58" s="157"/>
      <c r="AC58" s="157"/>
      <c r="AD58" s="161"/>
      <c r="AE58" s="157"/>
      <c r="AF58" s="157"/>
      <c r="AG58" s="162">
        <f t="shared" si="1"/>
        <v>0</v>
      </c>
      <c r="AH58" s="162">
        <f t="shared" si="2"/>
        <v>16</v>
      </c>
      <c r="AI58" s="162">
        <f t="shared" si="3"/>
        <v>16</v>
      </c>
      <c r="AJ58" s="160" t="s">
        <v>33</v>
      </c>
      <c r="AK58" s="160" t="s">
        <v>33</v>
      </c>
      <c r="AL58" s="160"/>
      <c r="AM58" s="157"/>
      <c r="AN58" s="165"/>
      <c r="AO58" s="165"/>
      <c r="AP58" s="165"/>
      <c r="AQ58" s="184"/>
    </row>
    <row r="59" spans="1:43" ht="17.399999999999999">
      <c r="A59" s="22" t="s">
        <v>435</v>
      </c>
      <c r="B59" s="22" t="s">
        <v>346</v>
      </c>
      <c r="C59" s="56">
        <v>45589</v>
      </c>
      <c r="D59" s="56" t="s">
        <v>33</v>
      </c>
      <c r="E59" s="22" t="s">
        <v>374</v>
      </c>
      <c r="F59" s="22" t="s">
        <v>33</v>
      </c>
      <c r="G59" s="22" t="s">
        <v>67</v>
      </c>
      <c r="H59" s="22" t="s">
        <v>354</v>
      </c>
      <c r="I59" s="49" t="s">
        <v>355</v>
      </c>
      <c r="J59" s="50" t="s">
        <v>356</v>
      </c>
      <c r="K59" s="22" t="s">
        <v>346</v>
      </c>
      <c r="L59" s="22" t="s">
        <v>52</v>
      </c>
      <c r="M59" s="22">
        <v>75</v>
      </c>
      <c r="N59" s="22" t="s">
        <v>436</v>
      </c>
      <c r="O59" s="22"/>
      <c r="P59" s="46" t="s">
        <v>18088</v>
      </c>
      <c r="Q59" s="40"/>
      <c r="R59" s="41"/>
      <c r="S59" s="22">
        <f t="shared" si="0"/>
        <v>75</v>
      </c>
      <c r="T59" s="41">
        <v>45650</v>
      </c>
      <c r="U59" s="41" t="str">
        <f t="shared" si="4"/>
        <v/>
      </c>
      <c r="V59" s="44">
        <v>45645</v>
      </c>
      <c r="W59" s="44">
        <v>45650</v>
      </c>
      <c r="X59" s="46" t="s">
        <v>608</v>
      </c>
      <c r="Y59" s="46">
        <v>75</v>
      </c>
      <c r="Z59" s="46" t="s">
        <v>678</v>
      </c>
      <c r="AA59" s="41"/>
      <c r="AB59" s="22"/>
      <c r="AC59" s="22"/>
      <c r="AD59" s="41"/>
      <c r="AE59" s="22"/>
      <c r="AF59" s="22"/>
      <c r="AG59" s="162">
        <f t="shared" si="1"/>
        <v>0</v>
      </c>
      <c r="AH59" s="48">
        <f t="shared" si="2"/>
        <v>75</v>
      </c>
      <c r="AI59" s="48">
        <f t="shared" si="3"/>
        <v>75</v>
      </c>
      <c r="AJ59" s="40" t="s">
        <v>33</v>
      </c>
      <c r="AK59" s="40" t="s">
        <v>33</v>
      </c>
      <c r="AL59" s="40"/>
      <c r="AM59" s="146"/>
      <c r="AQ59" s="184"/>
    </row>
    <row r="60" spans="1:43" ht="17.399999999999999">
      <c r="A60" s="22" t="s">
        <v>689</v>
      </c>
      <c r="B60" s="22" t="s">
        <v>346</v>
      </c>
      <c r="C60" s="56" t="s">
        <v>690</v>
      </c>
      <c r="D60" s="56">
        <v>45538</v>
      </c>
      <c r="E60" s="22" t="s">
        <v>691</v>
      </c>
      <c r="F60" s="22" t="s">
        <v>33</v>
      </c>
      <c r="G60" s="22" t="s">
        <v>692</v>
      </c>
      <c r="H60" s="22" t="s">
        <v>354</v>
      </c>
      <c r="I60" s="49" t="s">
        <v>355</v>
      </c>
      <c r="J60" s="50" t="s">
        <v>356</v>
      </c>
      <c r="K60" s="22" t="s">
        <v>346</v>
      </c>
      <c r="L60" s="22" t="s">
        <v>52</v>
      </c>
      <c r="M60" s="22">
        <v>42</v>
      </c>
      <c r="N60" s="22" t="s">
        <v>693</v>
      </c>
      <c r="O60" s="22"/>
      <c r="P60" s="46" t="s">
        <v>18088</v>
      </c>
      <c r="Q60" s="40" t="s">
        <v>627</v>
      </c>
      <c r="R60" s="41">
        <v>45671</v>
      </c>
      <c r="S60" s="22">
        <f t="shared" si="0"/>
        <v>42</v>
      </c>
      <c r="T60" s="41">
        <v>45695</v>
      </c>
      <c r="U60" s="41" t="str">
        <f t="shared" si="4"/>
        <v/>
      </c>
      <c r="V60" s="44">
        <v>45687</v>
      </c>
      <c r="W60" s="44">
        <v>45694</v>
      </c>
      <c r="X60" s="46" t="s">
        <v>18099</v>
      </c>
      <c r="Y60" s="46">
        <v>42</v>
      </c>
      <c r="Z60" s="46" t="s">
        <v>18101</v>
      </c>
      <c r="AA60" s="41"/>
      <c r="AB60" s="22"/>
      <c r="AC60" s="22"/>
      <c r="AD60" s="41"/>
      <c r="AE60" s="22"/>
      <c r="AF60" s="22"/>
      <c r="AG60" s="162">
        <f t="shared" si="1"/>
        <v>0</v>
      </c>
      <c r="AH60" s="48">
        <f t="shared" si="2"/>
        <v>42</v>
      </c>
      <c r="AI60" s="48">
        <f t="shared" si="3"/>
        <v>42</v>
      </c>
      <c r="AJ60" s="40">
        <f t="shared" ref="AJ60:AJ97" si="5">IF(A60="","",R60+14)</f>
        <v>45685</v>
      </c>
      <c r="AK60" s="40"/>
      <c r="AL60" s="40"/>
      <c r="AM60" s="22"/>
      <c r="AQ60" s="184"/>
    </row>
    <row r="61" spans="1:43" ht="17.399999999999999">
      <c r="A61" s="22" t="s">
        <v>700</v>
      </c>
      <c r="B61" s="22" t="s">
        <v>701</v>
      </c>
      <c r="C61" s="56">
        <v>45666</v>
      </c>
      <c r="D61" s="56">
        <v>45607</v>
      </c>
      <c r="E61" s="22" t="s">
        <v>702</v>
      </c>
      <c r="F61" s="22" t="s">
        <v>33</v>
      </c>
      <c r="G61" s="22" t="s">
        <v>33</v>
      </c>
      <c r="H61" s="22" t="s">
        <v>703</v>
      </c>
      <c r="I61" s="49" t="s">
        <v>704</v>
      </c>
      <c r="J61" s="50" t="s">
        <v>705</v>
      </c>
      <c r="K61" s="22" t="s">
        <v>92</v>
      </c>
      <c r="L61" s="22" t="s">
        <v>60</v>
      </c>
      <c r="M61" s="22">
        <v>2</v>
      </c>
      <c r="N61" s="22" t="s">
        <v>706</v>
      </c>
      <c r="O61" s="22"/>
      <c r="P61" s="46" t="s">
        <v>707</v>
      </c>
      <c r="Q61" s="40" t="s">
        <v>627</v>
      </c>
      <c r="R61" s="41">
        <v>45677</v>
      </c>
      <c r="S61" s="22">
        <f t="shared" si="0"/>
        <v>2</v>
      </c>
      <c r="T61" s="41">
        <v>45693</v>
      </c>
      <c r="U61" s="41" t="str">
        <f t="shared" si="4"/>
        <v/>
      </c>
      <c r="V61" s="44" t="s">
        <v>571</v>
      </c>
      <c r="W61" s="44" t="s">
        <v>571</v>
      </c>
      <c r="X61" s="44" t="s">
        <v>571</v>
      </c>
      <c r="Y61" s="46">
        <v>2</v>
      </c>
      <c r="Z61" s="46" t="s">
        <v>571</v>
      </c>
      <c r="AA61" s="41">
        <v>45727</v>
      </c>
      <c r="AB61" s="22" t="s">
        <v>18261</v>
      </c>
      <c r="AC61" s="22">
        <v>2</v>
      </c>
      <c r="AD61" s="41"/>
      <c r="AE61" s="22"/>
      <c r="AF61" s="22"/>
      <c r="AG61" s="162">
        <f t="shared" si="1"/>
        <v>0</v>
      </c>
      <c r="AH61" s="48">
        <f t="shared" si="2"/>
        <v>0</v>
      </c>
      <c r="AI61" s="48">
        <f t="shared" si="3"/>
        <v>0</v>
      </c>
      <c r="AJ61" s="40">
        <f t="shared" si="5"/>
        <v>45691</v>
      </c>
      <c r="AK61" s="40"/>
      <c r="AL61" s="40"/>
      <c r="AM61" s="146"/>
      <c r="AQ61" s="184"/>
    </row>
    <row r="62" spans="1:43" ht="17.399999999999999">
      <c r="A62" s="22" t="s">
        <v>708</v>
      </c>
      <c r="B62" s="22" t="s">
        <v>709</v>
      </c>
      <c r="C62" s="56" t="s">
        <v>710</v>
      </c>
      <c r="D62" s="56">
        <v>45356</v>
      </c>
      <c r="E62" s="22" t="s">
        <v>293</v>
      </c>
      <c r="F62" s="22" t="s">
        <v>33</v>
      </c>
      <c r="G62" s="22" t="s">
        <v>33</v>
      </c>
      <c r="H62" s="22" t="s">
        <v>182</v>
      </c>
      <c r="I62" s="49" t="s">
        <v>183</v>
      </c>
      <c r="J62" s="50" t="s">
        <v>711</v>
      </c>
      <c r="K62" s="22" t="s">
        <v>712</v>
      </c>
      <c r="L62" s="22" t="s">
        <v>60</v>
      </c>
      <c r="M62" s="22">
        <v>2</v>
      </c>
      <c r="N62" s="22" t="s">
        <v>713</v>
      </c>
      <c r="O62" s="22"/>
      <c r="P62" s="46" t="s">
        <v>685</v>
      </c>
      <c r="Q62" s="40" t="s">
        <v>627</v>
      </c>
      <c r="R62" s="41">
        <v>45677</v>
      </c>
      <c r="S62" s="22">
        <f t="shared" si="0"/>
        <v>2</v>
      </c>
      <c r="T62" s="41">
        <v>45695</v>
      </c>
      <c r="U62" s="41" t="str">
        <f t="shared" si="4"/>
        <v>Upload in customer box</v>
      </c>
      <c r="V62" s="44">
        <v>45687</v>
      </c>
      <c r="W62" s="44">
        <v>45694</v>
      </c>
      <c r="X62" s="44" t="s">
        <v>18100</v>
      </c>
      <c r="Y62" s="46">
        <v>2</v>
      </c>
      <c r="Z62" s="46" t="s">
        <v>18102</v>
      </c>
      <c r="AA62" s="41"/>
      <c r="AB62" s="22"/>
      <c r="AC62" s="22"/>
      <c r="AD62" s="41">
        <v>45807</v>
      </c>
      <c r="AE62" s="22" t="s">
        <v>18567</v>
      </c>
      <c r="AF62" s="22">
        <v>2</v>
      </c>
      <c r="AG62" s="162">
        <f t="shared" si="1"/>
        <v>0</v>
      </c>
      <c r="AH62" s="48">
        <f t="shared" si="2"/>
        <v>0</v>
      </c>
      <c r="AI62" s="48">
        <f t="shared" si="3"/>
        <v>0</v>
      </c>
      <c r="AJ62" s="40">
        <f t="shared" si="5"/>
        <v>45691</v>
      </c>
      <c r="AK62" s="40"/>
      <c r="AL62" s="40"/>
      <c r="AM62" s="146"/>
      <c r="AQ62" s="184"/>
    </row>
    <row r="63" spans="1:43" ht="17.399999999999999">
      <c r="A63" s="22" t="s">
        <v>714</v>
      </c>
      <c r="B63" s="22" t="s">
        <v>315</v>
      </c>
      <c r="C63" s="56">
        <v>45528</v>
      </c>
      <c r="D63" s="56">
        <v>45370</v>
      </c>
      <c r="E63" s="22" t="s">
        <v>309</v>
      </c>
      <c r="F63" s="22" t="s">
        <v>33</v>
      </c>
      <c r="G63" s="22" t="s">
        <v>33</v>
      </c>
      <c r="H63" s="22" t="s">
        <v>715</v>
      </c>
      <c r="I63" s="49" t="s">
        <v>317</v>
      </c>
      <c r="J63" s="50" t="s">
        <v>317</v>
      </c>
      <c r="K63" s="22" t="s">
        <v>496</v>
      </c>
      <c r="L63" s="22" t="s">
        <v>60</v>
      </c>
      <c r="M63" s="22">
        <v>1</v>
      </c>
      <c r="N63" s="22" t="s">
        <v>318</v>
      </c>
      <c r="O63" s="22"/>
      <c r="P63" s="46" t="s">
        <v>685</v>
      </c>
      <c r="Q63" s="40" t="s">
        <v>627</v>
      </c>
      <c r="R63" s="41">
        <v>45677</v>
      </c>
      <c r="S63" s="22">
        <f t="shared" si="0"/>
        <v>1</v>
      </c>
      <c r="T63" s="41">
        <v>45695</v>
      </c>
      <c r="U63" s="41" t="str">
        <f t="shared" si="4"/>
        <v>Upload in customer box</v>
      </c>
      <c r="V63" s="44">
        <v>45687</v>
      </c>
      <c r="W63" s="44">
        <v>45694</v>
      </c>
      <c r="X63" s="44" t="s">
        <v>18100</v>
      </c>
      <c r="Y63" s="46">
        <v>1</v>
      </c>
      <c r="Z63" s="44" t="s">
        <v>18102</v>
      </c>
      <c r="AA63" s="41"/>
      <c r="AB63" s="22"/>
      <c r="AC63" s="22"/>
      <c r="AD63" s="161">
        <v>46142</v>
      </c>
      <c r="AE63" s="22" t="s">
        <v>19204</v>
      </c>
      <c r="AF63" s="22">
        <v>1</v>
      </c>
      <c r="AG63" s="162">
        <f t="shared" si="1"/>
        <v>0</v>
      </c>
      <c r="AH63" s="48">
        <f t="shared" si="2"/>
        <v>0</v>
      </c>
      <c r="AI63" s="48">
        <f t="shared" si="3"/>
        <v>0</v>
      </c>
      <c r="AJ63" s="40">
        <f t="shared" si="5"/>
        <v>45691</v>
      </c>
      <c r="AK63" s="40"/>
      <c r="AL63" s="40"/>
      <c r="AM63" s="146"/>
      <c r="AQ63" s="184"/>
    </row>
    <row r="64" spans="1:43" ht="17.399999999999999">
      <c r="A64" s="22" t="s">
        <v>18864</v>
      </c>
      <c r="B64" s="22" t="s">
        <v>716</v>
      </c>
      <c r="C64" s="56" t="s">
        <v>717</v>
      </c>
      <c r="D64" s="56" t="s">
        <v>718</v>
      </c>
      <c r="E64" s="22" t="s">
        <v>719</v>
      </c>
      <c r="F64" s="22" t="s">
        <v>33</v>
      </c>
      <c r="G64" s="22" t="s">
        <v>33</v>
      </c>
      <c r="H64" s="22" t="s">
        <v>322</v>
      </c>
      <c r="I64" s="49" t="s">
        <v>323</v>
      </c>
      <c r="J64" s="50" t="s">
        <v>324</v>
      </c>
      <c r="K64" s="22" t="s">
        <v>720</v>
      </c>
      <c r="L64" s="22" t="s">
        <v>60</v>
      </c>
      <c r="M64" s="22">
        <v>2</v>
      </c>
      <c r="N64" s="22" t="s">
        <v>721</v>
      </c>
      <c r="O64" s="22"/>
      <c r="P64" s="46" t="s">
        <v>685</v>
      </c>
      <c r="Q64" s="40" t="s">
        <v>627</v>
      </c>
      <c r="R64" s="41">
        <v>45677</v>
      </c>
      <c r="S64" s="22">
        <f t="shared" si="0"/>
        <v>2</v>
      </c>
      <c r="T64" s="41">
        <v>45706</v>
      </c>
      <c r="U64" s="41" t="str">
        <f t="shared" si="4"/>
        <v>Upload in customer box</v>
      </c>
      <c r="V64" s="44" t="s">
        <v>571</v>
      </c>
      <c r="W64" s="44" t="s">
        <v>571</v>
      </c>
      <c r="X64" s="44" t="s">
        <v>571</v>
      </c>
      <c r="Y64" s="46">
        <v>2</v>
      </c>
      <c r="Z64" s="44" t="s">
        <v>571</v>
      </c>
      <c r="AA64" s="41"/>
      <c r="AB64" s="22"/>
      <c r="AC64" s="22"/>
      <c r="AD64" s="161">
        <v>46265</v>
      </c>
      <c r="AE64" s="157" t="s">
        <v>19449</v>
      </c>
      <c r="AF64" s="22">
        <v>2</v>
      </c>
      <c r="AG64" s="162">
        <f t="shared" si="1"/>
        <v>0</v>
      </c>
      <c r="AH64" s="48">
        <f t="shared" si="2"/>
        <v>0</v>
      </c>
      <c r="AI64" s="48">
        <f t="shared" si="3"/>
        <v>0</v>
      </c>
      <c r="AJ64" s="40">
        <f t="shared" si="5"/>
        <v>45691</v>
      </c>
      <c r="AK64" s="40"/>
      <c r="AL64" s="40"/>
      <c r="AM64" s="22"/>
      <c r="AQ64" s="184"/>
    </row>
    <row r="65" spans="1:43" s="163" customFormat="1" ht="17.399999999999999">
      <c r="A65" s="157" t="s">
        <v>724</v>
      </c>
      <c r="B65" s="157" t="s">
        <v>50</v>
      </c>
      <c r="C65" s="158">
        <v>45673</v>
      </c>
      <c r="D65" s="158">
        <v>45671</v>
      </c>
      <c r="E65" s="157" t="s">
        <v>725</v>
      </c>
      <c r="F65" s="157">
        <v>350</v>
      </c>
      <c r="G65" s="157" t="s">
        <v>726</v>
      </c>
      <c r="H65" s="157" t="s">
        <v>82</v>
      </c>
      <c r="I65" s="182" t="s">
        <v>83</v>
      </c>
      <c r="J65" s="183" t="s">
        <v>84</v>
      </c>
      <c r="K65" s="157" t="s">
        <v>85</v>
      </c>
      <c r="L65" s="157" t="s">
        <v>60</v>
      </c>
      <c r="M65" s="157">
        <v>29</v>
      </c>
      <c r="N65" s="157" t="s">
        <v>727</v>
      </c>
      <c r="O65" s="157"/>
      <c r="P65" s="159" t="s">
        <v>19054</v>
      </c>
      <c r="Q65" s="160" t="s">
        <v>728</v>
      </c>
      <c r="R65" s="161">
        <v>45684</v>
      </c>
      <c r="S65" s="157">
        <f t="shared" si="0"/>
        <v>29</v>
      </c>
      <c r="T65" s="161">
        <v>45699</v>
      </c>
      <c r="U65" s="41" t="str">
        <f t="shared" si="4"/>
        <v/>
      </c>
      <c r="V65" s="164">
        <v>45693</v>
      </c>
      <c r="W65" s="164">
        <v>45699</v>
      </c>
      <c r="X65" s="164" t="s">
        <v>18124</v>
      </c>
      <c r="Y65" s="159">
        <v>29</v>
      </c>
      <c r="Z65" s="164" t="s">
        <v>18132</v>
      </c>
      <c r="AA65" s="161"/>
      <c r="AB65" s="157"/>
      <c r="AC65" s="157"/>
      <c r="AD65" s="161">
        <v>46100</v>
      </c>
      <c r="AE65" s="157" t="s">
        <v>19145</v>
      </c>
      <c r="AF65" s="157">
        <v>29</v>
      </c>
      <c r="AG65" s="162">
        <f t="shared" si="1"/>
        <v>0</v>
      </c>
      <c r="AH65" s="162">
        <f t="shared" si="2"/>
        <v>0</v>
      </c>
      <c r="AI65" s="162">
        <f t="shared" si="3"/>
        <v>0</v>
      </c>
      <c r="AJ65" s="160">
        <f t="shared" si="5"/>
        <v>45698</v>
      </c>
      <c r="AK65" s="160"/>
      <c r="AL65" s="160"/>
      <c r="AM65" s="166"/>
      <c r="AN65" s="157"/>
      <c r="AO65" s="157"/>
      <c r="AP65" s="157"/>
      <c r="AQ65" s="184"/>
    </row>
    <row r="66" spans="1:43" s="163" customFormat="1" ht="17.399999999999999">
      <c r="A66" s="157" t="s">
        <v>729</v>
      </c>
      <c r="B66" s="157" t="s">
        <v>730</v>
      </c>
      <c r="C66" s="158" t="s">
        <v>734</v>
      </c>
      <c r="D66" s="158" t="s">
        <v>731</v>
      </c>
      <c r="E66" s="157" t="s">
        <v>732</v>
      </c>
      <c r="F66" s="157" t="s">
        <v>33</v>
      </c>
      <c r="G66" s="157" t="s">
        <v>33</v>
      </c>
      <c r="H66" s="157" t="s">
        <v>629</v>
      </c>
      <c r="I66" s="182" t="s">
        <v>630</v>
      </c>
      <c r="J66" s="183" t="s">
        <v>631</v>
      </c>
      <c r="K66" s="157" t="s">
        <v>733</v>
      </c>
      <c r="L66" s="157" t="s">
        <v>60</v>
      </c>
      <c r="M66" s="157">
        <v>6</v>
      </c>
      <c r="N66" s="157" t="s">
        <v>759</v>
      </c>
      <c r="O66" s="157"/>
      <c r="P66" s="159" t="s">
        <v>19055</v>
      </c>
      <c r="Q66" s="160" t="s">
        <v>627</v>
      </c>
      <c r="R66" s="161">
        <v>45684</v>
      </c>
      <c r="S66" s="157">
        <f t="shared" si="0"/>
        <v>6</v>
      </c>
      <c r="T66" s="161">
        <v>45699</v>
      </c>
      <c r="U66" s="41" t="str">
        <f t="shared" si="4"/>
        <v>Upload in customer box</v>
      </c>
      <c r="V66" s="164">
        <v>45693</v>
      </c>
      <c r="W66" s="164">
        <v>45699</v>
      </c>
      <c r="X66" s="164" t="s">
        <v>18130</v>
      </c>
      <c r="Y66" s="159">
        <v>6</v>
      </c>
      <c r="Z66" s="164" t="s">
        <v>18144</v>
      </c>
      <c r="AA66" s="161"/>
      <c r="AB66" s="157"/>
      <c r="AC66" s="157"/>
      <c r="AD66" s="161" t="s">
        <v>19314</v>
      </c>
      <c r="AE66" s="157" t="s">
        <v>18866</v>
      </c>
      <c r="AF66" s="157">
        <v>6</v>
      </c>
      <c r="AG66" s="162">
        <f t="shared" si="1"/>
        <v>0</v>
      </c>
      <c r="AH66" s="162">
        <f t="shared" si="2"/>
        <v>0</v>
      </c>
      <c r="AI66" s="162">
        <f t="shared" si="3"/>
        <v>0</v>
      </c>
      <c r="AJ66" s="160">
        <f t="shared" si="5"/>
        <v>45698</v>
      </c>
      <c r="AK66" s="206">
        <v>45868</v>
      </c>
      <c r="AL66" s="160"/>
      <c r="AM66" s="166"/>
      <c r="AN66" s="157"/>
      <c r="AO66" s="157"/>
      <c r="AP66" s="157"/>
      <c r="AQ66" s="184"/>
    </row>
    <row r="67" spans="1:43" s="163" customFormat="1" ht="17.399999999999999">
      <c r="A67" s="157" t="s">
        <v>735</v>
      </c>
      <c r="B67" s="157" t="s">
        <v>736</v>
      </c>
      <c r="C67" s="158">
        <v>45635</v>
      </c>
      <c r="D67" s="158">
        <v>45608</v>
      </c>
      <c r="E67" s="157" t="s">
        <v>737</v>
      </c>
      <c r="F67" s="157" t="s">
        <v>33</v>
      </c>
      <c r="G67" s="157" t="s">
        <v>33</v>
      </c>
      <c r="H67" s="157" t="s">
        <v>738</v>
      </c>
      <c r="I67" s="182" t="s">
        <v>630</v>
      </c>
      <c r="J67" s="183" t="s">
        <v>739</v>
      </c>
      <c r="K67" s="157" t="s">
        <v>760</v>
      </c>
      <c r="L67" s="157" t="s">
        <v>60</v>
      </c>
      <c r="M67" s="157">
        <v>1</v>
      </c>
      <c r="N67" s="157" t="s">
        <v>740</v>
      </c>
      <c r="O67" s="157"/>
      <c r="P67" s="159" t="s">
        <v>19055</v>
      </c>
      <c r="Q67" s="160" t="s">
        <v>627</v>
      </c>
      <c r="R67" s="161">
        <v>45684</v>
      </c>
      <c r="S67" s="157">
        <f t="shared" ref="S67:S130" si="6">IF(A67="","",M67+O67)</f>
        <v>1</v>
      </c>
      <c r="T67" s="161">
        <v>45699</v>
      </c>
      <c r="U67" s="41" t="str">
        <f t="shared" si="4"/>
        <v>Upload in customer box</v>
      </c>
      <c r="V67" s="164">
        <v>45693</v>
      </c>
      <c r="W67" s="164">
        <v>45699</v>
      </c>
      <c r="X67" s="164" t="s">
        <v>18130</v>
      </c>
      <c r="Y67" s="159">
        <v>1</v>
      </c>
      <c r="Z67" s="164" t="s">
        <v>18144</v>
      </c>
      <c r="AA67" s="161"/>
      <c r="AB67" s="157"/>
      <c r="AC67" s="157"/>
      <c r="AD67" s="161">
        <v>45740</v>
      </c>
      <c r="AE67" s="157" t="s">
        <v>18292</v>
      </c>
      <c r="AF67" s="157">
        <v>1</v>
      </c>
      <c r="AG67" s="162">
        <f t="shared" ref="AG67:AG130" si="7">IF(A67="","",S67-Y67)</f>
        <v>0</v>
      </c>
      <c r="AH67" s="162">
        <f t="shared" ref="AH67:AH130" si="8">IF(A67="","",Y67-(AC67+AF67))</f>
        <v>0</v>
      </c>
      <c r="AI67" s="162">
        <f t="shared" ref="AI67:AI130" si="9">IF(A67="","",AG67+AH67)</f>
        <v>0</v>
      </c>
      <c r="AJ67" s="160">
        <f t="shared" si="5"/>
        <v>45698</v>
      </c>
      <c r="AK67" s="206">
        <v>45723</v>
      </c>
      <c r="AL67" s="160"/>
      <c r="AM67" s="166"/>
      <c r="AN67" s="157"/>
      <c r="AO67" s="157"/>
      <c r="AP67" s="157"/>
      <c r="AQ67" s="184"/>
    </row>
    <row r="68" spans="1:43" ht="17.399999999999999">
      <c r="A68" s="22" t="s">
        <v>741</v>
      </c>
      <c r="B68" s="22" t="s">
        <v>701</v>
      </c>
      <c r="C68" s="56">
        <v>45666</v>
      </c>
      <c r="D68" s="56">
        <v>45607</v>
      </c>
      <c r="E68" s="22" t="s">
        <v>702</v>
      </c>
      <c r="F68" s="22" t="s">
        <v>33</v>
      </c>
      <c r="G68" s="22" t="s">
        <v>33</v>
      </c>
      <c r="H68" s="22" t="s">
        <v>703</v>
      </c>
      <c r="I68" s="49" t="s">
        <v>704</v>
      </c>
      <c r="J68" s="50" t="s">
        <v>705</v>
      </c>
      <c r="K68" s="22" t="s">
        <v>92</v>
      </c>
      <c r="L68" s="22" t="s">
        <v>60</v>
      </c>
      <c r="M68" s="22">
        <v>1</v>
      </c>
      <c r="N68" s="22" t="s">
        <v>18087</v>
      </c>
      <c r="O68" s="22"/>
      <c r="P68" s="46" t="s">
        <v>707</v>
      </c>
      <c r="Q68" s="40" t="s">
        <v>627</v>
      </c>
      <c r="R68" s="41">
        <v>45684</v>
      </c>
      <c r="S68" s="22">
        <f t="shared" si="6"/>
        <v>1</v>
      </c>
      <c r="T68" s="41">
        <v>45693</v>
      </c>
      <c r="U68" s="41" t="str">
        <f t="shared" ref="U68:U131" si="10">IF(OR(P68="FEC-FS",P68="PALTEK",P68="SDSE(TOKE)"),"Upload in customer box","")</f>
        <v/>
      </c>
      <c r="V68" s="44" t="s">
        <v>571</v>
      </c>
      <c r="W68" s="44" t="s">
        <v>571</v>
      </c>
      <c r="X68" s="44" t="s">
        <v>571</v>
      </c>
      <c r="Y68" s="46">
        <v>1</v>
      </c>
      <c r="Z68" s="44" t="s">
        <v>571</v>
      </c>
      <c r="AA68" s="41">
        <v>45727</v>
      </c>
      <c r="AB68" s="22" t="s">
        <v>18261</v>
      </c>
      <c r="AC68" s="22">
        <v>1</v>
      </c>
      <c r="AD68" s="41"/>
      <c r="AE68" s="22"/>
      <c r="AF68" s="22"/>
      <c r="AG68" s="162">
        <f t="shared" si="7"/>
        <v>0</v>
      </c>
      <c r="AH68" s="48">
        <f t="shared" si="8"/>
        <v>0</v>
      </c>
      <c r="AI68" s="48">
        <f t="shared" si="9"/>
        <v>0</v>
      </c>
      <c r="AJ68" s="40">
        <f t="shared" si="5"/>
        <v>45698</v>
      </c>
      <c r="AK68" s="40"/>
      <c r="AL68" s="40"/>
      <c r="AM68" s="146"/>
      <c r="AQ68" s="184"/>
    </row>
    <row r="69" spans="1:43" s="163" customFormat="1" ht="17.399999999999999">
      <c r="A69" s="157" t="s">
        <v>742</v>
      </c>
      <c r="B69" s="157" t="s">
        <v>730</v>
      </c>
      <c r="C69" s="158" t="s">
        <v>743</v>
      </c>
      <c r="D69" s="158" t="s">
        <v>18310</v>
      </c>
      <c r="E69" s="157" t="s">
        <v>18311</v>
      </c>
      <c r="F69" s="157" t="s">
        <v>33</v>
      </c>
      <c r="G69" s="157" t="s">
        <v>33</v>
      </c>
      <c r="H69" s="157" t="s">
        <v>744</v>
      </c>
      <c r="I69" s="182" t="s">
        <v>745</v>
      </c>
      <c r="J69" s="183" t="s">
        <v>746</v>
      </c>
      <c r="K69" s="157" t="s">
        <v>747</v>
      </c>
      <c r="L69" s="157" t="s">
        <v>60</v>
      </c>
      <c r="M69" s="157">
        <v>7</v>
      </c>
      <c r="N69" s="157" t="s">
        <v>758</v>
      </c>
      <c r="O69" s="157"/>
      <c r="P69" s="159" t="s">
        <v>19055</v>
      </c>
      <c r="Q69" s="160" t="s">
        <v>627</v>
      </c>
      <c r="R69" s="161">
        <v>45684</v>
      </c>
      <c r="S69" s="157">
        <f t="shared" si="6"/>
        <v>7</v>
      </c>
      <c r="T69" s="161">
        <v>45699</v>
      </c>
      <c r="U69" s="41" t="str">
        <f t="shared" si="10"/>
        <v>Upload in customer box</v>
      </c>
      <c r="V69" s="164">
        <v>45693</v>
      </c>
      <c r="W69" s="164">
        <v>45699</v>
      </c>
      <c r="X69" s="164" t="s">
        <v>18130</v>
      </c>
      <c r="Y69" s="159">
        <v>7</v>
      </c>
      <c r="Z69" s="164" t="s">
        <v>18144</v>
      </c>
      <c r="AA69" s="161" t="s">
        <v>19315</v>
      </c>
      <c r="AB69" s="157" t="s">
        <v>19146</v>
      </c>
      <c r="AC69" s="157">
        <f>1+3+3</f>
        <v>7</v>
      </c>
      <c r="AD69" s="161"/>
      <c r="AE69" s="157"/>
      <c r="AF69" s="157"/>
      <c r="AG69" s="162">
        <f t="shared" si="7"/>
        <v>0</v>
      </c>
      <c r="AH69" s="162">
        <f t="shared" si="8"/>
        <v>0</v>
      </c>
      <c r="AI69" s="162">
        <f t="shared" si="9"/>
        <v>0</v>
      </c>
      <c r="AJ69" s="160">
        <f t="shared" si="5"/>
        <v>45698</v>
      </c>
      <c r="AK69" s="206">
        <v>46062</v>
      </c>
      <c r="AL69" s="160"/>
      <c r="AM69" s="166"/>
      <c r="AN69" s="157"/>
      <c r="AO69" s="157"/>
      <c r="AP69" s="157"/>
      <c r="AQ69" s="184"/>
    </row>
    <row r="70" spans="1:43" ht="17.399999999999999">
      <c r="A70" s="22" t="s">
        <v>18089</v>
      </c>
      <c r="B70" s="22" t="s">
        <v>376</v>
      </c>
      <c r="C70" s="56" t="s">
        <v>18090</v>
      </c>
      <c r="D70" s="56" t="s">
        <v>33</v>
      </c>
      <c r="E70" s="22" t="s">
        <v>33</v>
      </c>
      <c r="F70" s="22" t="s">
        <v>33</v>
      </c>
      <c r="G70" s="22" t="s">
        <v>18091</v>
      </c>
      <c r="H70" s="22" t="s">
        <v>19301</v>
      </c>
      <c r="I70" s="49" t="s">
        <v>379</v>
      </c>
      <c r="J70" s="50" t="s">
        <v>10152</v>
      </c>
      <c r="K70" s="22" t="s">
        <v>376</v>
      </c>
      <c r="L70" s="22" t="s">
        <v>60</v>
      </c>
      <c r="M70" s="22">
        <v>2</v>
      </c>
      <c r="N70" s="22" t="s">
        <v>18092</v>
      </c>
      <c r="O70" s="22"/>
      <c r="P70" s="46" t="s">
        <v>18133</v>
      </c>
      <c r="Q70" s="40" t="s">
        <v>627</v>
      </c>
      <c r="R70" s="41">
        <v>45692</v>
      </c>
      <c r="S70" s="22">
        <f t="shared" si="6"/>
        <v>2</v>
      </c>
      <c r="T70" s="41">
        <v>45716</v>
      </c>
      <c r="U70" s="41" t="str">
        <f t="shared" si="10"/>
        <v/>
      </c>
      <c r="V70" s="44">
        <v>45713</v>
      </c>
      <c r="W70" s="44">
        <v>45715</v>
      </c>
      <c r="X70" s="44" t="s">
        <v>18179</v>
      </c>
      <c r="Y70" s="46">
        <v>2</v>
      </c>
      <c r="Z70" s="44" t="s">
        <v>18180</v>
      </c>
      <c r="AA70" s="41"/>
      <c r="AB70" s="22"/>
      <c r="AC70" s="22"/>
      <c r="AD70" s="41"/>
      <c r="AE70" s="22"/>
      <c r="AF70" s="22"/>
      <c r="AG70" s="48">
        <f t="shared" si="7"/>
        <v>0</v>
      </c>
      <c r="AH70" s="48">
        <f t="shared" si="8"/>
        <v>2</v>
      </c>
      <c r="AI70" s="48">
        <f t="shared" si="9"/>
        <v>2</v>
      </c>
      <c r="AJ70" s="40">
        <f t="shared" si="5"/>
        <v>45706</v>
      </c>
      <c r="AK70" s="40"/>
      <c r="AL70" s="40"/>
      <c r="AM70" s="146"/>
      <c r="AQ70" s="46"/>
    </row>
    <row r="71" spans="1:43" ht="17.399999999999999">
      <c r="A71" s="22" t="s">
        <v>18093</v>
      </c>
      <c r="B71" s="22" t="s">
        <v>269</v>
      </c>
      <c r="C71" s="56">
        <v>45586</v>
      </c>
      <c r="D71" s="56">
        <v>45559</v>
      </c>
      <c r="E71" s="22" t="s">
        <v>18094</v>
      </c>
      <c r="F71" s="22" t="s">
        <v>33</v>
      </c>
      <c r="G71" s="22" t="s">
        <v>33</v>
      </c>
      <c r="H71" s="22" t="s">
        <v>19293</v>
      </c>
      <c r="I71" s="49" t="s">
        <v>206</v>
      </c>
      <c r="J71" s="50" t="s">
        <v>207</v>
      </c>
      <c r="K71" s="22" t="s">
        <v>2748</v>
      </c>
      <c r="L71" s="22" t="s">
        <v>60</v>
      </c>
      <c r="M71" s="22">
        <v>3</v>
      </c>
      <c r="N71" s="22" t="s">
        <v>18095</v>
      </c>
      <c r="O71" s="22"/>
      <c r="P71" s="46" t="s">
        <v>685</v>
      </c>
      <c r="Q71" s="40" t="s">
        <v>627</v>
      </c>
      <c r="R71" s="41">
        <v>45692</v>
      </c>
      <c r="S71" s="22">
        <f t="shared" si="6"/>
        <v>3</v>
      </c>
      <c r="T71" s="41">
        <v>45699</v>
      </c>
      <c r="U71" s="41" t="str">
        <f t="shared" si="10"/>
        <v>Upload in customer box</v>
      </c>
      <c r="V71" s="44" t="s">
        <v>571</v>
      </c>
      <c r="W71" s="44" t="s">
        <v>571</v>
      </c>
      <c r="X71" s="44" t="s">
        <v>571</v>
      </c>
      <c r="Y71" s="46">
        <v>3</v>
      </c>
      <c r="Z71" s="44" t="s">
        <v>571</v>
      </c>
      <c r="AA71" s="41"/>
      <c r="AB71" s="22"/>
      <c r="AC71" s="22"/>
      <c r="AD71" s="41">
        <v>46203</v>
      </c>
      <c r="AE71" s="22" t="s">
        <v>19298</v>
      </c>
      <c r="AF71" s="22">
        <v>3</v>
      </c>
      <c r="AG71" s="48">
        <f t="shared" si="7"/>
        <v>0</v>
      </c>
      <c r="AH71" s="48">
        <f t="shared" si="8"/>
        <v>0</v>
      </c>
      <c r="AI71" s="48">
        <f t="shared" si="9"/>
        <v>0</v>
      </c>
      <c r="AJ71" s="40">
        <f t="shared" si="5"/>
        <v>45706</v>
      </c>
      <c r="AK71" s="40"/>
      <c r="AL71" s="40"/>
      <c r="AM71" s="146"/>
      <c r="AQ71" s="46"/>
    </row>
    <row r="72" spans="1:43" ht="17.399999999999999">
      <c r="A72" s="22" t="s">
        <v>18096</v>
      </c>
      <c r="B72" s="22" t="s">
        <v>18097</v>
      </c>
      <c r="C72" s="56">
        <v>45593</v>
      </c>
      <c r="D72" s="56">
        <v>45182</v>
      </c>
      <c r="E72" s="22" t="s">
        <v>18098</v>
      </c>
      <c r="F72" s="22" t="s">
        <v>33</v>
      </c>
      <c r="G72" s="22" t="s">
        <v>33</v>
      </c>
      <c r="H72" s="22" t="s">
        <v>491</v>
      </c>
      <c r="I72" s="49" t="s">
        <v>174</v>
      </c>
      <c r="J72" s="50" t="s">
        <v>492</v>
      </c>
      <c r="K72" s="22" t="s">
        <v>493</v>
      </c>
      <c r="L72" s="22" t="s">
        <v>60</v>
      </c>
      <c r="M72" s="22">
        <v>1</v>
      </c>
      <c r="N72" s="22" t="s">
        <v>18161</v>
      </c>
      <c r="O72" s="22"/>
      <c r="P72" s="46" t="s">
        <v>683</v>
      </c>
      <c r="Q72" s="40" t="s">
        <v>627</v>
      </c>
      <c r="R72" s="41">
        <v>45692</v>
      </c>
      <c r="S72" s="22">
        <f t="shared" si="6"/>
        <v>1</v>
      </c>
      <c r="T72" s="41">
        <v>45714</v>
      </c>
      <c r="U72" s="41" t="str">
        <f t="shared" si="10"/>
        <v>Upload in customer box</v>
      </c>
      <c r="V72" s="44">
        <v>45820</v>
      </c>
      <c r="W72" s="44">
        <v>45832</v>
      </c>
      <c r="X72" s="44" t="s">
        <v>18524</v>
      </c>
      <c r="Y72" s="46">
        <v>1</v>
      </c>
      <c r="Z72" s="44" t="s">
        <v>18528</v>
      </c>
      <c r="AA72" s="41">
        <v>46009</v>
      </c>
      <c r="AB72" s="22" t="s">
        <v>19033</v>
      </c>
      <c r="AC72" s="22">
        <v>1</v>
      </c>
      <c r="AD72" s="41"/>
      <c r="AE72" s="22"/>
      <c r="AF72" s="22"/>
      <c r="AG72" s="48">
        <f t="shared" si="7"/>
        <v>0</v>
      </c>
      <c r="AH72" s="48">
        <f t="shared" si="8"/>
        <v>0</v>
      </c>
      <c r="AI72" s="48">
        <f t="shared" si="9"/>
        <v>0</v>
      </c>
      <c r="AJ72" s="40">
        <f t="shared" si="5"/>
        <v>45706</v>
      </c>
      <c r="AK72" s="40"/>
      <c r="AL72" s="40"/>
      <c r="AM72" s="146"/>
      <c r="AQ72" s="46"/>
    </row>
    <row r="73" spans="1:43" ht="17.399999999999999">
      <c r="A73" s="22" t="s">
        <v>18103</v>
      </c>
      <c r="B73" s="22" t="s">
        <v>18112</v>
      </c>
      <c r="C73" s="56" t="s">
        <v>18113</v>
      </c>
      <c r="D73" s="56">
        <v>45358</v>
      </c>
      <c r="E73" s="22" t="s">
        <v>18104</v>
      </c>
      <c r="F73" s="22" t="s">
        <v>33</v>
      </c>
      <c r="G73" s="22" t="s">
        <v>33</v>
      </c>
      <c r="H73" s="22" t="s">
        <v>475</v>
      </c>
      <c r="I73" s="49" t="s">
        <v>174</v>
      </c>
      <c r="J73" s="50" t="s">
        <v>476</v>
      </c>
      <c r="K73" s="22" t="s">
        <v>215</v>
      </c>
      <c r="L73" s="22" t="s">
        <v>60</v>
      </c>
      <c r="M73" s="22">
        <v>6</v>
      </c>
      <c r="N73" s="22" t="s">
        <v>18162</v>
      </c>
      <c r="O73" s="22"/>
      <c r="P73" s="46" t="s">
        <v>683</v>
      </c>
      <c r="Q73" s="40" t="s">
        <v>627</v>
      </c>
      <c r="R73" s="41">
        <v>45693</v>
      </c>
      <c r="S73" s="22">
        <f t="shared" si="6"/>
        <v>6</v>
      </c>
      <c r="T73" s="41">
        <v>45714</v>
      </c>
      <c r="U73" s="41" t="str">
        <f t="shared" si="10"/>
        <v>Upload in customer box</v>
      </c>
      <c r="V73" s="44">
        <v>45820</v>
      </c>
      <c r="W73" s="44">
        <v>45832</v>
      </c>
      <c r="X73" s="44" t="s">
        <v>18524</v>
      </c>
      <c r="Y73" s="46">
        <v>6</v>
      </c>
      <c r="Z73" s="44" t="s">
        <v>18528</v>
      </c>
      <c r="AA73" s="41">
        <v>46009</v>
      </c>
      <c r="AB73" s="22" t="s">
        <v>19033</v>
      </c>
      <c r="AC73" s="22">
        <v>6</v>
      </c>
      <c r="AD73" s="41"/>
      <c r="AE73" s="22"/>
      <c r="AF73" s="22"/>
      <c r="AG73" s="48">
        <f t="shared" si="7"/>
        <v>0</v>
      </c>
      <c r="AH73" s="48">
        <f t="shared" si="8"/>
        <v>0</v>
      </c>
      <c r="AI73" s="48">
        <f t="shared" si="9"/>
        <v>0</v>
      </c>
      <c r="AJ73" s="40">
        <f t="shared" si="5"/>
        <v>45707</v>
      </c>
      <c r="AK73" s="40"/>
      <c r="AL73" s="40"/>
      <c r="AM73" s="146"/>
      <c r="AQ73" s="46"/>
    </row>
    <row r="74" spans="1:43" ht="17.399999999999999">
      <c r="A74" s="22" t="s">
        <v>18105</v>
      </c>
      <c r="B74" s="22" t="s">
        <v>18107</v>
      </c>
      <c r="C74" s="56" t="s">
        <v>18108</v>
      </c>
      <c r="D74" s="56" t="s">
        <v>18109</v>
      </c>
      <c r="E74" s="22" t="s">
        <v>18110</v>
      </c>
      <c r="F74" s="22" t="s">
        <v>33</v>
      </c>
      <c r="G74" s="22" t="s">
        <v>33</v>
      </c>
      <c r="H74" s="22" t="s">
        <v>19302</v>
      </c>
      <c r="I74" s="49" t="s">
        <v>174</v>
      </c>
      <c r="J74" s="50" t="s">
        <v>470</v>
      </c>
      <c r="K74" s="22" t="s">
        <v>18106</v>
      </c>
      <c r="L74" s="22" t="s">
        <v>60</v>
      </c>
      <c r="M74" s="22">
        <v>7</v>
      </c>
      <c r="N74" s="22" t="s">
        <v>18111</v>
      </c>
      <c r="O74" s="22"/>
      <c r="P74" s="46" t="s">
        <v>683</v>
      </c>
      <c r="Q74" s="40" t="s">
        <v>627</v>
      </c>
      <c r="R74" s="41">
        <v>45693</v>
      </c>
      <c r="S74" s="22">
        <f t="shared" si="6"/>
        <v>7</v>
      </c>
      <c r="T74" s="41">
        <v>45714</v>
      </c>
      <c r="U74" s="41" t="str">
        <f t="shared" si="10"/>
        <v>Upload in customer box</v>
      </c>
      <c r="V74" s="44">
        <v>45820</v>
      </c>
      <c r="W74" s="44">
        <v>45832</v>
      </c>
      <c r="X74" s="44" t="s">
        <v>18524</v>
      </c>
      <c r="Y74" s="46">
        <v>7</v>
      </c>
      <c r="Z74" s="44" t="s">
        <v>18528</v>
      </c>
      <c r="AA74" s="41" t="s">
        <v>19403</v>
      </c>
      <c r="AB74" s="22" t="s">
        <v>19404</v>
      </c>
      <c r="AC74" s="22">
        <f>2+2</f>
        <v>4</v>
      </c>
      <c r="AD74" s="41"/>
      <c r="AE74" s="22"/>
      <c r="AF74" s="22"/>
      <c r="AG74" s="48">
        <f t="shared" si="7"/>
        <v>0</v>
      </c>
      <c r="AH74" s="48">
        <f t="shared" si="8"/>
        <v>3</v>
      </c>
      <c r="AI74" s="48">
        <f t="shared" si="9"/>
        <v>3</v>
      </c>
      <c r="AJ74" s="40">
        <f t="shared" si="5"/>
        <v>45707</v>
      </c>
      <c r="AK74" s="40">
        <v>46225</v>
      </c>
      <c r="AL74" s="40"/>
      <c r="AM74" s="146"/>
      <c r="AQ74" s="46"/>
    </row>
    <row r="75" spans="1:43" ht="17.399999999999999">
      <c r="A75" s="22" t="s">
        <v>18114</v>
      </c>
      <c r="B75" s="22" t="s">
        <v>18115</v>
      </c>
      <c r="C75" s="56">
        <v>45498</v>
      </c>
      <c r="D75" s="56">
        <v>45482</v>
      </c>
      <c r="E75" s="22" t="s">
        <v>18116</v>
      </c>
      <c r="F75" s="22" t="s">
        <v>33</v>
      </c>
      <c r="G75" s="22" t="s">
        <v>33</v>
      </c>
      <c r="H75" s="22" t="s">
        <v>19303</v>
      </c>
      <c r="I75" s="49" t="s">
        <v>174</v>
      </c>
      <c r="J75" s="50" t="s">
        <v>179</v>
      </c>
      <c r="K75" s="22" t="s">
        <v>493</v>
      </c>
      <c r="L75" s="22" t="s">
        <v>60</v>
      </c>
      <c r="M75" s="22">
        <v>1</v>
      </c>
      <c r="N75" s="22" t="s">
        <v>18117</v>
      </c>
      <c r="O75" s="22"/>
      <c r="P75" s="46" t="s">
        <v>685</v>
      </c>
      <c r="Q75" s="40" t="s">
        <v>627</v>
      </c>
      <c r="R75" s="41">
        <v>45694</v>
      </c>
      <c r="S75" s="22">
        <f t="shared" si="6"/>
        <v>1</v>
      </c>
      <c r="T75" s="41">
        <v>45699</v>
      </c>
      <c r="U75" s="41" t="str">
        <f t="shared" si="10"/>
        <v>Upload in customer box</v>
      </c>
      <c r="V75" s="44" t="s">
        <v>571</v>
      </c>
      <c r="W75" s="44" t="s">
        <v>571</v>
      </c>
      <c r="X75" s="44" t="s">
        <v>571</v>
      </c>
      <c r="Y75" s="46">
        <v>1</v>
      </c>
      <c r="Z75" s="44" t="s">
        <v>571</v>
      </c>
      <c r="AA75" s="41"/>
      <c r="AB75" s="22"/>
      <c r="AC75" s="22"/>
      <c r="AD75" s="41"/>
      <c r="AE75" s="22"/>
      <c r="AF75" s="22"/>
      <c r="AG75" s="48">
        <f t="shared" si="7"/>
        <v>0</v>
      </c>
      <c r="AH75" s="48">
        <f t="shared" si="8"/>
        <v>1</v>
      </c>
      <c r="AI75" s="48">
        <f t="shared" si="9"/>
        <v>1</v>
      </c>
      <c r="AJ75" s="40">
        <f t="shared" si="5"/>
        <v>45708</v>
      </c>
      <c r="AK75" s="40"/>
      <c r="AL75" s="40"/>
      <c r="AM75" s="146"/>
      <c r="AQ75" s="46"/>
    </row>
    <row r="76" spans="1:43" ht="17.399999999999999">
      <c r="A76" s="22" t="s">
        <v>18118</v>
      </c>
      <c r="B76" s="22" t="s">
        <v>18119</v>
      </c>
      <c r="C76" s="56" t="s">
        <v>18120</v>
      </c>
      <c r="D76" s="56" t="s">
        <v>18121</v>
      </c>
      <c r="E76" s="22" t="s">
        <v>18122</v>
      </c>
      <c r="F76" s="22" t="s">
        <v>33</v>
      </c>
      <c r="G76" s="22" t="s">
        <v>33</v>
      </c>
      <c r="H76" s="22" t="s">
        <v>303</v>
      </c>
      <c r="I76" s="49" t="s">
        <v>304</v>
      </c>
      <c r="J76" s="50" t="s">
        <v>305</v>
      </c>
      <c r="K76" s="22" t="s">
        <v>18106</v>
      </c>
      <c r="L76" s="22" t="s">
        <v>60</v>
      </c>
      <c r="M76" s="22">
        <v>4</v>
      </c>
      <c r="N76" s="22" t="s">
        <v>18123</v>
      </c>
      <c r="O76" s="22"/>
      <c r="P76" s="46" t="s">
        <v>685</v>
      </c>
      <c r="Q76" s="40" t="s">
        <v>627</v>
      </c>
      <c r="R76" s="41">
        <v>45694</v>
      </c>
      <c r="S76" s="22">
        <f t="shared" si="6"/>
        <v>4</v>
      </c>
      <c r="T76" s="41">
        <v>45699</v>
      </c>
      <c r="U76" s="41" t="str">
        <f t="shared" si="10"/>
        <v>Upload in customer box</v>
      </c>
      <c r="V76" s="44" t="s">
        <v>571</v>
      </c>
      <c r="W76" s="44" t="s">
        <v>571</v>
      </c>
      <c r="X76" s="44" t="s">
        <v>571</v>
      </c>
      <c r="Y76" s="46">
        <v>4</v>
      </c>
      <c r="Z76" s="44" t="s">
        <v>571</v>
      </c>
      <c r="AA76" s="41"/>
      <c r="AB76" s="22"/>
      <c r="AC76" s="22"/>
      <c r="AD76" s="41">
        <v>46142</v>
      </c>
      <c r="AE76" s="22" t="s">
        <v>19204</v>
      </c>
      <c r="AF76" s="22">
        <v>4</v>
      </c>
      <c r="AG76" s="48">
        <f t="shared" si="7"/>
        <v>0</v>
      </c>
      <c r="AH76" s="48">
        <f t="shared" si="8"/>
        <v>0</v>
      </c>
      <c r="AI76" s="48">
        <f t="shared" si="9"/>
        <v>0</v>
      </c>
      <c r="AJ76" s="40">
        <f t="shared" si="5"/>
        <v>45708</v>
      </c>
      <c r="AK76" s="40"/>
      <c r="AL76" s="40"/>
      <c r="AM76" s="146"/>
      <c r="AQ76" s="46"/>
    </row>
    <row r="77" spans="1:43" ht="17.399999999999999">
      <c r="A77" s="22" t="s">
        <v>18126</v>
      </c>
      <c r="B77" s="22" t="s">
        <v>18127</v>
      </c>
      <c r="C77" s="56">
        <v>45218</v>
      </c>
      <c r="D77" s="56">
        <v>45089</v>
      </c>
      <c r="E77" s="22" t="s">
        <v>331</v>
      </c>
      <c r="F77" s="22" t="s">
        <v>33</v>
      </c>
      <c r="G77" s="22" t="s">
        <v>33</v>
      </c>
      <c r="H77" s="22" t="s">
        <v>178</v>
      </c>
      <c r="I77" s="49" t="s">
        <v>174</v>
      </c>
      <c r="J77" s="50" t="s">
        <v>179</v>
      </c>
      <c r="K77" s="22" t="s">
        <v>18128</v>
      </c>
      <c r="L77" s="22" t="s">
        <v>60</v>
      </c>
      <c r="M77" s="22">
        <v>1</v>
      </c>
      <c r="N77" s="22" t="s">
        <v>18129</v>
      </c>
      <c r="O77" s="22"/>
      <c r="P77" s="46" t="s">
        <v>685</v>
      </c>
      <c r="Q77" s="40" t="s">
        <v>627</v>
      </c>
      <c r="R77" s="41">
        <v>45695</v>
      </c>
      <c r="S77" s="22">
        <f t="shared" si="6"/>
        <v>1</v>
      </c>
      <c r="T77" s="41">
        <v>45706</v>
      </c>
      <c r="U77" s="41" t="str">
        <f t="shared" si="10"/>
        <v>Upload in customer box</v>
      </c>
      <c r="V77" s="44">
        <v>45702</v>
      </c>
      <c r="W77" s="44">
        <v>45706</v>
      </c>
      <c r="X77" s="44" t="s">
        <v>18163</v>
      </c>
      <c r="Y77" s="46">
        <v>1</v>
      </c>
      <c r="Z77" s="44" t="s">
        <v>18165</v>
      </c>
      <c r="AA77" s="41"/>
      <c r="AB77" s="22"/>
      <c r="AC77" s="22"/>
      <c r="AD77" s="41"/>
      <c r="AE77" s="22"/>
      <c r="AF77" s="22"/>
      <c r="AG77" s="162">
        <f t="shared" si="7"/>
        <v>0</v>
      </c>
      <c r="AH77" s="48">
        <f t="shared" si="8"/>
        <v>1</v>
      </c>
      <c r="AI77" s="48">
        <f t="shared" si="9"/>
        <v>1</v>
      </c>
      <c r="AJ77" s="40">
        <f t="shared" si="5"/>
        <v>45709</v>
      </c>
      <c r="AK77" s="40"/>
      <c r="AL77" s="40"/>
      <c r="AM77" s="146"/>
      <c r="AQ77" s="184"/>
    </row>
    <row r="78" spans="1:43" s="163" customFormat="1" ht="17.399999999999999">
      <c r="A78" s="157" t="s">
        <v>18134</v>
      </c>
      <c r="B78" s="157" t="s">
        <v>18145</v>
      </c>
      <c r="C78" s="158" t="s">
        <v>18146</v>
      </c>
      <c r="D78" s="158">
        <v>45461</v>
      </c>
      <c r="E78" s="157" t="s">
        <v>18147</v>
      </c>
      <c r="F78" s="157" t="s">
        <v>33</v>
      </c>
      <c r="G78" s="157" t="s">
        <v>33</v>
      </c>
      <c r="H78" s="157" t="s">
        <v>629</v>
      </c>
      <c r="I78" s="182" t="s">
        <v>630</v>
      </c>
      <c r="J78" s="183" t="s">
        <v>631</v>
      </c>
      <c r="K78" s="157" t="s">
        <v>632</v>
      </c>
      <c r="L78" s="157" t="s">
        <v>60</v>
      </c>
      <c r="M78" s="157">
        <v>4</v>
      </c>
      <c r="N78" s="157" t="s">
        <v>18160</v>
      </c>
      <c r="O78" s="157"/>
      <c r="P78" s="159" t="s">
        <v>19055</v>
      </c>
      <c r="Q78" s="160" t="s">
        <v>627</v>
      </c>
      <c r="R78" s="161">
        <v>45698</v>
      </c>
      <c r="S78" s="157">
        <f t="shared" si="6"/>
        <v>4</v>
      </c>
      <c r="T78" s="161">
        <v>45706</v>
      </c>
      <c r="U78" s="41" t="str">
        <f t="shared" si="10"/>
        <v>Upload in customer box</v>
      </c>
      <c r="V78" s="164">
        <v>45702</v>
      </c>
      <c r="W78" s="164">
        <v>45706</v>
      </c>
      <c r="X78" s="164" t="s">
        <v>18164</v>
      </c>
      <c r="Y78" s="159">
        <v>4</v>
      </c>
      <c r="Z78" s="164" t="s">
        <v>18166</v>
      </c>
      <c r="AA78" s="161"/>
      <c r="AB78" s="157"/>
      <c r="AC78" s="157"/>
      <c r="AD78" s="161">
        <v>45945</v>
      </c>
      <c r="AE78" s="157" t="s">
        <v>18868</v>
      </c>
      <c r="AF78" s="157">
        <v>4</v>
      </c>
      <c r="AG78" s="162">
        <f t="shared" si="7"/>
        <v>0</v>
      </c>
      <c r="AH78" s="162">
        <f t="shared" si="8"/>
        <v>0</v>
      </c>
      <c r="AI78" s="162">
        <f t="shared" si="9"/>
        <v>0</v>
      </c>
      <c r="AJ78" s="160">
        <f t="shared" si="5"/>
        <v>45712</v>
      </c>
      <c r="AK78" s="206">
        <v>45868</v>
      </c>
      <c r="AL78" s="160"/>
      <c r="AM78" s="166"/>
      <c r="AN78" s="157"/>
      <c r="AO78" s="157"/>
      <c r="AP78" s="157"/>
      <c r="AQ78" s="184"/>
    </row>
    <row r="79" spans="1:43" s="163" customFormat="1" ht="17.399999999999999">
      <c r="A79" s="157" t="s">
        <v>18365</v>
      </c>
      <c r="B79" s="157" t="s">
        <v>18135</v>
      </c>
      <c r="C79" s="158">
        <v>45640</v>
      </c>
      <c r="D79" s="158" t="s">
        <v>18308</v>
      </c>
      <c r="E79" s="157" t="s">
        <v>18309</v>
      </c>
      <c r="F79" s="157" t="s">
        <v>33</v>
      </c>
      <c r="G79" s="157" t="s">
        <v>33</v>
      </c>
      <c r="H79" s="157" t="s">
        <v>744</v>
      </c>
      <c r="I79" s="182" t="s">
        <v>745</v>
      </c>
      <c r="J79" s="183" t="s">
        <v>746</v>
      </c>
      <c r="K79" s="157" t="s">
        <v>632</v>
      </c>
      <c r="L79" s="157" t="s">
        <v>60</v>
      </c>
      <c r="M79" s="157">
        <v>6</v>
      </c>
      <c r="N79" s="157" t="s">
        <v>18390</v>
      </c>
      <c r="O79" s="157"/>
      <c r="P79" s="159" t="s">
        <v>19491</v>
      </c>
      <c r="Q79" s="160" t="s">
        <v>627</v>
      </c>
      <c r="R79" s="161">
        <v>45698</v>
      </c>
      <c r="S79" s="157">
        <f t="shared" si="6"/>
        <v>6</v>
      </c>
      <c r="T79" s="161">
        <v>45758</v>
      </c>
      <c r="U79" s="41" t="str">
        <f t="shared" si="10"/>
        <v>Upload in customer box</v>
      </c>
      <c r="V79" s="164">
        <v>45702</v>
      </c>
      <c r="W79" s="164">
        <v>45706</v>
      </c>
      <c r="X79" s="164" t="s">
        <v>18164</v>
      </c>
      <c r="Y79" s="159">
        <f>2+2+2</f>
        <v>6</v>
      </c>
      <c r="Z79" s="164" t="s">
        <v>18166</v>
      </c>
      <c r="AA79" s="161" t="s">
        <v>19216</v>
      </c>
      <c r="AB79" s="157" t="s">
        <v>19217</v>
      </c>
      <c r="AC79" s="157">
        <f>2+2</f>
        <v>4</v>
      </c>
      <c r="AD79" s="161">
        <v>46085</v>
      </c>
      <c r="AE79" s="157" t="s">
        <v>19316</v>
      </c>
      <c r="AF79" s="157">
        <v>2</v>
      </c>
      <c r="AG79" s="162">
        <f t="shared" si="7"/>
        <v>0</v>
      </c>
      <c r="AH79" s="162">
        <f t="shared" si="8"/>
        <v>0</v>
      </c>
      <c r="AI79" s="162">
        <f t="shared" si="9"/>
        <v>0</v>
      </c>
      <c r="AJ79" s="160">
        <f t="shared" si="5"/>
        <v>45712</v>
      </c>
      <c r="AK79" s="160">
        <v>46241</v>
      </c>
      <c r="AL79" s="160"/>
      <c r="AM79" s="166"/>
      <c r="AN79" s="157"/>
      <c r="AO79" s="157"/>
      <c r="AP79" s="157"/>
      <c r="AQ79" s="184"/>
    </row>
    <row r="80" spans="1:43" s="150" customFormat="1" ht="17.399999999999999">
      <c r="A80" s="136" t="s">
        <v>18687</v>
      </c>
      <c r="B80" s="136" t="s">
        <v>18136</v>
      </c>
      <c r="C80" s="139" t="s">
        <v>18137</v>
      </c>
      <c r="D80" s="139">
        <v>45664</v>
      </c>
      <c r="E80" s="136" t="s">
        <v>18138</v>
      </c>
      <c r="F80" s="136" t="s">
        <v>33</v>
      </c>
      <c r="G80" s="136" t="s">
        <v>33</v>
      </c>
      <c r="H80" s="136" t="s">
        <v>12020</v>
      </c>
      <c r="I80" s="140" t="s">
        <v>704</v>
      </c>
      <c r="J80" s="141" t="s">
        <v>12021</v>
      </c>
      <c r="K80" s="136" t="s">
        <v>18139</v>
      </c>
      <c r="L80" s="136" t="s">
        <v>60</v>
      </c>
      <c r="M80" s="136">
        <v>5</v>
      </c>
      <c r="N80" s="136" t="s">
        <v>18140</v>
      </c>
      <c r="O80" s="136"/>
      <c r="P80" s="138" t="s">
        <v>5205</v>
      </c>
      <c r="Q80" s="142" t="s">
        <v>627</v>
      </c>
      <c r="R80" s="143">
        <v>45698</v>
      </c>
      <c r="S80" s="136">
        <f t="shared" si="6"/>
        <v>5</v>
      </c>
      <c r="T80" s="143">
        <v>45714</v>
      </c>
      <c r="U80" s="41" t="str">
        <f t="shared" si="10"/>
        <v/>
      </c>
      <c r="V80" s="137" t="s">
        <v>18688</v>
      </c>
      <c r="W80" s="137">
        <v>45890</v>
      </c>
      <c r="X80" s="137" t="s">
        <v>18689</v>
      </c>
      <c r="Y80" s="138">
        <v>5</v>
      </c>
      <c r="Z80" s="138" t="s">
        <v>18690</v>
      </c>
      <c r="AA80" s="143">
        <v>46099</v>
      </c>
      <c r="AB80" s="136">
        <v>80011614</v>
      </c>
      <c r="AC80" s="136">
        <v>5</v>
      </c>
      <c r="AD80" s="143"/>
      <c r="AE80" s="136"/>
      <c r="AF80" s="136"/>
      <c r="AG80" s="162">
        <f t="shared" si="7"/>
        <v>0</v>
      </c>
      <c r="AH80" s="48">
        <f t="shared" si="8"/>
        <v>0</v>
      </c>
      <c r="AI80" s="48">
        <f t="shared" si="9"/>
        <v>0</v>
      </c>
      <c r="AJ80" s="142">
        <f t="shared" si="5"/>
        <v>45712</v>
      </c>
      <c r="AK80" s="160">
        <v>46241</v>
      </c>
      <c r="AL80" s="142"/>
      <c r="AM80" s="136"/>
      <c r="AN80" s="136"/>
      <c r="AO80" s="136"/>
      <c r="AP80" s="136"/>
      <c r="AQ80" s="185"/>
    </row>
    <row r="81" spans="1:43" s="163" customFormat="1" ht="17.399999999999999">
      <c r="A81" s="157" t="s">
        <v>18869</v>
      </c>
      <c r="B81" s="157" t="s">
        <v>70</v>
      </c>
      <c r="C81" s="158" t="s">
        <v>18141</v>
      </c>
      <c r="D81" s="158" t="s">
        <v>18142</v>
      </c>
      <c r="E81" s="157" t="s">
        <v>18142</v>
      </c>
      <c r="F81" s="157" t="s">
        <v>33</v>
      </c>
      <c r="G81" s="157" t="s">
        <v>33</v>
      </c>
      <c r="H81" s="157" t="s">
        <v>3427</v>
      </c>
      <c r="I81" s="182" t="s">
        <v>68</v>
      </c>
      <c r="J81" s="183" t="s">
        <v>69</v>
      </c>
      <c r="K81" s="157" t="s">
        <v>70</v>
      </c>
      <c r="L81" s="157" t="s">
        <v>71</v>
      </c>
      <c r="M81" s="157">
        <v>1050</v>
      </c>
      <c r="N81" s="157" t="s">
        <v>18143</v>
      </c>
      <c r="O81" s="157"/>
      <c r="P81" s="159" t="s">
        <v>19055</v>
      </c>
      <c r="Q81" s="160" t="s">
        <v>627</v>
      </c>
      <c r="R81" s="161">
        <v>45699</v>
      </c>
      <c r="S81" s="157">
        <f t="shared" si="6"/>
        <v>1050</v>
      </c>
      <c r="T81" s="161">
        <v>45706</v>
      </c>
      <c r="U81" s="41" t="str">
        <f t="shared" si="10"/>
        <v>Upload in customer box</v>
      </c>
      <c r="V81" s="164" t="s">
        <v>571</v>
      </c>
      <c r="W81" s="164" t="s">
        <v>571</v>
      </c>
      <c r="X81" s="164" t="s">
        <v>571</v>
      </c>
      <c r="Y81" s="159">
        <v>1050</v>
      </c>
      <c r="Z81" s="159" t="s">
        <v>571</v>
      </c>
      <c r="AA81" s="161"/>
      <c r="AB81" s="157"/>
      <c r="AC81" s="157"/>
      <c r="AD81" s="161">
        <v>45740</v>
      </c>
      <c r="AE81" s="157" t="s">
        <v>18292</v>
      </c>
      <c r="AF81" s="157">
        <v>1050</v>
      </c>
      <c r="AG81" s="162">
        <f t="shared" si="7"/>
        <v>0</v>
      </c>
      <c r="AH81" s="162">
        <f t="shared" si="8"/>
        <v>0</v>
      </c>
      <c r="AI81" s="162">
        <f t="shared" si="9"/>
        <v>0</v>
      </c>
      <c r="AJ81" s="160">
        <f t="shared" si="5"/>
        <v>45713</v>
      </c>
      <c r="AK81" s="206">
        <v>45811</v>
      </c>
      <c r="AL81" s="160"/>
      <c r="AM81" s="166"/>
      <c r="AN81" s="157"/>
      <c r="AO81" s="157"/>
      <c r="AP81" s="157"/>
      <c r="AQ81" s="184"/>
    </row>
    <row r="82" spans="1:43" ht="13.95" customHeight="1">
      <c r="A82" s="22" t="s">
        <v>18148</v>
      </c>
      <c r="B82" s="22" t="s">
        <v>18149</v>
      </c>
      <c r="C82" s="56" t="s">
        <v>18150</v>
      </c>
      <c r="D82" s="56">
        <v>45581</v>
      </c>
      <c r="E82" s="22" t="s">
        <v>18151</v>
      </c>
      <c r="F82" s="22" t="s">
        <v>33</v>
      </c>
      <c r="G82" s="22" t="s">
        <v>33</v>
      </c>
      <c r="H82" s="22" t="s">
        <v>2588</v>
      </c>
      <c r="I82" s="49" t="s">
        <v>1949</v>
      </c>
      <c r="J82" s="50" t="s">
        <v>6304</v>
      </c>
      <c r="K82" s="22" t="s">
        <v>215</v>
      </c>
      <c r="L82" s="22" t="s">
        <v>60</v>
      </c>
      <c r="M82" s="22">
        <v>12</v>
      </c>
      <c r="N82" s="22" t="s">
        <v>18152</v>
      </c>
      <c r="O82" s="22"/>
      <c r="P82" s="46" t="s">
        <v>685</v>
      </c>
      <c r="Q82" s="40" t="s">
        <v>627</v>
      </c>
      <c r="R82" s="41">
        <v>45700</v>
      </c>
      <c r="S82" s="22">
        <f t="shared" si="6"/>
        <v>12</v>
      </c>
      <c r="T82" s="41">
        <v>45706</v>
      </c>
      <c r="U82" s="41" t="str">
        <f t="shared" si="10"/>
        <v>Upload in customer box</v>
      </c>
      <c r="V82" s="44" t="s">
        <v>571</v>
      </c>
      <c r="W82" s="44" t="s">
        <v>571</v>
      </c>
      <c r="X82" s="44" t="s">
        <v>571</v>
      </c>
      <c r="Y82" s="46">
        <v>12</v>
      </c>
      <c r="Z82" s="46" t="s">
        <v>571</v>
      </c>
      <c r="AA82" s="41"/>
      <c r="AB82" s="22"/>
      <c r="AC82" s="22"/>
      <c r="AD82" s="41">
        <v>45744</v>
      </c>
      <c r="AE82" s="22" t="s">
        <v>18319</v>
      </c>
      <c r="AF82" s="22">
        <v>12</v>
      </c>
      <c r="AG82" s="162">
        <f t="shared" si="7"/>
        <v>0</v>
      </c>
      <c r="AH82" s="48">
        <f t="shared" si="8"/>
        <v>0</v>
      </c>
      <c r="AI82" s="48">
        <f t="shared" si="9"/>
        <v>0</v>
      </c>
      <c r="AJ82" s="40">
        <f t="shared" si="5"/>
        <v>45714</v>
      </c>
      <c r="AK82" s="207">
        <v>45412</v>
      </c>
      <c r="AL82" s="40"/>
      <c r="AM82" s="22"/>
      <c r="AQ82" s="184"/>
    </row>
    <row r="83" spans="1:43" ht="17.399999999999999">
      <c r="A83" s="22" t="s">
        <v>18153</v>
      </c>
      <c r="B83" s="22" t="s">
        <v>18119</v>
      </c>
      <c r="C83" s="56">
        <v>45496</v>
      </c>
      <c r="D83" s="56">
        <v>45439</v>
      </c>
      <c r="E83" s="22" t="s">
        <v>18154</v>
      </c>
      <c r="F83" s="22" t="s">
        <v>33</v>
      </c>
      <c r="G83" s="22" t="s">
        <v>33</v>
      </c>
      <c r="H83" s="22" t="s">
        <v>303</v>
      </c>
      <c r="I83" s="49" t="s">
        <v>304</v>
      </c>
      <c r="J83" s="50" t="s">
        <v>305</v>
      </c>
      <c r="K83" s="22" t="s">
        <v>18106</v>
      </c>
      <c r="L83" s="22" t="s">
        <v>60</v>
      </c>
      <c r="M83" s="22">
        <v>1</v>
      </c>
      <c r="N83" s="22" t="s">
        <v>18159</v>
      </c>
      <c r="O83" s="22"/>
      <c r="P83" s="46" t="s">
        <v>685</v>
      </c>
      <c r="Q83" s="40" t="s">
        <v>627</v>
      </c>
      <c r="R83" s="41">
        <v>45700</v>
      </c>
      <c r="S83" s="22">
        <f t="shared" si="6"/>
        <v>1</v>
      </c>
      <c r="T83" s="41">
        <v>45706</v>
      </c>
      <c r="U83" s="41" t="str">
        <f t="shared" si="10"/>
        <v>Upload in customer box</v>
      </c>
      <c r="V83" s="44" t="s">
        <v>571</v>
      </c>
      <c r="W83" s="44" t="s">
        <v>571</v>
      </c>
      <c r="X83" s="46" t="s">
        <v>571</v>
      </c>
      <c r="Y83" s="46">
        <v>1</v>
      </c>
      <c r="Z83" s="46" t="s">
        <v>571</v>
      </c>
      <c r="AA83" s="41"/>
      <c r="AB83" s="22"/>
      <c r="AC83" s="22"/>
      <c r="AD83" s="161">
        <v>46142</v>
      </c>
      <c r="AE83" s="22" t="s">
        <v>19204</v>
      </c>
      <c r="AF83" s="22">
        <v>1</v>
      </c>
      <c r="AG83" s="162">
        <f t="shared" si="7"/>
        <v>0</v>
      </c>
      <c r="AH83" s="48">
        <f t="shared" si="8"/>
        <v>0</v>
      </c>
      <c r="AI83" s="48">
        <f t="shared" si="9"/>
        <v>0</v>
      </c>
      <c r="AJ83" s="40">
        <f t="shared" si="5"/>
        <v>45714</v>
      </c>
      <c r="AK83" s="207">
        <v>45412</v>
      </c>
      <c r="AL83" s="40"/>
      <c r="AM83" s="22"/>
      <c r="AQ83" s="184"/>
    </row>
    <row r="84" spans="1:43" ht="17.399999999999999">
      <c r="A84" s="22" t="s">
        <v>18155</v>
      </c>
      <c r="B84" s="22" t="s">
        <v>18156</v>
      </c>
      <c r="C84" s="56">
        <v>45574</v>
      </c>
      <c r="D84" s="56">
        <v>45559</v>
      </c>
      <c r="E84" s="22" t="s">
        <v>18094</v>
      </c>
      <c r="F84" s="22" t="s">
        <v>33</v>
      </c>
      <c r="G84" s="22" t="s">
        <v>33</v>
      </c>
      <c r="H84" s="22" t="s">
        <v>19293</v>
      </c>
      <c r="I84" s="49" t="s">
        <v>206</v>
      </c>
      <c r="J84" s="50" t="s">
        <v>207</v>
      </c>
      <c r="K84" s="22" t="s">
        <v>18157</v>
      </c>
      <c r="L84" s="22" t="s">
        <v>60</v>
      </c>
      <c r="M84" s="22">
        <v>2</v>
      </c>
      <c r="N84" s="22" t="s">
        <v>18158</v>
      </c>
      <c r="O84" s="22"/>
      <c r="P84" s="46" t="s">
        <v>685</v>
      </c>
      <c r="Q84" s="40" t="s">
        <v>627</v>
      </c>
      <c r="R84" s="41">
        <v>45700</v>
      </c>
      <c r="S84" s="22">
        <f t="shared" si="6"/>
        <v>2</v>
      </c>
      <c r="T84" s="41">
        <v>45706</v>
      </c>
      <c r="U84" s="41" t="str">
        <f t="shared" si="10"/>
        <v>Upload in customer box</v>
      </c>
      <c r="V84" s="44" t="s">
        <v>571</v>
      </c>
      <c r="W84" s="44" t="s">
        <v>571</v>
      </c>
      <c r="X84" s="46" t="s">
        <v>571</v>
      </c>
      <c r="Y84" s="46">
        <v>2</v>
      </c>
      <c r="Z84" s="46" t="s">
        <v>571</v>
      </c>
      <c r="AA84" s="143"/>
      <c r="AB84" s="152"/>
      <c r="AC84" s="136"/>
      <c r="AD84" s="41">
        <v>46203</v>
      </c>
      <c r="AE84" s="22" t="s">
        <v>19298</v>
      </c>
      <c r="AF84" s="22">
        <v>2</v>
      </c>
      <c r="AG84" s="162">
        <f t="shared" si="7"/>
        <v>0</v>
      </c>
      <c r="AH84" s="48">
        <f t="shared" si="8"/>
        <v>0</v>
      </c>
      <c r="AI84" s="48">
        <f t="shared" si="9"/>
        <v>0</v>
      </c>
      <c r="AJ84" s="40">
        <f t="shared" si="5"/>
        <v>45714</v>
      </c>
      <c r="AK84" s="40"/>
      <c r="AL84" s="40"/>
      <c r="AM84" s="22"/>
      <c r="AQ84" s="184"/>
    </row>
    <row r="85" spans="1:43" ht="17.399999999999999">
      <c r="A85" s="22" t="s">
        <v>18168</v>
      </c>
      <c r="B85" s="22" t="s">
        <v>18169</v>
      </c>
      <c r="C85" s="56">
        <v>45701</v>
      </c>
      <c r="D85" s="56">
        <v>45610</v>
      </c>
      <c r="E85" s="22" t="s">
        <v>18170</v>
      </c>
      <c r="F85" s="22" t="s">
        <v>33</v>
      </c>
      <c r="G85" s="22" t="s">
        <v>33</v>
      </c>
      <c r="H85" s="22" t="s">
        <v>12254</v>
      </c>
      <c r="I85" s="49" t="s">
        <v>174</v>
      </c>
      <c r="J85" s="50" t="s">
        <v>12255</v>
      </c>
      <c r="K85" s="22" t="s">
        <v>51</v>
      </c>
      <c r="L85" s="22" t="s">
        <v>60</v>
      </c>
      <c r="M85" s="22">
        <v>1</v>
      </c>
      <c r="N85" s="22" t="s">
        <v>18171</v>
      </c>
      <c r="O85" s="22"/>
      <c r="P85" s="46" t="s">
        <v>683</v>
      </c>
      <c r="Q85" s="40" t="s">
        <v>627</v>
      </c>
      <c r="R85" s="41">
        <v>45712</v>
      </c>
      <c r="S85" s="22">
        <f t="shared" si="6"/>
        <v>1</v>
      </c>
      <c r="T85" s="41">
        <v>45721</v>
      </c>
      <c r="U85" s="41" t="str">
        <f t="shared" si="10"/>
        <v>Upload in customer box</v>
      </c>
      <c r="V85" s="44">
        <v>45820</v>
      </c>
      <c r="W85" s="44">
        <v>45832</v>
      </c>
      <c r="X85" s="46" t="s">
        <v>18524</v>
      </c>
      <c r="Y85" s="46">
        <v>1</v>
      </c>
      <c r="Z85" s="46" t="s">
        <v>18528</v>
      </c>
      <c r="AA85" s="41"/>
      <c r="AB85" s="22"/>
      <c r="AC85" s="22"/>
      <c r="AD85" s="41"/>
      <c r="AE85" s="22"/>
      <c r="AF85" s="22"/>
      <c r="AG85" s="162">
        <f t="shared" si="7"/>
        <v>0</v>
      </c>
      <c r="AH85" s="48">
        <f t="shared" si="8"/>
        <v>1</v>
      </c>
      <c r="AI85" s="48">
        <f t="shared" si="9"/>
        <v>1</v>
      </c>
      <c r="AJ85" s="40">
        <f t="shared" si="5"/>
        <v>45726</v>
      </c>
      <c r="AK85" s="40"/>
      <c r="AL85" s="40"/>
      <c r="AM85" s="22"/>
      <c r="AQ85" s="184"/>
    </row>
    <row r="86" spans="1:43" ht="17.399999999999999">
      <c r="A86" s="22" t="s">
        <v>18870</v>
      </c>
      <c r="B86" s="22" t="s">
        <v>346</v>
      </c>
      <c r="C86" s="56">
        <v>45677</v>
      </c>
      <c r="D86" s="56" t="s">
        <v>33</v>
      </c>
      <c r="E86" s="22" t="s">
        <v>33</v>
      </c>
      <c r="F86" s="22" t="s">
        <v>33</v>
      </c>
      <c r="G86" s="22" t="s">
        <v>692</v>
      </c>
      <c r="H86" s="22" t="s">
        <v>354</v>
      </c>
      <c r="I86" s="49" t="s">
        <v>355</v>
      </c>
      <c r="J86" s="50" t="s">
        <v>356</v>
      </c>
      <c r="K86" s="22"/>
      <c r="L86" s="22" t="s">
        <v>52</v>
      </c>
      <c r="M86" s="22">
        <v>53</v>
      </c>
      <c r="N86" s="22" t="s">
        <v>18172</v>
      </c>
      <c r="O86" s="22"/>
      <c r="P86" s="46" t="s">
        <v>18088</v>
      </c>
      <c r="Q86" s="40" t="s">
        <v>627</v>
      </c>
      <c r="R86" s="41">
        <v>45713</v>
      </c>
      <c r="S86" s="22">
        <f t="shared" si="6"/>
        <v>53</v>
      </c>
      <c r="T86" s="41">
        <v>45727</v>
      </c>
      <c r="U86" s="41" t="str">
        <f t="shared" si="10"/>
        <v/>
      </c>
      <c r="V86" s="44">
        <v>45722</v>
      </c>
      <c r="W86" s="44">
        <v>45727</v>
      </c>
      <c r="X86" s="46" t="s">
        <v>18248</v>
      </c>
      <c r="Y86" s="46">
        <v>53</v>
      </c>
      <c r="Z86" s="46" t="s">
        <v>18260</v>
      </c>
      <c r="AA86" s="41"/>
      <c r="AB86" s="22"/>
      <c r="AC86" s="22"/>
      <c r="AD86" s="41"/>
      <c r="AE86" s="22"/>
      <c r="AF86" s="22"/>
      <c r="AG86" s="162">
        <f t="shared" si="7"/>
        <v>0</v>
      </c>
      <c r="AH86" s="48">
        <f t="shared" si="8"/>
        <v>53</v>
      </c>
      <c r="AI86" s="48">
        <f t="shared" si="9"/>
        <v>53</v>
      </c>
      <c r="AJ86" s="40">
        <f t="shared" si="5"/>
        <v>45727</v>
      </c>
      <c r="AK86" s="40"/>
      <c r="AL86" s="40"/>
      <c r="AM86" s="22"/>
      <c r="AQ86" s="184"/>
    </row>
    <row r="87" spans="1:43" ht="17.399999999999999">
      <c r="A87" s="22" t="s">
        <v>18173</v>
      </c>
      <c r="B87" s="22" t="s">
        <v>346</v>
      </c>
      <c r="C87" s="56" t="s">
        <v>18174</v>
      </c>
      <c r="D87" s="56" t="s">
        <v>33</v>
      </c>
      <c r="E87" s="22" t="s">
        <v>33</v>
      </c>
      <c r="F87" s="22" t="s">
        <v>33</v>
      </c>
      <c r="G87" s="22" t="s">
        <v>18175</v>
      </c>
      <c r="H87" s="22" t="s">
        <v>351</v>
      </c>
      <c r="I87" s="49" t="s">
        <v>344</v>
      </c>
      <c r="J87" s="50" t="s">
        <v>353</v>
      </c>
      <c r="K87" s="22"/>
      <c r="L87" s="22" t="s">
        <v>60</v>
      </c>
      <c r="M87" s="22">
        <v>23</v>
      </c>
      <c r="N87" s="22" t="s">
        <v>357</v>
      </c>
      <c r="O87" s="22"/>
      <c r="P87" s="46" t="s">
        <v>18088</v>
      </c>
      <c r="Q87" s="40" t="s">
        <v>627</v>
      </c>
      <c r="R87" s="41">
        <v>45713</v>
      </c>
      <c r="S87" s="22">
        <f t="shared" si="6"/>
        <v>23</v>
      </c>
      <c r="T87" s="41">
        <v>45727</v>
      </c>
      <c r="U87" s="41" t="str">
        <f t="shared" si="10"/>
        <v/>
      </c>
      <c r="V87" s="44">
        <v>45722</v>
      </c>
      <c r="W87" s="44">
        <v>45727</v>
      </c>
      <c r="X87" s="46" t="s">
        <v>18248</v>
      </c>
      <c r="Y87" s="46">
        <v>23</v>
      </c>
      <c r="Z87" s="46" t="s">
        <v>18260</v>
      </c>
      <c r="AA87" s="41"/>
      <c r="AB87" s="22"/>
      <c r="AC87" s="22"/>
      <c r="AD87" s="41"/>
      <c r="AE87" s="22"/>
      <c r="AF87" s="22"/>
      <c r="AG87" s="162">
        <f t="shared" si="7"/>
        <v>0</v>
      </c>
      <c r="AH87" s="48">
        <f t="shared" si="8"/>
        <v>23</v>
      </c>
      <c r="AI87" s="48">
        <f t="shared" si="9"/>
        <v>23</v>
      </c>
      <c r="AJ87" s="40">
        <f t="shared" si="5"/>
        <v>45727</v>
      </c>
      <c r="AK87" s="40"/>
      <c r="AL87" s="40"/>
      <c r="AM87" s="22"/>
      <c r="AQ87" s="184"/>
    </row>
    <row r="88" spans="1:43" ht="17.399999999999999">
      <c r="A88" s="22" t="s">
        <v>18176</v>
      </c>
      <c r="B88" s="22" t="s">
        <v>346</v>
      </c>
      <c r="C88" s="56" t="s">
        <v>18177</v>
      </c>
      <c r="D88" s="56" t="s">
        <v>33</v>
      </c>
      <c r="E88" s="22" t="s">
        <v>33</v>
      </c>
      <c r="F88" s="22" t="s">
        <v>33</v>
      </c>
      <c r="G88" s="22" t="s">
        <v>33</v>
      </c>
      <c r="H88" s="22" t="s">
        <v>366</v>
      </c>
      <c r="I88" s="49" t="s">
        <v>362</v>
      </c>
      <c r="J88" s="50" t="s">
        <v>367</v>
      </c>
      <c r="K88" s="22"/>
      <c r="L88" s="22" t="s">
        <v>60</v>
      </c>
      <c r="M88" s="22">
        <v>14</v>
      </c>
      <c r="N88" s="22" t="s">
        <v>18178</v>
      </c>
      <c r="O88" s="22"/>
      <c r="P88" s="46" t="s">
        <v>18088</v>
      </c>
      <c r="Q88" s="40" t="s">
        <v>627</v>
      </c>
      <c r="R88" s="41">
        <v>45713</v>
      </c>
      <c r="S88" s="22">
        <f t="shared" si="6"/>
        <v>14</v>
      </c>
      <c r="T88" s="41">
        <v>45727</v>
      </c>
      <c r="U88" s="41" t="str">
        <f t="shared" si="10"/>
        <v/>
      </c>
      <c r="V88" s="44">
        <v>45722</v>
      </c>
      <c r="W88" s="44">
        <v>45727</v>
      </c>
      <c r="X88" s="46" t="s">
        <v>18248</v>
      </c>
      <c r="Y88" s="46">
        <v>14</v>
      </c>
      <c r="Z88" s="46" t="s">
        <v>18260</v>
      </c>
      <c r="AA88" s="41"/>
      <c r="AB88" s="22"/>
      <c r="AC88" s="22"/>
      <c r="AD88" s="41"/>
      <c r="AE88" s="22"/>
      <c r="AF88" s="22"/>
      <c r="AG88" s="162">
        <f t="shared" si="7"/>
        <v>0</v>
      </c>
      <c r="AH88" s="48">
        <f t="shared" si="8"/>
        <v>14</v>
      </c>
      <c r="AI88" s="48">
        <f t="shared" si="9"/>
        <v>14</v>
      </c>
      <c r="AJ88" s="40">
        <f t="shared" si="5"/>
        <v>45727</v>
      </c>
      <c r="AK88" s="207">
        <v>45734</v>
      </c>
      <c r="AL88" s="40"/>
      <c r="AM88" s="22"/>
      <c r="AQ88" s="184"/>
    </row>
    <row r="89" spans="1:43" ht="17.399999999999999">
      <c r="A89" s="22" t="s">
        <v>18240</v>
      </c>
      <c r="B89" s="22" t="s">
        <v>18241</v>
      </c>
      <c r="C89" s="56">
        <v>45710</v>
      </c>
      <c r="D89" s="56">
        <v>45650</v>
      </c>
      <c r="E89" s="22" t="s">
        <v>18242</v>
      </c>
      <c r="F89" s="22" t="s">
        <v>33</v>
      </c>
      <c r="G89" s="22" t="s">
        <v>33</v>
      </c>
      <c r="H89" s="22" t="s">
        <v>554</v>
      </c>
      <c r="I89" s="49" t="s">
        <v>555</v>
      </c>
      <c r="J89" s="50" t="s">
        <v>556</v>
      </c>
      <c r="K89" s="22" t="s">
        <v>18243</v>
      </c>
      <c r="L89" s="22" t="s">
        <v>71</v>
      </c>
      <c r="M89" s="22">
        <v>30</v>
      </c>
      <c r="N89" s="22" t="s">
        <v>18244</v>
      </c>
      <c r="O89" s="22"/>
      <c r="P89" s="46" t="s">
        <v>682</v>
      </c>
      <c r="Q89" s="40" t="s">
        <v>627</v>
      </c>
      <c r="R89" s="41">
        <v>45722</v>
      </c>
      <c r="S89" s="22">
        <f t="shared" si="6"/>
        <v>30</v>
      </c>
      <c r="T89" s="41">
        <v>45734</v>
      </c>
      <c r="U89" s="41" t="str">
        <f t="shared" si="10"/>
        <v/>
      </c>
      <c r="V89" s="44">
        <v>45728</v>
      </c>
      <c r="W89" s="44">
        <v>45734</v>
      </c>
      <c r="X89" s="46" t="s">
        <v>18275</v>
      </c>
      <c r="Y89" s="46">
        <v>30</v>
      </c>
      <c r="Z89" s="46" t="s">
        <v>18276</v>
      </c>
      <c r="AA89" s="41"/>
      <c r="AB89" s="22"/>
      <c r="AC89" s="22"/>
      <c r="AD89" s="41">
        <v>46253</v>
      </c>
      <c r="AE89" s="22" t="s">
        <v>19420</v>
      </c>
      <c r="AF89" s="22">
        <v>30</v>
      </c>
      <c r="AG89" s="162">
        <f t="shared" si="7"/>
        <v>0</v>
      </c>
      <c r="AH89" s="48">
        <f t="shared" si="8"/>
        <v>0</v>
      </c>
      <c r="AI89" s="48">
        <f t="shared" si="9"/>
        <v>0</v>
      </c>
      <c r="AJ89" s="40">
        <f t="shared" si="5"/>
        <v>45736</v>
      </c>
      <c r="AK89" s="40">
        <v>46241</v>
      </c>
      <c r="AL89" s="40"/>
      <c r="AM89" s="22"/>
      <c r="AQ89" s="184"/>
    </row>
    <row r="90" spans="1:43" ht="17.399999999999999">
      <c r="A90" s="22" t="s">
        <v>18245</v>
      </c>
      <c r="B90" s="22" t="s">
        <v>359</v>
      </c>
      <c r="C90" s="56" t="s">
        <v>18246</v>
      </c>
      <c r="D90" s="56" t="s">
        <v>33</v>
      </c>
      <c r="E90" s="22" t="s">
        <v>33</v>
      </c>
      <c r="F90" s="22" t="s">
        <v>33</v>
      </c>
      <c r="G90" s="22" t="s">
        <v>67</v>
      </c>
      <c r="H90" s="22" t="s">
        <v>19289</v>
      </c>
      <c r="I90" s="49" t="s">
        <v>994</v>
      </c>
      <c r="J90" s="50" t="s">
        <v>1478</v>
      </c>
      <c r="K90" s="22" t="s">
        <v>980</v>
      </c>
      <c r="L90" s="22" t="s">
        <v>60</v>
      </c>
      <c r="M90" s="22">
        <v>3</v>
      </c>
      <c r="N90" s="22" t="s">
        <v>18247</v>
      </c>
      <c r="O90" s="22"/>
      <c r="P90" s="46" t="s">
        <v>681</v>
      </c>
      <c r="Q90" s="40" t="s">
        <v>627</v>
      </c>
      <c r="R90" s="41">
        <v>45723</v>
      </c>
      <c r="S90" s="22">
        <f t="shared" si="6"/>
        <v>3</v>
      </c>
      <c r="T90" s="41">
        <v>45841</v>
      </c>
      <c r="U90" s="41" t="str">
        <f t="shared" si="10"/>
        <v/>
      </c>
      <c r="V90" s="44">
        <v>45838</v>
      </c>
      <c r="W90" s="44">
        <v>45841</v>
      </c>
      <c r="X90" s="46" t="s">
        <v>18541</v>
      </c>
      <c r="Y90" s="46">
        <v>3</v>
      </c>
      <c r="Z90" s="46" t="s">
        <v>18551</v>
      </c>
      <c r="AA90" s="41"/>
      <c r="AB90" s="22"/>
      <c r="AC90" s="22"/>
      <c r="AD90" s="41">
        <v>46203</v>
      </c>
      <c r="AE90" s="22" t="s">
        <v>19290</v>
      </c>
      <c r="AF90" s="22">
        <v>3</v>
      </c>
      <c r="AG90" s="162">
        <f t="shared" si="7"/>
        <v>0</v>
      </c>
      <c r="AH90" s="48">
        <f t="shared" si="8"/>
        <v>0</v>
      </c>
      <c r="AI90" s="48">
        <f t="shared" si="9"/>
        <v>0</v>
      </c>
      <c r="AJ90" s="40">
        <f t="shared" si="5"/>
        <v>45737</v>
      </c>
      <c r="AK90" s="40"/>
      <c r="AL90" s="40"/>
      <c r="AM90" s="22"/>
      <c r="AQ90" s="184"/>
    </row>
    <row r="91" spans="1:43" ht="17.399999999999999">
      <c r="A91" s="22" t="s">
        <v>18262</v>
      </c>
      <c r="B91" s="22" t="s">
        <v>287</v>
      </c>
      <c r="C91" s="56">
        <v>45729</v>
      </c>
      <c r="D91" s="56">
        <v>45608</v>
      </c>
      <c r="E91" s="22" t="s">
        <v>18263</v>
      </c>
      <c r="F91" s="22" t="s">
        <v>33</v>
      </c>
      <c r="G91" s="22" t="s">
        <v>33</v>
      </c>
      <c r="H91" s="22" t="s">
        <v>5383</v>
      </c>
      <c r="I91" s="49" t="s">
        <v>818</v>
      </c>
      <c r="J91" s="50" t="s">
        <v>5384</v>
      </c>
      <c r="K91" s="22" t="s">
        <v>51</v>
      </c>
      <c r="L91" s="22" t="s">
        <v>60</v>
      </c>
      <c r="M91" s="22">
        <v>79</v>
      </c>
      <c r="N91" s="22" t="s">
        <v>18264</v>
      </c>
      <c r="O91" s="22"/>
      <c r="P91" s="46" t="s">
        <v>685</v>
      </c>
      <c r="Q91" s="40" t="s">
        <v>627</v>
      </c>
      <c r="R91" s="41">
        <v>45729</v>
      </c>
      <c r="S91" s="22">
        <f t="shared" si="6"/>
        <v>79</v>
      </c>
      <c r="T91" s="41">
        <v>45748</v>
      </c>
      <c r="U91" s="41" t="str">
        <f t="shared" si="10"/>
        <v>Upload in customer box</v>
      </c>
      <c r="V91" s="44">
        <v>45740</v>
      </c>
      <c r="W91" s="44">
        <v>45748</v>
      </c>
      <c r="X91" s="46" t="s">
        <v>18321</v>
      </c>
      <c r="Y91" s="46">
        <v>79</v>
      </c>
      <c r="Z91" s="47" t="s">
        <v>18324</v>
      </c>
      <c r="AA91" s="41">
        <v>45776</v>
      </c>
      <c r="AB91" s="22" t="s">
        <v>18568</v>
      </c>
      <c r="AC91" s="22">
        <v>79</v>
      </c>
      <c r="AD91" s="41"/>
      <c r="AE91" s="22"/>
      <c r="AF91" s="22"/>
      <c r="AG91" s="162">
        <f t="shared" si="7"/>
        <v>0</v>
      </c>
      <c r="AH91" s="48">
        <f t="shared" si="8"/>
        <v>0</v>
      </c>
      <c r="AI91" s="48">
        <f t="shared" si="9"/>
        <v>0</v>
      </c>
      <c r="AJ91" s="40">
        <f t="shared" si="5"/>
        <v>45743</v>
      </c>
      <c r="AK91" s="40"/>
      <c r="AL91" s="40"/>
      <c r="AM91" s="22"/>
      <c r="AQ91" s="184"/>
    </row>
    <row r="92" spans="1:43" s="163" customFormat="1" ht="17.399999999999999">
      <c r="A92" s="157" t="s">
        <v>18267</v>
      </c>
      <c r="B92" s="157" t="s">
        <v>18268</v>
      </c>
      <c r="C92" s="158">
        <v>45713</v>
      </c>
      <c r="D92" s="158">
        <v>45622</v>
      </c>
      <c r="E92" s="157" t="s">
        <v>18269</v>
      </c>
      <c r="F92" s="157" t="s">
        <v>33</v>
      </c>
      <c r="G92" s="157" t="s">
        <v>33</v>
      </c>
      <c r="H92" s="157">
        <v>812</v>
      </c>
      <c r="I92" s="182" t="s">
        <v>843</v>
      </c>
      <c r="J92" s="183" t="s">
        <v>1466</v>
      </c>
      <c r="K92" s="157" t="s">
        <v>846</v>
      </c>
      <c r="L92" s="157" t="s">
        <v>60</v>
      </c>
      <c r="M92" s="157">
        <v>1</v>
      </c>
      <c r="N92" s="157" t="s">
        <v>18270</v>
      </c>
      <c r="O92" s="157"/>
      <c r="P92" s="159" t="s">
        <v>19055</v>
      </c>
      <c r="Q92" s="160" t="s">
        <v>627</v>
      </c>
      <c r="R92" s="161">
        <v>45729</v>
      </c>
      <c r="S92" s="157">
        <f t="shared" si="6"/>
        <v>1</v>
      </c>
      <c r="T92" s="161">
        <v>45748</v>
      </c>
      <c r="U92" s="41" t="str">
        <f t="shared" si="10"/>
        <v>Upload in customer box</v>
      </c>
      <c r="V92" s="164">
        <v>45740</v>
      </c>
      <c r="W92" s="164">
        <v>45748</v>
      </c>
      <c r="X92" s="159" t="s">
        <v>18320</v>
      </c>
      <c r="Y92" s="159">
        <v>1</v>
      </c>
      <c r="Z92" s="159" t="s">
        <v>18325</v>
      </c>
      <c r="AA92" s="161">
        <v>45824</v>
      </c>
      <c r="AB92" s="157" t="s">
        <v>18871</v>
      </c>
      <c r="AC92" s="157">
        <v>1</v>
      </c>
      <c r="AD92" s="161"/>
      <c r="AE92" s="157"/>
      <c r="AF92" s="157"/>
      <c r="AG92" s="162">
        <f t="shared" si="7"/>
        <v>0</v>
      </c>
      <c r="AH92" s="162">
        <f t="shared" si="8"/>
        <v>0</v>
      </c>
      <c r="AI92" s="162">
        <f t="shared" si="9"/>
        <v>0</v>
      </c>
      <c r="AJ92" s="160">
        <f t="shared" si="5"/>
        <v>45743</v>
      </c>
      <c r="AK92" s="206">
        <v>45947</v>
      </c>
      <c r="AL92" s="160"/>
      <c r="AM92" s="157"/>
      <c r="AN92" s="157"/>
      <c r="AO92" s="157"/>
      <c r="AP92" s="157"/>
      <c r="AQ92" s="184"/>
    </row>
    <row r="93" spans="1:43" s="163" customFormat="1" ht="17.399999999999999">
      <c r="A93" s="157" t="s">
        <v>18366</v>
      </c>
      <c r="B93" s="157" t="s">
        <v>18271</v>
      </c>
      <c r="C93" s="158">
        <v>45727</v>
      </c>
      <c r="D93" s="158" t="s">
        <v>18388</v>
      </c>
      <c r="E93" s="157" t="s">
        <v>18312</v>
      </c>
      <c r="F93" s="157" t="s">
        <v>33</v>
      </c>
      <c r="G93" s="157" t="s">
        <v>33</v>
      </c>
      <c r="H93" s="157" t="s">
        <v>744</v>
      </c>
      <c r="I93" s="182" t="s">
        <v>745</v>
      </c>
      <c r="J93" s="183" t="s">
        <v>746</v>
      </c>
      <c r="K93" s="157" t="s">
        <v>632</v>
      </c>
      <c r="L93" s="157" t="s">
        <v>60</v>
      </c>
      <c r="M93" s="157">
        <v>5</v>
      </c>
      <c r="N93" s="157" t="s">
        <v>18389</v>
      </c>
      <c r="O93" s="157"/>
      <c r="P93" s="159" t="s">
        <v>19055</v>
      </c>
      <c r="Q93" s="160" t="s">
        <v>627</v>
      </c>
      <c r="R93" s="161">
        <v>45729</v>
      </c>
      <c r="S93" s="157">
        <f t="shared" si="6"/>
        <v>5</v>
      </c>
      <c r="T93" s="161">
        <v>45758</v>
      </c>
      <c r="U93" s="41" t="str">
        <f t="shared" si="10"/>
        <v>Upload in customer box</v>
      </c>
      <c r="V93" s="164">
        <v>45737</v>
      </c>
      <c r="W93" s="164">
        <v>45748</v>
      </c>
      <c r="X93" s="159" t="s">
        <v>18320</v>
      </c>
      <c r="Y93" s="159">
        <v>5</v>
      </c>
      <c r="Z93" s="159" t="s">
        <v>18326</v>
      </c>
      <c r="AA93" s="161">
        <v>45852</v>
      </c>
      <c r="AB93" s="157" t="s">
        <v>18589</v>
      </c>
      <c r="AC93" s="157">
        <v>5</v>
      </c>
      <c r="AD93" s="161"/>
      <c r="AE93" s="157"/>
      <c r="AF93" s="157"/>
      <c r="AG93" s="162">
        <f t="shared" si="7"/>
        <v>0</v>
      </c>
      <c r="AH93" s="162">
        <f t="shared" si="8"/>
        <v>0</v>
      </c>
      <c r="AI93" s="162">
        <f t="shared" si="9"/>
        <v>0</v>
      </c>
      <c r="AJ93" s="160">
        <f t="shared" si="5"/>
        <v>45743</v>
      </c>
      <c r="AK93" s="206">
        <v>45947</v>
      </c>
      <c r="AL93" s="160"/>
      <c r="AM93" s="157"/>
      <c r="AN93" s="157"/>
      <c r="AO93" s="157"/>
      <c r="AP93" s="157"/>
      <c r="AQ93" s="184"/>
    </row>
    <row r="94" spans="1:43" s="163" customFormat="1" ht="17.399999999999999">
      <c r="A94" s="157" t="s">
        <v>18272</v>
      </c>
      <c r="B94" s="157" t="s">
        <v>18273</v>
      </c>
      <c r="C94" s="158">
        <v>45727</v>
      </c>
      <c r="D94" s="158" t="s">
        <v>18306</v>
      </c>
      <c r="E94" s="157" t="s">
        <v>18307</v>
      </c>
      <c r="F94" s="157" t="s">
        <v>33</v>
      </c>
      <c r="G94" s="157" t="s">
        <v>33</v>
      </c>
      <c r="H94" s="157" t="s">
        <v>629</v>
      </c>
      <c r="I94" s="182" t="s">
        <v>630</v>
      </c>
      <c r="J94" s="183" t="s">
        <v>631</v>
      </c>
      <c r="K94" s="157" t="s">
        <v>632</v>
      </c>
      <c r="L94" s="157" t="s">
        <v>60</v>
      </c>
      <c r="M94" s="157">
        <v>3</v>
      </c>
      <c r="N94" s="157" t="s">
        <v>18274</v>
      </c>
      <c r="O94" s="157"/>
      <c r="P94" s="159" t="s">
        <v>19055</v>
      </c>
      <c r="Q94" s="160" t="s">
        <v>627</v>
      </c>
      <c r="R94" s="161">
        <v>45729</v>
      </c>
      <c r="S94" s="157">
        <f t="shared" si="6"/>
        <v>3</v>
      </c>
      <c r="T94" s="161">
        <v>45748</v>
      </c>
      <c r="U94" s="41" t="str">
        <f t="shared" si="10"/>
        <v>Upload in customer box</v>
      </c>
      <c r="V94" s="164">
        <v>45737</v>
      </c>
      <c r="W94" s="164">
        <v>45748</v>
      </c>
      <c r="X94" s="159" t="s">
        <v>18320</v>
      </c>
      <c r="Y94" s="159">
        <v>3</v>
      </c>
      <c r="Z94" s="159" t="s">
        <v>18326</v>
      </c>
      <c r="AA94" s="161"/>
      <c r="AB94" s="157"/>
      <c r="AC94" s="157"/>
      <c r="AD94" s="161">
        <v>45945</v>
      </c>
      <c r="AE94" s="157" t="s">
        <v>18868</v>
      </c>
      <c r="AF94" s="157">
        <v>3</v>
      </c>
      <c r="AG94" s="162">
        <f t="shared" si="7"/>
        <v>0</v>
      </c>
      <c r="AH94" s="162">
        <f t="shared" si="8"/>
        <v>0</v>
      </c>
      <c r="AI94" s="162">
        <f t="shared" si="9"/>
        <v>0</v>
      </c>
      <c r="AJ94" s="160">
        <f t="shared" si="5"/>
        <v>45743</v>
      </c>
      <c r="AK94" s="206">
        <v>45868</v>
      </c>
      <c r="AL94" s="160"/>
      <c r="AM94" s="157"/>
      <c r="AN94" s="157"/>
      <c r="AO94" s="157"/>
      <c r="AP94" s="157"/>
      <c r="AQ94" s="184"/>
    </row>
    <row r="95" spans="1:43" ht="17.399999999999999">
      <c r="A95" s="22" t="s">
        <v>18277</v>
      </c>
      <c r="B95" s="22" t="s">
        <v>18119</v>
      </c>
      <c r="C95" s="56">
        <v>45693</v>
      </c>
      <c r="D95" s="56">
        <v>45646</v>
      </c>
      <c r="E95" s="22" t="s">
        <v>18278</v>
      </c>
      <c r="F95" s="22" t="s">
        <v>33</v>
      </c>
      <c r="G95" s="22" t="s">
        <v>33</v>
      </c>
      <c r="H95" s="22" t="s">
        <v>303</v>
      </c>
      <c r="I95" s="49" t="s">
        <v>304</v>
      </c>
      <c r="J95" s="50" t="s">
        <v>305</v>
      </c>
      <c r="K95" s="22" t="s">
        <v>18106</v>
      </c>
      <c r="L95" s="22" t="s">
        <v>60</v>
      </c>
      <c r="M95" s="22">
        <v>1</v>
      </c>
      <c r="N95" s="22" t="s">
        <v>18279</v>
      </c>
      <c r="O95" s="22"/>
      <c r="P95" s="46" t="s">
        <v>685</v>
      </c>
      <c r="Q95" s="40" t="s">
        <v>627</v>
      </c>
      <c r="R95" s="41">
        <v>45733</v>
      </c>
      <c r="S95" s="22">
        <f t="shared" si="6"/>
        <v>1</v>
      </c>
      <c r="T95" s="41">
        <v>45748</v>
      </c>
      <c r="U95" s="41" t="str">
        <f t="shared" si="10"/>
        <v>Upload in customer box</v>
      </c>
      <c r="V95" s="44" t="s">
        <v>571</v>
      </c>
      <c r="W95" s="44" t="s">
        <v>571</v>
      </c>
      <c r="X95" s="46" t="s">
        <v>571</v>
      </c>
      <c r="Y95" s="46">
        <v>1</v>
      </c>
      <c r="Z95" s="44" t="s">
        <v>571</v>
      </c>
      <c r="AA95" s="41"/>
      <c r="AB95" s="22"/>
      <c r="AC95" s="22"/>
      <c r="AD95" s="41">
        <v>46203</v>
      </c>
      <c r="AE95" s="22" t="s">
        <v>19292</v>
      </c>
      <c r="AF95" s="22">
        <v>1</v>
      </c>
      <c r="AG95" s="162">
        <f t="shared" si="7"/>
        <v>0</v>
      </c>
      <c r="AH95" s="48">
        <f t="shared" si="8"/>
        <v>0</v>
      </c>
      <c r="AI95" s="48">
        <f t="shared" si="9"/>
        <v>0</v>
      </c>
      <c r="AJ95" s="40">
        <f t="shared" si="5"/>
        <v>45747</v>
      </c>
      <c r="AK95" s="40"/>
      <c r="AL95" s="40"/>
      <c r="AM95" s="22"/>
      <c r="AQ95" s="184"/>
    </row>
    <row r="96" spans="1:43" s="163" customFormat="1" ht="17.399999999999999">
      <c r="A96" s="157" t="s">
        <v>18280</v>
      </c>
      <c r="B96" s="157" t="s">
        <v>70</v>
      </c>
      <c r="C96" s="158" t="s">
        <v>18246</v>
      </c>
      <c r="D96" s="158" t="s">
        <v>18142</v>
      </c>
      <c r="E96" s="157" t="s">
        <v>18142</v>
      </c>
      <c r="F96" s="157" t="s">
        <v>33</v>
      </c>
      <c r="G96" s="157" t="s">
        <v>33</v>
      </c>
      <c r="H96" s="157" t="s">
        <v>3427</v>
      </c>
      <c r="I96" s="182" t="s">
        <v>68</v>
      </c>
      <c r="J96" s="183" t="s">
        <v>69</v>
      </c>
      <c r="K96" s="157" t="s">
        <v>70</v>
      </c>
      <c r="L96" s="157" t="s">
        <v>71</v>
      </c>
      <c r="M96" s="157">
        <v>227.5</v>
      </c>
      <c r="N96" s="157" t="s">
        <v>18281</v>
      </c>
      <c r="O96" s="157"/>
      <c r="P96" s="159" t="s">
        <v>19055</v>
      </c>
      <c r="Q96" s="160" t="s">
        <v>627</v>
      </c>
      <c r="R96" s="161">
        <v>45734</v>
      </c>
      <c r="S96" s="157">
        <f t="shared" si="6"/>
        <v>227.5</v>
      </c>
      <c r="T96" s="161">
        <v>45748</v>
      </c>
      <c r="U96" s="41" t="str">
        <f t="shared" si="10"/>
        <v>Upload in customer box</v>
      </c>
      <c r="V96" s="164" t="s">
        <v>571</v>
      </c>
      <c r="W96" s="164" t="s">
        <v>571</v>
      </c>
      <c r="X96" s="159" t="s">
        <v>571</v>
      </c>
      <c r="Y96" s="159">
        <v>227.5</v>
      </c>
      <c r="Z96" s="164" t="s">
        <v>571</v>
      </c>
      <c r="AA96" s="161"/>
      <c r="AB96" s="157"/>
      <c r="AC96" s="157"/>
      <c r="AD96" s="161">
        <v>45945</v>
      </c>
      <c r="AE96" s="157" t="s">
        <v>18868</v>
      </c>
      <c r="AF96" s="157">
        <v>227.5</v>
      </c>
      <c r="AG96" s="162">
        <f t="shared" si="7"/>
        <v>0</v>
      </c>
      <c r="AH96" s="162">
        <f t="shared" si="8"/>
        <v>0</v>
      </c>
      <c r="AI96" s="162">
        <f t="shared" si="9"/>
        <v>0</v>
      </c>
      <c r="AJ96" s="160">
        <f t="shared" si="5"/>
        <v>45748</v>
      </c>
      <c r="AK96" s="206">
        <v>45812</v>
      </c>
      <c r="AL96" s="160"/>
      <c r="AM96" s="157"/>
      <c r="AN96" s="157"/>
      <c r="AO96" s="157"/>
      <c r="AP96" s="157"/>
      <c r="AQ96" s="184"/>
    </row>
    <row r="97" spans="1:43" s="163" customFormat="1" ht="17.399999999999999">
      <c r="A97" s="22" t="s">
        <v>18282</v>
      </c>
      <c r="B97" s="22" t="s">
        <v>18283</v>
      </c>
      <c r="C97" s="56" t="s">
        <v>18284</v>
      </c>
      <c r="D97" s="56">
        <v>45468</v>
      </c>
      <c r="E97" s="22" t="s">
        <v>18285</v>
      </c>
      <c r="F97" s="22" t="s">
        <v>33</v>
      </c>
      <c r="G97" s="22" t="s">
        <v>33</v>
      </c>
      <c r="H97" s="22" t="s">
        <v>439</v>
      </c>
      <c r="I97" s="49" t="s">
        <v>440</v>
      </c>
      <c r="J97" s="50" t="s">
        <v>464</v>
      </c>
      <c r="K97" s="22" t="s">
        <v>215</v>
      </c>
      <c r="L97" s="22" t="s">
        <v>60</v>
      </c>
      <c r="M97" s="22">
        <v>2</v>
      </c>
      <c r="N97" s="22" t="s">
        <v>18286</v>
      </c>
      <c r="O97" s="22"/>
      <c r="P97" s="46" t="s">
        <v>680</v>
      </c>
      <c r="Q97" s="160" t="s">
        <v>728</v>
      </c>
      <c r="R97" s="161">
        <v>45733</v>
      </c>
      <c r="S97" s="157">
        <f t="shared" si="6"/>
        <v>2</v>
      </c>
      <c r="T97" s="161">
        <v>45776</v>
      </c>
      <c r="U97" s="41" t="str">
        <f t="shared" si="10"/>
        <v/>
      </c>
      <c r="V97" s="164">
        <v>45883</v>
      </c>
      <c r="W97" s="164">
        <v>45890</v>
      </c>
      <c r="X97" s="159" t="s">
        <v>18691</v>
      </c>
      <c r="Y97" s="159">
        <v>2</v>
      </c>
      <c r="Z97" s="159" t="s">
        <v>18692</v>
      </c>
      <c r="AA97" s="161">
        <v>45999</v>
      </c>
      <c r="AB97" s="167" t="s">
        <v>18997</v>
      </c>
      <c r="AC97" s="157">
        <v>2</v>
      </c>
      <c r="AD97" s="161"/>
      <c r="AE97" s="157"/>
      <c r="AF97" s="157"/>
      <c r="AG97" s="162">
        <f t="shared" si="7"/>
        <v>0</v>
      </c>
      <c r="AH97" s="162">
        <f t="shared" si="8"/>
        <v>0</v>
      </c>
      <c r="AI97" s="162">
        <f t="shared" si="9"/>
        <v>0</v>
      </c>
      <c r="AJ97" s="160">
        <f t="shared" si="5"/>
        <v>45747</v>
      </c>
      <c r="AK97" s="160"/>
      <c r="AL97" s="160"/>
      <c r="AM97" s="157"/>
      <c r="AN97" s="157"/>
      <c r="AO97" s="157"/>
      <c r="AP97" s="157"/>
      <c r="AQ97" s="184"/>
    </row>
    <row r="98" spans="1:43" s="163" customFormat="1" ht="17.399999999999999">
      <c r="A98" s="157" t="s">
        <v>18288</v>
      </c>
      <c r="B98" s="157" t="s">
        <v>18289</v>
      </c>
      <c r="C98" s="158">
        <v>45733</v>
      </c>
      <c r="D98" s="158">
        <v>45719</v>
      </c>
      <c r="E98" s="157" t="s">
        <v>18290</v>
      </c>
      <c r="F98" s="157" t="s">
        <v>33</v>
      </c>
      <c r="G98" s="157" t="s">
        <v>33</v>
      </c>
      <c r="H98" s="157">
        <v>824</v>
      </c>
      <c r="I98" s="182" t="s">
        <v>1472</v>
      </c>
      <c r="J98" s="183" t="s">
        <v>1504</v>
      </c>
      <c r="K98" s="157" t="s">
        <v>846</v>
      </c>
      <c r="L98" s="157" t="s">
        <v>60</v>
      </c>
      <c r="M98" s="157">
        <v>1</v>
      </c>
      <c r="N98" s="157" t="s">
        <v>18291</v>
      </c>
      <c r="O98" s="157"/>
      <c r="P98" s="159" t="s">
        <v>19055</v>
      </c>
      <c r="Q98" s="160" t="s">
        <v>627</v>
      </c>
      <c r="R98" s="161">
        <v>45740</v>
      </c>
      <c r="S98" s="157">
        <f t="shared" si="6"/>
        <v>1</v>
      </c>
      <c r="T98" s="161">
        <v>45756</v>
      </c>
      <c r="U98" s="41" t="str">
        <f t="shared" si="10"/>
        <v>Upload in customer box</v>
      </c>
      <c r="V98" s="164">
        <v>45748</v>
      </c>
      <c r="W98" s="164">
        <v>45755</v>
      </c>
      <c r="X98" s="159" t="s">
        <v>18337</v>
      </c>
      <c r="Y98" s="159">
        <v>1</v>
      </c>
      <c r="Z98" s="159" t="s">
        <v>18356</v>
      </c>
      <c r="AA98" s="161">
        <v>45824</v>
      </c>
      <c r="AB98" s="157" t="s">
        <v>18871</v>
      </c>
      <c r="AC98" s="157">
        <v>1</v>
      </c>
      <c r="AD98" s="161"/>
      <c r="AE98" s="157"/>
      <c r="AF98" s="157"/>
      <c r="AG98" s="162">
        <f t="shared" si="7"/>
        <v>0</v>
      </c>
      <c r="AH98" s="162">
        <f t="shared" si="8"/>
        <v>0</v>
      </c>
      <c r="AI98" s="162">
        <f t="shared" si="9"/>
        <v>0</v>
      </c>
      <c r="AJ98" s="160">
        <v>45762</v>
      </c>
      <c r="AK98" s="206">
        <v>45947</v>
      </c>
      <c r="AL98" s="160"/>
      <c r="AM98" s="166"/>
      <c r="AN98" s="157"/>
      <c r="AO98" s="157"/>
      <c r="AP98" s="157"/>
      <c r="AQ98" s="184"/>
    </row>
    <row r="99" spans="1:43" s="163" customFormat="1" ht="17.399999999999999">
      <c r="A99" s="22" t="s">
        <v>18293</v>
      </c>
      <c r="B99" s="22" t="s">
        <v>50</v>
      </c>
      <c r="C99" s="56" t="s">
        <v>18294</v>
      </c>
      <c r="D99" s="56">
        <v>45468</v>
      </c>
      <c r="E99" s="22" t="s">
        <v>18285</v>
      </c>
      <c r="F99" s="22">
        <v>1000</v>
      </c>
      <c r="G99" s="22" t="s">
        <v>18295</v>
      </c>
      <c r="H99" s="22" t="s">
        <v>439</v>
      </c>
      <c r="I99" s="49" t="s">
        <v>440</v>
      </c>
      <c r="J99" s="50" t="s">
        <v>464</v>
      </c>
      <c r="K99" s="22" t="s">
        <v>493</v>
      </c>
      <c r="L99" s="22" t="s">
        <v>60</v>
      </c>
      <c r="M99" s="22">
        <v>3</v>
      </c>
      <c r="N99" s="22" t="s">
        <v>18296</v>
      </c>
      <c r="O99" s="22"/>
      <c r="P99" s="46" t="s">
        <v>680</v>
      </c>
      <c r="Q99" s="160" t="s">
        <v>728</v>
      </c>
      <c r="R99" s="161">
        <v>45742</v>
      </c>
      <c r="S99" s="157">
        <f t="shared" si="6"/>
        <v>3</v>
      </c>
      <c r="T99" s="161">
        <v>45776</v>
      </c>
      <c r="U99" s="41" t="str">
        <f t="shared" si="10"/>
        <v/>
      </c>
      <c r="V99" s="164">
        <v>45883</v>
      </c>
      <c r="W99" s="164">
        <v>45890</v>
      </c>
      <c r="X99" s="159" t="s">
        <v>18691</v>
      </c>
      <c r="Y99" s="159">
        <v>3</v>
      </c>
      <c r="Z99" s="159" t="s">
        <v>18692</v>
      </c>
      <c r="AA99" s="161">
        <v>45999</v>
      </c>
      <c r="AB99" s="157" t="s">
        <v>18995</v>
      </c>
      <c r="AC99" s="157">
        <v>3</v>
      </c>
      <c r="AD99" s="161"/>
      <c r="AE99" s="157"/>
      <c r="AF99" s="157"/>
      <c r="AG99" s="162">
        <f t="shared" si="7"/>
        <v>0</v>
      </c>
      <c r="AH99" s="162">
        <f t="shared" si="8"/>
        <v>0</v>
      </c>
      <c r="AI99" s="162">
        <f t="shared" si="9"/>
        <v>0</v>
      </c>
      <c r="AJ99" s="160">
        <f>IF(A99="","",R99+14)</f>
        <v>45756</v>
      </c>
      <c r="AK99" s="160"/>
      <c r="AL99" s="160"/>
      <c r="AM99" s="166"/>
      <c r="AN99" s="157"/>
      <c r="AO99" s="157"/>
      <c r="AP99" s="157"/>
      <c r="AQ99" s="184"/>
    </row>
    <row r="100" spans="1:43" s="163" customFormat="1" ht="17.399999999999999">
      <c r="A100" s="157" t="s">
        <v>18297</v>
      </c>
      <c r="B100" s="157" t="s">
        <v>18298</v>
      </c>
      <c r="C100" s="158" t="s">
        <v>18299</v>
      </c>
      <c r="D100" s="158">
        <v>45608</v>
      </c>
      <c r="E100" s="157" t="s">
        <v>18300</v>
      </c>
      <c r="F100" s="157" t="s">
        <v>33</v>
      </c>
      <c r="G100" s="157" t="s">
        <v>33</v>
      </c>
      <c r="H100" s="157" t="s">
        <v>4952</v>
      </c>
      <c r="I100" s="182" t="s">
        <v>57</v>
      </c>
      <c r="J100" s="183" t="s">
        <v>58</v>
      </c>
      <c r="K100" s="157" t="s">
        <v>59</v>
      </c>
      <c r="L100" s="157" t="s">
        <v>60</v>
      </c>
      <c r="M100" s="157">
        <v>2</v>
      </c>
      <c r="N100" s="157" t="s">
        <v>18301</v>
      </c>
      <c r="O100" s="157"/>
      <c r="P100" s="159" t="s">
        <v>19055</v>
      </c>
      <c r="Q100" s="160" t="s">
        <v>627</v>
      </c>
      <c r="R100" s="161">
        <v>45742</v>
      </c>
      <c r="S100" s="157">
        <f t="shared" si="6"/>
        <v>2</v>
      </c>
      <c r="T100" s="161">
        <v>45756</v>
      </c>
      <c r="U100" s="41" t="str">
        <f t="shared" si="10"/>
        <v>Upload in customer box</v>
      </c>
      <c r="V100" s="164">
        <v>46844</v>
      </c>
      <c r="W100" s="164">
        <v>45755</v>
      </c>
      <c r="X100" s="164" t="s">
        <v>18337</v>
      </c>
      <c r="Y100" s="159">
        <v>2</v>
      </c>
      <c r="Z100" s="159" t="s">
        <v>18356</v>
      </c>
      <c r="AA100" s="161"/>
      <c r="AB100" s="157"/>
      <c r="AC100" s="157"/>
      <c r="AD100" s="161">
        <v>45945</v>
      </c>
      <c r="AE100" s="157" t="s">
        <v>18868</v>
      </c>
      <c r="AF100" s="157">
        <v>2</v>
      </c>
      <c r="AG100" s="162">
        <f t="shared" si="7"/>
        <v>0</v>
      </c>
      <c r="AH100" s="162">
        <f t="shared" si="8"/>
        <v>0</v>
      </c>
      <c r="AI100" s="162">
        <f t="shared" si="9"/>
        <v>0</v>
      </c>
      <c r="AJ100" s="160">
        <f>IF(A100="","",R100+14)</f>
        <v>45756</v>
      </c>
      <c r="AK100" s="206">
        <v>45806</v>
      </c>
      <c r="AL100" s="160"/>
      <c r="AM100" s="166"/>
      <c r="AN100" s="157"/>
      <c r="AO100" s="157"/>
      <c r="AP100" s="157"/>
      <c r="AQ100" s="184"/>
    </row>
    <row r="101" spans="1:43" s="163" customFormat="1" ht="17.399999999999999">
      <c r="A101" s="157" t="s">
        <v>18302</v>
      </c>
      <c r="B101" s="157" t="s">
        <v>18303</v>
      </c>
      <c r="C101" s="158" t="s">
        <v>18304</v>
      </c>
      <c r="D101" s="158">
        <v>45608</v>
      </c>
      <c r="E101" s="157" t="s">
        <v>18300</v>
      </c>
      <c r="F101" s="157" t="s">
        <v>33</v>
      </c>
      <c r="G101" s="157" t="s">
        <v>33</v>
      </c>
      <c r="H101" s="157" t="s">
        <v>4931</v>
      </c>
      <c r="I101" s="182" t="s">
        <v>4075</v>
      </c>
      <c r="J101" s="183" t="s">
        <v>6530</v>
      </c>
      <c r="K101" s="157" t="s">
        <v>59</v>
      </c>
      <c r="L101" s="157" t="s">
        <v>60</v>
      </c>
      <c r="M101" s="157">
        <v>6</v>
      </c>
      <c r="N101" s="157" t="s">
        <v>18305</v>
      </c>
      <c r="O101" s="157"/>
      <c r="P101" s="159" t="s">
        <v>19055</v>
      </c>
      <c r="Q101" s="160" t="s">
        <v>627</v>
      </c>
      <c r="R101" s="161">
        <v>45742</v>
      </c>
      <c r="S101" s="157">
        <f t="shared" si="6"/>
        <v>6</v>
      </c>
      <c r="T101" s="161">
        <v>45756</v>
      </c>
      <c r="U101" s="41" t="str">
        <f t="shared" si="10"/>
        <v>Upload in customer box</v>
      </c>
      <c r="V101" s="164">
        <v>46844</v>
      </c>
      <c r="W101" s="164">
        <v>45755</v>
      </c>
      <c r="X101" s="159" t="s">
        <v>18337</v>
      </c>
      <c r="Y101" s="159">
        <v>6</v>
      </c>
      <c r="Z101" s="159" t="s">
        <v>18356</v>
      </c>
      <c r="AA101" s="161"/>
      <c r="AB101" s="157"/>
      <c r="AC101" s="157"/>
      <c r="AD101" s="161">
        <v>45945</v>
      </c>
      <c r="AE101" s="157" t="s">
        <v>18868</v>
      </c>
      <c r="AF101" s="157">
        <v>6</v>
      </c>
      <c r="AG101" s="162">
        <f t="shared" si="7"/>
        <v>0</v>
      </c>
      <c r="AH101" s="162">
        <f t="shared" si="8"/>
        <v>0</v>
      </c>
      <c r="AI101" s="162">
        <f t="shared" si="9"/>
        <v>0</v>
      </c>
      <c r="AJ101" s="160">
        <f>IF(A101="","",R101+14)</f>
        <v>45756</v>
      </c>
      <c r="AK101" s="206">
        <v>45804</v>
      </c>
      <c r="AL101" s="160"/>
      <c r="AM101" s="157"/>
      <c r="AN101" s="157"/>
      <c r="AO101" s="157"/>
      <c r="AP101" s="157"/>
      <c r="AQ101" s="184"/>
    </row>
    <row r="102" spans="1:43" s="163" customFormat="1" ht="17.399999999999999">
      <c r="A102" s="157" t="s">
        <v>18327</v>
      </c>
      <c r="B102" s="157" t="s">
        <v>50</v>
      </c>
      <c r="C102" s="158">
        <v>45728</v>
      </c>
      <c r="D102" s="158">
        <v>45727</v>
      </c>
      <c r="E102" s="157" t="s">
        <v>18328</v>
      </c>
      <c r="F102" s="157">
        <v>350</v>
      </c>
      <c r="G102" s="157" t="s">
        <v>726</v>
      </c>
      <c r="H102" s="157" t="s">
        <v>82</v>
      </c>
      <c r="I102" s="182" t="s">
        <v>83</v>
      </c>
      <c r="J102" s="183" t="s">
        <v>84</v>
      </c>
      <c r="K102" s="157" t="s">
        <v>18329</v>
      </c>
      <c r="L102" s="157" t="s">
        <v>60</v>
      </c>
      <c r="M102" s="157">
        <v>36</v>
      </c>
      <c r="N102" s="157" t="s">
        <v>18330</v>
      </c>
      <c r="O102" s="157"/>
      <c r="P102" s="159" t="s">
        <v>19054</v>
      </c>
      <c r="Q102" s="160" t="s">
        <v>728</v>
      </c>
      <c r="R102" s="161">
        <v>45748</v>
      </c>
      <c r="S102" s="157">
        <f t="shared" si="6"/>
        <v>36</v>
      </c>
      <c r="T102" s="161">
        <v>45771</v>
      </c>
      <c r="U102" s="41" t="str">
        <f t="shared" si="10"/>
        <v/>
      </c>
      <c r="V102" s="164">
        <v>45758</v>
      </c>
      <c r="W102" s="164">
        <v>45771</v>
      </c>
      <c r="X102" s="164" t="s">
        <v>18395</v>
      </c>
      <c r="Y102" s="159">
        <v>36</v>
      </c>
      <c r="Z102" s="159" t="s">
        <v>18396</v>
      </c>
      <c r="AA102" s="161"/>
      <c r="AB102" s="157"/>
      <c r="AC102" s="157"/>
      <c r="AD102" s="161">
        <v>46100</v>
      </c>
      <c r="AE102" s="157" t="s">
        <v>19145</v>
      </c>
      <c r="AF102" s="157">
        <v>36</v>
      </c>
      <c r="AG102" s="162">
        <f t="shared" si="7"/>
        <v>0</v>
      </c>
      <c r="AH102" s="162">
        <f t="shared" si="8"/>
        <v>0</v>
      </c>
      <c r="AI102" s="162">
        <f t="shared" si="9"/>
        <v>0</v>
      </c>
      <c r="AJ102" s="160">
        <f>IF(A102="","",R102+14)</f>
        <v>45762</v>
      </c>
      <c r="AK102" s="160">
        <v>46241</v>
      </c>
      <c r="AL102" s="160"/>
      <c r="AM102" s="166"/>
      <c r="AN102" s="157"/>
      <c r="AO102" s="157"/>
      <c r="AP102" s="157"/>
      <c r="AQ102" s="184"/>
    </row>
    <row r="103" spans="1:43" s="163" customFormat="1" ht="17.399999999999999">
      <c r="A103" s="22" t="s">
        <v>18331</v>
      </c>
      <c r="B103" s="22" t="s">
        <v>18332</v>
      </c>
      <c r="C103" s="56" t="s">
        <v>18333</v>
      </c>
      <c r="D103" s="56" t="s">
        <v>18334</v>
      </c>
      <c r="E103" s="22" t="s">
        <v>18335</v>
      </c>
      <c r="F103" s="22">
        <v>573</v>
      </c>
      <c r="G103" s="22" t="s">
        <v>33</v>
      </c>
      <c r="H103" s="22" t="s">
        <v>439</v>
      </c>
      <c r="I103" s="49" t="s">
        <v>440</v>
      </c>
      <c r="J103" s="50" t="s">
        <v>464</v>
      </c>
      <c r="K103" s="22" t="s">
        <v>215</v>
      </c>
      <c r="L103" s="22" t="s">
        <v>60</v>
      </c>
      <c r="M103" s="22">
        <v>25</v>
      </c>
      <c r="N103" s="22" t="s">
        <v>18336</v>
      </c>
      <c r="O103" s="22"/>
      <c r="P103" s="46" t="s">
        <v>680</v>
      </c>
      <c r="Q103" s="160" t="s">
        <v>728</v>
      </c>
      <c r="R103" s="161">
        <v>45750</v>
      </c>
      <c r="S103" s="157">
        <f t="shared" si="6"/>
        <v>25</v>
      </c>
      <c r="T103" s="161">
        <v>45776</v>
      </c>
      <c r="U103" s="41" t="str">
        <f t="shared" si="10"/>
        <v/>
      </c>
      <c r="V103" s="164">
        <v>45883</v>
      </c>
      <c r="W103" s="164">
        <v>45890</v>
      </c>
      <c r="X103" s="159" t="s">
        <v>18691</v>
      </c>
      <c r="Y103" s="159">
        <v>25</v>
      </c>
      <c r="Z103" s="159" t="s">
        <v>18692</v>
      </c>
      <c r="AA103" s="161">
        <v>45999</v>
      </c>
      <c r="AB103" s="157" t="s">
        <v>18995</v>
      </c>
      <c r="AC103" s="157">
        <v>25</v>
      </c>
      <c r="AD103" s="161"/>
      <c r="AE103" s="157"/>
      <c r="AF103" s="157"/>
      <c r="AG103" s="162">
        <f t="shared" si="7"/>
        <v>0</v>
      </c>
      <c r="AH103" s="162">
        <f t="shared" si="8"/>
        <v>0</v>
      </c>
      <c r="AI103" s="162">
        <f t="shared" si="9"/>
        <v>0</v>
      </c>
      <c r="AJ103" s="160">
        <f>IF(A103="","",R103+14)</f>
        <v>45764</v>
      </c>
      <c r="AK103" s="160">
        <v>46241</v>
      </c>
      <c r="AL103" s="160"/>
      <c r="AM103" s="166"/>
      <c r="AN103" s="157"/>
      <c r="AO103" s="157"/>
      <c r="AP103" s="157"/>
      <c r="AQ103" s="184"/>
    </row>
    <row r="104" spans="1:43" s="163" customFormat="1" ht="17.399999999999999">
      <c r="A104" s="157" t="s">
        <v>18338</v>
      </c>
      <c r="B104" s="157" t="s">
        <v>18339</v>
      </c>
      <c r="C104" s="158">
        <v>45574</v>
      </c>
      <c r="D104" s="158">
        <v>45572</v>
      </c>
      <c r="E104" s="157" t="s">
        <v>18340</v>
      </c>
      <c r="F104" s="157" t="s">
        <v>33</v>
      </c>
      <c r="G104" s="157" t="s">
        <v>18341</v>
      </c>
      <c r="H104" s="157" t="s">
        <v>7738</v>
      </c>
      <c r="I104" s="182" t="s">
        <v>905</v>
      </c>
      <c r="J104" s="183" t="s">
        <v>7737</v>
      </c>
      <c r="K104" s="157" t="s">
        <v>799</v>
      </c>
      <c r="L104" s="157" t="s">
        <v>60</v>
      </c>
      <c r="M104" s="157">
        <v>1</v>
      </c>
      <c r="N104" s="157" t="s">
        <v>18357</v>
      </c>
      <c r="O104" s="157"/>
      <c r="P104" s="159" t="s">
        <v>19055</v>
      </c>
      <c r="Q104" s="160" t="s">
        <v>627</v>
      </c>
      <c r="R104" s="161">
        <v>45755</v>
      </c>
      <c r="S104" s="157">
        <f t="shared" si="6"/>
        <v>1</v>
      </c>
      <c r="T104" s="161">
        <v>45776</v>
      </c>
      <c r="U104" s="41" t="str">
        <f t="shared" si="10"/>
        <v>Upload in customer box</v>
      </c>
      <c r="V104" s="164">
        <v>45765</v>
      </c>
      <c r="W104" s="164">
        <v>45776</v>
      </c>
      <c r="X104" s="159" t="s">
        <v>18412</v>
      </c>
      <c r="Y104" s="159">
        <v>1</v>
      </c>
      <c r="Z104" s="159" t="s">
        <v>18419</v>
      </c>
      <c r="AA104" s="161"/>
      <c r="AB104" s="157"/>
      <c r="AC104" s="157"/>
      <c r="AD104" s="161">
        <v>45945</v>
      </c>
      <c r="AE104" s="157" t="s">
        <v>18868</v>
      </c>
      <c r="AF104" s="157">
        <v>1</v>
      </c>
      <c r="AG104" s="162">
        <f t="shared" si="7"/>
        <v>0</v>
      </c>
      <c r="AH104" s="162">
        <f t="shared" si="8"/>
        <v>0</v>
      </c>
      <c r="AI104" s="162">
        <f t="shared" si="9"/>
        <v>0</v>
      </c>
      <c r="AJ104" s="160">
        <v>45776</v>
      </c>
      <c r="AK104" s="206">
        <v>45804</v>
      </c>
      <c r="AL104" s="160"/>
      <c r="AM104" s="166"/>
      <c r="AN104" s="157"/>
      <c r="AO104" s="157"/>
      <c r="AP104" s="157"/>
      <c r="AQ104" s="184"/>
    </row>
    <row r="105" spans="1:43" s="163" customFormat="1" ht="17.399999999999999">
      <c r="A105" s="157" t="s">
        <v>18342</v>
      </c>
      <c r="B105" s="157" t="s">
        <v>18343</v>
      </c>
      <c r="C105" s="158">
        <v>45706</v>
      </c>
      <c r="D105" s="158">
        <v>45670</v>
      </c>
      <c r="E105" s="157" t="s">
        <v>18344</v>
      </c>
      <c r="F105" s="157" t="s">
        <v>33</v>
      </c>
      <c r="G105" s="157" t="s">
        <v>33</v>
      </c>
      <c r="H105" s="157" t="s">
        <v>3534</v>
      </c>
      <c r="I105" s="182" t="s">
        <v>119</v>
      </c>
      <c r="J105" s="183" t="s">
        <v>3535</v>
      </c>
      <c r="K105" s="157" t="s">
        <v>799</v>
      </c>
      <c r="L105" s="157" t="s">
        <v>60</v>
      </c>
      <c r="M105" s="157">
        <v>10</v>
      </c>
      <c r="N105" s="157" t="s">
        <v>18345</v>
      </c>
      <c r="O105" s="157"/>
      <c r="P105" s="159" t="s">
        <v>19055</v>
      </c>
      <c r="Q105" s="160" t="s">
        <v>627</v>
      </c>
      <c r="R105" s="161">
        <v>45755</v>
      </c>
      <c r="S105" s="157">
        <f t="shared" si="6"/>
        <v>10</v>
      </c>
      <c r="T105" s="161">
        <v>45776</v>
      </c>
      <c r="U105" s="41" t="str">
        <f t="shared" si="10"/>
        <v>Upload in customer box</v>
      </c>
      <c r="V105" s="164">
        <v>45765</v>
      </c>
      <c r="W105" s="164">
        <v>45776</v>
      </c>
      <c r="X105" s="159" t="s">
        <v>18412</v>
      </c>
      <c r="Y105" s="159">
        <v>10</v>
      </c>
      <c r="Z105" s="159" t="s">
        <v>18420</v>
      </c>
      <c r="AA105" s="161"/>
      <c r="AB105" s="157"/>
      <c r="AC105" s="157"/>
      <c r="AD105" s="161">
        <v>45945</v>
      </c>
      <c r="AE105" s="157" t="s">
        <v>18868</v>
      </c>
      <c r="AF105" s="157">
        <v>10</v>
      </c>
      <c r="AG105" s="162">
        <f t="shared" si="7"/>
        <v>0</v>
      </c>
      <c r="AH105" s="162">
        <f t="shared" si="8"/>
        <v>0</v>
      </c>
      <c r="AI105" s="162">
        <f t="shared" si="9"/>
        <v>0</v>
      </c>
      <c r="AJ105" s="160">
        <f>IF(A105="","",R105+14)</f>
        <v>45769</v>
      </c>
      <c r="AK105" s="206">
        <v>45806</v>
      </c>
      <c r="AL105" s="160"/>
      <c r="AM105" s="166"/>
      <c r="AN105" s="157"/>
      <c r="AO105" s="157"/>
      <c r="AP105" s="157"/>
      <c r="AQ105" s="184"/>
    </row>
    <row r="106" spans="1:43" s="163" customFormat="1" ht="17.399999999999999">
      <c r="A106" s="157" t="s">
        <v>18346</v>
      </c>
      <c r="B106" s="157" t="s">
        <v>18347</v>
      </c>
      <c r="C106" s="158">
        <v>45698</v>
      </c>
      <c r="D106" s="158">
        <v>45691</v>
      </c>
      <c r="E106" s="157" t="s">
        <v>18348</v>
      </c>
      <c r="F106" s="157" t="s">
        <v>33</v>
      </c>
      <c r="G106" s="157" t="s">
        <v>33</v>
      </c>
      <c r="H106" s="157" t="s">
        <v>7754</v>
      </c>
      <c r="I106" s="182" t="s">
        <v>119</v>
      </c>
      <c r="J106" s="183" t="s">
        <v>3535</v>
      </c>
      <c r="K106" s="157" t="s">
        <v>799</v>
      </c>
      <c r="L106" s="157" t="s">
        <v>60</v>
      </c>
      <c r="M106" s="157">
        <v>9</v>
      </c>
      <c r="N106" s="157" t="s">
        <v>18349</v>
      </c>
      <c r="O106" s="157"/>
      <c r="P106" s="159" t="s">
        <v>19055</v>
      </c>
      <c r="Q106" s="160" t="s">
        <v>627</v>
      </c>
      <c r="R106" s="161">
        <v>45755</v>
      </c>
      <c r="S106" s="157">
        <f t="shared" si="6"/>
        <v>9</v>
      </c>
      <c r="T106" s="161">
        <v>45776</v>
      </c>
      <c r="U106" s="41" t="str">
        <f t="shared" si="10"/>
        <v>Upload in customer box</v>
      </c>
      <c r="V106" s="164">
        <v>45765</v>
      </c>
      <c r="W106" s="164">
        <v>45776</v>
      </c>
      <c r="X106" s="159" t="s">
        <v>18412</v>
      </c>
      <c r="Y106" s="159">
        <v>9</v>
      </c>
      <c r="Z106" s="159" t="s">
        <v>18419</v>
      </c>
      <c r="AA106" s="161"/>
      <c r="AB106" s="157"/>
      <c r="AC106" s="157"/>
      <c r="AD106" s="161">
        <v>45945</v>
      </c>
      <c r="AE106" s="157" t="s">
        <v>18868</v>
      </c>
      <c r="AF106" s="157">
        <v>9</v>
      </c>
      <c r="AG106" s="162">
        <f t="shared" si="7"/>
        <v>0</v>
      </c>
      <c r="AH106" s="162">
        <f t="shared" si="8"/>
        <v>0</v>
      </c>
      <c r="AI106" s="162">
        <f t="shared" si="9"/>
        <v>0</v>
      </c>
      <c r="AJ106" s="160">
        <f>IF(A106="","",R106+14)</f>
        <v>45769</v>
      </c>
      <c r="AK106" s="206">
        <v>45806</v>
      </c>
      <c r="AL106" s="160"/>
      <c r="AM106" s="157"/>
      <c r="AN106" s="157"/>
      <c r="AO106" s="157"/>
      <c r="AP106" s="157"/>
      <c r="AQ106" s="184"/>
    </row>
    <row r="107" spans="1:43" s="163" customFormat="1" ht="17.399999999999999">
      <c r="A107" s="157" t="s">
        <v>18350</v>
      </c>
      <c r="B107" s="157" t="s">
        <v>18303</v>
      </c>
      <c r="C107" s="158" t="s">
        <v>18351</v>
      </c>
      <c r="D107" s="158">
        <v>45636</v>
      </c>
      <c r="E107" s="157" t="s">
        <v>18352</v>
      </c>
      <c r="F107" s="157" t="s">
        <v>33</v>
      </c>
      <c r="G107" s="157" t="s">
        <v>33</v>
      </c>
      <c r="H107" s="157" t="s">
        <v>5261</v>
      </c>
      <c r="I107" s="182" t="s">
        <v>174</v>
      </c>
      <c r="J107" s="183" t="s">
        <v>476</v>
      </c>
      <c r="K107" s="157" t="s">
        <v>59</v>
      </c>
      <c r="L107" s="157" t="s">
        <v>60</v>
      </c>
      <c r="M107" s="157">
        <v>5</v>
      </c>
      <c r="N107" s="157" t="s">
        <v>18353</v>
      </c>
      <c r="O107" s="157"/>
      <c r="P107" s="159" t="s">
        <v>19055</v>
      </c>
      <c r="Q107" s="160" t="s">
        <v>627</v>
      </c>
      <c r="R107" s="161">
        <v>45755</v>
      </c>
      <c r="S107" s="157">
        <f t="shared" si="6"/>
        <v>5</v>
      </c>
      <c r="T107" s="161">
        <v>45776</v>
      </c>
      <c r="U107" s="41" t="str">
        <f t="shared" si="10"/>
        <v>Upload in customer box</v>
      </c>
      <c r="V107" s="164">
        <v>45765</v>
      </c>
      <c r="W107" s="164">
        <v>45776</v>
      </c>
      <c r="X107" s="159" t="s">
        <v>18412</v>
      </c>
      <c r="Y107" s="159">
        <v>5</v>
      </c>
      <c r="Z107" s="159" t="s">
        <v>18421</v>
      </c>
      <c r="AA107" s="161"/>
      <c r="AB107" s="157"/>
      <c r="AC107" s="157"/>
      <c r="AD107" s="161">
        <v>45945</v>
      </c>
      <c r="AE107" s="157" t="s">
        <v>18868</v>
      </c>
      <c r="AF107" s="157">
        <v>5</v>
      </c>
      <c r="AG107" s="162">
        <f t="shared" si="7"/>
        <v>0</v>
      </c>
      <c r="AH107" s="162">
        <f t="shared" si="8"/>
        <v>0</v>
      </c>
      <c r="AI107" s="162">
        <f t="shared" si="9"/>
        <v>0</v>
      </c>
      <c r="AJ107" s="160">
        <f>IF(A107="","",R107+14)</f>
        <v>45769</v>
      </c>
      <c r="AK107" s="206">
        <v>45806</v>
      </c>
      <c r="AL107" s="160"/>
      <c r="AM107" s="157"/>
      <c r="AN107" s="157"/>
      <c r="AO107" s="157"/>
      <c r="AP107" s="157"/>
      <c r="AQ107" s="184"/>
    </row>
    <row r="108" spans="1:43" s="163" customFormat="1" ht="17.399999999999999">
      <c r="A108" s="157" t="s">
        <v>18354</v>
      </c>
      <c r="B108" s="157" t="s">
        <v>18303</v>
      </c>
      <c r="C108" s="158">
        <v>45734</v>
      </c>
      <c r="D108" s="158">
        <v>45636</v>
      </c>
      <c r="E108" s="157" t="s">
        <v>18352</v>
      </c>
      <c r="F108" s="157" t="s">
        <v>33</v>
      </c>
      <c r="G108" s="157" t="s">
        <v>33</v>
      </c>
      <c r="H108" s="157" t="s">
        <v>5275</v>
      </c>
      <c r="I108" s="182" t="s">
        <v>174</v>
      </c>
      <c r="J108" s="183" t="s">
        <v>5276</v>
      </c>
      <c r="K108" s="157" t="s">
        <v>59</v>
      </c>
      <c r="L108" s="157" t="s">
        <v>60</v>
      </c>
      <c r="M108" s="157">
        <v>1</v>
      </c>
      <c r="N108" s="157" t="s">
        <v>18355</v>
      </c>
      <c r="O108" s="157"/>
      <c r="P108" s="159" t="s">
        <v>19055</v>
      </c>
      <c r="Q108" s="160" t="s">
        <v>627</v>
      </c>
      <c r="R108" s="161">
        <v>45755</v>
      </c>
      <c r="S108" s="157">
        <f t="shared" si="6"/>
        <v>1</v>
      </c>
      <c r="T108" s="161">
        <v>45776</v>
      </c>
      <c r="U108" s="41" t="str">
        <f t="shared" si="10"/>
        <v>Upload in customer box</v>
      </c>
      <c r="V108" s="164">
        <v>45765</v>
      </c>
      <c r="W108" s="164">
        <v>45776</v>
      </c>
      <c r="X108" s="159" t="s">
        <v>18412</v>
      </c>
      <c r="Y108" s="159">
        <v>1</v>
      </c>
      <c r="Z108" s="159" t="s">
        <v>18422</v>
      </c>
      <c r="AA108" s="161"/>
      <c r="AB108" s="157"/>
      <c r="AC108" s="157"/>
      <c r="AD108" s="161">
        <v>45945</v>
      </c>
      <c r="AE108" s="157" t="s">
        <v>18868</v>
      </c>
      <c r="AF108" s="157">
        <v>1</v>
      </c>
      <c r="AG108" s="162">
        <f t="shared" si="7"/>
        <v>0</v>
      </c>
      <c r="AH108" s="162">
        <f t="shared" si="8"/>
        <v>0</v>
      </c>
      <c r="AI108" s="162">
        <f t="shared" si="9"/>
        <v>0</v>
      </c>
      <c r="AJ108" s="160">
        <f>IF(A108="","",R108+14)</f>
        <v>45769</v>
      </c>
      <c r="AK108" s="206">
        <v>45804</v>
      </c>
      <c r="AL108" s="160"/>
      <c r="AM108" s="157"/>
      <c r="AN108" s="157"/>
      <c r="AO108" s="157"/>
      <c r="AP108" s="157"/>
      <c r="AQ108" s="184"/>
    </row>
    <row r="109" spans="1:43" ht="17.399999999999999">
      <c r="A109" s="22" t="s">
        <v>18358</v>
      </c>
      <c r="B109" s="22" t="s">
        <v>381</v>
      </c>
      <c r="C109" s="56">
        <v>45453</v>
      </c>
      <c r="D109" s="56" t="s">
        <v>33</v>
      </c>
      <c r="E109" s="22" t="s">
        <v>33</v>
      </c>
      <c r="F109" s="22" t="s">
        <v>33</v>
      </c>
      <c r="G109" s="22" t="s">
        <v>18359</v>
      </c>
      <c r="H109" s="22" t="s">
        <v>378</v>
      </c>
      <c r="I109" s="49" t="s">
        <v>379</v>
      </c>
      <c r="J109" s="50" t="s">
        <v>380</v>
      </c>
      <c r="K109" s="22" t="s">
        <v>376</v>
      </c>
      <c r="L109" s="22" t="s">
        <v>60</v>
      </c>
      <c r="M109" s="22">
        <v>1</v>
      </c>
      <c r="N109" s="22" t="s">
        <v>18360</v>
      </c>
      <c r="O109" s="22"/>
      <c r="P109" s="46" t="s">
        <v>18133</v>
      </c>
      <c r="Q109" s="40" t="s">
        <v>627</v>
      </c>
      <c r="R109" s="41">
        <v>45756</v>
      </c>
      <c r="S109" s="22">
        <f t="shared" si="6"/>
        <v>1</v>
      </c>
      <c r="T109" s="41">
        <v>45776</v>
      </c>
      <c r="U109" s="41" t="str">
        <f t="shared" si="10"/>
        <v/>
      </c>
      <c r="V109" s="44">
        <v>45769</v>
      </c>
      <c r="W109" s="44">
        <v>45776</v>
      </c>
      <c r="X109" s="44" t="s">
        <v>18413</v>
      </c>
      <c r="Y109" s="46">
        <v>1</v>
      </c>
      <c r="Z109" s="46" t="s">
        <v>18424</v>
      </c>
      <c r="AA109" s="41"/>
      <c r="AB109" s="22"/>
      <c r="AC109" s="22"/>
      <c r="AD109" s="41">
        <v>45807</v>
      </c>
      <c r="AE109" s="22" t="s">
        <v>18872</v>
      </c>
      <c r="AF109" s="22">
        <v>1</v>
      </c>
      <c r="AG109" s="162">
        <f t="shared" si="7"/>
        <v>0</v>
      </c>
      <c r="AH109" s="48">
        <f t="shared" si="8"/>
        <v>0</v>
      </c>
      <c r="AI109" s="48">
        <f t="shared" si="9"/>
        <v>0</v>
      </c>
      <c r="AJ109" s="40">
        <f>IF(A109="","",R109+14)</f>
        <v>45770</v>
      </c>
      <c r="AK109" s="40"/>
      <c r="AL109" s="40"/>
      <c r="AM109" s="22"/>
      <c r="AQ109" s="184"/>
    </row>
    <row r="110" spans="1:43" s="150" customFormat="1" ht="17.399999999999999">
      <c r="A110" s="136" t="s">
        <v>18361</v>
      </c>
      <c r="B110" s="136" t="s">
        <v>376</v>
      </c>
      <c r="C110" s="139" t="s">
        <v>18362</v>
      </c>
      <c r="D110" s="139" t="s">
        <v>33</v>
      </c>
      <c r="E110" s="136" t="s">
        <v>33</v>
      </c>
      <c r="F110" s="136" t="s">
        <v>33</v>
      </c>
      <c r="G110" s="136" t="s">
        <v>18363</v>
      </c>
      <c r="H110" s="136" t="s">
        <v>389</v>
      </c>
      <c r="I110" s="140" t="s">
        <v>379</v>
      </c>
      <c r="J110" s="141" t="s">
        <v>422</v>
      </c>
      <c r="K110" s="136" t="s">
        <v>376</v>
      </c>
      <c r="L110" s="136" t="s">
        <v>60</v>
      </c>
      <c r="M110" s="136">
        <v>3</v>
      </c>
      <c r="N110" s="136" t="s">
        <v>18364</v>
      </c>
      <c r="O110" s="136"/>
      <c r="P110" s="138" t="s">
        <v>18133</v>
      </c>
      <c r="Q110" s="142" t="s">
        <v>627</v>
      </c>
      <c r="R110" s="143">
        <v>45756</v>
      </c>
      <c r="S110" s="136">
        <f t="shared" si="6"/>
        <v>3</v>
      </c>
      <c r="T110" s="143">
        <v>45776</v>
      </c>
      <c r="U110" s="41" t="str">
        <f t="shared" si="10"/>
        <v/>
      </c>
      <c r="V110" s="137">
        <v>45769</v>
      </c>
      <c r="W110" s="137">
        <v>45776</v>
      </c>
      <c r="X110" s="138" t="s">
        <v>18413</v>
      </c>
      <c r="Y110" s="138">
        <v>3</v>
      </c>
      <c r="Z110" s="138" t="s">
        <v>18424</v>
      </c>
      <c r="AA110" s="143"/>
      <c r="AB110" s="136"/>
      <c r="AC110" s="136"/>
      <c r="AD110" s="143">
        <v>45807</v>
      </c>
      <c r="AE110" s="136" t="s">
        <v>18873</v>
      </c>
      <c r="AF110" s="136">
        <v>3</v>
      </c>
      <c r="AG110" s="162">
        <f t="shared" si="7"/>
        <v>0</v>
      </c>
      <c r="AH110" s="134">
        <f t="shared" si="8"/>
        <v>0</v>
      </c>
      <c r="AI110" s="134">
        <f t="shared" si="9"/>
        <v>0</v>
      </c>
      <c r="AJ110" s="142">
        <f t="shared" ref="AJ110:AJ173" si="11">IF(A110="","",R110+21)</f>
        <v>45777</v>
      </c>
      <c r="AK110" s="142"/>
      <c r="AL110" s="142"/>
      <c r="AM110" s="136"/>
      <c r="AN110" s="136"/>
      <c r="AO110" s="136"/>
      <c r="AP110" s="136"/>
      <c r="AQ110" s="185"/>
    </row>
    <row r="111" spans="1:43" ht="17.399999999999999">
      <c r="A111" s="22" t="s">
        <v>18874</v>
      </c>
      <c r="B111" s="22" t="s">
        <v>18367</v>
      </c>
      <c r="C111" s="56">
        <v>45755</v>
      </c>
      <c r="D111" s="56" t="s">
        <v>18368</v>
      </c>
      <c r="E111" s="22" t="s">
        <v>18369</v>
      </c>
      <c r="F111" s="22" t="s">
        <v>33</v>
      </c>
      <c r="G111" s="22" t="s">
        <v>33</v>
      </c>
      <c r="H111" s="22" t="s">
        <v>8117</v>
      </c>
      <c r="I111" s="49" t="s">
        <v>2137</v>
      </c>
      <c r="J111" s="50" t="s">
        <v>8118</v>
      </c>
      <c r="K111" s="22" t="s">
        <v>493</v>
      </c>
      <c r="L111" s="22" t="s">
        <v>60</v>
      </c>
      <c r="M111" s="22">
        <v>137</v>
      </c>
      <c r="N111" s="22" t="s">
        <v>18370</v>
      </c>
      <c r="O111" s="22"/>
      <c r="P111" s="46" t="s">
        <v>5279</v>
      </c>
      <c r="Q111" s="40" t="s">
        <v>627</v>
      </c>
      <c r="R111" s="41">
        <v>45756</v>
      </c>
      <c r="S111" s="22">
        <f t="shared" si="6"/>
        <v>137</v>
      </c>
      <c r="T111" s="41">
        <v>45758</v>
      </c>
      <c r="U111" s="41" t="str">
        <f t="shared" si="10"/>
        <v/>
      </c>
      <c r="V111" s="44" t="s">
        <v>571</v>
      </c>
      <c r="W111" s="44" t="s">
        <v>571</v>
      </c>
      <c r="X111" s="46" t="s">
        <v>571</v>
      </c>
      <c r="Y111" s="46">
        <v>137</v>
      </c>
      <c r="Z111" s="44" t="s">
        <v>571</v>
      </c>
      <c r="AA111" s="41" t="s">
        <v>18539</v>
      </c>
      <c r="AB111" s="22" t="s">
        <v>18540</v>
      </c>
      <c r="AC111" s="22">
        <v>137</v>
      </c>
      <c r="AD111" s="41"/>
      <c r="AE111" s="22"/>
      <c r="AF111" s="22"/>
      <c r="AG111" s="162">
        <f t="shared" si="7"/>
        <v>0</v>
      </c>
      <c r="AH111" s="48">
        <f t="shared" si="8"/>
        <v>0</v>
      </c>
      <c r="AI111" s="48">
        <f t="shared" si="9"/>
        <v>0</v>
      </c>
      <c r="AJ111" s="40">
        <f t="shared" si="11"/>
        <v>45777</v>
      </c>
      <c r="AK111" s="40"/>
      <c r="AL111" s="40"/>
      <c r="AM111" s="22"/>
      <c r="AQ111" s="184"/>
    </row>
    <row r="112" spans="1:43" ht="17.399999999999999">
      <c r="A112" s="22" t="s">
        <v>18372</v>
      </c>
      <c r="B112" s="22" t="s">
        <v>709</v>
      </c>
      <c r="C112" s="56">
        <v>45680</v>
      </c>
      <c r="D112" s="56">
        <v>45561</v>
      </c>
      <c r="E112" s="22" t="s">
        <v>18373</v>
      </c>
      <c r="F112" s="22" t="s">
        <v>33</v>
      </c>
      <c r="G112" s="22" t="s">
        <v>33</v>
      </c>
      <c r="H112" s="22" t="s">
        <v>182</v>
      </c>
      <c r="I112" s="49" t="s">
        <v>183</v>
      </c>
      <c r="J112" s="50" t="s">
        <v>711</v>
      </c>
      <c r="K112" s="22" t="s">
        <v>215</v>
      </c>
      <c r="L112" s="22" t="s">
        <v>60</v>
      </c>
      <c r="M112" s="22">
        <v>1</v>
      </c>
      <c r="N112" s="22" t="s">
        <v>18374</v>
      </c>
      <c r="O112" s="22"/>
      <c r="P112" s="46" t="s">
        <v>685</v>
      </c>
      <c r="Q112" s="40" t="s">
        <v>627</v>
      </c>
      <c r="R112" s="41">
        <v>45757</v>
      </c>
      <c r="S112" s="22">
        <f t="shared" si="6"/>
        <v>1</v>
      </c>
      <c r="T112" s="41">
        <v>45776</v>
      </c>
      <c r="U112" s="41" t="str">
        <f t="shared" si="10"/>
        <v>Upload in customer box</v>
      </c>
      <c r="V112" s="44">
        <v>45765</v>
      </c>
      <c r="W112" s="44">
        <v>45776</v>
      </c>
      <c r="X112" s="46" t="s">
        <v>18414</v>
      </c>
      <c r="Y112" s="46">
        <v>1</v>
      </c>
      <c r="Z112" s="46" t="s">
        <v>18423</v>
      </c>
      <c r="AA112" s="41"/>
      <c r="AB112" s="22"/>
      <c r="AC112" s="22"/>
      <c r="AD112" s="41"/>
      <c r="AE112" s="22"/>
      <c r="AF112" s="22"/>
      <c r="AG112" s="162">
        <f t="shared" si="7"/>
        <v>0</v>
      </c>
      <c r="AH112" s="48">
        <f t="shared" si="8"/>
        <v>1</v>
      </c>
      <c r="AI112" s="48">
        <f t="shared" si="9"/>
        <v>1</v>
      </c>
      <c r="AJ112" s="40">
        <f t="shared" si="11"/>
        <v>45778</v>
      </c>
      <c r="AK112" s="40"/>
      <c r="AL112" s="40"/>
      <c r="AM112" s="22"/>
      <c r="AQ112" s="184"/>
    </row>
    <row r="113" spans="1:43" ht="17.399999999999999">
      <c r="A113" s="22" t="s">
        <v>18375</v>
      </c>
      <c r="B113" s="22" t="s">
        <v>18376</v>
      </c>
      <c r="C113" s="56">
        <v>45686</v>
      </c>
      <c r="D113" s="56">
        <v>45670</v>
      </c>
      <c r="E113" s="22" t="s">
        <v>18377</v>
      </c>
      <c r="F113" s="22" t="s">
        <v>33</v>
      </c>
      <c r="G113" s="22" t="s">
        <v>33</v>
      </c>
      <c r="H113" s="22" t="s">
        <v>5417</v>
      </c>
      <c r="I113" s="49" t="s">
        <v>827</v>
      </c>
      <c r="J113" s="50" t="s">
        <v>827</v>
      </c>
      <c r="K113" s="22" t="s">
        <v>215</v>
      </c>
      <c r="L113" s="22" t="s">
        <v>60</v>
      </c>
      <c r="M113" s="22">
        <v>2</v>
      </c>
      <c r="N113" s="22" t="s">
        <v>18378</v>
      </c>
      <c r="O113" s="22"/>
      <c r="P113" s="46" t="s">
        <v>685</v>
      </c>
      <c r="Q113" s="40" t="s">
        <v>627</v>
      </c>
      <c r="R113" s="41">
        <v>45757</v>
      </c>
      <c r="S113" s="22">
        <f t="shared" si="6"/>
        <v>2</v>
      </c>
      <c r="T113" s="41">
        <v>45776</v>
      </c>
      <c r="U113" s="41" t="str">
        <f t="shared" si="10"/>
        <v>Upload in customer box</v>
      </c>
      <c r="V113" s="44">
        <v>45765</v>
      </c>
      <c r="W113" s="44">
        <v>45776</v>
      </c>
      <c r="X113" s="46" t="s">
        <v>18414</v>
      </c>
      <c r="Y113" s="46">
        <v>2</v>
      </c>
      <c r="Z113" s="46" t="s">
        <v>18423</v>
      </c>
      <c r="AA113" s="41"/>
      <c r="AB113" s="22"/>
      <c r="AC113" s="22"/>
      <c r="AD113" s="41"/>
      <c r="AE113" s="22"/>
      <c r="AF113" s="22"/>
      <c r="AG113" s="162">
        <f t="shared" si="7"/>
        <v>0</v>
      </c>
      <c r="AH113" s="48">
        <f t="shared" si="8"/>
        <v>2</v>
      </c>
      <c r="AI113" s="48">
        <f t="shared" si="9"/>
        <v>2</v>
      </c>
      <c r="AJ113" s="40">
        <f t="shared" si="11"/>
        <v>45778</v>
      </c>
      <c r="AK113" s="40"/>
      <c r="AL113" s="40"/>
      <c r="AM113" s="22"/>
      <c r="AQ113" s="184"/>
    </row>
    <row r="114" spans="1:43" ht="17.399999999999999">
      <c r="A114" s="22" t="s">
        <v>18379</v>
      </c>
      <c r="B114" s="22" t="s">
        <v>269</v>
      </c>
      <c r="C114" s="56" t="s">
        <v>18380</v>
      </c>
      <c r="D114" s="56" t="s">
        <v>18381</v>
      </c>
      <c r="E114" s="22" t="s">
        <v>18382</v>
      </c>
      <c r="F114" s="22" t="s">
        <v>33</v>
      </c>
      <c r="G114" s="22" t="s">
        <v>33</v>
      </c>
      <c r="H114" s="22" t="s">
        <v>205</v>
      </c>
      <c r="I114" s="49" t="s">
        <v>206</v>
      </c>
      <c r="J114" s="50" t="s">
        <v>207</v>
      </c>
      <c r="K114" s="22" t="s">
        <v>2748</v>
      </c>
      <c r="L114" s="22" t="s">
        <v>60</v>
      </c>
      <c r="M114" s="22">
        <v>22</v>
      </c>
      <c r="N114" s="22" t="s">
        <v>18383</v>
      </c>
      <c r="O114" s="22"/>
      <c r="P114" s="46" t="s">
        <v>685</v>
      </c>
      <c r="Q114" s="40" t="s">
        <v>627</v>
      </c>
      <c r="R114" s="41">
        <v>45757</v>
      </c>
      <c r="S114" s="22">
        <f t="shared" si="6"/>
        <v>22</v>
      </c>
      <c r="T114" s="41">
        <v>45776</v>
      </c>
      <c r="U114" s="41" t="str">
        <f t="shared" si="10"/>
        <v>Upload in customer box</v>
      </c>
      <c r="V114" s="44" t="s">
        <v>571</v>
      </c>
      <c r="W114" s="44" t="s">
        <v>571</v>
      </c>
      <c r="X114" s="46" t="s">
        <v>571</v>
      </c>
      <c r="Y114" s="46">
        <v>22</v>
      </c>
      <c r="Z114" s="44" t="s">
        <v>571</v>
      </c>
      <c r="AA114" s="41"/>
      <c r="AB114" s="22"/>
      <c r="AC114" s="22"/>
      <c r="AD114" s="41">
        <v>46203</v>
      </c>
      <c r="AE114" s="22" t="s">
        <v>19298</v>
      </c>
      <c r="AF114" s="22">
        <v>22</v>
      </c>
      <c r="AG114" s="162">
        <f t="shared" si="7"/>
        <v>0</v>
      </c>
      <c r="AH114" s="48">
        <f t="shared" si="8"/>
        <v>0</v>
      </c>
      <c r="AI114" s="48">
        <f t="shared" si="9"/>
        <v>0</v>
      </c>
      <c r="AJ114" s="40">
        <f t="shared" si="11"/>
        <v>45778</v>
      </c>
      <c r="AK114" s="40"/>
      <c r="AL114" s="40"/>
      <c r="AM114" s="146"/>
      <c r="AQ114" s="184"/>
    </row>
    <row r="115" spans="1:43" s="163" customFormat="1" ht="17.399999999999999">
      <c r="A115" s="157" t="s">
        <v>18384</v>
      </c>
      <c r="B115" s="157" t="s">
        <v>18343</v>
      </c>
      <c r="C115" s="158">
        <v>45733</v>
      </c>
      <c r="D115" s="158">
        <v>45719</v>
      </c>
      <c r="E115" s="157" t="s">
        <v>18385</v>
      </c>
      <c r="F115" s="157" t="s">
        <v>33</v>
      </c>
      <c r="G115" s="157" t="s">
        <v>18386</v>
      </c>
      <c r="H115" s="157" t="s">
        <v>3739</v>
      </c>
      <c r="I115" s="182" t="s">
        <v>68</v>
      </c>
      <c r="J115" s="183" t="s">
        <v>69</v>
      </c>
      <c r="K115" s="157" t="s">
        <v>799</v>
      </c>
      <c r="L115" s="157" t="s">
        <v>71</v>
      </c>
      <c r="M115" s="157">
        <v>5000</v>
      </c>
      <c r="N115" s="157" t="s">
        <v>18387</v>
      </c>
      <c r="O115" s="157"/>
      <c r="P115" s="159" t="s">
        <v>19055</v>
      </c>
      <c r="Q115" s="160" t="s">
        <v>627</v>
      </c>
      <c r="R115" s="161">
        <v>45758</v>
      </c>
      <c r="S115" s="157">
        <f t="shared" si="6"/>
        <v>5000</v>
      </c>
      <c r="T115" s="161">
        <v>45776</v>
      </c>
      <c r="U115" s="41" t="str">
        <f t="shared" si="10"/>
        <v>Upload in customer box</v>
      </c>
      <c r="V115" s="186">
        <v>45765</v>
      </c>
      <c r="W115" s="186">
        <v>45776</v>
      </c>
      <c r="X115" s="187" t="s">
        <v>18415</v>
      </c>
      <c r="Y115" s="187">
        <v>5000</v>
      </c>
      <c r="Z115" s="187" t="s">
        <v>18425</v>
      </c>
      <c r="AA115" s="161"/>
      <c r="AB115" s="157"/>
      <c r="AC115" s="157"/>
      <c r="AD115" s="161">
        <v>45945</v>
      </c>
      <c r="AE115" s="157" t="s">
        <v>18868</v>
      </c>
      <c r="AF115" s="157">
        <v>5000</v>
      </c>
      <c r="AG115" s="162">
        <f t="shared" si="7"/>
        <v>0</v>
      </c>
      <c r="AH115" s="162">
        <f t="shared" si="8"/>
        <v>0</v>
      </c>
      <c r="AI115" s="162">
        <f t="shared" si="9"/>
        <v>0</v>
      </c>
      <c r="AJ115" s="160">
        <f t="shared" si="11"/>
        <v>45779</v>
      </c>
      <c r="AK115" s="206">
        <v>45818</v>
      </c>
      <c r="AL115" s="160"/>
      <c r="AM115" s="157"/>
      <c r="AN115" s="157"/>
      <c r="AO115" s="157"/>
      <c r="AP115" s="157"/>
      <c r="AQ115" s="184"/>
    </row>
    <row r="116" spans="1:43" s="163" customFormat="1" ht="17.399999999999999">
      <c r="A116" s="157" t="s">
        <v>18392</v>
      </c>
      <c r="B116" s="157" t="s">
        <v>70</v>
      </c>
      <c r="C116" s="158" t="s">
        <v>18393</v>
      </c>
      <c r="D116" s="158" t="s">
        <v>18142</v>
      </c>
      <c r="E116" s="157" t="s">
        <v>18142</v>
      </c>
      <c r="F116" s="157" t="s">
        <v>33</v>
      </c>
      <c r="G116" s="157" t="s">
        <v>33</v>
      </c>
      <c r="H116" s="157" t="s">
        <v>3427</v>
      </c>
      <c r="I116" s="182" t="s">
        <v>68</v>
      </c>
      <c r="J116" s="183" t="s">
        <v>69</v>
      </c>
      <c r="K116" s="157" t="s">
        <v>70</v>
      </c>
      <c r="L116" s="157" t="s">
        <v>71</v>
      </c>
      <c r="M116" s="157">
        <v>437.5</v>
      </c>
      <c r="N116" s="157" t="s">
        <v>18394</v>
      </c>
      <c r="O116" s="157"/>
      <c r="P116" s="159" t="s">
        <v>19055</v>
      </c>
      <c r="Q116" s="160" t="s">
        <v>627</v>
      </c>
      <c r="R116" s="161">
        <v>45768</v>
      </c>
      <c r="S116" s="157">
        <f t="shared" si="6"/>
        <v>437.5</v>
      </c>
      <c r="T116" s="161">
        <v>45776</v>
      </c>
      <c r="U116" s="41" t="str">
        <f t="shared" si="10"/>
        <v>Upload in customer box</v>
      </c>
      <c r="V116" s="164" t="s">
        <v>571</v>
      </c>
      <c r="W116" s="164" t="s">
        <v>571</v>
      </c>
      <c r="X116" s="164" t="s">
        <v>571</v>
      </c>
      <c r="Y116" s="159">
        <v>437.5</v>
      </c>
      <c r="Z116" s="164" t="s">
        <v>571</v>
      </c>
      <c r="AA116" s="161"/>
      <c r="AB116" s="157"/>
      <c r="AC116" s="157"/>
      <c r="AD116" s="161">
        <v>45945</v>
      </c>
      <c r="AE116" s="157" t="s">
        <v>18868</v>
      </c>
      <c r="AF116" s="157">
        <v>437.5</v>
      </c>
      <c r="AG116" s="162">
        <f t="shared" si="7"/>
        <v>0</v>
      </c>
      <c r="AH116" s="162">
        <f t="shared" si="8"/>
        <v>0</v>
      </c>
      <c r="AI116" s="162">
        <f t="shared" si="9"/>
        <v>0</v>
      </c>
      <c r="AJ116" s="160">
        <f t="shared" si="11"/>
        <v>45789</v>
      </c>
      <c r="AK116" s="206">
        <v>45812</v>
      </c>
      <c r="AL116" s="160"/>
      <c r="AM116" s="157"/>
      <c r="AN116" s="157"/>
      <c r="AO116" s="157"/>
      <c r="AP116" s="157"/>
      <c r="AQ116" s="184"/>
    </row>
    <row r="117" spans="1:43" ht="17.399999999999999">
      <c r="A117" s="22" t="s">
        <v>18400</v>
      </c>
      <c r="B117" s="22" t="s">
        <v>18401</v>
      </c>
      <c r="C117" s="56">
        <v>45598</v>
      </c>
      <c r="D117" s="56">
        <v>45510</v>
      </c>
      <c r="E117" s="22" t="s">
        <v>18402</v>
      </c>
      <c r="F117" s="22" t="s">
        <v>33</v>
      </c>
      <c r="G117" s="22" t="s">
        <v>33</v>
      </c>
      <c r="H117" s="22" t="s">
        <v>12356</v>
      </c>
      <c r="I117" s="49" t="s">
        <v>174</v>
      </c>
      <c r="J117" s="50" t="s">
        <v>12357</v>
      </c>
      <c r="K117" s="22" t="s">
        <v>51</v>
      </c>
      <c r="L117" s="22" t="s">
        <v>60</v>
      </c>
      <c r="M117" s="22">
        <v>1</v>
      </c>
      <c r="N117" s="22" t="s">
        <v>18532</v>
      </c>
      <c r="O117" s="22"/>
      <c r="P117" s="46" t="s">
        <v>685</v>
      </c>
      <c r="Q117" s="40" t="s">
        <v>627</v>
      </c>
      <c r="R117" s="41">
        <v>45770</v>
      </c>
      <c r="S117" s="22">
        <f t="shared" si="6"/>
        <v>1</v>
      </c>
      <c r="T117" s="41">
        <v>45820</v>
      </c>
      <c r="U117" s="41" t="str">
        <f t="shared" si="10"/>
        <v>Upload in customer box</v>
      </c>
      <c r="V117" s="44">
        <v>45820</v>
      </c>
      <c r="W117" s="44">
        <v>45832</v>
      </c>
      <c r="X117" s="44" t="s">
        <v>18524</v>
      </c>
      <c r="Y117" s="46">
        <v>1</v>
      </c>
      <c r="Z117" s="46" t="s">
        <v>18528</v>
      </c>
      <c r="AA117" s="41">
        <v>46245</v>
      </c>
      <c r="AB117" s="153" t="s">
        <v>19405</v>
      </c>
      <c r="AC117" s="22">
        <v>1</v>
      </c>
      <c r="AD117" s="41"/>
      <c r="AE117" s="22"/>
      <c r="AF117" s="22"/>
      <c r="AG117" s="162">
        <f t="shared" si="7"/>
        <v>0</v>
      </c>
      <c r="AH117" s="48">
        <f t="shared" si="8"/>
        <v>0</v>
      </c>
      <c r="AI117" s="48">
        <f t="shared" si="9"/>
        <v>0</v>
      </c>
      <c r="AJ117" s="40">
        <f t="shared" si="11"/>
        <v>45791</v>
      </c>
      <c r="AK117" s="40">
        <v>46225</v>
      </c>
      <c r="AL117" s="40"/>
      <c r="AM117" s="22"/>
      <c r="AQ117" s="184"/>
    </row>
    <row r="118" spans="1:43" ht="17.399999999999999">
      <c r="A118" s="22" t="s">
        <v>18403</v>
      </c>
      <c r="B118" s="22" t="s">
        <v>18404</v>
      </c>
      <c r="C118" s="56">
        <v>45530</v>
      </c>
      <c r="D118" s="56">
        <v>45044</v>
      </c>
      <c r="E118" s="22" t="s">
        <v>274</v>
      </c>
      <c r="F118" s="22" t="s">
        <v>33</v>
      </c>
      <c r="G118" s="22" t="s">
        <v>33</v>
      </c>
      <c r="H118" s="22" t="s">
        <v>12270</v>
      </c>
      <c r="I118" s="49" t="s">
        <v>174</v>
      </c>
      <c r="J118" s="50" t="s">
        <v>12271</v>
      </c>
      <c r="K118" s="22" t="s">
        <v>51</v>
      </c>
      <c r="L118" s="22" t="s">
        <v>60</v>
      </c>
      <c r="M118" s="22">
        <v>1</v>
      </c>
      <c r="N118" s="22" t="s">
        <v>18533</v>
      </c>
      <c r="O118" s="22"/>
      <c r="P118" s="46" t="s">
        <v>685</v>
      </c>
      <c r="Q118" s="40" t="s">
        <v>627</v>
      </c>
      <c r="R118" s="41">
        <v>45770</v>
      </c>
      <c r="S118" s="22">
        <f t="shared" si="6"/>
        <v>1</v>
      </c>
      <c r="T118" s="41">
        <v>45820</v>
      </c>
      <c r="U118" s="41" t="str">
        <f t="shared" si="10"/>
        <v>Upload in customer box</v>
      </c>
      <c r="V118" s="44">
        <v>45820</v>
      </c>
      <c r="W118" s="44">
        <v>45832</v>
      </c>
      <c r="X118" s="44" t="s">
        <v>18524</v>
      </c>
      <c r="Y118" s="46">
        <v>1</v>
      </c>
      <c r="Z118" s="46" t="s">
        <v>18528</v>
      </c>
      <c r="AA118" s="41">
        <v>46245</v>
      </c>
      <c r="AB118" s="153" t="s">
        <v>19405</v>
      </c>
      <c r="AC118" s="22">
        <v>1</v>
      </c>
      <c r="AD118" s="41"/>
      <c r="AE118" s="22"/>
      <c r="AF118" s="22"/>
      <c r="AG118" s="162">
        <f t="shared" si="7"/>
        <v>0</v>
      </c>
      <c r="AH118" s="48">
        <f t="shared" si="8"/>
        <v>0</v>
      </c>
      <c r="AI118" s="48">
        <f t="shared" si="9"/>
        <v>0</v>
      </c>
      <c r="AJ118" s="40">
        <f t="shared" si="11"/>
        <v>45791</v>
      </c>
      <c r="AK118" s="40">
        <v>46225</v>
      </c>
      <c r="AL118" s="40"/>
      <c r="AM118" s="22"/>
      <c r="AQ118" s="184"/>
    </row>
    <row r="119" spans="1:43" s="150" customFormat="1" ht="17.399999999999999">
      <c r="A119" s="136" t="s">
        <v>18405</v>
      </c>
      <c r="B119" s="136" t="s">
        <v>287</v>
      </c>
      <c r="C119" s="139" t="s">
        <v>18410</v>
      </c>
      <c r="D119" s="139" t="s">
        <v>338</v>
      </c>
      <c r="E119" s="136" t="s">
        <v>339</v>
      </c>
      <c r="F119" s="136" t="s">
        <v>33</v>
      </c>
      <c r="G119" s="136" t="s">
        <v>33</v>
      </c>
      <c r="H119" s="154" t="s">
        <v>233</v>
      </c>
      <c r="I119" s="140" t="s">
        <v>174</v>
      </c>
      <c r="J119" s="141" t="s">
        <v>234</v>
      </c>
      <c r="K119" s="136" t="s">
        <v>51</v>
      </c>
      <c r="L119" s="136" t="s">
        <v>60</v>
      </c>
      <c r="M119" s="136">
        <v>8</v>
      </c>
      <c r="N119" s="136" t="s">
        <v>18411</v>
      </c>
      <c r="O119" s="136"/>
      <c r="P119" s="138" t="s">
        <v>685</v>
      </c>
      <c r="Q119" s="142" t="s">
        <v>627</v>
      </c>
      <c r="R119" s="143">
        <v>45770</v>
      </c>
      <c r="S119" s="136">
        <f t="shared" si="6"/>
        <v>8</v>
      </c>
      <c r="T119" s="143">
        <v>45820</v>
      </c>
      <c r="U119" s="41" t="str">
        <f t="shared" si="10"/>
        <v>Upload in customer box</v>
      </c>
      <c r="V119" s="137">
        <v>45820</v>
      </c>
      <c r="W119" s="137">
        <v>45832</v>
      </c>
      <c r="X119" s="138" t="s">
        <v>18524</v>
      </c>
      <c r="Y119" s="138">
        <v>8</v>
      </c>
      <c r="Z119" s="138" t="s">
        <v>18528</v>
      </c>
      <c r="AA119" s="41">
        <v>46245</v>
      </c>
      <c r="AB119" s="153" t="s">
        <v>19405</v>
      </c>
      <c r="AC119" s="22">
        <v>3</v>
      </c>
      <c r="AD119" s="143"/>
      <c r="AE119" s="136"/>
      <c r="AF119" s="136"/>
      <c r="AG119" s="162">
        <f t="shared" si="7"/>
        <v>0</v>
      </c>
      <c r="AH119" s="48">
        <f t="shared" si="8"/>
        <v>5</v>
      </c>
      <c r="AI119" s="48">
        <f t="shared" si="9"/>
        <v>5</v>
      </c>
      <c r="AJ119" s="142">
        <f t="shared" si="11"/>
        <v>45791</v>
      </c>
      <c r="AK119" s="142">
        <v>46225</v>
      </c>
      <c r="AL119" s="142"/>
      <c r="AM119" s="136"/>
      <c r="AN119" s="136"/>
      <c r="AO119" s="136"/>
      <c r="AP119" s="136"/>
      <c r="AQ119" s="185"/>
    </row>
    <row r="120" spans="1:43" s="150" customFormat="1" ht="17.399999999999999">
      <c r="A120" s="136" t="s">
        <v>18406</v>
      </c>
      <c r="B120" s="136" t="s">
        <v>381</v>
      </c>
      <c r="C120" s="139" t="s">
        <v>18407</v>
      </c>
      <c r="D120" s="139" t="s">
        <v>33</v>
      </c>
      <c r="E120" s="136" t="s">
        <v>33</v>
      </c>
      <c r="F120" s="136" t="s">
        <v>33</v>
      </c>
      <c r="G120" s="136" t="s">
        <v>18408</v>
      </c>
      <c r="H120" s="136" t="s">
        <v>389</v>
      </c>
      <c r="I120" s="140" t="s">
        <v>379</v>
      </c>
      <c r="J120" s="141" t="s">
        <v>422</v>
      </c>
      <c r="K120" s="136" t="s">
        <v>376</v>
      </c>
      <c r="L120" s="136" t="s">
        <v>60</v>
      </c>
      <c r="M120" s="136">
        <v>2</v>
      </c>
      <c r="N120" s="136" t="s">
        <v>18409</v>
      </c>
      <c r="O120" s="136"/>
      <c r="P120" s="138" t="s">
        <v>18133</v>
      </c>
      <c r="Q120" s="142" t="s">
        <v>627</v>
      </c>
      <c r="R120" s="143">
        <v>45770</v>
      </c>
      <c r="S120" s="136">
        <f t="shared" si="6"/>
        <v>2</v>
      </c>
      <c r="T120" s="143">
        <v>45786</v>
      </c>
      <c r="U120" s="41" t="str">
        <f t="shared" si="10"/>
        <v/>
      </c>
      <c r="V120" s="137">
        <v>45777</v>
      </c>
      <c r="W120" s="137">
        <v>45785</v>
      </c>
      <c r="X120" s="138" t="s">
        <v>18443</v>
      </c>
      <c r="Y120" s="138">
        <v>2</v>
      </c>
      <c r="Z120" s="138" t="s">
        <v>18444</v>
      </c>
      <c r="AA120" s="143"/>
      <c r="AB120" s="136"/>
      <c r="AC120" s="136"/>
      <c r="AD120" s="143"/>
      <c r="AE120" s="136"/>
      <c r="AF120" s="136"/>
      <c r="AG120" s="162">
        <f t="shared" si="7"/>
        <v>0</v>
      </c>
      <c r="AH120" s="48">
        <f t="shared" si="8"/>
        <v>2</v>
      </c>
      <c r="AI120" s="48">
        <f t="shared" si="9"/>
        <v>2</v>
      </c>
      <c r="AJ120" s="142">
        <f t="shared" si="11"/>
        <v>45791</v>
      </c>
      <c r="AK120" s="142"/>
      <c r="AL120" s="142"/>
      <c r="AM120" s="136"/>
      <c r="AN120" s="136"/>
      <c r="AO120" s="136"/>
      <c r="AP120" s="136"/>
      <c r="AQ120" s="185"/>
    </row>
    <row r="121" spans="1:43" s="163" customFormat="1" ht="17.399999999999999">
      <c r="A121" s="157" t="s">
        <v>18416</v>
      </c>
      <c r="B121" s="157" t="s">
        <v>50</v>
      </c>
      <c r="C121" s="158">
        <v>45768</v>
      </c>
      <c r="D121" s="158">
        <v>45757</v>
      </c>
      <c r="E121" s="157" t="s">
        <v>18417</v>
      </c>
      <c r="F121" s="157">
        <v>700</v>
      </c>
      <c r="G121" s="157" t="s">
        <v>726</v>
      </c>
      <c r="H121" s="157" t="s">
        <v>82</v>
      </c>
      <c r="I121" s="182" t="s">
        <v>83</v>
      </c>
      <c r="J121" s="183" t="s">
        <v>84</v>
      </c>
      <c r="K121" s="157" t="s">
        <v>18329</v>
      </c>
      <c r="L121" s="157" t="s">
        <v>60</v>
      </c>
      <c r="M121" s="157">
        <v>4</v>
      </c>
      <c r="N121" s="157" t="s">
        <v>18418</v>
      </c>
      <c r="O121" s="157"/>
      <c r="P121" s="159" t="s">
        <v>19054</v>
      </c>
      <c r="Q121" s="160" t="s">
        <v>728</v>
      </c>
      <c r="R121" s="161">
        <v>45775</v>
      </c>
      <c r="S121" s="157">
        <f t="shared" si="6"/>
        <v>4</v>
      </c>
      <c r="T121" s="161">
        <v>45783</v>
      </c>
      <c r="U121" s="41" t="str">
        <f t="shared" si="10"/>
        <v/>
      </c>
      <c r="V121" s="164">
        <v>45777</v>
      </c>
      <c r="W121" s="164">
        <v>45783</v>
      </c>
      <c r="X121" s="164" t="s">
        <v>18437</v>
      </c>
      <c r="Y121" s="159">
        <v>4</v>
      </c>
      <c r="Z121" s="159" t="s">
        <v>18442</v>
      </c>
      <c r="AA121" s="161"/>
      <c r="AB121" s="157"/>
      <c r="AC121" s="157"/>
      <c r="AD121" s="161">
        <v>46100</v>
      </c>
      <c r="AE121" s="157" t="s">
        <v>19145</v>
      </c>
      <c r="AF121" s="157">
        <v>4</v>
      </c>
      <c r="AG121" s="162">
        <f t="shared" si="7"/>
        <v>0</v>
      </c>
      <c r="AH121" s="162">
        <f t="shared" si="8"/>
        <v>0</v>
      </c>
      <c r="AI121" s="162">
        <f t="shared" si="9"/>
        <v>0</v>
      </c>
      <c r="AJ121" s="160">
        <f t="shared" si="11"/>
        <v>45796</v>
      </c>
      <c r="AK121" s="160"/>
      <c r="AL121" s="160"/>
      <c r="AM121" s="166"/>
      <c r="AN121" s="157"/>
      <c r="AO121" s="157"/>
      <c r="AP121" s="157"/>
      <c r="AQ121" s="184"/>
    </row>
    <row r="122" spans="1:43" s="163" customFormat="1" ht="17.399999999999999">
      <c r="A122" s="157" t="s">
        <v>18426</v>
      </c>
      <c r="B122" s="157" t="s">
        <v>18427</v>
      </c>
      <c r="C122" s="158">
        <v>45756</v>
      </c>
      <c r="D122" s="158">
        <v>45712</v>
      </c>
      <c r="E122" s="157" t="s">
        <v>18428</v>
      </c>
      <c r="F122" s="157" t="s">
        <v>33</v>
      </c>
      <c r="G122" s="157" t="s">
        <v>33</v>
      </c>
      <c r="H122" s="157" t="s">
        <v>629</v>
      </c>
      <c r="I122" s="182" t="s">
        <v>630</v>
      </c>
      <c r="J122" s="183" t="s">
        <v>631</v>
      </c>
      <c r="K122" s="157" t="s">
        <v>18429</v>
      </c>
      <c r="L122" s="157" t="s">
        <v>60</v>
      </c>
      <c r="M122" s="157">
        <v>1</v>
      </c>
      <c r="N122" s="157" t="s">
        <v>18436</v>
      </c>
      <c r="O122" s="157"/>
      <c r="P122" s="159" t="s">
        <v>19055</v>
      </c>
      <c r="Q122" s="160" t="s">
        <v>627</v>
      </c>
      <c r="R122" s="161">
        <v>45776</v>
      </c>
      <c r="S122" s="157">
        <f t="shared" si="6"/>
        <v>1</v>
      </c>
      <c r="T122" s="161">
        <v>45792</v>
      </c>
      <c r="U122" s="41" t="str">
        <f t="shared" si="10"/>
        <v>Upload in customer box</v>
      </c>
      <c r="V122" s="164">
        <v>45784</v>
      </c>
      <c r="W122" s="164">
        <v>45790</v>
      </c>
      <c r="X122" s="164" t="s">
        <v>18456</v>
      </c>
      <c r="Y122" s="159">
        <v>1</v>
      </c>
      <c r="Z122" s="159" t="s">
        <v>18457</v>
      </c>
      <c r="AA122" s="161"/>
      <c r="AB122" s="157"/>
      <c r="AC122" s="157"/>
      <c r="AD122" s="161">
        <v>45945</v>
      </c>
      <c r="AE122" s="157" t="s">
        <v>18868</v>
      </c>
      <c r="AF122" s="157">
        <v>1</v>
      </c>
      <c r="AG122" s="162">
        <f t="shared" si="7"/>
        <v>0</v>
      </c>
      <c r="AH122" s="162">
        <f t="shared" si="8"/>
        <v>0</v>
      </c>
      <c r="AI122" s="162">
        <f t="shared" si="9"/>
        <v>0</v>
      </c>
      <c r="AJ122" s="160">
        <f t="shared" si="11"/>
        <v>45797</v>
      </c>
      <c r="AK122" s="206">
        <v>45818</v>
      </c>
      <c r="AL122" s="160"/>
      <c r="AM122" s="166"/>
      <c r="AN122" s="157"/>
      <c r="AO122" s="157"/>
      <c r="AP122" s="157"/>
      <c r="AQ122" s="184"/>
    </row>
    <row r="123" spans="1:43" ht="17.399999999999999">
      <c r="A123" s="22" t="s">
        <v>18430</v>
      </c>
      <c r="B123" s="22" t="s">
        <v>18431</v>
      </c>
      <c r="C123" s="56">
        <v>45749</v>
      </c>
      <c r="D123" s="56">
        <v>45670</v>
      </c>
      <c r="E123" s="22" t="s">
        <v>18432</v>
      </c>
      <c r="F123" s="22" t="s">
        <v>33</v>
      </c>
      <c r="G123" s="22" t="s">
        <v>33</v>
      </c>
      <c r="H123" s="22" t="s">
        <v>703</v>
      </c>
      <c r="I123" s="49" t="s">
        <v>704</v>
      </c>
      <c r="J123" s="50" t="s">
        <v>705</v>
      </c>
      <c r="K123" s="22" t="s">
        <v>18433</v>
      </c>
      <c r="L123" s="22" t="s">
        <v>60</v>
      </c>
      <c r="M123" s="22">
        <v>1</v>
      </c>
      <c r="N123" s="22" t="s">
        <v>740</v>
      </c>
      <c r="O123" s="22"/>
      <c r="P123" s="46" t="s">
        <v>707</v>
      </c>
      <c r="Q123" s="40" t="s">
        <v>627</v>
      </c>
      <c r="R123" s="41">
        <v>45776</v>
      </c>
      <c r="S123" s="22">
        <f t="shared" si="6"/>
        <v>1</v>
      </c>
      <c r="T123" s="41">
        <v>45805</v>
      </c>
      <c r="U123" s="41" t="str">
        <f t="shared" si="10"/>
        <v/>
      </c>
      <c r="V123" s="44" t="s">
        <v>571</v>
      </c>
      <c r="W123" s="44" t="s">
        <v>571</v>
      </c>
      <c r="X123" s="44" t="s">
        <v>571</v>
      </c>
      <c r="Y123" s="46">
        <v>1</v>
      </c>
      <c r="Z123" s="46" t="s">
        <v>571</v>
      </c>
      <c r="AA123" s="41">
        <v>45834</v>
      </c>
      <c r="AB123" s="22" t="s">
        <v>18538</v>
      </c>
      <c r="AC123" s="22">
        <v>1</v>
      </c>
      <c r="AD123" s="41"/>
      <c r="AE123" s="22"/>
      <c r="AF123" s="22"/>
      <c r="AG123" s="162">
        <f t="shared" si="7"/>
        <v>0</v>
      </c>
      <c r="AH123" s="48">
        <f t="shared" si="8"/>
        <v>0</v>
      </c>
      <c r="AI123" s="48">
        <f t="shared" si="9"/>
        <v>0</v>
      </c>
      <c r="AJ123" s="40">
        <f t="shared" si="11"/>
        <v>45797</v>
      </c>
      <c r="AK123" s="40"/>
      <c r="AL123" s="40"/>
      <c r="AM123" s="146"/>
      <c r="AQ123" s="184"/>
    </row>
    <row r="124" spans="1:43" ht="17.399999999999999">
      <c r="A124" s="22" t="s">
        <v>18434</v>
      </c>
      <c r="B124" s="22" t="s">
        <v>359</v>
      </c>
      <c r="C124" s="56" t="s">
        <v>18393</v>
      </c>
      <c r="D124" s="56" t="s">
        <v>33</v>
      </c>
      <c r="E124" s="22" t="s">
        <v>33</v>
      </c>
      <c r="F124" s="22" t="s">
        <v>33</v>
      </c>
      <c r="G124" s="22" t="s">
        <v>67</v>
      </c>
      <c r="H124" s="22" t="s">
        <v>19291</v>
      </c>
      <c r="I124" s="49" t="s">
        <v>994</v>
      </c>
      <c r="J124" s="50" t="s">
        <v>1484</v>
      </c>
      <c r="K124" s="22" t="s">
        <v>980</v>
      </c>
      <c r="L124" s="22" t="s">
        <v>60</v>
      </c>
      <c r="M124" s="22">
        <v>1</v>
      </c>
      <c r="N124" s="22" t="s">
        <v>18247</v>
      </c>
      <c r="O124" s="22"/>
      <c r="P124" s="46" t="s">
        <v>681</v>
      </c>
      <c r="Q124" s="40" t="s">
        <v>627</v>
      </c>
      <c r="R124" s="41">
        <v>45776</v>
      </c>
      <c r="S124" s="22">
        <f t="shared" si="6"/>
        <v>1</v>
      </c>
      <c r="T124" s="41">
        <v>45868</v>
      </c>
      <c r="U124" s="41" t="str">
        <f t="shared" si="10"/>
        <v/>
      </c>
      <c r="V124" s="44">
        <v>45838</v>
      </c>
      <c r="W124" s="44">
        <v>45841</v>
      </c>
      <c r="X124" s="44" t="s">
        <v>18541</v>
      </c>
      <c r="Y124" s="46">
        <v>1</v>
      </c>
      <c r="Z124" s="46" t="s">
        <v>18551</v>
      </c>
      <c r="AA124" s="41"/>
      <c r="AB124" s="22"/>
      <c r="AC124" s="22"/>
      <c r="AD124" s="41">
        <v>46203</v>
      </c>
      <c r="AE124" s="22" t="s">
        <v>19290</v>
      </c>
      <c r="AF124" s="22">
        <v>1</v>
      </c>
      <c r="AG124" s="162">
        <f t="shared" si="7"/>
        <v>0</v>
      </c>
      <c r="AH124" s="48">
        <f t="shared" si="8"/>
        <v>0</v>
      </c>
      <c r="AI124" s="48">
        <f t="shared" si="9"/>
        <v>0</v>
      </c>
      <c r="AJ124" s="40">
        <f t="shared" si="11"/>
        <v>45797</v>
      </c>
      <c r="AK124" s="40"/>
      <c r="AL124" s="40"/>
      <c r="AM124" s="146"/>
      <c r="AQ124" s="184"/>
    </row>
    <row r="125" spans="1:43" ht="17.399999999999999">
      <c r="A125" s="22" t="s">
        <v>18438</v>
      </c>
      <c r="B125" s="22" t="s">
        <v>346</v>
      </c>
      <c r="C125" s="56" t="s">
        <v>18439</v>
      </c>
      <c r="D125" s="56" t="s">
        <v>33</v>
      </c>
      <c r="E125" s="22" t="s">
        <v>691</v>
      </c>
      <c r="F125" s="22" t="s">
        <v>33</v>
      </c>
      <c r="G125" s="22" t="s">
        <v>18440</v>
      </c>
      <c r="H125" s="22" t="s">
        <v>354</v>
      </c>
      <c r="I125" s="49" t="s">
        <v>355</v>
      </c>
      <c r="J125" s="50" t="s">
        <v>356</v>
      </c>
      <c r="K125" s="22" t="s">
        <v>346</v>
      </c>
      <c r="L125" s="22" t="s">
        <v>52</v>
      </c>
      <c r="M125" s="22">
        <v>92</v>
      </c>
      <c r="N125" s="22" t="s">
        <v>18441</v>
      </c>
      <c r="O125" s="22"/>
      <c r="P125" s="46" t="s">
        <v>18088</v>
      </c>
      <c r="Q125" s="40" t="s">
        <v>627</v>
      </c>
      <c r="R125" s="41">
        <v>45782</v>
      </c>
      <c r="S125" s="22">
        <f t="shared" si="6"/>
        <v>92</v>
      </c>
      <c r="T125" s="41">
        <v>45798</v>
      </c>
      <c r="U125" s="41" t="str">
        <f t="shared" si="10"/>
        <v/>
      </c>
      <c r="V125" s="44">
        <v>45792</v>
      </c>
      <c r="W125" s="44">
        <v>45797</v>
      </c>
      <c r="X125" s="44" t="s">
        <v>18466</v>
      </c>
      <c r="Y125" s="46">
        <v>92</v>
      </c>
      <c r="Z125" s="46" t="s">
        <v>18468</v>
      </c>
      <c r="AA125" s="41"/>
      <c r="AB125" s="22"/>
      <c r="AC125" s="22"/>
      <c r="AD125" s="41"/>
      <c r="AE125" s="22"/>
      <c r="AF125" s="22"/>
      <c r="AG125" s="162">
        <f t="shared" si="7"/>
        <v>0</v>
      </c>
      <c r="AH125" s="48">
        <f t="shared" si="8"/>
        <v>92</v>
      </c>
      <c r="AI125" s="48">
        <f t="shared" si="9"/>
        <v>92</v>
      </c>
      <c r="AJ125" s="40">
        <f t="shared" si="11"/>
        <v>45803</v>
      </c>
      <c r="AK125" s="40"/>
      <c r="AL125" s="40"/>
      <c r="AM125" s="146"/>
      <c r="AQ125" s="184"/>
    </row>
    <row r="126" spans="1:43" ht="17.399999999999999">
      <c r="A126" s="22" t="s">
        <v>18445</v>
      </c>
      <c r="B126" s="22" t="s">
        <v>346</v>
      </c>
      <c r="C126" s="56" t="s">
        <v>18446</v>
      </c>
      <c r="D126" s="56" t="s">
        <v>33</v>
      </c>
      <c r="E126" s="22" t="s">
        <v>33</v>
      </c>
      <c r="F126" s="22" t="s">
        <v>33</v>
      </c>
      <c r="G126" s="22" t="s">
        <v>18447</v>
      </c>
      <c r="H126" s="22" t="s">
        <v>351</v>
      </c>
      <c r="I126" s="49" t="s">
        <v>344</v>
      </c>
      <c r="J126" s="50" t="s">
        <v>353</v>
      </c>
      <c r="K126" s="22" t="s">
        <v>346</v>
      </c>
      <c r="L126" s="22" t="s">
        <v>60</v>
      </c>
      <c r="M126" s="22">
        <v>25</v>
      </c>
      <c r="N126" s="22" t="s">
        <v>18448</v>
      </c>
      <c r="O126" s="22"/>
      <c r="P126" s="46" t="s">
        <v>18088</v>
      </c>
      <c r="Q126" s="40" t="s">
        <v>627</v>
      </c>
      <c r="R126" s="41">
        <v>45784</v>
      </c>
      <c r="S126" s="22">
        <f t="shared" si="6"/>
        <v>25</v>
      </c>
      <c r="T126" s="41">
        <v>45798</v>
      </c>
      <c r="U126" s="41" t="str">
        <f t="shared" si="10"/>
        <v/>
      </c>
      <c r="V126" s="44">
        <v>45792</v>
      </c>
      <c r="W126" s="44">
        <v>45797</v>
      </c>
      <c r="X126" s="44" t="s">
        <v>18466</v>
      </c>
      <c r="Y126" s="46">
        <v>25</v>
      </c>
      <c r="Z126" s="46" t="s">
        <v>18468</v>
      </c>
      <c r="AA126" s="41"/>
      <c r="AB126" s="22"/>
      <c r="AC126" s="22"/>
      <c r="AD126" s="41"/>
      <c r="AE126" s="22"/>
      <c r="AF126" s="22"/>
      <c r="AG126" s="162">
        <f t="shared" si="7"/>
        <v>0</v>
      </c>
      <c r="AH126" s="48">
        <f t="shared" si="8"/>
        <v>25</v>
      </c>
      <c r="AI126" s="48">
        <f t="shared" si="9"/>
        <v>25</v>
      </c>
      <c r="AJ126" s="40">
        <f t="shared" si="11"/>
        <v>45805</v>
      </c>
      <c r="AK126" s="40"/>
      <c r="AL126" s="40"/>
      <c r="AM126" s="146"/>
      <c r="AQ126" s="184"/>
    </row>
    <row r="127" spans="1:43" ht="17.399999999999999">
      <c r="A127" s="22" t="s">
        <v>18449</v>
      </c>
      <c r="B127" s="22" t="s">
        <v>346</v>
      </c>
      <c r="C127" s="56" t="s">
        <v>18450</v>
      </c>
      <c r="D127" s="56" t="s">
        <v>33</v>
      </c>
      <c r="E127" s="22" t="s">
        <v>33</v>
      </c>
      <c r="F127" s="22"/>
      <c r="G127" s="22" t="s">
        <v>33</v>
      </c>
      <c r="H127" s="22" t="s">
        <v>366</v>
      </c>
      <c r="I127" s="49" t="s">
        <v>362</v>
      </c>
      <c r="J127" s="50" t="s">
        <v>367</v>
      </c>
      <c r="K127" s="22" t="s">
        <v>346</v>
      </c>
      <c r="L127" s="22" t="s">
        <v>60</v>
      </c>
      <c r="M127" s="22">
        <v>58</v>
      </c>
      <c r="N127" s="22" t="s">
        <v>18451</v>
      </c>
      <c r="O127" s="22"/>
      <c r="P127" s="46" t="s">
        <v>18088</v>
      </c>
      <c r="Q127" s="40" t="s">
        <v>627</v>
      </c>
      <c r="R127" s="41">
        <v>45786</v>
      </c>
      <c r="S127" s="22">
        <f t="shared" si="6"/>
        <v>58</v>
      </c>
      <c r="T127" s="41">
        <v>45798</v>
      </c>
      <c r="U127" s="41" t="str">
        <f t="shared" si="10"/>
        <v/>
      </c>
      <c r="V127" s="44">
        <v>45792</v>
      </c>
      <c r="W127" s="44">
        <v>45797</v>
      </c>
      <c r="X127" s="44" t="s">
        <v>18466</v>
      </c>
      <c r="Y127" s="46">
        <v>58</v>
      </c>
      <c r="Z127" s="46" t="s">
        <v>18468</v>
      </c>
      <c r="AA127" s="41"/>
      <c r="AB127" s="22"/>
      <c r="AC127" s="22"/>
      <c r="AD127" s="41"/>
      <c r="AE127" s="22"/>
      <c r="AF127" s="22"/>
      <c r="AG127" s="162">
        <f t="shared" si="7"/>
        <v>0</v>
      </c>
      <c r="AH127" s="48">
        <f t="shared" si="8"/>
        <v>58</v>
      </c>
      <c r="AI127" s="48">
        <f t="shared" si="9"/>
        <v>58</v>
      </c>
      <c r="AJ127" s="40">
        <f t="shared" si="11"/>
        <v>45807</v>
      </c>
      <c r="AK127" s="40"/>
      <c r="AL127" s="40"/>
      <c r="AM127" s="146"/>
      <c r="AQ127" s="184"/>
    </row>
    <row r="128" spans="1:43" ht="17.399999999999999">
      <c r="A128" s="22" t="s">
        <v>18452</v>
      </c>
      <c r="B128" s="22" t="s">
        <v>18453</v>
      </c>
      <c r="C128" s="56">
        <v>45765</v>
      </c>
      <c r="D128" s="56">
        <v>45608</v>
      </c>
      <c r="E128" s="22" t="s">
        <v>18454</v>
      </c>
      <c r="F128" s="22" t="s">
        <v>33</v>
      </c>
      <c r="G128" s="22" t="s">
        <v>33</v>
      </c>
      <c r="H128" s="22" t="s">
        <v>5285</v>
      </c>
      <c r="I128" s="49" t="s">
        <v>213</v>
      </c>
      <c r="J128" s="50" t="s">
        <v>5286</v>
      </c>
      <c r="K128" s="22" t="s">
        <v>215</v>
      </c>
      <c r="L128" s="22" t="s">
        <v>60</v>
      </c>
      <c r="M128" s="22">
        <v>115</v>
      </c>
      <c r="N128" s="22" t="s">
        <v>18455</v>
      </c>
      <c r="O128" s="22"/>
      <c r="P128" s="46" t="s">
        <v>685</v>
      </c>
      <c r="Q128" s="40" t="s">
        <v>627</v>
      </c>
      <c r="R128" s="41">
        <v>45786</v>
      </c>
      <c r="S128" s="22">
        <f t="shared" si="6"/>
        <v>115</v>
      </c>
      <c r="T128" s="41">
        <v>45798</v>
      </c>
      <c r="U128" s="41" t="str">
        <f t="shared" si="10"/>
        <v>Upload in customer box</v>
      </c>
      <c r="V128" s="44">
        <v>45792</v>
      </c>
      <c r="W128" s="44">
        <v>45797</v>
      </c>
      <c r="X128" s="44" t="s">
        <v>18467</v>
      </c>
      <c r="Y128" s="46">
        <v>115</v>
      </c>
      <c r="Z128" s="46" t="s">
        <v>18469</v>
      </c>
      <c r="AA128" s="41"/>
      <c r="AB128" s="22"/>
      <c r="AC128" s="22"/>
      <c r="AD128" s="41"/>
      <c r="AE128" s="22"/>
      <c r="AF128" s="22"/>
      <c r="AG128" s="162">
        <f t="shared" si="7"/>
        <v>0</v>
      </c>
      <c r="AH128" s="48">
        <f t="shared" si="8"/>
        <v>115</v>
      </c>
      <c r="AI128" s="48">
        <f t="shared" si="9"/>
        <v>115</v>
      </c>
      <c r="AJ128" s="40">
        <f t="shared" si="11"/>
        <v>45807</v>
      </c>
      <c r="AK128" s="40"/>
      <c r="AL128" s="40"/>
      <c r="AM128" s="146"/>
      <c r="AQ128" s="184"/>
    </row>
    <row r="129" spans="1:43" s="163" customFormat="1" ht="17.399999999999999">
      <c r="A129" s="157" t="s">
        <v>18458</v>
      </c>
      <c r="B129" s="157" t="s">
        <v>18459</v>
      </c>
      <c r="C129" s="158">
        <v>45784</v>
      </c>
      <c r="D129" s="158" t="s">
        <v>18499</v>
      </c>
      <c r="E129" s="157" t="s">
        <v>18500</v>
      </c>
      <c r="F129" s="157" t="s">
        <v>33</v>
      </c>
      <c r="G129" s="157" t="s">
        <v>33</v>
      </c>
      <c r="H129" s="157" t="s">
        <v>3460</v>
      </c>
      <c r="I129" s="182" t="s">
        <v>745</v>
      </c>
      <c r="J129" s="183" t="s">
        <v>3461</v>
      </c>
      <c r="K129" s="157" t="s">
        <v>70</v>
      </c>
      <c r="L129" s="157" t="s">
        <v>60</v>
      </c>
      <c r="M129" s="157">
        <v>3</v>
      </c>
      <c r="N129" s="157" t="s">
        <v>18460</v>
      </c>
      <c r="O129" s="157"/>
      <c r="P129" s="159" t="s">
        <v>19055</v>
      </c>
      <c r="Q129" s="160" t="s">
        <v>627</v>
      </c>
      <c r="R129" s="161">
        <v>45790</v>
      </c>
      <c r="S129" s="157">
        <f t="shared" si="6"/>
        <v>3</v>
      </c>
      <c r="T129" s="161">
        <v>45832</v>
      </c>
      <c r="U129" s="41" t="str">
        <f t="shared" si="10"/>
        <v>Upload in customer box</v>
      </c>
      <c r="V129" s="164">
        <v>45820</v>
      </c>
      <c r="W129" s="164">
        <v>45832</v>
      </c>
      <c r="X129" s="164" t="s">
        <v>18526</v>
      </c>
      <c r="Y129" s="159">
        <v>3</v>
      </c>
      <c r="Z129" s="159" t="s">
        <v>18530</v>
      </c>
      <c r="AA129" s="161">
        <v>45953</v>
      </c>
      <c r="AB129" s="157" t="s">
        <v>18875</v>
      </c>
      <c r="AC129" s="157">
        <v>3</v>
      </c>
      <c r="AD129" s="161"/>
      <c r="AE129" s="157"/>
      <c r="AF129" s="157"/>
      <c r="AG129" s="162">
        <f t="shared" si="7"/>
        <v>0</v>
      </c>
      <c r="AH129" s="162">
        <f t="shared" si="8"/>
        <v>0</v>
      </c>
      <c r="AI129" s="162">
        <f t="shared" si="9"/>
        <v>0</v>
      </c>
      <c r="AJ129" s="160">
        <f t="shared" si="11"/>
        <v>45811</v>
      </c>
      <c r="AK129" s="206">
        <v>45978</v>
      </c>
      <c r="AL129" s="160"/>
      <c r="AM129" s="166"/>
      <c r="AN129" s="157"/>
      <c r="AO129" s="157"/>
      <c r="AP129" s="157"/>
      <c r="AQ129" s="184"/>
    </row>
    <row r="130" spans="1:43" s="163" customFormat="1" ht="17.399999999999999">
      <c r="A130" s="157" t="s">
        <v>18461</v>
      </c>
      <c r="B130" s="157" t="s">
        <v>18462</v>
      </c>
      <c r="C130" s="158">
        <v>45749</v>
      </c>
      <c r="D130" s="158">
        <v>45482</v>
      </c>
      <c r="E130" s="157" t="s">
        <v>18463</v>
      </c>
      <c r="F130" s="157" t="s">
        <v>33</v>
      </c>
      <c r="G130" s="157" t="s">
        <v>33</v>
      </c>
      <c r="H130" s="157" t="s">
        <v>3025</v>
      </c>
      <c r="I130" s="182" t="s">
        <v>1070</v>
      </c>
      <c r="J130" s="183" t="s">
        <v>3026</v>
      </c>
      <c r="K130" s="157" t="s">
        <v>18464</v>
      </c>
      <c r="L130" s="157" t="s">
        <v>60</v>
      </c>
      <c r="M130" s="157">
        <v>6</v>
      </c>
      <c r="N130" s="157" t="s">
        <v>18465</v>
      </c>
      <c r="O130" s="157"/>
      <c r="P130" s="159" t="s">
        <v>19054</v>
      </c>
      <c r="Q130" s="160" t="s">
        <v>627</v>
      </c>
      <c r="R130" s="161">
        <v>45793</v>
      </c>
      <c r="S130" s="157">
        <f t="shared" si="6"/>
        <v>6</v>
      </c>
      <c r="T130" s="161">
        <v>45813</v>
      </c>
      <c r="U130" s="41" t="str">
        <f t="shared" si="10"/>
        <v/>
      </c>
      <c r="V130" s="164">
        <v>45803</v>
      </c>
      <c r="W130" s="164">
        <v>45813</v>
      </c>
      <c r="X130" s="164" t="s">
        <v>18497</v>
      </c>
      <c r="Y130" s="159">
        <v>6</v>
      </c>
      <c r="Z130" s="159" t="s">
        <v>18498</v>
      </c>
      <c r="AA130" s="161"/>
      <c r="AB130" s="157"/>
      <c r="AC130" s="157"/>
      <c r="AD130" s="161">
        <v>46100</v>
      </c>
      <c r="AE130" s="157" t="s">
        <v>19145</v>
      </c>
      <c r="AF130" s="157">
        <v>6</v>
      </c>
      <c r="AG130" s="162">
        <f t="shared" si="7"/>
        <v>0</v>
      </c>
      <c r="AH130" s="162">
        <f t="shared" si="8"/>
        <v>0</v>
      </c>
      <c r="AI130" s="162">
        <f t="shared" si="9"/>
        <v>0</v>
      </c>
      <c r="AJ130" s="160">
        <f t="shared" si="11"/>
        <v>45814</v>
      </c>
      <c r="AK130" s="160"/>
      <c r="AL130" s="160"/>
      <c r="AM130" s="166"/>
      <c r="AN130" s="157"/>
      <c r="AO130" s="157"/>
      <c r="AP130" s="157"/>
      <c r="AQ130" s="184"/>
    </row>
    <row r="131" spans="1:43" ht="17.399999999999999">
      <c r="A131" s="22" t="s">
        <v>18470</v>
      </c>
      <c r="B131" s="22" t="s">
        <v>720</v>
      </c>
      <c r="C131" s="56">
        <v>45768</v>
      </c>
      <c r="D131" s="56">
        <v>45764</v>
      </c>
      <c r="E131" s="22" t="s">
        <v>18471</v>
      </c>
      <c r="F131" s="22" t="s">
        <v>33</v>
      </c>
      <c r="G131" s="22" t="s">
        <v>33</v>
      </c>
      <c r="H131" s="22" t="s">
        <v>8117</v>
      </c>
      <c r="I131" s="49" t="s">
        <v>2137</v>
      </c>
      <c r="J131" s="50" t="s">
        <v>8118</v>
      </c>
      <c r="K131" s="22" t="s">
        <v>493</v>
      </c>
      <c r="L131" s="22" t="s">
        <v>60</v>
      </c>
      <c r="M131" s="22">
        <v>12</v>
      </c>
      <c r="N131" s="22" t="s">
        <v>18472</v>
      </c>
      <c r="O131" s="22"/>
      <c r="P131" s="46" t="s">
        <v>5279</v>
      </c>
      <c r="Q131" s="40" t="s">
        <v>627</v>
      </c>
      <c r="R131" s="41">
        <v>45798</v>
      </c>
      <c r="S131" s="22">
        <f t="shared" ref="S131:S194" si="12">IF(A131="","",M131+O131)</f>
        <v>12</v>
      </c>
      <c r="T131" s="41">
        <v>45803</v>
      </c>
      <c r="U131" s="41" t="str">
        <f t="shared" si="10"/>
        <v/>
      </c>
      <c r="V131" s="44" t="s">
        <v>571</v>
      </c>
      <c r="W131" s="44" t="s">
        <v>571</v>
      </c>
      <c r="X131" s="44" t="s">
        <v>571</v>
      </c>
      <c r="Y131" s="46">
        <v>12</v>
      </c>
      <c r="Z131" s="46" t="s">
        <v>571</v>
      </c>
      <c r="AA131" s="41">
        <v>45819</v>
      </c>
      <c r="AB131" s="22" t="s">
        <v>18876</v>
      </c>
      <c r="AC131" s="22">
        <v>12</v>
      </c>
      <c r="AD131" s="41"/>
      <c r="AE131" s="22"/>
      <c r="AF131" s="22"/>
      <c r="AG131" s="162">
        <f t="shared" ref="AG131:AG194" si="13">IF(A131="","",S131-Y131)</f>
        <v>0</v>
      </c>
      <c r="AH131" s="48">
        <f t="shared" ref="AH131:AH194" si="14">IF(A131="","",Y131-(AC131+AF131))</f>
        <v>0</v>
      </c>
      <c r="AI131" s="48">
        <f t="shared" ref="AI131:AI194" si="15">IF(A131="","",AG131+AH131)</f>
        <v>0</v>
      </c>
      <c r="AJ131" s="40">
        <f t="shared" si="11"/>
        <v>45819</v>
      </c>
      <c r="AK131" s="40"/>
      <c r="AL131" s="40"/>
      <c r="AM131" s="146"/>
      <c r="AQ131" s="184"/>
    </row>
    <row r="132" spans="1:43" s="163" customFormat="1" ht="17.399999999999999">
      <c r="A132" s="157" t="s">
        <v>18473</v>
      </c>
      <c r="B132" s="157" t="s">
        <v>18474</v>
      </c>
      <c r="C132" s="158">
        <v>45769</v>
      </c>
      <c r="D132" s="158">
        <v>45691</v>
      </c>
      <c r="E132" s="157" t="s">
        <v>18475</v>
      </c>
      <c r="F132" s="157" t="s">
        <v>33</v>
      </c>
      <c r="G132" s="157" t="s">
        <v>33</v>
      </c>
      <c r="H132" s="157" t="s">
        <v>3477</v>
      </c>
      <c r="I132" s="182" t="s">
        <v>843</v>
      </c>
      <c r="J132" s="183" t="s">
        <v>4900</v>
      </c>
      <c r="K132" s="157" t="s">
        <v>846</v>
      </c>
      <c r="L132" s="157" t="s">
        <v>99</v>
      </c>
      <c r="M132" s="157">
        <v>1</v>
      </c>
      <c r="N132" s="157" t="s">
        <v>18476</v>
      </c>
      <c r="O132" s="157"/>
      <c r="P132" s="159" t="s">
        <v>19055</v>
      </c>
      <c r="Q132" s="160" t="s">
        <v>627</v>
      </c>
      <c r="R132" s="161">
        <v>45804</v>
      </c>
      <c r="S132" s="157">
        <f t="shared" si="12"/>
        <v>1</v>
      </c>
      <c r="T132" s="161">
        <v>45825</v>
      </c>
      <c r="U132" s="41" t="str">
        <f t="shared" ref="U132:U195" si="16">IF(OR(P132="FEC-FS",P132="PALTEK",P132="SDSE(TOKE)"),"Upload in customer box","")</f>
        <v>Upload in customer box</v>
      </c>
      <c r="V132" s="164">
        <v>45813</v>
      </c>
      <c r="W132" s="164">
        <v>45825</v>
      </c>
      <c r="X132" s="164" t="s">
        <v>18511</v>
      </c>
      <c r="Y132" s="159">
        <v>1</v>
      </c>
      <c r="Z132" s="159" t="s">
        <v>18512</v>
      </c>
      <c r="AA132" s="161">
        <v>45852</v>
      </c>
      <c r="AB132" s="157" t="s">
        <v>18589</v>
      </c>
      <c r="AC132" s="157">
        <v>1</v>
      </c>
      <c r="AD132" s="161"/>
      <c r="AE132" s="157"/>
      <c r="AF132" s="157"/>
      <c r="AG132" s="162">
        <f t="shared" si="13"/>
        <v>0</v>
      </c>
      <c r="AH132" s="162">
        <f t="shared" si="14"/>
        <v>0</v>
      </c>
      <c r="AI132" s="162">
        <f t="shared" si="15"/>
        <v>0</v>
      </c>
      <c r="AJ132" s="160">
        <f t="shared" si="11"/>
        <v>45825</v>
      </c>
      <c r="AK132" s="206">
        <v>45947</v>
      </c>
      <c r="AL132" s="160"/>
      <c r="AM132" s="166"/>
      <c r="AN132" s="157"/>
      <c r="AO132" s="157"/>
      <c r="AP132" s="157"/>
      <c r="AQ132" s="184"/>
    </row>
    <row r="133" spans="1:43" s="163" customFormat="1" ht="17.399999999999999">
      <c r="A133" s="157" t="s">
        <v>18477</v>
      </c>
      <c r="B133" s="157" t="s">
        <v>18478</v>
      </c>
      <c r="C133" s="158">
        <v>45575</v>
      </c>
      <c r="D133" s="158">
        <v>45531</v>
      </c>
      <c r="E133" s="157" t="s">
        <v>18479</v>
      </c>
      <c r="F133" s="157" t="s">
        <v>33</v>
      </c>
      <c r="G133" s="157" t="s">
        <v>33</v>
      </c>
      <c r="H133" s="157">
        <v>313</v>
      </c>
      <c r="I133" s="182" t="s">
        <v>83</v>
      </c>
      <c r="J133" s="183" t="s">
        <v>833</v>
      </c>
      <c r="K133" s="157" t="s">
        <v>18429</v>
      </c>
      <c r="L133" s="157" t="s">
        <v>60</v>
      </c>
      <c r="M133" s="157">
        <v>1</v>
      </c>
      <c r="N133" s="157" t="s">
        <v>18291</v>
      </c>
      <c r="O133" s="157"/>
      <c r="P133" s="159" t="s">
        <v>19055</v>
      </c>
      <c r="Q133" s="160" t="s">
        <v>627</v>
      </c>
      <c r="R133" s="161">
        <v>45804</v>
      </c>
      <c r="S133" s="157">
        <f t="shared" si="12"/>
        <v>1</v>
      </c>
      <c r="T133" s="161">
        <v>45825</v>
      </c>
      <c r="U133" s="41" t="str">
        <f t="shared" si="16"/>
        <v>Upload in customer box</v>
      </c>
      <c r="V133" s="164">
        <v>45813</v>
      </c>
      <c r="W133" s="164">
        <v>45825</v>
      </c>
      <c r="X133" s="164" t="s">
        <v>18511</v>
      </c>
      <c r="Y133" s="159">
        <v>1</v>
      </c>
      <c r="Z133" s="159" t="s">
        <v>18512</v>
      </c>
      <c r="AA133" s="161"/>
      <c r="AB133" s="157"/>
      <c r="AC133" s="157"/>
      <c r="AD133" s="161">
        <v>45945</v>
      </c>
      <c r="AE133" s="157" t="s">
        <v>18868</v>
      </c>
      <c r="AF133" s="157">
        <v>1</v>
      </c>
      <c r="AG133" s="162">
        <f t="shared" si="13"/>
        <v>0</v>
      </c>
      <c r="AH133" s="162">
        <f t="shared" si="14"/>
        <v>0</v>
      </c>
      <c r="AI133" s="162">
        <f t="shared" si="15"/>
        <v>0</v>
      </c>
      <c r="AJ133" s="160">
        <f t="shared" si="11"/>
        <v>45825</v>
      </c>
      <c r="AK133" s="206">
        <v>45978</v>
      </c>
      <c r="AL133" s="160"/>
      <c r="AM133" s="166"/>
      <c r="AN133" s="157"/>
      <c r="AO133" s="157"/>
      <c r="AP133" s="157"/>
      <c r="AQ133" s="184"/>
    </row>
    <row r="134" spans="1:43" s="163" customFormat="1" ht="17.399999999999999">
      <c r="A134" s="157" t="s">
        <v>18480</v>
      </c>
      <c r="B134" s="157" t="s">
        <v>18481</v>
      </c>
      <c r="C134" s="158">
        <v>45567</v>
      </c>
      <c r="D134" s="158">
        <v>45531</v>
      </c>
      <c r="E134" s="157" t="s">
        <v>18479</v>
      </c>
      <c r="F134" s="157" t="s">
        <v>33</v>
      </c>
      <c r="G134" s="157" t="s">
        <v>33</v>
      </c>
      <c r="H134" s="157" t="s">
        <v>842</v>
      </c>
      <c r="I134" s="182" t="s">
        <v>843</v>
      </c>
      <c r="J134" s="183" t="s">
        <v>844</v>
      </c>
      <c r="K134" s="157" t="s">
        <v>760</v>
      </c>
      <c r="L134" s="157" t="s">
        <v>60</v>
      </c>
      <c r="M134" s="157">
        <v>1</v>
      </c>
      <c r="N134" s="157" t="s">
        <v>18291</v>
      </c>
      <c r="O134" s="157"/>
      <c r="P134" s="159" t="s">
        <v>19055</v>
      </c>
      <c r="Q134" s="160" t="s">
        <v>627</v>
      </c>
      <c r="R134" s="161">
        <v>45804</v>
      </c>
      <c r="S134" s="157">
        <f t="shared" si="12"/>
        <v>1</v>
      </c>
      <c r="T134" s="161">
        <v>45825</v>
      </c>
      <c r="U134" s="41" t="str">
        <f t="shared" si="16"/>
        <v>Upload in customer box</v>
      </c>
      <c r="V134" s="164">
        <v>45813</v>
      </c>
      <c r="W134" s="164">
        <v>45825</v>
      </c>
      <c r="X134" s="164" t="s">
        <v>18511</v>
      </c>
      <c r="Y134" s="159">
        <v>1</v>
      </c>
      <c r="Z134" s="159" t="s">
        <v>18512</v>
      </c>
      <c r="AA134" s="161">
        <v>45953</v>
      </c>
      <c r="AB134" s="157" t="s">
        <v>18875</v>
      </c>
      <c r="AC134" s="157">
        <v>1</v>
      </c>
      <c r="AD134" s="161"/>
      <c r="AE134" s="157"/>
      <c r="AF134" s="157"/>
      <c r="AG134" s="162">
        <f t="shared" si="13"/>
        <v>0</v>
      </c>
      <c r="AH134" s="162">
        <f t="shared" si="14"/>
        <v>0</v>
      </c>
      <c r="AI134" s="162">
        <f t="shared" si="15"/>
        <v>0</v>
      </c>
      <c r="AJ134" s="160">
        <f t="shared" si="11"/>
        <v>45825</v>
      </c>
      <c r="AK134" s="188" t="s">
        <v>33</v>
      </c>
      <c r="AL134" s="160"/>
      <c r="AM134" s="166"/>
      <c r="AN134" s="157"/>
      <c r="AO134" s="157"/>
      <c r="AP134" s="157"/>
      <c r="AQ134" s="184"/>
    </row>
    <row r="135" spans="1:43" s="163" customFormat="1" ht="17.399999999999999">
      <c r="A135" s="157" t="s">
        <v>18485</v>
      </c>
      <c r="B135" s="157" t="s">
        <v>70</v>
      </c>
      <c r="C135" s="158" t="s">
        <v>18486</v>
      </c>
      <c r="D135" s="158" t="s">
        <v>18142</v>
      </c>
      <c r="E135" s="157" t="s">
        <v>18142</v>
      </c>
      <c r="F135" s="157" t="s">
        <v>33</v>
      </c>
      <c r="G135" s="157" t="s">
        <v>33</v>
      </c>
      <c r="H135" s="157" t="s">
        <v>3427</v>
      </c>
      <c r="I135" s="182" t="s">
        <v>68</v>
      </c>
      <c r="J135" s="183" t="s">
        <v>69</v>
      </c>
      <c r="K135" s="157" t="s">
        <v>70</v>
      </c>
      <c r="L135" s="157" t="s">
        <v>71</v>
      </c>
      <c r="M135" s="157">
        <v>3517.5</v>
      </c>
      <c r="N135" s="157" t="s">
        <v>18493</v>
      </c>
      <c r="O135" s="157"/>
      <c r="P135" s="159" t="s">
        <v>19055</v>
      </c>
      <c r="Q135" s="160" t="s">
        <v>627</v>
      </c>
      <c r="R135" s="161">
        <v>45805</v>
      </c>
      <c r="S135" s="157">
        <f t="shared" si="12"/>
        <v>3517.5</v>
      </c>
      <c r="T135" s="161">
        <v>45806</v>
      </c>
      <c r="U135" s="41" t="str">
        <f t="shared" si="16"/>
        <v>Upload in customer box</v>
      </c>
      <c r="V135" s="189" t="s">
        <v>571</v>
      </c>
      <c r="W135" s="189" t="s">
        <v>571</v>
      </c>
      <c r="X135" s="189" t="s">
        <v>571</v>
      </c>
      <c r="Y135" s="212">
        <v>3517.5</v>
      </c>
      <c r="Z135" s="159" t="s">
        <v>571</v>
      </c>
      <c r="AA135" s="161"/>
      <c r="AB135" s="157"/>
      <c r="AC135" s="157"/>
      <c r="AD135" s="161">
        <v>45945</v>
      </c>
      <c r="AE135" s="157" t="s">
        <v>18868</v>
      </c>
      <c r="AF135" s="157">
        <v>3517.5</v>
      </c>
      <c r="AG135" s="162">
        <f t="shared" si="13"/>
        <v>0</v>
      </c>
      <c r="AH135" s="162">
        <f t="shared" si="14"/>
        <v>0</v>
      </c>
      <c r="AI135" s="162">
        <f t="shared" si="15"/>
        <v>0</v>
      </c>
      <c r="AJ135" s="160">
        <f t="shared" si="11"/>
        <v>45826</v>
      </c>
      <c r="AK135" s="206">
        <v>45812</v>
      </c>
      <c r="AL135" s="160"/>
      <c r="AM135" s="166"/>
      <c r="AN135" s="157"/>
      <c r="AO135" s="157"/>
      <c r="AP135" s="157"/>
      <c r="AQ135" s="184"/>
    </row>
    <row r="136" spans="1:43" ht="17.399999999999999">
      <c r="A136" s="22" t="s">
        <v>18488</v>
      </c>
      <c r="B136" s="22" t="s">
        <v>50</v>
      </c>
      <c r="C136" s="56" t="s">
        <v>18489</v>
      </c>
      <c r="D136" s="56">
        <v>45791</v>
      </c>
      <c r="E136" s="22" t="s">
        <v>18490</v>
      </c>
      <c r="F136" s="22">
        <v>1000</v>
      </c>
      <c r="G136" s="22" t="s">
        <v>18491</v>
      </c>
      <c r="H136" s="22" t="s">
        <v>18482</v>
      </c>
      <c r="I136" s="49" t="s">
        <v>440</v>
      </c>
      <c r="J136" s="50" t="s">
        <v>18483</v>
      </c>
      <c r="K136" s="22" t="s">
        <v>215</v>
      </c>
      <c r="L136" s="22" t="s">
        <v>60</v>
      </c>
      <c r="M136" s="22">
        <v>16</v>
      </c>
      <c r="N136" s="22" t="s">
        <v>18492</v>
      </c>
      <c r="O136" s="22"/>
      <c r="P136" s="46" t="s">
        <v>18487</v>
      </c>
      <c r="Q136" s="40" t="s">
        <v>627</v>
      </c>
      <c r="R136" s="41">
        <v>45804</v>
      </c>
      <c r="S136" s="22">
        <f t="shared" si="12"/>
        <v>16</v>
      </c>
      <c r="T136" s="41">
        <v>45806</v>
      </c>
      <c r="U136" s="41" t="str">
        <f t="shared" si="16"/>
        <v/>
      </c>
      <c r="V136" s="144">
        <v>45883</v>
      </c>
      <c r="W136" s="144">
        <v>45890</v>
      </c>
      <c r="X136" s="144" t="s">
        <v>18691</v>
      </c>
      <c r="Y136" s="145">
        <v>16</v>
      </c>
      <c r="Z136" s="46" t="s">
        <v>18692</v>
      </c>
      <c r="AA136" s="41">
        <v>45999</v>
      </c>
      <c r="AB136" s="22" t="s">
        <v>18998</v>
      </c>
      <c r="AC136" s="22">
        <v>9</v>
      </c>
      <c r="AD136" s="41">
        <v>45986</v>
      </c>
      <c r="AE136" s="22" t="s">
        <v>18996</v>
      </c>
      <c r="AF136" s="22">
        <v>7</v>
      </c>
      <c r="AG136" s="162">
        <f t="shared" si="13"/>
        <v>0</v>
      </c>
      <c r="AH136" s="48">
        <f t="shared" si="14"/>
        <v>0</v>
      </c>
      <c r="AI136" s="48">
        <f t="shared" si="15"/>
        <v>0</v>
      </c>
      <c r="AJ136" s="40">
        <f t="shared" si="11"/>
        <v>45825</v>
      </c>
      <c r="AK136" s="40"/>
      <c r="AL136" s="40"/>
      <c r="AM136" s="146"/>
      <c r="AQ136" s="184"/>
    </row>
    <row r="137" spans="1:43" ht="17.399999999999999">
      <c r="A137" s="22" t="s">
        <v>18494</v>
      </c>
      <c r="B137" s="22" t="s">
        <v>359</v>
      </c>
      <c r="C137" s="56" t="s">
        <v>18495</v>
      </c>
      <c r="D137" s="56" t="s">
        <v>33</v>
      </c>
      <c r="E137" s="22" t="s">
        <v>33</v>
      </c>
      <c r="F137" s="22" t="s">
        <v>33</v>
      </c>
      <c r="G137" s="22" t="s">
        <v>67</v>
      </c>
      <c r="H137" s="22" t="s">
        <v>1483</v>
      </c>
      <c r="I137" s="49" t="s">
        <v>994</v>
      </c>
      <c r="J137" s="50" t="s">
        <v>1484</v>
      </c>
      <c r="K137" s="22" t="s">
        <v>980</v>
      </c>
      <c r="L137" s="22" t="s">
        <v>60</v>
      </c>
      <c r="M137" s="22">
        <v>2</v>
      </c>
      <c r="N137" s="22" t="s">
        <v>18531</v>
      </c>
      <c r="O137" s="22"/>
      <c r="P137" s="46" t="s">
        <v>681</v>
      </c>
      <c r="Q137" s="40" t="s">
        <v>627</v>
      </c>
      <c r="R137" s="41">
        <v>45806</v>
      </c>
      <c r="S137" s="22">
        <f t="shared" si="12"/>
        <v>2</v>
      </c>
      <c r="T137" s="41">
        <v>45832</v>
      </c>
      <c r="U137" s="41" t="str">
        <f t="shared" si="16"/>
        <v/>
      </c>
      <c r="V137" s="144">
        <v>45826</v>
      </c>
      <c r="W137" s="144">
        <v>45832</v>
      </c>
      <c r="X137" s="144" t="s">
        <v>18525</v>
      </c>
      <c r="Y137" s="145">
        <v>2</v>
      </c>
      <c r="Z137" s="46" t="s">
        <v>18527</v>
      </c>
      <c r="AA137" s="41"/>
      <c r="AB137" s="22"/>
      <c r="AC137" s="22"/>
      <c r="AD137" s="41">
        <v>46203</v>
      </c>
      <c r="AE137" s="22" t="s">
        <v>19290</v>
      </c>
      <c r="AF137" s="22">
        <v>2</v>
      </c>
      <c r="AG137" s="162">
        <f t="shared" si="13"/>
        <v>0</v>
      </c>
      <c r="AH137" s="48">
        <f t="shared" si="14"/>
        <v>0</v>
      </c>
      <c r="AI137" s="48">
        <f t="shared" si="15"/>
        <v>0</v>
      </c>
      <c r="AJ137" s="40">
        <f t="shared" si="11"/>
        <v>45827</v>
      </c>
      <c r="AK137" s="40"/>
      <c r="AL137" s="40"/>
      <c r="AM137" s="146"/>
      <c r="AQ137" s="184"/>
    </row>
    <row r="138" spans="1:43" s="163" customFormat="1" ht="17.399999999999999">
      <c r="A138" s="157" t="s">
        <v>18501</v>
      </c>
      <c r="B138" s="157" t="s">
        <v>18502</v>
      </c>
      <c r="C138" s="158">
        <v>45805</v>
      </c>
      <c r="D138" s="158">
        <v>45796</v>
      </c>
      <c r="E138" s="157" t="s">
        <v>18503</v>
      </c>
      <c r="F138" s="157" t="s">
        <v>33</v>
      </c>
      <c r="G138" s="157" t="s">
        <v>33</v>
      </c>
      <c r="H138" s="157" t="s">
        <v>5246</v>
      </c>
      <c r="I138" s="182" t="s">
        <v>83</v>
      </c>
      <c r="J138" s="183" t="s">
        <v>5247</v>
      </c>
      <c r="K138" s="157" t="s">
        <v>18504</v>
      </c>
      <c r="L138" s="157" t="s">
        <v>60</v>
      </c>
      <c r="M138" s="157">
        <v>1</v>
      </c>
      <c r="N138" s="157" t="s">
        <v>18505</v>
      </c>
      <c r="O138" s="157"/>
      <c r="P138" s="159" t="s">
        <v>19055</v>
      </c>
      <c r="Q138" s="160" t="s">
        <v>627</v>
      </c>
      <c r="R138" s="161">
        <v>45818</v>
      </c>
      <c r="S138" s="157">
        <f t="shared" si="12"/>
        <v>1</v>
      </c>
      <c r="T138" s="161">
        <v>45832</v>
      </c>
      <c r="U138" s="41" t="str">
        <f t="shared" si="16"/>
        <v>Upload in customer box</v>
      </c>
      <c r="V138" s="189">
        <v>45826</v>
      </c>
      <c r="W138" s="189">
        <v>45832</v>
      </c>
      <c r="X138" s="189" t="s">
        <v>18526</v>
      </c>
      <c r="Y138" s="212">
        <v>1</v>
      </c>
      <c r="Z138" s="159" t="s">
        <v>18529</v>
      </c>
      <c r="AA138" s="161"/>
      <c r="AB138" s="157"/>
      <c r="AC138" s="157"/>
      <c r="AD138" s="161">
        <v>45945</v>
      </c>
      <c r="AE138" s="157" t="s">
        <v>18868</v>
      </c>
      <c r="AF138" s="157">
        <v>1</v>
      </c>
      <c r="AG138" s="162">
        <f t="shared" si="13"/>
        <v>0</v>
      </c>
      <c r="AH138" s="162">
        <f t="shared" si="14"/>
        <v>0</v>
      </c>
      <c r="AI138" s="162">
        <f t="shared" si="15"/>
        <v>0</v>
      </c>
      <c r="AJ138" s="160">
        <f t="shared" si="11"/>
        <v>45839</v>
      </c>
      <c r="AK138" s="206">
        <v>45947</v>
      </c>
      <c r="AL138" s="160"/>
      <c r="AM138" s="166"/>
      <c r="AN138" s="157"/>
      <c r="AO138" s="157"/>
      <c r="AP138" s="157"/>
      <c r="AQ138" s="184"/>
    </row>
    <row r="139" spans="1:43" s="163" customFormat="1" ht="17.399999999999999">
      <c r="A139" s="157" t="s">
        <v>18506</v>
      </c>
      <c r="B139" s="157" t="s">
        <v>18478</v>
      </c>
      <c r="C139" s="158" t="s">
        <v>18507</v>
      </c>
      <c r="D139" s="158" t="s">
        <v>18508</v>
      </c>
      <c r="E139" s="157" t="s">
        <v>18509</v>
      </c>
      <c r="F139" s="157" t="s">
        <v>33</v>
      </c>
      <c r="G139" s="157" t="s">
        <v>33</v>
      </c>
      <c r="H139" s="157">
        <v>313</v>
      </c>
      <c r="I139" s="182" t="s">
        <v>83</v>
      </c>
      <c r="J139" s="183" t="s">
        <v>833</v>
      </c>
      <c r="K139" s="157" t="s">
        <v>18429</v>
      </c>
      <c r="L139" s="157" t="s">
        <v>60</v>
      </c>
      <c r="M139" s="157">
        <v>5</v>
      </c>
      <c r="N139" s="157" t="s">
        <v>18510</v>
      </c>
      <c r="O139" s="157"/>
      <c r="P139" s="159" t="s">
        <v>19055</v>
      </c>
      <c r="Q139" s="160" t="s">
        <v>627</v>
      </c>
      <c r="R139" s="161">
        <v>45819</v>
      </c>
      <c r="S139" s="157">
        <f t="shared" si="12"/>
        <v>5</v>
      </c>
      <c r="T139" s="161">
        <v>45832</v>
      </c>
      <c r="U139" s="41" t="str">
        <f t="shared" si="16"/>
        <v>Upload in customer box</v>
      </c>
      <c r="V139" s="189">
        <v>45826</v>
      </c>
      <c r="W139" s="189">
        <v>45832</v>
      </c>
      <c r="X139" s="189" t="s">
        <v>18526</v>
      </c>
      <c r="Y139" s="212">
        <v>5</v>
      </c>
      <c r="Z139" s="159" t="s">
        <v>18529</v>
      </c>
      <c r="AA139" s="161">
        <v>45953</v>
      </c>
      <c r="AB139" s="157" t="s">
        <v>18875</v>
      </c>
      <c r="AC139" s="157">
        <v>2</v>
      </c>
      <c r="AD139" s="161">
        <v>45945</v>
      </c>
      <c r="AE139" s="157" t="s">
        <v>18868</v>
      </c>
      <c r="AF139" s="157">
        <v>3</v>
      </c>
      <c r="AG139" s="162">
        <f t="shared" si="13"/>
        <v>0</v>
      </c>
      <c r="AH139" s="162">
        <f t="shared" si="14"/>
        <v>0</v>
      </c>
      <c r="AI139" s="162">
        <f t="shared" si="15"/>
        <v>0</v>
      </c>
      <c r="AJ139" s="160">
        <f t="shared" si="11"/>
        <v>45840</v>
      </c>
      <c r="AK139" s="206">
        <v>45978</v>
      </c>
      <c r="AL139" s="160"/>
      <c r="AM139" s="166"/>
      <c r="AN139" s="157"/>
      <c r="AO139" s="157"/>
      <c r="AP139" s="157"/>
      <c r="AQ139" s="184"/>
    </row>
    <row r="140" spans="1:43" ht="17.399999999999999">
      <c r="A140" s="22" t="s">
        <v>18513</v>
      </c>
      <c r="B140" s="22" t="s">
        <v>18514</v>
      </c>
      <c r="C140" s="56">
        <v>45721</v>
      </c>
      <c r="D140" s="56">
        <v>45670</v>
      </c>
      <c r="E140" s="22" t="s">
        <v>18515</v>
      </c>
      <c r="F140" s="22" t="s">
        <v>33</v>
      </c>
      <c r="G140" s="22" t="s">
        <v>33</v>
      </c>
      <c r="H140" s="22" t="s">
        <v>1774</v>
      </c>
      <c r="I140" s="49" t="s">
        <v>1775</v>
      </c>
      <c r="J140" s="50" t="s">
        <v>1775</v>
      </c>
      <c r="K140" s="22" t="s">
        <v>18106</v>
      </c>
      <c r="L140" s="22" t="s">
        <v>60</v>
      </c>
      <c r="M140" s="22">
        <v>1</v>
      </c>
      <c r="N140" s="22" t="s">
        <v>18516</v>
      </c>
      <c r="O140" s="22"/>
      <c r="P140" s="46" t="s">
        <v>685</v>
      </c>
      <c r="Q140" s="40" t="s">
        <v>627</v>
      </c>
      <c r="R140" s="41">
        <v>45826</v>
      </c>
      <c r="S140" s="22">
        <f t="shared" si="12"/>
        <v>1</v>
      </c>
      <c r="T140" s="41">
        <v>45841</v>
      </c>
      <c r="U140" s="41" t="str">
        <f t="shared" si="16"/>
        <v>Upload in customer box</v>
      </c>
      <c r="V140" s="144">
        <v>45833</v>
      </c>
      <c r="W140" s="144">
        <v>45841</v>
      </c>
      <c r="X140" s="144" t="s">
        <v>18542</v>
      </c>
      <c r="Y140" s="145">
        <v>1</v>
      </c>
      <c r="Z140" s="46" t="s">
        <v>18552</v>
      </c>
      <c r="AA140" s="41"/>
      <c r="AB140" s="22"/>
      <c r="AC140" s="22"/>
      <c r="AD140" s="41">
        <v>46203</v>
      </c>
      <c r="AE140" s="22" t="s">
        <v>19292</v>
      </c>
      <c r="AF140" s="22">
        <v>1</v>
      </c>
      <c r="AG140" s="162">
        <f t="shared" si="13"/>
        <v>0</v>
      </c>
      <c r="AH140" s="48">
        <f t="shared" si="14"/>
        <v>0</v>
      </c>
      <c r="AI140" s="48">
        <f t="shared" si="15"/>
        <v>0</v>
      </c>
      <c r="AJ140" s="40">
        <f t="shared" si="11"/>
        <v>45847</v>
      </c>
      <c r="AK140" s="209">
        <v>45852</v>
      </c>
      <c r="AL140" s="40"/>
      <c r="AM140" s="146"/>
      <c r="AQ140" s="184"/>
    </row>
    <row r="141" spans="1:43" ht="17.399999999999999">
      <c r="A141" s="22" t="s">
        <v>18517</v>
      </c>
      <c r="B141" s="22" t="s">
        <v>716</v>
      </c>
      <c r="C141" s="56">
        <v>45726</v>
      </c>
      <c r="D141" s="56">
        <v>45645</v>
      </c>
      <c r="E141" s="22" t="s">
        <v>18518</v>
      </c>
      <c r="F141" s="22" t="s">
        <v>33</v>
      </c>
      <c r="G141" s="22" t="s">
        <v>33</v>
      </c>
      <c r="H141" s="22" t="s">
        <v>5032</v>
      </c>
      <c r="I141" s="49" t="s">
        <v>5033</v>
      </c>
      <c r="J141" s="50" t="s">
        <v>5034</v>
      </c>
      <c r="K141" s="22" t="s">
        <v>493</v>
      </c>
      <c r="L141" s="22" t="s">
        <v>60</v>
      </c>
      <c r="M141" s="22">
        <v>1</v>
      </c>
      <c r="N141" s="22" t="s">
        <v>18519</v>
      </c>
      <c r="O141" s="22"/>
      <c r="P141" s="46" t="s">
        <v>685</v>
      </c>
      <c r="Q141" s="40" t="s">
        <v>627</v>
      </c>
      <c r="R141" s="41">
        <v>45826</v>
      </c>
      <c r="S141" s="22">
        <f t="shared" si="12"/>
        <v>1</v>
      </c>
      <c r="T141" s="41">
        <v>45832</v>
      </c>
      <c r="U141" s="41" t="str">
        <f t="shared" si="16"/>
        <v>Upload in customer box</v>
      </c>
      <c r="V141" s="144" t="s">
        <v>571</v>
      </c>
      <c r="W141" s="144" t="s">
        <v>571</v>
      </c>
      <c r="X141" s="144" t="s">
        <v>571</v>
      </c>
      <c r="Y141" s="145">
        <v>1</v>
      </c>
      <c r="Z141" s="46" t="s">
        <v>571</v>
      </c>
      <c r="AA141" s="41"/>
      <c r="AB141" s="22"/>
      <c r="AC141" s="22"/>
      <c r="AD141" s="41"/>
      <c r="AE141" s="22"/>
      <c r="AF141" s="22"/>
      <c r="AG141" s="162">
        <f t="shared" si="13"/>
        <v>0</v>
      </c>
      <c r="AH141" s="48">
        <f t="shared" si="14"/>
        <v>1</v>
      </c>
      <c r="AI141" s="48">
        <f t="shared" si="15"/>
        <v>1</v>
      </c>
      <c r="AJ141" s="40">
        <f t="shared" si="11"/>
        <v>45847</v>
      </c>
      <c r="AK141" s="40"/>
      <c r="AL141" s="40"/>
      <c r="AM141" s="146"/>
      <c r="AQ141" s="184"/>
    </row>
    <row r="142" spans="1:43" s="163" customFormat="1" ht="17.399999999999999">
      <c r="A142" s="157" t="s">
        <v>18520</v>
      </c>
      <c r="B142" s="157" t="s">
        <v>18119</v>
      </c>
      <c r="C142" s="158" t="s">
        <v>18521</v>
      </c>
      <c r="D142" s="158">
        <v>45681</v>
      </c>
      <c r="E142" s="157" t="s">
        <v>18522</v>
      </c>
      <c r="F142" s="157" t="s">
        <v>33</v>
      </c>
      <c r="G142" s="157" t="s">
        <v>33</v>
      </c>
      <c r="H142" s="157" t="s">
        <v>303</v>
      </c>
      <c r="I142" s="182" t="s">
        <v>304</v>
      </c>
      <c r="J142" s="183" t="s">
        <v>305</v>
      </c>
      <c r="K142" s="157" t="s">
        <v>18106</v>
      </c>
      <c r="L142" s="157" t="s">
        <v>60</v>
      </c>
      <c r="M142" s="157">
        <v>2</v>
      </c>
      <c r="N142" s="157" t="s">
        <v>18523</v>
      </c>
      <c r="O142" s="157"/>
      <c r="P142" s="159" t="s">
        <v>685</v>
      </c>
      <c r="Q142" s="160" t="s">
        <v>627</v>
      </c>
      <c r="R142" s="161">
        <v>45826</v>
      </c>
      <c r="S142" s="157">
        <f t="shared" si="12"/>
        <v>2</v>
      </c>
      <c r="T142" s="161">
        <v>45832</v>
      </c>
      <c r="U142" s="41" t="str">
        <f t="shared" si="16"/>
        <v>Upload in customer box</v>
      </c>
      <c r="V142" s="189" t="s">
        <v>571</v>
      </c>
      <c r="W142" s="189" t="s">
        <v>571</v>
      </c>
      <c r="X142" s="189" t="s">
        <v>571</v>
      </c>
      <c r="Y142" s="212">
        <v>2</v>
      </c>
      <c r="Z142" s="159" t="s">
        <v>571</v>
      </c>
      <c r="AA142" s="161"/>
      <c r="AB142" s="157"/>
      <c r="AC142" s="157"/>
      <c r="AD142" s="161">
        <v>46111</v>
      </c>
      <c r="AE142" s="157" t="s">
        <v>19147</v>
      </c>
      <c r="AF142" s="157">
        <v>2</v>
      </c>
      <c r="AG142" s="162">
        <f t="shared" si="13"/>
        <v>0</v>
      </c>
      <c r="AH142" s="162">
        <f t="shared" si="14"/>
        <v>0</v>
      </c>
      <c r="AI142" s="162">
        <f t="shared" si="15"/>
        <v>0</v>
      </c>
      <c r="AJ142" s="160">
        <f t="shared" si="11"/>
        <v>45847</v>
      </c>
      <c r="AK142" s="160"/>
      <c r="AL142" s="160"/>
      <c r="AM142" s="166"/>
      <c r="AN142" s="157"/>
      <c r="AO142" s="157"/>
      <c r="AP142" s="157"/>
      <c r="AQ142" s="159"/>
    </row>
    <row r="143" spans="1:43" s="163" customFormat="1" ht="17.399999999999999">
      <c r="A143" s="157" t="s">
        <v>18534</v>
      </c>
      <c r="B143" s="157" t="s">
        <v>50</v>
      </c>
      <c r="C143" s="158">
        <v>45831</v>
      </c>
      <c r="D143" s="158">
        <v>45820</v>
      </c>
      <c r="E143" s="157" t="s">
        <v>18535</v>
      </c>
      <c r="F143" s="157">
        <v>350</v>
      </c>
      <c r="G143" s="157" t="s">
        <v>18536</v>
      </c>
      <c r="H143" s="157" t="s">
        <v>82</v>
      </c>
      <c r="I143" s="182" t="s">
        <v>83</v>
      </c>
      <c r="J143" s="183" t="s">
        <v>84</v>
      </c>
      <c r="K143" s="157" t="s">
        <v>18329</v>
      </c>
      <c r="L143" s="157" t="s">
        <v>60</v>
      </c>
      <c r="M143" s="157">
        <v>3</v>
      </c>
      <c r="N143" s="157" t="s">
        <v>18537</v>
      </c>
      <c r="O143" s="157"/>
      <c r="P143" s="159" t="s">
        <v>19054</v>
      </c>
      <c r="Q143" s="160" t="s">
        <v>728</v>
      </c>
      <c r="R143" s="161">
        <v>45833</v>
      </c>
      <c r="S143" s="157">
        <f t="shared" si="12"/>
        <v>3</v>
      </c>
      <c r="T143" s="161">
        <v>45847</v>
      </c>
      <c r="U143" s="41" t="str">
        <f t="shared" si="16"/>
        <v/>
      </c>
      <c r="V143" s="189">
        <v>45840</v>
      </c>
      <c r="W143" s="189">
        <v>45846</v>
      </c>
      <c r="X143" s="189" t="s">
        <v>18553</v>
      </c>
      <c r="Y143" s="212">
        <v>3</v>
      </c>
      <c r="Z143" s="159" t="s">
        <v>18562</v>
      </c>
      <c r="AA143" s="161"/>
      <c r="AB143" s="157"/>
      <c r="AC143" s="157"/>
      <c r="AD143" s="161">
        <v>46100</v>
      </c>
      <c r="AE143" s="157" t="s">
        <v>19145</v>
      </c>
      <c r="AF143" s="157">
        <v>3</v>
      </c>
      <c r="AG143" s="162">
        <f t="shared" si="13"/>
        <v>0</v>
      </c>
      <c r="AH143" s="162">
        <f t="shared" si="14"/>
        <v>0</v>
      </c>
      <c r="AI143" s="162">
        <f t="shared" si="15"/>
        <v>0</v>
      </c>
      <c r="AJ143" s="160">
        <f t="shared" si="11"/>
        <v>45854</v>
      </c>
      <c r="AK143" s="160"/>
      <c r="AL143" s="160"/>
      <c r="AM143" s="166"/>
      <c r="AN143" s="157"/>
      <c r="AO143" s="157"/>
      <c r="AP143" s="157"/>
      <c r="AQ143" s="184"/>
    </row>
    <row r="144" spans="1:43" ht="17.399999999999999">
      <c r="A144" s="22" t="s">
        <v>18543</v>
      </c>
      <c r="B144" s="22" t="s">
        <v>18544</v>
      </c>
      <c r="C144" s="56">
        <v>45756</v>
      </c>
      <c r="D144" s="56">
        <v>45685</v>
      </c>
      <c r="E144" s="22" t="s">
        <v>18545</v>
      </c>
      <c r="F144" s="22" t="s">
        <v>33</v>
      </c>
      <c r="G144" s="22" t="s">
        <v>33</v>
      </c>
      <c r="H144" s="22" t="s">
        <v>12116</v>
      </c>
      <c r="I144" s="49" t="s">
        <v>1781</v>
      </c>
      <c r="J144" s="50" t="s">
        <v>7886</v>
      </c>
      <c r="K144" s="22" t="s">
        <v>18106</v>
      </c>
      <c r="L144" s="22" t="s">
        <v>60</v>
      </c>
      <c r="M144" s="22">
        <v>2</v>
      </c>
      <c r="N144" s="22" t="s">
        <v>18546</v>
      </c>
      <c r="O144" s="22"/>
      <c r="P144" s="46" t="s">
        <v>685</v>
      </c>
      <c r="Q144" s="40" t="s">
        <v>627</v>
      </c>
      <c r="R144" s="41">
        <v>45840</v>
      </c>
      <c r="S144" s="22">
        <f t="shared" si="12"/>
        <v>2</v>
      </c>
      <c r="T144" s="41">
        <v>45848</v>
      </c>
      <c r="U144" s="41" t="str">
        <f t="shared" si="16"/>
        <v>Upload in customer box</v>
      </c>
      <c r="V144" s="144" t="s">
        <v>571</v>
      </c>
      <c r="W144" s="144" t="s">
        <v>571</v>
      </c>
      <c r="X144" s="144" t="s">
        <v>571</v>
      </c>
      <c r="Y144" s="145">
        <v>2</v>
      </c>
      <c r="Z144" s="46" t="s">
        <v>571</v>
      </c>
      <c r="AA144" s="41"/>
      <c r="AB144" s="22"/>
      <c r="AC144" s="22"/>
      <c r="AD144" s="41"/>
      <c r="AE144" s="22"/>
      <c r="AF144" s="22"/>
      <c r="AG144" s="162">
        <f t="shared" si="13"/>
        <v>0</v>
      </c>
      <c r="AH144" s="48">
        <f t="shared" si="14"/>
        <v>2</v>
      </c>
      <c r="AI144" s="48">
        <f t="shared" si="15"/>
        <v>2</v>
      </c>
      <c r="AJ144" s="40">
        <f t="shared" si="11"/>
        <v>45861</v>
      </c>
      <c r="AK144" s="40"/>
      <c r="AL144" s="40"/>
      <c r="AM144" s="146"/>
      <c r="AQ144" s="184"/>
    </row>
    <row r="145" spans="1:43" ht="17.399999999999999">
      <c r="A145" s="22" t="s">
        <v>18547</v>
      </c>
      <c r="B145" s="22" t="s">
        <v>18548</v>
      </c>
      <c r="C145" s="56">
        <v>45768</v>
      </c>
      <c r="D145" s="56">
        <v>45735</v>
      </c>
      <c r="E145" s="22" t="s">
        <v>18549</v>
      </c>
      <c r="F145" s="22" t="s">
        <v>33</v>
      </c>
      <c r="G145" s="22" t="s">
        <v>33</v>
      </c>
      <c r="H145" s="22" t="s">
        <v>303</v>
      </c>
      <c r="I145" s="49" t="s">
        <v>304</v>
      </c>
      <c r="J145" s="50" t="s">
        <v>305</v>
      </c>
      <c r="K145" s="22" t="s">
        <v>18106</v>
      </c>
      <c r="L145" s="22" t="s">
        <v>60</v>
      </c>
      <c r="M145" s="22">
        <v>1</v>
      </c>
      <c r="N145" s="22" t="s">
        <v>18550</v>
      </c>
      <c r="O145" s="22"/>
      <c r="P145" s="46" t="s">
        <v>685</v>
      </c>
      <c r="Q145" s="40" t="s">
        <v>627</v>
      </c>
      <c r="R145" s="41">
        <v>45840</v>
      </c>
      <c r="S145" s="22">
        <f t="shared" si="12"/>
        <v>1</v>
      </c>
      <c r="T145" s="41">
        <v>45848</v>
      </c>
      <c r="U145" s="41" t="str">
        <f t="shared" si="16"/>
        <v>Upload in customer box</v>
      </c>
      <c r="V145" s="144" t="s">
        <v>571</v>
      </c>
      <c r="W145" s="144" t="s">
        <v>571</v>
      </c>
      <c r="X145" s="144" t="s">
        <v>571</v>
      </c>
      <c r="Y145" s="145">
        <v>1</v>
      </c>
      <c r="Z145" s="46" t="s">
        <v>571</v>
      </c>
      <c r="AA145" s="41"/>
      <c r="AB145" s="22"/>
      <c r="AC145" s="22"/>
      <c r="AD145" s="41">
        <v>46203</v>
      </c>
      <c r="AE145" s="22" t="s">
        <v>19292</v>
      </c>
      <c r="AF145" s="22">
        <v>1</v>
      </c>
      <c r="AG145" s="162">
        <f t="shared" si="13"/>
        <v>0</v>
      </c>
      <c r="AH145" s="48">
        <f t="shared" si="14"/>
        <v>0</v>
      </c>
      <c r="AI145" s="48">
        <f t="shared" si="15"/>
        <v>0</v>
      </c>
      <c r="AJ145" s="40">
        <f t="shared" si="11"/>
        <v>45861</v>
      </c>
      <c r="AK145" s="40"/>
      <c r="AL145" s="40"/>
      <c r="AM145" s="146"/>
      <c r="AQ145" s="184"/>
    </row>
    <row r="146" spans="1:43" ht="17.399999999999999">
      <c r="A146" s="22" t="s">
        <v>18554</v>
      </c>
      <c r="B146" s="22" t="s">
        <v>709</v>
      </c>
      <c r="C146" s="56">
        <v>45706</v>
      </c>
      <c r="D146" s="56">
        <v>45645</v>
      </c>
      <c r="E146" s="22" t="s">
        <v>18518</v>
      </c>
      <c r="F146" s="22" t="s">
        <v>33</v>
      </c>
      <c r="G146" s="22" t="s">
        <v>33</v>
      </c>
      <c r="H146" s="22" t="s">
        <v>5032</v>
      </c>
      <c r="I146" s="49" t="s">
        <v>5033</v>
      </c>
      <c r="J146" s="50" t="s">
        <v>5034</v>
      </c>
      <c r="K146" s="22" t="s">
        <v>215</v>
      </c>
      <c r="L146" s="22" t="s">
        <v>60</v>
      </c>
      <c r="M146" s="22">
        <v>1</v>
      </c>
      <c r="N146" s="22" t="s">
        <v>18555</v>
      </c>
      <c r="O146" s="22"/>
      <c r="P146" s="46" t="s">
        <v>685</v>
      </c>
      <c r="Q146" s="40" t="s">
        <v>627</v>
      </c>
      <c r="R146" s="41">
        <v>45845</v>
      </c>
      <c r="S146" s="22">
        <f t="shared" si="12"/>
        <v>1</v>
      </c>
      <c r="T146" s="41">
        <v>45848</v>
      </c>
      <c r="U146" s="41" t="str">
        <f t="shared" si="16"/>
        <v>Upload in customer box</v>
      </c>
      <c r="V146" s="144" t="s">
        <v>571</v>
      </c>
      <c r="W146" s="144" t="s">
        <v>571</v>
      </c>
      <c r="X146" s="144" t="s">
        <v>571</v>
      </c>
      <c r="Y146" s="145">
        <v>1</v>
      </c>
      <c r="Z146" s="46" t="s">
        <v>571</v>
      </c>
      <c r="AA146" s="41"/>
      <c r="AB146" s="22"/>
      <c r="AC146" s="22"/>
      <c r="AD146" s="41"/>
      <c r="AE146" s="22"/>
      <c r="AF146" s="22"/>
      <c r="AG146" s="162">
        <f t="shared" si="13"/>
        <v>0</v>
      </c>
      <c r="AH146" s="48">
        <f t="shared" si="14"/>
        <v>1</v>
      </c>
      <c r="AI146" s="48">
        <f t="shared" si="15"/>
        <v>1</v>
      </c>
      <c r="AJ146" s="40">
        <f t="shared" si="11"/>
        <v>45866</v>
      </c>
      <c r="AK146" s="40"/>
      <c r="AL146" s="40"/>
      <c r="AM146" s="146"/>
      <c r="AQ146" s="184"/>
    </row>
    <row r="147" spans="1:43" ht="17.399999999999999">
      <c r="A147" s="22" t="s">
        <v>18556</v>
      </c>
      <c r="B147" s="22" t="s">
        <v>18557</v>
      </c>
      <c r="C147" s="56">
        <v>45805</v>
      </c>
      <c r="D147" s="56">
        <v>45768</v>
      </c>
      <c r="E147" s="22" t="s">
        <v>18558</v>
      </c>
      <c r="F147" s="22" t="s">
        <v>33</v>
      </c>
      <c r="G147" s="22" t="s">
        <v>18559</v>
      </c>
      <c r="H147" s="22" t="s">
        <v>554</v>
      </c>
      <c r="I147" s="49" t="s">
        <v>555</v>
      </c>
      <c r="J147" s="50" t="s">
        <v>556</v>
      </c>
      <c r="K147" s="22" t="s">
        <v>18560</v>
      </c>
      <c r="L147" s="22" t="s">
        <v>71</v>
      </c>
      <c r="M147" s="22">
        <v>45</v>
      </c>
      <c r="N147" s="22" t="s">
        <v>18561</v>
      </c>
      <c r="O147" s="22"/>
      <c r="P147" s="46" t="s">
        <v>682</v>
      </c>
      <c r="Q147" s="40" t="s">
        <v>627</v>
      </c>
      <c r="R147" s="41">
        <v>45845</v>
      </c>
      <c r="S147" s="22">
        <f t="shared" si="12"/>
        <v>45</v>
      </c>
      <c r="T147" s="41">
        <v>45859</v>
      </c>
      <c r="U147" s="41" t="str">
        <f t="shared" si="16"/>
        <v/>
      </c>
      <c r="V147" s="144">
        <v>45848</v>
      </c>
      <c r="W147" s="144">
        <v>45855</v>
      </c>
      <c r="X147" s="144" t="s">
        <v>18573</v>
      </c>
      <c r="Y147" s="145">
        <v>45</v>
      </c>
      <c r="Z147" s="46" t="s">
        <v>18617</v>
      </c>
      <c r="AA147" s="41"/>
      <c r="AB147" s="22"/>
      <c r="AC147" s="22"/>
      <c r="AD147" s="41">
        <v>46253</v>
      </c>
      <c r="AE147" s="22" t="s">
        <v>19420</v>
      </c>
      <c r="AF147" s="22">
        <v>45</v>
      </c>
      <c r="AG147" s="162">
        <f t="shared" si="13"/>
        <v>0</v>
      </c>
      <c r="AH147" s="48">
        <f t="shared" si="14"/>
        <v>0</v>
      </c>
      <c r="AI147" s="48">
        <f t="shared" si="15"/>
        <v>0</v>
      </c>
      <c r="AJ147" s="40">
        <f t="shared" si="11"/>
        <v>45866</v>
      </c>
      <c r="AK147" s="40"/>
      <c r="AM147" s="146"/>
      <c r="AQ147" s="184"/>
    </row>
    <row r="148" spans="1:43" ht="17.399999999999999">
      <c r="A148" s="22" t="s">
        <v>18563</v>
      </c>
      <c r="B148" s="22" t="s">
        <v>709</v>
      </c>
      <c r="C148" s="56">
        <v>45698</v>
      </c>
      <c r="D148" s="56">
        <v>45645</v>
      </c>
      <c r="E148" s="22" t="s">
        <v>18518</v>
      </c>
      <c r="F148" s="22" t="s">
        <v>33</v>
      </c>
      <c r="G148" s="22" t="s">
        <v>33</v>
      </c>
      <c r="H148" s="22" t="s">
        <v>5032</v>
      </c>
      <c r="I148" s="49" t="s">
        <v>5033</v>
      </c>
      <c r="J148" s="50" t="s">
        <v>5034</v>
      </c>
      <c r="K148" s="22" t="s">
        <v>215</v>
      </c>
      <c r="L148" s="22" t="s">
        <v>60</v>
      </c>
      <c r="M148" s="22">
        <v>1</v>
      </c>
      <c r="N148" s="22" t="s">
        <v>132</v>
      </c>
      <c r="O148" s="22"/>
      <c r="P148" s="46" t="s">
        <v>685</v>
      </c>
      <c r="Q148" s="40" t="s">
        <v>627</v>
      </c>
      <c r="R148" s="41">
        <v>45847</v>
      </c>
      <c r="S148" s="22">
        <f t="shared" si="12"/>
        <v>1</v>
      </c>
      <c r="T148" s="41">
        <v>45854</v>
      </c>
      <c r="U148" s="41" t="str">
        <f t="shared" si="16"/>
        <v>Upload in customer box</v>
      </c>
      <c r="V148" s="144" t="s">
        <v>571</v>
      </c>
      <c r="W148" s="144">
        <v>46253</v>
      </c>
      <c r="X148" s="144" t="s">
        <v>571</v>
      </c>
      <c r="Y148" s="145">
        <v>1</v>
      </c>
      <c r="Z148" s="46" t="s">
        <v>571</v>
      </c>
      <c r="AA148" s="41"/>
      <c r="AB148" s="22"/>
      <c r="AC148" s="22"/>
      <c r="AD148" s="41"/>
      <c r="AE148" s="22"/>
      <c r="AF148" s="22"/>
      <c r="AG148" s="162">
        <f t="shared" si="13"/>
        <v>0</v>
      </c>
      <c r="AH148" s="48">
        <f t="shared" si="14"/>
        <v>1</v>
      </c>
      <c r="AI148" s="48">
        <f t="shared" si="15"/>
        <v>1</v>
      </c>
      <c r="AJ148" s="40">
        <f t="shared" si="11"/>
        <v>45868</v>
      </c>
      <c r="AK148" s="40"/>
      <c r="AL148" s="40"/>
      <c r="AM148" s="146"/>
      <c r="AQ148" s="184"/>
    </row>
    <row r="149" spans="1:43" ht="17.399999999999999">
      <c r="A149" s="22" t="s">
        <v>19056</v>
      </c>
      <c r="B149" s="22" t="s">
        <v>18564</v>
      </c>
      <c r="C149" s="56">
        <v>45798</v>
      </c>
      <c r="D149" s="56">
        <v>45462</v>
      </c>
      <c r="E149" s="22" t="s">
        <v>18565</v>
      </c>
      <c r="F149" s="22" t="s">
        <v>33</v>
      </c>
      <c r="G149" s="22" t="s">
        <v>33</v>
      </c>
      <c r="H149" s="22" t="s">
        <v>491</v>
      </c>
      <c r="I149" s="49" t="s">
        <v>174</v>
      </c>
      <c r="J149" s="50" t="s">
        <v>492</v>
      </c>
      <c r="K149" s="22" t="s">
        <v>493</v>
      </c>
      <c r="L149" s="22" t="s">
        <v>60</v>
      </c>
      <c r="M149" s="22">
        <v>1</v>
      </c>
      <c r="N149" s="22" t="s">
        <v>18566</v>
      </c>
      <c r="O149" s="22"/>
      <c r="P149" s="46" t="s">
        <v>683</v>
      </c>
      <c r="Q149" s="40" t="s">
        <v>627</v>
      </c>
      <c r="R149" s="41">
        <v>45847</v>
      </c>
      <c r="S149" s="22">
        <f t="shared" si="12"/>
        <v>1</v>
      </c>
      <c r="T149" s="41">
        <v>45875</v>
      </c>
      <c r="U149" s="41" t="str">
        <f t="shared" si="16"/>
        <v>Upload in customer box</v>
      </c>
      <c r="V149" s="144">
        <v>45993</v>
      </c>
      <c r="W149" s="144">
        <v>46000</v>
      </c>
      <c r="X149" s="144" t="s">
        <v>18987</v>
      </c>
      <c r="Y149" s="145">
        <v>1</v>
      </c>
      <c r="Z149" s="46" t="s">
        <v>18994</v>
      </c>
      <c r="AA149" s="41"/>
      <c r="AB149" s="22"/>
      <c r="AC149" s="22"/>
      <c r="AD149" s="41"/>
      <c r="AE149" s="22"/>
      <c r="AF149" s="22"/>
      <c r="AG149" s="162">
        <f t="shared" si="13"/>
        <v>0</v>
      </c>
      <c r="AH149" s="48">
        <f t="shared" si="14"/>
        <v>1</v>
      </c>
      <c r="AI149" s="48">
        <f t="shared" si="15"/>
        <v>1</v>
      </c>
      <c r="AJ149" s="40">
        <f t="shared" si="11"/>
        <v>45868</v>
      </c>
      <c r="AK149" s="40"/>
      <c r="AL149" s="40"/>
      <c r="AM149" s="146"/>
      <c r="AQ149" s="184"/>
    </row>
    <row r="150" spans="1:43" ht="17.399999999999999">
      <c r="A150" s="22" t="s">
        <v>18569</v>
      </c>
      <c r="B150" s="22" t="s">
        <v>359</v>
      </c>
      <c r="C150" s="56" t="s">
        <v>18570</v>
      </c>
      <c r="D150" s="56" t="s">
        <v>33</v>
      </c>
      <c r="E150" s="22" t="s">
        <v>33</v>
      </c>
      <c r="F150" s="22" t="s">
        <v>33</v>
      </c>
      <c r="G150" s="22" t="s">
        <v>67</v>
      </c>
      <c r="H150" s="22" t="s">
        <v>1483</v>
      </c>
      <c r="I150" s="49" t="s">
        <v>994</v>
      </c>
      <c r="J150" s="50" t="s">
        <v>1484</v>
      </c>
      <c r="K150" s="22" t="s">
        <v>980</v>
      </c>
      <c r="L150" s="22" t="s">
        <v>60</v>
      </c>
      <c r="M150" s="22">
        <v>1</v>
      </c>
      <c r="N150" s="22" t="s">
        <v>18247</v>
      </c>
      <c r="O150" s="22"/>
      <c r="P150" s="46" t="s">
        <v>681</v>
      </c>
      <c r="Q150" s="40" t="s">
        <v>627</v>
      </c>
      <c r="R150" s="41">
        <v>45848</v>
      </c>
      <c r="S150" s="22">
        <f t="shared" si="12"/>
        <v>1</v>
      </c>
      <c r="T150" s="41">
        <v>45888</v>
      </c>
      <c r="U150" s="41" t="str">
        <f t="shared" si="16"/>
        <v/>
      </c>
      <c r="V150" s="144">
        <v>45876</v>
      </c>
      <c r="W150" s="144">
        <v>45888</v>
      </c>
      <c r="X150" s="144" t="s">
        <v>18693</v>
      </c>
      <c r="Y150" s="145">
        <v>1</v>
      </c>
      <c r="Z150" s="46" t="s">
        <v>18694</v>
      </c>
      <c r="AA150" s="41"/>
      <c r="AB150" s="22"/>
      <c r="AC150" s="22"/>
      <c r="AD150" s="41">
        <v>46203</v>
      </c>
      <c r="AE150" s="22" t="s">
        <v>19290</v>
      </c>
      <c r="AF150" s="22">
        <v>1</v>
      </c>
      <c r="AG150" s="162">
        <f t="shared" si="13"/>
        <v>0</v>
      </c>
      <c r="AH150" s="48">
        <f t="shared" si="14"/>
        <v>0</v>
      </c>
      <c r="AI150" s="48">
        <f t="shared" si="15"/>
        <v>0</v>
      </c>
      <c r="AJ150" s="40">
        <f t="shared" si="11"/>
        <v>45869</v>
      </c>
      <c r="AK150" s="40"/>
      <c r="AL150" s="40"/>
      <c r="AM150" s="146"/>
      <c r="AQ150" s="184"/>
    </row>
    <row r="151" spans="1:43" ht="17.399999999999999">
      <c r="A151" s="22" t="s">
        <v>18574</v>
      </c>
      <c r="B151" s="22" t="s">
        <v>709</v>
      </c>
      <c r="C151" s="56">
        <v>45727</v>
      </c>
      <c r="D151" s="56">
        <v>45561</v>
      </c>
      <c r="E151" s="22" t="s">
        <v>18373</v>
      </c>
      <c r="F151" s="22" t="s">
        <v>33</v>
      </c>
      <c r="G151" s="22" t="s">
        <v>33</v>
      </c>
      <c r="H151" s="22" t="s">
        <v>182</v>
      </c>
      <c r="I151" s="49" t="s">
        <v>183</v>
      </c>
      <c r="J151" s="50" t="s">
        <v>711</v>
      </c>
      <c r="K151" s="22" t="s">
        <v>215</v>
      </c>
      <c r="L151" s="22" t="s">
        <v>60</v>
      </c>
      <c r="M151" s="22">
        <v>1</v>
      </c>
      <c r="N151" s="22" t="s">
        <v>132</v>
      </c>
      <c r="O151" s="22"/>
      <c r="P151" s="46" t="s">
        <v>685</v>
      </c>
      <c r="Q151" s="40" t="s">
        <v>627</v>
      </c>
      <c r="R151" s="41">
        <v>45852</v>
      </c>
      <c r="S151" s="22">
        <f t="shared" si="12"/>
        <v>1</v>
      </c>
      <c r="T151" s="41">
        <v>45862</v>
      </c>
      <c r="U151" s="41" t="str">
        <f t="shared" si="16"/>
        <v>Upload in customer box</v>
      </c>
      <c r="V151" s="144">
        <v>45855</v>
      </c>
      <c r="W151" s="144">
        <v>45862</v>
      </c>
      <c r="X151" s="144" t="s">
        <v>18643</v>
      </c>
      <c r="Y151" s="145">
        <v>1</v>
      </c>
      <c r="Z151" s="46" t="s">
        <v>18644</v>
      </c>
      <c r="AA151" s="41"/>
      <c r="AB151" s="22"/>
      <c r="AC151" s="22"/>
      <c r="AD151" s="41"/>
      <c r="AE151" s="22"/>
      <c r="AF151" s="22"/>
      <c r="AG151" s="162">
        <f t="shared" si="13"/>
        <v>0</v>
      </c>
      <c r="AH151" s="48">
        <f t="shared" si="14"/>
        <v>1</v>
      </c>
      <c r="AI151" s="48">
        <f t="shared" si="15"/>
        <v>1</v>
      </c>
      <c r="AJ151" s="40">
        <f t="shared" si="11"/>
        <v>45873</v>
      </c>
      <c r="AK151" s="40">
        <v>45832</v>
      </c>
      <c r="AL151" s="40"/>
      <c r="AM151" s="146"/>
      <c r="AQ151" s="184"/>
    </row>
    <row r="152" spans="1:43" ht="17.399999999999999">
      <c r="A152" s="22" t="s">
        <v>18575</v>
      </c>
      <c r="B152" s="22" t="s">
        <v>18576</v>
      </c>
      <c r="C152" s="56" t="s">
        <v>18577</v>
      </c>
      <c r="D152" s="56" t="s">
        <v>18578</v>
      </c>
      <c r="E152" s="22" t="s">
        <v>18579</v>
      </c>
      <c r="F152" s="22" t="s">
        <v>33</v>
      </c>
      <c r="G152" s="22" t="s">
        <v>33</v>
      </c>
      <c r="H152" s="22" t="s">
        <v>205</v>
      </c>
      <c r="I152" s="49" t="s">
        <v>206</v>
      </c>
      <c r="J152" s="50" t="s">
        <v>207</v>
      </c>
      <c r="K152" s="22" t="s">
        <v>2748</v>
      </c>
      <c r="L152" s="22" t="s">
        <v>60</v>
      </c>
      <c r="M152" s="22">
        <v>10</v>
      </c>
      <c r="N152" s="22" t="s">
        <v>18580</v>
      </c>
      <c r="O152" s="22"/>
      <c r="P152" s="46" t="s">
        <v>685</v>
      </c>
      <c r="Q152" s="40" t="s">
        <v>627</v>
      </c>
      <c r="R152" s="41">
        <v>45852</v>
      </c>
      <c r="S152" s="22">
        <f t="shared" si="12"/>
        <v>10</v>
      </c>
      <c r="T152" s="41">
        <v>45854</v>
      </c>
      <c r="U152" s="41" t="str">
        <f t="shared" si="16"/>
        <v>Upload in customer box</v>
      </c>
      <c r="V152" s="144" t="s">
        <v>571</v>
      </c>
      <c r="W152" s="144" t="s">
        <v>571</v>
      </c>
      <c r="X152" s="144" t="s">
        <v>571</v>
      </c>
      <c r="Y152" s="145">
        <v>10</v>
      </c>
      <c r="Z152" s="46" t="s">
        <v>571</v>
      </c>
      <c r="AA152" s="41"/>
      <c r="AB152" s="22"/>
      <c r="AC152" s="22"/>
      <c r="AD152" s="41">
        <v>46203</v>
      </c>
      <c r="AE152" s="22" t="s">
        <v>19298</v>
      </c>
      <c r="AF152" s="22">
        <v>10</v>
      </c>
      <c r="AG152" s="162">
        <f t="shared" si="13"/>
        <v>0</v>
      </c>
      <c r="AH152" s="48">
        <f t="shared" si="14"/>
        <v>0</v>
      </c>
      <c r="AI152" s="48">
        <f t="shared" si="15"/>
        <v>0</v>
      </c>
      <c r="AJ152" s="40">
        <f t="shared" si="11"/>
        <v>45873</v>
      </c>
      <c r="AK152" s="40"/>
      <c r="AL152" s="40"/>
      <c r="AM152" s="146"/>
      <c r="AQ152" s="184"/>
    </row>
    <row r="153" spans="1:43" ht="17.399999999999999">
      <c r="A153" s="22" t="s">
        <v>18581</v>
      </c>
      <c r="B153" s="22" t="s">
        <v>18582</v>
      </c>
      <c r="C153" s="56">
        <v>45764</v>
      </c>
      <c r="D153" s="56">
        <v>45559</v>
      </c>
      <c r="E153" s="22" t="s">
        <v>18583</v>
      </c>
      <c r="F153" s="22" t="s">
        <v>33</v>
      </c>
      <c r="G153" s="22" t="s">
        <v>33</v>
      </c>
      <c r="H153" s="22" t="s">
        <v>5134</v>
      </c>
      <c r="I153" s="49" t="s">
        <v>279</v>
      </c>
      <c r="J153" s="50" t="s">
        <v>280</v>
      </c>
      <c r="K153" s="22" t="s">
        <v>215</v>
      </c>
      <c r="L153" s="22" t="s">
        <v>60</v>
      </c>
      <c r="M153" s="22">
        <v>2</v>
      </c>
      <c r="N153" s="22" t="s">
        <v>18584</v>
      </c>
      <c r="O153" s="22"/>
      <c r="P153" s="46" t="s">
        <v>685</v>
      </c>
      <c r="Q153" s="40" t="s">
        <v>18585</v>
      </c>
      <c r="R153" s="41">
        <v>45852</v>
      </c>
      <c r="S153" s="22">
        <f t="shared" si="12"/>
        <v>2</v>
      </c>
      <c r="T153" s="41">
        <v>45862</v>
      </c>
      <c r="U153" s="41" t="str">
        <f t="shared" si="16"/>
        <v>Upload in customer box</v>
      </c>
      <c r="V153" s="144">
        <v>45855</v>
      </c>
      <c r="W153" s="144">
        <v>45862</v>
      </c>
      <c r="X153" s="144" t="s">
        <v>18643</v>
      </c>
      <c r="Y153" s="145">
        <v>2</v>
      </c>
      <c r="Z153" s="46" t="s">
        <v>18644</v>
      </c>
      <c r="AA153" s="41"/>
      <c r="AB153" s="22"/>
      <c r="AC153" s="22"/>
      <c r="AD153" s="41"/>
      <c r="AE153" s="22"/>
      <c r="AF153" s="22"/>
      <c r="AG153" s="162">
        <f t="shared" si="13"/>
        <v>0</v>
      </c>
      <c r="AH153" s="48">
        <f t="shared" si="14"/>
        <v>2</v>
      </c>
      <c r="AI153" s="48">
        <f t="shared" si="15"/>
        <v>2</v>
      </c>
      <c r="AJ153" s="40">
        <f t="shared" si="11"/>
        <v>45873</v>
      </c>
      <c r="AK153" s="40"/>
      <c r="AL153" s="40"/>
      <c r="AM153" s="146"/>
      <c r="AQ153" s="184"/>
    </row>
    <row r="154" spans="1:43" ht="17.399999999999999">
      <c r="A154" s="22" t="s">
        <v>18586</v>
      </c>
      <c r="B154" s="22" t="s">
        <v>18587</v>
      </c>
      <c r="C154" s="56">
        <v>45740</v>
      </c>
      <c r="D154" s="56">
        <v>45581</v>
      </c>
      <c r="E154" s="22" t="s">
        <v>18151</v>
      </c>
      <c r="F154" s="22" t="s">
        <v>33</v>
      </c>
      <c r="G154" s="22" t="s">
        <v>33</v>
      </c>
      <c r="H154" s="22" t="s">
        <v>2623</v>
      </c>
      <c r="I154" s="49" t="s">
        <v>57</v>
      </c>
      <c r="J154" s="50" t="s">
        <v>6297</v>
      </c>
      <c r="K154" s="22" t="s">
        <v>493</v>
      </c>
      <c r="L154" s="22" t="s">
        <v>60</v>
      </c>
      <c r="M154" s="22">
        <v>1</v>
      </c>
      <c r="N154" s="22" t="s">
        <v>18588</v>
      </c>
      <c r="O154" s="22"/>
      <c r="P154" s="46" t="s">
        <v>685</v>
      </c>
      <c r="Q154" s="40" t="s">
        <v>18585</v>
      </c>
      <c r="R154" s="41">
        <v>45852</v>
      </c>
      <c r="S154" s="22">
        <f t="shared" si="12"/>
        <v>1</v>
      </c>
      <c r="T154" s="41">
        <v>45862</v>
      </c>
      <c r="U154" s="41" t="str">
        <f t="shared" si="16"/>
        <v>Upload in customer box</v>
      </c>
      <c r="V154" s="144">
        <v>45764</v>
      </c>
      <c r="W154" s="144">
        <v>45862</v>
      </c>
      <c r="X154" s="144" t="s">
        <v>18643</v>
      </c>
      <c r="Y154" s="145">
        <v>1</v>
      </c>
      <c r="Z154" s="46" t="s">
        <v>18644</v>
      </c>
      <c r="AA154" s="41"/>
      <c r="AB154" s="22"/>
      <c r="AC154" s="22"/>
      <c r="AD154" s="41"/>
      <c r="AE154" s="22"/>
      <c r="AF154" s="22"/>
      <c r="AG154" s="162">
        <f t="shared" si="13"/>
        <v>0</v>
      </c>
      <c r="AH154" s="48">
        <f t="shared" si="14"/>
        <v>1</v>
      </c>
      <c r="AI154" s="48">
        <f t="shared" si="15"/>
        <v>1</v>
      </c>
      <c r="AJ154" s="40">
        <f t="shared" si="11"/>
        <v>45873</v>
      </c>
      <c r="AK154" s="40"/>
      <c r="AL154" s="40"/>
      <c r="AM154" s="146"/>
      <c r="AQ154" s="184"/>
    </row>
    <row r="155" spans="1:43" ht="17.399999999999999">
      <c r="A155" s="22" t="s">
        <v>18590</v>
      </c>
      <c r="B155" s="22" t="s">
        <v>18149</v>
      </c>
      <c r="C155" s="56" t="s">
        <v>18591</v>
      </c>
      <c r="D155" s="56" t="s">
        <v>18592</v>
      </c>
      <c r="E155" s="22" t="s">
        <v>18593</v>
      </c>
      <c r="F155" s="22" t="s">
        <v>33</v>
      </c>
      <c r="G155" s="22" t="s">
        <v>33</v>
      </c>
      <c r="H155" s="22" t="s">
        <v>2588</v>
      </c>
      <c r="I155" s="49" t="s">
        <v>1949</v>
      </c>
      <c r="J155" s="50" t="s">
        <v>6304</v>
      </c>
      <c r="K155" s="22" t="s">
        <v>215</v>
      </c>
      <c r="L155" s="22" t="s">
        <v>60</v>
      </c>
      <c r="M155" s="22">
        <v>35</v>
      </c>
      <c r="N155" s="22" t="s">
        <v>18594</v>
      </c>
      <c r="O155" s="22"/>
      <c r="P155" s="46" t="s">
        <v>685</v>
      </c>
      <c r="Q155" s="40" t="s">
        <v>627</v>
      </c>
      <c r="R155" s="41">
        <v>45852</v>
      </c>
      <c r="S155" s="22">
        <f t="shared" si="12"/>
        <v>35</v>
      </c>
      <c r="T155" s="41">
        <v>45862</v>
      </c>
      <c r="U155" s="41" t="str">
        <f t="shared" si="16"/>
        <v>Upload in customer box</v>
      </c>
      <c r="V155" s="144">
        <v>45855</v>
      </c>
      <c r="W155" s="144">
        <v>45862</v>
      </c>
      <c r="X155" s="144" t="s">
        <v>18643</v>
      </c>
      <c r="Y155" s="145">
        <v>35</v>
      </c>
      <c r="Z155" s="46" t="s">
        <v>18644</v>
      </c>
      <c r="AA155" s="41"/>
      <c r="AB155" s="22"/>
      <c r="AC155" s="22"/>
      <c r="AD155" s="41"/>
      <c r="AE155" s="22"/>
      <c r="AF155" s="22"/>
      <c r="AG155" s="162">
        <f t="shared" si="13"/>
        <v>0</v>
      </c>
      <c r="AH155" s="48">
        <f t="shared" si="14"/>
        <v>35</v>
      </c>
      <c r="AI155" s="48">
        <f t="shared" si="15"/>
        <v>35</v>
      </c>
      <c r="AJ155" s="40">
        <f t="shared" si="11"/>
        <v>45873</v>
      </c>
      <c r="AK155" s="40"/>
      <c r="AL155" s="40"/>
      <c r="AM155" s="146"/>
      <c r="AQ155" s="184"/>
    </row>
    <row r="156" spans="1:43" ht="17.399999999999999">
      <c r="A156" s="22" t="s">
        <v>18595</v>
      </c>
      <c r="B156" s="22" t="s">
        <v>287</v>
      </c>
      <c r="C156" s="56">
        <v>45789</v>
      </c>
      <c r="D156" s="56">
        <v>45776</v>
      </c>
      <c r="E156" s="22" t="s">
        <v>18596</v>
      </c>
      <c r="F156" s="22" t="s">
        <v>33</v>
      </c>
      <c r="G156" s="22" t="s">
        <v>33</v>
      </c>
      <c r="H156" s="22" t="s">
        <v>5383</v>
      </c>
      <c r="I156" s="49" t="s">
        <v>818</v>
      </c>
      <c r="J156" s="50" t="s">
        <v>5384</v>
      </c>
      <c r="K156" s="22" t="s">
        <v>51</v>
      </c>
      <c r="L156" s="22" t="s">
        <v>60</v>
      </c>
      <c r="M156" s="22">
        <v>16</v>
      </c>
      <c r="N156" s="22" t="s">
        <v>18597</v>
      </c>
      <c r="O156" s="22"/>
      <c r="P156" s="46" t="s">
        <v>685</v>
      </c>
      <c r="Q156" s="40" t="s">
        <v>627</v>
      </c>
      <c r="R156" s="41">
        <v>45852</v>
      </c>
      <c r="S156" s="22">
        <f t="shared" si="12"/>
        <v>16</v>
      </c>
      <c r="T156" s="41">
        <v>45862</v>
      </c>
      <c r="U156" s="41" t="str">
        <f t="shared" si="16"/>
        <v>Upload in customer box</v>
      </c>
      <c r="V156" s="144">
        <v>45855</v>
      </c>
      <c r="W156" s="144">
        <v>45862</v>
      </c>
      <c r="X156" s="144" t="s">
        <v>18643</v>
      </c>
      <c r="Y156" s="145">
        <v>16</v>
      </c>
      <c r="Z156" s="46" t="s">
        <v>18644</v>
      </c>
      <c r="AA156" s="41"/>
      <c r="AB156" s="22"/>
      <c r="AC156" s="22"/>
      <c r="AD156" s="41"/>
      <c r="AE156" s="22"/>
      <c r="AF156" s="22"/>
      <c r="AG156" s="162">
        <f t="shared" si="13"/>
        <v>0</v>
      </c>
      <c r="AH156" s="48">
        <f t="shared" si="14"/>
        <v>16</v>
      </c>
      <c r="AI156" s="48">
        <f t="shared" si="15"/>
        <v>16</v>
      </c>
      <c r="AJ156" s="40">
        <f t="shared" si="11"/>
        <v>45873</v>
      </c>
      <c r="AK156" s="40"/>
      <c r="AL156" s="40"/>
      <c r="AM156" s="146"/>
      <c r="AQ156" s="184"/>
    </row>
    <row r="157" spans="1:43" s="163" customFormat="1" ht="17.399999999999999">
      <c r="A157" s="157" t="s">
        <v>18598</v>
      </c>
      <c r="B157" s="157" t="s">
        <v>18599</v>
      </c>
      <c r="C157" s="158">
        <v>45826</v>
      </c>
      <c r="D157" s="158">
        <v>45638</v>
      </c>
      <c r="E157" s="157" t="s">
        <v>18600</v>
      </c>
      <c r="F157" s="157" t="s">
        <v>33</v>
      </c>
      <c r="G157" s="157" t="s">
        <v>18661</v>
      </c>
      <c r="H157" s="157" t="s">
        <v>2784</v>
      </c>
      <c r="I157" s="182" t="s">
        <v>2785</v>
      </c>
      <c r="J157" s="183" t="s">
        <v>2786</v>
      </c>
      <c r="K157" s="157" t="s">
        <v>18601</v>
      </c>
      <c r="L157" s="157" t="s">
        <v>60</v>
      </c>
      <c r="M157" s="157">
        <v>2</v>
      </c>
      <c r="N157" s="157" t="s">
        <v>18602</v>
      </c>
      <c r="O157" s="157"/>
      <c r="P157" s="159" t="s">
        <v>19054</v>
      </c>
      <c r="Q157" s="160" t="s">
        <v>18585</v>
      </c>
      <c r="R157" s="161">
        <v>45853</v>
      </c>
      <c r="S157" s="157">
        <f t="shared" si="12"/>
        <v>2</v>
      </c>
      <c r="T157" s="161">
        <v>45875</v>
      </c>
      <c r="U157" s="41" t="str">
        <f t="shared" si="16"/>
        <v/>
      </c>
      <c r="V157" s="189">
        <v>45868</v>
      </c>
      <c r="W157" s="189">
        <v>45874</v>
      </c>
      <c r="X157" s="189" t="s">
        <v>18663</v>
      </c>
      <c r="Y157" s="212">
        <v>2</v>
      </c>
      <c r="Z157" s="159" t="s">
        <v>18668</v>
      </c>
      <c r="AA157" s="161"/>
      <c r="AB157" s="157"/>
      <c r="AC157" s="157"/>
      <c r="AD157" s="161">
        <v>46100</v>
      </c>
      <c r="AE157" s="157" t="s">
        <v>19145</v>
      </c>
      <c r="AF157" s="157">
        <v>2</v>
      </c>
      <c r="AG157" s="162">
        <f t="shared" si="13"/>
        <v>0</v>
      </c>
      <c r="AH157" s="162">
        <f t="shared" si="14"/>
        <v>0</v>
      </c>
      <c r="AI157" s="162">
        <f t="shared" si="15"/>
        <v>0</v>
      </c>
      <c r="AJ157" s="160">
        <f t="shared" si="11"/>
        <v>45874</v>
      </c>
      <c r="AK157" s="160"/>
      <c r="AL157" s="160"/>
      <c r="AM157" s="166"/>
      <c r="AN157" s="157"/>
      <c r="AO157" s="157"/>
      <c r="AP157" s="157"/>
      <c r="AQ157" s="184"/>
    </row>
    <row r="158" spans="1:43" ht="17.399999999999999">
      <c r="A158" s="22" t="s">
        <v>18603</v>
      </c>
      <c r="B158" s="22" t="s">
        <v>346</v>
      </c>
      <c r="C158" s="56" t="s">
        <v>18604</v>
      </c>
      <c r="D158" s="56" t="s">
        <v>33</v>
      </c>
      <c r="E158" s="22" t="s">
        <v>18605</v>
      </c>
      <c r="F158" s="22" t="s">
        <v>33</v>
      </c>
      <c r="G158" s="22" t="s">
        <v>33</v>
      </c>
      <c r="H158" s="22" t="s">
        <v>366</v>
      </c>
      <c r="I158" s="49" t="s">
        <v>362</v>
      </c>
      <c r="J158" s="50" t="s">
        <v>367</v>
      </c>
      <c r="K158" s="22" t="s">
        <v>346</v>
      </c>
      <c r="L158" s="22" t="s">
        <v>60</v>
      </c>
      <c r="M158" s="22">
        <v>17</v>
      </c>
      <c r="N158" s="22" t="s">
        <v>18606</v>
      </c>
      <c r="O158" s="22"/>
      <c r="P158" s="46" t="s">
        <v>18088</v>
      </c>
      <c r="Q158" s="40" t="s">
        <v>627</v>
      </c>
      <c r="R158" s="41">
        <v>45873</v>
      </c>
      <c r="S158" s="22">
        <f t="shared" si="12"/>
        <v>17</v>
      </c>
      <c r="T158" s="41">
        <v>45875</v>
      </c>
      <c r="U158" s="41" t="str">
        <f t="shared" si="16"/>
        <v/>
      </c>
      <c r="V158" s="144">
        <v>45867</v>
      </c>
      <c r="W158" s="144">
        <v>45874</v>
      </c>
      <c r="X158" s="144" t="s">
        <v>18664</v>
      </c>
      <c r="Y158" s="145">
        <v>17</v>
      </c>
      <c r="Z158" s="46" t="s">
        <v>18666</v>
      </c>
      <c r="AA158" s="41"/>
      <c r="AB158" s="22"/>
      <c r="AC158" s="22"/>
      <c r="AD158" s="41"/>
      <c r="AE158" s="22"/>
      <c r="AF158" s="22"/>
      <c r="AG158" s="162">
        <f t="shared" si="13"/>
        <v>0</v>
      </c>
      <c r="AH158" s="48">
        <f t="shared" si="14"/>
        <v>17</v>
      </c>
      <c r="AI158" s="48">
        <f t="shared" si="15"/>
        <v>17</v>
      </c>
      <c r="AJ158" s="40">
        <f t="shared" si="11"/>
        <v>45894</v>
      </c>
      <c r="AK158" s="40"/>
      <c r="AL158" s="40"/>
      <c r="AM158" s="146"/>
      <c r="AQ158" s="184"/>
    </row>
    <row r="159" spans="1:43" ht="17.399999999999999">
      <c r="A159" s="22" t="s">
        <v>18607</v>
      </c>
      <c r="B159" s="22" t="s">
        <v>346</v>
      </c>
      <c r="C159" s="56" t="s">
        <v>18608</v>
      </c>
      <c r="D159" s="56" t="s">
        <v>33</v>
      </c>
      <c r="E159" s="22" t="s">
        <v>33</v>
      </c>
      <c r="F159" s="22" t="s">
        <v>33</v>
      </c>
      <c r="G159" s="22" t="s">
        <v>33</v>
      </c>
      <c r="H159" s="22" t="s">
        <v>351</v>
      </c>
      <c r="I159" s="49" t="s">
        <v>344</v>
      </c>
      <c r="J159" s="50" t="s">
        <v>353</v>
      </c>
      <c r="K159" s="22" t="s">
        <v>346</v>
      </c>
      <c r="L159" s="22" t="s">
        <v>60</v>
      </c>
      <c r="M159" s="22">
        <v>8</v>
      </c>
      <c r="N159" s="22" t="s">
        <v>18609</v>
      </c>
      <c r="O159" s="22"/>
      <c r="P159" s="46" t="s">
        <v>18088</v>
      </c>
      <c r="Q159" s="40" t="s">
        <v>627</v>
      </c>
      <c r="R159" s="41">
        <v>45852</v>
      </c>
      <c r="S159" s="22">
        <f t="shared" si="12"/>
        <v>8</v>
      </c>
      <c r="T159" s="41">
        <v>45875</v>
      </c>
      <c r="U159" s="41" t="str">
        <f t="shared" si="16"/>
        <v/>
      </c>
      <c r="V159" s="144">
        <v>45867</v>
      </c>
      <c r="W159" s="144">
        <v>45874</v>
      </c>
      <c r="X159" s="144" t="s">
        <v>18664</v>
      </c>
      <c r="Y159" s="145">
        <v>8</v>
      </c>
      <c r="Z159" s="46" t="s">
        <v>18666</v>
      </c>
      <c r="AA159" s="41"/>
      <c r="AB159" s="22"/>
      <c r="AC159" s="22"/>
      <c r="AD159" s="41"/>
      <c r="AE159" s="22"/>
      <c r="AF159" s="22"/>
      <c r="AG159" s="162">
        <f t="shared" si="13"/>
        <v>0</v>
      </c>
      <c r="AH159" s="48">
        <f t="shared" si="14"/>
        <v>8</v>
      </c>
      <c r="AI159" s="48">
        <f t="shared" si="15"/>
        <v>8</v>
      </c>
      <c r="AJ159" s="40">
        <f t="shared" si="11"/>
        <v>45873</v>
      </c>
      <c r="AK159" s="40"/>
      <c r="AL159" s="40"/>
      <c r="AM159" s="146"/>
      <c r="AQ159" s="184"/>
    </row>
    <row r="160" spans="1:43" ht="17.399999999999999">
      <c r="A160" s="22" t="s">
        <v>18610</v>
      </c>
      <c r="B160" s="22" t="s">
        <v>346</v>
      </c>
      <c r="C160" s="56" t="s">
        <v>18611</v>
      </c>
      <c r="D160" s="56" t="s">
        <v>33</v>
      </c>
      <c r="E160" s="22" t="s">
        <v>33</v>
      </c>
      <c r="F160" s="22" t="s">
        <v>33</v>
      </c>
      <c r="G160" s="22" t="s">
        <v>692</v>
      </c>
      <c r="H160" s="22" t="s">
        <v>354</v>
      </c>
      <c r="I160" s="49" t="s">
        <v>355</v>
      </c>
      <c r="J160" s="50" t="s">
        <v>356</v>
      </c>
      <c r="K160" s="22" t="s">
        <v>346</v>
      </c>
      <c r="L160" s="22" t="s">
        <v>52</v>
      </c>
      <c r="M160" s="22">
        <v>16</v>
      </c>
      <c r="N160" s="22" t="s">
        <v>18612</v>
      </c>
      <c r="O160" s="22"/>
      <c r="P160" s="46" t="s">
        <v>18088</v>
      </c>
      <c r="Q160" s="40" t="s">
        <v>627</v>
      </c>
      <c r="R160" s="41">
        <v>45852</v>
      </c>
      <c r="S160" s="22">
        <f t="shared" si="12"/>
        <v>16</v>
      </c>
      <c r="T160" s="41">
        <v>45875</v>
      </c>
      <c r="U160" s="41" t="str">
        <f t="shared" si="16"/>
        <v/>
      </c>
      <c r="V160" s="144">
        <v>45867</v>
      </c>
      <c r="W160" s="144">
        <v>45874</v>
      </c>
      <c r="X160" s="144" t="s">
        <v>18664</v>
      </c>
      <c r="Y160" s="145">
        <v>16</v>
      </c>
      <c r="Z160" s="46" t="s">
        <v>18666</v>
      </c>
      <c r="AA160" s="41"/>
      <c r="AB160" s="22"/>
      <c r="AC160" s="22"/>
      <c r="AD160" s="41"/>
      <c r="AE160" s="22"/>
      <c r="AF160" s="22"/>
      <c r="AG160" s="162">
        <f t="shared" si="13"/>
        <v>0</v>
      </c>
      <c r="AH160" s="48">
        <f t="shared" si="14"/>
        <v>16</v>
      </c>
      <c r="AI160" s="48">
        <f t="shared" si="15"/>
        <v>16</v>
      </c>
      <c r="AJ160" s="40">
        <f t="shared" si="11"/>
        <v>45873</v>
      </c>
      <c r="AK160" s="40"/>
      <c r="AL160" s="40"/>
      <c r="AM160" s="146"/>
      <c r="AQ160" s="184"/>
    </row>
    <row r="161" spans="1:43" ht="17.399999999999999">
      <c r="A161" s="22" t="s">
        <v>18613</v>
      </c>
      <c r="B161" s="22" t="s">
        <v>701</v>
      </c>
      <c r="C161" s="56">
        <v>45788</v>
      </c>
      <c r="D161" s="56">
        <v>45664</v>
      </c>
      <c r="E161" s="22" t="s">
        <v>18138</v>
      </c>
      <c r="F161" s="22" t="s">
        <v>33</v>
      </c>
      <c r="G161" s="22" t="s">
        <v>33</v>
      </c>
      <c r="H161" s="22" t="s">
        <v>12016</v>
      </c>
      <c r="I161" s="49" t="s">
        <v>704</v>
      </c>
      <c r="J161" s="50" t="s">
        <v>12017</v>
      </c>
      <c r="K161" s="22" t="s">
        <v>92</v>
      </c>
      <c r="L161" s="22" t="s">
        <v>60</v>
      </c>
      <c r="M161" s="22">
        <v>1</v>
      </c>
      <c r="N161" s="22" t="s">
        <v>18614</v>
      </c>
      <c r="O161" s="22"/>
      <c r="P161" s="46" t="s">
        <v>5205</v>
      </c>
      <c r="Q161" s="40" t="s">
        <v>627</v>
      </c>
      <c r="R161" s="41">
        <v>45853</v>
      </c>
      <c r="S161" s="22">
        <f t="shared" si="12"/>
        <v>1</v>
      </c>
      <c r="T161" s="41">
        <v>45869</v>
      </c>
      <c r="U161" s="41" t="str">
        <f t="shared" si="16"/>
        <v/>
      </c>
      <c r="V161" s="144">
        <v>45883</v>
      </c>
      <c r="W161" s="144">
        <v>45890</v>
      </c>
      <c r="X161" s="144" t="s">
        <v>18689</v>
      </c>
      <c r="Y161" s="145">
        <v>1</v>
      </c>
      <c r="Z161" s="46" t="s">
        <v>18690</v>
      </c>
      <c r="AA161" s="143">
        <v>46099</v>
      </c>
      <c r="AB161" s="22">
        <v>80011614</v>
      </c>
      <c r="AC161" s="22">
        <v>1</v>
      </c>
      <c r="AD161" s="41"/>
      <c r="AE161" s="22"/>
      <c r="AF161" s="22"/>
      <c r="AG161" s="162">
        <f t="shared" si="13"/>
        <v>0</v>
      </c>
      <c r="AH161" s="48">
        <f t="shared" si="14"/>
        <v>0</v>
      </c>
      <c r="AI161" s="48">
        <f t="shared" si="15"/>
        <v>0</v>
      </c>
      <c r="AJ161" s="40">
        <f t="shared" si="11"/>
        <v>45874</v>
      </c>
      <c r="AK161" s="40"/>
      <c r="AL161" s="40"/>
      <c r="AM161" s="146"/>
      <c r="AQ161" s="184"/>
    </row>
    <row r="162" spans="1:43" ht="17.399999999999999">
      <c r="A162" s="22" t="s">
        <v>18615</v>
      </c>
      <c r="B162" s="22" t="s">
        <v>701</v>
      </c>
      <c r="C162" s="56">
        <v>45806</v>
      </c>
      <c r="D162" s="56">
        <v>45686</v>
      </c>
      <c r="E162" s="22" t="s">
        <v>18616</v>
      </c>
      <c r="F162" s="22" t="s">
        <v>33</v>
      </c>
      <c r="G162" s="22" t="s">
        <v>33</v>
      </c>
      <c r="H162" s="22" t="s">
        <v>12020</v>
      </c>
      <c r="I162" s="49" t="s">
        <v>704</v>
      </c>
      <c r="J162" s="50" t="s">
        <v>12021</v>
      </c>
      <c r="K162" s="22" t="s">
        <v>92</v>
      </c>
      <c r="L162" s="22" t="s">
        <v>60</v>
      </c>
      <c r="M162" s="22">
        <v>1</v>
      </c>
      <c r="N162" s="22" t="s">
        <v>740</v>
      </c>
      <c r="O162" s="22"/>
      <c r="P162" s="46" t="s">
        <v>5205</v>
      </c>
      <c r="Q162" s="40" t="s">
        <v>627</v>
      </c>
      <c r="R162" s="41">
        <v>45853</v>
      </c>
      <c r="S162" s="22">
        <f t="shared" si="12"/>
        <v>1</v>
      </c>
      <c r="T162" s="41">
        <v>45869</v>
      </c>
      <c r="U162" s="41" t="str">
        <f t="shared" si="16"/>
        <v/>
      </c>
      <c r="V162" s="144">
        <v>45883</v>
      </c>
      <c r="W162" s="144">
        <v>45890</v>
      </c>
      <c r="X162" s="144" t="s">
        <v>18689</v>
      </c>
      <c r="Y162" s="145">
        <v>1</v>
      </c>
      <c r="Z162" s="46" t="s">
        <v>18690</v>
      </c>
      <c r="AA162" s="143">
        <v>46099</v>
      </c>
      <c r="AB162" s="22">
        <v>80011615</v>
      </c>
      <c r="AC162" s="22">
        <v>1</v>
      </c>
      <c r="AD162" s="41"/>
      <c r="AE162" s="22"/>
      <c r="AF162" s="22"/>
      <c r="AG162" s="162">
        <f t="shared" si="13"/>
        <v>0</v>
      </c>
      <c r="AH162" s="48">
        <f t="shared" si="14"/>
        <v>0</v>
      </c>
      <c r="AI162" s="48">
        <f t="shared" si="15"/>
        <v>0</v>
      </c>
      <c r="AJ162" s="40">
        <f t="shared" si="11"/>
        <v>45874</v>
      </c>
      <c r="AK162" s="40"/>
      <c r="AL162" s="40"/>
      <c r="AM162" s="146"/>
      <c r="AQ162" s="184"/>
    </row>
    <row r="163" spans="1:43" ht="17.399999999999999">
      <c r="A163" s="22" t="s">
        <v>18620</v>
      </c>
      <c r="B163" s="22" t="s">
        <v>18621</v>
      </c>
      <c r="C163" s="56">
        <v>45847</v>
      </c>
      <c r="D163" s="56">
        <v>45824</v>
      </c>
      <c r="E163" s="22" t="s">
        <v>18622</v>
      </c>
      <c r="F163" s="22" t="s">
        <v>33</v>
      </c>
      <c r="G163" s="22" t="s">
        <v>33</v>
      </c>
      <c r="H163" s="22" t="s">
        <v>18623</v>
      </c>
      <c r="I163" s="49" t="s">
        <v>18624</v>
      </c>
      <c r="J163" s="50" t="s">
        <v>18625</v>
      </c>
      <c r="K163" s="22" t="s">
        <v>18626</v>
      </c>
      <c r="L163" s="22" t="s">
        <v>60</v>
      </c>
      <c r="M163" s="22">
        <v>18</v>
      </c>
      <c r="N163" s="22" t="s">
        <v>18627</v>
      </c>
      <c r="O163" s="22"/>
      <c r="P163" s="46" t="s">
        <v>5279</v>
      </c>
      <c r="Q163" s="40" t="s">
        <v>627</v>
      </c>
      <c r="R163" s="41">
        <v>45861</v>
      </c>
      <c r="S163" s="22">
        <f t="shared" si="12"/>
        <v>18</v>
      </c>
      <c r="T163" s="41">
        <v>45869</v>
      </c>
      <c r="U163" s="41" t="str">
        <f t="shared" si="16"/>
        <v/>
      </c>
      <c r="V163" s="144" t="s">
        <v>571</v>
      </c>
      <c r="W163" s="144" t="s">
        <v>571</v>
      </c>
      <c r="X163" s="144" t="s">
        <v>571</v>
      </c>
      <c r="Y163" s="145">
        <v>18</v>
      </c>
      <c r="Z163" s="46" t="s">
        <v>571</v>
      </c>
      <c r="AA163" s="41">
        <v>45908</v>
      </c>
      <c r="AB163" s="22" t="s">
        <v>18695</v>
      </c>
      <c r="AC163" s="22">
        <v>18</v>
      </c>
      <c r="AD163" s="41"/>
      <c r="AE163" s="22"/>
      <c r="AF163" s="22"/>
      <c r="AG163" s="162">
        <f t="shared" si="13"/>
        <v>0</v>
      </c>
      <c r="AH163" s="48">
        <f t="shared" si="14"/>
        <v>0</v>
      </c>
      <c r="AI163" s="48">
        <f t="shared" si="15"/>
        <v>0</v>
      </c>
      <c r="AJ163" s="40">
        <f t="shared" si="11"/>
        <v>45882</v>
      </c>
      <c r="AK163" s="40"/>
      <c r="AL163" s="40"/>
      <c r="AM163" s="146"/>
      <c r="AQ163" s="184"/>
    </row>
    <row r="164" spans="1:43" ht="17.399999999999999">
      <c r="A164" s="22" t="s">
        <v>18628</v>
      </c>
      <c r="B164" s="22" t="s">
        <v>18621</v>
      </c>
      <c r="C164" s="56">
        <v>45847</v>
      </c>
      <c r="D164" s="56">
        <v>45824</v>
      </c>
      <c r="E164" s="22" t="s">
        <v>18622</v>
      </c>
      <c r="F164" s="22" t="s">
        <v>33</v>
      </c>
      <c r="G164" s="22" t="s">
        <v>33</v>
      </c>
      <c r="H164" s="22" t="s">
        <v>18629</v>
      </c>
      <c r="I164" s="49" t="s">
        <v>18630</v>
      </c>
      <c r="J164" s="50" t="s">
        <v>18631</v>
      </c>
      <c r="K164" s="22" t="s">
        <v>18626</v>
      </c>
      <c r="L164" s="22" t="s">
        <v>60</v>
      </c>
      <c r="M164" s="22">
        <v>9</v>
      </c>
      <c r="N164" s="22" t="s">
        <v>18632</v>
      </c>
      <c r="O164" s="22"/>
      <c r="P164" s="46" t="s">
        <v>5279</v>
      </c>
      <c r="Q164" s="40" t="s">
        <v>627</v>
      </c>
      <c r="R164" s="41">
        <v>45861</v>
      </c>
      <c r="S164" s="22">
        <f t="shared" si="12"/>
        <v>9</v>
      </c>
      <c r="T164" s="41">
        <v>45869</v>
      </c>
      <c r="U164" s="41" t="str">
        <f t="shared" si="16"/>
        <v/>
      </c>
      <c r="V164" s="144" t="s">
        <v>571</v>
      </c>
      <c r="W164" s="144" t="s">
        <v>571</v>
      </c>
      <c r="X164" s="144" t="s">
        <v>571</v>
      </c>
      <c r="Y164" s="145">
        <v>9</v>
      </c>
      <c r="Z164" s="46" t="s">
        <v>571</v>
      </c>
      <c r="AA164" s="41">
        <v>45908</v>
      </c>
      <c r="AB164" s="22" t="s">
        <v>18695</v>
      </c>
      <c r="AC164" s="22">
        <v>9</v>
      </c>
      <c r="AD164" s="41"/>
      <c r="AE164" s="22"/>
      <c r="AF164" s="22"/>
      <c r="AG164" s="162">
        <f t="shared" si="13"/>
        <v>0</v>
      </c>
      <c r="AH164" s="48">
        <f t="shared" si="14"/>
        <v>0</v>
      </c>
      <c r="AI164" s="48">
        <f t="shared" si="15"/>
        <v>0</v>
      </c>
      <c r="AJ164" s="40">
        <f t="shared" si="11"/>
        <v>45882</v>
      </c>
      <c r="AK164" s="40"/>
      <c r="AL164" s="40"/>
      <c r="AM164" s="146"/>
      <c r="AQ164" s="184"/>
    </row>
    <row r="165" spans="1:43" ht="17.399999999999999">
      <c r="A165" s="22" t="s">
        <v>18633</v>
      </c>
      <c r="B165" s="22" t="s">
        <v>18621</v>
      </c>
      <c r="C165" s="56">
        <v>45847</v>
      </c>
      <c r="D165" s="56">
        <v>45824</v>
      </c>
      <c r="E165" s="22" t="s">
        <v>18622</v>
      </c>
      <c r="F165" s="22" t="s">
        <v>33</v>
      </c>
      <c r="G165" s="22" t="s">
        <v>33</v>
      </c>
      <c r="H165" s="22" t="s">
        <v>18634</v>
      </c>
      <c r="I165" s="49" t="s">
        <v>18635</v>
      </c>
      <c r="J165" s="50" t="s">
        <v>18636</v>
      </c>
      <c r="K165" s="22" t="s">
        <v>18626</v>
      </c>
      <c r="L165" s="22" t="s">
        <v>60</v>
      </c>
      <c r="M165" s="22">
        <v>18</v>
      </c>
      <c r="N165" s="22" t="s">
        <v>18637</v>
      </c>
      <c r="O165" s="22"/>
      <c r="P165" s="46" t="s">
        <v>5279</v>
      </c>
      <c r="Q165" s="40" t="s">
        <v>627</v>
      </c>
      <c r="R165" s="41">
        <v>45861</v>
      </c>
      <c r="S165" s="22">
        <f t="shared" si="12"/>
        <v>18</v>
      </c>
      <c r="T165" s="41">
        <v>45869</v>
      </c>
      <c r="U165" s="41" t="str">
        <f t="shared" si="16"/>
        <v/>
      </c>
      <c r="V165" s="144" t="s">
        <v>571</v>
      </c>
      <c r="W165" s="144" t="s">
        <v>571</v>
      </c>
      <c r="X165" s="144" t="s">
        <v>571</v>
      </c>
      <c r="Y165" s="145">
        <v>18</v>
      </c>
      <c r="Z165" s="46" t="s">
        <v>571</v>
      </c>
      <c r="AA165" s="41">
        <v>45908</v>
      </c>
      <c r="AB165" s="22" t="s">
        <v>18695</v>
      </c>
      <c r="AC165" s="22">
        <v>18</v>
      </c>
      <c r="AD165" s="41"/>
      <c r="AE165" s="22"/>
      <c r="AF165" s="22"/>
      <c r="AG165" s="162">
        <f t="shared" si="13"/>
        <v>0</v>
      </c>
      <c r="AH165" s="48">
        <f t="shared" si="14"/>
        <v>0</v>
      </c>
      <c r="AI165" s="48">
        <f t="shared" si="15"/>
        <v>0</v>
      </c>
      <c r="AJ165" s="40">
        <f t="shared" si="11"/>
        <v>45882</v>
      </c>
      <c r="AK165" s="40"/>
      <c r="AL165" s="40"/>
      <c r="AM165" s="146"/>
      <c r="AQ165" s="184"/>
    </row>
    <row r="166" spans="1:43" ht="17.399999999999999">
      <c r="A166" s="22" t="s">
        <v>18638</v>
      </c>
      <c r="B166" s="22" t="s">
        <v>18621</v>
      </c>
      <c r="C166" s="56">
        <v>45847</v>
      </c>
      <c r="D166" s="56">
        <v>45824</v>
      </c>
      <c r="E166" s="22" t="s">
        <v>18622</v>
      </c>
      <c r="F166" s="22" t="s">
        <v>33</v>
      </c>
      <c r="G166" s="22" t="s">
        <v>33</v>
      </c>
      <c r="H166" s="22" t="s">
        <v>18639</v>
      </c>
      <c r="I166" s="49" t="s">
        <v>18640</v>
      </c>
      <c r="J166" s="50" t="s">
        <v>18641</v>
      </c>
      <c r="K166" s="22" t="s">
        <v>18626</v>
      </c>
      <c r="L166" s="22" t="s">
        <v>60</v>
      </c>
      <c r="M166" s="22">
        <v>10</v>
      </c>
      <c r="N166" s="22" t="s">
        <v>18642</v>
      </c>
      <c r="O166" s="22"/>
      <c r="P166" s="46" t="s">
        <v>5279</v>
      </c>
      <c r="Q166" s="40" t="s">
        <v>627</v>
      </c>
      <c r="R166" s="41">
        <v>45861</v>
      </c>
      <c r="S166" s="22">
        <f t="shared" si="12"/>
        <v>10</v>
      </c>
      <c r="T166" s="41">
        <v>45869</v>
      </c>
      <c r="U166" s="41" t="str">
        <f t="shared" si="16"/>
        <v/>
      </c>
      <c r="V166" s="144" t="s">
        <v>571</v>
      </c>
      <c r="W166" s="144" t="s">
        <v>571</v>
      </c>
      <c r="X166" s="144" t="s">
        <v>571</v>
      </c>
      <c r="Y166" s="145">
        <v>10</v>
      </c>
      <c r="Z166" s="46" t="s">
        <v>571</v>
      </c>
      <c r="AA166" s="41">
        <v>45908</v>
      </c>
      <c r="AB166" s="22" t="s">
        <v>18695</v>
      </c>
      <c r="AC166" s="22">
        <v>10</v>
      </c>
      <c r="AD166" s="41"/>
      <c r="AE166" s="22"/>
      <c r="AF166" s="22"/>
      <c r="AG166" s="162">
        <f t="shared" si="13"/>
        <v>0</v>
      </c>
      <c r="AH166" s="48">
        <f t="shared" si="14"/>
        <v>0</v>
      </c>
      <c r="AI166" s="48">
        <f t="shared" si="15"/>
        <v>0</v>
      </c>
      <c r="AJ166" s="40">
        <f t="shared" si="11"/>
        <v>45882</v>
      </c>
      <c r="AK166" s="40"/>
      <c r="AL166" s="40"/>
      <c r="AM166" s="146"/>
      <c r="AQ166" s="184"/>
    </row>
    <row r="167" spans="1:43" ht="17.399999999999999">
      <c r="A167" s="22" t="s">
        <v>18645</v>
      </c>
      <c r="B167" s="22" t="s">
        <v>18660</v>
      </c>
      <c r="C167" s="56" t="s">
        <v>18646</v>
      </c>
      <c r="D167" s="56" t="s">
        <v>18647</v>
      </c>
      <c r="E167" s="22" t="s">
        <v>18648</v>
      </c>
      <c r="F167" s="22" t="s">
        <v>33</v>
      </c>
      <c r="G167" s="22" t="s">
        <v>33</v>
      </c>
      <c r="H167" s="22" t="s">
        <v>19311</v>
      </c>
      <c r="I167" s="49" t="s">
        <v>1954</v>
      </c>
      <c r="J167" s="50" t="s">
        <v>9483</v>
      </c>
      <c r="K167" s="22" t="s">
        <v>18649</v>
      </c>
      <c r="L167" s="22" t="s">
        <v>60</v>
      </c>
      <c r="M167" s="22">
        <v>200</v>
      </c>
      <c r="N167" s="22" t="s">
        <v>18650</v>
      </c>
      <c r="O167" s="22"/>
      <c r="P167" s="46" t="s">
        <v>2655</v>
      </c>
      <c r="Q167" s="40" t="s">
        <v>627</v>
      </c>
      <c r="R167" s="41">
        <v>45861</v>
      </c>
      <c r="S167" s="22">
        <f t="shared" si="12"/>
        <v>200</v>
      </c>
      <c r="T167" s="41">
        <v>45875</v>
      </c>
      <c r="U167" s="41" t="str">
        <f t="shared" si="16"/>
        <v/>
      </c>
      <c r="V167" s="144">
        <v>45868</v>
      </c>
      <c r="W167" s="144">
        <v>45874</v>
      </c>
      <c r="X167" s="144" t="s">
        <v>18665</v>
      </c>
      <c r="Y167" s="145">
        <v>200</v>
      </c>
      <c r="Z167" s="46" t="s">
        <v>18667</v>
      </c>
      <c r="AA167" s="41"/>
      <c r="AB167" s="22"/>
      <c r="AC167" s="22"/>
      <c r="AD167" s="41"/>
      <c r="AE167" s="22"/>
      <c r="AF167" s="22"/>
      <c r="AG167" s="162">
        <f t="shared" si="13"/>
        <v>0</v>
      </c>
      <c r="AH167" s="48">
        <f t="shared" si="14"/>
        <v>200</v>
      </c>
      <c r="AI167" s="48">
        <f t="shared" si="15"/>
        <v>200</v>
      </c>
      <c r="AJ167" s="40">
        <f t="shared" si="11"/>
        <v>45882</v>
      </c>
      <c r="AK167" s="40">
        <v>46241</v>
      </c>
      <c r="AL167" s="40"/>
      <c r="AM167" s="146"/>
      <c r="AQ167" s="184"/>
    </row>
    <row r="168" spans="1:43" s="163" customFormat="1" ht="17.399999999999999">
      <c r="A168" s="157" t="s">
        <v>18651</v>
      </c>
      <c r="B168" s="157" t="s">
        <v>18660</v>
      </c>
      <c r="C168" s="158">
        <v>45840</v>
      </c>
      <c r="D168" s="158">
        <v>45825</v>
      </c>
      <c r="E168" s="157" t="s">
        <v>18652</v>
      </c>
      <c r="F168" s="157" t="s">
        <v>33</v>
      </c>
      <c r="G168" s="157" t="s">
        <v>33</v>
      </c>
      <c r="H168" s="157" t="s">
        <v>19304</v>
      </c>
      <c r="I168" s="182" t="s">
        <v>1954</v>
      </c>
      <c r="J168" s="183" t="s">
        <v>9485</v>
      </c>
      <c r="K168" s="157" t="s">
        <v>18649</v>
      </c>
      <c r="L168" s="157" t="s">
        <v>60</v>
      </c>
      <c r="M168" s="157">
        <v>2</v>
      </c>
      <c r="N168" s="157" t="s">
        <v>18653</v>
      </c>
      <c r="O168" s="157"/>
      <c r="P168" s="159" t="s">
        <v>2655</v>
      </c>
      <c r="Q168" s="160" t="s">
        <v>627</v>
      </c>
      <c r="R168" s="161">
        <v>45861</v>
      </c>
      <c r="S168" s="157">
        <f t="shared" si="12"/>
        <v>2</v>
      </c>
      <c r="T168" s="161">
        <v>45875</v>
      </c>
      <c r="U168" s="41" t="str">
        <f t="shared" si="16"/>
        <v/>
      </c>
      <c r="V168" s="189">
        <v>45868</v>
      </c>
      <c r="W168" s="189">
        <v>45874</v>
      </c>
      <c r="X168" s="189" t="s">
        <v>18665</v>
      </c>
      <c r="Y168" s="212">
        <v>2</v>
      </c>
      <c r="Z168" s="159" t="s">
        <v>18667</v>
      </c>
      <c r="AA168" s="161"/>
      <c r="AB168" s="157"/>
      <c r="AC168" s="157"/>
      <c r="AD168" s="161"/>
      <c r="AE168" s="157"/>
      <c r="AF168" s="157"/>
      <c r="AG168" s="162">
        <f t="shared" si="13"/>
        <v>0</v>
      </c>
      <c r="AH168" s="162">
        <f t="shared" si="14"/>
        <v>2</v>
      </c>
      <c r="AI168" s="162">
        <f t="shared" si="15"/>
        <v>2</v>
      </c>
      <c r="AJ168" s="160">
        <f t="shared" si="11"/>
        <v>45882</v>
      </c>
      <c r="AK168" s="160">
        <v>46241</v>
      </c>
      <c r="AL168" s="160"/>
      <c r="AM168" s="166"/>
      <c r="AN168" s="157"/>
      <c r="AO168" s="157"/>
      <c r="AP168" s="157"/>
      <c r="AQ168" s="159"/>
    </row>
    <row r="169" spans="1:43" s="163" customFormat="1" ht="17.399999999999999">
      <c r="A169" s="157" t="s">
        <v>18654</v>
      </c>
      <c r="B169" s="157" t="s">
        <v>18660</v>
      </c>
      <c r="C169" s="158">
        <v>45840</v>
      </c>
      <c r="D169" s="158">
        <v>45825</v>
      </c>
      <c r="E169" s="157" t="s">
        <v>18652</v>
      </c>
      <c r="F169" s="157" t="s">
        <v>33</v>
      </c>
      <c r="G169" s="157" t="s">
        <v>33</v>
      </c>
      <c r="H169" s="157" t="s">
        <v>19305</v>
      </c>
      <c r="I169" s="182" t="s">
        <v>1954</v>
      </c>
      <c r="J169" s="183" t="s">
        <v>9505</v>
      </c>
      <c r="K169" s="157" t="s">
        <v>18649</v>
      </c>
      <c r="L169" s="157" t="s">
        <v>60</v>
      </c>
      <c r="M169" s="157">
        <v>2</v>
      </c>
      <c r="N169" s="157" t="s">
        <v>18653</v>
      </c>
      <c r="O169" s="157"/>
      <c r="P169" s="159" t="s">
        <v>2655</v>
      </c>
      <c r="Q169" s="160" t="s">
        <v>627</v>
      </c>
      <c r="R169" s="161">
        <v>45861</v>
      </c>
      <c r="S169" s="157">
        <f t="shared" si="12"/>
        <v>2</v>
      </c>
      <c r="T169" s="161">
        <v>45875</v>
      </c>
      <c r="U169" s="41" t="str">
        <f t="shared" si="16"/>
        <v/>
      </c>
      <c r="V169" s="189">
        <v>45868</v>
      </c>
      <c r="W169" s="189">
        <v>45874</v>
      </c>
      <c r="X169" s="189" t="s">
        <v>18665</v>
      </c>
      <c r="Y169" s="212">
        <v>2</v>
      </c>
      <c r="Z169" s="159" t="s">
        <v>18667</v>
      </c>
      <c r="AA169" s="161"/>
      <c r="AB169" s="157"/>
      <c r="AC169" s="157"/>
      <c r="AD169" s="161"/>
      <c r="AE169" s="157"/>
      <c r="AF169" s="157"/>
      <c r="AG169" s="162">
        <f t="shared" si="13"/>
        <v>0</v>
      </c>
      <c r="AH169" s="162">
        <f t="shared" si="14"/>
        <v>2</v>
      </c>
      <c r="AI169" s="162">
        <f t="shared" si="15"/>
        <v>2</v>
      </c>
      <c r="AJ169" s="160">
        <f t="shared" si="11"/>
        <v>45882</v>
      </c>
      <c r="AK169" s="160">
        <v>46241</v>
      </c>
      <c r="AL169" s="160"/>
      <c r="AM169" s="166"/>
      <c r="AN169" s="157"/>
      <c r="AO169" s="157"/>
      <c r="AP169" s="157"/>
      <c r="AQ169" s="159"/>
    </row>
    <row r="170" spans="1:43" s="163" customFormat="1" ht="17.399999999999999">
      <c r="A170" s="157" t="s">
        <v>18655</v>
      </c>
      <c r="B170" s="157" t="s">
        <v>18660</v>
      </c>
      <c r="C170" s="158">
        <v>45840</v>
      </c>
      <c r="D170" s="158">
        <v>45825</v>
      </c>
      <c r="E170" s="157" t="s">
        <v>18652</v>
      </c>
      <c r="F170" s="157" t="s">
        <v>33</v>
      </c>
      <c r="G170" s="157" t="s">
        <v>33</v>
      </c>
      <c r="H170" s="157" t="s">
        <v>19306</v>
      </c>
      <c r="I170" s="182" t="s">
        <v>1954</v>
      </c>
      <c r="J170" s="183" t="s">
        <v>9503</v>
      </c>
      <c r="K170" s="157" t="s">
        <v>18649</v>
      </c>
      <c r="L170" s="157" t="s">
        <v>60</v>
      </c>
      <c r="M170" s="157">
        <v>2</v>
      </c>
      <c r="N170" s="157" t="s">
        <v>18653</v>
      </c>
      <c r="O170" s="157"/>
      <c r="P170" s="159" t="s">
        <v>2655</v>
      </c>
      <c r="Q170" s="160" t="s">
        <v>627</v>
      </c>
      <c r="R170" s="161">
        <v>45861</v>
      </c>
      <c r="S170" s="157">
        <f t="shared" si="12"/>
        <v>2</v>
      </c>
      <c r="T170" s="161">
        <v>45875</v>
      </c>
      <c r="U170" s="41" t="str">
        <f t="shared" si="16"/>
        <v/>
      </c>
      <c r="V170" s="189">
        <v>45868</v>
      </c>
      <c r="W170" s="189">
        <v>45874</v>
      </c>
      <c r="X170" s="189" t="s">
        <v>18665</v>
      </c>
      <c r="Y170" s="212">
        <v>2</v>
      </c>
      <c r="Z170" s="159" t="s">
        <v>18667</v>
      </c>
      <c r="AA170" s="161"/>
      <c r="AB170" s="157"/>
      <c r="AC170" s="157"/>
      <c r="AD170" s="161"/>
      <c r="AE170" s="157"/>
      <c r="AF170" s="157"/>
      <c r="AG170" s="162">
        <f t="shared" si="13"/>
        <v>0</v>
      </c>
      <c r="AH170" s="162">
        <f t="shared" si="14"/>
        <v>2</v>
      </c>
      <c r="AI170" s="162">
        <f t="shared" si="15"/>
        <v>2</v>
      </c>
      <c r="AJ170" s="160">
        <f t="shared" si="11"/>
        <v>45882</v>
      </c>
      <c r="AK170" s="160">
        <v>46241</v>
      </c>
      <c r="AL170" s="160"/>
      <c r="AM170" s="166"/>
      <c r="AN170" s="157"/>
      <c r="AO170" s="157"/>
      <c r="AP170" s="157"/>
      <c r="AQ170" s="159"/>
    </row>
    <row r="171" spans="1:43" s="163" customFormat="1" ht="17.399999999999999">
      <c r="A171" s="157" t="s">
        <v>18656</v>
      </c>
      <c r="B171" s="157" t="s">
        <v>18660</v>
      </c>
      <c r="C171" s="158">
        <v>45840</v>
      </c>
      <c r="D171" s="158">
        <v>45825</v>
      </c>
      <c r="E171" s="157" t="s">
        <v>18652</v>
      </c>
      <c r="F171" s="157" t="s">
        <v>33</v>
      </c>
      <c r="G171" s="157" t="s">
        <v>33</v>
      </c>
      <c r="H171" s="157" t="s">
        <v>19307</v>
      </c>
      <c r="I171" s="182" t="s">
        <v>1954</v>
      </c>
      <c r="J171" s="183" t="s">
        <v>9501</v>
      </c>
      <c r="K171" s="157" t="s">
        <v>18649</v>
      </c>
      <c r="L171" s="157" t="s">
        <v>60</v>
      </c>
      <c r="M171" s="157">
        <v>2</v>
      </c>
      <c r="N171" s="157" t="s">
        <v>18653</v>
      </c>
      <c r="O171" s="157"/>
      <c r="P171" s="159" t="s">
        <v>2655</v>
      </c>
      <c r="Q171" s="160" t="s">
        <v>627</v>
      </c>
      <c r="R171" s="161">
        <v>45861</v>
      </c>
      <c r="S171" s="157">
        <f t="shared" si="12"/>
        <v>2</v>
      </c>
      <c r="T171" s="161">
        <v>45875</v>
      </c>
      <c r="U171" s="41" t="str">
        <f t="shared" si="16"/>
        <v/>
      </c>
      <c r="V171" s="189">
        <v>45868</v>
      </c>
      <c r="W171" s="189">
        <v>45874</v>
      </c>
      <c r="X171" s="189" t="s">
        <v>18665</v>
      </c>
      <c r="Y171" s="212">
        <v>2</v>
      </c>
      <c r="Z171" s="159" t="s">
        <v>18667</v>
      </c>
      <c r="AA171" s="161"/>
      <c r="AB171" s="157"/>
      <c r="AC171" s="157"/>
      <c r="AD171" s="161"/>
      <c r="AE171" s="157"/>
      <c r="AF171" s="157"/>
      <c r="AG171" s="162">
        <f t="shared" si="13"/>
        <v>0</v>
      </c>
      <c r="AH171" s="162">
        <f t="shared" si="14"/>
        <v>2</v>
      </c>
      <c r="AI171" s="162">
        <f t="shared" si="15"/>
        <v>2</v>
      </c>
      <c r="AJ171" s="160">
        <f t="shared" si="11"/>
        <v>45882</v>
      </c>
      <c r="AK171" s="160">
        <v>46241</v>
      </c>
      <c r="AL171" s="160"/>
      <c r="AM171" s="166"/>
      <c r="AN171" s="157"/>
      <c r="AO171" s="157"/>
      <c r="AP171" s="157"/>
      <c r="AQ171" s="159"/>
    </row>
    <row r="172" spans="1:43" s="163" customFormat="1" ht="17.399999999999999">
      <c r="A172" s="157" t="s">
        <v>18657</v>
      </c>
      <c r="B172" s="157" t="s">
        <v>18660</v>
      </c>
      <c r="C172" s="158">
        <v>45840</v>
      </c>
      <c r="D172" s="158">
        <v>45825</v>
      </c>
      <c r="E172" s="157" t="s">
        <v>18652</v>
      </c>
      <c r="F172" s="157" t="s">
        <v>33</v>
      </c>
      <c r="G172" s="157" t="s">
        <v>33</v>
      </c>
      <c r="H172" s="157" t="s">
        <v>19308</v>
      </c>
      <c r="I172" s="182" t="s">
        <v>1954</v>
      </c>
      <c r="J172" s="183" t="s">
        <v>9493</v>
      </c>
      <c r="K172" s="157" t="s">
        <v>18649</v>
      </c>
      <c r="L172" s="157" t="s">
        <v>60</v>
      </c>
      <c r="M172" s="157">
        <v>2</v>
      </c>
      <c r="N172" s="157" t="s">
        <v>18653</v>
      </c>
      <c r="O172" s="157"/>
      <c r="P172" s="159" t="s">
        <v>2655</v>
      </c>
      <c r="Q172" s="160" t="s">
        <v>627</v>
      </c>
      <c r="R172" s="161">
        <v>45861</v>
      </c>
      <c r="S172" s="157">
        <f t="shared" si="12"/>
        <v>2</v>
      </c>
      <c r="T172" s="161">
        <v>45875</v>
      </c>
      <c r="U172" s="41" t="str">
        <f t="shared" si="16"/>
        <v/>
      </c>
      <c r="V172" s="189">
        <v>45868</v>
      </c>
      <c r="W172" s="189">
        <v>45874</v>
      </c>
      <c r="X172" s="189" t="s">
        <v>18665</v>
      </c>
      <c r="Y172" s="212">
        <v>2</v>
      </c>
      <c r="Z172" s="159" t="s">
        <v>18667</v>
      </c>
      <c r="AA172" s="161"/>
      <c r="AB172" s="157"/>
      <c r="AC172" s="157"/>
      <c r="AD172" s="161"/>
      <c r="AE172" s="157"/>
      <c r="AF172" s="157"/>
      <c r="AG172" s="162">
        <f t="shared" si="13"/>
        <v>0</v>
      </c>
      <c r="AH172" s="162">
        <f t="shared" si="14"/>
        <v>2</v>
      </c>
      <c r="AI172" s="162">
        <f t="shared" si="15"/>
        <v>2</v>
      </c>
      <c r="AJ172" s="160">
        <f t="shared" si="11"/>
        <v>45882</v>
      </c>
      <c r="AK172" s="160">
        <v>46241</v>
      </c>
      <c r="AL172" s="160"/>
      <c r="AM172" s="166"/>
      <c r="AN172" s="157"/>
      <c r="AO172" s="157"/>
      <c r="AP172" s="157"/>
      <c r="AQ172" s="159"/>
    </row>
    <row r="173" spans="1:43" s="163" customFormat="1" ht="17.399999999999999">
      <c r="A173" s="157" t="s">
        <v>18658</v>
      </c>
      <c r="B173" s="157" t="s">
        <v>18660</v>
      </c>
      <c r="C173" s="158">
        <v>45840</v>
      </c>
      <c r="D173" s="158">
        <v>45825</v>
      </c>
      <c r="E173" s="157" t="s">
        <v>18652</v>
      </c>
      <c r="F173" s="157" t="s">
        <v>33</v>
      </c>
      <c r="G173" s="157" t="s">
        <v>33</v>
      </c>
      <c r="H173" s="157" t="s">
        <v>19309</v>
      </c>
      <c r="I173" s="182" t="s">
        <v>1954</v>
      </c>
      <c r="J173" s="183" t="s">
        <v>9495</v>
      </c>
      <c r="K173" s="157" t="s">
        <v>18649</v>
      </c>
      <c r="L173" s="157" t="s">
        <v>60</v>
      </c>
      <c r="M173" s="157">
        <v>2</v>
      </c>
      <c r="N173" s="157" t="s">
        <v>18653</v>
      </c>
      <c r="O173" s="157"/>
      <c r="P173" s="159" t="s">
        <v>2655</v>
      </c>
      <c r="Q173" s="160" t="s">
        <v>627</v>
      </c>
      <c r="R173" s="161">
        <v>45861</v>
      </c>
      <c r="S173" s="157">
        <f t="shared" si="12"/>
        <v>2</v>
      </c>
      <c r="T173" s="161">
        <v>45875</v>
      </c>
      <c r="U173" s="41" t="str">
        <f t="shared" si="16"/>
        <v/>
      </c>
      <c r="V173" s="189">
        <v>45868</v>
      </c>
      <c r="W173" s="189">
        <v>45874</v>
      </c>
      <c r="X173" s="189" t="s">
        <v>18665</v>
      </c>
      <c r="Y173" s="212">
        <v>2</v>
      </c>
      <c r="Z173" s="159" t="s">
        <v>18667</v>
      </c>
      <c r="AA173" s="161"/>
      <c r="AB173" s="157"/>
      <c r="AC173" s="157"/>
      <c r="AD173" s="161"/>
      <c r="AE173" s="157"/>
      <c r="AF173" s="157"/>
      <c r="AG173" s="162">
        <f t="shared" si="13"/>
        <v>0</v>
      </c>
      <c r="AH173" s="162">
        <f t="shared" si="14"/>
        <v>2</v>
      </c>
      <c r="AI173" s="162">
        <f t="shared" si="15"/>
        <v>2</v>
      </c>
      <c r="AJ173" s="160">
        <f t="shared" si="11"/>
        <v>45882</v>
      </c>
      <c r="AK173" s="160">
        <v>46241</v>
      </c>
      <c r="AL173" s="160"/>
      <c r="AM173" s="166"/>
      <c r="AN173" s="157"/>
      <c r="AO173" s="157"/>
      <c r="AP173" s="157"/>
      <c r="AQ173" s="159"/>
    </row>
    <row r="174" spans="1:43" s="163" customFormat="1" ht="17.399999999999999">
      <c r="A174" s="157" t="s">
        <v>18659</v>
      </c>
      <c r="B174" s="157" t="s">
        <v>18660</v>
      </c>
      <c r="C174" s="158">
        <v>45840</v>
      </c>
      <c r="D174" s="158">
        <v>45825</v>
      </c>
      <c r="E174" s="157" t="s">
        <v>18652</v>
      </c>
      <c r="F174" s="157" t="s">
        <v>33</v>
      </c>
      <c r="G174" s="157" t="s">
        <v>33</v>
      </c>
      <c r="H174" s="157" t="s">
        <v>19310</v>
      </c>
      <c r="I174" s="182" t="s">
        <v>1954</v>
      </c>
      <c r="J174" s="183" t="s">
        <v>9499</v>
      </c>
      <c r="K174" s="157" t="s">
        <v>18649</v>
      </c>
      <c r="L174" s="157" t="s">
        <v>60</v>
      </c>
      <c r="M174" s="157">
        <v>2</v>
      </c>
      <c r="N174" s="157" t="s">
        <v>18653</v>
      </c>
      <c r="O174" s="157"/>
      <c r="P174" s="159" t="s">
        <v>2655</v>
      </c>
      <c r="Q174" s="160" t="s">
        <v>627</v>
      </c>
      <c r="R174" s="161">
        <v>45861</v>
      </c>
      <c r="S174" s="157">
        <f t="shared" si="12"/>
        <v>2</v>
      </c>
      <c r="T174" s="161">
        <v>45875</v>
      </c>
      <c r="U174" s="41" t="str">
        <f t="shared" si="16"/>
        <v/>
      </c>
      <c r="V174" s="189">
        <v>45868</v>
      </c>
      <c r="W174" s="189">
        <v>45874</v>
      </c>
      <c r="X174" s="189" t="s">
        <v>18665</v>
      </c>
      <c r="Y174" s="212">
        <v>2</v>
      </c>
      <c r="Z174" s="159" t="s">
        <v>18667</v>
      </c>
      <c r="AA174" s="161"/>
      <c r="AB174" s="157"/>
      <c r="AC174" s="157"/>
      <c r="AD174" s="161"/>
      <c r="AE174" s="157"/>
      <c r="AF174" s="157"/>
      <c r="AG174" s="162">
        <f t="shared" si="13"/>
        <v>0</v>
      </c>
      <c r="AH174" s="162">
        <f t="shared" si="14"/>
        <v>2</v>
      </c>
      <c r="AI174" s="162">
        <f t="shared" si="15"/>
        <v>2</v>
      </c>
      <c r="AJ174" s="160">
        <f t="shared" ref="AJ174:AJ237" si="17">IF(A174="","",R174+21)</f>
        <v>45882</v>
      </c>
      <c r="AK174" s="160">
        <v>46241</v>
      </c>
      <c r="AL174" s="160"/>
      <c r="AM174" s="166"/>
      <c r="AN174" s="157"/>
      <c r="AO174" s="157"/>
      <c r="AP174" s="157"/>
      <c r="AQ174" s="159"/>
    </row>
    <row r="175" spans="1:43" ht="17.399999999999999">
      <c r="A175" s="22" t="s">
        <v>18669</v>
      </c>
      <c r="B175" s="22" t="s">
        <v>18670</v>
      </c>
      <c r="C175" s="56">
        <v>45871</v>
      </c>
      <c r="D175" s="56">
        <v>45636</v>
      </c>
      <c r="E175" s="22" t="s">
        <v>18671</v>
      </c>
      <c r="F175" s="22" t="s">
        <v>33</v>
      </c>
      <c r="G175" s="22" t="s">
        <v>33</v>
      </c>
      <c r="H175" s="22" t="s">
        <v>5405</v>
      </c>
      <c r="I175" s="49" t="s">
        <v>2652</v>
      </c>
      <c r="J175" s="50" t="s">
        <v>5406</v>
      </c>
      <c r="K175" s="22" t="s">
        <v>18672</v>
      </c>
      <c r="L175" s="22" t="s">
        <v>60</v>
      </c>
      <c r="M175" s="22">
        <v>1</v>
      </c>
      <c r="N175" s="22" t="s">
        <v>18673</v>
      </c>
      <c r="O175" s="22"/>
      <c r="P175" s="46" t="s">
        <v>2655</v>
      </c>
      <c r="Q175" s="40" t="s">
        <v>627</v>
      </c>
      <c r="R175" s="41">
        <v>45876</v>
      </c>
      <c r="S175" s="22">
        <f t="shared" si="12"/>
        <v>1</v>
      </c>
      <c r="T175" s="41">
        <v>45901</v>
      </c>
      <c r="U175" s="41" t="str">
        <f t="shared" si="16"/>
        <v/>
      </c>
      <c r="V175" s="144">
        <v>45894</v>
      </c>
      <c r="W175" s="144">
        <v>45897</v>
      </c>
      <c r="X175" s="144" t="s">
        <v>18696</v>
      </c>
      <c r="Y175" s="145">
        <v>1</v>
      </c>
      <c r="Z175" s="46" t="s">
        <v>18697</v>
      </c>
      <c r="AA175" s="41">
        <v>45960</v>
      </c>
      <c r="AB175" s="22" t="s">
        <v>18877</v>
      </c>
      <c r="AC175" s="22">
        <v>1</v>
      </c>
      <c r="AD175" s="41"/>
      <c r="AE175" s="22"/>
      <c r="AF175" s="22"/>
      <c r="AG175" s="162">
        <f t="shared" si="13"/>
        <v>0</v>
      </c>
      <c r="AH175" s="48">
        <f t="shared" si="14"/>
        <v>0</v>
      </c>
      <c r="AI175" s="48">
        <f t="shared" si="15"/>
        <v>0</v>
      </c>
      <c r="AJ175" s="40">
        <f t="shared" si="17"/>
        <v>45897</v>
      </c>
      <c r="AK175" s="209">
        <v>46241</v>
      </c>
      <c r="AL175" s="40"/>
      <c r="AM175" s="146"/>
      <c r="AQ175" s="184"/>
    </row>
    <row r="176" spans="1:43" ht="17.399999999999999">
      <c r="A176" s="22" t="s">
        <v>18698</v>
      </c>
      <c r="B176" s="22" t="s">
        <v>346</v>
      </c>
      <c r="C176" s="56" t="s">
        <v>18699</v>
      </c>
      <c r="D176" s="56" t="s">
        <v>33</v>
      </c>
      <c r="E176" s="22" t="s">
        <v>18700</v>
      </c>
      <c r="F176" s="22" t="s">
        <v>33</v>
      </c>
      <c r="G176" s="22" t="s">
        <v>33</v>
      </c>
      <c r="H176" s="22" t="s">
        <v>366</v>
      </c>
      <c r="I176" s="49" t="s">
        <v>362</v>
      </c>
      <c r="J176" s="50" t="s">
        <v>367</v>
      </c>
      <c r="K176" s="22" t="s">
        <v>346</v>
      </c>
      <c r="L176" s="22" t="s">
        <v>60</v>
      </c>
      <c r="M176" s="22">
        <v>49</v>
      </c>
      <c r="N176" s="22" t="s">
        <v>18701</v>
      </c>
      <c r="O176" s="22"/>
      <c r="P176" s="46" t="s">
        <v>18088</v>
      </c>
      <c r="Q176" s="40" t="s">
        <v>627</v>
      </c>
      <c r="R176" s="41">
        <v>45889</v>
      </c>
      <c r="S176" s="22">
        <f t="shared" si="12"/>
        <v>49</v>
      </c>
      <c r="T176" s="41">
        <v>45901</v>
      </c>
      <c r="U176" s="41" t="str">
        <f t="shared" si="16"/>
        <v/>
      </c>
      <c r="V176" s="144">
        <v>45894</v>
      </c>
      <c r="W176" s="144">
        <v>45897</v>
      </c>
      <c r="X176" s="144" t="s">
        <v>18702</v>
      </c>
      <c r="Y176" s="145">
        <v>49</v>
      </c>
      <c r="Z176" s="46" t="s">
        <v>18703</v>
      </c>
      <c r="AA176" s="41"/>
      <c r="AB176" s="22"/>
      <c r="AC176" s="22"/>
      <c r="AD176" s="41"/>
      <c r="AE176" s="22"/>
      <c r="AF176" s="22"/>
      <c r="AG176" s="162">
        <f t="shared" si="13"/>
        <v>0</v>
      </c>
      <c r="AH176" s="48">
        <f t="shared" si="14"/>
        <v>49</v>
      </c>
      <c r="AI176" s="48">
        <f t="shared" si="15"/>
        <v>49</v>
      </c>
      <c r="AJ176" s="40">
        <f t="shared" si="17"/>
        <v>45910</v>
      </c>
      <c r="AK176" s="40"/>
      <c r="AL176" s="40"/>
      <c r="AM176" s="146"/>
      <c r="AQ176" s="184"/>
    </row>
    <row r="177" spans="1:43" ht="17.399999999999999">
      <c r="A177" s="22" t="s">
        <v>18704</v>
      </c>
      <c r="B177" s="22" t="s">
        <v>287</v>
      </c>
      <c r="C177" s="56" t="s">
        <v>18705</v>
      </c>
      <c r="D177" s="56">
        <v>45610</v>
      </c>
      <c r="E177" s="22" t="s">
        <v>18170</v>
      </c>
      <c r="F177" s="22" t="s">
        <v>33</v>
      </c>
      <c r="G177" s="22" t="s">
        <v>33</v>
      </c>
      <c r="H177" s="22" t="s">
        <v>12224</v>
      </c>
      <c r="I177" s="49" t="s">
        <v>174</v>
      </c>
      <c r="J177" s="50" t="s">
        <v>12225</v>
      </c>
      <c r="K177" s="22" t="s">
        <v>51</v>
      </c>
      <c r="L177" s="22" t="s">
        <v>60</v>
      </c>
      <c r="M177" s="22">
        <v>2</v>
      </c>
      <c r="N177" s="22" t="s">
        <v>18706</v>
      </c>
      <c r="O177" s="22"/>
      <c r="P177" s="46" t="s">
        <v>683</v>
      </c>
      <c r="Q177" s="40" t="s">
        <v>627</v>
      </c>
      <c r="R177" s="41">
        <v>45890</v>
      </c>
      <c r="S177" s="22">
        <f t="shared" si="12"/>
        <v>2</v>
      </c>
      <c r="T177" s="41">
        <v>45895</v>
      </c>
      <c r="U177" s="41" t="str">
        <f t="shared" si="16"/>
        <v>Upload in customer box</v>
      </c>
      <c r="V177" s="144">
        <v>45993</v>
      </c>
      <c r="W177" s="144">
        <v>46000</v>
      </c>
      <c r="X177" s="144" t="s">
        <v>18987</v>
      </c>
      <c r="Y177" s="145">
        <v>2</v>
      </c>
      <c r="Z177" s="46" t="s">
        <v>18994</v>
      </c>
      <c r="AA177" s="41">
        <v>46245</v>
      </c>
      <c r="AB177" s="153" t="s">
        <v>19405</v>
      </c>
      <c r="AC177" s="22">
        <v>1</v>
      </c>
      <c r="AD177" s="41"/>
      <c r="AE177" s="22"/>
      <c r="AF177" s="22"/>
      <c r="AG177" s="162">
        <f t="shared" si="13"/>
        <v>0</v>
      </c>
      <c r="AH177" s="48">
        <f t="shared" si="14"/>
        <v>1</v>
      </c>
      <c r="AI177" s="48">
        <f t="shared" si="15"/>
        <v>1</v>
      </c>
      <c r="AJ177" s="40">
        <f t="shared" si="17"/>
        <v>45911</v>
      </c>
      <c r="AK177" s="40">
        <v>46225</v>
      </c>
      <c r="AL177" s="40"/>
      <c r="AM177" s="146"/>
      <c r="AQ177" s="184"/>
    </row>
    <row r="178" spans="1:43" s="163" customFormat="1" ht="17.399999999999999">
      <c r="A178" s="157" t="s">
        <v>18707</v>
      </c>
      <c r="B178" s="157" t="s">
        <v>18462</v>
      </c>
      <c r="C178" s="158">
        <v>45888</v>
      </c>
      <c r="D178" s="158">
        <v>45727</v>
      </c>
      <c r="E178" s="157" t="s">
        <v>18328</v>
      </c>
      <c r="F178" s="157" t="s">
        <v>33</v>
      </c>
      <c r="G178" s="157" t="s">
        <v>18708</v>
      </c>
      <c r="H178" s="157" t="s">
        <v>3011</v>
      </c>
      <c r="I178" s="182" t="s">
        <v>1472</v>
      </c>
      <c r="J178" s="183" t="s">
        <v>3012</v>
      </c>
      <c r="K178" s="157" t="s">
        <v>18464</v>
      </c>
      <c r="L178" s="157" t="s">
        <v>60</v>
      </c>
      <c r="M178" s="157">
        <v>5</v>
      </c>
      <c r="N178" s="157" t="s">
        <v>18709</v>
      </c>
      <c r="O178" s="157"/>
      <c r="P178" s="159" t="s">
        <v>19054</v>
      </c>
      <c r="Q178" s="160" t="s">
        <v>627</v>
      </c>
      <c r="R178" s="161">
        <v>45890</v>
      </c>
      <c r="S178" s="157">
        <f t="shared" si="12"/>
        <v>5</v>
      </c>
      <c r="T178" s="161">
        <v>45902</v>
      </c>
      <c r="U178" s="41" t="str">
        <f t="shared" si="16"/>
        <v/>
      </c>
      <c r="V178" s="189">
        <v>45896</v>
      </c>
      <c r="W178" s="189">
        <v>45902</v>
      </c>
      <c r="X178" s="189" t="s">
        <v>18710</v>
      </c>
      <c r="Y178" s="212">
        <v>5</v>
      </c>
      <c r="Z178" s="159" t="s">
        <v>18711</v>
      </c>
      <c r="AA178" s="161"/>
      <c r="AB178" s="157"/>
      <c r="AC178" s="157"/>
      <c r="AD178" s="161">
        <v>46100</v>
      </c>
      <c r="AE178" s="157" t="s">
        <v>19145</v>
      </c>
      <c r="AF178" s="157">
        <v>5</v>
      </c>
      <c r="AG178" s="162">
        <f t="shared" si="13"/>
        <v>0</v>
      </c>
      <c r="AH178" s="162">
        <f t="shared" si="14"/>
        <v>0</v>
      </c>
      <c r="AI178" s="162">
        <f t="shared" si="15"/>
        <v>0</v>
      </c>
      <c r="AJ178" s="160">
        <f t="shared" si="17"/>
        <v>45911</v>
      </c>
      <c r="AK178" s="160"/>
      <c r="AL178" s="160"/>
      <c r="AM178" s="166"/>
      <c r="AN178" s="157"/>
      <c r="AO178" s="157"/>
      <c r="AP178" s="157"/>
      <c r="AQ178" s="184"/>
    </row>
    <row r="179" spans="1:43" s="163" customFormat="1" ht="17.399999999999999">
      <c r="A179" s="157" t="s">
        <v>18712</v>
      </c>
      <c r="B179" s="157" t="s">
        <v>50</v>
      </c>
      <c r="C179" s="158">
        <v>45894</v>
      </c>
      <c r="D179" s="158">
        <v>45873</v>
      </c>
      <c r="E179" s="157" t="s">
        <v>18713</v>
      </c>
      <c r="F179" s="157">
        <v>350</v>
      </c>
      <c r="G179" s="157" t="s">
        <v>18536</v>
      </c>
      <c r="H179" s="157" t="s">
        <v>82</v>
      </c>
      <c r="I179" s="182" t="s">
        <v>83</v>
      </c>
      <c r="J179" s="183" t="s">
        <v>84</v>
      </c>
      <c r="K179" s="157" t="s">
        <v>18329</v>
      </c>
      <c r="L179" s="157" t="s">
        <v>60</v>
      </c>
      <c r="M179" s="157">
        <v>1</v>
      </c>
      <c r="N179" s="157" t="s">
        <v>18714</v>
      </c>
      <c r="O179" s="157"/>
      <c r="P179" s="159" t="s">
        <v>19054</v>
      </c>
      <c r="Q179" s="160" t="s">
        <v>728</v>
      </c>
      <c r="R179" s="161">
        <v>45894</v>
      </c>
      <c r="S179" s="157">
        <f t="shared" si="12"/>
        <v>1</v>
      </c>
      <c r="T179" s="161">
        <v>45902</v>
      </c>
      <c r="U179" s="41" t="str">
        <f t="shared" si="16"/>
        <v/>
      </c>
      <c r="V179" s="189">
        <v>45896</v>
      </c>
      <c r="W179" s="189">
        <v>45902</v>
      </c>
      <c r="X179" s="189" t="s">
        <v>18710</v>
      </c>
      <c r="Y179" s="212">
        <v>1</v>
      </c>
      <c r="Z179" s="159" t="s">
        <v>18711</v>
      </c>
      <c r="AA179" s="161"/>
      <c r="AB179" s="157"/>
      <c r="AC179" s="157"/>
      <c r="AD179" s="161">
        <v>46100</v>
      </c>
      <c r="AE179" s="157" t="s">
        <v>19145</v>
      </c>
      <c r="AF179" s="157">
        <v>1</v>
      </c>
      <c r="AG179" s="162">
        <f t="shared" si="13"/>
        <v>0</v>
      </c>
      <c r="AH179" s="162">
        <f t="shared" si="14"/>
        <v>0</v>
      </c>
      <c r="AI179" s="162">
        <f t="shared" si="15"/>
        <v>0</v>
      </c>
      <c r="AJ179" s="160">
        <f t="shared" si="17"/>
        <v>45915</v>
      </c>
      <c r="AK179" s="160"/>
      <c r="AL179" s="160"/>
      <c r="AM179" s="166"/>
      <c r="AN179" s="157"/>
      <c r="AO179" s="157"/>
      <c r="AP179" s="157"/>
      <c r="AQ179" s="184"/>
    </row>
    <row r="180" spans="1:43" ht="17.399999999999999">
      <c r="A180" s="22" t="s">
        <v>18715</v>
      </c>
      <c r="B180" s="22" t="s">
        <v>18716</v>
      </c>
      <c r="C180" s="56">
        <v>45715</v>
      </c>
      <c r="D180" s="56">
        <v>45586</v>
      </c>
      <c r="E180" s="22" t="s">
        <v>18717</v>
      </c>
      <c r="F180" s="22" t="s">
        <v>33</v>
      </c>
      <c r="G180" s="22" t="s">
        <v>33</v>
      </c>
      <c r="H180" s="22" t="s">
        <v>475</v>
      </c>
      <c r="I180" s="49" t="s">
        <v>174</v>
      </c>
      <c r="J180" s="50" t="s">
        <v>476</v>
      </c>
      <c r="K180" s="22" t="s">
        <v>215</v>
      </c>
      <c r="L180" s="22" t="s">
        <v>60</v>
      </c>
      <c r="M180" s="22">
        <v>2</v>
      </c>
      <c r="N180" s="22" t="s">
        <v>18718</v>
      </c>
      <c r="O180" s="22"/>
      <c r="P180" s="46" t="s">
        <v>683</v>
      </c>
      <c r="Q180" s="40" t="s">
        <v>627</v>
      </c>
      <c r="R180" s="41">
        <v>45897</v>
      </c>
      <c r="S180" s="22">
        <f t="shared" si="12"/>
        <v>2</v>
      </c>
      <c r="T180" s="41">
        <v>45901</v>
      </c>
      <c r="U180" s="41" t="str">
        <f t="shared" si="16"/>
        <v>Upload in customer box</v>
      </c>
      <c r="V180" s="144">
        <v>45993</v>
      </c>
      <c r="W180" s="144">
        <v>46000</v>
      </c>
      <c r="X180" s="144" t="s">
        <v>18987</v>
      </c>
      <c r="Y180" s="145">
        <v>2</v>
      </c>
      <c r="Z180" s="46" t="s">
        <v>18994</v>
      </c>
      <c r="AA180" s="41">
        <v>46245</v>
      </c>
      <c r="AB180" s="153" t="s">
        <v>19405</v>
      </c>
      <c r="AC180" s="22">
        <v>2</v>
      </c>
      <c r="AD180" s="41"/>
      <c r="AE180" s="22"/>
      <c r="AF180" s="22"/>
      <c r="AG180" s="162">
        <f t="shared" si="13"/>
        <v>0</v>
      </c>
      <c r="AH180" s="48">
        <f t="shared" si="14"/>
        <v>0</v>
      </c>
      <c r="AI180" s="48">
        <f t="shared" si="15"/>
        <v>0</v>
      </c>
      <c r="AJ180" s="40">
        <f t="shared" si="17"/>
        <v>45918</v>
      </c>
      <c r="AK180" s="40">
        <v>46225</v>
      </c>
      <c r="AL180" s="40"/>
      <c r="AM180" s="146"/>
      <c r="AQ180" s="184"/>
    </row>
    <row r="181" spans="1:43" ht="17.399999999999999">
      <c r="A181" s="22" t="s">
        <v>18719</v>
      </c>
      <c r="B181" s="22" t="s">
        <v>18720</v>
      </c>
      <c r="C181" s="56" t="s">
        <v>18721</v>
      </c>
      <c r="D181" s="56" t="s">
        <v>18722</v>
      </c>
      <c r="E181" s="22" t="s">
        <v>18723</v>
      </c>
      <c r="F181" s="22" t="s">
        <v>33</v>
      </c>
      <c r="G181" s="22" t="s">
        <v>33</v>
      </c>
      <c r="H181" s="22" t="s">
        <v>469</v>
      </c>
      <c r="I181" s="49" t="s">
        <v>174</v>
      </c>
      <c r="J181" s="50" t="s">
        <v>470</v>
      </c>
      <c r="K181" s="22" t="s">
        <v>18106</v>
      </c>
      <c r="L181" s="22" t="s">
        <v>60</v>
      </c>
      <c r="M181" s="22">
        <v>8</v>
      </c>
      <c r="N181" s="22" t="s">
        <v>18724</v>
      </c>
      <c r="O181" s="22"/>
      <c r="P181" s="46" t="s">
        <v>683</v>
      </c>
      <c r="Q181" s="40" t="s">
        <v>627</v>
      </c>
      <c r="R181" s="41">
        <v>45897</v>
      </c>
      <c r="S181" s="22">
        <f t="shared" si="12"/>
        <v>8</v>
      </c>
      <c r="T181" s="41">
        <v>45901</v>
      </c>
      <c r="U181" s="41" t="str">
        <f t="shared" si="16"/>
        <v>Upload in customer box</v>
      </c>
      <c r="V181" s="144">
        <v>45993</v>
      </c>
      <c r="W181" s="144">
        <v>46000</v>
      </c>
      <c r="X181" s="144" t="s">
        <v>18987</v>
      </c>
      <c r="Y181" s="145">
        <v>8</v>
      </c>
      <c r="Z181" s="46" t="s">
        <v>18994</v>
      </c>
      <c r="AA181" s="41">
        <v>46245</v>
      </c>
      <c r="AB181" s="153" t="s">
        <v>19405</v>
      </c>
      <c r="AC181" s="22">
        <v>3</v>
      </c>
      <c r="AD181" s="41"/>
      <c r="AE181" s="22"/>
      <c r="AF181" s="22"/>
      <c r="AG181" s="162">
        <f t="shared" si="13"/>
        <v>0</v>
      </c>
      <c r="AH181" s="48">
        <f t="shared" si="14"/>
        <v>5</v>
      </c>
      <c r="AI181" s="48">
        <f t="shared" si="15"/>
        <v>5</v>
      </c>
      <c r="AJ181" s="40">
        <f t="shared" si="17"/>
        <v>45918</v>
      </c>
      <c r="AK181" s="40">
        <v>46225</v>
      </c>
      <c r="AL181" s="40"/>
      <c r="AM181" s="146"/>
      <c r="AQ181" s="184"/>
    </row>
    <row r="182" spans="1:43" ht="17.399999999999999">
      <c r="A182" s="22" t="s">
        <v>18725</v>
      </c>
      <c r="B182" s="22" t="s">
        <v>359</v>
      </c>
      <c r="C182" s="56" t="s">
        <v>18684</v>
      </c>
      <c r="D182" s="56" t="s">
        <v>33</v>
      </c>
      <c r="E182" s="22" t="s">
        <v>33</v>
      </c>
      <c r="F182" s="22" t="s">
        <v>33</v>
      </c>
      <c r="G182" s="22" t="s">
        <v>67</v>
      </c>
      <c r="H182" s="22" t="s">
        <v>1477</v>
      </c>
      <c r="I182" s="49" t="s">
        <v>994</v>
      </c>
      <c r="J182" s="50" t="s">
        <v>1478</v>
      </c>
      <c r="K182" s="22" t="s">
        <v>980</v>
      </c>
      <c r="L182" s="22" t="s">
        <v>60</v>
      </c>
      <c r="M182" s="22">
        <v>1</v>
      </c>
      <c r="N182" s="22" t="s">
        <v>18878</v>
      </c>
      <c r="O182" s="22"/>
      <c r="P182" s="46" t="s">
        <v>681</v>
      </c>
      <c r="Q182" s="40" t="s">
        <v>627</v>
      </c>
      <c r="R182" s="41">
        <v>45902</v>
      </c>
      <c r="S182" s="22">
        <f t="shared" si="12"/>
        <v>1</v>
      </c>
      <c r="T182" s="41">
        <v>45932</v>
      </c>
      <c r="U182" s="41" t="str">
        <f t="shared" si="16"/>
        <v/>
      </c>
      <c r="V182" s="144">
        <v>45923</v>
      </c>
      <c r="W182" s="144">
        <v>45932</v>
      </c>
      <c r="X182" s="144" t="s">
        <v>18879</v>
      </c>
      <c r="Y182" s="145">
        <v>1</v>
      </c>
      <c r="Z182" s="46" t="s">
        <v>18880</v>
      </c>
      <c r="AA182" s="41"/>
      <c r="AB182" s="22"/>
      <c r="AC182" s="22"/>
      <c r="AD182" s="41">
        <v>46203</v>
      </c>
      <c r="AE182" s="22" t="s">
        <v>19290</v>
      </c>
      <c r="AF182" s="22">
        <v>1</v>
      </c>
      <c r="AG182" s="162">
        <f t="shared" si="13"/>
        <v>0</v>
      </c>
      <c r="AH182" s="48">
        <f t="shared" si="14"/>
        <v>0</v>
      </c>
      <c r="AI182" s="48">
        <f t="shared" si="15"/>
        <v>0</v>
      </c>
      <c r="AJ182" s="40">
        <f t="shared" si="17"/>
        <v>45923</v>
      </c>
      <c r="AK182" s="40"/>
      <c r="AL182" s="40"/>
      <c r="AM182" s="146"/>
      <c r="AQ182" s="184"/>
    </row>
    <row r="183" spans="1:43" ht="17.399999999999999">
      <c r="A183" s="22" t="s">
        <v>18726</v>
      </c>
      <c r="B183" s="22" t="s">
        <v>18683</v>
      </c>
      <c r="C183" s="56" t="s">
        <v>18684</v>
      </c>
      <c r="D183" s="56" t="s">
        <v>33</v>
      </c>
      <c r="E183" s="22" t="s">
        <v>33</v>
      </c>
      <c r="F183" s="22" t="s">
        <v>33</v>
      </c>
      <c r="G183" s="22" t="s">
        <v>18727</v>
      </c>
      <c r="H183" s="22" t="s">
        <v>410</v>
      </c>
      <c r="I183" s="49" t="s">
        <v>404</v>
      </c>
      <c r="J183" s="50" t="s">
        <v>411</v>
      </c>
      <c r="K183" s="22" t="s">
        <v>980</v>
      </c>
      <c r="L183" s="22" t="s">
        <v>60</v>
      </c>
      <c r="M183" s="22">
        <v>355</v>
      </c>
      <c r="N183" s="22" t="s">
        <v>18728</v>
      </c>
      <c r="O183" s="22"/>
      <c r="P183" s="46" t="s">
        <v>681</v>
      </c>
      <c r="Q183" s="40" t="s">
        <v>627</v>
      </c>
      <c r="R183" s="41">
        <v>45902</v>
      </c>
      <c r="S183" s="22">
        <f t="shared" si="12"/>
        <v>355</v>
      </c>
      <c r="T183" s="41">
        <v>45917</v>
      </c>
      <c r="U183" s="41" t="str">
        <f t="shared" si="16"/>
        <v/>
      </c>
      <c r="V183" s="144" t="s">
        <v>18729</v>
      </c>
      <c r="W183" s="144">
        <v>45916</v>
      </c>
      <c r="X183" s="144" t="s">
        <v>18730</v>
      </c>
      <c r="Y183" s="145">
        <v>355</v>
      </c>
      <c r="Z183" s="46" t="s">
        <v>18731</v>
      </c>
      <c r="AA183" s="41">
        <v>45974</v>
      </c>
      <c r="AB183" s="22" t="s">
        <v>18881</v>
      </c>
      <c r="AC183" s="22">
        <v>355</v>
      </c>
      <c r="AD183" s="41"/>
      <c r="AE183" s="22"/>
      <c r="AF183" s="22"/>
      <c r="AG183" s="162">
        <f t="shared" si="13"/>
        <v>0</v>
      </c>
      <c r="AH183" s="48">
        <f t="shared" si="14"/>
        <v>0</v>
      </c>
      <c r="AI183" s="48">
        <f t="shared" si="15"/>
        <v>0</v>
      </c>
      <c r="AJ183" s="40">
        <f t="shared" si="17"/>
        <v>45923</v>
      </c>
      <c r="AK183" s="40"/>
      <c r="AL183" s="40"/>
      <c r="AM183" s="146"/>
      <c r="AQ183" s="184"/>
    </row>
    <row r="184" spans="1:43" ht="17.399999999999999">
      <c r="A184" s="22" t="s">
        <v>18732</v>
      </c>
      <c r="B184" s="22" t="s">
        <v>18733</v>
      </c>
      <c r="C184" s="56" t="s">
        <v>18734</v>
      </c>
      <c r="D184" s="56" t="s">
        <v>18735</v>
      </c>
      <c r="E184" s="22" t="s">
        <v>18736</v>
      </c>
      <c r="F184" s="22" t="s">
        <v>33</v>
      </c>
      <c r="G184" s="22" t="s">
        <v>33</v>
      </c>
      <c r="H184" s="22" t="s">
        <v>18737</v>
      </c>
      <c r="I184" s="49" t="s">
        <v>18738</v>
      </c>
      <c r="J184" s="50" t="s">
        <v>18739</v>
      </c>
      <c r="K184" s="22" t="s">
        <v>18740</v>
      </c>
      <c r="L184" s="22" t="s">
        <v>60</v>
      </c>
      <c r="M184" s="22">
        <v>407</v>
      </c>
      <c r="N184" s="22" t="s">
        <v>18741</v>
      </c>
      <c r="O184" s="22"/>
      <c r="P184" s="46" t="s">
        <v>685</v>
      </c>
      <c r="Q184" s="40" t="s">
        <v>627</v>
      </c>
      <c r="R184" s="41">
        <v>45904</v>
      </c>
      <c r="S184" s="22">
        <f t="shared" si="12"/>
        <v>407</v>
      </c>
      <c r="T184" s="41">
        <v>45911</v>
      </c>
      <c r="U184" s="41" t="str">
        <f t="shared" si="16"/>
        <v>Upload in customer box</v>
      </c>
      <c r="V184" s="144">
        <v>45908</v>
      </c>
      <c r="W184" s="144">
        <v>45911</v>
      </c>
      <c r="X184" s="144" t="s">
        <v>18742</v>
      </c>
      <c r="Y184" s="145">
        <v>407</v>
      </c>
      <c r="Z184" s="46" t="s">
        <v>18743</v>
      </c>
      <c r="AA184" s="41"/>
      <c r="AB184" s="22"/>
      <c r="AC184" s="22"/>
      <c r="AD184" s="41">
        <v>45930</v>
      </c>
      <c r="AE184" s="22" t="s">
        <v>18882</v>
      </c>
      <c r="AF184" s="22">
        <v>407</v>
      </c>
      <c r="AG184" s="162">
        <f t="shared" si="13"/>
        <v>0</v>
      </c>
      <c r="AH184" s="48">
        <f t="shared" si="14"/>
        <v>0</v>
      </c>
      <c r="AI184" s="48">
        <f t="shared" si="15"/>
        <v>0</v>
      </c>
      <c r="AJ184" s="40">
        <f t="shared" si="17"/>
        <v>45925</v>
      </c>
      <c r="AK184" s="40"/>
      <c r="AL184" s="40"/>
      <c r="AM184" s="146"/>
      <c r="AQ184" s="184"/>
    </row>
    <row r="185" spans="1:43" s="163" customFormat="1" ht="17.399999999999999">
      <c r="A185" s="157" t="s">
        <v>18744</v>
      </c>
      <c r="B185" s="157" t="s">
        <v>18303</v>
      </c>
      <c r="C185" s="158">
        <v>45782</v>
      </c>
      <c r="D185" s="158">
        <v>45670</v>
      </c>
      <c r="E185" s="157" t="s">
        <v>18745</v>
      </c>
      <c r="F185" s="157" t="s">
        <v>33</v>
      </c>
      <c r="G185" s="157" t="s">
        <v>33</v>
      </c>
      <c r="H185" s="157" t="s">
        <v>5261</v>
      </c>
      <c r="I185" s="182" t="s">
        <v>174</v>
      </c>
      <c r="J185" s="183" t="s">
        <v>476</v>
      </c>
      <c r="K185" s="157" t="s">
        <v>59</v>
      </c>
      <c r="L185" s="157" t="s">
        <v>60</v>
      </c>
      <c r="M185" s="157">
        <v>1</v>
      </c>
      <c r="N185" s="157" t="s">
        <v>18374</v>
      </c>
      <c r="O185" s="157"/>
      <c r="P185" s="159" t="s">
        <v>19055</v>
      </c>
      <c r="Q185" s="160" t="s">
        <v>627</v>
      </c>
      <c r="R185" s="161">
        <v>45904</v>
      </c>
      <c r="S185" s="157">
        <f t="shared" si="12"/>
        <v>1</v>
      </c>
      <c r="T185" s="161">
        <v>45917</v>
      </c>
      <c r="U185" s="41" t="str">
        <f t="shared" si="16"/>
        <v>Upload in customer box</v>
      </c>
      <c r="V185" s="189">
        <v>45910</v>
      </c>
      <c r="W185" s="189">
        <v>45916</v>
      </c>
      <c r="X185" s="189" t="s">
        <v>18746</v>
      </c>
      <c r="Y185" s="212">
        <v>1</v>
      </c>
      <c r="Z185" s="159" t="s">
        <v>18747</v>
      </c>
      <c r="AA185" s="161"/>
      <c r="AB185" s="157"/>
      <c r="AC185" s="157"/>
      <c r="AD185" s="161">
        <v>46085</v>
      </c>
      <c r="AE185" s="157" t="s">
        <v>19148</v>
      </c>
      <c r="AF185" s="157">
        <v>1</v>
      </c>
      <c r="AG185" s="162">
        <f t="shared" si="13"/>
        <v>0</v>
      </c>
      <c r="AH185" s="162">
        <f t="shared" si="14"/>
        <v>0</v>
      </c>
      <c r="AI185" s="162">
        <f t="shared" si="15"/>
        <v>0</v>
      </c>
      <c r="AJ185" s="160">
        <f t="shared" si="17"/>
        <v>45925</v>
      </c>
      <c r="AK185" s="206">
        <v>45978</v>
      </c>
      <c r="AL185" s="160"/>
      <c r="AM185" s="166"/>
      <c r="AN185" s="157"/>
      <c r="AO185" s="157"/>
      <c r="AP185" s="157"/>
      <c r="AQ185" s="184"/>
    </row>
    <row r="186" spans="1:43" ht="17.399999999999999">
      <c r="A186" s="22" t="s">
        <v>18675</v>
      </c>
      <c r="B186" s="22" t="s">
        <v>50</v>
      </c>
      <c r="C186" s="56">
        <v>45876</v>
      </c>
      <c r="D186" s="56">
        <v>45867</v>
      </c>
      <c r="E186" s="22" t="s">
        <v>18676</v>
      </c>
      <c r="F186" s="22">
        <v>50000</v>
      </c>
      <c r="G186" s="22" t="s">
        <v>18677</v>
      </c>
      <c r="H186" s="22" t="s">
        <v>260</v>
      </c>
      <c r="I186" s="49" t="s">
        <v>206</v>
      </c>
      <c r="J186" s="50" t="s">
        <v>207</v>
      </c>
      <c r="K186" s="22" t="s">
        <v>215</v>
      </c>
      <c r="L186" s="22" t="s">
        <v>60</v>
      </c>
      <c r="M186" s="22">
        <v>47</v>
      </c>
      <c r="N186" s="22" t="s">
        <v>18678</v>
      </c>
      <c r="O186" s="22"/>
      <c r="P186" s="46" t="s">
        <v>685</v>
      </c>
      <c r="Q186" s="40" t="s">
        <v>728</v>
      </c>
      <c r="R186" s="41">
        <v>45910</v>
      </c>
      <c r="S186" s="22">
        <f t="shared" si="12"/>
        <v>47</v>
      </c>
      <c r="T186" s="41">
        <v>45916</v>
      </c>
      <c r="U186" s="41" t="str">
        <f t="shared" si="16"/>
        <v>Upload in customer box</v>
      </c>
      <c r="V186" s="144" t="s">
        <v>571</v>
      </c>
      <c r="W186" s="144" t="s">
        <v>571</v>
      </c>
      <c r="X186" s="144" t="s">
        <v>571</v>
      </c>
      <c r="Y186" s="145">
        <v>47</v>
      </c>
      <c r="Z186" s="46" t="s">
        <v>571</v>
      </c>
      <c r="AA186" s="41"/>
      <c r="AB186" s="22"/>
      <c r="AC186" s="22"/>
      <c r="AD186" s="41"/>
      <c r="AE186" s="22"/>
      <c r="AF186" s="22"/>
      <c r="AG186" s="162">
        <f t="shared" si="13"/>
        <v>0</v>
      </c>
      <c r="AH186" s="48">
        <f t="shared" si="14"/>
        <v>47</v>
      </c>
      <c r="AI186" s="48">
        <f t="shared" si="15"/>
        <v>47</v>
      </c>
      <c r="AJ186" s="40">
        <f t="shared" si="17"/>
        <v>45931</v>
      </c>
      <c r="AK186" s="40"/>
      <c r="AL186" s="40"/>
      <c r="AM186" s="146"/>
      <c r="AQ186" s="184"/>
    </row>
    <row r="187" spans="1:43" ht="17.399999999999999">
      <c r="A187" s="22" t="s">
        <v>18679</v>
      </c>
      <c r="B187" s="22" t="s">
        <v>269</v>
      </c>
      <c r="C187" s="56">
        <v>45874</v>
      </c>
      <c r="D187" s="56">
        <v>45789</v>
      </c>
      <c r="E187" s="22" t="s">
        <v>18680</v>
      </c>
      <c r="F187" s="22" t="s">
        <v>33</v>
      </c>
      <c r="G187" s="22" t="s">
        <v>33</v>
      </c>
      <c r="H187" s="22" t="s">
        <v>205</v>
      </c>
      <c r="I187" s="49" t="s">
        <v>206</v>
      </c>
      <c r="J187" s="50" t="s">
        <v>207</v>
      </c>
      <c r="K187" s="22" t="s">
        <v>2748</v>
      </c>
      <c r="L187" s="22" t="s">
        <v>60</v>
      </c>
      <c r="M187" s="22">
        <v>11</v>
      </c>
      <c r="N187" s="22" t="s">
        <v>18681</v>
      </c>
      <c r="O187" s="22"/>
      <c r="P187" s="46" t="s">
        <v>685</v>
      </c>
      <c r="Q187" s="40" t="s">
        <v>627</v>
      </c>
      <c r="R187" s="41">
        <v>45910</v>
      </c>
      <c r="S187" s="22">
        <f t="shared" si="12"/>
        <v>11</v>
      </c>
      <c r="T187" s="41">
        <v>45916</v>
      </c>
      <c r="U187" s="41" t="str">
        <f t="shared" si="16"/>
        <v>Upload in customer box</v>
      </c>
      <c r="V187" s="144" t="s">
        <v>571</v>
      </c>
      <c r="W187" s="144" t="s">
        <v>571</v>
      </c>
      <c r="X187" s="144" t="s">
        <v>571</v>
      </c>
      <c r="Y187" s="145">
        <v>11</v>
      </c>
      <c r="Z187" s="46" t="s">
        <v>571</v>
      </c>
      <c r="AA187" s="41"/>
      <c r="AB187" s="22"/>
      <c r="AC187" s="22"/>
      <c r="AD187" s="41">
        <v>46203</v>
      </c>
      <c r="AE187" s="22" t="s">
        <v>19298</v>
      </c>
      <c r="AF187" s="22">
        <v>11</v>
      </c>
      <c r="AG187" s="162">
        <f t="shared" si="13"/>
        <v>0</v>
      </c>
      <c r="AH187" s="48">
        <f t="shared" si="14"/>
        <v>0</v>
      </c>
      <c r="AI187" s="48">
        <f t="shared" si="15"/>
        <v>0</v>
      </c>
      <c r="AJ187" s="40">
        <f t="shared" si="17"/>
        <v>45931</v>
      </c>
      <c r="AK187" s="40"/>
      <c r="AL187" s="40"/>
      <c r="AM187" s="146"/>
      <c r="AQ187" s="184"/>
    </row>
    <row r="188" spans="1:43" ht="17.399999999999999">
      <c r="A188" s="22" t="s">
        <v>18682</v>
      </c>
      <c r="B188" s="22" t="s">
        <v>18683</v>
      </c>
      <c r="C188" s="56" t="s">
        <v>18684</v>
      </c>
      <c r="D188" s="56" t="s">
        <v>33</v>
      </c>
      <c r="E188" s="22" t="s">
        <v>33</v>
      </c>
      <c r="F188" s="22" t="s">
        <v>33</v>
      </c>
      <c r="G188" s="22" t="s">
        <v>18685</v>
      </c>
      <c r="H188" s="22" t="s">
        <v>410</v>
      </c>
      <c r="I188" s="49" t="s">
        <v>404</v>
      </c>
      <c r="J188" s="50" t="s">
        <v>411</v>
      </c>
      <c r="K188" s="22" t="s">
        <v>980</v>
      </c>
      <c r="L188" s="22" t="s">
        <v>60</v>
      </c>
      <c r="M188" s="22">
        <v>306</v>
      </c>
      <c r="N188" s="22" t="s">
        <v>18686</v>
      </c>
      <c r="O188" s="22"/>
      <c r="P188" s="46" t="s">
        <v>681</v>
      </c>
      <c r="Q188" s="40" t="s">
        <v>627</v>
      </c>
      <c r="R188" s="41">
        <v>45911</v>
      </c>
      <c r="S188" s="22">
        <f t="shared" si="12"/>
        <v>306</v>
      </c>
      <c r="T188" s="41">
        <v>46009</v>
      </c>
      <c r="U188" s="41" t="str">
        <f t="shared" si="16"/>
        <v/>
      </c>
      <c r="V188" s="144">
        <v>46002</v>
      </c>
      <c r="W188" s="144">
        <v>46009</v>
      </c>
      <c r="X188" s="144" t="s">
        <v>19024</v>
      </c>
      <c r="Y188" s="145">
        <v>306</v>
      </c>
      <c r="Z188" s="46" t="s">
        <v>19029</v>
      </c>
      <c r="AA188" s="41"/>
      <c r="AB188" s="22"/>
      <c r="AC188" s="22"/>
      <c r="AD188" s="41"/>
      <c r="AE188" s="22"/>
      <c r="AF188" s="22"/>
      <c r="AG188" s="162">
        <f t="shared" si="13"/>
        <v>0</v>
      </c>
      <c r="AH188" s="48">
        <f t="shared" si="14"/>
        <v>306</v>
      </c>
      <c r="AI188" s="48">
        <f t="shared" si="15"/>
        <v>306</v>
      </c>
      <c r="AJ188" s="40">
        <f t="shared" si="17"/>
        <v>45932</v>
      </c>
      <c r="AK188" s="40"/>
      <c r="AL188" s="40"/>
      <c r="AM188" s="146"/>
      <c r="AQ188" s="184"/>
    </row>
    <row r="189" spans="1:43" s="163" customFormat="1" ht="17.399999999999999">
      <c r="A189" s="157" t="s">
        <v>18883</v>
      </c>
      <c r="B189" s="157" t="s">
        <v>18599</v>
      </c>
      <c r="C189" s="158">
        <v>45902</v>
      </c>
      <c r="D189" s="158">
        <v>45783</v>
      </c>
      <c r="E189" s="157" t="s">
        <v>18884</v>
      </c>
      <c r="F189" s="157" t="s">
        <v>33</v>
      </c>
      <c r="G189" s="157" t="s">
        <v>33</v>
      </c>
      <c r="H189" s="157" t="s">
        <v>2784</v>
      </c>
      <c r="I189" s="182" t="s">
        <v>2785</v>
      </c>
      <c r="J189" s="183" t="s">
        <v>2786</v>
      </c>
      <c r="K189" s="157" t="s">
        <v>18601</v>
      </c>
      <c r="L189" s="157" t="s">
        <v>60</v>
      </c>
      <c r="M189" s="157">
        <v>1</v>
      </c>
      <c r="N189" s="157" t="s">
        <v>18885</v>
      </c>
      <c r="O189" s="157"/>
      <c r="P189" s="159" t="s">
        <v>19054</v>
      </c>
      <c r="Q189" s="160" t="s">
        <v>18886</v>
      </c>
      <c r="R189" s="161">
        <v>45917</v>
      </c>
      <c r="S189" s="157">
        <f t="shared" si="12"/>
        <v>1</v>
      </c>
      <c r="T189" s="161">
        <v>45937</v>
      </c>
      <c r="U189" s="41" t="str">
        <f t="shared" si="16"/>
        <v/>
      </c>
      <c r="V189" s="189">
        <v>45925</v>
      </c>
      <c r="W189" s="189">
        <v>45937</v>
      </c>
      <c r="X189" s="189" t="s">
        <v>18887</v>
      </c>
      <c r="Y189" s="212">
        <v>1</v>
      </c>
      <c r="Z189" s="159" t="s">
        <v>18888</v>
      </c>
      <c r="AA189" s="161"/>
      <c r="AB189" s="157"/>
      <c r="AC189" s="157"/>
      <c r="AD189" s="161">
        <v>46100</v>
      </c>
      <c r="AE189" s="157" t="s">
        <v>19145</v>
      </c>
      <c r="AF189" s="157">
        <v>1</v>
      </c>
      <c r="AG189" s="162">
        <f t="shared" si="13"/>
        <v>0</v>
      </c>
      <c r="AH189" s="162">
        <f t="shared" si="14"/>
        <v>0</v>
      </c>
      <c r="AI189" s="162">
        <f t="shared" si="15"/>
        <v>0</v>
      </c>
      <c r="AJ189" s="160">
        <f t="shared" si="17"/>
        <v>45938</v>
      </c>
      <c r="AK189" s="160"/>
      <c r="AL189" s="160"/>
      <c r="AM189" s="166"/>
      <c r="AN189" s="157"/>
      <c r="AO189" s="157"/>
      <c r="AP189" s="157"/>
      <c r="AQ189" s="184"/>
    </row>
    <row r="190" spans="1:43" s="163" customFormat="1" ht="17.399999999999999">
      <c r="A190" s="157" t="s">
        <v>18889</v>
      </c>
      <c r="B190" s="157" t="s">
        <v>50</v>
      </c>
      <c r="C190" s="158">
        <v>45910</v>
      </c>
      <c r="D190" s="158">
        <v>45904</v>
      </c>
      <c r="E190" s="157" t="s">
        <v>18890</v>
      </c>
      <c r="F190" s="157">
        <v>350</v>
      </c>
      <c r="G190" s="157" t="s">
        <v>18536</v>
      </c>
      <c r="H190" s="157" t="s">
        <v>82</v>
      </c>
      <c r="I190" s="182" t="s">
        <v>83</v>
      </c>
      <c r="J190" s="183" t="s">
        <v>84</v>
      </c>
      <c r="K190" s="157" t="s">
        <v>18329</v>
      </c>
      <c r="L190" s="157" t="s">
        <v>60</v>
      </c>
      <c r="M190" s="157">
        <v>2</v>
      </c>
      <c r="N190" s="157" t="s">
        <v>18891</v>
      </c>
      <c r="O190" s="157"/>
      <c r="P190" s="159" t="s">
        <v>19054</v>
      </c>
      <c r="Q190" s="160" t="s">
        <v>728</v>
      </c>
      <c r="R190" s="161">
        <v>45917</v>
      </c>
      <c r="S190" s="157">
        <f t="shared" si="12"/>
        <v>2</v>
      </c>
      <c r="T190" s="161">
        <v>45937</v>
      </c>
      <c r="U190" s="41" t="str">
        <f t="shared" si="16"/>
        <v/>
      </c>
      <c r="V190" s="189">
        <v>45925</v>
      </c>
      <c r="W190" s="189">
        <v>45937</v>
      </c>
      <c r="X190" s="189" t="s">
        <v>18887</v>
      </c>
      <c r="Y190" s="212">
        <v>2</v>
      </c>
      <c r="Z190" s="159" t="s">
        <v>18888</v>
      </c>
      <c r="AA190" s="161"/>
      <c r="AB190" s="157"/>
      <c r="AC190" s="157"/>
      <c r="AD190" s="161">
        <v>46100</v>
      </c>
      <c r="AE190" s="157" t="s">
        <v>19145</v>
      </c>
      <c r="AF190" s="157">
        <v>2</v>
      </c>
      <c r="AG190" s="162">
        <f t="shared" si="13"/>
        <v>0</v>
      </c>
      <c r="AH190" s="162">
        <f t="shared" si="14"/>
        <v>0</v>
      </c>
      <c r="AI190" s="162">
        <f t="shared" si="15"/>
        <v>0</v>
      </c>
      <c r="AJ190" s="160">
        <f t="shared" si="17"/>
        <v>45938</v>
      </c>
      <c r="AK190" s="160"/>
      <c r="AL190" s="160"/>
      <c r="AM190" s="166"/>
      <c r="AN190" s="157"/>
      <c r="AO190" s="157"/>
      <c r="AP190" s="157"/>
      <c r="AQ190" s="184"/>
    </row>
    <row r="191" spans="1:43" s="163" customFormat="1" ht="17.399999999999999">
      <c r="A191" s="157" t="s">
        <v>18892</v>
      </c>
      <c r="B191" s="157" t="s">
        <v>18893</v>
      </c>
      <c r="C191" s="158">
        <v>45916</v>
      </c>
      <c r="D191" s="158">
        <v>45909</v>
      </c>
      <c r="E191" s="157" t="s">
        <v>18894</v>
      </c>
      <c r="F191" s="157" t="s">
        <v>33</v>
      </c>
      <c r="G191" s="157" t="s">
        <v>33</v>
      </c>
      <c r="H191" s="157" t="s">
        <v>19300</v>
      </c>
      <c r="I191" s="182" t="s">
        <v>17970</v>
      </c>
      <c r="J191" s="183" t="s">
        <v>17970</v>
      </c>
      <c r="K191" s="157" t="s">
        <v>18740</v>
      </c>
      <c r="L191" s="157" t="s">
        <v>60</v>
      </c>
      <c r="M191" s="157">
        <v>200</v>
      </c>
      <c r="N191" s="157" t="s">
        <v>18896</v>
      </c>
      <c r="O191" s="157"/>
      <c r="P191" s="159" t="s">
        <v>19299</v>
      </c>
      <c r="Q191" s="160" t="s">
        <v>627</v>
      </c>
      <c r="R191" s="161">
        <v>45917</v>
      </c>
      <c r="S191" s="157">
        <f t="shared" si="12"/>
        <v>200</v>
      </c>
      <c r="T191" s="161">
        <v>45932</v>
      </c>
      <c r="U191" s="41" t="str">
        <f t="shared" si="16"/>
        <v>Upload in customer box</v>
      </c>
      <c r="V191" s="164">
        <v>45925</v>
      </c>
      <c r="W191" s="164">
        <v>45932</v>
      </c>
      <c r="X191" s="159" t="s">
        <v>18897</v>
      </c>
      <c r="Y191" s="159">
        <v>200</v>
      </c>
      <c r="Z191" s="159" t="s">
        <v>18898</v>
      </c>
      <c r="AA191" s="161">
        <v>46063</v>
      </c>
      <c r="AB191" s="157" t="s">
        <v>19099</v>
      </c>
      <c r="AC191" s="157">
        <v>200</v>
      </c>
      <c r="AD191" s="161"/>
      <c r="AE191" s="157"/>
      <c r="AF191" s="157"/>
      <c r="AG191" s="162">
        <f t="shared" si="13"/>
        <v>0</v>
      </c>
      <c r="AH191" s="162">
        <f t="shared" si="14"/>
        <v>0</v>
      </c>
      <c r="AI191" s="162">
        <f t="shared" si="15"/>
        <v>0</v>
      </c>
      <c r="AJ191" s="160">
        <f t="shared" si="17"/>
        <v>45938</v>
      </c>
      <c r="AK191" s="160"/>
      <c r="AL191" s="160"/>
      <c r="AM191" s="157"/>
      <c r="AN191" s="157"/>
      <c r="AO191" s="157"/>
      <c r="AP191" s="157"/>
      <c r="AQ191" s="184"/>
    </row>
    <row r="192" spans="1:43" ht="17.399999999999999" customHeight="1">
      <c r="A192" s="22" t="s">
        <v>18905</v>
      </c>
      <c r="B192" s="22" t="s">
        <v>346</v>
      </c>
      <c r="C192" s="56" t="s">
        <v>18906</v>
      </c>
      <c r="D192" s="56" t="s">
        <v>33</v>
      </c>
      <c r="E192" s="22" t="s">
        <v>18907</v>
      </c>
      <c r="F192" s="22" t="s">
        <v>33</v>
      </c>
      <c r="G192" s="22" t="s">
        <v>33</v>
      </c>
      <c r="H192" s="22" t="s">
        <v>366</v>
      </c>
      <c r="I192" s="49" t="s">
        <v>362</v>
      </c>
      <c r="J192" s="50" t="s">
        <v>367</v>
      </c>
      <c r="K192" s="22" t="s">
        <v>346</v>
      </c>
      <c r="L192" s="22" t="s">
        <v>60</v>
      </c>
      <c r="M192" s="22">
        <v>22</v>
      </c>
      <c r="N192" s="22" t="s">
        <v>18908</v>
      </c>
      <c r="O192" s="22"/>
      <c r="P192" s="46" t="s">
        <v>18088</v>
      </c>
      <c r="Q192" s="40" t="s">
        <v>627</v>
      </c>
      <c r="R192" s="41">
        <v>45917</v>
      </c>
      <c r="S192" s="22">
        <f t="shared" si="12"/>
        <v>22</v>
      </c>
      <c r="T192" s="41">
        <v>45932</v>
      </c>
      <c r="U192" s="41" t="str">
        <f t="shared" si="16"/>
        <v/>
      </c>
      <c r="V192" s="44">
        <v>45925</v>
      </c>
      <c r="W192" s="44">
        <v>45932</v>
      </c>
      <c r="X192" s="46" t="s">
        <v>18909</v>
      </c>
      <c r="Y192" s="46">
        <v>22</v>
      </c>
      <c r="Z192" s="46" t="s">
        <v>18910</v>
      </c>
      <c r="AA192" s="41"/>
      <c r="AB192" s="22"/>
      <c r="AC192" s="22"/>
      <c r="AD192" s="41"/>
      <c r="AE192" s="22"/>
      <c r="AF192" s="22"/>
      <c r="AG192" s="162">
        <f t="shared" si="13"/>
        <v>0</v>
      </c>
      <c r="AH192" s="48">
        <f t="shared" si="14"/>
        <v>22</v>
      </c>
      <c r="AI192" s="48">
        <f t="shared" si="15"/>
        <v>22</v>
      </c>
      <c r="AJ192" s="40">
        <f t="shared" si="17"/>
        <v>45938</v>
      </c>
      <c r="AK192" s="40"/>
      <c r="AL192" s="40"/>
      <c r="AM192" s="22"/>
      <c r="AQ192" s="184"/>
    </row>
    <row r="193" spans="1:43" ht="17.399999999999999">
      <c r="A193" s="22" t="s">
        <v>18911</v>
      </c>
      <c r="B193" s="22" t="s">
        <v>18670</v>
      </c>
      <c r="C193" s="56">
        <v>45925</v>
      </c>
      <c r="D193" s="56">
        <v>45909</v>
      </c>
      <c r="E193" s="22" t="s">
        <v>18912</v>
      </c>
      <c r="F193" s="22" t="s">
        <v>33</v>
      </c>
      <c r="G193" s="22" t="s">
        <v>18913</v>
      </c>
      <c r="H193" s="22" t="s">
        <v>5408</v>
      </c>
      <c r="I193" s="49" t="s">
        <v>4996</v>
      </c>
      <c r="J193" s="50" t="s">
        <v>5409</v>
      </c>
      <c r="K193" s="22" t="s">
        <v>18914</v>
      </c>
      <c r="L193" s="22" t="s">
        <v>60</v>
      </c>
      <c r="M193" s="22">
        <v>2</v>
      </c>
      <c r="N193" s="22" t="s">
        <v>18915</v>
      </c>
      <c r="O193" s="22"/>
      <c r="P193" s="46" t="s">
        <v>2655</v>
      </c>
      <c r="Q193" s="40" t="s">
        <v>627</v>
      </c>
      <c r="R193" s="41">
        <v>45931</v>
      </c>
      <c r="S193" s="22">
        <f t="shared" si="12"/>
        <v>2</v>
      </c>
      <c r="T193" s="41">
        <v>45939</v>
      </c>
      <c r="U193" s="41" t="str">
        <f t="shared" si="16"/>
        <v/>
      </c>
      <c r="V193" s="44">
        <v>45932</v>
      </c>
      <c r="W193" s="44">
        <v>45939</v>
      </c>
      <c r="X193" s="46" t="s">
        <v>18916</v>
      </c>
      <c r="Y193" s="46">
        <v>2</v>
      </c>
      <c r="Z193" s="46" t="s">
        <v>18917</v>
      </c>
      <c r="AA193" s="41">
        <v>45945</v>
      </c>
      <c r="AB193" s="22" t="s">
        <v>18918</v>
      </c>
      <c r="AC193" s="22">
        <v>2</v>
      </c>
      <c r="AD193" s="41"/>
      <c r="AE193" s="22"/>
      <c r="AF193" s="22"/>
      <c r="AG193" s="162">
        <f t="shared" si="13"/>
        <v>0</v>
      </c>
      <c r="AH193" s="48">
        <f t="shared" si="14"/>
        <v>0</v>
      </c>
      <c r="AI193" s="48">
        <f t="shared" si="15"/>
        <v>0</v>
      </c>
      <c r="AJ193" s="40">
        <f t="shared" si="17"/>
        <v>45952</v>
      </c>
      <c r="AK193" s="40"/>
      <c r="AL193" s="40"/>
      <c r="AM193" s="22"/>
      <c r="AQ193" s="184"/>
    </row>
    <row r="194" spans="1:43" ht="17.399999999999999">
      <c r="A194" s="22" t="s">
        <v>18748</v>
      </c>
      <c r="B194" s="22" t="s">
        <v>18683</v>
      </c>
      <c r="C194" s="56" t="s">
        <v>18749</v>
      </c>
      <c r="D194" s="56" t="s">
        <v>33</v>
      </c>
      <c r="E194" s="22" t="s">
        <v>33</v>
      </c>
      <c r="F194" s="22" t="s">
        <v>33</v>
      </c>
      <c r="G194" s="22" t="s">
        <v>67</v>
      </c>
      <c r="H194" s="22" t="s">
        <v>1483</v>
      </c>
      <c r="I194" s="49" t="s">
        <v>994</v>
      </c>
      <c r="J194" s="50" t="s">
        <v>1484</v>
      </c>
      <c r="K194" s="22" t="s">
        <v>980</v>
      </c>
      <c r="L194" s="22" t="s">
        <v>60</v>
      </c>
      <c r="M194" s="22">
        <v>3</v>
      </c>
      <c r="N194" s="22" t="s">
        <v>18247</v>
      </c>
      <c r="O194" s="22"/>
      <c r="P194" s="46" t="s">
        <v>681</v>
      </c>
      <c r="Q194" s="40" t="s">
        <v>627</v>
      </c>
      <c r="R194" s="41">
        <v>45944</v>
      </c>
      <c r="S194" s="22">
        <f t="shared" si="12"/>
        <v>3</v>
      </c>
      <c r="T194" s="41">
        <v>45960</v>
      </c>
      <c r="U194" s="41" t="str">
        <f t="shared" si="16"/>
        <v/>
      </c>
      <c r="V194" s="44">
        <v>45953</v>
      </c>
      <c r="W194" s="44">
        <v>45960</v>
      </c>
      <c r="X194" s="46" t="s">
        <v>18750</v>
      </c>
      <c r="Y194" s="46">
        <v>3</v>
      </c>
      <c r="Z194" s="46" t="s">
        <v>18751</v>
      </c>
      <c r="AA194" s="41"/>
      <c r="AB194" s="22"/>
      <c r="AC194" s="22"/>
      <c r="AD194" s="41">
        <v>46203</v>
      </c>
      <c r="AE194" s="22" t="s">
        <v>19290</v>
      </c>
      <c r="AF194" s="22">
        <v>3</v>
      </c>
      <c r="AG194" s="162">
        <f t="shared" si="13"/>
        <v>0</v>
      </c>
      <c r="AH194" s="48">
        <f t="shared" si="14"/>
        <v>0</v>
      </c>
      <c r="AI194" s="48">
        <f t="shared" si="15"/>
        <v>0</v>
      </c>
      <c r="AJ194" s="40">
        <f t="shared" si="17"/>
        <v>45965</v>
      </c>
      <c r="AK194" s="40"/>
      <c r="AL194" s="40"/>
      <c r="AM194" s="22"/>
      <c r="AQ194" s="184"/>
    </row>
    <row r="195" spans="1:43" s="163" customFormat="1" ht="17.399999999999999">
      <c r="A195" s="157" t="s">
        <v>18752</v>
      </c>
      <c r="B195" s="157" t="s">
        <v>18753</v>
      </c>
      <c r="C195" s="158">
        <v>45931</v>
      </c>
      <c r="D195" s="158">
        <v>45911</v>
      </c>
      <c r="E195" s="157" t="s">
        <v>18754</v>
      </c>
      <c r="F195" s="157" t="s">
        <v>33</v>
      </c>
      <c r="G195" s="157" t="s">
        <v>18755</v>
      </c>
      <c r="H195" s="157" t="s">
        <v>18756</v>
      </c>
      <c r="I195" s="182" t="s">
        <v>174</v>
      </c>
      <c r="J195" s="183" t="s">
        <v>18757</v>
      </c>
      <c r="K195" s="157" t="s">
        <v>5442</v>
      </c>
      <c r="L195" s="157" t="s">
        <v>60</v>
      </c>
      <c r="M195" s="157">
        <v>1</v>
      </c>
      <c r="N195" s="157" t="s">
        <v>18758</v>
      </c>
      <c r="O195" s="157"/>
      <c r="P195" s="159" t="s">
        <v>2655</v>
      </c>
      <c r="Q195" s="160" t="s">
        <v>627</v>
      </c>
      <c r="R195" s="161">
        <v>45946</v>
      </c>
      <c r="S195" s="157">
        <f t="shared" ref="S195:S259" si="18">IF(A195="","",M195+O195)</f>
        <v>1</v>
      </c>
      <c r="T195" s="161">
        <v>45960</v>
      </c>
      <c r="U195" s="41" t="str">
        <f t="shared" si="16"/>
        <v/>
      </c>
      <c r="V195" s="164">
        <v>45953</v>
      </c>
      <c r="W195" s="164">
        <v>45960</v>
      </c>
      <c r="X195" s="159" t="s">
        <v>18759</v>
      </c>
      <c r="Y195" s="159">
        <v>1</v>
      </c>
      <c r="Z195" s="159" t="s">
        <v>18760</v>
      </c>
      <c r="AA195" s="161">
        <v>46108</v>
      </c>
      <c r="AB195" s="157" t="s">
        <v>19149</v>
      </c>
      <c r="AC195" s="157">
        <v>1</v>
      </c>
      <c r="AD195" s="161"/>
      <c r="AE195" s="157"/>
      <c r="AF195" s="157"/>
      <c r="AG195" s="162">
        <f t="shared" ref="AG195:AG258" si="19">IF(A195="","",S195-Y195)</f>
        <v>0</v>
      </c>
      <c r="AH195" s="162">
        <f t="shared" ref="AH195:AH258" si="20">IF(A195="","",Y195-(AC195+AF195))</f>
        <v>0</v>
      </c>
      <c r="AI195" s="162">
        <f t="shared" ref="AI195:AI258" si="21">IF(A195="","",AG195+AH195)</f>
        <v>0</v>
      </c>
      <c r="AJ195" s="160">
        <f t="shared" si="17"/>
        <v>45967</v>
      </c>
      <c r="AK195" s="160"/>
      <c r="AL195" s="160"/>
      <c r="AM195" s="157"/>
      <c r="AN195" s="157"/>
      <c r="AO195" s="157"/>
      <c r="AP195" s="157"/>
      <c r="AQ195" s="159"/>
    </row>
    <row r="196" spans="1:43" s="150" customFormat="1" ht="17.399999999999999">
      <c r="A196" s="136" t="s">
        <v>18761</v>
      </c>
      <c r="B196" s="136" t="s">
        <v>18762</v>
      </c>
      <c r="C196" s="139" t="s">
        <v>18749</v>
      </c>
      <c r="D196" s="139" t="s">
        <v>33</v>
      </c>
      <c r="E196" s="136" t="s">
        <v>33</v>
      </c>
      <c r="F196" s="136" t="s">
        <v>33</v>
      </c>
      <c r="G196" s="136" t="s">
        <v>18763</v>
      </c>
      <c r="H196" s="136" t="s">
        <v>403</v>
      </c>
      <c r="I196" s="140" t="s">
        <v>404</v>
      </c>
      <c r="J196" s="141" t="s">
        <v>405</v>
      </c>
      <c r="K196" s="136" t="s">
        <v>980</v>
      </c>
      <c r="L196" s="136" t="s">
        <v>60</v>
      </c>
      <c r="M196" s="136">
        <v>359</v>
      </c>
      <c r="N196" s="136" t="s">
        <v>18764</v>
      </c>
      <c r="O196" s="136"/>
      <c r="P196" s="138" t="s">
        <v>681</v>
      </c>
      <c r="Q196" s="142" t="s">
        <v>627</v>
      </c>
      <c r="R196" s="143">
        <v>45947</v>
      </c>
      <c r="S196" s="136">
        <f t="shared" si="18"/>
        <v>359</v>
      </c>
      <c r="T196" s="143">
        <v>46009</v>
      </c>
      <c r="U196" s="41" t="str">
        <f t="shared" ref="U196:U259" si="22">IF(OR(P196="FEC-FS",P196="PALTEK",P196="SDSE(TOKE)"),"Upload in customer box","")</f>
        <v/>
      </c>
      <c r="V196" s="137">
        <v>46002</v>
      </c>
      <c r="W196" s="137">
        <v>46009</v>
      </c>
      <c r="X196" s="138" t="s">
        <v>19025</v>
      </c>
      <c r="Y196" s="138">
        <v>359</v>
      </c>
      <c r="Z196" s="138" t="s">
        <v>19031</v>
      </c>
      <c r="AA196" s="143"/>
      <c r="AB196" s="136"/>
      <c r="AC196" s="136"/>
      <c r="AD196" s="143"/>
      <c r="AE196" s="136"/>
      <c r="AF196" s="136"/>
      <c r="AG196" s="162">
        <f t="shared" si="19"/>
        <v>0</v>
      </c>
      <c r="AH196" s="48">
        <f t="shared" si="20"/>
        <v>359</v>
      </c>
      <c r="AI196" s="48">
        <f t="shared" si="21"/>
        <v>359</v>
      </c>
      <c r="AJ196" s="142">
        <f t="shared" si="17"/>
        <v>45968</v>
      </c>
      <c r="AK196" s="142"/>
      <c r="AL196" s="142"/>
      <c r="AM196" s="136"/>
      <c r="AN196" s="136"/>
      <c r="AO196" s="136"/>
      <c r="AP196" s="136"/>
      <c r="AQ196" s="185"/>
    </row>
    <row r="197" spans="1:43" ht="17.399999999999999">
      <c r="A197" s="22" t="s">
        <v>18765</v>
      </c>
      <c r="B197" s="22" t="s">
        <v>346</v>
      </c>
      <c r="C197" s="56" t="s">
        <v>18766</v>
      </c>
      <c r="D197" s="56" t="s">
        <v>33</v>
      </c>
      <c r="E197" s="22" t="s">
        <v>18767</v>
      </c>
      <c r="F197" s="22" t="s">
        <v>33</v>
      </c>
      <c r="G197" s="22" t="s">
        <v>18768</v>
      </c>
      <c r="H197" s="22" t="s">
        <v>351</v>
      </c>
      <c r="I197" s="49" t="s">
        <v>344</v>
      </c>
      <c r="J197" s="50" t="s">
        <v>353</v>
      </c>
      <c r="K197" s="22" t="s">
        <v>346</v>
      </c>
      <c r="L197" s="22" t="s">
        <v>60</v>
      </c>
      <c r="M197" s="22">
        <v>5</v>
      </c>
      <c r="N197" s="22" t="s">
        <v>18769</v>
      </c>
      <c r="O197" s="22"/>
      <c r="P197" s="46" t="s">
        <v>18088</v>
      </c>
      <c r="Q197" s="40" t="s">
        <v>627</v>
      </c>
      <c r="R197" s="41">
        <v>45950</v>
      </c>
      <c r="S197" s="22">
        <f t="shared" si="18"/>
        <v>5</v>
      </c>
      <c r="T197" s="41">
        <v>45960</v>
      </c>
      <c r="U197" s="41" t="str">
        <f t="shared" si="22"/>
        <v/>
      </c>
      <c r="V197" s="44">
        <v>45953</v>
      </c>
      <c r="W197" s="44">
        <v>45960</v>
      </c>
      <c r="X197" s="46" t="s">
        <v>18770</v>
      </c>
      <c r="Y197" s="46">
        <v>5</v>
      </c>
      <c r="Z197" s="46" t="s">
        <v>18771</v>
      </c>
      <c r="AA197" s="41"/>
      <c r="AB197" s="22"/>
      <c r="AC197" s="22"/>
      <c r="AD197" s="41"/>
      <c r="AE197" s="22"/>
      <c r="AF197" s="22"/>
      <c r="AG197" s="162">
        <f t="shared" si="19"/>
        <v>0</v>
      </c>
      <c r="AH197" s="48">
        <f t="shared" si="20"/>
        <v>5</v>
      </c>
      <c r="AI197" s="48">
        <f t="shared" si="21"/>
        <v>5</v>
      </c>
      <c r="AJ197" s="40">
        <f t="shared" si="17"/>
        <v>45971</v>
      </c>
      <c r="AK197" s="40"/>
      <c r="AL197" s="40"/>
      <c r="AM197" s="22"/>
      <c r="AQ197" s="184"/>
    </row>
    <row r="198" spans="1:43" ht="17.399999999999999">
      <c r="A198" s="22" t="s">
        <v>18772</v>
      </c>
      <c r="B198" s="22" t="s">
        <v>346</v>
      </c>
      <c r="C198" s="56">
        <v>45894</v>
      </c>
      <c r="D198" s="56" t="s">
        <v>33</v>
      </c>
      <c r="E198" s="22" t="s">
        <v>18773</v>
      </c>
      <c r="F198" s="22" t="s">
        <v>33</v>
      </c>
      <c r="G198" s="22">
        <v>22052001</v>
      </c>
      <c r="H198" s="22" t="s">
        <v>354</v>
      </c>
      <c r="I198" s="49" t="s">
        <v>355</v>
      </c>
      <c r="J198" s="50" t="s">
        <v>356</v>
      </c>
      <c r="K198" s="22" t="s">
        <v>346</v>
      </c>
      <c r="L198" s="22" t="s">
        <v>52</v>
      </c>
      <c r="M198" s="22">
        <v>15</v>
      </c>
      <c r="N198" s="22" t="s">
        <v>18774</v>
      </c>
      <c r="O198" s="22"/>
      <c r="P198" s="46" t="s">
        <v>18088</v>
      </c>
      <c r="Q198" s="40" t="s">
        <v>627</v>
      </c>
      <c r="R198" s="41">
        <v>45950</v>
      </c>
      <c r="S198" s="22">
        <f t="shared" si="18"/>
        <v>15</v>
      </c>
      <c r="T198" s="41">
        <v>45960</v>
      </c>
      <c r="U198" s="41" t="str">
        <f t="shared" si="22"/>
        <v/>
      </c>
      <c r="V198" s="44">
        <v>45953</v>
      </c>
      <c r="W198" s="44">
        <v>45960</v>
      </c>
      <c r="X198" s="46" t="s">
        <v>18770</v>
      </c>
      <c r="Y198" s="46">
        <v>15</v>
      </c>
      <c r="Z198" s="46" t="s">
        <v>18775</v>
      </c>
      <c r="AA198" s="41"/>
      <c r="AB198" s="22"/>
      <c r="AC198" s="22"/>
      <c r="AD198" s="41"/>
      <c r="AE198" s="22"/>
      <c r="AF198" s="22"/>
      <c r="AG198" s="162">
        <f t="shared" si="19"/>
        <v>0</v>
      </c>
      <c r="AH198" s="48">
        <f t="shared" si="20"/>
        <v>15</v>
      </c>
      <c r="AI198" s="48">
        <f t="shared" si="21"/>
        <v>15</v>
      </c>
      <c r="AJ198" s="40">
        <f t="shared" si="17"/>
        <v>45971</v>
      </c>
      <c r="AK198" s="40"/>
      <c r="AL198" s="40"/>
      <c r="AM198" s="22"/>
      <c r="AQ198" s="184"/>
    </row>
    <row r="199" spans="1:43" ht="17.399999999999999">
      <c r="A199" s="22" t="s">
        <v>18776</v>
      </c>
      <c r="B199" s="22" t="s">
        <v>346</v>
      </c>
      <c r="C199" s="56" t="s">
        <v>18777</v>
      </c>
      <c r="D199" s="56" t="s">
        <v>33</v>
      </c>
      <c r="E199" s="22" t="s">
        <v>18778</v>
      </c>
      <c r="F199" s="22" t="s">
        <v>33</v>
      </c>
      <c r="G199" s="22" t="s">
        <v>33</v>
      </c>
      <c r="H199" s="22" t="s">
        <v>366</v>
      </c>
      <c r="I199" s="49" t="s">
        <v>362</v>
      </c>
      <c r="J199" s="50" t="s">
        <v>367</v>
      </c>
      <c r="K199" s="22" t="s">
        <v>346</v>
      </c>
      <c r="L199" s="22" t="s">
        <v>60</v>
      </c>
      <c r="M199" s="22">
        <v>43</v>
      </c>
      <c r="N199" s="22" t="s">
        <v>18779</v>
      </c>
      <c r="O199" s="22"/>
      <c r="P199" s="46" t="s">
        <v>18088</v>
      </c>
      <c r="Q199" s="40" t="s">
        <v>627</v>
      </c>
      <c r="R199" s="41">
        <v>45950</v>
      </c>
      <c r="S199" s="22">
        <f t="shared" si="18"/>
        <v>43</v>
      </c>
      <c r="T199" s="41">
        <v>45960</v>
      </c>
      <c r="U199" s="41" t="str">
        <f t="shared" si="22"/>
        <v/>
      </c>
      <c r="V199" s="44">
        <v>45953</v>
      </c>
      <c r="W199" s="44">
        <v>45960</v>
      </c>
      <c r="X199" s="46" t="s">
        <v>18770</v>
      </c>
      <c r="Y199" s="46">
        <v>43</v>
      </c>
      <c r="Z199" s="46" t="s">
        <v>18771</v>
      </c>
      <c r="AA199" s="41"/>
      <c r="AB199" s="22"/>
      <c r="AC199" s="22"/>
      <c r="AD199" s="41"/>
      <c r="AE199" s="22"/>
      <c r="AF199" s="22"/>
      <c r="AG199" s="162">
        <f t="shared" si="19"/>
        <v>0</v>
      </c>
      <c r="AH199" s="48">
        <f t="shared" si="20"/>
        <v>43</v>
      </c>
      <c r="AI199" s="48">
        <f t="shared" si="21"/>
        <v>43</v>
      </c>
      <c r="AJ199" s="40">
        <f t="shared" si="17"/>
        <v>45971</v>
      </c>
      <c r="AK199" s="40"/>
      <c r="AL199" s="40"/>
      <c r="AM199" s="22"/>
      <c r="AQ199" s="184"/>
    </row>
    <row r="200" spans="1:43" ht="17.399999999999999">
      <c r="A200" s="22" t="s">
        <v>18919</v>
      </c>
      <c r="B200" s="22" t="s">
        <v>346</v>
      </c>
      <c r="C200" s="56" t="s">
        <v>18920</v>
      </c>
      <c r="D200" s="56" t="s">
        <v>33</v>
      </c>
      <c r="E200" s="22" t="s">
        <v>33</v>
      </c>
      <c r="F200" s="22" t="s">
        <v>33</v>
      </c>
      <c r="G200" s="22" t="s">
        <v>18921</v>
      </c>
      <c r="H200" s="22" t="s">
        <v>396</v>
      </c>
      <c r="I200" s="49" t="s">
        <v>397</v>
      </c>
      <c r="J200" s="50" t="s">
        <v>398</v>
      </c>
      <c r="K200" s="22" t="s">
        <v>346</v>
      </c>
      <c r="L200" s="22" t="s">
        <v>60</v>
      </c>
      <c r="M200" s="22">
        <v>51</v>
      </c>
      <c r="N200" s="22" t="s">
        <v>18922</v>
      </c>
      <c r="O200" s="22"/>
      <c r="P200" s="46" t="s">
        <v>18088</v>
      </c>
      <c r="Q200" s="40" t="s">
        <v>627</v>
      </c>
      <c r="R200" s="41">
        <v>45953</v>
      </c>
      <c r="S200" s="22">
        <f t="shared" si="18"/>
        <v>51</v>
      </c>
      <c r="T200" s="41">
        <v>45972</v>
      </c>
      <c r="U200" s="41" t="str">
        <f t="shared" si="22"/>
        <v/>
      </c>
      <c r="V200" s="44">
        <v>45965</v>
      </c>
      <c r="W200" s="44">
        <v>45972</v>
      </c>
      <c r="X200" s="46" t="s">
        <v>18923</v>
      </c>
      <c r="Y200" s="46">
        <v>51</v>
      </c>
      <c r="Z200" s="46" t="s">
        <v>18924</v>
      </c>
      <c r="AA200" s="41"/>
      <c r="AB200" s="22"/>
      <c r="AC200" s="22"/>
      <c r="AD200" s="41"/>
      <c r="AE200" s="22"/>
      <c r="AF200" s="22"/>
      <c r="AG200" s="162">
        <f t="shared" si="19"/>
        <v>0</v>
      </c>
      <c r="AH200" s="48">
        <f t="shared" si="20"/>
        <v>51</v>
      </c>
      <c r="AI200" s="48">
        <f t="shared" si="21"/>
        <v>51</v>
      </c>
      <c r="AJ200" s="40">
        <f t="shared" si="17"/>
        <v>45974</v>
      </c>
      <c r="AK200" s="40"/>
      <c r="AL200" s="40"/>
      <c r="AM200" s="22"/>
      <c r="AQ200" s="184"/>
    </row>
    <row r="201" spans="1:43" s="150" customFormat="1" ht="17.399999999999999">
      <c r="A201" s="136" t="s">
        <v>18925</v>
      </c>
      <c r="B201" s="136" t="s">
        <v>18926</v>
      </c>
      <c r="C201" s="139" t="s">
        <v>18927</v>
      </c>
      <c r="D201" s="139" t="s">
        <v>33</v>
      </c>
      <c r="E201" s="136" t="s">
        <v>33</v>
      </c>
      <c r="F201" s="136" t="s">
        <v>33</v>
      </c>
      <c r="G201" s="136" t="s">
        <v>67</v>
      </c>
      <c r="H201" s="136" t="s">
        <v>8478</v>
      </c>
      <c r="I201" s="140" t="s">
        <v>404</v>
      </c>
      <c r="J201" s="141" t="s">
        <v>8479</v>
      </c>
      <c r="K201" s="136" t="s">
        <v>980</v>
      </c>
      <c r="L201" s="136" t="s">
        <v>60</v>
      </c>
      <c r="M201" s="136">
        <v>292</v>
      </c>
      <c r="N201" s="136" t="s">
        <v>18928</v>
      </c>
      <c r="O201" s="136"/>
      <c r="P201" s="138" t="s">
        <v>681</v>
      </c>
      <c r="Q201" s="142" t="s">
        <v>627</v>
      </c>
      <c r="R201" s="143">
        <v>45972</v>
      </c>
      <c r="S201" s="136">
        <f t="shared" si="18"/>
        <v>292</v>
      </c>
      <c r="T201" s="143">
        <v>46009</v>
      </c>
      <c r="U201" s="41" t="str">
        <f t="shared" si="22"/>
        <v/>
      </c>
      <c r="V201" s="137">
        <v>46002</v>
      </c>
      <c r="W201" s="137">
        <v>46009</v>
      </c>
      <c r="X201" s="138" t="s">
        <v>19026</v>
      </c>
      <c r="Y201" s="138">
        <v>292</v>
      </c>
      <c r="Z201" s="138" t="s">
        <v>19029</v>
      </c>
      <c r="AA201" s="143"/>
      <c r="AB201" s="136"/>
      <c r="AC201" s="136"/>
      <c r="AD201" s="143">
        <v>46323</v>
      </c>
      <c r="AE201" s="136" t="s">
        <v>19581</v>
      </c>
      <c r="AF201" s="136">
        <v>292</v>
      </c>
      <c r="AG201" s="162">
        <f t="shared" si="19"/>
        <v>0</v>
      </c>
      <c r="AH201" s="48">
        <f t="shared" si="20"/>
        <v>0</v>
      </c>
      <c r="AI201" s="48">
        <f t="shared" si="21"/>
        <v>0</v>
      </c>
      <c r="AJ201" s="142">
        <f t="shared" si="17"/>
        <v>45993</v>
      </c>
      <c r="AK201" s="142"/>
      <c r="AL201" s="142"/>
      <c r="AM201" s="136"/>
      <c r="AN201" s="136"/>
      <c r="AO201" s="136"/>
      <c r="AP201" s="136"/>
      <c r="AQ201" s="185"/>
    </row>
    <row r="202" spans="1:43" s="150" customFormat="1" ht="17.399999999999999">
      <c r="A202" s="136" t="s">
        <v>18929</v>
      </c>
      <c r="B202" s="136" t="s">
        <v>18683</v>
      </c>
      <c r="C202" s="139" t="s">
        <v>18927</v>
      </c>
      <c r="D202" s="139" t="s">
        <v>33</v>
      </c>
      <c r="E202" s="136" t="s">
        <v>33</v>
      </c>
      <c r="F202" s="136" t="s">
        <v>33</v>
      </c>
      <c r="G202" s="136" t="s">
        <v>67</v>
      </c>
      <c r="H202" s="136" t="s">
        <v>1477</v>
      </c>
      <c r="I202" s="140" t="s">
        <v>994</v>
      </c>
      <c r="J202" s="141" t="s">
        <v>1478</v>
      </c>
      <c r="K202" s="136" t="s">
        <v>980</v>
      </c>
      <c r="L202" s="136" t="s">
        <v>60</v>
      </c>
      <c r="M202" s="136">
        <v>1</v>
      </c>
      <c r="N202" s="136" t="s">
        <v>18247</v>
      </c>
      <c r="O202" s="136"/>
      <c r="P202" s="138" t="s">
        <v>681</v>
      </c>
      <c r="Q202" s="142" t="s">
        <v>627</v>
      </c>
      <c r="R202" s="143">
        <v>45973</v>
      </c>
      <c r="S202" s="136">
        <f t="shared" si="18"/>
        <v>1</v>
      </c>
      <c r="T202" s="143">
        <v>45993</v>
      </c>
      <c r="U202" s="41" t="str">
        <f t="shared" si="22"/>
        <v/>
      </c>
      <c r="V202" s="137">
        <v>45985</v>
      </c>
      <c r="W202" s="137">
        <v>45993</v>
      </c>
      <c r="X202" s="138" t="s">
        <v>18974</v>
      </c>
      <c r="Y202" s="138">
        <v>1</v>
      </c>
      <c r="Z202" s="138" t="s">
        <v>19046</v>
      </c>
      <c r="AA202" s="143"/>
      <c r="AB202" s="136"/>
      <c r="AC202" s="136"/>
      <c r="AD202" s="41">
        <v>46203</v>
      </c>
      <c r="AE202" s="22" t="s">
        <v>19290</v>
      </c>
      <c r="AF202" s="136">
        <v>1</v>
      </c>
      <c r="AG202" s="162">
        <f t="shared" si="19"/>
        <v>0</v>
      </c>
      <c r="AH202" s="48">
        <f t="shared" si="20"/>
        <v>0</v>
      </c>
      <c r="AI202" s="48">
        <f t="shared" si="21"/>
        <v>0</v>
      </c>
      <c r="AJ202" s="142">
        <f t="shared" si="17"/>
        <v>45994</v>
      </c>
      <c r="AK202" s="142"/>
      <c r="AL202" s="142"/>
      <c r="AM202" s="136"/>
      <c r="AN202" s="136"/>
      <c r="AO202" s="136"/>
      <c r="AP202" s="136"/>
      <c r="AQ202" s="185"/>
    </row>
    <row r="203" spans="1:43" s="195" customFormat="1" ht="17.399999999999999">
      <c r="A203" s="165" t="s">
        <v>18930</v>
      </c>
      <c r="B203" s="165" t="s">
        <v>50</v>
      </c>
      <c r="C203" s="190">
        <v>45973</v>
      </c>
      <c r="D203" s="190">
        <v>45971</v>
      </c>
      <c r="E203" s="165" t="s">
        <v>18931</v>
      </c>
      <c r="F203" s="165">
        <v>100</v>
      </c>
      <c r="G203" s="165" t="s">
        <v>33</v>
      </c>
      <c r="H203" s="165" t="s">
        <v>3011</v>
      </c>
      <c r="I203" s="191" t="s">
        <v>1472</v>
      </c>
      <c r="J203" s="192" t="s">
        <v>3012</v>
      </c>
      <c r="K203" s="165" t="s">
        <v>18464</v>
      </c>
      <c r="L203" s="165" t="s">
        <v>60</v>
      </c>
      <c r="M203" s="165">
        <v>3</v>
      </c>
      <c r="N203" s="165" t="s">
        <v>18932</v>
      </c>
      <c r="O203" s="165"/>
      <c r="P203" s="159" t="s">
        <v>19054</v>
      </c>
      <c r="Q203" s="193" t="s">
        <v>627</v>
      </c>
      <c r="R203" s="194">
        <v>45974</v>
      </c>
      <c r="S203" s="165">
        <f t="shared" si="18"/>
        <v>3</v>
      </c>
      <c r="T203" s="194">
        <v>45993</v>
      </c>
      <c r="U203" s="41" t="str">
        <f t="shared" si="22"/>
        <v/>
      </c>
      <c r="V203" s="186">
        <v>45985</v>
      </c>
      <c r="W203" s="186">
        <v>45993</v>
      </c>
      <c r="X203" s="187" t="s">
        <v>18975</v>
      </c>
      <c r="Y203" s="187">
        <v>3</v>
      </c>
      <c r="Z203" s="187" t="s">
        <v>19047</v>
      </c>
      <c r="AA203" s="194"/>
      <c r="AB203" s="165"/>
      <c r="AC203" s="165"/>
      <c r="AD203" s="161">
        <v>46100</v>
      </c>
      <c r="AE203" s="157" t="s">
        <v>19145</v>
      </c>
      <c r="AF203" s="165">
        <v>3</v>
      </c>
      <c r="AG203" s="162">
        <f t="shared" si="19"/>
        <v>0</v>
      </c>
      <c r="AH203" s="162">
        <f t="shared" si="20"/>
        <v>0</v>
      </c>
      <c r="AI203" s="162">
        <f t="shared" si="21"/>
        <v>0</v>
      </c>
      <c r="AJ203" s="193">
        <f t="shared" si="17"/>
        <v>45995</v>
      </c>
      <c r="AK203" s="193"/>
      <c r="AL203" s="193"/>
      <c r="AM203" s="165"/>
      <c r="AN203" s="165"/>
      <c r="AO203" s="165"/>
      <c r="AP203" s="165"/>
      <c r="AQ203" s="185"/>
    </row>
    <row r="204" spans="1:43" ht="17.399999999999999">
      <c r="A204" s="22" t="s">
        <v>18933</v>
      </c>
      <c r="B204" s="22" t="s">
        <v>346</v>
      </c>
      <c r="C204" s="56" t="s">
        <v>19057</v>
      </c>
      <c r="D204" s="56" t="s">
        <v>33</v>
      </c>
      <c r="E204" s="22" t="s">
        <v>18934</v>
      </c>
      <c r="F204" s="22" t="s">
        <v>33</v>
      </c>
      <c r="G204" s="22" t="s">
        <v>33</v>
      </c>
      <c r="H204" s="22" t="s">
        <v>366</v>
      </c>
      <c r="I204" s="49" t="s">
        <v>362</v>
      </c>
      <c r="J204" s="50" t="s">
        <v>367</v>
      </c>
      <c r="K204" s="22" t="s">
        <v>346</v>
      </c>
      <c r="L204" s="22" t="s">
        <v>60</v>
      </c>
      <c r="M204" s="22">
        <v>8</v>
      </c>
      <c r="N204" s="22" t="s">
        <v>18935</v>
      </c>
      <c r="O204" s="22"/>
      <c r="P204" s="46" t="s">
        <v>18088</v>
      </c>
      <c r="Q204" s="40" t="s">
        <v>627</v>
      </c>
      <c r="R204" s="41">
        <v>45978</v>
      </c>
      <c r="S204" s="22">
        <f t="shared" si="18"/>
        <v>8</v>
      </c>
      <c r="T204" s="41">
        <v>45993</v>
      </c>
      <c r="U204" s="41" t="str">
        <f t="shared" si="22"/>
        <v/>
      </c>
      <c r="V204" s="44">
        <v>45985</v>
      </c>
      <c r="W204" s="44">
        <v>45993</v>
      </c>
      <c r="X204" s="46" t="s">
        <v>18976</v>
      </c>
      <c r="Y204" s="46">
        <v>8</v>
      </c>
      <c r="Z204" s="46" t="s">
        <v>19048</v>
      </c>
      <c r="AA204" s="41"/>
      <c r="AB204" s="22"/>
      <c r="AC204" s="22"/>
      <c r="AD204" s="41"/>
      <c r="AE204" s="22"/>
      <c r="AF204" s="22"/>
      <c r="AG204" s="162">
        <f t="shared" si="19"/>
        <v>0</v>
      </c>
      <c r="AH204" s="48">
        <f t="shared" si="20"/>
        <v>8</v>
      </c>
      <c r="AI204" s="48">
        <f t="shared" si="21"/>
        <v>8</v>
      </c>
      <c r="AJ204" s="40">
        <f t="shared" si="17"/>
        <v>45999</v>
      </c>
      <c r="AK204" s="40"/>
      <c r="AL204" s="40"/>
      <c r="AM204" s="22"/>
      <c r="AQ204" s="184"/>
    </row>
    <row r="205" spans="1:43" s="150" customFormat="1" ht="17.399999999999999">
      <c r="A205" s="136" t="s">
        <v>18936</v>
      </c>
      <c r="B205" s="136" t="s">
        <v>18937</v>
      </c>
      <c r="C205" s="139">
        <v>45931</v>
      </c>
      <c r="D205" s="139">
        <v>45916</v>
      </c>
      <c r="E205" s="136" t="s">
        <v>18938</v>
      </c>
      <c r="F205" s="136" t="s">
        <v>33</v>
      </c>
      <c r="G205" s="136" t="s">
        <v>33</v>
      </c>
      <c r="H205" s="136" t="s">
        <v>5039</v>
      </c>
      <c r="I205" s="140" t="s">
        <v>5040</v>
      </c>
      <c r="J205" s="141" t="s">
        <v>5041</v>
      </c>
      <c r="K205" s="136" t="s">
        <v>215</v>
      </c>
      <c r="L205" s="136" t="s">
        <v>60</v>
      </c>
      <c r="M205" s="136">
        <v>2</v>
      </c>
      <c r="N205" s="136" t="s">
        <v>18939</v>
      </c>
      <c r="O205" s="136"/>
      <c r="P205" s="138" t="s">
        <v>685</v>
      </c>
      <c r="Q205" s="142" t="s">
        <v>627</v>
      </c>
      <c r="R205" s="143">
        <v>45978</v>
      </c>
      <c r="S205" s="136">
        <f t="shared" si="18"/>
        <v>2</v>
      </c>
      <c r="T205" s="143">
        <v>45993</v>
      </c>
      <c r="U205" s="41" t="str">
        <f t="shared" si="22"/>
        <v>Upload in customer box</v>
      </c>
      <c r="V205" s="137">
        <v>45985</v>
      </c>
      <c r="W205" s="137">
        <v>45993</v>
      </c>
      <c r="X205" s="138" t="s">
        <v>18977</v>
      </c>
      <c r="Y205" s="138">
        <v>2</v>
      </c>
      <c r="Z205" s="138" t="s">
        <v>19049</v>
      </c>
      <c r="AA205" s="143"/>
      <c r="AB205" s="136"/>
      <c r="AC205" s="136"/>
      <c r="AD205" s="143">
        <v>46203</v>
      </c>
      <c r="AE205" s="136" t="s">
        <v>19292</v>
      </c>
      <c r="AF205" s="136">
        <v>2</v>
      </c>
      <c r="AG205" s="162">
        <f t="shared" si="19"/>
        <v>0</v>
      </c>
      <c r="AH205" s="48">
        <f t="shared" si="20"/>
        <v>0</v>
      </c>
      <c r="AI205" s="48">
        <f t="shared" si="21"/>
        <v>0</v>
      </c>
      <c r="AJ205" s="142">
        <f t="shared" si="17"/>
        <v>45999</v>
      </c>
      <c r="AK205" s="142"/>
      <c r="AL205" s="142"/>
      <c r="AM205" s="136"/>
      <c r="AN205" s="136"/>
      <c r="AO205" s="136"/>
      <c r="AP205" s="136"/>
      <c r="AQ205" s="185"/>
    </row>
    <row r="206" spans="1:43" ht="17.399999999999999">
      <c r="A206" s="22" t="s">
        <v>18940</v>
      </c>
      <c r="B206" s="22" t="s">
        <v>269</v>
      </c>
      <c r="C206" s="56" t="s">
        <v>18941</v>
      </c>
      <c r="D206" s="56">
        <v>45860</v>
      </c>
      <c r="E206" s="22" t="s">
        <v>18942</v>
      </c>
      <c r="F206" s="22" t="s">
        <v>33</v>
      </c>
      <c r="G206" s="22" t="s">
        <v>33</v>
      </c>
      <c r="H206" s="22" t="s">
        <v>205</v>
      </c>
      <c r="I206" s="49" t="s">
        <v>206</v>
      </c>
      <c r="J206" s="50" t="s">
        <v>207</v>
      </c>
      <c r="K206" s="22" t="s">
        <v>18943</v>
      </c>
      <c r="L206" s="22" t="s">
        <v>60</v>
      </c>
      <c r="M206" s="22">
        <v>87</v>
      </c>
      <c r="N206" s="22" t="s">
        <v>18944</v>
      </c>
      <c r="O206" s="22"/>
      <c r="P206" s="46" t="s">
        <v>685</v>
      </c>
      <c r="Q206" s="40" t="s">
        <v>627</v>
      </c>
      <c r="R206" s="41">
        <v>45978</v>
      </c>
      <c r="S206" s="22">
        <f t="shared" si="18"/>
        <v>87</v>
      </c>
      <c r="T206" s="41">
        <v>45985</v>
      </c>
      <c r="U206" s="41" t="str">
        <f t="shared" si="22"/>
        <v>Upload in customer box</v>
      </c>
      <c r="V206" s="44" t="s">
        <v>571</v>
      </c>
      <c r="W206" s="44" t="s">
        <v>571</v>
      </c>
      <c r="X206" s="46" t="s">
        <v>571</v>
      </c>
      <c r="Y206" s="46">
        <v>87</v>
      </c>
      <c r="Z206" s="44" t="s">
        <v>571</v>
      </c>
      <c r="AA206" s="41"/>
      <c r="AB206" s="22"/>
      <c r="AC206" s="22"/>
      <c r="AD206" s="41">
        <v>46203</v>
      </c>
      <c r="AE206" s="22" t="s">
        <v>19298</v>
      </c>
      <c r="AF206" s="22">
        <v>87</v>
      </c>
      <c r="AG206" s="162">
        <f t="shared" si="19"/>
        <v>0</v>
      </c>
      <c r="AH206" s="48">
        <f t="shared" si="20"/>
        <v>0</v>
      </c>
      <c r="AI206" s="48">
        <f t="shared" si="21"/>
        <v>0</v>
      </c>
      <c r="AJ206" s="40">
        <f t="shared" si="17"/>
        <v>45999</v>
      </c>
      <c r="AK206" s="40"/>
      <c r="AL206" s="40"/>
      <c r="AM206" s="22"/>
      <c r="AQ206" s="184"/>
    </row>
    <row r="207" spans="1:43" ht="17.399999999999999">
      <c r="A207" s="22" t="s">
        <v>18945</v>
      </c>
      <c r="B207" s="22" t="s">
        <v>18576</v>
      </c>
      <c r="C207" s="56">
        <v>45938</v>
      </c>
      <c r="D207" s="56">
        <v>45867</v>
      </c>
      <c r="E207" s="22" t="s">
        <v>18676</v>
      </c>
      <c r="F207" s="22" t="s">
        <v>33</v>
      </c>
      <c r="G207" s="22" t="s">
        <v>33</v>
      </c>
      <c r="H207" s="22" t="s">
        <v>5045</v>
      </c>
      <c r="I207" s="49" t="s">
        <v>2629</v>
      </c>
      <c r="J207" s="50" t="s">
        <v>5046</v>
      </c>
      <c r="K207" s="22" t="s">
        <v>18943</v>
      </c>
      <c r="L207" s="22" t="s">
        <v>60</v>
      </c>
      <c r="M207" s="22">
        <v>1</v>
      </c>
      <c r="N207" s="22" t="s">
        <v>18946</v>
      </c>
      <c r="O207" s="22"/>
      <c r="P207" s="46" t="s">
        <v>685</v>
      </c>
      <c r="Q207" s="40" t="s">
        <v>627</v>
      </c>
      <c r="R207" s="41">
        <v>45978</v>
      </c>
      <c r="S207" s="22">
        <f t="shared" si="18"/>
        <v>1</v>
      </c>
      <c r="T207" s="41">
        <v>45985</v>
      </c>
      <c r="U207" s="41" t="str">
        <f t="shared" si="22"/>
        <v>Upload in customer box</v>
      </c>
      <c r="V207" s="44" t="s">
        <v>571</v>
      </c>
      <c r="W207" s="44" t="s">
        <v>571</v>
      </c>
      <c r="X207" s="46" t="s">
        <v>571</v>
      </c>
      <c r="Y207" s="46">
        <v>1</v>
      </c>
      <c r="Z207" s="44" t="s">
        <v>571</v>
      </c>
      <c r="AA207" s="41"/>
      <c r="AB207" s="22"/>
      <c r="AC207" s="22"/>
      <c r="AD207" s="41">
        <v>46203</v>
      </c>
      <c r="AE207" s="22" t="s">
        <v>19298</v>
      </c>
      <c r="AF207" s="22">
        <v>1</v>
      </c>
      <c r="AG207" s="162">
        <f t="shared" si="19"/>
        <v>0</v>
      </c>
      <c r="AH207" s="48">
        <f t="shared" si="20"/>
        <v>0</v>
      </c>
      <c r="AI207" s="48">
        <f t="shared" si="21"/>
        <v>0</v>
      </c>
      <c r="AJ207" s="40">
        <f t="shared" si="17"/>
        <v>45999</v>
      </c>
      <c r="AK207" s="40"/>
      <c r="AL207" s="40"/>
      <c r="AM207" s="22"/>
      <c r="AQ207" s="184"/>
    </row>
    <row r="208" spans="1:43" ht="17.399999999999999">
      <c r="A208" s="22" t="s">
        <v>18957</v>
      </c>
      <c r="B208" s="22" t="s">
        <v>18958</v>
      </c>
      <c r="C208" s="56" t="s">
        <v>18959</v>
      </c>
      <c r="D208" s="56">
        <v>45645</v>
      </c>
      <c r="E208" s="22" t="s">
        <v>18518</v>
      </c>
      <c r="F208" s="22" t="s">
        <v>33</v>
      </c>
      <c r="G208" s="22" t="s">
        <v>33</v>
      </c>
      <c r="H208" s="22" t="s">
        <v>5032</v>
      </c>
      <c r="I208" s="49" t="s">
        <v>5033</v>
      </c>
      <c r="J208" s="50" t="s">
        <v>5034</v>
      </c>
      <c r="K208" s="22" t="s">
        <v>18960</v>
      </c>
      <c r="L208" s="22" t="s">
        <v>60</v>
      </c>
      <c r="M208" s="22">
        <v>2</v>
      </c>
      <c r="N208" s="22" t="s">
        <v>18982</v>
      </c>
      <c r="O208" s="22"/>
      <c r="P208" s="46" t="s">
        <v>685</v>
      </c>
      <c r="Q208" s="40" t="s">
        <v>627</v>
      </c>
      <c r="R208" s="41">
        <v>45986</v>
      </c>
      <c r="S208" s="22">
        <f t="shared" si="18"/>
        <v>2</v>
      </c>
      <c r="T208" s="41">
        <v>45993</v>
      </c>
      <c r="U208" s="41" t="str">
        <f t="shared" si="22"/>
        <v>Upload in customer box</v>
      </c>
      <c r="V208" s="44">
        <v>45987</v>
      </c>
      <c r="W208" s="44">
        <v>45993</v>
      </c>
      <c r="X208" s="46" t="s">
        <v>18977</v>
      </c>
      <c r="Y208" s="46">
        <v>2</v>
      </c>
      <c r="Z208" s="44" t="s">
        <v>19049</v>
      </c>
      <c r="AA208" s="41"/>
      <c r="AB208" s="22"/>
      <c r="AC208" s="22"/>
      <c r="AD208" s="41"/>
      <c r="AE208" s="22"/>
      <c r="AF208" s="22"/>
      <c r="AG208" s="162">
        <f t="shared" si="19"/>
        <v>0</v>
      </c>
      <c r="AH208" s="48">
        <f t="shared" si="20"/>
        <v>2</v>
      </c>
      <c r="AI208" s="48">
        <f t="shared" si="21"/>
        <v>2</v>
      </c>
      <c r="AJ208" s="40">
        <f t="shared" si="17"/>
        <v>46007</v>
      </c>
      <c r="AK208" s="40"/>
      <c r="AL208" s="40"/>
      <c r="AM208" s="22"/>
      <c r="AQ208" s="184"/>
    </row>
    <row r="209" spans="1:43" s="150" customFormat="1" ht="17.399999999999999">
      <c r="A209" s="136" t="s">
        <v>18961</v>
      </c>
      <c r="B209" s="136" t="s">
        <v>18962</v>
      </c>
      <c r="C209" s="139">
        <v>45985</v>
      </c>
      <c r="D209" s="139">
        <v>45902</v>
      </c>
      <c r="E209" s="136" t="s">
        <v>18963</v>
      </c>
      <c r="F209" s="136" t="s">
        <v>18964</v>
      </c>
      <c r="G209" s="136" t="s">
        <v>18965</v>
      </c>
      <c r="H209" s="136" t="s">
        <v>1119</v>
      </c>
      <c r="I209" s="140" t="s">
        <v>927</v>
      </c>
      <c r="J209" s="141" t="s">
        <v>1349</v>
      </c>
      <c r="K209" s="136" t="s">
        <v>18966</v>
      </c>
      <c r="L209" s="136" t="s">
        <v>71</v>
      </c>
      <c r="M209" s="136">
        <v>2000</v>
      </c>
      <c r="N209" s="136" t="s">
        <v>18967</v>
      </c>
      <c r="O209" s="136"/>
      <c r="P209" s="138" t="s">
        <v>681</v>
      </c>
      <c r="Q209" s="142" t="s">
        <v>627</v>
      </c>
      <c r="R209" s="143">
        <v>45987</v>
      </c>
      <c r="S209" s="136">
        <f t="shared" si="18"/>
        <v>2000</v>
      </c>
      <c r="T209" s="143">
        <v>46014</v>
      </c>
      <c r="U209" s="41" t="str">
        <f t="shared" si="22"/>
        <v/>
      </c>
      <c r="V209" s="137">
        <v>46009</v>
      </c>
      <c r="W209" s="137">
        <v>46014</v>
      </c>
      <c r="X209" s="138" t="s">
        <v>19034</v>
      </c>
      <c r="Y209" s="138">
        <v>2000</v>
      </c>
      <c r="Z209" s="138" t="s">
        <v>19050</v>
      </c>
      <c r="AA209" s="143">
        <v>46105</v>
      </c>
      <c r="AB209" s="136" t="s">
        <v>19192</v>
      </c>
      <c r="AC209" s="136">
        <v>2000</v>
      </c>
      <c r="AD209" s="143"/>
      <c r="AE209" s="136"/>
      <c r="AF209" s="136"/>
      <c r="AG209" s="162">
        <f t="shared" si="19"/>
        <v>0</v>
      </c>
      <c r="AH209" s="48">
        <f t="shared" si="20"/>
        <v>0</v>
      </c>
      <c r="AI209" s="48">
        <f t="shared" si="21"/>
        <v>0</v>
      </c>
      <c r="AJ209" s="142">
        <v>46035</v>
      </c>
      <c r="AK209" s="142"/>
      <c r="AL209" s="142"/>
      <c r="AM209" s="136"/>
      <c r="AN209" s="136"/>
      <c r="AO209" s="136"/>
      <c r="AP209" s="136"/>
      <c r="AQ209" s="185"/>
    </row>
    <row r="210" spans="1:43" s="150" customFormat="1" ht="17.399999999999999">
      <c r="A210" s="136" t="s">
        <v>18968</v>
      </c>
      <c r="B210" s="136" t="s">
        <v>18557</v>
      </c>
      <c r="C210" s="139">
        <v>45980</v>
      </c>
      <c r="D210" s="139">
        <v>45824</v>
      </c>
      <c r="E210" s="136" t="s">
        <v>18969</v>
      </c>
      <c r="F210" s="136" t="s">
        <v>33</v>
      </c>
      <c r="G210" s="136" t="s">
        <v>18970</v>
      </c>
      <c r="H210" s="136" t="s">
        <v>10335</v>
      </c>
      <c r="I210" s="140" t="s">
        <v>68</v>
      </c>
      <c r="J210" s="141" t="s">
        <v>4088</v>
      </c>
      <c r="K210" s="136" t="s">
        <v>18971</v>
      </c>
      <c r="L210" s="136" t="s">
        <v>71</v>
      </c>
      <c r="M210" s="136">
        <v>957</v>
      </c>
      <c r="N210" s="136" t="s">
        <v>18983</v>
      </c>
      <c r="O210" s="136"/>
      <c r="P210" s="138" t="s">
        <v>682</v>
      </c>
      <c r="Q210" s="142" t="s">
        <v>627</v>
      </c>
      <c r="R210" s="143">
        <v>45987</v>
      </c>
      <c r="S210" s="136">
        <f t="shared" si="18"/>
        <v>957</v>
      </c>
      <c r="T210" s="143">
        <v>46000</v>
      </c>
      <c r="U210" s="41" t="str">
        <f t="shared" si="22"/>
        <v/>
      </c>
      <c r="V210" s="137">
        <v>45993</v>
      </c>
      <c r="W210" s="137">
        <v>46000</v>
      </c>
      <c r="X210" s="138" t="s">
        <v>18988</v>
      </c>
      <c r="Y210" s="138">
        <v>957</v>
      </c>
      <c r="Z210" s="138" t="s">
        <v>18993</v>
      </c>
      <c r="AA210" s="143">
        <v>46007</v>
      </c>
      <c r="AB210" s="136" t="s">
        <v>19021</v>
      </c>
      <c r="AC210" s="136">
        <v>957</v>
      </c>
      <c r="AD210" s="143"/>
      <c r="AE210" s="136"/>
      <c r="AF210" s="136"/>
      <c r="AG210" s="162">
        <f t="shared" si="19"/>
        <v>0</v>
      </c>
      <c r="AH210" s="48">
        <f t="shared" si="20"/>
        <v>0</v>
      </c>
      <c r="AI210" s="48">
        <f t="shared" si="21"/>
        <v>0</v>
      </c>
      <c r="AJ210" s="142">
        <f t="shared" si="17"/>
        <v>46008</v>
      </c>
      <c r="AK210" s="142"/>
      <c r="AL210" s="142"/>
      <c r="AM210" s="136"/>
      <c r="AN210" s="136"/>
      <c r="AO210" s="136"/>
      <c r="AP210" s="136"/>
      <c r="AQ210" s="184"/>
    </row>
    <row r="211" spans="1:43" s="150" customFormat="1" ht="17.399999999999999">
      <c r="A211" s="136" t="s">
        <v>18978</v>
      </c>
      <c r="B211" s="136" t="s">
        <v>346</v>
      </c>
      <c r="C211" s="139">
        <v>45967</v>
      </c>
      <c r="D211" s="139" t="s">
        <v>33</v>
      </c>
      <c r="E211" s="136" t="s">
        <v>18979</v>
      </c>
      <c r="F211" s="136" t="s">
        <v>33</v>
      </c>
      <c r="G211" s="136" t="s">
        <v>18980</v>
      </c>
      <c r="H211" s="136" t="s">
        <v>354</v>
      </c>
      <c r="I211" s="140" t="s">
        <v>355</v>
      </c>
      <c r="J211" s="141" t="s">
        <v>356</v>
      </c>
      <c r="K211" s="136" t="s">
        <v>346</v>
      </c>
      <c r="L211" s="136" t="s">
        <v>52</v>
      </c>
      <c r="M211" s="136">
        <v>18</v>
      </c>
      <c r="N211" s="136" t="s">
        <v>18981</v>
      </c>
      <c r="O211" s="136"/>
      <c r="P211" s="138" t="s">
        <v>18088</v>
      </c>
      <c r="Q211" s="142" t="s">
        <v>627</v>
      </c>
      <c r="R211" s="143">
        <v>45992</v>
      </c>
      <c r="S211" s="136">
        <f t="shared" si="18"/>
        <v>18</v>
      </c>
      <c r="T211" s="143">
        <v>46009</v>
      </c>
      <c r="U211" s="41" t="str">
        <f t="shared" si="22"/>
        <v/>
      </c>
      <c r="V211" s="137">
        <v>46001</v>
      </c>
      <c r="W211" s="137">
        <v>46009</v>
      </c>
      <c r="X211" s="138" t="s">
        <v>19023</v>
      </c>
      <c r="Y211" s="138">
        <v>18</v>
      </c>
      <c r="Z211" s="138" t="s">
        <v>19027</v>
      </c>
      <c r="AA211" s="143"/>
      <c r="AB211" s="136"/>
      <c r="AC211" s="136"/>
      <c r="AD211" s="143"/>
      <c r="AE211" s="136"/>
      <c r="AF211" s="136"/>
      <c r="AG211" s="162">
        <f t="shared" si="19"/>
        <v>0</v>
      </c>
      <c r="AH211" s="48">
        <f t="shared" si="20"/>
        <v>18</v>
      </c>
      <c r="AI211" s="48">
        <f t="shared" si="21"/>
        <v>18</v>
      </c>
      <c r="AJ211" s="142">
        <f t="shared" si="17"/>
        <v>46013</v>
      </c>
      <c r="AK211" s="142"/>
      <c r="AL211" s="142"/>
      <c r="AM211" s="136"/>
      <c r="AN211" s="136"/>
      <c r="AO211" s="136"/>
      <c r="AP211" s="136"/>
      <c r="AQ211" s="184"/>
    </row>
    <row r="212" spans="1:43" s="150" customFormat="1" ht="17.399999999999999">
      <c r="A212" s="136" t="s">
        <v>18984</v>
      </c>
      <c r="B212" s="136" t="s">
        <v>18376</v>
      </c>
      <c r="C212" s="139">
        <v>45937</v>
      </c>
      <c r="D212" s="139">
        <v>45818</v>
      </c>
      <c r="E212" s="136" t="s">
        <v>18985</v>
      </c>
      <c r="F212" s="136" t="s">
        <v>33</v>
      </c>
      <c r="G212" s="136" t="s">
        <v>33</v>
      </c>
      <c r="H212" s="136" t="s">
        <v>2609</v>
      </c>
      <c r="I212" s="140" t="s">
        <v>818</v>
      </c>
      <c r="J212" s="141" t="s">
        <v>2610</v>
      </c>
      <c r="K212" s="136" t="s">
        <v>215</v>
      </c>
      <c r="L212" s="136" t="s">
        <v>60</v>
      </c>
      <c r="M212" s="136">
        <v>9</v>
      </c>
      <c r="N212" s="136" t="s">
        <v>18986</v>
      </c>
      <c r="O212" s="136"/>
      <c r="P212" s="138" t="s">
        <v>685</v>
      </c>
      <c r="Q212" s="142" t="s">
        <v>627</v>
      </c>
      <c r="R212" s="143">
        <v>45995</v>
      </c>
      <c r="S212" s="136">
        <f t="shared" si="18"/>
        <v>9</v>
      </c>
      <c r="T212" s="143">
        <v>46009</v>
      </c>
      <c r="U212" s="41" t="str">
        <f t="shared" si="22"/>
        <v>Upload in customer box</v>
      </c>
      <c r="V212" s="137">
        <v>46001</v>
      </c>
      <c r="W212" s="137">
        <v>46009</v>
      </c>
      <c r="X212" s="138" t="s">
        <v>19022</v>
      </c>
      <c r="Y212" s="138">
        <v>9</v>
      </c>
      <c r="Z212" s="138" t="s">
        <v>19028</v>
      </c>
      <c r="AA212" s="143"/>
      <c r="AB212" s="136"/>
      <c r="AC212" s="136"/>
      <c r="AD212" s="143"/>
      <c r="AE212" s="136"/>
      <c r="AF212" s="136"/>
      <c r="AG212" s="162">
        <f t="shared" si="19"/>
        <v>0</v>
      </c>
      <c r="AH212" s="48">
        <f t="shared" si="20"/>
        <v>9</v>
      </c>
      <c r="AI212" s="48">
        <f t="shared" si="21"/>
        <v>9</v>
      </c>
      <c r="AJ212" s="142">
        <f t="shared" si="17"/>
        <v>46016</v>
      </c>
      <c r="AK212" s="142"/>
      <c r="AL212" s="142"/>
      <c r="AM212" s="136"/>
      <c r="AN212" s="136"/>
      <c r="AO212" s="136"/>
      <c r="AP212" s="136"/>
      <c r="AQ212" s="184"/>
    </row>
    <row r="213" spans="1:43" s="150" customFormat="1" ht="17.399999999999999">
      <c r="A213" s="136" t="s">
        <v>18989</v>
      </c>
      <c r="B213" s="136" t="s">
        <v>346</v>
      </c>
      <c r="C213" s="139" t="s">
        <v>18990</v>
      </c>
      <c r="D213" s="139" t="s">
        <v>33</v>
      </c>
      <c r="E213" s="136" t="s">
        <v>18991</v>
      </c>
      <c r="F213" s="136" t="s">
        <v>33</v>
      </c>
      <c r="G213" s="136" t="s">
        <v>33</v>
      </c>
      <c r="H213" s="136" t="s">
        <v>8542</v>
      </c>
      <c r="I213" s="140" t="s">
        <v>362</v>
      </c>
      <c r="J213" s="141" t="s">
        <v>8543</v>
      </c>
      <c r="K213" s="136" t="s">
        <v>346</v>
      </c>
      <c r="L213" s="136" t="s">
        <v>60</v>
      </c>
      <c r="M213" s="136">
        <v>71</v>
      </c>
      <c r="N213" s="136" t="s">
        <v>18992</v>
      </c>
      <c r="O213" s="136"/>
      <c r="P213" s="138" t="s">
        <v>18088</v>
      </c>
      <c r="Q213" s="142" t="s">
        <v>627</v>
      </c>
      <c r="R213" s="143">
        <v>45999</v>
      </c>
      <c r="S213" s="136">
        <f t="shared" si="18"/>
        <v>71</v>
      </c>
      <c r="T213" s="143">
        <v>46009</v>
      </c>
      <c r="U213" s="41" t="str">
        <f t="shared" si="22"/>
        <v/>
      </c>
      <c r="V213" s="137">
        <v>46002</v>
      </c>
      <c r="W213" s="137">
        <v>46009</v>
      </c>
      <c r="X213" s="138" t="s">
        <v>19023</v>
      </c>
      <c r="Y213" s="138">
        <v>71</v>
      </c>
      <c r="Z213" s="138" t="s">
        <v>19030</v>
      </c>
      <c r="AA213" s="143"/>
      <c r="AB213" s="136"/>
      <c r="AC213" s="136"/>
      <c r="AD213" s="143"/>
      <c r="AE213" s="136"/>
      <c r="AF213" s="136"/>
      <c r="AG213" s="162">
        <f t="shared" si="19"/>
        <v>0</v>
      </c>
      <c r="AH213" s="48">
        <f t="shared" si="20"/>
        <v>71</v>
      </c>
      <c r="AI213" s="48">
        <f t="shared" si="21"/>
        <v>71</v>
      </c>
      <c r="AJ213" s="142">
        <f t="shared" si="17"/>
        <v>46020</v>
      </c>
      <c r="AK213" s="142"/>
      <c r="AL213" s="142"/>
      <c r="AM213" s="136"/>
      <c r="AN213" s="136"/>
      <c r="AO213" s="136"/>
      <c r="AP213" s="136"/>
      <c r="AQ213" s="184"/>
    </row>
    <row r="214" spans="1:43" s="150" customFormat="1" ht="17.399999999999999">
      <c r="A214" s="136" t="s">
        <v>19001</v>
      </c>
      <c r="B214" s="136" t="s">
        <v>19002</v>
      </c>
      <c r="C214" s="139">
        <v>46006</v>
      </c>
      <c r="D214" s="139">
        <v>45993</v>
      </c>
      <c r="E214" s="136" t="s">
        <v>19003</v>
      </c>
      <c r="F214" s="136" t="s">
        <v>33</v>
      </c>
      <c r="G214" s="136" t="s">
        <v>33</v>
      </c>
      <c r="H214" s="136" t="s">
        <v>18999</v>
      </c>
      <c r="I214" s="140" t="s">
        <v>6870</v>
      </c>
      <c r="J214" s="141" t="s">
        <v>19000</v>
      </c>
      <c r="K214" s="136" t="s">
        <v>19004</v>
      </c>
      <c r="L214" s="136" t="s">
        <v>60</v>
      </c>
      <c r="M214" s="136">
        <v>42</v>
      </c>
      <c r="N214" s="136" t="s">
        <v>19005</v>
      </c>
      <c r="O214" s="136"/>
      <c r="P214" s="138" t="s">
        <v>2655</v>
      </c>
      <c r="Q214" s="142" t="s">
        <v>627</v>
      </c>
      <c r="R214" s="143">
        <v>46006</v>
      </c>
      <c r="S214" s="136">
        <f t="shared" si="18"/>
        <v>42</v>
      </c>
      <c r="T214" s="143">
        <v>46014</v>
      </c>
      <c r="U214" s="41" t="str">
        <f t="shared" si="22"/>
        <v/>
      </c>
      <c r="V214" s="137">
        <v>46009</v>
      </c>
      <c r="W214" s="137">
        <v>46014</v>
      </c>
      <c r="X214" s="138" t="s">
        <v>19035</v>
      </c>
      <c r="Y214" s="138">
        <v>42</v>
      </c>
      <c r="Z214" s="138" t="s">
        <v>19051</v>
      </c>
      <c r="AA214" s="143">
        <v>46011</v>
      </c>
      <c r="AB214" s="136" t="s">
        <v>19038</v>
      </c>
      <c r="AC214" s="136">
        <v>42</v>
      </c>
      <c r="AD214" s="143"/>
      <c r="AE214" s="136"/>
      <c r="AF214" s="136"/>
      <c r="AG214" s="162">
        <f t="shared" si="19"/>
        <v>0</v>
      </c>
      <c r="AH214" s="48">
        <f t="shared" si="20"/>
        <v>0</v>
      </c>
      <c r="AI214" s="48">
        <f t="shared" si="21"/>
        <v>0</v>
      </c>
      <c r="AJ214" s="142">
        <f t="shared" si="17"/>
        <v>46027</v>
      </c>
      <c r="AK214" s="142"/>
      <c r="AL214" s="142"/>
      <c r="AM214" s="136"/>
      <c r="AN214" s="136"/>
      <c r="AO214" s="136"/>
      <c r="AP214" s="136"/>
      <c r="AQ214" s="184"/>
    </row>
    <row r="215" spans="1:43" s="150" customFormat="1" ht="17.399999999999999">
      <c r="A215" s="136" t="s">
        <v>19006</v>
      </c>
      <c r="B215" s="136" t="s">
        <v>19007</v>
      </c>
      <c r="C215" s="139">
        <v>45958</v>
      </c>
      <c r="D215" s="139">
        <v>45874</v>
      </c>
      <c r="E215" s="136" t="s">
        <v>19008</v>
      </c>
      <c r="F215" s="136" t="s">
        <v>33</v>
      </c>
      <c r="G215" s="136" t="s">
        <v>33</v>
      </c>
      <c r="H215" s="136" t="s">
        <v>2623</v>
      </c>
      <c r="I215" s="140" t="s">
        <v>57</v>
      </c>
      <c r="J215" s="141" t="s">
        <v>6297</v>
      </c>
      <c r="K215" s="136" t="s">
        <v>18960</v>
      </c>
      <c r="L215" s="136" t="s">
        <v>60</v>
      </c>
      <c r="M215" s="136">
        <v>200</v>
      </c>
      <c r="N215" s="136" t="s">
        <v>19009</v>
      </c>
      <c r="O215" s="136"/>
      <c r="P215" s="138" t="s">
        <v>685</v>
      </c>
      <c r="Q215" s="142" t="s">
        <v>18886</v>
      </c>
      <c r="R215" s="143">
        <v>46007</v>
      </c>
      <c r="S215" s="136">
        <f t="shared" si="18"/>
        <v>200</v>
      </c>
      <c r="T215" s="143">
        <v>46010</v>
      </c>
      <c r="U215" s="41" t="str">
        <f t="shared" si="22"/>
        <v>Upload in customer box</v>
      </c>
      <c r="V215" s="137" t="s">
        <v>571</v>
      </c>
      <c r="W215" s="137" t="s">
        <v>571</v>
      </c>
      <c r="X215" s="138" t="s">
        <v>571</v>
      </c>
      <c r="Y215" s="138">
        <v>200</v>
      </c>
      <c r="Z215" s="44" t="s">
        <v>571</v>
      </c>
      <c r="AA215" s="143"/>
      <c r="AB215" s="136"/>
      <c r="AC215" s="136"/>
      <c r="AD215" s="143"/>
      <c r="AF215" s="136"/>
      <c r="AG215" s="162">
        <f t="shared" si="19"/>
        <v>0</v>
      </c>
      <c r="AH215" s="48">
        <f t="shared" si="20"/>
        <v>200</v>
      </c>
      <c r="AI215" s="48">
        <f t="shared" si="21"/>
        <v>200</v>
      </c>
      <c r="AJ215" s="142">
        <f t="shared" si="17"/>
        <v>46028</v>
      </c>
      <c r="AK215" s="142"/>
      <c r="AL215" s="142"/>
      <c r="AM215" s="136"/>
      <c r="AN215" s="136"/>
      <c r="AO215" s="136"/>
      <c r="AP215" s="136"/>
      <c r="AQ215" s="184"/>
    </row>
    <row r="216" spans="1:43" ht="17.399999999999999">
      <c r="A216" s="22" t="s">
        <v>19010</v>
      </c>
      <c r="B216" s="22" t="s">
        <v>18376</v>
      </c>
      <c r="C216" s="56">
        <v>45939</v>
      </c>
      <c r="D216" s="56">
        <v>45817</v>
      </c>
      <c r="E216" s="22" t="s">
        <v>19011</v>
      </c>
      <c r="F216" s="22" t="s">
        <v>33</v>
      </c>
      <c r="G216" s="22" t="s">
        <v>33</v>
      </c>
      <c r="H216" s="22" t="s">
        <v>8297</v>
      </c>
      <c r="I216" s="49" t="s">
        <v>174</v>
      </c>
      <c r="J216" s="50" t="s">
        <v>2005</v>
      </c>
      <c r="K216" s="22" t="s">
        <v>215</v>
      </c>
      <c r="L216" s="22" t="s">
        <v>60</v>
      </c>
      <c r="M216" s="22">
        <v>1</v>
      </c>
      <c r="N216" s="22" t="s">
        <v>19032</v>
      </c>
      <c r="O216" s="22"/>
      <c r="P216" s="46" t="s">
        <v>683</v>
      </c>
      <c r="Q216" s="40" t="s">
        <v>627</v>
      </c>
      <c r="R216" s="41">
        <v>46007</v>
      </c>
      <c r="S216" s="22">
        <f t="shared" si="18"/>
        <v>1</v>
      </c>
      <c r="T216" s="41">
        <v>46009</v>
      </c>
      <c r="U216" s="41" t="str">
        <f t="shared" si="22"/>
        <v>Upload in customer box</v>
      </c>
      <c r="V216" s="144">
        <v>46049</v>
      </c>
      <c r="W216" s="144" t="s">
        <v>19082</v>
      </c>
      <c r="X216" s="144" t="s">
        <v>19088</v>
      </c>
      <c r="Y216" s="145">
        <v>1</v>
      </c>
      <c r="Z216" s="46" t="s">
        <v>19089</v>
      </c>
      <c r="AA216" s="41"/>
      <c r="AB216" s="22"/>
      <c r="AC216" s="22"/>
      <c r="AD216" s="41"/>
      <c r="AE216" s="22"/>
      <c r="AF216" s="22"/>
      <c r="AG216" s="48">
        <f t="shared" si="19"/>
        <v>0</v>
      </c>
      <c r="AH216" s="48">
        <f t="shared" si="20"/>
        <v>1</v>
      </c>
      <c r="AI216" s="48">
        <f t="shared" si="21"/>
        <v>1</v>
      </c>
      <c r="AJ216" s="142">
        <f t="shared" si="17"/>
        <v>46028</v>
      </c>
      <c r="AK216" s="40"/>
      <c r="AL216" s="40"/>
      <c r="AM216" s="22"/>
      <c r="AQ216" s="184"/>
    </row>
    <row r="217" spans="1:43" s="195" customFormat="1" ht="17.399999999999999">
      <c r="A217" s="165" t="s">
        <v>19012</v>
      </c>
      <c r="B217" s="165" t="s">
        <v>19013</v>
      </c>
      <c r="C217" s="190">
        <v>45987</v>
      </c>
      <c r="D217" s="190">
        <v>45783</v>
      </c>
      <c r="E217" s="165" t="s">
        <v>18884</v>
      </c>
      <c r="F217" s="165" t="s">
        <v>33</v>
      </c>
      <c r="G217" s="165" t="s">
        <v>33</v>
      </c>
      <c r="H217" s="165" t="s">
        <v>2784</v>
      </c>
      <c r="I217" s="191" t="s">
        <v>2785</v>
      </c>
      <c r="J217" s="192" t="s">
        <v>2786</v>
      </c>
      <c r="K217" s="165" t="s">
        <v>19014</v>
      </c>
      <c r="L217" s="165" t="s">
        <v>60</v>
      </c>
      <c r="M217" s="165">
        <v>1</v>
      </c>
      <c r="N217" s="165" t="s">
        <v>19015</v>
      </c>
      <c r="O217" s="165"/>
      <c r="P217" s="187" t="s">
        <v>19054</v>
      </c>
      <c r="Q217" s="193" t="s">
        <v>18886</v>
      </c>
      <c r="R217" s="194">
        <v>46007</v>
      </c>
      <c r="S217" s="165">
        <f t="shared" si="18"/>
        <v>1</v>
      </c>
      <c r="T217" s="194">
        <v>46014</v>
      </c>
      <c r="U217" s="41" t="str">
        <f t="shared" si="22"/>
        <v/>
      </c>
      <c r="V217" s="186">
        <v>45999</v>
      </c>
      <c r="W217" s="186">
        <v>46014</v>
      </c>
      <c r="X217" s="187" t="s">
        <v>19036</v>
      </c>
      <c r="Y217" s="187">
        <v>1</v>
      </c>
      <c r="Z217" s="187" t="s">
        <v>19052</v>
      </c>
      <c r="AA217" s="194"/>
      <c r="AB217" s="165"/>
      <c r="AC217" s="165"/>
      <c r="AD217" s="161">
        <v>46100</v>
      </c>
      <c r="AE217" s="157" t="s">
        <v>19145</v>
      </c>
      <c r="AF217" s="165">
        <v>1</v>
      </c>
      <c r="AG217" s="162">
        <f t="shared" si="19"/>
        <v>0</v>
      </c>
      <c r="AH217" s="162">
        <f t="shared" si="20"/>
        <v>0</v>
      </c>
      <c r="AI217" s="162">
        <f t="shared" si="21"/>
        <v>0</v>
      </c>
      <c r="AJ217" s="193">
        <f t="shared" si="17"/>
        <v>46028</v>
      </c>
      <c r="AK217" s="193"/>
      <c r="AL217" s="193"/>
      <c r="AM217" s="165"/>
      <c r="AN217" s="165"/>
      <c r="AO217" s="165"/>
      <c r="AP217" s="165"/>
      <c r="AQ217" s="184"/>
    </row>
    <row r="218" spans="1:43" s="150" customFormat="1" ht="17.399999999999999">
      <c r="A218" s="136" t="s">
        <v>19016</v>
      </c>
      <c r="B218" s="136" t="s">
        <v>19017</v>
      </c>
      <c r="C218" s="139">
        <v>45980</v>
      </c>
      <c r="D218" s="139" t="s">
        <v>19018</v>
      </c>
      <c r="E218" s="136" t="s">
        <v>19019</v>
      </c>
      <c r="F218" s="136" t="s">
        <v>33</v>
      </c>
      <c r="G218" s="136" t="s">
        <v>33</v>
      </c>
      <c r="H218" s="136" t="s">
        <v>12020</v>
      </c>
      <c r="I218" s="140" t="s">
        <v>704</v>
      </c>
      <c r="J218" s="141" t="s">
        <v>12021</v>
      </c>
      <c r="K218" s="136" t="s">
        <v>92</v>
      </c>
      <c r="L218" s="136" t="s">
        <v>60</v>
      </c>
      <c r="M218" s="136">
        <v>5</v>
      </c>
      <c r="N218" s="136" t="s">
        <v>19020</v>
      </c>
      <c r="O218" s="136"/>
      <c r="P218" s="138" t="s">
        <v>5205</v>
      </c>
      <c r="Q218" s="142" t="s">
        <v>627</v>
      </c>
      <c r="R218" s="143">
        <v>46007</v>
      </c>
      <c r="S218" s="136">
        <f t="shared" si="18"/>
        <v>5</v>
      </c>
      <c r="T218" s="143">
        <v>46009</v>
      </c>
      <c r="U218" s="41" t="str">
        <f t="shared" si="22"/>
        <v/>
      </c>
      <c r="V218" s="137">
        <v>46009</v>
      </c>
      <c r="W218" s="137">
        <v>46014</v>
      </c>
      <c r="X218" s="138" t="s">
        <v>19037</v>
      </c>
      <c r="Y218" s="138">
        <v>5</v>
      </c>
      <c r="Z218" s="138" t="s">
        <v>19053</v>
      </c>
      <c r="AA218" s="143">
        <v>46035</v>
      </c>
      <c r="AB218" s="136">
        <v>80010728</v>
      </c>
      <c r="AC218" s="136">
        <v>5</v>
      </c>
      <c r="AD218" s="143"/>
      <c r="AE218" s="136"/>
      <c r="AF218" s="136"/>
      <c r="AG218" s="162">
        <f t="shared" si="19"/>
        <v>0</v>
      </c>
      <c r="AH218" s="48">
        <f t="shared" si="20"/>
        <v>0</v>
      </c>
      <c r="AI218" s="48">
        <f t="shared" si="21"/>
        <v>0</v>
      </c>
      <c r="AJ218" s="142">
        <f t="shared" si="17"/>
        <v>46028</v>
      </c>
      <c r="AK218" s="142">
        <v>46055</v>
      </c>
      <c r="AL218" s="142"/>
      <c r="AM218" s="136"/>
      <c r="AN218" s="136"/>
      <c r="AO218" s="136"/>
      <c r="AP218" s="136"/>
      <c r="AQ218" s="184"/>
    </row>
    <row r="219" spans="1:43" s="195" customFormat="1" ht="17.399999999999999">
      <c r="A219" s="165" t="s">
        <v>19039</v>
      </c>
      <c r="B219" s="165" t="s">
        <v>18502</v>
      </c>
      <c r="C219" s="190">
        <v>46013</v>
      </c>
      <c r="D219" s="190" t="s">
        <v>33</v>
      </c>
      <c r="E219" s="165" t="s">
        <v>33</v>
      </c>
      <c r="F219" s="165" t="s">
        <v>33</v>
      </c>
      <c r="G219" s="165" t="s">
        <v>33</v>
      </c>
      <c r="H219" s="165" t="s">
        <v>629</v>
      </c>
      <c r="I219" s="191" t="s">
        <v>630</v>
      </c>
      <c r="J219" s="192" t="s">
        <v>631</v>
      </c>
      <c r="K219" s="165" t="s">
        <v>19040</v>
      </c>
      <c r="L219" s="165" t="s">
        <v>60</v>
      </c>
      <c r="M219" s="165">
        <v>23</v>
      </c>
      <c r="N219" s="165" t="s">
        <v>19041</v>
      </c>
      <c r="O219" s="165"/>
      <c r="P219" s="187" t="s">
        <v>19055</v>
      </c>
      <c r="Q219" s="193" t="s">
        <v>627</v>
      </c>
      <c r="R219" s="194">
        <v>46013</v>
      </c>
      <c r="S219" s="165">
        <f t="shared" si="18"/>
        <v>23</v>
      </c>
      <c r="T219" s="194">
        <v>46035</v>
      </c>
      <c r="U219" s="41" t="str">
        <f t="shared" si="22"/>
        <v>Upload in customer box</v>
      </c>
      <c r="V219" s="186">
        <v>45664</v>
      </c>
      <c r="W219" s="186">
        <v>46035</v>
      </c>
      <c r="X219" s="187" t="s">
        <v>19061</v>
      </c>
      <c r="Y219" s="187">
        <v>23</v>
      </c>
      <c r="Z219" s="187" t="s">
        <v>19067</v>
      </c>
      <c r="AA219" s="194"/>
      <c r="AB219" s="165"/>
      <c r="AC219" s="165"/>
      <c r="AD219" s="194" t="s">
        <v>19423</v>
      </c>
      <c r="AE219" s="165" t="s">
        <v>19424</v>
      </c>
      <c r="AF219" s="165">
        <f>16+7</f>
        <v>23</v>
      </c>
      <c r="AG219" s="162">
        <f t="shared" si="19"/>
        <v>0</v>
      </c>
      <c r="AH219" s="162">
        <f t="shared" si="20"/>
        <v>0</v>
      </c>
      <c r="AI219" s="162">
        <f t="shared" si="21"/>
        <v>0</v>
      </c>
      <c r="AJ219" s="193">
        <f t="shared" si="17"/>
        <v>46034</v>
      </c>
      <c r="AK219" s="216">
        <v>46181</v>
      </c>
      <c r="AL219" s="193"/>
      <c r="AM219" s="165"/>
      <c r="AN219" s="165"/>
      <c r="AO219" s="165"/>
      <c r="AP219" s="165"/>
      <c r="AQ219" s="184"/>
    </row>
    <row r="220" spans="1:43" s="195" customFormat="1" ht="27.6">
      <c r="A220" s="165" t="s">
        <v>19042</v>
      </c>
      <c r="B220" s="165" t="s">
        <v>18502</v>
      </c>
      <c r="C220" s="190">
        <v>46013</v>
      </c>
      <c r="D220" s="190" t="s">
        <v>33</v>
      </c>
      <c r="E220" s="165" t="s">
        <v>33</v>
      </c>
      <c r="F220" s="165" t="s">
        <v>33</v>
      </c>
      <c r="G220" s="165" t="s">
        <v>33</v>
      </c>
      <c r="H220" s="165" t="s">
        <v>629</v>
      </c>
      <c r="I220" s="191" t="s">
        <v>630</v>
      </c>
      <c r="J220" s="192" t="s">
        <v>631</v>
      </c>
      <c r="K220" s="165" t="s">
        <v>19040</v>
      </c>
      <c r="L220" s="165" t="s">
        <v>60</v>
      </c>
      <c r="M220" s="165">
        <v>18</v>
      </c>
      <c r="N220" s="165" t="s">
        <v>19043</v>
      </c>
      <c r="O220" s="165"/>
      <c r="P220" s="187" t="s">
        <v>19055</v>
      </c>
      <c r="Q220" s="193" t="s">
        <v>627</v>
      </c>
      <c r="R220" s="194">
        <v>46013</v>
      </c>
      <c r="S220" s="165">
        <f t="shared" si="18"/>
        <v>18</v>
      </c>
      <c r="T220" s="194">
        <v>46035</v>
      </c>
      <c r="U220" s="41" t="str">
        <f t="shared" si="22"/>
        <v>Upload in customer box</v>
      </c>
      <c r="V220" s="186">
        <v>45664</v>
      </c>
      <c r="W220" s="186">
        <v>46035</v>
      </c>
      <c r="X220" s="187" t="s">
        <v>19061</v>
      </c>
      <c r="Y220" s="187">
        <v>18</v>
      </c>
      <c r="Z220" s="187" t="s">
        <v>19067</v>
      </c>
      <c r="AA220" s="194"/>
      <c r="AB220" s="165"/>
      <c r="AC220" s="165"/>
      <c r="AD220" s="215" t="s">
        <v>19425</v>
      </c>
      <c r="AE220" s="214" t="s">
        <v>19426</v>
      </c>
      <c r="AF220" s="165">
        <f>9+9</f>
        <v>18</v>
      </c>
      <c r="AG220" s="162">
        <f t="shared" si="19"/>
        <v>0</v>
      </c>
      <c r="AH220" s="162">
        <f t="shared" si="20"/>
        <v>0</v>
      </c>
      <c r="AI220" s="162">
        <f t="shared" si="21"/>
        <v>0</v>
      </c>
      <c r="AJ220" s="193">
        <f t="shared" si="17"/>
        <v>46034</v>
      </c>
      <c r="AK220" s="216">
        <v>46181</v>
      </c>
      <c r="AL220" s="193"/>
      <c r="AM220" s="165"/>
      <c r="AN220" s="165"/>
      <c r="AO220" s="165"/>
      <c r="AP220" s="165"/>
      <c r="AQ220" s="184"/>
    </row>
    <row r="221" spans="1:43" s="195" customFormat="1" ht="18" thickBot="1">
      <c r="A221" s="165" t="s">
        <v>19044</v>
      </c>
      <c r="B221" s="165" t="s">
        <v>18502</v>
      </c>
      <c r="C221" s="190">
        <v>46013</v>
      </c>
      <c r="D221" s="190" t="s">
        <v>33</v>
      </c>
      <c r="E221" s="165" t="s">
        <v>33</v>
      </c>
      <c r="F221" s="165" t="s">
        <v>33</v>
      </c>
      <c r="G221" s="165" t="s">
        <v>33</v>
      </c>
      <c r="H221" s="165" t="s">
        <v>629</v>
      </c>
      <c r="I221" s="191" t="s">
        <v>630</v>
      </c>
      <c r="J221" s="192" t="s">
        <v>631</v>
      </c>
      <c r="K221" s="165" t="s">
        <v>19040</v>
      </c>
      <c r="L221" s="165" t="s">
        <v>60</v>
      </c>
      <c r="M221" s="165">
        <v>24</v>
      </c>
      <c r="N221" s="165" t="s">
        <v>19045</v>
      </c>
      <c r="O221" s="165"/>
      <c r="P221" s="187" t="s">
        <v>19055</v>
      </c>
      <c r="Q221" s="193" t="s">
        <v>627</v>
      </c>
      <c r="R221" s="194">
        <v>46013</v>
      </c>
      <c r="S221" s="165">
        <f t="shared" si="18"/>
        <v>24</v>
      </c>
      <c r="T221" s="194">
        <v>46035</v>
      </c>
      <c r="U221" s="41" t="str">
        <f t="shared" si="22"/>
        <v>Upload in customer box</v>
      </c>
      <c r="V221" s="186">
        <v>45664</v>
      </c>
      <c r="W221" s="186">
        <v>46035</v>
      </c>
      <c r="X221" s="187" t="s">
        <v>19061</v>
      </c>
      <c r="Y221" s="187">
        <v>24</v>
      </c>
      <c r="Z221" s="187" t="s">
        <v>19067</v>
      </c>
      <c r="AA221" s="194"/>
      <c r="AB221" s="165"/>
      <c r="AC221" s="165"/>
      <c r="AD221" s="194" t="s">
        <v>19521</v>
      </c>
      <c r="AE221" s="165" t="s">
        <v>19522</v>
      </c>
      <c r="AF221" s="165">
        <f>7+17</f>
        <v>24</v>
      </c>
      <c r="AG221" s="162">
        <f t="shared" si="19"/>
        <v>0</v>
      </c>
      <c r="AH221" s="162">
        <f t="shared" si="20"/>
        <v>0</v>
      </c>
      <c r="AI221" s="162">
        <f t="shared" si="21"/>
        <v>0</v>
      </c>
      <c r="AJ221" s="193">
        <f t="shared" si="17"/>
        <v>46034</v>
      </c>
      <c r="AK221" s="216">
        <v>46181</v>
      </c>
      <c r="AL221" s="193"/>
      <c r="AM221" s="165"/>
      <c r="AN221" s="165"/>
      <c r="AO221" s="165"/>
      <c r="AP221" s="165"/>
      <c r="AQ221" s="196"/>
    </row>
    <row r="222" spans="1:43" ht="17.399999999999999">
      <c r="A222" s="22" t="s">
        <v>19058</v>
      </c>
      <c r="B222" s="22" t="s">
        <v>19059</v>
      </c>
      <c r="C222" s="56">
        <v>46013</v>
      </c>
      <c r="D222" s="56">
        <v>45610</v>
      </c>
      <c r="E222" s="22" t="s">
        <v>18170</v>
      </c>
      <c r="F222" s="22" t="s">
        <v>33</v>
      </c>
      <c r="G222" s="22" t="s">
        <v>33</v>
      </c>
      <c r="H222" s="22" t="s">
        <v>12224</v>
      </c>
      <c r="I222" s="49" t="s">
        <v>174</v>
      </c>
      <c r="J222" s="50" t="s">
        <v>12225</v>
      </c>
      <c r="K222" s="22" t="s">
        <v>51</v>
      </c>
      <c r="L222" s="22" t="s">
        <v>60</v>
      </c>
      <c r="M222" s="22">
        <v>1</v>
      </c>
      <c r="N222" s="22" t="s">
        <v>19060</v>
      </c>
      <c r="O222" s="22"/>
      <c r="P222" s="46" t="s">
        <v>683</v>
      </c>
      <c r="Q222" s="40" t="s">
        <v>627</v>
      </c>
      <c r="R222" s="41">
        <v>46030</v>
      </c>
      <c r="S222" s="22">
        <f t="shared" si="18"/>
        <v>1</v>
      </c>
      <c r="T222" s="41">
        <v>46035</v>
      </c>
      <c r="U222" s="41" t="str">
        <f t="shared" si="22"/>
        <v>Upload in customer box</v>
      </c>
      <c r="V222" s="144">
        <v>46049</v>
      </c>
      <c r="W222" s="144" t="s">
        <v>19082</v>
      </c>
      <c r="X222" s="144" t="s">
        <v>19088</v>
      </c>
      <c r="Y222" s="145">
        <v>1</v>
      </c>
      <c r="Z222" s="46" t="s">
        <v>19089</v>
      </c>
      <c r="AA222" s="41"/>
      <c r="AB222" s="22"/>
      <c r="AC222" s="22"/>
      <c r="AD222" s="41"/>
      <c r="AE222" s="22"/>
      <c r="AF222" s="22"/>
      <c r="AG222" s="48">
        <f t="shared" si="19"/>
        <v>0</v>
      </c>
      <c r="AH222" s="48">
        <f t="shared" si="20"/>
        <v>1</v>
      </c>
      <c r="AI222" s="48">
        <f t="shared" si="21"/>
        <v>1</v>
      </c>
      <c r="AJ222" s="142">
        <f t="shared" si="17"/>
        <v>46051</v>
      </c>
      <c r="AK222" s="40"/>
      <c r="AL222" s="40"/>
      <c r="AM222" s="22"/>
      <c r="AQ222" s="197">
        <f t="shared" ref="AQ222:AQ250" ca="1" si="23">IF(T222="","",IF(AI222=0,IF(AD222="",AA222-T222,AD222-T222),TODAY()-T222))</f>
        <v>288</v>
      </c>
    </row>
    <row r="223" spans="1:43" ht="17.399999999999999">
      <c r="A223" s="22" t="s">
        <v>19062</v>
      </c>
      <c r="B223" s="22" t="s">
        <v>18926</v>
      </c>
      <c r="C223" s="56" t="s">
        <v>19063</v>
      </c>
      <c r="D223" s="56" t="s">
        <v>33</v>
      </c>
      <c r="E223" s="22" t="s">
        <v>33</v>
      </c>
      <c r="F223" s="22" t="s">
        <v>33</v>
      </c>
      <c r="G223" s="22" t="s">
        <v>67</v>
      </c>
      <c r="H223" s="22" t="s">
        <v>410</v>
      </c>
      <c r="I223" s="49" t="s">
        <v>404</v>
      </c>
      <c r="J223" s="50" t="s">
        <v>411</v>
      </c>
      <c r="K223" s="22" t="s">
        <v>980</v>
      </c>
      <c r="L223" s="22" t="s">
        <v>60</v>
      </c>
      <c r="M223" s="22">
        <v>243</v>
      </c>
      <c r="N223" s="22" t="s">
        <v>19064</v>
      </c>
      <c r="O223" s="22"/>
      <c r="P223" s="46" t="s">
        <v>681</v>
      </c>
      <c r="Q223" s="40" t="s">
        <v>627</v>
      </c>
      <c r="R223" s="41">
        <v>46034</v>
      </c>
      <c r="S223" s="22">
        <f t="shared" si="18"/>
        <v>243</v>
      </c>
      <c r="T223" s="41">
        <v>46100</v>
      </c>
      <c r="U223" s="41" t="str">
        <f t="shared" si="22"/>
        <v/>
      </c>
      <c r="V223" s="44">
        <v>46092</v>
      </c>
      <c r="W223" s="44">
        <v>46100</v>
      </c>
      <c r="X223" s="46" t="s">
        <v>19150</v>
      </c>
      <c r="Y223" s="46">
        <v>243</v>
      </c>
      <c r="Z223" s="46" t="s">
        <v>19151</v>
      </c>
      <c r="AA223" s="41"/>
      <c r="AB223" s="22"/>
      <c r="AC223" s="22"/>
      <c r="AD223" s="41"/>
      <c r="AE223" s="22"/>
      <c r="AF223" s="22"/>
      <c r="AG223" s="48">
        <f t="shared" si="19"/>
        <v>0</v>
      </c>
      <c r="AH223" s="48">
        <f t="shared" si="20"/>
        <v>243</v>
      </c>
      <c r="AI223" s="48">
        <f t="shared" si="21"/>
        <v>243</v>
      </c>
      <c r="AJ223" s="142">
        <f t="shared" si="17"/>
        <v>46055</v>
      </c>
      <c r="AK223" s="40"/>
      <c r="AL223" s="40"/>
      <c r="AM223" s="22"/>
      <c r="AQ223" s="46">
        <f t="shared" ca="1" si="23"/>
        <v>223</v>
      </c>
    </row>
    <row r="224" spans="1:43" ht="17.399999999999999">
      <c r="A224" s="22" t="s">
        <v>19065</v>
      </c>
      <c r="B224" s="22" t="s">
        <v>18762</v>
      </c>
      <c r="C224" s="56" t="s">
        <v>19063</v>
      </c>
      <c r="D224" s="56" t="s">
        <v>33</v>
      </c>
      <c r="E224" s="22" t="s">
        <v>33</v>
      </c>
      <c r="F224" s="22" t="s">
        <v>33</v>
      </c>
      <c r="G224" s="22" t="s">
        <v>67</v>
      </c>
      <c r="H224" s="22" t="s">
        <v>403</v>
      </c>
      <c r="I224" s="49" t="s">
        <v>404</v>
      </c>
      <c r="J224" s="50" t="s">
        <v>405</v>
      </c>
      <c r="K224" s="22" t="s">
        <v>980</v>
      </c>
      <c r="L224" s="22" t="s">
        <v>60</v>
      </c>
      <c r="M224" s="22">
        <v>196</v>
      </c>
      <c r="N224" s="22" t="s">
        <v>19066</v>
      </c>
      <c r="O224" s="22"/>
      <c r="P224" s="46" t="s">
        <v>681</v>
      </c>
      <c r="Q224" s="40" t="s">
        <v>627</v>
      </c>
      <c r="R224" s="41">
        <v>46034</v>
      </c>
      <c r="S224" s="22">
        <f t="shared" si="18"/>
        <v>196</v>
      </c>
      <c r="T224" s="41">
        <v>46100</v>
      </c>
      <c r="U224" s="41" t="str">
        <f t="shared" si="22"/>
        <v/>
      </c>
      <c r="V224" s="44">
        <v>46092</v>
      </c>
      <c r="W224" s="44">
        <v>46100</v>
      </c>
      <c r="X224" s="46" t="s">
        <v>19152</v>
      </c>
      <c r="Y224" s="46">
        <v>196</v>
      </c>
      <c r="Z224" s="46" t="s">
        <v>19153</v>
      </c>
      <c r="AA224" s="41"/>
      <c r="AB224" s="22"/>
      <c r="AC224" s="22"/>
      <c r="AD224" s="41"/>
      <c r="AE224" s="22"/>
      <c r="AF224" s="22"/>
      <c r="AG224" s="48">
        <f t="shared" si="19"/>
        <v>0</v>
      </c>
      <c r="AH224" s="48">
        <f t="shared" si="20"/>
        <v>196</v>
      </c>
      <c r="AI224" s="48">
        <f t="shared" si="21"/>
        <v>196</v>
      </c>
      <c r="AJ224" s="142">
        <f t="shared" si="17"/>
        <v>46055</v>
      </c>
      <c r="AK224" s="40"/>
      <c r="AL224" s="40"/>
      <c r="AM224" s="22"/>
      <c r="AQ224" s="46">
        <f t="shared" ca="1" si="23"/>
        <v>223</v>
      </c>
    </row>
    <row r="225" spans="1:43" s="163" customFormat="1" ht="17.399999999999999">
      <c r="A225" s="157" t="s">
        <v>19068</v>
      </c>
      <c r="B225" s="157" t="s">
        <v>50</v>
      </c>
      <c r="C225" s="158">
        <v>46010</v>
      </c>
      <c r="D225" s="158">
        <v>45986</v>
      </c>
      <c r="E225" s="157" t="s">
        <v>19069</v>
      </c>
      <c r="F225" s="157">
        <v>50000</v>
      </c>
      <c r="G225" s="157" t="s">
        <v>19070</v>
      </c>
      <c r="H225" s="157" t="s">
        <v>205</v>
      </c>
      <c r="I225" s="182" t="s">
        <v>206</v>
      </c>
      <c r="J225" s="183" t="s">
        <v>207</v>
      </c>
      <c r="K225" s="157" t="s">
        <v>215</v>
      </c>
      <c r="L225" s="157" t="s">
        <v>60</v>
      </c>
      <c r="M225" s="157">
        <v>206</v>
      </c>
      <c r="N225" s="157" t="s">
        <v>19087</v>
      </c>
      <c r="O225" s="157"/>
      <c r="P225" s="159" t="s">
        <v>685</v>
      </c>
      <c r="Q225" s="160" t="s">
        <v>728</v>
      </c>
      <c r="R225" s="161">
        <v>46035</v>
      </c>
      <c r="S225" s="157">
        <f t="shared" si="18"/>
        <v>206</v>
      </c>
      <c r="T225" s="161">
        <v>46049</v>
      </c>
      <c r="U225" s="41" t="str">
        <f t="shared" si="22"/>
        <v>Upload in customer box</v>
      </c>
      <c r="V225" s="164">
        <v>46042</v>
      </c>
      <c r="W225" s="164">
        <v>46049</v>
      </c>
      <c r="X225" s="159" t="s">
        <v>19083</v>
      </c>
      <c r="Y225" s="159">
        <v>206</v>
      </c>
      <c r="Z225" s="159" t="s">
        <v>19086</v>
      </c>
      <c r="AA225" s="161"/>
      <c r="AB225" s="157"/>
      <c r="AC225" s="157"/>
      <c r="AD225" s="161">
        <v>46111</v>
      </c>
      <c r="AE225" s="157" t="s">
        <v>19147</v>
      </c>
      <c r="AF225" s="157">
        <v>206</v>
      </c>
      <c r="AG225" s="162">
        <f t="shared" si="19"/>
        <v>0</v>
      </c>
      <c r="AH225" s="162">
        <f t="shared" si="20"/>
        <v>0</v>
      </c>
      <c r="AI225" s="162">
        <f t="shared" si="21"/>
        <v>0</v>
      </c>
      <c r="AJ225" s="193">
        <f t="shared" si="17"/>
        <v>46056</v>
      </c>
      <c r="AK225" s="160"/>
      <c r="AL225" s="160"/>
      <c r="AM225" s="157"/>
      <c r="AN225" s="157"/>
      <c r="AO225" s="157"/>
      <c r="AP225" s="157"/>
      <c r="AQ225" s="159">
        <f t="shared" ca="1" si="23"/>
        <v>62</v>
      </c>
    </row>
    <row r="226" spans="1:43" ht="17.399999999999999">
      <c r="A226" s="22" t="s">
        <v>19071</v>
      </c>
      <c r="B226" s="22" t="s">
        <v>19072</v>
      </c>
      <c r="C226" s="56">
        <v>45995</v>
      </c>
      <c r="D226" s="56">
        <v>45951</v>
      </c>
      <c r="E226" s="22" t="s">
        <v>18799</v>
      </c>
      <c r="F226" s="22" t="s">
        <v>33</v>
      </c>
      <c r="G226" s="22" t="s">
        <v>33</v>
      </c>
      <c r="H226" s="22" t="s">
        <v>491</v>
      </c>
      <c r="I226" s="49" t="s">
        <v>174</v>
      </c>
      <c r="J226" s="50" t="s">
        <v>492</v>
      </c>
      <c r="K226" s="22" t="s">
        <v>493</v>
      </c>
      <c r="L226" s="22" t="s">
        <v>60</v>
      </c>
      <c r="M226" s="22">
        <v>1</v>
      </c>
      <c r="N226" s="22" t="s">
        <v>19073</v>
      </c>
      <c r="O226" s="22"/>
      <c r="P226" s="46" t="s">
        <v>683</v>
      </c>
      <c r="Q226" s="40" t="s">
        <v>627</v>
      </c>
      <c r="R226" s="41">
        <v>46037</v>
      </c>
      <c r="S226" s="22">
        <f t="shared" si="18"/>
        <v>1</v>
      </c>
      <c r="T226" s="41">
        <v>46043</v>
      </c>
      <c r="U226" s="41" t="str">
        <f t="shared" si="22"/>
        <v>Upload in customer box</v>
      </c>
      <c r="V226" s="144">
        <v>46048</v>
      </c>
      <c r="W226" s="144" t="s">
        <v>19082</v>
      </c>
      <c r="X226" s="144" t="s">
        <v>19088</v>
      </c>
      <c r="Y226" s="145">
        <v>1</v>
      </c>
      <c r="Z226" s="46" t="s">
        <v>19089</v>
      </c>
      <c r="AA226" s="41"/>
      <c r="AB226" s="22"/>
      <c r="AC226" s="22"/>
      <c r="AD226" s="41"/>
      <c r="AE226" s="22"/>
      <c r="AF226" s="22"/>
      <c r="AG226" s="48">
        <f t="shared" si="19"/>
        <v>0</v>
      </c>
      <c r="AH226" s="48">
        <f t="shared" si="20"/>
        <v>1</v>
      </c>
      <c r="AI226" s="48">
        <f t="shared" si="21"/>
        <v>1</v>
      </c>
      <c r="AJ226" s="142">
        <f t="shared" si="17"/>
        <v>46058</v>
      </c>
      <c r="AK226" s="40"/>
      <c r="AL226" s="40"/>
      <c r="AM226" s="22"/>
      <c r="AQ226" s="46">
        <f t="shared" ca="1" si="23"/>
        <v>280</v>
      </c>
    </row>
    <row r="227" spans="1:43" s="163" customFormat="1" ht="17.399999999999999">
      <c r="A227" s="157" t="s">
        <v>19074</v>
      </c>
      <c r="B227" s="157" t="s">
        <v>50</v>
      </c>
      <c r="C227" s="158">
        <v>46009</v>
      </c>
      <c r="D227" s="158">
        <v>45986</v>
      </c>
      <c r="E227" s="157" t="s">
        <v>19069</v>
      </c>
      <c r="F227" s="157">
        <v>5000</v>
      </c>
      <c r="G227" s="157" t="s">
        <v>19075</v>
      </c>
      <c r="H227" s="157" t="s">
        <v>205</v>
      </c>
      <c r="I227" s="182" t="s">
        <v>206</v>
      </c>
      <c r="J227" s="183" t="s">
        <v>207</v>
      </c>
      <c r="K227" s="157" t="s">
        <v>215</v>
      </c>
      <c r="L227" s="157" t="s">
        <v>60</v>
      </c>
      <c r="M227" s="157">
        <v>93</v>
      </c>
      <c r="N227" s="157" t="s">
        <v>19076</v>
      </c>
      <c r="O227" s="157"/>
      <c r="P227" s="159" t="s">
        <v>685</v>
      </c>
      <c r="Q227" s="160" t="s">
        <v>728</v>
      </c>
      <c r="R227" s="161">
        <v>46041</v>
      </c>
      <c r="S227" s="157">
        <f t="shared" si="18"/>
        <v>93</v>
      </c>
      <c r="T227" s="161">
        <v>46050</v>
      </c>
      <c r="U227" s="41" t="str">
        <f t="shared" si="22"/>
        <v>Upload in customer box</v>
      </c>
      <c r="V227" s="189" t="s">
        <v>571</v>
      </c>
      <c r="W227" s="189" t="s">
        <v>571</v>
      </c>
      <c r="X227" s="189" t="s">
        <v>571</v>
      </c>
      <c r="Y227" s="212">
        <v>93</v>
      </c>
      <c r="Z227" s="159" t="s">
        <v>571</v>
      </c>
      <c r="AA227" s="161"/>
      <c r="AB227" s="157"/>
      <c r="AC227" s="157"/>
      <c r="AD227" s="161">
        <v>46111</v>
      </c>
      <c r="AE227" s="157" t="s">
        <v>19147</v>
      </c>
      <c r="AF227" s="157">
        <v>93</v>
      </c>
      <c r="AG227" s="162">
        <f t="shared" si="19"/>
        <v>0</v>
      </c>
      <c r="AH227" s="162">
        <f t="shared" si="20"/>
        <v>0</v>
      </c>
      <c r="AI227" s="162">
        <f t="shared" si="21"/>
        <v>0</v>
      </c>
      <c r="AJ227" s="193">
        <f t="shared" si="17"/>
        <v>46062</v>
      </c>
      <c r="AK227" s="160"/>
      <c r="AL227" s="160"/>
      <c r="AM227" s="157"/>
      <c r="AN227" s="157"/>
      <c r="AO227" s="157"/>
      <c r="AP227" s="157"/>
      <c r="AQ227" s="159">
        <f t="shared" ca="1" si="23"/>
        <v>61</v>
      </c>
    </row>
    <row r="228" spans="1:43" ht="17.399999999999999">
      <c r="A228" s="22" t="s">
        <v>19077</v>
      </c>
      <c r="B228" s="22" t="s">
        <v>346</v>
      </c>
      <c r="C228" s="56" t="s">
        <v>19078</v>
      </c>
      <c r="D228" s="56" t="s">
        <v>33</v>
      </c>
      <c r="E228" s="22" t="s">
        <v>19079</v>
      </c>
      <c r="F228" s="22" t="s">
        <v>33</v>
      </c>
      <c r="G228" s="22" t="s">
        <v>33</v>
      </c>
      <c r="H228" s="22" t="s">
        <v>366</v>
      </c>
      <c r="I228" s="49" t="s">
        <v>362</v>
      </c>
      <c r="J228" s="50" t="s">
        <v>367</v>
      </c>
      <c r="K228" s="22" t="s">
        <v>346</v>
      </c>
      <c r="L228" s="22" t="s">
        <v>60</v>
      </c>
      <c r="M228" s="22">
        <v>12</v>
      </c>
      <c r="N228" s="22" t="s">
        <v>19080</v>
      </c>
      <c r="O228" s="22"/>
      <c r="P228" s="46" t="s">
        <v>18088</v>
      </c>
      <c r="Q228" s="40" t="s">
        <v>627</v>
      </c>
      <c r="R228" s="41">
        <v>46042</v>
      </c>
      <c r="S228" s="22">
        <f t="shared" si="18"/>
        <v>12</v>
      </c>
      <c r="T228" s="41">
        <v>46058</v>
      </c>
      <c r="U228" s="41" t="str">
        <f t="shared" si="22"/>
        <v/>
      </c>
      <c r="V228" s="44">
        <v>46055</v>
      </c>
      <c r="W228" s="44">
        <v>46058</v>
      </c>
      <c r="X228" s="46" t="s">
        <v>19109</v>
      </c>
      <c r="Y228" s="46">
        <v>12</v>
      </c>
      <c r="Z228" s="46" t="s">
        <v>19095</v>
      </c>
      <c r="AA228" s="41"/>
      <c r="AB228" s="22"/>
      <c r="AC228" s="22"/>
      <c r="AD228" s="41"/>
      <c r="AE228" s="22"/>
      <c r="AF228" s="22"/>
      <c r="AG228" s="48">
        <f t="shared" si="19"/>
        <v>0</v>
      </c>
      <c r="AH228" s="48">
        <f t="shared" si="20"/>
        <v>12</v>
      </c>
      <c r="AI228" s="48">
        <f t="shared" si="21"/>
        <v>12</v>
      </c>
      <c r="AJ228" s="142">
        <f t="shared" si="17"/>
        <v>46063</v>
      </c>
      <c r="AK228" s="40"/>
      <c r="AL228" s="40"/>
      <c r="AM228" s="22"/>
      <c r="AQ228" s="46">
        <f t="shared" ca="1" si="23"/>
        <v>265</v>
      </c>
    </row>
    <row r="229" spans="1:43" ht="17.399999999999999">
      <c r="A229" s="22" t="s">
        <v>19081</v>
      </c>
      <c r="B229" s="22" t="s">
        <v>980</v>
      </c>
      <c r="C229" s="56" t="s">
        <v>19063</v>
      </c>
      <c r="D229" s="56" t="s">
        <v>33</v>
      </c>
      <c r="E229" s="22" t="s">
        <v>33</v>
      </c>
      <c r="F229" s="22" t="s">
        <v>33</v>
      </c>
      <c r="G229" s="22" t="s">
        <v>67</v>
      </c>
      <c r="H229" s="22" t="s">
        <v>1403</v>
      </c>
      <c r="I229" s="49" t="s">
        <v>404</v>
      </c>
      <c r="J229" s="50" t="s">
        <v>1404</v>
      </c>
      <c r="K229" s="22" t="s">
        <v>980</v>
      </c>
      <c r="L229" s="22" t="s">
        <v>60</v>
      </c>
      <c r="M229" s="22">
        <v>621</v>
      </c>
      <c r="N229" s="22" t="s">
        <v>19154</v>
      </c>
      <c r="O229" s="22"/>
      <c r="P229" s="46" t="s">
        <v>681</v>
      </c>
      <c r="Q229" s="40" t="s">
        <v>18886</v>
      </c>
      <c r="R229" s="41">
        <v>46043</v>
      </c>
      <c r="S229" s="22">
        <f t="shared" si="18"/>
        <v>621</v>
      </c>
      <c r="T229" s="41">
        <v>46100</v>
      </c>
      <c r="U229" s="41" t="str">
        <f t="shared" si="22"/>
        <v/>
      </c>
      <c r="V229" s="44">
        <v>46092</v>
      </c>
      <c r="W229" s="44">
        <v>46100</v>
      </c>
      <c r="X229" s="46" t="s">
        <v>19155</v>
      </c>
      <c r="Y229" s="46">
        <v>621</v>
      </c>
      <c r="Z229" s="46" t="s">
        <v>19151</v>
      </c>
      <c r="AA229" s="41"/>
      <c r="AB229" s="22"/>
      <c r="AC229" s="22"/>
      <c r="AD229" s="41">
        <v>46171</v>
      </c>
      <c r="AE229" s="22" t="s">
        <v>19255</v>
      </c>
      <c r="AF229" s="22">
        <v>621</v>
      </c>
      <c r="AG229" s="48">
        <f t="shared" si="19"/>
        <v>0</v>
      </c>
      <c r="AH229" s="48">
        <f t="shared" si="20"/>
        <v>0</v>
      </c>
      <c r="AI229" s="48">
        <f t="shared" si="21"/>
        <v>0</v>
      </c>
      <c r="AJ229" s="142">
        <f t="shared" si="17"/>
        <v>46064</v>
      </c>
      <c r="AK229" s="40"/>
      <c r="AL229" s="40"/>
      <c r="AM229" s="22"/>
      <c r="AQ229" s="46">
        <f t="shared" ca="1" si="23"/>
        <v>71</v>
      </c>
    </row>
    <row r="230" spans="1:43" ht="17.399999999999999">
      <c r="A230" s="22" t="s">
        <v>19084</v>
      </c>
      <c r="B230" s="22" t="s">
        <v>18926</v>
      </c>
      <c r="C230" s="56" t="s">
        <v>19063</v>
      </c>
      <c r="D230" s="56" t="s">
        <v>33</v>
      </c>
      <c r="E230" s="22" t="s">
        <v>33</v>
      </c>
      <c r="F230" s="22" t="s">
        <v>33</v>
      </c>
      <c r="G230" s="22" t="s">
        <v>67</v>
      </c>
      <c r="H230" s="22" t="s">
        <v>8460</v>
      </c>
      <c r="I230" s="49" t="s">
        <v>404</v>
      </c>
      <c r="J230" s="50" t="s">
        <v>8461</v>
      </c>
      <c r="K230" s="22" t="s">
        <v>980</v>
      </c>
      <c r="L230" s="22" t="s">
        <v>60</v>
      </c>
      <c r="M230" s="22">
        <v>297</v>
      </c>
      <c r="N230" s="22" t="s">
        <v>19085</v>
      </c>
      <c r="O230" s="22"/>
      <c r="P230" s="46" t="s">
        <v>681</v>
      </c>
      <c r="Q230" s="40" t="s">
        <v>627</v>
      </c>
      <c r="R230" s="41">
        <v>46048</v>
      </c>
      <c r="S230" s="22">
        <f t="shared" si="18"/>
        <v>297</v>
      </c>
      <c r="T230" s="41">
        <v>46100</v>
      </c>
      <c r="U230" s="41" t="str">
        <f t="shared" si="22"/>
        <v/>
      </c>
      <c r="V230" s="44">
        <v>46092</v>
      </c>
      <c r="W230" s="44">
        <v>46100</v>
      </c>
      <c r="X230" s="46" t="s">
        <v>19156</v>
      </c>
      <c r="Y230" s="46">
        <v>297</v>
      </c>
      <c r="Z230" s="46" t="s">
        <v>19151</v>
      </c>
      <c r="AA230" s="41"/>
      <c r="AB230" s="22"/>
      <c r="AC230" s="22"/>
      <c r="AD230" s="41">
        <v>46171</v>
      </c>
      <c r="AE230" s="22" t="s">
        <v>19255</v>
      </c>
      <c r="AF230" s="22">
        <v>297</v>
      </c>
      <c r="AG230" s="48">
        <f t="shared" si="19"/>
        <v>0</v>
      </c>
      <c r="AH230" s="48">
        <f t="shared" si="20"/>
        <v>0</v>
      </c>
      <c r="AI230" s="48">
        <f t="shared" si="21"/>
        <v>0</v>
      </c>
      <c r="AJ230" s="142">
        <f t="shared" si="17"/>
        <v>46069</v>
      </c>
      <c r="AK230" s="40"/>
      <c r="AL230" s="40"/>
      <c r="AM230" s="22"/>
      <c r="AQ230" s="46">
        <f t="shared" ca="1" si="23"/>
        <v>71</v>
      </c>
    </row>
    <row r="231" spans="1:43" s="163" customFormat="1" ht="17.399999999999999">
      <c r="A231" s="157" t="s">
        <v>19090</v>
      </c>
      <c r="B231" s="157" t="s">
        <v>19091</v>
      </c>
      <c r="C231" s="158">
        <v>46038</v>
      </c>
      <c r="D231" s="158" t="s">
        <v>19092</v>
      </c>
      <c r="E231" s="157" t="s">
        <v>19093</v>
      </c>
      <c r="F231" s="157" t="s">
        <v>33</v>
      </c>
      <c r="G231" s="157" t="s">
        <v>33</v>
      </c>
      <c r="H231" s="157" t="s">
        <v>3477</v>
      </c>
      <c r="I231" s="182" t="s">
        <v>843</v>
      </c>
      <c r="J231" s="183" t="s">
        <v>4900</v>
      </c>
      <c r="K231" s="157" t="s">
        <v>846</v>
      </c>
      <c r="L231" s="157" t="s">
        <v>99</v>
      </c>
      <c r="M231" s="157">
        <v>2</v>
      </c>
      <c r="N231" s="157" t="s">
        <v>19094</v>
      </c>
      <c r="O231" s="157"/>
      <c r="P231" s="159" t="s">
        <v>19055</v>
      </c>
      <c r="Q231" s="160" t="s">
        <v>627</v>
      </c>
      <c r="R231" s="161">
        <v>46055</v>
      </c>
      <c r="S231" s="157">
        <f t="shared" si="18"/>
        <v>2</v>
      </c>
      <c r="T231" s="161">
        <v>46071</v>
      </c>
      <c r="U231" s="41" t="str">
        <f t="shared" si="22"/>
        <v>Upload in customer box</v>
      </c>
      <c r="V231" s="164">
        <v>46063</v>
      </c>
      <c r="W231" s="164">
        <v>46070</v>
      </c>
      <c r="X231" s="159" t="s">
        <v>19110</v>
      </c>
      <c r="Y231" s="159">
        <v>2</v>
      </c>
      <c r="Z231" s="159" t="s">
        <v>19111</v>
      </c>
      <c r="AA231" s="161">
        <v>46237</v>
      </c>
      <c r="AB231" s="157" t="s">
        <v>19371</v>
      </c>
      <c r="AC231" s="157">
        <v>2</v>
      </c>
      <c r="AD231" s="161"/>
      <c r="AE231" s="157"/>
      <c r="AF231" s="157"/>
      <c r="AG231" s="162">
        <f t="shared" si="19"/>
        <v>0</v>
      </c>
      <c r="AH231" s="162">
        <f t="shared" si="20"/>
        <v>0</v>
      </c>
      <c r="AI231" s="162">
        <f t="shared" si="21"/>
        <v>0</v>
      </c>
      <c r="AJ231" s="193">
        <f t="shared" si="17"/>
        <v>46076</v>
      </c>
      <c r="AK231" s="209">
        <v>46181</v>
      </c>
      <c r="AL231" s="160"/>
      <c r="AM231" s="157"/>
      <c r="AN231" s="157"/>
      <c r="AO231" s="157"/>
      <c r="AP231" s="157"/>
      <c r="AQ231" s="159">
        <f t="shared" ca="1" si="23"/>
        <v>166</v>
      </c>
    </row>
    <row r="232" spans="1:43" ht="17.399999999999999">
      <c r="A232" s="22" t="s">
        <v>19096</v>
      </c>
      <c r="B232" s="22" t="s">
        <v>19097</v>
      </c>
      <c r="C232" s="56">
        <v>46050</v>
      </c>
      <c r="D232" s="56" t="s">
        <v>33</v>
      </c>
      <c r="E232" s="22" t="s">
        <v>33</v>
      </c>
      <c r="F232" s="22" t="s">
        <v>33</v>
      </c>
      <c r="G232" s="22" t="s">
        <v>33</v>
      </c>
      <c r="H232" s="22" t="s">
        <v>793</v>
      </c>
      <c r="I232" s="49" t="s">
        <v>794</v>
      </c>
      <c r="J232" s="50" t="s">
        <v>795</v>
      </c>
      <c r="K232" s="22" t="s">
        <v>760</v>
      </c>
      <c r="L232" s="22" t="s">
        <v>60</v>
      </c>
      <c r="M232" s="22">
        <v>24</v>
      </c>
      <c r="N232" s="22" t="s">
        <v>19098</v>
      </c>
      <c r="O232" s="22"/>
      <c r="P232" s="46" t="s">
        <v>2679</v>
      </c>
      <c r="Q232" s="40" t="s">
        <v>627</v>
      </c>
      <c r="R232" s="41">
        <v>46058</v>
      </c>
      <c r="S232" s="22">
        <f t="shared" si="18"/>
        <v>24</v>
      </c>
      <c r="T232" s="41">
        <v>46065</v>
      </c>
      <c r="U232" s="41" t="str">
        <f t="shared" si="22"/>
        <v/>
      </c>
      <c r="V232" s="44">
        <v>46083</v>
      </c>
      <c r="W232" s="44">
        <v>46086</v>
      </c>
      <c r="X232" s="46" t="s">
        <v>19157</v>
      </c>
      <c r="Y232" s="46">
        <v>24</v>
      </c>
      <c r="Z232" s="46" t="s">
        <v>19158</v>
      </c>
      <c r="AA232" s="41">
        <v>46156</v>
      </c>
      <c r="AB232" s="22" t="s">
        <v>19213</v>
      </c>
      <c r="AC232" s="22">
        <v>22</v>
      </c>
      <c r="AD232" s="41">
        <v>46183</v>
      </c>
      <c r="AE232" s="22" t="s">
        <v>19269</v>
      </c>
      <c r="AF232" s="22">
        <v>2</v>
      </c>
      <c r="AG232" s="48">
        <f t="shared" si="19"/>
        <v>0</v>
      </c>
      <c r="AH232" s="48">
        <f t="shared" si="20"/>
        <v>0</v>
      </c>
      <c r="AI232" s="48">
        <f t="shared" si="21"/>
        <v>0</v>
      </c>
      <c r="AJ232" s="142">
        <f t="shared" si="17"/>
        <v>46079</v>
      </c>
      <c r="AK232" s="40"/>
      <c r="AL232" s="40"/>
      <c r="AM232" s="22"/>
      <c r="AQ232" s="46">
        <f t="shared" ca="1" si="23"/>
        <v>118</v>
      </c>
    </row>
    <row r="233" spans="1:43" s="163" customFormat="1" ht="17.399999999999999">
      <c r="A233" s="157" t="s">
        <v>19100</v>
      </c>
      <c r="B233" s="157" t="s">
        <v>19101</v>
      </c>
      <c r="C233" s="158" t="s">
        <v>19102</v>
      </c>
      <c r="D233" s="158" t="s">
        <v>19103</v>
      </c>
      <c r="E233" s="157" t="s">
        <v>19104</v>
      </c>
      <c r="F233" s="157" t="s">
        <v>33</v>
      </c>
      <c r="G233" s="157" t="s">
        <v>33</v>
      </c>
      <c r="H233" s="157" t="s">
        <v>18756</v>
      </c>
      <c r="I233" s="182" t="s">
        <v>174</v>
      </c>
      <c r="J233" s="183" t="s">
        <v>18757</v>
      </c>
      <c r="K233" s="157" t="s">
        <v>19004</v>
      </c>
      <c r="L233" s="157" t="s">
        <v>60</v>
      </c>
      <c r="M233" s="157">
        <v>2</v>
      </c>
      <c r="N233" s="157" t="s">
        <v>19105</v>
      </c>
      <c r="O233" s="157"/>
      <c r="P233" s="159" t="s">
        <v>2655</v>
      </c>
      <c r="Q233" s="160" t="s">
        <v>627</v>
      </c>
      <c r="R233" s="161">
        <v>46065</v>
      </c>
      <c r="S233" s="157">
        <f t="shared" si="18"/>
        <v>2</v>
      </c>
      <c r="T233" s="161">
        <v>46077</v>
      </c>
      <c r="U233" s="41" t="str">
        <f t="shared" si="22"/>
        <v/>
      </c>
      <c r="V233" s="164">
        <v>46071</v>
      </c>
      <c r="W233" s="164">
        <v>46077</v>
      </c>
      <c r="X233" s="159" t="s">
        <v>19121</v>
      </c>
      <c r="Y233" s="159">
        <v>2</v>
      </c>
      <c r="Z233" s="159" t="s">
        <v>19125</v>
      </c>
      <c r="AA233" s="161">
        <v>46108</v>
      </c>
      <c r="AB233" s="157" t="s">
        <v>19149</v>
      </c>
      <c r="AC233" s="157">
        <v>2</v>
      </c>
      <c r="AD233" s="161"/>
      <c r="AE233" s="157"/>
      <c r="AF233" s="157"/>
      <c r="AG233" s="162">
        <f t="shared" si="19"/>
        <v>0</v>
      </c>
      <c r="AH233" s="162">
        <f t="shared" si="20"/>
        <v>0</v>
      </c>
      <c r="AI233" s="162">
        <f t="shared" si="21"/>
        <v>0</v>
      </c>
      <c r="AJ233" s="193">
        <f t="shared" si="17"/>
        <v>46086</v>
      </c>
      <c r="AK233" s="160"/>
      <c r="AL233" s="160"/>
      <c r="AM233" s="157"/>
      <c r="AN233" s="157"/>
      <c r="AO233" s="157"/>
      <c r="AP233" s="157"/>
      <c r="AQ233" s="159">
        <f t="shared" ca="1" si="23"/>
        <v>31</v>
      </c>
    </row>
    <row r="234" spans="1:43" ht="17.399999999999999">
      <c r="A234" s="22" t="s">
        <v>19106</v>
      </c>
      <c r="B234" s="22" t="s">
        <v>359</v>
      </c>
      <c r="C234" s="56" t="s">
        <v>19107</v>
      </c>
      <c r="D234" s="56" t="s">
        <v>33</v>
      </c>
      <c r="E234" s="22" t="s">
        <v>33</v>
      </c>
      <c r="F234" s="22" t="s">
        <v>33</v>
      </c>
      <c r="G234" s="22" t="s">
        <v>67</v>
      </c>
      <c r="H234" s="22" t="s">
        <v>1477</v>
      </c>
      <c r="I234" s="49" t="s">
        <v>994</v>
      </c>
      <c r="J234" s="50" t="s">
        <v>1478</v>
      </c>
      <c r="K234" s="22" t="s">
        <v>980</v>
      </c>
      <c r="L234" s="22" t="s">
        <v>60</v>
      </c>
      <c r="M234" s="22">
        <v>2</v>
      </c>
      <c r="N234" s="22" t="s">
        <v>18247</v>
      </c>
      <c r="O234" s="22"/>
      <c r="P234" s="46" t="s">
        <v>681</v>
      </c>
      <c r="Q234" s="40" t="s">
        <v>627</v>
      </c>
      <c r="R234" s="41">
        <v>46065</v>
      </c>
      <c r="S234" s="22">
        <f t="shared" si="18"/>
        <v>2</v>
      </c>
      <c r="T234" s="41">
        <v>46086</v>
      </c>
      <c r="U234" s="41" t="str">
        <f t="shared" si="22"/>
        <v/>
      </c>
      <c r="V234" s="44">
        <v>46083</v>
      </c>
      <c r="W234" s="44">
        <v>46086</v>
      </c>
      <c r="X234" s="46" t="s">
        <v>19159</v>
      </c>
      <c r="Y234" s="46">
        <v>2</v>
      </c>
      <c r="Z234" s="46" t="s">
        <v>19160</v>
      </c>
      <c r="AA234" s="41"/>
      <c r="AB234" s="22"/>
      <c r="AC234" s="22"/>
      <c r="AD234" s="41">
        <v>46203</v>
      </c>
      <c r="AE234" s="22" t="s">
        <v>19290</v>
      </c>
      <c r="AF234" s="22">
        <v>2</v>
      </c>
      <c r="AG234" s="48">
        <f t="shared" si="19"/>
        <v>0</v>
      </c>
      <c r="AH234" s="48">
        <f t="shared" si="20"/>
        <v>0</v>
      </c>
      <c r="AI234" s="48">
        <f t="shared" si="21"/>
        <v>0</v>
      </c>
      <c r="AJ234" s="142">
        <f t="shared" si="17"/>
        <v>46086</v>
      </c>
      <c r="AK234" s="40"/>
      <c r="AL234" s="40"/>
      <c r="AM234" s="22"/>
      <c r="AQ234" s="46">
        <f t="shared" ca="1" si="23"/>
        <v>117</v>
      </c>
    </row>
    <row r="235" spans="1:43" ht="17.399999999999999">
      <c r="A235" s="22" t="s">
        <v>19108</v>
      </c>
      <c r="B235" s="22" t="s">
        <v>359</v>
      </c>
      <c r="C235" s="56" t="s">
        <v>19107</v>
      </c>
      <c r="D235" s="56" t="s">
        <v>33</v>
      </c>
      <c r="E235" s="22" t="s">
        <v>33</v>
      </c>
      <c r="F235" s="22" t="s">
        <v>33</v>
      </c>
      <c r="G235" s="22" t="s">
        <v>67</v>
      </c>
      <c r="H235" s="22" t="s">
        <v>1483</v>
      </c>
      <c r="I235" s="49" t="s">
        <v>994</v>
      </c>
      <c r="J235" s="50" t="s">
        <v>1484</v>
      </c>
      <c r="K235" s="22" t="s">
        <v>980</v>
      </c>
      <c r="L235" s="22" t="s">
        <v>60</v>
      </c>
      <c r="M235" s="22">
        <v>2</v>
      </c>
      <c r="N235" s="22" t="s">
        <v>18247</v>
      </c>
      <c r="O235" s="22"/>
      <c r="P235" s="46" t="s">
        <v>681</v>
      </c>
      <c r="Q235" s="40" t="s">
        <v>627</v>
      </c>
      <c r="R235" s="41">
        <v>46068</v>
      </c>
      <c r="S235" s="22">
        <f t="shared" si="18"/>
        <v>2</v>
      </c>
      <c r="T235" s="41">
        <v>46086</v>
      </c>
      <c r="U235" s="41" t="str">
        <f t="shared" si="22"/>
        <v/>
      </c>
      <c r="V235" s="44">
        <v>46083</v>
      </c>
      <c r="W235" s="44">
        <v>46086</v>
      </c>
      <c r="X235" s="46" t="s">
        <v>19159</v>
      </c>
      <c r="Y235" s="46">
        <v>2</v>
      </c>
      <c r="Z235" s="46" t="s">
        <v>19160</v>
      </c>
      <c r="AA235" s="41"/>
      <c r="AB235" s="22"/>
      <c r="AC235" s="22"/>
      <c r="AD235" s="41">
        <v>46203</v>
      </c>
      <c r="AE235" s="22" t="s">
        <v>19290</v>
      </c>
      <c r="AF235" s="22">
        <v>2</v>
      </c>
      <c r="AG235" s="48">
        <f t="shared" si="19"/>
        <v>0</v>
      </c>
      <c r="AH235" s="48">
        <f t="shared" si="20"/>
        <v>0</v>
      </c>
      <c r="AI235" s="48">
        <f t="shared" si="21"/>
        <v>0</v>
      </c>
      <c r="AJ235" s="142">
        <f t="shared" si="17"/>
        <v>46089</v>
      </c>
      <c r="AK235" s="40"/>
      <c r="AL235" s="40"/>
      <c r="AM235" s="22"/>
      <c r="AQ235" s="46">
        <f t="shared" ca="1" si="23"/>
        <v>117</v>
      </c>
    </row>
    <row r="236" spans="1:43" ht="17.399999999999999">
      <c r="A236" s="22" t="s">
        <v>19112</v>
      </c>
      <c r="B236" s="22" t="s">
        <v>346</v>
      </c>
      <c r="C236" s="56">
        <v>45894</v>
      </c>
      <c r="D236" s="56" t="s">
        <v>33</v>
      </c>
      <c r="E236" s="22" t="s">
        <v>19113</v>
      </c>
      <c r="F236" s="22" t="s">
        <v>33</v>
      </c>
      <c r="G236" s="22" t="s">
        <v>33</v>
      </c>
      <c r="H236" s="22" t="s">
        <v>354</v>
      </c>
      <c r="I236" s="49" t="s">
        <v>355</v>
      </c>
      <c r="J236" s="50" t="s">
        <v>356</v>
      </c>
      <c r="K236" s="22" t="s">
        <v>346</v>
      </c>
      <c r="L236" s="22" t="s">
        <v>52</v>
      </c>
      <c r="M236" s="22">
        <v>7</v>
      </c>
      <c r="N236" s="22" t="s">
        <v>19114</v>
      </c>
      <c r="O236" s="22"/>
      <c r="P236" s="46" t="s">
        <v>18088</v>
      </c>
      <c r="Q236" s="40" t="s">
        <v>627</v>
      </c>
      <c r="R236" s="41">
        <v>46070</v>
      </c>
      <c r="S236" s="22">
        <f t="shared" si="18"/>
        <v>7</v>
      </c>
      <c r="T236" s="41">
        <v>46084</v>
      </c>
      <c r="U236" s="41" t="str">
        <f t="shared" si="22"/>
        <v/>
      </c>
      <c r="V236" s="44">
        <v>46078</v>
      </c>
      <c r="W236" s="44">
        <v>46084</v>
      </c>
      <c r="X236" s="46" t="s">
        <v>19141</v>
      </c>
      <c r="Y236" s="46">
        <v>7</v>
      </c>
      <c r="Z236" s="46" t="s">
        <v>19143</v>
      </c>
      <c r="AA236" s="41"/>
      <c r="AB236" s="22"/>
      <c r="AC236" s="22"/>
      <c r="AD236" s="41"/>
      <c r="AE236" s="22"/>
      <c r="AF236" s="22"/>
      <c r="AG236" s="48">
        <f t="shared" si="19"/>
        <v>0</v>
      </c>
      <c r="AH236" s="48">
        <f t="shared" si="20"/>
        <v>7</v>
      </c>
      <c r="AI236" s="48">
        <f t="shared" si="21"/>
        <v>7</v>
      </c>
      <c r="AJ236" s="142">
        <f t="shared" si="17"/>
        <v>46091</v>
      </c>
      <c r="AK236" s="40"/>
      <c r="AL236" s="40"/>
      <c r="AM236" s="22"/>
      <c r="AQ236" s="46">
        <f t="shared" ca="1" si="23"/>
        <v>239</v>
      </c>
    </row>
    <row r="237" spans="1:43" ht="17.399999999999999">
      <c r="A237" s="22" t="s">
        <v>19115</v>
      </c>
      <c r="B237" s="22" t="s">
        <v>346</v>
      </c>
      <c r="C237" s="56" t="s">
        <v>19116</v>
      </c>
      <c r="D237" s="56" t="s">
        <v>33</v>
      </c>
      <c r="E237" s="22" t="s">
        <v>19117</v>
      </c>
      <c r="F237" s="22" t="s">
        <v>33</v>
      </c>
      <c r="G237" s="22" t="s">
        <v>33</v>
      </c>
      <c r="H237" s="22" t="s">
        <v>8542</v>
      </c>
      <c r="I237" s="49" t="s">
        <v>362</v>
      </c>
      <c r="J237" s="50" t="s">
        <v>8543</v>
      </c>
      <c r="K237" s="22" t="s">
        <v>346</v>
      </c>
      <c r="L237" s="22" t="s">
        <v>60</v>
      </c>
      <c r="M237" s="22">
        <v>25</v>
      </c>
      <c r="N237" s="22" t="s">
        <v>19118</v>
      </c>
      <c r="O237" s="22"/>
      <c r="P237" s="46" t="s">
        <v>18088</v>
      </c>
      <c r="Q237" s="40" t="s">
        <v>627</v>
      </c>
      <c r="R237" s="41">
        <v>46070</v>
      </c>
      <c r="S237" s="22">
        <f t="shared" si="18"/>
        <v>25</v>
      </c>
      <c r="T237" s="41">
        <v>46084</v>
      </c>
      <c r="U237" s="41" t="str">
        <f t="shared" si="22"/>
        <v/>
      </c>
      <c r="V237" s="44">
        <v>46078</v>
      </c>
      <c r="W237" s="44">
        <v>46084</v>
      </c>
      <c r="X237" s="46" t="s">
        <v>19141</v>
      </c>
      <c r="Y237" s="46">
        <v>25</v>
      </c>
      <c r="Z237" s="46" t="s">
        <v>19143</v>
      </c>
      <c r="AA237" s="41"/>
      <c r="AB237" s="22"/>
      <c r="AC237" s="22"/>
      <c r="AD237" s="41"/>
      <c r="AE237" s="22"/>
      <c r="AF237" s="22"/>
      <c r="AG237" s="48">
        <f t="shared" si="19"/>
        <v>0</v>
      </c>
      <c r="AH237" s="48">
        <f t="shared" si="20"/>
        <v>25</v>
      </c>
      <c r="AI237" s="48">
        <f t="shared" si="21"/>
        <v>25</v>
      </c>
      <c r="AJ237" s="142">
        <f t="shared" si="17"/>
        <v>46091</v>
      </c>
      <c r="AK237" s="40"/>
      <c r="AL237" s="40"/>
      <c r="AM237" s="22"/>
      <c r="AQ237" s="46">
        <f t="shared" ca="1" si="23"/>
        <v>239</v>
      </c>
    </row>
    <row r="238" spans="1:43" ht="17.399999999999999">
      <c r="A238" s="22" t="s">
        <v>19119</v>
      </c>
      <c r="B238" s="22" t="s">
        <v>359</v>
      </c>
      <c r="C238" s="56" t="s">
        <v>19107</v>
      </c>
      <c r="D238" s="56" t="s">
        <v>33</v>
      </c>
      <c r="E238" s="22" t="s">
        <v>33</v>
      </c>
      <c r="F238" s="22" t="s">
        <v>33</v>
      </c>
      <c r="G238" s="22" t="s">
        <v>67</v>
      </c>
      <c r="H238" s="22" t="s">
        <v>1477</v>
      </c>
      <c r="I238" s="49" t="s">
        <v>994</v>
      </c>
      <c r="J238" s="50" t="s">
        <v>1478</v>
      </c>
      <c r="K238" s="22" t="s">
        <v>980</v>
      </c>
      <c r="L238" s="22" t="s">
        <v>60</v>
      </c>
      <c r="M238" s="22">
        <v>2</v>
      </c>
      <c r="N238" s="22" t="s">
        <v>18247</v>
      </c>
      <c r="O238" s="22"/>
      <c r="P238" s="46" t="s">
        <v>681</v>
      </c>
      <c r="Q238" s="40" t="s">
        <v>627</v>
      </c>
      <c r="R238" s="41">
        <v>46071</v>
      </c>
      <c r="S238" s="22">
        <f t="shared" si="18"/>
        <v>2</v>
      </c>
      <c r="T238" s="41">
        <v>46086</v>
      </c>
      <c r="U238" s="41" t="str">
        <f t="shared" si="22"/>
        <v/>
      </c>
      <c r="V238" s="44">
        <v>46083</v>
      </c>
      <c r="W238" s="44">
        <v>46086</v>
      </c>
      <c r="X238" s="46" t="s">
        <v>19159</v>
      </c>
      <c r="Y238" s="46">
        <v>2</v>
      </c>
      <c r="Z238" s="46" t="s">
        <v>19160</v>
      </c>
      <c r="AA238" s="41"/>
      <c r="AB238" s="22"/>
      <c r="AC238" s="22"/>
      <c r="AD238" s="41">
        <v>46203</v>
      </c>
      <c r="AE238" s="22" t="s">
        <v>19290</v>
      </c>
      <c r="AF238" s="22">
        <v>2</v>
      </c>
      <c r="AG238" s="48">
        <f t="shared" si="19"/>
        <v>0</v>
      </c>
      <c r="AH238" s="48">
        <f t="shared" si="20"/>
        <v>0</v>
      </c>
      <c r="AI238" s="48">
        <f t="shared" si="21"/>
        <v>0</v>
      </c>
      <c r="AJ238" s="142">
        <f t="shared" ref="AJ238:AJ300" si="24">IF(A238="","",R238+21)</f>
        <v>46092</v>
      </c>
      <c r="AK238" s="40"/>
      <c r="AL238" s="40"/>
      <c r="AM238" s="22"/>
      <c r="AQ238" s="46">
        <f t="shared" ca="1" si="23"/>
        <v>117</v>
      </c>
    </row>
    <row r="239" spans="1:43" ht="17.399999999999999">
      <c r="A239" s="22" t="s">
        <v>19120</v>
      </c>
      <c r="B239" s="22" t="s">
        <v>359</v>
      </c>
      <c r="C239" s="56" t="s">
        <v>19107</v>
      </c>
      <c r="D239" s="56" t="s">
        <v>33</v>
      </c>
      <c r="E239" s="22" t="s">
        <v>33</v>
      </c>
      <c r="F239" s="22" t="s">
        <v>33</v>
      </c>
      <c r="G239" s="22" t="s">
        <v>67</v>
      </c>
      <c r="H239" s="22" t="s">
        <v>1483</v>
      </c>
      <c r="I239" s="49" t="s">
        <v>994</v>
      </c>
      <c r="J239" s="50" t="s">
        <v>1484</v>
      </c>
      <c r="K239" s="22" t="s">
        <v>980</v>
      </c>
      <c r="L239" s="22" t="s">
        <v>60</v>
      </c>
      <c r="M239" s="22">
        <v>4</v>
      </c>
      <c r="N239" s="22" t="s">
        <v>18247</v>
      </c>
      <c r="O239" s="22"/>
      <c r="P239" s="46" t="s">
        <v>681</v>
      </c>
      <c r="Q239" s="40" t="s">
        <v>627</v>
      </c>
      <c r="R239" s="41">
        <v>46071</v>
      </c>
      <c r="S239" s="22">
        <f t="shared" si="18"/>
        <v>4</v>
      </c>
      <c r="T239" s="41">
        <v>46086</v>
      </c>
      <c r="U239" s="41" t="str">
        <f t="shared" si="22"/>
        <v/>
      </c>
      <c r="V239" s="44">
        <v>46083</v>
      </c>
      <c r="W239" s="44">
        <v>46086</v>
      </c>
      <c r="X239" s="46" t="s">
        <v>19159</v>
      </c>
      <c r="Y239" s="46">
        <v>4</v>
      </c>
      <c r="Z239" s="46" t="s">
        <v>19160</v>
      </c>
      <c r="AA239" s="41"/>
      <c r="AB239" s="22"/>
      <c r="AC239" s="22"/>
      <c r="AD239" s="41">
        <v>46203</v>
      </c>
      <c r="AE239" s="22" t="s">
        <v>19290</v>
      </c>
      <c r="AF239" s="22">
        <v>4</v>
      </c>
      <c r="AG239" s="48">
        <f t="shared" si="19"/>
        <v>0</v>
      </c>
      <c r="AH239" s="48">
        <f t="shared" si="20"/>
        <v>0</v>
      </c>
      <c r="AI239" s="48">
        <f t="shared" si="21"/>
        <v>0</v>
      </c>
      <c r="AJ239" s="142">
        <f t="shared" si="24"/>
        <v>46092</v>
      </c>
      <c r="AK239" s="40"/>
      <c r="AL239" s="40"/>
      <c r="AM239" s="22"/>
      <c r="AQ239" s="46">
        <f t="shared" ca="1" si="23"/>
        <v>117</v>
      </c>
    </row>
    <row r="240" spans="1:43" ht="17.399999999999999">
      <c r="A240" s="22" t="s">
        <v>19562</v>
      </c>
      <c r="B240" s="22" t="s">
        <v>19122</v>
      </c>
      <c r="C240" s="56" t="s">
        <v>19124</v>
      </c>
      <c r="D240" s="56" t="s">
        <v>33</v>
      </c>
      <c r="E240" s="22" t="s">
        <v>33</v>
      </c>
      <c r="F240" s="22" t="s">
        <v>33</v>
      </c>
      <c r="G240" s="22" t="s">
        <v>33</v>
      </c>
      <c r="H240" s="22" t="s">
        <v>744</v>
      </c>
      <c r="I240" s="49" t="s">
        <v>745</v>
      </c>
      <c r="J240" s="50" t="s">
        <v>746</v>
      </c>
      <c r="K240" s="22" t="s">
        <v>18504</v>
      </c>
      <c r="L240" s="22" t="s">
        <v>60</v>
      </c>
      <c r="M240" s="22">
        <v>11</v>
      </c>
      <c r="N240" s="22" t="s">
        <v>19123</v>
      </c>
      <c r="O240" s="22"/>
      <c r="P240" s="46" t="s">
        <v>19055</v>
      </c>
      <c r="Q240" s="40" t="s">
        <v>627</v>
      </c>
      <c r="R240" s="41">
        <v>46076</v>
      </c>
      <c r="S240" s="22">
        <f t="shared" si="18"/>
        <v>11</v>
      </c>
      <c r="T240" s="41">
        <v>46084</v>
      </c>
      <c r="U240" s="41" t="str">
        <f t="shared" si="22"/>
        <v>Upload in customer box</v>
      </c>
      <c r="V240" s="44">
        <v>46079</v>
      </c>
      <c r="W240" s="44">
        <v>46084</v>
      </c>
      <c r="X240" s="46" t="s">
        <v>19142</v>
      </c>
      <c r="Y240" s="46">
        <v>11</v>
      </c>
      <c r="Z240" s="46" t="s">
        <v>19144</v>
      </c>
      <c r="AA240" s="41">
        <v>46315</v>
      </c>
      <c r="AB240" s="22" t="s">
        <v>19561</v>
      </c>
      <c r="AC240" s="22">
        <v>1</v>
      </c>
      <c r="AD240" s="41">
        <v>46302</v>
      </c>
      <c r="AE240" s="22" t="s">
        <v>19523</v>
      </c>
      <c r="AF240" s="22">
        <v>2</v>
      </c>
      <c r="AG240" s="48">
        <f t="shared" si="19"/>
        <v>0</v>
      </c>
      <c r="AH240" s="48">
        <f t="shared" si="20"/>
        <v>8</v>
      </c>
      <c r="AI240" s="48">
        <f t="shared" si="21"/>
        <v>8</v>
      </c>
      <c r="AJ240" s="142">
        <f t="shared" si="24"/>
        <v>46097</v>
      </c>
      <c r="AK240" s="40">
        <v>46315</v>
      </c>
      <c r="AL240" s="40"/>
      <c r="AM240" s="22"/>
      <c r="AQ240" s="46">
        <f t="shared" ca="1" si="23"/>
        <v>239</v>
      </c>
    </row>
    <row r="241" spans="1:43" ht="17.399999999999999">
      <c r="A241" s="22" t="s">
        <v>19126</v>
      </c>
      <c r="B241" s="22" t="s">
        <v>19127</v>
      </c>
      <c r="C241" s="56">
        <v>46077</v>
      </c>
      <c r="D241" s="56">
        <v>45944</v>
      </c>
      <c r="E241" s="22" t="s">
        <v>19128</v>
      </c>
      <c r="F241" s="22" t="s">
        <v>33</v>
      </c>
      <c r="G241" s="22" t="s">
        <v>33</v>
      </c>
      <c r="H241" s="22">
        <v>313</v>
      </c>
      <c r="I241" s="49" t="s">
        <v>83</v>
      </c>
      <c r="J241" s="50" t="s">
        <v>833</v>
      </c>
      <c r="K241" s="22" t="s">
        <v>760</v>
      </c>
      <c r="L241" s="22" t="s">
        <v>60</v>
      </c>
      <c r="M241" s="22">
        <v>1</v>
      </c>
      <c r="N241" s="22" t="s">
        <v>19129</v>
      </c>
      <c r="O241" s="22"/>
      <c r="P241" s="46" t="s">
        <v>19055</v>
      </c>
      <c r="Q241" s="40" t="s">
        <v>627</v>
      </c>
      <c r="R241" s="41">
        <v>46078</v>
      </c>
      <c r="S241" s="22">
        <f t="shared" si="18"/>
        <v>1</v>
      </c>
      <c r="T241" s="41">
        <v>46091</v>
      </c>
      <c r="U241" s="41" t="str">
        <f t="shared" si="22"/>
        <v>Upload in customer box</v>
      </c>
      <c r="V241" s="44">
        <v>46087</v>
      </c>
      <c r="W241" s="44">
        <v>46091</v>
      </c>
      <c r="X241" s="46" t="s">
        <v>19161</v>
      </c>
      <c r="Y241" s="46">
        <v>1</v>
      </c>
      <c r="Z241" s="46" t="s">
        <v>19162</v>
      </c>
      <c r="AA241" s="41"/>
      <c r="AB241" s="22"/>
      <c r="AC241" s="22"/>
      <c r="AD241" s="41">
        <v>46160</v>
      </c>
      <c r="AE241" s="22" t="s">
        <v>19220</v>
      </c>
      <c r="AF241" s="22">
        <v>1</v>
      </c>
      <c r="AG241" s="48">
        <f t="shared" si="19"/>
        <v>0</v>
      </c>
      <c r="AH241" s="48">
        <f t="shared" si="20"/>
        <v>0</v>
      </c>
      <c r="AI241" s="48">
        <f t="shared" si="21"/>
        <v>0</v>
      </c>
      <c r="AJ241" s="142">
        <f t="shared" si="24"/>
        <v>46099</v>
      </c>
      <c r="AK241" s="209">
        <v>46181</v>
      </c>
      <c r="AL241" s="40"/>
      <c r="AM241" s="22"/>
      <c r="AQ241" s="46">
        <f t="shared" ca="1" si="23"/>
        <v>69</v>
      </c>
    </row>
    <row r="242" spans="1:43" ht="17.399999999999999">
      <c r="A242" s="22" t="s">
        <v>19130</v>
      </c>
      <c r="B242" s="22" t="s">
        <v>19131</v>
      </c>
      <c r="C242" s="56">
        <v>46074</v>
      </c>
      <c r="D242" s="56">
        <v>46042</v>
      </c>
      <c r="E242" s="22" t="s">
        <v>19132</v>
      </c>
      <c r="F242" s="22" t="s">
        <v>33</v>
      </c>
      <c r="G242" s="22" t="s">
        <v>33</v>
      </c>
      <c r="H242" s="22" t="s">
        <v>19312</v>
      </c>
      <c r="I242" s="49" t="s">
        <v>174</v>
      </c>
      <c r="J242" s="50" t="s">
        <v>18757</v>
      </c>
      <c r="K242" s="22" t="s">
        <v>19004</v>
      </c>
      <c r="L242" s="22" t="s">
        <v>60</v>
      </c>
      <c r="M242" s="22">
        <v>1</v>
      </c>
      <c r="N242" s="22" t="s">
        <v>19133</v>
      </c>
      <c r="O242" s="22"/>
      <c r="P242" s="46" t="s">
        <v>2655</v>
      </c>
      <c r="Q242" s="40" t="s">
        <v>627</v>
      </c>
      <c r="R242" s="41">
        <v>46078</v>
      </c>
      <c r="S242" s="22">
        <f t="shared" si="18"/>
        <v>1</v>
      </c>
      <c r="T242" s="41">
        <v>46091</v>
      </c>
      <c r="U242" s="41" t="str">
        <f t="shared" si="22"/>
        <v/>
      </c>
      <c r="V242" s="44">
        <v>46087</v>
      </c>
      <c r="W242" s="44">
        <v>46091</v>
      </c>
      <c r="X242" s="46" t="s">
        <v>19163</v>
      </c>
      <c r="Y242" s="46">
        <v>1</v>
      </c>
      <c r="Z242" s="46" t="s">
        <v>19164</v>
      </c>
      <c r="AA242" s="41"/>
      <c r="AB242" s="22"/>
      <c r="AC242" s="22"/>
      <c r="AD242" s="41"/>
      <c r="AE242" s="22"/>
      <c r="AF242" s="22"/>
      <c r="AG242" s="48">
        <f t="shared" si="19"/>
        <v>0</v>
      </c>
      <c r="AH242" s="48">
        <f t="shared" si="20"/>
        <v>1</v>
      </c>
      <c r="AI242" s="48">
        <f t="shared" si="21"/>
        <v>1</v>
      </c>
      <c r="AJ242" s="142">
        <f t="shared" si="24"/>
        <v>46099</v>
      </c>
      <c r="AK242" s="40">
        <v>46241</v>
      </c>
      <c r="AL242" s="40"/>
      <c r="AM242" s="22"/>
      <c r="AQ242" s="46">
        <f t="shared" ca="1" si="23"/>
        <v>232</v>
      </c>
    </row>
    <row r="243" spans="1:43" ht="17.399999999999999">
      <c r="A243" s="22" t="s">
        <v>19134</v>
      </c>
      <c r="B243" s="22" t="s">
        <v>19135</v>
      </c>
      <c r="C243" s="56">
        <v>46049</v>
      </c>
      <c r="D243" s="56">
        <v>45846</v>
      </c>
      <c r="E243" s="22" t="s">
        <v>19136</v>
      </c>
      <c r="F243" s="22" t="s">
        <v>33</v>
      </c>
      <c r="G243" s="22" t="s">
        <v>33</v>
      </c>
      <c r="H243" s="22" t="s">
        <v>19313</v>
      </c>
      <c r="I243" s="49" t="s">
        <v>1491</v>
      </c>
      <c r="J243" s="50" t="s">
        <v>9826</v>
      </c>
      <c r="K243" s="22" t="s">
        <v>19137</v>
      </c>
      <c r="L243" s="22" t="s">
        <v>60</v>
      </c>
      <c r="M243" s="22">
        <v>1</v>
      </c>
      <c r="N243" s="22" t="s">
        <v>19138</v>
      </c>
      <c r="O243" s="22"/>
      <c r="P243" s="46" t="s">
        <v>2655</v>
      </c>
      <c r="Q243" s="40" t="s">
        <v>627</v>
      </c>
      <c r="R243" s="41">
        <v>46079</v>
      </c>
      <c r="S243" s="22">
        <f t="shared" si="18"/>
        <v>1</v>
      </c>
      <c r="T243" s="41">
        <v>46091</v>
      </c>
      <c r="U243" s="41" t="str">
        <f t="shared" si="22"/>
        <v/>
      </c>
      <c r="V243" s="44">
        <v>46083</v>
      </c>
      <c r="W243" s="44">
        <v>46091</v>
      </c>
      <c r="X243" s="46" t="s">
        <v>19165</v>
      </c>
      <c r="Y243" s="46">
        <v>1</v>
      </c>
      <c r="Z243" s="46" t="s">
        <v>19164</v>
      </c>
      <c r="AA243" s="41"/>
      <c r="AB243" s="22"/>
      <c r="AC243" s="22"/>
      <c r="AD243" s="41"/>
      <c r="AE243" s="22"/>
      <c r="AF243" s="22"/>
      <c r="AG243" s="48">
        <f t="shared" si="19"/>
        <v>0</v>
      </c>
      <c r="AH243" s="48">
        <f t="shared" si="20"/>
        <v>1</v>
      </c>
      <c r="AI243" s="48">
        <f t="shared" si="21"/>
        <v>1</v>
      </c>
      <c r="AJ243" s="142">
        <f t="shared" si="24"/>
        <v>46100</v>
      </c>
      <c r="AK243" s="40">
        <v>46241</v>
      </c>
      <c r="AL243" s="40"/>
      <c r="AM243" s="22"/>
      <c r="AQ243" s="46">
        <f t="shared" ca="1" si="23"/>
        <v>232</v>
      </c>
    </row>
    <row r="244" spans="1:43" ht="17.399999999999999">
      <c r="A244" s="22" t="s">
        <v>19166</v>
      </c>
      <c r="B244" s="22" t="s">
        <v>980</v>
      </c>
      <c r="C244" s="56" t="s">
        <v>19167</v>
      </c>
      <c r="D244" s="56" t="s">
        <v>33</v>
      </c>
      <c r="E244" s="22" t="s">
        <v>33</v>
      </c>
      <c r="F244" s="22" t="s">
        <v>33</v>
      </c>
      <c r="G244" s="22" t="s">
        <v>67</v>
      </c>
      <c r="H244" s="22" t="s">
        <v>1403</v>
      </c>
      <c r="I244" s="49" t="s">
        <v>404</v>
      </c>
      <c r="J244" s="50" t="s">
        <v>1404</v>
      </c>
      <c r="K244" s="22" t="s">
        <v>980</v>
      </c>
      <c r="L244" s="22" t="s">
        <v>60</v>
      </c>
      <c r="M244" s="22">
        <v>540</v>
      </c>
      <c r="N244" s="22" t="s">
        <v>19168</v>
      </c>
      <c r="O244" s="22"/>
      <c r="P244" s="46" t="s">
        <v>681</v>
      </c>
      <c r="Q244" s="40" t="s">
        <v>18886</v>
      </c>
      <c r="R244" s="41">
        <v>46089</v>
      </c>
      <c r="S244" s="22">
        <f t="shared" si="18"/>
        <v>540</v>
      </c>
      <c r="T244" s="41">
        <v>46114</v>
      </c>
      <c r="U244" s="41" t="str">
        <f t="shared" si="22"/>
        <v/>
      </c>
      <c r="V244" s="44">
        <v>46107</v>
      </c>
      <c r="W244" s="44">
        <v>46114</v>
      </c>
      <c r="X244" s="46" t="s">
        <v>19169</v>
      </c>
      <c r="Y244" s="46">
        <v>540</v>
      </c>
      <c r="Z244" s="46" t="s">
        <v>19170</v>
      </c>
      <c r="AA244" s="41"/>
      <c r="AB244" s="22"/>
      <c r="AC244" s="22"/>
      <c r="AD244" s="41">
        <v>46171</v>
      </c>
      <c r="AE244" s="22" t="s">
        <v>19255</v>
      </c>
      <c r="AF244" s="22">
        <v>540</v>
      </c>
      <c r="AG244" s="48">
        <f t="shared" si="19"/>
        <v>0</v>
      </c>
      <c r="AH244" s="48">
        <f t="shared" si="20"/>
        <v>0</v>
      </c>
      <c r="AI244" s="48">
        <f t="shared" si="21"/>
        <v>0</v>
      </c>
      <c r="AJ244" s="142">
        <f t="shared" si="24"/>
        <v>46110</v>
      </c>
      <c r="AK244" s="40"/>
      <c r="AL244" s="40"/>
      <c r="AM244" s="22"/>
      <c r="AQ244" s="46">
        <f t="shared" ca="1" si="23"/>
        <v>57</v>
      </c>
    </row>
    <row r="245" spans="1:43" ht="17.399999999999999">
      <c r="A245" s="22" t="s">
        <v>19171</v>
      </c>
      <c r="B245" s="22" t="s">
        <v>50</v>
      </c>
      <c r="C245" s="56">
        <v>46090</v>
      </c>
      <c r="D245" s="56">
        <v>46086</v>
      </c>
      <c r="E245" s="22" t="s">
        <v>19172</v>
      </c>
      <c r="F245" s="22" t="s">
        <v>33</v>
      </c>
      <c r="G245" s="22" t="s">
        <v>19173</v>
      </c>
      <c r="H245" s="22" t="s">
        <v>2784</v>
      </c>
      <c r="I245" s="49" t="s">
        <v>2785</v>
      </c>
      <c r="J245" s="50" t="s">
        <v>2786</v>
      </c>
      <c r="K245" s="22" t="s">
        <v>18601</v>
      </c>
      <c r="L245" s="22" t="s">
        <v>60</v>
      </c>
      <c r="M245" s="22">
        <v>1</v>
      </c>
      <c r="N245" s="22" t="s">
        <v>19174</v>
      </c>
      <c r="O245" s="22"/>
      <c r="P245" s="46" t="s">
        <v>19054</v>
      </c>
      <c r="Q245" s="40" t="s">
        <v>18886</v>
      </c>
      <c r="R245" s="41">
        <v>46097</v>
      </c>
      <c r="S245" s="22">
        <f t="shared" si="18"/>
        <v>1</v>
      </c>
      <c r="T245" s="41">
        <v>46114</v>
      </c>
      <c r="U245" s="41" t="str">
        <f t="shared" si="22"/>
        <v/>
      </c>
      <c r="V245" s="44">
        <v>46100</v>
      </c>
      <c r="W245" s="44">
        <v>46114</v>
      </c>
      <c r="X245" s="46" t="s">
        <v>19175</v>
      </c>
      <c r="Y245" s="46">
        <v>1</v>
      </c>
      <c r="Z245" s="46" t="s">
        <v>19176</v>
      </c>
      <c r="AA245" s="41"/>
      <c r="AB245" s="22"/>
      <c r="AC245" s="22"/>
      <c r="AD245" s="41"/>
      <c r="AE245" s="22"/>
      <c r="AF245" s="22"/>
      <c r="AG245" s="48">
        <f t="shared" si="19"/>
        <v>0</v>
      </c>
      <c r="AH245" s="48">
        <f t="shared" si="20"/>
        <v>1</v>
      </c>
      <c r="AI245" s="48">
        <f t="shared" si="21"/>
        <v>1</v>
      </c>
      <c r="AJ245" s="142">
        <f t="shared" si="24"/>
        <v>46118</v>
      </c>
      <c r="AK245" s="40"/>
      <c r="AL245" s="40"/>
      <c r="AM245" s="22"/>
      <c r="AQ245" s="46">
        <f t="shared" ca="1" si="23"/>
        <v>209</v>
      </c>
    </row>
    <row r="246" spans="1:43" ht="17.399999999999999">
      <c r="A246" s="22" t="s">
        <v>19177</v>
      </c>
      <c r="B246" s="22" t="s">
        <v>359</v>
      </c>
      <c r="C246" s="56" t="s">
        <v>19167</v>
      </c>
      <c r="D246" s="56" t="s">
        <v>33</v>
      </c>
      <c r="E246" s="22" t="s">
        <v>33</v>
      </c>
      <c r="F246" s="22" t="s">
        <v>33</v>
      </c>
      <c r="G246" s="22" t="s">
        <v>67</v>
      </c>
      <c r="H246" s="22" t="s">
        <v>1477</v>
      </c>
      <c r="I246" s="49" t="s">
        <v>994</v>
      </c>
      <c r="J246" s="50" t="s">
        <v>1478</v>
      </c>
      <c r="K246" s="22" t="s">
        <v>980</v>
      </c>
      <c r="L246" s="22" t="s">
        <v>60</v>
      </c>
      <c r="M246" s="22">
        <v>1</v>
      </c>
      <c r="N246" s="22" t="s">
        <v>18247</v>
      </c>
      <c r="O246" s="22"/>
      <c r="P246" s="46" t="s">
        <v>681</v>
      </c>
      <c r="Q246" s="40" t="s">
        <v>627</v>
      </c>
      <c r="R246" s="41">
        <v>46099</v>
      </c>
      <c r="S246" s="22">
        <f t="shared" si="18"/>
        <v>1</v>
      </c>
      <c r="T246" s="41">
        <v>46121</v>
      </c>
      <c r="U246" s="41" t="str">
        <f t="shared" si="22"/>
        <v/>
      </c>
      <c r="V246" s="44">
        <v>46115</v>
      </c>
      <c r="W246" s="44">
        <v>46121</v>
      </c>
      <c r="X246" s="46" t="s">
        <v>19178</v>
      </c>
      <c r="Y246" s="46">
        <v>1</v>
      </c>
      <c r="Z246" s="46" t="s">
        <v>19179</v>
      </c>
      <c r="AA246" s="41"/>
      <c r="AB246" s="22"/>
      <c r="AC246" s="22"/>
      <c r="AD246" s="41">
        <v>46203</v>
      </c>
      <c r="AE246" s="22" t="s">
        <v>19290</v>
      </c>
      <c r="AF246" s="22">
        <v>1</v>
      </c>
      <c r="AG246" s="48">
        <f t="shared" si="19"/>
        <v>0</v>
      </c>
      <c r="AH246" s="48">
        <f t="shared" si="20"/>
        <v>0</v>
      </c>
      <c r="AI246" s="48">
        <f t="shared" si="21"/>
        <v>0</v>
      </c>
      <c r="AJ246" s="142">
        <f t="shared" si="24"/>
        <v>46120</v>
      </c>
      <c r="AK246" s="40"/>
      <c r="AL246" s="40"/>
      <c r="AM246" s="22"/>
      <c r="AQ246" s="46">
        <f t="shared" ca="1" si="23"/>
        <v>82</v>
      </c>
    </row>
    <row r="247" spans="1:43" ht="17.399999999999999">
      <c r="A247" s="22" t="s">
        <v>19180</v>
      </c>
      <c r="B247" s="22" t="s">
        <v>359</v>
      </c>
      <c r="C247" s="198" t="s">
        <v>19167</v>
      </c>
      <c r="D247" s="198" t="s">
        <v>33</v>
      </c>
      <c r="E247" s="199" t="s">
        <v>33</v>
      </c>
      <c r="F247" s="200" t="s">
        <v>33</v>
      </c>
      <c r="G247" s="22" t="s">
        <v>67</v>
      </c>
      <c r="H247" s="22" t="s">
        <v>1483</v>
      </c>
      <c r="I247" s="49" t="s">
        <v>994</v>
      </c>
      <c r="J247" s="50" t="s">
        <v>1484</v>
      </c>
      <c r="K247" s="201" t="s">
        <v>980</v>
      </c>
      <c r="L247" s="22" t="s">
        <v>60</v>
      </c>
      <c r="M247" s="201">
        <v>2</v>
      </c>
      <c r="N247" s="202" t="s">
        <v>18247</v>
      </c>
      <c r="O247" s="22"/>
      <c r="P247" s="46" t="s">
        <v>681</v>
      </c>
      <c r="Q247" s="40" t="s">
        <v>627</v>
      </c>
      <c r="R247" s="41">
        <v>46099</v>
      </c>
      <c r="S247" s="22">
        <v>2</v>
      </c>
      <c r="T247" s="41">
        <v>46121</v>
      </c>
      <c r="U247" s="41" t="str">
        <f t="shared" si="22"/>
        <v/>
      </c>
      <c r="V247" s="44">
        <v>46115</v>
      </c>
      <c r="W247" s="44">
        <v>46121</v>
      </c>
      <c r="X247" s="46" t="s">
        <v>19178</v>
      </c>
      <c r="Y247" s="46">
        <v>2</v>
      </c>
      <c r="Z247" s="46" t="s">
        <v>19179</v>
      </c>
      <c r="AA247" s="41"/>
      <c r="AB247" s="22"/>
      <c r="AC247" s="22"/>
      <c r="AD247" s="41">
        <v>46203</v>
      </c>
      <c r="AE247" s="22" t="s">
        <v>19290</v>
      </c>
      <c r="AF247" s="22">
        <v>2</v>
      </c>
      <c r="AG247" s="48">
        <f t="shared" si="19"/>
        <v>0</v>
      </c>
      <c r="AH247" s="48">
        <f t="shared" si="20"/>
        <v>0</v>
      </c>
      <c r="AI247" s="48">
        <f t="shared" si="21"/>
        <v>0</v>
      </c>
      <c r="AJ247" s="142">
        <f t="shared" si="24"/>
        <v>46120</v>
      </c>
      <c r="AK247" s="40"/>
      <c r="AL247" s="40"/>
      <c r="AM247" s="22"/>
      <c r="AQ247" s="46">
        <f t="shared" ca="1" si="23"/>
        <v>82</v>
      </c>
    </row>
    <row r="248" spans="1:43" ht="17.399999999999999">
      <c r="A248" s="22" t="s">
        <v>19181</v>
      </c>
      <c r="B248" s="22" t="s">
        <v>19182</v>
      </c>
      <c r="C248" s="56">
        <v>46035</v>
      </c>
      <c r="D248" s="56" t="s">
        <v>33</v>
      </c>
      <c r="E248" s="22" t="s">
        <v>33</v>
      </c>
      <c r="F248" s="22" t="s">
        <v>33</v>
      </c>
      <c r="G248" s="22" t="s">
        <v>33</v>
      </c>
      <c r="H248" s="22" t="s">
        <v>744</v>
      </c>
      <c r="I248" s="49" t="s">
        <v>745</v>
      </c>
      <c r="J248" s="50" t="s">
        <v>746</v>
      </c>
      <c r="K248" s="22" t="s">
        <v>18504</v>
      </c>
      <c r="L248" s="22" t="s">
        <v>60</v>
      </c>
      <c r="M248" s="22">
        <v>1</v>
      </c>
      <c r="N248" s="22" t="s">
        <v>19183</v>
      </c>
      <c r="O248" s="22"/>
      <c r="P248" s="46" t="s">
        <v>19055</v>
      </c>
      <c r="Q248" s="40" t="s">
        <v>627</v>
      </c>
      <c r="R248" s="41">
        <v>46104</v>
      </c>
      <c r="S248" s="22">
        <f t="shared" si="18"/>
        <v>1</v>
      </c>
      <c r="T248" s="41">
        <v>46119</v>
      </c>
      <c r="U248" s="41" t="str">
        <f t="shared" si="22"/>
        <v>Upload in customer box</v>
      </c>
      <c r="V248" s="44">
        <v>46107</v>
      </c>
      <c r="W248" s="44">
        <v>46119</v>
      </c>
      <c r="X248" s="46" t="s">
        <v>19184</v>
      </c>
      <c r="Y248" s="46">
        <v>1</v>
      </c>
      <c r="Z248" s="46" t="s">
        <v>19185</v>
      </c>
      <c r="AA248" s="41"/>
      <c r="AB248" s="22"/>
      <c r="AC248" s="22"/>
      <c r="AD248" s="41"/>
      <c r="AE248" s="22"/>
      <c r="AF248" s="22"/>
      <c r="AG248" s="48">
        <f t="shared" si="19"/>
        <v>0</v>
      </c>
      <c r="AH248" s="48">
        <f t="shared" si="20"/>
        <v>1</v>
      </c>
      <c r="AI248" s="48">
        <f t="shared" si="21"/>
        <v>1</v>
      </c>
      <c r="AJ248" s="142">
        <f t="shared" si="24"/>
        <v>46125</v>
      </c>
      <c r="AK248" s="40"/>
      <c r="AL248" s="40"/>
      <c r="AM248" s="22"/>
      <c r="AQ248" s="46">
        <f t="shared" ca="1" si="23"/>
        <v>204</v>
      </c>
    </row>
    <row r="249" spans="1:43" ht="17.399999999999999">
      <c r="A249" s="22" t="s">
        <v>19186</v>
      </c>
      <c r="B249" s="22" t="s">
        <v>19187</v>
      </c>
      <c r="C249" s="56" t="s">
        <v>19188</v>
      </c>
      <c r="D249" s="56" t="s">
        <v>33</v>
      </c>
      <c r="E249" s="22" t="s">
        <v>33</v>
      </c>
      <c r="F249" s="22" t="s">
        <v>33</v>
      </c>
      <c r="G249" s="22" t="s">
        <v>33</v>
      </c>
      <c r="H249" s="22" t="s">
        <v>629</v>
      </c>
      <c r="I249" s="49" t="s">
        <v>630</v>
      </c>
      <c r="J249" s="50" t="s">
        <v>631</v>
      </c>
      <c r="K249" s="22" t="s">
        <v>18504</v>
      </c>
      <c r="L249" s="22" t="s">
        <v>60</v>
      </c>
      <c r="M249" s="22">
        <v>6</v>
      </c>
      <c r="N249" s="22" t="s">
        <v>19189</v>
      </c>
      <c r="O249" s="22"/>
      <c r="P249" s="46" t="s">
        <v>19055</v>
      </c>
      <c r="Q249" s="40" t="s">
        <v>627</v>
      </c>
      <c r="R249" s="41">
        <v>46104</v>
      </c>
      <c r="S249" s="22">
        <f t="shared" si="18"/>
        <v>6</v>
      </c>
      <c r="T249" s="41">
        <v>46119</v>
      </c>
      <c r="U249" s="41" t="str">
        <f t="shared" si="22"/>
        <v>Upload in customer box</v>
      </c>
      <c r="V249" s="44">
        <v>46107</v>
      </c>
      <c r="W249" s="44">
        <v>46119</v>
      </c>
      <c r="X249" s="46" t="s">
        <v>19184</v>
      </c>
      <c r="Y249" s="46">
        <v>6</v>
      </c>
      <c r="Z249" s="46" t="s">
        <v>19185</v>
      </c>
      <c r="AA249" s="41"/>
      <c r="AB249" s="22"/>
      <c r="AC249" s="22"/>
      <c r="AD249" s="41"/>
      <c r="AE249" s="22" t="s">
        <v>19520</v>
      </c>
      <c r="AF249" s="22"/>
      <c r="AG249" s="48">
        <f t="shared" si="19"/>
        <v>0</v>
      </c>
      <c r="AH249" s="48">
        <f t="shared" si="20"/>
        <v>6</v>
      </c>
      <c r="AI249" s="48">
        <f t="shared" si="21"/>
        <v>6</v>
      </c>
      <c r="AJ249" s="142">
        <f t="shared" si="24"/>
        <v>46125</v>
      </c>
      <c r="AK249" s="40"/>
      <c r="AL249" s="40"/>
      <c r="AM249" s="22"/>
      <c r="AQ249" s="46">
        <f t="shared" ca="1" si="23"/>
        <v>204</v>
      </c>
    </row>
    <row r="250" spans="1:43" ht="17.399999999999999">
      <c r="A250" s="22" t="s">
        <v>19190</v>
      </c>
      <c r="B250" s="22" t="s">
        <v>359</v>
      </c>
      <c r="C250" s="56" t="s">
        <v>19191</v>
      </c>
      <c r="D250" s="56" t="s">
        <v>33</v>
      </c>
      <c r="E250" s="22" t="s">
        <v>33</v>
      </c>
      <c r="F250" s="22" t="s">
        <v>33</v>
      </c>
      <c r="G250" s="22" t="s">
        <v>67</v>
      </c>
      <c r="H250" s="22" t="s">
        <v>1477</v>
      </c>
      <c r="I250" s="49" t="s">
        <v>994</v>
      </c>
      <c r="J250" s="50" t="s">
        <v>1478</v>
      </c>
      <c r="K250" s="22" t="s">
        <v>980</v>
      </c>
      <c r="L250" s="22" t="s">
        <v>60</v>
      </c>
      <c r="M250" s="22">
        <v>1</v>
      </c>
      <c r="N250" s="22" t="s">
        <v>18247</v>
      </c>
      <c r="O250" s="22"/>
      <c r="P250" s="46" t="s">
        <v>681</v>
      </c>
      <c r="Q250" s="40" t="s">
        <v>627</v>
      </c>
      <c r="R250" s="41">
        <v>46113</v>
      </c>
      <c r="S250" s="22">
        <f t="shared" si="18"/>
        <v>1</v>
      </c>
      <c r="T250" s="41">
        <v>46147</v>
      </c>
      <c r="U250" s="41" t="str">
        <f t="shared" si="22"/>
        <v/>
      </c>
      <c r="V250" s="44">
        <v>46139</v>
      </c>
      <c r="W250" s="44">
        <v>46147</v>
      </c>
      <c r="X250" s="203" t="s">
        <v>19205</v>
      </c>
      <c r="Y250" s="203">
        <v>1</v>
      </c>
      <c r="Z250" s="46" t="s">
        <v>19206</v>
      </c>
      <c r="AA250" s="41"/>
      <c r="AB250" s="22"/>
      <c r="AC250" s="22"/>
      <c r="AD250" s="41">
        <v>46203</v>
      </c>
      <c r="AE250" s="22" t="s">
        <v>19290</v>
      </c>
      <c r="AF250" s="22">
        <v>1</v>
      </c>
      <c r="AG250" s="48">
        <f t="shared" si="19"/>
        <v>0</v>
      </c>
      <c r="AH250" s="48">
        <f t="shared" si="20"/>
        <v>0</v>
      </c>
      <c r="AI250" s="48">
        <f t="shared" si="21"/>
        <v>0</v>
      </c>
      <c r="AJ250" s="142">
        <f t="shared" si="24"/>
        <v>46134</v>
      </c>
      <c r="AK250" s="40"/>
      <c r="AL250" s="40"/>
      <c r="AM250" s="22"/>
      <c r="AQ250" s="46">
        <f t="shared" ca="1" si="23"/>
        <v>56</v>
      </c>
    </row>
    <row r="251" spans="1:43" ht="17.399999999999999">
      <c r="A251" s="22" t="s">
        <v>19194</v>
      </c>
      <c r="B251" s="22" t="s">
        <v>19195</v>
      </c>
      <c r="C251" s="56">
        <v>46120</v>
      </c>
      <c r="D251" s="56">
        <v>46097</v>
      </c>
      <c r="E251" s="22" t="s">
        <v>19196</v>
      </c>
      <c r="F251" s="22" t="s">
        <v>33</v>
      </c>
      <c r="G251" s="22" t="s">
        <v>33</v>
      </c>
      <c r="H251" s="22" t="s">
        <v>3460</v>
      </c>
      <c r="I251" s="49" t="s">
        <v>745</v>
      </c>
      <c r="J251" s="50" t="s">
        <v>3461</v>
      </c>
      <c r="K251" s="22" t="s">
        <v>19197</v>
      </c>
      <c r="L251" s="22" t="s">
        <v>60</v>
      </c>
      <c r="M251" s="22">
        <v>26</v>
      </c>
      <c r="N251" s="22" t="s">
        <v>19198</v>
      </c>
      <c r="O251" s="22"/>
      <c r="P251" s="46" t="s">
        <v>19055</v>
      </c>
      <c r="Q251" s="40" t="s">
        <v>627</v>
      </c>
      <c r="R251" s="41">
        <v>46121</v>
      </c>
      <c r="S251" s="22">
        <f t="shared" si="18"/>
        <v>26</v>
      </c>
      <c r="T251" s="41">
        <v>46133</v>
      </c>
      <c r="U251" s="41" t="str">
        <f t="shared" si="22"/>
        <v>Upload in customer box</v>
      </c>
      <c r="V251" s="44">
        <v>46129</v>
      </c>
      <c r="W251" s="44">
        <v>46133</v>
      </c>
      <c r="X251" s="203" t="s">
        <v>19199</v>
      </c>
      <c r="Y251" s="203">
        <v>26</v>
      </c>
      <c r="Z251" s="46" t="s">
        <v>19200</v>
      </c>
      <c r="AA251" s="41">
        <v>46140</v>
      </c>
      <c r="AB251" s="22" t="s">
        <v>19203</v>
      </c>
      <c r="AC251" s="22">
        <v>26</v>
      </c>
      <c r="AD251" s="41"/>
      <c r="AE251" s="22"/>
      <c r="AF251" s="22"/>
      <c r="AG251" s="48">
        <f t="shared" si="19"/>
        <v>0</v>
      </c>
      <c r="AH251" s="48">
        <f t="shared" si="20"/>
        <v>0</v>
      </c>
      <c r="AI251" s="48">
        <f t="shared" si="21"/>
        <v>0</v>
      </c>
      <c r="AJ251" s="142">
        <f t="shared" si="24"/>
        <v>46142</v>
      </c>
      <c r="AK251" s="209">
        <v>46195</v>
      </c>
      <c r="AL251" s="40"/>
      <c r="AM251" s="22"/>
      <c r="AQ251" s="46"/>
    </row>
    <row r="252" spans="1:43" ht="17.399999999999999">
      <c r="A252" s="22" t="s">
        <v>19207</v>
      </c>
      <c r="B252" s="22" t="s">
        <v>19131</v>
      </c>
      <c r="C252" s="56">
        <v>46083</v>
      </c>
      <c r="D252" s="56">
        <v>46063</v>
      </c>
      <c r="E252" s="22" t="s">
        <v>19208</v>
      </c>
      <c r="F252" s="22" t="s">
        <v>33</v>
      </c>
      <c r="G252" s="22" t="s">
        <v>33</v>
      </c>
      <c r="H252" s="22" t="s">
        <v>19218</v>
      </c>
      <c r="I252" s="49" t="s">
        <v>174</v>
      </c>
      <c r="J252" s="50" t="s">
        <v>18757</v>
      </c>
      <c r="K252" s="22" t="s">
        <v>19004</v>
      </c>
      <c r="L252" s="22" t="s">
        <v>60</v>
      </c>
      <c r="M252" s="22">
        <v>1</v>
      </c>
      <c r="N252" s="22" t="s">
        <v>18555</v>
      </c>
      <c r="O252" s="22"/>
      <c r="P252" s="46" t="s">
        <v>19219</v>
      </c>
      <c r="Q252" s="40" t="s">
        <v>627</v>
      </c>
      <c r="R252" s="41">
        <v>46155</v>
      </c>
      <c r="S252" s="22">
        <f t="shared" si="18"/>
        <v>1</v>
      </c>
      <c r="T252" s="41">
        <v>46163</v>
      </c>
      <c r="U252" s="41" t="str">
        <f t="shared" si="22"/>
        <v/>
      </c>
      <c r="V252" s="44">
        <v>46157</v>
      </c>
      <c r="W252" s="44">
        <v>46163</v>
      </c>
      <c r="X252" s="203" t="s">
        <v>19221</v>
      </c>
      <c r="Y252" s="46">
        <v>1</v>
      </c>
      <c r="Z252" s="46" t="s">
        <v>19241</v>
      </c>
      <c r="AA252" s="41"/>
      <c r="AB252" s="22"/>
      <c r="AC252" s="22"/>
      <c r="AD252" s="41"/>
      <c r="AE252" s="22"/>
      <c r="AF252" s="22"/>
      <c r="AG252" s="48">
        <f t="shared" si="19"/>
        <v>0</v>
      </c>
      <c r="AH252" s="48">
        <f t="shared" si="20"/>
        <v>1</v>
      </c>
      <c r="AI252" s="48">
        <f t="shared" si="21"/>
        <v>1</v>
      </c>
      <c r="AJ252" s="142">
        <f t="shared" si="24"/>
        <v>46176</v>
      </c>
      <c r="AK252" s="40">
        <v>46241</v>
      </c>
      <c r="AL252" s="40"/>
      <c r="AM252" s="22"/>
      <c r="AQ252" s="46"/>
    </row>
    <row r="253" spans="1:43" ht="17.399999999999999">
      <c r="A253" s="168" t="s">
        <v>19215</v>
      </c>
      <c r="B253" s="168" t="s">
        <v>19209</v>
      </c>
      <c r="C253" s="169">
        <v>46003</v>
      </c>
      <c r="D253" s="169" t="s">
        <v>33</v>
      </c>
      <c r="E253" s="168" t="s">
        <v>33</v>
      </c>
      <c r="F253" s="168" t="s">
        <v>33</v>
      </c>
      <c r="G253" s="168" t="s">
        <v>19210</v>
      </c>
      <c r="H253" s="168" t="s">
        <v>19214</v>
      </c>
      <c r="I253" s="170" t="s">
        <v>2024</v>
      </c>
      <c r="J253" s="171" t="s">
        <v>5605</v>
      </c>
      <c r="K253" s="168" t="s">
        <v>19211</v>
      </c>
      <c r="L253" s="168" t="s">
        <v>71</v>
      </c>
      <c r="M253" s="168">
        <v>646.5</v>
      </c>
      <c r="N253" s="168" t="s">
        <v>19212</v>
      </c>
      <c r="O253" s="168"/>
      <c r="P253" s="172" t="s">
        <v>19445</v>
      </c>
      <c r="Q253" s="40" t="s">
        <v>627</v>
      </c>
      <c r="R253" s="41">
        <v>46155</v>
      </c>
      <c r="S253" s="22">
        <f t="shared" si="18"/>
        <v>646.5</v>
      </c>
      <c r="T253" s="41">
        <v>46163</v>
      </c>
      <c r="U253" s="41" t="str">
        <f t="shared" si="22"/>
        <v/>
      </c>
      <c r="V253" s="44">
        <v>46157</v>
      </c>
      <c r="W253" s="44">
        <v>46163</v>
      </c>
      <c r="X253" s="203" t="s">
        <v>19222</v>
      </c>
      <c r="Y253" s="46">
        <v>646.5</v>
      </c>
      <c r="Z253" s="46" t="s">
        <v>19240</v>
      </c>
      <c r="AA253" s="41">
        <v>46265</v>
      </c>
      <c r="AB253" s="22" t="s">
        <v>19444</v>
      </c>
      <c r="AC253" s="22">
        <v>646.5</v>
      </c>
      <c r="AD253" s="41"/>
      <c r="AE253" s="22"/>
      <c r="AF253" s="22"/>
      <c r="AG253" s="48">
        <f t="shared" si="19"/>
        <v>0</v>
      </c>
      <c r="AH253" s="48">
        <f t="shared" si="20"/>
        <v>0</v>
      </c>
      <c r="AI253" s="48">
        <f t="shared" si="21"/>
        <v>0</v>
      </c>
      <c r="AJ253" s="142">
        <f t="shared" si="24"/>
        <v>46176</v>
      </c>
      <c r="AK253" s="40"/>
      <c r="AL253" s="40"/>
      <c r="AM253" s="22"/>
      <c r="AQ253" s="46"/>
    </row>
    <row r="254" spans="1:43" ht="17.399999999999999">
      <c r="A254" s="22" t="s">
        <v>19224</v>
      </c>
      <c r="B254" s="22" t="s">
        <v>346</v>
      </c>
      <c r="C254" s="56" t="s">
        <v>19225</v>
      </c>
      <c r="D254" s="56" t="s">
        <v>33</v>
      </c>
      <c r="E254" s="22" t="s">
        <v>19226</v>
      </c>
      <c r="F254" s="22" t="s">
        <v>33</v>
      </c>
      <c r="G254" s="22" t="s">
        <v>33</v>
      </c>
      <c r="H254" s="22" t="s">
        <v>366</v>
      </c>
      <c r="I254" s="49" t="s">
        <v>362</v>
      </c>
      <c r="J254" s="50" t="s">
        <v>367</v>
      </c>
      <c r="K254" s="22" t="s">
        <v>346</v>
      </c>
      <c r="L254" s="22" t="s">
        <v>60</v>
      </c>
      <c r="M254" s="22">
        <v>38</v>
      </c>
      <c r="N254" s="22" t="s">
        <v>19239</v>
      </c>
      <c r="O254" s="22"/>
      <c r="P254" s="46" t="s">
        <v>18088</v>
      </c>
      <c r="Q254" s="40" t="s">
        <v>627</v>
      </c>
      <c r="R254" s="41">
        <v>46163</v>
      </c>
      <c r="S254" s="22">
        <f t="shared" si="18"/>
        <v>38</v>
      </c>
      <c r="T254" s="41">
        <v>46177</v>
      </c>
      <c r="U254" s="41" t="str">
        <f t="shared" si="22"/>
        <v/>
      </c>
      <c r="V254" s="44">
        <v>46170</v>
      </c>
      <c r="W254" s="44">
        <v>46177</v>
      </c>
      <c r="X254" s="46" t="s">
        <v>19256</v>
      </c>
      <c r="Y254" s="46">
        <v>38</v>
      </c>
      <c r="Z254" s="46" t="s">
        <v>19260</v>
      </c>
      <c r="AA254" s="41"/>
      <c r="AB254" s="22"/>
      <c r="AC254" s="22"/>
      <c r="AD254" s="41"/>
      <c r="AE254" s="22"/>
      <c r="AF254" s="22"/>
      <c r="AG254" s="48">
        <f t="shared" si="19"/>
        <v>0</v>
      </c>
      <c r="AH254" s="48">
        <f t="shared" si="20"/>
        <v>38</v>
      </c>
      <c r="AI254" s="48">
        <f t="shared" si="21"/>
        <v>38</v>
      </c>
      <c r="AJ254" s="142">
        <f t="shared" si="24"/>
        <v>46184</v>
      </c>
      <c r="AK254" s="40"/>
      <c r="AL254" s="40"/>
      <c r="AM254" s="22"/>
      <c r="AQ254" s="46"/>
    </row>
    <row r="255" spans="1:43" ht="17.399999999999999">
      <c r="A255" s="22" t="s">
        <v>19227</v>
      </c>
      <c r="B255" s="22" t="s">
        <v>346</v>
      </c>
      <c r="C255" s="56">
        <v>46132</v>
      </c>
      <c r="D255" s="56" t="s">
        <v>33</v>
      </c>
      <c r="E255" s="22" t="s">
        <v>19228</v>
      </c>
      <c r="F255" s="22" t="s">
        <v>33</v>
      </c>
      <c r="G255" s="22" t="s">
        <v>19229</v>
      </c>
      <c r="H255" s="22" t="s">
        <v>354</v>
      </c>
      <c r="I255" s="49" t="s">
        <v>355</v>
      </c>
      <c r="J255" s="50" t="s">
        <v>356</v>
      </c>
      <c r="K255" s="22" t="s">
        <v>346</v>
      </c>
      <c r="L255" s="22" t="s">
        <v>60</v>
      </c>
      <c r="M255" s="22">
        <v>14</v>
      </c>
      <c r="N255" s="22" t="s">
        <v>19230</v>
      </c>
      <c r="O255" s="22"/>
      <c r="P255" s="46" t="s">
        <v>18088</v>
      </c>
      <c r="Q255" s="40" t="s">
        <v>627</v>
      </c>
      <c r="R255" s="41">
        <v>46163</v>
      </c>
      <c r="S255" s="22">
        <f t="shared" si="18"/>
        <v>14</v>
      </c>
      <c r="T255" s="41">
        <v>46177</v>
      </c>
      <c r="U255" s="41" t="str">
        <f t="shared" si="22"/>
        <v/>
      </c>
      <c r="V255" s="44">
        <v>46170</v>
      </c>
      <c r="W255" s="44">
        <v>46177</v>
      </c>
      <c r="X255" s="46" t="s">
        <v>19256</v>
      </c>
      <c r="Y255" s="46">
        <v>14</v>
      </c>
      <c r="Z255" s="46" t="s">
        <v>19260</v>
      </c>
      <c r="AA255" s="41"/>
      <c r="AB255" s="22"/>
      <c r="AC255" s="22"/>
      <c r="AD255" s="41"/>
      <c r="AE255" s="22"/>
      <c r="AF255" s="22"/>
      <c r="AG255" s="48">
        <f t="shared" si="19"/>
        <v>0</v>
      </c>
      <c r="AH255" s="48">
        <f t="shared" si="20"/>
        <v>14</v>
      </c>
      <c r="AI255" s="48">
        <f t="shared" si="21"/>
        <v>14</v>
      </c>
      <c r="AJ255" s="142">
        <f t="shared" si="24"/>
        <v>46184</v>
      </c>
      <c r="AK255" s="40"/>
      <c r="AL255" s="40"/>
      <c r="AM255" s="22"/>
      <c r="AQ255" s="46"/>
    </row>
    <row r="256" spans="1:43" ht="17.399999999999999">
      <c r="A256" s="22" t="s">
        <v>19231</v>
      </c>
      <c r="B256" s="22" t="s">
        <v>346</v>
      </c>
      <c r="C256" s="56">
        <v>46141</v>
      </c>
      <c r="D256" s="56" t="s">
        <v>33</v>
      </c>
      <c r="E256" s="22" t="s">
        <v>19232</v>
      </c>
      <c r="F256" s="22" t="s">
        <v>33</v>
      </c>
      <c r="G256" s="22" t="s">
        <v>19233</v>
      </c>
      <c r="H256" s="22" t="s">
        <v>348</v>
      </c>
      <c r="I256" s="49" t="s">
        <v>349</v>
      </c>
      <c r="J256" s="50" t="s">
        <v>350</v>
      </c>
      <c r="K256" s="22" t="s">
        <v>346</v>
      </c>
      <c r="L256" s="22" t="s">
        <v>60</v>
      </c>
      <c r="M256" s="22">
        <v>72</v>
      </c>
      <c r="N256" s="22" t="s">
        <v>19234</v>
      </c>
      <c r="O256" s="22"/>
      <c r="P256" s="46" t="s">
        <v>18088</v>
      </c>
      <c r="Q256" s="40" t="s">
        <v>627</v>
      </c>
      <c r="R256" s="41">
        <v>46163</v>
      </c>
      <c r="S256" s="22">
        <f t="shared" si="18"/>
        <v>72</v>
      </c>
      <c r="T256" s="41">
        <v>46177</v>
      </c>
      <c r="U256" s="41" t="str">
        <f t="shared" si="22"/>
        <v/>
      </c>
      <c r="V256" s="44">
        <v>46170</v>
      </c>
      <c r="W256" s="44">
        <v>46177</v>
      </c>
      <c r="X256" s="46" t="s">
        <v>19256</v>
      </c>
      <c r="Y256" s="46">
        <v>72</v>
      </c>
      <c r="Z256" s="46" t="s">
        <v>19260</v>
      </c>
      <c r="AA256" s="41"/>
      <c r="AB256" s="22"/>
      <c r="AC256" s="22"/>
      <c r="AD256" s="41"/>
      <c r="AE256" s="22"/>
      <c r="AF256" s="22"/>
      <c r="AG256" s="48">
        <f t="shared" si="19"/>
        <v>0</v>
      </c>
      <c r="AH256" s="48">
        <f t="shared" si="20"/>
        <v>72</v>
      </c>
      <c r="AI256" s="48">
        <f t="shared" si="21"/>
        <v>72</v>
      </c>
      <c r="AJ256" s="142">
        <f t="shared" si="24"/>
        <v>46184</v>
      </c>
      <c r="AK256" s="40"/>
      <c r="AL256" s="40"/>
      <c r="AM256" s="22"/>
      <c r="AQ256" s="46"/>
    </row>
    <row r="257" spans="1:43" ht="17.399999999999999">
      <c r="A257" s="22" t="s">
        <v>19235</v>
      </c>
      <c r="B257" s="22" t="s">
        <v>346</v>
      </c>
      <c r="C257" s="56" t="s">
        <v>19236</v>
      </c>
      <c r="D257" s="56" t="s">
        <v>33</v>
      </c>
      <c r="E257" s="22" t="s">
        <v>19237</v>
      </c>
      <c r="F257" s="22" t="s">
        <v>33</v>
      </c>
      <c r="G257" s="22" t="s">
        <v>33</v>
      </c>
      <c r="H257" s="22" t="s">
        <v>8542</v>
      </c>
      <c r="I257" s="49" t="s">
        <v>362</v>
      </c>
      <c r="J257" s="50" t="s">
        <v>8543</v>
      </c>
      <c r="K257" s="22" t="s">
        <v>346</v>
      </c>
      <c r="L257" s="22" t="s">
        <v>60</v>
      </c>
      <c r="M257" s="22">
        <v>21</v>
      </c>
      <c r="N257" s="22" t="s">
        <v>19238</v>
      </c>
      <c r="O257" s="22"/>
      <c r="P257" s="46" t="s">
        <v>18088</v>
      </c>
      <c r="Q257" s="40" t="s">
        <v>627</v>
      </c>
      <c r="R257" s="41">
        <v>46163</v>
      </c>
      <c r="S257" s="22">
        <f t="shared" si="18"/>
        <v>21</v>
      </c>
      <c r="T257" s="41">
        <v>46177</v>
      </c>
      <c r="U257" s="41" t="str">
        <f t="shared" si="22"/>
        <v/>
      </c>
      <c r="V257" s="44">
        <v>46170</v>
      </c>
      <c r="W257" s="44">
        <v>46177</v>
      </c>
      <c r="X257" s="46" t="s">
        <v>19256</v>
      </c>
      <c r="Y257" s="46">
        <v>21</v>
      </c>
      <c r="Z257" s="46" t="s">
        <v>19260</v>
      </c>
      <c r="AA257" s="41"/>
      <c r="AB257" s="22"/>
      <c r="AC257" s="22"/>
      <c r="AD257" s="41"/>
      <c r="AE257" s="22"/>
      <c r="AF257" s="22"/>
      <c r="AG257" s="48">
        <f t="shared" si="19"/>
        <v>0</v>
      </c>
      <c r="AH257" s="48">
        <f t="shared" si="20"/>
        <v>21</v>
      </c>
      <c r="AI257" s="48">
        <f t="shared" si="21"/>
        <v>21</v>
      </c>
      <c r="AJ257" s="142">
        <f t="shared" si="24"/>
        <v>46184</v>
      </c>
      <c r="AK257" s="40"/>
      <c r="AL257" s="40"/>
      <c r="AM257" s="22"/>
      <c r="AQ257" s="46"/>
    </row>
    <row r="258" spans="1:43" ht="17.399999999999999">
      <c r="A258" s="22" t="s">
        <v>19242</v>
      </c>
      <c r="B258" s="22" t="s">
        <v>18762</v>
      </c>
      <c r="C258" s="56" t="s">
        <v>19243</v>
      </c>
      <c r="D258" s="56" t="s">
        <v>33</v>
      </c>
      <c r="E258" s="22" t="s">
        <v>33</v>
      </c>
      <c r="F258" s="22" t="s">
        <v>33</v>
      </c>
      <c r="G258" s="22" t="s">
        <v>67</v>
      </c>
      <c r="H258" s="22" t="s">
        <v>403</v>
      </c>
      <c r="I258" s="49" t="s">
        <v>404</v>
      </c>
      <c r="J258" s="50" t="s">
        <v>405</v>
      </c>
      <c r="K258" s="22" t="s">
        <v>980</v>
      </c>
      <c r="L258" s="22" t="s">
        <v>60</v>
      </c>
      <c r="M258" s="22">
        <v>198</v>
      </c>
      <c r="N258" s="22" t="s">
        <v>19244</v>
      </c>
      <c r="O258" s="22"/>
      <c r="P258" s="46" t="s">
        <v>681</v>
      </c>
      <c r="Q258" s="40" t="s">
        <v>627</v>
      </c>
      <c r="R258" s="41">
        <v>46169</v>
      </c>
      <c r="S258" s="22">
        <f t="shared" si="18"/>
        <v>198</v>
      </c>
      <c r="T258" s="41">
        <v>46182</v>
      </c>
      <c r="U258" s="41" t="str">
        <f t="shared" si="22"/>
        <v/>
      </c>
      <c r="V258" s="44">
        <v>46177</v>
      </c>
      <c r="W258" s="44">
        <v>46182</v>
      </c>
      <c r="X258" s="46" t="s">
        <v>19265</v>
      </c>
      <c r="Y258" s="46">
        <v>198</v>
      </c>
      <c r="Z258" s="46" t="s">
        <v>19270</v>
      </c>
      <c r="AA258" s="41"/>
      <c r="AB258" s="22"/>
      <c r="AC258" s="22"/>
      <c r="AD258" s="41"/>
      <c r="AE258" s="22"/>
      <c r="AF258" s="22"/>
      <c r="AG258" s="48">
        <f t="shared" si="19"/>
        <v>0</v>
      </c>
      <c r="AH258" s="48">
        <f t="shared" si="20"/>
        <v>198</v>
      </c>
      <c r="AI258" s="48">
        <f t="shared" si="21"/>
        <v>198</v>
      </c>
      <c r="AJ258" s="142">
        <f t="shared" si="24"/>
        <v>46190</v>
      </c>
      <c r="AK258" s="40"/>
      <c r="AL258" s="40"/>
      <c r="AM258" s="22"/>
      <c r="AQ258" s="46"/>
    </row>
    <row r="259" spans="1:43" ht="17.399999999999999">
      <c r="A259" s="22" t="s">
        <v>19245</v>
      </c>
      <c r="B259" s="22" t="s">
        <v>19246</v>
      </c>
      <c r="C259" s="56" t="s">
        <v>19243</v>
      </c>
      <c r="D259" s="56" t="s">
        <v>33</v>
      </c>
      <c r="E259" s="22" t="s">
        <v>33</v>
      </c>
      <c r="F259" s="22" t="s">
        <v>33</v>
      </c>
      <c r="G259" s="22" t="s">
        <v>67</v>
      </c>
      <c r="H259" s="22" t="s">
        <v>1403</v>
      </c>
      <c r="I259" s="49" t="s">
        <v>404</v>
      </c>
      <c r="J259" s="50" t="s">
        <v>1404</v>
      </c>
      <c r="K259" s="22" t="s">
        <v>980</v>
      </c>
      <c r="L259" s="22" t="s">
        <v>60</v>
      </c>
      <c r="M259" s="22">
        <v>280</v>
      </c>
      <c r="N259" s="22" t="s">
        <v>19247</v>
      </c>
      <c r="O259" s="22"/>
      <c r="P259" s="46" t="s">
        <v>681</v>
      </c>
      <c r="Q259" s="40" t="s">
        <v>18886</v>
      </c>
      <c r="R259" s="41">
        <v>46169</v>
      </c>
      <c r="S259" s="22">
        <f t="shared" si="18"/>
        <v>280</v>
      </c>
      <c r="T259" s="41">
        <v>46182</v>
      </c>
      <c r="U259" s="41" t="str">
        <f t="shared" si="22"/>
        <v/>
      </c>
      <c r="V259" s="44">
        <v>46176</v>
      </c>
      <c r="W259" s="44">
        <v>46182</v>
      </c>
      <c r="X259" s="46" t="s">
        <v>19261</v>
      </c>
      <c r="Y259" s="46">
        <v>280</v>
      </c>
      <c r="Z259" s="46" t="s">
        <v>19270</v>
      </c>
      <c r="AA259" s="41"/>
      <c r="AB259" s="22"/>
      <c r="AC259" s="22"/>
      <c r="AD259" s="41"/>
      <c r="AE259" s="22"/>
      <c r="AF259" s="22"/>
      <c r="AG259" s="48">
        <f t="shared" ref="AG259:AG322" si="25">IF(A259="","",S259-Y259)</f>
        <v>0</v>
      </c>
      <c r="AH259" s="48">
        <f t="shared" ref="AH259:AH322" si="26">IF(A259="","",Y259-(AC259+AF259))</f>
        <v>280</v>
      </c>
      <c r="AI259" s="48">
        <f t="shared" ref="AI259:AI322" si="27">IF(A259="","",AG259+AH259)</f>
        <v>280</v>
      </c>
      <c r="AJ259" s="142">
        <f t="shared" si="24"/>
        <v>46190</v>
      </c>
      <c r="AK259" s="40"/>
      <c r="AL259" s="40"/>
      <c r="AM259" s="22"/>
      <c r="AQ259" s="46"/>
    </row>
    <row r="260" spans="1:43" ht="17.399999999999999">
      <c r="A260" s="22" t="s">
        <v>19248</v>
      </c>
      <c r="B260" s="22" t="s">
        <v>19254</v>
      </c>
      <c r="C260" s="56">
        <v>46155</v>
      </c>
      <c r="D260" s="56">
        <v>46038</v>
      </c>
      <c r="E260" s="22" t="s">
        <v>19249</v>
      </c>
      <c r="F260" s="22">
        <v>100</v>
      </c>
      <c r="G260" s="22" t="s">
        <v>33</v>
      </c>
      <c r="H260" s="22" t="s">
        <v>3014</v>
      </c>
      <c r="I260" s="49" t="s">
        <v>57</v>
      </c>
      <c r="J260" s="50" t="s">
        <v>3015</v>
      </c>
      <c r="K260" s="22" t="s">
        <v>18464</v>
      </c>
      <c r="L260" s="22" t="s">
        <v>60</v>
      </c>
      <c r="M260" s="22">
        <v>1</v>
      </c>
      <c r="N260" s="22" t="s">
        <v>19250</v>
      </c>
      <c r="O260" s="22"/>
      <c r="P260" s="46" t="s">
        <v>19054</v>
      </c>
      <c r="Q260" s="40" t="s">
        <v>627</v>
      </c>
      <c r="R260" s="41">
        <v>46170</v>
      </c>
      <c r="S260" s="22">
        <f t="shared" ref="S260:S322" si="28">IF(A260="","",M260+O260)</f>
        <v>1</v>
      </c>
      <c r="T260" s="41">
        <v>46184</v>
      </c>
      <c r="U260" s="41" t="str">
        <f t="shared" ref="U260:U323" si="29">IF(OR(P260="FEC-FS",P260="PALTEK",P260="SDSE(TOKE)"),"Upload in customer box","")</f>
        <v/>
      </c>
      <c r="V260" s="44">
        <v>46176</v>
      </c>
      <c r="W260" s="44">
        <v>46184</v>
      </c>
      <c r="X260" s="46" t="s">
        <v>19263</v>
      </c>
      <c r="Y260" s="46">
        <v>1</v>
      </c>
      <c r="Z260" s="204" t="s">
        <v>19273</v>
      </c>
      <c r="AA260" s="41"/>
      <c r="AB260" s="22"/>
      <c r="AC260" s="22"/>
      <c r="AD260" s="41"/>
      <c r="AE260" s="22"/>
      <c r="AF260" s="22"/>
      <c r="AG260" s="48">
        <f t="shared" si="25"/>
        <v>0</v>
      </c>
      <c r="AH260" s="48">
        <f t="shared" si="26"/>
        <v>1</v>
      </c>
      <c r="AI260" s="48">
        <f t="shared" si="27"/>
        <v>1</v>
      </c>
      <c r="AJ260" s="142">
        <f t="shared" si="24"/>
        <v>46191</v>
      </c>
      <c r="AK260" s="40"/>
      <c r="AL260" s="40"/>
      <c r="AM260" s="22"/>
      <c r="AQ260" s="46"/>
    </row>
    <row r="261" spans="1:43" ht="17.399999999999999">
      <c r="A261" s="22" t="s">
        <v>19251</v>
      </c>
      <c r="B261" s="22" t="s">
        <v>19252</v>
      </c>
      <c r="C261" s="56">
        <v>46105</v>
      </c>
      <c r="D261" s="56">
        <v>45645</v>
      </c>
      <c r="E261" s="22" t="s">
        <v>18518</v>
      </c>
      <c r="F261" s="22" t="s">
        <v>33</v>
      </c>
      <c r="G261" s="22" t="s">
        <v>33</v>
      </c>
      <c r="H261" s="22" t="s">
        <v>322</v>
      </c>
      <c r="I261" s="49" t="s">
        <v>323</v>
      </c>
      <c r="J261" s="50" t="s">
        <v>324</v>
      </c>
      <c r="K261" s="22" t="s">
        <v>493</v>
      </c>
      <c r="L261" s="22" t="s">
        <v>60</v>
      </c>
      <c r="M261" s="22">
        <v>2</v>
      </c>
      <c r="N261" s="22" t="s">
        <v>19253</v>
      </c>
      <c r="O261" s="22"/>
      <c r="P261" s="46" t="s">
        <v>685</v>
      </c>
      <c r="Q261" s="40" t="s">
        <v>627</v>
      </c>
      <c r="R261" s="41">
        <v>46170</v>
      </c>
      <c r="S261" s="22">
        <f t="shared" si="28"/>
        <v>2</v>
      </c>
      <c r="T261" s="41">
        <v>46182</v>
      </c>
      <c r="U261" s="41" t="str">
        <f t="shared" si="29"/>
        <v>Upload in customer box</v>
      </c>
      <c r="V261" s="44">
        <v>46176</v>
      </c>
      <c r="W261" s="44">
        <v>46182</v>
      </c>
      <c r="X261" s="46" t="s">
        <v>19262</v>
      </c>
      <c r="Y261" s="46">
        <v>2</v>
      </c>
      <c r="Z261" s="46" t="s">
        <v>19271</v>
      </c>
      <c r="AA261" s="41"/>
      <c r="AB261" s="22"/>
      <c r="AC261" s="22"/>
      <c r="AD261" s="41"/>
      <c r="AE261" s="22"/>
      <c r="AF261" s="22"/>
      <c r="AG261" s="48">
        <f t="shared" si="25"/>
        <v>0</v>
      </c>
      <c r="AH261" s="48">
        <f t="shared" si="26"/>
        <v>2</v>
      </c>
      <c r="AI261" s="48">
        <f t="shared" si="27"/>
        <v>2</v>
      </c>
      <c r="AJ261" s="142">
        <f t="shared" si="24"/>
        <v>46191</v>
      </c>
      <c r="AK261" s="40"/>
      <c r="AL261" s="40"/>
      <c r="AM261" s="22"/>
      <c r="AQ261" s="46"/>
    </row>
    <row r="262" spans="1:43" ht="17.399999999999999">
      <c r="A262" s="22" t="s">
        <v>19257</v>
      </c>
      <c r="B262" s="22" t="s">
        <v>19258</v>
      </c>
      <c r="C262" s="56">
        <v>46167</v>
      </c>
      <c r="D262" s="56">
        <v>46086</v>
      </c>
      <c r="E262" s="22" t="s">
        <v>19172</v>
      </c>
      <c r="F262" s="22">
        <v>800</v>
      </c>
      <c r="G262" s="22" t="s">
        <v>33</v>
      </c>
      <c r="H262" s="22" t="s">
        <v>2784</v>
      </c>
      <c r="I262" s="49" t="s">
        <v>2785</v>
      </c>
      <c r="J262" s="50" t="s">
        <v>2786</v>
      </c>
      <c r="K262" s="22" t="s">
        <v>18601</v>
      </c>
      <c r="L262" s="22" t="s">
        <v>60</v>
      </c>
      <c r="M262" s="22">
        <v>1</v>
      </c>
      <c r="N262" s="22" t="s">
        <v>19259</v>
      </c>
      <c r="O262" s="22"/>
      <c r="P262" s="46" t="s">
        <v>19054</v>
      </c>
      <c r="Q262" s="40" t="s">
        <v>627</v>
      </c>
      <c r="R262" s="41">
        <v>46175</v>
      </c>
      <c r="S262" s="22">
        <f t="shared" si="28"/>
        <v>1</v>
      </c>
      <c r="T262" s="41">
        <v>46184</v>
      </c>
      <c r="U262" s="41" t="str">
        <f t="shared" si="29"/>
        <v/>
      </c>
      <c r="V262" s="44">
        <v>46178</v>
      </c>
      <c r="W262" s="44">
        <v>46184</v>
      </c>
      <c r="X262" s="46" t="s">
        <v>19264</v>
      </c>
      <c r="Y262" s="46">
        <v>1</v>
      </c>
      <c r="Z262" s="46" t="s">
        <v>19272</v>
      </c>
      <c r="AA262" s="41"/>
      <c r="AB262" s="22"/>
      <c r="AC262" s="22"/>
      <c r="AD262" s="41"/>
      <c r="AE262" s="22"/>
      <c r="AF262" s="22"/>
      <c r="AG262" s="48">
        <f t="shared" si="25"/>
        <v>0</v>
      </c>
      <c r="AH262" s="48">
        <f t="shared" si="26"/>
        <v>1</v>
      </c>
      <c r="AI262" s="48">
        <f t="shared" si="27"/>
        <v>1</v>
      </c>
      <c r="AJ262" s="142">
        <f t="shared" si="24"/>
        <v>46196</v>
      </c>
      <c r="AK262" s="40"/>
      <c r="AL262" s="40"/>
      <c r="AM262" s="22"/>
      <c r="AQ262" s="46"/>
    </row>
    <row r="263" spans="1:43" ht="17.399999999999999">
      <c r="A263" s="22" t="s">
        <v>19266</v>
      </c>
      <c r="B263" s="22" t="s">
        <v>19246</v>
      </c>
      <c r="C263" s="56" t="s">
        <v>19267</v>
      </c>
      <c r="D263" s="56" t="s">
        <v>33</v>
      </c>
      <c r="E263" s="22" t="s">
        <v>33</v>
      </c>
      <c r="F263" s="22" t="s">
        <v>33</v>
      </c>
      <c r="G263" s="22" t="s">
        <v>67</v>
      </c>
      <c r="H263" s="22" t="s">
        <v>1403</v>
      </c>
      <c r="I263" s="49" t="s">
        <v>404</v>
      </c>
      <c r="J263" s="50" t="s">
        <v>1404</v>
      </c>
      <c r="K263" s="22" t="s">
        <v>980</v>
      </c>
      <c r="L263" s="22" t="s">
        <v>60</v>
      </c>
      <c r="M263" s="22">
        <v>268</v>
      </c>
      <c r="N263" s="22" t="s">
        <v>19268</v>
      </c>
      <c r="O263" s="22"/>
      <c r="P263" s="46" t="s">
        <v>681</v>
      </c>
      <c r="Q263" s="40" t="s">
        <v>18886</v>
      </c>
      <c r="R263" s="41">
        <v>46182</v>
      </c>
      <c r="S263" s="22">
        <f t="shared" si="28"/>
        <v>268</v>
      </c>
      <c r="T263" s="41">
        <v>46196</v>
      </c>
      <c r="U263" s="41" t="str">
        <f t="shared" si="29"/>
        <v/>
      </c>
      <c r="V263" s="44">
        <v>46192</v>
      </c>
      <c r="W263" s="44">
        <v>46196</v>
      </c>
      <c r="X263" s="46" t="s">
        <v>19274</v>
      </c>
      <c r="Y263" s="46">
        <v>268</v>
      </c>
      <c r="Z263" s="46" t="s">
        <v>19275</v>
      </c>
      <c r="AA263" s="41"/>
      <c r="AB263" s="22"/>
      <c r="AC263" s="22"/>
      <c r="AD263" s="41"/>
      <c r="AE263" s="22"/>
      <c r="AF263" s="22"/>
      <c r="AG263" s="48">
        <f t="shared" si="25"/>
        <v>0</v>
      </c>
      <c r="AH263" s="48">
        <f t="shared" si="26"/>
        <v>268</v>
      </c>
      <c r="AI263" s="48">
        <f t="shared" si="27"/>
        <v>268</v>
      </c>
      <c r="AJ263" s="142">
        <f t="shared" si="24"/>
        <v>46203</v>
      </c>
      <c r="AK263" s="40"/>
      <c r="AL263" s="40"/>
      <c r="AM263" s="22"/>
      <c r="AQ263" s="46"/>
    </row>
    <row r="264" spans="1:43" ht="17.399999999999999">
      <c r="A264" s="22" t="s">
        <v>19276</v>
      </c>
      <c r="B264" s="22" t="s">
        <v>19135</v>
      </c>
      <c r="C264" s="56">
        <v>46172</v>
      </c>
      <c r="D264" s="56">
        <v>46168</v>
      </c>
      <c r="E264" s="22" t="s">
        <v>19277</v>
      </c>
      <c r="F264" s="22" t="s">
        <v>33</v>
      </c>
      <c r="G264" s="22" t="s">
        <v>33</v>
      </c>
      <c r="H264" s="22" t="s">
        <v>5376</v>
      </c>
      <c r="I264" s="49" t="s">
        <v>5377</v>
      </c>
      <c r="J264" s="50" t="s">
        <v>5001</v>
      </c>
      <c r="K264" s="22" t="s">
        <v>19137</v>
      </c>
      <c r="L264" s="22" t="s">
        <v>60</v>
      </c>
      <c r="M264" s="22">
        <v>1</v>
      </c>
      <c r="N264" s="22" t="s">
        <v>19281</v>
      </c>
      <c r="O264" s="22"/>
      <c r="P264" s="46" t="s">
        <v>2655</v>
      </c>
      <c r="Q264" s="40" t="s">
        <v>627</v>
      </c>
      <c r="R264" s="41">
        <v>46197</v>
      </c>
      <c r="S264" s="22">
        <f t="shared" si="28"/>
        <v>1</v>
      </c>
      <c r="T264" s="41">
        <v>46198</v>
      </c>
      <c r="U264" s="41" t="str">
        <f t="shared" si="29"/>
        <v/>
      </c>
      <c r="V264" s="44">
        <v>46197</v>
      </c>
      <c r="W264" s="44">
        <v>46198</v>
      </c>
      <c r="X264" s="46" t="s">
        <v>19284</v>
      </c>
      <c r="Y264" s="46">
        <v>1</v>
      </c>
      <c r="Z264" s="46" t="s">
        <v>19287</v>
      </c>
      <c r="AA264" s="41"/>
      <c r="AB264" s="22"/>
      <c r="AC264" s="22"/>
      <c r="AD264" s="41"/>
      <c r="AE264" s="22"/>
      <c r="AF264" s="22"/>
      <c r="AG264" s="48">
        <f t="shared" si="25"/>
        <v>0</v>
      </c>
      <c r="AH264" s="48">
        <f t="shared" si="26"/>
        <v>1</v>
      </c>
      <c r="AI264" s="48">
        <f t="shared" si="27"/>
        <v>1</v>
      </c>
      <c r="AJ264" s="142">
        <f t="shared" si="24"/>
        <v>46218</v>
      </c>
      <c r="AK264" s="40">
        <v>46241</v>
      </c>
      <c r="AL264" s="40"/>
      <c r="AM264" s="22"/>
      <c r="AQ264" s="46"/>
    </row>
    <row r="265" spans="1:43" ht="17.399999999999999">
      <c r="A265" s="22" t="s">
        <v>19278</v>
      </c>
      <c r="B265" s="22" t="s">
        <v>19135</v>
      </c>
      <c r="C265" s="56">
        <v>46191</v>
      </c>
      <c r="D265" s="56">
        <v>46168</v>
      </c>
      <c r="E265" s="22" t="s">
        <v>19279</v>
      </c>
      <c r="F265" s="22" t="s">
        <v>33</v>
      </c>
      <c r="G265" s="22" t="s">
        <v>33</v>
      </c>
      <c r="H265" s="22" t="s">
        <v>5390</v>
      </c>
      <c r="I265" s="49" t="s">
        <v>5377</v>
      </c>
      <c r="J265" s="50" t="s">
        <v>5001</v>
      </c>
      <c r="K265" s="22" t="s">
        <v>19137</v>
      </c>
      <c r="L265" s="22" t="s">
        <v>60</v>
      </c>
      <c r="M265" s="22">
        <v>1</v>
      </c>
      <c r="N265" s="22" t="s">
        <v>19282</v>
      </c>
      <c r="O265" s="22"/>
      <c r="P265" s="46" t="s">
        <v>2655</v>
      </c>
      <c r="Q265" s="40" t="s">
        <v>627</v>
      </c>
      <c r="R265" s="41">
        <v>46197</v>
      </c>
      <c r="S265" s="22">
        <f t="shared" si="28"/>
        <v>1</v>
      </c>
      <c r="T265" s="41">
        <v>46198</v>
      </c>
      <c r="U265" s="41" t="str">
        <f t="shared" si="29"/>
        <v/>
      </c>
      <c r="V265" s="44">
        <v>46197</v>
      </c>
      <c r="W265" s="44">
        <v>46198</v>
      </c>
      <c r="X265" s="46" t="s">
        <v>19285</v>
      </c>
      <c r="Y265" s="46">
        <v>1</v>
      </c>
      <c r="Z265" s="46" t="s">
        <v>19287</v>
      </c>
      <c r="AA265" s="41"/>
      <c r="AB265" s="22"/>
      <c r="AC265" s="22"/>
      <c r="AD265" s="41"/>
      <c r="AE265" s="22"/>
      <c r="AF265" s="22"/>
      <c r="AG265" s="48">
        <f t="shared" si="25"/>
        <v>0</v>
      </c>
      <c r="AH265" s="48">
        <f t="shared" si="26"/>
        <v>1</v>
      </c>
      <c r="AI265" s="48">
        <f t="shared" si="27"/>
        <v>1</v>
      </c>
      <c r="AJ265" s="142">
        <f t="shared" si="24"/>
        <v>46218</v>
      </c>
      <c r="AK265" s="40">
        <v>46241</v>
      </c>
      <c r="AL265" s="40"/>
      <c r="AM265" s="22"/>
      <c r="AQ265" s="46"/>
    </row>
    <row r="266" spans="1:43" ht="27.6">
      <c r="A266" s="22" t="s">
        <v>19280</v>
      </c>
      <c r="B266" s="22" t="s">
        <v>19135</v>
      </c>
      <c r="C266" s="56">
        <v>46191</v>
      </c>
      <c r="D266" s="56">
        <v>46168</v>
      </c>
      <c r="E266" s="22" t="s">
        <v>19279</v>
      </c>
      <c r="F266" s="22" t="s">
        <v>33</v>
      </c>
      <c r="G266" s="22" t="s">
        <v>33</v>
      </c>
      <c r="H266" s="22" t="s">
        <v>5372</v>
      </c>
      <c r="I266" s="49" t="s">
        <v>3079</v>
      </c>
      <c r="J266" s="50" t="s">
        <v>2671</v>
      </c>
      <c r="K266" s="22" t="s">
        <v>19137</v>
      </c>
      <c r="L266" s="22" t="s">
        <v>60</v>
      </c>
      <c r="M266" s="22">
        <v>1</v>
      </c>
      <c r="N266" s="205" t="s">
        <v>19283</v>
      </c>
      <c r="O266" s="22"/>
      <c r="P266" s="46" t="s">
        <v>2655</v>
      </c>
      <c r="Q266" s="40" t="s">
        <v>627</v>
      </c>
      <c r="R266" s="41">
        <v>46197</v>
      </c>
      <c r="S266" s="22">
        <f t="shared" si="28"/>
        <v>1</v>
      </c>
      <c r="T266" s="41">
        <v>46198</v>
      </c>
      <c r="U266" s="41" t="str">
        <f t="shared" si="29"/>
        <v/>
      </c>
      <c r="V266" s="44">
        <v>46197</v>
      </c>
      <c r="W266" s="44">
        <v>46198</v>
      </c>
      <c r="X266" s="46" t="s">
        <v>19286</v>
      </c>
      <c r="Y266" s="46">
        <v>1</v>
      </c>
      <c r="Z266" s="46" t="s">
        <v>19288</v>
      </c>
      <c r="AA266" s="41"/>
      <c r="AB266" s="22"/>
      <c r="AC266" s="22"/>
      <c r="AD266" s="41"/>
      <c r="AE266" s="22"/>
      <c r="AF266" s="22"/>
      <c r="AG266" s="48">
        <f t="shared" si="25"/>
        <v>0</v>
      </c>
      <c r="AH266" s="48">
        <f t="shared" si="26"/>
        <v>1</v>
      </c>
      <c r="AI266" s="48">
        <f t="shared" si="27"/>
        <v>1</v>
      </c>
      <c r="AJ266" s="142">
        <f t="shared" si="24"/>
        <v>46218</v>
      </c>
      <c r="AK266" s="40">
        <v>46241</v>
      </c>
      <c r="AL266" s="40"/>
      <c r="AM266" s="22"/>
      <c r="AQ266" s="46"/>
    </row>
    <row r="267" spans="1:43" ht="17.399999999999999">
      <c r="A267" s="22" t="s">
        <v>19317</v>
      </c>
      <c r="B267" s="22" t="s">
        <v>19318</v>
      </c>
      <c r="C267" s="56" t="s">
        <v>19319</v>
      </c>
      <c r="D267" s="56" t="s">
        <v>19320</v>
      </c>
      <c r="E267" s="22" t="s">
        <v>19321</v>
      </c>
      <c r="F267" s="22" t="s">
        <v>33</v>
      </c>
      <c r="G267" s="22" t="s">
        <v>33</v>
      </c>
      <c r="H267" s="22" t="s">
        <v>205</v>
      </c>
      <c r="I267" s="49" t="s">
        <v>206</v>
      </c>
      <c r="J267" s="50" t="s">
        <v>207</v>
      </c>
      <c r="K267" s="22" t="s">
        <v>19318</v>
      </c>
      <c r="L267" s="22" t="s">
        <v>60</v>
      </c>
      <c r="M267" s="22">
        <v>504</v>
      </c>
      <c r="N267" s="22" t="s">
        <v>19322</v>
      </c>
      <c r="O267" s="22"/>
      <c r="P267" s="46" t="s">
        <v>685</v>
      </c>
      <c r="Q267" s="40" t="s">
        <v>728</v>
      </c>
      <c r="R267" s="41">
        <v>46204</v>
      </c>
      <c r="S267" s="22">
        <f t="shared" si="28"/>
        <v>504</v>
      </c>
      <c r="T267" s="41">
        <v>46210</v>
      </c>
      <c r="U267" s="41" t="str">
        <f t="shared" si="29"/>
        <v>Upload in customer box</v>
      </c>
      <c r="V267" s="208" t="s">
        <v>19514</v>
      </c>
      <c r="W267" s="208">
        <v>46210</v>
      </c>
      <c r="X267" s="208" t="s">
        <v>19514</v>
      </c>
      <c r="Y267" s="213">
        <v>504</v>
      </c>
      <c r="Z267" s="208" t="s">
        <v>19514</v>
      </c>
      <c r="AA267" s="41"/>
      <c r="AB267" s="22"/>
      <c r="AC267" s="22"/>
      <c r="AD267" s="41"/>
      <c r="AE267" s="22"/>
      <c r="AF267" s="22"/>
      <c r="AG267" s="48">
        <f t="shared" si="25"/>
        <v>0</v>
      </c>
      <c r="AH267" s="48">
        <f t="shared" si="26"/>
        <v>504</v>
      </c>
      <c r="AI267" s="48">
        <f t="shared" si="27"/>
        <v>504</v>
      </c>
      <c r="AJ267" s="142">
        <f t="shared" si="24"/>
        <v>46225</v>
      </c>
      <c r="AK267" s="40"/>
      <c r="AL267" s="40"/>
      <c r="AM267" s="22"/>
      <c r="AQ267" s="46"/>
    </row>
    <row r="268" spans="1:43" ht="17.399999999999999">
      <c r="A268" s="22" t="s">
        <v>19323</v>
      </c>
      <c r="B268" s="22" t="s">
        <v>19324</v>
      </c>
      <c r="C268" s="56">
        <v>46195</v>
      </c>
      <c r="D268" s="56">
        <v>46178</v>
      </c>
      <c r="E268" s="22" t="s">
        <v>19325</v>
      </c>
      <c r="F268" s="22" t="s">
        <v>33</v>
      </c>
      <c r="G268" s="22" t="s">
        <v>33</v>
      </c>
      <c r="H268" s="22" t="s">
        <v>554</v>
      </c>
      <c r="I268" s="49" t="s">
        <v>555</v>
      </c>
      <c r="J268" s="50" t="s">
        <v>556</v>
      </c>
      <c r="K268" s="22" t="s">
        <v>18971</v>
      </c>
      <c r="L268" s="22" t="s">
        <v>71</v>
      </c>
      <c r="M268" s="22">
        <v>13</v>
      </c>
      <c r="N268" s="22" t="s">
        <v>19326</v>
      </c>
      <c r="O268" s="22"/>
      <c r="P268" s="46" t="s">
        <v>682</v>
      </c>
      <c r="Q268" s="40" t="s">
        <v>627</v>
      </c>
      <c r="R268" s="41">
        <v>46205</v>
      </c>
      <c r="S268" s="22">
        <f t="shared" si="28"/>
        <v>13</v>
      </c>
      <c r="T268" s="41">
        <v>46206</v>
      </c>
      <c r="U268" s="41" t="str">
        <f t="shared" si="29"/>
        <v/>
      </c>
      <c r="V268" s="208" t="s">
        <v>571</v>
      </c>
      <c r="W268" s="44">
        <v>46206</v>
      </c>
      <c r="X268" s="208" t="s">
        <v>571</v>
      </c>
      <c r="Y268" s="213">
        <v>13</v>
      </c>
      <c r="Z268" s="208" t="s">
        <v>571</v>
      </c>
      <c r="AA268" s="41"/>
      <c r="AB268" s="22"/>
      <c r="AC268" s="22"/>
      <c r="AD268" s="41">
        <v>46253</v>
      </c>
      <c r="AE268" s="22" t="s">
        <v>19420</v>
      </c>
      <c r="AF268" s="22">
        <v>13</v>
      </c>
      <c r="AG268" s="48">
        <f t="shared" si="25"/>
        <v>0</v>
      </c>
      <c r="AH268" s="48">
        <f t="shared" si="26"/>
        <v>0</v>
      </c>
      <c r="AI268" s="48">
        <f t="shared" si="27"/>
        <v>0</v>
      </c>
      <c r="AJ268" s="142">
        <f t="shared" si="24"/>
        <v>46226</v>
      </c>
      <c r="AK268" s="40"/>
      <c r="AL268" s="40"/>
      <c r="AM268" s="22"/>
      <c r="AQ268" s="46"/>
    </row>
    <row r="269" spans="1:43" ht="17.399999999999999">
      <c r="A269" s="22" t="s">
        <v>19327</v>
      </c>
      <c r="B269" s="22" t="s">
        <v>19246</v>
      </c>
      <c r="C269" s="56" t="s">
        <v>19328</v>
      </c>
      <c r="D269" s="56" t="s">
        <v>33</v>
      </c>
      <c r="E269" s="22" t="s">
        <v>33</v>
      </c>
      <c r="F269" s="22" t="s">
        <v>33</v>
      </c>
      <c r="G269" s="22" t="s">
        <v>67</v>
      </c>
      <c r="H269" s="22" t="s">
        <v>1403</v>
      </c>
      <c r="I269" s="49" t="s">
        <v>404</v>
      </c>
      <c r="J269" s="50" t="s">
        <v>1404</v>
      </c>
      <c r="K269" s="22" t="s">
        <v>980</v>
      </c>
      <c r="L269" s="22" t="s">
        <v>60</v>
      </c>
      <c r="M269" s="22">
        <v>260</v>
      </c>
      <c r="N269" s="22" t="s">
        <v>19356</v>
      </c>
      <c r="O269" s="22"/>
      <c r="P269" s="46" t="s">
        <v>681</v>
      </c>
      <c r="Q269" s="40" t="s">
        <v>18886</v>
      </c>
      <c r="R269" s="41">
        <v>46205</v>
      </c>
      <c r="S269" s="22">
        <f t="shared" si="28"/>
        <v>260</v>
      </c>
      <c r="T269" s="41">
        <v>46226</v>
      </c>
      <c r="U269" s="41" t="str">
        <f t="shared" si="29"/>
        <v/>
      </c>
      <c r="V269" s="44">
        <v>46225</v>
      </c>
      <c r="W269" s="44">
        <v>46226</v>
      </c>
      <c r="X269" s="46" t="s">
        <v>19352</v>
      </c>
      <c r="Y269" s="46">
        <v>260</v>
      </c>
      <c r="Z269" s="46" t="s">
        <v>19357</v>
      </c>
      <c r="AA269" s="41"/>
      <c r="AB269" s="22"/>
      <c r="AC269" s="22"/>
      <c r="AD269" s="41"/>
      <c r="AE269" s="22"/>
      <c r="AF269" s="22"/>
      <c r="AG269" s="48">
        <f t="shared" si="25"/>
        <v>0</v>
      </c>
      <c r="AH269" s="48">
        <f t="shared" si="26"/>
        <v>260</v>
      </c>
      <c r="AI269" s="48">
        <f t="shared" si="27"/>
        <v>260</v>
      </c>
      <c r="AJ269" s="142">
        <f t="shared" si="24"/>
        <v>46226</v>
      </c>
      <c r="AK269" s="40"/>
      <c r="AL269" s="40"/>
      <c r="AM269" s="22"/>
      <c r="AQ269" s="46"/>
    </row>
    <row r="270" spans="1:43" s="163" customFormat="1" ht="17.399999999999999">
      <c r="A270" s="157" t="s">
        <v>19329</v>
      </c>
      <c r="B270" s="157" t="s">
        <v>19330</v>
      </c>
      <c r="C270" s="158" t="s">
        <v>19334</v>
      </c>
      <c r="D270" s="158" t="s">
        <v>19331</v>
      </c>
      <c r="E270" s="157" t="s">
        <v>19332</v>
      </c>
      <c r="F270" s="157" t="s">
        <v>33</v>
      </c>
      <c r="G270" s="157" t="s">
        <v>67</v>
      </c>
      <c r="H270" s="157" t="s">
        <v>5039</v>
      </c>
      <c r="I270" s="182" t="s">
        <v>5040</v>
      </c>
      <c r="J270" s="183" t="s">
        <v>5041</v>
      </c>
      <c r="K270" s="157" t="s">
        <v>215</v>
      </c>
      <c r="L270" s="157" t="s">
        <v>60</v>
      </c>
      <c r="M270" s="157">
        <v>3</v>
      </c>
      <c r="N270" s="157" t="s">
        <v>19333</v>
      </c>
      <c r="O270" s="157"/>
      <c r="P270" s="159" t="s">
        <v>685</v>
      </c>
      <c r="Q270" s="160" t="s">
        <v>627</v>
      </c>
      <c r="R270" s="161">
        <v>46212</v>
      </c>
      <c r="S270" s="157">
        <f t="shared" si="28"/>
        <v>3</v>
      </c>
      <c r="T270" s="161">
        <v>46224</v>
      </c>
      <c r="U270" s="41" t="str">
        <f t="shared" si="29"/>
        <v>Upload in customer box</v>
      </c>
      <c r="V270" s="164">
        <v>46221</v>
      </c>
      <c r="W270" s="164">
        <v>46224</v>
      </c>
      <c r="X270" s="46" t="s">
        <v>19337</v>
      </c>
      <c r="Y270" s="159">
        <v>3</v>
      </c>
      <c r="Z270" s="159" t="s">
        <v>19369</v>
      </c>
      <c r="AA270" s="161"/>
      <c r="AB270" s="157"/>
      <c r="AC270" s="157"/>
      <c r="AD270" s="161"/>
      <c r="AE270" s="157"/>
      <c r="AF270" s="157"/>
      <c r="AG270" s="162">
        <f t="shared" si="25"/>
        <v>0</v>
      </c>
      <c r="AH270" s="162">
        <f t="shared" si="26"/>
        <v>3</v>
      </c>
      <c r="AI270" s="162">
        <f t="shared" si="27"/>
        <v>3</v>
      </c>
      <c r="AJ270" s="193">
        <f t="shared" si="24"/>
        <v>46233</v>
      </c>
      <c r="AK270" s="160"/>
      <c r="AL270" s="160"/>
      <c r="AM270" s="157"/>
      <c r="AN270" s="157"/>
      <c r="AO270" s="157"/>
      <c r="AP270" s="157"/>
      <c r="AQ270" s="159"/>
    </row>
    <row r="271" spans="1:43" ht="17.399999999999999">
      <c r="A271" s="22" t="s">
        <v>19335</v>
      </c>
      <c r="B271" s="22" t="s">
        <v>19330</v>
      </c>
      <c r="C271" s="56">
        <v>46161</v>
      </c>
      <c r="D271" s="56">
        <v>46091</v>
      </c>
      <c r="E271" s="22" t="s">
        <v>19336</v>
      </c>
      <c r="F271" s="22" t="s">
        <v>33</v>
      </c>
      <c r="G271" s="22" t="s">
        <v>33</v>
      </c>
      <c r="H271" s="22" t="s">
        <v>5039</v>
      </c>
      <c r="I271" s="49" t="s">
        <v>5040</v>
      </c>
      <c r="J271" s="50" t="s">
        <v>5041</v>
      </c>
      <c r="K271" s="22" t="s">
        <v>215</v>
      </c>
      <c r="L271" s="22" t="s">
        <v>60</v>
      </c>
      <c r="M271" s="22">
        <v>1</v>
      </c>
      <c r="N271" s="22" t="s">
        <v>100</v>
      </c>
      <c r="O271" s="22"/>
      <c r="P271" s="46" t="s">
        <v>685</v>
      </c>
      <c r="Q271" s="40" t="s">
        <v>627</v>
      </c>
      <c r="R271" s="41">
        <v>46219</v>
      </c>
      <c r="S271" s="22">
        <f t="shared" si="28"/>
        <v>1</v>
      </c>
      <c r="T271" s="41">
        <v>46223</v>
      </c>
      <c r="U271" s="41" t="str">
        <f t="shared" si="29"/>
        <v>Upload in customer box</v>
      </c>
      <c r="V271" s="208" t="s">
        <v>19514</v>
      </c>
      <c r="W271" s="44">
        <v>46223</v>
      </c>
      <c r="X271" s="208" t="s">
        <v>19514</v>
      </c>
      <c r="Y271" s="46">
        <v>1</v>
      </c>
      <c r="Z271" s="208" t="s">
        <v>19514</v>
      </c>
      <c r="AA271" s="41"/>
      <c r="AB271" s="22"/>
      <c r="AC271" s="22"/>
      <c r="AD271" s="41"/>
      <c r="AE271" s="22"/>
      <c r="AF271" s="22"/>
      <c r="AG271" s="48">
        <f t="shared" si="25"/>
        <v>0</v>
      </c>
      <c r="AH271" s="48">
        <f t="shared" si="26"/>
        <v>1</v>
      </c>
      <c r="AI271" s="48">
        <f t="shared" si="27"/>
        <v>1</v>
      </c>
      <c r="AJ271" s="142">
        <f t="shared" si="24"/>
        <v>46240</v>
      </c>
      <c r="AK271" s="40"/>
      <c r="AL271" s="40"/>
      <c r="AM271" s="22"/>
      <c r="AQ271" s="46"/>
    </row>
    <row r="272" spans="1:43" s="163" customFormat="1" ht="17.399999999999999">
      <c r="A272" s="157" t="s">
        <v>19338</v>
      </c>
      <c r="B272" s="157" t="s">
        <v>19339</v>
      </c>
      <c r="C272" s="158" t="s">
        <v>19340</v>
      </c>
      <c r="D272" s="158">
        <v>46042</v>
      </c>
      <c r="E272" s="157" t="s">
        <v>19341</v>
      </c>
      <c r="F272" s="157" t="s">
        <v>33</v>
      </c>
      <c r="G272" s="157" t="s">
        <v>67</v>
      </c>
      <c r="H272" s="157" t="s">
        <v>2609</v>
      </c>
      <c r="I272" s="182" t="s">
        <v>818</v>
      </c>
      <c r="J272" s="183" t="s">
        <v>2610</v>
      </c>
      <c r="K272" s="157" t="s">
        <v>215</v>
      </c>
      <c r="L272" s="157" t="s">
        <v>60</v>
      </c>
      <c r="M272" s="157">
        <v>6</v>
      </c>
      <c r="N272" s="157" t="s">
        <v>19342</v>
      </c>
      <c r="O272" s="157"/>
      <c r="P272" s="159" t="s">
        <v>19488</v>
      </c>
      <c r="Q272" s="160" t="s">
        <v>627</v>
      </c>
      <c r="R272" s="161">
        <v>46223</v>
      </c>
      <c r="S272" s="157">
        <f t="shared" si="28"/>
        <v>6</v>
      </c>
      <c r="T272" s="161">
        <v>46233</v>
      </c>
      <c r="U272" s="41" t="str">
        <f t="shared" si="29"/>
        <v>Upload in customer box</v>
      </c>
      <c r="V272" s="164">
        <v>46227</v>
      </c>
      <c r="W272" s="164">
        <v>46233</v>
      </c>
      <c r="X272" s="159" t="s">
        <v>19366</v>
      </c>
      <c r="Y272" s="159">
        <v>6</v>
      </c>
      <c r="Z272" s="159" t="s">
        <v>19368</v>
      </c>
      <c r="AA272" s="161"/>
      <c r="AB272" s="157"/>
      <c r="AC272" s="157"/>
      <c r="AD272" s="161"/>
      <c r="AE272" s="157"/>
      <c r="AF272" s="157"/>
      <c r="AG272" s="162">
        <f t="shared" si="25"/>
        <v>0</v>
      </c>
      <c r="AH272" s="162">
        <f t="shared" si="26"/>
        <v>6</v>
      </c>
      <c r="AI272" s="162">
        <f t="shared" si="27"/>
        <v>6</v>
      </c>
      <c r="AJ272" s="193">
        <f t="shared" si="24"/>
        <v>46244</v>
      </c>
      <c r="AK272" s="160"/>
      <c r="AL272" s="160"/>
      <c r="AM272" s="157"/>
      <c r="AN272" s="157"/>
      <c r="AO272" s="157"/>
      <c r="AP272" s="157"/>
      <c r="AQ272" s="159"/>
    </row>
    <row r="273" spans="1:43" s="163" customFormat="1" ht="17.399999999999999">
      <c r="A273" s="157" t="s">
        <v>19343</v>
      </c>
      <c r="B273" s="157" t="s">
        <v>19344</v>
      </c>
      <c r="C273" s="158">
        <v>46186</v>
      </c>
      <c r="D273" s="158">
        <v>46161</v>
      </c>
      <c r="E273" s="157" t="s">
        <v>19345</v>
      </c>
      <c r="F273" s="157" t="s">
        <v>33</v>
      </c>
      <c r="G273" s="157" t="s">
        <v>67</v>
      </c>
      <c r="H273" s="157" t="s">
        <v>2499</v>
      </c>
      <c r="I273" s="182" t="s">
        <v>2500</v>
      </c>
      <c r="J273" s="183" t="s">
        <v>2500</v>
      </c>
      <c r="K273" s="157" t="s">
        <v>215</v>
      </c>
      <c r="L273" s="157" t="s">
        <v>60</v>
      </c>
      <c r="M273" s="157">
        <v>2</v>
      </c>
      <c r="N273" s="157" t="s">
        <v>19346</v>
      </c>
      <c r="O273" s="157"/>
      <c r="P273" s="159" t="s">
        <v>19488</v>
      </c>
      <c r="Q273" s="160" t="s">
        <v>627</v>
      </c>
      <c r="R273" s="161">
        <v>46223</v>
      </c>
      <c r="S273" s="157">
        <f t="shared" si="28"/>
        <v>2</v>
      </c>
      <c r="T273" s="161">
        <v>46233</v>
      </c>
      <c r="U273" s="41" t="str">
        <f t="shared" si="29"/>
        <v>Upload in customer box</v>
      </c>
      <c r="V273" s="164">
        <v>46227</v>
      </c>
      <c r="W273" s="164">
        <v>46233</v>
      </c>
      <c r="X273" s="159" t="s">
        <v>19366</v>
      </c>
      <c r="Y273" s="159">
        <v>2</v>
      </c>
      <c r="Z273" s="159" t="s">
        <v>19368</v>
      </c>
      <c r="AA273" s="161"/>
      <c r="AB273" s="157"/>
      <c r="AC273" s="157"/>
      <c r="AD273" s="161"/>
      <c r="AE273" s="157"/>
      <c r="AF273" s="157"/>
      <c r="AG273" s="162">
        <f t="shared" si="25"/>
        <v>0</v>
      </c>
      <c r="AH273" s="162">
        <f t="shared" si="26"/>
        <v>2</v>
      </c>
      <c r="AI273" s="162">
        <f t="shared" si="27"/>
        <v>2</v>
      </c>
      <c r="AJ273" s="160">
        <f t="shared" si="24"/>
        <v>46244</v>
      </c>
      <c r="AK273" s="160"/>
      <c r="AL273" s="160"/>
      <c r="AM273" s="157"/>
      <c r="AN273" s="157"/>
      <c r="AO273" s="157"/>
      <c r="AP273" s="157"/>
      <c r="AQ273" s="159"/>
    </row>
    <row r="274" spans="1:43" ht="17.399999999999999">
      <c r="A274" s="22" t="s">
        <v>19347</v>
      </c>
      <c r="B274" s="22" t="s">
        <v>19348</v>
      </c>
      <c r="C274" s="56">
        <v>46189</v>
      </c>
      <c r="D274" s="56">
        <v>45986</v>
      </c>
      <c r="E274" s="22" t="s">
        <v>19069</v>
      </c>
      <c r="F274" s="22" t="s">
        <v>33</v>
      </c>
      <c r="G274" s="22" t="s">
        <v>67</v>
      </c>
      <c r="H274" s="22" t="s">
        <v>205</v>
      </c>
      <c r="I274" s="49" t="s">
        <v>206</v>
      </c>
      <c r="J274" s="50" t="s">
        <v>207</v>
      </c>
      <c r="K274" s="22" t="s">
        <v>2748</v>
      </c>
      <c r="L274" s="22" t="s">
        <v>60</v>
      </c>
      <c r="M274" s="22">
        <v>7</v>
      </c>
      <c r="N274" s="22" t="s">
        <v>19349</v>
      </c>
      <c r="O274" s="22"/>
      <c r="P274" s="46" t="s">
        <v>19488</v>
      </c>
      <c r="Q274" s="40" t="s">
        <v>728</v>
      </c>
      <c r="R274" s="41">
        <v>46223</v>
      </c>
      <c r="S274" s="22">
        <f t="shared" si="28"/>
        <v>7</v>
      </c>
      <c r="T274" s="41">
        <v>46225</v>
      </c>
      <c r="U274" s="41" t="str">
        <f t="shared" si="29"/>
        <v>Upload in customer box</v>
      </c>
      <c r="V274" s="208" t="s">
        <v>19514</v>
      </c>
      <c r="W274" s="44">
        <v>46225</v>
      </c>
      <c r="X274" s="208" t="s">
        <v>19514</v>
      </c>
      <c r="Y274" s="46">
        <v>7</v>
      </c>
      <c r="Z274" s="208" t="s">
        <v>19514</v>
      </c>
      <c r="AA274" s="41"/>
      <c r="AB274" s="22"/>
      <c r="AC274" s="22"/>
      <c r="AD274" s="41"/>
      <c r="AE274" s="22"/>
      <c r="AF274" s="22"/>
      <c r="AG274" s="48">
        <f t="shared" si="25"/>
        <v>0</v>
      </c>
      <c r="AH274" s="48">
        <f t="shared" si="26"/>
        <v>7</v>
      </c>
      <c r="AI274" s="48">
        <f t="shared" si="27"/>
        <v>7</v>
      </c>
      <c r="AJ274" s="40">
        <f t="shared" si="24"/>
        <v>46244</v>
      </c>
      <c r="AK274" s="40"/>
      <c r="AL274" s="40"/>
      <c r="AM274" s="22"/>
      <c r="AQ274" s="46"/>
    </row>
    <row r="275" spans="1:43" s="163" customFormat="1" ht="17.399999999999999">
      <c r="A275" s="157" t="s">
        <v>19350</v>
      </c>
      <c r="B275" s="157" t="s">
        <v>19246</v>
      </c>
      <c r="C275" s="158" t="s">
        <v>19328</v>
      </c>
      <c r="D275" s="158" t="s">
        <v>33</v>
      </c>
      <c r="E275" s="157" t="s">
        <v>33</v>
      </c>
      <c r="F275" s="157" t="s">
        <v>33</v>
      </c>
      <c r="G275" s="157" t="s">
        <v>67</v>
      </c>
      <c r="H275" s="157" t="s">
        <v>1403</v>
      </c>
      <c r="I275" s="182" t="s">
        <v>404</v>
      </c>
      <c r="J275" s="183" t="s">
        <v>1404</v>
      </c>
      <c r="K275" s="157" t="s">
        <v>980</v>
      </c>
      <c r="L275" s="157" t="s">
        <v>60</v>
      </c>
      <c r="M275" s="157">
        <v>400</v>
      </c>
      <c r="N275" s="157" t="s">
        <v>19351</v>
      </c>
      <c r="O275" s="157"/>
      <c r="P275" s="159" t="s">
        <v>681</v>
      </c>
      <c r="Q275" s="160" t="s">
        <v>18886</v>
      </c>
      <c r="R275" s="161">
        <v>46223</v>
      </c>
      <c r="S275" s="157">
        <f t="shared" si="28"/>
        <v>400</v>
      </c>
      <c r="T275" s="161">
        <v>46266</v>
      </c>
      <c r="U275" s="41" t="str">
        <f t="shared" si="29"/>
        <v/>
      </c>
      <c r="V275" s="164">
        <v>46258</v>
      </c>
      <c r="W275" s="164">
        <v>46266</v>
      </c>
      <c r="X275" s="159" t="s">
        <v>19431</v>
      </c>
      <c r="Y275" s="159">
        <v>400</v>
      </c>
      <c r="Z275" s="159" t="s">
        <v>19443</v>
      </c>
      <c r="AA275" s="161"/>
      <c r="AB275" s="157"/>
      <c r="AC275" s="157"/>
      <c r="AD275" s="161"/>
      <c r="AE275" s="157"/>
      <c r="AF275" s="157"/>
      <c r="AG275" s="162">
        <f t="shared" si="25"/>
        <v>0</v>
      </c>
      <c r="AH275" s="162">
        <f t="shared" si="26"/>
        <v>400</v>
      </c>
      <c r="AI275" s="162">
        <f t="shared" si="27"/>
        <v>400</v>
      </c>
      <c r="AJ275" s="160">
        <f t="shared" si="24"/>
        <v>46244</v>
      </c>
      <c r="AK275" s="160">
        <v>46272</v>
      </c>
      <c r="AL275" s="160"/>
      <c r="AM275" s="157"/>
      <c r="AN275" s="157"/>
      <c r="AO275" s="157"/>
      <c r="AP275" s="157"/>
      <c r="AQ275" s="159"/>
    </row>
    <row r="276" spans="1:43" s="163" customFormat="1" ht="17.399999999999999">
      <c r="A276" s="157" t="s">
        <v>19353</v>
      </c>
      <c r="B276" s="157" t="s">
        <v>19324</v>
      </c>
      <c r="C276" s="158">
        <v>46218</v>
      </c>
      <c r="D276" s="158">
        <v>46183</v>
      </c>
      <c r="E276" s="157" t="s">
        <v>19354</v>
      </c>
      <c r="F276" s="157" t="s">
        <v>33</v>
      </c>
      <c r="G276" s="157" t="s">
        <v>33</v>
      </c>
      <c r="H276" s="157" t="s">
        <v>554</v>
      </c>
      <c r="I276" s="182" t="s">
        <v>555</v>
      </c>
      <c r="J276" s="183" t="s">
        <v>556</v>
      </c>
      <c r="K276" s="157" t="s">
        <v>18971</v>
      </c>
      <c r="L276" s="157" t="s">
        <v>71</v>
      </c>
      <c r="M276" s="157">
        <v>2</v>
      </c>
      <c r="N276" s="157" t="s">
        <v>19355</v>
      </c>
      <c r="O276" s="157"/>
      <c r="P276" s="159" t="s">
        <v>682</v>
      </c>
      <c r="Q276" s="160" t="s">
        <v>627</v>
      </c>
      <c r="R276" s="161">
        <v>46225</v>
      </c>
      <c r="S276" s="157">
        <f t="shared" si="28"/>
        <v>2</v>
      </c>
      <c r="T276" s="161">
        <v>46237</v>
      </c>
      <c r="U276" s="41" t="str">
        <f t="shared" si="29"/>
        <v/>
      </c>
      <c r="V276" s="164">
        <v>46233</v>
      </c>
      <c r="W276" s="164">
        <v>46237</v>
      </c>
      <c r="X276" s="159" t="s">
        <v>19367</v>
      </c>
      <c r="Y276" s="159">
        <v>2</v>
      </c>
      <c r="Z276" s="159" t="s">
        <v>19370</v>
      </c>
      <c r="AA276" s="161"/>
      <c r="AB276" s="157"/>
      <c r="AC276" s="157"/>
      <c r="AD276" s="41">
        <v>46253</v>
      </c>
      <c r="AE276" s="22" t="s">
        <v>19420</v>
      </c>
      <c r="AF276" s="157">
        <v>2</v>
      </c>
      <c r="AG276" s="162">
        <f t="shared" si="25"/>
        <v>0</v>
      </c>
      <c r="AH276" s="162">
        <f t="shared" si="26"/>
        <v>0</v>
      </c>
      <c r="AI276" s="162">
        <f t="shared" si="27"/>
        <v>0</v>
      </c>
      <c r="AJ276" s="160">
        <f t="shared" si="24"/>
        <v>46246</v>
      </c>
      <c r="AK276" s="160"/>
      <c r="AL276" s="160"/>
      <c r="AM276" s="157"/>
      <c r="AN276" s="157"/>
      <c r="AO276" s="157"/>
      <c r="AP276" s="157"/>
      <c r="AQ276" s="159"/>
    </row>
    <row r="277" spans="1:43" ht="17.399999999999999">
      <c r="A277" s="22" t="s">
        <v>19358</v>
      </c>
      <c r="B277" s="22" t="s">
        <v>346</v>
      </c>
      <c r="C277" s="56" t="s">
        <v>19359</v>
      </c>
      <c r="D277" s="56" t="s">
        <v>33</v>
      </c>
      <c r="E277" s="22" t="s">
        <v>19360</v>
      </c>
      <c r="F277" s="22" t="s">
        <v>33</v>
      </c>
      <c r="G277" s="22" t="s">
        <v>33</v>
      </c>
      <c r="H277" s="22" t="s">
        <v>366</v>
      </c>
      <c r="I277" s="49" t="s">
        <v>362</v>
      </c>
      <c r="J277" s="50" t="s">
        <v>367</v>
      </c>
      <c r="K277" s="22" t="s">
        <v>346</v>
      </c>
      <c r="L277" s="22" t="s">
        <v>60</v>
      </c>
      <c r="M277" s="22">
        <v>22</v>
      </c>
      <c r="N277" s="22" t="s">
        <v>19361</v>
      </c>
      <c r="O277" s="22"/>
      <c r="P277" s="46" t="s">
        <v>18088</v>
      </c>
      <c r="Q277" s="40" t="s">
        <v>627</v>
      </c>
      <c r="R277" s="41">
        <v>46227</v>
      </c>
      <c r="S277" s="22">
        <f t="shared" si="28"/>
        <v>22</v>
      </c>
      <c r="T277" s="41">
        <v>46259</v>
      </c>
      <c r="U277" s="41" t="str">
        <f t="shared" si="29"/>
        <v/>
      </c>
      <c r="V277" s="44">
        <v>46254</v>
      </c>
      <c r="W277" s="44">
        <v>46259</v>
      </c>
      <c r="X277" s="46" t="s">
        <v>19422</v>
      </c>
      <c r="Y277" s="46">
        <v>22</v>
      </c>
      <c r="Z277" s="46" t="s">
        <v>19427</v>
      </c>
      <c r="AA277" s="41"/>
      <c r="AB277" s="22"/>
      <c r="AC277" s="22"/>
      <c r="AD277" s="41"/>
      <c r="AE277" s="22"/>
      <c r="AF277" s="22"/>
      <c r="AG277" s="48">
        <f t="shared" si="25"/>
        <v>0</v>
      </c>
      <c r="AH277" s="48">
        <f t="shared" si="26"/>
        <v>22</v>
      </c>
      <c r="AI277" s="48">
        <f t="shared" si="27"/>
        <v>22</v>
      </c>
      <c r="AJ277" s="40">
        <f t="shared" si="24"/>
        <v>46248</v>
      </c>
      <c r="AK277" s="40"/>
      <c r="AL277" s="40"/>
      <c r="AM277" s="22"/>
      <c r="AQ277" s="46"/>
    </row>
    <row r="278" spans="1:43" ht="17.399999999999999">
      <c r="A278" s="22" t="s">
        <v>19362</v>
      </c>
      <c r="B278" s="22" t="s">
        <v>346</v>
      </c>
      <c r="C278" s="56" t="s">
        <v>19363</v>
      </c>
      <c r="D278" s="56" t="s">
        <v>33</v>
      </c>
      <c r="E278" s="22" t="s">
        <v>19364</v>
      </c>
      <c r="F278" s="22" t="s">
        <v>33</v>
      </c>
      <c r="G278" s="22" t="s">
        <v>33</v>
      </c>
      <c r="H278" s="22" t="s">
        <v>8542</v>
      </c>
      <c r="I278" s="49" t="s">
        <v>362</v>
      </c>
      <c r="J278" s="50" t="s">
        <v>8543</v>
      </c>
      <c r="K278" s="22" t="s">
        <v>346</v>
      </c>
      <c r="L278" s="22" t="s">
        <v>60</v>
      </c>
      <c r="M278" s="22">
        <v>26</v>
      </c>
      <c r="N278" s="22" t="s">
        <v>19365</v>
      </c>
      <c r="O278" s="22"/>
      <c r="P278" s="46" t="s">
        <v>18088</v>
      </c>
      <c r="Q278" s="40" t="s">
        <v>627</v>
      </c>
      <c r="R278" s="41">
        <v>46227</v>
      </c>
      <c r="S278" s="22">
        <f t="shared" si="28"/>
        <v>26</v>
      </c>
      <c r="T278" s="41">
        <v>46259</v>
      </c>
      <c r="U278" s="41" t="str">
        <f t="shared" si="29"/>
        <v/>
      </c>
      <c r="V278" s="44">
        <v>46254</v>
      </c>
      <c r="W278" s="44">
        <v>46259</v>
      </c>
      <c r="X278" s="46" t="s">
        <v>19422</v>
      </c>
      <c r="Y278" s="46">
        <v>26</v>
      </c>
      <c r="Z278" s="46" t="s">
        <v>19428</v>
      </c>
      <c r="AA278" s="41"/>
      <c r="AB278" s="22"/>
      <c r="AC278" s="22"/>
      <c r="AD278" s="41"/>
      <c r="AE278" s="22"/>
      <c r="AF278" s="22"/>
      <c r="AG278" s="48">
        <f t="shared" si="25"/>
        <v>0</v>
      </c>
      <c r="AH278" s="48">
        <f t="shared" si="26"/>
        <v>26</v>
      </c>
      <c r="AI278" s="48">
        <f t="shared" si="27"/>
        <v>26</v>
      </c>
      <c r="AJ278" s="40">
        <f t="shared" si="24"/>
        <v>46248</v>
      </c>
      <c r="AK278" s="40"/>
      <c r="AL278" s="40"/>
      <c r="AM278" s="22"/>
      <c r="AQ278" s="46"/>
    </row>
    <row r="279" spans="1:43" ht="18">
      <c r="A279" s="22" t="s">
        <v>19372</v>
      </c>
      <c r="B279" s="22" t="s">
        <v>19373</v>
      </c>
      <c r="C279" s="56">
        <v>46234</v>
      </c>
      <c r="D279" s="56">
        <v>46210</v>
      </c>
      <c r="E279" s="22" t="s">
        <v>19374</v>
      </c>
      <c r="F279" s="22" t="s">
        <v>33</v>
      </c>
      <c r="G279" s="22" t="s">
        <v>33</v>
      </c>
      <c r="H279" s="22" t="s">
        <v>19375</v>
      </c>
      <c r="I279" s="49" t="s">
        <v>5099</v>
      </c>
      <c r="J279" s="50" t="s">
        <v>19376</v>
      </c>
      <c r="K279" s="22" t="s">
        <v>19004</v>
      </c>
      <c r="L279" s="22" t="s">
        <v>60</v>
      </c>
      <c r="M279" s="22">
        <v>5</v>
      </c>
      <c r="N279" s="22" t="s">
        <v>19377</v>
      </c>
      <c r="O279" s="22"/>
      <c r="P279" s="46" t="s">
        <v>2655</v>
      </c>
      <c r="Q279" s="40" t="s">
        <v>627</v>
      </c>
      <c r="R279" s="41">
        <v>46239</v>
      </c>
      <c r="S279" s="22">
        <f t="shared" si="28"/>
        <v>5</v>
      </c>
      <c r="T279" s="41">
        <v>46259</v>
      </c>
      <c r="U279" s="41" t="str">
        <f t="shared" si="29"/>
        <v/>
      </c>
      <c r="V279" s="44">
        <v>46254</v>
      </c>
      <c r="W279" s="44">
        <v>46259</v>
      </c>
      <c r="X279" s="46" t="s">
        <v>19421</v>
      </c>
      <c r="Y279" s="46">
        <v>5</v>
      </c>
      <c r="Z279" s="46" t="s">
        <v>19429</v>
      </c>
      <c r="AA279" s="41">
        <v>46239</v>
      </c>
      <c r="AB279" s="22" t="s">
        <v>19392</v>
      </c>
      <c r="AC279" s="22">
        <v>5</v>
      </c>
      <c r="AD279" s="41"/>
      <c r="AE279" s="22"/>
      <c r="AF279" s="22"/>
      <c r="AG279" s="48">
        <f t="shared" si="25"/>
        <v>0</v>
      </c>
      <c r="AH279" s="48">
        <f t="shared" si="26"/>
        <v>0</v>
      </c>
      <c r="AI279" s="48">
        <f t="shared" si="27"/>
        <v>0</v>
      </c>
      <c r="AJ279" s="40">
        <f t="shared" si="24"/>
        <v>46260</v>
      </c>
      <c r="AK279" s="40"/>
      <c r="AL279" s="40"/>
      <c r="AM279" s="22"/>
      <c r="AQ279" s="46"/>
    </row>
    <row r="280" spans="1:43" ht="17.399999999999999">
      <c r="A280" s="22" t="s">
        <v>19378</v>
      </c>
      <c r="B280" s="22" t="s">
        <v>19379</v>
      </c>
      <c r="C280" s="56">
        <v>46224</v>
      </c>
      <c r="D280" s="56">
        <v>46224</v>
      </c>
      <c r="E280" s="22" t="s">
        <v>19380</v>
      </c>
      <c r="F280" s="22">
        <v>3</v>
      </c>
      <c r="G280" s="22" t="s">
        <v>19381</v>
      </c>
      <c r="H280" s="22" t="s">
        <v>9998</v>
      </c>
      <c r="I280" s="49" t="s">
        <v>9980</v>
      </c>
      <c r="J280" s="50" t="s">
        <v>9999</v>
      </c>
      <c r="K280" s="22" t="s">
        <v>19137</v>
      </c>
      <c r="L280" s="22" t="s">
        <v>60</v>
      </c>
      <c r="M280" s="22">
        <v>3</v>
      </c>
      <c r="N280" s="22" t="s">
        <v>19382</v>
      </c>
      <c r="O280" s="22"/>
      <c r="P280" s="46" t="s">
        <v>2655</v>
      </c>
      <c r="Q280" s="40" t="s">
        <v>627</v>
      </c>
      <c r="R280" s="41">
        <v>46239</v>
      </c>
      <c r="S280" s="22">
        <f t="shared" si="28"/>
        <v>3</v>
      </c>
      <c r="T280" s="41">
        <v>46259</v>
      </c>
      <c r="U280" s="41" t="str">
        <f t="shared" si="29"/>
        <v/>
      </c>
      <c r="V280" s="44">
        <v>46254</v>
      </c>
      <c r="W280" s="44">
        <v>46259</v>
      </c>
      <c r="X280" s="46" t="s">
        <v>19421</v>
      </c>
      <c r="Y280" s="46">
        <v>3</v>
      </c>
      <c r="Z280" s="46" t="s">
        <v>19429</v>
      </c>
      <c r="AA280" s="41">
        <v>46239</v>
      </c>
      <c r="AB280" s="22" t="s">
        <v>19393</v>
      </c>
      <c r="AC280" s="22">
        <v>3</v>
      </c>
      <c r="AD280" s="41"/>
      <c r="AE280" s="22"/>
      <c r="AF280" s="22"/>
      <c r="AG280" s="48">
        <f t="shared" si="25"/>
        <v>0</v>
      </c>
      <c r="AH280" s="48">
        <f t="shared" si="26"/>
        <v>0</v>
      </c>
      <c r="AI280" s="48">
        <f t="shared" si="27"/>
        <v>0</v>
      </c>
      <c r="AJ280" s="40">
        <f t="shared" si="24"/>
        <v>46260</v>
      </c>
      <c r="AK280" s="40"/>
      <c r="AL280" s="40"/>
      <c r="AM280" s="22"/>
      <c r="AQ280" s="46"/>
    </row>
    <row r="281" spans="1:43" ht="17.399999999999999">
      <c r="A281" s="22" t="s">
        <v>19383</v>
      </c>
      <c r="B281" s="22" t="s">
        <v>19384</v>
      </c>
      <c r="C281" s="56">
        <v>46216</v>
      </c>
      <c r="D281" s="56">
        <v>46212</v>
      </c>
      <c r="E281" s="22" t="s">
        <v>19385</v>
      </c>
      <c r="F281" s="22">
        <v>2</v>
      </c>
      <c r="G281" s="22" t="s">
        <v>33</v>
      </c>
      <c r="H281" s="22" t="s">
        <v>9577</v>
      </c>
      <c r="I281" s="49" t="s">
        <v>174</v>
      </c>
      <c r="J281" s="50" t="s">
        <v>19386</v>
      </c>
      <c r="K281" s="22" t="s">
        <v>19004</v>
      </c>
      <c r="L281" s="22" t="s">
        <v>60</v>
      </c>
      <c r="M281" s="22">
        <v>1</v>
      </c>
      <c r="N281" s="22" t="s">
        <v>19387</v>
      </c>
      <c r="O281" s="22"/>
      <c r="P281" s="46" t="s">
        <v>2655</v>
      </c>
      <c r="Q281" s="40" t="s">
        <v>627</v>
      </c>
      <c r="R281" s="41">
        <v>46239</v>
      </c>
      <c r="S281" s="22">
        <f t="shared" si="28"/>
        <v>1</v>
      </c>
      <c r="T281" s="41">
        <v>46259</v>
      </c>
      <c r="U281" s="41" t="str">
        <f t="shared" si="29"/>
        <v/>
      </c>
      <c r="V281" s="44">
        <v>46254</v>
      </c>
      <c r="W281" s="44">
        <v>46259</v>
      </c>
      <c r="X281" s="46" t="s">
        <v>19421</v>
      </c>
      <c r="Y281" s="46">
        <v>1</v>
      </c>
      <c r="Z281" s="46" t="s">
        <v>19429</v>
      </c>
      <c r="AA281" s="41"/>
      <c r="AB281" s="22"/>
      <c r="AC281" s="22"/>
      <c r="AD281" s="41"/>
      <c r="AE281" s="22"/>
      <c r="AF281" s="22"/>
      <c r="AG281" s="48">
        <f t="shared" si="25"/>
        <v>0</v>
      </c>
      <c r="AH281" s="48">
        <f t="shared" si="26"/>
        <v>1</v>
      </c>
      <c r="AI281" s="48">
        <f t="shared" si="27"/>
        <v>1</v>
      </c>
      <c r="AJ281" s="40">
        <f t="shared" si="24"/>
        <v>46260</v>
      </c>
      <c r="AK281" s="40"/>
      <c r="AL281" s="40"/>
      <c r="AM281" s="22"/>
      <c r="AQ281" s="46"/>
    </row>
    <row r="282" spans="1:43" ht="27.6">
      <c r="A282" s="22" t="s">
        <v>19388</v>
      </c>
      <c r="B282" s="22" t="s">
        <v>19389</v>
      </c>
      <c r="C282" s="56">
        <v>46195</v>
      </c>
      <c r="D282" s="56">
        <v>46154</v>
      </c>
      <c r="E282" s="22" t="s">
        <v>19390</v>
      </c>
      <c r="F282" s="22">
        <v>2</v>
      </c>
      <c r="G282" s="22" t="s">
        <v>33</v>
      </c>
      <c r="H282" s="22" t="s">
        <v>9551</v>
      </c>
      <c r="I282" s="49" t="s">
        <v>9523</v>
      </c>
      <c r="J282" s="50" t="s">
        <v>9552</v>
      </c>
      <c r="K282" s="22" t="s">
        <v>19004</v>
      </c>
      <c r="L282" s="22" t="s">
        <v>60</v>
      </c>
      <c r="M282" s="22">
        <v>2</v>
      </c>
      <c r="N282" s="205" t="s">
        <v>19391</v>
      </c>
      <c r="O282" s="22"/>
      <c r="P282" s="46" t="s">
        <v>2655</v>
      </c>
      <c r="Q282" s="40" t="s">
        <v>627</v>
      </c>
      <c r="R282" s="41">
        <v>46239</v>
      </c>
      <c r="S282" s="22">
        <f t="shared" si="28"/>
        <v>2</v>
      </c>
      <c r="T282" s="41">
        <v>46259</v>
      </c>
      <c r="U282" s="41" t="str">
        <f t="shared" si="29"/>
        <v/>
      </c>
      <c r="V282" s="44">
        <v>46254</v>
      </c>
      <c r="W282" s="44">
        <v>46259</v>
      </c>
      <c r="X282" s="46" t="s">
        <v>19421</v>
      </c>
      <c r="Y282" s="46">
        <v>2</v>
      </c>
      <c r="Z282" s="46" t="s">
        <v>19430</v>
      </c>
      <c r="AA282" s="41"/>
      <c r="AB282" s="22"/>
      <c r="AC282" s="22"/>
      <c r="AD282" s="41"/>
      <c r="AE282" s="22"/>
      <c r="AF282" s="22"/>
      <c r="AG282" s="48">
        <f t="shared" si="25"/>
        <v>0</v>
      </c>
      <c r="AH282" s="48">
        <f t="shared" si="26"/>
        <v>2</v>
      </c>
      <c r="AI282" s="48">
        <f t="shared" si="27"/>
        <v>2</v>
      </c>
      <c r="AJ282" s="40">
        <f t="shared" si="24"/>
        <v>46260</v>
      </c>
      <c r="AK282" s="40"/>
      <c r="AL282" s="40"/>
      <c r="AM282" s="22"/>
      <c r="AQ282" s="46"/>
    </row>
    <row r="283" spans="1:43" ht="17.399999999999999">
      <c r="A283" s="22" t="s">
        <v>19394</v>
      </c>
      <c r="B283" s="22" t="s">
        <v>19395</v>
      </c>
      <c r="C283" s="56">
        <v>46219</v>
      </c>
      <c r="D283" s="56">
        <v>46168</v>
      </c>
      <c r="E283" s="22" t="s">
        <v>19396</v>
      </c>
      <c r="F283" s="22">
        <v>3</v>
      </c>
      <c r="G283" s="22" t="s">
        <v>33</v>
      </c>
      <c r="H283" s="22" t="s">
        <v>5362</v>
      </c>
      <c r="I283" s="49" t="s">
        <v>174</v>
      </c>
      <c r="J283" s="50" t="s">
        <v>5363</v>
      </c>
      <c r="K283" s="22" t="s">
        <v>19137</v>
      </c>
      <c r="L283" s="22" t="s">
        <v>60</v>
      </c>
      <c r="M283" s="22">
        <v>1</v>
      </c>
      <c r="N283" s="22" t="s">
        <v>19397</v>
      </c>
      <c r="O283" s="22"/>
      <c r="P283" s="46" t="s">
        <v>2655</v>
      </c>
      <c r="Q283" s="40" t="s">
        <v>627</v>
      </c>
      <c r="R283" s="41">
        <v>46239</v>
      </c>
      <c r="S283" s="22">
        <f t="shared" si="28"/>
        <v>1</v>
      </c>
      <c r="T283" s="41">
        <v>46259</v>
      </c>
      <c r="U283" s="41" t="str">
        <f t="shared" si="29"/>
        <v/>
      </c>
      <c r="V283" s="44">
        <v>46254</v>
      </c>
      <c r="W283" s="44">
        <v>46259</v>
      </c>
      <c r="X283" s="46" t="s">
        <v>19421</v>
      </c>
      <c r="Y283" s="46">
        <v>1</v>
      </c>
      <c r="Z283" s="46" t="s">
        <v>19430</v>
      </c>
      <c r="AA283" s="41"/>
      <c r="AB283" s="22"/>
      <c r="AC283" s="22"/>
      <c r="AD283" s="41"/>
      <c r="AE283" s="22"/>
      <c r="AF283" s="22"/>
      <c r="AG283" s="48">
        <f t="shared" si="25"/>
        <v>0</v>
      </c>
      <c r="AH283" s="48">
        <f t="shared" si="26"/>
        <v>1</v>
      </c>
      <c r="AI283" s="48">
        <f t="shared" si="27"/>
        <v>1</v>
      </c>
      <c r="AJ283" s="40">
        <f t="shared" si="24"/>
        <v>46260</v>
      </c>
      <c r="AK283" s="40"/>
      <c r="AL283" s="40"/>
      <c r="AM283" s="22"/>
      <c r="AQ283" s="46"/>
    </row>
    <row r="284" spans="1:43" ht="17.399999999999999">
      <c r="A284" s="22" t="s">
        <v>19398</v>
      </c>
      <c r="B284" s="22" t="s">
        <v>19395</v>
      </c>
      <c r="C284" s="56">
        <v>46219</v>
      </c>
      <c r="D284" s="56">
        <v>46168</v>
      </c>
      <c r="E284" s="22" t="s">
        <v>19396</v>
      </c>
      <c r="F284" s="22">
        <v>3</v>
      </c>
      <c r="G284" s="22" t="s">
        <v>33</v>
      </c>
      <c r="H284" s="22" t="s">
        <v>5366</v>
      </c>
      <c r="I284" s="49" t="s">
        <v>174</v>
      </c>
      <c r="J284" s="50" t="s">
        <v>5367</v>
      </c>
      <c r="K284" s="22" t="s">
        <v>19137</v>
      </c>
      <c r="L284" s="22" t="s">
        <v>60</v>
      </c>
      <c r="M284" s="22">
        <v>1</v>
      </c>
      <c r="N284" s="22" t="s">
        <v>19397</v>
      </c>
      <c r="O284" s="22"/>
      <c r="P284" s="46" t="s">
        <v>2655</v>
      </c>
      <c r="Q284" s="40" t="s">
        <v>627</v>
      </c>
      <c r="R284" s="41">
        <v>46239</v>
      </c>
      <c r="S284" s="22">
        <f t="shared" si="28"/>
        <v>1</v>
      </c>
      <c r="T284" s="41">
        <v>46259</v>
      </c>
      <c r="U284" s="41" t="str">
        <f t="shared" si="29"/>
        <v/>
      </c>
      <c r="V284" s="44">
        <v>46254</v>
      </c>
      <c r="W284" s="44">
        <v>46259</v>
      </c>
      <c r="X284" s="46" t="s">
        <v>19421</v>
      </c>
      <c r="Y284" s="46">
        <v>1</v>
      </c>
      <c r="Z284" s="46" t="s">
        <v>19430</v>
      </c>
      <c r="AA284" s="41"/>
      <c r="AB284" s="22"/>
      <c r="AC284" s="22"/>
      <c r="AD284" s="41"/>
      <c r="AE284" s="22"/>
      <c r="AF284" s="22"/>
      <c r="AG284" s="48">
        <f t="shared" si="25"/>
        <v>0</v>
      </c>
      <c r="AH284" s="48">
        <f t="shared" si="26"/>
        <v>1</v>
      </c>
      <c r="AI284" s="48">
        <f t="shared" si="27"/>
        <v>1</v>
      </c>
      <c r="AJ284" s="40">
        <f t="shared" si="24"/>
        <v>46260</v>
      </c>
      <c r="AK284" s="40"/>
      <c r="AL284" s="40"/>
      <c r="AM284" s="22"/>
      <c r="AQ284" s="46"/>
    </row>
    <row r="285" spans="1:43" s="163" customFormat="1" ht="17.399999999999999">
      <c r="A285" s="157" t="s">
        <v>19399</v>
      </c>
      <c r="B285" s="157" t="s">
        <v>19400</v>
      </c>
      <c r="C285" s="158">
        <v>46211</v>
      </c>
      <c r="D285" s="158">
        <v>45847</v>
      </c>
      <c r="E285" s="157" t="s">
        <v>19401</v>
      </c>
      <c r="F285" s="157" t="s">
        <v>33</v>
      </c>
      <c r="G285" s="157" t="s">
        <v>33</v>
      </c>
      <c r="H285" s="157" t="s">
        <v>8350</v>
      </c>
      <c r="I285" s="182" t="s">
        <v>1669</v>
      </c>
      <c r="J285" s="183" t="s">
        <v>8349</v>
      </c>
      <c r="K285" s="157" t="s">
        <v>215</v>
      </c>
      <c r="L285" s="157" t="s">
        <v>60</v>
      </c>
      <c r="M285" s="157">
        <v>1</v>
      </c>
      <c r="N285" s="157" t="s">
        <v>19402</v>
      </c>
      <c r="O285" s="157"/>
      <c r="P285" s="159" t="s">
        <v>19436</v>
      </c>
      <c r="Q285" s="160" t="s">
        <v>627</v>
      </c>
      <c r="R285" s="161">
        <v>46240</v>
      </c>
      <c r="S285" s="157">
        <v>1</v>
      </c>
      <c r="T285" s="161">
        <v>46261</v>
      </c>
      <c r="U285" s="161" t="str">
        <f t="shared" si="29"/>
        <v/>
      </c>
      <c r="V285" s="208" t="s">
        <v>19514</v>
      </c>
      <c r="W285" s="227">
        <v>46287</v>
      </c>
      <c r="X285" s="227" t="s">
        <v>571</v>
      </c>
      <c r="Y285" s="228">
        <v>1</v>
      </c>
      <c r="Z285" s="227" t="s">
        <v>19513</v>
      </c>
      <c r="AA285" s="161"/>
      <c r="AB285" s="157"/>
      <c r="AC285" s="157"/>
      <c r="AD285" s="161"/>
      <c r="AE285" s="157"/>
      <c r="AF285" s="157"/>
      <c r="AG285" s="162">
        <f t="shared" si="25"/>
        <v>0</v>
      </c>
      <c r="AH285" s="162">
        <f t="shared" si="26"/>
        <v>1</v>
      </c>
      <c r="AI285" s="162">
        <f t="shared" si="27"/>
        <v>1</v>
      </c>
      <c r="AJ285" s="160">
        <f t="shared" si="24"/>
        <v>46261</v>
      </c>
      <c r="AK285" s="160">
        <v>46279</v>
      </c>
      <c r="AL285" s="160"/>
      <c r="AM285" s="157"/>
      <c r="AN285" s="157"/>
      <c r="AO285" s="157"/>
      <c r="AP285" s="157"/>
      <c r="AQ285" s="159"/>
    </row>
    <row r="286" spans="1:43" s="163" customFormat="1" ht="17.399999999999999">
      <c r="A286" s="157" t="s">
        <v>19406</v>
      </c>
      <c r="B286" s="157" t="s">
        <v>346</v>
      </c>
      <c r="C286" s="158">
        <v>46244</v>
      </c>
      <c r="D286" s="158" t="s">
        <v>33</v>
      </c>
      <c r="E286" s="157" t="s">
        <v>19407</v>
      </c>
      <c r="F286" s="157" t="s">
        <v>33</v>
      </c>
      <c r="G286" s="157" t="s">
        <v>33</v>
      </c>
      <c r="H286" s="157" t="s">
        <v>348</v>
      </c>
      <c r="I286" s="182" t="s">
        <v>349</v>
      </c>
      <c r="J286" s="183" t="s">
        <v>350</v>
      </c>
      <c r="K286" s="157" t="s">
        <v>346</v>
      </c>
      <c r="L286" s="157" t="s">
        <v>60</v>
      </c>
      <c r="M286" s="157">
        <v>18</v>
      </c>
      <c r="N286" s="157" t="s">
        <v>19408</v>
      </c>
      <c r="O286" s="157"/>
      <c r="P286" s="159" t="s">
        <v>18088</v>
      </c>
      <c r="Q286" s="160" t="s">
        <v>627</v>
      </c>
      <c r="R286" s="161">
        <v>46252</v>
      </c>
      <c r="S286" s="157">
        <f t="shared" si="28"/>
        <v>18</v>
      </c>
      <c r="T286" s="161">
        <v>46282</v>
      </c>
      <c r="U286" s="161" t="str">
        <f t="shared" si="29"/>
        <v/>
      </c>
      <c r="V286" s="164">
        <v>46274</v>
      </c>
      <c r="W286" s="164">
        <v>46282</v>
      </c>
      <c r="X286" s="159" t="s">
        <v>19487</v>
      </c>
      <c r="Y286" s="159">
        <v>18</v>
      </c>
      <c r="Z286" s="159" t="s">
        <v>19496</v>
      </c>
      <c r="AA286" s="161"/>
      <c r="AB286" s="157"/>
      <c r="AC286" s="157"/>
      <c r="AD286" s="161"/>
      <c r="AE286" s="157"/>
      <c r="AF286" s="157"/>
      <c r="AG286" s="162">
        <f t="shared" si="25"/>
        <v>0</v>
      </c>
      <c r="AH286" s="162">
        <f t="shared" si="26"/>
        <v>18</v>
      </c>
      <c r="AI286" s="162">
        <f t="shared" si="27"/>
        <v>18</v>
      </c>
      <c r="AJ286" s="160">
        <f t="shared" si="24"/>
        <v>46273</v>
      </c>
      <c r="AK286" s="160"/>
      <c r="AL286" s="160"/>
      <c r="AM286" s="157"/>
      <c r="AN286" s="157"/>
      <c r="AO286" s="157"/>
      <c r="AP286" s="157"/>
      <c r="AQ286" s="159"/>
    </row>
    <row r="287" spans="1:43" s="163" customFormat="1" ht="17.399999999999999">
      <c r="A287" s="157" t="s">
        <v>19409</v>
      </c>
      <c r="B287" s="157" t="s">
        <v>346</v>
      </c>
      <c r="C287" s="158">
        <v>46244</v>
      </c>
      <c r="D287" s="158" t="s">
        <v>33</v>
      </c>
      <c r="E287" s="157" t="s">
        <v>19407</v>
      </c>
      <c r="F287" s="157" t="s">
        <v>33</v>
      </c>
      <c r="G287" s="157" t="s">
        <v>33</v>
      </c>
      <c r="H287" s="157" t="s">
        <v>354</v>
      </c>
      <c r="I287" s="182" t="s">
        <v>355</v>
      </c>
      <c r="J287" s="183" t="s">
        <v>356</v>
      </c>
      <c r="K287" s="157" t="s">
        <v>346</v>
      </c>
      <c r="L287" s="157" t="s">
        <v>52</v>
      </c>
      <c r="M287" s="157">
        <v>13</v>
      </c>
      <c r="N287" s="157" t="s">
        <v>19410</v>
      </c>
      <c r="O287" s="157"/>
      <c r="P287" s="159" t="s">
        <v>18088</v>
      </c>
      <c r="Q287" s="160" t="s">
        <v>627</v>
      </c>
      <c r="R287" s="161">
        <v>46252</v>
      </c>
      <c r="S287" s="157">
        <f t="shared" si="28"/>
        <v>13</v>
      </c>
      <c r="T287" s="161">
        <v>46282</v>
      </c>
      <c r="U287" s="161" t="str">
        <f t="shared" si="29"/>
        <v/>
      </c>
      <c r="V287" s="164">
        <v>46274</v>
      </c>
      <c r="W287" s="164">
        <v>46282</v>
      </c>
      <c r="X287" s="159" t="s">
        <v>19487</v>
      </c>
      <c r="Y287" s="159">
        <v>13</v>
      </c>
      <c r="Z287" s="159" t="s">
        <v>19496</v>
      </c>
      <c r="AA287" s="161"/>
      <c r="AB287" s="157"/>
      <c r="AC287" s="157"/>
      <c r="AD287" s="161"/>
      <c r="AE287" s="157"/>
      <c r="AF287" s="157"/>
      <c r="AG287" s="162">
        <f t="shared" si="25"/>
        <v>0</v>
      </c>
      <c r="AH287" s="162">
        <f t="shared" si="26"/>
        <v>13</v>
      </c>
      <c r="AI287" s="162">
        <f t="shared" si="27"/>
        <v>13</v>
      </c>
      <c r="AJ287" s="160">
        <f t="shared" si="24"/>
        <v>46273</v>
      </c>
      <c r="AK287" s="160"/>
      <c r="AL287" s="160"/>
      <c r="AM287" s="157"/>
      <c r="AN287" s="157"/>
      <c r="AO287" s="157"/>
      <c r="AP287" s="157"/>
      <c r="AQ287" s="159"/>
    </row>
    <row r="288" spans="1:43" ht="17.399999999999999">
      <c r="A288" s="157" t="s">
        <v>19411</v>
      </c>
      <c r="B288" s="22" t="s">
        <v>19412</v>
      </c>
      <c r="C288" s="56">
        <v>46206</v>
      </c>
      <c r="D288" s="56" t="s">
        <v>33</v>
      </c>
      <c r="E288" s="22" t="s">
        <v>33</v>
      </c>
      <c r="F288" s="22" t="s">
        <v>33</v>
      </c>
      <c r="G288" s="22" t="s">
        <v>33</v>
      </c>
      <c r="H288" s="22" t="s">
        <v>2693</v>
      </c>
      <c r="I288" s="49" t="s">
        <v>704</v>
      </c>
      <c r="J288" s="50" t="s">
        <v>2694</v>
      </c>
      <c r="K288" s="22" t="s">
        <v>18504</v>
      </c>
      <c r="L288" s="22" t="s">
        <v>60</v>
      </c>
      <c r="M288" s="22">
        <v>1</v>
      </c>
      <c r="N288" s="22" t="s">
        <v>19413</v>
      </c>
      <c r="O288" s="22"/>
      <c r="P288" s="46" t="s">
        <v>2679</v>
      </c>
      <c r="Q288" s="40" t="s">
        <v>627</v>
      </c>
      <c r="R288" s="41">
        <v>46252</v>
      </c>
      <c r="S288" s="22">
        <f t="shared" si="28"/>
        <v>1</v>
      </c>
      <c r="T288" s="217">
        <v>46265</v>
      </c>
      <c r="U288" s="41" t="str">
        <f t="shared" si="29"/>
        <v/>
      </c>
      <c r="V288" s="44">
        <v>46267</v>
      </c>
      <c r="W288" s="44">
        <v>46273</v>
      </c>
      <c r="X288" s="46" t="s">
        <v>19447</v>
      </c>
      <c r="Y288" s="46">
        <v>1</v>
      </c>
      <c r="Z288" s="46" t="s">
        <v>19450</v>
      </c>
      <c r="AA288" s="41">
        <v>46296</v>
      </c>
      <c r="AB288" s="22" t="s">
        <v>19517</v>
      </c>
      <c r="AC288" s="22">
        <v>1</v>
      </c>
      <c r="AD288" s="41"/>
      <c r="AE288" s="22"/>
      <c r="AF288" s="22"/>
      <c r="AG288" s="48">
        <f t="shared" si="25"/>
        <v>0</v>
      </c>
      <c r="AH288" s="48">
        <f t="shared" si="26"/>
        <v>0</v>
      </c>
      <c r="AI288" s="48">
        <f t="shared" si="27"/>
        <v>0</v>
      </c>
      <c r="AJ288" s="40">
        <f t="shared" si="24"/>
        <v>46273</v>
      </c>
      <c r="AK288" s="40"/>
      <c r="AL288" s="40"/>
      <c r="AM288" s="22"/>
      <c r="AQ288" s="46"/>
    </row>
    <row r="289" spans="1:43" ht="17.399999999999999">
      <c r="A289" s="157" t="s">
        <v>19414</v>
      </c>
      <c r="B289" s="22" t="s">
        <v>19412</v>
      </c>
      <c r="C289" s="56">
        <v>46225</v>
      </c>
      <c r="D289" s="56" t="s">
        <v>33</v>
      </c>
      <c r="E289" s="22" t="s">
        <v>33</v>
      </c>
      <c r="F289" s="22" t="s">
        <v>33</v>
      </c>
      <c r="G289" s="22" t="s">
        <v>33</v>
      </c>
      <c r="H289" s="22" t="s">
        <v>744</v>
      </c>
      <c r="I289" s="49" t="s">
        <v>745</v>
      </c>
      <c r="J289" s="50" t="s">
        <v>746</v>
      </c>
      <c r="K289" s="22" t="s">
        <v>18504</v>
      </c>
      <c r="L289" s="22" t="s">
        <v>60</v>
      </c>
      <c r="M289" s="22">
        <v>2</v>
      </c>
      <c r="N289" s="22" t="s">
        <v>19415</v>
      </c>
      <c r="O289" s="22"/>
      <c r="P289" s="46" t="s">
        <v>19055</v>
      </c>
      <c r="Q289" s="40" t="s">
        <v>627</v>
      </c>
      <c r="R289" s="41">
        <v>46252</v>
      </c>
      <c r="S289" s="22">
        <f t="shared" si="28"/>
        <v>2</v>
      </c>
      <c r="T289" s="41">
        <v>46273</v>
      </c>
      <c r="U289" s="41" t="str">
        <f t="shared" si="29"/>
        <v>Upload in customer box</v>
      </c>
      <c r="V289" s="44">
        <v>46265</v>
      </c>
      <c r="W289" s="44">
        <v>46273</v>
      </c>
      <c r="X289" s="46" t="s">
        <v>19446</v>
      </c>
      <c r="Y289" s="46">
        <v>2</v>
      </c>
      <c r="Z289" s="46" t="s">
        <v>19452</v>
      </c>
      <c r="AA289" s="41"/>
      <c r="AB289" s="22"/>
      <c r="AC289" s="22"/>
      <c r="AD289" s="41"/>
      <c r="AE289" s="22"/>
      <c r="AF289" s="22"/>
      <c r="AG289" s="48">
        <f t="shared" si="25"/>
        <v>0</v>
      </c>
      <c r="AH289" s="48">
        <f t="shared" si="26"/>
        <v>2</v>
      </c>
      <c r="AI289" s="48">
        <f t="shared" si="27"/>
        <v>2</v>
      </c>
      <c r="AJ289" s="40">
        <f t="shared" si="24"/>
        <v>46273</v>
      </c>
      <c r="AK289" s="40"/>
      <c r="AL289" s="40"/>
      <c r="AM289" s="22"/>
      <c r="AQ289" s="46"/>
    </row>
    <row r="290" spans="1:43" ht="17.399999999999999">
      <c r="A290" s="157" t="s">
        <v>19416</v>
      </c>
      <c r="B290" s="22" t="s">
        <v>19417</v>
      </c>
      <c r="C290" s="56" t="s">
        <v>19418</v>
      </c>
      <c r="D290" s="56" t="s">
        <v>33</v>
      </c>
      <c r="E290" s="22" t="s">
        <v>33</v>
      </c>
      <c r="F290" s="22" t="s">
        <v>33</v>
      </c>
      <c r="G290" s="22" t="s">
        <v>33</v>
      </c>
      <c r="H290" s="22" t="s">
        <v>629</v>
      </c>
      <c r="I290" s="49" t="s">
        <v>630</v>
      </c>
      <c r="J290" s="50" t="s">
        <v>631</v>
      </c>
      <c r="K290" s="22" t="s">
        <v>18504</v>
      </c>
      <c r="L290" s="22" t="s">
        <v>60</v>
      </c>
      <c r="M290" s="22">
        <v>18</v>
      </c>
      <c r="N290" s="22" t="s">
        <v>19419</v>
      </c>
      <c r="O290" s="22"/>
      <c r="P290" s="46" t="s">
        <v>19055</v>
      </c>
      <c r="Q290" s="40" t="s">
        <v>627</v>
      </c>
      <c r="R290" s="41">
        <v>46252</v>
      </c>
      <c r="S290" s="22">
        <f t="shared" si="28"/>
        <v>18</v>
      </c>
      <c r="T290" s="41">
        <v>46273</v>
      </c>
      <c r="U290" s="41" t="str">
        <f t="shared" si="29"/>
        <v>Upload in customer box</v>
      </c>
      <c r="V290" s="44">
        <v>46265</v>
      </c>
      <c r="W290" s="44">
        <v>46273</v>
      </c>
      <c r="X290" s="46" t="s">
        <v>19446</v>
      </c>
      <c r="Y290" s="46">
        <v>18</v>
      </c>
      <c r="Z290" s="46" t="s">
        <v>19452</v>
      </c>
      <c r="AA290" s="41"/>
      <c r="AB290" s="22"/>
      <c r="AC290" s="22"/>
      <c r="AD290" s="41"/>
      <c r="AE290" s="22"/>
      <c r="AF290" s="22"/>
      <c r="AG290" s="48">
        <f t="shared" si="25"/>
        <v>0</v>
      </c>
      <c r="AH290" s="48">
        <f t="shared" si="26"/>
        <v>18</v>
      </c>
      <c r="AI290" s="48">
        <f t="shared" si="27"/>
        <v>18</v>
      </c>
      <c r="AJ290" s="40">
        <f t="shared" si="24"/>
        <v>46273</v>
      </c>
      <c r="AK290" s="40"/>
      <c r="AL290" s="40"/>
      <c r="AM290" s="22"/>
      <c r="AQ290" s="46"/>
    </row>
    <row r="291" spans="1:43" ht="17.399999999999999">
      <c r="A291" s="157" t="s">
        <v>19432</v>
      </c>
      <c r="B291" s="22" t="s">
        <v>19324</v>
      </c>
      <c r="C291" s="56">
        <v>46254</v>
      </c>
      <c r="D291" s="56">
        <v>46217</v>
      </c>
      <c r="E291" s="22" t="s">
        <v>19433</v>
      </c>
      <c r="F291" s="22" t="s">
        <v>33</v>
      </c>
      <c r="G291" s="22" t="s">
        <v>19434</v>
      </c>
      <c r="H291" s="22" t="s">
        <v>554</v>
      </c>
      <c r="I291" s="49" t="s">
        <v>555</v>
      </c>
      <c r="J291" s="50" t="s">
        <v>556</v>
      </c>
      <c r="K291" s="22" t="s">
        <v>18971</v>
      </c>
      <c r="L291" s="22" t="s">
        <v>71</v>
      </c>
      <c r="M291" s="22">
        <v>30</v>
      </c>
      <c r="N291" s="22" t="s">
        <v>19435</v>
      </c>
      <c r="O291" s="22"/>
      <c r="P291" s="46" t="s">
        <v>682</v>
      </c>
      <c r="Q291" s="40" t="s">
        <v>627</v>
      </c>
      <c r="R291" s="41">
        <v>46261</v>
      </c>
      <c r="S291" s="22">
        <f t="shared" si="28"/>
        <v>30</v>
      </c>
      <c r="T291" s="41">
        <v>46273</v>
      </c>
      <c r="U291" s="41" t="str">
        <f t="shared" si="29"/>
        <v/>
      </c>
      <c r="V291" s="44">
        <v>46265</v>
      </c>
      <c r="W291" s="44">
        <v>46273</v>
      </c>
      <c r="X291" s="46" t="s">
        <v>19448</v>
      </c>
      <c r="Y291" s="46">
        <v>30</v>
      </c>
      <c r="Z291" s="46" t="s">
        <v>19451</v>
      </c>
      <c r="AA291" s="41"/>
      <c r="AB291" s="22"/>
      <c r="AC291" s="22"/>
      <c r="AD291" s="41"/>
      <c r="AE291" s="22"/>
      <c r="AF291" s="22"/>
      <c r="AG291" s="48">
        <f t="shared" si="25"/>
        <v>0</v>
      </c>
      <c r="AH291" s="48">
        <f t="shared" si="26"/>
        <v>30</v>
      </c>
      <c r="AI291" s="48">
        <f t="shared" si="27"/>
        <v>30</v>
      </c>
      <c r="AJ291" s="40">
        <f t="shared" si="24"/>
        <v>46282</v>
      </c>
      <c r="AK291" s="40"/>
      <c r="AL291" s="40"/>
      <c r="AM291" s="22"/>
      <c r="AQ291" s="46"/>
    </row>
    <row r="292" spans="1:43" ht="17.399999999999999">
      <c r="A292" s="218" t="s">
        <v>19437</v>
      </c>
      <c r="B292" s="218" t="s">
        <v>19438</v>
      </c>
      <c r="C292" s="219">
        <v>46199</v>
      </c>
      <c r="D292" s="219">
        <v>46140</v>
      </c>
      <c r="E292" s="218" t="s">
        <v>19439</v>
      </c>
      <c r="F292" s="218" t="s">
        <v>33</v>
      </c>
      <c r="G292" s="218" t="s">
        <v>33</v>
      </c>
      <c r="H292" s="218" t="s">
        <v>5322</v>
      </c>
      <c r="I292" s="220" t="s">
        <v>3103</v>
      </c>
      <c r="J292" s="221" t="s">
        <v>5323</v>
      </c>
      <c r="K292" s="218" t="s">
        <v>19440</v>
      </c>
      <c r="L292" s="22" t="s">
        <v>60</v>
      </c>
      <c r="M292" s="22">
        <v>0</v>
      </c>
      <c r="N292" s="218" t="s">
        <v>19441</v>
      </c>
      <c r="O292" s="218"/>
      <c r="P292" s="222" t="s">
        <v>5324</v>
      </c>
      <c r="Q292" s="223" t="s">
        <v>18886</v>
      </c>
      <c r="R292" s="224">
        <v>46265</v>
      </c>
      <c r="S292" s="218">
        <f t="shared" si="28"/>
        <v>0</v>
      </c>
      <c r="T292" s="224"/>
      <c r="U292" s="41" t="str">
        <f t="shared" si="29"/>
        <v/>
      </c>
      <c r="V292" s="225">
        <v>46265</v>
      </c>
      <c r="W292" s="225">
        <v>46268</v>
      </c>
      <c r="X292" s="222"/>
      <c r="Y292" s="222"/>
      <c r="Z292" s="222"/>
      <c r="AA292" s="41"/>
      <c r="AB292" s="22"/>
      <c r="AC292" s="22"/>
      <c r="AD292" s="41"/>
      <c r="AE292" s="22"/>
      <c r="AF292" s="22"/>
      <c r="AG292" s="48">
        <f t="shared" si="25"/>
        <v>0</v>
      </c>
      <c r="AH292" s="48">
        <f t="shared" si="26"/>
        <v>0</v>
      </c>
      <c r="AI292" s="48">
        <f t="shared" si="27"/>
        <v>0</v>
      </c>
      <c r="AJ292" s="40">
        <f t="shared" si="24"/>
        <v>46286</v>
      </c>
      <c r="AK292" s="40"/>
      <c r="AL292" s="40"/>
      <c r="AM292" s="22"/>
      <c r="AQ292" s="46"/>
    </row>
    <row r="293" spans="1:43" s="163" customFormat="1" ht="17.399999999999999">
      <c r="A293" s="157" t="s">
        <v>19453</v>
      </c>
      <c r="B293" s="157" t="s">
        <v>19454</v>
      </c>
      <c r="C293" s="158">
        <v>46272</v>
      </c>
      <c r="D293" s="158">
        <v>46148</v>
      </c>
      <c r="E293" s="157" t="s">
        <v>19455</v>
      </c>
      <c r="F293" s="157">
        <v>100</v>
      </c>
      <c r="G293" s="157" t="s">
        <v>19456</v>
      </c>
      <c r="H293" s="157" t="s">
        <v>3011</v>
      </c>
      <c r="I293" s="182" t="s">
        <v>1472</v>
      </c>
      <c r="J293" s="183" t="s">
        <v>3012</v>
      </c>
      <c r="K293" s="157" t="s">
        <v>18464</v>
      </c>
      <c r="L293" s="157" t="s">
        <v>60</v>
      </c>
      <c r="M293" s="157">
        <v>1</v>
      </c>
      <c r="N293" s="157" t="s">
        <v>19457</v>
      </c>
      <c r="O293" s="157"/>
      <c r="P293" s="159" t="s">
        <v>19054</v>
      </c>
      <c r="Q293" s="160" t="s">
        <v>19486</v>
      </c>
      <c r="R293" s="161">
        <v>46274</v>
      </c>
      <c r="S293" s="157">
        <f t="shared" si="28"/>
        <v>1</v>
      </c>
      <c r="T293" s="161">
        <v>46286</v>
      </c>
      <c r="U293" s="161" t="str">
        <f t="shared" si="29"/>
        <v/>
      </c>
      <c r="V293" s="164">
        <v>46279</v>
      </c>
      <c r="W293" s="164">
        <v>46286</v>
      </c>
      <c r="X293" s="159" t="s">
        <v>19492</v>
      </c>
      <c r="Y293" s="159">
        <v>1</v>
      </c>
      <c r="Z293" s="159" t="s">
        <v>19497</v>
      </c>
      <c r="AA293" s="161"/>
      <c r="AB293" s="157"/>
      <c r="AC293" s="157"/>
      <c r="AD293" s="161"/>
      <c r="AE293" s="157"/>
      <c r="AF293" s="157"/>
      <c r="AG293" s="162">
        <f t="shared" si="25"/>
        <v>0</v>
      </c>
      <c r="AH293" s="162">
        <f t="shared" si="26"/>
        <v>1</v>
      </c>
      <c r="AI293" s="162">
        <f t="shared" si="27"/>
        <v>1</v>
      </c>
      <c r="AJ293" s="160">
        <f t="shared" si="24"/>
        <v>46295</v>
      </c>
      <c r="AK293" s="160">
        <v>46294</v>
      </c>
      <c r="AL293" s="160"/>
      <c r="AM293" s="157"/>
      <c r="AN293" s="157"/>
      <c r="AO293" s="157"/>
      <c r="AP293" s="157"/>
      <c r="AQ293" s="159"/>
    </row>
    <row r="294" spans="1:43" s="163" customFormat="1" ht="17.399999999999999">
      <c r="A294" s="157" t="s">
        <v>19458</v>
      </c>
      <c r="B294" s="157" t="s">
        <v>19470</v>
      </c>
      <c r="C294" s="226" t="s">
        <v>19459</v>
      </c>
      <c r="D294" s="158">
        <v>46210</v>
      </c>
      <c r="E294" s="157" t="s">
        <v>19460</v>
      </c>
      <c r="F294" s="157" t="s">
        <v>33</v>
      </c>
      <c r="G294" s="157" t="s">
        <v>33</v>
      </c>
      <c r="H294" s="157" t="s">
        <v>5440</v>
      </c>
      <c r="I294" s="182" t="s">
        <v>2652</v>
      </c>
      <c r="J294" s="183" t="s">
        <v>5441</v>
      </c>
      <c r="K294" s="157" t="s">
        <v>19004</v>
      </c>
      <c r="L294" s="157" t="s">
        <v>60</v>
      </c>
      <c r="M294" s="157">
        <v>2</v>
      </c>
      <c r="N294" s="157" t="s">
        <v>19472</v>
      </c>
      <c r="O294" s="157"/>
      <c r="P294" s="159" t="s">
        <v>2655</v>
      </c>
      <c r="Q294" s="160" t="s">
        <v>627</v>
      </c>
      <c r="R294" s="161">
        <v>46274</v>
      </c>
      <c r="S294" s="157">
        <f t="shared" si="28"/>
        <v>2</v>
      </c>
      <c r="T294" s="161">
        <v>46289</v>
      </c>
      <c r="U294" s="161" t="str">
        <f t="shared" si="29"/>
        <v/>
      </c>
      <c r="V294" s="164">
        <v>46286</v>
      </c>
      <c r="W294" s="164">
        <v>46289</v>
      </c>
      <c r="X294" s="159" t="s">
        <v>19498</v>
      </c>
      <c r="Y294" s="159">
        <v>2</v>
      </c>
      <c r="Z294" s="159" t="s">
        <v>19507</v>
      </c>
      <c r="AA294" s="161"/>
      <c r="AB294" s="157"/>
      <c r="AC294" s="157"/>
      <c r="AD294" s="161"/>
      <c r="AE294" s="157"/>
      <c r="AF294" s="157"/>
      <c r="AG294" s="162">
        <f t="shared" si="25"/>
        <v>0</v>
      </c>
      <c r="AH294" s="162">
        <f t="shared" si="26"/>
        <v>2</v>
      </c>
      <c r="AI294" s="162">
        <f t="shared" si="27"/>
        <v>2</v>
      </c>
      <c r="AJ294" s="160">
        <f t="shared" si="24"/>
        <v>46295</v>
      </c>
      <c r="AK294" s="160"/>
      <c r="AL294" s="160"/>
      <c r="AM294" s="157"/>
      <c r="AN294" s="157"/>
      <c r="AO294" s="157"/>
      <c r="AP294" s="157"/>
      <c r="AQ294" s="159"/>
    </row>
    <row r="295" spans="1:43" s="163" customFormat="1" ht="17.399999999999999">
      <c r="A295" s="157" t="s">
        <v>19461</v>
      </c>
      <c r="B295" s="157" t="s">
        <v>19471</v>
      </c>
      <c r="C295" s="158">
        <v>46241</v>
      </c>
      <c r="D295" s="158">
        <v>46168</v>
      </c>
      <c r="E295" s="157" t="s">
        <v>19279</v>
      </c>
      <c r="F295" s="157" t="s">
        <v>33</v>
      </c>
      <c r="G295" s="157" t="s">
        <v>33</v>
      </c>
      <c r="H295" s="157" t="s">
        <v>10004</v>
      </c>
      <c r="I295" s="182" t="s">
        <v>4996</v>
      </c>
      <c r="J295" s="183" t="s">
        <v>4996</v>
      </c>
      <c r="K295" s="157" t="s">
        <v>19137</v>
      </c>
      <c r="L295" s="157" t="s">
        <v>60</v>
      </c>
      <c r="M295" s="157">
        <v>1</v>
      </c>
      <c r="N295" s="157" t="s">
        <v>19473</v>
      </c>
      <c r="O295" s="157"/>
      <c r="P295" s="159" t="s">
        <v>2655</v>
      </c>
      <c r="Q295" s="160" t="s">
        <v>627</v>
      </c>
      <c r="R295" s="161">
        <v>46274</v>
      </c>
      <c r="S295" s="157">
        <f t="shared" si="28"/>
        <v>1</v>
      </c>
      <c r="T295" s="161">
        <v>46289</v>
      </c>
      <c r="U295" s="161" t="str">
        <f t="shared" si="29"/>
        <v/>
      </c>
      <c r="V295" s="164">
        <v>46286</v>
      </c>
      <c r="W295" s="164">
        <v>46289</v>
      </c>
      <c r="X295" s="159" t="s">
        <v>19498</v>
      </c>
      <c r="Y295" s="159">
        <v>1</v>
      </c>
      <c r="Z295" s="159" t="s">
        <v>19507</v>
      </c>
      <c r="AA295" s="161"/>
      <c r="AB295" s="157"/>
      <c r="AC295" s="157"/>
      <c r="AD295" s="161"/>
      <c r="AE295" s="157"/>
      <c r="AF295" s="157"/>
      <c r="AG295" s="162">
        <f t="shared" si="25"/>
        <v>0</v>
      </c>
      <c r="AH295" s="162">
        <f t="shared" si="26"/>
        <v>1</v>
      </c>
      <c r="AI295" s="162">
        <f t="shared" si="27"/>
        <v>1</v>
      </c>
      <c r="AJ295" s="160">
        <v>46282</v>
      </c>
      <c r="AK295" s="160"/>
      <c r="AL295" s="160"/>
      <c r="AM295" s="157"/>
      <c r="AN295" s="157"/>
      <c r="AO295" s="157"/>
      <c r="AP295" s="157"/>
      <c r="AQ295" s="159"/>
    </row>
    <row r="296" spans="1:43" s="163" customFormat="1" ht="17.399999999999999">
      <c r="A296" s="157" t="s">
        <v>19462</v>
      </c>
      <c r="B296" s="157" t="s">
        <v>19463</v>
      </c>
      <c r="C296" s="158">
        <v>46246</v>
      </c>
      <c r="D296" s="158">
        <v>46174</v>
      </c>
      <c r="E296" s="157" t="s">
        <v>19464</v>
      </c>
      <c r="F296" s="157" t="s">
        <v>33</v>
      </c>
      <c r="G296" s="157" t="s">
        <v>33</v>
      </c>
      <c r="H296" s="157" t="s">
        <v>19465</v>
      </c>
      <c r="I296" s="182" t="s">
        <v>5099</v>
      </c>
      <c r="J296" s="183" t="s">
        <v>19466</v>
      </c>
      <c r="K296" s="157" t="s">
        <v>19004</v>
      </c>
      <c r="L296" s="157" t="s">
        <v>60</v>
      </c>
      <c r="M296" s="157">
        <v>1</v>
      </c>
      <c r="N296" s="157" t="s">
        <v>19474</v>
      </c>
      <c r="O296" s="157"/>
      <c r="P296" s="159" t="s">
        <v>2655</v>
      </c>
      <c r="Q296" s="160" t="s">
        <v>627</v>
      </c>
      <c r="R296" s="161">
        <v>46274</v>
      </c>
      <c r="S296" s="157">
        <f t="shared" si="28"/>
        <v>1</v>
      </c>
      <c r="T296" s="161">
        <v>46289</v>
      </c>
      <c r="U296" s="161" t="str">
        <f t="shared" si="29"/>
        <v/>
      </c>
      <c r="V296" s="164">
        <v>46286</v>
      </c>
      <c r="W296" s="164">
        <v>46289</v>
      </c>
      <c r="X296" s="159" t="s">
        <v>19498</v>
      </c>
      <c r="Y296" s="159">
        <v>1</v>
      </c>
      <c r="Z296" s="159" t="s">
        <v>19507</v>
      </c>
      <c r="AA296" s="161"/>
      <c r="AB296" s="157"/>
      <c r="AC296" s="157"/>
      <c r="AD296" s="161"/>
      <c r="AE296" s="157"/>
      <c r="AF296" s="157"/>
      <c r="AG296" s="162">
        <f t="shared" si="25"/>
        <v>0</v>
      </c>
      <c r="AH296" s="162">
        <f t="shared" si="26"/>
        <v>1</v>
      </c>
      <c r="AI296" s="162">
        <f t="shared" si="27"/>
        <v>1</v>
      </c>
      <c r="AJ296" s="160">
        <f t="shared" si="24"/>
        <v>46295</v>
      </c>
      <c r="AK296" s="160"/>
      <c r="AL296" s="160"/>
      <c r="AM296" s="157"/>
      <c r="AN296" s="157"/>
      <c r="AO296" s="157"/>
      <c r="AP296" s="157"/>
      <c r="AQ296" s="159"/>
    </row>
    <row r="297" spans="1:43" s="163" customFormat="1" ht="17.399999999999999">
      <c r="A297" s="157" t="s">
        <v>19467</v>
      </c>
      <c r="B297" s="157" t="s">
        <v>19463</v>
      </c>
      <c r="C297" s="158">
        <v>46259</v>
      </c>
      <c r="D297" s="158">
        <v>46210</v>
      </c>
      <c r="E297" s="157" t="s">
        <v>19374</v>
      </c>
      <c r="F297" s="157" t="s">
        <v>33</v>
      </c>
      <c r="G297" s="157" t="s">
        <v>33</v>
      </c>
      <c r="H297" s="157" t="s">
        <v>19468</v>
      </c>
      <c r="I297" s="182" t="s">
        <v>174</v>
      </c>
      <c r="J297" s="183" t="s">
        <v>19469</v>
      </c>
      <c r="K297" s="157" t="s">
        <v>19004</v>
      </c>
      <c r="L297" s="157" t="s">
        <v>60</v>
      </c>
      <c r="M297" s="157">
        <v>1</v>
      </c>
      <c r="N297" s="157" t="s">
        <v>19475</v>
      </c>
      <c r="O297" s="157"/>
      <c r="P297" s="159" t="s">
        <v>19489</v>
      </c>
      <c r="Q297" s="160" t="s">
        <v>627</v>
      </c>
      <c r="R297" s="161">
        <v>46274</v>
      </c>
      <c r="S297" s="157">
        <f t="shared" si="28"/>
        <v>1</v>
      </c>
      <c r="T297" s="161">
        <v>46289</v>
      </c>
      <c r="U297" s="161" t="str">
        <f t="shared" si="29"/>
        <v/>
      </c>
      <c r="V297" s="164">
        <v>46286</v>
      </c>
      <c r="W297" s="164">
        <v>46289</v>
      </c>
      <c r="X297" s="159" t="s">
        <v>19498</v>
      </c>
      <c r="Y297" s="159">
        <v>1</v>
      </c>
      <c r="Z297" s="159" t="s">
        <v>19507</v>
      </c>
      <c r="AA297" s="161"/>
      <c r="AB297" s="157"/>
      <c r="AC297" s="157"/>
      <c r="AD297" s="161"/>
      <c r="AE297" s="157"/>
      <c r="AF297" s="157"/>
      <c r="AG297" s="162">
        <f t="shared" si="25"/>
        <v>0</v>
      </c>
      <c r="AH297" s="162">
        <f t="shared" si="26"/>
        <v>1</v>
      </c>
      <c r="AI297" s="162">
        <f t="shared" si="27"/>
        <v>1</v>
      </c>
      <c r="AJ297" s="160">
        <f t="shared" si="24"/>
        <v>46295</v>
      </c>
      <c r="AK297" s="160"/>
      <c r="AL297" s="160"/>
      <c r="AM297" s="157"/>
      <c r="AN297" s="157"/>
      <c r="AO297" s="157"/>
      <c r="AP297" s="157"/>
      <c r="AQ297" s="159"/>
    </row>
    <row r="298" spans="1:43" ht="17.399999999999999">
      <c r="A298" s="22" t="s">
        <v>19476</v>
      </c>
      <c r="B298" s="22" t="s">
        <v>19477</v>
      </c>
      <c r="C298" s="56" t="s">
        <v>19478</v>
      </c>
      <c r="D298" s="56" t="s">
        <v>19479</v>
      </c>
      <c r="E298" s="22" t="s">
        <v>19480</v>
      </c>
      <c r="F298" s="22" t="s">
        <v>33</v>
      </c>
      <c r="G298" s="22" t="s">
        <v>33</v>
      </c>
      <c r="H298" s="22" t="s">
        <v>303</v>
      </c>
      <c r="I298" s="49" t="s">
        <v>304</v>
      </c>
      <c r="J298" s="50" t="s">
        <v>305</v>
      </c>
      <c r="K298" s="22" t="s">
        <v>215</v>
      </c>
      <c r="L298" s="22" t="s">
        <v>60</v>
      </c>
      <c r="M298" s="22">
        <v>15</v>
      </c>
      <c r="N298" s="22" t="s">
        <v>19481</v>
      </c>
      <c r="O298" s="22"/>
      <c r="P298" s="46" t="s">
        <v>19488</v>
      </c>
      <c r="Q298" s="40" t="s">
        <v>627</v>
      </c>
      <c r="R298" s="41">
        <v>46275</v>
      </c>
      <c r="S298" s="22">
        <f t="shared" si="28"/>
        <v>15</v>
      </c>
      <c r="T298" s="41"/>
      <c r="U298" s="41" t="str">
        <f t="shared" si="29"/>
        <v>Upload in customer box</v>
      </c>
      <c r="V298" s="44"/>
      <c r="W298" s="44"/>
      <c r="X298" s="46"/>
      <c r="Y298" s="46"/>
      <c r="Z298" s="46"/>
      <c r="AA298" s="41"/>
      <c r="AB298" s="22"/>
      <c r="AC298" s="22"/>
      <c r="AD298" s="41"/>
      <c r="AE298" s="22"/>
      <c r="AF298" s="22"/>
      <c r="AG298" s="48">
        <f t="shared" si="25"/>
        <v>15</v>
      </c>
      <c r="AH298" s="48">
        <f t="shared" si="26"/>
        <v>0</v>
      </c>
      <c r="AI298" s="48">
        <f t="shared" si="27"/>
        <v>15</v>
      </c>
      <c r="AJ298" s="40">
        <f t="shared" si="24"/>
        <v>46296</v>
      </c>
      <c r="AK298" s="40"/>
      <c r="AL298" s="40"/>
      <c r="AM298" s="22"/>
      <c r="AQ298" s="46"/>
    </row>
    <row r="299" spans="1:43" ht="16.95" customHeight="1">
      <c r="A299" s="22" t="s">
        <v>19482</v>
      </c>
      <c r="B299" s="22" t="s">
        <v>19483</v>
      </c>
      <c r="C299" s="56" t="s">
        <v>19484</v>
      </c>
      <c r="D299" s="56" t="s">
        <v>33</v>
      </c>
      <c r="E299" s="22" t="s">
        <v>33</v>
      </c>
      <c r="F299" s="22" t="s">
        <v>33</v>
      </c>
      <c r="G299" s="22" t="s">
        <v>67</v>
      </c>
      <c r="H299" s="22" t="s">
        <v>410</v>
      </c>
      <c r="I299" s="49" t="s">
        <v>404</v>
      </c>
      <c r="J299" s="50" t="s">
        <v>411</v>
      </c>
      <c r="K299" s="22" t="s">
        <v>980</v>
      </c>
      <c r="L299" s="22" t="s">
        <v>60</v>
      </c>
      <c r="M299" s="22">
        <v>140</v>
      </c>
      <c r="N299" s="22" t="s">
        <v>19485</v>
      </c>
      <c r="O299" s="22"/>
      <c r="P299" s="46" t="s">
        <v>19490</v>
      </c>
      <c r="Q299" s="40" t="s">
        <v>627</v>
      </c>
      <c r="R299" s="41">
        <v>46276</v>
      </c>
      <c r="S299" s="22">
        <f t="shared" si="28"/>
        <v>140</v>
      </c>
      <c r="T299" s="41">
        <v>46281</v>
      </c>
      <c r="U299" s="41" t="str">
        <f t="shared" si="29"/>
        <v/>
      </c>
      <c r="V299" s="44" t="s">
        <v>19512</v>
      </c>
      <c r="W299" s="44">
        <v>46286</v>
      </c>
      <c r="X299" s="46" t="s">
        <v>33</v>
      </c>
      <c r="Y299" s="46">
        <v>140</v>
      </c>
      <c r="Z299" s="46" t="s">
        <v>33</v>
      </c>
      <c r="AA299" s="41"/>
      <c r="AB299" s="22"/>
      <c r="AC299" s="22"/>
      <c r="AD299" s="41"/>
      <c r="AE299" s="22"/>
      <c r="AF299" s="22"/>
      <c r="AG299" s="48">
        <f t="shared" si="25"/>
        <v>0</v>
      </c>
      <c r="AH299" s="48">
        <f t="shared" si="26"/>
        <v>140</v>
      </c>
      <c r="AI299" s="48">
        <f t="shared" si="27"/>
        <v>140</v>
      </c>
      <c r="AJ299" s="40">
        <f t="shared" si="24"/>
        <v>46297</v>
      </c>
      <c r="AK299" s="40"/>
      <c r="AL299" s="40"/>
      <c r="AM299" s="22"/>
      <c r="AQ299" s="46"/>
    </row>
    <row r="300" spans="1:43" s="163" customFormat="1" ht="17.399999999999999">
      <c r="A300" s="157" t="s">
        <v>19493</v>
      </c>
      <c r="B300" s="157" t="s">
        <v>19483</v>
      </c>
      <c r="C300" s="158" t="s">
        <v>19494</v>
      </c>
      <c r="D300" s="158" t="s">
        <v>33</v>
      </c>
      <c r="E300" s="157" t="s">
        <v>33</v>
      </c>
      <c r="F300" s="157" t="s">
        <v>33</v>
      </c>
      <c r="G300" s="157" t="s">
        <v>67</v>
      </c>
      <c r="H300" s="157" t="s">
        <v>410</v>
      </c>
      <c r="I300" s="182" t="s">
        <v>404</v>
      </c>
      <c r="J300" s="183" t="s">
        <v>411</v>
      </c>
      <c r="K300" s="157" t="s">
        <v>980</v>
      </c>
      <c r="L300" s="157" t="s">
        <v>60</v>
      </c>
      <c r="M300" s="157">
        <v>1591</v>
      </c>
      <c r="N300" s="157" t="s">
        <v>19495</v>
      </c>
      <c r="O300" s="157"/>
      <c r="P300" s="159" t="s">
        <v>681</v>
      </c>
      <c r="Q300" s="160" t="s">
        <v>627</v>
      </c>
      <c r="R300" s="161">
        <v>46282</v>
      </c>
      <c r="S300" s="157">
        <f t="shared" si="28"/>
        <v>1591</v>
      </c>
      <c r="T300" s="161">
        <v>46294</v>
      </c>
      <c r="U300" s="161" t="str">
        <f t="shared" si="29"/>
        <v/>
      </c>
      <c r="V300" s="164" t="s">
        <v>19515</v>
      </c>
      <c r="W300" s="164">
        <v>46294</v>
      </c>
      <c r="X300" s="159" t="s">
        <v>33</v>
      </c>
      <c r="Y300" s="159">
        <v>1591</v>
      </c>
      <c r="Z300" s="159" t="s">
        <v>19516</v>
      </c>
      <c r="AA300" s="161"/>
      <c r="AB300" s="157"/>
      <c r="AC300" s="157"/>
      <c r="AD300" s="161"/>
      <c r="AE300" s="157"/>
      <c r="AF300" s="157"/>
      <c r="AG300" s="162">
        <f t="shared" si="25"/>
        <v>0</v>
      </c>
      <c r="AH300" s="162">
        <f t="shared" si="26"/>
        <v>1591</v>
      </c>
      <c r="AI300" s="162">
        <f t="shared" si="27"/>
        <v>1591</v>
      </c>
      <c r="AJ300" s="160">
        <f t="shared" si="24"/>
        <v>46303</v>
      </c>
      <c r="AK300" s="160"/>
      <c r="AL300" s="160"/>
      <c r="AM300" s="157"/>
      <c r="AN300" s="157"/>
      <c r="AO300" s="157"/>
      <c r="AP300" s="157"/>
      <c r="AQ300" s="159"/>
    </row>
    <row r="301" spans="1:43" ht="17.399999999999999">
      <c r="A301" s="157" t="s">
        <v>19499</v>
      </c>
      <c r="B301" s="22" t="s">
        <v>19573</v>
      </c>
      <c r="C301" s="56" t="s">
        <v>19570</v>
      </c>
      <c r="D301" s="56" t="s">
        <v>19568</v>
      </c>
      <c r="E301" s="230" t="s">
        <v>19569</v>
      </c>
      <c r="F301" s="22">
        <v>200</v>
      </c>
      <c r="G301" s="22" t="s">
        <v>19567</v>
      </c>
      <c r="H301" s="22" t="s">
        <v>3901</v>
      </c>
      <c r="I301" s="49" t="s">
        <v>83</v>
      </c>
      <c r="J301" s="50" t="s">
        <v>3900</v>
      </c>
      <c r="K301" s="22" t="s">
        <v>18504</v>
      </c>
      <c r="L301" s="22" t="s">
        <v>60</v>
      </c>
      <c r="M301" s="22">
        <v>10</v>
      </c>
      <c r="N301" s="22" t="s">
        <v>19571</v>
      </c>
      <c r="O301" s="22"/>
      <c r="P301" s="46" t="s">
        <v>19055</v>
      </c>
      <c r="Q301" s="40" t="s">
        <v>627</v>
      </c>
      <c r="R301" s="41">
        <v>46288</v>
      </c>
      <c r="S301" s="22">
        <f t="shared" si="28"/>
        <v>10</v>
      </c>
      <c r="T301" s="41"/>
      <c r="U301" s="41" t="str">
        <f t="shared" si="29"/>
        <v>Upload in customer box</v>
      </c>
      <c r="V301" s="44">
        <v>46314</v>
      </c>
      <c r="W301" s="44">
        <v>46329</v>
      </c>
      <c r="X301" s="46" t="s">
        <v>19574</v>
      </c>
      <c r="Y301" s="46">
        <v>10</v>
      </c>
      <c r="Z301" s="46"/>
      <c r="AA301" s="41"/>
      <c r="AB301" s="22"/>
      <c r="AC301" s="22"/>
      <c r="AD301" s="41"/>
      <c r="AE301" s="22"/>
      <c r="AF301" s="22"/>
      <c r="AG301" s="48">
        <f t="shared" si="25"/>
        <v>0</v>
      </c>
      <c r="AH301" s="48">
        <f t="shared" si="26"/>
        <v>10</v>
      </c>
      <c r="AI301" s="48">
        <f t="shared" si="27"/>
        <v>10</v>
      </c>
      <c r="AJ301" s="40">
        <f t="shared" ref="AJ301:AJ364" si="30">IF(A301="","",R301+21)</f>
        <v>46309</v>
      </c>
      <c r="AK301" s="40"/>
      <c r="AL301" s="40"/>
      <c r="AM301" s="22"/>
      <c r="AQ301" s="46"/>
    </row>
    <row r="302" spans="1:43" ht="17.399999999999999">
      <c r="A302" s="157" t="s">
        <v>19500</v>
      </c>
      <c r="B302" s="22" t="s">
        <v>19501</v>
      </c>
      <c r="C302" s="56" t="s">
        <v>19508</v>
      </c>
      <c r="D302" s="56" t="s">
        <v>19508</v>
      </c>
      <c r="E302" s="22" t="s">
        <v>19508</v>
      </c>
      <c r="F302" s="22" t="s">
        <v>33</v>
      </c>
      <c r="G302" s="22" t="s">
        <v>33</v>
      </c>
      <c r="H302" s="22" t="s">
        <v>5285</v>
      </c>
      <c r="I302" s="49" t="s">
        <v>213</v>
      </c>
      <c r="J302" s="50" t="s">
        <v>5286</v>
      </c>
      <c r="K302" s="22" t="s">
        <v>215</v>
      </c>
      <c r="L302" s="22" t="s">
        <v>60</v>
      </c>
      <c r="M302" s="22">
        <v>166</v>
      </c>
      <c r="N302" s="22" t="s">
        <v>19502</v>
      </c>
      <c r="O302" s="22"/>
      <c r="P302" s="46" t="s">
        <v>685</v>
      </c>
      <c r="Q302" s="40" t="s">
        <v>627</v>
      </c>
      <c r="R302" s="41">
        <v>46288</v>
      </c>
      <c r="S302" s="22">
        <f t="shared" si="28"/>
        <v>166</v>
      </c>
      <c r="T302" s="41">
        <v>46322</v>
      </c>
      <c r="U302" s="41" t="str">
        <f t="shared" si="29"/>
        <v>Upload in customer box</v>
      </c>
      <c r="V302" s="44">
        <v>46314</v>
      </c>
      <c r="W302" s="44">
        <v>46322</v>
      </c>
      <c r="X302" s="46" t="s">
        <v>19575</v>
      </c>
      <c r="Y302" s="46">
        <v>166</v>
      </c>
      <c r="Z302" s="46" t="s">
        <v>19580</v>
      </c>
      <c r="AA302" s="41"/>
      <c r="AB302" s="22"/>
      <c r="AC302" s="22"/>
      <c r="AD302" s="41"/>
      <c r="AE302" s="22"/>
      <c r="AF302" s="22"/>
      <c r="AG302" s="48">
        <f t="shared" si="25"/>
        <v>0</v>
      </c>
      <c r="AH302" s="48">
        <f t="shared" si="26"/>
        <v>166</v>
      </c>
      <c r="AI302" s="48">
        <f t="shared" si="27"/>
        <v>166</v>
      </c>
      <c r="AJ302" s="40">
        <f t="shared" si="30"/>
        <v>46309</v>
      </c>
      <c r="AK302" s="40"/>
      <c r="AL302" s="40"/>
      <c r="AM302" s="22"/>
      <c r="AQ302" s="46"/>
    </row>
    <row r="303" spans="1:43" ht="17.399999999999999">
      <c r="A303" s="157" t="s">
        <v>19503</v>
      </c>
      <c r="B303" s="22" t="s">
        <v>19504</v>
      </c>
      <c r="C303" s="56" t="s">
        <v>19505</v>
      </c>
      <c r="D303" s="56">
        <v>46258</v>
      </c>
      <c r="E303" s="22" t="s">
        <v>19506</v>
      </c>
      <c r="F303" s="22">
        <v>80</v>
      </c>
      <c r="G303" s="22" t="s">
        <v>33</v>
      </c>
      <c r="H303" s="231">
        <v>438</v>
      </c>
      <c r="I303" s="49" t="s">
        <v>843</v>
      </c>
      <c r="J303" s="50" t="s">
        <v>893</v>
      </c>
      <c r="K303" s="22" t="s">
        <v>846</v>
      </c>
      <c r="L303" s="22" t="s">
        <v>60</v>
      </c>
      <c r="M303" s="22">
        <v>80</v>
      </c>
      <c r="N303" s="22" t="s">
        <v>19509</v>
      </c>
      <c r="O303" s="22"/>
      <c r="P303" s="46" t="s">
        <v>19055</v>
      </c>
      <c r="Q303" s="40" t="s">
        <v>627</v>
      </c>
      <c r="R303" s="41">
        <v>46288</v>
      </c>
      <c r="S303" s="22">
        <f t="shared" si="28"/>
        <v>80</v>
      </c>
      <c r="T303" s="41"/>
      <c r="U303" s="41" t="str">
        <f t="shared" si="29"/>
        <v>Upload in customer box</v>
      </c>
      <c r="V303" s="44">
        <v>46314</v>
      </c>
      <c r="W303" s="44">
        <v>46329</v>
      </c>
      <c r="X303" s="46" t="s">
        <v>19574</v>
      </c>
      <c r="Y303" s="46">
        <v>80</v>
      </c>
      <c r="Z303" s="46"/>
      <c r="AA303" s="41"/>
      <c r="AB303" s="22" t="s">
        <v>19544</v>
      </c>
      <c r="AC303" s="22"/>
      <c r="AD303" s="41"/>
      <c r="AE303" s="22"/>
      <c r="AF303" s="22"/>
      <c r="AG303" s="48">
        <f t="shared" si="25"/>
        <v>0</v>
      </c>
      <c r="AH303" s="48">
        <f t="shared" si="26"/>
        <v>80</v>
      </c>
      <c r="AI303" s="48">
        <f t="shared" si="27"/>
        <v>80</v>
      </c>
      <c r="AJ303" s="40">
        <f t="shared" si="30"/>
        <v>46309</v>
      </c>
      <c r="AK303" s="40"/>
      <c r="AL303" s="40"/>
      <c r="AM303" s="22"/>
      <c r="AQ303" s="46"/>
    </row>
    <row r="304" spans="1:43" s="163" customFormat="1" ht="17.399999999999999">
      <c r="A304" s="157" t="s">
        <v>19510</v>
      </c>
      <c r="B304" s="157" t="s">
        <v>19483</v>
      </c>
      <c r="C304" s="158" t="s">
        <v>19494</v>
      </c>
      <c r="D304" s="158" t="s">
        <v>33</v>
      </c>
      <c r="E304" s="157" t="s">
        <v>33</v>
      </c>
      <c r="F304" s="157" t="s">
        <v>33</v>
      </c>
      <c r="G304" s="157" t="s">
        <v>67</v>
      </c>
      <c r="H304" s="157" t="s">
        <v>410</v>
      </c>
      <c r="I304" s="182" t="s">
        <v>404</v>
      </c>
      <c r="J304" s="183" t="s">
        <v>411</v>
      </c>
      <c r="K304" s="157" t="s">
        <v>980</v>
      </c>
      <c r="L304" s="157" t="s">
        <v>60</v>
      </c>
      <c r="M304" s="157">
        <v>872</v>
      </c>
      <c r="N304" s="157" t="s">
        <v>19511</v>
      </c>
      <c r="O304" s="157"/>
      <c r="P304" s="159" t="s">
        <v>681</v>
      </c>
      <c r="Q304" s="160" t="s">
        <v>627</v>
      </c>
      <c r="R304" s="161">
        <v>46290</v>
      </c>
      <c r="S304" s="157">
        <f t="shared" si="28"/>
        <v>872</v>
      </c>
      <c r="T304" s="161">
        <v>46294</v>
      </c>
      <c r="U304" s="161" t="str">
        <f t="shared" si="29"/>
        <v/>
      </c>
      <c r="V304" s="229" t="s">
        <v>19515</v>
      </c>
      <c r="W304" s="164">
        <v>46294</v>
      </c>
      <c r="X304" s="159" t="s">
        <v>33</v>
      </c>
      <c r="Y304" s="159">
        <v>872</v>
      </c>
      <c r="Z304" s="159" t="s">
        <v>19516</v>
      </c>
      <c r="AA304" s="161"/>
      <c r="AB304" s="157"/>
      <c r="AC304" s="157"/>
      <c r="AD304" s="161"/>
      <c r="AE304" s="157"/>
      <c r="AF304" s="157"/>
      <c r="AG304" s="162">
        <f t="shared" si="25"/>
        <v>0</v>
      </c>
      <c r="AH304" s="162">
        <f t="shared" si="26"/>
        <v>872</v>
      </c>
      <c r="AI304" s="162">
        <f t="shared" si="27"/>
        <v>872</v>
      </c>
      <c r="AJ304" s="160">
        <f t="shared" si="30"/>
        <v>46311</v>
      </c>
      <c r="AK304" s="160"/>
      <c r="AL304" s="160"/>
      <c r="AM304" s="157"/>
      <c r="AN304" s="157"/>
      <c r="AO304" s="157"/>
      <c r="AP304" s="157"/>
      <c r="AQ304" s="159"/>
    </row>
    <row r="305" spans="1:43" ht="17.399999999999999">
      <c r="A305" s="157" t="s">
        <v>19518</v>
      </c>
      <c r="B305" s="22" t="s">
        <v>346</v>
      </c>
      <c r="C305" s="56" t="s">
        <v>19519</v>
      </c>
      <c r="D305" s="56" t="s">
        <v>33</v>
      </c>
      <c r="E305" s="22" t="s">
        <v>33</v>
      </c>
      <c r="F305" s="22" t="s">
        <v>33</v>
      </c>
      <c r="G305" s="22" t="s">
        <v>33</v>
      </c>
      <c r="H305" s="22" t="s">
        <v>366</v>
      </c>
      <c r="I305" s="49" t="s">
        <v>362</v>
      </c>
      <c r="J305" s="50" t="s">
        <v>367</v>
      </c>
      <c r="K305" s="22" t="s">
        <v>346</v>
      </c>
      <c r="L305" s="22" t="s">
        <v>60</v>
      </c>
      <c r="M305" s="22">
        <v>17</v>
      </c>
      <c r="N305" s="22" t="s">
        <v>19572</v>
      </c>
      <c r="O305" s="22"/>
      <c r="P305" s="46" t="s">
        <v>18088</v>
      </c>
      <c r="Q305" s="40" t="s">
        <v>627</v>
      </c>
      <c r="R305" s="41">
        <v>46300</v>
      </c>
      <c r="S305" s="22">
        <f t="shared" si="28"/>
        <v>17</v>
      </c>
      <c r="T305" s="41"/>
      <c r="U305" s="41" t="str">
        <f t="shared" si="29"/>
        <v/>
      </c>
      <c r="V305" s="44"/>
      <c r="W305" s="44"/>
      <c r="X305" s="46"/>
      <c r="Y305" s="46"/>
      <c r="Z305" s="46"/>
      <c r="AA305" s="41"/>
      <c r="AB305" s="22"/>
      <c r="AC305" s="22"/>
      <c r="AD305" s="41"/>
      <c r="AE305" s="22"/>
      <c r="AF305" s="22"/>
      <c r="AG305" s="48">
        <f t="shared" si="25"/>
        <v>17</v>
      </c>
      <c r="AH305" s="48">
        <f t="shared" si="26"/>
        <v>0</v>
      </c>
      <c r="AI305" s="48">
        <f t="shared" si="27"/>
        <v>17</v>
      </c>
      <c r="AJ305" s="40">
        <f t="shared" si="30"/>
        <v>46321</v>
      </c>
      <c r="AK305" s="40"/>
      <c r="AL305" s="40"/>
      <c r="AM305" s="22"/>
      <c r="AQ305" s="46"/>
    </row>
    <row r="306" spans="1:43" ht="17.399999999999999">
      <c r="A306" s="157" t="s">
        <v>19524</v>
      </c>
      <c r="B306" s="22" t="s">
        <v>19525</v>
      </c>
      <c r="C306" s="56" t="s">
        <v>19526</v>
      </c>
      <c r="D306" s="56" t="s">
        <v>33</v>
      </c>
      <c r="E306" s="22" t="s">
        <v>33</v>
      </c>
      <c r="F306" s="22" t="s">
        <v>33</v>
      </c>
      <c r="G306" s="22" t="s">
        <v>67</v>
      </c>
      <c r="H306" s="22" t="s">
        <v>629</v>
      </c>
      <c r="I306" s="49" t="s">
        <v>630</v>
      </c>
      <c r="J306" s="50" t="s">
        <v>631</v>
      </c>
      <c r="K306" s="22" t="s">
        <v>18504</v>
      </c>
      <c r="L306" s="22" t="s">
        <v>60</v>
      </c>
      <c r="M306" s="22">
        <v>13</v>
      </c>
      <c r="N306" s="22" t="s">
        <v>19527</v>
      </c>
      <c r="O306" s="22"/>
      <c r="P306" s="46" t="s">
        <v>19055</v>
      </c>
      <c r="Q306" s="40" t="s">
        <v>627</v>
      </c>
      <c r="R306" s="41">
        <v>46303</v>
      </c>
      <c r="S306" s="22">
        <f t="shared" si="28"/>
        <v>13</v>
      </c>
      <c r="T306" s="41"/>
      <c r="U306" s="41" t="str">
        <f t="shared" si="29"/>
        <v>Upload in customer box</v>
      </c>
      <c r="V306" s="44">
        <v>46314</v>
      </c>
      <c r="W306" s="44">
        <v>46329</v>
      </c>
      <c r="X306" s="46" t="s">
        <v>19574</v>
      </c>
      <c r="Y306" s="46">
        <v>13</v>
      </c>
      <c r="Z306" s="46"/>
      <c r="AA306" s="41"/>
      <c r="AB306" s="22"/>
      <c r="AC306" s="22"/>
      <c r="AD306" s="41"/>
      <c r="AE306" s="22"/>
      <c r="AF306" s="22"/>
      <c r="AG306" s="48">
        <f t="shared" si="25"/>
        <v>0</v>
      </c>
      <c r="AH306" s="48">
        <f t="shared" si="26"/>
        <v>13</v>
      </c>
      <c r="AI306" s="48">
        <f t="shared" si="27"/>
        <v>13</v>
      </c>
      <c r="AJ306" s="40">
        <f t="shared" si="30"/>
        <v>46324</v>
      </c>
      <c r="AK306" s="40"/>
      <c r="AL306" s="40"/>
      <c r="AM306" s="22"/>
      <c r="AQ306" s="46"/>
    </row>
    <row r="307" spans="1:43" ht="17.399999999999999">
      <c r="A307" s="157" t="s">
        <v>19528</v>
      </c>
      <c r="B307" s="22" t="s">
        <v>19525</v>
      </c>
      <c r="C307" s="56">
        <v>46268</v>
      </c>
      <c r="D307" s="56" t="s">
        <v>33</v>
      </c>
      <c r="E307" s="22" t="s">
        <v>33</v>
      </c>
      <c r="F307" s="22" t="s">
        <v>33</v>
      </c>
      <c r="G307" s="22" t="s">
        <v>19529</v>
      </c>
      <c r="H307" s="22" t="s">
        <v>2693</v>
      </c>
      <c r="I307" s="49" t="s">
        <v>704</v>
      </c>
      <c r="J307" s="50" t="s">
        <v>2694</v>
      </c>
      <c r="K307" s="22" t="s">
        <v>18504</v>
      </c>
      <c r="L307" s="22" t="s">
        <v>60</v>
      </c>
      <c r="M307" s="22">
        <v>1</v>
      </c>
      <c r="N307" s="22" t="s">
        <v>19530</v>
      </c>
      <c r="O307" s="22"/>
      <c r="P307" s="46" t="s">
        <v>2679</v>
      </c>
      <c r="Q307" s="40" t="s">
        <v>627</v>
      </c>
      <c r="R307" s="41">
        <v>46303</v>
      </c>
      <c r="S307" s="22">
        <f t="shared" si="28"/>
        <v>1</v>
      </c>
      <c r="T307" s="41">
        <v>46314</v>
      </c>
      <c r="U307" s="41" t="str">
        <f t="shared" si="29"/>
        <v/>
      </c>
      <c r="V307" s="44"/>
      <c r="W307" s="44"/>
      <c r="X307" s="46"/>
      <c r="Y307" s="46"/>
      <c r="Z307" s="46"/>
      <c r="AA307" s="41"/>
      <c r="AB307" s="22"/>
      <c r="AC307" s="22"/>
      <c r="AD307" s="41"/>
      <c r="AE307" s="22"/>
      <c r="AF307" s="22"/>
      <c r="AG307" s="48">
        <f t="shared" si="25"/>
        <v>1</v>
      </c>
      <c r="AH307" s="48">
        <f t="shared" si="26"/>
        <v>0</v>
      </c>
      <c r="AI307" s="48">
        <f t="shared" si="27"/>
        <v>1</v>
      </c>
      <c r="AJ307" s="40">
        <f t="shared" si="30"/>
        <v>46324</v>
      </c>
      <c r="AK307" s="40"/>
      <c r="AL307" s="40"/>
      <c r="AM307" s="22"/>
      <c r="AQ307" s="46"/>
    </row>
    <row r="308" spans="1:43" ht="17.399999999999999">
      <c r="A308" s="157" t="s">
        <v>19531</v>
      </c>
      <c r="B308" s="22" t="s">
        <v>19525</v>
      </c>
      <c r="C308" s="56">
        <v>46236</v>
      </c>
      <c r="D308" s="56" t="s">
        <v>33</v>
      </c>
      <c r="E308" s="22" t="s">
        <v>33</v>
      </c>
      <c r="F308" s="22" t="s">
        <v>33</v>
      </c>
      <c r="G308" s="22" t="s">
        <v>67</v>
      </c>
      <c r="H308" s="22" t="s">
        <v>744</v>
      </c>
      <c r="I308" s="49" t="s">
        <v>745</v>
      </c>
      <c r="J308" s="50" t="s">
        <v>746</v>
      </c>
      <c r="K308" s="22" t="s">
        <v>18504</v>
      </c>
      <c r="L308" s="22" t="s">
        <v>60</v>
      </c>
      <c r="M308" s="22">
        <v>4</v>
      </c>
      <c r="N308" s="22" t="s">
        <v>19532</v>
      </c>
      <c r="O308" s="22"/>
      <c r="P308" s="46" t="s">
        <v>19055</v>
      </c>
      <c r="Q308" s="40" t="s">
        <v>627</v>
      </c>
      <c r="R308" s="41">
        <v>46303</v>
      </c>
      <c r="S308" s="22">
        <f t="shared" si="28"/>
        <v>4</v>
      </c>
      <c r="T308" s="41"/>
      <c r="U308" s="41" t="str">
        <f t="shared" si="29"/>
        <v>Upload in customer box</v>
      </c>
      <c r="V308" s="44">
        <v>46314</v>
      </c>
      <c r="W308" s="44">
        <v>46329</v>
      </c>
      <c r="X308" s="46" t="s">
        <v>19574</v>
      </c>
      <c r="Y308" s="46">
        <v>4</v>
      </c>
      <c r="Z308" s="46"/>
      <c r="AA308" s="41"/>
      <c r="AB308" s="22"/>
      <c r="AC308" s="22"/>
      <c r="AD308" s="41"/>
      <c r="AE308" s="22"/>
      <c r="AF308" s="22"/>
      <c r="AG308" s="48">
        <f t="shared" si="25"/>
        <v>0</v>
      </c>
      <c r="AH308" s="48">
        <f t="shared" si="26"/>
        <v>4</v>
      </c>
      <c r="AI308" s="48">
        <f t="shared" si="27"/>
        <v>4</v>
      </c>
      <c r="AJ308" s="40">
        <f t="shared" si="30"/>
        <v>46324</v>
      </c>
      <c r="AK308" s="40"/>
      <c r="AL308" s="40"/>
      <c r="AM308" s="22"/>
      <c r="AQ308" s="46"/>
    </row>
    <row r="309" spans="1:43" ht="17.399999999999999">
      <c r="A309" s="157" t="s">
        <v>19533</v>
      </c>
      <c r="B309" s="22" t="s">
        <v>19534</v>
      </c>
      <c r="C309" s="56">
        <v>46300</v>
      </c>
      <c r="D309" s="56">
        <v>46273</v>
      </c>
      <c r="E309" s="22" t="s">
        <v>19535</v>
      </c>
      <c r="F309" s="22" t="s">
        <v>33</v>
      </c>
      <c r="G309" s="22" t="s">
        <v>33</v>
      </c>
      <c r="H309" s="22" t="s">
        <v>3477</v>
      </c>
      <c r="I309" s="49" t="s">
        <v>843</v>
      </c>
      <c r="J309" s="50" t="s">
        <v>4900</v>
      </c>
      <c r="K309" s="22" t="s">
        <v>846</v>
      </c>
      <c r="L309" s="22" t="s">
        <v>99</v>
      </c>
      <c r="M309" s="22">
        <v>1</v>
      </c>
      <c r="N309" s="22" t="s">
        <v>19536</v>
      </c>
      <c r="O309" s="22"/>
      <c r="P309" s="46" t="s">
        <v>19055</v>
      </c>
      <c r="Q309" s="40" t="s">
        <v>627</v>
      </c>
      <c r="R309" s="41">
        <v>46303</v>
      </c>
      <c r="S309" s="22">
        <f t="shared" si="28"/>
        <v>1</v>
      </c>
      <c r="T309" s="41"/>
      <c r="U309" s="41" t="str">
        <f t="shared" si="29"/>
        <v>Upload in customer box</v>
      </c>
      <c r="V309" s="44">
        <v>46314</v>
      </c>
      <c r="W309" s="44">
        <v>46329</v>
      </c>
      <c r="X309" s="46" t="s">
        <v>19574</v>
      </c>
      <c r="Y309" s="46">
        <v>1</v>
      </c>
      <c r="Z309" s="46"/>
      <c r="AA309" s="41"/>
      <c r="AB309" s="22"/>
      <c r="AC309" s="22"/>
      <c r="AD309" s="41"/>
      <c r="AE309" s="22"/>
      <c r="AF309" s="22"/>
      <c r="AG309" s="48">
        <f t="shared" si="25"/>
        <v>0</v>
      </c>
      <c r="AH309" s="48">
        <f t="shared" si="26"/>
        <v>1</v>
      </c>
      <c r="AI309" s="48">
        <f t="shared" si="27"/>
        <v>1</v>
      </c>
      <c r="AJ309" s="40">
        <f t="shared" si="30"/>
        <v>46324</v>
      </c>
      <c r="AK309" s="40"/>
      <c r="AL309" s="40"/>
      <c r="AM309" s="22"/>
      <c r="AQ309" s="46"/>
    </row>
    <row r="310" spans="1:43" ht="17.399999999999999">
      <c r="A310" s="157" t="s">
        <v>19537</v>
      </c>
      <c r="B310" s="22" t="s">
        <v>19534</v>
      </c>
      <c r="C310" s="56">
        <v>46297</v>
      </c>
      <c r="D310" s="56">
        <v>46237</v>
      </c>
      <c r="E310" s="22" t="s">
        <v>19538</v>
      </c>
      <c r="F310" s="22" t="s">
        <v>33</v>
      </c>
      <c r="G310" s="22" t="s">
        <v>33</v>
      </c>
      <c r="H310" s="231">
        <v>814</v>
      </c>
      <c r="I310" s="49" t="s">
        <v>1472</v>
      </c>
      <c r="J310" s="50" t="s">
        <v>1473</v>
      </c>
      <c r="K310" s="22" t="s">
        <v>846</v>
      </c>
      <c r="L310" s="22" t="s">
        <v>60</v>
      </c>
      <c r="M310" s="22">
        <v>1</v>
      </c>
      <c r="N310" s="22" t="s">
        <v>19539</v>
      </c>
      <c r="O310" s="22"/>
      <c r="P310" s="46" t="s">
        <v>19055</v>
      </c>
      <c r="Q310" s="40" t="s">
        <v>627</v>
      </c>
      <c r="R310" s="41">
        <v>46303</v>
      </c>
      <c r="S310" s="22">
        <f t="shared" si="28"/>
        <v>1</v>
      </c>
      <c r="T310" s="41"/>
      <c r="U310" s="41" t="str">
        <f t="shared" si="29"/>
        <v>Upload in customer box</v>
      </c>
      <c r="V310" s="44">
        <v>46314</v>
      </c>
      <c r="W310" s="44">
        <v>46329</v>
      </c>
      <c r="X310" s="46" t="s">
        <v>19574</v>
      </c>
      <c r="Y310" s="46">
        <v>1</v>
      </c>
      <c r="Z310" s="46"/>
      <c r="AA310" s="41"/>
      <c r="AB310" s="22"/>
      <c r="AC310" s="22"/>
      <c r="AD310" s="41"/>
      <c r="AE310" s="22"/>
      <c r="AF310" s="22"/>
      <c r="AG310" s="48">
        <f t="shared" si="25"/>
        <v>0</v>
      </c>
      <c r="AH310" s="48">
        <f t="shared" si="26"/>
        <v>1</v>
      </c>
      <c r="AI310" s="48">
        <f t="shared" si="27"/>
        <v>1</v>
      </c>
      <c r="AJ310" s="40">
        <f t="shared" si="30"/>
        <v>46324</v>
      </c>
      <c r="AK310" s="40"/>
      <c r="AL310" s="40"/>
      <c r="AM310" s="22"/>
      <c r="AQ310" s="46"/>
    </row>
    <row r="311" spans="1:43" s="163" customFormat="1" ht="17.399999999999999">
      <c r="A311" s="157" t="s">
        <v>19540</v>
      </c>
      <c r="B311" s="157" t="s">
        <v>19454</v>
      </c>
      <c r="C311" s="158">
        <v>46309</v>
      </c>
      <c r="D311" s="158">
        <v>46301</v>
      </c>
      <c r="E311" s="157" t="s">
        <v>19541</v>
      </c>
      <c r="F311" s="157" t="s">
        <v>33</v>
      </c>
      <c r="G311" s="157" t="s">
        <v>19542</v>
      </c>
      <c r="H311" s="157" t="s">
        <v>82</v>
      </c>
      <c r="I311" s="182" t="s">
        <v>83</v>
      </c>
      <c r="J311" s="183" t="s">
        <v>84</v>
      </c>
      <c r="K311" s="157" t="s">
        <v>18329</v>
      </c>
      <c r="L311" s="157" t="s">
        <v>60</v>
      </c>
      <c r="M311" s="157">
        <v>3</v>
      </c>
      <c r="N311" s="157" t="s">
        <v>19543</v>
      </c>
      <c r="O311" s="157"/>
      <c r="P311" s="159" t="s">
        <v>19054</v>
      </c>
      <c r="Q311" s="160" t="s">
        <v>728</v>
      </c>
      <c r="R311" s="161">
        <v>46309</v>
      </c>
      <c r="S311" s="157">
        <f t="shared" si="28"/>
        <v>3</v>
      </c>
      <c r="T311" s="161"/>
      <c r="U311" s="161" t="str">
        <f t="shared" si="29"/>
        <v/>
      </c>
      <c r="V311" s="164">
        <v>46321</v>
      </c>
      <c r="W311" s="164">
        <v>46329</v>
      </c>
      <c r="X311" s="159" t="s">
        <v>19582</v>
      </c>
      <c r="Y311" s="159">
        <v>3</v>
      </c>
      <c r="Z311" s="159"/>
      <c r="AA311" s="161"/>
      <c r="AB311" s="157"/>
      <c r="AC311" s="157"/>
      <c r="AD311" s="161"/>
      <c r="AE311" s="157"/>
      <c r="AF311" s="157"/>
      <c r="AG311" s="162">
        <f t="shared" si="25"/>
        <v>0</v>
      </c>
      <c r="AH311" s="162">
        <f t="shared" si="26"/>
        <v>3</v>
      </c>
      <c r="AI311" s="162">
        <f t="shared" si="27"/>
        <v>3</v>
      </c>
      <c r="AJ311" s="160">
        <f t="shared" si="30"/>
        <v>46330</v>
      </c>
      <c r="AK311" s="160"/>
      <c r="AL311" s="160"/>
      <c r="AM311" s="157"/>
      <c r="AN311" s="157"/>
      <c r="AO311" s="157"/>
      <c r="AP311" s="157"/>
      <c r="AQ311" s="159"/>
    </row>
    <row r="312" spans="1:43" s="163" customFormat="1" ht="17.399999999999999">
      <c r="A312" s="157" t="s">
        <v>19545</v>
      </c>
      <c r="B312" s="157" t="s">
        <v>19546</v>
      </c>
      <c r="C312" s="158">
        <v>46199</v>
      </c>
      <c r="D312" s="158">
        <v>45992</v>
      </c>
      <c r="E312" s="157" t="s">
        <v>19547</v>
      </c>
      <c r="F312" s="157" t="s">
        <v>33</v>
      </c>
      <c r="G312" s="157" t="s">
        <v>33</v>
      </c>
      <c r="H312" s="157" t="s">
        <v>303</v>
      </c>
      <c r="I312" s="182" t="s">
        <v>304</v>
      </c>
      <c r="J312" s="183" t="s">
        <v>305</v>
      </c>
      <c r="K312" s="157" t="s">
        <v>499</v>
      </c>
      <c r="L312" s="157" t="s">
        <v>60</v>
      </c>
      <c r="M312" s="157">
        <v>1</v>
      </c>
      <c r="N312" s="157" t="s">
        <v>19548</v>
      </c>
      <c r="O312" s="157"/>
      <c r="P312" s="159" t="s">
        <v>685</v>
      </c>
      <c r="Q312" s="160" t="s">
        <v>627</v>
      </c>
      <c r="R312" s="161">
        <v>46313</v>
      </c>
      <c r="S312" s="157">
        <f t="shared" si="28"/>
        <v>1</v>
      </c>
      <c r="T312" s="161"/>
      <c r="U312" s="161" t="str">
        <f t="shared" si="29"/>
        <v>Upload in customer box</v>
      </c>
      <c r="V312" s="164"/>
      <c r="W312" s="164"/>
      <c r="X312" s="159"/>
      <c r="Y312" s="159"/>
      <c r="Z312" s="159"/>
      <c r="AA312" s="161"/>
      <c r="AB312" s="157"/>
      <c r="AC312" s="157"/>
      <c r="AD312" s="161"/>
      <c r="AE312" s="157"/>
      <c r="AF312" s="157"/>
      <c r="AG312" s="162">
        <f t="shared" si="25"/>
        <v>1</v>
      </c>
      <c r="AH312" s="162">
        <f t="shared" si="26"/>
        <v>0</v>
      </c>
      <c r="AI312" s="162">
        <f t="shared" si="27"/>
        <v>1</v>
      </c>
      <c r="AJ312" s="160">
        <f t="shared" si="30"/>
        <v>46334</v>
      </c>
      <c r="AK312" s="160"/>
      <c r="AL312" s="160"/>
      <c r="AM312" s="157"/>
      <c r="AN312" s="157"/>
      <c r="AO312" s="157"/>
      <c r="AP312" s="157"/>
      <c r="AQ312" s="159"/>
    </row>
    <row r="313" spans="1:43" ht="17.399999999999999">
      <c r="A313" s="22" t="s">
        <v>19549</v>
      </c>
      <c r="B313" s="22" t="s">
        <v>19483</v>
      </c>
      <c r="C313" s="56" t="s">
        <v>19550</v>
      </c>
      <c r="D313" s="56" t="s">
        <v>33</v>
      </c>
      <c r="E313" s="22" t="s">
        <v>33</v>
      </c>
      <c r="F313" s="22" t="s">
        <v>33</v>
      </c>
      <c r="G313" s="22" t="s">
        <v>67</v>
      </c>
      <c r="H313" s="22" t="s">
        <v>410</v>
      </c>
      <c r="I313" s="49" t="s">
        <v>404</v>
      </c>
      <c r="J313" s="50" t="s">
        <v>411</v>
      </c>
      <c r="K313" s="22" t="s">
        <v>980</v>
      </c>
      <c r="L313" s="22" t="s">
        <v>60</v>
      </c>
      <c r="M313" s="22">
        <v>113</v>
      </c>
      <c r="N313" s="22" t="s">
        <v>19551</v>
      </c>
      <c r="O313" s="22"/>
      <c r="P313" s="46" t="s">
        <v>681</v>
      </c>
      <c r="Q313" s="40" t="s">
        <v>627</v>
      </c>
      <c r="R313" s="41">
        <v>46314</v>
      </c>
      <c r="S313" s="22">
        <f t="shared" si="28"/>
        <v>113</v>
      </c>
      <c r="T313" s="41"/>
      <c r="U313" s="41" t="str">
        <f t="shared" si="29"/>
        <v/>
      </c>
      <c r="V313" s="44"/>
      <c r="W313" s="44"/>
      <c r="X313" s="46"/>
      <c r="Y313" s="46"/>
      <c r="Z313" s="46"/>
      <c r="AA313" s="41"/>
      <c r="AB313" s="22"/>
      <c r="AC313" s="22"/>
      <c r="AD313" s="41"/>
      <c r="AE313" s="22"/>
      <c r="AF313" s="22"/>
      <c r="AG313" s="48">
        <f t="shared" si="25"/>
        <v>113</v>
      </c>
      <c r="AH313" s="48">
        <f t="shared" si="26"/>
        <v>0</v>
      </c>
      <c r="AI313" s="48">
        <f t="shared" si="27"/>
        <v>113</v>
      </c>
      <c r="AJ313" s="40">
        <f t="shared" si="30"/>
        <v>46335</v>
      </c>
      <c r="AK313" s="40"/>
      <c r="AL313" s="40"/>
      <c r="AM313" s="22"/>
      <c r="AQ313" s="46"/>
    </row>
    <row r="314" spans="1:43" ht="17.399999999999999">
      <c r="A314" s="22" t="s">
        <v>19552</v>
      </c>
      <c r="B314" s="22" t="s">
        <v>19246</v>
      </c>
      <c r="C314" s="56" t="s">
        <v>19550</v>
      </c>
      <c r="D314" s="56" t="s">
        <v>33</v>
      </c>
      <c r="E314" s="22" t="s">
        <v>33</v>
      </c>
      <c r="F314" s="22" t="s">
        <v>33</v>
      </c>
      <c r="G314" s="22" t="s">
        <v>67</v>
      </c>
      <c r="H314" s="22" t="s">
        <v>1403</v>
      </c>
      <c r="I314" s="49" t="s">
        <v>404</v>
      </c>
      <c r="J314" s="50" t="s">
        <v>1404</v>
      </c>
      <c r="K314" s="22" t="s">
        <v>980</v>
      </c>
      <c r="L314" s="22" t="s">
        <v>60</v>
      </c>
      <c r="M314" s="22">
        <v>619</v>
      </c>
      <c r="N314" s="22" t="s">
        <v>19553</v>
      </c>
      <c r="O314" s="22"/>
      <c r="P314" s="46" t="s">
        <v>681</v>
      </c>
      <c r="Q314" s="40" t="s">
        <v>18886</v>
      </c>
      <c r="R314" s="41">
        <v>46314</v>
      </c>
      <c r="S314" s="22">
        <f t="shared" si="28"/>
        <v>619</v>
      </c>
      <c r="T314" s="41"/>
      <c r="U314" s="41" t="str">
        <f t="shared" si="29"/>
        <v/>
      </c>
      <c r="V314" s="44"/>
      <c r="W314" s="44"/>
      <c r="X314" s="46"/>
      <c r="Y314" s="46"/>
      <c r="Z314" s="46"/>
      <c r="AA314" s="41"/>
      <c r="AB314" s="22"/>
      <c r="AC314" s="22"/>
      <c r="AD314" s="41"/>
      <c r="AE314" s="22"/>
      <c r="AF314" s="22"/>
      <c r="AG314" s="48">
        <f t="shared" si="25"/>
        <v>619</v>
      </c>
      <c r="AH314" s="48">
        <f t="shared" si="26"/>
        <v>0</v>
      </c>
      <c r="AI314" s="48">
        <f t="shared" si="27"/>
        <v>619</v>
      </c>
      <c r="AJ314" s="40">
        <f t="shared" si="30"/>
        <v>46335</v>
      </c>
      <c r="AK314" s="40"/>
      <c r="AL314" s="40"/>
      <c r="AM314" s="22"/>
      <c r="AQ314" s="46"/>
    </row>
    <row r="315" spans="1:43" ht="17.399999999999999">
      <c r="A315" s="22" t="s">
        <v>19554</v>
      </c>
      <c r="B315" s="22" t="s">
        <v>19555</v>
      </c>
      <c r="C315" s="56" t="s">
        <v>19550</v>
      </c>
      <c r="D315" s="56" t="s">
        <v>33</v>
      </c>
      <c r="E315" s="22" t="s">
        <v>33</v>
      </c>
      <c r="F315" s="22" t="s">
        <v>33</v>
      </c>
      <c r="G315" s="22" t="s">
        <v>67</v>
      </c>
      <c r="H315" s="22" t="s">
        <v>19556</v>
      </c>
      <c r="I315" s="49" t="s">
        <v>404</v>
      </c>
      <c r="J315" s="50" t="s">
        <v>405</v>
      </c>
      <c r="K315" s="22" t="s">
        <v>980</v>
      </c>
      <c r="L315" s="22" t="s">
        <v>60</v>
      </c>
      <c r="M315" s="22">
        <v>273</v>
      </c>
      <c r="N315" s="22" t="s">
        <v>19557</v>
      </c>
      <c r="O315" s="22"/>
      <c r="P315" s="46" t="s">
        <v>681</v>
      </c>
      <c r="Q315" s="40" t="s">
        <v>627</v>
      </c>
      <c r="R315" s="41">
        <v>46314</v>
      </c>
      <c r="S315" s="22">
        <f t="shared" si="28"/>
        <v>273</v>
      </c>
      <c r="T315" s="41"/>
      <c r="U315" s="41" t="str">
        <f t="shared" si="29"/>
        <v/>
      </c>
      <c r="V315" s="44"/>
      <c r="W315" s="44"/>
      <c r="X315" s="46"/>
      <c r="Y315" s="46"/>
      <c r="Z315" s="46"/>
      <c r="AA315" s="41"/>
      <c r="AB315" s="22"/>
      <c r="AC315" s="22"/>
      <c r="AD315" s="41"/>
      <c r="AE315" s="22"/>
      <c r="AF315" s="22"/>
      <c r="AG315" s="48">
        <f t="shared" si="25"/>
        <v>273</v>
      </c>
      <c r="AH315" s="48">
        <f t="shared" si="26"/>
        <v>0</v>
      </c>
      <c r="AI315" s="48">
        <f t="shared" si="27"/>
        <v>273</v>
      </c>
      <c r="AJ315" s="40">
        <f t="shared" si="30"/>
        <v>46335</v>
      </c>
      <c r="AK315" s="40"/>
      <c r="AL315" s="40"/>
      <c r="AM315" s="22"/>
      <c r="AQ315" s="46"/>
    </row>
    <row r="316" spans="1:43" ht="17.399999999999999">
      <c r="A316" s="22" t="s">
        <v>19558</v>
      </c>
      <c r="B316" s="22" t="s">
        <v>19555</v>
      </c>
      <c r="C316" s="56" t="s">
        <v>19550</v>
      </c>
      <c r="D316" s="56" t="s">
        <v>33</v>
      </c>
      <c r="E316" s="22" t="s">
        <v>33</v>
      </c>
      <c r="F316" s="22" t="s">
        <v>33</v>
      </c>
      <c r="G316" s="22" t="s">
        <v>67</v>
      </c>
      <c r="H316" s="22" t="s">
        <v>19559</v>
      </c>
      <c r="I316" s="49" t="s">
        <v>404</v>
      </c>
      <c r="J316" s="50" t="s">
        <v>11783</v>
      </c>
      <c r="K316" s="22" t="s">
        <v>980</v>
      </c>
      <c r="L316" s="22" t="s">
        <v>60</v>
      </c>
      <c r="M316" s="22">
        <v>273</v>
      </c>
      <c r="N316" s="22" t="s">
        <v>19560</v>
      </c>
      <c r="O316" s="22"/>
      <c r="P316" s="46" t="s">
        <v>681</v>
      </c>
      <c r="Q316" s="40" t="s">
        <v>627</v>
      </c>
      <c r="R316" s="41">
        <v>46314</v>
      </c>
      <c r="S316" s="22">
        <f t="shared" si="28"/>
        <v>273</v>
      </c>
      <c r="T316" s="41"/>
      <c r="U316" s="41" t="str">
        <f t="shared" si="29"/>
        <v/>
      </c>
      <c r="V316" s="44"/>
      <c r="W316" s="44"/>
      <c r="X316" s="46"/>
      <c r="Y316" s="46"/>
      <c r="Z316" s="46"/>
      <c r="AA316" s="41"/>
      <c r="AB316" s="22"/>
      <c r="AC316" s="22"/>
      <c r="AD316" s="41"/>
      <c r="AE316" s="22"/>
      <c r="AF316" s="22"/>
      <c r="AG316" s="48">
        <f t="shared" si="25"/>
        <v>273</v>
      </c>
      <c r="AH316" s="48">
        <f t="shared" si="26"/>
        <v>0</v>
      </c>
      <c r="AI316" s="48">
        <f t="shared" si="27"/>
        <v>273</v>
      </c>
      <c r="AJ316" s="40">
        <f t="shared" si="30"/>
        <v>46335</v>
      </c>
      <c r="AK316" s="40"/>
      <c r="AL316" s="40"/>
      <c r="AM316" s="22"/>
      <c r="AQ316" s="46"/>
    </row>
    <row r="317" spans="1:43" ht="17.399999999999999">
      <c r="A317" s="168" t="s">
        <v>19563</v>
      </c>
      <c r="B317" s="168" t="s">
        <v>19564</v>
      </c>
      <c r="C317" s="169">
        <v>46310</v>
      </c>
      <c r="D317" s="169">
        <v>46057</v>
      </c>
      <c r="E317" s="168" t="s">
        <v>19565</v>
      </c>
      <c r="F317" s="168" t="s">
        <v>33</v>
      </c>
      <c r="G317" s="168" t="s">
        <v>33</v>
      </c>
      <c r="H317" s="168" t="s">
        <v>19583</v>
      </c>
      <c r="I317" s="170" t="s">
        <v>818</v>
      </c>
      <c r="J317" s="171" t="s">
        <v>5288</v>
      </c>
      <c r="K317" s="168" t="s">
        <v>493</v>
      </c>
      <c r="L317" s="168" t="s">
        <v>60</v>
      </c>
      <c r="M317" s="168">
        <v>2</v>
      </c>
      <c r="N317" s="168" t="s">
        <v>19566</v>
      </c>
      <c r="O317" s="168"/>
      <c r="P317" s="172" t="s">
        <v>19584</v>
      </c>
      <c r="Q317" s="40" t="s">
        <v>627</v>
      </c>
      <c r="R317" s="41">
        <v>46316</v>
      </c>
      <c r="S317" s="22">
        <f t="shared" si="28"/>
        <v>2</v>
      </c>
      <c r="T317" s="41">
        <v>46323</v>
      </c>
      <c r="U317" s="41" t="str">
        <f t="shared" si="29"/>
        <v/>
      </c>
      <c r="V317" s="44"/>
      <c r="W317" s="44"/>
      <c r="X317" s="46"/>
      <c r="Y317" s="46"/>
      <c r="Z317" s="46"/>
      <c r="AA317" s="41"/>
      <c r="AB317" s="22"/>
      <c r="AC317" s="22"/>
      <c r="AD317" s="41"/>
      <c r="AE317" s="22"/>
      <c r="AF317" s="22"/>
      <c r="AG317" s="48">
        <f t="shared" si="25"/>
        <v>2</v>
      </c>
      <c r="AH317" s="48">
        <f t="shared" si="26"/>
        <v>0</v>
      </c>
      <c r="AI317" s="48">
        <f t="shared" si="27"/>
        <v>2</v>
      </c>
      <c r="AJ317" s="40">
        <f t="shared" si="30"/>
        <v>46337</v>
      </c>
      <c r="AK317" s="40"/>
      <c r="AL317" s="40"/>
      <c r="AM317" s="22"/>
      <c r="AQ317" s="46"/>
    </row>
    <row r="318" spans="1:43" ht="17.399999999999999">
      <c r="A318" s="22" t="s">
        <v>19576</v>
      </c>
      <c r="B318" s="22" t="s">
        <v>19577</v>
      </c>
      <c r="C318" s="56">
        <v>46304</v>
      </c>
      <c r="D318" s="56">
        <v>45709</v>
      </c>
      <c r="E318" s="22" t="s">
        <v>19578</v>
      </c>
      <c r="F318" s="22" t="s">
        <v>33</v>
      </c>
      <c r="G318" s="22" t="s">
        <v>33</v>
      </c>
      <c r="H318" s="22" t="s">
        <v>12254</v>
      </c>
      <c r="I318" s="49" t="s">
        <v>174</v>
      </c>
      <c r="J318" s="50" t="s">
        <v>12255</v>
      </c>
      <c r="K318" s="22" t="s">
        <v>51</v>
      </c>
      <c r="L318" s="22" t="s">
        <v>60</v>
      </c>
      <c r="M318" s="22">
        <v>1</v>
      </c>
      <c r="N318" s="22" t="s">
        <v>19579</v>
      </c>
      <c r="O318" s="22"/>
      <c r="P318" s="46" t="s">
        <v>683</v>
      </c>
      <c r="Q318" s="40" t="s">
        <v>627</v>
      </c>
      <c r="R318" s="41">
        <v>46321</v>
      </c>
      <c r="S318" s="22">
        <f t="shared" si="28"/>
        <v>1</v>
      </c>
      <c r="T318" s="41"/>
      <c r="U318" s="41" t="str">
        <f t="shared" si="29"/>
        <v>Upload in customer box</v>
      </c>
      <c r="V318" s="44"/>
      <c r="W318" s="44"/>
      <c r="X318" s="46"/>
      <c r="Y318" s="46"/>
      <c r="Z318" s="46"/>
      <c r="AA318" s="41"/>
      <c r="AB318" s="22"/>
      <c r="AC318" s="22"/>
      <c r="AD318" s="41"/>
      <c r="AE318" s="22"/>
      <c r="AF318" s="22"/>
      <c r="AG318" s="48">
        <f t="shared" si="25"/>
        <v>1</v>
      </c>
      <c r="AH318" s="48">
        <f t="shared" si="26"/>
        <v>0</v>
      </c>
      <c r="AI318" s="48">
        <f t="shared" si="27"/>
        <v>1</v>
      </c>
      <c r="AJ318" s="40">
        <f t="shared" si="30"/>
        <v>46342</v>
      </c>
      <c r="AK318" s="40"/>
      <c r="AL318" s="40"/>
      <c r="AM318" s="22"/>
      <c r="AQ318" s="46"/>
    </row>
    <row r="319" spans="1:43" ht="17.399999999999999">
      <c r="A319" s="22" t="s">
        <v>19585</v>
      </c>
      <c r="B319" s="22" t="s">
        <v>19586</v>
      </c>
      <c r="C319" s="56" t="s">
        <v>19587</v>
      </c>
      <c r="D319" s="56" t="s">
        <v>19588</v>
      </c>
      <c r="E319" s="22" t="s">
        <v>19589</v>
      </c>
      <c r="F319" s="22" t="s">
        <v>33</v>
      </c>
      <c r="G319" s="22" t="s">
        <v>19590</v>
      </c>
      <c r="H319" s="22">
        <v>402</v>
      </c>
      <c r="I319" s="49" t="s">
        <v>83</v>
      </c>
      <c r="J319" s="50" t="s">
        <v>847</v>
      </c>
      <c r="K319" s="22"/>
      <c r="L319" s="22" t="s">
        <v>60</v>
      </c>
      <c r="M319" s="22">
        <v>4</v>
      </c>
      <c r="N319" s="22" t="s">
        <v>19591</v>
      </c>
      <c r="O319" s="22"/>
      <c r="P319" s="46" t="s">
        <v>19055</v>
      </c>
      <c r="Q319" s="40" t="s">
        <v>19592</v>
      </c>
      <c r="R319" s="41">
        <v>46323</v>
      </c>
      <c r="S319" s="22">
        <f t="shared" si="28"/>
        <v>4</v>
      </c>
      <c r="T319" s="41"/>
      <c r="U319" s="41" t="str">
        <f t="shared" si="29"/>
        <v>Upload in customer box</v>
      </c>
      <c r="V319" s="44"/>
      <c r="W319" s="44"/>
      <c r="X319" s="46"/>
      <c r="Y319" s="46"/>
      <c r="Z319" s="46"/>
      <c r="AA319" s="41"/>
      <c r="AB319" s="22"/>
      <c r="AC319" s="22"/>
      <c r="AD319" s="41"/>
      <c r="AE319" s="22"/>
      <c r="AF319" s="22"/>
      <c r="AG319" s="48">
        <f t="shared" si="25"/>
        <v>4</v>
      </c>
      <c r="AH319" s="48">
        <f t="shared" si="26"/>
        <v>0</v>
      </c>
      <c r="AI319" s="48">
        <f t="shared" si="27"/>
        <v>4</v>
      </c>
      <c r="AJ319" s="40">
        <f t="shared" si="30"/>
        <v>46344</v>
      </c>
      <c r="AK319" s="40"/>
      <c r="AL319" s="40"/>
      <c r="AM319" s="22"/>
      <c r="AQ319" s="46"/>
    </row>
    <row r="320" spans="1:43" ht="17.399999999999999">
      <c r="A320" s="22"/>
      <c r="B320" s="22"/>
      <c r="C320" s="56"/>
      <c r="D320" s="56"/>
      <c r="E320" s="22"/>
      <c r="F320" s="22"/>
      <c r="G320" s="22"/>
      <c r="H320" s="22"/>
      <c r="I320" s="49"/>
      <c r="J320" s="50"/>
      <c r="K320" s="22"/>
      <c r="L320" s="22"/>
      <c r="M320" s="22"/>
      <c r="N320" s="22"/>
      <c r="O320" s="22"/>
      <c r="P320" s="46"/>
      <c r="Q320" s="40"/>
      <c r="R320" s="41"/>
      <c r="S320" s="22" t="str">
        <f t="shared" si="28"/>
        <v/>
      </c>
      <c r="T320" s="41"/>
      <c r="U320" s="41" t="str">
        <f t="shared" si="29"/>
        <v/>
      </c>
      <c r="V320" s="44"/>
      <c r="W320" s="44"/>
      <c r="X320" s="46"/>
      <c r="Y320" s="46"/>
      <c r="Z320" s="46"/>
      <c r="AA320" s="41"/>
      <c r="AB320" s="22"/>
      <c r="AC320" s="22"/>
      <c r="AD320" s="41"/>
      <c r="AE320" s="22"/>
      <c r="AF320" s="22"/>
      <c r="AG320" s="48" t="str">
        <f t="shared" si="25"/>
        <v/>
      </c>
      <c r="AH320" s="48" t="str">
        <f t="shared" si="26"/>
        <v/>
      </c>
      <c r="AI320" s="48" t="str">
        <f t="shared" si="27"/>
        <v/>
      </c>
      <c r="AJ320" s="40" t="str">
        <f t="shared" si="30"/>
        <v/>
      </c>
      <c r="AK320" s="40"/>
      <c r="AL320" s="40"/>
      <c r="AM320" s="22"/>
      <c r="AQ320" s="46"/>
    </row>
    <row r="321" spans="1:43" ht="17.399999999999999">
      <c r="A321" s="22"/>
      <c r="B321" s="22"/>
      <c r="C321" s="56"/>
      <c r="D321" s="56"/>
      <c r="E321" s="22"/>
      <c r="F321" s="22"/>
      <c r="G321" s="22"/>
      <c r="H321" s="22"/>
      <c r="I321" s="49"/>
      <c r="J321" s="50"/>
      <c r="K321" s="22"/>
      <c r="L321" s="22"/>
      <c r="M321" s="22"/>
      <c r="N321" s="22"/>
      <c r="O321" s="22"/>
      <c r="P321" s="46"/>
      <c r="Q321" s="40"/>
      <c r="R321" s="41"/>
      <c r="S321" s="22" t="str">
        <f t="shared" si="28"/>
        <v/>
      </c>
      <c r="T321" s="41"/>
      <c r="U321" s="41" t="str">
        <f t="shared" si="29"/>
        <v/>
      </c>
      <c r="V321" s="44"/>
      <c r="W321" s="44"/>
      <c r="X321" s="46"/>
      <c r="Y321" s="46"/>
      <c r="Z321" s="46"/>
      <c r="AA321" s="41"/>
      <c r="AB321" s="22"/>
      <c r="AC321" s="22"/>
      <c r="AD321" s="41"/>
      <c r="AE321" s="22"/>
      <c r="AF321" s="22"/>
      <c r="AG321" s="48" t="str">
        <f t="shared" si="25"/>
        <v/>
      </c>
      <c r="AH321" s="48" t="str">
        <f t="shared" si="26"/>
        <v/>
      </c>
      <c r="AI321" s="48" t="str">
        <f t="shared" si="27"/>
        <v/>
      </c>
      <c r="AJ321" s="40" t="str">
        <f t="shared" si="30"/>
        <v/>
      </c>
      <c r="AK321" s="40"/>
      <c r="AL321" s="40"/>
      <c r="AM321" s="22"/>
      <c r="AQ321" s="46"/>
    </row>
    <row r="322" spans="1:43" ht="17.399999999999999">
      <c r="A322" s="22"/>
      <c r="B322" s="22"/>
      <c r="C322" s="56"/>
      <c r="D322" s="56"/>
      <c r="E322" s="22"/>
      <c r="F322" s="22"/>
      <c r="G322" s="22"/>
      <c r="H322" s="22"/>
      <c r="I322" s="49"/>
      <c r="J322" s="50"/>
      <c r="K322" s="22"/>
      <c r="L322" s="22"/>
      <c r="M322" s="22"/>
      <c r="N322" s="22"/>
      <c r="O322" s="22"/>
      <c r="P322" s="46"/>
      <c r="Q322" s="40"/>
      <c r="R322" s="41"/>
      <c r="S322" s="22" t="str">
        <f t="shared" si="28"/>
        <v/>
      </c>
      <c r="T322" s="41"/>
      <c r="U322" s="41" t="str">
        <f t="shared" si="29"/>
        <v/>
      </c>
      <c r="V322" s="44"/>
      <c r="W322" s="44"/>
      <c r="X322" s="46"/>
      <c r="Y322" s="46"/>
      <c r="Z322" s="46"/>
      <c r="AA322" s="41"/>
      <c r="AB322" s="22"/>
      <c r="AC322" s="22"/>
      <c r="AD322" s="41"/>
      <c r="AE322" s="22"/>
      <c r="AF322" s="22"/>
      <c r="AG322" s="48" t="str">
        <f t="shared" si="25"/>
        <v/>
      </c>
      <c r="AH322" s="48" t="str">
        <f t="shared" si="26"/>
        <v/>
      </c>
      <c r="AI322" s="48" t="str">
        <f t="shared" si="27"/>
        <v/>
      </c>
      <c r="AJ322" s="40" t="str">
        <f t="shared" si="30"/>
        <v/>
      </c>
      <c r="AK322" s="40"/>
      <c r="AL322" s="40"/>
      <c r="AM322" s="22"/>
      <c r="AQ322" s="46"/>
    </row>
    <row r="323" spans="1:43" ht="17.399999999999999">
      <c r="A323" s="22"/>
      <c r="B323" s="22"/>
      <c r="C323" s="56"/>
      <c r="D323" s="56"/>
      <c r="E323" s="22"/>
      <c r="F323" s="22"/>
      <c r="G323" s="22"/>
      <c r="H323" s="22"/>
      <c r="I323" s="49"/>
      <c r="J323" s="50"/>
      <c r="K323" s="22"/>
      <c r="L323" s="22"/>
      <c r="M323" s="22"/>
      <c r="N323" s="22"/>
      <c r="O323" s="22"/>
      <c r="P323" s="46"/>
      <c r="Q323" s="40"/>
      <c r="R323" s="41"/>
      <c r="S323" s="22" t="str">
        <f t="shared" ref="S323:S386" si="31">IF(A323="","",M323+O323)</f>
        <v/>
      </c>
      <c r="T323" s="41"/>
      <c r="U323" s="41" t="str">
        <f t="shared" si="29"/>
        <v/>
      </c>
      <c r="V323" s="44"/>
      <c r="W323" s="44"/>
      <c r="X323" s="46"/>
      <c r="Y323" s="46"/>
      <c r="Z323" s="46"/>
      <c r="AA323" s="41"/>
      <c r="AB323" s="22"/>
      <c r="AC323" s="22"/>
      <c r="AD323" s="41"/>
      <c r="AE323" s="22"/>
      <c r="AF323" s="22"/>
      <c r="AG323" s="48" t="str">
        <f t="shared" ref="AG323:AG386" si="32">IF(A323="","",S323-Y323)</f>
        <v/>
      </c>
      <c r="AH323" s="48" t="str">
        <f t="shared" ref="AH323:AH386" si="33">IF(A323="","",Y323-(AC323+AF323))</f>
        <v/>
      </c>
      <c r="AI323" s="48" t="str">
        <f t="shared" ref="AI323:AI386" si="34">IF(A323="","",AG323+AH323)</f>
        <v/>
      </c>
      <c r="AJ323" s="40" t="str">
        <f t="shared" si="30"/>
        <v/>
      </c>
      <c r="AK323" s="40"/>
      <c r="AL323" s="40"/>
      <c r="AM323" s="22"/>
      <c r="AQ323" s="46"/>
    </row>
    <row r="324" spans="1:43" ht="17.399999999999999">
      <c r="A324" s="22"/>
      <c r="B324" s="22"/>
      <c r="C324" s="56"/>
      <c r="D324" s="56"/>
      <c r="E324" s="22"/>
      <c r="F324" s="22"/>
      <c r="G324" s="22"/>
      <c r="H324" s="22"/>
      <c r="I324" s="49"/>
      <c r="J324" s="50"/>
      <c r="K324" s="22"/>
      <c r="L324" s="22"/>
      <c r="M324" s="22"/>
      <c r="N324" s="22"/>
      <c r="O324" s="22"/>
      <c r="P324" s="46"/>
      <c r="Q324" s="40"/>
      <c r="R324" s="41"/>
      <c r="S324" s="22" t="str">
        <f t="shared" si="31"/>
        <v/>
      </c>
      <c r="T324" s="41"/>
      <c r="U324" s="41" t="str">
        <f t="shared" ref="U324:U387" si="35">IF(OR(P324="FEC-FS",P324="PALTEK",P324="SDSE(TOKE)"),"Upload in customer box","")</f>
        <v/>
      </c>
      <c r="V324" s="44"/>
      <c r="W324" s="44"/>
      <c r="X324" s="46"/>
      <c r="Y324" s="46"/>
      <c r="Z324" s="46"/>
      <c r="AA324" s="41"/>
      <c r="AB324" s="22"/>
      <c r="AC324" s="22"/>
      <c r="AD324" s="41"/>
      <c r="AE324" s="22"/>
      <c r="AF324" s="22"/>
      <c r="AG324" s="48" t="str">
        <f t="shared" si="32"/>
        <v/>
      </c>
      <c r="AH324" s="48" t="str">
        <f t="shared" si="33"/>
        <v/>
      </c>
      <c r="AI324" s="48" t="str">
        <f t="shared" si="34"/>
        <v/>
      </c>
      <c r="AJ324" s="40" t="str">
        <f t="shared" si="30"/>
        <v/>
      </c>
      <c r="AK324" s="40"/>
      <c r="AL324" s="40"/>
      <c r="AM324" s="22"/>
      <c r="AQ324" s="46"/>
    </row>
    <row r="325" spans="1:43" ht="17.399999999999999">
      <c r="A325" s="22"/>
      <c r="B325" s="22"/>
      <c r="C325" s="56"/>
      <c r="D325" s="56"/>
      <c r="E325" s="22"/>
      <c r="F325" s="22"/>
      <c r="G325" s="22"/>
      <c r="H325" s="22"/>
      <c r="I325" s="49"/>
      <c r="J325" s="50"/>
      <c r="K325" s="22"/>
      <c r="L325" s="22"/>
      <c r="M325" s="22"/>
      <c r="N325" s="22"/>
      <c r="O325" s="22"/>
      <c r="P325" s="46"/>
      <c r="Q325" s="40"/>
      <c r="R325" s="41"/>
      <c r="S325" s="22" t="str">
        <f t="shared" si="31"/>
        <v/>
      </c>
      <c r="T325" s="41"/>
      <c r="U325" s="41" t="str">
        <f t="shared" si="35"/>
        <v/>
      </c>
      <c r="V325" s="44"/>
      <c r="W325" s="44"/>
      <c r="X325" s="46"/>
      <c r="Y325" s="46"/>
      <c r="Z325" s="46"/>
      <c r="AA325" s="41"/>
      <c r="AB325" s="22"/>
      <c r="AC325" s="22"/>
      <c r="AD325" s="41"/>
      <c r="AE325" s="22"/>
      <c r="AF325" s="22"/>
      <c r="AG325" s="48" t="str">
        <f t="shared" si="32"/>
        <v/>
      </c>
      <c r="AH325" s="48" t="str">
        <f t="shared" si="33"/>
        <v/>
      </c>
      <c r="AI325" s="48" t="str">
        <f t="shared" si="34"/>
        <v/>
      </c>
      <c r="AJ325" s="40" t="str">
        <f t="shared" si="30"/>
        <v/>
      </c>
      <c r="AK325" s="40"/>
      <c r="AL325" s="40"/>
      <c r="AM325" s="22"/>
      <c r="AQ325" s="46"/>
    </row>
    <row r="326" spans="1:43" ht="17.399999999999999">
      <c r="A326" s="22"/>
      <c r="B326" s="22"/>
      <c r="C326" s="56"/>
      <c r="D326" s="56"/>
      <c r="E326" s="22"/>
      <c r="F326" s="22"/>
      <c r="G326" s="22"/>
      <c r="H326" s="22"/>
      <c r="I326" s="49"/>
      <c r="J326" s="50"/>
      <c r="K326" s="22"/>
      <c r="L326" s="22"/>
      <c r="M326" s="22"/>
      <c r="N326" s="22"/>
      <c r="O326" s="22"/>
      <c r="P326" s="46"/>
      <c r="Q326" s="40"/>
      <c r="R326" s="41"/>
      <c r="S326" s="22" t="str">
        <f t="shared" si="31"/>
        <v/>
      </c>
      <c r="T326" s="41"/>
      <c r="U326" s="41" t="str">
        <f t="shared" si="35"/>
        <v/>
      </c>
      <c r="V326" s="44"/>
      <c r="W326" s="44"/>
      <c r="X326" s="46"/>
      <c r="Y326" s="46"/>
      <c r="Z326" s="46"/>
      <c r="AA326" s="41"/>
      <c r="AB326" s="22"/>
      <c r="AC326" s="22"/>
      <c r="AD326" s="41"/>
      <c r="AE326" s="22"/>
      <c r="AF326" s="22"/>
      <c r="AG326" s="48" t="str">
        <f t="shared" si="32"/>
        <v/>
      </c>
      <c r="AH326" s="48" t="str">
        <f t="shared" si="33"/>
        <v/>
      </c>
      <c r="AI326" s="48" t="str">
        <f t="shared" si="34"/>
        <v/>
      </c>
      <c r="AJ326" s="40" t="str">
        <f t="shared" si="30"/>
        <v/>
      </c>
      <c r="AK326" s="40"/>
      <c r="AL326" s="40"/>
      <c r="AM326" s="22"/>
      <c r="AQ326" s="46"/>
    </row>
    <row r="327" spans="1:43" ht="17.399999999999999">
      <c r="A327" s="22"/>
      <c r="B327" s="22"/>
      <c r="C327" s="56"/>
      <c r="D327" s="56"/>
      <c r="E327" s="22"/>
      <c r="F327" s="22"/>
      <c r="G327" s="22"/>
      <c r="H327" s="22"/>
      <c r="I327" s="49"/>
      <c r="J327" s="50"/>
      <c r="K327" s="22"/>
      <c r="L327" s="22"/>
      <c r="M327" s="22"/>
      <c r="N327" s="22"/>
      <c r="O327" s="22"/>
      <c r="P327" s="46"/>
      <c r="Q327" s="40"/>
      <c r="R327" s="41"/>
      <c r="S327" s="22" t="str">
        <f t="shared" si="31"/>
        <v/>
      </c>
      <c r="T327" s="41"/>
      <c r="U327" s="41" t="str">
        <f t="shared" si="35"/>
        <v/>
      </c>
      <c r="V327" s="44"/>
      <c r="W327" s="44"/>
      <c r="X327" s="46"/>
      <c r="Y327" s="46"/>
      <c r="Z327" s="46"/>
      <c r="AA327" s="41"/>
      <c r="AB327" s="22"/>
      <c r="AC327" s="22"/>
      <c r="AD327" s="41"/>
      <c r="AE327" s="22"/>
      <c r="AF327" s="22"/>
      <c r="AG327" s="48" t="str">
        <f t="shared" si="32"/>
        <v/>
      </c>
      <c r="AH327" s="48" t="str">
        <f t="shared" si="33"/>
        <v/>
      </c>
      <c r="AI327" s="48" t="str">
        <f t="shared" si="34"/>
        <v/>
      </c>
      <c r="AJ327" s="40" t="str">
        <f t="shared" si="30"/>
        <v/>
      </c>
      <c r="AK327" s="40"/>
      <c r="AL327" s="40"/>
      <c r="AM327" s="22"/>
      <c r="AQ327" s="46"/>
    </row>
    <row r="328" spans="1:43" ht="17.399999999999999">
      <c r="A328" s="22"/>
      <c r="B328" s="22"/>
      <c r="C328" s="56"/>
      <c r="D328" s="56"/>
      <c r="E328" s="22"/>
      <c r="F328" s="22"/>
      <c r="G328" s="22"/>
      <c r="H328" s="22"/>
      <c r="I328" s="49"/>
      <c r="J328" s="50"/>
      <c r="K328" s="22"/>
      <c r="L328" s="22"/>
      <c r="M328" s="22"/>
      <c r="N328" s="22"/>
      <c r="O328" s="22"/>
      <c r="P328" s="46"/>
      <c r="Q328" s="40"/>
      <c r="R328" s="41"/>
      <c r="S328" s="22" t="str">
        <f t="shared" si="31"/>
        <v/>
      </c>
      <c r="T328" s="41"/>
      <c r="U328" s="41" t="str">
        <f t="shared" si="35"/>
        <v/>
      </c>
      <c r="V328" s="44"/>
      <c r="W328" s="44"/>
      <c r="X328" s="46"/>
      <c r="Y328" s="46"/>
      <c r="Z328" s="46"/>
      <c r="AA328" s="41"/>
      <c r="AB328" s="22"/>
      <c r="AC328" s="22"/>
      <c r="AD328" s="41"/>
      <c r="AE328" s="22"/>
      <c r="AF328" s="22"/>
      <c r="AG328" s="48" t="str">
        <f t="shared" si="32"/>
        <v/>
      </c>
      <c r="AH328" s="48" t="str">
        <f t="shared" si="33"/>
        <v/>
      </c>
      <c r="AI328" s="48" t="str">
        <f t="shared" si="34"/>
        <v/>
      </c>
      <c r="AJ328" s="40" t="str">
        <f t="shared" si="30"/>
        <v/>
      </c>
      <c r="AK328" s="40"/>
      <c r="AL328" s="40"/>
      <c r="AM328" s="22"/>
      <c r="AQ328" s="46"/>
    </row>
    <row r="329" spans="1:43" ht="17.399999999999999">
      <c r="A329" s="22"/>
      <c r="B329" s="22"/>
      <c r="C329" s="56"/>
      <c r="D329" s="56"/>
      <c r="E329" s="22"/>
      <c r="F329" s="22"/>
      <c r="G329" s="22"/>
      <c r="H329" s="22"/>
      <c r="I329" s="49"/>
      <c r="J329" s="50"/>
      <c r="K329" s="22"/>
      <c r="L329" s="22"/>
      <c r="M329" s="22"/>
      <c r="N329" s="22"/>
      <c r="O329" s="22"/>
      <c r="P329" s="46"/>
      <c r="Q329" s="40"/>
      <c r="R329" s="41"/>
      <c r="S329" s="22" t="str">
        <f t="shared" si="31"/>
        <v/>
      </c>
      <c r="T329" s="41"/>
      <c r="U329" s="41" t="str">
        <f t="shared" si="35"/>
        <v/>
      </c>
      <c r="V329" s="44"/>
      <c r="W329" s="44"/>
      <c r="X329" s="46"/>
      <c r="Y329" s="46"/>
      <c r="Z329" s="46"/>
      <c r="AA329" s="41"/>
      <c r="AB329" s="22"/>
      <c r="AC329" s="22"/>
      <c r="AD329" s="41"/>
      <c r="AE329" s="22"/>
      <c r="AF329" s="22"/>
      <c r="AG329" s="48" t="str">
        <f t="shared" si="32"/>
        <v/>
      </c>
      <c r="AH329" s="48" t="str">
        <f t="shared" si="33"/>
        <v/>
      </c>
      <c r="AI329" s="48" t="str">
        <f t="shared" si="34"/>
        <v/>
      </c>
      <c r="AJ329" s="40" t="str">
        <f t="shared" si="30"/>
        <v/>
      </c>
      <c r="AK329" s="40"/>
      <c r="AL329" s="40"/>
      <c r="AM329" s="22"/>
      <c r="AQ329" s="46"/>
    </row>
    <row r="330" spans="1:43" ht="17.399999999999999">
      <c r="A330" s="22"/>
      <c r="B330" s="22"/>
      <c r="C330" s="56"/>
      <c r="D330" s="56"/>
      <c r="E330" s="22"/>
      <c r="F330" s="22"/>
      <c r="G330" s="22"/>
      <c r="H330" s="22"/>
      <c r="I330" s="49"/>
      <c r="J330" s="50"/>
      <c r="K330" s="22"/>
      <c r="L330" s="22"/>
      <c r="M330" s="22"/>
      <c r="N330" s="22"/>
      <c r="O330" s="22"/>
      <c r="P330" s="46"/>
      <c r="Q330" s="40"/>
      <c r="R330" s="41"/>
      <c r="S330" s="22" t="str">
        <f t="shared" si="31"/>
        <v/>
      </c>
      <c r="T330" s="41"/>
      <c r="U330" s="41" t="str">
        <f t="shared" si="35"/>
        <v/>
      </c>
      <c r="V330" s="44"/>
      <c r="W330" s="44"/>
      <c r="X330" s="46"/>
      <c r="Y330" s="46"/>
      <c r="Z330" s="46"/>
      <c r="AA330" s="41"/>
      <c r="AB330" s="22"/>
      <c r="AC330" s="22"/>
      <c r="AD330" s="41"/>
      <c r="AE330" s="22"/>
      <c r="AF330" s="22"/>
      <c r="AG330" s="48" t="str">
        <f t="shared" si="32"/>
        <v/>
      </c>
      <c r="AH330" s="48" t="str">
        <f t="shared" si="33"/>
        <v/>
      </c>
      <c r="AI330" s="48" t="str">
        <f t="shared" si="34"/>
        <v/>
      </c>
      <c r="AJ330" s="40" t="str">
        <f t="shared" si="30"/>
        <v/>
      </c>
      <c r="AK330" s="40"/>
      <c r="AL330" s="40"/>
      <c r="AM330" s="22"/>
      <c r="AQ330" s="46"/>
    </row>
    <row r="331" spans="1:43" ht="17.399999999999999">
      <c r="A331" s="22"/>
      <c r="B331" s="22"/>
      <c r="C331" s="56"/>
      <c r="D331" s="56"/>
      <c r="E331" s="22"/>
      <c r="F331" s="22"/>
      <c r="G331" s="22"/>
      <c r="H331" s="22"/>
      <c r="I331" s="49"/>
      <c r="J331" s="50"/>
      <c r="K331" s="22"/>
      <c r="L331" s="22"/>
      <c r="M331" s="22"/>
      <c r="N331" s="22"/>
      <c r="O331" s="22"/>
      <c r="P331" s="46"/>
      <c r="Q331" s="40"/>
      <c r="R331" s="41"/>
      <c r="S331" s="22" t="str">
        <f t="shared" si="31"/>
        <v/>
      </c>
      <c r="T331" s="41"/>
      <c r="U331" s="41" t="str">
        <f t="shared" si="35"/>
        <v/>
      </c>
      <c r="V331" s="44"/>
      <c r="W331" s="44"/>
      <c r="X331" s="46"/>
      <c r="Y331" s="46"/>
      <c r="Z331" s="46"/>
      <c r="AA331" s="41"/>
      <c r="AB331" s="22"/>
      <c r="AC331" s="22"/>
      <c r="AD331" s="41"/>
      <c r="AE331" s="22"/>
      <c r="AF331" s="22"/>
      <c r="AG331" s="48" t="str">
        <f t="shared" si="32"/>
        <v/>
      </c>
      <c r="AH331" s="48" t="str">
        <f t="shared" si="33"/>
        <v/>
      </c>
      <c r="AI331" s="48" t="str">
        <f t="shared" si="34"/>
        <v/>
      </c>
      <c r="AJ331" s="40" t="str">
        <f t="shared" si="30"/>
        <v/>
      </c>
      <c r="AK331" s="40"/>
      <c r="AL331" s="40"/>
      <c r="AM331" s="22"/>
      <c r="AQ331" s="46"/>
    </row>
    <row r="332" spans="1:43" ht="17.399999999999999">
      <c r="A332" s="22"/>
      <c r="B332" s="22"/>
      <c r="C332" s="56"/>
      <c r="D332" s="56"/>
      <c r="E332" s="22"/>
      <c r="F332" s="22"/>
      <c r="G332" s="22"/>
      <c r="H332" s="22"/>
      <c r="I332" s="49"/>
      <c r="J332" s="50"/>
      <c r="K332" s="22"/>
      <c r="L332" s="22"/>
      <c r="M332" s="22"/>
      <c r="N332" s="22"/>
      <c r="O332" s="22"/>
      <c r="P332" s="46"/>
      <c r="Q332" s="40"/>
      <c r="R332" s="41"/>
      <c r="S332" s="22" t="str">
        <f t="shared" si="31"/>
        <v/>
      </c>
      <c r="T332" s="41"/>
      <c r="U332" s="41" t="str">
        <f t="shared" si="35"/>
        <v/>
      </c>
      <c r="V332" s="44"/>
      <c r="W332" s="44"/>
      <c r="X332" s="46"/>
      <c r="Y332" s="46"/>
      <c r="Z332" s="46"/>
      <c r="AA332" s="41"/>
      <c r="AB332" s="22"/>
      <c r="AC332" s="22"/>
      <c r="AD332" s="41"/>
      <c r="AE332" s="22"/>
      <c r="AF332" s="22"/>
      <c r="AG332" s="48" t="str">
        <f t="shared" si="32"/>
        <v/>
      </c>
      <c r="AH332" s="48" t="str">
        <f t="shared" si="33"/>
        <v/>
      </c>
      <c r="AI332" s="48" t="str">
        <f t="shared" si="34"/>
        <v/>
      </c>
      <c r="AJ332" s="40" t="str">
        <f t="shared" si="30"/>
        <v/>
      </c>
      <c r="AK332" s="40"/>
      <c r="AL332" s="40"/>
      <c r="AM332" s="22"/>
      <c r="AQ332" s="46"/>
    </row>
    <row r="333" spans="1:43" ht="17.399999999999999">
      <c r="A333" s="22"/>
      <c r="B333" s="22"/>
      <c r="C333" s="56"/>
      <c r="D333" s="56"/>
      <c r="E333" s="22"/>
      <c r="F333" s="22"/>
      <c r="G333" s="22"/>
      <c r="H333" s="22"/>
      <c r="I333" s="49"/>
      <c r="J333" s="50"/>
      <c r="K333" s="22"/>
      <c r="L333" s="22"/>
      <c r="M333" s="22"/>
      <c r="N333" s="22"/>
      <c r="O333" s="22"/>
      <c r="P333" s="46"/>
      <c r="Q333" s="40"/>
      <c r="R333" s="41"/>
      <c r="S333" s="22" t="str">
        <f t="shared" si="31"/>
        <v/>
      </c>
      <c r="T333" s="41"/>
      <c r="U333" s="41" t="str">
        <f t="shared" si="35"/>
        <v/>
      </c>
      <c r="V333" s="44"/>
      <c r="W333" s="44"/>
      <c r="X333" s="46"/>
      <c r="Y333" s="46"/>
      <c r="Z333" s="46"/>
      <c r="AA333" s="41"/>
      <c r="AB333" s="22"/>
      <c r="AC333" s="22"/>
      <c r="AD333" s="41"/>
      <c r="AE333" s="22"/>
      <c r="AF333" s="22"/>
      <c r="AG333" s="48" t="str">
        <f t="shared" si="32"/>
        <v/>
      </c>
      <c r="AH333" s="48" t="str">
        <f t="shared" si="33"/>
        <v/>
      </c>
      <c r="AI333" s="48" t="str">
        <f t="shared" si="34"/>
        <v/>
      </c>
      <c r="AJ333" s="40" t="str">
        <f t="shared" si="30"/>
        <v/>
      </c>
      <c r="AK333" s="40"/>
      <c r="AL333" s="40"/>
      <c r="AM333" s="22"/>
      <c r="AQ333" s="46"/>
    </row>
    <row r="334" spans="1:43" ht="17.399999999999999">
      <c r="A334" s="22"/>
      <c r="B334" s="22"/>
      <c r="C334" s="56"/>
      <c r="D334" s="56"/>
      <c r="E334" s="22"/>
      <c r="F334" s="22"/>
      <c r="G334" s="22"/>
      <c r="H334" s="22"/>
      <c r="I334" s="49"/>
      <c r="J334" s="50"/>
      <c r="K334" s="22"/>
      <c r="L334" s="22"/>
      <c r="M334" s="22"/>
      <c r="N334" s="22"/>
      <c r="O334" s="22"/>
      <c r="P334" s="46"/>
      <c r="Q334" s="40"/>
      <c r="R334" s="41"/>
      <c r="S334" s="22" t="str">
        <f t="shared" si="31"/>
        <v/>
      </c>
      <c r="T334" s="41"/>
      <c r="U334" s="41" t="str">
        <f t="shared" si="35"/>
        <v/>
      </c>
      <c r="V334" s="44"/>
      <c r="W334" s="44"/>
      <c r="X334" s="46"/>
      <c r="Y334" s="46"/>
      <c r="Z334" s="46"/>
      <c r="AA334" s="41"/>
      <c r="AB334" s="22"/>
      <c r="AC334" s="22"/>
      <c r="AD334" s="41"/>
      <c r="AE334" s="22"/>
      <c r="AF334" s="22"/>
      <c r="AG334" s="48" t="str">
        <f t="shared" si="32"/>
        <v/>
      </c>
      <c r="AH334" s="48" t="str">
        <f t="shared" si="33"/>
        <v/>
      </c>
      <c r="AI334" s="48" t="str">
        <f t="shared" si="34"/>
        <v/>
      </c>
      <c r="AJ334" s="40" t="str">
        <f t="shared" si="30"/>
        <v/>
      </c>
      <c r="AK334" s="40"/>
      <c r="AL334" s="40"/>
      <c r="AM334" s="22"/>
      <c r="AQ334" s="46"/>
    </row>
    <row r="335" spans="1:43" ht="17.399999999999999">
      <c r="A335" s="22"/>
      <c r="B335" s="22"/>
      <c r="C335" s="56"/>
      <c r="D335" s="56"/>
      <c r="E335" s="22"/>
      <c r="F335" s="22"/>
      <c r="G335" s="22"/>
      <c r="H335" s="22"/>
      <c r="I335" s="49"/>
      <c r="J335" s="50"/>
      <c r="K335" s="22"/>
      <c r="L335" s="22"/>
      <c r="M335" s="22"/>
      <c r="N335" s="22"/>
      <c r="O335" s="22"/>
      <c r="P335" s="46"/>
      <c r="Q335" s="40"/>
      <c r="R335" s="41"/>
      <c r="S335" s="22" t="str">
        <f t="shared" si="31"/>
        <v/>
      </c>
      <c r="T335" s="41"/>
      <c r="U335" s="41" t="str">
        <f t="shared" si="35"/>
        <v/>
      </c>
      <c r="V335" s="44"/>
      <c r="W335" s="44"/>
      <c r="X335" s="46"/>
      <c r="Y335" s="46"/>
      <c r="Z335" s="46"/>
      <c r="AA335" s="41"/>
      <c r="AB335" s="22"/>
      <c r="AC335" s="22"/>
      <c r="AD335" s="41"/>
      <c r="AE335" s="22"/>
      <c r="AF335" s="22"/>
      <c r="AG335" s="48" t="str">
        <f t="shared" si="32"/>
        <v/>
      </c>
      <c r="AH335" s="48" t="str">
        <f t="shared" si="33"/>
        <v/>
      </c>
      <c r="AI335" s="48" t="str">
        <f t="shared" si="34"/>
        <v/>
      </c>
      <c r="AJ335" s="40" t="str">
        <f t="shared" si="30"/>
        <v/>
      </c>
      <c r="AK335" s="40"/>
      <c r="AL335" s="40"/>
      <c r="AM335" s="22"/>
      <c r="AQ335" s="46"/>
    </row>
    <row r="336" spans="1:43" ht="17.399999999999999">
      <c r="A336" s="22"/>
      <c r="B336" s="22"/>
      <c r="C336" s="56"/>
      <c r="D336" s="56"/>
      <c r="E336" s="22"/>
      <c r="F336" s="22"/>
      <c r="G336" s="22"/>
      <c r="H336" s="22"/>
      <c r="I336" s="49"/>
      <c r="J336" s="50"/>
      <c r="K336" s="22"/>
      <c r="L336" s="22"/>
      <c r="M336" s="22"/>
      <c r="N336" s="22"/>
      <c r="O336" s="22"/>
      <c r="P336" s="46"/>
      <c r="Q336" s="40"/>
      <c r="R336" s="41"/>
      <c r="S336" s="22" t="str">
        <f t="shared" si="31"/>
        <v/>
      </c>
      <c r="T336" s="41"/>
      <c r="U336" s="41" t="str">
        <f t="shared" si="35"/>
        <v/>
      </c>
      <c r="V336" s="44"/>
      <c r="W336" s="44"/>
      <c r="X336" s="46"/>
      <c r="Y336" s="46"/>
      <c r="Z336" s="46"/>
      <c r="AA336" s="41"/>
      <c r="AB336" s="22"/>
      <c r="AC336" s="22"/>
      <c r="AD336" s="41"/>
      <c r="AE336" s="22"/>
      <c r="AF336" s="22"/>
      <c r="AG336" s="48" t="str">
        <f t="shared" si="32"/>
        <v/>
      </c>
      <c r="AH336" s="48" t="str">
        <f t="shared" si="33"/>
        <v/>
      </c>
      <c r="AI336" s="48" t="str">
        <f t="shared" si="34"/>
        <v/>
      </c>
      <c r="AJ336" s="40" t="str">
        <f t="shared" si="30"/>
        <v/>
      </c>
      <c r="AK336" s="40"/>
      <c r="AL336" s="40"/>
      <c r="AM336" s="22"/>
      <c r="AQ336" s="46"/>
    </row>
    <row r="337" spans="1:43" ht="17.399999999999999">
      <c r="A337" s="22"/>
      <c r="B337" s="22"/>
      <c r="C337" s="56"/>
      <c r="D337" s="56"/>
      <c r="E337" s="22"/>
      <c r="F337" s="22"/>
      <c r="G337" s="22"/>
      <c r="H337" s="22"/>
      <c r="I337" s="49"/>
      <c r="J337" s="50"/>
      <c r="K337" s="22"/>
      <c r="L337" s="22"/>
      <c r="M337" s="22"/>
      <c r="N337" s="22"/>
      <c r="O337" s="22"/>
      <c r="P337" s="46"/>
      <c r="Q337" s="40"/>
      <c r="R337" s="41"/>
      <c r="S337" s="22" t="str">
        <f t="shared" si="31"/>
        <v/>
      </c>
      <c r="T337" s="41"/>
      <c r="U337" s="41" t="str">
        <f t="shared" si="35"/>
        <v/>
      </c>
      <c r="V337" s="44"/>
      <c r="W337" s="44"/>
      <c r="X337" s="46"/>
      <c r="Y337" s="46"/>
      <c r="Z337" s="46"/>
      <c r="AA337" s="41"/>
      <c r="AB337" s="22"/>
      <c r="AC337" s="22"/>
      <c r="AD337" s="41"/>
      <c r="AE337" s="22"/>
      <c r="AF337" s="22"/>
      <c r="AG337" s="48" t="str">
        <f t="shared" si="32"/>
        <v/>
      </c>
      <c r="AH337" s="48" t="str">
        <f t="shared" si="33"/>
        <v/>
      </c>
      <c r="AI337" s="48" t="str">
        <f t="shared" si="34"/>
        <v/>
      </c>
      <c r="AJ337" s="40" t="str">
        <f t="shared" si="30"/>
        <v/>
      </c>
      <c r="AK337" s="40"/>
      <c r="AL337" s="40"/>
      <c r="AM337" s="22"/>
      <c r="AQ337" s="46"/>
    </row>
    <row r="338" spans="1:43" ht="17.399999999999999">
      <c r="A338" s="22"/>
      <c r="B338" s="22"/>
      <c r="C338" s="56"/>
      <c r="D338" s="56"/>
      <c r="E338" s="22"/>
      <c r="F338" s="22"/>
      <c r="G338" s="22"/>
      <c r="H338" s="22"/>
      <c r="I338" s="49"/>
      <c r="J338" s="50"/>
      <c r="K338" s="22"/>
      <c r="L338" s="22"/>
      <c r="M338" s="22"/>
      <c r="N338" s="22"/>
      <c r="O338" s="22"/>
      <c r="P338" s="46"/>
      <c r="Q338" s="40"/>
      <c r="R338" s="41"/>
      <c r="S338" s="22" t="str">
        <f t="shared" si="31"/>
        <v/>
      </c>
      <c r="T338" s="41"/>
      <c r="U338" s="41" t="str">
        <f t="shared" si="35"/>
        <v/>
      </c>
      <c r="V338" s="44"/>
      <c r="W338" s="44"/>
      <c r="X338" s="46"/>
      <c r="Y338" s="46"/>
      <c r="Z338" s="46"/>
      <c r="AA338" s="41"/>
      <c r="AB338" s="22"/>
      <c r="AC338" s="22"/>
      <c r="AD338" s="41"/>
      <c r="AE338" s="22"/>
      <c r="AF338" s="22"/>
      <c r="AG338" s="48" t="str">
        <f t="shared" si="32"/>
        <v/>
      </c>
      <c r="AH338" s="48" t="str">
        <f t="shared" si="33"/>
        <v/>
      </c>
      <c r="AI338" s="48" t="str">
        <f t="shared" si="34"/>
        <v/>
      </c>
      <c r="AJ338" s="40" t="str">
        <f t="shared" si="30"/>
        <v/>
      </c>
      <c r="AK338" s="40"/>
      <c r="AL338" s="40"/>
      <c r="AM338" s="22"/>
      <c r="AQ338" s="46"/>
    </row>
    <row r="339" spans="1:43" ht="17.399999999999999">
      <c r="A339" s="22"/>
      <c r="B339" s="22"/>
      <c r="C339" s="56"/>
      <c r="D339" s="56"/>
      <c r="E339" s="22"/>
      <c r="F339" s="22"/>
      <c r="G339" s="22"/>
      <c r="H339" s="22"/>
      <c r="I339" s="49"/>
      <c r="J339" s="50"/>
      <c r="K339" s="22"/>
      <c r="L339" s="22"/>
      <c r="M339" s="22"/>
      <c r="N339" s="22"/>
      <c r="O339" s="22"/>
      <c r="P339" s="46"/>
      <c r="Q339" s="40"/>
      <c r="R339" s="41"/>
      <c r="S339" s="22" t="str">
        <f t="shared" si="31"/>
        <v/>
      </c>
      <c r="T339" s="41"/>
      <c r="U339" s="41" t="str">
        <f t="shared" si="35"/>
        <v/>
      </c>
      <c r="V339" s="44"/>
      <c r="W339" s="44"/>
      <c r="X339" s="46"/>
      <c r="Y339" s="46"/>
      <c r="Z339" s="46"/>
      <c r="AA339" s="41"/>
      <c r="AB339" s="22"/>
      <c r="AC339" s="22"/>
      <c r="AD339" s="41"/>
      <c r="AE339" s="22"/>
      <c r="AF339" s="22"/>
      <c r="AG339" s="48" t="str">
        <f t="shared" si="32"/>
        <v/>
      </c>
      <c r="AH339" s="48" t="str">
        <f t="shared" si="33"/>
        <v/>
      </c>
      <c r="AI339" s="48" t="str">
        <f t="shared" si="34"/>
        <v/>
      </c>
      <c r="AJ339" s="40" t="str">
        <f t="shared" si="30"/>
        <v/>
      </c>
      <c r="AK339" s="40"/>
      <c r="AL339" s="40"/>
      <c r="AM339" s="22"/>
      <c r="AQ339" s="46"/>
    </row>
    <row r="340" spans="1:43" ht="17.399999999999999">
      <c r="A340" s="22"/>
      <c r="B340" s="22"/>
      <c r="C340" s="56"/>
      <c r="D340" s="56"/>
      <c r="E340" s="22"/>
      <c r="F340" s="22"/>
      <c r="G340" s="22"/>
      <c r="H340" s="22"/>
      <c r="I340" s="49"/>
      <c r="J340" s="50"/>
      <c r="K340" s="22"/>
      <c r="L340" s="22"/>
      <c r="M340" s="22"/>
      <c r="N340" s="22"/>
      <c r="O340" s="22"/>
      <c r="P340" s="46"/>
      <c r="Q340" s="40"/>
      <c r="R340" s="41"/>
      <c r="S340" s="22" t="str">
        <f t="shared" si="31"/>
        <v/>
      </c>
      <c r="T340" s="41"/>
      <c r="U340" s="41" t="str">
        <f t="shared" si="35"/>
        <v/>
      </c>
      <c r="V340" s="44"/>
      <c r="W340" s="44"/>
      <c r="X340" s="46"/>
      <c r="Y340" s="46"/>
      <c r="Z340" s="46"/>
      <c r="AA340" s="41"/>
      <c r="AB340" s="22"/>
      <c r="AC340" s="22"/>
      <c r="AD340" s="41"/>
      <c r="AE340" s="22"/>
      <c r="AF340" s="22"/>
      <c r="AG340" s="48" t="str">
        <f t="shared" si="32"/>
        <v/>
      </c>
      <c r="AH340" s="48" t="str">
        <f t="shared" si="33"/>
        <v/>
      </c>
      <c r="AI340" s="48" t="str">
        <f t="shared" si="34"/>
        <v/>
      </c>
      <c r="AJ340" s="40" t="str">
        <f t="shared" si="30"/>
        <v/>
      </c>
      <c r="AK340" s="40"/>
      <c r="AL340" s="40"/>
      <c r="AM340" s="22"/>
      <c r="AQ340" s="46"/>
    </row>
    <row r="341" spans="1:43" ht="17.399999999999999">
      <c r="A341" s="22"/>
      <c r="B341" s="22"/>
      <c r="C341" s="56"/>
      <c r="D341" s="56"/>
      <c r="E341" s="22"/>
      <c r="F341" s="22"/>
      <c r="G341" s="22"/>
      <c r="H341" s="22"/>
      <c r="I341" s="49"/>
      <c r="J341" s="50"/>
      <c r="K341" s="22"/>
      <c r="L341" s="22"/>
      <c r="M341" s="22"/>
      <c r="N341" s="22"/>
      <c r="O341" s="22"/>
      <c r="P341" s="46"/>
      <c r="Q341" s="40"/>
      <c r="R341" s="41"/>
      <c r="S341" s="22" t="str">
        <f t="shared" si="31"/>
        <v/>
      </c>
      <c r="T341" s="41"/>
      <c r="U341" s="41" t="str">
        <f t="shared" si="35"/>
        <v/>
      </c>
      <c r="V341" s="44"/>
      <c r="W341" s="44"/>
      <c r="X341" s="46"/>
      <c r="Y341" s="46"/>
      <c r="Z341" s="46"/>
      <c r="AA341" s="41"/>
      <c r="AB341" s="22"/>
      <c r="AC341" s="22"/>
      <c r="AD341" s="41"/>
      <c r="AE341" s="22"/>
      <c r="AF341" s="22"/>
      <c r="AG341" s="48" t="str">
        <f t="shared" si="32"/>
        <v/>
      </c>
      <c r="AH341" s="48" t="str">
        <f t="shared" si="33"/>
        <v/>
      </c>
      <c r="AI341" s="48" t="str">
        <f t="shared" si="34"/>
        <v/>
      </c>
      <c r="AJ341" s="40" t="str">
        <f t="shared" si="30"/>
        <v/>
      </c>
      <c r="AK341" s="40"/>
      <c r="AL341" s="40"/>
      <c r="AM341" s="22"/>
      <c r="AQ341" s="46"/>
    </row>
    <row r="342" spans="1:43" ht="17.399999999999999">
      <c r="A342" s="22"/>
      <c r="B342" s="22"/>
      <c r="C342" s="56"/>
      <c r="D342" s="56"/>
      <c r="E342" s="22"/>
      <c r="F342" s="22"/>
      <c r="G342" s="22"/>
      <c r="H342" s="22"/>
      <c r="I342" s="49"/>
      <c r="J342" s="50"/>
      <c r="K342" s="22"/>
      <c r="L342" s="22"/>
      <c r="M342" s="22"/>
      <c r="N342" s="22"/>
      <c r="O342" s="22"/>
      <c r="P342" s="46"/>
      <c r="Q342" s="40"/>
      <c r="R342" s="41"/>
      <c r="S342" s="22" t="str">
        <f t="shared" si="31"/>
        <v/>
      </c>
      <c r="T342" s="41"/>
      <c r="U342" s="41" t="str">
        <f t="shared" si="35"/>
        <v/>
      </c>
      <c r="V342" s="44"/>
      <c r="W342" s="44"/>
      <c r="X342" s="46"/>
      <c r="Y342" s="46"/>
      <c r="Z342" s="46"/>
      <c r="AA342" s="41"/>
      <c r="AB342" s="22"/>
      <c r="AC342" s="22"/>
      <c r="AD342" s="41"/>
      <c r="AE342" s="22"/>
      <c r="AF342" s="22"/>
      <c r="AG342" s="48" t="str">
        <f t="shared" si="32"/>
        <v/>
      </c>
      <c r="AH342" s="48" t="str">
        <f t="shared" si="33"/>
        <v/>
      </c>
      <c r="AI342" s="48" t="str">
        <f t="shared" si="34"/>
        <v/>
      </c>
      <c r="AJ342" s="40" t="str">
        <f t="shared" si="30"/>
        <v/>
      </c>
      <c r="AK342" s="40"/>
      <c r="AL342" s="40"/>
      <c r="AM342" s="22"/>
      <c r="AQ342" s="46"/>
    </row>
    <row r="343" spans="1:43" ht="17.399999999999999">
      <c r="A343" s="22"/>
      <c r="B343" s="22"/>
      <c r="C343" s="56"/>
      <c r="D343" s="56"/>
      <c r="E343" s="22"/>
      <c r="F343" s="22"/>
      <c r="G343" s="22"/>
      <c r="H343" s="22"/>
      <c r="I343" s="49"/>
      <c r="J343" s="50"/>
      <c r="K343" s="22"/>
      <c r="L343" s="22"/>
      <c r="M343" s="22"/>
      <c r="N343" s="22"/>
      <c r="O343" s="22"/>
      <c r="P343" s="46"/>
      <c r="Q343" s="40"/>
      <c r="R343" s="41"/>
      <c r="S343" s="22" t="str">
        <f t="shared" si="31"/>
        <v/>
      </c>
      <c r="T343" s="41"/>
      <c r="U343" s="41" t="str">
        <f t="shared" si="35"/>
        <v/>
      </c>
      <c r="V343" s="44"/>
      <c r="W343" s="44"/>
      <c r="X343" s="46"/>
      <c r="Y343" s="46"/>
      <c r="Z343" s="46"/>
      <c r="AA343" s="41"/>
      <c r="AB343" s="22"/>
      <c r="AC343" s="22"/>
      <c r="AD343" s="41"/>
      <c r="AE343" s="22"/>
      <c r="AF343" s="22"/>
      <c r="AG343" s="48" t="str">
        <f t="shared" si="32"/>
        <v/>
      </c>
      <c r="AH343" s="48" t="str">
        <f t="shared" si="33"/>
        <v/>
      </c>
      <c r="AI343" s="48" t="str">
        <f t="shared" si="34"/>
        <v/>
      </c>
      <c r="AJ343" s="40" t="str">
        <f t="shared" si="30"/>
        <v/>
      </c>
      <c r="AK343" s="40"/>
      <c r="AL343" s="40"/>
      <c r="AM343" s="22"/>
      <c r="AQ343" s="46"/>
    </row>
    <row r="344" spans="1:43" ht="17.399999999999999">
      <c r="A344" s="22"/>
      <c r="B344" s="22"/>
      <c r="C344" s="56"/>
      <c r="D344" s="56"/>
      <c r="E344" s="22"/>
      <c r="F344" s="22"/>
      <c r="G344" s="22"/>
      <c r="H344" s="22"/>
      <c r="I344" s="49"/>
      <c r="J344" s="50"/>
      <c r="K344" s="22"/>
      <c r="L344" s="22"/>
      <c r="M344" s="22"/>
      <c r="N344" s="22"/>
      <c r="O344" s="22"/>
      <c r="P344" s="46"/>
      <c r="Q344" s="40"/>
      <c r="R344" s="41"/>
      <c r="S344" s="22" t="str">
        <f t="shared" si="31"/>
        <v/>
      </c>
      <c r="T344" s="41"/>
      <c r="U344" s="41" t="str">
        <f t="shared" si="35"/>
        <v/>
      </c>
      <c r="V344" s="44"/>
      <c r="W344" s="44"/>
      <c r="X344" s="46"/>
      <c r="Y344" s="46"/>
      <c r="Z344" s="46"/>
      <c r="AA344" s="41"/>
      <c r="AB344" s="22"/>
      <c r="AC344" s="22"/>
      <c r="AD344" s="41"/>
      <c r="AE344" s="22"/>
      <c r="AF344" s="22"/>
      <c r="AG344" s="48" t="str">
        <f t="shared" si="32"/>
        <v/>
      </c>
      <c r="AH344" s="48" t="str">
        <f t="shared" si="33"/>
        <v/>
      </c>
      <c r="AI344" s="48" t="str">
        <f t="shared" si="34"/>
        <v/>
      </c>
      <c r="AJ344" s="40" t="str">
        <f t="shared" si="30"/>
        <v/>
      </c>
      <c r="AK344" s="40"/>
      <c r="AL344" s="40"/>
      <c r="AM344" s="22"/>
      <c r="AQ344" s="46"/>
    </row>
    <row r="345" spans="1:43" ht="17.399999999999999">
      <c r="A345" s="22"/>
      <c r="B345" s="22"/>
      <c r="C345" s="56"/>
      <c r="D345" s="56"/>
      <c r="E345" s="22"/>
      <c r="F345" s="22"/>
      <c r="G345" s="22"/>
      <c r="H345" s="22"/>
      <c r="I345" s="49"/>
      <c r="J345" s="50"/>
      <c r="K345" s="22"/>
      <c r="L345" s="22"/>
      <c r="M345" s="22"/>
      <c r="N345" s="22"/>
      <c r="O345" s="22"/>
      <c r="P345" s="46"/>
      <c r="Q345" s="40"/>
      <c r="R345" s="41"/>
      <c r="S345" s="22" t="str">
        <f t="shared" si="31"/>
        <v/>
      </c>
      <c r="T345" s="41"/>
      <c r="U345" s="41" t="str">
        <f t="shared" si="35"/>
        <v/>
      </c>
      <c r="V345" s="44"/>
      <c r="W345" s="44"/>
      <c r="X345" s="46"/>
      <c r="Y345" s="46"/>
      <c r="Z345" s="46"/>
      <c r="AA345" s="41"/>
      <c r="AB345" s="22"/>
      <c r="AC345" s="22"/>
      <c r="AD345" s="41"/>
      <c r="AE345" s="22"/>
      <c r="AF345" s="22"/>
      <c r="AG345" s="48" t="str">
        <f t="shared" si="32"/>
        <v/>
      </c>
      <c r="AH345" s="48" t="str">
        <f t="shared" si="33"/>
        <v/>
      </c>
      <c r="AI345" s="48" t="str">
        <f t="shared" si="34"/>
        <v/>
      </c>
      <c r="AJ345" s="40" t="str">
        <f t="shared" si="30"/>
        <v/>
      </c>
      <c r="AK345" s="40"/>
      <c r="AL345" s="40"/>
      <c r="AM345" s="22"/>
      <c r="AQ345" s="46"/>
    </row>
    <row r="346" spans="1:43" ht="17.399999999999999">
      <c r="A346" s="22"/>
      <c r="B346" s="22"/>
      <c r="C346" s="56"/>
      <c r="D346" s="56"/>
      <c r="E346" s="22"/>
      <c r="F346" s="22"/>
      <c r="G346" s="22"/>
      <c r="H346" s="22"/>
      <c r="I346" s="49"/>
      <c r="J346" s="50"/>
      <c r="K346" s="22"/>
      <c r="L346" s="22"/>
      <c r="M346" s="22"/>
      <c r="N346" s="22"/>
      <c r="O346" s="22"/>
      <c r="P346" s="46"/>
      <c r="Q346" s="40"/>
      <c r="R346" s="41"/>
      <c r="S346" s="22" t="str">
        <f t="shared" si="31"/>
        <v/>
      </c>
      <c r="T346" s="41"/>
      <c r="U346" s="41" t="str">
        <f t="shared" si="35"/>
        <v/>
      </c>
      <c r="V346" s="44"/>
      <c r="W346" s="44"/>
      <c r="X346" s="46"/>
      <c r="Y346" s="46"/>
      <c r="Z346" s="46"/>
      <c r="AA346" s="41"/>
      <c r="AB346" s="22"/>
      <c r="AC346" s="22"/>
      <c r="AD346" s="41"/>
      <c r="AE346" s="22"/>
      <c r="AF346" s="22"/>
      <c r="AG346" s="48" t="str">
        <f t="shared" si="32"/>
        <v/>
      </c>
      <c r="AH346" s="48" t="str">
        <f t="shared" si="33"/>
        <v/>
      </c>
      <c r="AI346" s="48" t="str">
        <f t="shared" si="34"/>
        <v/>
      </c>
      <c r="AJ346" s="40" t="str">
        <f t="shared" si="30"/>
        <v/>
      </c>
      <c r="AK346" s="40"/>
      <c r="AL346" s="40"/>
      <c r="AM346" s="22"/>
      <c r="AQ346" s="46"/>
    </row>
    <row r="347" spans="1:43" ht="17.399999999999999">
      <c r="A347" s="22"/>
      <c r="B347" s="22"/>
      <c r="C347" s="56"/>
      <c r="D347" s="56"/>
      <c r="E347" s="22"/>
      <c r="F347" s="22"/>
      <c r="G347" s="22"/>
      <c r="H347" s="22"/>
      <c r="I347" s="49"/>
      <c r="J347" s="50"/>
      <c r="K347" s="22"/>
      <c r="L347" s="22"/>
      <c r="M347" s="22"/>
      <c r="N347" s="22"/>
      <c r="O347" s="22"/>
      <c r="P347" s="46"/>
      <c r="Q347" s="40"/>
      <c r="R347" s="41"/>
      <c r="S347" s="22" t="str">
        <f t="shared" si="31"/>
        <v/>
      </c>
      <c r="T347" s="41"/>
      <c r="U347" s="41" t="str">
        <f t="shared" si="35"/>
        <v/>
      </c>
      <c r="V347" s="44"/>
      <c r="W347" s="44"/>
      <c r="X347" s="46"/>
      <c r="Y347" s="46"/>
      <c r="Z347" s="46"/>
      <c r="AA347" s="41"/>
      <c r="AB347" s="22"/>
      <c r="AC347" s="22"/>
      <c r="AD347" s="41"/>
      <c r="AE347" s="22"/>
      <c r="AF347" s="22"/>
      <c r="AG347" s="48" t="str">
        <f t="shared" si="32"/>
        <v/>
      </c>
      <c r="AH347" s="48" t="str">
        <f t="shared" si="33"/>
        <v/>
      </c>
      <c r="AI347" s="48" t="str">
        <f t="shared" si="34"/>
        <v/>
      </c>
      <c r="AJ347" s="40" t="str">
        <f t="shared" si="30"/>
        <v/>
      </c>
      <c r="AK347" s="40"/>
      <c r="AL347" s="40"/>
      <c r="AM347" s="22"/>
      <c r="AQ347" s="46"/>
    </row>
    <row r="348" spans="1:43" ht="17.399999999999999">
      <c r="A348" s="22"/>
      <c r="B348" s="22"/>
      <c r="C348" s="56"/>
      <c r="D348" s="56"/>
      <c r="E348" s="22"/>
      <c r="F348" s="22"/>
      <c r="G348" s="22"/>
      <c r="H348" s="22"/>
      <c r="I348" s="49"/>
      <c r="J348" s="50"/>
      <c r="K348" s="22"/>
      <c r="L348" s="22"/>
      <c r="M348" s="22"/>
      <c r="N348" s="22"/>
      <c r="O348" s="22"/>
      <c r="P348" s="46"/>
      <c r="Q348" s="40"/>
      <c r="R348" s="41"/>
      <c r="S348" s="22" t="str">
        <f t="shared" si="31"/>
        <v/>
      </c>
      <c r="T348" s="41"/>
      <c r="U348" s="41" t="str">
        <f t="shared" si="35"/>
        <v/>
      </c>
      <c r="V348" s="44"/>
      <c r="W348" s="44"/>
      <c r="X348" s="46"/>
      <c r="Y348" s="46"/>
      <c r="Z348" s="46"/>
      <c r="AA348" s="41"/>
      <c r="AB348" s="22"/>
      <c r="AC348" s="22"/>
      <c r="AD348" s="41"/>
      <c r="AE348" s="22"/>
      <c r="AF348" s="22"/>
      <c r="AG348" s="48" t="str">
        <f t="shared" si="32"/>
        <v/>
      </c>
      <c r="AH348" s="48" t="str">
        <f t="shared" si="33"/>
        <v/>
      </c>
      <c r="AI348" s="48" t="str">
        <f t="shared" si="34"/>
        <v/>
      </c>
      <c r="AJ348" s="40" t="str">
        <f t="shared" si="30"/>
        <v/>
      </c>
      <c r="AK348" s="40"/>
      <c r="AL348" s="40"/>
      <c r="AM348" s="22"/>
      <c r="AQ348" s="46"/>
    </row>
    <row r="349" spans="1:43" ht="17.399999999999999">
      <c r="A349" s="22"/>
      <c r="B349" s="22"/>
      <c r="C349" s="56"/>
      <c r="D349" s="56"/>
      <c r="E349" s="22"/>
      <c r="F349" s="22"/>
      <c r="G349" s="22"/>
      <c r="H349" s="22"/>
      <c r="I349" s="49"/>
      <c r="J349" s="50"/>
      <c r="K349" s="22"/>
      <c r="L349" s="22"/>
      <c r="M349" s="22"/>
      <c r="N349" s="22"/>
      <c r="O349" s="22"/>
      <c r="P349" s="46"/>
      <c r="Q349" s="40"/>
      <c r="R349" s="41"/>
      <c r="S349" s="22" t="str">
        <f t="shared" si="31"/>
        <v/>
      </c>
      <c r="T349" s="41"/>
      <c r="U349" s="41" t="str">
        <f t="shared" si="35"/>
        <v/>
      </c>
      <c r="V349" s="44"/>
      <c r="W349" s="44"/>
      <c r="X349" s="46"/>
      <c r="Y349" s="46"/>
      <c r="Z349" s="46"/>
      <c r="AA349" s="41"/>
      <c r="AB349" s="22"/>
      <c r="AC349" s="22"/>
      <c r="AD349" s="41"/>
      <c r="AE349" s="22"/>
      <c r="AF349" s="22"/>
      <c r="AG349" s="48" t="str">
        <f t="shared" si="32"/>
        <v/>
      </c>
      <c r="AH349" s="48" t="str">
        <f t="shared" si="33"/>
        <v/>
      </c>
      <c r="AI349" s="48" t="str">
        <f t="shared" si="34"/>
        <v/>
      </c>
      <c r="AJ349" s="40" t="str">
        <f t="shared" si="30"/>
        <v/>
      </c>
      <c r="AK349" s="40"/>
      <c r="AL349" s="40"/>
      <c r="AM349" s="22"/>
      <c r="AQ349" s="46"/>
    </row>
    <row r="350" spans="1:43" ht="17.399999999999999">
      <c r="A350" s="22"/>
      <c r="B350" s="22"/>
      <c r="C350" s="56"/>
      <c r="D350" s="56"/>
      <c r="E350" s="22"/>
      <c r="F350" s="22"/>
      <c r="G350" s="22"/>
      <c r="H350" s="22"/>
      <c r="I350" s="49"/>
      <c r="J350" s="50"/>
      <c r="K350" s="22"/>
      <c r="L350" s="22"/>
      <c r="M350" s="22"/>
      <c r="N350" s="22"/>
      <c r="O350" s="22"/>
      <c r="P350" s="46"/>
      <c r="Q350" s="40"/>
      <c r="R350" s="41"/>
      <c r="S350" s="22" t="str">
        <f t="shared" si="31"/>
        <v/>
      </c>
      <c r="T350" s="41"/>
      <c r="U350" s="41" t="str">
        <f t="shared" si="35"/>
        <v/>
      </c>
      <c r="V350" s="44"/>
      <c r="W350" s="44"/>
      <c r="X350" s="46"/>
      <c r="Y350" s="46"/>
      <c r="Z350" s="46"/>
      <c r="AA350" s="41"/>
      <c r="AB350" s="22"/>
      <c r="AC350" s="22"/>
      <c r="AD350" s="41"/>
      <c r="AE350" s="22"/>
      <c r="AF350" s="22"/>
      <c r="AG350" s="48" t="str">
        <f t="shared" si="32"/>
        <v/>
      </c>
      <c r="AH350" s="48" t="str">
        <f t="shared" si="33"/>
        <v/>
      </c>
      <c r="AI350" s="48" t="str">
        <f t="shared" si="34"/>
        <v/>
      </c>
      <c r="AJ350" s="40" t="str">
        <f t="shared" si="30"/>
        <v/>
      </c>
      <c r="AK350" s="40"/>
      <c r="AL350" s="40"/>
      <c r="AM350" s="22"/>
      <c r="AQ350" s="46"/>
    </row>
    <row r="351" spans="1:43" ht="17.399999999999999">
      <c r="A351" s="22"/>
      <c r="B351" s="22"/>
      <c r="C351" s="56"/>
      <c r="D351" s="56"/>
      <c r="E351" s="22"/>
      <c r="F351" s="22"/>
      <c r="G351" s="22"/>
      <c r="H351" s="22"/>
      <c r="I351" s="49"/>
      <c r="J351" s="50"/>
      <c r="K351" s="22"/>
      <c r="L351" s="22"/>
      <c r="M351" s="22"/>
      <c r="N351" s="22"/>
      <c r="O351" s="22"/>
      <c r="P351" s="46"/>
      <c r="Q351" s="40"/>
      <c r="R351" s="41"/>
      <c r="S351" s="22" t="str">
        <f t="shared" si="31"/>
        <v/>
      </c>
      <c r="T351" s="41"/>
      <c r="U351" s="41" t="str">
        <f t="shared" si="35"/>
        <v/>
      </c>
      <c r="V351" s="44"/>
      <c r="W351" s="44"/>
      <c r="X351" s="46"/>
      <c r="Y351" s="46"/>
      <c r="Z351" s="46"/>
      <c r="AA351" s="41"/>
      <c r="AB351" s="22"/>
      <c r="AC351" s="22"/>
      <c r="AD351" s="41"/>
      <c r="AE351" s="22"/>
      <c r="AF351" s="22"/>
      <c r="AG351" s="48" t="str">
        <f t="shared" si="32"/>
        <v/>
      </c>
      <c r="AH351" s="48" t="str">
        <f t="shared" si="33"/>
        <v/>
      </c>
      <c r="AI351" s="48" t="str">
        <f t="shared" si="34"/>
        <v/>
      </c>
      <c r="AJ351" s="40" t="str">
        <f t="shared" si="30"/>
        <v/>
      </c>
      <c r="AK351" s="40"/>
      <c r="AL351" s="40"/>
      <c r="AM351" s="22"/>
      <c r="AQ351" s="46"/>
    </row>
    <row r="352" spans="1:43" ht="17.399999999999999">
      <c r="A352" s="22"/>
      <c r="B352" s="22"/>
      <c r="C352" s="56"/>
      <c r="D352" s="56"/>
      <c r="E352" s="22"/>
      <c r="F352" s="22"/>
      <c r="G352" s="22"/>
      <c r="H352" s="22"/>
      <c r="I352" s="49"/>
      <c r="J352" s="50"/>
      <c r="K352" s="22"/>
      <c r="L352" s="22"/>
      <c r="M352" s="22"/>
      <c r="N352" s="22"/>
      <c r="O352" s="22"/>
      <c r="P352" s="46"/>
      <c r="Q352" s="40"/>
      <c r="R352" s="41"/>
      <c r="S352" s="22" t="str">
        <f t="shared" si="31"/>
        <v/>
      </c>
      <c r="T352" s="41"/>
      <c r="U352" s="41" t="str">
        <f t="shared" si="35"/>
        <v/>
      </c>
      <c r="V352" s="44"/>
      <c r="W352" s="44"/>
      <c r="X352" s="46"/>
      <c r="Y352" s="46"/>
      <c r="Z352" s="46"/>
      <c r="AA352" s="41"/>
      <c r="AB352" s="22"/>
      <c r="AC352" s="22"/>
      <c r="AD352" s="41"/>
      <c r="AE352" s="22"/>
      <c r="AF352" s="22"/>
      <c r="AG352" s="48" t="str">
        <f t="shared" si="32"/>
        <v/>
      </c>
      <c r="AH352" s="48" t="str">
        <f t="shared" si="33"/>
        <v/>
      </c>
      <c r="AI352" s="48" t="str">
        <f t="shared" si="34"/>
        <v/>
      </c>
      <c r="AJ352" s="40" t="str">
        <f t="shared" si="30"/>
        <v/>
      </c>
      <c r="AK352" s="40"/>
      <c r="AL352" s="40"/>
      <c r="AM352" s="22"/>
      <c r="AQ352" s="46"/>
    </row>
    <row r="353" spans="1:43" ht="17.399999999999999">
      <c r="A353" s="22"/>
      <c r="B353" s="22"/>
      <c r="C353" s="56"/>
      <c r="D353" s="56"/>
      <c r="E353" s="22"/>
      <c r="F353" s="22"/>
      <c r="G353" s="22"/>
      <c r="H353" s="22"/>
      <c r="I353" s="49"/>
      <c r="J353" s="50"/>
      <c r="K353" s="22"/>
      <c r="L353" s="22"/>
      <c r="M353" s="22"/>
      <c r="N353" s="22"/>
      <c r="O353" s="22"/>
      <c r="P353" s="46"/>
      <c r="Q353" s="40"/>
      <c r="R353" s="41"/>
      <c r="S353" s="22" t="str">
        <f t="shared" si="31"/>
        <v/>
      </c>
      <c r="T353" s="41"/>
      <c r="U353" s="41" t="str">
        <f t="shared" si="35"/>
        <v/>
      </c>
      <c r="V353" s="44"/>
      <c r="W353" s="44"/>
      <c r="X353" s="46"/>
      <c r="Y353" s="46"/>
      <c r="Z353" s="46"/>
      <c r="AA353" s="41"/>
      <c r="AB353" s="22"/>
      <c r="AC353" s="22"/>
      <c r="AD353" s="41"/>
      <c r="AE353" s="22"/>
      <c r="AF353" s="22"/>
      <c r="AG353" s="48" t="str">
        <f t="shared" si="32"/>
        <v/>
      </c>
      <c r="AH353" s="48" t="str">
        <f t="shared" si="33"/>
        <v/>
      </c>
      <c r="AI353" s="48" t="str">
        <f t="shared" si="34"/>
        <v/>
      </c>
      <c r="AJ353" s="40" t="str">
        <f t="shared" si="30"/>
        <v/>
      </c>
      <c r="AK353" s="40"/>
      <c r="AL353" s="40"/>
      <c r="AM353" s="22"/>
      <c r="AQ353" s="46"/>
    </row>
    <row r="354" spans="1:43" ht="17.399999999999999">
      <c r="A354" s="22"/>
      <c r="B354" s="22"/>
      <c r="C354" s="56"/>
      <c r="D354" s="56"/>
      <c r="E354" s="22"/>
      <c r="F354" s="22"/>
      <c r="G354" s="22"/>
      <c r="H354" s="22"/>
      <c r="I354" s="49"/>
      <c r="J354" s="50"/>
      <c r="K354" s="22"/>
      <c r="L354" s="22"/>
      <c r="M354" s="22"/>
      <c r="N354" s="22"/>
      <c r="O354" s="22"/>
      <c r="P354" s="46"/>
      <c r="Q354" s="40"/>
      <c r="R354" s="41"/>
      <c r="S354" s="22" t="str">
        <f t="shared" si="31"/>
        <v/>
      </c>
      <c r="T354" s="41"/>
      <c r="U354" s="41" t="str">
        <f t="shared" si="35"/>
        <v/>
      </c>
      <c r="V354" s="44"/>
      <c r="W354" s="44"/>
      <c r="X354" s="46"/>
      <c r="Y354" s="46"/>
      <c r="Z354" s="46"/>
      <c r="AA354" s="41"/>
      <c r="AB354" s="22"/>
      <c r="AC354" s="22"/>
      <c r="AD354" s="41"/>
      <c r="AE354" s="22"/>
      <c r="AF354" s="22"/>
      <c r="AG354" s="48" t="str">
        <f t="shared" si="32"/>
        <v/>
      </c>
      <c r="AH354" s="48" t="str">
        <f t="shared" si="33"/>
        <v/>
      </c>
      <c r="AI354" s="48" t="str">
        <f t="shared" si="34"/>
        <v/>
      </c>
      <c r="AJ354" s="40" t="str">
        <f t="shared" si="30"/>
        <v/>
      </c>
      <c r="AK354" s="40"/>
      <c r="AL354" s="40"/>
      <c r="AM354" s="22"/>
      <c r="AQ354" s="46"/>
    </row>
    <row r="355" spans="1:43" ht="17.399999999999999">
      <c r="A355" s="22"/>
      <c r="B355" s="22"/>
      <c r="C355" s="56"/>
      <c r="D355" s="56"/>
      <c r="E355" s="22"/>
      <c r="F355" s="22"/>
      <c r="G355" s="22"/>
      <c r="H355" s="22"/>
      <c r="I355" s="49"/>
      <c r="J355" s="50"/>
      <c r="K355" s="22"/>
      <c r="L355" s="22"/>
      <c r="M355" s="22"/>
      <c r="N355" s="22"/>
      <c r="O355" s="22"/>
      <c r="P355" s="46"/>
      <c r="Q355" s="40"/>
      <c r="R355" s="41"/>
      <c r="S355" s="22" t="str">
        <f t="shared" si="31"/>
        <v/>
      </c>
      <c r="T355" s="41"/>
      <c r="U355" s="41" t="str">
        <f t="shared" si="35"/>
        <v/>
      </c>
      <c r="V355" s="44"/>
      <c r="W355" s="44"/>
      <c r="X355" s="46"/>
      <c r="Y355" s="46"/>
      <c r="Z355" s="46"/>
      <c r="AA355" s="41"/>
      <c r="AB355" s="22"/>
      <c r="AC355" s="22"/>
      <c r="AD355" s="41"/>
      <c r="AE355" s="22"/>
      <c r="AF355" s="22"/>
      <c r="AG355" s="48" t="str">
        <f t="shared" si="32"/>
        <v/>
      </c>
      <c r="AH355" s="48" t="str">
        <f t="shared" si="33"/>
        <v/>
      </c>
      <c r="AI355" s="48" t="str">
        <f t="shared" si="34"/>
        <v/>
      </c>
      <c r="AJ355" s="40" t="str">
        <f t="shared" si="30"/>
        <v/>
      </c>
      <c r="AK355" s="40"/>
      <c r="AL355" s="40"/>
      <c r="AM355" s="22"/>
      <c r="AQ355" s="46"/>
    </row>
    <row r="356" spans="1:43" ht="17.399999999999999">
      <c r="A356" s="22"/>
      <c r="B356" s="22"/>
      <c r="C356" s="56"/>
      <c r="D356" s="56"/>
      <c r="E356" s="22"/>
      <c r="F356" s="22"/>
      <c r="G356" s="22"/>
      <c r="H356" s="22"/>
      <c r="I356" s="49"/>
      <c r="J356" s="50"/>
      <c r="K356" s="22"/>
      <c r="L356" s="22"/>
      <c r="M356" s="22"/>
      <c r="N356" s="22"/>
      <c r="O356" s="22"/>
      <c r="P356" s="46"/>
      <c r="Q356" s="40"/>
      <c r="R356" s="41"/>
      <c r="S356" s="22" t="str">
        <f t="shared" si="31"/>
        <v/>
      </c>
      <c r="T356" s="41"/>
      <c r="U356" s="41" t="str">
        <f t="shared" si="35"/>
        <v/>
      </c>
      <c r="V356" s="44"/>
      <c r="W356" s="44"/>
      <c r="X356" s="46"/>
      <c r="Y356" s="46"/>
      <c r="Z356" s="46"/>
      <c r="AA356" s="41"/>
      <c r="AB356" s="22"/>
      <c r="AC356" s="22"/>
      <c r="AD356" s="41"/>
      <c r="AE356" s="22"/>
      <c r="AF356" s="22"/>
      <c r="AG356" s="48" t="str">
        <f t="shared" si="32"/>
        <v/>
      </c>
      <c r="AH356" s="48" t="str">
        <f t="shared" si="33"/>
        <v/>
      </c>
      <c r="AI356" s="48" t="str">
        <f t="shared" si="34"/>
        <v/>
      </c>
      <c r="AJ356" s="40" t="str">
        <f t="shared" si="30"/>
        <v/>
      </c>
      <c r="AK356" s="40"/>
      <c r="AL356" s="40"/>
      <c r="AM356" s="22"/>
      <c r="AQ356" s="46"/>
    </row>
    <row r="357" spans="1:43" ht="17.399999999999999">
      <c r="A357" s="22"/>
      <c r="B357" s="22"/>
      <c r="C357" s="56"/>
      <c r="D357" s="56"/>
      <c r="E357" s="22"/>
      <c r="F357" s="22"/>
      <c r="G357" s="22"/>
      <c r="H357" s="22"/>
      <c r="I357" s="49"/>
      <c r="J357" s="50"/>
      <c r="K357" s="22"/>
      <c r="L357" s="22"/>
      <c r="M357" s="22"/>
      <c r="N357" s="22"/>
      <c r="O357" s="22"/>
      <c r="P357" s="46"/>
      <c r="Q357" s="40"/>
      <c r="R357" s="41"/>
      <c r="S357" s="22" t="str">
        <f t="shared" si="31"/>
        <v/>
      </c>
      <c r="T357" s="41"/>
      <c r="U357" s="41" t="str">
        <f t="shared" si="35"/>
        <v/>
      </c>
      <c r="V357" s="44"/>
      <c r="W357" s="44"/>
      <c r="X357" s="46"/>
      <c r="Y357" s="46"/>
      <c r="Z357" s="46"/>
      <c r="AA357" s="41"/>
      <c r="AB357" s="22"/>
      <c r="AC357" s="22"/>
      <c r="AD357" s="41"/>
      <c r="AE357" s="22"/>
      <c r="AF357" s="22"/>
      <c r="AG357" s="48" t="str">
        <f t="shared" si="32"/>
        <v/>
      </c>
      <c r="AH357" s="48" t="str">
        <f t="shared" si="33"/>
        <v/>
      </c>
      <c r="AI357" s="48" t="str">
        <f t="shared" si="34"/>
        <v/>
      </c>
      <c r="AJ357" s="40" t="str">
        <f t="shared" si="30"/>
        <v/>
      </c>
      <c r="AK357" s="40"/>
      <c r="AL357" s="40"/>
      <c r="AM357" s="22"/>
      <c r="AQ357" s="46"/>
    </row>
    <row r="358" spans="1:43" ht="17.399999999999999">
      <c r="A358" s="22"/>
      <c r="B358" s="22"/>
      <c r="C358" s="56"/>
      <c r="D358" s="56"/>
      <c r="E358" s="22"/>
      <c r="F358" s="22"/>
      <c r="G358" s="22"/>
      <c r="H358" s="22"/>
      <c r="I358" s="49"/>
      <c r="J358" s="50"/>
      <c r="K358" s="22"/>
      <c r="L358" s="22"/>
      <c r="M358" s="22"/>
      <c r="N358" s="22"/>
      <c r="O358" s="22"/>
      <c r="P358" s="46"/>
      <c r="Q358" s="40"/>
      <c r="R358" s="41"/>
      <c r="S358" s="22" t="str">
        <f t="shared" si="31"/>
        <v/>
      </c>
      <c r="T358" s="41"/>
      <c r="U358" s="41" t="str">
        <f t="shared" si="35"/>
        <v/>
      </c>
      <c r="V358" s="44"/>
      <c r="W358" s="44"/>
      <c r="X358" s="46"/>
      <c r="Y358" s="46"/>
      <c r="Z358" s="46"/>
      <c r="AA358" s="41"/>
      <c r="AB358" s="22"/>
      <c r="AC358" s="22"/>
      <c r="AD358" s="41"/>
      <c r="AE358" s="22"/>
      <c r="AF358" s="22"/>
      <c r="AG358" s="48" t="str">
        <f t="shared" si="32"/>
        <v/>
      </c>
      <c r="AH358" s="48" t="str">
        <f t="shared" si="33"/>
        <v/>
      </c>
      <c r="AI358" s="48" t="str">
        <f t="shared" si="34"/>
        <v/>
      </c>
      <c r="AJ358" s="40" t="str">
        <f t="shared" si="30"/>
        <v/>
      </c>
      <c r="AK358" s="40"/>
      <c r="AL358" s="40"/>
      <c r="AM358" s="22"/>
      <c r="AQ358" s="46"/>
    </row>
    <row r="359" spans="1:43" ht="17.399999999999999">
      <c r="A359" s="22"/>
      <c r="B359" s="22"/>
      <c r="C359" s="56"/>
      <c r="D359" s="56"/>
      <c r="E359" s="22"/>
      <c r="F359" s="22"/>
      <c r="G359" s="22"/>
      <c r="H359" s="22"/>
      <c r="I359" s="49"/>
      <c r="J359" s="50"/>
      <c r="K359" s="22"/>
      <c r="L359" s="22"/>
      <c r="M359" s="22"/>
      <c r="N359" s="22"/>
      <c r="O359" s="22"/>
      <c r="P359" s="46"/>
      <c r="Q359" s="40"/>
      <c r="R359" s="41"/>
      <c r="S359" s="22" t="str">
        <f t="shared" si="31"/>
        <v/>
      </c>
      <c r="T359" s="41"/>
      <c r="U359" s="41" t="str">
        <f t="shared" si="35"/>
        <v/>
      </c>
      <c r="V359" s="44"/>
      <c r="W359" s="44"/>
      <c r="X359" s="46"/>
      <c r="Y359" s="46"/>
      <c r="Z359" s="46"/>
      <c r="AA359" s="41"/>
      <c r="AB359" s="22"/>
      <c r="AC359" s="22"/>
      <c r="AD359" s="41"/>
      <c r="AE359" s="22"/>
      <c r="AF359" s="22"/>
      <c r="AG359" s="48" t="str">
        <f t="shared" si="32"/>
        <v/>
      </c>
      <c r="AH359" s="48" t="str">
        <f t="shared" si="33"/>
        <v/>
      </c>
      <c r="AI359" s="48" t="str">
        <f t="shared" si="34"/>
        <v/>
      </c>
      <c r="AJ359" s="40" t="str">
        <f t="shared" si="30"/>
        <v/>
      </c>
      <c r="AK359" s="40"/>
      <c r="AL359" s="40"/>
      <c r="AM359" s="22"/>
      <c r="AQ359" s="46"/>
    </row>
    <row r="360" spans="1:43" ht="17.399999999999999">
      <c r="A360" s="22"/>
      <c r="B360" s="22"/>
      <c r="C360" s="56"/>
      <c r="D360" s="56"/>
      <c r="E360" s="22"/>
      <c r="F360" s="22"/>
      <c r="G360" s="22"/>
      <c r="H360" s="22"/>
      <c r="I360" s="49"/>
      <c r="J360" s="50"/>
      <c r="K360" s="22"/>
      <c r="L360" s="22"/>
      <c r="M360" s="22"/>
      <c r="N360" s="22"/>
      <c r="O360" s="22"/>
      <c r="P360" s="46"/>
      <c r="Q360" s="40"/>
      <c r="R360" s="41"/>
      <c r="S360" s="22" t="str">
        <f t="shared" si="31"/>
        <v/>
      </c>
      <c r="T360" s="41"/>
      <c r="U360" s="41" t="str">
        <f t="shared" si="35"/>
        <v/>
      </c>
      <c r="V360" s="44"/>
      <c r="W360" s="44"/>
      <c r="X360" s="46"/>
      <c r="Y360" s="46"/>
      <c r="Z360" s="46"/>
      <c r="AA360" s="41"/>
      <c r="AB360" s="22"/>
      <c r="AC360" s="22"/>
      <c r="AD360" s="41"/>
      <c r="AE360" s="22"/>
      <c r="AF360" s="22"/>
      <c r="AG360" s="48" t="str">
        <f t="shared" si="32"/>
        <v/>
      </c>
      <c r="AH360" s="48" t="str">
        <f t="shared" si="33"/>
        <v/>
      </c>
      <c r="AI360" s="48" t="str">
        <f t="shared" si="34"/>
        <v/>
      </c>
      <c r="AJ360" s="40" t="str">
        <f t="shared" si="30"/>
        <v/>
      </c>
      <c r="AK360" s="40"/>
      <c r="AL360" s="40"/>
      <c r="AM360" s="22"/>
      <c r="AQ360" s="46"/>
    </row>
    <row r="361" spans="1:43" ht="17.399999999999999">
      <c r="A361" s="22"/>
      <c r="B361" s="22"/>
      <c r="C361" s="56"/>
      <c r="D361" s="56"/>
      <c r="E361" s="22"/>
      <c r="F361" s="22"/>
      <c r="G361" s="22"/>
      <c r="H361" s="22"/>
      <c r="I361" s="49"/>
      <c r="J361" s="50"/>
      <c r="K361" s="22"/>
      <c r="L361" s="22"/>
      <c r="M361" s="22"/>
      <c r="N361" s="22"/>
      <c r="O361" s="22"/>
      <c r="P361" s="46"/>
      <c r="Q361" s="40"/>
      <c r="R361" s="41"/>
      <c r="S361" s="22" t="str">
        <f t="shared" si="31"/>
        <v/>
      </c>
      <c r="T361" s="41"/>
      <c r="U361" s="41" t="str">
        <f t="shared" si="35"/>
        <v/>
      </c>
      <c r="V361" s="44"/>
      <c r="W361" s="44"/>
      <c r="X361" s="46"/>
      <c r="Y361" s="46"/>
      <c r="Z361" s="46"/>
      <c r="AA361" s="41"/>
      <c r="AB361" s="22"/>
      <c r="AC361" s="22"/>
      <c r="AD361" s="41"/>
      <c r="AE361" s="22"/>
      <c r="AF361" s="22"/>
      <c r="AG361" s="48" t="str">
        <f t="shared" si="32"/>
        <v/>
      </c>
      <c r="AH361" s="48" t="str">
        <f t="shared" si="33"/>
        <v/>
      </c>
      <c r="AI361" s="48" t="str">
        <f t="shared" si="34"/>
        <v/>
      </c>
      <c r="AJ361" s="40" t="str">
        <f t="shared" si="30"/>
        <v/>
      </c>
      <c r="AK361" s="40"/>
      <c r="AL361" s="40"/>
      <c r="AM361" s="22"/>
      <c r="AQ361" s="46"/>
    </row>
    <row r="362" spans="1:43" ht="17.399999999999999">
      <c r="A362" s="22"/>
      <c r="B362" s="22"/>
      <c r="C362" s="56"/>
      <c r="D362" s="56"/>
      <c r="E362" s="22"/>
      <c r="F362" s="22"/>
      <c r="G362" s="22"/>
      <c r="H362" s="22"/>
      <c r="I362" s="49"/>
      <c r="J362" s="50"/>
      <c r="K362" s="22"/>
      <c r="L362" s="22"/>
      <c r="M362" s="22"/>
      <c r="N362" s="22"/>
      <c r="O362" s="22"/>
      <c r="P362" s="46"/>
      <c r="Q362" s="40"/>
      <c r="R362" s="41"/>
      <c r="S362" s="22" t="str">
        <f t="shared" si="31"/>
        <v/>
      </c>
      <c r="T362" s="41"/>
      <c r="U362" s="41" t="str">
        <f t="shared" si="35"/>
        <v/>
      </c>
      <c r="V362" s="44"/>
      <c r="W362" s="44"/>
      <c r="X362" s="46"/>
      <c r="Y362" s="46"/>
      <c r="Z362" s="46"/>
      <c r="AA362" s="41"/>
      <c r="AB362" s="22"/>
      <c r="AC362" s="22"/>
      <c r="AD362" s="41"/>
      <c r="AE362" s="22"/>
      <c r="AF362" s="22"/>
      <c r="AG362" s="48" t="str">
        <f t="shared" si="32"/>
        <v/>
      </c>
      <c r="AH362" s="48" t="str">
        <f t="shared" si="33"/>
        <v/>
      </c>
      <c r="AI362" s="48" t="str">
        <f t="shared" si="34"/>
        <v/>
      </c>
      <c r="AJ362" s="40" t="str">
        <f t="shared" si="30"/>
        <v/>
      </c>
      <c r="AK362" s="40"/>
      <c r="AL362" s="40"/>
      <c r="AM362" s="22"/>
      <c r="AQ362" s="46"/>
    </row>
    <row r="363" spans="1:43" ht="17.399999999999999">
      <c r="A363" s="22"/>
      <c r="B363" s="22"/>
      <c r="C363" s="56"/>
      <c r="D363" s="56"/>
      <c r="E363" s="22"/>
      <c r="F363" s="22"/>
      <c r="G363" s="22"/>
      <c r="H363" s="22"/>
      <c r="I363" s="49"/>
      <c r="J363" s="50"/>
      <c r="K363" s="22"/>
      <c r="L363" s="22"/>
      <c r="M363" s="22"/>
      <c r="N363" s="22"/>
      <c r="O363" s="22"/>
      <c r="P363" s="46"/>
      <c r="Q363" s="40"/>
      <c r="R363" s="41"/>
      <c r="S363" s="22" t="str">
        <f t="shared" si="31"/>
        <v/>
      </c>
      <c r="T363" s="41"/>
      <c r="U363" s="41" t="str">
        <f t="shared" si="35"/>
        <v/>
      </c>
      <c r="V363" s="44"/>
      <c r="W363" s="44"/>
      <c r="X363" s="46"/>
      <c r="Y363" s="46"/>
      <c r="Z363" s="46"/>
      <c r="AA363" s="41"/>
      <c r="AB363" s="22"/>
      <c r="AC363" s="22"/>
      <c r="AD363" s="41"/>
      <c r="AE363" s="22"/>
      <c r="AF363" s="22"/>
      <c r="AG363" s="48" t="str">
        <f t="shared" si="32"/>
        <v/>
      </c>
      <c r="AH363" s="48" t="str">
        <f t="shared" si="33"/>
        <v/>
      </c>
      <c r="AI363" s="48" t="str">
        <f t="shared" si="34"/>
        <v/>
      </c>
      <c r="AJ363" s="40" t="str">
        <f t="shared" si="30"/>
        <v/>
      </c>
      <c r="AK363" s="40"/>
      <c r="AL363" s="40"/>
      <c r="AM363" s="22"/>
      <c r="AQ363" s="46"/>
    </row>
    <row r="364" spans="1:43" ht="17.399999999999999">
      <c r="A364" s="22"/>
      <c r="B364" s="22"/>
      <c r="C364" s="56"/>
      <c r="D364" s="56"/>
      <c r="E364" s="22"/>
      <c r="F364" s="22"/>
      <c r="G364" s="22"/>
      <c r="H364" s="22"/>
      <c r="I364" s="49"/>
      <c r="J364" s="50"/>
      <c r="K364" s="22"/>
      <c r="L364" s="22"/>
      <c r="M364" s="22"/>
      <c r="N364" s="22"/>
      <c r="O364" s="22"/>
      <c r="P364" s="46"/>
      <c r="Q364" s="40"/>
      <c r="R364" s="41"/>
      <c r="S364" s="22" t="str">
        <f t="shared" si="31"/>
        <v/>
      </c>
      <c r="T364" s="41"/>
      <c r="U364" s="41" t="str">
        <f t="shared" si="35"/>
        <v/>
      </c>
      <c r="V364" s="44"/>
      <c r="W364" s="44"/>
      <c r="X364" s="46"/>
      <c r="Y364" s="46"/>
      <c r="Z364" s="46"/>
      <c r="AA364" s="41"/>
      <c r="AB364" s="22"/>
      <c r="AC364" s="22"/>
      <c r="AD364" s="41"/>
      <c r="AE364" s="22"/>
      <c r="AF364" s="22"/>
      <c r="AG364" s="48" t="str">
        <f t="shared" si="32"/>
        <v/>
      </c>
      <c r="AH364" s="48" t="str">
        <f t="shared" si="33"/>
        <v/>
      </c>
      <c r="AI364" s="48" t="str">
        <f t="shared" si="34"/>
        <v/>
      </c>
      <c r="AJ364" s="40" t="str">
        <f t="shared" si="30"/>
        <v/>
      </c>
      <c r="AK364" s="40"/>
      <c r="AL364" s="40"/>
      <c r="AM364" s="22"/>
      <c r="AQ364" s="46"/>
    </row>
    <row r="365" spans="1:43" ht="17.399999999999999">
      <c r="A365" s="22"/>
      <c r="B365" s="22"/>
      <c r="C365" s="56"/>
      <c r="D365" s="56"/>
      <c r="E365" s="22"/>
      <c r="F365" s="22"/>
      <c r="G365" s="22"/>
      <c r="H365" s="22"/>
      <c r="I365" s="49"/>
      <c r="J365" s="50"/>
      <c r="K365" s="22"/>
      <c r="L365" s="22"/>
      <c r="M365" s="22"/>
      <c r="N365" s="22"/>
      <c r="O365" s="22"/>
      <c r="P365" s="46"/>
      <c r="Q365" s="40"/>
      <c r="R365" s="41"/>
      <c r="S365" s="22" t="str">
        <f t="shared" si="31"/>
        <v/>
      </c>
      <c r="T365" s="41"/>
      <c r="U365" s="41" t="str">
        <f t="shared" si="35"/>
        <v/>
      </c>
      <c r="V365" s="44"/>
      <c r="W365" s="44"/>
      <c r="X365" s="46"/>
      <c r="Y365" s="46"/>
      <c r="Z365" s="46"/>
      <c r="AA365" s="41"/>
      <c r="AB365" s="22"/>
      <c r="AC365" s="22"/>
      <c r="AD365" s="41"/>
      <c r="AE365" s="22"/>
      <c r="AF365" s="22"/>
      <c r="AG365" s="48" t="str">
        <f t="shared" si="32"/>
        <v/>
      </c>
      <c r="AH365" s="48" t="str">
        <f t="shared" si="33"/>
        <v/>
      </c>
      <c r="AI365" s="48" t="str">
        <f t="shared" si="34"/>
        <v/>
      </c>
      <c r="AJ365" s="40" t="str">
        <f t="shared" ref="AJ365:AJ428" si="36">IF(A365="","",R365+21)</f>
        <v/>
      </c>
      <c r="AK365" s="40"/>
      <c r="AL365" s="40"/>
      <c r="AM365" s="22"/>
      <c r="AQ365" s="46"/>
    </row>
    <row r="366" spans="1:43" ht="17.399999999999999">
      <c r="A366" s="22"/>
      <c r="B366" s="22"/>
      <c r="C366" s="56"/>
      <c r="D366" s="56"/>
      <c r="E366" s="22"/>
      <c r="F366" s="22"/>
      <c r="G366" s="22"/>
      <c r="H366" s="22"/>
      <c r="I366" s="49"/>
      <c r="J366" s="50"/>
      <c r="K366" s="22"/>
      <c r="L366" s="22"/>
      <c r="M366" s="22"/>
      <c r="N366" s="22"/>
      <c r="O366" s="22"/>
      <c r="P366" s="46"/>
      <c r="Q366" s="40"/>
      <c r="R366" s="41"/>
      <c r="S366" s="22" t="str">
        <f t="shared" si="31"/>
        <v/>
      </c>
      <c r="T366" s="41"/>
      <c r="U366" s="41" t="str">
        <f t="shared" si="35"/>
        <v/>
      </c>
      <c r="V366" s="44"/>
      <c r="W366" s="44"/>
      <c r="X366" s="46"/>
      <c r="Y366" s="46"/>
      <c r="Z366" s="46"/>
      <c r="AA366" s="41"/>
      <c r="AB366" s="22"/>
      <c r="AC366" s="22"/>
      <c r="AD366" s="41"/>
      <c r="AE366" s="22"/>
      <c r="AF366" s="22"/>
      <c r="AG366" s="48" t="str">
        <f t="shared" si="32"/>
        <v/>
      </c>
      <c r="AH366" s="48" t="str">
        <f t="shared" si="33"/>
        <v/>
      </c>
      <c r="AI366" s="48" t="str">
        <f t="shared" si="34"/>
        <v/>
      </c>
      <c r="AJ366" s="40" t="str">
        <f t="shared" si="36"/>
        <v/>
      </c>
      <c r="AK366" s="40"/>
      <c r="AL366" s="40"/>
      <c r="AM366" s="22"/>
      <c r="AQ366" s="46"/>
    </row>
    <row r="367" spans="1:43" ht="17.399999999999999">
      <c r="A367" s="22"/>
      <c r="B367" s="22"/>
      <c r="C367" s="56"/>
      <c r="D367" s="56"/>
      <c r="E367" s="22"/>
      <c r="F367" s="22"/>
      <c r="G367" s="22"/>
      <c r="H367" s="22"/>
      <c r="I367" s="49"/>
      <c r="J367" s="50"/>
      <c r="K367" s="22"/>
      <c r="L367" s="22"/>
      <c r="M367" s="22"/>
      <c r="N367" s="22"/>
      <c r="O367" s="22"/>
      <c r="P367" s="46"/>
      <c r="Q367" s="40"/>
      <c r="R367" s="41"/>
      <c r="S367" s="22" t="str">
        <f t="shared" si="31"/>
        <v/>
      </c>
      <c r="T367" s="41"/>
      <c r="U367" s="41" t="str">
        <f t="shared" si="35"/>
        <v/>
      </c>
      <c r="V367" s="44"/>
      <c r="W367" s="44"/>
      <c r="X367" s="46"/>
      <c r="Y367" s="46"/>
      <c r="Z367" s="46"/>
      <c r="AA367" s="41"/>
      <c r="AB367" s="22"/>
      <c r="AC367" s="22"/>
      <c r="AD367" s="41"/>
      <c r="AE367" s="22"/>
      <c r="AF367" s="22"/>
      <c r="AG367" s="48" t="str">
        <f t="shared" si="32"/>
        <v/>
      </c>
      <c r="AH367" s="48" t="str">
        <f t="shared" si="33"/>
        <v/>
      </c>
      <c r="AI367" s="48" t="str">
        <f t="shared" si="34"/>
        <v/>
      </c>
      <c r="AJ367" s="40" t="str">
        <f t="shared" si="36"/>
        <v/>
      </c>
      <c r="AK367" s="40"/>
      <c r="AL367" s="40"/>
      <c r="AM367" s="22"/>
      <c r="AQ367" s="46"/>
    </row>
    <row r="368" spans="1:43" ht="17.399999999999999">
      <c r="A368" s="22"/>
      <c r="B368" s="22"/>
      <c r="C368" s="56"/>
      <c r="D368" s="56"/>
      <c r="E368" s="22"/>
      <c r="F368" s="22"/>
      <c r="G368" s="22"/>
      <c r="H368" s="22"/>
      <c r="I368" s="49"/>
      <c r="J368" s="50"/>
      <c r="K368" s="22"/>
      <c r="L368" s="22"/>
      <c r="M368" s="22"/>
      <c r="N368" s="22"/>
      <c r="O368" s="22"/>
      <c r="P368" s="46"/>
      <c r="Q368" s="40"/>
      <c r="R368" s="41"/>
      <c r="S368" s="22" t="str">
        <f t="shared" si="31"/>
        <v/>
      </c>
      <c r="T368" s="41"/>
      <c r="U368" s="41" t="str">
        <f t="shared" si="35"/>
        <v/>
      </c>
      <c r="V368" s="44"/>
      <c r="W368" s="44"/>
      <c r="X368" s="46"/>
      <c r="Y368" s="46"/>
      <c r="Z368" s="46"/>
      <c r="AA368" s="41"/>
      <c r="AB368" s="22"/>
      <c r="AC368" s="22"/>
      <c r="AD368" s="41"/>
      <c r="AE368" s="22"/>
      <c r="AF368" s="22"/>
      <c r="AG368" s="48" t="str">
        <f t="shared" si="32"/>
        <v/>
      </c>
      <c r="AH368" s="48" t="str">
        <f t="shared" si="33"/>
        <v/>
      </c>
      <c r="AI368" s="48" t="str">
        <f t="shared" si="34"/>
        <v/>
      </c>
      <c r="AJ368" s="40" t="str">
        <f t="shared" si="36"/>
        <v/>
      </c>
      <c r="AK368" s="40"/>
      <c r="AL368" s="40"/>
      <c r="AM368" s="22"/>
      <c r="AQ368" s="46"/>
    </row>
    <row r="369" spans="1:43" ht="17.399999999999999">
      <c r="A369" s="22"/>
      <c r="B369" s="22"/>
      <c r="C369" s="56"/>
      <c r="D369" s="56"/>
      <c r="E369" s="22"/>
      <c r="F369" s="22"/>
      <c r="G369" s="22"/>
      <c r="H369" s="22"/>
      <c r="I369" s="49"/>
      <c r="J369" s="50"/>
      <c r="K369" s="22"/>
      <c r="L369" s="22"/>
      <c r="M369" s="22"/>
      <c r="N369" s="22"/>
      <c r="O369" s="22"/>
      <c r="P369" s="46"/>
      <c r="Q369" s="40"/>
      <c r="R369" s="41"/>
      <c r="S369" s="22" t="str">
        <f t="shared" si="31"/>
        <v/>
      </c>
      <c r="T369" s="41"/>
      <c r="U369" s="41" t="str">
        <f t="shared" si="35"/>
        <v/>
      </c>
      <c r="V369" s="44"/>
      <c r="W369" s="44"/>
      <c r="X369" s="46"/>
      <c r="Y369" s="46"/>
      <c r="Z369" s="46"/>
      <c r="AA369" s="41"/>
      <c r="AB369" s="22"/>
      <c r="AC369" s="22"/>
      <c r="AD369" s="41"/>
      <c r="AE369" s="22"/>
      <c r="AF369" s="22"/>
      <c r="AG369" s="48" t="str">
        <f t="shared" si="32"/>
        <v/>
      </c>
      <c r="AH369" s="48" t="str">
        <f t="shared" si="33"/>
        <v/>
      </c>
      <c r="AI369" s="48" t="str">
        <f t="shared" si="34"/>
        <v/>
      </c>
      <c r="AJ369" s="40" t="str">
        <f t="shared" si="36"/>
        <v/>
      </c>
      <c r="AK369" s="40"/>
      <c r="AL369" s="40"/>
      <c r="AM369" s="22"/>
      <c r="AQ369" s="46"/>
    </row>
    <row r="370" spans="1:43" ht="17.399999999999999">
      <c r="A370" s="22"/>
      <c r="B370" s="22"/>
      <c r="C370" s="56"/>
      <c r="D370" s="56"/>
      <c r="E370" s="22"/>
      <c r="F370" s="22"/>
      <c r="G370" s="22"/>
      <c r="H370" s="22"/>
      <c r="I370" s="49"/>
      <c r="J370" s="50"/>
      <c r="K370" s="22"/>
      <c r="L370" s="22"/>
      <c r="M370" s="22"/>
      <c r="N370" s="22"/>
      <c r="O370" s="22"/>
      <c r="P370" s="46"/>
      <c r="Q370" s="40"/>
      <c r="R370" s="41"/>
      <c r="S370" s="22" t="str">
        <f t="shared" si="31"/>
        <v/>
      </c>
      <c r="T370" s="41"/>
      <c r="U370" s="41" t="str">
        <f t="shared" si="35"/>
        <v/>
      </c>
      <c r="V370" s="44"/>
      <c r="W370" s="44"/>
      <c r="X370" s="46"/>
      <c r="Y370" s="46"/>
      <c r="Z370" s="46"/>
      <c r="AA370" s="41"/>
      <c r="AB370" s="22"/>
      <c r="AC370" s="22"/>
      <c r="AD370" s="41"/>
      <c r="AE370" s="22"/>
      <c r="AF370" s="22"/>
      <c r="AG370" s="48" t="str">
        <f t="shared" si="32"/>
        <v/>
      </c>
      <c r="AH370" s="48" t="str">
        <f t="shared" si="33"/>
        <v/>
      </c>
      <c r="AI370" s="48" t="str">
        <f t="shared" si="34"/>
        <v/>
      </c>
      <c r="AJ370" s="40" t="str">
        <f t="shared" si="36"/>
        <v/>
      </c>
      <c r="AK370" s="40"/>
      <c r="AL370" s="40"/>
      <c r="AM370" s="22"/>
      <c r="AQ370" s="46"/>
    </row>
    <row r="371" spans="1:43" ht="17.399999999999999">
      <c r="A371" s="22"/>
      <c r="B371" s="22"/>
      <c r="C371" s="56"/>
      <c r="D371" s="56"/>
      <c r="E371" s="22"/>
      <c r="F371" s="22"/>
      <c r="G371" s="22"/>
      <c r="H371" s="22"/>
      <c r="I371" s="49"/>
      <c r="J371" s="50"/>
      <c r="K371" s="22"/>
      <c r="L371" s="22"/>
      <c r="M371" s="22"/>
      <c r="N371" s="22"/>
      <c r="O371" s="22"/>
      <c r="P371" s="46"/>
      <c r="Q371" s="40"/>
      <c r="R371" s="41"/>
      <c r="S371" s="22" t="str">
        <f t="shared" si="31"/>
        <v/>
      </c>
      <c r="T371" s="41"/>
      <c r="U371" s="41" t="str">
        <f t="shared" si="35"/>
        <v/>
      </c>
      <c r="V371" s="44"/>
      <c r="W371" s="44"/>
      <c r="X371" s="46"/>
      <c r="Y371" s="46"/>
      <c r="Z371" s="46"/>
      <c r="AA371" s="41"/>
      <c r="AB371" s="22"/>
      <c r="AC371" s="22"/>
      <c r="AD371" s="41"/>
      <c r="AE371" s="22"/>
      <c r="AF371" s="22"/>
      <c r="AG371" s="48" t="str">
        <f t="shared" si="32"/>
        <v/>
      </c>
      <c r="AH371" s="48" t="str">
        <f t="shared" si="33"/>
        <v/>
      </c>
      <c r="AI371" s="48" t="str">
        <f t="shared" si="34"/>
        <v/>
      </c>
      <c r="AJ371" s="40" t="str">
        <f t="shared" si="36"/>
        <v/>
      </c>
      <c r="AK371" s="40"/>
      <c r="AL371" s="40"/>
      <c r="AM371" s="22"/>
      <c r="AQ371" s="46"/>
    </row>
    <row r="372" spans="1:43" ht="17.399999999999999">
      <c r="A372" s="22"/>
      <c r="B372" s="22"/>
      <c r="C372" s="56"/>
      <c r="D372" s="56"/>
      <c r="E372" s="22"/>
      <c r="F372" s="22"/>
      <c r="G372" s="22"/>
      <c r="H372" s="22"/>
      <c r="I372" s="49"/>
      <c r="J372" s="50"/>
      <c r="K372" s="22"/>
      <c r="L372" s="22"/>
      <c r="M372" s="22"/>
      <c r="N372" s="22"/>
      <c r="O372" s="22"/>
      <c r="P372" s="46"/>
      <c r="Q372" s="40"/>
      <c r="R372" s="41"/>
      <c r="S372" s="22" t="str">
        <f t="shared" si="31"/>
        <v/>
      </c>
      <c r="T372" s="41"/>
      <c r="U372" s="41" t="str">
        <f t="shared" si="35"/>
        <v/>
      </c>
      <c r="V372" s="44"/>
      <c r="W372" s="44"/>
      <c r="X372" s="46"/>
      <c r="Y372" s="46"/>
      <c r="Z372" s="46"/>
      <c r="AA372" s="41"/>
      <c r="AB372" s="22"/>
      <c r="AC372" s="22"/>
      <c r="AD372" s="41"/>
      <c r="AE372" s="22"/>
      <c r="AF372" s="22"/>
      <c r="AG372" s="48" t="str">
        <f t="shared" si="32"/>
        <v/>
      </c>
      <c r="AH372" s="48" t="str">
        <f t="shared" si="33"/>
        <v/>
      </c>
      <c r="AI372" s="48" t="str">
        <f t="shared" si="34"/>
        <v/>
      </c>
      <c r="AJ372" s="40" t="str">
        <f t="shared" si="36"/>
        <v/>
      </c>
      <c r="AK372" s="40"/>
      <c r="AL372" s="40"/>
      <c r="AM372" s="22"/>
      <c r="AQ372" s="46"/>
    </row>
    <row r="373" spans="1:43" ht="17.399999999999999">
      <c r="A373" s="22"/>
      <c r="B373" s="22"/>
      <c r="C373" s="56"/>
      <c r="D373" s="56"/>
      <c r="E373" s="22"/>
      <c r="F373" s="22"/>
      <c r="G373" s="22"/>
      <c r="H373" s="22"/>
      <c r="I373" s="49"/>
      <c r="J373" s="50"/>
      <c r="K373" s="22"/>
      <c r="L373" s="22"/>
      <c r="M373" s="22"/>
      <c r="N373" s="22"/>
      <c r="O373" s="22"/>
      <c r="P373" s="46"/>
      <c r="Q373" s="40"/>
      <c r="R373" s="41"/>
      <c r="S373" s="22" t="str">
        <f t="shared" si="31"/>
        <v/>
      </c>
      <c r="T373" s="41"/>
      <c r="U373" s="41" t="str">
        <f t="shared" si="35"/>
        <v/>
      </c>
      <c r="V373" s="44"/>
      <c r="W373" s="44"/>
      <c r="X373" s="46"/>
      <c r="Y373" s="46"/>
      <c r="Z373" s="46"/>
      <c r="AA373" s="41"/>
      <c r="AB373" s="22"/>
      <c r="AC373" s="22"/>
      <c r="AD373" s="41"/>
      <c r="AE373" s="22"/>
      <c r="AF373" s="22"/>
      <c r="AG373" s="48" t="str">
        <f t="shared" si="32"/>
        <v/>
      </c>
      <c r="AH373" s="48" t="str">
        <f t="shared" si="33"/>
        <v/>
      </c>
      <c r="AI373" s="48" t="str">
        <f t="shared" si="34"/>
        <v/>
      </c>
      <c r="AJ373" s="40" t="str">
        <f t="shared" si="36"/>
        <v/>
      </c>
      <c r="AK373" s="40"/>
      <c r="AL373" s="40"/>
      <c r="AM373" s="22"/>
      <c r="AQ373" s="46"/>
    </row>
    <row r="374" spans="1:43" ht="17.399999999999999">
      <c r="A374" s="22"/>
      <c r="B374" s="22"/>
      <c r="C374" s="56"/>
      <c r="D374" s="56"/>
      <c r="E374" s="22"/>
      <c r="F374" s="22"/>
      <c r="G374" s="22"/>
      <c r="H374" s="22"/>
      <c r="I374" s="49"/>
      <c r="J374" s="50"/>
      <c r="K374" s="22"/>
      <c r="L374" s="22"/>
      <c r="M374" s="22"/>
      <c r="N374" s="22"/>
      <c r="O374" s="22"/>
      <c r="P374" s="46"/>
      <c r="Q374" s="40"/>
      <c r="R374" s="41"/>
      <c r="S374" s="22" t="str">
        <f t="shared" si="31"/>
        <v/>
      </c>
      <c r="T374" s="41"/>
      <c r="U374" s="41" t="str">
        <f t="shared" si="35"/>
        <v/>
      </c>
      <c r="V374" s="44"/>
      <c r="W374" s="44"/>
      <c r="X374" s="46"/>
      <c r="Y374" s="46"/>
      <c r="Z374" s="46"/>
      <c r="AA374" s="41"/>
      <c r="AB374" s="22"/>
      <c r="AC374" s="22"/>
      <c r="AD374" s="41"/>
      <c r="AE374" s="22"/>
      <c r="AF374" s="22"/>
      <c r="AG374" s="48" t="str">
        <f t="shared" si="32"/>
        <v/>
      </c>
      <c r="AH374" s="48" t="str">
        <f t="shared" si="33"/>
        <v/>
      </c>
      <c r="AI374" s="48" t="str">
        <f t="shared" si="34"/>
        <v/>
      </c>
      <c r="AJ374" s="40" t="str">
        <f t="shared" si="36"/>
        <v/>
      </c>
      <c r="AK374" s="40"/>
      <c r="AL374" s="40"/>
      <c r="AM374" s="22"/>
      <c r="AQ374" s="46"/>
    </row>
    <row r="375" spans="1:43" ht="17.399999999999999">
      <c r="A375" s="22"/>
      <c r="B375" s="22"/>
      <c r="C375" s="56"/>
      <c r="D375" s="56"/>
      <c r="E375" s="22"/>
      <c r="F375" s="22"/>
      <c r="G375" s="22"/>
      <c r="H375" s="22"/>
      <c r="I375" s="49"/>
      <c r="J375" s="50"/>
      <c r="K375" s="22"/>
      <c r="L375" s="22"/>
      <c r="M375" s="22"/>
      <c r="N375" s="22"/>
      <c r="O375" s="22"/>
      <c r="P375" s="46"/>
      <c r="Q375" s="40"/>
      <c r="R375" s="41"/>
      <c r="S375" s="22" t="str">
        <f t="shared" si="31"/>
        <v/>
      </c>
      <c r="T375" s="41"/>
      <c r="U375" s="41" t="str">
        <f t="shared" si="35"/>
        <v/>
      </c>
      <c r="V375" s="44"/>
      <c r="W375" s="44"/>
      <c r="X375" s="46"/>
      <c r="Y375" s="46"/>
      <c r="Z375" s="46"/>
      <c r="AA375" s="41"/>
      <c r="AB375" s="22"/>
      <c r="AC375" s="22"/>
      <c r="AD375" s="41"/>
      <c r="AE375" s="22"/>
      <c r="AF375" s="22"/>
      <c r="AG375" s="48" t="str">
        <f t="shared" si="32"/>
        <v/>
      </c>
      <c r="AH375" s="48" t="str">
        <f t="shared" si="33"/>
        <v/>
      </c>
      <c r="AI375" s="48" t="str">
        <f t="shared" si="34"/>
        <v/>
      </c>
      <c r="AJ375" s="40" t="str">
        <f t="shared" si="36"/>
        <v/>
      </c>
      <c r="AK375" s="40"/>
      <c r="AL375" s="40"/>
      <c r="AM375" s="22"/>
      <c r="AQ375" s="46"/>
    </row>
    <row r="376" spans="1:43" ht="17.399999999999999">
      <c r="A376" s="22"/>
      <c r="B376" s="22"/>
      <c r="C376" s="56"/>
      <c r="D376" s="56"/>
      <c r="E376" s="22"/>
      <c r="F376" s="22"/>
      <c r="G376" s="22"/>
      <c r="H376" s="22"/>
      <c r="I376" s="49"/>
      <c r="J376" s="50"/>
      <c r="K376" s="22"/>
      <c r="L376" s="22"/>
      <c r="M376" s="22"/>
      <c r="N376" s="22"/>
      <c r="O376" s="22"/>
      <c r="P376" s="46"/>
      <c r="Q376" s="40"/>
      <c r="R376" s="41"/>
      <c r="S376" s="22" t="str">
        <f t="shared" si="31"/>
        <v/>
      </c>
      <c r="T376" s="41"/>
      <c r="U376" s="41" t="str">
        <f t="shared" si="35"/>
        <v/>
      </c>
      <c r="V376" s="44"/>
      <c r="W376" s="44"/>
      <c r="X376" s="46"/>
      <c r="Y376" s="46"/>
      <c r="Z376" s="46"/>
      <c r="AA376" s="41"/>
      <c r="AB376" s="22"/>
      <c r="AC376" s="22"/>
      <c r="AD376" s="41"/>
      <c r="AE376" s="22"/>
      <c r="AF376" s="22"/>
      <c r="AG376" s="48" t="str">
        <f t="shared" si="32"/>
        <v/>
      </c>
      <c r="AH376" s="48" t="str">
        <f t="shared" si="33"/>
        <v/>
      </c>
      <c r="AI376" s="48" t="str">
        <f t="shared" si="34"/>
        <v/>
      </c>
      <c r="AJ376" s="40" t="str">
        <f t="shared" si="36"/>
        <v/>
      </c>
      <c r="AK376" s="40"/>
      <c r="AL376" s="40"/>
      <c r="AM376" s="22"/>
      <c r="AQ376" s="46"/>
    </row>
    <row r="377" spans="1:43" ht="17.399999999999999">
      <c r="A377" s="22"/>
      <c r="B377" s="22"/>
      <c r="C377" s="56"/>
      <c r="D377" s="56"/>
      <c r="E377" s="22"/>
      <c r="F377" s="22"/>
      <c r="G377" s="22"/>
      <c r="H377" s="22"/>
      <c r="I377" s="49"/>
      <c r="J377" s="50"/>
      <c r="K377" s="22"/>
      <c r="L377" s="22"/>
      <c r="M377" s="22"/>
      <c r="N377" s="22"/>
      <c r="O377" s="22"/>
      <c r="P377" s="46"/>
      <c r="Q377" s="40"/>
      <c r="R377" s="41"/>
      <c r="S377" s="22" t="str">
        <f t="shared" si="31"/>
        <v/>
      </c>
      <c r="T377" s="41"/>
      <c r="U377" s="41" t="str">
        <f t="shared" si="35"/>
        <v/>
      </c>
      <c r="V377" s="44"/>
      <c r="W377" s="44"/>
      <c r="X377" s="46"/>
      <c r="Y377" s="46"/>
      <c r="Z377" s="46"/>
      <c r="AA377" s="41"/>
      <c r="AB377" s="22"/>
      <c r="AC377" s="22"/>
      <c r="AD377" s="41"/>
      <c r="AE377" s="22"/>
      <c r="AF377" s="22"/>
      <c r="AG377" s="48" t="str">
        <f t="shared" si="32"/>
        <v/>
      </c>
      <c r="AH377" s="48" t="str">
        <f t="shared" si="33"/>
        <v/>
      </c>
      <c r="AI377" s="48" t="str">
        <f t="shared" si="34"/>
        <v/>
      </c>
      <c r="AJ377" s="40" t="str">
        <f t="shared" si="36"/>
        <v/>
      </c>
      <c r="AK377" s="40"/>
      <c r="AL377" s="40"/>
      <c r="AM377" s="22"/>
      <c r="AQ377" s="46"/>
    </row>
    <row r="378" spans="1:43" ht="17.399999999999999">
      <c r="A378" s="22"/>
      <c r="B378" s="22"/>
      <c r="C378" s="56"/>
      <c r="D378" s="56"/>
      <c r="E378" s="22"/>
      <c r="F378" s="22"/>
      <c r="G378" s="22"/>
      <c r="H378" s="22"/>
      <c r="I378" s="49"/>
      <c r="J378" s="50"/>
      <c r="K378" s="22"/>
      <c r="L378" s="22"/>
      <c r="M378" s="22"/>
      <c r="N378" s="22"/>
      <c r="O378" s="22"/>
      <c r="P378" s="46"/>
      <c r="Q378" s="40"/>
      <c r="R378" s="41"/>
      <c r="S378" s="22" t="str">
        <f t="shared" si="31"/>
        <v/>
      </c>
      <c r="T378" s="41"/>
      <c r="U378" s="41" t="str">
        <f t="shared" si="35"/>
        <v/>
      </c>
      <c r="V378" s="44"/>
      <c r="W378" s="44"/>
      <c r="X378" s="46"/>
      <c r="Y378" s="46"/>
      <c r="Z378" s="46"/>
      <c r="AA378" s="41"/>
      <c r="AB378" s="22"/>
      <c r="AC378" s="22"/>
      <c r="AD378" s="41"/>
      <c r="AE378" s="22"/>
      <c r="AF378" s="22"/>
      <c r="AG378" s="48" t="str">
        <f t="shared" si="32"/>
        <v/>
      </c>
      <c r="AH378" s="48" t="str">
        <f t="shared" si="33"/>
        <v/>
      </c>
      <c r="AI378" s="48" t="str">
        <f t="shared" si="34"/>
        <v/>
      </c>
      <c r="AJ378" s="40" t="str">
        <f t="shared" si="36"/>
        <v/>
      </c>
      <c r="AK378" s="40"/>
      <c r="AL378" s="40"/>
      <c r="AM378" s="22"/>
      <c r="AQ378" s="46"/>
    </row>
    <row r="379" spans="1:43" ht="17.399999999999999">
      <c r="A379" s="22"/>
      <c r="B379" s="22"/>
      <c r="C379" s="56"/>
      <c r="D379" s="56"/>
      <c r="E379" s="22"/>
      <c r="F379" s="22"/>
      <c r="G379" s="22"/>
      <c r="H379" s="22"/>
      <c r="I379" s="49"/>
      <c r="J379" s="50"/>
      <c r="K379" s="22"/>
      <c r="L379" s="22"/>
      <c r="M379" s="22"/>
      <c r="N379" s="22"/>
      <c r="O379" s="22"/>
      <c r="P379" s="46"/>
      <c r="Q379" s="40"/>
      <c r="R379" s="41"/>
      <c r="S379" s="22" t="str">
        <f t="shared" si="31"/>
        <v/>
      </c>
      <c r="T379" s="41"/>
      <c r="U379" s="41" t="str">
        <f t="shared" si="35"/>
        <v/>
      </c>
      <c r="V379" s="44"/>
      <c r="W379" s="44"/>
      <c r="X379" s="46"/>
      <c r="Y379" s="46"/>
      <c r="Z379" s="46"/>
      <c r="AA379" s="41"/>
      <c r="AB379" s="22"/>
      <c r="AC379" s="22"/>
      <c r="AD379" s="41"/>
      <c r="AE379" s="22"/>
      <c r="AF379" s="22"/>
      <c r="AG379" s="48" t="str">
        <f t="shared" si="32"/>
        <v/>
      </c>
      <c r="AH379" s="48" t="str">
        <f t="shared" si="33"/>
        <v/>
      </c>
      <c r="AI379" s="48" t="str">
        <f t="shared" si="34"/>
        <v/>
      </c>
      <c r="AJ379" s="40" t="str">
        <f t="shared" si="36"/>
        <v/>
      </c>
      <c r="AK379" s="40"/>
      <c r="AL379" s="40"/>
      <c r="AM379" s="22"/>
      <c r="AQ379" s="46"/>
    </row>
    <row r="380" spans="1:43" ht="17.399999999999999">
      <c r="A380" s="22"/>
      <c r="B380" s="22"/>
      <c r="C380" s="56"/>
      <c r="D380" s="56"/>
      <c r="E380" s="22"/>
      <c r="F380" s="22"/>
      <c r="G380" s="22"/>
      <c r="H380" s="22"/>
      <c r="I380" s="49"/>
      <c r="J380" s="50"/>
      <c r="K380" s="22"/>
      <c r="L380" s="22"/>
      <c r="M380" s="22"/>
      <c r="N380" s="22"/>
      <c r="O380" s="22"/>
      <c r="P380" s="46"/>
      <c r="Q380" s="40"/>
      <c r="R380" s="41"/>
      <c r="S380" s="22" t="str">
        <f t="shared" si="31"/>
        <v/>
      </c>
      <c r="T380" s="41"/>
      <c r="U380" s="41" t="str">
        <f t="shared" si="35"/>
        <v/>
      </c>
      <c r="V380" s="44"/>
      <c r="W380" s="44"/>
      <c r="X380" s="46"/>
      <c r="Y380" s="46"/>
      <c r="Z380" s="46"/>
      <c r="AA380" s="41"/>
      <c r="AB380" s="22"/>
      <c r="AC380" s="22"/>
      <c r="AD380" s="41"/>
      <c r="AE380" s="22"/>
      <c r="AF380" s="22"/>
      <c r="AG380" s="48" t="str">
        <f t="shared" si="32"/>
        <v/>
      </c>
      <c r="AH380" s="48" t="str">
        <f t="shared" si="33"/>
        <v/>
      </c>
      <c r="AI380" s="48" t="str">
        <f t="shared" si="34"/>
        <v/>
      </c>
      <c r="AJ380" s="40" t="str">
        <f t="shared" si="36"/>
        <v/>
      </c>
      <c r="AK380" s="40"/>
      <c r="AL380" s="40"/>
      <c r="AM380" s="22"/>
      <c r="AQ380" s="46"/>
    </row>
    <row r="381" spans="1:43" ht="17.399999999999999">
      <c r="A381" s="22"/>
      <c r="B381" s="22"/>
      <c r="C381" s="56"/>
      <c r="D381" s="56"/>
      <c r="E381" s="22"/>
      <c r="F381" s="22"/>
      <c r="G381" s="22"/>
      <c r="H381" s="22"/>
      <c r="I381" s="49"/>
      <c r="J381" s="50"/>
      <c r="K381" s="22"/>
      <c r="L381" s="22"/>
      <c r="M381" s="22"/>
      <c r="N381" s="22"/>
      <c r="O381" s="22"/>
      <c r="P381" s="46"/>
      <c r="Q381" s="40"/>
      <c r="R381" s="41"/>
      <c r="S381" s="22" t="str">
        <f t="shared" si="31"/>
        <v/>
      </c>
      <c r="T381" s="41"/>
      <c r="U381" s="41" t="str">
        <f t="shared" si="35"/>
        <v/>
      </c>
      <c r="V381" s="44"/>
      <c r="W381" s="44"/>
      <c r="X381" s="46"/>
      <c r="Y381" s="46"/>
      <c r="Z381" s="46"/>
      <c r="AA381" s="41"/>
      <c r="AB381" s="22"/>
      <c r="AC381" s="22"/>
      <c r="AD381" s="41"/>
      <c r="AE381" s="22"/>
      <c r="AF381" s="22"/>
      <c r="AG381" s="48" t="str">
        <f t="shared" si="32"/>
        <v/>
      </c>
      <c r="AH381" s="48" t="str">
        <f t="shared" si="33"/>
        <v/>
      </c>
      <c r="AI381" s="48" t="str">
        <f t="shared" si="34"/>
        <v/>
      </c>
      <c r="AJ381" s="40" t="str">
        <f t="shared" si="36"/>
        <v/>
      </c>
      <c r="AK381" s="40"/>
      <c r="AL381" s="40"/>
      <c r="AM381" s="22"/>
      <c r="AQ381" s="46"/>
    </row>
    <row r="382" spans="1:43" ht="17.399999999999999">
      <c r="A382" s="22"/>
      <c r="B382" s="22"/>
      <c r="C382" s="56"/>
      <c r="D382" s="56"/>
      <c r="E382" s="22"/>
      <c r="F382" s="22"/>
      <c r="G382" s="22"/>
      <c r="H382" s="22"/>
      <c r="I382" s="49"/>
      <c r="J382" s="50"/>
      <c r="K382" s="22"/>
      <c r="L382" s="22"/>
      <c r="M382" s="22"/>
      <c r="N382" s="22"/>
      <c r="O382" s="22"/>
      <c r="P382" s="46"/>
      <c r="Q382" s="40"/>
      <c r="R382" s="41"/>
      <c r="S382" s="22" t="str">
        <f t="shared" si="31"/>
        <v/>
      </c>
      <c r="T382" s="41"/>
      <c r="U382" s="41" t="str">
        <f t="shared" si="35"/>
        <v/>
      </c>
      <c r="V382" s="44"/>
      <c r="W382" s="44"/>
      <c r="X382" s="46"/>
      <c r="Y382" s="46"/>
      <c r="Z382" s="46"/>
      <c r="AA382" s="41"/>
      <c r="AB382" s="22"/>
      <c r="AC382" s="22"/>
      <c r="AD382" s="41"/>
      <c r="AE382" s="22"/>
      <c r="AF382" s="22"/>
      <c r="AG382" s="48" t="str">
        <f t="shared" si="32"/>
        <v/>
      </c>
      <c r="AH382" s="48" t="str">
        <f t="shared" si="33"/>
        <v/>
      </c>
      <c r="AI382" s="48" t="str">
        <f t="shared" si="34"/>
        <v/>
      </c>
      <c r="AJ382" s="40" t="str">
        <f t="shared" si="36"/>
        <v/>
      </c>
      <c r="AK382" s="40"/>
      <c r="AL382" s="40"/>
      <c r="AM382" s="22"/>
      <c r="AQ382" s="46"/>
    </row>
    <row r="383" spans="1:43" ht="17.399999999999999">
      <c r="A383" s="22"/>
      <c r="B383" s="22"/>
      <c r="C383" s="56"/>
      <c r="D383" s="56"/>
      <c r="E383" s="22"/>
      <c r="F383" s="22"/>
      <c r="G383" s="22"/>
      <c r="H383" s="22"/>
      <c r="I383" s="49"/>
      <c r="J383" s="50"/>
      <c r="K383" s="22"/>
      <c r="L383" s="22"/>
      <c r="M383" s="22"/>
      <c r="N383" s="22"/>
      <c r="O383" s="22"/>
      <c r="P383" s="46"/>
      <c r="Q383" s="40"/>
      <c r="R383" s="41"/>
      <c r="S383" s="22" t="str">
        <f t="shared" si="31"/>
        <v/>
      </c>
      <c r="T383" s="41"/>
      <c r="U383" s="41" t="str">
        <f t="shared" si="35"/>
        <v/>
      </c>
      <c r="V383" s="44"/>
      <c r="W383" s="44"/>
      <c r="X383" s="46"/>
      <c r="Y383" s="46"/>
      <c r="Z383" s="46"/>
      <c r="AA383" s="41"/>
      <c r="AB383" s="22"/>
      <c r="AC383" s="22"/>
      <c r="AD383" s="41"/>
      <c r="AE383" s="22"/>
      <c r="AF383" s="22"/>
      <c r="AG383" s="48" t="str">
        <f t="shared" si="32"/>
        <v/>
      </c>
      <c r="AH383" s="48" t="str">
        <f t="shared" si="33"/>
        <v/>
      </c>
      <c r="AI383" s="48" t="str">
        <f t="shared" si="34"/>
        <v/>
      </c>
      <c r="AJ383" s="40" t="str">
        <f t="shared" si="36"/>
        <v/>
      </c>
      <c r="AK383" s="40"/>
      <c r="AL383" s="40"/>
      <c r="AM383" s="22"/>
      <c r="AQ383" s="46"/>
    </row>
    <row r="384" spans="1:43" ht="17.399999999999999">
      <c r="A384" s="22"/>
      <c r="B384" s="22"/>
      <c r="C384" s="56"/>
      <c r="D384" s="56"/>
      <c r="E384" s="22"/>
      <c r="F384" s="22"/>
      <c r="G384" s="22"/>
      <c r="H384" s="22"/>
      <c r="I384" s="49"/>
      <c r="J384" s="50"/>
      <c r="K384" s="22"/>
      <c r="L384" s="22"/>
      <c r="M384" s="22"/>
      <c r="N384" s="22"/>
      <c r="O384" s="22"/>
      <c r="P384" s="46"/>
      <c r="Q384" s="40"/>
      <c r="R384" s="41"/>
      <c r="S384" s="22" t="str">
        <f t="shared" si="31"/>
        <v/>
      </c>
      <c r="T384" s="41"/>
      <c r="U384" s="41" t="str">
        <f t="shared" si="35"/>
        <v/>
      </c>
      <c r="V384" s="44"/>
      <c r="W384" s="44"/>
      <c r="X384" s="46"/>
      <c r="Y384" s="46"/>
      <c r="Z384" s="46"/>
      <c r="AA384" s="41"/>
      <c r="AB384" s="22"/>
      <c r="AC384" s="22"/>
      <c r="AD384" s="41"/>
      <c r="AE384" s="22"/>
      <c r="AF384" s="22"/>
      <c r="AG384" s="48" t="str">
        <f t="shared" si="32"/>
        <v/>
      </c>
      <c r="AH384" s="48" t="str">
        <f t="shared" si="33"/>
        <v/>
      </c>
      <c r="AI384" s="48" t="str">
        <f t="shared" si="34"/>
        <v/>
      </c>
      <c r="AJ384" s="40" t="str">
        <f t="shared" si="36"/>
        <v/>
      </c>
      <c r="AK384" s="40"/>
      <c r="AL384" s="40"/>
      <c r="AM384" s="22"/>
      <c r="AQ384" s="46"/>
    </row>
    <row r="385" spans="1:43" ht="17.399999999999999">
      <c r="A385" s="22"/>
      <c r="B385" s="22"/>
      <c r="C385" s="56"/>
      <c r="D385" s="56"/>
      <c r="E385" s="22"/>
      <c r="F385" s="22"/>
      <c r="G385" s="22"/>
      <c r="H385" s="22"/>
      <c r="I385" s="49"/>
      <c r="J385" s="50"/>
      <c r="K385" s="22"/>
      <c r="L385" s="22"/>
      <c r="M385" s="22"/>
      <c r="N385" s="22"/>
      <c r="O385" s="22"/>
      <c r="P385" s="46"/>
      <c r="Q385" s="40"/>
      <c r="R385" s="41"/>
      <c r="S385" s="22" t="str">
        <f t="shared" si="31"/>
        <v/>
      </c>
      <c r="T385" s="41"/>
      <c r="U385" s="41" t="str">
        <f t="shared" si="35"/>
        <v/>
      </c>
      <c r="V385" s="44"/>
      <c r="W385" s="44"/>
      <c r="X385" s="46"/>
      <c r="Y385" s="46"/>
      <c r="Z385" s="46"/>
      <c r="AA385" s="41"/>
      <c r="AB385" s="22"/>
      <c r="AC385" s="22"/>
      <c r="AD385" s="41"/>
      <c r="AE385" s="22"/>
      <c r="AF385" s="22"/>
      <c r="AG385" s="48" t="str">
        <f t="shared" si="32"/>
        <v/>
      </c>
      <c r="AH385" s="48" t="str">
        <f t="shared" si="33"/>
        <v/>
      </c>
      <c r="AI385" s="48" t="str">
        <f t="shared" si="34"/>
        <v/>
      </c>
      <c r="AJ385" s="40" t="str">
        <f t="shared" si="36"/>
        <v/>
      </c>
      <c r="AK385" s="40"/>
      <c r="AL385" s="40"/>
      <c r="AM385" s="22"/>
      <c r="AQ385" s="46"/>
    </row>
    <row r="386" spans="1:43" ht="17.399999999999999">
      <c r="A386" s="22"/>
      <c r="B386" s="22"/>
      <c r="C386" s="56"/>
      <c r="D386" s="56"/>
      <c r="E386" s="22"/>
      <c r="F386" s="22"/>
      <c r="G386" s="22"/>
      <c r="H386" s="22"/>
      <c r="I386" s="49"/>
      <c r="J386" s="50"/>
      <c r="K386" s="22"/>
      <c r="L386" s="22"/>
      <c r="M386" s="22"/>
      <c r="N386" s="22"/>
      <c r="O386" s="22"/>
      <c r="P386" s="46"/>
      <c r="Q386" s="40"/>
      <c r="R386" s="41"/>
      <c r="S386" s="22" t="str">
        <f t="shared" si="31"/>
        <v/>
      </c>
      <c r="T386" s="41"/>
      <c r="U386" s="41" t="str">
        <f t="shared" si="35"/>
        <v/>
      </c>
      <c r="V386" s="44"/>
      <c r="W386" s="44"/>
      <c r="X386" s="46"/>
      <c r="Y386" s="46"/>
      <c r="Z386" s="46"/>
      <c r="AA386" s="41"/>
      <c r="AB386" s="22"/>
      <c r="AC386" s="22"/>
      <c r="AD386" s="41"/>
      <c r="AE386" s="22"/>
      <c r="AF386" s="22"/>
      <c r="AG386" s="48" t="str">
        <f t="shared" si="32"/>
        <v/>
      </c>
      <c r="AH386" s="48" t="str">
        <f t="shared" si="33"/>
        <v/>
      </c>
      <c r="AI386" s="48" t="str">
        <f t="shared" si="34"/>
        <v/>
      </c>
      <c r="AJ386" s="40" t="str">
        <f t="shared" si="36"/>
        <v/>
      </c>
      <c r="AK386" s="40"/>
      <c r="AL386" s="40"/>
      <c r="AM386" s="22"/>
      <c r="AQ386" s="46"/>
    </row>
    <row r="387" spans="1:43" ht="17.399999999999999">
      <c r="A387" s="22"/>
      <c r="B387" s="22"/>
      <c r="C387" s="56"/>
      <c r="D387" s="56"/>
      <c r="E387" s="22"/>
      <c r="F387" s="22"/>
      <c r="G387" s="22"/>
      <c r="H387" s="22"/>
      <c r="I387" s="49"/>
      <c r="J387" s="50"/>
      <c r="K387" s="22"/>
      <c r="L387" s="22"/>
      <c r="M387" s="22"/>
      <c r="N387" s="22"/>
      <c r="O387" s="22"/>
      <c r="P387" s="46"/>
      <c r="Q387" s="40"/>
      <c r="R387" s="41"/>
      <c r="S387" s="22" t="str">
        <f t="shared" ref="S387:S450" si="37">IF(A387="","",M387+O387)</f>
        <v/>
      </c>
      <c r="T387" s="41"/>
      <c r="U387" s="41" t="str">
        <f t="shared" si="35"/>
        <v/>
      </c>
      <c r="V387" s="44"/>
      <c r="W387" s="44"/>
      <c r="X387" s="46"/>
      <c r="Y387" s="46"/>
      <c r="Z387" s="46"/>
      <c r="AA387" s="41"/>
      <c r="AB387" s="22"/>
      <c r="AC387" s="22"/>
      <c r="AD387" s="41"/>
      <c r="AE387" s="22"/>
      <c r="AF387" s="22"/>
      <c r="AG387" s="48" t="str">
        <f t="shared" ref="AG387:AG450" si="38">IF(A387="","",S387-Y387)</f>
        <v/>
      </c>
      <c r="AH387" s="48" t="str">
        <f t="shared" ref="AH387:AH450" si="39">IF(A387="","",Y387-(AC387+AF387))</f>
        <v/>
      </c>
      <c r="AI387" s="48" t="str">
        <f t="shared" ref="AI387:AI450" si="40">IF(A387="","",AG387+AH387)</f>
        <v/>
      </c>
      <c r="AJ387" s="40" t="str">
        <f t="shared" si="36"/>
        <v/>
      </c>
      <c r="AK387" s="40"/>
      <c r="AL387" s="40"/>
      <c r="AM387" s="22"/>
      <c r="AQ387" s="46"/>
    </row>
    <row r="388" spans="1:43" ht="17.399999999999999">
      <c r="A388" s="22"/>
      <c r="B388" s="22"/>
      <c r="C388" s="56"/>
      <c r="D388" s="56"/>
      <c r="E388" s="22"/>
      <c r="F388" s="22"/>
      <c r="G388" s="22"/>
      <c r="H388" s="22"/>
      <c r="I388" s="49"/>
      <c r="J388" s="50"/>
      <c r="K388" s="22"/>
      <c r="L388" s="22"/>
      <c r="M388" s="22"/>
      <c r="N388" s="22"/>
      <c r="O388" s="22"/>
      <c r="P388" s="46"/>
      <c r="Q388" s="40"/>
      <c r="R388" s="41"/>
      <c r="S388" s="22" t="str">
        <f t="shared" si="37"/>
        <v/>
      </c>
      <c r="T388" s="41"/>
      <c r="U388" s="41" t="str">
        <f t="shared" ref="U388:U451" si="41">IF(OR(P388="FEC-FS",P388="PALTEK",P388="SDSE(TOKE)"),"Upload in customer box","")</f>
        <v/>
      </c>
      <c r="V388" s="44"/>
      <c r="W388" s="44"/>
      <c r="X388" s="46"/>
      <c r="Y388" s="46"/>
      <c r="Z388" s="46"/>
      <c r="AA388" s="41"/>
      <c r="AB388" s="22"/>
      <c r="AC388" s="22"/>
      <c r="AD388" s="41"/>
      <c r="AE388" s="22"/>
      <c r="AF388" s="22"/>
      <c r="AG388" s="48" t="str">
        <f t="shared" si="38"/>
        <v/>
      </c>
      <c r="AH388" s="48" t="str">
        <f t="shared" si="39"/>
        <v/>
      </c>
      <c r="AI388" s="48" t="str">
        <f t="shared" si="40"/>
        <v/>
      </c>
      <c r="AJ388" s="40" t="str">
        <f t="shared" si="36"/>
        <v/>
      </c>
      <c r="AK388" s="40"/>
      <c r="AL388" s="40"/>
      <c r="AM388" s="22"/>
      <c r="AQ388" s="46"/>
    </row>
    <row r="389" spans="1:43" ht="17.399999999999999">
      <c r="A389" s="22"/>
      <c r="B389" s="22"/>
      <c r="C389" s="56"/>
      <c r="D389" s="56"/>
      <c r="E389" s="22"/>
      <c r="F389" s="22"/>
      <c r="G389" s="22"/>
      <c r="H389" s="22"/>
      <c r="I389" s="49"/>
      <c r="J389" s="50"/>
      <c r="K389" s="22"/>
      <c r="L389" s="22"/>
      <c r="M389" s="22"/>
      <c r="N389" s="22"/>
      <c r="O389" s="22"/>
      <c r="P389" s="46"/>
      <c r="Q389" s="40"/>
      <c r="R389" s="41"/>
      <c r="S389" s="22" t="str">
        <f t="shared" si="37"/>
        <v/>
      </c>
      <c r="T389" s="41"/>
      <c r="U389" s="41" t="str">
        <f t="shared" si="41"/>
        <v/>
      </c>
      <c r="V389" s="44"/>
      <c r="W389" s="44"/>
      <c r="X389" s="46"/>
      <c r="Y389" s="46"/>
      <c r="Z389" s="46"/>
      <c r="AA389" s="41"/>
      <c r="AB389" s="22"/>
      <c r="AC389" s="22"/>
      <c r="AD389" s="41"/>
      <c r="AE389" s="22"/>
      <c r="AF389" s="22"/>
      <c r="AG389" s="48" t="str">
        <f t="shared" si="38"/>
        <v/>
      </c>
      <c r="AH389" s="48" t="str">
        <f t="shared" si="39"/>
        <v/>
      </c>
      <c r="AI389" s="48" t="str">
        <f t="shared" si="40"/>
        <v/>
      </c>
      <c r="AJ389" s="40" t="str">
        <f t="shared" si="36"/>
        <v/>
      </c>
      <c r="AK389" s="40"/>
      <c r="AL389" s="40"/>
      <c r="AM389" s="22"/>
      <c r="AQ389" s="46"/>
    </row>
    <row r="390" spans="1:43" ht="17.399999999999999">
      <c r="A390" s="22"/>
      <c r="B390" s="22"/>
      <c r="C390" s="56"/>
      <c r="D390" s="56"/>
      <c r="E390" s="22"/>
      <c r="F390" s="22"/>
      <c r="G390" s="22"/>
      <c r="H390" s="22"/>
      <c r="I390" s="49"/>
      <c r="J390" s="50"/>
      <c r="K390" s="22"/>
      <c r="L390" s="22"/>
      <c r="M390" s="22"/>
      <c r="N390" s="22"/>
      <c r="O390" s="22"/>
      <c r="P390" s="46"/>
      <c r="Q390" s="40"/>
      <c r="R390" s="41"/>
      <c r="S390" s="22" t="str">
        <f t="shared" si="37"/>
        <v/>
      </c>
      <c r="T390" s="41"/>
      <c r="U390" s="41" t="str">
        <f t="shared" si="41"/>
        <v/>
      </c>
      <c r="V390" s="44"/>
      <c r="W390" s="44"/>
      <c r="X390" s="46"/>
      <c r="Y390" s="46"/>
      <c r="Z390" s="46"/>
      <c r="AA390" s="41"/>
      <c r="AB390" s="22"/>
      <c r="AC390" s="22"/>
      <c r="AD390" s="41"/>
      <c r="AE390" s="22"/>
      <c r="AF390" s="22"/>
      <c r="AG390" s="48" t="str">
        <f t="shared" si="38"/>
        <v/>
      </c>
      <c r="AH390" s="48" t="str">
        <f t="shared" si="39"/>
        <v/>
      </c>
      <c r="AI390" s="48" t="str">
        <f t="shared" si="40"/>
        <v/>
      </c>
      <c r="AJ390" s="40" t="str">
        <f t="shared" si="36"/>
        <v/>
      </c>
      <c r="AK390" s="40"/>
      <c r="AL390" s="40"/>
      <c r="AM390" s="22"/>
      <c r="AQ390" s="46"/>
    </row>
    <row r="391" spans="1:43" ht="17.399999999999999">
      <c r="A391" s="22"/>
      <c r="B391" s="22"/>
      <c r="C391" s="56"/>
      <c r="D391" s="56"/>
      <c r="E391" s="22"/>
      <c r="F391" s="22"/>
      <c r="G391" s="22"/>
      <c r="H391" s="22"/>
      <c r="I391" s="49"/>
      <c r="J391" s="50"/>
      <c r="K391" s="22"/>
      <c r="L391" s="22"/>
      <c r="M391" s="22"/>
      <c r="N391" s="22"/>
      <c r="O391" s="22"/>
      <c r="P391" s="46"/>
      <c r="Q391" s="40"/>
      <c r="R391" s="41"/>
      <c r="S391" s="22" t="str">
        <f t="shared" si="37"/>
        <v/>
      </c>
      <c r="T391" s="41"/>
      <c r="U391" s="41" t="str">
        <f t="shared" si="41"/>
        <v/>
      </c>
      <c r="V391" s="44"/>
      <c r="W391" s="44"/>
      <c r="X391" s="46"/>
      <c r="Y391" s="46"/>
      <c r="Z391" s="46"/>
      <c r="AA391" s="41"/>
      <c r="AB391" s="22"/>
      <c r="AC391" s="22"/>
      <c r="AD391" s="41"/>
      <c r="AE391" s="22"/>
      <c r="AF391" s="22"/>
      <c r="AG391" s="48" t="str">
        <f t="shared" si="38"/>
        <v/>
      </c>
      <c r="AH391" s="48" t="str">
        <f t="shared" si="39"/>
        <v/>
      </c>
      <c r="AI391" s="48" t="str">
        <f t="shared" si="40"/>
        <v/>
      </c>
      <c r="AJ391" s="40" t="str">
        <f t="shared" si="36"/>
        <v/>
      </c>
      <c r="AK391" s="40"/>
      <c r="AL391" s="40"/>
      <c r="AM391" s="22"/>
      <c r="AQ391" s="46"/>
    </row>
    <row r="392" spans="1:43" ht="17.399999999999999">
      <c r="A392" s="22"/>
      <c r="B392" s="22"/>
      <c r="C392" s="56"/>
      <c r="D392" s="56"/>
      <c r="E392" s="22"/>
      <c r="F392" s="22"/>
      <c r="G392" s="22"/>
      <c r="H392" s="22"/>
      <c r="I392" s="49"/>
      <c r="J392" s="50"/>
      <c r="K392" s="22"/>
      <c r="L392" s="22"/>
      <c r="M392" s="22"/>
      <c r="N392" s="22"/>
      <c r="O392" s="22"/>
      <c r="P392" s="46"/>
      <c r="Q392" s="40"/>
      <c r="R392" s="41"/>
      <c r="S392" s="22" t="str">
        <f t="shared" si="37"/>
        <v/>
      </c>
      <c r="T392" s="41"/>
      <c r="U392" s="41" t="str">
        <f t="shared" si="41"/>
        <v/>
      </c>
      <c r="V392" s="44"/>
      <c r="W392" s="44"/>
      <c r="X392" s="46"/>
      <c r="Y392" s="46"/>
      <c r="Z392" s="46"/>
      <c r="AA392" s="41"/>
      <c r="AB392" s="22"/>
      <c r="AC392" s="22"/>
      <c r="AD392" s="41"/>
      <c r="AE392" s="22"/>
      <c r="AF392" s="22"/>
      <c r="AG392" s="48" t="str">
        <f t="shared" si="38"/>
        <v/>
      </c>
      <c r="AH392" s="48" t="str">
        <f t="shared" si="39"/>
        <v/>
      </c>
      <c r="AI392" s="48" t="str">
        <f t="shared" si="40"/>
        <v/>
      </c>
      <c r="AJ392" s="40" t="str">
        <f t="shared" si="36"/>
        <v/>
      </c>
      <c r="AK392" s="40"/>
      <c r="AL392" s="40"/>
      <c r="AM392" s="22"/>
      <c r="AQ392" s="46"/>
    </row>
    <row r="393" spans="1:43" ht="17.399999999999999">
      <c r="A393" s="22"/>
      <c r="B393" s="22"/>
      <c r="C393" s="56"/>
      <c r="D393" s="56"/>
      <c r="E393" s="22"/>
      <c r="F393" s="22"/>
      <c r="G393" s="22"/>
      <c r="H393" s="22"/>
      <c r="I393" s="49"/>
      <c r="J393" s="50"/>
      <c r="K393" s="22"/>
      <c r="L393" s="22"/>
      <c r="M393" s="22"/>
      <c r="N393" s="22"/>
      <c r="O393" s="22"/>
      <c r="P393" s="46"/>
      <c r="Q393" s="40"/>
      <c r="R393" s="41"/>
      <c r="S393" s="22" t="str">
        <f t="shared" si="37"/>
        <v/>
      </c>
      <c r="T393" s="41"/>
      <c r="U393" s="41" t="str">
        <f t="shared" si="41"/>
        <v/>
      </c>
      <c r="V393" s="44"/>
      <c r="W393" s="44"/>
      <c r="X393" s="46"/>
      <c r="Y393" s="46"/>
      <c r="Z393" s="46"/>
      <c r="AA393" s="41"/>
      <c r="AB393" s="22"/>
      <c r="AC393" s="22"/>
      <c r="AD393" s="41"/>
      <c r="AE393" s="22"/>
      <c r="AF393" s="22"/>
      <c r="AG393" s="48" t="str">
        <f t="shared" si="38"/>
        <v/>
      </c>
      <c r="AH393" s="48" t="str">
        <f t="shared" si="39"/>
        <v/>
      </c>
      <c r="AI393" s="48" t="str">
        <f t="shared" si="40"/>
        <v/>
      </c>
      <c r="AJ393" s="40" t="str">
        <f t="shared" si="36"/>
        <v/>
      </c>
      <c r="AK393" s="40"/>
      <c r="AL393" s="40"/>
      <c r="AM393" s="22"/>
      <c r="AQ393" s="46"/>
    </row>
    <row r="394" spans="1:43" ht="17.399999999999999">
      <c r="A394" s="22"/>
      <c r="B394" s="22"/>
      <c r="C394" s="56"/>
      <c r="D394" s="56"/>
      <c r="E394" s="22"/>
      <c r="F394" s="22"/>
      <c r="G394" s="22"/>
      <c r="H394" s="22"/>
      <c r="I394" s="49"/>
      <c r="J394" s="50"/>
      <c r="K394" s="22"/>
      <c r="L394" s="22"/>
      <c r="M394" s="22"/>
      <c r="N394" s="22"/>
      <c r="O394" s="22"/>
      <c r="P394" s="46"/>
      <c r="Q394" s="40"/>
      <c r="R394" s="41"/>
      <c r="S394" s="22" t="str">
        <f t="shared" si="37"/>
        <v/>
      </c>
      <c r="T394" s="41"/>
      <c r="U394" s="41" t="str">
        <f t="shared" si="41"/>
        <v/>
      </c>
      <c r="V394" s="44"/>
      <c r="W394" s="44"/>
      <c r="X394" s="46"/>
      <c r="Y394" s="46"/>
      <c r="Z394" s="46"/>
      <c r="AA394" s="41"/>
      <c r="AB394" s="22"/>
      <c r="AC394" s="22"/>
      <c r="AD394" s="41"/>
      <c r="AE394" s="22"/>
      <c r="AF394" s="22"/>
      <c r="AG394" s="48" t="str">
        <f t="shared" si="38"/>
        <v/>
      </c>
      <c r="AH394" s="48" t="str">
        <f t="shared" si="39"/>
        <v/>
      </c>
      <c r="AI394" s="48" t="str">
        <f t="shared" si="40"/>
        <v/>
      </c>
      <c r="AJ394" s="40" t="str">
        <f t="shared" si="36"/>
        <v/>
      </c>
      <c r="AK394" s="40"/>
      <c r="AL394" s="40"/>
      <c r="AM394" s="22"/>
      <c r="AQ394" s="46"/>
    </row>
    <row r="395" spans="1:43" ht="17.399999999999999">
      <c r="A395" s="22"/>
      <c r="B395" s="22"/>
      <c r="C395" s="56"/>
      <c r="D395" s="56"/>
      <c r="E395" s="22"/>
      <c r="F395" s="22"/>
      <c r="G395" s="22"/>
      <c r="H395" s="22"/>
      <c r="I395" s="49"/>
      <c r="J395" s="50"/>
      <c r="K395" s="22"/>
      <c r="L395" s="22"/>
      <c r="M395" s="22"/>
      <c r="N395" s="22"/>
      <c r="O395" s="22"/>
      <c r="P395" s="46"/>
      <c r="Q395" s="40"/>
      <c r="R395" s="41"/>
      <c r="S395" s="22" t="str">
        <f t="shared" si="37"/>
        <v/>
      </c>
      <c r="T395" s="41"/>
      <c r="U395" s="41" t="str">
        <f t="shared" si="41"/>
        <v/>
      </c>
      <c r="V395" s="44"/>
      <c r="W395" s="44"/>
      <c r="X395" s="46"/>
      <c r="Y395" s="46"/>
      <c r="Z395" s="46"/>
      <c r="AA395" s="41"/>
      <c r="AB395" s="22"/>
      <c r="AC395" s="22"/>
      <c r="AD395" s="41"/>
      <c r="AE395" s="22"/>
      <c r="AF395" s="22"/>
      <c r="AG395" s="48" t="str">
        <f t="shared" si="38"/>
        <v/>
      </c>
      <c r="AH395" s="48" t="str">
        <f t="shared" si="39"/>
        <v/>
      </c>
      <c r="AI395" s="48" t="str">
        <f t="shared" si="40"/>
        <v/>
      </c>
      <c r="AJ395" s="40" t="str">
        <f t="shared" si="36"/>
        <v/>
      </c>
      <c r="AK395" s="40"/>
      <c r="AL395" s="40"/>
      <c r="AM395" s="22"/>
      <c r="AQ395" s="46"/>
    </row>
    <row r="396" spans="1:43" ht="17.399999999999999">
      <c r="A396" s="22"/>
      <c r="B396" s="22"/>
      <c r="C396" s="56"/>
      <c r="D396" s="56"/>
      <c r="E396" s="22"/>
      <c r="F396" s="22"/>
      <c r="G396" s="22"/>
      <c r="H396" s="22"/>
      <c r="I396" s="49"/>
      <c r="J396" s="50"/>
      <c r="K396" s="22"/>
      <c r="L396" s="22"/>
      <c r="M396" s="22"/>
      <c r="N396" s="22"/>
      <c r="O396" s="22"/>
      <c r="P396" s="46"/>
      <c r="Q396" s="40"/>
      <c r="R396" s="41"/>
      <c r="S396" s="22" t="str">
        <f t="shared" si="37"/>
        <v/>
      </c>
      <c r="T396" s="41"/>
      <c r="U396" s="41" t="str">
        <f t="shared" si="41"/>
        <v/>
      </c>
      <c r="V396" s="44"/>
      <c r="W396" s="44"/>
      <c r="X396" s="46"/>
      <c r="Y396" s="46"/>
      <c r="Z396" s="46"/>
      <c r="AA396" s="41"/>
      <c r="AB396" s="22"/>
      <c r="AC396" s="22"/>
      <c r="AD396" s="41"/>
      <c r="AE396" s="22"/>
      <c r="AF396" s="22"/>
      <c r="AG396" s="48" t="str">
        <f t="shared" si="38"/>
        <v/>
      </c>
      <c r="AH396" s="48" t="str">
        <f t="shared" si="39"/>
        <v/>
      </c>
      <c r="AI396" s="48" t="str">
        <f t="shared" si="40"/>
        <v/>
      </c>
      <c r="AJ396" s="40" t="str">
        <f t="shared" si="36"/>
        <v/>
      </c>
      <c r="AK396" s="40"/>
      <c r="AL396" s="40"/>
      <c r="AM396" s="22"/>
      <c r="AQ396" s="46"/>
    </row>
    <row r="397" spans="1:43" ht="17.399999999999999">
      <c r="A397" s="22"/>
      <c r="B397" s="22"/>
      <c r="C397" s="56"/>
      <c r="D397" s="56"/>
      <c r="E397" s="22"/>
      <c r="F397" s="22"/>
      <c r="G397" s="22"/>
      <c r="H397" s="22"/>
      <c r="I397" s="49"/>
      <c r="J397" s="50"/>
      <c r="K397" s="22"/>
      <c r="L397" s="22"/>
      <c r="M397" s="22"/>
      <c r="N397" s="22"/>
      <c r="O397" s="22"/>
      <c r="P397" s="46"/>
      <c r="Q397" s="40"/>
      <c r="R397" s="41"/>
      <c r="S397" s="22" t="str">
        <f t="shared" si="37"/>
        <v/>
      </c>
      <c r="T397" s="41"/>
      <c r="U397" s="41" t="str">
        <f t="shared" si="41"/>
        <v/>
      </c>
      <c r="V397" s="44"/>
      <c r="W397" s="44"/>
      <c r="X397" s="46"/>
      <c r="Y397" s="46"/>
      <c r="Z397" s="46"/>
      <c r="AA397" s="41"/>
      <c r="AB397" s="22"/>
      <c r="AC397" s="22"/>
      <c r="AD397" s="41"/>
      <c r="AE397" s="22"/>
      <c r="AF397" s="22"/>
      <c r="AG397" s="48" t="str">
        <f t="shared" si="38"/>
        <v/>
      </c>
      <c r="AH397" s="48" t="str">
        <f t="shared" si="39"/>
        <v/>
      </c>
      <c r="AI397" s="48" t="str">
        <f t="shared" si="40"/>
        <v/>
      </c>
      <c r="AJ397" s="40" t="str">
        <f t="shared" si="36"/>
        <v/>
      </c>
      <c r="AK397" s="40"/>
      <c r="AL397" s="40"/>
      <c r="AM397" s="22"/>
      <c r="AQ397" s="46"/>
    </row>
    <row r="398" spans="1:43" ht="17.399999999999999">
      <c r="A398" s="22"/>
      <c r="B398" s="22"/>
      <c r="C398" s="56"/>
      <c r="D398" s="56"/>
      <c r="E398" s="22"/>
      <c r="F398" s="22"/>
      <c r="G398" s="22"/>
      <c r="H398" s="22"/>
      <c r="I398" s="49"/>
      <c r="J398" s="50"/>
      <c r="K398" s="22"/>
      <c r="L398" s="22"/>
      <c r="M398" s="22"/>
      <c r="N398" s="22"/>
      <c r="O398" s="22"/>
      <c r="P398" s="46"/>
      <c r="Q398" s="40"/>
      <c r="R398" s="41"/>
      <c r="S398" s="22" t="str">
        <f t="shared" si="37"/>
        <v/>
      </c>
      <c r="T398" s="41"/>
      <c r="U398" s="41" t="str">
        <f t="shared" si="41"/>
        <v/>
      </c>
      <c r="V398" s="44"/>
      <c r="W398" s="44"/>
      <c r="X398" s="46"/>
      <c r="Y398" s="46"/>
      <c r="Z398" s="46"/>
      <c r="AA398" s="41"/>
      <c r="AB398" s="22"/>
      <c r="AC398" s="22"/>
      <c r="AD398" s="41"/>
      <c r="AE398" s="22"/>
      <c r="AF398" s="22"/>
      <c r="AG398" s="48" t="str">
        <f t="shared" si="38"/>
        <v/>
      </c>
      <c r="AH398" s="48" t="str">
        <f t="shared" si="39"/>
        <v/>
      </c>
      <c r="AI398" s="48" t="str">
        <f t="shared" si="40"/>
        <v/>
      </c>
      <c r="AJ398" s="40" t="str">
        <f t="shared" si="36"/>
        <v/>
      </c>
      <c r="AK398" s="40"/>
      <c r="AL398" s="40"/>
      <c r="AM398" s="22"/>
      <c r="AQ398" s="46"/>
    </row>
    <row r="399" spans="1:43" ht="17.399999999999999">
      <c r="A399" s="22"/>
      <c r="B399" s="22"/>
      <c r="C399" s="56"/>
      <c r="D399" s="56"/>
      <c r="E399" s="22"/>
      <c r="F399" s="22"/>
      <c r="G399" s="22"/>
      <c r="H399" s="22"/>
      <c r="I399" s="49"/>
      <c r="J399" s="50"/>
      <c r="K399" s="22"/>
      <c r="L399" s="22"/>
      <c r="M399" s="22"/>
      <c r="N399" s="22"/>
      <c r="O399" s="22"/>
      <c r="P399" s="46"/>
      <c r="Q399" s="40"/>
      <c r="R399" s="41"/>
      <c r="S399" s="22" t="str">
        <f t="shared" si="37"/>
        <v/>
      </c>
      <c r="T399" s="41"/>
      <c r="U399" s="41" t="str">
        <f t="shared" si="41"/>
        <v/>
      </c>
      <c r="V399" s="44"/>
      <c r="W399" s="44"/>
      <c r="X399" s="46"/>
      <c r="Y399" s="46"/>
      <c r="Z399" s="46"/>
      <c r="AA399" s="41"/>
      <c r="AB399" s="22"/>
      <c r="AC399" s="22"/>
      <c r="AD399" s="41"/>
      <c r="AE399" s="22"/>
      <c r="AF399" s="22"/>
      <c r="AG399" s="48" t="str">
        <f t="shared" si="38"/>
        <v/>
      </c>
      <c r="AH399" s="48" t="str">
        <f t="shared" si="39"/>
        <v/>
      </c>
      <c r="AI399" s="48" t="str">
        <f t="shared" si="40"/>
        <v/>
      </c>
      <c r="AJ399" s="40" t="str">
        <f t="shared" si="36"/>
        <v/>
      </c>
      <c r="AK399" s="40"/>
      <c r="AL399" s="40"/>
      <c r="AM399" s="22"/>
      <c r="AQ399" s="46"/>
    </row>
    <row r="400" spans="1:43" ht="17.399999999999999">
      <c r="A400" s="22"/>
      <c r="B400" s="22"/>
      <c r="C400" s="56"/>
      <c r="D400" s="56"/>
      <c r="E400" s="22"/>
      <c r="F400" s="22"/>
      <c r="G400" s="22"/>
      <c r="H400" s="22"/>
      <c r="I400" s="49"/>
      <c r="J400" s="50"/>
      <c r="K400" s="22"/>
      <c r="L400" s="22"/>
      <c r="M400" s="22"/>
      <c r="N400" s="22"/>
      <c r="O400" s="22"/>
      <c r="P400" s="46"/>
      <c r="Q400" s="40"/>
      <c r="R400" s="41"/>
      <c r="S400" s="22" t="str">
        <f t="shared" si="37"/>
        <v/>
      </c>
      <c r="T400" s="41"/>
      <c r="U400" s="41" t="str">
        <f t="shared" si="41"/>
        <v/>
      </c>
      <c r="V400" s="44"/>
      <c r="W400" s="44"/>
      <c r="X400" s="46"/>
      <c r="Y400" s="46"/>
      <c r="Z400" s="46"/>
      <c r="AA400" s="41"/>
      <c r="AB400" s="22"/>
      <c r="AC400" s="22"/>
      <c r="AD400" s="41"/>
      <c r="AE400" s="22"/>
      <c r="AF400" s="22"/>
      <c r="AG400" s="48" t="str">
        <f t="shared" si="38"/>
        <v/>
      </c>
      <c r="AH400" s="48" t="str">
        <f t="shared" si="39"/>
        <v/>
      </c>
      <c r="AI400" s="48" t="str">
        <f t="shared" si="40"/>
        <v/>
      </c>
      <c r="AJ400" s="40" t="str">
        <f t="shared" si="36"/>
        <v/>
      </c>
      <c r="AK400" s="40"/>
      <c r="AL400" s="40"/>
      <c r="AM400" s="22"/>
      <c r="AQ400" s="46"/>
    </row>
    <row r="401" spans="1:43" ht="17.399999999999999">
      <c r="A401" s="22"/>
      <c r="B401" s="22"/>
      <c r="C401" s="56"/>
      <c r="D401" s="56"/>
      <c r="E401" s="22"/>
      <c r="F401" s="22"/>
      <c r="G401" s="22"/>
      <c r="H401" s="22"/>
      <c r="I401" s="49"/>
      <c r="J401" s="50"/>
      <c r="K401" s="22"/>
      <c r="L401" s="22"/>
      <c r="M401" s="22"/>
      <c r="N401" s="22"/>
      <c r="O401" s="22"/>
      <c r="P401" s="46"/>
      <c r="Q401" s="40"/>
      <c r="R401" s="41"/>
      <c r="S401" s="22" t="str">
        <f t="shared" si="37"/>
        <v/>
      </c>
      <c r="T401" s="41"/>
      <c r="U401" s="41" t="str">
        <f t="shared" si="41"/>
        <v/>
      </c>
      <c r="V401" s="44"/>
      <c r="W401" s="44"/>
      <c r="X401" s="46"/>
      <c r="Y401" s="46"/>
      <c r="Z401" s="46"/>
      <c r="AA401" s="41"/>
      <c r="AB401" s="22"/>
      <c r="AC401" s="22"/>
      <c r="AD401" s="41"/>
      <c r="AE401" s="22"/>
      <c r="AF401" s="22"/>
      <c r="AG401" s="48" t="str">
        <f t="shared" si="38"/>
        <v/>
      </c>
      <c r="AH401" s="48" t="str">
        <f t="shared" si="39"/>
        <v/>
      </c>
      <c r="AI401" s="48" t="str">
        <f t="shared" si="40"/>
        <v/>
      </c>
      <c r="AJ401" s="40" t="str">
        <f t="shared" si="36"/>
        <v/>
      </c>
      <c r="AK401" s="40"/>
      <c r="AL401" s="40"/>
      <c r="AM401" s="22"/>
      <c r="AQ401" s="46"/>
    </row>
    <row r="402" spans="1:43" ht="17.399999999999999">
      <c r="A402" s="22"/>
      <c r="B402" s="22"/>
      <c r="C402" s="56"/>
      <c r="D402" s="56"/>
      <c r="E402" s="22"/>
      <c r="F402" s="22"/>
      <c r="G402" s="22"/>
      <c r="H402" s="22"/>
      <c r="I402" s="49"/>
      <c r="J402" s="50"/>
      <c r="K402" s="22"/>
      <c r="L402" s="22"/>
      <c r="M402" s="22"/>
      <c r="N402" s="22"/>
      <c r="O402" s="22"/>
      <c r="P402" s="46"/>
      <c r="Q402" s="40"/>
      <c r="R402" s="41"/>
      <c r="S402" s="22" t="str">
        <f t="shared" si="37"/>
        <v/>
      </c>
      <c r="T402" s="41"/>
      <c r="U402" s="41" t="str">
        <f t="shared" si="41"/>
        <v/>
      </c>
      <c r="V402" s="44"/>
      <c r="W402" s="44"/>
      <c r="X402" s="46"/>
      <c r="Y402" s="46"/>
      <c r="Z402" s="46"/>
      <c r="AA402" s="41"/>
      <c r="AB402" s="22"/>
      <c r="AC402" s="22"/>
      <c r="AD402" s="41"/>
      <c r="AE402" s="22"/>
      <c r="AF402" s="22"/>
      <c r="AG402" s="48" t="str">
        <f t="shared" si="38"/>
        <v/>
      </c>
      <c r="AH402" s="48" t="str">
        <f t="shared" si="39"/>
        <v/>
      </c>
      <c r="AI402" s="48" t="str">
        <f t="shared" si="40"/>
        <v/>
      </c>
      <c r="AJ402" s="40" t="str">
        <f t="shared" si="36"/>
        <v/>
      </c>
      <c r="AK402" s="40"/>
      <c r="AL402" s="40"/>
      <c r="AM402" s="22"/>
      <c r="AQ402" s="46"/>
    </row>
    <row r="403" spans="1:43" ht="17.399999999999999">
      <c r="A403" s="22"/>
      <c r="B403" s="22"/>
      <c r="C403" s="56"/>
      <c r="D403" s="56"/>
      <c r="E403" s="22"/>
      <c r="F403" s="22"/>
      <c r="G403" s="22"/>
      <c r="H403" s="22"/>
      <c r="I403" s="49"/>
      <c r="J403" s="50"/>
      <c r="K403" s="22"/>
      <c r="L403" s="22"/>
      <c r="M403" s="22"/>
      <c r="N403" s="22"/>
      <c r="O403" s="22"/>
      <c r="P403" s="46"/>
      <c r="Q403" s="40"/>
      <c r="R403" s="41"/>
      <c r="S403" s="22" t="str">
        <f t="shared" si="37"/>
        <v/>
      </c>
      <c r="T403" s="41"/>
      <c r="U403" s="41" t="str">
        <f t="shared" si="41"/>
        <v/>
      </c>
      <c r="V403" s="44"/>
      <c r="W403" s="44"/>
      <c r="X403" s="46"/>
      <c r="Y403" s="46"/>
      <c r="Z403" s="46"/>
      <c r="AA403" s="41"/>
      <c r="AB403" s="22"/>
      <c r="AC403" s="22"/>
      <c r="AD403" s="41"/>
      <c r="AE403" s="22"/>
      <c r="AF403" s="22"/>
      <c r="AG403" s="48" t="str">
        <f t="shared" si="38"/>
        <v/>
      </c>
      <c r="AH403" s="48" t="str">
        <f t="shared" si="39"/>
        <v/>
      </c>
      <c r="AI403" s="48" t="str">
        <f t="shared" si="40"/>
        <v/>
      </c>
      <c r="AJ403" s="40" t="str">
        <f t="shared" si="36"/>
        <v/>
      </c>
      <c r="AK403" s="40"/>
      <c r="AL403" s="40"/>
      <c r="AM403" s="22"/>
      <c r="AQ403" s="46"/>
    </row>
    <row r="404" spans="1:43" ht="17.399999999999999">
      <c r="A404" s="22"/>
      <c r="B404" s="22"/>
      <c r="C404" s="56"/>
      <c r="D404" s="56"/>
      <c r="E404" s="22"/>
      <c r="F404" s="22"/>
      <c r="G404" s="22"/>
      <c r="H404" s="22"/>
      <c r="I404" s="49"/>
      <c r="J404" s="50"/>
      <c r="K404" s="22"/>
      <c r="L404" s="22"/>
      <c r="M404" s="22"/>
      <c r="N404" s="22"/>
      <c r="O404" s="22"/>
      <c r="P404" s="46"/>
      <c r="Q404" s="40"/>
      <c r="R404" s="41"/>
      <c r="S404" s="22" t="str">
        <f t="shared" si="37"/>
        <v/>
      </c>
      <c r="T404" s="41"/>
      <c r="U404" s="41" t="str">
        <f t="shared" si="41"/>
        <v/>
      </c>
      <c r="V404" s="44"/>
      <c r="W404" s="44"/>
      <c r="X404" s="46"/>
      <c r="Y404" s="46"/>
      <c r="Z404" s="46"/>
      <c r="AA404" s="41"/>
      <c r="AB404" s="22"/>
      <c r="AC404" s="22"/>
      <c r="AD404" s="41"/>
      <c r="AE404" s="22"/>
      <c r="AF404" s="22"/>
      <c r="AG404" s="48" t="str">
        <f t="shared" si="38"/>
        <v/>
      </c>
      <c r="AH404" s="48" t="str">
        <f t="shared" si="39"/>
        <v/>
      </c>
      <c r="AI404" s="48" t="str">
        <f t="shared" si="40"/>
        <v/>
      </c>
      <c r="AJ404" s="40" t="str">
        <f t="shared" si="36"/>
        <v/>
      </c>
      <c r="AK404" s="40"/>
      <c r="AL404" s="40"/>
      <c r="AM404" s="22"/>
      <c r="AQ404" s="46"/>
    </row>
    <row r="405" spans="1:43" ht="17.399999999999999">
      <c r="A405" s="22"/>
      <c r="B405" s="22"/>
      <c r="C405" s="56"/>
      <c r="D405" s="56"/>
      <c r="E405" s="22"/>
      <c r="F405" s="22"/>
      <c r="G405" s="22"/>
      <c r="H405" s="22"/>
      <c r="I405" s="49"/>
      <c r="J405" s="50"/>
      <c r="K405" s="22"/>
      <c r="L405" s="22"/>
      <c r="M405" s="22"/>
      <c r="N405" s="22"/>
      <c r="O405" s="22"/>
      <c r="P405" s="46"/>
      <c r="Q405" s="40"/>
      <c r="R405" s="41"/>
      <c r="S405" s="22" t="str">
        <f t="shared" si="37"/>
        <v/>
      </c>
      <c r="T405" s="41"/>
      <c r="U405" s="41" t="str">
        <f t="shared" si="41"/>
        <v/>
      </c>
      <c r="V405" s="44"/>
      <c r="W405" s="44"/>
      <c r="X405" s="46"/>
      <c r="Y405" s="46"/>
      <c r="Z405" s="46"/>
      <c r="AA405" s="41"/>
      <c r="AB405" s="22"/>
      <c r="AC405" s="22"/>
      <c r="AD405" s="41"/>
      <c r="AE405" s="22"/>
      <c r="AF405" s="22"/>
      <c r="AG405" s="48" t="str">
        <f t="shared" si="38"/>
        <v/>
      </c>
      <c r="AH405" s="48" t="str">
        <f t="shared" si="39"/>
        <v/>
      </c>
      <c r="AI405" s="48" t="str">
        <f t="shared" si="40"/>
        <v/>
      </c>
      <c r="AJ405" s="40" t="str">
        <f t="shared" si="36"/>
        <v/>
      </c>
      <c r="AK405" s="40"/>
      <c r="AL405" s="40"/>
      <c r="AM405" s="22"/>
      <c r="AQ405" s="46"/>
    </row>
    <row r="406" spans="1:43" ht="17.399999999999999">
      <c r="A406" s="22"/>
      <c r="B406" s="22"/>
      <c r="C406" s="56"/>
      <c r="D406" s="56"/>
      <c r="E406" s="22"/>
      <c r="F406" s="22"/>
      <c r="G406" s="22"/>
      <c r="H406" s="22"/>
      <c r="I406" s="49"/>
      <c r="J406" s="50"/>
      <c r="K406" s="22"/>
      <c r="L406" s="22"/>
      <c r="M406" s="22"/>
      <c r="N406" s="22"/>
      <c r="O406" s="22"/>
      <c r="P406" s="46"/>
      <c r="Q406" s="40"/>
      <c r="R406" s="41"/>
      <c r="S406" s="22" t="str">
        <f t="shared" si="37"/>
        <v/>
      </c>
      <c r="T406" s="41"/>
      <c r="U406" s="41" t="str">
        <f t="shared" si="41"/>
        <v/>
      </c>
      <c r="V406" s="44"/>
      <c r="W406" s="44"/>
      <c r="X406" s="46"/>
      <c r="Y406" s="46"/>
      <c r="Z406" s="46"/>
      <c r="AA406" s="41"/>
      <c r="AB406" s="22"/>
      <c r="AC406" s="22"/>
      <c r="AD406" s="41"/>
      <c r="AE406" s="22"/>
      <c r="AF406" s="22"/>
      <c r="AG406" s="48" t="str">
        <f t="shared" si="38"/>
        <v/>
      </c>
      <c r="AH406" s="48" t="str">
        <f t="shared" si="39"/>
        <v/>
      </c>
      <c r="AI406" s="48" t="str">
        <f t="shared" si="40"/>
        <v/>
      </c>
      <c r="AJ406" s="40" t="str">
        <f t="shared" si="36"/>
        <v/>
      </c>
      <c r="AK406" s="40"/>
      <c r="AL406" s="40"/>
      <c r="AM406" s="22"/>
      <c r="AQ406" s="46"/>
    </row>
    <row r="407" spans="1:43" ht="17.399999999999999">
      <c r="A407" s="22"/>
      <c r="B407" s="22"/>
      <c r="C407" s="56"/>
      <c r="D407" s="56"/>
      <c r="E407" s="22"/>
      <c r="F407" s="22"/>
      <c r="G407" s="22"/>
      <c r="H407" s="22"/>
      <c r="I407" s="49"/>
      <c r="J407" s="50"/>
      <c r="K407" s="22"/>
      <c r="L407" s="22"/>
      <c r="M407" s="22"/>
      <c r="N407" s="22"/>
      <c r="O407" s="22"/>
      <c r="P407" s="46"/>
      <c r="Q407" s="40"/>
      <c r="R407" s="41"/>
      <c r="S407" s="22" t="str">
        <f t="shared" si="37"/>
        <v/>
      </c>
      <c r="T407" s="41"/>
      <c r="U407" s="41" t="str">
        <f t="shared" si="41"/>
        <v/>
      </c>
      <c r="V407" s="44"/>
      <c r="W407" s="44"/>
      <c r="X407" s="46"/>
      <c r="Y407" s="46"/>
      <c r="Z407" s="46"/>
      <c r="AA407" s="41"/>
      <c r="AB407" s="22"/>
      <c r="AC407" s="22"/>
      <c r="AD407" s="41"/>
      <c r="AE407" s="22"/>
      <c r="AF407" s="22"/>
      <c r="AG407" s="48" t="str">
        <f t="shared" si="38"/>
        <v/>
      </c>
      <c r="AH407" s="48" t="str">
        <f t="shared" si="39"/>
        <v/>
      </c>
      <c r="AI407" s="48" t="str">
        <f t="shared" si="40"/>
        <v/>
      </c>
      <c r="AJ407" s="40" t="str">
        <f t="shared" si="36"/>
        <v/>
      </c>
      <c r="AK407" s="40"/>
      <c r="AL407" s="40"/>
      <c r="AM407" s="22"/>
      <c r="AQ407" s="46"/>
    </row>
    <row r="408" spans="1:43" ht="17.399999999999999">
      <c r="A408" s="22"/>
      <c r="B408" s="22"/>
      <c r="C408" s="56"/>
      <c r="D408" s="56"/>
      <c r="E408" s="22"/>
      <c r="F408" s="22"/>
      <c r="G408" s="22"/>
      <c r="H408" s="22"/>
      <c r="I408" s="49"/>
      <c r="J408" s="50"/>
      <c r="K408" s="22"/>
      <c r="L408" s="22"/>
      <c r="M408" s="22"/>
      <c r="N408" s="22"/>
      <c r="O408" s="22"/>
      <c r="P408" s="46"/>
      <c r="Q408" s="40"/>
      <c r="R408" s="41"/>
      <c r="S408" s="22" t="str">
        <f t="shared" si="37"/>
        <v/>
      </c>
      <c r="T408" s="41"/>
      <c r="U408" s="41" t="str">
        <f t="shared" si="41"/>
        <v/>
      </c>
      <c r="V408" s="44"/>
      <c r="W408" s="44"/>
      <c r="X408" s="46"/>
      <c r="Y408" s="46"/>
      <c r="Z408" s="46"/>
      <c r="AA408" s="41"/>
      <c r="AB408" s="22"/>
      <c r="AC408" s="22"/>
      <c r="AD408" s="41"/>
      <c r="AE408" s="22"/>
      <c r="AF408" s="22"/>
      <c r="AG408" s="48" t="str">
        <f t="shared" si="38"/>
        <v/>
      </c>
      <c r="AH408" s="48" t="str">
        <f t="shared" si="39"/>
        <v/>
      </c>
      <c r="AI408" s="48" t="str">
        <f t="shared" si="40"/>
        <v/>
      </c>
      <c r="AJ408" s="40" t="str">
        <f t="shared" si="36"/>
        <v/>
      </c>
      <c r="AK408" s="40"/>
      <c r="AL408" s="40"/>
      <c r="AM408" s="22"/>
      <c r="AQ408" s="46"/>
    </row>
    <row r="409" spans="1:43" ht="17.399999999999999">
      <c r="A409" s="22"/>
      <c r="B409" s="22"/>
      <c r="C409" s="56"/>
      <c r="D409" s="56"/>
      <c r="E409" s="22"/>
      <c r="F409" s="22"/>
      <c r="G409" s="22"/>
      <c r="H409" s="22"/>
      <c r="I409" s="49"/>
      <c r="J409" s="50"/>
      <c r="K409" s="22"/>
      <c r="L409" s="22"/>
      <c r="M409" s="22"/>
      <c r="N409" s="22"/>
      <c r="O409" s="22"/>
      <c r="P409" s="46"/>
      <c r="Q409" s="40"/>
      <c r="R409" s="41"/>
      <c r="S409" s="22" t="str">
        <f t="shared" si="37"/>
        <v/>
      </c>
      <c r="T409" s="41"/>
      <c r="U409" s="41" t="str">
        <f t="shared" si="41"/>
        <v/>
      </c>
      <c r="V409" s="44"/>
      <c r="W409" s="44"/>
      <c r="X409" s="46"/>
      <c r="Y409" s="46"/>
      <c r="Z409" s="46"/>
      <c r="AA409" s="41"/>
      <c r="AB409" s="22"/>
      <c r="AC409" s="22"/>
      <c r="AD409" s="41"/>
      <c r="AE409" s="22"/>
      <c r="AF409" s="22"/>
      <c r="AG409" s="48" t="str">
        <f t="shared" si="38"/>
        <v/>
      </c>
      <c r="AH409" s="48" t="str">
        <f t="shared" si="39"/>
        <v/>
      </c>
      <c r="AI409" s="48" t="str">
        <f t="shared" si="40"/>
        <v/>
      </c>
      <c r="AJ409" s="40" t="str">
        <f t="shared" si="36"/>
        <v/>
      </c>
      <c r="AK409" s="40"/>
      <c r="AL409" s="40"/>
      <c r="AM409" s="22"/>
      <c r="AQ409" s="46"/>
    </row>
    <row r="410" spans="1:43" ht="17.399999999999999">
      <c r="A410" s="22"/>
      <c r="B410" s="22"/>
      <c r="C410" s="56"/>
      <c r="D410" s="56"/>
      <c r="E410" s="22"/>
      <c r="F410" s="22"/>
      <c r="G410" s="22"/>
      <c r="H410" s="22"/>
      <c r="I410" s="49"/>
      <c r="J410" s="50"/>
      <c r="K410" s="22"/>
      <c r="L410" s="22"/>
      <c r="M410" s="22"/>
      <c r="N410" s="22"/>
      <c r="O410" s="22"/>
      <c r="P410" s="46"/>
      <c r="Q410" s="40"/>
      <c r="R410" s="41"/>
      <c r="S410" s="22" t="str">
        <f t="shared" si="37"/>
        <v/>
      </c>
      <c r="T410" s="41"/>
      <c r="U410" s="41" t="str">
        <f t="shared" si="41"/>
        <v/>
      </c>
      <c r="V410" s="44"/>
      <c r="W410" s="44"/>
      <c r="X410" s="46"/>
      <c r="Y410" s="46"/>
      <c r="Z410" s="46"/>
      <c r="AA410" s="41"/>
      <c r="AB410" s="22"/>
      <c r="AC410" s="22"/>
      <c r="AD410" s="41"/>
      <c r="AE410" s="22"/>
      <c r="AF410" s="22"/>
      <c r="AG410" s="48" t="str">
        <f t="shared" si="38"/>
        <v/>
      </c>
      <c r="AH410" s="48" t="str">
        <f t="shared" si="39"/>
        <v/>
      </c>
      <c r="AI410" s="48" t="str">
        <f t="shared" si="40"/>
        <v/>
      </c>
      <c r="AJ410" s="40" t="str">
        <f t="shared" si="36"/>
        <v/>
      </c>
      <c r="AK410" s="40"/>
      <c r="AL410" s="40"/>
      <c r="AM410" s="22"/>
      <c r="AQ410" s="46"/>
    </row>
    <row r="411" spans="1:43" ht="17.399999999999999">
      <c r="A411" s="22"/>
      <c r="B411" s="22"/>
      <c r="C411" s="56"/>
      <c r="D411" s="56"/>
      <c r="E411" s="22"/>
      <c r="F411" s="22"/>
      <c r="G411" s="22"/>
      <c r="H411" s="22"/>
      <c r="I411" s="49"/>
      <c r="J411" s="50"/>
      <c r="K411" s="22"/>
      <c r="L411" s="22"/>
      <c r="M411" s="22"/>
      <c r="N411" s="22"/>
      <c r="O411" s="22"/>
      <c r="P411" s="46"/>
      <c r="Q411" s="40"/>
      <c r="R411" s="41"/>
      <c r="S411" s="22" t="str">
        <f t="shared" si="37"/>
        <v/>
      </c>
      <c r="T411" s="41"/>
      <c r="U411" s="41" t="str">
        <f t="shared" si="41"/>
        <v/>
      </c>
      <c r="V411" s="44"/>
      <c r="W411" s="44"/>
      <c r="X411" s="46"/>
      <c r="Y411" s="46"/>
      <c r="Z411" s="46"/>
      <c r="AA411" s="41"/>
      <c r="AB411" s="22"/>
      <c r="AC411" s="22"/>
      <c r="AD411" s="41"/>
      <c r="AE411" s="22"/>
      <c r="AF411" s="22"/>
      <c r="AG411" s="48" t="str">
        <f t="shared" si="38"/>
        <v/>
      </c>
      <c r="AH411" s="48" t="str">
        <f t="shared" si="39"/>
        <v/>
      </c>
      <c r="AI411" s="48" t="str">
        <f t="shared" si="40"/>
        <v/>
      </c>
      <c r="AJ411" s="40" t="str">
        <f t="shared" si="36"/>
        <v/>
      </c>
      <c r="AK411" s="40"/>
      <c r="AL411" s="40"/>
      <c r="AM411" s="22"/>
      <c r="AQ411" s="46"/>
    </row>
    <row r="412" spans="1:43" ht="17.399999999999999">
      <c r="A412" s="22"/>
      <c r="B412" s="22"/>
      <c r="C412" s="56"/>
      <c r="D412" s="56"/>
      <c r="E412" s="22"/>
      <c r="F412" s="22"/>
      <c r="G412" s="22"/>
      <c r="H412" s="22"/>
      <c r="I412" s="49"/>
      <c r="J412" s="50"/>
      <c r="K412" s="22"/>
      <c r="L412" s="22"/>
      <c r="M412" s="22"/>
      <c r="N412" s="22"/>
      <c r="O412" s="22"/>
      <c r="P412" s="46"/>
      <c r="Q412" s="40"/>
      <c r="R412" s="41"/>
      <c r="S412" s="22" t="str">
        <f t="shared" si="37"/>
        <v/>
      </c>
      <c r="T412" s="41"/>
      <c r="U412" s="41" t="str">
        <f t="shared" si="41"/>
        <v/>
      </c>
      <c r="V412" s="44"/>
      <c r="W412" s="44"/>
      <c r="X412" s="46"/>
      <c r="Y412" s="46"/>
      <c r="Z412" s="46"/>
      <c r="AA412" s="41"/>
      <c r="AB412" s="22"/>
      <c r="AC412" s="22"/>
      <c r="AD412" s="41"/>
      <c r="AE412" s="22"/>
      <c r="AF412" s="22"/>
      <c r="AG412" s="48" t="str">
        <f t="shared" si="38"/>
        <v/>
      </c>
      <c r="AH412" s="48" t="str">
        <f t="shared" si="39"/>
        <v/>
      </c>
      <c r="AI412" s="48" t="str">
        <f t="shared" si="40"/>
        <v/>
      </c>
      <c r="AJ412" s="40" t="str">
        <f t="shared" si="36"/>
        <v/>
      </c>
      <c r="AK412" s="40"/>
      <c r="AL412" s="40"/>
      <c r="AM412" s="22"/>
      <c r="AQ412" s="46"/>
    </row>
    <row r="413" spans="1:43" ht="17.399999999999999">
      <c r="A413" s="22"/>
      <c r="B413" s="22"/>
      <c r="C413" s="56"/>
      <c r="D413" s="56"/>
      <c r="E413" s="22"/>
      <c r="F413" s="22"/>
      <c r="G413" s="22"/>
      <c r="H413" s="22"/>
      <c r="I413" s="49"/>
      <c r="J413" s="50"/>
      <c r="K413" s="22"/>
      <c r="L413" s="22"/>
      <c r="M413" s="22"/>
      <c r="N413" s="22"/>
      <c r="O413" s="22"/>
      <c r="P413" s="46"/>
      <c r="Q413" s="40"/>
      <c r="R413" s="41"/>
      <c r="S413" s="22" t="str">
        <f t="shared" si="37"/>
        <v/>
      </c>
      <c r="T413" s="41"/>
      <c r="U413" s="41" t="str">
        <f t="shared" si="41"/>
        <v/>
      </c>
      <c r="V413" s="44"/>
      <c r="W413" s="44"/>
      <c r="X413" s="46"/>
      <c r="Y413" s="46"/>
      <c r="Z413" s="46"/>
      <c r="AA413" s="41"/>
      <c r="AB413" s="22"/>
      <c r="AC413" s="22"/>
      <c r="AD413" s="41"/>
      <c r="AE413" s="22"/>
      <c r="AF413" s="22"/>
      <c r="AG413" s="48" t="str">
        <f t="shared" si="38"/>
        <v/>
      </c>
      <c r="AH413" s="48" t="str">
        <f t="shared" si="39"/>
        <v/>
      </c>
      <c r="AI413" s="48" t="str">
        <f t="shared" si="40"/>
        <v/>
      </c>
      <c r="AJ413" s="40" t="str">
        <f t="shared" si="36"/>
        <v/>
      </c>
      <c r="AK413" s="40"/>
      <c r="AL413" s="40"/>
      <c r="AM413" s="22"/>
      <c r="AQ413" s="46"/>
    </row>
    <row r="414" spans="1:43" ht="17.399999999999999">
      <c r="A414" s="22"/>
      <c r="B414" s="22"/>
      <c r="C414" s="56"/>
      <c r="D414" s="56"/>
      <c r="E414" s="22"/>
      <c r="F414" s="22"/>
      <c r="G414" s="22"/>
      <c r="H414" s="22"/>
      <c r="I414" s="49"/>
      <c r="J414" s="50"/>
      <c r="K414" s="22"/>
      <c r="L414" s="22"/>
      <c r="M414" s="22"/>
      <c r="N414" s="22"/>
      <c r="O414" s="22"/>
      <c r="P414" s="46"/>
      <c r="Q414" s="40"/>
      <c r="R414" s="41"/>
      <c r="S414" s="22" t="str">
        <f t="shared" si="37"/>
        <v/>
      </c>
      <c r="T414" s="41"/>
      <c r="U414" s="41" t="str">
        <f t="shared" si="41"/>
        <v/>
      </c>
      <c r="V414" s="44"/>
      <c r="W414" s="44"/>
      <c r="X414" s="46"/>
      <c r="Y414" s="46"/>
      <c r="Z414" s="46"/>
      <c r="AA414" s="41"/>
      <c r="AB414" s="22"/>
      <c r="AC414" s="22"/>
      <c r="AD414" s="41"/>
      <c r="AE414" s="22"/>
      <c r="AF414" s="22"/>
      <c r="AG414" s="48" t="str">
        <f t="shared" si="38"/>
        <v/>
      </c>
      <c r="AH414" s="48" t="str">
        <f t="shared" si="39"/>
        <v/>
      </c>
      <c r="AI414" s="48" t="str">
        <f t="shared" si="40"/>
        <v/>
      </c>
      <c r="AJ414" s="40" t="str">
        <f t="shared" si="36"/>
        <v/>
      </c>
      <c r="AK414" s="40"/>
      <c r="AL414" s="40"/>
      <c r="AM414" s="22"/>
      <c r="AQ414" s="46"/>
    </row>
    <row r="415" spans="1:43" ht="17.399999999999999">
      <c r="A415" s="22"/>
      <c r="B415" s="22"/>
      <c r="C415" s="56"/>
      <c r="D415" s="56"/>
      <c r="E415" s="22"/>
      <c r="F415" s="22"/>
      <c r="G415" s="22"/>
      <c r="H415" s="22"/>
      <c r="I415" s="49"/>
      <c r="J415" s="50"/>
      <c r="K415" s="22"/>
      <c r="L415" s="22"/>
      <c r="M415" s="22"/>
      <c r="N415" s="22"/>
      <c r="O415" s="22"/>
      <c r="P415" s="46"/>
      <c r="Q415" s="40"/>
      <c r="R415" s="41"/>
      <c r="S415" s="22" t="str">
        <f t="shared" si="37"/>
        <v/>
      </c>
      <c r="T415" s="41"/>
      <c r="U415" s="41" t="str">
        <f t="shared" si="41"/>
        <v/>
      </c>
      <c r="V415" s="44"/>
      <c r="W415" s="44"/>
      <c r="X415" s="46"/>
      <c r="Y415" s="46"/>
      <c r="Z415" s="46"/>
      <c r="AA415" s="41"/>
      <c r="AB415" s="22"/>
      <c r="AC415" s="22"/>
      <c r="AD415" s="41"/>
      <c r="AE415" s="22"/>
      <c r="AF415" s="22"/>
      <c r="AG415" s="48" t="str">
        <f t="shared" si="38"/>
        <v/>
      </c>
      <c r="AH415" s="48" t="str">
        <f t="shared" si="39"/>
        <v/>
      </c>
      <c r="AI415" s="48" t="str">
        <f t="shared" si="40"/>
        <v/>
      </c>
      <c r="AJ415" s="40" t="str">
        <f t="shared" si="36"/>
        <v/>
      </c>
      <c r="AK415" s="40"/>
      <c r="AL415" s="40"/>
      <c r="AM415" s="22"/>
      <c r="AQ415" s="46"/>
    </row>
    <row r="416" spans="1:43" ht="17.399999999999999">
      <c r="A416" s="22"/>
      <c r="B416" s="22"/>
      <c r="C416" s="56"/>
      <c r="D416" s="56"/>
      <c r="E416" s="22"/>
      <c r="F416" s="22"/>
      <c r="G416" s="22"/>
      <c r="H416" s="22"/>
      <c r="I416" s="49"/>
      <c r="J416" s="50"/>
      <c r="K416" s="22"/>
      <c r="L416" s="22"/>
      <c r="M416" s="22"/>
      <c r="N416" s="22"/>
      <c r="O416" s="22"/>
      <c r="P416" s="46"/>
      <c r="Q416" s="40"/>
      <c r="R416" s="41"/>
      <c r="S416" s="22" t="str">
        <f t="shared" si="37"/>
        <v/>
      </c>
      <c r="T416" s="41"/>
      <c r="U416" s="41" t="str">
        <f t="shared" si="41"/>
        <v/>
      </c>
      <c r="V416" s="44"/>
      <c r="W416" s="44"/>
      <c r="X416" s="46"/>
      <c r="Y416" s="46"/>
      <c r="Z416" s="46"/>
      <c r="AA416" s="41"/>
      <c r="AB416" s="22"/>
      <c r="AC416" s="22"/>
      <c r="AD416" s="41"/>
      <c r="AE416" s="22"/>
      <c r="AF416" s="22"/>
      <c r="AG416" s="48" t="str">
        <f t="shared" si="38"/>
        <v/>
      </c>
      <c r="AH416" s="48" t="str">
        <f t="shared" si="39"/>
        <v/>
      </c>
      <c r="AI416" s="48" t="str">
        <f t="shared" si="40"/>
        <v/>
      </c>
      <c r="AJ416" s="40" t="str">
        <f t="shared" si="36"/>
        <v/>
      </c>
      <c r="AK416" s="40"/>
      <c r="AL416" s="40"/>
      <c r="AM416" s="22"/>
      <c r="AQ416" s="46"/>
    </row>
    <row r="417" spans="1:43" ht="17.399999999999999">
      <c r="A417" s="22"/>
      <c r="B417" s="22"/>
      <c r="C417" s="56"/>
      <c r="D417" s="56"/>
      <c r="E417" s="22"/>
      <c r="F417" s="22"/>
      <c r="G417" s="22"/>
      <c r="H417" s="22"/>
      <c r="I417" s="49"/>
      <c r="J417" s="50"/>
      <c r="K417" s="22"/>
      <c r="L417" s="22"/>
      <c r="M417" s="22"/>
      <c r="N417" s="22"/>
      <c r="O417" s="22"/>
      <c r="P417" s="46"/>
      <c r="Q417" s="40"/>
      <c r="R417" s="41"/>
      <c r="S417" s="22" t="str">
        <f t="shared" si="37"/>
        <v/>
      </c>
      <c r="T417" s="41"/>
      <c r="U417" s="41" t="str">
        <f t="shared" si="41"/>
        <v/>
      </c>
      <c r="V417" s="44"/>
      <c r="W417" s="44"/>
      <c r="X417" s="46"/>
      <c r="Y417" s="46"/>
      <c r="Z417" s="46"/>
      <c r="AA417" s="41"/>
      <c r="AB417" s="22"/>
      <c r="AC417" s="22"/>
      <c r="AD417" s="41"/>
      <c r="AE417" s="22"/>
      <c r="AF417" s="22"/>
      <c r="AG417" s="48" t="str">
        <f t="shared" si="38"/>
        <v/>
      </c>
      <c r="AH417" s="48" t="str">
        <f t="shared" si="39"/>
        <v/>
      </c>
      <c r="AI417" s="48" t="str">
        <f t="shared" si="40"/>
        <v/>
      </c>
      <c r="AJ417" s="40" t="str">
        <f t="shared" si="36"/>
        <v/>
      </c>
      <c r="AK417" s="40"/>
      <c r="AL417" s="40"/>
      <c r="AM417" s="22"/>
      <c r="AQ417" s="46"/>
    </row>
    <row r="418" spans="1:43" ht="17.399999999999999">
      <c r="A418" s="22"/>
      <c r="B418" s="22"/>
      <c r="C418" s="56"/>
      <c r="D418" s="56"/>
      <c r="E418" s="22"/>
      <c r="F418" s="22"/>
      <c r="G418" s="22"/>
      <c r="H418" s="22"/>
      <c r="I418" s="49"/>
      <c r="J418" s="50"/>
      <c r="K418" s="22"/>
      <c r="L418" s="22"/>
      <c r="M418" s="22"/>
      <c r="N418" s="22"/>
      <c r="O418" s="22"/>
      <c r="P418" s="46"/>
      <c r="Q418" s="40"/>
      <c r="R418" s="41"/>
      <c r="S418" s="22" t="str">
        <f t="shared" si="37"/>
        <v/>
      </c>
      <c r="T418" s="41"/>
      <c r="U418" s="41" t="str">
        <f t="shared" si="41"/>
        <v/>
      </c>
      <c r="V418" s="44"/>
      <c r="W418" s="44"/>
      <c r="X418" s="46"/>
      <c r="Y418" s="46"/>
      <c r="Z418" s="46"/>
      <c r="AA418" s="41"/>
      <c r="AB418" s="22"/>
      <c r="AC418" s="22"/>
      <c r="AD418" s="41"/>
      <c r="AE418" s="22"/>
      <c r="AF418" s="22"/>
      <c r="AG418" s="48" t="str">
        <f t="shared" si="38"/>
        <v/>
      </c>
      <c r="AH418" s="48" t="str">
        <f t="shared" si="39"/>
        <v/>
      </c>
      <c r="AI418" s="48" t="str">
        <f t="shared" si="40"/>
        <v/>
      </c>
      <c r="AJ418" s="40" t="str">
        <f t="shared" si="36"/>
        <v/>
      </c>
      <c r="AK418" s="40"/>
      <c r="AL418" s="40"/>
      <c r="AM418" s="22"/>
      <c r="AQ418" s="46"/>
    </row>
    <row r="419" spans="1:43" ht="17.399999999999999">
      <c r="A419" s="22"/>
      <c r="B419" s="22"/>
      <c r="C419" s="56"/>
      <c r="D419" s="56"/>
      <c r="E419" s="22"/>
      <c r="F419" s="22"/>
      <c r="G419" s="22"/>
      <c r="H419" s="22"/>
      <c r="I419" s="49"/>
      <c r="J419" s="50"/>
      <c r="K419" s="22"/>
      <c r="L419" s="22"/>
      <c r="M419" s="22"/>
      <c r="N419" s="22"/>
      <c r="O419" s="22"/>
      <c r="P419" s="46"/>
      <c r="Q419" s="40"/>
      <c r="R419" s="41"/>
      <c r="S419" s="22" t="str">
        <f t="shared" si="37"/>
        <v/>
      </c>
      <c r="T419" s="41"/>
      <c r="U419" s="41" t="str">
        <f t="shared" si="41"/>
        <v/>
      </c>
      <c r="V419" s="44"/>
      <c r="W419" s="44"/>
      <c r="X419" s="46"/>
      <c r="Y419" s="46"/>
      <c r="Z419" s="46"/>
      <c r="AA419" s="41"/>
      <c r="AB419" s="22"/>
      <c r="AC419" s="22"/>
      <c r="AD419" s="41"/>
      <c r="AE419" s="22"/>
      <c r="AF419" s="22"/>
      <c r="AG419" s="48" t="str">
        <f t="shared" si="38"/>
        <v/>
      </c>
      <c r="AH419" s="48" t="str">
        <f t="shared" si="39"/>
        <v/>
      </c>
      <c r="AI419" s="48" t="str">
        <f t="shared" si="40"/>
        <v/>
      </c>
      <c r="AJ419" s="40" t="str">
        <f t="shared" si="36"/>
        <v/>
      </c>
      <c r="AK419" s="40"/>
      <c r="AL419" s="40"/>
      <c r="AM419" s="22"/>
      <c r="AQ419" s="46"/>
    </row>
    <row r="420" spans="1:43" ht="17.399999999999999">
      <c r="A420" s="22"/>
      <c r="B420" s="22"/>
      <c r="C420" s="56"/>
      <c r="D420" s="56"/>
      <c r="E420" s="22"/>
      <c r="F420" s="22"/>
      <c r="G420" s="22"/>
      <c r="H420" s="22"/>
      <c r="I420" s="49"/>
      <c r="J420" s="50"/>
      <c r="K420" s="22"/>
      <c r="L420" s="22"/>
      <c r="M420" s="22"/>
      <c r="N420" s="22"/>
      <c r="O420" s="22"/>
      <c r="P420" s="46"/>
      <c r="Q420" s="40"/>
      <c r="R420" s="41"/>
      <c r="S420" s="22" t="str">
        <f t="shared" si="37"/>
        <v/>
      </c>
      <c r="T420" s="41"/>
      <c r="U420" s="41" t="str">
        <f t="shared" si="41"/>
        <v/>
      </c>
      <c r="V420" s="44"/>
      <c r="W420" s="44"/>
      <c r="X420" s="46"/>
      <c r="Y420" s="46"/>
      <c r="Z420" s="46"/>
      <c r="AA420" s="41"/>
      <c r="AB420" s="22"/>
      <c r="AC420" s="22"/>
      <c r="AD420" s="41"/>
      <c r="AE420" s="22"/>
      <c r="AF420" s="22"/>
      <c r="AG420" s="48" t="str">
        <f t="shared" si="38"/>
        <v/>
      </c>
      <c r="AH420" s="48" t="str">
        <f t="shared" si="39"/>
        <v/>
      </c>
      <c r="AI420" s="48" t="str">
        <f t="shared" si="40"/>
        <v/>
      </c>
      <c r="AJ420" s="40" t="str">
        <f t="shared" si="36"/>
        <v/>
      </c>
      <c r="AK420" s="40"/>
      <c r="AL420" s="40"/>
      <c r="AM420" s="22"/>
      <c r="AQ420" s="46"/>
    </row>
    <row r="421" spans="1:43" ht="17.399999999999999">
      <c r="A421" s="22"/>
      <c r="B421" s="22"/>
      <c r="C421" s="56"/>
      <c r="D421" s="56"/>
      <c r="E421" s="22"/>
      <c r="F421" s="22"/>
      <c r="G421" s="22"/>
      <c r="H421" s="22"/>
      <c r="I421" s="49"/>
      <c r="J421" s="50"/>
      <c r="K421" s="22"/>
      <c r="L421" s="22"/>
      <c r="M421" s="22"/>
      <c r="N421" s="22"/>
      <c r="O421" s="22"/>
      <c r="P421" s="46"/>
      <c r="Q421" s="40"/>
      <c r="R421" s="41"/>
      <c r="S421" s="22" t="str">
        <f t="shared" si="37"/>
        <v/>
      </c>
      <c r="T421" s="41"/>
      <c r="U421" s="41" t="str">
        <f t="shared" si="41"/>
        <v/>
      </c>
      <c r="V421" s="44"/>
      <c r="W421" s="44"/>
      <c r="X421" s="46"/>
      <c r="Y421" s="46"/>
      <c r="Z421" s="46"/>
      <c r="AA421" s="41"/>
      <c r="AB421" s="22"/>
      <c r="AC421" s="22"/>
      <c r="AD421" s="41"/>
      <c r="AE421" s="22"/>
      <c r="AF421" s="22"/>
      <c r="AG421" s="48" t="str">
        <f t="shared" si="38"/>
        <v/>
      </c>
      <c r="AH421" s="48" t="str">
        <f t="shared" si="39"/>
        <v/>
      </c>
      <c r="AI421" s="48" t="str">
        <f t="shared" si="40"/>
        <v/>
      </c>
      <c r="AJ421" s="40" t="str">
        <f t="shared" si="36"/>
        <v/>
      </c>
      <c r="AK421" s="40"/>
      <c r="AL421" s="40"/>
      <c r="AM421" s="22"/>
      <c r="AQ421" s="46"/>
    </row>
    <row r="422" spans="1:43" ht="17.399999999999999">
      <c r="A422" s="22"/>
      <c r="B422" s="22"/>
      <c r="C422" s="56"/>
      <c r="D422" s="56"/>
      <c r="E422" s="22"/>
      <c r="F422" s="22"/>
      <c r="G422" s="22"/>
      <c r="H422" s="22"/>
      <c r="I422" s="49"/>
      <c r="J422" s="50"/>
      <c r="K422" s="22"/>
      <c r="L422" s="22"/>
      <c r="M422" s="22"/>
      <c r="N422" s="22"/>
      <c r="O422" s="22"/>
      <c r="P422" s="46"/>
      <c r="Q422" s="40"/>
      <c r="R422" s="41"/>
      <c r="S422" s="22" t="str">
        <f t="shared" si="37"/>
        <v/>
      </c>
      <c r="T422" s="41"/>
      <c r="U422" s="41" t="str">
        <f t="shared" si="41"/>
        <v/>
      </c>
      <c r="V422" s="44"/>
      <c r="W422" s="44"/>
      <c r="X422" s="46"/>
      <c r="Y422" s="46"/>
      <c r="Z422" s="46"/>
      <c r="AA422" s="41"/>
      <c r="AB422" s="22"/>
      <c r="AC422" s="22"/>
      <c r="AD422" s="41"/>
      <c r="AE422" s="22"/>
      <c r="AF422" s="22"/>
      <c r="AG422" s="48" t="str">
        <f t="shared" si="38"/>
        <v/>
      </c>
      <c r="AH422" s="48" t="str">
        <f t="shared" si="39"/>
        <v/>
      </c>
      <c r="AI422" s="48" t="str">
        <f t="shared" si="40"/>
        <v/>
      </c>
      <c r="AJ422" s="40" t="str">
        <f t="shared" si="36"/>
        <v/>
      </c>
      <c r="AK422" s="40"/>
      <c r="AL422" s="40"/>
      <c r="AM422" s="22"/>
      <c r="AQ422" s="46"/>
    </row>
    <row r="423" spans="1:43" ht="17.399999999999999">
      <c r="A423" s="22"/>
      <c r="B423" s="22"/>
      <c r="C423" s="56"/>
      <c r="D423" s="56"/>
      <c r="E423" s="22"/>
      <c r="F423" s="22"/>
      <c r="G423" s="22"/>
      <c r="H423" s="22"/>
      <c r="I423" s="49"/>
      <c r="J423" s="50"/>
      <c r="K423" s="22"/>
      <c r="L423" s="22"/>
      <c r="M423" s="22"/>
      <c r="N423" s="22"/>
      <c r="O423" s="22"/>
      <c r="P423" s="46"/>
      <c r="Q423" s="40"/>
      <c r="R423" s="41"/>
      <c r="S423" s="22" t="str">
        <f t="shared" si="37"/>
        <v/>
      </c>
      <c r="T423" s="41"/>
      <c r="U423" s="41" t="str">
        <f t="shared" si="41"/>
        <v/>
      </c>
      <c r="V423" s="44"/>
      <c r="W423" s="44"/>
      <c r="X423" s="46"/>
      <c r="Y423" s="46"/>
      <c r="Z423" s="46"/>
      <c r="AA423" s="41"/>
      <c r="AB423" s="22"/>
      <c r="AC423" s="22"/>
      <c r="AD423" s="41"/>
      <c r="AE423" s="22"/>
      <c r="AF423" s="22"/>
      <c r="AG423" s="48" t="str">
        <f t="shared" si="38"/>
        <v/>
      </c>
      <c r="AH423" s="48" t="str">
        <f t="shared" si="39"/>
        <v/>
      </c>
      <c r="AI423" s="48" t="str">
        <f t="shared" si="40"/>
        <v/>
      </c>
      <c r="AJ423" s="40" t="str">
        <f t="shared" si="36"/>
        <v/>
      </c>
      <c r="AK423" s="40"/>
      <c r="AL423" s="40"/>
      <c r="AM423" s="22"/>
      <c r="AQ423" s="46"/>
    </row>
    <row r="424" spans="1:43" ht="17.399999999999999">
      <c r="A424" s="22"/>
      <c r="B424" s="22"/>
      <c r="C424" s="56"/>
      <c r="D424" s="56"/>
      <c r="E424" s="22"/>
      <c r="F424" s="22"/>
      <c r="G424" s="22"/>
      <c r="H424" s="22"/>
      <c r="I424" s="49"/>
      <c r="J424" s="50"/>
      <c r="K424" s="22"/>
      <c r="L424" s="22"/>
      <c r="M424" s="22"/>
      <c r="N424" s="22"/>
      <c r="O424" s="22"/>
      <c r="P424" s="46"/>
      <c r="Q424" s="40"/>
      <c r="R424" s="41"/>
      <c r="S424" s="22" t="str">
        <f t="shared" si="37"/>
        <v/>
      </c>
      <c r="T424" s="41"/>
      <c r="U424" s="41" t="str">
        <f t="shared" si="41"/>
        <v/>
      </c>
      <c r="V424" s="44"/>
      <c r="W424" s="44"/>
      <c r="X424" s="46"/>
      <c r="Y424" s="46"/>
      <c r="Z424" s="46"/>
      <c r="AA424" s="41"/>
      <c r="AB424" s="22"/>
      <c r="AC424" s="22"/>
      <c r="AD424" s="41"/>
      <c r="AE424" s="22"/>
      <c r="AF424" s="22"/>
      <c r="AG424" s="48" t="str">
        <f t="shared" si="38"/>
        <v/>
      </c>
      <c r="AH424" s="48" t="str">
        <f t="shared" si="39"/>
        <v/>
      </c>
      <c r="AI424" s="48" t="str">
        <f t="shared" si="40"/>
        <v/>
      </c>
      <c r="AJ424" s="40" t="str">
        <f t="shared" si="36"/>
        <v/>
      </c>
      <c r="AK424" s="40"/>
      <c r="AL424" s="40"/>
      <c r="AM424" s="22"/>
      <c r="AQ424" s="46"/>
    </row>
    <row r="425" spans="1:43" ht="17.399999999999999">
      <c r="A425" s="22"/>
      <c r="B425" s="22"/>
      <c r="C425" s="56"/>
      <c r="D425" s="56"/>
      <c r="E425" s="22"/>
      <c r="F425" s="22"/>
      <c r="G425" s="22"/>
      <c r="H425" s="22"/>
      <c r="I425" s="49"/>
      <c r="J425" s="50"/>
      <c r="K425" s="22"/>
      <c r="L425" s="22"/>
      <c r="M425" s="22"/>
      <c r="N425" s="22"/>
      <c r="O425" s="22"/>
      <c r="P425" s="46"/>
      <c r="Q425" s="40"/>
      <c r="R425" s="41"/>
      <c r="S425" s="22" t="str">
        <f t="shared" si="37"/>
        <v/>
      </c>
      <c r="T425" s="41"/>
      <c r="U425" s="41" t="str">
        <f t="shared" si="41"/>
        <v/>
      </c>
      <c r="V425" s="44"/>
      <c r="W425" s="44"/>
      <c r="X425" s="46"/>
      <c r="Y425" s="46"/>
      <c r="Z425" s="46"/>
      <c r="AA425" s="41"/>
      <c r="AB425" s="22"/>
      <c r="AC425" s="22"/>
      <c r="AD425" s="41"/>
      <c r="AE425" s="22"/>
      <c r="AF425" s="22"/>
      <c r="AG425" s="48" t="str">
        <f t="shared" si="38"/>
        <v/>
      </c>
      <c r="AH425" s="48" t="str">
        <f t="shared" si="39"/>
        <v/>
      </c>
      <c r="AI425" s="48" t="str">
        <f t="shared" si="40"/>
        <v/>
      </c>
      <c r="AJ425" s="40" t="str">
        <f t="shared" si="36"/>
        <v/>
      </c>
      <c r="AK425" s="40"/>
      <c r="AL425" s="40"/>
      <c r="AM425" s="22"/>
      <c r="AQ425" s="46"/>
    </row>
    <row r="426" spans="1:43" ht="17.399999999999999">
      <c r="A426" s="22"/>
      <c r="B426" s="22"/>
      <c r="C426" s="56"/>
      <c r="D426" s="56"/>
      <c r="E426" s="22"/>
      <c r="F426" s="22"/>
      <c r="G426" s="22"/>
      <c r="H426" s="22"/>
      <c r="I426" s="49"/>
      <c r="J426" s="50"/>
      <c r="K426" s="22"/>
      <c r="L426" s="22"/>
      <c r="M426" s="22"/>
      <c r="N426" s="22"/>
      <c r="O426" s="22"/>
      <c r="P426" s="46"/>
      <c r="Q426" s="40"/>
      <c r="R426" s="41"/>
      <c r="S426" s="22" t="str">
        <f t="shared" si="37"/>
        <v/>
      </c>
      <c r="T426" s="41"/>
      <c r="U426" s="41" t="str">
        <f t="shared" si="41"/>
        <v/>
      </c>
      <c r="V426" s="44"/>
      <c r="W426" s="44"/>
      <c r="X426" s="46"/>
      <c r="Y426" s="46"/>
      <c r="Z426" s="46"/>
      <c r="AA426" s="41"/>
      <c r="AB426" s="22"/>
      <c r="AC426" s="22"/>
      <c r="AD426" s="41"/>
      <c r="AE426" s="22"/>
      <c r="AF426" s="22"/>
      <c r="AG426" s="48" t="str">
        <f t="shared" si="38"/>
        <v/>
      </c>
      <c r="AH426" s="48" t="str">
        <f t="shared" si="39"/>
        <v/>
      </c>
      <c r="AI426" s="48" t="str">
        <f t="shared" si="40"/>
        <v/>
      </c>
      <c r="AJ426" s="40" t="str">
        <f t="shared" si="36"/>
        <v/>
      </c>
      <c r="AK426" s="40"/>
      <c r="AL426" s="40"/>
      <c r="AM426" s="22"/>
      <c r="AQ426" s="46"/>
    </row>
    <row r="427" spans="1:43" ht="17.399999999999999">
      <c r="A427" s="22"/>
      <c r="B427" s="22"/>
      <c r="C427" s="56"/>
      <c r="D427" s="56"/>
      <c r="E427" s="22"/>
      <c r="F427" s="22"/>
      <c r="G427" s="22"/>
      <c r="H427" s="22"/>
      <c r="I427" s="49"/>
      <c r="J427" s="50"/>
      <c r="K427" s="22"/>
      <c r="L427" s="22"/>
      <c r="M427" s="22"/>
      <c r="N427" s="22"/>
      <c r="O427" s="22"/>
      <c r="P427" s="46"/>
      <c r="Q427" s="40"/>
      <c r="R427" s="41"/>
      <c r="S427" s="22" t="str">
        <f t="shared" si="37"/>
        <v/>
      </c>
      <c r="T427" s="41"/>
      <c r="U427" s="41" t="str">
        <f t="shared" si="41"/>
        <v/>
      </c>
      <c r="V427" s="44"/>
      <c r="W427" s="44"/>
      <c r="X427" s="46"/>
      <c r="Y427" s="46"/>
      <c r="Z427" s="46"/>
      <c r="AA427" s="41"/>
      <c r="AB427" s="22"/>
      <c r="AC427" s="22"/>
      <c r="AD427" s="41"/>
      <c r="AE427" s="22"/>
      <c r="AF427" s="22"/>
      <c r="AG427" s="48" t="str">
        <f t="shared" si="38"/>
        <v/>
      </c>
      <c r="AH427" s="48" t="str">
        <f t="shared" si="39"/>
        <v/>
      </c>
      <c r="AI427" s="48" t="str">
        <f t="shared" si="40"/>
        <v/>
      </c>
      <c r="AJ427" s="40" t="str">
        <f t="shared" si="36"/>
        <v/>
      </c>
      <c r="AK427" s="40"/>
      <c r="AL427" s="40"/>
      <c r="AM427" s="22"/>
      <c r="AQ427" s="46"/>
    </row>
    <row r="428" spans="1:43" ht="17.399999999999999">
      <c r="A428" s="22"/>
      <c r="B428" s="22"/>
      <c r="C428" s="56"/>
      <c r="D428" s="56"/>
      <c r="E428" s="22"/>
      <c r="F428" s="22"/>
      <c r="G428" s="22"/>
      <c r="H428" s="22"/>
      <c r="I428" s="49"/>
      <c r="J428" s="50"/>
      <c r="K428" s="22"/>
      <c r="L428" s="22"/>
      <c r="M428" s="22"/>
      <c r="N428" s="22"/>
      <c r="O428" s="22"/>
      <c r="P428" s="46"/>
      <c r="Q428" s="40"/>
      <c r="R428" s="41"/>
      <c r="S428" s="22" t="str">
        <f t="shared" si="37"/>
        <v/>
      </c>
      <c r="T428" s="41"/>
      <c r="U428" s="41" t="str">
        <f t="shared" si="41"/>
        <v/>
      </c>
      <c r="V428" s="44"/>
      <c r="W428" s="44"/>
      <c r="X428" s="46"/>
      <c r="Y428" s="46"/>
      <c r="Z428" s="46"/>
      <c r="AA428" s="41"/>
      <c r="AB428" s="22"/>
      <c r="AC428" s="22"/>
      <c r="AD428" s="41"/>
      <c r="AE428" s="22"/>
      <c r="AF428" s="22"/>
      <c r="AG428" s="48" t="str">
        <f t="shared" si="38"/>
        <v/>
      </c>
      <c r="AH428" s="48" t="str">
        <f t="shared" si="39"/>
        <v/>
      </c>
      <c r="AI428" s="48" t="str">
        <f t="shared" si="40"/>
        <v/>
      </c>
      <c r="AJ428" s="40" t="str">
        <f t="shared" si="36"/>
        <v/>
      </c>
      <c r="AK428" s="40"/>
      <c r="AL428" s="40"/>
      <c r="AM428" s="22"/>
      <c r="AQ428" s="46"/>
    </row>
    <row r="429" spans="1:43" ht="17.399999999999999">
      <c r="A429" s="22"/>
      <c r="B429" s="22"/>
      <c r="C429" s="56"/>
      <c r="D429" s="56"/>
      <c r="E429" s="22"/>
      <c r="F429" s="22"/>
      <c r="G429" s="22"/>
      <c r="H429" s="22"/>
      <c r="I429" s="49"/>
      <c r="J429" s="50"/>
      <c r="K429" s="22"/>
      <c r="L429" s="22"/>
      <c r="M429" s="22"/>
      <c r="N429" s="22"/>
      <c r="O429" s="22"/>
      <c r="P429" s="46"/>
      <c r="Q429" s="40"/>
      <c r="R429" s="41"/>
      <c r="S429" s="22" t="str">
        <f t="shared" si="37"/>
        <v/>
      </c>
      <c r="T429" s="41"/>
      <c r="U429" s="41" t="str">
        <f t="shared" si="41"/>
        <v/>
      </c>
      <c r="V429" s="44"/>
      <c r="W429" s="44"/>
      <c r="X429" s="46"/>
      <c r="Y429" s="46"/>
      <c r="Z429" s="46"/>
      <c r="AA429" s="41"/>
      <c r="AB429" s="22"/>
      <c r="AC429" s="22"/>
      <c r="AD429" s="41"/>
      <c r="AE429" s="22"/>
      <c r="AF429" s="22"/>
      <c r="AG429" s="48" t="str">
        <f t="shared" si="38"/>
        <v/>
      </c>
      <c r="AH429" s="48" t="str">
        <f t="shared" si="39"/>
        <v/>
      </c>
      <c r="AI429" s="48" t="str">
        <f t="shared" si="40"/>
        <v/>
      </c>
      <c r="AJ429" s="40" t="str">
        <f t="shared" ref="AJ429:AJ492" si="42">IF(A429="","",R429+21)</f>
        <v/>
      </c>
      <c r="AK429" s="40"/>
      <c r="AL429" s="40"/>
      <c r="AM429" s="22"/>
      <c r="AQ429" s="46"/>
    </row>
    <row r="430" spans="1:43" ht="17.399999999999999">
      <c r="A430" s="22"/>
      <c r="B430" s="22"/>
      <c r="C430" s="56"/>
      <c r="D430" s="56"/>
      <c r="E430" s="22"/>
      <c r="F430" s="22"/>
      <c r="G430" s="22"/>
      <c r="H430" s="22"/>
      <c r="I430" s="49"/>
      <c r="J430" s="50"/>
      <c r="K430" s="22"/>
      <c r="L430" s="22"/>
      <c r="M430" s="22"/>
      <c r="N430" s="22"/>
      <c r="O430" s="22"/>
      <c r="P430" s="46"/>
      <c r="Q430" s="40"/>
      <c r="R430" s="41"/>
      <c r="S430" s="22" t="str">
        <f t="shared" si="37"/>
        <v/>
      </c>
      <c r="T430" s="41"/>
      <c r="U430" s="41" t="str">
        <f t="shared" si="41"/>
        <v/>
      </c>
      <c r="V430" s="44"/>
      <c r="W430" s="44"/>
      <c r="X430" s="46"/>
      <c r="Y430" s="46"/>
      <c r="Z430" s="46"/>
      <c r="AA430" s="41"/>
      <c r="AB430" s="22"/>
      <c r="AC430" s="22"/>
      <c r="AD430" s="41"/>
      <c r="AE430" s="22"/>
      <c r="AF430" s="22"/>
      <c r="AG430" s="48" t="str">
        <f t="shared" si="38"/>
        <v/>
      </c>
      <c r="AH430" s="48" t="str">
        <f t="shared" si="39"/>
        <v/>
      </c>
      <c r="AI430" s="48" t="str">
        <f t="shared" si="40"/>
        <v/>
      </c>
      <c r="AJ430" s="40" t="str">
        <f t="shared" si="42"/>
        <v/>
      </c>
      <c r="AK430" s="40"/>
      <c r="AL430" s="40"/>
      <c r="AM430" s="22"/>
      <c r="AQ430" s="46"/>
    </row>
    <row r="431" spans="1:43" ht="17.399999999999999">
      <c r="A431" s="22"/>
      <c r="B431" s="22"/>
      <c r="C431" s="56"/>
      <c r="D431" s="56"/>
      <c r="E431" s="22"/>
      <c r="F431" s="22"/>
      <c r="G431" s="22"/>
      <c r="H431" s="22"/>
      <c r="I431" s="49"/>
      <c r="J431" s="50"/>
      <c r="K431" s="22"/>
      <c r="L431" s="22"/>
      <c r="M431" s="22"/>
      <c r="N431" s="22"/>
      <c r="O431" s="22"/>
      <c r="P431" s="46"/>
      <c r="Q431" s="40"/>
      <c r="R431" s="41"/>
      <c r="S431" s="22" t="str">
        <f t="shared" si="37"/>
        <v/>
      </c>
      <c r="T431" s="41"/>
      <c r="U431" s="41" t="str">
        <f t="shared" si="41"/>
        <v/>
      </c>
      <c r="V431" s="44"/>
      <c r="W431" s="44"/>
      <c r="X431" s="46"/>
      <c r="Y431" s="46"/>
      <c r="Z431" s="46"/>
      <c r="AA431" s="41"/>
      <c r="AB431" s="22"/>
      <c r="AC431" s="22"/>
      <c r="AD431" s="41"/>
      <c r="AE431" s="22"/>
      <c r="AF431" s="22"/>
      <c r="AG431" s="48" t="str">
        <f t="shared" si="38"/>
        <v/>
      </c>
      <c r="AH431" s="48" t="str">
        <f t="shared" si="39"/>
        <v/>
      </c>
      <c r="AI431" s="48" t="str">
        <f t="shared" si="40"/>
        <v/>
      </c>
      <c r="AJ431" s="40" t="str">
        <f t="shared" si="42"/>
        <v/>
      </c>
      <c r="AK431" s="40"/>
      <c r="AL431" s="40"/>
      <c r="AM431" s="22"/>
      <c r="AQ431" s="46"/>
    </row>
    <row r="432" spans="1:43" ht="17.399999999999999">
      <c r="A432" s="22"/>
      <c r="B432" s="22"/>
      <c r="C432" s="56"/>
      <c r="D432" s="56"/>
      <c r="E432" s="22"/>
      <c r="F432" s="22"/>
      <c r="G432" s="22"/>
      <c r="H432" s="22"/>
      <c r="I432" s="49"/>
      <c r="J432" s="50"/>
      <c r="K432" s="22"/>
      <c r="L432" s="22"/>
      <c r="M432" s="22"/>
      <c r="N432" s="22"/>
      <c r="O432" s="22"/>
      <c r="P432" s="46"/>
      <c r="Q432" s="40"/>
      <c r="R432" s="41"/>
      <c r="S432" s="22" t="str">
        <f t="shared" si="37"/>
        <v/>
      </c>
      <c r="T432" s="41"/>
      <c r="U432" s="41" t="str">
        <f t="shared" si="41"/>
        <v/>
      </c>
      <c r="V432" s="44"/>
      <c r="W432" s="44"/>
      <c r="X432" s="46"/>
      <c r="Y432" s="46"/>
      <c r="Z432" s="46"/>
      <c r="AA432" s="41"/>
      <c r="AB432" s="22"/>
      <c r="AC432" s="22"/>
      <c r="AD432" s="41"/>
      <c r="AE432" s="22"/>
      <c r="AF432" s="22"/>
      <c r="AG432" s="48" t="str">
        <f t="shared" si="38"/>
        <v/>
      </c>
      <c r="AH432" s="48" t="str">
        <f t="shared" si="39"/>
        <v/>
      </c>
      <c r="AI432" s="48" t="str">
        <f t="shared" si="40"/>
        <v/>
      </c>
      <c r="AJ432" s="40" t="str">
        <f t="shared" si="42"/>
        <v/>
      </c>
      <c r="AK432" s="40"/>
      <c r="AL432" s="40"/>
      <c r="AM432" s="22"/>
      <c r="AQ432" s="46"/>
    </row>
    <row r="433" spans="1:43" ht="17.399999999999999">
      <c r="A433" s="22"/>
      <c r="B433" s="22"/>
      <c r="C433" s="56"/>
      <c r="D433" s="56"/>
      <c r="E433" s="22"/>
      <c r="F433" s="22"/>
      <c r="G433" s="22"/>
      <c r="H433" s="22"/>
      <c r="I433" s="49"/>
      <c r="J433" s="50"/>
      <c r="K433" s="22"/>
      <c r="L433" s="22"/>
      <c r="M433" s="22"/>
      <c r="N433" s="22"/>
      <c r="O433" s="22"/>
      <c r="P433" s="46"/>
      <c r="Q433" s="40"/>
      <c r="R433" s="41"/>
      <c r="S433" s="22" t="str">
        <f t="shared" si="37"/>
        <v/>
      </c>
      <c r="T433" s="41"/>
      <c r="U433" s="41" t="str">
        <f t="shared" si="41"/>
        <v/>
      </c>
      <c r="V433" s="44"/>
      <c r="W433" s="44"/>
      <c r="X433" s="46"/>
      <c r="Y433" s="46"/>
      <c r="Z433" s="46"/>
      <c r="AA433" s="41"/>
      <c r="AB433" s="22"/>
      <c r="AC433" s="22"/>
      <c r="AD433" s="41"/>
      <c r="AE433" s="22"/>
      <c r="AF433" s="22"/>
      <c r="AG433" s="48" t="str">
        <f t="shared" si="38"/>
        <v/>
      </c>
      <c r="AH433" s="48" t="str">
        <f t="shared" si="39"/>
        <v/>
      </c>
      <c r="AI433" s="48" t="str">
        <f t="shared" si="40"/>
        <v/>
      </c>
      <c r="AJ433" s="40" t="str">
        <f t="shared" si="42"/>
        <v/>
      </c>
      <c r="AK433" s="40"/>
      <c r="AL433" s="40"/>
      <c r="AM433" s="22"/>
      <c r="AQ433" s="46"/>
    </row>
    <row r="434" spans="1:43" ht="17.399999999999999">
      <c r="A434" s="22"/>
      <c r="B434" s="22"/>
      <c r="C434" s="56"/>
      <c r="D434" s="56"/>
      <c r="E434" s="22"/>
      <c r="F434" s="22"/>
      <c r="G434" s="22"/>
      <c r="H434" s="22"/>
      <c r="I434" s="49"/>
      <c r="J434" s="50"/>
      <c r="K434" s="22"/>
      <c r="L434" s="22"/>
      <c r="M434" s="22"/>
      <c r="N434" s="22"/>
      <c r="O434" s="22"/>
      <c r="P434" s="46"/>
      <c r="Q434" s="40"/>
      <c r="R434" s="41"/>
      <c r="S434" s="22" t="str">
        <f t="shared" si="37"/>
        <v/>
      </c>
      <c r="T434" s="41"/>
      <c r="U434" s="41" t="str">
        <f t="shared" si="41"/>
        <v/>
      </c>
      <c r="V434" s="44"/>
      <c r="W434" s="44"/>
      <c r="X434" s="46"/>
      <c r="Y434" s="46"/>
      <c r="Z434" s="46"/>
      <c r="AA434" s="41"/>
      <c r="AB434" s="22"/>
      <c r="AC434" s="22"/>
      <c r="AD434" s="41"/>
      <c r="AE434" s="22"/>
      <c r="AF434" s="22"/>
      <c r="AG434" s="48" t="str">
        <f t="shared" si="38"/>
        <v/>
      </c>
      <c r="AH434" s="48" t="str">
        <f t="shared" si="39"/>
        <v/>
      </c>
      <c r="AI434" s="48" t="str">
        <f t="shared" si="40"/>
        <v/>
      </c>
      <c r="AJ434" s="40" t="str">
        <f t="shared" si="42"/>
        <v/>
      </c>
      <c r="AK434" s="40"/>
      <c r="AL434" s="40"/>
      <c r="AM434" s="22"/>
      <c r="AQ434" s="46"/>
    </row>
    <row r="435" spans="1:43" ht="17.399999999999999">
      <c r="A435" s="22"/>
      <c r="B435" s="22"/>
      <c r="C435" s="56"/>
      <c r="D435" s="56"/>
      <c r="E435" s="22"/>
      <c r="F435" s="22"/>
      <c r="G435" s="22"/>
      <c r="H435" s="22"/>
      <c r="I435" s="49"/>
      <c r="J435" s="50"/>
      <c r="K435" s="22"/>
      <c r="L435" s="22"/>
      <c r="M435" s="22"/>
      <c r="N435" s="22"/>
      <c r="O435" s="22"/>
      <c r="P435" s="46"/>
      <c r="Q435" s="40"/>
      <c r="R435" s="41"/>
      <c r="S435" s="22" t="str">
        <f t="shared" si="37"/>
        <v/>
      </c>
      <c r="T435" s="41"/>
      <c r="U435" s="41" t="str">
        <f t="shared" si="41"/>
        <v/>
      </c>
      <c r="V435" s="44"/>
      <c r="W435" s="44"/>
      <c r="X435" s="46"/>
      <c r="Y435" s="46"/>
      <c r="Z435" s="46"/>
      <c r="AA435" s="41"/>
      <c r="AB435" s="22"/>
      <c r="AC435" s="22"/>
      <c r="AD435" s="41"/>
      <c r="AE435" s="22"/>
      <c r="AF435" s="22"/>
      <c r="AG435" s="48" t="str">
        <f t="shared" si="38"/>
        <v/>
      </c>
      <c r="AH435" s="48" t="str">
        <f t="shared" si="39"/>
        <v/>
      </c>
      <c r="AI435" s="48" t="str">
        <f t="shared" si="40"/>
        <v/>
      </c>
      <c r="AJ435" s="40" t="str">
        <f t="shared" si="42"/>
        <v/>
      </c>
      <c r="AK435" s="40"/>
      <c r="AL435" s="40"/>
      <c r="AM435" s="22"/>
      <c r="AQ435" s="46"/>
    </row>
    <row r="436" spans="1:43" ht="17.399999999999999">
      <c r="A436" s="22"/>
      <c r="B436" s="22"/>
      <c r="C436" s="56"/>
      <c r="D436" s="56"/>
      <c r="E436" s="22"/>
      <c r="F436" s="22"/>
      <c r="G436" s="22"/>
      <c r="H436" s="22"/>
      <c r="I436" s="49"/>
      <c r="J436" s="50"/>
      <c r="K436" s="22"/>
      <c r="L436" s="22"/>
      <c r="M436" s="22"/>
      <c r="N436" s="22"/>
      <c r="O436" s="22"/>
      <c r="P436" s="46"/>
      <c r="Q436" s="40"/>
      <c r="R436" s="41"/>
      <c r="S436" s="22" t="str">
        <f t="shared" si="37"/>
        <v/>
      </c>
      <c r="T436" s="41"/>
      <c r="U436" s="41" t="str">
        <f t="shared" si="41"/>
        <v/>
      </c>
      <c r="V436" s="44"/>
      <c r="W436" s="44"/>
      <c r="X436" s="46"/>
      <c r="Y436" s="46"/>
      <c r="Z436" s="46"/>
      <c r="AA436" s="41"/>
      <c r="AB436" s="22"/>
      <c r="AC436" s="22"/>
      <c r="AD436" s="41"/>
      <c r="AE436" s="22"/>
      <c r="AF436" s="22"/>
      <c r="AG436" s="48" t="str">
        <f t="shared" si="38"/>
        <v/>
      </c>
      <c r="AH436" s="48" t="str">
        <f t="shared" si="39"/>
        <v/>
      </c>
      <c r="AI436" s="48" t="str">
        <f t="shared" si="40"/>
        <v/>
      </c>
      <c r="AJ436" s="40" t="str">
        <f t="shared" si="42"/>
        <v/>
      </c>
      <c r="AK436" s="40"/>
      <c r="AL436" s="40"/>
      <c r="AM436" s="22"/>
      <c r="AQ436" s="46"/>
    </row>
    <row r="437" spans="1:43" ht="17.399999999999999">
      <c r="A437" s="22"/>
      <c r="B437" s="22"/>
      <c r="C437" s="56"/>
      <c r="D437" s="56"/>
      <c r="E437" s="22"/>
      <c r="F437" s="22"/>
      <c r="G437" s="22"/>
      <c r="H437" s="22"/>
      <c r="I437" s="49"/>
      <c r="J437" s="50"/>
      <c r="K437" s="22"/>
      <c r="L437" s="22"/>
      <c r="M437" s="22"/>
      <c r="N437" s="22"/>
      <c r="O437" s="22"/>
      <c r="P437" s="46"/>
      <c r="Q437" s="40"/>
      <c r="R437" s="41"/>
      <c r="S437" s="22" t="str">
        <f t="shared" si="37"/>
        <v/>
      </c>
      <c r="T437" s="41"/>
      <c r="U437" s="41" t="str">
        <f t="shared" si="41"/>
        <v/>
      </c>
      <c r="V437" s="44"/>
      <c r="W437" s="44"/>
      <c r="X437" s="46"/>
      <c r="Y437" s="46"/>
      <c r="Z437" s="46"/>
      <c r="AA437" s="41"/>
      <c r="AB437" s="22"/>
      <c r="AC437" s="22"/>
      <c r="AD437" s="41"/>
      <c r="AE437" s="22"/>
      <c r="AF437" s="22"/>
      <c r="AG437" s="48" t="str">
        <f t="shared" si="38"/>
        <v/>
      </c>
      <c r="AH437" s="48" t="str">
        <f t="shared" si="39"/>
        <v/>
      </c>
      <c r="AI437" s="48" t="str">
        <f t="shared" si="40"/>
        <v/>
      </c>
      <c r="AJ437" s="40" t="str">
        <f t="shared" si="42"/>
        <v/>
      </c>
      <c r="AK437" s="40"/>
      <c r="AL437" s="40"/>
      <c r="AM437" s="22"/>
      <c r="AQ437" s="46"/>
    </row>
    <row r="438" spans="1:43" ht="17.399999999999999">
      <c r="A438" s="22"/>
      <c r="B438" s="22"/>
      <c r="C438" s="56"/>
      <c r="D438" s="56"/>
      <c r="E438" s="22"/>
      <c r="F438" s="22"/>
      <c r="G438" s="22"/>
      <c r="H438" s="22"/>
      <c r="I438" s="49"/>
      <c r="J438" s="50"/>
      <c r="K438" s="22"/>
      <c r="L438" s="22"/>
      <c r="M438" s="22"/>
      <c r="N438" s="22"/>
      <c r="O438" s="22"/>
      <c r="P438" s="46"/>
      <c r="Q438" s="40"/>
      <c r="R438" s="41"/>
      <c r="S438" s="22" t="str">
        <f t="shared" si="37"/>
        <v/>
      </c>
      <c r="T438" s="41"/>
      <c r="U438" s="41" t="str">
        <f t="shared" si="41"/>
        <v/>
      </c>
      <c r="V438" s="44"/>
      <c r="W438" s="44"/>
      <c r="X438" s="46"/>
      <c r="Y438" s="46"/>
      <c r="Z438" s="46"/>
      <c r="AA438" s="41"/>
      <c r="AB438" s="22"/>
      <c r="AC438" s="22"/>
      <c r="AD438" s="41"/>
      <c r="AE438" s="22"/>
      <c r="AF438" s="22"/>
      <c r="AG438" s="48" t="str">
        <f t="shared" si="38"/>
        <v/>
      </c>
      <c r="AH438" s="48" t="str">
        <f t="shared" si="39"/>
        <v/>
      </c>
      <c r="AI438" s="48" t="str">
        <f t="shared" si="40"/>
        <v/>
      </c>
      <c r="AJ438" s="40" t="str">
        <f t="shared" si="42"/>
        <v/>
      </c>
      <c r="AK438" s="40"/>
      <c r="AL438" s="40"/>
      <c r="AM438" s="22"/>
      <c r="AQ438" s="46"/>
    </row>
    <row r="439" spans="1:43" ht="17.399999999999999">
      <c r="A439" s="22"/>
      <c r="B439" s="22"/>
      <c r="C439" s="56"/>
      <c r="D439" s="56"/>
      <c r="E439" s="22"/>
      <c r="F439" s="22"/>
      <c r="G439" s="22"/>
      <c r="H439" s="22"/>
      <c r="I439" s="49"/>
      <c r="J439" s="50"/>
      <c r="K439" s="22"/>
      <c r="L439" s="22"/>
      <c r="M439" s="22"/>
      <c r="N439" s="22"/>
      <c r="O439" s="22"/>
      <c r="P439" s="46"/>
      <c r="Q439" s="40"/>
      <c r="R439" s="41"/>
      <c r="S439" s="22" t="str">
        <f t="shared" si="37"/>
        <v/>
      </c>
      <c r="T439" s="41"/>
      <c r="U439" s="41" t="str">
        <f t="shared" si="41"/>
        <v/>
      </c>
      <c r="V439" s="44"/>
      <c r="W439" s="44"/>
      <c r="X439" s="46"/>
      <c r="Y439" s="46"/>
      <c r="Z439" s="46"/>
      <c r="AA439" s="41"/>
      <c r="AB439" s="22"/>
      <c r="AC439" s="22"/>
      <c r="AD439" s="41"/>
      <c r="AE439" s="22"/>
      <c r="AF439" s="22"/>
      <c r="AG439" s="48" t="str">
        <f t="shared" si="38"/>
        <v/>
      </c>
      <c r="AH439" s="48" t="str">
        <f t="shared" si="39"/>
        <v/>
      </c>
      <c r="AI439" s="48" t="str">
        <f t="shared" si="40"/>
        <v/>
      </c>
      <c r="AJ439" s="40" t="str">
        <f t="shared" si="42"/>
        <v/>
      </c>
      <c r="AK439" s="40"/>
      <c r="AL439" s="40"/>
      <c r="AM439" s="22"/>
      <c r="AQ439" s="46"/>
    </row>
    <row r="440" spans="1:43" ht="17.399999999999999">
      <c r="A440" s="22"/>
      <c r="B440" s="22"/>
      <c r="C440" s="56"/>
      <c r="D440" s="56"/>
      <c r="E440" s="22"/>
      <c r="F440" s="22"/>
      <c r="G440" s="22"/>
      <c r="H440" s="22"/>
      <c r="I440" s="49"/>
      <c r="J440" s="50"/>
      <c r="K440" s="22"/>
      <c r="L440" s="22"/>
      <c r="M440" s="22"/>
      <c r="N440" s="22"/>
      <c r="O440" s="22"/>
      <c r="P440" s="46"/>
      <c r="Q440" s="40"/>
      <c r="R440" s="41"/>
      <c r="S440" s="22" t="str">
        <f t="shared" si="37"/>
        <v/>
      </c>
      <c r="T440" s="41"/>
      <c r="U440" s="41" t="str">
        <f t="shared" si="41"/>
        <v/>
      </c>
      <c r="V440" s="44"/>
      <c r="W440" s="44"/>
      <c r="X440" s="46"/>
      <c r="Y440" s="46"/>
      <c r="Z440" s="46"/>
      <c r="AA440" s="41"/>
      <c r="AB440" s="22"/>
      <c r="AC440" s="22"/>
      <c r="AD440" s="41"/>
      <c r="AE440" s="22"/>
      <c r="AF440" s="22"/>
      <c r="AG440" s="48" t="str">
        <f t="shared" si="38"/>
        <v/>
      </c>
      <c r="AH440" s="48" t="str">
        <f t="shared" si="39"/>
        <v/>
      </c>
      <c r="AI440" s="48" t="str">
        <f t="shared" si="40"/>
        <v/>
      </c>
      <c r="AJ440" s="40" t="str">
        <f t="shared" si="42"/>
        <v/>
      </c>
      <c r="AK440" s="40"/>
      <c r="AL440" s="40"/>
      <c r="AM440" s="22"/>
      <c r="AQ440" s="46"/>
    </row>
    <row r="441" spans="1:43" ht="17.399999999999999">
      <c r="A441" s="22"/>
      <c r="B441" s="22"/>
      <c r="C441" s="56"/>
      <c r="D441" s="56"/>
      <c r="E441" s="22"/>
      <c r="F441" s="22"/>
      <c r="G441" s="22"/>
      <c r="H441" s="22"/>
      <c r="I441" s="49"/>
      <c r="J441" s="50"/>
      <c r="K441" s="22"/>
      <c r="L441" s="22"/>
      <c r="M441" s="22"/>
      <c r="N441" s="22"/>
      <c r="O441" s="22"/>
      <c r="P441" s="46"/>
      <c r="Q441" s="40"/>
      <c r="R441" s="41"/>
      <c r="S441" s="22" t="str">
        <f t="shared" si="37"/>
        <v/>
      </c>
      <c r="T441" s="41"/>
      <c r="U441" s="41" t="str">
        <f t="shared" si="41"/>
        <v/>
      </c>
      <c r="V441" s="44"/>
      <c r="W441" s="44"/>
      <c r="X441" s="46"/>
      <c r="Y441" s="46"/>
      <c r="Z441" s="46"/>
      <c r="AA441" s="41"/>
      <c r="AB441" s="22"/>
      <c r="AC441" s="22"/>
      <c r="AD441" s="41"/>
      <c r="AE441" s="22"/>
      <c r="AF441" s="22"/>
      <c r="AG441" s="48" t="str">
        <f t="shared" si="38"/>
        <v/>
      </c>
      <c r="AH441" s="48" t="str">
        <f t="shared" si="39"/>
        <v/>
      </c>
      <c r="AI441" s="48" t="str">
        <f t="shared" si="40"/>
        <v/>
      </c>
      <c r="AJ441" s="40" t="str">
        <f t="shared" si="42"/>
        <v/>
      </c>
      <c r="AK441" s="40"/>
      <c r="AL441" s="40"/>
      <c r="AM441" s="22"/>
      <c r="AQ441" s="46"/>
    </row>
    <row r="442" spans="1:43" ht="17.399999999999999">
      <c r="A442" s="22"/>
      <c r="B442" s="22"/>
      <c r="C442" s="56"/>
      <c r="D442" s="56"/>
      <c r="E442" s="22"/>
      <c r="F442" s="22"/>
      <c r="G442" s="22"/>
      <c r="H442" s="22"/>
      <c r="I442" s="49"/>
      <c r="J442" s="50"/>
      <c r="K442" s="22"/>
      <c r="L442" s="22"/>
      <c r="M442" s="22"/>
      <c r="N442" s="22"/>
      <c r="O442" s="22"/>
      <c r="P442" s="46"/>
      <c r="Q442" s="40"/>
      <c r="R442" s="41"/>
      <c r="S442" s="22" t="str">
        <f t="shared" si="37"/>
        <v/>
      </c>
      <c r="T442" s="41"/>
      <c r="U442" s="41" t="str">
        <f t="shared" si="41"/>
        <v/>
      </c>
      <c r="V442" s="44"/>
      <c r="W442" s="44"/>
      <c r="X442" s="46"/>
      <c r="Y442" s="46"/>
      <c r="Z442" s="46"/>
      <c r="AA442" s="41"/>
      <c r="AB442" s="22"/>
      <c r="AC442" s="22"/>
      <c r="AD442" s="41"/>
      <c r="AE442" s="22"/>
      <c r="AF442" s="22"/>
      <c r="AG442" s="48" t="str">
        <f t="shared" si="38"/>
        <v/>
      </c>
      <c r="AH442" s="48" t="str">
        <f t="shared" si="39"/>
        <v/>
      </c>
      <c r="AI442" s="48" t="str">
        <f t="shared" si="40"/>
        <v/>
      </c>
      <c r="AJ442" s="40" t="str">
        <f t="shared" si="42"/>
        <v/>
      </c>
      <c r="AK442" s="40"/>
      <c r="AL442" s="40"/>
      <c r="AM442" s="22"/>
      <c r="AQ442" s="46"/>
    </row>
    <row r="443" spans="1:43" ht="17.399999999999999">
      <c r="A443" s="22"/>
      <c r="B443" s="22"/>
      <c r="C443" s="56"/>
      <c r="D443" s="56"/>
      <c r="E443" s="22"/>
      <c r="F443" s="22"/>
      <c r="G443" s="22"/>
      <c r="H443" s="22"/>
      <c r="I443" s="49"/>
      <c r="J443" s="50"/>
      <c r="K443" s="22"/>
      <c r="L443" s="22"/>
      <c r="M443" s="22"/>
      <c r="N443" s="22"/>
      <c r="O443" s="22"/>
      <c r="P443" s="46"/>
      <c r="Q443" s="40"/>
      <c r="R443" s="41"/>
      <c r="S443" s="22" t="str">
        <f t="shared" si="37"/>
        <v/>
      </c>
      <c r="T443" s="41"/>
      <c r="U443" s="41" t="str">
        <f t="shared" si="41"/>
        <v/>
      </c>
      <c r="V443" s="44"/>
      <c r="W443" s="44"/>
      <c r="X443" s="46"/>
      <c r="Y443" s="46"/>
      <c r="Z443" s="46"/>
      <c r="AA443" s="41"/>
      <c r="AB443" s="22"/>
      <c r="AC443" s="22"/>
      <c r="AD443" s="41"/>
      <c r="AE443" s="22"/>
      <c r="AF443" s="22"/>
      <c r="AG443" s="48" t="str">
        <f t="shared" si="38"/>
        <v/>
      </c>
      <c r="AH443" s="48" t="str">
        <f t="shared" si="39"/>
        <v/>
      </c>
      <c r="AI443" s="48" t="str">
        <f t="shared" si="40"/>
        <v/>
      </c>
      <c r="AJ443" s="40" t="str">
        <f t="shared" si="42"/>
        <v/>
      </c>
      <c r="AK443" s="40"/>
      <c r="AL443" s="40"/>
      <c r="AM443" s="22"/>
      <c r="AQ443" s="46"/>
    </row>
    <row r="444" spans="1:43" ht="17.399999999999999">
      <c r="A444" s="22"/>
      <c r="B444" s="22"/>
      <c r="C444" s="56"/>
      <c r="D444" s="56"/>
      <c r="E444" s="22"/>
      <c r="F444" s="22"/>
      <c r="G444" s="22"/>
      <c r="H444" s="22"/>
      <c r="I444" s="49"/>
      <c r="J444" s="50"/>
      <c r="K444" s="22"/>
      <c r="L444" s="22"/>
      <c r="M444" s="22"/>
      <c r="N444" s="22"/>
      <c r="O444" s="22"/>
      <c r="P444" s="46"/>
      <c r="Q444" s="40"/>
      <c r="R444" s="41"/>
      <c r="S444" s="22" t="str">
        <f t="shared" si="37"/>
        <v/>
      </c>
      <c r="T444" s="41"/>
      <c r="U444" s="41" t="str">
        <f t="shared" si="41"/>
        <v/>
      </c>
      <c r="V444" s="44"/>
      <c r="W444" s="44"/>
      <c r="X444" s="46"/>
      <c r="Y444" s="46"/>
      <c r="Z444" s="46"/>
      <c r="AA444" s="41"/>
      <c r="AB444" s="22"/>
      <c r="AC444" s="22"/>
      <c r="AD444" s="41"/>
      <c r="AE444" s="22"/>
      <c r="AF444" s="22"/>
      <c r="AG444" s="48" t="str">
        <f t="shared" si="38"/>
        <v/>
      </c>
      <c r="AH444" s="48" t="str">
        <f t="shared" si="39"/>
        <v/>
      </c>
      <c r="AI444" s="48" t="str">
        <f t="shared" si="40"/>
        <v/>
      </c>
      <c r="AJ444" s="40" t="str">
        <f t="shared" si="42"/>
        <v/>
      </c>
      <c r="AK444" s="40"/>
      <c r="AL444" s="40"/>
      <c r="AM444" s="22"/>
      <c r="AQ444" s="46"/>
    </row>
    <row r="445" spans="1:43" ht="17.399999999999999">
      <c r="A445" s="22"/>
      <c r="B445" s="22"/>
      <c r="C445" s="56"/>
      <c r="D445" s="56"/>
      <c r="E445" s="22"/>
      <c r="F445" s="22"/>
      <c r="G445" s="22"/>
      <c r="H445" s="22"/>
      <c r="I445" s="49"/>
      <c r="J445" s="50"/>
      <c r="K445" s="22"/>
      <c r="L445" s="22"/>
      <c r="M445" s="22"/>
      <c r="N445" s="22"/>
      <c r="O445" s="22"/>
      <c r="P445" s="46"/>
      <c r="Q445" s="40"/>
      <c r="R445" s="41"/>
      <c r="S445" s="22" t="str">
        <f t="shared" si="37"/>
        <v/>
      </c>
      <c r="T445" s="41"/>
      <c r="U445" s="41" t="str">
        <f t="shared" si="41"/>
        <v/>
      </c>
      <c r="V445" s="44"/>
      <c r="W445" s="44"/>
      <c r="X445" s="46"/>
      <c r="Y445" s="46"/>
      <c r="Z445" s="46"/>
      <c r="AA445" s="41"/>
      <c r="AB445" s="22"/>
      <c r="AC445" s="22"/>
      <c r="AD445" s="41"/>
      <c r="AE445" s="22"/>
      <c r="AF445" s="22"/>
      <c r="AG445" s="48" t="str">
        <f t="shared" si="38"/>
        <v/>
      </c>
      <c r="AH445" s="48" t="str">
        <f t="shared" si="39"/>
        <v/>
      </c>
      <c r="AI445" s="48" t="str">
        <f t="shared" si="40"/>
        <v/>
      </c>
      <c r="AJ445" s="40" t="str">
        <f t="shared" si="42"/>
        <v/>
      </c>
      <c r="AK445" s="40"/>
      <c r="AL445" s="40"/>
      <c r="AM445" s="22"/>
      <c r="AQ445" s="46"/>
    </row>
    <row r="446" spans="1:43" ht="17.399999999999999">
      <c r="A446" s="22"/>
      <c r="B446" s="22"/>
      <c r="C446" s="56"/>
      <c r="D446" s="56"/>
      <c r="E446" s="22"/>
      <c r="F446" s="22"/>
      <c r="G446" s="22"/>
      <c r="H446" s="22"/>
      <c r="I446" s="49"/>
      <c r="J446" s="50"/>
      <c r="K446" s="22"/>
      <c r="L446" s="22"/>
      <c r="M446" s="22"/>
      <c r="N446" s="22"/>
      <c r="O446" s="22"/>
      <c r="P446" s="46"/>
      <c r="Q446" s="40"/>
      <c r="R446" s="41"/>
      <c r="S446" s="22" t="str">
        <f t="shared" si="37"/>
        <v/>
      </c>
      <c r="T446" s="41"/>
      <c r="U446" s="41" t="str">
        <f t="shared" si="41"/>
        <v/>
      </c>
      <c r="V446" s="44"/>
      <c r="W446" s="44"/>
      <c r="X446" s="46"/>
      <c r="Y446" s="46"/>
      <c r="Z446" s="46"/>
      <c r="AA446" s="41"/>
      <c r="AB446" s="22"/>
      <c r="AC446" s="22"/>
      <c r="AD446" s="41"/>
      <c r="AE446" s="22"/>
      <c r="AF446" s="22"/>
      <c r="AG446" s="48" t="str">
        <f t="shared" si="38"/>
        <v/>
      </c>
      <c r="AH446" s="48" t="str">
        <f t="shared" si="39"/>
        <v/>
      </c>
      <c r="AI446" s="48" t="str">
        <f t="shared" si="40"/>
        <v/>
      </c>
      <c r="AJ446" s="40" t="str">
        <f t="shared" si="42"/>
        <v/>
      </c>
      <c r="AK446" s="40"/>
      <c r="AL446" s="40"/>
      <c r="AM446" s="22"/>
      <c r="AQ446" s="46"/>
    </row>
    <row r="447" spans="1:43" ht="17.399999999999999">
      <c r="A447" s="22"/>
      <c r="B447" s="22"/>
      <c r="C447" s="56"/>
      <c r="D447" s="56"/>
      <c r="E447" s="22"/>
      <c r="F447" s="22"/>
      <c r="G447" s="22"/>
      <c r="H447" s="22"/>
      <c r="I447" s="49"/>
      <c r="J447" s="50"/>
      <c r="K447" s="22"/>
      <c r="L447" s="22"/>
      <c r="M447" s="22"/>
      <c r="N447" s="22"/>
      <c r="O447" s="22"/>
      <c r="P447" s="46"/>
      <c r="Q447" s="40"/>
      <c r="R447" s="41"/>
      <c r="S447" s="22" t="str">
        <f t="shared" si="37"/>
        <v/>
      </c>
      <c r="T447" s="41"/>
      <c r="U447" s="41" t="str">
        <f t="shared" si="41"/>
        <v/>
      </c>
      <c r="V447" s="44"/>
      <c r="W447" s="44"/>
      <c r="X447" s="46"/>
      <c r="Y447" s="46"/>
      <c r="Z447" s="46"/>
      <c r="AA447" s="41"/>
      <c r="AB447" s="22"/>
      <c r="AC447" s="22"/>
      <c r="AD447" s="41"/>
      <c r="AE447" s="22"/>
      <c r="AF447" s="22"/>
      <c r="AG447" s="48" t="str">
        <f t="shared" si="38"/>
        <v/>
      </c>
      <c r="AH447" s="48" t="str">
        <f t="shared" si="39"/>
        <v/>
      </c>
      <c r="AI447" s="48" t="str">
        <f t="shared" si="40"/>
        <v/>
      </c>
      <c r="AJ447" s="40" t="str">
        <f t="shared" si="42"/>
        <v/>
      </c>
      <c r="AK447" s="40"/>
      <c r="AL447" s="40"/>
      <c r="AM447" s="22"/>
      <c r="AQ447" s="46"/>
    </row>
    <row r="448" spans="1:43" ht="17.399999999999999">
      <c r="A448" s="22"/>
      <c r="B448" s="22"/>
      <c r="C448" s="56"/>
      <c r="D448" s="56"/>
      <c r="E448" s="22"/>
      <c r="F448" s="22"/>
      <c r="G448" s="22"/>
      <c r="H448" s="22"/>
      <c r="I448" s="49"/>
      <c r="J448" s="50"/>
      <c r="K448" s="22"/>
      <c r="L448" s="22"/>
      <c r="M448" s="22"/>
      <c r="N448" s="22"/>
      <c r="O448" s="22"/>
      <c r="P448" s="46"/>
      <c r="Q448" s="40"/>
      <c r="R448" s="41"/>
      <c r="S448" s="22" t="str">
        <f t="shared" si="37"/>
        <v/>
      </c>
      <c r="T448" s="41"/>
      <c r="U448" s="41" t="str">
        <f t="shared" si="41"/>
        <v/>
      </c>
      <c r="V448" s="44"/>
      <c r="W448" s="44"/>
      <c r="X448" s="46"/>
      <c r="Y448" s="46"/>
      <c r="Z448" s="46"/>
      <c r="AA448" s="41"/>
      <c r="AB448" s="22"/>
      <c r="AC448" s="22"/>
      <c r="AD448" s="41"/>
      <c r="AE448" s="22"/>
      <c r="AF448" s="22"/>
      <c r="AG448" s="48" t="str">
        <f t="shared" si="38"/>
        <v/>
      </c>
      <c r="AH448" s="48" t="str">
        <f t="shared" si="39"/>
        <v/>
      </c>
      <c r="AI448" s="48" t="str">
        <f t="shared" si="40"/>
        <v/>
      </c>
      <c r="AJ448" s="40" t="str">
        <f t="shared" si="42"/>
        <v/>
      </c>
      <c r="AK448" s="40"/>
      <c r="AL448" s="40"/>
      <c r="AM448" s="22"/>
      <c r="AQ448" s="46"/>
    </row>
    <row r="449" spans="1:43" ht="17.399999999999999">
      <c r="A449" s="22"/>
      <c r="B449" s="22"/>
      <c r="C449" s="56"/>
      <c r="D449" s="56"/>
      <c r="E449" s="22"/>
      <c r="F449" s="22"/>
      <c r="G449" s="22"/>
      <c r="H449" s="22"/>
      <c r="I449" s="49"/>
      <c r="J449" s="50"/>
      <c r="K449" s="22"/>
      <c r="L449" s="22"/>
      <c r="M449" s="22"/>
      <c r="N449" s="22"/>
      <c r="O449" s="22"/>
      <c r="P449" s="46"/>
      <c r="Q449" s="40"/>
      <c r="R449" s="41"/>
      <c r="S449" s="22" t="str">
        <f t="shared" si="37"/>
        <v/>
      </c>
      <c r="T449" s="41"/>
      <c r="U449" s="41" t="str">
        <f t="shared" si="41"/>
        <v/>
      </c>
      <c r="V449" s="44"/>
      <c r="W449" s="44"/>
      <c r="X449" s="46"/>
      <c r="Y449" s="46"/>
      <c r="Z449" s="46"/>
      <c r="AA449" s="41"/>
      <c r="AB449" s="22"/>
      <c r="AC449" s="22"/>
      <c r="AD449" s="41"/>
      <c r="AE449" s="22"/>
      <c r="AF449" s="22"/>
      <c r="AG449" s="48" t="str">
        <f t="shared" si="38"/>
        <v/>
      </c>
      <c r="AH449" s="48" t="str">
        <f t="shared" si="39"/>
        <v/>
      </c>
      <c r="AI449" s="48" t="str">
        <f t="shared" si="40"/>
        <v/>
      </c>
      <c r="AJ449" s="40" t="str">
        <f t="shared" si="42"/>
        <v/>
      </c>
      <c r="AK449" s="40"/>
      <c r="AL449" s="40"/>
      <c r="AM449" s="22"/>
      <c r="AQ449" s="46"/>
    </row>
    <row r="450" spans="1:43" ht="17.399999999999999">
      <c r="A450" s="22"/>
      <c r="B450" s="22"/>
      <c r="C450" s="56"/>
      <c r="D450" s="56"/>
      <c r="E450" s="22"/>
      <c r="F450" s="22"/>
      <c r="G450" s="22"/>
      <c r="H450" s="22"/>
      <c r="I450" s="49"/>
      <c r="J450" s="50"/>
      <c r="K450" s="22"/>
      <c r="L450" s="22"/>
      <c r="M450" s="22"/>
      <c r="N450" s="22"/>
      <c r="O450" s="22"/>
      <c r="P450" s="46"/>
      <c r="Q450" s="40"/>
      <c r="R450" s="41"/>
      <c r="S450" s="22" t="str">
        <f t="shared" si="37"/>
        <v/>
      </c>
      <c r="T450" s="41"/>
      <c r="U450" s="41" t="str">
        <f t="shared" si="41"/>
        <v/>
      </c>
      <c r="V450" s="44"/>
      <c r="W450" s="44"/>
      <c r="X450" s="46"/>
      <c r="Y450" s="46"/>
      <c r="Z450" s="46"/>
      <c r="AA450" s="41"/>
      <c r="AB450" s="22"/>
      <c r="AC450" s="22"/>
      <c r="AD450" s="41"/>
      <c r="AE450" s="22"/>
      <c r="AF450" s="22"/>
      <c r="AG450" s="48" t="str">
        <f t="shared" si="38"/>
        <v/>
      </c>
      <c r="AH450" s="48" t="str">
        <f t="shared" si="39"/>
        <v/>
      </c>
      <c r="AI450" s="48" t="str">
        <f t="shared" si="40"/>
        <v/>
      </c>
      <c r="AJ450" s="40" t="str">
        <f t="shared" si="42"/>
        <v/>
      </c>
      <c r="AK450" s="40"/>
      <c r="AL450" s="40"/>
      <c r="AM450" s="22"/>
      <c r="AQ450" s="46"/>
    </row>
    <row r="451" spans="1:43" ht="17.399999999999999">
      <c r="A451" s="22"/>
      <c r="B451" s="22"/>
      <c r="C451" s="56"/>
      <c r="D451" s="56"/>
      <c r="E451" s="22"/>
      <c r="F451" s="22"/>
      <c r="G451" s="22"/>
      <c r="H451" s="22"/>
      <c r="I451" s="49"/>
      <c r="J451" s="50"/>
      <c r="K451" s="22"/>
      <c r="L451" s="22"/>
      <c r="M451" s="22"/>
      <c r="N451" s="22"/>
      <c r="O451" s="22"/>
      <c r="P451" s="46"/>
      <c r="Q451" s="40"/>
      <c r="R451" s="41"/>
      <c r="S451" s="22" t="str">
        <f t="shared" ref="S451:S514" si="43">IF(A451="","",M451+O451)</f>
        <v/>
      </c>
      <c r="T451" s="41"/>
      <c r="U451" s="41" t="str">
        <f t="shared" si="41"/>
        <v/>
      </c>
      <c r="V451" s="44"/>
      <c r="W451" s="44"/>
      <c r="X451" s="46"/>
      <c r="Y451" s="46"/>
      <c r="Z451" s="46"/>
      <c r="AA451" s="41"/>
      <c r="AB451" s="22"/>
      <c r="AC451" s="22"/>
      <c r="AD451" s="41"/>
      <c r="AE451" s="22"/>
      <c r="AF451" s="22"/>
      <c r="AG451" s="48" t="str">
        <f t="shared" ref="AG451:AG514" si="44">IF(A451="","",S451-Y451)</f>
        <v/>
      </c>
      <c r="AH451" s="48" t="str">
        <f t="shared" ref="AH451:AH514" si="45">IF(A451="","",Y451-(AC451+AF451))</f>
        <v/>
      </c>
      <c r="AI451" s="48" t="str">
        <f t="shared" ref="AI451:AI514" si="46">IF(A451="","",AG451+AH451)</f>
        <v/>
      </c>
      <c r="AJ451" s="40" t="str">
        <f t="shared" si="42"/>
        <v/>
      </c>
      <c r="AK451" s="40"/>
      <c r="AL451" s="40"/>
      <c r="AM451" s="22"/>
      <c r="AQ451" s="46"/>
    </row>
    <row r="452" spans="1:43" ht="17.399999999999999">
      <c r="A452" s="22"/>
      <c r="B452" s="22"/>
      <c r="C452" s="56"/>
      <c r="D452" s="56"/>
      <c r="E452" s="22"/>
      <c r="F452" s="22"/>
      <c r="G452" s="22"/>
      <c r="H452" s="22"/>
      <c r="I452" s="49"/>
      <c r="J452" s="50"/>
      <c r="K452" s="22"/>
      <c r="L452" s="22"/>
      <c r="M452" s="22"/>
      <c r="N452" s="22"/>
      <c r="O452" s="22"/>
      <c r="P452" s="46"/>
      <c r="Q452" s="40"/>
      <c r="R452" s="41"/>
      <c r="S452" s="22" t="str">
        <f t="shared" si="43"/>
        <v/>
      </c>
      <c r="T452" s="41"/>
      <c r="U452" s="41" t="str">
        <f t="shared" ref="U452:U515" si="47">IF(OR(P452="FEC-FS",P452="PALTEK",P452="SDSE(TOKE)"),"Upload in customer box","")</f>
        <v/>
      </c>
      <c r="V452" s="44"/>
      <c r="W452" s="44"/>
      <c r="X452" s="46"/>
      <c r="Y452" s="46"/>
      <c r="Z452" s="46"/>
      <c r="AA452" s="41"/>
      <c r="AB452" s="22"/>
      <c r="AC452" s="22"/>
      <c r="AD452" s="41"/>
      <c r="AE452" s="22"/>
      <c r="AF452" s="22"/>
      <c r="AG452" s="48" t="str">
        <f t="shared" si="44"/>
        <v/>
      </c>
      <c r="AH452" s="48" t="str">
        <f t="shared" si="45"/>
        <v/>
      </c>
      <c r="AI452" s="48" t="str">
        <f t="shared" si="46"/>
        <v/>
      </c>
      <c r="AJ452" s="40" t="str">
        <f t="shared" si="42"/>
        <v/>
      </c>
      <c r="AK452" s="40"/>
      <c r="AL452" s="40"/>
      <c r="AM452" s="22"/>
      <c r="AQ452" s="46"/>
    </row>
    <row r="453" spans="1:43" ht="17.399999999999999">
      <c r="A453" s="22"/>
      <c r="B453" s="22"/>
      <c r="C453" s="56"/>
      <c r="D453" s="56"/>
      <c r="E453" s="22"/>
      <c r="F453" s="22"/>
      <c r="G453" s="22"/>
      <c r="H453" s="22"/>
      <c r="I453" s="49"/>
      <c r="J453" s="50"/>
      <c r="K453" s="22"/>
      <c r="L453" s="22"/>
      <c r="M453" s="22"/>
      <c r="N453" s="22"/>
      <c r="O453" s="22"/>
      <c r="P453" s="46"/>
      <c r="Q453" s="40"/>
      <c r="R453" s="41"/>
      <c r="S453" s="22" t="str">
        <f t="shared" si="43"/>
        <v/>
      </c>
      <c r="T453" s="41"/>
      <c r="U453" s="41" t="str">
        <f t="shared" si="47"/>
        <v/>
      </c>
      <c r="V453" s="44"/>
      <c r="W453" s="44"/>
      <c r="X453" s="46"/>
      <c r="Y453" s="46"/>
      <c r="Z453" s="46"/>
      <c r="AA453" s="41"/>
      <c r="AB453" s="22"/>
      <c r="AC453" s="22"/>
      <c r="AD453" s="41"/>
      <c r="AE453" s="22"/>
      <c r="AF453" s="22"/>
      <c r="AG453" s="48" t="str">
        <f t="shared" si="44"/>
        <v/>
      </c>
      <c r="AH453" s="48" t="str">
        <f t="shared" si="45"/>
        <v/>
      </c>
      <c r="AI453" s="48" t="str">
        <f t="shared" si="46"/>
        <v/>
      </c>
      <c r="AJ453" s="40" t="str">
        <f t="shared" si="42"/>
        <v/>
      </c>
      <c r="AK453" s="40"/>
      <c r="AL453" s="40"/>
      <c r="AM453" s="22"/>
      <c r="AQ453" s="46"/>
    </row>
    <row r="454" spans="1:43" ht="17.399999999999999">
      <c r="A454" s="22"/>
      <c r="B454" s="22"/>
      <c r="C454" s="56"/>
      <c r="D454" s="56"/>
      <c r="E454" s="22"/>
      <c r="F454" s="22"/>
      <c r="G454" s="22"/>
      <c r="H454" s="22"/>
      <c r="I454" s="49"/>
      <c r="J454" s="50"/>
      <c r="K454" s="22"/>
      <c r="L454" s="22"/>
      <c r="M454" s="22"/>
      <c r="N454" s="22"/>
      <c r="O454" s="22"/>
      <c r="P454" s="46"/>
      <c r="Q454" s="40"/>
      <c r="R454" s="41"/>
      <c r="S454" s="22" t="str">
        <f t="shared" si="43"/>
        <v/>
      </c>
      <c r="T454" s="41"/>
      <c r="U454" s="41" t="str">
        <f t="shared" si="47"/>
        <v/>
      </c>
      <c r="V454" s="44"/>
      <c r="W454" s="44"/>
      <c r="X454" s="46"/>
      <c r="Y454" s="46"/>
      <c r="Z454" s="46"/>
      <c r="AA454" s="41"/>
      <c r="AB454" s="22"/>
      <c r="AC454" s="22"/>
      <c r="AD454" s="41"/>
      <c r="AE454" s="22"/>
      <c r="AF454" s="22"/>
      <c r="AG454" s="48" t="str">
        <f t="shared" si="44"/>
        <v/>
      </c>
      <c r="AH454" s="48" t="str">
        <f t="shared" si="45"/>
        <v/>
      </c>
      <c r="AI454" s="48" t="str">
        <f t="shared" si="46"/>
        <v/>
      </c>
      <c r="AJ454" s="40" t="str">
        <f t="shared" si="42"/>
        <v/>
      </c>
      <c r="AK454" s="40"/>
      <c r="AL454" s="40"/>
      <c r="AM454" s="22"/>
      <c r="AQ454" s="46"/>
    </row>
    <row r="455" spans="1:43" ht="17.399999999999999">
      <c r="A455" s="22"/>
      <c r="B455" s="22"/>
      <c r="C455" s="56"/>
      <c r="D455" s="56"/>
      <c r="E455" s="22"/>
      <c r="F455" s="22"/>
      <c r="G455" s="22"/>
      <c r="H455" s="22"/>
      <c r="I455" s="49"/>
      <c r="J455" s="50"/>
      <c r="K455" s="22"/>
      <c r="L455" s="22"/>
      <c r="M455" s="22"/>
      <c r="N455" s="22"/>
      <c r="O455" s="22"/>
      <c r="P455" s="46"/>
      <c r="Q455" s="40"/>
      <c r="R455" s="41"/>
      <c r="S455" s="22" t="str">
        <f t="shared" si="43"/>
        <v/>
      </c>
      <c r="T455" s="41"/>
      <c r="U455" s="41" t="str">
        <f t="shared" si="47"/>
        <v/>
      </c>
      <c r="V455" s="44"/>
      <c r="W455" s="44"/>
      <c r="X455" s="46"/>
      <c r="Y455" s="46"/>
      <c r="Z455" s="46"/>
      <c r="AA455" s="41"/>
      <c r="AB455" s="22"/>
      <c r="AC455" s="22"/>
      <c r="AD455" s="41"/>
      <c r="AE455" s="22"/>
      <c r="AF455" s="22"/>
      <c r="AG455" s="48" t="str">
        <f t="shared" si="44"/>
        <v/>
      </c>
      <c r="AH455" s="48" t="str">
        <f t="shared" si="45"/>
        <v/>
      </c>
      <c r="AI455" s="48" t="str">
        <f t="shared" si="46"/>
        <v/>
      </c>
      <c r="AJ455" s="40" t="str">
        <f t="shared" si="42"/>
        <v/>
      </c>
      <c r="AK455" s="40"/>
      <c r="AL455" s="40"/>
      <c r="AM455" s="22"/>
      <c r="AQ455" s="46"/>
    </row>
    <row r="456" spans="1:43" ht="17.399999999999999">
      <c r="A456" s="22"/>
      <c r="B456" s="22"/>
      <c r="C456" s="56"/>
      <c r="D456" s="56"/>
      <c r="E456" s="22"/>
      <c r="F456" s="22"/>
      <c r="G456" s="22"/>
      <c r="H456" s="22"/>
      <c r="I456" s="49"/>
      <c r="J456" s="50"/>
      <c r="K456" s="22"/>
      <c r="L456" s="22"/>
      <c r="M456" s="22"/>
      <c r="N456" s="22"/>
      <c r="O456" s="22"/>
      <c r="P456" s="46"/>
      <c r="Q456" s="40"/>
      <c r="R456" s="41"/>
      <c r="S456" s="22" t="str">
        <f t="shared" si="43"/>
        <v/>
      </c>
      <c r="T456" s="41"/>
      <c r="U456" s="41" t="str">
        <f t="shared" si="47"/>
        <v/>
      </c>
      <c r="V456" s="44"/>
      <c r="W456" s="44"/>
      <c r="X456" s="46"/>
      <c r="Y456" s="46"/>
      <c r="Z456" s="46"/>
      <c r="AA456" s="41"/>
      <c r="AB456" s="22"/>
      <c r="AC456" s="22"/>
      <c r="AD456" s="41"/>
      <c r="AE456" s="22"/>
      <c r="AF456" s="22"/>
      <c r="AG456" s="48" t="str">
        <f t="shared" si="44"/>
        <v/>
      </c>
      <c r="AH456" s="48" t="str">
        <f t="shared" si="45"/>
        <v/>
      </c>
      <c r="AI456" s="48" t="str">
        <f t="shared" si="46"/>
        <v/>
      </c>
      <c r="AJ456" s="40" t="str">
        <f t="shared" si="42"/>
        <v/>
      </c>
      <c r="AK456" s="40"/>
      <c r="AL456" s="40"/>
      <c r="AM456" s="22"/>
      <c r="AQ456" s="46"/>
    </row>
    <row r="457" spans="1:43" ht="17.399999999999999">
      <c r="A457" s="22"/>
      <c r="B457" s="22"/>
      <c r="C457" s="56"/>
      <c r="D457" s="56"/>
      <c r="E457" s="22"/>
      <c r="F457" s="22"/>
      <c r="G457" s="22"/>
      <c r="H457" s="22"/>
      <c r="I457" s="49"/>
      <c r="J457" s="50"/>
      <c r="K457" s="22"/>
      <c r="L457" s="22"/>
      <c r="M457" s="22"/>
      <c r="N457" s="22"/>
      <c r="O457" s="22"/>
      <c r="P457" s="46"/>
      <c r="Q457" s="40"/>
      <c r="R457" s="41"/>
      <c r="S457" s="22" t="str">
        <f t="shared" si="43"/>
        <v/>
      </c>
      <c r="T457" s="41"/>
      <c r="U457" s="41" t="str">
        <f t="shared" si="47"/>
        <v/>
      </c>
      <c r="V457" s="44"/>
      <c r="W457" s="44"/>
      <c r="X457" s="46"/>
      <c r="Y457" s="46"/>
      <c r="Z457" s="46"/>
      <c r="AA457" s="41"/>
      <c r="AB457" s="22"/>
      <c r="AC457" s="22"/>
      <c r="AD457" s="41"/>
      <c r="AE457" s="22"/>
      <c r="AF457" s="22"/>
      <c r="AG457" s="48" t="str">
        <f t="shared" si="44"/>
        <v/>
      </c>
      <c r="AH457" s="48" t="str">
        <f t="shared" si="45"/>
        <v/>
      </c>
      <c r="AI457" s="48" t="str">
        <f t="shared" si="46"/>
        <v/>
      </c>
      <c r="AJ457" s="40" t="str">
        <f t="shared" si="42"/>
        <v/>
      </c>
      <c r="AK457" s="40"/>
      <c r="AL457" s="40"/>
      <c r="AM457" s="22"/>
      <c r="AQ457" s="46"/>
    </row>
    <row r="458" spans="1:43" ht="17.399999999999999">
      <c r="A458" s="22"/>
      <c r="B458" s="22"/>
      <c r="C458" s="56"/>
      <c r="D458" s="56"/>
      <c r="E458" s="22"/>
      <c r="F458" s="22"/>
      <c r="G458" s="22"/>
      <c r="H458" s="22"/>
      <c r="I458" s="49"/>
      <c r="J458" s="50"/>
      <c r="K458" s="22"/>
      <c r="L458" s="22"/>
      <c r="M458" s="22"/>
      <c r="N458" s="22"/>
      <c r="O458" s="22"/>
      <c r="P458" s="46"/>
      <c r="Q458" s="40"/>
      <c r="R458" s="41"/>
      <c r="S458" s="22" t="str">
        <f t="shared" si="43"/>
        <v/>
      </c>
      <c r="T458" s="41"/>
      <c r="U458" s="41" t="str">
        <f t="shared" si="47"/>
        <v/>
      </c>
      <c r="V458" s="44"/>
      <c r="W458" s="44"/>
      <c r="X458" s="46"/>
      <c r="Y458" s="46"/>
      <c r="Z458" s="46"/>
      <c r="AA458" s="41"/>
      <c r="AB458" s="22"/>
      <c r="AC458" s="22"/>
      <c r="AD458" s="41"/>
      <c r="AE458" s="22"/>
      <c r="AF458" s="22"/>
      <c r="AG458" s="48" t="str">
        <f t="shared" si="44"/>
        <v/>
      </c>
      <c r="AH458" s="48" t="str">
        <f t="shared" si="45"/>
        <v/>
      </c>
      <c r="AI458" s="48" t="str">
        <f t="shared" si="46"/>
        <v/>
      </c>
      <c r="AJ458" s="40" t="str">
        <f t="shared" si="42"/>
        <v/>
      </c>
      <c r="AK458" s="40"/>
      <c r="AL458" s="40"/>
      <c r="AM458" s="22"/>
      <c r="AQ458" s="46"/>
    </row>
    <row r="459" spans="1:43" ht="17.399999999999999">
      <c r="A459" s="22"/>
      <c r="B459" s="22"/>
      <c r="C459" s="56"/>
      <c r="D459" s="56"/>
      <c r="E459" s="22"/>
      <c r="F459" s="22"/>
      <c r="G459" s="22"/>
      <c r="H459" s="22"/>
      <c r="I459" s="49"/>
      <c r="J459" s="50"/>
      <c r="K459" s="22"/>
      <c r="L459" s="22"/>
      <c r="M459" s="22"/>
      <c r="N459" s="22"/>
      <c r="O459" s="22"/>
      <c r="P459" s="46"/>
      <c r="Q459" s="40"/>
      <c r="R459" s="41"/>
      <c r="S459" s="22" t="str">
        <f t="shared" si="43"/>
        <v/>
      </c>
      <c r="T459" s="41"/>
      <c r="U459" s="41" t="str">
        <f t="shared" si="47"/>
        <v/>
      </c>
      <c r="V459" s="44"/>
      <c r="W459" s="44"/>
      <c r="X459" s="46"/>
      <c r="Y459" s="46"/>
      <c r="Z459" s="46"/>
      <c r="AA459" s="41"/>
      <c r="AB459" s="22"/>
      <c r="AC459" s="22"/>
      <c r="AD459" s="41"/>
      <c r="AE459" s="22"/>
      <c r="AF459" s="22"/>
      <c r="AG459" s="48" t="str">
        <f t="shared" si="44"/>
        <v/>
      </c>
      <c r="AH459" s="48" t="str">
        <f t="shared" si="45"/>
        <v/>
      </c>
      <c r="AI459" s="48" t="str">
        <f t="shared" si="46"/>
        <v/>
      </c>
      <c r="AJ459" s="40" t="str">
        <f t="shared" si="42"/>
        <v/>
      </c>
      <c r="AK459" s="40"/>
      <c r="AL459" s="40"/>
      <c r="AM459" s="22"/>
      <c r="AQ459" s="46"/>
    </row>
    <row r="460" spans="1:43" ht="17.399999999999999">
      <c r="A460" s="22"/>
      <c r="B460" s="22"/>
      <c r="C460" s="56"/>
      <c r="D460" s="56"/>
      <c r="E460" s="22"/>
      <c r="F460" s="22"/>
      <c r="G460" s="22"/>
      <c r="H460" s="22"/>
      <c r="I460" s="49"/>
      <c r="J460" s="50"/>
      <c r="K460" s="22"/>
      <c r="L460" s="22"/>
      <c r="M460" s="22"/>
      <c r="N460" s="22"/>
      <c r="O460" s="22"/>
      <c r="P460" s="46"/>
      <c r="Q460" s="40"/>
      <c r="R460" s="41"/>
      <c r="S460" s="22" t="str">
        <f t="shared" si="43"/>
        <v/>
      </c>
      <c r="T460" s="41"/>
      <c r="U460" s="41" t="str">
        <f t="shared" si="47"/>
        <v/>
      </c>
      <c r="V460" s="44"/>
      <c r="W460" s="44"/>
      <c r="X460" s="46"/>
      <c r="Y460" s="46"/>
      <c r="Z460" s="46"/>
      <c r="AA460" s="41"/>
      <c r="AB460" s="22"/>
      <c r="AC460" s="22"/>
      <c r="AD460" s="41"/>
      <c r="AE460" s="22"/>
      <c r="AF460" s="22"/>
      <c r="AG460" s="48" t="str">
        <f t="shared" si="44"/>
        <v/>
      </c>
      <c r="AH460" s="48" t="str">
        <f t="shared" si="45"/>
        <v/>
      </c>
      <c r="AI460" s="48" t="str">
        <f t="shared" si="46"/>
        <v/>
      </c>
      <c r="AJ460" s="40" t="str">
        <f t="shared" si="42"/>
        <v/>
      </c>
      <c r="AK460" s="40"/>
      <c r="AL460" s="40"/>
      <c r="AM460" s="22"/>
      <c r="AQ460" s="46"/>
    </row>
    <row r="461" spans="1:43" ht="17.399999999999999">
      <c r="A461" s="22"/>
      <c r="B461" s="22"/>
      <c r="C461" s="56"/>
      <c r="D461" s="56"/>
      <c r="E461" s="22"/>
      <c r="F461" s="22"/>
      <c r="G461" s="22"/>
      <c r="H461" s="22"/>
      <c r="I461" s="49"/>
      <c r="J461" s="50"/>
      <c r="K461" s="22"/>
      <c r="L461" s="22"/>
      <c r="M461" s="22"/>
      <c r="N461" s="22"/>
      <c r="O461" s="22"/>
      <c r="P461" s="46"/>
      <c r="Q461" s="40"/>
      <c r="R461" s="41"/>
      <c r="S461" s="22" t="str">
        <f t="shared" si="43"/>
        <v/>
      </c>
      <c r="T461" s="41"/>
      <c r="U461" s="41" t="str">
        <f t="shared" si="47"/>
        <v/>
      </c>
      <c r="V461" s="44"/>
      <c r="W461" s="44"/>
      <c r="X461" s="46"/>
      <c r="Y461" s="46"/>
      <c r="Z461" s="46"/>
      <c r="AA461" s="41"/>
      <c r="AB461" s="22"/>
      <c r="AC461" s="22"/>
      <c r="AD461" s="41"/>
      <c r="AE461" s="22"/>
      <c r="AF461" s="22"/>
      <c r="AG461" s="48" t="str">
        <f t="shared" si="44"/>
        <v/>
      </c>
      <c r="AH461" s="48" t="str">
        <f t="shared" si="45"/>
        <v/>
      </c>
      <c r="AI461" s="48" t="str">
        <f t="shared" si="46"/>
        <v/>
      </c>
      <c r="AJ461" s="40" t="str">
        <f t="shared" si="42"/>
        <v/>
      </c>
      <c r="AK461" s="40"/>
      <c r="AL461" s="40"/>
      <c r="AM461" s="22"/>
      <c r="AQ461" s="46"/>
    </row>
    <row r="462" spans="1:43" ht="17.399999999999999">
      <c r="A462" s="22"/>
      <c r="B462" s="22"/>
      <c r="C462" s="56"/>
      <c r="D462" s="56"/>
      <c r="E462" s="22"/>
      <c r="F462" s="22"/>
      <c r="G462" s="22"/>
      <c r="H462" s="22"/>
      <c r="I462" s="49"/>
      <c r="J462" s="50"/>
      <c r="K462" s="22"/>
      <c r="L462" s="22"/>
      <c r="M462" s="22"/>
      <c r="N462" s="22"/>
      <c r="O462" s="22"/>
      <c r="P462" s="46"/>
      <c r="Q462" s="40"/>
      <c r="R462" s="41"/>
      <c r="S462" s="22" t="str">
        <f t="shared" si="43"/>
        <v/>
      </c>
      <c r="T462" s="41"/>
      <c r="U462" s="41" t="str">
        <f t="shared" si="47"/>
        <v/>
      </c>
      <c r="V462" s="44"/>
      <c r="W462" s="44"/>
      <c r="X462" s="46"/>
      <c r="Y462" s="46"/>
      <c r="Z462" s="46"/>
      <c r="AA462" s="41"/>
      <c r="AB462" s="22"/>
      <c r="AC462" s="22"/>
      <c r="AD462" s="41"/>
      <c r="AE462" s="22"/>
      <c r="AF462" s="22"/>
      <c r="AG462" s="48" t="str">
        <f t="shared" si="44"/>
        <v/>
      </c>
      <c r="AH462" s="48" t="str">
        <f t="shared" si="45"/>
        <v/>
      </c>
      <c r="AI462" s="48" t="str">
        <f t="shared" si="46"/>
        <v/>
      </c>
      <c r="AJ462" s="40" t="str">
        <f t="shared" si="42"/>
        <v/>
      </c>
      <c r="AK462" s="40"/>
      <c r="AL462" s="40"/>
      <c r="AM462" s="22"/>
      <c r="AQ462" s="46"/>
    </row>
    <row r="463" spans="1:43" ht="17.399999999999999">
      <c r="A463" s="22"/>
      <c r="B463" s="22"/>
      <c r="C463" s="56"/>
      <c r="D463" s="56"/>
      <c r="E463" s="22"/>
      <c r="F463" s="22"/>
      <c r="G463" s="22"/>
      <c r="H463" s="22"/>
      <c r="I463" s="49"/>
      <c r="J463" s="50"/>
      <c r="K463" s="22"/>
      <c r="L463" s="22"/>
      <c r="M463" s="22"/>
      <c r="N463" s="22"/>
      <c r="O463" s="22"/>
      <c r="P463" s="46"/>
      <c r="Q463" s="40"/>
      <c r="R463" s="41"/>
      <c r="S463" s="22" t="str">
        <f t="shared" si="43"/>
        <v/>
      </c>
      <c r="T463" s="41"/>
      <c r="U463" s="41" t="str">
        <f t="shared" si="47"/>
        <v/>
      </c>
      <c r="V463" s="44"/>
      <c r="W463" s="44"/>
      <c r="X463" s="46"/>
      <c r="Y463" s="46"/>
      <c r="Z463" s="46"/>
      <c r="AA463" s="41"/>
      <c r="AB463" s="22"/>
      <c r="AC463" s="22"/>
      <c r="AD463" s="41"/>
      <c r="AE463" s="22"/>
      <c r="AF463" s="22"/>
      <c r="AG463" s="48" t="str">
        <f t="shared" si="44"/>
        <v/>
      </c>
      <c r="AH463" s="48" t="str">
        <f t="shared" si="45"/>
        <v/>
      </c>
      <c r="AI463" s="48" t="str">
        <f t="shared" si="46"/>
        <v/>
      </c>
      <c r="AJ463" s="40" t="str">
        <f t="shared" si="42"/>
        <v/>
      </c>
      <c r="AK463" s="40"/>
      <c r="AL463" s="40"/>
      <c r="AM463" s="22"/>
      <c r="AQ463" s="46"/>
    </row>
    <row r="464" spans="1:43" ht="17.399999999999999">
      <c r="A464" s="22"/>
      <c r="B464" s="22"/>
      <c r="C464" s="56"/>
      <c r="D464" s="56"/>
      <c r="E464" s="22"/>
      <c r="F464" s="22"/>
      <c r="G464" s="22"/>
      <c r="H464" s="22"/>
      <c r="I464" s="49"/>
      <c r="J464" s="50"/>
      <c r="K464" s="22"/>
      <c r="L464" s="22"/>
      <c r="M464" s="22"/>
      <c r="N464" s="22"/>
      <c r="O464" s="22"/>
      <c r="P464" s="46"/>
      <c r="Q464" s="40"/>
      <c r="R464" s="41"/>
      <c r="S464" s="22" t="str">
        <f t="shared" si="43"/>
        <v/>
      </c>
      <c r="T464" s="41"/>
      <c r="U464" s="41" t="str">
        <f t="shared" si="47"/>
        <v/>
      </c>
      <c r="V464" s="44"/>
      <c r="W464" s="44"/>
      <c r="X464" s="46"/>
      <c r="Y464" s="46"/>
      <c r="Z464" s="46"/>
      <c r="AA464" s="41"/>
      <c r="AB464" s="22"/>
      <c r="AC464" s="22"/>
      <c r="AD464" s="41"/>
      <c r="AE464" s="22"/>
      <c r="AF464" s="22"/>
      <c r="AG464" s="48" t="str">
        <f t="shared" si="44"/>
        <v/>
      </c>
      <c r="AH464" s="48" t="str">
        <f t="shared" si="45"/>
        <v/>
      </c>
      <c r="AI464" s="48" t="str">
        <f t="shared" si="46"/>
        <v/>
      </c>
      <c r="AJ464" s="40" t="str">
        <f t="shared" si="42"/>
        <v/>
      </c>
      <c r="AK464" s="40"/>
      <c r="AL464" s="40"/>
      <c r="AM464" s="22"/>
      <c r="AQ464" s="46"/>
    </row>
    <row r="465" spans="1:43" ht="17.399999999999999">
      <c r="A465" s="22"/>
      <c r="B465" s="22"/>
      <c r="C465" s="56"/>
      <c r="D465" s="56"/>
      <c r="E465" s="22"/>
      <c r="F465" s="22"/>
      <c r="G465" s="22"/>
      <c r="H465" s="22"/>
      <c r="I465" s="49"/>
      <c r="J465" s="50"/>
      <c r="K465" s="22"/>
      <c r="L465" s="22"/>
      <c r="M465" s="22"/>
      <c r="N465" s="22"/>
      <c r="O465" s="22"/>
      <c r="P465" s="46"/>
      <c r="Q465" s="40"/>
      <c r="R465" s="41"/>
      <c r="S465" s="22" t="str">
        <f t="shared" si="43"/>
        <v/>
      </c>
      <c r="T465" s="41"/>
      <c r="U465" s="41" t="str">
        <f t="shared" si="47"/>
        <v/>
      </c>
      <c r="V465" s="44"/>
      <c r="W465" s="44"/>
      <c r="X465" s="46"/>
      <c r="Y465" s="46"/>
      <c r="Z465" s="46"/>
      <c r="AA465" s="41"/>
      <c r="AB465" s="22"/>
      <c r="AC465" s="22"/>
      <c r="AD465" s="41"/>
      <c r="AE465" s="22"/>
      <c r="AF465" s="22"/>
      <c r="AG465" s="48" t="str">
        <f t="shared" si="44"/>
        <v/>
      </c>
      <c r="AH465" s="48" t="str">
        <f t="shared" si="45"/>
        <v/>
      </c>
      <c r="AI465" s="48" t="str">
        <f t="shared" si="46"/>
        <v/>
      </c>
      <c r="AJ465" s="40" t="str">
        <f t="shared" si="42"/>
        <v/>
      </c>
      <c r="AK465" s="40"/>
      <c r="AL465" s="40"/>
      <c r="AM465" s="22"/>
      <c r="AQ465" s="46"/>
    </row>
    <row r="466" spans="1:43" ht="17.399999999999999">
      <c r="A466" s="22"/>
      <c r="B466" s="22"/>
      <c r="C466" s="56"/>
      <c r="D466" s="56"/>
      <c r="E466" s="22"/>
      <c r="F466" s="22"/>
      <c r="G466" s="22"/>
      <c r="H466" s="22"/>
      <c r="I466" s="49"/>
      <c r="J466" s="50"/>
      <c r="K466" s="22"/>
      <c r="L466" s="22"/>
      <c r="M466" s="22"/>
      <c r="N466" s="22"/>
      <c r="O466" s="22"/>
      <c r="P466" s="46"/>
      <c r="Q466" s="40"/>
      <c r="R466" s="41"/>
      <c r="S466" s="22" t="str">
        <f t="shared" si="43"/>
        <v/>
      </c>
      <c r="T466" s="41"/>
      <c r="U466" s="41" t="str">
        <f t="shared" si="47"/>
        <v/>
      </c>
      <c r="V466" s="44"/>
      <c r="W466" s="44"/>
      <c r="X466" s="46"/>
      <c r="Y466" s="46"/>
      <c r="Z466" s="46"/>
      <c r="AA466" s="41"/>
      <c r="AB466" s="22"/>
      <c r="AC466" s="22"/>
      <c r="AD466" s="41"/>
      <c r="AE466" s="22"/>
      <c r="AF466" s="22"/>
      <c r="AG466" s="48" t="str">
        <f t="shared" si="44"/>
        <v/>
      </c>
      <c r="AH466" s="48" t="str">
        <f t="shared" si="45"/>
        <v/>
      </c>
      <c r="AI466" s="48" t="str">
        <f t="shared" si="46"/>
        <v/>
      </c>
      <c r="AJ466" s="40" t="str">
        <f t="shared" si="42"/>
        <v/>
      </c>
      <c r="AK466" s="40"/>
      <c r="AL466" s="40"/>
      <c r="AM466" s="22"/>
      <c r="AQ466" s="46"/>
    </row>
    <row r="467" spans="1:43" ht="17.399999999999999">
      <c r="A467" s="22"/>
      <c r="B467" s="22"/>
      <c r="C467" s="56"/>
      <c r="D467" s="56"/>
      <c r="E467" s="22"/>
      <c r="F467" s="22"/>
      <c r="G467" s="22"/>
      <c r="H467" s="22"/>
      <c r="I467" s="49"/>
      <c r="J467" s="50"/>
      <c r="K467" s="22"/>
      <c r="L467" s="22"/>
      <c r="M467" s="22"/>
      <c r="N467" s="22"/>
      <c r="O467" s="22"/>
      <c r="P467" s="46"/>
      <c r="Q467" s="40"/>
      <c r="R467" s="41"/>
      <c r="S467" s="22" t="str">
        <f t="shared" si="43"/>
        <v/>
      </c>
      <c r="T467" s="41"/>
      <c r="U467" s="41" t="str">
        <f t="shared" si="47"/>
        <v/>
      </c>
      <c r="V467" s="44"/>
      <c r="W467" s="44"/>
      <c r="X467" s="46"/>
      <c r="Y467" s="46"/>
      <c r="Z467" s="46"/>
      <c r="AA467" s="41"/>
      <c r="AB467" s="22"/>
      <c r="AC467" s="22"/>
      <c r="AD467" s="41"/>
      <c r="AE467" s="22"/>
      <c r="AF467" s="22"/>
      <c r="AG467" s="48" t="str">
        <f t="shared" si="44"/>
        <v/>
      </c>
      <c r="AH467" s="48" t="str">
        <f t="shared" si="45"/>
        <v/>
      </c>
      <c r="AI467" s="48" t="str">
        <f t="shared" si="46"/>
        <v/>
      </c>
      <c r="AJ467" s="40" t="str">
        <f t="shared" si="42"/>
        <v/>
      </c>
      <c r="AK467" s="40"/>
      <c r="AL467" s="40"/>
      <c r="AM467" s="22"/>
      <c r="AQ467" s="46"/>
    </row>
    <row r="468" spans="1:43" ht="17.399999999999999">
      <c r="A468" s="22"/>
      <c r="B468" s="22"/>
      <c r="C468" s="56"/>
      <c r="D468" s="56"/>
      <c r="E468" s="22"/>
      <c r="F468" s="22"/>
      <c r="G468" s="22"/>
      <c r="H468" s="22"/>
      <c r="I468" s="49"/>
      <c r="J468" s="50"/>
      <c r="K468" s="22"/>
      <c r="L468" s="22"/>
      <c r="M468" s="22"/>
      <c r="N468" s="22"/>
      <c r="O468" s="22"/>
      <c r="P468" s="46"/>
      <c r="Q468" s="40"/>
      <c r="R468" s="41"/>
      <c r="S468" s="22" t="str">
        <f t="shared" si="43"/>
        <v/>
      </c>
      <c r="T468" s="41"/>
      <c r="U468" s="41" t="str">
        <f t="shared" si="47"/>
        <v/>
      </c>
      <c r="V468" s="44"/>
      <c r="W468" s="44"/>
      <c r="X468" s="46"/>
      <c r="Y468" s="46"/>
      <c r="Z468" s="46"/>
      <c r="AA468" s="41"/>
      <c r="AB468" s="22"/>
      <c r="AC468" s="22"/>
      <c r="AD468" s="41"/>
      <c r="AE468" s="22"/>
      <c r="AF468" s="22"/>
      <c r="AG468" s="48" t="str">
        <f t="shared" si="44"/>
        <v/>
      </c>
      <c r="AH468" s="48" t="str">
        <f t="shared" si="45"/>
        <v/>
      </c>
      <c r="AI468" s="48" t="str">
        <f t="shared" si="46"/>
        <v/>
      </c>
      <c r="AJ468" s="40" t="str">
        <f t="shared" si="42"/>
        <v/>
      </c>
      <c r="AK468" s="40"/>
      <c r="AL468" s="40"/>
      <c r="AM468" s="22"/>
      <c r="AQ468" s="46"/>
    </row>
    <row r="469" spans="1:43" ht="17.399999999999999">
      <c r="A469" s="22"/>
      <c r="B469" s="22"/>
      <c r="C469" s="56"/>
      <c r="D469" s="56"/>
      <c r="E469" s="22"/>
      <c r="F469" s="22"/>
      <c r="G469" s="22"/>
      <c r="H469" s="22"/>
      <c r="I469" s="49"/>
      <c r="J469" s="50"/>
      <c r="K469" s="22"/>
      <c r="L469" s="22"/>
      <c r="M469" s="22"/>
      <c r="N469" s="22"/>
      <c r="O469" s="22"/>
      <c r="P469" s="46"/>
      <c r="Q469" s="40"/>
      <c r="R469" s="41"/>
      <c r="S469" s="22" t="str">
        <f t="shared" si="43"/>
        <v/>
      </c>
      <c r="T469" s="41"/>
      <c r="U469" s="41" t="str">
        <f t="shared" si="47"/>
        <v/>
      </c>
      <c r="V469" s="44"/>
      <c r="W469" s="44"/>
      <c r="X469" s="46"/>
      <c r="Y469" s="46"/>
      <c r="Z469" s="46"/>
      <c r="AA469" s="41"/>
      <c r="AB469" s="22"/>
      <c r="AC469" s="22"/>
      <c r="AD469" s="41"/>
      <c r="AE469" s="22"/>
      <c r="AF469" s="22"/>
      <c r="AG469" s="48" t="str">
        <f t="shared" si="44"/>
        <v/>
      </c>
      <c r="AH469" s="48" t="str">
        <f t="shared" si="45"/>
        <v/>
      </c>
      <c r="AI469" s="48" t="str">
        <f t="shared" si="46"/>
        <v/>
      </c>
      <c r="AJ469" s="40" t="str">
        <f t="shared" si="42"/>
        <v/>
      </c>
      <c r="AK469" s="40"/>
      <c r="AL469" s="40"/>
      <c r="AM469" s="22"/>
      <c r="AQ469" s="46"/>
    </row>
    <row r="470" spans="1:43" ht="17.399999999999999">
      <c r="A470" s="22"/>
      <c r="B470" s="22"/>
      <c r="C470" s="56"/>
      <c r="D470" s="56"/>
      <c r="E470" s="22"/>
      <c r="F470" s="22"/>
      <c r="G470" s="22"/>
      <c r="H470" s="22"/>
      <c r="I470" s="49"/>
      <c r="J470" s="50"/>
      <c r="K470" s="22"/>
      <c r="L470" s="22"/>
      <c r="M470" s="22"/>
      <c r="N470" s="22"/>
      <c r="O470" s="22"/>
      <c r="P470" s="46"/>
      <c r="Q470" s="40"/>
      <c r="R470" s="41"/>
      <c r="S470" s="22" t="str">
        <f t="shared" si="43"/>
        <v/>
      </c>
      <c r="T470" s="41"/>
      <c r="U470" s="41" t="str">
        <f t="shared" si="47"/>
        <v/>
      </c>
      <c r="V470" s="44"/>
      <c r="W470" s="44"/>
      <c r="X470" s="46"/>
      <c r="Y470" s="46"/>
      <c r="Z470" s="46"/>
      <c r="AA470" s="41"/>
      <c r="AB470" s="22"/>
      <c r="AC470" s="22"/>
      <c r="AD470" s="41"/>
      <c r="AE470" s="22"/>
      <c r="AF470" s="22"/>
      <c r="AG470" s="48" t="str">
        <f t="shared" si="44"/>
        <v/>
      </c>
      <c r="AH470" s="48" t="str">
        <f t="shared" si="45"/>
        <v/>
      </c>
      <c r="AI470" s="48" t="str">
        <f t="shared" si="46"/>
        <v/>
      </c>
      <c r="AJ470" s="40" t="str">
        <f t="shared" si="42"/>
        <v/>
      </c>
      <c r="AK470" s="40"/>
      <c r="AL470" s="40"/>
      <c r="AM470" s="22"/>
      <c r="AQ470" s="46"/>
    </row>
    <row r="471" spans="1:43" ht="17.399999999999999">
      <c r="A471" s="22"/>
      <c r="B471" s="22"/>
      <c r="C471" s="56"/>
      <c r="D471" s="56"/>
      <c r="E471" s="22"/>
      <c r="F471" s="22"/>
      <c r="G471" s="22"/>
      <c r="H471" s="22"/>
      <c r="I471" s="49"/>
      <c r="J471" s="50"/>
      <c r="K471" s="22"/>
      <c r="L471" s="22"/>
      <c r="M471" s="22"/>
      <c r="N471" s="22"/>
      <c r="O471" s="22"/>
      <c r="P471" s="46"/>
      <c r="Q471" s="40"/>
      <c r="R471" s="41"/>
      <c r="S471" s="22" t="str">
        <f t="shared" si="43"/>
        <v/>
      </c>
      <c r="T471" s="41"/>
      <c r="U471" s="41" t="str">
        <f t="shared" si="47"/>
        <v/>
      </c>
      <c r="V471" s="44"/>
      <c r="W471" s="44"/>
      <c r="X471" s="46"/>
      <c r="Y471" s="46"/>
      <c r="Z471" s="46"/>
      <c r="AA471" s="41"/>
      <c r="AB471" s="22"/>
      <c r="AC471" s="22"/>
      <c r="AD471" s="41"/>
      <c r="AE471" s="22"/>
      <c r="AF471" s="22"/>
      <c r="AG471" s="48" t="str">
        <f t="shared" si="44"/>
        <v/>
      </c>
      <c r="AH471" s="48" t="str">
        <f t="shared" si="45"/>
        <v/>
      </c>
      <c r="AI471" s="48" t="str">
        <f t="shared" si="46"/>
        <v/>
      </c>
      <c r="AJ471" s="40" t="str">
        <f t="shared" si="42"/>
        <v/>
      </c>
      <c r="AK471" s="40"/>
      <c r="AL471" s="40"/>
      <c r="AM471" s="22"/>
      <c r="AQ471" s="46"/>
    </row>
    <row r="472" spans="1:43" ht="17.399999999999999">
      <c r="A472" s="22"/>
      <c r="B472" s="22"/>
      <c r="C472" s="56"/>
      <c r="D472" s="56"/>
      <c r="E472" s="22"/>
      <c r="F472" s="22"/>
      <c r="G472" s="22"/>
      <c r="H472" s="22"/>
      <c r="I472" s="49"/>
      <c r="J472" s="50"/>
      <c r="K472" s="22"/>
      <c r="L472" s="22"/>
      <c r="M472" s="22"/>
      <c r="N472" s="22"/>
      <c r="O472" s="22"/>
      <c r="P472" s="46"/>
      <c r="Q472" s="40"/>
      <c r="R472" s="41"/>
      <c r="S472" s="22" t="str">
        <f t="shared" si="43"/>
        <v/>
      </c>
      <c r="T472" s="41"/>
      <c r="U472" s="41" t="str">
        <f t="shared" si="47"/>
        <v/>
      </c>
      <c r="V472" s="44"/>
      <c r="W472" s="44"/>
      <c r="X472" s="46"/>
      <c r="Y472" s="46"/>
      <c r="Z472" s="46"/>
      <c r="AA472" s="41"/>
      <c r="AB472" s="22"/>
      <c r="AC472" s="22"/>
      <c r="AD472" s="41"/>
      <c r="AE472" s="22"/>
      <c r="AF472" s="22"/>
      <c r="AG472" s="48" t="str">
        <f t="shared" si="44"/>
        <v/>
      </c>
      <c r="AH472" s="48" t="str">
        <f t="shared" si="45"/>
        <v/>
      </c>
      <c r="AI472" s="48" t="str">
        <f t="shared" si="46"/>
        <v/>
      </c>
      <c r="AJ472" s="40" t="str">
        <f t="shared" si="42"/>
        <v/>
      </c>
      <c r="AK472" s="40"/>
      <c r="AL472" s="40"/>
      <c r="AM472" s="22"/>
      <c r="AQ472" s="46"/>
    </row>
    <row r="473" spans="1:43" ht="17.399999999999999">
      <c r="A473" s="22"/>
      <c r="B473" s="22"/>
      <c r="C473" s="56"/>
      <c r="D473" s="56"/>
      <c r="E473" s="22"/>
      <c r="F473" s="22"/>
      <c r="G473" s="22"/>
      <c r="H473" s="22"/>
      <c r="I473" s="49"/>
      <c r="J473" s="50"/>
      <c r="K473" s="22"/>
      <c r="L473" s="22"/>
      <c r="M473" s="22"/>
      <c r="N473" s="22"/>
      <c r="O473" s="22"/>
      <c r="P473" s="46"/>
      <c r="Q473" s="40"/>
      <c r="R473" s="41"/>
      <c r="S473" s="22" t="str">
        <f t="shared" si="43"/>
        <v/>
      </c>
      <c r="T473" s="41"/>
      <c r="U473" s="41" t="str">
        <f t="shared" si="47"/>
        <v/>
      </c>
      <c r="V473" s="44"/>
      <c r="W473" s="44"/>
      <c r="X473" s="46"/>
      <c r="Y473" s="46"/>
      <c r="Z473" s="46"/>
      <c r="AA473" s="41"/>
      <c r="AB473" s="22"/>
      <c r="AC473" s="22"/>
      <c r="AD473" s="41"/>
      <c r="AE473" s="22"/>
      <c r="AF473" s="22"/>
      <c r="AG473" s="48" t="str">
        <f t="shared" si="44"/>
        <v/>
      </c>
      <c r="AH473" s="48" t="str">
        <f t="shared" si="45"/>
        <v/>
      </c>
      <c r="AI473" s="48" t="str">
        <f t="shared" si="46"/>
        <v/>
      </c>
      <c r="AJ473" s="40" t="str">
        <f t="shared" si="42"/>
        <v/>
      </c>
      <c r="AK473" s="40"/>
      <c r="AL473" s="40"/>
      <c r="AM473" s="22"/>
      <c r="AQ473" s="46"/>
    </row>
    <row r="474" spans="1:43" ht="17.399999999999999">
      <c r="A474" s="22"/>
      <c r="B474" s="22"/>
      <c r="C474" s="56"/>
      <c r="D474" s="56"/>
      <c r="E474" s="22"/>
      <c r="F474" s="22"/>
      <c r="G474" s="22"/>
      <c r="H474" s="22"/>
      <c r="I474" s="49"/>
      <c r="J474" s="50"/>
      <c r="K474" s="22"/>
      <c r="L474" s="22"/>
      <c r="M474" s="22"/>
      <c r="N474" s="22"/>
      <c r="O474" s="22"/>
      <c r="P474" s="46"/>
      <c r="Q474" s="40"/>
      <c r="R474" s="41"/>
      <c r="S474" s="22" t="str">
        <f t="shared" si="43"/>
        <v/>
      </c>
      <c r="T474" s="41"/>
      <c r="U474" s="41" t="str">
        <f t="shared" si="47"/>
        <v/>
      </c>
      <c r="V474" s="44"/>
      <c r="W474" s="44"/>
      <c r="X474" s="46"/>
      <c r="Y474" s="46"/>
      <c r="Z474" s="46"/>
      <c r="AA474" s="41"/>
      <c r="AB474" s="22"/>
      <c r="AC474" s="22"/>
      <c r="AD474" s="41"/>
      <c r="AE474" s="22"/>
      <c r="AF474" s="22"/>
      <c r="AG474" s="48" t="str">
        <f t="shared" si="44"/>
        <v/>
      </c>
      <c r="AH474" s="48" t="str">
        <f t="shared" si="45"/>
        <v/>
      </c>
      <c r="AI474" s="48" t="str">
        <f t="shared" si="46"/>
        <v/>
      </c>
      <c r="AJ474" s="40" t="str">
        <f t="shared" si="42"/>
        <v/>
      </c>
      <c r="AK474" s="40"/>
      <c r="AL474" s="40"/>
      <c r="AM474" s="22"/>
      <c r="AQ474" s="46"/>
    </row>
    <row r="475" spans="1:43" ht="17.399999999999999">
      <c r="A475" s="22"/>
      <c r="B475" s="22"/>
      <c r="C475" s="56"/>
      <c r="D475" s="56"/>
      <c r="E475" s="22"/>
      <c r="F475" s="22"/>
      <c r="G475" s="22"/>
      <c r="H475" s="22"/>
      <c r="I475" s="49"/>
      <c r="J475" s="50"/>
      <c r="K475" s="22"/>
      <c r="L475" s="22"/>
      <c r="M475" s="22"/>
      <c r="N475" s="22"/>
      <c r="O475" s="22"/>
      <c r="P475" s="46"/>
      <c r="Q475" s="40"/>
      <c r="R475" s="41"/>
      <c r="S475" s="22" t="str">
        <f t="shared" si="43"/>
        <v/>
      </c>
      <c r="T475" s="41"/>
      <c r="U475" s="41" t="str">
        <f t="shared" si="47"/>
        <v/>
      </c>
      <c r="V475" s="44"/>
      <c r="W475" s="44"/>
      <c r="X475" s="46"/>
      <c r="Y475" s="46"/>
      <c r="Z475" s="46"/>
      <c r="AA475" s="41"/>
      <c r="AB475" s="22"/>
      <c r="AC475" s="22"/>
      <c r="AD475" s="41"/>
      <c r="AE475" s="22"/>
      <c r="AF475" s="22"/>
      <c r="AG475" s="48" t="str">
        <f t="shared" si="44"/>
        <v/>
      </c>
      <c r="AH475" s="48" t="str">
        <f t="shared" si="45"/>
        <v/>
      </c>
      <c r="AI475" s="48" t="str">
        <f t="shared" si="46"/>
        <v/>
      </c>
      <c r="AJ475" s="40" t="str">
        <f t="shared" si="42"/>
        <v/>
      </c>
      <c r="AK475" s="40"/>
      <c r="AL475" s="40"/>
      <c r="AM475" s="22"/>
      <c r="AQ475" s="46"/>
    </row>
    <row r="476" spans="1:43" ht="17.399999999999999">
      <c r="A476" s="22"/>
      <c r="B476" s="22"/>
      <c r="C476" s="56"/>
      <c r="D476" s="56"/>
      <c r="E476" s="22"/>
      <c r="F476" s="22"/>
      <c r="G476" s="22"/>
      <c r="H476" s="22"/>
      <c r="I476" s="49"/>
      <c r="J476" s="50"/>
      <c r="K476" s="22"/>
      <c r="L476" s="22"/>
      <c r="M476" s="22"/>
      <c r="N476" s="22"/>
      <c r="O476" s="22"/>
      <c r="P476" s="46"/>
      <c r="Q476" s="40"/>
      <c r="R476" s="41"/>
      <c r="S476" s="22" t="str">
        <f t="shared" si="43"/>
        <v/>
      </c>
      <c r="T476" s="41"/>
      <c r="U476" s="41" t="str">
        <f t="shared" si="47"/>
        <v/>
      </c>
      <c r="V476" s="44"/>
      <c r="W476" s="44"/>
      <c r="X476" s="46"/>
      <c r="Y476" s="46"/>
      <c r="Z476" s="46"/>
      <c r="AA476" s="41"/>
      <c r="AB476" s="22"/>
      <c r="AC476" s="22"/>
      <c r="AD476" s="41"/>
      <c r="AE476" s="22"/>
      <c r="AF476" s="22"/>
      <c r="AG476" s="48" t="str">
        <f t="shared" si="44"/>
        <v/>
      </c>
      <c r="AH476" s="48" t="str">
        <f t="shared" si="45"/>
        <v/>
      </c>
      <c r="AI476" s="48" t="str">
        <f t="shared" si="46"/>
        <v/>
      </c>
      <c r="AJ476" s="40" t="str">
        <f t="shared" si="42"/>
        <v/>
      </c>
      <c r="AK476" s="40"/>
      <c r="AL476" s="40"/>
      <c r="AM476" s="22"/>
      <c r="AQ476" s="46"/>
    </row>
    <row r="477" spans="1:43" ht="17.399999999999999">
      <c r="A477" s="22"/>
      <c r="B477" s="22"/>
      <c r="C477" s="56"/>
      <c r="D477" s="56"/>
      <c r="E477" s="22"/>
      <c r="F477" s="22"/>
      <c r="G477" s="22"/>
      <c r="H477" s="22"/>
      <c r="I477" s="49"/>
      <c r="J477" s="50"/>
      <c r="K477" s="22"/>
      <c r="L477" s="22"/>
      <c r="M477" s="22"/>
      <c r="N477" s="22"/>
      <c r="O477" s="22"/>
      <c r="P477" s="46"/>
      <c r="Q477" s="40"/>
      <c r="R477" s="41"/>
      <c r="S477" s="22" t="str">
        <f t="shared" si="43"/>
        <v/>
      </c>
      <c r="T477" s="41"/>
      <c r="U477" s="41" t="str">
        <f t="shared" si="47"/>
        <v/>
      </c>
      <c r="V477" s="44"/>
      <c r="W477" s="44"/>
      <c r="X477" s="46"/>
      <c r="Y477" s="46"/>
      <c r="Z477" s="46"/>
      <c r="AA477" s="41"/>
      <c r="AB477" s="22"/>
      <c r="AC477" s="22"/>
      <c r="AD477" s="41"/>
      <c r="AE477" s="22"/>
      <c r="AF477" s="22"/>
      <c r="AG477" s="48" t="str">
        <f t="shared" si="44"/>
        <v/>
      </c>
      <c r="AH477" s="48" t="str">
        <f t="shared" si="45"/>
        <v/>
      </c>
      <c r="AI477" s="48" t="str">
        <f t="shared" si="46"/>
        <v/>
      </c>
      <c r="AJ477" s="40" t="str">
        <f t="shared" si="42"/>
        <v/>
      </c>
      <c r="AK477" s="40"/>
      <c r="AL477" s="40"/>
      <c r="AM477" s="22"/>
      <c r="AQ477" s="46"/>
    </row>
    <row r="478" spans="1:43" ht="17.399999999999999">
      <c r="A478" s="22"/>
      <c r="B478" s="22"/>
      <c r="C478" s="56"/>
      <c r="D478" s="56"/>
      <c r="E478" s="22"/>
      <c r="F478" s="22"/>
      <c r="G478" s="22"/>
      <c r="H478" s="22"/>
      <c r="I478" s="49"/>
      <c r="J478" s="50"/>
      <c r="K478" s="22"/>
      <c r="L478" s="22"/>
      <c r="M478" s="22"/>
      <c r="N478" s="22"/>
      <c r="O478" s="22"/>
      <c r="P478" s="46"/>
      <c r="Q478" s="40"/>
      <c r="R478" s="41"/>
      <c r="S478" s="22" t="str">
        <f t="shared" si="43"/>
        <v/>
      </c>
      <c r="T478" s="41"/>
      <c r="U478" s="41" t="str">
        <f t="shared" si="47"/>
        <v/>
      </c>
      <c r="V478" s="44"/>
      <c r="W478" s="44"/>
      <c r="X478" s="46"/>
      <c r="Y478" s="46"/>
      <c r="Z478" s="46"/>
      <c r="AA478" s="41"/>
      <c r="AB478" s="22"/>
      <c r="AC478" s="22"/>
      <c r="AD478" s="41"/>
      <c r="AE478" s="22"/>
      <c r="AF478" s="22"/>
      <c r="AG478" s="48" t="str">
        <f t="shared" si="44"/>
        <v/>
      </c>
      <c r="AH478" s="48" t="str">
        <f t="shared" si="45"/>
        <v/>
      </c>
      <c r="AI478" s="48" t="str">
        <f t="shared" si="46"/>
        <v/>
      </c>
      <c r="AJ478" s="40" t="str">
        <f t="shared" si="42"/>
        <v/>
      </c>
      <c r="AK478" s="40"/>
      <c r="AL478" s="40"/>
      <c r="AM478" s="22"/>
      <c r="AQ478" s="46"/>
    </row>
    <row r="479" spans="1:43" ht="17.399999999999999">
      <c r="A479" s="22"/>
      <c r="B479" s="22"/>
      <c r="C479" s="56"/>
      <c r="D479" s="56"/>
      <c r="E479" s="22"/>
      <c r="F479" s="22"/>
      <c r="G479" s="22"/>
      <c r="H479" s="22"/>
      <c r="I479" s="49"/>
      <c r="J479" s="50"/>
      <c r="K479" s="22"/>
      <c r="L479" s="22"/>
      <c r="M479" s="22"/>
      <c r="N479" s="22"/>
      <c r="O479" s="22"/>
      <c r="P479" s="46"/>
      <c r="Q479" s="40"/>
      <c r="R479" s="41"/>
      <c r="S479" s="22" t="str">
        <f t="shared" si="43"/>
        <v/>
      </c>
      <c r="T479" s="41"/>
      <c r="U479" s="41" t="str">
        <f t="shared" si="47"/>
        <v/>
      </c>
      <c r="V479" s="44"/>
      <c r="W479" s="44"/>
      <c r="X479" s="46"/>
      <c r="Y479" s="46"/>
      <c r="Z479" s="46"/>
      <c r="AA479" s="41"/>
      <c r="AB479" s="22"/>
      <c r="AC479" s="22"/>
      <c r="AD479" s="41"/>
      <c r="AE479" s="22"/>
      <c r="AF479" s="22"/>
      <c r="AG479" s="48" t="str">
        <f t="shared" si="44"/>
        <v/>
      </c>
      <c r="AH479" s="48" t="str">
        <f t="shared" si="45"/>
        <v/>
      </c>
      <c r="AI479" s="48" t="str">
        <f t="shared" si="46"/>
        <v/>
      </c>
      <c r="AJ479" s="40" t="str">
        <f t="shared" si="42"/>
        <v/>
      </c>
      <c r="AK479" s="40"/>
      <c r="AL479" s="40"/>
      <c r="AM479" s="22"/>
      <c r="AQ479" s="46"/>
    </row>
    <row r="480" spans="1:43" ht="17.399999999999999">
      <c r="A480" s="22"/>
      <c r="B480" s="22"/>
      <c r="C480" s="56"/>
      <c r="D480" s="56"/>
      <c r="E480" s="22"/>
      <c r="F480" s="22"/>
      <c r="G480" s="22"/>
      <c r="H480" s="22"/>
      <c r="I480" s="49"/>
      <c r="J480" s="50"/>
      <c r="K480" s="22"/>
      <c r="L480" s="22"/>
      <c r="M480" s="22"/>
      <c r="N480" s="22"/>
      <c r="O480" s="22"/>
      <c r="P480" s="46"/>
      <c r="Q480" s="40"/>
      <c r="R480" s="41"/>
      <c r="S480" s="22" t="str">
        <f t="shared" si="43"/>
        <v/>
      </c>
      <c r="T480" s="41"/>
      <c r="U480" s="41" t="str">
        <f t="shared" si="47"/>
        <v/>
      </c>
      <c r="V480" s="44"/>
      <c r="W480" s="44"/>
      <c r="X480" s="46"/>
      <c r="Y480" s="46"/>
      <c r="Z480" s="46"/>
      <c r="AA480" s="41"/>
      <c r="AB480" s="22"/>
      <c r="AC480" s="22"/>
      <c r="AD480" s="41"/>
      <c r="AE480" s="22"/>
      <c r="AF480" s="22"/>
      <c r="AG480" s="48" t="str">
        <f t="shared" si="44"/>
        <v/>
      </c>
      <c r="AH480" s="48" t="str">
        <f t="shared" si="45"/>
        <v/>
      </c>
      <c r="AI480" s="48" t="str">
        <f t="shared" si="46"/>
        <v/>
      </c>
      <c r="AJ480" s="40" t="str">
        <f t="shared" si="42"/>
        <v/>
      </c>
      <c r="AK480" s="40"/>
      <c r="AL480" s="40"/>
      <c r="AM480" s="22"/>
      <c r="AQ480" s="46"/>
    </row>
    <row r="481" spans="1:43" ht="17.399999999999999">
      <c r="A481" s="22"/>
      <c r="B481" s="22"/>
      <c r="C481" s="56"/>
      <c r="D481" s="56"/>
      <c r="E481" s="22"/>
      <c r="F481" s="22"/>
      <c r="G481" s="22"/>
      <c r="H481" s="22"/>
      <c r="I481" s="49"/>
      <c r="J481" s="50"/>
      <c r="K481" s="22"/>
      <c r="L481" s="22"/>
      <c r="M481" s="22"/>
      <c r="N481" s="22"/>
      <c r="O481" s="22"/>
      <c r="P481" s="46"/>
      <c r="Q481" s="40"/>
      <c r="R481" s="41"/>
      <c r="S481" s="22" t="str">
        <f t="shared" si="43"/>
        <v/>
      </c>
      <c r="T481" s="41"/>
      <c r="U481" s="41" t="str">
        <f t="shared" si="47"/>
        <v/>
      </c>
      <c r="V481" s="44"/>
      <c r="W481" s="44"/>
      <c r="X481" s="46"/>
      <c r="Y481" s="46"/>
      <c r="Z481" s="46"/>
      <c r="AA481" s="41"/>
      <c r="AB481" s="22"/>
      <c r="AC481" s="22"/>
      <c r="AD481" s="41"/>
      <c r="AE481" s="22"/>
      <c r="AF481" s="22"/>
      <c r="AG481" s="48" t="str">
        <f t="shared" si="44"/>
        <v/>
      </c>
      <c r="AH481" s="48" t="str">
        <f t="shared" si="45"/>
        <v/>
      </c>
      <c r="AI481" s="48" t="str">
        <f t="shared" si="46"/>
        <v/>
      </c>
      <c r="AJ481" s="40" t="str">
        <f t="shared" si="42"/>
        <v/>
      </c>
      <c r="AK481" s="40"/>
      <c r="AL481" s="40"/>
      <c r="AM481" s="22"/>
      <c r="AQ481" s="46"/>
    </row>
    <row r="482" spans="1:43" ht="17.399999999999999">
      <c r="A482" s="22"/>
      <c r="B482" s="22"/>
      <c r="C482" s="56"/>
      <c r="D482" s="56"/>
      <c r="E482" s="22"/>
      <c r="F482" s="22"/>
      <c r="G482" s="22"/>
      <c r="H482" s="22"/>
      <c r="I482" s="49"/>
      <c r="J482" s="50"/>
      <c r="K482" s="22"/>
      <c r="L482" s="22"/>
      <c r="M482" s="22"/>
      <c r="N482" s="22"/>
      <c r="O482" s="22"/>
      <c r="P482" s="46"/>
      <c r="Q482" s="40"/>
      <c r="R482" s="41"/>
      <c r="S482" s="22" t="str">
        <f t="shared" si="43"/>
        <v/>
      </c>
      <c r="T482" s="41"/>
      <c r="U482" s="41" t="str">
        <f t="shared" si="47"/>
        <v/>
      </c>
      <c r="V482" s="44"/>
      <c r="W482" s="44"/>
      <c r="X482" s="46"/>
      <c r="Y482" s="46"/>
      <c r="Z482" s="46"/>
      <c r="AA482" s="41"/>
      <c r="AB482" s="22"/>
      <c r="AC482" s="22"/>
      <c r="AD482" s="41"/>
      <c r="AE482" s="22"/>
      <c r="AF482" s="22"/>
      <c r="AG482" s="48" t="str">
        <f t="shared" si="44"/>
        <v/>
      </c>
      <c r="AH482" s="48" t="str">
        <f t="shared" si="45"/>
        <v/>
      </c>
      <c r="AI482" s="48" t="str">
        <f t="shared" si="46"/>
        <v/>
      </c>
      <c r="AJ482" s="40" t="str">
        <f t="shared" si="42"/>
        <v/>
      </c>
      <c r="AK482" s="40"/>
      <c r="AL482" s="40"/>
      <c r="AM482" s="22"/>
      <c r="AQ482" s="46"/>
    </row>
    <row r="483" spans="1:43" ht="17.399999999999999">
      <c r="A483" s="22"/>
      <c r="B483" s="22"/>
      <c r="C483" s="56"/>
      <c r="D483" s="56"/>
      <c r="E483" s="22"/>
      <c r="F483" s="22"/>
      <c r="G483" s="22"/>
      <c r="H483" s="22"/>
      <c r="I483" s="49"/>
      <c r="J483" s="50"/>
      <c r="K483" s="22"/>
      <c r="L483" s="22"/>
      <c r="M483" s="22"/>
      <c r="N483" s="22"/>
      <c r="O483" s="22"/>
      <c r="P483" s="46"/>
      <c r="Q483" s="40"/>
      <c r="R483" s="41"/>
      <c r="S483" s="22" t="str">
        <f t="shared" si="43"/>
        <v/>
      </c>
      <c r="T483" s="41"/>
      <c r="U483" s="41" t="str">
        <f t="shared" si="47"/>
        <v/>
      </c>
      <c r="V483" s="44"/>
      <c r="W483" s="44"/>
      <c r="X483" s="46"/>
      <c r="Y483" s="46"/>
      <c r="Z483" s="46"/>
      <c r="AA483" s="41"/>
      <c r="AB483" s="22"/>
      <c r="AC483" s="22"/>
      <c r="AD483" s="41"/>
      <c r="AE483" s="22"/>
      <c r="AF483" s="22"/>
      <c r="AG483" s="48" t="str">
        <f t="shared" si="44"/>
        <v/>
      </c>
      <c r="AH483" s="48" t="str">
        <f t="shared" si="45"/>
        <v/>
      </c>
      <c r="AI483" s="48" t="str">
        <f t="shared" si="46"/>
        <v/>
      </c>
      <c r="AJ483" s="40" t="str">
        <f t="shared" si="42"/>
        <v/>
      </c>
      <c r="AK483" s="40"/>
      <c r="AL483" s="40"/>
      <c r="AM483" s="22"/>
      <c r="AQ483" s="46"/>
    </row>
    <row r="484" spans="1:43" ht="17.399999999999999">
      <c r="A484" s="22"/>
      <c r="B484" s="22"/>
      <c r="C484" s="56"/>
      <c r="D484" s="56"/>
      <c r="E484" s="22"/>
      <c r="F484" s="22"/>
      <c r="G484" s="22"/>
      <c r="H484" s="22"/>
      <c r="I484" s="49"/>
      <c r="J484" s="50"/>
      <c r="K484" s="22"/>
      <c r="L484" s="22"/>
      <c r="M484" s="22"/>
      <c r="N484" s="22"/>
      <c r="O484" s="22"/>
      <c r="P484" s="46"/>
      <c r="Q484" s="40"/>
      <c r="R484" s="41"/>
      <c r="S484" s="22" t="str">
        <f t="shared" si="43"/>
        <v/>
      </c>
      <c r="T484" s="41"/>
      <c r="U484" s="41" t="str">
        <f t="shared" si="47"/>
        <v/>
      </c>
      <c r="V484" s="44"/>
      <c r="W484" s="44"/>
      <c r="X484" s="46"/>
      <c r="Y484" s="46"/>
      <c r="Z484" s="46"/>
      <c r="AA484" s="41"/>
      <c r="AB484" s="22"/>
      <c r="AC484" s="22"/>
      <c r="AD484" s="41"/>
      <c r="AE484" s="22"/>
      <c r="AF484" s="22"/>
      <c r="AG484" s="48" t="str">
        <f t="shared" si="44"/>
        <v/>
      </c>
      <c r="AH484" s="48" t="str">
        <f t="shared" si="45"/>
        <v/>
      </c>
      <c r="AI484" s="48" t="str">
        <f t="shared" si="46"/>
        <v/>
      </c>
      <c r="AJ484" s="40" t="str">
        <f t="shared" si="42"/>
        <v/>
      </c>
      <c r="AK484" s="40"/>
      <c r="AL484" s="40"/>
      <c r="AM484" s="22"/>
      <c r="AQ484" s="46"/>
    </row>
    <row r="485" spans="1:43" ht="17.399999999999999">
      <c r="A485" s="22"/>
      <c r="B485" s="22"/>
      <c r="C485" s="56"/>
      <c r="D485" s="56"/>
      <c r="E485" s="22"/>
      <c r="F485" s="22"/>
      <c r="G485" s="22"/>
      <c r="H485" s="22"/>
      <c r="I485" s="49"/>
      <c r="J485" s="50"/>
      <c r="K485" s="22"/>
      <c r="L485" s="22"/>
      <c r="M485" s="22"/>
      <c r="N485" s="22"/>
      <c r="O485" s="22"/>
      <c r="P485" s="46"/>
      <c r="Q485" s="40"/>
      <c r="R485" s="41"/>
      <c r="S485" s="22" t="str">
        <f t="shared" si="43"/>
        <v/>
      </c>
      <c r="T485" s="41"/>
      <c r="U485" s="41" t="str">
        <f t="shared" si="47"/>
        <v/>
      </c>
      <c r="V485" s="44"/>
      <c r="W485" s="44"/>
      <c r="X485" s="46"/>
      <c r="Y485" s="46"/>
      <c r="Z485" s="46"/>
      <c r="AA485" s="41"/>
      <c r="AB485" s="22"/>
      <c r="AC485" s="22"/>
      <c r="AD485" s="41"/>
      <c r="AE485" s="22"/>
      <c r="AF485" s="22"/>
      <c r="AG485" s="48" t="str">
        <f t="shared" si="44"/>
        <v/>
      </c>
      <c r="AH485" s="48" t="str">
        <f t="shared" si="45"/>
        <v/>
      </c>
      <c r="AI485" s="48" t="str">
        <f t="shared" si="46"/>
        <v/>
      </c>
      <c r="AJ485" s="40" t="str">
        <f t="shared" si="42"/>
        <v/>
      </c>
      <c r="AK485" s="40"/>
      <c r="AL485" s="40"/>
      <c r="AM485" s="22"/>
      <c r="AQ485" s="46"/>
    </row>
    <row r="486" spans="1:43" ht="17.399999999999999">
      <c r="A486" s="22"/>
      <c r="B486" s="22"/>
      <c r="C486" s="56"/>
      <c r="D486" s="56"/>
      <c r="E486" s="22"/>
      <c r="F486" s="22"/>
      <c r="G486" s="22"/>
      <c r="H486" s="22"/>
      <c r="I486" s="49"/>
      <c r="J486" s="50"/>
      <c r="K486" s="22"/>
      <c r="L486" s="22"/>
      <c r="M486" s="22"/>
      <c r="N486" s="22"/>
      <c r="O486" s="22"/>
      <c r="P486" s="46"/>
      <c r="Q486" s="40"/>
      <c r="R486" s="41"/>
      <c r="S486" s="22" t="str">
        <f t="shared" si="43"/>
        <v/>
      </c>
      <c r="T486" s="41"/>
      <c r="U486" s="41" t="str">
        <f t="shared" si="47"/>
        <v/>
      </c>
      <c r="V486" s="44"/>
      <c r="W486" s="44"/>
      <c r="X486" s="46"/>
      <c r="Y486" s="46"/>
      <c r="Z486" s="46"/>
      <c r="AA486" s="41"/>
      <c r="AB486" s="22"/>
      <c r="AC486" s="22"/>
      <c r="AD486" s="41"/>
      <c r="AE486" s="22"/>
      <c r="AF486" s="22"/>
      <c r="AG486" s="48" t="str">
        <f t="shared" si="44"/>
        <v/>
      </c>
      <c r="AH486" s="48" t="str">
        <f t="shared" si="45"/>
        <v/>
      </c>
      <c r="AI486" s="48" t="str">
        <f t="shared" si="46"/>
        <v/>
      </c>
      <c r="AJ486" s="40" t="str">
        <f t="shared" si="42"/>
        <v/>
      </c>
      <c r="AK486" s="40"/>
      <c r="AL486" s="40"/>
      <c r="AM486" s="22"/>
      <c r="AQ486" s="46"/>
    </row>
    <row r="487" spans="1:43" ht="17.399999999999999">
      <c r="A487" s="22"/>
      <c r="B487" s="22"/>
      <c r="C487" s="56"/>
      <c r="D487" s="56"/>
      <c r="E487" s="22"/>
      <c r="F487" s="22"/>
      <c r="G487" s="22"/>
      <c r="H487" s="22"/>
      <c r="I487" s="49"/>
      <c r="J487" s="50"/>
      <c r="K487" s="22"/>
      <c r="L487" s="22"/>
      <c r="M487" s="22"/>
      <c r="N487" s="22"/>
      <c r="O487" s="22"/>
      <c r="P487" s="46"/>
      <c r="Q487" s="40"/>
      <c r="R487" s="41"/>
      <c r="S487" s="22" t="str">
        <f t="shared" si="43"/>
        <v/>
      </c>
      <c r="T487" s="41"/>
      <c r="U487" s="41" t="str">
        <f t="shared" si="47"/>
        <v/>
      </c>
      <c r="V487" s="44"/>
      <c r="W487" s="44"/>
      <c r="X487" s="46"/>
      <c r="Y487" s="46"/>
      <c r="Z487" s="46"/>
      <c r="AA487" s="41"/>
      <c r="AB487" s="22"/>
      <c r="AC487" s="22"/>
      <c r="AD487" s="41"/>
      <c r="AE487" s="22"/>
      <c r="AF487" s="22"/>
      <c r="AG487" s="48" t="str">
        <f t="shared" si="44"/>
        <v/>
      </c>
      <c r="AH487" s="48" t="str">
        <f t="shared" si="45"/>
        <v/>
      </c>
      <c r="AI487" s="48" t="str">
        <f t="shared" si="46"/>
        <v/>
      </c>
      <c r="AJ487" s="40" t="str">
        <f t="shared" si="42"/>
        <v/>
      </c>
      <c r="AK487" s="40"/>
      <c r="AL487" s="40"/>
      <c r="AM487" s="22"/>
      <c r="AQ487" s="46"/>
    </row>
    <row r="488" spans="1:43" ht="17.399999999999999">
      <c r="A488" s="22"/>
      <c r="B488" s="22"/>
      <c r="C488" s="56"/>
      <c r="D488" s="56"/>
      <c r="E488" s="22"/>
      <c r="F488" s="22"/>
      <c r="G488" s="22"/>
      <c r="H488" s="22"/>
      <c r="I488" s="49"/>
      <c r="J488" s="50"/>
      <c r="K488" s="22"/>
      <c r="L488" s="22"/>
      <c r="M488" s="22"/>
      <c r="N488" s="22"/>
      <c r="O488" s="22"/>
      <c r="P488" s="46"/>
      <c r="Q488" s="40"/>
      <c r="R488" s="41"/>
      <c r="S488" s="22" t="str">
        <f t="shared" si="43"/>
        <v/>
      </c>
      <c r="T488" s="41"/>
      <c r="U488" s="41" t="str">
        <f t="shared" si="47"/>
        <v/>
      </c>
      <c r="V488" s="44"/>
      <c r="W488" s="44"/>
      <c r="X488" s="46"/>
      <c r="Y488" s="46"/>
      <c r="Z488" s="46"/>
      <c r="AA488" s="41"/>
      <c r="AB488" s="22"/>
      <c r="AC488" s="22"/>
      <c r="AD488" s="41"/>
      <c r="AE488" s="22"/>
      <c r="AF488" s="22"/>
      <c r="AG488" s="48" t="str">
        <f t="shared" si="44"/>
        <v/>
      </c>
      <c r="AH488" s="48" t="str">
        <f t="shared" si="45"/>
        <v/>
      </c>
      <c r="AI488" s="48" t="str">
        <f t="shared" si="46"/>
        <v/>
      </c>
      <c r="AJ488" s="40" t="str">
        <f t="shared" si="42"/>
        <v/>
      </c>
      <c r="AK488" s="40"/>
      <c r="AL488" s="40"/>
      <c r="AM488" s="22"/>
      <c r="AQ488" s="46"/>
    </row>
    <row r="489" spans="1:43" ht="17.399999999999999">
      <c r="A489" s="22"/>
      <c r="B489" s="22"/>
      <c r="C489" s="56"/>
      <c r="D489" s="56"/>
      <c r="E489" s="22"/>
      <c r="F489" s="22"/>
      <c r="G489" s="22"/>
      <c r="H489" s="22"/>
      <c r="I489" s="49"/>
      <c r="J489" s="50"/>
      <c r="K489" s="22"/>
      <c r="L489" s="22"/>
      <c r="M489" s="22"/>
      <c r="N489" s="22"/>
      <c r="O489" s="22"/>
      <c r="P489" s="46"/>
      <c r="Q489" s="40"/>
      <c r="R489" s="41"/>
      <c r="S489" s="22" t="str">
        <f t="shared" si="43"/>
        <v/>
      </c>
      <c r="T489" s="41"/>
      <c r="U489" s="41" t="str">
        <f t="shared" si="47"/>
        <v/>
      </c>
      <c r="V489" s="44"/>
      <c r="W489" s="44"/>
      <c r="X489" s="46"/>
      <c r="Y489" s="46"/>
      <c r="Z489" s="46"/>
      <c r="AA489" s="41"/>
      <c r="AB489" s="22"/>
      <c r="AC489" s="22"/>
      <c r="AD489" s="41"/>
      <c r="AE489" s="22"/>
      <c r="AF489" s="22"/>
      <c r="AG489" s="48" t="str">
        <f t="shared" si="44"/>
        <v/>
      </c>
      <c r="AH489" s="48" t="str">
        <f t="shared" si="45"/>
        <v/>
      </c>
      <c r="AI489" s="48" t="str">
        <f t="shared" si="46"/>
        <v/>
      </c>
      <c r="AJ489" s="40" t="str">
        <f t="shared" si="42"/>
        <v/>
      </c>
      <c r="AK489" s="40"/>
      <c r="AL489" s="40"/>
      <c r="AM489" s="22"/>
      <c r="AQ489" s="46"/>
    </row>
    <row r="490" spans="1:43" ht="17.399999999999999">
      <c r="A490" s="22"/>
      <c r="B490" s="22"/>
      <c r="C490" s="56"/>
      <c r="D490" s="56"/>
      <c r="E490" s="22"/>
      <c r="F490" s="22"/>
      <c r="G490" s="22"/>
      <c r="H490" s="22"/>
      <c r="I490" s="49"/>
      <c r="J490" s="50"/>
      <c r="K490" s="22"/>
      <c r="L490" s="22"/>
      <c r="M490" s="22"/>
      <c r="N490" s="22"/>
      <c r="O490" s="22"/>
      <c r="P490" s="46"/>
      <c r="Q490" s="40"/>
      <c r="R490" s="41"/>
      <c r="S490" s="22" t="str">
        <f t="shared" si="43"/>
        <v/>
      </c>
      <c r="T490" s="41"/>
      <c r="U490" s="41" t="str">
        <f t="shared" si="47"/>
        <v/>
      </c>
      <c r="V490" s="44"/>
      <c r="W490" s="44"/>
      <c r="X490" s="46"/>
      <c r="Y490" s="46"/>
      <c r="Z490" s="46"/>
      <c r="AA490" s="41"/>
      <c r="AB490" s="22"/>
      <c r="AC490" s="22"/>
      <c r="AD490" s="41"/>
      <c r="AE490" s="22"/>
      <c r="AF490" s="22"/>
      <c r="AG490" s="48" t="str">
        <f t="shared" si="44"/>
        <v/>
      </c>
      <c r="AH490" s="48" t="str">
        <f t="shared" si="45"/>
        <v/>
      </c>
      <c r="AI490" s="48" t="str">
        <f t="shared" si="46"/>
        <v/>
      </c>
      <c r="AJ490" s="40" t="str">
        <f t="shared" si="42"/>
        <v/>
      </c>
      <c r="AK490" s="40"/>
      <c r="AL490" s="40"/>
      <c r="AM490" s="22"/>
      <c r="AQ490" s="46"/>
    </row>
    <row r="491" spans="1:43" ht="17.399999999999999">
      <c r="A491" s="22"/>
      <c r="B491" s="22"/>
      <c r="C491" s="56"/>
      <c r="D491" s="56"/>
      <c r="E491" s="22"/>
      <c r="F491" s="22"/>
      <c r="G491" s="22"/>
      <c r="H491" s="22"/>
      <c r="I491" s="49"/>
      <c r="J491" s="50"/>
      <c r="K491" s="22"/>
      <c r="L491" s="22"/>
      <c r="M491" s="22"/>
      <c r="N491" s="22"/>
      <c r="O491" s="22"/>
      <c r="P491" s="46"/>
      <c r="Q491" s="40"/>
      <c r="R491" s="41"/>
      <c r="S491" s="22" t="str">
        <f t="shared" si="43"/>
        <v/>
      </c>
      <c r="T491" s="41"/>
      <c r="U491" s="41" t="str">
        <f t="shared" si="47"/>
        <v/>
      </c>
      <c r="V491" s="44"/>
      <c r="W491" s="44"/>
      <c r="X491" s="46"/>
      <c r="Y491" s="46"/>
      <c r="Z491" s="46"/>
      <c r="AA491" s="41"/>
      <c r="AB491" s="22"/>
      <c r="AC491" s="22"/>
      <c r="AD491" s="41"/>
      <c r="AE491" s="22"/>
      <c r="AF491" s="22"/>
      <c r="AG491" s="48" t="str">
        <f t="shared" si="44"/>
        <v/>
      </c>
      <c r="AH491" s="48" t="str">
        <f t="shared" si="45"/>
        <v/>
      </c>
      <c r="AI491" s="48" t="str">
        <f t="shared" si="46"/>
        <v/>
      </c>
      <c r="AJ491" s="40" t="str">
        <f t="shared" si="42"/>
        <v/>
      </c>
      <c r="AK491" s="40"/>
      <c r="AL491" s="40"/>
      <c r="AM491" s="22"/>
      <c r="AQ491" s="46"/>
    </row>
    <row r="492" spans="1:43" ht="17.399999999999999">
      <c r="A492" s="22"/>
      <c r="B492" s="22"/>
      <c r="C492" s="56"/>
      <c r="D492" s="56"/>
      <c r="E492" s="22"/>
      <c r="F492" s="22"/>
      <c r="G492" s="22"/>
      <c r="H492" s="22"/>
      <c r="I492" s="49"/>
      <c r="J492" s="50"/>
      <c r="K492" s="22"/>
      <c r="L492" s="22"/>
      <c r="M492" s="22"/>
      <c r="N492" s="22"/>
      <c r="O492" s="22"/>
      <c r="P492" s="46"/>
      <c r="Q492" s="40"/>
      <c r="R492" s="41"/>
      <c r="S492" s="22" t="str">
        <f t="shared" si="43"/>
        <v/>
      </c>
      <c r="T492" s="41"/>
      <c r="U492" s="41" t="str">
        <f t="shared" si="47"/>
        <v/>
      </c>
      <c r="V492" s="44"/>
      <c r="W492" s="44"/>
      <c r="X492" s="46"/>
      <c r="Y492" s="46"/>
      <c r="Z492" s="46"/>
      <c r="AA492" s="41"/>
      <c r="AB492" s="22"/>
      <c r="AC492" s="22"/>
      <c r="AD492" s="41"/>
      <c r="AE492" s="22"/>
      <c r="AF492" s="22"/>
      <c r="AG492" s="48" t="str">
        <f t="shared" si="44"/>
        <v/>
      </c>
      <c r="AH492" s="48" t="str">
        <f t="shared" si="45"/>
        <v/>
      </c>
      <c r="AI492" s="48" t="str">
        <f t="shared" si="46"/>
        <v/>
      </c>
      <c r="AJ492" s="40" t="str">
        <f t="shared" si="42"/>
        <v/>
      </c>
      <c r="AK492" s="40"/>
      <c r="AL492" s="40"/>
      <c r="AM492" s="22"/>
      <c r="AQ492" s="46"/>
    </row>
    <row r="493" spans="1:43" ht="17.399999999999999">
      <c r="A493" s="22"/>
      <c r="B493" s="22"/>
      <c r="C493" s="56"/>
      <c r="D493" s="56"/>
      <c r="E493" s="22"/>
      <c r="F493" s="22"/>
      <c r="G493" s="22"/>
      <c r="H493" s="22"/>
      <c r="I493" s="49"/>
      <c r="J493" s="50"/>
      <c r="K493" s="22"/>
      <c r="L493" s="22"/>
      <c r="M493" s="22"/>
      <c r="N493" s="22"/>
      <c r="O493" s="22"/>
      <c r="P493" s="46"/>
      <c r="Q493" s="40"/>
      <c r="R493" s="41"/>
      <c r="S493" s="22" t="str">
        <f t="shared" si="43"/>
        <v/>
      </c>
      <c r="T493" s="41"/>
      <c r="U493" s="41" t="str">
        <f t="shared" si="47"/>
        <v/>
      </c>
      <c r="V493" s="44"/>
      <c r="W493" s="44"/>
      <c r="X493" s="46"/>
      <c r="Y493" s="46"/>
      <c r="Z493" s="46"/>
      <c r="AA493" s="41"/>
      <c r="AB493" s="22"/>
      <c r="AC493" s="22"/>
      <c r="AD493" s="41"/>
      <c r="AE493" s="22"/>
      <c r="AF493" s="22"/>
      <c r="AG493" s="48" t="str">
        <f t="shared" si="44"/>
        <v/>
      </c>
      <c r="AH493" s="48" t="str">
        <f t="shared" si="45"/>
        <v/>
      </c>
      <c r="AI493" s="48" t="str">
        <f t="shared" si="46"/>
        <v/>
      </c>
      <c r="AJ493" s="40" t="str">
        <f t="shared" ref="AJ493:AJ556" si="48">IF(A493="","",R493+21)</f>
        <v/>
      </c>
      <c r="AK493" s="40"/>
      <c r="AL493" s="40"/>
      <c r="AM493" s="22"/>
      <c r="AQ493" s="46"/>
    </row>
    <row r="494" spans="1:43" ht="17.399999999999999">
      <c r="A494" s="22"/>
      <c r="B494" s="22"/>
      <c r="C494" s="56"/>
      <c r="D494" s="56"/>
      <c r="E494" s="22"/>
      <c r="F494" s="22"/>
      <c r="G494" s="22"/>
      <c r="H494" s="22"/>
      <c r="I494" s="49"/>
      <c r="J494" s="50"/>
      <c r="K494" s="22"/>
      <c r="L494" s="22"/>
      <c r="M494" s="22"/>
      <c r="N494" s="22"/>
      <c r="O494" s="22"/>
      <c r="P494" s="46"/>
      <c r="Q494" s="40"/>
      <c r="R494" s="41"/>
      <c r="S494" s="22" t="str">
        <f t="shared" si="43"/>
        <v/>
      </c>
      <c r="T494" s="41"/>
      <c r="U494" s="41" t="str">
        <f t="shared" si="47"/>
        <v/>
      </c>
      <c r="V494" s="44"/>
      <c r="W494" s="44"/>
      <c r="X494" s="46"/>
      <c r="Y494" s="46"/>
      <c r="Z494" s="46"/>
      <c r="AA494" s="41"/>
      <c r="AB494" s="22"/>
      <c r="AC494" s="22"/>
      <c r="AD494" s="41"/>
      <c r="AE494" s="22"/>
      <c r="AF494" s="22"/>
      <c r="AG494" s="48" t="str">
        <f t="shared" si="44"/>
        <v/>
      </c>
      <c r="AH494" s="48" t="str">
        <f t="shared" si="45"/>
        <v/>
      </c>
      <c r="AI494" s="48" t="str">
        <f t="shared" si="46"/>
        <v/>
      </c>
      <c r="AJ494" s="40" t="str">
        <f t="shared" si="48"/>
        <v/>
      </c>
      <c r="AK494" s="40"/>
      <c r="AL494" s="40"/>
      <c r="AM494" s="22"/>
      <c r="AQ494" s="46"/>
    </row>
    <row r="495" spans="1:43" ht="17.399999999999999">
      <c r="A495" s="22"/>
      <c r="B495" s="22"/>
      <c r="C495" s="56"/>
      <c r="D495" s="56"/>
      <c r="E495" s="22"/>
      <c r="F495" s="22"/>
      <c r="G495" s="22"/>
      <c r="H495" s="22"/>
      <c r="I495" s="49"/>
      <c r="J495" s="50"/>
      <c r="K495" s="22"/>
      <c r="L495" s="22"/>
      <c r="M495" s="22"/>
      <c r="N495" s="22"/>
      <c r="O495" s="22"/>
      <c r="P495" s="46"/>
      <c r="Q495" s="40"/>
      <c r="R495" s="41"/>
      <c r="S495" s="22" t="str">
        <f t="shared" si="43"/>
        <v/>
      </c>
      <c r="T495" s="41"/>
      <c r="U495" s="41" t="str">
        <f t="shared" si="47"/>
        <v/>
      </c>
      <c r="V495" s="44"/>
      <c r="W495" s="44"/>
      <c r="X495" s="46"/>
      <c r="Y495" s="46"/>
      <c r="Z495" s="46"/>
      <c r="AA495" s="41"/>
      <c r="AB495" s="22"/>
      <c r="AC495" s="22"/>
      <c r="AD495" s="41"/>
      <c r="AE495" s="22"/>
      <c r="AF495" s="22"/>
      <c r="AG495" s="48" t="str">
        <f t="shared" si="44"/>
        <v/>
      </c>
      <c r="AH495" s="48" t="str">
        <f t="shared" si="45"/>
        <v/>
      </c>
      <c r="AI495" s="48" t="str">
        <f t="shared" si="46"/>
        <v/>
      </c>
      <c r="AJ495" s="40" t="str">
        <f t="shared" si="48"/>
        <v/>
      </c>
      <c r="AK495" s="40"/>
      <c r="AL495" s="40"/>
      <c r="AM495" s="22"/>
      <c r="AQ495" s="46"/>
    </row>
    <row r="496" spans="1:43" ht="17.399999999999999">
      <c r="A496" s="22"/>
      <c r="B496" s="22"/>
      <c r="C496" s="56"/>
      <c r="D496" s="56"/>
      <c r="E496" s="22"/>
      <c r="F496" s="22"/>
      <c r="G496" s="22"/>
      <c r="H496" s="22"/>
      <c r="I496" s="49"/>
      <c r="J496" s="50"/>
      <c r="K496" s="22"/>
      <c r="L496" s="22"/>
      <c r="M496" s="22"/>
      <c r="N496" s="22"/>
      <c r="O496" s="22"/>
      <c r="P496" s="46"/>
      <c r="Q496" s="40"/>
      <c r="R496" s="41"/>
      <c r="S496" s="22" t="str">
        <f t="shared" si="43"/>
        <v/>
      </c>
      <c r="T496" s="41"/>
      <c r="U496" s="41" t="str">
        <f t="shared" si="47"/>
        <v/>
      </c>
      <c r="V496" s="44"/>
      <c r="W496" s="44"/>
      <c r="X496" s="46"/>
      <c r="Y496" s="46"/>
      <c r="Z496" s="46"/>
      <c r="AA496" s="41"/>
      <c r="AB496" s="22"/>
      <c r="AC496" s="22"/>
      <c r="AD496" s="41"/>
      <c r="AE496" s="22"/>
      <c r="AF496" s="22"/>
      <c r="AG496" s="48" t="str">
        <f t="shared" si="44"/>
        <v/>
      </c>
      <c r="AH496" s="48" t="str">
        <f t="shared" si="45"/>
        <v/>
      </c>
      <c r="AI496" s="48" t="str">
        <f t="shared" si="46"/>
        <v/>
      </c>
      <c r="AJ496" s="40" t="str">
        <f t="shared" si="48"/>
        <v/>
      </c>
      <c r="AK496" s="40"/>
      <c r="AL496" s="40"/>
      <c r="AM496" s="22"/>
      <c r="AQ496" s="46"/>
    </row>
    <row r="497" spans="1:43" ht="17.399999999999999">
      <c r="A497" s="22"/>
      <c r="B497" s="22"/>
      <c r="C497" s="56"/>
      <c r="D497" s="56"/>
      <c r="E497" s="22"/>
      <c r="F497" s="22"/>
      <c r="G497" s="22"/>
      <c r="H497" s="22"/>
      <c r="I497" s="49"/>
      <c r="J497" s="50"/>
      <c r="K497" s="22"/>
      <c r="L497" s="22"/>
      <c r="M497" s="22"/>
      <c r="N497" s="22"/>
      <c r="O497" s="22"/>
      <c r="P497" s="46"/>
      <c r="Q497" s="40"/>
      <c r="R497" s="41"/>
      <c r="S497" s="22" t="str">
        <f t="shared" si="43"/>
        <v/>
      </c>
      <c r="T497" s="41"/>
      <c r="U497" s="41" t="str">
        <f t="shared" si="47"/>
        <v/>
      </c>
      <c r="V497" s="44"/>
      <c r="W497" s="44"/>
      <c r="X497" s="46"/>
      <c r="Y497" s="46"/>
      <c r="Z497" s="46"/>
      <c r="AA497" s="41"/>
      <c r="AB497" s="22"/>
      <c r="AC497" s="22"/>
      <c r="AD497" s="41"/>
      <c r="AE497" s="22"/>
      <c r="AF497" s="22"/>
      <c r="AG497" s="48" t="str">
        <f t="shared" si="44"/>
        <v/>
      </c>
      <c r="AH497" s="48" t="str">
        <f t="shared" si="45"/>
        <v/>
      </c>
      <c r="AI497" s="48" t="str">
        <f t="shared" si="46"/>
        <v/>
      </c>
      <c r="AJ497" s="40" t="str">
        <f t="shared" si="48"/>
        <v/>
      </c>
      <c r="AK497" s="40"/>
      <c r="AL497" s="40"/>
      <c r="AM497" s="22"/>
      <c r="AQ497" s="46"/>
    </row>
    <row r="498" spans="1:43" ht="17.399999999999999">
      <c r="A498" s="22"/>
      <c r="B498" s="22"/>
      <c r="C498" s="56"/>
      <c r="D498" s="56"/>
      <c r="E498" s="22"/>
      <c r="F498" s="22"/>
      <c r="G498" s="22"/>
      <c r="H498" s="22"/>
      <c r="I498" s="49"/>
      <c r="J498" s="50"/>
      <c r="K498" s="22"/>
      <c r="L498" s="22"/>
      <c r="M498" s="22"/>
      <c r="N498" s="22"/>
      <c r="O498" s="22"/>
      <c r="P498" s="46"/>
      <c r="Q498" s="40"/>
      <c r="R498" s="41"/>
      <c r="S498" s="22" t="str">
        <f t="shared" si="43"/>
        <v/>
      </c>
      <c r="T498" s="41"/>
      <c r="U498" s="41" t="str">
        <f t="shared" si="47"/>
        <v/>
      </c>
      <c r="V498" s="44"/>
      <c r="W498" s="44"/>
      <c r="X498" s="46"/>
      <c r="Y498" s="46"/>
      <c r="Z498" s="46"/>
      <c r="AA498" s="41"/>
      <c r="AB498" s="22"/>
      <c r="AC498" s="22"/>
      <c r="AD498" s="41"/>
      <c r="AE498" s="22"/>
      <c r="AF498" s="22"/>
      <c r="AG498" s="48" t="str">
        <f t="shared" si="44"/>
        <v/>
      </c>
      <c r="AH498" s="48" t="str">
        <f t="shared" si="45"/>
        <v/>
      </c>
      <c r="AI498" s="48" t="str">
        <f t="shared" si="46"/>
        <v/>
      </c>
      <c r="AJ498" s="40" t="str">
        <f t="shared" si="48"/>
        <v/>
      </c>
      <c r="AK498" s="40"/>
      <c r="AL498" s="40"/>
      <c r="AM498" s="22"/>
      <c r="AQ498" s="46"/>
    </row>
    <row r="499" spans="1:43" ht="17.399999999999999">
      <c r="A499" s="22"/>
      <c r="B499" s="22"/>
      <c r="C499" s="56"/>
      <c r="D499" s="56"/>
      <c r="E499" s="22"/>
      <c r="F499" s="22"/>
      <c r="G499" s="22"/>
      <c r="H499" s="22"/>
      <c r="I499" s="49"/>
      <c r="J499" s="50"/>
      <c r="K499" s="22"/>
      <c r="L499" s="22"/>
      <c r="M499" s="22"/>
      <c r="N499" s="22"/>
      <c r="O499" s="22"/>
      <c r="P499" s="46"/>
      <c r="Q499" s="40"/>
      <c r="R499" s="41"/>
      <c r="S499" s="22" t="str">
        <f t="shared" si="43"/>
        <v/>
      </c>
      <c r="T499" s="41"/>
      <c r="U499" s="41" t="str">
        <f t="shared" si="47"/>
        <v/>
      </c>
      <c r="V499" s="44"/>
      <c r="W499" s="44"/>
      <c r="X499" s="46"/>
      <c r="Y499" s="46"/>
      <c r="Z499" s="46"/>
      <c r="AA499" s="41"/>
      <c r="AB499" s="22"/>
      <c r="AC499" s="22"/>
      <c r="AD499" s="41"/>
      <c r="AE499" s="22"/>
      <c r="AF499" s="22"/>
      <c r="AG499" s="48" t="str">
        <f t="shared" si="44"/>
        <v/>
      </c>
      <c r="AH499" s="48" t="str">
        <f t="shared" si="45"/>
        <v/>
      </c>
      <c r="AI499" s="48" t="str">
        <f t="shared" si="46"/>
        <v/>
      </c>
      <c r="AJ499" s="40" t="str">
        <f t="shared" si="48"/>
        <v/>
      </c>
      <c r="AK499" s="40"/>
      <c r="AL499" s="40"/>
      <c r="AM499" s="22"/>
      <c r="AQ499" s="46"/>
    </row>
    <row r="500" spans="1:43" ht="17.399999999999999">
      <c r="A500" s="22"/>
      <c r="B500" s="22"/>
      <c r="C500" s="56"/>
      <c r="D500" s="56"/>
      <c r="E500" s="22"/>
      <c r="F500" s="22"/>
      <c r="G500" s="22"/>
      <c r="H500" s="22"/>
      <c r="I500" s="49"/>
      <c r="J500" s="50"/>
      <c r="K500" s="22"/>
      <c r="L500" s="22"/>
      <c r="M500" s="22"/>
      <c r="N500" s="22"/>
      <c r="O500" s="22"/>
      <c r="P500" s="46"/>
      <c r="Q500" s="40"/>
      <c r="R500" s="41"/>
      <c r="S500" s="22" t="str">
        <f t="shared" si="43"/>
        <v/>
      </c>
      <c r="T500" s="41"/>
      <c r="U500" s="41" t="str">
        <f t="shared" si="47"/>
        <v/>
      </c>
      <c r="V500" s="44"/>
      <c r="W500" s="44"/>
      <c r="X500" s="46"/>
      <c r="Y500" s="46"/>
      <c r="Z500" s="46"/>
      <c r="AA500" s="41"/>
      <c r="AB500" s="22"/>
      <c r="AC500" s="22"/>
      <c r="AD500" s="41"/>
      <c r="AE500" s="22"/>
      <c r="AF500" s="22"/>
      <c r="AG500" s="48" t="str">
        <f t="shared" si="44"/>
        <v/>
      </c>
      <c r="AH500" s="48" t="str">
        <f t="shared" si="45"/>
        <v/>
      </c>
      <c r="AI500" s="48" t="str">
        <f t="shared" si="46"/>
        <v/>
      </c>
      <c r="AJ500" s="40" t="str">
        <f t="shared" si="48"/>
        <v/>
      </c>
      <c r="AK500" s="40"/>
      <c r="AL500" s="40"/>
      <c r="AM500" s="22"/>
      <c r="AQ500" s="46"/>
    </row>
    <row r="501" spans="1:43" ht="17.399999999999999">
      <c r="A501" s="22"/>
      <c r="B501" s="22"/>
      <c r="C501" s="56"/>
      <c r="D501" s="56"/>
      <c r="E501" s="22"/>
      <c r="F501" s="22"/>
      <c r="G501" s="22"/>
      <c r="H501" s="22"/>
      <c r="I501" s="49"/>
      <c r="J501" s="50"/>
      <c r="K501" s="22"/>
      <c r="L501" s="22"/>
      <c r="M501" s="22"/>
      <c r="N501" s="22"/>
      <c r="O501" s="22"/>
      <c r="P501" s="46"/>
      <c r="Q501" s="40"/>
      <c r="R501" s="41"/>
      <c r="S501" s="22" t="str">
        <f t="shared" si="43"/>
        <v/>
      </c>
      <c r="T501" s="41"/>
      <c r="U501" s="41" t="str">
        <f t="shared" si="47"/>
        <v/>
      </c>
      <c r="V501" s="44"/>
      <c r="W501" s="44"/>
      <c r="X501" s="46"/>
      <c r="Y501" s="46"/>
      <c r="Z501" s="46"/>
      <c r="AA501" s="41"/>
      <c r="AB501" s="22"/>
      <c r="AC501" s="22"/>
      <c r="AD501" s="41"/>
      <c r="AE501" s="22"/>
      <c r="AF501" s="22"/>
      <c r="AG501" s="48" t="str">
        <f t="shared" si="44"/>
        <v/>
      </c>
      <c r="AH501" s="48" t="str">
        <f t="shared" si="45"/>
        <v/>
      </c>
      <c r="AI501" s="48" t="str">
        <f t="shared" si="46"/>
        <v/>
      </c>
      <c r="AJ501" s="40" t="str">
        <f t="shared" si="48"/>
        <v/>
      </c>
      <c r="AK501" s="40"/>
      <c r="AL501" s="40"/>
      <c r="AM501" s="22"/>
      <c r="AQ501" s="46"/>
    </row>
    <row r="502" spans="1:43" ht="17.399999999999999">
      <c r="A502" s="22"/>
      <c r="B502" s="22"/>
      <c r="C502" s="56"/>
      <c r="D502" s="56"/>
      <c r="E502" s="22"/>
      <c r="F502" s="22"/>
      <c r="G502" s="22"/>
      <c r="H502" s="22"/>
      <c r="I502" s="49"/>
      <c r="J502" s="50"/>
      <c r="K502" s="22"/>
      <c r="L502" s="22"/>
      <c r="M502" s="22"/>
      <c r="N502" s="22"/>
      <c r="O502" s="22"/>
      <c r="P502" s="46"/>
      <c r="Q502" s="40"/>
      <c r="R502" s="41"/>
      <c r="S502" s="22" t="str">
        <f t="shared" si="43"/>
        <v/>
      </c>
      <c r="T502" s="41"/>
      <c r="U502" s="41" t="str">
        <f t="shared" si="47"/>
        <v/>
      </c>
      <c r="V502" s="44"/>
      <c r="W502" s="44"/>
      <c r="X502" s="46"/>
      <c r="Y502" s="46"/>
      <c r="Z502" s="46"/>
      <c r="AA502" s="41"/>
      <c r="AB502" s="22"/>
      <c r="AC502" s="22"/>
      <c r="AD502" s="41"/>
      <c r="AE502" s="22"/>
      <c r="AF502" s="22"/>
      <c r="AG502" s="48" t="str">
        <f t="shared" si="44"/>
        <v/>
      </c>
      <c r="AH502" s="48" t="str">
        <f t="shared" si="45"/>
        <v/>
      </c>
      <c r="AI502" s="48" t="str">
        <f t="shared" si="46"/>
        <v/>
      </c>
      <c r="AJ502" s="40" t="str">
        <f t="shared" si="48"/>
        <v/>
      </c>
      <c r="AK502" s="40"/>
      <c r="AL502" s="40"/>
      <c r="AM502" s="22"/>
      <c r="AQ502" s="46"/>
    </row>
    <row r="503" spans="1:43" ht="17.399999999999999">
      <c r="A503" s="22"/>
      <c r="B503" s="22"/>
      <c r="C503" s="56"/>
      <c r="D503" s="56"/>
      <c r="E503" s="22"/>
      <c r="F503" s="22"/>
      <c r="G503" s="22"/>
      <c r="H503" s="22"/>
      <c r="I503" s="49"/>
      <c r="J503" s="50"/>
      <c r="K503" s="22"/>
      <c r="L503" s="22"/>
      <c r="M503" s="22"/>
      <c r="N503" s="22"/>
      <c r="O503" s="22"/>
      <c r="P503" s="46"/>
      <c r="Q503" s="40"/>
      <c r="R503" s="41"/>
      <c r="S503" s="22" t="str">
        <f t="shared" si="43"/>
        <v/>
      </c>
      <c r="T503" s="41"/>
      <c r="U503" s="41" t="str">
        <f t="shared" si="47"/>
        <v/>
      </c>
      <c r="V503" s="44"/>
      <c r="W503" s="44"/>
      <c r="X503" s="46"/>
      <c r="Y503" s="46"/>
      <c r="Z503" s="46"/>
      <c r="AA503" s="41"/>
      <c r="AB503" s="22"/>
      <c r="AC503" s="22"/>
      <c r="AD503" s="41"/>
      <c r="AE503" s="22"/>
      <c r="AF503" s="22"/>
      <c r="AG503" s="48" t="str">
        <f t="shared" si="44"/>
        <v/>
      </c>
      <c r="AH503" s="48" t="str">
        <f t="shared" si="45"/>
        <v/>
      </c>
      <c r="AI503" s="48" t="str">
        <f t="shared" si="46"/>
        <v/>
      </c>
      <c r="AJ503" s="40" t="str">
        <f t="shared" si="48"/>
        <v/>
      </c>
      <c r="AK503" s="40"/>
      <c r="AL503" s="40"/>
      <c r="AM503" s="22"/>
      <c r="AQ503" s="46"/>
    </row>
    <row r="504" spans="1:43" ht="17.399999999999999">
      <c r="A504" s="22"/>
      <c r="B504" s="22"/>
      <c r="C504" s="56"/>
      <c r="D504" s="56"/>
      <c r="E504" s="22"/>
      <c r="F504" s="22"/>
      <c r="G504" s="22"/>
      <c r="H504" s="22"/>
      <c r="I504" s="49"/>
      <c r="J504" s="50"/>
      <c r="K504" s="22"/>
      <c r="L504" s="22"/>
      <c r="M504" s="22"/>
      <c r="N504" s="22"/>
      <c r="O504" s="22"/>
      <c r="P504" s="46"/>
      <c r="Q504" s="40"/>
      <c r="R504" s="41"/>
      <c r="S504" s="22" t="str">
        <f t="shared" si="43"/>
        <v/>
      </c>
      <c r="T504" s="41"/>
      <c r="U504" s="41" t="str">
        <f t="shared" si="47"/>
        <v/>
      </c>
      <c r="V504" s="44"/>
      <c r="W504" s="44"/>
      <c r="X504" s="46"/>
      <c r="Y504" s="46"/>
      <c r="Z504" s="46"/>
      <c r="AA504" s="41"/>
      <c r="AB504" s="22"/>
      <c r="AC504" s="22"/>
      <c r="AD504" s="41"/>
      <c r="AE504" s="22"/>
      <c r="AF504" s="22"/>
      <c r="AG504" s="48" t="str">
        <f t="shared" si="44"/>
        <v/>
      </c>
      <c r="AH504" s="48" t="str">
        <f t="shared" si="45"/>
        <v/>
      </c>
      <c r="AI504" s="48" t="str">
        <f t="shared" si="46"/>
        <v/>
      </c>
      <c r="AJ504" s="40" t="str">
        <f t="shared" si="48"/>
        <v/>
      </c>
      <c r="AK504" s="40"/>
      <c r="AL504" s="40"/>
      <c r="AM504" s="22"/>
      <c r="AQ504" s="46"/>
    </row>
    <row r="505" spans="1:43" ht="17.399999999999999">
      <c r="A505" s="22"/>
      <c r="B505" s="22"/>
      <c r="C505" s="56"/>
      <c r="D505" s="56"/>
      <c r="E505" s="22"/>
      <c r="F505" s="22"/>
      <c r="G505" s="22"/>
      <c r="H505" s="22"/>
      <c r="I505" s="49"/>
      <c r="J505" s="50"/>
      <c r="K505" s="22"/>
      <c r="L505" s="22"/>
      <c r="M505" s="22"/>
      <c r="N505" s="22"/>
      <c r="O505" s="22"/>
      <c r="P505" s="46"/>
      <c r="Q505" s="40"/>
      <c r="R505" s="41"/>
      <c r="S505" s="22" t="str">
        <f t="shared" si="43"/>
        <v/>
      </c>
      <c r="T505" s="41"/>
      <c r="U505" s="41" t="str">
        <f t="shared" si="47"/>
        <v/>
      </c>
      <c r="V505" s="44"/>
      <c r="W505" s="44"/>
      <c r="X505" s="46"/>
      <c r="Y505" s="46"/>
      <c r="Z505" s="46"/>
      <c r="AA505" s="41"/>
      <c r="AB505" s="22"/>
      <c r="AC505" s="22"/>
      <c r="AD505" s="41"/>
      <c r="AE505" s="22"/>
      <c r="AF505" s="22"/>
      <c r="AG505" s="48" t="str">
        <f t="shared" si="44"/>
        <v/>
      </c>
      <c r="AH505" s="48" t="str">
        <f t="shared" si="45"/>
        <v/>
      </c>
      <c r="AI505" s="48" t="str">
        <f t="shared" si="46"/>
        <v/>
      </c>
      <c r="AJ505" s="40" t="str">
        <f t="shared" si="48"/>
        <v/>
      </c>
      <c r="AK505" s="40"/>
      <c r="AL505" s="40"/>
      <c r="AM505" s="22"/>
      <c r="AQ505" s="46"/>
    </row>
    <row r="506" spans="1:43" ht="17.399999999999999">
      <c r="A506" s="22"/>
      <c r="B506" s="22"/>
      <c r="C506" s="56"/>
      <c r="D506" s="56"/>
      <c r="E506" s="22"/>
      <c r="F506" s="22"/>
      <c r="G506" s="22"/>
      <c r="H506" s="22"/>
      <c r="I506" s="49"/>
      <c r="J506" s="50"/>
      <c r="K506" s="22"/>
      <c r="L506" s="22"/>
      <c r="M506" s="22"/>
      <c r="N506" s="22"/>
      <c r="O506" s="22"/>
      <c r="P506" s="46"/>
      <c r="Q506" s="40"/>
      <c r="R506" s="41"/>
      <c r="S506" s="22" t="str">
        <f t="shared" si="43"/>
        <v/>
      </c>
      <c r="T506" s="41"/>
      <c r="U506" s="41" t="str">
        <f t="shared" si="47"/>
        <v/>
      </c>
      <c r="V506" s="44"/>
      <c r="W506" s="44"/>
      <c r="X506" s="46"/>
      <c r="Y506" s="46"/>
      <c r="Z506" s="46"/>
      <c r="AA506" s="41"/>
      <c r="AB506" s="22"/>
      <c r="AC506" s="22"/>
      <c r="AD506" s="41"/>
      <c r="AE506" s="22"/>
      <c r="AF506" s="22"/>
      <c r="AG506" s="48" t="str">
        <f t="shared" si="44"/>
        <v/>
      </c>
      <c r="AH506" s="48" t="str">
        <f t="shared" si="45"/>
        <v/>
      </c>
      <c r="AI506" s="48" t="str">
        <f t="shared" si="46"/>
        <v/>
      </c>
      <c r="AJ506" s="40" t="str">
        <f t="shared" si="48"/>
        <v/>
      </c>
      <c r="AK506" s="40"/>
      <c r="AL506" s="40"/>
      <c r="AM506" s="22"/>
      <c r="AQ506" s="46"/>
    </row>
    <row r="507" spans="1:43" ht="17.399999999999999">
      <c r="A507" s="22"/>
      <c r="B507" s="22"/>
      <c r="C507" s="56"/>
      <c r="D507" s="56"/>
      <c r="E507" s="22"/>
      <c r="F507" s="22"/>
      <c r="G507" s="22"/>
      <c r="H507" s="22"/>
      <c r="I507" s="49"/>
      <c r="J507" s="50"/>
      <c r="K507" s="22"/>
      <c r="L507" s="22"/>
      <c r="M507" s="22"/>
      <c r="N507" s="22"/>
      <c r="O507" s="22"/>
      <c r="P507" s="46"/>
      <c r="Q507" s="40"/>
      <c r="R507" s="41"/>
      <c r="S507" s="22" t="str">
        <f t="shared" si="43"/>
        <v/>
      </c>
      <c r="T507" s="41"/>
      <c r="U507" s="41" t="str">
        <f t="shared" si="47"/>
        <v/>
      </c>
      <c r="V507" s="44"/>
      <c r="W507" s="44"/>
      <c r="X507" s="46"/>
      <c r="Y507" s="46"/>
      <c r="Z507" s="46"/>
      <c r="AA507" s="41"/>
      <c r="AB507" s="22"/>
      <c r="AC507" s="22"/>
      <c r="AD507" s="41"/>
      <c r="AE507" s="22"/>
      <c r="AF507" s="22"/>
      <c r="AG507" s="48" t="str">
        <f t="shared" si="44"/>
        <v/>
      </c>
      <c r="AH507" s="48" t="str">
        <f t="shared" si="45"/>
        <v/>
      </c>
      <c r="AI507" s="48" t="str">
        <f t="shared" si="46"/>
        <v/>
      </c>
      <c r="AJ507" s="40" t="str">
        <f t="shared" si="48"/>
        <v/>
      </c>
      <c r="AK507" s="40"/>
      <c r="AL507" s="40"/>
      <c r="AM507" s="22"/>
      <c r="AQ507" s="46"/>
    </row>
    <row r="508" spans="1:43" ht="17.399999999999999">
      <c r="A508" s="22"/>
      <c r="B508" s="22"/>
      <c r="C508" s="56"/>
      <c r="D508" s="56"/>
      <c r="E508" s="22"/>
      <c r="F508" s="22"/>
      <c r="G508" s="22"/>
      <c r="H508" s="22"/>
      <c r="I508" s="49"/>
      <c r="J508" s="50"/>
      <c r="K508" s="22"/>
      <c r="L508" s="22"/>
      <c r="M508" s="22"/>
      <c r="N508" s="22"/>
      <c r="O508" s="22"/>
      <c r="P508" s="46"/>
      <c r="Q508" s="40"/>
      <c r="R508" s="41"/>
      <c r="S508" s="22" t="str">
        <f t="shared" si="43"/>
        <v/>
      </c>
      <c r="T508" s="41"/>
      <c r="U508" s="41" t="str">
        <f t="shared" si="47"/>
        <v/>
      </c>
      <c r="V508" s="44"/>
      <c r="W508" s="44"/>
      <c r="X508" s="46"/>
      <c r="Y508" s="46"/>
      <c r="Z508" s="46"/>
      <c r="AA508" s="41"/>
      <c r="AB508" s="22"/>
      <c r="AC508" s="22"/>
      <c r="AD508" s="41"/>
      <c r="AE508" s="22"/>
      <c r="AF508" s="22"/>
      <c r="AG508" s="48" t="str">
        <f t="shared" si="44"/>
        <v/>
      </c>
      <c r="AH508" s="48" t="str">
        <f t="shared" si="45"/>
        <v/>
      </c>
      <c r="AI508" s="48" t="str">
        <f t="shared" si="46"/>
        <v/>
      </c>
      <c r="AJ508" s="40" t="str">
        <f t="shared" si="48"/>
        <v/>
      </c>
      <c r="AK508" s="40"/>
      <c r="AL508" s="40"/>
      <c r="AM508" s="22"/>
      <c r="AQ508" s="46"/>
    </row>
    <row r="509" spans="1:43" ht="17.399999999999999">
      <c r="A509" s="22"/>
      <c r="B509" s="22"/>
      <c r="C509" s="56"/>
      <c r="D509" s="56"/>
      <c r="E509" s="22"/>
      <c r="F509" s="22"/>
      <c r="G509" s="22"/>
      <c r="H509" s="22"/>
      <c r="I509" s="49"/>
      <c r="J509" s="50"/>
      <c r="K509" s="22"/>
      <c r="L509" s="22"/>
      <c r="M509" s="22"/>
      <c r="N509" s="22"/>
      <c r="O509" s="22"/>
      <c r="P509" s="46"/>
      <c r="Q509" s="40"/>
      <c r="R509" s="41"/>
      <c r="S509" s="22" t="str">
        <f t="shared" si="43"/>
        <v/>
      </c>
      <c r="T509" s="41"/>
      <c r="U509" s="41" t="str">
        <f t="shared" si="47"/>
        <v/>
      </c>
      <c r="V509" s="44"/>
      <c r="W509" s="44"/>
      <c r="X509" s="46"/>
      <c r="Y509" s="46"/>
      <c r="Z509" s="46"/>
      <c r="AA509" s="41"/>
      <c r="AB509" s="22"/>
      <c r="AC509" s="22"/>
      <c r="AD509" s="41"/>
      <c r="AE509" s="22"/>
      <c r="AF509" s="22"/>
      <c r="AG509" s="48" t="str">
        <f t="shared" si="44"/>
        <v/>
      </c>
      <c r="AH509" s="48" t="str">
        <f t="shared" si="45"/>
        <v/>
      </c>
      <c r="AI509" s="48" t="str">
        <f t="shared" si="46"/>
        <v/>
      </c>
      <c r="AJ509" s="40" t="str">
        <f t="shared" si="48"/>
        <v/>
      </c>
      <c r="AK509" s="40"/>
      <c r="AL509" s="40"/>
      <c r="AM509" s="22"/>
      <c r="AQ509" s="46"/>
    </row>
    <row r="510" spans="1:43" ht="17.399999999999999">
      <c r="A510" s="22"/>
      <c r="B510" s="22"/>
      <c r="C510" s="56"/>
      <c r="D510" s="56"/>
      <c r="E510" s="22"/>
      <c r="F510" s="22"/>
      <c r="G510" s="22"/>
      <c r="H510" s="22"/>
      <c r="I510" s="49"/>
      <c r="J510" s="50"/>
      <c r="K510" s="22"/>
      <c r="L510" s="22"/>
      <c r="M510" s="22"/>
      <c r="N510" s="22"/>
      <c r="O510" s="22"/>
      <c r="P510" s="46"/>
      <c r="Q510" s="40"/>
      <c r="R510" s="41"/>
      <c r="S510" s="22" t="str">
        <f t="shared" si="43"/>
        <v/>
      </c>
      <c r="T510" s="41"/>
      <c r="U510" s="41" t="str">
        <f t="shared" si="47"/>
        <v/>
      </c>
      <c r="V510" s="44"/>
      <c r="W510" s="44"/>
      <c r="X510" s="46"/>
      <c r="Y510" s="46"/>
      <c r="Z510" s="46"/>
      <c r="AA510" s="41"/>
      <c r="AB510" s="22"/>
      <c r="AC510" s="22"/>
      <c r="AD510" s="41"/>
      <c r="AE510" s="22"/>
      <c r="AF510" s="22"/>
      <c r="AG510" s="48" t="str">
        <f t="shared" si="44"/>
        <v/>
      </c>
      <c r="AH510" s="48" t="str">
        <f t="shared" si="45"/>
        <v/>
      </c>
      <c r="AI510" s="48" t="str">
        <f t="shared" si="46"/>
        <v/>
      </c>
      <c r="AJ510" s="40" t="str">
        <f t="shared" si="48"/>
        <v/>
      </c>
      <c r="AK510" s="40"/>
      <c r="AL510" s="40"/>
      <c r="AM510" s="22"/>
      <c r="AQ510" s="46"/>
    </row>
    <row r="511" spans="1:43" ht="17.399999999999999">
      <c r="A511" s="22"/>
      <c r="B511" s="22"/>
      <c r="C511" s="56"/>
      <c r="D511" s="56"/>
      <c r="E511" s="22"/>
      <c r="F511" s="22"/>
      <c r="G511" s="22"/>
      <c r="H511" s="22"/>
      <c r="I511" s="49"/>
      <c r="J511" s="50"/>
      <c r="K511" s="22"/>
      <c r="L511" s="22"/>
      <c r="M511" s="22"/>
      <c r="N511" s="22"/>
      <c r="O511" s="22"/>
      <c r="P511" s="46"/>
      <c r="Q511" s="40"/>
      <c r="R511" s="41"/>
      <c r="S511" s="22" t="str">
        <f t="shared" si="43"/>
        <v/>
      </c>
      <c r="T511" s="41"/>
      <c r="U511" s="41" t="str">
        <f t="shared" si="47"/>
        <v/>
      </c>
      <c r="V511" s="44"/>
      <c r="W511" s="44"/>
      <c r="X511" s="46"/>
      <c r="Y511" s="46"/>
      <c r="Z511" s="46"/>
      <c r="AA511" s="41"/>
      <c r="AB511" s="22"/>
      <c r="AC511" s="22"/>
      <c r="AD511" s="41"/>
      <c r="AE511" s="22"/>
      <c r="AF511" s="22"/>
      <c r="AG511" s="48" t="str">
        <f t="shared" si="44"/>
        <v/>
      </c>
      <c r="AH511" s="48" t="str">
        <f t="shared" si="45"/>
        <v/>
      </c>
      <c r="AI511" s="48" t="str">
        <f t="shared" si="46"/>
        <v/>
      </c>
      <c r="AJ511" s="40" t="str">
        <f t="shared" si="48"/>
        <v/>
      </c>
      <c r="AK511" s="40"/>
      <c r="AL511" s="40"/>
      <c r="AM511" s="22"/>
      <c r="AQ511" s="46"/>
    </row>
    <row r="512" spans="1:43" ht="17.399999999999999">
      <c r="A512" s="22"/>
      <c r="B512" s="22"/>
      <c r="C512" s="56"/>
      <c r="D512" s="56"/>
      <c r="E512" s="22"/>
      <c r="F512" s="22"/>
      <c r="G512" s="22"/>
      <c r="H512" s="22"/>
      <c r="I512" s="49"/>
      <c r="J512" s="50"/>
      <c r="K512" s="22"/>
      <c r="L512" s="22"/>
      <c r="M512" s="22"/>
      <c r="N512" s="22"/>
      <c r="O512" s="22"/>
      <c r="P512" s="46"/>
      <c r="Q512" s="40"/>
      <c r="R512" s="41"/>
      <c r="S512" s="22" t="str">
        <f t="shared" si="43"/>
        <v/>
      </c>
      <c r="T512" s="41"/>
      <c r="U512" s="41" t="str">
        <f t="shared" si="47"/>
        <v/>
      </c>
      <c r="V512" s="44"/>
      <c r="W512" s="44"/>
      <c r="X512" s="46"/>
      <c r="Y512" s="46"/>
      <c r="Z512" s="46"/>
      <c r="AA512" s="41"/>
      <c r="AB512" s="22"/>
      <c r="AC512" s="22"/>
      <c r="AD512" s="41"/>
      <c r="AE512" s="22"/>
      <c r="AF512" s="22"/>
      <c r="AG512" s="48" t="str">
        <f t="shared" si="44"/>
        <v/>
      </c>
      <c r="AH512" s="48" t="str">
        <f t="shared" si="45"/>
        <v/>
      </c>
      <c r="AI512" s="48" t="str">
        <f t="shared" si="46"/>
        <v/>
      </c>
      <c r="AJ512" s="40" t="str">
        <f t="shared" si="48"/>
        <v/>
      </c>
      <c r="AK512" s="40"/>
      <c r="AL512" s="40"/>
      <c r="AM512" s="22"/>
      <c r="AQ512" s="46"/>
    </row>
    <row r="513" spans="1:43" ht="17.399999999999999">
      <c r="A513" s="22"/>
      <c r="B513" s="22"/>
      <c r="C513" s="56"/>
      <c r="D513" s="56"/>
      <c r="E513" s="22"/>
      <c r="F513" s="22"/>
      <c r="G513" s="22"/>
      <c r="H513" s="22"/>
      <c r="I513" s="49"/>
      <c r="J513" s="50"/>
      <c r="K513" s="22"/>
      <c r="L513" s="22"/>
      <c r="M513" s="22"/>
      <c r="N513" s="22"/>
      <c r="O513" s="22"/>
      <c r="P513" s="46"/>
      <c r="Q513" s="40"/>
      <c r="R513" s="41"/>
      <c r="S513" s="22" t="str">
        <f t="shared" si="43"/>
        <v/>
      </c>
      <c r="T513" s="41"/>
      <c r="U513" s="41" t="str">
        <f t="shared" si="47"/>
        <v/>
      </c>
      <c r="V513" s="44"/>
      <c r="W513" s="44"/>
      <c r="X513" s="46"/>
      <c r="Y513" s="46"/>
      <c r="Z513" s="46"/>
      <c r="AA513" s="41"/>
      <c r="AB513" s="22"/>
      <c r="AC513" s="22"/>
      <c r="AD513" s="41"/>
      <c r="AE513" s="22"/>
      <c r="AF513" s="22"/>
      <c r="AG513" s="48" t="str">
        <f t="shared" si="44"/>
        <v/>
      </c>
      <c r="AH513" s="48" t="str">
        <f t="shared" si="45"/>
        <v/>
      </c>
      <c r="AI513" s="48" t="str">
        <f t="shared" si="46"/>
        <v/>
      </c>
      <c r="AJ513" s="40" t="str">
        <f t="shared" si="48"/>
        <v/>
      </c>
      <c r="AK513" s="40"/>
      <c r="AL513" s="40"/>
      <c r="AM513" s="22"/>
      <c r="AQ513" s="46"/>
    </row>
    <row r="514" spans="1:43" ht="17.399999999999999">
      <c r="A514" s="22"/>
      <c r="B514" s="22"/>
      <c r="C514" s="56"/>
      <c r="D514" s="56"/>
      <c r="E514" s="22"/>
      <c r="F514" s="22"/>
      <c r="G514" s="22"/>
      <c r="H514" s="22"/>
      <c r="I514" s="49"/>
      <c r="J514" s="50"/>
      <c r="K514" s="22"/>
      <c r="L514" s="22"/>
      <c r="M514" s="22"/>
      <c r="N514" s="22"/>
      <c r="O514" s="22"/>
      <c r="P514" s="46"/>
      <c r="Q514" s="40"/>
      <c r="R514" s="41"/>
      <c r="S514" s="22" t="str">
        <f t="shared" si="43"/>
        <v/>
      </c>
      <c r="T514" s="41"/>
      <c r="U514" s="41" t="str">
        <f t="shared" si="47"/>
        <v/>
      </c>
      <c r="V514" s="44"/>
      <c r="W514" s="44"/>
      <c r="X514" s="46"/>
      <c r="Y514" s="46"/>
      <c r="Z514" s="46"/>
      <c r="AA514" s="41"/>
      <c r="AB514" s="22"/>
      <c r="AC514" s="22"/>
      <c r="AD514" s="41"/>
      <c r="AE514" s="22"/>
      <c r="AF514" s="22"/>
      <c r="AG514" s="48" t="str">
        <f t="shared" si="44"/>
        <v/>
      </c>
      <c r="AH514" s="48" t="str">
        <f t="shared" si="45"/>
        <v/>
      </c>
      <c r="AI514" s="48" t="str">
        <f t="shared" si="46"/>
        <v/>
      </c>
      <c r="AJ514" s="40" t="str">
        <f t="shared" si="48"/>
        <v/>
      </c>
      <c r="AK514" s="40"/>
      <c r="AL514" s="40"/>
      <c r="AM514" s="22"/>
      <c r="AQ514" s="46"/>
    </row>
    <row r="515" spans="1:43" ht="17.399999999999999">
      <c r="A515" s="22"/>
      <c r="B515" s="22"/>
      <c r="C515" s="56"/>
      <c r="D515" s="56"/>
      <c r="E515" s="22"/>
      <c r="F515" s="22"/>
      <c r="G515" s="22"/>
      <c r="H515" s="22"/>
      <c r="I515" s="49"/>
      <c r="J515" s="50"/>
      <c r="K515" s="22"/>
      <c r="L515" s="22"/>
      <c r="M515" s="22"/>
      <c r="N515" s="22"/>
      <c r="O515" s="22"/>
      <c r="P515" s="46"/>
      <c r="Q515" s="40"/>
      <c r="R515" s="41"/>
      <c r="S515" s="22" t="str">
        <f t="shared" ref="S515:S578" si="49">IF(A515="","",M515+O515)</f>
        <v/>
      </c>
      <c r="T515" s="41"/>
      <c r="U515" s="41" t="str">
        <f t="shared" si="47"/>
        <v/>
      </c>
      <c r="V515" s="44"/>
      <c r="W515" s="44"/>
      <c r="X515" s="46"/>
      <c r="Y515" s="46"/>
      <c r="Z515" s="46"/>
      <c r="AA515" s="41"/>
      <c r="AB515" s="22"/>
      <c r="AC515" s="22"/>
      <c r="AD515" s="41"/>
      <c r="AE515" s="22"/>
      <c r="AF515" s="22"/>
      <c r="AG515" s="48" t="str">
        <f t="shared" ref="AG515:AG578" si="50">IF(A515="","",S515-Y515)</f>
        <v/>
      </c>
      <c r="AH515" s="48" t="str">
        <f t="shared" ref="AH515:AH578" si="51">IF(A515="","",Y515-(AC515+AF515))</f>
        <v/>
      </c>
      <c r="AI515" s="48" t="str">
        <f t="shared" ref="AI515:AI578" si="52">IF(A515="","",AG515+AH515)</f>
        <v/>
      </c>
      <c r="AJ515" s="40" t="str">
        <f t="shared" si="48"/>
        <v/>
      </c>
      <c r="AK515" s="40"/>
      <c r="AL515" s="40"/>
      <c r="AM515" s="22"/>
      <c r="AQ515" s="46"/>
    </row>
    <row r="516" spans="1:43" ht="17.399999999999999">
      <c r="A516" s="22"/>
      <c r="B516" s="22"/>
      <c r="C516" s="56"/>
      <c r="D516" s="56"/>
      <c r="E516" s="22"/>
      <c r="F516" s="22"/>
      <c r="G516" s="22"/>
      <c r="H516" s="22"/>
      <c r="I516" s="49"/>
      <c r="J516" s="50"/>
      <c r="K516" s="22"/>
      <c r="L516" s="22"/>
      <c r="M516" s="22"/>
      <c r="N516" s="22"/>
      <c r="O516" s="22"/>
      <c r="P516" s="46"/>
      <c r="Q516" s="40"/>
      <c r="R516" s="41"/>
      <c r="S516" s="22" t="str">
        <f t="shared" si="49"/>
        <v/>
      </c>
      <c r="T516" s="41"/>
      <c r="U516" s="41" t="str">
        <f t="shared" ref="U516:U579" si="53">IF(OR(P516="FEC-FS",P516="PALTEK",P516="SDSE(TOKE)"),"Upload in customer box","")</f>
        <v/>
      </c>
      <c r="V516" s="44"/>
      <c r="W516" s="44"/>
      <c r="X516" s="46"/>
      <c r="Y516" s="46"/>
      <c r="Z516" s="46"/>
      <c r="AA516" s="41"/>
      <c r="AB516" s="22"/>
      <c r="AC516" s="22"/>
      <c r="AD516" s="41"/>
      <c r="AE516" s="22"/>
      <c r="AF516" s="22"/>
      <c r="AG516" s="48" t="str">
        <f t="shared" si="50"/>
        <v/>
      </c>
      <c r="AH516" s="48" t="str">
        <f t="shared" si="51"/>
        <v/>
      </c>
      <c r="AI516" s="48" t="str">
        <f t="shared" si="52"/>
        <v/>
      </c>
      <c r="AJ516" s="40" t="str">
        <f t="shared" si="48"/>
        <v/>
      </c>
      <c r="AK516" s="40"/>
      <c r="AL516" s="40"/>
      <c r="AM516" s="22"/>
      <c r="AQ516" s="46"/>
    </row>
    <row r="517" spans="1:43" ht="17.399999999999999">
      <c r="A517" s="22"/>
      <c r="B517" s="22"/>
      <c r="C517" s="56"/>
      <c r="D517" s="56"/>
      <c r="E517" s="22"/>
      <c r="F517" s="22"/>
      <c r="G517" s="22"/>
      <c r="H517" s="22"/>
      <c r="I517" s="49"/>
      <c r="J517" s="50"/>
      <c r="K517" s="22"/>
      <c r="L517" s="22"/>
      <c r="M517" s="22"/>
      <c r="N517" s="22"/>
      <c r="O517" s="22"/>
      <c r="P517" s="46"/>
      <c r="Q517" s="40"/>
      <c r="R517" s="41"/>
      <c r="S517" s="22" t="str">
        <f t="shared" si="49"/>
        <v/>
      </c>
      <c r="T517" s="41"/>
      <c r="U517" s="41" t="str">
        <f t="shared" si="53"/>
        <v/>
      </c>
      <c r="V517" s="44"/>
      <c r="W517" s="44"/>
      <c r="X517" s="46"/>
      <c r="Y517" s="46"/>
      <c r="Z517" s="46"/>
      <c r="AA517" s="41"/>
      <c r="AB517" s="22"/>
      <c r="AC517" s="22"/>
      <c r="AD517" s="41"/>
      <c r="AE517" s="22"/>
      <c r="AF517" s="22"/>
      <c r="AG517" s="48" t="str">
        <f t="shared" si="50"/>
        <v/>
      </c>
      <c r="AH517" s="48" t="str">
        <f t="shared" si="51"/>
        <v/>
      </c>
      <c r="AI517" s="48" t="str">
        <f t="shared" si="52"/>
        <v/>
      </c>
      <c r="AJ517" s="40" t="str">
        <f t="shared" si="48"/>
        <v/>
      </c>
      <c r="AK517" s="40"/>
      <c r="AL517" s="40"/>
      <c r="AM517" s="22"/>
      <c r="AQ517" s="46"/>
    </row>
    <row r="518" spans="1:43" ht="17.399999999999999">
      <c r="A518" s="22"/>
      <c r="B518" s="22"/>
      <c r="C518" s="56"/>
      <c r="D518" s="56"/>
      <c r="E518" s="22"/>
      <c r="F518" s="22"/>
      <c r="G518" s="22"/>
      <c r="H518" s="22"/>
      <c r="I518" s="49"/>
      <c r="J518" s="50"/>
      <c r="K518" s="22"/>
      <c r="L518" s="22"/>
      <c r="M518" s="22"/>
      <c r="N518" s="22"/>
      <c r="O518" s="22"/>
      <c r="P518" s="46"/>
      <c r="Q518" s="40"/>
      <c r="R518" s="41"/>
      <c r="S518" s="22" t="str">
        <f t="shared" si="49"/>
        <v/>
      </c>
      <c r="T518" s="41"/>
      <c r="U518" s="41" t="str">
        <f t="shared" si="53"/>
        <v/>
      </c>
      <c r="V518" s="44"/>
      <c r="W518" s="44"/>
      <c r="X518" s="46"/>
      <c r="Y518" s="46"/>
      <c r="Z518" s="46"/>
      <c r="AA518" s="41"/>
      <c r="AB518" s="22"/>
      <c r="AC518" s="22"/>
      <c r="AD518" s="41"/>
      <c r="AE518" s="22"/>
      <c r="AF518" s="22"/>
      <c r="AG518" s="48" t="str">
        <f t="shared" si="50"/>
        <v/>
      </c>
      <c r="AH518" s="48" t="str">
        <f t="shared" si="51"/>
        <v/>
      </c>
      <c r="AI518" s="48" t="str">
        <f t="shared" si="52"/>
        <v/>
      </c>
      <c r="AJ518" s="40" t="str">
        <f t="shared" si="48"/>
        <v/>
      </c>
      <c r="AK518" s="40"/>
      <c r="AL518" s="40"/>
      <c r="AM518" s="22"/>
      <c r="AQ518" s="46"/>
    </row>
    <row r="519" spans="1:43" ht="17.399999999999999">
      <c r="A519" s="22"/>
      <c r="B519" s="22"/>
      <c r="C519" s="56"/>
      <c r="D519" s="56"/>
      <c r="E519" s="22"/>
      <c r="F519" s="22"/>
      <c r="G519" s="22"/>
      <c r="H519" s="22"/>
      <c r="I519" s="49"/>
      <c r="J519" s="50"/>
      <c r="K519" s="22"/>
      <c r="L519" s="22"/>
      <c r="M519" s="22"/>
      <c r="N519" s="22"/>
      <c r="O519" s="22"/>
      <c r="P519" s="46"/>
      <c r="Q519" s="40"/>
      <c r="R519" s="41"/>
      <c r="S519" s="22" t="str">
        <f t="shared" si="49"/>
        <v/>
      </c>
      <c r="T519" s="41"/>
      <c r="U519" s="41" t="str">
        <f t="shared" si="53"/>
        <v/>
      </c>
      <c r="V519" s="44"/>
      <c r="W519" s="44"/>
      <c r="X519" s="46"/>
      <c r="Y519" s="46"/>
      <c r="Z519" s="46"/>
      <c r="AA519" s="41"/>
      <c r="AB519" s="22"/>
      <c r="AC519" s="22"/>
      <c r="AD519" s="41"/>
      <c r="AE519" s="22"/>
      <c r="AF519" s="22"/>
      <c r="AG519" s="48" t="str">
        <f t="shared" si="50"/>
        <v/>
      </c>
      <c r="AH519" s="48" t="str">
        <f t="shared" si="51"/>
        <v/>
      </c>
      <c r="AI519" s="48" t="str">
        <f t="shared" si="52"/>
        <v/>
      </c>
      <c r="AJ519" s="40" t="str">
        <f t="shared" si="48"/>
        <v/>
      </c>
      <c r="AK519" s="40"/>
      <c r="AL519" s="40"/>
      <c r="AM519" s="22"/>
      <c r="AQ519" s="46"/>
    </row>
    <row r="520" spans="1:43" ht="17.399999999999999">
      <c r="A520" s="22"/>
      <c r="B520" s="22"/>
      <c r="C520" s="56"/>
      <c r="D520" s="56"/>
      <c r="E520" s="22"/>
      <c r="F520" s="22"/>
      <c r="G520" s="22"/>
      <c r="H520" s="22"/>
      <c r="I520" s="49"/>
      <c r="J520" s="50"/>
      <c r="K520" s="22"/>
      <c r="L520" s="22"/>
      <c r="M520" s="22"/>
      <c r="N520" s="22"/>
      <c r="O520" s="22"/>
      <c r="P520" s="46"/>
      <c r="Q520" s="40"/>
      <c r="R520" s="41"/>
      <c r="S520" s="22" t="str">
        <f t="shared" si="49"/>
        <v/>
      </c>
      <c r="T520" s="41"/>
      <c r="U520" s="41" t="str">
        <f t="shared" si="53"/>
        <v/>
      </c>
      <c r="V520" s="44"/>
      <c r="W520" s="44"/>
      <c r="X520" s="46"/>
      <c r="Y520" s="46"/>
      <c r="Z520" s="46"/>
      <c r="AA520" s="41"/>
      <c r="AB520" s="22"/>
      <c r="AC520" s="22"/>
      <c r="AD520" s="41"/>
      <c r="AE520" s="22"/>
      <c r="AF520" s="22"/>
      <c r="AG520" s="48" t="str">
        <f t="shared" si="50"/>
        <v/>
      </c>
      <c r="AH520" s="48" t="str">
        <f t="shared" si="51"/>
        <v/>
      </c>
      <c r="AI520" s="48" t="str">
        <f t="shared" si="52"/>
        <v/>
      </c>
      <c r="AJ520" s="40" t="str">
        <f t="shared" si="48"/>
        <v/>
      </c>
      <c r="AK520" s="40"/>
      <c r="AL520" s="40"/>
      <c r="AM520" s="22"/>
      <c r="AQ520" s="46"/>
    </row>
    <row r="521" spans="1:43" ht="17.399999999999999">
      <c r="A521" s="22"/>
      <c r="B521" s="22"/>
      <c r="C521" s="56"/>
      <c r="D521" s="56"/>
      <c r="E521" s="22"/>
      <c r="F521" s="22"/>
      <c r="G521" s="22"/>
      <c r="H521" s="22"/>
      <c r="I521" s="49"/>
      <c r="J521" s="50"/>
      <c r="K521" s="22"/>
      <c r="L521" s="22"/>
      <c r="M521" s="22"/>
      <c r="N521" s="22"/>
      <c r="O521" s="22"/>
      <c r="P521" s="46"/>
      <c r="Q521" s="40"/>
      <c r="R521" s="41"/>
      <c r="S521" s="22" t="str">
        <f t="shared" si="49"/>
        <v/>
      </c>
      <c r="T521" s="41"/>
      <c r="U521" s="41" t="str">
        <f t="shared" si="53"/>
        <v/>
      </c>
      <c r="V521" s="44"/>
      <c r="W521" s="44"/>
      <c r="X521" s="46"/>
      <c r="Y521" s="46"/>
      <c r="Z521" s="46"/>
      <c r="AA521" s="41"/>
      <c r="AB521" s="22"/>
      <c r="AC521" s="22"/>
      <c r="AD521" s="41"/>
      <c r="AE521" s="22"/>
      <c r="AF521" s="22"/>
      <c r="AG521" s="48" t="str">
        <f t="shared" si="50"/>
        <v/>
      </c>
      <c r="AH521" s="48" t="str">
        <f t="shared" si="51"/>
        <v/>
      </c>
      <c r="AI521" s="48" t="str">
        <f t="shared" si="52"/>
        <v/>
      </c>
      <c r="AJ521" s="40" t="str">
        <f t="shared" si="48"/>
        <v/>
      </c>
      <c r="AK521" s="40"/>
      <c r="AL521" s="40"/>
      <c r="AM521" s="22"/>
      <c r="AQ521" s="46"/>
    </row>
    <row r="522" spans="1:43" ht="17.399999999999999">
      <c r="A522" s="22"/>
      <c r="B522" s="22"/>
      <c r="C522" s="56"/>
      <c r="D522" s="56"/>
      <c r="E522" s="22"/>
      <c r="F522" s="22"/>
      <c r="G522" s="22"/>
      <c r="H522" s="22"/>
      <c r="I522" s="49"/>
      <c r="J522" s="50"/>
      <c r="K522" s="22"/>
      <c r="L522" s="22"/>
      <c r="M522" s="22"/>
      <c r="N522" s="22"/>
      <c r="O522" s="22"/>
      <c r="P522" s="46"/>
      <c r="Q522" s="40"/>
      <c r="R522" s="41"/>
      <c r="S522" s="22" t="str">
        <f t="shared" si="49"/>
        <v/>
      </c>
      <c r="T522" s="41"/>
      <c r="U522" s="41" t="str">
        <f t="shared" si="53"/>
        <v/>
      </c>
      <c r="V522" s="44"/>
      <c r="W522" s="44"/>
      <c r="X522" s="46"/>
      <c r="Y522" s="46"/>
      <c r="Z522" s="46"/>
      <c r="AA522" s="41"/>
      <c r="AB522" s="22"/>
      <c r="AC522" s="22"/>
      <c r="AD522" s="41"/>
      <c r="AE522" s="22"/>
      <c r="AF522" s="22"/>
      <c r="AG522" s="48" t="str">
        <f t="shared" si="50"/>
        <v/>
      </c>
      <c r="AH522" s="48" t="str">
        <f t="shared" si="51"/>
        <v/>
      </c>
      <c r="AI522" s="48" t="str">
        <f t="shared" si="52"/>
        <v/>
      </c>
      <c r="AJ522" s="40" t="str">
        <f t="shared" si="48"/>
        <v/>
      </c>
      <c r="AK522" s="40"/>
      <c r="AL522" s="40"/>
      <c r="AM522" s="22"/>
      <c r="AQ522" s="46"/>
    </row>
    <row r="523" spans="1:43" ht="17.399999999999999">
      <c r="A523" s="22"/>
      <c r="B523" s="22"/>
      <c r="C523" s="56"/>
      <c r="D523" s="56"/>
      <c r="E523" s="22"/>
      <c r="F523" s="22"/>
      <c r="G523" s="22"/>
      <c r="H523" s="22"/>
      <c r="I523" s="49"/>
      <c r="J523" s="50"/>
      <c r="K523" s="22"/>
      <c r="L523" s="22"/>
      <c r="M523" s="22"/>
      <c r="N523" s="22"/>
      <c r="O523" s="22"/>
      <c r="P523" s="46"/>
      <c r="Q523" s="40"/>
      <c r="R523" s="41"/>
      <c r="S523" s="22" t="str">
        <f t="shared" si="49"/>
        <v/>
      </c>
      <c r="T523" s="41"/>
      <c r="U523" s="41" t="str">
        <f t="shared" si="53"/>
        <v/>
      </c>
      <c r="V523" s="44"/>
      <c r="W523" s="44"/>
      <c r="X523" s="46"/>
      <c r="Y523" s="46"/>
      <c r="Z523" s="46"/>
      <c r="AA523" s="41"/>
      <c r="AB523" s="22"/>
      <c r="AC523" s="22"/>
      <c r="AD523" s="41"/>
      <c r="AE523" s="22"/>
      <c r="AF523" s="22"/>
      <c r="AG523" s="48" t="str">
        <f t="shared" si="50"/>
        <v/>
      </c>
      <c r="AH523" s="48" t="str">
        <f t="shared" si="51"/>
        <v/>
      </c>
      <c r="AI523" s="48" t="str">
        <f t="shared" si="52"/>
        <v/>
      </c>
      <c r="AJ523" s="40" t="str">
        <f t="shared" si="48"/>
        <v/>
      </c>
      <c r="AK523" s="40"/>
      <c r="AL523" s="40"/>
      <c r="AM523" s="22"/>
      <c r="AQ523" s="46"/>
    </row>
    <row r="524" spans="1:43" ht="17.399999999999999">
      <c r="A524" s="22"/>
      <c r="B524" s="22"/>
      <c r="C524" s="56"/>
      <c r="D524" s="56"/>
      <c r="E524" s="22"/>
      <c r="F524" s="22"/>
      <c r="G524" s="22"/>
      <c r="H524" s="22"/>
      <c r="I524" s="49"/>
      <c r="J524" s="50"/>
      <c r="K524" s="22"/>
      <c r="L524" s="22"/>
      <c r="M524" s="22"/>
      <c r="N524" s="22"/>
      <c r="O524" s="22"/>
      <c r="P524" s="46"/>
      <c r="Q524" s="40"/>
      <c r="R524" s="41"/>
      <c r="S524" s="22" t="str">
        <f t="shared" si="49"/>
        <v/>
      </c>
      <c r="T524" s="41"/>
      <c r="U524" s="41" t="str">
        <f t="shared" si="53"/>
        <v/>
      </c>
      <c r="V524" s="44"/>
      <c r="W524" s="44"/>
      <c r="X524" s="46"/>
      <c r="Y524" s="46"/>
      <c r="Z524" s="46"/>
      <c r="AA524" s="41"/>
      <c r="AB524" s="22"/>
      <c r="AC524" s="22"/>
      <c r="AD524" s="41"/>
      <c r="AE524" s="22"/>
      <c r="AF524" s="22"/>
      <c r="AG524" s="48" t="str">
        <f t="shared" si="50"/>
        <v/>
      </c>
      <c r="AH524" s="48" t="str">
        <f t="shared" si="51"/>
        <v/>
      </c>
      <c r="AI524" s="48" t="str">
        <f t="shared" si="52"/>
        <v/>
      </c>
      <c r="AJ524" s="40" t="str">
        <f t="shared" si="48"/>
        <v/>
      </c>
      <c r="AK524" s="40"/>
      <c r="AL524" s="40"/>
      <c r="AM524" s="22"/>
      <c r="AQ524" s="46"/>
    </row>
    <row r="525" spans="1:43" ht="17.399999999999999">
      <c r="A525" s="22"/>
      <c r="B525" s="22"/>
      <c r="C525" s="56"/>
      <c r="D525" s="56"/>
      <c r="E525" s="22"/>
      <c r="F525" s="22"/>
      <c r="G525" s="22"/>
      <c r="H525" s="22"/>
      <c r="I525" s="49"/>
      <c r="J525" s="50"/>
      <c r="K525" s="22"/>
      <c r="L525" s="22"/>
      <c r="M525" s="22"/>
      <c r="N525" s="22"/>
      <c r="O525" s="22"/>
      <c r="P525" s="46"/>
      <c r="Q525" s="40"/>
      <c r="R525" s="41"/>
      <c r="S525" s="22" t="str">
        <f t="shared" si="49"/>
        <v/>
      </c>
      <c r="T525" s="41"/>
      <c r="U525" s="41" t="str">
        <f t="shared" si="53"/>
        <v/>
      </c>
      <c r="V525" s="44"/>
      <c r="W525" s="44"/>
      <c r="X525" s="46"/>
      <c r="Y525" s="46"/>
      <c r="Z525" s="46"/>
      <c r="AA525" s="41"/>
      <c r="AB525" s="22"/>
      <c r="AC525" s="22"/>
      <c r="AD525" s="41"/>
      <c r="AE525" s="22"/>
      <c r="AF525" s="22"/>
      <c r="AG525" s="48" t="str">
        <f t="shared" si="50"/>
        <v/>
      </c>
      <c r="AH525" s="48" t="str">
        <f t="shared" si="51"/>
        <v/>
      </c>
      <c r="AI525" s="48" t="str">
        <f t="shared" si="52"/>
        <v/>
      </c>
      <c r="AJ525" s="40" t="str">
        <f t="shared" si="48"/>
        <v/>
      </c>
      <c r="AK525" s="40"/>
      <c r="AL525" s="40"/>
      <c r="AM525" s="22"/>
      <c r="AQ525" s="46"/>
    </row>
    <row r="526" spans="1:43" ht="17.399999999999999">
      <c r="A526" s="22"/>
      <c r="B526" s="22"/>
      <c r="C526" s="56"/>
      <c r="D526" s="56"/>
      <c r="E526" s="22"/>
      <c r="F526" s="22"/>
      <c r="G526" s="22"/>
      <c r="H526" s="22"/>
      <c r="I526" s="49"/>
      <c r="J526" s="50"/>
      <c r="K526" s="22"/>
      <c r="L526" s="22"/>
      <c r="M526" s="22"/>
      <c r="N526" s="22"/>
      <c r="O526" s="22"/>
      <c r="P526" s="46"/>
      <c r="Q526" s="40"/>
      <c r="R526" s="41"/>
      <c r="S526" s="22" t="str">
        <f t="shared" si="49"/>
        <v/>
      </c>
      <c r="T526" s="41"/>
      <c r="U526" s="41" t="str">
        <f t="shared" si="53"/>
        <v/>
      </c>
      <c r="V526" s="44"/>
      <c r="W526" s="44"/>
      <c r="X526" s="46"/>
      <c r="Y526" s="46"/>
      <c r="Z526" s="46"/>
      <c r="AA526" s="41"/>
      <c r="AB526" s="22"/>
      <c r="AC526" s="22"/>
      <c r="AD526" s="41"/>
      <c r="AE526" s="22"/>
      <c r="AF526" s="22"/>
      <c r="AG526" s="48" t="str">
        <f t="shared" si="50"/>
        <v/>
      </c>
      <c r="AH526" s="48" t="str">
        <f t="shared" si="51"/>
        <v/>
      </c>
      <c r="AI526" s="48" t="str">
        <f t="shared" si="52"/>
        <v/>
      </c>
      <c r="AJ526" s="40" t="str">
        <f t="shared" si="48"/>
        <v/>
      </c>
      <c r="AK526" s="40"/>
      <c r="AL526" s="40"/>
      <c r="AM526" s="22"/>
      <c r="AQ526" s="46"/>
    </row>
    <row r="527" spans="1:43" ht="17.399999999999999">
      <c r="A527" s="22"/>
      <c r="B527" s="22"/>
      <c r="C527" s="56"/>
      <c r="D527" s="56"/>
      <c r="E527" s="22"/>
      <c r="F527" s="22"/>
      <c r="G527" s="22"/>
      <c r="H527" s="22"/>
      <c r="I527" s="49"/>
      <c r="J527" s="50"/>
      <c r="K527" s="22"/>
      <c r="L527" s="22"/>
      <c r="M527" s="22"/>
      <c r="N527" s="22"/>
      <c r="O527" s="22"/>
      <c r="P527" s="46"/>
      <c r="Q527" s="40"/>
      <c r="R527" s="41"/>
      <c r="S527" s="22" t="str">
        <f t="shared" si="49"/>
        <v/>
      </c>
      <c r="T527" s="41"/>
      <c r="U527" s="41" t="str">
        <f t="shared" si="53"/>
        <v/>
      </c>
      <c r="V527" s="44"/>
      <c r="W527" s="44"/>
      <c r="X527" s="46"/>
      <c r="Y527" s="46"/>
      <c r="Z527" s="46"/>
      <c r="AA527" s="41"/>
      <c r="AB527" s="22"/>
      <c r="AC527" s="22"/>
      <c r="AD527" s="41"/>
      <c r="AE527" s="22"/>
      <c r="AF527" s="22"/>
      <c r="AG527" s="48" t="str">
        <f t="shared" si="50"/>
        <v/>
      </c>
      <c r="AH527" s="48" t="str">
        <f t="shared" si="51"/>
        <v/>
      </c>
      <c r="AI527" s="48" t="str">
        <f t="shared" si="52"/>
        <v/>
      </c>
      <c r="AJ527" s="40" t="str">
        <f t="shared" si="48"/>
        <v/>
      </c>
      <c r="AK527" s="40"/>
      <c r="AL527" s="40"/>
      <c r="AM527" s="22"/>
      <c r="AQ527" s="46"/>
    </row>
    <row r="528" spans="1:43" ht="17.399999999999999">
      <c r="A528" s="22"/>
      <c r="B528" s="22"/>
      <c r="C528" s="56"/>
      <c r="D528" s="56"/>
      <c r="E528" s="22"/>
      <c r="F528" s="22"/>
      <c r="G528" s="22"/>
      <c r="H528" s="22"/>
      <c r="I528" s="49"/>
      <c r="J528" s="50"/>
      <c r="K528" s="22"/>
      <c r="L528" s="22"/>
      <c r="M528" s="22"/>
      <c r="N528" s="22"/>
      <c r="O528" s="22"/>
      <c r="P528" s="46"/>
      <c r="Q528" s="40"/>
      <c r="R528" s="41"/>
      <c r="S528" s="22" t="str">
        <f t="shared" si="49"/>
        <v/>
      </c>
      <c r="T528" s="41"/>
      <c r="U528" s="41" t="str">
        <f t="shared" si="53"/>
        <v/>
      </c>
      <c r="V528" s="44"/>
      <c r="W528" s="44"/>
      <c r="X528" s="46"/>
      <c r="Y528" s="46"/>
      <c r="Z528" s="46"/>
      <c r="AA528" s="41"/>
      <c r="AB528" s="22"/>
      <c r="AC528" s="22"/>
      <c r="AD528" s="41"/>
      <c r="AE528" s="22"/>
      <c r="AF528" s="22"/>
      <c r="AG528" s="48" t="str">
        <f t="shared" si="50"/>
        <v/>
      </c>
      <c r="AH528" s="48" t="str">
        <f t="shared" si="51"/>
        <v/>
      </c>
      <c r="AI528" s="48" t="str">
        <f t="shared" si="52"/>
        <v/>
      </c>
      <c r="AJ528" s="40" t="str">
        <f t="shared" si="48"/>
        <v/>
      </c>
      <c r="AK528" s="40"/>
      <c r="AL528" s="40"/>
      <c r="AM528" s="22"/>
      <c r="AQ528" s="46"/>
    </row>
    <row r="529" spans="1:43" ht="17.399999999999999">
      <c r="A529" s="22"/>
      <c r="B529" s="22"/>
      <c r="C529" s="56"/>
      <c r="D529" s="56"/>
      <c r="E529" s="22"/>
      <c r="F529" s="22"/>
      <c r="G529" s="22"/>
      <c r="H529" s="22"/>
      <c r="I529" s="49"/>
      <c r="J529" s="50"/>
      <c r="K529" s="22"/>
      <c r="L529" s="22"/>
      <c r="M529" s="22"/>
      <c r="N529" s="22"/>
      <c r="O529" s="22"/>
      <c r="P529" s="46"/>
      <c r="Q529" s="40"/>
      <c r="R529" s="41"/>
      <c r="S529" s="22" t="str">
        <f t="shared" si="49"/>
        <v/>
      </c>
      <c r="T529" s="41"/>
      <c r="U529" s="41" t="str">
        <f t="shared" si="53"/>
        <v/>
      </c>
      <c r="V529" s="44"/>
      <c r="W529" s="44"/>
      <c r="X529" s="46"/>
      <c r="Y529" s="46"/>
      <c r="Z529" s="46"/>
      <c r="AA529" s="41"/>
      <c r="AB529" s="22"/>
      <c r="AC529" s="22"/>
      <c r="AD529" s="41"/>
      <c r="AE529" s="22"/>
      <c r="AF529" s="22"/>
      <c r="AG529" s="48" t="str">
        <f t="shared" si="50"/>
        <v/>
      </c>
      <c r="AH529" s="48" t="str">
        <f t="shared" si="51"/>
        <v/>
      </c>
      <c r="AI529" s="48" t="str">
        <f t="shared" si="52"/>
        <v/>
      </c>
      <c r="AJ529" s="40" t="str">
        <f t="shared" si="48"/>
        <v/>
      </c>
      <c r="AK529" s="40"/>
      <c r="AL529" s="40"/>
      <c r="AM529" s="22"/>
      <c r="AQ529" s="46"/>
    </row>
    <row r="530" spans="1:43" ht="17.399999999999999">
      <c r="A530" s="22"/>
      <c r="B530" s="22"/>
      <c r="C530" s="56"/>
      <c r="D530" s="56"/>
      <c r="E530" s="22"/>
      <c r="F530" s="22"/>
      <c r="G530" s="22"/>
      <c r="H530" s="22"/>
      <c r="I530" s="49"/>
      <c r="J530" s="50"/>
      <c r="K530" s="22"/>
      <c r="L530" s="22"/>
      <c r="M530" s="22"/>
      <c r="N530" s="22"/>
      <c r="O530" s="22"/>
      <c r="P530" s="46"/>
      <c r="Q530" s="40"/>
      <c r="R530" s="41"/>
      <c r="S530" s="22" t="str">
        <f t="shared" si="49"/>
        <v/>
      </c>
      <c r="T530" s="41"/>
      <c r="U530" s="41" t="str">
        <f t="shared" si="53"/>
        <v/>
      </c>
      <c r="V530" s="44"/>
      <c r="W530" s="44"/>
      <c r="X530" s="46"/>
      <c r="Y530" s="46"/>
      <c r="Z530" s="46"/>
      <c r="AA530" s="41"/>
      <c r="AB530" s="22"/>
      <c r="AC530" s="22"/>
      <c r="AD530" s="41"/>
      <c r="AE530" s="22"/>
      <c r="AF530" s="22"/>
      <c r="AG530" s="48" t="str">
        <f t="shared" si="50"/>
        <v/>
      </c>
      <c r="AH530" s="48" t="str">
        <f t="shared" si="51"/>
        <v/>
      </c>
      <c r="AI530" s="48" t="str">
        <f t="shared" si="52"/>
        <v/>
      </c>
      <c r="AJ530" s="40" t="str">
        <f t="shared" si="48"/>
        <v/>
      </c>
      <c r="AK530" s="40"/>
      <c r="AL530" s="40"/>
      <c r="AM530" s="22"/>
      <c r="AQ530" s="46"/>
    </row>
    <row r="531" spans="1:43" ht="17.399999999999999">
      <c r="A531" s="22"/>
      <c r="B531" s="22"/>
      <c r="C531" s="56"/>
      <c r="D531" s="56"/>
      <c r="E531" s="22"/>
      <c r="F531" s="22"/>
      <c r="G531" s="22"/>
      <c r="H531" s="22"/>
      <c r="I531" s="49"/>
      <c r="J531" s="50"/>
      <c r="K531" s="22"/>
      <c r="L531" s="22"/>
      <c r="M531" s="22"/>
      <c r="N531" s="22"/>
      <c r="O531" s="22"/>
      <c r="P531" s="46"/>
      <c r="Q531" s="40"/>
      <c r="R531" s="41"/>
      <c r="S531" s="22" t="str">
        <f t="shared" si="49"/>
        <v/>
      </c>
      <c r="T531" s="41"/>
      <c r="U531" s="41" t="str">
        <f t="shared" si="53"/>
        <v/>
      </c>
      <c r="V531" s="44"/>
      <c r="W531" s="44"/>
      <c r="X531" s="46"/>
      <c r="Y531" s="46"/>
      <c r="Z531" s="46"/>
      <c r="AA531" s="41"/>
      <c r="AB531" s="22"/>
      <c r="AC531" s="22"/>
      <c r="AD531" s="41"/>
      <c r="AE531" s="22"/>
      <c r="AF531" s="22"/>
      <c r="AG531" s="48" t="str">
        <f t="shared" si="50"/>
        <v/>
      </c>
      <c r="AH531" s="48" t="str">
        <f t="shared" si="51"/>
        <v/>
      </c>
      <c r="AI531" s="48" t="str">
        <f t="shared" si="52"/>
        <v/>
      </c>
      <c r="AJ531" s="40" t="str">
        <f t="shared" si="48"/>
        <v/>
      </c>
      <c r="AK531" s="40"/>
      <c r="AL531" s="40"/>
      <c r="AM531" s="22"/>
      <c r="AQ531" s="46"/>
    </row>
    <row r="532" spans="1:43" ht="17.399999999999999">
      <c r="A532" s="22"/>
      <c r="B532" s="22"/>
      <c r="C532" s="56"/>
      <c r="D532" s="56"/>
      <c r="E532" s="22"/>
      <c r="F532" s="22"/>
      <c r="G532" s="22"/>
      <c r="H532" s="22"/>
      <c r="I532" s="49"/>
      <c r="J532" s="50"/>
      <c r="K532" s="22"/>
      <c r="L532" s="22"/>
      <c r="M532" s="22"/>
      <c r="N532" s="22"/>
      <c r="O532" s="22"/>
      <c r="P532" s="46"/>
      <c r="Q532" s="40"/>
      <c r="R532" s="41"/>
      <c r="S532" s="22" t="str">
        <f t="shared" si="49"/>
        <v/>
      </c>
      <c r="T532" s="41"/>
      <c r="U532" s="41" t="str">
        <f t="shared" si="53"/>
        <v/>
      </c>
      <c r="V532" s="44"/>
      <c r="W532" s="44"/>
      <c r="X532" s="46"/>
      <c r="Y532" s="46"/>
      <c r="Z532" s="46"/>
      <c r="AA532" s="41"/>
      <c r="AB532" s="22"/>
      <c r="AC532" s="22"/>
      <c r="AD532" s="41"/>
      <c r="AE532" s="22"/>
      <c r="AF532" s="22"/>
      <c r="AG532" s="48" t="str">
        <f t="shared" si="50"/>
        <v/>
      </c>
      <c r="AH532" s="48" t="str">
        <f t="shared" si="51"/>
        <v/>
      </c>
      <c r="AI532" s="48" t="str">
        <f t="shared" si="52"/>
        <v/>
      </c>
      <c r="AJ532" s="40" t="str">
        <f t="shared" si="48"/>
        <v/>
      </c>
      <c r="AK532" s="40"/>
      <c r="AL532" s="40"/>
      <c r="AM532" s="22"/>
      <c r="AQ532" s="46"/>
    </row>
    <row r="533" spans="1:43" ht="17.399999999999999">
      <c r="A533" s="22"/>
      <c r="B533" s="22"/>
      <c r="C533" s="56"/>
      <c r="D533" s="56"/>
      <c r="E533" s="22"/>
      <c r="F533" s="22"/>
      <c r="G533" s="22"/>
      <c r="H533" s="22"/>
      <c r="I533" s="49"/>
      <c r="J533" s="50"/>
      <c r="K533" s="22"/>
      <c r="L533" s="22"/>
      <c r="M533" s="22"/>
      <c r="N533" s="22"/>
      <c r="O533" s="22"/>
      <c r="P533" s="46"/>
      <c r="Q533" s="40"/>
      <c r="R533" s="41"/>
      <c r="S533" s="22" t="str">
        <f t="shared" si="49"/>
        <v/>
      </c>
      <c r="T533" s="41"/>
      <c r="U533" s="41" t="str">
        <f t="shared" si="53"/>
        <v/>
      </c>
      <c r="V533" s="44"/>
      <c r="W533" s="44"/>
      <c r="X533" s="46"/>
      <c r="Y533" s="46"/>
      <c r="Z533" s="46"/>
      <c r="AA533" s="41"/>
      <c r="AB533" s="22"/>
      <c r="AC533" s="22"/>
      <c r="AD533" s="41"/>
      <c r="AE533" s="22"/>
      <c r="AF533" s="22"/>
      <c r="AG533" s="48" t="str">
        <f t="shared" si="50"/>
        <v/>
      </c>
      <c r="AH533" s="48" t="str">
        <f t="shared" si="51"/>
        <v/>
      </c>
      <c r="AI533" s="48" t="str">
        <f t="shared" si="52"/>
        <v/>
      </c>
      <c r="AJ533" s="40" t="str">
        <f t="shared" si="48"/>
        <v/>
      </c>
      <c r="AK533" s="40"/>
      <c r="AL533" s="40"/>
      <c r="AM533" s="22"/>
      <c r="AQ533" s="46"/>
    </row>
    <row r="534" spans="1:43" ht="17.399999999999999">
      <c r="A534" s="22"/>
      <c r="B534" s="22"/>
      <c r="C534" s="56"/>
      <c r="D534" s="56"/>
      <c r="E534" s="22"/>
      <c r="F534" s="22"/>
      <c r="G534" s="22"/>
      <c r="H534" s="22"/>
      <c r="I534" s="49"/>
      <c r="J534" s="50"/>
      <c r="K534" s="22"/>
      <c r="L534" s="22"/>
      <c r="M534" s="22"/>
      <c r="N534" s="22"/>
      <c r="O534" s="22"/>
      <c r="P534" s="46"/>
      <c r="Q534" s="40"/>
      <c r="R534" s="41"/>
      <c r="S534" s="22" t="str">
        <f t="shared" si="49"/>
        <v/>
      </c>
      <c r="T534" s="41"/>
      <c r="U534" s="41" t="str">
        <f t="shared" si="53"/>
        <v/>
      </c>
      <c r="V534" s="44"/>
      <c r="W534" s="44"/>
      <c r="X534" s="46"/>
      <c r="Y534" s="46"/>
      <c r="Z534" s="46"/>
      <c r="AA534" s="41"/>
      <c r="AB534" s="22"/>
      <c r="AC534" s="22"/>
      <c r="AD534" s="41"/>
      <c r="AE534" s="22"/>
      <c r="AF534" s="22"/>
      <c r="AG534" s="48" t="str">
        <f t="shared" si="50"/>
        <v/>
      </c>
      <c r="AH534" s="48" t="str">
        <f t="shared" si="51"/>
        <v/>
      </c>
      <c r="AI534" s="48" t="str">
        <f t="shared" si="52"/>
        <v/>
      </c>
      <c r="AJ534" s="40" t="str">
        <f t="shared" si="48"/>
        <v/>
      </c>
      <c r="AK534" s="40"/>
      <c r="AL534" s="40"/>
      <c r="AM534" s="22"/>
      <c r="AQ534" s="46"/>
    </row>
    <row r="535" spans="1:43" ht="17.399999999999999">
      <c r="A535" s="22"/>
      <c r="B535" s="22"/>
      <c r="C535" s="56"/>
      <c r="D535" s="56"/>
      <c r="E535" s="22"/>
      <c r="F535" s="22"/>
      <c r="G535" s="22"/>
      <c r="H535" s="22"/>
      <c r="I535" s="49"/>
      <c r="J535" s="50"/>
      <c r="K535" s="22"/>
      <c r="L535" s="22"/>
      <c r="M535" s="22"/>
      <c r="N535" s="22"/>
      <c r="O535" s="22"/>
      <c r="P535" s="46"/>
      <c r="Q535" s="40"/>
      <c r="R535" s="41"/>
      <c r="S535" s="22" t="str">
        <f t="shared" si="49"/>
        <v/>
      </c>
      <c r="T535" s="41"/>
      <c r="U535" s="41" t="str">
        <f t="shared" si="53"/>
        <v/>
      </c>
      <c r="V535" s="44"/>
      <c r="W535" s="44"/>
      <c r="X535" s="46"/>
      <c r="Y535" s="46"/>
      <c r="Z535" s="46"/>
      <c r="AA535" s="41"/>
      <c r="AB535" s="22"/>
      <c r="AC535" s="22"/>
      <c r="AD535" s="41"/>
      <c r="AE535" s="22"/>
      <c r="AF535" s="22"/>
      <c r="AG535" s="48" t="str">
        <f t="shared" si="50"/>
        <v/>
      </c>
      <c r="AH535" s="48" t="str">
        <f t="shared" si="51"/>
        <v/>
      </c>
      <c r="AI535" s="48" t="str">
        <f t="shared" si="52"/>
        <v/>
      </c>
      <c r="AJ535" s="40" t="str">
        <f t="shared" si="48"/>
        <v/>
      </c>
      <c r="AK535" s="40"/>
      <c r="AL535" s="40"/>
      <c r="AM535" s="22"/>
      <c r="AQ535" s="46"/>
    </row>
    <row r="536" spans="1:43" ht="17.399999999999999">
      <c r="A536" s="22"/>
      <c r="B536" s="22"/>
      <c r="C536" s="56"/>
      <c r="D536" s="56"/>
      <c r="E536" s="22"/>
      <c r="F536" s="22"/>
      <c r="G536" s="22"/>
      <c r="H536" s="22"/>
      <c r="I536" s="49"/>
      <c r="J536" s="50"/>
      <c r="K536" s="22"/>
      <c r="L536" s="22"/>
      <c r="M536" s="22"/>
      <c r="N536" s="22"/>
      <c r="O536" s="22"/>
      <c r="P536" s="46"/>
      <c r="Q536" s="40"/>
      <c r="R536" s="41"/>
      <c r="S536" s="22" t="str">
        <f t="shared" si="49"/>
        <v/>
      </c>
      <c r="T536" s="41"/>
      <c r="U536" s="41" t="str">
        <f t="shared" si="53"/>
        <v/>
      </c>
      <c r="V536" s="44"/>
      <c r="W536" s="44"/>
      <c r="X536" s="46"/>
      <c r="Y536" s="46"/>
      <c r="Z536" s="46"/>
      <c r="AA536" s="41"/>
      <c r="AB536" s="22"/>
      <c r="AC536" s="22"/>
      <c r="AD536" s="41"/>
      <c r="AE536" s="22"/>
      <c r="AF536" s="22"/>
      <c r="AG536" s="48" t="str">
        <f t="shared" si="50"/>
        <v/>
      </c>
      <c r="AH536" s="48" t="str">
        <f t="shared" si="51"/>
        <v/>
      </c>
      <c r="AI536" s="48" t="str">
        <f t="shared" si="52"/>
        <v/>
      </c>
      <c r="AJ536" s="40" t="str">
        <f t="shared" si="48"/>
        <v/>
      </c>
      <c r="AK536" s="40"/>
      <c r="AL536" s="40"/>
      <c r="AM536" s="22"/>
      <c r="AQ536" s="46"/>
    </row>
    <row r="537" spans="1:43" ht="17.399999999999999">
      <c r="A537" s="22"/>
      <c r="B537" s="22"/>
      <c r="C537" s="56"/>
      <c r="D537" s="56"/>
      <c r="E537" s="22"/>
      <c r="F537" s="22"/>
      <c r="G537" s="22"/>
      <c r="H537" s="22"/>
      <c r="I537" s="49"/>
      <c r="J537" s="50"/>
      <c r="K537" s="22"/>
      <c r="L537" s="22"/>
      <c r="M537" s="22"/>
      <c r="N537" s="22"/>
      <c r="O537" s="22"/>
      <c r="P537" s="46"/>
      <c r="Q537" s="40"/>
      <c r="R537" s="41"/>
      <c r="S537" s="22" t="str">
        <f t="shared" si="49"/>
        <v/>
      </c>
      <c r="T537" s="41"/>
      <c r="U537" s="41" t="str">
        <f t="shared" si="53"/>
        <v/>
      </c>
      <c r="V537" s="44"/>
      <c r="W537" s="44"/>
      <c r="X537" s="46"/>
      <c r="Y537" s="46"/>
      <c r="Z537" s="46"/>
      <c r="AA537" s="41"/>
      <c r="AB537" s="22"/>
      <c r="AC537" s="22"/>
      <c r="AD537" s="41"/>
      <c r="AE537" s="22"/>
      <c r="AF537" s="22"/>
      <c r="AG537" s="48" t="str">
        <f t="shared" si="50"/>
        <v/>
      </c>
      <c r="AH537" s="48" t="str">
        <f t="shared" si="51"/>
        <v/>
      </c>
      <c r="AI537" s="48" t="str">
        <f t="shared" si="52"/>
        <v/>
      </c>
      <c r="AJ537" s="40" t="str">
        <f t="shared" si="48"/>
        <v/>
      </c>
      <c r="AK537" s="40"/>
      <c r="AL537" s="40"/>
      <c r="AM537" s="22"/>
      <c r="AQ537" s="46"/>
    </row>
    <row r="538" spans="1:43" ht="17.399999999999999">
      <c r="A538" s="22"/>
      <c r="B538" s="22"/>
      <c r="C538" s="56"/>
      <c r="D538" s="56"/>
      <c r="E538" s="22"/>
      <c r="F538" s="22"/>
      <c r="G538" s="22"/>
      <c r="H538" s="22"/>
      <c r="I538" s="49"/>
      <c r="J538" s="50"/>
      <c r="K538" s="22"/>
      <c r="L538" s="22"/>
      <c r="M538" s="22"/>
      <c r="N538" s="22"/>
      <c r="O538" s="22"/>
      <c r="P538" s="46"/>
      <c r="Q538" s="40"/>
      <c r="R538" s="41"/>
      <c r="S538" s="22" t="str">
        <f t="shared" si="49"/>
        <v/>
      </c>
      <c r="T538" s="41"/>
      <c r="U538" s="41" t="str">
        <f t="shared" si="53"/>
        <v/>
      </c>
      <c r="V538" s="44"/>
      <c r="W538" s="44"/>
      <c r="X538" s="46"/>
      <c r="Y538" s="46"/>
      <c r="Z538" s="46"/>
      <c r="AA538" s="41"/>
      <c r="AB538" s="22"/>
      <c r="AC538" s="22"/>
      <c r="AD538" s="41"/>
      <c r="AE538" s="22"/>
      <c r="AF538" s="22"/>
      <c r="AG538" s="48" t="str">
        <f t="shared" si="50"/>
        <v/>
      </c>
      <c r="AH538" s="48" t="str">
        <f t="shared" si="51"/>
        <v/>
      </c>
      <c r="AI538" s="48" t="str">
        <f t="shared" si="52"/>
        <v/>
      </c>
      <c r="AJ538" s="40" t="str">
        <f t="shared" si="48"/>
        <v/>
      </c>
      <c r="AK538" s="40"/>
      <c r="AL538" s="40"/>
      <c r="AM538" s="22"/>
      <c r="AQ538" s="46"/>
    </row>
    <row r="539" spans="1:43" ht="17.399999999999999">
      <c r="A539" s="22"/>
      <c r="B539" s="22"/>
      <c r="C539" s="56"/>
      <c r="D539" s="56"/>
      <c r="E539" s="22"/>
      <c r="F539" s="22"/>
      <c r="G539" s="22"/>
      <c r="H539" s="22"/>
      <c r="I539" s="49"/>
      <c r="J539" s="50"/>
      <c r="K539" s="22"/>
      <c r="L539" s="22"/>
      <c r="M539" s="22"/>
      <c r="N539" s="22"/>
      <c r="O539" s="22"/>
      <c r="P539" s="46"/>
      <c r="Q539" s="40"/>
      <c r="R539" s="41"/>
      <c r="S539" s="22" t="str">
        <f t="shared" si="49"/>
        <v/>
      </c>
      <c r="T539" s="41"/>
      <c r="U539" s="41" t="str">
        <f t="shared" si="53"/>
        <v/>
      </c>
      <c r="V539" s="44"/>
      <c r="W539" s="44"/>
      <c r="X539" s="46"/>
      <c r="Y539" s="46"/>
      <c r="Z539" s="46"/>
      <c r="AA539" s="41"/>
      <c r="AB539" s="22"/>
      <c r="AC539" s="22"/>
      <c r="AD539" s="41"/>
      <c r="AE539" s="22"/>
      <c r="AF539" s="22"/>
      <c r="AG539" s="48" t="str">
        <f t="shared" si="50"/>
        <v/>
      </c>
      <c r="AH539" s="48" t="str">
        <f t="shared" si="51"/>
        <v/>
      </c>
      <c r="AI539" s="48" t="str">
        <f t="shared" si="52"/>
        <v/>
      </c>
      <c r="AJ539" s="40" t="str">
        <f t="shared" si="48"/>
        <v/>
      </c>
      <c r="AK539" s="40"/>
      <c r="AL539" s="40"/>
      <c r="AM539" s="22"/>
      <c r="AQ539" s="46"/>
    </row>
    <row r="540" spans="1:43" ht="17.399999999999999">
      <c r="A540" s="22"/>
      <c r="B540" s="22"/>
      <c r="C540" s="56"/>
      <c r="D540" s="56"/>
      <c r="E540" s="22"/>
      <c r="F540" s="22"/>
      <c r="G540" s="22"/>
      <c r="H540" s="22"/>
      <c r="I540" s="49"/>
      <c r="J540" s="50"/>
      <c r="K540" s="22"/>
      <c r="L540" s="22"/>
      <c r="M540" s="22"/>
      <c r="N540" s="22"/>
      <c r="O540" s="22"/>
      <c r="P540" s="46"/>
      <c r="Q540" s="40"/>
      <c r="R540" s="41"/>
      <c r="S540" s="22" t="str">
        <f t="shared" si="49"/>
        <v/>
      </c>
      <c r="T540" s="41"/>
      <c r="U540" s="41" t="str">
        <f t="shared" si="53"/>
        <v/>
      </c>
      <c r="V540" s="44"/>
      <c r="W540" s="44"/>
      <c r="X540" s="46"/>
      <c r="Y540" s="46"/>
      <c r="Z540" s="46"/>
      <c r="AA540" s="41"/>
      <c r="AB540" s="22"/>
      <c r="AC540" s="22"/>
      <c r="AD540" s="41"/>
      <c r="AE540" s="22"/>
      <c r="AF540" s="22"/>
      <c r="AG540" s="48" t="str">
        <f t="shared" si="50"/>
        <v/>
      </c>
      <c r="AH540" s="48" t="str">
        <f t="shared" si="51"/>
        <v/>
      </c>
      <c r="AI540" s="48" t="str">
        <f t="shared" si="52"/>
        <v/>
      </c>
      <c r="AJ540" s="40" t="str">
        <f t="shared" si="48"/>
        <v/>
      </c>
      <c r="AK540" s="40"/>
      <c r="AL540" s="40"/>
      <c r="AM540" s="22"/>
      <c r="AQ540" s="46"/>
    </row>
    <row r="541" spans="1:43" ht="17.399999999999999">
      <c r="A541" s="22"/>
      <c r="B541" s="22"/>
      <c r="C541" s="56"/>
      <c r="D541" s="56"/>
      <c r="E541" s="22"/>
      <c r="F541" s="22"/>
      <c r="G541" s="22"/>
      <c r="H541" s="22"/>
      <c r="I541" s="49"/>
      <c r="J541" s="50"/>
      <c r="K541" s="22"/>
      <c r="L541" s="22"/>
      <c r="M541" s="22"/>
      <c r="N541" s="22"/>
      <c r="O541" s="22"/>
      <c r="P541" s="46"/>
      <c r="Q541" s="40"/>
      <c r="R541" s="41"/>
      <c r="S541" s="22" t="str">
        <f t="shared" si="49"/>
        <v/>
      </c>
      <c r="T541" s="41"/>
      <c r="U541" s="41" t="str">
        <f t="shared" si="53"/>
        <v/>
      </c>
      <c r="V541" s="44"/>
      <c r="W541" s="44"/>
      <c r="X541" s="46"/>
      <c r="Y541" s="46"/>
      <c r="Z541" s="46"/>
      <c r="AA541" s="41"/>
      <c r="AB541" s="22"/>
      <c r="AC541" s="22"/>
      <c r="AD541" s="41"/>
      <c r="AE541" s="22"/>
      <c r="AF541" s="22"/>
      <c r="AG541" s="48" t="str">
        <f t="shared" si="50"/>
        <v/>
      </c>
      <c r="AH541" s="48" t="str">
        <f t="shared" si="51"/>
        <v/>
      </c>
      <c r="AI541" s="48" t="str">
        <f t="shared" si="52"/>
        <v/>
      </c>
      <c r="AJ541" s="40" t="str">
        <f t="shared" si="48"/>
        <v/>
      </c>
      <c r="AK541" s="40"/>
      <c r="AL541" s="40"/>
      <c r="AM541" s="22"/>
      <c r="AQ541" s="46"/>
    </row>
    <row r="542" spans="1:43" ht="17.399999999999999">
      <c r="A542" s="22"/>
      <c r="B542" s="22"/>
      <c r="C542" s="56"/>
      <c r="D542" s="56"/>
      <c r="E542" s="22"/>
      <c r="F542" s="22"/>
      <c r="G542" s="22"/>
      <c r="H542" s="22"/>
      <c r="I542" s="49"/>
      <c r="J542" s="50"/>
      <c r="K542" s="22"/>
      <c r="L542" s="22"/>
      <c r="M542" s="22"/>
      <c r="N542" s="22"/>
      <c r="O542" s="22"/>
      <c r="P542" s="46"/>
      <c r="Q542" s="40"/>
      <c r="R542" s="41"/>
      <c r="S542" s="22" t="str">
        <f t="shared" si="49"/>
        <v/>
      </c>
      <c r="T542" s="41"/>
      <c r="U542" s="41" t="str">
        <f t="shared" si="53"/>
        <v/>
      </c>
      <c r="V542" s="44"/>
      <c r="W542" s="44"/>
      <c r="X542" s="46"/>
      <c r="Y542" s="46"/>
      <c r="Z542" s="46"/>
      <c r="AA542" s="41"/>
      <c r="AB542" s="22"/>
      <c r="AC542" s="22"/>
      <c r="AD542" s="41"/>
      <c r="AE542" s="22"/>
      <c r="AF542" s="22"/>
      <c r="AG542" s="48" t="str">
        <f t="shared" si="50"/>
        <v/>
      </c>
      <c r="AH542" s="48" t="str">
        <f t="shared" si="51"/>
        <v/>
      </c>
      <c r="AI542" s="48" t="str">
        <f t="shared" si="52"/>
        <v/>
      </c>
      <c r="AJ542" s="40" t="str">
        <f t="shared" si="48"/>
        <v/>
      </c>
      <c r="AK542" s="40"/>
      <c r="AL542" s="40"/>
      <c r="AM542" s="22"/>
      <c r="AQ542" s="46"/>
    </row>
    <row r="543" spans="1:43" ht="17.399999999999999">
      <c r="A543" s="22"/>
      <c r="B543" s="22"/>
      <c r="C543" s="56"/>
      <c r="D543" s="56"/>
      <c r="E543" s="22"/>
      <c r="F543" s="22"/>
      <c r="G543" s="22"/>
      <c r="H543" s="22"/>
      <c r="I543" s="49"/>
      <c r="J543" s="50"/>
      <c r="K543" s="22"/>
      <c r="L543" s="22"/>
      <c r="M543" s="22"/>
      <c r="N543" s="22"/>
      <c r="O543" s="22"/>
      <c r="P543" s="46"/>
      <c r="Q543" s="40"/>
      <c r="R543" s="41"/>
      <c r="S543" s="22" t="str">
        <f t="shared" si="49"/>
        <v/>
      </c>
      <c r="T543" s="41"/>
      <c r="U543" s="41" t="str">
        <f t="shared" si="53"/>
        <v/>
      </c>
      <c r="V543" s="44"/>
      <c r="W543" s="44"/>
      <c r="X543" s="46"/>
      <c r="Y543" s="46"/>
      <c r="Z543" s="46"/>
      <c r="AA543" s="41"/>
      <c r="AB543" s="22"/>
      <c r="AC543" s="22"/>
      <c r="AD543" s="41"/>
      <c r="AE543" s="22"/>
      <c r="AF543" s="22"/>
      <c r="AG543" s="48" t="str">
        <f t="shared" si="50"/>
        <v/>
      </c>
      <c r="AH543" s="48" t="str">
        <f t="shared" si="51"/>
        <v/>
      </c>
      <c r="AI543" s="48" t="str">
        <f t="shared" si="52"/>
        <v/>
      </c>
      <c r="AJ543" s="40" t="str">
        <f t="shared" si="48"/>
        <v/>
      </c>
      <c r="AK543" s="40"/>
      <c r="AL543" s="40"/>
      <c r="AM543" s="22"/>
      <c r="AQ543" s="46"/>
    </row>
    <row r="544" spans="1:43" ht="17.399999999999999">
      <c r="A544" s="22"/>
      <c r="B544" s="22"/>
      <c r="C544" s="56"/>
      <c r="D544" s="56"/>
      <c r="E544" s="22"/>
      <c r="F544" s="22"/>
      <c r="G544" s="22"/>
      <c r="H544" s="22"/>
      <c r="I544" s="49"/>
      <c r="J544" s="50"/>
      <c r="K544" s="22"/>
      <c r="L544" s="22"/>
      <c r="M544" s="22"/>
      <c r="N544" s="22"/>
      <c r="O544" s="22"/>
      <c r="P544" s="46"/>
      <c r="Q544" s="40"/>
      <c r="R544" s="41"/>
      <c r="S544" s="22" t="str">
        <f t="shared" si="49"/>
        <v/>
      </c>
      <c r="T544" s="41"/>
      <c r="U544" s="41" t="str">
        <f t="shared" si="53"/>
        <v/>
      </c>
      <c r="V544" s="44"/>
      <c r="W544" s="44"/>
      <c r="X544" s="46"/>
      <c r="Y544" s="46"/>
      <c r="Z544" s="46"/>
      <c r="AA544" s="41"/>
      <c r="AB544" s="22"/>
      <c r="AC544" s="22"/>
      <c r="AD544" s="41"/>
      <c r="AE544" s="22"/>
      <c r="AF544" s="22"/>
      <c r="AG544" s="48" t="str">
        <f t="shared" si="50"/>
        <v/>
      </c>
      <c r="AH544" s="48" t="str">
        <f t="shared" si="51"/>
        <v/>
      </c>
      <c r="AI544" s="48" t="str">
        <f t="shared" si="52"/>
        <v/>
      </c>
      <c r="AJ544" s="40" t="str">
        <f t="shared" si="48"/>
        <v/>
      </c>
      <c r="AK544" s="40"/>
      <c r="AL544" s="40"/>
      <c r="AM544" s="22"/>
      <c r="AQ544" s="46"/>
    </row>
    <row r="545" spans="1:43" ht="17.399999999999999">
      <c r="A545" s="22"/>
      <c r="B545" s="22"/>
      <c r="C545" s="56"/>
      <c r="D545" s="56"/>
      <c r="E545" s="22"/>
      <c r="F545" s="22"/>
      <c r="G545" s="22"/>
      <c r="H545" s="22"/>
      <c r="I545" s="49"/>
      <c r="J545" s="50"/>
      <c r="K545" s="22"/>
      <c r="L545" s="22"/>
      <c r="M545" s="22"/>
      <c r="N545" s="22"/>
      <c r="O545" s="22"/>
      <c r="P545" s="46"/>
      <c r="Q545" s="40"/>
      <c r="R545" s="41"/>
      <c r="S545" s="22" t="str">
        <f t="shared" si="49"/>
        <v/>
      </c>
      <c r="T545" s="41"/>
      <c r="U545" s="41" t="str">
        <f t="shared" si="53"/>
        <v/>
      </c>
      <c r="V545" s="44"/>
      <c r="W545" s="44"/>
      <c r="X545" s="46"/>
      <c r="Y545" s="46"/>
      <c r="Z545" s="46"/>
      <c r="AA545" s="41"/>
      <c r="AB545" s="22"/>
      <c r="AC545" s="22"/>
      <c r="AD545" s="41"/>
      <c r="AE545" s="22"/>
      <c r="AF545" s="22"/>
      <c r="AG545" s="48" t="str">
        <f t="shared" si="50"/>
        <v/>
      </c>
      <c r="AH545" s="48" t="str">
        <f t="shared" si="51"/>
        <v/>
      </c>
      <c r="AI545" s="48" t="str">
        <f t="shared" si="52"/>
        <v/>
      </c>
      <c r="AJ545" s="40" t="str">
        <f t="shared" si="48"/>
        <v/>
      </c>
      <c r="AK545" s="40"/>
      <c r="AL545" s="40"/>
      <c r="AM545" s="22"/>
      <c r="AQ545" s="46"/>
    </row>
    <row r="546" spans="1:43" ht="17.399999999999999">
      <c r="A546" s="22"/>
      <c r="B546" s="22"/>
      <c r="C546" s="56"/>
      <c r="D546" s="56"/>
      <c r="E546" s="22"/>
      <c r="F546" s="22"/>
      <c r="G546" s="22"/>
      <c r="H546" s="22"/>
      <c r="I546" s="49"/>
      <c r="J546" s="50"/>
      <c r="K546" s="22"/>
      <c r="L546" s="22"/>
      <c r="M546" s="22"/>
      <c r="N546" s="22"/>
      <c r="O546" s="22"/>
      <c r="P546" s="46"/>
      <c r="Q546" s="40"/>
      <c r="R546" s="41"/>
      <c r="S546" s="22" t="str">
        <f t="shared" si="49"/>
        <v/>
      </c>
      <c r="T546" s="41"/>
      <c r="U546" s="41" t="str">
        <f t="shared" si="53"/>
        <v/>
      </c>
      <c r="V546" s="44"/>
      <c r="W546" s="44"/>
      <c r="X546" s="46"/>
      <c r="Y546" s="46"/>
      <c r="Z546" s="46"/>
      <c r="AA546" s="41"/>
      <c r="AB546" s="22"/>
      <c r="AC546" s="22"/>
      <c r="AD546" s="41"/>
      <c r="AE546" s="22"/>
      <c r="AF546" s="22"/>
      <c r="AG546" s="48" t="str">
        <f t="shared" si="50"/>
        <v/>
      </c>
      <c r="AH546" s="48" t="str">
        <f t="shared" si="51"/>
        <v/>
      </c>
      <c r="AI546" s="48" t="str">
        <f t="shared" si="52"/>
        <v/>
      </c>
      <c r="AJ546" s="40" t="str">
        <f t="shared" si="48"/>
        <v/>
      </c>
      <c r="AK546" s="40"/>
      <c r="AL546" s="40"/>
      <c r="AM546" s="22"/>
      <c r="AQ546" s="46"/>
    </row>
    <row r="547" spans="1:43" ht="17.399999999999999">
      <c r="A547" s="22"/>
      <c r="B547" s="22"/>
      <c r="C547" s="56"/>
      <c r="D547" s="56"/>
      <c r="E547" s="22"/>
      <c r="F547" s="22"/>
      <c r="G547" s="22"/>
      <c r="H547" s="22"/>
      <c r="I547" s="49"/>
      <c r="J547" s="50"/>
      <c r="K547" s="22"/>
      <c r="L547" s="22"/>
      <c r="M547" s="22"/>
      <c r="N547" s="22"/>
      <c r="O547" s="22"/>
      <c r="P547" s="46"/>
      <c r="Q547" s="40"/>
      <c r="R547" s="41"/>
      <c r="S547" s="22" t="str">
        <f t="shared" si="49"/>
        <v/>
      </c>
      <c r="T547" s="41"/>
      <c r="U547" s="41" t="str">
        <f t="shared" si="53"/>
        <v/>
      </c>
      <c r="V547" s="44"/>
      <c r="W547" s="44"/>
      <c r="X547" s="46"/>
      <c r="Y547" s="46"/>
      <c r="Z547" s="46"/>
      <c r="AA547" s="41"/>
      <c r="AB547" s="22"/>
      <c r="AC547" s="22"/>
      <c r="AD547" s="41"/>
      <c r="AE547" s="22"/>
      <c r="AF547" s="22"/>
      <c r="AG547" s="48" t="str">
        <f t="shared" si="50"/>
        <v/>
      </c>
      <c r="AH547" s="48" t="str">
        <f t="shared" si="51"/>
        <v/>
      </c>
      <c r="AI547" s="48" t="str">
        <f t="shared" si="52"/>
        <v/>
      </c>
      <c r="AJ547" s="40" t="str">
        <f t="shared" si="48"/>
        <v/>
      </c>
      <c r="AK547" s="40"/>
      <c r="AL547" s="40"/>
      <c r="AM547" s="22"/>
      <c r="AQ547" s="46"/>
    </row>
    <row r="548" spans="1:43" ht="17.399999999999999">
      <c r="A548" s="22"/>
      <c r="B548" s="22"/>
      <c r="C548" s="56"/>
      <c r="D548" s="56"/>
      <c r="E548" s="22"/>
      <c r="F548" s="22"/>
      <c r="G548" s="22"/>
      <c r="H548" s="22"/>
      <c r="I548" s="49"/>
      <c r="J548" s="50"/>
      <c r="K548" s="22"/>
      <c r="L548" s="22"/>
      <c r="M548" s="22"/>
      <c r="N548" s="22"/>
      <c r="O548" s="22"/>
      <c r="P548" s="46"/>
      <c r="Q548" s="40"/>
      <c r="R548" s="41"/>
      <c r="S548" s="22" t="str">
        <f t="shared" si="49"/>
        <v/>
      </c>
      <c r="T548" s="41"/>
      <c r="U548" s="41" t="str">
        <f t="shared" si="53"/>
        <v/>
      </c>
      <c r="V548" s="44"/>
      <c r="W548" s="44"/>
      <c r="X548" s="46"/>
      <c r="Y548" s="46"/>
      <c r="Z548" s="46"/>
      <c r="AA548" s="41"/>
      <c r="AB548" s="22"/>
      <c r="AC548" s="22"/>
      <c r="AD548" s="41"/>
      <c r="AE548" s="22"/>
      <c r="AF548" s="22"/>
      <c r="AG548" s="48" t="str">
        <f t="shared" si="50"/>
        <v/>
      </c>
      <c r="AH548" s="48" t="str">
        <f t="shared" si="51"/>
        <v/>
      </c>
      <c r="AI548" s="48" t="str">
        <f t="shared" si="52"/>
        <v/>
      </c>
      <c r="AJ548" s="40" t="str">
        <f t="shared" si="48"/>
        <v/>
      </c>
      <c r="AK548" s="40"/>
      <c r="AL548" s="40"/>
      <c r="AM548" s="22"/>
      <c r="AQ548" s="46"/>
    </row>
    <row r="549" spans="1:43" ht="17.399999999999999">
      <c r="A549" s="22"/>
      <c r="B549" s="22"/>
      <c r="C549" s="56"/>
      <c r="D549" s="56"/>
      <c r="E549" s="22"/>
      <c r="F549" s="22"/>
      <c r="G549" s="22"/>
      <c r="H549" s="22"/>
      <c r="I549" s="49"/>
      <c r="J549" s="50"/>
      <c r="K549" s="22"/>
      <c r="L549" s="22"/>
      <c r="M549" s="22"/>
      <c r="N549" s="22"/>
      <c r="O549" s="22"/>
      <c r="P549" s="46"/>
      <c r="Q549" s="40"/>
      <c r="R549" s="41"/>
      <c r="S549" s="22" t="str">
        <f t="shared" si="49"/>
        <v/>
      </c>
      <c r="T549" s="41"/>
      <c r="U549" s="41" t="str">
        <f t="shared" si="53"/>
        <v/>
      </c>
      <c r="V549" s="44"/>
      <c r="W549" s="44"/>
      <c r="X549" s="46"/>
      <c r="Y549" s="46"/>
      <c r="Z549" s="46"/>
      <c r="AA549" s="41"/>
      <c r="AB549" s="22"/>
      <c r="AC549" s="22"/>
      <c r="AD549" s="41"/>
      <c r="AE549" s="22"/>
      <c r="AF549" s="22"/>
      <c r="AG549" s="48" t="str">
        <f t="shared" si="50"/>
        <v/>
      </c>
      <c r="AH549" s="48" t="str">
        <f t="shared" si="51"/>
        <v/>
      </c>
      <c r="AI549" s="48" t="str">
        <f t="shared" si="52"/>
        <v/>
      </c>
      <c r="AJ549" s="40" t="str">
        <f t="shared" si="48"/>
        <v/>
      </c>
      <c r="AK549" s="40"/>
      <c r="AL549" s="40"/>
      <c r="AM549" s="22"/>
      <c r="AQ549" s="46"/>
    </row>
    <row r="550" spans="1:43" ht="17.399999999999999">
      <c r="A550" s="22"/>
      <c r="B550" s="22"/>
      <c r="C550" s="56"/>
      <c r="D550" s="56"/>
      <c r="E550" s="22"/>
      <c r="F550" s="22"/>
      <c r="G550" s="22"/>
      <c r="H550" s="22"/>
      <c r="I550" s="49"/>
      <c r="J550" s="50"/>
      <c r="K550" s="22"/>
      <c r="L550" s="22"/>
      <c r="M550" s="22"/>
      <c r="N550" s="22"/>
      <c r="O550" s="22"/>
      <c r="P550" s="46"/>
      <c r="Q550" s="40"/>
      <c r="R550" s="41"/>
      <c r="S550" s="22" t="str">
        <f t="shared" si="49"/>
        <v/>
      </c>
      <c r="T550" s="41"/>
      <c r="U550" s="41" t="str">
        <f t="shared" si="53"/>
        <v/>
      </c>
      <c r="V550" s="44"/>
      <c r="W550" s="44"/>
      <c r="X550" s="46"/>
      <c r="Y550" s="46"/>
      <c r="Z550" s="46"/>
      <c r="AA550" s="41"/>
      <c r="AB550" s="22"/>
      <c r="AC550" s="22"/>
      <c r="AD550" s="41"/>
      <c r="AE550" s="22"/>
      <c r="AF550" s="22"/>
      <c r="AG550" s="48" t="str">
        <f t="shared" si="50"/>
        <v/>
      </c>
      <c r="AH550" s="48" t="str">
        <f t="shared" si="51"/>
        <v/>
      </c>
      <c r="AI550" s="48" t="str">
        <f t="shared" si="52"/>
        <v/>
      </c>
      <c r="AJ550" s="40" t="str">
        <f t="shared" si="48"/>
        <v/>
      </c>
      <c r="AK550" s="40"/>
      <c r="AL550" s="40"/>
      <c r="AM550" s="22"/>
      <c r="AQ550" s="46"/>
    </row>
    <row r="551" spans="1:43" ht="17.399999999999999">
      <c r="A551" s="22"/>
      <c r="B551" s="22"/>
      <c r="C551" s="56"/>
      <c r="D551" s="56"/>
      <c r="E551" s="22"/>
      <c r="F551" s="22"/>
      <c r="G551" s="22"/>
      <c r="H551" s="22"/>
      <c r="I551" s="49"/>
      <c r="J551" s="50"/>
      <c r="K551" s="22"/>
      <c r="L551" s="22"/>
      <c r="M551" s="22"/>
      <c r="N551" s="22"/>
      <c r="O551" s="22"/>
      <c r="P551" s="46"/>
      <c r="Q551" s="40"/>
      <c r="R551" s="41"/>
      <c r="S551" s="22" t="str">
        <f t="shared" si="49"/>
        <v/>
      </c>
      <c r="T551" s="41"/>
      <c r="U551" s="41" t="str">
        <f t="shared" si="53"/>
        <v/>
      </c>
      <c r="V551" s="44"/>
      <c r="W551" s="44"/>
      <c r="X551" s="46"/>
      <c r="Y551" s="46"/>
      <c r="Z551" s="46"/>
      <c r="AA551" s="41"/>
      <c r="AB551" s="22"/>
      <c r="AC551" s="22"/>
      <c r="AD551" s="41"/>
      <c r="AE551" s="22"/>
      <c r="AF551" s="22"/>
      <c r="AG551" s="48" t="str">
        <f t="shared" si="50"/>
        <v/>
      </c>
      <c r="AH551" s="48" t="str">
        <f t="shared" si="51"/>
        <v/>
      </c>
      <c r="AI551" s="48" t="str">
        <f t="shared" si="52"/>
        <v/>
      </c>
      <c r="AJ551" s="40" t="str">
        <f t="shared" si="48"/>
        <v/>
      </c>
      <c r="AK551" s="40"/>
      <c r="AL551" s="40"/>
      <c r="AM551" s="22"/>
      <c r="AQ551" s="46"/>
    </row>
    <row r="552" spans="1:43" ht="17.399999999999999">
      <c r="A552" s="22"/>
      <c r="B552" s="22"/>
      <c r="C552" s="56"/>
      <c r="D552" s="56"/>
      <c r="E552" s="22"/>
      <c r="F552" s="22"/>
      <c r="G552" s="22"/>
      <c r="H552" s="22"/>
      <c r="I552" s="49"/>
      <c r="J552" s="50"/>
      <c r="K552" s="22"/>
      <c r="L552" s="22"/>
      <c r="M552" s="22"/>
      <c r="N552" s="22"/>
      <c r="O552" s="22"/>
      <c r="P552" s="46"/>
      <c r="Q552" s="40"/>
      <c r="R552" s="41"/>
      <c r="S552" s="22" t="str">
        <f t="shared" si="49"/>
        <v/>
      </c>
      <c r="T552" s="41"/>
      <c r="U552" s="41" t="str">
        <f t="shared" si="53"/>
        <v/>
      </c>
      <c r="V552" s="44"/>
      <c r="W552" s="44"/>
      <c r="X552" s="46"/>
      <c r="Y552" s="46"/>
      <c r="Z552" s="46"/>
      <c r="AA552" s="41"/>
      <c r="AB552" s="22"/>
      <c r="AC552" s="22"/>
      <c r="AD552" s="41"/>
      <c r="AE552" s="22"/>
      <c r="AF552" s="22"/>
      <c r="AG552" s="48" t="str">
        <f t="shared" si="50"/>
        <v/>
      </c>
      <c r="AH552" s="48" t="str">
        <f t="shared" si="51"/>
        <v/>
      </c>
      <c r="AI552" s="48" t="str">
        <f t="shared" si="52"/>
        <v/>
      </c>
      <c r="AJ552" s="40" t="str">
        <f t="shared" si="48"/>
        <v/>
      </c>
      <c r="AK552" s="40"/>
      <c r="AL552" s="40"/>
      <c r="AM552" s="22"/>
      <c r="AQ552" s="46"/>
    </row>
    <row r="553" spans="1:43" ht="17.399999999999999">
      <c r="A553" s="22"/>
      <c r="B553" s="22"/>
      <c r="C553" s="56"/>
      <c r="D553" s="56"/>
      <c r="E553" s="22"/>
      <c r="F553" s="22"/>
      <c r="G553" s="22"/>
      <c r="H553" s="22"/>
      <c r="I553" s="49"/>
      <c r="J553" s="50"/>
      <c r="K553" s="22"/>
      <c r="L553" s="22"/>
      <c r="M553" s="22"/>
      <c r="N553" s="22"/>
      <c r="O553" s="22"/>
      <c r="P553" s="46"/>
      <c r="Q553" s="40"/>
      <c r="R553" s="41"/>
      <c r="S553" s="22" t="str">
        <f t="shared" si="49"/>
        <v/>
      </c>
      <c r="T553" s="41"/>
      <c r="U553" s="41" t="str">
        <f t="shared" si="53"/>
        <v/>
      </c>
      <c r="V553" s="44"/>
      <c r="W553" s="44"/>
      <c r="X553" s="46"/>
      <c r="Y553" s="46"/>
      <c r="Z553" s="46"/>
      <c r="AA553" s="41"/>
      <c r="AB553" s="22"/>
      <c r="AC553" s="22"/>
      <c r="AD553" s="41"/>
      <c r="AE553" s="22"/>
      <c r="AF553" s="22"/>
      <c r="AG553" s="48" t="str">
        <f t="shared" si="50"/>
        <v/>
      </c>
      <c r="AH553" s="48" t="str">
        <f t="shared" si="51"/>
        <v/>
      </c>
      <c r="AI553" s="48" t="str">
        <f t="shared" si="52"/>
        <v/>
      </c>
      <c r="AJ553" s="40" t="str">
        <f t="shared" si="48"/>
        <v/>
      </c>
      <c r="AK553" s="40"/>
      <c r="AL553" s="40"/>
      <c r="AM553" s="22"/>
      <c r="AQ553" s="46"/>
    </row>
    <row r="554" spans="1:43" ht="17.399999999999999">
      <c r="A554" s="22"/>
      <c r="B554" s="22"/>
      <c r="C554" s="56"/>
      <c r="D554" s="56"/>
      <c r="E554" s="22"/>
      <c r="F554" s="22"/>
      <c r="G554" s="22"/>
      <c r="H554" s="22"/>
      <c r="I554" s="49"/>
      <c r="J554" s="50"/>
      <c r="K554" s="22"/>
      <c r="L554" s="22"/>
      <c r="M554" s="22"/>
      <c r="N554" s="22"/>
      <c r="O554" s="22"/>
      <c r="P554" s="46"/>
      <c r="Q554" s="40"/>
      <c r="R554" s="41"/>
      <c r="S554" s="22" t="str">
        <f t="shared" si="49"/>
        <v/>
      </c>
      <c r="T554" s="41"/>
      <c r="U554" s="41" t="str">
        <f t="shared" si="53"/>
        <v/>
      </c>
      <c r="V554" s="44"/>
      <c r="W554" s="44"/>
      <c r="X554" s="46"/>
      <c r="Y554" s="46"/>
      <c r="Z554" s="46"/>
      <c r="AA554" s="41"/>
      <c r="AB554" s="22"/>
      <c r="AC554" s="22"/>
      <c r="AD554" s="41"/>
      <c r="AE554" s="22"/>
      <c r="AF554" s="22"/>
      <c r="AG554" s="48" t="str">
        <f t="shared" si="50"/>
        <v/>
      </c>
      <c r="AH554" s="48" t="str">
        <f t="shared" si="51"/>
        <v/>
      </c>
      <c r="AI554" s="48" t="str">
        <f t="shared" si="52"/>
        <v/>
      </c>
      <c r="AJ554" s="40" t="str">
        <f t="shared" si="48"/>
        <v/>
      </c>
      <c r="AK554" s="40"/>
      <c r="AL554" s="40"/>
      <c r="AM554" s="22"/>
      <c r="AQ554" s="46"/>
    </row>
    <row r="555" spans="1:43" ht="17.399999999999999">
      <c r="A555" s="22"/>
      <c r="B555" s="22"/>
      <c r="C555" s="56"/>
      <c r="D555" s="56"/>
      <c r="E555" s="22"/>
      <c r="F555" s="22"/>
      <c r="G555" s="22"/>
      <c r="H555" s="22"/>
      <c r="I555" s="49"/>
      <c r="J555" s="50"/>
      <c r="K555" s="22"/>
      <c r="L555" s="22"/>
      <c r="M555" s="22"/>
      <c r="N555" s="22"/>
      <c r="O555" s="22"/>
      <c r="P555" s="46"/>
      <c r="Q555" s="40"/>
      <c r="R555" s="41"/>
      <c r="S555" s="22" t="str">
        <f t="shared" si="49"/>
        <v/>
      </c>
      <c r="T555" s="41"/>
      <c r="U555" s="41" t="str">
        <f t="shared" si="53"/>
        <v/>
      </c>
      <c r="V555" s="44"/>
      <c r="W555" s="44"/>
      <c r="X555" s="46"/>
      <c r="Y555" s="46"/>
      <c r="Z555" s="46"/>
      <c r="AA555" s="41"/>
      <c r="AB555" s="22"/>
      <c r="AC555" s="22"/>
      <c r="AD555" s="41"/>
      <c r="AE555" s="22"/>
      <c r="AF555" s="22"/>
      <c r="AG555" s="48" t="str">
        <f t="shared" si="50"/>
        <v/>
      </c>
      <c r="AH555" s="48" t="str">
        <f t="shared" si="51"/>
        <v/>
      </c>
      <c r="AI555" s="48" t="str">
        <f t="shared" si="52"/>
        <v/>
      </c>
      <c r="AJ555" s="40" t="str">
        <f t="shared" si="48"/>
        <v/>
      </c>
      <c r="AK555" s="40"/>
      <c r="AL555" s="40"/>
      <c r="AM555" s="22"/>
      <c r="AQ555" s="46"/>
    </row>
    <row r="556" spans="1:43" ht="17.399999999999999">
      <c r="A556" s="22"/>
      <c r="B556" s="22"/>
      <c r="C556" s="56"/>
      <c r="D556" s="56"/>
      <c r="E556" s="22"/>
      <c r="F556" s="22"/>
      <c r="G556" s="22"/>
      <c r="H556" s="22"/>
      <c r="I556" s="49"/>
      <c r="J556" s="50"/>
      <c r="K556" s="22"/>
      <c r="L556" s="22"/>
      <c r="M556" s="22"/>
      <c r="N556" s="22"/>
      <c r="O556" s="22"/>
      <c r="P556" s="46"/>
      <c r="Q556" s="40"/>
      <c r="R556" s="41"/>
      <c r="S556" s="22" t="str">
        <f t="shared" si="49"/>
        <v/>
      </c>
      <c r="T556" s="41"/>
      <c r="U556" s="41" t="str">
        <f t="shared" si="53"/>
        <v/>
      </c>
      <c r="V556" s="44"/>
      <c r="W556" s="44"/>
      <c r="X556" s="46"/>
      <c r="Y556" s="46"/>
      <c r="Z556" s="46"/>
      <c r="AA556" s="41"/>
      <c r="AB556" s="22"/>
      <c r="AC556" s="22"/>
      <c r="AD556" s="41"/>
      <c r="AE556" s="22"/>
      <c r="AF556" s="22"/>
      <c r="AG556" s="48" t="str">
        <f t="shared" si="50"/>
        <v/>
      </c>
      <c r="AH556" s="48" t="str">
        <f t="shared" si="51"/>
        <v/>
      </c>
      <c r="AI556" s="48" t="str">
        <f t="shared" si="52"/>
        <v/>
      </c>
      <c r="AJ556" s="40" t="str">
        <f t="shared" si="48"/>
        <v/>
      </c>
      <c r="AK556" s="40"/>
      <c r="AL556" s="40"/>
      <c r="AM556" s="22"/>
      <c r="AQ556" s="46"/>
    </row>
    <row r="557" spans="1:43" ht="17.399999999999999">
      <c r="A557" s="22"/>
      <c r="B557" s="22"/>
      <c r="C557" s="56"/>
      <c r="D557" s="56"/>
      <c r="E557" s="22"/>
      <c r="F557" s="22"/>
      <c r="G557" s="22"/>
      <c r="H557" s="22"/>
      <c r="I557" s="49"/>
      <c r="J557" s="50"/>
      <c r="K557" s="22"/>
      <c r="L557" s="22"/>
      <c r="M557" s="22"/>
      <c r="N557" s="22"/>
      <c r="O557" s="22"/>
      <c r="P557" s="46"/>
      <c r="Q557" s="40"/>
      <c r="R557" s="41"/>
      <c r="S557" s="22" t="str">
        <f t="shared" si="49"/>
        <v/>
      </c>
      <c r="T557" s="41"/>
      <c r="U557" s="41" t="str">
        <f t="shared" si="53"/>
        <v/>
      </c>
      <c r="V557" s="44"/>
      <c r="W557" s="44"/>
      <c r="X557" s="46"/>
      <c r="Y557" s="46"/>
      <c r="Z557" s="46"/>
      <c r="AA557" s="41"/>
      <c r="AB557" s="22"/>
      <c r="AC557" s="22"/>
      <c r="AD557" s="41"/>
      <c r="AE557" s="22"/>
      <c r="AF557" s="22"/>
      <c r="AG557" s="48" t="str">
        <f t="shared" si="50"/>
        <v/>
      </c>
      <c r="AH557" s="48" t="str">
        <f t="shared" si="51"/>
        <v/>
      </c>
      <c r="AI557" s="48" t="str">
        <f t="shared" si="52"/>
        <v/>
      </c>
      <c r="AJ557" s="40" t="str">
        <f t="shared" ref="AJ557:AJ620" si="54">IF(A557="","",R557+21)</f>
        <v/>
      </c>
      <c r="AK557" s="40"/>
      <c r="AL557" s="40"/>
      <c r="AM557" s="22"/>
      <c r="AQ557" s="46"/>
    </row>
    <row r="558" spans="1:43" ht="17.399999999999999">
      <c r="A558" s="22"/>
      <c r="B558" s="22"/>
      <c r="C558" s="56"/>
      <c r="D558" s="56"/>
      <c r="E558" s="22"/>
      <c r="F558" s="22"/>
      <c r="G558" s="22"/>
      <c r="H558" s="22"/>
      <c r="I558" s="49"/>
      <c r="J558" s="50"/>
      <c r="K558" s="22"/>
      <c r="L558" s="22"/>
      <c r="M558" s="22"/>
      <c r="N558" s="22"/>
      <c r="O558" s="22"/>
      <c r="P558" s="46"/>
      <c r="Q558" s="40"/>
      <c r="R558" s="41"/>
      <c r="S558" s="22" t="str">
        <f t="shared" si="49"/>
        <v/>
      </c>
      <c r="T558" s="41"/>
      <c r="U558" s="41" t="str">
        <f t="shared" si="53"/>
        <v/>
      </c>
      <c r="V558" s="44"/>
      <c r="W558" s="44"/>
      <c r="X558" s="46"/>
      <c r="Y558" s="46"/>
      <c r="Z558" s="46"/>
      <c r="AA558" s="41"/>
      <c r="AB558" s="22"/>
      <c r="AC558" s="22"/>
      <c r="AD558" s="41"/>
      <c r="AE558" s="22"/>
      <c r="AF558" s="22"/>
      <c r="AG558" s="48" t="str">
        <f t="shared" si="50"/>
        <v/>
      </c>
      <c r="AH558" s="48" t="str">
        <f t="shared" si="51"/>
        <v/>
      </c>
      <c r="AI558" s="48" t="str">
        <f t="shared" si="52"/>
        <v/>
      </c>
      <c r="AJ558" s="40" t="str">
        <f t="shared" si="54"/>
        <v/>
      </c>
      <c r="AK558" s="40"/>
      <c r="AL558" s="40"/>
      <c r="AM558" s="22"/>
      <c r="AQ558" s="46"/>
    </row>
    <row r="559" spans="1:43" ht="17.399999999999999">
      <c r="A559" s="22"/>
      <c r="B559" s="22"/>
      <c r="C559" s="56"/>
      <c r="D559" s="56"/>
      <c r="E559" s="22"/>
      <c r="F559" s="22"/>
      <c r="G559" s="22"/>
      <c r="H559" s="22"/>
      <c r="I559" s="49"/>
      <c r="J559" s="50"/>
      <c r="K559" s="22"/>
      <c r="L559" s="22"/>
      <c r="M559" s="22"/>
      <c r="N559" s="22"/>
      <c r="O559" s="22"/>
      <c r="P559" s="46"/>
      <c r="Q559" s="40"/>
      <c r="R559" s="41"/>
      <c r="S559" s="22" t="str">
        <f t="shared" si="49"/>
        <v/>
      </c>
      <c r="T559" s="41"/>
      <c r="U559" s="41" t="str">
        <f t="shared" si="53"/>
        <v/>
      </c>
      <c r="V559" s="44"/>
      <c r="W559" s="44"/>
      <c r="X559" s="46"/>
      <c r="Y559" s="46"/>
      <c r="Z559" s="46"/>
      <c r="AA559" s="41"/>
      <c r="AB559" s="22"/>
      <c r="AC559" s="22"/>
      <c r="AD559" s="41"/>
      <c r="AE559" s="22"/>
      <c r="AF559" s="22"/>
      <c r="AG559" s="48" t="str">
        <f t="shared" si="50"/>
        <v/>
      </c>
      <c r="AH559" s="48" t="str">
        <f t="shared" si="51"/>
        <v/>
      </c>
      <c r="AI559" s="48" t="str">
        <f t="shared" si="52"/>
        <v/>
      </c>
      <c r="AJ559" s="40" t="str">
        <f t="shared" si="54"/>
        <v/>
      </c>
      <c r="AK559" s="40"/>
      <c r="AL559" s="40"/>
      <c r="AM559" s="22"/>
      <c r="AQ559" s="46"/>
    </row>
    <row r="560" spans="1:43" ht="17.399999999999999">
      <c r="A560" s="22"/>
      <c r="B560" s="22"/>
      <c r="C560" s="56"/>
      <c r="D560" s="56"/>
      <c r="E560" s="22"/>
      <c r="F560" s="22"/>
      <c r="G560" s="22"/>
      <c r="H560" s="22"/>
      <c r="I560" s="49"/>
      <c r="J560" s="50"/>
      <c r="K560" s="22"/>
      <c r="L560" s="22"/>
      <c r="M560" s="22"/>
      <c r="N560" s="22"/>
      <c r="O560" s="22"/>
      <c r="P560" s="46"/>
      <c r="Q560" s="40"/>
      <c r="R560" s="41"/>
      <c r="S560" s="22" t="str">
        <f t="shared" si="49"/>
        <v/>
      </c>
      <c r="T560" s="41"/>
      <c r="U560" s="41" t="str">
        <f t="shared" si="53"/>
        <v/>
      </c>
      <c r="V560" s="44"/>
      <c r="W560" s="44"/>
      <c r="X560" s="46"/>
      <c r="Y560" s="46"/>
      <c r="Z560" s="46"/>
      <c r="AA560" s="41"/>
      <c r="AB560" s="22"/>
      <c r="AC560" s="22"/>
      <c r="AD560" s="41"/>
      <c r="AE560" s="22"/>
      <c r="AF560" s="22"/>
      <c r="AG560" s="48" t="str">
        <f t="shared" si="50"/>
        <v/>
      </c>
      <c r="AH560" s="48" t="str">
        <f t="shared" si="51"/>
        <v/>
      </c>
      <c r="AI560" s="48" t="str">
        <f t="shared" si="52"/>
        <v/>
      </c>
      <c r="AJ560" s="40" t="str">
        <f t="shared" si="54"/>
        <v/>
      </c>
      <c r="AK560" s="40"/>
      <c r="AL560" s="40"/>
      <c r="AM560" s="22"/>
      <c r="AQ560" s="46"/>
    </row>
    <row r="561" spans="1:43" ht="17.399999999999999">
      <c r="A561" s="22"/>
      <c r="B561" s="22"/>
      <c r="C561" s="56"/>
      <c r="D561" s="56"/>
      <c r="E561" s="22"/>
      <c r="F561" s="22"/>
      <c r="G561" s="22"/>
      <c r="H561" s="22"/>
      <c r="I561" s="49"/>
      <c r="J561" s="50"/>
      <c r="K561" s="22"/>
      <c r="L561" s="22"/>
      <c r="M561" s="22"/>
      <c r="N561" s="22"/>
      <c r="O561" s="22"/>
      <c r="P561" s="46"/>
      <c r="Q561" s="40"/>
      <c r="R561" s="41"/>
      <c r="S561" s="22" t="str">
        <f t="shared" si="49"/>
        <v/>
      </c>
      <c r="T561" s="41"/>
      <c r="U561" s="41" t="str">
        <f t="shared" si="53"/>
        <v/>
      </c>
      <c r="V561" s="44"/>
      <c r="W561" s="44"/>
      <c r="X561" s="46"/>
      <c r="Y561" s="46"/>
      <c r="Z561" s="46"/>
      <c r="AA561" s="41"/>
      <c r="AB561" s="22"/>
      <c r="AC561" s="22"/>
      <c r="AD561" s="41"/>
      <c r="AE561" s="22"/>
      <c r="AF561" s="22"/>
      <c r="AG561" s="48" t="str">
        <f t="shared" si="50"/>
        <v/>
      </c>
      <c r="AH561" s="48" t="str">
        <f t="shared" si="51"/>
        <v/>
      </c>
      <c r="AI561" s="48" t="str">
        <f t="shared" si="52"/>
        <v/>
      </c>
      <c r="AJ561" s="40" t="str">
        <f t="shared" si="54"/>
        <v/>
      </c>
      <c r="AK561" s="40"/>
      <c r="AL561" s="40"/>
      <c r="AM561" s="22"/>
      <c r="AQ561" s="46"/>
    </row>
    <row r="562" spans="1:43" ht="17.399999999999999">
      <c r="A562" s="22"/>
      <c r="B562" s="22"/>
      <c r="C562" s="56"/>
      <c r="D562" s="56"/>
      <c r="E562" s="22"/>
      <c r="F562" s="22"/>
      <c r="G562" s="22"/>
      <c r="H562" s="22"/>
      <c r="I562" s="49"/>
      <c r="J562" s="50"/>
      <c r="K562" s="22"/>
      <c r="L562" s="22"/>
      <c r="M562" s="22"/>
      <c r="N562" s="22"/>
      <c r="O562" s="22"/>
      <c r="P562" s="46"/>
      <c r="Q562" s="40"/>
      <c r="R562" s="41"/>
      <c r="S562" s="22" t="str">
        <f t="shared" si="49"/>
        <v/>
      </c>
      <c r="T562" s="41"/>
      <c r="U562" s="41" t="str">
        <f t="shared" si="53"/>
        <v/>
      </c>
      <c r="V562" s="44"/>
      <c r="W562" s="44"/>
      <c r="X562" s="46"/>
      <c r="Y562" s="46"/>
      <c r="Z562" s="46"/>
      <c r="AA562" s="41"/>
      <c r="AB562" s="22"/>
      <c r="AC562" s="22"/>
      <c r="AD562" s="41"/>
      <c r="AE562" s="22"/>
      <c r="AF562" s="22"/>
      <c r="AG562" s="48" t="str">
        <f t="shared" si="50"/>
        <v/>
      </c>
      <c r="AH562" s="48" t="str">
        <f t="shared" si="51"/>
        <v/>
      </c>
      <c r="AI562" s="48" t="str">
        <f t="shared" si="52"/>
        <v/>
      </c>
      <c r="AJ562" s="40" t="str">
        <f t="shared" si="54"/>
        <v/>
      </c>
      <c r="AK562" s="40"/>
      <c r="AL562" s="40"/>
      <c r="AM562" s="22"/>
      <c r="AQ562" s="46"/>
    </row>
    <row r="563" spans="1:43" ht="17.399999999999999">
      <c r="A563" s="22"/>
      <c r="B563" s="22"/>
      <c r="C563" s="56"/>
      <c r="D563" s="56"/>
      <c r="E563" s="22"/>
      <c r="F563" s="22"/>
      <c r="G563" s="22"/>
      <c r="H563" s="22"/>
      <c r="I563" s="49"/>
      <c r="J563" s="50"/>
      <c r="K563" s="22"/>
      <c r="L563" s="22"/>
      <c r="M563" s="22"/>
      <c r="N563" s="22"/>
      <c r="O563" s="22"/>
      <c r="P563" s="46"/>
      <c r="Q563" s="40"/>
      <c r="R563" s="41"/>
      <c r="S563" s="22" t="str">
        <f t="shared" si="49"/>
        <v/>
      </c>
      <c r="T563" s="41"/>
      <c r="U563" s="41" t="str">
        <f t="shared" si="53"/>
        <v/>
      </c>
      <c r="V563" s="44"/>
      <c r="W563" s="44"/>
      <c r="X563" s="46"/>
      <c r="Y563" s="46"/>
      <c r="Z563" s="46"/>
      <c r="AA563" s="41"/>
      <c r="AB563" s="22"/>
      <c r="AC563" s="22"/>
      <c r="AD563" s="41"/>
      <c r="AE563" s="22"/>
      <c r="AF563" s="22"/>
      <c r="AG563" s="48" t="str">
        <f t="shared" si="50"/>
        <v/>
      </c>
      <c r="AH563" s="48" t="str">
        <f t="shared" si="51"/>
        <v/>
      </c>
      <c r="AI563" s="48" t="str">
        <f t="shared" si="52"/>
        <v/>
      </c>
      <c r="AJ563" s="40" t="str">
        <f t="shared" si="54"/>
        <v/>
      </c>
      <c r="AK563" s="40"/>
      <c r="AL563" s="40"/>
      <c r="AM563" s="22"/>
      <c r="AQ563" s="46"/>
    </row>
    <row r="564" spans="1:43" ht="17.399999999999999">
      <c r="A564" s="22"/>
      <c r="B564" s="22"/>
      <c r="C564" s="56"/>
      <c r="D564" s="56"/>
      <c r="E564" s="22"/>
      <c r="F564" s="22"/>
      <c r="G564" s="22"/>
      <c r="H564" s="22"/>
      <c r="I564" s="49"/>
      <c r="J564" s="50"/>
      <c r="K564" s="22"/>
      <c r="L564" s="22"/>
      <c r="M564" s="22"/>
      <c r="N564" s="22"/>
      <c r="O564" s="22"/>
      <c r="P564" s="46"/>
      <c r="Q564" s="40"/>
      <c r="R564" s="41"/>
      <c r="S564" s="22" t="str">
        <f t="shared" si="49"/>
        <v/>
      </c>
      <c r="T564" s="41"/>
      <c r="U564" s="41" t="str">
        <f t="shared" si="53"/>
        <v/>
      </c>
      <c r="V564" s="44"/>
      <c r="W564" s="44"/>
      <c r="X564" s="46"/>
      <c r="Y564" s="46"/>
      <c r="Z564" s="46"/>
      <c r="AA564" s="41"/>
      <c r="AB564" s="22"/>
      <c r="AC564" s="22"/>
      <c r="AD564" s="41"/>
      <c r="AE564" s="22"/>
      <c r="AF564" s="22"/>
      <c r="AG564" s="48" t="str">
        <f t="shared" si="50"/>
        <v/>
      </c>
      <c r="AH564" s="48" t="str">
        <f t="shared" si="51"/>
        <v/>
      </c>
      <c r="AI564" s="48" t="str">
        <f t="shared" si="52"/>
        <v/>
      </c>
      <c r="AJ564" s="40" t="str">
        <f t="shared" si="54"/>
        <v/>
      </c>
      <c r="AK564" s="40"/>
      <c r="AL564" s="40"/>
      <c r="AM564" s="22"/>
      <c r="AQ564" s="46"/>
    </row>
    <row r="565" spans="1:43" ht="17.399999999999999">
      <c r="A565" s="22"/>
      <c r="B565" s="22"/>
      <c r="C565" s="56"/>
      <c r="D565" s="56"/>
      <c r="E565" s="22"/>
      <c r="F565" s="22"/>
      <c r="G565" s="22"/>
      <c r="H565" s="22"/>
      <c r="I565" s="49"/>
      <c r="J565" s="50"/>
      <c r="K565" s="22"/>
      <c r="L565" s="22"/>
      <c r="M565" s="22"/>
      <c r="N565" s="22"/>
      <c r="O565" s="22"/>
      <c r="P565" s="46"/>
      <c r="Q565" s="40"/>
      <c r="R565" s="41"/>
      <c r="S565" s="22" t="str">
        <f t="shared" si="49"/>
        <v/>
      </c>
      <c r="T565" s="41"/>
      <c r="U565" s="41" t="str">
        <f t="shared" si="53"/>
        <v/>
      </c>
      <c r="V565" s="44"/>
      <c r="W565" s="44"/>
      <c r="X565" s="46"/>
      <c r="Y565" s="46"/>
      <c r="Z565" s="46"/>
      <c r="AA565" s="41"/>
      <c r="AB565" s="22"/>
      <c r="AC565" s="22"/>
      <c r="AD565" s="41"/>
      <c r="AE565" s="22"/>
      <c r="AF565" s="22"/>
      <c r="AG565" s="48" t="str">
        <f t="shared" si="50"/>
        <v/>
      </c>
      <c r="AH565" s="48" t="str">
        <f t="shared" si="51"/>
        <v/>
      </c>
      <c r="AI565" s="48" t="str">
        <f t="shared" si="52"/>
        <v/>
      </c>
      <c r="AJ565" s="40" t="str">
        <f t="shared" si="54"/>
        <v/>
      </c>
      <c r="AK565" s="40"/>
      <c r="AL565" s="40"/>
      <c r="AM565" s="22"/>
      <c r="AQ565" s="46"/>
    </row>
    <row r="566" spans="1:43" ht="17.399999999999999">
      <c r="A566" s="22"/>
      <c r="B566" s="22"/>
      <c r="C566" s="56"/>
      <c r="D566" s="56"/>
      <c r="E566" s="22"/>
      <c r="F566" s="22"/>
      <c r="G566" s="22"/>
      <c r="H566" s="22"/>
      <c r="I566" s="49"/>
      <c r="J566" s="50"/>
      <c r="K566" s="22"/>
      <c r="L566" s="22"/>
      <c r="M566" s="22"/>
      <c r="N566" s="22"/>
      <c r="O566" s="22"/>
      <c r="P566" s="46"/>
      <c r="Q566" s="40"/>
      <c r="R566" s="41"/>
      <c r="S566" s="22" t="str">
        <f t="shared" si="49"/>
        <v/>
      </c>
      <c r="T566" s="41"/>
      <c r="U566" s="41" t="str">
        <f t="shared" si="53"/>
        <v/>
      </c>
      <c r="V566" s="44"/>
      <c r="W566" s="44"/>
      <c r="X566" s="46"/>
      <c r="Y566" s="46"/>
      <c r="Z566" s="46"/>
      <c r="AA566" s="41"/>
      <c r="AB566" s="22"/>
      <c r="AC566" s="22"/>
      <c r="AD566" s="41"/>
      <c r="AE566" s="22"/>
      <c r="AF566" s="22"/>
      <c r="AG566" s="48" t="str">
        <f t="shared" si="50"/>
        <v/>
      </c>
      <c r="AH566" s="48" t="str">
        <f t="shared" si="51"/>
        <v/>
      </c>
      <c r="AI566" s="48" t="str">
        <f t="shared" si="52"/>
        <v/>
      </c>
      <c r="AJ566" s="40" t="str">
        <f t="shared" si="54"/>
        <v/>
      </c>
      <c r="AK566" s="40"/>
      <c r="AL566" s="40"/>
      <c r="AM566" s="22"/>
      <c r="AQ566" s="46"/>
    </row>
    <row r="567" spans="1:43" ht="17.399999999999999">
      <c r="A567" s="22"/>
      <c r="B567" s="22"/>
      <c r="C567" s="56"/>
      <c r="D567" s="56"/>
      <c r="E567" s="22"/>
      <c r="F567" s="22"/>
      <c r="G567" s="22"/>
      <c r="H567" s="22"/>
      <c r="I567" s="49"/>
      <c r="J567" s="50"/>
      <c r="K567" s="22"/>
      <c r="L567" s="22"/>
      <c r="M567" s="22"/>
      <c r="N567" s="22"/>
      <c r="O567" s="22"/>
      <c r="P567" s="46"/>
      <c r="Q567" s="40"/>
      <c r="R567" s="41"/>
      <c r="S567" s="22" t="str">
        <f t="shared" si="49"/>
        <v/>
      </c>
      <c r="T567" s="41"/>
      <c r="U567" s="41" t="str">
        <f t="shared" si="53"/>
        <v/>
      </c>
      <c r="V567" s="44"/>
      <c r="W567" s="44"/>
      <c r="X567" s="46"/>
      <c r="Y567" s="46"/>
      <c r="Z567" s="46"/>
      <c r="AA567" s="41"/>
      <c r="AB567" s="22"/>
      <c r="AC567" s="22"/>
      <c r="AD567" s="41"/>
      <c r="AE567" s="22"/>
      <c r="AF567" s="22"/>
      <c r="AG567" s="48" t="str">
        <f t="shared" si="50"/>
        <v/>
      </c>
      <c r="AH567" s="48" t="str">
        <f t="shared" si="51"/>
        <v/>
      </c>
      <c r="AI567" s="48" t="str">
        <f t="shared" si="52"/>
        <v/>
      </c>
      <c r="AJ567" s="40" t="str">
        <f t="shared" si="54"/>
        <v/>
      </c>
      <c r="AK567" s="40"/>
      <c r="AL567" s="40"/>
      <c r="AM567" s="22"/>
      <c r="AQ567" s="46"/>
    </row>
    <row r="568" spans="1:43" ht="17.399999999999999">
      <c r="A568" s="22"/>
      <c r="B568" s="22"/>
      <c r="C568" s="56"/>
      <c r="D568" s="56"/>
      <c r="E568" s="22"/>
      <c r="F568" s="22"/>
      <c r="G568" s="22"/>
      <c r="H568" s="22"/>
      <c r="I568" s="49"/>
      <c r="J568" s="50"/>
      <c r="K568" s="22"/>
      <c r="L568" s="22"/>
      <c r="M568" s="22"/>
      <c r="N568" s="22"/>
      <c r="O568" s="22"/>
      <c r="P568" s="46"/>
      <c r="Q568" s="40"/>
      <c r="R568" s="41"/>
      <c r="S568" s="22" t="str">
        <f t="shared" si="49"/>
        <v/>
      </c>
      <c r="T568" s="41"/>
      <c r="U568" s="41" t="str">
        <f t="shared" si="53"/>
        <v/>
      </c>
      <c r="V568" s="44"/>
      <c r="W568" s="44"/>
      <c r="X568" s="46"/>
      <c r="Y568" s="46"/>
      <c r="Z568" s="46"/>
      <c r="AA568" s="41"/>
      <c r="AB568" s="22"/>
      <c r="AC568" s="22"/>
      <c r="AD568" s="41"/>
      <c r="AE568" s="22"/>
      <c r="AF568" s="22"/>
      <c r="AG568" s="48" t="str">
        <f t="shared" si="50"/>
        <v/>
      </c>
      <c r="AH568" s="48" t="str">
        <f t="shared" si="51"/>
        <v/>
      </c>
      <c r="AI568" s="48" t="str">
        <f t="shared" si="52"/>
        <v/>
      </c>
      <c r="AJ568" s="40" t="str">
        <f t="shared" si="54"/>
        <v/>
      </c>
      <c r="AK568" s="40"/>
      <c r="AL568" s="40"/>
      <c r="AM568" s="22"/>
      <c r="AQ568" s="46"/>
    </row>
    <row r="569" spans="1:43" ht="17.399999999999999">
      <c r="A569" s="22"/>
      <c r="B569" s="22"/>
      <c r="C569" s="56"/>
      <c r="D569" s="56"/>
      <c r="E569" s="22"/>
      <c r="F569" s="22"/>
      <c r="G569" s="22"/>
      <c r="H569" s="22"/>
      <c r="I569" s="49"/>
      <c r="J569" s="50"/>
      <c r="K569" s="22"/>
      <c r="L569" s="22"/>
      <c r="M569" s="22"/>
      <c r="N569" s="22"/>
      <c r="O569" s="22"/>
      <c r="P569" s="46"/>
      <c r="Q569" s="40"/>
      <c r="R569" s="41"/>
      <c r="S569" s="22" t="str">
        <f t="shared" si="49"/>
        <v/>
      </c>
      <c r="T569" s="41"/>
      <c r="U569" s="41" t="str">
        <f t="shared" si="53"/>
        <v/>
      </c>
      <c r="V569" s="44"/>
      <c r="W569" s="44"/>
      <c r="X569" s="46"/>
      <c r="Y569" s="46"/>
      <c r="Z569" s="46"/>
      <c r="AA569" s="41"/>
      <c r="AB569" s="22"/>
      <c r="AC569" s="22"/>
      <c r="AD569" s="41"/>
      <c r="AE569" s="22"/>
      <c r="AF569" s="22"/>
      <c r="AG569" s="48" t="str">
        <f t="shared" si="50"/>
        <v/>
      </c>
      <c r="AH569" s="48" t="str">
        <f t="shared" si="51"/>
        <v/>
      </c>
      <c r="AI569" s="48" t="str">
        <f t="shared" si="52"/>
        <v/>
      </c>
      <c r="AJ569" s="40" t="str">
        <f t="shared" si="54"/>
        <v/>
      </c>
      <c r="AK569" s="40"/>
      <c r="AL569" s="40"/>
      <c r="AM569" s="22"/>
      <c r="AQ569" s="46"/>
    </row>
    <row r="570" spans="1:43" ht="17.399999999999999">
      <c r="A570" s="22"/>
      <c r="B570" s="22"/>
      <c r="C570" s="56"/>
      <c r="D570" s="56"/>
      <c r="E570" s="22"/>
      <c r="F570" s="22"/>
      <c r="G570" s="22"/>
      <c r="H570" s="22"/>
      <c r="I570" s="49"/>
      <c r="J570" s="50"/>
      <c r="K570" s="22"/>
      <c r="L570" s="22"/>
      <c r="M570" s="22"/>
      <c r="N570" s="22"/>
      <c r="O570" s="22"/>
      <c r="P570" s="46"/>
      <c r="Q570" s="40"/>
      <c r="R570" s="41"/>
      <c r="S570" s="22" t="str">
        <f t="shared" si="49"/>
        <v/>
      </c>
      <c r="T570" s="41"/>
      <c r="U570" s="41" t="str">
        <f t="shared" si="53"/>
        <v/>
      </c>
      <c r="V570" s="44"/>
      <c r="W570" s="44"/>
      <c r="X570" s="46"/>
      <c r="Y570" s="46"/>
      <c r="Z570" s="46"/>
      <c r="AA570" s="41"/>
      <c r="AB570" s="22"/>
      <c r="AC570" s="22"/>
      <c r="AD570" s="41"/>
      <c r="AE570" s="22"/>
      <c r="AF570" s="22"/>
      <c r="AG570" s="48" t="str">
        <f t="shared" si="50"/>
        <v/>
      </c>
      <c r="AH570" s="48" t="str">
        <f t="shared" si="51"/>
        <v/>
      </c>
      <c r="AI570" s="48" t="str">
        <f t="shared" si="52"/>
        <v/>
      </c>
      <c r="AJ570" s="40" t="str">
        <f t="shared" si="54"/>
        <v/>
      </c>
      <c r="AK570" s="40"/>
      <c r="AL570" s="40"/>
      <c r="AM570" s="22"/>
      <c r="AQ570" s="46"/>
    </row>
    <row r="571" spans="1:43" ht="17.399999999999999">
      <c r="A571" s="22"/>
      <c r="B571" s="22"/>
      <c r="C571" s="56"/>
      <c r="D571" s="56"/>
      <c r="E571" s="22"/>
      <c r="F571" s="22"/>
      <c r="G571" s="22"/>
      <c r="H571" s="22"/>
      <c r="I571" s="49"/>
      <c r="J571" s="50"/>
      <c r="K571" s="22"/>
      <c r="L571" s="22"/>
      <c r="M571" s="22"/>
      <c r="N571" s="22"/>
      <c r="O571" s="22"/>
      <c r="P571" s="46"/>
      <c r="Q571" s="40"/>
      <c r="R571" s="41"/>
      <c r="S571" s="22" t="str">
        <f t="shared" si="49"/>
        <v/>
      </c>
      <c r="T571" s="41"/>
      <c r="U571" s="41" t="str">
        <f t="shared" si="53"/>
        <v/>
      </c>
      <c r="V571" s="44"/>
      <c r="W571" s="44"/>
      <c r="X571" s="46"/>
      <c r="Y571" s="46"/>
      <c r="Z571" s="46"/>
      <c r="AA571" s="41"/>
      <c r="AB571" s="22"/>
      <c r="AC571" s="22"/>
      <c r="AD571" s="41"/>
      <c r="AE571" s="22"/>
      <c r="AF571" s="22"/>
      <c r="AG571" s="48" t="str">
        <f t="shared" si="50"/>
        <v/>
      </c>
      <c r="AH571" s="48" t="str">
        <f t="shared" si="51"/>
        <v/>
      </c>
      <c r="AI571" s="48" t="str">
        <f t="shared" si="52"/>
        <v/>
      </c>
      <c r="AJ571" s="40" t="str">
        <f t="shared" si="54"/>
        <v/>
      </c>
      <c r="AK571" s="40"/>
      <c r="AL571" s="40"/>
      <c r="AM571" s="22"/>
      <c r="AQ571" s="46"/>
    </row>
    <row r="572" spans="1:43" ht="17.399999999999999">
      <c r="A572" s="22"/>
      <c r="B572" s="22"/>
      <c r="C572" s="56"/>
      <c r="D572" s="56"/>
      <c r="E572" s="22"/>
      <c r="F572" s="22"/>
      <c r="G572" s="22"/>
      <c r="H572" s="22"/>
      <c r="I572" s="49"/>
      <c r="J572" s="50"/>
      <c r="K572" s="22"/>
      <c r="L572" s="22"/>
      <c r="M572" s="22"/>
      <c r="N572" s="22"/>
      <c r="O572" s="22"/>
      <c r="P572" s="46"/>
      <c r="Q572" s="40"/>
      <c r="R572" s="41"/>
      <c r="S572" s="22" t="str">
        <f t="shared" si="49"/>
        <v/>
      </c>
      <c r="T572" s="41"/>
      <c r="U572" s="41" t="str">
        <f t="shared" si="53"/>
        <v/>
      </c>
      <c r="V572" s="44"/>
      <c r="W572" s="44"/>
      <c r="X572" s="46"/>
      <c r="Y572" s="46"/>
      <c r="Z572" s="46"/>
      <c r="AA572" s="41"/>
      <c r="AB572" s="22"/>
      <c r="AC572" s="22"/>
      <c r="AD572" s="41"/>
      <c r="AE572" s="22"/>
      <c r="AF572" s="22"/>
      <c r="AG572" s="48" t="str">
        <f t="shared" si="50"/>
        <v/>
      </c>
      <c r="AH572" s="48" t="str">
        <f t="shared" si="51"/>
        <v/>
      </c>
      <c r="AI572" s="48" t="str">
        <f t="shared" si="52"/>
        <v/>
      </c>
      <c r="AJ572" s="40" t="str">
        <f t="shared" si="54"/>
        <v/>
      </c>
      <c r="AK572" s="40"/>
      <c r="AL572" s="40"/>
      <c r="AM572" s="22"/>
      <c r="AQ572" s="46"/>
    </row>
    <row r="573" spans="1:43" ht="17.399999999999999">
      <c r="A573" s="22"/>
      <c r="B573" s="22"/>
      <c r="C573" s="56"/>
      <c r="D573" s="56"/>
      <c r="E573" s="22"/>
      <c r="F573" s="22"/>
      <c r="G573" s="22"/>
      <c r="H573" s="22"/>
      <c r="I573" s="49"/>
      <c r="J573" s="50"/>
      <c r="K573" s="22"/>
      <c r="L573" s="22"/>
      <c r="M573" s="22"/>
      <c r="N573" s="22"/>
      <c r="O573" s="22"/>
      <c r="P573" s="46"/>
      <c r="Q573" s="40"/>
      <c r="R573" s="41"/>
      <c r="S573" s="22" t="str">
        <f t="shared" si="49"/>
        <v/>
      </c>
      <c r="T573" s="41"/>
      <c r="U573" s="41" t="str">
        <f t="shared" si="53"/>
        <v/>
      </c>
      <c r="V573" s="44"/>
      <c r="W573" s="44"/>
      <c r="X573" s="46"/>
      <c r="Y573" s="46"/>
      <c r="Z573" s="46"/>
      <c r="AA573" s="41"/>
      <c r="AB573" s="22"/>
      <c r="AC573" s="22"/>
      <c r="AD573" s="41"/>
      <c r="AE573" s="22"/>
      <c r="AF573" s="22"/>
      <c r="AG573" s="48" t="str">
        <f t="shared" si="50"/>
        <v/>
      </c>
      <c r="AH573" s="48" t="str">
        <f t="shared" si="51"/>
        <v/>
      </c>
      <c r="AI573" s="48" t="str">
        <f t="shared" si="52"/>
        <v/>
      </c>
      <c r="AJ573" s="40" t="str">
        <f t="shared" si="54"/>
        <v/>
      </c>
      <c r="AK573" s="40"/>
      <c r="AL573" s="40"/>
      <c r="AM573" s="22"/>
      <c r="AQ573" s="46"/>
    </row>
    <row r="574" spans="1:43" ht="17.399999999999999">
      <c r="A574" s="22"/>
      <c r="B574" s="22"/>
      <c r="C574" s="56"/>
      <c r="D574" s="56"/>
      <c r="E574" s="22"/>
      <c r="F574" s="22"/>
      <c r="G574" s="22"/>
      <c r="H574" s="22"/>
      <c r="I574" s="49"/>
      <c r="J574" s="50"/>
      <c r="K574" s="22"/>
      <c r="L574" s="22"/>
      <c r="M574" s="22"/>
      <c r="N574" s="22"/>
      <c r="O574" s="22"/>
      <c r="P574" s="46"/>
      <c r="Q574" s="40"/>
      <c r="R574" s="41"/>
      <c r="S574" s="22" t="str">
        <f t="shared" si="49"/>
        <v/>
      </c>
      <c r="T574" s="41"/>
      <c r="U574" s="41" t="str">
        <f t="shared" si="53"/>
        <v/>
      </c>
      <c r="V574" s="44"/>
      <c r="W574" s="44"/>
      <c r="X574" s="46"/>
      <c r="Y574" s="46"/>
      <c r="Z574" s="46"/>
      <c r="AA574" s="41"/>
      <c r="AB574" s="22"/>
      <c r="AC574" s="22"/>
      <c r="AD574" s="41"/>
      <c r="AE574" s="22"/>
      <c r="AF574" s="22"/>
      <c r="AG574" s="48" t="str">
        <f t="shared" si="50"/>
        <v/>
      </c>
      <c r="AH574" s="48" t="str">
        <f t="shared" si="51"/>
        <v/>
      </c>
      <c r="AI574" s="48" t="str">
        <f t="shared" si="52"/>
        <v/>
      </c>
      <c r="AJ574" s="40" t="str">
        <f t="shared" si="54"/>
        <v/>
      </c>
      <c r="AK574" s="40"/>
      <c r="AL574" s="40"/>
      <c r="AM574" s="22"/>
      <c r="AQ574" s="46"/>
    </row>
    <row r="575" spans="1:43" ht="17.399999999999999">
      <c r="A575" s="22"/>
      <c r="B575" s="22"/>
      <c r="C575" s="56"/>
      <c r="D575" s="56"/>
      <c r="E575" s="22"/>
      <c r="F575" s="22"/>
      <c r="G575" s="22"/>
      <c r="H575" s="22"/>
      <c r="I575" s="49"/>
      <c r="J575" s="50"/>
      <c r="K575" s="22"/>
      <c r="L575" s="22"/>
      <c r="M575" s="22"/>
      <c r="N575" s="22"/>
      <c r="O575" s="22"/>
      <c r="P575" s="46"/>
      <c r="Q575" s="40"/>
      <c r="R575" s="41"/>
      <c r="S575" s="22" t="str">
        <f t="shared" si="49"/>
        <v/>
      </c>
      <c r="T575" s="41"/>
      <c r="U575" s="41" t="str">
        <f t="shared" si="53"/>
        <v/>
      </c>
      <c r="V575" s="44"/>
      <c r="W575" s="44"/>
      <c r="X575" s="46"/>
      <c r="Y575" s="46"/>
      <c r="Z575" s="46"/>
      <c r="AA575" s="41"/>
      <c r="AB575" s="22"/>
      <c r="AC575" s="22"/>
      <c r="AD575" s="41"/>
      <c r="AE575" s="22"/>
      <c r="AF575" s="22"/>
      <c r="AG575" s="48" t="str">
        <f t="shared" si="50"/>
        <v/>
      </c>
      <c r="AH575" s="48" t="str">
        <f t="shared" si="51"/>
        <v/>
      </c>
      <c r="AI575" s="48" t="str">
        <f t="shared" si="52"/>
        <v/>
      </c>
      <c r="AJ575" s="40" t="str">
        <f t="shared" si="54"/>
        <v/>
      </c>
      <c r="AK575" s="40"/>
      <c r="AL575" s="40"/>
      <c r="AM575" s="22"/>
      <c r="AQ575" s="46"/>
    </row>
    <row r="576" spans="1:43" ht="17.399999999999999">
      <c r="A576" s="22"/>
      <c r="B576" s="22"/>
      <c r="C576" s="56"/>
      <c r="D576" s="56"/>
      <c r="E576" s="22"/>
      <c r="F576" s="22"/>
      <c r="G576" s="22"/>
      <c r="H576" s="22"/>
      <c r="I576" s="49"/>
      <c r="J576" s="50"/>
      <c r="K576" s="22"/>
      <c r="L576" s="22"/>
      <c r="M576" s="22"/>
      <c r="N576" s="22"/>
      <c r="O576" s="22"/>
      <c r="P576" s="46"/>
      <c r="Q576" s="40"/>
      <c r="R576" s="41"/>
      <c r="S576" s="22" t="str">
        <f t="shared" si="49"/>
        <v/>
      </c>
      <c r="T576" s="41"/>
      <c r="U576" s="41" t="str">
        <f t="shared" si="53"/>
        <v/>
      </c>
      <c r="V576" s="44"/>
      <c r="W576" s="44"/>
      <c r="X576" s="46"/>
      <c r="Y576" s="46"/>
      <c r="Z576" s="46"/>
      <c r="AA576" s="41"/>
      <c r="AB576" s="22"/>
      <c r="AC576" s="22"/>
      <c r="AD576" s="41"/>
      <c r="AE576" s="22"/>
      <c r="AF576" s="22"/>
      <c r="AG576" s="48" t="str">
        <f t="shared" si="50"/>
        <v/>
      </c>
      <c r="AH576" s="48" t="str">
        <f t="shared" si="51"/>
        <v/>
      </c>
      <c r="AI576" s="48" t="str">
        <f t="shared" si="52"/>
        <v/>
      </c>
      <c r="AJ576" s="40" t="str">
        <f t="shared" si="54"/>
        <v/>
      </c>
      <c r="AK576" s="40"/>
      <c r="AL576" s="40"/>
      <c r="AM576" s="22"/>
      <c r="AQ576" s="46"/>
    </row>
    <row r="577" spans="1:43" ht="17.399999999999999">
      <c r="A577" s="22"/>
      <c r="B577" s="22"/>
      <c r="C577" s="56"/>
      <c r="D577" s="56"/>
      <c r="E577" s="22"/>
      <c r="F577" s="22"/>
      <c r="G577" s="22"/>
      <c r="H577" s="22"/>
      <c r="I577" s="49"/>
      <c r="J577" s="50"/>
      <c r="K577" s="22"/>
      <c r="L577" s="22"/>
      <c r="M577" s="22"/>
      <c r="N577" s="22"/>
      <c r="O577" s="22"/>
      <c r="P577" s="46"/>
      <c r="Q577" s="40"/>
      <c r="R577" s="41"/>
      <c r="S577" s="22" t="str">
        <f t="shared" si="49"/>
        <v/>
      </c>
      <c r="T577" s="41"/>
      <c r="U577" s="41" t="str">
        <f t="shared" si="53"/>
        <v/>
      </c>
      <c r="V577" s="44"/>
      <c r="W577" s="44"/>
      <c r="X577" s="46"/>
      <c r="Y577" s="46"/>
      <c r="Z577" s="46"/>
      <c r="AA577" s="41"/>
      <c r="AB577" s="22"/>
      <c r="AC577" s="22"/>
      <c r="AD577" s="41"/>
      <c r="AE577" s="22"/>
      <c r="AF577" s="22"/>
      <c r="AG577" s="48" t="str">
        <f t="shared" si="50"/>
        <v/>
      </c>
      <c r="AH577" s="48" t="str">
        <f t="shared" si="51"/>
        <v/>
      </c>
      <c r="AI577" s="48" t="str">
        <f t="shared" si="52"/>
        <v/>
      </c>
      <c r="AJ577" s="40" t="str">
        <f t="shared" si="54"/>
        <v/>
      </c>
      <c r="AK577" s="40"/>
      <c r="AL577" s="40"/>
      <c r="AM577" s="22"/>
      <c r="AQ577" s="46"/>
    </row>
    <row r="578" spans="1:43" ht="17.399999999999999">
      <c r="A578" s="22"/>
      <c r="B578" s="22"/>
      <c r="C578" s="56"/>
      <c r="D578" s="56"/>
      <c r="E578" s="22"/>
      <c r="F578" s="22"/>
      <c r="G578" s="22"/>
      <c r="H578" s="22"/>
      <c r="I578" s="49"/>
      <c r="J578" s="50"/>
      <c r="K578" s="22"/>
      <c r="L578" s="22"/>
      <c r="M578" s="22"/>
      <c r="N578" s="22"/>
      <c r="O578" s="22"/>
      <c r="P578" s="46"/>
      <c r="Q578" s="40"/>
      <c r="R578" s="41"/>
      <c r="S578" s="22" t="str">
        <f t="shared" si="49"/>
        <v/>
      </c>
      <c r="T578" s="41"/>
      <c r="U578" s="41" t="str">
        <f t="shared" si="53"/>
        <v/>
      </c>
      <c r="V578" s="44"/>
      <c r="W578" s="44"/>
      <c r="X578" s="46"/>
      <c r="Y578" s="46"/>
      <c r="Z578" s="46"/>
      <c r="AA578" s="41"/>
      <c r="AB578" s="22"/>
      <c r="AC578" s="22"/>
      <c r="AD578" s="41"/>
      <c r="AE578" s="22"/>
      <c r="AF578" s="22"/>
      <c r="AG578" s="48" t="str">
        <f t="shared" si="50"/>
        <v/>
      </c>
      <c r="AH578" s="48" t="str">
        <f t="shared" si="51"/>
        <v/>
      </c>
      <c r="AI578" s="48" t="str">
        <f t="shared" si="52"/>
        <v/>
      </c>
      <c r="AJ578" s="40" t="str">
        <f t="shared" si="54"/>
        <v/>
      </c>
      <c r="AK578" s="40"/>
      <c r="AL578" s="40"/>
      <c r="AM578" s="22"/>
      <c r="AQ578" s="46"/>
    </row>
    <row r="579" spans="1:43" ht="17.399999999999999">
      <c r="A579" s="22"/>
      <c r="B579" s="22"/>
      <c r="C579" s="56"/>
      <c r="D579" s="56"/>
      <c r="E579" s="22"/>
      <c r="F579" s="22"/>
      <c r="G579" s="22"/>
      <c r="H579" s="22"/>
      <c r="I579" s="49"/>
      <c r="J579" s="50"/>
      <c r="K579" s="22"/>
      <c r="L579" s="22"/>
      <c r="M579" s="22"/>
      <c r="N579" s="22"/>
      <c r="O579" s="22"/>
      <c r="P579" s="46"/>
      <c r="Q579" s="40"/>
      <c r="R579" s="41"/>
      <c r="S579" s="22" t="str">
        <f t="shared" ref="S579:S642" si="55">IF(A579="","",M579+O579)</f>
        <v/>
      </c>
      <c r="T579" s="41"/>
      <c r="U579" s="41" t="str">
        <f t="shared" si="53"/>
        <v/>
      </c>
      <c r="V579" s="44"/>
      <c r="W579" s="44"/>
      <c r="X579" s="46"/>
      <c r="Y579" s="46"/>
      <c r="Z579" s="46"/>
      <c r="AA579" s="41"/>
      <c r="AB579" s="22"/>
      <c r="AC579" s="22"/>
      <c r="AD579" s="41"/>
      <c r="AE579" s="22"/>
      <c r="AF579" s="22"/>
      <c r="AG579" s="48" t="str">
        <f t="shared" ref="AG579:AG642" si="56">IF(A579="","",S579-Y579)</f>
        <v/>
      </c>
      <c r="AH579" s="48" t="str">
        <f t="shared" ref="AH579:AH642" si="57">IF(A579="","",Y579-(AC579+AF579))</f>
        <v/>
      </c>
      <c r="AI579" s="48" t="str">
        <f t="shared" ref="AI579:AI642" si="58">IF(A579="","",AG579+AH579)</f>
        <v/>
      </c>
      <c r="AJ579" s="40" t="str">
        <f t="shared" si="54"/>
        <v/>
      </c>
      <c r="AK579" s="40"/>
      <c r="AL579" s="40"/>
      <c r="AM579" s="22"/>
      <c r="AQ579" s="46"/>
    </row>
    <row r="580" spans="1:43" ht="17.399999999999999">
      <c r="A580" s="22"/>
      <c r="B580" s="22"/>
      <c r="C580" s="56"/>
      <c r="D580" s="56"/>
      <c r="E580" s="22"/>
      <c r="F580" s="22"/>
      <c r="G580" s="22"/>
      <c r="H580" s="22"/>
      <c r="I580" s="49"/>
      <c r="J580" s="50"/>
      <c r="K580" s="22"/>
      <c r="L580" s="22"/>
      <c r="M580" s="22"/>
      <c r="N580" s="22"/>
      <c r="O580" s="22"/>
      <c r="P580" s="46"/>
      <c r="Q580" s="40"/>
      <c r="R580" s="41"/>
      <c r="S580" s="22" t="str">
        <f t="shared" si="55"/>
        <v/>
      </c>
      <c r="T580" s="41"/>
      <c r="U580" s="41" t="str">
        <f t="shared" ref="U580:U643" si="59">IF(OR(P580="FEC-FS",P580="PALTEK",P580="SDSE(TOKE)"),"Upload in customer box","")</f>
        <v/>
      </c>
      <c r="V580" s="44"/>
      <c r="W580" s="44"/>
      <c r="X580" s="46"/>
      <c r="Y580" s="46"/>
      <c r="Z580" s="46"/>
      <c r="AA580" s="41"/>
      <c r="AB580" s="22"/>
      <c r="AC580" s="22"/>
      <c r="AD580" s="41"/>
      <c r="AE580" s="22"/>
      <c r="AF580" s="22"/>
      <c r="AG580" s="48" t="str">
        <f t="shared" si="56"/>
        <v/>
      </c>
      <c r="AH580" s="48" t="str">
        <f t="shared" si="57"/>
        <v/>
      </c>
      <c r="AI580" s="48" t="str">
        <f t="shared" si="58"/>
        <v/>
      </c>
      <c r="AJ580" s="40" t="str">
        <f t="shared" si="54"/>
        <v/>
      </c>
      <c r="AK580" s="40"/>
      <c r="AL580" s="40"/>
      <c r="AM580" s="22"/>
      <c r="AQ580" s="46"/>
    </row>
    <row r="581" spans="1:43" ht="17.399999999999999">
      <c r="A581" s="22"/>
      <c r="B581" s="22"/>
      <c r="C581" s="56"/>
      <c r="D581" s="56"/>
      <c r="E581" s="22"/>
      <c r="F581" s="22"/>
      <c r="G581" s="22"/>
      <c r="H581" s="22"/>
      <c r="I581" s="49"/>
      <c r="J581" s="50"/>
      <c r="K581" s="22"/>
      <c r="L581" s="22"/>
      <c r="M581" s="22"/>
      <c r="N581" s="22"/>
      <c r="O581" s="22"/>
      <c r="P581" s="46"/>
      <c r="Q581" s="40"/>
      <c r="R581" s="41"/>
      <c r="S581" s="22" t="str">
        <f t="shared" si="55"/>
        <v/>
      </c>
      <c r="T581" s="41"/>
      <c r="U581" s="41" t="str">
        <f t="shared" si="59"/>
        <v/>
      </c>
      <c r="V581" s="44"/>
      <c r="W581" s="44"/>
      <c r="X581" s="46"/>
      <c r="Y581" s="46"/>
      <c r="Z581" s="46"/>
      <c r="AA581" s="41"/>
      <c r="AB581" s="22"/>
      <c r="AC581" s="22"/>
      <c r="AD581" s="41"/>
      <c r="AE581" s="22"/>
      <c r="AF581" s="22"/>
      <c r="AG581" s="48" t="str">
        <f t="shared" si="56"/>
        <v/>
      </c>
      <c r="AH581" s="48" t="str">
        <f t="shared" si="57"/>
        <v/>
      </c>
      <c r="AI581" s="48" t="str">
        <f t="shared" si="58"/>
        <v/>
      </c>
      <c r="AJ581" s="40" t="str">
        <f t="shared" si="54"/>
        <v/>
      </c>
      <c r="AK581" s="40"/>
      <c r="AL581" s="40"/>
      <c r="AM581" s="22"/>
      <c r="AQ581" s="46"/>
    </row>
    <row r="582" spans="1:43" ht="17.399999999999999">
      <c r="A582" s="22"/>
      <c r="B582" s="22"/>
      <c r="C582" s="56"/>
      <c r="D582" s="56"/>
      <c r="E582" s="22"/>
      <c r="F582" s="22"/>
      <c r="G582" s="22"/>
      <c r="H582" s="22"/>
      <c r="I582" s="49"/>
      <c r="J582" s="50"/>
      <c r="K582" s="22"/>
      <c r="L582" s="22"/>
      <c r="M582" s="22"/>
      <c r="N582" s="22"/>
      <c r="O582" s="22"/>
      <c r="P582" s="46"/>
      <c r="Q582" s="40"/>
      <c r="R582" s="41"/>
      <c r="S582" s="22" t="str">
        <f t="shared" si="55"/>
        <v/>
      </c>
      <c r="T582" s="41"/>
      <c r="U582" s="41" t="str">
        <f t="shared" si="59"/>
        <v/>
      </c>
      <c r="V582" s="44"/>
      <c r="W582" s="44"/>
      <c r="X582" s="46"/>
      <c r="Y582" s="46"/>
      <c r="Z582" s="46"/>
      <c r="AA582" s="41"/>
      <c r="AB582" s="22"/>
      <c r="AC582" s="22"/>
      <c r="AD582" s="41"/>
      <c r="AE582" s="22"/>
      <c r="AF582" s="22"/>
      <c r="AG582" s="48" t="str">
        <f t="shared" si="56"/>
        <v/>
      </c>
      <c r="AH582" s="48" t="str">
        <f t="shared" si="57"/>
        <v/>
      </c>
      <c r="AI582" s="48" t="str">
        <f t="shared" si="58"/>
        <v/>
      </c>
      <c r="AJ582" s="40" t="str">
        <f t="shared" si="54"/>
        <v/>
      </c>
      <c r="AK582" s="40"/>
      <c r="AL582" s="40"/>
      <c r="AM582" s="22"/>
      <c r="AQ582" s="46"/>
    </row>
    <row r="583" spans="1:43" ht="17.399999999999999">
      <c r="A583" s="22"/>
      <c r="B583" s="22"/>
      <c r="C583" s="56"/>
      <c r="D583" s="56"/>
      <c r="E583" s="22"/>
      <c r="F583" s="22"/>
      <c r="G583" s="22"/>
      <c r="H583" s="22"/>
      <c r="I583" s="49"/>
      <c r="J583" s="50"/>
      <c r="K583" s="22"/>
      <c r="L583" s="22"/>
      <c r="M583" s="22"/>
      <c r="N583" s="22"/>
      <c r="O583" s="22"/>
      <c r="P583" s="46"/>
      <c r="Q583" s="40"/>
      <c r="R583" s="41"/>
      <c r="S583" s="22" t="str">
        <f t="shared" si="55"/>
        <v/>
      </c>
      <c r="T583" s="41"/>
      <c r="U583" s="41" t="str">
        <f t="shared" si="59"/>
        <v/>
      </c>
      <c r="V583" s="44"/>
      <c r="W583" s="44"/>
      <c r="X583" s="46"/>
      <c r="Y583" s="46"/>
      <c r="Z583" s="46"/>
      <c r="AA583" s="41"/>
      <c r="AB583" s="22"/>
      <c r="AC583" s="22"/>
      <c r="AD583" s="41"/>
      <c r="AE583" s="22"/>
      <c r="AF583" s="22"/>
      <c r="AG583" s="48" t="str">
        <f t="shared" si="56"/>
        <v/>
      </c>
      <c r="AH583" s="48" t="str">
        <f t="shared" si="57"/>
        <v/>
      </c>
      <c r="AI583" s="48" t="str">
        <f t="shared" si="58"/>
        <v/>
      </c>
      <c r="AJ583" s="40" t="str">
        <f t="shared" si="54"/>
        <v/>
      </c>
      <c r="AK583" s="40"/>
      <c r="AL583" s="40"/>
      <c r="AM583" s="22"/>
      <c r="AQ583" s="46"/>
    </row>
    <row r="584" spans="1:43" ht="17.399999999999999">
      <c r="A584" s="22"/>
      <c r="B584" s="22"/>
      <c r="C584" s="56"/>
      <c r="D584" s="56"/>
      <c r="E584" s="22"/>
      <c r="F584" s="22"/>
      <c r="G584" s="22"/>
      <c r="H584" s="22"/>
      <c r="I584" s="49"/>
      <c r="J584" s="50"/>
      <c r="K584" s="22"/>
      <c r="L584" s="22"/>
      <c r="M584" s="22"/>
      <c r="N584" s="22"/>
      <c r="O584" s="22"/>
      <c r="P584" s="46"/>
      <c r="Q584" s="40"/>
      <c r="R584" s="41"/>
      <c r="S584" s="22" t="str">
        <f t="shared" si="55"/>
        <v/>
      </c>
      <c r="T584" s="41"/>
      <c r="U584" s="41" t="str">
        <f t="shared" si="59"/>
        <v/>
      </c>
      <c r="V584" s="44"/>
      <c r="W584" s="44"/>
      <c r="X584" s="46"/>
      <c r="Y584" s="46"/>
      <c r="Z584" s="46"/>
      <c r="AA584" s="41"/>
      <c r="AB584" s="22"/>
      <c r="AC584" s="22"/>
      <c r="AD584" s="41"/>
      <c r="AE584" s="22"/>
      <c r="AF584" s="22"/>
      <c r="AG584" s="48" t="str">
        <f t="shared" si="56"/>
        <v/>
      </c>
      <c r="AH584" s="48" t="str">
        <f t="shared" si="57"/>
        <v/>
      </c>
      <c r="AI584" s="48" t="str">
        <f t="shared" si="58"/>
        <v/>
      </c>
      <c r="AJ584" s="40" t="str">
        <f t="shared" si="54"/>
        <v/>
      </c>
      <c r="AK584" s="40"/>
      <c r="AL584" s="40"/>
      <c r="AM584" s="22"/>
      <c r="AQ584" s="46"/>
    </row>
    <row r="585" spans="1:43" ht="17.399999999999999">
      <c r="A585" s="22"/>
      <c r="B585" s="22"/>
      <c r="C585" s="56"/>
      <c r="D585" s="56"/>
      <c r="E585" s="22"/>
      <c r="F585" s="22"/>
      <c r="G585" s="22"/>
      <c r="H585" s="22"/>
      <c r="I585" s="49"/>
      <c r="J585" s="50"/>
      <c r="K585" s="22"/>
      <c r="L585" s="22"/>
      <c r="M585" s="22"/>
      <c r="N585" s="22"/>
      <c r="O585" s="22"/>
      <c r="P585" s="46"/>
      <c r="Q585" s="40"/>
      <c r="R585" s="41"/>
      <c r="S585" s="22" t="str">
        <f t="shared" si="55"/>
        <v/>
      </c>
      <c r="T585" s="41"/>
      <c r="U585" s="41" t="str">
        <f t="shared" si="59"/>
        <v/>
      </c>
      <c r="V585" s="44"/>
      <c r="W585" s="44"/>
      <c r="X585" s="46"/>
      <c r="Y585" s="46"/>
      <c r="Z585" s="46"/>
      <c r="AA585" s="41"/>
      <c r="AB585" s="22"/>
      <c r="AC585" s="22"/>
      <c r="AD585" s="41"/>
      <c r="AE585" s="22"/>
      <c r="AF585" s="22"/>
      <c r="AG585" s="48" t="str">
        <f t="shared" si="56"/>
        <v/>
      </c>
      <c r="AH585" s="48" t="str">
        <f t="shared" si="57"/>
        <v/>
      </c>
      <c r="AI585" s="48" t="str">
        <f t="shared" si="58"/>
        <v/>
      </c>
      <c r="AJ585" s="40" t="str">
        <f t="shared" si="54"/>
        <v/>
      </c>
      <c r="AK585" s="40"/>
      <c r="AL585" s="40"/>
      <c r="AM585" s="22"/>
      <c r="AQ585" s="46"/>
    </row>
    <row r="586" spans="1:43" ht="17.399999999999999">
      <c r="A586" s="22"/>
      <c r="B586" s="22"/>
      <c r="C586" s="56"/>
      <c r="D586" s="56"/>
      <c r="E586" s="22"/>
      <c r="F586" s="22"/>
      <c r="G586" s="22"/>
      <c r="H586" s="22"/>
      <c r="I586" s="49"/>
      <c r="J586" s="50"/>
      <c r="K586" s="22"/>
      <c r="L586" s="22"/>
      <c r="M586" s="22"/>
      <c r="N586" s="22"/>
      <c r="O586" s="22"/>
      <c r="P586" s="46"/>
      <c r="Q586" s="40"/>
      <c r="R586" s="41"/>
      <c r="S586" s="22" t="str">
        <f t="shared" si="55"/>
        <v/>
      </c>
      <c r="T586" s="41"/>
      <c r="U586" s="41" t="str">
        <f t="shared" si="59"/>
        <v/>
      </c>
      <c r="V586" s="44"/>
      <c r="W586" s="44"/>
      <c r="X586" s="46"/>
      <c r="Y586" s="46"/>
      <c r="Z586" s="46"/>
      <c r="AA586" s="41"/>
      <c r="AB586" s="22"/>
      <c r="AC586" s="22"/>
      <c r="AD586" s="41"/>
      <c r="AE586" s="22"/>
      <c r="AF586" s="22"/>
      <c r="AG586" s="48" t="str">
        <f t="shared" si="56"/>
        <v/>
      </c>
      <c r="AH586" s="48" t="str">
        <f t="shared" si="57"/>
        <v/>
      </c>
      <c r="AI586" s="48" t="str">
        <f t="shared" si="58"/>
        <v/>
      </c>
      <c r="AJ586" s="40" t="str">
        <f t="shared" si="54"/>
        <v/>
      </c>
      <c r="AK586" s="40"/>
      <c r="AL586" s="40"/>
      <c r="AM586" s="22"/>
      <c r="AQ586" s="46"/>
    </row>
    <row r="587" spans="1:43" ht="17.399999999999999">
      <c r="A587" s="22"/>
      <c r="B587" s="22"/>
      <c r="C587" s="56"/>
      <c r="D587" s="56"/>
      <c r="E587" s="22"/>
      <c r="F587" s="22"/>
      <c r="G587" s="22"/>
      <c r="H587" s="22"/>
      <c r="I587" s="49"/>
      <c r="J587" s="50"/>
      <c r="K587" s="22"/>
      <c r="L587" s="22"/>
      <c r="M587" s="22"/>
      <c r="N587" s="22"/>
      <c r="O587" s="22"/>
      <c r="P587" s="46"/>
      <c r="Q587" s="40"/>
      <c r="R587" s="41"/>
      <c r="S587" s="22" t="str">
        <f t="shared" si="55"/>
        <v/>
      </c>
      <c r="T587" s="41"/>
      <c r="U587" s="41" t="str">
        <f t="shared" si="59"/>
        <v/>
      </c>
      <c r="V587" s="44"/>
      <c r="W587" s="44"/>
      <c r="X587" s="46"/>
      <c r="Y587" s="46"/>
      <c r="Z587" s="46"/>
      <c r="AA587" s="41"/>
      <c r="AB587" s="22"/>
      <c r="AC587" s="22"/>
      <c r="AD587" s="41"/>
      <c r="AE587" s="22"/>
      <c r="AF587" s="22"/>
      <c r="AG587" s="48" t="str">
        <f t="shared" si="56"/>
        <v/>
      </c>
      <c r="AH587" s="48" t="str">
        <f t="shared" si="57"/>
        <v/>
      </c>
      <c r="AI587" s="48" t="str">
        <f t="shared" si="58"/>
        <v/>
      </c>
      <c r="AJ587" s="40" t="str">
        <f t="shared" si="54"/>
        <v/>
      </c>
      <c r="AK587" s="40"/>
      <c r="AL587" s="40"/>
      <c r="AM587" s="22"/>
      <c r="AQ587" s="46"/>
    </row>
    <row r="588" spans="1:43" ht="17.399999999999999">
      <c r="A588" s="22"/>
      <c r="B588" s="22"/>
      <c r="C588" s="56"/>
      <c r="D588" s="56"/>
      <c r="E588" s="22"/>
      <c r="F588" s="22"/>
      <c r="G588" s="22"/>
      <c r="H588" s="22"/>
      <c r="I588" s="49"/>
      <c r="J588" s="50"/>
      <c r="K588" s="22"/>
      <c r="L588" s="22"/>
      <c r="M588" s="22"/>
      <c r="N588" s="22"/>
      <c r="O588" s="22"/>
      <c r="P588" s="46"/>
      <c r="Q588" s="40"/>
      <c r="R588" s="41"/>
      <c r="S588" s="22" t="str">
        <f t="shared" si="55"/>
        <v/>
      </c>
      <c r="T588" s="41"/>
      <c r="U588" s="41" t="str">
        <f t="shared" si="59"/>
        <v/>
      </c>
      <c r="V588" s="44"/>
      <c r="W588" s="44"/>
      <c r="X588" s="46"/>
      <c r="Y588" s="46"/>
      <c r="Z588" s="46"/>
      <c r="AA588" s="41"/>
      <c r="AB588" s="22"/>
      <c r="AC588" s="22"/>
      <c r="AD588" s="41"/>
      <c r="AE588" s="22"/>
      <c r="AF588" s="22"/>
      <c r="AG588" s="48" t="str">
        <f t="shared" si="56"/>
        <v/>
      </c>
      <c r="AH588" s="48" t="str">
        <f t="shared" si="57"/>
        <v/>
      </c>
      <c r="AI588" s="48" t="str">
        <f t="shared" si="58"/>
        <v/>
      </c>
      <c r="AJ588" s="40" t="str">
        <f t="shared" si="54"/>
        <v/>
      </c>
      <c r="AK588" s="40"/>
      <c r="AL588" s="40"/>
      <c r="AM588" s="22"/>
      <c r="AQ588" s="46"/>
    </row>
    <row r="589" spans="1:43" ht="17.399999999999999">
      <c r="A589" s="22"/>
      <c r="B589" s="22"/>
      <c r="C589" s="56"/>
      <c r="D589" s="56"/>
      <c r="E589" s="22"/>
      <c r="F589" s="22"/>
      <c r="G589" s="22"/>
      <c r="H589" s="22"/>
      <c r="I589" s="49"/>
      <c r="J589" s="50"/>
      <c r="K589" s="22"/>
      <c r="L589" s="22"/>
      <c r="M589" s="22"/>
      <c r="N589" s="22"/>
      <c r="O589" s="22"/>
      <c r="P589" s="46"/>
      <c r="Q589" s="40"/>
      <c r="R589" s="41"/>
      <c r="S589" s="22" t="str">
        <f t="shared" si="55"/>
        <v/>
      </c>
      <c r="T589" s="41"/>
      <c r="U589" s="41" t="str">
        <f t="shared" si="59"/>
        <v/>
      </c>
      <c r="V589" s="44"/>
      <c r="W589" s="44"/>
      <c r="X589" s="46"/>
      <c r="Y589" s="46"/>
      <c r="Z589" s="46"/>
      <c r="AA589" s="41"/>
      <c r="AB589" s="22"/>
      <c r="AC589" s="22"/>
      <c r="AD589" s="41"/>
      <c r="AE589" s="22"/>
      <c r="AF589" s="22"/>
      <c r="AG589" s="48" t="str">
        <f t="shared" si="56"/>
        <v/>
      </c>
      <c r="AH589" s="48" t="str">
        <f t="shared" si="57"/>
        <v/>
      </c>
      <c r="AI589" s="48" t="str">
        <f t="shared" si="58"/>
        <v/>
      </c>
      <c r="AJ589" s="40" t="str">
        <f t="shared" si="54"/>
        <v/>
      </c>
      <c r="AK589" s="40"/>
      <c r="AL589" s="40"/>
      <c r="AM589" s="22"/>
      <c r="AQ589" s="46"/>
    </row>
    <row r="590" spans="1:43" ht="17.399999999999999">
      <c r="A590" s="22"/>
      <c r="B590" s="22"/>
      <c r="C590" s="56"/>
      <c r="D590" s="56"/>
      <c r="E590" s="22"/>
      <c r="F590" s="22"/>
      <c r="G590" s="22"/>
      <c r="H590" s="22"/>
      <c r="I590" s="49"/>
      <c r="J590" s="50"/>
      <c r="K590" s="22"/>
      <c r="L590" s="22"/>
      <c r="M590" s="22"/>
      <c r="N590" s="22"/>
      <c r="O590" s="22"/>
      <c r="P590" s="46"/>
      <c r="Q590" s="40"/>
      <c r="R590" s="41"/>
      <c r="S590" s="22" t="str">
        <f t="shared" si="55"/>
        <v/>
      </c>
      <c r="T590" s="41"/>
      <c r="U590" s="41" t="str">
        <f t="shared" si="59"/>
        <v/>
      </c>
      <c r="V590" s="44"/>
      <c r="W590" s="44"/>
      <c r="X590" s="46"/>
      <c r="Y590" s="46"/>
      <c r="Z590" s="46"/>
      <c r="AA590" s="41"/>
      <c r="AB590" s="22"/>
      <c r="AC590" s="22"/>
      <c r="AD590" s="41"/>
      <c r="AE590" s="22"/>
      <c r="AF590" s="22"/>
      <c r="AG590" s="48" t="str">
        <f t="shared" si="56"/>
        <v/>
      </c>
      <c r="AH590" s="48" t="str">
        <f t="shared" si="57"/>
        <v/>
      </c>
      <c r="AI590" s="48" t="str">
        <f t="shared" si="58"/>
        <v/>
      </c>
      <c r="AJ590" s="40" t="str">
        <f t="shared" si="54"/>
        <v/>
      </c>
      <c r="AK590" s="40"/>
      <c r="AL590" s="40"/>
      <c r="AM590" s="22"/>
      <c r="AQ590" s="46"/>
    </row>
    <row r="591" spans="1:43" ht="17.399999999999999">
      <c r="A591" s="22"/>
      <c r="B591" s="22"/>
      <c r="C591" s="56"/>
      <c r="D591" s="56"/>
      <c r="E591" s="22"/>
      <c r="F591" s="22"/>
      <c r="G591" s="22"/>
      <c r="H591" s="22"/>
      <c r="I591" s="49"/>
      <c r="J591" s="50"/>
      <c r="K591" s="22"/>
      <c r="L591" s="22"/>
      <c r="M591" s="22"/>
      <c r="N591" s="22"/>
      <c r="O591" s="22"/>
      <c r="P591" s="46"/>
      <c r="Q591" s="40"/>
      <c r="R591" s="41"/>
      <c r="S591" s="22" t="str">
        <f t="shared" si="55"/>
        <v/>
      </c>
      <c r="T591" s="41"/>
      <c r="U591" s="41" t="str">
        <f t="shared" si="59"/>
        <v/>
      </c>
      <c r="V591" s="44"/>
      <c r="W591" s="44"/>
      <c r="X591" s="46"/>
      <c r="Y591" s="46"/>
      <c r="Z591" s="46"/>
      <c r="AA591" s="41"/>
      <c r="AB591" s="22"/>
      <c r="AC591" s="22"/>
      <c r="AD591" s="41"/>
      <c r="AE591" s="22"/>
      <c r="AF591" s="22"/>
      <c r="AG591" s="48" t="str">
        <f t="shared" si="56"/>
        <v/>
      </c>
      <c r="AH591" s="48" t="str">
        <f t="shared" si="57"/>
        <v/>
      </c>
      <c r="AI591" s="48" t="str">
        <f t="shared" si="58"/>
        <v/>
      </c>
      <c r="AJ591" s="40" t="str">
        <f t="shared" si="54"/>
        <v/>
      </c>
      <c r="AK591" s="40"/>
      <c r="AL591" s="40"/>
      <c r="AM591" s="22"/>
      <c r="AQ591" s="46"/>
    </row>
    <row r="592" spans="1:43" ht="17.399999999999999">
      <c r="A592" s="22"/>
      <c r="B592" s="22"/>
      <c r="C592" s="56"/>
      <c r="D592" s="56"/>
      <c r="E592" s="22"/>
      <c r="F592" s="22"/>
      <c r="G592" s="22"/>
      <c r="H592" s="22"/>
      <c r="I592" s="49"/>
      <c r="J592" s="50"/>
      <c r="K592" s="22"/>
      <c r="L592" s="22"/>
      <c r="M592" s="22"/>
      <c r="N592" s="22"/>
      <c r="O592" s="22"/>
      <c r="P592" s="46"/>
      <c r="Q592" s="40"/>
      <c r="R592" s="41"/>
      <c r="S592" s="22" t="str">
        <f t="shared" si="55"/>
        <v/>
      </c>
      <c r="T592" s="41"/>
      <c r="U592" s="41" t="str">
        <f t="shared" si="59"/>
        <v/>
      </c>
      <c r="V592" s="44"/>
      <c r="W592" s="44"/>
      <c r="X592" s="46"/>
      <c r="Y592" s="46"/>
      <c r="Z592" s="46"/>
      <c r="AA592" s="41"/>
      <c r="AB592" s="22"/>
      <c r="AC592" s="22"/>
      <c r="AD592" s="41"/>
      <c r="AE592" s="22"/>
      <c r="AF592" s="22"/>
      <c r="AG592" s="48" t="str">
        <f t="shared" si="56"/>
        <v/>
      </c>
      <c r="AH592" s="48" t="str">
        <f t="shared" si="57"/>
        <v/>
      </c>
      <c r="AI592" s="48" t="str">
        <f t="shared" si="58"/>
        <v/>
      </c>
      <c r="AJ592" s="40" t="str">
        <f t="shared" si="54"/>
        <v/>
      </c>
      <c r="AK592" s="40"/>
      <c r="AL592" s="40"/>
      <c r="AM592" s="22"/>
      <c r="AQ592" s="46"/>
    </row>
    <row r="593" spans="1:43" ht="17.399999999999999">
      <c r="A593" s="22"/>
      <c r="B593" s="22"/>
      <c r="C593" s="56"/>
      <c r="D593" s="56"/>
      <c r="E593" s="22"/>
      <c r="F593" s="22"/>
      <c r="G593" s="22"/>
      <c r="H593" s="22"/>
      <c r="I593" s="49"/>
      <c r="J593" s="50"/>
      <c r="K593" s="22"/>
      <c r="L593" s="22"/>
      <c r="M593" s="22"/>
      <c r="N593" s="22"/>
      <c r="O593" s="22"/>
      <c r="P593" s="46"/>
      <c r="Q593" s="40"/>
      <c r="R593" s="41"/>
      <c r="S593" s="22" t="str">
        <f t="shared" si="55"/>
        <v/>
      </c>
      <c r="T593" s="41"/>
      <c r="U593" s="41" t="str">
        <f t="shared" si="59"/>
        <v/>
      </c>
      <c r="V593" s="44"/>
      <c r="W593" s="44"/>
      <c r="X593" s="46"/>
      <c r="Y593" s="46"/>
      <c r="Z593" s="46"/>
      <c r="AA593" s="41"/>
      <c r="AB593" s="22"/>
      <c r="AC593" s="22"/>
      <c r="AD593" s="41"/>
      <c r="AE593" s="22"/>
      <c r="AF593" s="22"/>
      <c r="AG593" s="48" t="str">
        <f t="shared" si="56"/>
        <v/>
      </c>
      <c r="AH593" s="48" t="str">
        <f t="shared" si="57"/>
        <v/>
      </c>
      <c r="AI593" s="48" t="str">
        <f t="shared" si="58"/>
        <v/>
      </c>
      <c r="AJ593" s="40" t="str">
        <f t="shared" si="54"/>
        <v/>
      </c>
      <c r="AK593" s="40"/>
      <c r="AL593" s="40"/>
      <c r="AM593" s="22"/>
      <c r="AQ593" s="46"/>
    </row>
    <row r="594" spans="1:43" ht="17.399999999999999">
      <c r="A594" s="22"/>
      <c r="B594" s="22"/>
      <c r="C594" s="56"/>
      <c r="D594" s="56"/>
      <c r="E594" s="22"/>
      <c r="F594" s="22"/>
      <c r="G594" s="22"/>
      <c r="H594" s="22"/>
      <c r="I594" s="49"/>
      <c r="J594" s="50"/>
      <c r="K594" s="22"/>
      <c r="L594" s="22"/>
      <c r="M594" s="22"/>
      <c r="N594" s="22"/>
      <c r="O594" s="22"/>
      <c r="P594" s="46"/>
      <c r="Q594" s="40"/>
      <c r="R594" s="41"/>
      <c r="S594" s="22" t="str">
        <f t="shared" si="55"/>
        <v/>
      </c>
      <c r="T594" s="41"/>
      <c r="U594" s="41" t="str">
        <f t="shared" si="59"/>
        <v/>
      </c>
      <c r="V594" s="44"/>
      <c r="W594" s="44"/>
      <c r="X594" s="46"/>
      <c r="Y594" s="46"/>
      <c r="Z594" s="46"/>
      <c r="AA594" s="41"/>
      <c r="AB594" s="22"/>
      <c r="AC594" s="22"/>
      <c r="AD594" s="41"/>
      <c r="AE594" s="22"/>
      <c r="AF594" s="22"/>
      <c r="AG594" s="48" t="str">
        <f t="shared" si="56"/>
        <v/>
      </c>
      <c r="AH594" s="48" t="str">
        <f t="shared" si="57"/>
        <v/>
      </c>
      <c r="AI594" s="48" t="str">
        <f t="shared" si="58"/>
        <v/>
      </c>
      <c r="AJ594" s="40" t="str">
        <f t="shared" si="54"/>
        <v/>
      </c>
      <c r="AK594" s="40"/>
      <c r="AL594" s="40"/>
      <c r="AM594" s="22"/>
      <c r="AQ594" s="46"/>
    </row>
    <row r="595" spans="1:43" ht="17.399999999999999">
      <c r="A595" s="22"/>
      <c r="B595" s="22"/>
      <c r="C595" s="56"/>
      <c r="D595" s="56"/>
      <c r="E595" s="22"/>
      <c r="F595" s="22"/>
      <c r="G595" s="22"/>
      <c r="H595" s="22"/>
      <c r="I595" s="49"/>
      <c r="J595" s="50"/>
      <c r="K595" s="22"/>
      <c r="L595" s="22"/>
      <c r="M595" s="22"/>
      <c r="N595" s="22"/>
      <c r="O595" s="22"/>
      <c r="P595" s="46"/>
      <c r="Q595" s="40"/>
      <c r="R595" s="41"/>
      <c r="S595" s="22" t="str">
        <f t="shared" si="55"/>
        <v/>
      </c>
      <c r="T595" s="41"/>
      <c r="U595" s="41" t="str">
        <f t="shared" si="59"/>
        <v/>
      </c>
      <c r="V595" s="44"/>
      <c r="W595" s="44"/>
      <c r="X595" s="46"/>
      <c r="Y595" s="46"/>
      <c r="Z595" s="46"/>
      <c r="AA595" s="41"/>
      <c r="AB595" s="22"/>
      <c r="AC595" s="22"/>
      <c r="AD595" s="41"/>
      <c r="AE595" s="22"/>
      <c r="AF595" s="22"/>
      <c r="AG595" s="48" t="str">
        <f t="shared" si="56"/>
        <v/>
      </c>
      <c r="AH595" s="48" t="str">
        <f t="shared" si="57"/>
        <v/>
      </c>
      <c r="AI595" s="48" t="str">
        <f t="shared" si="58"/>
        <v/>
      </c>
      <c r="AJ595" s="40" t="str">
        <f t="shared" si="54"/>
        <v/>
      </c>
      <c r="AK595" s="40"/>
      <c r="AL595" s="40"/>
      <c r="AM595" s="22"/>
      <c r="AQ595" s="46"/>
    </row>
    <row r="596" spans="1:43" ht="17.399999999999999">
      <c r="A596" s="22"/>
      <c r="B596" s="22"/>
      <c r="C596" s="56"/>
      <c r="D596" s="56"/>
      <c r="E596" s="22"/>
      <c r="F596" s="22"/>
      <c r="G596" s="22"/>
      <c r="H596" s="22"/>
      <c r="I596" s="49"/>
      <c r="J596" s="50"/>
      <c r="K596" s="22"/>
      <c r="L596" s="22"/>
      <c r="M596" s="22"/>
      <c r="N596" s="22"/>
      <c r="O596" s="22"/>
      <c r="P596" s="46"/>
      <c r="Q596" s="40"/>
      <c r="R596" s="41"/>
      <c r="S596" s="22" t="str">
        <f t="shared" si="55"/>
        <v/>
      </c>
      <c r="T596" s="41"/>
      <c r="U596" s="41" t="str">
        <f t="shared" si="59"/>
        <v/>
      </c>
      <c r="V596" s="44"/>
      <c r="W596" s="44"/>
      <c r="X596" s="46"/>
      <c r="Y596" s="46"/>
      <c r="Z596" s="46"/>
      <c r="AA596" s="41"/>
      <c r="AB596" s="22"/>
      <c r="AC596" s="22"/>
      <c r="AD596" s="41"/>
      <c r="AE596" s="22"/>
      <c r="AF596" s="22"/>
      <c r="AG596" s="48" t="str">
        <f t="shared" si="56"/>
        <v/>
      </c>
      <c r="AH596" s="48" t="str">
        <f t="shared" si="57"/>
        <v/>
      </c>
      <c r="AI596" s="48" t="str">
        <f t="shared" si="58"/>
        <v/>
      </c>
      <c r="AJ596" s="40" t="str">
        <f t="shared" si="54"/>
        <v/>
      </c>
      <c r="AK596" s="40"/>
      <c r="AL596" s="40"/>
      <c r="AM596" s="22"/>
      <c r="AQ596" s="46"/>
    </row>
    <row r="597" spans="1:43" ht="17.399999999999999">
      <c r="A597" s="22"/>
      <c r="B597" s="22"/>
      <c r="C597" s="56"/>
      <c r="D597" s="56"/>
      <c r="E597" s="22"/>
      <c r="F597" s="22"/>
      <c r="G597" s="22"/>
      <c r="H597" s="22"/>
      <c r="I597" s="49"/>
      <c r="J597" s="50"/>
      <c r="K597" s="22"/>
      <c r="L597" s="22"/>
      <c r="M597" s="22"/>
      <c r="N597" s="22"/>
      <c r="O597" s="22"/>
      <c r="P597" s="46"/>
      <c r="Q597" s="40"/>
      <c r="R597" s="41"/>
      <c r="S597" s="22" t="str">
        <f t="shared" si="55"/>
        <v/>
      </c>
      <c r="T597" s="41"/>
      <c r="U597" s="41" t="str">
        <f t="shared" si="59"/>
        <v/>
      </c>
      <c r="V597" s="44"/>
      <c r="W597" s="44"/>
      <c r="X597" s="46"/>
      <c r="Y597" s="46"/>
      <c r="Z597" s="46"/>
      <c r="AA597" s="41"/>
      <c r="AB597" s="22"/>
      <c r="AC597" s="22"/>
      <c r="AD597" s="41"/>
      <c r="AE597" s="22"/>
      <c r="AF597" s="22"/>
      <c r="AG597" s="48" t="str">
        <f t="shared" si="56"/>
        <v/>
      </c>
      <c r="AH597" s="48" t="str">
        <f t="shared" si="57"/>
        <v/>
      </c>
      <c r="AI597" s="48" t="str">
        <f t="shared" si="58"/>
        <v/>
      </c>
      <c r="AJ597" s="40" t="str">
        <f t="shared" si="54"/>
        <v/>
      </c>
      <c r="AK597" s="40"/>
      <c r="AL597" s="40"/>
      <c r="AM597" s="22"/>
      <c r="AQ597" s="46"/>
    </row>
    <row r="598" spans="1:43" ht="17.399999999999999">
      <c r="A598" s="22"/>
      <c r="B598" s="22"/>
      <c r="C598" s="56"/>
      <c r="D598" s="56"/>
      <c r="E598" s="22"/>
      <c r="F598" s="22"/>
      <c r="G598" s="22"/>
      <c r="H598" s="22"/>
      <c r="I598" s="49"/>
      <c r="J598" s="50"/>
      <c r="K598" s="22"/>
      <c r="L598" s="22"/>
      <c r="M598" s="22"/>
      <c r="N598" s="22"/>
      <c r="O598" s="22"/>
      <c r="P598" s="46"/>
      <c r="Q598" s="40"/>
      <c r="R598" s="41"/>
      <c r="S598" s="22" t="str">
        <f t="shared" si="55"/>
        <v/>
      </c>
      <c r="T598" s="41"/>
      <c r="U598" s="41" t="str">
        <f t="shared" si="59"/>
        <v/>
      </c>
      <c r="V598" s="44"/>
      <c r="W598" s="44"/>
      <c r="X598" s="46"/>
      <c r="Y598" s="46"/>
      <c r="Z598" s="46"/>
      <c r="AA598" s="41"/>
      <c r="AB598" s="22"/>
      <c r="AC598" s="22"/>
      <c r="AD598" s="41"/>
      <c r="AE598" s="22"/>
      <c r="AF598" s="22"/>
      <c r="AG598" s="48" t="str">
        <f t="shared" si="56"/>
        <v/>
      </c>
      <c r="AH598" s="48" t="str">
        <f t="shared" si="57"/>
        <v/>
      </c>
      <c r="AI598" s="48" t="str">
        <f t="shared" si="58"/>
        <v/>
      </c>
      <c r="AJ598" s="40" t="str">
        <f t="shared" si="54"/>
        <v/>
      </c>
      <c r="AK598" s="40"/>
      <c r="AL598" s="40"/>
      <c r="AM598" s="22"/>
      <c r="AQ598" s="46"/>
    </row>
    <row r="599" spans="1:43" ht="17.399999999999999">
      <c r="A599" s="22"/>
      <c r="B599" s="22"/>
      <c r="C599" s="56"/>
      <c r="D599" s="56"/>
      <c r="E599" s="22"/>
      <c r="F599" s="22"/>
      <c r="G599" s="22"/>
      <c r="H599" s="22"/>
      <c r="I599" s="49"/>
      <c r="J599" s="50"/>
      <c r="K599" s="22"/>
      <c r="L599" s="22"/>
      <c r="M599" s="22"/>
      <c r="N599" s="22"/>
      <c r="O599" s="22"/>
      <c r="P599" s="46"/>
      <c r="Q599" s="40"/>
      <c r="R599" s="41"/>
      <c r="S599" s="22" t="str">
        <f t="shared" si="55"/>
        <v/>
      </c>
      <c r="T599" s="41"/>
      <c r="U599" s="41" t="str">
        <f t="shared" si="59"/>
        <v/>
      </c>
      <c r="V599" s="44"/>
      <c r="W599" s="44"/>
      <c r="X599" s="46"/>
      <c r="Y599" s="46"/>
      <c r="Z599" s="46"/>
      <c r="AA599" s="41"/>
      <c r="AB599" s="22"/>
      <c r="AC599" s="22"/>
      <c r="AD599" s="41"/>
      <c r="AE599" s="22"/>
      <c r="AF599" s="22"/>
      <c r="AG599" s="48" t="str">
        <f t="shared" si="56"/>
        <v/>
      </c>
      <c r="AH599" s="48" t="str">
        <f t="shared" si="57"/>
        <v/>
      </c>
      <c r="AI599" s="48" t="str">
        <f t="shared" si="58"/>
        <v/>
      </c>
      <c r="AJ599" s="40" t="str">
        <f t="shared" si="54"/>
        <v/>
      </c>
      <c r="AK599" s="40"/>
      <c r="AL599" s="40"/>
      <c r="AM599" s="22"/>
      <c r="AQ599" s="46"/>
    </row>
    <row r="600" spans="1:43" ht="17.399999999999999">
      <c r="A600" s="22"/>
      <c r="B600" s="22"/>
      <c r="C600" s="56"/>
      <c r="D600" s="56"/>
      <c r="E600" s="22"/>
      <c r="F600" s="22"/>
      <c r="G600" s="22"/>
      <c r="H600" s="22"/>
      <c r="I600" s="49"/>
      <c r="J600" s="50"/>
      <c r="K600" s="22"/>
      <c r="L600" s="22"/>
      <c r="M600" s="22"/>
      <c r="N600" s="22"/>
      <c r="O600" s="22"/>
      <c r="P600" s="46"/>
      <c r="Q600" s="40"/>
      <c r="R600" s="41"/>
      <c r="S600" s="22" t="str">
        <f t="shared" si="55"/>
        <v/>
      </c>
      <c r="T600" s="41"/>
      <c r="U600" s="41" t="str">
        <f t="shared" si="59"/>
        <v/>
      </c>
      <c r="V600" s="44"/>
      <c r="W600" s="44"/>
      <c r="X600" s="46"/>
      <c r="Y600" s="46"/>
      <c r="Z600" s="46"/>
      <c r="AA600" s="41"/>
      <c r="AB600" s="22"/>
      <c r="AC600" s="22"/>
      <c r="AD600" s="41"/>
      <c r="AE600" s="22"/>
      <c r="AF600" s="22"/>
      <c r="AG600" s="48" t="str">
        <f t="shared" si="56"/>
        <v/>
      </c>
      <c r="AH600" s="48" t="str">
        <f t="shared" si="57"/>
        <v/>
      </c>
      <c r="AI600" s="48" t="str">
        <f t="shared" si="58"/>
        <v/>
      </c>
      <c r="AJ600" s="40" t="str">
        <f t="shared" si="54"/>
        <v/>
      </c>
      <c r="AK600" s="40"/>
      <c r="AL600" s="40"/>
      <c r="AM600" s="22"/>
      <c r="AQ600" s="46"/>
    </row>
    <row r="601" spans="1:43" ht="17.399999999999999">
      <c r="A601" s="22"/>
      <c r="B601" s="22"/>
      <c r="C601" s="56"/>
      <c r="D601" s="56"/>
      <c r="E601" s="22"/>
      <c r="F601" s="22"/>
      <c r="G601" s="22"/>
      <c r="H601" s="22"/>
      <c r="I601" s="49"/>
      <c r="J601" s="50"/>
      <c r="K601" s="22"/>
      <c r="L601" s="22"/>
      <c r="M601" s="22"/>
      <c r="N601" s="22"/>
      <c r="O601" s="22"/>
      <c r="P601" s="46"/>
      <c r="Q601" s="40"/>
      <c r="R601" s="41"/>
      <c r="S601" s="22" t="str">
        <f t="shared" si="55"/>
        <v/>
      </c>
      <c r="T601" s="41"/>
      <c r="U601" s="41" t="str">
        <f t="shared" si="59"/>
        <v/>
      </c>
      <c r="V601" s="44"/>
      <c r="W601" s="44"/>
      <c r="X601" s="46"/>
      <c r="Y601" s="46"/>
      <c r="Z601" s="46"/>
      <c r="AA601" s="41"/>
      <c r="AB601" s="22"/>
      <c r="AC601" s="22"/>
      <c r="AD601" s="41"/>
      <c r="AE601" s="22"/>
      <c r="AF601" s="22"/>
      <c r="AG601" s="48" t="str">
        <f t="shared" si="56"/>
        <v/>
      </c>
      <c r="AH601" s="48" t="str">
        <f t="shared" si="57"/>
        <v/>
      </c>
      <c r="AI601" s="48" t="str">
        <f t="shared" si="58"/>
        <v/>
      </c>
      <c r="AJ601" s="40" t="str">
        <f t="shared" si="54"/>
        <v/>
      </c>
      <c r="AK601" s="40"/>
      <c r="AL601" s="40"/>
      <c r="AM601" s="22"/>
      <c r="AQ601" s="46"/>
    </row>
    <row r="602" spans="1:43" ht="17.399999999999999">
      <c r="A602" s="22"/>
      <c r="B602" s="22"/>
      <c r="C602" s="56"/>
      <c r="D602" s="56"/>
      <c r="E602" s="22"/>
      <c r="F602" s="22"/>
      <c r="G602" s="22"/>
      <c r="H602" s="22"/>
      <c r="I602" s="49"/>
      <c r="J602" s="50"/>
      <c r="K602" s="22"/>
      <c r="L602" s="22"/>
      <c r="M602" s="22"/>
      <c r="N602" s="22"/>
      <c r="O602" s="22"/>
      <c r="P602" s="46"/>
      <c r="Q602" s="40"/>
      <c r="R602" s="41"/>
      <c r="S602" s="22" t="str">
        <f t="shared" si="55"/>
        <v/>
      </c>
      <c r="T602" s="41"/>
      <c r="U602" s="41" t="str">
        <f t="shared" si="59"/>
        <v/>
      </c>
      <c r="V602" s="44"/>
      <c r="W602" s="44"/>
      <c r="X602" s="46"/>
      <c r="Y602" s="46"/>
      <c r="Z602" s="46"/>
      <c r="AA602" s="41"/>
      <c r="AB602" s="22"/>
      <c r="AC602" s="22"/>
      <c r="AD602" s="41"/>
      <c r="AE602" s="22"/>
      <c r="AF602" s="22"/>
      <c r="AG602" s="48" t="str">
        <f t="shared" si="56"/>
        <v/>
      </c>
      <c r="AH602" s="48" t="str">
        <f t="shared" si="57"/>
        <v/>
      </c>
      <c r="AI602" s="48" t="str">
        <f t="shared" si="58"/>
        <v/>
      </c>
      <c r="AJ602" s="40" t="str">
        <f t="shared" si="54"/>
        <v/>
      </c>
      <c r="AK602" s="40"/>
      <c r="AL602" s="40"/>
      <c r="AM602" s="22"/>
      <c r="AQ602" s="46"/>
    </row>
    <row r="603" spans="1:43" ht="17.399999999999999">
      <c r="A603" s="22"/>
      <c r="B603" s="22"/>
      <c r="C603" s="56"/>
      <c r="D603" s="56"/>
      <c r="E603" s="22"/>
      <c r="F603" s="22"/>
      <c r="G603" s="22"/>
      <c r="H603" s="22"/>
      <c r="I603" s="49"/>
      <c r="J603" s="50"/>
      <c r="K603" s="22"/>
      <c r="L603" s="22"/>
      <c r="M603" s="22"/>
      <c r="N603" s="22"/>
      <c r="O603" s="22"/>
      <c r="P603" s="46"/>
      <c r="Q603" s="40"/>
      <c r="R603" s="41"/>
      <c r="S603" s="22" t="str">
        <f t="shared" si="55"/>
        <v/>
      </c>
      <c r="T603" s="41"/>
      <c r="U603" s="41" t="str">
        <f t="shared" si="59"/>
        <v/>
      </c>
      <c r="V603" s="44"/>
      <c r="W603" s="44"/>
      <c r="X603" s="46"/>
      <c r="Y603" s="46"/>
      <c r="Z603" s="46"/>
      <c r="AA603" s="41"/>
      <c r="AB603" s="22"/>
      <c r="AC603" s="22"/>
      <c r="AD603" s="41"/>
      <c r="AE603" s="22"/>
      <c r="AF603" s="22"/>
      <c r="AG603" s="48" t="str">
        <f t="shared" si="56"/>
        <v/>
      </c>
      <c r="AH603" s="48" t="str">
        <f t="shared" si="57"/>
        <v/>
      </c>
      <c r="AI603" s="48" t="str">
        <f t="shared" si="58"/>
        <v/>
      </c>
      <c r="AJ603" s="40" t="str">
        <f t="shared" si="54"/>
        <v/>
      </c>
      <c r="AK603" s="40"/>
      <c r="AL603" s="40"/>
      <c r="AM603" s="22"/>
      <c r="AQ603" s="46"/>
    </row>
    <row r="604" spans="1:43" ht="17.399999999999999">
      <c r="A604" s="22"/>
      <c r="B604" s="22"/>
      <c r="C604" s="56"/>
      <c r="D604" s="56"/>
      <c r="E604" s="22"/>
      <c r="F604" s="22"/>
      <c r="G604" s="22"/>
      <c r="H604" s="22"/>
      <c r="I604" s="49"/>
      <c r="J604" s="50"/>
      <c r="K604" s="22"/>
      <c r="L604" s="22"/>
      <c r="M604" s="22"/>
      <c r="N604" s="22"/>
      <c r="O604" s="22"/>
      <c r="P604" s="46"/>
      <c r="Q604" s="40"/>
      <c r="R604" s="41"/>
      <c r="S604" s="22" t="str">
        <f t="shared" si="55"/>
        <v/>
      </c>
      <c r="T604" s="41"/>
      <c r="U604" s="41" t="str">
        <f t="shared" si="59"/>
        <v/>
      </c>
      <c r="V604" s="44"/>
      <c r="W604" s="44"/>
      <c r="X604" s="46"/>
      <c r="Y604" s="46"/>
      <c r="Z604" s="46"/>
      <c r="AA604" s="41"/>
      <c r="AB604" s="22"/>
      <c r="AC604" s="22"/>
      <c r="AD604" s="41"/>
      <c r="AE604" s="22"/>
      <c r="AF604" s="22"/>
      <c r="AG604" s="48" t="str">
        <f t="shared" si="56"/>
        <v/>
      </c>
      <c r="AH604" s="48" t="str">
        <f t="shared" si="57"/>
        <v/>
      </c>
      <c r="AI604" s="48" t="str">
        <f t="shared" si="58"/>
        <v/>
      </c>
      <c r="AJ604" s="40" t="str">
        <f t="shared" si="54"/>
        <v/>
      </c>
      <c r="AK604" s="40"/>
      <c r="AL604" s="40"/>
      <c r="AM604" s="22"/>
      <c r="AQ604" s="46"/>
    </row>
    <row r="605" spans="1:43" ht="17.399999999999999">
      <c r="A605" s="22"/>
      <c r="B605" s="22"/>
      <c r="C605" s="56"/>
      <c r="D605" s="56"/>
      <c r="E605" s="22"/>
      <c r="F605" s="22"/>
      <c r="G605" s="22"/>
      <c r="H605" s="22"/>
      <c r="I605" s="49"/>
      <c r="J605" s="50"/>
      <c r="K605" s="22"/>
      <c r="L605" s="22"/>
      <c r="M605" s="22"/>
      <c r="N605" s="22"/>
      <c r="O605" s="22"/>
      <c r="P605" s="46"/>
      <c r="Q605" s="40"/>
      <c r="R605" s="41"/>
      <c r="S605" s="22" t="str">
        <f t="shared" si="55"/>
        <v/>
      </c>
      <c r="T605" s="41"/>
      <c r="U605" s="41" t="str">
        <f t="shared" si="59"/>
        <v/>
      </c>
      <c r="V605" s="44"/>
      <c r="W605" s="44"/>
      <c r="X605" s="46"/>
      <c r="Y605" s="46"/>
      <c r="Z605" s="46"/>
      <c r="AA605" s="41"/>
      <c r="AB605" s="22"/>
      <c r="AC605" s="22"/>
      <c r="AD605" s="41"/>
      <c r="AE605" s="22"/>
      <c r="AF605" s="22"/>
      <c r="AG605" s="48" t="str">
        <f t="shared" si="56"/>
        <v/>
      </c>
      <c r="AH605" s="48" t="str">
        <f t="shared" si="57"/>
        <v/>
      </c>
      <c r="AI605" s="48" t="str">
        <f t="shared" si="58"/>
        <v/>
      </c>
      <c r="AJ605" s="40" t="str">
        <f t="shared" si="54"/>
        <v/>
      </c>
      <c r="AK605" s="40"/>
      <c r="AL605" s="40"/>
      <c r="AM605" s="22"/>
      <c r="AQ605" s="46"/>
    </row>
    <row r="606" spans="1:43" ht="17.399999999999999">
      <c r="A606" s="22"/>
      <c r="B606" s="22"/>
      <c r="C606" s="56"/>
      <c r="D606" s="56"/>
      <c r="E606" s="22"/>
      <c r="F606" s="22"/>
      <c r="G606" s="22"/>
      <c r="H606" s="22"/>
      <c r="I606" s="49"/>
      <c r="J606" s="50"/>
      <c r="K606" s="22"/>
      <c r="L606" s="22"/>
      <c r="M606" s="22"/>
      <c r="N606" s="22"/>
      <c r="O606" s="22"/>
      <c r="P606" s="46"/>
      <c r="Q606" s="40"/>
      <c r="R606" s="41"/>
      <c r="S606" s="22" t="str">
        <f t="shared" si="55"/>
        <v/>
      </c>
      <c r="T606" s="41"/>
      <c r="U606" s="41" t="str">
        <f t="shared" si="59"/>
        <v/>
      </c>
      <c r="V606" s="44"/>
      <c r="W606" s="44"/>
      <c r="X606" s="46"/>
      <c r="Y606" s="46"/>
      <c r="Z606" s="46"/>
      <c r="AA606" s="41"/>
      <c r="AB606" s="22"/>
      <c r="AC606" s="22"/>
      <c r="AD606" s="41"/>
      <c r="AE606" s="22"/>
      <c r="AF606" s="22"/>
      <c r="AG606" s="48" t="str">
        <f t="shared" si="56"/>
        <v/>
      </c>
      <c r="AH606" s="48" t="str">
        <f t="shared" si="57"/>
        <v/>
      </c>
      <c r="AI606" s="48" t="str">
        <f t="shared" si="58"/>
        <v/>
      </c>
      <c r="AJ606" s="40" t="str">
        <f t="shared" si="54"/>
        <v/>
      </c>
      <c r="AK606" s="40"/>
      <c r="AL606" s="40"/>
      <c r="AM606" s="22"/>
      <c r="AQ606" s="46"/>
    </row>
    <row r="607" spans="1:43" ht="17.399999999999999">
      <c r="A607" s="22"/>
      <c r="B607" s="22"/>
      <c r="C607" s="56"/>
      <c r="D607" s="56"/>
      <c r="E607" s="22"/>
      <c r="F607" s="22"/>
      <c r="G607" s="22"/>
      <c r="H607" s="22"/>
      <c r="I607" s="49"/>
      <c r="J607" s="50"/>
      <c r="K607" s="22"/>
      <c r="L607" s="22"/>
      <c r="M607" s="22"/>
      <c r="N607" s="22"/>
      <c r="O607" s="22"/>
      <c r="P607" s="46"/>
      <c r="Q607" s="40"/>
      <c r="R607" s="41"/>
      <c r="S607" s="22" t="str">
        <f t="shared" si="55"/>
        <v/>
      </c>
      <c r="T607" s="41"/>
      <c r="U607" s="41" t="str">
        <f t="shared" si="59"/>
        <v/>
      </c>
      <c r="V607" s="44"/>
      <c r="W607" s="44"/>
      <c r="X607" s="46"/>
      <c r="Y607" s="46"/>
      <c r="Z607" s="46"/>
      <c r="AA607" s="41"/>
      <c r="AB607" s="22"/>
      <c r="AC607" s="22"/>
      <c r="AD607" s="41"/>
      <c r="AE607" s="22"/>
      <c r="AF607" s="22"/>
      <c r="AG607" s="48" t="str">
        <f t="shared" si="56"/>
        <v/>
      </c>
      <c r="AH607" s="48" t="str">
        <f t="shared" si="57"/>
        <v/>
      </c>
      <c r="AI607" s="48" t="str">
        <f t="shared" si="58"/>
        <v/>
      </c>
      <c r="AJ607" s="40" t="str">
        <f t="shared" si="54"/>
        <v/>
      </c>
      <c r="AK607" s="40"/>
      <c r="AL607" s="40"/>
      <c r="AM607" s="22"/>
      <c r="AQ607" s="46"/>
    </row>
    <row r="608" spans="1:43" ht="17.399999999999999">
      <c r="A608" s="22"/>
      <c r="B608" s="22"/>
      <c r="C608" s="56"/>
      <c r="D608" s="56"/>
      <c r="E608" s="22"/>
      <c r="F608" s="22"/>
      <c r="G608" s="22"/>
      <c r="H608" s="22"/>
      <c r="I608" s="49"/>
      <c r="J608" s="50"/>
      <c r="K608" s="22"/>
      <c r="L608" s="22"/>
      <c r="M608" s="22"/>
      <c r="N608" s="22"/>
      <c r="O608" s="22"/>
      <c r="P608" s="46"/>
      <c r="Q608" s="40"/>
      <c r="R608" s="41"/>
      <c r="S608" s="22" t="str">
        <f t="shared" si="55"/>
        <v/>
      </c>
      <c r="T608" s="41"/>
      <c r="U608" s="41" t="str">
        <f t="shared" si="59"/>
        <v/>
      </c>
      <c r="V608" s="44"/>
      <c r="W608" s="44"/>
      <c r="X608" s="46"/>
      <c r="Y608" s="46"/>
      <c r="Z608" s="46"/>
      <c r="AA608" s="41"/>
      <c r="AB608" s="22"/>
      <c r="AC608" s="22"/>
      <c r="AD608" s="41"/>
      <c r="AE608" s="22"/>
      <c r="AF608" s="22"/>
      <c r="AG608" s="48" t="str">
        <f t="shared" si="56"/>
        <v/>
      </c>
      <c r="AH608" s="48" t="str">
        <f t="shared" si="57"/>
        <v/>
      </c>
      <c r="AI608" s="48" t="str">
        <f t="shared" si="58"/>
        <v/>
      </c>
      <c r="AJ608" s="40" t="str">
        <f t="shared" si="54"/>
        <v/>
      </c>
      <c r="AK608" s="40"/>
      <c r="AL608" s="40"/>
      <c r="AM608" s="22"/>
      <c r="AQ608" s="46"/>
    </row>
    <row r="609" spans="1:43" ht="17.399999999999999">
      <c r="A609" s="22"/>
      <c r="B609" s="22"/>
      <c r="C609" s="56"/>
      <c r="D609" s="56"/>
      <c r="E609" s="22"/>
      <c r="F609" s="22"/>
      <c r="G609" s="22"/>
      <c r="H609" s="22"/>
      <c r="I609" s="49"/>
      <c r="J609" s="50"/>
      <c r="K609" s="22"/>
      <c r="L609" s="22"/>
      <c r="M609" s="22"/>
      <c r="N609" s="22"/>
      <c r="O609" s="22"/>
      <c r="P609" s="46"/>
      <c r="Q609" s="40"/>
      <c r="R609" s="41"/>
      <c r="S609" s="22" t="str">
        <f t="shared" si="55"/>
        <v/>
      </c>
      <c r="T609" s="41"/>
      <c r="U609" s="41" t="str">
        <f t="shared" si="59"/>
        <v/>
      </c>
      <c r="V609" s="44"/>
      <c r="W609" s="44"/>
      <c r="X609" s="46"/>
      <c r="Y609" s="46"/>
      <c r="Z609" s="46"/>
      <c r="AA609" s="41"/>
      <c r="AB609" s="22"/>
      <c r="AC609" s="22"/>
      <c r="AD609" s="41"/>
      <c r="AE609" s="22"/>
      <c r="AF609" s="22"/>
      <c r="AG609" s="48" t="str">
        <f t="shared" si="56"/>
        <v/>
      </c>
      <c r="AH609" s="48" t="str">
        <f t="shared" si="57"/>
        <v/>
      </c>
      <c r="AI609" s="48" t="str">
        <f t="shared" si="58"/>
        <v/>
      </c>
      <c r="AJ609" s="40" t="str">
        <f t="shared" si="54"/>
        <v/>
      </c>
      <c r="AK609" s="40"/>
      <c r="AL609" s="40"/>
      <c r="AM609" s="22"/>
      <c r="AQ609" s="46"/>
    </row>
    <row r="610" spans="1:43" ht="17.399999999999999">
      <c r="A610" s="22"/>
      <c r="B610" s="22"/>
      <c r="C610" s="56"/>
      <c r="D610" s="56"/>
      <c r="E610" s="22"/>
      <c r="F610" s="22"/>
      <c r="G610" s="22"/>
      <c r="H610" s="22"/>
      <c r="I610" s="49"/>
      <c r="J610" s="50"/>
      <c r="K610" s="22"/>
      <c r="L610" s="22"/>
      <c r="M610" s="22"/>
      <c r="N610" s="22"/>
      <c r="O610" s="22"/>
      <c r="P610" s="46"/>
      <c r="Q610" s="40"/>
      <c r="R610" s="41"/>
      <c r="S610" s="22" t="str">
        <f t="shared" si="55"/>
        <v/>
      </c>
      <c r="T610" s="41"/>
      <c r="U610" s="41" t="str">
        <f t="shared" si="59"/>
        <v/>
      </c>
      <c r="V610" s="44"/>
      <c r="W610" s="44"/>
      <c r="X610" s="46"/>
      <c r="Y610" s="46"/>
      <c r="Z610" s="46"/>
      <c r="AA610" s="41"/>
      <c r="AB610" s="22"/>
      <c r="AC610" s="22"/>
      <c r="AD610" s="41"/>
      <c r="AE610" s="22"/>
      <c r="AF610" s="22"/>
      <c r="AG610" s="48" t="str">
        <f t="shared" si="56"/>
        <v/>
      </c>
      <c r="AH610" s="48" t="str">
        <f t="shared" si="57"/>
        <v/>
      </c>
      <c r="AI610" s="48" t="str">
        <f t="shared" si="58"/>
        <v/>
      </c>
      <c r="AJ610" s="40" t="str">
        <f t="shared" si="54"/>
        <v/>
      </c>
      <c r="AK610" s="40"/>
      <c r="AL610" s="40"/>
      <c r="AM610" s="22"/>
      <c r="AQ610" s="46"/>
    </row>
    <row r="611" spans="1:43" ht="17.399999999999999">
      <c r="A611" s="22"/>
      <c r="B611" s="22"/>
      <c r="C611" s="56"/>
      <c r="D611" s="56"/>
      <c r="E611" s="22"/>
      <c r="F611" s="22"/>
      <c r="G611" s="22"/>
      <c r="H611" s="22"/>
      <c r="I611" s="49"/>
      <c r="J611" s="50"/>
      <c r="K611" s="22"/>
      <c r="L611" s="22"/>
      <c r="M611" s="22"/>
      <c r="N611" s="22"/>
      <c r="O611" s="22"/>
      <c r="P611" s="46"/>
      <c r="Q611" s="40"/>
      <c r="R611" s="41"/>
      <c r="S611" s="22" t="str">
        <f t="shared" si="55"/>
        <v/>
      </c>
      <c r="T611" s="41"/>
      <c r="U611" s="41" t="str">
        <f t="shared" si="59"/>
        <v/>
      </c>
      <c r="V611" s="44"/>
      <c r="W611" s="44"/>
      <c r="X611" s="46"/>
      <c r="Y611" s="46"/>
      <c r="Z611" s="46"/>
      <c r="AA611" s="41"/>
      <c r="AB611" s="22"/>
      <c r="AC611" s="22"/>
      <c r="AD611" s="41"/>
      <c r="AE611" s="22"/>
      <c r="AF611" s="22"/>
      <c r="AG611" s="48" t="str">
        <f t="shared" si="56"/>
        <v/>
      </c>
      <c r="AH611" s="48" t="str">
        <f t="shared" si="57"/>
        <v/>
      </c>
      <c r="AI611" s="48" t="str">
        <f t="shared" si="58"/>
        <v/>
      </c>
      <c r="AJ611" s="40" t="str">
        <f t="shared" si="54"/>
        <v/>
      </c>
      <c r="AK611" s="40"/>
      <c r="AL611" s="40"/>
      <c r="AM611" s="22"/>
      <c r="AQ611" s="46"/>
    </row>
    <row r="612" spans="1:43" ht="17.399999999999999">
      <c r="A612" s="22"/>
      <c r="B612" s="22"/>
      <c r="C612" s="56"/>
      <c r="D612" s="56"/>
      <c r="E612" s="22"/>
      <c r="F612" s="22"/>
      <c r="G612" s="22"/>
      <c r="H612" s="22"/>
      <c r="I612" s="49"/>
      <c r="J612" s="50"/>
      <c r="K612" s="22"/>
      <c r="L612" s="22"/>
      <c r="M612" s="22"/>
      <c r="N612" s="22"/>
      <c r="O612" s="22"/>
      <c r="P612" s="46"/>
      <c r="Q612" s="40"/>
      <c r="R612" s="41"/>
      <c r="S612" s="22" t="str">
        <f t="shared" si="55"/>
        <v/>
      </c>
      <c r="T612" s="41"/>
      <c r="U612" s="41" t="str">
        <f t="shared" si="59"/>
        <v/>
      </c>
      <c r="V612" s="44"/>
      <c r="W612" s="44"/>
      <c r="X612" s="46"/>
      <c r="Y612" s="46"/>
      <c r="Z612" s="46"/>
      <c r="AA612" s="41"/>
      <c r="AB612" s="22"/>
      <c r="AC612" s="22"/>
      <c r="AD612" s="41"/>
      <c r="AE612" s="22"/>
      <c r="AF612" s="22"/>
      <c r="AG612" s="48" t="str">
        <f t="shared" si="56"/>
        <v/>
      </c>
      <c r="AH612" s="48" t="str">
        <f t="shared" si="57"/>
        <v/>
      </c>
      <c r="AI612" s="48" t="str">
        <f t="shared" si="58"/>
        <v/>
      </c>
      <c r="AJ612" s="40" t="str">
        <f t="shared" si="54"/>
        <v/>
      </c>
      <c r="AK612" s="40"/>
      <c r="AL612" s="40"/>
      <c r="AM612" s="22"/>
      <c r="AQ612" s="46"/>
    </row>
    <row r="613" spans="1:43" ht="17.399999999999999">
      <c r="A613" s="22"/>
      <c r="B613" s="22"/>
      <c r="C613" s="56"/>
      <c r="D613" s="56"/>
      <c r="E613" s="22"/>
      <c r="F613" s="22"/>
      <c r="G613" s="22"/>
      <c r="H613" s="22"/>
      <c r="I613" s="49"/>
      <c r="J613" s="50"/>
      <c r="K613" s="22"/>
      <c r="L613" s="22"/>
      <c r="M613" s="22"/>
      <c r="N613" s="22"/>
      <c r="O613" s="22"/>
      <c r="P613" s="46"/>
      <c r="Q613" s="40"/>
      <c r="R613" s="41"/>
      <c r="S613" s="22" t="str">
        <f t="shared" si="55"/>
        <v/>
      </c>
      <c r="T613" s="41"/>
      <c r="U613" s="41" t="str">
        <f t="shared" si="59"/>
        <v/>
      </c>
      <c r="V613" s="44"/>
      <c r="W613" s="44"/>
      <c r="X613" s="46"/>
      <c r="Y613" s="46"/>
      <c r="Z613" s="46"/>
      <c r="AA613" s="41"/>
      <c r="AB613" s="22"/>
      <c r="AC613" s="22"/>
      <c r="AD613" s="41"/>
      <c r="AE613" s="22"/>
      <c r="AF613" s="22"/>
      <c r="AG613" s="48" t="str">
        <f t="shared" si="56"/>
        <v/>
      </c>
      <c r="AH613" s="48" t="str">
        <f t="shared" si="57"/>
        <v/>
      </c>
      <c r="AI613" s="48" t="str">
        <f t="shared" si="58"/>
        <v/>
      </c>
      <c r="AJ613" s="40" t="str">
        <f t="shared" si="54"/>
        <v/>
      </c>
      <c r="AK613" s="40"/>
      <c r="AL613" s="40"/>
      <c r="AM613" s="22"/>
      <c r="AQ613" s="46"/>
    </row>
    <row r="614" spans="1:43" ht="17.399999999999999">
      <c r="A614" s="22"/>
      <c r="B614" s="22"/>
      <c r="C614" s="56"/>
      <c r="D614" s="56"/>
      <c r="E614" s="22"/>
      <c r="F614" s="22"/>
      <c r="G614" s="22"/>
      <c r="H614" s="22"/>
      <c r="I614" s="49"/>
      <c r="J614" s="50"/>
      <c r="K614" s="22"/>
      <c r="L614" s="22"/>
      <c r="M614" s="22"/>
      <c r="N614" s="22"/>
      <c r="O614" s="22"/>
      <c r="P614" s="46"/>
      <c r="Q614" s="40"/>
      <c r="R614" s="41"/>
      <c r="S614" s="22" t="str">
        <f t="shared" si="55"/>
        <v/>
      </c>
      <c r="T614" s="41"/>
      <c r="U614" s="41" t="str">
        <f t="shared" si="59"/>
        <v/>
      </c>
      <c r="V614" s="44"/>
      <c r="W614" s="44"/>
      <c r="X614" s="46"/>
      <c r="Y614" s="46"/>
      <c r="Z614" s="46"/>
      <c r="AA614" s="41"/>
      <c r="AB614" s="22"/>
      <c r="AC614" s="22"/>
      <c r="AD614" s="41"/>
      <c r="AE614" s="22"/>
      <c r="AF614" s="22"/>
      <c r="AG614" s="48" t="str">
        <f t="shared" si="56"/>
        <v/>
      </c>
      <c r="AH614" s="48" t="str">
        <f t="shared" si="57"/>
        <v/>
      </c>
      <c r="AI614" s="48" t="str">
        <f t="shared" si="58"/>
        <v/>
      </c>
      <c r="AJ614" s="40" t="str">
        <f t="shared" si="54"/>
        <v/>
      </c>
      <c r="AK614" s="40"/>
      <c r="AL614" s="40"/>
      <c r="AM614" s="22"/>
      <c r="AQ614" s="46"/>
    </row>
    <row r="615" spans="1:43" ht="17.399999999999999">
      <c r="A615" s="22"/>
      <c r="B615" s="22"/>
      <c r="C615" s="56"/>
      <c r="D615" s="56"/>
      <c r="E615" s="22"/>
      <c r="F615" s="22"/>
      <c r="G615" s="22"/>
      <c r="H615" s="22"/>
      <c r="I615" s="49"/>
      <c r="J615" s="50"/>
      <c r="K615" s="22"/>
      <c r="L615" s="22"/>
      <c r="M615" s="22"/>
      <c r="N615" s="22"/>
      <c r="O615" s="22"/>
      <c r="P615" s="46"/>
      <c r="Q615" s="40"/>
      <c r="R615" s="41"/>
      <c r="S615" s="22" t="str">
        <f t="shared" si="55"/>
        <v/>
      </c>
      <c r="T615" s="41"/>
      <c r="U615" s="41" t="str">
        <f t="shared" si="59"/>
        <v/>
      </c>
      <c r="V615" s="44"/>
      <c r="W615" s="44"/>
      <c r="X615" s="46"/>
      <c r="Y615" s="46"/>
      <c r="Z615" s="46"/>
      <c r="AA615" s="41"/>
      <c r="AB615" s="22"/>
      <c r="AC615" s="22"/>
      <c r="AD615" s="41"/>
      <c r="AE615" s="22"/>
      <c r="AF615" s="22"/>
      <c r="AG615" s="48" t="str">
        <f t="shared" si="56"/>
        <v/>
      </c>
      <c r="AH615" s="48" t="str">
        <f t="shared" si="57"/>
        <v/>
      </c>
      <c r="AI615" s="48" t="str">
        <f t="shared" si="58"/>
        <v/>
      </c>
      <c r="AJ615" s="40" t="str">
        <f t="shared" si="54"/>
        <v/>
      </c>
      <c r="AK615" s="40"/>
      <c r="AL615" s="40"/>
      <c r="AM615" s="22"/>
      <c r="AQ615" s="46"/>
    </row>
    <row r="616" spans="1:43" ht="17.399999999999999">
      <c r="A616" s="22"/>
      <c r="B616" s="22"/>
      <c r="C616" s="56"/>
      <c r="D616" s="56"/>
      <c r="E616" s="22"/>
      <c r="F616" s="22"/>
      <c r="G616" s="22"/>
      <c r="H616" s="22"/>
      <c r="I616" s="49"/>
      <c r="J616" s="50"/>
      <c r="K616" s="22"/>
      <c r="L616" s="22"/>
      <c r="M616" s="22"/>
      <c r="N616" s="22"/>
      <c r="O616" s="22"/>
      <c r="P616" s="46"/>
      <c r="Q616" s="40"/>
      <c r="R616" s="41"/>
      <c r="S616" s="22" t="str">
        <f t="shared" si="55"/>
        <v/>
      </c>
      <c r="T616" s="41"/>
      <c r="U616" s="41" t="str">
        <f t="shared" si="59"/>
        <v/>
      </c>
      <c r="V616" s="44"/>
      <c r="W616" s="44"/>
      <c r="X616" s="46"/>
      <c r="Y616" s="46"/>
      <c r="Z616" s="46"/>
      <c r="AA616" s="41"/>
      <c r="AB616" s="22"/>
      <c r="AC616" s="22"/>
      <c r="AD616" s="41"/>
      <c r="AE616" s="22"/>
      <c r="AF616" s="22"/>
      <c r="AG616" s="48" t="str">
        <f t="shared" si="56"/>
        <v/>
      </c>
      <c r="AH616" s="48" t="str">
        <f t="shared" si="57"/>
        <v/>
      </c>
      <c r="AI616" s="48" t="str">
        <f t="shared" si="58"/>
        <v/>
      </c>
      <c r="AJ616" s="40" t="str">
        <f t="shared" si="54"/>
        <v/>
      </c>
      <c r="AK616" s="40"/>
      <c r="AL616" s="40"/>
      <c r="AM616" s="22"/>
      <c r="AQ616" s="46"/>
    </row>
    <row r="617" spans="1:43" ht="17.399999999999999">
      <c r="A617" s="22"/>
      <c r="B617" s="22"/>
      <c r="C617" s="56"/>
      <c r="D617" s="56"/>
      <c r="E617" s="22"/>
      <c r="F617" s="22"/>
      <c r="G617" s="22"/>
      <c r="H617" s="22"/>
      <c r="I617" s="49"/>
      <c r="J617" s="50"/>
      <c r="K617" s="22"/>
      <c r="L617" s="22"/>
      <c r="M617" s="22"/>
      <c r="N617" s="22"/>
      <c r="O617" s="22"/>
      <c r="P617" s="46"/>
      <c r="Q617" s="40"/>
      <c r="R617" s="41"/>
      <c r="S617" s="22" t="str">
        <f t="shared" si="55"/>
        <v/>
      </c>
      <c r="T617" s="41"/>
      <c r="U617" s="41" t="str">
        <f t="shared" si="59"/>
        <v/>
      </c>
      <c r="V617" s="44"/>
      <c r="W617" s="44"/>
      <c r="X617" s="46"/>
      <c r="Y617" s="46"/>
      <c r="Z617" s="46"/>
      <c r="AA617" s="41"/>
      <c r="AB617" s="22"/>
      <c r="AC617" s="22"/>
      <c r="AD617" s="41"/>
      <c r="AE617" s="22"/>
      <c r="AF617" s="22"/>
      <c r="AG617" s="48" t="str">
        <f t="shared" si="56"/>
        <v/>
      </c>
      <c r="AH617" s="48" t="str">
        <f t="shared" si="57"/>
        <v/>
      </c>
      <c r="AI617" s="48" t="str">
        <f t="shared" si="58"/>
        <v/>
      </c>
      <c r="AJ617" s="40" t="str">
        <f t="shared" si="54"/>
        <v/>
      </c>
      <c r="AK617" s="40"/>
      <c r="AL617" s="40"/>
      <c r="AM617" s="22"/>
      <c r="AQ617" s="46"/>
    </row>
    <row r="618" spans="1:43" ht="17.399999999999999">
      <c r="A618" s="22"/>
      <c r="B618" s="22"/>
      <c r="C618" s="56"/>
      <c r="D618" s="56"/>
      <c r="E618" s="22"/>
      <c r="F618" s="22"/>
      <c r="G618" s="22"/>
      <c r="H618" s="22"/>
      <c r="I618" s="49"/>
      <c r="J618" s="50"/>
      <c r="K618" s="22"/>
      <c r="L618" s="22"/>
      <c r="M618" s="22"/>
      <c r="N618" s="22"/>
      <c r="O618" s="22"/>
      <c r="P618" s="46"/>
      <c r="Q618" s="40"/>
      <c r="R618" s="41"/>
      <c r="S618" s="22" t="str">
        <f t="shared" si="55"/>
        <v/>
      </c>
      <c r="T618" s="41"/>
      <c r="U618" s="41" t="str">
        <f t="shared" si="59"/>
        <v/>
      </c>
      <c r="V618" s="44"/>
      <c r="W618" s="44"/>
      <c r="X618" s="46"/>
      <c r="Y618" s="46"/>
      <c r="Z618" s="46"/>
      <c r="AA618" s="41"/>
      <c r="AB618" s="22"/>
      <c r="AC618" s="22"/>
      <c r="AD618" s="41"/>
      <c r="AE618" s="22"/>
      <c r="AF618" s="22"/>
      <c r="AG618" s="48" t="str">
        <f t="shared" si="56"/>
        <v/>
      </c>
      <c r="AH618" s="48" t="str">
        <f t="shared" si="57"/>
        <v/>
      </c>
      <c r="AI618" s="48" t="str">
        <f t="shared" si="58"/>
        <v/>
      </c>
      <c r="AJ618" s="40" t="str">
        <f t="shared" si="54"/>
        <v/>
      </c>
      <c r="AK618" s="40"/>
      <c r="AL618" s="40"/>
      <c r="AM618" s="22"/>
      <c r="AQ618" s="46"/>
    </row>
    <row r="619" spans="1:43" ht="17.399999999999999">
      <c r="A619" s="22"/>
      <c r="B619" s="22"/>
      <c r="C619" s="56"/>
      <c r="D619" s="56"/>
      <c r="E619" s="22"/>
      <c r="F619" s="22"/>
      <c r="G619" s="22"/>
      <c r="H619" s="22"/>
      <c r="I619" s="49"/>
      <c r="J619" s="50"/>
      <c r="K619" s="22"/>
      <c r="L619" s="22"/>
      <c r="M619" s="22"/>
      <c r="N619" s="22"/>
      <c r="O619" s="22"/>
      <c r="P619" s="46"/>
      <c r="Q619" s="40"/>
      <c r="R619" s="41"/>
      <c r="S619" s="22" t="str">
        <f t="shared" si="55"/>
        <v/>
      </c>
      <c r="T619" s="41"/>
      <c r="U619" s="41" t="str">
        <f t="shared" si="59"/>
        <v/>
      </c>
      <c r="V619" s="44"/>
      <c r="W619" s="44"/>
      <c r="X619" s="46"/>
      <c r="Y619" s="46"/>
      <c r="Z619" s="46"/>
      <c r="AA619" s="41"/>
      <c r="AB619" s="22"/>
      <c r="AC619" s="22"/>
      <c r="AD619" s="41"/>
      <c r="AE619" s="22"/>
      <c r="AF619" s="22"/>
      <c r="AG619" s="48" t="str">
        <f t="shared" si="56"/>
        <v/>
      </c>
      <c r="AH619" s="48" t="str">
        <f t="shared" si="57"/>
        <v/>
      </c>
      <c r="AI619" s="48" t="str">
        <f t="shared" si="58"/>
        <v/>
      </c>
      <c r="AJ619" s="40" t="str">
        <f t="shared" si="54"/>
        <v/>
      </c>
      <c r="AK619" s="40"/>
      <c r="AL619" s="40"/>
      <c r="AM619" s="22"/>
      <c r="AQ619" s="46"/>
    </row>
    <row r="620" spans="1:43" ht="17.399999999999999">
      <c r="A620" s="22"/>
      <c r="B620" s="22"/>
      <c r="C620" s="56"/>
      <c r="D620" s="56"/>
      <c r="E620" s="22"/>
      <c r="F620" s="22"/>
      <c r="G620" s="22"/>
      <c r="H620" s="22"/>
      <c r="I620" s="49"/>
      <c r="J620" s="50"/>
      <c r="K620" s="22"/>
      <c r="L620" s="22"/>
      <c r="M620" s="22"/>
      <c r="N620" s="22"/>
      <c r="O620" s="22"/>
      <c r="P620" s="46"/>
      <c r="Q620" s="40"/>
      <c r="R620" s="41"/>
      <c r="S620" s="22" t="str">
        <f t="shared" si="55"/>
        <v/>
      </c>
      <c r="T620" s="41"/>
      <c r="U620" s="41" t="str">
        <f t="shared" si="59"/>
        <v/>
      </c>
      <c r="V620" s="44"/>
      <c r="W620" s="44"/>
      <c r="X620" s="46"/>
      <c r="Y620" s="46"/>
      <c r="Z620" s="46"/>
      <c r="AA620" s="41"/>
      <c r="AB620" s="22"/>
      <c r="AC620" s="22"/>
      <c r="AD620" s="41"/>
      <c r="AE620" s="22"/>
      <c r="AF620" s="22"/>
      <c r="AG620" s="48" t="str">
        <f t="shared" si="56"/>
        <v/>
      </c>
      <c r="AH620" s="48" t="str">
        <f t="shared" si="57"/>
        <v/>
      </c>
      <c r="AI620" s="48" t="str">
        <f t="shared" si="58"/>
        <v/>
      </c>
      <c r="AJ620" s="40" t="str">
        <f t="shared" si="54"/>
        <v/>
      </c>
      <c r="AK620" s="40"/>
      <c r="AL620" s="40"/>
      <c r="AM620" s="22"/>
      <c r="AQ620" s="46"/>
    </row>
    <row r="621" spans="1:43" ht="17.399999999999999">
      <c r="A621" s="22"/>
      <c r="B621" s="22"/>
      <c r="C621" s="56"/>
      <c r="D621" s="56"/>
      <c r="E621" s="22"/>
      <c r="F621" s="22"/>
      <c r="G621" s="22"/>
      <c r="H621" s="22"/>
      <c r="I621" s="49"/>
      <c r="J621" s="50"/>
      <c r="K621" s="22"/>
      <c r="L621" s="22"/>
      <c r="M621" s="22"/>
      <c r="N621" s="22"/>
      <c r="O621" s="22"/>
      <c r="P621" s="46"/>
      <c r="Q621" s="40"/>
      <c r="R621" s="41"/>
      <c r="S621" s="22" t="str">
        <f t="shared" si="55"/>
        <v/>
      </c>
      <c r="T621" s="41"/>
      <c r="U621" s="41" t="str">
        <f t="shared" si="59"/>
        <v/>
      </c>
      <c r="V621" s="44"/>
      <c r="W621" s="44"/>
      <c r="X621" s="46"/>
      <c r="Y621" s="46"/>
      <c r="Z621" s="46"/>
      <c r="AA621" s="41"/>
      <c r="AB621" s="22"/>
      <c r="AC621" s="22"/>
      <c r="AD621" s="41"/>
      <c r="AE621" s="22"/>
      <c r="AF621" s="22"/>
      <c r="AG621" s="48" t="str">
        <f t="shared" si="56"/>
        <v/>
      </c>
      <c r="AH621" s="48" t="str">
        <f t="shared" si="57"/>
        <v/>
      </c>
      <c r="AI621" s="48" t="str">
        <f t="shared" si="58"/>
        <v/>
      </c>
      <c r="AJ621" s="40" t="str">
        <f t="shared" ref="AJ621:AJ684" si="60">IF(A621="","",R621+21)</f>
        <v/>
      </c>
      <c r="AK621" s="40"/>
      <c r="AL621" s="40"/>
      <c r="AM621" s="22"/>
      <c r="AQ621" s="46"/>
    </row>
    <row r="622" spans="1:43" ht="17.399999999999999">
      <c r="A622" s="22"/>
      <c r="B622" s="22"/>
      <c r="C622" s="56"/>
      <c r="D622" s="56"/>
      <c r="E622" s="22"/>
      <c r="F622" s="22"/>
      <c r="G622" s="22"/>
      <c r="H622" s="22"/>
      <c r="I622" s="49"/>
      <c r="J622" s="50"/>
      <c r="K622" s="22"/>
      <c r="L622" s="22"/>
      <c r="M622" s="22"/>
      <c r="N622" s="22"/>
      <c r="O622" s="22"/>
      <c r="P622" s="46"/>
      <c r="Q622" s="40"/>
      <c r="R622" s="41"/>
      <c r="S622" s="22" t="str">
        <f t="shared" si="55"/>
        <v/>
      </c>
      <c r="T622" s="41"/>
      <c r="U622" s="41" t="str">
        <f t="shared" si="59"/>
        <v/>
      </c>
      <c r="V622" s="44"/>
      <c r="W622" s="44"/>
      <c r="X622" s="46"/>
      <c r="Y622" s="46"/>
      <c r="Z622" s="46"/>
      <c r="AA622" s="41"/>
      <c r="AB622" s="22"/>
      <c r="AC622" s="22"/>
      <c r="AD622" s="41"/>
      <c r="AE622" s="22"/>
      <c r="AF622" s="22"/>
      <c r="AG622" s="48" t="str">
        <f t="shared" si="56"/>
        <v/>
      </c>
      <c r="AH622" s="48" t="str">
        <f t="shared" si="57"/>
        <v/>
      </c>
      <c r="AI622" s="48" t="str">
        <f t="shared" si="58"/>
        <v/>
      </c>
      <c r="AJ622" s="40" t="str">
        <f t="shared" si="60"/>
        <v/>
      </c>
      <c r="AK622" s="40"/>
      <c r="AL622" s="40"/>
      <c r="AM622" s="22"/>
      <c r="AQ622" s="46"/>
    </row>
    <row r="623" spans="1:43" ht="17.399999999999999">
      <c r="A623" s="22"/>
      <c r="B623" s="22"/>
      <c r="C623" s="56"/>
      <c r="D623" s="56"/>
      <c r="E623" s="22"/>
      <c r="F623" s="22"/>
      <c r="G623" s="22"/>
      <c r="H623" s="22"/>
      <c r="I623" s="49"/>
      <c r="J623" s="50"/>
      <c r="K623" s="22"/>
      <c r="L623" s="22"/>
      <c r="M623" s="22"/>
      <c r="N623" s="22"/>
      <c r="O623" s="22"/>
      <c r="P623" s="46"/>
      <c r="Q623" s="40"/>
      <c r="R623" s="41"/>
      <c r="S623" s="22" t="str">
        <f t="shared" si="55"/>
        <v/>
      </c>
      <c r="T623" s="41"/>
      <c r="U623" s="41" t="str">
        <f t="shared" si="59"/>
        <v/>
      </c>
      <c r="V623" s="44"/>
      <c r="W623" s="44"/>
      <c r="X623" s="46"/>
      <c r="Y623" s="46"/>
      <c r="Z623" s="46"/>
      <c r="AA623" s="41"/>
      <c r="AB623" s="22"/>
      <c r="AC623" s="22"/>
      <c r="AD623" s="41"/>
      <c r="AE623" s="22"/>
      <c r="AF623" s="22"/>
      <c r="AG623" s="48" t="str">
        <f t="shared" si="56"/>
        <v/>
      </c>
      <c r="AH623" s="48" t="str">
        <f t="shared" si="57"/>
        <v/>
      </c>
      <c r="AI623" s="48" t="str">
        <f t="shared" si="58"/>
        <v/>
      </c>
      <c r="AJ623" s="40" t="str">
        <f t="shared" si="60"/>
        <v/>
      </c>
      <c r="AK623" s="40"/>
      <c r="AL623" s="40"/>
      <c r="AM623" s="22"/>
      <c r="AQ623" s="46"/>
    </row>
    <row r="624" spans="1:43" ht="17.399999999999999">
      <c r="A624" s="22"/>
      <c r="B624" s="22"/>
      <c r="C624" s="56"/>
      <c r="D624" s="56"/>
      <c r="E624" s="22"/>
      <c r="F624" s="22"/>
      <c r="G624" s="22"/>
      <c r="H624" s="22"/>
      <c r="I624" s="49"/>
      <c r="J624" s="50"/>
      <c r="K624" s="22"/>
      <c r="L624" s="22"/>
      <c r="M624" s="22"/>
      <c r="N624" s="22"/>
      <c r="O624" s="22"/>
      <c r="P624" s="46"/>
      <c r="Q624" s="40"/>
      <c r="R624" s="41"/>
      <c r="S624" s="22" t="str">
        <f t="shared" si="55"/>
        <v/>
      </c>
      <c r="T624" s="41"/>
      <c r="U624" s="41" t="str">
        <f t="shared" si="59"/>
        <v/>
      </c>
      <c r="V624" s="44"/>
      <c r="W624" s="44"/>
      <c r="X624" s="46"/>
      <c r="Y624" s="46"/>
      <c r="Z624" s="46"/>
      <c r="AA624" s="41"/>
      <c r="AB624" s="22"/>
      <c r="AC624" s="22"/>
      <c r="AD624" s="41"/>
      <c r="AE624" s="22"/>
      <c r="AF624" s="22"/>
      <c r="AG624" s="48" t="str">
        <f t="shared" si="56"/>
        <v/>
      </c>
      <c r="AH624" s="48" t="str">
        <f t="shared" si="57"/>
        <v/>
      </c>
      <c r="AI624" s="48" t="str">
        <f t="shared" si="58"/>
        <v/>
      </c>
      <c r="AJ624" s="40" t="str">
        <f t="shared" si="60"/>
        <v/>
      </c>
      <c r="AK624" s="40"/>
      <c r="AL624" s="40"/>
      <c r="AM624" s="22"/>
      <c r="AQ624" s="46"/>
    </row>
    <row r="625" spans="1:43" ht="17.399999999999999">
      <c r="A625" s="22"/>
      <c r="B625" s="22"/>
      <c r="C625" s="56"/>
      <c r="D625" s="56"/>
      <c r="E625" s="22"/>
      <c r="F625" s="22"/>
      <c r="G625" s="22"/>
      <c r="H625" s="22"/>
      <c r="I625" s="49"/>
      <c r="J625" s="50"/>
      <c r="K625" s="22"/>
      <c r="L625" s="22"/>
      <c r="M625" s="22"/>
      <c r="N625" s="22"/>
      <c r="O625" s="22"/>
      <c r="P625" s="46"/>
      <c r="Q625" s="40"/>
      <c r="R625" s="41"/>
      <c r="S625" s="22" t="str">
        <f t="shared" si="55"/>
        <v/>
      </c>
      <c r="T625" s="41"/>
      <c r="U625" s="41" t="str">
        <f t="shared" si="59"/>
        <v/>
      </c>
      <c r="V625" s="44"/>
      <c r="W625" s="44"/>
      <c r="X625" s="46"/>
      <c r="Y625" s="46"/>
      <c r="Z625" s="46"/>
      <c r="AA625" s="41"/>
      <c r="AB625" s="22"/>
      <c r="AC625" s="22"/>
      <c r="AD625" s="41"/>
      <c r="AE625" s="22"/>
      <c r="AF625" s="22"/>
      <c r="AG625" s="48" t="str">
        <f t="shared" si="56"/>
        <v/>
      </c>
      <c r="AH625" s="48" t="str">
        <f t="shared" si="57"/>
        <v/>
      </c>
      <c r="AI625" s="48" t="str">
        <f t="shared" si="58"/>
        <v/>
      </c>
      <c r="AJ625" s="40" t="str">
        <f t="shared" si="60"/>
        <v/>
      </c>
      <c r="AK625" s="40"/>
      <c r="AL625" s="40"/>
      <c r="AM625" s="22"/>
      <c r="AQ625" s="46"/>
    </row>
    <row r="626" spans="1:43" ht="17.399999999999999">
      <c r="A626" s="22"/>
      <c r="B626" s="22"/>
      <c r="C626" s="56"/>
      <c r="D626" s="56"/>
      <c r="E626" s="22"/>
      <c r="F626" s="22"/>
      <c r="G626" s="22"/>
      <c r="H626" s="22"/>
      <c r="I626" s="49"/>
      <c r="J626" s="50"/>
      <c r="K626" s="22"/>
      <c r="L626" s="22"/>
      <c r="M626" s="22"/>
      <c r="N626" s="22"/>
      <c r="O626" s="22"/>
      <c r="P626" s="46"/>
      <c r="Q626" s="40"/>
      <c r="R626" s="41"/>
      <c r="S626" s="22" t="str">
        <f t="shared" si="55"/>
        <v/>
      </c>
      <c r="T626" s="41"/>
      <c r="U626" s="41" t="str">
        <f t="shared" si="59"/>
        <v/>
      </c>
      <c r="V626" s="44"/>
      <c r="W626" s="44"/>
      <c r="X626" s="46"/>
      <c r="Y626" s="46"/>
      <c r="Z626" s="46"/>
      <c r="AA626" s="41"/>
      <c r="AB626" s="22"/>
      <c r="AC626" s="22"/>
      <c r="AD626" s="41"/>
      <c r="AE626" s="22"/>
      <c r="AF626" s="22"/>
      <c r="AG626" s="48" t="str">
        <f t="shared" si="56"/>
        <v/>
      </c>
      <c r="AH626" s="48" t="str">
        <f t="shared" si="57"/>
        <v/>
      </c>
      <c r="AI626" s="48" t="str">
        <f t="shared" si="58"/>
        <v/>
      </c>
      <c r="AJ626" s="40" t="str">
        <f t="shared" si="60"/>
        <v/>
      </c>
      <c r="AK626" s="40"/>
      <c r="AL626" s="40"/>
      <c r="AM626" s="22"/>
      <c r="AQ626" s="46"/>
    </row>
    <row r="627" spans="1:43" ht="17.399999999999999">
      <c r="A627" s="22"/>
      <c r="B627" s="22"/>
      <c r="C627" s="56"/>
      <c r="D627" s="56"/>
      <c r="E627" s="22"/>
      <c r="F627" s="22"/>
      <c r="G627" s="22"/>
      <c r="H627" s="22"/>
      <c r="I627" s="49"/>
      <c r="J627" s="50"/>
      <c r="K627" s="22"/>
      <c r="L627" s="22"/>
      <c r="M627" s="22"/>
      <c r="N627" s="22"/>
      <c r="O627" s="22"/>
      <c r="P627" s="46"/>
      <c r="Q627" s="40"/>
      <c r="R627" s="41"/>
      <c r="S627" s="22" t="str">
        <f t="shared" si="55"/>
        <v/>
      </c>
      <c r="T627" s="41"/>
      <c r="U627" s="41" t="str">
        <f t="shared" si="59"/>
        <v/>
      </c>
      <c r="V627" s="44"/>
      <c r="W627" s="44"/>
      <c r="X627" s="46"/>
      <c r="Y627" s="46"/>
      <c r="Z627" s="46"/>
      <c r="AA627" s="41"/>
      <c r="AB627" s="22"/>
      <c r="AC627" s="22"/>
      <c r="AD627" s="41"/>
      <c r="AE627" s="22"/>
      <c r="AF627" s="22"/>
      <c r="AG627" s="48" t="str">
        <f t="shared" si="56"/>
        <v/>
      </c>
      <c r="AH627" s="48" t="str">
        <f t="shared" si="57"/>
        <v/>
      </c>
      <c r="AI627" s="48" t="str">
        <f t="shared" si="58"/>
        <v/>
      </c>
      <c r="AJ627" s="40" t="str">
        <f t="shared" si="60"/>
        <v/>
      </c>
      <c r="AK627" s="40"/>
      <c r="AL627" s="40"/>
      <c r="AM627" s="22"/>
      <c r="AQ627" s="46"/>
    </row>
    <row r="628" spans="1:43" ht="17.399999999999999">
      <c r="A628" s="22"/>
      <c r="B628" s="22"/>
      <c r="C628" s="56"/>
      <c r="D628" s="56"/>
      <c r="E628" s="22"/>
      <c r="F628" s="22"/>
      <c r="G628" s="22"/>
      <c r="H628" s="22"/>
      <c r="I628" s="49"/>
      <c r="J628" s="50"/>
      <c r="K628" s="22"/>
      <c r="L628" s="22"/>
      <c r="M628" s="22"/>
      <c r="N628" s="22"/>
      <c r="O628" s="22"/>
      <c r="P628" s="46"/>
      <c r="Q628" s="40"/>
      <c r="R628" s="41"/>
      <c r="S628" s="22" t="str">
        <f t="shared" si="55"/>
        <v/>
      </c>
      <c r="T628" s="41"/>
      <c r="U628" s="41" t="str">
        <f t="shared" si="59"/>
        <v/>
      </c>
      <c r="V628" s="44"/>
      <c r="W628" s="44"/>
      <c r="X628" s="46"/>
      <c r="Y628" s="46"/>
      <c r="Z628" s="46"/>
      <c r="AA628" s="41"/>
      <c r="AB628" s="22"/>
      <c r="AC628" s="22"/>
      <c r="AD628" s="41"/>
      <c r="AE628" s="22"/>
      <c r="AF628" s="22"/>
      <c r="AG628" s="48" t="str">
        <f t="shared" si="56"/>
        <v/>
      </c>
      <c r="AH628" s="48" t="str">
        <f t="shared" si="57"/>
        <v/>
      </c>
      <c r="AI628" s="48" t="str">
        <f t="shared" si="58"/>
        <v/>
      </c>
      <c r="AJ628" s="40" t="str">
        <f t="shared" si="60"/>
        <v/>
      </c>
      <c r="AK628" s="40"/>
      <c r="AL628" s="40"/>
      <c r="AM628" s="22"/>
      <c r="AQ628" s="46"/>
    </row>
    <row r="629" spans="1:43" ht="17.399999999999999">
      <c r="A629" s="22"/>
      <c r="B629" s="22"/>
      <c r="C629" s="56"/>
      <c r="D629" s="56"/>
      <c r="E629" s="22"/>
      <c r="F629" s="22"/>
      <c r="G629" s="22"/>
      <c r="H629" s="22"/>
      <c r="I629" s="49"/>
      <c r="J629" s="50"/>
      <c r="K629" s="22"/>
      <c r="L629" s="22"/>
      <c r="M629" s="22"/>
      <c r="N629" s="22"/>
      <c r="O629" s="22"/>
      <c r="P629" s="46"/>
      <c r="Q629" s="40"/>
      <c r="R629" s="41"/>
      <c r="S629" s="22" t="str">
        <f t="shared" si="55"/>
        <v/>
      </c>
      <c r="T629" s="41"/>
      <c r="U629" s="41" t="str">
        <f t="shared" si="59"/>
        <v/>
      </c>
      <c r="V629" s="44"/>
      <c r="W629" s="44"/>
      <c r="X629" s="46"/>
      <c r="Y629" s="46"/>
      <c r="Z629" s="46"/>
      <c r="AA629" s="41"/>
      <c r="AB629" s="22"/>
      <c r="AC629" s="22"/>
      <c r="AD629" s="41"/>
      <c r="AE629" s="22"/>
      <c r="AF629" s="22"/>
      <c r="AG629" s="48" t="str">
        <f t="shared" si="56"/>
        <v/>
      </c>
      <c r="AH629" s="48" t="str">
        <f t="shared" si="57"/>
        <v/>
      </c>
      <c r="AI629" s="48" t="str">
        <f t="shared" si="58"/>
        <v/>
      </c>
      <c r="AJ629" s="40" t="str">
        <f t="shared" si="60"/>
        <v/>
      </c>
      <c r="AK629" s="40"/>
      <c r="AL629" s="40"/>
      <c r="AM629" s="22"/>
      <c r="AQ629" s="46"/>
    </row>
    <row r="630" spans="1:43" ht="17.399999999999999">
      <c r="A630" s="22"/>
      <c r="B630" s="22"/>
      <c r="C630" s="56"/>
      <c r="D630" s="56"/>
      <c r="E630" s="22"/>
      <c r="F630" s="22"/>
      <c r="G630" s="22"/>
      <c r="H630" s="22"/>
      <c r="I630" s="49"/>
      <c r="J630" s="50"/>
      <c r="K630" s="22"/>
      <c r="L630" s="22"/>
      <c r="M630" s="22"/>
      <c r="N630" s="22"/>
      <c r="O630" s="22"/>
      <c r="P630" s="46"/>
      <c r="Q630" s="40"/>
      <c r="R630" s="41"/>
      <c r="S630" s="22" t="str">
        <f t="shared" si="55"/>
        <v/>
      </c>
      <c r="T630" s="41"/>
      <c r="U630" s="41" t="str">
        <f t="shared" si="59"/>
        <v/>
      </c>
      <c r="V630" s="44"/>
      <c r="W630" s="44"/>
      <c r="X630" s="46"/>
      <c r="Y630" s="46"/>
      <c r="Z630" s="46"/>
      <c r="AA630" s="41"/>
      <c r="AB630" s="22"/>
      <c r="AC630" s="22"/>
      <c r="AD630" s="41"/>
      <c r="AE630" s="22"/>
      <c r="AF630" s="22"/>
      <c r="AG630" s="48" t="str">
        <f t="shared" si="56"/>
        <v/>
      </c>
      <c r="AH630" s="48" t="str">
        <f t="shared" si="57"/>
        <v/>
      </c>
      <c r="AI630" s="48" t="str">
        <f t="shared" si="58"/>
        <v/>
      </c>
      <c r="AJ630" s="40" t="str">
        <f t="shared" si="60"/>
        <v/>
      </c>
      <c r="AK630" s="40"/>
      <c r="AL630" s="40"/>
      <c r="AM630" s="22"/>
      <c r="AQ630" s="46"/>
    </row>
    <row r="631" spans="1:43" ht="17.399999999999999">
      <c r="A631" s="22"/>
      <c r="B631" s="22"/>
      <c r="C631" s="56"/>
      <c r="D631" s="56"/>
      <c r="E631" s="22"/>
      <c r="F631" s="22"/>
      <c r="G631" s="22"/>
      <c r="H631" s="22"/>
      <c r="I631" s="49"/>
      <c r="J631" s="50"/>
      <c r="K631" s="22"/>
      <c r="L631" s="22"/>
      <c r="M631" s="22"/>
      <c r="N631" s="22"/>
      <c r="O631" s="22"/>
      <c r="P631" s="46"/>
      <c r="Q631" s="40"/>
      <c r="R631" s="41"/>
      <c r="S631" s="22" t="str">
        <f t="shared" si="55"/>
        <v/>
      </c>
      <c r="T631" s="41"/>
      <c r="U631" s="41" t="str">
        <f t="shared" si="59"/>
        <v/>
      </c>
      <c r="V631" s="44"/>
      <c r="W631" s="44"/>
      <c r="X631" s="46"/>
      <c r="Y631" s="46"/>
      <c r="Z631" s="46"/>
      <c r="AA631" s="41"/>
      <c r="AB631" s="22"/>
      <c r="AC631" s="22"/>
      <c r="AD631" s="41"/>
      <c r="AE631" s="22"/>
      <c r="AF631" s="22"/>
      <c r="AG631" s="48" t="str">
        <f t="shared" si="56"/>
        <v/>
      </c>
      <c r="AH631" s="48" t="str">
        <f t="shared" si="57"/>
        <v/>
      </c>
      <c r="AI631" s="48" t="str">
        <f t="shared" si="58"/>
        <v/>
      </c>
      <c r="AJ631" s="40" t="str">
        <f t="shared" si="60"/>
        <v/>
      </c>
      <c r="AK631" s="40"/>
      <c r="AL631" s="40"/>
      <c r="AM631" s="22"/>
      <c r="AQ631" s="46"/>
    </row>
    <row r="632" spans="1:43" ht="17.399999999999999">
      <c r="A632" s="22"/>
      <c r="B632" s="22"/>
      <c r="C632" s="56"/>
      <c r="D632" s="56"/>
      <c r="E632" s="22"/>
      <c r="F632" s="22"/>
      <c r="G632" s="22"/>
      <c r="H632" s="22"/>
      <c r="I632" s="49"/>
      <c r="J632" s="50"/>
      <c r="K632" s="22"/>
      <c r="L632" s="22"/>
      <c r="M632" s="22"/>
      <c r="N632" s="22"/>
      <c r="O632" s="22"/>
      <c r="P632" s="46"/>
      <c r="Q632" s="40"/>
      <c r="R632" s="41"/>
      <c r="S632" s="22" t="str">
        <f t="shared" si="55"/>
        <v/>
      </c>
      <c r="T632" s="41"/>
      <c r="U632" s="41" t="str">
        <f t="shared" si="59"/>
        <v/>
      </c>
      <c r="V632" s="44"/>
      <c r="W632" s="44"/>
      <c r="X632" s="46"/>
      <c r="Y632" s="46"/>
      <c r="Z632" s="46"/>
      <c r="AA632" s="41"/>
      <c r="AB632" s="22"/>
      <c r="AC632" s="22"/>
      <c r="AD632" s="41"/>
      <c r="AE632" s="22"/>
      <c r="AF632" s="22"/>
      <c r="AG632" s="48" t="str">
        <f t="shared" si="56"/>
        <v/>
      </c>
      <c r="AH632" s="48" t="str">
        <f t="shared" si="57"/>
        <v/>
      </c>
      <c r="AI632" s="48" t="str">
        <f t="shared" si="58"/>
        <v/>
      </c>
      <c r="AJ632" s="40" t="str">
        <f t="shared" si="60"/>
        <v/>
      </c>
      <c r="AK632" s="40"/>
      <c r="AL632" s="40"/>
      <c r="AM632" s="22"/>
      <c r="AQ632" s="46"/>
    </row>
    <row r="633" spans="1:43" ht="17.399999999999999">
      <c r="A633" s="22"/>
      <c r="B633" s="22"/>
      <c r="C633" s="56"/>
      <c r="D633" s="56"/>
      <c r="E633" s="22"/>
      <c r="F633" s="22"/>
      <c r="G633" s="22"/>
      <c r="H633" s="22"/>
      <c r="I633" s="49"/>
      <c r="J633" s="50"/>
      <c r="K633" s="22"/>
      <c r="L633" s="22"/>
      <c r="M633" s="22"/>
      <c r="N633" s="22"/>
      <c r="O633" s="22"/>
      <c r="P633" s="46"/>
      <c r="Q633" s="40"/>
      <c r="R633" s="41"/>
      <c r="S633" s="22" t="str">
        <f t="shared" si="55"/>
        <v/>
      </c>
      <c r="T633" s="41"/>
      <c r="U633" s="41" t="str">
        <f t="shared" si="59"/>
        <v/>
      </c>
      <c r="V633" s="44"/>
      <c r="W633" s="44"/>
      <c r="X633" s="46"/>
      <c r="Y633" s="46"/>
      <c r="Z633" s="46"/>
      <c r="AA633" s="41"/>
      <c r="AB633" s="22"/>
      <c r="AC633" s="22"/>
      <c r="AD633" s="41"/>
      <c r="AE633" s="22"/>
      <c r="AF633" s="22"/>
      <c r="AG633" s="48" t="str">
        <f t="shared" si="56"/>
        <v/>
      </c>
      <c r="AH633" s="48" t="str">
        <f t="shared" si="57"/>
        <v/>
      </c>
      <c r="AI633" s="48" t="str">
        <f t="shared" si="58"/>
        <v/>
      </c>
      <c r="AJ633" s="40" t="str">
        <f t="shared" si="60"/>
        <v/>
      </c>
      <c r="AK633" s="40"/>
      <c r="AL633" s="40"/>
      <c r="AM633" s="22"/>
      <c r="AQ633" s="46"/>
    </row>
    <row r="634" spans="1:43" ht="17.399999999999999">
      <c r="A634" s="22"/>
      <c r="B634" s="22"/>
      <c r="C634" s="56"/>
      <c r="D634" s="56"/>
      <c r="E634" s="22"/>
      <c r="F634" s="22"/>
      <c r="G634" s="22"/>
      <c r="H634" s="22"/>
      <c r="I634" s="49"/>
      <c r="J634" s="50"/>
      <c r="K634" s="22"/>
      <c r="L634" s="22"/>
      <c r="M634" s="22"/>
      <c r="N634" s="22"/>
      <c r="O634" s="22"/>
      <c r="P634" s="46"/>
      <c r="Q634" s="40"/>
      <c r="R634" s="41"/>
      <c r="S634" s="22" t="str">
        <f t="shared" si="55"/>
        <v/>
      </c>
      <c r="T634" s="41"/>
      <c r="U634" s="41" t="str">
        <f t="shared" si="59"/>
        <v/>
      </c>
      <c r="V634" s="44"/>
      <c r="W634" s="44"/>
      <c r="X634" s="46"/>
      <c r="Y634" s="46"/>
      <c r="Z634" s="46"/>
      <c r="AA634" s="41"/>
      <c r="AB634" s="22"/>
      <c r="AC634" s="22"/>
      <c r="AD634" s="41"/>
      <c r="AE634" s="22"/>
      <c r="AF634" s="22"/>
      <c r="AG634" s="48" t="str">
        <f t="shared" si="56"/>
        <v/>
      </c>
      <c r="AH634" s="48" t="str">
        <f t="shared" si="57"/>
        <v/>
      </c>
      <c r="AI634" s="48" t="str">
        <f t="shared" si="58"/>
        <v/>
      </c>
      <c r="AJ634" s="40" t="str">
        <f t="shared" si="60"/>
        <v/>
      </c>
      <c r="AK634" s="40"/>
      <c r="AL634" s="40"/>
      <c r="AM634" s="22"/>
      <c r="AQ634" s="46"/>
    </row>
    <row r="635" spans="1:43" ht="17.399999999999999">
      <c r="A635" s="22"/>
      <c r="B635" s="22"/>
      <c r="C635" s="56"/>
      <c r="D635" s="56"/>
      <c r="E635" s="22"/>
      <c r="F635" s="22"/>
      <c r="G635" s="22"/>
      <c r="H635" s="22"/>
      <c r="I635" s="49"/>
      <c r="J635" s="50"/>
      <c r="K635" s="22"/>
      <c r="L635" s="22"/>
      <c r="M635" s="22"/>
      <c r="N635" s="22"/>
      <c r="O635" s="22"/>
      <c r="P635" s="46"/>
      <c r="Q635" s="40"/>
      <c r="R635" s="41"/>
      <c r="S635" s="22" t="str">
        <f t="shared" si="55"/>
        <v/>
      </c>
      <c r="T635" s="41"/>
      <c r="U635" s="41" t="str">
        <f t="shared" si="59"/>
        <v/>
      </c>
      <c r="V635" s="44"/>
      <c r="W635" s="44"/>
      <c r="X635" s="46"/>
      <c r="Y635" s="46"/>
      <c r="Z635" s="46"/>
      <c r="AA635" s="41"/>
      <c r="AB635" s="22"/>
      <c r="AC635" s="22"/>
      <c r="AD635" s="41"/>
      <c r="AE635" s="22"/>
      <c r="AF635" s="22"/>
      <c r="AG635" s="48" t="str">
        <f t="shared" si="56"/>
        <v/>
      </c>
      <c r="AH635" s="48" t="str">
        <f t="shared" si="57"/>
        <v/>
      </c>
      <c r="AI635" s="48" t="str">
        <f t="shared" si="58"/>
        <v/>
      </c>
      <c r="AJ635" s="40" t="str">
        <f t="shared" si="60"/>
        <v/>
      </c>
      <c r="AK635" s="40"/>
      <c r="AL635" s="40"/>
      <c r="AM635" s="22"/>
      <c r="AQ635" s="46"/>
    </row>
    <row r="636" spans="1:43" ht="17.399999999999999">
      <c r="A636" s="22"/>
      <c r="B636" s="22"/>
      <c r="C636" s="56"/>
      <c r="D636" s="56"/>
      <c r="E636" s="22"/>
      <c r="F636" s="22"/>
      <c r="G636" s="22"/>
      <c r="H636" s="22"/>
      <c r="I636" s="49"/>
      <c r="J636" s="50"/>
      <c r="K636" s="22"/>
      <c r="L636" s="22"/>
      <c r="M636" s="22"/>
      <c r="N636" s="22"/>
      <c r="O636" s="22"/>
      <c r="P636" s="46"/>
      <c r="Q636" s="40"/>
      <c r="R636" s="41"/>
      <c r="S636" s="22" t="str">
        <f t="shared" si="55"/>
        <v/>
      </c>
      <c r="T636" s="41"/>
      <c r="U636" s="41" t="str">
        <f t="shared" si="59"/>
        <v/>
      </c>
      <c r="V636" s="44"/>
      <c r="W636" s="44"/>
      <c r="X636" s="46"/>
      <c r="Y636" s="46"/>
      <c r="Z636" s="46"/>
      <c r="AA636" s="41"/>
      <c r="AB636" s="22"/>
      <c r="AC636" s="22"/>
      <c r="AD636" s="41"/>
      <c r="AE636" s="22"/>
      <c r="AF636" s="22"/>
      <c r="AG636" s="48" t="str">
        <f t="shared" si="56"/>
        <v/>
      </c>
      <c r="AH636" s="48" t="str">
        <f t="shared" si="57"/>
        <v/>
      </c>
      <c r="AI636" s="48" t="str">
        <f t="shared" si="58"/>
        <v/>
      </c>
      <c r="AJ636" s="40" t="str">
        <f t="shared" si="60"/>
        <v/>
      </c>
      <c r="AK636" s="40"/>
      <c r="AL636" s="40"/>
      <c r="AM636" s="22"/>
      <c r="AQ636" s="46"/>
    </row>
    <row r="637" spans="1:43" ht="17.399999999999999">
      <c r="A637" s="22"/>
      <c r="B637" s="22"/>
      <c r="C637" s="56"/>
      <c r="D637" s="56"/>
      <c r="E637" s="22"/>
      <c r="F637" s="22"/>
      <c r="G637" s="22"/>
      <c r="H637" s="22"/>
      <c r="I637" s="49"/>
      <c r="J637" s="50"/>
      <c r="K637" s="22"/>
      <c r="L637" s="22"/>
      <c r="M637" s="22"/>
      <c r="N637" s="22"/>
      <c r="O637" s="22"/>
      <c r="P637" s="46"/>
      <c r="Q637" s="40"/>
      <c r="R637" s="41"/>
      <c r="S637" s="22" t="str">
        <f t="shared" si="55"/>
        <v/>
      </c>
      <c r="T637" s="41"/>
      <c r="U637" s="41" t="str">
        <f t="shared" si="59"/>
        <v/>
      </c>
      <c r="V637" s="44"/>
      <c r="W637" s="44"/>
      <c r="X637" s="46"/>
      <c r="Y637" s="46"/>
      <c r="Z637" s="46"/>
      <c r="AA637" s="41"/>
      <c r="AB637" s="22"/>
      <c r="AC637" s="22"/>
      <c r="AD637" s="41"/>
      <c r="AE637" s="22"/>
      <c r="AF637" s="22"/>
      <c r="AG637" s="48" t="str">
        <f t="shared" si="56"/>
        <v/>
      </c>
      <c r="AH637" s="48" t="str">
        <f t="shared" si="57"/>
        <v/>
      </c>
      <c r="AI637" s="48" t="str">
        <f t="shared" si="58"/>
        <v/>
      </c>
      <c r="AJ637" s="40" t="str">
        <f t="shared" si="60"/>
        <v/>
      </c>
      <c r="AK637" s="40"/>
      <c r="AL637" s="40"/>
      <c r="AM637" s="22"/>
      <c r="AQ637" s="46"/>
    </row>
    <row r="638" spans="1:43" ht="17.399999999999999">
      <c r="A638" s="22"/>
      <c r="B638" s="22"/>
      <c r="C638" s="56"/>
      <c r="D638" s="56"/>
      <c r="E638" s="22"/>
      <c r="F638" s="22"/>
      <c r="G638" s="22"/>
      <c r="H638" s="22"/>
      <c r="I638" s="49"/>
      <c r="J638" s="50"/>
      <c r="K638" s="22"/>
      <c r="L638" s="22"/>
      <c r="M638" s="22"/>
      <c r="N638" s="22"/>
      <c r="O638" s="22"/>
      <c r="P638" s="46"/>
      <c r="Q638" s="40"/>
      <c r="R638" s="41"/>
      <c r="S638" s="22" t="str">
        <f t="shared" si="55"/>
        <v/>
      </c>
      <c r="T638" s="41"/>
      <c r="U638" s="41" t="str">
        <f t="shared" si="59"/>
        <v/>
      </c>
      <c r="V638" s="44"/>
      <c r="W638" s="44"/>
      <c r="X638" s="46"/>
      <c r="Y638" s="46"/>
      <c r="Z638" s="46"/>
      <c r="AA638" s="41"/>
      <c r="AB638" s="22"/>
      <c r="AC638" s="22"/>
      <c r="AD638" s="41"/>
      <c r="AE638" s="22"/>
      <c r="AF638" s="22"/>
      <c r="AG638" s="48" t="str">
        <f t="shared" si="56"/>
        <v/>
      </c>
      <c r="AH638" s="48" t="str">
        <f t="shared" si="57"/>
        <v/>
      </c>
      <c r="AI638" s="48" t="str">
        <f t="shared" si="58"/>
        <v/>
      </c>
      <c r="AJ638" s="40" t="str">
        <f t="shared" si="60"/>
        <v/>
      </c>
      <c r="AK638" s="40"/>
      <c r="AL638" s="40"/>
      <c r="AM638" s="22"/>
      <c r="AQ638" s="46"/>
    </row>
    <row r="639" spans="1:43" ht="17.399999999999999">
      <c r="A639" s="22"/>
      <c r="B639" s="22"/>
      <c r="C639" s="56"/>
      <c r="D639" s="56"/>
      <c r="E639" s="22"/>
      <c r="F639" s="22"/>
      <c r="G639" s="22"/>
      <c r="H639" s="22"/>
      <c r="I639" s="49"/>
      <c r="J639" s="50"/>
      <c r="K639" s="22"/>
      <c r="L639" s="22"/>
      <c r="M639" s="22"/>
      <c r="N639" s="22"/>
      <c r="O639" s="22"/>
      <c r="P639" s="46"/>
      <c r="Q639" s="40"/>
      <c r="R639" s="41"/>
      <c r="S639" s="22" t="str">
        <f t="shared" si="55"/>
        <v/>
      </c>
      <c r="T639" s="41"/>
      <c r="U639" s="41" t="str">
        <f t="shared" si="59"/>
        <v/>
      </c>
      <c r="V639" s="44"/>
      <c r="W639" s="44"/>
      <c r="X639" s="46"/>
      <c r="Y639" s="46"/>
      <c r="Z639" s="46"/>
      <c r="AA639" s="41"/>
      <c r="AB639" s="22"/>
      <c r="AC639" s="22"/>
      <c r="AD639" s="41"/>
      <c r="AE639" s="22"/>
      <c r="AF639" s="22"/>
      <c r="AG639" s="48" t="str">
        <f t="shared" si="56"/>
        <v/>
      </c>
      <c r="AH639" s="48" t="str">
        <f t="shared" si="57"/>
        <v/>
      </c>
      <c r="AI639" s="48" t="str">
        <f t="shared" si="58"/>
        <v/>
      </c>
      <c r="AJ639" s="40" t="str">
        <f t="shared" si="60"/>
        <v/>
      </c>
      <c r="AK639" s="40"/>
      <c r="AL639" s="40"/>
      <c r="AM639" s="22"/>
      <c r="AQ639" s="46"/>
    </row>
    <row r="640" spans="1:43" ht="17.399999999999999">
      <c r="A640" s="22"/>
      <c r="B640" s="22"/>
      <c r="C640" s="56"/>
      <c r="D640" s="56"/>
      <c r="E640" s="22"/>
      <c r="F640" s="22"/>
      <c r="G640" s="22"/>
      <c r="H640" s="22"/>
      <c r="I640" s="49"/>
      <c r="J640" s="50"/>
      <c r="K640" s="22"/>
      <c r="L640" s="22"/>
      <c r="M640" s="22"/>
      <c r="N640" s="22"/>
      <c r="O640" s="22"/>
      <c r="P640" s="46"/>
      <c r="Q640" s="40"/>
      <c r="R640" s="41"/>
      <c r="S640" s="22" t="str">
        <f t="shared" si="55"/>
        <v/>
      </c>
      <c r="T640" s="41"/>
      <c r="U640" s="41" t="str">
        <f t="shared" si="59"/>
        <v/>
      </c>
      <c r="V640" s="44"/>
      <c r="W640" s="44"/>
      <c r="X640" s="46"/>
      <c r="Y640" s="46"/>
      <c r="Z640" s="46"/>
      <c r="AA640" s="41"/>
      <c r="AB640" s="22"/>
      <c r="AC640" s="22"/>
      <c r="AD640" s="41"/>
      <c r="AE640" s="22"/>
      <c r="AF640" s="22"/>
      <c r="AG640" s="48" t="str">
        <f t="shared" si="56"/>
        <v/>
      </c>
      <c r="AH640" s="48" t="str">
        <f t="shared" si="57"/>
        <v/>
      </c>
      <c r="AI640" s="48" t="str">
        <f t="shared" si="58"/>
        <v/>
      </c>
      <c r="AJ640" s="40" t="str">
        <f t="shared" si="60"/>
        <v/>
      </c>
      <c r="AK640" s="40"/>
      <c r="AL640" s="40"/>
      <c r="AM640" s="22"/>
      <c r="AQ640" s="46"/>
    </row>
    <row r="641" spans="1:43" ht="17.399999999999999">
      <c r="A641" s="22"/>
      <c r="B641" s="22"/>
      <c r="C641" s="56"/>
      <c r="D641" s="56"/>
      <c r="E641" s="22"/>
      <c r="F641" s="22"/>
      <c r="G641" s="22"/>
      <c r="H641" s="22"/>
      <c r="I641" s="49"/>
      <c r="J641" s="50"/>
      <c r="K641" s="22"/>
      <c r="L641" s="22"/>
      <c r="M641" s="22"/>
      <c r="N641" s="22"/>
      <c r="O641" s="22"/>
      <c r="P641" s="46"/>
      <c r="Q641" s="40"/>
      <c r="R641" s="41"/>
      <c r="S641" s="22" t="str">
        <f t="shared" si="55"/>
        <v/>
      </c>
      <c r="T641" s="41"/>
      <c r="U641" s="41" t="str">
        <f t="shared" si="59"/>
        <v/>
      </c>
      <c r="V641" s="44"/>
      <c r="W641" s="44"/>
      <c r="X641" s="46"/>
      <c r="Y641" s="46"/>
      <c r="Z641" s="46"/>
      <c r="AA641" s="41"/>
      <c r="AB641" s="22"/>
      <c r="AC641" s="22"/>
      <c r="AD641" s="41"/>
      <c r="AE641" s="22"/>
      <c r="AF641" s="22"/>
      <c r="AG641" s="48" t="str">
        <f t="shared" si="56"/>
        <v/>
      </c>
      <c r="AH641" s="48" t="str">
        <f t="shared" si="57"/>
        <v/>
      </c>
      <c r="AI641" s="48" t="str">
        <f t="shared" si="58"/>
        <v/>
      </c>
      <c r="AJ641" s="40" t="str">
        <f t="shared" si="60"/>
        <v/>
      </c>
      <c r="AK641" s="40"/>
      <c r="AL641" s="40"/>
      <c r="AM641" s="22"/>
      <c r="AQ641" s="46"/>
    </row>
    <row r="642" spans="1:43" ht="17.399999999999999">
      <c r="A642" s="22"/>
      <c r="B642" s="22"/>
      <c r="C642" s="56"/>
      <c r="D642" s="56"/>
      <c r="E642" s="22"/>
      <c r="F642" s="22"/>
      <c r="G642" s="22"/>
      <c r="H642" s="22"/>
      <c r="I642" s="49"/>
      <c r="J642" s="50"/>
      <c r="K642" s="22"/>
      <c r="L642" s="22"/>
      <c r="M642" s="22"/>
      <c r="N642" s="22"/>
      <c r="O642" s="22"/>
      <c r="P642" s="46"/>
      <c r="Q642" s="40"/>
      <c r="R642" s="41"/>
      <c r="S642" s="22" t="str">
        <f t="shared" si="55"/>
        <v/>
      </c>
      <c r="T642" s="41"/>
      <c r="U642" s="41" t="str">
        <f t="shared" si="59"/>
        <v/>
      </c>
      <c r="V642" s="44"/>
      <c r="W642" s="44"/>
      <c r="X642" s="46"/>
      <c r="Y642" s="46"/>
      <c r="Z642" s="46"/>
      <c r="AA642" s="41"/>
      <c r="AB642" s="22"/>
      <c r="AC642" s="22"/>
      <c r="AD642" s="41"/>
      <c r="AE642" s="22"/>
      <c r="AF642" s="22"/>
      <c r="AG642" s="48" t="str">
        <f t="shared" si="56"/>
        <v/>
      </c>
      <c r="AH642" s="48" t="str">
        <f t="shared" si="57"/>
        <v/>
      </c>
      <c r="AI642" s="48" t="str">
        <f t="shared" si="58"/>
        <v/>
      </c>
      <c r="AJ642" s="40" t="str">
        <f t="shared" si="60"/>
        <v/>
      </c>
      <c r="AK642" s="40"/>
      <c r="AL642" s="40"/>
      <c r="AM642" s="22"/>
      <c r="AQ642" s="46"/>
    </row>
    <row r="643" spans="1:43" ht="17.399999999999999">
      <c r="A643" s="22"/>
      <c r="B643" s="22"/>
      <c r="C643" s="56"/>
      <c r="D643" s="56"/>
      <c r="E643" s="22"/>
      <c r="F643" s="22"/>
      <c r="G643" s="22"/>
      <c r="H643" s="22"/>
      <c r="I643" s="49"/>
      <c r="J643" s="50"/>
      <c r="K643" s="22"/>
      <c r="L643" s="22"/>
      <c r="M643" s="22"/>
      <c r="N643" s="22"/>
      <c r="O643" s="22"/>
      <c r="P643" s="46"/>
      <c r="Q643" s="40"/>
      <c r="R643" s="41"/>
      <c r="S643" s="22" t="str">
        <f t="shared" ref="S643:S706" si="61">IF(A643="","",M643+O643)</f>
        <v/>
      </c>
      <c r="T643" s="41"/>
      <c r="U643" s="41" t="str">
        <f t="shared" si="59"/>
        <v/>
      </c>
      <c r="V643" s="44"/>
      <c r="W643" s="44"/>
      <c r="X643" s="46"/>
      <c r="Y643" s="46"/>
      <c r="Z643" s="46"/>
      <c r="AA643" s="41"/>
      <c r="AB643" s="22"/>
      <c r="AC643" s="22"/>
      <c r="AD643" s="41"/>
      <c r="AE643" s="22"/>
      <c r="AF643" s="22"/>
      <c r="AG643" s="48" t="str">
        <f t="shared" ref="AG643:AG706" si="62">IF(A643="","",S643-Y643)</f>
        <v/>
      </c>
      <c r="AH643" s="48" t="str">
        <f t="shared" ref="AH643:AH706" si="63">IF(A643="","",Y643-(AC643+AF643))</f>
        <v/>
      </c>
      <c r="AI643" s="48" t="str">
        <f t="shared" ref="AI643:AI706" si="64">IF(A643="","",AG643+AH643)</f>
        <v/>
      </c>
      <c r="AJ643" s="40" t="str">
        <f t="shared" si="60"/>
        <v/>
      </c>
      <c r="AK643" s="40"/>
      <c r="AL643" s="40"/>
      <c r="AM643" s="22"/>
      <c r="AQ643" s="46"/>
    </row>
    <row r="644" spans="1:43" ht="17.399999999999999">
      <c r="A644" s="22"/>
      <c r="B644" s="22"/>
      <c r="C644" s="56"/>
      <c r="D644" s="56"/>
      <c r="E644" s="22"/>
      <c r="F644" s="22"/>
      <c r="G644" s="22"/>
      <c r="H644" s="22"/>
      <c r="I644" s="49"/>
      <c r="J644" s="50"/>
      <c r="K644" s="22"/>
      <c r="L644" s="22"/>
      <c r="M644" s="22"/>
      <c r="N644" s="22"/>
      <c r="O644" s="22"/>
      <c r="P644" s="46"/>
      <c r="Q644" s="40"/>
      <c r="R644" s="41"/>
      <c r="S644" s="22" t="str">
        <f t="shared" si="61"/>
        <v/>
      </c>
      <c r="T644" s="41"/>
      <c r="U644" s="41" t="str">
        <f t="shared" ref="U644:U707" si="65">IF(OR(P644="FEC-FS",P644="PALTEK",P644="SDSE(TOKE)"),"Upload in customer box","")</f>
        <v/>
      </c>
      <c r="V644" s="44"/>
      <c r="W644" s="44"/>
      <c r="X644" s="46"/>
      <c r="Y644" s="46"/>
      <c r="Z644" s="46"/>
      <c r="AA644" s="41"/>
      <c r="AB644" s="22"/>
      <c r="AC644" s="22"/>
      <c r="AD644" s="41"/>
      <c r="AE644" s="22"/>
      <c r="AF644" s="22"/>
      <c r="AG644" s="48" t="str">
        <f t="shared" si="62"/>
        <v/>
      </c>
      <c r="AH644" s="48" t="str">
        <f t="shared" si="63"/>
        <v/>
      </c>
      <c r="AI644" s="48" t="str">
        <f t="shared" si="64"/>
        <v/>
      </c>
      <c r="AJ644" s="40" t="str">
        <f t="shared" si="60"/>
        <v/>
      </c>
      <c r="AK644" s="40"/>
      <c r="AL644" s="40"/>
      <c r="AM644" s="22"/>
      <c r="AQ644" s="46"/>
    </row>
    <row r="645" spans="1:43" ht="17.399999999999999">
      <c r="A645" s="22"/>
      <c r="B645" s="22"/>
      <c r="C645" s="56"/>
      <c r="D645" s="56"/>
      <c r="E645" s="22"/>
      <c r="F645" s="22"/>
      <c r="G645" s="22"/>
      <c r="H645" s="22"/>
      <c r="I645" s="49"/>
      <c r="J645" s="50"/>
      <c r="K645" s="22"/>
      <c r="L645" s="22"/>
      <c r="M645" s="22"/>
      <c r="N645" s="22"/>
      <c r="O645" s="22"/>
      <c r="P645" s="46"/>
      <c r="Q645" s="40"/>
      <c r="R645" s="41"/>
      <c r="S645" s="22" t="str">
        <f t="shared" si="61"/>
        <v/>
      </c>
      <c r="T645" s="41"/>
      <c r="U645" s="41" t="str">
        <f t="shared" si="65"/>
        <v/>
      </c>
      <c r="V645" s="44"/>
      <c r="W645" s="44"/>
      <c r="X645" s="46"/>
      <c r="Y645" s="46"/>
      <c r="Z645" s="46"/>
      <c r="AA645" s="41"/>
      <c r="AB645" s="22"/>
      <c r="AC645" s="22"/>
      <c r="AD645" s="41"/>
      <c r="AE645" s="22"/>
      <c r="AF645" s="22"/>
      <c r="AG645" s="48" t="str">
        <f t="shared" si="62"/>
        <v/>
      </c>
      <c r="AH645" s="48" t="str">
        <f t="shared" si="63"/>
        <v/>
      </c>
      <c r="AI645" s="48" t="str">
        <f t="shared" si="64"/>
        <v/>
      </c>
      <c r="AJ645" s="40" t="str">
        <f t="shared" si="60"/>
        <v/>
      </c>
      <c r="AK645" s="40"/>
      <c r="AL645" s="40"/>
      <c r="AM645" s="22"/>
      <c r="AQ645" s="46"/>
    </row>
    <row r="646" spans="1:43" ht="17.399999999999999">
      <c r="A646" s="22"/>
      <c r="B646" s="22"/>
      <c r="C646" s="56"/>
      <c r="D646" s="56"/>
      <c r="E646" s="22"/>
      <c r="F646" s="22"/>
      <c r="G646" s="22"/>
      <c r="H646" s="22"/>
      <c r="I646" s="49"/>
      <c r="J646" s="50"/>
      <c r="K646" s="22"/>
      <c r="L646" s="22"/>
      <c r="M646" s="22"/>
      <c r="N646" s="22"/>
      <c r="O646" s="22"/>
      <c r="P646" s="46"/>
      <c r="Q646" s="40"/>
      <c r="R646" s="41"/>
      <c r="S646" s="22" t="str">
        <f t="shared" si="61"/>
        <v/>
      </c>
      <c r="T646" s="41"/>
      <c r="U646" s="41" t="str">
        <f t="shared" si="65"/>
        <v/>
      </c>
      <c r="V646" s="44"/>
      <c r="W646" s="44"/>
      <c r="X646" s="46"/>
      <c r="Y646" s="46"/>
      <c r="Z646" s="46"/>
      <c r="AA646" s="41"/>
      <c r="AB646" s="22"/>
      <c r="AC646" s="22"/>
      <c r="AD646" s="41"/>
      <c r="AE646" s="22"/>
      <c r="AF646" s="22"/>
      <c r="AG646" s="48" t="str">
        <f t="shared" si="62"/>
        <v/>
      </c>
      <c r="AH646" s="48" t="str">
        <f t="shared" si="63"/>
        <v/>
      </c>
      <c r="AI646" s="48" t="str">
        <f t="shared" si="64"/>
        <v/>
      </c>
      <c r="AJ646" s="40" t="str">
        <f t="shared" si="60"/>
        <v/>
      </c>
      <c r="AK646" s="40"/>
      <c r="AL646" s="40"/>
      <c r="AM646" s="22"/>
      <c r="AQ646" s="46"/>
    </row>
    <row r="647" spans="1:43" ht="17.399999999999999">
      <c r="A647" s="22"/>
      <c r="B647" s="22"/>
      <c r="C647" s="56"/>
      <c r="D647" s="56"/>
      <c r="E647" s="22"/>
      <c r="F647" s="22"/>
      <c r="G647" s="22"/>
      <c r="H647" s="22"/>
      <c r="I647" s="49"/>
      <c r="J647" s="50"/>
      <c r="K647" s="22"/>
      <c r="L647" s="22"/>
      <c r="M647" s="22"/>
      <c r="N647" s="22"/>
      <c r="O647" s="22"/>
      <c r="P647" s="46"/>
      <c r="Q647" s="40"/>
      <c r="R647" s="41"/>
      <c r="S647" s="22" t="str">
        <f t="shared" si="61"/>
        <v/>
      </c>
      <c r="T647" s="41"/>
      <c r="U647" s="41" t="str">
        <f t="shared" si="65"/>
        <v/>
      </c>
      <c r="V647" s="44"/>
      <c r="W647" s="44"/>
      <c r="X647" s="46"/>
      <c r="Y647" s="46"/>
      <c r="Z647" s="46"/>
      <c r="AA647" s="41"/>
      <c r="AB647" s="22"/>
      <c r="AC647" s="22"/>
      <c r="AD647" s="41"/>
      <c r="AE647" s="22"/>
      <c r="AF647" s="22"/>
      <c r="AG647" s="48" t="str">
        <f t="shared" si="62"/>
        <v/>
      </c>
      <c r="AH647" s="48" t="str">
        <f t="shared" si="63"/>
        <v/>
      </c>
      <c r="AI647" s="48" t="str">
        <f t="shared" si="64"/>
        <v/>
      </c>
      <c r="AJ647" s="40" t="str">
        <f t="shared" si="60"/>
        <v/>
      </c>
      <c r="AK647" s="40"/>
      <c r="AL647" s="40"/>
      <c r="AM647" s="22"/>
      <c r="AQ647" s="46"/>
    </row>
    <row r="648" spans="1:43" ht="17.399999999999999">
      <c r="A648" s="22"/>
      <c r="B648" s="22"/>
      <c r="C648" s="56"/>
      <c r="D648" s="56"/>
      <c r="E648" s="22"/>
      <c r="F648" s="22"/>
      <c r="G648" s="22"/>
      <c r="H648" s="22"/>
      <c r="I648" s="49"/>
      <c r="J648" s="50"/>
      <c r="K648" s="22"/>
      <c r="L648" s="22"/>
      <c r="M648" s="22"/>
      <c r="N648" s="22"/>
      <c r="O648" s="22"/>
      <c r="P648" s="46"/>
      <c r="Q648" s="40"/>
      <c r="R648" s="41"/>
      <c r="S648" s="22" t="str">
        <f t="shared" si="61"/>
        <v/>
      </c>
      <c r="T648" s="41"/>
      <c r="U648" s="41" t="str">
        <f t="shared" si="65"/>
        <v/>
      </c>
      <c r="V648" s="44"/>
      <c r="W648" s="44"/>
      <c r="X648" s="46"/>
      <c r="Y648" s="46"/>
      <c r="Z648" s="46"/>
      <c r="AA648" s="41"/>
      <c r="AB648" s="22"/>
      <c r="AC648" s="22"/>
      <c r="AD648" s="41"/>
      <c r="AE648" s="22"/>
      <c r="AF648" s="22"/>
      <c r="AG648" s="48" t="str">
        <f t="shared" si="62"/>
        <v/>
      </c>
      <c r="AH648" s="48" t="str">
        <f t="shared" si="63"/>
        <v/>
      </c>
      <c r="AI648" s="48" t="str">
        <f t="shared" si="64"/>
        <v/>
      </c>
      <c r="AJ648" s="40" t="str">
        <f t="shared" si="60"/>
        <v/>
      </c>
      <c r="AK648" s="40"/>
      <c r="AL648" s="40"/>
      <c r="AM648" s="22"/>
      <c r="AQ648" s="46"/>
    </row>
    <row r="649" spans="1:43" ht="17.399999999999999">
      <c r="A649" s="22"/>
      <c r="B649" s="22"/>
      <c r="C649" s="56"/>
      <c r="D649" s="56"/>
      <c r="E649" s="22"/>
      <c r="F649" s="22"/>
      <c r="G649" s="22"/>
      <c r="H649" s="22"/>
      <c r="I649" s="49"/>
      <c r="J649" s="50"/>
      <c r="K649" s="22"/>
      <c r="L649" s="22"/>
      <c r="M649" s="22"/>
      <c r="N649" s="22"/>
      <c r="O649" s="22"/>
      <c r="P649" s="46"/>
      <c r="Q649" s="40"/>
      <c r="R649" s="41"/>
      <c r="S649" s="22" t="str">
        <f t="shared" si="61"/>
        <v/>
      </c>
      <c r="T649" s="41"/>
      <c r="U649" s="41" t="str">
        <f t="shared" si="65"/>
        <v/>
      </c>
      <c r="V649" s="44"/>
      <c r="W649" s="44"/>
      <c r="X649" s="46"/>
      <c r="Y649" s="46"/>
      <c r="Z649" s="46"/>
      <c r="AA649" s="41"/>
      <c r="AB649" s="22"/>
      <c r="AC649" s="22"/>
      <c r="AD649" s="41"/>
      <c r="AE649" s="22"/>
      <c r="AF649" s="22"/>
      <c r="AG649" s="48" t="str">
        <f t="shared" si="62"/>
        <v/>
      </c>
      <c r="AH649" s="48" t="str">
        <f t="shared" si="63"/>
        <v/>
      </c>
      <c r="AI649" s="48" t="str">
        <f t="shared" si="64"/>
        <v/>
      </c>
      <c r="AJ649" s="40" t="str">
        <f t="shared" si="60"/>
        <v/>
      </c>
      <c r="AK649" s="40"/>
      <c r="AL649" s="40"/>
      <c r="AM649" s="22"/>
      <c r="AQ649" s="46"/>
    </row>
    <row r="650" spans="1:43" ht="17.399999999999999">
      <c r="A650" s="22"/>
      <c r="B650" s="22"/>
      <c r="C650" s="56"/>
      <c r="D650" s="56"/>
      <c r="E650" s="22"/>
      <c r="F650" s="22"/>
      <c r="G650" s="22"/>
      <c r="H650" s="22"/>
      <c r="I650" s="49"/>
      <c r="J650" s="50"/>
      <c r="K650" s="22"/>
      <c r="L650" s="22"/>
      <c r="M650" s="22"/>
      <c r="N650" s="22"/>
      <c r="O650" s="22"/>
      <c r="P650" s="46"/>
      <c r="Q650" s="40"/>
      <c r="R650" s="41"/>
      <c r="S650" s="22" t="str">
        <f t="shared" si="61"/>
        <v/>
      </c>
      <c r="T650" s="41"/>
      <c r="U650" s="41" t="str">
        <f t="shared" si="65"/>
        <v/>
      </c>
      <c r="V650" s="44"/>
      <c r="W650" s="44"/>
      <c r="X650" s="46"/>
      <c r="Y650" s="46"/>
      <c r="Z650" s="46"/>
      <c r="AA650" s="41"/>
      <c r="AB650" s="22"/>
      <c r="AC650" s="22"/>
      <c r="AD650" s="41"/>
      <c r="AE650" s="22"/>
      <c r="AF650" s="22"/>
      <c r="AG650" s="48" t="str">
        <f t="shared" si="62"/>
        <v/>
      </c>
      <c r="AH650" s="48" t="str">
        <f t="shared" si="63"/>
        <v/>
      </c>
      <c r="AI650" s="48" t="str">
        <f t="shared" si="64"/>
        <v/>
      </c>
      <c r="AJ650" s="40" t="str">
        <f t="shared" si="60"/>
        <v/>
      </c>
      <c r="AK650" s="40"/>
      <c r="AL650" s="40"/>
      <c r="AM650" s="22"/>
      <c r="AQ650" s="46"/>
    </row>
    <row r="651" spans="1:43" ht="17.399999999999999">
      <c r="A651" s="22"/>
      <c r="B651" s="22"/>
      <c r="C651" s="56"/>
      <c r="D651" s="56"/>
      <c r="E651" s="22"/>
      <c r="F651" s="22"/>
      <c r="G651" s="22"/>
      <c r="H651" s="22"/>
      <c r="I651" s="49"/>
      <c r="J651" s="50"/>
      <c r="K651" s="22"/>
      <c r="L651" s="22"/>
      <c r="M651" s="22"/>
      <c r="N651" s="22"/>
      <c r="O651" s="22"/>
      <c r="P651" s="46"/>
      <c r="Q651" s="40"/>
      <c r="R651" s="41"/>
      <c r="S651" s="22" t="str">
        <f t="shared" si="61"/>
        <v/>
      </c>
      <c r="T651" s="41"/>
      <c r="U651" s="41" t="str">
        <f t="shared" si="65"/>
        <v/>
      </c>
      <c r="V651" s="44"/>
      <c r="W651" s="44"/>
      <c r="X651" s="46"/>
      <c r="Y651" s="46"/>
      <c r="Z651" s="46"/>
      <c r="AA651" s="41"/>
      <c r="AB651" s="22"/>
      <c r="AC651" s="22"/>
      <c r="AD651" s="41"/>
      <c r="AE651" s="22"/>
      <c r="AF651" s="22"/>
      <c r="AG651" s="48" t="str">
        <f t="shared" si="62"/>
        <v/>
      </c>
      <c r="AH651" s="48" t="str">
        <f t="shared" si="63"/>
        <v/>
      </c>
      <c r="AI651" s="48" t="str">
        <f t="shared" si="64"/>
        <v/>
      </c>
      <c r="AJ651" s="40" t="str">
        <f t="shared" si="60"/>
        <v/>
      </c>
      <c r="AK651" s="40"/>
      <c r="AL651" s="40"/>
      <c r="AM651" s="22"/>
      <c r="AQ651" s="46"/>
    </row>
    <row r="652" spans="1:43" ht="17.399999999999999">
      <c r="A652" s="22"/>
      <c r="B652" s="22"/>
      <c r="C652" s="56"/>
      <c r="D652" s="56"/>
      <c r="E652" s="22"/>
      <c r="F652" s="22"/>
      <c r="G652" s="22"/>
      <c r="H652" s="22"/>
      <c r="I652" s="49"/>
      <c r="J652" s="50"/>
      <c r="K652" s="22"/>
      <c r="L652" s="22"/>
      <c r="M652" s="22"/>
      <c r="N652" s="22"/>
      <c r="O652" s="22"/>
      <c r="P652" s="46"/>
      <c r="Q652" s="40"/>
      <c r="R652" s="41"/>
      <c r="S652" s="22" t="str">
        <f t="shared" si="61"/>
        <v/>
      </c>
      <c r="T652" s="41"/>
      <c r="U652" s="41" t="str">
        <f t="shared" si="65"/>
        <v/>
      </c>
      <c r="V652" s="44"/>
      <c r="W652" s="44"/>
      <c r="X652" s="46"/>
      <c r="Y652" s="46"/>
      <c r="Z652" s="46"/>
      <c r="AA652" s="41"/>
      <c r="AB652" s="22"/>
      <c r="AC652" s="22"/>
      <c r="AD652" s="41"/>
      <c r="AE652" s="22"/>
      <c r="AF652" s="22"/>
      <c r="AG652" s="48" t="str">
        <f t="shared" si="62"/>
        <v/>
      </c>
      <c r="AH652" s="48" t="str">
        <f t="shared" si="63"/>
        <v/>
      </c>
      <c r="AI652" s="48" t="str">
        <f t="shared" si="64"/>
        <v/>
      </c>
      <c r="AJ652" s="40" t="str">
        <f t="shared" si="60"/>
        <v/>
      </c>
      <c r="AK652" s="40"/>
      <c r="AL652" s="40"/>
      <c r="AM652" s="22"/>
      <c r="AQ652" s="46"/>
    </row>
    <row r="653" spans="1:43" ht="17.399999999999999">
      <c r="A653" s="22"/>
      <c r="B653" s="22"/>
      <c r="C653" s="56"/>
      <c r="D653" s="56"/>
      <c r="E653" s="22"/>
      <c r="F653" s="22"/>
      <c r="G653" s="22"/>
      <c r="H653" s="22"/>
      <c r="I653" s="49"/>
      <c r="J653" s="50"/>
      <c r="K653" s="22"/>
      <c r="L653" s="22"/>
      <c r="M653" s="22"/>
      <c r="N653" s="22"/>
      <c r="O653" s="22"/>
      <c r="P653" s="46"/>
      <c r="Q653" s="40"/>
      <c r="R653" s="41"/>
      <c r="S653" s="22" t="str">
        <f t="shared" si="61"/>
        <v/>
      </c>
      <c r="T653" s="41"/>
      <c r="U653" s="41" t="str">
        <f t="shared" si="65"/>
        <v/>
      </c>
      <c r="V653" s="44"/>
      <c r="W653" s="44"/>
      <c r="X653" s="46"/>
      <c r="Y653" s="46"/>
      <c r="Z653" s="46"/>
      <c r="AA653" s="41"/>
      <c r="AB653" s="22"/>
      <c r="AC653" s="22"/>
      <c r="AD653" s="41"/>
      <c r="AE653" s="22"/>
      <c r="AF653" s="22"/>
      <c r="AG653" s="48" t="str">
        <f t="shared" si="62"/>
        <v/>
      </c>
      <c r="AH653" s="48" t="str">
        <f t="shared" si="63"/>
        <v/>
      </c>
      <c r="AI653" s="48" t="str">
        <f t="shared" si="64"/>
        <v/>
      </c>
      <c r="AJ653" s="40" t="str">
        <f t="shared" si="60"/>
        <v/>
      </c>
      <c r="AK653" s="40"/>
      <c r="AL653" s="40"/>
      <c r="AM653" s="22"/>
      <c r="AQ653" s="46"/>
    </row>
    <row r="654" spans="1:43" ht="17.399999999999999">
      <c r="A654" s="22"/>
      <c r="B654" s="22"/>
      <c r="C654" s="56"/>
      <c r="D654" s="56"/>
      <c r="E654" s="22"/>
      <c r="F654" s="22"/>
      <c r="G654" s="22"/>
      <c r="H654" s="22"/>
      <c r="I654" s="49"/>
      <c r="J654" s="50"/>
      <c r="K654" s="22"/>
      <c r="L654" s="22"/>
      <c r="M654" s="22"/>
      <c r="N654" s="22"/>
      <c r="O654" s="22"/>
      <c r="P654" s="46"/>
      <c r="Q654" s="40"/>
      <c r="R654" s="41"/>
      <c r="S654" s="22" t="str">
        <f t="shared" si="61"/>
        <v/>
      </c>
      <c r="T654" s="41"/>
      <c r="U654" s="41" t="str">
        <f t="shared" si="65"/>
        <v/>
      </c>
      <c r="V654" s="44"/>
      <c r="W654" s="44"/>
      <c r="X654" s="46"/>
      <c r="Y654" s="46"/>
      <c r="Z654" s="46"/>
      <c r="AA654" s="41"/>
      <c r="AB654" s="22"/>
      <c r="AC654" s="22"/>
      <c r="AD654" s="41"/>
      <c r="AE654" s="22"/>
      <c r="AF654" s="22"/>
      <c r="AG654" s="48" t="str">
        <f t="shared" si="62"/>
        <v/>
      </c>
      <c r="AH654" s="48" t="str">
        <f t="shared" si="63"/>
        <v/>
      </c>
      <c r="AI654" s="48" t="str">
        <f t="shared" si="64"/>
        <v/>
      </c>
      <c r="AJ654" s="40" t="str">
        <f t="shared" si="60"/>
        <v/>
      </c>
      <c r="AK654" s="40"/>
      <c r="AL654" s="40"/>
      <c r="AM654" s="22"/>
      <c r="AQ654" s="46"/>
    </row>
    <row r="655" spans="1:43" ht="17.399999999999999">
      <c r="A655" s="22"/>
      <c r="B655" s="22"/>
      <c r="C655" s="56"/>
      <c r="D655" s="56"/>
      <c r="E655" s="22"/>
      <c r="F655" s="22"/>
      <c r="G655" s="22"/>
      <c r="H655" s="22"/>
      <c r="I655" s="49"/>
      <c r="J655" s="50"/>
      <c r="K655" s="22"/>
      <c r="L655" s="22"/>
      <c r="M655" s="22"/>
      <c r="N655" s="22"/>
      <c r="O655" s="22"/>
      <c r="P655" s="46"/>
      <c r="Q655" s="40"/>
      <c r="R655" s="41"/>
      <c r="S655" s="22" t="str">
        <f t="shared" si="61"/>
        <v/>
      </c>
      <c r="T655" s="41"/>
      <c r="U655" s="41" t="str">
        <f t="shared" si="65"/>
        <v/>
      </c>
      <c r="V655" s="44"/>
      <c r="W655" s="44"/>
      <c r="X655" s="46"/>
      <c r="Y655" s="46"/>
      <c r="Z655" s="46"/>
      <c r="AA655" s="41"/>
      <c r="AB655" s="22"/>
      <c r="AC655" s="22"/>
      <c r="AD655" s="41"/>
      <c r="AE655" s="22"/>
      <c r="AF655" s="22"/>
      <c r="AG655" s="48" t="str">
        <f t="shared" si="62"/>
        <v/>
      </c>
      <c r="AH655" s="48" t="str">
        <f t="shared" si="63"/>
        <v/>
      </c>
      <c r="AI655" s="48" t="str">
        <f t="shared" si="64"/>
        <v/>
      </c>
      <c r="AJ655" s="40" t="str">
        <f t="shared" si="60"/>
        <v/>
      </c>
      <c r="AK655" s="40"/>
      <c r="AL655" s="40"/>
      <c r="AM655" s="22"/>
      <c r="AQ655" s="46"/>
    </row>
    <row r="656" spans="1:43" ht="17.399999999999999">
      <c r="A656" s="22"/>
      <c r="B656" s="22"/>
      <c r="C656" s="56"/>
      <c r="D656" s="56"/>
      <c r="E656" s="22"/>
      <c r="F656" s="22"/>
      <c r="G656" s="22"/>
      <c r="H656" s="22"/>
      <c r="I656" s="49"/>
      <c r="J656" s="50"/>
      <c r="K656" s="22"/>
      <c r="L656" s="22"/>
      <c r="M656" s="22"/>
      <c r="N656" s="22"/>
      <c r="O656" s="22"/>
      <c r="P656" s="46"/>
      <c r="Q656" s="40"/>
      <c r="R656" s="41"/>
      <c r="S656" s="22" t="str">
        <f t="shared" si="61"/>
        <v/>
      </c>
      <c r="T656" s="41"/>
      <c r="U656" s="41" t="str">
        <f t="shared" si="65"/>
        <v/>
      </c>
      <c r="V656" s="44"/>
      <c r="W656" s="44"/>
      <c r="X656" s="46"/>
      <c r="Y656" s="46"/>
      <c r="Z656" s="46"/>
      <c r="AA656" s="41"/>
      <c r="AB656" s="22"/>
      <c r="AC656" s="22"/>
      <c r="AD656" s="41"/>
      <c r="AE656" s="22"/>
      <c r="AF656" s="22"/>
      <c r="AG656" s="48" t="str">
        <f t="shared" si="62"/>
        <v/>
      </c>
      <c r="AH656" s="48" t="str">
        <f t="shared" si="63"/>
        <v/>
      </c>
      <c r="AI656" s="48" t="str">
        <f t="shared" si="64"/>
        <v/>
      </c>
      <c r="AJ656" s="40" t="str">
        <f t="shared" si="60"/>
        <v/>
      </c>
      <c r="AK656" s="40"/>
      <c r="AL656" s="40"/>
      <c r="AM656" s="22"/>
      <c r="AQ656" s="46"/>
    </row>
    <row r="657" spans="1:43" ht="17.399999999999999">
      <c r="A657" s="22"/>
      <c r="B657" s="22"/>
      <c r="C657" s="56"/>
      <c r="D657" s="56"/>
      <c r="E657" s="22"/>
      <c r="F657" s="22"/>
      <c r="G657" s="22"/>
      <c r="H657" s="22"/>
      <c r="I657" s="49"/>
      <c r="J657" s="50"/>
      <c r="K657" s="22"/>
      <c r="L657" s="22"/>
      <c r="M657" s="22"/>
      <c r="N657" s="22"/>
      <c r="O657" s="22"/>
      <c r="P657" s="46"/>
      <c r="Q657" s="40"/>
      <c r="R657" s="41"/>
      <c r="S657" s="22" t="str">
        <f t="shared" si="61"/>
        <v/>
      </c>
      <c r="T657" s="41"/>
      <c r="U657" s="41" t="str">
        <f t="shared" si="65"/>
        <v/>
      </c>
      <c r="V657" s="44"/>
      <c r="W657" s="44"/>
      <c r="X657" s="46"/>
      <c r="Y657" s="46"/>
      <c r="Z657" s="46"/>
      <c r="AA657" s="41"/>
      <c r="AB657" s="22"/>
      <c r="AC657" s="22"/>
      <c r="AD657" s="41"/>
      <c r="AE657" s="22"/>
      <c r="AF657" s="22"/>
      <c r="AG657" s="48" t="str">
        <f t="shared" si="62"/>
        <v/>
      </c>
      <c r="AH657" s="48" t="str">
        <f t="shared" si="63"/>
        <v/>
      </c>
      <c r="AI657" s="48" t="str">
        <f t="shared" si="64"/>
        <v/>
      </c>
      <c r="AJ657" s="40" t="str">
        <f t="shared" si="60"/>
        <v/>
      </c>
      <c r="AK657" s="40"/>
      <c r="AL657" s="40"/>
      <c r="AM657" s="22"/>
      <c r="AQ657" s="46"/>
    </row>
    <row r="658" spans="1:43" ht="17.399999999999999">
      <c r="A658" s="22"/>
      <c r="B658" s="22"/>
      <c r="C658" s="56"/>
      <c r="D658" s="56"/>
      <c r="E658" s="22"/>
      <c r="F658" s="22"/>
      <c r="G658" s="22"/>
      <c r="H658" s="22"/>
      <c r="I658" s="49"/>
      <c r="J658" s="50"/>
      <c r="K658" s="22"/>
      <c r="L658" s="22"/>
      <c r="M658" s="22"/>
      <c r="N658" s="22"/>
      <c r="O658" s="22"/>
      <c r="P658" s="46"/>
      <c r="Q658" s="40"/>
      <c r="R658" s="41"/>
      <c r="S658" s="22" t="str">
        <f t="shared" si="61"/>
        <v/>
      </c>
      <c r="T658" s="41"/>
      <c r="U658" s="41" t="str">
        <f t="shared" si="65"/>
        <v/>
      </c>
      <c r="V658" s="44"/>
      <c r="W658" s="44"/>
      <c r="X658" s="46"/>
      <c r="Y658" s="46"/>
      <c r="Z658" s="46"/>
      <c r="AA658" s="41"/>
      <c r="AB658" s="22"/>
      <c r="AC658" s="22"/>
      <c r="AD658" s="41"/>
      <c r="AE658" s="22"/>
      <c r="AF658" s="22"/>
      <c r="AG658" s="48" t="str">
        <f t="shared" si="62"/>
        <v/>
      </c>
      <c r="AH658" s="48" t="str">
        <f t="shared" si="63"/>
        <v/>
      </c>
      <c r="AI658" s="48" t="str">
        <f t="shared" si="64"/>
        <v/>
      </c>
      <c r="AJ658" s="40" t="str">
        <f t="shared" si="60"/>
        <v/>
      </c>
      <c r="AK658" s="40"/>
      <c r="AL658" s="40"/>
      <c r="AM658" s="22"/>
      <c r="AQ658" s="46"/>
    </row>
    <row r="659" spans="1:43" ht="17.399999999999999">
      <c r="A659" s="22"/>
      <c r="B659" s="22"/>
      <c r="C659" s="56"/>
      <c r="D659" s="56"/>
      <c r="E659" s="22"/>
      <c r="F659" s="22"/>
      <c r="G659" s="22"/>
      <c r="H659" s="22"/>
      <c r="I659" s="49"/>
      <c r="J659" s="50"/>
      <c r="K659" s="22"/>
      <c r="L659" s="22"/>
      <c r="M659" s="22"/>
      <c r="N659" s="22"/>
      <c r="O659" s="22"/>
      <c r="P659" s="46"/>
      <c r="Q659" s="40"/>
      <c r="R659" s="41"/>
      <c r="S659" s="22" t="str">
        <f t="shared" si="61"/>
        <v/>
      </c>
      <c r="T659" s="41"/>
      <c r="U659" s="41" t="str">
        <f t="shared" si="65"/>
        <v/>
      </c>
      <c r="V659" s="44"/>
      <c r="W659" s="44"/>
      <c r="X659" s="46"/>
      <c r="Y659" s="46"/>
      <c r="Z659" s="46"/>
      <c r="AA659" s="41"/>
      <c r="AB659" s="22"/>
      <c r="AC659" s="22"/>
      <c r="AD659" s="41"/>
      <c r="AE659" s="22"/>
      <c r="AF659" s="22"/>
      <c r="AG659" s="48" t="str">
        <f t="shared" si="62"/>
        <v/>
      </c>
      <c r="AH659" s="48" t="str">
        <f t="shared" si="63"/>
        <v/>
      </c>
      <c r="AI659" s="48" t="str">
        <f t="shared" si="64"/>
        <v/>
      </c>
      <c r="AJ659" s="40" t="str">
        <f t="shared" si="60"/>
        <v/>
      </c>
      <c r="AK659" s="40"/>
      <c r="AL659" s="40"/>
      <c r="AM659" s="22"/>
      <c r="AQ659" s="46"/>
    </row>
    <row r="660" spans="1:43" ht="17.399999999999999">
      <c r="A660" s="22"/>
      <c r="B660" s="22"/>
      <c r="C660" s="56"/>
      <c r="D660" s="56"/>
      <c r="E660" s="22"/>
      <c r="F660" s="22"/>
      <c r="G660" s="22"/>
      <c r="H660" s="22"/>
      <c r="I660" s="49"/>
      <c r="J660" s="50"/>
      <c r="K660" s="22"/>
      <c r="L660" s="22"/>
      <c r="M660" s="22"/>
      <c r="N660" s="22"/>
      <c r="O660" s="22"/>
      <c r="P660" s="46"/>
      <c r="Q660" s="40"/>
      <c r="R660" s="41"/>
      <c r="S660" s="22" t="str">
        <f t="shared" si="61"/>
        <v/>
      </c>
      <c r="T660" s="41"/>
      <c r="U660" s="41" t="str">
        <f t="shared" si="65"/>
        <v/>
      </c>
      <c r="V660" s="44"/>
      <c r="W660" s="44"/>
      <c r="X660" s="46"/>
      <c r="Y660" s="46"/>
      <c r="Z660" s="46"/>
      <c r="AA660" s="41"/>
      <c r="AB660" s="22"/>
      <c r="AC660" s="22"/>
      <c r="AD660" s="41"/>
      <c r="AE660" s="22"/>
      <c r="AF660" s="22"/>
      <c r="AG660" s="48" t="str">
        <f t="shared" si="62"/>
        <v/>
      </c>
      <c r="AH660" s="48" t="str">
        <f t="shared" si="63"/>
        <v/>
      </c>
      <c r="AI660" s="48" t="str">
        <f t="shared" si="64"/>
        <v/>
      </c>
      <c r="AJ660" s="40" t="str">
        <f t="shared" si="60"/>
        <v/>
      </c>
      <c r="AK660" s="40"/>
      <c r="AL660" s="40"/>
      <c r="AM660" s="22"/>
      <c r="AQ660" s="46"/>
    </row>
    <row r="661" spans="1:43" ht="17.399999999999999">
      <c r="A661" s="22"/>
      <c r="B661" s="22"/>
      <c r="C661" s="56"/>
      <c r="D661" s="56"/>
      <c r="E661" s="22"/>
      <c r="F661" s="22"/>
      <c r="G661" s="22"/>
      <c r="H661" s="22"/>
      <c r="I661" s="49"/>
      <c r="J661" s="50"/>
      <c r="K661" s="22"/>
      <c r="L661" s="22"/>
      <c r="M661" s="22"/>
      <c r="N661" s="22"/>
      <c r="O661" s="22"/>
      <c r="P661" s="46"/>
      <c r="Q661" s="40"/>
      <c r="R661" s="41"/>
      <c r="S661" s="22" t="str">
        <f t="shared" si="61"/>
        <v/>
      </c>
      <c r="T661" s="41"/>
      <c r="U661" s="41" t="str">
        <f t="shared" si="65"/>
        <v/>
      </c>
      <c r="V661" s="44"/>
      <c r="W661" s="44"/>
      <c r="X661" s="46"/>
      <c r="Y661" s="46"/>
      <c r="Z661" s="46"/>
      <c r="AA661" s="41"/>
      <c r="AB661" s="22"/>
      <c r="AC661" s="22"/>
      <c r="AD661" s="41"/>
      <c r="AE661" s="22"/>
      <c r="AF661" s="22"/>
      <c r="AG661" s="48" t="str">
        <f t="shared" si="62"/>
        <v/>
      </c>
      <c r="AH661" s="48" t="str">
        <f t="shared" si="63"/>
        <v/>
      </c>
      <c r="AI661" s="48" t="str">
        <f t="shared" si="64"/>
        <v/>
      </c>
      <c r="AJ661" s="40" t="str">
        <f t="shared" si="60"/>
        <v/>
      </c>
      <c r="AK661" s="40"/>
      <c r="AL661" s="40"/>
      <c r="AM661" s="22"/>
      <c r="AQ661" s="46"/>
    </row>
    <row r="662" spans="1:43" ht="17.399999999999999">
      <c r="A662" s="22"/>
      <c r="B662" s="22"/>
      <c r="C662" s="56"/>
      <c r="D662" s="56"/>
      <c r="E662" s="22"/>
      <c r="F662" s="22"/>
      <c r="G662" s="22"/>
      <c r="H662" s="22"/>
      <c r="I662" s="49"/>
      <c r="J662" s="50"/>
      <c r="K662" s="22"/>
      <c r="L662" s="22"/>
      <c r="M662" s="22"/>
      <c r="N662" s="22"/>
      <c r="O662" s="22"/>
      <c r="P662" s="46"/>
      <c r="Q662" s="40"/>
      <c r="R662" s="41"/>
      <c r="S662" s="22" t="str">
        <f t="shared" si="61"/>
        <v/>
      </c>
      <c r="T662" s="41"/>
      <c r="U662" s="41" t="str">
        <f t="shared" si="65"/>
        <v/>
      </c>
      <c r="V662" s="44"/>
      <c r="W662" s="44"/>
      <c r="X662" s="46"/>
      <c r="Y662" s="46"/>
      <c r="Z662" s="46"/>
      <c r="AA662" s="41"/>
      <c r="AB662" s="22"/>
      <c r="AC662" s="22"/>
      <c r="AD662" s="41"/>
      <c r="AE662" s="22"/>
      <c r="AF662" s="22"/>
      <c r="AG662" s="48" t="str">
        <f t="shared" si="62"/>
        <v/>
      </c>
      <c r="AH662" s="48" t="str">
        <f t="shared" si="63"/>
        <v/>
      </c>
      <c r="AI662" s="48" t="str">
        <f t="shared" si="64"/>
        <v/>
      </c>
      <c r="AJ662" s="40" t="str">
        <f t="shared" si="60"/>
        <v/>
      </c>
      <c r="AK662" s="40"/>
      <c r="AL662" s="40"/>
      <c r="AM662" s="22"/>
      <c r="AQ662" s="46"/>
    </row>
    <row r="663" spans="1:43" ht="17.399999999999999">
      <c r="A663" s="22"/>
      <c r="B663" s="22"/>
      <c r="C663" s="56"/>
      <c r="D663" s="56"/>
      <c r="E663" s="22"/>
      <c r="F663" s="22"/>
      <c r="G663" s="22"/>
      <c r="H663" s="22"/>
      <c r="I663" s="49"/>
      <c r="J663" s="50"/>
      <c r="K663" s="22"/>
      <c r="L663" s="22"/>
      <c r="M663" s="22"/>
      <c r="N663" s="22"/>
      <c r="O663" s="22"/>
      <c r="P663" s="46"/>
      <c r="Q663" s="40"/>
      <c r="R663" s="41"/>
      <c r="S663" s="22" t="str">
        <f t="shared" si="61"/>
        <v/>
      </c>
      <c r="T663" s="41"/>
      <c r="U663" s="41" t="str">
        <f t="shared" si="65"/>
        <v/>
      </c>
      <c r="V663" s="44"/>
      <c r="W663" s="44"/>
      <c r="X663" s="46"/>
      <c r="Y663" s="46"/>
      <c r="Z663" s="46"/>
      <c r="AA663" s="41"/>
      <c r="AB663" s="22"/>
      <c r="AC663" s="22"/>
      <c r="AD663" s="41"/>
      <c r="AE663" s="22"/>
      <c r="AF663" s="22"/>
      <c r="AG663" s="48" t="str">
        <f t="shared" si="62"/>
        <v/>
      </c>
      <c r="AH663" s="48" t="str">
        <f t="shared" si="63"/>
        <v/>
      </c>
      <c r="AI663" s="48" t="str">
        <f t="shared" si="64"/>
        <v/>
      </c>
      <c r="AJ663" s="40" t="str">
        <f t="shared" si="60"/>
        <v/>
      </c>
      <c r="AK663" s="40"/>
      <c r="AL663" s="40"/>
      <c r="AM663" s="22"/>
      <c r="AQ663" s="46"/>
    </row>
    <row r="664" spans="1:43" ht="17.399999999999999">
      <c r="A664" s="22"/>
      <c r="B664" s="22"/>
      <c r="C664" s="56"/>
      <c r="D664" s="56"/>
      <c r="E664" s="22"/>
      <c r="F664" s="22"/>
      <c r="G664" s="22"/>
      <c r="H664" s="22"/>
      <c r="I664" s="49"/>
      <c r="J664" s="50"/>
      <c r="K664" s="22"/>
      <c r="L664" s="22"/>
      <c r="M664" s="22"/>
      <c r="N664" s="22"/>
      <c r="O664" s="22"/>
      <c r="P664" s="46"/>
      <c r="Q664" s="40"/>
      <c r="R664" s="41"/>
      <c r="S664" s="22" t="str">
        <f t="shared" si="61"/>
        <v/>
      </c>
      <c r="T664" s="41"/>
      <c r="U664" s="41" t="str">
        <f t="shared" si="65"/>
        <v/>
      </c>
      <c r="V664" s="44"/>
      <c r="W664" s="44"/>
      <c r="X664" s="46"/>
      <c r="Y664" s="46"/>
      <c r="Z664" s="46"/>
      <c r="AA664" s="41"/>
      <c r="AB664" s="22"/>
      <c r="AC664" s="22"/>
      <c r="AD664" s="41"/>
      <c r="AE664" s="22"/>
      <c r="AF664" s="22"/>
      <c r="AG664" s="48" t="str">
        <f t="shared" si="62"/>
        <v/>
      </c>
      <c r="AH664" s="48" t="str">
        <f t="shared" si="63"/>
        <v/>
      </c>
      <c r="AI664" s="48" t="str">
        <f t="shared" si="64"/>
        <v/>
      </c>
      <c r="AJ664" s="40" t="str">
        <f t="shared" si="60"/>
        <v/>
      </c>
      <c r="AK664" s="40"/>
      <c r="AL664" s="40"/>
      <c r="AM664" s="22"/>
      <c r="AQ664" s="46"/>
    </row>
    <row r="665" spans="1:43" ht="17.399999999999999">
      <c r="A665" s="22"/>
      <c r="B665" s="22"/>
      <c r="C665" s="56"/>
      <c r="D665" s="56"/>
      <c r="E665" s="22"/>
      <c r="F665" s="22"/>
      <c r="G665" s="22"/>
      <c r="H665" s="22"/>
      <c r="I665" s="49"/>
      <c r="J665" s="50"/>
      <c r="K665" s="22"/>
      <c r="L665" s="22"/>
      <c r="M665" s="22"/>
      <c r="N665" s="22"/>
      <c r="O665" s="22"/>
      <c r="P665" s="46"/>
      <c r="Q665" s="40"/>
      <c r="R665" s="41"/>
      <c r="S665" s="22" t="str">
        <f t="shared" si="61"/>
        <v/>
      </c>
      <c r="T665" s="41"/>
      <c r="U665" s="41" t="str">
        <f t="shared" si="65"/>
        <v/>
      </c>
      <c r="V665" s="44"/>
      <c r="W665" s="44"/>
      <c r="X665" s="46"/>
      <c r="Y665" s="46"/>
      <c r="Z665" s="46"/>
      <c r="AA665" s="41"/>
      <c r="AB665" s="22"/>
      <c r="AC665" s="22"/>
      <c r="AD665" s="41"/>
      <c r="AE665" s="22"/>
      <c r="AF665" s="22"/>
      <c r="AG665" s="48" t="str">
        <f t="shared" si="62"/>
        <v/>
      </c>
      <c r="AH665" s="48" t="str">
        <f t="shared" si="63"/>
        <v/>
      </c>
      <c r="AI665" s="48" t="str">
        <f t="shared" si="64"/>
        <v/>
      </c>
      <c r="AJ665" s="40" t="str">
        <f t="shared" si="60"/>
        <v/>
      </c>
      <c r="AK665" s="40"/>
      <c r="AL665" s="40"/>
      <c r="AM665" s="22"/>
      <c r="AQ665" s="46"/>
    </row>
    <row r="666" spans="1:43" ht="17.399999999999999">
      <c r="A666" s="22"/>
      <c r="B666" s="22"/>
      <c r="C666" s="56"/>
      <c r="D666" s="56"/>
      <c r="E666" s="22"/>
      <c r="F666" s="22"/>
      <c r="G666" s="22"/>
      <c r="H666" s="22"/>
      <c r="I666" s="49"/>
      <c r="J666" s="50"/>
      <c r="K666" s="22"/>
      <c r="L666" s="22"/>
      <c r="M666" s="22"/>
      <c r="N666" s="22"/>
      <c r="O666" s="22"/>
      <c r="P666" s="46"/>
      <c r="Q666" s="40"/>
      <c r="R666" s="41"/>
      <c r="S666" s="22" t="str">
        <f t="shared" si="61"/>
        <v/>
      </c>
      <c r="T666" s="41"/>
      <c r="U666" s="41" t="str">
        <f t="shared" si="65"/>
        <v/>
      </c>
      <c r="V666" s="44"/>
      <c r="W666" s="44"/>
      <c r="X666" s="46"/>
      <c r="Y666" s="46"/>
      <c r="Z666" s="46"/>
      <c r="AA666" s="41"/>
      <c r="AB666" s="22"/>
      <c r="AC666" s="22"/>
      <c r="AD666" s="41"/>
      <c r="AE666" s="22"/>
      <c r="AF666" s="22"/>
      <c r="AG666" s="48" t="str">
        <f t="shared" si="62"/>
        <v/>
      </c>
      <c r="AH666" s="48" t="str">
        <f t="shared" si="63"/>
        <v/>
      </c>
      <c r="AI666" s="48" t="str">
        <f t="shared" si="64"/>
        <v/>
      </c>
      <c r="AJ666" s="40" t="str">
        <f t="shared" si="60"/>
        <v/>
      </c>
      <c r="AK666" s="40"/>
      <c r="AL666" s="40"/>
      <c r="AM666" s="22"/>
      <c r="AQ666" s="46"/>
    </row>
    <row r="667" spans="1:43" ht="17.399999999999999">
      <c r="A667" s="22"/>
      <c r="B667" s="22"/>
      <c r="C667" s="56"/>
      <c r="D667" s="56"/>
      <c r="E667" s="22"/>
      <c r="F667" s="22"/>
      <c r="G667" s="22"/>
      <c r="H667" s="22"/>
      <c r="I667" s="49"/>
      <c r="J667" s="50"/>
      <c r="K667" s="22"/>
      <c r="L667" s="22"/>
      <c r="M667" s="22"/>
      <c r="N667" s="22"/>
      <c r="O667" s="22"/>
      <c r="P667" s="46"/>
      <c r="Q667" s="40"/>
      <c r="R667" s="41"/>
      <c r="S667" s="22" t="str">
        <f t="shared" si="61"/>
        <v/>
      </c>
      <c r="T667" s="41"/>
      <c r="U667" s="41" t="str">
        <f t="shared" si="65"/>
        <v/>
      </c>
      <c r="V667" s="44"/>
      <c r="W667" s="44"/>
      <c r="X667" s="46"/>
      <c r="Y667" s="46"/>
      <c r="Z667" s="46"/>
      <c r="AA667" s="41"/>
      <c r="AB667" s="22"/>
      <c r="AC667" s="22"/>
      <c r="AD667" s="41"/>
      <c r="AE667" s="22"/>
      <c r="AF667" s="22"/>
      <c r="AG667" s="48" t="str">
        <f t="shared" si="62"/>
        <v/>
      </c>
      <c r="AH667" s="48" t="str">
        <f t="shared" si="63"/>
        <v/>
      </c>
      <c r="AI667" s="48" t="str">
        <f t="shared" si="64"/>
        <v/>
      </c>
      <c r="AJ667" s="40" t="str">
        <f t="shared" si="60"/>
        <v/>
      </c>
      <c r="AK667" s="40"/>
      <c r="AL667" s="40"/>
      <c r="AM667" s="22"/>
      <c r="AQ667" s="46"/>
    </row>
    <row r="668" spans="1:43" ht="17.399999999999999">
      <c r="A668" s="22"/>
      <c r="B668" s="22"/>
      <c r="C668" s="56"/>
      <c r="D668" s="56"/>
      <c r="E668" s="22"/>
      <c r="F668" s="22"/>
      <c r="G668" s="22"/>
      <c r="H668" s="22"/>
      <c r="I668" s="49"/>
      <c r="J668" s="50"/>
      <c r="K668" s="22"/>
      <c r="L668" s="22"/>
      <c r="M668" s="22"/>
      <c r="N668" s="22"/>
      <c r="O668" s="22"/>
      <c r="P668" s="46"/>
      <c r="Q668" s="40"/>
      <c r="R668" s="41"/>
      <c r="S668" s="22" t="str">
        <f t="shared" si="61"/>
        <v/>
      </c>
      <c r="T668" s="41"/>
      <c r="U668" s="41" t="str">
        <f t="shared" si="65"/>
        <v/>
      </c>
      <c r="V668" s="44"/>
      <c r="W668" s="44"/>
      <c r="X668" s="46"/>
      <c r="Y668" s="46"/>
      <c r="Z668" s="46"/>
      <c r="AA668" s="41"/>
      <c r="AB668" s="22"/>
      <c r="AC668" s="22"/>
      <c r="AD668" s="41"/>
      <c r="AE668" s="22"/>
      <c r="AF668" s="22"/>
      <c r="AG668" s="48" t="str">
        <f t="shared" si="62"/>
        <v/>
      </c>
      <c r="AH668" s="48" t="str">
        <f t="shared" si="63"/>
        <v/>
      </c>
      <c r="AI668" s="48" t="str">
        <f t="shared" si="64"/>
        <v/>
      </c>
      <c r="AJ668" s="40" t="str">
        <f t="shared" si="60"/>
        <v/>
      </c>
      <c r="AK668" s="40"/>
      <c r="AL668" s="40"/>
      <c r="AM668" s="22"/>
      <c r="AQ668" s="46"/>
    </row>
    <row r="669" spans="1:43" ht="17.399999999999999">
      <c r="A669" s="22"/>
      <c r="B669" s="22"/>
      <c r="C669" s="56"/>
      <c r="D669" s="56"/>
      <c r="E669" s="22"/>
      <c r="F669" s="22"/>
      <c r="G669" s="22"/>
      <c r="H669" s="22"/>
      <c r="I669" s="49"/>
      <c r="J669" s="50"/>
      <c r="K669" s="22"/>
      <c r="L669" s="22"/>
      <c r="M669" s="22"/>
      <c r="N669" s="22"/>
      <c r="O669" s="22"/>
      <c r="P669" s="46"/>
      <c r="Q669" s="40"/>
      <c r="R669" s="41"/>
      <c r="S669" s="22" t="str">
        <f t="shared" si="61"/>
        <v/>
      </c>
      <c r="T669" s="41"/>
      <c r="U669" s="41" t="str">
        <f t="shared" si="65"/>
        <v/>
      </c>
      <c r="V669" s="44"/>
      <c r="W669" s="44"/>
      <c r="X669" s="46"/>
      <c r="Y669" s="46"/>
      <c r="Z669" s="46"/>
      <c r="AA669" s="41"/>
      <c r="AB669" s="22"/>
      <c r="AC669" s="22"/>
      <c r="AD669" s="41"/>
      <c r="AE669" s="22"/>
      <c r="AF669" s="22"/>
      <c r="AG669" s="48" t="str">
        <f t="shared" si="62"/>
        <v/>
      </c>
      <c r="AH669" s="48" t="str">
        <f t="shared" si="63"/>
        <v/>
      </c>
      <c r="AI669" s="48" t="str">
        <f t="shared" si="64"/>
        <v/>
      </c>
      <c r="AJ669" s="40" t="str">
        <f t="shared" si="60"/>
        <v/>
      </c>
      <c r="AK669" s="40"/>
      <c r="AL669" s="40"/>
      <c r="AM669" s="22"/>
      <c r="AQ669" s="46"/>
    </row>
    <row r="670" spans="1:43" ht="17.399999999999999">
      <c r="A670" s="22"/>
      <c r="B670" s="22"/>
      <c r="C670" s="56"/>
      <c r="D670" s="56"/>
      <c r="E670" s="22"/>
      <c r="F670" s="22"/>
      <c r="G670" s="22"/>
      <c r="H670" s="22"/>
      <c r="I670" s="49"/>
      <c r="J670" s="50"/>
      <c r="K670" s="22"/>
      <c r="L670" s="22"/>
      <c r="M670" s="22"/>
      <c r="N670" s="22"/>
      <c r="O670" s="22"/>
      <c r="P670" s="46"/>
      <c r="Q670" s="40"/>
      <c r="R670" s="41"/>
      <c r="S670" s="22" t="str">
        <f t="shared" si="61"/>
        <v/>
      </c>
      <c r="T670" s="41"/>
      <c r="U670" s="41" t="str">
        <f t="shared" si="65"/>
        <v/>
      </c>
      <c r="V670" s="44"/>
      <c r="W670" s="44"/>
      <c r="X670" s="46"/>
      <c r="Y670" s="46"/>
      <c r="Z670" s="46"/>
      <c r="AA670" s="41"/>
      <c r="AB670" s="22"/>
      <c r="AC670" s="22"/>
      <c r="AD670" s="41"/>
      <c r="AE670" s="22"/>
      <c r="AF670" s="22"/>
      <c r="AG670" s="48" t="str">
        <f t="shared" si="62"/>
        <v/>
      </c>
      <c r="AH670" s="48" t="str">
        <f t="shared" si="63"/>
        <v/>
      </c>
      <c r="AI670" s="48" t="str">
        <f t="shared" si="64"/>
        <v/>
      </c>
      <c r="AJ670" s="40" t="str">
        <f t="shared" si="60"/>
        <v/>
      </c>
      <c r="AK670" s="40"/>
      <c r="AL670" s="40"/>
      <c r="AM670" s="22"/>
      <c r="AQ670" s="46"/>
    </row>
    <row r="671" spans="1:43" ht="17.399999999999999">
      <c r="A671" s="22"/>
      <c r="B671" s="22"/>
      <c r="C671" s="56"/>
      <c r="D671" s="56"/>
      <c r="E671" s="22"/>
      <c r="F671" s="22"/>
      <c r="G671" s="22"/>
      <c r="H671" s="22"/>
      <c r="I671" s="49"/>
      <c r="J671" s="50"/>
      <c r="K671" s="22"/>
      <c r="L671" s="22"/>
      <c r="M671" s="22"/>
      <c r="N671" s="22"/>
      <c r="O671" s="22"/>
      <c r="P671" s="46"/>
      <c r="Q671" s="40"/>
      <c r="R671" s="41"/>
      <c r="S671" s="22" t="str">
        <f t="shared" si="61"/>
        <v/>
      </c>
      <c r="T671" s="41"/>
      <c r="U671" s="41" t="str">
        <f t="shared" si="65"/>
        <v/>
      </c>
      <c r="V671" s="44"/>
      <c r="W671" s="44"/>
      <c r="X671" s="46"/>
      <c r="Y671" s="46"/>
      <c r="Z671" s="46"/>
      <c r="AA671" s="41"/>
      <c r="AB671" s="22"/>
      <c r="AC671" s="22"/>
      <c r="AD671" s="41"/>
      <c r="AE671" s="22"/>
      <c r="AF671" s="22"/>
      <c r="AG671" s="48" t="str">
        <f t="shared" si="62"/>
        <v/>
      </c>
      <c r="AH671" s="48" t="str">
        <f t="shared" si="63"/>
        <v/>
      </c>
      <c r="AI671" s="48" t="str">
        <f t="shared" si="64"/>
        <v/>
      </c>
      <c r="AJ671" s="40" t="str">
        <f t="shared" si="60"/>
        <v/>
      </c>
      <c r="AK671" s="40"/>
      <c r="AL671" s="40"/>
      <c r="AM671" s="22"/>
      <c r="AQ671" s="46"/>
    </row>
    <row r="672" spans="1:43" ht="17.399999999999999">
      <c r="A672" s="22"/>
      <c r="B672" s="22"/>
      <c r="C672" s="56"/>
      <c r="D672" s="56"/>
      <c r="E672" s="22"/>
      <c r="F672" s="22"/>
      <c r="G672" s="22"/>
      <c r="H672" s="22"/>
      <c r="I672" s="49"/>
      <c r="J672" s="50"/>
      <c r="K672" s="22"/>
      <c r="L672" s="22"/>
      <c r="M672" s="22"/>
      <c r="N672" s="22"/>
      <c r="O672" s="22"/>
      <c r="P672" s="46"/>
      <c r="Q672" s="40"/>
      <c r="R672" s="41"/>
      <c r="S672" s="22" t="str">
        <f t="shared" si="61"/>
        <v/>
      </c>
      <c r="T672" s="41"/>
      <c r="U672" s="41" t="str">
        <f t="shared" si="65"/>
        <v/>
      </c>
      <c r="V672" s="44"/>
      <c r="W672" s="44"/>
      <c r="X672" s="46"/>
      <c r="Y672" s="46"/>
      <c r="Z672" s="46"/>
      <c r="AA672" s="41"/>
      <c r="AB672" s="22"/>
      <c r="AC672" s="22"/>
      <c r="AD672" s="41"/>
      <c r="AE672" s="22"/>
      <c r="AF672" s="22"/>
      <c r="AG672" s="48" t="str">
        <f t="shared" si="62"/>
        <v/>
      </c>
      <c r="AH672" s="48" t="str">
        <f t="shared" si="63"/>
        <v/>
      </c>
      <c r="AI672" s="48" t="str">
        <f t="shared" si="64"/>
        <v/>
      </c>
      <c r="AJ672" s="40" t="str">
        <f t="shared" si="60"/>
        <v/>
      </c>
      <c r="AK672" s="40"/>
      <c r="AL672" s="40"/>
      <c r="AM672" s="22"/>
      <c r="AQ672" s="46"/>
    </row>
    <row r="673" spans="1:43" ht="17.399999999999999">
      <c r="A673" s="22"/>
      <c r="B673" s="22"/>
      <c r="C673" s="56"/>
      <c r="D673" s="56"/>
      <c r="E673" s="22"/>
      <c r="F673" s="22"/>
      <c r="G673" s="22"/>
      <c r="H673" s="22"/>
      <c r="I673" s="49"/>
      <c r="J673" s="50"/>
      <c r="K673" s="22"/>
      <c r="L673" s="22"/>
      <c r="M673" s="22"/>
      <c r="N673" s="22"/>
      <c r="O673" s="22"/>
      <c r="P673" s="46"/>
      <c r="Q673" s="40"/>
      <c r="R673" s="41"/>
      <c r="S673" s="22" t="str">
        <f t="shared" si="61"/>
        <v/>
      </c>
      <c r="T673" s="41"/>
      <c r="U673" s="41" t="str">
        <f t="shared" si="65"/>
        <v/>
      </c>
      <c r="V673" s="44"/>
      <c r="W673" s="44"/>
      <c r="X673" s="46"/>
      <c r="Y673" s="46"/>
      <c r="Z673" s="46"/>
      <c r="AA673" s="41"/>
      <c r="AB673" s="22"/>
      <c r="AC673" s="22"/>
      <c r="AD673" s="41"/>
      <c r="AE673" s="22"/>
      <c r="AF673" s="22"/>
      <c r="AG673" s="48" t="str">
        <f t="shared" si="62"/>
        <v/>
      </c>
      <c r="AH673" s="48" t="str">
        <f t="shared" si="63"/>
        <v/>
      </c>
      <c r="AI673" s="48" t="str">
        <f t="shared" si="64"/>
        <v/>
      </c>
      <c r="AJ673" s="40" t="str">
        <f t="shared" si="60"/>
        <v/>
      </c>
      <c r="AK673" s="40"/>
      <c r="AL673" s="40"/>
      <c r="AM673" s="22"/>
      <c r="AQ673" s="46"/>
    </row>
    <row r="674" spans="1:43" ht="17.399999999999999">
      <c r="A674" s="22"/>
      <c r="B674" s="22"/>
      <c r="C674" s="56"/>
      <c r="D674" s="56"/>
      <c r="E674" s="22"/>
      <c r="F674" s="22"/>
      <c r="G674" s="22"/>
      <c r="H674" s="22"/>
      <c r="I674" s="49"/>
      <c r="J674" s="50"/>
      <c r="K674" s="22"/>
      <c r="L674" s="22"/>
      <c r="M674" s="22"/>
      <c r="N674" s="22"/>
      <c r="O674" s="22"/>
      <c r="P674" s="46"/>
      <c r="Q674" s="40"/>
      <c r="R674" s="41"/>
      <c r="S674" s="22" t="str">
        <f t="shared" si="61"/>
        <v/>
      </c>
      <c r="T674" s="41"/>
      <c r="U674" s="41" t="str">
        <f t="shared" si="65"/>
        <v/>
      </c>
      <c r="V674" s="44"/>
      <c r="W674" s="44"/>
      <c r="X674" s="46"/>
      <c r="Y674" s="46"/>
      <c r="Z674" s="46"/>
      <c r="AA674" s="41"/>
      <c r="AB674" s="22"/>
      <c r="AC674" s="22"/>
      <c r="AD674" s="41"/>
      <c r="AE674" s="22"/>
      <c r="AF674" s="22"/>
      <c r="AG674" s="48" t="str">
        <f t="shared" si="62"/>
        <v/>
      </c>
      <c r="AH674" s="48" t="str">
        <f t="shared" si="63"/>
        <v/>
      </c>
      <c r="AI674" s="48" t="str">
        <f t="shared" si="64"/>
        <v/>
      </c>
      <c r="AJ674" s="40" t="str">
        <f t="shared" si="60"/>
        <v/>
      </c>
      <c r="AK674" s="40"/>
      <c r="AL674" s="40"/>
      <c r="AM674" s="22"/>
      <c r="AQ674" s="46"/>
    </row>
    <row r="675" spans="1:43" ht="17.399999999999999">
      <c r="A675" s="22"/>
      <c r="B675" s="22"/>
      <c r="C675" s="56"/>
      <c r="D675" s="56"/>
      <c r="E675" s="22"/>
      <c r="F675" s="22"/>
      <c r="G675" s="22"/>
      <c r="H675" s="22"/>
      <c r="I675" s="49"/>
      <c r="J675" s="50"/>
      <c r="K675" s="22"/>
      <c r="L675" s="22"/>
      <c r="M675" s="22"/>
      <c r="N675" s="22"/>
      <c r="O675" s="22"/>
      <c r="P675" s="46"/>
      <c r="Q675" s="40"/>
      <c r="R675" s="41"/>
      <c r="S675" s="22" t="str">
        <f t="shared" si="61"/>
        <v/>
      </c>
      <c r="T675" s="41"/>
      <c r="U675" s="41" t="str">
        <f t="shared" si="65"/>
        <v/>
      </c>
      <c r="V675" s="44"/>
      <c r="W675" s="44"/>
      <c r="X675" s="46"/>
      <c r="Y675" s="46"/>
      <c r="Z675" s="46"/>
      <c r="AA675" s="41"/>
      <c r="AB675" s="22"/>
      <c r="AC675" s="22"/>
      <c r="AD675" s="41"/>
      <c r="AE675" s="22"/>
      <c r="AF675" s="22"/>
      <c r="AG675" s="48" t="str">
        <f t="shared" si="62"/>
        <v/>
      </c>
      <c r="AH675" s="48" t="str">
        <f t="shared" si="63"/>
        <v/>
      </c>
      <c r="AI675" s="48" t="str">
        <f t="shared" si="64"/>
        <v/>
      </c>
      <c r="AJ675" s="40" t="str">
        <f t="shared" si="60"/>
        <v/>
      </c>
      <c r="AK675" s="40"/>
      <c r="AL675" s="40"/>
      <c r="AM675" s="22"/>
      <c r="AQ675" s="46"/>
    </row>
    <row r="676" spans="1:43" ht="17.399999999999999">
      <c r="A676" s="22"/>
      <c r="B676" s="22"/>
      <c r="C676" s="56"/>
      <c r="D676" s="56"/>
      <c r="E676" s="22"/>
      <c r="F676" s="22"/>
      <c r="G676" s="22"/>
      <c r="H676" s="22"/>
      <c r="I676" s="49"/>
      <c r="J676" s="50"/>
      <c r="K676" s="22"/>
      <c r="L676" s="22"/>
      <c r="M676" s="22"/>
      <c r="N676" s="22"/>
      <c r="O676" s="22"/>
      <c r="P676" s="46"/>
      <c r="Q676" s="40"/>
      <c r="R676" s="41"/>
      <c r="S676" s="22" t="str">
        <f t="shared" si="61"/>
        <v/>
      </c>
      <c r="T676" s="41"/>
      <c r="U676" s="41" t="str">
        <f t="shared" si="65"/>
        <v/>
      </c>
      <c r="V676" s="44"/>
      <c r="W676" s="44"/>
      <c r="X676" s="46"/>
      <c r="Y676" s="46"/>
      <c r="Z676" s="46"/>
      <c r="AA676" s="41"/>
      <c r="AB676" s="22"/>
      <c r="AC676" s="22"/>
      <c r="AD676" s="41"/>
      <c r="AE676" s="22"/>
      <c r="AF676" s="22"/>
      <c r="AG676" s="48" t="str">
        <f t="shared" si="62"/>
        <v/>
      </c>
      <c r="AH676" s="48" t="str">
        <f t="shared" si="63"/>
        <v/>
      </c>
      <c r="AI676" s="48" t="str">
        <f t="shared" si="64"/>
        <v/>
      </c>
      <c r="AJ676" s="40" t="str">
        <f t="shared" si="60"/>
        <v/>
      </c>
      <c r="AK676" s="40"/>
      <c r="AL676" s="40"/>
      <c r="AM676" s="22"/>
      <c r="AQ676" s="46"/>
    </row>
    <row r="677" spans="1:43" ht="17.399999999999999">
      <c r="A677" s="22"/>
      <c r="B677" s="22"/>
      <c r="C677" s="56"/>
      <c r="D677" s="56"/>
      <c r="E677" s="22"/>
      <c r="F677" s="22"/>
      <c r="G677" s="22"/>
      <c r="H677" s="22"/>
      <c r="I677" s="49"/>
      <c r="J677" s="50"/>
      <c r="K677" s="22"/>
      <c r="L677" s="22"/>
      <c r="M677" s="22"/>
      <c r="N677" s="22"/>
      <c r="O677" s="22"/>
      <c r="P677" s="46"/>
      <c r="Q677" s="40"/>
      <c r="R677" s="41"/>
      <c r="S677" s="22" t="str">
        <f t="shared" si="61"/>
        <v/>
      </c>
      <c r="T677" s="41"/>
      <c r="U677" s="41" t="str">
        <f t="shared" si="65"/>
        <v/>
      </c>
      <c r="V677" s="44"/>
      <c r="W677" s="44"/>
      <c r="X677" s="46"/>
      <c r="Y677" s="46"/>
      <c r="Z677" s="46"/>
      <c r="AA677" s="41"/>
      <c r="AB677" s="22"/>
      <c r="AC677" s="22"/>
      <c r="AD677" s="41"/>
      <c r="AE677" s="22"/>
      <c r="AF677" s="22"/>
      <c r="AG677" s="48" t="str">
        <f t="shared" si="62"/>
        <v/>
      </c>
      <c r="AH677" s="48" t="str">
        <f t="shared" si="63"/>
        <v/>
      </c>
      <c r="AI677" s="48" t="str">
        <f t="shared" si="64"/>
        <v/>
      </c>
      <c r="AJ677" s="40" t="str">
        <f t="shared" si="60"/>
        <v/>
      </c>
      <c r="AK677" s="40"/>
      <c r="AL677" s="40"/>
      <c r="AM677" s="22"/>
      <c r="AQ677" s="46"/>
    </row>
    <row r="678" spans="1:43" ht="17.399999999999999">
      <c r="A678" s="22"/>
      <c r="B678" s="22"/>
      <c r="C678" s="56"/>
      <c r="D678" s="56"/>
      <c r="E678" s="22"/>
      <c r="F678" s="22"/>
      <c r="G678" s="22"/>
      <c r="H678" s="22"/>
      <c r="I678" s="49"/>
      <c r="J678" s="50"/>
      <c r="K678" s="22"/>
      <c r="L678" s="22"/>
      <c r="M678" s="22"/>
      <c r="N678" s="22"/>
      <c r="O678" s="22"/>
      <c r="P678" s="46"/>
      <c r="Q678" s="40"/>
      <c r="R678" s="41"/>
      <c r="S678" s="22" t="str">
        <f t="shared" si="61"/>
        <v/>
      </c>
      <c r="T678" s="41"/>
      <c r="U678" s="41" t="str">
        <f t="shared" si="65"/>
        <v/>
      </c>
      <c r="V678" s="44"/>
      <c r="W678" s="44"/>
      <c r="X678" s="46"/>
      <c r="Y678" s="46"/>
      <c r="Z678" s="46"/>
      <c r="AA678" s="41"/>
      <c r="AB678" s="22"/>
      <c r="AC678" s="22"/>
      <c r="AD678" s="41"/>
      <c r="AE678" s="22"/>
      <c r="AF678" s="22"/>
      <c r="AG678" s="48" t="str">
        <f t="shared" si="62"/>
        <v/>
      </c>
      <c r="AH678" s="48" t="str">
        <f t="shared" si="63"/>
        <v/>
      </c>
      <c r="AI678" s="48" t="str">
        <f t="shared" si="64"/>
        <v/>
      </c>
      <c r="AJ678" s="40" t="str">
        <f t="shared" si="60"/>
        <v/>
      </c>
      <c r="AK678" s="40"/>
      <c r="AL678" s="40"/>
      <c r="AM678" s="22"/>
      <c r="AQ678" s="46"/>
    </row>
    <row r="679" spans="1:43" ht="17.399999999999999">
      <c r="A679" s="22"/>
      <c r="B679" s="22"/>
      <c r="C679" s="56"/>
      <c r="D679" s="56"/>
      <c r="E679" s="22"/>
      <c r="F679" s="22"/>
      <c r="G679" s="22"/>
      <c r="H679" s="22"/>
      <c r="I679" s="49"/>
      <c r="J679" s="50"/>
      <c r="K679" s="22"/>
      <c r="L679" s="22"/>
      <c r="M679" s="22"/>
      <c r="N679" s="22"/>
      <c r="O679" s="22"/>
      <c r="P679" s="46"/>
      <c r="Q679" s="40"/>
      <c r="R679" s="41"/>
      <c r="S679" s="22" t="str">
        <f t="shared" si="61"/>
        <v/>
      </c>
      <c r="T679" s="41"/>
      <c r="U679" s="41" t="str">
        <f t="shared" si="65"/>
        <v/>
      </c>
      <c r="V679" s="44"/>
      <c r="W679" s="44"/>
      <c r="X679" s="46"/>
      <c r="Y679" s="46"/>
      <c r="Z679" s="46"/>
      <c r="AA679" s="41"/>
      <c r="AB679" s="22"/>
      <c r="AC679" s="22"/>
      <c r="AD679" s="41"/>
      <c r="AE679" s="22"/>
      <c r="AF679" s="22"/>
      <c r="AG679" s="48" t="str">
        <f t="shared" si="62"/>
        <v/>
      </c>
      <c r="AH679" s="48" t="str">
        <f t="shared" si="63"/>
        <v/>
      </c>
      <c r="AI679" s="48" t="str">
        <f t="shared" si="64"/>
        <v/>
      </c>
      <c r="AJ679" s="40" t="str">
        <f t="shared" si="60"/>
        <v/>
      </c>
      <c r="AK679" s="40"/>
      <c r="AL679" s="40"/>
      <c r="AM679" s="22"/>
      <c r="AQ679" s="46"/>
    </row>
    <row r="680" spans="1:43" ht="17.399999999999999">
      <c r="A680" s="22"/>
      <c r="B680" s="22"/>
      <c r="C680" s="56"/>
      <c r="D680" s="56"/>
      <c r="E680" s="22"/>
      <c r="F680" s="22"/>
      <c r="G680" s="22"/>
      <c r="H680" s="22"/>
      <c r="I680" s="49"/>
      <c r="J680" s="50"/>
      <c r="K680" s="22"/>
      <c r="L680" s="22"/>
      <c r="M680" s="22"/>
      <c r="N680" s="22"/>
      <c r="O680" s="22"/>
      <c r="P680" s="46"/>
      <c r="Q680" s="40"/>
      <c r="R680" s="41"/>
      <c r="S680" s="22" t="str">
        <f t="shared" si="61"/>
        <v/>
      </c>
      <c r="T680" s="41"/>
      <c r="U680" s="41" t="str">
        <f t="shared" si="65"/>
        <v/>
      </c>
      <c r="V680" s="44"/>
      <c r="W680" s="44"/>
      <c r="X680" s="46"/>
      <c r="Y680" s="46"/>
      <c r="Z680" s="46"/>
      <c r="AA680" s="41"/>
      <c r="AB680" s="22"/>
      <c r="AC680" s="22"/>
      <c r="AD680" s="41"/>
      <c r="AE680" s="22"/>
      <c r="AF680" s="22"/>
      <c r="AG680" s="48" t="str">
        <f t="shared" si="62"/>
        <v/>
      </c>
      <c r="AH680" s="48" t="str">
        <f t="shared" si="63"/>
        <v/>
      </c>
      <c r="AI680" s="48" t="str">
        <f t="shared" si="64"/>
        <v/>
      </c>
      <c r="AJ680" s="40" t="str">
        <f t="shared" si="60"/>
        <v/>
      </c>
      <c r="AK680" s="40"/>
      <c r="AL680" s="40"/>
      <c r="AM680" s="22"/>
      <c r="AQ680" s="46"/>
    </row>
    <row r="681" spans="1:43" ht="17.399999999999999">
      <c r="A681" s="22"/>
      <c r="B681" s="22"/>
      <c r="C681" s="56"/>
      <c r="D681" s="56"/>
      <c r="E681" s="22"/>
      <c r="F681" s="22"/>
      <c r="G681" s="22"/>
      <c r="H681" s="22"/>
      <c r="I681" s="49"/>
      <c r="J681" s="50"/>
      <c r="K681" s="22"/>
      <c r="L681" s="22"/>
      <c r="M681" s="22"/>
      <c r="N681" s="22"/>
      <c r="O681" s="22"/>
      <c r="P681" s="46"/>
      <c r="Q681" s="40"/>
      <c r="R681" s="41"/>
      <c r="S681" s="22" t="str">
        <f t="shared" si="61"/>
        <v/>
      </c>
      <c r="T681" s="41"/>
      <c r="U681" s="41" t="str">
        <f t="shared" si="65"/>
        <v/>
      </c>
      <c r="V681" s="44"/>
      <c r="W681" s="44"/>
      <c r="X681" s="46"/>
      <c r="Y681" s="46"/>
      <c r="Z681" s="46"/>
      <c r="AA681" s="41"/>
      <c r="AB681" s="22"/>
      <c r="AC681" s="22"/>
      <c r="AD681" s="41"/>
      <c r="AE681" s="22"/>
      <c r="AF681" s="22"/>
      <c r="AG681" s="48" t="str">
        <f t="shared" si="62"/>
        <v/>
      </c>
      <c r="AH681" s="48" t="str">
        <f t="shared" si="63"/>
        <v/>
      </c>
      <c r="AI681" s="48" t="str">
        <f t="shared" si="64"/>
        <v/>
      </c>
      <c r="AJ681" s="40" t="str">
        <f t="shared" si="60"/>
        <v/>
      </c>
      <c r="AK681" s="40"/>
      <c r="AL681" s="40"/>
      <c r="AM681" s="22"/>
      <c r="AQ681" s="46"/>
    </row>
    <row r="682" spans="1:43" ht="17.399999999999999">
      <c r="A682" s="22"/>
      <c r="B682" s="22"/>
      <c r="C682" s="56"/>
      <c r="D682" s="56"/>
      <c r="E682" s="22"/>
      <c r="F682" s="22"/>
      <c r="G682" s="22"/>
      <c r="H682" s="22"/>
      <c r="I682" s="49"/>
      <c r="J682" s="50"/>
      <c r="K682" s="22"/>
      <c r="L682" s="22"/>
      <c r="M682" s="22"/>
      <c r="N682" s="22"/>
      <c r="O682" s="22"/>
      <c r="P682" s="46"/>
      <c r="Q682" s="40"/>
      <c r="R682" s="41"/>
      <c r="S682" s="22" t="str">
        <f t="shared" si="61"/>
        <v/>
      </c>
      <c r="T682" s="41"/>
      <c r="U682" s="41" t="str">
        <f t="shared" si="65"/>
        <v/>
      </c>
      <c r="V682" s="44"/>
      <c r="W682" s="44"/>
      <c r="X682" s="46"/>
      <c r="Y682" s="46"/>
      <c r="Z682" s="46"/>
      <c r="AA682" s="41"/>
      <c r="AB682" s="22"/>
      <c r="AC682" s="22"/>
      <c r="AD682" s="41"/>
      <c r="AE682" s="22"/>
      <c r="AF682" s="22"/>
      <c r="AG682" s="48" t="str">
        <f t="shared" si="62"/>
        <v/>
      </c>
      <c r="AH682" s="48" t="str">
        <f t="shared" si="63"/>
        <v/>
      </c>
      <c r="AI682" s="48" t="str">
        <f t="shared" si="64"/>
        <v/>
      </c>
      <c r="AJ682" s="40" t="str">
        <f t="shared" si="60"/>
        <v/>
      </c>
      <c r="AK682" s="40"/>
      <c r="AL682" s="40"/>
      <c r="AM682" s="22"/>
      <c r="AQ682" s="46"/>
    </row>
    <row r="683" spans="1:43" ht="17.399999999999999">
      <c r="A683" s="22"/>
      <c r="B683" s="22"/>
      <c r="C683" s="56"/>
      <c r="D683" s="56"/>
      <c r="E683" s="22"/>
      <c r="F683" s="22"/>
      <c r="G683" s="22"/>
      <c r="H683" s="22"/>
      <c r="I683" s="49"/>
      <c r="J683" s="50"/>
      <c r="K683" s="22"/>
      <c r="L683" s="22"/>
      <c r="M683" s="22"/>
      <c r="N683" s="22"/>
      <c r="O683" s="22"/>
      <c r="P683" s="46"/>
      <c r="Q683" s="40"/>
      <c r="R683" s="41"/>
      <c r="S683" s="22" t="str">
        <f t="shared" si="61"/>
        <v/>
      </c>
      <c r="T683" s="41"/>
      <c r="U683" s="41" t="str">
        <f t="shared" si="65"/>
        <v/>
      </c>
      <c r="V683" s="44"/>
      <c r="W683" s="44"/>
      <c r="X683" s="46"/>
      <c r="Y683" s="46"/>
      <c r="Z683" s="46"/>
      <c r="AA683" s="41"/>
      <c r="AB683" s="22"/>
      <c r="AC683" s="22"/>
      <c r="AD683" s="41"/>
      <c r="AE683" s="22"/>
      <c r="AF683" s="22"/>
      <c r="AG683" s="48" t="str">
        <f t="shared" si="62"/>
        <v/>
      </c>
      <c r="AH683" s="48" t="str">
        <f t="shared" si="63"/>
        <v/>
      </c>
      <c r="AI683" s="48" t="str">
        <f t="shared" si="64"/>
        <v/>
      </c>
      <c r="AJ683" s="40" t="str">
        <f t="shared" si="60"/>
        <v/>
      </c>
      <c r="AK683" s="40"/>
      <c r="AL683" s="40"/>
      <c r="AM683" s="22"/>
      <c r="AQ683" s="46"/>
    </row>
    <row r="684" spans="1:43" ht="17.399999999999999">
      <c r="A684" s="22"/>
      <c r="B684" s="22"/>
      <c r="C684" s="56"/>
      <c r="D684" s="56"/>
      <c r="E684" s="22"/>
      <c r="F684" s="22"/>
      <c r="G684" s="22"/>
      <c r="H684" s="22"/>
      <c r="I684" s="49"/>
      <c r="J684" s="50"/>
      <c r="K684" s="22"/>
      <c r="L684" s="22"/>
      <c r="M684" s="22"/>
      <c r="N684" s="22"/>
      <c r="O684" s="22"/>
      <c r="P684" s="46"/>
      <c r="Q684" s="40"/>
      <c r="R684" s="41"/>
      <c r="S684" s="22" t="str">
        <f t="shared" si="61"/>
        <v/>
      </c>
      <c r="T684" s="41"/>
      <c r="U684" s="41" t="str">
        <f t="shared" si="65"/>
        <v/>
      </c>
      <c r="V684" s="44"/>
      <c r="W684" s="44"/>
      <c r="X684" s="46"/>
      <c r="Y684" s="46"/>
      <c r="Z684" s="46"/>
      <c r="AA684" s="41"/>
      <c r="AB684" s="22"/>
      <c r="AC684" s="22"/>
      <c r="AD684" s="41"/>
      <c r="AE684" s="22"/>
      <c r="AF684" s="22"/>
      <c r="AG684" s="48" t="str">
        <f t="shared" si="62"/>
        <v/>
      </c>
      <c r="AH684" s="48" t="str">
        <f t="shared" si="63"/>
        <v/>
      </c>
      <c r="AI684" s="48" t="str">
        <f t="shared" si="64"/>
        <v/>
      </c>
      <c r="AJ684" s="40" t="str">
        <f t="shared" si="60"/>
        <v/>
      </c>
      <c r="AK684" s="40"/>
      <c r="AL684" s="40"/>
      <c r="AM684" s="22"/>
      <c r="AQ684" s="46"/>
    </row>
    <row r="685" spans="1:43" ht="17.399999999999999">
      <c r="A685" s="22"/>
      <c r="B685" s="22"/>
      <c r="C685" s="56"/>
      <c r="D685" s="56"/>
      <c r="E685" s="22"/>
      <c r="F685" s="22"/>
      <c r="G685" s="22"/>
      <c r="H685" s="22"/>
      <c r="I685" s="49"/>
      <c r="J685" s="50"/>
      <c r="K685" s="22"/>
      <c r="L685" s="22"/>
      <c r="M685" s="22"/>
      <c r="N685" s="22"/>
      <c r="O685" s="22"/>
      <c r="P685" s="46"/>
      <c r="Q685" s="40"/>
      <c r="R685" s="41"/>
      <c r="S685" s="22" t="str">
        <f t="shared" si="61"/>
        <v/>
      </c>
      <c r="T685" s="41"/>
      <c r="U685" s="41" t="str">
        <f t="shared" si="65"/>
        <v/>
      </c>
      <c r="V685" s="44"/>
      <c r="W685" s="44"/>
      <c r="X685" s="46"/>
      <c r="Y685" s="46"/>
      <c r="Z685" s="46"/>
      <c r="AA685" s="41"/>
      <c r="AB685" s="22"/>
      <c r="AC685" s="22"/>
      <c r="AD685" s="41"/>
      <c r="AE685" s="22"/>
      <c r="AF685" s="22"/>
      <c r="AG685" s="48" t="str">
        <f t="shared" si="62"/>
        <v/>
      </c>
      <c r="AH685" s="48" t="str">
        <f t="shared" si="63"/>
        <v/>
      </c>
      <c r="AI685" s="48" t="str">
        <f t="shared" si="64"/>
        <v/>
      </c>
      <c r="AJ685" s="40" t="str">
        <f t="shared" ref="AJ685:AJ748" si="66">IF(A685="","",R685+21)</f>
        <v/>
      </c>
      <c r="AK685" s="40"/>
      <c r="AL685" s="40"/>
      <c r="AM685" s="22"/>
      <c r="AQ685" s="46"/>
    </row>
    <row r="686" spans="1:43" ht="17.399999999999999">
      <c r="A686" s="22"/>
      <c r="B686" s="22"/>
      <c r="C686" s="56"/>
      <c r="D686" s="56"/>
      <c r="E686" s="22"/>
      <c r="F686" s="22"/>
      <c r="G686" s="22"/>
      <c r="H686" s="22"/>
      <c r="I686" s="49"/>
      <c r="J686" s="50"/>
      <c r="K686" s="22"/>
      <c r="L686" s="22"/>
      <c r="M686" s="22"/>
      <c r="N686" s="22"/>
      <c r="O686" s="22"/>
      <c r="P686" s="46"/>
      <c r="Q686" s="40"/>
      <c r="R686" s="41"/>
      <c r="S686" s="22" t="str">
        <f t="shared" si="61"/>
        <v/>
      </c>
      <c r="T686" s="41"/>
      <c r="U686" s="41" t="str">
        <f t="shared" si="65"/>
        <v/>
      </c>
      <c r="V686" s="44"/>
      <c r="W686" s="44"/>
      <c r="X686" s="46"/>
      <c r="Y686" s="46"/>
      <c r="Z686" s="46"/>
      <c r="AA686" s="41"/>
      <c r="AB686" s="22"/>
      <c r="AC686" s="22"/>
      <c r="AD686" s="41"/>
      <c r="AE686" s="22"/>
      <c r="AF686" s="22"/>
      <c r="AG686" s="48" t="str">
        <f t="shared" si="62"/>
        <v/>
      </c>
      <c r="AH686" s="48" t="str">
        <f t="shared" si="63"/>
        <v/>
      </c>
      <c r="AI686" s="48" t="str">
        <f t="shared" si="64"/>
        <v/>
      </c>
      <c r="AJ686" s="40" t="str">
        <f t="shared" si="66"/>
        <v/>
      </c>
      <c r="AK686" s="40"/>
      <c r="AL686" s="40"/>
      <c r="AM686" s="22"/>
      <c r="AQ686" s="46"/>
    </row>
    <row r="687" spans="1:43" ht="17.399999999999999">
      <c r="A687" s="22"/>
      <c r="B687" s="22"/>
      <c r="C687" s="56"/>
      <c r="D687" s="56"/>
      <c r="E687" s="22"/>
      <c r="F687" s="22"/>
      <c r="G687" s="22"/>
      <c r="H687" s="22"/>
      <c r="I687" s="49"/>
      <c r="J687" s="50"/>
      <c r="K687" s="22"/>
      <c r="L687" s="22"/>
      <c r="M687" s="22"/>
      <c r="N687" s="22"/>
      <c r="O687" s="22"/>
      <c r="P687" s="46"/>
      <c r="Q687" s="40"/>
      <c r="R687" s="41"/>
      <c r="S687" s="22" t="str">
        <f t="shared" si="61"/>
        <v/>
      </c>
      <c r="T687" s="41"/>
      <c r="U687" s="41" t="str">
        <f t="shared" si="65"/>
        <v/>
      </c>
      <c r="V687" s="44"/>
      <c r="W687" s="44"/>
      <c r="X687" s="46"/>
      <c r="Y687" s="46"/>
      <c r="Z687" s="46"/>
      <c r="AA687" s="41"/>
      <c r="AB687" s="22"/>
      <c r="AC687" s="22"/>
      <c r="AD687" s="41"/>
      <c r="AE687" s="22"/>
      <c r="AF687" s="22"/>
      <c r="AG687" s="48" t="str">
        <f t="shared" si="62"/>
        <v/>
      </c>
      <c r="AH687" s="48" t="str">
        <f t="shared" si="63"/>
        <v/>
      </c>
      <c r="AI687" s="48" t="str">
        <f t="shared" si="64"/>
        <v/>
      </c>
      <c r="AJ687" s="40" t="str">
        <f t="shared" si="66"/>
        <v/>
      </c>
      <c r="AK687" s="40"/>
      <c r="AL687" s="40"/>
      <c r="AM687" s="22"/>
      <c r="AQ687" s="46"/>
    </row>
    <row r="688" spans="1:43" ht="17.399999999999999">
      <c r="A688" s="22"/>
      <c r="B688" s="22"/>
      <c r="C688" s="56"/>
      <c r="D688" s="56"/>
      <c r="E688" s="22"/>
      <c r="F688" s="22"/>
      <c r="G688" s="22"/>
      <c r="H688" s="22"/>
      <c r="I688" s="49"/>
      <c r="J688" s="50"/>
      <c r="K688" s="22"/>
      <c r="L688" s="22"/>
      <c r="M688" s="22"/>
      <c r="N688" s="22"/>
      <c r="O688" s="22"/>
      <c r="P688" s="46"/>
      <c r="Q688" s="40"/>
      <c r="R688" s="41"/>
      <c r="S688" s="22" t="str">
        <f t="shared" si="61"/>
        <v/>
      </c>
      <c r="T688" s="41"/>
      <c r="U688" s="41" t="str">
        <f t="shared" si="65"/>
        <v/>
      </c>
      <c r="V688" s="44"/>
      <c r="W688" s="44"/>
      <c r="X688" s="46"/>
      <c r="Y688" s="46"/>
      <c r="Z688" s="46"/>
      <c r="AA688" s="41"/>
      <c r="AB688" s="22"/>
      <c r="AC688" s="22"/>
      <c r="AD688" s="41"/>
      <c r="AE688" s="22"/>
      <c r="AF688" s="22"/>
      <c r="AG688" s="48" t="str">
        <f t="shared" si="62"/>
        <v/>
      </c>
      <c r="AH688" s="48" t="str">
        <f t="shared" si="63"/>
        <v/>
      </c>
      <c r="AI688" s="48" t="str">
        <f t="shared" si="64"/>
        <v/>
      </c>
      <c r="AJ688" s="40" t="str">
        <f t="shared" si="66"/>
        <v/>
      </c>
      <c r="AK688" s="40"/>
      <c r="AL688" s="40"/>
      <c r="AM688" s="22"/>
      <c r="AQ688" s="46"/>
    </row>
    <row r="689" spans="1:43" ht="17.399999999999999">
      <c r="A689" s="22"/>
      <c r="B689" s="22"/>
      <c r="C689" s="56"/>
      <c r="D689" s="56"/>
      <c r="E689" s="22"/>
      <c r="F689" s="22"/>
      <c r="G689" s="22"/>
      <c r="H689" s="22"/>
      <c r="I689" s="49"/>
      <c r="J689" s="50"/>
      <c r="K689" s="22"/>
      <c r="L689" s="22"/>
      <c r="M689" s="22"/>
      <c r="N689" s="22"/>
      <c r="O689" s="22"/>
      <c r="P689" s="46"/>
      <c r="Q689" s="40"/>
      <c r="R689" s="41"/>
      <c r="S689" s="22" t="str">
        <f t="shared" si="61"/>
        <v/>
      </c>
      <c r="T689" s="41"/>
      <c r="U689" s="41" t="str">
        <f t="shared" si="65"/>
        <v/>
      </c>
      <c r="V689" s="44"/>
      <c r="W689" s="44"/>
      <c r="X689" s="46"/>
      <c r="Y689" s="46"/>
      <c r="Z689" s="46"/>
      <c r="AA689" s="41"/>
      <c r="AB689" s="22"/>
      <c r="AC689" s="22"/>
      <c r="AD689" s="41"/>
      <c r="AE689" s="22"/>
      <c r="AF689" s="22"/>
      <c r="AG689" s="48" t="str">
        <f t="shared" si="62"/>
        <v/>
      </c>
      <c r="AH689" s="48" t="str">
        <f t="shared" si="63"/>
        <v/>
      </c>
      <c r="AI689" s="48" t="str">
        <f t="shared" si="64"/>
        <v/>
      </c>
      <c r="AJ689" s="40" t="str">
        <f t="shared" si="66"/>
        <v/>
      </c>
      <c r="AK689" s="40"/>
      <c r="AL689" s="40"/>
      <c r="AM689" s="22"/>
      <c r="AQ689" s="46"/>
    </row>
    <row r="690" spans="1:43" ht="17.399999999999999">
      <c r="A690" s="22"/>
      <c r="B690" s="22"/>
      <c r="C690" s="56"/>
      <c r="D690" s="56"/>
      <c r="E690" s="22"/>
      <c r="F690" s="22"/>
      <c r="G690" s="22"/>
      <c r="H690" s="22"/>
      <c r="I690" s="49"/>
      <c r="J690" s="50"/>
      <c r="K690" s="22"/>
      <c r="L690" s="22"/>
      <c r="M690" s="22"/>
      <c r="N690" s="22"/>
      <c r="O690" s="22"/>
      <c r="P690" s="46"/>
      <c r="Q690" s="40"/>
      <c r="R690" s="41"/>
      <c r="S690" s="22" t="str">
        <f t="shared" si="61"/>
        <v/>
      </c>
      <c r="T690" s="41"/>
      <c r="U690" s="41" t="str">
        <f t="shared" si="65"/>
        <v/>
      </c>
      <c r="V690" s="44"/>
      <c r="W690" s="44"/>
      <c r="X690" s="46"/>
      <c r="Y690" s="46"/>
      <c r="Z690" s="46"/>
      <c r="AA690" s="41"/>
      <c r="AB690" s="22"/>
      <c r="AC690" s="22"/>
      <c r="AD690" s="41"/>
      <c r="AE690" s="22"/>
      <c r="AF690" s="22"/>
      <c r="AG690" s="48" t="str">
        <f t="shared" si="62"/>
        <v/>
      </c>
      <c r="AH690" s="48" t="str">
        <f t="shared" si="63"/>
        <v/>
      </c>
      <c r="AI690" s="48" t="str">
        <f t="shared" si="64"/>
        <v/>
      </c>
      <c r="AJ690" s="40" t="str">
        <f t="shared" si="66"/>
        <v/>
      </c>
      <c r="AK690" s="40"/>
      <c r="AL690" s="40"/>
      <c r="AM690" s="22"/>
      <c r="AQ690" s="46"/>
    </row>
    <row r="691" spans="1:43" ht="17.399999999999999">
      <c r="A691" s="22"/>
      <c r="B691" s="22"/>
      <c r="C691" s="56"/>
      <c r="D691" s="56"/>
      <c r="E691" s="22"/>
      <c r="F691" s="22"/>
      <c r="G691" s="22"/>
      <c r="H691" s="22"/>
      <c r="I691" s="49"/>
      <c r="J691" s="50"/>
      <c r="K691" s="22"/>
      <c r="L691" s="22"/>
      <c r="M691" s="22"/>
      <c r="N691" s="22"/>
      <c r="O691" s="22"/>
      <c r="P691" s="46"/>
      <c r="Q691" s="40"/>
      <c r="R691" s="41"/>
      <c r="S691" s="22" t="str">
        <f t="shared" si="61"/>
        <v/>
      </c>
      <c r="T691" s="41"/>
      <c r="U691" s="41" t="str">
        <f t="shared" si="65"/>
        <v/>
      </c>
      <c r="V691" s="44"/>
      <c r="W691" s="44"/>
      <c r="X691" s="46"/>
      <c r="Y691" s="46"/>
      <c r="Z691" s="46"/>
      <c r="AA691" s="41"/>
      <c r="AB691" s="22"/>
      <c r="AC691" s="22"/>
      <c r="AD691" s="41"/>
      <c r="AE691" s="22"/>
      <c r="AF691" s="22"/>
      <c r="AG691" s="48" t="str">
        <f t="shared" si="62"/>
        <v/>
      </c>
      <c r="AH691" s="48" t="str">
        <f t="shared" si="63"/>
        <v/>
      </c>
      <c r="AI691" s="48" t="str">
        <f t="shared" si="64"/>
        <v/>
      </c>
      <c r="AJ691" s="40" t="str">
        <f t="shared" si="66"/>
        <v/>
      </c>
      <c r="AK691" s="40"/>
      <c r="AL691" s="40"/>
      <c r="AM691" s="22"/>
      <c r="AQ691" s="46"/>
    </row>
    <row r="692" spans="1:43" ht="17.399999999999999">
      <c r="A692" s="22"/>
      <c r="B692" s="22"/>
      <c r="C692" s="56"/>
      <c r="D692" s="56"/>
      <c r="E692" s="22"/>
      <c r="F692" s="22"/>
      <c r="G692" s="22"/>
      <c r="H692" s="22"/>
      <c r="I692" s="49"/>
      <c r="J692" s="50"/>
      <c r="K692" s="22"/>
      <c r="L692" s="22"/>
      <c r="M692" s="22"/>
      <c r="N692" s="22"/>
      <c r="O692" s="22"/>
      <c r="P692" s="46"/>
      <c r="Q692" s="40"/>
      <c r="R692" s="41"/>
      <c r="S692" s="22" t="str">
        <f t="shared" si="61"/>
        <v/>
      </c>
      <c r="T692" s="41"/>
      <c r="U692" s="41" t="str">
        <f t="shared" si="65"/>
        <v/>
      </c>
      <c r="V692" s="44"/>
      <c r="W692" s="44"/>
      <c r="X692" s="46"/>
      <c r="Y692" s="46"/>
      <c r="Z692" s="46"/>
      <c r="AA692" s="41"/>
      <c r="AB692" s="22"/>
      <c r="AC692" s="22"/>
      <c r="AD692" s="41"/>
      <c r="AE692" s="22"/>
      <c r="AF692" s="22"/>
      <c r="AG692" s="48" t="str">
        <f t="shared" si="62"/>
        <v/>
      </c>
      <c r="AH692" s="48" t="str">
        <f t="shared" si="63"/>
        <v/>
      </c>
      <c r="AI692" s="48" t="str">
        <f t="shared" si="64"/>
        <v/>
      </c>
      <c r="AJ692" s="40" t="str">
        <f t="shared" si="66"/>
        <v/>
      </c>
      <c r="AK692" s="40"/>
      <c r="AL692" s="40"/>
      <c r="AM692" s="22"/>
      <c r="AQ692" s="46"/>
    </row>
    <row r="693" spans="1:43" ht="17.399999999999999">
      <c r="A693" s="22"/>
      <c r="B693" s="22"/>
      <c r="C693" s="56"/>
      <c r="D693" s="56"/>
      <c r="E693" s="22"/>
      <c r="F693" s="22"/>
      <c r="G693" s="22"/>
      <c r="H693" s="22"/>
      <c r="I693" s="49"/>
      <c r="J693" s="50"/>
      <c r="K693" s="22"/>
      <c r="L693" s="22"/>
      <c r="M693" s="22"/>
      <c r="N693" s="22"/>
      <c r="O693" s="22"/>
      <c r="P693" s="46"/>
      <c r="Q693" s="40"/>
      <c r="R693" s="41"/>
      <c r="S693" s="22" t="str">
        <f t="shared" si="61"/>
        <v/>
      </c>
      <c r="T693" s="41"/>
      <c r="U693" s="41" t="str">
        <f t="shared" si="65"/>
        <v/>
      </c>
      <c r="V693" s="44"/>
      <c r="W693" s="44"/>
      <c r="X693" s="46"/>
      <c r="Y693" s="46"/>
      <c r="Z693" s="46"/>
      <c r="AA693" s="41"/>
      <c r="AB693" s="22"/>
      <c r="AC693" s="22"/>
      <c r="AD693" s="41"/>
      <c r="AE693" s="22"/>
      <c r="AF693" s="22"/>
      <c r="AG693" s="48" t="str">
        <f t="shared" si="62"/>
        <v/>
      </c>
      <c r="AH693" s="48" t="str">
        <f t="shared" si="63"/>
        <v/>
      </c>
      <c r="AI693" s="48" t="str">
        <f t="shared" si="64"/>
        <v/>
      </c>
      <c r="AJ693" s="40" t="str">
        <f t="shared" si="66"/>
        <v/>
      </c>
      <c r="AK693" s="40"/>
      <c r="AL693" s="40"/>
      <c r="AM693" s="22"/>
      <c r="AQ693" s="46"/>
    </row>
    <row r="694" spans="1:43" ht="17.399999999999999">
      <c r="A694" s="22"/>
      <c r="B694" s="22"/>
      <c r="C694" s="56"/>
      <c r="D694" s="56"/>
      <c r="E694" s="22"/>
      <c r="F694" s="22"/>
      <c r="G694" s="22"/>
      <c r="H694" s="22"/>
      <c r="I694" s="49"/>
      <c r="J694" s="50"/>
      <c r="K694" s="22"/>
      <c r="L694" s="22"/>
      <c r="M694" s="22"/>
      <c r="N694" s="22"/>
      <c r="O694" s="22"/>
      <c r="P694" s="46"/>
      <c r="Q694" s="40"/>
      <c r="R694" s="41"/>
      <c r="S694" s="22" t="str">
        <f t="shared" si="61"/>
        <v/>
      </c>
      <c r="T694" s="41"/>
      <c r="U694" s="41" t="str">
        <f t="shared" si="65"/>
        <v/>
      </c>
      <c r="V694" s="44"/>
      <c r="W694" s="44"/>
      <c r="X694" s="46"/>
      <c r="Y694" s="46"/>
      <c r="Z694" s="46"/>
      <c r="AA694" s="41"/>
      <c r="AB694" s="22"/>
      <c r="AC694" s="22"/>
      <c r="AD694" s="41"/>
      <c r="AE694" s="22"/>
      <c r="AF694" s="22"/>
      <c r="AG694" s="48" t="str">
        <f t="shared" si="62"/>
        <v/>
      </c>
      <c r="AH694" s="48" t="str">
        <f t="shared" si="63"/>
        <v/>
      </c>
      <c r="AI694" s="48" t="str">
        <f t="shared" si="64"/>
        <v/>
      </c>
      <c r="AJ694" s="40" t="str">
        <f t="shared" si="66"/>
        <v/>
      </c>
      <c r="AK694" s="40"/>
      <c r="AL694" s="40"/>
      <c r="AM694" s="22"/>
      <c r="AQ694" s="46"/>
    </row>
    <row r="695" spans="1:43" ht="17.399999999999999">
      <c r="A695" s="22"/>
      <c r="B695" s="22"/>
      <c r="C695" s="56"/>
      <c r="D695" s="56"/>
      <c r="E695" s="22"/>
      <c r="F695" s="22"/>
      <c r="G695" s="22"/>
      <c r="H695" s="22"/>
      <c r="I695" s="49"/>
      <c r="J695" s="50"/>
      <c r="K695" s="22"/>
      <c r="L695" s="22"/>
      <c r="M695" s="22"/>
      <c r="N695" s="22"/>
      <c r="O695" s="22"/>
      <c r="P695" s="46"/>
      <c r="Q695" s="40"/>
      <c r="R695" s="41"/>
      <c r="S695" s="22" t="str">
        <f t="shared" si="61"/>
        <v/>
      </c>
      <c r="T695" s="41"/>
      <c r="U695" s="41" t="str">
        <f t="shared" si="65"/>
        <v/>
      </c>
      <c r="V695" s="44"/>
      <c r="W695" s="44"/>
      <c r="X695" s="46"/>
      <c r="Y695" s="46"/>
      <c r="Z695" s="46"/>
      <c r="AA695" s="41"/>
      <c r="AB695" s="22"/>
      <c r="AC695" s="22"/>
      <c r="AD695" s="41"/>
      <c r="AE695" s="22"/>
      <c r="AF695" s="22"/>
      <c r="AG695" s="48" t="str">
        <f t="shared" si="62"/>
        <v/>
      </c>
      <c r="AH695" s="48" t="str">
        <f t="shared" si="63"/>
        <v/>
      </c>
      <c r="AI695" s="48" t="str">
        <f t="shared" si="64"/>
        <v/>
      </c>
      <c r="AJ695" s="40" t="str">
        <f t="shared" si="66"/>
        <v/>
      </c>
      <c r="AK695" s="40"/>
      <c r="AL695" s="40"/>
      <c r="AM695" s="22"/>
      <c r="AQ695" s="46"/>
    </row>
    <row r="696" spans="1:43" ht="17.399999999999999">
      <c r="A696" s="22"/>
      <c r="B696" s="22"/>
      <c r="C696" s="56"/>
      <c r="D696" s="56"/>
      <c r="E696" s="22"/>
      <c r="F696" s="22"/>
      <c r="G696" s="22"/>
      <c r="H696" s="22"/>
      <c r="I696" s="49"/>
      <c r="J696" s="50"/>
      <c r="K696" s="22"/>
      <c r="L696" s="22"/>
      <c r="M696" s="22"/>
      <c r="N696" s="22"/>
      <c r="O696" s="22"/>
      <c r="P696" s="46"/>
      <c r="Q696" s="40"/>
      <c r="R696" s="41"/>
      <c r="S696" s="22" t="str">
        <f t="shared" si="61"/>
        <v/>
      </c>
      <c r="T696" s="41"/>
      <c r="U696" s="41" t="str">
        <f t="shared" si="65"/>
        <v/>
      </c>
      <c r="V696" s="44"/>
      <c r="W696" s="44"/>
      <c r="X696" s="46"/>
      <c r="Y696" s="46"/>
      <c r="Z696" s="46"/>
      <c r="AA696" s="41"/>
      <c r="AB696" s="22"/>
      <c r="AC696" s="22"/>
      <c r="AD696" s="41"/>
      <c r="AE696" s="22"/>
      <c r="AF696" s="22"/>
      <c r="AG696" s="48" t="str">
        <f t="shared" si="62"/>
        <v/>
      </c>
      <c r="AH696" s="48" t="str">
        <f t="shared" si="63"/>
        <v/>
      </c>
      <c r="AI696" s="48" t="str">
        <f t="shared" si="64"/>
        <v/>
      </c>
      <c r="AJ696" s="40" t="str">
        <f t="shared" si="66"/>
        <v/>
      </c>
      <c r="AK696" s="40"/>
      <c r="AL696" s="40"/>
      <c r="AM696" s="22"/>
      <c r="AQ696" s="46"/>
    </row>
    <row r="697" spans="1:43" ht="17.399999999999999">
      <c r="A697" s="22"/>
      <c r="B697" s="22"/>
      <c r="C697" s="56"/>
      <c r="D697" s="56"/>
      <c r="E697" s="22"/>
      <c r="F697" s="22"/>
      <c r="G697" s="22"/>
      <c r="H697" s="22"/>
      <c r="I697" s="49"/>
      <c r="J697" s="50"/>
      <c r="K697" s="22"/>
      <c r="L697" s="22"/>
      <c r="M697" s="22"/>
      <c r="N697" s="22"/>
      <c r="O697" s="22"/>
      <c r="P697" s="46"/>
      <c r="Q697" s="40"/>
      <c r="R697" s="41"/>
      <c r="S697" s="22" t="str">
        <f t="shared" si="61"/>
        <v/>
      </c>
      <c r="T697" s="41"/>
      <c r="U697" s="41" t="str">
        <f t="shared" si="65"/>
        <v/>
      </c>
      <c r="V697" s="44"/>
      <c r="W697" s="44"/>
      <c r="X697" s="46"/>
      <c r="Y697" s="46"/>
      <c r="Z697" s="46"/>
      <c r="AA697" s="41"/>
      <c r="AB697" s="22"/>
      <c r="AC697" s="22"/>
      <c r="AD697" s="41"/>
      <c r="AE697" s="22"/>
      <c r="AF697" s="22"/>
      <c r="AG697" s="48" t="str">
        <f t="shared" si="62"/>
        <v/>
      </c>
      <c r="AH697" s="48" t="str">
        <f t="shared" si="63"/>
        <v/>
      </c>
      <c r="AI697" s="48" t="str">
        <f t="shared" si="64"/>
        <v/>
      </c>
      <c r="AJ697" s="40" t="str">
        <f t="shared" si="66"/>
        <v/>
      </c>
      <c r="AK697" s="40"/>
      <c r="AL697" s="40"/>
      <c r="AM697" s="22"/>
      <c r="AQ697" s="46"/>
    </row>
    <row r="698" spans="1:43" ht="17.399999999999999">
      <c r="A698" s="22"/>
      <c r="B698" s="22"/>
      <c r="C698" s="56"/>
      <c r="D698" s="56"/>
      <c r="E698" s="22"/>
      <c r="F698" s="22"/>
      <c r="G698" s="22"/>
      <c r="H698" s="22"/>
      <c r="I698" s="49"/>
      <c r="J698" s="50"/>
      <c r="K698" s="22"/>
      <c r="L698" s="22"/>
      <c r="M698" s="22"/>
      <c r="N698" s="22"/>
      <c r="O698" s="22"/>
      <c r="P698" s="46"/>
      <c r="Q698" s="40"/>
      <c r="R698" s="41"/>
      <c r="S698" s="22" t="str">
        <f t="shared" si="61"/>
        <v/>
      </c>
      <c r="T698" s="41"/>
      <c r="U698" s="41" t="str">
        <f t="shared" si="65"/>
        <v/>
      </c>
      <c r="V698" s="44"/>
      <c r="W698" s="44"/>
      <c r="X698" s="46"/>
      <c r="Y698" s="46"/>
      <c r="Z698" s="46"/>
      <c r="AA698" s="41"/>
      <c r="AB698" s="22"/>
      <c r="AC698" s="22"/>
      <c r="AD698" s="41"/>
      <c r="AE698" s="22"/>
      <c r="AF698" s="22"/>
      <c r="AG698" s="48" t="str">
        <f t="shared" si="62"/>
        <v/>
      </c>
      <c r="AH698" s="48" t="str">
        <f t="shared" si="63"/>
        <v/>
      </c>
      <c r="AI698" s="48" t="str">
        <f t="shared" si="64"/>
        <v/>
      </c>
      <c r="AJ698" s="40" t="str">
        <f t="shared" si="66"/>
        <v/>
      </c>
      <c r="AK698" s="40"/>
      <c r="AL698" s="40"/>
      <c r="AM698" s="22"/>
      <c r="AQ698" s="46"/>
    </row>
    <row r="699" spans="1:43" ht="17.399999999999999">
      <c r="A699" s="22"/>
      <c r="B699" s="22"/>
      <c r="C699" s="56"/>
      <c r="D699" s="56"/>
      <c r="E699" s="22"/>
      <c r="F699" s="22"/>
      <c r="G699" s="22"/>
      <c r="H699" s="22"/>
      <c r="I699" s="49"/>
      <c r="J699" s="50"/>
      <c r="K699" s="22"/>
      <c r="L699" s="22"/>
      <c r="M699" s="22"/>
      <c r="N699" s="22"/>
      <c r="O699" s="22"/>
      <c r="P699" s="46"/>
      <c r="Q699" s="40"/>
      <c r="R699" s="41"/>
      <c r="S699" s="22" t="str">
        <f t="shared" si="61"/>
        <v/>
      </c>
      <c r="T699" s="41"/>
      <c r="U699" s="41" t="str">
        <f t="shared" si="65"/>
        <v/>
      </c>
      <c r="V699" s="44"/>
      <c r="W699" s="44"/>
      <c r="X699" s="46"/>
      <c r="Y699" s="46"/>
      <c r="Z699" s="46"/>
      <c r="AA699" s="41"/>
      <c r="AB699" s="22"/>
      <c r="AC699" s="22"/>
      <c r="AD699" s="41"/>
      <c r="AE699" s="22"/>
      <c r="AF699" s="22"/>
      <c r="AG699" s="48" t="str">
        <f t="shared" si="62"/>
        <v/>
      </c>
      <c r="AH699" s="48" t="str">
        <f t="shared" si="63"/>
        <v/>
      </c>
      <c r="AI699" s="48" t="str">
        <f t="shared" si="64"/>
        <v/>
      </c>
      <c r="AJ699" s="40" t="str">
        <f t="shared" si="66"/>
        <v/>
      </c>
      <c r="AK699" s="40"/>
      <c r="AL699" s="40"/>
      <c r="AM699" s="22"/>
      <c r="AQ699" s="46"/>
    </row>
    <row r="700" spans="1:43" ht="17.399999999999999">
      <c r="A700" s="22"/>
      <c r="B700" s="22"/>
      <c r="C700" s="56"/>
      <c r="D700" s="56"/>
      <c r="E700" s="22"/>
      <c r="F700" s="22"/>
      <c r="G700" s="22"/>
      <c r="H700" s="22"/>
      <c r="I700" s="49"/>
      <c r="J700" s="50"/>
      <c r="K700" s="22"/>
      <c r="L700" s="22"/>
      <c r="M700" s="22"/>
      <c r="N700" s="22"/>
      <c r="O700" s="22"/>
      <c r="P700" s="46"/>
      <c r="Q700" s="40"/>
      <c r="R700" s="41"/>
      <c r="S700" s="22" t="str">
        <f t="shared" si="61"/>
        <v/>
      </c>
      <c r="T700" s="41"/>
      <c r="U700" s="41" t="str">
        <f t="shared" si="65"/>
        <v/>
      </c>
      <c r="V700" s="44"/>
      <c r="W700" s="44"/>
      <c r="X700" s="46"/>
      <c r="Y700" s="46"/>
      <c r="Z700" s="46"/>
      <c r="AA700" s="41"/>
      <c r="AB700" s="22"/>
      <c r="AC700" s="22"/>
      <c r="AD700" s="41"/>
      <c r="AE700" s="22"/>
      <c r="AF700" s="22"/>
      <c r="AG700" s="48" t="str">
        <f t="shared" si="62"/>
        <v/>
      </c>
      <c r="AH700" s="48" t="str">
        <f t="shared" si="63"/>
        <v/>
      </c>
      <c r="AI700" s="48" t="str">
        <f t="shared" si="64"/>
        <v/>
      </c>
      <c r="AJ700" s="40" t="str">
        <f t="shared" si="66"/>
        <v/>
      </c>
      <c r="AK700" s="40"/>
      <c r="AL700" s="40"/>
      <c r="AM700" s="22"/>
      <c r="AQ700" s="46"/>
    </row>
    <row r="701" spans="1:43" ht="17.399999999999999">
      <c r="A701" s="22"/>
      <c r="B701" s="22"/>
      <c r="C701" s="56"/>
      <c r="D701" s="56"/>
      <c r="E701" s="22"/>
      <c r="F701" s="22"/>
      <c r="G701" s="22"/>
      <c r="H701" s="22"/>
      <c r="I701" s="49"/>
      <c r="J701" s="50"/>
      <c r="K701" s="22"/>
      <c r="L701" s="22"/>
      <c r="M701" s="22"/>
      <c r="N701" s="22"/>
      <c r="O701" s="22"/>
      <c r="P701" s="46"/>
      <c r="Q701" s="40"/>
      <c r="R701" s="41"/>
      <c r="S701" s="22" t="str">
        <f t="shared" si="61"/>
        <v/>
      </c>
      <c r="T701" s="41"/>
      <c r="U701" s="41" t="str">
        <f t="shared" si="65"/>
        <v/>
      </c>
      <c r="V701" s="44"/>
      <c r="W701" s="44"/>
      <c r="X701" s="46"/>
      <c r="Y701" s="46"/>
      <c r="Z701" s="46"/>
      <c r="AA701" s="41"/>
      <c r="AB701" s="22"/>
      <c r="AC701" s="22"/>
      <c r="AD701" s="41"/>
      <c r="AE701" s="22"/>
      <c r="AF701" s="22"/>
      <c r="AG701" s="48" t="str">
        <f t="shared" si="62"/>
        <v/>
      </c>
      <c r="AH701" s="48" t="str">
        <f t="shared" si="63"/>
        <v/>
      </c>
      <c r="AI701" s="48" t="str">
        <f t="shared" si="64"/>
        <v/>
      </c>
      <c r="AJ701" s="40" t="str">
        <f t="shared" si="66"/>
        <v/>
      </c>
      <c r="AK701" s="40"/>
      <c r="AL701" s="40"/>
      <c r="AM701" s="22"/>
      <c r="AQ701" s="46"/>
    </row>
    <row r="702" spans="1:43" ht="17.399999999999999">
      <c r="A702" s="22"/>
      <c r="B702" s="22"/>
      <c r="C702" s="56"/>
      <c r="D702" s="56"/>
      <c r="E702" s="22"/>
      <c r="F702" s="22"/>
      <c r="G702" s="22"/>
      <c r="H702" s="22"/>
      <c r="I702" s="49"/>
      <c r="J702" s="50"/>
      <c r="K702" s="22"/>
      <c r="L702" s="22"/>
      <c r="M702" s="22"/>
      <c r="N702" s="22"/>
      <c r="O702" s="22"/>
      <c r="P702" s="46"/>
      <c r="Q702" s="40"/>
      <c r="R702" s="41"/>
      <c r="S702" s="22" t="str">
        <f t="shared" si="61"/>
        <v/>
      </c>
      <c r="T702" s="41"/>
      <c r="U702" s="41" t="str">
        <f t="shared" si="65"/>
        <v/>
      </c>
      <c r="V702" s="44"/>
      <c r="W702" s="44"/>
      <c r="X702" s="46"/>
      <c r="Y702" s="46"/>
      <c r="Z702" s="46"/>
      <c r="AA702" s="41"/>
      <c r="AB702" s="22"/>
      <c r="AC702" s="22"/>
      <c r="AD702" s="41"/>
      <c r="AE702" s="22"/>
      <c r="AF702" s="22"/>
      <c r="AG702" s="48" t="str">
        <f t="shared" si="62"/>
        <v/>
      </c>
      <c r="AH702" s="48" t="str">
        <f t="shared" si="63"/>
        <v/>
      </c>
      <c r="AI702" s="48" t="str">
        <f t="shared" si="64"/>
        <v/>
      </c>
      <c r="AJ702" s="40" t="str">
        <f t="shared" si="66"/>
        <v/>
      </c>
      <c r="AK702" s="40"/>
      <c r="AL702" s="40"/>
      <c r="AM702" s="22"/>
      <c r="AQ702" s="46"/>
    </row>
    <row r="703" spans="1:43" ht="17.399999999999999">
      <c r="A703" s="22"/>
      <c r="B703" s="22"/>
      <c r="C703" s="56"/>
      <c r="D703" s="56"/>
      <c r="E703" s="22"/>
      <c r="F703" s="22"/>
      <c r="G703" s="22"/>
      <c r="H703" s="22"/>
      <c r="I703" s="49"/>
      <c r="J703" s="50"/>
      <c r="K703" s="22"/>
      <c r="L703" s="22"/>
      <c r="M703" s="22"/>
      <c r="N703" s="22"/>
      <c r="O703" s="22"/>
      <c r="P703" s="46"/>
      <c r="Q703" s="40"/>
      <c r="R703" s="41"/>
      <c r="S703" s="22" t="str">
        <f t="shared" si="61"/>
        <v/>
      </c>
      <c r="T703" s="41"/>
      <c r="U703" s="41" t="str">
        <f t="shared" si="65"/>
        <v/>
      </c>
      <c r="V703" s="44"/>
      <c r="W703" s="44"/>
      <c r="X703" s="46"/>
      <c r="Y703" s="46"/>
      <c r="Z703" s="46"/>
      <c r="AA703" s="41"/>
      <c r="AB703" s="22"/>
      <c r="AC703" s="22"/>
      <c r="AD703" s="41"/>
      <c r="AE703" s="22"/>
      <c r="AF703" s="22"/>
      <c r="AG703" s="48" t="str">
        <f t="shared" si="62"/>
        <v/>
      </c>
      <c r="AH703" s="48" t="str">
        <f t="shared" si="63"/>
        <v/>
      </c>
      <c r="AI703" s="48" t="str">
        <f t="shared" si="64"/>
        <v/>
      </c>
      <c r="AJ703" s="40" t="str">
        <f t="shared" si="66"/>
        <v/>
      </c>
      <c r="AK703" s="40"/>
      <c r="AL703" s="40"/>
      <c r="AM703" s="22"/>
      <c r="AQ703" s="46"/>
    </row>
    <row r="704" spans="1:43" ht="17.399999999999999">
      <c r="A704" s="22"/>
      <c r="B704" s="22"/>
      <c r="C704" s="56"/>
      <c r="D704" s="56"/>
      <c r="E704" s="22"/>
      <c r="F704" s="22"/>
      <c r="G704" s="22"/>
      <c r="H704" s="22"/>
      <c r="I704" s="49"/>
      <c r="J704" s="50"/>
      <c r="K704" s="22"/>
      <c r="L704" s="22"/>
      <c r="M704" s="22"/>
      <c r="N704" s="22"/>
      <c r="O704" s="22"/>
      <c r="P704" s="46"/>
      <c r="Q704" s="40"/>
      <c r="R704" s="41"/>
      <c r="S704" s="22" t="str">
        <f t="shared" si="61"/>
        <v/>
      </c>
      <c r="T704" s="41"/>
      <c r="U704" s="41" t="str">
        <f t="shared" si="65"/>
        <v/>
      </c>
      <c r="V704" s="44"/>
      <c r="W704" s="44"/>
      <c r="X704" s="46"/>
      <c r="Y704" s="46"/>
      <c r="Z704" s="46"/>
      <c r="AA704" s="41"/>
      <c r="AB704" s="22"/>
      <c r="AC704" s="22"/>
      <c r="AD704" s="41"/>
      <c r="AE704" s="22"/>
      <c r="AF704" s="22"/>
      <c r="AG704" s="48" t="str">
        <f t="shared" si="62"/>
        <v/>
      </c>
      <c r="AH704" s="48" t="str">
        <f t="shared" si="63"/>
        <v/>
      </c>
      <c r="AI704" s="48" t="str">
        <f t="shared" si="64"/>
        <v/>
      </c>
      <c r="AJ704" s="40" t="str">
        <f t="shared" si="66"/>
        <v/>
      </c>
      <c r="AK704" s="40"/>
      <c r="AL704" s="40"/>
      <c r="AM704" s="22"/>
      <c r="AQ704" s="46"/>
    </row>
    <row r="705" spans="1:43" ht="17.399999999999999">
      <c r="A705" s="22"/>
      <c r="B705" s="22"/>
      <c r="C705" s="56"/>
      <c r="D705" s="56"/>
      <c r="E705" s="22"/>
      <c r="F705" s="22"/>
      <c r="G705" s="22"/>
      <c r="H705" s="22"/>
      <c r="I705" s="49"/>
      <c r="J705" s="50"/>
      <c r="K705" s="22"/>
      <c r="L705" s="22"/>
      <c r="M705" s="22"/>
      <c r="N705" s="22"/>
      <c r="O705" s="22"/>
      <c r="P705" s="46"/>
      <c r="Q705" s="40"/>
      <c r="R705" s="41"/>
      <c r="S705" s="22" t="str">
        <f t="shared" si="61"/>
        <v/>
      </c>
      <c r="T705" s="41"/>
      <c r="U705" s="41" t="str">
        <f t="shared" si="65"/>
        <v/>
      </c>
      <c r="V705" s="44"/>
      <c r="W705" s="44"/>
      <c r="X705" s="46"/>
      <c r="Y705" s="46"/>
      <c r="Z705" s="46"/>
      <c r="AA705" s="41"/>
      <c r="AB705" s="22"/>
      <c r="AC705" s="22"/>
      <c r="AD705" s="41"/>
      <c r="AE705" s="22"/>
      <c r="AF705" s="22"/>
      <c r="AG705" s="48" t="str">
        <f t="shared" si="62"/>
        <v/>
      </c>
      <c r="AH705" s="48" t="str">
        <f t="shared" si="63"/>
        <v/>
      </c>
      <c r="AI705" s="48" t="str">
        <f t="shared" si="64"/>
        <v/>
      </c>
      <c r="AJ705" s="40" t="str">
        <f t="shared" si="66"/>
        <v/>
      </c>
      <c r="AK705" s="40"/>
      <c r="AL705" s="40"/>
      <c r="AM705" s="22"/>
      <c r="AQ705" s="46"/>
    </row>
    <row r="706" spans="1:43" ht="17.399999999999999">
      <c r="A706" s="22"/>
      <c r="B706" s="22"/>
      <c r="C706" s="56"/>
      <c r="D706" s="56"/>
      <c r="E706" s="22"/>
      <c r="F706" s="22"/>
      <c r="G706" s="22"/>
      <c r="H706" s="22"/>
      <c r="I706" s="49"/>
      <c r="J706" s="50"/>
      <c r="K706" s="22"/>
      <c r="L706" s="22"/>
      <c r="M706" s="22"/>
      <c r="N706" s="22"/>
      <c r="O706" s="22"/>
      <c r="P706" s="46"/>
      <c r="Q706" s="40"/>
      <c r="R706" s="41"/>
      <c r="S706" s="22" t="str">
        <f t="shared" si="61"/>
        <v/>
      </c>
      <c r="T706" s="41"/>
      <c r="U706" s="41" t="str">
        <f t="shared" si="65"/>
        <v/>
      </c>
      <c r="V706" s="44"/>
      <c r="W706" s="44"/>
      <c r="X706" s="46"/>
      <c r="Y706" s="46"/>
      <c r="Z706" s="46"/>
      <c r="AA706" s="41"/>
      <c r="AB706" s="22"/>
      <c r="AC706" s="22"/>
      <c r="AD706" s="41"/>
      <c r="AE706" s="22"/>
      <c r="AF706" s="22"/>
      <c r="AG706" s="48" t="str">
        <f t="shared" si="62"/>
        <v/>
      </c>
      <c r="AH706" s="48" t="str">
        <f t="shared" si="63"/>
        <v/>
      </c>
      <c r="AI706" s="48" t="str">
        <f t="shared" si="64"/>
        <v/>
      </c>
      <c r="AJ706" s="40" t="str">
        <f t="shared" si="66"/>
        <v/>
      </c>
      <c r="AK706" s="40"/>
      <c r="AL706" s="40"/>
      <c r="AM706" s="22"/>
      <c r="AQ706" s="46"/>
    </row>
    <row r="707" spans="1:43" ht="17.399999999999999">
      <c r="A707" s="22"/>
      <c r="B707" s="22"/>
      <c r="C707" s="56"/>
      <c r="D707" s="56"/>
      <c r="E707" s="22"/>
      <c r="F707" s="22"/>
      <c r="G707" s="22"/>
      <c r="H707" s="22"/>
      <c r="I707" s="49"/>
      <c r="J707" s="50"/>
      <c r="K707" s="22"/>
      <c r="L707" s="22"/>
      <c r="M707" s="22"/>
      <c r="N707" s="22"/>
      <c r="O707" s="22"/>
      <c r="P707" s="46"/>
      <c r="Q707" s="40"/>
      <c r="R707" s="41"/>
      <c r="S707" s="22" t="str">
        <f t="shared" ref="S707:S770" si="67">IF(A707="","",M707+O707)</f>
        <v/>
      </c>
      <c r="T707" s="41"/>
      <c r="U707" s="41" t="str">
        <f t="shared" si="65"/>
        <v/>
      </c>
      <c r="V707" s="44"/>
      <c r="W707" s="44"/>
      <c r="X707" s="46"/>
      <c r="Y707" s="46"/>
      <c r="Z707" s="46"/>
      <c r="AA707" s="41"/>
      <c r="AB707" s="22"/>
      <c r="AC707" s="22"/>
      <c r="AD707" s="41"/>
      <c r="AE707" s="22"/>
      <c r="AF707" s="22"/>
      <c r="AG707" s="48" t="str">
        <f t="shared" ref="AG707:AG770" si="68">IF(A707="","",S707-Y707)</f>
        <v/>
      </c>
      <c r="AH707" s="48" t="str">
        <f t="shared" ref="AH707:AH770" si="69">IF(A707="","",Y707-(AC707+AF707))</f>
        <v/>
      </c>
      <c r="AI707" s="48" t="str">
        <f t="shared" ref="AI707:AI770" si="70">IF(A707="","",AG707+AH707)</f>
        <v/>
      </c>
      <c r="AJ707" s="40" t="str">
        <f t="shared" si="66"/>
        <v/>
      </c>
      <c r="AK707" s="40"/>
      <c r="AL707" s="40"/>
      <c r="AM707" s="22"/>
      <c r="AQ707" s="46"/>
    </row>
    <row r="708" spans="1:43" ht="17.399999999999999">
      <c r="A708" s="22"/>
      <c r="B708" s="22"/>
      <c r="C708" s="56"/>
      <c r="D708" s="56"/>
      <c r="E708" s="22"/>
      <c r="F708" s="22"/>
      <c r="G708" s="22"/>
      <c r="H708" s="22"/>
      <c r="I708" s="49"/>
      <c r="J708" s="50"/>
      <c r="K708" s="22"/>
      <c r="L708" s="22"/>
      <c r="M708" s="22"/>
      <c r="N708" s="22"/>
      <c r="O708" s="22"/>
      <c r="P708" s="46"/>
      <c r="Q708" s="40"/>
      <c r="R708" s="41"/>
      <c r="S708" s="22" t="str">
        <f t="shared" si="67"/>
        <v/>
      </c>
      <c r="T708" s="41"/>
      <c r="U708" s="41" t="str">
        <f t="shared" ref="U708:U771" si="71">IF(OR(P708="FEC-FS",P708="PALTEK",P708="SDSE(TOKE)"),"Upload in customer box","")</f>
        <v/>
      </c>
      <c r="V708" s="44"/>
      <c r="W708" s="44"/>
      <c r="X708" s="46"/>
      <c r="Y708" s="46"/>
      <c r="Z708" s="46"/>
      <c r="AA708" s="41"/>
      <c r="AB708" s="22"/>
      <c r="AC708" s="22"/>
      <c r="AD708" s="41"/>
      <c r="AE708" s="22"/>
      <c r="AF708" s="22"/>
      <c r="AG708" s="48" t="str">
        <f t="shared" si="68"/>
        <v/>
      </c>
      <c r="AH708" s="48" t="str">
        <f t="shared" si="69"/>
        <v/>
      </c>
      <c r="AI708" s="48" t="str">
        <f t="shared" si="70"/>
        <v/>
      </c>
      <c r="AJ708" s="40" t="str">
        <f t="shared" si="66"/>
        <v/>
      </c>
      <c r="AK708" s="40"/>
      <c r="AL708" s="40"/>
      <c r="AM708" s="22"/>
      <c r="AQ708" s="46"/>
    </row>
    <row r="709" spans="1:43" ht="17.399999999999999">
      <c r="A709" s="22"/>
      <c r="B709" s="22"/>
      <c r="C709" s="56"/>
      <c r="D709" s="56"/>
      <c r="E709" s="22"/>
      <c r="F709" s="22"/>
      <c r="G709" s="22"/>
      <c r="H709" s="22"/>
      <c r="I709" s="49"/>
      <c r="J709" s="50"/>
      <c r="K709" s="22"/>
      <c r="L709" s="22"/>
      <c r="M709" s="22"/>
      <c r="N709" s="22"/>
      <c r="O709" s="22"/>
      <c r="P709" s="46"/>
      <c r="Q709" s="40"/>
      <c r="R709" s="41"/>
      <c r="S709" s="22" t="str">
        <f t="shared" si="67"/>
        <v/>
      </c>
      <c r="T709" s="41"/>
      <c r="U709" s="41" t="str">
        <f t="shared" si="71"/>
        <v/>
      </c>
      <c r="V709" s="44"/>
      <c r="W709" s="44"/>
      <c r="X709" s="46"/>
      <c r="Y709" s="46"/>
      <c r="Z709" s="46"/>
      <c r="AA709" s="41"/>
      <c r="AB709" s="22"/>
      <c r="AC709" s="22"/>
      <c r="AD709" s="41"/>
      <c r="AE709" s="22"/>
      <c r="AF709" s="22"/>
      <c r="AG709" s="48" t="str">
        <f t="shared" si="68"/>
        <v/>
      </c>
      <c r="AH709" s="48" t="str">
        <f t="shared" si="69"/>
        <v/>
      </c>
      <c r="AI709" s="48" t="str">
        <f t="shared" si="70"/>
        <v/>
      </c>
      <c r="AJ709" s="40" t="str">
        <f t="shared" si="66"/>
        <v/>
      </c>
      <c r="AK709" s="40"/>
      <c r="AL709" s="40"/>
      <c r="AM709" s="22"/>
      <c r="AQ709" s="46"/>
    </row>
    <row r="710" spans="1:43" ht="17.399999999999999">
      <c r="A710" s="22"/>
      <c r="B710" s="22"/>
      <c r="C710" s="56"/>
      <c r="D710" s="56"/>
      <c r="E710" s="22"/>
      <c r="F710" s="22"/>
      <c r="G710" s="22"/>
      <c r="H710" s="22"/>
      <c r="I710" s="49"/>
      <c r="J710" s="50"/>
      <c r="K710" s="22"/>
      <c r="L710" s="22"/>
      <c r="M710" s="22"/>
      <c r="N710" s="22"/>
      <c r="O710" s="22"/>
      <c r="P710" s="46"/>
      <c r="Q710" s="40"/>
      <c r="R710" s="41"/>
      <c r="S710" s="22" t="str">
        <f t="shared" si="67"/>
        <v/>
      </c>
      <c r="T710" s="41"/>
      <c r="U710" s="41" t="str">
        <f t="shared" si="71"/>
        <v/>
      </c>
      <c r="V710" s="44"/>
      <c r="W710" s="44"/>
      <c r="X710" s="46"/>
      <c r="Y710" s="46"/>
      <c r="Z710" s="46"/>
      <c r="AA710" s="41"/>
      <c r="AB710" s="22"/>
      <c r="AC710" s="22"/>
      <c r="AD710" s="41"/>
      <c r="AE710" s="22"/>
      <c r="AF710" s="22"/>
      <c r="AG710" s="48" t="str">
        <f t="shared" si="68"/>
        <v/>
      </c>
      <c r="AH710" s="48" t="str">
        <f t="shared" si="69"/>
        <v/>
      </c>
      <c r="AI710" s="48" t="str">
        <f t="shared" si="70"/>
        <v/>
      </c>
      <c r="AJ710" s="40" t="str">
        <f t="shared" si="66"/>
        <v/>
      </c>
      <c r="AK710" s="40"/>
      <c r="AL710" s="40"/>
      <c r="AM710" s="22"/>
      <c r="AQ710" s="46"/>
    </row>
    <row r="711" spans="1:43" ht="17.399999999999999">
      <c r="A711" s="22"/>
      <c r="B711" s="22"/>
      <c r="C711" s="56"/>
      <c r="D711" s="56"/>
      <c r="E711" s="22"/>
      <c r="F711" s="22"/>
      <c r="G711" s="22"/>
      <c r="H711" s="22"/>
      <c r="I711" s="49"/>
      <c r="J711" s="50"/>
      <c r="K711" s="22"/>
      <c r="L711" s="22"/>
      <c r="M711" s="22"/>
      <c r="N711" s="22"/>
      <c r="O711" s="22"/>
      <c r="P711" s="46"/>
      <c r="Q711" s="40"/>
      <c r="R711" s="41"/>
      <c r="S711" s="22" t="str">
        <f t="shared" si="67"/>
        <v/>
      </c>
      <c r="T711" s="41"/>
      <c r="U711" s="41" t="str">
        <f t="shared" si="71"/>
        <v/>
      </c>
      <c r="V711" s="44"/>
      <c r="W711" s="44"/>
      <c r="X711" s="46"/>
      <c r="Y711" s="46"/>
      <c r="Z711" s="46"/>
      <c r="AA711" s="41"/>
      <c r="AB711" s="22"/>
      <c r="AC711" s="22"/>
      <c r="AD711" s="41"/>
      <c r="AE711" s="22"/>
      <c r="AF711" s="22"/>
      <c r="AG711" s="48" t="str">
        <f t="shared" si="68"/>
        <v/>
      </c>
      <c r="AH711" s="48" t="str">
        <f t="shared" si="69"/>
        <v/>
      </c>
      <c r="AI711" s="48" t="str">
        <f t="shared" si="70"/>
        <v/>
      </c>
      <c r="AJ711" s="40" t="str">
        <f t="shared" si="66"/>
        <v/>
      </c>
      <c r="AK711" s="40"/>
      <c r="AL711" s="40"/>
      <c r="AM711" s="22"/>
      <c r="AQ711" s="46"/>
    </row>
    <row r="712" spans="1:43" ht="17.399999999999999">
      <c r="A712" s="22"/>
      <c r="B712" s="22"/>
      <c r="C712" s="56"/>
      <c r="D712" s="56"/>
      <c r="E712" s="22"/>
      <c r="F712" s="22"/>
      <c r="G712" s="22"/>
      <c r="H712" s="22"/>
      <c r="I712" s="49"/>
      <c r="J712" s="50"/>
      <c r="K712" s="22"/>
      <c r="L712" s="22"/>
      <c r="M712" s="22"/>
      <c r="N712" s="22"/>
      <c r="O712" s="22"/>
      <c r="P712" s="46"/>
      <c r="Q712" s="40"/>
      <c r="R712" s="41"/>
      <c r="S712" s="22" t="str">
        <f t="shared" si="67"/>
        <v/>
      </c>
      <c r="T712" s="41"/>
      <c r="U712" s="41" t="str">
        <f t="shared" si="71"/>
        <v/>
      </c>
      <c r="V712" s="44"/>
      <c r="W712" s="44"/>
      <c r="X712" s="46"/>
      <c r="Y712" s="46"/>
      <c r="Z712" s="46"/>
      <c r="AA712" s="41"/>
      <c r="AB712" s="22"/>
      <c r="AC712" s="22"/>
      <c r="AD712" s="41"/>
      <c r="AE712" s="22"/>
      <c r="AF712" s="22"/>
      <c r="AG712" s="48" t="str">
        <f t="shared" si="68"/>
        <v/>
      </c>
      <c r="AH712" s="48" t="str">
        <f t="shared" si="69"/>
        <v/>
      </c>
      <c r="AI712" s="48" t="str">
        <f t="shared" si="70"/>
        <v/>
      </c>
      <c r="AJ712" s="40" t="str">
        <f t="shared" si="66"/>
        <v/>
      </c>
      <c r="AK712" s="40"/>
      <c r="AL712" s="40"/>
      <c r="AM712" s="22"/>
      <c r="AQ712" s="46"/>
    </row>
    <row r="713" spans="1:43" ht="17.399999999999999">
      <c r="A713" s="22"/>
      <c r="B713" s="22"/>
      <c r="C713" s="56"/>
      <c r="D713" s="56"/>
      <c r="E713" s="22"/>
      <c r="F713" s="22"/>
      <c r="G713" s="22"/>
      <c r="H713" s="22"/>
      <c r="I713" s="49"/>
      <c r="J713" s="50"/>
      <c r="K713" s="22"/>
      <c r="L713" s="22"/>
      <c r="M713" s="22"/>
      <c r="N713" s="22"/>
      <c r="O713" s="22"/>
      <c r="P713" s="46"/>
      <c r="Q713" s="40"/>
      <c r="R713" s="41"/>
      <c r="S713" s="22" t="str">
        <f t="shared" si="67"/>
        <v/>
      </c>
      <c r="T713" s="41"/>
      <c r="U713" s="41" t="str">
        <f t="shared" si="71"/>
        <v/>
      </c>
      <c r="V713" s="44"/>
      <c r="W713" s="44"/>
      <c r="X713" s="46"/>
      <c r="Y713" s="46"/>
      <c r="Z713" s="46"/>
      <c r="AA713" s="41"/>
      <c r="AB713" s="22"/>
      <c r="AC713" s="22"/>
      <c r="AD713" s="41"/>
      <c r="AE713" s="22"/>
      <c r="AF713" s="22"/>
      <c r="AG713" s="48" t="str">
        <f t="shared" si="68"/>
        <v/>
      </c>
      <c r="AH713" s="48" t="str">
        <f t="shared" si="69"/>
        <v/>
      </c>
      <c r="AI713" s="48" t="str">
        <f t="shared" si="70"/>
        <v/>
      </c>
      <c r="AJ713" s="40" t="str">
        <f t="shared" si="66"/>
        <v/>
      </c>
      <c r="AK713" s="40"/>
      <c r="AL713" s="40"/>
      <c r="AM713" s="22"/>
      <c r="AQ713" s="46"/>
    </row>
    <row r="714" spans="1:43" ht="17.399999999999999">
      <c r="A714" s="22"/>
      <c r="B714" s="22"/>
      <c r="C714" s="56"/>
      <c r="D714" s="56"/>
      <c r="E714" s="22"/>
      <c r="F714" s="22"/>
      <c r="G714" s="22"/>
      <c r="H714" s="22"/>
      <c r="I714" s="49"/>
      <c r="J714" s="50"/>
      <c r="K714" s="22"/>
      <c r="L714" s="22"/>
      <c r="M714" s="22"/>
      <c r="N714" s="22"/>
      <c r="O714" s="22"/>
      <c r="P714" s="46"/>
      <c r="Q714" s="40"/>
      <c r="R714" s="41"/>
      <c r="S714" s="22" t="str">
        <f t="shared" si="67"/>
        <v/>
      </c>
      <c r="T714" s="41"/>
      <c r="U714" s="41" t="str">
        <f t="shared" si="71"/>
        <v/>
      </c>
      <c r="V714" s="44"/>
      <c r="W714" s="44"/>
      <c r="X714" s="46"/>
      <c r="Y714" s="46"/>
      <c r="Z714" s="46"/>
      <c r="AA714" s="41"/>
      <c r="AB714" s="22"/>
      <c r="AC714" s="22"/>
      <c r="AD714" s="41"/>
      <c r="AE714" s="22"/>
      <c r="AF714" s="22"/>
      <c r="AG714" s="48" t="str">
        <f t="shared" si="68"/>
        <v/>
      </c>
      <c r="AH714" s="48" t="str">
        <f t="shared" si="69"/>
        <v/>
      </c>
      <c r="AI714" s="48" t="str">
        <f t="shared" si="70"/>
        <v/>
      </c>
      <c r="AJ714" s="40" t="str">
        <f t="shared" si="66"/>
        <v/>
      </c>
      <c r="AK714" s="40"/>
      <c r="AL714" s="40"/>
      <c r="AM714" s="22"/>
      <c r="AQ714" s="46"/>
    </row>
    <row r="715" spans="1:43" ht="17.399999999999999">
      <c r="A715" s="22"/>
      <c r="B715" s="22"/>
      <c r="C715" s="56"/>
      <c r="D715" s="56"/>
      <c r="E715" s="22"/>
      <c r="F715" s="22"/>
      <c r="G715" s="22"/>
      <c r="H715" s="22"/>
      <c r="I715" s="49"/>
      <c r="J715" s="50"/>
      <c r="K715" s="22"/>
      <c r="L715" s="22"/>
      <c r="M715" s="22"/>
      <c r="N715" s="22"/>
      <c r="O715" s="22"/>
      <c r="P715" s="46"/>
      <c r="Q715" s="40"/>
      <c r="R715" s="41"/>
      <c r="S715" s="22" t="str">
        <f t="shared" si="67"/>
        <v/>
      </c>
      <c r="T715" s="41"/>
      <c r="U715" s="41" t="str">
        <f t="shared" si="71"/>
        <v/>
      </c>
      <c r="V715" s="44"/>
      <c r="W715" s="44"/>
      <c r="X715" s="46"/>
      <c r="Y715" s="46"/>
      <c r="Z715" s="46"/>
      <c r="AA715" s="41"/>
      <c r="AB715" s="22"/>
      <c r="AC715" s="22"/>
      <c r="AD715" s="41"/>
      <c r="AE715" s="22"/>
      <c r="AF715" s="22"/>
      <c r="AG715" s="48" t="str">
        <f t="shared" si="68"/>
        <v/>
      </c>
      <c r="AH715" s="48" t="str">
        <f t="shared" si="69"/>
        <v/>
      </c>
      <c r="AI715" s="48" t="str">
        <f t="shared" si="70"/>
        <v/>
      </c>
      <c r="AJ715" s="40" t="str">
        <f t="shared" si="66"/>
        <v/>
      </c>
      <c r="AK715" s="40"/>
      <c r="AL715" s="40"/>
      <c r="AM715" s="22"/>
      <c r="AQ715" s="46"/>
    </row>
    <row r="716" spans="1:43" ht="17.399999999999999">
      <c r="A716" s="22"/>
      <c r="B716" s="22"/>
      <c r="C716" s="56"/>
      <c r="D716" s="56"/>
      <c r="E716" s="22"/>
      <c r="F716" s="22"/>
      <c r="G716" s="22"/>
      <c r="H716" s="22"/>
      <c r="I716" s="49"/>
      <c r="J716" s="50"/>
      <c r="K716" s="22"/>
      <c r="L716" s="22"/>
      <c r="M716" s="22"/>
      <c r="N716" s="22"/>
      <c r="O716" s="22"/>
      <c r="P716" s="46"/>
      <c r="Q716" s="40"/>
      <c r="R716" s="41"/>
      <c r="S716" s="22" t="str">
        <f t="shared" si="67"/>
        <v/>
      </c>
      <c r="T716" s="41"/>
      <c r="U716" s="41" t="str">
        <f t="shared" si="71"/>
        <v/>
      </c>
      <c r="V716" s="44"/>
      <c r="W716" s="44"/>
      <c r="X716" s="46"/>
      <c r="Y716" s="46"/>
      <c r="Z716" s="46"/>
      <c r="AA716" s="41"/>
      <c r="AB716" s="22"/>
      <c r="AC716" s="22"/>
      <c r="AD716" s="41"/>
      <c r="AE716" s="22"/>
      <c r="AF716" s="22"/>
      <c r="AG716" s="48" t="str">
        <f t="shared" si="68"/>
        <v/>
      </c>
      <c r="AH716" s="48" t="str">
        <f t="shared" si="69"/>
        <v/>
      </c>
      <c r="AI716" s="48" t="str">
        <f t="shared" si="70"/>
        <v/>
      </c>
      <c r="AJ716" s="40" t="str">
        <f t="shared" si="66"/>
        <v/>
      </c>
      <c r="AK716" s="40"/>
      <c r="AL716" s="40"/>
      <c r="AM716" s="22"/>
      <c r="AQ716" s="46"/>
    </row>
    <row r="717" spans="1:43" ht="17.399999999999999">
      <c r="A717" s="22"/>
      <c r="B717" s="22"/>
      <c r="C717" s="56"/>
      <c r="D717" s="56"/>
      <c r="E717" s="22"/>
      <c r="F717" s="22"/>
      <c r="G717" s="22"/>
      <c r="H717" s="22"/>
      <c r="I717" s="49"/>
      <c r="J717" s="50"/>
      <c r="K717" s="22"/>
      <c r="L717" s="22"/>
      <c r="M717" s="22"/>
      <c r="N717" s="22"/>
      <c r="O717" s="22"/>
      <c r="P717" s="46"/>
      <c r="Q717" s="40"/>
      <c r="R717" s="41"/>
      <c r="S717" s="22" t="str">
        <f t="shared" si="67"/>
        <v/>
      </c>
      <c r="T717" s="41"/>
      <c r="U717" s="41" t="str">
        <f t="shared" si="71"/>
        <v/>
      </c>
      <c r="V717" s="44"/>
      <c r="W717" s="44"/>
      <c r="X717" s="46"/>
      <c r="Y717" s="46"/>
      <c r="Z717" s="46"/>
      <c r="AA717" s="41"/>
      <c r="AB717" s="22"/>
      <c r="AC717" s="22"/>
      <c r="AD717" s="41"/>
      <c r="AE717" s="22"/>
      <c r="AF717" s="22"/>
      <c r="AG717" s="48" t="str">
        <f t="shared" si="68"/>
        <v/>
      </c>
      <c r="AH717" s="48" t="str">
        <f t="shared" si="69"/>
        <v/>
      </c>
      <c r="AI717" s="48" t="str">
        <f t="shared" si="70"/>
        <v/>
      </c>
      <c r="AJ717" s="40" t="str">
        <f t="shared" si="66"/>
        <v/>
      </c>
      <c r="AK717" s="40"/>
      <c r="AL717" s="40"/>
      <c r="AM717" s="22"/>
      <c r="AQ717" s="46"/>
    </row>
    <row r="718" spans="1:43" ht="17.399999999999999">
      <c r="A718" s="22"/>
      <c r="B718" s="22"/>
      <c r="C718" s="56"/>
      <c r="D718" s="56"/>
      <c r="E718" s="22"/>
      <c r="F718" s="22"/>
      <c r="G718" s="22"/>
      <c r="H718" s="22"/>
      <c r="I718" s="49"/>
      <c r="J718" s="50"/>
      <c r="K718" s="22"/>
      <c r="L718" s="22"/>
      <c r="M718" s="22"/>
      <c r="N718" s="22"/>
      <c r="O718" s="22"/>
      <c r="P718" s="46"/>
      <c r="Q718" s="40"/>
      <c r="R718" s="41"/>
      <c r="S718" s="22" t="str">
        <f t="shared" si="67"/>
        <v/>
      </c>
      <c r="T718" s="41"/>
      <c r="U718" s="41" t="str">
        <f t="shared" si="71"/>
        <v/>
      </c>
      <c r="V718" s="44"/>
      <c r="W718" s="44"/>
      <c r="X718" s="46"/>
      <c r="Y718" s="46"/>
      <c r="Z718" s="46"/>
      <c r="AA718" s="41"/>
      <c r="AB718" s="22"/>
      <c r="AC718" s="22"/>
      <c r="AD718" s="41"/>
      <c r="AE718" s="22"/>
      <c r="AF718" s="22"/>
      <c r="AG718" s="48" t="str">
        <f t="shared" si="68"/>
        <v/>
      </c>
      <c r="AH718" s="48" t="str">
        <f t="shared" si="69"/>
        <v/>
      </c>
      <c r="AI718" s="48" t="str">
        <f t="shared" si="70"/>
        <v/>
      </c>
      <c r="AJ718" s="40" t="str">
        <f t="shared" si="66"/>
        <v/>
      </c>
      <c r="AK718" s="40"/>
      <c r="AL718" s="40"/>
      <c r="AM718" s="22"/>
      <c r="AQ718" s="46"/>
    </row>
    <row r="719" spans="1:43" ht="17.399999999999999">
      <c r="A719" s="22"/>
      <c r="B719" s="22"/>
      <c r="C719" s="56"/>
      <c r="D719" s="56"/>
      <c r="E719" s="22"/>
      <c r="F719" s="22"/>
      <c r="G719" s="22"/>
      <c r="H719" s="22"/>
      <c r="I719" s="49"/>
      <c r="J719" s="50"/>
      <c r="K719" s="22"/>
      <c r="L719" s="22"/>
      <c r="M719" s="22"/>
      <c r="N719" s="22"/>
      <c r="O719" s="22"/>
      <c r="P719" s="46"/>
      <c r="Q719" s="40"/>
      <c r="R719" s="41"/>
      <c r="S719" s="22" t="str">
        <f t="shared" si="67"/>
        <v/>
      </c>
      <c r="T719" s="41"/>
      <c r="U719" s="41" t="str">
        <f t="shared" si="71"/>
        <v/>
      </c>
      <c r="V719" s="44"/>
      <c r="W719" s="44"/>
      <c r="X719" s="46"/>
      <c r="Y719" s="46"/>
      <c r="Z719" s="46"/>
      <c r="AA719" s="41"/>
      <c r="AB719" s="22"/>
      <c r="AC719" s="22"/>
      <c r="AD719" s="41"/>
      <c r="AE719" s="22"/>
      <c r="AF719" s="22"/>
      <c r="AG719" s="48" t="str">
        <f t="shared" si="68"/>
        <v/>
      </c>
      <c r="AH719" s="48" t="str">
        <f t="shared" si="69"/>
        <v/>
      </c>
      <c r="AI719" s="48" t="str">
        <f t="shared" si="70"/>
        <v/>
      </c>
      <c r="AJ719" s="40" t="str">
        <f t="shared" si="66"/>
        <v/>
      </c>
      <c r="AK719" s="40"/>
      <c r="AL719" s="40"/>
      <c r="AM719" s="22"/>
      <c r="AQ719" s="46"/>
    </row>
    <row r="720" spans="1:43" ht="17.399999999999999">
      <c r="A720" s="22"/>
      <c r="B720" s="22"/>
      <c r="C720" s="56"/>
      <c r="D720" s="56"/>
      <c r="E720" s="22"/>
      <c r="F720" s="22"/>
      <c r="G720" s="22"/>
      <c r="H720" s="22"/>
      <c r="I720" s="49"/>
      <c r="J720" s="50"/>
      <c r="K720" s="22"/>
      <c r="L720" s="22"/>
      <c r="M720" s="22"/>
      <c r="N720" s="22"/>
      <c r="O720" s="22"/>
      <c r="P720" s="46"/>
      <c r="Q720" s="40"/>
      <c r="R720" s="41"/>
      <c r="S720" s="22" t="str">
        <f t="shared" si="67"/>
        <v/>
      </c>
      <c r="T720" s="41"/>
      <c r="U720" s="41" t="str">
        <f t="shared" si="71"/>
        <v/>
      </c>
      <c r="V720" s="44"/>
      <c r="W720" s="44"/>
      <c r="X720" s="46"/>
      <c r="Y720" s="46"/>
      <c r="Z720" s="46"/>
      <c r="AA720" s="41"/>
      <c r="AB720" s="22"/>
      <c r="AC720" s="22"/>
      <c r="AD720" s="41"/>
      <c r="AE720" s="22"/>
      <c r="AF720" s="22"/>
      <c r="AG720" s="48" t="str">
        <f t="shared" si="68"/>
        <v/>
      </c>
      <c r="AH720" s="48" t="str">
        <f t="shared" si="69"/>
        <v/>
      </c>
      <c r="AI720" s="48" t="str">
        <f t="shared" si="70"/>
        <v/>
      </c>
      <c r="AJ720" s="40" t="str">
        <f t="shared" si="66"/>
        <v/>
      </c>
      <c r="AK720" s="40"/>
      <c r="AL720" s="40"/>
      <c r="AM720" s="22"/>
      <c r="AQ720" s="46"/>
    </row>
    <row r="721" spans="1:43" ht="17.399999999999999">
      <c r="A721" s="22"/>
      <c r="B721" s="22"/>
      <c r="C721" s="56"/>
      <c r="D721" s="56"/>
      <c r="E721" s="22"/>
      <c r="F721" s="22"/>
      <c r="G721" s="22"/>
      <c r="H721" s="22"/>
      <c r="I721" s="49"/>
      <c r="J721" s="50"/>
      <c r="K721" s="22"/>
      <c r="L721" s="22"/>
      <c r="M721" s="22"/>
      <c r="N721" s="22"/>
      <c r="O721" s="22"/>
      <c r="P721" s="46"/>
      <c r="Q721" s="40"/>
      <c r="R721" s="41"/>
      <c r="S721" s="22" t="str">
        <f t="shared" si="67"/>
        <v/>
      </c>
      <c r="T721" s="41"/>
      <c r="U721" s="41" t="str">
        <f t="shared" si="71"/>
        <v/>
      </c>
      <c r="V721" s="44"/>
      <c r="W721" s="44"/>
      <c r="X721" s="46"/>
      <c r="Y721" s="46"/>
      <c r="Z721" s="46"/>
      <c r="AA721" s="41"/>
      <c r="AB721" s="22"/>
      <c r="AC721" s="22"/>
      <c r="AD721" s="41"/>
      <c r="AE721" s="22"/>
      <c r="AF721" s="22"/>
      <c r="AG721" s="48" t="str">
        <f t="shared" si="68"/>
        <v/>
      </c>
      <c r="AH721" s="48" t="str">
        <f t="shared" si="69"/>
        <v/>
      </c>
      <c r="AI721" s="48" t="str">
        <f t="shared" si="70"/>
        <v/>
      </c>
      <c r="AJ721" s="40" t="str">
        <f t="shared" si="66"/>
        <v/>
      </c>
      <c r="AK721" s="40"/>
      <c r="AL721" s="40"/>
      <c r="AM721" s="22"/>
      <c r="AQ721" s="46"/>
    </row>
    <row r="722" spans="1:43" ht="17.399999999999999">
      <c r="A722" s="22"/>
      <c r="B722" s="22"/>
      <c r="C722" s="56"/>
      <c r="D722" s="56"/>
      <c r="E722" s="22"/>
      <c r="F722" s="22"/>
      <c r="G722" s="22"/>
      <c r="H722" s="22"/>
      <c r="I722" s="49"/>
      <c r="J722" s="50"/>
      <c r="K722" s="22"/>
      <c r="L722" s="22"/>
      <c r="M722" s="22"/>
      <c r="N722" s="22"/>
      <c r="O722" s="22"/>
      <c r="P722" s="46"/>
      <c r="Q722" s="40"/>
      <c r="R722" s="41"/>
      <c r="S722" s="22" t="str">
        <f t="shared" si="67"/>
        <v/>
      </c>
      <c r="T722" s="41"/>
      <c r="U722" s="41" t="str">
        <f t="shared" si="71"/>
        <v/>
      </c>
      <c r="V722" s="44"/>
      <c r="W722" s="44"/>
      <c r="X722" s="46"/>
      <c r="Y722" s="46"/>
      <c r="Z722" s="46"/>
      <c r="AA722" s="41"/>
      <c r="AB722" s="22"/>
      <c r="AC722" s="22"/>
      <c r="AD722" s="41"/>
      <c r="AE722" s="22"/>
      <c r="AF722" s="22"/>
      <c r="AG722" s="48" t="str">
        <f t="shared" si="68"/>
        <v/>
      </c>
      <c r="AH722" s="48" t="str">
        <f t="shared" si="69"/>
        <v/>
      </c>
      <c r="AI722" s="48" t="str">
        <f t="shared" si="70"/>
        <v/>
      </c>
      <c r="AJ722" s="40" t="str">
        <f t="shared" si="66"/>
        <v/>
      </c>
      <c r="AK722" s="40"/>
      <c r="AL722" s="40"/>
      <c r="AM722" s="22"/>
      <c r="AQ722" s="46"/>
    </row>
    <row r="723" spans="1:43" ht="17.399999999999999">
      <c r="A723" s="22"/>
      <c r="B723" s="22"/>
      <c r="C723" s="56"/>
      <c r="D723" s="56"/>
      <c r="E723" s="22"/>
      <c r="F723" s="22"/>
      <c r="G723" s="22"/>
      <c r="H723" s="22"/>
      <c r="I723" s="49"/>
      <c r="J723" s="50"/>
      <c r="K723" s="22"/>
      <c r="L723" s="22"/>
      <c r="M723" s="22"/>
      <c r="N723" s="22"/>
      <c r="O723" s="22"/>
      <c r="P723" s="46"/>
      <c r="Q723" s="40"/>
      <c r="R723" s="41"/>
      <c r="S723" s="22" t="str">
        <f t="shared" si="67"/>
        <v/>
      </c>
      <c r="T723" s="41"/>
      <c r="U723" s="41" t="str">
        <f t="shared" si="71"/>
        <v/>
      </c>
      <c r="V723" s="44"/>
      <c r="W723" s="44"/>
      <c r="X723" s="46"/>
      <c r="Y723" s="46"/>
      <c r="Z723" s="46"/>
      <c r="AA723" s="41"/>
      <c r="AB723" s="22"/>
      <c r="AC723" s="22"/>
      <c r="AD723" s="41"/>
      <c r="AE723" s="22"/>
      <c r="AF723" s="22"/>
      <c r="AG723" s="48" t="str">
        <f t="shared" si="68"/>
        <v/>
      </c>
      <c r="AH723" s="48" t="str">
        <f t="shared" si="69"/>
        <v/>
      </c>
      <c r="AI723" s="48" t="str">
        <f t="shared" si="70"/>
        <v/>
      </c>
      <c r="AJ723" s="40" t="str">
        <f t="shared" si="66"/>
        <v/>
      </c>
      <c r="AK723" s="40"/>
      <c r="AL723" s="40"/>
      <c r="AM723" s="22"/>
      <c r="AQ723" s="46"/>
    </row>
    <row r="724" spans="1:43" ht="17.399999999999999">
      <c r="A724" s="22"/>
      <c r="B724" s="22"/>
      <c r="C724" s="56"/>
      <c r="D724" s="56"/>
      <c r="E724" s="22"/>
      <c r="F724" s="22"/>
      <c r="G724" s="22"/>
      <c r="H724" s="22"/>
      <c r="I724" s="49"/>
      <c r="J724" s="50"/>
      <c r="K724" s="22"/>
      <c r="L724" s="22"/>
      <c r="M724" s="22"/>
      <c r="N724" s="22"/>
      <c r="O724" s="22"/>
      <c r="P724" s="46"/>
      <c r="Q724" s="40"/>
      <c r="R724" s="41"/>
      <c r="S724" s="22" t="str">
        <f t="shared" si="67"/>
        <v/>
      </c>
      <c r="T724" s="41"/>
      <c r="U724" s="41" t="str">
        <f t="shared" si="71"/>
        <v/>
      </c>
      <c r="V724" s="44"/>
      <c r="W724" s="44"/>
      <c r="X724" s="46"/>
      <c r="Y724" s="46"/>
      <c r="Z724" s="46"/>
      <c r="AA724" s="41"/>
      <c r="AB724" s="22"/>
      <c r="AC724" s="22"/>
      <c r="AD724" s="41"/>
      <c r="AE724" s="22"/>
      <c r="AF724" s="22"/>
      <c r="AG724" s="48" t="str">
        <f t="shared" si="68"/>
        <v/>
      </c>
      <c r="AH724" s="48" t="str">
        <f t="shared" si="69"/>
        <v/>
      </c>
      <c r="AI724" s="48" t="str">
        <f t="shared" si="70"/>
        <v/>
      </c>
      <c r="AJ724" s="40" t="str">
        <f t="shared" si="66"/>
        <v/>
      </c>
      <c r="AK724" s="40"/>
      <c r="AL724" s="40"/>
      <c r="AM724" s="22"/>
      <c r="AQ724" s="46"/>
    </row>
    <row r="725" spans="1:43" ht="17.399999999999999">
      <c r="A725" s="22"/>
      <c r="B725" s="22"/>
      <c r="C725" s="56"/>
      <c r="D725" s="56"/>
      <c r="E725" s="22"/>
      <c r="F725" s="22"/>
      <c r="G725" s="22"/>
      <c r="H725" s="22"/>
      <c r="I725" s="49"/>
      <c r="J725" s="50"/>
      <c r="K725" s="22"/>
      <c r="L725" s="22"/>
      <c r="M725" s="22"/>
      <c r="N725" s="22"/>
      <c r="O725" s="22"/>
      <c r="P725" s="46"/>
      <c r="Q725" s="40"/>
      <c r="R725" s="41"/>
      <c r="S725" s="22" t="str">
        <f t="shared" si="67"/>
        <v/>
      </c>
      <c r="T725" s="41"/>
      <c r="U725" s="41" t="str">
        <f t="shared" si="71"/>
        <v/>
      </c>
      <c r="V725" s="44"/>
      <c r="W725" s="44"/>
      <c r="X725" s="46"/>
      <c r="Y725" s="46"/>
      <c r="Z725" s="46"/>
      <c r="AA725" s="41"/>
      <c r="AB725" s="22"/>
      <c r="AC725" s="22"/>
      <c r="AD725" s="41"/>
      <c r="AE725" s="22"/>
      <c r="AF725" s="22"/>
      <c r="AG725" s="48" t="str">
        <f t="shared" si="68"/>
        <v/>
      </c>
      <c r="AH725" s="48" t="str">
        <f t="shared" si="69"/>
        <v/>
      </c>
      <c r="AI725" s="48" t="str">
        <f t="shared" si="70"/>
        <v/>
      </c>
      <c r="AJ725" s="40" t="str">
        <f t="shared" si="66"/>
        <v/>
      </c>
      <c r="AK725" s="40"/>
      <c r="AL725" s="40"/>
      <c r="AM725" s="22"/>
      <c r="AQ725" s="46"/>
    </row>
    <row r="726" spans="1:43" ht="17.399999999999999">
      <c r="A726" s="22"/>
      <c r="B726" s="22"/>
      <c r="C726" s="56"/>
      <c r="D726" s="56"/>
      <c r="E726" s="22"/>
      <c r="F726" s="22"/>
      <c r="G726" s="22"/>
      <c r="H726" s="22"/>
      <c r="I726" s="49"/>
      <c r="J726" s="50"/>
      <c r="K726" s="22"/>
      <c r="L726" s="22"/>
      <c r="M726" s="22"/>
      <c r="N726" s="22"/>
      <c r="O726" s="22"/>
      <c r="P726" s="46"/>
      <c r="Q726" s="40"/>
      <c r="R726" s="41"/>
      <c r="S726" s="22" t="str">
        <f t="shared" si="67"/>
        <v/>
      </c>
      <c r="T726" s="41"/>
      <c r="U726" s="41" t="str">
        <f t="shared" si="71"/>
        <v/>
      </c>
      <c r="V726" s="44"/>
      <c r="W726" s="44"/>
      <c r="X726" s="46"/>
      <c r="Y726" s="46"/>
      <c r="Z726" s="46"/>
      <c r="AA726" s="41"/>
      <c r="AB726" s="22"/>
      <c r="AC726" s="22"/>
      <c r="AD726" s="41"/>
      <c r="AE726" s="22"/>
      <c r="AF726" s="22"/>
      <c r="AG726" s="48" t="str">
        <f t="shared" si="68"/>
        <v/>
      </c>
      <c r="AH726" s="48" t="str">
        <f t="shared" si="69"/>
        <v/>
      </c>
      <c r="AI726" s="48" t="str">
        <f t="shared" si="70"/>
        <v/>
      </c>
      <c r="AJ726" s="40" t="str">
        <f t="shared" si="66"/>
        <v/>
      </c>
      <c r="AK726" s="40"/>
      <c r="AL726" s="40"/>
      <c r="AM726" s="22"/>
      <c r="AQ726" s="46"/>
    </row>
    <row r="727" spans="1:43" ht="17.399999999999999">
      <c r="A727" s="22"/>
      <c r="B727" s="22"/>
      <c r="C727" s="56"/>
      <c r="D727" s="56"/>
      <c r="E727" s="22"/>
      <c r="F727" s="22"/>
      <c r="G727" s="22"/>
      <c r="H727" s="22"/>
      <c r="I727" s="49"/>
      <c r="J727" s="50"/>
      <c r="K727" s="22"/>
      <c r="L727" s="22"/>
      <c r="M727" s="22"/>
      <c r="N727" s="22"/>
      <c r="O727" s="22"/>
      <c r="P727" s="46"/>
      <c r="Q727" s="40"/>
      <c r="R727" s="41"/>
      <c r="S727" s="22" t="str">
        <f t="shared" si="67"/>
        <v/>
      </c>
      <c r="T727" s="41"/>
      <c r="U727" s="41" t="str">
        <f t="shared" si="71"/>
        <v/>
      </c>
      <c r="V727" s="44"/>
      <c r="W727" s="44"/>
      <c r="X727" s="46"/>
      <c r="Y727" s="46"/>
      <c r="Z727" s="46"/>
      <c r="AA727" s="41"/>
      <c r="AB727" s="22"/>
      <c r="AC727" s="22"/>
      <c r="AD727" s="41"/>
      <c r="AE727" s="22"/>
      <c r="AF727" s="22"/>
      <c r="AG727" s="48" t="str">
        <f t="shared" si="68"/>
        <v/>
      </c>
      <c r="AH727" s="48" t="str">
        <f t="shared" si="69"/>
        <v/>
      </c>
      <c r="AI727" s="48" t="str">
        <f t="shared" si="70"/>
        <v/>
      </c>
      <c r="AJ727" s="40" t="str">
        <f t="shared" si="66"/>
        <v/>
      </c>
      <c r="AK727" s="40"/>
      <c r="AL727" s="40"/>
      <c r="AM727" s="22"/>
      <c r="AQ727" s="46"/>
    </row>
    <row r="728" spans="1:43" ht="17.399999999999999">
      <c r="A728" s="22"/>
      <c r="B728" s="22"/>
      <c r="C728" s="56"/>
      <c r="D728" s="56"/>
      <c r="E728" s="22"/>
      <c r="F728" s="22"/>
      <c r="G728" s="22"/>
      <c r="H728" s="22"/>
      <c r="I728" s="49"/>
      <c r="J728" s="50"/>
      <c r="K728" s="22"/>
      <c r="L728" s="22"/>
      <c r="M728" s="22"/>
      <c r="N728" s="22"/>
      <c r="O728" s="22"/>
      <c r="P728" s="46"/>
      <c r="Q728" s="40"/>
      <c r="R728" s="41"/>
      <c r="S728" s="22" t="str">
        <f t="shared" si="67"/>
        <v/>
      </c>
      <c r="T728" s="41"/>
      <c r="U728" s="41" t="str">
        <f t="shared" si="71"/>
        <v/>
      </c>
      <c r="V728" s="44"/>
      <c r="W728" s="44"/>
      <c r="X728" s="46"/>
      <c r="Y728" s="46"/>
      <c r="Z728" s="46"/>
      <c r="AA728" s="41"/>
      <c r="AB728" s="22"/>
      <c r="AC728" s="22"/>
      <c r="AD728" s="41"/>
      <c r="AE728" s="22"/>
      <c r="AF728" s="22"/>
      <c r="AG728" s="48" t="str">
        <f t="shared" si="68"/>
        <v/>
      </c>
      <c r="AH728" s="48" t="str">
        <f t="shared" si="69"/>
        <v/>
      </c>
      <c r="AI728" s="48" t="str">
        <f t="shared" si="70"/>
        <v/>
      </c>
      <c r="AJ728" s="40" t="str">
        <f t="shared" si="66"/>
        <v/>
      </c>
      <c r="AK728" s="40"/>
      <c r="AL728" s="40"/>
      <c r="AM728" s="22"/>
      <c r="AQ728" s="46"/>
    </row>
    <row r="729" spans="1:43" ht="17.399999999999999">
      <c r="A729" s="22"/>
      <c r="B729" s="22"/>
      <c r="C729" s="56"/>
      <c r="D729" s="56"/>
      <c r="E729" s="22"/>
      <c r="F729" s="22"/>
      <c r="G729" s="22"/>
      <c r="H729" s="22"/>
      <c r="I729" s="49"/>
      <c r="J729" s="50"/>
      <c r="K729" s="22"/>
      <c r="L729" s="22"/>
      <c r="M729" s="22"/>
      <c r="N729" s="22"/>
      <c r="O729" s="22"/>
      <c r="P729" s="46"/>
      <c r="Q729" s="40"/>
      <c r="R729" s="41"/>
      <c r="S729" s="22" t="str">
        <f t="shared" si="67"/>
        <v/>
      </c>
      <c r="T729" s="41"/>
      <c r="U729" s="41" t="str">
        <f t="shared" si="71"/>
        <v/>
      </c>
      <c r="V729" s="44"/>
      <c r="W729" s="44"/>
      <c r="X729" s="46"/>
      <c r="Y729" s="46"/>
      <c r="Z729" s="46"/>
      <c r="AA729" s="41"/>
      <c r="AB729" s="22"/>
      <c r="AC729" s="22"/>
      <c r="AD729" s="41"/>
      <c r="AE729" s="22"/>
      <c r="AF729" s="22"/>
      <c r="AG729" s="48" t="str">
        <f t="shared" si="68"/>
        <v/>
      </c>
      <c r="AH729" s="48" t="str">
        <f t="shared" si="69"/>
        <v/>
      </c>
      <c r="AI729" s="48" t="str">
        <f t="shared" si="70"/>
        <v/>
      </c>
      <c r="AJ729" s="40" t="str">
        <f t="shared" si="66"/>
        <v/>
      </c>
      <c r="AK729" s="40"/>
      <c r="AL729" s="40"/>
      <c r="AM729" s="22"/>
      <c r="AQ729" s="46"/>
    </row>
    <row r="730" spans="1:43" ht="17.399999999999999">
      <c r="A730" s="22"/>
      <c r="B730" s="22"/>
      <c r="C730" s="56"/>
      <c r="D730" s="56"/>
      <c r="E730" s="22"/>
      <c r="F730" s="22"/>
      <c r="G730" s="22"/>
      <c r="H730" s="22"/>
      <c r="I730" s="49"/>
      <c r="J730" s="50"/>
      <c r="K730" s="22"/>
      <c r="L730" s="22"/>
      <c r="M730" s="22"/>
      <c r="N730" s="22"/>
      <c r="O730" s="22"/>
      <c r="P730" s="46"/>
      <c r="Q730" s="40"/>
      <c r="R730" s="41"/>
      <c r="S730" s="22" t="str">
        <f t="shared" si="67"/>
        <v/>
      </c>
      <c r="T730" s="41"/>
      <c r="U730" s="41" t="str">
        <f t="shared" si="71"/>
        <v/>
      </c>
      <c r="V730" s="44"/>
      <c r="W730" s="44"/>
      <c r="X730" s="46"/>
      <c r="Y730" s="46"/>
      <c r="Z730" s="46"/>
      <c r="AA730" s="41"/>
      <c r="AB730" s="22"/>
      <c r="AC730" s="22"/>
      <c r="AD730" s="41"/>
      <c r="AE730" s="22"/>
      <c r="AF730" s="22"/>
      <c r="AG730" s="48" t="str">
        <f t="shared" si="68"/>
        <v/>
      </c>
      <c r="AH730" s="48" t="str">
        <f t="shared" si="69"/>
        <v/>
      </c>
      <c r="AI730" s="48" t="str">
        <f t="shared" si="70"/>
        <v/>
      </c>
      <c r="AJ730" s="40" t="str">
        <f t="shared" si="66"/>
        <v/>
      </c>
      <c r="AK730" s="40"/>
      <c r="AL730" s="40"/>
      <c r="AM730" s="22"/>
      <c r="AQ730" s="46"/>
    </row>
    <row r="731" spans="1:43" ht="17.399999999999999">
      <c r="A731" s="22"/>
      <c r="B731" s="22"/>
      <c r="C731" s="56"/>
      <c r="D731" s="56"/>
      <c r="E731" s="22"/>
      <c r="F731" s="22"/>
      <c r="G731" s="22"/>
      <c r="H731" s="22"/>
      <c r="I731" s="49"/>
      <c r="J731" s="50"/>
      <c r="K731" s="22"/>
      <c r="L731" s="22"/>
      <c r="M731" s="22"/>
      <c r="N731" s="22"/>
      <c r="O731" s="22"/>
      <c r="P731" s="46"/>
      <c r="Q731" s="40"/>
      <c r="R731" s="41"/>
      <c r="S731" s="22" t="str">
        <f t="shared" si="67"/>
        <v/>
      </c>
      <c r="T731" s="41"/>
      <c r="U731" s="41" t="str">
        <f t="shared" si="71"/>
        <v/>
      </c>
      <c r="V731" s="44"/>
      <c r="W731" s="44"/>
      <c r="X731" s="46"/>
      <c r="Y731" s="46"/>
      <c r="Z731" s="46"/>
      <c r="AA731" s="41"/>
      <c r="AB731" s="22"/>
      <c r="AC731" s="22"/>
      <c r="AD731" s="41"/>
      <c r="AE731" s="22"/>
      <c r="AF731" s="22"/>
      <c r="AG731" s="48" t="str">
        <f t="shared" si="68"/>
        <v/>
      </c>
      <c r="AH731" s="48" t="str">
        <f t="shared" si="69"/>
        <v/>
      </c>
      <c r="AI731" s="48" t="str">
        <f t="shared" si="70"/>
        <v/>
      </c>
      <c r="AJ731" s="40" t="str">
        <f t="shared" si="66"/>
        <v/>
      </c>
      <c r="AK731" s="40"/>
      <c r="AL731" s="40"/>
      <c r="AM731" s="22"/>
      <c r="AQ731" s="46"/>
    </row>
    <row r="732" spans="1:43" ht="17.399999999999999">
      <c r="A732" s="22"/>
      <c r="B732" s="22"/>
      <c r="C732" s="56"/>
      <c r="D732" s="56"/>
      <c r="E732" s="22"/>
      <c r="F732" s="22"/>
      <c r="G732" s="22"/>
      <c r="H732" s="22"/>
      <c r="I732" s="49"/>
      <c r="J732" s="50"/>
      <c r="K732" s="22"/>
      <c r="L732" s="22"/>
      <c r="M732" s="22"/>
      <c r="N732" s="22"/>
      <c r="O732" s="22"/>
      <c r="P732" s="46"/>
      <c r="Q732" s="40"/>
      <c r="R732" s="41"/>
      <c r="S732" s="22" t="str">
        <f t="shared" si="67"/>
        <v/>
      </c>
      <c r="T732" s="41"/>
      <c r="U732" s="41" t="str">
        <f t="shared" si="71"/>
        <v/>
      </c>
      <c r="V732" s="44"/>
      <c r="W732" s="44"/>
      <c r="X732" s="46"/>
      <c r="Y732" s="46"/>
      <c r="Z732" s="46"/>
      <c r="AA732" s="41"/>
      <c r="AB732" s="22"/>
      <c r="AC732" s="22"/>
      <c r="AD732" s="41"/>
      <c r="AE732" s="22"/>
      <c r="AF732" s="22"/>
      <c r="AG732" s="48" t="str">
        <f t="shared" si="68"/>
        <v/>
      </c>
      <c r="AH732" s="48" t="str">
        <f t="shared" si="69"/>
        <v/>
      </c>
      <c r="AI732" s="48" t="str">
        <f t="shared" si="70"/>
        <v/>
      </c>
      <c r="AJ732" s="40" t="str">
        <f t="shared" si="66"/>
        <v/>
      </c>
      <c r="AK732" s="40"/>
      <c r="AL732" s="40"/>
      <c r="AM732" s="22"/>
      <c r="AQ732" s="46"/>
    </row>
    <row r="733" spans="1:43" ht="17.399999999999999">
      <c r="A733" s="22"/>
      <c r="B733" s="22"/>
      <c r="C733" s="56"/>
      <c r="D733" s="56"/>
      <c r="E733" s="22"/>
      <c r="F733" s="22"/>
      <c r="G733" s="22"/>
      <c r="H733" s="22"/>
      <c r="I733" s="49"/>
      <c r="J733" s="50"/>
      <c r="K733" s="22"/>
      <c r="L733" s="22"/>
      <c r="M733" s="22"/>
      <c r="N733" s="22"/>
      <c r="O733" s="22"/>
      <c r="P733" s="46"/>
      <c r="Q733" s="40"/>
      <c r="R733" s="41"/>
      <c r="S733" s="22" t="str">
        <f t="shared" si="67"/>
        <v/>
      </c>
      <c r="T733" s="41"/>
      <c r="U733" s="41" t="str">
        <f t="shared" si="71"/>
        <v/>
      </c>
      <c r="V733" s="44"/>
      <c r="W733" s="44"/>
      <c r="X733" s="46"/>
      <c r="Y733" s="46"/>
      <c r="Z733" s="46"/>
      <c r="AA733" s="41"/>
      <c r="AB733" s="22"/>
      <c r="AC733" s="22"/>
      <c r="AD733" s="41"/>
      <c r="AE733" s="22"/>
      <c r="AF733" s="22"/>
      <c r="AG733" s="48" t="str">
        <f t="shared" si="68"/>
        <v/>
      </c>
      <c r="AH733" s="48" t="str">
        <f t="shared" si="69"/>
        <v/>
      </c>
      <c r="AI733" s="48" t="str">
        <f t="shared" si="70"/>
        <v/>
      </c>
      <c r="AJ733" s="40" t="str">
        <f t="shared" si="66"/>
        <v/>
      </c>
      <c r="AK733" s="40"/>
      <c r="AL733" s="40"/>
      <c r="AM733" s="22"/>
      <c r="AQ733" s="46"/>
    </row>
    <row r="734" spans="1:43" ht="17.399999999999999">
      <c r="A734" s="22"/>
      <c r="B734" s="22"/>
      <c r="C734" s="56"/>
      <c r="D734" s="56"/>
      <c r="E734" s="22"/>
      <c r="F734" s="22"/>
      <c r="G734" s="22"/>
      <c r="H734" s="22"/>
      <c r="I734" s="49"/>
      <c r="J734" s="50"/>
      <c r="K734" s="22"/>
      <c r="L734" s="22"/>
      <c r="M734" s="22"/>
      <c r="N734" s="22"/>
      <c r="O734" s="22"/>
      <c r="P734" s="46"/>
      <c r="Q734" s="40"/>
      <c r="R734" s="41"/>
      <c r="S734" s="22" t="str">
        <f t="shared" si="67"/>
        <v/>
      </c>
      <c r="T734" s="41"/>
      <c r="U734" s="41" t="str">
        <f t="shared" si="71"/>
        <v/>
      </c>
      <c r="V734" s="44"/>
      <c r="W734" s="44"/>
      <c r="X734" s="46"/>
      <c r="Y734" s="46"/>
      <c r="Z734" s="46"/>
      <c r="AA734" s="41"/>
      <c r="AB734" s="22"/>
      <c r="AC734" s="22"/>
      <c r="AD734" s="41"/>
      <c r="AE734" s="22"/>
      <c r="AF734" s="22"/>
      <c r="AG734" s="48" t="str">
        <f t="shared" si="68"/>
        <v/>
      </c>
      <c r="AH734" s="48" t="str">
        <f t="shared" si="69"/>
        <v/>
      </c>
      <c r="AI734" s="48" t="str">
        <f t="shared" si="70"/>
        <v/>
      </c>
      <c r="AJ734" s="40" t="str">
        <f t="shared" si="66"/>
        <v/>
      </c>
      <c r="AK734" s="40"/>
      <c r="AL734" s="40"/>
      <c r="AM734" s="22"/>
      <c r="AQ734" s="46"/>
    </row>
    <row r="735" spans="1:43" ht="17.399999999999999">
      <c r="A735" s="22"/>
      <c r="B735" s="22"/>
      <c r="C735" s="56"/>
      <c r="D735" s="56"/>
      <c r="E735" s="22"/>
      <c r="F735" s="22"/>
      <c r="G735" s="22"/>
      <c r="H735" s="22"/>
      <c r="I735" s="49"/>
      <c r="J735" s="50"/>
      <c r="K735" s="22"/>
      <c r="L735" s="22"/>
      <c r="M735" s="22"/>
      <c r="N735" s="22"/>
      <c r="O735" s="22"/>
      <c r="P735" s="46"/>
      <c r="Q735" s="40"/>
      <c r="R735" s="41"/>
      <c r="S735" s="22" t="str">
        <f t="shared" si="67"/>
        <v/>
      </c>
      <c r="T735" s="41"/>
      <c r="U735" s="41" t="str">
        <f t="shared" si="71"/>
        <v/>
      </c>
      <c r="V735" s="44"/>
      <c r="W735" s="44"/>
      <c r="X735" s="46"/>
      <c r="Y735" s="46"/>
      <c r="Z735" s="46"/>
      <c r="AA735" s="41"/>
      <c r="AB735" s="22"/>
      <c r="AC735" s="22"/>
      <c r="AD735" s="41"/>
      <c r="AE735" s="22"/>
      <c r="AF735" s="22"/>
      <c r="AG735" s="48" t="str">
        <f t="shared" si="68"/>
        <v/>
      </c>
      <c r="AH735" s="48" t="str">
        <f t="shared" si="69"/>
        <v/>
      </c>
      <c r="AI735" s="48" t="str">
        <f t="shared" si="70"/>
        <v/>
      </c>
      <c r="AJ735" s="40" t="str">
        <f t="shared" si="66"/>
        <v/>
      </c>
      <c r="AK735" s="40"/>
      <c r="AL735" s="40"/>
      <c r="AM735" s="22"/>
      <c r="AQ735" s="46"/>
    </row>
    <row r="736" spans="1:43" ht="17.399999999999999">
      <c r="A736" s="22"/>
      <c r="B736" s="22"/>
      <c r="C736" s="56"/>
      <c r="D736" s="56"/>
      <c r="E736" s="22"/>
      <c r="F736" s="22"/>
      <c r="G736" s="22"/>
      <c r="H736" s="22"/>
      <c r="I736" s="49"/>
      <c r="J736" s="50"/>
      <c r="K736" s="22"/>
      <c r="L736" s="22"/>
      <c r="M736" s="22"/>
      <c r="N736" s="22"/>
      <c r="O736" s="22"/>
      <c r="P736" s="46"/>
      <c r="Q736" s="40"/>
      <c r="R736" s="41"/>
      <c r="S736" s="22" t="str">
        <f t="shared" si="67"/>
        <v/>
      </c>
      <c r="T736" s="41"/>
      <c r="U736" s="41" t="str">
        <f t="shared" si="71"/>
        <v/>
      </c>
      <c r="V736" s="44"/>
      <c r="W736" s="44"/>
      <c r="X736" s="46"/>
      <c r="Y736" s="46"/>
      <c r="Z736" s="46"/>
      <c r="AA736" s="41"/>
      <c r="AB736" s="22"/>
      <c r="AC736" s="22"/>
      <c r="AD736" s="41"/>
      <c r="AE736" s="22"/>
      <c r="AF736" s="22"/>
      <c r="AG736" s="48" t="str">
        <f t="shared" si="68"/>
        <v/>
      </c>
      <c r="AH736" s="48" t="str">
        <f t="shared" si="69"/>
        <v/>
      </c>
      <c r="AI736" s="48" t="str">
        <f t="shared" si="70"/>
        <v/>
      </c>
      <c r="AJ736" s="40" t="str">
        <f t="shared" si="66"/>
        <v/>
      </c>
      <c r="AK736" s="40"/>
      <c r="AL736" s="40"/>
      <c r="AM736" s="22"/>
      <c r="AQ736" s="46"/>
    </row>
    <row r="737" spans="1:43" ht="17.399999999999999">
      <c r="A737" s="22"/>
      <c r="B737" s="22"/>
      <c r="C737" s="56"/>
      <c r="D737" s="56"/>
      <c r="E737" s="22"/>
      <c r="F737" s="22"/>
      <c r="G737" s="22"/>
      <c r="H737" s="22"/>
      <c r="I737" s="49"/>
      <c r="J737" s="50"/>
      <c r="K737" s="22"/>
      <c r="L737" s="22"/>
      <c r="M737" s="22"/>
      <c r="N737" s="22"/>
      <c r="O737" s="22"/>
      <c r="P737" s="46"/>
      <c r="Q737" s="40"/>
      <c r="R737" s="41"/>
      <c r="S737" s="22" t="str">
        <f t="shared" si="67"/>
        <v/>
      </c>
      <c r="T737" s="41"/>
      <c r="U737" s="41" t="str">
        <f t="shared" si="71"/>
        <v/>
      </c>
      <c r="V737" s="44"/>
      <c r="W737" s="44"/>
      <c r="X737" s="46"/>
      <c r="Y737" s="46"/>
      <c r="Z737" s="46"/>
      <c r="AA737" s="41"/>
      <c r="AB737" s="22"/>
      <c r="AC737" s="22"/>
      <c r="AD737" s="41"/>
      <c r="AE737" s="22"/>
      <c r="AF737" s="22"/>
      <c r="AG737" s="48" t="str">
        <f t="shared" si="68"/>
        <v/>
      </c>
      <c r="AH737" s="48" t="str">
        <f t="shared" si="69"/>
        <v/>
      </c>
      <c r="AI737" s="48" t="str">
        <f t="shared" si="70"/>
        <v/>
      </c>
      <c r="AJ737" s="40" t="str">
        <f t="shared" si="66"/>
        <v/>
      </c>
      <c r="AK737" s="40"/>
      <c r="AL737" s="40"/>
      <c r="AM737" s="22"/>
      <c r="AQ737" s="46"/>
    </row>
    <row r="738" spans="1:43" ht="17.399999999999999">
      <c r="A738" s="22"/>
      <c r="B738" s="22"/>
      <c r="C738" s="56"/>
      <c r="D738" s="56"/>
      <c r="E738" s="22"/>
      <c r="F738" s="22"/>
      <c r="G738" s="22"/>
      <c r="H738" s="22"/>
      <c r="I738" s="49"/>
      <c r="J738" s="50"/>
      <c r="K738" s="22"/>
      <c r="L738" s="22"/>
      <c r="M738" s="22"/>
      <c r="N738" s="22"/>
      <c r="O738" s="22"/>
      <c r="P738" s="46"/>
      <c r="Q738" s="40"/>
      <c r="R738" s="41"/>
      <c r="S738" s="22" t="str">
        <f t="shared" si="67"/>
        <v/>
      </c>
      <c r="T738" s="41"/>
      <c r="U738" s="41" t="str">
        <f t="shared" si="71"/>
        <v/>
      </c>
      <c r="V738" s="44"/>
      <c r="W738" s="44"/>
      <c r="X738" s="46"/>
      <c r="Y738" s="46"/>
      <c r="Z738" s="46"/>
      <c r="AA738" s="41"/>
      <c r="AB738" s="22"/>
      <c r="AC738" s="22"/>
      <c r="AD738" s="41"/>
      <c r="AE738" s="22"/>
      <c r="AF738" s="22"/>
      <c r="AG738" s="48" t="str">
        <f t="shared" si="68"/>
        <v/>
      </c>
      <c r="AH738" s="48" t="str">
        <f t="shared" si="69"/>
        <v/>
      </c>
      <c r="AI738" s="48" t="str">
        <f t="shared" si="70"/>
        <v/>
      </c>
      <c r="AJ738" s="40" t="str">
        <f t="shared" si="66"/>
        <v/>
      </c>
      <c r="AK738" s="40"/>
      <c r="AL738" s="40"/>
      <c r="AM738" s="22"/>
      <c r="AQ738" s="46"/>
    </row>
    <row r="739" spans="1:43" ht="17.399999999999999">
      <c r="A739" s="22"/>
      <c r="B739" s="22"/>
      <c r="C739" s="56"/>
      <c r="D739" s="56"/>
      <c r="E739" s="22"/>
      <c r="F739" s="22"/>
      <c r="G739" s="22"/>
      <c r="H739" s="22"/>
      <c r="I739" s="49"/>
      <c r="J739" s="50"/>
      <c r="K739" s="22"/>
      <c r="L739" s="22"/>
      <c r="M739" s="22"/>
      <c r="N739" s="22"/>
      <c r="O739" s="22"/>
      <c r="P739" s="46"/>
      <c r="Q739" s="40"/>
      <c r="R739" s="41"/>
      <c r="S739" s="22" t="str">
        <f t="shared" si="67"/>
        <v/>
      </c>
      <c r="T739" s="41"/>
      <c r="U739" s="41" t="str">
        <f t="shared" si="71"/>
        <v/>
      </c>
      <c r="V739" s="44"/>
      <c r="W739" s="44"/>
      <c r="X739" s="46"/>
      <c r="Y739" s="46"/>
      <c r="Z739" s="46"/>
      <c r="AA739" s="41"/>
      <c r="AB739" s="22"/>
      <c r="AC739" s="22"/>
      <c r="AD739" s="41"/>
      <c r="AE739" s="22"/>
      <c r="AF739" s="22"/>
      <c r="AG739" s="48" t="str">
        <f t="shared" si="68"/>
        <v/>
      </c>
      <c r="AH739" s="48" t="str">
        <f t="shared" si="69"/>
        <v/>
      </c>
      <c r="AI739" s="48" t="str">
        <f t="shared" si="70"/>
        <v/>
      </c>
      <c r="AJ739" s="40" t="str">
        <f t="shared" si="66"/>
        <v/>
      </c>
      <c r="AK739" s="40"/>
      <c r="AL739" s="40"/>
      <c r="AM739" s="22"/>
      <c r="AQ739" s="46"/>
    </row>
    <row r="740" spans="1:43" ht="17.399999999999999">
      <c r="A740" s="22"/>
      <c r="B740" s="22"/>
      <c r="C740" s="56"/>
      <c r="D740" s="56"/>
      <c r="E740" s="22"/>
      <c r="F740" s="22"/>
      <c r="G740" s="22"/>
      <c r="H740" s="22"/>
      <c r="I740" s="49"/>
      <c r="J740" s="50"/>
      <c r="K740" s="22"/>
      <c r="L740" s="22"/>
      <c r="M740" s="22"/>
      <c r="N740" s="22"/>
      <c r="O740" s="22"/>
      <c r="P740" s="46"/>
      <c r="Q740" s="40"/>
      <c r="R740" s="41"/>
      <c r="S740" s="22" t="str">
        <f t="shared" si="67"/>
        <v/>
      </c>
      <c r="T740" s="41"/>
      <c r="U740" s="41" t="str">
        <f t="shared" si="71"/>
        <v/>
      </c>
      <c r="V740" s="44"/>
      <c r="W740" s="44"/>
      <c r="X740" s="46"/>
      <c r="Y740" s="46"/>
      <c r="Z740" s="46"/>
      <c r="AA740" s="41"/>
      <c r="AB740" s="22"/>
      <c r="AC740" s="22"/>
      <c r="AD740" s="41"/>
      <c r="AE740" s="22"/>
      <c r="AF740" s="22"/>
      <c r="AG740" s="48" t="str">
        <f t="shared" si="68"/>
        <v/>
      </c>
      <c r="AH740" s="48" t="str">
        <f t="shared" si="69"/>
        <v/>
      </c>
      <c r="AI740" s="48" t="str">
        <f t="shared" si="70"/>
        <v/>
      </c>
      <c r="AJ740" s="40" t="str">
        <f t="shared" si="66"/>
        <v/>
      </c>
      <c r="AK740" s="40"/>
      <c r="AL740" s="40"/>
      <c r="AM740" s="22"/>
      <c r="AQ740" s="46"/>
    </row>
    <row r="741" spans="1:43" ht="17.399999999999999">
      <c r="A741" s="22"/>
      <c r="B741" s="22"/>
      <c r="C741" s="56"/>
      <c r="D741" s="56"/>
      <c r="E741" s="22"/>
      <c r="F741" s="22"/>
      <c r="G741" s="22"/>
      <c r="H741" s="22"/>
      <c r="I741" s="49"/>
      <c r="J741" s="50"/>
      <c r="K741" s="22"/>
      <c r="L741" s="22"/>
      <c r="M741" s="22"/>
      <c r="N741" s="22"/>
      <c r="O741" s="22"/>
      <c r="P741" s="46"/>
      <c r="Q741" s="40"/>
      <c r="R741" s="41"/>
      <c r="S741" s="22" t="str">
        <f t="shared" si="67"/>
        <v/>
      </c>
      <c r="T741" s="41"/>
      <c r="U741" s="41" t="str">
        <f t="shared" si="71"/>
        <v/>
      </c>
      <c r="V741" s="44"/>
      <c r="W741" s="44"/>
      <c r="X741" s="46"/>
      <c r="Y741" s="46"/>
      <c r="Z741" s="46"/>
      <c r="AA741" s="41"/>
      <c r="AB741" s="22"/>
      <c r="AC741" s="22"/>
      <c r="AD741" s="41"/>
      <c r="AE741" s="22"/>
      <c r="AF741" s="22"/>
      <c r="AG741" s="48" t="str">
        <f t="shared" si="68"/>
        <v/>
      </c>
      <c r="AH741" s="48" t="str">
        <f t="shared" si="69"/>
        <v/>
      </c>
      <c r="AI741" s="48" t="str">
        <f t="shared" si="70"/>
        <v/>
      </c>
      <c r="AJ741" s="40" t="str">
        <f t="shared" si="66"/>
        <v/>
      </c>
      <c r="AK741" s="40"/>
      <c r="AL741" s="40"/>
      <c r="AM741" s="22"/>
      <c r="AQ741" s="46"/>
    </row>
    <row r="742" spans="1:43" ht="17.399999999999999">
      <c r="A742" s="22"/>
      <c r="B742" s="22"/>
      <c r="C742" s="56"/>
      <c r="D742" s="56"/>
      <c r="E742" s="22"/>
      <c r="F742" s="22"/>
      <c r="G742" s="22"/>
      <c r="H742" s="22"/>
      <c r="I742" s="49"/>
      <c r="J742" s="50"/>
      <c r="K742" s="22"/>
      <c r="L742" s="22"/>
      <c r="M742" s="22"/>
      <c r="N742" s="22"/>
      <c r="O742" s="22"/>
      <c r="P742" s="46"/>
      <c r="Q742" s="40"/>
      <c r="R742" s="41"/>
      <c r="S742" s="22" t="str">
        <f t="shared" si="67"/>
        <v/>
      </c>
      <c r="T742" s="41"/>
      <c r="U742" s="41" t="str">
        <f t="shared" si="71"/>
        <v/>
      </c>
      <c r="V742" s="44"/>
      <c r="W742" s="44"/>
      <c r="X742" s="46"/>
      <c r="Y742" s="46"/>
      <c r="Z742" s="46"/>
      <c r="AA742" s="41"/>
      <c r="AB742" s="22"/>
      <c r="AC742" s="22"/>
      <c r="AD742" s="41"/>
      <c r="AE742" s="22"/>
      <c r="AF742" s="22"/>
      <c r="AG742" s="48" t="str">
        <f t="shared" si="68"/>
        <v/>
      </c>
      <c r="AH742" s="48" t="str">
        <f t="shared" si="69"/>
        <v/>
      </c>
      <c r="AI742" s="48" t="str">
        <f t="shared" si="70"/>
        <v/>
      </c>
      <c r="AJ742" s="40" t="str">
        <f t="shared" si="66"/>
        <v/>
      </c>
      <c r="AK742" s="40"/>
      <c r="AL742" s="40"/>
      <c r="AM742" s="22"/>
      <c r="AQ742" s="46"/>
    </row>
    <row r="743" spans="1:43" ht="17.399999999999999">
      <c r="A743" s="22"/>
      <c r="B743" s="22"/>
      <c r="C743" s="56"/>
      <c r="D743" s="56"/>
      <c r="E743" s="22"/>
      <c r="F743" s="22"/>
      <c r="G743" s="22"/>
      <c r="H743" s="22"/>
      <c r="I743" s="49"/>
      <c r="J743" s="50"/>
      <c r="K743" s="22"/>
      <c r="L743" s="22"/>
      <c r="M743" s="22"/>
      <c r="N743" s="22"/>
      <c r="O743" s="22"/>
      <c r="P743" s="46"/>
      <c r="Q743" s="40"/>
      <c r="R743" s="41"/>
      <c r="S743" s="22" t="str">
        <f t="shared" si="67"/>
        <v/>
      </c>
      <c r="T743" s="41"/>
      <c r="U743" s="41" t="str">
        <f t="shared" si="71"/>
        <v/>
      </c>
      <c r="V743" s="44"/>
      <c r="W743" s="44"/>
      <c r="X743" s="46"/>
      <c r="Y743" s="46"/>
      <c r="Z743" s="46"/>
      <c r="AA743" s="41"/>
      <c r="AB743" s="22"/>
      <c r="AC743" s="22"/>
      <c r="AD743" s="41"/>
      <c r="AE743" s="22"/>
      <c r="AF743" s="22"/>
      <c r="AG743" s="48" t="str">
        <f t="shared" si="68"/>
        <v/>
      </c>
      <c r="AH743" s="48" t="str">
        <f t="shared" si="69"/>
        <v/>
      </c>
      <c r="AI743" s="48" t="str">
        <f t="shared" si="70"/>
        <v/>
      </c>
      <c r="AJ743" s="40" t="str">
        <f t="shared" si="66"/>
        <v/>
      </c>
      <c r="AK743" s="40"/>
      <c r="AL743" s="40"/>
      <c r="AM743" s="22"/>
      <c r="AQ743" s="46"/>
    </row>
    <row r="744" spans="1:43" ht="17.399999999999999">
      <c r="A744" s="22"/>
      <c r="B744" s="22"/>
      <c r="C744" s="56"/>
      <c r="D744" s="56"/>
      <c r="E744" s="22"/>
      <c r="F744" s="22"/>
      <c r="G744" s="22"/>
      <c r="H744" s="22"/>
      <c r="I744" s="49"/>
      <c r="J744" s="50"/>
      <c r="K744" s="22"/>
      <c r="L744" s="22"/>
      <c r="M744" s="22"/>
      <c r="N744" s="22"/>
      <c r="O744" s="22"/>
      <c r="P744" s="46"/>
      <c r="Q744" s="40"/>
      <c r="R744" s="41"/>
      <c r="S744" s="22" t="str">
        <f t="shared" si="67"/>
        <v/>
      </c>
      <c r="T744" s="41"/>
      <c r="U744" s="41" t="str">
        <f t="shared" si="71"/>
        <v/>
      </c>
      <c r="V744" s="44"/>
      <c r="W744" s="44"/>
      <c r="X744" s="46"/>
      <c r="Y744" s="46"/>
      <c r="Z744" s="46"/>
      <c r="AA744" s="41"/>
      <c r="AB744" s="22"/>
      <c r="AC744" s="22"/>
      <c r="AD744" s="41"/>
      <c r="AE744" s="22"/>
      <c r="AF744" s="22"/>
      <c r="AG744" s="48" t="str">
        <f t="shared" si="68"/>
        <v/>
      </c>
      <c r="AH744" s="48" t="str">
        <f t="shared" si="69"/>
        <v/>
      </c>
      <c r="AI744" s="48" t="str">
        <f t="shared" si="70"/>
        <v/>
      </c>
      <c r="AJ744" s="40" t="str">
        <f t="shared" si="66"/>
        <v/>
      </c>
      <c r="AK744" s="40"/>
      <c r="AL744" s="40"/>
      <c r="AM744" s="22"/>
      <c r="AQ744" s="46"/>
    </row>
    <row r="745" spans="1:43" ht="17.399999999999999">
      <c r="A745" s="22"/>
      <c r="B745" s="22"/>
      <c r="C745" s="56"/>
      <c r="D745" s="56"/>
      <c r="E745" s="22"/>
      <c r="F745" s="22"/>
      <c r="G745" s="22"/>
      <c r="H745" s="22"/>
      <c r="I745" s="49"/>
      <c r="J745" s="50"/>
      <c r="K745" s="22"/>
      <c r="L745" s="22"/>
      <c r="M745" s="22"/>
      <c r="N745" s="22"/>
      <c r="O745" s="22"/>
      <c r="P745" s="46"/>
      <c r="Q745" s="40"/>
      <c r="R745" s="41"/>
      <c r="S745" s="22" t="str">
        <f t="shared" si="67"/>
        <v/>
      </c>
      <c r="T745" s="41"/>
      <c r="U745" s="41" t="str">
        <f t="shared" si="71"/>
        <v/>
      </c>
      <c r="V745" s="44"/>
      <c r="W745" s="44"/>
      <c r="X745" s="46"/>
      <c r="Y745" s="46"/>
      <c r="Z745" s="46"/>
      <c r="AA745" s="41"/>
      <c r="AB745" s="22"/>
      <c r="AC745" s="22"/>
      <c r="AD745" s="41"/>
      <c r="AE745" s="22"/>
      <c r="AF745" s="22"/>
      <c r="AG745" s="48" t="str">
        <f t="shared" si="68"/>
        <v/>
      </c>
      <c r="AH745" s="48" t="str">
        <f t="shared" si="69"/>
        <v/>
      </c>
      <c r="AI745" s="48" t="str">
        <f t="shared" si="70"/>
        <v/>
      </c>
      <c r="AJ745" s="40" t="str">
        <f t="shared" si="66"/>
        <v/>
      </c>
      <c r="AK745" s="40"/>
      <c r="AL745" s="40"/>
      <c r="AM745" s="22"/>
      <c r="AQ745" s="46"/>
    </row>
    <row r="746" spans="1:43" ht="17.399999999999999">
      <c r="A746" s="22"/>
      <c r="B746" s="22"/>
      <c r="C746" s="56"/>
      <c r="D746" s="56"/>
      <c r="E746" s="22"/>
      <c r="F746" s="22"/>
      <c r="G746" s="22"/>
      <c r="H746" s="22"/>
      <c r="I746" s="49"/>
      <c r="J746" s="50"/>
      <c r="K746" s="22"/>
      <c r="L746" s="22"/>
      <c r="M746" s="22"/>
      <c r="N746" s="22"/>
      <c r="O746" s="22"/>
      <c r="P746" s="46"/>
      <c r="Q746" s="40"/>
      <c r="R746" s="41"/>
      <c r="S746" s="22" t="str">
        <f t="shared" si="67"/>
        <v/>
      </c>
      <c r="T746" s="41"/>
      <c r="U746" s="41" t="str">
        <f t="shared" si="71"/>
        <v/>
      </c>
      <c r="V746" s="44"/>
      <c r="W746" s="44"/>
      <c r="X746" s="46"/>
      <c r="Y746" s="46"/>
      <c r="Z746" s="46"/>
      <c r="AA746" s="41"/>
      <c r="AB746" s="22"/>
      <c r="AC746" s="22"/>
      <c r="AD746" s="41"/>
      <c r="AE746" s="22"/>
      <c r="AF746" s="22"/>
      <c r="AG746" s="48" t="str">
        <f t="shared" si="68"/>
        <v/>
      </c>
      <c r="AH746" s="48" t="str">
        <f t="shared" si="69"/>
        <v/>
      </c>
      <c r="AI746" s="48" t="str">
        <f t="shared" si="70"/>
        <v/>
      </c>
      <c r="AJ746" s="40" t="str">
        <f t="shared" si="66"/>
        <v/>
      </c>
      <c r="AK746" s="40"/>
      <c r="AL746" s="40"/>
      <c r="AM746" s="22"/>
      <c r="AQ746" s="46"/>
    </row>
    <row r="747" spans="1:43" ht="17.399999999999999">
      <c r="A747" s="22"/>
      <c r="B747" s="22"/>
      <c r="C747" s="56"/>
      <c r="D747" s="56"/>
      <c r="E747" s="22"/>
      <c r="F747" s="22"/>
      <c r="G747" s="22"/>
      <c r="H747" s="22"/>
      <c r="I747" s="49"/>
      <c r="J747" s="50"/>
      <c r="K747" s="22"/>
      <c r="L747" s="22"/>
      <c r="M747" s="22"/>
      <c r="N747" s="22"/>
      <c r="O747" s="22"/>
      <c r="P747" s="46"/>
      <c r="Q747" s="40"/>
      <c r="R747" s="41"/>
      <c r="S747" s="22" t="str">
        <f t="shared" si="67"/>
        <v/>
      </c>
      <c r="T747" s="41"/>
      <c r="U747" s="41" t="str">
        <f t="shared" si="71"/>
        <v/>
      </c>
      <c r="V747" s="44"/>
      <c r="W747" s="44"/>
      <c r="X747" s="46"/>
      <c r="Y747" s="46"/>
      <c r="Z747" s="46"/>
      <c r="AA747" s="41"/>
      <c r="AB747" s="22"/>
      <c r="AC747" s="22"/>
      <c r="AD747" s="41"/>
      <c r="AE747" s="22"/>
      <c r="AF747" s="22"/>
      <c r="AG747" s="48" t="str">
        <f t="shared" si="68"/>
        <v/>
      </c>
      <c r="AH747" s="48" t="str">
        <f t="shared" si="69"/>
        <v/>
      </c>
      <c r="AI747" s="48" t="str">
        <f t="shared" si="70"/>
        <v/>
      </c>
      <c r="AJ747" s="40" t="str">
        <f t="shared" si="66"/>
        <v/>
      </c>
      <c r="AK747" s="40"/>
      <c r="AL747" s="40"/>
      <c r="AM747" s="22"/>
      <c r="AQ747" s="46"/>
    </row>
    <row r="748" spans="1:43" ht="17.399999999999999">
      <c r="A748" s="22"/>
      <c r="B748" s="22"/>
      <c r="C748" s="56"/>
      <c r="D748" s="56"/>
      <c r="E748" s="22"/>
      <c r="F748" s="22"/>
      <c r="G748" s="22"/>
      <c r="H748" s="22"/>
      <c r="I748" s="49"/>
      <c r="J748" s="50"/>
      <c r="K748" s="22"/>
      <c r="L748" s="22"/>
      <c r="M748" s="22"/>
      <c r="N748" s="22"/>
      <c r="O748" s="22"/>
      <c r="P748" s="46"/>
      <c r="Q748" s="40"/>
      <c r="R748" s="41"/>
      <c r="S748" s="22" t="str">
        <f t="shared" si="67"/>
        <v/>
      </c>
      <c r="T748" s="41"/>
      <c r="U748" s="41" t="str">
        <f t="shared" si="71"/>
        <v/>
      </c>
      <c r="V748" s="44"/>
      <c r="W748" s="44"/>
      <c r="X748" s="46"/>
      <c r="Y748" s="46"/>
      <c r="Z748" s="46"/>
      <c r="AA748" s="41"/>
      <c r="AB748" s="22"/>
      <c r="AC748" s="22"/>
      <c r="AD748" s="41"/>
      <c r="AE748" s="22"/>
      <c r="AF748" s="22"/>
      <c r="AG748" s="48" t="str">
        <f t="shared" si="68"/>
        <v/>
      </c>
      <c r="AH748" s="48" t="str">
        <f t="shared" si="69"/>
        <v/>
      </c>
      <c r="AI748" s="48" t="str">
        <f t="shared" si="70"/>
        <v/>
      </c>
      <c r="AJ748" s="40" t="str">
        <f t="shared" si="66"/>
        <v/>
      </c>
      <c r="AK748" s="40"/>
      <c r="AL748" s="40"/>
      <c r="AM748" s="22"/>
      <c r="AQ748" s="46"/>
    </row>
    <row r="749" spans="1:43" ht="17.399999999999999">
      <c r="A749" s="22"/>
      <c r="B749" s="22"/>
      <c r="C749" s="56"/>
      <c r="D749" s="56"/>
      <c r="E749" s="22"/>
      <c r="F749" s="22"/>
      <c r="G749" s="22"/>
      <c r="H749" s="22"/>
      <c r="I749" s="49"/>
      <c r="J749" s="50"/>
      <c r="K749" s="22"/>
      <c r="L749" s="22"/>
      <c r="M749" s="22"/>
      <c r="N749" s="22"/>
      <c r="O749" s="22"/>
      <c r="P749" s="46"/>
      <c r="Q749" s="40"/>
      <c r="R749" s="41"/>
      <c r="S749" s="22" t="str">
        <f t="shared" si="67"/>
        <v/>
      </c>
      <c r="T749" s="41"/>
      <c r="U749" s="41" t="str">
        <f t="shared" si="71"/>
        <v/>
      </c>
      <c r="V749" s="44"/>
      <c r="W749" s="44"/>
      <c r="X749" s="46"/>
      <c r="Y749" s="46"/>
      <c r="Z749" s="46"/>
      <c r="AA749" s="41"/>
      <c r="AB749" s="22"/>
      <c r="AC749" s="22"/>
      <c r="AD749" s="41"/>
      <c r="AE749" s="22"/>
      <c r="AF749" s="22"/>
      <c r="AG749" s="48" t="str">
        <f t="shared" si="68"/>
        <v/>
      </c>
      <c r="AH749" s="48" t="str">
        <f t="shared" si="69"/>
        <v/>
      </c>
      <c r="AI749" s="48" t="str">
        <f t="shared" si="70"/>
        <v/>
      </c>
      <c r="AJ749" s="40" t="str">
        <f t="shared" ref="AJ749:AJ812" si="72">IF(A749="","",R749+21)</f>
        <v/>
      </c>
      <c r="AK749" s="40"/>
      <c r="AL749" s="40"/>
      <c r="AM749" s="22"/>
      <c r="AQ749" s="46"/>
    </row>
    <row r="750" spans="1:43" ht="17.399999999999999">
      <c r="A750" s="22"/>
      <c r="B750" s="22"/>
      <c r="C750" s="56"/>
      <c r="D750" s="56"/>
      <c r="E750" s="22"/>
      <c r="F750" s="22"/>
      <c r="G750" s="22"/>
      <c r="H750" s="22"/>
      <c r="I750" s="49"/>
      <c r="J750" s="50"/>
      <c r="K750" s="22"/>
      <c r="L750" s="22"/>
      <c r="M750" s="22"/>
      <c r="N750" s="22"/>
      <c r="O750" s="22"/>
      <c r="P750" s="46"/>
      <c r="Q750" s="40"/>
      <c r="R750" s="41"/>
      <c r="S750" s="22" t="str">
        <f t="shared" si="67"/>
        <v/>
      </c>
      <c r="T750" s="41"/>
      <c r="U750" s="41" t="str">
        <f t="shared" si="71"/>
        <v/>
      </c>
      <c r="V750" s="44"/>
      <c r="W750" s="44"/>
      <c r="X750" s="46"/>
      <c r="Y750" s="46"/>
      <c r="Z750" s="46"/>
      <c r="AA750" s="41"/>
      <c r="AB750" s="22"/>
      <c r="AC750" s="22"/>
      <c r="AD750" s="41"/>
      <c r="AE750" s="22"/>
      <c r="AF750" s="22"/>
      <c r="AG750" s="48" t="str">
        <f t="shared" si="68"/>
        <v/>
      </c>
      <c r="AH750" s="48" t="str">
        <f t="shared" si="69"/>
        <v/>
      </c>
      <c r="AI750" s="48" t="str">
        <f t="shared" si="70"/>
        <v/>
      </c>
      <c r="AJ750" s="40" t="str">
        <f t="shared" si="72"/>
        <v/>
      </c>
      <c r="AK750" s="40"/>
      <c r="AL750" s="40"/>
      <c r="AM750" s="22"/>
      <c r="AQ750" s="46"/>
    </row>
    <row r="751" spans="1:43" ht="17.399999999999999">
      <c r="A751" s="22"/>
      <c r="B751" s="22"/>
      <c r="C751" s="56"/>
      <c r="D751" s="56"/>
      <c r="E751" s="22"/>
      <c r="F751" s="22"/>
      <c r="G751" s="22"/>
      <c r="H751" s="22"/>
      <c r="I751" s="49"/>
      <c r="J751" s="50"/>
      <c r="K751" s="22"/>
      <c r="L751" s="22"/>
      <c r="M751" s="22"/>
      <c r="N751" s="22"/>
      <c r="O751" s="22"/>
      <c r="P751" s="46"/>
      <c r="Q751" s="40"/>
      <c r="R751" s="41"/>
      <c r="S751" s="22" t="str">
        <f t="shared" si="67"/>
        <v/>
      </c>
      <c r="T751" s="41"/>
      <c r="U751" s="41" t="str">
        <f t="shared" si="71"/>
        <v/>
      </c>
      <c r="V751" s="44"/>
      <c r="W751" s="44"/>
      <c r="X751" s="46"/>
      <c r="Y751" s="46"/>
      <c r="Z751" s="46"/>
      <c r="AA751" s="41"/>
      <c r="AB751" s="22"/>
      <c r="AC751" s="22"/>
      <c r="AD751" s="41"/>
      <c r="AE751" s="22"/>
      <c r="AF751" s="22"/>
      <c r="AG751" s="48" t="str">
        <f t="shared" si="68"/>
        <v/>
      </c>
      <c r="AH751" s="48" t="str">
        <f t="shared" si="69"/>
        <v/>
      </c>
      <c r="AI751" s="48" t="str">
        <f t="shared" si="70"/>
        <v/>
      </c>
      <c r="AJ751" s="40" t="str">
        <f t="shared" si="72"/>
        <v/>
      </c>
      <c r="AK751" s="40"/>
      <c r="AL751" s="40"/>
      <c r="AM751" s="22"/>
      <c r="AQ751" s="46"/>
    </row>
    <row r="752" spans="1:43" ht="17.399999999999999">
      <c r="A752" s="22"/>
      <c r="B752" s="22"/>
      <c r="C752" s="56"/>
      <c r="D752" s="56"/>
      <c r="E752" s="22"/>
      <c r="F752" s="22"/>
      <c r="G752" s="22"/>
      <c r="H752" s="22"/>
      <c r="I752" s="49"/>
      <c r="J752" s="50"/>
      <c r="K752" s="22"/>
      <c r="L752" s="22"/>
      <c r="M752" s="22"/>
      <c r="N752" s="22"/>
      <c r="O752" s="22"/>
      <c r="P752" s="46"/>
      <c r="Q752" s="40"/>
      <c r="R752" s="41"/>
      <c r="S752" s="22" t="str">
        <f t="shared" si="67"/>
        <v/>
      </c>
      <c r="T752" s="41"/>
      <c r="U752" s="41" t="str">
        <f t="shared" si="71"/>
        <v/>
      </c>
      <c r="V752" s="44"/>
      <c r="W752" s="44"/>
      <c r="X752" s="46"/>
      <c r="Y752" s="46"/>
      <c r="Z752" s="46"/>
      <c r="AA752" s="41"/>
      <c r="AB752" s="22"/>
      <c r="AC752" s="22"/>
      <c r="AD752" s="41"/>
      <c r="AE752" s="22"/>
      <c r="AF752" s="22"/>
      <c r="AG752" s="48" t="str">
        <f t="shared" si="68"/>
        <v/>
      </c>
      <c r="AH752" s="48" t="str">
        <f t="shared" si="69"/>
        <v/>
      </c>
      <c r="AI752" s="48" t="str">
        <f t="shared" si="70"/>
        <v/>
      </c>
      <c r="AJ752" s="40" t="str">
        <f t="shared" si="72"/>
        <v/>
      </c>
      <c r="AK752" s="40"/>
      <c r="AL752" s="40"/>
      <c r="AM752" s="22"/>
      <c r="AQ752" s="46"/>
    </row>
    <row r="753" spans="1:43" ht="17.399999999999999">
      <c r="A753" s="22"/>
      <c r="B753" s="22"/>
      <c r="C753" s="56"/>
      <c r="D753" s="56"/>
      <c r="E753" s="22"/>
      <c r="F753" s="22"/>
      <c r="G753" s="22"/>
      <c r="H753" s="22"/>
      <c r="I753" s="49"/>
      <c r="J753" s="50"/>
      <c r="K753" s="22"/>
      <c r="L753" s="22"/>
      <c r="M753" s="22"/>
      <c r="N753" s="22"/>
      <c r="O753" s="22"/>
      <c r="P753" s="46"/>
      <c r="Q753" s="40"/>
      <c r="R753" s="41"/>
      <c r="S753" s="22" t="str">
        <f t="shared" si="67"/>
        <v/>
      </c>
      <c r="T753" s="41"/>
      <c r="U753" s="41" t="str">
        <f t="shared" si="71"/>
        <v/>
      </c>
      <c r="V753" s="44"/>
      <c r="W753" s="44"/>
      <c r="X753" s="46"/>
      <c r="Y753" s="46"/>
      <c r="Z753" s="46"/>
      <c r="AA753" s="41"/>
      <c r="AB753" s="22"/>
      <c r="AC753" s="22"/>
      <c r="AD753" s="41"/>
      <c r="AE753" s="22"/>
      <c r="AF753" s="22"/>
      <c r="AG753" s="48" t="str">
        <f t="shared" si="68"/>
        <v/>
      </c>
      <c r="AH753" s="48" t="str">
        <f t="shared" si="69"/>
        <v/>
      </c>
      <c r="AI753" s="48" t="str">
        <f t="shared" si="70"/>
        <v/>
      </c>
      <c r="AJ753" s="40" t="str">
        <f t="shared" si="72"/>
        <v/>
      </c>
      <c r="AK753" s="40"/>
      <c r="AL753" s="40"/>
      <c r="AM753" s="22"/>
      <c r="AQ753" s="46"/>
    </row>
    <row r="754" spans="1:43" ht="17.399999999999999">
      <c r="A754" s="22"/>
      <c r="B754" s="22"/>
      <c r="C754" s="56"/>
      <c r="D754" s="56"/>
      <c r="E754" s="22"/>
      <c r="F754" s="22"/>
      <c r="G754" s="22"/>
      <c r="H754" s="22"/>
      <c r="I754" s="49"/>
      <c r="J754" s="50"/>
      <c r="K754" s="22"/>
      <c r="L754" s="22"/>
      <c r="M754" s="22"/>
      <c r="N754" s="22"/>
      <c r="O754" s="22"/>
      <c r="P754" s="46"/>
      <c r="Q754" s="40"/>
      <c r="R754" s="41"/>
      <c r="S754" s="22" t="str">
        <f t="shared" si="67"/>
        <v/>
      </c>
      <c r="T754" s="41"/>
      <c r="U754" s="41" t="str">
        <f t="shared" si="71"/>
        <v/>
      </c>
      <c r="V754" s="44"/>
      <c r="W754" s="44"/>
      <c r="X754" s="46"/>
      <c r="Y754" s="46"/>
      <c r="Z754" s="46"/>
      <c r="AA754" s="41"/>
      <c r="AB754" s="22"/>
      <c r="AC754" s="22"/>
      <c r="AD754" s="41"/>
      <c r="AE754" s="22"/>
      <c r="AF754" s="22"/>
      <c r="AG754" s="48" t="str">
        <f t="shared" si="68"/>
        <v/>
      </c>
      <c r="AH754" s="48" t="str">
        <f t="shared" si="69"/>
        <v/>
      </c>
      <c r="AI754" s="48" t="str">
        <f t="shared" si="70"/>
        <v/>
      </c>
      <c r="AJ754" s="40" t="str">
        <f t="shared" si="72"/>
        <v/>
      </c>
      <c r="AK754" s="40"/>
      <c r="AL754" s="40"/>
      <c r="AM754" s="22"/>
      <c r="AQ754" s="46"/>
    </row>
    <row r="755" spans="1:43" ht="17.399999999999999">
      <c r="A755" s="22"/>
      <c r="B755" s="22"/>
      <c r="C755" s="56"/>
      <c r="D755" s="56"/>
      <c r="E755" s="22"/>
      <c r="F755" s="22"/>
      <c r="G755" s="22"/>
      <c r="H755" s="22"/>
      <c r="I755" s="49"/>
      <c r="J755" s="50"/>
      <c r="K755" s="22"/>
      <c r="L755" s="22"/>
      <c r="M755" s="22"/>
      <c r="N755" s="22"/>
      <c r="O755" s="22"/>
      <c r="P755" s="46"/>
      <c r="Q755" s="40"/>
      <c r="R755" s="41"/>
      <c r="S755" s="22" t="str">
        <f t="shared" si="67"/>
        <v/>
      </c>
      <c r="T755" s="41"/>
      <c r="U755" s="41" t="str">
        <f t="shared" si="71"/>
        <v/>
      </c>
      <c r="V755" s="44"/>
      <c r="W755" s="44"/>
      <c r="X755" s="46"/>
      <c r="Y755" s="46"/>
      <c r="Z755" s="46"/>
      <c r="AA755" s="41"/>
      <c r="AB755" s="22"/>
      <c r="AC755" s="22"/>
      <c r="AD755" s="41"/>
      <c r="AE755" s="22"/>
      <c r="AF755" s="22"/>
      <c r="AG755" s="48" t="str">
        <f t="shared" si="68"/>
        <v/>
      </c>
      <c r="AH755" s="48" t="str">
        <f t="shared" si="69"/>
        <v/>
      </c>
      <c r="AI755" s="48" t="str">
        <f t="shared" si="70"/>
        <v/>
      </c>
      <c r="AJ755" s="40" t="str">
        <f t="shared" si="72"/>
        <v/>
      </c>
      <c r="AK755" s="40"/>
      <c r="AL755" s="40"/>
      <c r="AM755" s="22"/>
      <c r="AQ755" s="46"/>
    </row>
    <row r="756" spans="1:43" ht="17.399999999999999">
      <c r="A756" s="22"/>
      <c r="B756" s="22"/>
      <c r="C756" s="56"/>
      <c r="D756" s="56"/>
      <c r="E756" s="22"/>
      <c r="F756" s="22"/>
      <c r="G756" s="22"/>
      <c r="H756" s="22"/>
      <c r="I756" s="49"/>
      <c r="J756" s="50"/>
      <c r="K756" s="22"/>
      <c r="L756" s="22"/>
      <c r="M756" s="22"/>
      <c r="N756" s="22"/>
      <c r="O756" s="22"/>
      <c r="P756" s="46"/>
      <c r="Q756" s="40"/>
      <c r="R756" s="41"/>
      <c r="S756" s="22" t="str">
        <f t="shared" si="67"/>
        <v/>
      </c>
      <c r="T756" s="41"/>
      <c r="U756" s="41" t="str">
        <f t="shared" si="71"/>
        <v/>
      </c>
      <c r="V756" s="44"/>
      <c r="W756" s="44"/>
      <c r="X756" s="46"/>
      <c r="Y756" s="46"/>
      <c r="Z756" s="46"/>
      <c r="AA756" s="41"/>
      <c r="AB756" s="22"/>
      <c r="AC756" s="22"/>
      <c r="AD756" s="41"/>
      <c r="AE756" s="22"/>
      <c r="AF756" s="22"/>
      <c r="AG756" s="48" t="str">
        <f t="shared" si="68"/>
        <v/>
      </c>
      <c r="AH756" s="48" t="str">
        <f t="shared" si="69"/>
        <v/>
      </c>
      <c r="AI756" s="48" t="str">
        <f t="shared" si="70"/>
        <v/>
      </c>
      <c r="AJ756" s="40" t="str">
        <f t="shared" si="72"/>
        <v/>
      </c>
      <c r="AK756" s="40"/>
      <c r="AL756" s="40"/>
      <c r="AM756" s="22"/>
      <c r="AQ756" s="46"/>
    </row>
    <row r="757" spans="1:43" ht="17.399999999999999">
      <c r="A757" s="22"/>
      <c r="B757" s="22"/>
      <c r="C757" s="56"/>
      <c r="D757" s="56"/>
      <c r="E757" s="22"/>
      <c r="F757" s="22"/>
      <c r="G757" s="22"/>
      <c r="H757" s="22"/>
      <c r="I757" s="49"/>
      <c r="J757" s="50"/>
      <c r="K757" s="22"/>
      <c r="L757" s="22"/>
      <c r="M757" s="22"/>
      <c r="N757" s="22"/>
      <c r="O757" s="22"/>
      <c r="P757" s="46"/>
      <c r="Q757" s="40"/>
      <c r="R757" s="41"/>
      <c r="S757" s="22" t="str">
        <f t="shared" si="67"/>
        <v/>
      </c>
      <c r="T757" s="41"/>
      <c r="U757" s="41" t="str">
        <f t="shared" si="71"/>
        <v/>
      </c>
      <c r="V757" s="44"/>
      <c r="W757" s="44"/>
      <c r="X757" s="46"/>
      <c r="Y757" s="46"/>
      <c r="Z757" s="46"/>
      <c r="AA757" s="41"/>
      <c r="AB757" s="22"/>
      <c r="AC757" s="22"/>
      <c r="AD757" s="41"/>
      <c r="AE757" s="22"/>
      <c r="AF757" s="22"/>
      <c r="AG757" s="48" t="str">
        <f t="shared" si="68"/>
        <v/>
      </c>
      <c r="AH757" s="48" t="str">
        <f t="shared" si="69"/>
        <v/>
      </c>
      <c r="AI757" s="48" t="str">
        <f t="shared" si="70"/>
        <v/>
      </c>
      <c r="AJ757" s="40" t="str">
        <f t="shared" si="72"/>
        <v/>
      </c>
      <c r="AK757" s="40"/>
      <c r="AL757" s="40"/>
      <c r="AM757" s="22"/>
      <c r="AQ757" s="46"/>
    </row>
    <row r="758" spans="1:43" ht="17.399999999999999">
      <c r="A758" s="22"/>
      <c r="B758" s="22"/>
      <c r="C758" s="56"/>
      <c r="D758" s="56"/>
      <c r="E758" s="22"/>
      <c r="F758" s="22"/>
      <c r="G758" s="22"/>
      <c r="H758" s="22"/>
      <c r="I758" s="49"/>
      <c r="J758" s="50"/>
      <c r="K758" s="22"/>
      <c r="L758" s="22"/>
      <c r="M758" s="22"/>
      <c r="N758" s="22"/>
      <c r="O758" s="22"/>
      <c r="P758" s="46"/>
      <c r="Q758" s="40"/>
      <c r="R758" s="41"/>
      <c r="S758" s="22" t="str">
        <f t="shared" si="67"/>
        <v/>
      </c>
      <c r="T758" s="41"/>
      <c r="U758" s="41" t="str">
        <f t="shared" si="71"/>
        <v/>
      </c>
      <c r="V758" s="44"/>
      <c r="W758" s="44"/>
      <c r="X758" s="46"/>
      <c r="Y758" s="46"/>
      <c r="Z758" s="46"/>
      <c r="AA758" s="41"/>
      <c r="AB758" s="22"/>
      <c r="AC758" s="22"/>
      <c r="AD758" s="41"/>
      <c r="AE758" s="22"/>
      <c r="AF758" s="22"/>
      <c r="AG758" s="48" t="str">
        <f t="shared" si="68"/>
        <v/>
      </c>
      <c r="AH758" s="48" t="str">
        <f t="shared" si="69"/>
        <v/>
      </c>
      <c r="AI758" s="48" t="str">
        <f t="shared" si="70"/>
        <v/>
      </c>
      <c r="AJ758" s="40" t="str">
        <f t="shared" si="72"/>
        <v/>
      </c>
      <c r="AK758" s="40"/>
      <c r="AL758" s="40"/>
      <c r="AM758" s="22"/>
      <c r="AQ758" s="46"/>
    </row>
    <row r="759" spans="1:43" ht="17.399999999999999">
      <c r="A759" s="22"/>
      <c r="B759" s="22"/>
      <c r="C759" s="56"/>
      <c r="D759" s="56"/>
      <c r="E759" s="22"/>
      <c r="F759" s="22"/>
      <c r="G759" s="22"/>
      <c r="H759" s="22"/>
      <c r="I759" s="49"/>
      <c r="J759" s="50"/>
      <c r="K759" s="22"/>
      <c r="L759" s="22"/>
      <c r="M759" s="22"/>
      <c r="N759" s="22"/>
      <c r="O759" s="22"/>
      <c r="P759" s="46"/>
      <c r="Q759" s="40"/>
      <c r="R759" s="41"/>
      <c r="S759" s="22" t="str">
        <f t="shared" si="67"/>
        <v/>
      </c>
      <c r="T759" s="41"/>
      <c r="U759" s="41" t="str">
        <f t="shared" si="71"/>
        <v/>
      </c>
      <c r="V759" s="44"/>
      <c r="W759" s="44"/>
      <c r="X759" s="46"/>
      <c r="Y759" s="46"/>
      <c r="Z759" s="46"/>
      <c r="AA759" s="41"/>
      <c r="AB759" s="22"/>
      <c r="AC759" s="22"/>
      <c r="AD759" s="41"/>
      <c r="AE759" s="22"/>
      <c r="AF759" s="22"/>
      <c r="AG759" s="48" t="str">
        <f t="shared" si="68"/>
        <v/>
      </c>
      <c r="AH759" s="48" t="str">
        <f t="shared" si="69"/>
        <v/>
      </c>
      <c r="AI759" s="48" t="str">
        <f t="shared" si="70"/>
        <v/>
      </c>
      <c r="AJ759" s="40" t="str">
        <f t="shared" si="72"/>
        <v/>
      </c>
      <c r="AK759" s="40"/>
      <c r="AL759" s="40"/>
      <c r="AM759" s="22"/>
      <c r="AQ759" s="46"/>
    </row>
    <row r="760" spans="1:43" ht="17.399999999999999">
      <c r="A760" s="22"/>
      <c r="B760" s="22"/>
      <c r="C760" s="56"/>
      <c r="D760" s="56"/>
      <c r="E760" s="22"/>
      <c r="F760" s="22"/>
      <c r="G760" s="22"/>
      <c r="H760" s="22"/>
      <c r="I760" s="49"/>
      <c r="J760" s="50"/>
      <c r="K760" s="22"/>
      <c r="L760" s="22"/>
      <c r="M760" s="22"/>
      <c r="N760" s="22"/>
      <c r="O760" s="22"/>
      <c r="P760" s="46"/>
      <c r="Q760" s="40"/>
      <c r="R760" s="41"/>
      <c r="S760" s="22" t="str">
        <f t="shared" si="67"/>
        <v/>
      </c>
      <c r="T760" s="41"/>
      <c r="U760" s="41" t="str">
        <f t="shared" si="71"/>
        <v/>
      </c>
      <c r="V760" s="44"/>
      <c r="W760" s="44"/>
      <c r="X760" s="46"/>
      <c r="Y760" s="46"/>
      <c r="Z760" s="46"/>
      <c r="AA760" s="41"/>
      <c r="AB760" s="22"/>
      <c r="AC760" s="22"/>
      <c r="AD760" s="41"/>
      <c r="AE760" s="22"/>
      <c r="AF760" s="22"/>
      <c r="AG760" s="48" t="str">
        <f t="shared" si="68"/>
        <v/>
      </c>
      <c r="AH760" s="48" t="str">
        <f t="shared" si="69"/>
        <v/>
      </c>
      <c r="AI760" s="48" t="str">
        <f t="shared" si="70"/>
        <v/>
      </c>
      <c r="AJ760" s="40" t="str">
        <f t="shared" si="72"/>
        <v/>
      </c>
      <c r="AK760" s="40"/>
      <c r="AL760" s="40"/>
      <c r="AM760" s="22"/>
      <c r="AQ760" s="46"/>
    </row>
    <row r="761" spans="1:43" ht="17.399999999999999">
      <c r="A761" s="22"/>
      <c r="B761" s="22"/>
      <c r="C761" s="56"/>
      <c r="D761" s="56"/>
      <c r="E761" s="22"/>
      <c r="F761" s="22"/>
      <c r="G761" s="22"/>
      <c r="H761" s="22"/>
      <c r="I761" s="49"/>
      <c r="J761" s="50"/>
      <c r="K761" s="22"/>
      <c r="L761" s="22"/>
      <c r="M761" s="22"/>
      <c r="N761" s="22"/>
      <c r="O761" s="22"/>
      <c r="P761" s="46"/>
      <c r="Q761" s="40"/>
      <c r="R761" s="41"/>
      <c r="S761" s="22" t="str">
        <f t="shared" si="67"/>
        <v/>
      </c>
      <c r="T761" s="41"/>
      <c r="U761" s="41" t="str">
        <f t="shared" si="71"/>
        <v/>
      </c>
      <c r="V761" s="44"/>
      <c r="W761" s="44"/>
      <c r="X761" s="46"/>
      <c r="Y761" s="46"/>
      <c r="Z761" s="46"/>
      <c r="AA761" s="41"/>
      <c r="AB761" s="22"/>
      <c r="AC761" s="22"/>
      <c r="AD761" s="41"/>
      <c r="AE761" s="22"/>
      <c r="AF761" s="22"/>
      <c r="AG761" s="48" t="str">
        <f t="shared" si="68"/>
        <v/>
      </c>
      <c r="AH761" s="48" t="str">
        <f t="shared" si="69"/>
        <v/>
      </c>
      <c r="AI761" s="48" t="str">
        <f t="shared" si="70"/>
        <v/>
      </c>
      <c r="AJ761" s="40" t="str">
        <f t="shared" si="72"/>
        <v/>
      </c>
      <c r="AK761" s="40"/>
      <c r="AL761" s="40"/>
      <c r="AM761" s="22"/>
      <c r="AQ761" s="46"/>
    </row>
    <row r="762" spans="1:43" ht="17.399999999999999">
      <c r="A762" s="22"/>
      <c r="B762" s="22"/>
      <c r="C762" s="56"/>
      <c r="D762" s="56"/>
      <c r="E762" s="22"/>
      <c r="F762" s="22"/>
      <c r="G762" s="22"/>
      <c r="H762" s="22"/>
      <c r="I762" s="49"/>
      <c r="J762" s="50"/>
      <c r="K762" s="22"/>
      <c r="L762" s="22"/>
      <c r="M762" s="22"/>
      <c r="N762" s="22"/>
      <c r="O762" s="22"/>
      <c r="P762" s="46"/>
      <c r="Q762" s="40"/>
      <c r="R762" s="41"/>
      <c r="S762" s="22" t="str">
        <f t="shared" si="67"/>
        <v/>
      </c>
      <c r="T762" s="41"/>
      <c r="U762" s="41" t="str">
        <f t="shared" si="71"/>
        <v/>
      </c>
      <c r="V762" s="44"/>
      <c r="W762" s="44"/>
      <c r="X762" s="46"/>
      <c r="Y762" s="46"/>
      <c r="Z762" s="46"/>
      <c r="AA762" s="41"/>
      <c r="AB762" s="22"/>
      <c r="AC762" s="22"/>
      <c r="AD762" s="41"/>
      <c r="AE762" s="22"/>
      <c r="AF762" s="22"/>
      <c r="AG762" s="48" t="str">
        <f t="shared" si="68"/>
        <v/>
      </c>
      <c r="AH762" s="48" t="str">
        <f t="shared" si="69"/>
        <v/>
      </c>
      <c r="AI762" s="48" t="str">
        <f t="shared" si="70"/>
        <v/>
      </c>
      <c r="AJ762" s="40" t="str">
        <f t="shared" si="72"/>
        <v/>
      </c>
      <c r="AK762" s="40"/>
      <c r="AL762" s="40"/>
      <c r="AM762" s="22"/>
      <c r="AQ762" s="46"/>
    </row>
    <row r="763" spans="1:43" ht="17.399999999999999">
      <c r="A763" s="22"/>
      <c r="B763" s="22"/>
      <c r="C763" s="56"/>
      <c r="D763" s="56"/>
      <c r="E763" s="22"/>
      <c r="F763" s="22"/>
      <c r="G763" s="22"/>
      <c r="H763" s="22"/>
      <c r="I763" s="49"/>
      <c r="J763" s="50"/>
      <c r="K763" s="22"/>
      <c r="L763" s="22"/>
      <c r="M763" s="22"/>
      <c r="N763" s="22"/>
      <c r="O763" s="22"/>
      <c r="P763" s="46"/>
      <c r="Q763" s="40"/>
      <c r="R763" s="41"/>
      <c r="S763" s="22" t="str">
        <f t="shared" si="67"/>
        <v/>
      </c>
      <c r="T763" s="41"/>
      <c r="U763" s="41" t="str">
        <f t="shared" si="71"/>
        <v/>
      </c>
      <c r="V763" s="44"/>
      <c r="W763" s="44"/>
      <c r="X763" s="46"/>
      <c r="Y763" s="46"/>
      <c r="Z763" s="46"/>
      <c r="AA763" s="41"/>
      <c r="AB763" s="22"/>
      <c r="AC763" s="22"/>
      <c r="AD763" s="41"/>
      <c r="AE763" s="22"/>
      <c r="AF763" s="22"/>
      <c r="AG763" s="48" t="str">
        <f t="shared" si="68"/>
        <v/>
      </c>
      <c r="AH763" s="48" t="str">
        <f t="shared" si="69"/>
        <v/>
      </c>
      <c r="AI763" s="48" t="str">
        <f t="shared" si="70"/>
        <v/>
      </c>
      <c r="AJ763" s="40" t="str">
        <f t="shared" si="72"/>
        <v/>
      </c>
      <c r="AK763" s="40"/>
      <c r="AL763" s="40"/>
      <c r="AM763" s="22"/>
      <c r="AQ763" s="46"/>
    </row>
    <row r="764" spans="1:43" ht="17.399999999999999">
      <c r="A764" s="22"/>
      <c r="B764" s="22"/>
      <c r="C764" s="56"/>
      <c r="D764" s="56"/>
      <c r="E764" s="22"/>
      <c r="F764" s="22"/>
      <c r="G764" s="22"/>
      <c r="H764" s="22"/>
      <c r="I764" s="49"/>
      <c r="J764" s="50"/>
      <c r="K764" s="22"/>
      <c r="L764" s="22"/>
      <c r="M764" s="22"/>
      <c r="N764" s="22"/>
      <c r="O764" s="22"/>
      <c r="P764" s="46"/>
      <c r="Q764" s="40"/>
      <c r="R764" s="41"/>
      <c r="S764" s="22" t="str">
        <f t="shared" si="67"/>
        <v/>
      </c>
      <c r="T764" s="41"/>
      <c r="U764" s="41" t="str">
        <f t="shared" si="71"/>
        <v/>
      </c>
      <c r="V764" s="44"/>
      <c r="W764" s="44"/>
      <c r="X764" s="46"/>
      <c r="Y764" s="46"/>
      <c r="Z764" s="46"/>
      <c r="AA764" s="41"/>
      <c r="AB764" s="22"/>
      <c r="AC764" s="22"/>
      <c r="AD764" s="41"/>
      <c r="AE764" s="22"/>
      <c r="AF764" s="22"/>
      <c r="AG764" s="48" t="str">
        <f t="shared" si="68"/>
        <v/>
      </c>
      <c r="AH764" s="48" t="str">
        <f t="shared" si="69"/>
        <v/>
      </c>
      <c r="AI764" s="48" t="str">
        <f t="shared" si="70"/>
        <v/>
      </c>
      <c r="AJ764" s="40" t="str">
        <f t="shared" si="72"/>
        <v/>
      </c>
      <c r="AK764" s="40"/>
      <c r="AL764" s="40"/>
      <c r="AM764" s="22"/>
      <c r="AQ764" s="46"/>
    </row>
    <row r="765" spans="1:43" ht="17.399999999999999">
      <c r="A765" s="22"/>
      <c r="B765" s="22"/>
      <c r="C765" s="56"/>
      <c r="D765" s="56"/>
      <c r="E765" s="22"/>
      <c r="F765" s="22"/>
      <c r="G765" s="22"/>
      <c r="H765" s="22"/>
      <c r="I765" s="49"/>
      <c r="J765" s="50"/>
      <c r="K765" s="22"/>
      <c r="L765" s="22"/>
      <c r="M765" s="22"/>
      <c r="N765" s="22"/>
      <c r="O765" s="22"/>
      <c r="P765" s="46"/>
      <c r="Q765" s="40"/>
      <c r="R765" s="41"/>
      <c r="S765" s="22" t="str">
        <f t="shared" si="67"/>
        <v/>
      </c>
      <c r="T765" s="41"/>
      <c r="U765" s="41" t="str">
        <f t="shared" si="71"/>
        <v/>
      </c>
      <c r="V765" s="44"/>
      <c r="W765" s="44"/>
      <c r="X765" s="46"/>
      <c r="Y765" s="46"/>
      <c r="Z765" s="46"/>
      <c r="AA765" s="41"/>
      <c r="AB765" s="22"/>
      <c r="AC765" s="22"/>
      <c r="AD765" s="41"/>
      <c r="AE765" s="22"/>
      <c r="AF765" s="22"/>
      <c r="AG765" s="48" t="str">
        <f t="shared" si="68"/>
        <v/>
      </c>
      <c r="AH765" s="48" t="str">
        <f t="shared" si="69"/>
        <v/>
      </c>
      <c r="AI765" s="48" t="str">
        <f t="shared" si="70"/>
        <v/>
      </c>
      <c r="AJ765" s="40" t="str">
        <f t="shared" si="72"/>
        <v/>
      </c>
      <c r="AK765" s="40"/>
      <c r="AL765" s="40"/>
      <c r="AM765" s="22"/>
      <c r="AQ765" s="46"/>
    </row>
    <row r="766" spans="1:43" ht="17.399999999999999">
      <c r="A766" s="22"/>
      <c r="B766" s="22"/>
      <c r="C766" s="56"/>
      <c r="D766" s="56"/>
      <c r="E766" s="22"/>
      <c r="F766" s="22"/>
      <c r="G766" s="22"/>
      <c r="H766" s="22"/>
      <c r="I766" s="49"/>
      <c r="J766" s="50"/>
      <c r="K766" s="22"/>
      <c r="L766" s="22"/>
      <c r="M766" s="22"/>
      <c r="N766" s="22"/>
      <c r="O766" s="22"/>
      <c r="P766" s="46"/>
      <c r="Q766" s="40"/>
      <c r="R766" s="41"/>
      <c r="S766" s="22" t="str">
        <f t="shared" si="67"/>
        <v/>
      </c>
      <c r="T766" s="41"/>
      <c r="U766" s="41" t="str">
        <f t="shared" si="71"/>
        <v/>
      </c>
      <c r="V766" s="44"/>
      <c r="W766" s="44"/>
      <c r="X766" s="46"/>
      <c r="Y766" s="46"/>
      <c r="Z766" s="46"/>
      <c r="AA766" s="41"/>
      <c r="AB766" s="22"/>
      <c r="AC766" s="22"/>
      <c r="AD766" s="41"/>
      <c r="AE766" s="22"/>
      <c r="AF766" s="22"/>
      <c r="AG766" s="48" t="str">
        <f t="shared" si="68"/>
        <v/>
      </c>
      <c r="AH766" s="48" t="str">
        <f t="shared" si="69"/>
        <v/>
      </c>
      <c r="AI766" s="48" t="str">
        <f t="shared" si="70"/>
        <v/>
      </c>
      <c r="AJ766" s="40" t="str">
        <f t="shared" si="72"/>
        <v/>
      </c>
      <c r="AK766" s="40"/>
      <c r="AL766" s="40"/>
      <c r="AM766" s="22"/>
      <c r="AQ766" s="46"/>
    </row>
    <row r="767" spans="1:43" ht="17.399999999999999">
      <c r="A767" s="22"/>
      <c r="B767" s="22"/>
      <c r="C767" s="56"/>
      <c r="D767" s="56"/>
      <c r="E767" s="22"/>
      <c r="F767" s="22"/>
      <c r="G767" s="22"/>
      <c r="H767" s="22"/>
      <c r="I767" s="49"/>
      <c r="J767" s="50"/>
      <c r="K767" s="22"/>
      <c r="L767" s="22"/>
      <c r="M767" s="22"/>
      <c r="N767" s="22"/>
      <c r="O767" s="22"/>
      <c r="P767" s="46"/>
      <c r="Q767" s="40"/>
      <c r="R767" s="41"/>
      <c r="S767" s="22" t="str">
        <f t="shared" si="67"/>
        <v/>
      </c>
      <c r="T767" s="41"/>
      <c r="U767" s="41" t="str">
        <f t="shared" si="71"/>
        <v/>
      </c>
      <c r="V767" s="44"/>
      <c r="W767" s="44"/>
      <c r="X767" s="46"/>
      <c r="Y767" s="46"/>
      <c r="Z767" s="46"/>
      <c r="AA767" s="41"/>
      <c r="AB767" s="22"/>
      <c r="AC767" s="22"/>
      <c r="AD767" s="41"/>
      <c r="AE767" s="22"/>
      <c r="AF767" s="22"/>
      <c r="AG767" s="48" t="str">
        <f t="shared" si="68"/>
        <v/>
      </c>
      <c r="AH767" s="48" t="str">
        <f t="shared" si="69"/>
        <v/>
      </c>
      <c r="AI767" s="48" t="str">
        <f t="shared" si="70"/>
        <v/>
      </c>
      <c r="AJ767" s="40" t="str">
        <f t="shared" si="72"/>
        <v/>
      </c>
      <c r="AK767" s="40"/>
      <c r="AL767" s="40"/>
      <c r="AM767" s="22"/>
      <c r="AQ767" s="46"/>
    </row>
    <row r="768" spans="1:43" ht="17.399999999999999">
      <c r="A768" s="22"/>
      <c r="B768" s="22"/>
      <c r="C768" s="56"/>
      <c r="D768" s="56"/>
      <c r="E768" s="22"/>
      <c r="F768" s="22"/>
      <c r="G768" s="22"/>
      <c r="H768" s="22"/>
      <c r="I768" s="49"/>
      <c r="J768" s="50"/>
      <c r="K768" s="22"/>
      <c r="L768" s="22"/>
      <c r="M768" s="22"/>
      <c r="N768" s="22"/>
      <c r="O768" s="22"/>
      <c r="P768" s="46"/>
      <c r="Q768" s="40"/>
      <c r="R768" s="41"/>
      <c r="S768" s="22" t="str">
        <f t="shared" si="67"/>
        <v/>
      </c>
      <c r="T768" s="41"/>
      <c r="U768" s="41" t="str">
        <f t="shared" si="71"/>
        <v/>
      </c>
      <c r="V768" s="44"/>
      <c r="W768" s="44"/>
      <c r="X768" s="46"/>
      <c r="Y768" s="46"/>
      <c r="Z768" s="46"/>
      <c r="AA768" s="41"/>
      <c r="AB768" s="22"/>
      <c r="AC768" s="22"/>
      <c r="AD768" s="41"/>
      <c r="AE768" s="22"/>
      <c r="AF768" s="22"/>
      <c r="AG768" s="48" t="str">
        <f t="shared" si="68"/>
        <v/>
      </c>
      <c r="AH768" s="48" t="str">
        <f t="shared" si="69"/>
        <v/>
      </c>
      <c r="AI768" s="48" t="str">
        <f t="shared" si="70"/>
        <v/>
      </c>
      <c r="AJ768" s="40" t="str">
        <f t="shared" si="72"/>
        <v/>
      </c>
      <c r="AK768" s="40"/>
      <c r="AL768" s="40"/>
      <c r="AM768" s="22"/>
      <c r="AQ768" s="46"/>
    </row>
    <row r="769" spans="1:43" ht="17.399999999999999">
      <c r="A769" s="22"/>
      <c r="B769" s="22"/>
      <c r="C769" s="56"/>
      <c r="D769" s="56"/>
      <c r="E769" s="22"/>
      <c r="F769" s="22"/>
      <c r="G769" s="22"/>
      <c r="H769" s="22"/>
      <c r="I769" s="49"/>
      <c r="J769" s="50"/>
      <c r="K769" s="22"/>
      <c r="L769" s="22"/>
      <c r="M769" s="22"/>
      <c r="N769" s="22"/>
      <c r="O769" s="22"/>
      <c r="P769" s="46"/>
      <c r="Q769" s="40"/>
      <c r="R769" s="41"/>
      <c r="S769" s="22" t="str">
        <f t="shared" si="67"/>
        <v/>
      </c>
      <c r="T769" s="41"/>
      <c r="U769" s="41" t="str">
        <f t="shared" si="71"/>
        <v/>
      </c>
      <c r="V769" s="44"/>
      <c r="W769" s="44"/>
      <c r="X769" s="46"/>
      <c r="Y769" s="46"/>
      <c r="Z769" s="46"/>
      <c r="AA769" s="41"/>
      <c r="AB769" s="22"/>
      <c r="AC769" s="22"/>
      <c r="AD769" s="41"/>
      <c r="AE769" s="22"/>
      <c r="AF769" s="22"/>
      <c r="AG769" s="48" t="str">
        <f t="shared" si="68"/>
        <v/>
      </c>
      <c r="AH769" s="48" t="str">
        <f t="shared" si="69"/>
        <v/>
      </c>
      <c r="AI769" s="48" t="str">
        <f t="shared" si="70"/>
        <v/>
      </c>
      <c r="AJ769" s="40" t="str">
        <f t="shared" si="72"/>
        <v/>
      </c>
      <c r="AK769" s="40"/>
      <c r="AL769" s="40"/>
      <c r="AM769" s="22"/>
      <c r="AQ769" s="46"/>
    </row>
    <row r="770" spans="1:43" ht="17.399999999999999">
      <c r="A770" s="22"/>
      <c r="B770" s="22"/>
      <c r="C770" s="56"/>
      <c r="D770" s="56"/>
      <c r="E770" s="22"/>
      <c r="F770" s="22"/>
      <c r="G770" s="22"/>
      <c r="H770" s="22"/>
      <c r="I770" s="49"/>
      <c r="J770" s="50"/>
      <c r="K770" s="22"/>
      <c r="L770" s="22"/>
      <c r="M770" s="22"/>
      <c r="N770" s="22"/>
      <c r="O770" s="22"/>
      <c r="P770" s="46"/>
      <c r="Q770" s="40"/>
      <c r="R770" s="41"/>
      <c r="S770" s="22" t="str">
        <f t="shared" si="67"/>
        <v/>
      </c>
      <c r="T770" s="41"/>
      <c r="U770" s="41" t="str">
        <f t="shared" si="71"/>
        <v/>
      </c>
      <c r="V770" s="44"/>
      <c r="W770" s="44"/>
      <c r="X770" s="46"/>
      <c r="Y770" s="46"/>
      <c r="Z770" s="46"/>
      <c r="AA770" s="41"/>
      <c r="AB770" s="22"/>
      <c r="AC770" s="22"/>
      <c r="AD770" s="41"/>
      <c r="AE770" s="22"/>
      <c r="AF770" s="22"/>
      <c r="AG770" s="48" t="str">
        <f t="shared" si="68"/>
        <v/>
      </c>
      <c r="AH770" s="48" t="str">
        <f t="shared" si="69"/>
        <v/>
      </c>
      <c r="AI770" s="48" t="str">
        <f t="shared" si="70"/>
        <v/>
      </c>
      <c r="AJ770" s="40" t="str">
        <f t="shared" si="72"/>
        <v/>
      </c>
      <c r="AK770" s="40"/>
      <c r="AL770" s="40"/>
      <c r="AM770" s="22"/>
      <c r="AQ770" s="46"/>
    </row>
    <row r="771" spans="1:43" ht="17.399999999999999">
      <c r="A771" s="22"/>
      <c r="B771" s="22"/>
      <c r="C771" s="56"/>
      <c r="D771" s="56"/>
      <c r="E771" s="22"/>
      <c r="F771" s="22"/>
      <c r="G771" s="22"/>
      <c r="H771" s="22"/>
      <c r="I771" s="49"/>
      <c r="J771" s="50"/>
      <c r="K771" s="22"/>
      <c r="L771" s="22"/>
      <c r="M771" s="22"/>
      <c r="N771" s="22"/>
      <c r="O771" s="22"/>
      <c r="P771" s="46"/>
      <c r="Q771" s="40"/>
      <c r="R771" s="41"/>
      <c r="S771" s="22" t="str">
        <f t="shared" ref="S771:S834" si="73">IF(A771="","",M771+O771)</f>
        <v/>
      </c>
      <c r="T771" s="41"/>
      <c r="U771" s="41" t="str">
        <f t="shared" si="71"/>
        <v/>
      </c>
      <c r="V771" s="44"/>
      <c r="W771" s="44"/>
      <c r="X771" s="46"/>
      <c r="Y771" s="46"/>
      <c r="Z771" s="46"/>
      <c r="AA771" s="41"/>
      <c r="AB771" s="22"/>
      <c r="AC771" s="22"/>
      <c r="AD771" s="41"/>
      <c r="AE771" s="22"/>
      <c r="AF771" s="22"/>
      <c r="AG771" s="48" t="str">
        <f t="shared" ref="AG771:AG834" si="74">IF(A771="","",S771-Y771)</f>
        <v/>
      </c>
      <c r="AH771" s="48" t="str">
        <f t="shared" ref="AH771:AH834" si="75">IF(A771="","",Y771-(AC771+AF771))</f>
        <v/>
      </c>
      <c r="AI771" s="48" t="str">
        <f t="shared" ref="AI771:AI834" si="76">IF(A771="","",AG771+AH771)</f>
        <v/>
      </c>
      <c r="AJ771" s="40" t="str">
        <f t="shared" si="72"/>
        <v/>
      </c>
      <c r="AK771" s="40"/>
      <c r="AL771" s="40"/>
      <c r="AM771" s="22"/>
      <c r="AQ771" s="46"/>
    </row>
    <row r="772" spans="1:43" ht="17.399999999999999">
      <c r="A772" s="22"/>
      <c r="B772" s="22"/>
      <c r="C772" s="56"/>
      <c r="D772" s="56"/>
      <c r="E772" s="22"/>
      <c r="F772" s="22"/>
      <c r="G772" s="22"/>
      <c r="H772" s="22"/>
      <c r="I772" s="49"/>
      <c r="J772" s="50"/>
      <c r="K772" s="22"/>
      <c r="L772" s="22"/>
      <c r="M772" s="22"/>
      <c r="N772" s="22"/>
      <c r="O772" s="22"/>
      <c r="P772" s="46"/>
      <c r="Q772" s="40"/>
      <c r="R772" s="41"/>
      <c r="S772" s="22" t="str">
        <f t="shared" si="73"/>
        <v/>
      </c>
      <c r="T772" s="41"/>
      <c r="U772" s="41" t="str">
        <f t="shared" ref="U772:U835" si="77">IF(OR(P772="FEC-FS",P772="PALTEK",P772="SDSE(TOKE)"),"Upload in customer box","")</f>
        <v/>
      </c>
      <c r="V772" s="44"/>
      <c r="W772" s="44"/>
      <c r="X772" s="46"/>
      <c r="Y772" s="46"/>
      <c r="Z772" s="46"/>
      <c r="AA772" s="41"/>
      <c r="AB772" s="22"/>
      <c r="AC772" s="22"/>
      <c r="AD772" s="41"/>
      <c r="AE772" s="22"/>
      <c r="AF772" s="22"/>
      <c r="AG772" s="48" t="str">
        <f t="shared" si="74"/>
        <v/>
      </c>
      <c r="AH772" s="48" t="str">
        <f t="shared" si="75"/>
        <v/>
      </c>
      <c r="AI772" s="48" t="str">
        <f t="shared" si="76"/>
        <v/>
      </c>
      <c r="AJ772" s="40" t="str">
        <f t="shared" si="72"/>
        <v/>
      </c>
      <c r="AK772" s="40"/>
      <c r="AL772" s="40"/>
      <c r="AM772" s="22"/>
      <c r="AQ772" s="46"/>
    </row>
    <row r="773" spans="1:43" ht="17.399999999999999">
      <c r="A773" s="22"/>
      <c r="B773" s="22"/>
      <c r="C773" s="56"/>
      <c r="D773" s="56"/>
      <c r="E773" s="22"/>
      <c r="F773" s="22"/>
      <c r="G773" s="22"/>
      <c r="H773" s="22"/>
      <c r="I773" s="49"/>
      <c r="J773" s="50"/>
      <c r="K773" s="22"/>
      <c r="L773" s="22"/>
      <c r="M773" s="22"/>
      <c r="N773" s="22"/>
      <c r="O773" s="22"/>
      <c r="P773" s="46"/>
      <c r="Q773" s="40"/>
      <c r="R773" s="41"/>
      <c r="S773" s="22" t="str">
        <f t="shared" si="73"/>
        <v/>
      </c>
      <c r="T773" s="41"/>
      <c r="U773" s="41" t="str">
        <f t="shared" si="77"/>
        <v/>
      </c>
      <c r="V773" s="44"/>
      <c r="W773" s="44"/>
      <c r="X773" s="46"/>
      <c r="Y773" s="46"/>
      <c r="Z773" s="46"/>
      <c r="AA773" s="41"/>
      <c r="AB773" s="22"/>
      <c r="AC773" s="22"/>
      <c r="AD773" s="41"/>
      <c r="AE773" s="22"/>
      <c r="AF773" s="22"/>
      <c r="AG773" s="48" t="str">
        <f t="shared" si="74"/>
        <v/>
      </c>
      <c r="AH773" s="48" t="str">
        <f t="shared" si="75"/>
        <v/>
      </c>
      <c r="AI773" s="48" t="str">
        <f t="shared" si="76"/>
        <v/>
      </c>
      <c r="AJ773" s="40" t="str">
        <f t="shared" si="72"/>
        <v/>
      </c>
      <c r="AK773" s="40"/>
      <c r="AL773" s="40"/>
      <c r="AM773" s="22"/>
      <c r="AQ773" s="46"/>
    </row>
    <row r="774" spans="1:43" ht="17.399999999999999">
      <c r="A774" s="22"/>
      <c r="B774" s="22"/>
      <c r="C774" s="56"/>
      <c r="D774" s="56"/>
      <c r="E774" s="22"/>
      <c r="F774" s="22"/>
      <c r="G774" s="22"/>
      <c r="H774" s="22"/>
      <c r="I774" s="49"/>
      <c r="J774" s="50"/>
      <c r="K774" s="22"/>
      <c r="L774" s="22"/>
      <c r="M774" s="22"/>
      <c r="N774" s="22"/>
      <c r="O774" s="22"/>
      <c r="P774" s="46"/>
      <c r="Q774" s="40"/>
      <c r="R774" s="41"/>
      <c r="S774" s="22" t="str">
        <f t="shared" si="73"/>
        <v/>
      </c>
      <c r="T774" s="41"/>
      <c r="U774" s="41" t="str">
        <f t="shared" si="77"/>
        <v/>
      </c>
      <c r="V774" s="44"/>
      <c r="W774" s="44"/>
      <c r="X774" s="46"/>
      <c r="Y774" s="46"/>
      <c r="Z774" s="46"/>
      <c r="AA774" s="41"/>
      <c r="AB774" s="22"/>
      <c r="AC774" s="22"/>
      <c r="AD774" s="41"/>
      <c r="AE774" s="22"/>
      <c r="AF774" s="22"/>
      <c r="AG774" s="48" t="str">
        <f t="shared" si="74"/>
        <v/>
      </c>
      <c r="AH774" s="48" t="str">
        <f t="shared" si="75"/>
        <v/>
      </c>
      <c r="AI774" s="48" t="str">
        <f t="shared" si="76"/>
        <v/>
      </c>
      <c r="AJ774" s="40" t="str">
        <f t="shared" si="72"/>
        <v/>
      </c>
      <c r="AK774" s="40"/>
      <c r="AL774" s="40"/>
      <c r="AM774" s="22"/>
      <c r="AQ774" s="46"/>
    </row>
    <row r="775" spans="1:43" ht="17.399999999999999">
      <c r="A775" s="22"/>
      <c r="B775" s="22"/>
      <c r="C775" s="56"/>
      <c r="D775" s="56"/>
      <c r="E775" s="22"/>
      <c r="F775" s="22"/>
      <c r="G775" s="22"/>
      <c r="H775" s="22"/>
      <c r="I775" s="49"/>
      <c r="J775" s="50"/>
      <c r="K775" s="22"/>
      <c r="L775" s="22"/>
      <c r="M775" s="22"/>
      <c r="N775" s="22"/>
      <c r="O775" s="22"/>
      <c r="P775" s="46"/>
      <c r="Q775" s="40"/>
      <c r="R775" s="41"/>
      <c r="S775" s="22" t="str">
        <f t="shared" si="73"/>
        <v/>
      </c>
      <c r="T775" s="41"/>
      <c r="U775" s="41" t="str">
        <f t="shared" si="77"/>
        <v/>
      </c>
      <c r="V775" s="44"/>
      <c r="W775" s="44"/>
      <c r="X775" s="46"/>
      <c r="Y775" s="46"/>
      <c r="Z775" s="46"/>
      <c r="AA775" s="41"/>
      <c r="AB775" s="22"/>
      <c r="AC775" s="22"/>
      <c r="AD775" s="41"/>
      <c r="AE775" s="22"/>
      <c r="AF775" s="22"/>
      <c r="AG775" s="48" t="str">
        <f t="shared" si="74"/>
        <v/>
      </c>
      <c r="AH775" s="48" t="str">
        <f t="shared" si="75"/>
        <v/>
      </c>
      <c r="AI775" s="48" t="str">
        <f t="shared" si="76"/>
        <v/>
      </c>
      <c r="AJ775" s="40" t="str">
        <f t="shared" si="72"/>
        <v/>
      </c>
      <c r="AK775" s="40"/>
      <c r="AL775" s="40"/>
      <c r="AM775" s="22"/>
      <c r="AQ775" s="46"/>
    </row>
    <row r="776" spans="1:43" ht="17.399999999999999">
      <c r="A776" s="22"/>
      <c r="B776" s="22"/>
      <c r="C776" s="56"/>
      <c r="D776" s="56"/>
      <c r="E776" s="22"/>
      <c r="F776" s="22"/>
      <c r="G776" s="22"/>
      <c r="H776" s="22"/>
      <c r="I776" s="49"/>
      <c r="J776" s="50"/>
      <c r="K776" s="22"/>
      <c r="L776" s="22"/>
      <c r="M776" s="22"/>
      <c r="N776" s="22"/>
      <c r="O776" s="22"/>
      <c r="P776" s="46"/>
      <c r="Q776" s="40"/>
      <c r="R776" s="41"/>
      <c r="S776" s="22" t="str">
        <f t="shared" si="73"/>
        <v/>
      </c>
      <c r="T776" s="41"/>
      <c r="U776" s="41" t="str">
        <f t="shared" si="77"/>
        <v/>
      </c>
      <c r="V776" s="44"/>
      <c r="W776" s="44"/>
      <c r="X776" s="46"/>
      <c r="Y776" s="46"/>
      <c r="Z776" s="46"/>
      <c r="AA776" s="41"/>
      <c r="AB776" s="22"/>
      <c r="AC776" s="22"/>
      <c r="AD776" s="41"/>
      <c r="AE776" s="22"/>
      <c r="AF776" s="22"/>
      <c r="AG776" s="48" t="str">
        <f t="shared" si="74"/>
        <v/>
      </c>
      <c r="AH776" s="48" t="str">
        <f t="shared" si="75"/>
        <v/>
      </c>
      <c r="AI776" s="48" t="str">
        <f t="shared" si="76"/>
        <v/>
      </c>
      <c r="AJ776" s="40" t="str">
        <f t="shared" si="72"/>
        <v/>
      </c>
      <c r="AK776" s="40"/>
      <c r="AL776" s="40"/>
      <c r="AM776" s="22"/>
      <c r="AQ776" s="46"/>
    </row>
    <row r="777" spans="1:43" ht="17.399999999999999">
      <c r="A777" s="22"/>
      <c r="B777" s="22"/>
      <c r="C777" s="56"/>
      <c r="D777" s="56"/>
      <c r="E777" s="22"/>
      <c r="F777" s="22"/>
      <c r="G777" s="22"/>
      <c r="H777" s="22"/>
      <c r="I777" s="49"/>
      <c r="J777" s="50"/>
      <c r="K777" s="22"/>
      <c r="L777" s="22"/>
      <c r="M777" s="22"/>
      <c r="N777" s="22"/>
      <c r="O777" s="22"/>
      <c r="P777" s="46"/>
      <c r="Q777" s="40"/>
      <c r="R777" s="41"/>
      <c r="S777" s="22" t="str">
        <f t="shared" si="73"/>
        <v/>
      </c>
      <c r="T777" s="41"/>
      <c r="U777" s="41" t="str">
        <f t="shared" si="77"/>
        <v/>
      </c>
      <c r="V777" s="44"/>
      <c r="W777" s="44"/>
      <c r="X777" s="46"/>
      <c r="Y777" s="46"/>
      <c r="Z777" s="46"/>
      <c r="AA777" s="41"/>
      <c r="AB777" s="22"/>
      <c r="AC777" s="22"/>
      <c r="AD777" s="41"/>
      <c r="AE777" s="22"/>
      <c r="AF777" s="22"/>
      <c r="AG777" s="48" t="str">
        <f t="shared" si="74"/>
        <v/>
      </c>
      <c r="AH777" s="48" t="str">
        <f t="shared" si="75"/>
        <v/>
      </c>
      <c r="AI777" s="48" t="str">
        <f t="shared" si="76"/>
        <v/>
      </c>
      <c r="AJ777" s="40" t="str">
        <f t="shared" si="72"/>
        <v/>
      </c>
      <c r="AK777" s="40"/>
      <c r="AL777" s="40"/>
      <c r="AM777" s="22"/>
      <c r="AQ777" s="46"/>
    </row>
    <row r="778" spans="1:43" ht="17.399999999999999">
      <c r="A778" s="22"/>
      <c r="B778" s="22"/>
      <c r="C778" s="56"/>
      <c r="D778" s="56"/>
      <c r="E778" s="22"/>
      <c r="F778" s="22"/>
      <c r="G778" s="22"/>
      <c r="H778" s="22"/>
      <c r="I778" s="49"/>
      <c r="J778" s="50"/>
      <c r="K778" s="22"/>
      <c r="L778" s="22"/>
      <c r="M778" s="22"/>
      <c r="N778" s="22"/>
      <c r="O778" s="22"/>
      <c r="P778" s="46"/>
      <c r="Q778" s="40"/>
      <c r="R778" s="41"/>
      <c r="S778" s="22" t="str">
        <f t="shared" si="73"/>
        <v/>
      </c>
      <c r="T778" s="41"/>
      <c r="U778" s="41" t="str">
        <f t="shared" si="77"/>
        <v/>
      </c>
      <c r="V778" s="44"/>
      <c r="W778" s="44"/>
      <c r="X778" s="46"/>
      <c r="Y778" s="46"/>
      <c r="Z778" s="46"/>
      <c r="AA778" s="41"/>
      <c r="AB778" s="22"/>
      <c r="AC778" s="22"/>
      <c r="AD778" s="41"/>
      <c r="AE778" s="22"/>
      <c r="AF778" s="22"/>
      <c r="AG778" s="48" t="str">
        <f t="shared" si="74"/>
        <v/>
      </c>
      <c r="AH778" s="48" t="str">
        <f t="shared" si="75"/>
        <v/>
      </c>
      <c r="AI778" s="48" t="str">
        <f t="shared" si="76"/>
        <v/>
      </c>
      <c r="AJ778" s="40" t="str">
        <f t="shared" si="72"/>
        <v/>
      </c>
      <c r="AK778" s="40"/>
      <c r="AL778" s="40"/>
      <c r="AM778" s="22"/>
      <c r="AQ778" s="46"/>
    </row>
    <row r="779" spans="1:43" ht="17.399999999999999">
      <c r="A779" s="22"/>
      <c r="B779" s="22"/>
      <c r="C779" s="56"/>
      <c r="D779" s="56"/>
      <c r="E779" s="22"/>
      <c r="F779" s="22"/>
      <c r="G779" s="22"/>
      <c r="H779" s="22"/>
      <c r="I779" s="49"/>
      <c r="J779" s="50"/>
      <c r="K779" s="22"/>
      <c r="L779" s="22"/>
      <c r="M779" s="22"/>
      <c r="N779" s="22"/>
      <c r="O779" s="22"/>
      <c r="P779" s="46"/>
      <c r="Q779" s="40"/>
      <c r="R779" s="41"/>
      <c r="S779" s="22" t="str">
        <f t="shared" si="73"/>
        <v/>
      </c>
      <c r="T779" s="41"/>
      <c r="U779" s="41" t="str">
        <f t="shared" si="77"/>
        <v/>
      </c>
      <c r="V779" s="44"/>
      <c r="W779" s="44"/>
      <c r="X779" s="46"/>
      <c r="Y779" s="46"/>
      <c r="Z779" s="46"/>
      <c r="AA779" s="41"/>
      <c r="AB779" s="22"/>
      <c r="AC779" s="22"/>
      <c r="AD779" s="41"/>
      <c r="AE779" s="22"/>
      <c r="AF779" s="22"/>
      <c r="AG779" s="48" t="str">
        <f t="shared" si="74"/>
        <v/>
      </c>
      <c r="AH779" s="48" t="str">
        <f t="shared" si="75"/>
        <v/>
      </c>
      <c r="AI779" s="48" t="str">
        <f t="shared" si="76"/>
        <v/>
      </c>
      <c r="AJ779" s="40" t="str">
        <f t="shared" si="72"/>
        <v/>
      </c>
      <c r="AK779" s="40"/>
      <c r="AL779" s="40"/>
      <c r="AM779" s="22"/>
      <c r="AQ779" s="46"/>
    </row>
    <row r="780" spans="1:43" ht="17.399999999999999">
      <c r="A780" s="22"/>
      <c r="B780" s="22"/>
      <c r="C780" s="56"/>
      <c r="D780" s="56"/>
      <c r="E780" s="22"/>
      <c r="F780" s="22"/>
      <c r="G780" s="22"/>
      <c r="H780" s="22"/>
      <c r="I780" s="49"/>
      <c r="J780" s="50"/>
      <c r="K780" s="22"/>
      <c r="L780" s="22"/>
      <c r="M780" s="22"/>
      <c r="N780" s="22"/>
      <c r="O780" s="22"/>
      <c r="P780" s="46"/>
      <c r="Q780" s="40"/>
      <c r="R780" s="41"/>
      <c r="S780" s="22" t="str">
        <f t="shared" si="73"/>
        <v/>
      </c>
      <c r="T780" s="41"/>
      <c r="U780" s="41" t="str">
        <f t="shared" si="77"/>
        <v/>
      </c>
      <c r="V780" s="44"/>
      <c r="W780" s="44"/>
      <c r="X780" s="46"/>
      <c r="Y780" s="46"/>
      <c r="Z780" s="46"/>
      <c r="AA780" s="41"/>
      <c r="AB780" s="22"/>
      <c r="AC780" s="22"/>
      <c r="AD780" s="41"/>
      <c r="AE780" s="22"/>
      <c r="AF780" s="22"/>
      <c r="AG780" s="48" t="str">
        <f t="shared" si="74"/>
        <v/>
      </c>
      <c r="AH780" s="48" t="str">
        <f t="shared" si="75"/>
        <v/>
      </c>
      <c r="AI780" s="48" t="str">
        <f t="shared" si="76"/>
        <v/>
      </c>
      <c r="AJ780" s="40" t="str">
        <f t="shared" si="72"/>
        <v/>
      </c>
      <c r="AK780" s="40"/>
      <c r="AL780" s="40"/>
      <c r="AM780" s="22"/>
      <c r="AQ780" s="46"/>
    </row>
    <row r="781" spans="1:43" ht="17.399999999999999">
      <c r="A781" s="22"/>
      <c r="B781" s="22"/>
      <c r="C781" s="56"/>
      <c r="D781" s="56"/>
      <c r="E781" s="22"/>
      <c r="F781" s="22"/>
      <c r="G781" s="22"/>
      <c r="H781" s="22"/>
      <c r="I781" s="49"/>
      <c r="J781" s="50"/>
      <c r="K781" s="22"/>
      <c r="L781" s="22"/>
      <c r="M781" s="22"/>
      <c r="N781" s="22"/>
      <c r="O781" s="22"/>
      <c r="P781" s="46"/>
      <c r="Q781" s="40"/>
      <c r="R781" s="41"/>
      <c r="S781" s="22" t="str">
        <f t="shared" si="73"/>
        <v/>
      </c>
      <c r="T781" s="41"/>
      <c r="U781" s="41" t="str">
        <f t="shared" si="77"/>
        <v/>
      </c>
      <c r="V781" s="44"/>
      <c r="W781" s="44"/>
      <c r="X781" s="46"/>
      <c r="Y781" s="46"/>
      <c r="Z781" s="46"/>
      <c r="AA781" s="41"/>
      <c r="AB781" s="22"/>
      <c r="AC781" s="22"/>
      <c r="AD781" s="41"/>
      <c r="AE781" s="22"/>
      <c r="AF781" s="22"/>
      <c r="AG781" s="48" t="str">
        <f t="shared" si="74"/>
        <v/>
      </c>
      <c r="AH781" s="48" t="str">
        <f t="shared" si="75"/>
        <v/>
      </c>
      <c r="AI781" s="48" t="str">
        <f t="shared" si="76"/>
        <v/>
      </c>
      <c r="AJ781" s="40" t="str">
        <f t="shared" si="72"/>
        <v/>
      </c>
      <c r="AK781" s="40"/>
      <c r="AL781" s="40"/>
      <c r="AM781" s="22"/>
      <c r="AQ781" s="46"/>
    </row>
    <row r="782" spans="1:43" ht="17.399999999999999">
      <c r="A782" s="22"/>
      <c r="B782" s="22"/>
      <c r="C782" s="56"/>
      <c r="D782" s="56"/>
      <c r="E782" s="22"/>
      <c r="F782" s="22"/>
      <c r="G782" s="22"/>
      <c r="H782" s="22"/>
      <c r="I782" s="49"/>
      <c r="J782" s="50"/>
      <c r="K782" s="22"/>
      <c r="L782" s="22"/>
      <c r="M782" s="22"/>
      <c r="N782" s="22"/>
      <c r="O782" s="22"/>
      <c r="P782" s="46"/>
      <c r="Q782" s="40"/>
      <c r="R782" s="41"/>
      <c r="S782" s="22" t="str">
        <f t="shared" si="73"/>
        <v/>
      </c>
      <c r="T782" s="41"/>
      <c r="U782" s="41" t="str">
        <f t="shared" si="77"/>
        <v/>
      </c>
      <c r="V782" s="44"/>
      <c r="W782" s="44"/>
      <c r="X782" s="46"/>
      <c r="Y782" s="46"/>
      <c r="Z782" s="46"/>
      <c r="AA782" s="41"/>
      <c r="AB782" s="22"/>
      <c r="AC782" s="22"/>
      <c r="AD782" s="41"/>
      <c r="AE782" s="22"/>
      <c r="AF782" s="22"/>
      <c r="AG782" s="48" t="str">
        <f t="shared" si="74"/>
        <v/>
      </c>
      <c r="AH782" s="48" t="str">
        <f t="shared" si="75"/>
        <v/>
      </c>
      <c r="AI782" s="48" t="str">
        <f t="shared" si="76"/>
        <v/>
      </c>
      <c r="AJ782" s="40" t="str">
        <f t="shared" si="72"/>
        <v/>
      </c>
      <c r="AK782" s="40"/>
      <c r="AL782" s="40"/>
      <c r="AM782" s="22"/>
      <c r="AQ782" s="46"/>
    </row>
    <row r="783" spans="1:43" ht="17.399999999999999">
      <c r="A783" s="22"/>
      <c r="B783" s="22"/>
      <c r="C783" s="56"/>
      <c r="D783" s="56"/>
      <c r="E783" s="22"/>
      <c r="F783" s="22"/>
      <c r="G783" s="22"/>
      <c r="H783" s="22"/>
      <c r="I783" s="49"/>
      <c r="J783" s="50"/>
      <c r="K783" s="22"/>
      <c r="L783" s="22"/>
      <c r="M783" s="22"/>
      <c r="N783" s="22"/>
      <c r="O783" s="22"/>
      <c r="P783" s="46"/>
      <c r="Q783" s="40"/>
      <c r="R783" s="41"/>
      <c r="S783" s="22" t="str">
        <f t="shared" si="73"/>
        <v/>
      </c>
      <c r="T783" s="41"/>
      <c r="U783" s="41" t="str">
        <f t="shared" si="77"/>
        <v/>
      </c>
      <c r="V783" s="44"/>
      <c r="W783" s="44"/>
      <c r="X783" s="46"/>
      <c r="Y783" s="46"/>
      <c r="Z783" s="46"/>
      <c r="AA783" s="41"/>
      <c r="AB783" s="22"/>
      <c r="AC783" s="22"/>
      <c r="AD783" s="41"/>
      <c r="AE783" s="22"/>
      <c r="AF783" s="22"/>
      <c r="AG783" s="48" t="str">
        <f t="shared" si="74"/>
        <v/>
      </c>
      <c r="AH783" s="48" t="str">
        <f t="shared" si="75"/>
        <v/>
      </c>
      <c r="AI783" s="48" t="str">
        <f t="shared" si="76"/>
        <v/>
      </c>
      <c r="AJ783" s="40" t="str">
        <f t="shared" si="72"/>
        <v/>
      </c>
      <c r="AK783" s="40"/>
      <c r="AL783" s="40"/>
      <c r="AM783" s="22"/>
      <c r="AQ783" s="46"/>
    </row>
    <row r="784" spans="1:43" ht="17.399999999999999">
      <c r="A784" s="22"/>
      <c r="B784" s="22"/>
      <c r="C784" s="56"/>
      <c r="D784" s="56"/>
      <c r="E784" s="22"/>
      <c r="F784" s="22"/>
      <c r="G784" s="22"/>
      <c r="H784" s="22"/>
      <c r="I784" s="49"/>
      <c r="J784" s="50"/>
      <c r="K784" s="22"/>
      <c r="L784" s="22"/>
      <c r="M784" s="22"/>
      <c r="N784" s="22"/>
      <c r="O784" s="22"/>
      <c r="P784" s="46"/>
      <c r="Q784" s="40"/>
      <c r="R784" s="41"/>
      <c r="S784" s="22" t="str">
        <f t="shared" si="73"/>
        <v/>
      </c>
      <c r="T784" s="41"/>
      <c r="U784" s="41" t="str">
        <f t="shared" si="77"/>
        <v/>
      </c>
      <c r="V784" s="44"/>
      <c r="W784" s="44"/>
      <c r="X784" s="46"/>
      <c r="Y784" s="46"/>
      <c r="Z784" s="46"/>
      <c r="AA784" s="41"/>
      <c r="AB784" s="22"/>
      <c r="AC784" s="22"/>
      <c r="AD784" s="41"/>
      <c r="AE784" s="22"/>
      <c r="AF784" s="22"/>
      <c r="AG784" s="48" t="str">
        <f t="shared" si="74"/>
        <v/>
      </c>
      <c r="AH784" s="48" t="str">
        <f t="shared" si="75"/>
        <v/>
      </c>
      <c r="AI784" s="48" t="str">
        <f t="shared" si="76"/>
        <v/>
      </c>
      <c r="AJ784" s="40" t="str">
        <f t="shared" si="72"/>
        <v/>
      </c>
      <c r="AK784" s="40"/>
      <c r="AL784" s="40"/>
      <c r="AM784" s="22"/>
      <c r="AQ784" s="46"/>
    </row>
    <row r="785" spans="1:43" ht="17.399999999999999">
      <c r="A785" s="22"/>
      <c r="B785" s="22"/>
      <c r="C785" s="56"/>
      <c r="D785" s="56"/>
      <c r="E785" s="22"/>
      <c r="F785" s="22"/>
      <c r="G785" s="22"/>
      <c r="H785" s="22"/>
      <c r="I785" s="49"/>
      <c r="J785" s="50"/>
      <c r="K785" s="22"/>
      <c r="L785" s="22"/>
      <c r="M785" s="22"/>
      <c r="N785" s="22"/>
      <c r="O785" s="22"/>
      <c r="P785" s="46"/>
      <c r="Q785" s="40"/>
      <c r="R785" s="41"/>
      <c r="S785" s="22" t="str">
        <f t="shared" si="73"/>
        <v/>
      </c>
      <c r="T785" s="41"/>
      <c r="U785" s="41" t="str">
        <f t="shared" si="77"/>
        <v/>
      </c>
      <c r="V785" s="44"/>
      <c r="W785" s="44"/>
      <c r="X785" s="46"/>
      <c r="Y785" s="46"/>
      <c r="Z785" s="46"/>
      <c r="AA785" s="41"/>
      <c r="AB785" s="22"/>
      <c r="AC785" s="22"/>
      <c r="AD785" s="41"/>
      <c r="AE785" s="22"/>
      <c r="AF785" s="22"/>
      <c r="AG785" s="48" t="str">
        <f t="shared" si="74"/>
        <v/>
      </c>
      <c r="AH785" s="48" t="str">
        <f t="shared" si="75"/>
        <v/>
      </c>
      <c r="AI785" s="48" t="str">
        <f t="shared" si="76"/>
        <v/>
      </c>
      <c r="AJ785" s="40" t="str">
        <f t="shared" si="72"/>
        <v/>
      </c>
      <c r="AK785" s="40"/>
      <c r="AL785" s="40"/>
      <c r="AM785" s="22"/>
      <c r="AQ785" s="46"/>
    </row>
    <row r="786" spans="1:43" ht="17.399999999999999">
      <c r="A786" s="22"/>
      <c r="B786" s="22"/>
      <c r="C786" s="56"/>
      <c r="D786" s="56"/>
      <c r="E786" s="22"/>
      <c r="F786" s="22"/>
      <c r="G786" s="22"/>
      <c r="H786" s="22"/>
      <c r="I786" s="49"/>
      <c r="J786" s="50"/>
      <c r="K786" s="22"/>
      <c r="L786" s="22"/>
      <c r="M786" s="22"/>
      <c r="N786" s="22"/>
      <c r="O786" s="22"/>
      <c r="P786" s="46"/>
      <c r="Q786" s="40"/>
      <c r="R786" s="41"/>
      <c r="S786" s="22" t="str">
        <f t="shared" si="73"/>
        <v/>
      </c>
      <c r="T786" s="41"/>
      <c r="U786" s="41" t="str">
        <f t="shared" si="77"/>
        <v/>
      </c>
      <c r="V786" s="44"/>
      <c r="W786" s="44"/>
      <c r="X786" s="46"/>
      <c r="Y786" s="46"/>
      <c r="Z786" s="46"/>
      <c r="AA786" s="41"/>
      <c r="AB786" s="22"/>
      <c r="AC786" s="22"/>
      <c r="AD786" s="41"/>
      <c r="AE786" s="22"/>
      <c r="AF786" s="22"/>
      <c r="AG786" s="48" t="str">
        <f t="shared" si="74"/>
        <v/>
      </c>
      <c r="AH786" s="48" t="str">
        <f t="shared" si="75"/>
        <v/>
      </c>
      <c r="AI786" s="48" t="str">
        <f t="shared" si="76"/>
        <v/>
      </c>
      <c r="AJ786" s="40" t="str">
        <f t="shared" si="72"/>
        <v/>
      </c>
      <c r="AK786" s="40"/>
      <c r="AL786" s="40"/>
      <c r="AM786" s="22"/>
      <c r="AQ786" s="46"/>
    </row>
    <row r="787" spans="1:43" ht="17.399999999999999">
      <c r="A787" s="22"/>
      <c r="B787" s="22"/>
      <c r="C787" s="56"/>
      <c r="D787" s="56"/>
      <c r="E787" s="22"/>
      <c r="F787" s="22"/>
      <c r="G787" s="22"/>
      <c r="H787" s="22"/>
      <c r="I787" s="49"/>
      <c r="J787" s="50"/>
      <c r="K787" s="22"/>
      <c r="L787" s="22"/>
      <c r="M787" s="22"/>
      <c r="N787" s="22"/>
      <c r="O787" s="22"/>
      <c r="P787" s="46"/>
      <c r="Q787" s="40"/>
      <c r="R787" s="41"/>
      <c r="S787" s="22" t="str">
        <f t="shared" si="73"/>
        <v/>
      </c>
      <c r="T787" s="41"/>
      <c r="U787" s="41" t="str">
        <f t="shared" si="77"/>
        <v/>
      </c>
      <c r="V787" s="44"/>
      <c r="W787" s="44"/>
      <c r="X787" s="46"/>
      <c r="Y787" s="46"/>
      <c r="Z787" s="46"/>
      <c r="AA787" s="41"/>
      <c r="AB787" s="22"/>
      <c r="AC787" s="22"/>
      <c r="AD787" s="41"/>
      <c r="AE787" s="22"/>
      <c r="AF787" s="22"/>
      <c r="AG787" s="48" t="str">
        <f t="shared" si="74"/>
        <v/>
      </c>
      <c r="AH787" s="48" t="str">
        <f t="shared" si="75"/>
        <v/>
      </c>
      <c r="AI787" s="48" t="str">
        <f t="shared" si="76"/>
        <v/>
      </c>
      <c r="AJ787" s="40" t="str">
        <f t="shared" si="72"/>
        <v/>
      </c>
      <c r="AK787" s="40"/>
      <c r="AL787" s="40"/>
      <c r="AM787" s="22"/>
      <c r="AQ787" s="46"/>
    </row>
    <row r="788" spans="1:43" ht="17.399999999999999">
      <c r="A788" s="22"/>
      <c r="B788" s="22"/>
      <c r="C788" s="56"/>
      <c r="D788" s="56"/>
      <c r="E788" s="22"/>
      <c r="F788" s="22"/>
      <c r="G788" s="22"/>
      <c r="H788" s="22"/>
      <c r="I788" s="49"/>
      <c r="J788" s="50"/>
      <c r="K788" s="22"/>
      <c r="L788" s="22"/>
      <c r="M788" s="22"/>
      <c r="N788" s="22"/>
      <c r="O788" s="22"/>
      <c r="P788" s="46"/>
      <c r="Q788" s="40"/>
      <c r="R788" s="41"/>
      <c r="S788" s="22" t="str">
        <f t="shared" si="73"/>
        <v/>
      </c>
      <c r="T788" s="41"/>
      <c r="U788" s="41" t="str">
        <f t="shared" si="77"/>
        <v/>
      </c>
      <c r="V788" s="44"/>
      <c r="W788" s="44"/>
      <c r="X788" s="46"/>
      <c r="Y788" s="46"/>
      <c r="Z788" s="46"/>
      <c r="AA788" s="41"/>
      <c r="AB788" s="22"/>
      <c r="AC788" s="22"/>
      <c r="AD788" s="41"/>
      <c r="AE788" s="22"/>
      <c r="AF788" s="22"/>
      <c r="AG788" s="48" t="str">
        <f t="shared" si="74"/>
        <v/>
      </c>
      <c r="AH788" s="48" t="str">
        <f t="shared" si="75"/>
        <v/>
      </c>
      <c r="AI788" s="48" t="str">
        <f t="shared" si="76"/>
        <v/>
      </c>
      <c r="AJ788" s="40" t="str">
        <f t="shared" si="72"/>
        <v/>
      </c>
      <c r="AK788" s="40"/>
      <c r="AL788" s="40"/>
      <c r="AM788" s="22"/>
      <c r="AQ788" s="46"/>
    </row>
    <row r="789" spans="1:43" ht="17.399999999999999">
      <c r="A789" s="22"/>
      <c r="B789" s="22"/>
      <c r="C789" s="56"/>
      <c r="D789" s="56"/>
      <c r="E789" s="22"/>
      <c r="F789" s="22"/>
      <c r="G789" s="22"/>
      <c r="H789" s="22"/>
      <c r="I789" s="49"/>
      <c r="J789" s="50"/>
      <c r="K789" s="22"/>
      <c r="L789" s="22"/>
      <c r="M789" s="22"/>
      <c r="N789" s="22"/>
      <c r="O789" s="22"/>
      <c r="P789" s="46"/>
      <c r="Q789" s="40"/>
      <c r="R789" s="41"/>
      <c r="S789" s="22" t="str">
        <f t="shared" si="73"/>
        <v/>
      </c>
      <c r="T789" s="41"/>
      <c r="U789" s="41" t="str">
        <f t="shared" si="77"/>
        <v/>
      </c>
      <c r="V789" s="44"/>
      <c r="W789" s="44"/>
      <c r="X789" s="46"/>
      <c r="Y789" s="46"/>
      <c r="Z789" s="46"/>
      <c r="AA789" s="41"/>
      <c r="AB789" s="22"/>
      <c r="AC789" s="22"/>
      <c r="AD789" s="41"/>
      <c r="AE789" s="22"/>
      <c r="AF789" s="22"/>
      <c r="AG789" s="48" t="str">
        <f t="shared" si="74"/>
        <v/>
      </c>
      <c r="AH789" s="48" t="str">
        <f t="shared" si="75"/>
        <v/>
      </c>
      <c r="AI789" s="48" t="str">
        <f t="shared" si="76"/>
        <v/>
      </c>
      <c r="AJ789" s="40" t="str">
        <f t="shared" si="72"/>
        <v/>
      </c>
      <c r="AK789" s="40"/>
      <c r="AL789" s="40"/>
      <c r="AM789" s="22"/>
      <c r="AQ789" s="46"/>
    </row>
    <row r="790" spans="1:43" ht="17.399999999999999">
      <c r="A790" s="22"/>
      <c r="B790" s="22"/>
      <c r="C790" s="56"/>
      <c r="D790" s="56"/>
      <c r="E790" s="22"/>
      <c r="F790" s="22"/>
      <c r="G790" s="22"/>
      <c r="H790" s="22"/>
      <c r="I790" s="49"/>
      <c r="J790" s="50"/>
      <c r="K790" s="22"/>
      <c r="L790" s="22"/>
      <c r="M790" s="22"/>
      <c r="N790" s="22"/>
      <c r="O790" s="22"/>
      <c r="P790" s="46"/>
      <c r="Q790" s="40"/>
      <c r="R790" s="41"/>
      <c r="S790" s="22" t="str">
        <f t="shared" si="73"/>
        <v/>
      </c>
      <c r="T790" s="41"/>
      <c r="U790" s="41" t="str">
        <f t="shared" si="77"/>
        <v/>
      </c>
      <c r="V790" s="44"/>
      <c r="W790" s="44"/>
      <c r="X790" s="46"/>
      <c r="Y790" s="46"/>
      <c r="Z790" s="46"/>
      <c r="AA790" s="41"/>
      <c r="AB790" s="22"/>
      <c r="AC790" s="22"/>
      <c r="AD790" s="41"/>
      <c r="AE790" s="22"/>
      <c r="AF790" s="22"/>
      <c r="AG790" s="48" t="str">
        <f t="shared" si="74"/>
        <v/>
      </c>
      <c r="AH790" s="48" t="str">
        <f t="shared" si="75"/>
        <v/>
      </c>
      <c r="AI790" s="48" t="str">
        <f t="shared" si="76"/>
        <v/>
      </c>
      <c r="AJ790" s="40" t="str">
        <f t="shared" si="72"/>
        <v/>
      </c>
      <c r="AK790" s="40"/>
      <c r="AL790" s="40"/>
      <c r="AM790" s="22"/>
      <c r="AQ790" s="46"/>
    </row>
    <row r="791" spans="1:43" ht="17.399999999999999">
      <c r="A791" s="22"/>
      <c r="B791" s="22"/>
      <c r="C791" s="56"/>
      <c r="D791" s="56"/>
      <c r="E791" s="22"/>
      <c r="F791" s="22"/>
      <c r="G791" s="22"/>
      <c r="H791" s="22"/>
      <c r="I791" s="49"/>
      <c r="J791" s="50"/>
      <c r="K791" s="22"/>
      <c r="L791" s="22"/>
      <c r="M791" s="22"/>
      <c r="N791" s="22"/>
      <c r="O791" s="22"/>
      <c r="P791" s="46"/>
      <c r="Q791" s="40"/>
      <c r="R791" s="41"/>
      <c r="S791" s="22" t="str">
        <f t="shared" si="73"/>
        <v/>
      </c>
      <c r="T791" s="41"/>
      <c r="U791" s="41" t="str">
        <f t="shared" si="77"/>
        <v/>
      </c>
      <c r="V791" s="44"/>
      <c r="W791" s="44"/>
      <c r="X791" s="46"/>
      <c r="Y791" s="46"/>
      <c r="Z791" s="46"/>
      <c r="AA791" s="41"/>
      <c r="AB791" s="22"/>
      <c r="AC791" s="22"/>
      <c r="AD791" s="41"/>
      <c r="AE791" s="22"/>
      <c r="AF791" s="22"/>
      <c r="AG791" s="48" t="str">
        <f t="shared" si="74"/>
        <v/>
      </c>
      <c r="AH791" s="48" t="str">
        <f t="shared" si="75"/>
        <v/>
      </c>
      <c r="AI791" s="48" t="str">
        <f t="shared" si="76"/>
        <v/>
      </c>
      <c r="AJ791" s="40" t="str">
        <f t="shared" si="72"/>
        <v/>
      </c>
      <c r="AK791" s="40"/>
      <c r="AL791" s="40"/>
      <c r="AM791" s="22"/>
      <c r="AQ791" s="46"/>
    </row>
    <row r="792" spans="1:43" ht="17.399999999999999">
      <c r="A792" s="22"/>
      <c r="B792" s="22"/>
      <c r="C792" s="56"/>
      <c r="D792" s="56"/>
      <c r="E792" s="22"/>
      <c r="F792" s="22"/>
      <c r="G792" s="22"/>
      <c r="H792" s="22"/>
      <c r="I792" s="49"/>
      <c r="J792" s="50"/>
      <c r="K792" s="22"/>
      <c r="L792" s="22"/>
      <c r="M792" s="22"/>
      <c r="N792" s="22"/>
      <c r="O792" s="22"/>
      <c r="P792" s="46"/>
      <c r="Q792" s="40"/>
      <c r="R792" s="41"/>
      <c r="S792" s="22" t="str">
        <f t="shared" si="73"/>
        <v/>
      </c>
      <c r="T792" s="41"/>
      <c r="U792" s="41" t="str">
        <f t="shared" si="77"/>
        <v/>
      </c>
      <c r="V792" s="44"/>
      <c r="W792" s="44"/>
      <c r="X792" s="46"/>
      <c r="Y792" s="46"/>
      <c r="Z792" s="46"/>
      <c r="AA792" s="41"/>
      <c r="AB792" s="22"/>
      <c r="AC792" s="22"/>
      <c r="AD792" s="41"/>
      <c r="AE792" s="22"/>
      <c r="AF792" s="22"/>
      <c r="AG792" s="48" t="str">
        <f t="shared" si="74"/>
        <v/>
      </c>
      <c r="AH792" s="48" t="str">
        <f t="shared" si="75"/>
        <v/>
      </c>
      <c r="AI792" s="48" t="str">
        <f t="shared" si="76"/>
        <v/>
      </c>
      <c r="AJ792" s="40" t="str">
        <f t="shared" si="72"/>
        <v/>
      </c>
      <c r="AK792" s="40"/>
      <c r="AL792" s="40"/>
      <c r="AM792" s="22"/>
      <c r="AQ792" s="46"/>
    </row>
    <row r="793" spans="1:43" ht="17.399999999999999">
      <c r="A793" s="22"/>
      <c r="B793" s="22"/>
      <c r="C793" s="56"/>
      <c r="D793" s="56"/>
      <c r="E793" s="22"/>
      <c r="F793" s="22"/>
      <c r="G793" s="22"/>
      <c r="H793" s="22"/>
      <c r="I793" s="49"/>
      <c r="J793" s="50"/>
      <c r="K793" s="22"/>
      <c r="L793" s="22"/>
      <c r="M793" s="22"/>
      <c r="N793" s="22"/>
      <c r="O793" s="22"/>
      <c r="P793" s="46"/>
      <c r="Q793" s="40"/>
      <c r="R793" s="41"/>
      <c r="S793" s="22" t="str">
        <f t="shared" si="73"/>
        <v/>
      </c>
      <c r="T793" s="41"/>
      <c r="U793" s="41" t="str">
        <f t="shared" si="77"/>
        <v/>
      </c>
      <c r="V793" s="44"/>
      <c r="W793" s="44"/>
      <c r="X793" s="46"/>
      <c r="Y793" s="46"/>
      <c r="Z793" s="46"/>
      <c r="AA793" s="41"/>
      <c r="AB793" s="22"/>
      <c r="AC793" s="22"/>
      <c r="AD793" s="41"/>
      <c r="AE793" s="22"/>
      <c r="AF793" s="22"/>
      <c r="AG793" s="48" t="str">
        <f t="shared" si="74"/>
        <v/>
      </c>
      <c r="AH793" s="48" t="str">
        <f t="shared" si="75"/>
        <v/>
      </c>
      <c r="AI793" s="48" t="str">
        <f t="shared" si="76"/>
        <v/>
      </c>
      <c r="AJ793" s="40" t="str">
        <f t="shared" si="72"/>
        <v/>
      </c>
      <c r="AK793" s="40"/>
      <c r="AL793" s="40"/>
      <c r="AM793" s="22"/>
      <c r="AQ793" s="46"/>
    </row>
    <row r="794" spans="1:43" ht="17.399999999999999">
      <c r="A794" s="22"/>
      <c r="B794" s="22"/>
      <c r="C794" s="56"/>
      <c r="D794" s="56"/>
      <c r="E794" s="22"/>
      <c r="F794" s="22"/>
      <c r="G794" s="22"/>
      <c r="H794" s="22"/>
      <c r="I794" s="49"/>
      <c r="J794" s="50"/>
      <c r="K794" s="22"/>
      <c r="L794" s="22"/>
      <c r="M794" s="22"/>
      <c r="N794" s="22"/>
      <c r="O794" s="22"/>
      <c r="P794" s="46"/>
      <c r="Q794" s="40"/>
      <c r="R794" s="41"/>
      <c r="S794" s="22" t="str">
        <f t="shared" si="73"/>
        <v/>
      </c>
      <c r="T794" s="41"/>
      <c r="U794" s="41" t="str">
        <f t="shared" si="77"/>
        <v/>
      </c>
      <c r="V794" s="44"/>
      <c r="W794" s="44"/>
      <c r="X794" s="46"/>
      <c r="Y794" s="46"/>
      <c r="Z794" s="46"/>
      <c r="AA794" s="41"/>
      <c r="AB794" s="22"/>
      <c r="AC794" s="22"/>
      <c r="AD794" s="41"/>
      <c r="AE794" s="22"/>
      <c r="AF794" s="22"/>
      <c r="AG794" s="48" t="str">
        <f t="shared" si="74"/>
        <v/>
      </c>
      <c r="AH794" s="48" t="str">
        <f t="shared" si="75"/>
        <v/>
      </c>
      <c r="AI794" s="48" t="str">
        <f t="shared" si="76"/>
        <v/>
      </c>
      <c r="AJ794" s="40" t="str">
        <f t="shared" si="72"/>
        <v/>
      </c>
      <c r="AK794" s="40"/>
      <c r="AL794" s="40"/>
      <c r="AM794" s="22"/>
      <c r="AQ794" s="46"/>
    </row>
    <row r="795" spans="1:43" ht="17.399999999999999">
      <c r="A795" s="22"/>
      <c r="B795" s="22"/>
      <c r="C795" s="56"/>
      <c r="D795" s="56"/>
      <c r="E795" s="22"/>
      <c r="F795" s="22"/>
      <c r="G795" s="22"/>
      <c r="H795" s="22"/>
      <c r="I795" s="49"/>
      <c r="J795" s="50"/>
      <c r="K795" s="22"/>
      <c r="L795" s="22"/>
      <c r="M795" s="22"/>
      <c r="N795" s="22"/>
      <c r="O795" s="22"/>
      <c r="P795" s="46"/>
      <c r="Q795" s="40"/>
      <c r="R795" s="41"/>
      <c r="S795" s="22" t="str">
        <f t="shared" si="73"/>
        <v/>
      </c>
      <c r="T795" s="41"/>
      <c r="U795" s="41" t="str">
        <f t="shared" si="77"/>
        <v/>
      </c>
      <c r="V795" s="44"/>
      <c r="W795" s="44"/>
      <c r="X795" s="46"/>
      <c r="Y795" s="46"/>
      <c r="Z795" s="46"/>
      <c r="AA795" s="41"/>
      <c r="AB795" s="22"/>
      <c r="AC795" s="22"/>
      <c r="AD795" s="41"/>
      <c r="AE795" s="22"/>
      <c r="AF795" s="22"/>
      <c r="AG795" s="48" t="str">
        <f t="shared" si="74"/>
        <v/>
      </c>
      <c r="AH795" s="48" t="str">
        <f t="shared" si="75"/>
        <v/>
      </c>
      <c r="AI795" s="48" t="str">
        <f t="shared" si="76"/>
        <v/>
      </c>
      <c r="AJ795" s="40" t="str">
        <f t="shared" si="72"/>
        <v/>
      </c>
      <c r="AK795" s="40"/>
      <c r="AL795" s="40"/>
      <c r="AM795" s="22"/>
      <c r="AQ795" s="46"/>
    </row>
    <row r="796" spans="1:43" ht="17.399999999999999">
      <c r="A796" s="22"/>
      <c r="B796" s="22"/>
      <c r="C796" s="56"/>
      <c r="D796" s="56"/>
      <c r="E796" s="22"/>
      <c r="F796" s="22"/>
      <c r="G796" s="22"/>
      <c r="H796" s="22"/>
      <c r="I796" s="49"/>
      <c r="J796" s="50"/>
      <c r="K796" s="22"/>
      <c r="L796" s="22"/>
      <c r="M796" s="22"/>
      <c r="N796" s="22"/>
      <c r="O796" s="22"/>
      <c r="P796" s="46"/>
      <c r="Q796" s="40"/>
      <c r="R796" s="41"/>
      <c r="S796" s="22" t="str">
        <f t="shared" si="73"/>
        <v/>
      </c>
      <c r="T796" s="41"/>
      <c r="U796" s="41" t="str">
        <f t="shared" si="77"/>
        <v/>
      </c>
      <c r="V796" s="44"/>
      <c r="W796" s="44"/>
      <c r="X796" s="46"/>
      <c r="Y796" s="46"/>
      <c r="Z796" s="46"/>
      <c r="AA796" s="41"/>
      <c r="AB796" s="22"/>
      <c r="AC796" s="22"/>
      <c r="AD796" s="41"/>
      <c r="AE796" s="22"/>
      <c r="AF796" s="22"/>
      <c r="AG796" s="48" t="str">
        <f t="shared" si="74"/>
        <v/>
      </c>
      <c r="AH796" s="48" t="str">
        <f t="shared" si="75"/>
        <v/>
      </c>
      <c r="AI796" s="48" t="str">
        <f t="shared" si="76"/>
        <v/>
      </c>
      <c r="AJ796" s="40" t="str">
        <f t="shared" si="72"/>
        <v/>
      </c>
      <c r="AK796" s="40"/>
      <c r="AL796" s="40"/>
      <c r="AM796" s="22"/>
      <c r="AQ796" s="46"/>
    </row>
    <row r="797" spans="1:43" ht="17.399999999999999">
      <c r="A797" s="22"/>
      <c r="B797" s="22"/>
      <c r="C797" s="56"/>
      <c r="D797" s="56"/>
      <c r="E797" s="22"/>
      <c r="F797" s="22"/>
      <c r="G797" s="22"/>
      <c r="H797" s="22"/>
      <c r="I797" s="49"/>
      <c r="J797" s="50"/>
      <c r="K797" s="22"/>
      <c r="L797" s="22"/>
      <c r="M797" s="22"/>
      <c r="N797" s="22"/>
      <c r="O797" s="22"/>
      <c r="P797" s="46"/>
      <c r="Q797" s="40"/>
      <c r="R797" s="41"/>
      <c r="S797" s="22" t="str">
        <f t="shared" si="73"/>
        <v/>
      </c>
      <c r="T797" s="41"/>
      <c r="U797" s="41" t="str">
        <f t="shared" si="77"/>
        <v/>
      </c>
      <c r="V797" s="44"/>
      <c r="W797" s="44"/>
      <c r="X797" s="46"/>
      <c r="Y797" s="46"/>
      <c r="Z797" s="46"/>
      <c r="AA797" s="41"/>
      <c r="AB797" s="22"/>
      <c r="AC797" s="22"/>
      <c r="AD797" s="41"/>
      <c r="AE797" s="22"/>
      <c r="AF797" s="22"/>
      <c r="AG797" s="48" t="str">
        <f t="shared" si="74"/>
        <v/>
      </c>
      <c r="AH797" s="48" t="str">
        <f t="shared" si="75"/>
        <v/>
      </c>
      <c r="AI797" s="48" t="str">
        <f t="shared" si="76"/>
        <v/>
      </c>
      <c r="AJ797" s="40" t="str">
        <f t="shared" si="72"/>
        <v/>
      </c>
      <c r="AK797" s="40"/>
      <c r="AL797" s="40"/>
      <c r="AM797" s="22"/>
      <c r="AQ797" s="46"/>
    </row>
    <row r="798" spans="1:43" ht="17.399999999999999">
      <c r="A798" s="22"/>
      <c r="B798" s="22"/>
      <c r="C798" s="56"/>
      <c r="D798" s="56"/>
      <c r="E798" s="22"/>
      <c r="F798" s="22"/>
      <c r="G798" s="22"/>
      <c r="H798" s="22"/>
      <c r="I798" s="49"/>
      <c r="J798" s="50"/>
      <c r="K798" s="22"/>
      <c r="L798" s="22"/>
      <c r="M798" s="22"/>
      <c r="N798" s="22"/>
      <c r="O798" s="22"/>
      <c r="P798" s="46"/>
      <c r="Q798" s="40"/>
      <c r="R798" s="41"/>
      <c r="S798" s="22" t="str">
        <f t="shared" si="73"/>
        <v/>
      </c>
      <c r="T798" s="41"/>
      <c r="U798" s="41" t="str">
        <f t="shared" si="77"/>
        <v/>
      </c>
      <c r="V798" s="44"/>
      <c r="W798" s="44"/>
      <c r="X798" s="46"/>
      <c r="Y798" s="46"/>
      <c r="Z798" s="46"/>
      <c r="AA798" s="41"/>
      <c r="AB798" s="22"/>
      <c r="AC798" s="22"/>
      <c r="AD798" s="41"/>
      <c r="AE798" s="22"/>
      <c r="AF798" s="22"/>
      <c r="AG798" s="48" t="str">
        <f t="shared" si="74"/>
        <v/>
      </c>
      <c r="AH798" s="48" t="str">
        <f t="shared" si="75"/>
        <v/>
      </c>
      <c r="AI798" s="48" t="str">
        <f t="shared" si="76"/>
        <v/>
      </c>
      <c r="AJ798" s="40" t="str">
        <f t="shared" si="72"/>
        <v/>
      </c>
      <c r="AK798" s="40"/>
      <c r="AL798" s="40"/>
      <c r="AM798" s="22"/>
      <c r="AQ798" s="46"/>
    </row>
    <row r="799" spans="1:43" ht="17.399999999999999">
      <c r="A799" s="22"/>
      <c r="B799" s="22"/>
      <c r="C799" s="56"/>
      <c r="D799" s="56"/>
      <c r="E799" s="22"/>
      <c r="F799" s="22"/>
      <c r="G799" s="22"/>
      <c r="H799" s="22"/>
      <c r="I799" s="49"/>
      <c r="J799" s="50"/>
      <c r="K799" s="22"/>
      <c r="L799" s="22"/>
      <c r="M799" s="22"/>
      <c r="N799" s="22"/>
      <c r="O799" s="22"/>
      <c r="P799" s="46"/>
      <c r="Q799" s="40"/>
      <c r="R799" s="41"/>
      <c r="S799" s="22" t="str">
        <f t="shared" si="73"/>
        <v/>
      </c>
      <c r="T799" s="41"/>
      <c r="U799" s="41" t="str">
        <f t="shared" si="77"/>
        <v/>
      </c>
      <c r="V799" s="44"/>
      <c r="W799" s="44"/>
      <c r="X799" s="46"/>
      <c r="Y799" s="46"/>
      <c r="Z799" s="46"/>
      <c r="AA799" s="41"/>
      <c r="AB799" s="22"/>
      <c r="AC799" s="22"/>
      <c r="AD799" s="41"/>
      <c r="AE799" s="22"/>
      <c r="AF799" s="22"/>
      <c r="AG799" s="48" t="str">
        <f t="shared" si="74"/>
        <v/>
      </c>
      <c r="AH799" s="48" t="str">
        <f t="shared" si="75"/>
        <v/>
      </c>
      <c r="AI799" s="48" t="str">
        <f t="shared" si="76"/>
        <v/>
      </c>
      <c r="AJ799" s="40" t="str">
        <f t="shared" si="72"/>
        <v/>
      </c>
      <c r="AK799" s="40"/>
      <c r="AL799" s="40"/>
      <c r="AM799" s="22"/>
      <c r="AQ799" s="46"/>
    </row>
    <row r="800" spans="1:43" ht="17.399999999999999">
      <c r="A800" s="22"/>
      <c r="B800" s="22"/>
      <c r="C800" s="56"/>
      <c r="D800" s="56"/>
      <c r="E800" s="22"/>
      <c r="F800" s="22"/>
      <c r="G800" s="22"/>
      <c r="H800" s="22"/>
      <c r="I800" s="49"/>
      <c r="J800" s="50"/>
      <c r="K800" s="22"/>
      <c r="L800" s="22"/>
      <c r="M800" s="22"/>
      <c r="N800" s="22"/>
      <c r="O800" s="22"/>
      <c r="P800" s="46"/>
      <c r="Q800" s="40"/>
      <c r="R800" s="41"/>
      <c r="S800" s="22" t="str">
        <f t="shared" si="73"/>
        <v/>
      </c>
      <c r="T800" s="41"/>
      <c r="U800" s="41" t="str">
        <f t="shared" si="77"/>
        <v/>
      </c>
      <c r="V800" s="44"/>
      <c r="W800" s="44"/>
      <c r="X800" s="46"/>
      <c r="Y800" s="46"/>
      <c r="Z800" s="46"/>
      <c r="AA800" s="41"/>
      <c r="AB800" s="22"/>
      <c r="AC800" s="22"/>
      <c r="AD800" s="41"/>
      <c r="AE800" s="22"/>
      <c r="AF800" s="22"/>
      <c r="AG800" s="48" t="str">
        <f t="shared" si="74"/>
        <v/>
      </c>
      <c r="AH800" s="48" t="str">
        <f t="shared" si="75"/>
        <v/>
      </c>
      <c r="AI800" s="48" t="str">
        <f t="shared" si="76"/>
        <v/>
      </c>
      <c r="AJ800" s="40" t="str">
        <f t="shared" si="72"/>
        <v/>
      </c>
      <c r="AK800" s="40"/>
      <c r="AL800" s="40"/>
      <c r="AM800" s="22"/>
      <c r="AQ800" s="46"/>
    </row>
    <row r="801" spans="1:43" ht="17.399999999999999">
      <c r="A801" s="22"/>
      <c r="B801" s="22"/>
      <c r="C801" s="56"/>
      <c r="D801" s="56"/>
      <c r="E801" s="22"/>
      <c r="F801" s="22"/>
      <c r="G801" s="22"/>
      <c r="H801" s="22"/>
      <c r="I801" s="49"/>
      <c r="J801" s="50"/>
      <c r="K801" s="22"/>
      <c r="L801" s="22"/>
      <c r="M801" s="22"/>
      <c r="N801" s="22"/>
      <c r="O801" s="22"/>
      <c r="P801" s="46"/>
      <c r="Q801" s="40"/>
      <c r="R801" s="41"/>
      <c r="S801" s="22" t="str">
        <f t="shared" si="73"/>
        <v/>
      </c>
      <c r="T801" s="41"/>
      <c r="U801" s="41" t="str">
        <f t="shared" si="77"/>
        <v/>
      </c>
      <c r="V801" s="44"/>
      <c r="W801" s="44"/>
      <c r="X801" s="46"/>
      <c r="Y801" s="46"/>
      <c r="Z801" s="46"/>
      <c r="AA801" s="41"/>
      <c r="AB801" s="22"/>
      <c r="AC801" s="22"/>
      <c r="AD801" s="41"/>
      <c r="AE801" s="22"/>
      <c r="AF801" s="22"/>
      <c r="AG801" s="48" t="str">
        <f t="shared" si="74"/>
        <v/>
      </c>
      <c r="AH801" s="48" t="str">
        <f t="shared" si="75"/>
        <v/>
      </c>
      <c r="AI801" s="48" t="str">
        <f t="shared" si="76"/>
        <v/>
      </c>
      <c r="AJ801" s="40" t="str">
        <f t="shared" si="72"/>
        <v/>
      </c>
      <c r="AK801" s="40"/>
      <c r="AL801" s="40"/>
      <c r="AM801" s="22"/>
      <c r="AQ801" s="46"/>
    </row>
    <row r="802" spans="1:43" ht="17.399999999999999">
      <c r="A802" s="22"/>
      <c r="B802" s="22"/>
      <c r="C802" s="56"/>
      <c r="D802" s="56"/>
      <c r="E802" s="22"/>
      <c r="F802" s="22"/>
      <c r="G802" s="22"/>
      <c r="H802" s="22"/>
      <c r="I802" s="49"/>
      <c r="J802" s="50"/>
      <c r="K802" s="22"/>
      <c r="L802" s="22"/>
      <c r="M802" s="22"/>
      <c r="N802" s="22"/>
      <c r="O802" s="22"/>
      <c r="P802" s="46"/>
      <c r="Q802" s="40"/>
      <c r="R802" s="41"/>
      <c r="S802" s="22" t="str">
        <f t="shared" si="73"/>
        <v/>
      </c>
      <c r="T802" s="41"/>
      <c r="U802" s="41" t="str">
        <f t="shared" si="77"/>
        <v/>
      </c>
      <c r="V802" s="44"/>
      <c r="W802" s="44"/>
      <c r="X802" s="46"/>
      <c r="Y802" s="46"/>
      <c r="Z802" s="46"/>
      <c r="AA802" s="41"/>
      <c r="AB802" s="22"/>
      <c r="AC802" s="22"/>
      <c r="AD802" s="41"/>
      <c r="AE802" s="22"/>
      <c r="AF802" s="22"/>
      <c r="AG802" s="48" t="str">
        <f t="shared" si="74"/>
        <v/>
      </c>
      <c r="AH802" s="48" t="str">
        <f t="shared" si="75"/>
        <v/>
      </c>
      <c r="AI802" s="48" t="str">
        <f t="shared" si="76"/>
        <v/>
      </c>
      <c r="AJ802" s="40" t="str">
        <f t="shared" si="72"/>
        <v/>
      </c>
      <c r="AK802" s="40"/>
      <c r="AL802" s="40"/>
      <c r="AM802" s="22"/>
      <c r="AQ802" s="46"/>
    </row>
    <row r="803" spans="1:43" ht="17.399999999999999">
      <c r="A803" s="22"/>
      <c r="B803" s="22"/>
      <c r="C803" s="56"/>
      <c r="D803" s="56"/>
      <c r="E803" s="22"/>
      <c r="F803" s="22"/>
      <c r="G803" s="22"/>
      <c r="H803" s="22"/>
      <c r="I803" s="49"/>
      <c r="J803" s="50"/>
      <c r="K803" s="22"/>
      <c r="L803" s="22"/>
      <c r="M803" s="22"/>
      <c r="N803" s="22"/>
      <c r="O803" s="22"/>
      <c r="P803" s="46"/>
      <c r="Q803" s="40"/>
      <c r="R803" s="41"/>
      <c r="S803" s="22" t="str">
        <f t="shared" si="73"/>
        <v/>
      </c>
      <c r="T803" s="41"/>
      <c r="U803" s="41" t="str">
        <f t="shared" si="77"/>
        <v/>
      </c>
      <c r="V803" s="44"/>
      <c r="W803" s="44"/>
      <c r="X803" s="46"/>
      <c r="Y803" s="46"/>
      <c r="Z803" s="46"/>
      <c r="AA803" s="41"/>
      <c r="AB803" s="22"/>
      <c r="AC803" s="22"/>
      <c r="AD803" s="41"/>
      <c r="AE803" s="22"/>
      <c r="AF803" s="22"/>
      <c r="AG803" s="48" t="str">
        <f t="shared" si="74"/>
        <v/>
      </c>
      <c r="AH803" s="48" t="str">
        <f t="shared" si="75"/>
        <v/>
      </c>
      <c r="AI803" s="48" t="str">
        <f t="shared" si="76"/>
        <v/>
      </c>
      <c r="AJ803" s="40" t="str">
        <f t="shared" si="72"/>
        <v/>
      </c>
      <c r="AK803" s="40"/>
      <c r="AL803" s="40"/>
      <c r="AM803" s="22"/>
      <c r="AQ803" s="46"/>
    </row>
    <row r="804" spans="1:43" ht="17.399999999999999">
      <c r="A804" s="22"/>
      <c r="B804" s="22"/>
      <c r="C804" s="56"/>
      <c r="D804" s="56"/>
      <c r="E804" s="22"/>
      <c r="F804" s="22"/>
      <c r="G804" s="22"/>
      <c r="H804" s="22"/>
      <c r="I804" s="49"/>
      <c r="J804" s="50"/>
      <c r="K804" s="22"/>
      <c r="L804" s="22"/>
      <c r="M804" s="22"/>
      <c r="N804" s="22"/>
      <c r="O804" s="22"/>
      <c r="P804" s="46"/>
      <c r="Q804" s="40"/>
      <c r="R804" s="41"/>
      <c r="S804" s="22" t="str">
        <f t="shared" si="73"/>
        <v/>
      </c>
      <c r="T804" s="41"/>
      <c r="U804" s="41" t="str">
        <f t="shared" si="77"/>
        <v/>
      </c>
      <c r="V804" s="44"/>
      <c r="W804" s="44"/>
      <c r="X804" s="46"/>
      <c r="Y804" s="46"/>
      <c r="Z804" s="46"/>
      <c r="AA804" s="41"/>
      <c r="AB804" s="22"/>
      <c r="AC804" s="22"/>
      <c r="AD804" s="41"/>
      <c r="AE804" s="22"/>
      <c r="AF804" s="22"/>
      <c r="AG804" s="48" t="str">
        <f t="shared" si="74"/>
        <v/>
      </c>
      <c r="AH804" s="48" t="str">
        <f t="shared" si="75"/>
        <v/>
      </c>
      <c r="AI804" s="48" t="str">
        <f t="shared" si="76"/>
        <v/>
      </c>
      <c r="AJ804" s="40" t="str">
        <f t="shared" si="72"/>
        <v/>
      </c>
      <c r="AK804" s="40"/>
      <c r="AL804" s="40"/>
      <c r="AM804" s="22"/>
      <c r="AQ804" s="46"/>
    </row>
    <row r="805" spans="1:43" ht="17.399999999999999">
      <c r="A805" s="22"/>
      <c r="B805" s="22"/>
      <c r="C805" s="56"/>
      <c r="D805" s="56"/>
      <c r="E805" s="22"/>
      <c r="F805" s="22"/>
      <c r="G805" s="22"/>
      <c r="H805" s="22"/>
      <c r="I805" s="49"/>
      <c r="J805" s="50"/>
      <c r="K805" s="22"/>
      <c r="L805" s="22"/>
      <c r="M805" s="22"/>
      <c r="N805" s="22"/>
      <c r="O805" s="22"/>
      <c r="P805" s="46"/>
      <c r="Q805" s="40"/>
      <c r="R805" s="41"/>
      <c r="S805" s="22" t="str">
        <f t="shared" si="73"/>
        <v/>
      </c>
      <c r="T805" s="41"/>
      <c r="U805" s="41" t="str">
        <f t="shared" si="77"/>
        <v/>
      </c>
      <c r="V805" s="44"/>
      <c r="W805" s="44"/>
      <c r="X805" s="46"/>
      <c r="Y805" s="46"/>
      <c r="Z805" s="46"/>
      <c r="AA805" s="41"/>
      <c r="AB805" s="22"/>
      <c r="AC805" s="22"/>
      <c r="AD805" s="41"/>
      <c r="AE805" s="22"/>
      <c r="AF805" s="22"/>
      <c r="AG805" s="48" t="str">
        <f t="shared" si="74"/>
        <v/>
      </c>
      <c r="AH805" s="48" t="str">
        <f t="shared" si="75"/>
        <v/>
      </c>
      <c r="AI805" s="48" t="str">
        <f t="shared" si="76"/>
        <v/>
      </c>
      <c r="AJ805" s="40" t="str">
        <f t="shared" si="72"/>
        <v/>
      </c>
      <c r="AK805" s="40"/>
      <c r="AL805" s="40"/>
      <c r="AM805" s="22"/>
      <c r="AQ805" s="46"/>
    </row>
    <row r="806" spans="1:43" ht="17.399999999999999">
      <c r="A806" s="22"/>
      <c r="B806" s="22"/>
      <c r="C806" s="56"/>
      <c r="D806" s="56"/>
      <c r="E806" s="22"/>
      <c r="F806" s="22"/>
      <c r="G806" s="22"/>
      <c r="H806" s="22"/>
      <c r="I806" s="49"/>
      <c r="J806" s="50"/>
      <c r="K806" s="22"/>
      <c r="L806" s="22"/>
      <c r="M806" s="22"/>
      <c r="N806" s="22"/>
      <c r="O806" s="22"/>
      <c r="P806" s="46"/>
      <c r="Q806" s="40"/>
      <c r="R806" s="41"/>
      <c r="S806" s="22" t="str">
        <f t="shared" si="73"/>
        <v/>
      </c>
      <c r="T806" s="41"/>
      <c r="U806" s="41" t="str">
        <f t="shared" si="77"/>
        <v/>
      </c>
      <c r="V806" s="44"/>
      <c r="W806" s="44"/>
      <c r="X806" s="46"/>
      <c r="Y806" s="46"/>
      <c r="Z806" s="46"/>
      <c r="AA806" s="41"/>
      <c r="AB806" s="22"/>
      <c r="AC806" s="22"/>
      <c r="AD806" s="41"/>
      <c r="AE806" s="22"/>
      <c r="AF806" s="22"/>
      <c r="AG806" s="48" t="str">
        <f t="shared" si="74"/>
        <v/>
      </c>
      <c r="AH806" s="48" t="str">
        <f t="shared" si="75"/>
        <v/>
      </c>
      <c r="AI806" s="48" t="str">
        <f t="shared" si="76"/>
        <v/>
      </c>
      <c r="AJ806" s="40" t="str">
        <f t="shared" si="72"/>
        <v/>
      </c>
      <c r="AK806" s="40"/>
      <c r="AL806" s="40"/>
      <c r="AM806" s="22"/>
      <c r="AQ806" s="46"/>
    </row>
    <row r="807" spans="1:43" ht="17.399999999999999">
      <c r="A807" s="22"/>
      <c r="B807" s="22"/>
      <c r="C807" s="56"/>
      <c r="D807" s="56"/>
      <c r="E807" s="22"/>
      <c r="F807" s="22"/>
      <c r="G807" s="22"/>
      <c r="H807" s="22"/>
      <c r="I807" s="49"/>
      <c r="J807" s="50"/>
      <c r="K807" s="22"/>
      <c r="L807" s="22"/>
      <c r="M807" s="22"/>
      <c r="N807" s="22"/>
      <c r="O807" s="22"/>
      <c r="P807" s="46"/>
      <c r="Q807" s="40"/>
      <c r="R807" s="41"/>
      <c r="S807" s="22" t="str">
        <f t="shared" si="73"/>
        <v/>
      </c>
      <c r="T807" s="41"/>
      <c r="U807" s="41" t="str">
        <f t="shared" si="77"/>
        <v/>
      </c>
      <c r="V807" s="44"/>
      <c r="W807" s="44"/>
      <c r="X807" s="46"/>
      <c r="Y807" s="46"/>
      <c r="Z807" s="46"/>
      <c r="AA807" s="41"/>
      <c r="AB807" s="22"/>
      <c r="AC807" s="22"/>
      <c r="AD807" s="41"/>
      <c r="AE807" s="22"/>
      <c r="AF807" s="22"/>
      <c r="AG807" s="48" t="str">
        <f t="shared" si="74"/>
        <v/>
      </c>
      <c r="AH807" s="48" t="str">
        <f t="shared" si="75"/>
        <v/>
      </c>
      <c r="AI807" s="48" t="str">
        <f t="shared" si="76"/>
        <v/>
      </c>
      <c r="AJ807" s="40" t="str">
        <f t="shared" si="72"/>
        <v/>
      </c>
      <c r="AK807" s="40"/>
      <c r="AL807" s="40"/>
      <c r="AM807" s="22"/>
      <c r="AQ807" s="46"/>
    </row>
    <row r="808" spans="1:43" ht="17.399999999999999">
      <c r="A808" s="22"/>
      <c r="B808" s="22"/>
      <c r="C808" s="56"/>
      <c r="D808" s="56"/>
      <c r="E808" s="22"/>
      <c r="F808" s="22"/>
      <c r="G808" s="22"/>
      <c r="H808" s="22"/>
      <c r="I808" s="49"/>
      <c r="J808" s="50"/>
      <c r="K808" s="22"/>
      <c r="L808" s="22"/>
      <c r="M808" s="22"/>
      <c r="N808" s="22"/>
      <c r="O808" s="22"/>
      <c r="P808" s="46"/>
      <c r="Q808" s="40"/>
      <c r="R808" s="41"/>
      <c r="S808" s="22" t="str">
        <f t="shared" si="73"/>
        <v/>
      </c>
      <c r="T808" s="41"/>
      <c r="U808" s="41" t="str">
        <f t="shared" si="77"/>
        <v/>
      </c>
      <c r="V808" s="44"/>
      <c r="W808" s="44"/>
      <c r="X808" s="46"/>
      <c r="Y808" s="46"/>
      <c r="Z808" s="46"/>
      <c r="AA808" s="41"/>
      <c r="AB808" s="22"/>
      <c r="AC808" s="22"/>
      <c r="AD808" s="41"/>
      <c r="AE808" s="22"/>
      <c r="AF808" s="22"/>
      <c r="AG808" s="48" t="str">
        <f t="shared" si="74"/>
        <v/>
      </c>
      <c r="AH808" s="48" t="str">
        <f t="shared" si="75"/>
        <v/>
      </c>
      <c r="AI808" s="48" t="str">
        <f t="shared" si="76"/>
        <v/>
      </c>
      <c r="AJ808" s="40" t="str">
        <f t="shared" si="72"/>
        <v/>
      </c>
      <c r="AK808" s="40"/>
      <c r="AL808" s="40"/>
      <c r="AM808" s="22"/>
      <c r="AQ808" s="46"/>
    </row>
    <row r="809" spans="1:43" ht="17.399999999999999">
      <c r="A809" s="22"/>
      <c r="B809" s="22"/>
      <c r="C809" s="56"/>
      <c r="D809" s="56"/>
      <c r="E809" s="22"/>
      <c r="F809" s="22"/>
      <c r="G809" s="22"/>
      <c r="H809" s="22"/>
      <c r="I809" s="49"/>
      <c r="J809" s="50"/>
      <c r="K809" s="22"/>
      <c r="L809" s="22"/>
      <c r="M809" s="22"/>
      <c r="N809" s="22"/>
      <c r="O809" s="22"/>
      <c r="P809" s="46"/>
      <c r="Q809" s="40"/>
      <c r="R809" s="41"/>
      <c r="S809" s="22" t="str">
        <f t="shared" si="73"/>
        <v/>
      </c>
      <c r="T809" s="41"/>
      <c r="U809" s="41" t="str">
        <f t="shared" si="77"/>
        <v/>
      </c>
      <c r="V809" s="44"/>
      <c r="W809" s="44"/>
      <c r="X809" s="46"/>
      <c r="Y809" s="46"/>
      <c r="Z809" s="46"/>
      <c r="AA809" s="41"/>
      <c r="AB809" s="22"/>
      <c r="AC809" s="22"/>
      <c r="AD809" s="41"/>
      <c r="AE809" s="22"/>
      <c r="AF809" s="22"/>
      <c r="AG809" s="48" t="str">
        <f t="shared" si="74"/>
        <v/>
      </c>
      <c r="AH809" s="48" t="str">
        <f t="shared" si="75"/>
        <v/>
      </c>
      <c r="AI809" s="48" t="str">
        <f t="shared" si="76"/>
        <v/>
      </c>
      <c r="AJ809" s="40" t="str">
        <f t="shared" si="72"/>
        <v/>
      </c>
      <c r="AK809" s="40"/>
      <c r="AL809" s="40"/>
      <c r="AM809" s="22"/>
      <c r="AQ809" s="46"/>
    </row>
    <row r="810" spans="1:43" ht="17.399999999999999">
      <c r="A810" s="22"/>
      <c r="B810" s="22"/>
      <c r="C810" s="56"/>
      <c r="D810" s="56"/>
      <c r="E810" s="22"/>
      <c r="F810" s="22"/>
      <c r="G810" s="22"/>
      <c r="H810" s="22"/>
      <c r="I810" s="49"/>
      <c r="J810" s="50"/>
      <c r="K810" s="22"/>
      <c r="L810" s="22"/>
      <c r="M810" s="22"/>
      <c r="N810" s="22"/>
      <c r="O810" s="22"/>
      <c r="P810" s="46"/>
      <c r="Q810" s="40"/>
      <c r="R810" s="41"/>
      <c r="S810" s="22" t="str">
        <f t="shared" si="73"/>
        <v/>
      </c>
      <c r="T810" s="41"/>
      <c r="U810" s="41" t="str">
        <f t="shared" si="77"/>
        <v/>
      </c>
      <c r="V810" s="44"/>
      <c r="W810" s="44"/>
      <c r="X810" s="46"/>
      <c r="Y810" s="46"/>
      <c r="Z810" s="46"/>
      <c r="AA810" s="41"/>
      <c r="AB810" s="22"/>
      <c r="AC810" s="22"/>
      <c r="AD810" s="41"/>
      <c r="AE810" s="22"/>
      <c r="AF810" s="22"/>
      <c r="AG810" s="48" t="str">
        <f t="shared" si="74"/>
        <v/>
      </c>
      <c r="AH810" s="48" t="str">
        <f t="shared" si="75"/>
        <v/>
      </c>
      <c r="AI810" s="48" t="str">
        <f t="shared" si="76"/>
        <v/>
      </c>
      <c r="AJ810" s="40" t="str">
        <f t="shared" si="72"/>
        <v/>
      </c>
      <c r="AK810" s="40"/>
      <c r="AL810" s="40"/>
      <c r="AM810" s="22"/>
      <c r="AQ810" s="46"/>
    </row>
    <row r="811" spans="1:43" ht="17.399999999999999">
      <c r="A811" s="22"/>
      <c r="B811" s="22"/>
      <c r="C811" s="56"/>
      <c r="D811" s="56"/>
      <c r="E811" s="22"/>
      <c r="F811" s="22"/>
      <c r="G811" s="22"/>
      <c r="H811" s="22"/>
      <c r="I811" s="49"/>
      <c r="J811" s="50"/>
      <c r="K811" s="22"/>
      <c r="L811" s="22"/>
      <c r="M811" s="22"/>
      <c r="N811" s="22"/>
      <c r="O811" s="22"/>
      <c r="P811" s="46"/>
      <c r="Q811" s="40"/>
      <c r="R811" s="41"/>
      <c r="S811" s="22" t="str">
        <f t="shared" si="73"/>
        <v/>
      </c>
      <c r="T811" s="41"/>
      <c r="U811" s="41" t="str">
        <f t="shared" si="77"/>
        <v/>
      </c>
      <c r="V811" s="44"/>
      <c r="W811" s="44"/>
      <c r="X811" s="46"/>
      <c r="Y811" s="46"/>
      <c r="Z811" s="46"/>
      <c r="AA811" s="41"/>
      <c r="AB811" s="22"/>
      <c r="AC811" s="22"/>
      <c r="AD811" s="41"/>
      <c r="AE811" s="22"/>
      <c r="AF811" s="22"/>
      <c r="AG811" s="48" t="str">
        <f t="shared" si="74"/>
        <v/>
      </c>
      <c r="AH811" s="48" t="str">
        <f t="shared" si="75"/>
        <v/>
      </c>
      <c r="AI811" s="48" t="str">
        <f t="shared" si="76"/>
        <v/>
      </c>
      <c r="AJ811" s="40" t="str">
        <f t="shared" si="72"/>
        <v/>
      </c>
      <c r="AK811" s="40"/>
      <c r="AL811" s="40"/>
      <c r="AM811" s="22"/>
      <c r="AQ811" s="46"/>
    </row>
    <row r="812" spans="1:43" ht="17.399999999999999">
      <c r="A812" s="22"/>
      <c r="B812" s="22"/>
      <c r="C812" s="56"/>
      <c r="D812" s="56"/>
      <c r="E812" s="22"/>
      <c r="F812" s="22"/>
      <c r="G812" s="22"/>
      <c r="H812" s="22"/>
      <c r="I812" s="49"/>
      <c r="J812" s="50"/>
      <c r="K812" s="22"/>
      <c r="L812" s="22"/>
      <c r="M812" s="22"/>
      <c r="N812" s="22"/>
      <c r="O812" s="22"/>
      <c r="P812" s="46"/>
      <c r="Q812" s="40"/>
      <c r="R812" s="41"/>
      <c r="S812" s="22" t="str">
        <f t="shared" si="73"/>
        <v/>
      </c>
      <c r="T812" s="41"/>
      <c r="U812" s="41" t="str">
        <f t="shared" si="77"/>
        <v/>
      </c>
      <c r="V812" s="44"/>
      <c r="W812" s="44"/>
      <c r="X812" s="46"/>
      <c r="Y812" s="46"/>
      <c r="Z812" s="46"/>
      <c r="AA812" s="41"/>
      <c r="AB812" s="22"/>
      <c r="AC812" s="22"/>
      <c r="AD812" s="41"/>
      <c r="AE812" s="22"/>
      <c r="AF812" s="22"/>
      <c r="AG812" s="48" t="str">
        <f t="shared" si="74"/>
        <v/>
      </c>
      <c r="AH812" s="48" t="str">
        <f t="shared" si="75"/>
        <v/>
      </c>
      <c r="AI812" s="48" t="str">
        <f t="shared" si="76"/>
        <v/>
      </c>
      <c r="AJ812" s="40" t="str">
        <f t="shared" si="72"/>
        <v/>
      </c>
      <c r="AK812" s="40"/>
      <c r="AL812" s="40"/>
      <c r="AM812" s="22"/>
      <c r="AQ812" s="46"/>
    </row>
    <row r="813" spans="1:43" ht="17.399999999999999">
      <c r="A813" s="22"/>
      <c r="B813" s="22"/>
      <c r="C813" s="56"/>
      <c r="D813" s="56"/>
      <c r="E813" s="22"/>
      <c r="F813" s="22"/>
      <c r="G813" s="22"/>
      <c r="H813" s="22"/>
      <c r="I813" s="49"/>
      <c r="J813" s="50"/>
      <c r="K813" s="22"/>
      <c r="L813" s="22"/>
      <c r="M813" s="22"/>
      <c r="N813" s="22"/>
      <c r="O813" s="22"/>
      <c r="P813" s="46"/>
      <c r="Q813" s="40"/>
      <c r="R813" s="41"/>
      <c r="S813" s="22" t="str">
        <f t="shared" si="73"/>
        <v/>
      </c>
      <c r="T813" s="41"/>
      <c r="U813" s="41" t="str">
        <f t="shared" si="77"/>
        <v/>
      </c>
      <c r="V813" s="44"/>
      <c r="W813" s="44"/>
      <c r="X813" s="46"/>
      <c r="Y813" s="46"/>
      <c r="Z813" s="46"/>
      <c r="AA813" s="41"/>
      <c r="AB813" s="22"/>
      <c r="AC813" s="22"/>
      <c r="AD813" s="41"/>
      <c r="AE813" s="22"/>
      <c r="AF813" s="22"/>
      <c r="AG813" s="48" t="str">
        <f t="shared" si="74"/>
        <v/>
      </c>
      <c r="AH813" s="48" t="str">
        <f t="shared" si="75"/>
        <v/>
      </c>
      <c r="AI813" s="48" t="str">
        <f t="shared" si="76"/>
        <v/>
      </c>
      <c r="AJ813" s="40" t="str">
        <f t="shared" ref="AJ813:AJ876" si="78">IF(A813="","",R813+21)</f>
        <v/>
      </c>
      <c r="AK813" s="40"/>
      <c r="AL813" s="40"/>
      <c r="AM813" s="22"/>
      <c r="AQ813" s="46"/>
    </row>
    <row r="814" spans="1:43" ht="17.399999999999999">
      <c r="A814" s="22"/>
      <c r="B814" s="22"/>
      <c r="C814" s="56"/>
      <c r="D814" s="56"/>
      <c r="E814" s="22"/>
      <c r="F814" s="22"/>
      <c r="G814" s="22"/>
      <c r="H814" s="22"/>
      <c r="I814" s="49"/>
      <c r="J814" s="50"/>
      <c r="K814" s="22"/>
      <c r="L814" s="22"/>
      <c r="M814" s="22"/>
      <c r="N814" s="22"/>
      <c r="O814" s="22"/>
      <c r="P814" s="46"/>
      <c r="Q814" s="40"/>
      <c r="R814" s="41"/>
      <c r="S814" s="22" t="str">
        <f t="shared" si="73"/>
        <v/>
      </c>
      <c r="T814" s="41"/>
      <c r="U814" s="41" t="str">
        <f t="shared" si="77"/>
        <v/>
      </c>
      <c r="V814" s="44"/>
      <c r="W814" s="44"/>
      <c r="X814" s="46"/>
      <c r="Y814" s="46"/>
      <c r="Z814" s="46"/>
      <c r="AA814" s="41"/>
      <c r="AB814" s="22"/>
      <c r="AC814" s="22"/>
      <c r="AD814" s="41"/>
      <c r="AE814" s="22"/>
      <c r="AF814" s="22"/>
      <c r="AG814" s="48" t="str">
        <f t="shared" si="74"/>
        <v/>
      </c>
      <c r="AH814" s="48" t="str">
        <f t="shared" si="75"/>
        <v/>
      </c>
      <c r="AI814" s="48" t="str">
        <f t="shared" si="76"/>
        <v/>
      </c>
      <c r="AJ814" s="40" t="str">
        <f t="shared" si="78"/>
        <v/>
      </c>
      <c r="AK814" s="40"/>
      <c r="AL814" s="40"/>
      <c r="AM814" s="22"/>
      <c r="AQ814" s="46"/>
    </row>
    <row r="815" spans="1:43" ht="17.399999999999999">
      <c r="A815" s="22"/>
      <c r="B815" s="22"/>
      <c r="C815" s="56"/>
      <c r="D815" s="56"/>
      <c r="E815" s="22"/>
      <c r="F815" s="22"/>
      <c r="G815" s="22"/>
      <c r="H815" s="22"/>
      <c r="I815" s="49"/>
      <c r="J815" s="50"/>
      <c r="K815" s="22"/>
      <c r="L815" s="22"/>
      <c r="M815" s="22"/>
      <c r="N815" s="22"/>
      <c r="O815" s="22"/>
      <c r="P815" s="46"/>
      <c r="Q815" s="40"/>
      <c r="R815" s="41"/>
      <c r="S815" s="22" t="str">
        <f t="shared" si="73"/>
        <v/>
      </c>
      <c r="T815" s="41"/>
      <c r="U815" s="41" t="str">
        <f t="shared" si="77"/>
        <v/>
      </c>
      <c r="V815" s="44"/>
      <c r="W815" s="44"/>
      <c r="X815" s="46"/>
      <c r="Y815" s="46"/>
      <c r="Z815" s="46"/>
      <c r="AA815" s="41"/>
      <c r="AB815" s="22"/>
      <c r="AC815" s="22"/>
      <c r="AD815" s="41"/>
      <c r="AE815" s="22"/>
      <c r="AF815" s="22"/>
      <c r="AG815" s="48" t="str">
        <f t="shared" si="74"/>
        <v/>
      </c>
      <c r="AH815" s="48" t="str">
        <f t="shared" si="75"/>
        <v/>
      </c>
      <c r="AI815" s="48" t="str">
        <f t="shared" si="76"/>
        <v/>
      </c>
      <c r="AJ815" s="40" t="str">
        <f t="shared" si="78"/>
        <v/>
      </c>
      <c r="AK815" s="40"/>
      <c r="AL815" s="40"/>
      <c r="AM815" s="22"/>
      <c r="AQ815" s="46"/>
    </row>
    <row r="816" spans="1:43" ht="17.399999999999999">
      <c r="A816" s="22"/>
      <c r="B816" s="22"/>
      <c r="C816" s="56"/>
      <c r="D816" s="56"/>
      <c r="E816" s="22"/>
      <c r="F816" s="22"/>
      <c r="G816" s="22"/>
      <c r="H816" s="22"/>
      <c r="I816" s="49"/>
      <c r="J816" s="50"/>
      <c r="K816" s="22"/>
      <c r="L816" s="22"/>
      <c r="M816" s="22"/>
      <c r="N816" s="22"/>
      <c r="O816" s="22"/>
      <c r="P816" s="46"/>
      <c r="Q816" s="40"/>
      <c r="R816" s="41"/>
      <c r="S816" s="22" t="str">
        <f t="shared" si="73"/>
        <v/>
      </c>
      <c r="T816" s="41"/>
      <c r="U816" s="41" t="str">
        <f t="shared" si="77"/>
        <v/>
      </c>
      <c r="V816" s="44"/>
      <c r="W816" s="44"/>
      <c r="X816" s="46"/>
      <c r="Y816" s="46"/>
      <c r="Z816" s="46"/>
      <c r="AA816" s="41"/>
      <c r="AB816" s="22"/>
      <c r="AC816" s="22"/>
      <c r="AD816" s="41"/>
      <c r="AE816" s="22"/>
      <c r="AF816" s="22"/>
      <c r="AG816" s="48" t="str">
        <f t="shared" si="74"/>
        <v/>
      </c>
      <c r="AH816" s="48" t="str">
        <f t="shared" si="75"/>
        <v/>
      </c>
      <c r="AI816" s="48" t="str">
        <f t="shared" si="76"/>
        <v/>
      </c>
      <c r="AJ816" s="40" t="str">
        <f t="shared" si="78"/>
        <v/>
      </c>
      <c r="AK816" s="40"/>
      <c r="AL816" s="40"/>
      <c r="AM816" s="22"/>
      <c r="AQ816" s="46"/>
    </row>
    <row r="817" spans="1:43" ht="17.399999999999999">
      <c r="A817" s="22"/>
      <c r="B817" s="22"/>
      <c r="C817" s="56"/>
      <c r="D817" s="56"/>
      <c r="E817" s="22"/>
      <c r="F817" s="22"/>
      <c r="G817" s="22"/>
      <c r="H817" s="22"/>
      <c r="I817" s="49"/>
      <c r="J817" s="50"/>
      <c r="K817" s="22"/>
      <c r="L817" s="22"/>
      <c r="M817" s="22"/>
      <c r="N817" s="22"/>
      <c r="O817" s="22"/>
      <c r="P817" s="46"/>
      <c r="Q817" s="40"/>
      <c r="R817" s="41"/>
      <c r="S817" s="22" t="str">
        <f t="shared" si="73"/>
        <v/>
      </c>
      <c r="T817" s="41"/>
      <c r="U817" s="41" t="str">
        <f t="shared" si="77"/>
        <v/>
      </c>
      <c r="V817" s="44"/>
      <c r="W817" s="44"/>
      <c r="X817" s="46"/>
      <c r="Y817" s="46"/>
      <c r="Z817" s="46"/>
      <c r="AA817" s="41"/>
      <c r="AB817" s="22"/>
      <c r="AC817" s="22"/>
      <c r="AD817" s="41"/>
      <c r="AE817" s="22"/>
      <c r="AF817" s="22"/>
      <c r="AG817" s="48" t="str">
        <f t="shared" si="74"/>
        <v/>
      </c>
      <c r="AH817" s="48" t="str">
        <f t="shared" si="75"/>
        <v/>
      </c>
      <c r="AI817" s="48" t="str">
        <f t="shared" si="76"/>
        <v/>
      </c>
      <c r="AJ817" s="40" t="str">
        <f t="shared" si="78"/>
        <v/>
      </c>
      <c r="AK817" s="40"/>
      <c r="AL817" s="40"/>
      <c r="AM817" s="22"/>
      <c r="AQ817" s="46"/>
    </row>
    <row r="818" spans="1:43" ht="17.399999999999999">
      <c r="A818" s="22"/>
      <c r="B818" s="22"/>
      <c r="C818" s="56"/>
      <c r="D818" s="56"/>
      <c r="E818" s="22"/>
      <c r="F818" s="22"/>
      <c r="G818" s="22"/>
      <c r="H818" s="22"/>
      <c r="I818" s="49"/>
      <c r="J818" s="50"/>
      <c r="K818" s="22"/>
      <c r="L818" s="22"/>
      <c r="M818" s="22"/>
      <c r="N818" s="22"/>
      <c r="O818" s="22"/>
      <c r="P818" s="46"/>
      <c r="Q818" s="40"/>
      <c r="R818" s="41"/>
      <c r="S818" s="22" t="str">
        <f t="shared" si="73"/>
        <v/>
      </c>
      <c r="T818" s="41"/>
      <c r="U818" s="41" t="str">
        <f t="shared" si="77"/>
        <v/>
      </c>
      <c r="V818" s="44"/>
      <c r="W818" s="44"/>
      <c r="X818" s="46"/>
      <c r="Y818" s="46"/>
      <c r="Z818" s="46"/>
      <c r="AA818" s="41"/>
      <c r="AB818" s="22"/>
      <c r="AC818" s="22"/>
      <c r="AD818" s="41"/>
      <c r="AE818" s="22"/>
      <c r="AF818" s="22"/>
      <c r="AG818" s="48" t="str">
        <f t="shared" si="74"/>
        <v/>
      </c>
      <c r="AH818" s="48" t="str">
        <f t="shared" si="75"/>
        <v/>
      </c>
      <c r="AI818" s="48" t="str">
        <f t="shared" si="76"/>
        <v/>
      </c>
      <c r="AJ818" s="40" t="str">
        <f t="shared" si="78"/>
        <v/>
      </c>
      <c r="AK818" s="40"/>
      <c r="AL818" s="40"/>
      <c r="AM818" s="22"/>
      <c r="AQ818" s="46"/>
    </row>
    <row r="819" spans="1:43" ht="17.399999999999999">
      <c r="A819" s="22"/>
      <c r="B819" s="22"/>
      <c r="C819" s="56"/>
      <c r="D819" s="56"/>
      <c r="E819" s="22"/>
      <c r="F819" s="22"/>
      <c r="G819" s="22"/>
      <c r="H819" s="22"/>
      <c r="I819" s="49"/>
      <c r="J819" s="50"/>
      <c r="K819" s="22"/>
      <c r="L819" s="22"/>
      <c r="M819" s="22"/>
      <c r="N819" s="22"/>
      <c r="O819" s="22"/>
      <c r="P819" s="46"/>
      <c r="Q819" s="40"/>
      <c r="R819" s="41"/>
      <c r="S819" s="22" t="str">
        <f t="shared" si="73"/>
        <v/>
      </c>
      <c r="T819" s="41"/>
      <c r="U819" s="41" t="str">
        <f t="shared" si="77"/>
        <v/>
      </c>
      <c r="V819" s="44"/>
      <c r="W819" s="44"/>
      <c r="X819" s="46"/>
      <c r="Y819" s="46"/>
      <c r="Z819" s="46"/>
      <c r="AA819" s="41"/>
      <c r="AB819" s="22"/>
      <c r="AC819" s="22"/>
      <c r="AD819" s="41"/>
      <c r="AE819" s="22"/>
      <c r="AF819" s="22"/>
      <c r="AG819" s="48" t="str">
        <f t="shared" si="74"/>
        <v/>
      </c>
      <c r="AH819" s="48" t="str">
        <f t="shared" si="75"/>
        <v/>
      </c>
      <c r="AI819" s="48" t="str">
        <f t="shared" si="76"/>
        <v/>
      </c>
      <c r="AJ819" s="40" t="str">
        <f t="shared" si="78"/>
        <v/>
      </c>
      <c r="AK819" s="40"/>
      <c r="AL819" s="40"/>
      <c r="AM819" s="22"/>
      <c r="AQ819" s="46"/>
    </row>
    <row r="820" spans="1:43" ht="17.399999999999999">
      <c r="A820" s="22"/>
      <c r="B820" s="22"/>
      <c r="C820" s="56"/>
      <c r="D820" s="56"/>
      <c r="E820" s="22"/>
      <c r="F820" s="22"/>
      <c r="G820" s="22"/>
      <c r="H820" s="22"/>
      <c r="I820" s="49"/>
      <c r="J820" s="50"/>
      <c r="K820" s="22"/>
      <c r="L820" s="22"/>
      <c r="M820" s="22"/>
      <c r="N820" s="22"/>
      <c r="O820" s="22"/>
      <c r="P820" s="46"/>
      <c r="Q820" s="40"/>
      <c r="R820" s="41"/>
      <c r="S820" s="22" t="str">
        <f t="shared" si="73"/>
        <v/>
      </c>
      <c r="T820" s="41"/>
      <c r="U820" s="41" t="str">
        <f t="shared" si="77"/>
        <v/>
      </c>
      <c r="V820" s="44"/>
      <c r="W820" s="44"/>
      <c r="X820" s="46"/>
      <c r="Y820" s="46"/>
      <c r="Z820" s="46"/>
      <c r="AA820" s="41"/>
      <c r="AB820" s="22"/>
      <c r="AC820" s="22"/>
      <c r="AD820" s="41"/>
      <c r="AE820" s="22"/>
      <c r="AF820" s="22"/>
      <c r="AG820" s="48" t="str">
        <f t="shared" si="74"/>
        <v/>
      </c>
      <c r="AH820" s="48" t="str">
        <f t="shared" si="75"/>
        <v/>
      </c>
      <c r="AI820" s="48" t="str">
        <f t="shared" si="76"/>
        <v/>
      </c>
      <c r="AJ820" s="40" t="str">
        <f t="shared" si="78"/>
        <v/>
      </c>
      <c r="AK820" s="40"/>
      <c r="AL820" s="40"/>
      <c r="AM820" s="22"/>
      <c r="AQ820" s="46"/>
    </row>
    <row r="821" spans="1:43" ht="17.399999999999999">
      <c r="A821" s="22"/>
      <c r="B821" s="22"/>
      <c r="C821" s="56"/>
      <c r="D821" s="56"/>
      <c r="E821" s="22"/>
      <c r="F821" s="22"/>
      <c r="G821" s="22"/>
      <c r="H821" s="22"/>
      <c r="I821" s="49"/>
      <c r="J821" s="50"/>
      <c r="K821" s="22"/>
      <c r="L821" s="22"/>
      <c r="M821" s="22"/>
      <c r="N821" s="22"/>
      <c r="O821" s="22"/>
      <c r="P821" s="46"/>
      <c r="Q821" s="40"/>
      <c r="R821" s="41"/>
      <c r="S821" s="22" t="str">
        <f t="shared" si="73"/>
        <v/>
      </c>
      <c r="T821" s="41"/>
      <c r="U821" s="41" t="str">
        <f t="shared" si="77"/>
        <v/>
      </c>
      <c r="V821" s="44"/>
      <c r="W821" s="44"/>
      <c r="X821" s="46"/>
      <c r="Y821" s="46"/>
      <c r="Z821" s="46"/>
      <c r="AA821" s="41"/>
      <c r="AB821" s="22"/>
      <c r="AC821" s="22"/>
      <c r="AD821" s="41"/>
      <c r="AE821" s="22"/>
      <c r="AF821" s="22"/>
      <c r="AG821" s="48" t="str">
        <f t="shared" si="74"/>
        <v/>
      </c>
      <c r="AH821" s="48" t="str">
        <f t="shared" si="75"/>
        <v/>
      </c>
      <c r="AI821" s="48" t="str">
        <f t="shared" si="76"/>
        <v/>
      </c>
      <c r="AJ821" s="40" t="str">
        <f t="shared" si="78"/>
        <v/>
      </c>
      <c r="AK821" s="40"/>
      <c r="AL821" s="40"/>
      <c r="AM821" s="22"/>
      <c r="AQ821" s="46"/>
    </row>
    <row r="822" spans="1:43" ht="17.399999999999999">
      <c r="A822" s="22"/>
      <c r="B822" s="22"/>
      <c r="C822" s="56"/>
      <c r="D822" s="56"/>
      <c r="E822" s="22"/>
      <c r="F822" s="22"/>
      <c r="G822" s="22"/>
      <c r="H822" s="22"/>
      <c r="I822" s="49"/>
      <c r="J822" s="50"/>
      <c r="K822" s="22"/>
      <c r="L822" s="22"/>
      <c r="M822" s="22"/>
      <c r="N822" s="22"/>
      <c r="O822" s="22"/>
      <c r="P822" s="46"/>
      <c r="Q822" s="40"/>
      <c r="R822" s="41"/>
      <c r="S822" s="22" t="str">
        <f t="shared" si="73"/>
        <v/>
      </c>
      <c r="T822" s="41"/>
      <c r="U822" s="41" t="str">
        <f t="shared" si="77"/>
        <v/>
      </c>
      <c r="V822" s="44"/>
      <c r="W822" s="44"/>
      <c r="X822" s="46"/>
      <c r="Y822" s="46"/>
      <c r="Z822" s="46"/>
      <c r="AA822" s="41"/>
      <c r="AB822" s="22"/>
      <c r="AC822" s="22"/>
      <c r="AD822" s="41"/>
      <c r="AE822" s="22"/>
      <c r="AF822" s="22"/>
      <c r="AG822" s="48" t="str">
        <f t="shared" si="74"/>
        <v/>
      </c>
      <c r="AH822" s="48" t="str">
        <f t="shared" si="75"/>
        <v/>
      </c>
      <c r="AI822" s="48" t="str">
        <f t="shared" si="76"/>
        <v/>
      </c>
      <c r="AJ822" s="40" t="str">
        <f t="shared" si="78"/>
        <v/>
      </c>
      <c r="AK822" s="40"/>
      <c r="AL822" s="40"/>
      <c r="AM822" s="22"/>
      <c r="AQ822" s="46"/>
    </row>
    <row r="823" spans="1:43" ht="17.399999999999999">
      <c r="A823" s="22"/>
      <c r="B823" s="22"/>
      <c r="C823" s="56"/>
      <c r="D823" s="56"/>
      <c r="E823" s="22"/>
      <c r="F823" s="22"/>
      <c r="G823" s="22"/>
      <c r="H823" s="22"/>
      <c r="I823" s="49"/>
      <c r="J823" s="50"/>
      <c r="K823" s="22"/>
      <c r="L823" s="22"/>
      <c r="M823" s="22"/>
      <c r="N823" s="22"/>
      <c r="O823" s="22"/>
      <c r="P823" s="46"/>
      <c r="Q823" s="40"/>
      <c r="R823" s="41"/>
      <c r="S823" s="22" t="str">
        <f t="shared" si="73"/>
        <v/>
      </c>
      <c r="T823" s="41"/>
      <c r="U823" s="41" t="str">
        <f t="shared" si="77"/>
        <v/>
      </c>
      <c r="V823" s="44"/>
      <c r="W823" s="44"/>
      <c r="X823" s="46"/>
      <c r="Y823" s="46"/>
      <c r="Z823" s="46"/>
      <c r="AA823" s="41"/>
      <c r="AB823" s="22"/>
      <c r="AC823" s="22"/>
      <c r="AD823" s="41"/>
      <c r="AE823" s="22"/>
      <c r="AF823" s="22"/>
      <c r="AG823" s="48" t="str">
        <f t="shared" si="74"/>
        <v/>
      </c>
      <c r="AH823" s="48" t="str">
        <f t="shared" si="75"/>
        <v/>
      </c>
      <c r="AI823" s="48" t="str">
        <f t="shared" si="76"/>
        <v/>
      </c>
      <c r="AJ823" s="40" t="str">
        <f t="shared" si="78"/>
        <v/>
      </c>
      <c r="AK823" s="40"/>
      <c r="AL823" s="40"/>
      <c r="AM823" s="22"/>
      <c r="AQ823" s="46"/>
    </row>
    <row r="824" spans="1:43" ht="17.399999999999999">
      <c r="A824" s="22"/>
      <c r="B824" s="22"/>
      <c r="C824" s="56"/>
      <c r="D824" s="56"/>
      <c r="E824" s="22"/>
      <c r="F824" s="22"/>
      <c r="G824" s="22"/>
      <c r="H824" s="22"/>
      <c r="I824" s="49"/>
      <c r="J824" s="50"/>
      <c r="K824" s="22"/>
      <c r="L824" s="22"/>
      <c r="M824" s="22"/>
      <c r="N824" s="22"/>
      <c r="O824" s="22"/>
      <c r="P824" s="46"/>
      <c r="Q824" s="40"/>
      <c r="R824" s="41"/>
      <c r="S824" s="22" t="str">
        <f t="shared" si="73"/>
        <v/>
      </c>
      <c r="T824" s="41"/>
      <c r="U824" s="41" t="str">
        <f t="shared" si="77"/>
        <v/>
      </c>
      <c r="V824" s="44"/>
      <c r="W824" s="44"/>
      <c r="X824" s="46"/>
      <c r="Y824" s="46"/>
      <c r="Z824" s="46"/>
      <c r="AA824" s="41"/>
      <c r="AB824" s="22"/>
      <c r="AC824" s="22"/>
      <c r="AD824" s="41"/>
      <c r="AE824" s="22"/>
      <c r="AF824" s="22"/>
      <c r="AG824" s="48" t="str">
        <f t="shared" si="74"/>
        <v/>
      </c>
      <c r="AH824" s="48" t="str">
        <f t="shared" si="75"/>
        <v/>
      </c>
      <c r="AI824" s="48" t="str">
        <f t="shared" si="76"/>
        <v/>
      </c>
      <c r="AJ824" s="40" t="str">
        <f t="shared" si="78"/>
        <v/>
      </c>
      <c r="AK824" s="40"/>
      <c r="AL824" s="40"/>
      <c r="AM824" s="22"/>
      <c r="AQ824" s="46"/>
    </row>
    <row r="825" spans="1:43" ht="17.399999999999999">
      <c r="A825" s="22"/>
      <c r="B825" s="22"/>
      <c r="C825" s="56"/>
      <c r="D825" s="56"/>
      <c r="E825" s="22"/>
      <c r="F825" s="22"/>
      <c r="G825" s="22"/>
      <c r="H825" s="22"/>
      <c r="I825" s="49"/>
      <c r="J825" s="50"/>
      <c r="K825" s="22"/>
      <c r="L825" s="22"/>
      <c r="M825" s="22"/>
      <c r="N825" s="22"/>
      <c r="O825" s="22"/>
      <c r="P825" s="46"/>
      <c r="Q825" s="40"/>
      <c r="R825" s="41"/>
      <c r="S825" s="22" t="str">
        <f t="shared" si="73"/>
        <v/>
      </c>
      <c r="T825" s="41"/>
      <c r="U825" s="41" t="str">
        <f t="shared" si="77"/>
        <v/>
      </c>
      <c r="V825" s="44"/>
      <c r="W825" s="44"/>
      <c r="X825" s="46"/>
      <c r="Y825" s="46"/>
      <c r="Z825" s="46"/>
      <c r="AA825" s="41"/>
      <c r="AB825" s="22"/>
      <c r="AC825" s="22"/>
      <c r="AD825" s="41"/>
      <c r="AE825" s="22"/>
      <c r="AF825" s="22"/>
      <c r="AG825" s="48" t="str">
        <f t="shared" si="74"/>
        <v/>
      </c>
      <c r="AH825" s="48" t="str">
        <f t="shared" si="75"/>
        <v/>
      </c>
      <c r="AI825" s="48" t="str">
        <f t="shared" si="76"/>
        <v/>
      </c>
      <c r="AJ825" s="40" t="str">
        <f t="shared" si="78"/>
        <v/>
      </c>
      <c r="AK825" s="40"/>
      <c r="AL825" s="40"/>
      <c r="AM825" s="22"/>
      <c r="AQ825" s="46"/>
    </row>
    <row r="826" spans="1:43" ht="17.399999999999999">
      <c r="A826" s="22"/>
      <c r="B826" s="22"/>
      <c r="C826" s="56"/>
      <c r="D826" s="56"/>
      <c r="E826" s="22"/>
      <c r="F826" s="22"/>
      <c r="G826" s="22"/>
      <c r="H826" s="22"/>
      <c r="I826" s="49"/>
      <c r="J826" s="50"/>
      <c r="K826" s="22"/>
      <c r="L826" s="22"/>
      <c r="M826" s="22"/>
      <c r="N826" s="22"/>
      <c r="O826" s="22"/>
      <c r="P826" s="46"/>
      <c r="Q826" s="40"/>
      <c r="R826" s="41"/>
      <c r="S826" s="22" t="str">
        <f t="shared" si="73"/>
        <v/>
      </c>
      <c r="T826" s="41"/>
      <c r="U826" s="41" t="str">
        <f t="shared" si="77"/>
        <v/>
      </c>
      <c r="V826" s="44"/>
      <c r="W826" s="44"/>
      <c r="X826" s="46"/>
      <c r="Y826" s="46"/>
      <c r="Z826" s="46"/>
      <c r="AA826" s="41"/>
      <c r="AB826" s="22"/>
      <c r="AC826" s="22"/>
      <c r="AD826" s="41"/>
      <c r="AE826" s="22"/>
      <c r="AF826" s="22"/>
      <c r="AG826" s="48" t="str">
        <f t="shared" si="74"/>
        <v/>
      </c>
      <c r="AH826" s="48" t="str">
        <f t="shared" si="75"/>
        <v/>
      </c>
      <c r="AI826" s="48" t="str">
        <f t="shared" si="76"/>
        <v/>
      </c>
      <c r="AJ826" s="40" t="str">
        <f t="shared" si="78"/>
        <v/>
      </c>
      <c r="AK826" s="40"/>
      <c r="AL826" s="40"/>
      <c r="AM826" s="22"/>
      <c r="AQ826" s="46"/>
    </row>
    <row r="827" spans="1:43" ht="17.399999999999999">
      <c r="A827" s="22"/>
      <c r="B827" s="22"/>
      <c r="C827" s="56"/>
      <c r="D827" s="56"/>
      <c r="E827" s="22"/>
      <c r="F827" s="22"/>
      <c r="G827" s="22"/>
      <c r="H827" s="22"/>
      <c r="I827" s="49"/>
      <c r="J827" s="50"/>
      <c r="K827" s="22"/>
      <c r="L827" s="22"/>
      <c r="M827" s="22"/>
      <c r="N827" s="22"/>
      <c r="O827" s="22"/>
      <c r="P827" s="46"/>
      <c r="Q827" s="40"/>
      <c r="R827" s="41"/>
      <c r="S827" s="22" t="str">
        <f t="shared" si="73"/>
        <v/>
      </c>
      <c r="T827" s="41"/>
      <c r="U827" s="41" t="str">
        <f t="shared" si="77"/>
        <v/>
      </c>
      <c r="V827" s="44"/>
      <c r="W827" s="44"/>
      <c r="X827" s="46"/>
      <c r="Y827" s="46"/>
      <c r="Z827" s="46"/>
      <c r="AA827" s="41"/>
      <c r="AB827" s="22"/>
      <c r="AC827" s="22"/>
      <c r="AD827" s="41"/>
      <c r="AE827" s="22"/>
      <c r="AF827" s="22"/>
      <c r="AG827" s="48" t="str">
        <f t="shared" si="74"/>
        <v/>
      </c>
      <c r="AH827" s="48" t="str">
        <f t="shared" si="75"/>
        <v/>
      </c>
      <c r="AI827" s="48" t="str">
        <f t="shared" si="76"/>
        <v/>
      </c>
      <c r="AJ827" s="40" t="str">
        <f t="shared" si="78"/>
        <v/>
      </c>
      <c r="AK827" s="40"/>
      <c r="AL827" s="40"/>
      <c r="AM827" s="22"/>
      <c r="AQ827" s="46"/>
    </row>
    <row r="828" spans="1:43" ht="17.399999999999999">
      <c r="A828" s="22"/>
      <c r="B828" s="22"/>
      <c r="C828" s="56"/>
      <c r="D828" s="56"/>
      <c r="E828" s="22"/>
      <c r="F828" s="22"/>
      <c r="G828" s="22"/>
      <c r="H828" s="22"/>
      <c r="I828" s="49"/>
      <c r="J828" s="50"/>
      <c r="K828" s="22"/>
      <c r="L828" s="22"/>
      <c r="M828" s="22"/>
      <c r="N828" s="22"/>
      <c r="O828" s="22"/>
      <c r="P828" s="46"/>
      <c r="Q828" s="40"/>
      <c r="R828" s="41"/>
      <c r="S828" s="22" t="str">
        <f t="shared" si="73"/>
        <v/>
      </c>
      <c r="T828" s="41"/>
      <c r="U828" s="41" t="str">
        <f t="shared" si="77"/>
        <v/>
      </c>
      <c r="V828" s="44"/>
      <c r="W828" s="44"/>
      <c r="X828" s="46"/>
      <c r="Y828" s="46"/>
      <c r="Z828" s="46"/>
      <c r="AA828" s="41"/>
      <c r="AB828" s="22"/>
      <c r="AC828" s="22"/>
      <c r="AD828" s="41"/>
      <c r="AE828" s="22"/>
      <c r="AF828" s="22"/>
      <c r="AG828" s="48" t="str">
        <f t="shared" si="74"/>
        <v/>
      </c>
      <c r="AH828" s="48" t="str">
        <f t="shared" si="75"/>
        <v/>
      </c>
      <c r="AI828" s="48" t="str">
        <f t="shared" si="76"/>
        <v/>
      </c>
      <c r="AJ828" s="40" t="str">
        <f t="shared" si="78"/>
        <v/>
      </c>
      <c r="AK828" s="40"/>
      <c r="AL828" s="40"/>
      <c r="AM828" s="22"/>
      <c r="AQ828" s="46"/>
    </row>
    <row r="829" spans="1:43" ht="17.399999999999999">
      <c r="A829" s="22"/>
      <c r="B829" s="22"/>
      <c r="C829" s="56"/>
      <c r="D829" s="56"/>
      <c r="E829" s="22"/>
      <c r="F829" s="22"/>
      <c r="G829" s="22"/>
      <c r="H829" s="22"/>
      <c r="I829" s="49"/>
      <c r="J829" s="50"/>
      <c r="K829" s="22"/>
      <c r="L829" s="22"/>
      <c r="M829" s="22"/>
      <c r="N829" s="22"/>
      <c r="O829" s="22"/>
      <c r="P829" s="46"/>
      <c r="Q829" s="40"/>
      <c r="R829" s="41"/>
      <c r="S829" s="22" t="str">
        <f t="shared" si="73"/>
        <v/>
      </c>
      <c r="T829" s="41"/>
      <c r="U829" s="41" t="str">
        <f t="shared" si="77"/>
        <v/>
      </c>
      <c r="V829" s="44"/>
      <c r="W829" s="44"/>
      <c r="X829" s="46"/>
      <c r="Y829" s="46"/>
      <c r="Z829" s="46"/>
      <c r="AA829" s="41"/>
      <c r="AB829" s="22"/>
      <c r="AC829" s="22"/>
      <c r="AD829" s="41"/>
      <c r="AE829" s="22"/>
      <c r="AF829" s="22"/>
      <c r="AG829" s="48" t="str">
        <f t="shared" si="74"/>
        <v/>
      </c>
      <c r="AH829" s="48" t="str">
        <f t="shared" si="75"/>
        <v/>
      </c>
      <c r="AI829" s="48" t="str">
        <f t="shared" si="76"/>
        <v/>
      </c>
      <c r="AJ829" s="40" t="str">
        <f t="shared" si="78"/>
        <v/>
      </c>
      <c r="AK829" s="40"/>
      <c r="AL829" s="40"/>
      <c r="AM829" s="22"/>
      <c r="AQ829" s="46"/>
    </row>
    <row r="830" spans="1:43" ht="17.399999999999999">
      <c r="A830" s="22"/>
      <c r="B830" s="22"/>
      <c r="C830" s="56"/>
      <c r="D830" s="56"/>
      <c r="E830" s="22"/>
      <c r="F830" s="22"/>
      <c r="G830" s="22"/>
      <c r="H830" s="22"/>
      <c r="I830" s="49"/>
      <c r="J830" s="50"/>
      <c r="K830" s="22"/>
      <c r="L830" s="22"/>
      <c r="M830" s="22"/>
      <c r="N830" s="22"/>
      <c r="O830" s="22"/>
      <c r="P830" s="46"/>
      <c r="Q830" s="40"/>
      <c r="R830" s="41"/>
      <c r="S830" s="22" t="str">
        <f t="shared" si="73"/>
        <v/>
      </c>
      <c r="T830" s="41"/>
      <c r="U830" s="41" t="str">
        <f t="shared" si="77"/>
        <v/>
      </c>
      <c r="V830" s="44"/>
      <c r="W830" s="44"/>
      <c r="X830" s="46"/>
      <c r="Y830" s="46"/>
      <c r="Z830" s="46"/>
      <c r="AA830" s="41"/>
      <c r="AB830" s="22"/>
      <c r="AC830" s="22"/>
      <c r="AD830" s="41"/>
      <c r="AE830" s="22"/>
      <c r="AF830" s="22"/>
      <c r="AG830" s="48" t="str">
        <f t="shared" si="74"/>
        <v/>
      </c>
      <c r="AH830" s="48" t="str">
        <f t="shared" si="75"/>
        <v/>
      </c>
      <c r="AI830" s="48" t="str">
        <f t="shared" si="76"/>
        <v/>
      </c>
      <c r="AJ830" s="40" t="str">
        <f t="shared" si="78"/>
        <v/>
      </c>
      <c r="AK830" s="40"/>
      <c r="AL830" s="40"/>
      <c r="AM830" s="22"/>
      <c r="AQ830" s="46"/>
    </row>
    <row r="831" spans="1:43" ht="17.399999999999999">
      <c r="A831" s="22"/>
      <c r="B831" s="22"/>
      <c r="C831" s="56"/>
      <c r="D831" s="56"/>
      <c r="E831" s="22"/>
      <c r="F831" s="22"/>
      <c r="G831" s="22"/>
      <c r="H831" s="22"/>
      <c r="I831" s="49"/>
      <c r="J831" s="50"/>
      <c r="K831" s="22"/>
      <c r="L831" s="22"/>
      <c r="M831" s="22"/>
      <c r="N831" s="22"/>
      <c r="O831" s="22"/>
      <c r="P831" s="46"/>
      <c r="Q831" s="40"/>
      <c r="R831" s="41"/>
      <c r="S831" s="22" t="str">
        <f t="shared" si="73"/>
        <v/>
      </c>
      <c r="T831" s="41"/>
      <c r="U831" s="41" t="str">
        <f t="shared" si="77"/>
        <v/>
      </c>
      <c r="V831" s="44"/>
      <c r="W831" s="44"/>
      <c r="X831" s="46"/>
      <c r="Y831" s="46"/>
      <c r="Z831" s="46"/>
      <c r="AA831" s="41"/>
      <c r="AB831" s="22"/>
      <c r="AC831" s="22"/>
      <c r="AD831" s="41"/>
      <c r="AE831" s="22"/>
      <c r="AF831" s="22"/>
      <c r="AG831" s="48" t="str">
        <f t="shared" si="74"/>
        <v/>
      </c>
      <c r="AH831" s="48" t="str">
        <f t="shared" si="75"/>
        <v/>
      </c>
      <c r="AI831" s="48" t="str">
        <f t="shared" si="76"/>
        <v/>
      </c>
      <c r="AJ831" s="40" t="str">
        <f t="shared" si="78"/>
        <v/>
      </c>
      <c r="AK831" s="40"/>
      <c r="AL831" s="40"/>
      <c r="AM831" s="22"/>
      <c r="AQ831" s="46"/>
    </row>
    <row r="832" spans="1:43" ht="17.399999999999999">
      <c r="A832" s="22"/>
      <c r="B832" s="22"/>
      <c r="C832" s="56"/>
      <c r="D832" s="56"/>
      <c r="E832" s="22"/>
      <c r="F832" s="22"/>
      <c r="G832" s="22"/>
      <c r="H832" s="22"/>
      <c r="I832" s="49"/>
      <c r="J832" s="50"/>
      <c r="K832" s="22"/>
      <c r="L832" s="22"/>
      <c r="M832" s="22"/>
      <c r="N832" s="22"/>
      <c r="O832" s="22"/>
      <c r="P832" s="46"/>
      <c r="Q832" s="40"/>
      <c r="R832" s="41"/>
      <c r="S832" s="22" t="str">
        <f t="shared" si="73"/>
        <v/>
      </c>
      <c r="T832" s="41"/>
      <c r="U832" s="41" t="str">
        <f t="shared" si="77"/>
        <v/>
      </c>
      <c r="V832" s="44"/>
      <c r="W832" s="44"/>
      <c r="X832" s="46"/>
      <c r="Y832" s="46"/>
      <c r="Z832" s="46"/>
      <c r="AA832" s="41"/>
      <c r="AB832" s="22"/>
      <c r="AC832" s="22"/>
      <c r="AD832" s="41"/>
      <c r="AE832" s="22"/>
      <c r="AF832" s="22"/>
      <c r="AG832" s="48" t="str">
        <f t="shared" si="74"/>
        <v/>
      </c>
      <c r="AH832" s="48" t="str">
        <f t="shared" si="75"/>
        <v/>
      </c>
      <c r="AI832" s="48" t="str">
        <f t="shared" si="76"/>
        <v/>
      </c>
      <c r="AJ832" s="40" t="str">
        <f t="shared" si="78"/>
        <v/>
      </c>
      <c r="AK832" s="40"/>
      <c r="AL832" s="40"/>
      <c r="AM832" s="22"/>
      <c r="AQ832" s="46"/>
    </row>
    <row r="833" spans="1:43" ht="17.399999999999999">
      <c r="A833" s="22"/>
      <c r="B833" s="22"/>
      <c r="C833" s="56"/>
      <c r="D833" s="56"/>
      <c r="E833" s="22"/>
      <c r="F833" s="22"/>
      <c r="G833" s="22"/>
      <c r="H833" s="22"/>
      <c r="I833" s="49"/>
      <c r="J833" s="50"/>
      <c r="K833" s="22"/>
      <c r="L833" s="22"/>
      <c r="M833" s="22"/>
      <c r="N833" s="22"/>
      <c r="O833" s="22"/>
      <c r="P833" s="46"/>
      <c r="Q833" s="40"/>
      <c r="R833" s="41"/>
      <c r="S833" s="22" t="str">
        <f t="shared" si="73"/>
        <v/>
      </c>
      <c r="T833" s="41"/>
      <c r="U833" s="41" t="str">
        <f t="shared" si="77"/>
        <v/>
      </c>
      <c r="V833" s="44"/>
      <c r="W833" s="44"/>
      <c r="X833" s="46"/>
      <c r="Y833" s="46"/>
      <c r="Z833" s="46"/>
      <c r="AA833" s="41"/>
      <c r="AB833" s="22"/>
      <c r="AC833" s="22"/>
      <c r="AD833" s="41"/>
      <c r="AE833" s="22"/>
      <c r="AF833" s="22"/>
      <c r="AG833" s="48" t="str">
        <f t="shared" si="74"/>
        <v/>
      </c>
      <c r="AH833" s="48" t="str">
        <f t="shared" si="75"/>
        <v/>
      </c>
      <c r="AI833" s="48" t="str">
        <f t="shared" si="76"/>
        <v/>
      </c>
      <c r="AJ833" s="40" t="str">
        <f t="shared" si="78"/>
        <v/>
      </c>
      <c r="AK833" s="40"/>
      <c r="AL833" s="40"/>
      <c r="AM833" s="22"/>
      <c r="AQ833" s="46"/>
    </row>
    <row r="834" spans="1:43" ht="17.399999999999999">
      <c r="A834" s="22"/>
      <c r="B834" s="22"/>
      <c r="C834" s="56"/>
      <c r="D834" s="56"/>
      <c r="E834" s="22"/>
      <c r="F834" s="22"/>
      <c r="G834" s="22"/>
      <c r="H834" s="22"/>
      <c r="I834" s="49"/>
      <c r="J834" s="50"/>
      <c r="K834" s="22"/>
      <c r="L834" s="22"/>
      <c r="M834" s="22"/>
      <c r="N834" s="22"/>
      <c r="O834" s="22"/>
      <c r="P834" s="46"/>
      <c r="Q834" s="40"/>
      <c r="R834" s="41"/>
      <c r="S834" s="22" t="str">
        <f t="shared" si="73"/>
        <v/>
      </c>
      <c r="T834" s="41"/>
      <c r="U834" s="41" t="str">
        <f t="shared" si="77"/>
        <v/>
      </c>
      <c r="V834" s="44"/>
      <c r="W834" s="44"/>
      <c r="X834" s="46"/>
      <c r="Y834" s="46"/>
      <c r="Z834" s="46"/>
      <c r="AA834" s="41"/>
      <c r="AB834" s="22"/>
      <c r="AC834" s="22"/>
      <c r="AD834" s="41"/>
      <c r="AE834" s="22"/>
      <c r="AF834" s="22"/>
      <c r="AG834" s="48" t="str">
        <f t="shared" si="74"/>
        <v/>
      </c>
      <c r="AH834" s="48" t="str">
        <f t="shared" si="75"/>
        <v/>
      </c>
      <c r="AI834" s="48" t="str">
        <f t="shared" si="76"/>
        <v/>
      </c>
      <c r="AJ834" s="40" t="str">
        <f t="shared" si="78"/>
        <v/>
      </c>
      <c r="AK834" s="40"/>
      <c r="AL834" s="40"/>
      <c r="AM834" s="22"/>
      <c r="AQ834" s="46"/>
    </row>
    <row r="835" spans="1:43" ht="17.399999999999999">
      <c r="A835" s="22"/>
      <c r="B835" s="22"/>
      <c r="C835" s="56"/>
      <c r="D835" s="56"/>
      <c r="E835" s="22"/>
      <c r="F835" s="22"/>
      <c r="G835" s="22"/>
      <c r="H835" s="22"/>
      <c r="I835" s="49"/>
      <c r="J835" s="50"/>
      <c r="K835" s="22"/>
      <c r="L835" s="22"/>
      <c r="M835" s="22"/>
      <c r="N835" s="22"/>
      <c r="O835" s="22"/>
      <c r="P835" s="46"/>
      <c r="Q835" s="40"/>
      <c r="R835" s="41"/>
      <c r="S835" s="22" t="str">
        <f t="shared" ref="S835:S898" si="79">IF(A835="","",M835+O835)</f>
        <v/>
      </c>
      <c r="T835" s="41"/>
      <c r="U835" s="41" t="str">
        <f t="shared" si="77"/>
        <v/>
      </c>
      <c r="V835" s="44"/>
      <c r="W835" s="44"/>
      <c r="X835" s="46"/>
      <c r="Y835" s="46"/>
      <c r="Z835" s="46"/>
      <c r="AA835" s="41"/>
      <c r="AB835" s="22"/>
      <c r="AC835" s="22"/>
      <c r="AD835" s="41"/>
      <c r="AE835" s="22"/>
      <c r="AF835" s="22"/>
      <c r="AG835" s="48" t="str">
        <f t="shared" ref="AG835:AG898" si="80">IF(A835="","",S835-Y835)</f>
        <v/>
      </c>
      <c r="AH835" s="48" t="str">
        <f t="shared" ref="AH835:AH898" si="81">IF(A835="","",Y835-(AC835+AF835))</f>
        <v/>
      </c>
      <c r="AI835" s="48" t="str">
        <f t="shared" ref="AI835:AI898" si="82">IF(A835="","",AG835+AH835)</f>
        <v/>
      </c>
      <c r="AJ835" s="40" t="str">
        <f t="shared" si="78"/>
        <v/>
      </c>
      <c r="AK835" s="40"/>
      <c r="AL835" s="40"/>
      <c r="AM835" s="22"/>
      <c r="AQ835" s="46"/>
    </row>
    <row r="836" spans="1:43" ht="17.399999999999999">
      <c r="A836" s="22"/>
      <c r="B836" s="22"/>
      <c r="C836" s="56"/>
      <c r="D836" s="56"/>
      <c r="E836" s="22"/>
      <c r="F836" s="22"/>
      <c r="G836" s="22"/>
      <c r="H836" s="22"/>
      <c r="I836" s="49"/>
      <c r="J836" s="50"/>
      <c r="K836" s="22"/>
      <c r="L836" s="22"/>
      <c r="M836" s="22"/>
      <c r="N836" s="22"/>
      <c r="O836" s="22"/>
      <c r="P836" s="46"/>
      <c r="Q836" s="40"/>
      <c r="R836" s="41"/>
      <c r="S836" s="22" t="str">
        <f t="shared" si="79"/>
        <v/>
      </c>
      <c r="T836" s="41"/>
      <c r="U836" s="41" t="str">
        <f t="shared" ref="U836:U899" si="83">IF(OR(P836="FEC-FS",P836="PALTEK",P836="SDSE(TOKE)"),"Upload in customer box","")</f>
        <v/>
      </c>
      <c r="V836" s="44"/>
      <c r="W836" s="44"/>
      <c r="X836" s="46"/>
      <c r="Y836" s="46"/>
      <c r="Z836" s="46"/>
      <c r="AA836" s="41"/>
      <c r="AB836" s="22"/>
      <c r="AC836" s="22"/>
      <c r="AD836" s="41"/>
      <c r="AE836" s="22"/>
      <c r="AF836" s="22"/>
      <c r="AG836" s="48" t="str">
        <f t="shared" si="80"/>
        <v/>
      </c>
      <c r="AH836" s="48" t="str">
        <f t="shared" si="81"/>
        <v/>
      </c>
      <c r="AI836" s="48" t="str">
        <f t="shared" si="82"/>
        <v/>
      </c>
      <c r="AJ836" s="40" t="str">
        <f t="shared" si="78"/>
        <v/>
      </c>
      <c r="AK836" s="40"/>
      <c r="AL836" s="40"/>
      <c r="AM836" s="22"/>
      <c r="AQ836" s="46"/>
    </row>
    <row r="837" spans="1:43" ht="17.399999999999999">
      <c r="A837" s="22"/>
      <c r="B837" s="22"/>
      <c r="C837" s="56"/>
      <c r="D837" s="56"/>
      <c r="E837" s="22"/>
      <c r="F837" s="22"/>
      <c r="G837" s="22"/>
      <c r="H837" s="22"/>
      <c r="I837" s="49"/>
      <c r="J837" s="50"/>
      <c r="K837" s="22"/>
      <c r="L837" s="22"/>
      <c r="M837" s="22"/>
      <c r="N837" s="22"/>
      <c r="O837" s="22"/>
      <c r="P837" s="46"/>
      <c r="Q837" s="40"/>
      <c r="R837" s="41"/>
      <c r="S837" s="22" t="str">
        <f t="shared" si="79"/>
        <v/>
      </c>
      <c r="T837" s="41"/>
      <c r="U837" s="41" t="str">
        <f t="shared" si="83"/>
        <v/>
      </c>
      <c r="V837" s="44"/>
      <c r="W837" s="44"/>
      <c r="X837" s="46"/>
      <c r="Y837" s="46"/>
      <c r="Z837" s="46"/>
      <c r="AA837" s="41"/>
      <c r="AB837" s="22"/>
      <c r="AC837" s="22"/>
      <c r="AD837" s="41"/>
      <c r="AE837" s="22"/>
      <c r="AF837" s="22"/>
      <c r="AG837" s="48" t="str">
        <f t="shared" si="80"/>
        <v/>
      </c>
      <c r="AH837" s="48" t="str">
        <f t="shared" si="81"/>
        <v/>
      </c>
      <c r="AI837" s="48" t="str">
        <f t="shared" si="82"/>
        <v/>
      </c>
      <c r="AJ837" s="40" t="str">
        <f t="shared" si="78"/>
        <v/>
      </c>
      <c r="AK837" s="40"/>
      <c r="AL837" s="40"/>
      <c r="AM837" s="22"/>
      <c r="AQ837" s="46"/>
    </row>
    <row r="838" spans="1:43" ht="17.399999999999999">
      <c r="A838" s="22"/>
      <c r="B838" s="22"/>
      <c r="C838" s="56"/>
      <c r="D838" s="56"/>
      <c r="E838" s="22"/>
      <c r="F838" s="22"/>
      <c r="G838" s="22"/>
      <c r="H838" s="22"/>
      <c r="I838" s="49"/>
      <c r="J838" s="50"/>
      <c r="K838" s="22"/>
      <c r="L838" s="22"/>
      <c r="M838" s="22"/>
      <c r="N838" s="22"/>
      <c r="O838" s="22"/>
      <c r="P838" s="46"/>
      <c r="Q838" s="40"/>
      <c r="R838" s="41"/>
      <c r="S838" s="22" t="str">
        <f t="shared" si="79"/>
        <v/>
      </c>
      <c r="T838" s="41"/>
      <c r="U838" s="41" t="str">
        <f t="shared" si="83"/>
        <v/>
      </c>
      <c r="V838" s="44"/>
      <c r="W838" s="44"/>
      <c r="X838" s="46"/>
      <c r="Y838" s="46"/>
      <c r="Z838" s="46"/>
      <c r="AA838" s="41"/>
      <c r="AB838" s="22"/>
      <c r="AC838" s="22"/>
      <c r="AD838" s="41"/>
      <c r="AE838" s="22"/>
      <c r="AF838" s="22"/>
      <c r="AG838" s="48" t="str">
        <f t="shared" si="80"/>
        <v/>
      </c>
      <c r="AH838" s="48" t="str">
        <f t="shared" si="81"/>
        <v/>
      </c>
      <c r="AI838" s="48" t="str">
        <f t="shared" si="82"/>
        <v/>
      </c>
      <c r="AJ838" s="40" t="str">
        <f t="shared" si="78"/>
        <v/>
      </c>
      <c r="AK838" s="40"/>
      <c r="AL838" s="40"/>
      <c r="AM838" s="22"/>
      <c r="AQ838" s="46"/>
    </row>
    <row r="839" spans="1:43" ht="17.399999999999999">
      <c r="A839" s="22"/>
      <c r="B839" s="22"/>
      <c r="C839" s="56"/>
      <c r="D839" s="56"/>
      <c r="E839" s="22"/>
      <c r="F839" s="22"/>
      <c r="G839" s="22"/>
      <c r="H839" s="22"/>
      <c r="I839" s="49"/>
      <c r="J839" s="50"/>
      <c r="K839" s="22"/>
      <c r="L839" s="22"/>
      <c r="M839" s="22"/>
      <c r="N839" s="22"/>
      <c r="O839" s="22"/>
      <c r="P839" s="46"/>
      <c r="Q839" s="40"/>
      <c r="R839" s="41"/>
      <c r="S839" s="22" t="str">
        <f t="shared" si="79"/>
        <v/>
      </c>
      <c r="T839" s="41"/>
      <c r="U839" s="41" t="str">
        <f t="shared" si="83"/>
        <v/>
      </c>
      <c r="V839" s="44"/>
      <c r="W839" s="44"/>
      <c r="X839" s="46"/>
      <c r="Y839" s="46"/>
      <c r="Z839" s="46"/>
      <c r="AA839" s="41"/>
      <c r="AB839" s="22"/>
      <c r="AC839" s="22"/>
      <c r="AD839" s="41"/>
      <c r="AE839" s="22"/>
      <c r="AF839" s="22"/>
      <c r="AG839" s="48" t="str">
        <f t="shared" si="80"/>
        <v/>
      </c>
      <c r="AH839" s="48" t="str">
        <f t="shared" si="81"/>
        <v/>
      </c>
      <c r="AI839" s="48" t="str">
        <f t="shared" si="82"/>
        <v/>
      </c>
      <c r="AJ839" s="40" t="str">
        <f t="shared" si="78"/>
        <v/>
      </c>
      <c r="AK839" s="40"/>
      <c r="AL839" s="40"/>
      <c r="AM839" s="22"/>
      <c r="AQ839" s="46"/>
    </row>
    <row r="840" spans="1:43" ht="17.399999999999999">
      <c r="A840" s="22"/>
      <c r="B840" s="22"/>
      <c r="C840" s="56"/>
      <c r="D840" s="56"/>
      <c r="E840" s="22"/>
      <c r="F840" s="22"/>
      <c r="G840" s="22"/>
      <c r="H840" s="22"/>
      <c r="I840" s="49"/>
      <c r="J840" s="50"/>
      <c r="K840" s="22"/>
      <c r="L840" s="22"/>
      <c r="M840" s="22"/>
      <c r="N840" s="22"/>
      <c r="O840" s="22"/>
      <c r="P840" s="46"/>
      <c r="Q840" s="40"/>
      <c r="R840" s="41"/>
      <c r="S840" s="22" t="str">
        <f t="shared" si="79"/>
        <v/>
      </c>
      <c r="T840" s="41"/>
      <c r="U840" s="41" t="str">
        <f t="shared" si="83"/>
        <v/>
      </c>
      <c r="V840" s="44"/>
      <c r="W840" s="44"/>
      <c r="X840" s="46"/>
      <c r="Y840" s="46"/>
      <c r="Z840" s="46"/>
      <c r="AA840" s="41"/>
      <c r="AB840" s="22"/>
      <c r="AC840" s="22"/>
      <c r="AD840" s="41"/>
      <c r="AE840" s="22"/>
      <c r="AF840" s="22"/>
      <c r="AG840" s="48" t="str">
        <f t="shared" si="80"/>
        <v/>
      </c>
      <c r="AH840" s="48" t="str">
        <f t="shared" si="81"/>
        <v/>
      </c>
      <c r="AI840" s="48" t="str">
        <f t="shared" si="82"/>
        <v/>
      </c>
      <c r="AJ840" s="40" t="str">
        <f t="shared" si="78"/>
        <v/>
      </c>
      <c r="AK840" s="40"/>
      <c r="AL840" s="40"/>
      <c r="AM840" s="22"/>
      <c r="AQ840" s="46"/>
    </row>
    <row r="841" spans="1:43" ht="17.399999999999999">
      <c r="A841" s="22"/>
      <c r="B841" s="22"/>
      <c r="C841" s="56"/>
      <c r="D841" s="56"/>
      <c r="E841" s="22"/>
      <c r="F841" s="22"/>
      <c r="G841" s="22"/>
      <c r="H841" s="22"/>
      <c r="I841" s="49"/>
      <c r="J841" s="50"/>
      <c r="K841" s="22"/>
      <c r="L841" s="22"/>
      <c r="M841" s="22"/>
      <c r="N841" s="22"/>
      <c r="O841" s="22"/>
      <c r="P841" s="46"/>
      <c r="Q841" s="40"/>
      <c r="R841" s="41"/>
      <c r="S841" s="22" t="str">
        <f t="shared" si="79"/>
        <v/>
      </c>
      <c r="T841" s="41"/>
      <c r="U841" s="41" t="str">
        <f t="shared" si="83"/>
        <v/>
      </c>
      <c r="V841" s="44"/>
      <c r="W841" s="44"/>
      <c r="X841" s="46"/>
      <c r="Y841" s="46"/>
      <c r="Z841" s="46"/>
      <c r="AA841" s="41"/>
      <c r="AB841" s="22"/>
      <c r="AC841" s="22"/>
      <c r="AD841" s="41"/>
      <c r="AE841" s="22"/>
      <c r="AF841" s="22"/>
      <c r="AG841" s="48" t="str">
        <f t="shared" si="80"/>
        <v/>
      </c>
      <c r="AH841" s="48" t="str">
        <f t="shared" si="81"/>
        <v/>
      </c>
      <c r="AI841" s="48" t="str">
        <f t="shared" si="82"/>
        <v/>
      </c>
      <c r="AJ841" s="40" t="str">
        <f t="shared" si="78"/>
        <v/>
      </c>
      <c r="AK841" s="40"/>
      <c r="AL841" s="40"/>
      <c r="AM841" s="22"/>
      <c r="AQ841" s="46"/>
    </row>
    <row r="842" spans="1:43" ht="17.399999999999999">
      <c r="A842" s="22"/>
      <c r="B842" s="22"/>
      <c r="C842" s="56"/>
      <c r="D842" s="56"/>
      <c r="E842" s="22"/>
      <c r="F842" s="22"/>
      <c r="G842" s="22"/>
      <c r="H842" s="22"/>
      <c r="I842" s="49"/>
      <c r="J842" s="50"/>
      <c r="K842" s="22"/>
      <c r="L842" s="22"/>
      <c r="M842" s="22"/>
      <c r="N842" s="22"/>
      <c r="O842" s="22"/>
      <c r="P842" s="46"/>
      <c r="Q842" s="40"/>
      <c r="R842" s="41"/>
      <c r="S842" s="22" t="str">
        <f t="shared" si="79"/>
        <v/>
      </c>
      <c r="T842" s="41"/>
      <c r="U842" s="41" t="str">
        <f t="shared" si="83"/>
        <v/>
      </c>
      <c r="V842" s="44"/>
      <c r="W842" s="44"/>
      <c r="X842" s="46"/>
      <c r="Y842" s="46"/>
      <c r="Z842" s="46"/>
      <c r="AA842" s="41"/>
      <c r="AB842" s="22"/>
      <c r="AC842" s="22"/>
      <c r="AD842" s="41"/>
      <c r="AE842" s="22"/>
      <c r="AF842" s="22"/>
      <c r="AG842" s="48" t="str">
        <f t="shared" si="80"/>
        <v/>
      </c>
      <c r="AH842" s="48" t="str">
        <f t="shared" si="81"/>
        <v/>
      </c>
      <c r="AI842" s="48" t="str">
        <f t="shared" si="82"/>
        <v/>
      </c>
      <c r="AJ842" s="40" t="str">
        <f t="shared" si="78"/>
        <v/>
      </c>
      <c r="AK842" s="40"/>
      <c r="AL842" s="40"/>
      <c r="AM842" s="22"/>
      <c r="AQ842" s="46"/>
    </row>
    <row r="843" spans="1:43" ht="17.399999999999999">
      <c r="A843" s="22"/>
      <c r="B843" s="22"/>
      <c r="C843" s="56"/>
      <c r="D843" s="56"/>
      <c r="E843" s="22"/>
      <c r="F843" s="22"/>
      <c r="G843" s="22"/>
      <c r="H843" s="22"/>
      <c r="I843" s="49"/>
      <c r="J843" s="50"/>
      <c r="K843" s="22"/>
      <c r="L843" s="22"/>
      <c r="M843" s="22"/>
      <c r="N843" s="22"/>
      <c r="O843" s="22"/>
      <c r="P843" s="46"/>
      <c r="Q843" s="40"/>
      <c r="R843" s="41"/>
      <c r="S843" s="22" t="str">
        <f t="shared" si="79"/>
        <v/>
      </c>
      <c r="T843" s="41"/>
      <c r="U843" s="41" t="str">
        <f t="shared" si="83"/>
        <v/>
      </c>
      <c r="V843" s="44"/>
      <c r="W843" s="44"/>
      <c r="X843" s="46"/>
      <c r="Y843" s="46"/>
      <c r="Z843" s="46"/>
      <c r="AA843" s="41"/>
      <c r="AB843" s="22"/>
      <c r="AC843" s="22"/>
      <c r="AD843" s="41"/>
      <c r="AE843" s="22"/>
      <c r="AF843" s="22"/>
      <c r="AG843" s="48" t="str">
        <f t="shared" si="80"/>
        <v/>
      </c>
      <c r="AH843" s="48" t="str">
        <f t="shared" si="81"/>
        <v/>
      </c>
      <c r="AI843" s="48" t="str">
        <f t="shared" si="82"/>
        <v/>
      </c>
      <c r="AJ843" s="40" t="str">
        <f t="shared" si="78"/>
        <v/>
      </c>
      <c r="AK843" s="40"/>
      <c r="AL843" s="40"/>
      <c r="AM843" s="22"/>
      <c r="AQ843" s="46"/>
    </row>
    <row r="844" spans="1:43" ht="17.399999999999999">
      <c r="A844" s="22"/>
      <c r="B844" s="22"/>
      <c r="C844" s="56"/>
      <c r="D844" s="56"/>
      <c r="E844" s="22"/>
      <c r="F844" s="22"/>
      <c r="G844" s="22"/>
      <c r="H844" s="22"/>
      <c r="I844" s="49"/>
      <c r="J844" s="50"/>
      <c r="K844" s="22"/>
      <c r="L844" s="22"/>
      <c r="M844" s="22"/>
      <c r="N844" s="22"/>
      <c r="O844" s="22"/>
      <c r="P844" s="46"/>
      <c r="Q844" s="40"/>
      <c r="R844" s="41"/>
      <c r="S844" s="22" t="str">
        <f t="shared" si="79"/>
        <v/>
      </c>
      <c r="T844" s="41"/>
      <c r="U844" s="41" t="str">
        <f t="shared" si="83"/>
        <v/>
      </c>
      <c r="V844" s="44"/>
      <c r="W844" s="44"/>
      <c r="X844" s="46"/>
      <c r="Y844" s="46"/>
      <c r="Z844" s="46"/>
      <c r="AA844" s="41"/>
      <c r="AB844" s="22"/>
      <c r="AC844" s="22"/>
      <c r="AD844" s="41"/>
      <c r="AE844" s="22"/>
      <c r="AF844" s="22"/>
      <c r="AG844" s="48" t="str">
        <f t="shared" si="80"/>
        <v/>
      </c>
      <c r="AH844" s="48" t="str">
        <f t="shared" si="81"/>
        <v/>
      </c>
      <c r="AI844" s="48" t="str">
        <f t="shared" si="82"/>
        <v/>
      </c>
      <c r="AJ844" s="40" t="str">
        <f t="shared" si="78"/>
        <v/>
      </c>
      <c r="AK844" s="40"/>
      <c r="AL844" s="40"/>
      <c r="AM844" s="22"/>
      <c r="AQ844" s="46"/>
    </row>
    <row r="845" spans="1:43" ht="17.399999999999999">
      <c r="A845" s="22"/>
      <c r="B845" s="22"/>
      <c r="C845" s="56"/>
      <c r="D845" s="56"/>
      <c r="E845" s="22"/>
      <c r="F845" s="22"/>
      <c r="G845" s="22"/>
      <c r="H845" s="22"/>
      <c r="I845" s="49"/>
      <c r="J845" s="50"/>
      <c r="K845" s="22"/>
      <c r="L845" s="22"/>
      <c r="M845" s="22"/>
      <c r="N845" s="22"/>
      <c r="O845" s="22"/>
      <c r="P845" s="46"/>
      <c r="Q845" s="40"/>
      <c r="R845" s="41"/>
      <c r="S845" s="22" t="str">
        <f t="shared" si="79"/>
        <v/>
      </c>
      <c r="T845" s="41"/>
      <c r="U845" s="41" t="str">
        <f t="shared" si="83"/>
        <v/>
      </c>
      <c r="V845" s="44"/>
      <c r="W845" s="44"/>
      <c r="X845" s="46"/>
      <c r="Y845" s="46"/>
      <c r="Z845" s="46"/>
      <c r="AA845" s="41"/>
      <c r="AB845" s="22"/>
      <c r="AC845" s="22"/>
      <c r="AD845" s="41"/>
      <c r="AE845" s="22"/>
      <c r="AF845" s="22"/>
      <c r="AG845" s="48" t="str">
        <f t="shared" si="80"/>
        <v/>
      </c>
      <c r="AH845" s="48" t="str">
        <f t="shared" si="81"/>
        <v/>
      </c>
      <c r="AI845" s="48" t="str">
        <f t="shared" si="82"/>
        <v/>
      </c>
      <c r="AJ845" s="40" t="str">
        <f t="shared" si="78"/>
        <v/>
      </c>
      <c r="AK845" s="40"/>
      <c r="AL845" s="40"/>
      <c r="AM845" s="22"/>
      <c r="AQ845" s="46"/>
    </row>
    <row r="846" spans="1:43" ht="17.399999999999999">
      <c r="A846" s="22"/>
      <c r="B846" s="22"/>
      <c r="C846" s="56"/>
      <c r="D846" s="56"/>
      <c r="E846" s="22"/>
      <c r="F846" s="22"/>
      <c r="G846" s="22"/>
      <c r="H846" s="22"/>
      <c r="I846" s="49"/>
      <c r="J846" s="50"/>
      <c r="K846" s="22"/>
      <c r="L846" s="22"/>
      <c r="M846" s="22"/>
      <c r="N846" s="22"/>
      <c r="O846" s="22"/>
      <c r="P846" s="46"/>
      <c r="Q846" s="40"/>
      <c r="R846" s="41"/>
      <c r="S846" s="22" t="str">
        <f t="shared" si="79"/>
        <v/>
      </c>
      <c r="T846" s="41"/>
      <c r="U846" s="41" t="str">
        <f t="shared" si="83"/>
        <v/>
      </c>
      <c r="V846" s="44"/>
      <c r="W846" s="44"/>
      <c r="X846" s="46"/>
      <c r="Y846" s="46"/>
      <c r="Z846" s="46"/>
      <c r="AA846" s="41"/>
      <c r="AB846" s="22"/>
      <c r="AC846" s="22"/>
      <c r="AD846" s="41"/>
      <c r="AE846" s="22"/>
      <c r="AF846" s="22"/>
      <c r="AG846" s="48" t="str">
        <f t="shared" si="80"/>
        <v/>
      </c>
      <c r="AH846" s="48" t="str">
        <f t="shared" si="81"/>
        <v/>
      </c>
      <c r="AI846" s="48" t="str">
        <f t="shared" si="82"/>
        <v/>
      </c>
      <c r="AJ846" s="40" t="str">
        <f t="shared" si="78"/>
        <v/>
      </c>
      <c r="AK846" s="40"/>
      <c r="AL846" s="40"/>
      <c r="AM846" s="22"/>
      <c r="AQ846" s="46"/>
    </row>
    <row r="847" spans="1:43" ht="17.399999999999999">
      <c r="A847" s="22"/>
      <c r="B847" s="22"/>
      <c r="C847" s="56"/>
      <c r="D847" s="56"/>
      <c r="E847" s="22"/>
      <c r="F847" s="22"/>
      <c r="G847" s="22"/>
      <c r="H847" s="22"/>
      <c r="I847" s="49"/>
      <c r="J847" s="50"/>
      <c r="K847" s="22"/>
      <c r="L847" s="22"/>
      <c r="M847" s="22"/>
      <c r="N847" s="22"/>
      <c r="O847" s="22"/>
      <c r="P847" s="46"/>
      <c r="Q847" s="40"/>
      <c r="R847" s="41"/>
      <c r="S847" s="22" t="str">
        <f t="shared" si="79"/>
        <v/>
      </c>
      <c r="T847" s="41"/>
      <c r="U847" s="41" t="str">
        <f t="shared" si="83"/>
        <v/>
      </c>
      <c r="V847" s="44"/>
      <c r="W847" s="44"/>
      <c r="X847" s="46"/>
      <c r="Y847" s="46"/>
      <c r="Z847" s="46"/>
      <c r="AA847" s="41"/>
      <c r="AB847" s="22"/>
      <c r="AC847" s="22"/>
      <c r="AD847" s="41"/>
      <c r="AE847" s="22"/>
      <c r="AF847" s="22"/>
      <c r="AG847" s="48" t="str">
        <f t="shared" si="80"/>
        <v/>
      </c>
      <c r="AH847" s="48" t="str">
        <f t="shared" si="81"/>
        <v/>
      </c>
      <c r="AI847" s="48" t="str">
        <f t="shared" si="82"/>
        <v/>
      </c>
      <c r="AJ847" s="40" t="str">
        <f t="shared" si="78"/>
        <v/>
      </c>
      <c r="AK847" s="40"/>
      <c r="AL847" s="40"/>
      <c r="AM847" s="22"/>
      <c r="AQ847" s="46"/>
    </row>
    <row r="848" spans="1:43" ht="17.399999999999999">
      <c r="A848" s="22"/>
      <c r="B848" s="22"/>
      <c r="C848" s="56"/>
      <c r="D848" s="56"/>
      <c r="E848" s="22"/>
      <c r="F848" s="22"/>
      <c r="G848" s="22"/>
      <c r="H848" s="22"/>
      <c r="I848" s="49"/>
      <c r="J848" s="50"/>
      <c r="K848" s="22"/>
      <c r="L848" s="22"/>
      <c r="M848" s="22"/>
      <c r="N848" s="22"/>
      <c r="O848" s="22"/>
      <c r="P848" s="46"/>
      <c r="Q848" s="40"/>
      <c r="R848" s="41"/>
      <c r="S848" s="22" t="str">
        <f t="shared" si="79"/>
        <v/>
      </c>
      <c r="T848" s="41"/>
      <c r="U848" s="41" t="str">
        <f t="shared" si="83"/>
        <v/>
      </c>
      <c r="V848" s="44"/>
      <c r="W848" s="44"/>
      <c r="X848" s="46"/>
      <c r="Y848" s="46"/>
      <c r="Z848" s="46"/>
      <c r="AA848" s="41"/>
      <c r="AB848" s="22"/>
      <c r="AC848" s="22"/>
      <c r="AD848" s="41"/>
      <c r="AE848" s="22"/>
      <c r="AF848" s="22"/>
      <c r="AG848" s="48" t="str">
        <f t="shared" si="80"/>
        <v/>
      </c>
      <c r="AH848" s="48" t="str">
        <f t="shared" si="81"/>
        <v/>
      </c>
      <c r="AI848" s="48" t="str">
        <f t="shared" si="82"/>
        <v/>
      </c>
      <c r="AJ848" s="40" t="str">
        <f t="shared" si="78"/>
        <v/>
      </c>
      <c r="AK848" s="40"/>
      <c r="AL848" s="40"/>
      <c r="AM848" s="22"/>
      <c r="AQ848" s="46"/>
    </row>
    <row r="849" spans="1:43" ht="17.399999999999999">
      <c r="A849" s="22"/>
      <c r="B849" s="22"/>
      <c r="C849" s="56"/>
      <c r="D849" s="56"/>
      <c r="E849" s="22"/>
      <c r="F849" s="22"/>
      <c r="G849" s="22"/>
      <c r="H849" s="22"/>
      <c r="I849" s="49"/>
      <c r="J849" s="50"/>
      <c r="K849" s="22"/>
      <c r="L849" s="22"/>
      <c r="M849" s="22"/>
      <c r="N849" s="22"/>
      <c r="O849" s="22"/>
      <c r="P849" s="46"/>
      <c r="Q849" s="40"/>
      <c r="R849" s="41"/>
      <c r="S849" s="22" t="str">
        <f t="shared" si="79"/>
        <v/>
      </c>
      <c r="T849" s="41"/>
      <c r="U849" s="41" t="str">
        <f t="shared" si="83"/>
        <v/>
      </c>
      <c r="V849" s="44"/>
      <c r="W849" s="44"/>
      <c r="X849" s="46"/>
      <c r="Y849" s="46"/>
      <c r="Z849" s="46"/>
      <c r="AA849" s="41"/>
      <c r="AB849" s="22"/>
      <c r="AC849" s="22"/>
      <c r="AD849" s="41"/>
      <c r="AE849" s="22"/>
      <c r="AF849" s="22"/>
      <c r="AG849" s="48" t="str">
        <f t="shared" si="80"/>
        <v/>
      </c>
      <c r="AH849" s="48" t="str">
        <f t="shared" si="81"/>
        <v/>
      </c>
      <c r="AI849" s="48" t="str">
        <f t="shared" si="82"/>
        <v/>
      </c>
      <c r="AJ849" s="40" t="str">
        <f t="shared" si="78"/>
        <v/>
      </c>
      <c r="AK849" s="40"/>
      <c r="AL849" s="40"/>
      <c r="AM849" s="22"/>
      <c r="AQ849" s="46"/>
    </row>
    <row r="850" spans="1:43" ht="17.399999999999999">
      <c r="A850" s="22"/>
      <c r="B850" s="22"/>
      <c r="C850" s="56"/>
      <c r="D850" s="56"/>
      <c r="E850" s="22"/>
      <c r="F850" s="22"/>
      <c r="G850" s="22"/>
      <c r="H850" s="22"/>
      <c r="I850" s="49"/>
      <c r="J850" s="50"/>
      <c r="K850" s="22"/>
      <c r="L850" s="22"/>
      <c r="M850" s="22"/>
      <c r="N850" s="22"/>
      <c r="O850" s="22"/>
      <c r="P850" s="46"/>
      <c r="Q850" s="40"/>
      <c r="R850" s="41"/>
      <c r="S850" s="22" t="str">
        <f t="shared" si="79"/>
        <v/>
      </c>
      <c r="T850" s="41"/>
      <c r="U850" s="41" t="str">
        <f t="shared" si="83"/>
        <v/>
      </c>
      <c r="V850" s="44"/>
      <c r="W850" s="44"/>
      <c r="X850" s="46"/>
      <c r="Y850" s="46"/>
      <c r="Z850" s="46"/>
      <c r="AA850" s="41"/>
      <c r="AB850" s="22"/>
      <c r="AC850" s="22"/>
      <c r="AD850" s="41"/>
      <c r="AE850" s="22"/>
      <c r="AF850" s="22"/>
      <c r="AG850" s="48" t="str">
        <f t="shared" si="80"/>
        <v/>
      </c>
      <c r="AH850" s="48" t="str">
        <f t="shared" si="81"/>
        <v/>
      </c>
      <c r="AI850" s="48" t="str">
        <f t="shared" si="82"/>
        <v/>
      </c>
      <c r="AJ850" s="40" t="str">
        <f t="shared" si="78"/>
        <v/>
      </c>
      <c r="AK850" s="40"/>
      <c r="AL850" s="40"/>
      <c r="AM850" s="22"/>
      <c r="AQ850" s="46"/>
    </row>
    <row r="851" spans="1:43" ht="17.399999999999999">
      <c r="A851" s="22"/>
      <c r="B851" s="22"/>
      <c r="C851" s="56"/>
      <c r="D851" s="56"/>
      <c r="E851" s="22"/>
      <c r="F851" s="22"/>
      <c r="G851" s="22"/>
      <c r="H851" s="22"/>
      <c r="I851" s="49"/>
      <c r="J851" s="50"/>
      <c r="K851" s="22"/>
      <c r="L851" s="22"/>
      <c r="M851" s="22"/>
      <c r="N851" s="22"/>
      <c r="O851" s="22"/>
      <c r="P851" s="46"/>
      <c r="Q851" s="40"/>
      <c r="R851" s="41"/>
      <c r="S851" s="22" t="str">
        <f t="shared" si="79"/>
        <v/>
      </c>
      <c r="T851" s="41"/>
      <c r="U851" s="41" t="str">
        <f t="shared" si="83"/>
        <v/>
      </c>
      <c r="V851" s="44"/>
      <c r="W851" s="44"/>
      <c r="X851" s="46"/>
      <c r="Y851" s="46"/>
      <c r="Z851" s="46"/>
      <c r="AA851" s="41"/>
      <c r="AB851" s="22"/>
      <c r="AC851" s="22"/>
      <c r="AD851" s="41"/>
      <c r="AE851" s="22"/>
      <c r="AF851" s="22"/>
      <c r="AG851" s="48" t="str">
        <f t="shared" si="80"/>
        <v/>
      </c>
      <c r="AH851" s="48" t="str">
        <f t="shared" si="81"/>
        <v/>
      </c>
      <c r="AI851" s="48" t="str">
        <f t="shared" si="82"/>
        <v/>
      </c>
      <c r="AJ851" s="40" t="str">
        <f t="shared" si="78"/>
        <v/>
      </c>
      <c r="AK851" s="40"/>
      <c r="AL851" s="40"/>
      <c r="AM851" s="22"/>
      <c r="AQ851" s="46"/>
    </row>
    <row r="852" spans="1:43" ht="17.399999999999999">
      <c r="A852" s="22"/>
      <c r="B852" s="22"/>
      <c r="C852" s="56"/>
      <c r="D852" s="56"/>
      <c r="E852" s="22"/>
      <c r="F852" s="22"/>
      <c r="G852" s="22"/>
      <c r="H852" s="22"/>
      <c r="I852" s="49"/>
      <c r="J852" s="50"/>
      <c r="K852" s="22"/>
      <c r="L852" s="22"/>
      <c r="M852" s="22"/>
      <c r="N852" s="22"/>
      <c r="O852" s="22"/>
      <c r="P852" s="46"/>
      <c r="Q852" s="40"/>
      <c r="R852" s="41"/>
      <c r="S852" s="22" t="str">
        <f t="shared" si="79"/>
        <v/>
      </c>
      <c r="T852" s="41"/>
      <c r="U852" s="41" t="str">
        <f t="shared" si="83"/>
        <v/>
      </c>
      <c r="V852" s="44"/>
      <c r="W852" s="44"/>
      <c r="X852" s="46"/>
      <c r="Y852" s="46"/>
      <c r="Z852" s="46"/>
      <c r="AA852" s="41"/>
      <c r="AB852" s="22"/>
      <c r="AC852" s="22"/>
      <c r="AD852" s="41"/>
      <c r="AE852" s="22"/>
      <c r="AF852" s="22"/>
      <c r="AG852" s="48" t="str">
        <f t="shared" si="80"/>
        <v/>
      </c>
      <c r="AH852" s="48" t="str">
        <f t="shared" si="81"/>
        <v/>
      </c>
      <c r="AI852" s="48" t="str">
        <f t="shared" si="82"/>
        <v/>
      </c>
      <c r="AJ852" s="40" t="str">
        <f t="shared" si="78"/>
        <v/>
      </c>
      <c r="AK852" s="40"/>
      <c r="AL852" s="40"/>
      <c r="AM852" s="22"/>
      <c r="AQ852" s="46"/>
    </row>
    <row r="853" spans="1:43" ht="17.399999999999999">
      <c r="A853" s="22"/>
      <c r="B853" s="22"/>
      <c r="C853" s="56"/>
      <c r="D853" s="56"/>
      <c r="E853" s="22"/>
      <c r="F853" s="22"/>
      <c r="G853" s="22"/>
      <c r="H853" s="22"/>
      <c r="I853" s="49"/>
      <c r="J853" s="50"/>
      <c r="K853" s="22"/>
      <c r="L853" s="22"/>
      <c r="M853" s="22"/>
      <c r="N853" s="22"/>
      <c r="O853" s="22"/>
      <c r="P853" s="46"/>
      <c r="Q853" s="40"/>
      <c r="R853" s="41"/>
      <c r="S853" s="22" t="str">
        <f t="shared" si="79"/>
        <v/>
      </c>
      <c r="T853" s="41"/>
      <c r="U853" s="41" t="str">
        <f t="shared" si="83"/>
        <v/>
      </c>
      <c r="V853" s="44"/>
      <c r="W853" s="44"/>
      <c r="X853" s="46"/>
      <c r="Y853" s="46"/>
      <c r="Z853" s="46"/>
      <c r="AA853" s="41"/>
      <c r="AB853" s="22"/>
      <c r="AC853" s="22"/>
      <c r="AD853" s="41"/>
      <c r="AE853" s="22"/>
      <c r="AF853" s="22"/>
      <c r="AG853" s="48" t="str">
        <f t="shared" si="80"/>
        <v/>
      </c>
      <c r="AH853" s="48" t="str">
        <f t="shared" si="81"/>
        <v/>
      </c>
      <c r="AI853" s="48" t="str">
        <f t="shared" si="82"/>
        <v/>
      </c>
      <c r="AJ853" s="40" t="str">
        <f t="shared" si="78"/>
        <v/>
      </c>
      <c r="AK853" s="40"/>
      <c r="AL853" s="40"/>
      <c r="AM853" s="22"/>
      <c r="AQ853" s="46"/>
    </row>
    <row r="854" spans="1:43" ht="17.399999999999999">
      <c r="A854" s="22"/>
      <c r="B854" s="22"/>
      <c r="C854" s="56"/>
      <c r="D854" s="56"/>
      <c r="E854" s="22"/>
      <c r="F854" s="22"/>
      <c r="G854" s="22"/>
      <c r="H854" s="22"/>
      <c r="I854" s="49"/>
      <c r="J854" s="50"/>
      <c r="K854" s="22"/>
      <c r="L854" s="22"/>
      <c r="M854" s="22"/>
      <c r="N854" s="22"/>
      <c r="O854" s="22"/>
      <c r="P854" s="46"/>
      <c r="Q854" s="40"/>
      <c r="R854" s="41"/>
      <c r="S854" s="22" t="str">
        <f t="shared" si="79"/>
        <v/>
      </c>
      <c r="T854" s="41"/>
      <c r="U854" s="41" t="str">
        <f t="shared" si="83"/>
        <v/>
      </c>
      <c r="V854" s="44"/>
      <c r="W854" s="44"/>
      <c r="X854" s="46"/>
      <c r="Y854" s="46"/>
      <c r="Z854" s="46"/>
      <c r="AA854" s="41"/>
      <c r="AB854" s="22"/>
      <c r="AC854" s="22"/>
      <c r="AD854" s="41"/>
      <c r="AE854" s="22"/>
      <c r="AF854" s="22"/>
      <c r="AG854" s="48" t="str">
        <f t="shared" si="80"/>
        <v/>
      </c>
      <c r="AH854" s="48" t="str">
        <f t="shared" si="81"/>
        <v/>
      </c>
      <c r="AI854" s="48" t="str">
        <f t="shared" si="82"/>
        <v/>
      </c>
      <c r="AJ854" s="40" t="str">
        <f t="shared" si="78"/>
        <v/>
      </c>
      <c r="AK854" s="40"/>
      <c r="AL854" s="40"/>
      <c r="AM854" s="22"/>
      <c r="AQ854" s="46"/>
    </row>
    <row r="855" spans="1:43" ht="17.399999999999999">
      <c r="A855" s="22"/>
      <c r="B855" s="22"/>
      <c r="C855" s="56"/>
      <c r="D855" s="56"/>
      <c r="E855" s="22"/>
      <c r="F855" s="22"/>
      <c r="G855" s="22"/>
      <c r="H855" s="22"/>
      <c r="I855" s="49"/>
      <c r="J855" s="50"/>
      <c r="K855" s="22"/>
      <c r="L855" s="22"/>
      <c r="M855" s="22"/>
      <c r="N855" s="22"/>
      <c r="O855" s="22"/>
      <c r="P855" s="46"/>
      <c r="Q855" s="40"/>
      <c r="R855" s="41"/>
      <c r="S855" s="22" t="str">
        <f t="shared" si="79"/>
        <v/>
      </c>
      <c r="T855" s="41"/>
      <c r="U855" s="41" t="str">
        <f t="shared" si="83"/>
        <v/>
      </c>
      <c r="V855" s="44"/>
      <c r="W855" s="44"/>
      <c r="X855" s="46"/>
      <c r="Y855" s="46"/>
      <c r="Z855" s="46"/>
      <c r="AA855" s="41"/>
      <c r="AB855" s="22"/>
      <c r="AC855" s="22"/>
      <c r="AD855" s="41"/>
      <c r="AE855" s="22"/>
      <c r="AF855" s="22"/>
      <c r="AG855" s="48" t="str">
        <f t="shared" si="80"/>
        <v/>
      </c>
      <c r="AH855" s="48" t="str">
        <f t="shared" si="81"/>
        <v/>
      </c>
      <c r="AI855" s="48" t="str">
        <f t="shared" si="82"/>
        <v/>
      </c>
      <c r="AJ855" s="40" t="str">
        <f t="shared" si="78"/>
        <v/>
      </c>
      <c r="AK855" s="40"/>
      <c r="AL855" s="40"/>
      <c r="AM855" s="22"/>
      <c r="AQ855" s="46"/>
    </row>
    <row r="856" spans="1:43" ht="17.399999999999999">
      <c r="A856" s="22"/>
      <c r="B856" s="22"/>
      <c r="C856" s="56"/>
      <c r="D856" s="56"/>
      <c r="E856" s="22"/>
      <c r="F856" s="22"/>
      <c r="G856" s="22"/>
      <c r="H856" s="22"/>
      <c r="I856" s="49"/>
      <c r="J856" s="50"/>
      <c r="K856" s="22"/>
      <c r="L856" s="22"/>
      <c r="M856" s="22"/>
      <c r="N856" s="22"/>
      <c r="O856" s="22"/>
      <c r="P856" s="46"/>
      <c r="Q856" s="40"/>
      <c r="R856" s="41"/>
      <c r="S856" s="22" t="str">
        <f t="shared" si="79"/>
        <v/>
      </c>
      <c r="T856" s="41"/>
      <c r="U856" s="41" t="str">
        <f t="shared" si="83"/>
        <v/>
      </c>
      <c r="V856" s="44"/>
      <c r="W856" s="44"/>
      <c r="X856" s="46"/>
      <c r="Y856" s="46"/>
      <c r="Z856" s="46"/>
      <c r="AA856" s="41"/>
      <c r="AB856" s="22"/>
      <c r="AC856" s="22"/>
      <c r="AD856" s="41"/>
      <c r="AE856" s="22"/>
      <c r="AF856" s="22"/>
      <c r="AG856" s="48" t="str">
        <f t="shared" si="80"/>
        <v/>
      </c>
      <c r="AH856" s="48" t="str">
        <f t="shared" si="81"/>
        <v/>
      </c>
      <c r="AI856" s="48" t="str">
        <f t="shared" si="82"/>
        <v/>
      </c>
      <c r="AJ856" s="40" t="str">
        <f t="shared" si="78"/>
        <v/>
      </c>
      <c r="AK856" s="40"/>
      <c r="AL856" s="40"/>
      <c r="AM856" s="22"/>
      <c r="AQ856" s="46"/>
    </row>
    <row r="857" spans="1:43" ht="17.399999999999999">
      <c r="A857" s="22"/>
      <c r="B857" s="22"/>
      <c r="C857" s="56"/>
      <c r="D857" s="56"/>
      <c r="E857" s="22"/>
      <c r="F857" s="22"/>
      <c r="G857" s="22"/>
      <c r="H857" s="22"/>
      <c r="I857" s="49"/>
      <c r="J857" s="50"/>
      <c r="K857" s="22"/>
      <c r="L857" s="22"/>
      <c r="M857" s="22"/>
      <c r="N857" s="22"/>
      <c r="O857" s="22"/>
      <c r="P857" s="46"/>
      <c r="Q857" s="40"/>
      <c r="R857" s="41"/>
      <c r="S857" s="22" t="str">
        <f t="shared" si="79"/>
        <v/>
      </c>
      <c r="T857" s="41"/>
      <c r="U857" s="41" t="str">
        <f t="shared" si="83"/>
        <v/>
      </c>
      <c r="V857" s="44"/>
      <c r="W857" s="44"/>
      <c r="X857" s="46"/>
      <c r="Y857" s="46"/>
      <c r="Z857" s="46"/>
      <c r="AA857" s="41"/>
      <c r="AB857" s="22"/>
      <c r="AC857" s="22"/>
      <c r="AD857" s="41"/>
      <c r="AE857" s="22"/>
      <c r="AF857" s="22"/>
      <c r="AG857" s="48" t="str">
        <f t="shared" si="80"/>
        <v/>
      </c>
      <c r="AH857" s="48" t="str">
        <f t="shared" si="81"/>
        <v/>
      </c>
      <c r="AI857" s="48" t="str">
        <f t="shared" si="82"/>
        <v/>
      </c>
      <c r="AJ857" s="40" t="str">
        <f t="shared" si="78"/>
        <v/>
      </c>
      <c r="AK857" s="40"/>
      <c r="AL857" s="40"/>
      <c r="AM857" s="22"/>
      <c r="AQ857" s="46"/>
    </row>
    <row r="858" spans="1:43" ht="17.399999999999999">
      <c r="A858" s="22"/>
      <c r="B858" s="22"/>
      <c r="C858" s="56"/>
      <c r="D858" s="56"/>
      <c r="E858" s="22"/>
      <c r="F858" s="22"/>
      <c r="G858" s="22"/>
      <c r="H858" s="22"/>
      <c r="I858" s="49"/>
      <c r="J858" s="50"/>
      <c r="K858" s="22"/>
      <c r="L858" s="22"/>
      <c r="M858" s="22"/>
      <c r="N858" s="22"/>
      <c r="O858" s="22"/>
      <c r="P858" s="46"/>
      <c r="Q858" s="40"/>
      <c r="R858" s="41"/>
      <c r="S858" s="22" t="str">
        <f t="shared" si="79"/>
        <v/>
      </c>
      <c r="T858" s="41"/>
      <c r="U858" s="41" t="str">
        <f t="shared" si="83"/>
        <v/>
      </c>
      <c r="V858" s="44"/>
      <c r="W858" s="44"/>
      <c r="X858" s="46"/>
      <c r="Y858" s="46"/>
      <c r="Z858" s="46"/>
      <c r="AA858" s="41"/>
      <c r="AB858" s="22"/>
      <c r="AC858" s="22"/>
      <c r="AD858" s="41"/>
      <c r="AE858" s="22"/>
      <c r="AF858" s="22"/>
      <c r="AG858" s="48" t="str">
        <f t="shared" si="80"/>
        <v/>
      </c>
      <c r="AH858" s="48" t="str">
        <f t="shared" si="81"/>
        <v/>
      </c>
      <c r="AI858" s="48" t="str">
        <f t="shared" si="82"/>
        <v/>
      </c>
      <c r="AJ858" s="40" t="str">
        <f t="shared" si="78"/>
        <v/>
      </c>
      <c r="AK858" s="40"/>
      <c r="AL858" s="40"/>
      <c r="AM858" s="22"/>
      <c r="AQ858" s="46"/>
    </row>
    <row r="859" spans="1:43" ht="17.399999999999999">
      <c r="A859" s="22"/>
      <c r="B859" s="22"/>
      <c r="C859" s="56"/>
      <c r="D859" s="56"/>
      <c r="E859" s="22"/>
      <c r="F859" s="22"/>
      <c r="G859" s="22"/>
      <c r="H859" s="22"/>
      <c r="I859" s="49"/>
      <c r="J859" s="50"/>
      <c r="K859" s="22"/>
      <c r="L859" s="22"/>
      <c r="M859" s="22"/>
      <c r="N859" s="22"/>
      <c r="O859" s="22"/>
      <c r="P859" s="46"/>
      <c r="Q859" s="40"/>
      <c r="R859" s="41"/>
      <c r="S859" s="22" t="str">
        <f t="shared" si="79"/>
        <v/>
      </c>
      <c r="T859" s="41"/>
      <c r="U859" s="41" t="str">
        <f t="shared" si="83"/>
        <v/>
      </c>
      <c r="V859" s="44"/>
      <c r="W859" s="44"/>
      <c r="X859" s="46"/>
      <c r="Y859" s="46"/>
      <c r="Z859" s="46"/>
      <c r="AA859" s="41"/>
      <c r="AB859" s="22"/>
      <c r="AC859" s="22"/>
      <c r="AD859" s="41"/>
      <c r="AE859" s="22"/>
      <c r="AF859" s="22"/>
      <c r="AG859" s="48" t="str">
        <f t="shared" si="80"/>
        <v/>
      </c>
      <c r="AH859" s="48" t="str">
        <f t="shared" si="81"/>
        <v/>
      </c>
      <c r="AI859" s="48" t="str">
        <f t="shared" si="82"/>
        <v/>
      </c>
      <c r="AJ859" s="40" t="str">
        <f t="shared" si="78"/>
        <v/>
      </c>
      <c r="AK859" s="40"/>
      <c r="AL859" s="40"/>
      <c r="AM859" s="22"/>
      <c r="AQ859" s="46"/>
    </row>
    <row r="860" spans="1:43" ht="17.399999999999999">
      <c r="A860" s="22"/>
      <c r="B860" s="22"/>
      <c r="C860" s="56"/>
      <c r="D860" s="56"/>
      <c r="E860" s="22"/>
      <c r="F860" s="22"/>
      <c r="G860" s="22"/>
      <c r="H860" s="22"/>
      <c r="I860" s="49"/>
      <c r="J860" s="50"/>
      <c r="K860" s="22"/>
      <c r="L860" s="22"/>
      <c r="M860" s="22"/>
      <c r="N860" s="22"/>
      <c r="O860" s="22"/>
      <c r="P860" s="46"/>
      <c r="Q860" s="40"/>
      <c r="R860" s="41"/>
      <c r="S860" s="22" t="str">
        <f t="shared" si="79"/>
        <v/>
      </c>
      <c r="T860" s="41"/>
      <c r="U860" s="41" t="str">
        <f t="shared" si="83"/>
        <v/>
      </c>
      <c r="V860" s="44"/>
      <c r="W860" s="44"/>
      <c r="X860" s="46"/>
      <c r="Y860" s="46"/>
      <c r="Z860" s="46"/>
      <c r="AA860" s="41"/>
      <c r="AB860" s="22"/>
      <c r="AC860" s="22"/>
      <c r="AD860" s="41"/>
      <c r="AE860" s="22"/>
      <c r="AF860" s="22"/>
      <c r="AG860" s="48" t="str">
        <f t="shared" si="80"/>
        <v/>
      </c>
      <c r="AH860" s="48" t="str">
        <f t="shared" si="81"/>
        <v/>
      </c>
      <c r="AI860" s="48" t="str">
        <f t="shared" si="82"/>
        <v/>
      </c>
      <c r="AJ860" s="40" t="str">
        <f t="shared" si="78"/>
        <v/>
      </c>
      <c r="AK860" s="40"/>
      <c r="AL860" s="40"/>
      <c r="AM860" s="22"/>
      <c r="AQ860" s="46"/>
    </row>
    <row r="861" spans="1:43" ht="17.399999999999999">
      <c r="A861" s="22"/>
      <c r="B861" s="22"/>
      <c r="C861" s="56"/>
      <c r="D861" s="56"/>
      <c r="E861" s="22"/>
      <c r="F861" s="22"/>
      <c r="G861" s="22"/>
      <c r="H861" s="22"/>
      <c r="I861" s="49"/>
      <c r="J861" s="50"/>
      <c r="K861" s="22"/>
      <c r="L861" s="22"/>
      <c r="M861" s="22"/>
      <c r="N861" s="22"/>
      <c r="O861" s="22"/>
      <c r="P861" s="46"/>
      <c r="Q861" s="40"/>
      <c r="R861" s="41"/>
      <c r="S861" s="22" t="str">
        <f t="shared" si="79"/>
        <v/>
      </c>
      <c r="T861" s="41"/>
      <c r="U861" s="41" t="str">
        <f t="shared" si="83"/>
        <v/>
      </c>
      <c r="V861" s="44"/>
      <c r="W861" s="44"/>
      <c r="X861" s="46"/>
      <c r="Y861" s="46"/>
      <c r="Z861" s="46"/>
      <c r="AA861" s="41"/>
      <c r="AB861" s="22"/>
      <c r="AC861" s="22"/>
      <c r="AD861" s="41"/>
      <c r="AE861" s="22"/>
      <c r="AF861" s="22"/>
      <c r="AG861" s="48" t="str">
        <f t="shared" si="80"/>
        <v/>
      </c>
      <c r="AH861" s="48" t="str">
        <f t="shared" si="81"/>
        <v/>
      </c>
      <c r="AI861" s="48" t="str">
        <f t="shared" si="82"/>
        <v/>
      </c>
      <c r="AJ861" s="40" t="str">
        <f t="shared" si="78"/>
        <v/>
      </c>
      <c r="AK861" s="40"/>
      <c r="AL861" s="40"/>
      <c r="AM861" s="22"/>
      <c r="AQ861" s="46"/>
    </row>
    <row r="862" spans="1:43" ht="17.399999999999999">
      <c r="A862" s="22"/>
      <c r="B862" s="22"/>
      <c r="C862" s="56"/>
      <c r="D862" s="56"/>
      <c r="E862" s="22"/>
      <c r="F862" s="22"/>
      <c r="G862" s="22"/>
      <c r="H862" s="22"/>
      <c r="I862" s="49"/>
      <c r="J862" s="50"/>
      <c r="K862" s="22"/>
      <c r="L862" s="22"/>
      <c r="M862" s="22"/>
      <c r="N862" s="22"/>
      <c r="O862" s="22"/>
      <c r="P862" s="46"/>
      <c r="Q862" s="40"/>
      <c r="R862" s="41"/>
      <c r="S862" s="22" t="str">
        <f t="shared" si="79"/>
        <v/>
      </c>
      <c r="T862" s="41"/>
      <c r="U862" s="41" t="str">
        <f t="shared" si="83"/>
        <v/>
      </c>
      <c r="V862" s="44"/>
      <c r="W862" s="44"/>
      <c r="X862" s="46"/>
      <c r="Y862" s="46"/>
      <c r="Z862" s="46"/>
      <c r="AA862" s="41"/>
      <c r="AB862" s="22"/>
      <c r="AC862" s="22"/>
      <c r="AD862" s="41"/>
      <c r="AE862" s="22"/>
      <c r="AF862" s="22"/>
      <c r="AG862" s="48" t="str">
        <f t="shared" si="80"/>
        <v/>
      </c>
      <c r="AH862" s="48" t="str">
        <f t="shared" si="81"/>
        <v/>
      </c>
      <c r="AI862" s="48" t="str">
        <f t="shared" si="82"/>
        <v/>
      </c>
      <c r="AJ862" s="40" t="str">
        <f t="shared" si="78"/>
        <v/>
      </c>
      <c r="AK862" s="40"/>
      <c r="AL862" s="40"/>
      <c r="AM862" s="22"/>
      <c r="AQ862" s="46"/>
    </row>
    <row r="863" spans="1:43" ht="17.399999999999999">
      <c r="A863" s="22"/>
      <c r="B863" s="22"/>
      <c r="C863" s="56"/>
      <c r="D863" s="56"/>
      <c r="E863" s="22"/>
      <c r="F863" s="22"/>
      <c r="G863" s="22"/>
      <c r="H863" s="22"/>
      <c r="I863" s="49"/>
      <c r="J863" s="50"/>
      <c r="K863" s="22"/>
      <c r="L863" s="22"/>
      <c r="M863" s="22"/>
      <c r="N863" s="22"/>
      <c r="O863" s="22"/>
      <c r="P863" s="46"/>
      <c r="Q863" s="40"/>
      <c r="R863" s="41"/>
      <c r="S863" s="22" t="str">
        <f t="shared" si="79"/>
        <v/>
      </c>
      <c r="T863" s="41"/>
      <c r="U863" s="41" t="str">
        <f t="shared" si="83"/>
        <v/>
      </c>
      <c r="V863" s="44"/>
      <c r="W863" s="44"/>
      <c r="X863" s="46"/>
      <c r="Y863" s="46"/>
      <c r="Z863" s="46"/>
      <c r="AA863" s="41"/>
      <c r="AB863" s="22"/>
      <c r="AC863" s="22"/>
      <c r="AD863" s="41"/>
      <c r="AE863" s="22"/>
      <c r="AF863" s="22"/>
      <c r="AG863" s="48" t="str">
        <f t="shared" si="80"/>
        <v/>
      </c>
      <c r="AH863" s="48" t="str">
        <f t="shared" si="81"/>
        <v/>
      </c>
      <c r="AI863" s="48" t="str">
        <f t="shared" si="82"/>
        <v/>
      </c>
      <c r="AJ863" s="40" t="str">
        <f t="shared" si="78"/>
        <v/>
      </c>
      <c r="AK863" s="40"/>
      <c r="AL863" s="40"/>
      <c r="AM863" s="22"/>
      <c r="AQ863" s="46"/>
    </row>
    <row r="864" spans="1:43" ht="17.399999999999999">
      <c r="A864" s="22"/>
      <c r="B864" s="22"/>
      <c r="C864" s="56"/>
      <c r="D864" s="56"/>
      <c r="E864" s="22"/>
      <c r="F864" s="22"/>
      <c r="G864" s="22"/>
      <c r="H864" s="22"/>
      <c r="I864" s="49"/>
      <c r="J864" s="50"/>
      <c r="K864" s="22"/>
      <c r="L864" s="22"/>
      <c r="M864" s="22"/>
      <c r="N864" s="22"/>
      <c r="O864" s="22"/>
      <c r="P864" s="46"/>
      <c r="Q864" s="40"/>
      <c r="R864" s="41"/>
      <c r="S864" s="22" t="str">
        <f t="shared" si="79"/>
        <v/>
      </c>
      <c r="T864" s="41"/>
      <c r="U864" s="41" t="str">
        <f t="shared" si="83"/>
        <v/>
      </c>
      <c r="V864" s="44"/>
      <c r="W864" s="44"/>
      <c r="X864" s="46"/>
      <c r="Y864" s="46"/>
      <c r="Z864" s="46"/>
      <c r="AA864" s="41"/>
      <c r="AB864" s="22"/>
      <c r="AC864" s="22"/>
      <c r="AD864" s="41"/>
      <c r="AE864" s="22"/>
      <c r="AF864" s="22"/>
      <c r="AG864" s="48" t="str">
        <f t="shared" si="80"/>
        <v/>
      </c>
      <c r="AH864" s="48" t="str">
        <f t="shared" si="81"/>
        <v/>
      </c>
      <c r="AI864" s="48" t="str">
        <f t="shared" si="82"/>
        <v/>
      </c>
      <c r="AJ864" s="40" t="str">
        <f t="shared" si="78"/>
        <v/>
      </c>
      <c r="AK864" s="40"/>
      <c r="AL864" s="40"/>
      <c r="AM864" s="22"/>
      <c r="AQ864" s="46"/>
    </row>
    <row r="865" spans="1:43" ht="17.399999999999999">
      <c r="A865" s="22"/>
      <c r="B865" s="22"/>
      <c r="C865" s="56"/>
      <c r="D865" s="56"/>
      <c r="E865" s="22"/>
      <c r="F865" s="22"/>
      <c r="G865" s="22"/>
      <c r="H865" s="22"/>
      <c r="I865" s="49"/>
      <c r="J865" s="50"/>
      <c r="K865" s="22"/>
      <c r="L865" s="22"/>
      <c r="M865" s="22"/>
      <c r="N865" s="22"/>
      <c r="O865" s="22"/>
      <c r="P865" s="46"/>
      <c r="Q865" s="40"/>
      <c r="R865" s="41"/>
      <c r="S865" s="22" t="str">
        <f t="shared" si="79"/>
        <v/>
      </c>
      <c r="T865" s="41"/>
      <c r="U865" s="41" t="str">
        <f t="shared" si="83"/>
        <v/>
      </c>
      <c r="V865" s="44"/>
      <c r="W865" s="44"/>
      <c r="X865" s="46"/>
      <c r="Y865" s="46"/>
      <c r="Z865" s="46"/>
      <c r="AA865" s="41"/>
      <c r="AB865" s="22"/>
      <c r="AC865" s="22"/>
      <c r="AD865" s="41"/>
      <c r="AE865" s="22"/>
      <c r="AF865" s="22"/>
      <c r="AG865" s="48" t="str">
        <f t="shared" si="80"/>
        <v/>
      </c>
      <c r="AH865" s="48" t="str">
        <f t="shared" si="81"/>
        <v/>
      </c>
      <c r="AI865" s="48" t="str">
        <f t="shared" si="82"/>
        <v/>
      </c>
      <c r="AJ865" s="40" t="str">
        <f t="shared" si="78"/>
        <v/>
      </c>
      <c r="AK865" s="40"/>
      <c r="AL865" s="40"/>
      <c r="AM865" s="22"/>
      <c r="AQ865" s="46"/>
    </row>
    <row r="866" spans="1:43" ht="17.399999999999999">
      <c r="A866" s="22"/>
      <c r="B866" s="22"/>
      <c r="C866" s="56"/>
      <c r="D866" s="56"/>
      <c r="E866" s="22"/>
      <c r="F866" s="22"/>
      <c r="G866" s="22"/>
      <c r="H866" s="22"/>
      <c r="I866" s="49"/>
      <c r="J866" s="50"/>
      <c r="K866" s="22"/>
      <c r="L866" s="22"/>
      <c r="M866" s="22"/>
      <c r="N866" s="22"/>
      <c r="O866" s="22"/>
      <c r="P866" s="46"/>
      <c r="Q866" s="40"/>
      <c r="R866" s="41"/>
      <c r="S866" s="22" t="str">
        <f t="shared" si="79"/>
        <v/>
      </c>
      <c r="T866" s="41"/>
      <c r="U866" s="41" t="str">
        <f t="shared" si="83"/>
        <v/>
      </c>
      <c r="V866" s="44"/>
      <c r="W866" s="44"/>
      <c r="X866" s="46"/>
      <c r="Y866" s="46"/>
      <c r="Z866" s="46"/>
      <c r="AA866" s="41"/>
      <c r="AB866" s="22"/>
      <c r="AC866" s="22"/>
      <c r="AD866" s="41"/>
      <c r="AE866" s="22"/>
      <c r="AF866" s="22"/>
      <c r="AG866" s="48" t="str">
        <f t="shared" si="80"/>
        <v/>
      </c>
      <c r="AH866" s="48" t="str">
        <f t="shared" si="81"/>
        <v/>
      </c>
      <c r="AI866" s="48" t="str">
        <f t="shared" si="82"/>
        <v/>
      </c>
      <c r="AJ866" s="40" t="str">
        <f t="shared" si="78"/>
        <v/>
      </c>
      <c r="AK866" s="40"/>
      <c r="AL866" s="40"/>
      <c r="AM866" s="22"/>
      <c r="AQ866" s="46"/>
    </row>
    <row r="867" spans="1:43" ht="17.399999999999999">
      <c r="A867" s="22"/>
      <c r="B867" s="22"/>
      <c r="C867" s="56"/>
      <c r="D867" s="56"/>
      <c r="E867" s="22"/>
      <c r="F867" s="22"/>
      <c r="G867" s="22"/>
      <c r="H867" s="22"/>
      <c r="I867" s="49"/>
      <c r="J867" s="50"/>
      <c r="K867" s="22"/>
      <c r="L867" s="22"/>
      <c r="M867" s="22"/>
      <c r="N867" s="22"/>
      <c r="O867" s="22"/>
      <c r="P867" s="46"/>
      <c r="Q867" s="40"/>
      <c r="R867" s="41"/>
      <c r="S867" s="22" t="str">
        <f t="shared" si="79"/>
        <v/>
      </c>
      <c r="T867" s="41"/>
      <c r="U867" s="41" t="str">
        <f t="shared" si="83"/>
        <v/>
      </c>
      <c r="V867" s="44"/>
      <c r="W867" s="44"/>
      <c r="X867" s="46"/>
      <c r="Y867" s="46"/>
      <c r="Z867" s="46"/>
      <c r="AA867" s="41"/>
      <c r="AB867" s="22"/>
      <c r="AC867" s="22"/>
      <c r="AD867" s="41"/>
      <c r="AE867" s="22"/>
      <c r="AF867" s="22"/>
      <c r="AG867" s="48" t="str">
        <f t="shared" si="80"/>
        <v/>
      </c>
      <c r="AH867" s="48" t="str">
        <f t="shared" si="81"/>
        <v/>
      </c>
      <c r="AI867" s="48" t="str">
        <f t="shared" si="82"/>
        <v/>
      </c>
      <c r="AJ867" s="40" t="str">
        <f t="shared" si="78"/>
        <v/>
      </c>
      <c r="AK867" s="40"/>
      <c r="AL867" s="40"/>
      <c r="AM867" s="22"/>
      <c r="AQ867" s="46"/>
    </row>
    <row r="868" spans="1:43" ht="17.399999999999999">
      <c r="A868" s="22"/>
      <c r="B868" s="22"/>
      <c r="C868" s="56"/>
      <c r="D868" s="56"/>
      <c r="E868" s="22"/>
      <c r="F868" s="22"/>
      <c r="G868" s="22"/>
      <c r="H868" s="22"/>
      <c r="I868" s="49"/>
      <c r="J868" s="50"/>
      <c r="K868" s="22"/>
      <c r="L868" s="22"/>
      <c r="M868" s="22"/>
      <c r="N868" s="22"/>
      <c r="O868" s="22"/>
      <c r="P868" s="46"/>
      <c r="Q868" s="40"/>
      <c r="R868" s="41"/>
      <c r="S868" s="22" t="str">
        <f t="shared" si="79"/>
        <v/>
      </c>
      <c r="T868" s="41"/>
      <c r="U868" s="41" t="str">
        <f t="shared" si="83"/>
        <v/>
      </c>
      <c r="V868" s="44"/>
      <c r="W868" s="44"/>
      <c r="X868" s="46"/>
      <c r="Y868" s="46"/>
      <c r="Z868" s="46"/>
      <c r="AA868" s="41"/>
      <c r="AB868" s="22"/>
      <c r="AC868" s="22"/>
      <c r="AD868" s="41"/>
      <c r="AE868" s="22"/>
      <c r="AF868" s="22"/>
      <c r="AG868" s="48" t="str">
        <f t="shared" si="80"/>
        <v/>
      </c>
      <c r="AH868" s="48" t="str">
        <f t="shared" si="81"/>
        <v/>
      </c>
      <c r="AI868" s="48" t="str">
        <f t="shared" si="82"/>
        <v/>
      </c>
      <c r="AJ868" s="40" t="str">
        <f t="shared" si="78"/>
        <v/>
      </c>
      <c r="AK868" s="40"/>
      <c r="AL868" s="40"/>
      <c r="AM868" s="22"/>
      <c r="AQ868" s="46"/>
    </row>
    <row r="869" spans="1:43" ht="17.399999999999999">
      <c r="A869" s="22"/>
      <c r="B869" s="22"/>
      <c r="C869" s="56"/>
      <c r="D869" s="56"/>
      <c r="E869" s="22"/>
      <c r="F869" s="22"/>
      <c r="G869" s="22"/>
      <c r="H869" s="22"/>
      <c r="I869" s="49"/>
      <c r="J869" s="50"/>
      <c r="K869" s="22"/>
      <c r="L869" s="22"/>
      <c r="M869" s="22"/>
      <c r="N869" s="22"/>
      <c r="O869" s="22"/>
      <c r="P869" s="46"/>
      <c r="Q869" s="40"/>
      <c r="R869" s="41"/>
      <c r="S869" s="22" t="str">
        <f t="shared" si="79"/>
        <v/>
      </c>
      <c r="T869" s="41"/>
      <c r="U869" s="41" t="str">
        <f t="shared" si="83"/>
        <v/>
      </c>
      <c r="V869" s="44"/>
      <c r="W869" s="44"/>
      <c r="X869" s="46"/>
      <c r="Y869" s="46"/>
      <c r="Z869" s="46"/>
      <c r="AA869" s="41"/>
      <c r="AB869" s="22"/>
      <c r="AC869" s="22"/>
      <c r="AD869" s="41"/>
      <c r="AE869" s="22"/>
      <c r="AF869" s="22"/>
      <c r="AG869" s="48" t="str">
        <f t="shared" si="80"/>
        <v/>
      </c>
      <c r="AH869" s="48" t="str">
        <f t="shared" si="81"/>
        <v/>
      </c>
      <c r="AI869" s="48" t="str">
        <f t="shared" si="82"/>
        <v/>
      </c>
      <c r="AJ869" s="40" t="str">
        <f t="shared" si="78"/>
        <v/>
      </c>
      <c r="AK869" s="40"/>
      <c r="AL869" s="40"/>
      <c r="AM869" s="22"/>
      <c r="AQ869" s="46"/>
    </row>
    <row r="870" spans="1:43" ht="17.399999999999999">
      <c r="A870" s="22"/>
      <c r="B870" s="22"/>
      <c r="C870" s="56"/>
      <c r="D870" s="56"/>
      <c r="E870" s="22"/>
      <c r="F870" s="22"/>
      <c r="G870" s="22"/>
      <c r="H870" s="22"/>
      <c r="I870" s="49"/>
      <c r="J870" s="50"/>
      <c r="K870" s="22"/>
      <c r="L870" s="22"/>
      <c r="M870" s="22"/>
      <c r="N870" s="22"/>
      <c r="O870" s="22"/>
      <c r="P870" s="46"/>
      <c r="Q870" s="40"/>
      <c r="R870" s="41"/>
      <c r="S870" s="22" t="str">
        <f t="shared" si="79"/>
        <v/>
      </c>
      <c r="T870" s="41"/>
      <c r="U870" s="41" t="str">
        <f t="shared" si="83"/>
        <v/>
      </c>
      <c r="V870" s="44"/>
      <c r="W870" s="44"/>
      <c r="X870" s="46"/>
      <c r="Y870" s="46"/>
      <c r="Z870" s="46"/>
      <c r="AA870" s="41"/>
      <c r="AB870" s="22"/>
      <c r="AC870" s="22"/>
      <c r="AD870" s="41"/>
      <c r="AE870" s="22"/>
      <c r="AF870" s="22"/>
      <c r="AG870" s="48" t="str">
        <f t="shared" si="80"/>
        <v/>
      </c>
      <c r="AH870" s="48" t="str">
        <f t="shared" si="81"/>
        <v/>
      </c>
      <c r="AI870" s="48" t="str">
        <f t="shared" si="82"/>
        <v/>
      </c>
      <c r="AJ870" s="40" t="str">
        <f t="shared" si="78"/>
        <v/>
      </c>
      <c r="AK870" s="40"/>
      <c r="AL870" s="40"/>
      <c r="AM870" s="22"/>
      <c r="AQ870" s="46"/>
    </row>
    <row r="871" spans="1:43" ht="17.399999999999999">
      <c r="A871" s="22"/>
      <c r="B871" s="22"/>
      <c r="C871" s="56"/>
      <c r="D871" s="56"/>
      <c r="E871" s="22"/>
      <c r="F871" s="22"/>
      <c r="G871" s="22"/>
      <c r="H871" s="22"/>
      <c r="I871" s="49"/>
      <c r="J871" s="50"/>
      <c r="K871" s="22"/>
      <c r="L871" s="22"/>
      <c r="M871" s="22"/>
      <c r="N871" s="22"/>
      <c r="O871" s="22"/>
      <c r="P871" s="46"/>
      <c r="Q871" s="40"/>
      <c r="R871" s="41"/>
      <c r="S871" s="22" t="str">
        <f t="shared" si="79"/>
        <v/>
      </c>
      <c r="T871" s="41"/>
      <c r="U871" s="41" t="str">
        <f t="shared" si="83"/>
        <v/>
      </c>
      <c r="V871" s="44"/>
      <c r="W871" s="44"/>
      <c r="X871" s="46"/>
      <c r="Y871" s="46"/>
      <c r="Z871" s="46"/>
      <c r="AA871" s="41"/>
      <c r="AB871" s="22"/>
      <c r="AC871" s="22"/>
      <c r="AD871" s="41"/>
      <c r="AE871" s="22"/>
      <c r="AF871" s="22"/>
      <c r="AG871" s="48" t="str">
        <f t="shared" si="80"/>
        <v/>
      </c>
      <c r="AH871" s="48" t="str">
        <f t="shared" si="81"/>
        <v/>
      </c>
      <c r="AI871" s="48" t="str">
        <f t="shared" si="82"/>
        <v/>
      </c>
      <c r="AJ871" s="40" t="str">
        <f t="shared" si="78"/>
        <v/>
      </c>
      <c r="AK871" s="40"/>
      <c r="AL871" s="40"/>
      <c r="AM871" s="22"/>
      <c r="AQ871" s="46"/>
    </row>
    <row r="872" spans="1:43" ht="17.399999999999999">
      <c r="A872" s="22"/>
      <c r="B872" s="22"/>
      <c r="C872" s="56"/>
      <c r="D872" s="56"/>
      <c r="E872" s="22"/>
      <c r="F872" s="22"/>
      <c r="G872" s="22"/>
      <c r="H872" s="22"/>
      <c r="I872" s="49"/>
      <c r="J872" s="50"/>
      <c r="K872" s="22"/>
      <c r="L872" s="22"/>
      <c r="M872" s="22"/>
      <c r="N872" s="22"/>
      <c r="O872" s="22"/>
      <c r="P872" s="46"/>
      <c r="Q872" s="40"/>
      <c r="R872" s="41"/>
      <c r="S872" s="22" t="str">
        <f t="shared" si="79"/>
        <v/>
      </c>
      <c r="T872" s="41"/>
      <c r="U872" s="41" t="str">
        <f t="shared" si="83"/>
        <v/>
      </c>
      <c r="V872" s="44"/>
      <c r="W872" s="44"/>
      <c r="X872" s="46"/>
      <c r="Y872" s="46"/>
      <c r="Z872" s="46"/>
      <c r="AA872" s="41"/>
      <c r="AB872" s="22"/>
      <c r="AC872" s="22"/>
      <c r="AD872" s="41"/>
      <c r="AE872" s="22"/>
      <c r="AF872" s="22"/>
      <c r="AG872" s="48" t="str">
        <f t="shared" si="80"/>
        <v/>
      </c>
      <c r="AH872" s="48" t="str">
        <f t="shared" si="81"/>
        <v/>
      </c>
      <c r="AI872" s="48" t="str">
        <f t="shared" si="82"/>
        <v/>
      </c>
      <c r="AJ872" s="40" t="str">
        <f t="shared" si="78"/>
        <v/>
      </c>
      <c r="AK872" s="40"/>
      <c r="AL872" s="40"/>
      <c r="AM872" s="22"/>
      <c r="AQ872" s="46"/>
    </row>
    <row r="873" spans="1:43" ht="17.399999999999999">
      <c r="A873" s="22"/>
      <c r="B873" s="22"/>
      <c r="C873" s="56"/>
      <c r="D873" s="56"/>
      <c r="E873" s="22"/>
      <c r="F873" s="22"/>
      <c r="G873" s="22"/>
      <c r="H873" s="22"/>
      <c r="I873" s="49"/>
      <c r="J873" s="50"/>
      <c r="K873" s="22"/>
      <c r="L873" s="22"/>
      <c r="M873" s="22"/>
      <c r="N873" s="22"/>
      <c r="O873" s="22"/>
      <c r="P873" s="46"/>
      <c r="Q873" s="40"/>
      <c r="R873" s="41"/>
      <c r="S873" s="22" t="str">
        <f t="shared" si="79"/>
        <v/>
      </c>
      <c r="T873" s="41"/>
      <c r="U873" s="41" t="str">
        <f t="shared" si="83"/>
        <v/>
      </c>
      <c r="V873" s="44"/>
      <c r="W873" s="44"/>
      <c r="X873" s="46"/>
      <c r="Y873" s="46"/>
      <c r="Z873" s="46"/>
      <c r="AA873" s="41"/>
      <c r="AB873" s="22"/>
      <c r="AC873" s="22"/>
      <c r="AD873" s="41"/>
      <c r="AE873" s="22"/>
      <c r="AF873" s="22"/>
      <c r="AG873" s="48" t="str">
        <f t="shared" si="80"/>
        <v/>
      </c>
      <c r="AH873" s="48" t="str">
        <f t="shared" si="81"/>
        <v/>
      </c>
      <c r="AI873" s="48" t="str">
        <f t="shared" si="82"/>
        <v/>
      </c>
      <c r="AJ873" s="40" t="str">
        <f t="shared" si="78"/>
        <v/>
      </c>
      <c r="AK873" s="40"/>
      <c r="AL873" s="40"/>
      <c r="AM873" s="22"/>
      <c r="AQ873" s="46"/>
    </row>
    <row r="874" spans="1:43" ht="17.399999999999999">
      <c r="A874" s="22"/>
      <c r="B874" s="22"/>
      <c r="C874" s="56"/>
      <c r="D874" s="56"/>
      <c r="E874" s="22"/>
      <c r="F874" s="22"/>
      <c r="G874" s="22"/>
      <c r="H874" s="22"/>
      <c r="I874" s="49"/>
      <c r="J874" s="50"/>
      <c r="K874" s="22"/>
      <c r="L874" s="22"/>
      <c r="M874" s="22"/>
      <c r="N874" s="22"/>
      <c r="O874" s="22"/>
      <c r="P874" s="46"/>
      <c r="Q874" s="40"/>
      <c r="R874" s="41"/>
      <c r="S874" s="22" t="str">
        <f t="shared" si="79"/>
        <v/>
      </c>
      <c r="T874" s="41"/>
      <c r="U874" s="41" t="str">
        <f t="shared" si="83"/>
        <v/>
      </c>
      <c r="V874" s="44"/>
      <c r="W874" s="44"/>
      <c r="X874" s="46"/>
      <c r="Y874" s="46"/>
      <c r="Z874" s="46"/>
      <c r="AA874" s="41"/>
      <c r="AB874" s="22"/>
      <c r="AC874" s="22"/>
      <c r="AD874" s="41"/>
      <c r="AE874" s="22"/>
      <c r="AF874" s="22"/>
      <c r="AG874" s="48" t="str">
        <f t="shared" si="80"/>
        <v/>
      </c>
      <c r="AH874" s="48" t="str">
        <f t="shared" si="81"/>
        <v/>
      </c>
      <c r="AI874" s="48" t="str">
        <f t="shared" si="82"/>
        <v/>
      </c>
      <c r="AJ874" s="40" t="str">
        <f t="shared" si="78"/>
        <v/>
      </c>
      <c r="AK874" s="40"/>
      <c r="AL874" s="40"/>
      <c r="AM874" s="22"/>
      <c r="AQ874" s="46"/>
    </row>
    <row r="875" spans="1:43" ht="17.399999999999999">
      <c r="A875" s="22"/>
      <c r="B875" s="22"/>
      <c r="C875" s="56"/>
      <c r="D875" s="56"/>
      <c r="E875" s="22"/>
      <c r="F875" s="22"/>
      <c r="G875" s="22"/>
      <c r="H875" s="22"/>
      <c r="I875" s="49"/>
      <c r="J875" s="50"/>
      <c r="K875" s="22"/>
      <c r="L875" s="22"/>
      <c r="M875" s="22"/>
      <c r="N875" s="22"/>
      <c r="O875" s="22"/>
      <c r="P875" s="46"/>
      <c r="Q875" s="40"/>
      <c r="R875" s="41"/>
      <c r="S875" s="22" t="str">
        <f t="shared" si="79"/>
        <v/>
      </c>
      <c r="T875" s="41"/>
      <c r="U875" s="41" t="str">
        <f t="shared" si="83"/>
        <v/>
      </c>
      <c r="V875" s="44"/>
      <c r="W875" s="44"/>
      <c r="X875" s="46"/>
      <c r="Y875" s="46"/>
      <c r="Z875" s="46"/>
      <c r="AA875" s="41"/>
      <c r="AB875" s="22"/>
      <c r="AC875" s="22"/>
      <c r="AD875" s="41"/>
      <c r="AE875" s="22"/>
      <c r="AF875" s="22"/>
      <c r="AG875" s="48" t="str">
        <f t="shared" si="80"/>
        <v/>
      </c>
      <c r="AH875" s="48" t="str">
        <f t="shared" si="81"/>
        <v/>
      </c>
      <c r="AI875" s="48" t="str">
        <f t="shared" si="82"/>
        <v/>
      </c>
      <c r="AJ875" s="40" t="str">
        <f t="shared" si="78"/>
        <v/>
      </c>
      <c r="AK875" s="40"/>
      <c r="AL875" s="40"/>
      <c r="AM875" s="22"/>
      <c r="AQ875" s="46"/>
    </row>
    <row r="876" spans="1:43" ht="17.399999999999999">
      <c r="A876" s="22"/>
      <c r="B876" s="22"/>
      <c r="C876" s="56"/>
      <c r="D876" s="56"/>
      <c r="E876" s="22"/>
      <c r="F876" s="22"/>
      <c r="G876" s="22"/>
      <c r="H876" s="22"/>
      <c r="I876" s="49"/>
      <c r="J876" s="50"/>
      <c r="K876" s="22"/>
      <c r="L876" s="22"/>
      <c r="M876" s="22"/>
      <c r="N876" s="22"/>
      <c r="O876" s="22"/>
      <c r="P876" s="46"/>
      <c r="Q876" s="40"/>
      <c r="R876" s="41"/>
      <c r="S876" s="22" t="str">
        <f t="shared" si="79"/>
        <v/>
      </c>
      <c r="T876" s="41"/>
      <c r="U876" s="41" t="str">
        <f t="shared" si="83"/>
        <v/>
      </c>
      <c r="V876" s="44"/>
      <c r="W876" s="44"/>
      <c r="X876" s="46"/>
      <c r="Y876" s="46"/>
      <c r="Z876" s="46"/>
      <c r="AA876" s="41"/>
      <c r="AB876" s="22"/>
      <c r="AC876" s="22"/>
      <c r="AD876" s="41"/>
      <c r="AE876" s="22"/>
      <c r="AF876" s="22"/>
      <c r="AG876" s="48" t="str">
        <f t="shared" si="80"/>
        <v/>
      </c>
      <c r="AH876" s="48" t="str">
        <f t="shared" si="81"/>
        <v/>
      </c>
      <c r="AI876" s="48" t="str">
        <f t="shared" si="82"/>
        <v/>
      </c>
      <c r="AJ876" s="40" t="str">
        <f t="shared" si="78"/>
        <v/>
      </c>
      <c r="AK876" s="40"/>
      <c r="AL876" s="40"/>
      <c r="AM876" s="22"/>
      <c r="AQ876" s="46"/>
    </row>
    <row r="877" spans="1:43" ht="17.399999999999999">
      <c r="A877" s="22"/>
      <c r="B877" s="22"/>
      <c r="C877" s="56"/>
      <c r="D877" s="56"/>
      <c r="E877" s="22"/>
      <c r="F877" s="22"/>
      <c r="G877" s="22"/>
      <c r="H877" s="22"/>
      <c r="I877" s="49"/>
      <c r="J877" s="50"/>
      <c r="K877" s="22"/>
      <c r="L877" s="22"/>
      <c r="M877" s="22"/>
      <c r="N877" s="22"/>
      <c r="O877" s="22"/>
      <c r="P877" s="46"/>
      <c r="Q877" s="40"/>
      <c r="R877" s="41"/>
      <c r="S877" s="22" t="str">
        <f t="shared" si="79"/>
        <v/>
      </c>
      <c r="T877" s="41"/>
      <c r="U877" s="41" t="str">
        <f t="shared" si="83"/>
        <v/>
      </c>
      <c r="V877" s="44"/>
      <c r="W877" s="44"/>
      <c r="X877" s="46"/>
      <c r="Y877" s="46"/>
      <c r="Z877" s="46"/>
      <c r="AA877" s="41"/>
      <c r="AB877" s="22"/>
      <c r="AC877" s="22"/>
      <c r="AD877" s="41"/>
      <c r="AE877" s="22"/>
      <c r="AF877" s="22"/>
      <c r="AG877" s="48" t="str">
        <f t="shared" si="80"/>
        <v/>
      </c>
      <c r="AH877" s="48" t="str">
        <f t="shared" si="81"/>
        <v/>
      </c>
      <c r="AI877" s="48" t="str">
        <f t="shared" si="82"/>
        <v/>
      </c>
      <c r="AJ877" s="40" t="str">
        <f t="shared" ref="AJ877:AJ940" si="84">IF(A877="","",R877+21)</f>
        <v/>
      </c>
      <c r="AK877" s="40"/>
      <c r="AL877" s="40"/>
      <c r="AM877" s="22"/>
      <c r="AQ877" s="46"/>
    </row>
    <row r="878" spans="1:43" ht="17.399999999999999">
      <c r="A878" s="22"/>
      <c r="B878" s="22"/>
      <c r="C878" s="56"/>
      <c r="D878" s="56"/>
      <c r="E878" s="22"/>
      <c r="F878" s="22"/>
      <c r="G878" s="22"/>
      <c r="H878" s="22"/>
      <c r="I878" s="49"/>
      <c r="J878" s="50"/>
      <c r="K878" s="22"/>
      <c r="L878" s="22"/>
      <c r="M878" s="22"/>
      <c r="N878" s="22"/>
      <c r="O878" s="22"/>
      <c r="P878" s="46"/>
      <c r="Q878" s="40"/>
      <c r="R878" s="41"/>
      <c r="S878" s="22" t="str">
        <f t="shared" si="79"/>
        <v/>
      </c>
      <c r="T878" s="41"/>
      <c r="U878" s="41" t="str">
        <f t="shared" si="83"/>
        <v/>
      </c>
      <c r="V878" s="44"/>
      <c r="W878" s="44"/>
      <c r="X878" s="46"/>
      <c r="Y878" s="46"/>
      <c r="Z878" s="46"/>
      <c r="AA878" s="41"/>
      <c r="AB878" s="22"/>
      <c r="AC878" s="22"/>
      <c r="AD878" s="41"/>
      <c r="AE878" s="22"/>
      <c r="AF878" s="22"/>
      <c r="AG878" s="48" t="str">
        <f t="shared" si="80"/>
        <v/>
      </c>
      <c r="AH878" s="48" t="str">
        <f t="shared" si="81"/>
        <v/>
      </c>
      <c r="AI878" s="48" t="str">
        <f t="shared" si="82"/>
        <v/>
      </c>
      <c r="AJ878" s="40" t="str">
        <f t="shared" si="84"/>
        <v/>
      </c>
      <c r="AK878" s="40"/>
      <c r="AL878" s="40"/>
      <c r="AM878" s="22"/>
      <c r="AQ878" s="46"/>
    </row>
    <row r="879" spans="1:43" ht="17.399999999999999">
      <c r="A879" s="22"/>
      <c r="B879" s="22"/>
      <c r="C879" s="56"/>
      <c r="D879" s="56"/>
      <c r="E879" s="22"/>
      <c r="F879" s="22"/>
      <c r="G879" s="22"/>
      <c r="H879" s="22"/>
      <c r="I879" s="49"/>
      <c r="J879" s="50"/>
      <c r="K879" s="22"/>
      <c r="L879" s="22"/>
      <c r="M879" s="22"/>
      <c r="N879" s="22"/>
      <c r="O879" s="22"/>
      <c r="P879" s="46"/>
      <c r="Q879" s="40"/>
      <c r="R879" s="41"/>
      <c r="S879" s="22" t="str">
        <f t="shared" si="79"/>
        <v/>
      </c>
      <c r="T879" s="41"/>
      <c r="U879" s="41" t="str">
        <f t="shared" si="83"/>
        <v/>
      </c>
      <c r="V879" s="44"/>
      <c r="W879" s="44"/>
      <c r="X879" s="46"/>
      <c r="Y879" s="46"/>
      <c r="Z879" s="46"/>
      <c r="AA879" s="41"/>
      <c r="AB879" s="22"/>
      <c r="AC879" s="22"/>
      <c r="AD879" s="41"/>
      <c r="AE879" s="22"/>
      <c r="AF879" s="22"/>
      <c r="AG879" s="48" t="str">
        <f t="shared" si="80"/>
        <v/>
      </c>
      <c r="AH879" s="48" t="str">
        <f t="shared" si="81"/>
        <v/>
      </c>
      <c r="AI879" s="48" t="str">
        <f t="shared" si="82"/>
        <v/>
      </c>
      <c r="AJ879" s="40" t="str">
        <f t="shared" si="84"/>
        <v/>
      </c>
      <c r="AK879" s="40"/>
      <c r="AL879" s="40"/>
      <c r="AM879" s="22"/>
      <c r="AQ879" s="46"/>
    </row>
    <row r="880" spans="1:43" ht="17.399999999999999">
      <c r="A880" s="22"/>
      <c r="B880" s="22"/>
      <c r="C880" s="56"/>
      <c r="D880" s="56"/>
      <c r="E880" s="22"/>
      <c r="F880" s="22"/>
      <c r="G880" s="22"/>
      <c r="H880" s="22"/>
      <c r="I880" s="49"/>
      <c r="J880" s="50"/>
      <c r="K880" s="22"/>
      <c r="L880" s="22"/>
      <c r="M880" s="22"/>
      <c r="N880" s="22"/>
      <c r="O880" s="22"/>
      <c r="P880" s="46"/>
      <c r="Q880" s="40"/>
      <c r="R880" s="41"/>
      <c r="S880" s="22" t="str">
        <f t="shared" si="79"/>
        <v/>
      </c>
      <c r="T880" s="41"/>
      <c r="U880" s="41" t="str">
        <f t="shared" si="83"/>
        <v/>
      </c>
      <c r="V880" s="44"/>
      <c r="W880" s="44"/>
      <c r="X880" s="46"/>
      <c r="Y880" s="46"/>
      <c r="Z880" s="46"/>
      <c r="AA880" s="41"/>
      <c r="AB880" s="22"/>
      <c r="AC880" s="22"/>
      <c r="AD880" s="41"/>
      <c r="AE880" s="22"/>
      <c r="AF880" s="22"/>
      <c r="AG880" s="48" t="str">
        <f t="shared" si="80"/>
        <v/>
      </c>
      <c r="AH880" s="48" t="str">
        <f t="shared" si="81"/>
        <v/>
      </c>
      <c r="AI880" s="48" t="str">
        <f t="shared" si="82"/>
        <v/>
      </c>
      <c r="AJ880" s="40" t="str">
        <f t="shared" si="84"/>
        <v/>
      </c>
      <c r="AK880" s="40"/>
      <c r="AL880" s="40"/>
      <c r="AM880" s="22"/>
      <c r="AQ880" s="46"/>
    </row>
    <row r="881" spans="1:43" ht="17.399999999999999">
      <c r="A881" s="22"/>
      <c r="B881" s="22"/>
      <c r="C881" s="56"/>
      <c r="D881" s="56"/>
      <c r="E881" s="22"/>
      <c r="F881" s="22"/>
      <c r="G881" s="22"/>
      <c r="H881" s="22"/>
      <c r="I881" s="49"/>
      <c r="J881" s="50"/>
      <c r="K881" s="22"/>
      <c r="L881" s="22"/>
      <c r="M881" s="22"/>
      <c r="N881" s="22"/>
      <c r="O881" s="22"/>
      <c r="P881" s="46"/>
      <c r="Q881" s="40"/>
      <c r="R881" s="41"/>
      <c r="S881" s="22" t="str">
        <f t="shared" si="79"/>
        <v/>
      </c>
      <c r="T881" s="41"/>
      <c r="U881" s="41" t="str">
        <f t="shared" si="83"/>
        <v/>
      </c>
      <c r="V881" s="44"/>
      <c r="W881" s="44"/>
      <c r="X881" s="46"/>
      <c r="Y881" s="46"/>
      <c r="Z881" s="46"/>
      <c r="AA881" s="41"/>
      <c r="AB881" s="22"/>
      <c r="AC881" s="22"/>
      <c r="AD881" s="41"/>
      <c r="AE881" s="22"/>
      <c r="AF881" s="22"/>
      <c r="AG881" s="48" t="str">
        <f t="shared" si="80"/>
        <v/>
      </c>
      <c r="AH881" s="48" t="str">
        <f t="shared" si="81"/>
        <v/>
      </c>
      <c r="AI881" s="48" t="str">
        <f t="shared" si="82"/>
        <v/>
      </c>
      <c r="AJ881" s="40" t="str">
        <f t="shared" si="84"/>
        <v/>
      </c>
      <c r="AK881" s="40"/>
      <c r="AL881" s="40"/>
      <c r="AM881" s="22"/>
      <c r="AQ881" s="46"/>
    </row>
    <row r="882" spans="1:43" ht="17.399999999999999">
      <c r="A882" s="22"/>
      <c r="B882" s="22"/>
      <c r="C882" s="56"/>
      <c r="D882" s="56"/>
      <c r="E882" s="22"/>
      <c r="F882" s="22"/>
      <c r="G882" s="22"/>
      <c r="H882" s="22"/>
      <c r="I882" s="49"/>
      <c r="J882" s="50"/>
      <c r="K882" s="22"/>
      <c r="L882" s="22"/>
      <c r="M882" s="22"/>
      <c r="N882" s="22"/>
      <c r="O882" s="22"/>
      <c r="P882" s="46"/>
      <c r="Q882" s="40"/>
      <c r="R882" s="41"/>
      <c r="S882" s="22" t="str">
        <f t="shared" si="79"/>
        <v/>
      </c>
      <c r="T882" s="41"/>
      <c r="U882" s="41" t="str">
        <f t="shared" si="83"/>
        <v/>
      </c>
      <c r="V882" s="44"/>
      <c r="W882" s="44"/>
      <c r="X882" s="46"/>
      <c r="Y882" s="46"/>
      <c r="Z882" s="46"/>
      <c r="AA882" s="41"/>
      <c r="AB882" s="22"/>
      <c r="AC882" s="22"/>
      <c r="AD882" s="41"/>
      <c r="AE882" s="22"/>
      <c r="AF882" s="22"/>
      <c r="AG882" s="48" t="str">
        <f t="shared" si="80"/>
        <v/>
      </c>
      <c r="AH882" s="48" t="str">
        <f t="shared" si="81"/>
        <v/>
      </c>
      <c r="AI882" s="48" t="str">
        <f t="shared" si="82"/>
        <v/>
      </c>
      <c r="AJ882" s="40" t="str">
        <f t="shared" si="84"/>
        <v/>
      </c>
      <c r="AK882" s="40"/>
      <c r="AL882" s="40"/>
      <c r="AM882" s="22"/>
      <c r="AQ882" s="46"/>
    </row>
    <row r="883" spans="1:43" ht="17.399999999999999">
      <c r="A883" s="22"/>
      <c r="B883" s="22"/>
      <c r="C883" s="56"/>
      <c r="D883" s="56"/>
      <c r="E883" s="22"/>
      <c r="F883" s="22"/>
      <c r="G883" s="22"/>
      <c r="H883" s="22"/>
      <c r="I883" s="49"/>
      <c r="J883" s="50"/>
      <c r="K883" s="22"/>
      <c r="L883" s="22"/>
      <c r="M883" s="22"/>
      <c r="N883" s="22"/>
      <c r="O883" s="22"/>
      <c r="P883" s="46"/>
      <c r="Q883" s="40"/>
      <c r="R883" s="41"/>
      <c r="S883" s="22" t="str">
        <f t="shared" si="79"/>
        <v/>
      </c>
      <c r="T883" s="41"/>
      <c r="U883" s="41" t="str">
        <f t="shared" si="83"/>
        <v/>
      </c>
      <c r="V883" s="44"/>
      <c r="W883" s="44"/>
      <c r="X883" s="46"/>
      <c r="Y883" s="46"/>
      <c r="Z883" s="46"/>
      <c r="AA883" s="41"/>
      <c r="AB883" s="22"/>
      <c r="AC883" s="22"/>
      <c r="AD883" s="41"/>
      <c r="AE883" s="22"/>
      <c r="AF883" s="22"/>
      <c r="AG883" s="48" t="str">
        <f t="shared" si="80"/>
        <v/>
      </c>
      <c r="AH883" s="48" t="str">
        <f t="shared" si="81"/>
        <v/>
      </c>
      <c r="AI883" s="48" t="str">
        <f t="shared" si="82"/>
        <v/>
      </c>
      <c r="AJ883" s="40" t="str">
        <f t="shared" si="84"/>
        <v/>
      </c>
      <c r="AK883" s="40"/>
      <c r="AL883" s="40"/>
      <c r="AM883" s="22"/>
      <c r="AQ883" s="46"/>
    </row>
    <row r="884" spans="1:43" ht="17.399999999999999">
      <c r="A884" s="22"/>
      <c r="B884" s="22"/>
      <c r="C884" s="56"/>
      <c r="D884" s="56"/>
      <c r="E884" s="22"/>
      <c r="F884" s="22"/>
      <c r="G884" s="22"/>
      <c r="H884" s="22"/>
      <c r="I884" s="49"/>
      <c r="J884" s="50"/>
      <c r="K884" s="22"/>
      <c r="L884" s="22"/>
      <c r="M884" s="22"/>
      <c r="N884" s="22"/>
      <c r="O884" s="22"/>
      <c r="P884" s="46"/>
      <c r="Q884" s="40"/>
      <c r="R884" s="41"/>
      <c r="S884" s="22" t="str">
        <f t="shared" si="79"/>
        <v/>
      </c>
      <c r="T884" s="41"/>
      <c r="U884" s="41" t="str">
        <f t="shared" si="83"/>
        <v/>
      </c>
      <c r="V884" s="44"/>
      <c r="W884" s="44"/>
      <c r="X884" s="46"/>
      <c r="Y884" s="46"/>
      <c r="Z884" s="46"/>
      <c r="AA884" s="41"/>
      <c r="AB884" s="22"/>
      <c r="AC884" s="22"/>
      <c r="AD884" s="41"/>
      <c r="AE884" s="22"/>
      <c r="AF884" s="22"/>
      <c r="AG884" s="48" t="str">
        <f t="shared" si="80"/>
        <v/>
      </c>
      <c r="AH884" s="48" t="str">
        <f t="shared" si="81"/>
        <v/>
      </c>
      <c r="AI884" s="48" t="str">
        <f t="shared" si="82"/>
        <v/>
      </c>
      <c r="AJ884" s="40" t="str">
        <f t="shared" si="84"/>
        <v/>
      </c>
      <c r="AK884" s="40"/>
      <c r="AL884" s="40"/>
      <c r="AM884" s="22"/>
      <c r="AQ884" s="46"/>
    </row>
    <row r="885" spans="1:43" ht="17.399999999999999">
      <c r="A885" s="22"/>
      <c r="B885" s="22"/>
      <c r="C885" s="56"/>
      <c r="D885" s="56"/>
      <c r="E885" s="22"/>
      <c r="F885" s="22"/>
      <c r="G885" s="22"/>
      <c r="H885" s="22"/>
      <c r="I885" s="49"/>
      <c r="J885" s="50"/>
      <c r="K885" s="22"/>
      <c r="L885" s="22"/>
      <c r="M885" s="22"/>
      <c r="N885" s="22"/>
      <c r="O885" s="22"/>
      <c r="P885" s="46"/>
      <c r="Q885" s="40"/>
      <c r="R885" s="41"/>
      <c r="S885" s="22" t="str">
        <f t="shared" si="79"/>
        <v/>
      </c>
      <c r="T885" s="41"/>
      <c r="U885" s="41" t="str">
        <f t="shared" si="83"/>
        <v/>
      </c>
      <c r="V885" s="44"/>
      <c r="W885" s="44"/>
      <c r="X885" s="46"/>
      <c r="Y885" s="46"/>
      <c r="Z885" s="46"/>
      <c r="AA885" s="41"/>
      <c r="AB885" s="22"/>
      <c r="AC885" s="22"/>
      <c r="AD885" s="41"/>
      <c r="AE885" s="22"/>
      <c r="AF885" s="22"/>
      <c r="AG885" s="48" t="str">
        <f t="shared" si="80"/>
        <v/>
      </c>
      <c r="AH885" s="48" t="str">
        <f t="shared" si="81"/>
        <v/>
      </c>
      <c r="AI885" s="48" t="str">
        <f t="shared" si="82"/>
        <v/>
      </c>
      <c r="AJ885" s="40" t="str">
        <f t="shared" si="84"/>
        <v/>
      </c>
      <c r="AK885" s="40"/>
      <c r="AL885" s="40"/>
      <c r="AM885" s="22"/>
      <c r="AQ885" s="46"/>
    </row>
    <row r="886" spans="1:43" ht="17.399999999999999">
      <c r="A886" s="22"/>
      <c r="B886" s="22"/>
      <c r="C886" s="56"/>
      <c r="D886" s="56"/>
      <c r="E886" s="22"/>
      <c r="F886" s="22"/>
      <c r="G886" s="22"/>
      <c r="H886" s="22"/>
      <c r="I886" s="49"/>
      <c r="J886" s="50"/>
      <c r="K886" s="22"/>
      <c r="L886" s="22"/>
      <c r="M886" s="22"/>
      <c r="N886" s="22"/>
      <c r="O886" s="22"/>
      <c r="P886" s="46"/>
      <c r="Q886" s="40"/>
      <c r="R886" s="41"/>
      <c r="S886" s="22" t="str">
        <f t="shared" si="79"/>
        <v/>
      </c>
      <c r="T886" s="41"/>
      <c r="U886" s="41" t="str">
        <f t="shared" si="83"/>
        <v/>
      </c>
      <c r="V886" s="44"/>
      <c r="W886" s="44"/>
      <c r="X886" s="46"/>
      <c r="Y886" s="46"/>
      <c r="Z886" s="46"/>
      <c r="AA886" s="41"/>
      <c r="AB886" s="22"/>
      <c r="AC886" s="22"/>
      <c r="AD886" s="41"/>
      <c r="AE886" s="22"/>
      <c r="AF886" s="22"/>
      <c r="AG886" s="48" t="str">
        <f t="shared" si="80"/>
        <v/>
      </c>
      <c r="AH886" s="48" t="str">
        <f t="shared" si="81"/>
        <v/>
      </c>
      <c r="AI886" s="48" t="str">
        <f t="shared" si="82"/>
        <v/>
      </c>
      <c r="AJ886" s="40" t="str">
        <f t="shared" si="84"/>
        <v/>
      </c>
      <c r="AK886" s="40"/>
      <c r="AL886" s="40"/>
      <c r="AM886" s="22"/>
      <c r="AQ886" s="46"/>
    </row>
    <row r="887" spans="1:43" ht="17.399999999999999">
      <c r="A887" s="22"/>
      <c r="B887" s="22"/>
      <c r="C887" s="56"/>
      <c r="D887" s="56"/>
      <c r="E887" s="22"/>
      <c r="F887" s="22"/>
      <c r="G887" s="22"/>
      <c r="H887" s="22"/>
      <c r="I887" s="49"/>
      <c r="J887" s="50"/>
      <c r="K887" s="22"/>
      <c r="L887" s="22"/>
      <c r="M887" s="22"/>
      <c r="N887" s="22"/>
      <c r="O887" s="22"/>
      <c r="P887" s="46"/>
      <c r="Q887" s="40"/>
      <c r="R887" s="41"/>
      <c r="S887" s="22" t="str">
        <f t="shared" si="79"/>
        <v/>
      </c>
      <c r="T887" s="41"/>
      <c r="U887" s="41" t="str">
        <f t="shared" si="83"/>
        <v/>
      </c>
      <c r="V887" s="44"/>
      <c r="W887" s="44"/>
      <c r="X887" s="46"/>
      <c r="Y887" s="46"/>
      <c r="Z887" s="46"/>
      <c r="AA887" s="41"/>
      <c r="AB887" s="22"/>
      <c r="AC887" s="22"/>
      <c r="AD887" s="41"/>
      <c r="AE887" s="22"/>
      <c r="AF887" s="22"/>
      <c r="AG887" s="48" t="str">
        <f t="shared" si="80"/>
        <v/>
      </c>
      <c r="AH887" s="48" t="str">
        <f t="shared" si="81"/>
        <v/>
      </c>
      <c r="AI887" s="48" t="str">
        <f t="shared" si="82"/>
        <v/>
      </c>
      <c r="AJ887" s="40" t="str">
        <f t="shared" si="84"/>
        <v/>
      </c>
      <c r="AK887" s="40"/>
      <c r="AL887" s="40"/>
      <c r="AM887" s="22"/>
      <c r="AQ887" s="46"/>
    </row>
    <row r="888" spans="1:43" ht="17.399999999999999">
      <c r="A888" s="22"/>
      <c r="B888" s="22"/>
      <c r="C888" s="56"/>
      <c r="D888" s="56"/>
      <c r="E888" s="22"/>
      <c r="F888" s="22"/>
      <c r="G888" s="22"/>
      <c r="H888" s="22"/>
      <c r="I888" s="49"/>
      <c r="J888" s="50"/>
      <c r="K888" s="22"/>
      <c r="L888" s="22"/>
      <c r="M888" s="22"/>
      <c r="N888" s="22"/>
      <c r="O888" s="22"/>
      <c r="P888" s="46"/>
      <c r="Q888" s="40"/>
      <c r="R888" s="41"/>
      <c r="S888" s="22" t="str">
        <f t="shared" si="79"/>
        <v/>
      </c>
      <c r="T888" s="41"/>
      <c r="U888" s="41" t="str">
        <f t="shared" si="83"/>
        <v/>
      </c>
      <c r="V888" s="44"/>
      <c r="W888" s="44"/>
      <c r="X888" s="46"/>
      <c r="Y888" s="46"/>
      <c r="Z888" s="46"/>
      <c r="AA888" s="41"/>
      <c r="AB888" s="22"/>
      <c r="AC888" s="22"/>
      <c r="AD888" s="41"/>
      <c r="AE888" s="22"/>
      <c r="AF888" s="22"/>
      <c r="AG888" s="48" t="str">
        <f t="shared" si="80"/>
        <v/>
      </c>
      <c r="AH888" s="48" t="str">
        <f t="shared" si="81"/>
        <v/>
      </c>
      <c r="AI888" s="48" t="str">
        <f t="shared" si="82"/>
        <v/>
      </c>
      <c r="AJ888" s="40" t="str">
        <f t="shared" si="84"/>
        <v/>
      </c>
      <c r="AK888" s="40"/>
      <c r="AL888" s="40"/>
      <c r="AM888" s="22"/>
      <c r="AQ888" s="46"/>
    </row>
    <row r="889" spans="1:43" ht="17.399999999999999">
      <c r="A889" s="22"/>
      <c r="B889" s="22"/>
      <c r="C889" s="56"/>
      <c r="D889" s="56"/>
      <c r="E889" s="22"/>
      <c r="F889" s="22"/>
      <c r="G889" s="22"/>
      <c r="H889" s="22"/>
      <c r="I889" s="49"/>
      <c r="J889" s="50"/>
      <c r="K889" s="22"/>
      <c r="L889" s="22"/>
      <c r="M889" s="22"/>
      <c r="N889" s="22"/>
      <c r="O889" s="22"/>
      <c r="P889" s="46"/>
      <c r="Q889" s="40"/>
      <c r="R889" s="41"/>
      <c r="S889" s="22" t="str">
        <f t="shared" si="79"/>
        <v/>
      </c>
      <c r="T889" s="41"/>
      <c r="U889" s="41" t="str">
        <f t="shared" si="83"/>
        <v/>
      </c>
      <c r="V889" s="44"/>
      <c r="W889" s="44"/>
      <c r="X889" s="46"/>
      <c r="Y889" s="46"/>
      <c r="Z889" s="46"/>
      <c r="AA889" s="41"/>
      <c r="AB889" s="22"/>
      <c r="AC889" s="22"/>
      <c r="AD889" s="41"/>
      <c r="AE889" s="22"/>
      <c r="AF889" s="22"/>
      <c r="AG889" s="48" t="str">
        <f t="shared" si="80"/>
        <v/>
      </c>
      <c r="AH889" s="48" t="str">
        <f t="shared" si="81"/>
        <v/>
      </c>
      <c r="AI889" s="48" t="str">
        <f t="shared" si="82"/>
        <v/>
      </c>
      <c r="AJ889" s="40" t="str">
        <f t="shared" si="84"/>
        <v/>
      </c>
      <c r="AK889" s="40"/>
      <c r="AL889" s="40"/>
      <c r="AM889" s="22"/>
      <c r="AQ889" s="46"/>
    </row>
    <row r="890" spans="1:43" ht="17.399999999999999">
      <c r="A890" s="22"/>
      <c r="B890" s="22"/>
      <c r="C890" s="56"/>
      <c r="D890" s="56"/>
      <c r="E890" s="22"/>
      <c r="F890" s="22"/>
      <c r="G890" s="22"/>
      <c r="H890" s="22"/>
      <c r="I890" s="49"/>
      <c r="J890" s="50"/>
      <c r="K890" s="22"/>
      <c r="L890" s="22"/>
      <c r="M890" s="22"/>
      <c r="N890" s="22"/>
      <c r="O890" s="22"/>
      <c r="P890" s="46"/>
      <c r="Q890" s="40"/>
      <c r="R890" s="41"/>
      <c r="S890" s="22" t="str">
        <f t="shared" si="79"/>
        <v/>
      </c>
      <c r="T890" s="41"/>
      <c r="U890" s="41" t="str">
        <f t="shared" si="83"/>
        <v/>
      </c>
      <c r="V890" s="44"/>
      <c r="W890" s="44"/>
      <c r="X890" s="46"/>
      <c r="Y890" s="46"/>
      <c r="Z890" s="46"/>
      <c r="AA890" s="41"/>
      <c r="AB890" s="22"/>
      <c r="AC890" s="22"/>
      <c r="AD890" s="41"/>
      <c r="AE890" s="22"/>
      <c r="AF890" s="22"/>
      <c r="AG890" s="48" t="str">
        <f t="shared" si="80"/>
        <v/>
      </c>
      <c r="AH890" s="48" t="str">
        <f t="shared" si="81"/>
        <v/>
      </c>
      <c r="AI890" s="48" t="str">
        <f t="shared" si="82"/>
        <v/>
      </c>
      <c r="AJ890" s="40" t="str">
        <f t="shared" si="84"/>
        <v/>
      </c>
      <c r="AK890" s="40"/>
      <c r="AL890" s="40"/>
      <c r="AM890" s="22"/>
      <c r="AQ890" s="46"/>
    </row>
    <row r="891" spans="1:43" ht="17.399999999999999">
      <c r="A891" s="22"/>
      <c r="B891" s="22"/>
      <c r="C891" s="56"/>
      <c r="D891" s="56"/>
      <c r="E891" s="22"/>
      <c r="F891" s="22"/>
      <c r="G891" s="22"/>
      <c r="H891" s="22"/>
      <c r="I891" s="49"/>
      <c r="J891" s="50"/>
      <c r="K891" s="22"/>
      <c r="L891" s="22"/>
      <c r="M891" s="22"/>
      <c r="N891" s="22"/>
      <c r="O891" s="22"/>
      <c r="P891" s="46"/>
      <c r="Q891" s="40"/>
      <c r="R891" s="41"/>
      <c r="S891" s="22" t="str">
        <f t="shared" si="79"/>
        <v/>
      </c>
      <c r="T891" s="41"/>
      <c r="U891" s="41" t="str">
        <f t="shared" si="83"/>
        <v/>
      </c>
      <c r="V891" s="44"/>
      <c r="W891" s="44"/>
      <c r="X891" s="46"/>
      <c r="Y891" s="46"/>
      <c r="Z891" s="46"/>
      <c r="AA891" s="41"/>
      <c r="AB891" s="22"/>
      <c r="AC891" s="22"/>
      <c r="AD891" s="41"/>
      <c r="AE891" s="22"/>
      <c r="AF891" s="22"/>
      <c r="AG891" s="48" t="str">
        <f t="shared" si="80"/>
        <v/>
      </c>
      <c r="AH891" s="48" t="str">
        <f t="shared" si="81"/>
        <v/>
      </c>
      <c r="AI891" s="48" t="str">
        <f t="shared" si="82"/>
        <v/>
      </c>
      <c r="AJ891" s="40" t="str">
        <f t="shared" si="84"/>
        <v/>
      </c>
      <c r="AK891" s="40"/>
      <c r="AL891" s="40"/>
      <c r="AM891" s="22"/>
      <c r="AQ891" s="46"/>
    </row>
    <row r="892" spans="1:43" ht="17.399999999999999">
      <c r="A892" s="22"/>
      <c r="B892" s="22"/>
      <c r="C892" s="56"/>
      <c r="D892" s="56"/>
      <c r="E892" s="22"/>
      <c r="F892" s="22"/>
      <c r="G892" s="22"/>
      <c r="H892" s="22"/>
      <c r="I892" s="49"/>
      <c r="J892" s="50"/>
      <c r="K892" s="22"/>
      <c r="L892" s="22"/>
      <c r="M892" s="22"/>
      <c r="N892" s="22"/>
      <c r="O892" s="22"/>
      <c r="P892" s="46"/>
      <c r="Q892" s="40"/>
      <c r="R892" s="41"/>
      <c r="S892" s="22" t="str">
        <f t="shared" si="79"/>
        <v/>
      </c>
      <c r="T892" s="41"/>
      <c r="U892" s="41" t="str">
        <f t="shared" si="83"/>
        <v/>
      </c>
      <c r="V892" s="44"/>
      <c r="W892" s="44"/>
      <c r="X892" s="46"/>
      <c r="Y892" s="46"/>
      <c r="Z892" s="46"/>
      <c r="AA892" s="41"/>
      <c r="AB892" s="22"/>
      <c r="AC892" s="22"/>
      <c r="AD892" s="41"/>
      <c r="AE892" s="22"/>
      <c r="AF892" s="22"/>
      <c r="AG892" s="48" t="str">
        <f t="shared" si="80"/>
        <v/>
      </c>
      <c r="AH892" s="48" t="str">
        <f t="shared" si="81"/>
        <v/>
      </c>
      <c r="AI892" s="48" t="str">
        <f t="shared" si="82"/>
        <v/>
      </c>
      <c r="AJ892" s="40" t="str">
        <f t="shared" si="84"/>
        <v/>
      </c>
      <c r="AK892" s="40"/>
      <c r="AL892" s="40"/>
      <c r="AM892" s="22"/>
      <c r="AQ892" s="46"/>
    </row>
    <row r="893" spans="1:43" ht="17.399999999999999">
      <c r="A893" s="22"/>
      <c r="B893" s="22"/>
      <c r="C893" s="56"/>
      <c r="D893" s="56"/>
      <c r="E893" s="22"/>
      <c r="F893" s="22"/>
      <c r="G893" s="22"/>
      <c r="H893" s="22"/>
      <c r="I893" s="49"/>
      <c r="J893" s="50"/>
      <c r="K893" s="22"/>
      <c r="L893" s="22"/>
      <c r="M893" s="22"/>
      <c r="N893" s="22"/>
      <c r="O893" s="22"/>
      <c r="P893" s="46"/>
      <c r="Q893" s="40"/>
      <c r="R893" s="41"/>
      <c r="S893" s="22" t="str">
        <f t="shared" si="79"/>
        <v/>
      </c>
      <c r="T893" s="41"/>
      <c r="U893" s="41" t="str">
        <f t="shared" si="83"/>
        <v/>
      </c>
      <c r="V893" s="44"/>
      <c r="W893" s="44"/>
      <c r="X893" s="46"/>
      <c r="Y893" s="46"/>
      <c r="Z893" s="46"/>
      <c r="AA893" s="41"/>
      <c r="AB893" s="22"/>
      <c r="AC893" s="22"/>
      <c r="AD893" s="41"/>
      <c r="AE893" s="22"/>
      <c r="AF893" s="22"/>
      <c r="AG893" s="48" t="str">
        <f t="shared" si="80"/>
        <v/>
      </c>
      <c r="AH893" s="48" t="str">
        <f t="shared" si="81"/>
        <v/>
      </c>
      <c r="AI893" s="48" t="str">
        <f t="shared" si="82"/>
        <v/>
      </c>
      <c r="AJ893" s="40" t="str">
        <f t="shared" si="84"/>
        <v/>
      </c>
      <c r="AK893" s="40"/>
      <c r="AL893" s="40"/>
      <c r="AM893" s="22"/>
      <c r="AQ893" s="46"/>
    </row>
    <row r="894" spans="1:43" ht="17.399999999999999">
      <c r="A894" s="22"/>
      <c r="B894" s="22"/>
      <c r="C894" s="56"/>
      <c r="D894" s="56"/>
      <c r="E894" s="22"/>
      <c r="F894" s="22"/>
      <c r="G894" s="22"/>
      <c r="H894" s="22"/>
      <c r="I894" s="49"/>
      <c r="J894" s="50"/>
      <c r="K894" s="22"/>
      <c r="L894" s="22"/>
      <c r="M894" s="22"/>
      <c r="N894" s="22"/>
      <c r="O894" s="22"/>
      <c r="P894" s="46"/>
      <c r="Q894" s="40"/>
      <c r="R894" s="41"/>
      <c r="S894" s="22" t="str">
        <f t="shared" si="79"/>
        <v/>
      </c>
      <c r="T894" s="41"/>
      <c r="U894" s="41" t="str">
        <f t="shared" si="83"/>
        <v/>
      </c>
      <c r="V894" s="44"/>
      <c r="W894" s="44"/>
      <c r="X894" s="46"/>
      <c r="Y894" s="46"/>
      <c r="Z894" s="46"/>
      <c r="AA894" s="41"/>
      <c r="AB894" s="22"/>
      <c r="AC894" s="22"/>
      <c r="AD894" s="41"/>
      <c r="AE894" s="22"/>
      <c r="AF894" s="22"/>
      <c r="AG894" s="48" t="str">
        <f t="shared" si="80"/>
        <v/>
      </c>
      <c r="AH894" s="48" t="str">
        <f t="shared" si="81"/>
        <v/>
      </c>
      <c r="AI894" s="48" t="str">
        <f t="shared" si="82"/>
        <v/>
      </c>
      <c r="AJ894" s="40" t="str">
        <f t="shared" si="84"/>
        <v/>
      </c>
      <c r="AK894" s="40"/>
      <c r="AL894" s="40"/>
      <c r="AM894" s="22"/>
      <c r="AQ894" s="46"/>
    </row>
    <row r="895" spans="1:43" ht="17.399999999999999">
      <c r="A895" s="22"/>
      <c r="B895" s="22"/>
      <c r="C895" s="56"/>
      <c r="D895" s="56"/>
      <c r="E895" s="22"/>
      <c r="F895" s="22"/>
      <c r="G895" s="22"/>
      <c r="H895" s="22"/>
      <c r="I895" s="49"/>
      <c r="J895" s="50"/>
      <c r="K895" s="22"/>
      <c r="L895" s="22"/>
      <c r="M895" s="22"/>
      <c r="N895" s="22"/>
      <c r="O895" s="22"/>
      <c r="P895" s="46"/>
      <c r="Q895" s="40"/>
      <c r="R895" s="41"/>
      <c r="S895" s="22" t="str">
        <f t="shared" si="79"/>
        <v/>
      </c>
      <c r="T895" s="41"/>
      <c r="U895" s="41" t="str">
        <f t="shared" si="83"/>
        <v/>
      </c>
      <c r="V895" s="44"/>
      <c r="W895" s="44"/>
      <c r="X895" s="46"/>
      <c r="Y895" s="46"/>
      <c r="Z895" s="46"/>
      <c r="AA895" s="41"/>
      <c r="AB895" s="22"/>
      <c r="AC895" s="22"/>
      <c r="AD895" s="41"/>
      <c r="AE895" s="22"/>
      <c r="AF895" s="22"/>
      <c r="AG895" s="48" t="str">
        <f t="shared" si="80"/>
        <v/>
      </c>
      <c r="AH895" s="48" t="str">
        <f t="shared" si="81"/>
        <v/>
      </c>
      <c r="AI895" s="48" t="str">
        <f t="shared" si="82"/>
        <v/>
      </c>
      <c r="AJ895" s="40" t="str">
        <f t="shared" si="84"/>
        <v/>
      </c>
      <c r="AK895" s="40"/>
      <c r="AL895" s="40"/>
      <c r="AM895" s="22"/>
      <c r="AQ895" s="46"/>
    </row>
    <row r="896" spans="1:43" ht="17.399999999999999">
      <c r="A896" s="22"/>
      <c r="B896" s="22"/>
      <c r="C896" s="56"/>
      <c r="D896" s="56"/>
      <c r="E896" s="22"/>
      <c r="F896" s="22"/>
      <c r="G896" s="22"/>
      <c r="H896" s="22"/>
      <c r="I896" s="49"/>
      <c r="J896" s="50"/>
      <c r="K896" s="22"/>
      <c r="L896" s="22"/>
      <c r="M896" s="22"/>
      <c r="N896" s="22"/>
      <c r="O896" s="22"/>
      <c r="P896" s="46"/>
      <c r="Q896" s="40"/>
      <c r="R896" s="41"/>
      <c r="S896" s="22" t="str">
        <f t="shared" si="79"/>
        <v/>
      </c>
      <c r="T896" s="41"/>
      <c r="U896" s="41" t="str">
        <f t="shared" si="83"/>
        <v/>
      </c>
      <c r="V896" s="44"/>
      <c r="W896" s="44"/>
      <c r="X896" s="46"/>
      <c r="Y896" s="46"/>
      <c r="Z896" s="46"/>
      <c r="AA896" s="41"/>
      <c r="AB896" s="22"/>
      <c r="AC896" s="22"/>
      <c r="AD896" s="41"/>
      <c r="AE896" s="22"/>
      <c r="AF896" s="22"/>
      <c r="AG896" s="48" t="str">
        <f t="shared" si="80"/>
        <v/>
      </c>
      <c r="AH896" s="48" t="str">
        <f t="shared" si="81"/>
        <v/>
      </c>
      <c r="AI896" s="48" t="str">
        <f t="shared" si="82"/>
        <v/>
      </c>
      <c r="AJ896" s="40" t="str">
        <f t="shared" si="84"/>
        <v/>
      </c>
      <c r="AK896" s="40"/>
      <c r="AL896" s="40"/>
      <c r="AM896" s="22"/>
      <c r="AQ896" s="46"/>
    </row>
    <row r="897" spans="1:43" ht="17.399999999999999">
      <c r="A897" s="22"/>
      <c r="B897" s="22"/>
      <c r="C897" s="56"/>
      <c r="D897" s="56"/>
      <c r="E897" s="22"/>
      <c r="F897" s="22"/>
      <c r="G897" s="22"/>
      <c r="H897" s="22"/>
      <c r="I897" s="49"/>
      <c r="J897" s="50"/>
      <c r="K897" s="22"/>
      <c r="L897" s="22"/>
      <c r="M897" s="22"/>
      <c r="N897" s="22"/>
      <c r="O897" s="22"/>
      <c r="P897" s="46"/>
      <c r="Q897" s="40"/>
      <c r="R897" s="41"/>
      <c r="S897" s="22" t="str">
        <f t="shared" si="79"/>
        <v/>
      </c>
      <c r="T897" s="41"/>
      <c r="U897" s="41" t="str">
        <f t="shared" si="83"/>
        <v/>
      </c>
      <c r="V897" s="44"/>
      <c r="W897" s="44"/>
      <c r="X897" s="46"/>
      <c r="Y897" s="46"/>
      <c r="Z897" s="46"/>
      <c r="AA897" s="41"/>
      <c r="AB897" s="22"/>
      <c r="AC897" s="22"/>
      <c r="AD897" s="41"/>
      <c r="AE897" s="22"/>
      <c r="AF897" s="22"/>
      <c r="AG897" s="48" t="str">
        <f t="shared" si="80"/>
        <v/>
      </c>
      <c r="AH897" s="48" t="str">
        <f t="shared" si="81"/>
        <v/>
      </c>
      <c r="AI897" s="48" t="str">
        <f t="shared" si="82"/>
        <v/>
      </c>
      <c r="AJ897" s="40" t="str">
        <f t="shared" si="84"/>
        <v/>
      </c>
      <c r="AK897" s="40"/>
      <c r="AL897" s="40"/>
      <c r="AM897" s="22"/>
      <c r="AQ897" s="46"/>
    </row>
    <row r="898" spans="1:43" ht="17.399999999999999">
      <c r="A898" s="22"/>
      <c r="B898" s="22"/>
      <c r="C898" s="56"/>
      <c r="D898" s="56"/>
      <c r="E898" s="22"/>
      <c r="F898" s="22"/>
      <c r="G898" s="22"/>
      <c r="H898" s="22"/>
      <c r="I898" s="49"/>
      <c r="J898" s="50"/>
      <c r="K898" s="22"/>
      <c r="L898" s="22"/>
      <c r="M898" s="22"/>
      <c r="N898" s="22"/>
      <c r="O898" s="22"/>
      <c r="P898" s="46"/>
      <c r="Q898" s="40"/>
      <c r="R898" s="41"/>
      <c r="S898" s="22" t="str">
        <f t="shared" si="79"/>
        <v/>
      </c>
      <c r="T898" s="41"/>
      <c r="U898" s="41" t="str">
        <f t="shared" si="83"/>
        <v/>
      </c>
      <c r="V898" s="44"/>
      <c r="W898" s="44"/>
      <c r="X898" s="46"/>
      <c r="Y898" s="46"/>
      <c r="Z898" s="46"/>
      <c r="AA898" s="41"/>
      <c r="AB898" s="22"/>
      <c r="AC898" s="22"/>
      <c r="AD898" s="41"/>
      <c r="AE898" s="22"/>
      <c r="AF898" s="22"/>
      <c r="AG898" s="48" t="str">
        <f t="shared" si="80"/>
        <v/>
      </c>
      <c r="AH898" s="48" t="str">
        <f t="shared" si="81"/>
        <v/>
      </c>
      <c r="AI898" s="48" t="str">
        <f t="shared" si="82"/>
        <v/>
      </c>
      <c r="AJ898" s="40" t="str">
        <f t="shared" si="84"/>
        <v/>
      </c>
      <c r="AK898" s="40"/>
      <c r="AL898" s="40"/>
      <c r="AM898" s="22"/>
      <c r="AQ898" s="46"/>
    </row>
    <row r="899" spans="1:43" ht="17.399999999999999">
      <c r="A899" s="22"/>
      <c r="B899" s="22"/>
      <c r="C899" s="56"/>
      <c r="D899" s="56"/>
      <c r="E899" s="22"/>
      <c r="F899" s="22"/>
      <c r="G899" s="22"/>
      <c r="H899" s="22"/>
      <c r="I899" s="49"/>
      <c r="J899" s="50"/>
      <c r="K899" s="22"/>
      <c r="L899" s="22"/>
      <c r="M899" s="22"/>
      <c r="N899" s="22"/>
      <c r="O899" s="22"/>
      <c r="P899" s="46"/>
      <c r="Q899" s="40"/>
      <c r="R899" s="41"/>
      <c r="S899" s="22" t="str">
        <f t="shared" ref="S899:S962" si="85">IF(A899="","",M899+O899)</f>
        <v/>
      </c>
      <c r="T899" s="41"/>
      <c r="U899" s="41" t="str">
        <f t="shared" si="83"/>
        <v/>
      </c>
      <c r="V899" s="44"/>
      <c r="W899" s="44"/>
      <c r="X899" s="46"/>
      <c r="Y899" s="46"/>
      <c r="Z899" s="46"/>
      <c r="AA899" s="41"/>
      <c r="AB899" s="22"/>
      <c r="AC899" s="22"/>
      <c r="AD899" s="41"/>
      <c r="AE899" s="22"/>
      <c r="AF899" s="22"/>
      <c r="AG899" s="48" t="str">
        <f t="shared" ref="AG899:AG962" si="86">IF(A899="","",S899-Y899)</f>
        <v/>
      </c>
      <c r="AH899" s="48" t="str">
        <f t="shared" ref="AH899:AH962" si="87">IF(A899="","",Y899-(AC899+AF899))</f>
        <v/>
      </c>
      <c r="AI899" s="48" t="str">
        <f t="shared" ref="AI899:AI962" si="88">IF(A899="","",AG899+AH899)</f>
        <v/>
      </c>
      <c r="AJ899" s="40" t="str">
        <f t="shared" si="84"/>
        <v/>
      </c>
      <c r="AK899" s="40"/>
      <c r="AL899" s="40"/>
      <c r="AM899" s="22"/>
      <c r="AQ899" s="46"/>
    </row>
    <row r="900" spans="1:43" ht="17.399999999999999">
      <c r="A900" s="22"/>
      <c r="B900" s="22"/>
      <c r="C900" s="56"/>
      <c r="D900" s="56"/>
      <c r="E900" s="22"/>
      <c r="F900" s="22"/>
      <c r="G900" s="22"/>
      <c r="H900" s="22"/>
      <c r="I900" s="49"/>
      <c r="J900" s="50"/>
      <c r="K900" s="22"/>
      <c r="L900" s="22"/>
      <c r="M900" s="22"/>
      <c r="N900" s="22"/>
      <c r="O900" s="22"/>
      <c r="P900" s="46"/>
      <c r="Q900" s="40"/>
      <c r="R900" s="41"/>
      <c r="S900" s="22" t="str">
        <f t="shared" si="85"/>
        <v/>
      </c>
      <c r="T900" s="41"/>
      <c r="U900" s="41" t="str">
        <f t="shared" ref="U900:U963" si="89">IF(OR(P900="FEC-FS",P900="PALTEK",P900="SDSE(TOKE)"),"Upload in customer box","")</f>
        <v/>
      </c>
      <c r="V900" s="44"/>
      <c r="W900" s="44"/>
      <c r="X900" s="46"/>
      <c r="Y900" s="46"/>
      <c r="Z900" s="46"/>
      <c r="AA900" s="41"/>
      <c r="AB900" s="22"/>
      <c r="AC900" s="22"/>
      <c r="AD900" s="41"/>
      <c r="AE900" s="22"/>
      <c r="AF900" s="22"/>
      <c r="AG900" s="48" t="str">
        <f t="shared" si="86"/>
        <v/>
      </c>
      <c r="AH900" s="48" t="str">
        <f t="shared" si="87"/>
        <v/>
      </c>
      <c r="AI900" s="48" t="str">
        <f t="shared" si="88"/>
        <v/>
      </c>
      <c r="AJ900" s="40" t="str">
        <f t="shared" si="84"/>
        <v/>
      </c>
      <c r="AK900" s="40"/>
      <c r="AL900" s="40"/>
      <c r="AM900" s="22"/>
      <c r="AQ900" s="46"/>
    </row>
    <row r="901" spans="1:43" ht="17.399999999999999">
      <c r="A901" s="22"/>
      <c r="B901" s="22"/>
      <c r="C901" s="56"/>
      <c r="D901" s="56"/>
      <c r="E901" s="22"/>
      <c r="F901" s="22"/>
      <c r="G901" s="22"/>
      <c r="H901" s="22"/>
      <c r="I901" s="49"/>
      <c r="J901" s="50"/>
      <c r="K901" s="22"/>
      <c r="L901" s="22"/>
      <c r="M901" s="22"/>
      <c r="N901" s="22"/>
      <c r="O901" s="22"/>
      <c r="P901" s="46"/>
      <c r="Q901" s="40"/>
      <c r="R901" s="41"/>
      <c r="S901" s="22" t="str">
        <f t="shared" si="85"/>
        <v/>
      </c>
      <c r="T901" s="41"/>
      <c r="U901" s="41" t="str">
        <f t="shared" si="89"/>
        <v/>
      </c>
      <c r="V901" s="44"/>
      <c r="W901" s="44"/>
      <c r="X901" s="46"/>
      <c r="Y901" s="46"/>
      <c r="Z901" s="46"/>
      <c r="AA901" s="41"/>
      <c r="AB901" s="22"/>
      <c r="AC901" s="22"/>
      <c r="AD901" s="41"/>
      <c r="AE901" s="22"/>
      <c r="AF901" s="22"/>
      <c r="AG901" s="48" t="str">
        <f t="shared" si="86"/>
        <v/>
      </c>
      <c r="AH901" s="48" t="str">
        <f t="shared" si="87"/>
        <v/>
      </c>
      <c r="AI901" s="48" t="str">
        <f t="shared" si="88"/>
        <v/>
      </c>
      <c r="AJ901" s="40" t="str">
        <f t="shared" si="84"/>
        <v/>
      </c>
      <c r="AK901" s="40"/>
      <c r="AL901" s="40"/>
      <c r="AM901" s="22"/>
      <c r="AQ901" s="46"/>
    </row>
    <row r="902" spans="1:43" ht="17.399999999999999">
      <c r="A902" s="22"/>
      <c r="B902" s="22"/>
      <c r="C902" s="56"/>
      <c r="D902" s="56"/>
      <c r="E902" s="22"/>
      <c r="F902" s="22"/>
      <c r="G902" s="22"/>
      <c r="H902" s="22"/>
      <c r="I902" s="49"/>
      <c r="J902" s="50"/>
      <c r="K902" s="22"/>
      <c r="L902" s="22"/>
      <c r="M902" s="22"/>
      <c r="N902" s="22"/>
      <c r="O902" s="22"/>
      <c r="P902" s="46"/>
      <c r="Q902" s="40"/>
      <c r="R902" s="41"/>
      <c r="S902" s="22" t="str">
        <f t="shared" si="85"/>
        <v/>
      </c>
      <c r="T902" s="41"/>
      <c r="U902" s="41" t="str">
        <f t="shared" si="89"/>
        <v/>
      </c>
      <c r="V902" s="44"/>
      <c r="W902" s="44"/>
      <c r="X902" s="46"/>
      <c r="Y902" s="46"/>
      <c r="Z902" s="46"/>
      <c r="AA902" s="41"/>
      <c r="AB902" s="22"/>
      <c r="AC902" s="22"/>
      <c r="AD902" s="41"/>
      <c r="AE902" s="22"/>
      <c r="AF902" s="22"/>
      <c r="AG902" s="48" t="str">
        <f t="shared" si="86"/>
        <v/>
      </c>
      <c r="AH902" s="48" t="str">
        <f t="shared" si="87"/>
        <v/>
      </c>
      <c r="AI902" s="48" t="str">
        <f t="shared" si="88"/>
        <v/>
      </c>
      <c r="AJ902" s="40" t="str">
        <f t="shared" si="84"/>
        <v/>
      </c>
      <c r="AK902" s="40"/>
      <c r="AL902" s="40"/>
      <c r="AM902" s="22"/>
      <c r="AQ902" s="46"/>
    </row>
    <row r="903" spans="1:43" ht="17.399999999999999">
      <c r="A903" s="22"/>
      <c r="B903" s="22"/>
      <c r="C903" s="56"/>
      <c r="D903" s="56"/>
      <c r="E903" s="22"/>
      <c r="F903" s="22"/>
      <c r="G903" s="22"/>
      <c r="H903" s="22"/>
      <c r="I903" s="49"/>
      <c r="J903" s="50"/>
      <c r="K903" s="22"/>
      <c r="L903" s="22"/>
      <c r="M903" s="22"/>
      <c r="N903" s="22"/>
      <c r="O903" s="22"/>
      <c r="P903" s="46"/>
      <c r="Q903" s="40"/>
      <c r="R903" s="41"/>
      <c r="S903" s="22" t="str">
        <f t="shared" si="85"/>
        <v/>
      </c>
      <c r="T903" s="41"/>
      <c r="U903" s="41" t="str">
        <f t="shared" si="89"/>
        <v/>
      </c>
      <c r="V903" s="44"/>
      <c r="W903" s="44"/>
      <c r="X903" s="46"/>
      <c r="Y903" s="46"/>
      <c r="Z903" s="46"/>
      <c r="AA903" s="41"/>
      <c r="AB903" s="22"/>
      <c r="AC903" s="22"/>
      <c r="AD903" s="41"/>
      <c r="AE903" s="22"/>
      <c r="AF903" s="22"/>
      <c r="AG903" s="48" t="str">
        <f t="shared" si="86"/>
        <v/>
      </c>
      <c r="AH903" s="48" t="str">
        <f t="shared" si="87"/>
        <v/>
      </c>
      <c r="AI903" s="48" t="str">
        <f t="shared" si="88"/>
        <v/>
      </c>
      <c r="AJ903" s="40" t="str">
        <f t="shared" si="84"/>
        <v/>
      </c>
      <c r="AK903" s="40"/>
      <c r="AL903" s="40"/>
      <c r="AM903" s="22"/>
      <c r="AQ903" s="46"/>
    </row>
    <row r="904" spans="1:43" ht="17.399999999999999">
      <c r="A904" s="22"/>
      <c r="B904" s="22"/>
      <c r="C904" s="56"/>
      <c r="D904" s="56"/>
      <c r="E904" s="22"/>
      <c r="F904" s="22"/>
      <c r="G904" s="22"/>
      <c r="H904" s="22"/>
      <c r="I904" s="49"/>
      <c r="J904" s="50"/>
      <c r="K904" s="22"/>
      <c r="L904" s="22"/>
      <c r="M904" s="22"/>
      <c r="N904" s="22"/>
      <c r="O904" s="22"/>
      <c r="P904" s="46"/>
      <c r="Q904" s="40"/>
      <c r="R904" s="41"/>
      <c r="S904" s="22" t="str">
        <f t="shared" si="85"/>
        <v/>
      </c>
      <c r="T904" s="41"/>
      <c r="U904" s="41" t="str">
        <f t="shared" si="89"/>
        <v/>
      </c>
      <c r="V904" s="44"/>
      <c r="W904" s="44"/>
      <c r="X904" s="46"/>
      <c r="Y904" s="46"/>
      <c r="Z904" s="46"/>
      <c r="AA904" s="41"/>
      <c r="AB904" s="22"/>
      <c r="AC904" s="22"/>
      <c r="AD904" s="41"/>
      <c r="AE904" s="22"/>
      <c r="AF904" s="22"/>
      <c r="AG904" s="48" t="str">
        <f t="shared" si="86"/>
        <v/>
      </c>
      <c r="AH904" s="48" t="str">
        <f t="shared" si="87"/>
        <v/>
      </c>
      <c r="AI904" s="48" t="str">
        <f t="shared" si="88"/>
        <v/>
      </c>
      <c r="AJ904" s="40" t="str">
        <f t="shared" si="84"/>
        <v/>
      </c>
      <c r="AK904" s="40"/>
      <c r="AL904" s="40"/>
      <c r="AM904" s="22"/>
      <c r="AQ904" s="46"/>
    </row>
    <row r="905" spans="1:43" ht="17.399999999999999">
      <c r="A905" s="22"/>
      <c r="B905" s="22"/>
      <c r="C905" s="56"/>
      <c r="D905" s="56"/>
      <c r="E905" s="22"/>
      <c r="F905" s="22"/>
      <c r="G905" s="22"/>
      <c r="H905" s="22"/>
      <c r="I905" s="49"/>
      <c r="J905" s="50"/>
      <c r="K905" s="22"/>
      <c r="L905" s="22"/>
      <c r="M905" s="22"/>
      <c r="N905" s="22"/>
      <c r="O905" s="22"/>
      <c r="P905" s="46"/>
      <c r="Q905" s="40"/>
      <c r="R905" s="41"/>
      <c r="S905" s="22" t="str">
        <f t="shared" si="85"/>
        <v/>
      </c>
      <c r="T905" s="41"/>
      <c r="U905" s="41" t="str">
        <f t="shared" si="89"/>
        <v/>
      </c>
      <c r="V905" s="44"/>
      <c r="W905" s="44"/>
      <c r="X905" s="46"/>
      <c r="Y905" s="46"/>
      <c r="Z905" s="46"/>
      <c r="AA905" s="41"/>
      <c r="AB905" s="22"/>
      <c r="AC905" s="22"/>
      <c r="AD905" s="41"/>
      <c r="AE905" s="22"/>
      <c r="AF905" s="22"/>
      <c r="AG905" s="48" t="str">
        <f t="shared" si="86"/>
        <v/>
      </c>
      <c r="AH905" s="48" t="str">
        <f t="shared" si="87"/>
        <v/>
      </c>
      <c r="AI905" s="48" t="str">
        <f t="shared" si="88"/>
        <v/>
      </c>
      <c r="AJ905" s="40" t="str">
        <f t="shared" si="84"/>
        <v/>
      </c>
      <c r="AK905" s="40"/>
      <c r="AL905" s="40"/>
      <c r="AM905" s="22"/>
      <c r="AQ905" s="46"/>
    </row>
    <row r="906" spans="1:43" ht="17.399999999999999">
      <c r="A906" s="22"/>
      <c r="B906" s="22"/>
      <c r="C906" s="56"/>
      <c r="D906" s="56"/>
      <c r="E906" s="22"/>
      <c r="F906" s="22"/>
      <c r="G906" s="22"/>
      <c r="H906" s="22"/>
      <c r="I906" s="49"/>
      <c r="J906" s="50"/>
      <c r="K906" s="22"/>
      <c r="L906" s="22"/>
      <c r="M906" s="22"/>
      <c r="N906" s="22"/>
      <c r="O906" s="22"/>
      <c r="P906" s="46"/>
      <c r="Q906" s="40"/>
      <c r="R906" s="41"/>
      <c r="S906" s="22" t="str">
        <f t="shared" si="85"/>
        <v/>
      </c>
      <c r="T906" s="41"/>
      <c r="U906" s="41" t="str">
        <f t="shared" si="89"/>
        <v/>
      </c>
      <c r="V906" s="44"/>
      <c r="W906" s="44"/>
      <c r="X906" s="46"/>
      <c r="Y906" s="46"/>
      <c r="Z906" s="46"/>
      <c r="AA906" s="41"/>
      <c r="AB906" s="22"/>
      <c r="AC906" s="22"/>
      <c r="AD906" s="41"/>
      <c r="AE906" s="22"/>
      <c r="AF906" s="22"/>
      <c r="AG906" s="48" t="str">
        <f t="shared" si="86"/>
        <v/>
      </c>
      <c r="AH906" s="48" t="str">
        <f t="shared" si="87"/>
        <v/>
      </c>
      <c r="AI906" s="48" t="str">
        <f t="shared" si="88"/>
        <v/>
      </c>
      <c r="AJ906" s="40" t="str">
        <f t="shared" si="84"/>
        <v/>
      </c>
      <c r="AK906" s="40"/>
      <c r="AL906" s="40"/>
      <c r="AM906" s="22"/>
      <c r="AQ906" s="46"/>
    </row>
    <row r="907" spans="1:43" ht="17.399999999999999">
      <c r="A907" s="22"/>
      <c r="B907" s="22"/>
      <c r="C907" s="56"/>
      <c r="D907" s="56"/>
      <c r="E907" s="22"/>
      <c r="F907" s="22"/>
      <c r="G907" s="22"/>
      <c r="H907" s="22"/>
      <c r="I907" s="49"/>
      <c r="J907" s="50"/>
      <c r="K907" s="22"/>
      <c r="L907" s="22"/>
      <c r="M907" s="22"/>
      <c r="N907" s="22"/>
      <c r="O907" s="22"/>
      <c r="P907" s="46"/>
      <c r="Q907" s="40"/>
      <c r="R907" s="41"/>
      <c r="S907" s="22" t="str">
        <f t="shared" si="85"/>
        <v/>
      </c>
      <c r="T907" s="41"/>
      <c r="U907" s="41" t="str">
        <f t="shared" si="89"/>
        <v/>
      </c>
      <c r="V907" s="44"/>
      <c r="W907" s="44"/>
      <c r="X907" s="46"/>
      <c r="Y907" s="46"/>
      <c r="Z907" s="46"/>
      <c r="AA907" s="41"/>
      <c r="AB907" s="22"/>
      <c r="AC907" s="22"/>
      <c r="AD907" s="41"/>
      <c r="AE907" s="22"/>
      <c r="AF907" s="22"/>
      <c r="AG907" s="48" t="str">
        <f t="shared" si="86"/>
        <v/>
      </c>
      <c r="AH907" s="48" t="str">
        <f t="shared" si="87"/>
        <v/>
      </c>
      <c r="AI907" s="48" t="str">
        <f t="shared" si="88"/>
        <v/>
      </c>
      <c r="AJ907" s="40" t="str">
        <f t="shared" si="84"/>
        <v/>
      </c>
      <c r="AK907" s="40"/>
      <c r="AL907" s="40"/>
      <c r="AM907" s="22"/>
      <c r="AQ907" s="46"/>
    </row>
    <row r="908" spans="1:43" ht="17.399999999999999">
      <c r="A908" s="22"/>
      <c r="B908" s="22"/>
      <c r="C908" s="56"/>
      <c r="D908" s="56"/>
      <c r="E908" s="22"/>
      <c r="F908" s="22"/>
      <c r="G908" s="22"/>
      <c r="H908" s="22"/>
      <c r="I908" s="49"/>
      <c r="J908" s="50"/>
      <c r="K908" s="22"/>
      <c r="L908" s="22"/>
      <c r="M908" s="22"/>
      <c r="N908" s="22"/>
      <c r="O908" s="22"/>
      <c r="P908" s="46"/>
      <c r="Q908" s="40"/>
      <c r="R908" s="41"/>
      <c r="S908" s="22" t="str">
        <f t="shared" si="85"/>
        <v/>
      </c>
      <c r="T908" s="41"/>
      <c r="U908" s="41" t="str">
        <f t="shared" si="89"/>
        <v/>
      </c>
      <c r="V908" s="44"/>
      <c r="W908" s="44"/>
      <c r="X908" s="46"/>
      <c r="Y908" s="46"/>
      <c r="Z908" s="46"/>
      <c r="AA908" s="41"/>
      <c r="AB908" s="22"/>
      <c r="AC908" s="22"/>
      <c r="AD908" s="41"/>
      <c r="AE908" s="22"/>
      <c r="AF908" s="22"/>
      <c r="AG908" s="48" t="str">
        <f t="shared" si="86"/>
        <v/>
      </c>
      <c r="AH908" s="48" t="str">
        <f t="shared" si="87"/>
        <v/>
      </c>
      <c r="AI908" s="48" t="str">
        <f t="shared" si="88"/>
        <v/>
      </c>
      <c r="AJ908" s="40" t="str">
        <f t="shared" si="84"/>
        <v/>
      </c>
      <c r="AK908" s="40"/>
      <c r="AL908" s="40"/>
      <c r="AM908" s="22"/>
      <c r="AQ908" s="46"/>
    </row>
    <row r="909" spans="1:43" ht="17.399999999999999">
      <c r="A909" s="22"/>
      <c r="B909" s="22"/>
      <c r="C909" s="56"/>
      <c r="D909" s="56"/>
      <c r="E909" s="22"/>
      <c r="F909" s="22"/>
      <c r="G909" s="22"/>
      <c r="H909" s="22"/>
      <c r="I909" s="49"/>
      <c r="J909" s="50"/>
      <c r="K909" s="22"/>
      <c r="L909" s="22"/>
      <c r="M909" s="22"/>
      <c r="N909" s="22"/>
      <c r="O909" s="22"/>
      <c r="P909" s="46"/>
      <c r="Q909" s="40"/>
      <c r="R909" s="41"/>
      <c r="S909" s="22" t="str">
        <f t="shared" si="85"/>
        <v/>
      </c>
      <c r="T909" s="41"/>
      <c r="U909" s="41" t="str">
        <f t="shared" si="89"/>
        <v/>
      </c>
      <c r="V909" s="44"/>
      <c r="W909" s="44"/>
      <c r="X909" s="46"/>
      <c r="Y909" s="46"/>
      <c r="Z909" s="46"/>
      <c r="AA909" s="41"/>
      <c r="AB909" s="22"/>
      <c r="AC909" s="22"/>
      <c r="AD909" s="41"/>
      <c r="AE909" s="22"/>
      <c r="AF909" s="22"/>
      <c r="AG909" s="48" t="str">
        <f t="shared" si="86"/>
        <v/>
      </c>
      <c r="AH909" s="48" t="str">
        <f t="shared" si="87"/>
        <v/>
      </c>
      <c r="AI909" s="48" t="str">
        <f t="shared" si="88"/>
        <v/>
      </c>
      <c r="AJ909" s="40" t="str">
        <f t="shared" si="84"/>
        <v/>
      </c>
      <c r="AK909" s="40"/>
      <c r="AL909" s="40"/>
      <c r="AM909" s="22"/>
      <c r="AQ909" s="46"/>
    </row>
    <row r="910" spans="1:43" ht="17.399999999999999">
      <c r="A910" s="22"/>
      <c r="B910" s="22"/>
      <c r="C910" s="56"/>
      <c r="D910" s="56"/>
      <c r="E910" s="22"/>
      <c r="F910" s="22"/>
      <c r="G910" s="22"/>
      <c r="H910" s="22"/>
      <c r="I910" s="49"/>
      <c r="J910" s="50"/>
      <c r="K910" s="22"/>
      <c r="L910" s="22"/>
      <c r="M910" s="22"/>
      <c r="N910" s="22"/>
      <c r="O910" s="22"/>
      <c r="P910" s="46"/>
      <c r="Q910" s="40"/>
      <c r="R910" s="41"/>
      <c r="S910" s="22" t="str">
        <f t="shared" si="85"/>
        <v/>
      </c>
      <c r="T910" s="41"/>
      <c r="U910" s="41" t="str">
        <f t="shared" si="89"/>
        <v/>
      </c>
      <c r="V910" s="44"/>
      <c r="W910" s="44"/>
      <c r="X910" s="46"/>
      <c r="Y910" s="46"/>
      <c r="Z910" s="46"/>
      <c r="AA910" s="41"/>
      <c r="AB910" s="22"/>
      <c r="AC910" s="22"/>
      <c r="AD910" s="41"/>
      <c r="AE910" s="22"/>
      <c r="AF910" s="22"/>
      <c r="AG910" s="48" t="str">
        <f t="shared" si="86"/>
        <v/>
      </c>
      <c r="AH910" s="48" t="str">
        <f t="shared" si="87"/>
        <v/>
      </c>
      <c r="AI910" s="48" t="str">
        <f t="shared" si="88"/>
        <v/>
      </c>
      <c r="AJ910" s="40" t="str">
        <f t="shared" si="84"/>
        <v/>
      </c>
      <c r="AK910" s="40"/>
      <c r="AL910" s="40"/>
      <c r="AM910" s="22"/>
      <c r="AQ910" s="46"/>
    </row>
    <row r="911" spans="1:43" ht="17.399999999999999">
      <c r="A911" s="22"/>
      <c r="B911" s="22"/>
      <c r="C911" s="56"/>
      <c r="D911" s="56"/>
      <c r="E911" s="22"/>
      <c r="F911" s="22"/>
      <c r="G911" s="22"/>
      <c r="H911" s="22"/>
      <c r="I911" s="49"/>
      <c r="J911" s="50"/>
      <c r="K911" s="22"/>
      <c r="L911" s="22"/>
      <c r="M911" s="22"/>
      <c r="N911" s="22"/>
      <c r="O911" s="22"/>
      <c r="P911" s="46"/>
      <c r="Q911" s="40"/>
      <c r="R911" s="41"/>
      <c r="S911" s="22" t="str">
        <f t="shared" si="85"/>
        <v/>
      </c>
      <c r="T911" s="41"/>
      <c r="U911" s="41" t="str">
        <f t="shared" si="89"/>
        <v/>
      </c>
      <c r="V911" s="44"/>
      <c r="W911" s="44"/>
      <c r="X911" s="46"/>
      <c r="Y911" s="46"/>
      <c r="Z911" s="46"/>
      <c r="AA911" s="41"/>
      <c r="AB911" s="22"/>
      <c r="AC911" s="22"/>
      <c r="AD911" s="41"/>
      <c r="AE911" s="22"/>
      <c r="AF911" s="22"/>
      <c r="AG911" s="48" t="str">
        <f t="shared" si="86"/>
        <v/>
      </c>
      <c r="AH911" s="48" t="str">
        <f t="shared" si="87"/>
        <v/>
      </c>
      <c r="AI911" s="48" t="str">
        <f t="shared" si="88"/>
        <v/>
      </c>
      <c r="AJ911" s="40" t="str">
        <f t="shared" si="84"/>
        <v/>
      </c>
      <c r="AK911" s="40"/>
      <c r="AL911" s="40"/>
      <c r="AM911" s="22"/>
      <c r="AQ911" s="46"/>
    </row>
    <row r="912" spans="1:43" ht="17.399999999999999">
      <c r="A912" s="22"/>
      <c r="B912" s="22"/>
      <c r="C912" s="56"/>
      <c r="D912" s="56"/>
      <c r="E912" s="22"/>
      <c r="F912" s="22"/>
      <c r="G912" s="22"/>
      <c r="H912" s="22"/>
      <c r="I912" s="49"/>
      <c r="J912" s="50"/>
      <c r="K912" s="22"/>
      <c r="L912" s="22"/>
      <c r="M912" s="22"/>
      <c r="N912" s="22"/>
      <c r="O912" s="22"/>
      <c r="P912" s="46"/>
      <c r="Q912" s="40"/>
      <c r="R912" s="41"/>
      <c r="S912" s="22" t="str">
        <f t="shared" si="85"/>
        <v/>
      </c>
      <c r="T912" s="41"/>
      <c r="U912" s="41" t="str">
        <f t="shared" si="89"/>
        <v/>
      </c>
      <c r="V912" s="44"/>
      <c r="W912" s="44"/>
      <c r="X912" s="46"/>
      <c r="Y912" s="46"/>
      <c r="Z912" s="46"/>
      <c r="AA912" s="41"/>
      <c r="AB912" s="22"/>
      <c r="AC912" s="22"/>
      <c r="AD912" s="41"/>
      <c r="AE912" s="22"/>
      <c r="AF912" s="22"/>
      <c r="AG912" s="48" t="str">
        <f t="shared" si="86"/>
        <v/>
      </c>
      <c r="AH912" s="48" t="str">
        <f t="shared" si="87"/>
        <v/>
      </c>
      <c r="AI912" s="48" t="str">
        <f t="shared" si="88"/>
        <v/>
      </c>
      <c r="AJ912" s="40" t="str">
        <f t="shared" si="84"/>
        <v/>
      </c>
      <c r="AK912" s="40"/>
      <c r="AL912" s="40"/>
      <c r="AM912" s="22"/>
      <c r="AQ912" s="46"/>
    </row>
    <row r="913" spans="1:43" ht="17.399999999999999">
      <c r="A913" s="22"/>
      <c r="B913" s="22"/>
      <c r="C913" s="56"/>
      <c r="D913" s="56"/>
      <c r="E913" s="22"/>
      <c r="F913" s="22"/>
      <c r="G913" s="22"/>
      <c r="H913" s="22"/>
      <c r="I913" s="49"/>
      <c r="J913" s="50"/>
      <c r="K913" s="22"/>
      <c r="L913" s="22"/>
      <c r="M913" s="22"/>
      <c r="N913" s="22"/>
      <c r="O913" s="22"/>
      <c r="P913" s="46"/>
      <c r="Q913" s="40"/>
      <c r="R913" s="41"/>
      <c r="S913" s="22" t="str">
        <f t="shared" si="85"/>
        <v/>
      </c>
      <c r="T913" s="41"/>
      <c r="U913" s="41" t="str">
        <f t="shared" si="89"/>
        <v/>
      </c>
      <c r="V913" s="44"/>
      <c r="W913" s="44"/>
      <c r="X913" s="46"/>
      <c r="Y913" s="46"/>
      <c r="Z913" s="46"/>
      <c r="AA913" s="41"/>
      <c r="AB913" s="22"/>
      <c r="AC913" s="22"/>
      <c r="AD913" s="41"/>
      <c r="AE913" s="22"/>
      <c r="AF913" s="22"/>
      <c r="AG913" s="48" t="str">
        <f t="shared" si="86"/>
        <v/>
      </c>
      <c r="AH913" s="48" t="str">
        <f t="shared" si="87"/>
        <v/>
      </c>
      <c r="AI913" s="48" t="str">
        <f t="shared" si="88"/>
        <v/>
      </c>
      <c r="AJ913" s="40" t="str">
        <f t="shared" si="84"/>
        <v/>
      </c>
      <c r="AK913" s="40"/>
      <c r="AL913" s="40"/>
      <c r="AM913" s="22"/>
      <c r="AQ913" s="46"/>
    </row>
    <row r="914" spans="1:43" ht="17.399999999999999">
      <c r="A914" s="22"/>
      <c r="B914" s="22"/>
      <c r="C914" s="56"/>
      <c r="D914" s="56"/>
      <c r="E914" s="22"/>
      <c r="F914" s="22"/>
      <c r="G914" s="22"/>
      <c r="H914" s="22"/>
      <c r="I914" s="49"/>
      <c r="J914" s="50"/>
      <c r="K914" s="22"/>
      <c r="L914" s="22"/>
      <c r="M914" s="22"/>
      <c r="N914" s="22"/>
      <c r="O914" s="22"/>
      <c r="P914" s="46"/>
      <c r="Q914" s="40"/>
      <c r="R914" s="41"/>
      <c r="S914" s="22" t="str">
        <f t="shared" si="85"/>
        <v/>
      </c>
      <c r="T914" s="41"/>
      <c r="U914" s="41" t="str">
        <f t="shared" si="89"/>
        <v/>
      </c>
      <c r="V914" s="44"/>
      <c r="W914" s="44"/>
      <c r="X914" s="46"/>
      <c r="Y914" s="46"/>
      <c r="Z914" s="46"/>
      <c r="AA914" s="41"/>
      <c r="AB914" s="22"/>
      <c r="AC914" s="22"/>
      <c r="AD914" s="41"/>
      <c r="AE914" s="22"/>
      <c r="AF914" s="22"/>
      <c r="AG914" s="48" t="str">
        <f t="shared" si="86"/>
        <v/>
      </c>
      <c r="AH914" s="48" t="str">
        <f t="shared" si="87"/>
        <v/>
      </c>
      <c r="AI914" s="48" t="str">
        <f t="shared" si="88"/>
        <v/>
      </c>
      <c r="AJ914" s="40" t="str">
        <f t="shared" si="84"/>
        <v/>
      </c>
      <c r="AK914" s="40"/>
      <c r="AL914" s="40"/>
      <c r="AM914" s="22"/>
      <c r="AQ914" s="46"/>
    </row>
    <row r="915" spans="1:43" ht="17.399999999999999">
      <c r="A915" s="22"/>
      <c r="B915" s="22"/>
      <c r="C915" s="56"/>
      <c r="D915" s="56"/>
      <c r="E915" s="22"/>
      <c r="F915" s="22"/>
      <c r="G915" s="22"/>
      <c r="H915" s="22"/>
      <c r="I915" s="49"/>
      <c r="J915" s="50"/>
      <c r="K915" s="22"/>
      <c r="L915" s="22"/>
      <c r="M915" s="22"/>
      <c r="N915" s="22"/>
      <c r="O915" s="22"/>
      <c r="P915" s="46"/>
      <c r="Q915" s="40"/>
      <c r="R915" s="41"/>
      <c r="S915" s="22" t="str">
        <f t="shared" si="85"/>
        <v/>
      </c>
      <c r="T915" s="41"/>
      <c r="U915" s="41" t="str">
        <f t="shared" si="89"/>
        <v/>
      </c>
      <c r="V915" s="44"/>
      <c r="W915" s="44"/>
      <c r="X915" s="46"/>
      <c r="Y915" s="46"/>
      <c r="Z915" s="46"/>
      <c r="AA915" s="41"/>
      <c r="AB915" s="22"/>
      <c r="AC915" s="22"/>
      <c r="AD915" s="41"/>
      <c r="AE915" s="22"/>
      <c r="AF915" s="22"/>
      <c r="AG915" s="48" t="str">
        <f t="shared" si="86"/>
        <v/>
      </c>
      <c r="AH915" s="48" t="str">
        <f t="shared" si="87"/>
        <v/>
      </c>
      <c r="AI915" s="48" t="str">
        <f t="shared" si="88"/>
        <v/>
      </c>
      <c r="AJ915" s="40" t="str">
        <f t="shared" si="84"/>
        <v/>
      </c>
      <c r="AK915" s="40"/>
      <c r="AL915" s="40"/>
      <c r="AM915" s="22"/>
      <c r="AQ915" s="46"/>
    </row>
    <row r="916" spans="1:43" ht="17.399999999999999">
      <c r="A916" s="22"/>
      <c r="B916" s="22"/>
      <c r="C916" s="56"/>
      <c r="D916" s="56"/>
      <c r="E916" s="22"/>
      <c r="F916" s="22"/>
      <c r="G916" s="22"/>
      <c r="H916" s="22"/>
      <c r="I916" s="49"/>
      <c r="J916" s="50"/>
      <c r="K916" s="22"/>
      <c r="L916" s="22"/>
      <c r="M916" s="22"/>
      <c r="N916" s="22"/>
      <c r="O916" s="22"/>
      <c r="P916" s="46"/>
      <c r="Q916" s="40"/>
      <c r="R916" s="41"/>
      <c r="S916" s="22" t="str">
        <f t="shared" si="85"/>
        <v/>
      </c>
      <c r="T916" s="41"/>
      <c r="U916" s="41" t="str">
        <f t="shared" si="89"/>
        <v/>
      </c>
      <c r="V916" s="44"/>
      <c r="W916" s="44"/>
      <c r="X916" s="46"/>
      <c r="Y916" s="46"/>
      <c r="Z916" s="46"/>
      <c r="AA916" s="41"/>
      <c r="AB916" s="22"/>
      <c r="AC916" s="22"/>
      <c r="AD916" s="41"/>
      <c r="AE916" s="22"/>
      <c r="AF916" s="22"/>
      <c r="AG916" s="48" t="str">
        <f t="shared" si="86"/>
        <v/>
      </c>
      <c r="AH916" s="48" t="str">
        <f t="shared" si="87"/>
        <v/>
      </c>
      <c r="AI916" s="48" t="str">
        <f t="shared" si="88"/>
        <v/>
      </c>
      <c r="AJ916" s="40" t="str">
        <f t="shared" si="84"/>
        <v/>
      </c>
      <c r="AK916" s="40"/>
      <c r="AL916" s="40"/>
      <c r="AM916" s="22"/>
      <c r="AQ916" s="46"/>
    </row>
    <row r="917" spans="1:43" ht="17.399999999999999">
      <c r="A917" s="22"/>
      <c r="B917" s="22"/>
      <c r="C917" s="56"/>
      <c r="D917" s="56"/>
      <c r="E917" s="22"/>
      <c r="F917" s="22"/>
      <c r="G917" s="22"/>
      <c r="H917" s="22"/>
      <c r="I917" s="49"/>
      <c r="J917" s="50"/>
      <c r="K917" s="22"/>
      <c r="L917" s="22"/>
      <c r="M917" s="22"/>
      <c r="N917" s="22"/>
      <c r="O917" s="22"/>
      <c r="P917" s="46"/>
      <c r="Q917" s="40"/>
      <c r="R917" s="41"/>
      <c r="S917" s="22" t="str">
        <f t="shared" si="85"/>
        <v/>
      </c>
      <c r="T917" s="41"/>
      <c r="U917" s="41" t="str">
        <f t="shared" si="89"/>
        <v/>
      </c>
      <c r="V917" s="44"/>
      <c r="W917" s="44"/>
      <c r="X917" s="46"/>
      <c r="Y917" s="46"/>
      <c r="Z917" s="46"/>
      <c r="AA917" s="41"/>
      <c r="AB917" s="22"/>
      <c r="AC917" s="22"/>
      <c r="AD917" s="41"/>
      <c r="AE917" s="22"/>
      <c r="AF917" s="22"/>
      <c r="AG917" s="48" t="str">
        <f t="shared" si="86"/>
        <v/>
      </c>
      <c r="AH917" s="48" t="str">
        <f t="shared" si="87"/>
        <v/>
      </c>
      <c r="AI917" s="48" t="str">
        <f t="shared" si="88"/>
        <v/>
      </c>
      <c r="AJ917" s="40" t="str">
        <f t="shared" si="84"/>
        <v/>
      </c>
      <c r="AK917" s="40"/>
      <c r="AL917" s="40"/>
      <c r="AM917" s="22"/>
      <c r="AQ917" s="46"/>
    </row>
    <row r="918" spans="1:43" ht="17.399999999999999">
      <c r="A918" s="22"/>
      <c r="B918" s="22"/>
      <c r="C918" s="56"/>
      <c r="D918" s="56"/>
      <c r="E918" s="22"/>
      <c r="F918" s="22"/>
      <c r="G918" s="22"/>
      <c r="H918" s="22"/>
      <c r="I918" s="49"/>
      <c r="J918" s="50"/>
      <c r="K918" s="22"/>
      <c r="L918" s="22"/>
      <c r="M918" s="22"/>
      <c r="N918" s="22"/>
      <c r="O918" s="22"/>
      <c r="P918" s="46"/>
      <c r="Q918" s="40"/>
      <c r="R918" s="41"/>
      <c r="S918" s="22" t="str">
        <f t="shared" si="85"/>
        <v/>
      </c>
      <c r="T918" s="41"/>
      <c r="U918" s="41" t="str">
        <f t="shared" si="89"/>
        <v/>
      </c>
      <c r="V918" s="44"/>
      <c r="W918" s="44"/>
      <c r="X918" s="46"/>
      <c r="Y918" s="46"/>
      <c r="Z918" s="46"/>
      <c r="AA918" s="41"/>
      <c r="AB918" s="22"/>
      <c r="AC918" s="22"/>
      <c r="AD918" s="41"/>
      <c r="AE918" s="22"/>
      <c r="AF918" s="22"/>
      <c r="AG918" s="48" t="str">
        <f t="shared" si="86"/>
        <v/>
      </c>
      <c r="AH918" s="48" t="str">
        <f t="shared" si="87"/>
        <v/>
      </c>
      <c r="AI918" s="48" t="str">
        <f t="shared" si="88"/>
        <v/>
      </c>
      <c r="AJ918" s="40" t="str">
        <f t="shared" si="84"/>
        <v/>
      </c>
      <c r="AK918" s="40"/>
      <c r="AL918" s="40"/>
      <c r="AM918" s="22"/>
      <c r="AQ918" s="46"/>
    </row>
    <row r="919" spans="1:43" ht="17.399999999999999">
      <c r="A919" s="22"/>
      <c r="B919" s="22"/>
      <c r="C919" s="56"/>
      <c r="D919" s="56"/>
      <c r="E919" s="22"/>
      <c r="F919" s="22"/>
      <c r="G919" s="22"/>
      <c r="H919" s="22"/>
      <c r="I919" s="49"/>
      <c r="J919" s="50"/>
      <c r="K919" s="22"/>
      <c r="L919" s="22"/>
      <c r="M919" s="22"/>
      <c r="N919" s="22"/>
      <c r="O919" s="22"/>
      <c r="P919" s="46"/>
      <c r="Q919" s="40"/>
      <c r="R919" s="41"/>
      <c r="S919" s="22" t="str">
        <f t="shared" si="85"/>
        <v/>
      </c>
      <c r="T919" s="41"/>
      <c r="U919" s="41" t="str">
        <f t="shared" si="89"/>
        <v/>
      </c>
      <c r="V919" s="44"/>
      <c r="W919" s="44"/>
      <c r="X919" s="46"/>
      <c r="Y919" s="46"/>
      <c r="Z919" s="46"/>
      <c r="AA919" s="41"/>
      <c r="AB919" s="22"/>
      <c r="AC919" s="22"/>
      <c r="AD919" s="41"/>
      <c r="AE919" s="22"/>
      <c r="AF919" s="22"/>
      <c r="AG919" s="48" t="str">
        <f t="shared" si="86"/>
        <v/>
      </c>
      <c r="AH919" s="48" t="str">
        <f t="shared" si="87"/>
        <v/>
      </c>
      <c r="AI919" s="48" t="str">
        <f t="shared" si="88"/>
        <v/>
      </c>
      <c r="AJ919" s="40" t="str">
        <f t="shared" si="84"/>
        <v/>
      </c>
      <c r="AK919" s="40"/>
      <c r="AL919" s="40"/>
      <c r="AM919" s="22"/>
      <c r="AQ919" s="46"/>
    </row>
    <row r="920" spans="1:43" ht="17.399999999999999">
      <c r="A920" s="22"/>
      <c r="B920" s="22"/>
      <c r="C920" s="56"/>
      <c r="D920" s="56"/>
      <c r="E920" s="22"/>
      <c r="F920" s="22"/>
      <c r="G920" s="22"/>
      <c r="H920" s="22"/>
      <c r="I920" s="49"/>
      <c r="J920" s="50"/>
      <c r="K920" s="22"/>
      <c r="L920" s="22"/>
      <c r="M920" s="22"/>
      <c r="N920" s="22"/>
      <c r="O920" s="22"/>
      <c r="P920" s="46"/>
      <c r="Q920" s="40"/>
      <c r="R920" s="41"/>
      <c r="S920" s="22" t="str">
        <f t="shared" si="85"/>
        <v/>
      </c>
      <c r="T920" s="41"/>
      <c r="U920" s="41" t="str">
        <f t="shared" si="89"/>
        <v/>
      </c>
      <c r="V920" s="44"/>
      <c r="W920" s="44"/>
      <c r="X920" s="46"/>
      <c r="Y920" s="46"/>
      <c r="Z920" s="46"/>
      <c r="AA920" s="41"/>
      <c r="AB920" s="22"/>
      <c r="AC920" s="22"/>
      <c r="AD920" s="41"/>
      <c r="AE920" s="22"/>
      <c r="AF920" s="22"/>
      <c r="AG920" s="48" t="str">
        <f t="shared" si="86"/>
        <v/>
      </c>
      <c r="AH920" s="48" t="str">
        <f t="shared" si="87"/>
        <v/>
      </c>
      <c r="AI920" s="48" t="str">
        <f t="shared" si="88"/>
        <v/>
      </c>
      <c r="AJ920" s="40" t="str">
        <f t="shared" si="84"/>
        <v/>
      </c>
      <c r="AK920" s="40"/>
      <c r="AL920" s="40"/>
      <c r="AM920" s="22"/>
      <c r="AQ920" s="46"/>
    </row>
    <row r="921" spans="1:43" ht="17.399999999999999">
      <c r="A921" s="22"/>
      <c r="B921" s="22"/>
      <c r="C921" s="56"/>
      <c r="D921" s="56"/>
      <c r="E921" s="22"/>
      <c r="F921" s="22"/>
      <c r="G921" s="22"/>
      <c r="H921" s="22"/>
      <c r="I921" s="49"/>
      <c r="J921" s="50"/>
      <c r="K921" s="22"/>
      <c r="L921" s="22"/>
      <c r="M921" s="22"/>
      <c r="N921" s="22"/>
      <c r="O921" s="22"/>
      <c r="P921" s="46"/>
      <c r="Q921" s="40"/>
      <c r="R921" s="41"/>
      <c r="S921" s="22" t="str">
        <f t="shared" si="85"/>
        <v/>
      </c>
      <c r="T921" s="41"/>
      <c r="U921" s="41" t="str">
        <f t="shared" si="89"/>
        <v/>
      </c>
      <c r="V921" s="44"/>
      <c r="W921" s="44"/>
      <c r="X921" s="46"/>
      <c r="Y921" s="46"/>
      <c r="Z921" s="46"/>
      <c r="AA921" s="41"/>
      <c r="AB921" s="22"/>
      <c r="AC921" s="22"/>
      <c r="AD921" s="41"/>
      <c r="AE921" s="22"/>
      <c r="AF921" s="22"/>
      <c r="AG921" s="48" t="str">
        <f t="shared" si="86"/>
        <v/>
      </c>
      <c r="AH921" s="48" t="str">
        <f t="shared" si="87"/>
        <v/>
      </c>
      <c r="AI921" s="48" t="str">
        <f t="shared" si="88"/>
        <v/>
      </c>
      <c r="AJ921" s="40" t="str">
        <f t="shared" si="84"/>
        <v/>
      </c>
      <c r="AK921" s="40"/>
      <c r="AL921" s="40"/>
      <c r="AM921" s="22"/>
      <c r="AQ921" s="46"/>
    </row>
    <row r="922" spans="1:43" ht="17.399999999999999">
      <c r="A922" s="22"/>
      <c r="B922" s="22"/>
      <c r="C922" s="56"/>
      <c r="D922" s="56"/>
      <c r="E922" s="22"/>
      <c r="F922" s="22"/>
      <c r="G922" s="22"/>
      <c r="H922" s="22"/>
      <c r="I922" s="49"/>
      <c r="J922" s="50"/>
      <c r="K922" s="22"/>
      <c r="L922" s="22"/>
      <c r="M922" s="22"/>
      <c r="N922" s="22"/>
      <c r="O922" s="22"/>
      <c r="P922" s="46"/>
      <c r="Q922" s="40"/>
      <c r="R922" s="41"/>
      <c r="S922" s="22" t="str">
        <f t="shared" si="85"/>
        <v/>
      </c>
      <c r="T922" s="41"/>
      <c r="U922" s="41" t="str">
        <f t="shared" si="89"/>
        <v/>
      </c>
      <c r="V922" s="44"/>
      <c r="W922" s="44"/>
      <c r="X922" s="46"/>
      <c r="Y922" s="46"/>
      <c r="Z922" s="46"/>
      <c r="AA922" s="41"/>
      <c r="AB922" s="22"/>
      <c r="AC922" s="22"/>
      <c r="AD922" s="41"/>
      <c r="AE922" s="22"/>
      <c r="AF922" s="22"/>
      <c r="AG922" s="48" t="str">
        <f t="shared" si="86"/>
        <v/>
      </c>
      <c r="AH922" s="48" t="str">
        <f t="shared" si="87"/>
        <v/>
      </c>
      <c r="AI922" s="48" t="str">
        <f t="shared" si="88"/>
        <v/>
      </c>
      <c r="AJ922" s="40" t="str">
        <f t="shared" si="84"/>
        <v/>
      </c>
      <c r="AK922" s="40"/>
      <c r="AL922" s="40"/>
      <c r="AM922" s="22"/>
      <c r="AQ922" s="46"/>
    </row>
    <row r="923" spans="1:43" ht="17.399999999999999">
      <c r="A923" s="22"/>
      <c r="B923" s="22"/>
      <c r="C923" s="56"/>
      <c r="D923" s="56"/>
      <c r="E923" s="22"/>
      <c r="F923" s="22"/>
      <c r="G923" s="22"/>
      <c r="H923" s="22"/>
      <c r="I923" s="49"/>
      <c r="J923" s="50"/>
      <c r="K923" s="22"/>
      <c r="L923" s="22"/>
      <c r="M923" s="22"/>
      <c r="N923" s="22"/>
      <c r="O923" s="22"/>
      <c r="P923" s="46"/>
      <c r="Q923" s="40"/>
      <c r="R923" s="41"/>
      <c r="S923" s="22" t="str">
        <f t="shared" si="85"/>
        <v/>
      </c>
      <c r="T923" s="41"/>
      <c r="U923" s="41" t="str">
        <f t="shared" si="89"/>
        <v/>
      </c>
      <c r="V923" s="44"/>
      <c r="W923" s="44"/>
      <c r="X923" s="46"/>
      <c r="Y923" s="46"/>
      <c r="Z923" s="46"/>
      <c r="AA923" s="41"/>
      <c r="AB923" s="22"/>
      <c r="AC923" s="22"/>
      <c r="AD923" s="41"/>
      <c r="AE923" s="22"/>
      <c r="AF923" s="22"/>
      <c r="AG923" s="48" t="str">
        <f t="shared" si="86"/>
        <v/>
      </c>
      <c r="AH923" s="48" t="str">
        <f t="shared" si="87"/>
        <v/>
      </c>
      <c r="AI923" s="48" t="str">
        <f t="shared" si="88"/>
        <v/>
      </c>
      <c r="AJ923" s="40" t="str">
        <f t="shared" si="84"/>
        <v/>
      </c>
      <c r="AK923" s="40"/>
      <c r="AL923" s="40"/>
      <c r="AM923" s="22"/>
      <c r="AQ923" s="46"/>
    </row>
    <row r="924" spans="1:43" ht="17.399999999999999">
      <c r="A924" s="22"/>
      <c r="B924" s="22"/>
      <c r="C924" s="56"/>
      <c r="D924" s="56"/>
      <c r="E924" s="22"/>
      <c r="F924" s="22"/>
      <c r="G924" s="22"/>
      <c r="H924" s="22"/>
      <c r="I924" s="49"/>
      <c r="J924" s="50"/>
      <c r="K924" s="22"/>
      <c r="L924" s="22"/>
      <c r="M924" s="22"/>
      <c r="N924" s="22"/>
      <c r="O924" s="22"/>
      <c r="P924" s="46"/>
      <c r="Q924" s="40"/>
      <c r="R924" s="41"/>
      <c r="S924" s="22" t="str">
        <f t="shared" si="85"/>
        <v/>
      </c>
      <c r="T924" s="41"/>
      <c r="U924" s="41" t="str">
        <f t="shared" si="89"/>
        <v/>
      </c>
      <c r="V924" s="44"/>
      <c r="W924" s="44"/>
      <c r="X924" s="46"/>
      <c r="Y924" s="46"/>
      <c r="Z924" s="46"/>
      <c r="AA924" s="41"/>
      <c r="AB924" s="22"/>
      <c r="AC924" s="22"/>
      <c r="AD924" s="41"/>
      <c r="AE924" s="22"/>
      <c r="AF924" s="22"/>
      <c r="AG924" s="48" t="str">
        <f t="shared" si="86"/>
        <v/>
      </c>
      <c r="AH924" s="48" t="str">
        <f t="shared" si="87"/>
        <v/>
      </c>
      <c r="AI924" s="48" t="str">
        <f t="shared" si="88"/>
        <v/>
      </c>
      <c r="AJ924" s="40" t="str">
        <f t="shared" si="84"/>
        <v/>
      </c>
      <c r="AK924" s="40"/>
      <c r="AL924" s="40"/>
      <c r="AM924" s="22"/>
      <c r="AQ924" s="46"/>
    </row>
    <row r="925" spans="1:43" ht="17.399999999999999">
      <c r="A925" s="22"/>
      <c r="B925" s="22"/>
      <c r="C925" s="56"/>
      <c r="D925" s="56"/>
      <c r="E925" s="22"/>
      <c r="F925" s="22"/>
      <c r="G925" s="22"/>
      <c r="H925" s="22"/>
      <c r="I925" s="49"/>
      <c r="J925" s="50"/>
      <c r="K925" s="22"/>
      <c r="L925" s="22"/>
      <c r="M925" s="22"/>
      <c r="N925" s="22"/>
      <c r="O925" s="22"/>
      <c r="P925" s="46"/>
      <c r="Q925" s="40"/>
      <c r="R925" s="41"/>
      <c r="S925" s="22" t="str">
        <f t="shared" si="85"/>
        <v/>
      </c>
      <c r="T925" s="41"/>
      <c r="U925" s="41" t="str">
        <f t="shared" si="89"/>
        <v/>
      </c>
      <c r="V925" s="44"/>
      <c r="W925" s="44"/>
      <c r="X925" s="46"/>
      <c r="Y925" s="46"/>
      <c r="Z925" s="46"/>
      <c r="AA925" s="41"/>
      <c r="AB925" s="22"/>
      <c r="AC925" s="22"/>
      <c r="AD925" s="41"/>
      <c r="AE925" s="22"/>
      <c r="AF925" s="22"/>
      <c r="AG925" s="48" t="str">
        <f t="shared" si="86"/>
        <v/>
      </c>
      <c r="AH925" s="48" t="str">
        <f t="shared" si="87"/>
        <v/>
      </c>
      <c r="AI925" s="48" t="str">
        <f t="shared" si="88"/>
        <v/>
      </c>
      <c r="AJ925" s="40" t="str">
        <f t="shared" si="84"/>
        <v/>
      </c>
      <c r="AK925" s="40"/>
      <c r="AL925" s="40"/>
      <c r="AM925" s="22"/>
      <c r="AQ925" s="46"/>
    </row>
    <row r="926" spans="1:43" ht="17.399999999999999">
      <c r="A926" s="22"/>
      <c r="B926" s="22"/>
      <c r="C926" s="56"/>
      <c r="D926" s="56"/>
      <c r="E926" s="22"/>
      <c r="F926" s="22"/>
      <c r="G926" s="22"/>
      <c r="H926" s="22"/>
      <c r="I926" s="49"/>
      <c r="J926" s="50"/>
      <c r="K926" s="22"/>
      <c r="L926" s="22"/>
      <c r="M926" s="22"/>
      <c r="N926" s="22"/>
      <c r="O926" s="22"/>
      <c r="P926" s="46"/>
      <c r="Q926" s="40"/>
      <c r="R926" s="41"/>
      <c r="S926" s="22" t="str">
        <f t="shared" si="85"/>
        <v/>
      </c>
      <c r="T926" s="41"/>
      <c r="U926" s="41" t="str">
        <f t="shared" si="89"/>
        <v/>
      </c>
      <c r="V926" s="44"/>
      <c r="W926" s="44"/>
      <c r="X926" s="46"/>
      <c r="Y926" s="46"/>
      <c r="Z926" s="46"/>
      <c r="AA926" s="41"/>
      <c r="AB926" s="22"/>
      <c r="AC926" s="22"/>
      <c r="AD926" s="41"/>
      <c r="AE926" s="22"/>
      <c r="AF926" s="22"/>
      <c r="AG926" s="48" t="str">
        <f t="shared" si="86"/>
        <v/>
      </c>
      <c r="AH926" s="48" t="str">
        <f t="shared" si="87"/>
        <v/>
      </c>
      <c r="AI926" s="48" t="str">
        <f t="shared" si="88"/>
        <v/>
      </c>
      <c r="AJ926" s="40" t="str">
        <f t="shared" si="84"/>
        <v/>
      </c>
      <c r="AK926" s="40"/>
      <c r="AL926" s="40"/>
      <c r="AM926" s="22"/>
      <c r="AQ926" s="46"/>
    </row>
    <row r="927" spans="1:43" ht="17.399999999999999">
      <c r="A927" s="22"/>
      <c r="B927" s="22"/>
      <c r="C927" s="56"/>
      <c r="D927" s="56"/>
      <c r="E927" s="22"/>
      <c r="F927" s="22"/>
      <c r="G927" s="22"/>
      <c r="H927" s="22"/>
      <c r="I927" s="49"/>
      <c r="J927" s="50"/>
      <c r="K927" s="22"/>
      <c r="L927" s="22"/>
      <c r="M927" s="22"/>
      <c r="N927" s="22"/>
      <c r="O927" s="22"/>
      <c r="P927" s="46"/>
      <c r="Q927" s="40"/>
      <c r="R927" s="41"/>
      <c r="S927" s="22" t="str">
        <f t="shared" si="85"/>
        <v/>
      </c>
      <c r="T927" s="41"/>
      <c r="U927" s="41" t="str">
        <f t="shared" si="89"/>
        <v/>
      </c>
      <c r="V927" s="44"/>
      <c r="W927" s="44"/>
      <c r="X927" s="46"/>
      <c r="Y927" s="46"/>
      <c r="Z927" s="46"/>
      <c r="AA927" s="41"/>
      <c r="AB927" s="22"/>
      <c r="AC927" s="22"/>
      <c r="AD927" s="41"/>
      <c r="AE927" s="22"/>
      <c r="AF927" s="22"/>
      <c r="AG927" s="48" t="str">
        <f t="shared" si="86"/>
        <v/>
      </c>
      <c r="AH927" s="48" t="str">
        <f t="shared" si="87"/>
        <v/>
      </c>
      <c r="AI927" s="48" t="str">
        <f t="shared" si="88"/>
        <v/>
      </c>
      <c r="AJ927" s="40" t="str">
        <f t="shared" si="84"/>
        <v/>
      </c>
      <c r="AK927" s="40"/>
      <c r="AL927" s="40"/>
      <c r="AM927" s="22"/>
      <c r="AQ927" s="46"/>
    </row>
    <row r="928" spans="1:43" ht="17.399999999999999">
      <c r="A928" s="22"/>
      <c r="B928" s="22"/>
      <c r="C928" s="56"/>
      <c r="D928" s="56"/>
      <c r="E928" s="22"/>
      <c r="F928" s="22"/>
      <c r="G928" s="22"/>
      <c r="H928" s="22"/>
      <c r="I928" s="49"/>
      <c r="J928" s="50"/>
      <c r="K928" s="22"/>
      <c r="L928" s="22"/>
      <c r="M928" s="22"/>
      <c r="N928" s="22"/>
      <c r="O928" s="22"/>
      <c r="P928" s="46"/>
      <c r="Q928" s="40"/>
      <c r="R928" s="41"/>
      <c r="S928" s="22" t="str">
        <f t="shared" si="85"/>
        <v/>
      </c>
      <c r="T928" s="41"/>
      <c r="U928" s="41" t="str">
        <f t="shared" si="89"/>
        <v/>
      </c>
      <c r="V928" s="44"/>
      <c r="W928" s="44"/>
      <c r="X928" s="46"/>
      <c r="Y928" s="46"/>
      <c r="Z928" s="46"/>
      <c r="AA928" s="41"/>
      <c r="AB928" s="22"/>
      <c r="AC928" s="22"/>
      <c r="AD928" s="41"/>
      <c r="AE928" s="22"/>
      <c r="AF928" s="22"/>
      <c r="AG928" s="48" t="str">
        <f t="shared" si="86"/>
        <v/>
      </c>
      <c r="AH928" s="48" t="str">
        <f t="shared" si="87"/>
        <v/>
      </c>
      <c r="AI928" s="48" t="str">
        <f t="shared" si="88"/>
        <v/>
      </c>
      <c r="AJ928" s="40" t="str">
        <f t="shared" si="84"/>
        <v/>
      </c>
      <c r="AK928" s="40"/>
      <c r="AL928" s="40"/>
      <c r="AM928" s="22"/>
      <c r="AQ928" s="46"/>
    </row>
    <row r="929" spans="1:43" ht="17.399999999999999">
      <c r="A929" s="22"/>
      <c r="B929" s="22"/>
      <c r="C929" s="56"/>
      <c r="D929" s="56"/>
      <c r="E929" s="22"/>
      <c r="F929" s="22"/>
      <c r="G929" s="22"/>
      <c r="H929" s="22"/>
      <c r="I929" s="49"/>
      <c r="J929" s="50"/>
      <c r="K929" s="22"/>
      <c r="L929" s="22"/>
      <c r="M929" s="22"/>
      <c r="N929" s="22"/>
      <c r="O929" s="22"/>
      <c r="P929" s="46"/>
      <c r="Q929" s="40"/>
      <c r="R929" s="41"/>
      <c r="S929" s="22" t="str">
        <f t="shared" si="85"/>
        <v/>
      </c>
      <c r="T929" s="41"/>
      <c r="U929" s="41" t="str">
        <f t="shared" si="89"/>
        <v/>
      </c>
      <c r="V929" s="44"/>
      <c r="W929" s="44"/>
      <c r="X929" s="46"/>
      <c r="Y929" s="46"/>
      <c r="Z929" s="46"/>
      <c r="AA929" s="41"/>
      <c r="AB929" s="22"/>
      <c r="AC929" s="22"/>
      <c r="AD929" s="41"/>
      <c r="AE929" s="22"/>
      <c r="AF929" s="22"/>
      <c r="AG929" s="48" t="str">
        <f t="shared" si="86"/>
        <v/>
      </c>
      <c r="AH929" s="48" t="str">
        <f t="shared" si="87"/>
        <v/>
      </c>
      <c r="AI929" s="48" t="str">
        <f t="shared" si="88"/>
        <v/>
      </c>
      <c r="AJ929" s="40" t="str">
        <f t="shared" si="84"/>
        <v/>
      </c>
      <c r="AK929" s="40"/>
      <c r="AL929" s="40"/>
      <c r="AM929" s="22"/>
      <c r="AQ929" s="46"/>
    </row>
    <row r="930" spans="1:43" ht="17.399999999999999">
      <c r="A930" s="22"/>
      <c r="B930" s="22"/>
      <c r="C930" s="56"/>
      <c r="D930" s="56"/>
      <c r="E930" s="22"/>
      <c r="F930" s="22"/>
      <c r="G930" s="22"/>
      <c r="H930" s="22"/>
      <c r="I930" s="49"/>
      <c r="J930" s="50"/>
      <c r="K930" s="22"/>
      <c r="L930" s="22"/>
      <c r="M930" s="22"/>
      <c r="N930" s="22"/>
      <c r="O930" s="22"/>
      <c r="P930" s="46"/>
      <c r="Q930" s="40"/>
      <c r="R930" s="41"/>
      <c r="S930" s="22" t="str">
        <f t="shared" si="85"/>
        <v/>
      </c>
      <c r="T930" s="41"/>
      <c r="U930" s="41" t="str">
        <f t="shared" si="89"/>
        <v/>
      </c>
      <c r="V930" s="44"/>
      <c r="W930" s="44"/>
      <c r="X930" s="46"/>
      <c r="Y930" s="46"/>
      <c r="Z930" s="46"/>
      <c r="AA930" s="41"/>
      <c r="AB930" s="22"/>
      <c r="AC930" s="22"/>
      <c r="AD930" s="41"/>
      <c r="AE930" s="22"/>
      <c r="AF930" s="22"/>
      <c r="AG930" s="48" t="str">
        <f t="shared" si="86"/>
        <v/>
      </c>
      <c r="AH930" s="48" t="str">
        <f t="shared" si="87"/>
        <v/>
      </c>
      <c r="AI930" s="48" t="str">
        <f t="shared" si="88"/>
        <v/>
      </c>
      <c r="AJ930" s="40" t="str">
        <f t="shared" si="84"/>
        <v/>
      </c>
      <c r="AK930" s="40"/>
      <c r="AL930" s="40"/>
      <c r="AM930" s="22"/>
      <c r="AQ930" s="46"/>
    </row>
    <row r="931" spans="1:43" ht="17.399999999999999">
      <c r="A931" s="22"/>
      <c r="B931" s="22"/>
      <c r="C931" s="56"/>
      <c r="D931" s="56"/>
      <c r="E931" s="22"/>
      <c r="F931" s="22"/>
      <c r="G931" s="22"/>
      <c r="H931" s="22"/>
      <c r="I931" s="49"/>
      <c r="J931" s="50"/>
      <c r="K931" s="22"/>
      <c r="L931" s="22"/>
      <c r="M931" s="22"/>
      <c r="N931" s="22"/>
      <c r="O931" s="22"/>
      <c r="P931" s="46"/>
      <c r="Q931" s="40"/>
      <c r="R931" s="41"/>
      <c r="S931" s="22" t="str">
        <f t="shared" si="85"/>
        <v/>
      </c>
      <c r="T931" s="41"/>
      <c r="U931" s="41" t="str">
        <f t="shared" si="89"/>
        <v/>
      </c>
      <c r="V931" s="44"/>
      <c r="W931" s="44"/>
      <c r="X931" s="46"/>
      <c r="Y931" s="46"/>
      <c r="Z931" s="46"/>
      <c r="AA931" s="41"/>
      <c r="AB931" s="22"/>
      <c r="AC931" s="22"/>
      <c r="AD931" s="41"/>
      <c r="AE931" s="22"/>
      <c r="AF931" s="22"/>
      <c r="AG931" s="48" t="str">
        <f t="shared" si="86"/>
        <v/>
      </c>
      <c r="AH931" s="48" t="str">
        <f t="shared" si="87"/>
        <v/>
      </c>
      <c r="AI931" s="48" t="str">
        <f t="shared" si="88"/>
        <v/>
      </c>
      <c r="AJ931" s="40" t="str">
        <f t="shared" si="84"/>
        <v/>
      </c>
      <c r="AK931" s="40"/>
      <c r="AL931" s="40"/>
      <c r="AM931" s="22"/>
      <c r="AQ931" s="46"/>
    </row>
    <row r="932" spans="1:43" ht="17.399999999999999">
      <c r="A932" s="22"/>
      <c r="B932" s="22"/>
      <c r="C932" s="56"/>
      <c r="D932" s="56"/>
      <c r="E932" s="22"/>
      <c r="F932" s="22"/>
      <c r="G932" s="22"/>
      <c r="H932" s="22"/>
      <c r="I932" s="49"/>
      <c r="J932" s="50"/>
      <c r="K932" s="22"/>
      <c r="L932" s="22"/>
      <c r="M932" s="22"/>
      <c r="N932" s="22"/>
      <c r="O932" s="22"/>
      <c r="P932" s="46"/>
      <c r="Q932" s="40"/>
      <c r="R932" s="41"/>
      <c r="S932" s="22" t="str">
        <f t="shared" si="85"/>
        <v/>
      </c>
      <c r="T932" s="41"/>
      <c r="U932" s="41" t="str">
        <f t="shared" si="89"/>
        <v/>
      </c>
      <c r="V932" s="44"/>
      <c r="W932" s="44"/>
      <c r="X932" s="46"/>
      <c r="Y932" s="46"/>
      <c r="Z932" s="46"/>
      <c r="AA932" s="41"/>
      <c r="AB932" s="22"/>
      <c r="AC932" s="22"/>
      <c r="AD932" s="41"/>
      <c r="AE932" s="22"/>
      <c r="AF932" s="22"/>
      <c r="AG932" s="48" t="str">
        <f t="shared" si="86"/>
        <v/>
      </c>
      <c r="AH932" s="48" t="str">
        <f t="shared" si="87"/>
        <v/>
      </c>
      <c r="AI932" s="48" t="str">
        <f t="shared" si="88"/>
        <v/>
      </c>
      <c r="AJ932" s="40" t="str">
        <f t="shared" si="84"/>
        <v/>
      </c>
      <c r="AK932" s="40"/>
      <c r="AL932" s="40"/>
      <c r="AM932" s="22"/>
      <c r="AQ932" s="46"/>
    </row>
    <row r="933" spans="1:43" ht="17.399999999999999">
      <c r="A933" s="22"/>
      <c r="B933" s="22"/>
      <c r="C933" s="56"/>
      <c r="D933" s="56"/>
      <c r="E933" s="22"/>
      <c r="F933" s="22"/>
      <c r="G933" s="22"/>
      <c r="H933" s="22"/>
      <c r="I933" s="49"/>
      <c r="J933" s="50"/>
      <c r="K933" s="22"/>
      <c r="L933" s="22"/>
      <c r="M933" s="22"/>
      <c r="N933" s="22"/>
      <c r="O933" s="22"/>
      <c r="P933" s="46"/>
      <c r="Q933" s="40"/>
      <c r="R933" s="41"/>
      <c r="S933" s="22" t="str">
        <f t="shared" si="85"/>
        <v/>
      </c>
      <c r="T933" s="41"/>
      <c r="U933" s="41" t="str">
        <f t="shared" si="89"/>
        <v/>
      </c>
      <c r="V933" s="44"/>
      <c r="W933" s="44"/>
      <c r="X933" s="46"/>
      <c r="Y933" s="46"/>
      <c r="Z933" s="46"/>
      <c r="AA933" s="41"/>
      <c r="AB933" s="22"/>
      <c r="AC933" s="22"/>
      <c r="AD933" s="41"/>
      <c r="AE933" s="22"/>
      <c r="AF933" s="22"/>
      <c r="AG933" s="48" t="str">
        <f t="shared" si="86"/>
        <v/>
      </c>
      <c r="AH933" s="48" t="str">
        <f t="shared" si="87"/>
        <v/>
      </c>
      <c r="AI933" s="48" t="str">
        <f t="shared" si="88"/>
        <v/>
      </c>
      <c r="AJ933" s="40" t="str">
        <f t="shared" si="84"/>
        <v/>
      </c>
      <c r="AK933" s="40"/>
      <c r="AL933" s="40"/>
      <c r="AM933" s="22"/>
      <c r="AQ933" s="46"/>
    </row>
    <row r="934" spans="1:43" ht="17.399999999999999">
      <c r="A934" s="22"/>
      <c r="B934" s="22"/>
      <c r="C934" s="56"/>
      <c r="D934" s="56"/>
      <c r="E934" s="22"/>
      <c r="F934" s="22"/>
      <c r="G934" s="22"/>
      <c r="H934" s="22"/>
      <c r="I934" s="49"/>
      <c r="J934" s="50"/>
      <c r="K934" s="22"/>
      <c r="L934" s="22"/>
      <c r="M934" s="22"/>
      <c r="N934" s="22"/>
      <c r="O934" s="22"/>
      <c r="P934" s="46"/>
      <c r="Q934" s="40"/>
      <c r="R934" s="41"/>
      <c r="S934" s="22" t="str">
        <f t="shared" si="85"/>
        <v/>
      </c>
      <c r="T934" s="41"/>
      <c r="U934" s="41" t="str">
        <f t="shared" si="89"/>
        <v/>
      </c>
      <c r="V934" s="44"/>
      <c r="W934" s="44"/>
      <c r="X934" s="46"/>
      <c r="Y934" s="46"/>
      <c r="Z934" s="46"/>
      <c r="AA934" s="41"/>
      <c r="AB934" s="22"/>
      <c r="AC934" s="22"/>
      <c r="AD934" s="41"/>
      <c r="AE934" s="22"/>
      <c r="AF934" s="22"/>
      <c r="AG934" s="48" t="str">
        <f t="shared" si="86"/>
        <v/>
      </c>
      <c r="AH934" s="48" t="str">
        <f t="shared" si="87"/>
        <v/>
      </c>
      <c r="AI934" s="48" t="str">
        <f t="shared" si="88"/>
        <v/>
      </c>
      <c r="AJ934" s="40" t="str">
        <f t="shared" si="84"/>
        <v/>
      </c>
      <c r="AK934" s="40"/>
      <c r="AL934" s="40"/>
      <c r="AM934" s="22"/>
      <c r="AQ934" s="46"/>
    </row>
    <row r="935" spans="1:43" ht="17.399999999999999">
      <c r="A935" s="22"/>
      <c r="B935" s="22"/>
      <c r="C935" s="56"/>
      <c r="D935" s="56"/>
      <c r="E935" s="22"/>
      <c r="F935" s="22"/>
      <c r="G935" s="22"/>
      <c r="H935" s="22"/>
      <c r="I935" s="49"/>
      <c r="J935" s="50"/>
      <c r="K935" s="22"/>
      <c r="L935" s="22"/>
      <c r="M935" s="22"/>
      <c r="N935" s="22"/>
      <c r="O935" s="22"/>
      <c r="P935" s="46"/>
      <c r="Q935" s="40"/>
      <c r="R935" s="41"/>
      <c r="S935" s="22" t="str">
        <f t="shared" si="85"/>
        <v/>
      </c>
      <c r="T935" s="41"/>
      <c r="U935" s="41" t="str">
        <f t="shared" si="89"/>
        <v/>
      </c>
      <c r="V935" s="44"/>
      <c r="W935" s="44"/>
      <c r="X935" s="46"/>
      <c r="Y935" s="46"/>
      <c r="Z935" s="46"/>
      <c r="AA935" s="41"/>
      <c r="AB935" s="22"/>
      <c r="AC935" s="22"/>
      <c r="AD935" s="41"/>
      <c r="AE935" s="22"/>
      <c r="AF935" s="22"/>
      <c r="AG935" s="48" t="str">
        <f t="shared" si="86"/>
        <v/>
      </c>
      <c r="AH935" s="48" t="str">
        <f t="shared" si="87"/>
        <v/>
      </c>
      <c r="AI935" s="48" t="str">
        <f t="shared" si="88"/>
        <v/>
      </c>
      <c r="AJ935" s="40" t="str">
        <f t="shared" si="84"/>
        <v/>
      </c>
      <c r="AK935" s="40"/>
      <c r="AL935" s="40"/>
      <c r="AM935" s="22"/>
      <c r="AQ935" s="46"/>
    </row>
    <row r="936" spans="1:43" ht="17.399999999999999">
      <c r="A936" s="22"/>
      <c r="B936" s="22"/>
      <c r="C936" s="56"/>
      <c r="D936" s="56"/>
      <c r="E936" s="22"/>
      <c r="F936" s="22"/>
      <c r="G936" s="22"/>
      <c r="H936" s="22"/>
      <c r="I936" s="49"/>
      <c r="J936" s="50"/>
      <c r="K936" s="22"/>
      <c r="L936" s="22"/>
      <c r="M936" s="22"/>
      <c r="N936" s="22"/>
      <c r="O936" s="22"/>
      <c r="P936" s="46"/>
      <c r="Q936" s="40"/>
      <c r="R936" s="41"/>
      <c r="S936" s="22" t="str">
        <f t="shared" si="85"/>
        <v/>
      </c>
      <c r="T936" s="41"/>
      <c r="U936" s="41" t="str">
        <f t="shared" si="89"/>
        <v/>
      </c>
      <c r="V936" s="44"/>
      <c r="W936" s="44"/>
      <c r="X936" s="46"/>
      <c r="Y936" s="46"/>
      <c r="Z936" s="46"/>
      <c r="AA936" s="41"/>
      <c r="AB936" s="22"/>
      <c r="AC936" s="22"/>
      <c r="AD936" s="41"/>
      <c r="AE936" s="22"/>
      <c r="AF936" s="22"/>
      <c r="AG936" s="48" t="str">
        <f t="shared" si="86"/>
        <v/>
      </c>
      <c r="AH936" s="48" t="str">
        <f t="shared" si="87"/>
        <v/>
      </c>
      <c r="AI936" s="48" t="str">
        <f t="shared" si="88"/>
        <v/>
      </c>
      <c r="AJ936" s="40" t="str">
        <f t="shared" si="84"/>
        <v/>
      </c>
      <c r="AK936" s="40"/>
      <c r="AL936" s="40"/>
      <c r="AM936" s="22"/>
      <c r="AQ936" s="46"/>
    </row>
    <row r="937" spans="1:43" ht="17.399999999999999">
      <c r="A937" s="22"/>
      <c r="B937" s="22"/>
      <c r="C937" s="56"/>
      <c r="D937" s="56"/>
      <c r="E937" s="22"/>
      <c r="F937" s="22"/>
      <c r="G937" s="22"/>
      <c r="H937" s="22"/>
      <c r="I937" s="49"/>
      <c r="J937" s="50"/>
      <c r="K937" s="22"/>
      <c r="L937" s="22"/>
      <c r="M937" s="22"/>
      <c r="N937" s="22"/>
      <c r="O937" s="22"/>
      <c r="P937" s="46"/>
      <c r="Q937" s="40"/>
      <c r="R937" s="41"/>
      <c r="S937" s="22" t="str">
        <f t="shared" si="85"/>
        <v/>
      </c>
      <c r="T937" s="41"/>
      <c r="U937" s="41" t="str">
        <f t="shared" si="89"/>
        <v/>
      </c>
      <c r="V937" s="44"/>
      <c r="W937" s="44"/>
      <c r="X937" s="46"/>
      <c r="Y937" s="46"/>
      <c r="Z937" s="46"/>
      <c r="AA937" s="41"/>
      <c r="AB937" s="22"/>
      <c r="AC937" s="22"/>
      <c r="AD937" s="41"/>
      <c r="AE937" s="22"/>
      <c r="AF937" s="22"/>
      <c r="AG937" s="48" t="str">
        <f t="shared" si="86"/>
        <v/>
      </c>
      <c r="AH937" s="48" t="str">
        <f t="shared" si="87"/>
        <v/>
      </c>
      <c r="AI937" s="48" t="str">
        <f t="shared" si="88"/>
        <v/>
      </c>
      <c r="AJ937" s="40" t="str">
        <f t="shared" si="84"/>
        <v/>
      </c>
      <c r="AK937" s="40"/>
      <c r="AL937" s="40"/>
      <c r="AM937" s="22"/>
      <c r="AQ937" s="46"/>
    </row>
    <row r="938" spans="1:43" ht="17.399999999999999">
      <c r="A938" s="22"/>
      <c r="B938" s="22"/>
      <c r="C938" s="56"/>
      <c r="D938" s="56"/>
      <c r="E938" s="22"/>
      <c r="F938" s="22"/>
      <c r="G938" s="22"/>
      <c r="H938" s="22"/>
      <c r="I938" s="49"/>
      <c r="J938" s="50"/>
      <c r="K938" s="22"/>
      <c r="L938" s="22"/>
      <c r="M938" s="22"/>
      <c r="N938" s="22"/>
      <c r="O938" s="22"/>
      <c r="P938" s="46"/>
      <c r="Q938" s="40"/>
      <c r="R938" s="41"/>
      <c r="S938" s="22" t="str">
        <f t="shared" si="85"/>
        <v/>
      </c>
      <c r="T938" s="41"/>
      <c r="U938" s="41" t="str">
        <f t="shared" si="89"/>
        <v/>
      </c>
      <c r="V938" s="44"/>
      <c r="W938" s="44"/>
      <c r="X938" s="46"/>
      <c r="Y938" s="46"/>
      <c r="Z938" s="46"/>
      <c r="AA938" s="41"/>
      <c r="AB938" s="22"/>
      <c r="AC938" s="22"/>
      <c r="AD938" s="41"/>
      <c r="AE938" s="22"/>
      <c r="AF938" s="22"/>
      <c r="AG938" s="48" t="str">
        <f t="shared" si="86"/>
        <v/>
      </c>
      <c r="AH938" s="48" t="str">
        <f t="shared" si="87"/>
        <v/>
      </c>
      <c r="AI938" s="48" t="str">
        <f t="shared" si="88"/>
        <v/>
      </c>
      <c r="AJ938" s="40" t="str">
        <f t="shared" si="84"/>
        <v/>
      </c>
      <c r="AK938" s="40"/>
      <c r="AL938" s="40"/>
      <c r="AM938" s="22"/>
      <c r="AQ938" s="46"/>
    </row>
    <row r="939" spans="1:43" ht="17.399999999999999">
      <c r="A939" s="22"/>
      <c r="B939" s="22"/>
      <c r="C939" s="56"/>
      <c r="D939" s="56"/>
      <c r="E939" s="22"/>
      <c r="F939" s="22"/>
      <c r="G939" s="22"/>
      <c r="H939" s="22"/>
      <c r="I939" s="49"/>
      <c r="J939" s="50"/>
      <c r="K939" s="22"/>
      <c r="L939" s="22"/>
      <c r="M939" s="22"/>
      <c r="N939" s="22"/>
      <c r="O939" s="22"/>
      <c r="P939" s="46"/>
      <c r="Q939" s="40"/>
      <c r="R939" s="41"/>
      <c r="S939" s="22" t="str">
        <f t="shared" si="85"/>
        <v/>
      </c>
      <c r="T939" s="41"/>
      <c r="U939" s="41" t="str">
        <f t="shared" si="89"/>
        <v/>
      </c>
      <c r="V939" s="44"/>
      <c r="W939" s="44"/>
      <c r="X939" s="46"/>
      <c r="Y939" s="46"/>
      <c r="Z939" s="46"/>
      <c r="AA939" s="41"/>
      <c r="AB939" s="22"/>
      <c r="AC939" s="22"/>
      <c r="AD939" s="41"/>
      <c r="AE939" s="22"/>
      <c r="AF939" s="22"/>
      <c r="AG939" s="48" t="str">
        <f t="shared" si="86"/>
        <v/>
      </c>
      <c r="AH939" s="48" t="str">
        <f t="shared" si="87"/>
        <v/>
      </c>
      <c r="AI939" s="48" t="str">
        <f t="shared" si="88"/>
        <v/>
      </c>
      <c r="AJ939" s="40" t="str">
        <f t="shared" si="84"/>
        <v/>
      </c>
      <c r="AK939" s="40"/>
      <c r="AL939" s="40"/>
      <c r="AM939" s="22"/>
      <c r="AQ939" s="46"/>
    </row>
    <row r="940" spans="1:43" ht="17.399999999999999">
      <c r="A940" s="22"/>
      <c r="B940" s="22"/>
      <c r="C940" s="56"/>
      <c r="D940" s="56"/>
      <c r="E940" s="22"/>
      <c r="F940" s="22"/>
      <c r="G940" s="22"/>
      <c r="H940" s="22"/>
      <c r="I940" s="49"/>
      <c r="J940" s="50"/>
      <c r="K940" s="22"/>
      <c r="L940" s="22"/>
      <c r="M940" s="22"/>
      <c r="N940" s="22"/>
      <c r="O940" s="22"/>
      <c r="P940" s="46"/>
      <c r="Q940" s="40"/>
      <c r="R940" s="41"/>
      <c r="S940" s="22" t="str">
        <f t="shared" si="85"/>
        <v/>
      </c>
      <c r="T940" s="41"/>
      <c r="U940" s="41" t="str">
        <f t="shared" si="89"/>
        <v/>
      </c>
      <c r="V940" s="44"/>
      <c r="W940" s="44"/>
      <c r="X940" s="46"/>
      <c r="Y940" s="46"/>
      <c r="Z940" s="46"/>
      <c r="AA940" s="41"/>
      <c r="AB940" s="22"/>
      <c r="AC940" s="22"/>
      <c r="AD940" s="41"/>
      <c r="AE940" s="22"/>
      <c r="AF940" s="22"/>
      <c r="AG940" s="48" t="str">
        <f t="shared" si="86"/>
        <v/>
      </c>
      <c r="AH940" s="48" t="str">
        <f t="shared" si="87"/>
        <v/>
      </c>
      <c r="AI940" s="48" t="str">
        <f t="shared" si="88"/>
        <v/>
      </c>
      <c r="AJ940" s="40" t="str">
        <f t="shared" si="84"/>
        <v/>
      </c>
      <c r="AK940" s="40"/>
      <c r="AL940" s="40"/>
      <c r="AM940" s="22"/>
      <c r="AQ940" s="46"/>
    </row>
    <row r="941" spans="1:43" ht="17.399999999999999">
      <c r="A941" s="22"/>
      <c r="B941" s="22"/>
      <c r="C941" s="56"/>
      <c r="D941" s="56"/>
      <c r="E941" s="22"/>
      <c r="F941" s="22"/>
      <c r="G941" s="22"/>
      <c r="H941" s="22"/>
      <c r="I941" s="49"/>
      <c r="J941" s="50"/>
      <c r="K941" s="22"/>
      <c r="L941" s="22"/>
      <c r="M941" s="22"/>
      <c r="N941" s="22"/>
      <c r="O941" s="22"/>
      <c r="P941" s="46"/>
      <c r="Q941" s="40"/>
      <c r="R941" s="41"/>
      <c r="S941" s="22" t="str">
        <f t="shared" si="85"/>
        <v/>
      </c>
      <c r="T941" s="41"/>
      <c r="U941" s="41" t="str">
        <f t="shared" si="89"/>
        <v/>
      </c>
      <c r="V941" s="44"/>
      <c r="W941" s="44"/>
      <c r="X941" s="46"/>
      <c r="Y941" s="46"/>
      <c r="Z941" s="46"/>
      <c r="AA941" s="41"/>
      <c r="AB941" s="22"/>
      <c r="AC941" s="22"/>
      <c r="AD941" s="41"/>
      <c r="AE941" s="22"/>
      <c r="AF941" s="22"/>
      <c r="AG941" s="48" t="str">
        <f t="shared" si="86"/>
        <v/>
      </c>
      <c r="AH941" s="48" t="str">
        <f t="shared" si="87"/>
        <v/>
      </c>
      <c r="AI941" s="48" t="str">
        <f t="shared" si="88"/>
        <v/>
      </c>
      <c r="AJ941" s="40" t="str">
        <f t="shared" ref="AJ941:AJ1004" si="90">IF(A941="","",R941+21)</f>
        <v/>
      </c>
      <c r="AK941" s="40"/>
      <c r="AL941" s="40"/>
      <c r="AM941" s="22"/>
      <c r="AQ941" s="46"/>
    </row>
    <row r="942" spans="1:43" ht="17.399999999999999">
      <c r="A942" s="22"/>
      <c r="B942" s="22"/>
      <c r="C942" s="56"/>
      <c r="D942" s="56"/>
      <c r="E942" s="22"/>
      <c r="F942" s="22"/>
      <c r="G942" s="22"/>
      <c r="H942" s="22"/>
      <c r="I942" s="49"/>
      <c r="J942" s="50"/>
      <c r="K942" s="22"/>
      <c r="L942" s="22"/>
      <c r="M942" s="22"/>
      <c r="N942" s="22"/>
      <c r="O942" s="22"/>
      <c r="P942" s="46"/>
      <c r="Q942" s="40"/>
      <c r="R942" s="41"/>
      <c r="S942" s="22" t="str">
        <f t="shared" si="85"/>
        <v/>
      </c>
      <c r="T942" s="41"/>
      <c r="U942" s="41" t="str">
        <f t="shared" si="89"/>
        <v/>
      </c>
      <c r="V942" s="44"/>
      <c r="W942" s="44"/>
      <c r="X942" s="46"/>
      <c r="Y942" s="46"/>
      <c r="Z942" s="46"/>
      <c r="AA942" s="41"/>
      <c r="AB942" s="22"/>
      <c r="AC942" s="22"/>
      <c r="AD942" s="41"/>
      <c r="AE942" s="22"/>
      <c r="AF942" s="22"/>
      <c r="AG942" s="48" t="str">
        <f t="shared" si="86"/>
        <v/>
      </c>
      <c r="AH942" s="48" t="str">
        <f t="shared" si="87"/>
        <v/>
      </c>
      <c r="AI942" s="48" t="str">
        <f t="shared" si="88"/>
        <v/>
      </c>
      <c r="AJ942" s="40" t="str">
        <f t="shared" si="90"/>
        <v/>
      </c>
      <c r="AK942" s="40"/>
      <c r="AL942" s="40"/>
      <c r="AM942" s="22"/>
      <c r="AQ942" s="46"/>
    </row>
    <row r="943" spans="1:43" ht="17.399999999999999">
      <c r="A943" s="22"/>
      <c r="B943" s="22"/>
      <c r="C943" s="56"/>
      <c r="D943" s="56"/>
      <c r="E943" s="22"/>
      <c r="F943" s="22"/>
      <c r="G943" s="22"/>
      <c r="H943" s="22"/>
      <c r="I943" s="49"/>
      <c r="J943" s="50"/>
      <c r="K943" s="22"/>
      <c r="L943" s="22"/>
      <c r="M943" s="22"/>
      <c r="N943" s="22"/>
      <c r="O943" s="22"/>
      <c r="P943" s="46"/>
      <c r="Q943" s="40"/>
      <c r="R943" s="41"/>
      <c r="S943" s="22" t="str">
        <f t="shared" si="85"/>
        <v/>
      </c>
      <c r="T943" s="41"/>
      <c r="U943" s="41" t="str">
        <f t="shared" si="89"/>
        <v/>
      </c>
      <c r="V943" s="44"/>
      <c r="W943" s="44"/>
      <c r="X943" s="46"/>
      <c r="Y943" s="46"/>
      <c r="Z943" s="46"/>
      <c r="AA943" s="41"/>
      <c r="AB943" s="22"/>
      <c r="AC943" s="22"/>
      <c r="AD943" s="41"/>
      <c r="AE943" s="22"/>
      <c r="AF943" s="22"/>
      <c r="AG943" s="48" t="str">
        <f t="shared" si="86"/>
        <v/>
      </c>
      <c r="AH943" s="48" t="str">
        <f t="shared" si="87"/>
        <v/>
      </c>
      <c r="AI943" s="48" t="str">
        <f t="shared" si="88"/>
        <v/>
      </c>
      <c r="AJ943" s="40" t="str">
        <f t="shared" si="90"/>
        <v/>
      </c>
      <c r="AK943" s="40"/>
      <c r="AL943" s="40"/>
      <c r="AM943" s="22"/>
      <c r="AQ943" s="46"/>
    </row>
    <row r="944" spans="1:43" ht="17.399999999999999">
      <c r="A944" s="22"/>
      <c r="B944" s="22"/>
      <c r="C944" s="56"/>
      <c r="D944" s="56"/>
      <c r="E944" s="22"/>
      <c r="F944" s="22"/>
      <c r="G944" s="22"/>
      <c r="H944" s="22"/>
      <c r="I944" s="49"/>
      <c r="J944" s="50"/>
      <c r="K944" s="22"/>
      <c r="L944" s="22"/>
      <c r="M944" s="22"/>
      <c r="N944" s="22"/>
      <c r="O944" s="22"/>
      <c r="P944" s="46"/>
      <c r="Q944" s="40"/>
      <c r="R944" s="41"/>
      <c r="S944" s="22" t="str">
        <f t="shared" si="85"/>
        <v/>
      </c>
      <c r="T944" s="41"/>
      <c r="U944" s="41" t="str">
        <f t="shared" si="89"/>
        <v/>
      </c>
      <c r="V944" s="44"/>
      <c r="W944" s="44"/>
      <c r="X944" s="46"/>
      <c r="Y944" s="46"/>
      <c r="Z944" s="46"/>
      <c r="AA944" s="41"/>
      <c r="AB944" s="22"/>
      <c r="AC944" s="22"/>
      <c r="AD944" s="41"/>
      <c r="AE944" s="22"/>
      <c r="AF944" s="22"/>
      <c r="AG944" s="48" t="str">
        <f t="shared" si="86"/>
        <v/>
      </c>
      <c r="AH944" s="48" t="str">
        <f t="shared" si="87"/>
        <v/>
      </c>
      <c r="AI944" s="48" t="str">
        <f t="shared" si="88"/>
        <v/>
      </c>
      <c r="AJ944" s="40" t="str">
        <f t="shared" si="90"/>
        <v/>
      </c>
      <c r="AK944" s="40"/>
      <c r="AL944" s="40"/>
      <c r="AM944" s="22"/>
      <c r="AQ944" s="46"/>
    </row>
    <row r="945" spans="1:43" ht="17.399999999999999">
      <c r="A945" s="22"/>
      <c r="B945" s="22"/>
      <c r="C945" s="56"/>
      <c r="D945" s="56"/>
      <c r="E945" s="22"/>
      <c r="F945" s="22"/>
      <c r="G945" s="22"/>
      <c r="H945" s="22"/>
      <c r="I945" s="49"/>
      <c r="J945" s="50"/>
      <c r="K945" s="22"/>
      <c r="L945" s="22"/>
      <c r="M945" s="22"/>
      <c r="N945" s="22"/>
      <c r="O945" s="22"/>
      <c r="P945" s="46"/>
      <c r="Q945" s="40"/>
      <c r="R945" s="41"/>
      <c r="S945" s="22" t="str">
        <f t="shared" si="85"/>
        <v/>
      </c>
      <c r="T945" s="41"/>
      <c r="U945" s="41" t="str">
        <f t="shared" si="89"/>
        <v/>
      </c>
      <c r="V945" s="44"/>
      <c r="W945" s="44"/>
      <c r="X945" s="46"/>
      <c r="Y945" s="46"/>
      <c r="Z945" s="46"/>
      <c r="AA945" s="41"/>
      <c r="AB945" s="22"/>
      <c r="AC945" s="22"/>
      <c r="AD945" s="41"/>
      <c r="AE945" s="22"/>
      <c r="AF945" s="22"/>
      <c r="AG945" s="48" t="str">
        <f t="shared" si="86"/>
        <v/>
      </c>
      <c r="AH945" s="48" t="str">
        <f t="shared" si="87"/>
        <v/>
      </c>
      <c r="AI945" s="48" t="str">
        <f t="shared" si="88"/>
        <v/>
      </c>
      <c r="AJ945" s="40" t="str">
        <f t="shared" si="90"/>
        <v/>
      </c>
      <c r="AK945" s="40"/>
      <c r="AL945" s="40"/>
      <c r="AM945" s="22"/>
      <c r="AQ945" s="46"/>
    </row>
    <row r="946" spans="1:43" ht="17.399999999999999">
      <c r="A946" s="22"/>
      <c r="B946" s="22"/>
      <c r="C946" s="56"/>
      <c r="D946" s="56"/>
      <c r="E946" s="22"/>
      <c r="F946" s="22"/>
      <c r="G946" s="22"/>
      <c r="H946" s="22"/>
      <c r="I946" s="49"/>
      <c r="J946" s="50"/>
      <c r="K946" s="22"/>
      <c r="L946" s="22"/>
      <c r="M946" s="22"/>
      <c r="N946" s="22"/>
      <c r="O946" s="22"/>
      <c r="P946" s="46"/>
      <c r="Q946" s="40"/>
      <c r="R946" s="41"/>
      <c r="S946" s="22" t="str">
        <f t="shared" si="85"/>
        <v/>
      </c>
      <c r="T946" s="41"/>
      <c r="U946" s="41" t="str">
        <f t="shared" si="89"/>
        <v/>
      </c>
      <c r="V946" s="44"/>
      <c r="W946" s="44"/>
      <c r="X946" s="46"/>
      <c r="Y946" s="46"/>
      <c r="Z946" s="46"/>
      <c r="AA946" s="41"/>
      <c r="AB946" s="22"/>
      <c r="AC946" s="22"/>
      <c r="AD946" s="41"/>
      <c r="AE946" s="22"/>
      <c r="AF946" s="22"/>
      <c r="AG946" s="48" t="str">
        <f t="shared" si="86"/>
        <v/>
      </c>
      <c r="AH946" s="48" t="str">
        <f t="shared" si="87"/>
        <v/>
      </c>
      <c r="AI946" s="48" t="str">
        <f t="shared" si="88"/>
        <v/>
      </c>
      <c r="AJ946" s="40" t="str">
        <f t="shared" si="90"/>
        <v/>
      </c>
      <c r="AK946" s="40"/>
      <c r="AL946" s="40"/>
      <c r="AM946" s="22"/>
      <c r="AQ946" s="46"/>
    </row>
    <row r="947" spans="1:43" ht="17.399999999999999">
      <c r="A947" s="22"/>
      <c r="B947" s="22"/>
      <c r="C947" s="56"/>
      <c r="D947" s="56"/>
      <c r="E947" s="22"/>
      <c r="F947" s="22"/>
      <c r="G947" s="22"/>
      <c r="H947" s="22"/>
      <c r="I947" s="49"/>
      <c r="J947" s="50"/>
      <c r="K947" s="22"/>
      <c r="L947" s="22"/>
      <c r="M947" s="22"/>
      <c r="N947" s="22"/>
      <c r="O947" s="22"/>
      <c r="P947" s="46"/>
      <c r="Q947" s="40"/>
      <c r="R947" s="41"/>
      <c r="S947" s="22" t="str">
        <f t="shared" si="85"/>
        <v/>
      </c>
      <c r="T947" s="41"/>
      <c r="U947" s="41" t="str">
        <f t="shared" si="89"/>
        <v/>
      </c>
      <c r="V947" s="44"/>
      <c r="W947" s="44"/>
      <c r="X947" s="46"/>
      <c r="Y947" s="46"/>
      <c r="Z947" s="46"/>
      <c r="AA947" s="41"/>
      <c r="AB947" s="22"/>
      <c r="AC947" s="22"/>
      <c r="AD947" s="41"/>
      <c r="AE947" s="22"/>
      <c r="AF947" s="22"/>
      <c r="AG947" s="48" t="str">
        <f t="shared" si="86"/>
        <v/>
      </c>
      <c r="AH947" s="48" t="str">
        <f t="shared" si="87"/>
        <v/>
      </c>
      <c r="AI947" s="48" t="str">
        <f t="shared" si="88"/>
        <v/>
      </c>
      <c r="AJ947" s="40" t="str">
        <f t="shared" si="90"/>
        <v/>
      </c>
      <c r="AK947" s="40"/>
      <c r="AL947" s="40"/>
      <c r="AM947" s="22"/>
      <c r="AQ947" s="46"/>
    </row>
    <row r="948" spans="1:43" ht="17.399999999999999">
      <c r="A948" s="22"/>
      <c r="B948" s="22"/>
      <c r="C948" s="56"/>
      <c r="D948" s="56"/>
      <c r="E948" s="22"/>
      <c r="F948" s="22"/>
      <c r="G948" s="22"/>
      <c r="H948" s="22"/>
      <c r="I948" s="49"/>
      <c r="J948" s="50"/>
      <c r="K948" s="22"/>
      <c r="L948" s="22"/>
      <c r="M948" s="22"/>
      <c r="N948" s="22"/>
      <c r="O948" s="22"/>
      <c r="P948" s="46"/>
      <c r="Q948" s="40"/>
      <c r="R948" s="41"/>
      <c r="S948" s="22" t="str">
        <f t="shared" si="85"/>
        <v/>
      </c>
      <c r="T948" s="41"/>
      <c r="U948" s="41" t="str">
        <f t="shared" si="89"/>
        <v/>
      </c>
      <c r="V948" s="44"/>
      <c r="W948" s="44"/>
      <c r="X948" s="46"/>
      <c r="Y948" s="46"/>
      <c r="Z948" s="46"/>
      <c r="AA948" s="41"/>
      <c r="AB948" s="22"/>
      <c r="AC948" s="22"/>
      <c r="AD948" s="41"/>
      <c r="AE948" s="22"/>
      <c r="AF948" s="22"/>
      <c r="AG948" s="48" t="str">
        <f t="shared" si="86"/>
        <v/>
      </c>
      <c r="AH948" s="48" t="str">
        <f t="shared" si="87"/>
        <v/>
      </c>
      <c r="AI948" s="48" t="str">
        <f t="shared" si="88"/>
        <v/>
      </c>
      <c r="AJ948" s="40" t="str">
        <f t="shared" si="90"/>
        <v/>
      </c>
      <c r="AK948" s="40"/>
      <c r="AL948" s="40"/>
      <c r="AM948" s="22"/>
      <c r="AQ948" s="46"/>
    </row>
    <row r="949" spans="1:43" ht="17.399999999999999">
      <c r="A949" s="22"/>
      <c r="B949" s="22"/>
      <c r="C949" s="56"/>
      <c r="D949" s="56"/>
      <c r="E949" s="22"/>
      <c r="F949" s="22"/>
      <c r="G949" s="22"/>
      <c r="H949" s="22"/>
      <c r="I949" s="49"/>
      <c r="J949" s="50"/>
      <c r="K949" s="22"/>
      <c r="L949" s="22"/>
      <c r="M949" s="22"/>
      <c r="N949" s="22"/>
      <c r="O949" s="22"/>
      <c r="P949" s="46"/>
      <c r="Q949" s="40"/>
      <c r="R949" s="41"/>
      <c r="S949" s="22" t="str">
        <f t="shared" si="85"/>
        <v/>
      </c>
      <c r="T949" s="41"/>
      <c r="U949" s="41" t="str">
        <f t="shared" si="89"/>
        <v/>
      </c>
      <c r="V949" s="44"/>
      <c r="W949" s="44"/>
      <c r="X949" s="46"/>
      <c r="Y949" s="46"/>
      <c r="Z949" s="46"/>
      <c r="AA949" s="41"/>
      <c r="AB949" s="22"/>
      <c r="AC949" s="22"/>
      <c r="AD949" s="41"/>
      <c r="AE949" s="22"/>
      <c r="AF949" s="22"/>
      <c r="AG949" s="48" t="str">
        <f t="shared" si="86"/>
        <v/>
      </c>
      <c r="AH949" s="48" t="str">
        <f t="shared" si="87"/>
        <v/>
      </c>
      <c r="AI949" s="48" t="str">
        <f t="shared" si="88"/>
        <v/>
      </c>
      <c r="AJ949" s="40" t="str">
        <f t="shared" si="90"/>
        <v/>
      </c>
      <c r="AK949" s="40"/>
      <c r="AL949" s="40"/>
      <c r="AM949" s="22"/>
      <c r="AQ949" s="46"/>
    </row>
    <row r="950" spans="1:43" ht="17.399999999999999">
      <c r="A950" s="22"/>
      <c r="B950" s="22"/>
      <c r="C950" s="56"/>
      <c r="D950" s="56"/>
      <c r="E950" s="22"/>
      <c r="F950" s="22"/>
      <c r="G950" s="22"/>
      <c r="H950" s="22"/>
      <c r="I950" s="49"/>
      <c r="J950" s="50"/>
      <c r="K950" s="22"/>
      <c r="L950" s="22"/>
      <c r="M950" s="22"/>
      <c r="N950" s="22"/>
      <c r="O950" s="22"/>
      <c r="P950" s="46"/>
      <c r="Q950" s="40"/>
      <c r="R950" s="41"/>
      <c r="S950" s="22" t="str">
        <f t="shared" si="85"/>
        <v/>
      </c>
      <c r="T950" s="41"/>
      <c r="U950" s="41" t="str">
        <f t="shared" si="89"/>
        <v/>
      </c>
      <c r="V950" s="44"/>
      <c r="W950" s="44"/>
      <c r="X950" s="46"/>
      <c r="Y950" s="46"/>
      <c r="Z950" s="46"/>
      <c r="AA950" s="41"/>
      <c r="AB950" s="22"/>
      <c r="AC950" s="22"/>
      <c r="AD950" s="41"/>
      <c r="AE950" s="22"/>
      <c r="AF950" s="22"/>
      <c r="AG950" s="48" t="str">
        <f t="shared" si="86"/>
        <v/>
      </c>
      <c r="AH950" s="48" t="str">
        <f t="shared" si="87"/>
        <v/>
      </c>
      <c r="AI950" s="48" t="str">
        <f t="shared" si="88"/>
        <v/>
      </c>
      <c r="AJ950" s="40" t="str">
        <f t="shared" si="90"/>
        <v/>
      </c>
      <c r="AK950" s="40"/>
      <c r="AL950" s="40"/>
      <c r="AM950" s="22"/>
      <c r="AQ950" s="46"/>
    </row>
    <row r="951" spans="1:43" ht="17.399999999999999">
      <c r="A951" s="22"/>
      <c r="B951" s="22"/>
      <c r="C951" s="56"/>
      <c r="D951" s="56"/>
      <c r="E951" s="22"/>
      <c r="F951" s="22"/>
      <c r="G951" s="22"/>
      <c r="H951" s="22"/>
      <c r="I951" s="49"/>
      <c r="J951" s="50"/>
      <c r="K951" s="22"/>
      <c r="L951" s="22"/>
      <c r="M951" s="22"/>
      <c r="N951" s="22"/>
      <c r="O951" s="22"/>
      <c r="P951" s="46"/>
      <c r="Q951" s="40"/>
      <c r="R951" s="41"/>
      <c r="S951" s="22" t="str">
        <f t="shared" si="85"/>
        <v/>
      </c>
      <c r="T951" s="41"/>
      <c r="U951" s="41" t="str">
        <f t="shared" si="89"/>
        <v/>
      </c>
      <c r="V951" s="44"/>
      <c r="W951" s="44"/>
      <c r="X951" s="46"/>
      <c r="Y951" s="46"/>
      <c r="Z951" s="46"/>
      <c r="AA951" s="41"/>
      <c r="AB951" s="22"/>
      <c r="AC951" s="22"/>
      <c r="AD951" s="41"/>
      <c r="AE951" s="22"/>
      <c r="AF951" s="22"/>
      <c r="AG951" s="48" t="str">
        <f t="shared" si="86"/>
        <v/>
      </c>
      <c r="AH951" s="48" t="str">
        <f t="shared" si="87"/>
        <v/>
      </c>
      <c r="AI951" s="48" t="str">
        <f t="shared" si="88"/>
        <v/>
      </c>
      <c r="AJ951" s="40" t="str">
        <f t="shared" si="90"/>
        <v/>
      </c>
      <c r="AK951" s="40"/>
      <c r="AL951" s="40"/>
      <c r="AM951" s="22"/>
      <c r="AQ951" s="46"/>
    </row>
    <row r="952" spans="1:43" ht="17.399999999999999">
      <c r="A952" s="22"/>
      <c r="B952" s="22"/>
      <c r="C952" s="56"/>
      <c r="D952" s="56"/>
      <c r="E952" s="22"/>
      <c r="F952" s="22"/>
      <c r="G952" s="22"/>
      <c r="H952" s="22"/>
      <c r="I952" s="49"/>
      <c r="J952" s="50"/>
      <c r="K952" s="22"/>
      <c r="L952" s="22"/>
      <c r="M952" s="22"/>
      <c r="N952" s="22"/>
      <c r="O952" s="22"/>
      <c r="P952" s="46"/>
      <c r="Q952" s="40"/>
      <c r="R952" s="41"/>
      <c r="S952" s="22" t="str">
        <f t="shared" si="85"/>
        <v/>
      </c>
      <c r="T952" s="41"/>
      <c r="U952" s="41" t="str">
        <f t="shared" si="89"/>
        <v/>
      </c>
      <c r="V952" s="44"/>
      <c r="W952" s="44"/>
      <c r="X952" s="46"/>
      <c r="Y952" s="46"/>
      <c r="Z952" s="46"/>
      <c r="AA952" s="41"/>
      <c r="AB952" s="22"/>
      <c r="AC952" s="22"/>
      <c r="AD952" s="41"/>
      <c r="AE952" s="22"/>
      <c r="AF952" s="22"/>
      <c r="AG952" s="48" t="str">
        <f t="shared" si="86"/>
        <v/>
      </c>
      <c r="AH952" s="48" t="str">
        <f t="shared" si="87"/>
        <v/>
      </c>
      <c r="AI952" s="48" t="str">
        <f t="shared" si="88"/>
        <v/>
      </c>
      <c r="AJ952" s="40" t="str">
        <f t="shared" si="90"/>
        <v/>
      </c>
      <c r="AK952" s="40"/>
      <c r="AL952" s="40"/>
      <c r="AM952" s="22"/>
      <c r="AQ952" s="46"/>
    </row>
    <row r="953" spans="1:43" ht="17.399999999999999">
      <c r="A953" s="22"/>
      <c r="B953" s="22"/>
      <c r="C953" s="56"/>
      <c r="D953" s="56"/>
      <c r="E953" s="22"/>
      <c r="F953" s="22"/>
      <c r="G953" s="22"/>
      <c r="H953" s="22"/>
      <c r="I953" s="49"/>
      <c r="J953" s="50"/>
      <c r="K953" s="22"/>
      <c r="L953" s="22"/>
      <c r="M953" s="22"/>
      <c r="N953" s="22"/>
      <c r="O953" s="22"/>
      <c r="P953" s="46"/>
      <c r="Q953" s="40"/>
      <c r="R953" s="41"/>
      <c r="S953" s="22" t="str">
        <f t="shared" si="85"/>
        <v/>
      </c>
      <c r="T953" s="41"/>
      <c r="U953" s="41" t="str">
        <f t="shared" si="89"/>
        <v/>
      </c>
      <c r="V953" s="44"/>
      <c r="W953" s="44"/>
      <c r="X953" s="46"/>
      <c r="Y953" s="46"/>
      <c r="Z953" s="46"/>
      <c r="AA953" s="41"/>
      <c r="AB953" s="22"/>
      <c r="AC953" s="22"/>
      <c r="AD953" s="41"/>
      <c r="AE953" s="22"/>
      <c r="AF953" s="22"/>
      <c r="AG953" s="48" t="str">
        <f t="shared" si="86"/>
        <v/>
      </c>
      <c r="AH953" s="48" t="str">
        <f t="shared" si="87"/>
        <v/>
      </c>
      <c r="AI953" s="48" t="str">
        <f t="shared" si="88"/>
        <v/>
      </c>
      <c r="AJ953" s="40" t="str">
        <f t="shared" si="90"/>
        <v/>
      </c>
      <c r="AK953" s="40"/>
      <c r="AL953" s="40"/>
      <c r="AM953" s="22"/>
      <c r="AQ953" s="46"/>
    </row>
    <row r="954" spans="1:43" ht="17.399999999999999">
      <c r="A954" s="22"/>
      <c r="B954" s="22"/>
      <c r="C954" s="56"/>
      <c r="D954" s="56"/>
      <c r="E954" s="22"/>
      <c r="F954" s="22"/>
      <c r="G954" s="22"/>
      <c r="H954" s="22"/>
      <c r="I954" s="49"/>
      <c r="J954" s="50"/>
      <c r="K954" s="22"/>
      <c r="L954" s="22"/>
      <c r="M954" s="22"/>
      <c r="N954" s="22"/>
      <c r="O954" s="22"/>
      <c r="P954" s="46"/>
      <c r="Q954" s="40"/>
      <c r="R954" s="41"/>
      <c r="S954" s="22" t="str">
        <f t="shared" si="85"/>
        <v/>
      </c>
      <c r="T954" s="41"/>
      <c r="U954" s="41" t="str">
        <f t="shared" si="89"/>
        <v/>
      </c>
      <c r="V954" s="44"/>
      <c r="W954" s="44"/>
      <c r="X954" s="46"/>
      <c r="Y954" s="46"/>
      <c r="Z954" s="46"/>
      <c r="AA954" s="41"/>
      <c r="AB954" s="22"/>
      <c r="AC954" s="22"/>
      <c r="AD954" s="41"/>
      <c r="AE954" s="22"/>
      <c r="AF954" s="22"/>
      <c r="AG954" s="48" t="str">
        <f t="shared" si="86"/>
        <v/>
      </c>
      <c r="AH954" s="48" t="str">
        <f t="shared" si="87"/>
        <v/>
      </c>
      <c r="AI954" s="48" t="str">
        <f t="shared" si="88"/>
        <v/>
      </c>
      <c r="AJ954" s="40" t="str">
        <f t="shared" si="90"/>
        <v/>
      </c>
      <c r="AK954" s="40"/>
      <c r="AL954" s="40"/>
      <c r="AM954" s="22"/>
      <c r="AQ954" s="46"/>
    </row>
    <row r="955" spans="1:43" ht="17.399999999999999">
      <c r="A955" s="22"/>
      <c r="B955" s="22"/>
      <c r="C955" s="56"/>
      <c r="D955" s="56"/>
      <c r="E955" s="22"/>
      <c r="F955" s="22"/>
      <c r="G955" s="22"/>
      <c r="H955" s="22"/>
      <c r="I955" s="49"/>
      <c r="J955" s="50"/>
      <c r="K955" s="22"/>
      <c r="L955" s="22"/>
      <c r="M955" s="22"/>
      <c r="N955" s="22"/>
      <c r="O955" s="22"/>
      <c r="P955" s="46"/>
      <c r="Q955" s="40"/>
      <c r="R955" s="41"/>
      <c r="S955" s="22" t="str">
        <f t="shared" si="85"/>
        <v/>
      </c>
      <c r="T955" s="41"/>
      <c r="U955" s="41" t="str">
        <f t="shared" si="89"/>
        <v/>
      </c>
      <c r="V955" s="44"/>
      <c r="W955" s="44"/>
      <c r="X955" s="46"/>
      <c r="Y955" s="46"/>
      <c r="Z955" s="46"/>
      <c r="AA955" s="41"/>
      <c r="AB955" s="22"/>
      <c r="AC955" s="22"/>
      <c r="AD955" s="41"/>
      <c r="AE955" s="22"/>
      <c r="AF955" s="22"/>
      <c r="AG955" s="48" t="str">
        <f t="shared" si="86"/>
        <v/>
      </c>
      <c r="AH955" s="48" t="str">
        <f t="shared" si="87"/>
        <v/>
      </c>
      <c r="AI955" s="48" t="str">
        <f t="shared" si="88"/>
        <v/>
      </c>
      <c r="AJ955" s="40" t="str">
        <f t="shared" si="90"/>
        <v/>
      </c>
      <c r="AK955" s="40"/>
      <c r="AL955" s="40"/>
      <c r="AM955" s="22"/>
      <c r="AQ955" s="46"/>
    </row>
    <row r="956" spans="1:43" ht="17.399999999999999">
      <c r="A956" s="22"/>
      <c r="B956" s="22"/>
      <c r="C956" s="56"/>
      <c r="D956" s="56"/>
      <c r="E956" s="22"/>
      <c r="F956" s="22"/>
      <c r="G956" s="22"/>
      <c r="H956" s="22"/>
      <c r="I956" s="49"/>
      <c r="J956" s="50"/>
      <c r="K956" s="22"/>
      <c r="L956" s="22"/>
      <c r="M956" s="22"/>
      <c r="N956" s="22"/>
      <c r="O956" s="22"/>
      <c r="P956" s="46"/>
      <c r="Q956" s="40"/>
      <c r="R956" s="41"/>
      <c r="S956" s="22" t="str">
        <f t="shared" si="85"/>
        <v/>
      </c>
      <c r="T956" s="41"/>
      <c r="U956" s="41" t="str">
        <f t="shared" si="89"/>
        <v/>
      </c>
      <c r="V956" s="44"/>
      <c r="W956" s="44"/>
      <c r="X956" s="46"/>
      <c r="Y956" s="46"/>
      <c r="Z956" s="46"/>
      <c r="AA956" s="41"/>
      <c r="AB956" s="22"/>
      <c r="AC956" s="22"/>
      <c r="AD956" s="41"/>
      <c r="AE956" s="22"/>
      <c r="AF956" s="22"/>
      <c r="AG956" s="48" t="str">
        <f t="shared" si="86"/>
        <v/>
      </c>
      <c r="AH956" s="48" t="str">
        <f t="shared" si="87"/>
        <v/>
      </c>
      <c r="AI956" s="48" t="str">
        <f t="shared" si="88"/>
        <v/>
      </c>
      <c r="AJ956" s="40" t="str">
        <f t="shared" si="90"/>
        <v/>
      </c>
      <c r="AK956" s="40"/>
      <c r="AL956" s="40"/>
      <c r="AM956" s="22"/>
      <c r="AQ956" s="46"/>
    </row>
    <row r="957" spans="1:43" ht="17.399999999999999">
      <c r="A957" s="22"/>
      <c r="B957" s="22"/>
      <c r="C957" s="56"/>
      <c r="D957" s="56"/>
      <c r="E957" s="22"/>
      <c r="F957" s="22"/>
      <c r="G957" s="22"/>
      <c r="H957" s="22"/>
      <c r="I957" s="49"/>
      <c r="J957" s="50"/>
      <c r="K957" s="22"/>
      <c r="L957" s="22"/>
      <c r="M957" s="22"/>
      <c r="N957" s="22"/>
      <c r="O957" s="22"/>
      <c r="P957" s="46"/>
      <c r="Q957" s="40"/>
      <c r="R957" s="41"/>
      <c r="S957" s="22" t="str">
        <f t="shared" si="85"/>
        <v/>
      </c>
      <c r="T957" s="41"/>
      <c r="U957" s="41" t="str">
        <f t="shared" si="89"/>
        <v/>
      </c>
      <c r="V957" s="44"/>
      <c r="W957" s="44"/>
      <c r="X957" s="46"/>
      <c r="Y957" s="46"/>
      <c r="Z957" s="46"/>
      <c r="AA957" s="41"/>
      <c r="AB957" s="22"/>
      <c r="AC957" s="22"/>
      <c r="AD957" s="41"/>
      <c r="AE957" s="22"/>
      <c r="AF957" s="22"/>
      <c r="AG957" s="48" t="str">
        <f t="shared" si="86"/>
        <v/>
      </c>
      <c r="AH957" s="48" t="str">
        <f t="shared" si="87"/>
        <v/>
      </c>
      <c r="AI957" s="48" t="str">
        <f t="shared" si="88"/>
        <v/>
      </c>
      <c r="AJ957" s="40" t="str">
        <f t="shared" si="90"/>
        <v/>
      </c>
      <c r="AK957" s="40"/>
      <c r="AL957" s="40"/>
      <c r="AM957" s="22"/>
      <c r="AQ957" s="46"/>
    </row>
    <row r="958" spans="1:43" ht="17.399999999999999">
      <c r="A958" s="22"/>
      <c r="B958" s="22"/>
      <c r="C958" s="56"/>
      <c r="D958" s="56"/>
      <c r="E958" s="22"/>
      <c r="F958" s="22"/>
      <c r="G958" s="22"/>
      <c r="H958" s="22"/>
      <c r="I958" s="49"/>
      <c r="J958" s="50"/>
      <c r="K958" s="22"/>
      <c r="L958" s="22"/>
      <c r="M958" s="22"/>
      <c r="N958" s="22"/>
      <c r="O958" s="22"/>
      <c r="P958" s="46"/>
      <c r="Q958" s="40"/>
      <c r="R958" s="41"/>
      <c r="S958" s="22" t="str">
        <f t="shared" si="85"/>
        <v/>
      </c>
      <c r="T958" s="41"/>
      <c r="U958" s="41" t="str">
        <f t="shared" si="89"/>
        <v/>
      </c>
      <c r="V958" s="44"/>
      <c r="W958" s="44"/>
      <c r="X958" s="46"/>
      <c r="Y958" s="46"/>
      <c r="Z958" s="46"/>
      <c r="AA958" s="41"/>
      <c r="AB958" s="22"/>
      <c r="AC958" s="22"/>
      <c r="AD958" s="41"/>
      <c r="AE958" s="22"/>
      <c r="AF958" s="22"/>
      <c r="AG958" s="48" t="str">
        <f t="shared" si="86"/>
        <v/>
      </c>
      <c r="AH958" s="48" t="str">
        <f t="shared" si="87"/>
        <v/>
      </c>
      <c r="AI958" s="48" t="str">
        <f t="shared" si="88"/>
        <v/>
      </c>
      <c r="AJ958" s="40" t="str">
        <f t="shared" si="90"/>
        <v/>
      </c>
      <c r="AK958" s="40"/>
      <c r="AL958" s="40"/>
      <c r="AM958" s="22"/>
      <c r="AQ958" s="46"/>
    </row>
    <row r="959" spans="1:43" ht="17.399999999999999">
      <c r="A959" s="22"/>
      <c r="B959" s="22"/>
      <c r="C959" s="56"/>
      <c r="D959" s="56"/>
      <c r="E959" s="22"/>
      <c r="F959" s="22"/>
      <c r="G959" s="22"/>
      <c r="H959" s="22"/>
      <c r="I959" s="49"/>
      <c r="J959" s="50"/>
      <c r="K959" s="22"/>
      <c r="L959" s="22"/>
      <c r="M959" s="22"/>
      <c r="N959" s="22"/>
      <c r="O959" s="22"/>
      <c r="P959" s="46"/>
      <c r="Q959" s="40"/>
      <c r="R959" s="41"/>
      <c r="S959" s="22" t="str">
        <f t="shared" si="85"/>
        <v/>
      </c>
      <c r="T959" s="41"/>
      <c r="U959" s="41" t="str">
        <f t="shared" si="89"/>
        <v/>
      </c>
      <c r="V959" s="44"/>
      <c r="W959" s="44"/>
      <c r="X959" s="46"/>
      <c r="Y959" s="46"/>
      <c r="Z959" s="46"/>
      <c r="AA959" s="41"/>
      <c r="AB959" s="22"/>
      <c r="AC959" s="22"/>
      <c r="AD959" s="41"/>
      <c r="AE959" s="22"/>
      <c r="AF959" s="22"/>
      <c r="AG959" s="48" t="str">
        <f t="shared" si="86"/>
        <v/>
      </c>
      <c r="AH959" s="48" t="str">
        <f t="shared" si="87"/>
        <v/>
      </c>
      <c r="AI959" s="48" t="str">
        <f t="shared" si="88"/>
        <v/>
      </c>
      <c r="AJ959" s="40" t="str">
        <f t="shared" si="90"/>
        <v/>
      </c>
      <c r="AK959" s="40"/>
      <c r="AL959" s="40"/>
      <c r="AM959" s="22"/>
      <c r="AQ959" s="46"/>
    </row>
    <row r="960" spans="1:43" ht="17.399999999999999">
      <c r="A960" s="22"/>
      <c r="B960" s="22"/>
      <c r="C960" s="56"/>
      <c r="D960" s="56"/>
      <c r="E960" s="22"/>
      <c r="F960" s="22"/>
      <c r="G960" s="22"/>
      <c r="H960" s="22"/>
      <c r="I960" s="49"/>
      <c r="J960" s="50"/>
      <c r="K960" s="22"/>
      <c r="L960" s="22"/>
      <c r="M960" s="22"/>
      <c r="N960" s="22"/>
      <c r="O960" s="22"/>
      <c r="P960" s="46"/>
      <c r="Q960" s="40"/>
      <c r="R960" s="41"/>
      <c r="S960" s="22" t="str">
        <f t="shared" si="85"/>
        <v/>
      </c>
      <c r="T960" s="41"/>
      <c r="U960" s="41" t="str">
        <f t="shared" si="89"/>
        <v/>
      </c>
      <c r="V960" s="44"/>
      <c r="W960" s="44"/>
      <c r="X960" s="46"/>
      <c r="Y960" s="46"/>
      <c r="Z960" s="46"/>
      <c r="AA960" s="41"/>
      <c r="AB960" s="22"/>
      <c r="AC960" s="22"/>
      <c r="AD960" s="41"/>
      <c r="AE960" s="22"/>
      <c r="AF960" s="22"/>
      <c r="AG960" s="48" t="str">
        <f t="shared" si="86"/>
        <v/>
      </c>
      <c r="AH960" s="48" t="str">
        <f t="shared" si="87"/>
        <v/>
      </c>
      <c r="AI960" s="48" t="str">
        <f t="shared" si="88"/>
        <v/>
      </c>
      <c r="AJ960" s="40" t="str">
        <f t="shared" si="90"/>
        <v/>
      </c>
      <c r="AK960" s="40"/>
      <c r="AL960" s="40"/>
      <c r="AM960" s="22"/>
      <c r="AQ960" s="46"/>
    </row>
    <row r="961" spans="1:43" ht="17.399999999999999">
      <c r="A961" s="22"/>
      <c r="B961" s="22"/>
      <c r="C961" s="56"/>
      <c r="D961" s="56"/>
      <c r="E961" s="22"/>
      <c r="F961" s="22"/>
      <c r="G961" s="22"/>
      <c r="H961" s="22"/>
      <c r="I961" s="49"/>
      <c r="J961" s="50"/>
      <c r="K961" s="22"/>
      <c r="L961" s="22"/>
      <c r="M961" s="22"/>
      <c r="N961" s="22"/>
      <c r="O961" s="22"/>
      <c r="P961" s="46"/>
      <c r="Q961" s="40"/>
      <c r="R961" s="41"/>
      <c r="S961" s="22" t="str">
        <f t="shared" si="85"/>
        <v/>
      </c>
      <c r="T961" s="41"/>
      <c r="U961" s="41" t="str">
        <f t="shared" si="89"/>
        <v/>
      </c>
      <c r="V961" s="44"/>
      <c r="W961" s="44"/>
      <c r="X961" s="46"/>
      <c r="Y961" s="46"/>
      <c r="Z961" s="46"/>
      <c r="AA961" s="41"/>
      <c r="AB961" s="22"/>
      <c r="AC961" s="22"/>
      <c r="AD961" s="41"/>
      <c r="AE961" s="22"/>
      <c r="AF961" s="22"/>
      <c r="AG961" s="48" t="str">
        <f t="shared" si="86"/>
        <v/>
      </c>
      <c r="AH961" s="48" t="str">
        <f t="shared" si="87"/>
        <v/>
      </c>
      <c r="AI961" s="48" t="str">
        <f t="shared" si="88"/>
        <v/>
      </c>
      <c r="AJ961" s="40" t="str">
        <f t="shared" si="90"/>
        <v/>
      </c>
      <c r="AK961" s="40"/>
      <c r="AL961" s="40"/>
      <c r="AM961" s="22"/>
      <c r="AQ961" s="46"/>
    </row>
    <row r="962" spans="1:43" ht="17.399999999999999">
      <c r="A962" s="22"/>
      <c r="B962" s="22"/>
      <c r="C962" s="56"/>
      <c r="D962" s="56"/>
      <c r="E962" s="22"/>
      <c r="F962" s="22"/>
      <c r="G962" s="22"/>
      <c r="H962" s="22"/>
      <c r="I962" s="49"/>
      <c r="J962" s="50"/>
      <c r="K962" s="22"/>
      <c r="L962" s="22"/>
      <c r="M962" s="22"/>
      <c r="N962" s="22"/>
      <c r="O962" s="22"/>
      <c r="P962" s="46"/>
      <c r="Q962" s="40"/>
      <c r="R962" s="41"/>
      <c r="S962" s="22" t="str">
        <f t="shared" si="85"/>
        <v/>
      </c>
      <c r="T962" s="41"/>
      <c r="U962" s="41" t="str">
        <f t="shared" si="89"/>
        <v/>
      </c>
      <c r="V962" s="44"/>
      <c r="W962" s="44"/>
      <c r="X962" s="46"/>
      <c r="Y962" s="46"/>
      <c r="Z962" s="46"/>
      <c r="AA962" s="41"/>
      <c r="AB962" s="22"/>
      <c r="AC962" s="22"/>
      <c r="AD962" s="41"/>
      <c r="AE962" s="22"/>
      <c r="AF962" s="22"/>
      <c r="AG962" s="48" t="str">
        <f t="shared" si="86"/>
        <v/>
      </c>
      <c r="AH962" s="48" t="str">
        <f t="shared" si="87"/>
        <v/>
      </c>
      <c r="AI962" s="48" t="str">
        <f t="shared" si="88"/>
        <v/>
      </c>
      <c r="AJ962" s="40" t="str">
        <f t="shared" si="90"/>
        <v/>
      </c>
      <c r="AK962" s="40"/>
      <c r="AL962" s="40"/>
      <c r="AM962" s="22"/>
      <c r="AQ962" s="46"/>
    </row>
    <row r="963" spans="1:43" ht="17.399999999999999">
      <c r="A963" s="22"/>
      <c r="B963" s="22"/>
      <c r="C963" s="56"/>
      <c r="D963" s="56"/>
      <c r="E963" s="22"/>
      <c r="F963" s="22"/>
      <c r="G963" s="22"/>
      <c r="H963" s="22"/>
      <c r="I963" s="49"/>
      <c r="J963" s="50"/>
      <c r="K963" s="22"/>
      <c r="L963" s="22"/>
      <c r="M963" s="22"/>
      <c r="N963" s="22"/>
      <c r="O963" s="22"/>
      <c r="P963" s="46"/>
      <c r="Q963" s="40"/>
      <c r="R963" s="41"/>
      <c r="S963" s="22" t="str">
        <f t="shared" ref="S963:S1026" si="91">IF(A963="","",M963+O963)</f>
        <v/>
      </c>
      <c r="T963" s="41"/>
      <c r="U963" s="41" t="str">
        <f t="shared" si="89"/>
        <v/>
      </c>
      <c r="V963" s="44"/>
      <c r="W963" s="44"/>
      <c r="X963" s="46"/>
      <c r="Y963" s="46"/>
      <c r="Z963" s="46"/>
      <c r="AA963" s="41"/>
      <c r="AB963" s="22"/>
      <c r="AC963" s="22"/>
      <c r="AD963" s="41"/>
      <c r="AE963" s="22"/>
      <c r="AF963" s="22"/>
      <c r="AG963" s="48" t="str">
        <f t="shared" ref="AG963:AG1026" si="92">IF(A963="","",S963-Y963)</f>
        <v/>
      </c>
      <c r="AH963" s="48" t="str">
        <f t="shared" ref="AH963:AH1026" si="93">IF(A963="","",Y963-(AC963+AF963))</f>
        <v/>
      </c>
      <c r="AI963" s="48" t="str">
        <f t="shared" ref="AI963:AI1026" si="94">IF(A963="","",AG963+AH963)</f>
        <v/>
      </c>
      <c r="AJ963" s="40" t="str">
        <f t="shared" si="90"/>
        <v/>
      </c>
      <c r="AK963" s="40"/>
      <c r="AL963" s="40"/>
      <c r="AM963" s="22"/>
      <c r="AQ963" s="46"/>
    </row>
    <row r="964" spans="1:43" ht="17.399999999999999">
      <c r="A964" s="22"/>
      <c r="B964" s="22"/>
      <c r="C964" s="56"/>
      <c r="D964" s="56"/>
      <c r="E964" s="22"/>
      <c r="F964" s="22"/>
      <c r="G964" s="22"/>
      <c r="H964" s="22"/>
      <c r="I964" s="49"/>
      <c r="J964" s="50"/>
      <c r="K964" s="22"/>
      <c r="L964" s="22"/>
      <c r="M964" s="22"/>
      <c r="N964" s="22"/>
      <c r="O964" s="22"/>
      <c r="P964" s="46"/>
      <c r="Q964" s="40"/>
      <c r="R964" s="41"/>
      <c r="S964" s="22" t="str">
        <f t="shared" si="91"/>
        <v/>
      </c>
      <c r="T964" s="41"/>
      <c r="U964" s="41" t="str">
        <f t="shared" ref="U964:U1027" si="95">IF(OR(P964="FEC-FS",P964="PALTEK",P964="SDSE(TOKE)"),"Upload in customer box","")</f>
        <v/>
      </c>
      <c r="V964" s="44"/>
      <c r="W964" s="44"/>
      <c r="X964" s="46"/>
      <c r="Y964" s="46"/>
      <c r="Z964" s="46"/>
      <c r="AA964" s="41"/>
      <c r="AB964" s="22"/>
      <c r="AC964" s="22"/>
      <c r="AD964" s="41"/>
      <c r="AE964" s="22"/>
      <c r="AF964" s="22"/>
      <c r="AG964" s="48" t="str">
        <f t="shared" si="92"/>
        <v/>
      </c>
      <c r="AH964" s="48" t="str">
        <f t="shared" si="93"/>
        <v/>
      </c>
      <c r="AI964" s="48" t="str">
        <f t="shared" si="94"/>
        <v/>
      </c>
      <c r="AJ964" s="40" t="str">
        <f t="shared" si="90"/>
        <v/>
      </c>
      <c r="AK964" s="40"/>
      <c r="AL964" s="40"/>
      <c r="AM964" s="22"/>
      <c r="AQ964" s="46"/>
    </row>
    <row r="965" spans="1:43" ht="17.399999999999999">
      <c r="A965" s="22"/>
      <c r="B965" s="22"/>
      <c r="C965" s="56"/>
      <c r="D965" s="56"/>
      <c r="E965" s="22"/>
      <c r="F965" s="22"/>
      <c r="G965" s="22"/>
      <c r="H965" s="22"/>
      <c r="I965" s="49"/>
      <c r="J965" s="50"/>
      <c r="K965" s="22"/>
      <c r="L965" s="22"/>
      <c r="M965" s="22"/>
      <c r="N965" s="22"/>
      <c r="O965" s="22"/>
      <c r="P965" s="46"/>
      <c r="Q965" s="40"/>
      <c r="R965" s="41"/>
      <c r="S965" s="22" t="str">
        <f t="shared" si="91"/>
        <v/>
      </c>
      <c r="T965" s="41"/>
      <c r="U965" s="41" t="str">
        <f t="shared" si="95"/>
        <v/>
      </c>
      <c r="V965" s="44"/>
      <c r="W965" s="44"/>
      <c r="X965" s="46"/>
      <c r="Y965" s="46"/>
      <c r="Z965" s="46"/>
      <c r="AA965" s="41"/>
      <c r="AB965" s="22"/>
      <c r="AC965" s="22"/>
      <c r="AD965" s="41"/>
      <c r="AE965" s="22"/>
      <c r="AF965" s="22"/>
      <c r="AG965" s="48" t="str">
        <f t="shared" si="92"/>
        <v/>
      </c>
      <c r="AH965" s="48" t="str">
        <f t="shared" si="93"/>
        <v/>
      </c>
      <c r="AI965" s="48" t="str">
        <f t="shared" si="94"/>
        <v/>
      </c>
      <c r="AJ965" s="40" t="str">
        <f t="shared" si="90"/>
        <v/>
      </c>
      <c r="AK965" s="40"/>
      <c r="AL965" s="40"/>
      <c r="AM965" s="22"/>
      <c r="AQ965" s="46"/>
    </row>
    <row r="966" spans="1:43" ht="17.399999999999999">
      <c r="A966" s="22"/>
      <c r="B966" s="22"/>
      <c r="C966" s="56"/>
      <c r="D966" s="56"/>
      <c r="E966" s="22"/>
      <c r="F966" s="22"/>
      <c r="G966" s="22"/>
      <c r="H966" s="22"/>
      <c r="I966" s="49"/>
      <c r="J966" s="50"/>
      <c r="K966" s="22"/>
      <c r="L966" s="22"/>
      <c r="M966" s="22"/>
      <c r="N966" s="22"/>
      <c r="O966" s="22"/>
      <c r="P966" s="46"/>
      <c r="Q966" s="40"/>
      <c r="R966" s="41"/>
      <c r="S966" s="22" t="str">
        <f t="shared" si="91"/>
        <v/>
      </c>
      <c r="T966" s="41"/>
      <c r="U966" s="41" t="str">
        <f t="shared" si="95"/>
        <v/>
      </c>
      <c r="V966" s="44"/>
      <c r="W966" s="44"/>
      <c r="X966" s="46"/>
      <c r="Y966" s="46"/>
      <c r="Z966" s="46"/>
      <c r="AA966" s="41"/>
      <c r="AB966" s="22"/>
      <c r="AC966" s="22"/>
      <c r="AD966" s="41"/>
      <c r="AE966" s="22"/>
      <c r="AF966" s="22"/>
      <c r="AG966" s="48" t="str">
        <f t="shared" si="92"/>
        <v/>
      </c>
      <c r="AH966" s="48" t="str">
        <f t="shared" si="93"/>
        <v/>
      </c>
      <c r="AI966" s="48" t="str">
        <f t="shared" si="94"/>
        <v/>
      </c>
      <c r="AJ966" s="40" t="str">
        <f t="shared" si="90"/>
        <v/>
      </c>
      <c r="AK966" s="40"/>
      <c r="AL966" s="40"/>
      <c r="AM966" s="22"/>
      <c r="AQ966" s="46"/>
    </row>
    <row r="967" spans="1:43" ht="17.399999999999999">
      <c r="A967" s="22"/>
      <c r="B967" s="22"/>
      <c r="C967" s="56"/>
      <c r="D967" s="56"/>
      <c r="E967" s="22"/>
      <c r="F967" s="22"/>
      <c r="G967" s="22"/>
      <c r="H967" s="22"/>
      <c r="I967" s="49"/>
      <c r="J967" s="50"/>
      <c r="K967" s="22"/>
      <c r="L967" s="22"/>
      <c r="M967" s="22"/>
      <c r="N967" s="22"/>
      <c r="O967" s="22"/>
      <c r="P967" s="46"/>
      <c r="Q967" s="40"/>
      <c r="R967" s="41"/>
      <c r="S967" s="22" t="str">
        <f t="shared" si="91"/>
        <v/>
      </c>
      <c r="T967" s="41"/>
      <c r="U967" s="41" t="str">
        <f t="shared" si="95"/>
        <v/>
      </c>
      <c r="V967" s="44"/>
      <c r="W967" s="44"/>
      <c r="X967" s="46"/>
      <c r="Y967" s="46"/>
      <c r="Z967" s="46"/>
      <c r="AA967" s="41"/>
      <c r="AB967" s="22"/>
      <c r="AC967" s="22"/>
      <c r="AD967" s="41"/>
      <c r="AE967" s="22"/>
      <c r="AF967" s="22"/>
      <c r="AG967" s="48" t="str">
        <f t="shared" si="92"/>
        <v/>
      </c>
      <c r="AH967" s="48" t="str">
        <f t="shared" si="93"/>
        <v/>
      </c>
      <c r="AI967" s="48" t="str">
        <f t="shared" si="94"/>
        <v/>
      </c>
      <c r="AJ967" s="40" t="str">
        <f t="shared" si="90"/>
        <v/>
      </c>
      <c r="AK967" s="40"/>
      <c r="AL967" s="40"/>
      <c r="AM967" s="22"/>
      <c r="AQ967" s="46"/>
    </row>
    <row r="968" spans="1:43" ht="17.399999999999999">
      <c r="A968" s="22"/>
      <c r="B968" s="22"/>
      <c r="C968" s="56"/>
      <c r="D968" s="56"/>
      <c r="E968" s="22"/>
      <c r="F968" s="22"/>
      <c r="G968" s="22"/>
      <c r="H968" s="22"/>
      <c r="I968" s="49"/>
      <c r="J968" s="50"/>
      <c r="K968" s="22"/>
      <c r="L968" s="22"/>
      <c r="M968" s="22"/>
      <c r="N968" s="22"/>
      <c r="O968" s="22"/>
      <c r="P968" s="46"/>
      <c r="Q968" s="40"/>
      <c r="R968" s="41"/>
      <c r="S968" s="22" t="str">
        <f t="shared" si="91"/>
        <v/>
      </c>
      <c r="T968" s="41"/>
      <c r="U968" s="41" t="str">
        <f t="shared" si="95"/>
        <v/>
      </c>
      <c r="V968" s="44"/>
      <c r="W968" s="44"/>
      <c r="X968" s="46"/>
      <c r="Y968" s="46"/>
      <c r="Z968" s="46"/>
      <c r="AA968" s="41"/>
      <c r="AB968" s="22"/>
      <c r="AC968" s="22"/>
      <c r="AD968" s="41"/>
      <c r="AE968" s="22"/>
      <c r="AF968" s="22"/>
      <c r="AG968" s="48" t="str">
        <f t="shared" si="92"/>
        <v/>
      </c>
      <c r="AH968" s="48" t="str">
        <f t="shared" si="93"/>
        <v/>
      </c>
      <c r="AI968" s="48" t="str">
        <f t="shared" si="94"/>
        <v/>
      </c>
      <c r="AJ968" s="40" t="str">
        <f t="shared" si="90"/>
        <v/>
      </c>
      <c r="AK968" s="40"/>
      <c r="AL968" s="40"/>
      <c r="AM968" s="22"/>
      <c r="AQ968" s="46"/>
    </row>
    <row r="969" spans="1:43" ht="17.399999999999999">
      <c r="A969" s="22"/>
      <c r="B969" s="22"/>
      <c r="C969" s="56"/>
      <c r="D969" s="56"/>
      <c r="E969" s="22"/>
      <c r="F969" s="22"/>
      <c r="G969" s="22"/>
      <c r="H969" s="22"/>
      <c r="I969" s="49"/>
      <c r="J969" s="50"/>
      <c r="K969" s="22"/>
      <c r="L969" s="22"/>
      <c r="M969" s="22"/>
      <c r="N969" s="22"/>
      <c r="O969" s="22"/>
      <c r="P969" s="46"/>
      <c r="Q969" s="40"/>
      <c r="R969" s="41"/>
      <c r="S969" s="22" t="str">
        <f t="shared" si="91"/>
        <v/>
      </c>
      <c r="T969" s="41"/>
      <c r="U969" s="41" t="str">
        <f t="shared" si="95"/>
        <v/>
      </c>
      <c r="V969" s="44"/>
      <c r="W969" s="44"/>
      <c r="X969" s="46"/>
      <c r="Y969" s="46"/>
      <c r="Z969" s="46"/>
      <c r="AA969" s="41"/>
      <c r="AB969" s="22"/>
      <c r="AC969" s="22"/>
      <c r="AD969" s="41"/>
      <c r="AE969" s="22"/>
      <c r="AF969" s="22"/>
      <c r="AG969" s="48" t="str">
        <f t="shared" si="92"/>
        <v/>
      </c>
      <c r="AH969" s="48" t="str">
        <f t="shared" si="93"/>
        <v/>
      </c>
      <c r="AI969" s="48" t="str">
        <f t="shared" si="94"/>
        <v/>
      </c>
      <c r="AJ969" s="40" t="str">
        <f t="shared" si="90"/>
        <v/>
      </c>
      <c r="AK969" s="40"/>
      <c r="AL969" s="40"/>
      <c r="AM969" s="22"/>
      <c r="AQ969" s="46"/>
    </row>
    <row r="970" spans="1:43" ht="17.399999999999999">
      <c r="A970" s="22"/>
      <c r="B970" s="22"/>
      <c r="C970" s="56"/>
      <c r="D970" s="56"/>
      <c r="E970" s="22"/>
      <c r="F970" s="22"/>
      <c r="G970" s="22"/>
      <c r="H970" s="22"/>
      <c r="I970" s="49"/>
      <c r="J970" s="50"/>
      <c r="K970" s="22"/>
      <c r="L970" s="22"/>
      <c r="M970" s="22"/>
      <c r="N970" s="22"/>
      <c r="O970" s="22"/>
      <c r="P970" s="46"/>
      <c r="Q970" s="40"/>
      <c r="R970" s="41"/>
      <c r="S970" s="22" t="str">
        <f t="shared" si="91"/>
        <v/>
      </c>
      <c r="T970" s="41"/>
      <c r="U970" s="41" t="str">
        <f t="shared" si="95"/>
        <v/>
      </c>
      <c r="V970" s="44"/>
      <c r="W970" s="44"/>
      <c r="X970" s="46"/>
      <c r="Y970" s="46"/>
      <c r="Z970" s="46"/>
      <c r="AA970" s="41"/>
      <c r="AB970" s="22"/>
      <c r="AC970" s="22"/>
      <c r="AD970" s="41"/>
      <c r="AE970" s="22"/>
      <c r="AF970" s="22"/>
      <c r="AG970" s="48" t="str">
        <f t="shared" si="92"/>
        <v/>
      </c>
      <c r="AH970" s="48" t="str">
        <f t="shared" si="93"/>
        <v/>
      </c>
      <c r="AI970" s="48" t="str">
        <f t="shared" si="94"/>
        <v/>
      </c>
      <c r="AJ970" s="40" t="str">
        <f t="shared" si="90"/>
        <v/>
      </c>
      <c r="AK970" s="40"/>
      <c r="AL970" s="40"/>
      <c r="AM970" s="22"/>
      <c r="AQ970" s="46"/>
    </row>
    <row r="971" spans="1:43" ht="17.399999999999999">
      <c r="A971" s="22"/>
      <c r="B971" s="22"/>
      <c r="C971" s="56"/>
      <c r="D971" s="56"/>
      <c r="E971" s="22"/>
      <c r="F971" s="22"/>
      <c r="G971" s="22"/>
      <c r="H971" s="22"/>
      <c r="I971" s="49"/>
      <c r="J971" s="50"/>
      <c r="K971" s="22"/>
      <c r="L971" s="22"/>
      <c r="M971" s="22"/>
      <c r="N971" s="22"/>
      <c r="O971" s="22"/>
      <c r="P971" s="46"/>
      <c r="Q971" s="40"/>
      <c r="R971" s="41"/>
      <c r="S971" s="22" t="str">
        <f t="shared" si="91"/>
        <v/>
      </c>
      <c r="T971" s="41"/>
      <c r="U971" s="41" t="str">
        <f t="shared" si="95"/>
        <v/>
      </c>
      <c r="V971" s="44"/>
      <c r="W971" s="44"/>
      <c r="X971" s="46"/>
      <c r="Y971" s="46"/>
      <c r="Z971" s="46"/>
      <c r="AA971" s="41"/>
      <c r="AB971" s="22"/>
      <c r="AC971" s="22"/>
      <c r="AD971" s="41"/>
      <c r="AE971" s="22"/>
      <c r="AF971" s="22"/>
      <c r="AG971" s="48" t="str">
        <f t="shared" si="92"/>
        <v/>
      </c>
      <c r="AH971" s="48" t="str">
        <f t="shared" si="93"/>
        <v/>
      </c>
      <c r="AI971" s="48" t="str">
        <f t="shared" si="94"/>
        <v/>
      </c>
      <c r="AJ971" s="40" t="str">
        <f t="shared" si="90"/>
        <v/>
      </c>
      <c r="AK971" s="40"/>
      <c r="AL971" s="40"/>
      <c r="AM971" s="22"/>
      <c r="AQ971" s="46"/>
    </row>
    <row r="972" spans="1:43" ht="17.399999999999999">
      <c r="A972" s="22"/>
      <c r="B972" s="22"/>
      <c r="C972" s="56"/>
      <c r="D972" s="56"/>
      <c r="E972" s="22"/>
      <c r="F972" s="22"/>
      <c r="G972" s="22"/>
      <c r="H972" s="22"/>
      <c r="I972" s="49"/>
      <c r="J972" s="50"/>
      <c r="K972" s="22"/>
      <c r="L972" s="22"/>
      <c r="M972" s="22"/>
      <c r="N972" s="22"/>
      <c r="O972" s="22"/>
      <c r="P972" s="46"/>
      <c r="Q972" s="40"/>
      <c r="R972" s="41"/>
      <c r="S972" s="22" t="str">
        <f t="shared" si="91"/>
        <v/>
      </c>
      <c r="T972" s="41"/>
      <c r="U972" s="41" t="str">
        <f t="shared" si="95"/>
        <v/>
      </c>
      <c r="V972" s="44"/>
      <c r="W972" s="44"/>
      <c r="X972" s="46"/>
      <c r="Y972" s="46"/>
      <c r="Z972" s="46"/>
      <c r="AA972" s="41"/>
      <c r="AB972" s="22"/>
      <c r="AC972" s="22"/>
      <c r="AD972" s="41"/>
      <c r="AE972" s="22"/>
      <c r="AF972" s="22"/>
      <c r="AG972" s="48" t="str">
        <f t="shared" si="92"/>
        <v/>
      </c>
      <c r="AH972" s="48" t="str">
        <f t="shared" si="93"/>
        <v/>
      </c>
      <c r="AI972" s="48" t="str">
        <f t="shared" si="94"/>
        <v/>
      </c>
      <c r="AJ972" s="40" t="str">
        <f t="shared" si="90"/>
        <v/>
      </c>
      <c r="AK972" s="40"/>
      <c r="AL972" s="40"/>
      <c r="AM972" s="22"/>
      <c r="AQ972" s="46"/>
    </row>
    <row r="973" spans="1:43" ht="17.399999999999999">
      <c r="A973" s="22"/>
      <c r="B973" s="22"/>
      <c r="C973" s="56"/>
      <c r="D973" s="56"/>
      <c r="E973" s="22"/>
      <c r="F973" s="22"/>
      <c r="G973" s="22"/>
      <c r="H973" s="22"/>
      <c r="I973" s="49"/>
      <c r="J973" s="50"/>
      <c r="K973" s="22"/>
      <c r="L973" s="22"/>
      <c r="M973" s="22"/>
      <c r="N973" s="22"/>
      <c r="O973" s="22"/>
      <c r="P973" s="46"/>
      <c r="Q973" s="40"/>
      <c r="R973" s="41"/>
      <c r="S973" s="22" t="str">
        <f t="shared" si="91"/>
        <v/>
      </c>
      <c r="T973" s="41"/>
      <c r="U973" s="41" t="str">
        <f t="shared" si="95"/>
        <v/>
      </c>
      <c r="V973" s="44"/>
      <c r="W973" s="44"/>
      <c r="X973" s="46"/>
      <c r="Y973" s="46"/>
      <c r="Z973" s="46"/>
      <c r="AA973" s="41"/>
      <c r="AB973" s="22"/>
      <c r="AC973" s="22"/>
      <c r="AD973" s="41"/>
      <c r="AE973" s="22"/>
      <c r="AF973" s="22"/>
      <c r="AG973" s="48" t="str">
        <f t="shared" si="92"/>
        <v/>
      </c>
      <c r="AH973" s="48" t="str">
        <f t="shared" si="93"/>
        <v/>
      </c>
      <c r="AI973" s="48" t="str">
        <f t="shared" si="94"/>
        <v/>
      </c>
      <c r="AJ973" s="40" t="str">
        <f t="shared" si="90"/>
        <v/>
      </c>
      <c r="AK973" s="40"/>
      <c r="AL973" s="40"/>
      <c r="AM973" s="22"/>
      <c r="AQ973" s="46"/>
    </row>
    <row r="974" spans="1:43" ht="17.399999999999999">
      <c r="A974" s="22"/>
      <c r="B974" s="22"/>
      <c r="C974" s="56"/>
      <c r="D974" s="56"/>
      <c r="E974" s="22"/>
      <c r="F974" s="22"/>
      <c r="G974" s="22"/>
      <c r="H974" s="22"/>
      <c r="I974" s="49"/>
      <c r="J974" s="50"/>
      <c r="K974" s="22"/>
      <c r="L974" s="22"/>
      <c r="M974" s="22"/>
      <c r="N974" s="22"/>
      <c r="O974" s="22"/>
      <c r="P974" s="46"/>
      <c r="Q974" s="40"/>
      <c r="R974" s="41"/>
      <c r="S974" s="22" t="str">
        <f t="shared" si="91"/>
        <v/>
      </c>
      <c r="T974" s="41"/>
      <c r="U974" s="41" t="str">
        <f t="shared" si="95"/>
        <v/>
      </c>
      <c r="V974" s="44"/>
      <c r="W974" s="44"/>
      <c r="X974" s="46"/>
      <c r="Y974" s="46"/>
      <c r="Z974" s="46"/>
      <c r="AA974" s="41"/>
      <c r="AB974" s="22"/>
      <c r="AC974" s="22"/>
      <c r="AD974" s="41"/>
      <c r="AE974" s="22"/>
      <c r="AF974" s="22"/>
      <c r="AG974" s="48" t="str">
        <f t="shared" si="92"/>
        <v/>
      </c>
      <c r="AH974" s="48" t="str">
        <f t="shared" si="93"/>
        <v/>
      </c>
      <c r="AI974" s="48" t="str">
        <f t="shared" si="94"/>
        <v/>
      </c>
      <c r="AJ974" s="40" t="str">
        <f t="shared" si="90"/>
        <v/>
      </c>
      <c r="AK974" s="40"/>
      <c r="AL974" s="40"/>
      <c r="AM974" s="22"/>
      <c r="AQ974" s="46"/>
    </row>
    <row r="975" spans="1:43" ht="17.399999999999999">
      <c r="A975" s="22"/>
      <c r="B975" s="22"/>
      <c r="C975" s="56"/>
      <c r="D975" s="56"/>
      <c r="E975" s="22"/>
      <c r="F975" s="22"/>
      <c r="G975" s="22"/>
      <c r="H975" s="22"/>
      <c r="I975" s="49"/>
      <c r="J975" s="50"/>
      <c r="K975" s="22"/>
      <c r="L975" s="22"/>
      <c r="M975" s="22"/>
      <c r="N975" s="22"/>
      <c r="O975" s="22"/>
      <c r="P975" s="46"/>
      <c r="Q975" s="40"/>
      <c r="R975" s="41"/>
      <c r="S975" s="22" t="str">
        <f t="shared" si="91"/>
        <v/>
      </c>
      <c r="T975" s="41"/>
      <c r="U975" s="41" t="str">
        <f t="shared" si="95"/>
        <v/>
      </c>
      <c r="V975" s="44"/>
      <c r="W975" s="44"/>
      <c r="X975" s="46"/>
      <c r="Y975" s="46"/>
      <c r="Z975" s="46"/>
      <c r="AA975" s="41"/>
      <c r="AB975" s="22"/>
      <c r="AC975" s="22"/>
      <c r="AD975" s="41"/>
      <c r="AE975" s="22"/>
      <c r="AF975" s="22"/>
      <c r="AG975" s="48" t="str">
        <f t="shared" si="92"/>
        <v/>
      </c>
      <c r="AH975" s="48" t="str">
        <f t="shared" si="93"/>
        <v/>
      </c>
      <c r="AI975" s="48" t="str">
        <f t="shared" si="94"/>
        <v/>
      </c>
      <c r="AJ975" s="40" t="str">
        <f t="shared" si="90"/>
        <v/>
      </c>
      <c r="AK975" s="40"/>
      <c r="AL975" s="40"/>
      <c r="AM975" s="22"/>
      <c r="AQ975" s="46"/>
    </row>
    <row r="976" spans="1:43" ht="17.399999999999999">
      <c r="A976" s="22"/>
      <c r="B976" s="22"/>
      <c r="C976" s="56"/>
      <c r="D976" s="56"/>
      <c r="E976" s="22"/>
      <c r="F976" s="22"/>
      <c r="G976" s="22"/>
      <c r="H976" s="22"/>
      <c r="I976" s="49"/>
      <c r="J976" s="50"/>
      <c r="K976" s="22"/>
      <c r="L976" s="22"/>
      <c r="M976" s="22"/>
      <c r="N976" s="22"/>
      <c r="O976" s="22"/>
      <c r="P976" s="46"/>
      <c r="Q976" s="40"/>
      <c r="R976" s="41"/>
      <c r="S976" s="22" t="str">
        <f t="shared" si="91"/>
        <v/>
      </c>
      <c r="T976" s="41"/>
      <c r="U976" s="41" t="str">
        <f t="shared" si="95"/>
        <v/>
      </c>
      <c r="V976" s="44"/>
      <c r="W976" s="44"/>
      <c r="X976" s="46"/>
      <c r="Y976" s="46"/>
      <c r="Z976" s="46"/>
      <c r="AA976" s="41"/>
      <c r="AB976" s="22"/>
      <c r="AC976" s="22"/>
      <c r="AD976" s="41"/>
      <c r="AE976" s="22"/>
      <c r="AF976" s="22"/>
      <c r="AG976" s="48" t="str">
        <f t="shared" si="92"/>
        <v/>
      </c>
      <c r="AH976" s="48" t="str">
        <f t="shared" si="93"/>
        <v/>
      </c>
      <c r="AI976" s="48" t="str">
        <f t="shared" si="94"/>
        <v/>
      </c>
      <c r="AJ976" s="40" t="str">
        <f t="shared" si="90"/>
        <v/>
      </c>
      <c r="AK976" s="40"/>
      <c r="AL976" s="40"/>
      <c r="AM976" s="22"/>
      <c r="AQ976" s="46"/>
    </row>
    <row r="977" spans="1:43" ht="17.399999999999999">
      <c r="A977" s="22"/>
      <c r="B977" s="22"/>
      <c r="C977" s="56"/>
      <c r="D977" s="56"/>
      <c r="E977" s="22"/>
      <c r="F977" s="22"/>
      <c r="G977" s="22"/>
      <c r="H977" s="22"/>
      <c r="I977" s="49"/>
      <c r="J977" s="50"/>
      <c r="K977" s="22"/>
      <c r="L977" s="22"/>
      <c r="M977" s="22"/>
      <c r="N977" s="22"/>
      <c r="O977" s="22"/>
      <c r="P977" s="46"/>
      <c r="Q977" s="40"/>
      <c r="R977" s="41"/>
      <c r="S977" s="22" t="str">
        <f t="shared" si="91"/>
        <v/>
      </c>
      <c r="T977" s="41"/>
      <c r="U977" s="41" t="str">
        <f t="shared" si="95"/>
        <v/>
      </c>
      <c r="V977" s="44"/>
      <c r="W977" s="44"/>
      <c r="X977" s="46"/>
      <c r="Y977" s="46"/>
      <c r="Z977" s="46"/>
      <c r="AA977" s="41"/>
      <c r="AB977" s="22"/>
      <c r="AC977" s="22"/>
      <c r="AD977" s="41"/>
      <c r="AE977" s="22"/>
      <c r="AF977" s="22"/>
      <c r="AG977" s="48" t="str">
        <f t="shared" si="92"/>
        <v/>
      </c>
      <c r="AH977" s="48" t="str">
        <f t="shared" si="93"/>
        <v/>
      </c>
      <c r="AI977" s="48" t="str">
        <f t="shared" si="94"/>
        <v/>
      </c>
      <c r="AJ977" s="40" t="str">
        <f t="shared" si="90"/>
        <v/>
      </c>
      <c r="AK977" s="40"/>
      <c r="AL977" s="40"/>
      <c r="AM977" s="22"/>
      <c r="AQ977" s="46"/>
    </row>
    <row r="978" spans="1:43" ht="17.399999999999999">
      <c r="A978" s="22"/>
      <c r="B978" s="22"/>
      <c r="C978" s="56"/>
      <c r="D978" s="56"/>
      <c r="E978" s="22"/>
      <c r="F978" s="22"/>
      <c r="G978" s="22"/>
      <c r="H978" s="22"/>
      <c r="I978" s="49"/>
      <c r="J978" s="50"/>
      <c r="K978" s="22"/>
      <c r="L978" s="22"/>
      <c r="M978" s="22"/>
      <c r="N978" s="22"/>
      <c r="O978" s="22"/>
      <c r="P978" s="46"/>
      <c r="Q978" s="40"/>
      <c r="R978" s="41"/>
      <c r="S978" s="22" t="str">
        <f t="shared" si="91"/>
        <v/>
      </c>
      <c r="T978" s="41"/>
      <c r="U978" s="41" t="str">
        <f t="shared" si="95"/>
        <v/>
      </c>
      <c r="V978" s="44"/>
      <c r="W978" s="44"/>
      <c r="X978" s="46"/>
      <c r="Y978" s="46"/>
      <c r="Z978" s="46"/>
      <c r="AA978" s="41"/>
      <c r="AB978" s="22"/>
      <c r="AC978" s="22"/>
      <c r="AD978" s="41"/>
      <c r="AE978" s="22"/>
      <c r="AF978" s="22"/>
      <c r="AG978" s="48" t="str">
        <f t="shared" si="92"/>
        <v/>
      </c>
      <c r="AH978" s="48" t="str">
        <f t="shared" si="93"/>
        <v/>
      </c>
      <c r="AI978" s="48" t="str">
        <f t="shared" si="94"/>
        <v/>
      </c>
      <c r="AJ978" s="40" t="str">
        <f t="shared" si="90"/>
        <v/>
      </c>
      <c r="AK978" s="40"/>
      <c r="AL978" s="40"/>
      <c r="AM978" s="22"/>
      <c r="AQ978" s="46"/>
    </row>
    <row r="979" spans="1:43" ht="17.399999999999999">
      <c r="A979" s="22"/>
      <c r="B979" s="22"/>
      <c r="C979" s="56"/>
      <c r="D979" s="56"/>
      <c r="E979" s="22"/>
      <c r="F979" s="22"/>
      <c r="G979" s="22"/>
      <c r="H979" s="22"/>
      <c r="I979" s="49"/>
      <c r="J979" s="50"/>
      <c r="K979" s="22"/>
      <c r="L979" s="22"/>
      <c r="M979" s="22"/>
      <c r="N979" s="22"/>
      <c r="O979" s="22"/>
      <c r="P979" s="46"/>
      <c r="Q979" s="40"/>
      <c r="R979" s="41"/>
      <c r="S979" s="22" t="str">
        <f t="shared" si="91"/>
        <v/>
      </c>
      <c r="T979" s="41"/>
      <c r="U979" s="41" t="str">
        <f t="shared" si="95"/>
        <v/>
      </c>
      <c r="V979" s="44"/>
      <c r="W979" s="44"/>
      <c r="X979" s="46"/>
      <c r="Y979" s="46"/>
      <c r="Z979" s="46"/>
      <c r="AA979" s="41"/>
      <c r="AB979" s="22"/>
      <c r="AC979" s="22"/>
      <c r="AD979" s="41"/>
      <c r="AE979" s="22"/>
      <c r="AF979" s="22"/>
      <c r="AG979" s="48" t="str">
        <f t="shared" si="92"/>
        <v/>
      </c>
      <c r="AH979" s="48" t="str">
        <f t="shared" si="93"/>
        <v/>
      </c>
      <c r="AI979" s="48" t="str">
        <f t="shared" si="94"/>
        <v/>
      </c>
      <c r="AJ979" s="40" t="str">
        <f t="shared" si="90"/>
        <v/>
      </c>
      <c r="AK979" s="40"/>
      <c r="AL979" s="40"/>
      <c r="AM979" s="22"/>
      <c r="AQ979" s="46"/>
    </row>
    <row r="980" spans="1:43" ht="17.399999999999999">
      <c r="A980" s="22"/>
      <c r="B980" s="22"/>
      <c r="C980" s="56"/>
      <c r="D980" s="56"/>
      <c r="E980" s="22"/>
      <c r="F980" s="22"/>
      <c r="G980" s="22"/>
      <c r="H980" s="22"/>
      <c r="I980" s="49"/>
      <c r="J980" s="50"/>
      <c r="K980" s="22"/>
      <c r="L980" s="22"/>
      <c r="M980" s="22"/>
      <c r="N980" s="22"/>
      <c r="O980" s="22"/>
      <c r="P980" s="46"/>
      <c r="Q980" s="40"/>
      <c r="R980" s="41"/>
      <c r="S980" s="22" t="str">
        <f t="shared" si="91"/>
        <v/>
      </c>
      <c r="T980" s="41"/>
      <c r="U980" s="41" t="str">
        <f t="shared" si="95"/>
        <v/>
      </c>
      <c r="V980" s="44"/>
      <c r="W980" s="44"/>
      <c r="X980" s="46"/>
      <c r="Y980" s="46"/>
      <c r="Z980" s="46"/>
      <c r="AA980" s="41"/>
      <c r="AB980" s="22"/>
      <c r="AC980" s="22"/>
      <c r="AD980" s="41"/>
      <c r="AE980" s="22"/>
      <c r="AF980" s="22"/>
      <c r="AG980" s="48" t="str">
        <f t="shared" si="92"/>
        <v/>
      </c>
      <c r="AH980" s="48" t="str">
        <f t="shared" si="93"/>
        <v/>
      </c>
      <c r="AI980" s="48" t="str">
        <f t="shared" si="94"/>
        <v/>
      </c>
      <c r="AJ980" s="40" t="str">
        <f t="shared" si="90"/>
        <v/>
      </c>
      <c r="AK980" s="40"/>
      <c r="AL980" s="40"/>
      <c r="AM980" s="22"/>
      <c r="AQ980" s="46"/>
    </row>
    <row r="981" spans="1:43" ht="17.399999999999999">
      <c r="A981" s="22"/>
      <c r="B981" s="22"/>
      <c r="C981" s="56"/>
      <c r="D981" s="56"/>
      <c r="E981" s="22"/>
      <c r="F981" s="22"/>
      <c r="G981" s="22"/>
      <c r="H981" s="22"/>
      <c r="I981" s="49"/>
      <c r="J981" s="50"/>
      <c r="K981" s="22"/>
      <c r="L981" s="22"/>
      <c r="M981" s="22"/>
      <c r="N981" s="22"/>
      <c r="O981" s="22"/>
      <c r="P981" s="46"/>
      <c r="Q981" s="40"/>
      <c r="R981" s="41"/>
      <c r="S981" s="22" t="str">
        <f t="shared" si="91"/>
        <v/>
      </c>
      <c r="T981" s="41"/>
      <c r="U981" s="41" t="str">
        <f t="shared" si="95"/>
        <v/>
      </c>
      <c r="V981" s="44"/>
      <c r="W981" s="44"/>
      <c r="X981" s="46"/>
      <c r="Y981" s="46"/>
      <c r="Z981" s="46"/>
      <c r="AA981" s="41"/>
      <c r="AB981" s="22"/>
      <c r="AC981" s="22"/>
      <c r="AD981" s="41"/>
      <c r="AE981" s="22"/>
      <c r="AF981" s="22"/>
      <c r="AG981" s="48" t="str">
        <f t="shared" si="92"/>
        <v/>
      </c>
      <c r="AH981" s="48" t="str">
        <f t="shared" si="93"/>
        <v/>
      </c>
      <c r="AI981" s="48" t="str">
        <f t="shared" si="94"/>
        <v/>
      </c>
      <c r="AJ981" s="40" t="str">
        <f t="shared" si="90"/>
        <v/>
      </c>
      <c r="AK981" s="40"/>
      <c r="AL981" s="40"/>
      <c r="AM981" s="22"/>
      <c r="AQ981" s="46"/>
    </row>
    <row r="982" spans="1:43" ht="17.399999999999999">
      <c r="A982" s="22"/>
      <c r="B982" s="22"/>
      <c r="C982" s="56"/>
      <c r="D982" s="56"/>
      <c r="E982" s="22"/>
      <c r="F982" s="22"/>
      <c r="G982" s="22"/>
      <c r="H982" s="22"/>
      <c r="I982" s="49"/>
      <c r="J982" s="50"/>
      <c r="K982" s="22"/>
      <c r="L982" s="22"/>
      <c r="M982" s="22"/>
      <c r="N982" s="22"/>
      <c r="O982" s="22"/>
      <c r="P982" s="46"/>
      <c r="Q982" s="40"/>
      <c r="R982" s="41"/>
      <c r="S982" s="22" t="str">
        <f t="shared" si="91"/>
        <v/>
      </c>
      <c r="T982" s="41"/>
      <c r="U982" s="41" t="str">
        <f t="shared" si="95"/>
        <v/>
      </c>
      <c r="V982" s="44"/>
      <c r="W982" s="44"/>
      <c r="X982" s="46"/>
      <c r="Y982" s="46"/>
      <c r="Z982" s="46"/>
      <c r="AA982" s="41"/>
      <c r="AB982" s="22"/>
      <c r="AC982" s="22"/>
      <c r="AD982" s="41"/>
      <c r="AE982" s="22"/>
      <c r="AF982" s="22"/>
      <c r="AG982" s="48" t="str">
        <f t="shared" si="92"/>
        <v/>
      </c>
      <c r="AH982" s="48" t="str">
        <f t="shared" si="93"/>
        <v/>
      </c>
      <c r="AI982" s="48" t="str">
        <f t="shared" si="94"/>
        <v/>
      </c>
      <c r="AJ982" s="40" t="str">
        <f t="shared" si="90"/>
        <v/>
      </c>
      <c r="AK982" s="40"/>
      <c r="AL982" s="40"/>
      <c r="AM982" s="22"/>
      <c r="AQ982" s="46"/>
    </row>
    <row r="983" spans="1:43" ht="17.399999999999999">
      <c r="A983" s="22"/>
      <c r="B983" s="22"/>
      <c r="C983" s="56"/>
      <c r="D983" s="56"/>
      <c r="E983" s="22"/>
      <c r="F983" s="22"/>
      <c r="G983" s="22"/>
      <c r="H983" s="22"/>
      <c r="I983" s="49"/>
      <c r="J983" s="50"/>
      <c r="K983" s="22"/>
      <c r="L983" s="22"/>
      <c r="M983" s="22"/>
      <c r="N983" s="22"/>
      <c r="O983" s="22"/>
      <c r="P983" s="46"/>
      <c r="Q983" s="40"/>
      <c r="R983" s="41"/>
      <c r="S983" s="22" t="str">
        <f t="shared" si="91"/>
        <v/>
      </c>
      <c r="T983" s="41"/>
      <c r="U983" s="41" t="str">
        <f t="shared" si="95"/>
        <v/>
      </c>
      <c r="V983" s="44"/>
      <c r="W983" s="44"/>
      <c r="X983" s="46"/>
      <c r="Y983" s="46"/>
      <c r="Z983" s="46"/>
      <c r="AA983" s="41"/>
      <c r="AB983" s="22"/>
      <c r="AC983" s="22"/>
      <c r="AD983" s="41"/>
      <c r="AE983" s="22"/>
      <c r="AF983" s="22"/>
      <c r="AG983" s="48" t="str">
        <f t="shared" si="92"/>
        <v/>
      </c>
      <c r="AH983" s="48" t="str">
        <f t="shared" si="93"/>
        <v/>
      </c>
      <c r="AI983" s="48" t="str">
        <f t="shared" si="94"/>
        <v/>
      </c>
      <c r="AJ983" s="40" t="str">
        <f t="shared" si="90"/>
        <v/>
      </c>
      <c r="AK983" s="40"/>
      <c r="AL983" s="40"/>
      <c r="AM983" s="22"/>
      <c r="AQ983" s="46"/>
    </row>
    <row r="984" spans="1:43" ht="17.399999999999999">
      <c r="A984" s="22"/>
      <c r="B984" s="22"/>
      <c r="C984" s="56"/>
      <c r="D984" s="56"/>
      <c r="E984" s="22"/>
      <c r="F984" s="22"/>
      <c r="G984" s="22"/>
      <c r="H984" s="22"/>
      <c r="I984" s="49"/>
      <c r="J984" s="50"/>
      <c r="K984" s="22"/>
      <c r="L984" s="22"/>
      <c r="M984" s="22"/>
      <c r="N984" s="22"/>
      <c r="O984" s="22"/>
      <c r="P984" s="46"/>
      <c r="Q984" s="40"/>
      <c r="R984" s="41"/>
      <c r="S984" s="22" t="str">
        <f t="shared" si="91"/>
        <v/>
      </c>
      <c r="T984" s="41"/>
      <c r="U984" s="41" t="str">
        <f t="shared" si="95"/>
        <v/>
      </c>
      <c r="V984" s="44"/>
      <c r="W984" s="44"/>
      <c r="X984" s="46"/>
      <c r="Y984" s="46"/>
      <c r="Z984" s="46"/>
      <c r="AA984" s="41"/>
      <c r="AB984" s="22"/>
      <c r="AC984" s="22"/>
      <c r="AD984" s="41"/>
      <c r="AE984" s="22"/>
      <c r="AF984" s="22"/>
      <c r="AG984" s="48" t="str">
        <f t="shared" si="92"/>
        <v/>
      </c>
      <c r="AH984" s="48" t="str">
        <f t="shared" si="93"/>
        <v/>
      </c>
      <c r="AI984" s="48" t="str">
        <f t="shared" si="94"/>
        <v/>
      </c>
      <c r="AJ984" s="40" t="str">
        <f t="shared" si="90"/>
        <v/>
      </c>
      <c r="AK984" s="40"/>
      <c r="AL984" s="40"/>
      <c r="AM984" s="22"/>
      <c r="AQ984" s="46"/>
    </row>
    <row r="985" spans="1:43" ht="17.399999999999999">
      <c r="A985" s="22"/>
      <c r="B985" s="22"/>
      <c r="C985" s="56"/>
      <c r="D985" s="56"/>
      <c r="E985" s="22"/>
      <c r="F985" s="22"/>
      <c r="G985" s="22"/>
      <c r="H985" s="22"/>
      <c r="I985" s="49"/>
      <c r="J985" s="50"/>
      <c r="K985" s="22"/>
      <c r="L985" s="22"/>
      <c r="M985" s="22"/>
      <c r="N985" s="22"/>
      <c r="O985" s="22"/>
      <c r="P985" s="46"/>
      <c r="Q985" s="40"/>
      <c r="R985" s="41"/>
      <c r="S985" s="22" t="str">
        <f t="shared" si="91"/>
        <v/>
      </c>
      <c r="T985" s="41"/>
      <c r="U985" s="41" t="str">
        <f t="shared" si="95"/>
        <v/>
      </c>
      <c r="V985" s="44"/>
      <c r="W985" s="44"/>
      <c r="X985" s="46"/>
      <c r="Y985" s="46"/>
      <c r="Z985" s="46"/>
      <c r="AA985" s="41"/>
      <c r="AB985" s="22"/>
      <c r="AC985" s="22"/>
      <c r="AD985" s="41"/>
      <c r="AE985" s="22"/>
      <c r="AF985" s="22"/>
      <c r="AG985" s="48" t="str">
        <f t="shared" si="92"/>
        <v/>
      </c>
      <c r="AH985" s="48" t="str">
        <f t="shared" si="93"/>
        <v/>
      </c>
      <c r="AI985" s="48" t="str">
        <f t="shared" si="94"/>
        <v/>
      </c>
      <c r="AJ985" s="40" t="str">
        <f t="shared" si="90"/>
        <v/>
      </c>
      <c r="AK985" s="40"/>
      <c r="AL985" s="40"/>
      <c r="AM985" s="22"/>
      <c r="AQ985" s="46"/>
    </row>
    <row r="986" spans="1:43" ht="17.399999999999999">
      <c r="A986" s="22"/>
      <c r="B986" s="22"/>
      <c r="C986" s="56"/>
      <c r="D986" s="56"/>
      <c r="E986" s="22"/>
      <c r="F986" s="22"/>
      <c r="G986" s="22"/>
      <c r="H986" s="22"/>
      <c r="I986" s="49"/>
      <c r="J986" s="50"/>
      <c r="K986" s="22"/>
      <c r="L986" s="22"/>
      <c r="M986" s="22"/>
      <c r="N986" s="22"/>
      <c r="O986" s="22"/>
      <c r="P986" s="46"/>
      <c r="Q986" s="40"/>
      <c r="R986" s="41"/>
      <c r="S986" s="22" t="str">
        <f t="shared" si="91"/>
        <v/>
      </c>
      <c r="T986" s="41"/>
      <c r="U986" s="41" t="str">
        <f t="shared" si="95"/>
        <v/>
      </c>
      <c r="V986" s="44"/>
      <c r="W986" s="44"/>
      <c r="X986" s="46"/>
      <c r="Y986" s="46"/>
      <c r="Z986" s="46"/>
      <c r="AA986" s="41"/>
      <c r="AB986" s="22"/>
      <c r="AC986" s="22"/>
      <c r="AD986" s="41"/>
      <c r="AE986" s="22"/>
      <c r="AF986" s="22"/>
      <c r="AG986" s="48" t="str">
        <f t="shared" si="92"/>
        <v/>
      </c>
      <c r="AH986" s="48" t="str">
        <f t="shared" si="93"/>
        <v/>
      </c>
      <c r="AI986" s="48" t="str">
        <f t="shared" si="94"/>
        <v/>
      </c>
      <c r="AJ986" s="40" t="str">
        <f t="shared" si="90"/>
        <v/>
      </c>
      <c r="AK986" s="40"/>
      <c r="AL986" s="40"/>
      <c r="AM986" s="22"/>
      <c r="AQ986" s="46"/>
    </row>
    <row r="987" spans="1:43" ht="17.399999999999999">
      <c r="A987" s="22"/>
      <c r="B987" s="22"/>
      <c r="C987" s="56"/>
      <c r="D987" s="56"/>
      <c r="E987" s="22"/>
      <c r="F987" s="22"/>
      <c r="G987" s="22"/>
      <c r="H987" s="22"/>
      <c r="I987" s="49"/>
      <c r="J987" s="50"/>
      <c r="K987" s="22"/>
      <c r="L987" s="22"/>
      <c r="M987" s="22"/>
      <c r="N987" s="22"/>
      <c r="O987" s="22"/>
      <c r="P987" s="46"/>
      <c r="Q987" s="40"/>
      <c r="R987" s="41"/>
      <c r="S987" s="22" t="str">
        <f t="shared" si="91"/>
        <v/>
      </c>
      <c r="T987" s="41"/>
      <c r="U987" s="41" t="str">
        <f t="shared" si="95"/>
        <v/>
      </c>
      <c r="V987" s="44"/>
      <c r="W987" s="44"/>
      <c r="X987" s="46"/>
      <c r="Y987" s="46"/>
      <c r="Z987" s="46"/>
      <c r="AA987" s="41"/>
      <c r="AB987" s="22"/>
      <c r="AC987" s="22"/>
      <c r="AD987" s="41"/>
      <c r="AE987" s="22"/>
      <c r="AF987" s="22"/>
      <c r="AG987" s="48" t="str">
        <f t="shared" si="92"/>
        <v/>
      </c>
      <c r="AH987" s="48" t="str">
        <f t="shared" si="93"/>
        <v/>
      </c>
      <c r="AI987" s="48" t="str">
        <f t="shared" si="94"/>
        <v/>
      </c>
      <c r="AJ987" s="40" t="str">
        <f t="shared" si="90"/>
        <v/>
      </c>
      <c r="AK987" s="40"/>
      <c r="AL987" s="40"/>
      <c r="AM987" s="22"/>
      <c r="AQ987" s="46"/>
    </row>
    <row r="988" spans="1:43" ht="17.399999999999999">
      <c r="A988" s="22"/>
      <c r="B988" s="22"/>
      <c r="C988" s="56"/>
      <c r="D988" s="56"/>
      <c r="E988" s="22"/>
      <c r="F988" s="22"/>
      <c r="G988" s="22"/>
      <c r="H988" s="22"/>
      <c r="I988" s="49"/>
      <c r="J988" s="50"/>
      <c r="K988" s="22"/>
      <c r="L988" s="22"/>
      <c r="M988" s="22"/>
      <c r="N988" s="22"/>
      <c r="O988" s="22"/>
      <c r="P988" s="46"/>
      <c r="Q988" s="40"/>
      <c r="R988" s="41"/>
      <c r="S988" s="22" t="str">
        <f t="shared" si="91"/>
        <v/>
      </c>
      <c r="T988" s="41"/>
      <c r="U988" s="41" t="str">
        <f t="shared" si="95"/>
        <v/>
      </c>
      <c r="V988" s="44"/>
      <c r="W988" s="44"/>
      <c r="X988" s="46"/>
      <c r="Y988" s="46"/>
      <c r="Z988" s="46"/>
      <c r="AA988" s="41"/>
      <c r="AB988" s="22"/>
      <c r="AC988" s="22"/>
      <c r="AD988" s="41"/>
      <c r="AE988" s="22"/>
      <c r="AF988" s="22"/>
      <c r="AG988" s="48" t="str">
        <f t="shared" si="92"/>
        <v/>
      </c>
      <c r="AH988" s="48" t="str">
        <f t="shared" si="93"/>
        <v/>
      </c>
      <c r="AI988" s="48" t="str">
        <f t="shared" si="94"/>
        <v/>
      </c>
      <c r="AJ988" s="40" t="str">
        <f t="shared" si="90"/>
        <v/>
      </c>
      <c r="AK988" s="40"/>
      <c r="AL988" s="40"/>
      <c r="AM988" s="22"/>
      <c r="AQ988" s="46"/>
    </row>
    <row r="989" spans="1:43" ht="17.399999999999999">
      <c r="A989" s="22"/>
      <c r="B989" s="22"/>
      <c r="C989" s="56"/>
      <c r="D989" s="56"/>
      <c r="E989" s="22"/>
      <c r="F989" s="22"/>
      <c r="G989" s="22"/>
      <c r="H989" s="22"/>
      <c r="I989" s="49"/>
      <c r="J989" s="50"/>
      <c r="K989" s="22"/>
      <c r="L989" s="22"/>
      <c r="M989" s="22"/>
      <c r="N989" s="22"/>
      <c r="O989" s="22"/>
      <c r="P989" s="46"/>
      <c r="Q989" s="40"/>
      <c r="R989" s="41"/>
      <c r="S989" s="22" t="str">
        <f t="shared" si="91"/>
        <v/>
      </c>
      <c r="T989" s="41"/>
      <c r="U989" s="41" t="str">
        <f t="shared" si="95"/>
        <v/>
      </c>
      <c r="V989" s="44"/>
      <c r="W989" s="44"/>
      <c r="X989" s="46"/>
      <c r="Y989" s="46"/>
      <c r="Z989" s="46"/>
      <c r="AA989" s="41"/>
      <c r="AB989" s="22"/>
      <c r="AC989" s="22"/>
      <c r="AD989" s="41"/>
      <c r="AE989" s="22"/>
      <c r="AF989" s="22"/>
      <c r="AG989" s="48" t="str">
        <f t="shared" si="92"/>
        <v/>
      </c>
      <c r="AH989" s="48" t="str">
        <f t="shared" si="93"/>
        <v/>
      </c>
      <c r="AI989" s="48" t="str">
        <f t="shared" si="94"/>
        <v/>
      </c>
      <c r="AJ989" s="40" t="str">
        <f t="shared" si="90"/>
        <v/>
      </c>
      <c r="AK989" s="40"/>
      <c r="AL989" s="40"/>
      <c r="AM989" s="22"/>
      <c r="AQ989" s="46"/>
    </row>
    <row r="990" spans="1:43" ht="17.399999999999999">
      <c r="A990" s="22"/>
      <c r="B990" s="22"/>
      <c r="C990" s="56"/>
      <c r="D990" s="56"/>
      <c r="E990" s="22"/>
      <c r="F990" s="22"/>
      <c r="G990" s="22"/>
      <c r="H990" s="22"/>
      <c r="I990" s="49"/>
      <c r="J990" s="50"/>
      <c r="K990" s="22"/>
      <c r="L990" s="22"/>
      <c r="M990" s="22"/>
      <c r="N990" s="22"/>
      <c r="O990" s="22"/>
      <c r="P990" s="46"/>
      <c r="Q990" s="40"/>
      <c r="R990" s="41"/>
      <c r="S990" s="22" t="str">
        <f t="shared" si="91"/>
        <v/>
      </c>
      <c r="T990" s="41"/>
      <c r="U990" s="41" t="str">
        <f t="shared" si="95"/>
        <v/>
      </c>
      <c r="V990" s="44"/>
      <c r="W990" s="44"/>
      <c r="X990" s="46"/>
      <c r="Y990" s="46"/>
      <c r="Z990" s="46"/>
      <c r="AA990" s="41"/>
      <c r="AB990" s="22"/>
      <c r="AC990" s="22"/>
      <c r="AD990" s="41"/>
      <c r="AE990" s="22"/>
      <c r="AF990" s="22"/>
      <c r="AG990" s="48" t="str">
        <f t="shared" si="92"/>
        <v/>
      </c>
      <c r="AH990" s="48" t="str">
        <f t="shared" si="93"/>
        <v/>
      </c>
      <c r="AI990" s="48" t="str">
        <f t="shared" si="94"/>
        <v/>
      </c>
      <c r="AJ990" s="40" t="str">
        <f t="shared" si="90"/>
        <v/>
      </c>
      <c r="AK990" s="40"/>
      <c r="AL990" s="40"/>
      <c r="AM990" s="22"/>
      <c r="AQ990" s="46"/>
    </row>
    <row r="991" spans="1:43" ht="17.399999999999999">
      <c r="A991" s="22"/>
      <c r="B991" s="22"/>
      <c r="C991" s="56"/>
      <c r="D991" s="56"/>
      <c r="E991" s="22"/>
      <c r="F991" s="22"/>
      <c r="G991" s="22"/>
      <c r="H991" s="22"/>
      <c r="I991" s="49"/>
      <c r="J991" s="50"/>
      <c r="K991" s="22"/>
      <c r="L991" s="22"/>
      <c r="M991" s="22"/>
      <c r="N991" s="22"/>
      <c r="O991" s="22"/>
      <c r="P991" s="46"/>
      <c r="Q991" s="40"/>
      <c r="R991" s="41"/>
      <c r="S991" s="22" t="str">
        <f t="shared" si="91"/>
        <v/>
      </c>
      <c r="T991" s="41"/>
      <c r="U991" s="41" t="str">
        <f t="shared" si="95"/>
        <v/>
      </c>
      <c r="V991" s="44"/>
      <c r="W991" s="44"/>
      <c r="X991" s="46"/>
      <c r="Y991" s="46"/>
      <c r="Z991" s="46"/>
      <c r="AA991" s="41"/>
      <c r="AB991" s="22"/>
      <c r="AC991" s="22"/>
      <c r="AD991" s="41"/>
      <c r="AE991" s="22"/>
      <c r="AF991" s="22"/>
      <c r="AG991" s="48" t="str">
        <f t="shared" si="92"/>
        <v/>
      </c>
      <c r="AH991" s="48" t="str">
        <f t="shared" si="93"/>
        <v/>
      </c>
      <c r="AI991" s="48" t="str">
        <f t="shared" si="94"/>
        <v/>
      </c>
      <c r="AJ991" s="40" t="str">
        <f t="shared" si="90"/>
        <v/>
      </c>
      <c r="AK991" s="40"/>
      <c r="AL991" s="40"/>
      <c r="AM991" s="22"/>
      <c r="AQ991" s="46"/>
    </row>
    <row r="992" spans="1:43" ht="17.399999999999999">
      <c r="A992" s="22"/>
      <c r="B992" s="22"/>
      <c r="C992" s="56"/>
      <c r="D992" s="56"/>
      <c r="E992" s="22"/>
      <c r="F992" s="22"/>
      <c r="G992" s="22"/>
      <c r="H992" s="22"/>
      <c r="I992" s="49"/>
      <c r="J992" s="50"/>
      <c r="K992" s="22"/>
      <c r="L992" s="22"/>
      <c r="M992" s="22"/>
      <c r="N992" s="22"/>
      <c r="O992" s="22"/>
      <c r="P992" s="46"/>
      <c r="Q992" s="40"/>
      <c r="R992" s="41"/>
      <c r="S992" s="22" t="str">
        <f t="shared" si="91"/>
        <v/>
      </c>
      <c r="T992" s="41"/>
      <c r="U992" s="41" t="str">
        <f t="shared" si="95"/>
        <v/>
      </c>
      <c r="V992" s="44"/>
      <c r="W992" s="44"/>
      <c r="X992" s="46"/>
      <c r="Y992" s="46"/>
      <c r="Z992" s="46"/>
      <c r="AA992" s="41"/>
      <c r="AB992" s="22"/>
      <c r="AC992" s="22"/>
      <c r="AD992" s="41"/>
      <c r="AE992" s="22"/>
      <c r="AF992" s="22"/>
      <c r="AG992" s="48" t="str">
        <f t="shared" si="92"/>
        <v/>
      </c>
      <c r="AH992" s="48" t="str">
        <f t="shared" si="93"/>
        <v/>
      </c>
      <c r="AI992" s="48" t="str">
        <f t="shared" si="94"/>
        <v/>
      </c>
      <c r="AJ992" s="40" t="str">
        <f t="shared" si="90"/>
        <v/>
      </c>
      <c r="AK992" s="40"/>
      <c r="AL992" s="40"/>
      <c r="AM992" s="22"/>
      <c r="AQ992" s="46"/>
    </row>
    <row r="993" spans="1:43" ht="17.399999999999999">
      <c r="A993" s="22"/>
      <c r="B993" s="22"/>
      <c r="C993" s="56"/>
      <c r="D993" s="56"/>
      <c r="E993" s="22"/>
      <c r="F993" s="22"/>
      <c r="G993" s="22"/>
      <c r="H993" s="22"/>
      <c r="I993" s="49"/>
      <c r="J993" s="50"/>
      <c r="K993" s="22"/>
      <c r="L993" s="22"/>
      <c r="M993" s="22"/>
      <c r="N993" s="22"/>
      <c r="O993" s="22"/>
      <c r="P993" s="46"/>
      <c r="Q993" s="40"/>
      <c r="R993" s="41"/>
      <c r="S993" s="22" t="str">
        <f t="shared" si="91"/>
        <v/>
      </c>
      <c r="T993" s="41"/>
      <c r="U993" s="41" t="str">
        <f t="shared" si="95"/>
        <v/>
      </c>
      <c r="V993" s="44"/>
      <c r="W993" s="44"/>
      <c r="X993" s="46"/>
      <c r="Y993" s="46"/>
      <c r="Z993" s="46"/>
      <c r="AA993" s="41"/>
      <c r="AB993" s="22"/>
      <c r="AC993" s="22"/>
      <c r="AD993" s="41"/>
      <c r="AE993" s="22"/>
      <c r="AF993" s="22"/>
      <c r="AG993" s="48" t="str">
        <f t="shared" si="92"/>
        <v/>
      </c>
      <c r="AH993" s="48" t="str">
        <f t="shared" si="93"/>
        <v/>
      </c>
      <c r="AI993" s="48" t="str">
        <f t="shared" si="94"/>
        <v/>
      </c>
      <c r="AJ993" s="40" t="str">
        <f t="shared" si="90"/>
        <v/>
      </c>
      <c r="AK993" s="40"/>
      <c r="AL993" s="40"/>
      <c r="AM993" s="22"/>
      <c r="AQ993" s="46"/>
    </row>
    <row r="994" spans="1:43" ht="17.399999999999999">
      <c r="A994" s="22"/>
      <c r="B994" s="22"/>
      <c r="C994" s="56"/>
      <c r="D994" s="56"/>
      <c r="E994" s="22"/>
      <c r="F994" s="22"/>
      <c r="G994" s="22"/>
      <c r="H994" s="22"/>
      <c r="I994" s="49"/>
      <c r="J994" s="50"/>
      <c r="K994" s="22"/>
      <c r="L994" s="22"/>
      <c r="M994" s="22"/>
      <c r="N994" s="22"/>
      <c r="O994" s="22"/>
      <c r="P994" s="46"/>
      <c r="Q994" s="40"/>
      <c r="R994" s="41"/>
      <c r="S994" s="22" t="str">
        <f t="shared" si="91"/>
        <v/>
      </c>
      <c r="T994" s="41"/>
      <c r="U994" s="41" t="str">
        <f t="shared" si="95"/>
        <v/>
      </c>
      <c r="V994" s="44"/>
      <c r="W994" s="44"/>
      <c r="X994" s="46"/>
      <c r="Y994" s="46"/>
      <c r="Z994" s="46"/>
      <c r="AA994" s="41"/>
      <c r="AB994" s="22"/>
      <c r="AC994" s="22"/>
      <c r="AD994" s="41"/>
      <c r="AE994" s="22"/>
      <c r="AF994" s="22"/>
      <c r="AG994" s="48" t="str">
        <f t="shared" si="92"/>
        <v/>
      </c>
      <c r="AH994" s="48" t="str">
        <f t="shared" si="93"/>
        <v/>
      </c>
      <c r="AI994" s="48" t="str">
        <f t="shared" si="94"/>
        <v/>
      </c>
      <c r="AJ994" s="40" t="str">
        <f t="shared" si="90"/>
        <v/>
      </c>
      <c r="AK994" s="40"/>
      <c r="AL994" s="40"/>
      <c r="AM994" s="22"/>
      <c r="AQ994" s="46"/>
    </row>
    <row r="995" spans="1:43" ht="17.399999999999999">
      <c r="A995" s="22"/>
      <c r="B995" s="22"/>
      <c r="C995" s="56"/>
      <c r="D995" s="56"/>
      <c r="E995" s="22"/>
      <c r="F995" s="22"/>
      <c r="G995" s="22"/>
      <c r="H995" s="22"/>
      <c r="I995" s="49"/>
      <c r="J995" s="50"/>
      <c r="K995" s="22"/>
      <c r="L995" s="22"/>
      <c r="M995" s="22"/>
      <c r="N995" s="22"/>
      <c r="O995" s="22"/>
      <c r="P995" s="46"/>
      <c r="Q995" s="40"/>
      <c r="R995" s="41"/>
      <c r="S995" s="22" t="str">
        <f t="shared" si="91"/>
        <v/>
      </c>
      <c r="T995" s="41"/>
      <c r="U995" s="41" t="str">
        <f t="shared" si="95"/>
        <v/>
      </c>
      <c r="V995" s="44"/>
      <c r="W995" s="44"/>
      <c r="X995" s="46"/>
      <c r="Y995" s="46"/>
      <c r="Z995" s="46"/>
      <c r="AA995" s="41"/>
      <c r="AB995" s="22"/>
      <c r="AC995" s="22"/>
      <c r="AD995" s="41"/>
      <c r="AE995" s="22"/>
      <c r="AF995" s="22"/>
      <c r="AG995" s="48" t="str">
        <f t="shared" si="92"/>
        <v/>
      </c>
      <c r="AH995" s="48" t="str">
        <f t="shared" si="93"/>
        <v/>
      </c>
      <c r="AI995" s="48" t="str">
        <f t="shared" si="94"/>
        <v/>
      </c>
      <c r="AJ995" s="40" t="str">
        <f t="shared" si="90"/>
        <v/>
      </c>
      <c r="AK995" s="40"/>
      <c r="AL995" s="40"/>
      <c r="AM995" s="22"/>
      <c r="AQ995" s="46"/>
    </row>
    <row r="996" spans="1:43" ht="17.399999999999999">
      <c r="A996" s="22"/>
      <c r="B996" s="22"/>
      <c r="C996" s="56"/>
      <c r="D996" s="56"/>
      <c r="E996" s="22"/>
      <c r="F996" s="22"/>
      <c r="G996" s="22"/>
      <c r="H996" s="22"/>
      <c r="I996" s="49"/>
      <c r="J996" s="50"/>
      <c r="K996" s="22"/>
      <c r="L996" s="22"/>
      <c r="M996" s="22"/>
      <c r="N996" s="22"/>
      <c r="O996" s="22"/>
      <c r="P996" s="46"/>
      <c r="Q996" s="40"/>
      <c r="R996" s="41"/>
      <c r="S996" s="22" t="str">
        <f t="shared" si="91"/>
        <v/>
      </c>
      <c r="T996" s="41"/>
      <c r="U996" s="41" t="str">
        <f t="shared" si="95"/>
        <v/>
      </c>
      <c r="V996" s="44"/>
      <c r="W996" s="44"/>
      <c r="X996" s="46"/>
      <c r="Y996" s="46"/>
      <c r="Z996" s="46"/>
      <c r="AA996" s="41"/>
      <c r="AB996" s="22"/>
      <c r="AC996" s="22"/>
      <c r="AD996" s="41"/>
      <c r="AE996" s="22"/>
      <c r="AF996" s="22"/>
      <c r="AG996" s="48" t="str">
        <f t="shared" si="92"/>
        <v/>
      </c>
      <c r="AH996" s="48" t="str">
        <f t="shared" si="93"/>
        <v/>
      </c>
      <c r="AI996" s="48" t="str">
        <f t="shared" si="94"/>
        <v/>
      </c>
      <c r="AJ996" s="40" t="str">
        <f t="shared" si="90"/>
        <v/>
      </c>
      <c r="AK996" s="40"/>
      <c r="AL996" s="40"/>
      <c r="AM996" s="22"/>
      <c r="AQ996" s="46"/>
    </row>
    <row r="997" spans="1:43" ht="17.399999999999999">
      <c r="A997" s="22"/>
      <c r="B997" s="22"/>
      <c r="C997" s="56"/>
      <c r="D997" s="56"/>
      <c r="E997" s="22"/>
      <c r="F997" s="22"/>
      <c r="G997" s="22"/>
      <c r="H997" s="22"/>
      <c r="I997" s="49"/>
      <c r="J997" s="50"/>
      <c r="K997" s="22"/>
      <c r="L997" s="22"/>
      <c r="M997" s="22"/>
      <c r="N997" s="22"/>
      <c r="O997" s="22"/>
      <c r="P997" s="46"/>
      <c r="Q997" s="40"/>
      <c r="R997" s="41"/>
      <c r="S997" s="22" t="str">
        <f t="shared" si="91"/>
        <v/>
      </c>
      <c r="T997" s="41"/>
      <c r="U997" s="41" t="str">
        <f t="shared" si="95"/>
        <v/>
      </c>
      <c r="V997" s="44"/>
      <c r="W997" s="44"/>
      <c r="X997" s="46"/>
      <c r="Y997" s="46"/>
      <c r="Z997" s="46"/>
      <c r="AA997" s="41"/>
      <c r="AB997" s="22"/>
      <c r="AC997" s="22"/>
      <c r="AD997" s="41"/>
      <c r="AE997" s="22"/>
      <c r="AF997" s="22"/>
      <c r="AG997" s="48" t="str">
        <f t="shared" si="92"/>
        <v/>
      </c>
      <c r="AH997" s="48" t="str">
        <f t="shared" si="93"/>
        <v/>
      </c>
      <c r="AI997" s="48" t="str">
        <f t="shared" si="94"/>
        <v/>
      </c>
      <c r="AJ997" s="40" t="str">
        <f t="shared" si="90"/>
        <v/>
      </c>
      <c r="AK997" s="40"/>
      <c r="AL997" s="40"/>
      <c r="AM997" s="22"/>
      <c r="AQ997" s="46"/>
    </row>
    <row r="998" spans="1:43" ht="17.399999999999999">
      <c r="A998" s="22"/>
      <c r="B998" s="22"/>
      <c r="C998" s="56"/>
      <c r="D998" s="56"/>
      <c r="E998" s="22"/>
      <c r="F998" s="22"/>
      <c r="G998" s="22"/>
      <c r="H998" s="22"/>
      <c r="I998" s="49"/>
      <c r="J998" s="50"/>
      <c r="K998" s="22"/>
      <c r="L998" s="22"/>
      <c r="M998" s="22"/>
      <c r="N998" s="22"/>
      <c r="O998" s="22"/>
      <c r="P998" s="46"/>
      <c r="Q998" s="40"/>
      <c r="R998" s="41"/>
      <c r="S998" s="22" t="str">
        <f t="shared" si="91"/>
        <v/>
      </c>
      <c r="T998" s="41"/>
      <c r="U998" s="41" t="str">
        <f t="shared" si="95"/>
        <v/>
      </c>
      <c r="V998" s="44"/>
      <c r="W998" s="44"/>
      <c r="X998" s="46"/>
      <c r="Y998" s="46"/>
      <c r="Z998" s="46"/>
      <c r="AA998" s="41"/>
      <c r="AB998" s="22"/>
      <c r="AC998" s="22"/>
      <c r="AD998" s="41"/>
      <c r="AE998" s="22"/>
      <c r="AF998" s="22"/>
      <c r="AG998" s="48" t="str">
        <f t="shared" si="92"/>
        <v/>
      </c>
      <c r="AH998" s="48" t="str">
        <f t="shared" si="93"/>
        <v/>
      </c>
      <c r="AI998" s="48" t="str">
        <f t="shared" si="94"/>
        <v/>
      </c>
      <c r="AJ998" s="40" t="str">
        <f t="shared" si="90"/>
        <v/>
      </c>
      <c r="AK998" s="40"/>
      <c r="AL998" s="40"/>
      <c r="AM998" s="22"/>
      <c r="AQ998" s="46"/>
    </row>
    <row r="999" spans="1:43" ht="17.399999999999999">
      <c r="A999" s="22"/>
      <c r="B999" s="22"/>
      <c r="C999" s="56"/>
      <c r="D999" s="56"/>
      <c r="E999" s="22"/>
      <c r="F999" s="22"/>
      <c r="G999" s="22"/>
      <c r="H999" s="22"/>
      <c r="I999" s="49"/>
      <c r="J999" s="50"/>
      <c r="K999" s="22"/>
      <c r="L999" s="22"/>
      <c r="M999" s="22"/>
      <c r="N999" s="22"/>
      <c r="O999" s="22"/>
      <c r="P999" s="46"/>
      <c r="Q999" s="40"/>
      <c r="R999" s="41"/>
      <c r="S999" s="22" t="str">
        <f t="shared" si="91"/>
        <v/>
      </c>
      <c r="T999" s="41"/>
      <c r="U999" s="41" t="str">
        <f t="shared" si="95"/>
        <v/>
      </c>
      <c r="V999" s="44"/>
      <c r="W999" s="44"/>
      <c r="X999" s="46"/>
      <c r="Y999" s="46"/>
      <c r="Z999" s="46"/>
      <c r="AA999" s="41"/>
      <c r="AB999" s="22"/>
      <c r="AC999" s="22"/>
      <c r="AD999" s="41"/>
      <c r="AE999" s="22"/>
      <c r="AF999" s="22"/>
      <c r="AG999" s="48" t="str">
        <f t="shared" si="92"/>
        <v/>
      </c>
      <c r="AH999" s="48" t="str">
        <f t="shared" si="93"/>
        <v/>
      </c>
      <c r="AI999" s="48" t="str">
        <f t="shared" si="94"/>
        <v/>
      </c>
      <c r="AJ999" s="40" t="str">
        <f t="shared" si="90"/>
        <v/>
      </c>
      <c r="AK999" s="40"/>
      <c r="AL999" s="40"/>
      <c r="AM999" s="22"/>
      <c r="AQ999" s="46"/>
    </row>
    <row r="1000" spans="1:43" ht="17.399999999999999">
      <c r="A1000" s="22"/>
      <c r="B1000" s="22"/>
      <c r="C1000" s="56"/>
      <c r="D1000" s="56"/>
      <c r="E1000" s="22"/>
      <c r="F1000" s="22"/>
      <c r="G1000" s="22"/>
      <c r="H1000" s="22"/>
      <c r="I1000" s="49"/>
      <c r="J1000" s="50"/>
      <c r="K1000" s="22"/>
      <c r="L1000" s="22"/>
      <c r="M1000" s="22"/>
      <c r="N1000" s="22"/>
      <c r="O1000" s="22"/>
      <c r="P1000" s="46"/>
      <c r="Q1000" s="40"/>
      <c r="R1000" s="41"/>
      <c r="S1000" s="22" t="str">
        <f t="shared" si="91"/>
        <v/>
      </c>
      <c r="T1000" s="41"/>
      <c r="U1000" s="41" t="str">
        <f t="shared" si="95"/>
        <v/>
      </c>
      <c r="V1000" s="44"/>
      <c r="W1000" s="44"/>
      <c r="X1000" s="46"/>
      <c r="Y1000" s="46"/>
      <c r="Z1000" s="46"/>
      <c r="AA1000" s="41"/>
      <c r="AB1000" s="22"/>
      <c r="AC1000" s="22"/>
      <c r="AD1000" s="41"/>
      <c r="AE1000" s="22"/>
      <c r="AF1000" s="22"/>
      <c r="AG1000" s="48" t="str">
        <f t="shared" si="92"/>
        <v/>
      </c>
      <c r="AH1000" s="48" t="str">
        <f t="shared" si="93"/>
        <v/>
      </c>
      <c r="AI1000" s="48" t="str">
        <f t="shared" si="94"/>
        <v/>
      </c>
      <c r="AJ1000" s="40" t="str">
        <f t="shared" si="90"/>
        <v/>
      </c>
      <c r="AK1000" s="40"/>
      <c r="AL1000" s="40"/>
      <c r="AM1000" s="22"/>
      <c r="AQ1000" s="46"/>
    </row>
    <row r="1001" spans="1:43" ht="17.399999999999999">
      <c r="A1001" s="22"/>
      <c r="B1001" s="22"/>
      <c r="C1001" s="56"/>
      <c r="D1001" s="56"/>
      <c r="E1001" s="22"/>
      <c r="F1001" s="22"/>
      <c r="G1001" s="22"/>
      <c r="H1001" s="22"/>
      <c r="I1001" s="49"/>
      <c r="J1001" s="50"/>
      <c r="K1001" s="22"/>
      <c r="L1001" s="22"/>
      <c r="M1001" s="22"/>
      <c r="N1001" s="22"/>
      <c r="O1001" s="22"/>
      <c r="P1001" s="46"/>
      <c r="Q1001" s="40"/>
      <c r="R1001" s="41"/>
      <c r="S1001" s="22" t="str">
        <f t="shared" si="91"/>
        <v/>
      </c>
      <c r="T1001" s="41"/>
      <c r="U1001" s="41" t="str">
        <f t="shared" si="95"/>
        <v/>
      </c>
      <c r="V1001" s="44"/>
      <c r="W1001" s="44"/>
      <c r="X1001" s="46"/>
      <c r="Y1001" s="46"/>
      <c r="Z1001" s="46"/>
      <c r="AA1001" s="41"/>
      <c r="AB1001" s="22"/>
      <c r="AC1001" s="22"/>
      <c r="AD1001" s="41"/>
      <c r="AE1001" s="22"/>
      <c r="AF1001" s="22"/>
      <c r="AG1001" s="48" t="str">
        <f t="shared" si="92"/>
        <v/>
      </c>
      <c r="AH1001" s="48" t="str">
        <f t="shared" si="93"/>
        <v/>
      </c>
      <c r="AI1001" s="48" t="str">
        <f t="shared" si="94"/>
        <v/>
      </c>
      <c r="AJ1001" s="40" t="str">
        <f t="shared" si="90"/>
        <v/>
      </c>
      <c r="AK1001" s="40"/>
      <c r="AL1001" s="40"/>
      <c r="AM1001" s="22"/>
      <c r="AQ1001" s="46"/>
    </row>
    <row r="1002" spans="1:43" ht="17.399999999999999">
      <c r="A1002" s="22"/>
      <c r="B1002" s="22"/>
      <c r="C1002" s="56"/>
      <c r="D1002" s="56"/>
      <c r="E1002" s="22"/>
      <c r="F1002" s="22"/>
      <c r="G1002" s="22"/>
      <c r="H1002" s="22"/>
      <c r="I1002" s="49"/>
      <c r="J1002" s="50"/>
      <c r="K1002" s="22"/>
      <c r="L1002" s="22"/>
      <c r="M1002" s="22"/>
      <c r="N1002" s="22"/>
      <c r="O1002" s="22"/>
      <c r="P1002" s="46"/>
      <c r="Q1002" s="40"/>
      <c r="R1002" s="41"/>
      <c r="S1002" s="22" t="str">
        <f t="shared" si="91"/>
        <v/>
      </c>
      <c r="T1002" s="41"/>
      <c r="U1002" s="41" t="str">
        <f t="shared" si="95"/>
        <v/>
      </c>
      <c r="V1002" s="44"/>
      <c r="W1002" s="44"/>
      <c r="X1002" s="46"/>
      <c r="Y1002" s="46"/>
      <c r="Z1002" s="46"/>
      <c r="AA1002" s="41"/>
      <c r="AB1002" s="22"/>
      <c r="AC1002" s="22"/>
      <c r="AD1002" s="41"/>
      <c r="AE1002" s="22"/>
      <c r="AF1002" s="22"/>
      <c r="AG1002" s="48" t="str">
        <f t="shared" si="92"/>
        <v/>
      </c>
      <c r="AH1002" s="48" t="str">
        <f t="shared" si="93"/>
        <v/>
      </c>
      <c r="AI1002" s="48" t="str">
        <f t="shared" si="94"/>
        <v/>
      </c>
      <c r="AJ1002" s="40" t="str">
        <f t="shared" si="90"/>
        <v/>
      </c>
      <c r="AK1002" s="40"/>
      <c r="AL1002" s="40"/>
      <c r="AM1002" s="22"/>
      <c r="AQ1002" s="46"/>
    </row>
    <row r="1003" spans="1:43" ht="17.399999999999999">
      <c r="A1003" s="22"/>
      <c r="B1003" s="22"/>
      <c r="C1003" s="56"/>
      <c r="D1003" s="56"/>
      <c r="E1003" s="22"/>
      <c r="F1003" s="22"/>
      <c r="G1003" s="22"/>
      <c r="H1003" s="22"/>
      <c r="I1003" s="49"/>
      <c r="J1003" s="50"/>
      <c r="K1003" s="22"/>
      <c r="L1003" s="22"/>
      <c r="M1003" s="22"/>
      <c r="N1003" s="22"/>
      <c r="O1003" s="22"/>
      <c r="P1003" s="46"/>
      <c r="Q1003" s="40"/>
      <c r="R1003" s="41"/>
      <c r="S1003" s="22" t="str">
        <f t="shared" si="91"/>
        <v/>
      </c>
      <c r="T1003" s="41"/>
      <c r="U1003" s="41" t="str">
        <f t="shared" si="95"/>
        <v/>
      </c>
      <c r="V1003" s="44"/>
      <c r="W1003" s="44"/>
      <c r="X1003" s="46"/>
      <c r="Y1003" s="46"/>
      <c r="Z1003" s="46"/>
      <c r="AA1003" s="41"/>
      <c r="AB1003" s="22"/>
      <c r="AC1003" s="22"/>
      <c r="AD1003" s="41"/>
      <c r="AE1003" s="22"/>
      <c r="AF1003" s="22"/>
      <c r="AG1003" s="48" t="str">
        <f t="shared" si="92"/>
        <v/>
      </c>
      <c r="AH1003" s="48" t="str">
        <f t="shared" si="93"/>
        <v/>
      </c>
      <c r="AI1003" s="48" t="str">
        <f t="shared" si="94"/>
        <v/>
      </c>
      <c r="AJ1003" s="40" t="str">
        <f t="shared" si="90"/>
        <v/>
      </c>
      <c r="AK1003" s="40"/>
      <c r="AL1003" s="40"/>
      <c r="AM1003" s="22"/>
      <c r="AQ1003" s="46"/>
    </row>
    <row r="1004" spans="1:43" ht="17.399999999999999">
      <c r="A1004" s="22"/>
      <c r="B1004" s="22"/>
      <c r="C1004" s="56"/>
      <c r="D1004" s="56"/>
      <c r="E1004" s="22"/>
      <c r="F1004" s="22"/>
      <c r="G1004" s="22"/>
      <c r="H1004" s="22"/>
      <c r="I1004" s="49"/>
      <c r="J1004" s="50"/>
      <c r="K1004" s="22"/>
      <c r="L1004" s="22"/>
      <c r="M1004" s="22"/>
      <c r="N1004" s="22"/>
      <c r="O1004" s="22"/>
      <c r="P1004" s="46"/>
      <c r="Q1004" s="40"/>
      <c r="R1004" s="41"/>
      <c r="S1004" s="22" t="str">
        <f t="shared" si="91"/>
        <v/>
      </c>
      <c r="T1004" s="41"/>
      <c r="U1004" s="41" t="str">
        <f t="shared" si="95"/>
        <v/>
      </c>
      <c r="V1004" s="44"/>
      <c r="W1004" s="44"/>
      <c r="X1004" s="46"/>
      <c r="Y1004" s="46"/>
      <c r="Z1004" s="46"/>
      <c r="AA1004" s="41"/>
      <c r="AB1004" s="22"/>
      <c r="AC1004" s="22"/>
      <c r="AD1004" s="41"/>
      <c r="AE1004" s="22"/>
      <c r="AF1004" s="22"/>
      <c r="AG1004" s="48" t="str">
        <f t="shared" si="92"/>
        <v/>
      </c>
      <c r="AH1004" s="48" t="str">
        <f t="shared" si="93"/>
        <v/>
      </c>
      <c r="AI1004" s="48" t="str">
        <f t="shared" si="94"/>
        <v/>
      </c>
      <c r="AJ1004" s="40" t="str">
        <f t="shared" si="90"/>
        <v/>
      </c>
      <c r="AK1004" s="40"/>
      <c r="AL1004" s="40"/>
      <c r="AM1004" s="22"/>
      <c r="AQ1004" s="46"/>
    </row>
    <row r="1005" spans="1:43" ht="17.399999999999999">
      <c r="A1005" s="22"/>
      <c r="B1005" s="22"/>
      <c r="C1005" s="56"/>
      <c r="D1005" s="56"/>
      <c r="E1005" s="22"/>
      <c r="F1005" s="22"/>
      <c r="G1005" s="22"/>
      <c r="H1005" s="22"/>
      <c r="I1005" s="49"/>
      <c r="J1005" s="50"/>
      <c r="K1005" s="22"/>
      <c r="L1005" s="22"/>
      <c r="M1005" s="22"/>
      <c r="N1005" s="22"/>
      <c r="O1005" s="22"/>
      <c r="P1005" s="46"/>
      <c r="Q1005" s="40"/>
      <c r="R1005" s="41"/>
      <c r="S1005" s="22" t="str">
        <f t="shared" si="91"/>
        <v/>
      </c>
      <c r="T1005" s="41"/>
      <c r="U1005" s="41" t="str">
        <f t="shared" si="95"/>
        <v/>
      </c>
      <c r="V1005" s="44"/>
      <c r="W1005" s="44"/>
      <c r="X1005" s="46"/>
      <c r="Y1005" s="46"/>
      <c r="Z1005" s="46"/>
      <c r="AA1005" s="41"/>
      <c r="AB1005" s="22"/>
      <c r="AC1005" s="22"/>
      <c r="AD1005" s="41"/>
      <c r="AE1005" s="22"/>
      <c r="AF1005" s="22"/>
      <c r="AG1005" s="48" t="str">
        <f t="shared" si="92"/>
        <v/>
      </c>
      <c r="AH1005" s="48" t="str">
        <f t="shared" si="93"/>
        <v/>
      </c>
      <c r="AI1005" s="48" t="str">
        <f t="shared" si="94"/>
        <v/>
      </c>
      <c r="AJ1005" s="40" t="str">
        <f t="shared" ref="AJ1005:AJ1060" si="96">IF(A1005="","",R1005+21)</f>
        <v/>
      </c>
      <c r="AK1005" s="40"/>
      <c r="AL1005" s="40"/>
      <c r="AM1005" s="22"/>
      <c r="AQ1005" s="46"/>
    </row>
    <row r="1006" spans="1:43" ht="17.399999999999999">
      <c r="A1006" s="22"/>
      <c r="B1006" s="22"/>
      <c r="C1006" s="56"/>
      <c r="D1006" s="56"/>
      <c r="E1006" s="22"/>
      <c r="F1006" s="22"/>
      <c r="G1006" s="22"/>
      <c r="H1006" s="22"/>
      <c r="I1006" s="49"/>
      <c r="J1006" s="50"/>
      <c r="K1006" s="22"/>
      <c r="L1006" s="22"/>
      <c r="M1006" s="22"/>
      <c r="N1006" s="22"/>
      <c r="O1006" s="22"/>
      <c r="P1006" s="46"/>
      <c r="Q1006" s="40"/>
      <c r="R1006" s="41"/>
      <c r="S1006" s="22" t="str">
        <f t="shared" si="91"/>
        <v/>
      </c>
      <c r="T1006" s="41"/>
      <c r="U1006" s="41" t="str">
        <f t="shared" si="95"/>
        <v/>
      </c>
      <c r="V1006" s="44"/>
      <c r="W1006" s="44"/>
      <c r="X1006" s="46"/>
      <c r="Y1006" s="46"/>
      <c r="Z1006" s="46"/>
      <c r="AA1006" s="41"/>
      <c r="AB1006" s="22"/>
      <c r="AC1006" s="22"/>
      <c r="AD1006" s="41"/>
      <c r="AE1006" s="22"/>
      <c r="AF1006" s="22"/>
      <c r="AG1006" s="48" t="str">
        <f t="shared" si="92"/>
        <v/>
      </c>
      <c r="AH1006" s="48" t="str">
        <f t="shared" si="93"/>
        <v/>
      </c>
      <c r="AI1006" s="48" t="str">
        <f t="shared" si="94"/>
        <v/>
      </c>
      <c r="AJ1006" s="40" t="str">
        <f t="shared" si="96"/>
        <v/>
      </c>
      <c r="AK1006" s="40"/>
      <c r="AL1006" s="40"/>
      <c r="AM1006" s="22"/>
      <c r="AQ1006" s="46"/>
    </row>
    <row r="1007" spans="1:43" ht="17.399999999999999">
      <c r="A1007" s="22"/>
      <c r="B1007" s="22"/>
      <c r="C1007" s="56"/>
      <c r="D1007" s="56"/>
      <c r="E1007" s="22"/>
      <c r="F1007" s="22"/>
      <c r="G1007" s="22"/>
      <c r="H1007" s="22"/>
      <c r="I1007" s="49"/>
      <c r="J1007" s="50"/>
      <c r="K1007" s="22"/>
      <c r="L1007" s="22"/>
      <c r="M1007" s="22"/>
      <c r="N1007" s="22"/>
      <c r="O1007" s="22"/>
      <c r="P1007" s="46"/>
      <c r="Q1007" s="40"/>
      <c r="R1007" s="41"/>
      <c r="S1007" s="22" t="str">
        <f t="shared" si="91"/>
        <v/>
      </c>
      <c r="T1007" s="41"/>
      <c r="U1007" s="41" t="str">
        <f t="shared" si="95"/>
        <v/>
      </c>
      <c r="V1007" s="44"/>
      <c r="W1007" s="44"/>
      <c r="X1007" s="46"/>
      <c r="Y1007" s="46"/>
      <c r="Z1007" s="46"/>
      <c r="AA1007" s="41"/>
      <c r="AB1007" s="22"/>
      <c r="AC1007" s="22"/>
      <c r="AD1007" s="41"/>
      <c r="AE1007" s="22"/>
      <c r="AF1007" s="22"/>
      <c r="AG1007" s="48" t="str">
        <f t="shared" si="92"/>
        <v/>
      </c>
      <c r="AH1007" s="48" t="str">
        <f t="shared" si="93"/>
        <v/>
      </c>
      <c r="AI1007" s="48" t="str">
        <f t="shared" si="94"/>
        <v/>
      </c>
      <c r="AJ1007" s="40" t="str">
        <f t="shared" si="96"/>
        <v/>
      </c>
      <c r="AK1007" s="40"/>
      <c r="AL1007" s="40"/>
      <c r="AM1007" s="22"/>
      <c r="AQ1007" s="46"/>
    </row>
    <row r="1008" spans="1:43" ht="17.399999999999999">
      <c r="A1008" s="22"/>
      <c r="B1008" s="22"/>
      <c r="C1008" s="56"/>
      <c r="D1008" s="56"/>
      <c r="E1008" s="22"/>
      <c r="F1008" s="22"/>
      <c r="G1008" s="22"/>
      <c r="H1008" s="22"/>
      <c r="I1008" s="49"/>
      <c r="J1008" s="50"/>
      <c r="K1008" s="22"/>
      <c r="L1008" s="22"/>
      <c r="M1008" s="22"/>
      <c r="N1008" s="22"/>
      <c r="O1008" s="22"/>
      <c r="P1008" s="46"/>
      <c r="Q1008" s="40"/>
      <c r="R1008" s="41"/>
      <c r="S1008" s="22" t="str">
        <f t="shared" si="91"/>
        <v/>
      </c>
      <c r="T1008" s="41"/>
      <c r="U1008" s="41" t="str">
        <f t="shared" si="95"/>
        <v/>
      </c>
      <c r="V1008" s="44"/>
      <c r="W1008" s="44"/>
      <c r="X1008" s="46"/>
      <c r="Y1008" s="46"/>
      <c r="Z1008" s="46"/>
      <c r="AA1008" s="41"/>
      <c r="AB1008" s="22"/>
      <c r="AC1008" s="22"/>
      <c r="AD1008" s="41"/>
      <c r="AE1008" s="22"/>
      <c r="AF1008" s="22"/>
      <c r="AG1008" s="48" t="str">
        <f t="shared" si="92"/>
        <v/>
      </c>
      <c r="AH1008" s="48" t="str">
        <f t="shared" si="93"/>
        <v/>
      </c>
      <c r="AI1008" s="48" t="str">
        <f t="shared" si="94"/>
        <v/>
      </c>
      <c r="AJ1008" s="40" t="str">
        <f t="shared" si="96"/>
        <v/>
      </c>
      <c r="AK1008" s="40"/>
      <c r="AL1008" s="40"/>
      <c r="AM1008" s="22"/>
      <c r="AQ1008" s="46"/>
    </row>
    <row r="1009" spans="1:43" ht="17.399999999999999">
      <c r="A1009" s="22"/>
      <c r="B1009" s="22"/>
      <c r="C1009" s="56"/>
      <c r="D1009" s="56"/>
      <c r="E1009" s="22"/>
      <c r="F1009" s="22"/>
      <c r="G1009" s="22"/>
      <c r="H1009" s="22"/>
      <c r="I1009" s="49"/>
      <c r="J1009" s="50"/>
      <c r="K1009" s="22"/>
      <c r="L1009" s="22"/>
      <c r="M1009" s="22"/>
      <c r="N1009" s="22"/>
      <c r="O1009" s="22"/>
      <c r="P1009" s="46"/>
      <c r="Q1009" s="40"/>
      <c r="R1009" s="41"/>
      <c r="S1009" s="22" t="str">
        <f t="shared" si="91"/>
        <v/>
      </c>
      <c r="T1009" s="41"/>
      <c r="U1009" s="41" t="str">
        <f t="shared" si="95"/>
        <v/>
      </c>
      <c r="V1009" s="44"/>
      <c r="W1009" s="44"/>
      <c r="X1009" s="46"/>
      <c r="Y1009" s="46"/>
      <c r="Z1009" s="46"/>
      <c r="AA1009" s="41"/>
      <c r="AB1009" s="22"/>
      <c r="AC1009" s="22"/>
      <c r="AD1009" s="41"/>
      <c r="AE1009" s="22"/>
      <c r="AF1009" s="22"/>
      <c r="AG1009" s="48" t="str">
        <f t="shared" si="92"/>
        <v/>
      </c>
      <c r="AH1009" s="48" t="str">
        <f t="shared" si="93"/>
        <v/>
      </c>
      <c r="AI1009" s="48" t="str">
        <f t="shared" si="94"/>
        <v/>
      </c>
      <c r="AJ1009" s="40" t="str">
        <f t="shared" si="96"/>
        <v/>
      </c>
      <c r="AK1009" s="40"/>
      <c r="AL1009" s="40"/>
      <c r="AM1009" s="22"/>
      <c r="AQ1009" s="46"/>
    </row>
    <row r="1010" spans="1:43" ht="17.399999999999999">
      <c r="A1010" s="22"/>
      <c r="B1010" s="22"/>
      <c r="C1010" s="56"/>
      <c r="D1010" s="56"/>
      <c r="E1010" s="22"/>
      <c r="F1010" s="22"/>
      <c r="G1010" s="22"/>
      <c r="H1010" s="22"/>
      <c r="I1010" s="49"/>
      <c r="J1010" s="50"/>
      <c r="K1010" s="22"/>
      <c r="L1010" s="22"/>
      <c r="M1010" s="22"/>
      <c r="N1010" s="22"/>
      <c r="O1010" s="22"/>
      <c r="P1010" s="46"/>
      <c r="Q1010" s="40"/>
      <c r="R1010" s="41"/>
      <c r="S1010" s="22" t="str">
        <f t="shared" si="91"/>
        <v/>
      </c>
      <c r="T1010" s="41"/>
      <c r="U1010" s="41" t="str">
        <f t="shared" si="95"/>
        <v/>
      </c>
      <c r="V1010" s="44"/>
      <c r="W1010" s="44"/>
      <c r="X1010" s="46"/>
      <c r="Y1010" s="46"/>
      <c r="Z1010" s="46"/>
      <c r="AA1010" s="41"/>
      <c r="AB1010" s="22"/>
      <c r="AC1010" s="22"/>
      <c r="AD1010" s="41"/>
      <c r="AE1010" s="22"/>
      <c r="AF1010" s="22"/>
      <c r="AG1010" s="48" t="str">
        <f t="shared" si="92"/>
        <v/>
      </c>
      <c r="AH1010" s="48" t="str">
        <f t="shared" si="93"/>
        <v/>
      </c>
      <c r="AI1010" s="48" t="str">
        <f t="shared" si="94"/>
        <v/>
      </c>
      <c r="AJ1010" s="40" t="str">
        <f t="shared" si="96"/>
        <v/>
      </c>
      <c r="AK1010" s="40"/>
      <c r="AL1010" s="40"/>
      <c r="AM1010" s="22"/>
      <c r="AQ1010" s="46"/>
    </row>
    <row r="1011" spans="1:43" ht="17.399999999999999">
      <c r="A1011" s="22"/>
      <c r="B1011" s="22"/>
      <c r="C1011" s="56"/>
      <c r="D1011" s="56"/>
      <c r="E1011" s="22"/>
      <c r="F1011" s="22"/>
      <c r="G1011" s="22"/>
      <c r="H1011" s="22"/>
      <c r="I1011" s="49"/>
      <c r="J1011" s="50"/>
      <c r="K1011" s="22"/>
      <c r="L1011" s="22"/>
      <c r="M1011" s="22"/>
      <c r="N1011" s="22"/>
      <c r="O1011" s="22"/>
      <c r="P1011" s="46"/>
      <c r="Q1011" s="40"/>
      <c r="R1011" s="41"/>
      <c r="S1011" s="22" t="str">
        <f t="shared" si="91"/>
        <v/>
      </c>
      <c r="T1011" s="41"/>
      <c r="U1011" s="41" t="str">
        <f t="shared" si="95"/>
        <v/>
      </c>
      <c r="V1011" s="44"/>
      <c r="W1011" s="44"/>
      <c r="X1011" s="46"/>
      <c r="Y1011" s="46"/>
      <c r="Z1011" s="46"/>
      <c r="AA1011" s="41"/>
      <c r="AB1011" s="22"/>
      <c r="AC1011" s="22"/>
      <c r="AD1011" s="41"/>
      <c r="AE1011" s="22"/>
      <c r="AF1011" s="22"/>
      <c r="AG1011" s="48" t="str">
        <f t="shared" si="92"/>
        <v/>
      </c>
      <c r="AH1011" s="48" t="str">
        <f t="shared" si="93"/>
        <v/>
      </c>
      <c r="AI1011" s="48" t="str">
        <f t="shared" si="94"/>
        <v/>
      </c>
      <c r="AJ1011" s="40" t="str">
        <f t="shared" si="96"/>
        <v/>
      </c>
      <c r="AK1011" s="40"/>
      <c r="AL1011" s="40"/>
      <c r="AM1011" s="22"/>
      <c r="AQ1011" s="46"/>
    </row>
    <row r="1012" spans="1:43" ht="17.399999999999999">
      <c r="A1012" s="22"/>
      <c r="B1012" s="22"/>
      <c r="C1012" s="56"/>
      <c r="D1012" s="56"/>
      <c r="E1012" s="22"/>
      <c r="F1012" s="22"/>
      <c r="G1012" s="22"/>
      <c r="H1012" s="22"/>
      <c r="I1012" s="49"/>
      <c r="J1012" s="50"/>
      <c r="K1012" s="22"/>
      <c r="L1012" s="22"/>
      <c r="M1012" s="22"/>
      <c r="N1012" s="22"/>
      <c r="O1012" s="22"/>
      <c r="P1012" s="46"/>
      <c r="Q1012" s="40"/>
      <c r="R1012" s="41"/>
      <c r="S1012" s="22" t="str">
        <f t="shared" si="91"/>
        <v/>
      </c>
      <c r="T1012" s="41"/>
      <c r="U1012" s="41" t="str">
        <f t="shared" si="95"/>
        <v/>
      </c>
      <c r="V1012" s="44"/>
      <c r="W1012" s="44"/>
      <c r="X1012" s="46"/>
      <c r="Y1012" s="46"/>
      <c r="Z1012" s="46"/>
      <c r="AA1012" s="41"/>
      <c r="AB1012" s="22"/>
      <c r="AC1012" s="22"/>
      <c r="AD1012" s="41"/>
      <c r="AE1012" s="22"/>
      <c r="AF1012" s="22"/>
      <c r="AG1012" s="48" t="str">
        <f t="shared" si="92"/>
        <v/>
      </c>
      <c r="AH1012" s="48" t="str">
        <f t="shared" si="93"/>
        <v/>
      </c>
      <c r="AI1012" s="48" t="str">
        <f t="shared" si="94"/>
        <v/>
      </c>
      <c r="AJ1012" s="40" t="str">
        <f t="shared" si="96"/>
        <v/>
      </c>
      <c r="AK1012" s="40"/>
      <c r="AL1012" s="40"/>
      <c r="AM1012" s="22"/>
      <c r="AQ1012" s="46"/>
    </row>
    <row r="1013" spans="1:43" ht="17.399999999999999">
      <c r="A1013" s="22"/>
      <c r="B1013" s="22"/>
      <c r="C1013" s="56"/>
      <c r="D1013" s="56"/>
      <c r="E1013" s="22"/>
      <c r="F1013" s="22"/>
      <c r="G1013" s="22"/>
      <c r="H1013" s="22"/>
      <c r="I1013" s="49"/>
      <c r="J1013" s="50"/>
      <c r="K1013" s="22"/>
      <c r="L1013" s="22"/>
      <c r="M1013" s="22"/>
      <c r="N1013" s="22"/>
      <c r="O1013" s="22"/>
      <c r="P1013" s="46"/>
      <c r="Q1013" s="40"/>
      <c r="R1013" s="41"/>
      <c r="S1013" s="22" t="str">
        <f t="shared" si="91"/>
        <v/>
      </c>
      <c r="T1013" s="41"/>
      <c r="U1013" s="41" t="str">
        <f t="shared" si="95"/>
        <v/>
      </c>
      <c r="V1013" s="44"/>
      <c r="W1013" s="44"/>
      <c r="X1013" s="46"/>
      <c r="Y1013" s="46"/>
      <c r="Z1013" s="46"/>
      <c r="AA1013" s="41"/>
      <c r="AB1013" s="22"/>
      <c r="AC1013" s="22"/>
      <c r="AD1013" s="41"/>
      <c r="AE1013" s="22"/>
      <c r="AF1013" s="22"/>
      <c r="AG1013" s="48" t="str">
        <f t="shared" si="92"/>
        <v/>
      </c>
      <c r="AH1013" s="48" t="str">
        <f t="shared" si="93"/>
        <v/>
      </c>
      <c r="AI1013" s="48" t="str">
        <f t="shared" si="94"/>
        <v/>
      </c>
      <c r="AJ1013" s="40" t="str">
        <f t="shared" si="96"/>
        <v/>
      </c>
      <c r="AK1013" s="40"/>
      <c r="AL1013" s="40"/>
      <c r="AM1013" s="22"/>
      <c r="AQ1013" s="46"/>
    </row>
    <row r="1014" spans="1:43" ht="17.399999999999999">
      <c r="A1014" s="22"/>
      <c r="B1014" s="22"/>
      <c r="C1014" s="56"/>
      <c r="D1014" s="56"/>
      <c r="E1014" s="22"/>
      <c r="F1014" s="22"/>
      <c r="G1014" s="22"/>
      <c r="H1014" s="22"/>
      <c r="I1014" s="49"/>
      <c r="J1014" s="50"/>
      <c r="K1014" s="22"/>
      <c r="L1014" s="22"/>
      <c r="M1014" s="22"/>
      <c r="N1014" s="22"/>
      <c r="O1014" s="22"/>
      <c r="P1014" s="46"/>
      <c r="Q1014" s="40"/>
      <c r="R1014" s="41"/>
      <c r="S1014" s="22" t="str">
        <f t="shared" si="91"/>
        <v/>
      </c>
      <c r="T1014" s="41"/>
      <c r="U1014" s="41" t="str">
        <f t="shared" si="95"/>
        <v/>
      </c>
      <c r="V1014" s="44"/>
      <c r="W1014" s="44"/>
      <c r="X1014" s="46"/>
      <c r="Y1014" s="46"/>
      <c r="Z1014" s="46"/>
      <c r="AA1014" s="41"/>
      <c r="AB1014" s="22"/>
      <c r="AC1014" s="22"/>
      <c r="AD1014" s="41"/>
      <c r="AE1014" s="22"/>
      <c r="AF1014" s="22"/>
      <c r="AG1014" s="48" t="str">
        <f t="shared" si="92"/>
        <v/>
      </c>
      <c r="AH1014" s="48" t="str">
        <f t="shared" si="93"/>
        <v/>
      </c>
      <c r="AI1014" s="48" t="str">
        <f t="shared" si="94"/>
        <v/>
      </c>
      <c r="AJ1014" s="40" t="str">
        <f t="shared" si="96"/>
        <v/>
      </c>
      <c r="AK1014" s="40"/>
      <c r="AL1014" s="40"/>
      <c r="AM1014" s="22"/>
      <c r="AQ1014" s="46"/>
    </row>
    <row r="1015" spans="1:43" ht="17.399999999999999">
      <c r="A1015" s="22"/>
      <c r="B1015" s="22"/>
      <c r="C1015" s="56"/>
      <c r="D1015" s="56"/>
      <c r="E1015" s="22"/>
      <c r="F1015" s="22"/>
      <c r="G1015" s="22"/>
      <c r="H1015" s="22"/>
      <c r="I1015" s="49"/>
      <c r="J1015" s="50"/>
      <c r="K1015" s="22"/>
      <c r="L1015" s="22"/>
      <c r="M1015" s="22"/>
      <c r="N1015" s="22"/>
      <c r="O1015" s="22"/>
      <c r="P1015" s="46"/>
      <c r="Q1015" s="40"/>
      <c r="R1015" s="41"/>
      <c r="S1015" s="22" t="str">
        <f t="shared" si="91"/>
        <v/>
      </c>
      <c r="T1015" s="41"/>
      <c r="U1015" s="41" t="str">
        <f t="shared" si="95"/>
        <v/>
      </c>
      <c r="V1015" s="44"/>
      <c r="W1015" s="44"/>
      <c r="X1015" s="46"/>
      <c r="Y1015" s="46"/>
      <c r="Z1015" s="46"/>
      <c r="AA1015" s="41"/>
      <c r="AB1015" s="22"/>
      <c r="AC1015" s="22"/>
      <c r="AD1015" s="41"/>
      <c r="AE1015" s="22"/>
      <c r="AF1015" s="22"/>
      <c r="AG1015" s="48" t="str">
        <f t="shared" si="92"/>
        <v/>
      </c>
      <c r="AH1015" s="48" t="str">
        <f t="shared" si="93"/>
        <v/>
      </c>
      <c r="AI1015" s="48" t="str">
        <f t="shared" si="94"/>
        <v/>
      </c>
      <c r="AJ1015" s="40" t="str">
        <f t="shared" si="96"/>
        <v/>
      </c>
      <c r="AK1015" s="40"/>
      <c r="AL1015" s="40"/>
      <c r="AM1015" s="22"/>
      <c r="AQ1015" s="46"/>
    </row>
    <row r="1016" spans="1:43" ht="17.399999999999999">
      <c r="A1016" s="22"/>
      <c r="B1016" s="22"/>
      <c r="C1016" s="56"/>
      <c r="D1016" s="56"/>
      <c r="E1016" s="22"/>
      <c r="F1016" s="22"/>
      <c r="G1016" s="22"/>
      <c r="H1016" s="22"/>
      <c r="I1016" s="49"/>
      <c r="J1016" s="50"/>
      <c r="K1016" s="22"/>
      <c r="L1016" s="22"/>
      <c r="M1016" s="22"/>
      <c r="N1016" s="22"/>
      <c r="O1016" s="22"/>
      <c r="P1016" s="46"/>
      <c r="Q1016" s="40"/>
      <c r="R1016" s="41"/>
      <c r="S1016" s="22" t="str">
        <f t="shared" si="91"/>
        <v/>
      </c>
      <c r="T1016" s="41"/>
      <c r="U1016" s="41" t="str">
        <f t="shared" si="95"/>
        <v/>
      </c>
      <c r="V1016" s="44"/>
      <c r="W1016" s="44"/>
      <c r="X1016" s="46"/>
      <c r="Y1016" s="46"/>
      <c r="Z1016" s="46"/>
      <c r="AA1016" s="41"/>
      <c r="AB1016" s="22"/>
      <c r="AC1016" s="22"/>
      <c r="AD1016" s="41"/>
      <c r="AE1016" s="22"/>
      <c r="AF1016" s="22"/>
      <c r="AG1016" s="48" t="str">
        <f t="shared" si="92"/>
        <v/>
      </c>
      <c r="AH1016" s="48" t="str">
        <f t="shared" si="93"/>
        <v/>
      </c>
      <c r="AI1016" s="48" t="str">
        <f t="shared" si="94"/>
        <v/>
      </c>
      <c r="AJ1016" s="40" t="str">
        <f t="shared" si="96"/>
        <v/>
      </c>
      <c r="AK1016" s="40"/>
      <c r="AL1016" s="40"/>
      <c r="AM1016" s="22"/>
      <c r="AQ1016" s="46"/>
    </row>
    <row r="1017" spans="1:43" ht="17.399999999999999">
      <c r="A1017" s="22"/>
      <c r="B1017" s="22"/>
      <c r="C1017" s="56"/>
      <c r="D1017" s="56"/>
      <c r="E1017" s="22"/>
      <c r="F1017" s="22"/>
      <c r="G1017" s="22"/>
      <c r="H1017" s="22"/>
      <c r="I1017" s="49"/>
      <c r="J1017" s="50"/>
      <c r="K1017" s="22"/>
      <c r="L1017" s="22"/>
      <c r="M1017" s="22"/>
      <c r="N1017" s="22"/>
      <c r="O1017" s="22"/>
      <c r="P1017" s="46"/>
      <c r="Q1017" s="40"/>
      <c r="R1017" s="41"/>
      <c r="S1017" s="22" t="str">
        <f t="shared" si="91"/>
        <v/>
      </c>
      <c r="T1017" s="41"/>
      <c r="U1017" s="41" t="str">
        <f t="shared" si="95"/>
        <v/>
      </c>
      <c r="V1017" s="44"/>
      <c r="W1017" s="44"/>
      <c r="X1017" s="46"/>
      <c r="Y1017" s="46"/>
      <c r="Z1017" s="46"/>
      <c r="AA1017" s="41"/>
      <c r="AB1017" s="22"/>
      <c r="AC1017" s="22"/>
      <c r="AD1017" s="41"/>
      <c r="AE1017" s="22"/>
      <c r="AF1017" s="22"/>
      <c r="AG1017" s="48" t="str">
        <f t="shared" si="92"/>
        <v/>
      </c>
      <c r="AH1017" s="48" t="str">
        <f t="shared" si="93"/>
        <v/>
      </c>
      <c r="AI1017" s="48" t="str">
        <f t="shared" si="94"/>
        <v/>
      </c>
      <c r="AJ1017" s="40" t="str">
        <f t="shared" si="96"/>
        <v/>
      </c>
      <c r="AK1017" s="40"/>
      <c r="AL1017" s="40"/>
      <c r="AM1017" s="22"/>
      <c r="AQ1017" s="46"/>
    </row>
    <row r="1018" spans="1:43" ht="17.399999999999999">
      <c r="A1018" s="22"/>
      <c r="B1018" s="22"/>
      <c r="C1018" s="56"/>
      <c r="D1018" s="56"/>
      <c r="E1018" s="22"/>
      <c r="F1018" s="22"/>
      <c r="G1018" s="22"/>
      <c r="H1018" s="22"/>
      <c r="I1018" s="49"/>
      <c r="J1018" s="50"/>
      <c r="K1018" s="22"/>
      <c r="L1018" s="22"/>
      <c r="M1018" s="22"/>
      <c r="N1018" s="22"/>
      <c r="O1018" s="22"/>
      <c r="P1018" s="46"/>
      <c r="Q1018" s="40"/>
      <c r="R1018" s="41"/>
      <c r="S1018" s="22" t="str">
        <f t="shared" si="91"/>
        <v/>
      </c>
      <c r="T1018" s="41"/>
      <c r="U1018" s="41" t="str">
        <f t="shared" si="95"/>
        <v/>
      </c>
      <c r="V1018" s="44"/>
      <c r="W1018" s="44"/>
      <c r="X1018" s="46"/>
      <c r="Y1018" s="46"/>
      <c r="Z1018" s="46"/>
      <c r="AA1018" s="41"/>
      <c r="AB1018" s="22"/>
      <c r="AC1018" s="22"/>
      <c r="AD1018" s="41"/>
      <c r="AE1018" s="22"/>
      <c r="AF1018" s="22"/>
      <c r="AG1018" s="48" t="str">
        <f t="shared" si="92"/>
        <v/>
      </c>
      <c r="AH1018" s="48" t="str">
        <f t="shared" si="93"/>
        <v/>
      </c>
      <c r="AI1018" s="48" t="str">
        <f t="shared" si="94"/>
        <v/>
      </c>
      <c r="AJ1018" s="40" t="str">
        <f t="shared" si="96"/>
        <v/>
      </c>
      <c r="AK1018" s="40"/>
      <c r="AL1018" s="40"/>
      <c r="AM1018" s="22"/>
      <c r="AQ1018" s="46"/>
    </row>
    <row r="1019" spans="1:43" ht="17.399999999999999">
      <c r="A1019" s="22"/>
      <c r="B1019" s="22"/>
      <c r="C1019" s="56"/>
      <c r="D1019" s="56"/>
      <c r="E1019" s="22"/>
      <c r="F1019" s="22"/>
      <c r="G1019" s="22"/>
      <c r="H1019" s="22"/>
      <c r="I1019" s="49"/>
      <c r="J1019" s="50"/>
      <c r="K1019" s="22"/>
      <c r="L1019" s="22"/>
      <c r="M1019" s="22"/>
      <c r="N1019" s="22"/>
      <c r="O1019" s="22"/>
      <c r="P1019" s="46"/>
      <c r="Q1019" s="40"/>
      <c r="R1019" s="41"/>
      <c r="S1019" s="22" t="str">
        <f t="shared" si="91"/>
        <v/>
      </c>
      <c r="T1019" s="41"/>
      <c r="U1019" s="41" t="str">
        <f t="shared" si="95"/>
        <v/>
      </c>
      <c r="V1019" s="44"/>
      <c r="W1019" s="44"/>
      <c r="X1019" s="46"/>
      <c r="Y1019" s="46"/>
      <c r="Z1019" s="46"/>
      <c r="AA1019" s="41"/>
      <c r="AB1019" s="22"/>
      <c r="AC1019" s="22"/>
      <c r="AD1019" s="41"/>
      <c r="AE1019" s="22"/>
      <c r="AF1019" s="22"/>
      <c r="AG1019" s="48" t="str">
        <f t="shared" si="92"/>
        <v/>
      </c>
      <c r="AH1019" s="48" t="str">
        <f t="shared" si="93"/>
        <v/>
      </c>
      <c r="AI1019" s="48" t="str">
        <f t="shared" si="94"/>
        <v/>
      </c>
      <c r="AJ1019" s="40" t="str">
        <f t="shared" si="96"/>
        <v/>
      </c>
      <c r="AK1019" s="40"/>
      <c r="AL1019" s="40"/>
      <c r="AM1019" s="22"/>
      <c r="AQ1019" s="46"/>
    </row>
    <row r="1020" spans="1:43" ht="17.399999999999999">
      <c r="A1020" s="22"/>
      <c r="B1020" s="22"/>
      <c r="C1020" s="56"/>
      <c r="D1020" s="56"/>
      <c r="E1020" s="22"/>
      <c r="F1020" s="22"/>
      <c r="G1020" s="22"/>
      <c r="H1020" s="22"/>
      <c r="I1020" s="49"/>
      <c r="J1020" s="50"/>
      <c r="K1020" s="22"/>
      <c r="L1020" s="22"/>
      <c r="M1020" s="22"/>
      <c r="N1020" s="22"/>
      <c r="O1020" s="22"/>
      <c r="P1020" s="46"/>
      <c r="Q1020" s="40"/>
      <c r="R1020" s="41"/>
      <c r="S1020" s="22" t="str">
        <f t="shared" si="91"/>
        <v/>
      </c>
      <c r="T1020" s="41"/>
      <c r="U1020" s="41" t="str">
        <f t="shared" si="95"/>
        <v/>
      </c>
      <c r="V1020" s="44"/>
      <c r="W1020" s="44"/>
      <c r="X1020" s="46"/>
      <c r="Y1020" s="46"/>
      <c r="Z1020" s="46"/>
      <c r="AA1020" s="41"/>
      <c r="AB1020" s="22"/>
      <c r="AC1020" s="22"/>
      <c r="AD1020" s="41"/>
      <c r="AE1020" s="22"/>
      <c r="AF1020" s="22"/>
      <c r="AG1020" s="48" t="str">
        <f t="shared" si="92"/>
        <v/>
      </c>
      <c r="AH1020" s="48" t="str">
        <f t="shared" si="93"/>
        <v/>
      </c>
      <c r="AI1020" s="48" t="str">
        <f t="shared" si="94"/>
        <v/>
      </c>
      <c r="AJ1020" s="40" t="str">
        <f t="shared" si="96"/>
        <v/>
      </c>
      <c r="AK1020" s="40"/>
      <c r="AL1020" s="40"/>
      <c r="AM1020" s="22"/>
      <c r="AQ1020" s="46"/>
    </row>
    <row r="1021" spans="1:43" ht="17.399999999999999">
      <c r="A1021" s="22"/>
      <c r="B1021" s="22"/>
      <c r="C1021" s="56"/>
      <c r="D1021" s="56"/>
      <c r="E1021" s="22"/>
      <c r="F1021" s="22"/>
      <c r="G1021" s="22"/>
      <c r="H1021" s="22"/>
      <c r="I1021" s="49"/>
      <c r="J1021" s="50"/>
      <c r="K1021" s="22"/>
      <c r="L1021" s="22"/>
      <c r="M1021" s="22"/>
      <c r="N1021" s="22"/>
      <c r="O1021" s="22"/>
      <c r="P1021" s="46"/>
      <c r="Q1021" s="40"/>
      <c r="R1021" s="41"/>
      <c r="S1021" s="22" t="str">
        <f t="shared" si="91"/>
        <v/>
      </c>
      <c r="T1021" s="41"/>
      <c r="U1021" s="41" t="str">
        <f t="shared" si="95"/>
        <v/>
      </c>
      <c r="V1021" s="44"/>
      <c r="W1021" s="44"/>
      <c r="X1021" s="46"/>
      <c r="Y1021" s="46"/>
      <c r="Z1021" s="46"/>
      <c r="AA1021" s="41"/>
      <c r="AB1021" s="22"/>
      <c r="AC1021" s="22"/>
      <c r="AD1021" s="41"/>
      <c r="AE1021" s="22"/>
      <c r="AF1021" s="22"/>
      <c r="AG1021" s="48" t="str">
        <f t="shared" si="92"/>
        <v/>
      </c>
      <c r="AH1021" s="48" t="str">
        <f t="shared" si="93"/>
        <v/>
      </c>
      <c r="AI1021" s="48" t="str">
        <f t="shared" si="94"/>
        <v/>
      </c>
      <c r="AJ1021" s="40" t="str">
        <f t="shared" si="96"/>
        <v/>
      </c>
      <c r="AK1021" s="40"/>
      <c r="AL1021" s="40"/>
      <c r="AM1021" s="22"/>
      <c r="AQ1021" s="46"/>
    </row>
    <row r="1022" spans="1:43" ht="17.399999999999999">
      <c r="A1022" s="22"/>
      <c r="B1022" s="22"/>
      <c r="C1022" s="56"/>
      <c r="D1022" s="56"/>
      <c r="E1022" s="22"/>
      <c r="F1022" s="22"/>
      <c r="G1022" s="22"/>
      <c r="H1022" s="22"/>
      <c r="I1022" s="49"/>
      <c r="J1022" s="50"/>
      <c r="K1022" s="22"/>
      <c r="L1022" s="22"/>
      <c r="M1022" s="22"/>
      <c r="N1022" s="22"/>
      <c r="O1022" s="22"/>
      <c r="P1022" s="46"/>
      <c r="Q1022" s="40"/>
      <c r="R1022" s="41"/>
      <c r="S1022" s="22" t="str">
        <f t="shared" si="91"/>
        <v/>
      </c>
      <c r="T1022" s="41"/>
      <c r="U1022" s="41" t="str">
        <f t="shared" si="95"/>
        <v/>
      </c>
      <c r="V1022" s="44"/>
      <c r="W1022" s="44"/>
      <c r="X1022" s="46"/>
      <c r="Y1022" s="46"/>
      <c r="Z1022" s="46"/>
      <c r="AA1022" s="41"/>
      <c r="AB1022" s="22"/>
      <c r="AC1022" s="22"/>
      <c r="AD1022" s="41"/>
      <c r="AE1022" s="22"/>
      <c r="AF1022" s="22"/>
      <c r="AG1022" s="48" t="str">
        <f t="shared" si="92"/>
        <v/>
      </c>
      <c r="AH1022" s="48" t="str">
        <f t="shared" si="93"/>
        <v/>
      </c>
      <c r="AI1022" s="48" t="str">
        <f t="shared" si="94"/>
        <v/>
      </c>
      <c r="AJ1022" s="40" t="str">
        <f t="shared" si="96"/>
        <v/>
      </c>
      <c r="AK1022" s="40"/>
      <c r="AL1022" s="40"/>
      <c r="AM1022" s="22"/>
      <c r="AQ1022" s="46"/>
    </row>
    <row r="1023" spans="1:43" ht="17.399999999999999">
      <c r="A1023" s="22"/>
      <c r="B1023" s="22"/>
      <c r="C1023" s="56"/>
      <c r="D1023" s="56"/>
      <c r="E1023" s="22"/>
      <c r="F1023" s="22"/>
      <c r="G1023" s="22"/>
      <c r="H1023" s="22"/>
      <c r="I1023" s="49"/>
      <c r="J1023" s="50"/>
      <c r="K1023" s="22"/>
      <c r="L1023" s="22"/>
      <c r="M1023" s="22"/>
      <c r="N1023" s="22"/>
      <c r="O1023" s="22"/>
      <c r="P1023" s="46"/>
      <c r="Q1023" s="40"/>
      <c r="R1023" s="41"/>
      <c r="S1023" s="22" t="str">
        <f t="shared" si="91"/>
        <v/>
      </c>
      <c r="T1023" s="41"/>
      <c r="U1023" s="41" t="str">
        <f t="shared" si="95"/>
        <v/>
      </c>
      <c r="V1023" s="44"/>
      <c r="W1023" s="44"/>
      <c r="X1023" s="46"/>
      <c r="Y1023" s="46"/>
      <c r="Z1023" s="46"/>
      <c r="AA1023" s="41"/>
      <c r="AB1023" s="22"/>
      <c r="AC1023" s="22"/>
      <c r="AD1023" s="41"/>
      <c r="AE1023" s="22"/>
      <c r="AF1023" s="22"/>
      <c r="AG1023" s="48" t="str">
        <f t="shared" si="92"/>
        <v/>
      </c>
      <c r="AH1023" s="48" t="str">
        <f t="shared" si="93"/>
        <v/>
      </c>
      <c r="AI1023" s="48" t="str">
        <f t="shared" si="94"/>
        <v/>
      </c>
      <c r="AJ1023" s="40" t="str">
        <f t="shared" si="96"/>
        <v/>
      </c>
      <c r="AK1023" s="40"/>
      <c r="AL1023" s="40"/>
      <c r="AM1023" s="22"/>
      <c r="AQ1023" s="46"/>
    </row>
    <row r="1024" spans="1:43" ht="17.399999999999999">
      <c r="A1024" s="22"/>
      <c r="B1024" s="22"/>
      <c r="C1024" s="56"/>
      <c r="D1024" s="56"/>
      <c r="E1024" s="22"/>
      <c r="F1024" s="22"/>
      <c r="G1024" s="22"/>
      <c r="H1024" s="22"/>
      <c r="I1024" s="49"/>
      <c r="J1024" s="50"/>
      <c r="K1024" s="22"/>
      <c r="L1024" s="22"/>
      <c r="M1024" s="22"/>
      <c r="N1024" s="22"/>
      <c r="O1024" s="22"/>
      <c r="P1024" s="46"/>
      <c r="Q1024" s="40"/>
      <c r="R1024" s="41"/>
      <c r="S1024" s="22" t="str">
        <f t="shared" si="91"/>
        <v/>
      </c>
      <c r="T1024" s="41"/>
      <c r="U1024" s="41" t="str">
        <f t="shared" si="95"/>
        <v/>
      </c>
      <c r="V1024" s="44"/>
      <c r="W1024" s="44"/>
      <c r="X1024" s="46"/>
      <c r="Y1024" s="46"/>
      <c r="Z1024" s="46"/>
      <c r="AA1024" s="41"/>
      <c r="AB1024" s="22"/>
      <c r="AC1024" s="22"/>
      <c r="AD1024" s="41"/>
      <c r="AE1024" s="22"/>
      <c r="AF1024" s="22"/>
      <c r="AG1024" s="48" t="str">
        <f t="shared" si="92"/>
        <v/>
      </c>
      <c r="AH1024" s="48" t="str">
        <f t="shared" si="93"/>
        <v/>
      </c>
      <c r="AI1024" s="48" t="str">
        <f t="shared" si="94"/>
        <v/>
      </c>
      <c r="AJ1024" s="40" t="str">
        <f t="shared" si="96"/>
        <v/>
      </c>
      <c r="AK1024" s="40"/>
      <c r="AL1024" s="40"/>
      <c r="AM1024" s="22"/>
      <c r="AQ1024" s="46"/>
    </row>
    <row r="1025" spans="1:43" ht="17.399999999999999">
      <c r="A1025" s="22"/>
      <c r="B1025" s="22"/>
      <c r="C1025" s="56"/>
      <c r="D1025" s="56"/>
      <c r="E1025" s="22"/>
      <c r="F1025" s="22"/>
      <c r="G1025" s="22"/>
      <c r="H1025" s="22"/>
      <c r="I1025" s="49"/>
      <c r="J1025" s="50"/>
      <c r="K1025" s="22"/>
      <c r="L1025" s="22"/>
      <c r="M1025" s="22"/>
      <c r="N1025" s="22"/>
      <c r="O1025" s="22"/>
      <c r="P1025" s="46"/>
      <c r="Q1025" s="40"/>
      <c r="R1025" s="41"/>
      <c r="S1025" s="22" t="str">
        <f t="shared" si="91"/>
        <v/>
      </c>
      <c r="T1025" s="41"/>
      <c r="U1025" s="41" t="str">
        <f t="shared" si="95"/>
        <v/>
      </c>
      <c r="V1025" s="44"/>
      <c r="W1025" s="44"/>
      <c r="X1025" s="46"/>
      <c r="Y1025" s="46"/>
      <c r="Z1025" s="46"/>
      <c r="AA1025" s="41"/>
      <c r="AB1025" s="22"/>
      <c r="AC1025" s="22"/>
      <c r="AD1025" s="41"/>
      <c r="AE1025" s="22"/>
      <c r="AF1025" s="22"/>
      <c r="AG1025" s="48" t="str">
        <f t="shared" si="92"/>
        <v/>
      </c>
      <c r="AH1025" s="48" t="str">
        <f t="shared" si="93"/>
        <v/>
      </c>
      <c r="AI1025" s="48" t="str">
        <f t="shared" si="94"/>
        <v/>
      </c>
      <c r="AJ1025" s="40" t="str">
        <f t="shared" si="96"/>
        <v/>
      </c>
      <c r="AK1025" s="40"/>
      <c r="AL1025" s="40"/>
      <c r="AM1025" s="22"/>
      <c r="AQ1025" s="46"/>
    </row>
    <row r="1026" spans="1:43" ht="17.399999999999999">
      <c r="A1026" s="22"/>
      <c r="B1026" s="22"/>
      <c r="C1026" s="56"/>
      <c r="D1026" s="56"/>
      <c r="E1026" s="22"/>
      <c r="F1026" s="22"/>
      <c r="G1026" s="22"/>
      <c r="H1026" s="22"/>
      <c r="I1026" s="49"/>
      <c r="J1026" s="50"/>
      <c r="K1026" s="22"/>
      <c r="L1026" s="22"/>
      <c r="M1026" s="22"/>
      <c r="N1026" s="22"/>
      <c r="O1026" s="22"/>
      <c r="P1026" s="46"/>
      <c r="Q1026" s="40"/>
      <c r="R1026" s="41"/>
      <c r="S1026" s="22" t="str">
        <f t="shared" si="91"/>
        <v/>
      </c>
      <c r="T1026" s="41"/>
      <c r="U1026" s="41" t="str">
        <f t="shared" si="95"/>
        <v/>
      </c>
      <c r="V1026" s="44"/>
      <c r="W1026" s="44"/>
      <c r="X1026" s="46"/>
      <c r="Y1026" s="46"/>
      <c r="Z1026" s="46"/>
      <c r="AA1026" s="41"/>
      <c r="AB1026" s="22"/>
      <c r="AC1026" s="22"/>
      <c r="AD1026" s="41"/>
      <c r="AE1026" s="22"/>
      <c r="AF1026" s="22"/>
      <c r="AG1026" s="48" t="str">
        <f t="shared" si="92"/>
        <v/>
      </c>
      <c r="AH1026" s="48" t="str">
        <f t="shared" si="93"/>
        <v/>
      </c>
      <c r="AI1026" s="48" t="str">
        <f t="shared" si="94"/>
        <v/>
      </c>
      <c r="AJ1026" s="40" t="str">
        <f t="shared" si="96"/>
        <v/>
      </c>
      <c r="AK1026" s="40"/>
      <c r="AL1026" s="40"/>
      <c r="AM1026" s="22"/>
      <c r="AQ1026" s="46"/>
    </row>
    <row r="1027" spans="1:43" ht="17.399999999999999">
      <c r="A1027" s="22"/>
      <c r="B1027" s="22"/>
      <c r="C1027" s="56"/>
      <c r="D1027" s="56"/>
      <c r="E1027" s="22"/>
      <c r="F1027" s="22"/>
      <c r="G1027" s="22"/>
      <c r="H1027" s="22"/>
      <c r="I1027" s="49"/>
      <c r="J1027" s="50"/>
      <c r="K1027" s="22"/>
      <c r="L1027" s="22"/>
      <c r="M1027" s="22"/>
      <c r="N1027" s="22"/>
      <c r="O1027" s="22"/>
      <c r="P1027" s="46"/>
      <c r="Q1027" s="40"/>
      <c r="R1027" s="41"/>
      <c r="S1027" s="22" t="str">
        <f t="shared" ref="S1027:S1060" si="97">IF(A1027="","",M1027+O1027)</f>
        <v/>
      </c>
      <c r="T1027" s="41"/>
      <c r="U1027" s="41" t="str">
        <f t="shared" si="95"/>
        <v/>
      </c>
      <c r="V1027" s="44"/>
      <c r="W1027" s="44"/>
      <c r="X1027" s="46"/>
      <c r="Y1027" s="46"/>
      <c r="Z1027" s="46"/>
      <c r="AA1027" s="41"/>
      <c r="AB1027" s="22"/>
      <c r="AC1027" s="22"/>
      <c r="AD1027" s="41"/>
      <c r="AE1027" s="22"/>
      <c r="AF1027" s="22"/>
      <c r="AG1027" s="48" t="str">
        <f t="shared" ref="AG1027:AG1060" si="98">IF(A1027="","",S1027-Y1027)</f>
        <v/>
      </c>
      <c r="AH1027" s="48" t="str">
        <f t="shared" ref="AH1027:AH1060" si="99">IF(A1027="","",Y1027-(AC1027+AF1027))</f>
        <v/>
      </c>
      <c r="AI1027" s="48" t="str">
        <f t="shared" ref="AI1027:AI1060" si="100">IF(A1027="","",AG1027+AH1027)</f>
        <v/>
      </c>
      <c r="AJ1027" s="40" t="str">
        <f t="shared" si="96"/>
        <v/>
      </c>
      <c r="AK1027" s="40"/>
      <c r="AL1027" s="40"/>
      <c r="AM1027" s="22"/>
      <c r="AQ1027" s="46"/>
    </row>
    <row r="1028" spans="1:43" ht="17.399999999999999">
      <c r="A1028" s="22"/>
      <c r="B1028" s="22"/>
      <c r="C1028" s="56"/>
      <c r="D1028" s="56"/>
      <c r="E1028" s="22"/>
      <c r="F1028" s="22"/>
      <c r="G1028" s="22"/>
      <c r="H1028" s="22"/>
      <c r="I1028" s="49"/>
      <c r="J1028" s="50"/>
      <c r="K1028" s="22"/>
      <c r="L1028" s="22"/>
      <c r="M1028" s="22"/>
      <c r="N1028" s="22"/>
      <c r="O1028" s="22"/>
      <c r="P1028" s="46"/>
      <c r="Q1028" s="40"/>
      <c r="R1028" s="41"/>
      <c r="S1028" s="22" t="str">
        <f t="shared" si="97"/>
        <v/>
      </c>
      <c r="T1028" s="41"/>
      <c r="U1028" s="41" t="str">
        <f t="shared" ref="U1028:U1060" si="101">IF(OR(P1028="FEC-FS",P1028="PALTEK",P1028="SDSE(TOKE)"),"Upload in customer box","")</f>
        <v/>
      </c>
      <c r="V1028" s="44"/>
      <c r="W1028" s="44"/>
      <c r="X1028" s="46"/>
      <c r="Y1028" s="46"/>
      <c r="Z1028" s="46"/>
      <c r="AA1028" s="41"/>
      <c r="AB1028" s="22"/>
      <c r="AC1028" s="22"/>
      <c r="AD1028" s="41"/>
      <c r="AE1028" s="22"/>
      <c r="AF1028" s="22"/>
      <c r="AG1028" s="48" t="str">
        <f t="shared" si="98"/>
        <v/>
      </c>
      <c r="AH1028" s="48" t="str">
        <f t="shared" si="99"/>
        <v/>
      </c>
      <c r="AI1028" s="48" t="str">
        <f t="shared" si="100"/>
        <v/>
      </c>
      <c r="AJ1028" s="40" t="str">
        <f t="shared" si="96"/>
        <v/>
      </c>
      <c r="AK1028" s="40"/>
      <c r="AL1028" s="40"/>
      <c r="AM1028" s="22"/>
      <c r="AQ1028" s="46"/>
    </row>
    <row r="1029" spans="1:43" ht="17.399999999999999">
      <c r="A1029" s="22"/>
      <c r="B1029" s="22"/>
      <c r="C1029" s="56"/>
      <c r="D1029" s="56"/>
      <c r="E1029" s="22"/>
      <c r="F1029" s="22"/>
      <c r="G1029" s="22"/>
      <c r="H1029" s="22"/>
      <c r="I1029" s="49"/>
      <c r="J1029" s="50"/>
      <c r="K1029" s="22"/>
      <c r="L1029" s="22"/>
      <c r="M1029" s="22"/>
      <c r="N1029" s="22"/>
      <c r="O1029" s="22"/>
      <c r="P1029" s="46"/>
      <c r="Q1029" s="40"/>
      <c r="R1029" s="41"/>
      <c r="S1029" s="22" t="str">
        <f t="shared" si="97"/>
        <v/>
      </c>
      <c r="T1029" s="41"/>
      <c r="U1029" s="41" t="str">
        <f t="shared" si="101"/>
        <v/>
      </c>
      <c r="V1029" s="44"/>
      <c r="W1029" s="44"/>
      <c r="X1029" s="46"/>
      <c r="Y1029" s="46"/>
      <c r="Z1029" s="46"/>
      <c r="AA1029" s="41"/>
      <c r="AB1029" s="22"/>
      <c r="AC1029" s="22"/>
      <c r="AD1029" s="41"/>
      <c r="AE1029" s="22"/>
      <c r="AF1029" s="22"/>
      <c r="AG1029" s="48" t="str">
        <f t="shared" si="98"/>
        <v/>
      </c>
      <c r="AH1029" s="48" t="str">
        <f t="shared" si="99"/>
        <v/>
      </c>
      <c r="AI1029" s="48" t="str">
        <f t="shared" si="100"/>
        <v/>
      </c>
      <c r="AJ1029" s="40" t="str">
        <f t="shared" si="96"/>
        <v/>
      </c>
      <c r="AK1029" s="40"/>
      <c r="AL1029" s="40"/>
      <c r="AM1029" s="22"/>
      <c r="AQ1029" s="46"/>
    </row>
    <row r="1030" spans="1:43" ht="17.399999999999999">
      <c r="A1030" s="22"/>
      <c r="B1030" s="22"/>
      <c r="C1030" s="56"/>
      <c r="D1030" s="56"/>
      <c r="E1030" s="22"/>
      <c r="F1030" s="22"/>
      <c r="G1030" s="22"/>
      <c r="H1030" s="22"/>
      <c r="I1030" s="49"/>
      <c r="J1030" s="50"/>
      <c r="K1030" s="22"/>
      <c r="L1030" s="22"/>
      <c r="M1030" s="22"/>
      <c r="N1030" s="22"/>
      <c r="O1030" s="22"/>
      <c r="P1030" s="46"/>
      <c r="Q1030" s="40"/>
      <c r="R1030" s="41"/>
      <c r="S1030" s="22" t="str">
        <f t="shared" si="97"/>
        <v/>
      </c>
      <c r="T1030" s="41"/>
      <c r="U1030" s="41" t="str">
        <f t="shared" si="101"/>
        <v/>
      </c>
      <c r="V1030" s="44"/>
      <c r="W1030" s="44"/>
      <c r="X1030" s="46"/>
      <c r="Y1030" s="46"/>
      <c r="Z1030" s="46"/>
      <c r="AA1030" s="41"/>
      <c r="AB1030" s="22"/>
      <c r="AC1030" s="22"/>
      <c r="AD1030" s="41"/>
      <c r="AE1030" s="22"/>
      <c r="AF1030" s="22"/>
      <c r="AG1030" s="48" t="str">
        <f t="shared" si="98"/>
        <v/>
      </c>
      <c r="AH1030" s="48" t="str">
        <f t="shared" si="99"/>
        <v/>
      </c>
      <c r="AI1030" s="48" t="str">
        <f t="shared" si="100"/>
        <v/>
      </c>
      <c r="AJ1030" s="40" t="str">
        <f t="shared" si="96"/>
        <v/>
      </c>
      <c r="AK1030" s="40"/>
      <c r="AL1030" s="40"/>
      <c r="AM1030" s="22"/>
      <c r="AQ1030" s="46"/>
    </row>
    <row r="1031" spans="1:43" ht="17.399999999999999">
      <c r="A1031" s="22"/>
      <c r="B1031" s="22"/>
      <c r="C1031" s="56"/>
      <c r="D1031" s="56"/>
      <c r="E1031" s="22"/>
      <c r="F1031" s="22"/>
      <c r="G1031" s="22"/>
      <c r="H1031" s="22"/>
      <c r="I1031" s="49"/>
      <c r="J1031" s="50"/>
      <c r="K1031" s="22"/>
      <c r="L1031" s="22"/>
      <c r="M1031" s="22"/>
      <c r="N1031" s="22"/>
      <c r="O1031" s="22"/>
      <c r="P1031" s="46"/>
      <c r="Q1031" s="40"/>
      <c r="R1031" s="41"/>
      <c r="S1031" s="22" t="str">
        <f t="shared" si="97"/>
        <v/>
      </c>
      <c r="T1031" s="41"/>
      <c r="U1031" s="41" t="str">
        <f t="shared" si="101"/>
        <v/>
      </c>
      <c r="V1031" s="44"/>
      <c r="W1031" s="44"/>
      <c r="X1031" s="46"/>
      <c r="Y1031" s="46"/>
      <c r="Z1031" s="46"/>
      <c r="AA1031" s="41"/>
      <c r="AB1031" s="22"/>
      <c r="AC1031" s="22"/>
      <c r="AD1031" s="41"/>
      <c r="AE1031" s="22"/>
      <c r="AF1031" s="22"/>
      <c r="AG1031" s="48" t="str">
        <f t="shared" si="98"/>
        <v/>
      </c>
      <c r="AH1031" s="48" t="str">
        <f t="shared" si="99"/>
        <v/>
      </c>
      <c r="AI1031" s="48" t="str">
        <f t="shared" si="100"/>
        <v/>
      </c>
      <c r="AJ1031" s="40" t="str">
        <f t="shared" si="96"/>
        <v/>
      </c>
      <c r="AK1031" s="40"/>
      <c r="AL1031" s="40"/>
      <c r="AM1031" s="22"/>
      <c r="AQ1031" s="46"/>
    </row>
    <row r="1032" spans="1:43" ht="17.399999999999999">
      <c r="A1032" s="22"/>
      <c r="B1032" s="22"/>
      <c r="C1032" s="56"/>
      <c r="D1032" s="56"/>
      <c r="E1032" s="22"/>
      <c r="F1032" s="22"/>
      <c r="G1032" s="22"/>
      <c r="H1032" s="22"/>
      <c r="I1032" s="49"/>
      <c r="J1032" s="50"/>
      <c r="K1032" s="22"/>
      <c r="L1032" s="22"/>
      <c r="M1032" s="22"/>
      <c r="N1032" s="22"/>
      <c r="O1032" s="22"/>
      <c r="P1032" s="46"/>
      <c r="Q1032" s="40"/>
      <c r="R1032" s="41"/>
      <c r="S1032" s="22" t="str">
        <f t="shared" si="97"/>
        <v/>
      </c>
      <c r="T1032" s="41"/>
      <c r="U1032" s="41" t="str">
        <f t="shared" si="101"/>
        <v/>
      </c>
      <c r="V1032" s="44"/>
      <c r="W1032" s="44"/>
      <c r="X1032" s="46"/>
      <c r="Y1032" s="46"/>
      <c r="Z1032" s="46"/>
      <c r="AA1032" s="41"/>
      <c r="AB1032" s="22"/>
      <c r="AC1032" s="22"/>
      <c r="AD1032" s="41"/>
      <c r="AE1032" s="22"/>
      <c r="AF1032" s="22"/>
      <c r="AG1032" s="48" t="str">
        <f t="shared" si="98"/>
        <v/>
      </c>
      <c r="AH1032" s="48" t="str">
        <f t="shared" si="99"/>
        <v/>
      </c>
      <c r="AI1032" s="48" t="str">
        <f t="shared" si="100"/>
        <v/>
      </c>
      <c r="AJ1032" s="40" t="str">
        <f t="shared" si="96"/>
        <v/>
      </c>
      <c r="AK1032" s="40"/>
      <c r="AL1032" s="40"/>
      <c r="AM1032" s="22"/>
      <c r="AQ1032" s="46"/>
    </row>
    <row r="1033" spans="1:43" ht="17.399999999999999">
      <c r="A1033" s="22"/>
      <c r="B1033" s="22"/>
      <c r="C1033" s="56"/>
      <c r="D1033" s="56"/>
      <c r="E1033" s="22"/>
      <c r="F1033" s="22"/>
      <c r="G1033" s="22"/>
      <c r="H1033" s="22"/>
      <c r="I1033" s="49"/>
      <c r="J1033" s="50"/>
      <c r="K1033" s="22"/>
      <c r="L1033" s="22"/>
      <c r="M1033" s="22"/>
      <c r="N1033" s="22"/>
      <c r="O1033" s="22"/>
      <c r="P1033" s="46"/>
      <c r="Q1033" s="40"/>
      <c r="R1033" s="41"/>
      <c r="S1033" s="22" t="str">
        <f t="shared" si="97"/>
        <v/>
      </c>
      <c r="T1033" s="41"/>
      <c r="U1033" s="41" t="str">
        <f t="shared" si="101"/>
        <v/>
      </c>
      <c r="V1033" s="44"/>
      <c r="W1033" s="44"/>
      <c r="X1033" s="46"/>
      <c r="Y1033" s="46"/>
      <c r="Z1033" s="46"/>
      <c r="AA1033" s="41"/>
      <c r="AB1033" s="22"/>
      <c r="AC1033" s="22"/>
      <c r="AD1033" s="41"/>
      <c r="AE1033" s="22"/>
      <c r="AF1033" s="22"/>
      <c r="AG1033" s="48" t="str">
        <f t="shared" si="98"/>
        <v/>
      </c>
      <c r="AH1033" s="48" t="str">
        <f t="shared" si="99"/>
        <v/>
      </c>
      <c r="AI1033" s="48" t="str">
        <f t="shared" si="100"/>
        <v/>
      </c>
      <c r="AJ1033" s="40" t="str">
        <f t="shared" si="96"/>
        <v/>
      </c>
      <c r="AK1033" s="40"/>
      <c r="AL1033" s="40"/>
      <c r="AM1033" s="22"/>
      <c r="AQ1033" s="46"/>
    </row>
    <row r="1034" spans="1:43" ht="17.399999999999999">
      <c r="A1034" s="22"/>
      <c r="B1034" s="22"/>
      <c r="C1034" s="56"/>
      <c r="D1034" s="56"/>
      <c r="E1034" s="22"/>
      <c r="F1034" s="22"/>
      <c r="G1034" s="22"/>
      <c r="H1034" s="22"/>
      <c r="I1034" s="49"/>
      <c r="J1034" s="50"/>
      <c r="K1034" s="22"/>
      <c r="L1034" s="22"/>
      <c r="M1034" s="22"/>
      <c r="N1034" s="22"/>
      <c r="O1034" s="22"/>
      <c r="P1034" s="46"/>
      <c r="Q1034" s="40"/>
      <c r="R1034" s="41"/>
      <c r="S1034" s="22" t="str">
        <f t="shared" si="97"/>
        <v/>
      </c>
      <c r="T1034" s="41"/>
      <c r="U1034" s="41" t="str">
        <f t="shared" si="101"/>
        <v/>
      </c>
      <c r="V1034" s="44"/>
      <c r="W1034" s="44"/>
      <c r="X1034" s="46"/>
      <c r="Y1034" s="46"/>
      <c r="Z1034" s="46"/>
      <c r="AA1034" s="41"/>
      <c r="AB1034" s="22"/>
      <c r="AC1034" s="22"/>
      <c r="AD1034" s="41"/>
      <c r="AE1034" s="22"/>
      <c r="AF1034" s="22"/>
      <c r="AG1034" s="48" t="str">
        <f t="shared" si="98"/>
        <v/>
      </c>
      <c r="AH1034" s="48" t="str">
        <f t="shared" si="99"/>
        <v/>
      </c>
      <c r="AI1034" s="48" t="str">
        <f t="shared" si="100"/>
        <v/>
      </c>
      <c r="AJ1034" s="40" t="str">
        <f t="shared" si="96"/>
        <v/>
      </c>
      <c r="AK1034" s="40"/>
      <c r="AL1034" s="40"/>
      <c r="AM1034" s="22"/>
      <c r="AQ1034" s="46"/>
    </row>
    <row r="1035" spans="1:43" ht="17.399999999999999">
      <c r="A1035" s="22"/>
      <c r="B1035" s="22"/>
      <c r="C1035" s="56"/>
      <c r="D1035" s="56"/>
      <c r="E1035" s="22"/>
      <c r="F1035" s="22"/>
      <c r="G1035" s="22"/>
      <c r="H1035" s="22"/>
      <c r="I1035" s="49"/>
      <c r="J1035" s="50"/>
      <c r="K1035" s="22"/>
      <c r="L1035" s="22"/>
      <c r="M1035" s="22"/>
      <c r="N1035" s="22"/>
      <c r="O1035" s="22"/>
      <c r="P1035" s="46"/>
      <c r="Q1035" s="40"/>
      <c r="R1035" s="41"/>
      <c r="S1035" s="22" t="str">
        <f t="shared" si="97"/>
        <v/>
      </c>
      <c r="T1035" s="41"/>
      <c r="U1035" s="41" t="str">
        <f t="shared" si="101"/>
        <v/>
      </c>
      <c r="V1035" s="44"/>
      <c r="W1035" s="44"/>
      <c r="X1035" s="46"/>
      <c r="Y1035" s="46"/>
      <c r="Z1035" s="46"/>
      <c r="AA1035" s="41"/>
      <c r="AB1035" s="22"/>
      <c r="AC1035" s="22"/>
      <c r="AD1035" s="41"/>
      <c r="AE1035" s="22"/>
      <c r="AF1035" s="22"/>
      <c r="AG1035" s="48" t="str">
        <f t="shared" si="98"/>
        <v/>
      </c>
      <c r="AH1035" s="48" t="str">
        <f t="shared" si="99"/>
        <v/>
      </c>
      <c r="AI1035" s="48" t="str">
        <f t="shared" si="100"/>
        <v/>
      </c>
      <c r="AJ1035" s="40" t="str">
        <f t="shared" si="96"/>
        <v/>
      </c>
      <c r="AK1035" s="40"/>
      <c r="AL1035" s="40"/>
      <c r="AM1035" s="22"/>
      <c r="AQ1035" s="46"/>
    </row>
    <row r="1036" spans="1:43" ht="17.399999999999999">
      <c r="A1036" s="22"/>
      <c r="B1036" s="22"/>
      <c r="C1036" s="56"/>
      <c r="D1036" s="56"/>
      <c r="E1036" s="22"/>
      <c r="F1036" s="22"/>
      <c r="G1036" s="22"/>
      <c r="H1036" s="22"/>
      <c r="I1036" s="49"/>
      <c r="J1036" s="50"/>
      <c r="K1036" s="22"/>
      <c r="L1036" s="22"/>
      <c r="M1036" s="22"/>
      <c r="N1036" s="22"/>
      <c r="O1036" s="22"/>
      <c r="P1036" s="46"/>
      <c r="Q1036" s="40"/>
      <c r="R1036" s="41"/>
      <c r="S1036" s="22" t="str">
        <f t="shared" si="97"/>
        <v/>
      </c>
      <c r="T1036" s="41"/>
      <c r="U1036" s="41" t="str">
        <f t="shared" si="101"/>
        <v/>
      </c>
      <c r="V1036" s="44"/>
      <c r="W1036" s="44"/>
      <c r="X1036" s="46"/>
      <c r="Y1036" s="46"/>
      <c r="Z1036" s="46"/>
      <c r="AA1036" s="41"/>
      <c r="AB1036" s="22"/>
      <c r="AC1036" s="22"/>
      <c r="AD1036" s="41"/>
      <c r="AE1036" s="22"/>
      <c r="AF1036" s="22"/>
      <c r="AG1036" s="48" t="str">
        <f t="shared" si="98"/>
        <v/>
      </c>
      <c r="AH1036" s="48" t="str">
        <f t="shared" si="99"/>
        <v/>
      </c>
      <c r="AI1036" s="48" t="str">
        <f t="shared" si="100"/>
        <v/>
      </c>
      <c r="AJ1036" s="40" t="str">
        <f t="shared" si="96"/>
        <v/>
      </c>
      <c r="AK1036" s="40"/>
      <c r="AL1036" s="40"/>
      <c r="AM1036" s="22"/>
      <c r="AQ1036" s="46"/>
    </row>
    <row r="1037" spans="1:43" ht="17.399999999999999">
      <c r="A1037" s="22"/>
      <c r="B1037" s="22"/>
      <c r="C1037" s="56"/>
      <c r="D1037" s="56"/>
      <c r="E1037" s="22"/>
      <c r="F1037" s="22"/>
      <c r="G1037" s="22"/>
      <c r="H1037" s="22"/>
      <c r="I1037" s="49"/>
      <c r="J1037" s="50"/>
      <c r="K1037" s="22"/>
      <c r="L1037" s="22"/>
      <c r="M1037" s="22"/>
      <c r="N1037" s="22"/>
      <c r="O1037" s="22"/>
      <c r="P1037" s="46"/>
      <c r="Q1037" s="40"/>
      <c r="R1037" s="41"/>
      <c r="S1037" s="22" t="str">
        <f t="shared" si="97"/>
        <v/>
      </c>
      <c r="T1037" s="41"/>
      <c r="U1037" s="41" t="str">
        <f t="shared" si="101"/>
        <v/>
      </c>
      <c r="V1037" s="44"/>
      <c r="W1037" s="44"/>
      <c r="X1037" s="46"/>
      <c r="Y1037" s="46"/>
      <c r="Z1037" s="46"/>
      <c r="AA1037" s="41"/>
      <c r="AB1037" s="22"/>
      <c r="AC1037" s="22"/>
      <c r="AD1037" s="41"/>
      <c r="AE1037" s="22"/>
      <c r="AF1037" s="22"/>
      <c r="AG1037" s="48" t="str">
        <f t="shared" si="98"/>
        <v/>
      </c>
      <c r="AH1037" s="48" t="str">
        <f t="shared" si="99"/>
        <v/>
      </c>
      <c r="AI1037" s="48" t="str">
        <f t="shared" si="100"/>
        <v/>
      </c>
      <c r="AJ1037" s="40" t="str">
        <f t="shared" si="96"/>
        <v/>
      </c>
      <c r="AK1037" s="40"/>
      <c r="AL1037" s="40"/>
      <c r="AM1037" s="22"/>
      <c r="AQ1037" s="46"/>
    </row>
    <row r="1038" spans="1:43" ht="17.399999999999999">
      <c r="A1038" s="22"/>
      <c r="B1038" s="22"/>
      <c r="C1038" s="56"/>
      <c r="D1038" s="56"/>
      <c r="E1038" s="22"/>
      <c r="F1038" s="22"/>
      <c r="G1038" s="22"/>
      <c r="H1038" s="22"/>
      <c r="I1038" s="49"/>
      <c r="J1038" s="50"/>
      <c r="K1038" s="22"/>
      <c r="L1038" s="22"/>
      <c r="M1038" s="22"/>
      <c r="N1038" s="22"/>
      <c r="O1038" s="22"/>
      <c r="P1038" s="46"/>
      <c r="Q1038" s="40"/>
      <c r="R1038" s="41"/>
      <c r="S1038" s="22" t="str">
        <f t="shared" si="97"/>
        <v/>
      </c>
      <c r="T1038" s="41"/>
      <c r="U1038" s="41" t="str">
        <f t="shared" si="101"/>
        <v/>
      </c>
      <c r="V1038" s="44"/>
      <c r="W1038" s="44"/>
      <c r="X1038" s="46"/>
      <c r="Y1038" s="46"/>
      <c r="Z1038" s="46"/>
      <c r="AA1038" s="41"/>
      <c r="AB1038" s="22"/>
      <c r="AC1038" s="22"/>
      <c r="AD1038" s="41"/>
      <c r="AE1038" s="22"/>
      <c r="AF1038" s="22"/>
      <c r="AG1038" s="48" t="str">
        <f t="shared" si="98"/>
        <v/>
      </c>
      <c r="AH1038" s="48" t="str">
        <f t="shared" si="99"/>
        <v/>
      </c>
      <c r="AI1038" s="48" t="str">
        <f t="shared" si="100"/>
        <v/>
      </c>
      <c r="AJ1038" s="40" t="str">
        <f t="shared" si="96"/>
        <v/>
      </c>
      <c r="AK1038" s="40"/>
      <c r="AL1038" s="40"/>
      <c r="AM1038" s="22"/>
      <c r="AQ1038" s="46"/>
    </row>
    <row r="1039" spans="1:43" ht="17.399999999999999">
      <c r="A1039" s="22"/>
      <c r="B1039" s="22"/>
      <c r="C1039" s="56"/>
      <c r="D1039" s="56"/>
      <c r="E1039" s="22"/>
      <c r="F1039" s="22"/>
      <c r="G1039" s="22"/>
      <c r="H1039" s="22"/>
      <c r="I1039" s="49"/>
      <c r="J1039" s="50"/>
      <c r="K1039" s="22"/>
      <c r="L1039" s="22"/>
      <c r="M1039" s="22"/>
      <c r="N1039" s="22"/>
      <c r="O1039" s="22"/>
      <c r="P1039" s="46"/>
      <c r="Q1039" s="40"/>
      <c r="R1039" s="41"/>
      <c r="S1039" s="22" t="str">
        <f t="shared" si="97"/>
        <v/>
      </c>
      <c r="T1039" s="41"/>
      <c r="U1039" s="41" t="str">
        <f t="shared" si="101"/>
        <v/>
      </c>
      <c r="V1039" s="44"/>
      <c r="W1039" s="44"/>
      <c r="X1039" s="46"/>
      <c r="Y1039" s="46"/>
      <c r="Z1039" s="46"/>
      <c r="AA1039" s="41"/>
      <c r="AB1039" s="22"/>
      <c r="AC1039" s="22"/>
      <c r="AD1039" s="41"/>
      <c r="AE1039" s="22"/>
      <c r="AF1039" s="22"/>
      <c r="AG1039" s="48" t="str">
        <f t="shared" si="98"/>
        <v/>
      </c>
      <c r="AH1039" s="48" t="str">
        <f t="shared" si="99"/>
        <v/>
      </c>
      <c r="AI1039" s="48" t="str">
        <f t="shared" si="100"/>
        <v/>
      </c>
      <c r="AJ1039" s="40" t="str">
        <f t="shared" si="96"/>
        <v/>
      </c>
      <c r="AK1039" s="40"/>
      <c r="AL1039" s="40"/>
      <c r="AM1039" s="22"/>
      <c r="AQ1039" s="46"/>
    </row>
    <row r="1040" spans="1:43" ht="17.399999999999999">
      <c r="A1040" s="22"/>
      <c r="B1040" s="22"/>
      <c r="C1040" s="56"/>
      <c r="D1040" s="56"/>
      <c r="E1040" s="22"/>
      <c r="F1040" s="22"/>
      <c r="G1040" s="22"/>
      <c r="H1040" s="22"/>
      <c r="I1040" s="49"/>
      <c r="J1040" s="50"/>
      <c r="K1040" s="22"/>
      <c r="L1040" s="22"/>
      <c r="M1040" s="22"/>
      <c r="N1040" s="22"/>
      <c r="O1040" s="22"/>
      <c r="P1040" s="46"/>
      <c r="Q1040" s="40"/>
      <c r="R1040" s="41"/>
      <c r="S1040" s="22" t="str">
        <f t="shared" si="97"/>
        <v/>
      </c>
      <c r="T1040" s="41"/>
      <c r="U1040" s="41" t="str">
        <f t="shared" si="101"/>
        <v/>
      </c>
      <c r="V1040" s="44"/>
      <c r="W1040" s="44"/>
      <c r="X1040" s="46"/>
      <c r="Y1040" s="46"/>
      <c r="Z1040" s="46"/>
      <c r="AA1040" s="41"/>
      <c r="AB1040" s="22"/>
      <c r="AC1040" s="22"/>
      <c r="AD1040" s="41"/>
      <c r="AE1040" s="22"/>
      <c r="AF1040" s="22"/>
      <c r="AG1040" s="48" t="str">
        <f t="shared" si="98"/>
        <v/>
      </c>
      <c r="AH1040" s="48" t="str">
        <f t="shared" si="99"/>
        <v/>
      </c>
      <c r="AI1040" s="48" t="str">
        <f t="shared" si="100"/>
        <v/>
      </c>
      <c r="AJ1040" s="40" t="str">
        <f t="shared" si="96"/>
        <v/>
      </c>
      <c r="AK1040" s="40"/>
      <c r="AL1040" s="40"/>
      <c r="AM1040" s="22"/>
      <c r="AQ1040" s="46"/>
    </row>
    <row r="1041" spans="1:43" ht="17.399999999999999">
      <c r="A1041" s="22"/>
      <c r="B1041" s="22"/>
      <c r="C1041" s="56"/>
      <c r="D1041" s="56"/>
      <c r="E1041" s="22"/>
      <c r="F1041" s="22"/>
      <c r="G1041" s="22"/>
      <c r="H1041" s="22"/>
      <c r="I1041" s="49"/>
      <c r="J1041" s="50"/>
      <c r="K1041" s="22"/>
      <c r="L1041" s="22"/>
      <c r="M1041" s="22"/>
      <c r="N1041" s="22"/>
      <c r="O1041" s="22"/>
      <c r="P1041" s="46"/>
      <c r="Q1041" s="40"/>
      <c r="R1041" s="41"/>
      <c r="S1041" s="22" t="str">
        <f t="shared" si="97"/>
        <v/>
      </c>
      <c r="T1041" s="41"/>
      <c r="U1041" s="41" t="str">
        <f t="shared" si="101"/>
        <v/>
      </c>
      <c r="V1041" s="44"/>
      <c r="W1041" s="44"/>
      <c r="X1041" s="46"/>
      <c r="Y1041" s="46"/>
      <c r="Z1041" s="46"/>
      <c r="AA1041" s="41"/>
      <c r="AB1041" s="22"/>
      <c r="AC1041" s="22"/>
      <c r="AD1041" s="41"/>
      <c r="AE1041" s="22"/>
      <c r="AF1041" s="22"/>
      <c r="AG1041" s="48" t="str">
        <f t="shared" si="98"/>
        <v/>
      </c>
      <c r="AH1041" s="48" t="str">
        <f t="shared" si="99"/>
        <v/>
      </c>
      <c r="AI1041" s="48" t="str">
        <f t="shared" si="100"/>
        <v/>
      </c>
      <c r="AJ1041" s="40" t="str">
        <f t="shared" si="96"/>
        <v/>
      </c>
      <c r="AK1041" s="40"/>
      <c r="AL1041" s="40"/>
      <c r="AM1041" s="22"/>
      <c r="AQ1041" s="46"/>
    </row>
    <row r="1042" spans="1:43" ht="17.399999999999999">
      <c r="A1042" s="22"/>
      <c r="B1042" s="22"/>
      <c r="C1042" s="56"/>
      <c r="D1042" s="56"/>
      <c r="E1042" s="22"/>
      <c r="F1042" s="22"/>
      <c r="G1042" s="22"/>
      <c r="H1042" s="22"/>
      <c r="I1042" s="49"/>
      <c r="J1042" s="50"/>
      <c r="K1042" s="22"/>
      <c r="L1042" s="22"/>
      <c r="M1042" s="22"/>
      <c r="N1042" s="22"/>
      <c r="O1042" s="22"/>
      <c r="P1042" s="46"/>
      <c r="Q1042" s="40"/>
      <c r="R1042" s="41"/>
      <c r="S1042" s="22" t="str">
        <f t="shared" si="97"/>
        <v/>
      </c>
      <c r="T1042" s="41"/>
      <c r="U1042" s="41" t="str">
        <f t="shared" si="101"/>
        <v/>
      </c>
      <c r="V1042" s="44"/>
      <c r="W1042" s="44"/>
      <c r="X1042" s="46"/>
      <c r="Y1042" s="46"/>
      <c r="Z1042" s="46"/>
      <c r="AA1042" s="41"/>
      <c r="AB1042" s="22"/>
      <c r="AC1042" s="22"/>
      <c r="AD1042" s="41"/>
      <c r="AE1042" s="22"/>
      <c r="AF1042" s="22"/>
      <c r="AG1042" s="48" t="str">
        <f t="shared" si="98"/>
        <v/>
      </c>
      <c r="AH1042" s="48" t="str">
        <f t="shared" si="99"/>
        <v/>
      </c>
      <c r="AI1042" s="48" t="str">
        <f t="shared" si="100"/>
        <v/>
      </c>
      <c r="AJ1042" s="40" t="str">
        <f t="shared" si="96"/>
        <v/>
      </c>
      <c r="AK1042" s="40"/>
      <c r="AL1042" s="40"/>
      <c r="AM1042" s="22"/>
      <c r="AQ1042" s="46"/>
    </row>
    <row r="1043" spans="1:43" ht="17.399999999999999">
      <c r="A1043" s="22"/>
      <c r="B1043" s="22"/>
      <c r="C1043" s="56"/>
      <c r="D1043" s="56"/>
      <c r="E1043" s="22"/>
      <c r="F1043" s="22"/>
      <c r="G1043" s="22"/>
      <c r="H1043" s="22"/>
      <c r="I1043" s="49"/>
      <c r="J1043" s="50"/>
      <c r="K1043" s="22"/>
      <c r="L1043" s="22"/>
      <c r="M1043" s="22"/>
      <c r="N1043" s="22"/>
      <c r="O1043" s="22"/>
      <c r="P1043" s="46"/>
      <c r="Q1043" s="40"/>
      <c r="R1043" s="41"/>
      <c r="S1043" s="22" t="str">
        <f t="shared" si="97"/>
        <v/>
      </c>
      <c r="T1043" s="41"/>
      <c r="U1043" s="41" t="str">
        <f t="shared" si="101"/>
        <v/>
      </c>
      <c r="V1043" s="44"/>
      <c r="W1043" s="44"/>
      <c r="X1043" s="46"/>
      <c r="Y1043" s="46"/>
      <c r="Z1043" s="46"/>
      <c r="AA1043" s="41"/>
      <c r="AB1043" s="22"/>
      <c r="AC1043" s="22"/>
      <c r="AD1043" s="41"/>
      <c r="AE1043" s="22"/>
      <c r="AF1043" s="22"/>
      <c r="AG1043" s="48" t="str">
        <f t="shared" si="98"/>
        <v/>
      </c>
      <c r="AH1043" s="48" t="str">
        <f t="shared" si="99"/>
        <v/>
      </c>
      <c r="AI1043" s="48" t="str">
        <f t="shared" si="100"/>
        <v/>
      </c>
      <c r="AJ1043" s="40" t="str">
        <f t="shared" si="96"/>
        <v/>
      </c>
      <c r="AK1043" s="40"/>
      <c r="AL1043" s="40"/>
      <c r="AM1043" s="22"/>
      <c r="AQ1043" s="46"/>
    </row>
    <row r="1044" spans="1:43" ht="17.399999999999999">
      <c r="A1044" s="22"/>
      <c r="B1044" s="22"/>
      <c r="C1044" s="56"/>
      <c r="D1044" s="56"/>
      <c r="E1044" s="22"/>
      <c r="F1044" s="22"/>
      <c r="G1044" s="22"/>
      <c r="H1044" s="22"/>
      <c r="I1044" s="49"/>
      <c r="J1044" s="50"/>
      <c r="K1044" s="22"/>
      <c r="L1044" s="22"/>
      <c r="M1044" s="22"/>
      <c r="N1044" s="22"/>
      <c r="O1044" s="22"/>
      <c r="P1044" s="46"/>
      <c r="Q1044" s="40"/>
      <c r="R1044" s="41"/>
      <c r="S1044" s="22" t="str">
        <f t="shared" si="97"/>
        <v/>
      </c>
      <c r="T1044" s="41"/>
      <c r="U1044" s="41" t="str">
        <f t="shared" si="101"/>
        <v/>
      </c>
      <c r="V1044" s="44"/>
      <c r="W1044" s="44"/>
      <c r="X1044" s="46"/>
      <c r="Y1044" s="46"/>
      <c r="Z1044" s="46"/>
      <c r="AA1044" s="41"/>
      <c r="AB1044" s="22"/>
      <c r="AC1044" s="22"/>
      <c r="AD1044" s="41"/>
      <c r="AE1044" s="22"/>
      <c r="AF1044" s="22"/>
      <c r="AG1044" s="48" t="str">
        <f t="shared" si="98"/>
        <v/>
      </c>
      <c r="AH1044" s="48" t="str">
        <f t="shared" si="99"/>
        <v/>
      </c>
      <c r="AI1044" s="48" t="str">
        <f t="shared" si="100"/>
        <v/>
      </c>
      <c r="AJ1044" s="40" t="str">
        <f t="shared" si="96"/>
        <v/>
      </c>
      <c r="AK1044" s="40"/>
      <c r="AL1044" s="40"/>
      <c r="AM1044" s="22"/>
      <c r="AQ1044" s="46"/>
    </row>
    <row r="1045" spans="1:43" ht="17.399999999999999">
      <c r="A1045" s="22"/>
      <c r="B1045" s="22"/>
      <c r="C1045" s="56"/>
      <c r="D1045" s="56"/>
      <c r="E1045" s="22"/>
      <c r="F1045" s="22"/>
      <c r="G1045" s="22"/>
      <c r="H1045" s="22"/>
      <c r="I1045" s="49"/>
      <c r="J1045" s="50"/>
      <c r="K1045" s="22"/>
      <c r="L1045" s="22"/>
      <c r="M1045" s="22"/>
      <c r="N1045" s="22"/>
      <c r="O1045" s="22"/>
      <c r="P1045" s="46"/>
      <c r="Q1045" s="40"/>
      <c r="R1045" s="41"/>
      <c r="S1045" s="22" t="str">
        <f t="shared" si="97"/>
        <v/>
      </c>
      <c r="T1045" s="41"/>
      <c r="U1045" s="41" t="str">
        <f t="shared" si="101"/>
        <v/>
      </c>
      <c r="V1045" s="44"/>
      <c r="W1045" s="44"/>
      <c r="X1045" s="46"/>
      <c r="Y1045" s="46"/>
      <c r="Z1045" s="46"/>
      <c r="AA1045" s="41"/>
      <c r="AB1045" s="22"/>
      <c r="AC1045" s="22"/>
      <c r="AD1045" s="41"/>
      <c r="AE1045" s="22"/>
      <c r="AF1045" s="22"/>
      <c r="AG1045" s="48" t="str">
        <f t="shared" si="98"/>
        <v/>
      </c>
      <c r="AH1045" s="48" t="str">
        <f t="shared" si="99"/>
        <v/>
      </c>
      <c r="AI1045" s="48" t="str">
        <f t="shared" si="100"/>
        <v/>
      </c>
      <c r="AJ1045" s="40" t="str">
        <f t="shared" si="96"/>
        <v/>
      </c>
      <c r="AK1045" s="40"/>
      <c r="AL1045" s="40"/>
      <c r="AM1045" s="22"/>
      <c r="AQ1045" s="46"/>
    </row>
    <row r="1046" spans="1:43" ht="17.399999999999999">
      <c r="A1046" s="22"/>
      <c r="B1046" s="22"/>
      <c r="C1046" s="56"/>
      <c r="D1046" s="56"/>
      <c r="E1046" s="22"/>
      <c r="F1046" s="22"/>
      <c r="G1046" s="22"/>
      <c r="H1046" s="22"/>
      <c r="I1046" s="49"/>
      <c r="J1046" s="50"/>
      <c r="K1046" s="22"/>
      <c r="L1046" s="22"/>
      <c r="M1046" s="22"/>
      <c r="N1046" s="22"/>
      <c r="O1046" s="22"/>
      <c r="P1046" s="46"/>
      <c r="Q1046" s="40"/>
      <c r="R1046" s="41"/>
      <c r="S1046" s="22" t="str">
        <f t="shared" si="97"/>
        <v/>
      </c>
      <c r="T1046" s="41"/>
      <c r="U1046" s="41" t="str">
        <f t="shared" si="101"/>
        <v/>
      </c>
      <c r="V1046" s="44"/>
      <c r="W1046" s="44"/>
      <c r="X1046" s="46"/>
      <c r="Y1046" s="46"/>
      <c r="Z1046" s="46"/>
      <c r="AA1046" s="41"/>
      <c r="AB1046" s="22"/>
      <c r="AC1046" s="22"/>
      <c r="AD1046" s="41"/>
      <c r="AE1046" s="22"/>
      <c r="AF1046" s="22"/>
      <c r="AG1046" s="48" t="str">
        <f t="shared" si="98"/>
        <v/>
      </c>
      <c r="AH1046" s="48" t="str">
        <f t="shared" si="99"/>
        <v/>
      </c>
      <c r="AI1046" s="48" t="str">
        <f t="shared" si="100"/>
        <v/>
      </c>
      <c r="AJ1046" s="40" t="str">
        <f t="shared" si="96"/>
        <v/>
      </c>
      <c r="AK1046" s="40"/>
      <c r="AL1046" s="40"/>
      <c r="AM1046" s="22"/>
      <c r="AQ1046" s="46"/>
    </row>
    <row r="1047" spans="1:43" ht="17.399999999999999">
      <c r="A1047" s="22"/>
      <c r="B1047" s="22"/>
      <c r="C1047" s="56"/>
      <c r="D1047" s="56"/>
      <c r="E1047" s="22"/>
      <c r="F1047" s="22"/>
      <c r="G1047" s="22"/>
      <c r="H1047" s="22"/>
      <c r="I1047" s="49"/>
      <c r="J1047" s="50"/>
      <c r="K1047" s="22"/>
      <c r="L1047" s="22"/>
      <c r="M1047" s="22"/>
      <c r="N1047" s="22"/>
      <c r="O1047" s="22"/>
      <c r="P1047" s="46"/>
      <c r="Q1047" s="40"/>
      <c r="R1047" s="41"/>
      <c r="S1047" s="22" t="str">
        <f t="shared" si="97"/>
        <v/>
      </c>
      <c r="T1047" s="41"/>
      <c r="U1047" s="41" t="str">
        <f t="shared" si="101"/>
        <v/>
      </c>
      <c r="V1047" s="44"/>
      <c r="W1047" s="44"/>
      <c r="X1047" s="46"/>
      <c r="Y1047" s="46"/>
      <c r="Z1047" s="46"/>
      <c r="AA1047" s="41"/>
      <c r="AB1047" s="22"/>
      <c r="AC1047" s="22"/>
      <c r="AD1047" s="41"/>
      <c r="AE1047" s="22"/>
      <c r="AF1047" s="22"/>
      <c r="AG1047" s="48" t="str">
        <f t="shared" si="98"/>
        <v/>
      </c>
      <c r="AH1047" s="48" t="str">
        <f t="shared" si="99"/>
        <v/>
      </c>
      <c r="AI1047" s="48" t="str">
        <f t="shared" si="100"/>
        <v/>
      </c>
      <c r="AJ1047" s="40" t="str">
        <f t="shared" si="96"/>
        <v/>
      </c>
      <c r="AK1047" s="40"/>
      <c r="AL1047" s="40"/>
      <c r="AM1047" s="22"/>
      <c r="AQ1047" s="46"/>
    </row>
    <row r="1048" spans="1:43" ht="17.399999999999999">
      <c r="A1048" s="22"/>
      <c r="B1048" s="22"/>
      <c r="C1048" s="56"/>
      <c r="D1048" s="56"/>
      <c r="E1048" s="22"/>
      <c r="F1048" s="22"/>
      <c r="G1048" s="22"/>
      <c r="H1048" s="22"/>
      <c r="I1048" s="49"/>
      <c r="J1048" s="50"/>
      <c r="K1048" s="22"/>
      <c r="L1048" s="22"/>
      <c r="M1048" s="22"/>
      <c r="N1048" s="22"/>
      <c r="O1048" s="22"/>
      <c r="P1048" s="46"/>
      <c r="Q1048" s="40"/>
      <c r="R1048" s="41"/>
      <c r="S1048" s="22" t="str">
        <f t="shared" si="97"/>
        <v/>
      </c>
      <c r="T1048" s="41"/>
      <c r="U1048" s="41" t="str">
        <f t="shared" si="101"/>
        <v/>
      </c>
      <c r="V1048" s="44"/>
      <c r="W1048" s="44"/>
      <c r="X1048" s="46"/>
      <c r="Y1048" s="46"/>
      <c r="Z1048" s="46"/>
      <c r="AA1048" s="41"/>
      <c r="AB1048" s="22"/>
      <c r="AC1048" s="22"/>
      <c r="AD1048" s="41"/>
      <c r="AE1048" s="22"/>
      <c r="AF1048" s="22"/>
      <c r="AG1048" s="48" t="str">
        <f t="shared" si="98"/>
        <v/>
      </c>
      <c r="AH1048" s="48" t="str">
        <f t="shared" si="99"/>
        <v/>
      </c>
      <c r="AI1048" s="48" t="str">
        <f t="shared" si="100"/>
        <v/>
      </c>
      <c r="AJ1048" s="40" t="str">
        <f t="shared" si="96"/>
        <v/>
      </c>
      <c r="AK1048" s="40"/>
      <c r="AL1048" s="40"/>
      <c r="AM1048" s="22"/>
      <c r="AQ1048" s="46"/>
    </row>
    <row r="1049" spans="1:43" ht="17.399999999999999">
      <c r="A1049" s="22"/>
      <c r="B1049" s="22"/>
      <c r="C1049" s="56"/>
      <c r="D1049" s="56"/>
      <c r="E1049" s="22"/>
      <c r="F1049" s="22"/>
      <c r="G1049" s="22"/>
      <c r="H1049" s="22"/>
      <c r="I1049" s="49"/>
      <c r="J1049" s="50"/>
      <c r="K1049" s="22"/>
      <c r="L1049" s="22"/>
      <c r="M1049" s="22"/>
      <c r="N1049" s="22"/>
      <c r="O1049" s="22"/>
      <c r="P1049" s="46"/>
      <c r="Q1049" s="40"/>
      <c r="R1049" s="41"/>
      <c r="S1049" s="22" t="str">
        <f t="shared" si="97"/>
        <v/>
      </c>
      <c r="T1049" s="41"/>
      <c r="U1049" s="41" t="str">
        <f t="shared" si="101"/>
        <v/>
      </c>
      <c r="V1049" s="44"/>
      <c r="W1049" s="44"/>
      <c r="X1049" s="46"/>
      <c r="Y1049" s="46"/>
      <c r="Z1049" s="46"/>
      <c r="AA1049" s="41"/>
      <c r="AB1049" s="22"/>
      <c r="AC1049" s="22"/>
      <c r="AD1049" s="41"/>
      <c r="AE1049" s="22"/>
      <c r="AF1049" s="22"/>
      <c r="AG1049" s="48" t="str">
        <f t="shared" si="98"/>
        <v/>
      </c>
      <c r="AH1049" s="48" t="str">
        <f t="shared" si="99"/>
        <v/>
      </c>
      <c r="AI1049" s="48" t="str">
        <f t="shared" si="100"/>
        <v/>
      </c>
      <c r="AJ1049" s="40" t="str">
        <f t="shared" si="96"/>
        <v/>
      </c>
      <c r="AK1049" s="40"/>
      <c r="AL1049" s="40"/>
      <c r="AM1049" s="22"/>
      <c r="AQ1049" s="46"/>
    </row>
    <row r="1050" spans="1:43" ht="17.399999999999999">
      <c r="A1050" s="22"/>
      <c r="B1050" s="22"/>
      <c r="C1050" s="56"/>
      <c r="D1050" s="56"/>
      <c r="E1050" s="22"/>
      <c r="F1050" s="22"/>
      <c r="G1050" s="22"/>
      <c r="H1050" s="22"/>
      <c r="I1050" s="49"/>
      <c r="J1050" s="50"/>
      <c r="K1050" s="22"/>
      <c r="L1050" s="22"/>
      <c r="M1050" s="22"/>
      <c r="N1050" s="22"/>
      <c r="O1050" s="22"/>
      <c r="P1050" s="46"/>
      <c r="Q1050" s="40"/>
      <c r="R1050" s="41"/>
      <c r="S1050" s="22" t="str">
        <f t="shared" si="97"/>
        <v/>
      </c>
      <c r="T1050" s="41"/>
      <c r="U1050" s="41" t="str">
        <f t="shared" si="101"/>
        <v/>
      </c>
      <c r="V1050" s="44"/>
      <c r="W1050" s="44"/>
      <c r="X1050" s="46"/>
      <c r="Y1050" s="46"/>
      <c r="Z1050" s="46"/>
      <c r="AA1050" s="41"/>
      <c r="AB1050" s="22"/>
      <c r="AC1050" s="22"/>
      <c r="AD1050" s="41"/>
      <c r="AE1050" s="22"/>
      <c r="AF1050" s="22"/>
      <c r="AG1050" s="48" t="str">
        <f t="shared" si="98"/>
        <v/>
      </c>
      <c r="AH1050" s="48" t="str">
        <f t="shared" si="99"/>
        <v/>
      </c>
      <c r="AI1050" s="48" t="str">
        <f t="shared" si="100"/>
        <v/>
      </c>
      <c r="AJ1050" s="40" t="str">
        <f t="shared" si="96"/>
        <v/>
      </c>
      <c r="AK1050" s="40"/>
      <c r="AL1050" s="40"/>
      <c r="AM1050" s="22"/>
      <c r="AQ1050" s="46"/>
    </row>
    <row r="1051" spans="1:43" ht="17.399999999999999">
      <c r="A1051" s="22"/>
      <c r="B1051" s="22"/>
      <c r="C1051" s="56"/>
      <c r="D1051" s="56"/>
      <c r="E1051" s="22"/>
      <c r="F1051" s="22"/>
      <c r="G1051" s="22"/>
      <c r="H1051" s="22"/>
      <c r="I1051" s="49"/>
      <c r="J1051" s="50"/>
      <c r="K1051" s="22"/>
      <c r="L1051" s="22"/>
      <c r="M1051" s="22"/>
      <c r="N1051" s="22"/>
      <c r="O1051" s="22"/>
      <c r="P1051" s="46"/>
      <c r="Q1051" s="40"/>
      <c r="R1051" s="41"/>
      <c r="S1051" s="22" t="str">
        <f t="shared" si="97"/>
        <v/>
      </c>
      <c r="T1051" s="41"/>
      <c r="U1051" s="41" t="str">
        <f t="shared" si="101"/>
        <v/>
      </c>
      <c r="V1051" s="44"/>
      <c r="W1051" s="44"/>
      <c r="X1051" s="46"/>
      <c r="Y1051" s="46"/>
      <c r="Z1051" s="46"/>
      <c r="AA1051" s="41"/>
      <c r="AB1051" s="22"/>
      <c r="AC1051" s="22"/>
      <c r="AD1051" s="41"/>
      <c r="AE1051" s="22"/>
      <c r="AF1051" s="22"/>
      <c r="AG1051" s="48" t="str">
        <f t="shared" si="98"/>
        <v/>
      </c>
      <c r="AH1051" s="48" t="str">
        <f t="shared" si="99"/>
        <v/>
      </c>
      <c r="AI1051" s="48" t="str">
        <f t="shared" si="100"/>
        <v/>
      </c>
      <c r="AJ1051" s="40" t="str">
        <f t="shared" si="96"/>
        <v/>
      </c>
      <c r="AK1051" s="40"/>
      <c r="AL1051" s="40"/>
      <c r="AM1051" s="22"/>
      <c r="AQ1051" s="46"/>
    </row>
    <row r="1052" spans="1:43" ht="17.399999999999999">
      <c r="A1052" s="22"/>
      <c r="B1052" s="22"/>
      <c r="C1052" s="56"/>
      <c r="D1052" s="56"/>
      <c r="E1052" s="22"/>
      <c r="F1052" s="22"/>
      <c r="G1052" s="22"/>
      <c r="H1052" s="22"/>
      <c r="I1052" s="49"/>
      <c r="J1052" s="50"/>
      <c r="K1052" s="22"/>
      <c r="L1052" s="22"/>
      <c r="M1052" s="22"/>
      <c r="N1052" s="22"/>
      <c r="O1052" s="22"/>
      <c r="P1052" s="46"/>
      <c r="Q1052" s="40"/>
      <c r="R1052" s="41"/>
      <c r="S1052" s="22" t="str">
        <f t="shared" si="97"/>
        <v/>
      </c>
      <c r="T1052" s="41"/>
      <c r="U1052" s="41" t="str">
        <f t="shared" si="101"/>
        <v/>
      </c>
      <c r="V1052" s="44"/>
      <c r="W1052" s="44"/>
      <c r="X1052" s="46"/>
      <c r="Y1052" s="46"/>
      <c r="Z1052" s="46"/>
      <c r="AA1052" s="41"/>
      <c r="AB1052" s="22"/>
      <c r="AC1052" s="22"/>
      <c r="AD1052" s="41"/>
      <c r="AE1052" s="22"/>
      <c r="AF1052" s="22"/>
      <c r="AG1052" s="48" t="str">
        <f t="shared" si="98"/>
        <v/>
      </c>
      <c r="AH1052" s="48" t="str">
        <f t="shared" si="99"/>
        <v/>
      </c>
      <c r="AI1052" s="48" t="str">
        <f t="shared" si="100"/>
        <v/>
      </c>
      <c r="AJ1052" s="40" t="str">
        <f t="shared" si="96"/>
        <v/>
      </c>
      <c r="AK1052" s="40"/>
      <c r="AL1052" s="40"/>
      <c r="AM1052" s="22"/>
      <c r="AQ1052" s="46"/>
    </row>
    <row r="1053" spans="1:43" ht="17.399999999999999">
      <c r="A1053" s="22"/>
      <c r="B1053" s="22"/>
      <c r="C1053" s="56"/>
      <c r="D1053" s="56"/>
      <c r="E1053" s="22"/>
      <c r="F1053" s="22"/>
      <c r="G1053" s="22"/>
      <c r="H1053" s="22"/>
      <c r="I1053" s="49"/>
      <c r="J1053" s="50"/>
      <c r="K1053" s="22"/>
      <c r="L1053" s="22"/>
      <c r="M1053" s="22"/>
      <c r="N1053" s="22"/>
      <c r="O1053" s="22"/>
      <c r="P1053" s="46"/>
      <c r="Q1053" s="40"/>
      <c r="R1053" s="41"/>
      <c r="S1053" s="22" t="str">
        <f t="shared" si="97"/>
        <v/>
      </c>
      <c r="T1053" s="41"/>
      <c r="U1053" s="41" t="str">
        <f t="shared" si="101"/>
        <v/>
      </c>
      <c r="V1053" s="44"/>
      <c r="W1053" s="44"/>
      <c r="X1053" s="46"/>
      <c r="Y1053" s="46"/>
      <c r="Z1053" s="46"/>
      <c r="AA1053" s="41"/>
      <c r="AB1053" s="22"/>
      <c r="AC1053" s="22"/>
      <c r="AD1053" s="41"/>
      <c r="AE1053" s="22"/>
      <c r="AF1053" s="22"/>
      <c r="AG1053" s="48" t="str">
        <f t="shared" si="98"/>
        <v/>
      </c>
      <c r="AH1053" s="48" t="str">
        <f t="shared" si="99"/>
        <v/>
      </c>
      <c r="AI1053" s="48" t="str">
        <f t="shared" si="100"/>
        <v/>
      </c>
      <c r="AJ1053" s="40" t="str">
        <f t="shared" si="96"/>
        <v/>
      </c>
      <c r="AK1053" s="40"/>
      <c r="AL1053" s="40"/>
      <c r="AM1053" s="22"/>
      <c r="AQ1053" s="46"/>
    </row>
    <row r="1054" spans="1:43" ht="17.399999999999999">
      <c r="A1054" s="22"/>
      <c r="B1054" s="22"/>
      <c r="C1054" s="56"/>
      <c r="D1054" s="56"/>
      <c r="E1054" s="22"/>
      <c r="F1054" s="22"/>
      <c r="G1054" s="22"/>
      <c r="H1054" s="22"/>
      <c r="I1054" s="49"/>
      <c r="J1054" s="50"/>
      <c r="K1054" s="22"/>
      <c r="L1054" s="22"/>
      <c r="M1054" s="22"/>
      <c r="N1054" s="22"/>
      <c r="O1054" s="22"/>
      <c r="P1054" s="46"/>
      <c r="Q1054" s="40"/>
      <c r="R1054" s="41"/>
      <c r="S1054" s="22" t="str">
        <f t="shared" si="97"/>
        <v/>
      </c>
      <c r="T1054" s="41"/>
      <c r="U1054" s="41" t="str">
        <f t="shared" si="101"/>
        <v/>
      </c>
      <c r="V1054" s="44"/>
      <c r="W1054" s="44"/>
      <c r="X1054" s="46"/>
      <c r="Y1054" s="46"/>
      <c r="Z1054" s="46"/>
      <c r="AA1054" s="41"/>
      <c r="AB1054" s="22"/>
      <c r="AC1054" s="22"/>
      <c r="AD1054" s="41"/>
      <c r="AE1054" s="22"/>
      <c r="AF1054" s="22"/>
      <c r="AG1054" s="48" t="str">
        <f t="shared" si="98"/>
        <v/>
      </c>
      <c r="AH1054" s="48" t="str">
        <f t="shared" si="99"/>
        <v/>
      </c>
      <c r="AI1054" s="48" t="str">
        <f t="shared" si="100"/>
        <v/>
      </c>
      <c r="AJ1054" s="40" t="str">
        <f t="shared" si="96"/>
        <v/>
      </c>
      <c r="AK1054" s="40"/>
      <c r="AL1054" s="40"/>
      <c r="AM1054" s="22"/>
      <c r="AQ1054" s="46"/>
    </row>
    <row r="1055" spans="1:43" ht="17.399999999999999">
      <c r="A1055" s="22"/>
      <c r="B1055" s="22"/>
      <c r="C1055" s="56"/>
      <c r="D1055" s="56"/>
      <c r="E1055" s="22"/>
      <c r="F1055" s="22"/>
      <c r="G1055" s="22"/>
      <c r="H1055" s="22"/>
      <c r="I1055" s="49"/>
      <c r="J1055" s="50"/>
      <c r="K1055" s="22"/>
      <c r="L1055" s="22"/>
      <c r="M1055" s="22"/>
      <c r="N1055" s="22"/>
      <c r="O1055" s="22"/>
      <c r="P1055" s="46"/>
      <c r="Q1055" s="40"/>
      <c r="R1055" s="41"/>
      <c r="S1055" s="22" t="str">
        <f t="shared" si="97"/>
        <v/>
      </c>
      <c r="T1055" s="41"/>
      <c r="U1055" s="41" t="str">
        <f t="shared" si="101"/>
        <v/>
      </c>
      <c r="V1055" s="44"/>
      <c r="W1055" s="44"/>
      <c r="X1055" s="46"/>
      <c r="Y1055" s="46"/>
      <c r="Z1055" s="46"/>
      <c r="AA1055" s="41"/>
      <c r="AB1055" s="22"/>
      <c r="AC1055" s="22"/>
      <c r="AD1055" s="41"/>
      <c r="AE1055" s="22"/>
      <c r="AF1055" s="22"/>
      <c r="AG1055" s="48" t="str">
        <f t="shared" si="98"/>
        <v/>
      </c>
      <c r="AH1055" s="48" t="str">
        <f t="shared" si="99"/>
        <v/>
      </c>
      <c r="AI1055" s="48" t="str">
        <f t="shared" si="100"/>
        <v/>
      </c>
      <c r="AJ1055" s="40" t="str">
        <f t="shared" si="96"/>
        <v/>
      </c>
      <c r="AK1055" s="40"/>
      <c r="AL1055" s="40"/>
      <c r="AM1055" s="22"/>
      <c r="AQ1055" s="46"/>
    </row>
    <row r="1056" spans="1:43" ht="17.399999999999999">
      <c r="A1056" s="22"/>
      <c r="B1056" s="22"/>
      <c r="C1056" s="56"/>
      <c r="D1056" s="56"/>
      <c r="E1056" s="22"/>
      <c r="F1056" s="22"/>
      <c r="G1056" s="22"/>
      <c r="H1056" s="22"/>
      <c r="I1056" s="49"/>
      <c r="J1056" s="50"/>
      <c r="K1056" s="22"/>
      <c r="L1056" s="22"/>
      <c r="M1056" s="22"/>
      <c r="N1056" s="22"/>
      <c r="O1056" s="22"/>
      <c r="P1056" s="46"/>
      <c r="Q1056" s="40"/>
      <c r="R1056" s="41"/>
      <c r="S1056" s="22" t="str">
        <f t="shared" si="97"/>
        <v/>
      </c>
      <c r="T1056" s="41"/>
      <c r="U1056" s="41" t="str">
        <f t="shared" si="101"/>
        <v/>
      </c>
      <c r="V1056" s="44"/>
      <c r="W1056" s="44"/>
      <c r="X1056" s="46"/>
      <c r="Y1056" s="46"/>
      <c r="Z1056" s="46"/>
      <c r="AA1056" s="41"/>
      <c r="AB1056" s="22"/>
      <c r="AC1056" s="22"/>
      <c r="AD1056" s="41"/>
      <c r="AE1056" s="22"/>
      <c r="AF1056" s="22"/>
      <c r="AG1056" s="48" t="str">
        <f t="shared" si="98"/>
        <v/>
      </c>
      <c r="AH1056" s="48" t="str">
        <f t="shared" si="99"/>
        <v/>
      </c>
      <c r="AI1056" s="48" t="str">
        <f t="shared" si="100"/>
        <v/>
      </c>
      <c r="AJ1056" s="40" t="str">
        <f t="shared" si="96"/>
        <v/>
      </c>
      <c r="AK1056" s="40"/>
      <c r="AL1056" s="40"/>
      <c r="AM1056" s="22"/>
      <c r="AQ1056" s="46"/>
    </row>
    <row r="1057" spans="1:43" ht="17.399999999999999">
      <c r="A1057" s="22"/>
      <c r="B1057" s="22"/>
      <c r="C1057" s="56"/>
      <c r="D1057" s="56"/>
      <c r="E1057" s="22"/>
      <c r="F1057" s="22"/>
      <c r="G1057" s="22"/>
      <c r="H1057" s="22"/>
      <c r="I1057" s="49"/>
      <c r="J1057" s="50"/>
      <c r="K1057" s="22"/>
      <c r="L1057" s="22"/>
      <c r="M1057" s="22"/>
      <c r="N1057" s="22"/>
      <c r="O1057" s="22"/>
      <c r="P1057" s="46"/>
      <c r="Q1057" s="40"/>
      <c r="R1057" s="41"/>
      <c r="S1057" s="22" t="str">
        <f t="shared" si="97"/>
        <v/>
      </c>
      <c r="T1057" s="41"/>
      <c r="U1057" s="41" t="str">
        <f t="shared" si="101"/>
        <v/>
      </c>
      <c r="V1057" s="44"/>
      <c r="W1057" s="44"/>
      <c r="X1057" s="46"/>
      <c r="Y1057" s="46"/>
      <c r="Z1057" s="46"/>
      <c r="AA1057" s="41"/>
      <c r="AB1057" s="22"/>
      <c r="AC1057" s="22"/>
      <c r="AD1057" s="41"/>
      <c r="AE1057" s="22"/>
      <c r="AF1057" s="22"/>
      <c r="AG1057" s="48" t="str">
        <f t="shared" si="98"/>
        <v/>
      </c>
      <c r="AH1057" s="48" t="str">
        <f t="shared" si="99"/>
        <v/>
      </c>
      <c r="AI1057" s="48" t="str">
        <f t="shared" si="100"/>
        <v/>
      </c>
      <c r="AJ1057" s="40" t="str">
        <f t="shared" si="96"/>
        <v/>
      </c>
      <c r="AK1057" s="40"/>
      <c r="AL1057" s="40"/>
      <c r="AM1057" s="22"/>
      <c r="AQ1057" s="46"/>
    </row>
    <row r="1058" spans="1:43" ht="17.399999999999999">
      <c r="A1058" s="22"/>
      <c r="B1058" s="22"/>
      <c r="C1058" s="56"/>
      <c r="D1058" s="56"/>
      <c r="E1058" s="22"/>
      <c r="F1058" s="22"/>
      <c r="G1058" s="22"/>
      <c r="H1058" s="22"/>
      <c r="I1058" s="49"/>
      <c r="J1058" s="50"/>
      <c r="K1058" s="22"/>
      <c r="L1058" s="22"/>
      <c r="M1058" s="22"/>
      <c r="N1058" s="22"/>
      <c r="O1058" s="22"/>
      <c r="P1058" s="46"/>
      <c r="Q1058" s="40"/>
      <c r="R1058" s="41"/>
      <c r="S1058" s="22" t="str">
        <f t="shared" si="97"/>
        <v/>
      </c>
      <c r="T1058" s="41"/>
      <c r="U1058" s="41" t="str">
        <f t="shared" si="101"/>
        <v/>
      </c>
      <c r="V1058" s="44"/>
      <c r="W1058" s="44"/>
      <c r="X1058" s="46"/>
      <c r="Y1058" s="46"/>
      <c r="Z1058" s="46"/>
      <c r="AA1058" s="41"/>
      <c r="AB1058" s="22"/>
      <c r="AC1058" s="22"/>
      <c r="AD1058" s="41"/>
      <c r="AE1058" s="22"/>
      <c r="AF1058" s="22"/>
      <c r="AG1058" s="48" t="str">
        <f t="shared" si="98"/>
        <v/>
      </c>
      <c r="AH1058" s="48" t="str">
        <f t="shared" si="99"/>
        <v/>
      </c>
      <c r="AI1058" s="48" t="str">
        <f t="shared" si="100"/>
        <v/>
      </c>
      <c r="AJ1058" s="40" t="str">
        <f t="shared" si="96"/>
        <v/>
      </c>
      <c r="AK1058" s="40"/>
      <c r="AL1058" s="40"/>
      <c r="AM1058" s="22"/>
      <c r="AQ1058" s="46"/>
    </row>
    <row r="1059" spans="1:43" ht="17.399999999999999">
      <c r="A1059" s="22"/>
      <c r="B1059" s="22"/>
      <c r="C1059" s="56"/>
      <c r="D1059" s="56"/>
      <c r="E1059" s="22"/>
      <c r="F1059" s="22"/>
      <c r="G1059" s="22"/>
      <c r="H1059" s="22"/>
      <c r="I1059" s="49"/>
      <c r="J1059" s="50"/>
      <c r="K1059" s="22"/>
      <c r="L1059" s="22"/>
      <c r="M1059" s="22"/>
      <c r="N1059" s="22"/>
      <c r="O1059" s="22"/>
      <c r="P1059" s="46"/>
      <c r="Q1059" s="40"/>
      <c r="R1059" s="41"/>
      <c r="S1059" s="22" t="str">
        <f t="shared" si="97"/>
        <v/>
      </c>
      <c r="T1059" s="41"/>
      <c r="U1059" s="41" t="str">
        <f t="shared" si="101"/>
        <v/>
      </c>
      <c r="V1059" s="44"/>
      <c r="W1059" s="44"/>
      <c r="X1059" s="46"/>
      <c r="Y1059" s="46"/>
      <c r="Z1059" s="46"/>
      <c r="AA1059" s="41"/>
      <c r="AB1059" s="22"/>
      <c r="AC1059" s="22"/>
      <c r="AD1059" s="41"/>
      <c r="AE1059" s="22"/>
      <c r="AF1059" s="22"/>
      <c r="AG1059" s="48" t="str">
        <f t="shared" si="98"/>
        <v/>
      </c>
      <c r="AH1059" s="48" t="str">
        <f t="shared" si="99"/>
        <v/>
      </c>
      <c r="AI1059" s="48" t="str">
        <f t="shared" si="100"/>
        <v/>
      </c>
      <c r="AJ1059" s="40" t="str">
        <f t="shared" si="96"/>
        <v/>
      </c>
      <c r="AK1059" s="40"/>
      <c r="AL1059" s="40"/>
      <c r="AM1059" s="22"/>
      <c r="AQ1059" s="46"/>
    </row>
    <row r="1060" spans="1:43" ht="17.399999999999999">
      <c r="A1060" s="22"/>
      <c r="B1060" s="22"/>
      <c r="C1060" s="56"/>
      <c r="D1060" s="56"/>
      <c r="E1060" s="22"/>
      <c r="F1060" s="22"/>
      <c r="G1060" s="22"/>
      <c r="H1060" s="22"/>
      <c r="I1060" s="49"/>
      <c r="J1060" s="50"/>
      <c r="K1060" s="22"/>
      <c r="L1060" s="22"/>
      <c r="M1060" s="22"/>
      <c r="N1060" s="22"/>
      <c r="O1060" s="22"/>
      <c r="P1060" s="46"/>
      <c r="Q1060" s="40"/>
      <c r="R1060" s="41"/>
      <c r="S1060" s="22" t="str">
        <f t="shared" si="97"/>
        <v/>
      </c>
      <c r="T1060" s="41"/>
      <c r="U1060" s="41" t="str">
        <f t="shared" si="101"/>
        <v/>
      </c>
      <c r="V1060" s="44"/>
      <c r="W1060" s="44"/>
      <c r="X1060" s="46"/>
      <c r="Y1060" s="46"/>
      <c r="Z1060" s="46"/>
      <c r="AA1060" s="41"/>
      <c r="AB1060" s="22"/>
      <c r="AC1060" s="22"/>
      <c r="AD1060" s="41"/>
      <c r="AE1060" s="22"/>
      <c r="AF1060" s="22"/>
      <c r="AG1060" s="48" t="str">
        <f t="shared" si="98"/>
        <v/>
      </c>
      <c r="AH1060" s="48" t="str">
        <f t="shared" si="99"/>
        <v/>
      </c>
      <c r="AI1060" s="48" t="str">
        <f t="shared" si="100"/>
        <v/>
      </c>
      <c r="AJ1060" s="40" t="str">
        <f t="shared" si="96"/>
        <v/>
      </c>
      <c r="AK1060" s="40"/>
      <c r="AL1060" s="40"/>
      <c r="AM1060" s="22"/>
      <c r="AQ1060" s="46"/>
    </row>
  </sheetData>
  <mergeCells count="4">
    <mergeCell ref="AN1:AP1"/>
    <mergeCell ref="I2:J2"/>
    <mergeCell ref="T1:T2"/>
    <mergeCell ref="U1:U2"/>
  </mergeCells>
  <phoneticPr fontId="3"/>
  <conditionalFormatting sqref="V2:X2">
    <cfRule type="cellIs" dxfId="23" priority="36" stopIfTrue="1" operator="equal">
      <formula>"scrap at FFT"</formula>
    </cfRule>
  </conditionalFormatting>
  <conditionalFormatting sqref="Z1:Z2 Z275:Z284 Z286:Z1048576">
    <cfRule type="cellIs" dxfId="22" priority="32" operator="equal">
      <formula>"Scrap at FFT"</formula>
    </cfRule>
  </conditionalFormatting>
  <conditionalFormatting sqref="AG1:AG2 AG1061:AG1048576 AG3:AI1060">
    <cfRule type="cellIs" dxfId="21" priority="35" operator="equal">
      <formula>0</formula>
    </cfRule>
  </conditionalFormatting>
  <conditionalFormatting sqref="AJ1">
    <cfRule type="cellIs" dxfId="20" priority="34" operator="equal">
      <formula>0</formula>
    </cfRule>
  </conditionalFormatting>
  <conditionalFormatting sqref="Z4:Z13 Z15 Z17:Z20 Z60 Z191:Z205 Z25:Z58 Z223:Z225 Z228:Z259 Z261:Z266 Z269:Z270 Z272:Z273">
    <cfRule type="cellIs" dxfId="19" priority="5" operator="equal">
      <formula>"Scrap at FFT"</formula>
    </cfRule>
  </conditionalFormatting>
  <conditionalFormatting sqref="Z209:Z214 Z217:Z221">
    <cfRule type="cellIs" dxfId="18" priority="4" operator="equal">
      <formula>"Scrap at FFT"</formula>
    </cfRule>
  </conditionalFormatting>
  <conditionalFormatting sqref="Z85 Z88:Z90 Z92:Z94 Z101 Z110 Z98:Z99 Z115 Z112:Z113 Z103:Z108 Z119:Z120 Z80 Z21:Z24">
    <cfRule type="cellIs" dxfId="17" priority="3" operator="equal">
      <formula>"Scrap at FFT"</formula>
    </cfRule>
  </conditionalFormatting>
  <conditionalFormatting sqref="AQ222:AQ1060">
    <cfRule type="cellIs" dxfId="16" priority="2" operator="greaterThan">
      <formula>30</formula>
    </cfRule>
  </conditionalFormatting>
  <conditionalFormatting sqref="U3:U1060">
    <cfRule type="cellIs" dxfId="15" priority="1" operator="equal">
      <formula>"Upload in customer box"</formula>
    </cfRule>
  </conditionalFormatting>
  <hyperlinks>
    <hyperlink ref="AU2" r:id="rId1" xr:uid="{00000000-0004-0000-0200-000000000000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T1152"/>
  <sheetViews>
    <sheetView zoomScale="85" zoomScaleNormal="85" workbookViewId="0">
      <pane xSplit="1" ySplit="2" topLeftCell="AF278" activePane="bottomRight" state="frozen"/>
      <selection pane="topRight" activeCell="B1" sqref="B1"/>
      <selection pane="bottomLeft" activeCell="A3" sqref="A3"/>
      <selection pane="bottomRight" activeCell="AH3" sqref="AH3:AH292"/>
    </sheetView>
  </sheetViews>
  <sheetFormatPr defaultRowHeight="13.8"/>
  <cols>
    <col min="1" max="1" width="21" customWidth="1"/>
    <col min="2" max="2" width="14.19921875" customWidth="1"/>
    <col min="3" max="3" width="32.59765625" style="57" customWidth="1"/>
    <col min="4" max="4" width="18.19921875" style="57" customWidth="1"/>
    <col min="5" max="5" width="26.19921875" customWidth="1"/>
    <col min="6" max="6" width="8.8984375" customWidth="1"/>
    <col min="7" max="7" width="15.8984375" customWidth="1"/>
    <col min="8" max="8" width="18.59765625" customWidth="1"/>
    <col min="9" max="9" width="25.09765625" customWidth="1"/>
    <col min="10" max="10" width="43.69921875" customWidth="1"/>
    <col min="11" max="11" width="17.59765625" customWidth="1"/>
    <col min="12" max="12" width="8.59765625" customWidth="1"/>
    <col min="13" max="13" width="8.69921875" customWidth="1"/>
    <col min="14" max="14" width="43.19921875" customWidth="1"/>
    <col min="15" max="15" width="8.69921875" customWidth="1"/>
    <col min="16" max="16" width="21.69921875" style="47" customWidth="1"/>
    <col min="17" max="17" width="26.19921875" customWidth="1"/>
    <col min="18" max="18" width="11.5" style="42" customWidth="1"/>
    <col min="19" max="19" width="14.59765625" customWidth="1"/>
    <col min="20" max="20" width="14.59765625" style="42" customWidth="1"/>
    <col min="21" max="21" width="28.09765625" style="45" customWidth="1"/>
    <col min="22" max="22" width="22.09765625" style="45" customWidth="1"/>
    <col min="23" max="23" width="29.09765625" style="47" customWidth="1"/>
    <col min="24" max="24" width="21.09765625" style="47" customWidth="1"/>
    <col min="25" max="25" width="31.19921875" style="47" customWidth="1"/>
    <col min="26" max="26" width="17.8984375" customWidth="1"/>
    <col min="27" max="27" width="26.3984375" customWidth="1"/>
    <col min="28" max="31" width="16.8984375" customWidth="1"/>
    <col min="32" max="32" width="18.8984375" customWidth="1"/>
    <col min="33" max="33" width="14.5" bestFit="1" customWidth="1"/>
    <col min="34" max="34" width="18.8984375" customWidth="1"/>
    <col min="35" max="38" width="18.3984375" customWidth="1"/>
    <col min="39" max="39" width="12.3984375" style="22" customWidth="1"/>
    <col min="40" max="40" width="9.59765625" style="22" customWidth="1"/>
    <col min="41" max="41" width="23.5" style="22" customWidth="1"/>
  </cols>
  <sheetData>
    <row r="1" spans="1:46" s="1" customFormat="1" ht="52.2" customHeight="1" thickBot="1">
      <c r="A1" s="125" t="s">
        <v>0</v>
      </c>
      <c r="B1" s="125"/>
      <c r="C1" s="125"/>
      <c r="D1" s="126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51"/>
      <c r="T1" s="235" t="s">
        <v>18674</v>
      </c>
      <c r="U1" s="124" t="s">
        <v>1</v>
      </c>
      <c r="V1" s="124"/>
      <c r="W1" s="124"/>
      <c r="X1" s="124"/>
      <c r="Y1" s="52"/>
      <c r="Z1" s="123" t="s">
        <v>2</v>
      </c>
      <c r="AA1" s="123"/>
      <c r="AB1" s="123"/>
      <c r="AC1" s="122" t="s">
        <v>3</v>
      </c>
      <c r="AD1" s="122"/>
      <c r="AE1" s="122"/>
      <c r="AF1" s="119" t="s">
        <v>4</v>
      </c>
      <c r="AG1" s="120"/>
      <c r="AH1" s="121"/>
      <c r="AI1" s="117" t="s">
        <v>5</v>
      </c>
      <c r="AJ1" s="118"/>
      <c r="AK1" s="118"/>
      <c r="AL1" s="118"/>
      <c r="AM1" s="232" t="s">
        <v>18254</v>
      </c>
      <c r="AN1" s="232"/>
      <c r="AO1" s="232"/>
      <c r="AQ1" s="86"/>
      <c r="AR1" s="87"/>
      <c r="AT1" s="1" t="s">
        <v>18252</v>
      </c>
    </row>
    <row r="2" spans="1:46" s="21" customFormat="1" ht="52.2">
      <c r="A2" s="3" t="s">
        <v>6</v>
      </c>
      <c r="B2" s="2" t="s">
        <v>7</v>
      </c>
      <c r="C2" s="55" t="s">
        <v>8</v>
      </c>
      <c r="D2" s="55" t="s">
        <v>9</v>
      </c>
      <c r="E2" s="2" t="s">
        <v>10</v>
      </c>
      <c r="F2" s="2" t="s">
        <v>11</v>
      </c>
      <c r="G2" s="4" t="s">
        <v>12</v>
      </c>
      <c r="H2" s="3" t="s">
        <v>13</v>
      </c>
      <c r="I2" s="233" t="s">
        <v>14</v>
      </c>
      <c r="J2" s="234"/>
      <c r="K2" s="5" t="s">
        <v>15</v>
      </c>
      <c r="L2" s="5" t="s">
        <v>16</v>
      </c>
      <c r="M2" s="3" t="s">
        <v>17</v>
      </c>
      <c r="N2" s="3" t="s">
        <v>18</v>
      </c>
      <c r="O2" s="6" t="s">
        <v>19</v>
      </c>
      <c r="P2" s="5" t="s">
        <v>20</v>
      </c>
      <c r="Q2" s="5"/>
      <c r="R2" s="53" t="s">
        <v>628</v>
      </c>
      <c r="S2" s="5" t="s">
        <v>49</v>
      </c>
      <c r="T2" s="236"/>
      <c r="U2" s="7" t="s">
        <v>566</v>
      </c>
      <c r="V2" s="43" t="s">
        <v>567</v>
      </c>
      <c r="W2" s="8" t="s">
        <v>568</v>
      </c>
      <c r="X2" s="9" t="s">
        <v>625</v>
      </c>
      <c r="Y2" s="54" t="s">
        <v>634</v>
      </c>
      <c r="Z2" s="10" t="s">
        <v>21</v>
      </c>
      <c r="AA2" s="11" t="s">
        <v>22</v>
      </c>
      <c r="AB2" s="12" t="s">
        <v>23</v>
      </c>
      <c r="AC2" s="13" t="s">
        <v>24</v>
      </c>
      <c r="AD2" s="14" t="s">
        <v>25</v>
      </c>
      <c r="AE2" s="15" t="s">
        <v>23</v>
      </c>
      <c r="AF2" s="16" t="s">
        <v>26</v>
      </c>
      <c r="AG2" s="17" t="s">
        <v>27</v>
      </c>
      <c r="AH2" s="18" t="s">
        <v>28</v>
      </c>
      <c r="AI2" s="19" t="s">
        <v>29</v>
      </c>
      <c r="AJ2" s="19" t="s">
        <v>30</v>
      </c>
      <c r="AK2" s="19" t="s">
        <v>31</v>
      </c>
      <c r="AL2" s="20" t="s">
        <v>32</v>
      </c>
      <c r="AM2" s="116" t="s">
        <v>18255</v>
      </c>
      <c r="AN2" s="116" t="s">
        <v>18256</v>
      </c>
      <c r="AO2" s="116" t="s">
        <v>18257</v>
      </c>
      <c r="AQ2" s="86"/>
      <c r="AR2" s="88"/>
      <c r="AT2" s="115" t="s">
        <v>18253</v>
      </c>
    </row>
    <row r="3" spans="1:46" ht="17.399999999999999">
      <c r="A3" s="22" t="s">
        <v>18780</v>
      </c>
      <c r="B3" s="22" t="s">
        <v>94</v>
      </c>
      <c r="C3" s="56">
        <v>43780</v>
      </c>
      <c r="D3" s="56">
        <v>43682</v>
      </c>
      <c r="E3" s="22" t="s">
        <v>95</v>
      </c>
      <c r="F3" s="22" t="s">
        <v>33</v>
      </c>
      <c r="G3" s="22" t="s">
        <v>33</v>
      </c>
      <c r="H3" s="22" t="s">
        <v>5083</v>
      </c>
      <c r="I3" s="49" t="s">
        <v>96</v>
      </c>
      <c r="J3" s="50" t="s">
        <v>97</v>
      </c>
      <c r="K3" s="22" t="s">
        <v>98</v>
      </c>
      <c r="L3" s="22" t="s">
        <v>99</v>
      </c>
      <c r="M3" s="22">
        <v>1</v>
      </c>
      <c r="N3" s="22" t="s">
        <v>100</v>
      </c>
      <c r="O3" s="22"/>
      <c r="P3" s="46" t="s">
        <v>685</v>
      </c>
      <c r="Q3" s="40"/>
      <c r="R3" s="41"/>
      <c r="S3" s="22">
        <f t="shared" ref="S3:S66" si="0">IF(A3="","",M3+O3)</f>
        <v>1</v>
      </c>
      <c r="T3" s="41">
        <v>43825</v>
      </c>
      <c r="U3" s="44" t="s">
        <v>571</v>
      </c>
      <c r="V3" s="44" t="s">
        <v>571</v>
      </c>
      <c r="W3" s="46" t="s">
        <v>571</v>
      </c>
      <c r="X3" s="46">
        <v>1</v>
      </c>
      <c r="Y3" s="46" t="s">
        <v>571</v>
      </c>
      <c r="Z3" s="22"/>
      <c r="AA3" s="22"/>
      <c r="AB3" s="22"/>
      <c r="AC3" s="22"/>
      <c r="AD3" s="22"/>
      <c r="AE3" s="22"/>
      <c r="AF3" s="48">
        <f t="shared" ref="AF3:AF66" si="1">IF(A3="","",S3-X3)</f>
        <v>0</v>
      </c>
      <c r="AG3" s="48">
        <f t="shared" ref="AG3:AG66" si="2">IF(A3="","",X3-(AB3+AE3))</f>
        <v>1</v>
      </c>
      <c r="AH3" s="48">
        <f t="shared" ref="AH3:AH66" si="3">IF(A3="","",AF3+AG3)</f>
        <v>1</v>
      </c>
      <c r="AI3" s="40" t="s">
        <v>33</v>
      </c>
      <c r="AJ3" s="40">
        <v>45205</v>
      </c>
      <c r="AK3" s="40"/>
      <c r="AL3" s="146"/>
      <c r="AM3" s="136"/>
      <c r="AN3" s="136"/>
      <c r="AO3" s="136"/>
    </row>
    <row r="4" spans="1:46" ht="17.399999999999999">
      <c r="A4" s="22" t="s">
        <v>101</v>
      </c>
      <c r="B4" s="22" t="s">
        <v>94</v>
      </c>
      <c r="C4" s="56">
        <v>43823</v>
      </c>
      <c r="D4" s="56">
        <v>43801</v>
      </c>
      <c r="E4" s="22" t="s">
        <v>102</v>
      </c>
      <c r="F4" s="22">
        <v>800</v>
      </c>
      <c r="G4" s="22" t="s">
        <v>33</v>
      </c>
      <c r="H4" s="22" t="s">
        <v>103</v>
      </c>
      <c r="I4" s="49" t="s">
        <v>104</v>
      </c>
      <c r="J4" s="50" t="s">
        <v>105</v>
      </c>
      <c r="K4" s="22" t="s">
        <v>106</v>
      </c>
      <c r="L4" s="22" t="s">
        <v>60</v>
      </c>
      <c r="M4" s="22">
        <v>4</v>
      </c>
      <c r="N4" s="22" t="s">
        <v>107</v>
      </c>
      <c r="O4" s="22"/>
      <c r="P4" s="46" t="s">
        <v>685</v>
      </c>
      <c r="Q4" s="40"/>
      <c r="R4" s="41"/>
      <c r="S4" s="22">
        <f t="shared" si="0"/>
        <v>4</v>
      </c>
      <c r="T4" s="41">
        <v>43875</v>
      </c>
      <c r="U4" s="44">
        <v>43871</v>
      </c>
      <c r="V4" s="44">
        <v>43875</v>
      </c>
      <c r="W4" s="46" t="s">
        <v>574</v>
      </c>
      <c r="X4" s="46">
        <v>4</v>
      </c>
      <c r="Y4" s="46" t="s">
        <v>635</v>
      </c>
      <c r="Z4" s="22"/>
      <c r="AA4" s="22"/>
      <c r="AB4" s="22"/>
      <c r="AC4" s="58">
        <v>45869</v>
      </c>
      <c r="AD4" s="22" t="s">
        <v>18662</v>
      </c>
      <c r="AE4" s="22">
        <v>4</v>
      </c>
      <c r="AF4" s="48">
        <f t="shared" si="1"/>
        <v>0</v>
      </c>
      <c r="AG4" s="48">
        <f t="shared" si="2"/>
        <v>0</v>
      </c>
      <c r="AH4" s="48">
        <f t="shared" si="3"/>
        <v>0</v>
      </c>
      <c r="AI4" s="40" t="s">
        <v>33</v>
      </c>
      <c r="AJ4" s="40" t="s">
        <v>33</v>
      </c>
      <c r="AK4" s="40"/>
      <c r="AL4" s="146"/>
      <c r="AM4" s="136"/>
      <c r="AN4" s="136"/>
      <c r="AO4" s="136"/>
    </row>
    <row r="5" spans="1:46" ht="17.399999999999999">
      <c r="A5" s="22" t="s">
        <v>108</v>
      </c>
      <c r="B5" s="22" t="s">
        <v>94</v>
      </c>
      <c r="C5" s="56" t="s">
        <v>109</v>
      </c>
      <c r="D5" s="56" t="s">
        <v>110</v>
      </c>
      <c r="E5" s="22" t="s">
        <v>111</v>
      </c>
      <c r="F5" s="22" t="s">
        <v>33</v>
      </c>
      <c r="G5" s="22" t="s">
        <v>33</v>
      </c>
      <c r="H5" s="22" t="s">
        <v>103</v>
      </c>
      <c r="I5" s="49" t="s">
        <v>104</v>
      </c>
      <c r="J5" s="50" t="s">
        <v>105</v>
      </c>
      <c r="K5" s="22" t="s">
        <v>106</v>
      </c>
      <c r="L5" s="22" t="s">
        <v>60</v>
      </c>
      <c r="M5" s="22">
        <v>6</v>
      </c>
      <c r="N5" s="22" t="s">
        <v>112</v>
      </c>
      <c r="O5" s="22"/>
      <c r="P5" s="46" t="s">
        <v>685</v>
      </c>
      <c r="Q5" s="40"/>
      <c r="R5" s="41"/>
      <c r="S5" s="22">
        <f t="shared" si="0"/>
        <v>6</v>
      </c>
      <c r="T5" s="41">
        <v>43889</v>
      </c>
      <c r="U5" s="44">
        <v>43875</v>
      </c>
      <c r="V5" s="44">
        <v>43889</v>
      </c>
      <c r="W5" s="46" t="s">
        <v>575</v>
      </c>
      <c r="X5" s="46">
        <v>6</v>
      </c>
      <c r="Y5" s="46" t="s">
        <v>636</v>
      </c>
      <c r="Z5" s="22"/>
      <c r="AA5" s="22"/>
      <c r="AB5" s="22"/>
      <c r="AC5" s="58">
        <v>45869</v>
      </c>
      <c r="AD5" s="22" t="s">
        <v>18662</v>
      </c>
      <c r="AE5" s="22">
        <v>6</v>
      </c>
      <c r="AF5" s="48">
        <f t="shared" si="1"/>
        <v>0</v>
      </c>
      <c r="AG5" s="48">
        <f t="shared" si="2"/>
        <v>0</v>
      </c>
      <c r="AH5" s="48">
        <f t="shared" si="3"/>
        <v>0</v>
      </c>
      <c r="AI5" s="40" t="s">
        <v>33</v>
      </c>
      <c r="AJ5" s="40" t="s">
        <v>33</v>
      </c>
      <c r="AK5" s="40"/>
      <c r="AL5" s="146"/>
      <c r="AM5" s="136"/>
      <c r="AN5" s="136"/>
      <c r="AO5" s="136"/>
    </row>
    <row r="6" spans="1:46" ht="16.95" customHeight="1">
      <c r="A6" s="22" t="s">
        <v>113</v>
      </c>
      <c r="B6" s="22" t="s">
        <v>94</v>
      </c>
      <c r="C6" s="56">
        <v>43894</v>
      </c>
      <c r="D6" s="56">
        <v>43812</v>
      </c>
      <c r="E6" s="22" t="s">
        <v>114</v>
      </c>
      <c r="F6" s="22">
        <v>400</v>
      </c>
      <c r="G6" s="22" t="s">
        <v>33</v>
      </c>
      <c r="H6" s="22" t="s">
        <v>103</v>
      </c>
      <c r="I6" s="49" t="s">
        <v>104</v>
      </c>
      <c r="J6" s="50" t="s">
        <v>105</v>
      </c>
      <c r="K6" s="22" t="s">
        <v>106</v>
      </c>
      <c r="L6" s="22" t="s">
        <v>60</v>
      </c>
      <c r="M6" s="22">
        <v>4</v>
      </c>
      <c r="N6" s="22" t="s">
        <v>115</v>
      </c>
      <c r="O6" s="22"/>
      <c r="P6" s="46" t="s">
        <v>685</v>
      </c>
      <c r="Q6" s="40"/>
      <c r="R6" s="41"/>
      <c r="S6" s="22">
        <f t="shared" si="0"/>
        <v>4</v>
      </c>
      <c r="T6" s="41">
        <v>43945</v>
      </c>
      <c r="U6" s="44">
        <v>43934</v>
      </c>
      <c r="V6" s="44">
        <v>43945</v>
      </c>
      <c r="W6" s="46" t="s">
        <v>576</v>
      </c>
      <c r="X6" s="46">
        <v>4</v>
      </c>
      <c r="Y6" s="46" t="s">
        <v>636</v>
      </c>
      <c r="Z6" s="22"/>
      <c r="AA6" s="22"/>
      <c r="AB6" s="22"/>
      <c r="AC6" s="58">
        <v>45869</v>
      </c>
      <c r="AD6" s="22" t="s">
        <v>18662</v>
      </c>
      <c r="AE6" s="22">
        <v>4</v>
      </c>
      <c r="AF6" s="48">
        <f t="shared" si="1"/>
        <v>0</v>
      </c>
      <c r="AG6" s="48">
        <f t="shared" si="2"/>
        <v>0</v>
      </c>
      <c r="AH6" s="48">
        <f t="shared" si="3"/>
        <v>0</v>
      </c>
      <c r="AI6" s="40" t="s">
        <v>33</v>
      </c>
      <c r="AJ6" s="40">
        <v>45218</v>
      </c>
      <c r="AK6" s="40"/>
      <c r="AL6" s="146"/>
      <c r="AM6" s="136"/>
      <c r="AN6" s="136"/>
      <c r="AO6" s="136"/>
    </row>
    <row r="7" spans="1:46" ht="17.399999999999999">
      <c r="A7" s="22" t="s">
        <v>116</v>
      </c>
      <c r="B7" s="22" t="s">
        <v>94</v>
      </c>
      <c r="C7" s="56">
        <v>43921</v>
      </c>
      <c r="D7" s="56">
        <v>43917</v>
      </c>
      <c r="E7" s="22" t="s">
        <v>117</v>
      </c>
      <c r="F7" s="22">
        <v>20</v>
      </c>
      <c r="G7" s="22" t="s">
        <v>33</v>
      </c>
      <c r="H7" s="22" t="s">
        <v>118</v>
      </c>
      <c r="I7" s="49" t="s">
        <v>119</v>
      </c>
      <c r="J7" s="50" t="s">
        <v>120</v>
      </c>
      <c r="K7" s="22" t="s">
        <v>106</v>
      </c>
      <c r="L7" s="22" t="s">
        <v>60</v>
      </c>
      <c r="M7" s="22">
        <v>2</v>
      </c>
      <c r="N7" s="22" t="s">
        <v>121</v>
      </c>
      <c r="O7" s="22"/>
      <c r="P7" s="46" t="s">
        <v>685</v>
      </c>
      <c r="Q7" s="40"/>
      <c r="R7" s="41"/>
      <c r="S7" s="22">
        <f t="shared" si="0"/>
        <v>2</v>
      </c>
      <c r="T7" s="41">
        <v>43945</v>
      </c>
      <c r="U7" s="44" t="s">
        <v>571</v>
      </c>
      <c r="V7" s="44" t="s">
        <v>571</v>
      </c>
      <c r="W7" s="46" t="s">
        <v>571</v>
      </c>
      <c r="X7" s="46">
        <v>2</v>
      </c>
      <c r="Y7" s="46" t="s">
        <v>571</v>
      </c>
      <c r="AA7" s="22"/>
      <c r="AB7" s="22"/>
      <c r="AC7" s="58">
        <v>45869</v>
      </c>
      <c r="AD7" s="22" t="s">
        <v>18662</v>
      </c>
      <c r="AE7" s="22">
        <v>2</v>
      </c>
      <c r="AF7" s="48">
        <f t="shared" si="1"/>
        <v>0</v>
      </c>
      <c r="AG7" s="48">
        <f t="shared" si="2"/>
        <v>0</v>
      </c>
      <c r="AH7" s="48">
        <f t="shared" si="3"/>
        <v>0</v>
      </c>
      <c r="AI7" s="40" t="s">
        <v>33</v>
      </c>
      <c r="AJ7" s="40">
        <v>45211</v>
      </c>
      <c r="AK7" s="40"/>
      <c r="AL7" s="146"/>
      <c r="AM7" s="136"/>
      <c r="AN7" s="136"/>
      <c r="AO7" s="136"/>
    </row>
    <row r="8" spans="1:46" ht="17.399999999999999">
      <c r="A8" s="22" t="s">
        <v>122</v>
      </c>
      <c r="B8" s="22" t="s">
        <v>94</v>
      </c>
      <c r="C8" s="56" t="s">
        <v>123</v>
      </c>
      <c r="D8" s="56" t="s">
        <v>124</v>
      </c>
      <c r="E8" s="22" t="s">
        <v>125</v>
      </c>
      <c r="F8" s="22" t="s">
        <v>33</v>
      </c>
      <c r="G8" s="22" t="s">
        <v>33</v>
      </c>
      <c r="H8" s="22" t="s">
        <v>103</v>
      </c>
      <c r="I8" s="49" t="s">
        <v>104</v>
      </c>
      <c r="J8" s="50" t="s">
        <v>105</v>
      </c>
      <c r="K8" s="22" t="s">
        <v>106</v>
      </c>
      <c r="L8" s="22" t="s">
        <v>60</v>
      </c>
      <c r="M8" s="22">
        <v>16</v>
      </c>
      <c r="N8" s="22" t="s">
        <v>126</v>
      </c>
      <c r="O8" s="22"/>
      <c r="P8" s="46" t="s">
        <v>685</v>
      </c>
      <c r="Q8" s="40"/>
      <c r="R8" s="41"/>
      <c r="S8" s="22">
        <f t="shared" si="0"/>
        <v>16</v>
      </c>
      <c r="T8" s="41">
        <v>43966</v>
      </c>
      <c r="U8" s="44">
        <v>43957</v>
      </c>
      <c r="V8" s="44">
        <v>43966</v>
      </c>
      <c r="W8" s="46" t="s">
        <v>577</v>
      </c>
      <c r="X8" s="46">
        <v>16</v>
      </c>
      <c r="Y8" s="46" t="s">
        <v>637</v>
      </c>
      <c r="Z8" s="22"/>
      <c r="AA8" s="22"/>
      <c r="AB8" s="22"/>
      <c r="AC8" s="58">
        <v>45869</v>
      </c>
      <c r="AD8" s="22" t="s">
        <v>18662</v>
      </c>
      <c r="AE8" s="22">
        <v>16</v>
      </c>
      <c r="AF8" s="48">
        <f t="shared" si="1"/>
        <v>0</v>
      </c>
      <c r="AG8" s="48">
        <f t="shared" si="2"/>
        <v>0</v>
      </c>
      <c r="AH8" s="48">
        <f t="shared" si="3"/>
        <v>0</v>
      </c>
      <c r="AI8" s="40" t="s">
        <v>33</v>
      </c>
      <c r="AJ8" s="40">
        <v>45222</v>
      </c>
      <c r="AK8" s="40"/>
      <c r="AL8" s="146"/>
      <c r="AM8" s="136"/>
      <c r="AN8" s="136"/>
      <c r="AO8" s="136"/>
    </row>
    <row r="9" spans="1:46" ht="17.399999999999999">
      <c r="A9" s="22" t="s">
        <v>18050</v>
      </c>
      <c r="B9" s="22" t="s">
        <v>94</v>
      </c>
      <c r="C9" s="56">
        <v>43943</v>
      </c>
      <c r="D9" s="56">
        <v>43867</v>
      </c>
      <c r="E9" s="22" t="s">
        <v>18051</v>
      </c>
      <c r="F9" s="22" t="s">
        <v>33</v>
      </c>
      <c r="G9" s="22" t="s">
        <v>33</v>
      </c>
      <c r="H9" s="22" t="s">
        <v>5114</v>
      </c>
      <c r="I9" s="49" t="s">
        <v>174</v>
      </c>
      <c r="J9" s="50" t="s">
        <v>5115</v>
      </c>
      <c r="K9" s="22" t="s">
        <v>215</v>
      </c>
      <c r="L9" s="22" t="s">
        <v>60</v>
      </c>
      <c r="M9" s="22">
        <v>1</v>
      </c>
      <c r="N9" s="22" t="s">
        <v>18052</v>
      </c>
      <c r="O9" s="22"/>
      <c r="P9" s="46" t="s">
        <v>683</v>
      </c>
      <c r="Q9" s="40"/>
      <c r="R9" s="41"/>
      <c r="S9" s="22">
        <f t="shared" si="0"/>
        <v>1</v>
      </c>
      <c r="T9" s="41">
        <v>44036</v>
      </c>
      <c r="U9" s="44">
        <v>44032</v>
      </c>
      <c r="V9" s="44">
        <v>44036</v>
      </c>
      <c r="W9" s="46" t="s">
        <v>18053</v>
      </c>
      <c r="X9" s="46">
        <v>1</v>
      </c>
      <c r="Y9" s="46" t="s">
        <v>18054</v>
      </c>
      <c r="Z9" s="22"/>
      <c r="AA9" s="22"/>
      <c r="AB9" s="22"/>
      <c r="AC9" s="22"/>
      <c r="AD9" s="22"/>
      <c r="AE9" s="22"/>
      <c r="AF9" s="48">
        <f t="shared" si="1"/>
        <v>0</v>
      </c>
      <c r="AG9" s="48">
        <f t="shared" si="2"/>
        <v>1</v>
      </c>
      <c r="AH9" s="48">
        <f t="shared" si="3"/>
        <v>1</v>
      </c>
      <c r="AI9" s="40" t="s">
        <v>33</v>
      </c>
      <c r="AJ9" s="40" t="s">
        <v>33</v>
      </c>
      <c r="AK9" s="40"/>
      <c r="AL9" s="22"/>
      <c r="AM9" s="136"/>
      <c r="AN9" s="136"/>
      <c r="AO9" s="136"/>
    </row>
    <row r="10" spans="1:46" ht="17.399999999999999">
      <c r="A10" s="22" t="s">
        <v>341</v>
      </c>
      <c r="B10" s="22" t="s">
        <v>94</v>
      </c>
      <c r="C10" s="56" t="s">
        <v>342</v>
      </c>
      <c r="D10" s="56" t="s">
        <v>33</v>
      </c>
      <c r="E10" s="22" t="s">
        <v>33</v>
      </c>
      <c r="F10" s="22" t="s">
        <v>33</v>
      </c>
      <c r="G10" s="22" t="s">
        <v>67</v>
      </c>
      <c r="H10" s="22" t="s">
        <v>343</v>
      </c>
      <c r="I10" s="49" t="s">
        <v>344</v>
      </c>
      <c r="J10" s="50" t="s">
        <v>345</v>
      </c>
      <c r="K10" s="22" t="s">
        <v>346</v>
      </c>
      <c r="L10" s="22" t="s">
        <v>60</v>
      </c>
      <c r="M10" s="22">
        <v>97</v>
      </c>
      <c r="N10" s="22" t="s">
        <v>347</v>
      </c>
      <c r="O10" s="22"/>
      <c r="P10" s="46" t="s">
        <v>681</v>
      </c>
      <c r="Q10" s="40"/>
      <c r="R10" s="41"/>
      <c r="S10" s="22">
        <f t="shared" si="0"/>
        <v>97</v>
      </c>
      <c r="T10" s="41">
        <v>44239</v>
      </c>
      <c r="U10" s="44">
        <v>44231</v>
      </c>
      <c r="V10" s="44">
        <v>44239</v>
      </c>
      <c r="W10" s="46" t="s">
        <v>599</v>
      </c>
      <c r="X10" s="46">
        <v>97</v>
      </c>
      <c r="Y10" s="46" t="s">
        <v>638</v>
      </c>
      <c r="Z10" s="22"/>
      <c r="AA10" s="22"/>
      <c r="AB10" s="22"/>
      <c r="AC10" s="22"/>
      <c r="AD10" s="22"/>
      <c r="AE10" s="22"/>
      <c r="AF10" s="48">
        <f t="shared" si="1"/>
        <v>0</v>
      </c>
      <c r="AG10" s="48">
        <f t="shared" si="2"/>
        <v>97</v>
      </c>
      <c r="AH10" s="48">
        <f t="shared" si="3"/>
        <v>97</v>
      </c>
      <c r="AI10" s="40" t="s">
        <v>33</v>
      </c>
      <c r="AJ10" s="40" t="s">
        <v>33</v>
      </c>
      <c r="AK10" s="40"/>
      <c r="AL10" s="22"/>
      <c r="AM10" s="136"/>
      <c r="AN10" s="136"/>
      <c r="AO10" s="136"/>
    </row>
    <row r="11" spans="1:46" ht="17.399999999999999">
      <c r="A11" s="22" t="s">
        <v>127</v>
      </c>
      <c r="B11" s="22" t="s">
        <v>94</v>
      </c>
      <c r="C11" s="56">
        <v>44141</v>
      </c>
      <c r="D11" s="56">
        <v>43990</v>
      </c>
      <c r="E11" s="22" t="s">
        <v>128</v>
      </c>
      <c r="F11" s="22" t="s">
        <v>33</v>
      </c>
      <c r="G11" s="22" t="s">
        <v>33</v>
      </c>
      <c r="H11" s="22" t="s">
        <v>103</v>
      </c>
      <c r="I11" s="49" t="s">
        <v>104</v>
      </c>
      <c r="J11" s="50" t="s">
        <v>105</v>
      </c>
      <c r="K11" s="22" t="s">
        <v>106</v>
      </c>
      <c r="L11" s="22" t="s">
        <v>60</v>
      </c>
      <c r="M11" s="22">
        <v>2</v>
      </c>
      <c r="N11" s="22" t="s">
        <v>129</v>
      </c>
      <c r="O11" s="22"/>
      <c r="P11" s="46" t="s">
        <v>685</v>
      </c>
      <c r="Q11" s="40"/>
      <c r="R11" s="41"/>
      <c r="S11" s="22">
        <f t="shared" si="0"/>
        <v>2</v>
      </c>
      <c r="T11" s="41">
        <v>44211</v>
      </c>
      <c r="U11" s="44">
        <v>44204</v>
      </c>
      <c r="V11" s="44">
        <v>44211</v>
      </c>
      <c r="W11" s="46" t="s">
        <v>578</v>
      </c>
      <c r="X11" s="46">
        <v>2</v>
      </c>
      <c r="Y11" s="46" t="s">
        <v>639</v>
      </c>
      <c r="Z11" s="22"/>
      <c r="AA11" s="22"/>
      <c r="AB11" s="22"/>
      <c r="AC11" s="58">
        <v>45869</v>
      </c>
      <c r="AD11" s="22" t="s">
        <v>18662</v>
      </c>
      <c r="AE11" s="22">
        <v>2</v>
      </c>
      <c r="AF11" s="48">
        <f t="shared" si="1"/>
        <v>0</v>
      </c>
      <c r="AG11" s="48">
        <f t="shared" si="2"/>
        <v>0</v>
      </c>
      <c r="AH11" s="48">
        <f t="shared" si="3"/>
        <v>0</v>
      </c>
      <c r="AI11" s="40" t="s">
        <v>33</v>
      </c>
      <c r="AJ11" s="40">
        <v>45401</v>
      </c>
      <c r="AK11" s="40"/>
      <c r="AL11" s="146"/>
      <c r="AM11" s="136"/>
      <c r="AN11" s="136"/>
      <c r="AO11" s="136"/>
    </row>
    <row r="12" spans="1:46" ht="17.399999999999999">
      <c r="A12" s="22" t="s">
        <v>130</v>
      </c>
      <c r="B12" s="22" t="s">
        <v>131</v>
      </c>
      <c r="C12" s="56">
        <v>44152</v>
      </c>
      <c r="D12" s="56">
        <v>43990</v>
      </c>
      <c r="E12" s="22" t="s">
        <v>128</v>
      </c>
      <c r="F12" s="22">
        <v>900</v>
      </c>
      <c r="G12" s="22" t="s">
        <v>33</v>
      </c>
      <c r="H12" s="22" t="s">
        <v>103</v>
      </c>
      <c r="I12" s="49" t="s">
        <v>104</v>
      </c>
      <c r="J12" s="50" t="s">
        <v>105</v>
      </c>
      <c r="K12" s="22" t="s">
        <v>106</v>
      </c>
      <c r="L12" s="22" t="s">
        <v>60</v>
      </c>
      <c r="M12" s="22">
        <v>1</v>
      </c>
      <c r="N12" s="22" t="s">
        <v>132</v>
      </c>
      <c r="O12" s="22"/>
      <c r="P12" s="46" t="s">
        <v>685</v>
      </c>
      <c r="Q12" s="40"/>
      <c r="R12" s="41"/>
      <c r="S12" s="22">
        <f t="shared" si="0"/>
        <v>1</v>
      </c>
      <c r="T12" s="41">
        <v>44222</v>
      </c>
      <c r="U12" s="44">
        <v>44215</v>
      </c>
      <c r="V12" s="44">
        <v>44222</v>
      </c>
      <c r="W12" s="46" t="s">
        <v>579</v>
      </c>
      <c r="X12" s="46">
        <v>1</v>
      </c>
      <c r="Y12" s="46" t="s">
        <v>640</v>
      </c>
      <c r="Z12" s="22"/>
      <c r="AA12" s="22"/>
      <c r="AB12" s="22"/>
      <c r="AC12" s="58">
        <v>45869</v>
      </c>
      <c r="AD12" s="22" t="s">
        <v>18662</v>
      </c>
      <c r="AE12" s="22">
        <v>1</v>
      </c>
      <c r="AF12" s="48">
        <f t="shared" si="1"/>
        <v>0</v>
      </c>
      <c r="AG12" s="48">
        <f t="shared" si="2"/>
        <v>0</v>
      </c>
      <c r="AH12" s="48">
        <f t="shared" si="3"/>
        <v>0</v>
      </c>
      <c r="AI12" s="40" t="s">
        <v>33</v>
      </c>
      <c r="AJ12" s="40">
        <v>45223</v>
      </c>
      <c r="AK12" s="40"/>
      <c r="AL12" s="146"/>
      <c r="AM12" s="136"/>
      <c r="AN12" s="136"/>
      <c r="AO12" s="136"/>
    </row>
    <row r="13" spans="1:46" ht="17.399999999999999">
      <c r="A13" s="22" t="s">
        <v>133</v>
      </c>
      <c r="B13" s="22" t="s">
        <v>131</v>
      </c>
      <c r="C13" s="56" t="s">
        <v>134</v>
      </c>
      <c r="D13" s="56">
        <v>44029</v>
      </c>
      <c r="E13" s="22" t="s">
        <v>135</v>
      </c>
      <c r="F13" s="22">
        <v>900</v>
      </c>
      <c r="G13" s="22" t="s">
        <v>33</v>
      </c>
      <c r="H13" s="22" t="s">
        <v>103</v>
      </c>
      <c r="I13" s="49" t="s">
        <v>104</v>
      </c>
      <c r="J13" s="50" t="s">
        <v>105</v>
      </c>
      <c r="K13" s="22" t="s">
        <v>106</v>
      </c>
      <c r="L13" s="22" t="s">
        <v>60</v>
      </c>
      <c r="M13" s="22">
        <v>4</v>
      </c>
      <c r="N13" s="22" t="s">
        <v>136</v>
      </c>
      <c r="O13" s="22"/>
      <c r="P13" s="46" t="s">
        <v>685</v>
      </c>
      <c r="Q13" s="40"/>
      <c r="R13" s="41"/>
      <c r="S13" s="22">
        <f t="shared" si="0"/>
        <v>4</v>
      </c>
      <c r="T13" s="41">
        <v>44246</v>
      </c>
      <c r="U13" s="44">
        <v>44242</v>
      </c>
      <c r="V13" s="44">
        <v>44246</v>
      </c>
      <c r="W13" s="46"/>
      <c r="X13" s="46">
        <v>4</v>
      </c>
      <c r="Y13" s="46" t="s">
        <v>641</v>
      </c>
      <c r="Z13" s="22"/>
      <c r="AA13" s="22"/>
      <c r="AB13" s="22"/>
      <c r="AC13" s="58">
        <v>45869</v>
      </c>
      <c r="AD13" s="22" t="s">
        <v>18662</v>
      </c>
      <c r="AE13" s="22">
        <v>4</v>
      </c>
      <c r="AF13" s="48">
        <f t="shared" si="1"/>
        <v>0</v>
      </c>
      <c r="AG13" s="48">
        <f t="shared" si="2"/>
        <v>0</v>
      </c>
      <c r="AH13" s="48">
        <f t="shared" si="3"/>
        <v>0</v>
      </c>
      <c r="AI13" s="40" t="s">
        <v>33</v>
      </c>
      <c r="AJ13" s="40">
        <v>45833</v>
      </c>
      <c r="AK13" s="40"/>
      <c r="AL13" s="146"/>
      <c r="AM13" s="136"/>
      <c r="AN13" s="136"/>
      <c r="AO13" s="136"/>
    </row>
    <row r="14" spans="1:46" ht="17.399999999999999">
      <c r="A14" s="22" t="s">
        <v>137</v>
      </c>
      <c r="B14" s="22" t="s">
        <v>138</v>
      </c>
      <c r="C14" s="56" t="s">
        <v>139</v>
      </c>
      <c r="D14" s="56" t="s">
        <v>140</v>
      </c>
      <c r="E14" s="22" t="s">
        <v>141</v>
      </c>
      <c r="F14" s="22">
        <v>2600</v>
      </c>
      <c r="G14" s="22" t="s">
        <v>33</v>
      </c>
      <c r="H14" s="22" t="s">
        <v>103</v>
      </c>
      <c r="I14" s="49" t="s">
        <v>104</v>
      </c>
      <c r="J14" s="50" t="s">
        <v>105</v>
      </c>
      <c r="K14" s="22" t="s">
        <v>106</v>
      </c>
      <c r="L14" s="22" t="s">
        <v>60</v>
      </c>
      <c r="M14" s="22">
        <v>53</v>
      </c>
      <c r="N14" s="22" t="s">
        <v>142</v>
      </c>
      <c r="O14" s="22"/>
      <c r="P14" s="46" t="s">
        <v>685</v>
      </c>
      <c r="Q14" s="40"/>
      <c r="R14" s="41"/>
      <c r="S14" s="22">
        <f t="shared" si="0"/>
        <v>53</v>
      </c>
      <c r="T14" s="41">
        <v>44267</v>
      </c>
      <c r="U14" s="44">
        <v>44263</v>
      </c>
      <c r="V14" s="44">
        <v>44267</v>
      </c>
      <c r="W14" s="46" t="s">
        <v>580</v>
      </c>
      <c r="X14" s="46">
        <v>53</v>
      </c>
      <c r="Y14" s="46" t="s">
        <v>642</v>
      </c>
      <c r="Z14" s="22"/>
      <c r="AA14" s="22"/>
      <c r="AB14" s="22"/>
      <c r="AC14" s="58">
        <v>45869</v>
      </c>
      <c r="AD14" s="22" t="s">
        <v>18662</v>
      </c>
      <c r="AE14" s="22">
        <v>53</v>
      </c>
      <c r="AF14" s="48">
        <f t="shared" si="1"/>
        <v>0</v>
      </c>
      <c r="AG14" s="48">
        <f t="shared" si="2"/>
        <v>0</v>
      </c>
      <c r="AH14" s="48">
        <f t="shared" si="3"/>
        <v>0</v>
      </c>
      <c r="AI14" s="40" t="s">
        <v>33</v>
      </c>
      <c r="AJ14" s="40">
        <v>45226</v>
      </c>
      <c r="AK14" s="40"/>
      <c r="AL14" s="146"/>
      <c r="AM14" s="136"/>
      <c r="AN14" s="136"/>
      <c r="AO14" s="136"/>
    </row>
    <row r="15" spans="1:46" ht="17.399999999999999">
      <c r="A15" s="22" t="s">
        <v>143</v>
      </c>
      <c r="B15" s="22" t="s">
        <v>138</v>
      </c>
      <c r="C15" s="56" t="s">
        <v>144</v>
      </c>
      <c r="D15" s="56" t="s">
        <v>145</v>
      </c>
      <c r="E15" s="22" t="s">
        <v>146</v>
      </c>
      <c r="F15" s="22">
        <v>1400</v>
      </c>
      <c r="G15" s="22" t="s">
        <v>33</v>
      </c>
      <c r="H15" s="22" t="s">
        <v>103</v>
      </c>
      <c r="I15" s="49" t="s">
        <v>104</v>
      </c>
      <c r="J15" s="50" t="s">
        <v>105</v>
      </c>
      <c r="K15" s="22" t="s">
        <v>106</v>
      </c>
      <c r="L15" s="22" t="s">
        <v>60</v>
      </c>
      <c r="M15" s="22">
        <v>10</v>
      </c>
      <c r="N15" s="22" t="s">
        <v>147</v>
      </c>
      <c r="O15" s="22"/>
      <c r="P15" s="46" t="s">
        <v>685</v>
      </c>
      <c r="Q15" s="40"/>
      <c r="R15" s="41"/>
      <c r="S15" s="22">
        <f t="shared" si="0"/>
        <v>10</v>
      </c>
      <c r="T15" s="41">
        <v>44267</v>
      </c>
      <c r="U15" s="44">
        <v>44263</v>
      </c>
      <c r="V15" s="44">
        <v>44267</v>
      </c>
      <c r="W15" s="46" t="s">
        <v>580</v>
      </c>
      <c r="X15" s="46">
        <v>10</v>
      </c>
      <c r="Y15" s="46" t="s">
        <v>642</v>
      </c>
      <c r="Z15" s="22"/>
      <c r="AA15" s="22"/>
      <c r="AB15" s="22"/>
      <c r="AC15" s="58">
        <v>45869</v>
      </c>
      <c r="AD15" s="22" t="s">
        <v>18662</v>
      </c>
      <c r="AE15" s="22">
        <v>10</v>
      </c>
      <c r="AF15" s="48">
        <f t="shared" si="1"/>
        <v>0</v>
      </c>
      <c r="AG15" s="48">
        <f t="shared" si="2"/>
        <v>0</v>
      </c>
      <c r="AH15" s="48">
        <f t="shared" si="3"/>
        <v>0</v>
      </c>
      <c r="AI15" s="40" t="s">
        <v>33</v>
      </c>
      <c r="AJ15" s="40">
        <v>45226</v>
      </c>
      <c r="AK15" s="40"/>
      <c r="AL15" s="146"/>
      <c r="AM15" s="136"/>
      <c r="AN15" s="136"/>
      <c r="AO15" s="136"/>
    </row>
    <row r="16" spans="1:46" ht="17.399999999999999">
      <c r="A16" s="22" t="s">
        <v>148</v>
      </c>
      <c r="B16" s="22" t="s">
        <v>138</v>
      </c>
      <c r="C16" s="56" t="s">
        <v>149</v>
      </c>
      <c r="D16" s="56" t="s">
        <v>150</v>
      </c>
      <c r="E16" s="22" t="s">
        <v>151</v>
      </c>
      <c r="F16" s="22" t="s">
        <v>33</v>
      </c>
      <c r="G16" s="22" t="s">
        <v>33</v>
      </c>
      <c r="H16" s="22" t="s">
        <v>103</v>
      </c>
      <c r="I16" s="49" t="s">
        <v>104</v>
      </c>
      <c r="J16" s="50" t="s">
        <v>105</v>
      </c>
      <c r="K16" s="22" t="s">
        <v>106</v>
      </c>
      <c r="L16" s="22" t="s">
        <v>60</v>
      </c>
      <c r="M16" s="22">
        <v>10</v>
      </c>
      <c r="N16" s="22" t="s">
        <v>152</v>
      </c>
      <c r="O16" s="22"/>
      <c r="P16" s="46" t="s">
        <v>685</v>
      </c>
      <c r="Q16" s="40"/>
      <c r="R16" s="41"/>
      <c r="S16" s="22">
        <f t="shared" si="0"/>
        <v>10</v>
      </c>
      <c r="T16" s="41">
        <v>44288</v>
      </c>
      <c r="U16" s="44">
        <v>44284</v>
      </c>
      <c r="V16" s="44">
        <v>44288</v>
      </c>
      <c r="W16" s="46" t="s">
        <v>581</v>
      </c>
      <c r="X16" s="46">
        <v>10</v>
      </c>
      <c r="Y16" s="46" t="s">
        <v>643</v>
      </c>
      <c r="Z16" s="22"/>
      <c r="AA16" s="22"/>
      <c r="AB16" s="22"/>
      <c r="AC16" s="58">
        <v>45869</v>
      </c>
      <c r="AD16" s="22" t="s">
        <v>18662</v>
      </c>
      <c r="AE16" s="22">
        <v>10</v>
      </c>
      <c r="AF16" s="48">
        <f t="shared" si="1"/>
        <v>0</v>
      </c>
      <c r="AG16" s="48">
        <f t="shared" si="2"/>
        <v>0</v>
      </c>
      <c r="AH16" s="48">
        <f t="shared" si="3"/>
        <v>0</v>
      </c>
      <c r="AI16" s="40" t="s">
        <v>33</v>
      </c>
      <c r="AJ16" s="40">
        <v>45229</v>
      </c>
      <c r="AK16" s="40"/>
      <c r="AL16" s="146"/>
      <c r="AM16" s="136"/>
      <c r="AN16" s="136"/>
      <c r="AO16" s="136"/>
    </row>
    <row r="17" spans="1:41" ht="17.399999999999999">
      <c r="A17" s="22" t="s">
        <v>18781</v>
      </c>
      <c r="B17" s="22" t="s">
        <v>138</v>
      </c>
      <c r="C17" s="56" t="s">
        <v>18782</v>
      </c>
      <c r="D17" s="56" t="s">
        <v>33</v>
      </c>
      <c r="E17" s="22" t="s">
        <v>33</v>
      </c>
      <c r="F17" s="22" t="s">
        <v>33</v>
      </c>
      <c r="G17" s="22" t="s">
        <v>67</v>
      </c>
      <c r="H17" s="22" t="s">
        <v>348</v>
      </c>
      <c r="I17" s="49" t="s">
        <v>349</v>
      </c>
      <c r="J17" s="50" t="s">
        <v>350</v>
      </c>
      <c r="K17" s="22" t="s">
        <v>18783</v>
      </c>
      <c r="L17" s="22" t="s">
        <v>60</v>
      </c>
      <c r="M17" s="22">
        <v>112</v>
      </c>
      <c r="N17" s="22" t="s">
        <v>18784</v>
      </c>
      <c r="O17" s="22"/>
      <c r="P17" s="46" t="s">
        <v>18088</v>
      </c>
      <c r="Q17" s="40"/>
      <c r="R17" s="41"/>
      <c r="S17" s="22">
        <f t="shared" si="0"/>
        <v>112</v>
      </c>
      <c r="T17" s="41">
        <v>44295</v>
      </c>
      <c r="U17" s="44">
        <v>44292</v>
      </c>
      <c r="V17" s="44">
        <v>44295</v>
      </c>
      <c r="W17" s="46" t="s">
        <v>18785</v>
      </c>
      <c r="X17" s="46">
        <v>112</v>
      </c>
      <c r="Y17" s="46" t="s">
        <v>18786</v>
      </c>
      <c r="Z17" s="22"/>
      <c r="AA17" s="22"/>
      <c r="AB17" s="22"/>
      <c r="AC17" s="58"/>
      <c r="AD17" s="22"/>
      <c r="AE17" s="22"/>
      <c r="AF17" s="48">
        <f t="shared" si="1"/>
        <v>0</v>
      </c>
      <c r="AG17" s="48">
        <f t="shared" si="2"/>
        <v>112</v>
      </c>
      <c r="AH17" s="48">
        <f t="shared" si="3"/>
        <v>112</v>
      </c>
      <c r="AI17" s="40" t="s">
        <v>33</v>
      </c>
      <c r="AJ17" s="40" t="s">
        <v>33</v>
      </c>
      <c r="AK17" s="40"/>
      <c r="AL17" s="146"/>
      <c r="AM17" s="136"/>
      <c r="AN17" s="136"/>
      <c r="AO17" s="136"/>
    </row>
    <row r="18" spans="1:41" ht="17.399999999999999">
      <c r="A18" s="22" t="s">
        <v>153</v>
      </c>
      <c r="B18" s="22" t="s">
        <v>138</v>
      </c>
      <c r="C18" s="56" t="s">
        <v>154</v>
      </c>
      <c r="D18" s="56" t="s">
        <v>155</v>
      </c>
      <c r="E18" s="22" t="s">
        <v>156</v>
      </c>
      <c r="F18" s="22">
        <v>2400</v>
      </c>
      <c r="G18" s="22" t="s">
        <v>33</v>
      </c>
      <c r="H18" s="22" t="s">
        <v>103</v>
      </c>
      <c r="I18" s="49" t="s">
        <v>104</v>
      </c>
      <c r="J18" s="50" t="s">
        <v>105</v>
      </c>
      <c r="K18" s="22" t="s">
        <v>106</v>
      </c>
      <c r="L18" s="22" t="s">
        <v>60</v>
      </c>
      <c r="M18" s="22">
        <v>4</v>
      </c>
      <c r="N18" s="22" t="s">
        <v>157</v>
      </c>
      <c r="O18" s="22"/>
      <c r="P18" s="46" t="s">
        <v>685</v>
      </c>
      <c r="Q18" s="40"/>
      <c r="R18" s="41"/>
      <c r="S18" s="22">
        <f t="shared" si="0"/>
        <v>4</v>
      </c>
      <c r="T18" s="41">
        <v>44327</v>
      </c>
      <c r="U18" s="44">
        <v>44322</v>
      </c>
      <c r="V18" s="44">
        <v>44327</v>
      </c>
      <c r="W18" s="46" t="s">
        <v>582</v>
      </c>
      <c r="X18" s="46">
        <v>4</v>
      </c>
      <c r="Y18" s="46" t="s">
        <v>644</v>
      </c>
      <c r="Z18" s="22"/>
      <c r="AA18" s="22"/>
      <c r="AB18" s="22"/>
      <c r="AC18" s="58">
        <v>45869</v>
      </c>
      <c r="AD18" s="22" t="s">
        <v>18662</v>
      </c>
      <c r="AE18" s="22">
        <v>4</v>
      </c>
      <c r="AF18" s="48">
        <f t="shared" si="1"/>
        <v>0</v>
      </c>
      <c r="AG18" s="48">
        <f t="shared" si="2"/>
        <v>0</v>
      </c>
      <c r="AH18" s="48">
        <f t="shared" si="3"/>
        <v>0</v>
      </c>
      <c r="AI18" s="40" t="s">
        <v>33</v>
      </c>
      <c r="AJ18" s="40">
        <v>45231</v>
      </c>
      <c r="AK18" s="40"/>
      <c r="AL18" s="146"/>
      <c r="AM18" s="136"/>
      <c r="AN18" s="136"/>
      <c r="AO18" s="136"/>
    </row>
    <row r="19" spans="1:41" ht="17.399999999999999">
      <c r="A19" s="22" t="s">
        <v>158</v>
      </c>
      <c r="B19" s="22" t="s">
        <v>138</v>
      </c>
      <c r="C19" s="56" t="s">
        <v>159</v>
      </c>
      <c r="D19" s="56">
        <v>44204</v>
      </c>
      <c r="E19" s="22" t="s">
        <v>160</v>
      </c>
      <c r="F19" s="22">
        <v>500</v>
      </c>
      <c r="G19" s="22" t="s">
        <v>33</v>
      </c>
      <c r="H19" s="22" t="s">
        <v>103</v>
      </c>
      <c r="I19" s="49" t="s">
        <v>104</v>
      </c>
      <c r="J19" s="50" t="s">
        <v>105</v>
      </c>
      <c r="K19" s="22" t="s">
        <v>106</v>
      </c>
      <c r="L19" s="22" t="s">
        <v>60</v>
      </c>
      <c r="M19" s="22">
        <v>10</v>
      </c>
      <c r="N19" s="22" t="s">
        <v>147</v>
      </c>
      <c r="O19" s="22"/>
      <c r="P19" s="46" t="s">
        <v>685</v>
      </c>
      <c r="Q19" s="40"/>
      <c r="R19" s="41"/>
      <c r="S19" s="22">
        <f t="shared" si="0"/>
        <v>10</v>
      </c>
      <c r="T19" s="41">
        <v>44327</v>
      </c>
      <c r="U19" s="44">
        <v>44322</v>
      </c>
      <c r="V19" s="44">
        <v>44327</v>
      </c>
      <c r="W19" s="46" t="s">
        <v>582</v>
      </c>
      <c r="X19" s="46">
        <v>10</v>
      </c>
      <c r="Y19" s="46" t="s">
        <v>644</v>
      </c>
      <c r="Z19" s="22"/>
      <c r="AA19" s="22"/>
      <c r="AB19" s="22"/>
      <c r="AC19" s="58">
        <v>45869</v>
      </c>
      <c r="AD19" s="22" t="s">
        <v>18662</v>
      </c>
      <c r="AE19" s="22">
        <v>10</v>
      </c>
      <c r="AF19" s="48">
        <f t="shared" si="1"/>
        <v>0</v>
      </c>
      <c r="AG19" s="48">
        <f t="shared" si="2"/>
        <v>0</v>
      </c>
      <c r="AH19" s="48">
        <f t="shared" si="3"/>
        <v>0</v>
      </c>
      <c r="AI19" s="40" t="s">
        <v>33</v>
      </c>
      <c r="AJ19" s="40">
        <v>45231</v>
      </c>
      <c r="AK19" s="40"/>
      <c r="AL19" s="146"/>
      <c r="AM19" s="136"/>
      <c r="AN19" s="136"/>
      <c r="AO19" s="136"/>
    </row>
    <row r="20" spans="1:41" ht="17.399999999999999">
      <c r="A20" s="22" t="s">
        <v>161</v>
      </c>
      <c r="B20" s="22" t="s">
        <v>138</v>
      </c>
      <c r="C20" s="56" t="s">
        <v>162</v>
      </c>
      <c r="D20" s="56" t="s">
        <v>163</v>
      </c>
      <c r="E20" s="22" t="s">
        <v>164</v>
      </c>
      <c r="F20" s="22" t="s">
        <v>33</v>
      </c>
      <c r="G20" s="22" t="s">
        <v>33</v>
      </c>
      <c r="H20" s="22" t="s">
        <v>103</v>
      </c>
      <c r="I20" s="49" t="s">
        <v>104</v>
      </c>
      <c r="J20" s="50" t="s">
        <v>105</v>
      </c>
      <c r="K20" s="22" t="s">
        <v>106</v>
      </c>
      <c r="L20" s="22" t="s">
        <v>60</v>
      </c>
      <c r="M20" s="22">
        <v>6</v>
      </c>
      <c r="N20" s="22" t="s">
        <v>165</v>
      </c>
      <c r="O20" s="22"/>
      <c r="P20" s="46" t="s">
        <v>685</v>
      </c>
      <c r="Q20" s="40"/>
      <c r="R20" s="41"/>
      <c r="S20" s="22">
        <f t="shared" si="0"/>
        <v>6</v>
      </c>
      <c r="T20" s="41">
        <v>44358</v>
      </c>
      <c r="U20" s="44">
        <v>44356</v>
      </c>
      <c r="V20" s="44">
        <v>44358</v>
      </c>
      <c r="W20" s="46" t="s">
        <v>583</v>
      </c>
      <c r="X20" s="46">
        <v>6</v>
      </c>
      <c r="Y20" s="46" t="s">
        <v>645</v>
      </c>
      <c r="Z20" s="22"/>
      <c r="AA20" s="22"/>
      <c r="AB20" s="22"/>
      <c r="AC20" s="58">
        <v>45869</v>
      </c>
      <c r="AD20" s="22" t="s">
        <v>18662</v>
      </c>
      <c r="AE20" s="22">
        <v>6</v>
      </c>
      <c r="AF20" s="48">
        <f t="shared" si="1"/>
        <v>0</v>
      </c>
      <c r="AG20" s="48">
        <f t="shared" si="2"/>
        <v>0</v>
      </c>
      <c r="AH20" s="48">
        <f t="shared" si="3"/>
        <v>0</v>
      </c>
      <c r="AI20" s="40" t="s">
        <v>33</v>
      </c>
      <c r="AJ20" s="40">
        <v>45232</v>
      </c>
      <c r="AK20" s="40"/>
      <c r="AL20" s="146"/>
      <c r="AM20" s="136"/>
      <c r="AN20" s="136"/>
      <c r="AO20" s="136"/>
    </row>
    <row r="21" spans="1:41" ht="17.399999999999999">
      <c r="A21" s="22" t="s">
        <v>166</v>
      </c>
      <c r="B21" s="22" t="s">
        <v>138</v>
      </c>
      <c r="C21" s="56">
        <v>44350</v>
      </c>
      <c r="D21" s="56">
        <v>44274</v>
      </c>
      <c r="E21" s="22" t="s">
        <v>167</v>
      </c>
      <c r="F21" s="22">
        <v>1000</v>
      </c>
      <c r="G21" s="22" t="s">
        <v>33</v>
      </c>
      <c r="H21" s="22" t="s">
        <v>103</v>
      </c>
      <c r="I21" s="49" t="s">
        <v>104</v>
      </c>
      <c r="J21" s="50" t="s">
        <v>105</v>
      </c>
      <c r="K21" s="22" t="s">
        <v>106</v>
      </c>
      <c r="L21" s="22" t="s">
        <v>60</v>
      </c>
      <c r="M21" s="22">
        <v>3</v>
      </c>
      <c r="N21" s="22" t="s">
        <v>168</v>
      </c>
      <c r="O21" s="22"/>
      <c r="P21" s="46" t="s">
        <v>685</v>
      </c>
      <c r="Q21" s="40"/>
      <c r="R21" s="41"/>
      <c r="S21" s="22">
        <f t="shared" si="0"/>
        <v>3</v>
      </c>
      <c r="T21" s="41">
        <v>44371</v>
      </c>
      <c r="U21" s="44">
        <v>44370</v>
      </c>
      <c r="V21" s="44">
        <v>44371</v>
      </c>
      <c r="W21" s="46" t="s">
        <v>584</v>
      </c>
      <c r="X21" s="46">
        <v>3</v>
      </c>
      <c r="Y21" s="46" t="s">
        <v>646</v>
      </c>
      <c r="Z21" s="22"/>
      <c r="AA21" s="22"/>
      <c r="AB21" s="22"/>
      <c r="AC21" s="58">
        <v>45869</v>
      </c>
      <c r="AD21" s="22" t="s">
        <v>18662</v>
      </c>
      <c r="AE21" s="22">
        <v>3</v>
      </c>
      <c r="AF21" s="48">
        <f t="shared" si="1"/>
        <v>0</v>
      </c>
      <c r="AG21" s="48">
        <f t="shared" si="2"/>
        <v>0</v>
      </c>
      <c r="AH21" s="48">
        <f t="shared" si="3"/>
        <v>0</v>
      </c>
      <c r="AI21" s="40" t="s">
        <v>33</v>
      </c>
      <c r="AJ21" s="40">
        <v>45232</v>
      </c>
      <c r="AK21" s="40"/>
      <c r="AL21" s="146"/>
      <c r="AM21" s="136"/>
      <c r="AN21" s="136"/>
      <c r="AO21" s="136"/>
    </row>
    <row r="22" spans="1:41" ht="17.399999999999999">
      <c r="A22" s="22" t="s">
        <v>169</v>
      </c>
      <c r="B22" s="22" t="s">
        <v>138</v>
      </c>
      <c r="C22" s="56">
        <v>44399</v>
      </c>
      <c r="D22" s="56">
        <v>44344</v>
      </c>
      <c r="E22" s="22" t="s">
        <v>170</v>
      </c>
      <c r="F22" s="22" t="s">
        <v>33</v>
      </c>
      <c r="G22" s="22" t="s">
        <v>33</v>
      </c>
      <c r="H22" s="22" t="s">
        <v>103</v>
      </c>
      <c r="I22" s="49" t="s">
        <v>104</v>
      </c>
      <c r="J22" s="50" t="s">
        <v>105</v>
      </c>
      <c r="K22" s="22" t="s">
        <v>106</v>
      </c>
      <c r="L22" s="22" t="s">
        <v>60</v>
      </c>
      <c r="M22" s="22">
        <v>1</v>
      </c>
      <c r="N22" s="22" t="s">
        <v>171</v>
      </c>
      <c r="O22" s="22"/>
      <c r="P22" s="46" t="s">
        <v>685</v>
      </c>
      <c r="Q22" s="40"/>
      <c r="R22" s="41"/>
      <c r="S22" s="22">
        <f t="shared" si="0"/>
        <v>1</v>
      </c>
      <c r="T22" s="41">
        <v>44463</v>
      </c>
      <c r="U22" s="44">
        <v>44461</v>
      </c>
      <c r="V22" s="44">
        <v>44463</v>
      </c>
      <c r="W22" s="46" t="s">
        <v>585</v>
      </c>
      <c r="X22" s="46">
        <v>1</v>
      </c>
      <c r="Y22" s="46" t="s">
        <v>647</v>
      </c>
      <c r="Z22" s="22"/>
      <c r="AA22" s="22"/>
      <c r="AB22" s="22"/>
      <c r="AC22" s="22">
        <v>45869</v>
      </c>
      <c r="AD22" s="22" t="s">
        <v>18662</v>
      </c>
      <c r="AE22" s="22">
        <v>1</v>
      </c>
      <c r="AF22" s="48">
        <f t="shared" si="1"/>
        <v>0</v>
      </c>
      <c r="AG22" s="48">
        <f t="shared" si="2"/>
        <v>0</v>
      </c>
      <c r="AH22" s="48">
        <f t="shared" si="3"/>
        <v>0</v>
      </c>
      <c r="AI22" s="40" t="s">
        <v>33</v>
      </c>
      <c r="AJ22" s="40">
        <v>45237</v>
      </c>
      <c r="AK22" s="40"/>
      <c r="AL22" s="22"/>
      <c r="AM22" s="136"/>
      <c r="AN22" s="136"/>
      <c r="AO22" s="136"/>
    </row>
    <row r="23" spans="1:41" ht="17.399999999999999">
      <c r="A23" s="22" t="s">
        <v>18055</v>
      </c>
      <c r="B23" s="22" t="s">
        <v>138</v>
      </c>
      <c r="C23" s="56">
        <v>44371</v>
      </c>
      <c r="D23" s="56" t="s">
        <v>18056</v>
      </c>
      <c r="E23" s="22" t="s">
        <v>18057</v>
      </c>
      <c r="F23" s="22" t="s">
        <v>33</v>
      </c>
      <c r="G23" s="22" t="s">
        <v>33</v>
      </c>
      <c r="H23" s="22" t="s">
        <v>475</v>
      </c>
      <c r="I23" s="49" t="s">
        <v>174</v>
      </c>
      <c r="J23" s="50" t="s">
        <v>476</v>
      </c>
      <c r="K23" s="22" t="s">
        <v>215</v>
      </c>
      <c r="L23" s="22" t="s">
        <v>60</v>
      </c>
      <c r="M23" s="22">
        <v>4</v>
      </c>
      <c r="N23" s="22" t="s">
        <v>18058</v>
      </c>
      <c r="O23" s="22"/>
      <c r="P23" s="46" t="s">
        <v>683</v>
      </c>
      <c r="Q23" s="40"/>
      <c r="R23" s="41"/>
      <c r="S23" s="22">
        <f t="shared" si="0"/>
        <v>4</v>
      </c>
      <c r="T23" s="41">
        <v>44509</v>
      </c>
      <c r="U23" s="44">
        <v>44504</v>
      </c>
      <c r="V23" s="44">
        <v>44509</v>
      </c>
      <c r="W23" s="46" t="s">
        <v>18059</v>
      </c>
      <c r="X23" s="46">
        <v>4</v>
      </c>
      <c r="Y23" s="46" t="s">
        <v>18060</v>
      </c>
      <c r="Z23" s="22" t="s">
        <v>18061</v>
      </c>
      <c r="AA23" s="22" t="s">
        <v>18062</v>
      </c>
      <c r="AB23" s="22">
        <v>3</v>
      </c>
      <c r="AC23" s="22"/>
      <c r="AD23" s="22"/>
      <c r="AE23" s="22"/>
      <c r="AF23" s="48">
        <f t="shared" si="1"/>
        <v>0</v>
      </c>
      <c r="AG23" s="48">
        <f t="shared" si="2"/>
        <v>1</v>
      </c>
      <c r="AH23" s="48">
        <f t="shared" si="3"/>
        <v>1</v>
      </c>
      <c r="AI23" s="40" t="s">
        <v>33</v>
      </c>
      <c r="AJ23" s="40" t="s">
        <v>33</v>
      </c>
      <c r="AK23" s="40"/>
      <c r="AL23" s="22"/>
      <c r="AM23" s="136"/>
      <c r="AN23" s="136"/>
      <c r="AO23" s="136"/>
    </row>
    <row r="24" spans="1:41" ht="17.399999999999999">
      <c r="A24" s="22" t="s">
        <v>18063</v>
      </c>
      <c r="B24" s="22" t="s">
        <v>138</v>
      </c>
      <c r="C24" s="56" t="s">
        <v>18064</v>
      </c>
      <c r="D24" s="56" t="s">
        <v>18065</v>
      </c>
      <c r="E24" s="22" t="s">
        <v>18066</v>
      </c>
      <c r="F24" s="22" t="s">
        <v>33</v>
      </c>
      <c r="G24" s="22" t="s">
        <v>33</v>
      </c>
      <c r="H24" s="22" t="s">
        <v>475</v>
      </c>
      <c r="I24" s="49" t="s">
        <v>174</v>
      </c>
      <c r="J24" s="50" t="s">
        <v>476</v>
      </c>
      <c r="K24" s="22" t="s">
        <v>215</v>
      </c>
      <c r="L24" s="22" t="s">
        <v>60</v>
      </c>
      <c r="M24" s="22">
        <v>6</v>
      </c>
      <c r="N24" s="22" t="s">
        <v>18067</v>
      </c>
      <c r="O24" s="22"/>
      <c r="P24" s="46" t="s">
        <v>683</v>
      </c>
      <c r="Q24" s="40"/>
      <c r="R24" s="41"/>
      <c r="S24" s="22">
        <f t="shared" si="0"/>
        <v>6</v>
      </c>
      <c r="T24" s="41">
        <v>44509</v>
      </c>
      <c r="U24" s="44">
        <v>44504</v>
      </c>
      <c r="V24" s="44">
        <v>44509</v>
      </c>
      <c r="W24" s="46" t="s">
        <v>18059</v>
      </c>
      <c r="X24" s="46">
        <v>6</v>
      </c>
      <c r="Y24" s="46" t="s">
        <v>18060</v>
      </c>
      <c r="Z24" s="22"/>
      <c r="AA24" s="22"/>
      <c r="AB24" s="22"/>
      <c r="AC24" s="22"/>
      <c r="AD24" s="22"/>
      <c r="AE24" s="22"/>
      <c r="AF24" s="48">
        <f t="shared" si="1"/>
        <v>0</v>
      </c>
      <c r="AG24" s="48">
        <f t="shared" si="2"/>
        <v>6</v>
      </c>
      <c r="AH24" s="48">
        <f t="shared" si="3"/>
        <v>6</v>
      </c>
      <c r="AI24" s="40" t="s">
        <v>33</v>
      </c>
      <c r="AJ24" s="40" t="s">
        <v>33</v>
      </c>
      <c r="AK24" s="40"/>
      <c r="AL24" s="22"/>
      <c r="AM24" s="136"/>
      <c r="AN24" s="136"/>
      <c r="AO24" s="136"/>
    </row>
    <row r="25" spans="1:41" ht="17.399999999999999">
      <c r="A25" s="22" t="s">
        <v>18068</v>
      </c>
      <c r="B25" s="22" t="s">
        <v>138</v>
      </c>
      <c r="C25" s="56">
        <v>44589</v>
      </c>
      <c r="D25" s="56">
        <v>44534</v>
      </c>
      <c r="E25" s="22" t="s">
        <v>18069</v>
      </c>
      <c r="F25" s="22" t="s">
        <v>33</v>
      </c>
      <c r="G25" s="22" t="s">
        <v>33</v>
      </c>
      <c r="H25" s="22" t="s">
        <v>475</v>
      </c>
      <c r="I25" s="49" t="s">
        <v>174</v>
      </c>
      <c r="J25" s="50" t="s">
        <v>476</v>
      </c>
      <c r="K25" s="22" t="s">
        <v>215</v>
      </c>
      <c r="L25" s="22" t="s">
        <v>60</v>
      </c>
      <c r="M25" s="22">
        <v>1</v>
      </c>
      <c r="N25" s="22" t="s">
        <v>18070</v>
      </c>
      <c r="O25" s="22"/>
      <c r="P25" s="46" t="s">
        <v>683</v>
      </c>
      <c r="Q25" s="40"/>
      <c r="R25" s="41"/>
      <c r="S25" s="22">
        <f t="shared" si="0"/>
        <v>1</v>
      </c>
      <c r="T25" s="41">
        <v>44868</v>
      </c>
      <c r="U25" s="44">
        <v>44858</v>
      </c>
      <c r="V25" s="44">
        <v>44868</v>
      </c>
      <c r="W25" s="46" t="s">
        <v>18071</v>
      </c>
      <c r="X25" s="46">
        <v>1</v>
      </c>
      <c r="Y25" s="46" t="s">
        <v>18072</v>
      </c>
      <c r="Z25" s="58"/>
      <c r="AA25" s="22"/>
      <c r="AB25" s="22"/>
      <c r="AC25" s="22"/>
      <c r="AD25" s="22"/>
      <c r="AE25" s="22"/>
      <c r="AF25" s="48">
        <f t="shared" si="1"/>
        <v>0</v>
      </c>
      <c r="AG25" s="48">
        <f t="shared" si="2"/>
        <v>1</v>
      </c>
      <c r="AH25" s="48">
        <f t="shared" si="3"/>
        <v>1</v>
      </c>
      <c r="AI25" s="40" t="s">
        <v>33</v>
      </c>
      <c r="AJ25" s="40" t="s">
        <v>33</v>
      </c>
      <c r="AK25" s="40"/>
      <c r="AL25" s="146"/>
      <c r="AM25" s="136"/>
      <c r="AN25" s="136"/>
      <c r="AO25" s="136"/>
    </row>
    <row r="26" spans="1:41" ht="17.399999999999999">
      <c r="A26" s="22" t="s">
        <v>172</v>
      </c>
      <c r="B26" s="22" t="s">
        <v>138</v>
      </c>
      <c r="C26" s="56">
        <v>44672</v>
      </c>
      <c r="D26" s="56">
        <v>44578</v>
      </c>
      <c r="E26" s="22" t="s">
        <v>173</v>
      </c>
      <c r="F26" s="22" t="s">
        <v>33</v>
      </c>
      <c r="G26" s="22" t="s">
        <v>33</v>
      </c>
      <c r="H26" s="22" t="s">
        <v>332</v>
      </c>
      <c r="I26" s="49" t="s">
        <v>174</v>
      </c>
      <c r="J26" s="50" t="s">
        <v>175</v>
      </c>
      <c r="K26" s="22" t="s">
        <v>98</v>
      </c>
      <c r="L26" s="22" t="s">
        <v>60</v>
      </c>
      <c r="M26" s="22">
        <v>8</v>
      </c>
      <c r="N26" s="22" t="s">
        <v>176</v>
      </c>
      <c r="O26" s="22"/>
      <c r="P26" s="46" t="s">
        <v>685</v>
      </c>
      <c r="Q26" s="40"/>
      <c r="R26" s="41"/>
      <c r="S26" s="22">
        <f t="shared" si="0"/>
        <v>8</v>
      </c>
      <c r="T26" s="41">
        <v>44729</v>
      </c>
      <c r="U26" s="44">
        <v>44720</v>
      </c>
      <c r="V26" s="44">
        <v>44729</v>
      </c>
      <c r="W26" s="46" t="s">
        <v>586</v>
      </c>
      <c r="X26" s="46">
        <v>8</v>
      </c>
      <c r="Y26" s="46" t="s">
        <v>648</v>
      </c>
      <c r="Z26" s="22">
        <v>45770</v>
      </c>
      <c r="AA26" s="22" t="s">
        <v>18397</v>
      </c>
      <c r="AB26" s="22">
        <v>8</v>
      </c>
      <c r="AC26" s="58"/>
      <c r="AD26" s="22"/>
      <c r="AE26" s="22"/>
      <c r="AF26" s="48">
        <f t="shared" si="1"/>
        <v>0</v>
      </c>
      <c r="AG26" s="48">
        <f t="shared" si="2"/>
        <v>0</v>
      </c>
      <c r="AH26" s="48">
        <f t="shared" si="3"/>
        <v>0</v>
      </c>
      <c r="AI26" s="40">
        <v>44743</v>
      </c>
      <c r="AJ26" s="40">
        <v>45719</v>
      </c>
      <c r="AK26" s="40"/>
      <c r="AL26" s="146"/>
      <c r="AM26" s="136"/>
      <c r="AN26" s="136"/>
      <c r="AO26" s="136"/>
    </row>
    <row r="27" spans="1:41" ht="17.399999999999999">
      <c r="A27" s="22" t="s">
        <v>180</v>
      </c>
      <c r="B27" s="22" t="s">
        <v>138</v>
      </c>
      <c r="C27" s="56">
        <v>44642</v>
      </c>
      <c r="D27" s="56">
        <v>44613</v>
      </c>
      <c r="E27" s="22" t="s">
        <v>181</v>
      </c>
      <c r="F27" s="22" t="s">
        <v>33</v>
      </c>
      <c r="G27" s="22" t="s">
        <v>33</v>
      </c>
      <c r="H27" s="22" t="s">
        <v>182</v>
      </c>
      <c r="I27" s="49" t="s">
        <v>183</v>
      </c>
      <c r="J27" s="50" t="s">
        <v>184</v>
      </c>
      <c r="K27" s="22" t="s">
        <v>98</v>
      </c>
      <c r="L27" s="22" t="s">
        <v>185</v>
      </c>
      <c r="M27" s="22">
        <v>1</v>
      </c>
      <c r="N27" s="22" t="s">
        <v>186</v>
      </c>
      <c r="O27" s="22"/>
      <c r="P27" s="46" t="s">
        <v>685</v>
      </c>
      <c r="Q27" s="40"/>
      <c r="R27" s="41"/>
      <c r="S27" s="22">
        <f t="shared" si="0"/>
        <v>1</v>
      </c>
      <c r="T27" s="41">
        <v>44729</v>
      </c>
      <c r="U27" s="44">
        <v>44720</v>
      </c>
      <c r="V27" s="44">
        <v>44729</v>
      </c>
      <c r="W27" s="46" t="s">
        <v>586</v>
      </c>
      <c r="X27" s="46">
        <v>1</v>
      </c>
      <c r="Y27" s="44" t="s">
        <v>648</v>
      </c>
      <c r="Z27" s="22"/>
      <c r="AA27" s="22"/>
      <c r="AB27" s="22"/>
      <c r="AC27" s="58">
        <v>45744</v>
      </c>
      <c r="AD27" s="22" t="s">
        <v>18315</v>
      </c>
      <c r="AE27" s="22">
        <v>1</v>
      </c>
      <c r="AF27" s="48">
        <f t="shared" si="1"/>
        <v>0</v>
      </c>
      <c r="AG27" s="48">
        <f t="shared" si="2"/>
        <v>0</v>
      </c>
      <c r="AH27" s="48">
        <f t="shared" si="3"/>
        <v>0</v>
      </c>
      <c r="AI27" s="40" t="s">
        <v>33</v>
      </c>
      <c r="AJ27" s="40">
        <v>45727</v>
      </c>
      <c r="AK27" s="40"/>
      <c r="AL27" s="146"/>
      <c r="AM27" s="136"/>
      <c r="AN27" s="136"/>
      <c r="AO27" s="136"/>
    </row>
    <row r="28" spans="1:41" ht="17.399999999999999">
      <c r="A28" s="22" t="s">
        <v>187</v>
      </c>
      <c r="B28" s="22" t="s">
        <v>138</v>
      </c>
      <c r="C28" s="56">
        <v>44680</v>
      </c>
      <c r="D28" s="56">
        <v>44596</v>
      </c>
      <c r="E28" s="22" t="s">
        <v>188</v>
      </c>
      <c r="F28" s="22" t="s">
        <v>33</v>
      </c>
      <c r="G28" s="22" t="s">
        <v>33</v>
      </c>
      <c r="H28" s="22" t="s">
        <v>189</v>
      </c>
      <c r="I28" s="49" t="s">
        <v>190</v>
      </c>
      <c r="J28" s="50" t="s">
        <v>191</v>
      </c>
      <c r="K28" s="22" t="s">
        <v>106</v>
      </c>
      <c r="L28" s="22" t="s">
        <v>60</v>
      </c>
      <c r="M28" s="22">
        <v>3</v>
      </c>
      <c r="N28" s="22" t="s">
        <v>192</v>
      </c>
      <c r="O28" s="22"/>
      <c r="P28" s="46" t="s">
        <v>685</v>
      </c>
      <c r="Q28" s="40"/>
      <c r="R28" s="41"/>
      <c r="S28" s="22">
        <f t="shared" si="0"/>
        <v>3</v>
      </c>
      <c r="T28" s="41">
        <v>44729</v>
      </c>
      <c r="U28" s="44" t="s">
        <v>587</v>
      </c>
      <c r="V28" s="44">
        <v>44729</v>
      </c>
      <c r="W28" s="46" t="s">
        <v>586</v>
      </c>
      <c r="X28" s="46">
        <v>3</v>
      </c>
      <c r="Y28" s="46" t="s">
        <v>587</v>
      </c>
      <c r="Z28" s="58"/>
      <c r="AA28" s="22"/>
      <c r="AB28" s="22"/>
      <c r="AC28" s="58">
        <v>45898</v>
      </c>
      <c r="AD28" s="22" t="s">
        <v>18787</v>
      </c>
      <c r="AE28" s="22">
        <v>3</v>
      </c>
      <c r="AF28" s="48">
        <f t="shared" si="1"/>
        <v>0</v>
      </c>
      <c r="AG28" s="48">
        <f t="shared" si="2"/>
        <v>0</v>
      </c>
      <c r="AH28" s="48">
        <f t="shared" si="3"/>
        <v>0</v>
      </c>
      <c r="AI28" s="40" t="s">
        <v>33</v>
      </c>
      <c r="AJ28" s="40">
        <v>45264</v>
      </c>
      <c r="AK28" s="40"/>
      <c r="AL28" s="146"/>
      <c r="AM28" s="136"/>
      <c r="AN28" s="136"/>
      <c r="AO28" s="136"/>
    </row>
    <row r="29" spans="1:41" ht="17.399999999999999">
      <c r="A29" s="22" t="s">
        <v>177</v>
      </c>
      <c r="B29" s="22" t="s">
        <v>138</v>
      </c>
      <c r="C29" s="56">
        <v>44672</v>
      </c>
      <c r="D29" s="56">
        <v>44578</v>
      </c>
      <c r="E29" s="22" t="s">
        <v>173</v>
      </c>
      <c r="F29" s="22" t="s">
        <v>33</v>
      </c>
      <c r="G29" s="22" t="s">
        <v>33</v>
      </c>
      <c r="H29" s="22" t="s">
        <v>178</v>
      </c>
      <c r="I29" s="49" t="s">
        <v>174</v>
      </c>
      <c r="J29" s="50" t="s">
        <v>179</v>
      </c>
      <c r="K29" s="22" t="s">
        <v>98</v>
      </c>
      <c r="L29" s="22" t="s">
        <v>60</v>
      </c>
      <c r="M29" s="22">
        <v>8</v>
      </c>
      <c r="N29" s="22" t="s">
        <v>176</v>
      </c>
      <c r="O29" s="22"/>
      <c r="P29" s="46" t="s">
        <v>685</v>
      </c>
      <c r="Q29" s="40"/>
      <c r="R29" s="41"/>
      <c r="S29" s="22">
        <f t="shared" si="0"/>
        <v>8</v>
      </c>
      <c r="T29" s="41">
        <v>44729</v>
      </c>
      <c r="U29" s="44">
        <v>44720</v>
      </c>
      <c r="V29" s="44">
        <v>44729</v>
      </c>
      <c r="W29" s="46" t="s">
        <v>586</v>
      </c>
      <c r="X29" s="46">
        <v>8</v>
      </c>
      <c r="Y29" s="46" t="s">
        <v>648</v>
      </c>
      <c r="Z29" s="22">
        <v>45770</v>
      </c>
      <c r="AA29" s="22" t="s">
        <v>18397</v>
      </c>
      <c r="AB29" s="22">
        <v>7</v>
      </c>
      <c r="AC29" s="78">
        <v>45744</v>
      </c>
      <c r="AD29" s="78" t="s">
        <v>18316</v>
      </c>
      <c r="AE29" s="78">
        <v>1</v>
      </c>
      <c r="AF29" s="48">
        <f t="shared" si="1"/>
        <v>0</v>
      </c>
      <c r="AG29" s="48">
        <f t="shared" si="2"/>
        <v>0</v>
      </c>
      <c r="AH29" s="48">
        <f t="shared" si="3"/>
        <v>0</v>
      </c>
      <c r="AI29" s="40" t="s">
        <v>33</v>
      </c>
      <c r="AJ29" s="40">
        <v>45719</v>
      </c>
      <c r="AK29" s="40"/>
      <c r="AL29" s="22"/>
      <c r="AM29" s="136"/>
      <c r="AN29" s="136"/>
      <c r="AO29" s="136"/>
    </row>
    <row r="30" spans="1:41" ht="17.399999999999999">
      <c r="A30" s="22" t="s">
        <v>18073</v>
      </c>
      <c r="B30" s="22" t="s">
        <v>138</v>
      </c>
      <c r="C30" s="56" t="s">
        <v>18074</v>
      </c>
      <c r="D30" s="56">
        <v>44588</v>
      </c>
      <c r="E30" s="22" t="s">
        <v>18075</v>
      </c>
      <c r="F30" s="22" t="s">
        <v>33</v>
      </c>
      <c r="G30" s="22" t="s">
        <v>33</v>
      </c>
      <c r="H30" s="22" t="s">
        <v>5189</v>
      </c>
      <c r="I30" s="49" t="s">
        <v>174</v>
      </c>
      <c r="J30" s="50" t="s">
        <v>5190</v>
      </c>
      <c r="K30" s="22" t="s">
        <v>499</v>
      </c>
      <c r="L30" s="22" t="s">
        <v>60</v>
      </c>
      <c r="M30" s="22">
        <v>5</v>
      </c>
      <c r="N30" s="22" t="s">
        <v>18076</v>
      </c>
      <c r="O30" s="22"/>
      <c r="P30" s="46" t="s">
        <v>683</v>
      </c>
      <c r="Q30" s="40"/>
      <c r="R30" s="41"/>
      <c r="S30" s="22">
        <f t="shared" si="0"/>
        <v>5</v>
      </c>
      <c r="T30" s="41">
        <v>44868</v>
      </c>
      <c r="U30" s="44">
        <v>44858</v>
      </c>
      <c r="V30" s="44">
        <v>44868</v>
      </c>
      <c r="W30" s="46" t="s">
        <v>18071</v>
      </c>
      <c r="X30" s="46">
        <v>5</v>
      </c>
      <c r="Y30" s="46" t="s">
        <v>18072</v>
      </c>
      <c r="Z30" s="58"/>
      <c r="AA30" s="22"/>
      <c r="AB30" s="22"/>
      <c r="AC30" s="22"/>
      <c r="AD30" s="22"/>
      <c r="AE30" s="22"/>
      <c r="AF30" s="48">
        <f t="shared" si="1"/>
        <v>0</v>
      </c>
      <c r="AG30" s="48">
        <f t="shared" si="2"/>
        <v>5</v>
      </c>
      <c r="AH30" s="48">
        <f t="shared" si="3"/>
        <v>5</v>
      </c>
      <c r="AI30" s="40" t="s">
        <v>33</v>
      </c>
      <c r="AJ30" s="40" t="s">
        <v>33</v>
      </c>
      <c r="AK30" s="40"/>
      <c r="AL30" s="146"/>
      <c r="AM30" s="136"/>
      <c r="AN30" s="136"/>
      <c r="AO30" s="136"/>
    </row>
    <row r="31" spans="1:41" ht="17.399999999999999">
      <c r="A31" s="22" t="s">
        <v>193</v>
      </c>
      <c r="B31" s="22" t="s">
        <v>138</v>
      </c>
      <c r="C31" s="56">
        <v>44767</v>
      </c>
      <c r="D31" s="56">
        <v>44614</v>
      </c>
      <c r="E31" s="22" t="s">
        <v>194</v>
      </c>
      <c r="F31" s="22" t="s">
        <v>33</v>
      </c>
      <c r="G31" s="22" t="s">
        <v>33</v>
      </c>
      <c r="H31" s="22" t="s">
        <v>182</v>
      </c>
      <c r="I31" s="49" t="s">
        <v>183</v>
      </c>
      <c r="J31" s="50" t="s">
        <v>184</v>
      </c>
      <c r="K31" s="22" t="s">
        <v>98</v>
      </c>
      <c r="L31" s="22" t="s">
        <v>99</v>
      </c>
      <c r="M31" s="22">
        <v>1</v>
      </c>
      <c r="N31" s="22" t="s">
        <v>195</v>
      </c>
      <c r="O31" s="22"/>
      <c r="P31" s="46" t="s">
        <v>685</v>
      </c>
      <c r="Q31" s="40"/>
      <c r="R31" s="41"/>
      <c r="S31" s="22">
        <f t="shared" si="0"/>
        <v>1</v>
      </c>
      <c r="T31" s="41">
        <v>44820</v>
      </c>
      <c r="U31" s="44">
        <v>44811</v>
      </c>
      <c r="V31" s="44">
        <v>44820</v>
      </c>
      <c r="W31" s="46" t="s">
        <v>588</v>
      </c>
      <c r="X31" s="46">
        <v>1</v>
      </c>
      <c r="Y31" s="46" t="s">
        <v>649</v>
      </c>
      <c r="Z31" s="58">
        <v>45770</v>
      </c>
      <c r="AA31" s="22" t="s">
        <v>18397</v>
      </c>
      <c r="AB31" s="22">
        <v>1</v>
      </c>
      <c r="AC31" s="78"/>
      <c r="AD31" s="78"/>
      <c r="AE31" s="78"/>
      <c r="AF31" s="48">
        <f t="shared" si="1"/>
        <v>0</v>
      </c>
      <c r="AG31" s="48">
        <f t="shared" si="2"/>
        <v>0</v>
      </c>
      <c r="AH31" s="48">
        <f t="shared" si="3"/>
        <v>0</v>
      </c>
      <c r="AI31" s="40" t="s">
        <v>33</v>
      </c>
      <c r="AJ31" s="40">
        <v>45730</v>
      </c>
      <c r="AK31" s="40"/>
      <c r="AL31" s="146"/>
      <c r="AM31" s="136"/>
      <c r="AN31" s="136"/>
      <c r="AO31" s="136"/>
    </row>
    <row r="32" spans="1:41" ht="17.399999999999999">
      <c r="A32" s="22" t="s">
        <v>196</v>
      </c>
      <c r="B32" s="22" t="s">
        <v>138</v>
      </c>
      <c r="C32" s="56">
        <v>44672</v>
      </c>
      <c r="D32" s="56">
        <v>44662</v>
      </c>
      <c r="E32" s="22" t="s">
        <v>197</v>
      </c>
      <c r="F32" s="22" t="s">
        <v>33</v>
      </c>
      <c r="G32" s="22" t="s">
        <v>33</v>
      </c>
      <c r="H32" s="22" t="s">
        <v>178</v>
      </c>
      <c r="I32" s="49" t="s">
        <v>174</v>
      </c>
      <c r="J32" s="50" t="s">
        <v>179</v>
      </c>
      <c r="K32" s="22" t="s">
        <v>98</v>
      </c>
      <c r="L32" s="22" t="s">
        <v>60</v>
      </c>
      <c r="M32" s="22">
        <v>1</v>
      </c>
      <c r="N32" s="22" t="s">
        <v>198</v>
      </c>
      <c r="O32" s="22"/>
      <c r="P32" s="46" t="s">
        <v>685</v>
      </c>
      <c r="Q32" s="40"/>
      <c r="R32" s="41"/>
      <c r="S32" s="22">
        <f t="shared" si="0"/>
        <v>1</v>
      </c>
      <c r="T32" s="41">
        <v>44820</v>
      </c>
      <c r="U32" s="44">
        <v>44811</v>
      </c>
      <c r="V32" s="44">
        <v>44820</v>
      </c>
      <c r="W32" s="46" t="s">
        <v>588</v>
      </c>
      <c r="X32" s="46">
        <v>1</v>
      </c>
      <c r="Y32" s="44" t="s">
        <v>649</v>
      </c>
      <c r="Z32" s="22">
        <v>45770</v>
      </c>
      <c r="AA32" s="22" t="s">
        <v>18397</v>
      </c>
      <c r="AB32" s="22">
        <v>1</v>
      </c>
      <c r="AC32" s="58"/>
      <c r="AD32" s="22"/>
      <c r="AE32" s="22"/>
      <c r="AF32" s="48">
        <f t="shared" si="1"/>
        <v>0</v>
      </c>
      <c r="AG32" s="48">
        <f t="shared" si="2"/>
        <v>0</v>
      </c>
      <c r="AH32" s="48">
        <f t="shared" si="3"/>
        <v>0</v>
      </c>
      <c r="AI32" s="40">
        <v>44838</v>
      </c>
      <c r="AJ32" s="40">
        <v>45730</v>
      </c>
      <c r="AK32" s="40"/>
      <c r="AL32" s="146"/>
      <c r="AM32" s="136"/>
      <c r="AN32" s="136"/>
      <c r="AO32" s="136"/>
    </row>
    <row r="33" spans="1:41" ht="17.399999999999999">
      <c r="A33" s="22" t="s">
        <v>199</v>
      </c>
      <c r="B33" s="22" t="s">
        <v>138</v>
      </c>
      <c r="C33" s="56">
        <v>44732</v>
      </c>
      <c r="D33" s="56">
        <v>44571</v>
      </c>
      <c r="E33" s="22" t="s">
        <v>200</v>
      </c>
      <c r="F33" s="22" t="s">
        <v>33</v>
      </c>
      <c r="G33" s="22" t="s">
        <v>33</v>
      </c>
      <c r="H33" s="22" t="s">
        <v>103</v>
      </c>
      <c r="I33" s="49" t="s">
        <v>104</v>
      </c>
      <c r="J33" s="50" t="s">
        <v>105</v>
      </c>
      <c r="K33" s="22" t="s">
        <v>106</v>
      </c>
      <c r="L33" s="22" t="s">
        <v>60</v>
      </c>
      <c r="M33" s="22">
        <v>1</v>
      </c>
      <c r="N33" s="22" t="s">
        <v>201</v>
      </c>
      <c r="O33" s="22"/>
      <c r="P33" s="46" t="s">
        <v>685</v>
      </c>
      <c r="Q33" s="40"/>
      <c r="R33" s="41"/>
      <c r="S33" s="22">
        <f t="shared" si="0"/>
        <v>1</v>
      </c>
      <c r="T33" s="41">
        <v>44841</v>
      </c>
      <c r="U33" s="44" t="s">
        <v>587</v>
      </c>
      <c r="V33" s="44" t="s">
        <v>571</v>
      </c>
      <c r="W33" s="46" t="s">
        <v>571</v>
      </c>
      <c r="X33" s="46">
        <v>1</v>
      </c>
      <c r="Y33" s="46" t="s">
        <v>571</v>
      </c>
      <c r="Z33" s="22"/>
      <c r="AA33" s="22"/>
      <c r="AB33" s="22"/>
      <c r="AC33" s="22">
        <v>45869</v>
      </c>
      <c r="AD33" s="22" t="s">
        <v>18662</v>
      </c>
      <c r="AE33" s="22">
        <v>1</v>
      </c>
      <c r="AF33" s="48">
        <f t="shared" si="1"/>
        <v>0</v>
      </c>
      <c r="AG33" s="48">
        <f t="shared" si="2"/>
        <v>0</v>
      </c>
      <c r="AH33" s="48">
        <f t="shared" si="3"/>
        <v>0</v>
      </c>
      <c r="AI33" s="40" t="s">
        <v>33</v>
      </c>
      <c r="AJ33" s="40">
        <v>45138</v>
      </c>
      <c r="AK33" s="40"/>
      <c r="AL33" s="22"/>
      <c r="AM33" s="136"/>
      <c r="AN33" s="136"/>
      <c r="AO33" s="136"/>
    </row>
    <row r="34" spans="1:41" ht="17.399999999999999">
      <c r="A34" s="22" t="s">
        <v>18077</v>
      </c>
      <c r="B34" s="22" t="s">
        <v>138</v>
      </c>
      <c r="C34" s="56">
        <v>44713</v>
      </c>
      <c r="D34" s="56" t="s">
        <v>18078</v>
      </c>
      <c r="E34" s="22" t="s">
        <v>18079</v>
      </c>
      <c r="F34" s="22" t="s">
        <v>33</v>
      </c>
      <c r="G34" s="22" t="s">
        <v>33</v>
      </c>
      <c r="H34" s="22" t="s">
        <v>469</v>
      </c>
      <c r="I34" s="49" t="s">
        <v>174</v>
      </c>
      <c r="J34" s="50" t="s">
        <v>470</v>
      </c>
      <c r="K34" s="22" t="s">
        <v>98</v>
      </c>
      <c r="L34" s="22" t="s">
        <v>60</v>
      </c>
      <c r="M34" s="22">
        <v>6</v>
      </c>
      <c r="N34" s="22" t="s">
        <v>18080</v>
      </c>
      <c r="O34" s="22"/>
      <c r="P34" s="46" t="s">
        <v>683</v>
      </c>
      <c r="Q34" s="40"/>
      <c r="R34" s="41"/>
      <c r="S34" s="22">
        <f t="shared" si="0"/>
        <v>6</v>
      </c>
      <c r="T34" s="41">
        <v>44868</v>
      </c>
      <c r="U34" s="44">
        <v>44858</v>
      </c>
      <c r="V34" s="44">
        <v>44868</v>
      </c>
      <c r="W34" s="46" t="s">
        <v>18071</v>
      </c>
      <c r="X34" s="46">
        <v>6</v>
      </c>
      <c r="Y34" s="46" t="s">
        <v>18072</v>
      </c>
      <c r="Z34" s="22" t="s">
        <v>18788</v>
      </c>
      <c r="AA34" s="22" t="s">
        <v>18789</v>
      </c>
      <c r="AB34" s="22">
        <f>2+4</f>
        <v>6</v>
      </c>
      <c r="AC34" s="22"/>
      <c r="AD34" s="22"/>
      <c r="AE34" s="22"/>
      <c r="AF34" s="48">
        <f t="shared" si="1"/>
        <v>0</v>
      </c>
      <c r="AG34" s="48">
        <f t="shared" si="2"/>
        <v>0</v>
      </c>
      <c r="AH34" s="48">
        <f t="shared" si="3"/>
        <v>0</v>
      </c>
      <c r="AI34" s="40" t="s">
        <v>33</v>
      </c>
      <c r="AJ34" s="40" t="s">
        <v>33</v>
      </c>
      <c r="AK34" s="40"/>
      <c r="AL34" s="22"/>
      <c r="AM34" s="136"/>
      <c r="AN34" s="136"/>
      <c r="AO34" s="136"/>
    </row>
    <row r="35" spans="1:41" ht="17.399999999999999">
      <c r="A35" s="22" t="s">
        <v>18081</v>
      </c>
      <c r="B35" s="22" t="s">
        <v>223</v>
      </c>
      <c r="C35" s="56">
        <v>44789</v>
      </c>
      <c r="D35" s="56">
        <v>44719</v>
      </c>
      <c r="E35" s="22" t="s">
        <v>468</v>
      </c>
      <c r="F35" s="22" t="s">
        <v>33</v>
      </c>
      <c r="G35" s="22" t="s">
        <v>33</v>
      </c>
      <c r="H35" s="22" t="s">
        <v>497</v>
      </c>
      <c r="I35" s="49" t="s">
        <v>174</v>
      </c>
      <c r="J35" s="50" t="s">
        <v>498</v>
      </c>
      <c r="K35" s="22" t="s">
        <v>499</v>
      </c>
      <c r="L35" s="22" t="s">
        <v>60</v>
      </c>
      <c r="M35" s="22">
        <v>1</v>
      </c>
      <c r="N35" s="22" t="s">
        <v>18082</v>
      </c>
      <c r="O35" s="22"/>
      <c r="P35" s="46" t="s">
        <v>683</v>
      </c>
      <c r="Q35" s="40"/>
      <c r="R35" s="41"/>
      <c r="S35" s="22">
        <f t="shared" si="0"/>
        <v>1</v>
      </c>
      <c r="T35" s="41">
        <v>44868</v>
      </c>
      <c r="U35" s="44">
        <v>44858</v>
      </c>
      <c r="V35" s="44">
        <v>44868</v>
      </c>
      <c r="W35" s="46" t="s">
        <v>18071</v>
      </c>
      <c r="X35" s="46">
        <v>1</v>
      </c>
      <c r="Y35" s="46" t="s">
        <v>18072</v>
      </c>
      <c r="Z35" s="22"/>
      <c r="AA35" s="22"/>
      <c r="AB35" s="22"/>
      <c r="AC35" s="147"/>
      <c r="AD35" s="148"/>
      <c r="AE35" s="149"/>
      <c r="AF35" s="48">
        <f t="shared" si="1"/>
        <v>0</v>
      </c>
      <c r="AG35" s="48">
        <f t="shared" si="2"/>
        <v>1</v>
      </c>
      <c r="AH35" s="48">
        <f t="shared" si="3"/>
        <v>1</v>
      </c>
      <c r="AI35" s="40" t="s">
        <v>33</v>
      </c>
      <c r="AJ35" s="40" t="s">
        <v>33</v>
      </c>
      <c r="AK35" s="40"/>
      <c r="AL35" s="146"/>
      <c r="AM35" s="136"/>
      <c r="AN35" s="136"/>
      <c r="AO35" s="136"/>
    </row>
    <row r="36" spans="1:41" ht="17.399999999999999">
      <c r="A36" s="22" t="s">
        <v>18790</v>
      </c>
      <c r="B36" s="22" t="s">
        <v>138</v>
      </c>
      <c r="C36" s="56" t="s">
        <v>202</v>
      </c>
      <c r="D36" s="56" t="s">
        <v>203</v>
      </c>
      <c r="E36" s="22" t="s">
        <v>204</v>
      </c>
      <c r="F36" s="22" t="s">
        <v>33</v>
      </c>
      <c r="G36" s="22" t="s">
        <v>33</v>
      </c>
      <c r="H36" s="22" t="s">
        <v>205</v>
      </c>
      <c r="I36" s="49" t="s">
        <v>206</v>
      </c>
      <c r="J36" s="50" t="s">
        <v>207</v>
      </c>
      <c r="K36" s="22" t="s">
        <v>208</v>
      </c>
      <c r="L36" s="22" t="s">
        <v>60</v>
      </c>
      <c r="M36" s="22">
        <v>1986</v>
      </c>
      <c r="N36" s="22" t="s">
        <v>209</v>
      </c>
      <c r="O36" s="22"/>
      <c r="P36" s="46" t="s">
        <v>685</v>
      </c>
      <c r="Q36" s="40"/>
      <c r="R36" s="41"/>
      <c r="S36" s="22">
        <f t="shared" si="0"/>
        <v>1986</v>
      </c>
      <c r="T36" s="41">
        <v>44848</v>
      </c>
      <c r="U36" s="44">
        <v>44844</v>
      </c>
      <c r="V36" s="44">
        <v>44848</v>
      </c>
      <c r="W36" s="46" t="s">
        <v>589</v>
      </c>
      <c r="X36" s="46">
        <v>1986</v>
      </c>
      <c r="Y36" s="46" t="s">
        <v>650</v>
      </c>
      <c r="Z36" s="22"/>
      <c r="AA36" s="22"/>
      <c r="AB36" s="22"/>
      <c r="AC36" s="58">
        <v>44985</v>
      </c>
      <c r="AD36" s="22" t="s">
        <v>18049</v>
      </c>
      <c r="AE36" s="22">
        <v>134</v>
      </c>
      <c r="AF36" s="48">
        <f t="shared" si="1"/>
        <v>0</v>
      </c>
      <c r="AG36" s="48">
        <f t="shared" si="2"/>
        <v>1852</v>
      </c>
      <c r="AH36" s="48">
        <f t="shared" si="3"/>
        <v>1852</v>
      </c>
      <c r="AI36" s="40" t="s">
        <v>33</v>
      </c>
      <c r="AJ36" s="40">
        <v>45197</v>
      </c>
      <c r="AK36" s="40"/>
      <c r="AL36" s="146"/>
      <c r="AM36" s="136"/>
      <c r="AN36" s="136"/>
      <c r="AO36" s="136"/>
    </row>
    <row r="37" spans="1:41" ht="17.399999999999999">
      <c r="A37" s="22" t="s">
        <v>210</v>
      </c>
      <c r="B37" s="22" t="s">
        <v>138</v>
      </c>
      <c r="C37" s="56">
        <v>44847</v>
      </c>
      <c r="D37" s="56">
        <v>44827</v>
      </c>
      <c r="E37" s="22" t="s">
        <v>211</v>
      </c>
      <c r="F37" s="22" t="s">
        <v>33</v>
      </c>
      <c r="G37" s="22" t="s">
        <v>33</v>
      </c>
      <c r="H37" s="22" t="s">
        <v>212</v>
      </c>
      <c r="I37" s="49" t="s">
        <v>213</v>
      </c>
      <c r="J37" s="50" t="s">
        <v>214</v>
      </c>
      <c r="K37" s="22" t="s">
        <v>215</v>
      </c>
      <c r="L37" s="22" t="s">
        <v>60</v>
      </c>
      <c r="M37" s="22">
        <v>21</v>
      </c>
      <c r="N37" s="22" t="s">
        <v>216</v>
      </c>
      <c r="O37" s="22"/>
      <c r="P37" s="46" t="s">
        <v>685</v>
      </c>
      <c r="Q37" s="40"/>
      <c r="R37" s="41"/>
      <c r="S37" s="22">
        <f t="shared" si="0"/>
        <v>21</v>
      </c>
      <c r="T37" s="41">
        <v>44942</v>
      </c>
      <c r="U37" s="44">
        <v>44930</v>
      </c>
      <c r="V37" s="44">
        <v>44936</v>
      </c>
      <c r="W37" s="46" t="s">
        <v>590</v>
      </c>
      <c r="X37" s="46">
        <v>21</v>
      </c>
      <c r="Y37" s="46" t="s">
        <v>651</v>
      </c>
      <c r="Z37" s="22"/>
      <c r="AA37" s="22"/>
      <c r="AB37" s="22"/>
      <c r="AC37" s="147">
        <v>45716</v>
      </c>
      <c r="AD37" s="148" t="s">
        <v>18239</v>
      </c>
      <c r="AE37" s="149">
        <v>21</v>
      </c>
      <c r="AF37" s="48">
        <f t="shared" si="1"/>
        <v>0</v>
      </c>
      <c r="AG37" s="48">
        <f t="shared" si="2"/>
        <v>0</v>
      </c>
      <c r="AH37" s="48">
        <f t="shared" si="3"/>
        <v>0</v>
      </c>
      <c r="AI37" s="40" t="s">
        <v>33</v>
      </c>
      <c r="AJ37" s="40">
        <v>45685</v>
      </c>
      <c r="AK37" s="40"/>
      <c r="AL37" s="146"/>
      <c r="AM37" s="136"/>
      <c r="AN37" s="136"/>
      <c r="AO37" s="136"/>
    </row>
    <row r="38" spans="1:41" ht="17.399999999999999">
      <c r="A38" s="22" t="s">
        <v>217</v>
      </c>
      <c r="B38" s="22" t="s">
        <v>138</v>
      </c>
      <c r="C38" s="56">
        <v>44880</v>
      </c>
      <c r="D38" s="56">
        <v>44781</v>
      </c>
      <c r="E38" s="22" t="s">
        <v>218</v>
      </c>
      <c r="F38" s="22" t="s">
        <v>33</v>
      </c>
      <c r="G38" s="22" t="s">
        <v>33</v>
      </c>
      <c r="H38" s="22" t="s">
        <v>219</v>
      </c>
      <c r="I38" s="49" t="s">
        <v>119</v>
      </c>
      <c r="J38" s="50" t="s">
        <v>220</v>
      </c>
      <c r="K38" s="22" t="s">
        <v>98</v>
      </c>
      <c r="L38" s="22" t="s">
        <v>60</v>
      </c>
      <c r="M38" s="22">
        <v>300</v>
      </c>
      <c r="N38" s="22" t="s">
        <v>221</v>
      </c>
      <c r="O38" s="22"/>
      <c r="P38" s="46" t="s">
        <v>685</v>
      </c>
      <c r="Q38" s="40"/>
      <c r="R38" s="41"/>
      <c r="S38" s="22">
        <f t="shared" si="0"/>
        <v>300</v>
      </c>
      <c r="T38" s="41">
        <v>44942</v>
      </c>
      <c r="U38" s="44">
        <v>44930</v>
      </c>
      <c r="V38" s="44">
        <v>44936</v>
      </c>
      <c r="W38" s="46" t="s">
        <v>590</v>
      </c>
      <c r="X38" s="46">
        <v>300</v>
      </c>
      <c r="Y38" s="46" t="s">
        <v>651</v>
      </c>
      <c r="Z38" s="22"/>
      <c r="AA38" s="22"/>
      <c r="AB38" s="22"/>
      <c r="AC38" s="22" t="s">
        <v>18317</v>
      </c>
      <c r="AD38" s="22" t="s">
        <v>18318</v>
      </c>
      <c r="AE38" s="22">
        <f>2+2</f>
        <v>4</v>
      </c>
      <c r="AF38" s="48">
        <f t="shared" si="1"/>
        <v>0</v>
      </c>
      <c r="AG38" s="48">
        <f t="shared" si="2"/>
        <v>296</v>
      </c>
      <c r="AH38" s="48">
        <f t="shared" si="3"/>
        <v>296</v>
      </c>
      <c r="AI38" s="40" t="s">
        <v>33</v>
      </c>
      <c r="AJ38" s="40">
        <v>44964</v>
      </c>
      <c r="AK38" s="40"/>
      <c r="AL38" s="146"/>
      <c r="AM38" s="136"/>
      <c r="AN38" s="136"/>
      <c r="AO38" s="136"/>
    </row>
    <row r="39" spans="1:41" ht="17.399999999999999">
      <c r="A39" s="22" t="s">
        <v>222</v>
      </c>
      <c r="B39" s="22" t="s">
        <v>223</v>
      </c>
      <c r="C39" s="56">
        <v>44953</v>
      </c>
      <c r="D39" s="56">
        <v>44949</v>
      </c>
      <c r="E39" s="22" t="s">
        <v>224</v>
      </c>
      <c r="F39" s="22">
        <v>500</v>
      </c>
      <c r="G39" s="22" t="s">
        <v>225</v>
      </c>
      <c r="H39" s="22" t="s">
        <v>219</v>
      </c>
      <c r="I39" s="49" t="s">
        <v>119</v>
      </c>
      <c r="J39" s="50" t="s">
        <v>220</v>
      </c>
      <c r="K39" s="22" t="s">
        <v>98</v>
      </c>
      <c r="L39" s="22" t="s">
        <v>60</v>
      </c>
      <c r="M39" s="22">
        <v>2</v>
      </c>
      <c r="N39" s="22" t="s">
        <v>226</v>
      </c>
      <c r="O39" s="22"/>
      <c r="P39" s="46" t="s">
        <v>685</v>
      </c>
      <c r="Q39" s="40"/>
      <c r="R39" s="41"/>
      <c r="S39" s="22">
        <f t="shared" si="0"/>
        <v>2</v>
      </c>
      <c r="T39" s="41">
        <v>44974</v>
      </c>
      <c r="U39" s="44">
        <v>44972</v>
      </c>
      <c r="V39" s="44">
        <v>44974</v>
      </c>
      <c r="W39" s="46"/>
      <c r="X39" s="46">
        <v>2</v>
      </c>
      <c r="Y39" s="44" t="s">
        <v>652</v>
      </c>
      <c r="Z39" s="58"/>
      <c r="AA39" s="22"/>
      <c r="AB39" s="22"/>
      <c r="AC39" s="58"/>
      <c r="AD39" s="22"/>
      <c r="AE39" s="22"/>
      <c r="AF39" s="48">
        <f t="shared" si="1"/>
        <v>0</v>
      </c>
      <c r="AG39" s="48">
        <f t="shared" si="2"/>
        <v>2</v>
      </c>
      <c r="AH39" s="48">
        <f t="shared" si="3"/>
        <v>2</v>
      </c>
      <c r="AI39" s="40" t="s">
        <v>33</v>
      </c>
      <c r="AJ39" s="40">
        <v>44988</v>
      </c>
      <c r="AK39" s="40"/>
      <c r="AL39" s="146"/>
      <c r="AM39" s="136"/>
      <c r="AN39" s="136"/>
      <c r="AO39" s="136"/>
    </row>
    <row r="40" spans="1:41" ht="17.399999999999999">
      <c r="A40" s="22" t="s">
        <v>227</v>
      </c>
      <c r="B40" s="22" t="s">
        <v>138</v>
      </c>
      <c r="C40" s="56">
        <v>45239</v>
      </c>
      <c r="D40" s="56" t="s">
        <v>228</v>
      </c>
      <c r="E40" s="22" t="s">
        <v>229</v>
      </c>
      <c r="F40" s="22" t="s">
        <v>33</v>
      </c>
      <c r="G40" s="22" t="s">
        <v>33</v>
      </c>
      <c r="H40" s="22" t="s">
        <v>205</v>
      </c>
      <c r="I40" s="49" t="s">
        <v>206</v>
      </c>
      <c r="J40" s="50" t="s">
        <v>207</v>
      </c>
      <c r="K40" s="22" t="s">
        <v>208</v>
      </c>
      <c r="L40" s="22" t="s">
        <v>60</v>
      </c>
      <c r="M40" s="22">
        <v>103</v>
      </c>
      <c r="N40" s="22" t="s">
        <v>230</v>
      </c>
      <c r="O40" s="22"/>
      <c r="P40" s="46" t="s">
        <v>685</v>
      </c>
      <c r="Q40" s="40"/>
      <c r="R40" s="41"/>
      <c r="S40" s="22">
        <f t="shared" si="0"/>
        <v>103</v>
      </c>
      <c r="T40" s="41">
        <v>45014</v>
      </c>
      <c r="U40" s="44" t="s">
        <v>571</v>
      </c>
      <c r="V40" s="44" t="s">
        <v>571</v>
      </c>
      <c r="W40" s="46" t="s">
        <v>571</v>
      </c>
      <c r="X40" s="46">
        <v>103</v>
      </c>
      <c r="Y40" s="46" t="s">
        <v>571</v>
      </c>
      <c r="Z40" s="58">
        <v>45898</v>
      </c>
      <c r="AA40" s="22" t="s">
        <v>18787</v>
      </c>
      <c r="AB40" s="22"/>
      <c r="AC40" s="22">
        <v>45898</v>
      </c>
      <c r="AD40" s="22" t="s">
        <v>18787</v>
      </c>
      <c r="AE40" s="22">
        <v>103</v>
      </c>
      <c r="AF40" s="48">
        <f t="shared" si="1"/>
        <v>0</v>
      </c>
      <c r="AG40" s="48">
        <f t="shared" si="2"/>
        <v>0</v>
      </c>
      <c r="AH40" s="48">
        <f t="shared" si="3"/>
        <v>0</v>
      </c>
      <c r="AI40" s="40" t="s">
        <v>33</v>
      </c>
      <c r="AJ40" s="40">
        <v>45057</v>
      </c>
      <c r="AK40" s="40"/>
      <c r="AL40" s="22"/>
      <c r="AM40" s="136"/>
      <c r="AN40" s="136"/>
      <c r="AO40" s="136"/>
    </row>
    <row r="41" spans="1:41" ht="17.399999999999999">
      <c r="A41" s="22" t="s">
        <v>437</v>
      </c>
      <c r="B41" s="22" t="s">
        <v>138</v>
      </c>
      <c r="C41" s="56">
        <v>45223</v>
      </c>
      <c r="D41" s="56">
        <v>44740</v>
      </c>
      <c r="E41" s="22" t="s">
        <v>438</v>
      </c>
      <c r="F41" s="22" t="s">
        <v>33</v>
      </c>
      <c r="G41" s="22" t="s">
        <v>33</v>
      </c>
      <c r="H41" s="22" t="s">
        <v>439</v>
      </c>
      <c r="I41" s="49" t="s">
        <v>440</v>
      </c>
      <c r="J41" s="50" t="s">
        <v>441</v>
      </c>
      <c r="K41" s="22" t="s">
        <v>312</v>
      </c>
      <c r="L41" s="22" t="s">
        <v>60</v>
      </c>
      <c r="M41" s="22">
        <v>1</v>
      </c>
      <c r="N41" s="22" t="s">
        <v>442</v>
      </c>
      <c r="O41" s="22"/>
      <c r="P41" s="46" t="s">
        <v>680</v>
      </c>
      <c r="Q41" s="40"/>
      <c r="R41" s="41"/>
      <c r="S41" s="22">
        <f t="shared" si="0"/>
        <v>1</v>
      </c>
      <c r="T41" s="41">
        <v>45070</v>
      </c>
      <c r="U41" s="44">
        <v>45072</v>
      </c>
      <c r="V41" s="44">
        <v>45077</v>
      </c>
      <c r="W41" s="46" t="s">
        <v>612</v>
      </c>
      <c r="X41" s="46">
        <v>1</v>
      </c>
      <c r="Y41" s="46" t="s">
        <v>653</v>
      </c>
      <c r="Z41" s="58"/>
      <c r="AA41" s="22"/>
      <c r="AB41" s="22"/>
      <c r="AC41" s="22"/>
      <c r="AD41" s="22"/>
      <c r="AE41" s="22"/>
      <c r="AF41" s="48">
        <f t="shared" si="1"/>
        <v>0</v>
      </c>
      <c r="AG41" s="48">
        <f t="shared" si="2"/>
        <v>1</v>
      </c>
      <c r="AH41" s="48">
        <f t="shared" si="3"/>
        <v>1</v>
      </c>
      <c r="AI41" s="40" t="s">
        <v>33</v>
      </c>
      <c r="AJ41" s="40"/>
      <c r="AK41" s="40"/>
      <c r="AL41" s="146"/>
      <c r="AM41" s="136"/>
      <c r="AN41" s="136"/>
      <c r="AO41" s="136"/>
    </row>
    <row r="42" spans="1:41" ht="17.399999999999999">
      <c r="A42" s="22" t="s">
        <v>231</v>
      </c>
      <c r="B42" s="22" t="s">
        <v>138</v>
      </c>
      <c r="C42" s="56">
        <v>44973</v>
      </c>
      <c r="D42" s="56">
        <v>44935</v>
      </c>
      <c r="E42" s="22" t="s">
        <v>232</v>
      </c>
      <c r="F42" s="22" t="s">
        <v>33</v>
      </c>
      <c r="G42" s="22" t="s">
        <v>33</v>
      </c>
      <c r="H42" s="22" t="s">
        <v>233</v>
      </c>
      <c r="I42" s="49" t="s">
        <v>174</v>
      </c>
      <c r="J42" s="50" t="s">
        <v>234</v>
      </c>
      <c r="K42" s="22" t="s">
        <v>235</v>
      </c>
      <c r="L42" s="22" t="s">
        <v>60</v>
      </c>
      <c r="M42" s="22">
        <v>2</v>
      </c>
      <c r="N42" s="22" t="s">
        <v>236</v>
      </c>
      <c r="O42" s="22"/>
      <c r="P42" s="46" t="s">
        <v>685</v>
      </c>
      <c r="Q42" s="40"/>
      <c r="R42" s="41"/>
      <c r="S42" s="22">
        <f t="shared" si="0"/>
        <v>2</v>
      </c>
      <c r="T42" s="41">
        <v>45016</v>
      </c>
      <c r="U42" s="44">
        <v>45012</v>
      </c>
      <c r="V42" s="44">
        <v>45016</v>
      </c>
      <c r="W42" s="46" t="s">
        <v>591</v>
      </c>
      <c r="X42" s="46">
        <v>2</v>
      </c>
      <c r="Y42" s="46" t="s">
        <v>654</v>
      </c>
      <c r="Z42" s="22">
        <v>45770</v>
      </c>
      <c r="AA42" s="22" t="s">
        <v>18397</v>
      </c>
      <c r="AB42" s="22">
        <v>2</v>
      </c>
      <c r="AC42" s="22"/>
      <c r="AD42" s="22"/>
      <c r="AE42" s="22"/>
      <c r="AF42" s="48">
        <f t="shared" si="1"/>
        <v>0</v>
      </c>
      <c r="AG42" s="48">
        <f t="shared" si="2"/>
        <v>0</v>
      </c>
      <c r="AH42" s="48">
        <f t="shared" si="3"/>
        <v>0</v>
      </c>
      <c r="AI42" s="40" t="s">
        <v>33</v>
      </c>
      <c r="AJ42" s="40">
        <v>45716</v>
      </c>
      <c r="AK42" s="40"/>
      <c r="AL42" s="146"/>
      <c r="AM42" s="136"/>
      <c r="AN42" s="136"/>
      <c r="AO42" s="136"/>
    </row>
    <row r="43" spans="1:41" ht="17.399999999999999">
      <c r="A43" s="22" t="s">
        <v>237</v>
      </c>
      <c r="B43" s="22" t="s">
        <v>138</v>
      </c>
      <c r="C43" s="56">
        <v>45006</v>
      </c>
      <c r="D43" s="56">
        <v>44949</v>
      </c>
      <c r="E43" s="22" t="s">
        <v>224</v>
      </c>
      <c r="F43" s="22" t="s">
        <v>33</v>
      </c>
      <c r="G43" s="22" t="s">
        <v>33</v>
      </c>
      <c r="H43" s="22" t="s">
        <v>5402</v>
      </c>
      <c r="I43" s="49" t="s">
        <v>57</v>
      </c>
      <c r="J43" s="50" t="s">
        <v>238</v>
      </c>
      <c r="K43" s="22" t="s">
        <v>98</v>
      </c>
      <c r="L43" s="22" t="s">
        <v>239</v>
      </c>
      <c r="M43" s="22">
        <v>1</v>
      </c>
      <c r="N43" s="22" t="s">
        <v>61</v>
      </c>
      <c r="O43" s="22"/>
      <c r="P43" s="46" t="s">
        <v>685</v>
      </c>
      <c r="Q43" s="40"/>
      <c r="R43" s="41"/>
      <c r="S43" s="22">
        <f t="shared" si="0"/>
        <v>1</v>
      </c>
      <c r="T43" s="41">
        <v>45072</v>
      </c>
      <c r="U43" s="44">
        <v>45064</v>
      </c>
      <c r="V43" s="44">
        <v>45072</v>
      </c>
      <c r="W43" s="46" t="s">
        <v>592</v>
      </c>
      <c r="X43" s="46">
        <v>1</v>
      </c>
      <c r="Y43" s="44" t="s">
        <v>655</v>
      </c>
      <c r="Z43" s="22"/>
      <c r="AA43" s="22"/>
      <c r="AB43" s="22"/>
      <c r="AC43" s="58"/>
      <c r="AD43" s="22"/>
      <c r="AE43" s="22"/>
      <c r="AF43" s="48">
        <f t="shared" si="1"/>
        <v>0</v>
      </c>
      <c r="AG43" s="48">
        <f t="shared" si="2"/>
        <v>1</v>
      </c>
      <c r="AH43" s="48">
        <f t="shared" si="3"/>
        <v>1</v>
      </c>
      <c r="AI43" s="40" t="s">
        <v>33</v>
      </c>
      <c r="AJ43" s="40">
        <v>45126</v>
      </c>
      <c r="AK43" s="40"/>
      <c r="AL43" s="146"/>
      <c r="AM43" s="136"/>
      <c r="AN43" s="136"/>
      <c r="AO43" s="136"/>
    </row>
    <row r="44" spans="1:41" ht="17.399999999999999">
      <c r="A44" s="22" t="s">
        <v>240</v>
      </c>
      <c r="B44" s="22" t="s">
        <v>138</v>
      </c>
      <c r="C44" s="56">
        <v>45013</v>
      </c>
      <c r="D44" s="56" t="s">
        <v>241</v>
      </c>
      <c r="E44" s="22" t="s">
        <v>242</v>
      </c>
      <c r="F44" s="22" t="s">
        <v>33</v>
      </c>
      <c r="G44" s="22" t="s">
        <v>33</v>
      </c>
      <c r="H44" s="22" t="s">
        <v>205</v>
      </c>
      <c r="I44" s="49" t="s">
        <v>206</v>
      </c>
      <c r="J44" s="50" t="s">
        <v>207</v>
      </c>
      <c r="K44" s="22" t="s">
        <v>208</v>
      </c>
      <c r="L44" s="22" t="s">
        <v>60</v>
      </c>
      <c r="M44" s="22">
        <v>20</v>
      </c>
      <c r="N44" s="22" t="s">
        <v>243</v>
      </c>
      <c r="O44" s="22"/>
      <c r="P44" s="46" t="s">
        <v>685</v>
      </c>
      <c r="Q44" s="40"/>
      <c r="R44" s="41"/>
      <c r="S44" s="22">
        <f t="shared" si="0"/>
        <v>20</v>
      </c>
      <c r="T44" s="41">
        <v>45072</v>
      </c>
      <c r="U44" s="44" t="s">
        <v>571</v>
      </c>
      <c r="V44" s="44" t="s">
        <v>571</v>
      </c>
      <c r="W44" s="46" t="s">
        <v>571</v>
      </c>
      <c r="X44" s="46">
        <v>20</v>
      </c>
      <c r="Y44" s="46" t="s">
        <v>571</v>
      </c>
      <c r="Z44" s="58"/>
      <c r="AA44" s="22"/>
      <c r="AB44" s="22"/>
      <c r="AC44" s="22">
        <v>45898</v>
      </c>
      <c r="AD44" s="22" t="s">
        <v>18787</v>
      </c>
      <c r="AE44" s="22">
        <v>20</v>
      </c>
      <c r="AF44" s="48">
        <f t="shared" si="1"/>
        <v>0</v>
      </c>
      <c r="AG44" s="48">
        <f t="shared" si="2"/>
        <v>0</v>
      </c>
      <c r="AH44" s="48">
        <f t="shared" si="3"/>
        <v>0</v>
      </c>
      <c r="AI44" s="40" t="s">
        <v>33</v>
      </c>
      <c r="AJ44" s="40">
        <v>45018</v>
      </c>
      <c r="AK44" s="40"/>
      <c r="AL44" s="22"/>
      <c r="AM44" s="136"/>
      <c r="AN44" s="136"/>
      <c r="AO44" s="136"/>
    </row>
    <row r="45" spans="1:41" ht="17.399999999999999">
      <c r="A45" s="22" t="s">
        <v>443</v>
      </c>
      <c r="B45" s="22" t="s">
        <v>223</v>
      </c>
      <c r="C45" s="56" t="s">
        <v>444</v>
      </c>
      <c r="D45" s="56">
        <v>44740</v>
      </c>
      <c r="E45" s="22" t="s">
        <v>438</v>
      </c>
      <c r="F45" s="22" t="s">
        <v>33</v>
      </c>
      <c r="G45" s="22" t="s">
        <v>33</v>
      </c>
      <c r="H45" s="22" t="s">
        <v>439</v>
      </c>
      <c r="I45" s="49" t="s">
        <v>440</v>
      </c>
      <c r="J45" s="50" t="s">
        <v>441</v>
      </c>
      <c r="K45" s="22" t="s">
        <v>312</v>
      </c>
      <c r="L45" s="22" t="s">
        <v>60</v>
      </c>
      <c r="M45" s="22">
        <v>3</v>
      </c>
      <c r="N45" s="22" t="s">
        <v>445</v>
      </c>
      <c r="O45" s="22"/>
      <c r="P45" s="46" t="s">
        <v>680</v>
      </c>
      <c r="Q45" s="40"/>
      <c r="R45" s="41"/>
      <c r="S45" s="22">
        <f t="shared" si="0"/>
        <v>3</v>
      </c>
      <c r="T45" s="41">
        <v>45070</v>
      </c>
      <c r="U45" s="44">
        <v>45072</v>
      </c>
      <c r="V45" s="44">
        <v>45077</v>
      </c>
      <c r="W45" s="46" t="s">
        <v>612</v>
      </c>
      <c r="X45" s="46">
        <v>3</v>
      </c>
      <c r="Y45" s="46" t="s">
        <v>653</v>
      </c>
      <c r="Z45" s="58"/>
      <c r="AA45" s="22"/>
      <c r="AB45" s="22"/>
      <c r="AC45" s="22"/>
      <c r="AD45" s="22"/>
      <c r="AE45" s="22"/>
      <c r="AF45" s="48">
        <f t="shared" si="1"/>
        <v>0</v>
      </c>
      <c r="AG45" s="48">
        <f t="shared" si="2"/>
        <v>3</v>
      </c>
      <c r="AH45" s="48">
        <f t="shared" si="3"/>
        <v>3</v>
      </c>
      <c r="AI45" s="40" t="s">
        <v>33</v>
      </c>
      <c r="AJ45" s="40" t="s">
        <v>33</v>
      </c>
      <c r="AK45" s="40"/>
      <c r="AL45" s="22"/>
      <c r="AM45" s="136"/>
      <c r="AN45" s="136"/>
      <c r="AO45" s="136"/>
    </row>
    <row r="46" spans="1:41" ht="17.399999999999999">
      <c r="A46" s="22" t="s">
        <v>446</v>
      </c>
      <c r="B46" s="22" t="s">
        <v>447</v>
      </c>
      <c r="C46" s="56">
        <v>45051</v>
      </c>
      <c r="D46" s="56">
        <v>45043</v>
      </c>
      <c r="E46" s="22" t="s">
        <v>448</v>
      </c>
      <c r="F46" s="22">
        <v>3</v>
      </c>
      <c r="G46" s="22" t="s">
        <v>33</v>
      </c>
      <c r="H46" s="22" t="s">
        <v>439</v>
      </c>
      <c r="I46" s="49" t="s">
        <v>440</v>
      </c>
      <c r="J46" s="50" t="s">
        <v>441</v>
      </c>
      <c r="K46" s="22" t="s">
        <v>312</v>
      </c>
      <c r="L46" s="22" t="s">
        <v>60</v>
      </c>
      <c r="M46" s="22">
        <v>1</v>
      </c>
      <c r="N46" s="22" t="s">
        <v>449</v>
      </c>
      <c r="O46" s="22"/>
      <c r="P46" s="46" t="s">
        <v>680</v>
      </c>
      <c r="Q46" s="40"/>
      <c r="R46" s="41"/>
      <c r="S46" s="22">
        <f t="shared" si="0"/>
        <v>1</v>
      </c>
      <c r="T46" s="41">
        <v>45070</v>
      </c>
      <c r="U46" s="44">
        <v>45072</v>
      </c>
      <c r="V46" s="44">
        <v>45077</v>
      </c>
      <c r="W46" s="46" t="s">
        <v>612</v>
      </c>
      <c r="X46" s="46">
        <v>1</v>
      </c>
      <c r="Y46" s="46" t="s">
        <v>653</v>
      </c>
      <c r="Z46" s="22"/>
      <c r="AA46" s="22"/>
      <c r="AB46" s="22"/>
      <c r="AC46" s="22"/>
      <c r="AD46" s="22"/>
      <c r="AE46" s="22"/>
      <c r="AF46" s="48">
        <f t="shared" si="1"/>
        <v>0</v>
      </c>
      <c r="AG46" s="48">
        <f t="shared" si="2"/>
        <v>1</v>
      </c>
      <c r="AH46" s="48">
        <f t="shared" si="3"/>
        <v>1</v>
      </c>
      <c r="AI46" s="40" t="s">
        <v>33</v>
      </c>
      <c r="AJ46" s="40" t="s">
        <v>33</v>
      </c>
      <c r="AK46" s="40"/>
      <c r="AL46" s="22"/>
      <c r="AM46" s="136"/>
      <c r="AN46" s="136"/>
      <c r="AO46" s="136"/>
    </row>
    <row r="47" spans="1:41" ht="17.399999999999999">
      <c r="A47" s="22" t="s">
        <v>450</v>
      </c>
      <c r="B47" s="22" t="s">
        <v>451</v>
      </c>
      <c r="C47" s="56">
        <v>45015</v>
      </c>
      <c r="D47" s="56">
        <v>44804</v>
      </c>
      <c r="E47" s="22" t="s">
        <v>452</v>
      </c>
      <c r="F47" s="22" t="s">
        <v>33</v>
      </c>
      <c r="G47" s="22" t="s">
        <v>33</v>
      </c>
      <c r="H47" s="22" t="s">
        <v>3242</v>
      </c>
      <c r="I47" s="49" t="s">
        <v>453</v>
      </c>
      <c r="J47" s="50" t="s">
        <v>454</v>
      </c>
      <c r="K47" s="22" t="s">
        <v>98</v>
      </c>
      <c r="L47" s="22" t="s">
        <v>60</v>
      </c>
      <c r="M47" s="22">
        <v>1</v>
      </c>
      <c r="N47" s="22" t="s">
        <v>334</v>
      </c>
      <c r="O47" s="22"/>
      <c r="P47" s="46" t="s">
        <v>680</v>
      </c>
      <c r="Q47" s="40"/>
      <c r="R47" s="41"/>
      <c r="S47" s="22">
        <f t="shared" si="0"/>
        <v>1</v>
      </c>
      <c r="T47" s="41">
        <v>45128</v>
      </c>
      <c r="U47" s="44">
        <v>45230</v>
      </c>
      <c r="V47" s="44">
        <v>45237</v>
      </c>
      <c r="W47" s="46" t="s">
        <v>613</v>
      </c>
      <c r="X47" s="46">
        <v>1</v>
      </c>
      <c r="Y47" s="46" t="s">
        <v>656</v>
      </c>
      <c r="Z47" s="22"/>
      <c r="AA47" s="22"/>
      <c r="AB47" s="22"/>
      <c r="AC47" s="58"/>
      <c r="AD47" s="22"/>
      <c r="AE47" s="22"/>
      <c r="AF47" s="48">
        <f t="shared" si="1"/>
        <v>0</v>
      </c>
      <c r="AG47" s="48">
        <f t="shared" si="2"/>
        <v>1</v>
      </c>
      <c r="AH47" s="48">
        <f t="shared" si="3"/>
        <v>1</v>
      </c>
      <c r="AI47" s="40" t="s">
        <v>33</v>
      </c>
      <c r="AJ47" s="40" t="s">
        <v>33</v>
      </c>
      <c r="AK47" s="40"/>
      <c r="AL47" s="22"/>
      <c r="AM47" s="136"/>
      <c r="AN47" s="136"/>
      <c r="AO47" s="136"/>
    </row>
    <row r="48" spans="1:41" ht="17.399999999999999">
      <c r="A48" s="22" t="s">
        <v>466</v>
      </c>
      <c r="B48" s="22" t="s">
        <v>467</v>
      </c>
      <c r="C48" s="56" t="s">
        <v>33</v>
      </c>
      <c r="D48" s="56">
        <v>44719</v>
      </c>
      <c r="E48" s="22" t="s">
        <v>468</v>
      </c>
      <c r="F48" s="22" t="s">
        <v>33</v>
      </c>
      <c r="G48" s="22" t="s">
        <v>33</v>
      </c>
      <c r="H48" s="22" t="s">
        <v>469</v>
      </c>
      <c r="I48" s="49" t="s">
        <v>174</v>
      </c>
      <c r="J48" s="50" t="s">
        <v>470</v>
      </c>
      <c r="K48" s="22" t="s">
        <v>499</v>
      </c>
      <c r="L48" s="22" t="s">
        <v>60</v>
      </c>
      <c r="M48" s="22">
        <v>1</v>
      </c>
      <c r="N48" s="22" t="s">
        <v>471</v>
      </c>
      <c r="O48" s="22"/>
      <c r="P48" s="46" t="s">
        <v>683</v>
      </c>
      <c r="Q48" s="40"/>
      <c r="R48" s="41"/>
      <c r="S48" s="22">
        <f t="shared" si="0"/>
        <v>1</v>
      </c>
      <c r="T48" s="41">
        <v>45225</v>
      </c>
      <c r="U48" s="44">
        <v>45278</v>
      </c>
      <c r="V48" s="44">
        <v>45280</v>
      </c>
      <c r="W48" s="46" t="s">
        <v>615</v>
      </c>
      <c r="X48" s="46">
        <v>1</v>
      </c>
      <c r="Y48" s="44" t="s">
        <v>657</v>
      </c>
      <c r="Z48" s="22">
        <v>45819</v>
      </c>
      <c r="AA48" s="22" t="s">
        <v>18791</v>
      </c>
      <c r="AB48" s="22">
        <v>1</v>
      </c>
      <c r="AC48" s="58"/>
      <c r="AD48" s="22"/>
      <c r="AE48" s="22"/>
      <c r="AF48" s="48">
        <f t="shared" si="1"/>
        <v>0</v>
      </c>
      <c r="AG48" s="48">
        <f t="shared" si="2"/>
        <v>0</v>
      </c>
      <c r="AH48" s="48">
        <f t="shared" si="3"/>
        <v>0</v>
      </c>
      <c r="AI48" s="40" t="s">
        <v>33</v>
      </c>
      <c r="AJ48" s="40" t="s">
        <v>33</v>
      </c>
      <c r="AK48" s="40"/>
      <c r="AL48" s="146"/>
      <c r="AM48" s="136"/>
      <c r="AN48" s="136"/>
      <c r="AO48" s="136"/>
    </row>
    <row r="49" spans="1:41" ht="17.399999999999999">
      <c r="A49" s="22" t="s">
        <v>244</v>
      </c>
      <c r="B49" s="22" t="s">
        <v>245</v>
      </c>
      <c r="C49" s="56" t="s">
        <v>246</v>
      </c>
      <c r="D49" s="56" t="s">
        <v>247</v>
      </c>
      <c r="E49" s="22" t="s">
        <v>248</v>
      </c>
      <c r="F49" s="22" t="s">
        <v>33</v>
      </c>
      <c r="G49" s="22" t="s">
        <v>33</v>
      </c>
      <c r="H49" s="22" t="s">
        <v>205</v>
      </c>
      <c r="I49" s="49" t="s">
        <v>206</v>
      </c>
      <c r="J49" s="50" t="s">
        <v>207</v>
      </c>
      <c r="K49" s="22" t="s">
        <v>208</v>
      </c>
      <c r="L49" s="22" t="s">
        <v>60</v>
      </c>
      <c r="M49" s="22">
        <v>17</v>
      </c>
      <c r="N49" s="22" t="s">
        <v>249</v>
      </c>
      <c r="O49" s="22"/>
      <c r="P49" s="46" t="s">
        <v>685</v>
      </c>
      <c r="Q49" s="40"/>
      <c r="R49" s="41"/>
      <c r="S49" s="22">
        <f t="shared" si="0"/>
        <v>17</v>
      </c>
      <c r="T49" s="41">
        <v>45100</v>
      </c>
      <c r="U49" s="44" t="s">
        <v>571</v>
      </c>
      <c r="V49" s="44" t="s">
        <v>571</v>
      </c>
      <c r="W49" s="46" t="s">
        <v>571</v>
      </c>
      <c r="X49" s="46">
        <v>17</v>
      </c>
      <c r="Y49" s="46" t="s">
        <v>571</v>
      </c>
      <c r="Z49" s="22"/>
      <c r="AA49" s="22"/>
      <c r="AB49" s="22"/>
      <c r="AC49" s="58">
        <v>45898</v>
      </c>
      <c r="AD49" s="22" t="s">
        <v>18787</v>
      </c>
      <c r="AE49" s="22">
        <v>17</v>
      </c>
      <c r="AF49" s="48">
        <f t="shared" si="1"/>
        <v>0</v>
      </c>
      <c r="AG49" s="48">
        <f t="shared" si="2"/>
        <v>0</v>
      </c>
      <c r="AH49" s="48">
        <f t="shared" si="3"/>
        <v>0</v>
      </c>
      <c r="AI49" s="40" t="s">
        <v>33</v>
      </c>
      <c r="AJ49" s="40">
        <v>45024</v>
      </c>
      <c r="AK49" s="40"/>
      <c r="AL49" s="22"/>
      <c r="AM49" s="136"/>
      <c r="AN49" s="136"/>
      <c r="AO49" s="136"/>
    </row>
    <row r="50" spans="1:41" ht="17.399999999999999">
      <c r="A50" s="22" t="s">
        <v>18792</v>
      </c>
      <c r="B50" s="22" t="s">
        <v>138</v>
      </c>
      <c r="C50" s="56" t="s">
        <v>33</v>
      </c>
      <c r="D50" s="56" t="s">
        <v>33</v>
      </c>
      <c r="E50" s="22" t="s">
        <v>33</v>
      </c>
      <c r="F50" s="22" t="s">
        <v>33</v>
      </c>
      <c r="G50" s="22" t="s">
        <v>67</v>
      </c>
      <c r="H50" s="22" t="s">
        <v>351</v>
      </c>
      <c r="I50" s="49" t="s">
        <v>352</v>
      </c>
      <c r="J50" s="50" t="s">
        <v>353</v>
      </c>
      <c r="K50" s="22" t="s">
        <v>346</v>
      </c>
      <c r="L50" s="22" t="s">
        <v>60</v>
      </c>
      <c r="M50" s="22">
        <v>65</v>
      </c>
      <c r="N50" s="22" t="s">
        <v>18793</v>
      </c>
      <c r="O50" s="22"/>
      <c r="P50" s="46" t="s">
        <v>18088</v>
      </c>
      <c r="Q50" s="40"/>
      <c r="R50" s="41"/>
      <c r="S50" s="22">
        <f t="shared" si="0"/>
        <v>65</v>
      </c>
      <c r="T50" s="41">
        <v>45100</v>
      </c>
      <c r="U50" s="44">
        <v>45093</v>
      </c>
      <c r="V50" s="44">
        <v>45100</v>
      </c>
      <c r="W50" s="46" t="s">
        <v>18794</v>
      </c>
      <c r="X50" s="46">
        <v>65</v>
      </c>
      <c r="Y50" s="46" t="s">
        <v>18795</v>
      </c>
      <c r="Z50" s="22"/>
      <c r="AA50" s="22"/>
      <c r="AB50" s="22"/>
      <c r="AC50" s="58"/>
      <c r="AD50" s="22"/>
      <c r="AE50" s="22"/>
      <c r="AF50" s="48">
        <f t="shared" si="1"/>
        <v>0</v>
      </c>
      <c r="AG50" s="48">
        <f t="shared" si="2"/>
        <v>65</v>
      </c>
      <c r="AH50" s="48">
        <f t="shared" si="3"/>
        <v>65</v>
      </c>
      <c r="AI50" s="40" t="s">
        <v>33</v>
      </c>
      <c r="AJ50" s="40" t="s">
        <v>33</v>
      </c>
      <c r="AK50" s="40"/>
      <c r="AL50" s="22"/>
      <c r="AM50" s="136"/>
      <c r="AN50" s="136"/>
      <c r="AO50" s="136"/>
    </row>
    <row r="51" spans="1:41" ht="17.399999999999999">
      <c r="A51" s="22" t="s">
        <v>472</v>
      </c>
      <c r="B51" s="22" t="s">
        <v>451</v>
      </c>
      <c r="C51" s="56">
        <v>44905</v>
      </c>
      <c r="D51" s="56" t="s">
        <v>473</v>
      </c>
      <c r="E51" s="22" t="s">
        <v>474</v>
      </c>
      <c r="F51" s="22" t="s">
        <v>33</v>
      </c>
      <c r="G51" s="22" t="s">
        <v>33</v>
      </c>
      <c r="H51" s="22" t="s">
        <v>475</v>
      </c>
      <c r="I51" s="49" t="s">
        <v>174</v>
      </c>
      <c r="J51" s="50" t="s">
        <v>476</v>
      </c>
      <c r="K51" s="22" t="s">
        <v>215</v>
      </c>
      <c r="L51" s="22" t="s">
        <v>60</v>
      </c>
      <c r="M51" s="22">
        <v>3</v>
      </c>
      <c r="N51" s="22" t="s">
        <v>477</v>
      </c>
      <c r="O51" s="22"/>
      <c r="P51" s="46" t="s">
        <v>683</v>
      </c>
      <c r="Q51" s="40"/>
      <c r="R51" s="41"/>
      <c r="S51" s="22">
        <f t="shared" si="0"/>
        <v>3</v>
      </c>
      <c r="T51" s="41">
        <v>45225</v>
      </c>
      <c r="U51" s="44">
        <v>45278</v>
      </c>
      <c r="V51" s="44">
        <v>45280</v>
      </c>
      <c r="W51" s="46" t="s">
        <v>615</v>
      </c>
      <c r="X51" s="46">
        <v>3</v>
      </c>
      <c r="Y51" s="44" t="s">
        <v>657</v>
      </c>
      <c r="Z51" s="22" t="s">
        <v>18796</v>
      </c>
      <c r="AA51" s="22" t="s">
        <v>18797</v>
      </c>
      <c r="AB51" s="22">
        <f>2+1</f>
        <v>3</v>
      </c>
      <c r="AC51" s="58"/>
      <c r="AD51" s="22"/>
      <c r="AE51" s="22"/>
      <c r="AF51" s="48">
        <f t="shared" si="1"/>
        <v>0</v>
      </c>
      <c r="AG51" s="48">
        <f t="shared" si="2"/>
        <v>0</v>
      </c>
      <c r="AH51" s="48">
        <f t="shared" si="3"/>
        <v>0</v>
      </c>
      <c r="AI51" s="40" t="s">
        <v>33</v>
      </c>
      <c r="AJ51" s="40" t="s">
        <v>33</v>
      </c>
      <c r="AK51" s="40"/>
      <c r="AL51" s="146"/>
      <c r="AM51" s="136"/>
      <c r="AN51" s="136"/>
      <c r="AO51" s="136"/>
    </row>
    <row r="52" spans="1:41" ht="17.399999999999999">
      <c r="A52" s="22" t="s">
        <v>478</v>
      </c>
      <c r="B52" s="22" t="s">
        <v>479</v>
      </c>
      <c r="C52" s="56" t="s">
        <v>480</v>
      </c>
      <c r="D52" s="56" t="s">
        <v>481</v>
      </c>
      <c r="E52" s="22" t="s">
        <v>482</v>
      </c>
      <c r="F52" s="22" t="s">
        <v>33</v>
      </c>
      <c r="G52" s="22" t="s">
        <v>33</v>
      </c>
      <c r="H52" s="22" t="s">
        <v>469</v>
      </c>
      <c r="I52" s="49" t="s">
        <v>174</v>
      </c>
      <c r="J52" s="50" t="s">
        <v>470</v>
      </c>
      <c r="K52" s="22" t="s">
        <v>499</v>
      </c>
      <c r="L52" s="22" t="s">
        <v>60</v>
      </c>
      <c r="M52" s="22">
        <v>7</v>
      </c>
      <c r="N52" s="22" t="s">
        <v>483</v>
      </c>
      <c r="O52" s="22"/>
      <c r="P52" s="46" t="s">
        <v>683</v>
      </c>
      <c r="Q52" s="40"/>
      <c r="R52" s="41"/>
      <c r="S52" s="22">
        <f t="shared" si="0"/>
        <v>7</v>
      </c>
      <c r="T52" s="41">
        <v>45225</v>
      </c>
      <c r="U52" s="44">
        <v>45278</v>
      </c>
      <c r="V52" s="44">
        <v>45280</v>
      </c>
      <c r="W52" s="46" t="s">
        <v>615</v>
      </c>
      <c r="X52" s="46">
        <v>7</v>
      </c>
      <c r="Y52" s="46" t="s">
        <v>657</v>
      </c>
      <c r="Z52" s="22">
        <v>45819</v>
      </c>
      <c r="AA52" s="22" t="s">
        <v>18798</v>
      </c>
      <c r="AB52" s="22">
        <v>3</v>
      </c>
      <c r="AC52" s="22"/>
      <c r="AD52" s="22"/>
      <c r="AE52" s="22"/>
      <c r="AF52" s="48">
        <f t="shared" si="1"/>
        <v>0</v>
      </c>
      <c r="AG52" s="48">
        <f t="shared" si="2"/>
        <v>4</v>
      </c>
      <c r="AH52" s="48">
        <f t="shared" si="3"/>
        <v>4</v>
      </c>
      <c r="AI52" s="40" t="s">
        <v>33</v>
      </c>
      <c r="AJ52" s="40" t="s">
        <v>33</v>
      </c>
      <c r="AK52" s="40"/>
      <c r="AL52" s="22"/>
      <c r="AM52" s="136"/>
      <c r="AN52" s="136"/>
      <c r="AO52" s="136"/>
    </row>
    <row r="53" spans="1:41" ht="17.399999999999999">
      <c r="A53" s="22" t="s">
        <v>268</v>
      </c>
      <c r="B53" s="22" t="s">
        <v>269</v>
      </c>
      <c r="C53" s="56" t="s">
        <v>270</v>
      </c>
      <c r="D53" s="56">
        <v>45058</v>
      </c>
      <c r="E53" s="22" t="s">
        <v>266</v>
      </c>
      <c r="F53" s="22" t="s">
        <v>33</v>
      </c>
      <c r="G53" s="22" t="s">
        <v>33</v>
      </c>
      <c r="H53" s="22" t="s">
        <v>205</v>
      </c>
      <c r="I53" s="49" t="s">
        <v>206</v>
      </c>
      <c r="J53" s="50" t="s">
        <v>207</v>
      </c>
      <c r="K53" s="22" t="s">
        <v>208</v>
      </c>
      <c r="L53" s="22" t="s">
        <v>60</v>
      </c>
      <c r="M53" s="22">
        <v>41</v>
      </c>
      <c r="N53" s="22" t="s">
        <v>271</v>
      </c>
      <c r="O53" s="22"/>
      <c r="P53" s="46" t="s">
        <v>685</v>
      </c>
      <c r="Q53" s="40"/>
      <c r="R53" s="41"/>
      <c r="S53" s="22">
        <f t="shared" si="0"/>
        <v>41</v>
      </c>
      <c r="T53" s="41">
        <v>45176</v>
      </c>
      <c r="U53" s="44" t="s">
        <v>571</v>
      </c>
      <c r="V53" s="44" t="s">
        <v>571</v>
      </c>
      <c r="W53" s="46" t="s">
        <v>571</v>
      </c>
      <c r="X53" s="46">
        <v>41</v>
      </c>
      <c r="Y53" s="46" t="s">
        <v>571</v>
      </c>
      <c r="Z53" s="22"/>
      <c r="AA53" s="22"/>
      <c r="AB53" s="22"/>
      <c r="AC53" s="22">
        <v>45898</v>
      </c>
      <c r="AD53" s="22" t="s">
        <v>18787</v>
      </c>
      <c r="AE53" s="22">
        <v>41</v>
      </c>
      <c r="AF53" s="48">
        <f t="shared" si="1"/>
        <v>0</v>
      </c>
      <c r="AG53" s="48">
        <f t="shared" si="2"/>
        <v>0</v>
      </c>
      <c r="AH53" s="48">
        <f t="shared" si="3"/>
        <v>0</v>
      </c>
      <c r="AI53" s="40" t="s">
        <v>33</v>
      </c>
      <c r="AJ53" s="40">
        <v>45024</v>
      </c>
      <c r="AK53" s="40"/>
      <c r="AL53" s="22"/>
      <c r="AM53" s="136"/>
      <c r="AN53" s="136"/>
      <c r="AO53" s="136"/>
    </row>
    <row r="54" spans="1:41" ht="17.399999999999999">
      <c r="A54" s="22" t="s">
        <v>484</v>
      </c>
      <c r="B54" s="22" t="s">
        <v>485</v>
      </c>
      <c r="C54" s="56">
        <v>45076</v>
      </c>
      <c r="D54" s="56">
        <v>44935</v>
      </c>
      <c r="E54" s="22" t="s">
        <v>486</v>
      </c>
      <c r="F54" s="22" t="s">
        <v>33</v>
      </c>
      <c r="G54" s="22" t="s">
        <v>33</v>
      </c>
      <c r="H54" s="22" t="s">
        <v>475</v>
      </c>
      <c r="I54" s="49" t="s">
        <v>174</v>
      </c>
      <c r="J54" s="50" t="s">
        <v>476</v>
      </c>
      <c r="K54" s="22" t="s">
        <v>215</v>
      </c>
      <c r="L54" s="22" t="s">
        <v>60</v>
      </c>
      <c r="M54" s="22">
        <v>1</v>
      </c>
      <c r="N54" s="22" t="s">
        <v>487</v>
      </c>
      <c r="O54" s="22"/>
      <c r="P54" s="46" t="s">
        <v>683</v>
      </c>
      <c r="Q54" s="40"/>
      <c r="R54" s="41"/>
      <c r="S54" s="22">
        <f t="shared" si="0"/>
        <v>1</v>
      </c>
      <c r="T54" s="41">
        <v>45225</v>
      </c>
      <c r="U54" s="44">
        <v>45278</v>
      </c>
      <c r="V54" s="44">
        <v>45280</v>
      </c>
      <c r="W54" s="46" t="s">
        <v>615</v>
      </c>
      <c r="X54" s="46">
        <v>1</v>
      </c>
      <c r="Y54" s="46" t="s">
        <v>657</v>
      </c>
      <c r="Z54" s="22">
        <v>45951</v>
      </c>
      <c r="AA54" s="22" t="s">
        <v>18799</v>
      </c>
      <c r="AB54" s="22">
        <v>1</v>
      </c>
      <c r="AC54" s="22"/>
      <c r="AD54" s="22"/>
      <c r="AE54" s="22"/>
      <c r="AF54" s="48">
        <f t="shared" si="1"/>
        <v>0</v>
      </c>
      <c r="AG54" s="48">
        <f t="shared" si="2"/>
        <v>0</v>
      </c>
      <c r="AH54" s="48">
        <f t="shared" si="3"/>
        <v>0</v>
      </c>
      <c r="AI54" s="40" t="s">
        <v>33</v>
      </c>
      <c r="AJ54" s="40" t="s">
        <v>33</v>
      </c>
      <c r="AK54" s="40"/>
      <c r="AL54" s="22"/>
      <c r="AM54" s="136"/>
      <c r="AN54" s="136"/>
      <c r="AO54" s="136"/>
    </row>
    <row r="55" spans="1:41" ht="17.399999999999999">
      <c r="A55" s="168" t="s">
        <v>529</v>
      </c>
      <c r="B55" s="168" t="s">
        <v>530</v>
      </c>
      <c r="C55" s="169">
        <v>45086</v>
      </c>
      <c r="D55" s="169">
        <v>44790</v>
      </c>
      <c r="E55" s="168" t="s">
        <v>531</v>
      </c>
      <c r="F55" s="168" t="s">
        <v>33</v>
      </c>
      <c r="G55" s="168" t="s">
        <v>33</v>
      </c>
      <c r="H55" s="168" t="s">
        <v>532</v>
      </c>
      <c r="I55" s="170" t="s">
        <v>304</v>
      </c>
      <c r="J55" s="171" t="s">
        <v>533</v>
      </c>
      <c r="K55" s="168" t="s">
        <v>215</v>
      </c>
      <c r="L55" s="168" t="s">
        <v>60</v>
      </c>
      <c r="M55" s="168">
        <v>1</v>
      </c>
      <c r="N55" s="168" t="s">
        <v>534</v>
      </c>
      <c r="O55" s="168"/>
      <c r="P55" s="172" t="s">
        <v>684</v>
      </c>
      <c r="Q55" s="40"/>
      <c r="R55" s="41"/>
      <c r="S55" s="22">
        <f t="shared" si="0"/>
        <v>1</v>
      </c>
      <c r="T55" s="41">
        <v>45258</v>
      </c>
      <c r="U55" s="44">
        <v>45308</v>
      </c>
      <c r="V55" s="44">
        <v>45306</v>
      </c>
      <c r="W55" s="46" t="s">
        <v>617</v>
      </c>
      <c r="X55" s="46">
        <v>1</v>
      </c>
      <c r="Y55" s="46" t="s">
        <v>658</v>
      </c>
      <c r="Z55" s="22"/>
      <c r="AA55" s="22"/>
      <c r="AB55" s="22"/>
      <c r="AC55" s="58"/>
      <c r="AD55" s="22"/>
      <c r="AE55" s="22"/>
      <c r="AF55" s="48">
        <f t="shared" si="1"/>
        <v>0</v>
      </c>
      <c r="AG55" s="48">
        <f t="shared" si="2"/>
        <v>1</v>
      </c>
      <c r="AH55" s="48">
        <f t="shared" si="3"/>
        <v>1</v>
      </c>
      <c r="AI55" s="40" t="s">
        <v>33</v>
      </c>
      <c r="AJ55" s="40" t="s">
        <v>33</v>
      </c>
      <c r="AK55" s="40"/>
      <c r="AL55" s="146"/>
      <c r="AM55" s="136"/>
      <c r="AN55" s="136"/>
      <c r="AO55" s="136"/>
    </row>
    <row r="56" spans="1:41" s="163" customFormat="1" ht="17.399999999999999">
      <c r="A56" s="22" t="s">
        <v>488</v>
      </c>
      <c r="B56" s="22" t="s">
        <v>489</v>
      </c>
      <c r="C56" s="56">
        <v>45110</v>
      </c>
      <c r="D56" s="56">
        <v>44795</v>
      </c>
      <c r="E56" s="22" t="s">
        <v>490</v>
      </c>
      <c r="F56" s="22" t="s">
        <v>33</v>
      </c>
      <c r="G56" s="22" t="s">
        <v>33</v>
      </c>
      <c r="H56" s="22" t="s">
        <v>491</v>
      </c>
      <c r="I56" s="49" t="s">
        <v>174</v>
      </c>
      <c r="J56" s="50" t="s">
        <v>492</v>
      </c>
      <c r="K56" s="22" t="s">
        <v>493</v>
      </c>
      <c r="L56" s="22" t="s">
        <v>60</v>
      </c>
      <c r="M56" s="22">
        <v>1</v>
      </c>
      <c r="N56" s="22" t="s">
        <v>494</v>
      </c>
      <c r="O56" s="22"/>
      <c r="P56" s="46" t="s">
        <v>683</v>
      </c>
      <c r="Q56" s="160"/>
      <c r="R56" s="161"/>
      <c r="S56" s="157">
        <f t="shared" si="0"/>
        <v>1</v>
      </c>
      <c r="T56" s="161">
        <v>45225</v>
      </c>
      <c r="U56" s="164">
        <v>45278</v>
      </c>
      <c r="V56" s="164">
        <v>45280</v>
      </c>
      <c r="W56" s="159" t="s">
        <v>615</v>
      </c>
      <c r="X56" s="159">
        <v>1</v>
      </c>
      <c r="Y56" s="159" t="s">
        <v>657</v>
      </c>
      <c r="Z56" s="157">
        <v>45951</v>
      </c>
      <c r="AA56" s="157" t="s">
        <v>18799</v>
      </c>
      <c r="AB56" s="157">
        <v>1</v>
      </c>
      <c r="AC56" s="157"/>
      <c r="AD56" s="157"/>
      <c r="AE56" s="157"/>
      <c r="AF56" s="162">
        <f t="shared" si="1"/>
        <v>0</v>
      </c>
      <c r="AG56" s="162">
        <f t="shared" si="2"/>
        <v>0</v>
      </c>
      <c r="AH56" s="162">
        <f t="shared" si="3"/>
        <v>0</v>
      </c>
      <c r="AI56" s="160" t="s">
        <v>33</v>
      </c>
      <c r="AJ56" s="160" t="s">
        <v>33</v>
      </c>
      <c r="AK56" s="160"/>
      <c r="AL56" s="157"/>
      <c r="AM56" s="165"/>
      <c r="AN56" s="165"/>
      <c r="AO56" s="165"/>
    </row>
    <row r="57" spans="1:41" ht="17.399999999999999">
      <c r="A57" s="168" t="s">
        <v>535</v>
      </c>
      <c r="B57" s="168" t="s">
        <v>536</v>
      </c>
      <c r="C57" s="169">
        <v>45098</v>
      </c>
      <c r="D57" s="169">
        <v>44790</v>
      </c>
      <c r="E57" s="168" t="s">
        <v>531</v>
      </c>
      <c r="F57" s="168" t="s">
        <v>33</v>
      </c>
      <c r="G57" s="168" t="s">
        <v>33</v>
      </c>
      <c r="H57" s="168" t="s">
        <v>532</v>
      </c>
      <c r="I57" s="170" t="s">
        <v>304</v>
      </c>
      <c r="J57" s="171" t="s">
        <v>533</v>
      </c>
      <c r="K57" s="168" t="s">
        <v>215</v>
      </c>
      <c r="L57" s="168" t="s">
        <v>60</v>
      </c>
      <c r="M57" s="168">
        <v>1</v>
      </c>
      <c r="N57" s="168" t="s">
        <v>534</v>
      </c>
      <c r="O57" s="168"/>
      <c r="P57" s="172" t="s">
        <v>684</v>
      </c>
      <c r="Q57" s="40"/>
      <c r="R57" s="41"/>
      <c r="S57" s="22">
        <f t="shared" si="0"/>
        <v>1</v>
      </c>
      <c r="T57" s="41">
        <v>45258</v>
      </c>
      <c r="U57" s="44">
        <v>45308</v>
      </c>
      <c r="V57" s="44">
        <v>45306</v>
      </c>
      <c r="W57" s="46" t="s">
        <v>617</v>
      </c>
      <c r="X57" s="46">
        <v>1</v>
      </c>
      <c r="Y57" s="46" t="s">
        <v>658</v>
      </c>
      <c r="Z57" s="22"/>
      <c r="AA57" s="22"/>
      <c r="AB57" s="22"/>
      <c r="AC57" s="58"/>
      <c r="AD57" s="22"/>
      <c r="AE57" s="22"/>
      <c r="AF57" s="48">
        <f t="shared" si="1"/>
        <v>0</v>
      </c>
      <c r="AG57" s="48">
        <f t="shared" si="2"/>
        <v>1</v>
      </c>
      <c r="AH57" s="48">
        <f t="shared" si="3"/>
        <v>1</v>
      </c>
      <c r="AI57" s="40" t="s">
        <v>33</v>
      </c>
      <c r="AJ57" s="40" t="s">
        <v>33</v>
      </c>
      <c r="AK57" s="40"/>
      <c r="AL57" s="146"/>
      <c r="AM57" s="136"/>
      <c r="AN57" s="136"/>
      <c r="AO57" s="136"/>
    </row>
    <row r="58" spans="1:41" s="163" customFormat="1" ht="17.399999999999999">
      <c r="A58" s="22" t="s">
        <v>256</v>
      </c>
      <c r="B58" s="22" t="s">
        <v>50</v>
      </c>
      <c r="C58" s="56" t="s">
        <v>257</v>
      </c>
      <c r="D58" s="56">
        <v>45110</v>
      </c>
      <c r="E58" s="22" t="s">
        <v>258</v>
      </c>
      <c r="F58" s="22">
        <v>50000</v>
      </c>
      <c r="G58" s="22" t="s">
        <v>259</v>
      </c>
      <c r="H58" s="22" t="s">
        <v>260</v>
      </c>
      <c r="I58" s="49" t="s">
        <v>206</v>
      </c>
      <c r="J58" s="50" t="s">
        <v>261</v>
      </c>
      <c r="K58" s="22" t="s">
        <v>208</v>
      </c>
      <c r="L58" s="22" t="s">
        <v>60</v>
      </c>
      <c r="M58" s="22">
        <v>39</v>
      </c>
      <c r="N58" s="22" t="s">
        <v>262</v>
      </c>
      <c r="O58" s="22"/>
      <c r="P58" s="46" t="s">
        <v>685</v>
      </c>
      <c r="Q58" s="160"/>
      <c r="R58" s="161"/>
      <c r="S58" s="157">
        <f t="shared" si="0"/>
        <v>39</v>
      </c>
      <c r="T58" s="161">
        <v>45142</v>
      </c>
      <c r="U58" s="164" t="s">
        <v>571</v>
      </c>
      <c r="V58" s="164" t="s">
        <v>571</v>
      </c>
      <c r="W58" s="159" t="s">
        <v>571</v>
      </c>
      <c r="X58" s="159">
        <v>39</v>
      </c>
      <c r="Y58" s="159" t="s">
        <v>571</v>
      </c>
      <c r="Z58" s="157"/>
      <c r="AA58" s="157"/>
      <c r="AB58" s="157"/>
      <c r="AC58" s="157">
        <v>45898</v>
      </c>
      <c r="AD58" s="157" t="s">
        <v>18787</v>
      </c>
      <c r="AE58" s="157">
        <v>39</v>
      </c>
      <c r="AF58" s="162">
        <f t="shared" si="1"/>
        <v>0</v>
      </c>
      <c r="AG58" s="162">
        <f t="shared" si="2"/>
        <v>0</v>
      </c>
      <c r="AH58" s="162">
        <f t="shared" si="3"/>
        <v>0</v>
      </c>
      <c r="AI58" s="160" t="s">
        <v>33</v>
      </c>
      <c r="AJ58" s="160">
        <v>45024</v>
      </c>
      <c r="AK58" s="160"/>
      <c r="AL58" s="157"/>
      <c r="AM58" s="165"/>
      <c r="AN58" s="165"/>
      <c r="AO58" s="165"/>
    </row>
    <row r="59" spans="1:41" s="163" customFormat="1" ht="17.399999999999999">
      <c r="A59" s="22" t="s">
        <v>263</v>
      </c>
      <c r="B59" s="22" t="s">
        <v>264</v>
      </c>
      <c r="C59" s="56" t="s">
        <v>265</v>
      </c>
      <c r="D59" s="56">
        <v>45058</v>
      </c>
      <c r="E59" s="22" t="s">
        <v>266</v>
      </c>
      <c r="F59" s="22" t="s">
        <v>33</v>
      </c>
      <c r="G59" s="22" t="s">
        <v>33</v>
      </c>
      <c r="H59" s="22" t="s">
        <v>205</v>
      </c>
      <c r="I59" s="49" t="s">
        <v>206</v>
      </c>
      <c r="J59" s="50" t="s">
        <v>207</v>
      </c>
      <c r="K59" s="22" t="s">
        <v>208</v>
      </c>
      <c r="L59" s="22" t="s">
        <v>60</v>
      </c>
      <c r="M59" s="22">
        <v>98</v>
      </c>
      <c r="N59" s="22" t="s">
        <v>267</v>
      </c>
      <c r="O59" s="22"/>
      <c r="P59" s="46" t="s">
        <v>685</v>
      </c>
      <c r="Q59" s="160"/>
      <c r="R59" s="161"/>
      <c r="S59" s="157">
        <f t="shared" si="0"/>
        <v>98</v>
      </c>
      <c r="T59" s="161">
        <v>45142</v>
      </c>
      <c r="U59" s="164" t="s">
        <v>571</v>
      </c>
      <c r="V59" s="164" t="s">
        <v>571</v>
      </c>
      <c r="W59" s="159" t="s">
        <v>571</v>
      </c>
      <c r="X59" s="159">
        <v>98</v>
      </c>
      <c r="Y59" s="159" t="s">
        <v>571</v>
      </c>
      <c r="Z59" s="157"/>
      <c r="AA59" s="157"/>
      <c r="AB59" s="157"/>
      <c r="AC59" s="157">
        <v>45898</v>
      </c>
      <c r="AD59" s="157" t="s">
        <v>18787</v>
      </c>
      <c r="AE59" s="157">
        <v>98</v>
      </c>
      <c r="AF59" s="162">
        <f t="shared" si="1"/>
        <v>0</v>
      </c>
      <c r="AG59" s="162">
        <f t="shared" si="2"/>
        <v>0</v>
      </c>
      <c r="AH59" s="162">
        <f t="shared" si="3"/>
        <v>0</v>
      </c>
      <c r="AI59" s="160" t="s">
        <v>33</v>
      </c>
      <c r="AJ59" s="160">
        <v>45024</v>
      </c>
      <c r="AK59" s="160"/>
      <c r="AL59" s="157"/>
      <c r="AM59" s="165"/>
      <c r="AN59" s="165"/>
      <c r="AO59" s="165"/>
    </row>
    <row r="60" spans="1:41" s="163" customFormat="1" ht="17.399999999999999">
      <c r="A60" s="22" t="s">
        <v>250</v>
      </c>
      <c r="B60" s="22" t="s">
        <v>251</v>
      </c>
      <c r="C60" s="56">
        <v>45100</v>
      </c>
      <c r="D60" s="56">
        <v>45044</v>
      </c>
      <c r="E60" s="22" t="s">
        <v>252</v>
      </c>
      <c r="F60" s="22" t="s">
        <v>33</v>
      </c>
      <c r="G60" s="22" t="s">
        <v>33</v>
      </c>
      <c r="H60" s="22" t="s">
        <v>1548</v>
      </c>
      <c r="I60" s="49" t="s">
        <v>253</v>
      </c>
      <c r="J60" s="50" t="s">
        <v>254</v>
      </c>
      <c r="K60" s="22" t="s">
        <v>106</v>
      </c>
      <c r="L60" s="22" t="s">
        <v>60</v>
      </c>
      <c r="M60" s="22">
        <v>1</v>
      </c>
      <c r="N60" s="22" t="s">
        <v>255</v>
      </c>
      <c r="O60" s="22"/>
      <c r="P60" s="46" t="s">
        <v>685</v>
      </c>
      <c r="Q60" s="160"/>
      <c r="R60" s="161"/>
      <c r="S60" s="157">
        <f t="shared" si="0"/>
        <v>1</v>
      </c>
      <c r="T60" s="161">
        <v>45114</v>
      </c>
      <c r="U60" s="164" t="s">
        <v>571</v>
      </c>
      <c r="V60" s="164" t="s">
        <v>571</v>
      </c>
      <c r="W60" s="159" t="s">
        <v>571</v>
      </c>
      <c r="X60" s="159">
        <v>1</v>
      </c>
      <c r="Y60" s="159" t="s">
        <v>571</v>
      </c>
      <c r="Z60" s="157"/>
      <c r="AA60" s="157"/>
      <c r="AB60" s="157"/>
      <c r="AC60" s="157">
        <v>45898</v>
      </c>
      <c r="AD60" s="157" t="s">
        <v>18787</v>
      </c>
      <c r="AE60" s="157">
        <v>1</v>
      </c>
      <c r="AF60" s="162">
        <f t="shared" si="1"/>
        <v>0</v>
      </c>
      <c r="AG60" s="162">
        <f t="shared" si="2"/>
        <v>0</v>
      </c>
      <c r="AH60" s="162">
        <f t="shared" si="3"/>
        <v>0</v>
      </c>
      <c r="AI60" s="160" t="s">
        <v>33</v>
      </c>
      <c r="AJ60" s="160">
        <v>45024</v>
      </c>
      <c r="AK60" s="160"/>
      <c r="AL60" s="157"/>
      <c r="AM60" s="165"/>
      <c r="AN60" s="165"/>
      <c r="AO60" s="165"/>
    </row>
    <row r="61" spans="1:41" s="163" customFormat="1" ht="17.399999999999999">
      <c r="A61" s="22" t="s">
        <v>495</v>
      </c>
      <c r="B61" s="22" t="s">
        <v>496</v>
      </c>
      <c r="C61" s="56">
        <v>45122</v>
      </c>
      <c r="D61" s="56">
        <v>44719</v>
      </c>
      <c r="E61" s="22" t="s">
        <v>468</v>
      </c>
      <c r="F61" s="22" t="s">
        <v>33</v>
      </c>
      <c r="G61" s="22" t="s">
        <v>33</v>
      </c>
      <c r="H61" s="22" t="s">
        <v>497</v>
      </c>
      <c r="I61" s="49" t="s">
        <v>174</v>
      </c>
      <c r="J61" s="50" t="s">
        <v>498</v>
      </c>
      <c r="K61" s="22" t="s">
        <v>499</v>
      </c>
      <c r="L61" s="22" t="s">
        <v>60</v>
      </c>
      <c r="M61" s="22">
        <v>1</v>
      </c>
      <c r="N61" s="22" t="s">
        <v>500</v>
      </c>
      <c r="O61" s="22"/>
      <c r="P61" s="46" t="s">
        <v>683</v>
      </c>
      <c r="Q61" s="160"/>
      <c r="R61" s="161"/>
      <c r="S61" s="157">
        <f t="shared" si="0"/>
        <v>1</v>
      </c>
      <c r="T61" s="161">
        <v>45225</v>
      </c>
      <c r="U61" s="164">
        <v>45278</v>
      </c>
      <c r="V61" s="164">
        <v>45280</v>
      </c>
      <c r="W61" s="159" t="s">
        <v>615</v>
      </c>
      <c r="X61" s="159">
        <v>1</v>
      </c>
      <c r="Y61" s="159" t="s">
        <v>657</v>
      </c>
      <c r="Z61" s="157">
        <v>45819</v>
      </c>
      <c r="AA61" s="157" t="s">
        <v>18800</v>
      </c>
      <c r="AB61" s="157">
        <v>1</v>
      </c>
      <c r="AC61" s="157"/>
      <c r="AD61" s="157"/>
      <c r="AE61" s="157"/>
      <c r="AF61" s="162">
        <f t="shared" si="1"/>
        <v>0</v>
      </c>
      <c r="AG61" s="162">
        <f t="shared" si="2"/>
        <v>0</v>
      </c>
      <c r="AH61" s="162">
        <f t="shared" si="3"/>
        <v>0</v>
      </c>
      <c r="AI61" s="160" t="s">
        <v>33</v>
      </c>
      <c r="AJ61" s="160" t="s">
        <v>33</v>
      </c>
      <c r="AK61" s="160"/>
      <c r="AL61" s="157"/>
      <c r="AM61" s="165"/>
      <c r="AN61" s="165"/>
      <c r="AO61" s="165"/>
    </row>
    <row r="62" spans="1:41" s="163" customFormat="1" ht="17.399999999999999">
      <c r="A62" s="22" t="s">
        <v>272</v>
      </c>
      <c r="B62" s="22" t="s">
        <v>273</v>
      </c>
      <c r="C62" s="56">
        <v>45120</v>
      </c>
      <c r="D62" s="56">
        <v>45044</v>
      </c>
      <c r="E62" s="22" t="s">
        <v>274</v>
      </c>
      <c r="F62" s="22" t="s">
        <v>33</v>
      </c>
      <c r="G62" s="22" t="s">
        <v>33</v>
      </c>
      <c r="H62" s="22" t="s">
        <v>233</v>
      </c>
      <c r="I62" s="49" t="s">
        <v>174</v>
      </c>
      <c r="J62" s="50" t="s">
        <v>234</v>
      </c>
      <c r="K62" s="22" t="s">
        <v>235</v>
      </c>
      <c r="L62" s="22" t="s">
        <v>60</v>
      </c>
      <c r="M62" s="22">
        <v>1</v>
      </c>
      <c r="N62" s="22" t="s">
        <v>275</v>
      </c>
      <c r="O62" s="22"/>
      <c r="P62" s="46" t="s">
        <v>685</v>
      </c>
      <c r="Q62" s="160"/>
      <c r="R62" s="161"/>
      <c r="S62" s="157">
        <f t="shared" si="0"/>
        <v>1</v>
      </c>
      <c r="T62" s="161">
        <v>45176</v>
      </c>
      <c r="U62" s="164">
        <v>45167</v>
      </c>
      <c r="V62" s="164">
        <v>45176</v>
      </c>
      <c r="W62" s="159" t="s">
        <v>593</v>
      </c>
      <c r="X62" s="159">
        <v>1</v>
      </c>
      <c r="Y62" s="159" t="s">
        <v>659</v>
      </c>
      <c r="Z62" s="157">
        <v>45770</v>
      </c>
      <c r="AA62" s="157" t="s">
        <v>18397</v>
      </c>
      <c r="AB62" s="157">
        <v>1</v>
      </c>
      <c r="AC62" s="157"/>
      <c r="AD62" s="157"/>
      <c r="AE62" s="157"/>
      <c r="AF62" s="162">
        <f t="shared" si="1"/>
        <v>0</v>
      </c>
      <c r="AG62" s="162">
        <f t="shared" si="2"/>
        <v>0</v>
      </c>
      <c r="AH62" s="162">
        <f t="shared" si="3"/>
        <v>0</v>
      </c>
      <c r="AI62" s="160" t="s">
        <v>33</v>
      </c>
      <c r="AJ62" s="160">
        <v>45035</v>
      </c>
      <c r="AK62" s="160"/>
      <c r="AL62" s="157"/>
      <c r="AM62" s="165"/>
      <c r="AN62" s="165"/>
      <c r="AO62" s="165"/>
    </row>
    <row r="63" spans="1:41" ht="17.399999999999999">
      <c r="A63" s="168" t="s">
        <v>537</v>
      </c>
      <c r="B63" s="168" t="s">
        <v>538</v>
      </c>
      <c r="C63" s="169">
        <v>45126</v>
      </c>
      <c r="D63" s="169">
        <v>44790</v>
      </c>
      <c r="E63" s="168" t="s">
        <v>531</v>
      </c>
      <c r="F63" s="168" t="s">
        <v>33</v>
      </c>
      <c r="G63" s="168" t="s">
        <v>33</v>
      </c>
      <c r="H63" s="168" t="s">
        <v>532</v>
      </c>
      <c r="I63" s="170" t="s">
        <v>304</v>
      </c>
      <c r="J63" s="171" t="s">
        <v>533</v>
      </c>
      <c r="K63" s="168" t="s">
        <v>215</v>
      </c>
      <c r="L63" s="168" t="s">
        <v>60</v>
      </c>
      <c r="M63" s="168">
        <v>17</v>
      </c>
      <c r="N63" s="168" t="s">
        <v>539</v>
      </c>
      <c r="O63" s="168"/>
      <c r="P63" s="172" t="s">
        <v>684</v>
      </c>
      <c r="Q63" s="40"/>
      <c r="R63" s="41"/>
      <c r="S63" s="22">
        <f t="shared" si="0"/>
        <v>17</v>
      </c>
      <c r="T63" s="41">
        <v>45258</v>
      </c>
      <c r="U63" s="44" t="s">
        <v>618</v>
      </c>
      <c r="V63" s="44">
        <v>45306</v>
      </c>
      <c r="W63" s="46" t="s">
        <v>617</v>
      </c>
      <c r="X63" s="46">
        <v>2</v>
      </c>
      <c r="Y63" s="46" t="s">
        <v>658</v>
      </c>
      <c r="Z63" s="22"/>
      <c r="AA63" s="22"/>
      <c r="AB63" s="22"/>
      <c r="AC63" s="58"/>
      <c r="AD63" s="22"/>
      <c r="AE63" s="22"/>
      <c r="AF63" s="48">
        <f t="shared" si="1"/>
        <v>15</v>
      </c>
      <c r="AG63" s="48">
        <f t="shared" si="2"/>
        <v>2</v>
      </c>
      <c r="AH63" s="48">
        <f t="shared" si="3"/>
        <v>17</v>
      </c>
      <c r="AI63" s="40" t="s">
        <v>33</v>
      </c>
      <c r="AJ63" s="40" t="s">
        <v>33</v>
      </c>
      <c r="AK63" s="40"/>
      <c r="AL63" s="146"/>
      <c r="AM63" s="136"/>
      <c r="AN63" s="136"/>
      <c r="AO63" s="136"/>
    </row>
    <row r="64" spans="1:41" s="163" customFormat="1" ht="17.399999999999999">
      <c r="A64" s="22" t="s">
        <v>501</v>
      </c>
      <c r="B64" s="22" t="s">
        <v>502</v>
      </c>
      <c r="C64" s="56" t="s">
        <v>503</v>
      </c>
      <c r="D64" s="56" t="s">
        <v>504</v>
      </c>
      <c r="E64" s="22" t="s">
        <v>505</v>
      </c>
      <c r="F64" s="22" t="s">
        <v>33</v>
      </c>
      <c r="G64" s="22" t="s">
        <v>33</v>
      </c>
      <c r="H64" s="22" t="s">
        <v>475</v>
      </c>
      <c r="I64" s="49" t="s">
        <v>174</v>
      </c>
      <c r="J64" s="50" t="s">
        <v>476</v>
      </c>
      <c r="K64" s="22" t="s">
        <v>215</v>
      </c>
      <c r="L64" s="22" t="s">
        <v>60</v>
      </c>
      <c r="M64" s="22">
        <v>12</v>
      </c>
      <c r="N64" s="22" t="s">
        <v>506</v>
      </c>
      <c r="O64" s="22"/>
      <c r="P64" s="46" t="s">
        <v>683</v>
      </c>
      <c r="Q64" s="160"/>
      <c r="R64" s="161"/>
      <c r="S64" s="157">
        <f t="shared" si="0"/>
        <v>12</v>
      </c>
      <c r="T64" s="161">
        <v>45225</v>
      </c>
      <c r="U64" s="164">
        <v>45278</v>
      </c>
      <c r="V64" s="164">
        <v>45280</v>
      </c>
      <c r="W64" s="159" t="s">
        <v>615</v>
      </c>
      <c r="X64" s="159">
        <v>12</v>
      </c>
      <c r="Y64" s="159" t="s">
        <v>657</v>
      </c>
      <c r="Z64" s="157" t="s">
        <v>18796</v>
      </c>
      <c r="AA64" s="157" t="s">
        <v>18797</v>
      </c>
      <c r="AB64" s="157">
        <f>6+6</f>
        <v>12</v>
      </c>
      <c r="AC64" s="157"/>
      <c r="AD64" s="157"/>
      <c r="AE64" s="157"/>
      <c r="AF64" s="162">
        <f t="shared" si="1"/>
        <v>0</v>
      </c>
      <c r="AG64" s="162">
        <f t="shared" si="2"/>
        <v>0</v>
      </c>
      <c r="AH64" s="162">
        <f t="shared" si="3"/>
        <v>0</v>
      </c>
      <c r="AI64" s="160" t="s">
        <v>33</v>
      </c>
      <c r="AJ64" s="160" t="s">
        <v>33</v>
      </c>
      <c r="AK64" s="160"/>
      <c r="AL64" s="157"/>
      <c r="AM64" s="165"/>
      <c r="AN64" s="165"/>
      <c r="AO64" s="165"/>
    </row>
    <row r="65" spans="1:41" s="163" customFormat="1" ht="17.399999999999999">
      <c r="A65" s="22" t="s">
        <v>276</v>
      </c>
      <c r="B65" s="22" t="s">
        <v>277</v>
      </c>
      <c r="C65" s="56">
        <v>45202</v>
      </c>
      <c r="D65" s="56">
        <v>45089</v>
      </c>
      <c r="E65" s="22" t="s">
        <v>278</v>
      </c>
      <c r="F65" s="22" t="s">
        <v>33</v>
      </c>
      <c r="G65" s="22" t="s">
        <v>33</v>
      </c>
      <c r="H65" s="22" t="s">
        <v>5134</v>
      </c>
      <c r="I65" s="49" t="s">
        <v>279</v>
      </c>
      <c r="J65" s="50" t="s">
        <v>280</v>
      </c>
      <c r="K65" s="22" t="s">
        <v>98</v>
      </c>
      <c r="L65" s="22" t="s">
        <v>60</v>
      </c>
      <c r="M65" s="22">
        <v>1</v>
      </c>
      <c r="N65" s="22" t="s">
        <v>281</v>
      </c>
      <c r="O65" s="22"/>
      <c r="P65" s="46" t="s">
        <v>685</v>
      </c>
      <c r="Q65" s="160"/>
      <c r="R65" s="161"/>
      <c r="S65" s="157">
        <f t="shared" si="0"/>
        <v>1</v>
      </c>
      <c r="T65" s="161">
        <v>45253</v>
      </c>
      <c r="U65" s="164" t="s">
        <v>571</v>
      </c>
      <c r="V65" s="164" t="s">
        <v>571</v>
      </c>
      <c r="W65" s="159" t="s">
        <v>571</v>
      </c>
      <c r="X65" s="159">
        <v>1</v>
      </c>
      <c r="Y65" s="159" t="s">
        <v>571</v>
      </c>
      <c r="Z65" s="157"/>
      <c r="AA65" s="157"/>
      <c r="AB65" s="157"/>
      <c r="AC65" s="157">
        <v>45807</v>
      </c>
      <c r="AD65" s="157" t="s">
        <v>18801</v>
      </c>
      <c r="AE65" s="157">
        <v>1</v>
      </c>
      <c r="AF65" s="162">
        <f t="shared" si="1"/>
        <v>0</v>
      </c>
      <c r="AG65" s="162">
        <f t="shared" si="2"/>
        <v>0</v>
      </c>
      <c r="AH65" s="162">
        <f t="shared" si="3"/>
        <v>0</v>
      </c>
      <c r="AI65" s="160" t="s">
        <v>33</v>
      </c>
      <c r="AJ65" s="160">
        <v>45025</v>
      </c>
      <c r="AK65" s="160"/>
      <c r="AL65" s="157"/>
      <c r="AM65" s="165"/>
      <c r="AN65" s="165"/>
      <c r="AO65" s="165"/>
    </row>
    <row r="66" spans="1:41" s="163" customFormat="1" ht="17.399999999999999">
      <c r="A66" s="22" t="s">
        <v>282</v>
      </c>
      <c r="B66" s="22" t="s">
        <v>283</v>
      </c>
      <c r="C66" s="56">
        <v>45121</v>
      </c>
      <c r="D66" s="56">
        <v>45100</v>
      </c>
      <c r="E66" s="22" t="s">
        <v>284</v>
      </c>
      <c r="F66" s="22" t="s">
        <v>33</v>
      </c>
      <c r="G66" s="22" t="s">
        <v>33</v>
      </c>
      <c r="H66" s="22" t="s">
        <v>205</v>
      </c>
      <c r="I66" s="49" t="s">
        <v>206</v>
      </c>
      <c r="J66" s="50" t="s">
        <v>207</v>
      </c>
      <c r="K66" s="22" t="s">
        <v>208</v>
      </c>
      <c r="L66" s="22" t="s">
        <v>60</v>
      </c>
      <c r="M66" s="22">
        <v>134</v>
      </c>
      <c r="N66" s="22" t="s">
        <v>285</v>
      </c>
      <c r="O66" s="22"/>
      <c r="P66" s="46" t="s">
        <v>685</v>
      </c>
      <c r="Q66" s="160"/>
      <c r="R66" s="161"/>
      <c r="S66" s="157">
        <f t="shared" si="0"/>
        <v>134</v>
      </c>
      <c r="T66" s="161">
        <v>45253</v>
      </c>
      <c r="U66" s="164" t="s">
        <v>571</v>
      </c>
      <c r="V66" s="164" t="s">
        <v>571</v>
      </c>
      <c r="W66" s="159" t="s">
        <v>571</v>
      </c>
      <c r="X66" s="159">
        <v>134</v>
      </c>
      <c r="Y66" s="159" t="s">
        <v>571</v>
      </c>
      <c r="Z66" s="157"/>
      <c r="AA66" s="157"/>
      <c r="AB66" s="157"/>
      <c r="AC66" s="157">
        <v>45898</v>
      </c>
      <c r="AD66" s="157" t="s">
        <v>18787</v>
      </c>
      <c r="AE66" s="157">
        <v>134</v>
      </c>
      <c r="AF66" s="162">
        <f t="shared" si="1"/>
        <v>0</v>
      </c>
      <c r="AG66" s="162">
        <f t="shared" si="2"/>
        <v>0</v>
      </c>
      <c r="AH66" s="162">
        <f t="shared" si="3"/>
        <v>0</v>
      </c>
      <c r="AI66" s="160" t="s">
        <v>33</v>
      </c>
      <c r="AJ66" s="160">
        <v>45025</v>
      </c>
      <c r="AK66" s="160"/>
      <c r="AL66" s="157"/>
      <c r="AM66" s="165"/>
      <c r="AN66" s="165"/>
      <c r="AO66" s="165"/>
    </row>
    <row r="67" spans="1:41" s="163" customFormat="1" ht="17.399999999999999">
      <c r="A67" s="22" t="s">
        <v>18802</v>
      </c>
      <c r="B67" s="22" t="s">
        <v>138</v>
      </c>
      <c r="C67" s="56" t="s">
        <v>18803</v>
      </c>
      <c r="D67" s="56" t="s">
        <v>33</v>
      </c>
      <c r="E67" s="22" t="s">
        <v>33</v>
      </c>
      <c r="F67" s="22" t="s">
        <v>33</v>
      </c>
      <c r="G67" s="22" t="s">
        <v>67</v>
      </c>
      <c r="H67" s="22" t="s">
        <v>354</v>
      </c>
      <c r="I67" s="49" t="s">
        <v>355</v>
      </c>
      <c r="J67" s="50" t="s">
        <v>356</v>
      </c>
      <c r="K67" s="22" t="s">
        <v>346</v>
      </c>
      <c r="L67" s="22" t="s">
        <v>60</v>
      </c>
      <c r="M67" s="22">
        <v>577</v>
      </c>
      <c r="N67" s="22" t="s">
        <v>18804</v>
      </c>
      <c r="O67" s="22"/>
      <c r="P67" s="46" t="s">
        <v>18088</v>
      </c>
      <c r="Q67" s="160"/>
      <c r="R67" s="161"/>
      <c r="S67" s="157">
        <f t="shared" ref="S67:S122" si="4">IF(A67="","",M67+O67)</f>
        <v>577</v>
      </c>
      <c r="T67" s="161">
        <v>45281</v>
      </c>
      <c r="U67" s="164">
        <v>45278</v>
      </c>
      <c r="V67" s="164">
        <v>45279</v>
      </c>
      <c r="W67" s="159" t="s">
        <v>18805</v>
      </c>
      <c r="X67" s="159">
        <v>577</v>
      </c>
      <c r="Y67" s="159" t="s">
        <v>18806</v>
      </c>
      <c r="Z67" s="157"/>
      <c r="AA67" s="157"/>
      <c r="AB67" s="157"/>
      <c r="AC67" s="157" t="s">
        <v>18807</v>
      </c>
      <c r="AD67" s="157" t="s">
        <v>18808</v>
      </c>
      <c r="AE67" s="157">
        <v>126</v>
      </c>
      <c r="AF67" s="162">
        <f t="shared" ref="AF67:AF130" si="5">IF(A67="","",S67-X67)</f>
        <v>0</v>
      </c>
      <c r="AG67" s="162">
        <f t="shared" ref="AG67:AG130" si="6">IF(A67="","",X67-(AB67+AE67))</f>
        <v>451</v>
      </c>
      <c r="AH67" s="162">
        <f t="shared" ref="AH67:AH130" si="7">IF(A67="","",AF67+AG67)</f>
        <v>451</v>
      </c>
      <c r="AI67" s="160" t="s">
        <v>33</v>
      </c>
      <c r="AJ67" s="160" t="s">
        <v>33</v>
      </c>
      <c r="AK67" s="160"/>
      <c r="AL67" s="157"/>
      <c r="AM67" s="165">
        <v>45701</v>
      </c>
      <c r="AN67" s="165"/>
      <c r="AO67" s="165"/>
    </row>
    <row r="68" spans="1:41" ht="17.399999999999999">
      <c r="A68" s="168" t="s">
        <v>540</v>
      </c>
      <c r="B68" s="168" t="s">
        <v>538</v>
      </c>
      <c r="C68" s="169" t="s">
        <v>541</v>
      </c>
      <c r="D68" s="169" t="s">
        <v>542</v>
      </c>
      <c r="E68" s="168" t="s">
        <v>543</v>
      </c>
      <c r="F68" s="168" t="s">
        <v>33</v>
      </c>
      <c r="G68" s="168" t="s">
        <v>33</v>
      </c>
      <c r="H68" s="168" t="s">
        <v>532</v>
      </c>
      <c r="I68" s="170" t="s">
        <v>304</v>
      </c>
      <c r="J68" s="171" t="s">
        <v>533</v>
      </c>
      <c r="K68" s="168" t="s">
        <v>215</v>
      </c>
      <c r="L68" s="168" t="s">
        <v>60</v>
      </c>
      <c r="M68" s="168">
        <v>8</v>
      </c>
      <c r="N68" s="168" t="s">
        <v>544</v>
      </c>
      <c r="O68" s="168"/>
      <c r="P68" s="172" t="s">
        <v>684</v>
      </c>
      <c r="Q68" s="40"/>
      <c r="R68" s="41"/>
      <c r="S68" s="22">
        <f t="shared" si="4"/>
        <v>8</v>
      </c>
      <c r="T68" s="41">
        <v>45260</v>
      </c>
      <c r="U68" s="44" t="s">
        <v>18618</v>
      </c>
      <c r="V68" s="44" t="s">
        <v>619</v>
      </c>
      <c r="W68" s="46" t="s">
        <v>620</v>
      </c>
      <c r="X68" s="46">
        <v>6</v>
      </c>
      <c r="Y68" s="46" t="s">
        <v>18619</v>
      </c>
      <c r="Z68" s="22"/>
      <c r="AA68" s="22"/>
      <c r="AB68" s="22"/>
      <c r="AC68" s="58"/>
      <c r="AD68" s="22"/>
      <c r="AE68" s="22"/>
      <c r="AF68" s="48">
        <f t="shared" si="5"/>
        <v>2</v>
      </c>
      <c r="AG68" s="48">
        <f t="shared" si="6"/>
        <v>6</v>
      </c>
      <c r="AH68" s="48">
        <f t="shared" si="7"/>
        <v>8</v>
      </c>
      <c r="AI68" s="40" t="s">
        <v>33</v>
      </c>
      <c r="AJ68" s="40" t="s">
        <v>33</v>
      </c>
      <c r="AK68" s="40"/>
      <c r="AL68" s="146"/>
      <c r="AM68" s="136"/>
      <c r="AN68" s="136"/>
      <c r="AO68" s="136"/>
    </row>
    <row r="69" spans="1:41" s="163" customFormat="1" ht="17.399999999999999">
      <c r="A69" s="22" t="s">
        <v>18809</v>
      </c>
      <c r="B69" s="22" t="s">
        <v>138</v>
      </c>
      <c r="C69" s="56" t="s">
        <v>18810</v>
      </c>
      <c r="D69" s="56" t="s">
        <v>33</v>
      </c>
      <c r="E69" s="22" t="s">
        <v>33</v>
      </c>
      <c r="F69" s="22" t="s">
        <v>33</v>
      </c>
      <c r="G69" s="22" t="s">
        <v>67</v>
      </c>
      <c r="H69" s="22" t="s">
        <v>351</v>
      </c>
      <c r="I69" s="49" t="s">
        <v>352</v>
      </c>
      <c r="J69" s="50" t="s">
        <v>353</v>
      </c>
      <c r="K69" s="22" t="s">
        <v>346</v>
      </c>
      <c r="L69" s="22" t="s">
        <v>60</v>
      </c>
      <c r="M69" s="22">
        <v>15</v>
      </c>
      <c r="N69" s="22" t="s">
        <v>357</v>
      </c>
      <c r="O69" s="22"/>
      <c r="P69" s="46" t="s">
        <v>18088</v>
      </c>
      <c r="Q69" s="160"/>
      <c r="R69" s="161"/>
      <c r="S69" s="157">
        <f t="shared" si="4"/>
        <v>15</v>
      </c>
      <c r="T69" s="161">
        <v>45348</v>
      </c>
      <c r="U69" s="164">
        <v>45336</v>
      </c>
      <c r="V69" s="164">
        <v>45344</v>
      </c>
      <c r="W69" s="159" t="s">
        <v>18811</v>
      </c>
      <c r="X69" s="159">
        <v>15</v>
      </c>
      <c r="Y69" s="159" t="s">
        <v>18812</v>
      </c>
      <c r="Z69" s="157"/>
      <c r="AA69" s="157"/>
      <c r="AB69" s="157"/>
      <c r="AC69" s="157"/>
      <c r="AD69" s="157"/>
      <c r="AE69" s="157"/>
      <c r="AF69" s="162">
        <f t="shared" si="5"/>
        <v>0</v>
      </c>
      <c r="AG69" s="162">
        <f t="shared" si="6"/>
        <v>15</v>
      </c>
      <c r="AH69" s="162">
        <f t="shared" si="7"/>
        <v>15</v>
      </c>
      <c r="AI69" s="160" t="s">
        <v>33</v>
      </c>
      <c r="AJ69" s="160" t="s">
        <v>33</v>
      </c>
      <c r="AK69" s="160"/>
      <c r="AL69" s="157"/>
      <c r="AM69" s="165">
        <v>45701</v>
      </c>
      <c r="AN69" s="165"/>
      <c r="AO69" s="165"/>
    </row>
    <row r="70" spans="1:41" s="163" customFormat="1" ht="17.399999999999999">
      <c r="A70" s="22" t="s">
        <v>18813</v>
      </c>
      <c r="B70" s="22" t="s">
        <v>346</v>
      </c>
      <c r="C70" s="56" t="s">
        <v>18814</v>
      </c>
      <c r="D70" s="56" t="s">
        <v>33</v>
      </c>
      <c r="E70" s="22" t="s">
        <v>33</v>
      </c>
      <c r="F70" s="22" t="s">
        <v>33</v>
      </c>
      <c r="G70" s="22" t="s">
        <v>67</v>
      </c>
      <c r="H70" s="22" t="s">
        <v>351</v>
      </c>
      <c r="I70" s="49" t="s">
        <v>352</v>
      </c>
      <c r="J70" s="50" t="s">
        <v>353</v>
      </c>
      <c r="K70" s="22" t="s">
        <v>346</v>
      </c>
      <c r="L70" s="22" t="s">
        <v>60</v>
      </c>
      <c r="M70" s="22">
        <v>12</v>
      </c>
      <c r="N70" s="22" t="s">
        <v>18815</v>
      </c>
      <c r="O70" s="22"/>
      <c r="P70" s="46" t="s">
        <v>18088</v>
      </c>
      <c r="Q70" s="160"/>
      <c r="R70" s="161"/>
      <c r="S70" s="157">
        <f t="shared" si="4"/>
        <v>12</v>
      </c>
      <c r="T70" s="161">
        <v>45364</v>
      </c>
      <c r="U70" s="164">
        <v>45350</v>
      </c>
      <c r="V70" s="164">
        <v>45358</v>
      </c>
      <c r="W70" s="159" t="s">
        <v>18816</v>
      </c>
      <c r="X70" s="159">
        <v>12</v>
      </c>
      <c r="Y70" s="159" t="s">
        <v>18817</v>
      </c>
      <c r="Z70" s="157"/>
      <c r="AA70" s="157"/>
      <c r="AB70" s="157"/>
      <c r="AC70" s="157"/>
      <c r="AD70" s="157"/>
      <c r="AE70" s="157"/>
      <c r="AF70" s="162">
        <f t="shared" si="5"/>
        <v>0</v>
      </c>
      <c r="AG70" s="162">
        <f t="shared" si="6"/>
        <v>12</v>
      </c>
      <c r="AH70" s="162">
        <f t="shared" si="7"/>
        <v>12</v>
      </c>
      <c r="AI70" s="160" t="s">
        <v>33</v>
      </c>
      <c r="AJ70" s="160" t="s">
        <v>33</v>
      </c>
      <c r="AK70" s="160"/>
      <c r="AL70" s="157"/>
      <c r="AM70" s="165">
        <v>45701</v>
      </c>
      <c r="AN70" s="165"/>
      <c r="AO70" s="165"/>
    </row>
    <row r="71" spans="1:41" s="163" customFormat="1" ht="17.399999999999999">
      <c r="A71" s="22" t="s">
        <v>18818</v>
      </c>
      <c r="B71" s="22" t="s">
        <v>346</v>
      </c>
      <c r="C71" s="56">
        <v>45356</v>
      </c>
      <c r="D71" s="56" t="s">
        <v>33</v>
      </c>
      <c r="E71" s="22" t="s">
        <v>18819</v>
      </c>
      <c r="F71" s="22"/>
      <c r="G71" s="22" t="s">
        <v>67</v>
      </c>
      <c r="H71" s="22" t="s">
        <v>354</v>
      </c>
      <c r="I71" s="49" t="s">
        <v>355</v>
      </c>
      <c r="J71" s="50" t="s">
        <v>356</v>
      </c>
      <c r="K71" s="22" t="s">
        <v>346</v>
      </c>
      <c r="L71" s="22" t="s">
        <v>52</v>
      </c>
      <c r="M71" s="22">
        <v>21</v>
      </c>
      <c r="N71" s="22" t="s">
        <v>18820</v>
      </c>
      <c r="O71" s="22"/>
      <c r="P71" s="46" t="s">
        <v>18088</v>
      </c>
      <c r="Q71" s="160"/>
      <c r="R71" s="161"/>
      <c r="S71" s="157">
        <f t="shared" si="4"/>
        <v>21</v>
      </c>
      <c r="T71" s="161">
        <v>45442</v>
      </c>
      <c r="U71" s="164">
        <v>45435</v>
      </c>
      <c r="V71" s="164">
        <v>45440</v>
      </c>
      <c r="W71" s="159" t="s">
        <v>18821</v>
      </c>
      <c r="X71" s="159">
        <v>21</v>
      </c>
      <c r="Y71" s="159" t="s">
        <v>18822</v>
      </c>
      <c r="Z71" s="157"/>
      <c r="AA71" s="157"/>
      <c r="AB71" s="157"/>
      <c r="AC71" s="157"/>
      <c r="AD71" s="157"/>
      <c r="AE71" s="157"/>
      <c r="AF71" s="162">
        <f t="shared" si="5"/>
        <v>0</v>
      </c>
      <c r="AG71" s="162">
        <f t="shared" si="6"/>
        <v>21</v>
      </c>
      <c r="AH71" s="162">
        <f t="shared" si="7"/>
        <v>21</v>
      </c>
      <c r="AI71" s="160" t="s">
        <v>33</v>
      </c>
      <c r="AJ71" s="160" t="s">
        <v>33</v>
      </c>
      <c r="AK71" s="160"/>
      <c r="AL71" s="157"/>
      <c r="AM71" s="165"/>
      <c r="AN71" s="165"/>
      <c r="AO71" s="165"/>
    </row>
    <row r="72" spans="1:41" s="163" customFormat="1" ht="17.399999999999999">
      <c r="A72" s="22" t="s">
        <v>358</v>
      </c>
      <c r="B72" s="22" t="s">
        <v>359</v>
      </c>
      <c r="C72" s="56" t="s">
        <v>360</v>
      </c>
      <c r="D72" s="56" t="s">
        <v>33</v>
      </c>
      <c r="E72" s="22" t="s">
        <v>33</v>
      </c>
      <c r="F72" s="22" t="s">
        <v>33</v>
      </c>
      <c r="G72" s="22" t="s">
        <v>67</v>
      </c>
      <c r="H72" s="22" t="s">
        <v>361</v>
      </c>
      <c r="I72" s="49" t="s">
        <v>362</v>
      </c>
      <c r="J72" s="50" t="s">
        <v>363</v>
      </c>
      <c r="K72" s="22" t="s">
        <v>364</v>
      </c>
      <c r="L72" s="22" t="s">
        <v>60</v>
      </c>
      <c r="M72" s="22">
        <v>8</v>
      </c>
      <c r="N72" s="22" t="s">
        <v>365</v>
      </c>
      <c r="O72" s="22"/>
      <c r="P72" s="46" t="s">
        <v>681</v>
      </c>
      <c r="Q72" s="160"/>
      <c r="R72" s="161"/>
      <c r="S72" s="157">
        <f t="shared" si="4"/>
        <v>8</v>
      </c>
      <c r="T72" s="161">
        <v>45434</v>
      </c>
      <c r="U72" s="164">
        <v>45427</v>
      </c>
      <c r="V72" s="164">
        <v>45433</v>
      </c>
      <c r="W72" s="159" t="s">
        <v>600</v>
      </c>
      <c r="X72" s="159">
        <v>8</v>
      </c>
      <c r="Y72" s="159" t="s">
        <v>660</v>
      </c>
      <c r="Z72" s="157"/>
      <c r="AA72" s="157"/>
      <c r="AB72" s="157"/>
      <c r="AC72" s="157"/>
      <c r="AD72" s="157"/>
      <c r="AE72" s="157"/>
      <c r="AF72" s="162">
        <f t="shared" si="5"/>
        <v>0</v>
      </c>
      <c r="AG72" s="162">
        <f t="shared" si="6"/>
        <v>8</v>
      </c>
      <c r="AH72" s="162">
        <f t="shared" si="7"/>
        <v>8</v>
      </c>
      <c r="AI72" s="160" t="s">
        <v>33</v>
      </c>
      <c r="AJ72" s="160" t="s">
        <v>33</v>
      </c>
      <c r="AK72" s="160"/>
      <c r="AL72" s="157"/>
      <c r="AM72" s="165"/>
      <c r="AN72" s="165"/>
      <c r="AO72" s="165"/>
    </row>
    <row r="73" spans="1:41" s="163" customFormat="1" ht="17.399999999999999">
      <c r="A73" s="22" t="s">
        <v>18823</v>
      </c>
      <c r="B73" s="22" t="s">
        <v>346</v>
      </c>
      <c r="C73" s="56">
        <v>45440</v>
      </c>
      <c r="D73" s="56" t="s">
        <v>33</v>
      </c>
      <c r="E73" s="22" t="s">
        <v>18824</v>
      </c>
      <c r="F73" s="22" t="s">
        <v>33</v>
      </c>
      <c r="G73" s="22" t="s">
        <v>18819</v>
      </c>
      <c r="H73" s="22" t="s">
        <v>354</v>
      </c>
      <c r="I73" s="49" t="s">
        <v>355</v>
      </c>
      <c r="J73" s="50" t="s">
        <v>356</v>
      </c>
      <c r="K73" s="22" t="s">
        <v>346</v>
      </c>
      <c r="L73" s="22" t="s">
        <v>52</v>
      </c>
      <c r="M73" s="22">
        <v>94</v>
      </c>
      <c r="N73" s="22" t="s">
        <v>18825</v>
      </c>
      <c r="O73" s="22"/>
      <c r="P73" s="46" t="s">
        <v>18088</v>
      </c>
      <c r="Q73" s="160"/>
      <c r="R73" s="161"/>
      <c r="S73" s="157">
        <f t="shared" si="4"/>
        <v>94</v>
      </c>
      <c r="T73" s="161">
        <v>45469</v>
      </c>
      <c r="U73" s="164">
        <v>45462</v>
      </c>
      <c r="V73" s="164">
        <v>45468</v>
      </c>
      <c r="W73" s="159" t="s">
        <v>18826</v>
      </c>
      <c r="X73" s="159">
        <v>94</v>
      </c>
      <c r="Y73" s="159" t="s">
        <v>18827</v>
      </c>
      <c r="Z73" s="157"/>
      <c r="AA73" s="157"/>
      <c r="AB73" s="157"/>
      <c r="AC73" s="157"/>
      <c r="AD73" s="157"/>
      <c r="AE73" s="157"/>
      <c r="AF73" s="162">
        <f t="shared" si="5"/>
        <v>0</v>
      </c>
      <c r="AG73" s="162">
        <f t="shared" si="6"/>
        <v>94</v>
      </c>
      <c r="AH73" s="162">
        <f t="shared" si="7"/>
        <v>94</v>
      </c>
      <c r="AI73" s="160" t="s">
        <v>33</v>
      </c>
      <c r="AJ73" s="160" t="s">
        <v>33</v>
      </c>
      <c r="AK73" s="160"/>
      <c r="AL73" s="157"/>
      <c r="AM73" s="165"/>
      <c r="AN73" s="165"/>
      <c r="AO73" s="165"/>
    </row>
    <row r="74" spans="1:41" s="163" customFormat="1" ht="17.399999999999999">
      <c r="A74" s="22" t="s">
        <v>551</v>
      </c>
      <c r="B74" s="22" t="s">
        <v>552</v>
      </c>
      <c r="C74" s="56">
        <v>45440</v>
      </c>
      <c r="D74" s="56">
        <v>45418</v>
      </c>
      <c r="E74" s="22" t="s">
        <v>553</v>
      </c>
      <c r="F74" s="22" t="s">
        <v>33</v>
      </c>
      <c r="G74" s="22" t="s">
        <v>33</v>
      </c>
      <c r="H74" s="22" t="s">
        <v>554</v>
      </c>
      <c r="I74" s="49" t="s">
        <v>555</v>
      </c>
      <c r="J74" s="50" t="s">
        <v>556</v>
      </c>
      <c r="K74" s="22" t="s">
        <v>557</v>
      </c>
      <c r="L74" s="22" t="s">
        <v>71</v>
      </c>
      <c r="M74" s="22">
        <v>15</v>
      </c>
      <c r="N74" s="22" t="s">
        <v>558</v>
      </c>
      <c r="O74" s="22"/>
      <c r="P74" s="46" t="s">
        <v>682</v>
      </c>
      <c r="Q74" s="160"/>
      <c r="R74" s="161"/>
      <c r="S74" s="157">
        <f t="shared" si="4"/>
        <v>15</v>
      </c>
      <c r="T74" s="161">
        <v>45490</v>
      </c>
      <c r="U74" s="164">
        <v>45491</v>
      </c>
      <c r="V74" s="164">
        <v>45497</v>
      </c>
      <c r="W74" s="159" t="s">
        <v>622</v>
      </c>
      <c r="X74" s="159">
        <v>15</v>
      </c>
      <c r="Y74" s="159" t="s">
        <v>661</v>
      </c>
      <c r="Z74" s="157"/>
      <c r="AA74" s="157"/>
      <c r="AB74" s="157"/>
      <c r="AC74" s="157"/>
      <c r="AD74" s="157"/>
      <c r="AE74" s="157"/>
      <c r="AF74" s="162">
        <f t="shared" si="5"/>
        <v>0</v>
      </c>
      <c r="AG74" s="162">
        <f t="shared" si="6"/>
        <v>15</v>
      </c>
      <c r="AH74" s="162">
        <f t="shared" si="7"/>
        <v>15</v>
      </c>
      <c r="AI74" s="160" t="s">
        <v>33</v>
      </c>
      <c r="AJ74" s="160" t="s">
        <v>33</v>
      </c>
      <c r="AK74" s="160"/>
      <c r="AL74" s="157"/>
      <c r="AM74" s="165">
        <v>45701</v>
      </c>
      <c r="AN74" s="165"/>
      <c r="AO74" s="165"/>
    </row>
    <row r="75" spans="1:41" s="163" customFormat="1" ht="17.399999999999999">
      <c r="A75" s="22" t="s">
        <v>507</v>
      </c>
      <c r="B75" s="22" t="s">
        <v>508</v>
      </c>
      <c r="C75" s="56" t="s">
        <v>509</v>
      </c>
      <c r="D75" s="56" t="s">
        <v>510</v>
      </c>
      <c r="E75" s="22" t="s">
        <v>511</v>
      </c>
      <c r="F75" s="22" t="s">
        <v>33</v>
      </c>
      <c r="G75" s="22" t="s">
        <v>33</v>
      </c>
      <c r="H75" s="22" t="s">
        <v>475</v>
      </c>
      <c r="I75" s="49" t="s">
        <v>174</v>
      </c>
      <c r="J75" s="50" t="s">
        <v>476</v>
      </c>
      <c r="K75" s="22" t="s">
        <v>215</v>
      </c>
      <c r="L75" s="22" t="s">
        <v>60</v>
      </c>
      <c r="M75" s="22">
        <v>5</v>
      </c>
      <c r="N75" s="22" t="s">
        <v>512</v>
      </c>
      <c r="O75" s="22"/>
      <c r="P75" s="46" t="s">
        <v>683</v>
      </c>
      <c r="Q75" s="160"/>
      <c r="R75" s="161"/>
      <c r="S75" s="157">
        <f t="shared" si="4"/>
        <v>5</v>
      </c>
      <c r="T75" s="161">
        <v>45489</v>
      </c>
      <c r="U75" s="164">
        <v>45547</v>
      </c>
      <c r="V75" s="164">
        <v>45554</v>
      </c>
      <c r="W75" s="159" t="s">
        <v>616</v>
      </c>
      <c r="X75" s="159">
        <v>5</v>
      </c>
      <c r="Y75" s="159" t="s">
        <v>662</v>
      </c>
      <c r="Z75" s="157">
        <v>45951</v>
      </c>
      <c r="AA75" s="157" t="s">
        <v>18799</v>
      </c>
      <c r="AB75" s="157">
        <v>5</v>
      </c>
      <c r="AC75" s="157"/>
      <c r="AD75" s="157"/>
      <c r="AE75" s="157"/>
      <c r="AF75" s="162">
        <f t="shared" si="5"/>
        <v>0</v>
      </c>
      <c r="AG75" s="162">
        <f t="shared" si="6"/>
        <v>0</v>
      </c>
      <c r="AH75" s="162">
        <f t="shared" si="7"/>
        <v>0</v>
      </c>
      <c r="AI75" s="160" t="s">
        <v>33</v>
      </c>
      <c r="AJ75" s="160" t="s">
        <v>33</v>
      </c>
      <c r="AK75" s="160"/>
      <c r="AL75" s="157"/>
      <c r="AM75" s="165"/>
      <c r="AN75" s="165"/>
      <c r="AO75" s="165"/>
    </row>
    <row r="76" spans="1:41" s="163" customFormat="1" ht="17.399999999999999">
      <c r="A76" s="22" t="s">
        <v>513</v>
      </c>
      <c r="B76" s="22" t="s">
        <v>514</v>
      </c>
      <c r="C76" s="56">
        <v>45548</v>
      </c>
      <c r="D76" s="56">
        <v>45099</v>
      </c>
      <c r="E76" s="22" t="s">
        <v>515</v>
      </c>
      <c r="F76" s="22" t="s">
        <v>33</v>
      </c>
      <c r="G76" s="22" t="s">
        <v>33</v>
      </c>
      <c r="H76" s="22" t="s">
        <v>516</v>
      </c>
      <c r="I76" s="49" t="s">
        <v>174</v>
      </c>
      <c r="J76" s="50" t="s">
        <v>517</v>
      </c>
      <c r="K76" s="22" t="s">
        <v>215</v>
      </c>
      <c r="L76" s="22" t="s">
        <v>60</v>
      </c>
      <c r="M76" s="22">
        <v>1</v>
      </c>
      <c r="N76" s="22" t="s">
        <v>518</v>
      </c>
      <c r="O76" s="22"/>
      <c r="P76" s="46" t="s">
        <v>683</v>
      </c>
      <c r="Q76" s="160"/>
      <c r="R76" s="161"/>
      <c r="S76" s="157">
        <f t="shared" si="4"/>
        <v>1</v>
      </c>
      <c r="T76" s="161">
        <v>45489</v>
      </c>
      <c r="U76" s="164">
        <v>45547</v>
      </c>
      <c r="V76" s="164">
        <v>45554</v>
      </c>
      <c r="W76" s="159" t="s">
        <v>616</v>
      </c>
      <c r="X76" s="159">
        <v>1</v>
      </c>
      <c r="Y76" s="159" t="s">
        <v>662</v>
      </c>
      <c r="Z76" s="157">
        <v>45951</v>
      </c>
      <c r="AA76" s="157" t="s">
        <v>18799</v>
      </c>
      <c r="AB76" s="157">
        <v>1</v>
      </c>
      <c r="AC76" s="157"/>
      <c r="AD76" s="157"/>
      <c r="AE76" s="157"/>
      <c r="AF76" s="162">
        <f t="shared" si="5"/>
        <v>0</v>
      </c>
      <c r="AG76" s="162">
        <f t="shared" si="6"/>
        <v>0</v>
      </c>
      <c r="AH76" s="162">
        <f t="shared" si="7"/>
        <v>0</v>
      </c>
      <c r="AI76" s="160" t="s">
        <v>33</v>
      </c>
      <c r="AJ76" s="160" t="s">
        <v>33</v>
      </c>
      <c r="AK76" s="160"/>
      <c r="AL76" s="157"/>
      <c r="AM76" s="165"/>
      <c r="AN76" s="165"/>
      <c r="AO76" s="165"/>
    </row>
    <row r="77" spans="1:41" s="163" customFormat="1" ht="17.399999999999999">
      <c r="A77" s="22" t="s">
        <v>519</v>
      </c>
      <c r="B77" s="22" t="s">
        <v>520</v>
      </c>
      <c r="C77" s="56" t="s">
        <v>521</v>
      </c>
      <c r="D77" s="56">
        <v>44995</v>
      </c>
      <c r="E77" s="22" t="s">
        <v>448</v>
      </c>
      <c r="F77" s="22" t="s">
        <v>33</v>
      </c>
      <c r="G77" s="22" t="s">
        <v>33</v>
      </c>
      <c r="H77" s="22" t="s">
        <v>491</v>
      </c>
      <c r="I77" s="49" t="s">
        <v>174</v>
      </c>
      <c r="J77" s="50" t="s">
        <v>492</v>
      </c>
      <c r="K77" s="22" t="s">
        <v>493</v>
      </c>
      <c r="L77" s="22" t="s">
        <v>60</v>
      </c>
      <c r="M77" s="22">
        <v>4</v>
      </c>
      <c r="N77" s="22" t="s">
        <v>522</v>
      </c>
      <c r="O77" s="22"/>
      <c r="P77" s="46" t="s">
        <v>683</v>
      </c>
      <c r="Q77" s="160"/>
      <c r="R77" s="161"/>
      <c r="S77" s="157">
        <f t="shared" si="4"/>
        <v>4</v>
      </c>
      <c r="T77" s="161">
        <v>45489</v>
      </c>
      <c r="U77" s="164">
        <v>45547</v>
      </c>
      <c r="V77" s="164">
        <v>45554</v>
      </c>
      <c r="W77" s="159" t="s">
        <v>616</v>
      </c>
      <c r="X77" s="159">
        <v>4</v>
      </c>
      <c r="Y77" s="159" t="s">
        <v>662</v>
      </c>
      <c r="Z77" s="157">
        <v>45951</v>
      </c>
      <c r="AA77" s="157" t="s">
        <v>18799</v>
      </c>
      <c r="AB77" s="157">
        <v>4</v>
      </c>
      <c r="AC77" s="157"/>
      <c r="AD77" s="157"/>
      <c r="AE77" s="157"/>
      <c r="AF77" s="162">
        <f t="shared" si="5"/>
        <v>0</v>
      </c>
      <c r="AG77" s="162">
        <f t="shared" si="6"/>
        <v>0</v>
      </c>
      <c r="AH77" s="162">
        <f t="shared" si="7"/>
        <v>0</v>
      </c>
      <c r="AI77" s="160" t="s">
        <v>33</v>
      </c>
      <c r="AJ77" s="160" t="s">
        <v>33</v>
      </c>
      <c r="AK77" s="160"/>
      <c r="AL77" s="157"/>
      <c r="AM77" s="165"/>
      <c r="AN77" s="165"/>
      <c r="AO77" s="165"/>
    </row>
    <row r="78" spans="1:41" s="163" customFormat="1" ht="17.399999999999999">
      <c r="A78" s="22" t="s">
        <v>523</v>
      </c>
      <c r="B78" s="22" t="s">
        <v>524</v>
      </c>
      <c r="C78" s="56" t="s">
        <v>525</v>
      </c>
      <c r="D78" s="56" t="s">
        <v>526</v>
      </c>
      <c r="E78" s="22" t="s">
        <v>527</v>
      </c>
      <c r="F78" s="22" t="s">
        <v>33</v>
      </c>
      <c r="G78" s="22" t="s">
        <v>33</v>
      </c>
      <c r="H78" s="22" t="s">
        <v>469</v>
      </c>
      <c r="I78" s="49" t="s">
        <v>174</v>
      </c>
      <c r="J78" s="50" t="s">
        <v>470</v>
      </c>
      <c r="K78" s="22" t="s">
        <v>499</v>
      </c>
      <c r="L78" s="22" t="s">
        <v>60</v>
      </c>
      <c r="M78" s="22">
        <v>21</v>
      </c>
      <c r="N78" s="22" t="s">
        <v>528</v>
      </c>
      <c r="O78" s="22"/>
      <c r="P78" s="46" t="s">
        <v>683</v>
      </c>
      <c r="Q78" s="160"/>
      <c r="R78" s="161"/>
      <c r="S78" s="157">
        <f t="shared" si="4"/>
        <v>21</v>
      </c>
      <c r="T78" s="161">
        <v>45489</v>
      </c>
      <c r="U78" s="164">
        <v>45547</v>
      </c>
      <c r="V78" s="164">
        <v>45554</v>
      </c>
      <c r="W78" s="159" t="s">
        <v>616</v>
      </c>
      <c r="X78" s="159">
        <v>21</v>
      </c>
      <c r="Y78" s="159" t="s">
        <v>662</v>
      </c>
      <c r="Z78" s="157">
        <v>45951</v>
      </c>
      <c r="AA78" s="157" t="s">
        <v>18799</v>
      </c>
      <c r="AB78" s="157">
        <v>21</v>
      </c>
      <c r="AC78" s="157"/>
      <c r="AD78" s="157"/>
      <c r="AE78" s="157"/>
      <c r="AF78" s="162">
        <f t="shared" si="5"/>
        <v>0</v>
      </c>
      <c r="AG78" s="162">
        <f t="shared" si="6"/>
        <v>0</v>
      </c>
      <c r="AH78" s="162">
        <f t="shared" si="7"/>
        <v>0</v>
      </c>
      <c r="AI78" s="160" t="s">
        <v>33</v>
      </c>
      <c r="AJ78" s="160" t="s">
        <v>33</v>
      </c>
      <c r="AK78" s="160"/>
      <c r="AL78" s="157"/>
      <c r="AM78" s="165"/>
      <c r="AN78" s="165"/>
      <c r="AO78" s="165"/>
    </row>
    <row r="79" spans="1:41" ht="17.399999999999999">
      <c r="A79" s="168" t="s">
        <v>545</v>
      </c>
      <c r="B79" s="168" t="s">
        <v>546</v>
      </c>
      <c r="C79" s="169" t="s">
        <v>547</v>
      </c>
      <c r="D79" s="169" t="s">
        <v>548</v>
      </c>
      <c r="E79" s="168" t="s">
        <v>549</v>
      </c>
      <c r="F79" s="168" t="s">
        <v>33</v>
      </c>
      <c r="G79" s="168" t="s">
        <v>33</v>
      </c>
      <c r="H79" s="168" t="s">
        <v>532</v>
      </c>
      <c r="I79" s="170" t="s">
        <v>304</v>
      </c>
      <c r="J79" s="171" t="s">
        <v>533</v>
      </c>
      <c r="K79" s="168" t="s">
        <v>215</v>
      </c>
      <c r="L79" s="168" t="s">
        <v>60</v>
      </c>
      <c r="M79" s="168">
        <v>31</v>
      </c>
      <c r="N79" s="168" t="s">
        <v>550</v>
      </c>
      <c r="O79" s="168"/>
      <c r="P79" s="172" t="s">
        <v>684</v>
      </c>
      <c r="Q79" s="40"/>
      <c r="R79" s="41"/>
      <c r="S79" s="22">
        <f t="shared" si="4"/>
        <v>31</v>
      </c>
      <c r="T79" s="41">
        <v>45510</v>
      </c>
      <c r="U79" s="44">
        <v>45497</v>
      </c>
      <c r="V79" s="44">
        <v>45510</v>
      </c>
      <c r="W79" s="46" t="s">
        <v>621</v>
      </c>
      <c r="X79" s="46">
        <v>31</v>
      </c>
      <c r="Y79" s="46" t="s">
        <v>663</v>
      </c>
      <c r="Z79" s="22"/>
      <c r="AA79" s="22"/>
      <c r="AB79" s="22"/>
      <c r="AC79" s="58"/>
      <c r="AD79" s="22"/>
      <c r="AE79" s="22"/>
      <c r="AF79" s="48">
        <f t="shared" si="5"/>
        <v>0</v>
      </c>
      <c r="AG79" s="48">
        <f t="shared" si="6"/>
        <v>31</v>
      </c>
      <c r="AH79" s="48">
        <f t="shared" si="7"/>
        <v>31</v>
      </c>
      <c r="AI79" s="40" t="s">
        <v>33</v>
      </c>
      <c r="AJ79" s="40" t="s">
        <v>33</v>
      </c>
      <c r="AK79" s="40"/>
      <c r="AL79" s="146"/>
      <c r="AM79" s="136"/>
      <c r="AN79" s="136"/>
      <c r="AO79" s="136"/>
    </row>
    <row r="80" spans="1:41" ht="17.399999999999999">
      <c r="A80" s="22" t="s">
        <v>18828</v>
      </c>
      <c r="B80" s="22" t="s">
        <v>346</v>
      </c>
      <c r="C80" s="56" t="s">
        <v>18829</v>
      </c>
      <c r="D80" s="56" t="s">
        <v>33</v>
      </c>
      <c r="E80" s="22" t="s">
        <v>18830</v>
      </c>
      <c r="F80" s="22" t="s">
        <v>33</v>
      </c>
      <c r="G80" s="22" t="s">
        <v>67</v>
      </c>
      <c r="H80" s="22" t="s">
        <v>354</v>
      </c>
      <c r="I80" s="49" t="s">
        <v>355</v>
      </c>
      <c r="J80" s="50" t="s">
        <v>356</v>
      </c>
      <c r="K80" s="22" t="s">
        <v>346</v>
      </c>
      <c r="L80" s="22" t="s">
        <v>52</v>
      </c>
      <c r="M80" s="22">
        <v>67</v>
      </c>
      <c r="N80" s="22" t="s">
        <v>18831</v>
      </c>
      <c r="O80" s="22"/>
      <c r="P80" s="46" t="s">
        <v>18088</v>
      </c>
      <c r="Q80" s="40"/>
      <c r="R80" s="41"/>
      <c r="S80" s="22">
        <f t="shared" si="4"/>
        <v>67</v>
      </c>
      <c r="T80" s="41">
        <v>45496</v>
      </c>
      <c r="U80" s="44">
        <v>45490</v>
      </c>
      <c r="V80" s="44">
        <v>45496</v>
      </c>
      <c r="W80" s="46" t="s">
        <v>18832</v>
      </c>
      <c r="X80" s="46">
        <v>67</v>
      </c>
      <c r="Y80" s="46" t="s">
        <v>18833</v>
      </c>
      <c r="Z80" s="22"/>
      <c r="AA80" s="22"/>
      <c r="AB80" s="22"/>
      <c r="AC80" s="58"/>
      <c r="AD80" s="22"/>
      <c r="AE80" s="22"/>
      <c r="AF80" s="48">
        <f t="shared" si="5"/>
        <v>0</v>
      </c>
      <c r="AG80" s="48">
        <f t="shared" si="6"/>
        <v>67</v>
      </c>
      <c r="AH80" s="48">
        <f t="shared" si="7"/>
        <v>67</v>
      </c>
      <c r="AI80" s="40" t="s">
        <v>33</v>
      </c>
      <c r="AJ80" s="40" t="s">
        <v>33</v>
      </c>
      <c r="AK80" s="40"/>
      <c r="AL80" s="146"/>
      <c r="AM80" s="136"/>
      <c r="AN80" s="136"/>
      <c r="AO80" s="136"/>
    </row>
    <row r="81" spans="1:41" ht="17.399999999999999">
      <c r="A81" s="22" t="s">
        <v>18834</v>
      </c>
      <c r="B81" s="22" t="s">
        <v>346</v>
      </c>
      <c r="C81" s="56" t="s">
        <v>18835</v>
      </c>
      <c r="D81" s="56" t="s">
        <v>33</v>
      </c>
      <c r="E81" s="22" t="s">
        <v>33</v>
      </c>
      <c r="F81" s="22" t="s">
        <v>33</v>
      </c>
      <c r="G81" s="22" t="s">
        <v>67</v>
      </c>
      <c r="H81" s="22" t="s">
        <v>366</v>
      </c>
      <c r="I81" s="49" t="s">
        <v>362</v>
      </c>
      <c r="J81" s="50" t="s">
        <v>367</v>
      </c>
      <c r="K81" s="22" t="s">
        <v>346</v>
      </c>
      <c r="L81" s="22" t="s">
        <v>60</v>
      </c>
      <c r="M81" s="22">
        <v>66</v>
      </c>
      <c r="N81" s="22" t="s">
        <v>18836</v>
      </c>
      <c r="O81" s="22"/>
      <c r="P81" s="46" t="s">
        <v>18088</v>
      </c>
      <c r="Q81" s="40"/>
      <c r="R81" s="41"/>
      <c r="S81" s="22">
        <f t="shared" si="4"/>
        <v>66</v>
      </c>
      <c r="T81" s="41">
        <v>45554</v>
      </c>
      <c r="U81" s="44">
        <v>45553</v>
      </c>
      <c r="V81" s="44">
        <v>45554</v>
      </c>
      <c r="W81" s="46" t="s">
        <v>18837</v>
      </c>
      <c r="X81" s="46">
        <v>66</v>
      </c>
      <c r="Y81" s="46" t="s">
        <v>18838</v>
      </c>
      <c r="Z81" s="22"/>
      <c r="AA81" s="22"/>
      <c r="AB81" s="22"/>
      <c r="AC81" s="58"/>
      <c r="AD81" s="22"/>
      <c r="AE81" s="22"/>
      <c r="AF81" s="48">
        <f t="shared" si="5"/>
        <v>0</v>
      </c>
      <c r="AG81" s="48">
        <f t="shared" si="6"/>
        <v>66</v>
      </c>
      <c r="AH81" s="48">
        <f t="shared" si="7"/>
        <v>66</v>
      </c>
      <c r="AI81" s="40" t="s">
        <v>33</v>
      </c>
      <c r="AJ81" s="40" t="s">
        <v>33</v>
      </c>
      <c r="AK81" s="40"/>
      <c r="AL81" s="146"/>
      <c r="AM81" s="136"/>
      <c r="AN81" s="136"/>
      <c r="AO81" s="136"/>
    </row>
    <row r="82" spans="1:41" ht="17.399999999999999">
      <c r="A82" s="22" t="s">
        <v>286</v>
      </c>
      <c r="B82" s="22" t="s">
        <v>287</v>
      </c>
      <c r="C82" s="56">
        <v>45498</v>
      </c>
      <c r="D82" s="56">
        <v>45495</v>
      </c>
      <c r="E82" s="22" t="s">
        <v>288</v>
      </c>
      <c r="F82" s="22" t="s">
        <v>33</v>
      </c>
      <c r="G82" s="22" t="s">
        <v>33</v>
      </c>
      <c r="H82" s="22" t="s">
        <v>233</v>
      </c>
      <c r="I82" s="49" t="s">
        <v>174</v>
      </c>
      <c r="J82" s="50" t="s">
        <v>234</v>
      </c>
      <c r="K82" s="22" t="s">
        <v>51</v>
      </c>
      <c r="L82" s="22" t="s">
        <v>60</v>
      </c>
      <c r="M82" s="22">
        <v>90</v>
      </c>
      <c r="N82" s="22" t="s">
        <v>289</v>
      </c>
      <c r="O82" s="22"/>
      <c r="P82" s="46" t="s">
        <v>685</v>
      </c>
      <c r="Q82" s="40"/>
      <c r="R82" s="41"/>
      <c r="S82" s="22">
        <f t="shared" si="4"/>
        <v>90</v>
      </c>
      <c r="T82" s="41">
        <v>45498</v>
      </c>
      <c r="U82" s="44">
        <v>45498</v>
      </c>
      <c r="V82" s="44" t="s">
        <v>594</v>
      </c>
      <c r="W82" s="46" t="s">
        <v>595</v>
      </c>
      <c r="X82" s="46">
        <v>90</v>
      </c>
      <c r="Y82" s="46" t="s">
        <v>664</v>
      </c>
      <c r="Z82" s="22">
        <v>45533</v>
      </c>
      <c r="AA82" s="22" t="s">
        <v>18083</v>
      </c>
      <c r="AB82" s="22">
        <v>80</v>
      </c>
      <c r="AC82" s="58"/>
      <c r="AD82" s="22"/>
      <c r="AE82" s="22"/>
      <c r="AF82" s="48">
        <f t="shared" si="5"/>
        <v>0</v>
      </c>
      <c r="AG82" s="48">
        <f t="shared" si="6"/>
        <v>10</v>
      </c>
      <c r="AH82" s="48">
        <f t="shared" si="7"/>
        <v>10</v>
      </c>
      <c r="AI82" s="40" t="s">
        <v>33</v>
      </c>
      <c r="AJ82" s="40" t="s">
        <v>33</v>
      </c>
      <c r="AK82" s="40"/>
      <c r="AL82" s="146"/>
      <c r="AM82" s="136"/>
      <c r="AN82" s="136"/>
      <c r="AO82" s="136"/>
    </row>
    <row r="83" spans="1:41" ht="17.399999999999999">
      <c r="A83" s="22" t="s">
        <v>73</v>
      </c>
      <c r="B83" s="22" t="s">
        <v>74</v>
      </c>
      <c r="C83" s="56">
        <v>45497</v>
      </c>
      <c r="D83" s="56">
        <v>45426</v>
      </c>
      <c r="E83" s="22">
        <v>20240509</v>
      </c>
      <c r="F83" s="22" t="s">
        <v>33</v>
      </c>
      <c r="G83" s="22" t="s">
        <v>33</v>
      </c>
      <c r="H83" s="22" t="s">
        <v>2833</v>
      </c>
      <c r="I83" s="49" t="s">
        <v>75</v>
      </c>
      <c r="J83" s="50" t="s">
        <v>76</v>
      </c>
      <c r="K83" s="22" t="s">
        <v>77</v>
      </c>
      <c r="L83" s="22" t="s">
        <v>60</v>
      </c>
      <c r="M83" s="22">
        <v>3</v>
      </c>
      <c r="N83" s="22" t="s">
        <v>78</v>
      </c>
      <c r="O83" s="22"/>
      <c r="P83" s="46" t="s">
        <v>19054</v>
      </c>
      <c r="Q83" s="40"/>
      <c r="R83" s="41"/>
      <c r="S83" s="22">
        <f t="shared" si="4"/>
        <v>3</v>
      </c>
      <c r="T83" s="41">
        <v>45552</v>
      </c>
      <c r="U83" s="44">
        <v>45551</v>
      </c>
      <c r="V83" s="44">
        <v>45552</v>
      </c>
      <c r="W83" s="46" t="s">
        <v>572</v>
      </c>
      <c r="X83" s="46">
        <v>3</v>
      </c>
      <c r="Y83" s="46" t="s">
        <v>665</v>
      </c>
      <c r="Z83" s="22"/>
      <c r="AA83" s="22"/>
      <c r="AB83" s="22"/>
      <c r="AC83" s="58"/>
      <c r="AD83" s="22"/>
      <c r="AE83" s="22"/>
      <c r="AF83" s="48">
        <f t="shared" si="5"/>
        <v>0</v>
      </c>
      <c r="AG83" s="48">
        <f t="shared" si="6"/>
        <v>3</v>
      </c>
      <c r="AH83" s="48">
        <f t="shared" si="7"/>
        <v>3</v>
      </c>
      <c r="AI83" s="40">
        <v>45563</v>
      </c>
      <c r="AJ83" s="40"/>
      <c r="AK83" s="40"/>
      <c r="AL83" s="146"/>
      <c r="AM83" s="136"/>
      <c r="AN83" s="136"/>
      <c r="AO83" s="136"/>
    </row>
    <row r="84" spans="1:41" ht="17.399999999999999">
      <c r="A84" s="22" t="s">
        <v>79</v>
      </c>
      <c r="B84" s="22" t="s">
        <v>50</v>
      </c>
      <c r="C84" s="56">
        <v>45512</v>
      </c>
      <c r="D84" s="56">
        <v>45496</v>
      </c>
      <c r="E84" s="22" t="s">
        <v>80</v>
      </c>
      <c r="F84" s="22">
        <v>350</v>
      </c>
      <c r="G84" s="22" t="s">
        <v>81</v>
      </c>
      <c r="H84" s="22" t="s">
        <v>82</v>
      </c>
      <c r="I84" s="49" t="s">
        <v>83</v>
      </c>
      <c r="J84" s="50" t="s">
        <v>84</v>
      </c>
      <c r="K84" s="22" t="s">
        <v>85</v>
      </c>
      <c r="L84" s="22" t="s">
        <v>60</v>
      </c>
      <c r="M84" s="22">
        <v>61</v>
      </c>
      <c r="N84" s="22" t="s">
        <v>86</v>
      </c>
      <c r="O84" s="22"/>
      <c r="P84" s="46" t="s">
        <v>19054</v>
      </c>
      <c r="Q84" s="40"/>
      <c r="R84" s="41"/>
      <c r="S84" s="22">
        <f t="shared" si="4"/>
        <v>61</v>
      </c>
      <c r="T84" s="41">
        <v>45552</v>
      </c>
      <c r="U84" s="44">
        <v>45551</v>
      </c>
      <c r="V84" s="44">
        <v>45552</v>
      </c>
      <c r="W84" s="46" t="s">
        <v>572</v>
      </c>
      <c r="X84" s="46">
        <v>61</v>
      </c>
      <c r="Y84" s="46" t="s">
        <v>665</v>
      </c>
      <c r="Z84" s="22"/>
      <c r="AA84" s="22"/>
      <c r="AB84" s="22"/>
      <c r="AC84" s="58"/>
      <c r="AD84" s="22"/>
      <c r="AE84" s="22"/>
      <c r="AF84" s="48">
        <f t="shared" si="5"/>
        <v>0</v>
      </c>
      <c r="AG84" s="48">
        <f t="shared" si="6"/>
        <v>61</v>
      </c>
      <c r="AH84" s="48">
        <f t="shared" si="7"/>
        <v>61</v>
      </c>
      <c r="AI84" s="40">
        <v>45563</v>
      </c>
      <c r="AJ84" s="40"/>
      <c r="AK84" s="40"/>
      <c r="AL84" s="146"/>
      <c r="AM84" s="136"/>
      <c r="AN84" s="136"/>
      <c r="AO84" s="136"/>
    </row>
    <row r="85" spans="1:41" ht="17.399999999999999">
      <c r="A85" s="22" t="s">
        <v>559</v>
      </c>
      <c r="B85" s="22" t="s">
        <v>552</v>
      </c>
      <c r="C85" s="56">
        <v>45491</v>
      </c>
      <c r="D85" s="56">
        <v>45469</v>
      </c>
      <c r="E85" s="22" t="s">
        <v>560</v>
      </c>
      <c r="F85" s="22" t="s">
        <v>33</v>
      </c>
      <c r="G85" s="22" t="s">
        <v>33</v>
      </c>
      <c r="H85" s="22" t="s">
        <v>554</v>
      </c>
      <c r="I85" s="49" t="s">
        <v>555</v>
      </c>
      <c r="J85" s="50" t="s">
        <v>556</v>
      </c>
      <c r="K85" s="22" t="s">
        <v>557</v>
      </c>
      <c r="L85" s="22" t="s">
        <v>71</v>
      </c>
      <c r="M85" s="22">
        <v>25</v>
      </c>
      <c r="N85" s="22" t="s">
        <v>561</v>
      </c>
      <c r="O85" s="22"/>
      <c r="P85" s="46" t="s">
        <v>682</v>
      </c>
      <c r="Q85" s="40"/>
      <c r="R85" s="41"/>
      <c r="S85" s="22">
        <f t="shared" si="4"/>
        <v>25</v>
      </c>
      <c r="T85" s="41">
        <v>45560</v>
      </c>
      <c r="U85" s="44">
        <v>45552</v>
      </c>
      <c r="V85" s="44">
        <v>45559</v>
      </c>
      <c r="W85" s="46" t="s">
        <v>623</v>
      </c>
      <c r="X85" s="46">
        <v>25</v>
      </c>
      <c r="Y85" s="46" t="s">
        <v>666</v>
      </c>
      <c r="Z85" s="22"/>
      <c r="AA85" s="22"/>
      <c r="AB85" s="22"/>
      <c r="AC85" s="58"/>
      <c r="AD85" s="22"/>
      <c r="AE85" s="22"/>
      <c r="AF85" s="48">
        <f t="shared" si="5"/>
        <v>0</v>
      </c>
      <c r="AG85" s="48">
        <f t="shared" si="6"/>
        <v>25</v>
      </c>
      <c r="AH85" s="48">
        <f t="shared" si="7"/>
        <v>25</v>
      </c>
      <c r="AI85" s="40" t="s">
        <v>33</v>
      </c>
      <c r="AJ85" s="40" t="s">
        <v>33</v>
      </c>
      <c r="AK85" s="40"/>
      <c r="AL85" s="146"/>
      <c r="AM85" s="136"/>
      <c r="AN85" s="136"/>
      <c r="AO85" s="136"/>
    </row>
    <row r="86" spans="1:41" ht="17.399999999999999">
      <c r="A86" s="22" t="s">
        <v>18839</v>
      </c>
      <c r="B86" s="22" t="s">
        <v>455</v>
      </c>
      <c r="C86" s="56" t="s">
        <v>456</v>
      </c>
      <c r="D86" s="56" t="s">
        <v>457</v>
      </c>
      <c r="E86" s="22" t="s">
        <v>458</v>
      </c>
      <c r="F86" s="22">
        <v>1000</v>
      </c>
      <c r="G86" s="22" t="s">
        <v>459</v>
      </c>
      <c r="H86" s="22" t="s">
        <v>439</v>
      </c>
      <c r="I86" s="49" t="s">
        <v>440</v>
      </c>
      <c r="J86" s="50" t="s">
        <v>441</v>
      </c>
      <c r="K86" s="22" t="s">
        <v>312</v>
      </c>
      <c r="L86" s="22" t="s">
        <v>60</v>
      </c>
      <c r="M86" s="22">
        <v>22</v>
      </c>
      <c r="N86" s="22" t="s">
        <v>460</v>
      </c>
      <c r="O86" s="22"/>
      <c r="P86" s="46" t="s">
        <v>680</v>
      </c>
      <c r="Q86" s="40"/>
      <c r="R86" s="41"/>
      <c r="S86" s="22">
        <f t="shared" si="4"/>
        <v>22</v>
      </c>
      <c r="T86" s="41">
        <v>45554</v>
      </c>
      <c r="U86" s="44">
        <v>45551</v>
      </c>
      <c r="V86" s="44">
        <v>45554</v>
      </c>
      <c r="W86" s="46" t="s">
        <v>614</v>
      </c>
      <c r="X86" s="46">
        <v>22</v>
      </c>
      <c r="Y86" s="46" t="s">
        <v>667</v>
      </c>
      <c r="Z86" s="22" t="s">
        <v>18571</v>
      </c>
      <c r="AA86" s="22" t="s">
        <v>18572</v>
      </c>
      <c r="AB86" s="22">
        <f>16+6</f>
        <v>22</v>
      </c>
      <c r="AC86" s="58"/>
      <c r="AD86" s="22"/>
      <c r="AE86" s="22"/>
      <c r="AF86" s="48">
        <f t="shared" si="5"/>
        <v>0</v>
      </c>
      <c r="AG86" s="48">
        <f t="shared" si="6"/>
        <v>0</v>
      </c>
      <c r="AH86" s="48">
        <f t="shared" si="7"/>
        <v>0</v>
      </c>
      <c r="AI86" s="40" t="s">
        <v>33</v>
      </c>
      <c r="AJ86" s="40" t="s">
        <v>33</v>
      </c>
      <c r="AK86" s="40"/>
      <c r="AL86" s="146"/>
      <c r="AM86" s="136"/>
      <c r="AN86" s="136"/>
      <c r="AO86" s="136"/>
    </row>
    <row r="87" spans="1:41" ht="17.399999999999999">
      <c r="A87" s="22" t="s">
        <v>368</v>
      </c>
      <c r="B87" s="22">
        <v>1480</v>
      </c>
      <c r="C87" s="56">
        <v>45526</v>
      </c>
      <c r="D87" s="56">
        <v>45489</v>
      </c>
      <c r="E87" s="22" t="s">
        <v>369</v>
      </c>
      <c r="F87" s="22">
        <v>200</v>
      </c>
      <c r="G87" s="22" t="s">
        <v>370</v>
      </c>
      <c r="H87" s="22" t="s">
        <v>4368</v>
      </c>
      <c r="I87" s="49" t="s">
        <v>371</v>
      </c>
      <c r="J87" s="50" t="s">
        <v>372</v>
      </c>
      <c r="K87" s="22">
        <v>1480</v>
      </c>
      <c r="L87" s="22" t="s">
        <v>60</v>
      </c>
      <c r="M87" s="22">
        <v>200</v>
      </c>
      <c r="N87" s="22" t="s">
        <v>373</v>
      </c>
      <c r="O87" s="22"/>
      <c r="P87" s="46" t="s">
        <v>681</v>
      </c>
      <c r="Q87" s="40"/>
      <c r="R87" s="41"/>
      <c r="S87" s="22">
        <f t="shared" si="4"/>
        <v>200</v>
      </c>
      <c r="T87" s="41"/>
      <c r="U87" s="44"/>
      <c r="V87" s="44"/>
      <c r="W87" s="46"/>
      <c r="X87" s="46"/>
      <c r="Y87" s="46"/>
      <c r="Z87" s="22"/>
      <c r="AA87" s="22"/>
      <c r="AB87" s="22"/>
      <c r="AC87" s="58"/>
      <c r="AD87" s="22"/>
      <c r="AE87" s="22"/>
      <c r="AF87" s="48">
        <f t="shared" si="5"/>
        <v>200</v>
      </c>
      <c r="AG87" s="48">
        <f t="shared" si="6"/>
        <v>0</v>
      </c>
      <c r="AH87" s="48">
        <f t="shared" si="7"/>
        <v>200</v>
      </c>
      <c r="AI87" s="40" t="s">
        <v>33</v>
      </c>
      <c r="AJ87" s="40" t="s">
        <v>33</v>
      </c>
      <c r="AK87" s="40"/>
      <c r="AL87" s="146"/>
      <c r="AM87" s="136"/>
      <c r="AN87" s="136"/>
      <c r="AO87" s="136"/>
    </row>
    <row r="88" spans="1:41" ht="17.399999999999999">
      <c r="A88" s="22" t="s">
        <v>87</v>
      </c>
      <c r="B88" s="22" t="s">
        <v>50</v>
      </c>
      <c r="C88" s="56">
        <v>45544</v>
      </c>
      <c r="D88" s="56">
        <v>45511</v>
      </c>
      <c r="E88" s="22">
        <v>20240802</v>
      </c>
      <c r="F88" s="22">
        <v>350</v>
      </c>
      <c r="G88" s="22" t="s">
        <v>81</v>
      </c>
      <c r="H88" s="22" t="s">
        <v>82</v>
      </c>
      <c r="I88" s="49" t="s">
        <v>83</v>
      </c>
      <c r="J88" s="50" t="s">
        <v>84</v>
      </c>
      <c r="K88" s="22" t="s">
        <v>85</v>
      </c>
      <c r="L88" s="22" t="s">
        <v>60</v>
      </c>
      <c r="M88" s="22">
        <v>9</v>
      </c>
      <c r="N88" s="22" t="s">
        <v>88</v>
      </c>
      <c r="O88" s="22"/>
      <c r="P88" s="46" t="s">
        <v>19054</v>
      </c>
      <c r="Q88" s="40"/>
      <c r="R88" s="41"/>
      <c r="S88" s="22">
        <f t="shared" si="4"/>
        <v>9</v>
      </c>
      <c r="T88" s="41">
        <v>45552</v>
      </c>
      <c r="U88" s="44">
        <v>45551</v>
      </c>
      <c r="V88" s="44">
        <v>45552</v>
      </c>
      <c r="W88" s="46" t="s">
        <v>572</v>
      </c>
      <c r="X88" s="46">
        <v>9</v>
      </c>
      <c r="Y88" s="46" t="s">
        <v>665</v>
      </c>
      <c r="Z88" s="22"/>
      <c r="AA88" s="22"/>
      <c r="AB88" s="22"/>
      <c r="AC88" s="58"/>
      <c r="AD88" s="22"/>
      <c r="AE88" s="22"/>
      <c r="AF88" s="48">
        <f t="shared" si="5"/>
        <v>0</v>
      </c>
      <c r="AG88" s="48">
        <f t="shared" si="6"/>
        <v>9</v>
      </c>
      <c r="AH88" s="48">
        <f t="shared" si="7"/>
        <v>9</v>
      </c>
      <c r="AI88" s="40">
        <v>45563</v>
      </c>
      <c r="AJ88" s="40" t="s">
        <v>38</v>
      </c>
      <c r="AK88" s="40"/>
      <c r="AL88" s="146"/>
      <c r="AM88" s="136"/>
      <c r="AN88" s="136"/>
      <c r="AO88" s="136"/>
    </row>
    <row r="89" spans="1:41" s="163" customFormat="1" ht="17.399999999999999">
      <c r="A89" s="22" t="s">
        <v>290</v>
      </c>
      <c r="B89" s="22" t="s">
        <v>291</v>
      </c>
      <c r="C89" s="56" t="s">
        <v>292</v>
      </c>
      <c r="D89" s="56">
        <v>45356</v>
      </c>
      <c r="E89" s="22" t="s">
        <v>293</v>
      </c>
      <c r="F89" s="22" t="s">
        <v>33</v>
      </c>
      <c r="G89" s="22" t="s">
        <v>33</v>
      </c>
      <c r="H89" s="22" t="s">
        <v>182</v>
      </c>
      <c r="I89" s="49" t="s">
        <v>183</v>
      </c>
      <c r="J89" s="50" t="s">
        <v>184</v>
      </c>
      <c r="K89" s="22" t="s">
        <v>98</v>
      </c>
      <c r="L89" s="22" t="s">
        <v>60</v>
      </c>
      <c r="M89" s="22">
        <v>4</v>
      </c>
      <c r="N89" s="22" t="s">
        <v>294</v>
      </c>
      <c r="O89" s="22"/>
      <c r="P89" s="46" t="s">
        <v>685</v>
      </c>
      <c r="Q89" s="160"/>
      <c r="R89" s="161"/>
      <c r="S89" s="157">
        <f t="shared" si="4"/>
        <v>4</v>
      </c>
      <c r="T89" s="161">
        <v>45554</v>
      </c>
      <c r="U89" s="164">
        <v>45551</v>
      </c>
      <c r="V89" s="164">
        <v>45554</v>
      </c>
      <c r="W89" s="159" t="s">
        <v>596</v>
      </c>
      <c r="X89" s="159">
        <v>4</v>
      </c>
      <c r="Y89" s="159" t="s">
        <v>668</v>
      </c>
      <c r="Z89" s="157"/>
      <c r="AA89" s="157"/>
      <c r="AB89" s="157"/>
      <c r="AC89" s="157"/>
      <c r="AD89" s="157"/>
      <c r="AE89" s="157"/>
      <c r="AF89" s="162">
        <f t="shared" si="5"/>
        <v>0</v>
      </c>
      <c r="AG89" s="162">
        <f t="shared" si="6"/>
        <v>4</v>
      </c>
      <c r="AH89" s="162">
        <f t="shared" si="7"/>
        <v>4</v>
      </c>
      <c r="AI89" s="160" t="s">
        <v>33</v>
      </c>
      <c r="AJ89" s="160" t="s">
        <v>33</v>
      </c>
      <c r="AK89" s="160"/>
      <c r="AL89" s="157"/>
      <c r="AM89" s="165"/>
      <c r="AN89" s="165"/>
      <c r="AO89" s="165"/>
    </row>
    <row r="90" spans="1:41" s="163" customFormat="1" ht="17.399999999999999">
      <c r="A90" s="22" t="s">
        <v>18840</v>
      </c>
      <c r="B90" s="22" t="s">
        <v>346</v>
      </c>
      <c r="C90" s="56" t="s">
        <v>18841</v>
      </c>
      <c r="D90" s="56" t="s">
        <v>33</v>
      </c>
      <c r="E90" s="22" t="s">
        <v>374</v>
      </c>
      <c r="F90" s="22" t="s">
        <v>33</v>
      </c>
      <c r="G90" s="22" t="s">
        <v>67</v>
      </c>
      <c r="H90" s="22" t="s">
        <v>354</v>
      </c>
      <c r="I90" s="49" t="s">
        <v>355</v>
      </c>
      <c r="J90" s="50" t="s">
        <v>356</v>
      </c>
      <c r="K90" s="22" t="s">
        <v>346</v>
      </c>
      <c r="L90" s="22" t="s">
        <v>52</v>
      </c>
      <c r="M90" s="22">
        <v>258</v>
      </c>
      <c r="N90" s="22" t="s">
        <v>18842</v>
      </c>
      <c r="O90" s="22"/>
      <c r="P90" s="46" t="s">
        <v>18088</v>
      </c>
      <c r="Q90" s="160"/>
      <c r="R90" s="161"/>
      <c r="S90" s="157">
        <f t="shared" si="4"/>
        <v>258</v>
      </c>
      <c r="T90" s="161">
        <v>45573</v>
      </c>
      <c r="U90" s="164">
        <v>45567</v>
      </c>
      <c r="V90" s="164">
        <v>45573</v>
      </c>
      <c r="W90" s="159" t="s">
        <v>18843</v>
      </c>
      <c r="X90" s="159">
        <v>258</v>
      </c>
      <c r="Y90" s="159" t="s">
        <v>18844</v>
      </c>
      <c r="Z90" s="157"/>
      <c r="AA90" s="157"/>
      <c r="AB90" s="157"/>
      <c r="AC90" s="157"/>
      <c r="AD90" s="157"/>
      <c r="AE90" s="157"/>
      <c r="AF90" s="162">
        <f t="shared" si="5"/>
        <v>0</v>
      </c>
      <c r="AG90" s="162">
        <f t="shared" si="6"/>
        <v>258</v>
      </c>
      <c r="AH90" s="162">
        <f t="shared" si="7"/>
        <v>258</v>
      </c>
      <c r="AI90" s="160" t="s">
        <v>33</v>
      </c>
      <c r="AJ90" s="160" t="s">
        <v>33</v>
      </c>
      <c r="AK90" s="160"/>
      <c r="AL90" s="157"/>
      <c r="AM90" s="165"/>
      <c r="AN90" s="165"/>
      <c r="AO90" s="165"/>
    </row>
    <row r="91" spans="1:41" s="163" customFormat="1" ht="17.399999999999999">
      <c r="A91" s="22" t="s">
        <v>18845</v>
      </c>
      <c r="B91" s="22" t="s">
        <v>346</v>
      </c>
      <c r="C91" s="56" t="s">
        <v>18846</v>
      </c>
      <c r="D91" s="56" t="s">
        <v>33</v>
      </c>
      <c r="E91" s="22" t="s">
        <v>33</v>
      </c>
      <c r="F91" s="22" t="s">
        <v>33</v>
      </c>
      <c r="G91" s="22" t="s">
        <v>67</v>
      </c>
      <c r="H91" s="22" t="s">
        <v>351</v>
      </c>
      <c r="I91" s="49" t="s">
        <v>352</v>
      </c>
      <c r="J91" s="50" t="s">
        <v>353</v>
      </c>
      <c r="K91" s="22" t="s">
        <v>346</v>
      </c>
      <c r="L91" s="22" t="s">
        <v>60</v>
      </c>
      <c r="M91" s="22">
        <v>37</v>
      </c>
      <c r="N91" s="22" t="s">
        <v>18847</v>
      </c>
      <c r="O91" s="22"/>
      <c r="P91" s="46" t="s">
        <v>18088</v>
      </c>
      <c r="Q91" s="160"/>
      <c r="R91" s="161"/>
      <c r="S91" s="157">
        <f t="shared" si="4"/>
        <v>37</v>
      </c>
      <c r="T91" s="161">
        <v>45573</v>
      </c>
      <c r="U91" s="164">
        <v>45567</v>
      </c>
      <c r="V91" s="164">
        <v>45573</v>
      </c>
      <c r="W91" s="159" t="s">
        <v>18843</v>
      </c>
      <c r="X91" s="159">
        <v>37</v>
      </c>
      <c r="Y91" s="159" t="s">
        <v>18848</v>
      </c>
      <c r="Z91" s="157"/>
      <c r="AA91" s="157"/>
      <c r="AB91" s="157"/>
      <c r="AC91" s="157"/>
      <c r="AD91" s="157"/>
      <c r="AE91" s="157"/>
      <c r="AF91" s="162">
        <f t="shared" si="5"/>
        <v>0</v>
      </c>
      <c r="AG91" s="162">
        <f t="shared" si="6"/>
        <v>37</v>
      </c>
      <c r="AH91" s="162">
        <f t="shared" si="7"/>
        <v>37</v>
      </c>
      <c r="AI91" s="160" t="s">
        <v>33</v>
      </c>
      <c r="AJ91" s="160" t="s">
        <v>33</v>
      </c>
      <c r="AK91" s="160"/>
      <c r="AL91" s="157"/>
      <c r="AM91" s="165"/>
      <c r="AN91" s="165"/>
      <c r="AO91" s="165"/>
    </row>
    <row r="92" spans="1:41" s="163" customFormat="1" ht="17.399999999999999">
      <c r="A92" s="22" t="s">
        <v>18849</v>
      </c>
      <c r="B92" s="22" t="s">
        <v>346</v>
      </c>
      <c r="C92" s="56" t="s">
        <v>18846</v>
      </c>
      <c r="D92" s="56" t="s">
        <v>33</v>
      </c>
      <c r="E92" s="22" t="s">
        <v>33</v>
      </c>
      <c r="F92" s="22" t="s">
        <v>33</v>
      </c>
      <c r="G92" s="22" t="s">
        <v>67</v>
      </c>
      <c r="H92" s="22" t="s">
        <v>366</v>
      </c>
      <c r="I92" s="49" t="s">
        <v>362</v>
      </c>
      <c r="J92" s="50" t="s">
        <v>367</v>
      </c>
      <c r="K92" s="22" t="s">
        <v>346</v>
      </c>
      <c r="L92" s="22" t="s">
        <v>60</v>
      </c>
      <c r="M92" s="22">
        <v>48</v>
      </c>
      <c r="N92" s="22" t="s">
        <v>18850</v>
      </c>
      <c r="O92" s="22"/>
      <c r="P92" s="46" t="s">
        <v>18088</v>
      </c>
      <c r="Q92" s="160"/>
      <c r="R92" s="161"/>
      <c r="S92" s="157">
        <f t="shared" si="4"/>
        <v>48</v>
      </c>
      <c r="T92" s="161" t="s">
        <v>18851</v>
      </c>
      <c r="U92" s="164">
        <v>45583</v>
      </c>
      <c r="V92" s="164">
        <v>45587</v>
      </c>
      <c r="W92" s="159" t="s">
        <v>18852</v>
      </c>
      <c r="X92" s="159">
        <v>48</v>
      </c>
      <c r="Y92" s="159" t="s">
        <v>18853</v>
      </c>
      <c r="Z92" s="157"/>
      <c r="AA92" s="157"/>
      <c r="AB92" s="157"/>
      <c r="AC92" s="157"/>
      <c r="AD92" s="157"/>
      <c r="AE92" s="157"/>
      <c r="AF92" s="162">
        <f t="shared" si="5"/>
        <v>0</v>
      </c>
      <c r="AG92" s="162">
        <f t="shared" si="6"/>
        <v>48</v>
      </c>
      <c r="AH92" s="162">
        <f t="shared" si="7"/>
        <v>48</v>
      </c>
      <c r="AI92" s="160" t="s">
        <v>33</v>
      </c>
      <c r="AJ92" s="160" t="s">
        <v>33</v>
      </c>
      <c r="AK92" s="160"/>
      <c r="AL92" s="157"/>
      <c r="AM92" s="165"/>
      <c r="AN92" s="165"/>
      <c r="AO92" s="165"/>
    </row>
    <row r="93" spans="1:41" s="163" customFormat="1" ht="17.399999999999999">
      <c r="A93" s="22" t="s">
        <v>375</v>
      </c>
      <c r="B93" s="22" t="s">
        <v>376</v>
      </c>
      <c r="C93" s="56" t="s">
        <v>377</v>
      </c>
      <c r="D93" s="56" t="s">
        <v>33</v>
      </c>
      <c r="E93" s="22" t="s">
        <v>33</v>
      </c>
      <c r="F93" s="22" t="s">
        <v>33</v>
      </c>
      <c r="G93" s="22" t="s">
        <v>67</v>
      </c>
      <c r="H93" s="22" t="s">
        <v>378</v>
      </c>
      <c r="I93" s="49" t="s">
        <v>379</v>
      </c>
      <c r="J93" s="50" t="s">
        <v>380</v>
      </c>
      <c r="K93" s="22" t="s">
        <v>381</v>
      </c>
      <c r="L93" s="22" t="s">
        <v>60</v>
      </c>
      <c r="M93" s="22">
        <v>2</v>
      </c>
      <c r="N93" s="22" t="s">
        <v>382</v>
      </c>
      <c r="O93" s="22"/>
      <c r="P93" s="46" t="s">
        <v>18133</v>
      </c>
      <c r="Q93" s="160"/>
      <c r="R93" s="161"/>
      <c r="S93" s="157">
        <f t="shared" si="4"/>
        <v>2</v>
      </c>
      <c r="T93" s="161">
        <v>45630</v>
      </c>
      <c r="U93" s="164">
        <v>45614</v>
      </c>
      <c r="V93" s="164">
        <v>45629</v>
      </c>
      <c r="W93" s="159" t="s">
        <v>601</v>
      </c>
      <c r="X93" s="159">
        <v>2</v>
      </c>
      <c r="Y93" s="159" t="s">
        <v>669</v>
      </c>
      <c r="Z93" s="157"/>
      <c r="AA93" s="157"/>
      <c r="AB93" s="157"/>
      <c r="AC93" s="157">
        <v>45686</v>
      </c>
      <c r="AD93" s="157" t="s">
        <v>755</v>
      </c>
      <c r="AE93" s="157">
        <v>2</v>
      </c>
      <c r="AF93" s="162">
        <f t="shared" si="5"/>
        <v>0</v>
      </c>
      <c r="AG93" s="162">
        <f t="shared" si="6"/>
        <v>0</v>
      </c>
      <c r="AH93" s="162">
        <f t="shared" si="7"/>
        <v>0</v>
      </c>
      <c r="AI93" s="160" t="s">
        <v>33</v>
      </c>
      <c r="AJ93" s="160" t="s">
        <v>33</v>
      </c>
      <c r="AK93" s="160"/>
      <c r="AL93" s="157"/>
      <c r="AM93" s="165"/>
      <c r="AN93" s="165"/>
      <c r="AO93" s="165"/>
    </row>
    <row r="94" spans="1:41" s="163" customFormat="1" ht="17.399999999999999">
      <c r="A94" s="22" t="s">
        <v>383</v>
      </c>
      <c r="B94" s="22" t="s">
        <v>376</v>
      </c>
      <c r="C94" s="56" t="s">
        <v>377</v>
      </c>
      <c r="D94" s="56" t="s">
        <v>33</v>
      </c>
      <c r="E94" s="22" t="s">
        <v>33</v>
      </c>
      <c r="F94" s="22" t="s">
        <v>33</v>
      </c>
      <c r="G94" s="22" t="s">
        <v>67</v>
      </c>
      <c r="H94" s="22" t="s">
        <v>384</v>
      </c>
      <c r="I94" s="49" t="s">
        <v>379</v>
      </c>
      <c r="J94" s="50" t="s">
        <v>385</v>
      </c>
      <c r="K94" s="22" t="s">
        <v>381</v>
      </c>
      <c r="L94" s="22" t="s">
        <v>60</v>
      </c>
      <c r="M94" s="22">
        <v>5</v>
      </c>
      <c r="N94" s="22" t="s">
        <v>386</v>
      </c>
      <c r="O94" s="22"/>
      <c r="P94" s="46" t="s">
        <v>18133</v>
      </c>
      <c r="Q94" s="160"/>
      <c r="R94" s="161"/>
      <c r="S94" s="157">
        <f t="shared" si="4"/>
        <v>5</v>
      </c>
      <c r="T94" s="161">
        <v>45630</v>
      </c>
      <c r="U94" s="164">
        <v>45614</v>
      </c>
      <c r="V94" s="164">
        <v>45629</v>
      </c>
      <c r="W94" s="159" t="s">
        <v>601</v>
      </c>
      <c r="X94" s="159">
        <v>5</v>
      </c>
      <c r="Y94" s="159" t="s">
        <v>669</v>
      </c>
      <c r="Z94" s="157"/>
      <c r="AA94" s="157"/>
      <c r="AB94" s="157"/>
      <c r="AC94" s="157">
        <v>45686</v>
      </c>
      <c r="AD94" s="157" t="s">
        <v>756</v>
      </c>
      <c r="AE94" s="157">
        <v>5</v>
      </c>
      <c r="AF94" s="162">
        <f t="shared" si="5"/>
        <v>0</v>
      </c>
      <c r="AG94" s="162">
        <f t="shared" si="6"/>
        <v>0</v>
      </c>
      <c r="AH94" s="162">
        <f t="shared" si="7"/>
        <v>0</v>
      </c>
      <c r="AI94" s="160" t="s">
        <v>33</v>
      </c>
      <c r="AJ94" s="160" t="s">
        <v>33</v>
      </c>
      <c r="AK94" s="160"/>
      <c r="AL94" s="157"/>
      <c r="AM94" s="165"/>
      <c r="AN94" s="165"/>
      <c r="AO94" s="165"/>
    </row>
    <row r="95" spans="1:41" s="163" customFormat="1" ht="17.399999999999999">
      <c r="A95" s="22" t="s">
        <v>387</v>
      </c>
      <c r="B95" s="22" t="s">
        <v>376</v>
      </c>
      <c r="C95" s="56" t="s">
        <v>388</v>
      </c>
      <c r="D95" s="56" t="s">
        <v>33</v>
      </c>
      <c r="E95" s="22" t="s">
        <v>33</v>
      </c>
      <c r="F95" s="22" t="s">
        <v>33</v>
      </c>
      <c r="G95" s="22" t="s">
        <v>67</v>
      </c>
      <c r="H95" s="22" t="s">
        <v>389</v>
      </c>
      <c r="I95" s="49" t="s">
        <v>379</v>
      </c>
      <c r="J95" s="50" t="s">
        <v>385</v>
      </c>
      <c r="K95" s="22" t="s">
        <v>381</v>
      </c>
      <c r="L95" s="22" t="s">
        <v>60</v>
      </c>
      <c r="M95" s="22">
        <v>3</v>
      </c>
      <c r="N95" s="22" t="s">
        <v>390</v>
      </c>
      <c r="O95" s="22"/>
      <c r="P95" s="46" t="s">
        <v>18133</v>
      </c>
      <c r="Q95" s="160"/>
      <c r="R95" s="161"/>
      <c r="S95" s="157">
        <f t="shared" si="4"/>
        <v>3</v>
      </c>
      <c r="T95" s="161">
        <v>45630</v>
      </c>
      <c r="U95" s="164">
        <v>45614</v>
      </c>
      <c r="V95" s="164">
        <v>45629</v>
      </c>
      <c r="W95" s="159" t="s">
        <v>601</v>
      </c>
      <c r="X95" s="159">
        <v>3</v>
      </c>
      <c r="Y95" s="159" t="s">
        <v>669</v>
      </c>
      <c r="Z95" s="157"/>
      <c r="AA95" s="157"/>
      <c r="AB95" s="157"/>
      <c r="AC95" s="157">
        <v>45686</v>
      </c>
      <c r="AD95" s="157" t="s">
        <v>757</v>
      </c>
      <c r="AE95" s="157">
        <v>3</v>
      </c>
      <c r="AF95" s="162">
        <f t="shared" si="5"/>
        <v>0</v>
      </c>
      <c r="AG95" s="162">
        <f t="shared" si="6"/>
        <v>0</v>
      </c>
      <c r="AH95" s="162">
        <f t="shared" si="7"/>
        <v>0</v>
      </c>
      <c r="AI95" s="160" t="s">
        <v>33</v>
      </c>
      <c r="AJ95" s="160" t="s">
        <v>33</v>
      </c>
      <c r="AK95" s="160"/>
      <c r="AL95" s="157"/>
      <c r="AM95" s="165"/>
      <c r="AN95" s="165"/>
      <c r="AO95" s="165"/>
    </row>
    <row r="96" spans="1:41" s="163" customFormat="1" ht="17.399999999999999">
      <c r="A96" s="22" t="s">
        <v>18854</v>
      </c>
      <c r="B96" s="22" t="s">
        <v>346</v>
      </c>
      <c r="C96" s="56" t="s">
        <v>18855</v>
      </c>
      <c r="D96" s="56" t="s">
        <v>33</v>
      </c>
      <c r="E96" s="22" t="s">
        <v>33</v>
      </c>
      <c r="F96" s="22" t="s">
        <v>33</v>
      </c>
      <c r="G96" s="22" t="s">
        <v>67</v>
      </c>
      <c r="H96" s="22" t="s">
        <v>354</v>
      </c>
      <c r="I96" s="49" t="s">
        <v>355</v>
      </c>
      <c r="J96" s="50" t="s">
        <v>356</v>
      </c>
      <c r="K96" s="22" t="s">
        <v>346</v>
      </c>
      <c r="L96" s="22" t="s">
        <v>52</v>
      </c>
      <c r="M96" s="22">
        <v>99</v>
      </c>
      <c r="N96" s="22" t="s">
        <v>18856</v>
      </c>
      <c r="O96" s="22"/>
      <c r="P96" s="46" t="s">
        <v>18088</v>
      </c>
      <c r="Q96" s="160"/>
      <c r="R96" s="161"/>
      <c r="S96" s="157">
        <f t="shared" si="4"/>
        <v>99</v>
      </c>
      <c r="T96" s="161">
        <v>45602</v>
      </c>
      <c r="U96" s="164">
        <v>45595</v>
      </c>
      <c r="V96" s="164">
        <v>45601</v>
      </c>
      <c r="W96" s="159" t="s">
        <v>18857</v>
      </c>
      <c r="X96" s="159">
        <v>99</v>
      </c>
      <c r="Y96" s="159" t="s">
        <v>18858</v>
      </c>
      <c r="Z96" s="157"/>
      <c r="AA96" s="157"/>
      <c r="AB96" s="157"/>
      <c r="AC96" s="157"/>
      <c r="AD96" s="157"/>
      <c r="AE96" s="157"/>
      <c r="AF96" s="162">
        <f t="shared" si="5"/>
        <v>0</v>
      </c>
      <c r="AG96" s="162">
        <f t="shared" si="6"/>
        <v>99</v>
      </c>
      <c r="AH96" s="162">
        <f t="shared" si="7"/>
        <v>99</v>
      </c>
      <c r="AI96" s="160" t="s">
        <v>33</v>
      </c>
      <c r="AJ96" s="160" t="s">
        <v>33</v>
      </c>
      <c r="AK96" s="160"/>
      <c r="AL96" s="157"/>
      <c r="AM96" s="165"/>
      <c r="AN96" s="165"/>
      <c r="AO96" s="165"/>
    </row>
    <row r="97" spans="1:41" s="163" customFormat="1" ht="17.399999999999999">
      <c r="A97" s="22" t="s">
        <v>89</v>
      </c>
      <c r="B97" s="22" t="s">
        <v>74</v>
      </c>
      <c r="C97" s="56">
        <v>45574</v>
      </c>
      <c r="D97" s="56">
        <v>45538</v>
      </c>
      <c r="E97" s="22">
        <v>20240829</v>
      </c>
      <c r="F97" s="22" t="s">
        <v>33</v>
      </c>
      <c r="G97" s="22" t="s">
        <v>33</v>
      </c>
      <c r="H97" s="22" t="s">
        <v>5419</v>
      </c>
      <c r="I97" s="49" t="s">
        <v>90</v>
      </c>
      <c r="J97" s="50" t="s">
        <v>91</v>
      </c>
      <c r="K97" s="22" t="s">
        <v>92</v>
      </c>
      <c r="L97" s="22" t="s">
        <v>60</v>
      </c>
      <c r="M97" s="22">
        <v>2</v>
      </c>
      <c r="N97" s="22" t="s">
        <v>93</v>
      </c>
      <c r="O97" s="22"/>
      <c r="P97" s="46" t="s">
        <v>19054</v>
      </c>
      <c r="Q97" s="160"/>
      <c r="R97" s="161"/>
      <c r="S97" s="157">
        <f t="shared" si="4"/>
        <v>2</v>
      </c>
      <c r="T97" s="161">
        <v>45609</v>
      </c>
      <c r="U97" s="164">
        <v>45603</v>
      </c>
      <c r="V97" s="164">
        <v>45608</v>
      </c>
      <c r="W97" s="159" t="s">
        <v>573</v>
      </c>
      <c r="X97" s="159">
        <v>2</v>
      </c>
      <c r="Y97" s="159" t="s">
        <v>670</v>
      </c>
      <c r="Z97" s="157"/>
      <c r="AA97" s="157"/>
      <c r="AB97" s="157"/>
      <c r="AC97" s="157"/>
      <c r="AD97" s="157"/>
      <c r="AE97" s="157"/>
      <c r="AF97" s="162">
        <f t="shared" si="5"/>
        <v>0</v>
      </c>
      <c r="AG97" s="162">
        <f t="shared" si="6"/>
        <v>2</v>
      </c>
      <c r="AH97" s="162">
        <f t="shared" si="7"/>
        <v>2</v>
      </c>
      <c r="AI97" s="160">
        <v>45623</v>
      </c>
      <c r="AJ97" s="160" t="s">
        <v>38</v>
      </c>
      <c r="AK97" s="160"/>
      <c r="AL97" s="157"/>
      <c r="AM97" s="165"/>
      <c r="AN97" s="165"/>
      <c r="AO97" s="165"/>
    </row>
    <row r="98" spans="1:41" s="163" customFormat="1" ht="17.399999999999999">
      <c r="A98" s="22" t="s">
        <v>18859</v>
      </c>
      <c r="B98" s="22" t="s">
        <v>346</v>
      </c>
      <c r="C98" s="56" t="s">
        <v>18860</v>
      </c>
      <c r="D98" s="56" t="s">
        <v>33</v>
      </c>
      <c r="E98" s="22" t="s">
        <v>33</v>
      </c>
      <c r="F98" s="22" t="s">
        <v>33</v>
      </c>
      <c r="G98" s="22" t="s">
        <v>67</v>
      </c>
      <c r="H98" s="22" t="s">
        <v>351</v>
      </c>
      <c r="I98" s="49" t="s">
        <v>352</v>
      </c>
      <c r="J98" s="50" t="s">
        <v>353</v>
      </c>
      <c r="K98" s="22" t="s">
        <v>346</v>
      </c>
      <c r="L98" s="22" t="s">
        <v>60</v>
      </c>
      <c r="M98" s="22">
        <v>8</v>
      </c>
      <c r="N98" s="22" t="s">
        <v>357</v>
      </c>
      <c r="O98" s="22"/>
      <c r="P98" s="46" t="s">
        <v>18088</v>
      </c>
      <c r="Q98" s="160"/>
      <c r="R98" s="161"/>
      <c r="S98" s="157">
        <f t="shared" si="4"/>
        <v>8</v>
      </c>
      <c r="T98" s="161">
        <v>45609</v>
      </c>
      <c r="U98" s="164">
        <v>45602</v>
      </c>
      <c r="V98" s="164">
        <v>45608</v>
      </c>
      <c r="W98" s="159" t="s">
        <v>602</v>
      </c>
      <c r="X98" s="159">
        <v>8</v>
      </c>
      <c r="Y98" s="159" t="s">
        <v>671</v>
      </c>
      <c r="Z98" s="157"/>
      <c r="AA98" s="157"/>
      <c r="AB98" s="157"/>
      <c r="AC98" s="157"/>
      <c r="AD98" s="157"/>
      <c r="AE98" s="157"/>
      <c r="AF98" s="162">
        <f t="shared" si="5"/>
        <v>0</v>
      </c>
      <c r="AG98" s="162">
        <f t="shared" si="6"/>
        <v>8</v>
      </c>
      <c r="AH98" s="162">
        <f t="shared" si="7"/>
        <v>8</v>
      </c>
      <c r="AI98" s="160" t="s">
        <v>33</v>
      </c>
      <c r="AJ98" s="160" t="s">
        <v>33</v>
      </c>
      <c r="AK98" s="160"/>
      <c r="AL98" s="157"/>
      <c r="AM98" s="165"/>
      <c r="AN98" s="165"/>
      <c r="AO98" s="165"/>
    </row>
    <row r="99" spans="1:41" s="163" customFormat="1" ht="17.399999999999999">
      <c r="A99" s="22" t="s">
        <v>295</v>
      </c>
      <c r="B99" s="22" t="s">
        <v>269</v>
      </c>
      <c r="C99" s="56" t="s">
        <v>296</v>
      </c>
      <c r="D99" s="56" t="s">
        <v>297</v>
      </c>
      <c r="E99" s="22" t="s">
        <v>298</v>
      </c>
      <c r="F99" s="22" t="s">
        <v>33</v>
      </c>
      <c r="G99" s="22" t="s">
        <v>33</v>
      </c>
      <c r="H99" s="22" t="s">
        <v>205</v>
      </c>
      <c r="I99" s="49" t="s">
        <v>206</v>
      </c>
      <c r="J99" s="50" t="s">
        <v>207</v>
      </c>
      <c r="K99" s="22" t="s">
        <v>208</v>
      </c>
      <c r="L99" s="22" t="s">
        <v>60</v>
      </c>
      <c r="M99" s="22">
        <v>14</v>
      </c>
      <c r="N99" s="22" t="s">
        <v>299</v>
      </c>
      <c r="O99" s="22"/>
      <c r="P99" s="46" t="s">
        <v>685</v>
      </c>
      <c r="Q99" s="160"/>
      <c r="R99" s="161"/>
      <c r="S99" s="157">
        <f t="shared" si="4"/>
        <v>14</v>
      </c>
      <c r="T99" s="161">
        <v>45650</v>
      </c>
      <c r="U99" s="164" t="s">
        <v>571</v>
      </c>
      <c r="V99" s="164" t="s">
        <v>571</v>
      </c>
      <c r="W99" s="159" t="s">
        <v>571</v>
      </c>
      <c r="X99" s="159">
        <v>14</v>
      </c>
      <c r="Y99" s="159" t="s">
        <v>571</v>
      </c>
      <c r="Z99" s="157"/>
      <c r="AA99" s="157"/>
      <c r="AB99" s="157"/>
      <c r="AC99" s="157"/>
      <c r="AD99" s="157"/>
      <c r="AE99" s="157"/>
      <c r="AF99" s="162">
        <f t="shared" si="5"/>
        <v>0</v>
      </c>
      <c r="AG99" s="162">
        <f t="shared" si="6"/>
        <v>14</v>
      </c>
      <c r="AH99" s="162">
        <f t="shared" si="7"/>
        <v>14</v>
      </c>
      <c r="AI99" s="160" t="s">
        <v>33</v>
      </c>
      <c r="AJ99" s="160" t="s">
        <v>33</v>
      </c>
      <c r="AK99" s="160"/>
      <c r="AL99" s="157"/>
      <c r="AM99" s="165"/>
      <c r="AN99" s="165"/>
      <c r="AO99" s="165"/>
    </row>
    <row r="100" spans="1:41" s="163" customFormat="1" ht="17.399999999999999">
      <c r="A100" s="22" t="s">
        <v>391</v>
      </c>
      <c r="B100" s="22" t="s">
        <v>346</v>
      </c>
      <c r="C100" s="56" t="s">
        <v>392</v>
      </c>
      <c r="D100" s="56" t="s">
        <v>33</v>
      </c>
      <c r="E100" s="22" t="s">
        <v>33</v>
      </c>
      <c r="F100" s="22" t="s">
        <v>33</v>
      </c>
      <c r="G100" s="22" t="s">
        <v>67</v>
      </c>
      <c r="H100" s="22" t="s">
        <v>366</v>
      </c>
      <c r="I100" s="49" t="s">
        <v>362</v>
      </c>
      <c r="J100" s="50" t="s">
        <v>367</v>
      </c>
      <c r="K100" s="22" t="s">
        <v>346</v>
      </c>
      <c r="L100" s="22" t="s">
        <v>60</v>
      </c>
      <c r="M100" s="22">
        <v>21</v>
      </c>
      <c r="N100" s="22" t="s">
        <v>393</v>
      </c>
      <c r="O100" s="22"/>
      <c r="P100" s="46" t="s">
        <v>18088</v>
      </c>
      <c r="Q100" s="160"/>
      <c r="R100" s="161"/>
      <c r="S100" s="157">
        <f t="shared" si="4"/>
        <v>21</v>
      </c>
      <c r="T100" s="161">
        <v>45609</v>
      </c>
      <c r="U100" s="164">
        <v>45602</v>
      </c>
      <c r="V100" s="164">
        <v>45608</v>
      </c>
      <c r="W100" s="159" t="s">
        <v>602</v>
      </c>
      <c r="X100" s="159">
        <v>21</v>
      </c>
      <c r="Y100" s="159" t="s">
        <v>671</v>
      </c>
      <c r="Z100" s="157"/>
      <c r="AA100" s="157"/>
      <c r="AB100" s="157"/>
      <c r="AC100" s="157"/>
      <c r="AD100" s="157"/>
      <c r="AE100" s="157"/>
      <c r="AF100" s="162">
        <f t="shared" si="5"/>
        <v>0</v>
      </c>
      <c r="AG100" s="162">
        <f t="shared" si="6"/>
        <v>21</v>
      </c>
      <c r="AH100" s="162">
        <f t="shared" si="7"/>
        <v>21</v>
      </c>
      <c r="AI100" s="160" t="s">
        <v>33</v>
      </c>
      <c r="AJ100" s="160" t="s">
        <v>33</v>
      </c>
      <c r="AK100" s="160"/>
      <c r="AL100" s="157"/>
      <c r="AM100" s="165"/>
      <c r="AN100" s="165"/>
      <c r="AO100" s="165"/>
    </row>
    <row r="101" spans="1:41" s="163" customFormat="1" ht="17.399999999999999">
      <c r="A101" s="22" t="s">
        <v>394</v>
      </c>
      <c r="B101" s="22" t="s">
        <v>346</v>
      </c>
      <c r="C101" s="56" t="s">
        <v>395</v>
      </c>
      <c r="D101" s="56" t="s">
        <v>33</v>
      </c>
      <c r="E101" s="22" t="s">
        <v>33</v>
      </c>
      <c r="F101" s="22" t="s">
        <v>33</v>
      </c>
      <c r="G101" s="22" t="s">
        <v>67</v>
      </c>
      <c r="H101" s="22" t="s">
        <v>396</v>
      </c>
      <c r="I101" s="49" t="s">
        <v>397</v>
      </c>
      <c r="J101" s="50" t="s">
        <v>398</v>
      </c>
      <c r="K101" s="22" t="s">
        <v>346</v>
      </c>
      <c r="L101" s="22" t="s">
        <v>60</v>
      </c>
      <c r="M101" s="22">
        <v>820</v>
      </c>
      <c r="N101" s="22" t="s">
        <v>399</v>
      </c>
      <c r="O101" s="22"/>
      <c r="P101" s="46" t="s">
        <v>18088</v>
      </c>
      <c r="Q101" s="160"/>
      <c r="R101" s="161"/>
      <c r="S101" s="157">
        <f t="shared" si="4"/>
        <v>820</v>
      </c>
      <c r="T101" s="161">
        <v>45638</v>
      </c>
      <c r="U101" s="164">
        <v>45630</v>
      </c>
      <c r="V101" s="164">
        <v>45638</v>
      </c>
      <c r="W101" s="159" t="s">
        <v>603</v>
      </c>
      <c r="X101" s="159">
        <v>820</v>
      </c>
      <c r="Y101" s="159" t="s">
        <v>672</v>
      </c>
      <c r="Z101" s="157" t="s">
        <v>18258</v>
      </c>
      <c r="AA101" s="157" t="s">
        <v>18259</v>
      </c>
      <c r="AB101" s="157">
        <f>144+108+125+159+108+108+68</f>
        <v>820</v>
      </c>
      <c r="AC101" s="157"/>
      <c r="AD101" s="157"/>
      <c r="AE101" s="157"/>
      <c r="AF101" s="162">
        <f t="shared" si="5"/>
        <v>0</v>
      </c>
      <c r="AG101" s="162">
        <f t="shared" si="6"/>
        <v>0</v>
      </c>
      <c r="AH101" s="162">
        <f t="shared" si="7"/>
        <v>0</v>
      </c>
      <c r="AI101" s="160" t="s">
        <v>33</v>
      </c>
      <c r="AJ101" s="160" t="s">
        <v>33</v>
      </c>
      <c r="AK101" s="160"/>
      <c r="AL101" s="157"/>
      <c r="AM101" s="165"/>
      <c r="AN101" s="165"/>
      <c r="AO101" s="165"/>
    </row>
    <row r="102" spans="1:41" s="163" customFormat="1" ht="17.399999999999999">
      <c r="A102" s="22" t="s">
        <v>562</v>
      </c>
      <c r="B102" s="22" t="s">
        <v>552</v>
      </c>
      <c r="C102" s="56">
        <v>45608</v>
      </c>
      <c r="D102" s="56">
        <v>45582</v>
      </c>
      <c r="E102" s="22" t="s">
        <v>563</v>
      </c>
      <c r="F102" s="22" t="s">
        <v>33</v>
      </c>
      <c r="G102" s="22" t="s">
        <v>564</v>
      </c>
      <c r="H102" s="22" t="s">
        <v>554</v>
      </c>
      <c r="I102" s="49" t="s">
        <v>555</v>
      </c>
      <c r="J102" s="50" t="s">
        <v>556</v>
      </c>
      <c r="K102" s="22" t="s">
        <v>557</v>
      </c>
      <c r="L102" s="22" t="s">
        <v>71</v>
      </c>
      <c r="M102" s="22">
        <v>25</v>
      </c>
      <c r="N102" s="22" t="s">
        <v>565</v>
      </c>
      <c r="O102" s="22"/>
      <c r="P102" s="46" t="s">
        <v>682</v>
      </c>
      <c r="Q102" s="160"/>
      <c r="R102" s="161"/>
      <c r="S102" s="157">
        <f t="shared" si="4"/>
        <v>25</v>
      </c>
      <c r="T102" s="161">
        <v>45630</v>
      </c>
      <c r="U102" s="164">
        <v>45628</v>
      </c>
      <c r="V102" s="164">
        <v>45629</v>
      </c>
      <c r="W102" s="159" t="s">
        <v>624</v>
      </c>
      <c r="X102" s="159">
        <v>25</v>
      </c>
      <c r="Y102" s="159" t="s">
        <v>673</v>
      </c>
      <c r="Z102" s="157"/>
      <c r="AA102" s="157"/>
      <c r="AB102" s="157"/>
      <c r="AC102" s="157"/>
      <c r="AD102" s="157"/>
      <c r="AE102" s="157"/>
      <c r="AF102" s="162">
        <f t="shared" si="5"/>
        <v>0</v>
      </c>
      <c r="AG102" s="162">
        <f t="shared" si="6"/>
        <v>25</v>
      </c>
      <c r="AH102" s="162">
        <f t="shared" si="7"/>
        <v>25</v>
      </c>
      <c r="AI102" s="160" t="s">
        <v>33</v>
      </c>
      <c r="AJ102" s="160" t="s">
        <v>33</v>
      </c>
      <c r="AK102" s="160"/>
      <c r="AL102" s="157"/>
      <c r="AM102" s="165"/>
      <c r="AN102" s="165"/>
      <c r="AO102" s="165"/>
    </row>
    <row r="103" spans="1:41" s="163" customFormat="1" ht="17.399999999999999">
      <c r="A103" s="22" t="s">
        <v>300</v>
      </c>
      <c r="B103" s="22" t="s">
        <v>301</v>
      </c>
      <c r="C103" s="56">
        <v>45559</v>
      </c>
      <c r="D103" s="56">
        <v>45491</v>
      </c>
      <c r="E103" s="22" t="s">
        <v>302</v>
      </c>
      <c r="F103" s="22" t="s">
        <v>33</v>
      </c>
      <c r="G103" s="22" t="s">
        <v>33</v>
      </c>
      <c r="H103" s="22" t="s">
        <v>303</v>
      </c>
      <c r="I103" s="49" t="s">
        <v>304</v>
      </c>
      <c r="J103" s="50" t="s">
        <v>305</v>
      </c>
      <c r="K103" s="22" t="s">
        <v>98</v>
      </c>
      <c r="L103" s="22" t="s">
        <v>60</v>
      </c>
      <c r="M103" s="22">
        <v>1</v>
      </c>
      <c r="N103" s="22" t="s">
        <v>306</v>
      </c>
      <c r="O103" s="22"/>
      <c r="P103" s="46" t="s">
        <v>685</v>
      </c>
      <c r="Q103" s="160"/>
      <c r="R103" s="161"/>
      <c r="S103" s="157">
        <f t="shared" si="4"/>
        <v>1</v>
      </c>
      <c r="T103" s="161">
        <v>45650</v>
      </c>
      <c r="U103" s="164" t="s">
        <v>571</v>
      </c>
      <c r="V103" s="164" t="s">
        <v>571</v>
      </c>
      <c r="W103" s="159" t="s">
        <v>571</v>
      </c>
      <c r="X103" s="159">
        <v>1</v>
      </c>
      <c r="Y103" s="159" t="s">
        <v>571</v>
      </c>
      <c r="Z103" s="157"/>
      <c r="AA103" s="157"/>
      <c r="AB103" s="157"/>
      <c r="AC103" s="157"/>
      <c r="AD103" s="157"/>
      <c r="AE103" s="157"/>
      <c r="AF103" s="162">
        <f t="shared" si="5"/>
        <v>0</v>
      </c>
      <c r="AG103" s="162">
        <f t="shared" si="6"/>
        <v>1</v>
      </c>
      <c r="AH103" s="162">
        <f t="shared" si="7"/>
        <v>1</v>
      </c>
      <c r="AI103" s="160" t="s">
        <v>33</v>
      </c>
      <c r="AJ103" s="160" t="s">
        <v>33</v>
      </c>
      <c r="AK103" s="160"/>
      <c r="AL103" s="157"/>
      <c r="AM103" s="165"/>
      <c r="AN103" s="165"/>
      <c r="AO103" s="165"/>
    </row>
    <row r="104" spans="1:41" s="163" customFormat="1" ht="17.399999999999999">
      <c r="A104" s="22" t="s">
        <v>54</v>
      </c>
      <c r="B104" s="22" t="s">
        <v>55</v>
      </c>
      <c r="C104" s="56">
        <v>45615</v>
      </c>
      <c r="D104" s="56">
        <v>45581</v>
      </c>
      <c r="E104" s="22" t="s">
        <v>56</v>
      </c>
      <c r="F104" s="22" t="s">
        <v>33</v>
      </c>
      <c r="G104" s="22" t="s">
        <v>33</v>
      </c>
      <c r="H104" s="22" t="s">
        <v>4952</v>
      </c>
      <c r="I104" s="49" t="s">
        <v>57</v>
      </c>
      <c r="J104" s="50" t="s">
        <v>58</v>
      </c>
      <c r="K104" s="22" t="s">
        <v>59</v>
      </c>
      <c r="L104" s="22" t="s">
        <v>60</v>
      </c>
      <c r="M104" s="22">
        <v>1</v>
      </c>
      <c r="N104" s="22" t="s">
        <v>61</v>
      </c>
      <c r="O104" s="22"/>
      <c r="P104" s="46" t="s">
        <v>19055</v>
      </c>
      <c r="Q104" s="160"/>
      <c r="R104" s="161"/>
      <c r="S104" s="157">
        <f t="shared" si="4"/>
        <v>1</v>
      </c>
      <c r="T104" s="161">
        <v>45650</v>
      </c>
      <c r="U104" s="164">
        <v>45644</v>
      </c>
      <c r="V104" s="164" t="s">
        <v>569</v>
      </c>
      <c r="W104" s="159" t="s">
        <v>570</v>
      </c>
      <c r="X104" s="159">
        <v>1</v>
      </c>
      <c r="Y104" s="159" t="s">
        <v>674</v>
      </c>
      <c r="Z104" s="157"/>
      <c r="AA104" s="157"/>
      <c r="AB104" s="157"/>
      <c r="AC104" s="157">
        <v>45685</v>
      </c>
      <c r="AD104" s="157" t="s">
        <v>754</v>
      </c>
      <c r="AE104" s="157">
        <v>1</v>
      </c>
      <c r="AF104" s="162">
        <f t="shared" si="5"/>
        <v>0</v>
      </c>
      <c r="AG104" s="162">
        <f t="shared" si="6"/>
        <v>0</v>
      </c>
      <c r="AH104" s="162">
        <f t="shared" si="7"/>
        <v>0</v>
      </c>
      <c r="AI104" s="160">
        <f>T104+14</f>
        <v>45664</v>
      </c>
      <c r="AJ104" s="160">
        <v>45685</v>
      </c>
      <c r="AK104" s="160"/>
      <c r="AL104" s="157"/>
      <c r="AM104" s="165"/>
      <c r="AN104" s="165"/>
      <c r="AO104" s="165"/>
    </row>
    <row r="105" spans="1:41" s="163" customFormat="1" ht="17.399999999999999">
      <c r="A105" s="22" t="s">
        <v>753</v>
      </c>
      <c r="B105" s="22" t="s">
        <v>748</v>
      </c>
      <c r="C105" s="56" t="s">
        <v>749</v>
      </c>
      <c r="D105" s="56" t="s">
        <v>750</v>
      </c>
      <c r="E105" s="22" t="s">
        <v>751</v>
      </c>
      <c r="F105" s="22">
        <v>140</v>
      </c>
      <c r="G105" s="22">
        <v>241022</v>
      </c>
      <c r="H105" s="22" t="s">
        <v>4944</v>
      </c>
      <c r="I105" s="49" t="s">
        <v>57</v>
      </c>
      <c r="J105" s="50" t="s">
        <v>62</v>
      </c>
      <c r="K105" s="22" t="s">
        <v>59</v>
      </c>
      <c r="L105" s="22" t="s">
        <v>60</v>
      </c>
      <c r="M105" s="22">
        <v>18</v>
      </c>
      <c r="N105" s="22" t="s">
        <v>752</v>
      </c>
      <c r="O105" s="22"/>
      <c r="P105" s="46" t="s">
        <v>19055</v>
      </c>
      <c r="Q105" s="160"/>
      <c r="R105" s="161"/>
      <c r="S105" s="157">
        <f t="shared" si="4"/>
        <v>18</v>
      </c>
      <c r="T105" s="161">
        <v>45650</v>
      </c>
      <c r="U105" s="164">
        <v>45644</v>
      </c>
      <c r="V105" s="164" t="s">
        <v>18084</v>
      </c>
      <c r="W105" s="159" t="s">
        <v>18085</v>
      </c>
      <c r="X105" s="159">
        <v>18</v>
      </c>
      <c r="Y105" s="159" t="s">
        <v>18086</v>
      </c>
      <c r="Z105" s="157"/>
      <c r="AA105" s="157"/>
      <c r="AB105" s="157"/>
      <c r="AC105" s="157">
        <v>45740</v>
      </c>
      <c r="AD105" s="157" t="s">
        <v>18292</v>
      </c>
      <c r="AE105" s="157">
        <v>18</v>
      </c>
      <c r="AF105" s="162">
        <f t="shared" si="5"/>
        <v>0</v>
      </c>
      <c r="AG105" s="162">
        <f t="shared" si="6"/>
        <v>0</v>
      </c>
      <c r="AH105" s="162">
        <f t="shared" si="7"/>
        <v>0</v>
      </c>
      <c r="AI105" s="160">
        <f>T105+14</f>
        <v>45664</v>
      </c>
      <c r="AJ105" s="160">
        <v>45694</v>
      </c>
      <c r="AK105" s="160"/>
      <c r="AL105" s="157"/>
      <c r="AM105" s="165"/>
      <c r="AN105" s="165"/>
      <c r="AO105" s="165"/>
    </row>
    <row r="106" spans="1:41" s="163" customFormat="1" ht="17.399999999999999">
      <c r="A106" s="22" t="s">
        <v>461</v>
      </c>
      <c r="B106" s="22" t="s">
        <v>462</v>
      </c>
      <c r="C106" s="56">
        <v>45593</v>
      </c>
      <c r="D106" s="56">
        <v>45146</v>
      </c>
      <c r="E106" s="22" t="s">
        <v>463</v>
      </c>
      <c r="F106" s="22" t="s">
        <v>33</v>
      </c>
      <c r="G106" s="22" t="s">
        <v>33</v>
      </c>
      <c r="H106" s="22" t="s">
        <v>439</v>
      </c>
      <c r="I106" s="49" t="s">
        <v>440</v>
      </c>
      <c r="J106" s="50" t="s">
        <v>464</v>
      </c>
      <c r="K106" s="22" t="s">
        <v>312</v>
      </c>
      <c r="L106" s="22" t="s">
        <v>60</v>
      </c>
      <c r="M106" s="22">
        <v>1</v>
      </c>
      <c r="N106" s="22" t="s">
        <v>465</v>
      </c>
      <c r="O106" s="22"/>
      <c r="P106" s="46" t="s">
        <v>680</v>
      </c>
      <c r="Q106" s="160"/>
      <c r="R106" s="161"/>
      <c r="S106" s="157">
        <f t="shared" si="4"/>
        <v>1</v>
      </c>
      <c r="T106" s="161">
        <v>45666</v>
      </c>
      <c r="U106" s="164">
        <v>45667</v>
      </c>
      <c r="V106" s="164">
        <v>45673</v>
      </c>
      <c r="W106" s="159" t="s">
        <v>694</v>
      </c>
      <c r="X106" s="159">
        <v>1</v>
      </c>
      <c r="Y106" s="159" t="s">
        <v>699</v>
      </c>
      <c r="Z106" s="157">
        <v>45737</v>
      </c>
      <c r="AA106" s="157" t="s">
        <v>18287</v>
      </c>
      <c r="AB106" s="157">
        <v>1</v>
      </c>
      <c r="AC106" s="157"/>
      <c r="AD106" s="157"/>
      <c r="AE106" s="157"/>
      <c r="AF106" s="162">
        <f t="shared" si="5"/>
        <v>0</v>
      </c>
      <c r="AG106" s="162">
        <f t="shared" si="6"/>
        <v>0</v>
      </c>
      <c r="AH106" s="162">
        <f t="shared" si="7"/>
        <v>0</v>
      </c>
      <c r="AI106" s="160" t="s">
        <v>33</v>
      </c>
      <c r="AJ106" s="160" t="s">
        <v>33</v>
      </c>
      <c r="AK106" s="160"/>
      <c r="AL106" s="157"/>
      <c r="AM106" s="165"/>
      <c r="AN106" s="165"/>
      <c r="AO106" s="165"/>
    </row>
    <row r="107" spans="1:41" s="163" customFormat="1" ht="17.399999999999999">
      <c r="A107" s="22" t="s">
        <v>400</v>
      </c>
      <c r="B107" s="22" t="s">
        <v>401</v>
      </c>
      <c r="C107" s="56" t="s">
        <v>402</v>
      </c>
      <c r="D107" s="56" t="s">
        <v>33</v>
      </c>
      <c r="E107" s="22" t="s">
        <v>33</v>
      </c>
      <c r="F107" s="22" t="s">
        <v>33</v>
      </c>
      <c r="G107" s="22" t="s">
        <v>67</v>
      </c>
      <c r="H107" s="22" t="s">
        <v>403</v>
      </c>
      <c r="I107" s="49" t="s">
        <v>404</v>
      </c>
      <c r="J107" s="50" t="s">
        <v>405</v>
      </c>
      <c r="K107" s="22" t="s">
        <v>406</v>
      </c>
      <c r="L107" s="22" t="s">
        <v>60</v>
      </c>
      <c r="M107" s="22">
        <v>209</v>
      </c>
      <c r="N107" s="22" t="s">
        <v>407</v>
      </c>
      <c r="O107" s="22"/>
      <c r="P107" s="46" t="s">
        <v>681</v>
      </c>
      <c r="Q107" s="160"/>
      <c r="R107" s="161"/>
      <c r="S107" s="157">
        <f t="shared" si="4"/>
        <v>209</v>
      </c>
      <c r="T107" s="161">
        <v>45638</v>
      </c>
      <c r="U107" s="164" t="s">
        <v>604</v>
      </c>
      <c r="V107" s="164">
        <v>45638</v>
      </c>
      <c r="W107" s="159" t="s">
        <v>605</v>
      </c>
      <c r="X107" s="159">
        <v>209</v>
      </c>
      <c r="Y107" s="159" t="s">
        <v>675</v>
      </c>
      <c r="Z107" s="157">
        <v>45720</v>
      </c>
      <c r="AA107" s="157" t="s">
        <v>18266</v>
      </c>
      <c r="AB107" s="157">
        <v>209</v>
      </c>
      <c r="AC107" s="157" t="s">
        <v>33</v>
      </c>
      <c r="AD107" s="157" t="s">
        <v>33</v>
      </c>
      <c r="AE107" s="157">
        <v>0</v>
      </c>
      <c r="AF107" s="162">
        <f t="shared" si="5"/>
        <v>0</v>
      </c>
      <c r="AG107" s="162">
        <f t="shared" si="6"/>
        <v>0</v>
      </c>
      <c r="AH107" s="162">
        <f t="shared" si="7"/>
        <v>0</v>
      </c>
      <c r="AI107" s="160" t="s">
        <v>33</v>
      </c>
      <c r="AJ107" s="160" t="s">
        <v>33</v>
      </c>
      <c r="AK107" s="160"/>
      <c r="AL107" s="157"/>
      <c r="AM107" s="165"/>
      <c r="AN107" s="165"/>
      <c r="AO107" s="165"/>
    </row>
    <row r="108" spans="1:41" s="163" customFormat="1" ht="17.399999999999999">
      <c r="A108" s="22" t="s">
        <v>408</v>
      </c>
      <c r="B108" s="22" t="s">
        <v>409</v>
      </c>
      <c r="C108" s="56" t="s">
        <v>402</v>
      </c>
      <c r="D108" s="56" t="s">
        <v>33</v>
      </c>
      <c r="E108" s="22" t="s">
        <v>33</v>
      </c>
      <c r="F108" s="22" t="s">
        <v>33</v>
      </c>
      <c r="G108" s="22" t="s">
        <v>67</v>
      </c>
      <c r="H108" s="22" t="s">
        <v>410</v>
      </c>
      <c r="I108" s="49" t="s">
        <v>404</v>
      </c>
      <c r="J108" s="50" t="s">
        <v>411</v>
      </c>
      <c r="K108" s="22" t="s">
        <v>412</v>
      </c>
      <c r="L108" s="22" t="s">
        <v>60</v>
      </c>
      <c r="M108" s="22">
        <v>348</v>
      </c>
      <c r="N108" s="22" t="s">
        <v>413</v>
      </c>
      <c r="O108" s="22"/>
      <c r="P108" s="46" t="s">
        <v>681</v>
      </c>
      <c r="Q108" s="160"/>
      <c r="R108" s="161"/>
      <c r="S108" s="157">
        <f t="shared" si="4"/>
        <v>348</v>
      </c>
      <c r="T108" s="161">
        <v>45638</v>
      </c>
      <c r="U108" s="164" t="s">
        <v>606</v>
      </c>
      <c r="V108" s="164">
        <v>45638</v>
      </c>
      <c r="W108" s="159" t="s">
        <v>607</v>
      </c>
      <c r="X108" s="159">
        <v>348</v>
      </c>
      <c r="Y108" s="159" t="s">
        <v>18861</v>
      </c>
      <c r="Z108" s="157">
        <v>45720</v>
      </c>
      <c r="AA108" s="157" t="s">
        <v>18265</v>
      </c>
      <c r="AB108" s="157">
        <v>348</v>
      </c>
      <c r="AC108" s="157" t="s">
        <v>33</v>
      </c>
      <c r="AD108" s="157" t="s">
        <v>33</v>
      </c>
      <c r="AE108" s="157">
        <v>0</v>
      </c>
      <c r="AF108" s="162">
        <f t="shared" si="5"/>
        <v>0</v>
      </c>
      <c r="AG108" s="162">
        <f t="shared" si="6"/>
        <v>0</v>
      </c>
      <c r="AH108" s="162">
        <f t="shared" si="7"/>
        <v>0</v>
      </c>
      <c r="AI108" s="160" t="s">
        <v>33</v>
      </c>
      <c r="AJ108" s="160" t="s">
        <v>33</v>
      </c>
      <c r="AK108" s="160"/>
      <c r="AL108" s="157"/>
      <c r="AM108" s="165"/>
      <c r="AN108" s="165"/>
      <c r="AO108" s="165"/>
    </row>
    <row r="109" spans="1:41" s="163" customFormat="1" ht="17.399999999999999">
      <c r="A109" s="22" t="s">
        <v>307</v>
      </c>
      <c r="B109" s="22" t="s">
        <v>308</v>
      </c>
      <c r="C109" s="56">
        <v>45399</v>
      </c>
      <c r="D109" s="56">
        <v>45370</v>
      </c>
      <c r="E109" s="22" t="s">
        <v>309</v>
      </c>
      <c r="F109" s="22" t="s">
        <v>33</v>
      </c>
      <c r="G109" s="22" t="s">
        <v>33</v>
      </c>
      <c r="H109" s="22" t="s">
        <v>1778</v>
      </c>
      <c r="I109" s="49" t="s">
        <v>310</v>
      </c>
      <c r="J109" s="50" t="s">
        <v>311</v>
      </c>
      <c r="K109" s="22" t="s">
        <v>312</v>
      </c>
      <c r="L109" s="22" t="s">
        <v>60</v>
      </c>
      <c r="M109" s="22">
        <v>1</v>
      </c>
      <c r="N109" s="22" t="s">
        <v>313</v>
      </c>
      <c r="O109" s="22"/>
      <c r="P109" s="46" t="s">
        <v>685</v>
      </c>
      <c r="Q109" s="160"/>
      <c r="R109" s="161"/>
      <c r="S109" s="157">
        <f t="shared" si="4"/>
        <v>1</v>
      </c>
      <c r="T109" s="161">
        <v>45650</v>
      </c>
      <c r="U109" s="164">
        <v>45644</v>
      </c>
      <c r="V109" s="164" t="s">
        <v>597</v>
      </c>
      <c r="W109" s="159" t="s">
        <v>598</v>
      </c>
      <c r="X109" s="159">
        <v>1</v>
      </c>
      <c r="Y109" s="159" t="s">
        <v>676</v>
      </c>
      <c r="Z109" s="157"/>
      <c r="AA109" s="157"/>
      <c r="AB109" s="157"/>
      <c r="AC109" s="157"/>
      <c r="AD109" s="157"/>
      <c r="AE109" s="157"/>
      <c r="AF109" s="162">
        <f t="shared" si="5"/>
        <v>0</v>
      </c>
      <c r="AG109" s="162">
        <f t="shared" si="6"/>
        <v>1</v>
      </c>
      <c r="AH109" s="162">
        <f t="shared" si="7"/>
        <v>1</v>
      </c>
      <c r="AI109" s="160" t="s">
        <v>33</v>
      </c>
      <c r="AJ109" s="160" t="s">
        <v>33</v>
      </c>
      <c r="AK109" s="160"/>
      <c r="AL109" s="157"/>
      <c r="AM109" s="165"/>
      <c r="AN109" s="165"/>
      <c r="AO109" s="165"/>
    </row>
    <row r="110" spans="1:41" s="163" customFormat="1" ht="17.399999999999999">
      <c r="A110" s="22" t="s">
        <v>314</v>
      </c>
      <c r="B110" s="22" t="s">
        <v>315</v>
      </c>
      <c r="C110" s="56">
        <v>45356</v>
      </c>
      <c r="D110" s="56">
        <v>45307</v>
      </c>
      <c r="E110" s="22" t="s">
        <v>316</v>
      </c>
      <c r="F110" s="22" t="s">
        <v>33</v>
      </c>
      <c r="G110" s="22" t="s">
        <v>33</v>
      </c>
      <c r="H110" s="22" t="s">
        <v>715</v>
      </c>
      <c r="I110" s="49" t="s">
        <v>317</v>
      </c>
      <c r="J110" s="50" t="s">
        <v>317</v>
      </c>
      <c r="K110" s="22" t="s">
        <v>312</v>
      </c>
      <c r="L110" s="22" t="s">
        <v>60</v>
      </c>
      <c r="M110" s="22">
        <v>1</v>
      </c>
      <c r="N110" s="22" t="s">
        <v>318</v>
      </c>
      <c r="O110" s="22"/>
      <c r="P110" s="46" t="s">
        <v>685</v>
      </c>
      <c r="Q110" s="160"/>
      <c r="R110" s="161"/>
      <c r="S110" s="157">
        <f t="shared" si="4"/>
        <v>1</v>
      </c>
      <c r="T110" s="161">
        <v>45650</v>
      </c>
      <c r="U110" s="164">
        <v>45644</v>
      </c>
      <c r="V110" s="164" t="s">
        <v>597</v>
      </c>
      <c r="W110" s="159" t="s">
        <v>598</v>
      </c>
      <c r="X110" s="159">
        <v>1</v>
      </c>
      <c r="Y110" s="159" t="s">
        <v>677</v>
      </c>
      <c r="Z110" s="157"/>
      <c r="AA110" s="157"/>
      <c r="AB110" s="157"/>
      <c r="AC110" s="157">
        <v>45869</v>
      </c>
      <c r="AD110" s="157" t="s">
        <v>18662</v>
      </c>
      <c r="AE110" s="157">
        <v>1</v>
      </c>
      <c r="AF110" s="162">
        <f t="shared" si="5"/>
        <v>0</v>
      </c>
      <c r="AG110" s="162">
        <f t="shared" si="6"/>
        <v>0</v>
      </c>
      <c r="AH110" s="162">
        <f t="shared" si="7"/>
        <v>0</v>
      </c>
      <c r="AI110" s="160" t="s">
        <v>33</v>
      </c>
      <c r="AJ110" s="160" t="s">
        <v>33</v>
      </c>
      <c r="AK110" s="160"/>
      <c r="AL110" s="157"/>
      <c r="AM110" s="165"/>
      <c r="AN110" s="165"/>
      <c r="AO110" s="165"/>
    </row>
    <row r="111" spans="1:41" s="163" customFormat="1" ht="17.399999999999999">
      <c r="A111" s="22" t="s">
        <v>319</v>
      </c>
      <c r="B111" s="22" t="s">
        <v>320</v>
      </c>
      <c r="C111" s="56">
        <v>45462</v>
      </c>
      <c r="D111" s="56">
        <v>44943</v>
      </c>
      <c r="E111" s="22" t="s">
        <v>321</v>
      </c>
      <c r="F111" s="22" t="s">
        <v>33</v>
      </c>
      <c r="G111" s="22" t="s">
        <v>33</v>
      </c>
      <c r="H111" s="22" t="s">
        <v>322</v>
      </c>
      <c r="I111" s="49" t="s">
        <v>323</v>
      </c>
      <c r="J111" s="50" t="s">
        <v>324</v>
      </c>
      <c r="K111" s="22" t="s">
        <v>98</v>
      </c>
      <c r="L111" s="22" t="s">
        <v>60</v>
      </c>
      <c r="M111" s="22">
        <v>1</v>
      </c>
      <c r="N111" s="22" t="s">
        <v>325</v>
      </c>
      <c r="O111" s="22"/>
      <c r="P111" s="46" t="s">
        <v>685</v>
      </c>
      <c r="Q111" s="160"/>
      <c r="R111" s="161"/>
      <c r="S111" s="157">
        <f t="shared" si="4"/>
        <v>1</v>
      </c>
      <c r="T111" s="161">
        <v>45650</v>
      </c>
      <c r="U111" s="164" t="s">
        <v>571</v>
      </c>
      <c r="V111" s="164" t="s">
        <v>571</v>
      </c>
      <c r="W111" s="159" t="s">
        <v>571</v>
      </c>
      <c r="X111" s="159">
        <v>1</v>
      </c>
      <c r="Y111" s="159" t="s">
        <v>571</v>
      </c>
      <c r="Z111" s="157"/>
      <c r="AA111" s="157"/>
      <c r="AB111" s="157"/>
      <c r="AC111" s="157"/>
      <c r="AD111" s="157"/>
      <c r="AE111" s="157"/>
      <c r="AF111" s="162">
        <f t="shared" si="5"/>
        <v>0</v>
      </c>
      <c r="AG111" s="162">
        <f t="shared" si="6"/>
        <v>1</v>
      </c>
      <c r="AH111" s="162">
        <f t="shared" si="7"/>
        <v>1</v>
      </c>
      <c r="AI111" s="160" t="s">
        <v>33</v>
      </c>
      <c r="AJ111" s="160" t="s">
        <v>33</v>
      </c>
      <c r="AK111" s="160"/>
      <c r="AL111" s="157"/>
      <c r="AM111" s="165"/>
      <c r="AN111" s="165"/>
      <c r="AO111" s="165"/>
    </row>
    <row r="112" spans="1:41" s="163" customFormat="1" ht="17.399999999999999">
      <c r="A112" s="22" t="s">
        <v>326</v>
      </c>
      <c r="B112" s="22" t="s">
        <v>301</v>
      </c>
      <c r="C112" s="56">
        <v>45434</v>
      </c>
      <c r="D112" s="56">
        <v>45369</v>
      </c>
      <c r="E112" s="22" t="s">
        <v>327</v>
      </c>
      <c r="F112" s="22" t="s">
        <v>33</v>
      </c>
      <c r="G112" s="22" t="s">
        <v>33</v>
      </c>
      <c r="H112" s="22" t="s">
        <v>303</v>
      </c>
      <c r="I112" s="49" t="s">
        <v>304</v>
      </c>
      <c r="J112" s="50" t="s">
        <v>305</v>
      </c>
      <c r="K112" s="22" t="s">
        <v>98</v>
      </c>
      <c r="L112" s="22" t="s">
        <v>60</v>
      </c>
      <c r="M112" s="22">
        <v>1</v>
      </c>
      <c r="N112" s="22" t="s">
        <v>328</v>
      </c>
      <c r="O112" s="22"/>
      <c r="P112" s="46" t="s">
        <v>685</v>
      </c>
      <c r="Q112" s="160"/>
      <c r="R112" s="161"/>
      <c r="S112" s="157">
        <f t="shared" si="4"/>
        <v>1</v>
      </c>
      <c r="T112" s="161">
        <v>45650</v>
      </c>
      <c r="U112" s="164" t="s">
        <v>571</v>
      </c>
      <c r="V112" s="164" t="s">
        <v>571</v>
      </c>
      <c r="W112" s="159" t="s">
        <v>571</v>
      </c>
      <c r="X112" s="159">
        <v>1</v>
      </c>
      <c r="Y112" s="159" t="s">
        <v>571</v>
      </c>
      <c r="Z112" s="157"/>
      <c r="AA112" s="157"/>
      <c r="AB112" s="157"/>
      <c r="AC112" s="157"/>
      <c r="AD112" s="157"/>
      <c r="AE112" s="157"/>
      <c r="AF112" s="162">
        <f t="shared" si="5"/>
        <v>0</v>
      </c>
      <c r="AG112" s="162">
        <f t="shared" si="6"/>
        <v>1</v>
      </c>
      <c r="AH112" s="162">
        <f t="shared" si="7"/>
        <v>1</v>
      </c>
      <c r="AI112" s="160" t="s">
        <v>33</v>
      </c>
      <c r="AJ112" s="160" t="s">
        <v>33</v>
      </c>
      <c r="AK112" s="160"/>
      <c r="AL112" s="157"/>
      <c r="AM112" s="165"/>
      <c r="AN112" s="165"/>
      <c r="AO112" s="165"/>
    </row>
    <row r="113" spans="1:41" s="163" customFormat="1" ht="17.399999999999999">
      <c r="A113" s="22" t="s">
        <v>329</v>
      </c>
      <c r="B113" s="22" t="s">
        <v>330</v>
      </c>
      <c r="C113" s="56">
        <v>45216</v>
      </c>
      <c r="D113" s="56">
        <v>45089</v>
      </c>
      <c r="E113" s="22" t="s">
        <v>331</v>
      </c>
      <c r="F113" s="22" t="s">
        <v>33</v>
      </c>
      <c r="G113" s="22" t="s">
        <v>33</v>
      </c>
      <c r="H113" s="22" t="s">
        <v>332</v>
      </c>
      <c r="I113" s="49" t="s">
        <v>174</v>
      </c>
      <c r="J113" s="50" t="s">
        <v>333</v>
      </c>
      <c r="K113" s="22" t="s">
        <v>98</v>
      </c>
      <c r="L113" s="22" t="s">
        <v>60</v>
      </c>
      <c r="M113" s="22">
        <v>1</v>
      </c>
      <c r="N113" s="22" t="s">
        <v>334</v>
      </c>
      <c r="O113" s="22"/>
      <c r="P113" s="46" t="s">
        <v>685</v>
      </c>
      <c r="Q113" s="160"/>
      <c r="R113" s="161"/>
      <c r="S113" s="157">
        <f t="shared" si="4"/>
        <v>1</v>
      </c>
      <c r="T113" s="161">
        <v>45667</v>
      </c>
      <c r="U113" s="164">
        <v>45667</v>
      </c>
      <c r="V113" s="164">
        <v>45673</v>
      </c>
      <c r="W113" s="159" t="s">
        <v>696</v>
      </c>
      <c r="X113" s="159">
        <v>1</v>
      </c>
      <c r="Y113" s="159" t="s">
        <v>698</v>
      </c>
      <c r="Z113" s="157"/>
      <c r="AA113" s="157"/>
      <c r="AB113" s="157"/>
      <c r="AC113" s="157"/>
      <c r="AD113" s="157"/>
      <c r="AE113" s="157"/>
      <c r="AF113" s="162">
        <f t="shared" si="5"/>
        <v>0</v>
      </c>
      <c r="AG113" s="162">
        <f t="shared" si="6"/>
        <v>1</v>
      </c>
      <c r="AH113" s="162">
        <f t="shared" si="7"/>
        <v>1</v>
      </c>
      <c r="AI113" s="160" t="s">
        <v>33</v>
      </c>
      <c r="AJ113" s="160" t="s">
        <v>33</v>
      </c>
      <c r="AK113" s="160"/>
      <c r="AL113" s="157"/>
      <c r="AM113" s="165"/>
      <c r="AN113" s="165"/>
      <c r="AO113" s="165"/>
    </row>
    <row r="114" spans="1:41" s="163" customFormat="1" ht="17.399999999999999">
      <c r="A114" s="22" t="s">
        <v>335</v>
      </c>
      <c r="B114" s="22" t="s">
        <v>336</v>
      </c>
      <c r="C114" s="56" t="s">
        <v>337</v>
      </c>
      <c r="D114" s="56" t="s">
        <v>338</v>
      </c>
      <c r="E114" s="22" t="s">
        <v>339</v>
      </c>
      <c r="F114" s="22" t="s">
        <v>33</v>
      </c>
      <c r="G114" s="22" t="s">
        <v>33</v>
      </c>
      <c r="H114" s="22" t="s">
        <v>233</v>
      </c>
      <c r="I114" s="49" t="s">
        <v>174</v>
      </c>
      <c r="J114" s="50" t="s">
        <v>234</v>
      </c>
      <c r="K114" s="22" t="s">
        <v>51</v>
      </c>
      <c r="L114" s="22" t="s">
        <v>60</v>
      </c>
      <c r="M114" s="22">
        <v>2</v>
      </c>
      <c r="N114" s="22" t="s">
        <v>340</v>
      </c>
      <c r="O114" s="22"/>
      <c r="P114" s="46" t="s">
        <v>685</v>
      </c>
      <c r="Q114" s="160"/>
      <c r="R114" s="161"/>
      <c r="S114" s="157">
        <f t="shared" si="4"/>
        <v>2</v>
      </c>
      <c r="T114" s="161">
        <v>45667</v>
      </c>
      <c r="U114" s="164">
        <v>45667</v>
      </c>
      <c r="V114" s="164">
        <v>45673</v>
      </c>
      <c r="W114" s="159" t="s">
        <v>696</v>
      </c>
      <c r="X114" s="159">
        <v>2</v>
      </c>
      <c r="Y114" s="159" t="s">
        <v>698</v>
      </c>
      <c r="Z114" s="157"/>
      <c r="AA114" s="157"/>
      <c r="AB114" s="157"/>
      <c r="AC114" s="157"/>
      <c r="AD114" s="157"/>
      <c r="AE114" s="157"/>
      <c r="AF114" s="162">
        <f t="shared" si="5"/>
        <v>0</v>
      </c>
      <c r="AG114" s="162">
        <f t="shared" si="6"/>
        <v>2</v>
      </c>
      <c r="AH114" s="162">
        <f t="shared" si="7"/>
        <v>2</v>
      </c>
      <c r="AI114" s="160" t="s">
        <v>33</v>
      </c>
      <c r="AJ114" s="160" t="s">
        <v>33</v>
      </c>
      <c r="AK114" s="160"/>
      <c r="AL114" s="157"/>
      <c r="AM114" s="165"/>
      <c r="AN114" s="165"/>
      <c r="AO114" s="165"/>
    </row>
    <row r="115" spans="1:41" s="163" customFormat="1" ht="17.399999999999999">
      <c r="A115" s="22" t="s">
        <v>414</v>
      </c>
      <c r="B115" s="22" t="s">
        <v>346</v>
      </c>
      <c r="C115" s="56" t="s">
        <v>415</v>
      </c>
      <c r="D115" s="56" t="s">
        <v>33</v>
      </c>
      <c r="E115" s="22" t="s">
        <v>33</v>
      </c>
      <c r="F115" s="22" t="s">
        <v>33</v>
      </c>
      <c r="G115" s="22" t="s">
        <v>67</v>
      </c>
      <c r="H115" s="22" t="s">
        <v>351</v>
      </c>
      <c r="I115" s="49" t="s">
        <v>352</v>
      </c>
      <c r="J115" s="50" t="s">
        <v>353</v>
      </c>
      <c r="K115" s="22" t="s">
        <v>346</v>
      </c>
      <c r="L115" s="22" t="s">
        <v>60</v>
      </c>
      <c r="M115" s="22">
        <v>4</v>
      </c>
      <c r="N115" s="22" t="s">
        <v>416</v>
      </c>
      <c r="O115" s="22"/>
      <c r="P115" s="46" t="s">
        <v>18088</v>
      </c>
      <c r="Q115" s="160"/>
      <c r="R115" s="161"/>
      <c r="S115" s="157">
        <f t="shared" si="4"/>
        <v>4</v>
      </c>
      <c r="T115" s="161">
        <v>45650</v>
      </c>
      <c r="U115" s="164">
        <v>45645</v>
      </c>
      <c r="V115" s="164">
        <v>45650</v>
      </c>
      <c r="W115" s="159" t="s">
        <v>608</v>
      </c>
      <c r="X115" s="159">
        <v>4</v>
      </c>
      <c r="Y115" s="159" t="s">
        <v>678</v>
      </c>
      <c r="Z115" s="157"/>
      <c r="AA115" s="157"/>
      <c r="AB115" s="157"/>
      <c r="AC115" s="157"/>
      <c r="AD115" s="157"/>
      <c r="AE115" s="157"/>
      <c r="AF115" s="162">
        <f t="shared" si="5"/>
        <v>0</v>
      </c>
      <c r="AG115" s="162">
        <f t="shared" si="6"/>
        <v>4</v>
      </c>
      <c r="AH115" s="162">
        <f t="shared" si="7"/>
        <v>4</v>
      </c>
      <c r="AI115" s="160" t="s">
        <v>33</v>
      </c>
      <c r="AJ115" s="160" t="s">
        <v>33</v>
      </c>
      <c r="AK115" s="160"/>
      <c r="AL115" s="157"/>
      <c r="AM115" s="165"/>
      <c r="AN115" s="165"/>
      <c r="AO115" s="165"/>
    </row>
    <row r="116" spans="1:41" s="163" customFormat="1" ht="17.399999999999999">
      <c r="A116" s="22" t="s">
        <v>417</v>
      </c>
      <c r="B116" s="22" t="s">
        <v>376</v>
      </c>
      <c r="C116" s="56" t="s">
        <v>418</v>
      </c>
      <c r="D116" s="56" t="s">
        <v>33</v>
      </c>
      <c r="E116" s="22" t="s">
        <v>33</v>
      </c>
      <c r="F116" s="22" t="s">
        <v>33</v>
      </c>
      <c r="G116" s="22" t="s">
        <v>67</v>
      </c>
      <c r="H116" s="22" t="s">
        <v>384</v>
      </c>
      <c r="I116" s="49" t="s">
        <v>379</v>
      </c>
      <c r="J116" s="50" t="s">
        <v>385</v>
      </c>
      <c r="K116" s="22" t="s">
        <v>381</v>
      </c>
      <c r="L116" s="22" t="s">
        <v>60</v>
      </c>
      <c r="M116" s="22">
        <v>6</v>
      </c>
      <c r="N116" s="22" t="s">
        <v>419</v>
      </c>
      <c r="O116" s="22"/>
      <c r="P116" s="46" t="s">
        <v>18133</v>
      </c>
      <c r="Q116" s="160"/>
      <c r="R116" s="161"/>
      <c r="S116" s="157">
        <f t="shared" si="4"/>
        <v>6</v>
      </c>
      <c r="T116" s="161">
        <v>45699</v>
      </c>
      <c r="U116" s="164">
        <v>45693</v>
      </c>
      <c r="V116" s="164">
        <v>45699</v>
      </c>
      <c r="W116" s="159" t="s">
        <v>18125</v>
      </c>
      <c r="X116" s="159">
        <v>6</v>
      </c>
      <c r="Y116" s="159" t="s">
        <v>18131</v>
      </c>
      <c r="Z116" s="157"/>
      <c r="AA116" s="157"/>
      <c r="AB116" s="157"/>
      <c r="AC116" s="157">
        <v>45744</v>
      </c>
      <c r="AD116" s="157" t="s">
        <v>18314</v>
      </c>
      <c r="AE116" s="157">
        <v>6</v>
      </c>
      <c r="AF116" s="162">
        <f t="shared" si="5"/>
        <v>0</v>
      </c>
      <c r="AG116" s="162">
        <f t="shared" si="6"/>
        <v>0</v>
      </c>
      <c r="AH116" s="162">
        <f t="shared" si="7"/>
        <v>0</v>
      </c>
      <c r="AI116" s="160" t="s">
        <v>33</v>
      </c>
      <c r="AJ116" s="160" t="s">
        <v>33</v>
      </c>
      <c r="AK116" s="160"/>
      <c r="AL116" s="157"/>
      <c r="AM116" s="165"/>
      <c r="AN116" s="165"/>
      <c r="AO116" s="165"/>
    </row>
    <row r="117" spans="1:41" s="163" customFormat="1" ht="17.399999999999999">
      <c r="A117" s="22" t="s">
        <v>420</v>
      </c>
      <c r="B117" s="22" t="s">
        <v>376</v>
      </c>
      <c r="C117" s="56" t="s">
        <v>421</v>
      </c>
      <c r="D117" s="56" t="s">
        <v>33</v>
      </c>
      <c r="E117" s="22" t="s">
        <v>33</v>
      </c>
      <c r="F117" s="22" t="s">
        <v>33</v>
      </c>
      <c r="G117" s="22" t="s">
        <v>67</v>
      </c>
      <c r="H117" s="22" t="s">
        <v>389</v>
      </c>
      <c r="I117" s="49" t="s">
        <v>379</v>
      </c>
      <c r="J117" s="50" t="s">
        <v>422</v>
      </c>
      <c r="K117" s="22" t="s">
        <v>381</v>
      </c>
      <c r="L117" s="22" t="s">
        <v>60</v>
      </c>
      <c r="M117" s="22">
        <v>3</v>
      </c>
      <c r="N117" s="22" t="s">
        <v>18046</v>
      </c>
      <c r="O117" s="22"/>
      <c r="P117" s="46" t="s">
        <v>18133</v>
      </c>
      <c r="Q117" s="160"/>
      <c r="R117" s="161"/>
      <c r="S117" s="157">
        <f t="shared" si="4"/>
        <v>3</v>
      </c>
      <c r="T117" s="161">
        <v>45699</v>
      </c>
      <c r="U117" s="164">
        <v>45693</v>
      </c>
      <c r="V117" s="164">
        <v>45699</v>
      </c>
      <c r="W117" s="159" t="s">
        <v>18125</v>
      </c>
      <c r="X117" s="159">
        <v>3</v>
      </c>
      <c r="Y117" s="159" t="s">
        <v>18131</v>
      </c>
      <c r="Z117" s="157"/>
      <c r="AA117" s="157"/>
      <c r="AB117" s="157"/>
      <c r="AC117" s="157">
        <v>45744</v>
      </c>
      <c r="AD117" s="157" t="s">
        <v>18313</v>
      </c>
      <c r="AE117" s="157">
        <v>3</v>
      </c>
      <c r="AF117" s="162">
        <f t="shared" si="5"/>
        <v>0</v>
      </c>
      <c r="AG117" s="162">
        <f t="shared" si="6"/>
        <v>0</v>
      </c>
      <c r="AH117" s="162">
        <f t="shared" si="7"/>
        <v>0</v>
      </c>
      <c r="AI117" s="160" t="s">
        <v>33</v>
      </c>
      <c r="AJ117" s="160" t="s">
        <v>33</v>
      </c>
      <c r="AK117" s="160"/>
      <c r="AL117" s="157"/>
      <c r="AM117" s="165"/>
      <c r="AN117" s="165"/>
      <c r="AO117" s="165"/>
    </row>
    <row r="118" spans="1:41" s="163" customFormat="1" ht="17.399999999999999">
      <c r="A118" s="22" t="s">
        <v>423</v>
      </c>
      <c r="B118" s="22" t="s">
        <v>376</v>
      </c>
      <c r="C118" s="56" t="s">
        <v>424</v>
      </c>
      <c r="D118" s="56" t="s">
        <v>33</v>
      </c>
      <c r="E118" s="22" t="s">
        <v>33</v>
      </c>
      <c r="F118" s="22" t="s">
        <v>33</v>
      </c>
      <c r="G118" s="22" t="s">
        <v>425</v>
      </c>
      <c r="H118" s="22" t="s">
        <v>378</v>
      </c>
      <c r="I118" s="49" t="s">
        <v>379</v>
      </c>
      <c r="J118" s="50" t="s">
        <v>380</v>
      </c>
      <c r="K118" s="22" t="s">
        <v>381</v>
      </c>
      <c r="L118" s="22" t="s">
        <v>60</v>
      </c>
      <c r="M118" s="22">
        <v>1</v>
      </c>
      <c r="N118" s="22" t="s">
        <v>18047</v>
      </c>
      <c r="O118" s="22"/>
      <c r="P118" s="46" t="s">
        <v>18133</v>
      </c>
      <c r="Q118" s="160"/>
      <c r="R118" s="161"/>
      <c r="S118" s="157">
        <f t="shared" si="4"/>
        <v>1</v>
      </c>
      <c r="T118" s="161">
        <v>45699</v>
      </c>
      <c r="U118" s="164">
        <v>45693</v>
      </c>
      <c r="V118" s="164">
        <v>45699</v>
      </c>
      <c r="W118" s="159" t="s">
        <v>18125</v>
      </c>
      <c r="X118" s="159">
        <v>1</v>
      </c>
      <c r="Y118" s="159" t="s">
        <v>18131</v>
      </c>
      <c r="Z118" s="157"/>
      <c r="AA118" s="157"/>
      <c r="AB118" s="157"/>
      <c r="AC118" s="157">
        <v>45744</v>
      </c>
      <c r="AD118" s="157" t="s">
        <v>18313</v>
      </c>
      <c r="AE118" s="157">
        <v>1</v>
      </c>
      <c r="AF118" s="162">
        <f t="shared" si="5"/>
        <v>0</v>
      </c>
      <c r="AG118" s="162">
        <f t="shared" si="6"/>
        <v>0</v>
      </c>
      <c r="AH118" s="162">
        <f t="shared" si="7"/>
        <v>0</v>
      </c>
      <c r="AI118" s="160" t="s">
        <v>33</v>
      </c>
      <c r="AJ118" s="160" t="s">
        <v>33</v>
      </c>
      <c r="AK118" s="160"/>
      <c r="AL118" s="157"/>
      <c r="AM118" s="165"/>
      <c r="AN118" s="165"/>
      <c r="AO118" s="165"/>
    </row>
    <row r="119" spans="1:41" s="163" customFormat="1" ht="17.399999999999999">
      <c r="A119" s="22" t="s">
        <v>426</v>
      </c>
      <c r="B119" s="22" t="s">
        <v>401</v>
      </c>
      <c r="C119" s="56">
        <v>45625</v>
      </c>
      <c r="D119" s="56" t="s">
        <v>33</v>
      </c>
      <c r="E119" s="22" t="s">
        <v>33</v>
      </c>
      <c r="F119" s="22" t="s">
        <v>33</v>
      </c>
      <c r="G119" s="22" t="s">
        <v>67</v>
      </c>
      <c r="H119" s="22" t="s">
        <v>403</v>
      </c>
      <c r="I119" s="49" t="s">
        <v>404</v>
      </c>
      <c r="J119" s="50" t="s">
        <v>405</v>
      </c>
      <c r="K119" s="22" t="s">
        <v>406</v>
      </c>
      <c r="L119" s="22" t="s">
        <v>60</v>
      </c>
      <c r="M119" s="22">
        <v>11</v>
      </c>
      <c r="N119" s="22" t="s">
        <v>427</v>
      </c>
      <c r="O119" s="22"/>
      <c r="P119" s="46" t="s">
        <v>681</v>
      </c>
      <c r="Q119" s="160"/>
      <c r="R119" s="161"/>
      <c r="S119" s="157">
        <f t="shared" si="4"/>
        <v>11</v>
      </c>
      <c r="T119" s="161">
        <v>45645</v>
      </c>
      <c r="U119" s="164" t="s">
        <v>609</v>
      </c>
      <c r="V119" s="164">
        <v>45645</v>
      </c>
      <c r="W119" s="159" t="s">
        <v>610</v>
      </c>
      <c r="X119" s="159">
        <v>11</v>
      </c>
      <c r="Y119" s="159" t="s">
        <v>679</v>
      </c>
      <c r="Z119" s="157">
        <v>45966</v>
      </c>
      <c r="AA119" s="157" t="s">
        <v>18862</v>
      </c>
      <c r="AB119" s="157">
        <v>11</v>
      </c>
      <c r="AC119" s="157"/>
      <c r="AD119" s="157"/>
      <c r="AE119" s="157"/>
      <c r="AF119" s="162">
        <f t="shared" si="5"/>
        <v>0</v>
      </c>
      <c r="AG119" s="162">
        <f t="shared" si="6"/>
        <v>0</v>
      </c>
      <c r="AH119" s="162">
        <f t="shared" si="7"/>
        <v>0</v>
      </c>
      <c r="AI119" s="160" t="s">
        <v>33</v>
      </c>
      <c r="AJ119" s="160" t="s">
        <v>33</v>
      </c>
      <c r="AK119" s="160"/>
      <c r="AL119" s="157"/>
      <c r="AM119" s="165"/>
      <c r="AN119" s="165"/>
      <c r="AO119" s="165"/>
    </row>
    <row r="120" spans="1:41" s="163" customFormat="1" ht="17.399999999999999">
      <c r="A120" s="22" t="s">
        <v>428</v>
      </c>
      <c r="B120" s="22">
        <v>1480</v>
      </c>
      <c r="C120" s="56" t="s">
        <v>429</v>
      </c>
      <c r="D120" s="56" t="s">
        <v>33</v>
      </c>
      <c r="E120" s="22" t="s">
        <v>33</v>
      </c>
      <c r="F120" s="22" t="s">
        <v>33</v>
      </c>
      <c r="G120" s="22" t="s">
        <v>67</v>
      </c>
      <c r="H120" s="22" t="s">
        <v>430</v>
      </c>
      <c r="I120" s="49" t="s">
        <v>404</v>
      </c>
      <c r="J120" s="50" t="s">
        <v>431</v>
      </c>
      <c r="K120" s="22" t="s">
        <v>432</v>
      </c>
      <c r="L120" s="22" t="s">
        <v>60</v>
      </c>
      <c r="M120" s="22">
        <v>13</v>
      </c>
      <c r="N120" s="22" t="s">
        <v>427</v>
      </c>
      <c r="O120" s="22"/>
      <c r="P120" s="46" t="s">
        <v>681</v>
      </c>
      <c r="Q120" s="160"/>
      <c r="R120" s="161"/>
      <c r="S120" s="157">
        <f t="shared" si="4"/>
        <v>13</v>
      </c>
      <c r="T120" s="161">
        <v>45645</v>
      </c>
      <c r="U120" s="164" t="s">
        <v>611</v>
      </c>
      <c r="V120" s="164">
        <v>45645</v>
      </c>
      <c r="W120" s="159" t="s">
        <v>610</v>
      </c>
      <c r="X120" s="159">
        <v>13</v>
      </c>
      <c r="Y120" s="159" t="s">
        <v>679</v>
      </c>
      <c r="Z120" s="157">
        <v>45966</v>
      </c>
      <c r="AA120" s="157" t="s">
        <v>18862</v>
      </c>
      <c r="AB120" s="157">
        <v>13</v>
      </c>
      <c r="AC120" s="157"/>
      <c r="AD120" s="157"/>
      <c r="AE120" s="157"/>
      <c r="AF120" s="162">
        <f t="shared" si="5"/>
        <v>0</v>
      </c>
      <c r="AG120" s="162">
        <f t="shared" si="6"/>
        <v>0</v>
      </c>
      <c r="AH120" s="162">
        <f t="shared" si="7"/>
        <v>0</v>
      </c>
      <c r="AI120" s="160" t="s">
        <v>33</v>
      </c>
      <c r="AJ120" s="160" t="s">
        <v>33</v>
      </c>
      <c r="AK120" s="160"/>
      <c r="AL120" s="157"/>
      <c r="AM120" s="165"/>
      <c r="AN120" s="165"/>
      <c r="AO120" s="165"/>
    </row>
    <row r="121" spans="1:41" s="163" customFormat="1" ht="17.399999999999999">
      <c r="A121" s="22" t="s">
        <v>18863</v>
      </c>
      <c r="B121" s="22" t="s">
        <v>346</v>
      </c>
      <c r="C121" s="56" t="s">
        <v>433</v>
      </c>
      <c r="D121" s="56" t="s">
        <v>33</v>
      </c>
      <c r="E121" s="22" t="s">
        <v>33</v>
      </c>
      <c r="F121" s="22" t="s">
        <v>33</v>
      </c>
      <c r="G121" s="22" t="s">
        <v>67</v>
      </c>
      <c r="H121" s="22" t="s">
        <v>366</v>
      </c>
      <c r="I121" s="49" t="s">
        <v>362</v>
      </c>
      <c r="J121" s="50" t="s">
        <v>367</v>
      </c>
      <c r="K121" s="22" t="s">
        <v>346</v>
      </c>
      <c r="L121" s="22" t="s">
        <v>60</v>
      </c>
      <c r="M121" s="22">
        <v>16</v>
      </c>
      <c r="N121" s="22" t="s">
        <v>434</v>
      </c>
      <c r="O121" s="22"/>
      <c r="P121" s="46" t="s">
        <v>18088</v>
      </c>
      <c r="Q121" s="160"/>
      <c r="R121" s="161"/>
      <c r="S121" s="157">
        <f t="shared" si="4"/>
        <v>16</v>
      </c>
      <c r="T121" s="161">
        <v>45673</v>
      </c>
      <c r="U121" s="164">
        <v>45665</v>
      </c>
      <c r="V121" s="164">
        <v>45673</v>
      </c>
      <c r="W121" s="159" t="s">
        <v>695</v>
      </c>
      <c r="X121" s="159">
        <v>16</v>
      </c>
      <c r="Y121" s="159" t="s">
        <v>697</v>
      </c>
      <c r="Z121" s="157"/>
      <c r="AA121" s="157"/>
      <c r="AB121" s="157"/>
      <c r="AC121" s="157"/>
      <c r="AD121" s="157"/>
      <c r="AE121" s="157"/>
      <c r="AF121" s="162">
        <f t="shared" si="5"/>
        <v>0</v>
      </c>
      <c r="AG121" s="162">
        <f t="shared" si="6"/>
        <v>16</v>
      </c>
      <c r="AH121" s="162">
        <f t="shared" si="7"/>
        <v>16</v>
      </c>
      <c r="AI121" s="160" t="s">
        <v>33</v>
      </c>
      <c r="AJ121" s="160" t="s">
        <v>33</v>
      </c>
      <c r="AK121" s="160"/>
      <c r="AL121" s="157"/>
      <c r="AM121" s="165"/>
      <c r="AN121" s="165"/>
      <c r="AO121" s="165"/>
    </row>
    <row r="122" spans="1:41" ht="17.399999999999999">
      <c r="A122" s="22" t="s">
        <v>435</v>
      </c>
      <c r="B122" s="22" t="s">
        <v>346</v>
      </c>
      <c r="C122" s="56">
        <v>45589</v>
      </c>
      <c r="D122" s="56" t="s">
        <v>33</v>
      </c>
      <c r="E122" s="22" t="s">
        <v>374</v>
      </c>
      <c r="F122" s="22" t="s">
        <v>33</v>
      </c>
      <c r="G122" s="22" t="s">
        <v>67</v>
      </c>
      <c r="H122" s="22" t="s">
        <v>354</v>
      </c>
      <c r="I122" s="49" t="s">
        <v>355</v>
      </c>
      <c r="J122" s="50" t="s">
        <v>356</v>
      </c>
      <c r="K122" s="22" t="s">
        <v>346</v>
      </c>
      <c r="L122" s="22" t="s">
        <v>52</v>
      </c>
      <c r="M122" s="22">
        <v>75</v>
      </c>
      <c r="N122" s="22" t="s">
        <v>436</v>
      </c>
      <c r="O122" s="22"/>
      <c r="P122" s="46" t="s">
        <v>18088</v>
      </c>
      <c r="Q122" s="40"/>
      <c r="R122" s="41"/>
      <c r="S122" s="22">
        <f t="shared" si="4"/>
        <v>75</v>
      </c>
      <c r="T122" s="41">
        <v>45650</v>
      </c>
      <c r="U122" s="44">
        <v>45645</v>
      </c>
      <c r="V122" s="44">
        <v>45650</v>
      </c>
      <c r="W122" s="46" t="s">
        <v>608</v>
      </c>
      <c r="X122" s="46">
        <v>75</v>
      </c>
      <c r="Y122" s="46" t="s">
        <v>678</v>
      </c>
      <c r="Z122" s="22"/>
      <c r="AA122" s="22"/>
      <c r="AB122" s="22"/>
      <c r="AC122" s="22"/>
      <c r="AD122" s="22"/>
      <c r="AE122" s="22"/>
      <c r="AF122" s="162">
        <f t="shared" si="5"/>
        <v>0</v>
      </c>
      <c r="AG122" s="48">
        <f t="shared" si="6"/>
        <v>75</v>
      </c>
      <c r="AH122" s="48">
        <f t="shared" si="7"/>
        <v>75</v>
      </c>
      <c r="AI122" s="40" t="s">
        <v>33</v>
      </c>
      <c r="AJ122" s="40" t="s">
        <v>33</v>
      </c>
      <c r="AK122" s="40"/>
      <c r="AL122" s="146"/>
    </row>
    <row r="123" spans="1:41" ht="17.399999999999999">
      <c r="A123" s="22" t="s">
        <v>63</v>
      </c>
      <c r="B123" s="22" t="s">
        <v>64</v>
      </c>
      <c r="C123" s="56" t="s">
        <v>65</v>
      </c>
      <c r="D123" s="56" t="s">
        <v>65</v>
      </c>
      <c r="E123" s="22" t="s">
        <v>66</v>
      </c>
      <c r="F123" s="22" t="s">
        <v>33</v>
      </c>
      <c r="G123" s="22" t="s">
        <v>67</v>
      </c>
      <c r="H123" s="22" t="s">
        <v>3427</v>
      </c>
      <c r="I123" s="49" t="s">
        <v>68</v>
      </c>
      <c r="J123" s="50" t="s">
        <v>69</v>
      </c>
      <c r="K123" s="22" t="s">
        <v>70</v>
      </c>
      <c r="L123" s="22" t="s">
        <v>71</v>
      </c>
      <c r="M123" s="22">
        <v>37070</v>
      </c>
      <c r="N123" s="22" t="s">
        <v>72</v>
      </c>
      <c r="O123" s="22"/>
      <c r="P123" s="46" t="s">
        <v>19055</v>
      </c>
      <c r="Q123" s="40"/>
      <c r="R123" s="41"/>
      <c r="S123" s="22">
        <v>37070</v>
      </c>
      <c r="T123" s="41">
        <v>45646</v>
      </c>
      <c r="U123" s="44" t="s">
        <v>571</v>
      </c>
      <c r="V123" s="44" t="s">
        <v>571</v>
      </c>
      <c r="W123" s="46" t="s">
        <v>571</v>
      </c>
      <c r="X123" s="46">
        <v>37070</v>
      </c>
      <c r="Y123" s="44" t="s">
        <v>571</v>
      </c>
      <c r="Z123" s="22"/>
      <c r="AA123" s="22"/>
      <c r="AB123" s="22"/>
      <c r="AC123" s="22">
        <v>45685</v>
      </c>
      <c r="AD123" s="22" t="s">
        <v>754</v>
      </c>
      <c r="AE123" s="22">
        <v>37070</v>
      </c>
      <c r="AF123" s="162">
        <f t="shared" si="5"/>
        <v>0</v>
      </c>
      <c r="AG123" s="48">
        <f t="shared" si="6"/>
        <v>0</v>
      </c>
      <c r="AH123" s="48">
        <f t="shared" si="7"/>
        <v>0</v>
      </c>
      <c r="AI123" s="40">
        <f>T123+14</f>
        <v>45660</v>
      </c>
      <c r="AJ123" s="40">
        <v>45811</v>
      </c>
      <c r="AK123" s="40"/>
      <c r="AL123" s="22"/>
    </row>
    <row r="124" spans="1:41" ht="17.399999999999999">
      <c r="A124" s="22" t="s">
        <v>626</v>
      </c>
      <c r="B124" s="22" t="s">
        <v>688</v>
      </c>
      <c r="C124" s="56">
        <v>45646</v>
      </c>
      <c r="D124" s="56" t="s">
        <v>33</v>
      </c>
      <c r="E124" s="22" t="s">
        <v>33</v>
      </c>
      <c r="F124" s="22" t="s">
        <v>33</v>
      </c>
      <c r="G124" s="22" t="s">
        <v>33</v>
      </c>
      <c r="H124" s="22" t="s">
        <v>629</v>
      </c>
      <c r="I124" s="49" t="s">
        <v>630</v>
      </c>
      <c r="J124" s="50" t="s">
        <v>631</v>
      </c>
      <c r="K124" s="22" t="s">
        <v>632</v>
      </c>
      <c r="L124" s="22" t="s">
        <v>60</v>
      </c>
      <c r="M124" s="22">
        <v>5</v>
      </c>
      <c r="N124" s="22" t="s">
        <v>687</v>
      </c>
      <c r="O124" s="22"/>
      <c r="P124" s="46" t="s">
        <v>19055</v>
      </c>
      <c r="Q124" s="40" t="s">
        <v>627</v>
      </c>
      <c r="R124" s="41">
        <v>45304</v>
      </c>
      <c r="S124" s="22">
        <f t="shared" ref="S124:S187" si="8">IF(A124="","",M124+O124)</f>
        <v>5</v>
      </c>
      <c r="T124" s="41">
        <v>45685</v>
      </c>
      <c r="U124" s="44">
        <v>45679</v>
      </c>
      <c r="V124" s="44">
        <v>45685</v>
      </c>
      <c r="W124" s="46" t="s">
        <v>722</v>
      </c>
      <c r="X124" s="46">
        <v>5</v>
      </c>
      <c r="Y124" s="46" t="s">
        <v>723</v>
      </c>
      <c r="Z124" s="22"/>
      <c r="AA124" s="22"/>
      <c r="AB124" s="22"/>
      <c r="AC124" s="22">
        <v>45740</v>
      </c>
      <c r="AD124" s="22" t="s">
        <v>18292</v>
      </c>
      <c r="AE124" s="22">
        <v>5</v>
      </c>
      <c r="AF124" s="162">
        <f t="shared" si="5"/>
        <v>0</v>
      </c>
      <c r="AG124" s="48">
        <f t="shared" si="6"/>
        <v>0</v>
      </c>
      <c r="AH124" s="48">
        <f t="shared" si="7"/>
        <v>0</v>
      </c>
      <c r="AI124" s="40">
        <f t="shared" ref="AI124:AI162" si="9">IF(A124="","",R124+14)</f>
        <v>45318</v>
      </c>
      <c r="AJ124" s="40">
        <v>45868</v>
      </c>
      <c r="AK124" s="40"/>
      <c r="AL124" s="22"/>
    </row>
    <row r="125" spans="1:41" ht="17.399999999999999">
      <c r="A125" s="22" t="s">
        <v>689</v>
      </c>
      <c r="B125" s="22" t="s">
        <v>346</v>
      </c>
      <c r="C125" s="56" t="s">
        <v>690</v>
      </c>
      <c r="D125" s="56">
        <v>45538</v>
      </c>
      <c r="E125" s="22" t="s">
        <v>691</v>
      </c>
      <c r="F125" s="22" t="s">
        <v>33</v>
      </c>
      <c r="G125" s="22" t="s">
        <v>692</v>
      </c>
      <c r="H125" s="22" t="s">
        <v>354</v>
      </c>
      <c r="I125" s="49" t="s">
        <v>355</v>
      </c>
      <c r="J125" s="50" t="s">
        <v>356</v>
      </c>
      <c r="K125" s="22" t="s">
        <v>346</v>
      </c>
      <c r="L125" s="22" t="s">
        <v>52</v>
      </c>
      <c r="M125" s="22">
        <v>42</v>
      </c>
      <c r="N125" s="22" t="s">
        <v>693</v>
      </c>
      <c r="O125" s="22"/>
      <c r="P125" s="46" t="s">
        <v>18088</v>
      </c>
      <c r="Q125" s="40" t="s">
        <v>627</v>
      </c>
      <c r="R125" s="41">
        <v>45671</v>
      </c>
      <c r="S125" s="22">
        <f t="shared" si="8"/>
        <v>42</v>
      </c>
      <c r="T125" s="41">
        <v>45695</v>
      </c>
      <c r="U125" s="44">
        <v>45687</v>
      </c>
      <c r="V125" s="44">
        <v>45694</v>
      </c>
      <c r="W125" s="46" t="s">
        <v>18099</v>
      </c>
      <c r="X125" s="46">
        <v>42</v>
      </c>
      <c r="Y125" s="46" t="s">
        <v>18101</v>
      </c>
      <c r="Z125" s="22"/>
      <c r="AA125" s="22"/>
      <c r="AB125" s="22"/>
      <c r="AC125" s="22"/>
      <c r="AD125" s="22"/>
      <c r="AE125" s="22"/>
      <c r="AF125" s="162">
        <f t="shared" si="5"/>
        <v>0</v>
      </c>
      <c r="AG125" s="48">
        <f t="shared" si="6"/>
        <v>42</v>
      </c>
      <c r="AH125" s="48">
        <f t="shared" si="7"/>
        <v>42</v>
      </c>
      <c r="AI125" s="40">
        <f t="shared" si="9"/>
        <v>45685</v>
      </c>
      <c r="AJ125" s="40"/>
      <c r="AK125" s="40"/>
      <c r="AL125" s="22"/>
    </row>
    <row r="126" spans="1:41" ht="17.399999999999999">
      <c r="A126" s="22" t="s">
        <v>700</v>
      </c>
      <c r="B126" s="22" t="s">
        <v>701</v>
      </c>
      <c r="C126" s="56">
        <v>45666</v>
      </c>
      <c r="D126" s="56">
        <v>45607</v>
      </c>
      <c r="E126" s="22" t="s">
        <v>702</v>
      </c>
      <c r="F126" s="22" t="s">
        <v>33</v>
      </c>
      <c r="G126" s="22" t="s">
        <v>33</v>
      </c>
      <c r="H126" s="22" t="s">
        <v>703</v>
      </c>
      <c r="I126" s="49" t="s">
        <v>704</v>
      </c>
      <c r="J126" s="50" t="s">
        <v>705</v>
      </c>
      <c r="K126" s="22" t="s">
        <v>92</v>
      </c>
      <c r="L126" s="22" t="s">
        <v>60</v>
      </c>
      <c r="M126" s="22">
        <v>2</v>
      </c>
      <c r="N126" s="22" t="s">
        <v>706</v>
      </c>
      <c r="O126" s="22"/>
      <c r="P126" s="46" t="s">
        <v>707</v>
      </c>
      <c r="Q126" s="40" t="s">
        <v>627</v>
      </c>
      <c r="R126" s="41">
        <v>45677</v>
      </c>
      <c r="S126" s="22">
        <f t="shared" si="8"/>
        <v>2</v>
      </c>
      <c r="T126" s="41">
        <v>45693</v>
      </c>
      <c r="U126" s="44" t="s">
        <v>571</v>
      </c>
      <c r="V126" s="44" t="s">
        <v>571</v>
      </c>
      <c r="W126" s="44" t="s">
        <v>571</v>
      </c>
      <c r="X126" s="46">
        <v>2</v>
      </c>
      <c r="Y126" s="46" t="s">
        <v>571</v>
      </c>
      <c r="Z126" s="22">
        <v>45727</v>
      </c>
      <c r="AA126" s="22" t="s">
        <v>18261</v>
      </c>
      <c r="AB126" s="22">
        <v>2</v>
      </c>
      <c r="AC126" s="22"/>
      <c r="AD126" s="22"/>
      <c r="AE126" s="22"/>
      <c r="AF126" s="162">
        <f t="shared" si="5"/>
        <v>0</v>
      </c>
      <c r="AG126" s="48">
        <f t="shared" si="6"/>
        <v>0</v>
      </c>
      <c r="AH126" s="48">
        <f t="shared" si="7"/>
        <v>0</v>
      </c>
      <c r="AI126" s="40">
        <f t="shared" si="9"/>
        <v>45691</v>
      </c>
      <c r="AJ126" s="40"/>
      <c r="AK126" s="40"/>
      <c r="AL126" s="146"/>
    </row>
    <row r="127" spans="1:41" ht="17.399999999999999">
      <c r="A127" s="22" t="s">
        <v>708</v>
      </c>
      <c r="B127" s="22" t="s">
        <v>709</v>
      </c>
      <c r="C127" s="56" t="s">
        <v>710</v>
      </c>
      <c r="D127" s="56">
        <v>45356</v>
      </c>
      <c r="E127" s="22" t="s">
        <v>293</v>
      </c>
      <c r="F127" s="22" t="s">
        <v>33</v>
      </c>
      <c r="G127" s="22" t="s">
        <v>33</v>
      </c>
      <c r="H127" s="22" t="s">
        <v>182</v>
      </c>
      <c r="I127" s="49" t="s">
        <v>183</v>
      </c>
      <c r="J127" s="50" t="s">
        <v>711</v>
      </c>
      <c r="K127" s="22" t="s">
        <v>712</v>
      </c>
      <c r="L127" s="22" t="s">
        <v>60</v>
      </c>
      <c r="M127" s="22">
        <v>2</v>
      </c>
      <c r="N127" s="22" t="s">
        <v>713</v>
      </c>
      <c r="O127" s="22"/>
      <c r="P127" s="46" t="s">
        <v>685</v>
      </c>
      <c r="Q127" s="40" t="s">
        <v>627</v>
      </c>
      <c r="R127" s="41">
        <v>45677</v>
      </c>
      <c r="S127" s="22">
        <f t="shared" si="8"/>
        <v>2</v>
      </c>
      <c r="T127" s="41">
        <v>45695</v>
      </c>
      <c r="U127" s="44">
        <v>45687</v>
      </c>
      <c r="V127" s="44">
        <v>45694</v>
      </c>
      <c r="W127" s="44" t="s">
        <v>18100</v>
      </c>
      <c r="X127" s="46">
        <v>2</v>
      </c>
      <c r="Y127" s="46" t="s">
        <v>18102</v>
      </c>
      <c r="Z127" s="22"/>
      <c r="AA127" s="22"/>
      <c r="AB127" s="22"/>
      <c r="AC127" s="22">
        <v>45807</v>
      </c>
      <c r="AD127" s="22" t="s">
        <v>18567</v>
      </c>
      <c r="AE127" s="22">
        <v>2</v>
      </c>
      <c r="AF127" s="162">
        <f t="shared" si="5"/>
        <v>0</v>
      </c>
      <c r="AG127" s="48">
        <f t="shared" si="6"/>
        <v>0</v>
      </c>
      <c r="AH127" s="48">
        <f t="shared" si="7"/>
        <v>0</v>
      </c>
      <c r="AI127" s="40">
        <f t="shared" si="9"/>
        <v>45691</v>
      </c>
      <c r="AJ127" s="40"/>
      <c r="AK127" s="40"/>
      <c r="AL127" s="146"/>
    </row>
    <row r="128" spans="1:41" ht="17.399999999999999">
      <c r="A128" s="22" t="s">
        <v>714</v>
      </c>
      <c r="B128" s="22" t="s">
        <v>315</v>
      </c>
      <c r="C128" s="56">
        <v>45528</v>
      </c>
      <c r="D128" s="56">
        <v>45370</v>
      </c>
      <c r="E128" s="22" t="s">
        <v>309</v>
      </c>
      <c r="F128" s="22" t="s">
        <v>33</v>
      </c>
      <c r="G128" s="22" t="s">
        <v>33</v>
      </c>
      <c r="H128" s="22" t="s">
        <v>715</v>
      </c>
      <c r="I128" s="49" t="s">
        <v>317</v>
      </c>
      <c r="J128" s="50" t="s">
        <v>317</v>
      </c>
      <c r="K128" s="22" t="s">
        <v>496</v>
      </c>
      <c r="L128" s="22" t="s">
        <v>60</v>
      </c>
      <c r="M128" s="22">
        <v>1</v>
      </c>
      <c r="N128" s="22" t="s">
        <v>318</v>
      </c>
      <c r="O128" s="22"/>
      <c r="P128" s="46" t="s">
        <v>685</v>
      </c>
      <c r="Q128" s="40" t="s">
        <v>627</v>
      </c>
      <c r="R128" s="41">
        <v>45677</v>
      </c>
      <c r="S128" s="22">
        <f t="shared" si="8"/>
        <v>1</v>
      </c>
      <c r="T128" s="41">
        <v>45695</v>
      </c>
      <c r="U128" s="44">
        <v>45687</v>
      </c>
      <c r="V128" s="44">
        <v>45694</v>
      </c>
      <c r="W128" s="44" t="s">
        <v>18100</v>
      </c>
      <c r="X128" s="46">
        <v>1</v>
      </c>
      <c r="Y128" s="44" t="s">
        <v>18102</v>
      </c>
      <c r="Z128" s="22"/>
      <c r="AA128" s="22"/>
      <c r="AB128" s="22"/>
      <c r="AC128" s="22"/>
      <c r="AD128" s="22"/>
      <c r="AE128" s="22"/>
      <c r="AF128" s="162">
        <f t="shared" si="5"/>
        <v>0</v>
      </c>
      <c r="AG128" s="48">
        <f t="shared" si="6"/>
        <v>1</v>
      </c>
      <c r="AH128" s="48">
        <f t="shared" si="7"/>
        <v>1</v>
      </c>
      <c r="AI128" s="40">
        <f t="shared" si="9"/>
        <v>45691</v>
      </c>
      <c r="AJ128" s="40"/>
      <c r="AK128" s="40"/>
      <c r="AL128" s="146"/>
    </row>
    <row r="129" spans="1:38" ht="17.399999999999999">
      <c r="A129" s="22" t="s">
        <v>18864</v>
      </c>
      <c r="B129" s="22" t="s">
        <v>716</v>
      </c>
      <c r="C129" s="56" t="s">
        <v>717</v>
      </c>
      <c r="D129" s="56" t="s">
        <v>718</v>
      </c>
      <c r="E129" s="22" t="s">
        <v>719</v>
      </c>
      <c r="F129" s="22" t="s">
        <v>33</v>
      </c>
      <c r="G129" s="22" t="s">
        <v>33</v>
      </c>
      <c r="H129" s="22" t="s">
        <v>322</v>
      </c>
      <c r="I129" s="49" t="s">
        <v>323</v>
      </c>
      <c r="J129" s="50" t="s">
        <v>324</v>
      </c>
      <c r="K129" s="22" t="s">
        <v>720</v>
      </c>
      <c r="L129" s="22" t="s">
        <v>60</v>
      </c>
      <c r="M129" s="22">
        <v>2</v>
      </c>
      <c r="N129" s="22" t="s">
        <v>721</v>
      </c>
      <c r="O129" s="22"/>
      <c r="P129" s="46" t="s">
        <v>685</v>
      </c>
      <c r="Q129" s="40" t="s">
        <v>627</v>
      </c>
      <c r="R129" s="41">
        <v>45677</v>
      </c>
      <c r="S129" s="22">
        <f t="shared" si="8"/>
        <v>2</v>
      </c>
      <c r="T129" s="41">
        <v>45706</v>
      </c>
      <c r="U129" s="44" t="s">
        <v>571</v>
      </c>
      <c r="V129" s="44" t="s">
        <v>571</v>
      </c>
      <c r="W129" s="44" t="s">
        <v>571</v>
      </c>
      <c r="X129" s="46">
        <v>2</v>
      </c>
      <c r="Y129" s="44" t="s">
        <v>571</v>
      </c>
      <c r="Z129" s="22"/>
      <c r="AA129" s="22"/>
      <c r="AB129" s="22"/>
      <c r="AC129" s="22"/>
      <c r="AD129" s="22"/>
      <c r="AE129" s="22"/>
      <c r="AF129" s="162">
        <f t="shared" si="5"/>
        <v>0</v>
      </c>
      <c r="AG129" s="48">
        <f t="shared" si="6"/>
        <v>2</v>
      </c>
      <c r="AH129" s="48">
        <f t="shared" si="7"/>
        <v>2</v>
      </c>
      <c r="AI129" s="40">
        <f t="shared" si="9"/>
        <v>45691</v>
      </c>
      <c r="AJ129" s="40"/>
      <c r="AK129" s="40"/>
      <c r="AL129" s="22"/>
    </row>
    <row r="130" spans="1:38" ht="17.399999999999999">
      <c r="A130" s="22" t="s">
        <v>724</v>
      </c>
      <c r="B130" s="22" t="s">
        <v>50</v>
      </c>
      <c r="C130" s="56">
        <v>45673</v>
      </c>
      <c r="D130" s="56">
        <v>45671</v>
      </c>
      <c r="E130" s="22" t="s">
        <v>725</v>
      </c>
      <c r="F130" s="22">
        <v>350</v>
      </c>
      <c r="G130" s="22" t="s">
        <v>726</v>
      </c>
      <c r="H130" s="22" t="s">
        <v>82</v>
      </c>
      <c r="I130" s="49" t="s">
        <v>83</v>
      </c>
      <c r="J130" s="50" t="s">
        <v>84</v>
      </c>
      <c r="K130" s="22" t="s">
        <v>85</v>
      </c>
      <c r="L130" s="22" t="s">
        <v>60</v>
      </c>
      <c r="M130" s="22">
        <v>29</v>
      </c>
      <c r="N130" s="22" t="s">
        <v>727</v>
      </c>
      <c r="O130" s="22"/>
      <c r="P130" s="46" t="s">
        <v>19054</v>
      </c>
      <c r="Q130" s="40" t="s">
        <v>728</v>
      </c>
      <c r="R130" s="41">
        <v>45684</v>
      </c>
      <c r="S130" s="22">
        <f t="shared" si="8"/>
        <v>29</v>
      </c>
      <c r="T130" s="41">
        <v>45699</v>
      </c>
      <c r="U130" s="44">
        <v>45693</v>
      </c>
      <c r="V130" s="44">
        <v>45699</v>
      </c>
      <c r="W130" s="44" t="s">
        <v>18124</v>
      </c>
      <c r="X130" s="46">
        <v>29</v>
      </c>
      <c r="Y130" s="44" t="s">
        <v>18132</v>
      </c>
      <c r="Z130" s="22"/>
      <c r="AA130" s="22"/>
      <c r="AB130" s="22"/>
      <c r="AC130" s="22"/>
      <c r="AD130" s="22"/>
      <c r="AE130" s="22"/>
      <c r="AF130" s="162">
        <f t="shared" si="5"/>
        <v>0</v>
      </c>
      <c r="AG130" s="48">
        <f t="shared" si="6"/>
        <v>29</v>
      </c>
      <c r="AH130" s="48">
        <f t="shared" si="7"/>
        <v>29</v>
      </c>
      <c r="AI130" s="40">
        <f t="shared" si="9"/>
        <v>45698</v>
      </c>
      <c r="AJ130" s="40"/>
      <c r="AK130" s="40"/>
      <c r="AL130" s="146"/>
    </row>
    <row r="131" spans="1:38" ht="17.399999999999999">
      <c r="A131" s="22" t="s">
        <v>729</v>
      </c>
      <c r="B131" s="22" t="s">
        <v>730</v>
      </c>
      <c r="C131" s="56" t="s">
        <v>734</v>
      </c>
      <c r="D131" s="56" t="s">
        <v>731</v>
      </c>
      <c r="E131" s="22" t="s">
        <v>732</v>
      </c>
      <c r="F131" s="22" t="s">
        <v>33</v>
      </c>
      <c r="G131" s="22" t="s">
        <v>33</v>
      </c>
      <c r="H131" s="22" t="s">
        <v>629</v>
      </c>
      <c r="I131" s="49" t="s">
        <v>630</v>
      </c>
      <c r="J131" s="50" t="s">
        <v>631</v>
      </c>
      <c r="K131" s="22" t="s">
        <v>733</v>
      </c>
      <c r="L131" s="22" t="s">
        <v>60</v>
      </c>
      <c r="M131" s="22">
        <v>6</v>
      </c>
      <c r="N131" s="22" t="s">
        <v>759</v>
      </c>
      <c r="O131" s="22"/>
      <c r="P131" s="46" t="s">
        <v>19055</v>
      </c>
      <c r="Q131" s="40" t="s">
        <v>627</v>
      </c>
      <c r="R131" s="41">
        <v>45684</v>
      </c>
      <c r="S131" s="22">
        <f t="shared" si="8"/>
        <v>6</v>
      </c>
      <c r="T131" s="41">
        <v>45699</v>
      </c>
      <c r="U131" s="44">
        <v>45693</v>
      </c>
      <c r="V131" s="44">
        <v>45699</v>
      </c>
      <c r="W131" s="44" t="s">
        <v>18130</v>
      </c>
      <c r="X131" s="46">
        <v>6</v>
      </c>
      <c r="Y131" s="44" t="s">
        <v>18144</v>
      </c>
      <c r="Z131" s="22"/>
      <c r="AA131" s="22"/>
      <c r="AB131" s="22"/>
      <c r="AC131" s="22" t="s">
        <v>18865</v>
      </c>
      <c r="AD131" s="22" t="s">
        <v>18866</v>
      </c>
      <c r="AE131" s="22">
        <v>6</v>
      </c>
      <c r="AF131" s="162">
        <f t="shared" ref="AF131:AF194" si="10">IF(A131="","",S131-X131)</f>
        <v>0</v>
      </c>
      <c r="AG131" s="48">
        <f t="shared" ref="AG131:AG194" si="11">IF(A131="","",X131-(AB131+AE131))</f>
        <v>0</v>
      </c>
      <c r="AH131" s="48">
        <f t="shared" ref="AH131:AH194" si="12">IF(A131="","",AF131+AG131)</f>
        <v>0</v>
      </c>
      <c r="AI131" s="40">
        <f t="shared" si="9"/>
        <v>45698</v>
      </c>
      <c r="AJ131" s="40">
        <v>45868</v>
      </c>
      <c r="AK131" s="40"/>
      <c r="AL131" s="146"/>
    </row>
    <row r="132" spans="1:38" ht="17.399999999999999">
      <c r="A132" s="22" t="s">
        <v>735</v>
      </c>
      <c r="B132" s="22" t="s">
        <v>736</v>
      </c>
      <c r="C132" s="56">
        <v>45635</v>
      </c>
      <c r="D132" s="56">
        <v>45608</v>
      </c>
      <c r="E132" s="22" t="s">
        <v>737</v>
      </c>
      <c r="F132" s="22" t="s">
        <v>33</v>
      </c>
      <c r="G132" s="22" t="s">
        <v>33</v>
      </c>
      <c r="H132" s="22" t="s">
        <v>738</v>
      </c>
      <c r="I132" s="49" t="s">
        <v>630</v>
      </c>
      <c r="J132" s="50" t="s">
        <v>739</v>
      </c>
      <c r="K132" s="22" t="s">
        <v>760</v>
      </c>
      <c r="L132" s="22" t="s">
        <v>60</v>
      </c>
      <c r="M132" s="22">
        <v>1</v>
      </c>
      <c r="N132" s="22" t="s">
        <v>740</v>
      </c>
      <c r="O132" s="22"/>
      <c r="P132" s="46" t="s">
        <v>19055</v>
      </c>
      <c r="Q132" s="40" t="s">
        <v>627</v>
      </c>
      <c r="R132" s="41">
        <v>45684</v>
      </c>
      <c r="S132" s="22">
        <f t="shared" si="8"/>
        <v>1</v>
      </c>
      <c r="T132" s="41">
        <v>45699</v>
      </c>
      <c r="U132" s="44">
        <v>45693</v>
      </c>
      <c r="V132" s="44">
        <v>45699</v>
      </c>
      <c r="W132" s="44" t="s">
        <v>18130</v>
      </c>
      <c r="X132" s="46">
        <v>1</v>
      </c>
      <c r="Y132" s="44" t="s">
        <v>18144</v>
      </c>
      <c r="Z132" s="22"/>
      <c r="AA132" s="22"/>
      <c r="AB132" s="22"/>
      <c r="AC132" s="22">
        <v>45740</v>
      </c>
      <c r="AD132" s="22" t="s">
        <v>18292</v>
      </c>
      <c r="AE132" s="22">
        <v>1</v>
      </c>
      <c r="AF132" s="162">
        <f t="shared" si="10"/>
        <v>0</v>
      </c>
      <c r="AG132" s="48">
        <f t="shared" si="11"/>
        <v>0</v>
      </c>
      <c r="AH132" s="48">
        <f t="shared" si="12"/>
        <v>0</v>
      </c>
      <c r="AI132" s="40">
        <f t="shared" si="9"/>
        <v>45698</v>
      </c>
      <c r="AJ132" s="40">
        <v>45723</v>
      </c>
      <c r="AK132" s="40"/>
      <c r="AL132" s="146"/>
    </row>
    <row r="133" spans="1:38" ht="17.399999999999999">
      <c r="A133" s="22" t="s">
        <v>741</v>
      </c>
      <c r="B133" s="22" t="s">
        <v>701</v>
      </c>
      <c r="C133" s="56">
        <v>45666</v>
      </c>
      <c r="D133" s="56">
        <v>45607</v>
      </c>
      <c r="E133" s="22" t="s">
        <v>702</v>
      </c>
      <c r="F133" s="22" t="s">
        <v>33</v>
      </c>
      <c r="G133" s="22" t="s">
        <v>33</v>
      </c>
      <c r="H133" s="22" t="s">
        <v>703</v>
      </c>
      <c r="I133" s="49" t="s">
        <v>704</v>
      </c>
      <c r="J133" s="50" t="s">
        <v>705</v>
      </c>
      <c r="K133" s="22" t="s">
        <v>92</v>
      </c>
      <c r="L133" s="22" t="s">
        <v>60</v>
      </c>
      <c r="M133" s="22">
        <v>1</v>
      </c>
      <c r="N133" s="22" t="s">
        <v>18087</v>
      </c>
      <c r="O133" s="22"/>
      <c r="P133" s="46" t="s">
        <v>707</v>
      </c>
      <c r="Q133" s="40" t="s">
        <v>627</v>
      </c>
      <c r="R133" s="41">
        <v>45684</v>
      </c>
      <c r="S133" s="22">
        <f t="shared" si="8"/>
        <v>1</v>
      </c>
      <c r="T133" s="41">
        <v>45693</v>
      </c>
      <c r="U133" s="44" t="s">
        <v>571</v>
      </c>
      <c r="V133" s="44" t="s">
        <v>571</v>
      </c>
      <c r="W133" s="44" t="s">
        <v>571</v>
      </c>
      <c r="X133" s="46">
        <v>1</v>
      </c>
      <c r="Y133" s="44" t="s">
        <v>571</v>
      </c>
      <c r="Z133" s="22">
        <v>45727</v>
      </c>
      <c r="AA133" s="22" t="s">
        <v>18261</v>
      </c>
      <c r="AB133" s="22">
        <v>1</v>
      </c>
      <c r="AC133" s="22"/>
      <c r="AD133" s="22"/>
      <c r="AE133" s="22"/>
      <c r="AF133" s="162">
        <f t="shared" si="10"/>
        <v>0</v>
      </c>
      <c r="AG133" s="48">
        <f t="shared" si="11"/>
        <v>0</v>
      </c>
      <c r="AH133" s="48">
        <f t="shared" si="12"/>
        <v>0</v>
      </c>
      <c r="AI133" s="40">
        <f t="shared" si="9"/>
        <v>45698</v>
      </c>
      <c r="AJ133" s="40"/>
      <c r="AK133" s="40"/>
      <c r="AL133" s="146"/>
    </row>
    <row r="134" spans="1:38" ht="17.399999999999999">
      <c r="A134" s="22" t="s">
        <v>742</v>
      </c>
      <c r="B134" s="22" t="s">
        <v>730</v>
      </c>
      <c r="C134" s="56" t="s">
        <v>743</v>
      </c>
      <c r="D134" s="56" t="s">
        <v>18310</v>
      </c>
      <c r="E134" s="22" t="s">
        <v>18311</v>
      </c>
      <c r="F134" s="22" t="s">
        <v>33</v>
      </c>
      <c r="G134" s="22" t="s">
        <v>33</v>
      </c>
      <c r="H134" s="22" t="s">
        <v>744</v>
      </c>
      <c r="I134" s="49" t="s">
        <v>745</v>
      </c>
      <c r="J134" s="50" t="s">
        <v>746</v>
      </c>
      <c r="K134" s="22" t="s">
        <v>747</v>
      </c>
      <c r="L134" s="22" t="s">
        <v>60</v>
      </c>
      <c r="M134" s="22">
        <v>7</v>
      </c>
      <c r="N134" s="22" t="s">
        <v>758</v>
      </c>
      <c r="O134" s="22"/>
      <c r="P134" s="46" t="s">
        <v>19055</v>
      </c>
      <c r="Q134" s="40" t="s">
        <v>627</v>
      </c>
      <c r="R134" s="41">
        <v>45684</v>
      </c>
      <c r="S134" s="22">
        <f t="shared" si="8"/>
        <v>7</v>
      </c>
      <c r="T134" s="41">
        <v>45699</v>
      </c>
      <c r="U134" s="44">
        <v>45693</v>
      </c>
      <c r="V134" s="44">
        <v>45699</v>
      </c>
      <c r="W134" s="44" t="s">
        <v>18130</v>
      </c>
      <c r="X134" s="46">
        <v>7</v>
      </c>
      <c r="Y134" s="44" t="s">
        <v>18144</v>
      </c>
      <c r="Z134" s="22">
        <v>45796</v>
      </c>
      <c r="AA134" s="22" t="s">
        <v>18867</v>
      </c>
      <c r="AB134" s="22">
        <v>1</v>
      </c>
      <c r="AC134" s="22"/>
      <c r="AD134" s="22"/>
      <c r="AE134" s="22"/>
      <c r="AF134" s="162">
        <f t="shared" si="10"/>
        <v>0</v>
      </c>
      <c r="AG134" s="48">
        <f t="shared" si="11"/>
        <v>6</v>
      </c>
      <c r="AH134" s="48">
        <f t="shared" si="12"/>
        <v>6</v>
      </c>
      <c r="AI134" s="40">
        <f t="shared" si="9"/>
        <v>45698</v>
      </c>
      <c r="AJ134" s="40"/>
      <c r="AK134" s="40"/>
      <c r="AL134" s="146"/>
    </row>
    <row r="135" spans="1:38" ht="17.399999999999999">
      <c r="A135" s="22" t="s">
        <v>18089</v>
      </c>
      <c r="B135" s="22" t="s">
        <v>376</v>
      </c>
      <c r="C135" s="56" t="s">
        <v>18090</v>
      </c>
      <c r="D135" s="56" t="s">
        <v>33</v>
      </c>
      <c r="E135" s="22" t="s">
        <v>33</v>
      </c>
      <c r="F135" s="22" t="s">
        <v>33</v>
      </c>
      <c r="G135" s="22" t="s">
        <v>18091</v>
      </c>
      <c r="H135" s="22" t="s">
        <v>10151</v>
      </c>
      <c r="I135" s="49" t="s">
        <v>379</v>
      </c>
      <c r="J135" s="50" t="s">
        <v>10152</v>
      </c>
      <c r="K135" s="22" t="s">
        <v>376</v>
      </c>
      <c r="L135" s="22" t="s">
        <v>60</v>
      </c>
      <c r="M135" s="22">
        <v>2</v>
      </c>
      <c r="N135" s="22" t="s">
        <v>18092</v>
      </c>
      <c r="O135" s="22"/>
      <c r="P135" s="46" t="s">
        <v>18133</v>
      </c>
      <c r="Q135" s="40" t="s">
        <v>627</v>
      </c>
      <c r="R135" s="41">
        <v>45692</v>
      </c>
      <c r="S135" s="22">
        <f t="shared" si="8"/>
        <v>2</v>
      </c>
      <c r="T135" s="41">
        <v>45716</v>
      </c>
      <c r="U135" s="44">
        <v>45713</v>
      </c>
      <c r="V135" s="44">
        <v>45715</v>
      </c>
      <c r="W135" s="44" t="s">
        <v>18179</v>
      </c>
      <c r="X135" s="46">
        <v>2</v>
      </c>
      <c r="Y135" s="44" t="s">
        <v>18180</v>
      </c>
      <c r="Z135" s="22"/>
      <c r="AA135" s="22"/>
      <c r="AB135" s="22"/>
      <c r="AC135" s="22"/>
      <c r="AD135" s="22"/>
      <c r="AE135" s="22"/>
      <c r="AF135" s="162">
        <f t="shared" si="10"/>
        <v>0</v>
      </c>
      <c r="AG135" s="48">
        <f t="shared" si="11"/>
        <v>2</v>
      </c>
      <c r="AH135" s="48">
        <f t="shared" si="12"/>
        <v>2</v>
      </c>
      <c r="AI135" s="40">
        <f t="shared" si="9"/>
        <v>45706</v>
      </c>
      <c r="AJ135" s="40"/>
      <c r="AK135" s="40"/>
      <c r="AL135" s="146"/>
    </row>
    <row r="136" spans="1:38" ht="17.399999999999999">
      <c r="A136" s="22" t="s">
        <v>18093</v>
      </c>
      <c r="B136" s="22" t="s">
        <v>269</v>
      </c>
      <c r="C136" s="56">
        <v>45586</v>
      </c>
      <c r="D136" s="56">
        <v>45559</v>
      </c>
      <c r="E136" s="22" t="s">
        <v>18094</v>
      </c>
      <c r="F136" s="22" t="s">
        <v>33</v>
      </c>
      <c r="G136" s="22" t="s">
        <v>33</v>
      </c>
      <c r="H136" s="22" t="s">
        <v>205</v>
      </c>
      <c r="I136" s="49" t="s">
        <v>206</v>
      </c>
      <c r="J136" s="50" t="s">
        <v>207</v>
      </c>
      <c r="K136" s="22" t="s">
        <v>2748</v>
      </c>
      <c r="L136" s="22" t="s">
        <v>60</v>
      </c>
      <c r="M136" s="22">
        <v>3</v>
      </c>
      <c r="N136" s="22" t="s">
        <v>18095</v>
      </c>
      <c r="O136" s="22"/>
      <c r="P136" s="46" t="s">
        <v>685</v>
      </c>
      <c r="Q136" s="40" t="s">
        <v>627</v>
      </c>
      <c r="R136" s="41">
        <v>45692</v>
      </c>
      <c r="S136" s="22">
        <f t="shared" si="8"/>
        <v>3</v>
      </c>
      <c r="T136" s="41">
        <v>45699</v>
      </c>
      <c r="U136" s="44" t="s">
        <v>571</v>
      </c>
      <c r="V136" s="44" t="s">
        <v>571</v>
      </c>
      <c r="W136" s="44" t="s">
        <v>571</v>
      </c>
      <c r="X136" s="46">
        <v>3</v>
      </c>
      <c r="Y136" s="44" t="s">
        <v>571</v>
      </c>
      <c r="Z136" s="22"/>
      <c r="AA136" s="22"/>
      <c r="AB136" s="22"/>
      <c r="AC136" s="22"/>
      <c r="AD136" s="22"/>
      <c r="AE136" s="22"/>
      <c r="AF136" s="162">
        <f t="shared" si="10"/>
        <v>0</v>
      </c>
      <c r="AG136" s="48">
        <f t="shared" si="11"/>
        <v>3</v>
      </c>
      <c r="AH136" s="48">
        <f t="shared" si="12"/>
        <v>3</v>
      </c>
      <c r="AI136" s="40">
        <f t="shared" si="9"/>
        <v>45706</v>
      </c>
      <c r="AJ136" s="40"/>
      <c r="AK136" s="40"/>
      <c r="AL136" s="146"/>
    </row>
    <row r="137" spans="1:38" ht="17.399999999999999">
      <c r="A137" s="22" t="s">
        <v>18096</v>
      </c>
      <c r="B137" s="22" t="s">
        <v>18097</v>
      </c>
      <c r="C137" s="56">
        <v>45593</v>
      </c>
      <c r="D137" s="56">
        <v>45182</v>
      </c>
      <c r="E137" s="22" t="s">
        <v>18098</v>
      </c>
      <c r="F137" s="22" t="s">
        <v>33</v>
      </c>
      <c r="G137" s="22" t="s">
        <v>33</v>
      </c>
      <c r="H137" s="22" t="s">
        <v>491</v>
      </c>
      <c r="I137" s="49" t="s">
        <v>174</v>
      </c>
      <c r="J137" s="50" t="s">
        <v>492</v>
      </c>
      <c r="K137" s="22" t="s">
        <v>493</v>
      </c>
      <c r="L137" s="22" t="s">
        <v>60</v>
      </c>
      <c r="M137" s="22">
        <v>1</v>
      </c>
      <c r="N137" s="22" t="s">
        <v>18161</v>
      </c>
      <c r="O137" s="22"/>
      <c r="P137" s="46" t="s">
        <v>683</v>
      </c>
      <c r="Q137" s="40" t="s">
        <v>627</v>
      </c>
      <c r="R137" s="41">
        <v>45692</v>
      </c>
      <c r="S137" s="22">
        <f t="shared" si="8"/>
        <v>1</v>
      </c>
      <c r="T137" s="41">
        <v>45714</v>
      </c>
      <c r="U137" s="44">
        <v>45820</v>
      </c>
      <c r="V137" s="44">
        <v>45832</v>
      </c>
      <c r="W137" s="44" t="s">
        <v>18524</v>
      </c>
      <c r="X137" s="46">
        <v>1</v>
      </c>
      <c r="Y137" s="44" t="s">
        <v>18528</v>
      </c>
      <c r="Z137" s="22">
        <v>46009</v>
      </c>
      <c r="AA137" s="22" t="s">
        <v>19033</v>
      </c>
      <c r="AB137" s="22">
        <v>1</v>
      </c>
      <c r="AC137" s="22"/>
      <c r="AD137" s="22"/>
      <c r="AE137" s="22"/>
      <c r="AF137" s="162">
        <f t="shared" si="10"/>
        <v>0</v>
      </c>
      <c r="AG137" s="48">
        <f t="shared" si="11"/>
        <v>0</v>
      </c>
      <c r="AH137" s="48">
        <f t="shared" si="12"/>
        <v>0</v>
      </c>
      <c r="AI137" s="40">
        <f t="shared" si="9"/>
        <v>45706</v>
      </c>
      <c r="AJ137" s="40"/>
      <c r="AK137" s="40"/>
      <c r="AL137" s="146"/>
    </row>
    <row r="138" spans="1:38" ht="17.399999999999999">
      <c r="A138" s="22" t="s">
        <v>18103</v>
      </c>
      <c r="B138" s="22" t="s">
        <v>18112</v>
      </c>
      <c r="C138" s="56" t="s">
        <v>18113</v>
      </c>
      <c r="D138" s="56">
        <v>45358</v>
      </c>
      <c r="E138" s="22" t="s">
        <v>18104</v>
      </c>
      <c r="F138" s="22" t="s">
        <v>33</v>
      </c>
      <c r="G138" s="22" t="s">
        <v>33</v>
      </c>
      <c r="H138" s="22" t="s">
        <v>475</v>
      </c>
      <c r="I138" s="49" t="s">
        <v>174</v>
      </c>
      <c r="J138" s="50" t="s">
        <v>476</v>
      </c>
      <c r="K138" s="22" t="s">
        <v>215</v>
      </c>
      <c r="L138" s="22" t="s">
        <v>60</v>
      </c>
      <c r="M138" s="22">
        <v>6</v>
      </c>
      <c r="N138" s="22" t="s">
        <v>18162</v>
      </c>
      <c r="O138" s="22"/>
      <c r="P138" s="46" t="s">
        <v>683</v>
      </c>
      <c r="Q138" s="40" t="s">
        <v>627</v>
      </c>
      <c r="R138" s="41">
        <v>45693</v>
      </c>
      <c r="S138" s="22">
        <f t="shared" si="8"/>
        <v>6</v>
      </c>
      <c r="T138" s="41">
        <v>45714</v>
      </c>
      <c r="U138" s="44">
        <v>45820</v>
      </c>
      <c r="V138" s="44">
        <v>45832</v>
      </c>
      <c r="W138" s="44" t="s">
        <v>18524</v>
      </c>
      <c r="X138" s="46">
        <v>6</v>
      </c>
      <c r="Y138" s="44" t="s">
        <v>18528</v>
      </c>
      <c r="Z138" s="22">
        <v>46009</v>
      </c>
      <c r="AA138" s="22" t="s">
        <v>19033</v>
      </c>
      <c r="AB138" s="22">
        <v>6</v>
      </c>
      <c r="AC138" s="22"/>
      <c r="AD138" s="22"/>
      <c r="AE138" s="22"/>
      <c r="AF138" s="162">
        <f t="shared" si="10"/>
        <v>0</v>
      </c>
      <c r="AG138" s="48">
        <f t="shared" si="11"/>
        <v>0</v>
      </c>
      <c r="AH138" s="48">
        <f t="shared" si="12"/>
        <v>0</v>
      </c>
      <c r="AI138" s="40">
        <f t="shared" si="9"/>
        <v>45707</v>
      </c>
      <c r="AJ138" s="40"/>
      <c r="AK138" s="40"/>
      <c r="AL138" s="146"/>
    </row>
    <row r="139" spans="1:38" ht="17.399999999999999">
      <c r="A139" s="22" t="s">
        <v>18105</v>
      </c>
      <c r="B139" s="22" t="s">
        <v>18107</v>
      </c>
      <c r="C139" s="56" t="s">
        <v>18108</v>
      </c>
      <c r="D139" s="56" t="s">
        <v>18109</v>
      </c>
      <c r="E139" s="22" t="s">
        <v>18110</v>
      </c>
      <c r="F139" s="22" t="s">
        <v>33</v>
      </c>
      <c r="G139" s="22" t="s">
        <v>33</v>
      </c>
      <c r="H139" s="22" t="s">
        <v>469</v>
      </c>
      <c r="I139" s="49" t="s">
        <v>174</v>
      </c>
      <c r="J139" s="50" t="s">
        <v>470</v>
      </c>
      <c r="K139" s="22" t="s">
        <v>18106</v>
      </c>
      <c r="L139" s="22" t="s">
        <v>60</v>
      </c>
      <c r="M139" s="22">
        <v>7</v>
      </c>
      <c r="N139" s="22" t="s">
        <v>18111</v>
      </c>
      <c r="O139" s="22"/>
      <c r="P139" s="46" t="s">
        <v>683</v>
      </c>
      <c r="Q139" s="40" t="s">
        <v>627</v>
      </c>
      <c r="R139" s="41">
        <v>45693</v>
      </c>
      <c r="S139" s="22">
        <f t="shared" si="8"/>
        <v>7</v>
      </c>
      <c r="T139" s="41">
        <v>45714</v>
      </c>
      <c r="U139" s="44">
        <v>45820</v>
      </c>
      <c r="V139" s="44">
        <v>45832</v>
      </c>
      <c r="W139" s="44" t="s">
        <v>18524</v>
      </c>
      <c r="X139" s="46">
        <v>7</v>
      </c>
      <c r="Y139" s="44" t="s">
        <v>18528</v>
      </c>
      <c r="Z139" s="22">
        <v>46009</v>
      </c>
      <c r="AA139" s="22" t="s">
        <v>19033</v>
      </c>
      <c r="AB139" s="22">
        <v>2</v>
      </c>
      <c r="AC139" s="22"/>
      <c r="AD139" s="22"/>
      <c r="AE139" s="22"/>
      <c r="AF139" s="162">
        <f t="shared" si="10"/>
        <v>0</v>
      </c>
      <c r="AG139" s="48">
        <f t="shared" si="11"/>
        <v>5</v>
      </c>
      <c r="AH139" s="48">
        <f t="shared" si="12"/>
        <v>5</v>
      </c>
      <c r="AI139" s="40">
        <f t="shared" si="9"/>
        <v>45707</v>
      </c>
      <c r="AJ139" s="40"/>
      <c r="AK139" s="40"/>
      <c r="AL139" s="146"/>
    </row>
    <row r="140" spans="1:38" ht="17.399999999999999">
      <c r="A140" s="22" t="s">
        <v>18114</v>
      </c>
      <c r="B140" s="22" t="s">
        <v>18115</v>
      </c>
      <c r="C140" s="56">
        <v>45498</v>
      </c>
      <c r="D140" s="56">
        <v>45482</v>
      </c>
      <c r="E140" s="22" t="s">
        <v>18116</v>
      </c>
      <c r="F140" s="22" t="s">
        <v>33</v>
      </c>
      <c r="G140" s="22" t="s">
        <v>33</v>
      </c>
      <c r="H140" s="22" t="s">
        <v>178</v>
      </c>
      <c r="I140" s="49" t="s">
        <v>174</v>
      </c>
      <c r="J140" s="50" t="s">
        <v>179</v>
      </c>
      <c r="K140" s="22" t="s">
        <v>493</v>
      </c>
      <c r="L140" s="22" t="s">
        <v>60</v>
      </c>
      <c r="M140" s="22">
        <v>1</v>
      </c>
      <c r="N140" s="22" t="s">
        <v>18117</v>
      </c>
      <c r="O140" s="22"/>
      <c r="P140" s="46" t="s">
        <v>685</v>
      </c>
      <c r="Q140" s="40" t="s">
        <v>627</v>
      </c>
      <c r="R140" s="41">
        <v>45694</v>
      </c>
      <c r="S140" s="22">
        <f t="shared" si="8"/>
        <v>1</v>
      </c>
      <c r="T140" s="41">
        <v>45699</v>
      </c>
      <c r="U140" s="44" t="s">
        <v>571</v>
      </c>
      <c r="V140" s="44" t="s">
        <v>571</v>
      </c>
      <c r="W140" s="44" t="s">
        <v>571</v>
      </c>
      <c r="X140" s="46">
        <v>1</v>
      </c>
      <c r="Y140" s="44" t="s">
        <v>571</v>
      </c>
      <c r="Z140" s="22"/>
      <c r="AA140" s="22"/>
      <c r="AB140" s="22"/>
      <c r="AC140" s="22"/>
      <c r="AD140" s="22"/>
      <c r="AE140" s="22"/>
      <c r="AF140" s="162">
        <f t="shared" si="10"/>
        <v>0</v>
      </c>
      <c r="AG140" s="48">
        <f t="shared" si="11"/>
        <v>1</v>
      </c>
      <c r="AH140" s="48">
        <f t="shared" si="12"/>
        <v>1</v>
      </c>
      <c r="AI140" s="40">
        <f t="shared" si="9"/>
        <v>45708</v>
      </c>
      <c r="AJ140" s="40"/>
      <c r="AK140" s="40"/>
      <c r="AL140" s="146"/>
    </row>
    <row r="141" spans="1:38" ht="17.399999999999999">
      <c r="A141" s="22" t="s">
        <v>18118</v>
      </c>
      <c r="B141" s="22" t="s">
        <v>18119</v>
      </c>
      <c r="C141" s="56" t="s">
        <v>18120</v>
      </c>
      <c r="D141" s="56" t="s">
        <v>18121</v>
      </c>
      <c r="E141" s="22" t="s">
        <v>18122</v>
      </c>
      <c r="F141" s="22" t="s">
        <v>33</v>
      </c>
      <c r="G141" s="22" t="s">
        <v>33</v>
      </c>
      <c r="H141" s="22" t="s">
        <v>303</v>
      </c>
      <c r="I141" s="49" t="s">
        <v>304</v>
      </c>
      <c r="J141" s="50" t="s">
        <v>305</v>
      </c>
      <c r="K141" s="22" t="s">
        <v>18106</v>
      </c>
      <c r="L141" s="22" t="s">
        <v>60</v>
      </c>
      <c r="M141" s="22">
        <v>4</v>
      </c>
      <c r="N141" s="22" t="s">
        <v>18123</v>
      </c>
      <c r="O141" s="22"/>
      <c r="P141" s="46" t="s">
        <v>685</v>
      </c>
      <c r="Q141" s="40" t="s">
        <v>627</v>
      </c>
      <c r="R141" s="41">
        <v>45694</v>
      </c>
      <c r="S141" s="22">
        <f t="shared" si="8"/>
        <v>4</v>
      </c>
      <c r="T141" s="41">
        <v>45699</v>
      </c>
      <c r="U141" s="44" t="s">
        <v>571</v>
      </c>
      <c r="V141" s="44" t="s">
        <v>571</v>
      </c>
      <c r="W141" s="44" t="s">
        <v>571</v>
      </c>
      <c r="X141" s="46">
        <v>4</v>
      </c>
      <c r="Y141" s="44" t="s">
        <v>571</v>
      </c>
      <c r="Z141" s="22"/>
      <c r="AA141" s="22"/>
      <c r="AB141" s="22"/>
      <c r="AC141" s="22"/>
      <c r="AD141" s="22"/>
      <c r="AE141" s="22"/>
      <c r="AF141" s="162">
        <f t="shared" si="10"/>
        <v>0</v>
      </c>
      <c r="AG141" s="48">
        <f t="shared" si="11"/>
        <v>4</v>
      </c>
      <c r="AH141" s="48">
        <f t="shared" si="12"/>
        <v>4</v>
      </c>
      <c r="AI141" s="40">
        <f t="shared" si="9"/>
        <v>45708</v>
      </c>
      <c r="AJ141" s="40"/>
      <c r="AK141" s="40"/>
      <c r="AL141" s="146"/>
    </row>
    <row r="142" spans="1:38" ht="17.399999999999999">
      <c r="A142" s="22" t="s">
        <v>18126</v>
      </c>
      <c r="B142" s="22" t="s">
        <v>18127</v>
      </c>
      <c r="C142" s="56">
        <v>45218</v>
      </c>
      <c r="D142" s="56">
        <v>45089</v>
      </c>
      <c r="E142" s="22" t="s">
        <v>331</v>
      </c>
      <c r="F142" s="22" t="s">
        <v>33</v>
      </c>
      <c r="G142" s="22" t="s">
        <v>33</v>
      </c>
      <c r="H142" s="22" t="s">
        <v>178</v>
      </c>
      <c r="I142" s="49" t="s">
        <v>174</v>
      </c>
      <c r="J142" s="50" t="s">
        <v>179</v>
      </c>
      <c r="K142" s="22" t="s">
        <v>18128</v>
      </c>
      <c r="L142" s="22" t="s">
        <v>60</v>
      </c>
      <c r="M142" s="22">
        <v>1</v>
      </c>
      <c r="N142" s="22" t="s">
        <v>18129</v>
      </c>
      <c r="O142" s="22"/>
      <c r="P142" s="46" t="s">
        <v>685</v>
      </c>
      <c r="Q142" s="40" t="s">
        <v>627</v>
      </c>
      <c r="R142" s="41">
        <v>45695</v>
      </c>
      <c r="S142" s="22">
        <f t="shared" si="8"/>
        <v>1</v>
      </c>
      <c r="T142" s="41">
        <v>45706</v>
      </c>
      <c r="U142" s="44">
        <v>45702</v>
      </c>
      <c r="V142" s="44">
        <v>45706</v>
      </c>
      <c r="W142" s="44" t="s">
        <v>18163</v>
      </c>
      <c r="X142" s="46">
        <v>1</v>
      </c>
      <c r="Y142" s="44" t="s">
        <v>18165</v>
      </c>
      <c r="Z142" s="22"/>
      <c r="AA142" s="22"/>
      <c r="AB142" s="22"/>
      <c r="AC142" s="22"/>
      <c r="AD142" s="22"/>
      <c r="AE142" s="22"/>
      <c r="AF142" s="162">
        <f t="shared" si="10"/>
        <v>0</v>
      </c>
      <c r="AG142" s="48">
        <f t="shared" si="11"/>
        <v>1</v>
      </c>
      <c r="AH142" s="48">
        <f t="shared" si="12"/>
        <v>1</v>
      </c>
      <c r="AI142" s="40">
        <f t="shared" si="9"/>
        <v>45709</v>
      </c>
      <c r="AJ142" s="40"/>
      <c r="AK142" s="40"/>
      <c r="AL142" s="146"/>
    </row>
    <row r="143" spans="1:38" ht="17.399999999999999">
      <c r="A143" s="22" t="s">
        <v>18134</v>
      </c>
      <c r="B143" s="22" t="s">
        <v>18145</v>
      </c>
      <c r="C143" s="56" t="s">
        <v>18146</v>
      </c>
      <c r="D143" s="56">
        <v>45461</v>
      </c>
      <c r="E143" s="22" t="s">
        <v>18147</v>
      </c>
      <c r="F143" s="22" t="s">
        <v>33</v>
      </c>
      <c r="G143" s="22" t="s">
        <v>33</v>
      </c>
      <c r="H143" s="22" t="s">
        <v>629</v>
      </c>
      <c r="I143" s="49" t="s">
        <v>630</v>
      </c>
      <c r="J143" s="50" t="s">
        <v>631</v>
      </c>
      <c r="K143" s="22" t="s">
        <v>632</v>
      </c>
      <c r="L143" s="22" t="s">
        <v>60</v>
      </c>
      <c r="M143" s="22">
        <v>4</v>
      </c>
      <c r="N143" s="22" t="s">
        <v>18160</v>
      </c>
      <c r="O143" s="22"/>
      <c r="P143" s="46" t="s">
        <v>19055</v>
      </c>
      <c r="Q143" s="40" t="s">
        <v>627</v>
      </c>
      <c r="R143" s="41">
        <v>45698</v>
      </c>
      <c r="S143" s="22">
        <f t="shared" si="8"/>
        <v>4</v>
      </c>
      <c r="T143" s="41">
        <v>45706</v>
      </c>
      <c r="U143" s="44">
        <v>45702</v>
      </c>
      <c r="V143" s="44">
        <v>45706</v>
      </c>
      <c r="W143" s="44" t="s">
        <v>18164</v>
      </c>
      <c r="X143" s="46">
        <v>4</v>
      </c>
      <c r="Y143" s="44" t="s">
        <v>18166</v>
      </c>
      <c r="Z143" s="22"/>
      <c r="AA143" s="22"/>
      <c r="AB143" s="22"/>
      <c r="AC143" s="22">
        <v>45945</v>
      </c>
      <c r="AD143" s="22" t="s">
        <v>18868</v>
      </c>
      <c r="AE143" s="22">
        <v>4</v>
      </c>
      <c r="AF143" s="162">
        <f t="shared" si="10"/>
        <v>0</v>
      </c>
      <c r="AG143" s="48">
        <f t="shared" si="11"/>
        <v>0</v>
      </c>
      <c r="AH143" s="48">
        <f t="shared" si="12"/>
        <v>0</v>
      </c>
      <c r="AI143" s="40">
        <f t="shared" si="9"/>
        <v>45712</v>
      </c>
      <c r="AJ143" s="40">
        <v>45868</v>
      </c>
      <c r="AK143" s="40"/>
      <c r="AL143" s="146"/>
    </row>
    <row r="144" spans="1:38" ht="17.399999999999999">
      <c r="A144" s="22" t="s">
        <v>18365</v>
      </c>
      <c r="B144" s="22" t="s">
        <v>18135</v>
      </c>
      <c r="C144" s="56">
        <v>45640</v>
      </c>
      <c r="D144" s="56" t="s">
        <v>18308</v>
      </c>
      <c r="E144" s="22" t="s">
        <v>18309</v>
      </c>
      <c r="F144" s="22" t="s">
        <v>33</v>
      </c>
      <c r="G144" s="22" t="s">
        <v>33</v>
      </c>
      <c r="H144" s="22" t="s">
        <v>744</v>
      </c>
      <c r="I144" s="49" t="s">
        <v>745</v>
      </c>
      <c r="J144" s="50" t="s">
        <v>746</v>
      </c>
      <c r="K144" s="22" t="s">
        <v>632</v>
      </c>
      <c r="L144" s="22" t="s">
        <v>60</v>
      </c>
      <c r="M144" s="22">
        <v>6</v>
      </c>
      <c r="N144" s="22" t="s">
        <v>18390</v>
      </c>
      <c r="O144" s="22"/>
      <c r="P144" s="46" t="s">
        <v>19055</v>
      </c>
      <c r="Q144" s="40" t="s">
        <v>627</v>
      </c>
      <c r="R144" s="41">
        <v>45698</v>
      </c>
      <c r="S144" s="22">
        <f t="shared" si="8"/>
        <v>6</v>
      </c>
      <c r="T144" s="41">
        <v>45758</v>
      </c>
      <c r="U144" s="44">
        <v>45702</v>
      </c>
      <c r="V144" s="44">
        <v>45706</v>
      </c>
      <c r="W144" s="44" t="s">
        <v>18164</v>
      </c>
      <c r="X144" s="46">
        <v>6</v>
      </c>
      <c r="Y144" s="44" t="s">
        <v>18166</v>
      </c>
      <c r="Z144" s="22">
        <v>45768</v>
      </c>
      <c r="AA144" s="22" t="s">
        <v>18391</v>
      </c>
      <c r="AB144" s="22">
        <v>2</v>
      </c>
      <c r="AC144" s="22"/>
      <c r="AD144" s="22"/>
      <c r="AE144" s="22"/>
      <c r="AF144" s="162">
        <f t="shared" si="10"/>
        <v>0</v>
      </c>
      <c r="AG144" s="48">
        <f t="shared" si="11"/>
        <v>4</v>
      </c>
      <c r="AH144" s="48">
        <f t="shared" si="12"/>
        <v>4</v>
      </c>
      <c r="AI144" s="40">
        <f t="shared" si="9"/>
        <v>45712</v>
      </c>
      <c r="AJ144" s="40"/>
      <c r="AK144" s="40"/>
      <c r="AL144" s="146"/>
    </row>
    <row r="145" spans="1:41" s="150" customFormat="1" ht="17.399999999999999">
      <c r="A145" s="136" t="s">
        <v>18687</v>
      </c>
      <c r="B145" s="136" t="s">
        <v>18136</v>
      </c>
      <c r="C145" s="139" t="s">
        <v>18137</v>
      </c>
      <c r="D145" s="139">
        <v>45664</v>
      </c>
      <c r="E145" s="136" t="s">
        <v>18138</v>
      </c>
      <c r="F145" s="136" t="s">
        <v>33</v>
      </c>
      <c r="G145" s="136" t="s">
        <v>33</v>
      </c>
      <c r="H145" s="136" t="s">
        <v>12020</v>
      </c>
      <c r="I145" s="140" t="s">
        <v>704</v>
      </c>
      <c r="J145" s="141" t="s">
        <v>12021</v>
      </c>
      <c r="K145" s="136" t="s">
        <v>18139</v>
      </c>
      <c r="L145" s="136" t="s">
        <v>60</v>
      </c>
      <c r="M145" s="136">
        <v>5</v>
      </c>
      <c r="N145" s="136" t="s">
        <v>18140</v>
      </c>
      <c r="O145" s="136"/>
      <c r="P145" s="138" t="s">
        <v>5205</v>
      </c>
      <c r="Q145" s="142" t="s">
        <v>627</v>
      </c>
      <c r="R145" s="143">
        <v>45698</v>
      </c>
      <c r="S145" s="136">
        <f t="shared" si="8"/>
        <v>5</v>
      </c>
      <c r="T145" s="143">
        <v>45714</v>
      </c>
      <c r="U145" s="137" t="s">
        <v>18688</v>
      </c>
      <c r="V145" s="137">
        <v>45890</v>
      </c>
      <c r="W145" s="137" t="s">
        <v>18689</v>
      </c>
      <c r="X145" s="138">
        <v>5</v>
      </c>
      <c r="Y145" s="138" t="s">
        <v>18690</v>
      </c>
      <c r="Z145" s="136"/>
      <c r="AA145" s="136"/>
      <c r="AB145" s="136"/>
      <c r="AC145" s="136"/>
      <c r="AD145" s="136"/>
      <c r="AE145" s="136"/>
      <c r="AF145" s="162">
        <f t="shared" si="10"/>
        <v>0</v>
      </c>
      <c r="AG145" s="48">
        <f t="shared" si="11"/>
        <v>5</v>
      </c>
      <c r="AH145" s="48">
        <f t="shared" si="12"/>
        <v>5</v>
      </c>
      <c r="AI145" s="142">
        <f t="shared" si="9"/>
        <v>45712</v>
      </c>
      <c r="AJ145" s="142"/>
      <c r="AK145" s="142"/>
      <c r="AL145" s="136"/>
      <c r="AM145" s="136"/>
      <c r="AN145" s="136"/>
      <c r="AO145" s="136"/>
    </row>
    <row r="146" spans="1:41" ht="17.399999999999999">
      <c r="A146" s="22" t="s">
        <v>18869</v>
      </c>
      <c r="B146" s="22" t="s">
        <v>70</v>
      </c>
      <c r="C146" s="56" t="s">
        <v>18141</v>
      </c>
      <c r="D146" s="56" t="s">
        <v>18142</v>
      </c>
      <c r="E146" s="22" t="s">
        <v>18142</v>
      </c>
      <c r="F146" s="22" t="s">
        <v>33</v>
      </c>
      <c r="G146" s="22" t="s">
        <v>33</v>
      </c>
      <c r="H146" s="22" t="s">
        <v>3427</v>
      </c>
      <c r="I146" s="49" t="s">
        <v>68</v>
      </c>
      <c r="J146" s="50" t="s">
        <v>69</v>
      </c>
      <c r="K146" s="22" t="s">
        <v>70</v>
      </c>
      <c r="L146" s="22" t="s">
        <v>71</v>
      </c>
      <c r="M146" s="22">
        <v>1050</v>
      </c>
      <c r="N146" s="22" t="s">
        <v>18143</v>
      </c>
      <c r="O146" s="22"/>
      <c r="P146" s="46" t="s">
        <v>19055</v>
      </c>
      <c r="Q146" s="40" t="s">
        <v>627</v>
      </c>
      <c r="R146" s="41">
        <v>45699</v>
      </c>
      <c r="S146" s="22">
        <f t="shared" si="8"/>
        <v>1050</v>
      </c>
      <c r="T146" s="41">
        <v>45706</v>
      </c>
      <c r="U146" s="44" t="s">
        <v>571</v>
      </c>
      <c r="V146" s="44" t="s">
        <v>571</v>
      </c>
      <c r="W146" s="44" t="s">
        <v>571</v>
      </c>
      <c r="X146" s="46">
        <v>1050</v>
      </c>
      <c r="Y146" s="46" t="s">
        <v>571</v>
      </c>
      <c r="Z146" s="22"/>
      <c r="AA146" s="22"/>
      <c r="AB146" s="22"/>
      <c r="AC146" s="22">
        <v>45740</v>
      </c>
      <c r="AD146" s="22" t="s">
        <v>18292</v>
      </c>
      <c r="AE146" s="22">
        <v>1050</v>
      </c>
      <c r="AF146" s="162">
        <f t="shared" si="10"/>
        <v>0</v>
      </c>
      <c r="AG146" s="48">
        <f t="shared" si="11"/>
        <v>0</v>
      </c>
      <c r="AH146" s="48">
        <f t="shared" si="12"/>
        <v>0</v>
      </c>
      <c r="AI146" s="40">
        <f t="shared" si="9"/>
        <v>45713</v>
      </c>
      <c r="AJ146" s="40">
        <v>45811</v>
      </c>
      <c r="AK146" s="40"/>
      <c r="AL146" s="146"/>
    </row>
    <row r="147" spans="1:41" ht="13.95" customHeight="1">
      <c r="A147" s="22" t="s">
        <v>18148</v>
      </c>
      <c r="B147" s="22" t="s">
        <v>18149</v>
      </c>
      <c r="C147" s="56" t="s">
        <v>18150</v>
      </c>
      <c r="D147" s="56">
        <v>45581</v>
      </c>
      <c r="E147" s="22" t="s">
        <v>18151</v>
      </c>
      <c r="F147" s="22" t="s">
        <v>33</v>
      </c>
      <c r="G147" s="22" t="s">
        <v>33</v>
      </c>
      <c r="H147" s="22" t="s">
        <v>2588</v>
      </c>
      <c r="I147" s="49" t="s">
        <v>1949</v>
      </c>
      <c r="J147" s="50" t="s">
        <v>6304</v>
      </c>
      <c r="K147" s="22" t="s">
        <v>215</v>
      </c>
      <c r="L147" s="22" t="s">
        <v>60</v>
      </c>
      <c r="M147" s="22">
        <v>12</v>
      </c>
      <c r="N147" s="22" t="s">
        <v>18152</v>
      </c>
      <c r="O147" s="22"/>
      <c r="P147" s="46" t="s">
        <v>685</v>
      </c>
      <c r="Q147" s="40" t="s">
        <v>627</v>
      </c>
      <c r="R147" s="41">
        <v>45700</v>
      </c>
      <c r="S147" s="22">
        <f t="shared" si="8"/>
        <v>12</v>
      </c>
      <c r="T147" s="41">
        <v>45706</v>
      </c>
      <c r="U147" s="44" t="s">
        <v>571</v>
      </c>
      <c r="V147" s="44" t="s">
        <v>571</v>
      </c>
      <c r="W147" s="44" t="s">
        <v>571</v>
      </c>
      <c r="X147" s="46">
        <v>12</v>
      </c>
      <c r="Y147" s="46" t="s">
        <v>571</v>
      </c>
      <c r="Z147" s="22"/>
      <c r="AA147" s="22"/>
      <c r="AB147" s="22"/>
      <c r="AC147" s="22">
        <v>45744</v>
      </c>
      <c r="AD147" s="22" t="s">
        <v>18319</v>
      </c>
      <c r="AE147" s="22">
        <v>12</v>
      </c>
      <c r="AF147" s="162">
        <f t="shared" si="10"/>
        <v>0</v>
      </c>
      <c r="AG147" s="48">
        <f t="shared" si="11"/>
        <v>0</v>
      </c>
      <c r="AH147" s="48">
        <f t="shared" si="12"/>
        <v>0</v>
      </c>
      <c r="AI147" s="40">
        <f t="shared" si="9"/>
        <v>45714</v>
      </c>
      <c r="AJ147" s="40">
        <v>45412</v>
      </c>
      <c r="AK147" s="40"/>
      <c r="AL147" s="22"/>
    </row>
    <row r="148" spans="1:41" ht="17.399999999999999">
      <c r="A148" s="22" t="s">
        <v>18153</v>
      </c>
      <c r="B148" s="22" t="s">
        <v>18119</v>
      </c>
      <c r="C148" s="56">
        <v>45496</v>
      </c>
      <c r="D148" s="56">
        <v>45439</v>
      </c>
      <c r="E148" s="22" t="s">
        <v>18154</v>
      </c>
      <c r="F148" s="22" t="s">
        <v>33</v>
      </c>
      <c r="G148" s="22" t="s">
        <v>33</v>
      </c>
      <c r="H148" s="22" t="s">
        <v>303</v>
      </c>
      <c r="I148" s="49" t="s">
        <v>304</v>
      </c>
      <c r="J148" s="50" t="s">
        <v>305</v>
      </c>
      <c r="K148" s="22" t="s">
        <v>18106</v>
      </c>
      <c r="L148" s="22" t="s">
        <v>60</v>
      </c>
      <c r="M148" s="22">
        <v>1</v>
      </c>
      <c r="N148" s="22" t="s">
        <v>18159</v>
      </c>
      <c r="O148" s="22"/>
      <c r="P148" s="46" t="s">
        <v>685</v>
      </c>
      <c r="Q148" s="40" t="s">
        <v>627</v>
      </c>
      <c r="R148" s="41">
        <v>45700</v>
      </c>
      <c r="S148" s="22">
        <f t="shared" si="8"/>
        <v>1</v>
      </c>
      <c r="T148" s="41">
        <v>45706</v>
      </c>
      <c r="U148" s="44" t="s">
        <v>571</v>
      </c>
      <c r="V148" s="44" t="s">
        <v>571</v>
      </c>
      <c r="W148" s="46" t="s">
        <v>571</v>
      </c>
      <c r="X148" s="46">
        <v>1</v>
      </c>
      <c r="Y148" s="46" t="s">
        <v>571</v>
      </c>
      <c r="Z148" s="22"/>
      <c r="AA148" s="22"/>
      <c r="AB148" s="22"/>
      <c r="AC148" s="22"/>
      <c r="AD148" s="22"/>
      <c r="AE148" s="22"/>
      <c r="AF148" s="162">
        <f t="shared" si="10"/>
        <v>0</v>
      </c>
      <c r="AG148" s="48">
        <f t="shared" si="11"/>
        <v>1</v>
      </c>
      <c r="AH148" s="48">
        <f t="shared" si="12"/>
        <v>1</v>
      </c>
      <c r="AI148" s="40">
        <f t="shared" si="9"/>
        <v>45714</v>
      </c>
      <c r="AJ148" s="40">
        <v>45412</v>
      </c>
      <c r="AK148" s="40"/>
      <c r="AL148" s="22"/>
    </row>
    <row r="149" spans="1:41" ht="17.399999999999999">
      <c r="A149" s="22" t="s">
        <v>18155</v>
      </c>
      <c r="B149" s="22" t="s">
        <v>18156</v>
      </c>
      <c r="C149" s="56">
        <v>45574</v>
      </c>
      <c r="D149" s="56">
        <v>45559</v>
      </c>
      <c r="E149" s="22" t="s">
        <v>18094</v>
      </c>
      <c r="F149" s="22" t="s">
        <v>33</v>
      </c>
      <c r="G149" s="22" t="s">
        <v>33</v>
      </c>
      <c r="H149" s="22" t="s">
        <v>205</v>
      </c>
      <c r="I149" s="49" t="s">
        <v>206</v>
      </c>
      <c r="J149" s="50" t="s">
        <v>207</v>
      </c>
      <c r="K149" s="22" t="s">
        <v>18157</v>
      </c>
      <c r="L149" s="22" t="s">
        <v>60</v>
      </c>
      <c r="M149" s="22">
        <v>2</v>
      </c>
      <c r="N149" s="22" t="s">
        <v>18158</v>
      </c>
      <c r="O149" s="22"/>
      <c r="P149" s="46" t="s">
        <v>685</v>
      </c>
      <c r="Q149" s="40" t="s">
        <v>627</v>
      </c>
      <c r="R149" s="41">
        <v>45700</v>
      </c>
      <c r="S149" s="22">
        <f t="shared" si="8"/>
        <v>2</v>
      </c>
      <c r="T149" s="41">
        <v>45706</v>
      </c>
      <c r="U149" s="44" t="s">
        <v>571</v>
      </c>
      <c r="V149" s="44" t="s">
        <v>571</v>
      </c>
      <c r="W149" s="46" t="s">
        <v>571</v>
      </c>
      <c r="X149" s="46">
        <v>2</v>
      </c>
      <c r="Y149" s="46" t="s">
        <v>571</v>
      </c>
      <c r="Z149" s="151"/>
      <c r="AA149" s="152"/>
      <c r="AB149" s="136"/>
      <c r="AC149" s="22"/>
      <c r="AD149" s="22"/>
      <c r="AE149" s="22"/>
      <c r="AF149" s="162">
        <f t="shared" si="10"/>
        <v>0</v>
      </c>
      <c r="AG149" s="48">
        <f t="shared" si="11"/>
        <v>2</v>
      </c>
      <c r="AH149" s="48">
        <f t="shared" si="12"/>
        <v>2</v>
      </c>
      <c r="AI149" s="40">
        <f t="shared" si="9"/>
        <v>45714</v>
      </c>
      <c r="AJ149" s="40"/>
      <c r="AK149" s="40"/>
      <c r="AL149" s="22"/>
    </row>
    <row r="150" spans="1:41" ht="17.399999999999999">
      <c r="A150" s="22" t="s">
        <v>18168</v>
      </c>
      <c r="B150" s="22" t="s">
        <v>18169</v>
      </c>
      <c r="C150" s="56">
        <v>45701</v>
      </c>
      <c r="D150" s="56">
        <v>45610</v>
      </c>
      <c r="E150" s="22" t="s">
        <v>18170</v>
      </c>
      <c r="F150" s="22" t="s">
        <v>33</v>
      </c>
      <c r="G150" s="22" t="s">
        <v>33</v>
      </c>
      <c r="H150" s="22" t="s">
        <v>12254</v>
      </c>
      <c r="I150" s="49" t="s">
        <v>174</v>
      </c>
      <c r="J150" s="50" t="s">
        <v>12255</v>
      </c>
      <c r="K150" s="22" t="s">
        <v>51</v>
      </c>
      <c r="L150" s="22" t="s">
        <v>60</v>
      </c>
      <c r="M150" s="22">
        <v>1</v>
      </c>
      <c r="N150" s="22" t="s">
        <v>18171</v>
      </c>
      <c r="O150" s="22"/>
      <c r="P150" s="46" t="s">
        <v>683</v>
      </c>
      <c r="Q150" s="40" t="s">
        <v>627</v>
      </c>
      <c r="R150" s="41">
        <v>45712</v>
      </c>
      <c r="S150" s="22">
        <f t="shared" si="8"/>
        <v>1</v>
      </c>
      <c r="T150" s="41">
        <v>45721</v>
      </c>
      <c r="U150" s="44">
        <v>45820</v>
      </c>
      <c r="V150" s="44">
        <v>45832</v>
      </c>
      <c r="W150" s="46" t="s">
        <v>18524</v>
      </c>
      <c r="X150" s="46">
        <v>1</v>
      </c>
      <c r="Y150" s="46" t="s">
        <v>18528</v>
      </c>
      <c r="Z150" s="22"/>
      <c r="AA150" s="22"/>
      <c r="AB150" s="22"/>
      <c r="AC150" s="22"/>
      <c r="AD150" s="22"/>
      <c r="AE150" s="22"/>
      <c r="AF150" s="162">
        <f t="shared" si="10"/>
        <v>0</v>
      </c>
      <c r="AG150" s="48">
        <f t="shared" si="11"/>
        <v>1</v>
      </c>
      <c r="AH150" s="48">
        <f t="shared" si="12"/>
        <v>1</v>
      </c>
      <c r="AI150" s="40">
        <f t="shared" si="9"/>
        <v>45726</v>
      </c>
      <c r="AJ150" s="40"/>
      <c r="AK150" s="40"/>
      <c r="AL150" s="22"/>
    </row>
    <row r="151" spans="1:41" ht="17.399999999999999">
      <c r="A151" s="22" t="s">
        <v>18870</v>
      </c>
      <c r="B151" s="22" t="s">
        <v>346</v>
      </c>
      <c r="C151" s="56">
        <v>45677</v>
      </c>
      <c r="D151" s="56" t="s">
        <v>33</v>
      </c>
      <c r="E151" s="22" t="s">
        <v>33</v>
      </c>
      <c r="F151" s="22" t="s">
        <v>33</v>
      </c>
      <c r="G151" s="22" t="s">
        <v>692</v>
      </c>
      <c r="H151" s="22" t="s">
        <v>354</v>
      </c>
      <c r="I151" s="49" t="s">
        <v>355</v>
      </c>
      <c r="J151" s="50" t="s">
        <v>356</v>
      </c>
      <c r="K151" s="22"/>
      <c r="L151" s="22" t="s">
        <v>52</v>
      </c>
      <c r="M151" s="22">
        <v>53</v>
      </c>
      <c r="N151" s="22" t="s">
        <v>18172</v>
      </c>
      <c r="O151" s="22"/>
      <c r="P151" s="46" t="s">
        <v>18088</v>
      </c>
      <c r="Q151" s="40" t="s">
        <v>627</v>
      </c>
      <c r="R151" s="41">
        <v>45713</v>
      </c>
      <c r="S151" s="22">
        <f t="shared" si="8"/>
        <v>53</v>
      </c>
      <c r="T151" s="41">
        <v>45727</v>
      </c>
      <c r="U151" s="44">
        <v>45722</v>
      </c>
      <c r="V151" s="44">
        <v>45727</v>
      </c>
      <c r="W151" s="46" t="s">
        <v>18248</v>
      </c>
      <c r="X151" s="46">
        <v>53</v>
      </c>
      <c r="Y151" s="46" t="s">
        <v>18260</v>
      </c>
      <c r="Z151" s="22"/>
      <c r="AA151" s="22"/>
      <c r="AB151" s="22"/>
      <c r="AC151" s="22"/>
      <c r="AD151" s="22"/>
      <c r="AE151" s="22"/>
      <c r="AF151" s="162">
        <f t="shared" si="10"/>
        <v>0</v>
      </c>
      <c r="AG151" s="48">
        <f t="shared" si="11"/>
        <v>53</v>
      </c>
      <c r="AH151" s="48">
        <f t="shared" si="12"/>
        <v>53</v>
      </c>
      <c r="AI151" s="40">
        <f t="shared" si="9"/>
        <v>45727</v>
      </c>
      <c r="AJ151" s="40"/>
      <c r="AK151" s="40"/>
      <c r="AL151" s="22"/>
    </row>
    <row r="152" spans="1:41" ht="17.399999999999999">
      <c r="A152" s="22" t="s">
        <v>18173</v>
      </c>
      <c r="B152" s="22" t="s">
        <v>346</v>
      </c>
      <c r="C152" s="56" t="s">
        <v>18174</v>
      </c>
      <c r="D152" s="56" t="s">
        <v>33</v>
      </c>
      <c r="E152" s="22" t="s">
        <v>33</v>
      </c>
      <c r="F152" s="22" t="s">
        <v>33</v>
      </c>
      <c r="G152" s="22" t="s">
        <v>18175</v>
      </c>
      <c r="H152" s="22" t="s">
        <v>351</v>
      </c>
      <c r="I152" s="49" t="s">
        <v>344</v>
      </c>
      <c r="J152" s="50" t="s">
        <v>353</v>
      </c>
      <c r="K152" s="22"/>
      <c r="L152" s="22" t="s">
        <v>60</v>
      </c>
      <c r="M152" s="22">
        <v>23</v>
      </c>
      <c r="N152" s="22" t="s">
        <v>357</v>
      </c>
      <c r="O152" s="22"/>
      <c r="P152" s="46" t="s">
        <v>18088</v>
      </c>
      <c r="Q152" s="40" t="s">
        <v>627</v>
      </c>
      <c r="R152" s="41">
        <v>45713</v>
      </c>
      <c r="S152" s="22">
        <f t="shared" si="8"/>
        <v>23</v>
      </c>
      <c r="T152" s="41">
        <v>45727</v>
      </c>
      <c r="U152" s="44">
        <v>45722</v>
      </c>
      <c r="V152" s="44">
        <v>45727</v>
      </c>
      <c r="W152" s="46" t="s">
        <v>18248</v>
      </c>
      <c r="X152" s="46">
        <v>23</v>
      </c>
      <c r="Y152" s="46" t="s">
        <v>18260</v>
      </c>
      <c r="Z152" s="22"/>
      <c r="AA152" s="22"/>
      <c r="AB152" s="22"/>
      <c r="AC152" s="22"/>
      <c r="AD152" s="22"/>
      <c r="AE152" s="22"/>
      <c r="AF152" s="162">
        <f t="shared" si="10"/>
        <v>0</v>
      </c>
      <c r="AG152" s="48">
        <f t="shared" si="11"/>
        <v>23</v>
      </c>
      <c r="AH152" s="48">
        <f t="shared" si="12"/>
        <v>23</v>
      </c>
      <c r="AI152" s="40">
        <f t="shared" si="9"/>
        <v>45727</v>
      </c>
      <c r="AJ152" s="40"/>
      <c r="AK152" s="40"/>
      <c r="AL152" s="22"/>
    </row>
    <row r="153" spans="1:41" ht="17.399999999999999">
      <c r="A153" s="22" t="s">
        <v>18176</v>
      </c>
      <c r="B153" s="22" t="s">
        <v>346</v>
      </c>
      <c r="C153" s="56" t="s">
        <v>18177</v>
      </c>
      <c r="D153" s="56" t="s">
        <v>33</v>
      </c>
      <c r="E153" s="22" t="s">
        <v>33</v>
      </c>
      <c r="F153" s="22" t="s">
        <v>33</v>
      </c>
      <c r="G153" s="22" t="s">
        <v>33</v>
      </c>
      <c r="H153" s="22" t="s">
        <v>366</v>
      </c>
      <c r="I153" s="49" t="s">
        <v>362</v>
      </c>
      <c r="J153" s="50" t="s">
        <v>367</v>
      </c>
      <c r="K153" s="22"/>
      <c r="L153" s="22" t="s">
        <v>60</v>
      </c>
      <c r="M153" s="22">
        <v>14</v>
      </c>
      <c r="N153" s="22" t="s">
        <v>18178</v>
      </c>
      <c r="O153" s="22"/>
      <c r="P153" s="46" t="s">
        <v>18088</v>
      </c>
      <c r="Q153" s="40" t="s">
        <v>627</v>
      </c>
      <c r="R153" s="41">
        <v>45713</v>
      </c>
      <c r="S153" s="22">
        <f t="shared" si="8"/>
        <v>14</v>
      </c>
      <c r="T153" s="41">
        <v>45727</v>
      </c>
      <c r="U153" s="44">
        <v>45722</v>
      </c>
      <c r="V153" s="44">
        <v>45727</v>
      </c>
      <c r="W153" s="46" t="s">
        <v>18248</v>
      </c>
      <c r="X153" s="46">
        <v>14</v>
      </c>
      <c r="Y153" s="46" t="s">
        <v>18260</v>
      </c>
      <c r="Z153" s="22"/>
      <c r="AA153" s="22"/>
      <c r="AB153" s="22"/>
      <c r="AC153" s="22"/>
      <c r="AD153" s="22"/>
      <c r="AE153" s="22"/>
      <c r="AF153" s="162">
        <f t="shared" si="10"/>
        <v>0</v>
      </c>
      <c r="AG153" s="48">
        <f t="shared" si="11"/>
        <v>14</v>
      </c>
      <c r="AH153" s="48">
        <f t="shared" si="12"/>
        <v>14</v>
      </c>
      <c r="AI153" s="40">
        <f t="shared" si="9"/>
        <v>45727</v>
      </c>
      <c r="AJ153" s="40">
        <v>45734</v>
      </c>
      <c r="AK153" s="40"/>
      <c r="AL153" s="22"/>
    </row>
    <row r="154" spans="1:41" ht="17.399999999999999">
      <c r="A154" s="22" t="s">
        <v>18240</v>
      </c>
      <c r="B154" s="22" t="s">
        <v>18241</v>
      </c>
      <c r="C154" s="56">
        <v>45710</v>
      </c>
      <c r="D154" s="56">
        <v>45650</v>
      </c>
      <c r="E154" s="22" t="s">
        <v>18242</v>
      </c>
      <c r="F154" s="22" t="s">
        <v>33</v>
      </c>
      <c r="G154" s="22" t="s">
        <v>33</v>
      </c>
      <c r="H154" s="22" t="s">
        <v>554</v>
      </c>
      <c r="I154" s="49" t="s">
        <v>555</v>
      </c>
      <c r="J154" s="50" t="s">
        <v>556</v>
      </c>
      <c r="K154" s="22" t="s">
        <v>18243</v>
      </c>
      <c r="L154" s="22" t="s">
        <v>71</v>
      </c>
      <c r="M154" s="22">
        <v>30</v>
      </c>
      <c r="N154" s="22" t="s">
        <v>18244</v>
      </c>
      <c r="O154" s="22"/>
      <c r="P154" s="46" t="s">
        <v>682</v>
      </c>
      <c r="Q154" s="40" t="s">
        <v>627</v>
      </c>
      <c r="R154" s="41">
        <v>45722</v>
      </c>
      <c r="S154" s="22">
        <f t="shared" si="8"/>
        <v>30</v>
      </c>
      <c r="T154" s="41">
        <v>45734</v>
      </c>
      <c r="U154" s="44">
        <v>45728</v>
      </c>
      <c r="V154" s="44">
        <v>45734</v>
      </c>
      <c r="W154" s="46" t="s">
        <v>18275</v>
      </c>
      <c r="X154" s="46">
        <v>30</v>
      </c>
      <c r="Y154" s="46" t="s">
        <v>18276</v>
      </c>
      <c r="Z154" s="22"/>
      <c r="AA154" s="22"/>
      <c r="AB154" s="22"/>
      <c r="AC154" s="22"/>
      <c r="AD154" s="22"/>
      <c r="AE154" s="22"/>
      <c r="AF154" s="162">
        <f t="shared" si="10"/>
        <v>0</v>
      </c>
      <c r="AG154" s="48">
        <f t="shared" si="11"/>
        <v>30</v>
      </c>
      <c r="AH154" s="48">
        <f t="shared" si="12"/>
        <v>30</v>
      </c>
      <c r="AI154" s="40">
        <f t="shared" si="9"/>
        <v>45736</v>
      </c>
      <c r="AJ154" s="40"/>
      <c r="AK154" s="40"/>
      <c r="AL154" s="22"/>
    </row>
    <row r="155" spans="1:41" ht="17.399999999999999">
      <c r="A155" s="22" t="s">
        <v>18245</v>
      </c>
      <c r="B155" s="22" t="s">
        <v>359</v>
      </c>
      <c r="C155" s="56" t="s">
        <v>18246</v>
      </c>
      <c r="D155" s="56" t="s">
        <v>33</v>
      </c>
      <c r="E155" s="22" t="s">
        <v>33</v>
      </c>
      <c r="F155" s="22" t="s">
        <v>33</v>
      </c>
      <c r="G155" s="22" t="s">
        <v>67</v>
      </c>
      <c r="H155" s="22" t="s">
        <v>1477</v>
      </c>
      <c r="I155" s="49" t="s">
        <v>994</v>
      </c>
      <c r="J155" s="50" t="s">
        <v>1478</v>
      </c>
      <c r="K155" s="22" t="s">
        <v>980</v>
      </c>
      <c r="L155" s="22" t="s">
        <v>60</v>
      </c>
      <c r="M155" s="22">
        <v>3</v>
      </c>
      <c r="N155" s="22" t="s">
        <v>18247</v>
      </c>
      <c r="O155" s="22"/>
      <c r="P155" s="46" t="s">
        <v>681</v>
      </c>
      <c r="Q155" s="40" t="s">
        <v>627</v>
      </c>
      <c r="R155" s="41">
        <v>45723</v>
      </c>
      <c r="S155" s="22">
        <f t="shared" si="8"/>
        <v>3</v>
      </c>
      <c r="T155" s="41">
        <v>45841</v>
      </c>
      <c r="U155" s="44">
        <v>45838</v>
      </c>
      <c r="V155" s="44">
        <v>45841</v>
      </c>
      <c r="W155" s="46" t="s">
        <v>18541</v>
      </c>
      <c r="X155" s="46">
        <v>3</v>
      </c>
      <c r="Y155" s="46" t="s">
        <v>18551</v>
      </c>
      <c r="Z155" s="22"/>
      <c r="AA155" s="22"/>
      <c r="AB155" s="22"/>
      <c r="AC155" s="22"/>
      <c r="AD155" s="22"/>
      <c r="AE155" s="22"/>
      <c r="AF155" s="162">
        <f t="shared" si="10"/>
        <v>0</v>
      </c>
      <c r="AG155" s="48">
        <f t="shared" si="11"/>
        <v>3</v>
      </c>
      <c r="AH155" s="48">
        <f t="shared" si="12"/>
        <v>3</v>
      </c>
      <c r="AI155" s="40">
        <f t="shared" si="9"/>
        <v>45737</v>
      </c>
      <c r="AJ155" s="40"/>
      <c r="AK155" s="40"/>
      <c r="AL155" s="22"/>
    </row>
    <row r="156" spans="1:41" ht="17.399999999999999">
      <c r="A156" s="22" t="s">
        <v>18262</v>
      </c>
      <c r="B156" s="22" t="s">
        <v>287</v>
      </c>
      <c r="C156" s="56">
        <v>45729</v>
      </c>
      <c r="D156" s="56">
        <v>45608</v>
      </c>
      <c r="E156" s="22" t="s">
        <v>18263</v>
      </c>
      <c r="F156" s="22" t="s">
        <v>33</v>
      </c>
      <c r="G156" s="22" t="s">
        <v>33</v>
      </c>
      <c r="H156" s="22" t="s">
        <v>5383</v>
      </c>
      <c r="I156" s="49" t="s">
        <v>818</v>
      </c>
      <c r="J156" s="50" t="s">
        <v>5384</v>
      </c>
      <c r="K156" s="22" t="s">
        <v>51</v>
      </c>
      <c r="L156" s="22" t="s">
        <v>60</v>
      </c>
      <c r="M156" s="22">
        <v>79</v>
      </c>
      <c r="N156" s="22" t="s">
        <v>18264</v>
      </c>
      <c r="O156" s="22"/>
      <c r="P156" s="46" t="s">
        <v>685</v>
      </c>
      <c r="Q156" s="40" t="s">
        <v>627</v>
      </c>
      <c r="R156" s="41">
        <v>45729</v>
      </c>
      <c r="S156" s="22">
        <f t="shared" si="8"/>
        <v>79</v>
      </c>
      <c r="T156" s="41">
        <v>45748</v>
      </c>
      <c r="U156" s="44">
        <v>45740</v>
      </c>
      <c r="V156" s="44">
        <v>45748</v>
      </c>
      <c r="W156" s="46" t="s">
        <v>18321</v>
      </c>
      <c r="X156" s="46">
        <v>79</v>
      </c>
      <c r="Y156" s="47" t="s">
        <v>18324</v>
      </c>
      <c r="Z156" s="22">
        <v>45776</v>
      </c>
      <c r="AA156" s="22" t="s">
        <v>18568</v>
      </c>
      <c r="AB156" s="22">
        <v>79</v>
      </c>
      <c r="AC156" s="22"/>
      <c r="AD156" s="22"/>
      <c r="AE156" s="22"/>
      <c r="AF156" s="162">
        <f t="shared" si="10"/>
        <v>0</v>
      </c>
      <c r="AG156" s="48">
        <f t="shared" si="11"/>
        <v>0</v>
      </c>
      <c r="AH156" s="48">
        <f t="shared" si="12"/>
        <v>0</v>
      </c>
      <c r="AI156" s="40">
        <f t="shared" si="9"/>
        <v>45743</v>
      </c>
      <c r="AJ156" s="40"/>
      <c r="AK156" s="40"/>
      <c r="AL156" s="22"/>
    </row>
    <row r="157" spans="1:41" ht="17.399999999999999">
      <c r="A157" s="22" t="s">
        <v>18267</v>
      </c>
      <c r="B157" s="22" t="s">
        <v>18268</v>
      </c>
      <c r="C157" s="56">
        <v>45713</v>
      </c>
      <c r="D157" s="56">
        <v>45622</v>
      </c>
      <c r="E157" s="22" t="s">
        <v>18269</v>
      </c>
      <c r="F157" s="22" t="s">
        <v>33</v>
      </c>
      <c r="G157" s="22" t="s">
        <v>33</v>
      </c>
      <c r="H157" s="22">
        <v>812</v>
      </c>
      <c r="I157" s="49" t="s">
        <v>843</v>
      </c>
      <c r="J157" s="50" t="s">
        <v>1466</v>
      </c>
      <c r="K157" s="22" t="s">
        <v>846</v>
      </c>
      <c r="L157" s="22" t="s">
        <v>60</v>
      </c>
      <c r="M157" s="22">
        <v>1</v>
      </c>
      <c r="N157" s="22" t="s">
        <v>18270</v>
      </c>
      <c r="O157" s="22"/>
      <c r="P157" s="46" t="s">
        <v>19055</v>
      </c>
      <c r="Q157" s="40" t="s">
        <v>627</v>
      </c>
      <c r="R157" s="41">
        <v>45729</v>
      </c>
      <c r="S157" s="22">
        <f t="shared" si="8"/>
        <v>1</v>
      </c>
      <c r="T157" s="41">
        <v>45748</v>
      </c>
      <c r="U157" s="44">
        <v>45740</v>
      </c>
      <c r="V157" s="44">
        <v>45748</v>
      </c>
      <c r="W157" s="46" t="s">
        <v>18320</v>
      </c>
      <c r="X157" s="46">
        <v>1</v>
      </c>
      <c r="Y157" s="46" t="s">
        <v>18325</v>
      </c>
      <c r="Z157" s="22">
        <v>45824</v>
      </c>
      <c r="AA157" s="22" t="s">
        <v>18871</v>
      </c>
      <c r="AB157" s="22">
        <v>1</v>
      </c>
      <c r="AC157" s="22"/>
      <c r="AD157" s="22"/>
      <c r="AE157" s="22"/>
      <c r="AF157" s="162">
        <f t="shared" si="10"/>
        <v>0</v>
      </c>
      <c r="AG157" s="48">
        <f t="shared" si="11"/>
        <v>0</v>
      </c>
      <c r="AH157" s="48">
        <f t="shared" si="12"/>
        <v>0</v>
      </c>
      <c r="AI157" s="40">
        <f t="shared" si="9"/>
        <v>45743</v>
      </c>
      <c r="AJ157" s="40">
        <v>45947</v>
      </c>
      <c r="AK157" s="40"/>
      <c r="AL157" s="22"/>
    </row>
    <row r="158" spans="1:41" ht="17.399999999999999">
      <c r="A158" s="22" t="s">
        <v>18366</v>
      </c>
      <c r="B158" s="22" t="s">
        <v>18271</v>
      </c>
      <c r="C158" s="56">
        <v>45727</v>
      </c>
      <c r="D158" s="56" t="s">
        <v>18388</v>
      </c>
      <c r="E158" s="22" t="s">
        <v>18312</v>
      </c>
      <c r="F158" s="22" t="s">
        <v>33</v>
      </c>
      <c r="G158" s="22" t="s">
        <v>33</v>
      </c>
      <c r="H158" s="22" t="s">
        <v>744</v>
      </c>
      <c r="I158" s="49" t="s">
        <v>745</v>
      </c>
      <c r="J158" s="50" t="s">
        <v>746</v>
      </c>
      <c r="K158" s="22" t="s">
        <v>632</v>
      </c>
      <c r="L158" s="22" t="s">
        <v>60</v>
      </c>
      <c r="M158" s="22">
        <v>5</v>
      </c>
      <c r="N158" s="22" t="s">
        <v>18389</v>
      </c>
      <c r="O158" s="22"/>
      <c r="P158" s="46" t="s">
        <v>19055</v>
      </c>
      <c r="Q158" s="40" t="s">
        <v>627</v>
      </c>
      <c r="R158" s="41">
        <v>45729</v>
      </c>
      <c r="S158" s="22">
        <f t="shared" si="8"/>
        <v>5</v>
      </c>
      <c r="T158" s="41">
        <v>45758</v>
      </c>
      <c r="U158" s="44">
        <v>45737</v>
      </c>
      <c r="V158" s="44">
        <v>45748</v>
      </c>
      <c r="W158" s="46" t="s">
        <v>18320</v>
      </c>
      <c r="X158" s="46">
        <v>5</v>
      </c>
      <c r="Y158" s="46" t="s">
        <v>18326</v>
      </c>
      <c r="Z158" s="22">
        <v>45852</v>
      </c>
      <c r="AA158" s="22" t="s">
        <v>18589</v>
      </c>
      <c r="AB158" s="22">
        <v>5</v>
      </c>
      <c r="AC158" s="22"/>
      <c r="AD158" s="22"/>
      <c r="AE158" s="22"/>
      <c r="AF158" s="162">
        <f t="shared" si="10"/>
        <v>0</v>
      </c>
      <c r="AG158" s="48">
        <f t="shared" si="11"/>
        <v>0</v>
      </c>
      <c r="AH158" s="48">
        <f t="shared" si="12"/>
        <v>0</v>
      </c>
      <c r="AI158" s="40">
        <f t="shared" si="9"/>
        <v>45743</v>
      </c>
      <c r="AJ158" s="40">
        <v>45947</v>
      </c>
      <c r="AK158" s="40"/>
      <c r="AL158" s="22"/>
    </row>
    <row r="159" spans="1:41" ht="17.399999999999999">
      <c r="A159" s="22" t="s">
        <v>18272</v>
      </c>
      <c r="B159" s="22" t="s">
        <v>18273</v>
      </c>
      <c r="C159" s="56">
        <v>45727</v>
      </c>
      <c r="D159" s="56" t="s">
        <v>18306</v>
      </c>
      <c r="E159" s="22" t="s">
        <v>18307</v>
      </c>
      <c r="F159" s="22" t="s">
        <v>33</v>
      </c>
      <c r="G159" s="22" t="s">
        <v>33</v>
      </c>
      <c r="H159" s="22" t="s">
        <v>629</v>
      </c>
      <c r="I159" s="49" t="s">
        <v>630</v>
      </c>
      <c r="J159" s="50" t="s">
        <v>631</v>
      </c>
      <c r="K159" s="22" t="s">
        <v>632</v>
      </c>
      <c r="L159" s="22" t="s">
        <v>60</v>
      </c>
      <c r="M159" s="22">
        <v>3</v>
      </c>
      <c r="N159" s="22" t="s">
        <v>18274</v>
      </c>
      <c r="O159" s="22"/>
      <c r="P159" s="46" t="s">
        <v>19055</v>
      </c>
      <c r="Q159" s="40" t="s">
        <v>627</v>
      </c>
      <c r="R159" s="41">
        <v>45729</v>
      </c>
      <c r="S159" s="22">
        <f t="shared" si="8"/>
        <v>3</v>
      </c>
      <c r="T159" s="41">
        <v>45748</v>
      </c>
      <c r="U159" s="44">
        <v>45737</v>
      </c>
      <c r="V159" s="44">
        <v>45748</v>
      </c>
      <c r="W159" s="46" t="s">
        <v>18320</v>
      </c>
      <c r="X159" s="46">
        <v>3</v>
      </c>
      <c r="Y159" s="46" t="s">
        <v>18326</v>
      </c>
      <c r="Z159" s="22"/>
      <c r="AA159" s="22"/>
      <c r="AB159" s="22"/>
      <c r="AC159" s="22">
        <v>45945</v>
      </c>
      <c r="AD159" s="22" t="s">
        <v>18868</v>
      </c>
      <c r="AE159" s="22">
        <v>3</v>
      </c>
      <c r="AF159" s="162">
        <f t="shared" si="10"/>
        <v>0</v>
      </c>
      <c r="AG159" s="48">
        <f t="shared" si="11"/>
        <v>0</v>
      </c>
      <c r="AH159" s="48">
        <f t="shared" si="12"/>
        <v>0</v>
      </c>
      <c r="AI159" s="40">
        <f t="shared" si="9"/>
        <v>45743</v>
      </c>
      <c r="AJ159" s="40">
        <v>45868</v>
      </c>
      <c r="AK159" s="40"/>
      <c r="AL159" s="22"/>
    </row>
    <row r="160" spans="1:41" ht="17.399999999999999">
      <c r="A160" s="22" t="s">
        <v>18277</v>
      </c>
      <c r="B160" s="22" t="s">
        <v>18119</v>
      </c>
      <c r="C160" s="56">
        <v>45693</v>
      </c>
      <c r="D160" s="56">
        <v>45646</v>
      </c>
      <c r="E160" s="22" t="s">
        <v>18278</v>
      </c>
      <c r="F160" s="22" t="s">
        <v>33</v>
      </c>
      <c r="G160" s="22" t="s">
        <v>33</v>
      </c>
      <c r="H160" s="22" t="s">
        <v>303</v>
      </c>
      <c r="I160" s="49" t="s">
        <v>304</v>
      </c>
      <c r="J160" s="50" t="s">
        <v>305</v>
      </c>
      <c r="K160" s="22" t="s">
        <v>18106</v>
      </c>
      <c r="L160" s="22" t="s">
        <v>60</v>
      </c>
      <c r="M160" s="22">
        <v>1</v>
      </c>
      <c r="N160" s="22" t="s">
        <v>18279</v>
      </c>
      <c r="O160" s="22"/>
      <c r="P160" s="46" t="s">
        <v>685</v>
      </c>
      <c r="Q160" s="40" t="s">
        <v>627</v>
      </c>
      <c r="R160" s="41">
        <v>45733</v>
      </c>
      <c r="S160" s="22">
        <f t="shared" si="8"/>
        <v>1</v>
      </c>
      <c r="T160" s="41">
        <v>45748</v>
      </c>
      <c r="U160" s="44" t="s">
        <v>571</v>
      </c>
      <c r="V160" s="44" t="s">
        <v>571</v>
      </c>
      <c r="W160" s="46" t="s">
        <v>571</v>
      </c>
      <c r="X160" s="46">
        <v>1</v>
      </c>
      <c r="Y160" s="44" t="s">
        <v>571</v>
      </c>
      <c r="Z160" s="22"/>
      <c r="AA160" s="22"/>
      <c r="AB160" s="22"/>
      <c r="AC160" s="58"/>
      <c r="AD160" s="22"/>
      <c r="AE160" s="22"/>
      <c r="AF160" s="162">
        <f t="shared" si="10"/>
        <v>0</v>
      </c>
      <c r="AG160" s="48">
        <f t="shared" si="11"/>
        <v>1</v>
      </c>
      <c r="AH160" s="48">
        <f t="shared" si="12"/>
        <v>1</v>
      </c>
      <c r="AI160" s="40">
        <f t="shared" si="9"/>
        <v>45747</v>
      </c>
      <c r="AJ160" s="40"/>
      <c r="AK160" s="40"/>
      <c r="AL160" s="22"/>
    </row>
    <row r="161" spans="1:41" ht="17.399999999999999">
      <c r="A161" s="22" t="s">
        <v>18280</v>
      </c>
      <c r="B161" s="22" t="s">
        <v>70</v>
      </c>
      <c r="C161" s="56" t="s">
        <v>18246</v>
      </c>
      <c r="D161" s="56" t="s">
        <v>18142</v>
      </c>
      <c r="E161" s="22" t="s">
        <v>18142</v>
      </c>
      <c r="F161" s="22" t="s">
        <v>33</v>
      </c>
      <c r="G161" s="22" t="s">
        <v>33</v>
      </c>
      <c r="H161" s="22" t="s">
        <v>3427</v>
      </c>
      <c r="I161" s="49" t="s">
        <v>68</v>
      </c>
      <c r="J161" s="50" t="s">
        <v>69</v>
      </c>
      <c r="K161" s="22" t="s">
        <v>70</v>
      </c>
      <c r="L161" s="22" t="s">
        <v>71</v>
      </c>
      <c r="M161" s="22">
        <v>227.5</v>
      </c>
      <c r="N161" s="22" t="s">
        <v>18281</v>
      </c>
      <c r="O161" s="22"/>
      <c r="P161" s="46" t="s">
        <v>19055</v>
      </c>
      <c r="Q161" s="40" t="s">
        <v>627</v>
      </c>
      <c r="R161" s="41">
        <v>45734</v>
      </c>
      <c r="S161" s="22">
        <f t="shared" si="8"/>
        <v>227.5</v>
      </c>
      <c r="T161" s="41">
        <v>45748</v>
      </c>
      <c r="U161" s="44" t="s">
        <v>571</v>
      </c>
      <c r="V161" s="44" t="s">
        <v>571</v>
      </c>
      <c r="W161" s="46" t="s">
        <v>571</v>
      </c>
      <c r="X161" s="46">
        <v>227.5</v>
      </c>
      <c r="Y161" s="44" t="s">
        <v>571</v>
      </c>
      <c r="Z161" s="22"/>
      <c r="AA161" s="22"/>
      <c r="AB161" s="22"/>
      <c r="AC161" s="58">
        <v>45945</v>
      </c>
      <c r="AD161" s="22" t="s">
        <v>18868</v>
      </c>
      <c r="AE161" s="22">
        <v>227.5</v>
      </c>
      <c r="AF161" s="162">
        <f t="shared" si="10"/>
        <v>0</v>
      </c>
      <c r="AG161" s="48">
        <f t="shared" si="11"/>
        <v>0</v>
      </c>
      <c r="AH161" s="48">
        <f t="shared" si="12"/>
        <v>0</v>
      </c>
      <c r="AI161" s="40">
        <f t="shared" si="9"/>
        <v>45748</v>
      </c>
      <c r="AJ161" s="40">
        <v>45812</v>
      </c>
      <c r="AK161" s="40"/>
      <c r="AL161" s="22"/>
    </row>
    <row r="162" spans="1:41" s="163" customFormat="1" ht="17.399999999999999">
      <c r="A162" s="22" t="s">
        <v>18282</v>
      </c>
      <c r="B162" s="22" t="s">
        <v>18283</v>
      </c>
      <c r="C162" s="56" t="s">
        <v>18284</v>
      </c>
      <c r="D162" s="56">
        <v>45468</v>
      </c>
      <c r="E162" s="22" t="s">
        <v>18285</v>
      </c>
      <c r="F162" s="22" t="s">
        <v>33</v>
      </c>
      <c r="G162" s="22" t="s">
        <v>33</v>
      </c>
      <c r="H162" s="22" t="s">
        <v>439</v>
      </c>
      <c r="I162" s="49" t="s">
        <v>440</v>
      </c>
      <c r="J162" s="50" t="s">
        <v>464</v>
      </c>
      <c r="K162" s="22" t="s">
        <v>215</v>
      </c>
      <c r="L162" s="22" t="s">
        <v>60</v>
      </c>
      <c r="M162" s="22">
        <v>2</v>
      </c>
      <c r="N162" s="22" t="s">
        <v>18286</v>
      </c>
      <c r="O162" s="22"/>
      <c r="P162" s="46" t="s">
        <v>680</v>
      </c>
      <c r="Q162" s="160" t="s">
        <v>728</v>
      </c>
      <c r="R162" s="161">
        <v>45733</v>
      </c>
      <c r="S162" s="157">
        <f t="shared" si="8"/>
        <v>2</v>
      </c>
      <c r="T162" s="161">
        <v>45776</v>
      </c>
      <c r="U162" s="164">
        <v>45883</v>
      </c>
      <c r="V162" s="164">
        <v>45890</v>
      </c>
      <c r="W162" s="159" t="s">
        <v>18691</v>
      </c>
      <c r="X162" s="159">
        <v>2</v>
      </c>
      <c r="Y162" s="159" t="s">
        <v>18692</v>
      </c>
      <c r="Z162" s="158">
        <v>45999</v>
      </c>
      <c r="AA162" s="167" t="s">
        <v>18997</v>
      </c>
      <c r="AB162" s="157">
        <v>2</v>
      </c>
      <c r="AC162" s="157"/>
      <c r="AD162" s="157"/>
      <c r="AE162" s="157"/>
      <c r="AF162" s="162">
        <f t="shared" si="10"/>
        <v>0</v>
      </c>
      <c r="AG162" s="162">
        <f t="shared" si="11"/>
        <v>0</v>
      </c>
      <c r="AH162" s="162">
        <f t="shared" si="12"/>
        <v>0</v>
      </c>
      <c r="AI162" s="160">
        <f t="shared" si="9"/>
        <v>45747</v>
      </c>
      <c r="AJ162" s="160"/>
      <c r="AK162" s="160"/>
      <c r="AL162" s="157"/>
      <c r="AM162" s="157"/>
      <c r="AN162" s="157"/>
      <c r="AO162" s="157"/>
    </row>
    <row r="163" spans="1:41" ht="17.399999999999999">
      <c r="A163" s="22" t="s">
        <v>18288</v>
      </c>
      <c r="B163" s="22" t="s">
        <v>18289</v>
      </c>
      <c r="C163" s="56">
        <v>45733</v>
      </c>
      <c r="D163" s="56">
        <v>45719</v>
      </c>
      <c r="E163" s="22" t="s">
        <v>18290</v>
      </c>
      <c r="F163" s="22" t="s">
        <v>33</v>
      </c>
      <c r="G163" s="22" t="s">
        <v>33</v>
      </c>
      <c r="H163" s="22">
        <v>824</v>
      </c>
      <c r="I163" s="49" t="s">
        <v>1472</v>
      </c>
      <c r="J163" s="50" t="s">
        <v>1504</v>
      </c>
      <c r="K163" s="22" t="s">
        <v>846</v>
      </c>
      <c r="L163" s="22" t="s">
        <v>60</v>
      </c>
      <c r="M163" s="22">
        <v>1</v>
      </c>
      <c r="N163" s="22" t="s">
        <v>18291</v>
      </c>
      <c r="O163" s="22"/>
      <c r="P163" s="46" t="s">
        <v>19055</v>
      </c>
      <c r="Q163" s="40" t="s">
        <v>627</v>
      </c>
      <c r="R163" s="41">
        <v>45740</v>
      </c>
      <c r="S163" s="22">
        <f t="shared" si="8"/>
        <v>1</v>
      </c>
      <c r="T163" s="41">
        <v>45756</v>
      </c>
      <c r="U163" s="44">
        <v>45748</v>
      </c>
      <c r="V163" s="44">
        <v>45755</v>
      </c>
      <c r="W163" s="46" t="s">
        <v>18337</v>
      </c>
      <c r="X163" s="46">
        <v>1</v>
      </c>
      <c r="Y163" s="46" t="s">
        <v>18356</v>
      </c>
      <c r="Z163" s="22">
        <v>45824</v>
      </c>
      <c r="AA163" s="22" t="s">
        <v>18871</v>
      </c>
      <c r="AB163" s="22">
        <v>1</v>
      </c>
      <c r="AC163" s="22"/>
      <c r="AD163" s="22"/>
      <c r="AE163" s="22"/>
      <c r="AF163" s="162">
        <f t="shared" si="10"/>
        <v>0</v>
      </c>
      <c r="AG163" s="48">
        <f t="shared" si="11"/>
        <v>0</v>
      </c>
      <c r="AH163" s="48">
        <f t="shared" si="12"/>
        <v>0</v>
      </c>
      <c r="AI163" s="40">
        <v>45762</v>
      </c>
      <c r="AJ163" s="40">
        <v>45947</v>
      </c>
      <c r="AK163" s="40"/>
      <c r="AL163" s="146"/>
    </row>
    <row r="164" spans="1:41" s="163" customFormat="1" ht="17.399999999999999">
      <c r="A164" s="22" t="s">
        <v>18293</v>
      </c>
      <c r="B164" s="22" t="s">
        <v>50</v>
      </c>
      <c r="C164" s="56" t="s">
        <v>18294</v>
      </c>
      <c r="D164" s="56">
        <v>45468</v>
      </c>
      <c r="E164" s="22" t="s">
        <v>18285</v>
      </c>
      <c r="F164" s="22">
        <v>1000</v>
      </c>
      <c r="G164" s="22" t="s">
        <v>18295</v>
      </c>
      <c r="H164" s="22" t="s">
        <v>439</v>
      </c>
      <c r="I164" s="49" t="s">
        <v>440</v>
      </c>
      <c r="J164" s="50" t="s">
        <v>464</v>
      </c>
      <c r="K164" s="22" t="s">
        <v>493</v>
      </c>
      <c r="L164" s="22" t="s">
        <v>60</v>
      </c>
      <c r="M164" s="22">
        <v>3</v>
      </c>
      <c r="N164" s="22" t="s">
        <v>18296</v>
      </c>
      <c r="O164" s="22"/>
      <c r="P164" s="46" t="s">
        <v>680</v>
      </c>
      <c r="Q164" s="160" t="s">
        <v>728</v>
      </c>
      <c r="R164" s="161">
        <v>45742</v>
      </c>
      <c r="S164" s="157">
        <f t="shared" si="8"/>
        <v>3</v>
      </c>
      <c r="T164" s="161">
        <v>45776</v>
      </c>
      <c r="U164" s="164">
        <v>45883</v>
      </c>
      <c r="V164" s="164">
        <v>45890</v>
      </c>
      <c r="W164" s="159" t="s">
        <v>18691</v>
      </c>
      <c r="X164" s="159">
        <v>3</v>
      </c>
      <c r="Y164" s="159" t="s">
        <v>18692</v>
      </c>
      <c r="Z164" s="158">
        <v>45999</v>
      </c>
      <c r="AA164" s="157" t="s">
        <v>18995</v>
      </c>
      <c r="AB164" s="157">
        <v>3</v>
      </c>
      <c r="AC164" s="157"/>
      <c r="AD164" s="157"/>
      <c r="AE164" s="157"/>
      <c r="AF164" s="162">
        <f t="shared" si="10"/>
        <v>0</v>
      </c>
      <c r="AG164" s="162">
        <f t="shared" si="11"/>
        <v>0</v>
      </c>
      <c r="AH164" s="162">
        <f t="shared" si="12"/>
        <v>0</v>
      </c>
      <c r="AI164" s="160">
        <f>IF(A164="","",R164+14)</f>
        <v>45756</v>
      </c>
      <c r="AJ164" s="160"/>
      <c r="AK164" s="160"/>
      <c r="AL164" s="166"/>
      <c r="AM164" s="157"/>
      <c r="AN164" s="157"/>
      <c r="AO164" s="157"/>
    </row>
    <row r="165" spans="1:41" ht="17.399999999999999">
      <c r="A165" s="22" t="s">
        <v>18297</v>
      </c>
      <c r="B165" s="22" t="s">
        <v>18298</v>
      </c>
      <c r="C165" s="56" t="s">
        <v>18299</v>
      </c>
      <c r="D165" s="56">
        <v>45608</v>
      </c>
      <c r="E165" s="22" t="s">
        <v>18300</v>
      </c>
      <c r="F165" s="22" t="s">
        <v>33</v>
      </c>
      <c r="G165" s="22" t="s">
        <v>33</v>
      </c>
      <c r="H165" s="22" t="s">
        <v>4952</v>
      </c>
      <c r="I165" s="49" t="s">
        <v>57</v>
      </c>
      <c r="J165" s="50" t="s">
        <v>58</v>
      </c>
      <c r="K165" s="22" t="s">
        <v>59</v>
      </c>
      <c r="L165" s="22" t="s">
        <v>60</v>
      </c>
      <c r="M165" s="22">
        <v>2</v>
      </c>
      <c r="N165" s="22" t="s">
        <v>18301</v>
      </c>
      <c r="O165" s="22"/>
      <c r="P165" s="46" t="s">
        <v>19055</v>
      </c>
      <c r="Q165" s="40" t="s">
        <v>627</v>
      </c>
      <c r="R165" s="41">
        <v>45742</v>
      </c>
      <c r="S165" s="22">
        <f t="shared" si="8"/>
        <v>2</v>
      </c>
      <c r="T165" s="41">
        <v>45756</v>
      </c>
      <c r="U165" s="44">
        <v>46844</v>
      </c>
      <c r="V165" s="44">
        <v>45755</v>
      </c>
      <c r="W165" s="44" t="s">
        <v>18337</v>
      </c>
      <c r="X165" s="46">
        <v>2</v>
      </c>
      <c r="Y165" s="46" t="s">
        <v>18356</v>
      </c>
      <c r="Z165" s="22"/>
      <c r="AA165" s="22"/>
      <c r="AB165" s="22"/>
      <c r="AC165" s="22">
        <v>45945</v>
      </c>
      <c r="AD165" s="22" t="s">
        <v>18868</v>
      </c>
      <c r="AE165" s="22">
        <v>2</v>
      </c>
      <c r="AF165" s="162">
        <f t="shared" si="10"/>
        <v>0</v>
      </c>
      <c r="AG165" s="48">
        <f t="shared" si="11"/>
        <v>0</v>
      </c>
      <c r="AH165" s="48">
        <f t="shared" si="12"/>
        <v>0</v>
      </c>
      <c r="AI165" s="40">
        <f>IF(A165="","",R165+14)</f>
        <v>45756</v>
      </c>
      <c r="AJ165" s="40">
        <v>45806</v>
      </c>
      <c r="AK165" s="40"/>
      <c r="AL165" s="146"/>
    </row>
    <row r="166" spans="1:41" ht="17.399999999999999">
      <c r="A166" s="22" t="s">
        <v>18302</v>
      </c>
      <c r="B166" s="22" t="s">
        <v>18303</v>
      </c>
      <c r="C166" s="56" t="s">
        <v>18304</v>
      </c>
      <c r="D166" s="56">
        <v>45608</v>
      </c>
      <c r="E166" s="22" t="s">
        <v>18300</v>
      </c>
      <c r="F166" s="22" t="s">
        <v>33</v>
      </c>
      <c r="G166" s="22" t="s">
        <v>33</v>
      </c>
      <c r="H166" s="22" t="s">
        <v>4931</v>
      </c>
      <c r="I166" s="49" t="s">
        <v>4075</v>
      </c>
      <c r="J166" s="50" t="s">
        <v>6530</v>
      </c>
      <c r="K166" s="22" t="s">
        <v>59</v>
      </c>
      <c r="L166" s="22" t="s">
        <v>60</v>
      </c>
      <c r="M166" s="22">
        <v>6</v>
      </c>
      <c r="N166" s="22" t="s">
        <v>18305</v>
      </c>
      <c r="O166" s="22"/>
      <c r="P166" s="46" t="s">
        <v>19055</v>
      </c>
      <c r="Q166" s="40" t="s">
        <v>627</v>
      </c>
      <c r="R166" s="41">
        <v>45742</v>
      </c>
      <c r="S166" s="22">
        <f t="shared" si="8"/>
        <v>6</v>
      </c>
      <c r="T166" s="41">
        <v>45756</v>
      </c>
      <c r="U166" s="44">
        <v>46844</v>
      </c>
      <c r="V166" s="44">
        <v>45755</v>
      </c>
      <c r="W166" s="46" t="s">
        <v>18337</v>
      </c>
      <c r="X166" s="46">
        <v>6</v>
      </c>
      <c r="Y166" s="46" t="s">
        <v>18356</v>
      </c>
      <c r="Z166" s="22"/>
      <c r="AA166" s="22"/>
      <c r="AB166" s="22"/>
      <c r="AC166" s="22">
        <v>45945</v>
      </c>
      <c r="AD166" s="22" t="s">
        <v>18868</v>
      </c>
      <c r="AE166" s="22">
        <v>6</v>
      </c>
      <c r="AF166" s="162">
        <f t="shared" si="10"/>
        <v>0</v>
      </c>
      <c r="AG166" s="48">
        <f t="shared" si="11"/>
        <v>0</v>
      </c>
      <c r="AH166" s="48">
        <f t="shared" si="12"/>
        <v>0</v>
      </c>
      <c r="AI166" s="40">
        <f>IF(A166="","",R166+14)</f>
        <v>45756</v>
      </c>
      <c r="AJ166" s="40">
        <v>45804</v>
      </c>
      <c r="AK166" s="40"/>
      <c r="AL166" s="22"/>
    </row>
    <row r="167" spans="1:41" ht="17.399999999999999">
      <c r="A167" s="22" t="s">
        <v>18327</v>
      </c>
      <c r="B167" s="22" t="s">
        <v>50</v>
      </c>
      <c r="C167" s="56">
        <v>45728</v>
      </c>
      <c r="D167" s="56">
        <v>45727</v>
      </c>
      <c r="E167" s="22" t="s">
        <v>18328</v>
      </c>
      <c r="F167" s="22">
        <v>350</v>
      </c>
      <c r="G167" s="22" t="s">
        <v>726</v>
      </c>
      <c r="H167" s="22" t="s">
        <v>82</v>
      </c>
      <c r="I167" s="49" t="s">
        <v>83</v>
      </c>
      <c r="J167" s="50" t="s">
        <v>84</v>
      </c>
      <c r="K167" s="22" t="s">
        <v>18329</v>
      </c>
      <c r="L167" s="22" t="s">
        <v>60</v>
      </c>
      <c r="M167" s="22">
        <v>36</v>
      </c>
      <c r="N167" s="22" t="s">
        <v>18330</v>
      </c>
      <c r="O167" s="22"/>
      <c r="P167" s="46" t="s">
        <v>19054</v>
      </c>
      <c r="Q167" s="40" t="s">
        <v>728</v>
      </c>
      <c r="R167" s="41">
        <v>45748</v>
      </c>
      <c r="S167" s="22">
        <f t="shared" si="8"/>
        <v>36</v>
      </c>
      <c r="T167" s="41">
        <v>45771</v>
      </c>
      <c r="U167" s="44">
        <v>45758</v>
      </c>
      <c r="V167" s="44">
        <v>45771</v>
      </c>
      <c r="W167" s="44" t="s">
        <v>18395</v>
      </c>
      <c r="X167" s="46">
        <v>36</v>
      </c>
      <c r="Y167" s="46" t="s">
        <v>18396</v>
      </c>
      <c r="Z167" s="22"/>
      <c r="AA167" s="22"/>
      <c r="AB167" s="22"/>
      <c r="AC167" s="22"/>
      <c r="AD167" s="22"/>
      <c r="AE167" s="22"/>
      <c r="AF167" s="162">
        <f t="shared" si="10"/>
        <v>0</v>
      </c>
      <c r="AG167" s="48">
        <f t="shared" si="11"/>
        <v>36</v>
      </c>
      <c r="AH167" s="48">
        <f t="shared" si="12"/>
        <v>36</v>
      </c>
      <c r="AI167" s="40">
        <f>IF(A167="","",R167+14)</f>
        <v>45762</v>
      </c>
      <c r="AJ167" s="40"/>
      <c r="AK167" s="40"/>
      <c r="AL167" s="146"/>
    </row>
    <row r="168" spans="1:41" s="163" customFormat="1" ht="17.399999999999999">
      <c r="A168" s="22" t="s">
        <v>18331</v>
      </c>
      <c r="B168" s="22" t="s">
        <v>18332</v>
      </c>
      <c r="C168" s="56" t="s">
        <v>18333</v>
      </c>
      <c r="D168" s="56" t="s">
        <v>18334</v>
      </c>
      <c r="E168" s="22" t="s">
        <v>18335</v>
      </c>
      <c r="F168" s="22">
        <v>573</v>
      </c>
      <c r="G168" s="22" t="s">
        <v>33</v>
      </c>
      <c r="H168" s="22" t="s">
        <v>439</v>
      </c>
      <c r="I168" s="49" t="s">
        <v>440</v>
      </c>
      <c r="J168" s="50" t="s">
        <v>464</v>
      </c>
      <c r="K168" s="22" t="s">
        <v>215</v>
      </c>
      <c r="L168" s="22" t="s">
        <v>60</v>
      </c>
      <c r="M168" s="22">
        <v>25</v>
      </c>
      <c r="N168" s="22" t="s">
        <v>18336</v>
      </c>
      <c r="O168" s="22"/>
      <c r="P168" s="46" t="s">
        <v>680</v>
      </c>
      <c r="Q168" s="160" t="s">
        <v>728</v>
      </c>
      <c r="R168" s="161">
        <v>45750</v>
      </c>
      <c r="S168" s="157">
        <f t="shared" si="8"/>
        <v>25</v>
      </c>
      <c r="T168" s="161">
        <v>45776</v>
      </c>
      <c r="U168" s="164">
        <v>45883</v>
      </c>
      <c r="V168" s="164">
        <v>45890</v>
      </c>
      <c r="W168" s="159" t="s">
        <v>18691</v>
      </c>
      <c r="X168" s="159">
        <v>25</v>
      </c>
      <c r="Y168" s="159" t="s">
        <v>18692</v>
      </c>
      <c r="Z168" s="158">
        <v>45999</v>
      </c>
      <c r="AA168" s="157" t="s">
        <v>18995</v>
      </c>
      <c r="AB168" s="157">
        <v>25</v>
      </c>
      <c r="AC168" s="157"/>
      <c r="AD168" s="157"/>
      <c r="AE168" s="157"/>
      <c r="AF168" s="162">
        <f t="shared" si="10"/>
        <v>0</v>
      </c>
      <c r="AG168" s="162">
        <f t="shared" si="11"/>
        <v>0</v>
      </c>
      <c r="AH168" s="162">
        <f t="shared" si="12"/>
        <v>0</v>
      </c>
      <c r="AI168" s="160">
        <f>IF(A168="","",R168+14)</f>
        <v>45764</v>
      </c>
      <c r="AJ168" s="160"/>
      <c r="AK168" s="160"/>
      <c r="AL168" s="166"/>
      <c r="AM168" s="157"/>
      <c r="AN168" s="157"/>
      <c r="AO168" s="157"/>
    </row>
    <row r="169" spans="1:41" ht="17.399999999999999">
      <c r="A169" s="22" t="s">
        <v>18338</v>
      </c>
      <c r="B169" s="22" t="s">
        <v>18339</v>
      </c>
      <c r="C169" s="56">
        <v>45574</v>
      </c>
      <c r="D169" s="56">
        <v>45572</v>
      </c>
      <c r="E169" s="22" t="s">
        <v>18340</v>
      </c>
      <c r="F169" s="22" t="s">
        <v>33</v>
      </c>
      <c r="G169" s="22" t="s">
        <v>18341</v>
      </c>
      <c r="H169" s="22" t="s">
        <v>7738</v>
      </c>
      <c r="I169" s="49" t="s">
        <v>905</v>
      </c>
      <c r="J169" s="50" t="s">
        <v>7737</v>
      </c>
      <c r="K169" s="22" t="s">
        <v>799</v>
      </c>
      <c r="L169" s="22" t="s">
        <v>60</v>
      </c>
      <c r="M169" s="22">
        <v>1</v>
      </c>
      <c r="N169" s="22" t="s">
        <v>18357</v>
      </c>
      <c r="O169" s="22"/>
      <c r="P169" s="46" t="s">
        <v>19055</v>
      </c>
      <c r="Q169" s="40" t="s">
        <v>627</v>
      </c>
      <c r="R169" s="41">
        <v>45755</v>
      </c>
      <c r="S169" s="22">
        <f t="shared" si="8"/>
        <v>1</v>
      </c>
      <c r="T169" s="41">
        <v>45776</v>
      </c>
      <c r="U169" s="44">
        <v>45765</v>
      </c>
      <c r="V169" s="44">
        <v>45776</v>
      </c>
      <c r="W169" s="46" t="s">
        <v>18412</v>
      </c>
      <c r="X169" s="46">
        <v>1</v>
      </c>
      <c r="Y169" s="46" t="s">
        <v>18419</v>
      </c>
      <c r="Z169" s="22"/>
      <c r="AA169" s="22"/>
      <c r="AB169" s="22"/>
      <c r="AC169" s="22">
        <v>45945</v>
      </c>
      <c r="AD169" s="22" t="s">
        <v>18868</v>
      </c>
      <c r="AE169" s="22">
        <v>1</v>
      </c>
      <c r="AF169" s="162">
        <f t="shared" si="10"/>
        <v>0</v>
      </c>
      <c r="AG169" s="48">
        <f t="shared" si="11"/>
        <v>0</v>
      </c>
      <c r="AH169" s="48">
        <f t="shared" si="12"/>
        <v>0</v>
      </c>
      <c r="AI169" s="40">
        <v>45776</v>
      </c>
      <c r="AJ169" s="40">
        <v>45804</v>
      </c>
      <c r="AK169" s="40"/>
      <c r="AL169" s="146"/>
    </row>
    <row r="170" spans="1:41" ht="17.399999999999999">
      <c r="A170" s="22" t="s">
        <v>18342</v>
      </c>
      <c r="B170" s="22" t="s">
        <v>18343</v>
      </c>
      <c r="C170" s="56">
        <v>45706</v>
      </c>
      <c r="D170" s="56">
        <v>45670</v>
      </c>
      <c r="E170" s="22" t="s">
        <v>18344</v>
      </c>
      <c r="F170" s="22" t="s">
        <v>33</v>
      </c>
      <c r="G170" s="22" t="s">
        <v>33</v>
      </c>
      <c r="H170" s="22" t="s">
        <v>3534</v>
      </c>
      <c r="I170" s="49" t="s">
        <v>119</v>
      </c>
      <c r="J170" s="50" t="s">
        <v>3535</v>
      </c>
      <c r="K170" s="22" t="s">
        <v>799</v>
      </c>
      <c r="L170" s="22" t="s">
        <v>60</v>
      </c>
      <c r="M170" s="22">
        <v>10</v>
      </c>
      <c r="N170" s="22" t="s">
        <v>18345</v>
      </c>
      <c r="O170" s="22"/>
      <c r="P170" s="46" t="s">
        <v>19055</v>
      </c>
      <c r="Q170" s="40" t="s">
        <v>627</v>
      </c>
      <c r="R170" s="41">
        <v>45755</v>
      </c>
      <c r="S170" s="22">
        <f t="shared" si="8"/>
        <v>10</v>
      </c>
      <c r="T170" s="41">
        <v>45776</v>
      </c>
      <c r="U170" s="44">
        <v>45765</v>
      </c>
      <c r="V170" s="44">
        <v>45776</v>
      </c>
      <c r="W170" s="46" t="s">
        <v>18412</v>
      </c>
      <c r="X170" s="46">
        <v>10</v>
      </c>
      <c r="Y170" s="46" t="s">
        <v>18420</v>
      </c>
      <c r="Z170" s="22"/>
      <c r="AA170" s="22"/>
      <c r="AB170" s="22"/>
      <c r="AC170" s="22">
        <v>45945</v>
      </c>
      <c r="AD170" s="22" t="s">
        <v>18868</v>
      </c>
      <c r="AE170" s="22">
        <v>10</v>
      </c>
      <c r="AF170" s="162">
        <f t="shared" si="10"/>
        <v>0</v>
      </c>
      <c r="AG170" s="48">
        <f t="shared" si="11"/>
        <v>0</v>
      </c>
      <c r="AH170" s="48">
        <f t="shared" si="12"/>
        <v>0</v>
      </c>
      <c r="AI170" s="40">
        <f>IF(A170="","",R170+14)</f>
        <v>45769</v>
      </c>
      <c r="AJ170" s="40">
        <v>45806</v>
      </c>
      <c r="AK170" s="40"/>
      <c r="AL170" s="146"/>
    </row>
    <row r="171" spans="1:41" ht="17.399999999999999">
      <c r="A171" s="22" t="s">
        <v>18346</v>
      </c>
      <c r="B171" s="22" t="s">
        <v>18347</v>
      </c>
      <c r="C171" s="56">
        <v>45698</v>
      </c>
      <c r="D171" s="56">
        <v>45691</v>
      </c>
      <c r="E171" s="22" t="s">
        <v>18348</v>
      </c>
      <c r="F171" s="22" t="s">
        <v>33</v>
      </c>
      <c r="G171" s="22" t="s">
        <v>33</v>
      </c>
      <c r="H171" s="22" t="s">
        <v>7754</v>
      </c>
      <c r="I171" s="49" t="s">
        <v>119</v>
      </c>
      <c r="J171" s="50" t="s">
        <v>3535</v>
      </c>
      <c r="K171" s="22" t="s">
        <v>799</v>
      </c>
      <c r="L171" s="22" t="s">
        <v>60</v>
      </c>
      <c r="M171" s="22">
        <v>9</v>
      </c>
      <c r="N171" s="22" t="s">
        <v>18349</v>
      </c>
      <c r="O171" s="22"/>
      <c r="P171" s="46" t="s">
        <v>19055</v>
      </c>
      <c r="Q171" s="40" t="s">
        <v>627</v>
      </c>
      <c r="R171" s="41">
        <v>45755</v>
      </c>
      <c r="S171" s="22">
        <f t="shared" si="8"/>
        <v>9</v>
      </c>
      <c r="T171" s="41">
        <v>45776</v>
      </c>
      <c r="U171" s="44">
        <v>45765</v>
      </c>
      <c r="V171" s="44">
        <v>45776</v>
      </c>
      <c r="W171" s="46" t="s">
        <v>18412</v>
      </c>
      <c r="X171" s="46">
        <v>9</v>
      </c>
      <c r="Y171" s="46" t="s">
        <v>18419</v>
      </c>
      <c r="Z171" s="22"/>
      <c r="AA171" s="22"/>
      <c r="AB171" s="22"/>
      <c r="AC171" s="22">
        <v>45945</v>
      </c>
      <c r="AD171" s="22" t="s">
        <v>18868</v>
      </c>
      <c r="AE171" s="22">
        <v>9</v>
      </c>
      <c r="AF171" s="162">
        <f t="shared" si="10"/>
        <v>0</v>
      </c>
      <c r="AG171" s="48">
        <f t="shared" si="11"/>
        <v>0</v>
      </c>
      <c r="AH171" s="48">
        <f t="shared" si="12"/>
        <v>0</v>
      </c>
      <c r="AI171" s="40">
        <f>IF(A171="","",R171+14)</f>
        <v>45769</v>
      </c>
      <c r="AJ171" s="40">
        <v>45806</v>
      </c>
      <c r="AK171" s="40"/>
      <c r="AL171" s="22"/>
    </row>
    <row r="172" spans="1:41" ht="17.399999999999999">
      <c r="A172" s="22" t="s">
        <v>18350</v>
      </c>
      <c r="B172" s="22" t="s">
        <v>18303</v>
      </c>
      <c r="C172" s="56" t="s">
        <v>18351</v>
      </c>
      <c r="D172" s="56">
        <v>45636</v>
      </c>
      <c r="E172" s="22" t="s">
        <v>18352</v>
      </c>
      <c r="F172" s="22" t="s">
        <v>33</v>
      </c>
      <c r="G172" s="22" t="s">
        <v>33</v>
      </c>
      <c r="H172" s="22" t="s">
        <v>5261</v>
      </c>
      <c r="I172" s="49" t="s">
        <v>174</v>
      </c>
      <c r="J172" s="50" t="s">
        <v>476</v>
      </c>
      <c r="K172" s="22" t="s">
        <v>59</v>
      </c>
      <c r="L172" s="22" t="s">
        <v>60</v>
      </c>
      <c r="M172" s="22">
        <v>5</v>
      </c>
      <c r="N172" s="22" t="s">
        <v>18353</v>
      </c>
      <c r="O172" s="22"/>
      <c r="P172" s="46" t="s">
        <v>19055</v>
      </c>
      <c r="Q172" s="40" t="s">
        <v>627</v>
      </c>
      <c r="R172" s="41">
        <v>45755</v>
      </c>
      <c r="S172" s="22">
        <f t="shared" si="8"/>
        <v>5</v>
      </c>
      <c r="T172" s="41">
        <v>45776</v>
      </c>
      <c r="U172" s="44">
        <v>45765</v>
      </c>
      <c r="V172" s="44">
        <v>45776</v>
      </c>
      <c r="W172" s="46" t="s">
        <v>18412</v>
      </c>
      <c r="X172" s="46">
        <v>5</v>
      </c>
      <c r="Y172" s="46" t="s">
        <v>18421</v>
      </c>
      <c r="Z172" s="22"/>
      <c r="AA172" s="22"/>
      <c r="AB172" s="22"/>
      <c r="AC172" s="22">
        <v>45945</v>
      </c>
      <c r="AD172" s="22" t="s">
        <v>18868</v>
      </c>
      <c r="AE172" s="22">
        <v>5</v>
      </c>
      <c r="AF172" s="162">
        <f t="shared" si="10"/>
        <v>0</v>
      </c>
      <c r="AG172" s="48">
        <f t="shared" si="11"/>
        <v>0</v>
      </c>
      <c r="AH172" s="48">
        <f t="shared" si="12"/>
        <v>0</v>
      </c>
      <c r="AI172" s="40">
        <f>IF(A172="","",R172+14)</f>
        <v>45769</v>
      </c>
      <c r="AJ172" s="40">
        <v>45806</v>
      </c>
      <c r="AK172" s="40"/>
      <c r="AL172" s="22"/>
    </row>
    <row r="173" spans="1:41" ht="17.399999999999999">
      <c r="A173" s="22" t="s">
        <v>18354</v>
      </c>
      <c r="B173" s="22" t="s">
        <v>18303</v>
      </c>
      <c r="C173" s="56">
        <v>45734</v>
      </c>
      <c r="D173" s="56">
        <v>45636</v>
      </c>
      <c r="E173" s="22" t="s">
        <v>18352</v>
      </c>
      <c r="F173" s="22" t="s">
        <v>33</v>
      </c>
      <c r="G173" s="22" t="s">
        <v>33</v>
      </c>
      <c r="H173" s="22" t="s">
        <v>5275</v>
      </c>
      <c r="I173" s="49" t="s">
        <v>174</v>
      </c>
      <c r="J173" s="50" t="s">
        <v>5276</v>
      </c>
      <c r="K173" s="22" t="s">
        <v>59</v>
      </c>
      <c r="L173" s="22" t="s">
        <v>60</v>
      </c>
      <c r="M173" s="22">
        <v>1</v>
      </c>
      <c r="N173" s="22" t="s">
        <v>18355</v>
      </c>
      <c r="O173" s="22"/>
      <c r="P173" s="46" t="s">
        <v>19055</v>
      </c>
      <c r="Q173" s="40" t="s">
        <v>627</v>
      </c>
      <c r="R173" s="41">
        <v>45755</v>
      </c>
      <c r="S173" s="22">
        <f t="shared" si="8"/>
        <v>1</v>
      </c>
      <c r="T173" s="41">
        <v>45776</v>
      </c>
      <c r="U173" s="44">
        <v>45765</v>
      </c>
      <c r="V173" s="44">
        <v>45776</v>
      </c>
      <c r="W173" s="46" t="s">
        <v>18412</v>
      </c>
      <c r="X173" s="46">
        <v>1</v>
      </c>
      <c r="Y173" s="46" t="s">
        <v>18422</v>
      </c>
      <c r="Z173" s="22"/>
      <c r="AA173" s="22"/>
      <c r="AB173" s="22"/>
      <c r="AC173" s="22">
        <v>45945</v>
      </c>
      <c r="AD173" s="22" t="s">
        <v>18868</v>
      </c>
      <c r="AE173" s="22">
        <v>1</v>
      </c>
      <c r="AF173" s="162">
        <f t="shared" si="10"/>
        <v>0</v>
      </c>
      <c r="AG173" s="48">
        <f t="shared" si="11"/>
        <v>0</v>
      </c>
      <c r="AH173" s="48">
        <f t="shared" si="12"/>
        <v>0</v>
      </c>
      <c r="AI173" s="40">
        <f>IF(A173="","",R173+14)</f>
        <v>45769</v>
      </c>
      <c r="AJ173" s="40">
        <v>45804</v>
      </c>
      <c r="AK173" s="40"/>
      <c r="AL173" s="22"/>
    </row>
    <row r="174" spans="1:41" ht="17.399999999999999">
      <c r="A174" s="22" t="s">
        <v>18358</v>
      </c>
      <c r="B174" s="22" t="s">
        <v>381</v>
      </c>
      <c r="C174" s="56">
        <v>45453</v>
      </c>
      <c r="D174" s="56" t="s">
        <v>33</v>
      </c>
      <c r="E174" s="22" t="s">
        <v>33</v>
      </c>
      <c r="F174" s="22" t="s">
        <v>33</v>
      </c>
      <c r="G174" s="22" t="s">
        <v>18359</v>
      </c>
      <c r="H174" s="22" t="s">
        <v>378</v>
      </c>
      <c r="I174" s="49" t="s">
        <v>379</v>
      </c>
      <c r="J174" s="50" t="s">
        <v>380</v>
      </c>
      <c r="K174" s="22" t="s">
        <v>376</v>
      </c>
      <c r="L174" s="22" t="s">
        <v>60</v>
      </c>
      <c r="M174" s="22">
        <v>1</v>
      </c>
      <c r="N174" s="22" t="s">
        <v>18360</v>
      </c>
      <c r="O174" s="22"/>
      <c r="P174" s="46" t="s">
        <v>18133</v>
      </c>
      <c r="Q174" s="40" t="s">
        <v>627</v>
      </c>
      <c r="R174" s="41">
        <v>45756</v>
      </c>
      <c r="S174" s="22">
        <f t="shared" si="8"/>
        <v>1</v>
      </c>
      <c r="T174" s="41">
        <v>45776</v>
      </c>
      <c r="U174" s="44">
        <v>45769</v>
      </c>
      <c r="V174" s="44">
        <v>45776</v>
      </c>
      <c r="W174" s="44" t="s">
        <v>18413</v>
      </c>
      <c r="X174" s="46">
        <v>1</v>
      </c>
      <c r="Y174" s="46" t="s">
        <v>18424</v>
      </c>
      <c r="Z174" s="58"/>
      <c r="AA174" s="22"/>
      <c r="AB174" s="22"/>
      <c r="AC174" s="22">
        <v>45807</v>
      </c>
      <c r="AD174" s="22" t="s">
        <v>18872</v>
      </c>
      <c r="AE174" s="22">
        <v>1</v>
      </c>
      <c r="AF174" s="162">
        <f t="shared" si="10"/>
        <v>0</v>
      </c>
      <c r="AG174" s="48">
        <f t="shared" si="11"/>
        <v>0</v>
      </c>
      <c r="AH174" s="48">
        <f t="shared" si="12"/>
        <v>0</v>
      </c>
      <c r="AI174" s="40">
        <f>IF(A174="","",R174+14)</f>
        <v>45770</v>
      </c>
      <c r="AJ174" s="40"/>
      <c r="AK174" s="40"/>
      <c r="AL174" s="22"/>
    </row>
    <row r="175" spans="1:41" s="150" customFormat="1" ht="17.399999999999999">
      <c r="A175" s="136" t="s">
        <v>18361</v>
      </c>
      <c r="B175" s="136" t="s">
        <v>376</v>
      </c>
      <c r="C175" s="139" t="s">
        <v>18362</v>
      </c>
      <c r="D175" s="139" t="s">
        <v>33</v>
      </c>
      <c r="E175" s="136" t="s">
        <v>33</v>
      </c>
      <c r="F175" s="136" t="s">
        <v>33</v>
      </c>
      <c r="G175" s="136" t="s">
        <v>18363</v>
      </c>
      <c r="H175" s="136" t="s">
        <v>389</v>
      </c>
      <c r="I175" s="140" t="s">
        <v>379</v>
      </c>
      <c r="J175" s="141" t="s">
        <v>422</v>
      </c>
      <c r="K175" s="136" t="s">
        <v>376</v>
      </c>
      <c r="L175" s="136" t="s">
        <v>60</v>
      </c>
      <c r="M175" s="136">
        <v>3</v>
      </c>
      <c r="N175" s="136" t="s">
        <v>18364</v>
      </c>
      <c r="O175" s="136"/>
      <c r="P175" s="138" t="s">
        <v>18133</v>
      </c>
      <c r="Q175" s="142" t="s">
        <v>627</v>
      </c>
      <c r="R175" s="143">
        <v>45756</v>
      </c>
      <c r="S175" s="136">
        <f t="shared" si="8"/>
        <v>3</v>
      </c>
      <c r="T175" s="143">
        <v>45776</v>
      </c>
      <c r="U175" s="137">
        <v>45769</v>
      </c>
      <c r="V175" s="137">
        <v>45776</v>
      </c>
      <c r="W175" s="138" t="s">
        <v>18413</v>
      </c>
      <c r="X175" s="138">
        <v>3</v>
      </c>
      <c r="Y175" s="138" t="s">
        <v>18424</v>
      </c>
      <c r="Z175" s="136"/>
      <c r="AA175" s="136"/>
      <c r="AB175" s="136"/>
      <c r="AC175" s="136">
        <v>45807</v>
      </c>
      <c r="AD175" s="136" t="s">
        <v>18873</v>
      </c>
      <c r="AE175" s="136">
        <v>3</v>
      </c>
      <c r="AF175" s="162">
        <f t="shared" si="10"/>
        <v>0</v>
      </c>
      <c r="AG175" s="134">
        <f t="shared" si="11"/>
        <v>0</v>
      </c>
      <c r="AH175" s="134">
        <f t="shared" si="12"/>
        <v>0</v>
      </c>
      <c r="AI175" s="142">
        <f t="shared" ref="AI175:AI238" si="13">IF(A175="","",R175+21)</f>
        <v>45777</v>
      </c>
      <c r="AJ175" s="142"/>
      <c r="AK175" s="142"/>
      <c r="AL175" s="136"/>
      <c r="AM175" s="136"/>
      <c r="AN175" s="136"/>
      <c r="AO175" s="136"/>
    </row>
    <row r="176" spans="1:41" ht="17.399999999999999">
      <c r="A176" s="22" t="s">
        <v>18874</v>
      </c>
      <c r="B176" s="22" t="s">
        <v>18367</v>
      </c>
      <c r="C176" s="56">
        <v>45755</v>
      </c>
      <c r="D176" s="56" t="s">
        <v>18368</v>
      </c>
      <c r="E176" s="22" t="s">
        <v>18369</v>
      </c>
      <c r="F176" s="22" t="s">
        <v>33</v>
      </c>
      <c r="G176" s="22" t="s">
        <v>33</v>
      </c>
      <c r="H176" s="22" t="s">
        <v>8117</v>
      </c>
      <c r="I176" s="49" t="s">
        <v>2137</v>
      </c>
      <c r="J176" s="50" t="s">
        <v>8118</v>
      </c>
      <c r="K176" s="22" t="s">
        <v>493</v>
      </c>
      <c r="L176" s="22" t="s">
        <v>60</v>
      </c>
      <c r="M176" s="22">
        <v>137</v>
      </c>
      <c r="N176" s="22" t="s">
        <v>18370</v>
      </c>
      <c r="O176" s="22"/>
      <c r="P176" s="46" t="s">
        <v>5279</v>
      </c>
      <c r="Q176" s="40" t="s">
        <v>627</v>
      </c>
      <c r="R176" s="41">
        <v>45756</v>
      </c>
      <c r="S176" s="22">
        <f t="shared" si="8"/>
        <v>137</v>
      </c>
      <c r="T176" s="41">
        <v>45758</v>
      </c>
      <c r="U176" s="44" t="s">
        <v>571</v>
      </c>
      <c r="V176" s="44" t="s">
        <v>571</v>
      </c>
      <c r="W176" s="46" t="s">
        <v>571</v>
      </c>
      <c r="X176" s="46">
        <v>137</v>
      </c>
      <c r="Y176" s="44" t="s">
        <v>571</v>
      </c>
      <c r="Z176" s="22" t="s">
        <v>18539</v>
      </c>
      <c r="AA176" s="22" t="s">
        <v>18540</v>
      </c>
      <c r="AB176" s="22">
        <v>137</v>
      </c>
      <c r="AC176" s="22"/>
      <c r="AD176" s="22"/>
      <c r="AE176" s="22"/>
      <c r="AF176" s="162">
        <f t="shared" si="10"/>
        <v>0</v>
      </c>
      <c r="AG176" s="48">
        <f t="shared" si="11"/>
        <v>0</v>
      </c>
      <c r="AH176" s="48">
        <f t="shared" si="12"/>
        <v>0</v>
      </c>
      <c r="AI176" s="40">
        <f t="shared" si="13"/>
        <v>45777</v>
      </c>
      <c r="AJ176" s="40"/>
      <c r="AK176" s="40"/>
      <c r="AL176" s="22"/>
    </row>
    <row r="177" spans="1:41" ht="17.399999999999999">
      <c r="A177" s="22" t="s">
        <v>18372</v>
      </c>
      <c r="B177" s="22" t="s">
        <v>709</v>
      </c>
      <c r="C177" s="56">
        <v>45680</v>
      </c>
      <c r="D177" s="56">
        <v>45561</v>
      </c>
      <c r="E177" s="22" t="s">
        <v>18373</v>
      </c>
      <c r="F177" s="22" t="s">
        <v>33</v>
      </c>
      <c r="G177" s="22" t="s">
        <v>33</v>
      </c>
      <c r="H177" s="22" t="s">
        <v>182</v>
      </c>
      <c r="I177" s="49" t="s">
        <v>183</v>
      </c>
      <c r="J177" s="50" t="s">
        <v>711</v>
      </c>
      <c r="K177" s="22" t="s">
        <v>215</v>
      </c>
      <c r="L177" s="22" t="s">
        <v>60</v>
      </c>
      <c r="M177" s="22">
        <v>1</v>
      </c>
      <c r="N177" s="22" t="s">
        <v>18374</v>
      </c>
      <c r="O177" s="22"/>
      <c r="P177" s="46" t="s">
        <v>685</v>
      </c>
      <c r="Q177" s="40" t="s">
        <v>627</v>
      </c>
      <c r="R177" s="41">
        <v>45757</v>
      </c>
      <c r="S177" s="22">
        <f t="shared" si="8"/>
        <v>1</v>
      </c>
      <c r="T177" s="41">
        <v>45776</v>
      </c>
      <c r="U177" s="44">
        <v>45765</v>
      </c>
      <c r="V177" s="44">
        <v>45776</v>
      </c>
      <c r="W177" s="46" t="s">
        <v>18414</v>
      </c>
      <c r="X177" s="46">
        <v>1</v>
      </c>
      <c r="Y177" s="46" t="s">
        <v>18423</v>
      </c>
      <c r="Z177" s="22"/>
      <c r="AA177" s="22"/>
      <c r="AB177" s="22"/>
      <c r="AC177" s="22"/>
      <c r="AD177" s="22"/>
      <c r="AE177" s="22"/>
      <c r="AF177" s="162">
        <f t="shared" si="10"/>
        <v>0</v>
      </c>
      <c r="AG177" s="48">
        <f t="shared" si="11"/>
        <v>1</v>
      </c>
      <c r="AH177" s="48">
        <f t="shared" si="12"/>
        <v>1</v>
      </c>
      <c r="AI177" s="40">
        <f t="shared" si="13"/>
        <v>45778</v>
      </c>
      <c r="AJ177" s="40"/>
      <c r="AK177" s="40"/>
      <c r="AL177" s="22"/>
    </row>
    <row r="178" spans="1:41" ht="17.399999999999999">
      <c r="A178" s="22" t="s">
        <v>18375</v>
      </c>
      <c r="B178" s="22" t="s">
        <v>18376</v>
      </c>
      <c r="C178" s="56">
        <v>45686</v>
      </c>
      <c r="D178" s="56">
        <v>45670</v>
      </c>
      <c r="E178" s="22" t="s">
        <v>18377</v>
      </c>
      <c r="F178" s="22" t="s">
        <v>33</v>
      </c>
      <c r="G178" s="22" t="s">
        <v>33</v>
      </c>
      <c r="H178" s="22" t="s">
        <v>5417</v>
      </c>
      <c r="I178" s="49" t="s">
        <v>827</v>
      </c>
      <c r="J178" s="50" t="s">
        <v>827</v>
      </c>
      <c r="K178" s="22" t="s">
        <v>215</v>
      </c>
      <c r="L178" s="22" t="s">
        <v>60</v>
      </c>
      <c r="M178" s="22">
        <v>2</v>
      </c>
      <c r="N178" s="22" t="s">
        <v>18378</v>
      </c>
      <c r="O178" s="22"/>
      <c r="P178" s="46" t="s">
        <v>685</v>
      </c>
      <c r="Q178" s="40" t="s">
        <v>627</v>
      </c>
      <c r="R178" s="41">
        <v>45757</v>
      </c>
      <c r="S178" s="22">
        <f t="shared" si="8"/>
        <v>2</v>
      </c>
      <c r="T178" s="41">
        <v>45776</v>
      </c>
      <c r="U178" s="44">
        <v>45765</v>
      </c>
      <c r="V178" s="44">
        <v>45776</v>
      </c>
      <c r="W178" s="46" t="s">
        <v>18414</v>
      </c>
      <c r="X178" s="46">
        <v>2</v>
      </c>
      <c r="Y178" s="46" t="s">
        <v>18423</v>
      </c>
      <c r="Z178" s="22"/>
      <c r="AA178" s="22"/>
      <c r="AB178" s="22"/>
      <c r="AC178" s="22"/>
      <c r="AD178" s="22"/>
      <c r="AE178" s="22"/>
      <c r="AF178" s="162">
        <f t="shared" si="10"/>
        <v>0</v>
      </c>
      <c r="AG178" s="48">
        <f t="shared" si="11"/>
        <v>2</v>
      </c>
      <c r="AH178" s="48">
        <f t="shared" si="12"/>
        <v>2</v>
      </c>
      <c r="AI178" s="40">
        <f t="shared" si="13"/>
        <v>45778</v>
      </c>
      <c r="AJ178" s="40"/>
      <c r="AK178" s="40"/>
      <c r="AL178" s="22"/>
    </row>
    <row r="179" spans="1:41" ht="17.399999999999999">
      <c r="A179" s="22" t="s">
        <v>18379</v>
      </c>
      <c r="B179" s="22" t="s">
        <v>269</v>
      </c>
      <c r="C179" s="56" t="s">
        <v>18380</v>
      </c>
      <c r="D179" s="56" t="s">
        <v>18381</v>
      </c>
      <c r="E179" s="22" t="s">
        <v>18382</v>
      </c>
      <c r="F179" s="22" t="s">
        <v>33</v>
      </c>
      <c r="G179" s="22" t="s">
        <v>33</v>
      </c>
      <c r="H179" s="22" t="s">
        <v>205</v>
      </c>
      <c r="I179" s="49" t="s">
        <v>206</v>
      </c>
      <c r="J179" s="50" t="s">
        <v>207</v>
      </c>
      <c r="K179" s="22" t="s">
        <v>2748</v>
      </c>
      <c r="L179" s="22" t="s">
        <v>60</v>
      </c>
      <c r="M179" s="22">
        <v>22</v>
      </c>
      <c r="N179" s="22" t="s">
        <v>18383</v>
      </c>
      <c r="O179" s="22"/>
      <c r="P179" s="46" t="s">
        <v>685</v>
      </c>
      <c r="Q179" s="40" t="s">
        <v>627</v>
      </c>
      <c r="R179" s="41">
        <v>45757</v>
      </c>
      <c r="S179" s="22">
        <f t="shared" si="8"/>
        <v>22</v>
      </c>
      <c r="T179" s="41">
        <v>45776</v>
      </c>
      <c r="U179" s="44" t="s">
        <v>571</v>
      </c>
      <c r="V179" s="44" t="s">
        <v>571</v>
      </c>
      <c r="W179" s="46" t="s">
        <v>571</v>
      </c>
      <c r="X179" s="46">
        <v>22</v>
      </c>
      <c r="Y179" s="44" t="s">
        <v>571</v>
      </c>
      <c r="Z179" s="22"/>
      <c r="AA179" s="22"/>
      <c r="AB179" s="22"/>
      <c r="AC179" s="22"/>
      <c r="AD179" s="22"/>
      <c r="AE179" s="22"/>
      <c r="AF179" s="162">
        <f t="shared" si="10"/>
        <v>0</v>
      </c>
      <c r="AG179" s="48">
        <f t="shared" si="11"/>
        <v>22</v>
      </c>
      <c r="AH179" s="48">
        <f t="shared" si="12"/>
        <v>22</v>
      </c>
      <c r="AI179" s="40">
        <f t="shared" si="13"/>
        <v>45778</v>
      </c>
      <c r="AJ179" s="40"/>
      <c r="AK179" s="40"/>
      <c r="AL179" s="146"/>
    </row>
    <row r="180" spans="1:41" ht="17.399999999999999">
      <c r="A180" s="22" t="s">
        <v>18384</v>
      </c>
      <c r="B180" s="22" t="s">
        <v>18343</v>
      </c>
      <c r="C180" s="56">
        <v>45733</v>
      </c>
      <c r="D180" s="56">
        <v>45719</v>
      </c>
      <c r="E180" s="22" t="s">
        <v>18385</v>
      </c>
      <c r="F180" s="22" t="s">
        <v>33</v>
      </c>
      <c r="G180" s="22" t="s">
        <v>18386</v>
      </c>
      <c r="H180" s="22" t="s">
        <v>3739</v>
      </c>
      <c r="I180" s="49" t="s">
        <v>68</v>
      </c>
      <c r="J180" s="50" t="s">
        <v>69</v>
      </c>
      <c r="K180" s="22" t="s">
        <v>799</v>
      </c>
      <c r="L180" s="22" t="s">
        <v>71</v>
      </c>
      <c r="M180" s="22">
        <v>5000</v>
      </c>
      <c r="N180" s="22" t="s">
        <v>18387</v>
      </c>
      <c r="O180" s="22"/>
      <c r="P180" s="46" t="s">
        <v>19055</v>
      </c>
      <c r="Q180" s="40" t="s">
        <v>627</v>
      </c>
      <c r="R180" s="41">
        <v>45758</v>
      </c>
      <c r="S180" s="22">
        <f t="shared" si="8"/>
        <v>5000</v>
      </c>
      <c r="T180" s="41">
        <v>45776</v>
      </c>
      <c r="U180" s="137">
        <v>45765</v>
      </c>
      <c r="V180" s="137">
        <v>45776</v>
      </c>
      <c r="W180" s="138" t="s">
        <v>18415</v>
      </c>
      <c r="X180" s="138">
        <v>5000</v>
      </c>
      <c r="Y180" s="138" t="s">
        <v>18425</v>
      </c>
      <c r="Z180" s="22"/>
      <c r="AA180" s="22"/>
      <c r="AB180" s="22"/>
      <c r="AC180" s="22">
        <v>45945</v>
      </c>
      <c r="AD180" s="22" t="s">
        <v>18868</v>
      </c>
      <c r="AE180" s="22">
        <v>5000</v>
      </c>
      <c r="AF180" s="162">
        <f t="shared" si="10"/>
        <v>0</v>
      </c>
      <c r="AG180" s="48">
        <f t="shared" si="11"/>
        <v>0</v>
      </c>
      <c r="AH180" s="48">
        <f t="shared" si="12"/>
        <v>0</v>
      </c>
      <c r="AI180" s="40">
        <f t="shared" si="13"/>
        <v>45779</v>
      </c>
      <c r="AJ180" s="40">
        <v>45818</v>
      </c>
      <c r="AK180" s="40"/>
      <c r="AL180" s="22"/>
    </row>
    <row r="181" spans="1:41" ht="17.399999999999999">
      <c r="A181" s="22" t="s">
        <v>18392</v>
      </c>
      <c r="B181" s="22" t="s">
        <v>70</v>
      </c>
      <c r="C181" s="56" t="s">
        <v>18393</v>
      </c>
      <c r="D181" s="56" t="s">
        <v>18142</v>
      </c>
      <c r="E181" s="22" t="s">
        <v>18142</v>
      </c>
      <c r="F181" s="22" t="s">
        <v>33</v>
      </c>
      <c r="G181" s="22" t="s">
        <v>33</v>
      </c>
      <c r="H181" s="22" t="s">
        <v>3427</v>
      </c>
      <c r="I181" s="49" t="s">
        <v>68</v>
      </c>
      <c r="J181" s="50" t="s">
        <v>69</v>
      </c>
      <c r="K181" s="22" t="s">
        <v>70</v>
      </c>
      <c r="L181" s="22" t="s">
        <v>71</v>
      </c>
      <c r="M181" s="22">
        <v>437.5</v>
      </c>
      <c r="N181" s="22" t="s">
        <v>18394</v>
      </c>
      <c r="O181" s="22"/>
      <c r="P181" s="46" t="s">
        <v>19055</v>
      </c>
      <c r="Q181" s="40" t="s">
        <v>627</v>
      </c>
      <c r="R181" s="41">
        <v>45768</v>
      </c>
      <c r="S181" s="22">
        <f t="shared" si="8"/>
        <v>437.5</v>
      </c>
      <c r="T181" s="41">
        <v>45776</v>
      </c>
      <c r="U181" s="44" t="s">
        <v>571</v>
      </c>
      <c r="V181" s="44" t="s">
        <v>571</v>
      </c>
      <c r="W181" s="44" t="s">
        <v>571</v>
      </c>
      <c r="X181" s="46">
        <v>437.5</v>
      </c>
      <c r="Y181" s="44" t="s">
        <v>571</v>
      </c>
      <c r="Z181" s="22"/>
      <c r="AA181" s="22"/>
      <c r="AB181" s="22"/>
      <c r="AC181" s="22">
        <v>45945</v>
      </c>
      <c r="AD181" s="22" t="s">
        <v>18868</v>
      </c>
      <c r="AE181" s="22">
        <v>437.5</v>
      </c>
      <c r="AF181" s="162">
        <f t="shared" si="10"/>
        <v>0</v>
      </c>
      <c r="AG181" s="48">
        <f t="shared" si="11"/>
        <v>0</v>
      </c>
      <c r="AH181" s="48">
        <f t="shared" si="12"/>
        <v>0</v>
      </c>
      <c r="AI181" s="40">
        <f t="shared" si="13"/>
        <v>45789</v>
      </c>
      <c r="AJ181" s="40">
        <v>45812</v>
      </c>
      <c r="AK181" s="40"/>
      <c r="AL181" s="22"/>
    </row>
    <row r="182" spans="1:41" ht="17.399999999999999">
      <c r="A182" s="22" t="s">
        <v>18400</v>
      </c>
      <c r="B182" s="22" t="s">
        <v>18401</v>
      </c>
      <c r="C182" s="56">
        <v>45598</v>
      </c>
      <c r="D182" s="56">
        <v>45510</v>
      </c>
      <c r="E182" s="22" t="s">
        <v>18402</v>
      </c>
      <c r="F182" s="22" t="s">
        <v>33</v>
      </c>
      <c r="G182" s="22" t="s">
        <v>33</v>
      </c>
      <c r="H182" s="22" t="s">
        <v>12356</v>
      </c>
      <c r="I182" s="49" t="s">
        <v>174</v>
      </c>
      <c r="J182" s="50" t="s">
        <v>12357</v>
      </c>
      <c r="K182" s="22" t="s">
        <v>51</v>
      </c>
      <c r="L182" s="22" t="s">
        <v>60</v>
      </c>
      <c r="M182" s="22">
        <v>1</v>
      </c>
      <c r="N182" s="22" t="s">
        <v>18532</v>
      </c>
      <c r="O182" s="22"/>
      <c r="P182" s="46" t="s">
        <v>685</v>
      </c>
      <c r="Q182" s="40" t="s">
        <v>627</v>
      </c>
      <c r="R182" s="41">
        <v>45770</v>
      </c>
      <c r="S182" s="22">
        <f t="shared" si="8"/>
        <v>1</v>
      </c>
      <c r="T182" s="41">
        <v>45820</v>
      </c>
      <c r="U182" s="44">
        <v>45820</v>
      </c>
      <c r="V182" s="44">
        <v>45832</v>
      </c>
      <c r="W182" s="44" t="s">
        <v>18524</v>
      </c>
      <c r="X182" s="46">
        <v>1</v>
      </c>
      <c r="Y182" s="46" t="s">
        <v>18528</v>
      </c>
      <c r="Z182" s="58"/>
      <c r="AA182" s="153"/>
      <c r="AB182" s="22"/>
      <c r="AC182" s="22"/>
      <c r="AD182" s="22"/>
      <c r="AE182" s="22"/>
      <c r="AF182" s="162">
        <f t="shared" si="10"/>
        <v>0</v>
      </c>
      <c r="AG182" s="48">
        <f t="shared" si="11"/>
        <v>1</v>
      </c>
      <c r="AH182" s="48">
        <f t="shared" si="12"/>
        <v>1</v>
      </c>
      <c r="AI182" s="40">
        <f t="shared" si="13"/>
        <v>45791</v>
      </c>
      <c r="AJ182" s="40"/>
      <c r="AK182" s="40"/>
      <c r="AL182" s="22"/>
    </row>
    <row r="183" spans="1:41" ht="17.399999999999999">
      <c r="A183" s="22" t="s">
        <v>18403</v>
      </c>
      <c r="B183" s="22" t="s">
        <v>18404</v>
      </c>
      <c r="C183" s="56">
        <v>45530</v>
      </c>
      <c r="D183" s="56">
        <v>45044</v>
      </c>
      <c r="E183" s="22" t="s">
        <v>274</v>
      </c>
      <c r="F183" s="22" t="s">
        <v>33</v>
      </c>
      <c r="G183" s="22" t="s">
        <v>33</v>
      </c>
      <c r="H183" s="22" t="s">
        <v>12270</v>
      </c>
      <c r="I183" s="49" t="s">
        <v>174</v>
      </c>
      <c r="J183" s="50" t="s">
        <v>12271</v>
      </c>
      <c r="K183" s="22" t="s">
        <v>51</v>
      </c>
      <c r="L183" s="22" t="s">
        <v>60</v>
      </c>
      <c r="M183" s="22">
        <v>1</v>
      </c>
      <c r="N183" s="22" t="s">
        <v>18533</v>
      </c>
      <c r="O183" s="22"/>
      <c r="P183" s="46" t="s">
        <v>685</v>
      </c>
      <c r="Q183" s="40" t="s">
        <v>627</v>
      </c>
      <c r="R183" s="41">
        <v>45770</v>
      </c>
      <c r="S183" s="22">
        <f t="shared" si="8"/>
        <v>1</v>
      </c>
      <c r="T183" s="41">
        <v>45820</v>
      </c>
      <c r="U183" s="44">
        <v>45820</v>
      </c>
      <c r="V183" s="44">
        <v>45832</v>
      </c>
      <c r="W183" s="44" t="s">
        <v>18524</v>
      </c>
      <c r="X183" s="46">
        <v>1</v>
      </c>
      <c r="Y183" s="46" t="s">
        <v>18528</v>
      </c>
      <c r="Z183" s="58"/>
      <c r="AA183" s="153"/>
      <c r="AB183" s="22"/>
      <c r="AC183" s="22"/>
      <c r="AD183" s="22"/>
      <c r="AE183" s="22"/>
      <c r="AF183" s="162">
        <f t="shared" si="10"/>
        <v>0</v>
      </c>
      <c r="AG183" s="48">
        <f t="shared" si="11"/>
        <v>1</v>
      </c>
      <c r="AH183" s="48">
        <f t="shared" si="12"/>
        <v>1</v>
      </c>
      <c r="AI183" s="40">
        <f t="shared" si="13"/>
        <v>45791</v>
      </c>
      <c r="AJ183" s="40"/>
      <c r="AK183" s="40"/>
      <c r="AL183" s="22"/>
    </row>
    <row r="184" spans="1:41" s="150" customFormat="1" ht="17.399999999999999">
      <c r="A184" s="136" t="s">
        <v>18405</v>
      </c>
      <c r="B184" s="136" t="s">
        <v>287</v>
      </c>
      <c r="C184" s="139" t="s">
        <v>18410</v>
      </c>
      <c r="D184" s="139" t="s">
        <v>338</v>
      </c>
      <c r="E184" s="136" t="s">
        <v>339</v>
      </c>
      <c r="F184" s="136" t="s">
        <v>33</v>
      </c>
      <c r="G184" s="136" t="s">
        <v>33</v>
      </c>
      <c r="H184" s="154" t="s">
        <v>233</v>
      </c>
      <c r="I184" s="140" t="s">
        <v>174</v>
      </c>
      <c r="J184" s="141" t="s">
        <v>234</v>
      </c>
      <c r="K184" s="136" t="s">
        <v>51</v>
      </c>
      <c r="L184" s="136" t="s">
        <v>60</v>
      </c>
      <c r="M184" s="136">
        <v>8</v>
      </c>
      <c r="N184" s="136" t="s">
        <v>18411</v>
      </c>
      <c r="O184" s="136"/>
      <c r="P184" s="138" t="s">
        <v>685</v>
      </c>
      <c r="Q184" s="142" t="s">
        <v>627</v>
      </c>
      <c r="R184" s="143">
        <v>45770</v>
      </c>
      <c r="S184" s="136">
        <f t="shared" si="8"/>
        <v>8</v>
      </c>
      <c r="T184" s="143">
        <v>45820</v>
      </c>
      <c r="U184" s="137">
        <v>45820</v>
      </c>
      <c r="V184" s="137">
        <v>45832</v>
      </c>
      <c r="W184" s="138" t="s">
        <v>18524</v>
      </c>
      <c r="X184" s="138">
        <v>8</v>
      </c>
      <c r="Y184" s="138" t="s">
        <v>18528</v>
      </c>
      <c r="Z184" s="136"/>
      <c r="AA184" s="136"/>
      <c r="AB184" s="136"/>
      <c r="AC184" s="136"/>
      <c r="AD184" s="136"/>
      <c r="AE184" s="136"/>
      <c r="AF184" s="162">
        <f t="shared" si="10"/>
        <v>0</v>
      </c>
      <c r="AG184" s="48">
        <f t="shared" si="11"/>
        <v>8</v>
      </c>
      <c r="AH184" s="48">
        <f t="shared" si="12"/>
        <v>8</v>
      </c>
      <c r="AI184" s="142">
        <f t="shared" si="13"/>
        <v>45791</v>
      </c>
      <c r="AJ184" s="142"/>
      <c r="AK184" s="142"/>
      <c r="AL184" s="136"/>
      <c r="AM184" s="136"/>
      <c r="AN184" s="136"/>
      <c r="AO184" s="136"/>
    </row>
    <row r="185" spans="1:41" s="150" customFormat="1" ht="17.399999999999999">
      <c r="A185" s="136" t="s">
        <v>18406</v>
      </c>
      <c r="B185" s="136" t="s">
        <v>381</v>
      </c>
      <c r="C185" s="139" t="s">
        <v>18407</v>
      </c>
      <c r="D185" s="139" t="s">
        <v>33</v>
      </c>
      <c r="E185" s="136" t="s">
        <v>33</v>
      </c>
      <c r="F185" s="136" t="s">
        <v>33</v>
      </c>
      <c r="G185" s="136" t="s">
        <v>18408</v>
      </c>
      <c r="H185" s="136" t="s">
        <v>389</v>
      </c>
      <c r="I185" s="140" t="s">
        <v>379</v>
      </c>
      <c r="J185" s="141" t="s">
        <v>422</v>
      </c>
      <c r="K185" s="136" t="s">
        <v>376</v>
      </c>
      <c r="L185" s="136" t="s">
        <v>60</v>
      </c>
      <c r="M185" s="136">
        <v>2</v>
      </c>
      <c r="N185" s="136" t="s">
        <v>18409</v>
      </c>
      <c r="O185" s="136"/>
      <c r="P185" s="138" t="s">
        <v>18133</v>
      </c>
      <c r="Q185" s="142" t="s">
        <v>627</v>
      </c>
      <c r="R185" s="143">
        <v>45770</v>
      </c>
      <c r="S185" s="136">
        <f t="shared" si="8"/>
        <v>2</v>
      </c>
      <c r="T185" s="143">
        <v>45786</v>
      </c>
      <c r="U185" s="137">
        <v>45777</v>
      </c>
      <c r="V185" s="137">
        <v>45785</v>
      </c>
      <c r="W185" s="138" t="s">
        <v>18443</v>
      </c>
      <c r="X185" s="138">
        <v>2</v>
      </c>
      <c r="Y185" s="138" t="s">
        <v>18444</v>
      </c>
      <c r="Z185" s="136"/>
      <c r="AA185" s="136"/>
      <c r="AB185" s="136"/>
      <c r="AC185" s="136"/>
      <c r="AD185" s="136"/>
      <c r="AE185" s="136"/>
      <c r="AF185" s="162">
        <f t="shared" si="10"/>
        <v>0</v>
      </c>
      <c r="AG185" s="48">
        <f t="shared" si="11"/>
        <v>2</v>
      </c>
      <c r="AH185" s="48">
        <f t="shared" si="12"/>
        <v>2</v>
      </c>
      <c r="AI185" s="142">
        <f t="shared" si="13"/>
        <v>45791</v>
      </c>
      <c r="AJ185" s="142"/>
      <c r="AK185" s="142"/>
      <c r="AL185" s="136"/>
      <c r="AM185" s="136"/>
      <c r="AN185" s="136"/>
      <c r="AO185" s="136"/>
    </row>
    <row r="186" spans="1:41" ht="17.399999999999999">
      <c r="A186" s="22" t="s">
        <v>18416</v>
      </c>
      <c r="B186" s="22" t="s">
        <v>50</v>
      </c>
      <c r="C186" s="56">
        <v>45768</v>
      </c>
      <c r="D186" s="56">
        <v>45757</v>
      </c>
      <c r="E186" s="22" t="s">
        <v>18417</v>
      </c>
      <c r="F186" s="22">
        <v>700</v>
      </c>
      <c r="G186" s="22" t="s">
        <v>726</v>
      </c>
      <c r="H186" s="22" t="s">
        <v>82</v>
      </c>
      <c r="I186" s="49" t="s">
        <v>83</v>
      </c>
      <c r="J186" s="50" t="s">
        <v>84</v>
      </c>
      <c r="K186" s="22" t="s">
        <v>18329</v>
      </c>
      <c r="L186" s="22" t="s">
        <v>60</v>
      </c>
      <c r="M186" s="22">
        <v>4</v>
      </c>
      <c r="N186" s="22" t="s">
        <v>18418</v>
      </c>
      <c r="O186" s="22"/>
      <c r="P186" s="46" t="s">
        <v>19054</v>
      </c>
      <c r="Q186" s="40" t="s">
        <v>728</v>
      </c>
      <c r="R186" s="41">
        <v>45775</v>
      </c>
      <c r="S186" s="22">
        <f t="shared" si="8"/>
        <v>4</v>
      </c>
      <c r="T186" s="41">
        <v>45783</v>
      </c>
      <c r="U186" s="44">
        <v>45777</v>
      </c>
      <c r="V186" s="44">
        <v>45783</v>
      </c>
      <c r="W186" s="44" t="s">
        <v>18437</v>
      </c>
      <c r="X186" s="46">
        <v>4</v>
      </c>
      <c r="Y186" s="46" t="s">
        <v>18442</v>
      </c>
      <c r="Z186" s="22"/>
      <c r="AA186" s="22"/>
      <c r="AB186" s="22"/>
      <c r="AC186" s="22"/>
      <c r="AD186" s="22"/>
      <c r="AE186" s="22"/>
      <c r="AF186" s="162">
        <f t="shared" si="10"/>
        <v>0</v>
      </c>
      <c r="AG186" s="48">
        <f t="shared" si="11"/>
        <v>4</v>
      </c>
      <c r="AH186" s="48">
        <f t="shared" si="12"/>
        <v>4</v>
      </c>
      <c r="AI186" s="40">
        <f t="shared" si="13"/>
        <v>45796</v>
      </c>
      <c r="AJ186" s="40"/>
      <c r="AK186" s="40"/>
      <c r="AL186" s="146"/>
    </row>
    <row r="187" spans="1:41" ht="17.399999999999999">
      <c r="A187" s="22" t="s">
        <v>18426</v>
      </c>
      <c r="B187" s="22" t="s">
        <v>18427</v>
      </c>
      <c r="C187" s="56">
        <v>45756</v>
      </c>
      <c r="D187" s="56">
        <v>45712</v>
      </c>
      <c r="E187" s="22" t="s">
        <v>18428</v>
      </c>
      <c r="F187" s="22" t="s">
        <v>33</v>
      </c>
      <c r="G187" s="22" t="s">
        <v>33</v>
      </c>
      <c r="H187" s="22" t="s">
        <v>629</v>
      </c>
      <c r="I187" s="49" t="s">
        <v>630</v>
      </c>
      <c r="J187" s="50" t="s">
        <v>631</v>
      </c>
      <c r="K187" s="22" t="s">
        <v>18429</v>
      </c>
      <c r="L187" s="22" t="s">
        <v>60</v>
      </c>
      <c r="M187" s="22">
        <v>1</v>
      </c>
      <c r="N187" s="22" t="s">
        <v>18436</v>
      </c>
      <c r="O187" s="22"/>
      <c r="P187" s="46" t="s">
        <v>19055</v>
      </c>
      <c r="Q187" s="40" t="s">
        <v>627</v>
      </c>
      <c r="R187" s="41">
        <v>45776</v>
      </c>
      <c r="S187" s="22">
        <f t="shared" si="8"/>
        <v>1</v>
      </c>
      <c r="T187" s="41">
        <v>45792</v>
      </c>
      <c r="U187" s="44">
        <v>45784</v>
      </c>
      <c r="V187" s="44">
        <v>45790</v>
      </c>
      <c r="W187" s="44" t="s">
        <v>18456</v>
      </c>
      <c r="X187" s="46">
        <v>1</v>
      </c>
      <c r="Y187" s="46" t="s">
        <v>18457</v>
      </c>
      <c r="Z187" s="22"/>
      <c r="AA187" s="22"/>
      <c r="AB187" s="22"/>
      <c r="AC187" s="22">
        <v>45945</v>
      </c>
      <c r="AD187" s="22" t="s">
        <v>18868</v>
      </c>
      <c r="AE187" s="22">
        <v>1</v>
      </c>
      <c r="AF187" s="162">
        <f t="shared" si="10"/>
        <v>0</v>
      </c>
      <c r="AG187" s="48">
        <f t="shared" si="11"/>
        <v>0</v>
      </c>
      <c r="AH187" s="48">
        <f t="shared" si="12"/>
        <v>0</v>
      </c>
      <c r="AI187" s="40">
        <f t="shared" si="13"/>
        <v>45797</v>
      </c>
      <c r="AJ187" s="40">
        <v>45818</v>
      </c>
      <c r="AK187" s="40"/>
      <c r="AL187" s="146"/>
    </row>
    <row r="188" spans="1:41" ht="17.399999999999999">
      <c r="A188" s="22" t="s">
        <v>18430</v>
      </c>
      <c r="B188" s="22" t="s">
        <v>18431</v>
      </c>
      <c r="C188" s="56">
        <v>45749</v>
      </c>
      <c r="D188" s="56">
        <v>45670</v>
      </c>
      <c r="E188" s="22" t="s">
        <v>18432</v>
      </c>
      <c r="F188" s="22" t="s">
        <v>33</v>
      </c>
      <c r="G188" s="22" t="s">
        <v>33</v>
      </c>
      <c r="H188" s="22" t="s">
        <v>703</v>
      </c>
      <c r="I188" s="49" t="s">
        <v>704</v>
      </c>
      <c r="J188" s="50" t="s">
        <v>705</v>
      </c>
      <c r="K188" s="22" t="s">
        <v>18433</v>
      </c>
      <c r="L188" s="22" t="s">
        <v>60</v>
      </c>
      <c r="M188" s="22">
        <v>1</v>
      </c>
      <c r="N188" s="22" t="s">
        <v>740</v>
      </c>
      <c r="O188" s="22"/>
      <c r="P188" s="46" t="s">
        <v>707</v>
      </c>
      <c r="Q188" s="40" t="s">
        <v>627</v>
      </c>
      <c r="R188" s="41">
        <v>45776</v>
      </c>
      <c r="S188" s="22">
        <f t="shared" ref="S188:S251" si="14">IF(A188="","",M188+O188)</f>
        <v>1</v>
      </c>
      <c r="T188" s="41">
        <v>45805</v>
      </c>
      <c r="U188" s="44" t="s">
        <v>571</v>
      </c>
      <c r="V188" s="44" t="s">
        <v>571</v>
      </c>
      <c r="W188" s="44" t="s">
        <v>571</v>
      </c>
      <c r="X188" s="46">
        <v>1</v>
      </c>
      <c r="Y188" s="46" t="s">
        <v>571</v>
      </c>
      <c r="Z188" s="22">
        <v>45834</v>
      </c>
      <c r="AA188" s="22" t="s">
        <v>18538</v>
      </c>
      <c r="AB188" s="22">
        <v>1</v>
      </c>
      <c r="AC188" s="22"/>
      <c r="AD188" s="22"/>
      <c r="AE188" s="22"/>
      <c r="AF188" s="162">
        <f t="shared" si="10"/>
        <v>0</v>
      </c>
      <c r="AG188" s="48">
        <f t="shared" si="11"/>
        <v>0</v>
      </c>
      <c r="AH188" s="48">
        <f t="shared" si="12"/>
        <v>0</v>
      </c>
      <c r="AI188" s="40">
        <f t="shared" si="13"/>
        <v>45797</v>
      </c>
      <c r="AJ188" s="40"/>
      <c r="AK188" s="40"/>
      <c r="AL188" s="146"/>
    </row>
    <row r="189" spans="1:41" ht="17.399999999999999">
      <c r="A189" s="22" t="s">
        <v>18434</v>
      </c>
      <c r="B189" s="22" t="s">
        <v>359</v>
      </c>
      <c r="C189" s="56" t="s">
        <v>18393</v>
      </c>
      <c r="D189" s="56" t="s">
        <v>33</v>
      </c>
      <c r="E189" s="22" t="s">
        <v>33</v>
      </c>
      <c r="F189" s="22" t="s">
        <v>33</v>
      </c>
      <c r="G189" s="22" t="s">
        <v>67</v>
      </c>
      <c r="H189" s="22" t="s">
        <v>1483</v>
      </c>
      <c r="I189" s="49" t="s">
        <v>994</v>
      </c>
      <c r="J189" s="50" t="s">
        <v>1484</v>
      </c>
      <c r="K189" s="22" t="s">
        <v>980</v>
      </c>
      <c r="L189" s="22" t="s">
        <v>60</v>
      </c>
      <c r="M189" s="22">
        <v>1</v>
      </c>
      <c r="N189" s="22" t="s">
        <v>18247</v>
      </c>
      <c r="O189" s="22"/>
      <c r="P189" s="46" t="s">
        <v>681</v>
      </c>
      <c r="Q189" s="40" t="s">
        <v>627</v>
      </c>
      <c r="R189" s="41">
        <v>45776</v>
      </c>
      <c r="S189" s="22">
        <f t="shared" si="14"/>
        <v>1</v>
      </c>
      <c r="T189" s="41">
        <v>45868</v>
      </c>
      <c r="U189" s="44">
        <v>45838</v>
      </c>
      <c r="V189" s="44">
        <v>45841</v>
      </c>
      <c r="W189" s="44" t="s">
        <v>18541</v>
      </c>
      <c r="X189" s="46">
        <v>1</v>
      </c>
      <c r="Y189" s="46" t="s">
        <v>18551</v>
      </c>
      <c r="Z189" s="22"/>
      <c r="AA189" s="22"/>
      <c r="AB189" s="22"/>
      <c r="AC189" s="22"/>
      <c r="AD189" s="22"/>
      <c r="AE189" s="22"/>
      <c r="AF189" s="162">
        <f t="shared" si="10"/>
        <v>0</v>
      </c>
      <c r="AG189" s="48">
        <f t="shared" si="11"/>
        <v>1</v>
      </c>
      <c r="AH189" s="48">
        <f t="shared" si="12"/>
        <v>1</v>
      </c>
      <c r="AI189" s="40">
        <f t="shared" si="13"/>
        <v>45797</v>
      </c>
      <c r="AJ189" s="40"/>
      <c r="AK189" s="40"/>
      <c r="AL189" s="146"/>
    </row>
    <row r="190" spans="1:41" ht="17.399999999999999">
      <c r="A190" s="22" t="s">
        <v>18438</v>
      </c>
      <c r="B190" s="22" t="s">
        <v>346</v>
      </c>
      <c r="C190" s="56" t="s">
        <v>18439</v>
      </c>
      <c r="D190" s="56" t="s">
        <v>33</v>
      </c>
      <c r="E190" s="22" t="s">
        <v>691</v>
      </c>
      <c r="F190" s="22" t="s">
        <v>33</v>
      </c>
      <c r="G190" s="22" t="s">
        <v>18440</v>
      </c>
      <c r="H190" s="22" t="s">
        <v>354</v>
      </c>
      <c r="I190" s="49" t="s">
        <v>355</v>
      </c>
      <c r="J190" s="50" t="s">
        <v>356</v>
      </c>
      <c r="K190" s="22" t="s">
        <v>346</v>
      </c>
      <c r="L190" s="22" t="s">
        <v>52</v>
      </c>
      <c r="M190" s="22">
        <v>92</v>
      </c>
      <c r="N190" s="22" t="s">
        <v>18441</v>
      </c>
      <c r="O190" s="22"/>
      <c r="P190" s="46" t="s">
        <v>18088</v>
      </c>
      <c r="Q190" s="40" t="s">
        <v>627</v>
      </c>
      <c r="R190" s="41">
        <v>45782</v>
      </c>
      <c r="S190" s="22">
        <f t="shared" si="14"/>
        <v>92</v>
      </c>
      <c r="T190" s="41">
        <v>45798</v>
      </c>
      <c r="U190" s="44">
        <v>45792</v>
      </c>
      <c r="V190" s="44">
        <v>45797</v>
      </c>
      <c r="W190" s="44" t="s">
        <v>18466</v>
      </c>
      <c r="X190" s="46">
        <v>92</v>
      </c>
      <c r="Y190" s="46" t="s">
        <v>18468</v>
      </c>
      <c r="Z190" s="22"/>
      <c r="AA190" s="22"/>
      <c r="AB190" s="22"/>
      <c r="AC190" s="22"/>
      <c r="AD190" s="22"/>
      <c r="AE190" s="22"/>
      <c r="AF190" s="162">
        <f t="shared" si="10"/>
        <v>0</v>
      </c>
      <c r="AG190" s="48">
        <f t="shared" si="11"/>
        <v>92</v>
      </c>
      <c r="AH190" s="48">
        <f t="shared" si="12"/>
        <v>92</v>
      </c>
      <c r="AI190" s="40">
        <f t="shared" si="13"/>
        <v>45803</v>
      </c>
      <c r="AJ190" s="40"/>
      <c r="AK190" s="40"/>
      <c r="AL190" s="146"/>
    </row>
    <row r="191" spans="1:41" ht="17.399999999999999">
      <c r="A191" s="22" t="s">
        <v>18445</v>
      </c>
      <c r="B191" s="22" t="s">
        <v>346</v>
      </c>
      <c r="C191" s="56" t="s">
        <v>18446</v>
      </c>
      <c r="D191" s="56" t="s">
        <v>33</v>
      </c>
      <c r="E191" s="22" t="s">
        <v>33</v>
      </c>
      <c r="F191" s="22" t="s">
        <v>33</v>
      </c>
      <c r="G191" s="22" t="s">
        <v>18447</v>
      </c>
      <c r="H191" s="22" t="s">
        <v>351</v>
      </c>
      <c r="I191" s="49" t="s">
        <v>344</v>
      </c>
      <c r="J191" s="50" t="s">
        <v>353</v>
      </c>
      <c r="K191" s="22" t="s">
        <v>346</v>
      </c>
      <c r="L191" s="22" t="s">
        <v>60</v>
      </c>
      <c r="M191" s="22">
        <v>25</v>
      </c>
      <c r="N191" s="22" t="s">
        <v>18448</v>
      </c>
      <c r="O191" s="22"/>
      <c r="P191" s="46" t="s">
        <v>18088</v>
      </c>
      <c r="Q191" s="40" t="s">
        <v>627</v>
      </c>
      <c r="R191" s="41">
        <v>45784</v>
      </c>
      <c r="S191" s="22">
        <f t="shared" si="14"/>
        <v>25</v>
      </c>
      <c r="T191" s="41">
        <v>45798</v>
      </c>
      <c r="U191" s="44">
        <v>45792</v>
      </c>
      <c r="V191" s="44">
        <v>45797</v>
      </c>
      <c r="W191" s="44" t="s">
        <v>18466</v>
      </c>
      <c r="X191" s="46">
        <v>25</v>
      </c>
      <c r="Y191" s="46" t="s">
        <v>18468</v>
      </c>
      <c r="Z191" s="22"/>
      <c r="AA191" s="22"/>
      <c r="AB191" s="22"/>
      <c r="AC191" s="22"/>
      <c r="AD191" s="22"/>
      <c r="AE191" s="22"/>
      <c r="AF191" s="162">
        <f t="shared" si="10"/>
        <v>0</v>
      </c>
      <c r="AG191" s="48">
        <f t="shared" si="11"/>
        <v>25</v>
      </c>
      <c r="AH191" s="48">
        <f t="shared" si="12"/>
        <v>25</v>
      </c>
      <c r="AI191" s="40">
        <f t="shared" si="13"/>
        <v>45805</v>
      </c>
      <c r="AJ191" s="40"/>
      <c r="AK191" s="40"/>
      <c r="AL191" s="146"/>
    </row>
    <row r="192" spans="1:41" ht="17.399999999999999">
      <c r="A192" s="22" t="s">
        <v>18449</v>
      </c>
      <c r="B192" s="22" t="s">
        <v>346</v>
      </c>
      <c r="C192" s="56" t="s">
        <v>18450</v>
      </c>
      <c r="D192" s="56" t="s">
        <v>33</v>
      </c>
      <c r="E192" s="22" t="s">
        <v>33</v>
      </c>
      <c r="F192" s="22"/>
      <c r="G192" s="22" t="s">
        <v>33</v>
      </c>
      <c r="H192" s="22" t="s">
        <v>366</v>
      </c>
      <c r="I192" s="49" t="s">
        <v>362</v>
      </c>
      <c r="J192" s="50" t="s">
        <v>367</v>
      </c>
      <c r="K192" s="22" t="s">
        <v>346</v>
      </c>
      <c r="L192" s="22" t="s">
        <v>60</v>
      </c>
      <c r="M192" s="22">
        <v>58</v>
      </c>
      <c r="N192" s="22" t="s">
        <v>18451</v>
      </c>
      <c r="O192" s="22"/>
      <c r="P192" s="46" t="s">
        <v>18088</v>
      </c>
      <c r="Q192" s="40" t="s">
        <v>627</v>
      </c>
      <c r="R192" s="41">
        <v>45786</v>
      </c>
      <c r="S192" s="22">
        <f t="shared" si="14"/>
        <v>58</v>
      </c>
      <c r="T192" s="41">
        <v>45798</v>
      </c>
      <c r="U192" s="44">
        <v>45792</v>
      </c>
      <c r="V192" s="44">
        <v>45797</v>
      </c>
      <c r="W192" s="44" t="s">
        <v>18466</v>
      </c>
      <c r="X192" s="46">
        <v>58</v>
      </c>
      <c r="Y192" s="46" t="s">
        <v>18468</v>
      </c>
      <c r="Z192" s="22"/>
      <c r="AA192" s="22"/>
      <c r="AB192" s="22"/>
      <c r="AC192" s="22"/>
      <c r="AD192" s="22"/>
      <c r="AE192" s="22"/>
      <c r="AF192" s="162">
        <f t="shared" si="10"/>
        <v>0</v>
      </c>
      <c r="AG192" s="48">
        <f t="shared" si="11"/>
        <v>58</v>
      </c>
      <c r="AH192" s="48">
        <f t="shared" si="12"/>
        <v>58</v>
      </c>
      <c r="AI192" s="40">
        <f t="shared" si="13"/>
        <v>45807</v>
      </c>
      <c r="AJ192" s="40"/>
      <c r="AK192" s="40"/>
      <c r="AL192" s="146"/>
    </row>
    <row r="193" spans="1:38" ht="17.399999999999999">
      <c r="A193" s="22" t="s">
        <v>18452</v>
      </c>
      <c r="B193" s="22" t="s">
        <v>18453</v>
      </c>
      <c r="C193" s="56">
        <v>45765</v>
      </c>
      <c r="D193" s="56">
        <v>45608</v>
      </c>
      <c r="E193" s="22" t="s">
        <v>18454</v>
      </c>
      <c r="F193" s="22" t="s">
        <v>33</v>
      </c>
      <c r="G193" s="22" t="s">
        <v>33</v>
      </c>
      <c r="H193" s="22" t="s">
        <v>5285</v>
      </c>
      <c r="I193" s="49" t="s">
        <v>213</v>
      </c>
      <c r="J193" s="50" t="s">
        <v>5286</v>
      </c>
      <c r="K193" s="22" t="s">
        <v>215</v>
      </c>
      <c r="L193" s="22" t="s">
        <v>60</v>
      </c>
      <c r="M193" s="22">
        <v>115</v>
      </c>
      <c r="N193" s="22" t="s">
        <v>18455</v>
      </c>
      <c r="O193" s="22"/>
      <c r="P193" s="46" t="s">
        <v>685</v>
      </c>
      <c r="Q193" s="40" t="s">
        <v>627</v>
      </c>
      <c r="R193" s="41">
        <v>45786</v>
      </c>
      <c r="S193" s="22">
        <f t="shared" si="14"/>
        <v>115</v>
      </c>
      <c r="T193" s="41">
        <v>45798</v>
      </c>
      <c r="U193" s="44">
        <v>45792</v>
      </c>
      <c r="V193" s="44">
        <v>45797</v>
      </c>
      <c r="W193" s="44" t="s">
        <v>18467</v>
      </c>
      <c r="X193" s="46">
        <v>115</v>
      </c>
      <c r="Y193" s="46" t="s">
        <v>18469</v>
      </c>
      <c r="Z193" s="22"/>
      <c r="AA193" s="22"/>
      <c r="AB193" s="22"/>
      <c r="AC193" s="22"/>
      <c r="AD193" s="22"/>
      <c r="AE193" s="22"/>
      <c r="AF193" s="162">
        <f t="shared" si="10"/>
        <v>0</v>
      </c>
      <c r="AG193" s="48">
        <f t="shared" si="11"/>
        <v>115</v>
      </c>
      <c r="AH193" s="48">
        <f t="shared" si="12"/>
        <v>115</v>
      </c>
      <c r="AI193" s="40">
        <f t="shared" si="13"/>
        <v>45807</v>
      </c>
      <c r="AJ193" s="40"/>
      <c r="AK193" s="40"/>
      <c r="AL193" s="146"/>
    </row>
    <row r="194" spans="1:38" ht="17.399999999999999">
      <c r="A194" s="22" t="s">
        <v>18458</v>
      </c>
      <c r="B194" s="22" t="s">
        <v>18459</v>
      </c>
      <c r="C194" s="56">
        <v>45784</v>
      </c>
      <c r="D194" s="56" t="s">
        <v>18499</v>
      </c>
      <c r="E194" s="22" t="s">
        <v>18500</v>
      </c>
      <c r="F194" s="22" t="s">
        <v>33</v>
      </c>
      <c r="G194" s="22" t="s">
        <v>33</v>
      </c>
      <c r="H194" s="22" t="s">
        <v>3460</v>
      </c>
      <c r="I194" s="49" t="s">
        <v>745</v>
      </c>
      <c r="J194" s="50" t="s">
        <v>3461</v>
      </c>
      <c r="K194" s="22" t="s">
        <v>70</v>
      </c>
      <c r="L194" s="22" t="s">
        <v>60</v>
      </c>
      <c r="M194" s="22">
        <v>3</v>
      </c>
      <c r="N194" s="22" t="s">
        <v>18460</v>
      </c>
      <c r="O194" s="22"/>
      <c r="P194" s="46" t="s">
        <v>19055</v>
      </c>
      <c r="Q194" s="40" t="s">
        <v>627</v>
      </c>
      <c r="R194" s="41">
        <v>45790</v>
      </c>
      <c r="S194" s="22">
        <f t="shared" si="14"/>
        <v>3</v>
      </c>
      <c r="T194" s="41">
        <v>45832</v>
      </c>
      <c r="U194" s="44">
        <v>45820</v>
      </c>
      <c r="V194" s="44">
        <v>45832</v>
      </c>
      <c r="W194" s="44" t="s">
        <v>18526</v>
      </c>
      <c r="X194" s="46">
        <v>3</v>
      </c>
      <c r="Y194" s="46" t="s">
        <v>18530</v>
      </c>
      <c r="Z194" s="22">
        <v>45953</v>
      </c>
      <c r="AA194" s="22" t="s">
        <v>18875</v>
      </c>
      <c r="AB194" s="22">
        <v>3</v>
      </c>
      <c r="AC194" s="22"/>
      <c r="AD194" s="22"/>
      <c r="AE194" s="22"/>
      <c r="AF194" s="162">
        <f t="shared" si="10"/>
        <v>0</v>
      </c>
      <c r="AG194" s="48">
        <f t="shared" si="11"/>
        <v>0</v>
      </c>
      <c r="AH194" s="48">
        <f t="shared" si="12"/>
        <v>0</v>
      </c>
      <c r="AI194" s="40">
        <f t="shared" si="13"/>
        <v>45811</v>
      </c>
      <c r="AJ194" s="40">
        <v>45978</v>
      </c>
      <c r="AK194" s="40"/>
      <c r="AL194" s="146"/>
    </row>
    <row r="195" spans="1:38" ht="17.399999999999999">
      <c r="A195" s="22" t="s">
        <v>18461</v>
      </c>
      <c r="B195" s="22" t="s">
        <v>18462</v>
      </c>
      <c r="C195" s="56">
        <v>45749</v>
      </c>
      <c r="D195" s="56">
        <v>45482</v>
      </c>
      <c r="E195" s="22" t="s">
        <v>18463</v>
      </c>
      <c r="F195" s="22" t="s">
        <v>33</v>
      </c>
      <c r="G195" s="22" t="s">
        <v>33</v>
      </c>
      <c r="H195" s="22" t="s">
        <v>3025</v>
      </c>
      <c r="I195" s="49" t="s">
        <v>1070</v>
      </c>
      <c r="J195" s="50" t="s">
        <v>3026</v>
      </c>
      <c r="K195" s="22" t="s">
        <v>18464</v>
      </c>
      <c r="L195" s="22" t="s">
        <v>60</v>
      </c>
      <c r="M195" s="22">
        <v>6</v>
      </c>
      <c r="N195" s="22" t="s">
        <v>18465</v>
      </c>
      <c r="O195" s="22"/>
      <c r="P195" s="46" t="s">
        <v>19054</v>
      </c>
      <c r="Q195" s="40" t="s">
        <v>627</v>
      </c>
      <c r="R195" s="41">
        <v>45793</v>
      </c>
      <c r="S195" s="22">
        <f t="shared" si="14"/>
        <v>6</v>
      </c>
      <c r="T195" s="41">
        <v>45813</v>
      </c>
      <c r="U195" s="44">
        <v>45803</v>
      </c>
      <c r="V195" s="44">
        <v>45813</v>
      </c>
      <c r="W195" s="44" t="s">
        <v>18497</v>
      </c>
      <c r="X195" s="46">
        <v>6</v>
      </c>
      <c r="Y195" s="46" t="s">
        <v>18498</v>
      </c>
      <c r="Z195" s="22"/>
      <c r="AA195" s="22"/>
      <c r="AB195" s="22"/>
      <c r="AC195" s="22"/>
      <c r="AD195" s="22"/>
      <c r="AE195" s="22"/>
      <c r="AF195" s="162">
        <f t="shared" ref="AF195:AF258" si="15">IF(A195="","",S195-X195)</f>
        <v>0</v>
      </c>
      <c r="AG195" s="48">
        <f t="shared" ref="AG195:AG258" si="16">IF(A195="","",X195-(AB195+AE195))</f>
        <v>6</v>
      </c>
      <c r="AH195" s="48">
        <f t="shared" ref="AH195:AH258" si="17">IF(A195="","",AF195+AG195)</f>
        <v>6</v>
      </c>
      <c r="AI195" s="40">
        <f t="shared" si="13"/>
        <v>45814</v>
      </c>
      <c r="AJ195" s="40"/>
      <c r="AK195" s="40"/>
      <c r="AL195" s="146"/>
    </row>
    <row r="196" spans="1:38" ht="17.399999999999999">
      <c r="A196" s="22" t="s">
        <v>18470</v>
      </c>
      <c r="B196" s="22" t="s">
        <v>720</v>
      </c>
      <c r="C196" s="56">
        <v>45768</v>
      </c>
      <c r="D196" s="56">
        <v>45764</v>
      </c>
      <c r="E196" s="22" t="s">
        <v>18471</v>
      </c>
      <c r="F196" s="22" t="s">
        <v>33</v>
      </c>
      <c r="G196" s="22" t="s">
        <v>33</v>
      </c>
      <c r="H196" s="22" t="s">
        <v>8117</v>
      </c>
      <c r="I196" s="49" t="s">
        <v>2137</v>
      </c>
      <c r="J196" s="50" t="s">
        <v>8118</v>
      </c>
      <c r="K196" s="22" t="s">
        <v>493</v>
      </c>
      <c r="L196" s="22" t="s">
        <v>60</v>
      </c>
      <c r="M196" s="22">
        <v>12</v>
      </c>
      <c r="N196" s="22" t="s">
        <v>18472</v>
      </c>
      <c r="O196" s="22"/>
      <c r="P196" s="46" t="s">
        <v>5279</v>
      </c>
      <c r="Q196" s="40" t="s">
        <v>627</v>
      </c>
      <c r="R196" s="41">
        <v>45798</v>
      </c>
      <c r="S196" s="22">
        <f t="shared" si="14"/>
        <v>12</v>
      </c>
      <c r="T196" s="41">
        <v>45803</v>
      </c>
      <c r="U196" s="44" t="s">
        <v>571</v>
      </c>
      <c r="V196" s="44" t="s">
        <v>571</v>
      </c>
      <c r="W196" s="44" t="s">
        <v>571</v>
      </c>
      <c r="X196" s="46">
        <v>12</v>
      </c>
      <c r="Y196" s="46" t="s">
        <v>571</v>
      </c>
      <c r="Z196" s="22">
        <v>45819</v>
      </c>
      <c r="AA196" s="22" t="s">
        <v>18876</v>
      </c>
      <c r="AB196" s="22">
        <v>12</v>
      </c>
      <c r="AC196" s="22"/>
      <c r="AD196" s="22"/>
      <c r="AE196" s="22"/>
      <c r="AF196" s="162">
        <f t="shared" si="15"/>
        <v>0</v>
      </c>
      <c r="AG196" s="48">
        <f t="shared" si="16"/>
        <v>0</v>
      </c>
      <c r="AH196" s="48">
        <f t="shared" si="17"/>
        <v>0</v>
      </c>
      <c r="AI196" s="40">
        <f t="shared" si="13"/>
        <v>45819</v>
      </c>
      <c r="AJ196" s="40"/>
      <c r="AK196" s="40"/>
      <c r="AL196" s="146"/>
    </row>
    <row r="197" spans="1:38" ht="17.399999999999999">
      <c r="A197" s="22" t="s">
        <v>18473</v>
      </c>
      <c r="B197" s="22" t="s">
        <v>18474</v>
      </c>
      <c r="C197" s="56">
        <v>45769</v>
      </c>
      <c r="D197" s="56">
        <v>45691</v>
      </c>
      <c r="E197" s="22" t="s">
        <v>18475</v>
      </c>
      <c r="F197" s="22" t="s">
        <v>33</v>
      </c>
      <c r="G197" s="22" t="s">
        <v>33</v>
      </c>
      <c r="H197" s="22" t="s">
        <v>3477</v>
      </c>
      <c r="I197" s="49" t="s">
        <v>843</v>
      </c>
      <c r="J197" s="50" t="s">
        <v>4900</v>
      </c>
      <c r="K197" s="22" t="s">
        <v>846</v>
      </c>
      <c r="L197" s="22" t="s">
        <v>99</v>
      </c>
      <c r="M197" s="22">
        <v>1</v>
      </c>
      <c r="N197" s="22" t="s">
        <v>18476</v>
      </c>
      <c r="O197" s="22"/>
      <c r="P197" s="46" t="s">
        <v>19055</v>
      </c>
      <c r="Q197" s="40" t="s">
        <v>627</v>
      </c>
      <c r="R197" s="41">
        <v>45804</v>
      </c>
      <c r="S197" s="22">
        <f t="shared" si="14"/>
        <v>1</v>
      </c>
      <c r="T197" s="41">
        <v>45825</v>
      </c>
      <c r="U197" s="44">
        <v>45813</v>
      </c>
      <c r="V197" s="44">
        <v>45825</v>
      </c>
      <c r="W197" s="44" t="s">
        <v>18511</v>
      </c>
      <c r="X197" s="46">
        <v>1</v>
      </c>
      <c r="Y197" s="46" t="s">
        <v>18512</v>
      </c>
      <c r="Z197" s="22">
        <v>45852</v>
      </c>
      <c r="AA197" s="22" t="s">
        <v>18589</v>
      </c>
      <c r="AB197" s="22">
        <v>1</v>
      </c>
      <c r="AC197" s="22"/>
      <c r="AD197" s="22"/>
      <c r="AE197" s="22"/>
      <c r="AF197" s="162">
        <f t="shared" si="15"/>
        <v>0</v>
      </c>
      <c r="AG197" s="48">
        <f t="shared" si="16"/>
        <v>0</v>
      </c>
      <c r="AH197" s="48">
        <f t="shared" si="17"/>
        <v>0</v>
      </c>
      <c r="AI197" s="40">
        <f t="shared" si="13"/>
        <v>45825</v>
      </c>
      <c r="AJ197" s="40">
        <v>45947</v>
      </c>
      <c r="AK197" s="40"/>
      <c r="AL197" s="146"/>
    </row>
    <row r="198" spans="1:38" ht="17.399999999999999">
      <c r="A198" s="22" t="s">
        <v>18477</v>
      </c>
      <c r="B198" s="22" t="s">
        <v>18478</v>
      </c>
      <c r="C198" s="56">
        <v>45575</v>
      </c>
      <c r="D198" s="56">
        <v>45531</v>
      </c>
      <c r="E198" s="22" t="s">
        <v>18479</v>
      </c>
      <c r="F198" s="22" t="s">
        <v>33</v>
      </c>
      <c r="G198" s="22" t="s">
        <v>33</v>
      </c>
      <c r="H198" s="22">
        <v>313</v>
      </c>
      <c r="I198" s="49" t="s">
        <v>83</v>
      </c>
      <c r="J198" s="50" t="s">
        <v>833</v>
      </c>
      <c r="K198" s="22" t="s">
        <v>18429</v>
      </c>
      <c r="L198" s="22" t="s">
        <v>60</v>
      </c>
      <c r="M198" s="22">
        <v>1</v>
      </c>
      <c r="N198" s="22" t="s">
        <v>18291</v>
      </c>
      <c r="O198" s="22"/>
      <c r="P198" s="46" t="s">
        <v>19055</v>
      </c>
      <c r="Q198" s="40" t="s">
        <v>627</v>
      </c>
      <c r="R198" s="41">
        <v>45804</v>
      </c>
      <c r="S198" s="22">
        <f t="shared" si="14"/>
        <v>1</v>
      </c>
      <c r="T198" s="41">
        <v>45825</v>
      </c>
      <c r="U198" s="44">
        <v>45813</v>
      </c>
      <c r="V198" s="44">
        <v>45825</v>
      </c>
      <c r="W198" s="44" t="s">
        <v>18511</v>
      </c>
      <c r="X198" s="46">
        <v>1</v>
      </c>
      <c r="Y198" s="46" t="s">
        <v>18512</v>
      </c>
      <c r="Z198" s="22"/>
      <c r="AA198" s="22"/>
      <c r="AB198" s="22"/>
      <c r="AC198" s="22">
        <v>45945</v>
      </c>
      <c r="AD198" s="22" t="s">
        <v>18868</v>
      </c>
      <c r="AE198" s="22">
        <v>1</v>
      </c>
      <c r="AF198" s="162">
        <f t="shared" si="15"/>
        <v>0</v>
      </c>
      <c r="AG198" s="48">
        <f t="shared" si="16"/>
        <v>0</v>
      </c>
      <c r="AH198" s="48">
        <f t="shared" si="17"/>
        <v>0</v>
      </c>
      <c r="AI198" s="40">
        <f t="shared" si="13"/>
        <v>45825</v>
      </c>
      <c r="AJ198" s="40">
        <v>45978</v>
      </c>
      <c r="AK198" s="40"/>
      <c r="AL198" s="146"/>
    </row>
    <row r="199" spans="1:38" ht="17.399999999999999">
      <c r="A199" s="22" t="s">
        <v>18480</v>
      </c>
      <c r="B199" s="22" t="s">
        <v>18481</v>
      </c>
      <c r="C199" s="56">
        <v>45567</v>
      </c>
      <c r="D199" s="56">
        <v>45531</v>
      </c>
      <c r="E199" s="22" t="s">
        <v>18479</v>
      </c>
      <c r="F199" s="22" t="s">
        <v>33</v>
      </c>
      <c r="G199" s="22" t="s">
        <v>33</v>
      </c>
      <c r="H199" s="22" t="s">
        <v>842</v>
      </c>
      <c r="I199" s="49" t="s">
        <v>843</v>
      </c>
      <c r="J199" s="50" t="s">
        <v>844</v>
      </c>
      <c r="K199" s="22" t="s">
        <v>760</v>
      </c>
      <c r="L199" s="22" t="s">
        <v>60</v>
      </c>
      <c r="M199" s="22">
        <v>1</v>
      </c>
      <c r="N199" s="22" t="s">
        <v>18291</v>
      </c>
      <c r="O199" s="22"/>
      <c r="P199" s="46" t="s">
        <v>19055</v>
      </c>
      <c r="Q199" s="40" t="s">
        <v>627</v>
      </c>
      <c r="R199" s="41">
        <v>45804</v>
      </c>
      <c r="S199" s="22">
        <f t="shared" si="14"/>
        <v>1</v>
      </c>
      <c r="T199" s="41">
        <v>45825</v>
      </c>
      <c r="U199" s="44">
        <v>45813</v>
      </c>
      <c r="V199" s="44">
        <v>45825</v>
      </c>
      <c r="W199" s="44" t="s">
        <v>18511</v>
      </c>
      <c r="X199" s="46">
        <v>1</v>
      </c>
      <c r="Y199" s="46" t="s">
        <v>18512</v>
      </c>
      <c r="Z199" s="22">
        <v>45953</v>
      </c>
      <c r="AA199" s="22" t="s">
        <v>18875</v>
      </c>
      <c r="AB199" s="22">
        <v>1</v>
      </c>
      <c r="AC199" s="22"/>
      <c r="AD199" s="22"/>
      <c r="AE199" s="22"/>
      <c r="AF199" s="162">
        <f t="shared" si="15"/>
        <v>0</v>
      </c>
      <c r="AG199" s="48">
        <f t="shared" si="16"/>
        <v>0</v>
      </c>
      <c r="AH199" s="48">
        <f t="shared" si="17"/>
        <v>0</v>
      </c>
      <c r="AI199" s="40">
        <f t="shared" si="13"/>
        <v>45825</v>
      </c>
      <c r="AJ199" s="40"/>
      <c r="AK199" s="40"/>
      <c r="AL199" s="146"/>
    </row>
    <row r="200" spans="1:38" ht="17.399999999999999">
      <c r="A200" s="22" t="s">
        <v>18485</v>
      </c>
      <c r="B200" s="22" t="s">
        <v>70</v>
      </c>
      <c r="C200" s="56" t="s">
        <v>18486</v>
      </c>
      <c r="D200" s="56" t="s">
        <v>18142</v>
      </c>
      <c r="E200" s="22" t="s">
        <v>18142</v>
      </c>
      <c r="F200" s="22" t="s">
        <v>33</v>
      </c>
      <c r="G200" s="22" t="s">
        <v>33</v>
      </c>
      <c r="H200" s="22" t="s">
        <v>3427</v>
      </c>
      <c r="I200" s="49" t="s">
        <v>68</v>
      </c>
      <c r="J200" s="50" t="s">
        <v>69</v>
      </c>
      <c r="K200" s="22" t="s">
        <v>70</v>
      </c>
      <c r="L200" s="22" t="s">
        <v>71</v>
      </c>
      <c r="M200" s="22">
        <v>3517.5</v>
      </c>
      <c r="N200" s="22" t="s">
        <v>18493</v>
      </c>
      <c r="O200" s="22"/>
      <c r="P200" s="46" t="s">
        <v>19055</v>
      </c>
      <c r="Q200" s="40" t="s">
        <v>627</v>
      </c>
      <c r="R200" s="41">
        <v>45805</v>
      </c>
      <c r="S200" s="22">
        <f t="shared" si="14"/>
        <v>3517.5</v>
      </c>
      <c r="T200" s="41">
        <v>45806</v>
      </c>
      <c r="U200" s="144" t="s">
        <v>571</v>
      </c>
      <c r="V200" s="144" t="s">
        <v>571</v>
      </c>
      <c r="W200" s="144" t="s">
        <v>571</v>
      </c>
      <c r="X200" s="145">
        <v>3517.5</v>
      </c>
      <c r="Y200" s="46" t="s">
        <v>571</v>
      </c>
      <c r="Z200" s="22"/>
      <c r="AA200" s="22"/>
      <c r="AB200" s="22"/>
      <c r="AC200" s="22">
        <v>45945</v>
      </c>
      <c r="AD200" s="22" t="s">
        <v>18868</v>
      </c>
      <c r="AE200" s="22">
        <v>3517.5</v>
      </c>
      <c r="AF200" s="162">
        <f t="shared" si="15"/>
        <v>0</v>
      </c>
      <c r="AG200" s="48">
        <f t="shared" si="16"/>
        <v>0</v>
      </c>
      <c r="AH200" s="48">
        <f t="shared" si="17"/>
        <v>0</v>
      </c>
      <c r="AI200" s="40">
        <f t="shared" si="13"/>
        <v>45826</v>
      </c>
      <c r="AJ200" s="40">
        <v>45812</v>
      </c>
      <c r="AK200" s="40"/>
      <c r="AL200" s="146"/>
    </row>
    <row r="201" spans="1:38" ht="17.399999999999999">
      <c r="A201" s="22" t="s">
        <v>18488</v>
      </c>
      <c r="B201" s="22" t="s">
        <v>50</v>
      </c>
      <c r="C201" s="56" t="s">
        <v>18489</v>
      </c>
      <c r="D201" s="56">
        <v>45791</v>
      </c>
      <c r="E201" s="22" t="s">
        <v>18490</v>
      </c>
      <c r="F201" s="22">
        <v>1000</v>
      </c>
      <c r="G201" s="22" t="s">
        <v>18491</v>
      </c>
      <c r="H201" s="22" t="s">
        <v>18482</v>
      </c>
      <c r="I201" s="49" t="s">
        <v>440</v>
      </c>
      <c r="J201" s="50" t="s">
        <v>18483</v>
      </c>
      <c r="K201" s="22" t="s">
        <v>215</v>
      </c>
      <c r="L201" s="22" t="s">
        <v>60</v>
      </c>
      <c r="M201" s="22">
        <v>16</v>
      </c>
      <c r="N201" s="22" t="s">
        <v>18492</v>
      </c>
      <c r="O201" s="22"/>
      <c r="P201" s="46" t="s">
        <v>18487</v>
      </c>
      <c r="Q201" s="40" t="s">
        <v>627</v>
      </c>
      <c r="R201" s="41">
        <v>45804</v>
      </c>
      <c r="S201" s="22">
        <f t="shared" si="14"/>
        <v>16</v>
      </c>
      <c r="T201" s="41">
        <v>45806</v>
      </c>
      <c r="U201" s="144">
        <v>45883</v>
      </c>
      <c r="V201" s="144">
        <v>45890</v>
      </c>
      <c r="W201" s="144" t="s">
        <v>18691</v>
      </c>
      <c r="X201" s="145">
        <v>16</v>
      </c>
      <c r="Y201" s="46" t="s">
        <v>18692</v>
      </c>
      <c r="Z201" s="22">
        <v>45999</v>
      </c>
      <c r="AA201" s="22" t="s">
        <v>18998</v>
      </c>
      <c r="AB201" s="22">
        <v>9</v>
      </c>
      <c r="AC201" s="22">
        <v>45986</v>
      </c>
      <c r="AD201" s="22" t="s">
        <v>18996</v>
      </c>
      <c r="AE201" s="22">
        <v>7</v>
      </c>
      <c r="AF201" s="162">
        <f t="shared" si="15"/>
        <v>0</v>
      </c>
      <c r="AG201" s="48">
        <f t="shared" si="16"/>
        <v>0</v>
      </c>
      <c r="AH201" s="48">
        <f t="shared" si="17"/>
        <v>0</v>
      </c>
      <c r="AI201" s="40">
        <f t="shared" si="13"/>
        <v>45825</v>
      </c>
      <c r="AJ201" s="40"/>
      <c r="AK201" s="40"/>
      <c r="AL201" s="146"/>
    </row>
    <row r="202" spans="1:38" ht="17.399999999999999">
      <c r="A202" s="22" t="s">
        <v>18494</v>
      </c>
      <c r="B202" s="22" t="s">
        <v>359</v>
      </c>
      <c r="C202" s="56" t="s">
        <v>18495</v>
      </c>
      <c r="D202" s="56" t="s">
        <v>33</v>
      </c>
      <c r="E202" s="22" t="s">
        <v>33</v>
      </c>
      <c r="F202" s="22" t="s">
        <v>33</v>
      </c>
      <c r="G202" s="22" t="s">
        <v>67</v>
      </c>
      <c r="H202" s="22" t="s">
        <v>1483</v>
      </c>
      <c r="I202" s="49" t="s">
        <v>994</v>
      </c>
      <c r="J202" s="50" t="s">
        <v>1484</v>
      </c>
      <c r="K202" s="22" t="s">
        <v>980</v>
      </c>
      <c r="L202" s="22" t="s">
        <v>60</v>
      </c>
      <c r="M202" s="22">
        <v>2</v>
      </c>
      <c r="N202" s="22" t="s">
        <v>18531</v>
      </c>
      <c r="O202" s="22"/>
      <c r="P202" s="46" t="s">
        <v>681</v>
      </c>
      <c r="Q202" s="40" t="s">
        <v>627</v>
      </c>
      <c r="R202" s="41">
        <v>45806</v>
      </c>
      <c r="S202" s="22">
        <f t="shared" si="14"/>
        <v>2</v>
      </c>
      <c r="T202" s="41">
        <v>45832</v>
      </c>
      <c r="U202" s="144">
        <v>45826</v>
      </c>
      <c r="V202" s="144">
        <v>45832</v>
      </c>
      <c r="W202" s="144" t="s">
        <v>18525</v>
      </c>
      <c r="X202" s="145">
        <v>2</v>
      </c>
      <c r="Y202" s="46" t="s">
        <v>18527</v>
      </c>
      <c r="Z202" s="22"/>
      <c r="AA202" s="22"/>
      <c r="AB202" s="22"/>
      <c r="AC202" s="22"/>
      <c r="AD202" s="22"/>
      <c r="AE202" s="22"/>
      <c r="AF202" s="162">
        <f t="shared" si="15"/>
        <v>0</v>
      </c>
      <c r="AG202" s="48">
        <f t="shared" si="16"/>
        <v>2</v>
      </c>
      <c r="AH202" s="48">
        <f t="shared" si="17"/>
        <v>2</v>
      </c>
      <c r="AI202" s="40">
        <f t="shared" si="13"/>
        <v>45827</v>
      </c>
      <c r="AJ202" s="40"/>
      <c r="AK202" s="40"/>
      <c r="AL202" s="146"/>
    </row>
    <row r="203" spans="1:38" ht="17.399999999999999">
      <c r="A203" s="22" t="s">
        <v>18501</v>
      </c>
      <c r="B203" s="22" t="s">
        <v>18502</v>
      </c>
      <c r="C203" s="56">
        <v>45805</v>
      </c>
      <c r="D203" s="56">
        <v>45796</v>
      </c>
      <c r="E203" s="22" t="s">
        <v>18503</v>
      </c>
      <c r="F203" s="22" t="s">
        <v>33</v>
      </c>
      <c r="G203" s="22" t="s">
        <v>33</v>
      </c>
      <c r="H203" s="22" t="s">
        <v>5246</v>
      </c>
      <c r="I203" s="49" t="s">
        <v>83</v>
      </c>
      <c r="J203" s="50" t="s">
        <v>5247</v>
      </c>
      <c r="K203" s="22" t="s">
        <v>18504</v>
      </c>
      <c r="L203" s="22" t="s">
        <v>60</v>
      </c>
      <c r="M203" s="22">
        <v>1</v>
      </c>
      <c r="N203" s="22" t="s">
        <v>18505</v>
      </c>
      <c r="O203" s="22"/>
      <c r="P203" s="46" t="s">
        <v>19055</v>
      </c>
      <c r="Q203" s="40" t="s">
        <v>627</v>
      </c>
      <c r="R203" s="41">
        <v>45818</v>
      </c>
      <c r="S203" s="22">
        <f t="shared" si="14"/>
        <v>1</v>
      </c>
      <c r="T203" s="41">
        <v>45832</v>
      </c>
      <c r="U203" s="144">
        <v>45826</v>
      </c>
      <c r="V203" s="144">
        <v>45832</v>
      </c>
      <c r="W203" s="144" t="s">
        <v>18526</v>
      </c>
      <c r="X203" s="145">
        <v>1</v>
      </c>
      <c r="Y203" s="46" t="s">
        <v>18529</v>
      </c>
      <c r="Z203" s="22"/>
      <c r="AA203" s="22"/>
      <c r="AB203" s="22"/>
      <c r="AC203" s="22">
        <v>45945</v>
      </c>
      <c r="AD203" s="22" t="s">
        <v>18868</v>
      </c>
      <c r="AE203" s="22">
        <v>1</v>
      </c>
      <c r="AF203" s="162">
        <f t="shared" si="15"/>
        <v>0</v>
      </c>
      <c r="AG203" s="48">
        <f t="shared" si="16"/>
        <v>0</v>
      </c>
      <c r="AH203" s="48">
        <f t="shared" si="17"/>
        <v>0</v>
      </c>
      <c r="AI203" s="40">
        <f t="shared" si="13"/>
        <v>45839</v>
      </c>
      <c r="AJ203" s="40">
        <v>45947</v>
      </c>
      <c r="AK203" s="40"/>
      <c r="AL203" s="146"/>
    </row>
    <row r="204" spans="1:38" ht="17.399999999999999">
      <c r="A204" s="22" t="s">
        <v>18506</v>
      </c>
      <c r="B204" s="22" t="s">
        <v>18478</v>
      </c>
      <c r="C204" s="56" t="s">
        <v>18507</v>
      </c>
      <c r="D204" s="56" t="s">
        <v>18508</v>
      </c>
      <c r="E204" s="22" t="s">
        <v>18509</v>
      </c>
      <c r="F204" s="22" t="s">
        <v>33</v>
      </c>
      <c r="G204" s="22" t="s">
        <v>33</v>
      </c>
      <c r="H204" s="22">
        <v>313</v>
      </c>
      <c r="I204" s="49" t="s">
        <v>83</v>
      </c>
      <c r="J204" s="50" t="s">
        <v>833</v>
      </c>
      <c r="K204" s="22" t="s">
        <v>18429</v>
      </c>
      <c r="L204" s="22" t="s">
        <v>60</v>
      </c>
      <c r="M204" s="22">
        <v>5</v>
      </c>
      <c r="N204" s="22" t="s">
        <v>18510</v>
      </c>
      <c r="O204" s="22"/>
      <c r="P204" s="46" t="s">
        <v>19055</v>
      </c>
      <c r="Q204" s="40" t="s">
        <v>627</v>
      </c>
      <c r="R204" s="41">
        <v>45819</v>
      </c>
      <c r="S204" s="22">
        <f t="shared" si="14"/>
        <v>5</v>
      </c>
      <c r="T204" s="41">
        <v>45832</v>
      </c>
      <c r="U204" s="144">
        <v>45826</v>
      </c>
      <c r="V204" s="144">
        <v>45832</v>
      </c>
      <c r="W204" s="144" t="s">
        <v>18526</v>
      </c>
      <c r="X204" s="145">
        <v>5</v>
      </c>
      <c r="Y204" s="46" t="s">
        <v>18529</v>
      </c>
      <c r="Z204" s="22">
        <v>45953</v>
      </c>
      <c r="AA204" s="22" t="s">
        <v>18875</v>
      </c>
      <c r="AB204" s="22">
        <v>2</v>
      </c>
      <c r="AC204" s="22">
        <v>45945</v>
      </c>
      <c r="AD204" s="22" t="s">
        <v>18868</v>
      </c>
      <c r="AE204" s="22">
        <v>3</v>
      </c>
      <c r="AF204" s="162">
        <f t="shared" si="15"/>
        <v>0</v>
      </c>
      <c r="AG204" s="48">
        <f t="shared" si="16"/>
        <v>0</v>
      </c>
      <c r="AH204" s="48">
        <f t="shared" si="17"/>
        <v>0</v>
      </c>
      <c r="AI204" s="40">
        <f t="shared" si="13"/>
        <v>45840</v>
      </c>
      <c r="AJ204" s="40">
        <v>45978</v>
      </c>
      <c r="AK204" s="40"/>
      <c r="AL204" s="146"/>
    </row>
    <row r="205" spans="1:38" ht="17.399999999999999">
      <c r="A205" s="22" t="s">
        <v>18513</v>
      </c>
      <c r="B205" s="22" t="s">
        <v>18514</v>
      </c>
      <c r="C205" s="56">
        <v>45721</v>
      </c>
      <c r="D205" s="56">
        <v>45670</v>
      </c>
      <c r="E205" s="22" t="s">
        <v>18515</v>
      </c>
      <c r="F205" s="22" t="s">
        <v>33</v>
      </c>
      <c r="G205" s="22" t="s">
        <v>33</v>
      </c>
      <c r="H205" s="22" t="s">
        <v>1774</v>
      </c>
      <c r="I205" s="49" t="s">
        <v>1775</v>
      </c>
      <c r="J205" s="50" t="s">
        <v>1775</v>
      </c>
      <c r="K205" s="22" t="s">
        <v>18106</v>
      </c>
      <c r="L205" s="22" t="s">
        <v>60</v>
      </c>
      <c r="M205" s="22">
        <v>1</v>
      </c>
      <c r="N205" s="22" t="s">
        <v>18516</v>
      </c>
      <c r="O205" s="22"/>
      <c r="P205" s="46" t="s">
        <v>685</v>
      </c>
      <c r="Q205" s="40" t="s">
        <v>627</v>
      </c>
      <c r="R205" s="41">
        <v>45826</v>
      </c>
      <c r="S205" s="22">
        <f t="shared" si="14"/>
        <v>1</v>
      </c>
      <c r="T205" s="41">
        <v>45841</v>
      </c>
      <c r="U205" s="144">
        <v>45833</v>
      </c>
      <c r="V205" s="144">
        <v>45841</v>
      </c>
      <c r="W205" s="144" t="s">
        <v>18542</v>
      </c>
      <c r="X205" s="145">
        <v>1</v>
      </c>
      <c r="Y205" s="46" t="s">
        <v>18552</v>
      </c>
      <c r="Z205" s="22"/>
      <c r="AA205" s="22"/>
      <c r="AB205" s="22"/>
      <c r="AC205" s="22"/>
      <c r="AD205" s="22"/>
      <c r="AE205" s="22"/>
      <c r="AF205" s="162">
        <f t="shared" si="15"/>
        <v>0</v>
      </c>
      <c r="AG205" s="48">
        <f t="shared" si="16"/>
        <v>1</v>
      </c>
      <c r="AH205" s="48">
        <f t="shared" si="17"/>
        <v>1</v>
      </c>
      <c r="AI205" s="40">
        <f t="shared" si="13"/>
        <v>45847</v>
      </c>
      <c r="AJ205" s="40">
        <v>45852</v>
      </c>
      <c r="AK205" s="40"/>
      <c r="AL205" s="146"/>
    </row>
    <row r="206" spans="1:38" ht="17.399999999999999">
      <c r="A206" s="22" t="s">
        <v>18517</v>
      </c>
      <c r="B206" s="22" t="s">
        <v>716</v>
      </c>
      <c r="C206" s="56">
        <v>45726</v>
      </c>
      <c r="D206" s="56">
        <v>45645</v>
      </c>
      <c r="E206" s="22" t="s">
        <v>18518</v>
      </c>
      <c r="F206" s="22" t="s">
        <v>33</v>
      </c>
      <c r="G206" s="22" t="s">
        <v>33</v>
      </c>
      <c r="H206" s="22" t="s">
        <v>5032</v>
      </c>
      <c r="I206" s="49" t="s">
        <v>5033</v>
      </c>
      <c r="J206" s="50" t="s">
        <v>5034</v>
      </c>
      <c r="K206" s="22" t="s">
        <v>493</v>
      </c>
      <c r="L206" s="22" t="s">
        <v>60</v>
      </c>
      <c r="M206" s="22">
        <v>1</v>
      </c>
      <c r="N206" s="22" t="s">
        <v>18519</v>
      </c>
      <c r="O206" s="22"/>
      <c r="P206" s="46" t="s">
        <v>685</v>
      </c>
      <c r="Q206" s="40" t="s">
        <v>627</v>
      </c>
      <c r="R206" s="41">
        <v>45826</v>
      </c>
      <c r="S206" s="22">
        <f t="shared" si="14"/>
        <v>1</v>
      </c>
      <c r="T206" s="41">
        <v>45832</v>
      </c>
      <c r="U206" s="144" t="s">
        <v>571</v>
      </c>
      <c r="V206" s="144" t="s">
        <v>571</v>
      </c>
      <c r="W206" s="144" t="s">
        <v>571</v>
      </c>
      <c r="X206" s="145">
        <v>1</v>
      </c>
      <c r="Y206" s="46" t="s">
        <v>571</v>
      </c>
      <c r="Z206" s="22"/>
      <c r="AA206" s="22"/>
      <c r="AB206" s="22"/>
      <c r="AC206" s="22"/>
      <c r="AD206" s="22"/>
      <c r="AE206" s="22"/>
      <c r="AF206" s="162">
        <f t="shared" si="15"/>
        <v>0</v>
      </c>
      <c r="AG206" s="48">
        <f t="shared" si="16"/>
        <v>1</v>
      </c>
      <c r="AH206" s="48">
        <f t="shared" si="17"/>
        <v>1</v>
      </c>
      <c r="AI206" s="40">
        <f t="shared" si="13"/>
        <v>45847</v>
      </c>
      <c r="AJ206" s="40"/>
      <c r="AK206" s="40"/>
      <c r="AL206" s="146"/>
    </row>
    <row r="207" spans="1:38" ht="17.399999999999999">
      <c r="A207" s="22" t="s">
        <v>18520</v>
      </c>
      <c r="B207" s="22" t="s">
        <v>18119</v>
      </c>
      <c r="C207" s="56" t="s">
        <v>18521</v>
      </c>
      <c r="D207" s="56">
        <v>45681</v>
      </c>
      <c r="E207" s="22" t="s">
        <v>18522</v>
      </c>
      <c r="F207" s="22" t="s">
        <v>33</v>
      </c>
      <c r="G207" s="22" t="s">
        <v>33</v>
      </c>
      <c r="H207" s="22" t="s">
        <v>303</v>
      </c>
      <c r="I207" s="49" t="s">
        <v>304</v>
      </c>
      <c r="J207" s="50" t="s">
        <v>305</v>
      </c>
      <c r="K207" s="22" t="s">
        <v>18106</v>
      </c>
      <c r="L207" s="22" t="s">
        <v>60</v>
      </c>
      <c r="M207" s="22">
        <v>2</v>
      </c>
      <c r="N207" s="22" t="s">
        <v>18523</v>
      </c>
      <c r="O207" s="22"/>
      <c r="P207" s="46" t="s">
        <v>685</v>
      </c>
      <c r="Q207" s="40" t="s">
        <v>627</v>
      </c>
      <c r="R207" s="41">
        <v>45826</v>
      </c>
      <c r="S207" s="22">
        <f t="shared" si="14"/>
        <v>2</v>
      </c>
      <c r="T207" s="41">
        <v>45832</v>
      </c>
      <c r="U207" s="144" t="s">
        <v>571</v>
      </c>
      <c r="V207" s="144" t="s">
        <v>571</v>
      </c>
      <c r="W207" s="144" t="s">
        <v>571</v>
      </c>
      <c r="X207" s="145">
        <v>2</v>
      </c>
      <c r="Y207" s="46" t="s">
        <v>571</v>
      </c>
      <c r="Z207" s="22"/>
      <c r="AA207" s="22"/>
      <c r="AB207" s="22"/>
      <c r="AC207" s="22"/>
      <c r="AD207" s="22"/>
      <c r="AE207" s="22"/>
      <c r="AF207" s="162">
        <f t="shared" si="15"/>
        <v>0</v>
      </c>
      <c r="AG207" s="48">
        <f t="shared" si="16"/>
        <v>2</v>
      </c>
      <c r="AH207" s="48">
        <f t="shared" si="17"/>
        <v>2</v>
      </c>
      <c r="AI207" s="40">
        <f t="shared" si="13"/>
        <v>45847</v>
      </c>
      <c r="AJ207" s="40"/>
      <c r="AK207" s="40"/>
      <c r="AL207" s="146"/>
    </row>
    <row r="208" spans="1:38" ht="17.399999999999999">
      <c r="A208" s="22" t="s">
        <v>18534</v>
      </c>
      <c r="B208" s="22" t="s">
        <v>50</v>
      </c>
      <c r="C208" s="56">
        <v>45831</v>
      </c>
      <c r="D208" s="56">
        <v>45820</v>
      </c>
      <c r="E208" s="22" t="s">
        <v>18535</v>
      </c>
      <c r="F208" s="22">
        <v>350</v>
      </c>
      <c r="G208" s="22" t="s">
        <v>18536</v>
      </c>
      <c r="H208" s="22" t="s">
        <v>82</v>
      </c>
      <c r="I208" s="49" t="s">
        <v>83</v>
      </c>
      <c r="J208" s="50" t="s">
        <v>84</v>
      </c>
      <c r="K208" s="22" t="s">
        <v>18329</v>
      </c>
      <c r="L208" s="22" t="s">
        <v>60</v>
      </c>
      <c r="M208" s="22">
        <v>3</v>
      </c>
      <c r="N208" s="22" t="s">
        <v>18537</v>
      </c>
      <c r="O208" s="22"/>
      <c r="P208" s="46" t="s">
        <v>19054</v>
      </c>
      <c r="Q208" s="40" t="s">
        <v>728</v>
      </c>
      <c r="R208" s="41">
        <v>45833</v>
      </c>
      <c r="S208" s="22">
        <f t="shared" si="14"/>
        <v>3</v>
      </c>
      <c r="T208" s="41">
        <v>45847</v>
      </c>
      <c r="U208" s="144">
        <v>45840</v>
      </c>
      <c r="V208" s="144">
        <v>45846</v>
      </c>
      <c r="W208" s="144" t="s">
        <v>18553</v>
      </c>
      <c r="X208" s="145">
        <v>3</v>
      </c>
      <c r="Y208" s="46" t="s">
        <v>18562</v>
      </c>
      <c r="Z208" s="22"/>
      <c r="AA208" s="22"/>
      <c r="AB208" s="22"/>
      <c r="AC208" s="22"/>
      <c r="AD208" s="22"/>
      <c r="AE208" s="22"/>
      <c r="AF208" s="162">
        <f t="shared" si="15"/>
        <v>0</v>
      </c>
      <c r="AG208" s="48">
        <f t="shared" si="16"/>
        <v>3</v>
      </c>
      <c r="AH208" s="48">
        <f t="shared" si="17"/>
        <v>3</v>
      </c>
      <c r="AI208" s="40">
        <f t="shared" si="13"/>
        <v>45854</v>
      </c>
      <c r="AJ208" s="40"/>
      <c r="AK208" s="40"/>
      <c r="AL208" s="146"/>
    </row>
    <row r="209" spans="1:38" ht="17.399999999999999">
      <c r="A209" s="22" t="s">
        <v>18543</v>
      </c>
      <c r="B209" s="22" t="s">
        <v>18544</v>
      </c>
      <c r="C209" s="56">
        <v>45756</v>
      </c>
      <c r="D209" s="56">
        <v>45685</v>
      </c>
      <c r="E209" s="22" t="s">
        <v>18545</v>
      </c>
      <c r="F209" s="22" t="s">
        <v>33</v>
      </c>
      <c r="G209" s="22" t="s">
        <v>33</v>
      </c>
      <c r="H209" s="22" t="s">
        <v>12116</v>
      </c>
      <c r="I209" s="49" t="s">
        <v>1781</v>
      </c>
      <c r="J209" s="50" t="s">
        <v>7886</v>
      </c>
      <c r="K209" s="22" t="s">
        <v>18106</v>
      </c>
      <c r="L209" s="22" t="s">
        <v>60</v>
      </c>
      <c r="M209" s="22">
        <v>2</v>
      </c>
      <c r="N209" s="22" t="s">
        <v>18546</v>
      </c>
      <c r="O209" s="22"/>
      <c r="P209" s="46" t="s">
        <v>685</v>
      </c>
      <c r="Q209" s="40" t="s">
        <v>627</v>
      </c>
      <c r="R209" s="41">
        <v>45840</v>
      </c>
      <c r="S209" s="22">
        <f t="shared" si="14"/>
        <v>2</v>
      </c>
      <c r="T209" s="41">
        <v>45848</v>
      </c>
      <c r="U209" s="144" t="s">
        <v>571</v>
      </c>
      <c r="V209" s="144" t="s">
        <v>571</v>
      </c>
      <c r="W209" s="144" t="s">
        <v>571</v>
      </c>
      <c r="X209" s="145">
        <v>2</v>
      </c>
      <c r="Y209" s="46" t="s">
        <v>571</v>
      </c>
      <c r="Z209" s="22"/>
      <c r="AA209" s="22"/>
      <c r="AB209" s="22"/>
      <c r="AC209" s="22"/>
      <c r="AD209" s="22"/>
      <c r="AE209" s="22"/>
      <c r="AF209" s="162">
        <f t="shared" si="15"/>
        <v>0</v>
      </c>
      <c r="AG209" s="48">
        <f t="shared" si="16"/>
        <v>2</v>
      </c>
      <c r="AH209" s="48">
        <f t="shared" si="17"/>
        <v>2</v>
      </c>
      <c r="AI209" s="40">
        <f t="shared" si="13"/>
        <v>45861</v>
      </c>
      <c r="AJ209" s="40"/>
      <c r="AK209" s="40"/>
      <c r="AL209" s="146"/>
    </row>
    <row r="210" spans="1:38" ht="17.399999999999999">
      <c r="A210" s="22" t="s">
        <v>18547</v>
      </c>
      <c r="B210" s="22" t="s">
        <v>18548</v>
      </c>
      <c r="C210" s="56">
        <v>45768</v>
      </c>
      <c r="D210" s="56">
        <v>45735</v>
      </c>
      <c r="E210" s="22" t="s">
        <v>18549</v>
      </c>
      <c r="F210" s="22" t="s">
        <v>33</v>
      </c>
      <c r="G210" s="22" t="s">
        <v>33</v>
      </c>
      <c r="H210" s="22" t="s">
        <v>303</v>
      </c>
      <c r="I210" s="49" t="s">
        <v>304</v>
      </c>
      <c r="J210" s="50" t="s">
        <v>305</v>
      </c>
      <c r="K210" s="22" t="s">
        <v>18106</v>
      </c>
      <c r="L210" s="22" t="s">
        <v>60</v>
      </c>
      <c r="M210" s="22">
        <v>1</v>
      </c>
      <c r="N210" s="22" t="s">
        <v>18550</v>
      </c>
      <c r="O210" s="22"/>
      <c r="P210" s="46" t="s">
        <v>685</v>
      </c>
      <c r="Q210" s="40" t="s">
        <v>627</v>
      </c>
      <c r="R210" s="41">
        <v>45840</v>
      </c>
      <c r="S210" s="22">
        <f t="shared" si="14"/>
        <v>1</v>
      </c>
      <c r="T210" s="41">
        <v>45848</v>
      </c>
      <c r="U210" s="144" t="s">
        <v>571</v>
      </c>
      <c r="V210" s="144" t="s">
        <v>571</v>
      </c>
      <c r="W210" s="144" t="s">
        <v>571</v>
      </c>
      <c r="X210" s="145">
        <v>1</v>
      </c>
      <c r="Y210" s="46" t="s">
        <v>571</v>
      </c>
      <c r="Z210" s="22"/>
      <c r="AA210" s="22"/>
      <c r="AB210" s="22"/>
      <c r="AC210" s="22"/>
      <c r="AD210" s="22"/>
      <c r="AE210" s="22"/>
      <c r="AF210" s="162">
        <f t="shared" si="15"/>
        <v>0</v>
      </c>
      <c r="AG210" s="48">
        <f t="shared" si="16"/>
        <v>1</v>
      </c>
      <c r="AH210" s="48">
        <f t="shared" si="17"/>
        <v>1</v>
      </c>
      <c r="AI210" s="40">
        <f t="shared" si="13"/>
        <v>45861</v>
      </c>
      <c r="AJ210" s="40"/>
      <c r="AK210" s="40"/>
      <c r="AL210" s="146"/>
    </row>
    <row r="211" spans="1:38" ht="17.399999999999999">
      <c r="A211" s="22" t="s">
        <v>18554</v>
      </c>
      <c r="B211" s="22" t="s">
        <v>709</v>
      </c>
      <c r="C211" s="56">
        <v>45706</v>
      </c>
      <c r="D211" s="56">
        <v>45645</v>
      </c>
      <c r="E211" s="22" t="s">
        <v>18518</v>
      </c>
      <c r="F211" s="22" t="s">
        <v>33</v>
      </c>
      <c r="G211" s="22" t="s">
        <v>33</v>
      </c>
      <c r="H211" s="22" t="s">
        <v>5032</v>
      </c>
      <c r="I211" s="49" t="s">
        <v>5033</v>
      </c>
      <c r="J211" s="50" t="s">
        <v>5034</v>
      </c>
      <c r="K211" s="22" t="s">
        <v>215</v>
      </c>
      <c r="L211" s="22" t="s">
        <v>60</v>
      </c>
      <c r="M211" s="22">
        <v>1</v>
      </c>
      <c r="N211" s="22" t="s">
        <v>18555</v>
      </c>
      <c r="O211" s="22"/>
      <c r="P211" s="46" t="s">
        <v>685</v>
      </c>
      <c r="Q211" s="40" t="s">
        <v>627</v>
      </c>
      <c r="R211" s="41">
        <v>45845</v>
      </c>
      <c r="S211" s="22">
        <f t="shared" si="14"/>
        <v>1</v>
      </c>
      <c r="T211" s="41">
        <v>45848</v>
      </c>
      <c r="U211" s="144" t="s">
        <v>571</v>
      </c>
      <c r="V211" s="144" t="s">
        <v>571</v>
      </c>
      <c r="W211" s="144" t="s">
        <v>571</v>
      </c>
      <c r="X211" s="145">
        <v>1</v>
      </c>
      <c r="Y211" s="46" t="s">
        <v>571</v>
      </c>
      <c r="Z211" s="22"/>
      <c r="AA211" s="22"/>
      <c r="AB211" s="22"/>
      <c r="AC211" s="22"/>
      <c r="AD211" s="22"/>
      <c r="AE211" s="22"/>
      <c r="AF211" s="162">
        <f t="shared" si="15"/>
        <v>0</v>
      </c>
      <c r="AG211" s="48">
        <f t="shared" si="16"/>
        <v>1</v>
      </c>
      <c r="AH211" s="48">
        <f t="shared" si="17"/>
        <v>1</v>
      </c>
      <c r="AI211" s="40">
        <f t="shared" si="13"/>
        <v>45866</v>
      </c>
      <c r="AJ211" s="40"/>
      <c r="AK211" s="40"/>
      <c r="AL211" s="146"/>
    </row>
    <row r="212" spans="1:38" ht="17.399999999999999">
      <c r="A212" s="22" t="s">
        <v>18556</v>
      </c>
      <c r="B212" s="22" t="s">
        <v>18557</v>
      </c>
      <c r="C212" s="56">
        <v>45805</v>
      </c>
      <c r="D212" s="56">
        <v>45768</v>
      </c>
      <c r="E212" s="22" t="s">
        <v>18558</v>
      </c>
      <c r="F212" s="22" t="s">
        <v>33</v>
      </c>
      <c r="G212" s="22" t="s">
        <v>18559</v>
      </c>
      <c r="H212" s="22" t="s">
        <v>554</v>
      </c>
      <c r="I212" s="49" t="s">
        <v>555</v>
      </c>
      <c r="J212" s="50" t="s">
        <v>556</v>
      </c>
      <c r="K212" s="22" t="s">
        <v>18560</v>
      </c>
      <c r="L212" s="22" t="s">
        <v>71</v>
      </c>
      <c r="M212" s="22">
        <v>45</v>
      </c>
      <c r="N212" s="22" t="s">
        <v>18561</v>
      </c>
      <c r="O212" s="22"/>
      <c r="P212" s="46" t="s">
        <v>682</v>
      </c>
      <c r="Q212" s="40" t="s">
        <v>627</v>
      </c>
      <c r="R212" s="41">
        <v>45845</v>
      </c>
      <c r="S212" s="22">
        <f t="shared" si="14"/>
        <v>45</v>
      </c>
      <c r="T212" s="41">
        <v>45859</v>
      </c>
      <c r="U212" s="144">
        <v>45848</v>
      </c>
      <c r="V212" s="144">
        <v>45855</v>
      </c>
      <c r="W212" s="144" t="s">
        <v>18573</v>
      </c>
      <c r="X212" s="145">
        <v>45</v>
      </c>
      <c r="Y212" s="46" t="s">
        <v>18617</v>
      </c>
      <c r="Z212" s="22"/>
      <c r="AA212" s="22"/>
      <c r="AB212" s="22"/>
      <c r="AC212" s="22"/>
      <c r="AD212" s="22"/>
      <c r="AE212" s="22"/>
      <c r="AF212" s="162">
        <f t="shared" si="15"/>
        <v>0</v>
      </c>
      <c r="AG212" s="48">
        <f t="shared" si="16"/>
        <v>45</v>
      </c>
      <c r="AH212" s="48">
        <f t="shared" si="17"/>
        <v>45</v>
      </c>
      <c r="AI212" s="40">
        <f t="shared" si="13"/>
        <v>45866</v>
      </c>
      <c r="AJ212" s="40"/>
      <c r="AK212" s="40"/>
      <c r="AL212" s="146"/>
    </row>
    <row r="213" spans="1:38" ht="17.399999999999999">
      <c r="A213" s="22" t="s">
        <v>18563</v>
      </c>
      <c r="B213" s="22" t="s">
        <v>709</v>
      </c>
      <c r="C213" s="56">
        <v>45698</v>
      </c>
      <c r="D213" s="56">
        <v>45645</v>
      </c>
      <c r="E213" s="22" t="s">
        <v>18518</v>
      </c>
      <c r="F213" s="22" t="s">
        <v>33</v>
      </c>
      <c r="G213" s="22" t="s">
        <v>33</v>
      </c>
      <c r="H213" s="22" t="s">
        <v>5032</v>
      </c>
      <c r="I213" s="49" t="s">
        <v>5033</v>
      </c>
      <c r="J213" s="50" t="s">
        <v>5034</v>
      </c>
      <c r="K213" s="22" t="s">
        <v>215</v>
      </c>
      <c r="L213" s="22" t="s">
        <v>60</v>
      </c>
      <c r="M213" s="22">
        <v>1</v>
      </c>
      <c r="N213" s="22" t="s">
        <v>132</v>
      </c>
      <c r="O213" s="22"/>
      <c r="P213" s="46" t="s">
        <v>685</v>
      </c>
      <c r="Q213" s="40" t="s">
        <v>627</v>
      </c>
      <c r="R213" s="41">
        <v>45847</v>
      </c>
      <c r="S213" s="22">
        <f t="shared" si="14"/>
        <v>1</v>
      </c>
      <c r="T213" s="41">
        <v>45854</v>
      </c>
      <c r="U213" s="144" t="s">
        <v>571</v>
      </c>
      <c r="V213" s="144" t="s">
        <v>571</v>
      </c>
      <c r="W213" s="144" t="s">
        <v>571</v>
      </c>
      <c r="X213" s="145">
        <v>1</v>
      </c>
      <c r="Y213" s="46" t="s">
        <v>571</v>
      </c>
      <c r="Z213" s="22"/>
      <c r="AA213" s="22"/>
      <c r="AB213" s="22"/>
      <c r="AC213" s="22"/>
      <c r="AD213" s="22"/>
      <c r="AE213" s="22"/>
      <c r="AF213" s="162">
        <f t="shared" si="15"/>
        <v>0</v>
      </c>
      <c r="AG213" s="48">
        <f t="shared" si="16"/>
        <v>1</v>
      </c>
      <c r="AH213" s="48">
        <f t="shared" si="17"/>
        <v>1</v>
      </c>
      <c r="AI213" s="40">
        <f t="shared" si="13"/>
        <v>45868</v>
      </c>
      <c r="AJ213" s="40"/>
      <c r="AK213" s="40"/>
      <c r="AL213" s="146"/>
    </row>
    <row r="214" spans="1:38" ht="17.399999999999999">
      <c r="A214" s="22" t="s">
        <v>19056</v>
      </c>
      <c r="B214" s="22" t="s">
        <v>18564</v>
      </c>
      <c r="C214" s="56">
        <v>45798</v>
      </c>
      <c r="D214" s="56">
        <v>45462</v>
      </c>
      <c r="E214" s="22" t="s">
        <v>18565</v>
      </c>
      <c r="F214" s="22" t="s">
        <v>33</v>
      </c>
      <c r="G214" s="22" t="s">
        <v>33</v>
      </c>
      <c r="H214" s="22" t="s">
        <v>491</v>
      </c>
      <c r="I214" s="49" t="s">
        <v>174</v>
      </c>
      <c r="J214" s="50" t="s">
        <v>492</v>
      </c>
      <c r="K214" s="22" t="s">
        <v>493</v>
      </c>
      <c r="L214" s="22" t="s">
        <v>60</v>
      </c>
      <c r="M214" s="22">
        <v>1</v>
      </c>
      <c r="N214" s="22" t="s">
        <v>18566</v>
      </c>
      <c r="O214" s="22"/>
      <c r="P214" s="46" t="s">
        <v>683</v>
      </c>
      <c r="Q214" s="40" t="s">
        <v>627</v>
      </c>
      <c r="R214" s="41">
        <v>45847</v>
      </c>
      <c r="S214" s="22">
        <f t="shared" si="14"/>
        <v>1</v>
      </c>
      <c r="T214" s="41">
        <v>45875</v>
      </c>
      <c r="U214" s="144">
        <v>45993</v>
      </c>
      <c r="V214" s="144">
        <v>46000</v>
      </c>
      <c r="W214" s="144" t="s">
        <v>18987</v>
      </c>
      <c r="X214" s="145">
        <v>1</v>
      </c>
      <c r="Y214" s="46" t="s">
        <v>18994</v>
      </c>
      <c r="Z214" s="22"/>
      <c r="AA214" s="22"/>
      <c r="AB214" s="22"/>
      <c r="AC214" s="22"/>
      <c r="AD214" s="22"/>
      <c r="AE214" s="22"/>
      <c r="AF214" s="162">
        <f t="shared" si="15"/>
        <v>0</v>
      </c>
      <c r="AG214" s="48">
        <f t="shared" si="16"/>
        <v>1</v>
      </c>
      <c r="AH214" s="48">
        <f t="shared" si="17"/>
        <v>1</v>
      </c>
      <c r="AI214" s="40">
        <f t="shared" si="13"/>
        <v>45868</v>
      </c>
      <c r="AJ214" s="40"/>
      <c r="AK214" s="40"/>
      <c r="AL214" s="146"/>
    </row>
    <row r="215" spans="1:38" ht="17.399999999999999">
      <c r="A215" s="22" t="s">
        <v>18569</v>
      </c>
      <c r="B215" s="22" t="s">
        <v>359</v>
      </c>
      <c r="C215" s="56" t="s">
        <v>18570</v>
      </c>
      <c r="D215" s="56" t="s">
        <v>33</v>
      </c>
      <c r="E215" s="22" t="s">
        <v>33</v>
      </c>
      <c r="F215" s="22" t="s">
        <v>33</v>
      </c>
      <c r="G215" s="22" t="s">
        <v>67</v>
      </c>
      <c r="H215" s="22" t="s">
        <v>1483</v>
      </c>
      <c r="I215" s="49" t="s">
        <v>994</v>
      </c>
      <c r="J215" s="50" t="s">
        <v>1484</v>
      </c>
      <c r="K215" s="22" t="s">
        <v>980</v>
      </c>
      <c r="L215" s="22" t="s">
        <v>60</v>
      </c>
      <c r="M215" s="22">
        <v>1</v>
      </c>
      <c r="N215" s="22" t="s">
        <v>18247</v>
      </c>
      <c r="O215" s="22"/>
      <c r="P215" s="46" t="s">
        <v>681</v>
      </c>
      <c r="Q215" s="40" t="s">
        <v>627</v>
      </c>
      <c r="R215" s="41">
        <v>45848</v>
      </c>
      <c r="S215" s="22">
        <f t="shared" si="14"/>
        <v>1</v>
      </c>
      <c r="T215" s="41">
        <v>45888</v>
      </c>
      <c r="U215" s="144">
        <v>45876</v>
      </c>
      <c r="V215" s="144">
        <v>45888</v>
      </c>
      <c r="W215" s="144" t="s">
        <v>18693</v>
      </c>
      <c r="X215" s="145">
        <v>1</v>
      </c>
      <c r="Y215" s="46" t="s">
        <v>18694</v>
      </c>
      <c r="Z215" s="22"/>
      <c r="AA215" s="22"/>
      <c r="AB215" s="22"/>
      <c r="AC215" s="22"/>
      <c r="AD215" s="22"/>
      <c r="AE215" s="22"/>
      <c r="AF215" s="162">
        <f t="shared" si="15"/>
        <v>0</v>
      </c>
      <c r="AG215" s="48">
        <f t="shared" si="16"/>
        <v>1</v>
      </c>
      <c r="AH215" s="48">
        <f t="shared" si="17"/>
        <v>1</v>
      </c>
      <c r="AI215" s="40">
        <f t="shared" si="13"/>
        <v>45869</v>
      </c>
      <c r="AJ215" s="40"/>
      <c r="AK215" s="40"/>
      <c r="AL215" s="146"/>
    </row>
    <row r="216" spans="1:38" ht="17.399999999999999">
      <c r="A216" s="22" t="s">
        <v>18574</v>
      </c>
      <c r="B216" s="22" t="s">
        <v>709</v>
      </c>
      <c r="C216" s="56">
        <v>45727</v>
      </c>
      <c r="D216" s="56">
        <v>45561</v>
      </c>
      <c r="E216" s="22" t="s">
        <v>18373</v>
      </c>
      <c r="F216" s="22" t="s">
        <v>33</v>
      </c>
      <c r="G216" s="22" t="s">
        <v>33</v>
      </c>
      <c r="H216" s="22" t="s">
        <v>182</v>
      </c>
      <c r="I216" s="49" t="s">
        <v>183</v>
      </c>
      <c r="J216" s="50" t="s">
        <v>711</v>
      </c>
      <c r="K216" s="22" t="s">
        <v>215</v>
      </c>
      <c r="L216" s="22" t="s">
        <v>60</v>
      </c>
      <c r="M216" s="22">
        <v>1</v>
      </c>
      <c r="N216" s="22" t="s">
        <v>132</v>
      </c>
      <c r="O216" s="22"/>
      <c r="P216" s="46" t="s">
        <v>685</v>
      </c>
      <c r="Q216" s="40" t="s">
        <v>627</v>
      </c>
      <c r="R216" s="41">
        <v>45852</v>
      </c>
      <c r="S216" s="22">
        <f t="shared" si="14"/>
        <v>1</v>
      </c>
      <c r="T216" s="41">
        <v>45862</v>
      </c>
      <c r="U216" s="144">
        <v>45855</v>
      </c>
      <c r="V216" s="144">
        <v>45862</v>
      </c>
      <c r="W216" s="144" t="s">
        <v>18643</v>
      </c>
      <c r="X216" s="145">
        <v>1</v>
      </c>
      <c r="Y216" s="46" t="s">
        <v>18644</v>
      </c>
      <c r="Z216" s="22"/>
      <c r="AA216" s="22"/>
      <c r="AB216" s="22"/>
      <c r="AC216" s="22"/>
      <c r="AD216" s="22"/>
      <c r="AE216" s="22"/>
      <c r="AF216" s="162">
        <f t="shared" si="15"/>
        <v>0</v>
      </c>
      <c r="AG216" s="48">
        <f t="shared" si="16"/>
        <v>1</v>
      </c>
      <c r="AH216" s="48">
        <f t="shared" si="17"/>
        <v>1</v>
      </c>
      <c r="AI216" s="40">
        <f t="shared" si="13"/>
        <v>45873</v>
      </c>
      <c r="AJ216" s="40">
        <v>45832</v>
      </c>
      <c r="AK216" s="40"/>
      <c r="AL216" s="146"/>
    </row>
    <row r="217" spans="1:38" ht="17.399999999999999">
      <c r="A217" s="22" t="s">
        <v>18575</v>
      </c>
      <c r="B217" s="22" t="s">
        <v>18576</v>
      </c>
      <c r="C217" s="56" t="s">
        <v>18577</v>
      </c>
      <c r="D217" s="56" t="s">
        <v>18578</v>
      </c>
      <c r="E217" s="22" t="s">
        <v>18579</v>
      </c>
      <c r="F217" s="22" t="s">
        <v>33</v>
      </c>
      <c r="G217" s="22" t="s">
        <v>33</v>
      </c>
      <c r="H217" s="22" t="s">
        <v>205</v>
      </c>
      <c r="I217" s="49" t="s">
        <v>206</v>
      </c>
      <c r="J217" s="50" t="s">
        <v>207</v>
      </c>
      <c r="K217" s="22" t="s">
        <v>2748</v>
      </c>
      <c r="L217" s="22" t="s">
        <v>60</v>
      </c>
      <c r="M217" s="22">
        <v>10</v>
      </c>
      <c r="N217" s="22" t="s">
        <v>18580</v>
      </c>
      <c r="O217" s="22"/>
      <c r="P217" s="46" t="s">
        <v>685</v>
      </c>
      <c r="Q217" s="40" t="s">
        <v>627</v>
      </c>
      <c r="R217" s="41">
        <v>45852</v>
      </c>
      <c r="S217" s="22">
        <f t="shared" si="14"/>
        <v>10</v>
      </c>
      <c r="T217" s="41">
        <v>45854</v>
      </c>
      <c r="U217" s="144" t="s">
        <v>571</v>
      </c>
      <c r="V217" s="144" t="s">
        <v>571</v>
      </c>
      <c r="W217" s="144" t="s">
        <v>571</v>
      </c>
      <c r="X217" s="145">
        <v>10</v>
      </c>
      <c r="Y217" s="46" t="s">
        <v>571</v>
      </c>
      <c r="Z217" s="22"/>
      <c r="AA217" s="22"/>
      <c r="AB217" s="22"/>
      <c r="AC217" s="22"/>
      <c r="AD217" s="22"/>
      <c r="AE217" s="22"/>
      <c r="AF217" s="162">
        <f t="shared" si="15"/>
        <v>0</v>
      </c>
      <c r="AG217" s="48">
        <f t="shared" si="16"/>
        <v>10</v>
      </c>
      <c r="AH217" s="48">
        <f t="shared" si="17"/>
        <v>10</v>
      </c>
      <c r="AI217" s="40">
        <f t="shared" si="13"/>
        <v>45873</v>
      </c>
      <c r="AJ217" s="40"/>
      <c r="AK217" s="40"/>
      <c r="AL217" s="146"/>
    </row>
    <row r="218" spans="1:38" ht="17.399999999999999">
      <c r="A218" s="22" t="s">
        <v>18581</v>
      </c>
      <c r="B218" s="22" t="s">
        <v>18582</v>
      </c>
      <c r="C218" s="56">
        <v>45764</v>
      </c>
      <c r="D218" s="56">
        <v>45559</v>
      </c>
      <c r="E218" s="22" t="s">
        <v>18583</v>
      </c>
      <c r="F218" s="22" t="s">
        <v>33</v>
      </c>
      <c r="G218" s="22" t="s">
        <v>33</v>
      </c>
      <c r="H218" s="22" t="s">
        <v>5134</v>
      </c>
      <c r="I218" s="49" t="s">
        <v>279</v>
      </c>
      <c r="J218" s="50" t="s">
        <v>280</v>
      </c>
      <c r="K218" s="22" t="s">
        <v>215</v>
      </c>
      <c r="L218" s="22" t="s">
        <v>60</v>
      </c>
      <c r="M218" s="22">
        <v>2</v>
      </c>
      <c r="N218" s="22" t="s">
        <v>18584</v>
      </c>
      <c r="O218" s="22"/>
      <c r="P218" s="46" t="s">
        <v>685</v>
      </c>
      <c r="Q218" s="40" t="s">
        <v>18585</v>
      </c>
      <c r="R218" s="41">
        <v>45852</v>
      </c>
      <c r="S218" s="22">
        <f t="shared" si="14"/>
        <v>2</v>
      </c>
      <c r="T218" s="41">
        <v>45862</v>
      </c>
      <c r="U218" s="144">
        <v>45855</v>
      </c>
      <c r="V218" s="144">
        <v>45862</v>
      </c>
      <c r="W218" s="144" t="s">
        <v>18643</v>
      </c>
      <c r="X218" s="145">
        <v>2</v>
      </c>
      <c r="Y218" s="46" t="s">
        <v>18644</v>
      </c>
      <c r="Z218" s="22"/>
      <c r="AA218" s="22"/>
      <c r="AB218" s="22"/>
      <c r="AC218" s="22"/>
      <c r="AD218" s="22"/>
      <c r="AE218" s="22"/>
      <c r="AF218" s="162">
        <f t="shared" si="15"/>
        <v>0</v>
      </c>
      <c r="AG218" s="48">
        <f t="shared" si="16"/>
        <v>2</v>
      </c>
      <c r="AH218" s="48">
        <f t="shared" si="17"/>
        <v>2</v>
      </c>
      <c r="AI218" s="40">
        <f t="shared" si="13"/>
        <v>45873</v>
      </c>
      <c r="AJ218" s="40"/>
      <c r="AK218" s="40"/>
      <c r="AL218" s="146"/>
    </row>
    <row r="219" spans="1:38" ht="17.399999999999999">
      <c r="A219" s="22" t="s">
        <v>18586</v>
      </c>
      <c r="B219" s="22" t="s">
        <v>18587</v>
      </c>
      <c r="C219" s="56">
        <v>45740</v>
      </c>
      <c r="D219" s="56">
        <v>45581</v>
      </c>
      <c r="E219" s="22" t="s">
        <v>18151</v>
      </c>
      <c r="F219" s="22" t="s">
        <v>33</v>
      </c>
      <c r="G219" s="22" t="s">
        <v>33</v>
      </c>
      <c r="H219" s="22" t="s">
        <v>2623</v>
      </c>
      <c r="I219" s="49" t="s">
        <v>57</v>
      </c>
      <c r="J219" s="50" t="s">
        <v>6297</v>
      </c>
      <c r="K219" s="22" t="s">
        <v>493</v>
      </c>
      <c r="L219" s="22" t="s">
        <v>60</v>
      </c>
      <c r="M219" s="22">
        <v>1</v>
      </c>
      <c r="N219" s="22" t="s">
        <v>18588</v>
      </c>
      <c r="O219" s="22"/>
      <c r="P219" s="46" t="s">
        <v>685</v>
      </c>
      <c r="Q219" s="40" t="s">
        <v>18585</v>
      </c>
      <c r="R219" s="41">
        <v>45852</v>
      </c>
      <c r="S219" s="22">
        <f t="shared" si="14"/>
        <v>1</v>
      </c>
      <c r="T219" s="41">
        <v>45862</v>
      </c>
      <c r="U219" s="144">
        <v>45764</v>
      </c>
      <c r="V219" s="144">
        <v>45862</v>
      </c>
      <c r="W219" s="144" t="s">
        <v>18643</v>
      </c>
      <c r="X219" s="145">
        <v>1</v>
      </c>
      <c r="Y219" s="46" t="s">
        <v>18644</v>
      </c>
      <c r="Z219" s="22"/>
      <c r="AA219" s="22"/>
      <c r="AB219" s="22"/>
      <c r="AC219" s="22"/>
      <c r="AD219" s="22"/>
      <c r="AE219" s="22"/>
      <c r="AF219" s="162">
        <f t="shared" si="15"/>
        <v>0</v>
      </c>
      <c r="AG219" s="48">
        <f t="shared" si="16"/>
        <v>1</v>
      </c>
      <c r="AH219" s="48">
        <f t="shared" si="17"/>
        <v>1</v>
      </c>
      <c r="AI219" s="40">
        <f t="shared" si="13"/>
        <v>45873</v>
      </c>
      <c r="AJ219" s="40"/>
      <c r="AK219" s="40"/>
      <c r="AL219" s="146"/>
    </row>
    <row r="220" spans="1:38" ht="17.399999999999999">
      <c r="A220" s="22" t="s">
        <v>18590</v>
      </c>
      <c r="B220" s="22" t="s">
        <v>18149</v>
      </c>
      <c r="C220" s="56" t="s">
        <v>18591</v>
      </c>
      <c r="D220" s="56" t="s">
        <v>18592</v>
      </c>
      <c r="E220" s="22" t="s">
        <v>18593</v>
      </c>
      <c r="F220" s="22" t="s">
        <v>33</v>
      </c>
      <c r="G220" s="22" t="s">
        <v>33</v>
      </c>
      <c r="H220" s="22" t="s">
        <v>2588</v>
      </c>
      <c r="I220" s="49" t="s">
        <v>1949</v>
      </c>
      <c r="J220" s="50" t="s">
        <v>6304</v>
      </c>
      <c r="K220" s="22" t="s">
        <v>215</v>
      </c>
      <c r="L220" s="22" t="s">
        <v>60</v>
      </c>
      <c r="M220" s="22">
        <v>35</v>
      </c>
      <c r="N220" s="22" t="s">
        <v>18594</v>
      </c>
      <c r="O220" s="22"/>
      <c r="P220" s="46" t="s">
        <v>685</v>
      </c>
      <c r="Q220" s="40" t="s">
        <v>627</v>
      </c>
      <c r="R220" s="41">
        <v>45852</v>
      </c>
      <c r="S220" s="22">
        <f t="shared" si="14"/>
        <v>35</v>
      </c>
      <c r="T220" s="41">
        <v>45862</v>
      </c>
      <c r="U220" s="144">
        <v>45855</v>
      </c>
      <c r="V220" s="144">
        <v>45862</v>
      </c>
      <c r="W220" s="144" t="s">
        <v>18643</v>
      </c>
      <c r="X220" s="145">
        <v>35</v>
      </c>
      <c r="Y220" s="46" t="s">
        <v>18644</v>
      </c>
      <c r="Z220" s="22"/>
      <c r="AA220" s="22"/>
      <c r="AB220" s="22"/>
      <c r="AC220" s="22"/>
      <c r="AD220" s="22"/>
      <c r="AE220" s="22"/>
      <c r="AF220" s="162">
        <f t="shared" si="15"/>
        <v>0</v>
      </c>
      <c r="AG220" s="48">
        <f t="shared" si="16"/>
        <v>35</v>
      </c>
      <c r="AH220" s="48">
        <f t="shared" si="17"/>
        <v>35</v>
      </c>
      <c r="AI220" s="40">
        <f t="shared" si="13"/>
        <v>45873</v>
      </c>
      <c r="AJ220" s="40"/>
      <c r="AK220" s="40"/>
      <c r="AL220" s="146"/>
    </row>
    <row r="221" spans="1:38" ht="17.399999999999999">
      <c r="A221" s="22" t="s">
        <v>18595</v>
      </c>
      <c r="B221" s="22" t="s">
        <v>287</v>
      </c>
      <c r="C221" s="56">
        <v>45789</v>
      </c>
      <c r="D221" s="56">
        <v>45776</v>
      </c>
      <c r="E221" s="22" t="s">
        <v>18596</v>
      </c>
      <c r="F221" s="22" t="s">
        <v>33</v>
      </c>
      <c r="G221" s="22" t="s">
        <v>33</v>
      </c>
      <c r="H221" s="22" t="s">
        <v>5383</v>
      </c>
      <c r="I221" s="49" t="s">
        <v>818</v>
      </c>
      <c r="J221" s="50" t="s">
        <v>5384</v>
      </c>
      <c r="K221" s="22" t="s">
        <v>51</v>
      </c>
      <c r="L221" s="22" t="s">
        <v>60</v>
      </c>
      <c r="M221" s="22">
        <v>16</v>
      </c>
      <c r="N221" s="22" t="s">
        <v>18597</v>
      </c>
      <c r="O221" s="22"/>
      <c r="P221" s="46" t="s">
        <v>685</v>
      </c>
      <c r="Q221" s="40" t="s">
        <v>627</v>
      </c>
      <c r="R221" s="41">
        <v>45852</v>
      </c>
      <c r="S221" s="22">
        <f t="shared" si="14"/>
        <v>16</v>
      </c>
      <c r="T221" s="41">
        <v>45862</v>
      </c>
      <c r="U221" s="144">
        <v>45855</v>
      </c>
      <c r="V221" s="144">
        <v>45862</v>
      </c>
      <c r="W221" s="144" t="s">
        <v>18643</v>
      </c>
      <c r="X221" s="145">
        <v>16</v>
      </c>
      <c r="Y221" s="46" t="s">
        <v>18644</v>
      </c>
      <c r="Z221" s="22"/>
      <c r="AA221" s="22"/>
      <c r="AB221" s="22"/>
      <c r="AC221" s="22"/>
      <c r="AD221" s="22"/>
      <c r="AE221" s="22"/>
      <c r="AF221" s="162">
        <f t="shared" si="15"/>
        <v>0</v>
      </c>
      <c r="AG221" s="48">
        <f t="shared" si="16"/>
        <v>16</v>
      </c>
      <c r="AH221" s="48">
        <f t="shared" si="17"/>
        <v>16</v>
      </c>
      <c r="AI221" s="40">
        <f t="shared" si="13"/>
        <v>45873</v>
      </c>
      <c r="AJ221" s="40"/>
      <c r="AK221" s="40"/>
      <c r="AL221" s="146"/>
    </row>
    <row r="222" spans="1:38" ht="17.399999999999999">
      <c r="A222" s="22" t="s">
        <v>18598</v>
      </c>
      <c r="B222" s="22" t="s">
        <v>18599</v>
      </c>
      <c r="C222" s="56">
        <v>45826</v>
      </c>
      <c r="D222" s="56">
        <v>45638</v>
      </c>
      <c r="E222" s="22" t="s">
        <v>18600</v>
      </c>
      <c r="F222" s="22" t="s">
        <v>33</v>
      </c>
      <c r="G222" s="22" t="s">
        <v>18661</v>
      </c>
      <c r="H222" s="22" t="s">
        <v>2784</v>
      </c>
      <c r="I222" s="49" t="s">
        <v>2785</v>
      </c>
      <c r="J222" s="50" t="s">
        <v>2786</v>
      </c>
      <c r="K222" s="22" t="s">
        <v>18601</v>
      </c>
      <c r="L222" s="22" t="s">
        <v>60</v>
      </c>
      <c r="M222" s="22">
        <v>2</v>
      </c>
      <c r="N222" s="22" t="s">
        <v>18602</v>
      </c>
      <c r="O222" s="22"/>
      <c r="P222" s="46" t="s">
        <v>19054</v>
      </c>
      <c r="Q222" s="40" t="s">
        <v>18585</v>
      </c>
      <c r="R222" s="41">
        <v>45853</v>
      </c>
      <c r="S222" s="22">
        <f t="shared" si="14"/>
        <v>2</v>
      </c>
      <c r="T222" s="41">
        <v>45875</v>
      </c>
      <c r="U222" s="144">
        <v>45868</v>
      </c>
      <c r="V222" s="144">
        <v>45874</v>
      </c>
      <c r="W222" s="144" t="s">
        <v>18663</v>
      </c>
      <c r="X222" s="145">
        <v>2</v>
      </c>
      <c r="Y222" s="46" t="s">
        <v>18668</v>
      </c>
      <c r="Z222" s="22"/>
      <c r="AA222" s="22"/>
      <c r="AB222" s="22"/>
      <c r="AC222" s="22"/>
      <c r="AD222" s="22"/>
      <c r="AE222" s="22"/>
      <c r="AF222" s="162">
        <f t="shared" si="15"/>
        <v>0</v>
      </c>
      <c r="AG222" s="48">
        <f t="shared" si="16"/>
        <v>2</v>
      </c>
      <c r="AH222" s="48">
        <f t="shared" si="17"/>
        <v>2</v>
      </c>
      <c r="AI222" s="40">
        <f t="shared" si="13"/>
        <v>45874</v>
      </c>
      <c r="AJ222" s="40"/>
      <c r="AK222" s="40"/>
      <c r="AL222" s="146"/>
    </row>
    <row r="223" spans="1:38" ht="17.399999999999999">
      <c r="A223" s="22" t="s">
        <v>18603</v>
      </c>
      <c r="B223" s="22" t="s">
        <v>346</v>
      </c>
      <c r="C223" s="56" t="s">
        <v>18604</v>
      </c>
      <c r="D223" s="56" t="s">
        <v>33</v>
      </c>
      <c r="E223" s="22" t="s">
        <v>18605</v>
      </c>
      <c r="F223" s="22" t="s">
        <v>33</v>
      </c>
      <c r="G223" s="22" t="s">
        <v>33</v>
      </c>
      <c r="H223" s="22" t="s">
        <v>366</v>
      </c>
      <c r="I223" s="49" t="s">
        <v>362</v>
      </c>
      <c r="J223" s="50" t="s">
        <v>367</v>
      </c>
      <c r="K223" s="22" t="s">
        <v>346</v>
      </c>
      <c r="L223" s="22" t="s">
        <v>60</v>
      </c>
      <c r="M223" s="22">
        <v>17</v>
      </c>
      <c r="N223" s="22" t="s">
        <v>18606</v>
      </c>
      <c r="O223" s="22"/>
      <c r="P223" s="46" t="s">
        <v>18088</v>
      </c>
      <c r="Q223" s="40" t="s">
        <v>627</v>
      </c>
      <c r="R223" s="41">
        <v>45873</v>
      </c>
      <c r="S223" s="22">
        <f t="shared" si="14"/>
        <v>17</v>
      </c>
      <c r="T223" s="41">
        <v>45875</v>
      </c>
      <c r="U223" s="144">
        <v>45867</v>
      </c>
      <c r="V223" s="144">
        <v>45874</v>
      </c>
      <c r="W223" s="144" t="s">
        <v>18664</v>
      </c>
      <c r="X223" s="145">
        <v>17</v>
      </c>
      <c r="Y223" s="46" t="s">
        <v>18666</v>
      </c>
      <c r="Z223" s="22"/>
      <c r="AA223" s="22"/>
      <c r="AB223" s="22"/>
      <c r="AC223" s="22"/>
      <c r="AD223" s="22"/>
      <c r="AE223" s="22"/>
      <c r="AF223" s="162">
        <f t="shared" si="15"/>
        <v>0</v>
      </c>
      <c r="AG223" s="48">
        <f t="shared" si="16"/>
        <v>17</v>
      </c>
      <c r="AH223" s="48">
        <f t="shared" si="17"/>
        <v>17</v>
      </c>
      <c r="AI223" s="40">
        <f t="shared" si="13"/>
        <v>45894</v>
      </c>
      <c r="AJ223" s="40"/>
      <c r="AK223" s="40"/>
      <c r="AL223" s="146"/>
    </row>
    <row r="224" spans="1:38" ht="17.399999999999999">
      <c r="A224" s="22" t="s">
        <v>18607</v>
      </c>
      <c r="B224" s="22" t="s">
        <v>346</v>
      </c>
      <c r="C224" s="56" t="s">
        <v>18608</v>
      </c>
      <c r="D224" s="56" t="s">
        <v>33</v>
      </c>
      <c r="E224" s="22" t="s">
        <v>33</v>
      </c>
      <c r="F224" s="22" t="s">
        <v>33</v>
      </c>
      <c r="G224" s="22" t="s">
        <v>33</v>
      </c>
      <c r="H224" s="22" t="s">
        <v>351</v>
      </c>
      <c r="I224" s="49" t="s">
        <v>344</v>
      </c>
      <c r="J224" s="50" t="s">
        <v>353</v>
      </c>
      <c r="K224" s="22" t="s">
        <v>346</v>
      </c>
      <c r="L224" s="22" t="s">
        <v>60</v>
      </c>
      <c r="M224" s="22">
        <v>8</v>
      </c>
      <c r="N224" s="22" t="s">
        <v>18609</v>
      </c>
      <c r="O224" s="22"/>
      <c r="P224" s="46" t="s">
        <v>18088</v>
      </c>
      <c r="Q224" s="40" t="s">
        <v>627</v>
      </c>
      <c r="R224" s="41">
        <v>45852</v>
      </c>
      <c r="S224" s="22">
        <f t="shared" si="14"/>
        <v>8</v>
      </c>
      <c r="T224" s="41">
        <v>45875</v>
      </c>
      <c r="U224" s="144">
        <v>45867</v>
      </c>
      <c r="V224" s="144">
        <v>45874</v>
      </c>
      <c r="W224" s="144" t="s">
        <v>18664</v>
      </c>
      <c r="X224" s="145">
        <v>8</v>
      </c>
      <c r="Y224" s="46" t="s">
        <v>18666</v>
      </c>
      <c r="Z224" s="22"/>
      <c r="AA224" s="22"/>
      <c r="AB224" s="22"/>
      <c r="AC224" s="22"/>
      <c r="AD224" s="22"/>
      <c r="AE224" s="22"/>
      <c r="AF224" s="162">
        <f t="shared" si="15"/>
        <v>0</v>
      </c>
      <c r="AG224" s="48">
        <f t="shared" si="16"/>
        <v>8</v>
      </c>
      <c r="AH224" s="48">
        <f t="shared" si="17"/>
        <v>8</v>
      </c>
      <c r="AI224" s="40">
        <f t="shared" si="13"/>
        <v>45873</v>
      </c>
      <c r="AJ224" s="40"/>
      <c r="AK224" s="40"/>
      <c r="AL224" s="146"/>
    </row>
    <row r="225" spans="1:38" ht="17.399999999999999">
      <c r="A225" s="22" t="s">
        <v>18610</v>
      </c>
      <c r="B225" s="22" t="s">
        <v>346</v>
      </c>
      <c r="C225" s="56" t="s">
        <v>18611</v>
      </c>
      <c r="D225" s="56" t="s">
        <v>33</v>
      </c>
      <c r="E225" s="22" t="s">
        <v>33</v>
      </c>
      <c r="F225" s="22" t="s">
        <v>33</v>
      </c>
      <c r="G225" s="22" t="s">
        <v>692</v>
      </c>
      <c r="H225" s="22" t="s">
        <v>354</v>
      </c>
      <c r="I225" s="49" t="s">
        <v>355</v>
      </c>
      <c r="J225" s="50" t="s">
        <v>356</v>
      </c>
      <c r="K225" s="22" t="s">
        <v>346</v>
      </c>
      <c r="L225" s="22" t="s">
        <v>52</v>
      </c>
      <c r="M225" s="22">
        <v>16</v>
      </c>
      <c r="N225" s="22" t="s">
        <v>18612</v>
      </c>
      <c r="O225" s="22"/>
      <c r="P225" s="46" t="s">
        <v>18088</v>
      </c>
      <c r="Q225" s="40" t="s">
        <v>627</v>
      </c>
      <c r="R225" s="41">
        <v>45852</v>
      </c>
      <c r="S225" s="22">
        <f t="shared" si="14"/>
        <v>16</v>
      </c>
      <c r="T225" s="41">
        <v>45875</v>
      </c>
      <c r="U225" s="144">
        <v>45867</v>
      </c>
      <c r="V225" s="144">
        <v>45874</v>
      </c>
      <c r="W225" s="144" t="s">
        <v>18664</v>
      </c>
      <c r="X225" s="145">
        <v>16</v>
      </c>
      <c r="Y225" s="46" t="s">
        <v>18666</v>
      </c>
      <c r="Z225" s="22"/>
      <c r="AA225" s="22"/>
      <c r="AB225" s="22"/>
      <c r="AC225" s="22"/>
      <c r="AD225" s="22"/>
      <c r="AE225" s="22"/>
      <c r="AF225" s="162">
        <f t="shared" si="15"/>
        <v>0</v>
      </c>
      <c r="AG225" s="48">
        <f t="shared" si="16"/>
        <v>16</v>
      </c>
      <c r="AH225" s="48">
        <f t="shared" si="17"/>
        <v>16</v>
      </c>
      <c r="AI225" s="40">
        <f t="shared" si="13"/>
        <v>45873</v>
      </c>
      <c r="AJ225" s="40"/>
      <c r="AK225" s="40"/>
      <c r="AL225" s="146"/>
    </row>
    <row r="226" spans="1:38" ht="17.399999999999999">
      <c r="A226" s="22" t="s">
        <v>18613</v>
      </c>
      <c r="B226" s="22" t="s">
        <v>701</v>
      </c>
      <c r="C226" s="56">
        <v>45788</v>
      </c>
      <c r="D226" s="56">
        <v>45664</v>
      </c>
      <c r="E226" s="22" t="s">
        <v>18138</v>
      </c>
      <c r="F226" s="22" t="s">
        <v>33</v>
      </c>
      <c r="G226" s="22" t="s">
        <v>33</v>
      </c>
      <c r="H226" s="22" t="s">
        <v>12016</v>
      </c>
      <c r="I226" s="49" t="s">
        <v>704</v>
      </c>
      <c r="J226" s="50" t="s">
        <v>12017</v>
      </c>
      <c r="K226" s="22" t="s">
        <v>92</v>
      </c>
      <c r="L226" s="22" t="s">
        <v>60</v>
      </c>
      <c r="M226" s="22">
        <v>1</v>
      </c>
      <c r="N226" s="22" t="s">
        <v>18614</v>
      </c>
      <c r="O226" s="22"/>
      <c r="P226" s="46" t="s">
        <v>5205</v>
      </c>
      <c r="Q226" s="40" t="s">
        <v>627</v>
      </c>
      <c r="R226" s="41">
        <v>45853</v>
      </c>
      <c r="S226" s="22">
        <f t="shared" si="14"/>
        <v>1</v>
      </c>
      <c r="T226" s="41">
        <v>45869</v>
      </c>
      <c r="U226" s="144" t="s">
        <v>18688</v>
      </c>
      <c r="V226" s="144">
        <v>45890</v>
      </c>
      <c r="W226" s="144" t="s">
        <v>18689</v>
      </c>
      <c r="X226" s="145">
        <v>1</v>
      </c>
      <c r="Y226" s="46" t="s">
        <v>18690</v>
      </c>
      <c r="Z226" s="22"/>
      <c r="AA226" s="22"/>
      <c r="AB226" s="22"/>
      <c r="AC226" s="22"/>
      <c r="AD226" s="22"/>
      <c r="AE226" s="22"/>
      <c r="AF226" s="162">
        <f t="shared" si="15"/>
        <v>0</v>
      </c>
      <c r="AG226" s="48">
        <f t="shared" si="16"/>
        <v>1</v>
      </c>
      <c r="AH226" s="48">
        <f t="shared" si="17"/>
        <v>1</v>
      </c>
      <c r="AI226" s="40">
        <f t="shared" si="13"/>
        <v>45874</v>
      </c>
      <c r="AJ226" s="40"/>
      <c r="AK226" s="40"/>
      <c r="AL226" s="146"/>
    </row>
    <row r="227" spans="1:38" ht="17.399999999999999">
      <c r="A227" s="22" t="s">
        <v>18615</v>
      </c>
      <c r="B227" s="22" t="s">
        <v>701</v>
      </c>
      <c r="C227" s="56">
        <v>45806</v>
      </c>
      <c r="D227" s="56">
        <v>45686</v>
      </c>
      <c r="E227" s="22" t="s">
        <v>18616</v>
      </c>
      <c r="F227" s="22" t="s">
        <v>33</v>
      </c>
      <c r="G227" s="22" t="s">
        <v>33</v>
      </c>
      <c r="H227" s="22" t="s">
        <v>12020</v>
      </c>
      <c r="I227" s="49" t="s">
        <v>704</v>
      </c>
      <c r="J227" s="50" t="s">
        <v>12021</v>
      </c>
      <c r="K227" s="22" t="s">
        <v>92</v>
      </c>
      <c r="L227" s="22" t="s">
        <v>60</v>
      </c>
      <c r="M227" s="22">
        <v>1</v>
      </c>
      <c r="N227" s="22" t="s">
        <v>740</v>
      </c>
      <c r="O227" s="22"/>
      <c r="P227" s="46" t="s">
        <v>5205</v>
      </c>
      <c r="Q227" s="40" t="s">
        <v>627</v>
      </c>
      <c r="R227" s="41">
        <v>45853</v>
      </c>
      <c r="S227" s="22">
        <f t="shared" si="14"/>
        <v>1</v>
      </c>
      <c r="T227" s="41">
        <v>45869</v>
      </c>
      <c r="U227" s="144" t="s">
        <v>18688</v>
      </c>
      <c r="V227" s="144">
        <v>45890</v>
      </c>
      <c r="W227" s="144" t="s">
        <v>18689</v>
      </c>
      <c r="X227" s="145">
        <v>1</v>
      </c>
      <c r="Y227" s="46" t="s">
        <v>18690</v>
      </c>
      <c r="Z227" s="22"/>
      <c r="AA227" s="22"/>
      <c r="AB227" s="22"/>
      <c r="AC227" s="22"/>
      <c r="AD227" s="22"/>
      <c r="AE227" s="22"/>
      <c r="AF227" s="162">
        <f t="shared" si="15"/>
        <v>0</v>
      </c>
      <c r="AG227" s="48">
        <f t="shared" si="16"/>
        <v>1</v>
      </c>
      <c r="AH227" s="48">
        <f t="shared" si="17"/>
        <v>1</v>
      </c>
      <c r="AI227" s="40">
        <f t="shared" si="13"/>
        <v>45874</v>
      </c>
      <c r="AJ227" s="40"/>
      <c r="AK227" s="40"/>
      <c r="AL227" s="146"/>
    </row>
    <row r="228" spans="1:38" ht="17.399999999999999">
      <c r="A228" s="22" t="s">
        <v>18620</v>
      </c>
      <c r="B228" s="22" t="s">
        <v>18621</v>
      </c>
      <c r="C228" s="56">
        <v>45847</v>
      </c>
      <c r="D228" s="56">
        <v>45824</v>
      </c>
      <c r="E228" s="22" t="s">
        <v>18622</v>
      </c>
      <c r="F228" s="22" t="s">
        <v>33</v>
      </c>
      <c r="G228" s="22" t="s">
        <v>33</v>
      </c>
      <c r="H228" s="22" t="s">
        <v>18623</v>
      </c>
      <c r="I228" s="49" t="s">
        <v>18624</v>
      </c>
      <c r="J228" s="50" t="s">
        <v>18625</v>
      </c>
      <c r="K228" s="22" t="s">
        <v>18626</v>
      </c>
      <c r="L228" s="22" t="s">
        <v>60</v>
      </c>
      <c r="M228" s="22">
        <v>18</v>
      </c>
      <c r="N228" s="22" t="s">
        <v>18627</v>
      </c>
      <c r="O228" s="22"/>
      <c r="P228" s="46" t="s">
        <v>5279</v>
      </c>
      <c r="Q228" s="40" t="s">
        <v>627</v>
      </c>
      <c r="R228" s="41">
        <v>45861</v>
      </c>
      <c r="S228" s="22">
        <f t="shared" si="14"/>
        <v>18</v>
      </c>
      <c r="T228" s="41">
        <v>45869</v>
      </c>
      <c r="U228" s="144" t="s">
        <v>571</v>
      </c>
      <c r="V228" s="144" t="s">
        <v>571</v>
      </c>
      <c r="W228" s="144" t="s">
        <v>571</v>
      </c>
      <c r="X228" s="145">
        <v>18</v>
      </c>
      <c r="Y228" s="46" t="s">
        <v>571</v>
      </c>
      <c r="Z228" s="22">
        <v>45908</v>
      </c>
      <c r="AA228" s="22" t="s">
        <v>18695</v>
      </c>
      <c r="AB228" s="22">
        <v>18</v>
      </c>
      <c r="AC228" s="22"/>
      <c r="AD228" s="22"/>
      <c r="AE228" s="22"/>
      <c r="AF228" s="162">
        <f t="shared" si="15"/>
        <v>0</v>
      </c>
      <c r="AG228" s="48">
        <f t="shared" si="16"/>
        <v>0</v>
      </c>
      <c r="AH228" s="48">
        <f t="shared" si="17"/>
        <v>0</v>
      </c>
      <c r="AI228" s="40">
        <f t="shared" si="13"/>
        <v>45882</v>
      </c>
      <c r="AJ228" s="40"/>
      <c r="AK228" s="40"/>
      <c r="AL228" s="146"/>
    </row>
    <row r="229" spans="1:38" ht="17.399999999999999">
      <c r="A229" s="22" t="s">
        <v>18628</v>
      </c>
      <c r="B229" s="22" t="s">
        <v>18621</v>
      </c>
      <c r="C229" s="56">
        <v>45847</v>
      </c>
      <c r="D229" s="56">
        <v>45824</v>
      </c>
      <c r="E229" s="22" t="s">
        <v>18622</v>
      </c>
      <c r="F229" s="22" t="s">
        <v>33</v>
      </c>
      <c r="G229" s="22" t="s">
        <v>33</v>
      </c>
      <c r="H229" s="22" t="s">
        <v>18629</v>
      </c>
      <c r="I229" s="49" t="s">
        <v>18630</v>
      </c>
      <c r="J229" s="50" t="s">
        <v>18631</v>
      </c>
      <c r="K229" s="22" t="s">
        <v>18626</v>
      </c>
      <c r="L229" s="22" t="s">
        <v>60</v>
      </c>
      <c r="M229" s="22">
        <v>9</v>
      </c>
      <c r="N229" s="22" t="s">
        <v>18632</v>
      </c>
      <c r="O229" s="22"/>
      <c r="P229" s="46" t="s">
        <v>5279</v>
      </c>
      <c r="Q229" s="40" t="s">
        <v>627</v>
      </c>
      <c r="R229" s="41">
        <v>45861</v>
      </c>
      <c r="S229" s="22">
        <f t="shared" si="14"/>
        <v>9</v>
      </c>
      <c r="T229" s="41">
        <v>45869</v>
      </c>
      <c r="U229" s="144" t="s">
        <v>571</v>
      </c>
      <c r="V229" s="144" t="s">
        <v>571</v>
      </c>
      <c r="W229" s="144" t="s">
        <v>571</v>
      </c>
      <c r="X229" s="145">
        <v>9</v>
      </c>
      <c r="Y229" s="46" t="s">
        <v>571</v>
      </c>
      <c r="Z229" s="22">
        <v>45908</v>
      </c>
      <c r="AA229" s="22" t="s">
        <v>18695</v>
      </c>
      <c r="AB229" s="22">
        <v>9</v>
      </c>
      <c r="AC229" s="22"/>
      <c r="AD229" s="22"/>
      <c r="AE229" s="22"/>
      <c r="AF229" s="162">
        <f t="shared" si="15"/>
        <v>0</v>
      </c>
      <c r="AG229" s="48">
        <f t="shared" si="16"/>
        <v>0</v>
      </c>
      <c r="AH229" s="48">
        <f t="shared" si="17"/>
        <v>0</v>
      </c>
      <c r="AI229" s="40">
        <f t="shared" si="13"/>
        <v>45882</v>
      </c>
      <c r="AJ229" s="40"/>
      <c r="AK229" s="40"/>
      <c r="AL229" s="146"/>
    </row>
    <row r="230" spans="1:38" ht="17.399999999999999">
      <c r="A230" s="22" t="s">
        <v>18633</v>
      </c>
      <c r="B230" s="22" t="s">
        <v>18621</v>
      </c>
      <c r="C230" s="56">
        <v>45847</v>
      </c>
      <c r="D230" s="56">
        <v>45824</v>
      </c>
      <c r="E230" s="22" t="s">
        <v>18622</v>
      </c>
      <c r="F230" s="22" t="s">
        <v>33</v>
      </c>
      <c r="G230" s="22" t="s">
        <v>33</v>
      </c>
      <c r="H230" s="22" t="s">
        <v>18634</v>
      </c>
      <c r="I230" s="49" t="s">
        <v>18635</v>
      </c>
      <c r="J230" s="50" t="s">
        <v>18636</v>
      </c>
      <c r="K230" s="22" t="s">
        <v>18626</v>
      </c>
      <c r="L230" s="22" t="s">
        <v>60</v>
      </c>
      <c r="M230" s="22">
        <v>18</v>
      </c>
      <c r="N230" s="22" t="s">
        <v>18637</v>
      </c>
      <c r="O230" s="22"/>
      <c r="P230" s="46" t="s">
        <v>5279</v>
      </c>
      <c r="Q230" s="40" t="s">
        <v>627</v>
      </c>
      <c r="R230" s="41">
        <v>45861</v>
      </c>
      <c r="S230" s="22">
        <f t="shared" si="14"/>
        <v>18</v>
      </c>
      <c r="T230" s="41">
        <v>45869</v>
      </c>
      <c r="U230" s="144" t="s">
        <v>571</v>
      </c>
      <c r="V230" s="144" t="s">
        <v>571</v>
      </c>
      <c r="W230" s="144" t="s">
        <v>571</v>
      </c>
      <c r="X230" s="145">
        <v>18</v>
      </c>
      <c r="Y230" s="46" t="s">
        <v>571</v>
      </c>
      <c r="Z230" s="22">
        <v>45908</v>
      </c>
      <c r="AA230" s="22" t="s">
        <v>18695</v>
      </c>
      <c r="AB230" s="22">
        <v>18</v>
      </c>
      <c r="AC230" s="22"/>
      <c r="AD230" s="22"/>
      <c r="AE230" s="22"/>
      <c r="AF230" s="162">
        <f t="shared" si="15"/>
        <v>0</v>
      </c>
      <c r="AG230" s="48">
        <f t="shared" si="16"/>
        <v>0</v>
      </c>
      <c r="AH230" s="48">
        <f t="shared" si="17"/>
        <v>0</v>
      </c>
      <c r="AI230" s="40">
        <f t="shared" si="13"/>
        <v>45882</v>
      </c>
      <c r="AJ230" s="40"/>
      <c r="AK230" s="40"/>
      <c r="AL230" s="146"/>
    </row>
    <row r="231" spans="1:38" ht="17.399999999999999">
      <c r="A231" s="22" t="s">
        <v>18638</v>
      </c>
      <c r="B231" s="22" t="s">
        <v>18621</v>
      </c>
      <c r="C231" s="56">
        <v>45847</v>
      </c>
      <c r="D231" s="56">
        <v>45824</v>
      </c>
      <c r="E231" s="22" t="s">
        <v>18622</v>
      </c>
      <c r="F231" s="22" t="s">
        <v>33</v>
      </c>
      <c r="G231" s="22" t="s">
        <v>33</v>
      </c>
      <c r="H231" s="22" t="s">
        <v>18639</v>
      </c>
      <c r="I231" s="49" t="s">
        <v>18640</v>
      </c>
      <c r="J231" s="50" t="s">
        <v>18641</v>
      </c>
      <c r="K231" s="22" t="s">
        <v>18626</v>
      </c>
      <c r="L231" s="22" t="s">
        <v>60</v>
      </c>
      <c r="M231" s="22">
        <v>10</v>
      </c>
      <c r="N231" s="22" t="s">
        <v>18642</v>
      </c>
      <c r="O231" s="22"/>
      <c r="P231" s="46" t="s">
        <v>5279</v>
      </c>
      <c r="Q231" s="40" t="s">
        <v>627</v>
      </c>
      <c r="R231" s="41">
        <v>45861</v>
      </c>
      <c r="S231" s="22">
        <f t="shared" si="14"/>
        <v>10</v>
      </c>
      <c r="T231" s="41">
        <v>45869</v>
      </c>
      <c r="U231" s="144" t="s">
        <v>571</v>
      </c>
      <c r="V231" s="144" t="s">
        <v>571</v>
      </c>
      <c r="W231" s="144" t="s">
        <v>571</v>
      </c>
      <c r="X231" s="145">
        <v>10</v>
      </c>
      <c r="Y231" s="46" t="s">
        <v>571</v>
      </c>
      <c r="Z231" s="22">
        <v>45908</v>
      </c>
      <c r="AA231" s="22" t="s">
        <v>18695</v>
      </c>
      <c r="AB231" s="22">
        <v>10</v>
      </c>
      <c r="AC231" s="22"/>
      <c r="AD231" s="22"/>
      <c r="AE231" s="22"/>
      <c r="AF231" s="162">
        <f t="shared" si="15"/>
        <v>0</v>
      </c>
      <c r="AG231" s="48">
        <f t="shared" si="16"/>
        <v>0</v>
      </c>
      <c r="AH231" s="48">
        <f t="shared" si="17"/>
        <v>0</v>
      </c>
      <c r="AI231" s="40">
        <f t="shared" si="13"/>
        <v>45882</v>
      </c>
      <c r="AJ231" s="40"/>
      <c r="AK231" s="40"/>
      <c r="AL231" s="146"/>
    </row>
    <row r="232" spans="1:38" ht="17.399999999999999">
      <c r="A232" s="22" t="s">
        <v>18645</v>
      </c>
      <c r="B232" s="22" t="s">
        <v>18660</v>
      </c>
      <c r="C232" s="56" t="s">
        <v>18646</v>
      </c>
      <c r="D232" s="56" t="s">
        <v>18647</v>
      </c>
      <c r="E232" s="22" t="s">
        <v>18648</v>
      </c>
      <c r="F232" s="22" t="s">
        <v>33</v>
      </c>
      <c r="G232" s="22" t="s">
        <v>33</v>
      </c>
      <c r="H232" s="22" t="s">
        <v>9482</v>
      </c>
      <c r="I232" s="49" t="s">
        <v>1954</v>
      </c>
      <c r="J232" s="50" t="s">
        <v>9483</v>
      </c>
      <c r="K232" s="22" t="s">
        <v>18649</v>
      </c>
      <c r="L232" s="22" t="s">
        <v>60</v>
      </c>
      <c r="M232" s="22">
        <v>200</v>
      </c>
      <c r="N232" s="22" t="s">
        <v>18650</v>
      </c>
      <c r="O232" s="22"/>
      <c r="P232" s="46" t="s">
        <v>2655</v>
      </c>
      <c r="Q232" s="40" t="s">
        <v>627</v>
      </c>
      <c r="R232" s="41">
        <v>45861</v>
      </c>
      <c r="S232" s="22">
        <f t="shared" si="14"/>
        <v>200</v>
      </c>
      <c r="T232" s="41">
        <v>45875</v>
      </c>
      <c r="U232" s="144">
        <v>45868</v>
      </c>
      <c r="V232" s="144">
        <v>45874</v>
      </c>
      <c r="W232" s="144" t="s">
        <v>18665</v>
      </c>
      <c r="X232" s="145">
        <v>200</v>
      </c>
      <c r="Y232" s="46" t="s">
        <v>18667</v>
      </c>
      <c r="Z232" s="22"/>
      <c r="AA232" s="22"/>
      <c r="AB232" s="22"/>
      <c r="AC232" s="22"/>
      <c r="AD232" s="22"/>
      <c r="AE232" s="22"/>
      <c r="AF232" s="162">
        <f t="shared" si="15"/>
        <v>0</v>
      </c>
      <c r="AG232" s="48">
        <f t="shared" si="16"/>
        <v>200</v>
      </c>
      <c r="AH232" s="48">
        <f t="shared" si="17"/>
        <v>200</v>
      </c>
      <c r="AI232" s="40">
        <f t="shared" si="13"/>
        <v>45882</v>
      </c>
      <c r="AJ232" s="40"/>
      <c r="AK232" s="40"/>
      <c r="AL232" s="146"/>
    </row>
    <row r="233" spans="1:38" ht="17.399999999999999">
      <c r="A233" s="22" t="s">
        <v>18651</v>
      </c>
      <c r="B233" s="22" t="s">
        <v>18660</v>
      </c>
      <c r="C233" s="56">
        <v>45840</v>
      </c>
      <c r="D233" s="56">
        <v>45825</v>
      </c>
      <c r="E233" s="22" t="s">
        <v>18652</v>
      </c>
      <c r="F233" s="22" t="s">
        <v>33</v>
      </c>
      <c r="G233" s="22" t="s">
        <v>33</v>
      </c>
      <c r="H233" s="22" t="s">
        <v>9484</v>
      </c>
      <c r="I233" s="49" t="s">
        <v>1954</v>
      </c>
      <c r="J233" s="50" t="s">
        <v>9485</v>
      </c>
      <c r="K233" s="22" t="s">
        <v>18649</v>
      </c>
      <c r="L233" s="22" t="s">
        <v>60</v>
      </c>
      <c r="M233" s="22">
        <v>2</v>
      </c>
      <c r="N233" s="22" t="s">
        <v>18653</v>
      </c>
      <c r="O233" s="22"/>
      <c r="P233" s="46" t="s">
        <v>2655</v>
      </c>
      <c r="Q233" s="40" t="s">
        <v>627</v>
      </c>
      <c r="R233" s="41">
        <v>45861</v>
      </c>
      <c r="S233" s="22">
        <f t="shared" si="14"/>
        <v>2</v>
      </c>
      <c r="T233" s="41">
        <v>45875</v>
      </c>
      <c r="U233" s="144">
        <v>45868</v>
      </c>
      <c r="V233" s="144">
        <v>45874</v>
      </c>
      <c r="W233" s="144" t="s">
        <v>18665</v>
      </c>
      <c r="X233" s="145">
        <v>2</v>
      </c>
      <c r="Y233" s="46" t="s">
        <v>18667</v>
      </c>
      <c r="Z233" s="22"/>
      <c r="AA233" s="22"/>
      <c r="AB233" s="22"/>
      <c r="AC233" s="22"/>
      <c r="AD233" s="22"/>
      <c r="AE233" s="22"/>
      <c r="AF233" s="162">
        <f t="shared" si="15"/>
        <v>0</v>
      </c>
      <c r="AG233" s="48">
        <f t="shared" si="16"/>
        <v>2</v>
      </c>
      <c r="AH233" s="48">
        <f t="shared" si="17"/>
        <v>2</v>
      </c>
      <c r="AI233" s="40">
        <f t="shared" si="13"/>
        <v>45882</v>
      </c>
      <c r="AJ233" s="40"/>
      <c r="AK233" s="40"/>
      <c r="AL233" s="146"/>
    </row>
    <row r="234" spans="1:38" ht="17.399999999999999">
      <c r="A234" s="22" t="s">
        <v>18654</v>
      </c>
      <c r="B234" s="22" t="s">
        <v>18660</v>
      </c>
      <c r="C234" s="56">
        <v>45840</v>
      </c>
      <c r="D234" s="56">
        <v>45825</v>
      </c>
      <c r="E234" s="22" t="s">
        <v>18652</v>
      </c>
      <c r="F234" s="22" t="s">
        <v>33</v>
      </c>
      <c r="G234" s="22" t="s">
        <v>33</v>
      </c>
      <c r="H234" s="22" t="s">
        <v>9504</v>
      </c>
      <c r="I234" s="49" t="s">
        <v>1954</v>
      </c>
      <c r="J234" s="50" t="s">
        <v>9505</v>
      </c>
      <c r="K234" s="22" t="s">
        <v>18649</v>
      </c>
      <c r="L234" s="22" t="s">
        <v>60</v>
      </c>
      <c r="M234" s="22">
        <v>2</v>
      </c>
      <c r="N234" s="22" t="s">
        <v>18653</v>
      </c>
      <c r="O234" s="22"/>
      <c r="P234" s="46" t="s">
        <v>2655</v>
      </c>
      <c r="Q234" s="40" t="s">
        <v>627</v>
      </c>
      <c r="R234" s="41">
        <v>45861</v>
      </c>
      <c r="S234" s="22">
        <f t="shared" si="14"/>
        <v>2</v>
      </c>
      <c r="T234" s="41">
        <v>45875</v>
      </c>
      <c r="U234" s="144">
        <v>45868</v>
      </c>
      <c r="V234" s="144">
        <v>45874</v>
      </c>
      <c r="W234" s="144" t="s">
        <v>18665</v>
      </c>
      <c r="X234" s="145">
        <v>2</v>
      </c>
      <c r="Y234" s="46" t="s">
        <v>18667</v>
      </c>
      <c r="Z234" s="22"/>
      <c r="AA234" s="22"/>
      <c r="AB234" s="22"/>
      <c r="AC234" s="22"/>
      <c r="AD234" s="22"/>
      <c r="AE234" s="22"/>
      <c r="AF234" s="162">
        <f t="shared" si="15"/>
        <v>0</v>
      </c>
      <c r="AG234" s="48">
        <f t="shared" si="16"/>
        <v>2</v>
      </c>
      <c r="AH234" s="48">
        <f t="shared" si="17"/>
        <v>2</v>
      </c>
      <c r="AI234" s="40">
        <f t="shared" si="13"/>
        <v>45882</v>
      </c>
      <c r="AJ234" s="40"/>
      <c r="AK234" s="40"/>
      <c r="AL234" s="146"/>
    </row>
    <row r="235" spans="1:38" ht="17.399999999999999">
      <c r="A235" s="22" t="s">
        <v>18655</v>
      </c>
      <c r="B235" s="22" t="s">
        <v>18660</v>
      </c>
      <c r="C235" s="56">
        <v>45840</v>
      </c>
      <c r="D235" s="56">
        <v>45825</v>
      </c>
      <c r="E235" s="22" t="s">
        <v>18652</v>
      </c>
      <c r="F235" s="22" t="s">
        <v>33</v>
      </c>
      <c r="G235" s="22" t="s">
        <v>33</v>
      </c>
      <c r="H235" s="22" t="s">
        <v>9502</v>
      </c>
      <c r="I235" s="49" t="s">
        <v>1954</v>
      </c>
      <c r="J235" s="50" t="s">
        <v>9503</v>
      </c>
      <c r="K235" s="22" t="s">
        <v>18649</v>
      </c>
      <c r="L235" s="22" t="s">
        <v>60</v>
      </c>
      <c r="M235" s="22">
        <v>2</v>
      </c>
      <c r="N235" s="22" t="s">
        <v>18653</v>
      </c>
      <c r="O235" s="22"/>
      <c r="P235" s="46" t="s">
        <v>2655</v>
      </c>
      <c r="Q235" s="40" t="s">
        <v>627</v>
      </c>
      <c r="R235" s="41">
        <v>45861</v>
      </c>
      <c r="S235" s="22">
        <f t="shared" si="14"/>
        <v>2</v>
      </c>
      <c r="T235" s="41">
        <v>45875</v>
      </c>
      <c r="U235" s="144">
        <v>45868</v>
      </c>
      <c r="V235" s="144">
        <v>45874</v>
      </c>
      <c r="W235" s="144" t="s">
        <v>18665</v>
      </c>
      <c r="X235" s="145">
        <v>2</v>
      </c>
      <c r="Y235" s="46" t="s">
        <v>18667</v>
      </c>
      <c r="Z235" s="22"/>
      <c r="AA235" s="22"/>
      <c r="AB235" s="22"/>
      <c r="AC235" s="22"/>
      <c r="AD235" s="22"/>
      <c r="AE235" s="22"/>
      <c r="AF235" s="162">
        <f t="shared" si="15"/>
        <v>0</v>
      </c>
      <c r="AG235" s="48">
        <f t="shared" si="16"/>
        <v>2</v>
      </c>
      <c r="AH235" s="48">
        <f t="shared" si="17"/>
        <v>2</v>
      </c>
      <c r="AI235" s="40">
        <f t="shared" si="13"/>
        <v>45882</v>
      </c>
      <c r="AJ235" s="40"/>
      <c r="AK235" s="40"/>
      <c r="AL235" s="146"/>
    </row>
    <row r="236" spans="1:38" ht="17.399999999999999">
      <c r="A236" s="22" t="s">
        <v>18656</v>
      </c>
      <c r="B236" s="22" t="s">
        <v>18660</v>
      </c>
      <c r="C236" s="56">
        <v>45840</v>
      </c>
      <c r="D236" s="56">
        <v>45825</v>
      </c>
      <c r="E236" s="22" t="s">
        <v>18652</v>
      </c>
      <c r="F236" s="22" t="s">
        <v>33</v>
      </c>
      <c r="G236" s="22" t="s">
        <v>33</v>
      </c>
      <c r="H236" s="22" t="s">
        <v>9500</v>
      </c>
      <c r="I236" s="49" t="s">
        <v>1954</v>
      </c>
      <c r="J236" s="50" t="s">
        <v>9501</v>
      </c>
      <c r="K236" s="22" t="s">
        <v>18649</v>
      </c>
      <c r="L236" s="22" t="s">
        <v>60</v>
      </c>
      <c r="M236" s="22">
        <v>2</v>
      </c>
      <c r="N236" s="22" t="s">
        <v>18653</v>
      </c>
      <c r="O236" s="22"/>
      <c r="P236" s="46" t="s">
        <v>2655</v>
      </c>
      <c r="Q236" s="40" t="s">
        <v>627</v>
      </c>
      <c r="R236" s="41">
        <v>45861</v>
      </c>
      <c r="S236" s="22">
        <f t="shared" si="14"/>
        <v>2</v>
      </c>
      <c r="T236" s="41">
        <v>45875</v>
      </c>
      <c r="U236" s="144">
        <v>45868</v>
      </c>
      <c r="V236" s="144">
        <v>45874</v>
      </c>
      <c r="W236" s="144" t="s">
        <v>18665</v>
      </c>
      <c r="X236" s="145">
        <v>2</v>
      </c>
      <c r="Y236" s="46" t="s">
        <v>18667</v>
      </c>
      <c r="Z236" s="22"/>
      <c r="AA236" s="22"/>
      <c r="AB236" s="22"/>
      <c r="AC236" s="22"/>
      <c r="AD236" s="22"/>
      <c r="AE236" s="22"/>
      <c r="AF236" s="162">
        <f t="shared" si="15"/>
        <v>0</v>
      </c>
      <c r="AG236" s="48">
        <f t="shared" si="16"/>
        <v>2</v>
      </c>
      <c r="AH236" s="48">
        <f t="shared" si="17"/>
        <v>2</v>
      </c>
      <c r="AI236" s="40">
        <f t="shared" si="13"/>
        <v>45882</v>
      </c>
      <c r="AJ236" s="40"/>
      <c r="AK236" s="40"/>
      <c r="AL236" s="146"/>
    </row>
    <row r="237" spans="1:38" ht="17.399999999999999">
      <c r="A237" s="22" t="s">
        <v>18657</v>
      </c>
      <c r="B237" s="22" t="s">
        <v>18660</v>
      </c>
      <c r="C237" s="56">
        <v>45840</v>
      </c>
      <c r="D237" s="56">
        <v>45825</v>
      </c>
      <c r="E237" s="22" t="s">
        <v>18652</v>
      </c>
      <c r="F237" s="22" t="s">
        <v>33</v>
      </c>
      <c r="G237" s="22" t="s">
        <v>33</v>
      </c>
      <c r="H237" s="22" t="s">
        <v>9492</v>
      </c>
      <c r="I237" s="49" t="s">
        <v>1954</v>
      </c>
      <c r="J237" s="50" t="s">
        <v>9493</v>
      </c>
      <c r="K237" s="22" t="s">
        <v>18649</v>
      </c>
      <c r="L237" s="22" t="s">
        <v>60</v>
      </c>
      <c r="M237" s="22">
        <v>2</v>
      </c>
      <c r="N237" s="22" t="s">
        <v>18653</v>
      </c>
      <c r="O237" s="22"/>
      <c r="P237" s="46" t="s">
        <v>2655</v>
      </c>
      <c r="Q237" s="40" t="s">
        <v>627</v>
      </c>
      <c r="R237" s="41">
        <v>45861</v>
      </c>
      <c r="S237" s="22">
        <f t="shared" si="14"/>
        <v>2</v>
      </c>
      <c r="T237" s="41">
        <v>45875</v>
      </c>
      <c r="U237" s="144">
        <v>45868</v>
      </c>
      <c r="V237" s="144">
        <v>45874</v>
      </c>
      <c r="W237" s="144" t="s">
        <v>18665</v>
      </c>
      <c r="X237" s="145">
        <v>2</v>
      </c>
      <c r="Y237" s="46" t="s">
        <v>18667</v>
      </c>
      <c r="Z237" s="22"/>
      <c r="AA237" s="22"/>
      <c r="AB237" s="22"/>
      <c r="AC237" s="22"/>
      <c r="AD237" s="22"/>
      <c r="AE237" s="22"/>
      <c r="AF237" s="162">
        <f t="shared" si="15"/>
        <v>0</v>
      </c>
      <c r="AG237" s="48">
        <f t="shared" si="16"/>
        <v>2</v>
      </c>
      <c r="AH237" s="48">
        <f t="shared" si="17"/>
        <v>2</v>
      </c>
      <c r="AI237" s="40">
        <f t="shared" si="13"/>
        <v>45882</v>
      </c>
      <c r="AJ237" s="40"/>
      <c r="AK237" s="40"/>
      <c r="AL237" s="146"/>
    </row>
    <row r="238" spans="1:38" ht="17.399999999999999">
      <c r="A238" s="22" t="s">
        <v>18658</v>
      </c>
      <c r="B238" s="22" t="s">
        <v>18660</v>
      </c>
      <c r="C238" s="56">
        <v>45840</v>
      </c>
      <c r="D238" s="56">
        <v>45825</v>
      </c>
      <c r="E238" s="22" t="s">
        <v>18652</v>
      </c>
      <c r="F238" s="22" t="s">
        <v>33</v>
      </c>
      <c r="G238" s="22" t="s">
        <v>33</v>
      </c>
      <c r="H238" s="22" t="s">
        <v>9494</v>
      </c>
      <c r="I238" s="49" t="s">
        <v>1954</v>
      </c>
      <c r="J238" s="50" t="s">
        <v>9495</v>
      </c>
      <c r="K238" s="22" t="s">
        <v>18649</v>
      </c>
      <c r="L238" s="22" t="s">
        <v>60</v>
      </c>
      <c r="M238" s="22">
        <v>2</v>
      </c>
      <c r="N238" s="22" t="s">
        <v>18653</v>
      </c>
      <c r="O238" s="22"/>
      <c r="P238" s="46" t="s">
        <v>2655</v>
      </c>
      <c r="Q238" s="40" t="s">
        <v>627</v>
      </c>
      <c r="R238" s="41">
        <v>45861</v>
      </c>
      <c r="S238" s="22">
        <f t="shared" si="14"/>
        <v>2</v>
      </c>
      <c r="T238" s="41">
        <v>45875</v>
      </c>
      <c r="U238" s="144">
        <v>45868</v>
      </c>
      <c r="V238" s="144">
        <v>45874</v>
      </c>
      <c r="W238" s="144" t="s">
        <v>18665</v>
      </c>
      <c r="X238" s="145">
        <v>2</v>
      </c>
      <c r="Y238" s="46" t="s">
        <v>18667</v>
      </c>
      <c r="Z238" s="22"/>
      <c r="AA238" s="22"/>
      <c r="AB238" s="22"/>
      <c r="AC238" s="22"/>
      <c r="AD238" s="22"/>
      <c r="AE238" s="22"/>
      <c r="AF238" s="162">
        <f t="shared" si="15"/>
        <v>0</v>
      </c>
      <c r="AG238" s="48">
        <f t="shared" si="16"/>
        <v>2</v>
      </c>
      <c r="AH238" s="48">
        <f t="shared" si="17"/>
        <v>2</v>
      </c>
      <c r="AI238" s="40">
        <f t="shared" si="13"/>
        <v>45882</v>
      </c>
      <c r="AJ238" s="40"/>
      <c r="AK238" s="40"/>
      <c r="AL238" s="146"/>
    </row>
    <row r="239" spans="1:38" ht="17.399999999999999">
      <c r="A239" s="22" t="s">
        <v>18659</v>
      </c>
      <c r="B239" s="22" t="s">
        <v>18660</v>
      </c>
      <c r="C239" s="56">
        <v>45840</v>
      </c>
      <c r="D239" s="56">
        <v>45825</v>
      </c>
      <c r="E239" s="22" t="s">
        <v>18652</v>
      </c>
      <c r="F239" s="22" t="s">
        <v>33</v>
      </c>
      <c r="G239" s="22" t="s">
        <v>33</v>
      </c>
      <c r="H239" s="22" t="s">
        <v>9498</v>
      </c>
      <c r="I239" s="49" t="s">
        <v>1954</v>
      </c>
      <c r="J239" s="50" t="s">
        <v>9499</v>
      </c>
      <c r="K239" s="22" t="s">
        <v>18649</v>
      </c>
      <c r="L239" s="22" t="s">
        <v>60</v>
      </c>
      <c r="M239" s="22">
        <v>2</v>
      </c>
      <c r="N239" s="22" t="s">
        <v>18653</v>
      </c>
      <c r="O239" s="22"/>
      <c r="P239" s="46" t="s">
        <v>2655</v>
      </c>
      <c r="Q239" s="40" t="s">
        <v>627</v>
      </c>
      <c r="R239" s="41">
        <v>45861</v>
      </c>
      <c r="S239" s="22">
        <f t="shared" si="14"/>
        <v>2</v>
      </c>
      <c r="T239" s="41">
        <v>45875</v>
      </c>
      <c r="U239" s="144">
        <v>45868</v>
      </c>
      <c r="V239" s="144">
        <v>45874</v>
      </c>
      <c r="W239" s="144" t="s">
        <v>18665</v>
      </c>
      <c r="X239" s="145">
        <v>2</v>
      </c>
      <c r="Y239" s="46" t="s">
        <v>18667</v>
      </c>
      <c r="Z239" s="22"/>
      <c r="AA239" s="22"/>
      <c r="AB239" s="22"/>
      <c r="AC239" s="22"/>
      <c r="AD239" s="22"/>
      <c r="AE239" s="22"/>
      <c r="AF239" s="162">
        <f t="shared" si="15"/>
        <v>0</v>
      </c>
      <c r="AG239" s="48">
        <f t="shared" si="16"/>
        <v>2</v>
      </c>
      <c r="AH239" s="48">
        <f t="shared" si="17"/>
        <v>2</v>
      </c>
      <c r="AI239" s="40">
        <f t="shared" ref="AI239:AI292" si="18">IF(A239="","",R239+21)</f>
        <v>45882</v>
      </c>
      <c r="AJ239" s="40"/>
      <c r="AK239" s="40"/>
      <c r="AL239" s="146"/>
    </row>
    <row r="240" spans="1:38" ht="17.399999999999999">
      <c r="A240" s="22" t="s">
        <v>18669</v>
      </c>
      <c r="B240" s="22" t="s">
        <v>18670</v>
      </c>
      <c r="C240" s="56">
        <v>45871</v>
      </c>
      <c r="D240" s="56">
        <v>45636</v>
      </c>
      <c r="E240" s="22" t="s">
        <v>18671</v>
      </c>
      <c r="F240" s="22" t="s">
        <v>33</v>
      </c>
      <c r="G240" s="22" t="s">
        <v>33</v>
      </c>
      <c r="H240" s="22" t="s">
        <v>5405</v>
      </c>
      <c r="I240" s="49" t="s">
        <v>2652</v>
      </c>
      <c r="J240" s="50" t="s">
        <v>5406</v>
      </c>
      <c r="K240" s="22" t="s">
        <v>18672</v>
      </c>
      <c r="L240" s="22" t="s">
        <v>60</v>
      </c>
      <c r="M240" s="22">
        <v>1</v>
      </c>
      <c r="N240" s="22" t="s">
        <v>18673</v>
      </c>
      <c r="O240" s="22"/>
      <c r="P240" s="46" t="s">
        <v>2655</v>
      </c>
      <c r="Q240" s="40" t="s">
        <v>627</v>
      </c>
      <c r="R240" s="41">
        <v>45876</v>
      </c>
      <c r="S240" s="22">
        <f t="shared" si="14"/>
        <v>1</v>
      </c>
      <c r="T240" s="41">
        <v>45901</v>
      </c>
      <c r="U240" s="144">
        <v>45894</v>
      </c>
      <c r="V240" s="144">
        <v>45897</v>
      </c>
      <c r="W240" s="144" t="s">
        <v>18696</v>
      </c>
      <c r="X240" s="145">
        <v>1</v>
      </c>
      <c r="Y240" s="46" t="s">
        <v>18697</v>
      </c>
      <c r="Z240" s="22">
        <v>45960</v>
      </c>
      <c r="AA240" s="22" t="s">
        <v>18877</v>
      </c>
      <c r="AB240" s="22">
        <v>1</v>
      </c>
      <c r="AC240" s="22"/>
      <c r="AD240" s="22"/>
      <c r="AE240" s="22"/>
      <c r="AF240" s="162">
        <f t="shared" si="15"/>
        <v>0</v>
      </c>
      <c r="AG240" s="48">
        <f t="shared" si="16"/>
        <v>0</v>
      </c>
      <c r="AH240" s="48">
        <f t="shared" si="17"/>
        <v>0</v>
      </c>
      <c r="AI240" s="40">
        <f t="shared" si="18"/>
        <v>45897</v>
      </c>
      <c r="AJ240" s="40"/>
      <c r="AK240" s="40"/>
      <c r="AL240" s="146"/>
    </row>
    <row r="241" spans="1:38" ht="17.399999999999999">
      <c r="A241" s="22" t="s">
        <v>18698</v>
      </c>
      <c r="B241" s="22" t="s">
        <v>346</v>
      </c>
      <c r="C241" s="56" t="s">
        <v>18699</v>
      </c>
      <c r="D241" s="56" t="s">
        <v>33</v>
      </c>
      <c r="E241" s="22" t="s">
        <v>18700</v>
      </c>
      <c r="F241" s="22" t="s">
        <v>33</v>
      </c>
      <c r="G241" s="22" t="s">
        <v>33</v>
      </c>
      <c r="H241" s="22" t="s">
        <v>366</v>
      </c>
      <c r="I241" s="49" t="s">
        <v>362</v>
      </c>
      <c r="J241" s="50" t="s">
        <v>367</v>
      </c>
      <c r="K241" s="22" t="s">
        <v>346</v>
      </c>
      <c r="L241" s="22" t="s">
        <v>60</v>
      </c>
      <c r="M241" s="22">
        <v>49</v>
      </c>
      <c r="N241" s="22" t="s">
        <v>18701</v>
      </c>
      <c r="O241" s="22"/>
      <c r="P241" s="46" t="s">
        <v>18088</v>
      </c>
      <c r="Q241" s="40" t="s">
        <v>627</v>
      </c>
      <c r="R241" s="41">
        <v>45889</v>
      </c>
      <c r="S241" s="22">
        <f t="shared" si="14"/>
        <v>49</v>
      </c>
      <c r="T241" s="41">
        <v>45901</v>
      </c>
      <c r="U241" s="144">
        <v>45894</v>
      </c>
      <c r="V241" s="144">
        <v>45897</v>
      </c>
      <c r="W241" s="144" t="s">
        <v>18702</v>
      </c>
      <c r="X241" s="145">
        <v>49</v>
      </c>
      <c r="Y241" s="46" t="s">
        <v>18703</v>
      </c>
      <c r="Z241" s="22"/>
      <c r="AA241" s="22"/>
      <c r="AB241" s="22"/>
      <c r="AC241" s="22"/>
      <c r="AD241" s="22"/>
      <c r="AE241" s="22"/>
      <c r="AF241" s="162">
        <f t="shared" si="15"/>
        <v>0</v>
      </c>
      <c r="AG241" s="48">
        <f t="shared" si="16"/>
        <v>49</v>
      </c>
      <c r="AH241" s="48">
        <f t="shared" si="17"/>
        <v>49</v>
      </c>
      <c r="AI241" s="40">
        <f t="shared" si="18"/>
        <v>45910</v>
      </c>
      <c r="AJ241" s="40"/>
      <c r="AK241" s="40"/>
      <c r="AL241" s="146"/>
    </row>
    <row r="242" spans="1:38" ht="17.399999999999999">
      <c r="A242" s="22" t="s">
        <v>18704</v>
      </c>
      <c r="B242" s="22" t="s">
        <v>287</v>
      </c>
      <c r="C242" s="56" t="s">
        <v>18705</v>
      </c>
      <c r="D242" s="56">
        <v>45610</v>
      </c>
      <c r="E242" s="22" t="s">
        <v>18170</v>
      </c>
      <c r="F242" s="22" t="s">
        <v>33</v>
      </c>
      <c r="G242" s="22" t="s">
        <v>33</v>
      </c>
      <c r="H242" s="22" t="s">
        <v>12224</v>
      </c>
      <c r="I242" s="49" t="s">
        <v>174</v>
      </c>
      <c r="J242" s="50" t="s">
        <v>12225</v>
      </c>
      <c r="K242" s="22" t="s">
        <v>51</v>
      </c>
      <c r="L242" s="22" t="s">
        <v>60</v>
      </c>
      <c r="M242" s="22">
        <v>2</v>
      </c>
      <c r="N242" s="22" t="s">
        <v>18706</v>
      </c>
      <c r="O242" s="22"/>
      <c r="P242" s="46" t="s">
        <v>683</v>
      </c>
      <c r="Q242" s="40" t="s">
        <v>627</v>
      </c>
      <c r="R242" s="41">
        <v>45890</v>
      </c>
      <c r="S242" s="22">
        <f t="shared" si="14"/>
        <v>2</v>
      </c>
      <c r="T242" s="41">
        <v>45895</v>
      </c>
      <c r="U242" s="144">
        <v>45993</v>
      </c>
      <c r="V242" s="144">
        <v>46000</v>
      </c>
      <c r="W242" s="144" t="s">
        <v>18987</v>
      </c>
      <c r="X242" s="145">
        <v>2</v>
      </c>
      <c r="Y242" s="46" t="s">
        <v>18994</v>
      </c>
      <c r="Z242" s="22"/>
      <c r="AA242" s="22"/>
      <c r="AB242" s="22"/>
      <c r="AC242" s="22"/>
      <c r="AD242" s="22"/>
      <c r="AE242" s="22"/>
      <c r="AF242" s="162">
        <f t="shared" si="15"/>
        <v>0</v>
      </c>
      <c r="AG242" s="48">
        <f t="shared" si="16"/>
        <v>2</v>
      </c>
      <c r="AH242" s="48">
        <f t="shared" si="17"/>
        <v>2</v>
      </c>
      <c r="AI242" s="40">
        <f t="shared" si="18"/>
        <v>45911</v>
      </c>
      <c r="AJ242" s="40"/>
      <c r="AK242" s="40"/>
      <c r="AL242" s="146"/>
    </row>
    <row r="243" spans="1:38" ht="17.399999999999999">
      <c r="A243" s="22" t="s">
        <v>18707</v>
      </c>
      <c r="B243" s="22" t="s">
        <v>18462</v>
      </c>
      <c r="C243" s="56">
        <v>45888</v>
      </c>
      <c r="D243" s="56">
        <v>45727</v>
      </c>
      <c r="E243" s="22" t="s">
        <v>18328</v>
      </c>
      <c r="F243" s="22" t="s">
        <v>33</v>
      </c>
      <c r="G243" s="22" t="s">
        <v>18708</v>
      </c>
      <c r="H243" s="22" t="s">
        <v>3011</v>
      </c>
      <c r="I243" s="49" t="s">
        <v>1472</v>
      </c>
      <c r="J243" s="50" t="s">
        <v>3012</v>
      </c>
      <c r="K243" s="22" t="s">
        <v>18464</v>
      </c>
      <c r="L243" s="22" t="s">
        <v>60</v>
      </c>
      <c r="M243" s="22">
        <v>5</v>
      </c>
      <c r="N243" s="22" t="s">
        <v>18709</v>
      </c>
      <c r="O243" s="22"/>
      <c r="P243" s="46" t="s">
        <v>19054</v>
      </c>
      <c r="Q243" s="40" t="s">
        <v>627</v>
      </c>
      <c r="R243" s="41">
        <v>45890</v>
      </c>
      <c r="S243" s="22">
        <f t="shared" si="14"/>
        <v>5</v>
      </c>
      <c r="T243" s="41">
        <v>45902</v>
      </c>
      <c r="U243" s="144">
        <v>45896</v>
      </c>
      <c r="V243" s="144">
        <v>45902</v>
      </c>
      <c r="W243" s="144" t="s">
        <v>18710</v>
      </c>
      <c r="X243" s="145">
        <v>5</v>
      </c>
      <c r="Y243" s="46" t="s">
        <v>18711</v>
      </c>
      <c r="Z243" s="22"/>
      <c r="AA243" s="22"/>
      <c r="AB243" s="22"/>
      <c r="AC243" s="22"/>
      <c r="AD243" s="22"/>
      <c r="AE243" s="22"/>
      <c r="AF243" s="162">
        <f t="shared" si="15"/>
        <v>0</v>
      </c>
      <c r="AG243" s="48">
        <f t="shared" si="16"/>
        <v>5</v>
      </c>
      <c r="AH243" s="48">
        <f t="shared" si="17"/>
        <v>5</v>
      </c>
      <c r="AI243" s="40">
        <f t="shared" si="18"/>
        <v>45911</v>
      </c>
      <c r="AJ243" s="40"/>
      <c r="AK243" s="40"/>
      <c r="AL243" s="146"/>
    </row>
    <row r="244" spans="1:38" ht="17.399999999999999">
      <c r="A244" s="22" t="s">
        <v>18712</v>
      </c>
      <c r="B244" s="22" t="s">
        <v>50</v>
      </c>
      <c r="C244" s="56">
        <v>45894</v>
      </c>
      <c r="D244" s="56">
        <v>45873</v>
      </c>
      <c r="E244" s="22" t="s">
        <v>18713</v>
      </c>
      <c r="F244" s="22">
        <v>350</v>
      </c>
      <c r="G244" s="22" t="s">
        <v>18536</v>
      </c>
      <c r="H244" s="22" t="s">
        <v>82</v>
      </c>
      <c r="I244" s="49" t="s">
        <v>83</v>
      </c>
      <c r="J244" s="50" t="s">
        <v>84</v>
      </c>
      <c r="K244" s="22" t="s">
        <v>18329</v>
      </c>
      <c r="L244" s="22" t="s">
        <v>60</v>
      </c>
      <c r="M244" s="22">
        <v>1</v>
      </c>
      <c r="N244" s="22" t="s">
        <v>18714</v>
      </c>
      <c r="O244" s="22"/>
      <c r="P244" s="46" t="s">
        <v>19054</v>
      </c>
      <c r="Q244" s="40" t="s">
        <v>728</v>
      </c>
      <c r="R244" s="41">
        <v>45894</v>
      </c>
      <c r="S244" s="22">
        <f t="shared" si="14"/>
        <v>1</v>
      </c>
      <c r="T244" s="41">
        <v>45902</v>
      </c>
      <c r="U244" s="144">
        <v>45896</v>
      </c>
      <c r="V244" s="144">
        <v>45902</v>
      </c>
      <c r="W244" s="144" t="s">
        <v>18710</v>
      </c>
      <c r="X244" s="145">
        <v>1</v>
      </c>
      <c r="Y244" s="46" t="s">
        <v>18711</v>
      </c>
      <c r="Z244" s="22"/>
      <c r="AA244" s="22"/>
      <c r="AB244" s="22"/>
      <c r="AC244" s="22"/>
      <c r="AD244" s="22"/>
      <c r="AE244" s="22"/>
      <c r="AF244" s="162">
        <f t="shared" si="15"/>
        <v>0</v>
      </c>
      <c r="AG244" s="48">
        <f t="shared" si="16"/>
        <v>1</v>
      </c>
      <c r="AH244" s="48">
        <f t="shared" si="17"/>
        <v>1</v>
      </c>
      <c r="AI244" s="40">
        <f t="shared" si="18"/>
        <v>45915</v>
      </c>
      <c r="AJ244" s="40"/>
      <c r="AK244" s="40"/>
      <c r="AL244" s="146"/>
    </row>
    <row r="245" spans="1:38" ht="17.399999999999999">
      <c r="A245" s="22" t="s">
        <v>18715</v>
      </c>
      <c r="B245" s="22" t="s">
        <v>18716</v>
      </c>
      <c r="C245" s="56">
        <v>45715</v>
      </c>
      <c r="D245" s="56">
        <v>45586</v>
      </c>
      <c r="E245" s="22" t="s">
        <v>18717</v>
      </c>
      <c r="F245" s="22" t="s">
        <v>33</v>
      </c>
      <c r="G245" s="22" t="s">
        <v>33</v>
      </c>
      <c r="H245" s="22" t="s">
        <v>475</v>
      </c>
      <c r="I245" s="49" t="s">
        <v>174</v>
      </c>
      <c r="J245" s="50" t="s">
        <v>476</v>
      </c>
      <c r="K245" s="22" t="s">
        <v>215</v>
      </c>
      <c r="L245" s="22" t="s">
        <v>60</v>
      </c>
      <c r="M245" s="22">
        <v>2</v>
      </c>
      <c r="N245" s="22" t="s">
        <v>18718</v>
      </c>
      <c r="O245" s="22"/>
      <c r="P245" s="46" t="s">
        <v>683</v>
      </c>
      <c r="Q245" s="40" t="s">
        <v>627</v>
      </c>
      <c r="R245" s="41">
        <v>45897</v>
      </c>
      <c r="S245" s="22">
        <f t="shared" si="14"/>
        <v>2</v>
      </c>
      <c r="T245" s="41">
        <v>45901</v>
      </c>
      <c r="U245" s="144">
        <v>45993</v>
      </c>
      <c r="V245" s="144">
        <v>46000</v>
      </c>
      <c r="W245" s="144" t="s">
        <v>18987</v>
      </c>
      <c r="X245" s="145">
        <v>2</v>
      </c>
      <c r="Y245" s="46" t="s">
        <v>18994</v>
      </c>
      <c r="Z245" s="22"/>
      <c r="AA245" s="22"/>
      <c r="AB245" s="22"/>
      <c r="AC245" s="22"/>
      <c r="AD245" s="22"/>
      <c r="AE245" s="22"/>
      <c r="AF245" s="162">
        <f t="shared" si="15"/>
        <v>0</v>
      </c>
      <c r="AG245" s="48">
        <f t="shared" si="16"/>
        <v>2</v>
      </c>
      <c r="AH245" s="48">
        <f t="shared" si="17"/>
        <v>2</v>
      </c>
      <c r="AI245" s="40">
        <f t="shared" si="18"/>
        <v>45918</v>
      </c>
      <c r="AJ245" s="40"/>
      <c r="AK245" s="40"/>
      <c r="AL245" s="146"/>
    </row>
    <row r="246" spans="1:38" ht="17.399999999999999">
      <c r="A246" s="22" t="s">
        <v>18719</v>
      </c>
      <c r="B246" s="22" t="s">
        <v>18720</v>
      </c>
      <c r="C246" s="56" t="s">
        <v>18721</v>
      </c>
      <c r="D246" s="56" t="s">
        <v>18722</v>
      </c>
      <c r="E246" s="22" t="s">
        <v>18723</v>
      </c>
      <c r="F246" s="22" t="s">
        <v>33</v>
      </c>
      <c r="G246" s="22" t="s">
        <v>33</v>
      </c>
      <c r="H246" s="22" t="s">
        <v>469</v>
      </c>
      <c r="I246" s="49" t="s">
        <v>174</v>
      </c>
      <c r="J246" s="50" t="s">
        <v>470</v>
      </c>
      <c r="K246" s="22" t="s">
        <v>18106</v>
      </c>
      <c r="L246" s="22" t="s">
        <v>60</v>
      </c>
      <c r="M246" s="22">
        <v>8</v>
      </c>
      <c r="N246" s="22" t="s">
        <v>18724</v>
      </c>
      <c r="O246" s="22"/>
      <c r="P246" s="46" t="s">
        <v>683</v>
      </c>
      <c r="Q246" s="40" t="s">
        <v>627</v>
      </c>
      <c r="R246" s="41">
        <v>45897</v>
      </c>
      <c r="S246" s="22">
        <f t="shared" si="14"/>
        <v>8</v>
      </c>
      <c r="T246" s="41">
        <v>45901</v>
      </c>
      <c r="U246" s="144">
        <v>45993</v>
      </c>
      <c r="V246" s="144">
        <v>46000</v>
      </c>
      <c r="W246" s="144" t="s">
        <v>18987</v>
      </c>
      <c r="X246" s="145">
        <v>8</v>
      </c>
      <c r="Y246" s="46" t="s">
        <v>18994</v>
      </c>
      <c r="Z246" s="22"/>
      <c r="AA246" s="22"/>
      <c r="AB246" s="22"/>
      <c r="AC246" s="22"/>
      <c r="AD246" s="22"/>
      <c r="AE246" s="22"/>
      <c r="AF246" s="162">
        <f t="shared" si="15"/>
        <v>0</v>
      </c>
      <c r="AG246" s="48">
        <f t="shared" si="16"/>
        <v>8</v>
      </c>
      <c r="AH246" s="48">
        <f t="shared" si="17"/>
        <v>8</v>
      </c>
      <c r="AI246" s="40">
        <f t="shared" si="18"/>
        <v>45918</v>
      </c>
      <c r="AJ246" s="40"/>
      <c r="AK246" s="40"/>
      <c r="AL246" s="146"/>
    </row>
    <row r="247" spans="1:38" ht="17.399999999999999">
      <c r="A247" s="22" t="s">
        <v>18725</v>
      </c>
      <c r="B247" s="22" t="s">
        <v>359</v>
      </c>
      <c r="C247" s="56" t="s">
        <v>18684</v>
      </c>
      <c r="D247" s="56" t="s">
        <v>33</v>
      </c>
      <c r="E247" s="22" t="s">
        <v>33</v>
      </c>
      <c r="F247" s="22" t="s">
        <v>33</v>
      </c>
      <c r="G247" s="22" t="s">
        <v>67</v>
      </c>
      <c r="H247" s="22" t="s">
        <v>1477</v>
      </c>
      <c r="I247" s="49" t="s">
        <v>994</v>
      </c>
      <c r="J247" s="50" t="s">
        <v>1478</v>
      </c>
      <c r="K247" s="22" t="s">
        <v>980</v>
      </c>
      <c r="L247" s="22" t="s">
        <v>60</v>
      </c>
      <c r="M247" s="22">
        <v>1</v>
      </c>
      <c r="N247" s="22" t="s">
        <v>18878</v>
      </c>
      <c r="O247" s="22"/>
      <c r="P247" s="46" t="s">
        <v>681</v>
      </c>
      <c r="Q247" s="40" t="s">
        <v>627</v>
      </c>
      <c r="R247" s="41">
        <v>45902</v>
      </c>
      <c r="S247" s="22">
        <f t="shared" si="14"/>
        <v>1</v>
      </c>
      <c r="T247" s="41">
        <v>45932</v>
      </c>
      <c r="U247" s="144">
        <v>45923</v>
      </c>
      <c r="V247" s="144">
        <v>45932</v>
      </c>
      <c r="W247" s="144" t="s">
        <v>18879</v>
      </c>
      <c r="X247" s="145">
        <v>1</v>
      </c>
      <c r="Y247" s="46" t="s">
        <v>18880</v>
      </c>
      <c r="Z247" s="22"/>
      <c r="AA247" s="22"/>
      <c r="AB247" s="22"/>
      <c r="AC247" s="22"/>
      <c r="AD247" s="22"/>
      <c r="AE247" s="22"/>
      <c r="AF247" s="162">
        <f t="shared" si="15"/>
        <v>0</v>
      </c>
      <c r="AG247" s="48">
        <f t="shared" si="16"/>
        <v>1</v>
      </c>
      <c r="AH247" s="48">
        <f t="shared" si="17"/>
        <v>1</v>
      </c>
      <c r="AI247" s="40">
        <f t="shared" si="18"/>
        <v>45923</v>
      </c>
      <c r="AJ247" s="40"/>
      <c r="AK247" s="40"/>
      <c r="AL247" s="146"/>
    </row>
    <row r="248" spans="1:38" ht="17.399999999999999">
      <c r="A248" s="22" t="s">
        <v>18726</v>
      </c>
      <c r="B248" s="22" t="s">
        <v>18683</v>
      </c>
      <c r="C248" s="56" t="s">
        <v>18684</v>
      </c>
      <c r="D248" s="56" t="s">
        <v>33</v>
      </c>
      <c r="E248" s="22" t="s">
        <v>33</v>
      </c>
      <c r="F248" s="22" t="s">
        <v>33</v>
      </c>
      <c r="G248" s="22" t="s">
        <v>18727</v>
      </c>
      <c r="H248" s="22" t="s">
        <v>410</v>
      </c>
      <c r="I248" s="49" t="s">
        <v>404</v>
      </c>
      <c r="J248" s="50" t="s">
        <v>411</v>
      </c>
      <c r="K248" s="22" t="s">
        <v>980</v>
      </c>
      <c r="L248" s="22" t="s">
        <v>60</v>
      </c>
      <c r="M248" s="22">
        <v>355</v>
      </c>
      <c r="N248" s="22" t="s">
        <v>18728</v>
      </c>
      <c r="O248" s="22"/>
      <c r="P248" s="46" t="s">
        <v>681</v>
      </c>
      <c r="Q248" s="40" t="s">
        <v>627</v>
      </c>
      <c r="R248" s="41">
        <v>45902</v>
      </c>
      <c r="S248" s="22">
        <f t="shared" si="14"/>
        <v>355</v>
      </c>
      <c r="T248" s="41">
        <v>45917</v>
      </c>
      <c r="U248" s="144" t="s">
        <v>18729</v>
      </c>
      <c r="V248" s="144">
        <v>45916</v>
      </c>
      <c r="W248" s="144" t="s">
        <v>18730</v>
      </c>
      <c r="X248" s="145">
        <v>355</v>
      </c>
      <c r="Y248" s="46" t="s">
        <v>18731</v>
      </c>
      <c r="Z248" s="22">
        <v>45974</v>
      </c>
      <c r="AA248" s="22" t="s">
        <v>18881</v>
      </c>
      <c r="AB248" s="22">
        <v>355</v>
      </c>
      <c r="AC248" s="22"/>
      <c r="AD248" s="22"/>
      <c r="AE248" s="22"/>
      <c r="AF248" s="162">
        <f t="shared" si="15"/>
        <v>0</v>
      </c>
      <c r="AG248" s="48">
        <f t="shared" si="16"/>
        <v>0</v>
      </c>
      <c r="AH248" s="48">
        <f t="shared" si="17"/>
        <v>0</v>
      </c>
      <c r="AI248" s="40">
        <f t="shared" si="18"/>
        <v>45923</v>
      </c>
      <c r="AJ248" s="40"/>
      <c r="AK248" s="40"/>
      <c r="AL248" s="146"/>
    </row>
    <row r="249" spans="1:38" ht="17.399999999999999">
      <c r="A249" s="22" t="s">
        <v>18732</v>
      </c>
      <c r="B249" s="22" t="s">
        <v>18733</v>
      </c>
      <c r="C249" s="56" t="s">
        <v>18734</v>
      </c>
      <c r="D249" s="56" t="s">
        <v>18735</v>
      </c>
      <c r="E249" s="22" t="s">
        <v>18736</v>
      </c>
      <c r="F249" s="22" t="s">
        <v>33</v>
      </c>
      <c r="G249" s="22" t="s">
        <v>33</v>
      </c>
      <c r="H249" s="22" t="s">
        <v>18737</v>
      </c>
      <c r="I249" s="49" t="s">
        <v>18738</v>
      </c>
      <c r="J249" s="50" t="s">
        <v>18739</v>
      </c>
      <c r="K249" s="22" t="s">
        <v>18740</v>
      </c>
      <c r="L249" s="22" t="s">
        <v>60</v>
      </c>
      <c r="M249" s="22">
        <v>407</v>
      </c>
      <c r="N249" s="22" t="s">
        <v>18741</v>
      </c>
      <c r="O249" s="22"/>
      <c r="P249" s="46" t="s">
        <v>685</v>
      </c>
      <c r="Q249" s="40" t="s">
        <v>627</v>
      </c>
      <c r="R249" s="41">
        <v>45904</v>
      </c>
      <c r="S249" s="22">
        <f t="shared" si="14"/>
        <v>407</v>
      </c>
      <c r="T249" s="41">
        <v>45911</v>
      </c>
      <c r="U249" s="144">
        <v>45908</v>
      </c>
      <c r="V249" s="144">
        <v>45911</v>
      </c>
      <c r="W249" s="144" t="s">
        <v>18742</v>
      </c>
      <c r="X249" s="145">
        <v>407</v>
      </c>
      <c r="Y249" s="46" t="s">
        <v>18743</v>
      </c>
      <c r="Z249" s="22"/>
      <c r="AA249" s="22"/>
      <c r="AB249" s="22"/>
      <c r="AC249" s="22">
        <v>45930</v>
      </c>
      <c r="AD249" s="22" t="s">
        <v>18882</v>
      </c>
      <c r="AE249" s="22">
        <v>407</v>
      </c>
      <c r="AF249" s="162">
        <f t="shared" si="15"/>
        <v>0</v>
      </c>
      <c r="AG249" s="48">
        <f t="shared" si="16"/>
        <v>0</v>
      </c>
      <c r="AH249" s="48">
        <f t="shared" si="17"/>
        <v>0</v>
      </c>
      <c r="AI249" s="40">
        <f t="shared" si="18"/>
        <v>45925</v>
      </c>
      <c r="AJ249" s="40"/>
      <c r="AK249" s="40"/>
      <c r="AL249" s="146"/>
    </row>
    <row r="250" spans="1:38" ht="17.399999999999999">
      <c r="A250" s="22" t="s">
        <v>18744</v>
      </c>
      <c r="B250" s="22" t="s">
        <v>18303</v>
      </c>
      <c r="C250" s="56">
        <v>45782</v>
      </c>
      <c r="D250" s="56">
        <v>45670</v>
      </c>
      <c r="E250" s="22" t="s">
        <v>18745</v>
      </c>
      <c r="F250" s="22" t="s">
        <v>33</v>
      </c>
      <c r="G250" s="22" t="s">
        <v>33</v>
      </c>
      <c r="H250" s="22" t="s">
        <v>5261</v>
      </c>
      <c r="I250" s="49" t="s">
        <v>174</v>
      </c>
      <c r="J250" s="50" t="s">
        <v>476</v>
      </c>
      <c r="K250" s="22" t="s">
        <v>59</v>
      </c>
      <c r="L250" s="22" t="s">
        <v>60</v>
      </c>
      <c r="M250" s="22">
        <v>1</v>
      </c>
      <c r="N250" s="22" t="s">
        <v>18374</v>
      </c>
      <c r="O250" s="22"/>
      <c r="P250" s="46" t="s">
        <v>19055</v>
      </c>
      <c r="Q250" s="40" t="s">
        <v>627</v>
      </c>
      <c r="R250" s="41">
        <v>45904</v>
      </c>
      <c r="S250" s="22">
        <f t="shared" si="14"/>
        <v>1</v>
      </c>
      <c r="T250" s="41">
        <v>45917</v>
      </c>
      <c r="U250" s="144">
        <v>45910</v>
      </c>
      <c r="V250" s="144">
        <v>45916</v>
      </c>
      <c r="W250" s="144" t="s">
        <v>18746</v>
      </c>
      <c r="X250" s="145">
        <v>1</v>
      </c>
      <c r="Y250" s="46" t="s">
        <v>18747</v>
      </c>
      <c r="Z250" s="22"/>
      <c r="AA250" s="22"/>
      <c r="AB250" s="22"/>
      <c r="AC250" s="22"/>
      <c r="AD250" s="22"/>
      <c r="AE250" s="22"/>
      <c r="AF250" s="162">
        <f t="shared" si="15"/>
        <v>0</v>
      </c>
      <c r="AG250" s="48">
        <f t="shared" si="16"/>
        <v>1</v>
      </c>
      <c r="AH250" s="48">
        <f t="shared" si="17"/>
        <v>1</v>
      </c>
      <c r="AI250" s="40">
        <f t="shared" si="18"/>
        <v>45925</v>
      </c>
      <c r="AJ250" s="40">
        <v>45978</v>
      </c>
      <c r="AK250" s="40"/>
      <c r="AL250" s="146"/>
    </row>
    <row r="251" spans="1:38" ht="17.399999999999999">
      <c r="A251" s="22" t="s">
        <v>18675</v>
      </c>
      <c r="B251" s="22" t="s">
        <v>50</v>
      </c>
      <c r="C251" s="56">
        <v>45876</v>
      </c>
      <c r="D251" s="56">
        <v>45867</v>
      </c>
      <c r="E251" s="22" t="s">
        <v>18676</v>
      </c>
      <c r="F251" s="22">
        <v>50000</v>
      </c>
      <c r="G251" s="22" t="s">
        <v>18677</v>
      </c>
      <c r="H251" s="22" t="s">
        <v>260</v>
      </c>
      <c r="I251" s="49" t="s">
        <v>206</v>
      </c>
      <c r="J251" s="50" t="s">
        <v>207</v>
      </c>
      <c r="K251" s="22" t="s">
        <v>215</v>
      </c>
      <c r="L251" s="22" t="s">
        <v>60</v>
      </c>
      <c r="M251" s="22">
        <v>47</v>
      </c>
      <c r="N251" s="22" t="s">
        <v>18678</v>
      </c>
      <c r="O251" s="22"/>
      <c r="P251" s="46" t="s">
        <v>685</v>
      </c>
      <c r="Q251" s="40" t="s">
        <v>728</v>
      </c>
      <c r="R251" s="41">
        <v>45910</v>
      </c>
      <c r="S251" s="22">
        <f t="shared" si="14"/>
        <v>47</v>
      </c>
      <c r="T251" s="41">
        <v>45916</v>
      </c>
      <c r="U251" s="144" t="s">
        <v>571</v>
      </c>
      <c r="V251" s="144" t="s">
        <v>571</v>
      </c>
      <c r="W251" s="144" t="s">
        <v>571</v>
      </c>
      <c r="X251" s="145">
        <v>47</v>
      </c>
      <c r="Y251" s="46" t="s">
        <v>571</v>
      </c>
      <c r="Z251" s="22"/>
      <c r="AA251" s="22"/>
      <c r="AB251" s="22"/>
      <c r="AC251" s="22"/>
      <c r="AD251" s="22"/>
      <c r="AE251" s="22"/>
      <c r="AF251" s="162">
        <f t="shared" si="15"/>
        <v>0</v>
      </c>
      <c r="AG251" s="48">
        <f t="shared" si="16"/>
        <v>47</v>
      </c>
      <c r="AH251" s="48">
        <f t="shared" si="17"/>
        <v>47</v>
      </c>
      <c r="AI251" s="40">
        <f t="shared" si="18"/>
        <v>45931</v>
      </c>
      <c r="AJ251" s="40"/>
      <c r="AK251" s="40"/>
      <c r="AL251" s="146"/>
    </row>
    <row r="252" spans="1:38" ht="17.399999999999999">
      <c r="A252" s="22" t="s">
        <v>18679</v>
      </c>
      <c r="B252" s="22" t="s">
        <v>269</v>
      </c>
      <c r="C252" s="56">
        <v>45874</v>
      </c>
      <c r="D252" s="56">
        <v>45789</v>
      </c>
      <c r="E252" s="22" t="s">
        <v>18680</v>
      </c>
      <c r="F252" s="22" t="s">
        <v>33</v>
      </c>
      <c r="G252" s="22" t="s">
        <v>33</v>
      </c>
      <c r="H252" s="22" t="s">
        <v>205</v>
      </c>
      <c r="I252" s="49" t="s">
        <v>206</v>
      </c>
      <c r="J252" s="50" t="s">
        <v>207</v>
      </c>
      <c r="K252" s="22" t="s">
        <v>2748</v>
      </c>
      <c r="L252" s="22" t="s">
        <v>60</v>
      </c>
      <c r="M252" s="22">
        <v>11</v>
      </c>
      <c r="N252" s="22" t="s">
        <v>18681</v>
      </c>
      <c r="O252" s="22"/>
      <c r="P252" s="46" t="s">
        <v>685</v>
      </c>
      <c r="Q252" s="40" t="s">
        <v>627</v>
      </c>
      <c r="R252" s="41">
        <v>45910</v>
      </c>
      <c r="S252" s="22">
        <f t="shared" ref="S252:S292" si="19">IF(A252="","",M252+O252)</f>
        <v>11</v>
      </c>
      <c r="T252" s="41">
        <v>45916</v>
      </c>
      <c r="U252" s="144" t="s">
        <v>571</v>
      </c>
      <c r="V252" s="144" t="s">
        <v>571</v>
      </c>
      <c r="W252" s="144" t="s">
        <v>571</v>
      </c>
      <c r="X252" s="145">
        <v>11</v>
      </c>
      <c r="Y252" s="46" t="s">
        <v>571</v>
      </c>
      <c r="Z252" s="22"/>
      <c r="AA252" s="22"/>
      <c r="AB252" s="22"/>
      <c r="AC252" s="22"/>
      <c r="AD252" s="22"/>
      <c r="AE252" s="22"/>
      <c r="AF252" s="162">
        <f t="shared" si="15"/>
        <v>0</v>
      </c>
      <c r="AG252" s="48">
        <f t="shared" si="16"/>
        <v>11</v>
      </c>
      <c r="AH252" s="48">
        <f t="shared" si="17"/>
        <v>11</v>
      </c>
      <c r="AI252" s="40">
        <f t="shared" si="18"/>
        <v>45931</v>
      </c>
      <c r="AJ252" s="40"/>
      <c r="AK252" s="40"/>
      <c r="AL252" s="146"/>
    </row>
    <row r="253" spans="1:38" ht="17.399999999999999">
      <c r="A253" s="22" t="s">
        <v>18682</v>
      </c>
      <c r="B253" s="22" t="s">
        <v>18683</v>
      </c>
      <c r="C253" s="56" t="s">
        <v>18684</v>
      </c>
      <c r="D253" s="56" t="s">
        <v>33</v>
      </c>
      <c r="E253" s="22" t="s">
        <v>33</v>
      </c>
      <c r="F253" s="22" t="s">
        <v>33</v>
      </c>
      <c r="G253" s="22" t="s">
        <v>18685</v>
      </c>
      <c r="H253" s="22" t="s">
        <v>410</v>
      </c>
      <c r="I253" s="49" t="s">
        <v>404</v>
      </c>
      <c r="J253" s="50" t="s">
        <v>411</v>
      </c>
      <c r="K253" s="22" t="s">
        <v>980</v>
      </c>
      <c r="L253" s="22" t="s">
        <v>60</v>
      </c>
      <c r="M253" s="22">
        <v>306</v>
      </c>
      <c r="N253" s="22" t="s">
        <v>18686</v>
      </c>
      <c r="O253" s="22"/>
      <c r="P253" s="46" t="s">
        <v>681</v>
      </c>
      <c r="Q253" s="40" t="s">
        <v>627</v>
      </c>
      <c r="R253" s="41">
        <v>45911</v>
      </c>
      <c r="S253" s="22">
        <f t="shared" si="19"/>
        <v>306</v>
      </c>
      <c r="T253" s="41">
        <v>46009</v>
      </c>
      <c r="U253" s="144">
        <v>46002</v>
      </c>
      <c r="V253" s="144">
        <v>46009</v>
      </c>
      <c r="W253" s="144" t="s">
        <v>19024</v>
      </c>
      <c r="X253" s="145">
        <v>306</v>
      </c>
      <c r="Y253" s="46" t="s">
        <v>19029</v>
      </c>
      <c r="Z253" s="22"/>
      <c r="AA253" s="22"/>
      <c r="AB253" s="22"/>
      <c r="AC253" s="22"/>
      <c r="AD253" s="22"/>
      <c r="AE253" s="22"/>
      <c r="AF253" s="162">
        <f t="shared" si="15"/>
        <v>0</v>
      </c>
      <c r="AG253" s="48">
        <f t="shared" si="16"/>
        <v>306</v>
      </c>
      <c r="AH253" s="48">
        <f t="shared" si="17"/>
        <v>306</v>
      </c>
      <c r="AI253" s="40">
        <f t="shared" si="18"/>
        <v>45932</v>
      </c>
      <c r="AJ253" s="40"/>
      <c r="AK253" s="40"/>
      <c r="AL253" s="146"/>
    </row>
    <row r="254" spans="1:38" ht="17.399999999999999">
      <c r="A254" s="22" t="s">
        <v>18883</v>
      </c>
      <c r="B254" s="22" t="s">
        <v>18599</v>
      </c>
      <c r="C254" s="56">
        <v>45902</v>
      </c>
      <c r="D254" s="56">
        <v>45783</v>
      </c>
      <c r="E254" s="22" t="s">
        <v>18884</v>
      </c>
      <c r="F254" s="22" t="s">
        <v>33</v>
      </c>
      <c r="G254" s="22" t="s">
        <v>33</v>
      </c>
      <c r="H254" s="22" t="s">
        <v>2784</v>
      </c>
      <c r="I254" s="49" t="s">
        <v>2785</v>
      </c>
      <c r="J254" s="50" t="s">
        <v>2786</v>
      </c>
      <c r="K254" s="22" t="s">
        <v>18601</v>
      </c>
      <c r="L254" s="22" t="s">
        <v>60</v>
      </c>
      <c r="M254" s="22">
        <v>1</v>
      </c>
      <c r="N254" s="22" t="s">
        <v>18885</v>
      </c>
      <c r="O254" s="22"/>
      <c r="P254" s="46" t="s">
        <v>19054</v>
      </c>
      <c r="Q254" s="40" t="s">
        <v>18886</v>
      </c>
      <c r="R254" s="41">
        <v>45917</v>
      </c>
      <c r="S254" s="22">
        <f t="shared" si="19"/>
        <v>1</v>
      </c>
      <c r="T254" s="41">
        <v>45937</v>
      </c>
      <c r="U254" s="144">
        <v>45925</v>
      </c>
      <c r="V254" s="144">
        <v>45937</v>
      </c>
      <c r="W254" s="144" t="s">
        <v>18887</v>
      </c>
      <c r="X254" s="145">
        <v>1</v>
      </c>
      <c r="Y254" s="46" t="s">
        <v>18888</v>
      </c>
      <c r="Z254" s="22"/>
      <c r="AA254" s="22"/>
      <c r="AB254" s="22"/>
      <c r="AC254" s="22"/>
      <c r="AD254" s="22"/>
      <c r="AE254" s="22"/>
      <c r="AF254" s="162">
        <f t="shared" si="15"/>
        <v>0</v>
      </c>
      <c r="AG254" s="48">
        <f t="shared" si="16"/>
        <v>1</v>
      </c>
      <c r="AH254" s="48">
        <f t="shared" si="17"/>
        <v>1</v>
      </c>
      <c r="AI254" s="40">
        <f t="shared" si="18"/>
        <v>45938</v>
      </c>
      <c r="AJ254" s="40"/>
      <c r="AK254" s="40"/>
      <c r="AL254" s="146"/>
    </row>
    <row r="255" spans="1:38" ht="17.399999999999999">
      <c r="A255" s="22" t="s">
        <v>18889</v>
      </c>
      <c r="B255" s="22" t="s">
        <v>50</v>
      </c>
      <c r="C255" s="56">
        <v>45910</v>
      </c>
      <c r="D255" s="56">
        <v>45904</v>
      </c>
      <c r="E255" s="22" t="s">
        <v>18890</v>
      </c>
      <c r="F255" s="22">
        <v>350</v>
      </c>
      <c r="G255" s="22" t="s">
        <v>18536</v>
      </c>
      <c r="H255" s="22" t="s">
        <v>82</v>
      </c>
      <c r="I255" s="49" t="s">
        <v>83</v>
      </c>
      <c r="J255" s="50" t="s">
        <v>84</v>
      </c>
      <c r="K255" s="22" t="s">
        <v>18329</v>
      </c>
      <c r="L255" s="22" t="s">
        <v>60</v>
      </c>
      <c r="M255" s="22">
        <v>2</v>
      </c>
      <c r="N255" s="22" t="s">
        <v>18891</v>
      </c>
      <c r="O255" s="22"/>
      <c r="P255" s="46" t="s">
        <v>19054</v>
      </c>
      <c r="Q255" s="40" t="s">
        <v>728</v>
      </c>
      <c r="R255" s="41">
        <v>45917</v>
      </c>
      <c r="S255" s="22">
        <f t="shared" si="19"/>
        <v>2</v>
      </c>
      <c r="T255" s="41">
        <v>45937</v>
      </c>
      <c r="U255" s="144">
        <v>45925</v>
      </c>
      <c r="V255" s="144">
        <v>45937</v>
      </c>
      <c r="W255" s="144" t="s">
        <v>18887</v>
      </c>
      <c r="X255" s="145">
        <v>2</v>
      </c>
      <c r="Y255" s="46" t="s">
        <v>18888</v>
      </c>
      <c r="Z255" s="22"/>
      <c r="AA255" s="22"/>
      <c r="AB255" s="22"/>
      <c r="AC255" s="22"/>
      <c r="AD255" s="22"/>
      <c r="AE255" s="22"/>
      <c r="AF255" s="162">
        <f t="shared" si="15"/>
        <v>0</v>
      </c>
      <c r="AG255" s="48">
        <f t="shared" si="16"/>
        <v>2</v>
      </c>
      <c r="AH255" s="48">
        <f t="shared" si="17"/>
        <v>2</v>
      </c>
      <c r="AI255" s="40">
        <f t="shared" si="18"/>
        <v>45938</v>
      </c>
      <c r="AJ255" s="40"/>
      <c r="AK255" s="40"/>
      <c r="AL255" s="146"/>
    </row>
    <row r="256" spans="1:38" ht="17.399999999999999">
      <c r="A256" s="22" t="s">
        <v>18892</v>
      </c>
      <c r="B256" s="22" t="s">
        <v>18893</v>
      </c>
      <c r="C256" s="56">
        <v>45916</v>
      </c>
      <c r="D256" s="56">
        <v>45909</v>
      </c>
      <c r="E256" s="22" t="s">
        <v>18894</v>
      </c>
      <c r="F256" s="22" t="s">
        <v>33</v>
      </c>
      <c r="G256" s="22" t="s">
        <v>33</v>
      </c>
      <c r="H256" s="22" t="s">
        <v>18895</v>
      </c>
      <c r="I256" s="49" t="s">
        <v>17970</v>
      </c>
      <c r="J256" s="50" t="s">
        <v>17970</v>
      </c>
      <c r="K256" s="22" t="s">
        <v>18740</v>
      </c>
      <c r="L256" s="22" t="s">
        <v>60</v>
      </c>
      <c r="M256" s="22">
        <v>200</v>
      </c>
      <c r="N256" s="22" t="s">
        <v>18896</v>
      </c>
      <c r="O256" s="22"/>
      <c r="P256" s="46" t="s">
        <v>685</v>
      </c>
      <c r="Q256" s="40" t="s">
        <v>627</v>
      </c>
      <c r="R256" s="41">
        <v>45917</v>
      </c>
      <c r="S256" s="22">
        <f t="shared" si="19"/>
        <v>200</v>
      </c>
      <c r="T256" s="41">
        <v>45932</v>
      </c>
      <c r="U256" s="44">
        <v>45925</v>
      </c>
      <c r="V256" s="44">
        <v>45932</v>
      </c>
      <c r="W256" s="46" t="s">
        <v>18897</v>
      </c>
      <c r="X256" s="46">
        <v>200</v>
      </c>
      <c r="Y256" s="46" t="s">
        <v>18898</v>
      </c>
      <c r="Z256" s="56"/>
      <c r="AA256" s="22"/>
      <c r="AB256" s="22"/>
      <c r="AC256" s="56"/>
      <c r="AD256" s="22"/>
      <c r="AE256" s="22"/>
      <c r="AF256" s="162">
        <f t="shared" si="15"/>
        <v>0</v>
      </c>
      <c r="AG256" s="48">
        <f t="shared" si="16"/>
        <v>200</v>
      </c>
      <c r="AH256" s="48">
        <f t="shared" si="17"/>
        <v>200</v>
      </c>
      <c r="AI256" s="40">
        <f t="shared" si="18"/>
        <v>45938</v>
      </c>
      <c r="AJ256" s="40"/>
      <c r="AK256" s="40"/>
      <c r="AL256" s="22"/>
    </row>
    <row r="257" spans="1:41" s="181" customFormat="1" ht="17.399999999999999">
      <c r="A257" s="173" t="s">
        <v>18899</v>
      </c>
      <c r="B257" s="173" t="s">
        <v>50</v>
      </c>
      <c r="C257" s="174">
        <v>45915</v>
      </c>
      <c r="D257" s="174">
        <v>45909</v>
      </c>
      <c r="E257" s="173" t="s">
        <v>18695</v>
      </c>
      <c r="F257" s="173">
        <v>18</v>
      </c>
      <c r="G257" s="173" t="s">
        <v>33</v>
      </c>
      <c r="H257" s="173" t="s">
        <v>18623</v>
      </c>
      <c r="I257" s="175" t="s">
        <v>18624</v>
      </c>
      <c r="J257" s="176" t="s">
        <v>18625</v>
      </c>
      <c r="K257" s="173" t="s">
        <v>18626</v>
      </c>
      <c r="L257" s="173" t="s">
        <v>60</v>
      </c>
      <c r="M257" s="173">
        <v>0</v>
      </c>
      <c r="N257" s="173" t="s">
        <v>18900</v>
      </c>
      <c r="O257" s="173"/>
      <c r="P257" s="177" t="s">
        <v>5279</v>
      </c>
      <c r="Q257" s="178" t="s">
        <v>627</v>
      </c>
      <c r="R257" s="179">
        <v>45917</v>
      </c>
      <c r="S257" s="173">
        <f t="shared" si="19"/>
        <v>0</v>
      </c>
      <c r="T257" s="179">
        <v>45925</v>
      </c>
      <c r="U257" s="180"/>
      <c r="V257" s="180" t="s">
        <v>18956</v>
      </c>
      <c r="W257" s="177"/>
      <c r="X257" s="177"/>
      <c r="Y257" s="177"/>
      <c r="Z257" s="174"/>
      <c r="AA257" s="173"/>
      <c r="AB257" s="173"/>
      <c r="AC257" s="174"/>
      <c r="AD257" s="173"/>
      <c r="AE257" s="173"/>
      <c r="AF257" s="162">
        <f t="shared" si="15"/>
        <v>0</v>
      </c>
      <c r="AG257" s="48">
        <f t="shared" si="16"/>
        <v>0</v>
      </c>
      <c r="AH257" s="48">
        <f t="shared" si="17"/>
        <v>0</v>
      </c>
      <c r="AI257" s="156">
        <f t="shared" si="18"/>
        <v>45938</v>
      </c>
      <c r="AJ257" s="156"/>
      <c r="AK257" s="156"/>
      <c r="AL257" s="155"/>
      <c r="AM257" s="155"/>
      <c r="AN257" s="155"/>
      <c r="AO257" s="155"/>
    </row>
    <row r="258" spans="1:41" s="181" customFormat="1" ht="17.399999999999999">
      <c r="A258" s="173" t="s">
        <v>18901</v>
      </c>
      <c r="B258" s="173" t="s">
        <v>50</v>
      </c>
      <c r="C258" s="174">
        <v>45916</v>
      </c>
      <c r="D258" s="174">
        <v>45909</v>
      </c>
      <c r="E258" s="173" t="s">
        <v>18695</v>
      </c>
      <c r="F258" s="173">
        <v>18</v>
      </c>
      <c r="G258" s="173" t="s">
        <v>33</v>
      </c>
      <c r="H258" s="173" t="s">
        <v>18634</v>
      </c>
      <c r="I258" s="175" t="s">
        <v>18635</v>
      </c>
      <c r="J258" s="176" t="s">
        <v>18636</v>
      </c>
      <c r="K258" s="173" t="s">
        <v>18626</v>
      </c>
      <c r="L258" s="173" t="s">
        <v>60</v>
      </c>
      <c r="M258" s="173">
        <v>0</v>
      </c>
      <c r="N258" s="173" t="s">
        <v>18902</v>
      </c>
      <c r="O258" s="173"/>
      <c r="P258" s="177" t="s">
        <v>5279</v>
      </c>
      <c r="Q258" s="178" t="s">
        <v>627</v>
      </c>
      <c r="R258" s="179">
        <v>45917</v>
      </c>
      <c r="S258" s="173">
        <f t="shared" si="19"/>
        <v>0</v>
      </c>
      <c r="T258" s="179">
        <v>45925</v>
      </c>
      <c r="U258" s="180"/>
      <c r="V258" s="180" t="s">
        <v>18956</v>
      </c>
      <c r="W258" s="177"/>
      <c r="X258" s="177"/>
      <c r="Y258" s="177"/>
      <c r="Z258" s="174"/>
      <c r="AA258" s="173"/>
      <c r="AB258" s="173"/>
      <c r="AC258" s="174"/>
      <c r="AD258" s="173"/>
      <c r="AE258" s="173"/>
      <c r="AF258" s="162">
        <f t="shared" si="15"/>
        <v>0</v>
      </c>
      <c r="AG258" s="48">
        <f t="shared" si="16"/>
        <v>0</v>
      </c>
      <c r="AH258" s="48">
        <f t="shared" si="17"/>
        <v>0</v>
      </c>
      <c r="AI258" s="156">
        <f t="shared" si="18"/>
        <v>45938</v>
      </c>
      <c r="AJ258" s="156"/>
      <c r="AK258" s="156"/>
      <c r="AL258" s="155"/>
      <c r="AM258" s="155"/>
      <c r="AN258" s="155"/>
      <c r="AO258" s="155"/>
    </row>
    <row r="259" spans="1:41" s="181" customFormat="1" ht="17.399999999999999">
      <c r="A259" s="173" t="s">
        <v>18903</v>
      </c>
      <c r="B259" s="173" t="s">
        <v>50</v>
      </c>
      <c r="C259" s="174">
        <v>45916</v>
      </c>
      <c r="D259" s="174">
        <v>45909</v>
      </c>
      <c r="E259" s="173" t="s">
        <v>18695</v>
      </c>
      <c r="F259" s="173">
        <v>10</v>
      </c>
      <c r="G259" s="173" t="s">
        <v>33</v>
      </c>
      <c r="H259" s="173" t="s">
        <v>18639</v>
      </c>
      <c r="I259" s="175" t="s">
        <v>18640</v>
      </c>
      <c r="J259" s="176" t="s">
        <v>18641</v>
      </c>
      <c r="K259" s="173" t="s">
        <v>18626</v>
      </c>
      <c r="L259" s="173" t="s">
        <v>60</v>
      </c>
      <c r="M259" s="173">
        <v>0</v>
      </c>
      <c r="N259" s="173" t="s">
        <v>18904</v>
      </c>
      <c r="O259" s="173"/>
      <c r="P259" s="177" t="s">
        <v>5279</v>
      </c>
      <c r="Q259" s="178" t="s">
        <v>627</v>
      </c>
      <c r="R259" s="179">
        <v>45917</v>
      </c>
      <c r="S259" s="173">
        <f t="shared" si="19"/>
        <v>0</v>
      </c>
      <c r="T259" s="179">
        <v>45925</v>
      </c>
      <c r="U259" s="180"/>
      <c r="V259" s="180" t="s">
        <v>18956</v>
      </c>
      <c r="W259" s="177"/>
      <c r="X259" s="177"/>
      <c r="Y259" s="177"/>
      <c r="Z259" s="174"/>
      <c r="AA259" s="173"/>
      <c r="AB259" s="173"/>
      <c r="AC259" s="174"/>
      <c r="AD259" s="173"/>
      <c r="AE259" s="173"/>
      <c r="AF259" s="162">
        <f t="shared" ref="AF259:AF292" si="20">IF(A259="","",S259-X259)</f>
        <v>0</v>
      </c>
      <c r="AG259" s="48">
        <f t="shared" ref="AG259:AG292" si="21">IF(A259="","",X259-(AB259+AE259))</f>
        <v>0</v>
      </c>
      <c r="AH259" s="48">
        <f t="shared" ref="AH259:AH292" si="22">IF(A259="","",AF259+AG259)</f>
        <v>0</v>
      </c>
      <c r="AI259" s="156">
        <f t="shared" si="18"/>
        <v>45938</v>
      </c>
      <c r="AJ259" s="156"/>
      <c r="AK259" s="156"/>
      <c r="AL259" s="155"/>
      <c r="AM259" s="155"/>
      <c r="AN259" s="155"/>
      <c r="AO259" s="155"/>
    </row>
    <row r="260" spans="1:41" ht="17.399999999999999">
      <c r="A260" s="22" t="s">
        <v>18905</v>
      </c>
      <c r="B260" s="22" t="s">
        <v>346</v>
      </c>
      <c r="C260" s="56" t="s">
        <v>18906</v>
      </c>
      <c r="D260" s="56" t="s">
        <v>33</v>
      </c>
      <c r="E260" s="22" t="s">
        <v>18907</v>
      </c>
      <c r="F260" s="22" t="s">
        <v>33</v>
      </c>
      <c r="G260" s="22" t="s">
        <v>33</v>
      </c>
      <c r="H260" s="22" t="s">
        <v>366</v>
      </c>
      <c r="I260" s="49" t="s">
        <v>362</v>
      </c>
      <c r="J260" s="50" t="s">
        <v>367</v>
      </c>
      <c r="K260" s="22" t="s">
        <v>346</v>
      </c>
      <c r="L260" s="22" t="s">
        <v>60</v>
      </c>
      <c r="M260" s="22">
        <v>22</v>
      </c>
      <c r="N260" s="22" t="s">
        <v>18908</v>
      </c>
      <c r="O260" s="22"/>
      <c r="P260" s="46" t="s">
        <v>18088</v>
      </c>
      <c r="Q260" s="40" t="s">
        <v>627</v>
      </c>
      <c r="R260" s="41">
        <v>45917</v>
      </c>
      <c r="S260" s="22">
        <f t="shared" si="19"/>
        <v>22</v>
      </c>
      <c r="T260" s="41">
        <v>45932</v>
      </c>
      <c r="U260" s="44">
        <v>45925</v>
      </c>
      <c r="V260" s="44">
        <v>45932</v>
      </c>
      <c r="W260" s="46" t="s">
        <v>18909</v>
      </c>
      <c r="X260" s="46">
        <v>22</v>
      </c>
      <c r="Y260" s="46" t="s">
        <v>18910</v>
      </c>
      <c r="Z260" s="56"/>
      <c r="AA260" s="22"/>
      <c r="AB260" s="22"/>
      <c r="AC260" s="56"/>
      <c r="AD260" s="22"/>
      <c r="AE260" s="22"/>
      <c r="AF260" s="162">
        <f t="shared" si="20"/>
        <v>0</v>
      </c>
      <c r="AG260" s="48">
        <f t="shared" si="21"/>
        <v>22</v>
      </c>
      <c r="AH260" s="48">
        <f t="shared" si="22"/>
        <v>22</v>
      </c>
      <c r="AI260" s="40">
        <f t="shared" si="18"/>
        <v>45938</v>
      </c>
      <c r="AJ260" s="40"/>
      <c r="AK260" s="40"/>
      <c r="AL260" s="22"/>
    </row>
    <row r="261" spans="1:41" ht="17.399999999999999">
      <c r="A261" s="22" t="s">
        <v>18911</v>
      </c>
      <c r="B261" s="22" t="s">
        <v>18670</v>
      </c>
      <c r="C261" s="56">
        <v>45925</v>
      </c>
      <c r="D261" s="56">
        <v>45909</v>
      </c>
      <c r="E261" s="22" t="s">
        <v>18912</v>
      </c>
      <c r="F261" s="22" t="s">
        <v>33</v>
      </c>
      <c r="G261" s="22" t="s">
        <v>18913</v>
      </c>
      <c r="H261" s="22" t="s">
        <v>5408</v>
      </c>
      <c r="I261" s="49" t="s">
        <v>4996</v>
      </c>
      <c r="J261" s="50" t="s">
        <v>5409</v>
      </c>
      <c r="K261" s="22" t="s">
        <v>18914</v>
      </c>
      <c r="L261" s="22" t="s">
        <v>60</v>
      </c>
      <c r="M261" s="22">
        <v>2</v>
      </c>
      <c r="N261" s="22" t="s">
        <v>18915</v>
      </c>
      <c r="O261" s="22"/>
      <c r="P261" s="46" t="s">
        <v>2655</v>
      </c>
      <c r="Q261" s="40" t="s">
        <v>627</v>
      </c>
      <c r="R261" s="41">
        <v>45931</v>
      </c>
      <c r="S261" s="22">
        <f t="shared" si="19"/>
        <v>2</v>
      </c>
      <c r="T261" s="41">
        <v>45939</v>
      </c>
      <c r="U261" s="44">
        <v>45932</v>
      </c>
      <c r="V261" s="44">
        <v>45939</v>
      </c>
      <c r="W261" s="46" t="s">
        <v>18916</v>
      </c>
      <c r="X261" s="46">
        <v>2</v>
      </c>
      <c r="Y261" s="46" t="s">
        <v>18917</v>
      </c>
      <c r="Z261" s="56">
        <v>45945</v>
      </c>
      <c r="AA261" s="22" t="s">
        <v>18918</v>
      </c>
      <c r="AB261" s="22">
        <v>2</v>
      </c>
      <c r="AC261" s="56"/>
      <c r="AD261" s="22"/>
      <c r="AE261" s="22"/>
      <c r="AF261" s="162">
        <f t="shared" si="20"/>
        <v>0</v>
      </c>
      <c r="AG261" s="48">
        <f t="shared" si="21"/>
        <v>0</v>
      </c>
      <c r="AH261" s="48">
        <f t="shared" si="22"/>
        <v>0</v>
      </c>
      <c r="AI261" s="40">
        <f t="shared" si="18"/>
        <v>45952</v>
      </c>
      <c r="AJ261" s="40"/>
      <c r="AK261" s="40"/>
      <c r="AL261" s="22"/>
    </row>
    <row r="262" spans="1:41" ht="17.399999999999999">
      <c r="A262" s="22" t="s">
        <v>18748</v>
      </c>
      <c r="B262" s="22" t="s">
        <v>18683</v>
      </c>
      <c r="C262" s="56" t="s">
        <v>18749</v>
      </c>
      <c r="D262" s="56" t="s">
        <v>33</v>
      </c>
      <c r="E262" s="22" t="s">
        <v>33</v>
      </c>
      <c r="F262" s="22" t="s">
        <v>33</v>
      </c>
      <c r="G262" s="22" t="s">
        <v>67</v>
      </c>
      <c r="H262" s="22" t="s">
        <v>1483</v>
      </c>
      <c r="I262" s="49" t="s">
        <v>994</v>
      </c>
      <c r="J262" s="50" t="s">
        <v>1484</v>
      </c>
      <c r="K262" s="22" t="s">
        <v>980</v>
      </c>
      <c r="L262" s="22" t="s">
        <v>60</v>
      </c>
      <c r="M262" s="22">
        <v>3</v>
      </c>
      <c r="N262" s="22" t="s">
        <v>18247</v>
      </c>
      <c r="O262" s="22"/>
      <c r="P262" s="46" t="s">
        <v>681</v>
      </c>
      <c r="Q262" s="40" t="s">
        <v>627</v>
      </c>
      <c r="R262" s="41">
        <v>45944</v>
      </c>
      <c r="S262" s="22">
        <f t="shared" si="19"/>
        <v>3</v>
      </c>
      <c r="T262" s="41">
        <v>45960</v>
      </c>
      <c r="U262" s="44">
        <v>45953</v>
      </c>
      <c r="V262" s="44">
        <v>45960</v>
      </c>
      <c r="W262" s="46" t="s">
        <v>18750</v>
      </c>
      <c r="X262" s="46">
        <v>3</v>
      </c>
      <c r="Y262" s="46" t="s">
        <v>18751</v>
      </c>
      <c r="Z262" s="56"/>
      <c r="AA262" s="22"/>
      <c r="AB262" s="22"/>
      <c r="AC262" s="56"/>
      <c r="AD262" s="22"/>
      <c r="AE262" s="22"/>
      <c r="AF262" s="162">
        <f t="shared" si="20"/>
        <v>0</v>
      </c>
      <c r="AG262" s="48">
        <f t="shared" si="21"/>
        <v>3</v>
      </c>
      <c r="AH262" s="48">
        <f t="shared" si="22"/>
        <v>3</v>
      </c>
      <c r="AI262" s="40">
        <f t="shared" si="18"/>
        <v>45965</v>
      </c>
      <c r="AJ262" s="40"/>
      <c r="AK262" s="40"/>
      <c r="AL262" s="22"/>
    </row>
    <row r="263" spans="1:41" ht="17.399999999999999">
      <c r="A263" s="22" t="s">
        <v>18752</v>
      </c>
      <c r="B263" s="22" t="s">
        <v>18753</v>
      </c>
      <c r="C263" s="56">
        <v>45931</v>
      </c>
      <c r="D263" s="56">
        <v>45911</v>
      </c>
      <c r="E263" s="22" t="s">
        <v>18754</v>
      </c>
      <c r="F263" s="22" t="s">
        <v>33</v>
      </c>
      <c r="G263" s="22" t="s">
        <v>18755</v>
      </c>
      <c r="H263" s="22" t="s">
        <v>18756</v>
      </c>
      <c r="I263" s="49" t="s">
        <v>174</v>
      </c>
      <c r="J263" s="50" t="s">
        <v>18757</v>
      </c>
      <c r="K263" s="22" t="s">
        <v>5442</v>
      </c>
      <c r="L263" s="22" t="s">
        <v>60</v>
      </c>
      <c r="M263" s="22">
        <v>1</v>
      </c>
      <c r="N263" s="22" t="s">
        <v>18758</v>
      </c>
      <c r="O263" s="22"/>
      <c r="P263" s="46" t="s">
        <v>2655</v>
      </c>
      <c r="Q263" s="40" t="s">
        <v>627</v>
      </c>
      <c r="R263" s="41">
        <v>45946</v>
      </c>
      <c r="S263" s="22">
        <f t="shared" si="19"/>
        <v>1</v>
      </c>
      <c r="T263" s="41">
        <v>45960</v>
      </c>
      <c r="U263" s="44">
        <v>45953</v>
      </c>
      <c r="V263" s="44">
        <v>45960</v>
      </c>
      <c r="W263" s="46" t="s">
        <v>18759</v>
      </c>
      <c r="X263" s="46">
        <v>1</v>
      </c>
      <c r="Y263" s="46" t="s">
        <v>18760</v>
      </c>
      <c r="Z263" s="56"/>
      <c r="AA263" s="22"/>
      <c r="AB263" s="22"/>
      <c r="AC263" s="56"/>
      <c r="AD263" s="22"/>
      <c r="AE263" s="22"/>
      <c r="AF263" s="162">
        <f t="shared" si="20"/>
        <v>0</v>
      </c>
      <c r="AG263" s="48">
        <f t="shared" si="21"/>
        <v>1</v>
      </c>
      <c r="AH263" s="48">
        <f t="shared" si="22"/>
        <v>1</v>
      </c>
      <c r="AI263" s="40">
        <f t="shared" si="18"/>
        <v>45967</v>
      </c>
      <c r="AJ263" s="40"/>
      <c r="AK263" s="40"/>
      <c r="AL263" s="22"/>
    </row>
    <row r="264" spans="1:41" s="150" customFormat="1" ht="17.399999999999999">
      <c r="A264" s="136" t="s">
        <v>18761</v>
      </c>
      <c r="B264" s="136" t="s">
        <v>18762</v>
      </c>
      <c r="C264" s="139" t="s">
        <v>18749</v>
      </c>
      <c r="D264" s="139" t="s">
        <v>33</v>
      </c>
      <c r="E264" s="136" t="s">
        <v>33</v>
      </c>
      <c r="F264" s="136" t="s">
        <v>33</v>
      </c>
      <c r="G264" s="136" t="s">
        <v>18763</v>
      </c>
      <c r="H264" s="136" t="s">
        <v>403</v>
      </c>
      <c r="I264" s="140" t="s">
        <v>404</v>
      </c>
      <c r="J264" s="141" t="s">
        <v>405</v>
      </c>
      <c r="K264" s="136" t="s">
        <v>980</v>
      </c>
      <c r="L264" s="136" t="s">
        <v>60</v>
      </c>
      <c r="M264" s="136">
        <v>359</v>
      </c>
      <c r="N264" s="136" t="s">
        <v>18764</v>
      </c>
      <c r="O264" s="136"/>
      <c r="P264" s="138" t="s">
        <v>681</v>
      </c>
      <c r="Q264" s="142" t="s">
        <v>627</v>
      </c>
      <c r="R264" s="143">
        <v>45947</v>
      </c>
      <c r="S264" s="136">
        <f t="shared" si="19"/>
        <v>359</v>
      </c>
      <c r="T264" s="143">
        <v>46009</v>
      </c>
      <c r="U264" s="137">
        <v>46002</v>
      </c>
      <c r="V264" s="137">
        <v>46009</v>
      </c>
      <c r="W264" s="138" t="s">
        <v>19025</v>
      </c>
      <c r="X264" s="138">
        <v>359</v>
      </c>
      <c r="Y264" s="138" t="s">
        <v>19031</v>
      </c>
      <c r="Z264" s="139"/>
      <c r="AA264" s="136"/>
      <c r="AB264" s="136"/>
      <c r="AC264" s="139"/>
      <c r="AD264" s="136"/>
      <c r="AE264" s="136"/>
      <c r="AF264" s="162">
        <f t="shared" si="20"/>
        <v>0</v>
      </c>
      <c r="AG264" s="48">
        <f t="shared" si="21"/>
        <v>359</v>
      </c>
      <c r="AH264" s="48">
        <f t="shared" si="22"/>
        <v>359</v>
      </c>
      <c r="AI264" s="142">
        <f t="shared" si="18"/>
        <v>45968</v>
      </c>
      <c r="AJ264" s="142"/>
      <c r="AK264" s="142"/>
      <c r="AL264" s="136"/>
      <c r="AM264" s="136"/>
      <c r="AN264" s="136"/>
      <c r="AO264" s="136"/>
    </row>
    <row r="265" spans="1:41" ht="17.399999999999999">
      <c r="A265" s="22" t="s">
        <v>18765</v>
      </c>
      <c r="B265" s="22" t="s">
        <v>346</v>
      </c>
      <c r="C265" s="56" t="s">
        <v>18766</v>
      </c>
      <c r="D265" s="56" t="s">
        <v>33</v>
      </c>
      <c r="E265" s="22" t="s">
        <v>18767</v>
      </c>
      <c r="F265" s="22" t="s">
        <v>33</v>
      </c>
      <c r="G265" s="22" t="s">
        <v>18768</v>
      </c>
      <c r="H265" s="22" t="s">
        <v>351</v>
      </c>
      <c r="I265" s="49" t="s">
        <v>344</v>
      </c>
      <c r="J265" s="50" t="s">
        <v>353</v>
      </c>
      <c r="K265" s="22" t="s">
        <v>346</v>
      </c>
      <c r="L265" s="22" t="s">
        <v>60</v>
      </c>
      <c r="M265" s="22">
        <v>5</v>
      </c>
      <c r="N265" s="22" t="s">
        <v>18769</v>
      </c>
      <c r="O265" s="22"/>
      <c r="P265" s="46" t="s">
        <v>18088</v>
      </c>
      <c r="Q265" s="40" t="s">
        <v>627</v>
      </c>
      <c r="R265" s="41">
        <v>45950</v>
      </c>
      <c r="S265" s="22">
        <f t="shared" si="19"/>
        <v>5</v>
      </c>
      <c r="T265" s="41">
        <v>45960</v>
      </c>
      <c r="U265" s="44">
        <v>45953</v>
      </c>
      <c r="V265" s="44">
        <v>45960</v>
      </c>
      <c r="W265" s="46" t="s">
        <v>18770</v>
      </c>
      <c r="X265" s="46">
        <v>5</v>
      </c>
      <c r="Y265" s="46" t="s">
        <v>18771</v>
      </c>
      <c r="Z265" s="56"/>
      <c r="AA265" s="22"/>
      <c r="AB265" s="22"/>
      <c r="AC265" s="56"/>
      <c r="AD265" s="22"/>
      <c r="AE265" s="22"/>
      <c r="AF265" s="162">
        <f t="shared" si="20"/>
        <v>0</v>
      </c>
      <c r="AG265" s="48">
        <f t="shared" si="21"/>
        <v>5</v>
      </c>
      <c r="AH265" s="48">
        <f t="shared" si="22"/>
        <v>5</v>
      </c>
      <c r="AI265" s="40">
        <f t="shared" si="18"/>
        <v>45971</v>
      </c>
      <c r="AJ265" s="40"/>
      <c r="AK265" s="40"/>
      <c r="AL265" s="22"/>
    </row>
    <row r="266" spans="1:41" ht="17.399999999999999">
      <c r="A266" s="22" t="s">
        <v>18772</v>
      </c>
      <c r="B266" s="22" t="s">
        <v>346</v>
      </c>
      <c r="C266" s="56">
        <v>45894</v>
      </c>
      <c r="D266" s="56" t="s">
        <v>33</v>
      </c>
      <c r="E266" s="22" t="s">
        <v>18773</v>
      </c>
      <c r="F266" s="22" t="s">
        <v>33</v>
      </c>
      <c r="G266" s="22">
        <v>22052001</v>
      </c>
      <c r="H266" s="22" t="s">
        <v>354</v>
      </c>
      <c r="I266" s="49" t="s">
        <v>355</v>
      </c>
      <c r="J266" s="50" t="s">
        <v>356</v>
      </c>
      <c r="K266" s="22" t="s">
        <v>346</v>
      </c>
      <c r="L266" s="22" t="s">
        <v>52</v>
      </c>
      <c r="M266" s="22">
        <v>15</v>
      </c>
      <c r="N266" s="22" t="s">
        <v>18774</v>
      </c>
      <c r="O266" s="22"/>
      <c r="P266" s="46" t="s">
        <v>18088</v>
      </c>
      <c r="Q266" s="40" t="s">
        <v>627</v>
      </c>
      <c r="R266" s="41">
        <v>45950</v>
      </c>
      <c r="S266" s="22">
        <f t="shared" si="19"/>
        <v>15</v>
      </c>
      <c r="T266" s="41">
        <v>45960</v>
      </c>
      <c r="U266" s="44">
        <v>45953</v>
      </c>
      <c r="V266" s="44">
        <v>45960</v>
      </c>
      <c r="W266" s="46" t="s">
        <v>18770</v>
      </c>
      <c r="X266" s="46">
        <v>15</v>
      </c>
      <c r="Y266" s="46" t="s">
        <v>18775</v>
      </c>
      <c r="Z266" s="56"/>
      <c r="AA266" s="22"/>
      <c r="AB266" s="22"/>
      <c r="AC266" s="56"/>
      <c r="AD266" s="22"/>
      <c r="AE266" s="22"/>
      <c r="AF266" s="162">
        <f t="shared" si="20"/>
        <v>0</v>
      </c>
      <c r="AG266" s="48">
        <f t="shared" si="21"/>
        <v>15</v>
      </c>
      <c r="AH266" s="48">
        <f t="shared" si="22"/>
        <v>15</v>
      </c>
      <c r="AI266" s="40">
        <f t="shared" si="18"/>
        <v>45971</v>
      </c>
      <c r="AJ266" s="40"/>
      <c r="AK266" s="40"/>
      <c r="AL266" s="22"/>
    </row>
    <row r="267" spans="1:41" ht="17.399999999999999">
      <c r="A267" s="22" t="s">
        <v>18776</v>
      </c>
      <c r="B267" s="22" t="s">
        <v>346</v>
      </c>
      <c r="C267" s="56" t="s">
        <v>18777</v>
      </c>
      <c r="D267" s="56" t="s">
        <v>33</v>
      </c>
      <c r="E267" s="22" t="s">
        <v>18778</v>
      </c>
      <c r="F267" s="22" t="s">
        <v>33</v>
      </c>
      <c r="G267" s="22" t="s">
        <v>33</v>
      </c>
      <c r="H267" s="22" t="s">
        <v>366</v>
      </c>
      <c r="I267" s="49" t="s">
        <v>362</v>
      </c>
      <c r="J267" s="50" t="s">
        <v>367</v>
      </c>
      <c r="K267" s="22" t="s">
        <v>346</v>
      </c>
      <c r="L267" s="22" t="s">
        <v>60</v>
      </c>
      <c r="M267" s="22">
        <v>43</v>
      </c>
      <c r="N267" s="22" t="s">
        <v>18779</v>
      </c>
      <c r="O267" s="22"/>
      <c r="P267" s="46" t="s">
        <v>18088</v>
      </c>
      <c r="Q267" s="40" t="s">
        <v>627</v>
      </c>
      <c r="R267" s="41">
        <v>45950</v>
      </c>
      <c r="S267" s="22">
        <f t="shared" si="19"/>
        <v>43</v>
      </c>
      <c r="T267" s="41">
        <v>45960</v>
      </c>
      <c r="U267" s="44">
        <v>45953</v>
      </c>
      <c r="V267" s="44">
        <v>45960</v>
      </c>
      <c r="W267" s="46" t="s">
        <v>18770</v>
      </c>
      <c r="X267" s="46">
        <v>43</v>
      </c>
      <c r="Y267" s="46" t="s">
        <v>18771</v>
      </c>
      <c r="Z267" s="56"/>
      <c r="AA267" s="22"/>
      <c r="AB267" s="22"/>
      <c r="AC267" s="56"/>
      <c r="AD267" s="22"/>
      <c r="AE267" s="22"/>
      <c r="AF267" s="162">
        <f t="shared" si="20"/>
        <v>0</v>
      </c>
      <c r="AG267" s="48">
        <f t="shared" si="21"/>
        <v>43</v>
      </c>
      <c r="AH267" s="48">
        <f t="shared" si="22"/>
        <v>43</v>
      </c>
      <c r="AI267" s="40">
        <f t="shared" si="18"/>
        <v>45971</v>
      </c>
      <c r="AJ267" s="40"/>
      <c r="AK267" s="40"/>
      <c r="AL267" s="22"/>
    </row>
    <row r="268" spans="1:41" ht="17.399999999999999">
      <c r="A268" s="22" t="s">
        <v>18919</v>
      </c>
      <c r="B268" s="22" t="s">
        <v>346</v>
      </c>
      <c r="C268" s="56" t="s">
        <v>18920</v>
      </c>
      <c r="D268" s="56" t="s">
        <v>33</v>
      </c>
      <c r="E268" s="22" t="s">
        <v>33</v>
      </c>
      <c r="F268" s="22" t="s">
        <v>33</v>
      </c>
      <c r="G268" s="22" t="s">
        <v>18921</v>
      </c>
      <c r="H268" s="22" t="s">
        <v>396</v>
      </c>
      <c r="I268" s="49" t="s">
        <v>397</v>
      </c>
      <c r="J268" s="50" t="s">
        <v>398</v>
      </c>
      <c r="K268" s="22" t="s">
        <v>346</v>
      </c>
      <c r="L268" s="22" t="s">
        <v>60</v>
      </c>
      <c r="M268" s="22">
        <v>51</v>
      </c>
      <c r="N268" s="22" t="s">
        <v>18922</v>
      </c>
      <c r="O268" s="22"/>
      <c r="P268" s="46" t="s">
        <v>18088</v>
      </c>
      <c r="Q268" s="40" t="s">
        <v>627</v>
      </c>
      <c r="R268" s="41">
        <v>45953</v>
      </c>
      <c r="S268" s="22">
        <f t="shared" si="19"/>
        <v>51</v>
      </c>
      <c r="T268" s="41">
        <v>45972</v>
      </c>
      <c r="U268" s="44">
        <v>45965</v>
      </c>
      <c r="V268" s="44">
        <v>45972</v>
      </c>
      <c r="W268" s="46" t="s">
        <v>18923</v>
      </c>
      <c r="X268" s="46">
        <v>51</v>
      </c>
      <c r="Y268" s="46" t="s">
        <v>18924</v>
      </c>
      <c r="Z268" s="56"/>
      <c r="AA268" s="22"/>
      <c r="AB268" s="22"/>
      <c r="AC268" s="56"/>
      <c r="AD268" s="22"/>
      <c r="AE268" s="22"/>
      <c r="AF268" s="162">
        <f t="shared" si="20"/>
        <v>0</v>
      </c>
      <c r="AG268" s="48">
        <f t="shared" si="21"/>
        <v>51</v>
      </c>
      <c r="AH268" s="48">
        <f t="shared" si="22"/>
        <v>51</v>
      </c>
      <c r="AI268" s="40">
        <f t="shared" si="18"/>
        <v>45974</v>
      </c>
      <c r="AJ268" s="40"/>
      <c r="AK268" s="40"/>
      <c r="AL268" s="22"/>
    </row>
    <row r="269" spans="1:41" s="150" customFormat="1" ht="17.399999999999999">
      <c r="A269" s="136" t="s">
        <v>18925</v>
      </c>
      <c r="B269" s="136" t="s">
        <v>18926</v>
      </c>
      <c r="C269" s="139" t="s">
        <v>18927</v>
      </c>
      <c r="D269" s="139" t="s">
        <v>33</v>
      </c>
      <c r="E269" s="136" t="s">
        <v>33</v>
      </c>
      <c r="F269" s="136" t="s">
        <v>33</v>
      </c>
      <c r="G269" s="136" t="s">
        <v>67</v>
      </c>
      <c r="H269" s="136" t="s">
        <v>8478</v>
      </c>
      <c r="I269" s="140" t="s">
        <v>404</v>
      </c>
      <c r="J269" s="141" t="s">
        <v>8479</v>
      </c>
      <c r="K269" s="136" t="s">
        <v>980</v>
      </c>
      <c r="L269" s="136" t="s">
        <v>60</v>
      </c>
      <c r="M269" s="136">
        <v>292</v>
      </c>
      <c r="N269" s="136" t="s">
        <v>18928</v>
      </c>
      <c r="O269" s="136"/>
      <c r="P269" s="138" t="s">
        <v>681</v>
      </c>
      <c r="Q269" s="142" t="s">
        <v>627</v>
      </c>
      <c r="R269" s="143">
        <v>45972</v>
      </c>
      <c r="S269" s="136">
        <f t="shared" si="19"/>
        <v>292</v>
      </c>
      <c r="T269" s="143">
        <v>46009</v>
      </c>
      <c r="U269" s="137">
        <v>46002</v>
      </c>
      <c r="V269" s="137">
        <v>46009</v>
      </c>
      <c r="W269" s="138" t="s">
        <v>19026</v>
      </c>
      <c r="X269" s="138">
        <v>292</v>
      </c>
      <c r="Y269" s="138" t="s">
        <v>19029</v>
      </c>
      <c r="Z269" s="139"/>
      <c r="AA269" s="136"/>
      <c r="AB269" s="136"/>
      <c r="AC269" s="139"/>
      <c r="AD269" s="136"/>
      <c r="AE269" s="136"/>
      <c r="AF269" s="162">
        <f t="shared" si="20"/>
        <v>0</v>
      </c>
      <c r="AG269" s="48">
        <f t="shared" si="21"/>
        <v>292</v>
      </c>
      <c r="AH269" s="48">
        <f t="shared" si="22"/>
        <v>292</v>
      </c>
      <c r="AI269" s="142">
        <f t="shared" si="18"/>
        <v>45993</v>
      </c>
      <c r="AJ269" s="142"/>
      <c r="AK269" s="142"/>
      <c r="AL269" s="136"/>
      <c r="AM269" s="136"/>
      <c r="AN269" s="136"/>
      <c r="AO269" s="136"/>
    </row>
    <row r="270" spans="1:41" s="150" customFormat="1" ht="17.399999999999999">
      <c r="A270" s="136" t="s">
        <v>18929</v>
      </c>
      <c r="B270" s="136" t="s">
        <v>18683</v>
      </c>
      <c r="C270" s="139" t="s">
        <v>18927</v>
      </c>
      <c r="D270" s="139" t="s">
        <v>33</v>
      </c>
      <c r="E270" s="136" t="s">
        <v>33</v>
      </c>
      <c r="F270" s="136" t="s">
        <v>33</v>
      </c>
      <c r="G270" s="136" t="s">
        <v>67</v>
      </c>
      <c r="H270" s="136" t="s">
        <v>1477</v>
      </c>
      <c r="I270" s="140" t="s">
        <v>994</v>
      </c>
      <c r="J270" s="141" t="s">
        <v>1478</v>
      </c>
      <c r="K270" s="136" t="s">
        <v>980</v>
      </c>
      <c r="L270" s="136" t="s">
        <v>60</v>
      </c>
      <c r="M270" s="136">
        <v>1</v>
      </c>
      <c r="N270" s="136" t="s">
        <v>18247</v>
      </c>
      <c r="O270" s="136"/>
      <c r="P270" s="138" t="s">
        <v>681</v>
      </c>
      <c r="Q270" s="142" t="s">
        <v>627</v>
      </c>
      <c r="R270" s="143">
        <v>45973</v>
      </c>
      <c r="S270" s="136">
        <f t="shared" si="19"/>
        <v>1</v>
      </c>
      <c r="T270" s="143">
        <v>45993</v>
      </c>
      <c r="U270" s="137">
        <v>45985</v>
      </c>
      <c r="V270" s="137">
        <v>45993</v>
      </c>
      <c r="W270" s="138" t="s">
        <v>18974</v>
      </c>
      <c r="X270" s="138">
        <v>1</v>
      </c>
      <c r="Y270" s="138" t="s">
        <v>19046</v>
      </c>
      <c r="Z270" s="139"/>
      <c r="AA270" s="136"/>
      <c r="AB270" s="136"/>
      <c r="AC270" s="139"/>
      <c r="AD270" s="136"/>
      <c r="AE270" s="136"/>
      <c r="AF270" s="162">
        <f t="shared" si="20"/>
        <v>0</v>
      </c>
      <c r="AG270" s="48">
        <f t="shared" si="21"/>
        <v>1</v>
      </c>
      <c r="AH270" s="48">
        <f t="shared" si="22"/>
        <v>1</v>
      </c>
      <c r="AI270" s="142">
        <f t="shared" si="18"/>
        <v>45994</v>
      </c>
      <c r="AJ270" s="142"/>
      <c r="AK270" s="142"/>
      <c r="AL270" s="136"/>
      <c r="AM270" s="136"/>
      <c r="AN270" s="136"/>
      <c r="AO270" s="136"/>
    </row>
    <row r="271" spans="1:41" s="150" customFormat="1" ht="17.399999999999999">
      <c r="A271" s="136" t="s">
        <v>18930</v>
      </c>
      <c r="B271" s="136" t="s">
        <v>50</v>
      </c>
      <c r="C271" s="139">
        <v>45973</v>
      </c>
      <c r="D271" s="139">
        <v>45971</v>
      </c>
      <c r="E271" s="136" t="s">
        <v>18931</v>
      </c>
      <c r="F271" s="136">
        <v>100</v>
      </c>
      <c r="G271" s="136" t="s">
        <v>33</v>
      </c>
      <c r="H271" s="136" t="s">
        <v>3011</v>
      </c>
      <c r="I271" s="140" t="s">
        <v>1472</v>
      </c>
      <c r="J271" s="141" t="s">
        <v>3012</v>
      </c>
      <c r="K271" s="136" t="s">
        <v>18464</v>
      </c>
      <c r="L271" s="136" t="s">
        <v>60</v>
      </c>
      <c r="M271" s="136">
        <v>3</v>
      </c>
      <c r="N271" s="136" t="s">
        <v>18932</v>
      </c>
      <c r="O271" s="136"/>
      <c r="P271" s="46" t="s">
        <v>19054</v>
      </c>
      <c r="Q271" s="142" t="s">
        <v>627</v>
      </c>
      <c r="R271" s="143">
        <v>45974</v>
      </c>
      <c r="S271" s="136">
        <f t="shared" si="19"/>
        <v>3</v>
      </c>
      <c r="T271" s="143">
        <v>45993</v>
      </c>
      <c r="U271" s="137">
        <v>45985</v>
      </c>
      <c r="V271" s="137">
        <v>45993</v>
      </c>
      <c r="W271" s="138" t="s">
        <v>18975</v>
      </c>
      <c r="X271" s="138">
        <v>3</v>
      </c>
      <c r="Y271" s="138" t="s">
        <v>19047</v>
      </c>
      <c r="Z271" s="139"/>
      <c r="AA271" s="136"/>
      <c r="AB271" s="136"/>
      <c r="AC271" s="139"/>
      <c r="AD271" s="136"/>
      <c r="AE271" s="136"/>
      <c r="AF271" s="162">
        <f t="shared" si="20"/>
        <v>0</v>
      </c>
      <c r="AG271" s="48">
        <f t="shared" si="21"/>
        <v>3</v>
      </c>
      <c r="AH271" s="48">
        <f t="shared" si="22"/>
        <v>3</v>
      </c>
      <c r="AI271" s="142">
        <f t="shared" si="18"/>
        <v>45995</v>
      </c>
      <c r="AJ271" s="142"/>
      <c r="AK271" s="142"/>
      <c r="AL271" s="136"/>
      <c r="AM271" s="136"/>
      <c r="AN271" s="136"/>
      <c r="AO271" s="136"/>
    </row>
    <row r="272" spans="1:41" ht="17.399999999999999">
      <c r="A272" s="22" t="s">
        <v>18933</v>
      </c>
      <c r="B272" s="22" t="s">
        <v>346</v>
      </c>
      <c r="C272" s="56" t="s">
        <v>19057</v>
      </c>
      <c r="D272" s="56" t="s">
        <v>33</v>
      </c>
      <c r="E272" s="22" t="s">
        <v>18934</v>
      </c>
      <c r="F272" s="22" t="s">
        <v>33</v>
      </c>
      <c r="G272" s="22" t="s">
        <v>33</v>
      </c>
      <c r="H272" s="22" t="s">
        <v>366</v>
      </c>
      <c r="I272" s="49" t="s">
        <v>362</v>
      </c>
      <c r="J272" s="50" t="s">
        <v>367</v>
      </c>
      <c r="K272" s="22" t="s">
        <v>346</v>
      </c>
      <c r="L272" s="22" t="s">
        <v>60</v>
      </c>
      <c r="M272" s="22">
        <v>8</v>
      </c>
      <c r="N272" s="22" t="s">
        <v>18935</v>
      </c>
      <c r="O272" s="22"/>
      <c r="P272" s="46" t="s">
        <v>18088</v>
      </c>
      <c r="Q272" s="40" t="s">
        <v>627</v>
      </c>
      <c r="R272" s="41">
        <v>45978</v>
      </c>
      <c r="S272" s="22">
        <f t="shared" si="19"/>
        <v>8</v>
      </c>
      <c r="T272" s="41">
        <v>45993</v>
      </c>
      <c r="U272" s="44">
        <v>45985</v>
      </c>
      <c r="V272" s="44">
        <v>45993</v>
      </c>
      <c r="W272" s="46" t="s">
        <v>18976</v>
      </c>
      <c r="X272" s="46">
        <v>8</v>
      </c>
      <c r="Y272" s="46" t="s">
        <v>19048</v>
      </c>
      <c r="Z272" s="56"/>
      <c r="AA272" s="22"/>
      <c r="AB272" s="22"/>
      <c r="AC272" s="56"/>
      <c r="AD272" s="22"/>
      <c r="AE272" s="22"/>
      <c r="AF272" s="162">
        <f t="shared" si="20"/>
        <v>0</v>
      </c>
      <c r="AG272" s="48">
        <f t="shared" si="21"/>
        <v>8</v>
      </c>
      <c r="AH272" s="48">
        <f t="shared" si="22"/>
        <v>8</v>
      </c>
      <c r="AI272" s="40">
        <f t="shared" si="18"/>
        <v>45999</v>
      </c>
      <c r="AJ272" s="40"/>
      <c r="AK272" s="40"/>
      <c r="AL272" s="22"/>
    </row>
    <row r="273" spans="1:41" s="150" customFormat="1" ht="17.399999999999999">
      <c r="A273" s="136" t="s">
        <v>18936</v>
      </c>
      <c r="B273" s="136" t="s">
        <v>18937</v>
      </c>
      <c r="C273" s="139">
        <v>45931</v>
      </c>
      <c r="D273" s="139">
        <v>45916</v>
      </c>
      <c r="E273" s="136" t="s">
        <v>18938</v>
      </c>
      <c r="F273" s="136" t="s">
        <v>33</v>
      </c>
      <c r="G273" s="136" t="s">
        <v>33</v>
      </c>
      <c r="H273" s="136" t="s">
        <v>5039</v>
      </c>
      <c r="I273" s="140" t="s">
        <v>5040</v>
      </c>
      <c r="J273" s="141" t="s">
        <v>5041</v>
      </c>
      <c r="K273" s="136" t="s">
        <v>215</v>
      </c>
      <c r="L273" s="136" t="s">
        <v>60</v>
      </c>
      <c r="M273" s="136">
        <v>2</v>
      </c>
      <c r="N273" s="136" t="s">
        <v>18939</v>
      </c>
      <c r="O273" s="136"/>
      <c r="P273" s="138" t="s">
        <v>685</v>
      </c>
      <c r="Q273" s="142" t="s">
        <v>627</v>
      </c>
      <c r="R273" s="143">
        <v>45978</v>
      </c>
      <c r="S273" s="136">
        <f t="shared" si="19"/>
        <v>2</v>
      </c>
      <c r="T273" s="143">
        <v>45993</v>
      </c>
      <c r="U273" s="137">
        <v>45985</v>
      </c>
      <c r="V273" s="137">
        <v>45993</v>
      </c>
      <c r="W273" s="138" t="s">
        <v>18977</v>
      </c>
      <c r="X273" s="138">
        <v>2</v>
      </c>
      <c r="Y273" s="138" t="s">
        <v>19049</v>
      </c>
      <c r="Z273" s="139"/>
      <c r="AA273" s="136"/>
      <c r="AB273" s="136"/>
      <c r="AC273" s="139"/>
      <c r="AD273" s="136"/>
      <c r="AE273" s="136"/>
      <c r="AF273" s="162">
        <f t="shared" si="20"/>
        <v>0</v>
      </c>
      <c r="AG273" s="48">
        <f t="shared" si="21"/>
        <v>2</v>
      </c>
      <c r="AH273" s="48">
        <f t="shared" si="22"/>
        <v>2</v>
      </c>
      <c r="AI273" s="142">
        <f t="shared" si="18"/>
        <v>45999</v>
      </c>
      <c r="AJ273" s="142"/>
      <c r="AK273" s="142"/>
      <c r="AL273" s="136"/>
      <c r="AM273" s="136"/>
      <c r="AN273" s="136"/>
      <c r="AO273" s="136"/>
    </row>
    <row r="274" spans="1:41" ht="17.399999999999999">
      <c r="A274" s="22" t="s">
        <v>18940</v>
      </c>
      <c r="B274" s="22" t="s">
        <v>269</v>
      </c>
      <c r="C274" s="56" t="s">
        <v>18941</v>
      </c>
      <c r="D274" s="56">
        <v>45860</v>
      </c>
      <c r="E274" s="22" t="s">
        <v>18942</v>
      </c>
      <c r="F274" s="22" t="s">
        <v>33</v>
      </c>
      <c r="G274" s="22" t="s">
        <v>33</v>
      </c>
      <c r="H274" s="22" t="s">
        <v>205</v>
      </c>
      <c r="I274" s="49" t="s">
        <v>206</v>
      </c>
      <c r="J274" s="50" t="s">
        <v>207</v>
      </c>
      <c r="K274" s="22" t="s">
        <v>18943</v>
      </c>
      <c r="L274" s="22" t="s">
        <v>60</v>
      </c>
      <c r="M274" s="22">
        <v>87</v>
      </c>
      <c r="N274" s="22" t="s">
        <v>18944</v>
      </c>
      <c r="O274" s="22"/>
      <c r="P274" s="46" t="s">
        <v>685</v>
      </c>
      <c r="Q274" s="40" t="s">
        <v>627</v>
      </c>
      <c r="R274" s="41">
        <v>45978</v>
      </c>
      <c r="S274" s="22">
        <f t="shared" si="19"/>
        <v>87</v>
      </c>
      <c r="T274" s="41">
        <v>45985</v>
      </c>
      <c r="U274" s="44" t="s">
        <v>571</v>
      </c>
      <c r="V274" s="44" t="s">
        <v>571</v>
      </c>
      <c r="W274" s="46" t="s">
        <v>571</v>
      </c>
      <c r="X274" s="46">
        <v>87</v>
      </c>
      <c r="Y274" s="44" t="s">
        <v>571</v>
      </c>
      <c r="Z274" s="56"/>
      <c r="AA274" s="22"/>
      <c r="AB274" s="22"/>
      <c r="AC274" s="56"/>
      <c r="AD274" s="22"/>
      <c r="AE274" s="22"/>
      <c r="AF274" s="162">
        <f t="shared" si="20"/>
        <v>0</v>
      </c>
      <c r="AG274" s="48">
        <f t="shared" si="21"/>
        <v>87</v>
      </c>
      <c r="AH274" s="48">
        <f t="shared" si="22"/>
        <v>87</v>
      </c>
      <c r="AI274" s="40">
        <f t="shared" si="18"/>
        <v>45999</v>
      </c>
      <c r="AJ274" s="40"/>
      <c r="AK274" s="40"/>
      <c r="AL274" s="22"/>
    </row>
    <row r="275" spans="1:41" ht="17.399999999999999">
      <c r="A275" s="22" t="s">
        <v>18945</v>
      </c>
      <c r="B275" s="22" t="s">
        <v>18576</v>
      </c>
      <c r="C275" s="56">
        <v>45938</v>
      </c>
      <c r="D275" s="56">
        <v>45867</v>
      </c>
      <c r="E275" s="22" t="s">
        <v>18676</v>
      </c>
      <c r="F275" s="22" t="s">
        <v>33</v>
      </c>
      <c r="G275" s="22" t="s">
        <v>33</v>
      </c>
      <c r="H275" s="22" t="s">
        <v>5045</v>
      </c>
      <c r="I275" s="49" t="s">
        <v>2629</v>
      </c>
      <c r="J275" s="50" t="s">
        <v>5046</v>
      </c>
      <c r="K275" s="22" t="s">
        <v>18943</v>
      </c>
      <c r="L275" s="22" t="s">
        <v>60</v>
      </c>
      <c r="M275" s="22">
        <v>1</v>
      </c>
      <c r="N275" s="22" t="s">
        <v>18946</v>
      </c>
      <c r="O275" s="22"/>
      <c r="P275" s="46" t="s">
        <v>685</v>
      </c>
      <c r="Q275" s="40" t="s">
        <v>627</v>
      </c>
      <c r="R275" s="41">
        <v>45978</v>
      </c>
      <c r="S275" s="22">
        <f t="shared" si="19"/>
        <v>1</v>
      </c>
      <c r="T275" s="41">
        <v>45985</v>
      </c>
      <c r="U275" s="44" t="s">
        <v>571</v>
      </c>
      <c r="V275" s="44" t="s">
        <v>571</v>
      </c>
      <c r="W275" s="46" t="s">
        <v>571</v>
      </c>
      <c r="X275" s="46">
        <v>1</v>
      </c>
      <c r="Y275" s="44" t="s">
        <v>571</v>
      </c>
      <c r="Z275" s="56"/>
      <c r="AA275" s="22"/>
      <c r="AB275" s="22"/>
      <c r="AC275" s="56"/>
      <c r="AD275" s="22"/>
      <c r="AE275" s="22"/>
      <c r="AF275" s="162">
        <f t="shared" si="20"/>
        <v>0</v>
      </c>
      <c r="AG275" s="48">
        <f t="shared" si="21"/>
        <v>1</v>
      </c>
      <c r="AH275" s="48">
        <f t="shared" si="22"/>
        <v>1</v>
      </c>
      <c r="AI275" s="40">
        <f t="shared" si="18"/>
        <v>45999</v>
      </c>
      <c r="AJ275" s="40"/>
      <c r="AK275" s="40"/>
      <c r="AL275" s="22"/>
    </row>
    <row r="276" spans="1:41" s="181" customFormat="1" ht="17.399999999999999">
      <c r="A276" s="173" t="s">
        <v>18947</v>
      </c>
      <c r="B276" s="173" t="s">
        <v>50</v>
      </c>
      <c r="C276" s="174">
        <v>45953</v>
      </c>
      <c r="D276" s="174">
        <v>45937</v>
      </c>
      <c r="E276" s="173" t="s">
        <v>18948</v>
      </c>
      <c r="F276" s="173">
        <v>50</v>
      </c>
      <c r="G276" s="173" t="s">
        <v>33</v>
      </c>
      <c r="H276" s="173" t="s">
        <v>18634</v>
      </c>
      <c r="I276" s="175" t="s">
        <v>18635</v>
      </c>
      <c r="J276" s="176" t="s">
        <v>18636</v>
      </c>
      <c r="K276" s="173" t="s">
        <v>18626</v>
      </c>
      <c r="L276" s="173" t="s">
        <v>60</v>
      </c>
      <c r="M276" s="173">
        <v>0</v>
      </c>
      <c r="N276" s="173" t="s">
        <v>18949</v>
      </c>
      <c r="O276" s="173"/>
      <c r="P276" s="177" t="s">
        <v>5279</v>
      </c>
      <c r="Q276" s="178" t="s">
        <v>627</v>
      </c>
      <c r="R276" s="179">
        <v>45980</v>
      </c>
      <c r="S276" s="173">
        <f t="shared" si="19"/>
        <v>0</v>
      </c>
      <c r="T276" s="179"/>
      <c r="U276" s="180"/>
      <c r="V276" s="180"/>
      <c r="W276" s="177"/>
      <c r="X276" s="177"/>
      <c r="Y276" s="177"/>
      <c r="Z276" s="174"/>
      <c r="AA276" s="173"/>
      <c r="AB276" s="173"/>
      <c r="AC276" s="174"/>
      <c r="AD276" s="173"/>
      <c r="AE276" s="173"/>
      <c r="AF276" s="162">
        <f t="shared" si="20"/>
        <v>0</v>
      </c>
      <c r="AG276" s="48">
        <f t="shared" si="21"/>
        <v>0</v>
      </c>
      <c r="AH276" s="48">
        <f t="shared" si="22"/>
        <v>0</v>
      </c>
      <c r="AI276" s="156">
        <f t="shared" si="18"/>
        <v>46001</v>
      </c>
      <c r="AJ276" s="156"/>
      <c r="AK276" s="156"/>
      <c r="AL276" s="155"/>
      <c r="AM276" s="155"/>
      <c r="AN276" s="155"/>
      <c r="AO276" s="155"/>
    </row>
    <row r="277" spans="1:41" s="181" customFormat="1" ht="17.399999999999999">
      <c r="A277" s="173" t="s">
        <v>18950</v>
      </c>
      <c r="B277" s="173" t="s">
        <v>50</v>
      </c>
      <c r="C277" s="174">
        <v>45954</v>
      </c>
      <c r="D277" s="174" t="s">
        <v>18951</v>
      </c>
      <c r="E277" s="173" t="s">
        <v>18952</v>
      </c>
      <c r="F277" s="173">
        <v>46</v>
      </c>
      <c r="G277" s="173" t="s">
        <v>33</v>
      </c>
      <c r="H277" s="173" t="s">
        <v>18623</v>
      </c>
      <c r="I277" s="175" t="s">
        <v>18624</v>
      </c>
      <c r="J277" s="176" t="s">
        <v>18625</v>
      </c>
      <c r="K277" s="173" t="s">
        <v>18626</v>
      </c>
      <c r="L277" s="173" t="s">
        <v>60</v>
      </c>
      <c r="M277" s="173">
        <v>0</v>
      </c>
      <c r="N277" s="173" t="s">
        <v>18953</v>
      </c>
      <c r="O277" s="173"/>
      <c r="P277" s="177" t="s">
        <v>5279</v>
      </c>
      <c r="Q277" s="178" t="s">
        <v>627</v>
      </c>
      <c r="R277" s="179">
        <v>45980</v>
      </c>
      <c r="S277" s="173">
        <f t="shared" si="19"/>
        <v>0</v>
      </c>
      <c r="T277" s="179"/>
      <c r="U277" s="180"/>
      <c r="V277" s="180"/>
      <c r="W277" s="177"/>
      <c r="X277" s="177"/>
      <c r="Y277" s="177"/>
      <c r="Z277" s="174"/>
      <c r="AA277" s="173"/>
      <c r="AB277" s="173"/>
      <c r="AC277" s="174"/>
      <c r="AD277" s="173"/>
      <c r="AE277" s="173"/>
      <c r="AF277" s="162">
        <f t="shared" si="20"/>
        <v>0</v>
      </c>
      <c r="AG277" s="48">
        <f t="shared" si="21"/>
        <v>0</v>
      </c>
      <c r="AH277" s="48">
        <f t="shared" si="22"/>
        <v>0</v>
      </c>
      <c r="AI277" s="156">
        <f t="shared" si="18"/>
        <v>46001</v>
      </c>
      <c r="AJ277" s="156"/>
      <c r="AK277" s="156"/>
      <c r="AL277" s="155"/>
      <c r="AM277" s="155"/>
      <c r="AN277" s="155"/>
      <c r="AO277" s="155"/>
    </row>
    <row r="278" spans="1:41" s="181" customFormat="1" ht="17.399999999999999">
      <c r="A278" s="173" t="s">
        <v>18954</v>
      </c>
      <c r="B278" s="173" t="s">
        <v>50</v>
      </c>
      <c r="C278" s="174">
        <v>45953</v>
      </c>
      <c r="D278" s="174">
        <v>45937</v>
      </c>
      <c r="E278" s="173" t="s">
        <v>18948</v>
      </c>
      <c r="F278" s="173">
        <v>50</v>
      </c>
      <c r="G278" s="173" t="s">
        <v>33</v>
      </c>
      <c r="H278" s="173" t="s">
        <v>18629</v>
      </c>
      <c r="I278" s="175" t="s">
        <v>18630</v>
      </c>
      <c r="J278" s="176" t="s">
        <v>18631</v>
      </c>
      <c r="K278" s="173" t="s">
        <v>18626</v>
      </c>
      <c r="L278" s="173" t="s">
        <v>60</v>
      </c>
      <c r="M278" s="173">
        <v>0</v>
      </c>
      <c r="N278" s="173" t="s">
        <v>18955</v>
      </c>
      <c r="O278" s="173"/>
      <c r="P278" s="177" t="s">
        <v>5279</v>
      </c>
      <c r="Q278" s="178" t="s">
        <v>627</v>
      </c>
      <c r="R278" s="179">
        <v>45980</v>
      </c>
      <c r="S278" s="173">
        <f t="shared" si="19"/>
        <v>0</v>
      </c>
      <c r="T278" s="179"/>
      <c r="U278" s="180"/>
      <c r="V278" s="180"/>
      <c r="W278" s="177"/>
      <c r="X278" s="177"/>
      <c r="Y278" s="177"/>
      <c r="Z278" s="174"/>
      <c r="AA278" s="173"/>
      <c r="AB278" s="173"/>
      <c r="AC278" s="174"/>
      <c r="AD278" s="173"/>
      <c r="AE278" s="173"/>
      <c r="AF278" s="162">
        <f t="shared" si="20"/>
        <v>0</v>
      </c>
      <c r="AG278" s="48">
        <f t="shared" si="21"/>
        <v>0</v>
      </c>
      <c r="AH278" s="48">
        <f t="shared" si="22"/>
        <v>0</v>
      </c>
      <c r="AI278" s="156">
        <f t="shared" si="18"/>
        <v>46001</v>
      </c>
      <c r="AJ278" s="156"/>
      <c r="AK278" s="156"/>
      <c r="AL278" s="155"/>
      <c r="AM278" s="155"/>
      <c r="AN278" s="155"/>
      <c r="AO278" s="155"/>
    </row>
    <row r="279" spans="1:41" ht="17.399999999999999">
      <c r="A279" s="22" t="s">
        <v>18957</v>
      </c>
      <c r="B279" s="22" t="s">
        <v>18958</v>
      </c>
      <c r="C279" s="56" t="s">
        <v>18959</v>
      </c>
      <c r="D279" s="56">
        <v>45645</v>
      </c>
      <c r="E279" s="22" t="s">
        <v>18518</v>
      </c>
      <c r="F279" s="22" t="s">
        <v>33</v>
      </c>
      <c r="G279" s="22" t="s">
        <v>33</v>
      </c>
      <c r="H279" s="22" t="s">
        <v>5032</v>
      </c>
      <c r="I279" s="49" t="s">
        <v>5033</v>
      </c>
      <c r="J279" s="50" t="s">
        <v>5034</v>
      </c>
      <c r="K279" s="22" t="s">
        <v>18960</v>
      </c>
      <c r="L279" s="22" t="s">
        <v>60</v>
      </c>
      <c r="M279" s="22">
        <v>2</v>
      </c>
      <c r="N279" s="22" t="s">
        <v>18982</v>
      </c>
      <c r="O279" s="22"/>
      <c r="P279" s="46" t="s">
        <v>685</v>
      </c>
      <c r="Q279" s="40" t="s">
        <v>627</v>
      </c>
      <c r="R279" s="41">
        <v>45986</v>
      </c>
      <c r="S279" s="22">
        <f t="shared" si="19"/>
        <v>2</v>
      </c>
      <c r="T279" s="41">
        <v>45993</v>
      </c>
      <c r="U279" s="44">
        <v>45987</v>
      </c>
      <c r="V279" s="44">
        <v>45993</v>
      </c>
      <c r="W279" s="46" t="s">
        <v>18977</v>
      </c>
      <c r="X279" s="46">
        <v>2</v>
      </c>
      <c r="Y279" s="44" t="s">
        <v>19049</v>
      </c>
      <c r="Z279" s="56"/>
      <c r="AA279" s="22"/>
      <c r="AB279" s="22"/>
      <c r="AC279" s="56"/>
      <c r="AD279" s="22"/>
      <c r="AE279" s="22"/>
      <c r="AF279" s="162">
        <f t="shared" si="20"/>
        <v>0</v>
      </c>
      <c r="AG279" s="48">
        <f t="shared" si="21"/>
        <v>2</v>
      </c>
      <c r="AH279" s="48">
        <f t="shared" si="22"/>
        <v>2</v>
      </c>
      <c r="AI279" s="40">
        <f t="shared" si="18"/>
        <v>46007</v>
      </c>
      <c r="AJ279" s="40"/>
      <c r="AK279" s="40"/>
      <c r="AL279" s="22"/>
    </row>
    <row r="280" spans="1:41" s="150" customFormat="1" ht="17.399999999999999">
      <c r="A280" s="136" t="s">
        <v>18961</v>
      </c>
      <c r="B280" s="136" t="s">
        <v>18962</v>
      </c>
      <c r="C280" s="139">
        <v>45985</v>
      </c>
      <c r="D280" s="139">
        <v>45902</v>
      </c>
      <c r="E280" s="136" t="s">
        <v>18963</v>
      </c>
      <c r="F280" s="136" t="s">
        <v>18964</v>
      </c>
      <c r="G280" s="136" t="s">
        <v>18965</v>
      </c>
      <c r="H280" s="136" t="s">
        <v>1119</v>
      </c>
      <c r="I280" s="140" t="s">
        <v>927</v>
      </c>
      <c r="J280" s="141" t="s">
        <v>1349</v>
      </c>
      <c r="K280" s="136" t="s">
        <v>18966</v>
      </c>
      <c r="L280" s="136" t="s">
        <v>71</v>
      </c>
      <c r="M280" s="136">
        <v>2000</v>
      </c>
      <c r="N280" s="136" t="s">
        <v>18967</v>
      </c>
      <c r="O280" s="136"/>
      <c r="P280" s="138" t="s">
        <v>681</v>
      </c>
      <c r="Q280" s="142" t="s">
        <v>627</v>
      </c>
      <c r="R280" s="143">
        <v>45987</v>
      </c>
      <c r="S280" s="136">
        <f t="shared" si="19"/>
        <v>2000</v>
      </c>
      <c r="T280" s="143">
        <v>46014</v>
      </c>
      <c r="U280" s="137">
        <v>46009</v>
      </c>
      <c r="V280" s="137">
        <v>46014</v>
      </c>
      <c r="W280" s="138" t="s">
        <v>19034</v>
      </c>
      <c r="X280" s="138">
        <v>2000</v>
      </c>
      <c r="Y280" s="138" t="s">
        <v>19050</v>
      </c>
      <c r="Z280" s="139"/>
      <c r="AA280" s="136"/>
      <c r="AB280" s="136"/>
      <c r="AC280" s="139"/>
      <c r="AD280" s="136"/>
      <c r="AE280" s="136"/>
      <c r="AF280" s="162">
        <f t="shared" si="20"/>
        <v>0</v>
      </c>
      <c r="AG280" s="48">
        <f t="shared" si="21"/>
        <v>2000</v>
      </c>
      <c r="AH280" s="48">
        <f t="shared" si="22"/>
        <v>2000</v>
      </c>
      <c r="AI280" s="142">
        <v>46035</v>
      </c>
      <c r="AJ280" s="142"/>
      <c r="AK280" s="142"/>
      <c r="AL280" s="136"/>
      <c r="AM280" s="136"/>
      <c r="AN280" s="136"/>
      <c r="AO280" s="136"/>
    </row>
    <row r="281" spans="1:41" s="150" customFormat="1" ht="17.399999999999999">
      <c r="A281" s="136" t="s">
        <v>18968</v>
      </c>
      <c r="B281" s="136" t="s">
        <v>18557</v>
      </c>
      <c r="C281" s="139">
        <v>45980</v>
      </c>
      <c r="D281" s="139">
        <v>45824</v>
      </c>
      <c r="E281" s="136" t="s">
        <v>18969</v>
      </c>
      <c r="F281" s="136" t="s">
        <v>33</v>
      </c>
      <c r="G281" s="136" t="s">
        <v>18970</v>
      </c>
      <c r="H281" s="136" t="s">
        <v>10335</v>
      </c>
      <c r="I281" s="140" t="s">
        <v>68</v>
      </c>
      <c r="J281" s="141" t="s">
        <v>4088</v>
      </c>
      <c r="K281" s="136" t="s">
        <v>18971</v>
      </c>
      <c r="L281" s="136" t="s">
        <v>71</v>
      </c>
      <c r="M281" s="136">
        <v>957</v>
      </c>
      <c r="N281" s="136" t="s">
        <v>18983</v>
      </c>
      <c r="O281" s="136"/>
      <c r="P281" s="138" t="s">
        <v>682</v>
      </c>
      <c r="Q281" s="142" t="s">
        <v>627</v>
      </c>
      <c r="R281" s="143">
        <v>45987</v>
      </c>
      <c r="S281" s="136">
        <f t="shared" si="19"/>
        <v>957</v>
      </c>
      <c r="T281" s="143">
        <v>46000</v>
      </c>
      <c r="U281" s="137">
        <v>45993</v>
      </c>
      <c r="V281" s="137">
        <v>46000</v>
      </c>
      <c r="W281" s="138" t="s">
        <v>18988</v>
      </c>
      <c r="X281" s="138">
        <v>957</v>
      </c>
      <c r="Y281" s="138" t="s">
        <v>18993</v>
      </c>
      <c r="Z281" s="139">
        <v>46007</v>
      </c>
      <c r="AA281" s="136" t="s">
        <v>19021</v>
      </c>
      <c r="AB281" s="136">
        <v>957</v>
      </c>
      <c r="AC281" s="139"/>
      <c r="AD281" s="136"/>
      <c r="AE281" s="136"/>
      <c r="AF281" s="162">
        <f t="shared" si="20"/>
        <v>0</v>
      </c>
      <c r="AG281" s="48">
        <f t="shared" si="21"/>
        <v>0</v>
      </c>
      <c r="AH281" s="48">
        <f t="shared" si="22"/>
        <v>0</v>
      </c>
      <c r="AI281" s="142">
        <f t="shared" si="18"/>
        <v>46008</v>
      </c>
      <c r="AJ281" s="142"/>
      <c r="AK281" s="142"/>
      <c r="AL281" s="136"/>
      <c r="AM281" s="136"/>
      <c r="AN281" s="136"/>
      <c r="AO281" s="136"/>
    </row>
    <row r="282" spans="1:41" s="150" customFormat="1" ht="17.399999999999999">
      <c r="A282" s="136" t="s">
        <v>18978</v>
      </c>
      <c r="B282" s="136" t="s">
        <v>346</v>
      </c>
      <c r="C282" s="139">
        <v>45967</v>
      </c>
      <c r="D282" s="139" t="s">
        <v>33</v>
      </c>
      <c r="E282" s="136" t="s">
        <v>18979</v>
      </c>
      <c r="F282" s="136" t="s">
        <v>33</v>
      </c>
      <c r="G282" s="136" t="s">
        <v>18980</v>
      </c>
      <c r="H282" s="136" t="s">
        <v>354</v>
      </c>
      <c r="I282" s="140" t="s">
        <v>355</v>
      </c>
      <c r="J282" s="141" t="s">
        <v>356</v>
      </c>
      <c r="K282" s="136" t="s">
        <v>346</v>
      </c>
      <c r="L282" s="136" t="s">
        <v>52</v>
      </c>
      <c r="M282" s="136">
        <v>18</v>
      </c>
      <c r="N282" s="136" t="s">
        <v>18981</v>
      </c>
      <c r="O282" s="136"/>
      <c r="P282" s="138" t="s">
        <v>18088</v>
      </c>
      <c r="Q282" s="142" t="s">
        <v>627</v>
      </c>
      <c r="R282" s="143">
        <v>45992</v>
      </c>
      <c r="S282" s="136">
        <f t="shared" si="19"/>
        <v>18</v>
      </c>
      <c r="T282" s="143">
        <v>46009</v>
      </c>
      <c r="U282" s="137">
        <v>46001</v>
      </c>
      <c r="V282" s="137">
        <v>46009</v>
      </c>
      <c r="W282" s="138" t="s">
        <v>19023</v>
      </c>
      <c r="X282" s="138">
        <v>18</v>
      </c>
      <c r="Y282" s="138" t="s">
        <v>19027</v>
      </c>
      <c r="Z282" s="139"/>
      <c r="AA282" s="136"/>
      <c r="AB282" s="136"/>
      <c r="AC282" s="139"/>
      <c r="AD282" s="136"/>
      <c r="AE282" s="136"/>
      <c r="AF282" s="162">
        <f t="shared" si="20"/>
        <v>0</v>
      </c>
      <c r="AG282" s="48">
        <f t="shared" si="21"/>
        <v>18</v>
      </c>
      <c r="AH282" s="48">
        <f t="shared" si="22"/>
        <v>18</v>
      </c>
      <c r="AI282" s="142">
        <f t="shared" si="18"/>
        <v>46013</v>
      </c>
      <c r="AJ282" s="142"/>
      <c r="AK282" s="142"/>
      <c r="AL282" s="136"/>
      <c r="AM282" s="136"/>
      <c r="AN282" s="136"/>
      <c r="AO282" s="136"/>
    </row>
    <row r="283" spans="1:41" s="150" customFormat="1" ht="17.399999999999999">
      <c r="A283" s="136" t="s">
        <v>18984</v>
      </c>
      <c r="B283" s="136" t="s">
        <v>18376</v>
      </c>
      <c r="C283" s="139">
        <v>45937</v>
      </c>
      <c r="D283" s="139">
        <v>45818</v>
      </c>
      <c r="E283" s="136" t="s">
        <v>18985</v>
      </c>
      <c r="F283" s="136" t="s">
        <v>33</v>
      </c>
      <c r="G283" s="136" t="s">
        <v>33</v>
      </c>
      <c r="H283" s="136" t="s">
        <v>2609</v>
      </c>
      <c r="I283" s="140" t="s">
        <v>818</v>
      </c>
      <c r="J283" s="141" t="s">
        <v>2610</v>
      </c>
      <c r="K283" s="136" t="s">
        <v>215</v>
      </c>
      <c r="L283" s="136" t="s">
        <v>60</v>
      </c>
      <c r="M283" s="136">
        <v>9</v>
      </c>
      <c r="N283" s="136" t="s">
        <v>18986</v>
      </c>
      <c r="O283" s="136"/>
      <c r="P283" s="138" t="s">
        <v>685</v>
      </c>
      <c r="Q283" s="142" t="s">
        <v>627</v>
      </c>
      <c r="R283" s="143">
        <v>45995</v>
      </c>
      <c r="S283" s="136">
        <f t="shared" si="19"/>
        <v>9</v>
      </c>
      <c r="T283" s="143">
        <v>46009</v>
      </c>
      <c r="U283" s="137">
        <v>46001</v>
      </c>
      <c r="V283" s="137">
        <v>46009</v>
      </c>
      <c r="W283" s="138" t="s">
        <v>19022</v>
      </c>
      <c r="X283" s="138">
        <v>9</v>
      </c>
      <c r="Y283" s="138" t="s">
        <v>19028</v>
      </c>
      <c r="Z283" s="139"/>
      <c r="AA283" s="136"/>
      <c r="AB283" s="136"/>
      <c r="AC283" s="139"/>
      <c r="AD283" s="136"/>
      <c r="AE283" s="136"/>
      <c r="AF283" s="162">
        <f t="shared" si="20"/>
        <v>0</v>
      </c>
      <c r="AG283" s="48">
        <f t="shared" si="21"/>
        <v>9</v>
      </c>
      <c r="AH283" s="48">
        <f t="shared" si="22"/>
        <v>9</v>
      </c>
      <c r="AI283" s="142">
        <f t="shared" si="18"/>
        <v>46016</v>
      </c>
      <c r="AJ283" s="142"/>
      <c r="AK283" s="142"/>
      <c r="AL283" s="136"/>
      <c r="AM283" s="136"/>
      <c r="AN283" s="136"/>
      <c r="AO283" s="136"/>
    </row>
    <row r="284" spans="1:41" s="150" customFormat="1" ht="17.399999999999999">
      <c r="A284" s="136" t="s">
        <v>18989</v>
      </c>
      <c r="B284" s="136" t="s">
        <v>346</v>
      </c>
      <c r="C284" s="139" t="s">
        <v>18990</v>
      </c>
      <c r="D284" s="139" t="s">
        <v>33</v>
      </c>
      <c r="E284" s="136" t="s">
        <v>18991</v>
      </c>
      <c r="F284" s="136" t="s">
        <v>33</v>
      </c>
      <c r="G284" s="136" t="s">
        <v>33</v>
      </c>
      <c r="H284" s="136" t="s">
        <v>8542</v>
      </c>
      <c r="I284" s="140" t="s">
        <v>362</v>
      </c>
      <c r="J284" s="141" t="s">
        <v>8543</v>
      </c>
      <c r="K284" s="136" t="s">
        <v>346</v>
      </c>
      <c r="L284" s="136" t="s">
        <v>60</v>
      </c>
      <c r="M284" s="136">
        <v>71</v>
      </c>
      <c r="N284" s="136" t="s">
        <v>18992</v>
      </c>
      <c r="O284" s="136"/>
      <c r="P284" s="138" t="s">
        <v>18088</v>
      </c>
      <c r="Q284" s="142" t="s">
        <v>627</v>
      </c>
      <c r="R284" s="143">
        <v>45999</v>
      </c>
      <c r="S284" s="136">
        <f t="shared" si="19"/>
        <v>71</v>
      </c>
      <c r="T284" s="143">
        <v>46009</v>
      </c>
      <c r="U284" s="137">
        <v>46002</v>
      </c>
      <c r="V284" s="137">
        <v>46009</v>
      </c>
      <c r="W284" s="138" t="s">
        <v>19023</v>
      </c>
      <c r="X284" s="138">
        <v>71</v>
      </c>
      <c r="Y284" s="138" t="s">
        <v>19030</v>
      </c>
      <c r="Z284" s="139"/>
      <c r="AA284" s="136"/>
      <c r="AB284" s="136"/>
      <c r="AC284" s="139"/>
      <c r="AD284" s="136"/>
      <c r="AE284" s="136"/>
      <c r="AF284" s="162">
        <f t="shared" si="20"/>
        <v>0</v>
      </c>
      <c r="AG284" s="48">
        <f t="shared" si="21"/>
        <v>71</v>
      </c>
      <c r="AH284" s="48">
        <f t="shared" si="22"/>
        <v>71</v>
      </c>
      <c r="AI284" s="142">
        <f t="shared" si="18"/>
        <v>46020</v>
      </c>
      <c r="AJ284" s="142"/>
      <c r="AK284" s="142"/>
      <c r="AL284" s="136"/>
      <c r="AM284" s="136"/>
      <c r="AN284" s="136"/>
      <c r="AO284" s="136"/>
    </row>
    <row r="285" spans="1:41" s="150" customFormat="1" ht="17.399999999999999">
      <c r="A285" s="136" t="s">
        <v>19001</v>
      </c>
      <c r="B285" s="136" t="s">
        <v>19002</v>
      </c>
      <c r="C285" s="139">
        <v>46006</v>
      </c>
      <c r="D285" s="139">
        <v>45993</v>
      </c>
      <c r="E285" s="136" t="s">
        <v>19003</v>
      </c>
      <c r="F285" s="136" t="s">
        <v>33</v>
      </c>
      <c r="G285" s="136" t="s">
        <v>33</v>
      </c>
      <c r="H285" s="136" t="s">
        <v>18999</v>
      </c>
      <c r="I285" s="140" t="s">
        <v>6870</v>
      </c>
      <c r="J285" s="141" t="s">
        <v>19000</v>
      </c>
      <c r="K285" s="136" t="s">
        <v>19004</v>
      </c>
      <c r="L285" s="136" t="s">
        <v>60</v>
      </c>
      <c r="M285" s="136">
        <v>42</v>
      </c>
      <c r="N285" s="136" t="s">
        <v>19005</v>
      </c>
      <c r="O285" s="136"/>
      <c r="P285" s="138" t="s">
        <v>2655</v>
      </c>
      <c r="Q285" s="142" t="s">
        <v>627</v>
      </c>
      <c r="R285" s="143">
        <v>46006</v>
      </c>
      <c r="S285" s="136">
        <f t="shared" si="19"/>
        <v>42</v>
      </c>
      <c r="T285" s="143">
        <v>46014</v>
      </c>
      <c r="U285" s="137">
        <v>46009</v>
      </c>
      <c r="V285" s="137">
        <v>46014</v>
      </c>
      <c r="W285" s="138" t="s">
        <v>19035</v>
      </c>
      <c r="X285" s="138">
        <v>42</v>
      </c>
      <c r="Y285" s="138" t="s">
        <v>19051</v>
      </c>
      <c r="Z285" s="139">
        <v>46011</v>
      </c>
      <c r="AA285" s="136" t="s">
        <v>19038</v>
      </c>
      <c r="AB285" s="136">
        <v>42</v>
      </c>
      <c r="AC285" s="139"/>
      <c r="AD285" s="136"/>
      <c r="AE285" s="136"/>
      <c r="AF285" s="162">
        <f t="shared" si="20"/>
        <v>0</v>
      </c>
      <c r="AG285" s="48">
        <f t="shared" si="21"/>
        <v>0</v>
      </c>
      <c r="AH285" s="48">
        <f t="shared" si="22"/>
        <v>0</v>
      </c>
      <c r="AI285" s="142">
        <f t="shared" si="18"/>
        <v>46027</v>
      </c>
      <c r="AJ285" s="142"/>
      <c r="AK285" s="142"/>
      <c r="AL285" s="136"/>
      <c r="AM285" s="136"/>
      <c r="AN285" s="136"/>
      <c r="AO285" s="136"/>
    </row>
    <row r="286" spans="1:41" s="150" customFormat="1" ht="17.399999999999999">
      <c r="A286" s="136" t="s">
        <v>19006</v>
      </c>
      <c r="B286" s="136" t="s">
        <v>19007</v>
      </c>
      <c r="C286" s="139">
        <v>45958</v>
      </c>
      <c r="D286" s="139">
        <v>45874</v>
      </c>
      <c r="E286" s="136" t="s">
        <v>19008</v>
      </c>
      <c r="F286" s="136" t="s">
        <v>33</v>
      </c>
      <c r="G286" s="136" t="s">
        <v>33</v>
      </c>
      <c r="H286" s="136" t="s">
        <v>2623</v>
      </c>
      <c r="I286" s="140" t="s">
        <v>57</v>
      </c>
      <c r="J286" s="141" t="s">
        <v>6297</v>
      </c>
      <c r="K286" s="136" t="s">
        <v>18960</v>
      </c>
      <c r="L286" s="136" t="s">
        <v>60</v>
      </c>
      <c r="M286" s="136">
        <v>200</v>
      </c>
      <c r="N286" s="136" t="s">
        <v>19009</v>
      </c>
      <c r="O286" s="136"/>
      <c r="P286" s="138" t="s">
        <v>685</v>
      </c>
      <c r="Q286" s="142" t="s">
        <v>18886</v>
      </c>
      <c r="R286" s="143">
        <v>46007</v>
      </c>
      <c r="S286" s="136">
        <f t="shared" si="19"/>
        <v>200</v>
      </c>
      <c r="T286" s="143">
        <v>46010</v>
      </c>
      <c r="U286" s="137" t="s">
        <v>571</v>
      </c>
      <c r="V286" s="137" t="s">
        <v>571</v>
      </c>
      <c r="W286" s="138" t="s">
        <v>571</v>
      </c>
      <c r="X286" s="138">
        <v>200</v>
      </c>
      <c r="Y286" s="44" t="s">
        <v>571</v>
      </c>
      <c r="Z286" s="139"/>
      <c r="AA286" s="136"/>
      <c r="AB286" s="136"/>
      <c r="AC286" s="139"/>
      <c r="AD286" s="136"/>
      <c r="AE286" s="136"/>
      <c r="AF286" s="162">
        <f t="shared" si="20"/>
        <v>0</v>
      </c>
      <c r="AG286" s="48">
        <f t="shared" si="21"/>
        <v>200</v>
      </c>
      <c r="AH286" s="48">
        <f t="shared" si="22"/>
        <v>200</v>
      </c>
      <c r="AI286" s="142">
        <f t="shared" si="18"/>
        <v>46028</v>
      </c>
      <c r="AJ286" s="142"/>
      <c r="AK286" s="142"/>
      <c r="AL286" s="136"/>
      <c r="AM286" s="136"/>
      <c r="AN286" s="136"/>
      <c r="AO286" s="136"/>
    </row>
    <row r="287" spans="1:41" s="150" customFormat="1" ht="17.399999999999999">
      <c r="A287" s="136" t="s">
        <v>19010</v>
      </c>
      <c r="B287" s="136" t="s">
        <v>18376</v>
      </c>
      <c r="C287" s="139">
        <v>45939</v>
      </c>
      <c r="D287" s="139">
        <v>45817</v>
      </c>
      <c r="E287" s="136" t="s">
        <v>19011</v>
      </c>
      <c r="F287" s="136" t="s">
        <v>33</v>
      </c>
      <c r="G287" s="136" t="s">
        <v>33</v>
      </c>
      <c r="H287" s="136" t="s">
        <v>8297</v>
      </c>
      <c r="I287" s="140" t="s">
        <v>174</v>
      </c>
      <c r="J287" s="141" t="s">
        <v>2005</v>
      </c>
      <c r="K287" s="136" t="s">
        <v>215</v>
      </c>
      <c r="L287" s="136" t="s">
        <v>60</v>
      </c>
      <c r="M287" s="136">
        <v>1</v>
      </c>
      <c r="N287" s="136" t="s">
        <v>19032</v>
      </c>
      <c r="O287" s="136"/>
      <c r="P287" s="138" t="s">
        <v>683</v>
      </c>
      <c r="Q287" s="142" t="s">
        <v>627</v>
      </c>
      <c r="R287" s="143">
        <v>46007</v>
      </c>
      <c r="S287" s="136">
        <f t="shared" si="19"/>
        <v>1</v>
      </c>
      <c r="T287" s="143">
        <v>46009</v>
      </c>
      <c r="U287" s="137"/>
      <c r="V287" s="137"/>
      <c r="W287" s="138"/>
      <c r="X287" s="138"/>
      <c r="Y287" s="138"/>
      <c r="Z287" s="139"/>
      <c r="AA287" s="136"/>
      <c r="AB287" s="136"/>
      <c r="AC287" s="139"/>
      <c r="AD287" s="136"/>
      <c r="AE287" s="136"/>
      <c r="AF287" s="162">
        <f t="shared" si="20"/>
        <v>1</v>
      </c>
      <c r="AG287" s="48">
        <f t="shared" si="21"/>
        <v>0</v>
      </c>
      <c r="AH287" s="48">
        <f t="shared" si="22"/>
        <v>1</v>
      </c>
      <c r="AI287" s="142">
        <f t="shared" si="18"/>
        <v>46028</v>
      </c>
      <c r="AJ287" s="142"/>
      <c r="AK287" s="142"/>
      <c r="AL287" s="136"/>
      <c r="AM287" s="136"/>
      <c r="AN287" s="136"/>
      <c r="AO287" s="136"/>
    </row>
    <row r="288" spans="1:41" s="150" customFormat="1" ht="17.399999999999999">
      <c r="A288" s="136" t="s">
        <v>19012</v>
      </c>
      <c r="B288" s="136" t="s">
        <v>19013</v>
      </c>
      <c r="C288" s="139">
        <v>45987</v>
      </c>
      <c r="D288" s="139">
        <v>45783</v>
      </c>
      <c r="E288" s="136" t="s">
        <v>18884</v>
      </c>
      <c r="F288" s="136" t="s">
        <v>33</v>
      </c>
      <c r="G288" s="136" t="s">
        <v>33</v>
      </c>
      <c r="H288" s="136" t="s">
        <v>2784</v>
      </c>
      <c r="I288" s="140" t="s">
        <v>2785</v>
      </c>
      <c r="J288" s="141" t="s">
        <v>2786</v>
      </c>
      <c r="K288" s="136" t="s">
        <v>19014</v>
      </c>
      <c r="L288" s="136" t="s">
        <v>60</v>
      </c>
      <c r="M288" s="136">
        <v>1</v>
      </c>
      <c r="N288" s="136" t="s">
        <v>19015</v>
      </c>
      <c r="O288" s="136"/>
      <c r="P288" s="138" t="s">
        <v>19054</v>
      </c>
      <c r="Q288" s="142" t="s">
        <v>18886</v>
      </c>
      <c r="R288" s="143">
        <v>46007</v>
      </c>
      <c r="S288" s="136">
        <f t="shared" si="19"/>
        <v>1</v>
      </c>
      <c r="T288" s="143">
        <v>46014</v>
      </c>
      <c r="U288" s="137">
        <v>45999</v>
      </c>
      <c r="V288" s="137">
        <v>46014</v>
      </c>
      <c r="W288" s="138" t="s">
        <v>19036</v>
      </c>
      <c r="X288" s="138">
        <v>1</v>
      </c>
      <c r="Y288" s="138" t="s">
        <v>19052</v>
      </c>
      <c r="Z288" s="139"/>
      <c r="AA288" s="136"/>
      <c r="AB288" s="136"/>
      <c r="AC288" s="139"/>
      <c r="AD288" s="136"/>
      <c r="AE288" s="136"/>
      <c r="AF288" s="162">
        <f t="shared" si="20"/>
        <v>0</v>
      </c>
      <c r="AG288" s="48">
        <f t="shared" si="21"/>
        <v>1</v>
      </c>
      <c r="AH288" s="48">
        <f t="shared" si="22"/>
        <v>1</v>
      </c>
      <c r="AI288" s="142">
        <f t="shared" si="18"/>
        <v>46028</v>
      </c>
      <c r="AJ288" s="142"/>
      <c r="AK288" s="142"/>
      <c r="AL288" s="136"/>
      <c r="AM288" s="136"/>
      <c r="AN288" s="136"/>
      <c r="AO288" s="136"/>
    </row>
    <row r="289" spans="1:41" s="150" customFormat="1" ht="17.399999999999999">
      <c r="A289" s="136" t="s">
        <v>19016</v>
      </c>
      <c r="B289" s="136" t="s">
        <v>19017</v>
      </c>
      <c r="C289" s="139">
        <v>45980</v>
      </c>
      <c r="D289" s="139" t="s">
        <v>19018</v>
      </c>
      <c r="E289" s="136" t="s">
        <v>19019</v>
      </c>
      <c r="F289" s="136" t="s">
        <v>33</v>
      </c>
      <c r="G289" s="136" t="s">
        <v>33</v>
      </c>
      <c r="H289" s="136" t="s">
        <v>12020</v>
      </c>
      <c r="I289" s="140" t="s">
        <v>704</v>
      </c>
      <c r="J289" s="141" t="s">
        <v>12021</v>
      </c>
      <c r="K289" s="136" t="s">
        <v>92</v>
      </c>
      <c r="L289" s="136" t="s">
        <v>60</v>
      </c>
      <c r="M289" s="136">
        <v>5</v>
      </c>
      <c r="N289" s="136" t="s">
        <v>19020</v>
      </c>
      <c r="O289" s="136"/>
      <c r="P289" s="138" t="s">
        <v>5205</v>
      </c>
      <c r="Q289" s="142" t="s">
        <v>627</v>
      </c>
      <c r="R289" s="143">
        <v>46007</v>
      </c>
      <c r="S289" s="136">
        <f t="shared" si="19"/>
        <v>5</v>
      </c>
      <c r="T289" s="143">
        <v>46009</v>
      </c>
      <c r="U289" s="137">
        <v>46009</v>
      </c>
      <c r="V289" s="137">
        <v>46014</v>
      </c>
      <c r="W289" s="138" t="s">
        <v>19037</v>
      </c>
      <c r="X289" s="138">
        <v>5</v>
      </c>
      <c r="Y289" s="138" t="s">
        <v>19053</v>
      </c>
      <c r="Z289" s="139"/>
      <c r="AA289" s="136"/>
      <c r="AB289" s="136"/>
      <c r="AC289" s="139"/>
      <c r="AD289" s="136"/>
      <c r="AE289" s="136"/>
      <c r="AF289" s="162">
        <f t="shared" si="20"/>
        <v>0</v>
      </c>
      <c r="AG289" s="48">
        <f t="shared" si="21"/>
        <v>5</v>
      </c>
      <c r="AH289" s="48">
        <f t="shared" si="22"/>
        <v>5</v>
      </c>
      <c r="AI289" s="142">
        <f t="shared" si="18"/>
        <v>46028</v>
      </c>
      <c r="AJ289" s="142"/>
      <c r="AK289" s="142"/>
      <c r="AL289" s="136"/>
      <c r="AM289" s="136"/>
      <c r="AN289" s="136"/>
      <c r="AO289" s="136"/>
    </row>
    <row r="290" spans="1:41" ht="17.399999999999999">
      <c r="A290" s="22" t="s">
        <v>19039</v>
      </c>
      <c r="B290" s="22" t="s">
        <v>18502</v>
      </c>
      <c r="C290" s="56">
        <v>46013</v>
      </c>
      <c r="D290" s="56" t="s">
        <v>33</v>
      </c>
      <c r="E290" s="22" t="s">
        <v>33</v>
      </c>
      <c r="F290" s="22" t="s">
        <v>33</v>
      </c>
      <c r="G290" s="22" t="s">
        <v>33</v>
      </c>
      <c r="H290" s="22" t="s">
        <v>629</v>
      </c>
      <c r="I290" s="49" t="s">
        <v>630</v>
      </c>
      <c r="J290" s="50" t="s">
        <v>631</v>
      </c>
      <c r="K290" s="22" t="s">
        <v>19040</v>
      </c>
      <c r="L290" s="22" t="s">
        <v>60</v>
      </c>
      <c r="M290" s="22">
        <v>23</v>
      </c>
      <c r="N290" s="22" t="s">
        <v>19041</v>
      </c>
      <c r="O290" s="22"/>
      <c r="P290" s="46" t="s">
        <v>19055</v>
      </c>
      <c r="Q290" s="40" t="s">
        <v>627</v>
      </c>
      <c r="R290" s="41">
        <v>46013</v>
      </c>
      <c r="S290" s="22">
        <f t="shared" si="19"/>
        <v>23</v>
      </c>
      <c r="T290" s="41"/>
      <c r="U290" s="44"/>
      <c r="V290" s="44"/>
      <c r="W290" s="46"/>
      <c r="X290" s="46"/>
      <c r="Y290" s="46"/>
      <c r="Z290" s="22"/>
      <c r="AA290" s="22"/>
      <c r="AB290" s="22"/>
      <c r="AC290" s="22"/>
      <c r="AD290" s="22"/>
      <c r="AE290" s="22"/>
      <c r="AF290" s="162">
        <f t="shared" si="20"/>
        <v>23</v>
      </c>
      <c r="AG290" s="48">
        <f t="shared" si="21"/>
        <v>0</v>
      </c>
      <c r="AH290" s="48">
        <f t="shared" si="22"/>
        <v>23</v>
      </c>
      <c r="AI290" s="40">
        <f t="shared" si="18"/>
        <v>46034</v>
      </c>
      <c r="AJ290" s="40"/>
      <c r="AK290" s="40"/>
      <c r="AL290" s="22"/>
    </row>
    <row r="291" spans="1:41" ht="17.399999999999999">
      <c r="A291" s="22" t="s">
        <v>19042</v>
      </c>
      <c r="B291" s="22" t="s">
        <v>18502</v>
      </c>
      <c r="C291" s="56">
        <v>46013</v>
      </c>
      <c r="D291" s="56" t="s">
        <v>33</v>
      </c>
      <c r="E291" s="22" t="s">
        <v>33</v>
      </c>
      <c r="F291" s="22" t="s">
        <v>33</v>
      </c>
      <c r="G291" s="22" t="s">
        <v>33</v>
      </c>
      <c r="H291" s="22" t="s">
        <v>629</v>
      </c>
      <c r="I291" s="49" t="s">
        <v>630</v>
      </c>
      <c r="J291" s="50" t="s">
        <v>631</v>
      </c>
      <c r="K291" s="22" t="s">
        <v>19040</v>
      </c>
      <c r="L291" s="22" t="s">
        <v>60</v>
      </c>
      <c r="M291" s="22">
        <v>18</v>
      </c>
      <c r="N291" s="22" t="s">
        <v>19043</v>
      </c>
      <c r="O291" s="22"/>
      <c r="P291" s="46" t="s">
        <v>19055</v>
      </c>
      <c r="Q291" s="40" t="s">
        <v>627</v>
      </c>
      <c r="R291" s="41">
        <v>46013</v>
      </c>
      <c r="S291" s="22">
        <f t="shared" si="19"/>
        <v>18</v>
      </c>
      <c r="T291" s="41"/>
      <c r="U291" s="44"/>
      <c r="V291" s="44"/>
      <c r="W291" s="46"/>
      <c r="X291" s="46"/>
      <c r="Y291" s="46"/>
      <c r="Z291" s="22"/>
      <c r="AA291" s="22"/>
      <c r="AB291" s="22"/>
      <c r="AC291" s="22"/>
      <c r="AD291" s="22"/>
      <c r="AE291" s="22"/>
      <c r="AF291" s="162">
        <f t="shared" si="20"/>
        <v>18</v>
      </c>
      <c r="AG291" s="48">
        <f t="shared" si="21"/>
        <v>0</v>
      </c>
      <c r="AH291" s="48">
        <f t="shared" si="22"/>
        <v>18</v>
      </c>
      <c r="AI291" s="40">
        <f t="shared" si="18"/>
        <v>46034</v>
      </c>
      <c r="AJ291" s="40"/>
      <c r="AK291" s="40"/>
      <c r="AL291" s="22"/>
    </row>
    <row r="292" spans="1:41" ht="17.399999999999999">
      <c r="A292" s="22" t="s">
        <v>19044</v>
      </c>
      <c r="B292" s="22" t="s">
        <v>18502</v>
      </c>
      <c r="C292" s="56">
        <v>46013</v>
      </c>
      <c r="D292" s="56" t="s">
        <v>33</v>
      </c>
      <c r="E292" s="22" t="s">
        <v>33</v>
      </c>
      <c r="F292" s="22" t="s">
        <v>33</v>
      </c>
      <c r="G292" s="22" t="s">
        <v>33</v>
      </c>
      <c r="H292" s="22" t="s">
        <v>629</v>
      </c>
      <c r="I292" s="49" t="s">
        <v>630</v>
      </c>
      <c r="J292" s="50" t="s">
        <v>631</v>
      </c>
      <c r="K292" s="22" t="s">
        <v>19040</v>
      </c>
      <c r="L292" s="22" t="s">
        <v>60</v>
      </c>
      <c r="M292" s="22">
        <v>24</v>
      </c>
      <c r="N292" s="22" t="s">
        <v>19045</v>
      </c>
      <c r="O292" s="22"/>
      <c r="P292" s="46" t="s">
        <v>19055</v>
      </c>
      <c r="Q292" s="40" t="s">
        <v>627</v>
      </c>
      <c r="R292" s="41">
        <v>46013</v>
      </c>
      <c r="S292" s="22">
        <f t="shared" si="19"/>
        <v>24</v>
      </c>
      <c r="T292" s="41"/>
      <c r="U292" s="44"/>
      <c r="V292" s="44"/>
      <c r="W292" s="46"/>
      <c r="X292" s="46"/>
      <c r="Y292" s="46"/>
      <c r="Z292" s="22"/>
      <c r="AA292" s="22"/>
      <c r="AB292" s="22"/>
      <c r="AC292" s="22"/>
      <c r="AD292" s="22"/>
      <c r="AE292" s="22"/>
      <c r="AF292" s="162">
        <f t="shared" si="20"/>
        <v>24</v>
      </c>
      <c r="AG292" s="48">
        <f t="shared" si="21"/>
        <v>0</v>
      </c>
      <c r="AH292" s="48">
        <f t="shared" si="22"/>
        <v>24</v>
      </c>
      <c r="AI292" s="40">
        <f t="shared" si="18"/>
        <v>46034</v>
      </c>
      <c r="AJ292" s="40"/>
      <c r="AK292" s="40"/>
      <c r="AL292" s="22"/>
    </row>
    <row r="293" spans="1:41" ht="17.399999999999999">
      <c r="A293" s="22"/>
      <c r="B293" s="22"/>
      <c r="C293" s="56"/>
      <c r="D293" s="56"/>
      <c r="E293" s="22"/>
      <c r="F293" s="22"/>
      <c r="G293" s="22"/>
      <c r="H293" s="22"/>
      <c r="I293" s="49"/>
      <c r="J293" s="50"/>
      <c r="K293" s="22"/>
      <c r="L293" s="22"/>
      <c r="M293" s="22"/>
      <c r="N293" s="22"/>
      <c r="O293" s="22"/>
      <c r="P293" s="46"/>
      <c r="Q293" s="40"/>
      <c r="R293" s="41"/>
      <c r="S293" s="22"/>
      <c r="T293" s="41"/>
      <c r="U293" s="44"/>
      <c r="V293" s="44"/>
      <c r="W293" s="46"/>
      <c r="X293" s="46"/>
      <c r="Y293" s="46"/>
      <c r="Z293" s="22"/>
      <c r="AA293" s="22"/>
      <c r="AB293" s="22"/>
      <c r="AC293" s="22"/>
      <c r="AD293" s="22"/>
      <c r="AE293" s="22"/>
      <c r="AF293" s="48"/>
      <c r="AG293" s="48"/>
      <c r="AH293" s="48"/>
      <c r="AI293" s="40"/>
      <c r="AJ293" s="40"/>
      <c r="AK293" s="40"/>
      <c r="AL293" s="22"/>
    </row>
    <row r="294" spans="1:41" ht="17.399999999999999">
      <c r="A294" s="22"/>
      <c r="B294" s="22"/>
      <c r="C294" s="56"/>
      <c r="D294" s="56"/>
      <c r="E294" s="22"/>
      <c r="F294" s="22"/>
      <c r="G294" s="22"/>
      <c r="H294" s="22"/>
      <c r="I294" s="49"/>
      <c r="J294" s="50"/>
      <c r="K294" s="22"/>
      <c r="L294" s="22"/>
      <c r="M294" s="22"/>
      <c r="N294" s="22"/>
      <c r="O294" s="22"/>
      <c r="P294" s="46"/>
      <c r="Q294" s="40"/>
      <c r="R294" s="41"/>
      <c r="S294" s="22"/>
      <c r="T294" s="41"/>
      <c r="U294" s="44"/>
      <c r="V294" s="44"/>
      <c r="W294" s="46"/>
      <c r="X294" s="46"/>
      <c r="Y294" s="46"/>
      <c r="Z294" s="22"/>
      <c r="AA294" s="22"/>
      <c r="AB294" s="22"/>
      <c r="AC294" s="22"/>
      <c r="AD294" s="22"/>
      <c r="AE294" s="22"/>
      <c r="AF294" s="48"/>
      <c r="AG294" s="48"/>
      <c r="AH294" s="48"/>
      <c r="AI294" s="40"/>
      <c r="AJ294" s="40"/>
      <c r="AK294" s="40"/>
      <c r="AL294" s="22"/>
    </row>
    <row r="295" spans="1:41" ht="17.399999999999999">
      <c r="A295" s="22"/>
      <c r="B295" s="22"/>
      <c r="C295" s="56"/>
      <c r="D295" s="56"/>
      <c r="E295" s="22"/>
      <c r="F295" s="22"/>
      <c r="G295" s="22"/>
      <c r="H295" s="22"/>
      <c r="I295" s="49"/>
      <c r="J295" s="50"/>
      <c r="K295" s="22"/>
      <c r="L295" s="22"/>
      <c r="M295" s="22"/>
      <c r="N295" s="22"/>
      <c r="O295" s="22"/>
      <c r="P295" s="46"/>
      <c r="Q295" s="40"/>
      <c r="R295" s="41"/>
      <c r="S295" s="22"/>
      <c r="T295" s="41"/>
      <c r="U295" s="44"/>
      <c r="V295" s="44"/>
      <c r="W295" s="46"/>
      <c r="X295" s="46"/>
      <c r="Y295" s="46"/>
      <c r="Z295" s="22"/>
      <c r="AA295" s="22"/>
      <c r="AB295" s="22"/>
      <c r="AC295" s="22"/>
      <c r="AD295" s="22"/>
      <c r="AE295" s="22"/>
      <c r="AF295" s="48"/>
      <c r="AG295" s="48"/>
      <c r="AH295" s="48"/>
      <c r="AI295" s="40"/>
      <c r="AJ295" s="40"/>
      <c r="AK295" s="40"/>
      <c r="AL295" s="22"/>
    </row>
    <row r="296" spans="1:41" ht="17.399999999999999">
      <c r="A296" s="22"/>
      <c r="B296" s="22"/>
      <c r="C296" s="56"/>
      <c r="D296" s="56"/>
      <c r="E296" s="22"/>
      <c r="F296" s="22"/>
      <c r="G296" s="22"/>
      <c r="H296" s="22"/>
      <c r="I296" s="49"/>
      <c r="J296" s="50"/>
      <c r="K296" s="22"/>
      <c r="L296" s="22"/>
      <c r="M296" s="22"/>
      <c r="N296" s="22"/>
      <c r="O296" s="22"/>
      <c r="P296" s="46"/>
      <c r="Q296" s="40"/>
      <c r="R296" s="41"/>
      <c r="S296" s="22"/>
      <c r="T296" s="41"/>
      <c r="U296" s="44"/>
      <c r="V296" s="44"/>
      <c r="W296" s="46"/>
      <c r="X296" s="46"/>
      <c r="Y296" s="46"/>
      <c r="Z296" s="22"/>
      <c r="AA296" s="22"/>
      <c r="AB296" s="22"/>
      <c r="AC296" s="22"/>
      <c r="AD296" s="22"/>
      <c r="AE296" s="22"/>
      <c r="AF296" s="48"/>
      <c r="AG296" s="48"/>
      <c r="AH296" s="48"/>
      <c r="AI296" s="40"/>
      <c r="AJ296" s="40"/>
      <c r="AK296" s="40"/>
      <c r="AL296" s="22"/>
    </row>
    <row r="297" spans="1:41" ht="17.399999999999999">
      <c r="A297" s="22"/>
      <c r="B297" s="22"/>
      <c r="C297" s="56"/>
      <c r="D297" s="56"/>
      <c r="E297" s="22"/>
      <c r="F297" s="22"/>
      <c r="G297" s="22"/>
      <c r="H297" s="22"/>
      <c r="I297" s="49"/>
      <c r="J297" s="50"/>
      <c r="K297" s="22"/>
      <c r="L297" s="22"/>
      <c r="M297" s="22"/>
      <c r="N297" s="22"/>
      <c r="O297" s="22"/>
      <c r="P297" s="46"/>
      <c r="Q297" s="40"/>
      <c r="R297" s="41"/>
      <c r="S297" s="22"/>
      <c r="T297" s="41"/>
      <c r="U297" s="44"/>
      <c r="V297" s="44"/>
      <c r="W297" s="46"/>
      <c r="X297" s="46"/>
      <c r="Y297" s="46"/>
      <c r="Z297" s="22"/>
      <c r="AA297" s="22"/>
      <c r="AB297" s="22"/>
      <c r="AC297" s="22"/>
      <c r="AD297" s="22"/>
      <c r="AE297" s="22"/>
      <c r="AF297" s="48"/>
      <c r="AG297" s="48"/>
      <c r="AH297" s="48"/>
      <c r="AI297" s="40"/>
      <c r="AJ297" s="40"/>
      <c r="AK297" s="40"/>
      <c r="AL297" s="22"/>
    </row>
    <row r="298" spans="1:41" ht="17.399999999999999">
      <c r="A298" s="22"/>
      <c r="B298" s="22"/>
      <c r="C298" s="56"/>
      <c r="D298" s="56"/>
      <c r="E298" s="22"/>
      <c r="F298" s="22"/>
      <c r="G298" s="22"/>
      <c r="H298" s="22"/>
      <c r="I298" s="49"/>
      <c r="J298" s="50"/>
      <c r="K298" s="22"/>
      <c r="L298" s="22"/>
      <c r="M298" s="22"/>
      <c r="N298" s="22"/>
      <c r="O298" s="22"/>
      <c r="P298" s="46"/>
      <c r="Q298" s="40"/>
      <c r="R298" s="41"/>
      <c r="S298" s="22"/>
      <c r="T298" s="41"/>
      <c r="U298" s="44"/>
      <c r="V298" s="44"/>
      <c r="W298" s="46"/>
      <c r="X298" s="46"/>
      <c r="Y298" s="46"/>
      <c r="Z298" s="22"/>
      <c r="AA298" s="22"/>
      <c r="AB298" s="22"/>
      <c r="AC298" s="22"/>
      <c r="AD298" s="22"/>
      <c r="AE298" s="22"/>
      <c r="AF298" s="48"/>
      <c r="AG298" s="48"/>
      <c r="AH298" s="48"/>
      <c r="AI298" s="40"/>
      <c r="AJ298" s="40"/>
      <c r="AK298" s="40"/>
      <c r="AL298" s="22"/>
    </row>
    <row r="299" spans="1:41" ht="17.399999999999999">
      <c r="A299" s="22"/>
      <c r="B299" s="22"/>
      <c r="C299" s="56"/>
      <c r="D299" s="56"/>
      <c r="E299" s="22"/>
      <c r="F299" s="22"/>
      <c r="G299" s="22"/>
      <c r="H299" s="22"/>
      <c r="I299" s="49"/>
      <c r="J299" s="50"/>
      <c r="K299" s="22"/>
      <c r="L299" s="22"/>
      <c r="M299" s="22"/>
      <c r="N299" s="22"/>
      <c r="O299" s="22"/>
      <c r="P299" s="46"/>
      <c r="Q299" s="40"/>
      <c r="R299" s="41"/>
      <c r="S299" s="22"/>
      <c r="T299" s="41"/>
      <c r="U299" s="44"/>
      <c r="V299" s="44"/>
      <c r="W299" s="46"/>
      <c r="X299" s="46"/>
      <c r="Y299" s="46"/>
      <c r="Z299" s="22"/>
      <c r="AA299" s="22"/>
      <c r="AB299" s="22"/>
      <c r="AC299" s="22"/>
      <c r="AD299" s="22"/>
      <c r="AE299" s="22"/>
      <c r="AF299" s="48"/>
      <c r="AG299" s="48"/>
      <c r="AH299" s="48"/>
      <c r="AI299" s="40"/>
      <c r="AJ299" s="40"/>
      <c r="AK299" s="40"/>
      <c r="AL299" s="22"/>
    </row>
    <row r="300" spans="1:41" ht="17.399999999999999">
      <c r="A300" s="22"/>
      <c r="B300" s="22"/>
      <c r="C300" s="56"/>
      <c r="D300" s="56"/>
      <c r="E300" s="22"/>
      <c r="F300" s="22"/>
      <c r="G300" s="22"/>
      <c r="H300" s="22"/>
      <c r="I300" s="49"/>
      <c r="J300" s="50"/>
      <c r="K300" s="22"/>
      <c r="L300" s="22"/>
      <c r="M300" s="22"/>
      <c r="N300" s="22"/>
      <c r="O300" s="22"/>
      <c r="P300" s="46"/>
      <c r="Q300" s="40"/>
      <c r="R300" s="41"/>
      <c r="S300" s="22"/>
      <c r="T300" s="41"/>
      <c r="U300" s="44"/>
      <c r="V300" s="44"/>
      <c r="W300" s="46"/>
      <c r="X300" s="46"/>
      <c r="Y300" s="46"/>
      <c r="Z300" s="22"/>
      <c r="AA300" s="22"/>
      <c r="AB300" s="22"/>
      <c r="AC300" s="22"/>
      <c r="AD300" s="22"/>
      <c r="AE300" s="22"/>
      <c r="AF300" s="48"/>
      <c r="AG300" s="48"/>
      <c r="AH300" s="48"/>
      <c r="AI300" s="40"/>
      <c r="AJ300" s="40"/>
      <c r="AK300" s="40"/>
      <c r="AL300" s="22"/>
    </row>
    <row r="301" spans="1:41" ht="17.399999999999999">
      <c r="A301" s="22"/>
      <c r="B301" s="22"/>
      <c r="C301" s="56"/>
      <c r="D301" s="56"/>
      <c r="E301" s="22"/>
      <c r="F301" s="22"/>
      <c r="G301" s="22"/>
      <c r="H301" s="22"/>
      <c r="I301" s="49"/>
      <c r="J301" s="50"/>
      <c r="K301" s="22"/>
      <c r="L301" s="22"/>
      <c r="M301" s="22"/>
      <c r="N301" s="22"/>
      <c r="O301" s="22"/>
      <c r="P301" s="46"/>
      <c r="Q301" s="40"/>
      <c r="R301" s="41"/>
      <c r="S301" s="22"/>
      <c r="T301" s="41"/>
      <c r="U301" s="44"/>
      <c r="V301" s="44"/>
      <c r="W301" s="46"/>
      <c r="X301" s="46"/>
      <c r="Y301" s="46"/>
      <c r="Z301" s="22"/>
      <c r="AA301" s="22"/>
      <c r="AB301" s="22"/>
      <c r="AC301" s="22"/>
      <c r="AD301" s="22"/>
      <c r="AE301" s="22"/>
      <c r="AF301" s="48"/>
      <c r="AG301" s="48"/>
      <c r="AH301" s="48"/>
      <c r="AI301" s="40"/>
      <c r="AJ301" s="40"/>
      <c r="AK301" s="40"/>
      <c r="AL301" s="22"/>
    </row>
    <row r="302" spans="1:41" ht="17.399999999999999">
      <c r="A302" s="22"/>
      <c r="B302" s="22"/>
      <c r="C302" s="56"/>
      <c r="D302" s="56"/>
      <c r="E302" s="22"/>
      <c r="F302" s="22"/>
      <c r="G302" s="22"/>
      <c r="H302" s="22"/>
      <c r="I302" s="49"/>
      <c r="J302" s="50"/>
      <c r="K302" s="22"/>
      <c r="L302" s="22"/>
      <c r="M302" s="22"/>
      <c r="N302" s="22"/>
      <c r="O302" s="22"/>
      <c r="P302" s="46"/>
      <c r="Q302" s="40"/>
      <c r="R302" s="41"/>
      <c r="S302" s="22"/>
      <c r="T302" s="41"/>
      <c r="U302" s="44"/>
      <c r="V302" s="44"/>
      <c r="W302" s="46"/>
      <c r="X302" s="46"/>
      <c r="Y302" s="46"/>
      <c r="Z302" s="22"/>
      <c r="AA302" s="22"/>
      <c r="AB302" s="22"/>
      <c r="AC302" s="22"/>
      <c r="AD302" s="22"/>
      <c r="AE302" s="22"/>
      <c r="AF302" s="48"/>
      <c r="AG302" s="48"/>
      <c r="AH302" s="48"/>
      <c r="AI302" s="40"/>
      <c r="AJ302" s="40"/>
      <c r="AK302" s="40"/>
      <c r="AL302" s="22"/>
    </row>
    <row r="303" spans="1:41" ht="17.399999999999999">
      <c r="A303" s="22"/>
      <c r="B303" s="22"/>
      <c r="C303" s="56"/>
      <c r="D303" s="56"/>
      <c r="E303" s="22"/>
      <c r="F303" s="22"/>
      <c r="G303" s="22"/>
      <c r="H303" s="22"/>
      <c r="I303" s="49"/>
      <c r="J303" s="50"/>
      <c r="K303" s="22"/>
      <c r="L303" s="22"/>
      <c r="M303" s="22"/>
      <c r="N303" s="22"/>
      <c r="O303" s="22"/>
      <c r="P303" s="46"/>
      <c r="Q303" s="40"/>
      <c r="R303" s="41"/>
      <c r="S303" s="22"/>
      <c r="T303" s="41"/>
      <c r="U303" s="44"/>
      <c r="V303" s="44"/>
      <c r="W303" s="46"/>
      <c r="X303" s="46"/>
      <c r="Y303" s="46"/>
      <c r="Z303" s="22"/>
      <c r="AA303" s="22"/>
      <c r="AB303" s="22"/>
      <c r="AC303" s="22"/>
      <c r="AD303" s="22"/>
      <c r="AE303" s="22"/>
      <c r="AF303" s="48"/>
      <c r="AG303" s="48"/>
      <c r="AH303" s="48"/>
      <c r="AI303" s="40"/>
      <c r="AJ303" s="40"/>
      <c r="AK303" s="40"/>
      <c r="AL303" s="22"/>
    </row>
    <row r="304" spans="1:41" ht="17.399999999999999">
      <c r="A304" s="22"/>
      <c r="B304" s="22"/>
      <c r="C304" s="56"/>
      <c r="D304" s="56"/>
      <c r="E304" s="22"/>
      <c r="F304" s="22"/>
      <c r="G304" s="22"/>
      <c r="H304" s="22"/>
      <c r="I304" s="49"/>
      <c r="J304" s="50"/>
      <c r="K304" s="22"/>
      <c r="L304" s="22"/>
      <c r="M304" s="22"/>
      <c r="N304" s="22"/>
      <c r="O304" s="22"/>
      <c r="P304" s="46"/>
      <c r="Q304" s="40"/>
      <c r="R304" s="41"/>
      <c r="S304" s="22"/>
      <c r="T304" s="41"/>
      <c r="U304" s="44"/>
      <c r="V304" s="44"/>
      <c r="W304" s="46"/>
      <c r="X304" s="46"/>
      <c r="Y304" s="46"/>
      <c r="Z304" s="22"/>
      <c r="AA304" s="22"/>
      <c r="AB304" s="22"/>
      <c r="AC304" s="22"/>
      <c r="AD304" s="22"/>
      <c r="AE304" s="22"/>
      <c r="AF304" s="48"/>
      <c r="AG304" s="48"/>
      <c r="AH304" s="48"/>
      <c r="AI304" s="40"/>
      <c r="AJ304" s="40"/>
      <c r="AK304" s="40"/>
      <c r="AL304" s="22"/>
    </row>
    <row r="305" spans="1:38" ht="17.399999999999999">
      <c r="A305" s="22"/>
      <c r="B305" s="22"/>
      <c r="C305" s="56"/>
      <c r="D305" s="56"/>
      <c r="E305" s="22"/>
      <c r="F305" s="22"/>
      <c r="G305" s="22"/>
      <c r="H305" s="22"/>
      <c r="I305" s="49"/>
      <c r="J305" s="50"/>
      <c r="K305" s="22"/>
      <c r="L305" s="22"/>
      <c r="M305" s="22"/>
      <c r="N305" s="22"/>
      <c r="O305" s="22"/>
      <c r="P305" s="46"/>
      <c r="Q305" s="40"/>
      <c r="R305" s="41"/>
      <c r="S305" s="22"/>
      <c r="T305" s="41"/>
      <c r="U305" s="44"/>
      <c r="V305" s="44"/>
      <c r="W305" s="46"/>
      <c r="X305" s="46"/>
      <c r="Y305" s="46"/>
      <c r="Z305" s="22"/>
      <c r="AA305" s="22"/>
      <c r="AB305" s="22"/>
      <c r="AC305" s="22"/>
      <c r="AD305" s="22"/>
      <c r="AE305" s="22"/>
      <c r="AF305" s="48"/>
      <c r="AG305" s="48"/>
      <c r="AH305" s="48"/>
      <c r="AI305" s="40"/>
      <c r="AJ305" s="40"/>
      <c r="AK305" s="40"/>
      <c r="AL305" s="22"/>
    </row>
    <row r="306" spans="1:38" ht="17.399999999999999">
      <c r="A306" s="22"/>
      <c r="B306" s="22"/>
      <c r="C306" s="56"/>
      <c r="D306" s="56"/>
      <c r="E306" s="22"/>
      <c r="F306" s="22"/>
      <c r="G306" s="22"/>
      <c r="H306" s="22"/>
      <c r="I306" s="49"/>
      <c r="J306" s="50"/>
      <c r="K306" s="22"/>
      <c r="L306" s="22"/>
      <c r="M306" s="22"/>
      <c r="N306" s="22"/>
      <c r="O306" s="22"/>
      <c r="P306" s="46"/>
      <c r="Q306" s="40"/>
      <c r="R306" s="41"/>
      <c r="S306" s="22"/>
      <c r="T306" s="41"/>
      <c r="U306" s="44"/>
      <c r="V306" s="44"/>
      <c r="W306" s="46"/>
      <c r="X306" s="46"/>
      <c r="Y306" s="46"/>
      <c r="Z306" s="22"/>
      <c r="AA306" s="22"/>
      <c r="AB306" s="22"/>
      <c r="AC306" s="22"/>
      <c r="AD306" s="22"/>
      <c r="AE306" s="22"/>
      <c r="AF306" s="48"/>
      <c r="AG306" s="48"/>
      <c r="AH306" s="48"/>
      <c r="AI306" s="40"/>
      <c r="AJ306" s="40"/>
      <c r="AK306" s="40"/>
      <c r="AL306" s="22"/>
    </row>
    <row r="307" spans="1:38" ht="17.399999999999999">
      <c r="A307" s="22"/>
      <c r="B307" s="22"/>
      <c r="C307" s="56"/>
      <c r="D307" s="56"/>
      <c r="E307" s="22"/>
      <c r="F307" s="22"/>
      <c r="G307" s="22"/>
      <c r="H307" s="22"/>
      <c r="I307" s="49"/>
      <c r="J307" s="50"/>
      <c r="K307" s="22"/>
      <c r="L307" s="22"/>
      <c r="M307" s="22"/>
      <c r="N307" s="22"/>
      <c r="O307" s="22"/>
      <c r="P307" s="46"/>
      <c r="Q307" s="40"/>
      <c r="R307" s="41"/>
      <c r="S307" s="22"/>
      <c r="T307" s="41"/>
      <c r="U307" s="44"/>
      <c r="V307" s="44"/>
      <c r="W307" s="46"/>
      <c r="X307" s="46"/>
      <c r="Y307" s="46"/>
      <c r="Z307" s="22"/>
      <c r="AA307" s="22"/>
      <c r="AB307" s="22"/>
      <c r="AC307" s="22"/>
      <c r="AD307" s="22"/>
      <c r="AE307" s="22"/>
      <c r="AF307" s="48"/>
      <c r="AG307" s="48"/>
      <c r="AH307" s="48"/>
      <c r="AI307" s="40"/>
      <c r="AJ307" s="40"/>
      <c r="AK307" s="40"/>
      <c r="AL307" s="22"/>
    </row>
    <row r="308" spans="1:38" ht="17.399999999999999">
      <c r="A308" s="22"/>
      <c r="B308" s="22"/>
      <c r="C308" s="56"/>
      <c r="D308" s="56"/>
      <c r="E308" s="22"/>
      <c r="F308" s="22"/>
      <c r="G308" s="22"/>
      <c r="H308" s="22"/>
      <c r="I308" s="49"/>
      <c r="J308" s="50"/>
      <c r="K308" s="22"/>
      <c r="L308" s="22"/>
      <c r="M308" s="22"/>
      <c r="N308" s="22"/>
      <c r="O308" s="22"/>
      <c r="P308" s="46"/>
      <c r="Q308" s="40"/>
      <c r="R308" s="41"/>
      <c r="S308" s="22"/>
      <c r="T308" s="41"/>
      <c r="U308" s="44"/>
      <c r="V308" s="44"/>
      <c r="W308" s="46"/>
      <c r="X308" s="46"/>
      <c r="Y308" s="46"/>
      <c r="Z308" s="22"/>
      <c r="AA308" s="22"/>
      <c r="AB308" s="22"/>
      <c r="AC308" s="22"/>
      <c r="AD308" s="22"/>
      <c r="AE308" s="22"/>
      <c r="AF308" s="48"/>
      <c r="AG308" s="48"/>
      <c r="AH308" s="48"/>
      <c r="AI308" s="40"/>
      <c r="AJ308" s="40"/>
      <c r="AK308" s="40"/>
      <c r="AL308" s="22"/>
    </row>
    <row r="309" spans="1:38" ht="17.399999999999999">
      <c r="A309" s="22"/>
      <c r="B309" s="22"/>
      <c r="C309" s="56"/>
      <c r="D309" s="56"/>
      <c r="E309" s="22"/>
      <c r="F309" s="22"/>
      <c r="G309" s="22"/>
      <c r="H309" s="22"/>
      <c r="I309" s="49"/>
      <c r="J309" s="50"/>
      <c r="K309" s="22"/>
      <c r="L309" s="22"/>
      <c r="M309" s="22"/>
      <c r="N309" s="22"/>
      <c r="O309" s="22"/>
      <c r="P309" s="46"/>
      <c r="Q309" s="40"/>
      <c r="R309" s="41"/>
      <c r="S309" s="22"/>
      <c r="T309" s="41"/>
      <c r="U309" s="44"/>
      <c r="V309" s="44"/>
      <c r="W309" s="46"/>
      <c r="X309" s="46"/>
      <c r="Y309" s="46"/>
      <c r="Z309" s="22"/>
      <c r="AA309" s="22"/>
      <c r="AB309" s="22"/>
      <c r="AC309" s="22"/>
      <c r="AD309" s="22"/>
      <c r="AE309" s="22"/>
      <c r="AF309" s="48"/>
      <c r="AG309" s="48"/>
      <c r="AH309" s="48"/>
      <c r="AI309" s="40"/>
      <c r="AJ309" s="40"/>
      <c r="AK309" s="40"/>
      <c r="AL309" s="22"/>
    </row>
    <row r="310" spans="1:38" ht="17.399999999999999">
      <c r="A310" s="22"/>
      <c r="B310" s="22"/>
      <c r="C310" s="56"/>
      <c r="D310" s="56"/>
      <c r="E310" s="22"/>
      <c r="F310" s="22"/>
      <c r="G310" s="22"/>
      <c r="H310" s="22"/>
      <c r="I310" s="49"/>
      <c r="J310" s="50"/>
      <c r="K310" s="22"/>
      <c r="L310" s="22"/>
      <c r="M310" s="22"/>
      <c r="N310" s="22"/>
      <c r="O310" s="22"/>
      <c r="P310" s="46"/>
      <c r="Q310" s="40"/>
      <c r="R310" s="41"/>
      <c r="S310" s="22"/>
      <c r="T310" s="41"/>
      <c r="U310" s="44"/>
      <c r="V310" s="44"/>
      <c r="W310" s="46"/>
      <c r="X310" s="46"/>
      <c r="Y310" s="46"/>
      <c r="Z310" s="22"/>
      <c r="AA310" s="22"/>
      <c r="AB310" s="22"/>
      <c r="AC310" s="22"/>
      <c r="AD310" s="22"/>
      <c r="AE310" s="22"/>
      <c r="AF310" s="48"/>
      <c r="AG310" s="48"/>
      <c r="AH310" s="48"/>
      <c r="AI310" s="40"/>
      <c r="AJ310" s="40"/>
      <c r="AK310" s="40"/>
      <c r="AL310" s="22"/>
    </row>
    <row r="311" spans="1:38" ht="17.399999999999999">
      <c r="A311" s="22"/>
      <c r="B311" s="22"/>
      <c r="C311" s="56"/>
      <c r="D311" s="56"/>
      <c r="E311" s="22"/>
      <c r="F311" s="22"/>
      <c r="G311" s="22"/>
      <c r="H311" s="22"/>
      <c r="I311" s="49"/>
      <c r="J311" s="50"/>
      <c r="K311" s="22"/>
      <c r="L311" s="22"/>
      <c r="M311" s="22"/>
      <c r="N311" s="22"/>
      <c r="O311" s="22"/>
      <c r="P311" s="46"/>
      <c r="Q311" s="40"/>
      <c r="R311" s="41"/>
      <c r="S311" s="22"/>
      <c r="T311" s="41"/>
      <c r="U311" s="44"/>
      <c r="V311" s="44"/>
      <c r="W311" s="46"/>
      <c r="X311" s="46"/>
      <c r="Y311" s="46"/>
      <c r="Z311" s="22"/>
      <c r="AA311" s="22"/>
      <c r="AB311" s="22"/>
      <c r="AC311" s="22"/>
      <c r="AD311" s="22"/>
      <c r="AE311" s="22"/>
      <c r="AF311" s="48"/>
      <c r="AG311" s="48"/>
      <c r="AH311" s="48"/>
      <c r="AI311" s="40"/>
      <c r="AJ311" s="40"/>
      <c r="AK311" s="40"/>
      <c r="AL311" s="22"/>
    </row>
    <row r="312" spans="1:38" ht="17.399999999999999">
      <c r="A312" s="22"/>
      <c r="B312" s="22"/>
      <c r="C312" s="56"/>
      <c r="D312" s="56"/>
      <c r="E312" s="22"/>
      <c r="F312" s="22"/>
      <c r="G312" s="22"/>
      <c r="H312" s="22"/>
      <c r="I312" s="49"/>
      <c r="J312" s="50"/>
      <c r="K312" s="22"/>
      <c r="L312" s="22"/>
      <c r="M312" s="22"/>
      <c r="N312" s="22"/>
      <c r="O312" s="22"/>
      <c r="P312" s="46"/>
      <c r="Q312" s="40"/>
      <c r="R312" s="41"/>
      <c r="S312" s="22"/>
      <c r="T312" s="41"/>
      <c r="U312" s="44"/>
      <c r="V312" s="44"/>
      <c r="W312" s="46"/>
      <c r="X312" s="46"/>
      <c r="Y312" s="46"/>
      <c r="Z312" s="22"/>
      <c r="AA312" s="22"/>
      <c r="AB312" s="22"/>
      <c r="AC312" s="22"/>
      <c r="AD312" s="22"/>
      <c r="AE312" s="22"/>
      <c r="AF312" s="48"/>
      <c r="AG312" s="48"/>
      <c r="AH312" s="48"/>
      <c r="AI312" s="40"/>
      <c r="AJ312" s="40"/>
      <c r="AK312" s="40"/>
      <c r="AL312" s="22"/>
    </row>
    <row r="313" spans="1:38" ht="17.399999999999999">
      <c r="A313" s="22"/>
      <c r="B313" s="22"/>
      <c r="C313" s="56"/>
      <c r="D313" s="56"/>
      <c r="E313" s="22"/>
      <c r="F313" s="22"/>
      <c r="G313" s="22"/>
      <c r="H313" s="22"/>
      <c r="I313" s="49"/>
      <c r="J313" s="50"/>
      <c r="K313" s="22"/>
      <c r="L313" s="22"/>
      <c r="M313" s="22"/>
      <c r="N313" s="22"/>
      <c r="O313" s="22"/>
      <c r="P313" s="46"/>
      <c r="Q313" s="40"/>
      <c r="R313" s="41"/>
      <c r="S313" s="22"/>
      <c r="T313" s="41"/>
      <c r="U313" s="44"/>
      <c r="V313" s="44"/>
      <c r="W313" s="46"/>
      <c r="X313" s="46"/>
      <c r="Y313" s="46"/>
      <c r="Z313" s="22"/>
      <c r="AA313" s="22"/>
      <c r="AB313" s="22"/>
      <c r="AC313" s="22"/>
      <c r="AD313" s="22"/>
      <c r="AE313" s="22"/>
      <c r="AF313" s="48"/>
      <c r="AG313" s="48"/>
      <c r="AH313" s="48"/>
      <c r="AI313" s="40"/>
      <c r="AJ313" s="40"/>
      <c r="AK313" s="40"/>
      <c r="AL313" s="22"/>
    </row>
    <row r="314" spans="1:38" ht="17.399999999999999">
      <c r="A314" s="22"/>
      <c r="B314" s="22"/>
      <c r="C314" s="56"/>
      <c r="D314" s="56"/>
      <c r="E314" s="22"/>
      <c r="F314" s="22"/>
      <c r="G314" s="22"/>
      <c r="H314" s="22"/>
      <c r="I314" s="49"/>
      <c r="J314" s="50"/>
      <c r="K314" s="22"/>
      <c r="L314" s="22"/>
      <c r="M314" s="22"/>
      <c r="N314" s="22"/>
      <c r="O314" s="22"/>
      <c r="P314" s="46"/>
      <c r="Q314" s="40"/>
      <c r="R314" s="41"/>
      <c r="S314" s="22"/>
      <c r="T314" s="41"/>
      <c r="U314" s="44"/>
      <c r="V314" s="44"/>
      <c r="W314" s="46"/>
      <c r="X314" s="46"/>
      <c r="Y314" s="46"/>
      <c r="Z314" s="22"/>
      <c r="AA314" s="22"/>
      <c r="AB314" s="22"/>
      <c r="AC314" s="22"/>
      <c r="AD314" s="22"/>
      <c r="AE314" s="22"/>
      <c r="AF314" s="48"/>
      <c r="AG314" s="48"/>
      <c r="AH314" s="48"/>
      <c r="AI314" s="40"/>
      <c r="AJ314" s="40"/>
      <c r="AK314" s="40"/>
      <c r="AL314" s="22"/>
    </row>
    <row r="315" spans="1:38" ht="17.399999999999999">
      <c r="A315" s="22"/>
      <c r="B315" s="22"/>
      <c r="C315" s="56"/>
      <c r="D315" s="56"/>
      <c r="E315" s="22"/>
      <c r="F315" s="22"/>
      <c r="G315" s="22"/>
      <c r="H315" s="22"/>
      <c r="I315" s="49"/>
      <c r="J315" s="50"/>
      <c r="K315" s="22"/>
      <c r="L315" s="22"/>
      <c r="M315" s="22"/>
      <c r="N315" s="22"/>
      <c r="O315" s="22"/>
      <c r="P315" s="46"/>
      <c r="Q315" s="40"/>
      <c r="R315" s="41"/>
      <c r="S315" s="22"/>
      <c r="T315" s="41"/>
      <c r="U315" s="44"/>
      <c r="V315" s="44"/>
      <c r="W315" s="46"/>
      <c r="X315" s="46"/>
      <c r="Y315" s="46"/>
      <c r="Z315" s="22"/>
      <c r="AA315" s="22"/>
      <c r="AB315" s="22"/>
      <c r="AC315" s="22"/>
      <c r="AD315" s="22"/>
      <c r="AE315" s="22"/>
      <c r="AF315" s="48"/>
      <c r="AG315" s="48"/>
      <c r="AH315" s="48"/>
      <c r="AI315" s="40"/>
      <c r="AJ315" s="40"/>
      <c r="AK315" s="40"/>
      <c r="AL315" s="22"/>
    </row>
    <row r="316" spans="1:38" ht="17.399999999999999">
      <c r="A316" s="22"/>
      <c r="B316" s="22"/>
      <c r="C316" s="56"/>
      <c r="D316" s="56"/>
      <c r="E316" s="22"/>
      <c r="F316" s="22"/>
      <c r="G316" s="22"/>
      <c r="H316" s="22"/>
      <c r="I316" s="49"/>
      <c r="J316" s="50"/>
      <c r="K316" s="22"/>
      <c r="L316" s="22"/>
      <c r="M316" s="22"/>
      <c r="N316" s="22"/>
      <c r="O316" s="22"/>
      <c r="P316" s="46"/>
      <c r="Q316" s="40"/>
      <c r="R316" s="41"/>
      <c r="S316" s="22"/>
      <c r="T316" s="41"/>
      <c r="U316" s="44"/>
      <c r="V316" s="44"/>
      <c r="W316" s="46"/>
      <c r="X316" s="46"/>
      <c r="Y316" s="46"/>
      <c r="Z316" s="22"/>
      <c r="AA316" s="22"/>
      <c r="AB316" s="22"/>
      <c r="AC316" s="22"/>
      <c r="AD316" s="22"/>
      <c r="AE316" s="22"/>
      <c r="AF316" s="48"/>
      <c r="AG316" s="48"/>
      <c r="AH316" s="48"/>
      <c r="AI316" s="40"/>
      <c r="AJ316" s="40"/>
      <c r="AK316" s="40"/>
      <c r="AL316" s="22"/>
    </row>
    <row r="317" spans="1:38" ht="17.399999999999999">
      <c r="A317" s="22"/>
      <c r="B317" s="22"/>
      <c r="C317" s="56"/>
      <c r="D317" s="56"/>
      <c r="E317" s="22"/>
      <c r="F317" s="22"/>
      <c r="G317" s="22"/>
      <c r="H317" s="22"/>
      <c r="I317" s="49"/>
      <c r="J317" s="50"/>
      <c r="K317" s="22"/>
      <c r="L317" s="22"/>
      <c r="M317" s="22"/>
      <c r="N317" s="22"/>
      <c r="O317" s="22"/>
      <c r="P317" s="46"/>
      <c r="Q317" s="40"/>
      <c r="R317" s="41"/>
      <c r="S317" s="22"/>
      <c r="T317" s="41"/>
      <c r="U317" s="44"/>
      <c r="V317" s="44"/>
      <c r="W317" s="46"/>
      <c r="X317" s="46"/>
      <c r="Y317" s="46"/>
      <c r="Z317" s="22"/>
      <c r="AA317" s="22"/>
      <c r="AB317" s="22"/>
      <c r="AC317" s="22"/>
      <c r="AD317" s="22"/>
      <c r="AE317" s="22"/>
      <c r="AF317" s="48"/>
      <c r="AG317" s="48"/>
      <c r="AH317" s="48"/>
      <c r="AI317" s="40"/>
      <c r="AJ317" s="40"/>
      <c r="AK317" s="40"/>
      <c r="AL317" s="22"/>
    </row>
    <row r="318" spans="1:38" ht="17.399999999999999">
      <c r="A318" s="22"/>
      <c r="B318" s="22"/>
      <c r="C318" s="56"/>
      <c r="D318" s="56"/>
      <c r="E318" s="22"/>
      <c r="F318" s="22"/>
      <c r="G318" s="22"/>
      <c r="H318" s="22"/>
      <c r="I318" s="49"/>
      <c r="J318" s="50"/>
      <c r="K318" s="22"/>
      <c r="L318" s="22"/>
      <c r="M318" s="22"/>
      <c r="N318" s="22"/>
      <c r="O318" s="22"/>
      <c r="P318" s="46"/>
      <c r="Q318" s="40"/>
      <c r="R318" s="41"/>
      <c r="S318" s="22"/>
      <c r="T318" s="41"/>
      <c r="U318" s="44"/>
      <c r="V318" s="44"/>
      <c r="W318" s="46"/>
      <c r="X318" s="46"/>
      <c r="Y318" s="46"/>
      <c r="Z318" s="22"/>
      <c r="AA318" s="22"/>
      <c r="AB318" s="22"/>
      <c r="AC318" s="22"/>
      <c r="AD318" s="22"/>
      <c r="AE318" s="22"/>
      <c r="AF318" s="48"/>
      <c r="AG318" s="48"/>
      <c r="AH318" s="48"/>
      <c r="AI318" s="40"/>
      <c r="AJ318" s="40"/>
      <c r="AK318" s="40"/>
      <c r="AL318" s="22"/>
    </row>
    <row r="319" spans="1:38" ht="17.399999999999999">
      <c r="A319" s="22"/>
      <c r="B319" s="22"/>
      <c r="C319" s="56"/>
      <c r="D319" s="56"/>
      <c r="E319" s="22"/>
      <c r="F319" s="22"/>
      <c r="G319" s="22"/>
      <c r="H319" s="22"/>
      <c r="I319" s="49"/>
      <c r="J319" s="50"/>
      <c r="K319" s="22"/>
      <c r="L319" s="22"/>
      <c r="M319" s="22"/>
      <c r="N319" s="22"/>
      <c r="O319" s="22"/>
      <c r="P319" s="46"/>
      <c r="Q319" s="40"/>
      <c r="R319" s="41"/>
      <c r="S319" s="22"/>
      <c r="T319" s="41"/>
      <c r="U319" s="44"/>
      <c r="V319" s="44"/>
      <c r="W319" s="46"/>
      <c r="X319" s="46"/>
      <c r="Y319" s="46"/>
      <c r="Z319" s="22"/>
      <c r="AA319" s="22"/>
      <c r="AB319" s="22"/>
      <c r="AC319" s="22"/>
      <c r="AD319" s="22"/>
      <c r="AE319" s="22"/>
      <c r="AF319" s="48"/>
      <c r="AG319" s="48"/>
      <c r="AH319" s="48"/>
      <c r="AI319" s="40"/>
      <c r="AJ319" s="40"/>
      <c r="AK319" s="40"/>
      <c r="AL319" s="22"/>
    </row>
    <row r="320" spans="1:38" ht="17.399999999999999">
      <c r="A320" s="22"/>
      <c r="B320" s="22"/>
      <c r="C320" s="56"/>
      <c r="D320" s="56"/>
      <c r="E320" s="22"/>
      <c r="F320" s="22"/>
      <c r="G320" s="22"/>
      <c r="H320" s="22"/>
      <c r="I320" s="49"/>
      <c r="J320" s="50"/>
      <c r="K320" s="22"/>
      <c r="L320" s="22"/>
      <c r="M320" s="22"/>
      <c r="N320" s="22"/>
      <c r="O320" s="22"/>
      <c r="P320" s="46"/>
      <c r="Q320" s="40"/>
      <c r="R320" s="41"/>
      <c r="S320" s="22"/>
      <c r="T320" s="41"/>
      <c r="U320" s="44"/>
      <c r="V320" s="44"/>
      <c r="W320" s="46"/>
      <c r="X320" s="46"/>
      <c r="Y320" s="46"/>
      <c r="Z320" s="22"/>
      <c r="AA320" s="22"/>
      <c r="AB320" s="22"/>
      <c r="AC320" s="22"/>
      <c r="AD320" s="22"/>
      <c r="AE320" s="22"/>
      <c r="AF320" s="48"/>
      <c r="AG320" s="48"/>
      <c r="AH320" s="48"/>
      <c r="AI320" s="40"/>
      <c r="AJ320" s="40"/>
      <c r="AK320" s="40"/>
      <c r="AL320" s="22"/>
    </row>
    <row r="321" spans="1:38" ht="17.399999999999999">
      <c r="A321" s="22"/>
      <c r="B321" s="22"/>
      <c r="C321" s="56"/>
      <c r="D321" s="56"/>
      <c r="E321" s="22"/>
      <c r="F321" s="22"/>
      <c r="G321" s="22"/>
      <c r="H321" s="22"/>
      <c r="I321" s="49"/>
      <c r="J321" s="50"/>
      <c r="K321" s="22"/>
      <c r="L321" s="22"/>
      <c r="M321" s="22"/>
      <c r="N321" s="22"/>
      <c r="O321" s="22"/>
      <c r="P321" s="46"/>
      <c r="Q321" s="40"/>
      <c r="R321" s="41"/>
      <c r="S321" s="22"/>
      <c r="T321" s="41"/>
      <c r="U321" s="44"/>
      <c r="V321" s="44"/>
      <c r="W321" s="46"/>
      <c r="X321" s="46"/>
      <c r="Y321" s="46"/>
      <c r="Z321" s="22"/>
      <c r="AA321" s="22"/>
      <c r="AB321" s="22"/>
      <c r="AC321" s="22"/>
      <c r="AD321" s="22"/>
      <c r="AE321" s="22"/>
      <c r="AF321" s="48"/>
      <c r="AG321" s="48"/>
      <c r="AH321" s="48"/>
      <c r="AI321" s="40"/>
      <c r="AJ321" s="40"/>
      <c r="AK321" s="40"/>
      <c r="AL321" s="22"/>
    </row>
    <row r="322" spans="1:38" ht="17.399999999999999">
      <c r="A322" s="22"/>
      <c r="B322" s="22"/>
      <c r="C322" s="56"/>
      <c r="D322" s="56"/>
      <c r="E322" s="22"/>
      <c r="F322" s="22"/>
      <c r="G322" s="22"/>
      <c r="H322" s="22"/>
      <c r="I322" s="49"/>
      <c r="J322" s="50"/>
      <c r="K322" s="22"/>
      <c r="L322" s="22"/>
      <c r="M322" s="22"/>
      <c r="N322" s="22"/>
      <c r="O322" s="22"/>
      <c r="P322" s="46"/>
      <c r="Q322" s="40"/>
      <c r="R322" s="41"/>
      <c r="S322" s="22"/>
      <c r="T322" s="41"/>
      <c r="U322" s="44"/>
      <c r="V322" s="44"/>
      <c r="W322" s="46"/>
      <c r="X322" s="46"/>
      <c r="Y322" s="46"/>
      <c r="Z322" s="22"/>
      <c r="AA322" s="22"/>
      <c r="AB322" s="22"/>
      <c r="AC322" s="22"/>
      <c r="AD322" s="22"/>
      <c r="AE322" s="22"/>
      <c r="AF322" s="48"/>
      <c r="AG322" s="48"/>
      <c r="AH322" s="48"/>
      <c r="AI322" s="40"/>
      <c r="AJ322" s="40"/>
      <c r="AK322" s="40"/>
      <c r="AL322" s="22"/>
    </row>
    <row r="323" spans="1:38" ht="17.399999999999999">
      <c r="A323" s="22"/>
      <c r="B323" s="22"/>
      <c r="C323" s="56"/>
      <c r="D323" s="56"/>
      <c r="E323" s="22"/>
      <c r="F323" s="22"/>
      <c r="G323" s="22"/>
      <c r="H323" s="22"/>
      <c r="I323" s="49"/>
      <c r="J323" s="50"/>
      <c r="K323" s="22"/>
      <c r="L323" s="22"/>
      <c r="M323" s="22"/>
      <c r="N323" s="22"/>
      <c r="O323" s="22"/>
      <c r="P323" s="46"/>
      <c r="Q323" s="40"/>
      <c r="R323" s="41"/>
      <c r="S323" s="22"/>
      <c r="T323" s="41"/>
      <c r="U323" s="44"/>
      <c r="V323" s="44"/>
      <c r="W323" s="46"/>
      <c r="X323" s="46"/>
      <c r="Y323" s="46"/>
      <c r="Z323" s="22"/>
      <c r="AA323" s="22"/>
      <c r="AB323" s="22"/>
      <c r="AC323" s="22"/>
      <c r="AD323" s="22"/>
      <c r="AE323" s="22"/>
      <c r="AF323" s="48"/>
      <c r="AG323" s="48"/>
      <c r="AH323" s="48"/>
      <c r="AI323" s="40"/>
      <c r="AJ323" s="40"/>
      <c r="AK323" s="40"/>
      <c r="AL323" s="22"/>
    </row>
    <row r="324" spans="1:38" ht="17.399999999999999">
      <c r="A324" s="22"/>
      <c r="B324" s="22"/>
      <c r="C324" s="56"/>
      <c r="D324" s="56"/>
      <c r="E324" s="22"/>
      <c r="F324" s="22"/>
      <c r="G324" s="22"/>
      <c r="H324" s="22"/>
      <c r="I324" s="49"/>
      <c r="J324" s="50"/>
      <c r="K324" s="22"/>
      <c r="L324" s="22"/>
      <c r="M324" s="22"/>
      <c r="N324" s="22"/>
      <c r="O324" s="22"/>
      <c r="P324" s="46"/>
      <c r="Q324" s="40"/>
      <c r="R324" s="41"/>
      <c r="S324" s="22"/>
      <c r="T324" s="41"/>
      <c r="U324" s="44"/>
      <c r="V324" s="44"/>
      <c r="W324" s="46"/>
      <c r="X324" s="46"/>
      <c r="Y324" s="46"/>
      <c r="Z324" s="22"/>
      <c r="AA324" s="22"/>
      <c r="AB324" s="22"/>
      <c r="AC324" s="22"/>
      <c r="AD324" s="22"/>
      <c r="AE324" s="22"/>
      <c r="AF324" s="48"/>
      <c r="AG324" s="48"/>
      <c r="AH324" s="48"/>
      <c r="AI324" s="40"/>
      <c r="AJ324" s="40"/>
      <c r="AK324" s="40"/>
      <c r="AL324" s="22"/>
    </row>
    <row r="325" spans="1:38" ht="17.399999999999999">
      <c r="A325" s="22"/>
      <c r="B325" s="22"/>
      <c r="C325" s="56"/>
      <c r="D325" s="56"/>
      <c r="E325" s="22"/>
      <c r="F325" s="22"/>
      <c r="G325" s="22"/>
      <c r="H325" s="22"/>
      <c r="I325" s="49"/>
      <c r="J325" s="50"/>
      <c r="K325" s="22"/>
      <c r="L325" s="22"/>
      <c r="M325" s="22"/>
      <c r="N325" s="22"/>
      <c r="O325" s="22"/>
      <c r="P325" s="46"/>
      <c r="Q325" s="40"/>
      <c r="R325" s="41"/>
      <c r="S325" s="22"/>
      <c r="T325" s="41"/>
      <c r="U325" s="44"/>
      <c r="V325" s="44"/>
      <c r="W325" s="46"/>
      <c r="X325" s="46"/>
      <c r="Y325" s="46"/>
      <c r="Z325" s="22"/>
      <c r="AA325" s="22"/>
      <c r="AB325" s="22"/>
      <c r="AC325" s="22"/>
      <c r="AD325" s="22"/>
      <c r="AE325" s="22"/>
      <c r="AF325" s="48"/>
      <c r="AG325" s="48"/>
      <c r="AH325" s="48"/>
      <c r="AI325" s="40"/>
      <c r="AJ325" s="40"/>
      <c r="AK325" s="40"/>
      <c r="AL325" s="22"/>
    </row>
    <row r="326" spans="1:38" ht="17.399999999999999">
      <c r="A326" s="22"/>
      <c r="B326" s="22"/>
      <c r="C326" s="56"/>
      <c r="D326" s="56"/>
      <c r="E326" s="22"/>
      <c r="F326" s="22"/>
      <c r="G326" s="22"/>
      <c r="H326" s="22"/>
      <c r="I326" s="49"/>
      <c r="J326" s="50"/>
      <c r="K326" s="22"/>
      <c r="L326" s="22"/>
      <c r="M326" s="22"/>
      <c r="N326" s="22"/>
      <c r="O326" s="22"/>
      <c r="P326" s="46"/>
      <c r="Q326" s="40"/>
      <c r="R326" s="41"/>
      <c r="S326" s="22"/>
      <c r="T326" s="41"/>
      <c r="U326" s="44"/>
      <c r="V326" s="44"/>
      <c r="W326" s="46"/>
      <c r="X326" s="46"/>
      <c r="Y326" s="46"/>
      <c r="Z326" s="22"/>
      <c r="AA326" s="22"/>
      <c r="AB326" s="22"/>
      <c r="AC326" s="22"/>
      <c r="AD326" s="22"/>
      <c r="AE326" s="22"/>
      <c r="AF326" s="48"/>
      <c r="AG326" s="48"/>
      <c r="AH326" s="48"/>
      <c r="AI326" s="40"/>
      <c r="AJ326" s="40"/>
      <c r="AK326" s="40"/>
      <c r="AL326" s="22"/>
    </row>
    <row r="327" spans="1:38" ht="17.399999999999999">
      <c r="A327" s="22"/>
      <c r="B327" s="22"/>
      <c r="C327" s="56"/>
      <c r="D327" s="56"/>
      <c r="E327" s="22"/>
      <c r="F327" s="22"/>
      <c r="G327" s="22"/>
      <c r="H327" s="22"/>
      <c r="I327" s="49"/>
      <c r="J327" s="50"/>
      <c r="K327" s="22"/>
      <c r="L327" s="22"/>
      <c r="M327" s="22"/>
      <c r="N327" s="22"/>
      <c r="O327" s="22"/>
      <c r="P327" s="46"/>
      <c r="Q327" s="40"/>
      <c r="R327" s="41"/>
      <c r="S327" s="22"/>
      <c r="T327" s="41"/>
      <c r="U327" s="44"/>
      <c r="V327" s="44"/>
      <c r="W327" s="46"/>
      <c r="X327" s="46"/>
      <c r="Y327" s="46"/>
      <c r="Z327" s="22"/>
      <c r="AA327" s="22"/>
      <c r="AB327" s="22"/>
      <c r="AC327" s="22"/>
      <c r="AD327" s="22"/>
      <c r="AE327" s="22"/>
      <c r="AF327" s="48"/>
      <c r="AG327" s="48"/>
      <c r="AH327" s="48"/>
      <c r="AI327" s="40"/>
      <c r="AJ327" s="40"/>
      <c r="AK327" s="40"/>
      <c r="AL327" s="22"/>
    </row>
    <row r="328" spans="1:38" ht="17.399999999999999">
      <c r="A328" s="22"/>
      <c r="B328" s="22"/>
      <c r="C328" s="56"/>
      <c r="D328" s="56"/>
      <c r="E328" s="22"/>
      <c r="F328" s="22"/>
      <c r="G328" s="22"/>
      <c r="H328" s="22"/>
      <c r="I328" s="49"/>
      <c r="J328" s="50"/>
      <c r="K328" s="22"/>
      <c r="L328" s="22"/>
      <c r="M328" s="22"/>
      <c r="N328" s="22"/>
      <c r="O328" s="22"/>
      <c r="P328" s="46"/>
      <c r="Q328" s="40"/>
      <c r="R328" s="41"/>
      <c r="S328" s="22"/>
      <c r="T328" s="41"/>
      <c r="U328" s="44"/>
      <c r="V328" s="44"/>
      <c r="W328" s="46"/>
      <c r="X328" s="46"/>
      <c r="Y328" s="46"/>
      <c r="Z328" s="22"/>
      <c r="AA328" s="22"/>
      <c r="AB328" s="22"/>
      <c r="AC328" s="22"/>
      <c r="AD328" s="22"/>
      <c r="AE328" s="22"/>
      <c r="AF328" s="48"/>
      <c r="AG328" s="48"/>
      <c r="AH328" s="48"/>
      <c r="AI328" s="40"/>
      <c r="AJ328" s="40"/>
      <c r="AK328" s="40"/>
      <c r="AL328" s="22"/>
    </row>
    <row r="329" spans="1:38" ht="17.399999999999999">
      <c r="A329" s="22"/>
      <c r="B329" s="22"/>
      <c r="C329" s="56"/>
      <c r="D329" s="56"/>
      <c r="E329" s="22"/>
      <c r="F329" s="22"/>
      <c r="G329" s="22"/>
      <c r="H329" s="22"/>
      <c r="I329" s="49"/>
      <c r="J329" s="50"/>
      <c r="K329" s="22"/>
      <c r="L329" s="22"/>
      <c r="M329" s="22"/>
      <c r="N329" s="22"/>
      <c r="O329" s="22"/>
      <c r="P329" s="46"/>
      <c r="Q329" s="40"/>
      <c r="R329" s="41"/>
      <c r="S329" s="22"/>
      <c r="T329" s="41"/>
      <c r="U329" s="44"/>
      <c r="V329" s="44"/>
      <c r="W329" s="46"/>
      <c r="X329" s="46"/>
      <c r="Y329" s="46"/>
      <c r="Z329" s="22"/>
      <c r="AA329" s="22"/>
      <c r="AB329" s="22"/>
      <c r="AC329" s="22"/>
      <c r="AD329" s="22"/>
      <c r="AE329" s="22"/>
      <c r="AF329" s="48"/>
      <c r="AG329" s="48"/>
      <c r="AH329" s="48"/>
      <c r="AI329" s="40"/>
      <c r="AJ329" s="40"/>
      <c r="AK329" s="40"/>
      <c r="AL329" s="22"/>
    </row>
    <row r="330" spans="1:38" ht="17.399999999999999">
      <c r="A330" s="22"/>
      <c r="B330" s="22"/>
      <c r="C330" s="56"/>
      <c r="D330" s="56"/>
      <c r="E330" s="22"/>
      <c r="F330" s="22"/>
      <c r="G330" s="22"/>
      <c r="H330" s="22"/>
      <c r="I330" s="49"/>
      <c r="J330" s="50"/>
      <c r="K330" s="22"/>
      <c r="L330" s="22"/>
      <c r="M330" s="22"/>
      <c r="N330" s="22"/>
      <c r="O330" s="22"/>
      <c r="P330" s="46"/>
      <c r="Q330" s="40"/>
      <c r="R330" s="41"/>
      <c r="S330" s="22"/>
      <c r="T330" s="41"/>
      <c r="U330" s="44"/>
      <c r="V330" s="44"/>
      <c r="W330" s="46"/>
      <c r="X330" s="46"/>
      <c r="Y330" s="46"/>
      <c r="Z330" s="22"/>
      <c r="AA330" s="22"/>
      <c r="AB330" s="22"/>
      <c r="AC330" s="22"/>
      <c r="AD330" s="22"/>
      <c r="AE330" s="22"/>
      <c r="AF330" s="48"/>
      <c r="AG330" s="48"/>
      <c r="AH330" s="48"/>
      <c r="AI330" s="40"/>
      <c r="AJ330" s="40"/>
      <c r="AK330" s="40"/>
      <c r="AL330" s="22"/>
    </row>
    <row r="331" spans="1:38" ht="17.399999999999999">
      <c r="A331" s="22"/>
      <c r="B331" s="22"/>
      <c r="C331" s="56"/>
      <c r="D331" s="56"/>
      <c r="E331" s="22"/>
      <c r="F331" s="22"/>
      <c r="G331" s="22"/>
      <c r="H331" s="22"/>
      <c r="I331" s="49"/>
      <c r="J331" s="50"/>
      <c r="K331" s="22"/>
      <c r="L331" s="22"/>
      <c r="M331" s="22"/>
      <c r="N331" s="22"/>
      <c r="O331" s="22"/>
      <c r="P331" s="46"/>
      <c r="Q331" s="40"/>
      <c r="R331" s="41"/>
      <c r="S331" s="22"/>
      <c r="T331" s="41"/>
      <c r="U331" s="44"/>
      <c r="V331" s="44"/>
      <c r="W331" s="46"/>
      <c r="X331" s="46"/>
      <c r="Y331" s="46"/>
      <c r="Z331" s="22"/>
      <c r="AA331" s="22"/>
      <c r="AB331" s="22"/>
      <c r="AC331" s="22"/>
      <c r="AD331" s="22"/>
      <c r="AE331" s="22"/>
      <c r="AF331" s="48"/>
      <c r="AG331" s="48"/>
      <c r="AH331" s="48"/>
      <c r="AI331" s="40"/>
      <c r="AJ331" s="40"/>
      <c r="AK331" s="40"/>
      <c r="AL331" s="22"/>
    </row>
    <row r="332" spans="1:38" ht="17.399999999999999">
      <c r="A332" s="22"/>
      <c r="B332" s="22"/>
      <c r="C332" s="56"/>
      <c r="D332" s="56"/>
      <c r="E332" s="22"/>
      <c r="F332" s="22"/>
      <c r="G332" s="22"/>
      <c r="H332" s="22"/>
      <c r="I332" s="49"/>
      <c r="J332" s="50"/>
      <c r="K332" s="22"/>
      <c r="L332" s="22"/>
      <c r="M332" s="22"/>
      <c r="N332" s="22"/>
      <c r="O332" s="22"/>
      <c r="P332" s="46"/>
      <c r="Q332" s="40"/>
      <c r="R332" s="41"/>
      <c r="S332" s="22"/>
      <c r="T332" s="41"/>
      <c r="U332" s="44"/>
      <c r="V332" s="44"/>
      <c r="W332" s="46"/>
      <c r="X332" s="46"/>
      <c r="Y332" s="46"/>
      <c r="Z332" s="22"/>
      <c r="AA332" s="22"/>
      <c r="AB332" s="22"/>
      <c r="AC332" s="22"/>
      <c r="AD332" s="22"/>
      <c r="AE332" s="22"/>
      <c r="AF332" s="48"/>
      <c r="AG332" s="48"/>
      <c r="AH332" s="48"/>
      <c r="AI332" s="40"/>
      <c r="AJ332" s="40"/>
      <c r="AK332" s="40"/>
      <c r="AL332" s="22"/>
    </row>
    <row r="333" spans="1:38" ht="17.399999999999999">
      <c r="A333" s="22"/>
      <c r="B333" s="22"/>
      <c r="C333" s="56"/>
      <c r="D333" s="56"/>
      <c r="E333" s="22"/>
      <c r="F333" s="22"/>
      <c r="G333" s="22"/>
      <c r="H333" s="22"/>
      <c r="I333" s="49"/>
      <c r="J333" s="50"/>
      <c r="K333" s="22"/>
      <c r="L333" s="22"/>
      <c r="M333" s="22"/>
      <c r="N333" s="22"/>
      <c r="O333" s="22"/>
      <c r="P333" s="46"/>
      <c r="Q333" s="40"/>
      <c r="R333" s="41"/>
      <c r="S333" s="22"/>
      <c r="T333" s="41"/>
      <c r="U333" s="44"/>
      <c r="V333" s="44"/>
      <c r="W333" s="46"/>
      <c r="X333" s="46"/>
      <c r="Y333" s="46"/>
      <c r="Z333" s="22"/>
      <c r="AA333" s="22"/>
      <c r="AB333" s="22"/>
      <c r="AC333" s="22"/>
      <c r="AD333" s="22"/>
      <c r="AE333" s="22"/>
      <c r="AF333" s="48"/>
      <c r="AG333" s="48"/>
      <c r="AH333" s="48"/>
      <c r="AI333" s="40"/>
      <c r="AJ333" s="40"/>
      <c r="AK333" s="40"/>
      <c r="AL333" s="22"/>
    </row>
    <row r="334" spans="1:38" ht="17.399999999999999">
      <c r="A334" s="22"/>
      <c r="B334" s="22"/>
      <c r="C334" s="56"/>
      <c r="D334" s="56"/>
      <c r="E334" s="22"/>
      <c r="F334" s="22"/>
      <c r="G334" s="22"/>
      <c r="H334" s="22"/>
      <c r="I334" s="49"/>
      <c r="J334" s="50"/>
      <c r="K334" s="22"/>
      <c r="L334" s="22"/>
      <c r="M334" s="22"/>
      <c r="N334" s="22"/>
      <c r="O334" s="22"/>
      <c r="P334" s="46"/>
      <c r="Q334" s="40"/>
      <c r="R334" s="41"/>
      <c r="S334" s="22"/>
      <c r="T334" s="41"/>
      <c r="U334" s="44"/>
      <c r="V334" s="44"/>
      <c r="W334" s="46"/>
      <c r="X334" s="46"/>
      <c r="Y334" s="46"/>
      <c r="Z334" s="22"/>
      <c r="AA334" s="22"/>
      <c r="AB334" s="22"/>
      <c r="AC334" s="22"/>
      <c r="AD334" s="22"/>
      <c r="AE334" s="22"/>
      <c r="AF334" s="48"/>
      <c r="AG334" s="48"/>
      <c r="AH334" s="48"/>
      <c r="AI334" s="40"/>
      <c r="AJ334" s="40"/>
      <c r="AK334" s="40"/>
      <c r="AL334" s="22"/>
    </row>
    <row r="335" spans="1:38" ht="17.399999999999999">
      <c r="A335" s="22"/>
      <c r="B335" s="22"/>
      <c r="C335" s="56"/>
      <c r="D335" s="56"/>
      <c r="E335" s="22"/>
      <c r="F335" s="22"/>
      <c r="G335" s="22"/>
      <c r="H335" s="22"/>
      <c r="I335" s="49"/>
      <c r="J335" s="50"/>
      <c r="K335" s="22"/>
      <c r="L335" s="22"/>
      <c r="M335" s="22"/>
      <c r="N335" s="22"/>
      <c r="O335" s="22"/>
      <c r="P335" s="46"/>
      <c r="Q335" s="40"/>
      <c r="R335" s="41"/>
      <c r="S335" s="22"/>
      <c r="T335" s="41"/>
      <c r="U335" s="44"/>
      <c r="V335" s="44"/>
      <c r="W335" s="46"/>
      <c r="X335" s="46"/>
      <c r="Y335" s="46"/>
      <c r="Z335" s="22"/>
      <c r="AA335" s="22"/>
      <c r="AB335" s="22"/>
      <c r="AC335" s="22"/>
      <c r="AD335" s="22"/>
      <c r="AE335" s="22"/>
      <c r="AF335" s="48"/>
      <c r="AG335" s="48"/>
      <c r="AH335" s="48"/>
      <c r="AI335" s="40"/>
      <c r="AJ335" s="40"/>
      <c r="AK335" s="40"/>
      <c r="AL335" s="22"/>
    </row>
    <row r="336" spans="1:38" ht="17.399999999999999">
      <c r="A336" s="22"/>
      <c r="B336" s="22"/>
      <c r="C336" s="56"/>
      <c r="D336" s="56"/>
      <c r="E336" s="22"/>
      <c r="F336" s="22"/>
      <c r="G336" s="22"/>
      <c r="H336" s="22"/>
      <c r="I336" s="49"/>
      <c r="J336" s="50"/>
      <c r="K336" s="22"/>
      <c r="L336" s="22"/>
      <c r="M336" s="22"/>
      <c r="N336" s="22"/>
      <c r="O336" s="22"/>
      <c r="P336" s="46"/>
      <c r="Q336" s="40"/>
      <c r="R336" s="41"/>
      <c r="S336" s="22"/>
      <c r="T336" s="41"/>
      <c r="U336" s="44"/>
      <c r="V336" s="44"/>
      <c r="W336" s="46"/>
      <c r="X336" s="46"/>
      <c r="Y336" s="46"/>
      <c r="Z336" s="22"/>
      <c r="AA336" s="22"/>
      <c r="AB336" s="22"/>
      <c r="AC336" s="22"/>
      <c r="AD336" s="22"/>
      <c r="AE336" s="22"/>
      <c r="AF336" s="48"/>
      <c r="AG336" s="48"/>
      <c r="AH336" s="48"/>
      <c r="AI336" s="40"/>
      <c r="AJ336" s="40"/>
      <c r="AK336" s="40"/>
      <c r="AL336" s="22"/>
    </row>
    <row r="337" spans="1:38" ht="17.399999999999999">
      <c r="A337" s="22"/>
      <c r="B337" s="22"/>
      <c r="C337" s="56"/>
      <c r="D337" s="56"/>
      <c r="E337" s="22"/>
      <c r="F337" s="22"/>
      <c r="G337" s="22"/>
      <c r="H337" s="22"/>
      <c r="I337" s="49"/>
      <c r="J337" s="50"/>
      <c r="K337" s="22"/>
      <c r="L337" s="22"/>
      <c r="M337" s="22"/>
      <c r="N337" s="22"/>
      <c r="O337" s="22"/>
      <c r="P337" s="46"/>
      <c r="Q337" s="40"/>
      <c r="R337" s="41"/>
      <c r="S337" s="22"/>
      <c r="T337" s="41"/>
      <c r="U337" s="44"/>
      <c r="V337" s="44"/>
      <c r="W337" s="46"/>
      <c r="X337" s="46"/>
      <c r="Y337" s="46"/>
      <c r="Z337" s="22"/>
      <c r="AA337" s="22"/>
      <c r="AB337" s="22"/>
      <c r="AC337" s="22"/>
      <c r="AD337" s="22"/>
      <c r="AE337" s="22"/>
      <c r="AF337" s="48"/>
      <c r="AG337" s="48"/>
      <c r="AH337" s="48"/>
      <c r="AI337" s="40"/>
      <c r="AJ337" s="40"/>
      <c r="AK337" s="40"/>
      <c r="AL337" s="22"/>
    </row>
    <row r="338" spans="1:38" ht="17.399999999999999">
      <c r="A338" s="22"/>
      <c r="B338" s="22"/>
      <c r="C338" s="56"/>
      <c r="D338" s="56"/>
      <c r="E338" s="22"/>
      <c r="F338" s="22"/>
      <c r="G338" s="22"/>
      <c r="H338" s="22"/>
      <c r="I338" s="49"/>
      <c r="J338" s="50"/>
      <c r="K338" s="22"/>
      <c r="L338" s="22"/>
      <c r="M338" s="22"/>
      <c r="N338" s="22"/>
      <c r="O338" s="22"/>
      <c r="P338" s="46"/>
      <c r="Q338" s="40"/>
      <c r="R338" s="41"/>
      <c r="S338" s="22"/>
      <c r="T338" s="41"/>
      <c r="U338" s="44"/>
      <c r="V338" s="44"/>
      <c r="W338" s="46"/>
      <c r="X338" s="46"/>
      <c r="Y338" s="46"/>
      <c r="Z338" s="22"/>
      <c r="AA338" s="22"/>
      <c r="AB338" s="22"/>
      <c r="AC338" s="22"/>
      <c r="AD338" s="22"/>
      <c r="AE338" s="22"/>
      <c r="AF338" s="48"/>
      <c r="AG338" s="48"/>
      <c r="AH338" s="48"/>
      <c r="AI338" s="40"/>
      <c r="AJ338" s="40"/>
      <c r="AK338" s="40"/>
      <c r="AL338" s="22"/>
    </row>
    <row r="339" spans="1:38" ht="17.399999999999999">
      <c r="A339" s="22"/>
      <c r="B339" s="22"/>
      <c r="C339" s="56"/>
      <c r="D339" s="56"/>
      <c r="E339" s="22"/>
      <c r="F339" s="22"/>
      <c r="G339" s="22"/>
      <c r="H339" s="22"/>
      <c r="I339" s="49"/>
      <c r="J339" s="50"/>
      <c r="K339" s="22"/>
      <c r="L339" s="22"/>
      <c r="M339" s="22"/>
      <c r="N339" s="22"/>
      <c r="O339" s="22"/>
      <c r="P339" s="46"/>
      <c r="Q339" s="40"/>
      <c r="R339" s="41"/>
      <c r="S339" s="22"/>
      <c r="T339" s="41"/>
      <c r="U339" s="44"/>
      <c r="V339" s="44"/>
      <c r="W339" s="46"/>
      <c r="X339" s="46"/>
      <c r="Y339" s="46"/>
      <c r="Z339" s="22"/>
      <c r="AA339" s="22"/>
      <c r="AB339" s="22"/>
      <c r="AC339" s="22"/>
      <c r="AD339" s="22"/>
      <c r="AE339" s="22"/>
      <c r="AF339" s="48"/>
      <c r="AG339" s="48"/>
      <c r="AH339" s="48"/>
      <c r="AI339" s="40"/>
      <c r="AJ339" s="40"/>
      <c r="AK339" s="40"/>
      <c r="AL339" s="22"/>
    </row>
    <row r="340" spans="1:38" ht="17.399999999999999">
      <c r="A340" s="22"/>
      <c r="B340" s="22"/>
      <c r="C340" s="56"/>
      <c r="D340" s="56"/>
      <c r="E340" s="22"/>
      <c r="F340" s="22"/>
      <c r="G340" s="22"/>
      <c r="H340" s="22"/>
      <c r="I340" s="49"/>
      <c r="J340" s="50"/>
      <c r="K340" s="22"/>
      <c r="L340" s="22"/>
      <c r="M340" s="22"/>
      <c r="N340" s="22"/>
      <c r="O340" s="22"/>
      <c r="P340" s="46"/>
      <c r="Q340" s="40"/>
      <c r="R340" s="41"/>
      <c r="S340" s="22"/>
      <c r="T340" s="41"/>
      <c r="U340" s="44"/>
      <c r="V340" s="44"/>
      <c r="W340" s="46"/>
      <c r="X340" s="46"/>
      <c r="Y340" s="46"/>
      <c r="Z340" s="22"/>
      <c r="AA340" s="22"/>
      <c r="AB340" s="22"/>
      <c r="AC340" s="22"/>
      <c r="AD340" s="22"/>
      <c r="AE340" s="22"/>
      <c r="AF340" s="48"/>
      <c r="AG340" s="48"/>
      <c r="AH340" s="48"/>
      <c r="AI340" s="40"/>
      <c r="AJ340" s="40"/>
      <c r="AK340" s="40"/>
      <c r="AL340" s="22"/>
    </row>
    <row r="341" spans="1:38" ht="17.399999999999999">
      <c r="A341" s="22"/>
      <c r="B341" s="22"/>
      <c r="C341" s="56"/>
      <c r="D341" s="56"/>
      <c r="E341" s="22"/>
      <c r="F341" s="22"/>
      <c r="G341" s="22"/>
      <c r="H341" s="22"/>
      <c r="I341" s="49"/>
      <c r="J341" s="50"/>
      <c r="K341" s="22"/>
      <c r="L341" s="22"/>
      <c r="M341" s="22"/>
      <c r="N341" s="22"/>
      <c r="O341" s="22"/>
      <c r="P341" s="46"/>
      <c r="Q341" s="40"/>
      <c r="R341" s="41"/>
      <c r="S341" s="22"/>
      <c r="T341" s="41"/>
      <c r="U341" s="44"/>
      <c r="V341" s="44"/>
      <c r="W341" s="46"/>
      <c r="X341" s="46"/>
      <c r="Y341" s="46"/>
      <c r="Z341" s="22"/>
      <c r="AA341" s="22"/>
      <c r="AB341" s="22"/>
      <c r="AC341" s="22"/>
      <c r="AD341" s="22"/>
      <c r="AE341" s="22"/>
      <c r="AF341" s="48"/>
      <c r="AG341" s="48"/>
      <c r="AH341" s="48"/>
      <c r="AI341" s="40"/>
      <c r="AJ341" s="40"/>
      <c r="AK341" s="40"/>
      <c r="AL341" s="22"/>
    </row>
    <row r="342" spans="1:38" ht="17.399999999999999">
      <c r="A342" s="22"/>
      <c r="B342" s="22"/>
      <c r="C342" s="56"/>
      <c r="D342" s="56"/>
      <c r="E342" s="22"/>
      <c r="F342" s="22"/>
      <c r="G342" s="22"/>
      <c r="H342" s="22"/>
      <c r="I342" s="49"/>
      <c r="J342" s="50"/>
      <c r="K342" s="22"/>
      <c r="L342" s="22"/>
      <c r="M342" s="22"/>
      <c r="N342" s="22"/>
      <c r="O342" s="22"/>
      <c r="P342" s="46"/>
      <c r="Q342" s="40"/>
      <c r="R342" s="41"/>
      <c r="S342" s="22"/>
      <c r="T342" s="41"/>
      <c r="U342" s="44"/>
      <c r="V342" s="44"/>
      <c r="W342" s="46"/>
      <c r="X342" s="46"/>
      <c r="Y342" s="46"/>
      <c r="Z342" s="22"/>
      <c r="AA342" s="22"/>
      <c r="AB342" s="22"/>
      <c r="AC342" s="22"/>
      <c r="AD342" s="22"/>
      <c r="AE342" s="22"/>
      <c r="AF342" s="48"/>
      <c r="AG342" s="48"/>
      <c r="AH342" s="48"/>
      <c r="AI342" s="40"/>
      <c r="AJ342" s="40"/>
      <c r="AK342" s="40"/>
      <c r="AL342" s="22"/>
    </row>
    <row r="343" spans="1:38" ht="17.399999999999999">
      <c r="A343" s="22"/>
      <c r="B343" s="22"/>
      <c r="C343" s="56"/>
      <c r="D343" s="56"/>
      <c r="E343" s="22"/>
      <c r="F343" s="22"/>
      <c r="G343" s="22"/>
      <c r="H343" s="22"/>
      <c r="I343" s="49"/>
      <c r="J343" s="50"/>
      <c r="K343" s="22"/>
      <c r="L343" s="22"/>
      <c r="M343" s="22"/>
      <c r="N343" s="22"/>
      <c r="O343" s="22"/>
      <c r="P343" s="46"/>
      <c r="Q343" s="40"/>
      <c r="R343" s="41"/>
      <c r="S343" s="22" t="str">
        <f t="shared" ref="S343:S406" si="23">IF(A343="","",M343+O343)</f>
        <v/>
      </c>
      <c r="T343" s="41"/>
      <c r="U343" s="44"/>
      <c r="V343" s="44"/>
      <c r="W343" s="46"/>
      <c r="X343" s="46"/>
      <c r="Y343" s="46"/>
      <c r="Z343" s="22"/>
      <c r="AA343" s="22"/>
      <c r="AB343" s="22"/>
      <c r="AC343" s="22"/>
      <c r="AD343" s="22"/>
      <c r="AE343" s="22"/>
      <c r="AF343" s="48" t="str">
        <f t="shared" ref="AF343:AF406" si="24">IF(A343="","",S343-X343)</f>
        <v/>
      </c>
      <c r="AG343" s="48" t="str">
        <f t="shared" ref="AG343:AG406" si="25">IF(A343="","",X343-(AB343+AE343))</f>
        <v/>
      </c>
      <c r="AH343" s="48" t="str">
        <f t="shared" ref="AH343:AH406" si="26">IF(A343="","",AF343+AG343)</f>
        <v/>
      </c>
      <c r="AI343" s="40" t="str">
        <f t="shared" ref="AI343:AI406" si="27">IF(A343="","",R343+21)</f>
        <v/>
      </c>
      <c r="AJ343" s="40"/>
      <c r="AK343" s="40"/>
      <c r="AL343" s="22"/>
    </row>
    <row r="344" spans="1:38" ht="17.399999999999999">
      <c r="A344" s="22"/>
      <c r="B344" s="22"/>
      <c r="C344" s="56"/>
      <c r="D344" s="56"/>
      <c r="E344" s="22"/>
      <c r="F344" s="22"/>
      <c r="G344" s="22"/>
      <c r="H344" s="22"/>
      <c r="I344" s="49"/>
      <c r="J344" s="50"/>
      <c r="K344" s="22"/>
      <c r="L344" s="22"/>
      <c r="M344" s="22"/>
      <c r="N344" s="22"/>
      <c r="O344" s="22"/>
      <c r="P344" s="46"/>
      <c r="Q344" s="40"/>
      <c r="R344" s="41"/>
      <c r="S344" s="22" t="str">
        <f t="shared" si="23"/>
        <v/>
      </c>
      <c r="T344" s="41"/>
      <c r="U344" s="44"/>
      <c r="V344" s="44"/>
      <c r="W344" s="46"/>
      <c r="X344" s="46"/>
      <c r="Y344" s="46"/>
      <c r="Z344" s="22"/>
      <c r="AA344" s="22"/>
      <c r="AB344" s="22"/>
      <c r="AC344" s="22"/>
      <c r="AD344" s="22"/>
      <c r="AE344" s="22"/>
      <c r="AF344" s="48" t="str">
        <f t="shared" si="24"/>
        <v/>
      </c>
      <c r="AG344" s="48" t="str">
        <f t="shared" si="25"/>
        <v/>
      </c>
      <c r="AH344" s="48" t="str">
        <f t="shared" si="26"/>
        <v/>
      </c>
      <c r="AI344" s="40" t="str">
        <f t="shared" si="27"/>
        <v/>
      </c>
      <c r="AJ344" s="40"/>
      <c r="AK344" s="40"/>
      <c r="AL344" s="22"/>
    </row>
    <row r="345" spans="1:38" ht="17.399999999999999">
      <c r="A345" s="22"/>
      <c r="B345" s="22"/>
      <c r="C345" s="56"/>
      <c r="D345" s="56"/>
      <c r="E345" s="22"/>
      <c r="F345" s="22"/>
      <c r="G345" s="22"/>
      <c r="H345" s="22"/>
      <c r="I345" s="49"/>
      <c r="J345" s="50"/>
      <c r="K345" s="22"/>
      <c r="L345" s="22"/>
      <c r="M345" s="22"/>
      <c r="N345" s="22"/>
      <c r="O345" s="22"/>
      <c r="P345" s="46"/>
      <c r="Q345" s="40"/>
      <c r="R345" s="41"/>
      <c r="S345" s="22" t="str">
        <f t="shared" si="23"/>
        <v/>
      </c>
      <c r="T345" s="41"/>
      <c r="U345" s="44"/>
      <c r="V345" s="44"/>
      <c r="W345" s="46"/>
      <c r="X345" s="46"/>
      <c r="Y345" s="46"/>
      <c r="Z345" s="22"/>
      <c r="AA345" s="22"/>
      <c r="AB345" s="22"/>
      <c r="AC345" s="22"/>
      <c r="AD345" s="22"/>
      <c r="AE345" s="22"/>
      <c r="AF345" s="48" t="str">
        <f t="shared" si="24"/>
        <v/>
      </c>
      <c r="AG345" s="48" t="str">
        <f t="shared" si="25"/>
        <v/>
      </c>
      <c r="AH345" s="48" t="str">
        <f t="shared" si="26"/>
        <v/>
      </c>
      <c r="AI345" s="40" t="str">
        <f t="shared" si="27"/>
        <v/>
      </c>
      <c r="AJ345" s="40"/>
      <c r="AK345" s="40"/>
      <c r="AL345" s="22"/>
    </row>
    <row r="346" spans="1:38" ht="17.399999999999999">
      <c r="A346" s="22"/>
      <c r="B346" s="22"/>
      <c r="C346" s="56"/>
      <c r="D346" s="56"/>
      <c r="E346" s="22"/>
      <c r="F346" s="22"/>
      <c r="G346" s="22"/>
      <c r="H346" s="22"/>
      <c r="I346" s="49"/>
      <c r="J346" s="50"/>
      <c r="K346" s="22"/>
      <c r="L346" s="22"/>
      <c r="M346" s="22"/>
      <c r="N346" s="22"/>
      <c r="O346" s="22"/>
      <c r="P346" s="46"/>
      <c r="Q346" s="40"/>
      <c r="R346" s="41"/>
      <c r="S346" s="22" t="str">
        <f t="shared" si="23"/>
        <v/>
      </c>
      <c r="T346" s="41"/>
      <c r="U346" s="44"/>
      <c r="V346" s="44"/>
      <c r="W346" s="46"/>
      <c r="X346" s="46"/>
      <c r="Y346" s="46"/>
      <c r="Z346" s="22"/>
      <c r="AA346" s="22"/>
      <c r="AB346" s="22"/>
      <c r="AC346" s="22"/>
      <c r="AD346" s="22"/>
      <c r="AE346" s="22"/>
      <c r="AF346" s="48" t="str">
        <f t="shared" si="24"/>
        <v/>
      </c>
      <c r="AG346" s="48" t="str">
        <f t="shared" si="25"/>
        <v/>
      </c>
      <c r="AH346" s="48" t="str">
        <f t="shared" si="26"/>
        <v/>
      </c>
      <c r="AI346" s="40" t="str">
        <f t="shared" si="27"/>
        <v/>
      </c>
      <c r="AJ346" s="40"/>
      <c r="AK346" s="40"/>
      <c r="AL346" s="22"/>
    </row>
    <row r="347" spans="1:38" ht="17.399999999999999">
      <c r="A347" s="22"/>
      <c r="B347" s="22"/>
      <c r="C347" s="56"/>
      <c r="D347" s="56"/>
      <c r="E347" s="22"/>
      <c r="F347" s="22"/>
      <c r="G347" s="22"/>
      <c r="H347" s="22"/>
      <c r="I347" s="49"/>
      <c r="J347" s="50"/>
      <c r="K347" s="22"/>
      <c r="L347" s="22"/>
      <c r="M347" s="22"/>
      <c r="N347" s="22"/>
      <c r="O347" s="22"/>
      <c r="P347" s="46"/>
      <c r="Q347" s="40"/>
      <c r="R347" s="41"/>
      <c r="S347" s="22" t="str">
        <f t="shared" si="23"/>
        <v/>
      </c>
      <c r="T347" s="41"/>
      <c r="U347" s="44"/>
      <c r="V347" s="44"/>
      <c r="W347" s="46"/>
      <c r="X347" s="46"/>
      <c r="Y347" s="46"/>
      <c r="Z347" s="22"/>
      <c r="AA347" s="22"/>
      <c r="AB347" s="22"/>
      <c r="AC347" s="22"/>
      <c r="AD347" s="22"/>
      <c r="AE347" s="22"/>
      <c r="AF347" s="48" t="str">
        <f t="shared" si="24"/>
        <v/>
      </c>
      <c r="AG347" s="48" t="str">
        <f t="shared" si="25"/>
        <v/>
      </c>
      <c r="AH347" s="48" t="str">
        <f t="shared" si="26"/>
        <v/>
      </c>
      <c r="AI347" s="40" t="str">
        <f t="shared" si="27"/>
        <v/>
      </c>
      <c r="AJ347" s="40"/>
      <c r="AK347" s="40"/>
      <c r="AL347" s="22"/>
    </row>
    <row r="348" spans="1:38" ht="17.399999999999999">
      <c r="A348" s="22"/>
      <c r="B348" s="22"/>
      <c r="C348" s="56"/>
      <c r="D348" s="56"/>
      <c r="E348" s="22"/>
      <c r="F348" s="22"/>
      <c r="G348" s="22"/>
      <c r="H348" s="22"/>
      <c r="I348" s="49"/>
      <c r="J348" s="50"/>
      <c r="K348" s="22"/>
      <c r="L348" s="22"/>
      <c r="M348" s="22"/>
      <c r="N348" s="22"/>
      <c r="O348" s="22"/>
      <c r="P348" s="46"/>
      <c r="Q348" s="40"/>
      <c r="R348" s="41"/>
      <c r="S348" s="22" t="str">
        <f t="shared" si="23"/>
        <v/>
      </c>
      <c r="T348" s="41"/>
      <c r="U348" s="44"/>
      <c r="V348" s="44"/>
      <c r="W348" s="46"/>
      <c r="X348" s="46"/>
      <c r="Y348" s="46"/>
      <c r="Z348" s="22"/>
      <c r="AA348" s="22"/>
      <c r="AB348" s="22"/>
      <c r="AC348" s="22"/>
      <c r="AD348" s="22"/>
      <c r="AE348" s="22"/>
      <c r="AF348" s="48" t="str">
        <f t="shared" si="24"/>
        <v/>
      </c>
      <c r="AG348" s="48" t="str">
        <f t="shared" si="25"/>
        <v/>
      </c>
      <c r="AH348" s="48" t="str">
        <f t="shared" si="26"/>
        <v/>
      </c>
      <c r="AI348" s="40" t="str">
        <f t="shared" si="27"/>
        <v/>
      </c>
      <c r="AJ348" s="40"/>
      <c r="AK348" s="40"/>
      <c r="AL348" s="22"/>
    </row>
    <row r="349" spans="1:38" ht="17.399999999999999">
      <c r="A349" s="22"/>
      <c r="B349" s="22"/>
      <c r="C349" s="56"/>
      <c r="D349" s="56"/>
      <c r="E349" s="22"/>
      <c r="F349" s="22"/>
      <c r="G349" s="22"/>
      <c r="H349" s="22"/>
      <c r="I349" s="49"/>
      <c r="J349" s="50"/>
      <c r="K349" s="22"/>
      <c r="L349" s="22"/>
      <c r="M349" s="22"/>
      <c r="N349" s="22"/>
      <c r="O349" s="22"/>
      <c r="P349" s="46"/>
      <c r="Q349" s="40"/>
      <c r="R349" s="41"/>
      <c r="S349" s="22" t="str">
        <f t="shared" si="23"/>
        <v/>
      </c>
      <c r="T349" s="41"/>
      <c r="U349" s="44"/>
      <c r="V349" s="44"/>
      <c r="W349" s="46"/>
      <c r="X349" s="46"/>
      <c r="Y349" s="46"/>
      <c r="Z349" s="22"/>
      <c r="AA349" s="22"/>
      <c r="AB349" s="22"/>
      <c r="AC349" s="22"/>
      <c r="AD349" s="22"/>
      <c r="AE349" s="22"/>
      <c r="AF349" s="48" t="str">
        <f t="shared" si="24"/>
        <v/>
      </c>
      <c r="AG349" s="48" t="str">
        <f t="shared" si="25"/>
        <v/>
      </c>
      <c r="AH349" s="48" t="str">
        <f t="shared" si="26"/>
        <v/>
      </c>
      <c r="AI349" s="40" t="str">
        <f t="shared" si="27"/>
        <v/>
      </c>
      <c r="AJ349" s="40"/>
      <c r="AK349" s="40"/>
      <c r="AL349" s="22"/>
    </row>
    <row r="350" spans="1:38" ht="17.399999999999999">
      <c r="A350" s="22"/>
      <c r="B350" s="22"/>
      <c r="C350" s="56"/>
      <c r="D350" s="56"/>
      <c r="E350" s="22"/>
      <c r="F350" s="22"/>
      <c r="G350" s="22"/>
      <c r="H350" s="22"/>
      <c r="I350" s="49"/>
      <c r="J350" s="50"/>
      <c r="K350" s="22"/>
      <c r="L350" s="22"/>
      <c r="M350" s="22"/>
      <c r="N350" s="22"/>
      <c r="O350" s="22"/>
      <c r="P350" s="46"/>
      <c r="Q350" s="40"/>
      <c r="R350" s="41"/>
      <c r="S350" s="22" t="str">
        <f t="shared" si="23"/>
        <v/>
      </c>
      <c r="T350" s="41"/>
      <c r="U350" s="44"/>
      <c r="V350" s="44"/>
      <c r="W350" s="46"/>
      <c r="X350" s="46"/>
      <c r="Y350" s="46"/>
      <c r="Z350" s="22"/>
      <c r="AA350" s="22"/>
      <c r="AB350" s="22"/>
      <c r="AC350" s="22"/>
      <c r="AD350" s="22"/>
      <c r="AE350" s="22"/>
      <c r="AF350" s="48" t="str">
        <f t="shared" si="24"/>
        <v/>
      </c>
      <c r="AG350" s="48" t="str">
        <f t="shared" si="25"/>
        <v/>
      </c>
      <c r="AH350" s="48" t="str">
        <f t="shared" si="26"/>
        <v/>
      </c>
      <c r="AI350" s="40" t="str">
        <f t="shared" si="27"/>
        <v/>
      </c>
      <c r="AJ350" s="40"/>
      <c r="AK350" s="40"/>
      <c r="AL350" s="22"/>
    </row>
    <row r="351" spans="1:38" ht="17.399999999999999">
      <c r="A351" s="22"/>
      <c r="B351" s="22"/>
      <c r="C351" s="56"/>
      <c r="D351" s="56"/>
      <c r="E351" s="22"/>
      <c r="F351" s="22"/>
      <c r="G351" s="22"/>
      <c r="H351" s="22"/>
      <c r="I351" s="49"/>
      <c r="J351" s="50"/>
      <c r="K351" s="22"/>
      <c r="L351" s="22"/>
      <c r="M351" s="22"/>
      <c r="N351" s="22"/>
      <c r="O351" s="22"/>
      <c r="P351" s="46"/>
      <c r="Q351" s="40"/>
      <c r="R351" s="41"/>
      <c r="S351" s="22" t="str">
        <f t="shared" si="23"/>
        <v/>
      </c>
      <c r="T351" s="41"/>
      <c r="U351" s="44"/>
      <c r="V351" s="44"/>
      <c r="W351" s="46"/>
      <c r="X351" s="46"/>
      <c r="Y351" s="46"/>
      <c r="Z351" s="22"/>
      <c r="AA351" s="22"/>
      <c r="AB351" s="22"/>
      <c r="AC351" s="22"/>
      <c r="AD351" s="22"/>
      <c r="AE351" s="22"/>
      <c r="AF351" s="48" t="str">
        <f t="shared" si="24"/>
        <v/>
      </c>
      <c r="AG351" s="48" t="str">
        <f t="shared" si="25"/>
        <v/>
      </c>
      <c r="AH351" s="48" t="str">
        <f t="shared" si="26"/>
        <v/>
      </c>
      <c r="AI351" s="40" t="str">
        <f t="shared" si="27"/>
        <v/>
      </c>
      <c r="AJ351" s="40"/>
      <c r="AK351" s="40"/>
      <c r="AL351" s="22"/>
    </row>
    <row r="352" spans="1:38" ht="17.399999999999999">
      <c r="A352" s="22"/>
      <c r="B352" s="22"/>
      <c r="C352" s="56"/>
      <c r="D352" s="56"/>
      <c r="E352" s="22"/>
      <c r="F352" s="22"/>
      <c r="G352" s="22"/>
      <c r="H352" s="22"/>
      <c r="I352" s="49"/>
      <c r="J352" s="50"/>
      <c r="K352" s="22"/>
      <c r="L352" s="22"/>
      <c r="M352" s="22"/>
      <c r="N352" s="22"/>
      <c r="O352" s="22"/>
      <c r="P352" s="46"/>
      <c r="Q352" s="40"/>
      <c r="R352" s="41"/>
      <c r="S352" s="22" t="str">
        <f t="shared" si="23"/>
        <v/>
      </c>
      <c r="T352" s="41"/>
      <c r="U352" s="44"/>
      <c r="V352" s="44"/>
      <c r="W352" s="46"/>
      <c r="X352" s="46"/>
      <c r="Y352" s="46"/>
      <c r="Z352" s="22"/>
      <c r="AA352" s="22"/>
      <c r="AB352" s="22"/>
      <c r="AC352" s="22"/>
      <c r="AD352" s="22"/>
      <c r="AE352" s="22"/>
      <c r="AF352" s="48" t="str">
        <f t="shared" si="24"/>
        <v/>
      </c>
      <c r="AG352" s="48" t="str">
        <f t="shared" si="25"/>
        <v/>
      </c>
      <c r="AH352" s="48" t="str">
        <f t="shared" si="26"/>
        <v/>
      </c>
      <c r="AI352" s="40" t="str">
        <f t="shared" si="27"/>
        <v/>
      </c>
      <c r="AJ352" s="40"/>
      <c r="AK352" s="40"/>
      <c r="AL352" s="22"/>
    </row>
    <row r="353" spans="1:38" ht="17.399999999999999">
      <c r="A353" s="22"/>
      <c r="B353" s="22"/>
      <c r="C353" s="56"/>
      <c r="D353" s="56"/>
      <c r="E353" s="22"/>
      <c r="F353" s="22"/>
      <c r="G353" s="22"/>
      <c r="H353" s="22"/>
      <c r="I353" s="49"/>
      <c r="J353" s="50"/>
      <c r="K353" s="22"/>
      <c r="L353" s="22"/>
      <c r="M353" s="22"/>
      <c r="N353" s="22"/>
      <c r="O353" s="22"/>
      <c r="P353" s="46"/>
      <c r="Q353" s="40"/>
      <c r="R353" s="41"/>
      <c r="S353" s="22" t="str">
        <f t="shared" si="23"/>
        <v/>
      </c>
      <c r="T353" s="41"/>
      <c r="U353" s="44"/>
      <c r="V353" s="44"/>
      <c r="W353" s="46"/>
      <c r="X353" s="46"/>
      <c r="Y353" s="46"/>
      <c r="Z353" s="22"/>
      <c r="AA353" s="22"/>
      <c r="AB353" s="22"/>
      <c r="AC353" s="22"/>
      <c r="AD353" s="22"/>
      <c r="AE353" s="22"/>
      <c r="AF353" s="48" t="str">
        <f t="shared" si="24"/>
        <v/>
      </c>
      <c r="AG353" s="48" t="str">
        <f t="shared" si="25"/>
        <v/>
      </c>
      <c r="AH353" s="48" t="str">
        <f t="shared" si="26"/>
        <v/>
      </c>
      <c r="AI353" s="40" t="str">
        <f t="shared" si="27"/>
        <v/>
      </c>
      <c r="AJ353" s="40"/>
      <c r="AK353" s="40"/>
      <c r="AL353" s="22"/>
    </row>
    <row r="354" spans="1:38" ht="17.399999999999999">
      <c r="A354" s="22"/>
      <c r="B354" s="22"/>
      <c r="C354" s="56"/>
      <c r="D354" s="56"/>
      <c r="E354" s="22"/>
      <c r="F354" s="22"/>
      <c r="G354" s="22"/>
      <c r="H354" s="22"/>
      <c r="I354" s="49"/>
      <c r="J354" s="50"/>
      <c r="K354" s="22"/>
      <c r="L354" s="22"/>
      <c r="M354" s="22"/>
      <c r="N354" s="22"/>
      <c r="O354" s="22"/>
      <c r="P354" s="46"/>
      <c r="Q354" s="40"/>
      <c r="R354" s="41"/>
      <c r="S354" s="22" t="str">
        <f t="shared" si="23"/>
        <v/>
      </c>
      <c r="T354" s="41"/>
      <c r="U354" s="44"/>
      <c r="V354" s="44"/>
      <c r="W354" s="46"/>
      <c r="X354" s="46"/>
      <c r="Y354" s="46"/>
      <c r="Z354" s="22"/>
      <c r="AA354" s="22"/>
      <c r="AB354" s="22"/>
      <c r="AC354" s="22"/>
      <c r="AD354" s="22"/>
      <c r="AE354" s="22"/>
      <c r="AF354" s="48" t="str">
        <f t="shared" si="24"/>
        <v/>
      </c>
      <c r="AG354" s="48" t="str">
        <f t="shared" si="25"/>
        <v/>
      </c>
      <c r="AH354" s="48" t="str">
        <f t="shared" si="26"/>
        <v/>
      </c>
      <c r="AI354" s="40" t="str">
        <f t="shared" si="27"/>
        <v/>
      </c>
      <c r="AJ354" s="40"/>
      <c r="AK354" s="40"/>
      <c r="AL354" s="22"/>
    </row>
    <row r="355" spans="1:38" ht="17.399999999999999">
      <c r="A355" s="22"/>
      <c r="B355" s="22"/>
      <c r="C355" s="56"/>
      <c r="D355" s="56"/>
      <c r="E355" s="22"/>
      <c r="F355" s="22"/>
      <c r="G355" s="22"/>
      <c r="H355" s="22"/>
      <c r="I355" s="49"/>
      <c r="J355" s="50"/>
      <c r="K355" s="22"/>
      <c r="L355" s="22"/>
      <c r="M355" s="22"/>
      <c r="N355" s="22"/>
      <c r="O355" s="22"/>
      <c r="P355" s="46"/>
      <c r="Q355" s="40"/>
      <c r="R355" s="41"/>
      <c r="S355" s="22" t="str">
        <f t="shared" si="23"/>
        <v/>
      </c>
      <c r="T355" s="41"/>
      <c r="U355" s="44"/>
      <c r="V355" s="44"/>
      <c r="W355" s="46"/>
      <c r="X355" s="46"/>
      <c r="Y355" s="46"/>
      <c r="Z355" s="22"/>
      <c r="AA355" s="22"/>
      <c r="AB355" s="22"/>
      <c r="AC355" s="22"/>
      <c r="AD355" s="22"/>
      <c r="AE355" s="22"/>
      <c r="AF355" s="48" t="str">
        <f t="shared" si="24"/>
        <v/>
      </c>
      <c r="AG355" s="48" t="str">
        <f t="shared" si="25"/>
        <v/>
      </c>
      <c r="AH355" s="48" t="str">
        <f t="shared" si="26"/>
        <v/>
      </c>
      <c r="AI355" s="40" t="str">
        <f t="shared" si="27"/>
        <v/>
      </c>
      <c r="AJ355" s="40"/>
      <c r="AK355" s="40"/>
      <c r="AL355" s="22"/>
    </row>
    <row r="356" spans="1:38" ht="17.399999999999999">
      <c r="A356" s="22"/>
      <c r="B356" s="22"/>
      <c r="C356" s="56"/>
      <c r="D356" s="56"/>
      <c r="E356" s="22"/>
      <c r="F356" s="22"/>
      <c r="G356" s="22"/>
      <c r="H356" s="22"/>
      <c r="I356" s="49"/>
      <c r="J356" s="50"/>
      <c r="K356" s="22"/>
      <c r="L356" s="22"/>
      <c r="M356" s="22"/>
      <c r="N356" s="22"/>
      <c r="O356" s="22"/>
      <c r="P356" s="46"/>
      <c r="Q356" s="40"/>
      <c r="R356" s="41"/>
      <c r="S356" s="22" t="str">
        <f t="shared" si="23"/>
        <v/>
      </c>
      <c r="T356" s="41"/>
      <c r="U356" s="44"/>
      <c r="V356" s="44"/>
      <c r="W356" s="46"/>
      <c r="X356" s="46"/>
      <c r="Y356" s="46"/>
      <c r="Z356" s="22"/>
      <c r="AA356" s="22"/>
      <c r="AB356" s="22"/>
      <c r="AC356" s="22"/>
      <c r="AD356" s="22"/>
      <c r="AE356" s="22"/>
      <c r="AF356" s="48" t="str">
        <f t="shared" si="24"/>
        <v/>
      </c>
      <c r="AG356" s="48" t="str">
        <f t="shared" si="25"/>
        <v/>
      </c>
      <c r="AH356" s="48" t="str">
        <f t="shared" si="26"/>
        <v/>
      </c>
      <c r="AI356" s="40" t="str">
        <f t="shared" si="27"/>
        <v/>
      </c>
      <c r="AJ356" s="40"/>
      <c r="AK356" s="40"/>
      <c r="AL356" s="22"/>
    </row>
    <row r="357" spans="1:38" ht="17.399999999999999">
      <c r="A357" s="22"/>
      <c r="B357" s="22"/>
      <c r="C357" s="56"/>
      <c r="D357" s="56"/>
      <c r="E357" s="22"/>
      <c r="F357" s="22"/>
      <c r="G357" s="22"/>
      <c r="H357" s="22"/>
      <c r="I357" s="49"/>
      <c r="J357" s="50"/>
      <c r="K357" s="22"/>
      <c r="L357" s="22"/>
      <c r="M357" s="22"/>
      <c r="N357" s="22"/>
      <c r="O357" s="22"/>
      <c r="P357" s="46"/>
      <c r="Q357" s="40"/>
      <c r="R357" s="41"/>
      <c r="S357" s="22" t="str">
        <f t="shared" si="23"/>
        <v/>
      </c>
      <c r="T357" s="41"/>
      <c r="U357" s="44"/>
      <c r="V357" s="44"/>
      <c r="W357" s="46"/>
      <c r="X357" s="46"/>
      <c r="Y357" s="46"/>
      <c r="Z357" s="22"/>
      <c r="AA357" s="22"/>
      <c r="AB357" s="22"/>
      <c r="AC357" s="22"/>
      <c r="AD357" s="22"/>
      <c r="AE357" s="22"/>
      <c r="AF357" s="48" t="str">
        <f t="shared" si="24"/>
        <v/>
      </c>
      <c r="AG357" s="48" t="str">
        <f t="shared" si="25"/>
        <v/>
      </c>
      <c r="AH357" s="48" t="str">
        <f t="shared" si="26"/>
        <v/>
      </c>
      <c r="AI357" s="40" t="str">
        <f t="shared" si="27"/>
        <v/>
      </c>
      <c r="AJ357" s="40"/>
      <c r="AK357" s="40"/>
      <c r="AL357" s="22"/>
    </row>
    <row r="358" spans="1:38" ht="17.399999999999999">
      <c r="A358" s="22"/>
      <c r="B358" s="22"/>
      <c r="C358" s="56"/>
      <c r="D358" s="56"/>
      <c r="E358" s="22"/>
      <c r="F358" s="22"/>
      <c r="G358" s="22"/>
      <c r="H358" s="22"/>
      <c r="I358" s="49"/>
      <c r="J358" s="50"/>
      <c r="K358" s="22"/>
      <c r="L358" s="22"/>
      <c r="M358" s="22"/>
      <c r="N358" s="22"/>
      <c r="O358" s="22"/>
      <c r="P358" s="46"/>
      <c r="Q358" s="40"/>
      <c r="R358" s="41"/>
      <c r="S358" s="22" t="str">
        <f t="shared" si="23"/>
        <v/>
      </c>
      <c r="T358" s="41"/>
      <c r="U358" s="44"/>
      <c r="V358" s="44"/>
      <c r="W358" s="46"/>
      <c r="X358" s="46"/>
      <c r="Y358" s="46"/>
      <c r="Z358" s="22"/>
      <c r="AA358" s="22"/>
      <c r="AB358" s="22"/>
      <c r="AC358" s="22"/>
      <c r="AD358" s="22"/>
      <c r="AE358" s="22"/>
      <c r="AF358" s="48" t="str">
        <f t="shared" si="24"/>
        <v/>
      </c>
      <c r="AG358" s="48" t="str">
        <f t="shared" si="25"/>
        <v/>
      </c>
      <c r="AH358" s="48" t="str">
        <f t="shared" si="26"/>
        <v/>
      </c>
      <c r="AI358" s="40" t="str">
        <f t="shared" si="27"/>
        <v/>
      </c>
      <c r="AJ358" s="40"/>
      <c r="AK358" s="40"/>
      <c r="AL358" s="22"/>
    </row>
    <row r="359" spans="1:38" ht="17.399999999999999">
      <c r="A359" s="22"/>
      <c r="B359" s="22"/>
      <c r="C359" s="56"/>
      <c r="D359" s="56"/>
      <c r="E359" s="22"/>
      <c r="F359" s="22"/>
      <c r="G359" s="22"/>
      <c r="H359" s="22"/>
      <c r="I359" s="49"/>
      <c r="J359" s="50"/>
      <c r="K359" s="22"/>
      <c r="L359" s="22"/>
      <c r="M359" s="22"/>
      <c r="N359" s="22"/>
      <c r="O359" s="22"/>
      <c r="P359" s="46"/>
      <c r="Q359" s="40"/>
      <c r="R359" s="41"/>
      <c r="S359" s="22" t="str">
        <f t="shared" si="23"/>
        <v/>
      </c>
      <c r="T359" s="41"/>
      <c r="U359" s="44"/>
      <c r="V359" s="44"/>
      <c r="W359" s="46"/>
      <c r="X359" s="46"/>
      <c r="Y359" s="46"/>
      <c r="Z359" s="22"/>
      <c r="AA359" s="22"/>
      <c r="AB359" s="22"/>
      <c r="AC359" s="22"/>
      <c r="AD359" s="22"/>
      <c r="AE359" s="22"/>
      <c r="AF359" s="48" t="str">
        <f t="shared" si="24"/>
        <v/>
      </c>
      <c r="AG359" s="48" t="str">
        <f t="shared" si="25"/>
        <v/>
      </c>
      <c r="AH359" s="48" t="str">
        <f t="shared" si="26"/>
        <v/>
      </c>
      <c r="AI359" s="40" t="str">
        <f t="shared" si="27"/>
        <v/>
      </c>
      <c r="AJ359" s="40"/>
      <c r="AK359" s="40"/>
      <c r="AL359" s="22"/>
    </row>
    <row r="360" spans="1:38" ht="17.399999999999999">
      <c r="A360" s="22"/>
      <c r="B360" s="22"/>
      <c r="C360" s="56"/>
      <c r="D360" s="56"/>
      <c r="E360" s="22"/>
      <c r="F360" s="22"/>
      <c r="G360" s="22"/>
      <c r="H360" s="22"/>
      <c r="I360" s="49"/>
      <c r="J360" s="50"/>
      <c r="K360" s="22"/>
      <c r="L360" s="22"/>
      <c r="M360" s="22"/>
      <c r="N360" s="22"/>
      <c r="O360" s="22"/>
      <c r="P360" s="46"/>
      <c r="Q360" s="40"/>
      <c r="R360" s="41"/>
      <c r="S360" s="22" t="str">
        <f t="shared" si="23"/>
        <v/>
      </c>
      <c r="T360" s="41"/>
      <c r="U360" s="44"/>
      <c r="V360" s="44"/>
      <c r="W360" s="46"/>
      <c r="X360" s="46"/>
      <c r="Y360" s="46"/>
      <c r="Z360" s="22"/>
      <c r="AA360" s="22"/>
      <c r="AB360" s="22"/>
      <c r="AC360" s="22"/>
      <c r="AD360" s="22"/>
      <c r="AE360" s="22"/>
      <c r="AF360" s="48" t="str">
        <f t="shared" si="24"/>
        <v/>
      </c>
      <c r="AG360" s="48" t="str">
        <f t="shared" si="25"/>
        <v/>
      </c>
      <c r="AH360" s="48" t="str">
        <f t="shared" si="26"/>
        <v/>
      </c>
      <c r="AI360" s="40" t="str">
        <f t="shared" si="27"/>
        <v/>
      </c>
      <c r="AJ360" s="40"/>
      <c r="AK360" s="40"/>
      <c r="AL360" s="22"/>
    </row>
    <row r="361" spans="1:38" ht="17.399999999999999">
      <c r="A361" s="22"/>
      <c r="B361" s="22"/>
      <c r="C361" s="56"/>
      <c r="D361" s="56"/>
      <c r="E361" s="22"/>
      <c r="F361" s="22"/>
      <c r="G361" s="22"/>
      <c r="H361" s="22"/>
      <c r="I361" s="49"/>
      <c r="J361" s="50"/>
      <c r="K361" s="22"/>
      <c r="L361" s="22"/>
      <c r="M361" s="22"/>
      <c r="N361" s="22"/>
      <c r="O361" s="22"/>
      <c r="P361" s="46"/>
      <c r="Q361" s="40"/>
      <c r="R361" s="41"/>
      <c r="S361" s="22" t="str">
        <f t="shared" si="23"/>
        <v/>
      </c>
      <c r="T361" s="41"/>
      <c r="U361" s="44"/>
      <c r="V361" s="44"/>
      <c r="W361" s="46"/>
      <c r="X361" s="46"/>
      <c r="Y361" s="46"/>
      <c r="Z361" s="22"/>
      <c r="AA361" s="22"/>
      <c r="AB361" s="22"/>
      <c r="AC361" s="22"/>
      <c r="AD361" s="22"/>
      <c r="AE361" s="22"/>
      <c r="AF361" s="48" t="str">
        <f t="shared" si="24"/>
        <v/>
      </c>
      <c r="AG361" s="48" t="str">
        <f t="shared" si="25"/>
        <v/>
      </c>
      <c r="AH361" s="48" t="str">
        <f t="shared" si="26"/>
        <v/>
      </c>
      <c r="AI361" s="40" t="str">
        <f t="shared" si="27"/>
        <v/>
      </c>
      <c r="AJ361" s="40"/>
      <c r="AK361" s="40"/>
      <c r="AL361" s="22"/>
    </row>
    <row r="362" spans="1:38" ht="17.399999999999999">
      <c r="A362" s="22"/>
      <c r="B362" s="22"/>
      <c r="C362" s="56"/>
      <c r="D362" s="56"/>
      <c r="E362" s="22"/>
      <c r="F362" s="22"/>
      <c r="G362" s="22"/>
      <c r="H362" s="22"/>
      <c r="I362" s="49"/>
      <c r="J362" s="50"/>
      <c r="K362" s="22"/>
      <c r="L362" s="22"/>
      <c r="M362" s="22"/>
      <c r="N362" s="22"/>
      <c r="O362" s="22"/>
      <c r="P362" s="46"/>
      <c r="Q362" s="40"/>
      <c r="R362" s="41"/>
      <c r="S362" s="22" t="str">
        <f t="shared" si="23"/>
        <v/>
      </c>
      <c r="T362" s="41"/>
      <c r="U362" s="44"/>
      <c r="V362" s="44"/>
      <c r="W362" s="46"/>
      <c r="X362" s="46"/>
      <c r="Y362" s="46"/>
      <c r="Z362" s="22"/>
      <c r="AA362" s="22"/>
      <c r="AB362" s="22"/>
      <c r="AC362" s="22"/>
      <c r="AD362" s="22"/>
      <c r="AE362" s="22"/>
      <c r="AF362" s="48" t="str">
        <f t="shared" si="24"/>
        <v/>
      </c>
      <c r="AG362" s="48" t="str">
        <f t="shared" si="25"/>
        <v/>
      </c>
      <c r="AH362" s="48" t="str">
        <f t="shared" si="26"/>
        <v/>
      </c>
      <c r="AI362" s="40" t="str">
        <f t="shared" si="27"/>
        <v/>
      </c>
      <c r="AJ362" s="40"/>
      <c r="AK362" s="40"/>
      <c r="AL362" s="22"/>
    </row>
    <row r="363" spans="1:38" ht="17.399999999999999">
      <c r="A363" s="22"/>
      <c r="B363" s="22"/>
      <c r="C363" s="56"/>
      <c r="D363" s="56"/>
      <c r="E363" s="22"/>
      <c r="F363" s="22"/>
      <c r="G363" s="22"/>
      <c r="H363" s="22"/>
      <c r="I363" s="49"/>
      <c r="J363" s="50"/>
      <c r="K363" s="22"/>
      <c r="L363" s="22"/>
      <c r="M363" s="22"/>
      <c r="N363" s="22"/>
      <c r="O363" s="22"/>
      <c r="P363" s="46"/>
      <c r="Q363" s="40"/>
      <c r="R363" s="41"/>
      <c r="S363" s="22" t="str">
        <f t="shared" si="23"/>
        <v/>
      </c>
      <c r="T363" s="41"/>
      <c r="U363" s="44"/>
      <c r="V363" s="44"/>
      <c r="W363" s="46"/>
      <c r="X363" s="46"/>
      <c r="Y363" s="46"/>
      <c r="Z363" s="22"/>
      <c r="AA363" s="22"/>
      <c r="AB363" s="22"/>
      <c r="AC363" s="22"/>
      <c r="AD363" s="22"/>
      <c r="AE363" s="22"/>
      <c r="AF363" s="48" t="str">
        <f t="shared" si="24"/>
        <v/>
      </c>
      <c r="AG363" s="48" t="str">
        <f t="shared" si="25"/>
        <v/>
      </c>
      <c r="AH363" s="48" t="str">
        <f t="shared" si="26"/>
        <v/>
      </c>
      <c r="AI363" s="40" t="str">
        <f t="shared" si="27"/>
        <v/>
      </c>
      <c r="AJ363" s="40"/>
      <c r="AK363" s="40"/>
      <c r="AL363" s="22"/>
    </row>
    <row r="364" spans="1:38" ht="17.399999999999999">
      <c r="A364" s="22"/>
      <c r="B364" s="22"/>
      <c r="C364" s="56"/>
      <c r="D364" s="56"/>
      <c r="E364" s="22"/>
      <c r="F364" s="22"/>
      <c r="G364" s="22"/>
      <c r="H364" s="22"/>
      <c r="I364" s="49"/>
      <c r="J364" s="50"/>
      <c r="K364" s="22"/>
      <c r="L364" s="22"/>
      <c r="M364" s="22"/>
      <c r="N364" s="22"/>
      <c r="O364" s="22"/>
      <c r="P364" s="46"/>
      <c r="Q364" s="40"/>
      <c r="R364" s="41"/>
      <c r="S364" s="22" t="str">
        <f t="shared" si="23"/>
        <v/>
      </c>
      <c r="T364" s="41"/>
      <c r="U364" s="44"/>
      <c r="V364" s="44"/>
      <c r="W364" s="46"/>
      <c r="X364" s="46"/>
      <c r="Y364" s="46"/>
      <c r="Z364" s="22"/>
      <c r="AA364" s="22"/>
      <c r="AB364" s="22"/>
      <c r="AC364" s="22"/>
      <c r="AD364" s="22"/>
      <c r="AE364" s="22"/>
      <c r="AF364" s="48" t="str">
        <f t="shared" si="24"/>
        <v/>
      </c>
      <c r="AG364" s="48" t="str">
        <f t="shared" si="25"/>
        <v/>
      </c>
      <c r="AH364" s="48" t="str">
        <f t="shared" si="26"/>
        <v/>
      </c>
      <c r="AI364" s="40" t="str">
        <f t="shared" si="27"/>
        <v/>
      </c>
      <c r="AJ364" s="40"/>
      <c r="AK364" s="40"/>
      <c r="AL364" s="22"/>
    </row>
    <row r="365" spans="1:38" ht="17.399999999999999">
      <c r="A365" s="22"/>
      <c r="B365" s="22"/>
      <c r="C365" s="56"/>
      <c r="D365" s="56"/>
      <c r="E365" s="22"/>
      <c r="F365" s="22"/>
      <c r="G365" s="22"/>
      <c r="H365" s="22"/>
      <c r="I365" s="49"/>
      <c r="J365" s="50"/>
      <c r="K365" s="22"/>
      <c r="L365" s="22"/>
      <c r="M365" s="22"/>
      <c r="N365" s="22"/>
      <c r="O365" s="22"/>
      <c r="P365" s="46"/>
      <c r="Q365" s="40"/>
      <c r="R365" s="41"/>
      <c r="S365" s="22" t="str">
        <f t="shared" si="23"/>
        <v/>
      </c>
      <c r="T365" s="41"/>
      <c r="U365" s="44"/>
      <c r="V365" s="44"/>
      <c r="W365" s="46"/>
      <c r="X365" s="46"/>
      <c r="Y365" s="46"/>
      <c r="Z365" s="22"/>
      <c r="AA365" s="22"/>
      <c r="AB365" s="22"/>
      <c r="AC365" s="22"/>
      <c r="AD365" s="22"/>
      <c r="AE365" s="22"/>
      <c r="AF365" s="48" t="str">
        <f t="shared" si="24"/>
        <v/>
      </c>
      <c r="AG365" s="48" t="str">
        <f t="shared" si="25"/>
        <v/>
      </c>
      <c r="AH365" s="48" t="str">
        <f t="shared" si="26"/>
        <v/>
      </c>
      <c r="AI365" s="40" t="str">
        <f t="shared" si="27"/>
        <v/>
      </c>
      <c r="AJ365" s="40"/>
      <c r="AK365" s="40"/>
      <c r="AL365" s="22"/>
    </row>
    <row r="366" spans="1:38" ht="17.399999999999999">
      <c r="A366" s="22"/>
      <c r="B366" s="22"/>
      <c r="C366" s="56"/>
      <c r="D366" s="56"/>
      <c r="E366" s="22"/>
      <c r="F366" s="22"/>
      <c r="G366" s="22"/>
      <c r="H366" s="22"/>
      <c r="I366" s="49"/>
      <c r="J366" s="50"/>
      <c r="K366" s="22"/>
      <c r="L366" s="22"/>
      <c r="M366" s="22"/>
      <c r="N366" s="22"/>
      <c r="O366" s="22"/>
      <c r="P366" s="46"/>
      <c r="Q366" s="40"/>
      <c r="R366" s="41"/>
      <c r="S366" s="22" t="str">
        <f t="shared" si="23"/>
        <v/>
      </c>
      <c r="T366" s="41"/>
      <c r="U366" s="44"/>
      <c r="V366" s="44"/>
      <c r="W366" s="46"/>
      <c r="X366" s="46"/>
      <c r="Y366" s="46"/>
      <c r="Z366" s="22"/>
      <c r="AA366" s="22"/>
      <c r="AB366" s="22"/>
      <c r="AC366" s="22"/>
      <c r="AD366" s="22"/>
      <c r="AE366" s="22"/>
      <c r="AF366" s="48" t="str">
        <f t="shared" si="24"/>
        <v/>
      </c>
      <c r="AG366" s="48" t="str">
        <f t="shared" si="25"/>
        <v/>
      </c>
      <c r="AH366" s="48" t="str">
        <f t="shared" si="26"/>
        <v/>
      </c>
      <c r="AI366" s="40" t="str">
        <f t="shared" si="27"/>
        <v/>
      </c>
      <c r="AJ366" s="40"/>
      <c r="AK366" s="40"/>
      <c r="AL366" s="22"/>
    </row>
    <row r="367" spans="1:38" ht="17.399999999999999">
      <c r="A367" s="22"/>
      <c r="B367" s="22"/>
      <c r="C367" s="56"/>
      <c r="D367" s="56"/>
      <c r="E367" s="22"/>
      <c r="F367" s="22"/>
      <c r="G367" s="22"/>
      <c r="H367" s="22"/>
      <c r="I367" s="49"/>
      <c r="J367" s="50"/>
      <c r="K367" s="22"/>
      <c r="L367" s="22"/>
      <c r="M367" s="22"/>
      <c r="N367" s="22"/>
      <c r="O367" s="22"/>
      <c r="P367" s="46"/>
      <c r="Q367" s="40"/>
      <c r="R367" s="41"/>
      <c r="S367" s="22" t="str">
        <f t="shared" si="23"/>
        <v/>
      </c>
      <c r="T367" s="41"/>
      <c r="U367" s="44"/>
      <c r="V367" s="44"/>
      <c r="W367" s="46"/>
      <c r="X367" s="46"/>
      <c r="Y367" s="46"/>
      <c r="Z367" s="22"/>
      <c r="AA367" s="22"/>
      <c r="AB367" s="22"/>
      <c r="AC367" s="22"/>
      <c r="AD367" s="22"/>
      <c r="AE367" s="22"/>
      <c r="AF367" s="48" t="str">
        <f t="shared" si="24"/>
        <v/>
      </c>
      <c r="AG367" s="48" t="str">
        <f t="shared" si="25"/>
        <v/>
      </c>
      <c r="AH367" s="48" t="str">
        <f t="shared" si="26"/>
        <v/>
      </c>
      <c r="AI367" s="40" t="str">
        <f t="shared" si="27"/>
        <v/>
      </c>
      <c r="AJ367" s="40"/>
      <c r="AK367" s="40"/>
      <c r="AL367" s="22"/>
    </row>
    <row r="368" spans="1:38" ht="17.399999999999999">
      <c r="A368" s="22"/>
      <c r="B368" s="22"/>
      <c r="C368" s="56"/>
      <c r="D368" s="56"/>
      <c r="E368" s="22"/>
      <c r="F368" s="22"/>
      <c r="G368" s="22"/>
      <c r="H368" s="22"/>
      <c r="I368" s="49"/>
      <c r="J368" s="50"/>
      <c r="K368" s="22"/>
      <c r="L368" s="22"/>
      <c r="M368" s="22"/>
      <c r="N368" s="22"/>
      <c r="O368" s="22"/>
      <c r="P368" s="46"/>
      <c r="Q368" s="40"/>
      <c r="R368" s="41"/>
      <c r="S368" s="22" t="str">
        <f t="shared" si="23"/>
        <v/>
      </c>
      <c r="T368" s="41"/>
      <c r="U368" s="44"/>
      <c r="V368" s="44"/>
      <c r="W368" s="46"/>
      <c r="X368" s="46"/>
      <c r="Y368" s="46"/>
      <c r="Z368" s="22"/>
      <c r="AA368" s="22"/>
      <c r="AB368" s="22"/>
      <c r="AC368" s="22"/>
      <c r="AD368" s="22"/>
      <c r="AE368" s="22"/>
      <c r="AF368" s="48" t="str">
        <f t="shared" si="24"/>
        <v/>
      </c>
      <c r="AG368" s="48" t="str">
        <f t="shared" si="25"/>
        <v/>
      </c>
      <c r="AH368" s="48" t="str">
        <f t="shared" si="26"/>
        <v/>
      </c>
      <c r="AI368" s="40" t="str">
        <f t="shared" si="27"/>
        <v/>
      </c>
      <c r="AJ368" s="40"/>
      <c r="AK368" s="40"/>
      <c r="AL368" s="22"/>
    </row>
    <row r="369" spans="1:38" ht="17.399999999999999">
      <c r="A369" s="22"/>
      <c r="B369" s="22"/>
      <c r="C369" s="56"/>
      <c r="D369" s="56"/>
      <c r="E369" s="22"/>
      <c r="F369" s="22"/>
      <c r="G369" s="22"/>
      <c r="H369" s="22"/>
      <c r="I369" s="49"/>
      <c r="J369" s="50"/>
      <c r="K369" s="22"/>
      <c r="L369" s="22"/>
      <c r="M369" s="22"/>
      <c r="N369" s="22"/>
      <c r="O369" s="22"/>
      <c r="P369" s="46"/>
      <c r="Q369" s="40"/>
      <c r="R369" s="41"/>
      <c r="S369" s="22" t="str">
        <f t="shared" si="23"/>
        <v/>
      </c>
      <c r="T369" s="41"/>
      <c r="U369" s="44"/>
      <c r="V369" s="44"/>
      <c r="W369" s="46"/>
      <c r="X369" s="46"/>
      <c r="Y369" s="46"/>
      <c r="Z369" s="22"/>
      <c r="AA369" s="22"/>
      <c r="AB369" s="22"/>
      <c r="AC369" s="22"/>
      <c r="AD369" s="22"/>
      <c r="AE369" s="22"/>
      <c r="AF369" s="48" t="str">
        <f t="shared" si="24"/>
        <v/>
      </c>
      <c r="AG369" s="48" t="str">
        <f t="shared" si="25"/>
        <v/>
      </c>
      <c r="AH369" s="48" t="str">
        <f t="shared" si="26"/>
        <v/>
      </c>
      <c r="AI369" s="40" t="str">
        <f t="shared" si="27"/>
        <v/>
      </c>
      <c r="AJ369" s="40"/>
      <c r="AK369" s="40"/>
      <c r="AL369" s="22"/>
    </row>
    <row r="370" spans="1:38" ht="17.399999999999999">
      <c r="A370" s="22"/>
      <c r="B370" s="22"/>
      <c r="C370" s="56"/>
      <c r="D370" s="56"/>
      <c r="E370" s="22"/>
      <c r="F370" s="22"/>
      <c r="G370" s="22"/>
      <c r="H370" s="22"/>
      <c r="I370" s="49"/>
      <c r="J370" s="50"/>
      <c r="K370" s="22"/>
      <c r="L370" s="22"/>
      <c r="M370" s="22"/>
      <c r="N370" s="22"/>
      <c r="O370" s="22"/>
      <c r="P370" s="46"/>
      <c r="Q370" s="40"/>
      <c r="R370" s="41"/>
      <c r="S370" s="22" t="str">
        <f t="shared" si="23"/>
        <v/>
      </c>
      <c r="T370" s="41"/>
      <c r="U370" s="44"/>
      <c r="V370" s="44"/>
      <c r="W370" s="46"/>
      <c r="X370" s="46"/>
      <c r="Y370" s="46"/>
      <c r="Z370" s="22"/>
      <c r="AA370" s="22"/>
      <c r="AB370" s="22"/>
      <c r="AC370" s="22"/>
      <c r="AD370" s="22"/>
      <c r="AE370" s="22"/>
      <c r="AF370" s="48" t="str">
        <f t="shared" si="24"/>
        <v/>
      </c>
      <c r="AG370" s="48" t="str">
        <f t="shared" si="25"/>
        <v/>
      </c>
      <c r="AH370" s="48" t="str">
        <f t="shared" si="26"/>
        <v/>
      </c>
      <c r="AI370" s="40" t="str">
        <f t="shared" si="27"/>
        <v/>
      </c>
      <c r="AJ370" s="40"/>
      <c r="AK370" s="40"/>
      <c r="AL370" s="22"/>
    </row>
    <row r="371" spans="1:38" ht="17.399999999999999">
      <c r="A371" s="22"/>
      <c r="B371" s="22"/>
      <c r="C371" s="56"/>
      <c r="D371" s="56"/>
      <c r="E371" s="22"/>
      <c r="F371" s="22"/>
      <c r="G371" s="22"/>
      <c r="H371" s="22"/>
      <c r="I371" s="49"/>
      <c r="J371" s="50"/>
      <c r="K371" s="22"/>
      <c r="L371" s="22"/>
      <c r="M371" s="22"/>
      <c r="N371" s="22"/>
      <c r="O371" s="22"/>
      <c r="P371" s="46"/>
      <c r="Q371" s="40"/>
      <c r="R371" s="41"/>
      <c r="S371" s="22" t="str">
        <f t="shared" si="23"/>
        <v/>
      </c>
      <c r="T371" s="41"/>
      <c r="U371" s="44"/>
      <c r="V371" s="44"/>
      <c r="W371" s="46"/>
      <c r="X371" s="46"/>
      <c r="Y371" s="46"/>
      <c r="Z371" s="22"/>
      <c r="AA371" s="22"/>
      <c r="AB371" s="22"/>
      <c r="AC371" s="22"/>
      <c r="AD371" s="22"/>
      <c r="AE371" s="22"/>
      <c r="AF371" s="48" t="str">
        <f t="shared" si="24"/>
        <v/>
      </c>
      <c r="AG371" s="48" t="str">
        <f t="shared" si="25"/>
        <v/>
      </c>
      <c r="AH371" s="48" t="str">
        <f t="shared" si="26"/>
        <v/>
      </c>
      <c r="AI371" s="40" t="str">
        <f t="shared" si="27"/>
        <v/>
      </c>
      <c r="AJ371" s="40"/>
      <c r="AK371" s="40"/>
      <c r="AL371" s="22"/>
    </row>
    <row r="372" spans="1:38" ht="17.399999999999999">
      <c r="A372" s="22"/>
      <c r="B372" s="22"/>
      <c r="C372" s="56"/>
      <c r="D372" s="56"/>
      <c r="E372" s="22"/>
      <c r="F372" s="22"/>
      <c r="G372" s="22"/>
      <c r="H372" s="22"/>
      <c r="I372" s="49"/>
      <c r="J372" s="50"/>
      <c r="K372" s="22"/>
      <c r="L372" s="22"/>
      <c r="M372" s="22"/>
      <c r="N372" s="22"/>
      <c r="O372" s="22"/>
      <c r="P372" s="46"/>
      <c r="Q372" s="40"/>
      <c r="R372" s="41"/>
      <c r="S372" s="22" t="str">
        <f t="shared" si="23"/>
        <v/>
      </c>
      <c r="T372" s="41"/>
      <c r="U372" s="44"/>
      <c r="V372" s="44"/>
      <c r="W372" s="46"/>
      <c r="X372" s="46"/>
      <c r="Y372" s="46"/>
      <c r="Z372" s="22"/>
      <c r="AA372" s="22"/>
      <c r="AB372" s="22"/>
      <c r="AC372" s="22"/>
      <c r="AD372" s="22"/>
      <c r="AE372" s="22"/>
      <c r="AF372" s="48" t="str">
        <f t="shared" si="24"/>
        <v/>
      </c>
      <c r="AG372" s="48" t="str">
        <f t="shared" si="25"/>
        <v/>
      </c>
      <c r="AH372" s="48" t="str">
        <f t="shared" si="26"/>
        <v/>
      </c>
      <c r="AI372" s="40" t="str">
        <f t="shared" si="27"/>
        <v/>
      </c>
      <c r="AJ372" s="40"/>
      <c r="AK372" s="40"/>
      <c r="AL372" s="22"/>
    </row>
    <row r="373" spans="1:38" ht="17.399999999999999">
      <c r="A373" s="22"/>
      <c r="B373" s="22"/>
      <c r="C373" s="56"/>
      <c r="D373" s="56"/>
      <c r="E373" s="22"/>
      <c r="F373" s="22"/>
      <c r="G373" s="22"/>
      <c r="H373" s="22"/>
      <c r="I373" s="49"/>
      <c r="J373" s="50"/>
      <c r="K373" s="22"/>
      <c r="L373" s="22"/>
      <c r="M373" s="22"/>
      <c r="N373" s="22"/>
      <c r="O373" s="22"/>
      <c r="P373" s="46"/>
      <c r="Q373" s="40"/>
      <c r="R373" s="41"/>
      <c r="S373" s="22" t="str">
        <f t="shared" si="23"/>
        <v/>
      </c>
      <c r="T373" s="41"/>
      <c r="U373" s="44"/>
      <c r="V373" s="44"/>
      <c r="W373" s="46"/>
      <c r="X373" s="46"/>
      <c r="Y373" s="46"/>
      <c r="Z373" s="22"/>
      <c r="AA373" s="22"/>
      <c r="AB373" s="22"/>
      <c r="AC373" s="22"/>
      <c r="AD373" s="22"/>
      <c r="AE373" s="22"/>
      <c r="AF373" s="48" t="str">
        <f t="shared" si="24"/>
        <v/>
      </c>
      <c r="AG373" s="48" t="str">
        <f t="shared" si="25"/>
        <v/>
      </c>
      <c r="AH373" s="48" t="str">
        <f t="shared" si="26"/>
        <v/>
      </c>
      <c r="AI373" s="40" t="str">
        <f t="shared" si="27"/>
        <v/>
      </c>
      <c r="AJ373" s="40"/>
      <c r="AK373" s="40"/>
      <c r="AL373" s="22"/>
    </row>
    <row r="374" spans="1:38" ht="17.399999999999999">
      <c r="A374" s="22"/>
      <c r="B374" s="22"/>
      <c r="C374" s="56"/>
      <c r="D374" s="56"/>
      <c r="E374" s="22"/>
      <c r="F374" s="22"/>
      <c r="G374" s="22"/>
      <c r="H374" s="22"/>
      <c r="I374" s="49"/>
      <c r="J374" s="50"/>
      <c r="K374" s="22"/>
      <c r="L374" s="22"/>
      <c r="M374" s="22"/>
      <c r="N374" s="22"/>
      <c r="O374" s="22"/>
      <c r="P374" s="46"/>
      <c r="Q374" s="40"/>
      <c r="R374" s="41"/>
      <c r="S374" s="22" t="str">
        <f t="shared" si="23"/>
        <v/>
      </c>
      <c r="T374" s="41"/>
      <c r="U374" s="44"/>
      <c r="V374" s="44"/>
      <c r="W374" s="46"/>
      <c r="X374" s="46"/>
      <c r="Y374" s="46"/>
      <c r="Z374" s="22"/>
      <c r="AA374" s="22"/>
      <c r="AB374" s="22"/>
      <c r="AC374" s="22"/>
      <c r="AD374" s="22"/>
      <c r="AE374" s="22"/>
      <c r="AF374" s="48" t="str">
        <f t="shared" si="24"/>
        <v/>
      </c>
      <c r="AG374" s="48" t="str">
        <f t="shared" si="25"/>
        <v/>
      </c>
      <c r="AH374" s="48" t="str">
        <f t="shared" si="26"/>
        <v/>
      </c>
      <c r="AI374" s="40" t="str">
        <f t="shared" si="27"/>
        <v/>
      </c>
      <c r="AJ374" s="40"/>
      <c r="AK374" s="40"/>
      <c r="AL374" s="22"/>
    </row>
    <row r="375" spans="1:38" ht="17.399999999999999">
      <c r="A375" s="22"/>
      <c r="B375" s="22"/>
      <c r="C375" s="56"/>
      <c r="D375" s="56"/>
      <c r="E375" s="22"/>
      <c r="F375" s="22"/>
      <c r="G375" s="22"/>
      <c r="H375" s="22"/>
      <c r="I375" s="49"/>
      <c r="J375" s="50"/>
      <c r="K375" s="22"/>
      <c r="L375" s="22"/>
      <c r="M375" s="22"/>
      <c r="N375" s="22"/>
      <c r="O375" s="22"/>
      <c r="P375" s="46"/>
      <c r="Q375" s="40"/>
      <c r="R375" s="41"/>
      <c r="S375" s="22" t="str">
        <f t="shared" si="23"/>
        <v/>
      </c>
      <c r="T375" s="41"/>
      <c r="U375" s="44"/>
      <c r="V375" s="44"/>
      <c r="W375" s="46"/>
      <c r="X375" s="46"/>
      <c r="Y375" s="46"/>
      <c r="Z375" s="22"/>
      <c r="AA375" s="22"/>
      <c r="AB375" s="22"/>
      <c r="AC375" s="22"/>
      <c r="AD375" s="22"/>
      <c r="AE375" s="22"/>
      <c r="AF375" s="48" t="str">
        <f t="shared" si="24"/>
        <v/>
      </c>
      <c r="AG375" s="48" t="str">
        <f t="shared" si="25"/>
        <v/>
      </c>
      <c r="AH375" s="48" t="str">
        <f t="shared" si="26"/>
        <v/>
      </c>
      <c r="AI375" s="40" t="str">
        <f t="shared" si="27"/>
        <v/>
      </c>
      <c r="AJ375" s="40"/>
      <c r="AK375" s="40"/>
      <c r="AL375" s="22"/>
    </row>
    <row r="376" spans="1:38" ht="17.399999999999999">
      <c r="A376" s="22"/>
      <c r="B376" s="22"/>
      <c r="C376" s="56"/>
      <c r="D376" s="56"/>
      <c r="E376" s="22"/>
      <c r="F376" s="22"/>
      <c r="G376" s="22"/>
      <c r="H376" s="22"/>
      <c r="I376" s="49"/>
      <c r="J376" s="50"/>
      <c r="K376" s="22"/>
      <c r="L376" s="22"/>
      <c r="M376" s="22"/>
      <c r="N376" s="22"/>
      <c r="O376" s="22"/>
      <c r="P376" s="46"/>
      <c r="Q376" s="40"/>
      <c r="R376" s="41"/>
      <c r="S376" s="22" t="str">
        <f t="shared" si="23"/>
        <v/>
      </c>
      <c r="T376" s="41"/>
      <c r="U376" s="44"/>
      <c r="V376" s="44"/>
      <c r="W376" s="46"/>
      <c r="X376" s="46"/>
      <c r="Y376" s="46"/>
      <c r="Z376" s="22"/>
      <c r="AA376" s="22"/>
      <c r="AB376" s="22"/>
      <c r="AC376" s="22"/>
      <c r="AD376" s="22"/>
      <c r="AE376" s="22"/>
      <c r="AF376" s="48" t="str">
        <f t="shared" si="24"/>
        <v/>
      </c>
      <c r="AG376" s="48" t="str">
        <f t="shared" si="25"/>
        <v/>
      </c>
      <c r="AH376" s="48" t="str">
        <f t="shared" si="26"/>
        <v/>
      </c>
      <c r="AI376" s="40" t="str">
        <f t="shared" si="27"/>
        <v/>
      </c>
      <c r="AJ376" s="40"/>
      <c r="AK376" s="40"/>
      <c r="AL376" s="22"/>
    </row>
    <row r="377" spans="1:38" ht="17.399999999999999">
      <c r="A377" s="22"/>
      <c r="B377" s="22"/>
      <c r="C377" s="56"/>
      <c r="D377" s="56"/>
      <c r="E377" s="22"/>
      <c r="F377" s="22"/>
      <c r="G377" s="22"/>
      <c r="H377" s="22"/>
      <c r="I377" s="49"/>
      <c r="J377" s="50"/>
      <c r="K377" s="22"/>
      <c r="L377" s="22"/>
      <c r="M377" s="22"/>
      <c r="N377" s="22"/>
      <c r="O377" s="22"/>
      <c r="P377" s="46"/>
      <c r="Q377" s="40"/>
      <c r="R377" s="41"/>
      <c r="S377" s="22" t="str">
        <f t="shared" si="23"/>
        <v/>
      </c>
      <c r="T377" s="41"/>
      <c r="U377" s="44"/>
      <c r="V377" s="44"/>
      <c r="W377" s="46"/>
      <c r="X377" s="46"/>
      <c r="Y377" s="46"/>
      <c r="Z377" s="22"/>
      <c r="AA377" s="22"/>
      <c r="AB377" s="22"/>
      <c r="AC377" s="22"/>
      <c r="AD377" s="22"/>
      <c r="AE377" s="22"/>
      <c r="AF377" s="48" t="str">
        <f t="shared" si="24"/>
        <v/>
      </c>
      <c r="AG377" s="48" t="str">
        <f t="shared" si="25"/>
        <v/>
      </c>
      <c r="AH377" s="48" t="str">
        <f t="shared" si="26"/>
        <v/>
      </c>
      <c r="AI377" s="40" t="str">
        <f t="shared" si="27"/>
        <v/>
      </c>
      <c r="AJ377" s="40"/>
      <c r="AK377" s="40"/>
      <c r="AL377" s="22"/>
    </row>
    <row r="378" spans="1:38" ht="17.399999999999999">
      <c r="A378" s="22"/>
      <c r="B378" s="22"/>
      <c r="C378" s="56"/>
      <c r="D378" s="56"/>
      <c r="E378" s="22"/>
      <c r="F378" s="22"/>
      <c r="G378" s="22"/>
      <c r="H378" s="22"/>
      <c r="I378" s="49"/>
      <c r="J378" s="50"/>
      <c r="K378" s="22"/>
      <c r="L378" s="22"/>
      <c r="M378" s="22"/>
      <c r="N378" s="22"/>
      <c r="O378" s="22"/>
      <c r="P378" s="46"/>
      <c r="Q378" s="40"/>
      <c r="R378" s="41"/>
      <c r="S378" s="22" t="str">
        <f t="shared" si="23"/>
        <v/>
      </c>
      <c r="T378" s="41"/>
      <c r="U378" s="44"/>
      <c r="V378" s="44"/>
      <c r="W378" s="46"/>
      <c r="X378" s="46"/>
      <c r="Y378" s="46"/>
      <c r="Z378" s="22"/>
      <c r="AA378" s="22"/>
      <c r="AB378" s="22"/>
      <c r="AC378" s="22"/>
      <c r="AD378" s="22"/>
      <c r="AE378" s="22"/>
      <c r="AF378" s="48" t="str">
        <f t="shared" si="24"/>
        <v/>
      </c>
      <c r="AG378" s="48" t="str">
        <f t="shared" si="25"/>
        <v/>
      </c>
      <c r="AH378" s="48" t="str">
        <f t="shared" si="26"/>
        <v/>
      </c>
      <c r="AI378" s="40" t="str">
        <f t="shared" si="27"/>
        <v/>
      </c>
      <c r="AJ378" s="40"/>
      <c r="AK378" s="40"/>
      <c r="AL378" s="22"/>
    </row>
    <row r="379" spans="1:38" ht="17.399999999999999">
      <c r="A379" s="22"/>
      <c r="B379" s="22"/>
      <c r="C379" s="56"/>
      <c r="D379" s="56"/>
      <c r="E379" s="22"/>
      <c r="F379" s="22"/>
      <c r="G379" s="22"/>
      <c r="H379" s="22"/>
      <c r="I379" s="49"/>
      <c r="J379" s="50"/>
      <c r="K379" s="22"/>
      <c r="L379" s="22"/>
      <c r="M379" s="22"/>
      <c r="N379" s="22"/>
      <c r="O379" s="22"/>
      <c r="P379" s="46"/>
      <c r="Q379" s="40"/>
      <c r="R379" s="41"/>
      <c r="S379" s="22" t="str">
        <f t="shared" si="23"/>
        <v/>
      </c>
      <c r="T379" s="41"/>
      <c r="U379" s="44"/>
      <c r="V379" s="44"/>
      <c r="W379" s="46"/>
      <c r="X379" s="46"/>
      <c r="Y379" s="46"/>
      <c r="Z379" s="22"/>
      <c r="AA379" s="22"/>
      <c r="AB379" s="22"/>
      <c r="AC379" s="22"/>
      <c r="AD379" s="22"/>
      <c r="AE379" s="22"/>
      <c r="AF379" s="48" t="str">
        <f t="shared" si="24"/>
        <v/>
      </c>
      <c r="AG379" s="48" t="str">
        <f t="shared" si="25"/>
        <v/>
      </c>
      <c r="AH379" s="48" t="str">
        <f t="shared" si="26"/>
        <v/>
      </c>
      <c r="AI379" s="40" t="str">
        <f t="shared" si="27"/>
        <v/>
      </c>
      <c r="AJ379" s="40"/>
      <c r="AK379" s="40"/>
      <c r="AL379" s="22"/>
    </row>
    <row r="380" spans="1:38" ht="17.399999999999999">
      <c r="A380" s="22"/>
      <c r="B380" s="22"/>
      <c r="C380" s="56"/>
      <c r="D380" s="56"/>
      <c r="E380" s="22"/>
      <c r="F380" s="22"/>
      <c r="G380" s="22"/>
      <c r="H380" s="22"/>
      <c r="I380" s="49"/>
      <c r="J380" s="50"/>
      <c r="K380" s="22"/>
      <c r="L380" s="22"/>
      <c r="M380" s="22"/>
      <c r="N380" s="22"/>
      <c r="O380" s="22"/>
      <c r="P380" s="46"/>
      <c r="Q380" s="40"/>
      <c r="R380" s="41"/>
      <c r="S380" s="22" t="str">
        <f t="shared" si="23"/>
        <v/>
      </c>
      <c r="T380" s="41"/>
      <c r="U380" s="44"/>
      <c r="V380" s="44"/>
      <c r="W380" s="46"/>
      <c r="X380" s="46"/>
      <c r="Y380" s="46"/>
      <c r="Z380" s="22"/>
      <c r="AA380" s="22"/>
      <c r="AB380" s="22"/>
      <c r="AC380" s="22"/>
      <c r="AD380" s="22"/>
      <c r="AE380" s="22"/>
      <c r="AF380" s="48" t="str">
        <f t="shared" si="24"/>
        <v/>
      </c>
      <c r="AG380" s="48" t="str">
        <f t="shared" si="25"/>
        <v/>
      </c>
      <c r="AH380" s="48" t="str">
        <f t="shared" si="26"/>
        <v/>
      </c>
      <c r="AI380" s="40" t="str">
        <f t="shared" si="27"/>
        <v/>
      </c>
      <c r="AJ380" s="40"/>
      <c r="AK380" s="40"/>
      <c r="AL380" s="22"/>
    </row>
    <row r="381" spans="1:38" ht="17.399999999999999">
      <c r="A381" s="22"/>
      <c r="B381" s="22"/>
      <c r="C381" s="56"/>
      <c r="D381" s="56"/>
      <c r="E381" s="22"/>
      <c r="F381" s="22"/>
      <c r="G381" s="22"/>
      <c r="H381" s="22"/>
      <c r="I381" s="49"/>
      <c r="J381" s="50"/>
      <c r="K381" s="22"/>
      <c r="L381" s="22"/>
      <c r="M381" s="22"/>
      <c r="N381" s="22"/>
      <c r="O381" s="22"/>
      <c r="P381" s="46"/>
      <c r="Q381" s="40"/>
      <c r="R381" s="41"/>
      <c r="S381" s="22" t="str">
        <f t="shared" si="23"/>
        <v/>
      </c>
      <c r="T381" s="41"/>
      <c r="U381" s="44"/>
      <c r="V381" s="44"/>
      <c r="W381" s="46"/>
      <c r="X381" s="46"/>
      <c r="Y381" s="46"/>
      <c r="Z381" s="22"/>
      <c r="AA381" s="22"/>
      <c r="AB381" s="22"/>
      <c r="AC381" s="22"/>
      <c r="AD381" s="22"/>
      <c r="AE381" s="22"/>
      <c r="AF381" s="48" t="str">
        <f t="shared" si="24"/>
        <v/>
      </c>
      <c r="AG381" s="48" t="str">
        <f t="shared" si="25"/>
        <v/>
      </c>
      <c r="AH381" s="48" t="str">
        <f t="shared" si="26"/>
        <v/>
      </c>
      <c r="AI381" s="40" t="str">
        <f t="shared" si="27"/>
        <v/>
      </c>
      <c r="AJ381" s="40"/>
      <c r="AK381" s="40"/>
      <c r="AL381" s="22"/>
    </row>
    <row r="382" spans="1:38" ht="17.399999999999999">
      <c r="A382" s="22"/>
      <c r="B382" s="22"/>
      <c r="C382" s="56"/>
      <c r="D382" s="56"/>
      <c r="E382" s="22"/>
      <c r="F382" s="22"/>
      <c r="G382" s="22"/>
      <c r="H382" s="22"/>
      <c r="I382" s="49"/>
      <c r="J382" s="50"/>
      <c r="K382" s="22"/>
      <c r="L382" s="22"/>
      <c r="M382" s="22"/>
      <c r="N382" s="22"/>
      <c r="O382" s="22"/>
      <c r="P382" s="46"/>
      <c r="Q382" s="40"/>
      <c r="R382" s="41"/>
      <c r="S382" s="22" t="str">
        <f t="shared" si="23"/>
        <v/>
      </c>
      <c r="T382" s="41"/>
      <c r="U382" s="44"/>
      <c r="V382" s="44"/>
      <c r="W382" s="46"/>
      <c r="X382" s="46"/>
      <c r="Y382" s="46"/>
      <c r="Z382" s="22"/>
      <c r="AA382" s="22"/>
      <c r="AB382" s="22"/>
      <c r="AC382" s="22"/>
      <c r="AD382" s="22"/>
      <c r="AE382" s="22"/>
      <c r="AF382" s="48" t="str">
        <f t="shared" si="24"/>
        <v/>
      </c>
      <c r="AG382" s="48" t="str">
        <f t="shared" si="25"/>
        <v/>
      </c>
      <c r="AH382" s="48" t="str">
        <f t="shared" si="26"/>
        <v/>
      </c>
      <c r="AI382" s="40" t="str">
        <f t="shared" si="27"/>
        <v/>
      </c>
      <c r="AJ382" s="40"/>
      <c r="AK382" s="40"/>
      <c r="AL382" s="22"/>
    </row>
    <row r="383" spans="1:38" ht="17.399999999999999">
      <c r="A383" s="22"/>
      <c r="B383" s="22"/>
      <c r="C383" s="56"/>
      <c r="D383" s="56"/>
      <c r="E383" s="22"/>
      <c r="F383" s="22"/>
      <c r="G383" s="22"/>
      <c r="H383" s="22"/>
      <c r="I383" s="49"/>
      <c r="J383" s="50"/>
      <c r="K383" s="22"/>
      <c r="L383" s="22"/>
      <c r="M383" s="22"/>
      <c r="N383" s="22"/>
      <c r="O383" s="22"/>
      <c r="P383" s="46"/>
      <c r="Q383" s="40"/>
      <c r="R383" s="41"/>
      <c r="S383" s="22" t="str">
        <f t="shared" si="23"/>
        <v/>
      </c>
      <c r="T383" s="41"/>
      <c r="U383" s="44"/>
      <c r="V383" s="44"/>
      <c r="W383" s="46"/>
      <c r="X383" s="46"/>
      <c r="Y383" s="46"/>
      <c r="Z383" s="22"/>
      <c r="AA383" s="22"/>
      <c r="AB383" s="22"/>
      <c r="AC383" s="22"/>
      <c r="AD383" s="22"/>
      <c r="AE383" s="22"/>
      <c r="AF383" s="48" t="str">
        <f t="shared" si="24"/>
        <v/>
      </c>
      <c r="AG383" s="48" t="str">
        <f t="shared" si="25"/>
        <v/>
      </c>
      <c r="AH383" s="48" t="str">
        <f t="shared" si="26"/>
        <v/>
      </c>
      <c r="AI383" s="40" t="str">
        <f t="shared" si="27"/>
        <v/>
      </c>
      <c r="AJ383" s="40"/>
      <c r="AK383" s="40"/>
      <c r="AL383" s="22"/>
    </row>
    <row r="384" spans="1:38" ht="17.399999999999999">
      <c r="A384" s="22"/>
      <c r="B384" s="22"/>
      <c r="C384" s="56"/>
      <c r="D384" s="56"/>
      <c r="E384" s="22"/>
      <c r="F384" s="22"/>
      <c r="G384" s="22"/>
      <c r="H384" s="22"/>
      <c r="I384" s="49"/>
      <c r="J384" s="50"/>
      <c r="K384" s="22"/>
      <c r="L384" s="22"/>
      <c r="M384" s="22"/>
      <c r="N384" s="22"/>
      <c r="O384" s="22"/>
      <c r="P384" s="46"/>
      <c r="Q384" s="40"/>
      <c r="R384" s="41"/>
      <c r="S384" s="22" t="str">
        <f t="shared" si="23"/>
        <v/>
      </c>
      <c r="T384" s="41"/>
      <c r="U384" s="44"/>
      <c r="V384" s="44"/>
      <c r="W384" s="46"/>
      <c r="X384" s="46"/>
      <c r="Y384" s="46"/>
      <c r="Z384" s="22"/>
      <c r="AA384" s="22"/>
      <c r="AB384" s="22"/>
      <c r="AC384" s="22"/>
      <c r="AD384" s="22"/>
      <c r="AE384" s="22"/>
      <c r="AF384" s="48" t="str">
        <f t="shared" si="24"/>
        <v/>
      </c>
      <c r="AG384" s="48" t="str">
        <f t="shared" si="25"/>
        <v/>
      </c>
      <c r="AH384" s="48" t="str">
        <f t="shared" si="26"/>
        <v/>
      </c>
      <c r="AI384" s="40" t="str">
        <f t="shared" si="27"/>
        <v/>
      </c>
      <c r="AJ384" s="40"/>
      <c r="AK384" s="40"/>
      <c r="AL384" s="22"/>
    </row>
    <row r="385" spans="1:38" ht="17.399999999999999">
      <c r="A385" s="22"/>
      <c r="B385" s="22"/>
      <c r="C385" s="56"/>
      <c r="D385" s="56"/>
      <c r="E385" s="22"/>
      <c r="F385" s="22"/>
      <c r="G385" s="22"/>
      <c r="H385" s="22"/>
      <c r="I385" s="49"/>
      <c r="J385" s="50"/>
      <c r="K385" s="22"/>
      <c r="L385" s="22"/>
      <c r="M385" s="22"/>
      <c r="N385" s="22"/>
      <c r="O385" s="22"/>
      <c r="P385" s="46"/>
      <c r="Q385" s="40"/>
      <c r="R385" s="41"/>
      <c r="S385" s="22" t="str">
        <f t="shared" si="23"/>
        <v/>
      </c>
      <c r="T385" s="41"/>
      <c r="U385" s="44"/>
      <c r="V385" s="44"/>
      <c r="W385" s="46"/>
      <c r="X385" s="46"/>
      <c r="Y385" s="46"/>
      <c r="Z385" s="22"/>
      <c r="AA385" s="22"/>
      <c r="AB385" s="22"/>
      <c r="AC385" s="22"/>
      <c r="AD385" s="22"/>
      <c r="AE385" s="22"/>
      <c r="AF385" s="48" t="str">
        <f t="shared" si="24"/>
        <v/>
      </c>
      <c r="AG385" s="48" t="str">
        <f t="shared" si="25"/>
        <v/>
      </c>
      <c r="AH385" s="48" t="str">
        <f t="shared" si="26"/>
        <v/>
      </c>
      <c r="AI385" s="40" t="str">
        <f t="shared" si="27"/>
        <v/>
      </c>
      <c r="AJ385" s="40"/>
      <c r="AK385" s="40"/>
      <c r="AL385" s="22"/>
    </row>
    <row r="386" spans="1:38" ht="17.399999999999999">
      <c r="A386" s="22"/>
      <c r="B386" s="22"/>
      <c r="C386" s="56"/>
      <c r="D386" s="56"/>
      <c r="E386" s="22"/>
      <c r="F386" s="22"/>
      <c r="G386" s="22"/>
      <c r="H386" s="22"/>
      <c r="I386" s="49"/>
      <c r="J386" s="50"/>
      <c r="K386" s="22"/>
      <c r="L386" s="22"/>
      <c r="M386" s="22"/>
      <c r="N386" s="22"/>
      <c r="O386" s="22"/>
      <c r="P386" s="46"/>
      <c r="Q386" s="40"/>
      <c r="R386" s="41"/>
      <c r="S386" s="22" t="str">
        <f t="shared" si="23"/>
        <v/>
      </c>
      <c r="T386" s="41"/>
      <c r="U386" s="44"/>
      <c r="V386" s="44"/>
      <c r="W386" s="46"/>
      <c r="X386" s="46"/>
      <c r="Y386" s="46"/>
      <c r="Z386" s="22"/>
      <c r="AA386" s="22"/>
      <c r="AB386" s="22"/>
      <c r="AC386" s="22"/>
      <c r="AD386" s="22"/>
      <c r="AE386" s="22"/>
      <c r="AF386" s="48" t="str">
        <f t="shared" si="24"/>
        <v/>
      </c>
      <c r="AG386" s="48" t="str">
        <f t="shared" si="25"/>
        <v/>
      </c>
      <c r="AH386" s="48" t="str">
        <f t="shared" si="26"/>
        <v/>
      </c>
      <c r="AI386" s="40" t="str">
        <f t="shared" si="27"/>
        <v/>
      </c>
      <c r="AJ386" s="40"/>
      <c r="AK386" s="40"/>
      <c r="AL386" s="22"/>
    </row>
    <row r="387" spans="1:38" ht="17.399999999999999">
      <c r="A387" s="22"/>
      <c r="B387" s="22"/>
      <c r="C387" s="56"/>
      <c r="D387" s="56"/>
      <c r="E387" s="22"/>
      <c r="F387" s="22"/>
      <c r="G387" s="22"/>
      <c r="H387" s="22"/>
      <c r="I387" s="49"/>
      <c r="J387" s="50"/>
      <c r="K387" s="22"/>
      <c r="L387" s="22"/>
      <c r="M387" s="22"/>
      <c r="N387" s="22"/>
      <c r="O387" s="22"/>
      <c r="P387" s="46"/>
      <c r="Q387" s="40"/>
      <c r="R387" s="41"/>
      <c r="S387" s="22" t="str">
        <f t="shared" si="23"/>
        <v/>
      </c>
      <c r="T387" s="41"/>
      <c r="U387" s="44"/>
      <c r="V387" s="44"/>
      <c r="W387" s="46"/>
      <c r="X387" s="46"/>
      <c r="Y387" s="46"/>
      <c r="Z387" s="22"/>
      <c r="AA387" s="22"/>
      <c r="AB387" s="22"/>
      <c r="AC387" s="22"/>
      <c r="AD387" s="22"/>
      <c r="AE387" s="22"/>
      <c r="AF387" s="48" t="str">
        <f t="shared" si="24"/>
        <v/>
      </c>
      <c r="AG387" s="48" t="str">
        <f t="shared" si="25"/>
        <v/>
      </c>
      <c r="AH387" s="48" t="str">
        <f t="shared" si="26"/>
        <v/>
      </c>
      <c r="AI387" s="40" t="str">
        <f t="shared" si="27"/>
        <v/>
      </c>
      <c r="AJ387" s="40"/>
      <c r="AK387" s="40"/>
      <c r="AL387" s="22"/>
    </row>
    <row r="388" spans="1:38" ht="17.399999999999999">
      <c r="A388" s="22"/>
      <c r="B388" s="22"/>
      <c r="C388" s="56"/>
      <c r="D388" s="56"/>
      <c r="E388" s="22"/>
      <c r="F388" s="22"/>
      <c r="G388" s="22"/>
      <c r="H388" s="22"/>
      <c r="I388" s="49"/>
      <c r="J388" s="50"/>
      <c r="K388" s="22"/>
      <c r="L388" s="22"/>
      <c r="M388" s="22"/>
      <c r="N388" s="22"/>
      <c r="O388" s="22"/>
      <c r="P388" s="46"/>
      <c r="Q388" s="40"/>
      <c r="R388" s="41"/>
      <c r="S388" s="22" t="str">
        <f t="shared" si="23"/>
        <v/>
      </c>
      <c r="T388" s="41"/>
      <c r="U388" s="44"/>
      <c r="V388" s="44"/>
      <c r="W388" s="46"/>
      <c r="X388" s="46"/>
      <c r="Y388" s="46"/>
      <c r="Z388" s="22"/>
      <c r="AA388" s="22"/>
      <c r="AB388" s="22"/>
      <c r="AC388" s="22"/>
      <c r="AD388" s="22"/>
      <c r="AE388" s="22"/>
      <c r="AF388" s="48" t="str">
        <f t="shared" si="24"/>
        <v/>
      </c>
      <c r="AG388" s="48" t="str">
        <f t="shared" si="25"/>
        <v/>
      </c>
      <c r="AH388" s="48" t="str">
        <f t="shared" si="26"/>
        <v/>
      </c>
      <c r="AI388" s="40" t="str">
        <f t="shared" si="27"/>
        <v/>
      </c>
      <c r="AJ388" s="40"/>
      <c r="AK388" s="40"/>
      <c r="AL388" s="22"/>
    </row>
    <row r="389" spans="1:38" ht="17.399999999999999">
      <c r="A389" s="22"/>
      <c r="B389" s="22"/>
      <c r="C389" s="56"/>
      <c r="D389" s="56"/>
      <c r="E389" s="22"/>
      <c r="F389" s="22"/>
      <c r="G389" s="22"/>
      <c r="H389" s="22"/>
      <c r="I389" s="49"/>
      <c r="J389" s="50"/>
      <c r="K389" s="22"/>
      <c r="L389" s="22"/>
      <c r="M389" s="22"/>
      <c r="N389" s="22"/>
      <c r="O389" s="22"/>
      <c r="P389" s="46"/>
      <c r="Q389" s="40"/>
      <c r="R389" s="41"/>
      <c r="S389" s="22" t="str">
        <f t="shared" si="23"/>
        <v/>
      </c>
      <c r="T389" s="41"/>
      <c r="U389" s="44"/>
      <c r="V389" s="44"/>
      <c r="W389" s="46"/>
      <c r="X389" s="46"/>
      <c r="Y389" s="46"/>
      <c r="Z389" s="22"/>
      <c r="AA389" s="22"/>
      <c r="AB389" s="22"/>
      <c r="AC389" s="22"/>
      <c r="AD389" s="22"/>
      <c r="AE389" s="22"/>
      <c r="AF389" s="48" t="str">
        <f t="shared" si="24"/>
        <v/>
      </c>
      <c r="AG389" s="48" t="str">
        <f t="shared" si="25"/>
        <v/>
      </c>
      <c r="AH389" s="48" t="str">
        <f t="shared" si="26"/>
        <v/>
      </c>
      <c r="AI389" s="40" t="str">
        <f t="shared" si="27"/>
        <v/>
      </c>
      <c r="AJ389" s="40"/>
      <c r="AK389" s="40"/>
      <c r="AL389" s="22"/>
    </row>
    <row r="390" spans="1:38" ht="17.399999999999999">
      <c r="A390" s="22"/>
      <c r="B390" s="22"/>
      <c r="C390" s="56"/>
      <c r="D390" s="56"/>
      <c r="E390" s="22"/>
      <c r="F390" s="22"/>
      <c r="G390" s="22"/>
      <c r="H390" s="22"/>
      <c r="I390" s="49"/>
      <c r="J390" s="50"/>
      <c r="K390" s="22"/>
      <c r="L390" s="22"/>
      <c r="M390" s="22"/>
      <c r="N390" s="22"/>
      <c r="O390" s="22"/>
      <c r="P390" s="46"/>
      <c r="Q390" s="40"/>
      <c r="R390" s="41"/>
      <c r="S390" s="22" t="str">
        <f t="shared" si="23"/>
        <v/>
      </c>
      <c r="T390" s="41"/>
      <c r="U390" s="44"/>
      <c r="V390" s="44"/>
      <c r="W390" s="46"/>
      <c r="X390" s="46"/>
      <c r="Y390" s="46"/>
      <c r="Z390" s="22"/>
      <c r="AA390" s="22"/>
      <c r="AB390" s="22"/>
      <c r="AC390" s="22"/>
      <c r="AD390" s="22"/>
      <c r="AE390" s="22"/>
      <c r="AF390" s="48" t="str">
        <f t="shared" si="24"/>
        <v/>
      </c>
      <c r="AG390" s="48" t="str">
        <f t="shared" si="25"/>
        <v/>
      </c>
      <c r="AH390" s="48" t="str">
        <f t="shared" si="26"/>
        <v/>
      </c>
      <c r="AI390" s="40" t="str">
        <f t="shared" si="27"/>
        <v/>
      </c>
      <c r="AJ390" s="40"/>
      <c r="AK390" s="40"/>
      <c r="AL390" s="22"/>
    </row>
    <row r="391" spans="1:38" ht="17.399999999999999">
      <c r="A391" s="22"/>
      <c r="B391" s="22"/>
      <c r="C391" s="56"/>
      <c r="D391" s="56"/>
      <c r="E391" s="22"/>
      <c r="F391" s="22"/>
      <c r="G391" s="22"/>
      <c r="H391" s="22"/>
      <c r="I391" s="49"/>
      <c r="J391" s="50"/>
      <c r="K391" s="22"/>
      <c r="L391" s="22"/>
      <c r="M391" s="22"/>
      <c r="N391" s="22"/>
      <c r="O391" s="22"/>
      <c r="P391" s="46"/>
      <c r="Q391" s="40"/>
      <c r="R391" s="41"/>
      <c r="S391" s="22" t="str">
        <f t="shared" si="23"/>
        <v/>
      </c>
      <c r="T391" s="41"/>
      <c r="U391" s="44"/>
      <c r="V391" s="44"/>
      <c r="W391" s="46"/>
      <c r="X391" s="46"/>
      <c r="Y391" s="46"/>
      <c r="Z391" s="22"/>
      <c r="AA391" s="22"/>
      <c r="AB391" s="22"/>
      <c r="AC391" s="22"/>
      <c r="AD391" s="22"/>
      <c r="AE391" s="22"/>
      <c r="AF391" s="48" t="str">
        <f t="shared" si="24"/>
        <v/>
      </c>
      <c r="AG391" s="48" t="str">
        <f t="shared" si="25"/>
        <v/>
      </c>
      <c r="AH391" s="48" t="str">
        <f t="shared" si="26"/>
        <v/>
      </c>
      <c r="AI391" s="40" t="str">
        <f t="shared" si="27"/>
        <v/>
      </c>
      <c r="AJ391" s="40"/>
      <c r="AK391" s="40"/>
      <c r="AL391" s="22"/>
    </row>
    <row r="392" spans="1:38" ht="17.399999999999999">
      <c r="A392" s="22"/>
      <c r="B392" s="22"/>
      <c r="C392" s="56"/>
      <c r="D392" s="56"/>
      <c r="E392" s="22"/>
      <c r="F392" s="22"/>
      <c r="G392" s="22"/>
      <c r="H392" s="22"/>
      <c r="I392" s="49"/>
      <c r="J392" s="50"/>
      <c r="K392" s="22"/>
      <c r="L392" s="22"/>
      <c r="M392" s="22"/>
      <c r="N392" s="22"/>
      <c r="O392" s="22"/>
      <c r="P392" s="46"/>
      <c r="Q392" s="40"/>
      <c r="R392" s="41"/>
      <c r="S392" s="22" t="str">
        <f t="shared" si="23"/>
        <v/>
      </c>
      <c r="T392" s="41"/>
      <c r="U392" s="44"/>
      <c r="V392" s="44"/>
      <c r="W392" s="46"/>
      <c r="X392" s="46"/>
      <c r="Y392" s="46"/>
      <c r="Z392" s="22"/>
      <c r="AA392" s="22"/>
      <c r="AB392" s="22"/>
      <c r="AC392" s="22"/>
      <c r="AD392" s="22"/>
      <c r="AE392" s="22"/>
      <c r="AF392" s="48" t="str">
        <f t="shared" si="24"/>
        <v/>
      </c>
      <c r="AG392" s="48" t="str">
        <f t="shared" si="25"/>
        <v/>
      </c>
      <c r="AH392" s="48" t="str">
        <f t="shared" si="26"/>
        <v/>
      </c>
      <c r="AI392" s="40" t="str">
        <f t="shared" si="27"/>
        <v/>
      </c>
      <c r="AJ392" s="40"/>
      <c r="AK392" s="40"/>
      <c r="AL392" s="22"/>
    </row>
    <row r="393" spans="1:38" ht="17.399999999999999">
      <c r="A393" s="22"/>
      <c r="B393" s="22"/>
      <c r="C393" s="56"/>
      <c r="D393" s="56"/>
      <c r="E393" s="22"/>
      <c r="F393" s="22"/>
      <c r="G393" s="22"/>
      <c r="H393" s="22"/>
      <c r="I393" s="49"/>
      <c r="J393" s="50"/>
      <c r="K393" s="22"/>
      <c r="L393" s="22"/>
      <c r="M393" s="22"/>
      <c r="N393" s="22"/>
      <c r="O393" s="22"/>
      <c r="P393" s="46"/>
      <c r="Q393" s="40"/>
      <c r="R393" s="41"/>
      <c r="S393" s="22" t="str">
        <f t="shared" si="23"/>
        <v/>
      </c>
      <c r="T393" s="41"/>
      <c r="U393" s="44"/>
      <c r="V393" s="44"/>
      <c r="W393" s="46"/>
      <c r="X393" s="46"/>
      <c r="Y393" s="46"/>
      <c r="Z393" s="22"/>
      <c r="AA393" s="22"/>
      <c r="AB393" s="22"/>
      <c r="AC393" s="22"/>
      <c r="AD393" s="22"/>
      <c r="AE393" s="22"/>
      <c r="AF393" s="48" t="str">
        <f t="shared" si="24"/>
        <v/>
      </c>
      <c r="AG393" s="48" t="str">
        <f t="shared" si="25"/>
        <v/>
      </c>
      <c r="AH393" s="48" t="str">
        <f t="shared" si="26"/>
        <v/>
      </c>
      <c r="AI393" s="40" t="str">
        <f t="shared" si="27"/>
        <v/>
      </c>
      <c r="AJ393" s="40"/>
      <c r="AK393" s="40"/>
      <c r="AL393" s="22"/>
    </row>
    <row r="394" spans="1:38" ht="17.399999999999999">
      <c r="A394" s="22"/>
      <c r="B394" s="22"/>
      <c r="C394" s="56"/>
      <c r="D394" s="56"/>
      <c r="E394" s="22"/>
      <c r="F394" s="22"/>
      <c r="G394" s="22"/>
      <c r="H394" s="22"/>
      <c r="I394" s="49"/>
      <c r="J394" s="50"/>
      <c r="K394" s="22"/>
      <c r="L394" s="22"/>
      <c r="M394" s="22"/>
      <c r="N394" s="22"/>
      <c r="O394" s="22"/>
      <c r="P394" s="46"/>
      <c r="Q394" s="40"/>
      <c r="R394" s="41"/>
      <c r="S394" s="22" t="str">
        <f t="shared" si="23"/>
        <v/>
      </c>
      <c r="T394" s="41"/>
      <c r="U394" s="44"/>
      <c r="V394" s="44"/>
      <c r="W394" s="46"/>
      <c r="X394" s="46"/>
      <c r="Y394" s="46"/>
      <c r="Z394" s="22"/>
      <c r="AA394" s="22"/>
      <c r="AB394" s="22"/>
      <c r="AC394" s="22"/>
      <c r="AD394" s="22"/>
      <c r="AE394" s="22"/>
      <c r="AF394" s="48" t="str">
        <f t="shared" si="24"/>
        <v/>
      </c>
      <c r="AG394" s="48" t="str">
        <f t="shared" si="25"/>
        <v/>
      </c>
      <c r="AH394" s="48" t="str">
        <f t="shared" si="26"/>
        <v/>
      </c>
      <c r="AI394" s="40" t="str">
        <f t="shared" si="27"/>
        <v/>
      </c>
      <c r="AJ394" s="40"/>
      <c r="AK394" s="40"/>
      <c r="AL394" s="22"/>
    </row>
    <row r="395" spans="1:38" ht="17.399999999999999">
      <c r="A395" s="22"/>
      <c r="B395" s="22"/>
      <c r="C395" s="56"/>
      <c r="D395" s="56"/>
      <c r="E395" s="22"/>
      <c r="F395" s="22"/>
      <c r="G395" s="22"/>
      <c r="H395" s="22"/>
      <c r="I395" s="49"/>
      <c r="J395" s="50"/>
      <c r="K395" s="22"/>
      <c r="L395" s="22"/>
      <c r="M395" s="22"/>
      <c r="N395" s="22"/>
      <c r="O395" s="22"/>
      <c r="P395" s="46"/>
      <c r="Q395" s="40"/>
      <c r="R395" s="41"/>
      <c r="S395" s="22" t="str">
        <f t="shared" si="23"/>
        <v/>
      </c>
      <c r="T395" s="41"/>
      <c r="U395" s="44"/>
      <c r="V395" s="44"/>
      <c r="W395" s="46"/>
      <c r="X395" s="46"/>
      <c r="Y395" s="46"/>
      <c r="Z395" s="22"/>
      <c r="AA395" s="22"/>
      <c r="AB395" s="22"/>
      <c r="AC395" s="22"/>
      <c r="AD395" s="22"/>
      <c r="AE395" s="22"/>
      <c r="AF395" s="48" t="str">
        <f t="shared" si="24"/>
        <v/>
      </c>
      <c r="AG395" s="48" t="str">
        <f t="shared" si="25"/>
        <v/>
      </c>
      <c r="AH395" s="48" t="str">
        <f t="shared" si="26"/>
        <v/>
      </c>
      <c r="AI395" s="40" t="str">
        <f t="shared" si="27"/>
        <v/>
      </c>
      <c r="AJ395" s="40"/>
      <c r="AK395" s="40"/>
      <c r="AL395" s="22"/>
    </row>
    <row r="396" spans="1:38" ht="17.399999999999999">
      <c r="A396" s="22"/>
      <c r="B396" s="22"/>
      <c r="C396" s="56"/>
      <c r="D396" s="56"/>
      <c r="E396" s="22"/>
      <c r="F396" s="22"/>
      <c r="G396" s="22"/>
      <c r="H396" s="22"/>
      <c r="I396" s="49"/>
      <c r="J396" s="50"/>
      <c r="K396" s="22"/>
      <c r="L396" s="22"/>
      <c r="M396" s="22"/>
      <c r="N396" s="22"/>
      <c r="O396" s="22"/>
      <c r="P396" s="46"/>
      <c r="Q396" s="40"/>
      <c r="R396" s="41"/>
      <c r="S396" s="22" t="str">
        <f t="shared" si="23"/>
        <v/>
      </c>
      <c r="T396" s="41"/>
      <c r="U396" s="44"/>
      <c r="V396" s="44"/>
      <c r="W396" s="46"/>
      <c r="X396" s="46"/>
      <c r="Y396" s="46"/>
      <c r="Z396" s="22"/>
      <c r="AA396" s="22"/>
      <c r="AB396" s="22"/>
      <c r="AC396" s="22"/>
      <c r="AD396" s="22"/>
      <c r="AE396" s="22"/>
      <c r="AF396" s="48" t="str">
        <f t="shared" si="24"/>
        <v/>
      </c>
      <c r="AG396" s="48" t="str">
        <f t="shared" si="25"/>
        <v/>
      </c>
      <c r="AH396" s="48" t="str">
        <f t="shared" si="26"/>
        <v/>
      </c>
      <c r="AI396" s="40" t="str">
        <f t="shared" si="27"/>
        <v/>
      </c>
      <c r="AJ396" s="40"/>
      <c r="AK396" s="40"/>
      <c r="AL396" s="22"/>
    </row>
    <row r="397" spans="1:38" ht="17.399999999999999">
      <c r="A397" s="22"/>
      <c r="B397" s="22"/>
      <c r="C397" s="56"/>
      <c r="D397" s="56"/>
      <c r="E397" s="22"/>
      <c r="F397" s="22"/>
      <c r="G397" s="22"/>
      <c r="H397" s="22"/>
      <c r="I397" s="49"/>
      <c r="J397" s="50"/>
      <c r="K397" s="22"/>
      <c r="L397" s="22"/>
      <c r="M397" s="22"/>
      <c r="N397" s="22"/>
      <c r="O397" s="22"/>
      <c r="P397" s="46"/>
      <c r="Q397" s="40"/>
      <c r="R397" s="41"/>
      <c r="S397" s="22" t="str">
        <f t="shared" si="23"/>
        <v/>
      </c>
      <c r="T397" s="41"/>
      <c r="U397" s="44"/>
      <c r="V397" s="44"/>
      <c r="W397" s="46"/>
      <c r="X397" s="46"/>
      <c r="Y397" s="46"/>
      <c r="Z397" s="22"/>
      <c r="AA397" s="22"/>
      <c r="AB397" s="22"/>
      <c r="AC397" s="22"/>
      <c r="AD397" s="22"/>
      <c r="AE397" s="22"/>
      <c r="AF397" s="48" t="str">
        <f t="shared" si="24"/>
        <v/>
      </c>
      <c r="AG397" s="48" t="str">
        <f t="shared" si="25"/>
        <v/>
      </c>
      <c r="AH397" s="48" t="str">
        <f t="shared" si="26"/>
        <v/>
      </c>
      <c r="AI397" s="40" t="str">
        <f t="shared" si="27"/>
        <v/>
      </c>
      <c r="AJ397" s="40"/>
      <c r="AK397" s="40"/>
      <c r="AL397" s="22"/>
    </row>
    <row r="398" spans="1:38" ht="17.399999999999999">
      <c r="A398" s="22"/>
      <c r="B398" s="22"/>
      <c r="C398" s="56"/>
      <c r="D398" s="56"/>
      <c r="E398" s="22"/>
      <c r="F398" s="22"/>
      <c r="G398" s="22"/>
      <c r="H398" s="22"/>
      <c r="I398" s="49"/>
      <c r="J398" s="50"/>
      <c r="K398" s="22"/>
      <c r="L398" s="22"/>
      <c r="M398" s="22"/>
      <c r="N398" s="22"/>
      <c r="O398" s="22"/>
      <c r="P398" s="46"/>
      <c r="Q398" s="40"/>
      <c r="R398" s="41"/>
      <c r="S398" s="22" t="str">
        <f t="shared" si="23"/>
        <v/>
      </c>
      <c r="T398" s="41"/>
      <c r="U398" s="44"/>
      <c r="V398" s="44"/>
      <c r="W398" s="46"/>
      <c r="X398" s="46"/>
      <c r="Y398" s="46"/>
      <c r="Z398" s="22"/>
      <c r="AA398" s="22"/>
      <c r="AB398" s="22"/>
      <c r="AC398" s="22"/>
      <c r="AD398" s="22"/>
      <c r="AE398" s="22"/>
      <c r="AF398" s="48" t="str">
        <f t="shared" si="24"/>
        <v/>
      </c>
      <c r="AG398" s="48" t="str">
        <f t="shared" si="25"/>
        <v/>
      </c>
      <c r="AH398" s="48" t="str">
        <f t="shared" si="26"/>
        <v/>
      </c>
      <c r="AI398" s="40" t="str">
        <f t="shared" si="27"/>
        <v/>
      </c>
      <c r="AJ398" s="40"/>
      <c r="AK398" s="40"/>
      <c r="AL398" s="22"/>
    </row>
    <row r="399" spans="1:38" ht="17.399999999999999">
      <c r="A399" s="22"/>
      <c r="B399" s="22"/>
      <c r="C399" s="56"/>
      <c r="D399" s="56"/>
      <c r="E399" s="22"/>
      <c r="F399" s="22"/>
      <c r="G399" s="22"/>
      <c r="H399" s="22"/>
      <c r="I399" s="49"/>
      <c r="J399" s="50"/>
      <c r="K399" s="22"/>
      <c r="L399" s="22"/>
      <c r="M399" s="22"/>
      <c r="N399" s="22"/>
      <c r="O399" s="22"/>
      <c r="P399" s="46"/>
      <c r="Q399" s="40"/>
      <c r="R399" s="41"/>
      <c r="S399" s="22" t="str">
        <f t="shared" si="23"/>
        <v/>
      </c>
      <c r="T399" s="41"/>
      <c r="U399" s="44"/>
      <c r="V399" s="44"/>
      <c r="W399" s="46"/>
      <c r="X399" s="46"/>
      <c r="Y399" s="46"/>
      <c r="Z399" s="22"/>
      <c r="AA399" s="22"/>
      <c r="AB399" s="22"/>
      <c r="AC399" s="22"/>
      <c r="AD399" s="22"/>
      <c r="AE399" s="22"/>
      <c r="AF399" s="48" t="str">
        <f t="shared" si="24"/>
        <v/>
      </c>
      <c r="AG399" s="48" t="str">
        <f t="shared" si="25"/>
        <v/>
      </c>
      <c r="AH399" s="48" t="str">
        <f t="shared" si="26"/>
        <v/>
      </c>
      <c r="AI399" s="40" t="str">
        <f t="shared" si="27"/>
        <v/>
      </c>
      <c r="AJ399" s="40"/>
      <c r="AK399" s="40"/>
      <c r="AL399" s="22"/>
    </row>
    <row r="400" spans="1:38" ht="17.399999999999999">
      <c r="A400" s="22"/>
      <c r="B400" s="22"/>
      <c r="C400" s="56"/>
      <c r="D400" s="56"/>
      <c r="E400" s="22"/>
      <c r="F400" s="22"/>
      <c r="G400" s="22"/>
      <c r="H400" s="22"/>
      <c r="I400" s="49"/>
      <c r="J400" s="50"/>
      <c r="K400" s="22"/>
      <c r="L400" s="22"/>
      <c r="M400" s="22"/>
      <c r="N400" s="22"/>
      <c r="O400" s="22"/>
      <c r="P400" s="46"/>
      <c r="Q400" s="40"/>
      <c r="R400" s="41"/>
      <c r="S400" s="22" t="str">
        <f t="shared" si="23"/>
        <v/>
      </c>
      <c r="T400" s="41"/>
      <c r="U400" s="44"/>
      <c r="V400" s="44"/>
      <c r="W400" s="46"/>
      <c r="X400" s="46"/>
      <c r="Y400" s="46"/>
      <c r="Z400" s="22"/>
      <c r="AA400" s="22"/>
      <c r="AB400" s="22"/>
      <c r="AC400" s="22"/>
      <c r="AD400" s="22"/>
      <c r="AE400" s="22"/>
      <c r="AF400" s="48" t="str">
        <f t="shared" si="24"/>
        <v/>
      </c>
      <c r="AG400" s="48" t="str">
        <f t="shared" si="25"/>
        <v/>
      </c>
      <c r="AH400" s="48" t="str">
        <f t="shared" si="26"/>
        <v/>
      </c>
      <c r="AI400" s="40" t="str">
        <f t="shared" si="27"/>
        <v/>
      </c>
      <c r="AJ400" s="40"/>
      <c r="AK400" s="40"/>
      <c r="AL400" s="22"/>
    </row>
    <row r="401" spans="1:38" ht="17.399999999999999">
      <c r="A401" s="22"/>
      <c r="B401" s="22"/>
      <c r="C401" s="56"/>
      <c r="D401" s="56"/>
      <c r="E401" s="22"/>
      <c r="F401" s="22"/>
      <c r="G401" s="22"/>
      <c r="H401" s="22"/>
      <c r="I401" s="49"/>
      <c r="J401" s="50"/>
      <c r="K401" s="22"/>
      <c r="L401" s="22"/>
      <c r="M401" s="22"/>
      <c r="N401" s="22"/>
      <c r="O401" s="22"/>
      <c r="P401" s="46"/>
      <c r="Q401" s="40"/>
      <c r="R401" s="41"/>
      <c r="S401" s="22" t="str">
        <f t="shared" si="23"/>
        <v/>
      </c>
      <c r="T401" s="41"/>
      <c r="U401" s="44"/>
      <c r="V401" s="44"/>
      <c r="W401" s="46"/>
      <c r="X401" s="46"/>
      <c r="Y401" s="46"/>
      <c r="Z401" s="22"/>
      <c r="AA401" s="22"/>
      <c r="AB401" s="22"/>
      <c r="AC401" s="22"/>
      <c r="AD401" s="22"/>
      <c r="AE401" s="22"/>
      <c r="AF401" s="48" t="str">
        <f t="shared" si="24"/>
        <v/>
      </c>
      <c r="AG401" s="48" t="str">
        <f t="shared" si="25"/>
        <v/>
      </c>
      <c r="AH401" s="48" t="str">
        <f t="shared" si="26"/>
        <v/>
      </c>
      <c r="AI401" s="40" t="str">
        <f t="shared" si="27"/>
        <v/>
      </c>
      <c r="AJ401" s="40"/>
      <c r="AK401" s="40"/>
      <c r="AL401" s="22"/>
    </row>
    <row r="402" spans="1:38" ht="17.399999999999999">
      <c r="A402" s="22"/>
      <c r="B402" s="22"/>
      <c r="C402" s="56"/>
      <c r="D402" s="56"/>
      <c r="E402" s="22"/>
      <c r="F402" s="22"/>
      <c r="G402" s="22"/>
      <c r="H402" s="22"/>
      <c r="I402" s="49"/>
      <c r="J402" s="50"/>
      <c r="K402" s="22"/>
      <c r="L402" s="22"/>
      <c r="M402" s="22"/>
      <c r="N402" s="22"/>
      <c r="O402" s="22"/>
      <c r="P402" s="46"/>
      <c r="Q402" s="40"/>
      <c r="R402" s="41"/>
      <c r="S402" s="22" t="str">
        <f t="shared" si="23"/>
        <v/>
      </c>
      <c r="T402" s="41"/>
      <c r="U402" s="44"/>
      <c r="V402" s="44"/>
      <c r="W402" s="46"/>
      <c r="X402" s="46"/>
      <c r="Y402" s="46"/>
      <c r="Z402" s="22"/>
      <c r="AA402" s="22"/>
      <c r="AB402" s="22"/>
      <c r="AC402" s="22"/>
      <c r="AD402" s="22"/>
      <c r="AE402" s="22"/>
      <c r="AF402" s="48" t="str">
        <f t="shared" si="24"/>
        <v/>
      </c>
      <c r="AG402" s="48" t="str">
        <f t="shared" si="25"/>
        <v/>
      </c>
      <c r="AH402" s="48" t="str">
        <f t="shared" si="26"/>
        <v/>
      </c>
      <c r="AI402" s="40" t="str">
        <f t="shared" si="27"/>
        <v/>
      </c>
      <c r="AJ402" s="40"/>
      <c r="AK402" s="40"/>
      <c r="AL402" s="22"/>
    </row>
    <row r="403" spans="1:38" ht="17.399999999999999">
      <c r="A403" s="22"/>
      <c r="B403" s="22"/>
      <c r="C403" s="56"/>
      <c r="D403" s="56"/>
      <c r="E403" s="22"/>
      <c r="F403" s="22"/>
      <c r="G403" s="22"/>
      <c r="H403" s="22"/>
      <c r="I403" s="49"/>
      <c r="J403" s="50"/>
      <c r="K403" s="22"/>
      <c r="L403" s="22"/>
      <c r="M403" s="22"/>
      <c r="N403" s="22"/>
      <c r="O403" s="22"/>
      <c r="P403" s="46"/>
      <c r="Q403" s="40"/>
      <c r="R403" s="41"/>
      <c r="S403" s="22" t="str">
        <f t="shared" si="23"/>
        <v/>
      </c>
      <c r="T403" s="41"/>
      <c r="U403" s="44"/>
      <c r="V403" s="44"/>
      <c r="W403" s="46"/>
      <c r="X403" s="46"/>
      <c r="Y403" s="46"/>
      <c r="Z403" s="22"/>
      <c r="AA403" s="22"/>
      <c r="AB403" s="22"/>
      <c r="AC403" s="22"/>
      <c r="AD403" s="22"/>
      <c r="AE403" s="22"/>
      <c r="AF403" s="48" t="str">
        <f t="shared" si="24"/>
        <v/>
      </c>
      <c r="AG403" s="48" t="str">
        <f t="shared" si="25"/>
        <v/>
      </c>
      <c r="AH403" s="48" t="str">
        <f t="shared" si="26"/>
        <v/>
      </c>
      <c r="AI403" s="40" t="str">
        <f t="shared" si="27"/>
        <v/>
      </c>
      <c r="AJ403" s="40"/>
      <c r="AK403" s="40"/>
      <c r="AL403" s="22"/>
    </row>
    <row r="404" spans="1:38" ht="17.399999999999999">
      <c r="A404" s="22"/>
      <c r="B404" s="22"/>
      <c r="C404" s="56"/>
      <c r="D404" s="56"/>
      <c r="E404" s="22"/>
      <c r="F404" s="22"/>
      <c r="G404" s="22"/>
      <c r="H404" s="22"/>
      <c r="I404" s="49"/>
      <c r="J404" s="50"/>
      <c r="K404" s="22"/>
      <c r="L404" s="22"/>
      <c r="M404" s="22"/>
      <c r="N404" s="22"/>
      <c r="O404" s="22"/>
      <c r="P404" s="46"/>
      <c r="Q404" s="40"/>
      <c r="R404" s="41"/>
      <c r="S404" s="22" t="str">
        <f t="shared" si="23"/>
        <v/>
      </c>
      <c r="T404" s="41"/>
      <c r="U404" s="44"/>
      <c r="V404" s="44"/>
      <c r="W404" s="46"/>
      <c r="X404" s="46"/>
      <c r="Y404" s="46"/>
      <c r="Z404" s="22"/>
      <c r="AA404" s="22"/>
      <c r="AB404" s="22"/>
      <c r="AC404" s="22"/>
      <c r="AD404" s="22"/>
      <c r="AE404" s="22"/>
      <c r="AF404" s="48" t="str">
        <f t="shared" si="24"/>
        <v/>
      </c>
      <c r="AG404" s="48" t="str">
        <f t="shared" si="25"/>
        <v/>
      </c>
      <c r="AH404" s="48" t="str">
        <f t="shared" si="26"/>
        <v/>
      </c>
      <c r="AI404" s="40" t="str">
        <f t="shared" si="27"/>
        <v/>
      </c>
      <c r="AJ404" s="40"/>
      <c r="AK404" s="40"/>
      <c r="AL404" s="22"/>
    </row>
    <row r="405" spans="1:38" ht="17.399999999999999">
      <c r="A405" s="22"/>
      <c r="B405" s="22"/>
      <c r="C405" s="56"/>
      <c r="D405" s="56"/>
      <c r="E405" s="22"/>
      <c r="F405" s="22"/>
      <c r="G405" s="22"/>
      <c r="H405" s="22"/>
      <c r="I405" s="49"/>
      <c r="J405" s="50"/>
      <c r="K405" s="22"/>
      <c r="L405" s="22"/>
      <c r="M405" s="22"/>
      <c r="N405" s="22"/>
      <c r="O405" s="22"/>
      <c r="P405" s="46"/>
      <c r="Q405" s="40"/>
      <c r="R405" s="41"/>
      <c r="S405" s="22" t="str">
        <f t="shared" si="23"/>
        <v/>
      </c>
      <c r="T405" s="41"/>
      <c r="U405" s="44"/>
      <c r="V405" s="44"/>
      <c r="W405" s="46"/>
      <c r="X405" s="46"/>
      <c r="Y405" s="46"/>
      <c r="Z405" s="22"/>
      <c r="AA405" s="22"/>
      <c r="AB405" s="22"/>
      <c r="AC405" s="22"/>
      <c r="AD405" s="22"/>
      <c r="AE405" s="22"/>
      <c r="AF405" s="48" t="str">
        <f t="shared" si="24"/>
        <v/>
      </c>
      <c r="AG405" s="48" t="str">
        <f t="shared" si="25"/>
        <v/>
      </c>
      <c r="AH405" s="48" t="str">
        <f t="shared" si="26"/>
        <v/>
      </c>
      <c r="AI405" s="40" t="str">
        <f t="shared" si="27"/>
        <v/>
      </c>
      <c r="AJ405" s="40"/>
      <c r="AK405" s="40"/>
      <c r="AL405" s="22"/>
    </row>
    <row r="406" spans="1:38" ht="17.399999999999999">
      <c r="A406" s="22"/>
      <c r="B406" s="22"/>
      <c r="C406" s="56"/>
      <c r="D406" s="56"/>
      <c r="E406" s="22"/>
      <c r="F406" s="22"/>
      <c r="G406" s="22"/>
      <c r="H406" s="22"/>
      <c r="I406" s="49"/>
      <c r="J406" s="50"/>
      <c r="K406" s="22"/>
      <c r="L406" s="22"/>
      <c r="M406" s="22"/>
      <c r="N406" s="22"/>
      <c r="O406" s="22"/>
      <c r="P406" s="46"/>
      <c r="Q406" s="40"/>
      <c r="R406" s="41"/>
      <c r="S406" s="22" t="str">
        <f t="shared" si="23"/>
        <v/>
      </c>
      <c r="T406" s="41"/>
      <c r="U406" s="44"/>
      <c r="V406" s="44"/>
      <c r="W406" s="46"/>
      <c r="X406" s="46"/>
      <c r="Y406" s="46"/>
      <c r="Z406" s="22"/>
      <c r="AA406" s="22"/>
      <c r="AB406" s="22"/>
      <c r="AC406" s="22"/>
      <c r="AD406" s="22"/>
      <c r="AE406" s="22"/>
      <c r="AF406" s="48" t="str">
        <f t="shared" si="24"/>
        <v/>
      </c>
      <c r="AG406" s="48" t="str">
        <f t="shared" si="25"/>
        <v/>
      </c>
      <c r="AH406" s="48" t="str">
        <f t="shared" si="26"/>
        <v/>
      </c>
      <c r="AI406" s="40" t="str">
        <f t="shared" si="27"/>
        <v/>
      </c>
      <c r="AJ406" s="40"/>
      <c r="AK406" s="40"/>
      <c r="AL406" s="22"/>
    </row>
    <row r="407" spans="1:38" ht="17.399999999999999">
      <c r="A407" s="22"/>
      <c r="B407" s="22"/>
      <c r="C407" s="56"/>
      <c r="D407" s="56"/>
      <c r="E407" s="22"/>
      <c r="F407" s="22"/>
      <c r="G407" s="22"/>
      <c r="H407" s="22"/>
      <c r="I407" s="49"/>
      <c r="J407" s="50"/>
      <c r="K407" s="22"/>
      <c r="L407" s="22"/>
      <c r="M407" s="22"/>
      <c r="N407" s="22"/>
      <c r="O407" s="22"/>
      <c r="P407" s="46"/>
      <c r="Q407" s="40"/>
      <c r="R407" s="41"/>
      <c r="S407" s="22" t="str">
        <f t="shared" ref="S407:S470" si="28">IF(A407="","",M407+O407)</f>
        <v/>
      </c>
      <c r="T407" s="41"/>
      <c r="U407" s="44"/>
      <c r="V407" s="44"/>
      <c r="W407" s="46"/>
      <c r="X407" s="46"/>
      <c r="Y407" s="46"/>
      <c r="Z407" s="22"/>
      <c r="AA407" s="22"/>
      <c r="AB407" s="22"/>
      <c r="AC407" s="22"/>
      <c r="AD407" s="22"/>
      <c r="AE407" s="22"/>
      <c r="AF407" s="48" t="str">
        <f t="shared" ref="AF407:AF470" si="29">IF(A407="","",S407-X407)</f>
        <v/>
      </c>
      <c r="AG407" s="48" t="str">
        <f t="shared" ref="AG407:AG470" si="30">IF(A407="","",X407-(AB407+AE407))</f>
        <v/>
      </c>
      <c r="AH407" s="48" t="str">
        <f t="shared" ref="AH407:AH470" si="31">IF(A407="","",AF407+AG407)</f>
        <v/>
      </c>
      <c r="AI407" s="40" t="str">
        <f t="shared" ref="AI407:AI470" si="32">IF(A407="","",R407+21)</f>
        <v/>
      </c>
      <c r="AJ407" s="40"/>
      <c r="AK407" s="40"/>
      <c r="AL407" s="22"/>
    </row>
    <row r="408" spans="1:38" ht="17.399999999999999">
      <c r="A408" s="22"/>
      <c r="B408" s="22"/>
      <c r="C408" s="56"/>
      <c r="D408" s="56"/>
      <c r="E408" s="22"/>
      <c r="F408" s="22"/>
      <c r="G408" s="22"/>
      <c r="H408" s="22"/>
      <c r="I408" s="49"/>
      <c r="J408" s="50"/>
      <c r="K408" s="22"/>
      <c r="L408" s="22"/>
      <c r="M408" s="22"/>
      <c r="N408" s="22"/>
      <c r="O408" s="22"/>
      <c r="P408" s="46"/>
      <c r="Q408" s="40"/>
      <c r="R408" s="41"/>
      <c r="S408" s="22" t="str">
        <f t="shared" si="28"/>
        <v/>
      </c>
      <c r="T408" s="41"/>
      <c r="U408" s="44"/>
      <c r="V408" s="44"/>
      <c r="W408" s="46"/>
      <c r="X408" s="46"/>
      <c r="Y408" s="46"/>
      <c r="Z408" s="22"/>
      <c r="AA408" s="22"/>
      <c r="AB408" s="22"/>
      <c r="AC408" s="22"/>
      <c r="AD408" s="22"/>
      <c r="AE408" s="22"/>
      <c r="AF408" s="48" t="str">
        <f t="shared" si="29"/>
        <v/>
      </c>
      <c r="AG408" s="48" t="str">
        <f t="shared" si="30"/>
        <v/>
      </c>
      <c r="AH408" s="48" t="str">
        <f t="shared" si="31"/>
        <v/>
      </c>
      <c r="AI408" s="40" t="str">
        <f t="shared" si="32"/>
        <v/>
      </c>
      <c r="AJ408" s="40"/>
      <c r="AK408" s="40"/>
      <c r="AL408" s="22"/>
    </row>
    <row r="409" spans="1:38" ht="17.399999999999999">
      <c r="A409" s="22"/>
      <c r="B409" s="22"/>
      <c r="C409" s="56"/>
      <c r="D409" s="56"/>
      <c r="E409" s="22"/>
      <c r="F409" s="22"/>
      <c r="G409" s="22"/>
      <c r="H409" s="22"/>
      <c r="I409" s="49"/>
      <c r="J409" s="50"/>
      <c r="K409" s="22"/>
      <c r="L409" s="22"/>
      <c r="M409" s="22"/>
      <c r="N409" s="22"/>
      <c r="O409" s="22"/>
      <c r="P409" s="46"/>
      <c r="Q409" s="40"/>
      <c r="R409" s="41"/>
      <c r="S409" s="22" t="str">
        <f t="shared" si="28"/>
        <v/>
      </c>
      <c r="T409" s="41"/>
      <c r="U409" s="44"/>
      <c r="V409" s="44"/>
      <c r="W409" s="46"/>
      <c r="X409" s="46"/>
      <c r="Y409" s="46"/>
      <c r="Z409" s="22"/>
      <c r="AA409" s="22"/>
      <c r="AB409" s="22"/>
      <c r="AC409" s="22"/>
      <c r="AD409" s="22"/>
      <c r="AE409" s="22"/>
      <c r="AF409" s="48" t="str">
        <f t="shared" si="29"/>
        <v/>
      </c>
      <c r="AG409" s="48" t="str">
        <f t="shared" si="30"/>
        <v/>
      </c>
      <c r="AH409" s="48" t="str">
        <f t="shared" si="31"/>
        <v/>
      </c>
      <c r="AI409" s="40" t="str">
        <f t="shared" si="32"/>
        <v/>
      </c>
      <c r="AJ409" s="40"/>
      <c r="AK409" s="40"/>
      <c r="AL409" s="22"/>
    </row>
    <row r="410" spans="1:38" ht="17.399999999999999">
      <c r="A410" s="22"/>
      <c r="B410" s="22"/>
      <c r="C410" s="56"/>
      <c r="D410" s="56"/>
      <c r="E410" s="22"/>
      <c r="F410" s="22"/>
      <c r="G410" s="22"/>
      <c r="H410" s="22"/>
      <c r="I410" s="49"/>
      <c r="J410" s="50"/>
      <c r="K410" s="22"/>
      <c r="L410" s="22"/>
      <c r="M410" s="22"/>
      <c r="N410" s="22"/>
      <c r="O410" s="22"/>
      <c r="P410" s="46"/>
      <c r="Q410" s="40"/>
      <c r="R410" s="41"/>
      <c r="S410" s="22" t="str">
        <f t="shared" si="28"/>
        <v/>
      </c>
      <c r="T410" s="41"/>
      <c r="U410" s="44"/>
      <c r="V410" s="44"/>
      <c r="W410" s="46"/>
      <c r="X410" s="46"/>
      <c r="Y410" s="46"/>
      <c r="Z410" s="22"/>
      <c r="AA410" s="22"/>
      <c r="AB410" s="22"/>
      <c r="AC410" s="22"/>
      <c r="AD410" s="22"/>
      <c r="AE410" s="22"/>
      <c r="AF410" s="48" t="str">
        <f t="shared" si="29"/>
        <v/>
      </c>
      <c r="AG410" s="48" t="str">
        <f t="shared" si="30"/>
        <v/>
      </c>
      <c r="AH410" s="48" t="str">
        <f t="shared" si="31"/>
        <v/>
      </c>
      <c r="AI410" s="40" t="str">
        <f t="shared" si="32"/>
        <v/>
      </c>
      <c r="AJ410" s="40"/>
      <c r="AK410" s="40"/>
      <c r="AL410" s="22"/>
    </row>
    <row r="411" spans="1:38" ht="17.399999999999999">
      <c r="A411" s="22"/>
      <c r="B411" s="22"/>
      <c r="C411" s="56"/>
      <c r="D411" s="56"/>
      <c r="E411" s="22"/>
      <c r="F411" s="22"/>
      <c r="G411" s="22"/>
      <c r="H411" s="22"/>
      <c r="I411" s="49"/>
      <c r="J411" s="50"/>
      <c r="K411" s="22"/>
      <c r="L411" s="22"/>
      <c r="M411" s="22"/>
      <c r="N411" s="22"/>
      <c r="O411" s="22"/>
      <c r="P411" s="46"/>
      <c r="Q411" s="40"/>
      <c r="R411" s="41"/>
      <c r="S411" s="22" t="str">
        <f t="shared" si="28"/>
        <v/>
      </c>
      <c r="T411" s="41"/>
      <c r="U411" s="44"/>
      <c r="V411" s="44"/>
      <c r="W411" s="46"/>
      <c r="X411" s="46"/>
      <c r="Y411" s="46"/>
      <c r="Z411" s="22"/>
      <c r="AA411" s="22"/>
      <c r="AB411" s="22"/>
      <c r="AC411" s="22"/>
      <c r="AD411" s="22"/>
      <c r="AE411" s="22"/>
      <c r="AF411" s="48" t="str">
        <f t="shared" si="29"/>
        <v/>
      </c>
      <c r="AG411" s="48" t="str">
        <f t="shared" si="30"/>
        <v/>
      </c>
      <c r="AH411" s="48" t="str">
        <f t="shared" si="31"/>
        <v/>
      </c>
      <c r="AI411" s="40" t="str">
        <f t="shared" si="32"/>
        <v/>
      </c>
      <c r="AJ411" s="40"/>
      <c r="AK411" s="40"/>
      <c r="AL411" s="22"/>
    </row>
    <row r="412" spans="1:38" ht="17.399999999999999">
      <c r="A412" s="22"/>
      <c r="B412" s="22"/>
      <c r="C412" s="56"/>
      <c r="D412" s="56"/>
      <c r="E412" s="22"/>
      <c r="F412" s="22"/>
      <c r="G412" s="22"/>
      <c r="H412" s="22"/>
      <c r="I412" s="49"/>
      <c r="J412" s="50"/>
      <c r="K412" s="22"/>
      <c r="L412" s="22"/>
      <c r="M412" s="22"/>
      <c r="N412" s="22"/>
      <c r="O412" s="22"/>
      <c r="P412" s="46"/>
      <c r="Q412" s="40"/>
      <c r="R412" s="41"/>
      <c r="S412" s="22" t="str">
        <f t="shared" si="28"/>
        <v/>
      </c>
      <c r="T412" s="41"/>
      <c r="U412" s="44"/>
      <c r="V412" s="44"/>
      <c r="W412" s="46"/>
      <c r="X412" s="46"/>
      <c r="Y412" s="46"/>
      <c r="Z412" s="22"/>
      <c r="AA412" s="22"/>
      <c r="AB412" s="22"/>
      <c r="AC412" s="22"/>
      <c r="AD412" s="22"/>
      <c r="AE412" s="22"/>
      <c r="AF412" s="48" t="str">
        <f t="shared" si="29"/>
        <v/>
      </c>
      <c r="AG412" s="48" t="str">
        <f t="shared" si="30"/>
        <v/>
      </c>
      <c r="AH412" s="48" t="str">
        <f t="shared" si="31"/>
        <v/>
      </c>
      <c r="AI412" s="40" t="str">
        <f t="shared" si="32"/>
        <v/>
      </c>
      <c r="AJ412" s="40"/>
      <c r="AK412" s="40"/>
      <c r="AL412" s="22"/>
    </row>
    <row r="413" spans="1:38" ht="17.399999999999999">
      <c r="A413" s="22"/>
      <c r="B413" s="22"/>
      <c r="C413" s="56"/>
      <c r="D413" s="56"/>
      <c r="E413" s="22"/>
      <c r="F413" s="22"/>
      <c r="G413" s="22"/>
      <c r="H413" s="22"/>
      <c r="I413" s="49"/>
      <c r="J413" s="50"/>
      <c r="K413" s="22"/>
      <c r="L413" s="22"/>
      <c r="M413" s="22"/>
      <c r="N413" s="22"/>
      <c r="O413" s="22"/>
      <c r="P413" s="46"/>
      <c r="Q413" s="40"/>
      <c r="R413" s="41"/>
      <c r="S413" s="22" t="str">
        <f t="shared" si="28"/>
        <v/>
      </c>
      <c r="T413" s="41"/>
      <c r="U413" s="44"/>
      <c r="V413" s="44"/>
      <c r="W413" s="46"/>
      <c r="X413" s="46"/>
      <c r="Y413" s="46"/>
      <c r="Z413" s="22"/>
      <c r="AA413" s="22"/>
      <c r="AB413" s="22"/>
      <c r="AC413" s="22"/>
      <c r="AD413" s="22"/>
      <c r="AE413" s="22"/>
      <c r="AF413" s="48" t="str">
        <f t="shared" si="29"/>
        <v/>
      </c>
      <c r="AG413" s="48" t="str">
        <f t="shared" si="30"/>
        <v/>
      </c>
      <c r="AH413" s="48" t="str">
        <f t="shared" si="31"/>
        <v/>
      </c>
      <c r="AI413" s="40" t="str">
        <f t="shared" si="32"/>
        <v/>
      </c>
      <c r="AJ413" s="40"/>
      <c r="AK413" s="40"/>
      <c r="AL413" s="22"/>
    </row>
    <row r="414" spans="1:38" ht="17.399999999999999">
      <c r="A414" s="22"/>
      <c r="B414" s="22"/>
      <c r="C414" s="56"/>
      <c r="D414" s="56"/>
      <c r="E414" s="22"/>
      <c r="F414" s="22"/>
      <c r="G414" s="22"/>
      <c r="H414" s="22"/>
      <c r="I414" s="49"/>
      <c r="J414" s="50"/>
      <c r="K414" s="22"/>
      <c r="L414" s="22"/>
      <c r="M414" s="22"/>
      <c r="N414" s="22"/>
      <c r="O414" s="22"/>
      <c r="P414" s="46"/>
      <c r="Q414" s="40"/>
      <c r="R414" s="41"/>
      <c r="S414" s="22" t="str">
        <f t="shared" si="28"/>
        <v/>
      </c>
      <c r="T414" s="41"/>
      <c r="U414" s="44"/>
      <c r="V414" s="44"/>
      <c r="W414" s="46"/>
      <c r="X414" s="46"/>
      <c r="Y414" s="46"/>
      <c r="Z414" s="22"/>
      <c r="AA414" s="22"/>
      <c r="AB414" s="22"/>
      <c r="AC414" s="22"/>
      <c r="AD414" s="22"/>
      <c r="AE414" s="22"/>
      <c r="AF414" s="48" t="str">
        <f t="shared" si="29"/>
        <v/>
      </c>
      <c r="AG414" s="48" t="str">
        <f t="shared" si="30"/>
        <v/>
      </c>
      <c r="AH414" s="48" t="str">
        <f t="shared" si="31"/>
        <v/>
      </c>
      <c r="AI414" s="40" t="str">
        <f t="shared" si="32"/>
        <v/>
      </c>
      <c r="AJ414" s="40"/>
      <c r="AK414" s="40"/>
      <c r="AL414" s="22"/>
    </row>
    <row r="415" spans="1:38" ht="17.399999999999999">
      <c r="A415" s="22"/>
      <c r="B415" s="22"/>
      <c r="C415" s="56"/>
      <c r="D415" s="56"/>
      <c r="E415" s="22"/>
      <c r="F415" s="22"/>
      <c r="G415" s="22"/>
      <c r="H415" s="22"/>
      <c r="I415" s="49"/>
      <c r="J415" s="50"/>
      <c r="K415" s="22"/>
      <c r="L415" s="22"/>
      <c r="M415" s="22"/>
      <c r="N415" s="22"/>
      <c r="O415" s="22"/>
      <c r="P415" s="46"/>
      <c r="Q415" s="40"/>
      <c r="R415" s="41"/>
      <c r="S415" s="22" t="str">
        <f t="shared" si="28"/>
        <v/>
      </c>
      <c r="T415" s="41"/>
      <c r="U415" s="44"/>
      <c r="V415" s="44"/>
      <c r="W415" s="46"/>
      <c r="X415" s="46"/>
      <c r="Y415" s="46"/>
      <c r="Z415" s="22"/>
      <c r="AA415" s="22"/>
      <c r="AB415" s="22"/>
      <c r="AC415" s="22"/>
      <c r="AD415" s="22"/>
      <c r="AE415" s="22"/>
      <c r="AF415" s="48" t="str">
        <f t="shared" si="29"/>
        <v/>
      </c>
      <c r="AG415" s="48" t="str">
        <f t="shared" si="30"/>
        <v/>
      </c>
      <c r="AH415" s="48" t="str">
        <f t="shared" si="31"/>
        <v/>
      </c>
      <c r="AI415" s="40" t="str">
        <f t="shared" si="32"/>
        <v/>
      </c>
      <c r="AJ415" s="40"/>
      <c r="AK415" s="40"/>
      <c r="AL415" s="22"/>
    </row>
    <row r="416" spans="1:38" ht="17.399999999999999">
      <c r="A416" s="22"/>
      <c r="B416" s="22"/>
      <c r="C416" s="56"/>
      <c r="D416" s="56"/>
      <c r="E416" s="22"/>
      <c r="F416" s="22"/>
      <c r="G416" s="22"/>
      <c r="H416" s="22"/>
      <c r="I416" s="49"/>
      <c r="J416" s="50"/>
      <c r="K416" s="22"/>
      <c r="L416" s="22"/>
      <c r="M416" s="22"/>
      <c r="N416" s="22"/>
      <c r="O416" s="22"/>
      <c r="P416" s="46"/>
      <c r="Q416" s="40"/>
      <c r="R416" s="41"/>
      <c r="S416" s="22" t="str">
        <f t="shared" si="28"/>
        <v/>
      </c>
      <c r="T416" s="41"/>
      <c r="U416" s="44"/>
      <c r="V416" s="44"/>
      <c r="W416" s="46"/>
      <c r="X416" s="46"/>
      <c r="Y416" s="46"/>
      <c r="Z416" s="22"/>
      <c r="AA416" s="22"/>
      <c r="AB416" s="22"/>
      <c r="AC416" s="22"/>
      <c r="AD416" s="22"/>
      <c r="AE416" s="22"/>
      <c r="AF416" s="48" t="str">
        <f t="shared" si="29"/>
        <v/>
      </c>
      <c r="AG416" s="48" t="str">
        <f t="shared" si="30"/>
        <v/>
      </c>
      <c r="AH416" s="48" t="str">
        <f t="shared" si="31"/>
        <v/>
      </c>
      <c r="AI416" s="40" t="str">
        <f t="shared" si="32"/>
        <v/>
      </c>
      <c r="AJ416" s="40"/>
      <c r="AK416" s="40"/>
      <c r="AL416" s="22"/>
    </row>
    <row r="417" spans="1:38" ht="17.399999999999999">
      <c r="A417" s="22"/>
      <c r="B417" s="22"/>
      <c r="C417" s="56"/>
      <c r="D417" s="56"/>
      <c r="E417" s="22"/>
      <c r="F417" s="22"/>
      <c r="G417" s="22"/>
      <c r="H417" s="22"/>
      <c r="I417" s="49"/>
      <c r="J417" s="50"/>
      <c r="K417" s="22"/>
      <c r="L417" s="22"/>
      <c r="M417" s="22"/>
      <c r="N417" s="22"/>
      <c r="O417" s="22"/>
      <c r="P417" s="46"/>
      <c r="Q417" s="40"/>
      <c r="R417" s="41"/>
      <c r="S417" s="22" t="str">
        <f t="shared" si="28"/>
        <v/>
      </c>
      <c r="T417" s="41"/>
      <c r="U417" s="44"/>
      <c r="V417" s="44"/>
      <c r="W417" s="46"/>
      <c r="X417" s="46"/>
      <c r="Y417" s="46"/>
      <c r="Z417" s="22"/>
      <c r="AA417" s="22"/>
      <c r="AB417" s="22"/>
      <c r="AC417" s="22"/>
      <c r="AD417" s="22"/>
      <c r="AE417" s="22"/>
      <c r="AF417" s="48" t="str">
        <f t="shared" si="29"/>
        <v/>
      </c>
      <c r="AG417" s="48" t="str">
        <f t="shared" si="30"/>
        <v/>
      </c>
      <c r="AH417" s="48" t="str">
        <f t="shared" si="31"/>
        <v/>
      </c>
      <c r="AI417" s="40" t="str">
        <f t="shared" si="32"/>
        <v/>
      </c>
      <c r="AJ417" s="40"/>
      <c r="AK417" s="40"/>
      <c r="AL417" s="22"/>
    </row>
    <row r="418" spans="1:38" ht="17.399999999999999">
      <c r="A418" s="22"/>
      <c r="B418" s="22"/>
      <c r="C418" s="56"/>
      <c r="D418" s="56"/>
      <c r="E418" s="22"/>
      <c r="F418" s="22"/>
      <c r="G418" s="22"/>
      <c r="H418" s="22"/>
      <c r="I418" s="49"/>
      <c r="J418" s="50"/>
      <c r="K418" s="22"/>
      <c r="L418" s="22"/>
      <c r="M418" s="22"/>
      <c r="N418" s="22"/>
      <c r="O418" s="22"/>
      <c r="P418" s="46"/>
      <c r="Q418" s="40"/>
      <c r="R418" s="41"/>
      <c r="S418" s="22" t="str">
        <f t="shared" si="28"/>
        <v/>
      </c>
      <c r="T418" s="41"/>
      <c r="U418" s="44"/>
      <c r="V418" s="44"/>
      <c r="W418" s="46"/>
      <c r="X418" s="46"/>
      <c r="Y418" s="46"/>
      <c r="Z418" s="22"/>
      <c r="AA418" s="22"/>
      <c r="AB418" s="22"/>
      <c r="AC418" s="22"/>
      <c r="AD418" s="22"/>
      <c r="AE418" s="22"/>
      <c r="AF418" s="48" t="str">
        <f t="shared" si="29"/>
        <v/>
      </c>
      <c r="AG418" s="48" t="str">
        <f t="shared" si="30"/>
        <v/>
      </c>
      <c r="AH418" s="48" t="str">
        <f t="shared" si="31"/>
        <v/>
      </c>
      <c r="AI418" s="40" t="str">
        <f t="shared" si="32"/>
        <v/>
      </c>
      <c r="AJ418" s="40"/>
      <c r="AK418" s="40"/>
      <c r="AL418" s="22"/>
    </row>
    <row r="419" spans="1:38" ht="17.399999999999999">
      <c r="A419" s="22"/>
      <c r="B419" s="22"/>
      <c r="C419" s="56"/>
      <c r="D419" s="56"/>
      <c r="E419" s="22"/>
      <c r="F419" s="22"/>
      <c r="G419" s="22"/>
      <c r="H419" s="22"/>
      <c r="I419" s="49"/>
      <c r="J419" s="50"/>
      <c r="K419" s="22"/>
      <c r="L419" s="22"/>
      <c r="M419" s="22"/>
      <c r="N419" s="22"/>
      <c r="O419" s="22"/>
      <c r="P419" s="46"/>
      <c r="Q419" s="40"/>
      <c r="R419" s="41"/>
      <c r="S419" s="22" t="str">
        <f t="shared" si="28"/>
        <v/>
      </c>
      <c r="T419" s="41"/>
      <c r="U419" s="44"/>
      <c r="V419" s="44"/>
      <c r="W419" s="46"/>
      <c r="X419" s="46"/>
      <c r="Y419" s="46"/>
      <c r="Z419" s="22"/>
      <c r="AA419" s="22"/>
      <c r="AB419" s="22"/>
      <c r="AC419" s="22"/>
      <c r="AD419" s="22"/>
      <c r="AE419" s="22"/>
      <c r="AF419" s="48" t="str">
        <f t="shared" si="29"/>
        <v/>
      </c>
      <c r="AG419" s="48" t="str">
        <f t="shared" si="30"/>
        <v/>
      </c>
      <c r="AH419" s="48" t="str">
        <f t="shared" si="31"/>
        <v/>
      </c>
      <c r="AI419" s="40" t="str">
        <f t="shared" si="32"/>
        <v/>
      </c>
      <c r="AJ419" s="40"/>
      <c r="AK419" s="40"/>
      <c r="AL419" s="22"/>
    </row>
    <row r="420" spans="1:38" ht="17.399999999999999">
      <c r="A420" s="22"/>
      <c r="B420" s="22"/>
      <c r="C420" s="56"/>
      <c r="D420" s="56"/>
      <c r="E420" s="22"/>
      <c r="F420" s="22"/>
      <c r="G420" s="22"/>
      <c r="H420" s="22"/>
      <c r="I420" s="49"/>
      <c r="J420" s="50"/>
      <c r="K420" s="22"/>
      <c r="L420" s="22"/>
      <c r="M420" s="22"/>
      <c r="N420" s="22"/>
      <c r="O420" s="22"/>
      <c r="P420" s="46"/>
      <c r="Q420" s="40"/>
      <c r="R420" s="41"/>
      <c r="S420" s="22" t="str">
        <f t="shared" si="28"/>
        <v/>
      </c>
      <c r="T420" s="41"/>
      <c r="U420" s="44"/>
      <c r="V420" s="44"/>
      <c r="W420" s="46"/>
      <c r="X420" s="46"/>
      <c r="Y420" s="46"/>
      <c r="Z420" s="22"/>
      <c r="AA420" s="22"/>
      <c r="AB420" s="22"/>
      <c r="AC420" s="22"/>
      <c r="AD420" s="22"/>
      <c r="AE420" s="22"/>
      <c r="AF420" s="48" t="str">
        <f t="shared" si="29"/>
        <v/>
      </c>
      <c r="AG420" s="48" t="str">
        <f t="shared" si="30"/>
        <v/>
      </c>
      <c r="AH420" s="48" t="str">
        <f t="shared" si="31"/>
        <v/>
      </c>
      <c r="AI420" s="40" t="str">
        <f t="shared" si="32"/>
        <v/>
      </c>
      <c r="AJ420" s="40"/>
      <c r="AK420" s="40"/>
      <c r="AL420" s="22"/>
    </row>
    <row r="421" spans="1:38" ht="17.399999999999999">
      <c r="A421" s="22"/>
      <c r="B421" s="22"/>
      <c r="C421" s="56"/>
      <c r="D421" s="56"/>
      <c r="E421" s="22"/>
      <c r="F421" s="22"/>
      <c r="G421" s="22"/>
      <c r="H421" s="22"/>
      <c r="I421" s="49"/>
      <c r="J421" s="50"/>
      <c r="K421" s="22"/>
      <c r="L421" s="22"/>
      <c r="M421" s="22"/>
      <c r="N421" s="22"/>
      <c r="O421" s="22"/>
      <c r="P421" s="46"/>
      <c r="Q421" s="40"/>
      <c r="R421" s="41"/>
      <c r="S421" s="22" t="str">
        <f t="shared" si="28"/>
        <v/>
      </c>
      <c r="T421" s="41"/>
      <c r="U421" s="44"/>
      <c r="V421" s="44"/>
      <c r="W421" s="46"/>
      <c r="X421" s="46"/>
      <c r="Y421" s="46"/>
      <c r="Z421" s="22"/>
      <c r="AA421" s="22"/>
      <c r="AB421" s="22"/>
      <c r="AC421" s="22"/>
      <c r="AD421" s="22"/>
      <c r="AE421" s="22"/>
      <c r="AF421" s="48" t="str">
        <f t="shared" si="29"/>
        <v/>
      </c>
      <c r="AG421" s="48" t="str">
        <f t="shared" si="30"/>
        <v/>
      </c>
      <c r="AH421" s="48" t="str">
        <f t="shared" si="31"/>
        <v/>
      </c>
      <c r="AI421" s="40" t="str">
        <f t="shared" si="32"/>
        <v/>
      </c>
      <c r="AJ421" s="40"/>
      <c r="AK421" s="40"/>
      <c r="AL421" s="22"/>
    </row>
    <row r="422" spans="1:38" ht="17.399999999999999">
      <c r="A422" s="22"/>
      <c r="B422" s="22"/>
      <c r="C422" s="56"/>
      <c r="D422" s="56"/>
      <c r="E422" s="22"/>
      <c r="F422" s="22"/>
      <c r="G422" s="22"/>
      <c r="H422" s="22"/>
      <c r="I422" s="49"/>
      <c r="J422" s="50"/>
      <c r="K422" s="22"/>
      <c r="L422" s="22"/>
      <c r="M422" s="22"/>
      <c r="N422" s="22"/>
      <c r="O422" s="22"/>
      <c r="P422" s="46"/>
      <c r="Q422" s="40"/>
      <c r="R422" s="41"/>
      <c r="S422" s="22" t="str">
        <f t="shared" si="28"/>
        <v/>
      </c>
      <c r="T422" s="41"/>
      <c r="U422" s="44"/>
      <c r="V422" s="44"/>
      <c r="W422" s="46"/>
      <c r="X422" s="46"/>
      <c r="Y422" s="46"/>
      <c r="Z422" s="22"/>
      <c r="AA422" s="22"/>
      <c r="AB422" s="22"/>
      <c r="AC422" s="22"/>
      <c r="AD422" s="22"/>
      <c r="AE422" s="22"/>
      <c r="AF422" s="48" t="str">
        <f t="shared" si="29"/>
        <v/>
      </c>
      <c r="AG422" s="48" t="str">
        <f t="shared" si="30"/>
        <v/>
      </c>
      <c r="AH422" s="48" t="str">
        <f t="shared" si="31"/>
        <v/>
      </c>
      <c r="AI422" s="40" t="str">
        <f t="shared" si="32"/>
        <v/>
      </c>
      <c r="AJ422" s="40"/>
      <c r="AK422" s="40"/>
      <c r="AL422" s="22"/>
    </row>
    <row r="423" spans="1:38" ht="17.399999999999999">
      <c r="A423" s="22"/>
      <c r="B423" s="22"/>
      <c r="C423" s="56"/>
      <c r="D423" s="56"/>
      <c r="E423" s="22"/>
      <c r="F423" s="22"/>
      <c r="G423" s="22"/>
      <c r="H423" s="22"/>
      <c r="I423" s="49"/>
      <c r="J423" s="50"/>
      <c r="K423" s="22"/>
      <c r="L423" s="22"/>
      <c r="M423" s="22"/>
      <c r="N423" s="22"/>
      <c r="O423" s="22"/>
      <c r="P423" s="46"/>
      <c r="Q423" s="40"/>
      <c r="R423" s="41"/>
      <c r="S423" s="22" t="str">
        <f t="shared" si="28"/>
        <v/>
      </c>
      <c r="T423" s="41"/>
      <c r="U423" s="44"/>
      <c r="V423" s="44"/>
      <c r="W423" s="46"/>
      <c r="X423" s="46"/>
      <c r="Y423" s="46"/>
      <c r="Z423" s="22"/>
      <c r="AA423" s="22"/>
      <c r="AB423" s="22"/>
      <c r="AC423" s="22"/>
      <c r="AD423" s="22"/>
      <c r="AE423" s="22"/>
      <c r="AF423" s="48" t="str">
        <f t="shared" si="29"/>
        <v/>
      </c>
      <c r="AG423" s="48" t="str">
        <f t="shared" si="30"/>
        <v/>
      </c>
      <c r="AH423" s="48" t="str">
        <f t="shared" si="31"/>
        <v/>
      </c>
      <c r="AI423" s="40" t="str">
        <f t="shared" si="32"/>
        <v/>
      </c>
      <c r="AJ423" s="40"/>
      <c r="AK423" s="40"/>
      <c r="AL423" s="22"/>
    </row>
    <row r="424" spans="1:38" ht="17.399999999999999">
      <c r="A424" s="22"/>
      <c r="B424" s="22"/>
      <c r="C424" s="56"/>
      <c r="D424" s="56"/>
      <c r="E424" s="22"/>
      <c r="F424" s="22"/>
      <c r="G424" s="22"/>
      <c r="H424" s="22"/>
      <c r="I424" s="49"/>
      <c r="J424" s="50"/>
      <c r="K424" s="22"/>
      <c r="L424" s="22"/>
      <c r="M424" s="22"/>
      <c r="N424" s="22"/>
      <c r="O424" s="22"/>
      <c r="P424" s="46"/>
      <c r="Q424" s="40"/>
      <c r="R424" s="41"/>
      <c r="S424" s="22" t="str">
        <f t="shared" si="28"/>
        <v/>
      </c>
      <c r="T424" s="41"/>
      <c r="U424" s="44"/>
      <c r="V424" s="44"/>
      <c r="W424" s="46"/>
      <c r="X424" s="46"/>
      <c r="Y424" s="46"/>
      <c r="Z424" s="22"/>
      <c r="AA424" s="22"/>
      <c r="AB424" s="22"/>
      <c r="AC424" s="22"/>
      <c r="AD424" s="22"/>
      <c r="AE424" s="22"/>
      <c r="AF424" s="48" t="str">
        <f t="shared" si="29"/>
        <v/>
      </c>
      <c r="AG424" s="48" t="str">
        <f t="shared" si="30"/>
        <v/>
      </c>
      <c r="AH424" s="48" t="str">
        <f t="shared" si="31"/>
        <v/>
      </c>
      <c r="AI424" s="40" t="str">
        <f t="shared" si="32"/>
        <v/>
      </c>
      <c r="AJ424" s="40"/>
      <c r="AK424" s="40"/>
      <c r="AL424" s="22"/>
    </row>
    <row r="425" spans="1:38" ht="17.399999999999999">
      <c r="A425" s="22"/>
      <c r="B425" s="22"/>
      <c r="C425" s="56"/>
      <c r="D425" s="56"/>
      <c r="E425" s="22"/>
      <c r="F425" s="22"/>
      <c r="G425" s="22"/>
      <c r="H425" s="22"/>
      <c r="I425" s="49"/>
      <c r="J425" s="50"/>
      <c r="K425" s="22"/>
      <c r="L425" s="22"/>
      <c r="M425" s="22"/>
      <c r="N425" s="22"/>
      <c r="O425" s="22"/>
      <c r="P425" s="46"/>
      <c r="Q425" s="40"/>
      <c r="R425" s="41"/>
      <c r="S425" s="22" t="str">
        <f t="shared" si="28"/>
        <v/>
      </c>
      <c r="T425" s="41"/>
      <c r="U425" s="44"/>
      <c r="V425" s="44"/>
      <c r="W425" s="46"/>
      <c r="X425" s="46"/>
      <c r="Y425" s="46"/>
      <c r="Z425" s="22"/>
      <c r="AA425" s="22"/>
      <c r="AB425" s="22"/>
      <c r="AC425" s="22"/>
      <c r="AD425" s="22"/>
      <c r="AE425" s="22"/>
      <c r="AF425" s="48" t="str">
        <f t="shared" si="29"/>
        <v/>
      </c>
      <c r="AG425" s="48" t="str">
        <f t="shared" si="30"/>
        <v/>
      </c>
      <c r="AH425" s="48" t="str">
        <f t="shared" si="31"/>
        <v/>
      </c>
      <c r="AI425" s="40" t="str">
        <f t="shared" si="32"/>
        <v/>
      </c>
      <c r="AJ425" s="40"/>
      <c r="AK425" s="40"/>
      <c r="AL425" s="22"/>
    </row>
    <row r="426" spans="1:38" ht="17.399999999999999">
      <c r="A426" s="22"/>
      <c r="B426" s="22"/>
      <c r="C426" s="56"/>
      <c r="D426" s="56"/>
      <c r="E426" s="22"/>
      <c r="F426" s="22"/>
      <c r="G426" s="22"/>
      <c r="H426" s="22"/>
      <c r="I426" s="49"/>
      <c r="J426" s="50"/>
      <c r="K426" s="22"/>
      <c r="L426" s="22"/>
      <c r="M426" s="22"/>
      <c r="N426" s="22"/>
      <c r="O426" s="22"/>
      <c r="P426" s="46"/>
      <c r="Q426" s="40"/>
      <c r="R426" s="41"/>
      <c r="S426" s="22" t="str">
        <f t="shared" si="28"/>
        <v/>
      </c>
      <c r="T426" s="41"/>
      <c r="U426" s="44"/>
      <c r="V426" s="44"/>
      <c r="W426" s="46"/>
      <c r="X426" s="46"/>
      <c r="Y426" s="46"/>
      <c r="Z426" s="22"/>
      <c r="AA426" s="22"/>
      <c r="AB426" s="22"/>
      <c r="AC426" s="22"/>
      <c r="AD426" s="22"/>
      <c r="AE426" s="22"/>
      <c r="AF426" s="48" t="str">
        <f t="shared" si="29"/>
        <v/>
      </c>
      <c r="AG426" s="48" t="str">
        <f t="shared" si="30"/>
        <v/>
      </c>
      <c r="AH426" s="48" t="str">
        <f t="shared" si="31"/>
        <v/>
      </c>
      <c r="AI426" s="40" t="str">
        <f t="shared" si="32"/>
        <v/>
      </c>
      <c r="AJ426" s="40"/>
      <c r="AK426" s="40"/>
      <c r="AL426" s="22"/>
    </row>
    <row r="427" spans="1:38" ht="17.399999999999999">
      <c r="A427" s="22"/>
      <c r="B427" s="22"/>
      <c r="C427" s="56"/>
      <c r="D427" s="56"/>
      <c r="E427" s="22"/>
      <c r="F427" s="22"/>
      <c r="G427" s="22"/>
      <c r="H427" s="22"/>
      <c r="I427" s="49"/>
      <c r="J427" s="50"/>
      <c r="K427" s="22"/>
      <c r="L427" s="22"/>
      <c r="M427" s="22"/>
      <c r="N427" s="22"/>
      <c r="O427" s="22"/>
      <c r="P427" s="46"/>
      <c r="Q427" s="40"/>
      <c r="R427" s="41"/>
      <c r="S427" s="22" t="str">
        <f t="shared" si="28"/>
        <v/>
      </c>
      <c r="T427" s="41"/>
      <c r="U427" s="44"/>
      <c r="V427" s="44"/>
      <c r="W427" s="46"/>
      <c r="X427" s="46"/>
      <c r="Y427" s="46"/>
      <c r="Z427" s="22"/>
      <c r="AA427" s="22"/>
      <c r="AB427" s="22"/>
      <c r="AC427" s="22"/>
      <c r="AD427" s="22"/>
      <c r="AE427" s="22"/>
      <c r="AF427" s="48" t="str">
        <f t="shared" si="29"/>
        <v/>
      </c>
      <c r="AG427" s="48" t="str">
        <f t="shared" si="30"/>
        <v/>
      </c>
      <c r="AH427" s="48" t="str">
        <f t="shared" si="31"/>
        <v/>
      </c>
      <c r="AI427" s="40" t="str">
        <f t="shared" si="32"/>
        <v/>
      </c>
      <c r="AJ427" s="40"/>
      <c r="AK427" s="40"/>
      <c r="AL427" s="22"/>
    </row>
    <row r="428" spans="1:38" ht="17.399999999999999">
      <c r="A428" s="22"/>
      <c r="B428" s="22"/>
      <c r="C428" s="56"/>
      <c r="D428" s="56"/>
      <c r="E428" s="22"/>
      <c r="F428" s="22"/>
      <c r="G428" s="22"/>
      <c r="H428" s="22"/>
      <c r="I428" s="49"/>
      <c r="J428" s="50"/>
      <c r="K428" s="22"/>
      <c r="L428" s="22"/>
      <c r="M428" s="22"/>
      <c r="N428" s="22"/>
      <c r="O428" s="22"/>
      <c r="P428" s="46"/>
      <c r="Q428" s="40"/>
      <c r="R428" s="41"/>
      <c r="S428" s="22" t="str">
        <f t="shared" si="28"/>
        <v/>
      </c>
      <c r="T428" s="41"/>
      <c r="U428" s="44"/>
      <c r="V428" s="44"/>
      <c r="W428" s="46"/>
      <c r="X428" s="46"/>
      <c r="Y428" s="46"/>
      <c r="Z428" s="22"/>
      <c r="AA428" s="22"/>
      <c r="AB428" s="22"/>
      <c r="AC428" s="22"/>
      <c r="AD428" s="22"/>
      <c r="AE428" s="22"/>
      <c r="AF428" s="48" t="str">
        <f t="shared" si="29"/>
        <v/>
      </c>
      <c r="AG428" s="48" t="str">
        <f t="shared" si="30"/>
        <v/>
      </c>
      <c r="AH428" s="48" t="str">
        <f t="shared" si="31"/>
        <v/>
      </c>
      <c r="AI428" s="40" t="str">
        <f t="shared" si="32"/>
        <v/>
      </c>
      <c r="AJ428" s="40"/>
      <c r="AK428" s="40"/>
      <c r="AL428" s="22"/>
    </row>
    <row r="429" spans="1:38" ht="17.399999999999999">
      <c r="A429" s="22"/>
      <c r="B429" s="22"/>
      <c r="C429" s="56"/>
      <c r="D429" s="56"/>
      <c r="E429" s="22"/>
      <c r="F429" s="22"/>
      <c r="G429" s="22"/>
      <c r="H429" s="22"/>
      <c r="I429" s="49"/>
      <c r="J429" s="50"/>
      <c r="K429" s="22"/>
      <c r="L429" s="22"/>
      <c r="M429" s="22"/>
      <c r="N429" s="22"/>
      <c r="O429" s="22"/>
      <c r="P429" s="46"/>
      <c r="Q429" s="40"/>
      <c r="R429" s="41"/>
      <c r="S429" s="22" t="str">
        <f t="shared" si="28"/>
        <v/>
      </c>
      <c r="T429" s="41"/>
      <c r="U429" s="44"/>
      <c r="V429" s="44"/>
      <c r="W429" s="46"/>
      <c r="X429" s="46"/>
      <c r="Y429" s="46"/>
      <c r="Z429" s="22"/>
      <c r="AA429" s="22"/>
      <c r="AB429" s="22"/>
      <c r="AC429" s="22"/>
      <c r="AD429" s="22"/>
      <c r="AE429" s="22"/>
      <c r="AF429" s="48" t="str">
        <f t="shared" si="29"/>
        <v/>
      </c>
      <c r="AG429" s="48" t="str">
        <f t="shared" si="30"/>
        <v/>
      </c>
      <c r="AH429" s="48" t="str">
        <f t="shared" si="31"/>
        <v/>
      </c>
      <c r="AI429" s="40" t="str">
        <f t="shared" si="32"/>
        <v/>
      </c>
      <c r="AJ429" s="40"/>
      <c r="AK429" s="40"/>
      <c r="AL429" s="22"/>
    </row>
    <row r="430" spans="1:38" ht="17.399999999999999">
      <c r="A430" s="22"/>
      <c r="B430" s="22"/>
      <c r="C430" s="56"/>
      <c r="D430" s="56"/>
      <c r="E430" s="22"/>
      <c r="F430" s="22"/>
      <c r="G430" s="22"/>
      <c r="H430" s="22"/>
      <c r="I430" s="49"/>
      <c r="J430" s="50"/>
      <c r="K430" s="22"/>
      <c r="L430" s="22"/>
      <c r="M430" s="22"/>
      <c r="N430" s="22"/>
      <c r="O430" s="22"/>
      <c r="P430" s="46"/>
      <c r="Q430" s="40"/>
      <c r="R430" s="41"/>
      <c r="S430" s="22" t="str">
        <f t="shared" si="28"/>
        <v/>
      </c>
      <c r="T430" s="41"/>
      <c r="U430" s="44"/>
      <c r="V430" s="44"/>
      <c r="W430" s="46"/>
      <c r="X430" s="46"/>
      <c r="Y430" s="46"/>
      <c r="Z430" s="22"/>
      <c r="AA430" s="22"/>
      <c r="AB430" s="22"/>
      <c r="AC430" s="22"/>
      <c r="AD430" s="22"/>
      <c r="AE430" s="22"/>
      <c r="AF430" s="48" t="str">
        <f t="shared" si="29"/>
        <v/>
      </c>
      <c r="AG430" s="48" t="str">
        <f t="shared" si="30"/>
        <v/>
      </c>
      <c r="AH430" s="48" t="str">
        <f t="shared" si="31"/>
        <v/>
      </c>
      <c r="AI430" s="40" t="str">
        <f t="shared" si="32"/>
        <v/>
      </c>
      <c r="AJ430" s="40"/>
      <c r="AK430" s="40"/>
      <c r="AL430" s="22"/>
    </row>
    <row r="431" spans="1:38" ht="17.399999999999999">
      <c r="A431" s="22"/>
      <c r="B431" s="22"/>
      <c r="C431" s="56"/>
      <c r="D431" s="56"/>
      <c r="E431" s="22"/>
      <c r="F431" s="22"/>
      <c r="G431" s="22"/>
      <c r="H431" s="22"/>
      <c r="I431" s="49"/>
      <c r="J431" s="50"/>
      <c r="K431" s="22"/>
      <c r="L431" s="22"/>
      <c r="M431" s="22"/>
      <c r="N431" s="22"/>
      <c r="O431" s="22"/>
      <c r="P431" s="46"/>
      <c r="Q431" s="40"/>
      <c r="R431" s="41"/>
      <c r="S431" s="22" t="str">
        <f t="shared" si="28"/>
        <v/>
      </c>
      <c r="T431" s="41"/>
      <c r="U431" s="44"/>
      <c r="V431" s="44"/>
      <c r="W431" s="46"/>
      <c r="X431" s="46"/>
      <c r="Y431" s="46"/>
      <c r="Z431" s="22"/>
      <c r="AA431" s="22"/>
      <c r="AB431" s="22"/>
      <c r="AC431" s="22"/>
      <c r="AD431" s="22"/>
      <c r="AE431" s="22"/>
      <c r="AF431" s="48" t="str">
        <f t="shared" si="29"/>
        <v/>
      </c>
      <c r="AG431" s="48" t="str">
        <f t="shared" si="30"/>
        <v/>
      </c>
      <c r="AH431" s="48" t="str">
        <f t="shared" si="31"/>
        <v/>
      </c>
      <c r="AI431" s="40" t="str">
        <f t="shared" si="32"/>
        <v/>
      </c>
      <c r="AJ431" s="40"/>
      <c r="AK431" s="40"/>
      <c r="AL431" s="22"/>
    </row>
    <row r="432" spans="1:38" ht="17.399999999999999">
      <c r="A432" s="22"/>
      <c r="B432" s="22"/>
      <c r="C432" s="56"/>
      <c r="D432" s="56"/>
      <c r="E432" s="22"/>
      <c r="F432" s="22"/>
      <c r="G432" s="22"/>
      <c r="H432" s="22"/>
      <c r="I432" s="49"/>
      <c r="J432" s="50"/>
      <c r="K432" s="22"/>
      <c r="L432" s="22"/>
      <c r="M432" s="22"/>
      <c r="N432" s="22"/>
      <c r="O432" s="22"/>
      <c r="P432" s="46"/>
      <c r="Q432" s="40"/>
      <c r="R432" s="41"/>
      <c r="S432" s="22" t="str">
        <f t="shared" si="28"/>
        <v/>
      </c>
      <c r="T432" s="41"/>
      <c r="U432" s="44"/>
      <c r="V432" s="44"/>
      <c r="W432" s="46"/>
      <c r="X432" s="46"/>
      <c r="Y432" s="46"/>
      <c r="Z432" s="22"/>
      <c r="AA432" s="22"/>
      <c r="AB432" s="22"/>
      <c r="AC432" s="22"/>
      <c r="AD432" s="22"/>
      <c r="AE432" s="22"/>
      <c r="AF432" s="48" t="str">
        <f t="shared" si="29"/>
        <v/>
      </c>
      <c r="AG432" s="48" t="str">
        <f t="shared" si="30"/>
        <v/>
      </c>
      <c r="AH432" s="48" t="str">
        <f t="shared" si="31"/>
        <v/>
      </c>
      <c r="AI432" s="40" t="str">
        <f t="shared" si="32"/>
        <v/>
      </c>
      <c r="AJ432" s="40"/>
      <c r="AK432" s="40"/>
      <c r="AL432" s="22"/>
    </row>
    <row r="433" spans="1:38" ht="17.399999999999999">
      <c r="A433" s="22"/>
      <c r="B433" s="22"/>
      <c r="C433" s="56"/>
      <c r="D433" s="56"/>
      <c r="E433" s="22"/>
      <c r="F433" s="22"/>
      <c r="G433" s="22"/>
      <c r="H433" s="22"/>
      <c r="I433" s="49"/>
      <c r="J433" s="50"/>
      <c r="K433" s="22"/>
      <c r="L433" s="22"/>
      <c r="M433" s="22"/>
      <c r="N433" s="22"/>
      <c r="O433" s="22"/>
      <c r="P433" s="46"/>
      <c r="Q433" s="40"/>
      <c r="R433" s="41"/>
      <c r="S433" s="22" t="str">
        <f t="shared" si="28"/>
        <v/>
      </c>
      <c r="T433" s="41"/>
      <c r="U433" s="44"/>
      <c r="V433" s="44"/>
      <c r="W433" s="46"/>
      <c r="X433" s="46"/>
      <c r="Y433" s="46"/>
      <c r="Z433" s="22"/>
      <c r="AA433" s="22"/>
      <c r="AB433" s="22"/>
      <c r="AC433" s="22"/>
      <c r="AD433" s="22"/>
      <c r="AE433" s="22"/>
      <c r="AF433" s="48" t="str">
        <f t="shared" si="29"/>
        <v/>
      </c>
      <c r="AG433" s="48" t="str">
        <f t="shared" si="30"/>
        <v/>
      </c>
      <c r="AH433" s="48" t="str">
        <f t="shared" si="31"/>
        <v/>
      </c>
      <c r="AI433" s="40" t="str">
        <f t="shared" si="32"/>
        <v/>
      </c>
      <c r="AJ433" s="40"/>
      <c r="AK433" s="40"/>
      <c r="AL433" s="22"/>
    </row>
    <row r="434" spans="1:38" ht="17.399999999999999">
      <c r="A434" s="22"/>
      <c r="B434" s="22"/>
      <c r="C434" s="56"/>
      <c r="D434" s="56"/>
      <c r="E434" s="22"/>
      <c r="F434" s="22"/>
      <c r="G434" s="22"/>
      <c r="H434" s="22"/>
      <c r="I434" s="49"/>
      <c r="J434" s="50"/>
      <c r="K434" s="22"/>
      <c r="L434" s="22"/>
      <c r="M434" s="22"/>
      <c r="N434" s="22"/>
      <c r="O434" s="22"/>
      <c r="P434" s="46"/>
      <c r="Q434" s="40"/>
      <c r="R434" s="41"/>
      <c r="S434" s="22" t="str">
        <f t="shared" si="28"/>
        <v/>
      </c>
      <c r="T434" s="41"/>
      <c r="U434" s="44"/>
      <c r="V434" s="44"/>
      <c r="W434" s="46"/>
      <c r="X434" s="46"/>
      <c r="Y434" s="46"/>
      <c r="Z434" s="22"/>
      <c r="AA434" s="22"/>
      <c r="AB434" s="22"/>
      <c r="AC434" s="22"/>
      <c r="AD434" s="22"/>
      <c r="AE434" s="22"/>
      <c r="AF434" s="48" t="str">
        <f t="shared" si="29"/>
        <v/>
      </c>
      <c r="AG434" s="48" t="str">
        <f t="shared" si="30"/>
        <v/>
      </c>
      <c r="AH434" s="48" t="str">
        <f t="shared" si="31"/>
        <v/>
      </c>
      <c r="AI434" s="40" t="str">
        <f t="shared" si="32"/>
        <v/>
      </c>
      <c r="AJ434" s="40"/>
      <c r="AK434" s="40"/>
      <c r="AL434" s="22"/>
    </row>
    <row r="435" spans="1:38" ht="17.399999999999999">
      <c r="A435" s="22"/>
      <c r="B435" s="22"/>
      <c r="C435" s="56"/>
      <c r="D435" s="56"/>
      <c r="E435" s="22"/>
      <c r="F435" s="22"/>
      <c r="G435" s="22"/>
      <c r="H435" s="22"/>
      <c r="I435" s="49"/>
      <c r="J435" s="50"/>
      <c r="K435" s="22"/>
      <c r="L435" s="22"/>
      <c r="M435" s="22"/>
      <c r="N435" s="22"/>
      <c r="O435" s="22"/>
      <c r="P435" s="46"/>
      <c r="Q435" s="40"/>
      <c r="R435" s="41"/>
      <c r="S435" s="22" t="str">
        <f t="shared" si="28"/>
        <v/>
      </c>
      <c r="T435" s="41"/>
      <c r="U435" s="44"/>
      <c r="V435" s="44"/>
      <c r="W435" s="46"/>
      <c r="X435" s="46"/>
      <c r="Y435" s="46"/>
      <c r="Z435" s="22"/>
      <c r="AA435" s="22"/>
      <c r="AB435" s="22"/>
      <c r="AC435" s="22"/>
      <c r="AD435" s="22"/>
      <c r="AE435" s="22"/>
      <c r="AF435" s="48" t="str">
        <f t="shared" si="29"/>
        <v/>
      </c>
      <c r="AG435" s="48" t="str">
        <f t="shared" si="30"/>
        <v/>
      </c>
      <c r="AH435" s="48" t="str">
        <f t="shared" si="31"/>
        <v/>
      </c>
      <c r="AI435" s="40" t="str">
        <f t="shared" si="32"/>
        <v/>
      </c>
      <c r="AJ435" s="40"/>
      <c r="AK435" s="40"/>
      <c r="AL435" s="22"/>
    </row>
    <row r="436" spans="1:38" ht="17.399999999999999">
      <c r="A436" s="22"/>
      <c r="B436" s="22"/>
      <c r="C436" s="56"/>
      <c r="D436" s="56"/>
      <c r="E436" s="22"/>
      <c r="F436" s="22"/>
      <c r="G436" s="22"/>
      <c r="H436" s="22"/>
      <c r="I436" s="49"/>
      <c r="J436" s="50"/>
      <c r="K436" s="22"/>
      <c r="L436" s="22"/>
      <c r="M436" s="22"/>
      <c r="N436" s="22"/>
      <c r="O436" s="22"/>
      <c r="P436" s="46"/>
      <c r="Q436" s="40"/>
      <c r="R436" s="41"/>
      <c r="S436" s="22" t="str">
        <f t="shared" si="28"/>
        <v/>
      </c>
      <c r="T436" s="41"/>
      <c r="U436" s="44"/>
      <c r="V436" s="44"/>
      <c r="W436" s="46"/>
      <c r="X436" s="46"/>
      <c r="Y436" s="46"/>
      <c r="Z436" s="22"/>
      <c r="AA436" s="22"/>
      <c r="AB436" s="22"/>
      <c r="AC436" s="22"/>
      <c r="AD436" s="22"/>
      <c r="AE436" s="22"/>
      <c r="AF436" s="48" t="str">
        <f t="shared" si="29"/>
        <v/>
      </c>
      <c r="AG436" s="48" t="str">
        <f t="shared" si="30"/>
        <v/>
      </c>
      <c r="AH436" s="48" t="str">
        <f t="shared" si="31"/>
        <v/>
      </c>
      <c r="AI436" s="40" t="str">
        <f t="shared" si="32"/>
        <v/>
      </c>
      <c r="AJ436" s="40"/>
      <c r="AK436" s="40"/>
      <c r="AL436" s="22"/>
    </row>
    <row r="437" spans="1:38" ht="17.399999999999999">
      <c r="A437" s="22"/>
      <c r="B437" s="22"/>
      <c r="C437" s="56"/>
      <c r="D437" s="56"/>
      <c r="E437" s="22"/>
      <c r="F437" s="22"/>
      <c r="G437" s="22"/>
      <c r="H437" s="22"/>
      <c r="I437" s="49"/>
      <c r="J437" s="50"/>
      <c r="K437" s="22"/>
      <c r="L437" s="22"/>
      <c r="M437" s="22"/>
      <c r="N437" s="22"/>
      <c r="O437" s="22"/>
      <c r="P437" s="46"/>
      <c r="Q437" s="40"/>
      <c r="R437" s="41"/>
      <c r="S437" s="22" t="str">
        <f t="shared" si="28"/>
        <v/>
      </c>
      <c r="T437" s="41"/>
      <c r="U437" s="44"/>
      <c r="V437" s="44"/>
      <c r="W437" s="46"/>
      <c r="X437" s="46"/>
      <c r="Y437" s="46"/>
      <c r="Z437" s="22"/>
      <c r="AA437" s="22"/>
      <c r="AB437" s="22"/>
      <c r="AC437" s="22"/>
      <c r="AD437" s="22"/>
      <c r="AE437" s="22"/>
      <c r="AF437" s="48" t="str">
        <f t="shared" si="29"/>
        <v/>
      </c>
      <c r="AG437" s="48" t="str">
        <f t="shared" si="30"/>
        <v/>
      </c>
      <c r="AH437" s="48" t="str">
        <f t="shared" si="31"/>
        <v/>
      </c>
      <c r="AI437" s="40" t="str">
        <f t="shared" si="32"/>
        <v/>
      </c>
      <c r="AJ437" s="40"/>
      <c r="AK437" s="40"/>
      <c r="AL437" s="22"/>
    </row>
    <row r="438" spans="1:38" ht="17.399999999999999">
      <c r="A438" s="22"/>
      <c r="B438" s="22"/>
      <c r="C438" s="56"/>
      <c r="D438" s="56"/>
      <c r="E438" s="22"/>
      <c r="F438" s="22"/>
      <c r="G438" s="22"/>
      <c r="H438" s="22"/>
      <c r="I438" s="49"/>
      <c r="J438" s="50"/>
      <c r="K438" s="22"/>
      <c r="L438" s="22"/>
      <c r="M438" s="22"/>
      <c r="N438" s="22"/>
      <c r="O438" s="22"/>
      <c r="P438" s="46"/>
      <c r="Q438" s="40"/>
      <c r="R438" s="41"/>
      <c r="S438" s="22" t="str">
        <f t="shared" si="28"/>
        <v/>
      </c>
      <c r="T438" s="41"/>
      <c r="U438" s="44"/>
      <c r="V438" s="44"/>
      <c r="W438" s="46"/>
      <c r="X438" s="46"/>
      <c r="Y438" s="46"/>
      <c r="Z438" s="22"/>
      <c r="AA438" s="22"/>
      <c r="AB438" s="22"/>
      <c r="AC438" s="22"/>
      <c r="AD438" s="22"/>
      <c r="AE438" s="22"/>
      <c r="AF438" s="48" t="str">
        <f t="shared" si="29"/>
        <v/>
      </c>
      <c r="AG438" s="48" t="str">
        <f t="shared" si="30"/>
        <v/>
      </c>
      <c r="AH438" s="48" t="str">
        <f t="shared" si="31"/>
        <v/>
      </c>
      <c r="AI438" s="40" t="str">
        <f t="shared" si="32"/>
        <v/>
      </c>
      <c r="AJ438" s="40"/>
      <c r="AK438" s="40"/>
      <c r="AL438" s="22"/>
    </row>
    <row r="439" spans="1:38" ht="17.399999999999999">
      <c r="A439" s="22"/>
      <c r="B439" s="22"/>
      <c r="C439" s="56"/>
      <c r="D439" s="56"/>
      <c r="E439" s="22"/>
      <c r="F439" s="22"/>
      <c r="G439" s="22"/>
      <c r="H439" s="22"/>
      <c r="I439" s="49"/>
      <c r="J439" s="50"/>
      <c r="K439" s="22"/>
      <c r="L439" s="22"/>
      <c r="M439" s="22"/>
      <c r="N439" s="22"/>
      <c r="O439" s="22"/>
      <c r="P439" s="46"/>
      <c r="Q439" s="40"/>
      <c r="R439" s="41"/>
      <c r="S439" s="22" t="str">
        <f t="shared" si="28"/>
        <v/>
      </c>
      <c r="T439" s="41"/>
      <c r="U439" s="44"/>
      <c r="V439" s="44"/>
      <c r="W439" s="46"/>
      <c r="X439" s="46"/>
      <c r="Y439" s="46"/>
      <c r="Z439" s="22"/>
      <c r="AA439" s="22"/>
      <c r="AB439" s="22"/>
      <c r="AC439" s="22"/>
      <c r="AD439" s="22"/>
      <c r="AE439" s="22"/>
      <c r="AF439" s="48" t="str">
        <f t="shared" si="29"/>
        <v/>
      </c>
      <c r="AG439" s="48" t="str">
        <f t="shared" si="30"/>
        <v/>
      </c>
      <c r="AH439" s="48" t="str">
        <f t="shared" si="31"/>
        <v/>
      </c>
      <c r="AI439" s="40" t="str">
        <f t="shared" si="32"/>
        <v/>
      </c>
      <c r="AJ439" s="40"/>
      <c r="AK439" s="40"/>
      <c r="AL439" s="22"/>
    </row>
    <row r="440" spans="1:38" ht="17.399999999999999">
      <c r="A440" s="22"/>
      <c r="B440" s="22"/>
      <c r="C440" s="56"/>
      <c r="D440" s="56"/>
      <c r="E440" s="22"/>
      <c r="F440" s="22"/>
      <c r="G440" s="22"/>
      <c r="H440" s="22"/>
      <c r="I440" s="49"/>
      <c r="J440" s="50"/>
      <c r="K440" s="22"/>
      <c r="L440" s="22"/>
      <c r="M440" s="22"/>
      <c r="N440" s="22"/>
      <c r="O440" s="22"/>
      <c r="P440" s="46"/>
      <c r="Q440" s="40"/>
      <c r="R440" s="41"/>
      <c r="S440" s="22" t="str">
        <f t="shared" si="28"/>
        <v/>
      </c>
      <c r="T440" s="41"/>
      <c r="U440" s="44"/>
      <c r="V440" s="44"/>
      <c r="W440" s="46"/>
      <c r="X440" s="46"/>
      <c r="Y440" s="46"/>
      <c r="Z440" s="22"/>
      <c r="AA440" s="22"/>
      <c r="AB440" s="22"/>
      <c r="AC440" s="22"/>
      <c r="AD440" s="22"/>
      <c r="AE440" s="22"/>
      <c r="AF440" s="48" t="str">
        <f t="shared" si="29"/>
        <v/>
      </c>
      <c r="AG440" s="48" t="str">
        <f t="shared" si="30"/>
        <v/>
      </c>
      <c r="AH440" s="48" t="str">
        <f t="shared" si="31"/>
        <v/>
      </c>
      <c r="AI440" s="40" t="str">
        <f t="shared" si="32"/>
        <v/>
      </c>
      <c r="AJ440" s="40"/>
      <c r="AK440" s="40"/>
      <c r="AL440" s="22"/>
    </row>
    <row r="441" spans="1:38" ht="17.399999999999999">
      <c r="A441" s="22"/>
      <c r="B441" s="22"/>
      <c r="C441" s="56"/>
      <c r="D441" s="56"/>
      <c r="E441" s="22"/>
      <c r="F441" s="22"/>
      <c r="G441" s="22"/>
      <c r="H441" s="22"/>
      <c r="I441" s="49"/>
      <c r="J441" s="50"/>
      <c r="K441" s="22"/>
      <c r="L441" s="22"/>
      <c r="M441" s="22"/>
      <c r="N441" s="22"/>
      <c r="O441" s="22"/>
      <c r="P441" s="46"/>
      <c r="Q441" s="40"/>
      <c r="R441" s="41"/>
      <c r="S441" s="22" t="str">
        <f t="shared" si="28"/>
        <v/>
      </c>
      <c r="T441" s="41"/>
      <c r="U441" s="44"/>
      <c r="V441" s="44"/>
      <c r="W441" s="46"/>
      <c r="X441" s="46"/>
      <c r="Y441" s="46"/>
      <c r="Z441" s="22"/>
      <c r="AA441" s="22"/>
      <c r="AB441" s="22"/>
      <c r="AC441" s="22"/>
      <c r="AD441" s="22"/>
      <c r="AE441" s="22"/>
      <c r="AF441" s="48" t="str">
        <f t="shared" si="29"/>
        <v/>
      </c>
      <c r="AG441" s="48" t="str">
        <f t="shared" si="30"/>
        <v/>
      </c>
      <c r="AH441" s="48" t="str">
        <f t="shared" si="31"/>
        <v/>
      </c>
      <c r="AI441" s="40" t="str">
        <f t="shared" si="32"/>
        <v/>
      </c>
      <c r="AJ441" s="40"/>
      <c r="AK441" s="40"/>
      <c r="AL441" s="22"/>
    </row>
    <row r="442" spans="1:38" ht="17.399999999999999">
      <c r="A442" s="22"/>
      <c r="B442" s="22"/>
      <c r="C442" s="56"/>
      <c r="D442" s="56"/>
      <c r="E442" s="22"/>
      <c r="F442" s="22"/>
      <c r="G442" s="22"/>
      <c r="H442" s="22"/>
      <c r="I442" s="49"/>
      <c r="J442" s="50"/>
      <c r="K442" s="22"/>
      <c r="L442" s="22"/>
      <c r="M442" s="22"/>
      <c r="N442" s="22"/>
      <c r="O442" s="22"/>
      <c r="P442" s="46"/>
      <c r="Q442" s="40"/>
      <c r="R442" s="41"/>
      <c r="S442" s="22" t="str">
        <f t="shared" si="28"/>
        <v/>
      </c>
      <c r="T442" s="41"/>
      <c r="U442" s="44"/>
      <c r="V442" s="44"/>
      <c r="W442" s="46"/>
      <c r="X442" s="46"/>
      <c r="Y442" s="46"/>
      <c r="Z442" s="22"/>
      <c r="AA442" s="22"/>
      <c r="AB442" s="22"/>
      <c r="AC442" s="22"/>
      <c r="AD442" s="22"/>
      <c r="AE442" s="22"/>
      <c r="AF442" s="48" t="str">
        <f t="shared" si="29"/>
        <v/>
      </c>
      <c r="AG442" s="48" t="str">
        <f t="shared" si="30"/>
        <v/>
      </c>
      <c r="AH442" s="48" t="str">
        <f t="shared" si="31"/>
        <v/>
      </c>
      <c r="AI442" s="40" t="str">
        <f t="shared" si="32"/>
        <v/>
      </c>
      <c r="AJ442" s="40"/>
      <c r="AK442" s="40"/>
      <c r="AL442" s="22"/>
    </row>
    <row r="443" spans="1:38" ht="17.399999999999999">
      <c r="A443" s="22"/>
      <c r="B443" s="22"/>
      <c r="C443" s="56"/>
      <c r="D443" s="56"/>
      <c r="E443" s="22"/>
      <c r="F443" s="22"/>
      <c r="G443" s="22"/>
      <c r="H443" s="22"/>
      <c r="I443" s="49"/>
      <c r="J443" s="50"/>
      <c r="K443" s="22"/>
      <c r="L443" s="22"/>
      <c r="M443" s="22"/>
      <c r="N443" s="22"/>
      <c r="O443" s="22"/>
      <c r="P443" s="46"/>
      <c r="Q443" s="40"/>
      <c r="R443" s="41"/>
      <c r="S443" s="22" t="str">
        <f t="shared" si="28"/>
        <v/>
      </c>
      <c r="T443" s="41"/>
      <c r="U443" s="44"/>
      <c r="V443" s="44"/>
      <c r="W443" s="46"/>
      <c r="X443" s="46"/>
      <c r="Y443" s="46"/>
      <c r="Z443" s="22"/>
      <c r="AA443" s="22"/>
      <c r="AB443" s="22"/>
      <c r="AC443" s="22"/>
      <c r="AD443" s="22"/>
      <c r="AE443" s="22"/>
      <c r="AF443" s="48" t="str">
        <f t="shared" si="29"/>
        <v/>
      </c>
      <c r="AG443" s="48" t="str">
        <f t="shared" si="30"/>
        <v/>
      </c>
      <c r="AH443" s="48" t="str">
        <f t="shared" si="31"/>
        <v/>
      </c>
      <c r="AI443" s="40" t="str">
        <f t="shared" si="32"/>
        <v/>
      </c>
      <c r="AJ443" s="40"/>
      <c r="AK443" s="40"/>
      <c r="AL443" s="22"/>
    </row>
    <row r="444" spans="1:38" ht="17.399999999999999">
      <c r="A444" s="22"/>
      <c r="B444" s="22"/>
      <c r="C444" s="56"/>
      <c r="D444" s="56"/>
      <c r="E444" s="22"/>
      <c r="F444" s="22"/>
      <c r="G444" s="22"/>
      <c r="H444" s="22"/>
      <c r="I444" s="49"/>
      <c r="J444" s="50"/>
      <c r="K444" s="22"/>
      <c r="L444" s="22"/>
      <c r="M444" s="22"/>
      <c r="N444" s="22"/>
      <c r="O444" s="22"/>
      <c r="P444" s="46"/>
      <c r="Q444" s="40"/>
      <c r="R444" s="41"/>
      <c r="S444" s="22" t="str">
        <f t="shared" si="28"/>
        <v/>
      </c>
      <c r="T444" s="41"/>
      <c r="U444" s="44"/>
      <c r="V444" s="44"/>
      <c r="W444" s="46"/>
      <c r="X444" s="46"/>
      <c r="Y444" s="46"/>
      <c r="Z444" s="22"/>
      <c r="AA444" s="22"/>
      <c r="AB444" s="22"/>
      <c r="AC444" s="22"/>
      <c r="AD444" s="22"/>
      <c r="AE444" s="22"/>
      <c r="AF444" s="48" t="str">
        <f t="shared" si="29"/>
        <v/>
      </c>
      <c r="AG444" s="48" t="str">
        <f t="shared" si="30"/>
        <v/>
      </c>
      <c r="AH444" s="48" t="str">
        <f t="shared" si="31"/>
        <v/>
      </c>
      <c r="AI444" s="40" t="str">
        <f t="shared" si="32"/>
        <v/>
      </c>
      <c r="AJ444" s="40"/>
      <c r="AK444" s="40"/>
      <c r="AL444" s="22"/>
    </row>
    <row r="445" spans="1:38" ht="17.399999999999999">
      <c r="A445" s="22"/>
      <c r="B445" s="22"/>
      <c r="C445" s="56"/>
      <c r="D445" s="56"/>
      <c r="E445" s="22"/>
      <c r="F445" s="22"/>
      <c r="G445" s="22"/>
      <c r="H445" s="22"/>
      <c r="I445" s="49"/>
      <c r="J445" s="50"/>
      <c r="K445" s="22"/>
      <c r="L445" s="22"/>
      <c r="M445" s="22"/>
      <c r="N445" s="22"/>
      <c r="O445" s="22"/>
      <c r="P445" s="46"/>
      <c r="Q445" s="40"/>
      <c r="R445" s="41"/>
      <c r="S445" s="22" t="str">
        <f t="shared" si="28"/>
        <v/>
      </c>
      <c r="T445" s="41"/>
      <c r="U445" s="44"/>
      <c r="V445" s="44"/>
      <c r="W445" s="46"/>
      <c r="X445" s="46"/>
      <c r="Y445" s="46"/>
      <c r="Z445" s="22"/>
      <c r="AA445" s="22"/>
      <c r="AB445" s="22"/>
      <c r="AC445" s="22"/>
      <c r="AD445" s="22"/>
      <c r="AE445" s="22"/>
      <c r="AF445" s="48" t="str">
        <f t="shared" si="29"/>
        <v/>
      </c>
      <c r="AG445" s="48" t="str">
        <f t="shared" si="30"/>
        <v/>
      </c>
      <c r="AH445" s="48" t="str">
        <f t="shared" si="31"/>
        <v/>
      </c>
      <c r="AI445" s="40" t="str">
        <f t="shared" si="32"/>
        <v/>
      </c>
      <c r="AJ445" s="40"/>
      <c r="AK445" s="40"/>
      <c r="AL445" s="22"/>
    </row>
    <row r="446" spans="1:38" ht="17.399999999999999">
      <c r="A446" s="22"/>
      <c r="B446" s="22"/>
      <c r="C446" s="56"/>
      <c r="D446" s="56"/>
      <c r="E446" s="22"/>
      <c r="F446" s="22"/>
      <c r="G446" s="22"/>
      <c r="H446" s="22"/>
      <c r="I446" s="49"/>
      <c r="J446" s="50"/>
      <c r="K446" s="22"/>
      <c r="L446" s="22"/>
      <c r="M446" s="22"/>
      <c r="N446" s="22"/>
      <c r="O446" s="22"/>
      <c r="P446" s="46"/>
      <c r="Q446" s="40"/>
      <c r="R446" s="41"/>
      <c r="S446" s="22" t="str">
        <f t="shared" si="28"/>
        <v/>
      </c>
      <c r="T446" s="41"/>
      <c r="U446" s="44"/>
      <c r="V446" s="44"/>
      <c r="W446" s="46"/>
      <c r="X446" s="46"/>
      <c r="Y446" s="46"/>
      <c r="Z446" s="22"/>
      <c r="AA446" s="22"/>
      <c r="AB446" s="22"/>
      <c r="AC446" s="22"/>
      <c r="AD446" s="22"/>
      <c r="AE446" s="22"/>
      <c r="AF446" s="48" t="str">
        <f t="shared" si="29"/>
        <v/>
      </c>
      <c r="AG446" s="48" t="str">
        <f t="shared" si="30"/>
        <v/>
      </c>
      <c r="AH446" s="48" t="str">
        <f t="shared" si="31"/>
        <v/>
      </c>
      <c r="AI446" s="40" t="str">
        <f t="shared" si="32"/>
        <v/>
      </c>
      <c r="AJ446" s="40"/>
      <c r="AK446" s="40"/>
      <c r="AL446" s="22"/>
    </row>
    <row r="447" spans="1:38" ht="17.399999999999999">
      <c r="A447" s="22"/>
      <c r="B447" s="22"/>
      <c r="C447" s="56"/>
      <c r="D447" s="56"/>
      <c r="E447" s="22"/>
      <c r="F447" s="22"/>
      <c r="G447" s="22"/>
      <c r="H447" s="22"/>
      <c r="I447" s="49"/>
      <c r="J447" s="50"/>
      <c r="K447" s="22"/>
      <c r="L447" s="22"/>
      <c r="M447" s="22"/>
      <c r="N447" s="22"/>
      <c r="O447" s="22"/>
      <c r="P447" s="46"/>
      <c r="Q447" s="40"/>
      <c r="R447" s="41"/>
      <c r="S447" s="22" t="str">
        <f t="shared" si="28"/>
        <v/>
      </c>
      <c r="T447" s="41"/>
      <c r="U447" s="44"/>
      <c r="V447" s="44"/>
      <c r="W447" s="46"/>
      <c r="X447" s="46"/>
      <c r="Y447" s="46"/>
      <c r="Z447" s="22"/>
      <c r="AA447" s="22"/>
      <c r="AB447" s="22"/>
      <c r="AC447" s="22"/>
      <c r="AD447" s="22"/>
      <c r="AE447" s="22"/>
      <c r="AF447" s="48" t="str">
        <f t="shared" si="29"/>
        <v/>
      </c>
      <c r="AG447" s="48" t="str">
        <f t="shared" si="30"/>
        <v/>
      </c>
      <c r="AH447" s="48" t="str">
        <f t="shared" si="31"/>
        <v/>
      </c>
      <c r="AI447" s="40" t="str">
        <f t="shared" si="32"/>
        <v/>
      </c>
      <c r="AJ447" s="40"/>
      <c r="AK447" s="40"/>
      <c r="AL447" s="22"/>
    </row>
    <row r="448" spans="1:38" ht="17.399999999999999">
      <c r="A448" s="22"/>
      <c r="B448" s="22"/>
      <c r="C448" s="56"/>
      <c r="D448" s="56"/>
      <c r="E448" s="22"/>
      <c r="F448" s="22"/>
      <c r="G448" s="22"/>
      <c r="H448" s="22"/>
      <c r="I448" s="49"/>
      <c r="J448" s="50"/>
      <c r="K448" s="22"/>
      <c r="L448" s="22"/>
      <c r="M448" s="22"/>
      <c r="N448" s="22"/>
      <c r="O448" s="22"/>
      <c r="P448" s="46"/>
      <c r="Q448" s="40"/>
      <c r="R448" s="41"/>
      <c r="S448" s="22" t="str">
        <f t="shared" si="28"/>
        <v/>
      </c>
      <c r="T448" s="41"/>
      <c r="U448" s="44"/>
      <c r="V448" s="44"/>
      <c r="W448" s="46"/>
      <c r="X448" s="46"/>
      <c r="Y448" s="46"/>
      <c r="Z448" s="22"/>
      <c r="AA448" s="22"/>
      <c r="AB448" s="22"/>
      <c r="AC448" s="22"/>
      <c r="AD448" s="22"/>
      <c r="AE448" s="22"/>
      <c r="AF448" s="48" t="str">
        <f t="shared" si="29"/>
        <v/>
      </c>
      <c r="AG448" s="48" t="str">
        <f t="shared" si="30"/>
        <v/>
      </c>
      <c r="AH448" s="48" t="str">
        <f t="shared" si="31"/>
        <v/>
      </c>
      <c r="AI448" s="40" t="str">
        <f t="shared" si="32"/>
        <v/>
      </c>
      <c r="AJ448" s="40"/>
      <c r="AK448" s="40"/>
      <c r="AL448" s="22"/>
    </row>
    <row r="449" spans="1:38" ht="17.399999999999999">
      <c r="A449" s="22"/>
      <c r="B449" s="22"/>
      <c r="C449" s="56"/>
      <c r="D449" s="56"/>
      <c r="E449" s="22"/>
      <c r="F449" s="22"/>
      <c r="G449" s="22"/>
      <c r="H449" s="22"/>
      <c r="I449" s="49"/>
      <c r="J449" s="50"/>
      <c r="K449" s="22"/>
      <c r="L449" s="22"/>
      <c r="M449" s="22"/>
      <c r="N449" s="22"/>
      <c r="O449" s="22"/>
      <c r="P449" s="46"/>
      <c r="Q449" s="40"/>
      <c r="R449" s="41"/>
      <c r="S449" s="22" t="str">
        <f t="shared" si="28"/>
        <v/>
      </c>
      <c r="T449" s="41"/>
      <c r="U449" s="44"/>
      <c r="V449" s="44"/>
      <c r="W449" s="46"/>
      <c r="X449" s="46"/>
      <c r="Y449" s="46"/>
      <c r="Z449" s="22"/>
      <c r="AA449" s="22"/>
      <c r="AB449" s="22"/>
      <c r="AC449" s="22"/>
      <c r="AD449" s="22"/>
      <c r="AE449" s="22"/>
      <c r="AF449" s="48" t="str">
        <f t="shared" si="29"/>
        <v/>
      </c>
      <c r="AG449" s="48" t="str">
        <f t="shared" si="30"/>
        <v/>
      </c>
      <c r="AH449" s="48" t="str">
        <f t="shared" si="31"/>
        <v/>
      </c>
      <c r="AI449" s="40" t="str">
        <f t="shared" si="32"/>
        <v/>
      </c>
      <c r="AJ449" s="40"/>
      <c r="AK449" s="40"/>
      <c r="AL449" s="22"/>
    </row>
    <row r="450" spans="1:38" ht="17.399999999999999">
      <c r="A450" s="22"/>
      <c r="B450" s="22"/>
      <c r="C450" s="56"/>
      <c r="D450" s="56"/>
      <c r="E450" s="22"/>
      <c r="F450" s="22"/>
      <c r="G450" s="22"/>
      <c r="H450" s="22"/>
      <c r="I450" s="49"/>
      <c r="J450" s="50"/>
      <c r="K450" s="22"/>
      <c r="L450" s="22"/>
      <c r="M450" s="22"/>
      <c r="N450" s="22"/>
      <c r="O450" s="22"/>
      <c r="P450" s="46"/>
      <c r="Q450" s="40"/>
      <c r="R450" s="41"/>
      <c r="S450" s="22" t="str">
        <f t="shared" si="28"/>
        <v/>
      </c>
      <c r="T450" s="41"/>
      <c r="U450" s="44"/>
      <c r="V450" s="44"/>
      <c r="W450" s="46"/>
      <c r="X450" s="46"/>
      <c r="Y450" s="46"/>
      <c r="Z450" s="22"/>
      <c r="AA450" s="22"/>
      <c r="AB450" s="22"/>
      <c r="AC450" s="22"/>
      <c r="AD450" s="22"/>
      <c r="AE450" s="22"/>
      <c r="AF450" s="48" t="str">
        <f t="shared" si="29"/>
        <v/>
      </c>
      <c r="AG450" s="48" t="str">
        <f t="shared" si="30"/>
        <v/>
      </c>
      <c r="AH450" s="48" t="str">
        <f t="shared" si="31"/>
        <v/>
      </c>
      <c r="AI450" s="40" t="str">
        <f t="shared" si="32"/>
        <v/>
      </c>
      <c r="AJ450" s="40"/>
      <c r="AK450" s="40"/>
      <c r="AL450" s="22"/>
    </row>
    <row r="451" spans="1:38" ht="17.399999999999999">
      <c r="A451" s="22"/>
      <c r="B451" s="22"/>
      <c r="C451" s="56"/>
      <c r="D451" s="56"/>
      <c r="E451" s="22"/>
      <c r="F451" s="22"/>
      <c r="G451" s="22"/>
      <c r="H451" s="22"/>
      <c r="I451" s="49"/>
      <c r="J451" s="50"/>
      <c r="K451" s="22"/>
      <c r="L451" s="22"/>
      <c r="M451" s="22"/>
      <c r="N451" s="22"/>
      <c r="O451" s="22"/>
      <c r="P451" s="46"/>
      <c r="Q451" s="40"/>
      <c r="R451" s="41"/>
      <c r="S451" s="22" t="str">
        <f t="shared" si="28"/>
        <v/>
      </c>
      <c r="T451" s="41"/>
      <c r="U451" s="44"/>
      <c r="V451" s="44"/>
      <c r="W451" s="46"/>
      <c r="X451" s="46"/>
      <c r="Y451" s="46"/>
      <c r="Z451" s="22"/>
      <c r="AA451" s="22"/>
      <c r="AB451" s="22"/>
      <c r="AC451" s="22"/>
      <c r="AD451" s="22"/>
      <c r="AE451" s="22"/>
      <c r="AF451" s="48" t="str">
        <f t="shared" si="29"/>
        <v/>
      </c>
      <c r="AG451" s="48" t="str">
        <f t="shared" si="30"/>
        <v/>
      </c>
      <c r="AH451" s="48" t="str">
        <f t="shared" si="31"/>
        <v/>
      </c>
      <c r="AI451" s="40" t="str">
        <f t="shared" si="32"/>
        <v/>
      </c>
      <c r="AJ451" s="40"/>
      <c r="AK451" s="40"/>
      <c r="AL451" s="22"/>
    </row>
    <row r="452" spans="1:38" ht="17.399999999999999">
      <c r="A452" s="22"/>
      <c r="B452" s="22"/>
      <c r="C452" s="56"/>
      <c r="D452" s="56"/>
      <c r="E452" s="22"/>
      <c r="F452" s="22"/>
      <c r="G452" s="22"/>
      <c r="H452" s="22"/>
      <c r="I452" s="49"/>
      <c r="J452" s="50"/>
      <c r="K452" s="22"/>
      <c r="L452" s="22"/>
      <c r="M452" s="22"/>
      <c r="N452" s="22"/>
      <c r="O452" s="22"/>
      <c r="P452" s="46"/>
      <c r="Q452" s="40"/>
      <c r="R452" s="41"/>
      <c r="S452" s="22" t="str">
        <f t="shared" si="28"/>
        <v/>
      </c>
      <c r="T452" s="41"/>
      <c r="U452" s="44"/>
      <c r="V452" s="44"/>
      <c r="W452" s="46"/>
      <c r="X452" s="46"/>
      <c r="Y452" s="46"/>
      <c r="Z452" s="22"/>
      <c r="AA452" s="22"/>
      <c r="AB452" s="22"/>
      <c r="AC452" s="22"/>
      <c r="AD452" s="22"/>
      <c r="AE452" s="22"/>
      <c r="AF452" s="48" t="str">
        <f t="shared" si="29"/>
        <v/>
      </c>
      <c r="AG452" s="48" t="str">
        <f t="shared" si="30"/>
        <v/>
      </c>
      <c r="AH452" s="48" t="str">
        <f t="shared" si="31"/>
        <v/>
      </c>
      <c r="AI452" s="40" t="str">
        <f t="shared" si="32"/>
        <v/>
      </c>
      <c r="AJ452" s="40"/>
      <c r="AK452" s="40"/>
      <c r="AL452" s="22"/>
    </row>
    <row r="453" spans="1:38" ht="17.399999999999999">
      <c r="A453" s="22"/>
      <c r="B453" s="22"/>
      <c r="C453" s="56"/>
      <c r="D453" s="56"/>
      <c r="E453" s="22"/>
      <c r="F453" s="22"/>
      <c r="G453" s="22"/>
      <c r="H453" s="22"/>
      <c r="I453" s="49"/>
      <c r="J453" s="50"/>
      <c r="K453" s="22"/>
      <c r="L453" s="22"/>
      <c r="M453" s="22"/>
      <c r="N453" s="22"/>
      <c r="O453" s="22"/>
      <c r="P453" s="46"/>
      <c r="Q453" s="40"/>
      <c r="R453" s="41"/>
      <c r="S453" s="22" t="str">
        <f t="shared" si="28"/>
        <v/>
      </c>
      <c r="T453" s="41"/>
      <c r="U453" s="44"/>
      <c r="V453" s="44"/>
      <c r="W453" s="46"/>
      <c r="X453" s="46"/>
      <c r="Y453" s="46"/>
      <c r="Z453" s="22"/>
      <c r="AA453" s="22"/>
      <c r="AB453" s="22"/>
      <c r="AC453" s="22"/>
      <c r="AD453" s="22"/>
      <c r="AE453" s="22"/>
      <c r="AF453" s="48" t="str">
        <f t="shared" si="29"/>
        <v/>
      </c>
      <c r="AG453" s="48" t="str">
        <f t="shared" si="30"/>
        <v/>
      </c>
      <c r="AH453" s="48" t="str">
        <f t="shared" si="31"/>
        <v/>
      </c>
      <c r="AI453" s="40" t="str">
        <f t="shared" si="32"/>
        <v/>
      </c>
      <c r="AJ453" s="40"/>
      <c r="AK453" s="40"/>
      <c r="AL453" s="22"/>
    </row>
    <row r="454" spans="1:38" ht="17.399999999999999">
      <c r="A454" s="22"/>
      <c r="B454" s="22"/>
      <c r="C454" s="56"/>
      <c r="D454" s="56"/>
      <c r="E454" s="22"/>
      <c r="F454" s="22"/>
      <c r="G454" s="22"/>
      <c r="H454" s="22"/>
      <c r="I454" s="49"/>
      <c r="J454" s="50"/>
      <c r="K454" s="22"/>
      <c r="L454" s="22"/>
      <c r="M454" s="22"/>
      <c r="N454" s="22"/>
      <c r="O454" s="22"/>
      <c r="P454" s="46"/>
      <c r="Q454" s="40"/>
      <c r="R454" s="41"/>
      <c r="S454" s="22" t="str">
        <f t="shared" si="28"/>
        <v/>
      </c>
      <c r="T454" s="41"/>
      <c r="U454" s="44"/>
      <c r="V454" s="44"/>
      <c r="W454" s="46"/>
      <c r="X454" s="46"/>
      <c r="Y454" s="46"/>
      <c r="Z454" s="22"/>
      <c r="AA454" s="22"/>
      <c r="AB454" s="22"/>
      <c r="AC454" s="22"/>
      <c r="AD454" s="22"/>
      <c r="AE454" s="22"/>
      <c r="AF454" s="48" t="str">
        <f t="shared" si="29"/>
        <v/>
      </c>
      <c r="AG454" s="48" t="str">
        <f t="shared" si="30"/>
        <v/>
      </c>
      <c r="AH454" s="48" t="str">
        <f t="shared" si="31"/>
        <v/>
      </c>
      <c r="AI454" s="40" t="str">
        <f t="shared" si="32"/>
        <v/>
      </c>
      <c r="AJ454" s="40"/>
      <c r="AK454" s="40"/>
      <c r="AL454" s="22"/>
    </row>
    <row r="455" spans="1:38" ht="17.399999999999999">
      <c r="A455" s="22"/>
      <c r="B455" s="22"/>
      <c r="C455" s="56"/>
      <c r="D455" s="56"/>
      <c r="E455" s="22"/>
      <c r="F455" s="22"/>
      <c r="G455" s="22"/>
      <c r="H455" s="22"/>
      <c r="I455" s="49"/>
      <c r="J455" s="50"/>
      <c r="K455" s="22"/>
      <c r="L455" s="22"/>
      <c r="M455" s="22"/>
      <c r="N455" s="22"/>
      <c r="O455" s="22"/>
      <c r="P455" s="46"/>
      <c r="Q455" s="40"/>
      <c r="R455" s="41"/>
      <c r="S455" s="22" t="str">
        <f t="shared" si="28"/>
        <v/>
      </c>
      <c r="T455" s="41"/>
      <c r="U455" s="44"/>
      <c r="V455" s="44"/>
      <c r="W455" s="46"/>
      <c r="X455" s="46"/>
      <c r="Y455" s="46"/>
      <c r="Z455" s="22"/>
      <c r="AA455" s="22"/>
      <c r="AB455" s="22"/>
      <c r="AC455" s="22"/>
      <c r="AD455" s="22"/>
      <c r="AE455" s="22"/>
      <c r="AF455" s="48" t="str">
        <f t="shared" si="29"/>
        <v/>
      </c>
      <c r="AG455" s="48" t="str">
        <f t="shared" si="30"/>
        <v/>
      </c>
      <c r="AH455" s="48" t="str">
        <f t="shared" si="31"/>
        <v/>
      </c>
      <c r="AI455" s="40" t="str">
        <f t="shared" si="32"/>
        <v/>
      </c>
      <c r="AJ455" s="40"/>
      <c r="AK455" s="40"/>
      <c r="AL455" s="22"/>
    </row>
    <row r="456" spans="1:38" ht="17.399999999999999">
      <c r="A456" s="22"/>
      <c r="B456" s="22"/>
      <c r="C456" s="56"/>
      <c r="D456" s="56"/>
      <c r="E456" s="22"/>
      <c r="F456" s="22"/>
      <c r="G456" s="22"/>
      <c r="H456" s="22"/>
      <c r="I456" s="49"/>
      <c r="J456" s="50"/>
      <c r="K456" s="22"/>
      <c r="L456" s="22"/>
      <c r="M456" s="22"/>
      <c r="N456" s="22"/>
      <c r="O456" s="22"/>
      <c r="P456" s="46"/>
      <c r="Q456" s="40"/>
      <c r="R456" s="41"/>
      <c r="S456" s="22" t="str">
        <f t="shared" si="28"/>
        <v/>
      </c>
      <c r="T456" s="41"/>
      <c r="U456" s="44"/>
      <c r="V456" s="44"/>
      <c r="W456" s="46"/>
      <c r="X456" s="46"/>
      <c r="Y456" s="46"/>
      <c r="Z456" s="22"/>
      <c r="AA456" s="22"/>
      <c r="AB456" s="22"/>
      <c r="AC456" s="22"/>
      <c r="AD456" s="22"/>
      <c r="AE456" s="22"/>
      <c r="AF456" s="48" t="str">
        <f t="shared" si="29"/>
        <v/>
      </c>
      <c r="AG456" s="48" t="str">
        <f t="shared" si="30"/>
        <v/>
      </c>
      <c r="AH456" s="48" t="str">
        <f t="shared" si="31"/>
        <v/>
      </c>
      <c r="AI456" s="40" t="str">
        <f t="shared" si="32"/>
        <v/>
      </c>
      <c r="AJ456" s="40"/>
      <c r="AK456" s="40"/>
      <c r="AL456" s="22"/>
    </row>
    <row r="457" spans="1:38" ht="17.399999999999999">
      <c r="A457" s="22"/>
      <c r="B457" s="22"/>
      <c r="C457" s="56"/>
      <c r="D457" s="56"/>
      <c r="E457" s="22"/>
      <c r="F457" s="22"/>
      <c r="G457" s="22"/>
      <c r="H457" s="22"/>
      <c r="I457" s="49"/>
      <c r="J457" s="50"/>
      <c r="K457" s="22"/>
      <c r="L457" s="22"/>
      <c r="M457" s="22"/>
      <c r="N457" s="22"/>
      <c r="O457" s="22"/>
      <c r="P457" s="46"/>
      <c r="Q457" s="40"/>
      <c r="R457" s="41"/>
      <c r="S457" s="22" t="str">
        <f t="shared" si="28"/>
        <v/>
      </c>
      <c r="T457" s="41"/>
      <c r="U457" s="44"/>
      <c r="V457" s="44"/>
      <c r="W457" s="46"/>
      <c r="X457" s="46"/>
      <c r="Y457" s="46"/>
      <c r="Z457" s="22"/>
      <c r="AA457" s="22"/>
      <c r="AB457" s="22"/>
      <c r="AC457" s="22"/>
      <c r="AD457" s="22"/>
      <c r="AE457" s="22"/>
      <c r="AF457" s="48" t="str">
        <f t="shared" si="29"/>
        <v/>
      </c>
      <c r="AG457" s="48" t="str">
        <f t="shared" si="30"/>
        <v/>
      </c>
      <c r="AH457" s="48" t="str">
        <f t="shared" si="31"/>
        <v/>
      </c>
      <c r="AI457" s="40" t="str">
        <f t="shared" si="32"/>
        <v/>
      </c>
      <c r="AJ457" s="40"/>
      <c r="AK457" s="40"/>
      <c r="AL457" s="22"/>
    </row>
    <row r="458" spans="1:38" ht="17.399999999999999">
      <c r="A458" s="22"/>
      <c r="B458" s="22"/>
      <c r="C458" s="56"/>
      <c r="D458" s="56"/>
      <c r="E458" s="22"/>
      <c r="F458" s="22"/>
      <c r="G458" s="22"/>
      <c r="H458" s="22"/>
      <c r="I458" s="49"/>
      <c r="J458" s="50"/>
      <c r="K458" s="22"/>
      <c r="L458" s="22"/>
      <c r="M458" s="22"/>
      <c r="N458" s="22"/>
      <c r="O458" s="22"/>
      <c r="P458" s="46"/>
      <c r="Q458" s="40"/>
      <c r="R458" s="41"/>
      <c r="S458" s="22" t="str">
        <f t="shared" si="28"/>
        <v/>
      </c>
      <c r="T458" s="41"/>
      <c r="U458" s="44"/>
      <c r="V458" s="44"/>
      <c r="W458" s="46"/>
      <c r="X458" s="46"/>
      <c r="Y458" s="46"/>
      <c r="Z458" s="22"/>
      <c r="AA458" s="22"/>
      <c r="AB458" s="22"/>
      <c r="AC458" s="22"/>
      <c r="AD458" s="22"/>
      <c r="AE458" s="22"/>
      <c r="AF458" s="48" t="str">
        <f t="shared" si="29"/>
        <v/>
      </c>
      <c r="AG458" s="48" t="str">
        <f t="shared" si="30"/>
        <v/>
      </c>
      <c r="AH458" s="48" t="str">
        <f t="shared" si="31"/>
        <v/>
      </c>
      <c r="AI458" s="40" t="str">
        <f t="shared" si="32"/>
        <v/>
      </c>
      <c r="AJ458" s="40"/>
      <c r="AK458" s="40"/>
      <c r="AL458" s="22"/>
    </row>
    <row r="459" spans="1:38" ht="17.399999999999999">
      <c r="A459" s="22"/>
      <c r="B459" s="22"/>
      <c r="C459" s="56"/>
      <c r="D459" s="56"/>
      <c r="E459" s="22"/>
      <c r="F459" s="22"/>
      <c r="G459" s="22"/>
      <c r="H459" s="22"/>
      <c r="I459" s="49"/>
      <c r="J459" s="50"/>
      <c r="K459" s="22"/>
      <c r="L459" s="22"/>
      <c r="M459" s="22"/>
      <c r="N459" s="22"/>
      <c r="O459" s="22"/>
      <c r="P459" s="46"/>
      <c r="Q459" s="40"/>
      <c r="R459" s="41"/>
      <c r="S459" s="22" t="str">
        <f t="shared" si="28"/>
        <v/>
      </c>
      <c r="T459" s="41"/>
      <c r="U459" s="44"/>
      <c r="V459" s="44"/>
      <c r="W459" s="46"/>
      <c r="X459" s="46"/>
      <c r="Y459" s="46"/>
      <c r="Z459" s="22"/>
      <c r="AA459" s="22"/>
      <c r="AB459" s="22"/>
      <c r="AC459" s="22"/>
      <c r="AD459" s="22"/>
      <c r="AE459" s="22"/>
      <c r="AF459" s="48" t="str">
        <f t="shared" si="29"/>
        <v/>
      </c>
      <c r="AG459" s="48" t="str">
        <f t="shared" si="30"/>
        <v/>
      </c>
      <c r="AH459" s="48" t="str">
        <f t="shared" si="31"/>
        <v/>
      </c>
      <c r="AI459" s="40" t="str">
        <f t="shared" si="32"/>
        <v/>
      </c>
      <c r="AJ459" s="40"/>
      <c r="AK459" s="40"/>
      <c r="AL459" s="22"/>
    </row>
    <row r="460" spans="1:38" ht="17.399999999999999">
      <c r="A460" s="22"/>
      <c r="B460" s="22"/>
      <c r="C460" s="56"/>
      <c r="D460" s="56"/>
      <c r="E460" s="22"/>
      <c r="F460" s="22"/>
      <c r="G460" s="22"/>
      <c r="H460" s="22"/>
      <c r="I460" s="49"/>
      <c r="J460" s="50"/>
      <c r="K460" s="22"/>
      <c r="L460" s="22"/>
      <c r="M460" s="22"/>
      <c r="N460" s="22"/>
      <c r="O460" s="22"/>
      <c r="P460" s="46"/>
      <c r="Q460" s="40"/>
      <c r="R460" s="41"/>
      <c r="S460" s="22" t="str">
        <f t="shared" si="28"/>
        <v/>
      </c>
      <c r="T460" s="41"/>
      <c r="U460" s="44"/>
      <c r="V460" s="44"/>
      <c r="W460" s="46"/>
      <c r="X460" s="46"/>
      <c r="Y460" s="46"/>
      <c r="Z460" s="22"/>
      <c r="AA460" s="22"/>
      <c r="AB460" s="22"/>
      <c r="AC460" s="22"/>
      <c r="AD460" s="22"/>
      <c r="AE460" s="22"/>
      <c r="AF460" s="48" t="str">
        <f t="shared" si="29"/>
        <v/>
      </c>
      <c r="AG460" s="48" t="str">
        <f t="shared" si="30"/>
        <v/>
      </c>
      <c r="AH460" s="48" t="str">
        <f t="shared" si="31"/>
        <v/>
      </c>
      <c r="AI460" s="40" t="str">
        <f t="shared" si="32"/>
        <v/>
      </c>
      <c r="AJ460" s="40"/>
      <c r="AK460" s="40"/>
      <c r="AL460" s="22"/>
    </row>
    <row r="461" spans="1:38" ht="17.399999999999999">
      <c r="A461" s="22"/>
      <c r="B461" s="22"/>
      <c r="C461" s="56"/>
      <c r="D461" s="56"/>
      <c r="E461" s="22"/>
      <c r="F461" s="22"/>
      <c r="G461" s="22"/>
      <c r="H461" s="22"/>
      <c r="I461" s="49"/>
      <c r="J461" s="50"/>
      <c r="K461" s="22"/>
      <c r="L461" s="22"/>
      <c r="M461" s="22"/>
      <c r="N461" s="22"/>
      <c r="O461" s="22"/>
      <c r="P461" s="46"/>
      <c r="Q461" s="40"/>
      <c r="R461" s="41"/>
      <c r="S461" s="22" t="str">
        <f t="shared" si="28"/>
        <v/>
      </c>
      <c r="T461" s="41"/>
      <c r="U461" s="44"/>
      <c r="V461" s="44"/>
      <c r="W461" s="46"/>
      <c r="X461" s="46"/>
      <c r="Y461" s="46"/>
      <c r="Z461" s="22"/>
      <c r="AA461" s="22"/>
      <c r="AB461" s="22"/>
      <c r="AC461" s="22"/>
      <c r="AD461" s="22"/>
      <c r="AE461" s="22"/>
      <c r="AF461" s="48" t="str">
        <f t="shared" si="29"/>
        <v/>
      </c>
      <c r="AG461" s="48" t="str">
        <f t="shared" si="30"/>
        <v/>
      </c>
      <c r="AH461" s="48" t="str">
        <f t="shared" si="31"/>
        <v/>
      </c>
      <c r="AI461" s="40" t="str">
        <f t="shared" si="32"/>
        <v/>
      </c>
      <c r="AJ461" s="40"/>
      <c r="AK461" s="40"/>
      <c r="AL461" s="22"/>
    </row>
    <row r="462" spans="1:38" ht="17.399999999999999">
      <c r="A462" s="22"/>
      <c r="B462" s="22"/>
      <c r="C462" s="56"/>
      <c r="D462" s="56"/>
      <c r="E462" s="22"/>
      <c r="F462" s="22"/>
      <c r="G462" s="22"/>
      <c r="H462" s="22"/>
      <c r="I462" s="49"/>
      <c r="J462" s="50"/>
      <c r="K462" s="22"/>
      <c r="L462" s="22"/>
      <c r="M462" s="22"/>
      <c r="N462" s="22"/>
      <c r="O462" s="22"/>
      <c r="P462" s="46"/>
      <c r="Q462" s="40"/>
      <c r="R462" s="41"/>
      <c r="S462" s="22" t="str">
        <f t="shared" si="28"/>
        <v/>
      </c>
      <c r="T462" s="41"/>
      <c r="U462" s="44"/>
      <c r="V462" s="44"/>
      <c r="W462" s="46"/>
      <c r="X462" s="46"/>
      <c r="Y462" s="46"/>
      <c r="Z462" s="22"/>
      <c r="AA462" s="22"/>
      <c r="AB462" s="22"/>
      <c r="AC462" s="22"/>
      <c r="AD462" s="22"/>
      <c r="AE462" s="22"/>
      <c r="AF462" s="48" t="str">
        <f t="shared" si="29"/>
        <v/>
      </c>
      <c r="AG462" s="48" t="str">
        <f t="shared" si="30"/>
        <v/>
      </c>
      <c r="AH462" s="48" t="str">
        <f t="shared" si="31"/>
        <v/>
      </c>
      <c r="AI462" s="40" t="str">
        <f t="shared" si="32"/>
        <v/>
      </c>
      <c r="AJ462" s="40"/>
      <c r="AK462" s="40"/>
      <c r="AL462" s="22"/>
    </row>
    <row r="463" spans="1:38" ht="17.399999999999999">
      <c r="A463" s="22"/>
      <c r="B463" s="22"/>
      <c r="C463" s="56"/>
      <c r="D463" s="56"/>
      <c r="E463" s="22"/>
      <c r="F463" s="22"/>
      <c r="G463" s="22"/>
      <c r="H463" s="22"/>
      <c r="I463" s="49"/>
      <c r="J463" s="50"/>
      <c r="K463" s="22"/>
      <c r="L463" s="22"/>
      <c r="M463" s="22"/>
      <c r="N463" s="22"/>
      <c r="O463" s="22"/>
      <c r="P463" s="46"/>
      <c r="Q463" s="40"/>
      <c r="R463" s="41"/>
      <c r="S463" s="22" t="str">
        <f t="shared" si="28"/>
        <v/>
      </c>
      <c r="T463" s="41"/>
      <c r="U463" s="44"/>
      <c r="V463" s="44"/>
      <c r="W463" s="46"/>
      <c r="X463" s="46"/>
      <c r="Y463" s="46"/>
      <c r="Z463" s="22"/>
      <c r="AA463" s="22"/>
      <c r="AB463" s="22"/>
      <c r="AC463" s="22"/>
      <c r="AD463" s="22"/>
      <c r="AE463" s="22"/>
      <c r="AF463" s="48" t="str">
        <f t="shared" si="29"/>
        <v/>
      </c>
      <c r="AG463" s="48" t="str">
        <f t="shared" si="30"/>
        <v/>
      </c>
      <c r="AH463" s="48" t="str">
        <f t="shared" si="31"/>
        <v/>
      </c>
      <c r="AI463" s="40" t="str">
        <f t="shared" si="32"/>
        <v/>
      </c>
      <c r="AJ463" s="40"/>
      <c r="AK463" s="40"/>
      <c r="AL463" s="22"/>
    </row>
    <row r="464" spans="1:38" ht="17.399999999999999">
      <c r="A464" s="22"/>
      <c r="B464" s="22"/>
      <c r="C464" s="56"/>
      <c r="D464" s="56"/>
      <c r="E464" s="22"/>
      <c r="F464" s="22"/>
      <c r="G464" s="22"/>
      <c r="H464" s="22"/>
      <c r="I464" s="49"/>
      <c r="J464" s="50"/>
      <c r="K464" s="22"/>
      <c r="L464" s="22"/>
      <c r="M464" s="22"/>
      <c r="N464" s="22"/>
      <c r="O464" s="22"/>
      <c r="P464" s="46"/>
      <c r="Q464" s="40"/>
      <c r="R464" s="41"/>
      <c r="S464" s="22" t="str">
        <f t="shared" si="28"/>
        <v/>
      </c>
      <c r="T464" s="41"/>
      <c r="U464" s="44"/>
      <c r="V464" s="44"/>
      <c r="W464" s="46"/>
      <c r="X464" s="46"/>
      <c r="Y464" s="46"/>
      <c r="Z464" s="22"/>
      <c r="AA464" s="22"/>
      <c r="AB464" s="22"/>
      <c r="AC464" s="22"/>
      <c r="AD464" s="22"/>
      <c r="AE464" s="22"/>
      <c r="AF464" s="48" t="str">
        <f t="shared" si="29"/>
        <v/>
      </c>
      <c r="AG464" s="48" t="str">
        <f t="shared" si="30"/>
        <v/>
      </c>
      <c r="AH464" s="48" t="str">
        <f t="shared" si="31"/>
        <v/>
      </c>
      <c r="AI464" s="40" t="str">
        <f t="shared" si="32"/>
        <v/>
      </c>
      <c r="AJ464" s="40"/>
      <c r="AK464" s="40"/>
      <c r="AL464" s="22"/>
    </row>
    <row r="465" spans="1:38" ht="17.399999999999999">
      <c r="A465" s="22"/>
      <c r="B465" s="22"/>
      <c r="C465" s="56"/>
      <c r="D465" s="56"/>
      <c r="E465" s="22"/>
      <c r="F465" s="22"/>
      <c r="G465" s="22"/>
      <c r="H465" s="22"/>
      <c r="I465" s="49"/>
      <c r="J465" s="50"/>
      <c r="K465" s="22"/>
      <c r="L465" s="22"/>
      <c r="M465" s="22"/>
      <c r="N465" s="22"/>
      <c r="O465" s="22"/>
      <c r="P465" s="46"/>
      <c r="Q465" s="40"/>
      <c r="R465" s="41"/>
      <c r="S465" s="22" t="str">
        <f t="shared" si="28"/>
        <v/>
      </c>
      <c r="T465" s="41"/>
      <c r="U465" s="44"/>
      <c r="V465" s="44"/>
      <c r="W465" s="46"/>
      <c r="X465" s="46"/>
      <c r="Y465" s="46"/>
      <c r="Z465" s="22"/>
      <c r="AA465" s="22"/>
      <c r="AB465" s="22"/>
      <c r="AC465" s="22"/>
      <c r="AD465" s="22"/>
      <c r="AE465" s="22"/>
      <c r="AF465" s="48" t="str">
        <f t="shared" si="29"/>
        <v/>
      </c>
      <c r="AG465" s="48" t="str">
        <f t="shared" si="30"/>
        <v/>
      </c>
      <c r="AH465" s="48" t="str">
        <f t="shared" si="31"/>
        <v/>
      </c>
      <c r="AI465" s="40" t="str">
        <f t="shared" si="32"/>
        <v/>
      </c>
      <c r="AJ465" s="40"/>
      <c r="AK465" s="40"/>
      <c r="AL465" s="22"/>
    </row>
    <row r="466" spans="1:38" ht="17.399999999999999">
      <c r="A466" s="22"/>
      <c r="B466" s="22"/>
      <c r="C466" s="56"/>
      <c r="D466" s="56"/>
      <c r="E466" s="22"/>
      <c r="F466" s="22"/>
      <c r="G466" s="22"/>
      <c r="H466" s="22"/>
      <c r="I466" s="49"/>
      <c r="J466" s="50"/>
      <c r="K466" s="22"/>
      <c r="L466" s="22"/>
      <c r="M466" s="22"/>
      <c r="N466" s="22"/>
      <c r="O466" s="22"/>
      <c r="P466" s="46"/>
      <c r="Q466" s="40"/>
      <c r="R466" s="41"/>
      <c r="S466" s="22" t="str">
        <f t="shared" si="28"/>
        <v/>
      </c>
      <c r="T466" s="41"/>
      <c r="U466" s="44"/>
      <c r="V466" s="44"/>
      <c r="W466" s="46"/>
      <c r="X466" s="46"/>
      <c r="Y466" s="46"/>
      <c r="Z466" s="22"/>
      <c r="AA466" s="22"/>
      <c r="AB466" s="22"/>
      <c r="AC466" s="22"/>
      <c r="AD466" s="22"/>
      <c r="AE466" s="22"/>
      <c r="AF466" s="48" t="str">
        <f t="shared" si="29"/>
        <v/>
      </c>
      <c r="AG466" s="48" t="str">
        <f t="shared" si="30"/>
        <v/>
      </c>
      <c r="AH466" s="48" t="str">
        <f t="shared" si="31"/>
        <v/>
      </c>
      <c r="AI466" s="40" t="str">
        <f t="shared" si="32"/>
        <v/>
      </c>
      <c r="AJ466" s="40"/>
      <c r="AK466" s="40"/>
      <c r="AL466" s="22"/>
    </row>
    <row r="467" spans="1:38" ht="17.399999999999999">
      <c r="A467" s="22"/>
      <c r="B467" s="22"/>
      <c r="C467" s="56"/>
      <c r="D467" s="56"/>
      <c r="E467" s="22"/>
      <c r="F467" s="22"/>
      <c r="G467" s="22"/>
      <c r="H467" s="22"/>
      <c r="I467" s="49"/>
      <c r="J467" s="50"/>
      <c r="K467" s="22"/>
      <c r="L467" s="22"/>
      <c r="M467" s="22"/>
      <c r="N467" s="22"/>
      <c r="O467" s="22"/>
      <c r="P467" s="46"/>
      <c r="Q467" s="40"/>
      <c r="R467" s="41"/>
      <c r="S467" s="22" t="str">
        <f t="shared" si="28"/>
        <v/>
      </c>
      <c r="T467" s="41"/>
      <c r="U467" s="44"/>
      <c r="V467" s="44"/>
      <c r="W467" s="46"/>
      <c r="X467" s="46"/>
      <c r="Y467" s="46"/>
      <c r="Z467" s="22"/>
      <c r="AA467" s="22"/>
      <c r="AB467" s="22"/>
      <c r="AC467" s="22"/>
      <c r="AD467" s="22"/>
      <c r="AE467" s="22"/>
      <c r="AF467" s="48" t="str">
        <f t="shared" si="29"/>
        <v/>
      </c>
      <c r="AG467" s="48" t="str">
        <f t="shared" si="30"/>
        <v/>
      </c>
      <c r="AH467" s="48" t="str">
        <f t="shared" si="31"/>
        <v/>
      </c>
      <c r="AI467" s="40" t="str">
        <f t="shared" si="32"/>
        <v/>
      </c>
      <c r="AJ467" s="40"/>
      <c r="AK467" s="40"/>
      <c r="AL467" s="22"/>
    </row>
    <row r="468" spans="1:38" ht="17.399999999999999">
      <c r="A468" s="22"/>
      <c r="B468" s="22"/>
      <c r="C468" s="56"/>
      <c r="D468" s="56"/>
      <c r="E468" s="22"/>
      <c r="F468" s="22"/>
      <c r="G468" s="22"/>
      <c r="H468" s="22"/>
      <c r="I468" s="49"/>
      <c r="J468" s="50"/>
      <c r="K468" s="22"/>
      <c r="L468" s="22"/>
      <c r="M468" s="22"/>
      <c r="N468" s="22"/>
      <c r="O468" s="22"/>
      <c r="P468" s="46"/>
      <c r="Q468" s="40"/>
      <c r="R468" s="41"/>
      <c r="S468" s="22" t="str">
        <f t="shared" si="28"/>
        <v/>
      </c>
      <c r="T468" s="41"/>
      <c r="U468" s="44"/>
      <c r="V468" s="44"/>
      <c r="W468" s="46"/>
      <c r="X468" s="46"/>
      <c r="Y468" s="46"/>
      <c r="Z468" s="22"/>
      <c r="AA468" s="22"/>
      <c r="AB468" s="22"/>
      <c r="AC468" s="22"/>
      <c r="AD468" s="22"/>
      <c r="AE468" s="22"/>
      <c r="AF468" s="48" t="str">
        <f t="shared" si="29"/>
        <v/>
      </c>
      <c r="AG468" s="48" t="str">
        <f t="shared" si="30"/>
        <v/>
      </c>
      <c r="AH468" s="48" t="str">
        <f t="shared" si="31"/>
        <v/>
      </c>
      <c r="AI468" s="40" t="str">
        <f t="shared" si="32"/>
        <v/>
      </c>
      <c r="AJ468" s="40"/>
      <c r="AK468" s="40"/>
      <c r="AL468" s="22"/>
    </row>
    <row r="469" spans="1:38" ht="17.399999999999999">
      <c r="A469" s="22"/>
      <c r="B469" s="22"/>
      <c r="C469" s="56"/>
      <c r="D469" s="56"/>
      <c r="E469" s="22"/>
      <c r="F469" s="22"/>
      <c r="G469" s="22"/>
      <c r="H469" s="22"/>
      <c r="I469" s="49"/>
      <c r="J469" s="50"/>
      <c r="K469" s="22"/>
      <c r="L469" s="22"/>
      <c r="M469" s="22"/>
      <c r="N469" s="22"/>
      <c r="O469" s="22"/>
      <c r="P469" s="46"/>
      <c r="Q469" s="40"/>
      <c r="R469" s="41"/>
      <c r="S469" s="22" t="str">
        <f t="shared" si="28"/>
        <v/>
      </c>
      <c r="T469" s="41"/>
      <c r="U469" s="44"/>
      <c r="V469" s="44"/>
      <c r="W469" s="46"/>
      <c r="X469" s="46"/>
      <c r="Y469" s="46"/>
      <c r="Z469" s="22"/>
      <c r="AA469" s="22"/>
      <c r="AB469" s="22"/>
      <c r="AC469" s="22"/>
      <c r="AD469" s="22"/>
      <c r="AE469" s="22"/>
      <c r="AF469" s="48" t="str">
        <f t="shared" si="29"/>
        <v/>
      </c>
      <c r="AG469" s="48" t="str">
        <f t="shared" si="30"/>
        <v/>
      </c>
      <c r="AH469" s="48" t="str">
        <f t="shared" si="31"/>
        <v/>
      </c>
      <c r="AI469" s="40" t="str">
        <f t="shared" si="32"/>
        <v/>
      </c>
      <c r="AJ469" s="40"/>
      <c r="AK469" s="40"/>
      <c r="AL469" s="22"/>
    </row>
    <row r="470" spans="1:38" ht="17.399999999999999">
      <c r="A470" s="22"/>
      <c r="B470" s="22"/>
      <c r="C470" s="56"/>
      <c r="D470" s="56"/>
      <c r="E470" s="22"/>
      <c r="F470" s="22"/>
      <c r="G470" s="22"/>
      <c r="H470" s="22"/>
      <c r="I470" s="49"/>
      <c r="J470" s="50"/>
      <c r="K470" s="22"/>
      <c r="L470" s="22"/>
      <c r="M470" s="22"/>
      <c r="N470" s="22"/>
      <c r="O470" s="22"/>
      <c r="P470" s="46"/>
      <c r="Q470" s="40"/>
      <c r="R470" s="41"/>
      <c r="S470" s="22" t="str">
        <f t="shared" si="28"/>
        <v/>
      </c>
      <c r="T470" s="41"/>
      <c r="U470" s="44"/>
      <c r="V470" s="44"/>
      <c r="W470" s="46"/>
      <c r="X470" s="46"/>
      <c r="Y470" s="46"/>
      <c r="Z470" s="22"/>
      <c r="AA470" s="22"/>
      <c r="AB470" s="22"/>
      <c r="AC470" s="22"/>
      <c r="AD470" s="22"/>
      <c r="AE470" s="22"/>
      <c r="AF470" s="48" t="str">
        <f t="shared" si="29"/>
        <v/>
      </c>
      <c r="AG470" s="48" t="str">
        <f t="shared" si="30"/>
        <v/>
      </c>
      <c r="AH470" s="48" t="str">
        <f t="shared" si="31"/>
        <v/>
      </c>
      <c r="AI470" s="40" t="str">
        <f t="shared" si="32"/>
        <v/>
      </c>
      <c r="AJ470" s="40"/>
      <c r="AK470" s="40"/>
      <c r="AL470" s="22"/>
    </row>
    <row r="471" spans="1:38" ht="17.399999999999999">
      <c r="A471" s="22"/>
      <c r="B471" s="22"/>
      <c r="C471" s="56"/>
      <c r="D471" s="56"/>
      <c r="E471" s="22"/>
      <c r="F471" s="22"/>
      <c r="G471" s="22"/>
      <c r="H471" s="22"/>
      <c r="I471" s="49"/>
      <c r="J471" s="50"/>
      <c r="K471" s="22"/>
      <c r="L471" s="22"/>
      <c r="M471" s="22"/>
      <c r="N471" s="22"/>
      <c r="O471" s="22"/>
      <c r="P471" s="46"/>
      <c r="Q471" s="40"/>
      <c r="R471" s="41"/>
      <c r="S471" s="22" t="str">
        <f t="shared" ref="S471:S534" si="33">IF(A471="","",M471+O471)</f>
        <v/>
      </c>
      <c r="T471" s="41"/>
      <c r="U471" s="44"/>
      <c r="V471" s="44"/>
      <c r="W471" s="46"/>
      <c r="X471" s="46"/>
      <c r="Y471" s="46"/>
      <c r="Z471" s="22"/>
      <c r="AA471" s="22"/>
      <c r="AB471" s="22"/>
      <c r="AC471" s="22"/>
      <c r="AD471" s="22"/>
      <c r="AE471" s="22"/>
      <c r="AF471" s="48" t="str">
        <f t="shared" ref="AF471:AF534" si="34">IF(A471="","",S471-X471)</f>
        <v/>
      </c>
      <c r="AG471" s="48" t="str">
        <f t="shared" ref="AG471:AG534" si="35">IF(A471="","",X471-(AB471+AE471))</f>
        <v/>
      </c>
      <c r="AH471" s="48" t="str">
        <f t="shared" ref="AH471:AH534" si="36">IF(A471="","",AF471+AG471)</f>
        <v/>
      </c>
      <c r="AI471" s="40" t="str">
        <f t="shared" ref="AI471:AI534" si="37">IF(A471="","",R471+21)</f>
        <v/>
      </c>
      <c r="AJ471" s="40"/>
      <c r="AK471" s="40"/>
      <c r="AL471" s="22"/>
    </row>
    <row r="472" spans="1:38" ht="17.399999999999999">
      <c r="A472" s="22"/>
      <c r="B472" s="22"/>
      <c r="C472" s="56"/>
      <c r="D472" s="56"/>
      <c r="E472" s="22"/>
      <c r="F472" s="22"/>
      <c r="G472" s="22"/>
      <c r="H472" s="22"/>
      <c r="I472" s="49"/>
      <c r="J472" s="50"/>
      <c r="K472" s="22"/>
      <c r="L472" s="22"/>
      <c r="M472" s="22"/>
      <c r="N472" s="22"/>
      <c r="O472" s="22"/>
      <c r="P472" s="46"/>
      <c r="Q472" s="40"/>
      <c r="R472" s="41"/>
      <c r="S472" s="22" t="str">
        <f t="shared" si="33"/>
        <v/>
      </c>
      <c r="T472" s="41"/>
      <c r="U472" s="44"/>
      <c r="V472" s="44"/>
      <c r="W472" s="46"/>
      <c r="X472" s="46"/>
      <c r="Y472" s="46"/>
      <c r="Z472" s="22"/>
      <c r="AA472" s="22"/>
      <c r="AB472" s="22"/>
      <c r="AC472" s="22"/>
      <c r="AD472" s="22"/>
      <c r="AE472" s="22"/>
      <c r="AF472" s="48" t="str">
        <f t="shared" si="34"/>
        <v/>
      </c>
      <c r="AG472" s="48" t="str">
        <f t="shared" si="35"/>
        <v/>
      </c>
      <c r="AH472" s="48" t="str">
        <f t="shared" si="36"/>
        <v/>
      </c>
      <c r="AI472" s="40" t="str">
        <f t="shared" si="37"/>
        <v/>
      </c>
      <c r="AJ472" s="40"/>
      <c r="AK472" s="40"/>
      <c r="AL472" s="22"/>
    </row>
    <row r="473" spans="1:38" ht="17.399999999999999">
      <c r="A473" s="22"/>
      <c r="B473" s="22"/>
      <c r="C473" s="56"/>
      <c r="D473" s="56"/>
      <c r="E473" s="22"/>
      <c r="F473" s="22"/>
      <c r="G473" s="22"/>
      <c r="H473" s="22"/>
      <c r="I473" s="49"/>
      <c r="J473" s="50"/>
      <c r="K473" s="22"/>
      <c r="L473" s="22"/>
      <c r="M473" s="22"/>
      <c r="N473" s="22"/>
      <c r="O473" s="22"/>
      <c r="P473" s="46"/>
      <c r="Q473" s="40"/>
      <c r="R473" s="41"/>
      <c r="S473" s="22" t="str">
        <f t="shared" si="33"/>
        <v/>
      </c>
      <c r="T473" s="41"/>
      <c r="U473" s="44"/>
      <c r="V473" s="44"/>
      <c r="W473" s="46"/>
      <c r="X473" s="46"/>
      <c r="Y473" s="46"/>
      <c r="Z473" s="22"/>
      <c r="AA473" s="22"/>
      <c r="AB473" s="22"/>
      <c r="AC473" s="22"/>
      <c r="AD473" s="22"/>
      <c r="AE473" s="22"/>
      <c r="AF473" s="48" t="str">
        <f t="shared" si="34"/>
        <v/>
      </c>
      <c r="AG473" s="48" t="str">
        <f t="shared" si="35"/>
        <v/>
      </c>
      <c r="AH473" s="48" t="str">
        <f t="shared" si="36"/>
        <v/>
      </c>
      <c r="AI473" s="40" t="str">
        <f t="shared" si="37"/>
        <v/>
      </c>
      <c r="AJ473" s="40"/>
      <c r="AK473" s="40"/>
      <c r="AL473" s="22"/>
    </row>
    <row r="474" spans="1:38" ht="17.399999999999999">
      <c r="A474" s="22"/>
      <c r="B474" s="22"/>
      <c r="C474" s="56"/>
      <c r="D474" s="56"/>
      <c r="E474" s="22"/>
      <c r="F474" s="22"/>
      <c r="G474" s="22"/>
      <c r="H474" s="22"/>
      <c r="I474" s="49"/>
      <c r="J474" s="50"/>
      <c r="K474" s="22"/>
      <c r="L474" s="22"/>
      <c r="M474" s="22"/>
      <c r="N474" s="22"/>
      <c r="O474" s="22"/>
      <c r="P474" s="46"/>
      <c r="Q474" s="40"/>
      <c r="R474" s="41"/>
      <c r="S474" s="22" t="str">
        <f t="shared" si="33"/>
        <v/>
      </c>
      <c r="T474" s="41"/>
      <c r="U474" s="44"/>
      <c r="V474" s="44"/>
      <c r="W474" s="46"/>
      <c r="X474" s="46"/>
      <c r="Y474" s="46"/>
      <c r="Z474" s="22"/>
      <c r="AA474" s="22"/>
      <c r="AB474" s="22"/>
      <c r="AC474" s="22"/>
      <c r="AD474" s="22"/>
      <c r="AE474" s="22"/>
      <c r="AF474" s="48" t="str">
        <f t="shared" si="34"/>
        <v/>
      </c>
      <c r="AG474" s="48" t="str">
        <f t="shared" si="35"/>
        <v/>
      </c>
      <c r="AH474" s="48" t="str">
        <f t="shared" si="36"/>
        <v/>
      </c>
      <c r="AI474" s="40" t="str">
        <f t="shared" si="37"/>
        <v/>
      </c>
      <c r="AJ474" s="40"/>
      <c r="AK474" s="40"/>
      <c r="AL474" s="22"/>
    </row>
    <row r="475" spans="1:38" ht="17.399999999999999">
      <c r="A475" s="22"/>
      <c r="B475" s="22"/>
      <c r="C475" s="56"/>
      <c r="D475" s="56"/>
      <c r="E475" s="22"/>
      <c r="F475" s="22"/>
      <c r="G475" s="22"/>
      <c r="H475" s="22"/>
      <c r="I475" s="49"/>
      <c r="J475" s="50"/>
      <c r="K475" s="22"/>
      <c r="L475" s="22"/>
      <c r="M475" s="22"/>
      <c r="N475" s="22"/>
      <c r="O475" s="22"/>
      <c r="P475" s="46"/>
      <c r="Q475" s="40"/>
      <c r="R475" s="41"/>
      <c r="S475" s="22" t="str">
        <f t="shared" si="33"/>
        <v/>
      </c>
      <c r="T475" s="41"/>
      <c r="U475" s="44"/>
      <c r="V475" s="44"/>
      <c r="W475" s="46"/>
      <c r="X475" s="46"/>
      <c r="Y475" s="46"/>
      <c r="Z475" s="22"/>
      <c r="AA475" s="22"/>
      <c r="AB475" s="22"/>
      <c r="AC475" s="22"/>
      <c r="AD475" s="22"/>
      <c r="AE475" s="22"/>
      <c r="AF475" s="48" t="str">
        <f t="shared" si="34"/>
        <v/>
      </c>
      <c r="AG475" s="48" t="str">
        <f t="shared" si="35"/>
        <v/>
      </c>
      <c r="AH475" s="48" t="str">
        <f t="shared" si="36"/>
        <v/>
      </c>
      <c r="AI475" s="40" t="str">
        <f t="shared" si="37"/>
        <v/>
      </c>
      <c r="AJ475" s="40"/>
      <c r="AK475" s="40"/>
      <c r="AL475" s="22"/>
    </row>
    <row r="476" spans="1:38" ht="17.399999999999999">
      <c r="A476" s="22"/>
      <c r="B476" s="22"/>
      <c r="C476" s="56"/>
      <c r="D476" s="56"/>
      <c r="E476" s="22"/>
      <c r="F476" s="22"/>
      <c r="G476" s="22"/>
      <c r="H476" s="22"/>
      <c r="I476" s="49"/>
      <c r="J476" s="50"/>
      <c r="K476" s="22"/>
      <c r="L476" s="22"/>
      <c r="M476" s="22"/>
      <c r="N476" s="22"/>
      <c r="O476" s="22"/>
      <c r="P476" s="46"/>
      <c r="Q476" s="40"/>
      <c r="R476" s="41"/>
      <c r="S476" s="22" t="str">
        <f t="shared" si="33"/>
        <v/>
      </c>
      <c r="T476" s="41"/>
      <c r="U476" s="44"/>
      <c r="V476" s="44"/>
      <c r="W476" s="46"/>
      <c r="X476" s="46"/>
      <c r="Y476" s="46"/>
      <c r="Z476" s="22"/>
      <c r="AA476" s="22"/>
      <c r="AB476" s="22"/>
      <c r="AC476" s="22"/>
      <c r="AD476" s="22"/>
      <c r="AE476" s="22"/>
      <c r="AF476" s="48" t="str">
        <f t="shared" si="34"/>
        <v/>
      </c>
      <c r="AG476" s="48" t="str">
        <f t="shared" si="35"/>
        <v/>
      </c>
      <c r="AH476" s="48" t="str">
        <f t="shared" si="36"/>
        <v/>
      </c>
      <c r="AI476" s="40" t="str">
        <f t="shared" si="37"/>
        <v/>
      </c>
      <c r="AJ476" s="40"/>
      <c r="AK476" s="40"/>
      <c r="AL476" s="22"/>
    </row>
    <row r="477" spans="1:38" ht="17.399999999999999">
      <c r="A477" s="22"/>
      <c r="B477" s="22"/>
      <c r="C477" s="56"/>
      <c r="D477" s="56"/>
      <c r="E477" s="22"/>
      <c r="F477" s="22"/>
      <c r="G477" s="22"/>
      <c r="H477" s="22"/>
      <c r="I477" s="49"/>
      <c r="J477" s="50"/>
      <c r="K477" s="22"/>
      <c r="L477" s="22"/>
      <c r="M477" s="22"/>
      <c r="N477" s="22"/>
      <c r="O477" s="22"/>
      <c r="P477" s="46"/>
      <c r="Q477" s="40"/>
      <c r="R477" s="41"/>
      <c r="S477" s="22" t="str">
        <f t="shared" si="33"/>
        <v/>
      </c>
      <c r="T477" s="41"/>
      <c r="U477" s="44"/>
      <c r="V477" s="44"/>
      <c r="W477" s="46"/>
      <c r="X477" s="46"/>
      <c r="Y477" s="46"/>
      <c r="Z477" s="22"/>
      <c r="AA477" s="22"/>
      <c r="AB477" s="22"/>
      <c r="AC477" s="22"/>
      <c r="AD477" s="22"/>
      <c r="AE477" s="22"/>
      <c r="AF477" s="48" t="str">
        <f t="shared" si="34"/>
        <v/>
      </c>
      <c r="AG477" s="48" t="str">
        <f t="shared" si="35"/>
        <v/>
      </c>
      <c r="AH477" s="48" t="str">
        <f t="shared" si="36"/>
        <v/>
      </c>
      <c r="AI477" s="40" t="str">
        <f t="shared" si="37"/>
        <v/>
      </c>
      <c r="AJ477" s="40"/>
      <c r="AK477" s="40"/>
      <c r="AL477" s="22"/>
    </row>
    <row r="478" spans="1:38" ht="17.399999999999999">
      <c r="A478" s="22"/>
      <c r="B478" s="22"/>
      <c r="C478" s="56"/>
      <c r="D478" s="56"/>
      <c r="E478" s="22"/>
      <c r="F478" s="22"/>
      <c r="G478" s="22"/>
      <c r="H478" s="22"/>
      <c r="I478" s="49"/>
      <c r="J478" s="50"/>
      <c r="K478" s="22"/>
      <c r="L478" s="22"/>
      <c r="M478" s="22"/>
      <c r="N478" s="22"/>
      <c r="O478" s="22"/>
      <c r="P478" s="46"/>
      <c r="Q478" s="40"/>
      <c r="R478" s="41"/>
      <c r="S478" s="22" t="str">
        <f t="shared" si="33"/>
        <v/>
      </c>
      <c r="T478" s="41"/>
      <c r="U478" s="44"/>
      <c r="V478" s="44"/>
      <c r="W478" s="46"/>
      <c r="X478" s="46"/>
      <c r="Y478" s="46"/>
      <c r="Z478" s="22"/>
      <c r="AA478" s="22"/>
      <c r="AB478" s="22"/>
      <c r="AC478" s="22"/>
      <c r="AD478" s="22"/>
      <c r="AE478" s="22"/>
      <c r="AF478" s="48" t="str">
        <f t="shared" si="34"/>
        <v/>
      </c>
      <c r="AG478" s="48" t="str">
        <f t="shared" si="35"/>
        <v/>
      </c>
      <c r="AH478" s="48" t="str">
        <f t="shared" si="36"/>
        <v/>
      </c>
      <c r="AI478" s="40" t="str">
        <f t="shared" si="37"/>
        <v/>
      </c>
      <c r="AJ478" s="40"/>
      <c r="AK478" s="40"/>
      <c r="AL478" s="22"/>
    </row>
    <row r="479" spans="1:38" ht="17.399999999999999">
      <c r="A479" s="22"/>
      <c r="B479" s="22"/>
      <c r="C479" s="56"/>
      <c r="D479" s="56"/>
      <c r="E479" s="22"/>
      <c r="F479" s="22"/>
      <c r="G479" s="22"/>
      <c r="H479" s="22"/>
      <c r="I479" s="49"/>
      <c r="J479" s="50"/>
      <c r="K479" s="22"/>
      <c r="L479" s="22"/>
      <c r="M479" s="22"/>
      <c r="N479" s="22"/>
      <c r="O479" s="22"/>
      <c r="P479" s="46"/>
      <c r="Q479" s="40"/>
      <c r="R479" s="41"/>
      <c r="S479" s="22" t="str">
        <f t="shared" si="33"/>
        <v/>
      </c>
      <c r="T479" s="41"/>
      <c r="U479" s="44"/>
      <c r="V479" s="44"/>
      <c r="W479" s="46"/>
      <c r="X479" s="46"/>
      <c r="Y479" s="46"/>
      <c r="Z479" s="22"/>
      <c r="AA479" s="22"/>
      <c r="AB479" s="22"/>
      <c r="AC479" s="22"/>
      <c r="AD479" s="22"/>
      <c r="AE479" s="22"/>
      <c r="AF479" s="48" t="str">
        <f t="shared" si="34"/>
        <v/>
      </c>
      <c r="AG479" s="48" t="str">
        <f t="shared" si="35"/>
        <v/>
      </c>
      <c r="AH479" s="48" t="str">
        <f t="shared" si="36"/>
        <v/>
      </c>
      <c r="AI479" s="40" t="str">
        <f t="shared" si="37"/>
        <v/>
      </c>
      <c r="AJ479" s="40"/>
      <c r="AK479" s="40"/>
      <c r="AL479" s="22"/>
    </row>
    <row r="480" spans="1:38" ht="17.399999999999999">
      <c r="A480" s="22"/>
      <c r="B480" s="22"/>
      <c r="C480" s="56"/>
      <c r="D480" s="56"/>
      <c r="E480" s="22"/>
      <c r="F480" s="22"/>
      <c r="G480" s="22"/>
      <c r="H480" s="22"/>
      <c r="I480" s="49"/>
      <c r="J480" s="50"/>
      <c r="K480" s="22"/>
      <c r="L480" s="22"/>
      <c r="M480" s="22"/>
      <c r="N480" s="22"/>
      <c r="O480" s="22"/>
      <c r="P480" s="46"/>
      <c r="Q480" s="40"/>
      <c r="R480" s="41"/>
      <c r="S480" s="22" t="str">
        <f t="shared" si="33"/>
        <v/>
      </c>
      <c r="T480" s="41"/>
      <c r="U480" s="44"/>
      <c r="V480" s="44"/>
      <c r="W480" s="46"/>
      <c r="X480" s="46"/>
      <c r="Y480" s="46"/>
      <c r="Z480" s="22"/>
      <c r="AA480" s="22"/>
      <c r="AB480" s="22"/>
      <c r="AC480" s="22"/>
      <c r="AD480" s="22"/>
      <c r="AE480" s="22"/>
      <c r="AF480" s="48" t="str">
        <f t="shared" si="34"/>
        <v/>
      </c>
      <c r="AG480" s="48" t="str">
        <f t="shared" si="35"/>
        <v/>
      </c>
      <c r="AH480" s="48" t="str">
        <f t="shared" si="36"/>
        <v/>
      </c>
      <c r="AI480" s="40" t="str">
        <f t="shared" si="37"/>
        <v/>
      </c>
      <c r="AJ480" s="40"/>
      <c r="AK480" s="40"/>
      <c r="AL480" s="22"/>
    </row>
    <row r="481" spans="1:38" ht="17.399999999999999">
      <c r="A481" s="22"/>
      <c r="B481" s="22"/>
      <c r="C481" s="56"/>
      <c r="D481" s="56"/>
      <c r="E481" s="22"/>
      <c r="F481" s="22"/>
      <c r="G481" s="22"/>
      <c r="H481" s="22"/>
      <c r="I481" s="49"/>
      <c r="J481" s="50"/>
      <c r="K481" s="22"/>
      <c r="L481" s="22"/>
      <c r="M481" s="22"/>
      <c r="N481" s="22"/>
      <c r="O481" s="22"/>
      <c r="P481" s="46"/>
      <c r="Q481" s="40"/>
      <c r="R481" s="41"/>
      <c r="S481" s="22" t="str">
        <f t="shared" si="33"/>
        <v/>
      </c>
      <c r="T481" s="41"/>
      <c r="U481" s="44"/>
      <c r="V481" s="44"/>
      <c r="W481" s="46"/>
      <c r="X481" s="46"/>
      <c r="Y481" s="46"/>
      <c r="Z481" s="22"/>
      <c r="AA481" s="22"/>
      <c r="AB481" s="22"/>
      <c r="AC481" s="22"/>
      <c r="AD481" s="22"/>
      <c r="AE481" s="22"/>
      <c r="AF481" s="48" t="str">
        <f t="shared" si="34"/>
        <v/>
      </c>
      <c r="AG481" s="48" t="str">
        <f t="shared" si="35"/>
        <v/>
      </c>
      <c r="AH481" s="48" t="str">
        <f t="shared" si="36"/>
        <v/>
      </c>
      <c r="AI481" s="40" t="str">
        <f t="shared" si="37"/>
        <v/>
      </c>
      <c r="AJ481" s="40"/>
      <c r="AK481" s="40"/>
      <c r="AL481" s="22"/>
    </row>
    <row r="482" spans="1:38" ht="17.399999999999999">
      <c r="A482" s="22"/>
      <c r="B482" s="22"/>
      <c r="C482" s="56"/>
      <c r="D482" s="56"/>
      <c r="E482" s="22"/>
      <c r="F482" s="22"/>
      <c r="G482" s="22"/>
      <c r="H482" s="22"/>
      <c r="I482" s="49"/>
      <c r="J482" s="50"/>
      <c r="K482" s="22"/>
      <c r="L482" s="22"/>
      <c r="M482" s="22"/>
      <c r="N482" s="22"/>
      <c r="O482" s="22"/>
      <c r="P482" s="46"/>
      <c r="Q482" s="40"/>
      <c r="R482" s="41"/>
      <c r="S482" s="22" t="str">
        <f t="shared" si="33"/>
        <v/>
      </c>
      <c r="T482" s="41"/>
      <c r="U482" s="44"/>
      <c r="V482" s="44"/>
      <c r="W482" s="46"/>
      <c r="X482" s="46"/>
      <c r="Y482" s="46"/>
      <c r="Z482" s="22"/>
      <c r="AA482" s="22"/>
      <c r="AB482" s="22"/>
      <c r="AC482" s="22"/>
      <c r="AD482" s="22"/>
      <c r="AE482" s="22"/>
      <c r="AF482" s="48" t="str">
        <f t="shared" si="34"/>
        <v/>
      </c>
      <c r="AG482" s="48" t="str">
        <f t="shared" si="35"/>
        <v/>
      </c>
      <c r="AH482" s="48" t="str">
        <f t="shared" si="36"/>
        <v/>
      </c>
      <c r="AI482" s="40" t="str">
        <f t="shared" si="37"/>
        <v/>
      </c>
      <c r="AJ482" s="40"/>
      <c r="AK482" s="40"/>
      <c r="AL482" s="22"/>
    </row>
    <row r="483" spans="1:38" ht="17.399999999999999">
      <c r="A483" s="22"/>
      <c r="B483" s="22"/>
      <c r="C483" s="56"/>
      <c r="D483" s="56"/>
      <c r="E483" s="22"/>
      <c r="F483" s="22"/>
      <c r="G483" s="22"/>
      <c r="H483" s="22"/>
      <c r="I483" s="49"/>
      <c r="J483" s="50"/>
      <c r="K483" s="22"/>
      <c r="L483" s="22"/>
      <c r="M483" s="22"/>
      <c r="N483" s="22"/>
      <c r="O483" s="22"/>
      <c r="P483" s="46"/>
      <c r="Q483" s="40"/>
      <c r="R483" s="41"/>
      <c r="S483" s="22" t="str">
        <f t="shared" si="33"/>
        <v/>
      </c>
      <c r="T483" s="41"/>
      <c r="U483" s="44"/>
      <c r="V483" s="44"/>
      <c r="W483" s="46"/>
      <c r="X483" s="46"/>
      <c r="Y483" s="46"/>
      <c r="Z483" s="22"/>
      <c r="AA483" s="22"/>
      <c r="AB483" s="22"/>
      <c r="AC483" s="22"/>
      <c r="AD483" s="22"/>
      <c r="AE483" s="22"/>
      <c r="AF483" s="48" t="str">
        <f t="shared" si="34"/>
        <v/>
      </c>
      <c r="AG483" s="48" t="str">
        <f t="shared" si="35"/>
        <v/>
      </c>
      <c r="AH483" s="48" t="str">
        <f t="shared" si="36"/>
        <v/>
      </c>
      <c r="AI483" s="40" t="str">
        <f t="shared" si="37"/>
        <v/>
      </c>
      <c r="AJ483" s="40"/>
      <c r="AK483" s="40"/>
      <c r="AL483" s="22"/>
    </row>
    <row r="484" spans="1:38" ht="17.399999999999999">
      <c r="A484" s="22"/>
      <c r="B484" s="22"/>
      <c r="C484" s="56"/>
      <c r="D484" s="56"/>
      <c r="E484" s="22"/>
      <c r="F484" s="22"/>
      <c r="G484" s="22"/>
      <c r="H484" s="22"/>
      <c r="I484" s="49"/>
      <c r="J484" s="50"/>
      <c r="K484" s="22"/>
      <c r="L484" s="22"/>
      <c r="M484" s="22"/>
      <c r="N484" s="22"/>
      <c r="O484" s="22"/>
      <c r="P484" s="46"/>
      <c r="Q484" s="40"/>
      <c r="R484" s="41"/>
      <c r="S484" s="22" t="str">
        <f t="shared" si="33"/>
        <v/>
      </c>
      <c r="T484" s="41"/>
      <c r="U484" s="44"/>
      <c r="V484" s="44"/>
      <c r="W484" s="46"/>
      <c r="X484" s="46"/>
      <c r="Y484" s="46"/>
      <c r="Z484" s="22"/>
      <c r="AA484" s="22"/>
      <c r="AB484" s="22"/>
      <c r="AC484" s="22"/>
      <c r="AD484" s="22"/>
      <c r="AE484" s="22"/>
      <c r="AF484" s="48" t="str">
        <f t="shared" si="34"/>
        <v/>
      </c>
      <c r="AG484" s="48" t="str">
        <f t="shared" si="35"/>
        <v/>
      </c>
      <c r="AH484" s="48" t="str">
        <f t="shared" si="36"/>
        <v/>
      </c>
      <c r="AI484" s="40" t="str">
        <f t="shared" si="37"/>
        <v/>
      </c>
      <c r="AJ484" s="40"/>
      <c r="AK484" s="40"/>
      <c r="AL484" s="22"/>
    </row>
    <row r="485" spans="1:38" ht="17.399999999999999">
      <c r="A485" s="22"/>
      <c r="B485" s="22"/>
      <c r="C485" s="56"/>
      <c r="D485" s="56"/>
      <c r="E485" s="22"/>
      <c r="F485" s="22"/>
      <c r="G485" s="22"/>
      <c r="H485" s="22"/>
      <c r="I485" s="49"/>
      <c r="J485" s="50"/>
      <c r="K485" s="22"/>
      <c r="L485" s="22"/>
      <c r="M485" s="22"/>
      <c r="N485" s="22"/>
      <c r="O485" s="22"/>
      <c r="P485" s="46"/>
      <c r="Q485" s="40"/>
      <c r="R485" s="41"/>
      <c r="S485" s="22" t="str">
        <f t="shared" si="33"/>
        <v/>
      </c>
      <c r="T485" s="41"/>
      <c r="U485" s="44"/>
      <c r="V485" s="44"/>
      <c r="W485" s="46"/>
      <c r="X485" s="46"/>
      <c r="Y485" s="46"/>
      <c r="Z485" s="22"/>
      <c r="AA485" s="22"/>
      <c r="AB485" s="22"/>
      <c r="AC485" s="22"/>
      <c r="AD485" s="22"/>
      <c r="AE485" s="22"/>
      <c r="AF485" s="48" t="str">
        <f t="shared" si="34"/>
        <v/>
      </c>
      <c r="AG485" s="48" t="str">
        <f t="shared" si="35"/>
        <v/>
      </c>
      <c r="AH485" s="48" t="str">
        <f t="shared" si="36"/>
        <v/>
      </c>
      <c r="AI485" s="40" t="str">
        <f t="shared" si="37"/>
        <v/>
      </c>
      <c r="AJ485" s="40"/>
      <c r="AK485" s="40"/>
      <c r="AL485" s="22"/>
    </row>
    <row r="486" spans="1:38" ht="17.399999999999999">
      <c r="A486" s="22"/>
      <c r="B486" s="22"/>
      <c r="C486" s="56"/>
      <c r="D486" s="56"/>
      <c r="E486" s="22"/>
      <c r="F486" s="22"/>
      <c r="G486" s="22"/>
      <c r="H486" s="22"/>
      <c r="I486" s="49"/>
      <c r="J486" s="50"/>
      <c r="K486" s="22"/>
      <c r="L486" s="22"/>
      <c r="M486" s="22"/>
      <c r="N486" s="22"/>
      <c r="O486" s="22"/>
      <c r="P486" s="46"/>
      <c r="Q486" s="40"/>
      <c r="R486" s="41"/>
      <c r="S486" s="22" t="str">
        <f t="shared" si="33"/>
        <v/>
      </c>
      <c r="T486" s="41"/>
      <c r="U486" s="44"/>
      <c r="V486" s="44"/>
      <c r="W486" s="46"/>
      <c r="X486" s="46"/>
      <c r="Y486" s="46"/>
      <c r="Z486" s="22"/>
      <c r="AA486" s="22"/>
      <c r="AB486" s="22"/>
      <c r="AC486" s="22"/>
      <c r="AD486" s="22"/>
      <c r="AE486" s="22"/>
      <c r="AF486" s="48" t="str">
        <f t="shared" si="34"/>
        <v/>
      </c>
      <c r="AG486" s="48" t="str">
        <f t="shared" si="35"/>
        <v/>
      </c>
      <c r="AH486" s="48" t="str">
        <f t="shared" si="36"/>
        <v/>
      </c>
      <c r="AI486" s="40" t="str">
        <f t="shared" si="37"/>
        <v/>
      </c>
      <c r="AJ486" s="40"/>
      <c r="AK486" s="40"/>
      <c r="AL486" s="22"/>
    </row>
    <row r="487" spans="1:38" ht="17.399999999999999">
      <c r="A487" s="22"/>
      <c r="B487" s="22"/>
      <c r="C487" s="56"/>
      <c r="D487" s="56"/>
      <c r="E487" s="22"/>
      <c r="F487" s="22"/>
      <c r="G487" s="22"/>
      <c r="H487" s="22"/>
      <c r="I487" s="49"/>
      <c r="J487" s="50"/>
      <c r="K487" s="22"/>
      <c r="L487" s="22"/>
      <c r="M487" s="22"/>
      <c r="N487" s="22"/>
      <c r="O487" s="22"/>
      <c r="P487" s="46"/>
      <c r="Q487" s="40"/>
      <c r="R487" s="41"/>
      <c r="S487" s="22" t="str">
        <f t="shared" si="33"/>
        <v/>
      </c>
      <c r="T487" s="41"/>
      <c r="U487" s="44"/>
      <c r="V487" s="44"/>
      <c r="W487" s="46"/>
      <c r="X487" s="46"/>
      <c r="Y487" s="46"/>
      <c r="Z487" s="22"/>
      <c r="AA487" s="22"/>
      <c r="AB487" s="22"/>
      <c r="AC487" s="22"/>
      <c r="AD487" s="22"/>
      <c r="AE487" s="22"/>
      <c r="AF487" s="48" t="str">
        <f t="shared" si="34"/>
        <v/>
      </c>
      <c r="AG487" s="48" t="str">
        <f t="shared" si="35"/>
        <v/>
      </c>
      <c r="AH487" s="48" t="str">
        <f t="shared" si="36"/>
        <v/>
      </c>
      <c r="AI487" s="40" t="str">
        <f t="shared" si="37"/>
        <v/>
      </c>
      <c r="AJ487" s="40"/>
      <c r="AK487" s="40"/>
      <c r="AL487" s="22"/>
    </row>
    <row r="488" spans="1:38" ht="17.399999999999999">
      <c r="A488" s="22"/>
      <c r="B488" s="22"/>
      <c r="C488" s="56"/>
      <c r="D488" s="56"/>
      <c r="E488" s="22"/>
      <c r="F488" s="22"/>
      <c r="G488" s="22"/>
      <c r="H488" s="22"/>
      <c r="I488" s="49"/>
      <c r="J488" s="50"/>
      <c r="K488" s="22"/>
      <c r="L488" s="22"/>
      <c r="M488" s="22"/>
      <c r="N488" s="22"/>
      <c r="O488" s="22"/>
      <c r="P488" s="46"/>
      <c r="Q488" s="40"/>
      <c r="R488" s="41"/>
      <c r="S488" s="22" t="str">
        <f t="shared" si="33"/>
        <v/>
      </c>
      <c r="T488" s="41"/>
      <c r="U488" s="44"/>
      <c r="V488" s="44"/>
      <c r="W488" s="46"/>
      <c r="X488" s="46"/>
      <c r="Y488" s="46"/>
      <c r="Z488" s="22"/>
      <c r="AA488" s="22"/>
      <c r="AB488" s="22"/>
      <c r="AC488" s="22"/>
      <c r="AD488" s="22"/>
      <c r="AE488" s="22"/>
      <c r="AF488" s="48" t="str">
        <f t="shared" si="34"/>
        <v/>
      </c>
      <c r="AG488" s="48" t="str">
        <f t="shared" si="35"/>
        <v/>
      </c>
      <c r="AH488" s="48" t="str">
        <f t="shared" si="36"/>
        <v/>
      </c>
      <c r="AI488" s="40" t="str">
        <f t="shared" si="37"/>
        <v/>
      </c>
      <c r="AJ488" s="40"/>
      <c r="AK488" s="40"/>
      <c r="AL488" s="22"/>
    </row>
    <row r="489" spans="1:38" ht="17.399999999999999">
      <c r="A489" s="22"/>
      <c r="B489" s="22"/>
      <c r="C489" s="56"/>
      <c r="D489" s="56"/>
      <c r="E489" s="22"/>
      <c r="F489" s="22"/>
      <c r="G489" s="22"/>
      <c r="H489" s="22"/>
      <c r="I489" s="49"/>
      <c r="J489" s="50"/>
      <c r="K489" s="22"/>
      <c r="L489" s="22"/>
      <c r="M489" s="22"/>
      <c r="N489" s="22"/>
      <c r="O489" s="22"/>
      <c r="P489" s="46"/>
      <c r="Q489" s="40"/>
      <c r="R489" s="41"/>
      <c r="S489" s="22" t="str">
        <f t="shared" si="33"/>
        <v/>
      </c>
      <c r="T489" s="41"/>
      <c r="U489" s="44"/>
      <c r="V489" s="44"/>
      <c r="W489" s="46"/>
      <c r="X489" s="46"/>
      <c r="Y489" s="46"/>
      <c r="Z489" s="22"/>
      <c r="AA489" s="22"/>
      <c r="AB489" s="22"/>
      <c r="AC489" s="22"/>
      <c r="AD489" s="22"/>
      <c r="AE489" s="22"/>
      <c r="AF489" s="48" t="str">
        <f t="shared" si="34"/>
        <v/>
      </c>
      <c r="AG489" s="48" t="str">
        <f t="shared" si="35"/>
        <v/>
      </c>
      <c r="AH489" s="48" t="str">
        <f t="shared" si="36"/>
        <v/>
      </c>
      <c r="AI489" s="40" t="str">
        <f t="shared" si="37"/>
        <v/>
      </c>
      <c r="AJ489" s="40"/>
      <c r="AK489" s="40"/>
      <c r="AL489" s="22"/>
    </row>
    <row r="490" spans="1:38" ht="17.399999999999999">
      <c r="A490" s="22"/>
      <c r="B490" s="22"/>
      <c r="C490" s="56"/>
      <c r="D490" s="56"/>
      <c r="E490" s="22"/>
      <c r="F490" s="22"/>
      <c r="G490" s="22"/>
      <c r="H490" s="22"/>
      <c r="I490" s="49"/>
      <c r="J490" s="50"/>
      <c r="K490" s="22"/>
      <c r="L490" s="22"/>
      <c r="M490" s="22"/>
      <c r="N490" s="22"/>
      <c r="O490" s="22"/>
      <c r="P490" s="46"/>
      <c r="Q490" s="40"/>
      <c r="R490" s="41"/>
      <c r="S490" s="22" t="str">
        <f t="shared" si="33"/>
        <v/>
      </c>
      <c r="T490" s="41"/>
      <c r="U490" s="44"/>
      <c r="V490" s="44"/>
      <c r="W490" s="46"/>
      <c r="X490" s="46"/>
      <c r="Y490" s="46"/>
      <c r="Z490" s="22"/>
      <c r="AA490" s="22"/>
      <c r="AB490" s="22"/>
      <c r="AC490" s="22"/>
      <c r="AD490" s="22"/>
      <c r="AE490" s="22"/>
      <c r="AF490" s="48" t="str">
        <f t="shared" si="34"/>
        <v/>
      </c>
      <c r="AG490" s="48" t="str">
        <f t="shared" si="35"/>
        <v/>
      </c>
      <c r="AH490" s="48" t="str">
        <f t="shared" si="36"/>
        <v/>
      </c>
      <c r="AI490" s="40" t="str">
        <f t="shared" si="37"/>
        <v/>
      </c>
      <c r="AJ490" s="40"/>
      <c r="AK490" s="40"/>
      <c r="AL490" s="22"/>
    </row>
    <row r="491" spans="1:38" ht="17.399999999999999">
      <c r="A491" s="22"/>
      <c r="B491" s="22"/>
      <c r="C491" s="56"/>
      <c r="D491" s="56"/>
      <c r="E491" s="22"/>
      <c r="F491" s="22"/>
      <c r="G491" s="22"/>
      <c r="H491" s="22"/>
      <c r="I491" s="49"/>
      <c r="J491" s="50"/>
      <c r="K491" s="22"/>
      <c r="L491" s="22"/>
      <c r="M491" s="22"/>
      <c r="N491" s="22"/>
      <c r="O491" s="22"/>
      <c r="P491" s="46"/>
      <c r="Q491" s="40"/>
      <c r="R491" s="41"/>
      <c r="S491" s="22" t="str">
        <f t="shared" si="33"/>
        <v/>
      </c>
      <c r="T491" s="41"/>
      <c r="U491" s="44"/>
      <c r="V491" s="44"/>
      <c r="W491" s="46"/>
      <c r="X491" s="46"/>
      <c r="Y491" s="46"/>
      <c r="Z491" s="22"/>
      <c r="AA491" s="22"/>
      <c r="AB491" s="22"/>
      <c r="AC491" s="22"/>
      <c r="AD491" s="22"/>
      <c r="AE491" s="22"/>
      <c r="AF491" s="48" t="str">
        <f t="shared" si="34"/>
        <v/>
      </c>
      <c r="AG491" s="48" t="str">
        <f t="shared" si="35"/>
        <v/>
      </c>
      <c r="AH491" s="48" t="str">
        <f t="shared" si="36"/>
        <v/>
      </c>
      <c r="AI491" s="40" t="str">
        <f t="shared" si="37"/>
        <v/>
      </c>
      <c r="AJ491" s="40"/>
      <c r="AK491" s="40"/>
      <c r="AL491" s="22"/>
    </row>
    <row r="492" spans="1:38" ht="17.399999999999999">
      <c r="A492" s="22"/>
      <c r="B492" s="22"/>
      <c r="C492" s="56"/>
      <c r="D492" s="56"/>
      <c r="E492" s="22"/>
      <c r="F492" s="22"/>
      <c r="G492" s="22"/>
      <c r="H492" s="22"/>
      <c r="I492" s="49"/>
      <c r="J492" s="50"/>
      <c r="K492" s="22"/>
      <c r="L492" s="22"/>
      <c r="M492" s="22"/>
      <c r="N492" s="22"/>
      <c r="O492" s="22"/>
      <c r="P492" s="46"/>
      <c r="Q492" s="40"/>
      <c r="R492" s="41"/>
      <c r="S492" s="22" t="str">
        <f t="shared" si="33"/>
        <v/>
      </c>
      <c r="T492" s="41"/>
      <c r="U492" s="44"/>
      <c r="V492" s="44"/>
      <c r="W492" s="46"/>
      <c r="X492" s="46"/>
      <c r="Y492" s="46"/>
      <c r="Z492" s="22"/>
      <c r="AA492" s="22"/>
      <c r="AB492" s="22"/>
      <c r="AC492" s="22"/>
      <c r="AD492" s="22"/>
      <c r="AE492" s="22"/>
      <c r="AF492" s="48" t="str">
        <f t="shared" si="34"/>
        <v/>
      </c>
      <c r="AG492" s="48" t="str">
        <f t="shared" si="35"/>
        <v/>
      </c>
      <c r="AH492" s="48" t="str">
        <f t="shared" si="36"/>
        <v/>
      </c>
      <c r="AI492" s="40" t="str">
        <f t="shared" si="37"/>
        <v/>
      </c>
      <c r="AJ492" s="40"/>
      <c r="AK492" s="40"/>
      <c r="AL492" s="22"/>
    </row>
    <row r="493" spans="1:38" ht="17.399999999999999">
      <c r="A493" s="22"/>
      <c r="B493" s="22"/>
      <c r="C493" s="56"/>
      <c r="D493" s="56"/>
      <c r="E493" s="22"/>
      <c r="F493" s="22"/>
      <c r="G493" s="22"/>
      <c r="H493" s="22"/>
      <c r="I493" s="49"/>
      <c r="J493" s="50"/>
      <c r="K493" s="22"/>
      <c r="L493" s="22"/>
      <c r="M493" s="22"/>
      <c r="N493" s="22"/>
      <c r="O493" s="22"/>
      <c r="P493" s="46"/>
      <c r="Q493" s="40"/>
      <c r="R493" s="41"/>
      <c r="S493" s="22" t="str">
        <f t="shared" si="33"/>
        <v/>
      </c>
      <c r="T493" s="41"/>
      <c r="U493" s="44"/>
      <c r="V493" s="44"/>
      <c r="W493" s="46"/>
      <c r="X493" s="46"/>
      <c r="Y493" s="46"/>
      <c r="Z493" s="22"/>
      <c r="AA493" s="22"/>
      <c r="AB493" s="22"/>
      <c r="AC493" s="22"/>
      <c r="AD493" s="22"/>
      <c r="AE493" s="22"/>
      <c r="AF493" s="48" t="str">
        <f t="shared" si="34"/>
        <v/>
      </c>
      <c r="AG493" s="48" t="str">
        <f t="shared" si="35"/>
        <v/>
      </c>
      <c r="AH493" s="48" t="str">
        <f t="shared" si="36"/>
        <v/>
      </c>
      <c r="AI493" s="40" t="str">
        <f t="shared" si="37"/>
        <v/>
      </c>
      <c r="AJ493" s="40"/>
      <c r="AK493" s="40"/>
      <c r="AL493" s="22"/>
    </row>
    <row r="494" spans="1:38" ht="17.399999999999999">
      <c r="A494" s="22"/>
      <c r="B494" s="22"/>
      <c r="C494" s="56"/>
      <c r="D494" s="56"/>
      <c r="E494" s="22"/>
      <c r="F494" s="22"/>
      <c r="G494" s="22"/>
      <c r="H494" s="22"/>
      <c r="I494" s="49"/>
      <c r="J494" s="50"/>
      <c r="K494" s="22"/>
      <c r="L494" s="22"/>
      <c r="M494" s="22"/>
      <c r="N494" s="22"/>
      <c r="O494" s="22"/>
      <c r="P494" s="46"/>
      <c r="Q494" s="40"/>
      <c r="R494" s="41"/>
      <c r="S494" s="22" t="str">
        <f t="shared" si="33"/>
        <v/>
      </c>
      <c r="T494" s="41"/>
      <c r="U494" s="44"/>
      <c r="V494" s="44"/>
      <c r="W494" s="46"/>
      <c r="X494" s="46"/>
      <c r="Y494" s="46"/>
      <c r="Z494" s="22"/>
      <c r="AA494" s="22"/>
      <c r="AB494" s="22"/>
      <c r="AC494" s="22"/>
      <c r="AD494" s="22"/>
      <c r="AE494" s="22"/>
      <c r="AF494" s="48" t="str">
        <f t="shared" si="34"/>
        <v/>
      </c>
      <c r="AG494" s="48" t="str">
        <f t="shared" si="35"/>
        <v/>
      </c>
      <c r="AH494" s="48" t="str">
        <f t="shared" si="36"/>
        <v/>
      </c>
      <c r="AI494" s="40" t="str">
        <f t="shared" si="37"/>
        <v/>
      </c>
      <c r="AJ494" s="40"/>
      <c r="AK494" s="40"/>
      <c r="AL494" s="22"/>
    </row>
    <row r="495" spans="1:38" ht="17.399999999999999">
      <c r="A495" s="22"/>
      <c r="B495" s="22"/>
      <c r="C495" s="56"/>
      <c r="D495" s="56"/>
      <c r="E495" s="22"/>
      <c r="F495" s="22"/>
      <c r="G495" s="22"/>
      <c r="H495" s="22"/>
      <c r="I495" s="49"/>
      <c r="J495" s="50"/>
      <c r="K495" s="22"/>
      <c r="L495" s="22"/>
      <c r="M495" s="22"/>
      <c r="N495" s="22"/>
      <c r="O495" s="22"/>
      <c r="P495" s="46"/>
      <c r="Q495" s="40"/>
      <c r="R495" s="41"/>
      <c r="S495" s="22" t="str">
        <f t="shared" si="33"/>
        <v/>
      </c>
      <c r="T495" s="41"/>
      <c r="U495" s="44"/>
      <c r="V495" s="44"/>
      <c r="W495" s="46"/>
      <c r="X495" s="46"/>
      <c r="Y495" s="46"/>
      <c r="Z495" s="22"/>
      <c r="AA495" s="22"/>
      <c r="AB495" s="22"/>
      <c r="AC495" s="22"/>
      <c r="AD495" s="22"/>
      <c r="AE495" s="22"/>
      <c r="AF495" s="48" t="str">
        <f t="shared" si="34"/>
        <v/>
      </c>
      <c r="AG495" s="48" t="str">
        <f t="shared" si="35"/>
        <v/>
      </c>
      <c r="AH495" s="48" t="str">
        <f t="shared" si="36"/>
        <v/>
      </c>
      <c r="AI495" s="40" t="str">
        <f t="shared" si="37"/>
        <v/>
      </c>
      <c r="AJ495" s="40"/>
      <c r="AK495" s="40"/>
      <c r="AL495" s="22"/>
    </row>
    <row r="496" spans="1:38" ht="17.399999999999999">
      <c r="A496" s="22"/>
      <c r="B496" s="22"/>
      <c r="C496" s="56"/>
      <c r="D496" s="56"/>
      <c r="E496" s="22"/>
      <c r="F496" s="22"/>
      <c r="G496" s="22"/>
      <c r="H496" s="22"/>
      <c r="I496" s="49"/>
      <c r="J496" s="50"/>
      <c r="K496" s="22"/>
      <c r="L496" s="22"/>
      <c r="M496" s="22"/>
      <c r="N496" s="22"/>
      <c r="O496" s="22"/>
      <c r="P496" s="46"/>
      <c r="Q496" s="40"/>
      <c r="R496" s="41"/>
      <c r="S496" s="22" t="str">
        <f t="shared" si="33"/>
        <v/>
      </c>
      <c r="T496" s="41"/>
      <c r="U496" s="44"/>
      <c r="V496" s="44"/>
      <c r="W496" s="46"/>
      <c r="X496" s="46"/>
      <c r="Y496" s="46"/>
      <c r="Z496" s="22"/>
      <c r="AA496" s="22"/>
      <c r="AB496" s="22"/>
      <c r="AC496" s="22"/>
      <c r="AD496" s="22"/>
      <c r="AE496" s="22"/>
      <c r="AF496" s="48" t="str">
        <f t="shared" si="34"/>
        <v/>
      </c>
      <c r="AG496" s="48" t="str">
        <f t="shared" si="35"/>
        <v/>
      </c>
      <c r="AH496" s="48" t="str">
        <f t="shared" si="36"/>
        <v/>
      </c>
      <c r="AI496" s="40" t="str">
        <f t="shared" si="37"/>
        <v/>
      </c>
      <c r="AJ496" s="40"/>
      <c r="AK496" s="40"/>
      <c r="AL496" s="22"/>
    </row>
    <row r="497" spans="1:38" ht="17.399999999999999">
      <c r="A497" s="22"/>
      <c r="B497" s="22"/>
      <c r="C497" s="56"/>
      <c r="D497" s="56"/>
      <c r="E497" s="22"/>
      <c r="F497" s="22"/>
      <c r="G497" s="22"/>
      <c r="H497" s="22"/>
      <c r="I497" s="49"/>
      <c r="J497" s="50"/>
      <c r="K497" s="22"/>
      <c r="L497" s="22"/>
      <c r="M497" s="22"/>
      <c r="N497" s="22"/>
      <c r="O497" s="22"/>
      <c r="P497" s="46"/>
      <c r="Q497" s="40"/>
      <c r="R497" s="41"/>
      <c r="S497" s="22" t="str">
        <f t="shared" si="33"/>
        <v/>
      </c>
      <c r="T497" s="41"/>
      <c r="U497" s="44"/>
      <c r="V497" s="44"/>
      <c r="W497" s="46"/>
      <c r="X497" s="46"/>
      <c r="Y497" s="46"/>
      <c r="Z497" s="22"/>
      <c r="AA497" s="22"/>
      <c r="AB497" s="22"/>
      <c r="AC497" s="22"/>
      <c r="AD497" s="22"/>
      <c r="AE497" s="22"/>
      <c r="AF497" s="48" t="str">
        <f t="shared" si="34"/>
        <v/>
      </c>
      <c r="AG497" s="48" t="str">
        <f t="shared" si="35"/>
        <v/>
      </c>
      <c r="AH497" s="48" t="str">
        <f t="shared" si="36"/>
        <v/>
      </c>
      <c r="AI497" s="40" t="str">
        <f t="shared" si="37"/>
        <v/>
      </c>
      <c r="AJ497" s="40"/>
      <c r="AK497" s="40"/>
      <c r="AL497" s="22"/>
    </row>
    <row r="498" spans="1:38" ht="17.399999999999999">
      <c r="A498" s="22"/>
      <c r="B498" s="22"/>
      <c r="C498" s="56"/>
      <c r="D498" s="56"/>
      <c r="E498" s="22"/>
      <c r="F498" s="22"/>
      <c r="G498" s="22"/>
      <c r="H498" s="22"/>
      <c r="I498" s="49"/>
      <c r="J498" s="50"/>
      <c r="K498" s="22"/>
      <c r="L498" s="22"/>
      <c r="M498" s="22"/>
      <c r="N498" s="22"/>
      <c r="O498" s="22"/>
      <c r="P498" s="46"/>
      <c r="Q498" s="40"/>
      <c r="R498" s="41"/>
      <c r="S498" s="22" t="str">
        <f t="shared" si="33"/>
        <v/>
      </c>
      <c r="T498" s="41"/>
      <c r="U498" s="44"/>
      <c r="V498" s="44"/>
      <c r="W498" s="46"/>
      <c r="X498" s="46"/>
      <c r="Y498" s="46"/>
      <c r="Z498" s="22"/>
      <c r="AA498" s="22"/>
      <c r="AB498" s="22"/>
      <c r="AC498" s="22"/>
      <c r="AD498" s="22"/>
      <c r="AE498" s="22"/>
      <c r="AF498" s="48" t="str">
        <f t="shared" si="34"/>
        <v/>
      </c>
      <c r="AG498" s="48" t="str">
        <f t="shared" si="35"/>
        <v/>
      </c>
      <c r="AH498" s="48" t="str">
        <f t="shared" si="36"/>
        <v/>
      </c>
      <c r="AI498" s="40" t="str">
        <f t="shared" si="37"/>
        <v/>
      </c>
      <c r="AJ498" s="40"/>
      <c r="AK498" s="40"/>
      <c r="AL498" s="22"/>
    </row>
    <row r="499" spans="1:38" ht="17.399999999999999">
      <c r="A499" s="22"/>
      <c r="B499" s="22"/>
      <c r="C499" s="56"/>
      <c r="D499" s="56"/>
      <c r="E499" s="22"/>
      <c r="F499" s="22"/>
      <c r="G499" s="22"/>
      <c r="H499" s="22"/>
      <c r="I499" s="49"/>
      <c r="J499" s="50"/>
      <c r="K499" s="22"/>
      <c r="L499" s="22"/>
      <c r="M499" s="22"/>
      <c r="N499" s="22"/>
      <c r="O499" s="22"/>
      <c r="P499" s="46"/>
      <c r="Q499" s="40"/>
      <c r="R499" s="41"/>
      <c r="S499" s="22" t="str">
        <f t="shared" si="33"/>
        <v/>
      </c>
      <c r="T499" s="41"/>
      <c r="U499" s="44"/>
      <c r="V499" s="44"/>
      <c r="W499" s="46"/>
      <c r="X499" s="46"/>
      <c r="Y499" s="46"/>
      <c r="Z499" s="22"/>
      <c r="AA499" s="22"/>
      <c r="AB499" s="22"/>
      <c r="AC499" s="22"/>
      <c r="AD499" s="22"/>
      <c r="AE499" s="22"/>
      <c r="AF499" s="48" t="str">
        <f t="shared" si="34"/>
        <v/>
      </c>
      <c r="AG499" s="48" t="str">
        <f t="shared" si="35"/>
        <v/>
      </c>
      <c r="AH499" s="48" t="str">
        <f t="shared" si="36"/>
        <v/>
      </c>
      <c r="AI499" s="40" t="str">
        <f t="shared" si="37"/>
        <v/>
      </c>
      <c r="AJ499" s="40"/>
      <c r="AK499" s="40"/>
      <c r="AL499" s="22"/>
    </row>
    <row r="500" spans="1:38" ht="17.399999999999999">
      <c r="A500" s="22"/>
      <c r="B500" s="22"/>
      <c r="C500" s="56"/>
      <c r="D500" s="56"/>
      <c r="E500" s="22"/>
      <c r="F500" s="22"/>
      <c r="G500" s="22"/>
      <c r="H500" s="22"/>
      <c r="I500" s="49"/>
      <c r="J500" s="50"/>
      <c r="K500" s="22"/>
      <c r="L500" s="22"/>
      <c r="M500" s="22"/>
      <c r="N500" s="22"/>
      <c r="O500" s="22"/>
      <c r="P500" s="46"/>
      <c r="Q500" s="40"/>
      <c r="R500" s="41"/>
      <c r="S500" s="22" t="str">
        <f t="shared" si="33"/>
        <v/>
      </c>
      <c r="T500" s="41"/>
      <c r="U500" s="44"/>
      <c r="V500" s="44"/>
      <c r="W500" s="46"/>
      <c r="X500" s="46"/>
      <c r="Y500" s="46"/>
      <c r="Z500" s="22"/>
      <c r="AA500" s="22"/>
      <c r="AB500" s="22"/>
      <c r="AC500" s="22"/>
      <c r="AD500" s="22"/>
      <c r="AE500" s="22"/>
      <c r="AF500" s="48" t="str">
        <f t="shared" si="34"/>
        <v/>
      </c>
      <c r="AG500" s="48" t="str">
        <f t="shared" si="35"/>
        <v/>
      </c>
      <c r="AH500" s="48" t="str">
        <f t="shared" si="36"/>
        <v/>
      </c>
      <c r="AI500" s="40" t="str">
        <f t="shared" si="37"/>
        <v/>
      </c>
      <c r="AJ500" s="40"/>
      <c r="AK500" s="40"/>
      <c r="AL500" s="22"/>
    </row>
    <row r="501" spans="1:38" ht="17.399999999999999">
      <c r="A501" s="22"/>
      <c r="B501" s="22"/>
      <c r="C501" s="56"/>
      <c r="D501" s="56"/>
      <c r="E501" s="22"/>
      <c r="F501" s="22"/>
      <c r="G501" s="22"/>
      <c r="H501" s="22"/>
      <c r="I501" s="49"/>
      <c r="J501" s="50"/>
      <c r="K501" s="22"/>
      <c r="L501" s="22"/>
      <c r="M501" s="22"/>
      <c r="N501" s="22"/>
      <c r="O501" s="22"/>
      <c r="P501" s="46"/>
      <c r="Q501" s="40"/>
      <c r="R501" s="41"/>
      <c r="S501" s="22" t="str">
        <f t="shared" si="33"/>
        <v/>
      </c>
      <c r="T501" s="41"/>
      <c r="U501" s="44"/>
      <c r="V501" s="44"/>
      <c r="W501" s="46"/>
      <c r="X501" s="46"/>
      <c r="Y501" s="46"/>
      <c r="Z501" s="22"/>
      <c r="AA501" s="22"/>
      <c r="AB501" s="22"/>
      <c r="AC501" s="22"/>
      <c r="AD501" s="22"/>
      <c r="AE501" s="22"/>
      <c r="AF501" s="48" t="str">
        <f t="shared" si="34"/>
        <v/>
      </c>
      <c r="AG501" s="48" t="str">
        <f t="shared" si="35"/>
        <v/>
      </c>
      <c r="AH501" s="48" t="str">
        <f t="shared" si="36"/>
        <v/>
      </c>
      <c r="AI501" s="40" t="str">
        <f t="shared" si="37"/>
        <v/>
      </c>
      <c r="AJ501" s="40"/>
      <c r="AK501" s="40"/>
      <c r="AL501" s="22"/>
    </row>
    <row r="502" spans="1:38" ht="17.399999999999999">
      <c r="A502" s="22"/>
      <c r="B502" s="22"/>
      <c r="C502" s="56"/>
      <c r="D502" s="56"/>
      <c r="E502" s="22"/>
      <c r="F502" s="22"/>
      <c r="G502" s="22"/>
      <c r="H502" s="22"/>
      <c r="I502" s="49"/>
      <c r="J502" s="50"/>
      <c r="K502" s="22"/>
      <c r="L502" s="22"/>
      <c r="M502" s="22"/>
      <c r="N502" s="22"/>
      <c r="O502" s="22"/>
      <c r="P502" s="46"/>
      <c r="Q502" s="40"/>
      <c r="R502" s="41"/>
      <c r="S502" s="22" t="str">
        <f t="shared" si="33"/>
        <v/>
      </c>
      <c r="T502" s="41"/>
      <c r="U502" s="44"/>
      <c r="V502" s="44"/>
      <c r="W502" s="46"/>
      <c r="X502" s="46"/>
      <c r="Y502" s="46"/>
      <c r="Z502" s="22"/>
      <c r="AA502" s="22"/>
      <c r="AB502" s="22"/>
      <c r="AC502" s="22"/>
      <c r="AD502" s="22"/>
      <c r="AE502" s="22"/>
      <c r="AF502" s="48" t="str">
        <f t="shared" si="34"/>
        <v/>
      </c>
      <c r="AG502" s="48" t="str">
        <f t="shared" si="35"/>
        <v/>
      </c>
      <c r="AH502" s="48" t="str">
        <f t="shared" si="36"/>
        <v/>
      </c>
      <c r="AI502" s="40" t="str">
        <f t="shared" si="37"/>
        <v/>
      </c>
      <c r="AJ502" s="40"/>
      <c r="AK502" s="40"/>
      <c r="AL502" s="22"/>
    </row>
    <row r="503" spans="1:38" ht="17.399999999999999">
      <c r="A503" s="22"/>
      <c r="B503" s="22"/>
      <c r="C503" s="56"/>
      <c r="D503" s="56"/>
      <c r="E503" s="22"/>
      <c r="F503" s="22"/>
      <c r="G503" s="22"/>
      <c r="H503" s="22"/>
      <c r="I503" s="49"/>
      <c r="J503" s="50"/>
      <c r="K503" s="22"/>
      <c r="L503" s="22"/>
      <c r="M503" s="22"/>
      <c r="N503" s="22"/>
      <c r="O503" s="22"/>
      <c r="P503" s="46"/>
      <c r="Q503" s="40"/>
      <c r="R503" s="41"/>
      <c r="S503" s="22" t="str">
        <f t="shared" si="33"/>
        <v/>
      </c>
      <c r="T503" s="41"/>
      <c r="U503" s="44"/>
      <c r="V503" s="44"/>
      <c r="W503" s="46"/>
      <c r="X503" s="46"/>
      <c r="Y503" s="46"/>
      <c r="Z503" s="22"/>
      <c r="AA503" s="22"/>
      <c r="AB503" s="22"/>
      <c r="AC503" s="22"/>
      <c r="AD503" s="22"/>
      <c r="AE503" s="22"/>
      <c r="AF503" s="48" t="str">
        <f t="shared" si="34"/>
        <v/>
      </c>
      <c r="AG503" s="48" t="str">
        <f t="shared" si="35"/>
        <v/>
      </c>
      <c r="AH503" s="48" t="str">
        <f t="shared" si="36"/>
        <v/>
      </c>
      <c r="AI503" s="40" t="str">
        <f t="shared" si="37"/>
        <v/>
      </c>
      <c r="AJ503" s="40"/>
      <c r="AK503" s="40"/>
      <c r="AL503" s="22"/>
    </row>
    <row r="504" spans="1:38" ht="17.399999999999999">
      <c r="A504" s="22"/>
      <c r="B504" s="22"/>
      <c r="C504" s="56"/>
      <c r="D504" s="56"/>
      <c r="E504" s="22"/>
      <c r="F504" s="22"/>
      <c r="G504" s="22"/>
      <c r="H504" s="22"/>
      <c r="I504" s="49"/>
      <c r="J504" s="50"/>
      <c r="K504" s="22"/>
      <c r="L504" s="22"/>
      <c r="M504" s="22"/>
      <c r="N504" s="22"/>
      <c r="O504" s="22"/>
      <c r="P504" s="46"/>
      <c r="Q504" s="40"/>
      <c r="R504" s="41"/>
      <c r="S504" s="22" t="str">
        <f t="shared" si="33"/>
        <v/>
      </c>
      <c r="T504" s="41"/>
      <c r="U504" s="44"/>
      <c r="V504" s="44"/>
      <c r="W504" s="46"/>
      <c r="X504" s="46"/>
      <c r="Y504" s="46"/>
      <c r="Z504" s="22"/>
      <c r="AA504" s="22"/>
      <c r="AB504" s="22"/>
      <c r="AC504" s="22"/>
      <c r="AD504" s="22"/>
      <c r="AE504" s="22"/>
      <c r="AF504" s="48" t="str">
        <f t="shared" si="34"/>
        <v/>
      </c>
      <c r="AG504" s="48" t="str">
        <f t="shared" si="35"/>
        <v/>
      </c>
      <c r="AH504" s="48" t="str">
        <f t="shared" si="36"/>
        <v/>
      </c>
      <c r="AI504" s="40" t="str">
        <f t="shared" si="37"/>
        <v/>
      </c>
      <c r="AJ504" s="40"/>
      <c r="AK504" s="40"/>
      <c r="AL504" s="22"/>
    </row>
    <row r="505" spans="1:38" ht="17.399999999999999">
      <c r="A505" s="22"/>
      <c r="B505" s="22"/>
      <c r="C505" s="56"/>
      <c r="D505" s="56"/>
      <c r="E505" s="22"/>
      <c r="F505" s="22"/>
      <c r="G505" s="22"/>
      <c r="H505" s="22"/>
      <c r="I505" s="49"/>
      <c r="J505" s="50"/>
      <c r="K505" s="22"/>
      <c r="L505" s="22"/>
      <c r="M505" s="22"/>
      <c r="N505" s="22"/>
      <c r="O505" s="22"/>
      <c r="P505" s="46"/>
      <c r="Q505" s="40"/>
      <c r="R505" s="41"/>
      <c r="S505" s="22" t="str">
        <f t="shared" si="33"/>
        <v/>
      </c>
      <c r="T505" s="41"/>
      <c r="U505" s="44"/>
      <c r="V505" s="44"/>
      <c r="W505" s="46"/>
      <c r="X505" s="46"/>
      <c r="Y505" s="46"/>
      <c r="Z505" s="22"/>
      <c r="AA505" s="22"/>
      <c r="AB505" s="22"/>
      <c r="AC505" s="22"/>
      <c r="AD505" s="22"/>
      <c r="AE505" s="22"/>
      <c r="AF505" s="48" t="str">
        <f t="shared" si="34"/>
        <v/>
      </c>
      <c r="AG505" s="48" t="str">
        <f t="shared" si="35"/>
        <v/>
      </c>
      <c r="AH505" s="48" t="str">
        <f t="shared" si="36"/>
        <v/>
      </c>
      <c r="AI505" s="40" t="str">
        <f t="shared" si="37"/>
        <v/>
      </c>
      <c r="AJ505" s="40"/>
      <c r="AK505" s="40"/>
      <c r="AL505" s="22"/>
    </row>
    <row r="506" spans="1:38" ht="17.399999999999999">
      <c r="A506" s="22"/>
      <c r="B506" s="22"/>
      <c r="C506" s="56"/>
      <c r="D506" s="56"/>
      <c r="E506" s="22"/>
      <c r="F506" s="22"/>
      <c r="G506" s="22"/>
      <c r="H506" s="22"/>
      <c r="I506" s="49"/>
      <c r="J506" s="50"/>
      <c r="K506" s="22"/>
      <c r="L506" s="22"/>
      <c r="M506" s="22"/>
      <c r="N506" s="22"/>
      <c r="O506" s="22"/>
      <c r="P506" s="46"/>
      <c r="Q506" s="40"/>
      <c r="R506" s="41"/>
      <c r="S506" s="22" t="str">
        <f t="shared" si="33"/>
        <v/>
      </c>
      <c r="T506" s="41"/>
      <c r="U506" s="44"/>
      <c r="V506" s="44"/>
      <c r="W506" s="46"/>
      <c r="X506" s="46"/>
      <c r="Y506" s="46"/>
      <c r="Z506" s="22"/>
      <c r="AA506" s="22"/>
      <c r="AB506" s="22"/>
      <c r="AC506" s="22"/>
      <c r="AD506" s="22"/>
      <c r="AE506" s="22"/>
      <c r="AF506" s="48" t="str">
        <f t="shared" si="34"/>
        <v/>
      </c>
      <c r="AG506" s="48" t="str">
        <f t="shared" si="35"/>
        <v/>
      </c>
      <c r="AH506" s="48" t="str">
        <f t="shared" si="36"/>
        <v/>
      </c>
      <c r="AI506" s="40" t="str">
        <f t="shared" si="37"/>
        <v/>
      </c>
      <c r="AJ506" s="40"/>
      <c r="AK506" s="40"/>
      <c r="AL506" s="22"/>
    </row>
    <row r="507" spans="1:38" ht="17.399999999999999">
      <c r="A507" s="22"/>
      <c r="B507" s="22"/>
      <c r="C507" s="56"/>
      <c r="D507" s="56"/>
      <c r="E507" s="22"/>
      <c r="F507" s="22"/>
      <c r="G507" s="22"/>
      <c r="H507" s="22"/>
      <c r="I507" s="49"/>
      <c r="J507" s="50"/>
      <c r="K507" s="22"/>
      <c r="L507" s="22"/>
      <c r="M507" s="22"/>
      <c r="N507" s="22"/>
      <c r="O507" s="22"/>
      <c r="P507" s="46"/>
      <c r="Q507" s="40"/>
      <c r="R507" s="41"/>
      <c r="S507" s="22" t="str">
        <f t="shared" si="33"/>
        <v/>
      </c>
      <c r="T507" s="41"/>
      <c r="U507" s="44"/>
      <c r="V507" s="44"/>
      <c r="W507" s="46"/>
      <c r="X507" s="46"/>
      <c r="Y507" s="46"/>
      <c r="Z507" s="22"/>
      <c r="AA507" s="22"/>
      <c r="AB507" s="22"/>
      <c r="AC507" s="22"/>
      <c r="AD507" s="22"/>
      <c r="AE507" s="22"/>
      <c r="AF507" s="48" t="str">
        <f t="shared" si="34"/>
        <v/>
      </c>
      <c r="AG507" s="48" t="str">
        <f t="shared" si="35"/>
        <v/>
      </c>
      <c r="AH507" s="48" t="str">
        <f t="shared" si="36"/>
        <v/>
      </c>
      <c r="AI507" s="40" t="str">
        <f t="shared" si="37"/>
        <v/>
      </c>
      <c r="AJ507" s="40"/>
      <c r="AK507" s="40"/>
      <c r="AL507" s="22"/>
    </row>
    <row r="508" spans="1:38" ht="17.399999999999999">
      <c r="A508" s="22"/>
      <c r="B508" s="22"/>
      <c r="C508" s="56"/>
      <c r="D508" s="56"/>
      <c r="E508" s="22"/>
      <c r="F508" s="22"/>
      <c r="G508" s="22"/>
      <c r="H508" s="22"/>
      <c r="I508" s="49"/>
      <c r="J508" s="50"/>
      <c r="K508" s="22"/>
      <c r="L508" s="22"/>
      <c r="M508" s="22"/>
      <c r="N508" s="22"/>
      <c r="O508" s="22"/>
      <c r="P508" s="46"/>
      <c r="Q508" s="40"/>
      <c r="R508" s="41"/>
      <c r="S508" s="22" t="str">
        <f t="shared" si="33"/>
        <v/>
      </c>
      <c r="T508" s="41"/>
      <c r="U508" s="44"/>
      <c r="V508" s="44"/>
      <c r="W508" s="46"/>
      <c r="X508" s="46"/>
      <c r="Y508" s="46"/>
      <c r="Z508" s="22"/>
      <c r="AA508" s="22"/>
      <c r="AB508" s="22"/>
      <c r="AC508" s="22"/>
      <c r="AD508" s="22"/>
      <c r="AE508" s="22"/>
      <c r="AF508" s="48" t="str">
        <f t="shared" si="34"/>
        <v/>
      </c>
      <c r="AG508" s="48" t="str">
        <f t="shared" si="35"/>
        <v/>
      </c>
      <c r="AH508" s="48" t="str">
        <f t="shared" si="36"/>
        <v/>
      </c>
      <c r="AI508" s="40" t="str">
        <f t="shared" si="37"/>
        <v/>
      </c>
      <c r="AJ508" s="40"/>
      <c r="AK508" s="40"/>
      <c r="AL508" s="22"/>
    </row>
    <row r="509" spans="1:38" ht="17.399999999999999">
      <c r="A509" s="22"/>
      <c r="B509" s="22"/>
      <c r="C509" s="56"/>
      <c r="D509" s="56"/>
      <c r="E509" s="22"/>
      <c r="F509" s="22"/>
      <c r="G509" s="22"/>
      <c r="H509" s="22"/>
      <c r="I509" s="49"/>
      <c r="J509" s="50"/>
      <c r="K509" s="22"/>
      <c r="L509" s="22"/>
      <c r="M509" s="22"/>
      <c r="N509" s="22"/>
      <c r="O509" s="22"/>
      <c r="P509" s="46"/>
      <c r="Q509" s="40"/>
      <c r="R509" s="41"/>
      <c r="S509" s="22" t="str">
        <f t="shared" si="33"/>
        <v/>
      </c>
      <c r="T509" s="41"/>
      <c r="U509" s="44"/>
      <c r="V509" s="44"/>
      <c r="W509" s="46"/>
      <c r="X509" s="46"/>
      <c r="Y509" s="46"/>
      <c r="Z509" s="22"/>
      <c r="AA509" s="22"/>
      <c r="AB509" s="22"/>
      <c r="AC509" s="22"/>
      <c r="AD509" s="22"/>
      <c r="AE509" s="22"/>
      <c r="AF509" s="48" t="str">
        <f t="shared" si="34"/>
        <v/>
      </c>
      <c r="AG509" s="48" t="str">
        <f t="shared" si="35"/>
        <v/>
      </c>
      <c r="AH509" s="48" t="str">
        <f t="shared" si="36"/>
        <v/>
      </c>
      <c r="AI509" s="40" t="str">
        <f t="shared" si="37"/>
        <v/>
      </c>
      <c r="AJ509" s="40"/>
      <c r="AK509" s="40"/>
      <c r="AL509" s="22"/>
    </row>
    <row r="510" spans="1:38" ht="17.399999999999999">
      <c r="A510" s="22"/>
      <c r="B510" s="22"/>
      <c r="C510" s="56"/>
      <c r="D510" s="56"/>
      <c r="E510" s="22"/>
      <c r="F510" s="22"/>
      <c r="G510" s="22"/>
      <c r="H510" s="22"/>
      <c r="I510" s="49"/>
      <c r="J510" s="50"/>
      <c r="K510" s="22"/>
      <c r="L510" s="22"/>
      <c r="M510" s="22"/>
      <c r="N510" s="22"/>
      <c r="O510" s="22"/>
      <c r="P510" s="46"/>
      <c r="Q510" s="40"/>
      <c r="R510" s="41"/>
      <c r="S510" s="22" t="str">
        <f t="shared" si="33"/>
        <v/>
      </c>
      <c r="T510" s="41"/>
      <c r="U510" s="44"/>
      <c r="V510" s="44"/>
      <c r="W510" s="46"/>
      <c r="X510" s="46"/>
      <c r="Y510" s="46"/>
      <c r="Z510" s="22"/>
      <c r="AA510" s="22"/>
      <c r="AB510" s="22"/>
      <c r="AC510" s="22"/>
      <c r="AD510" s="22"/>
      <c r="AE510" s="22"/>
      <c r="AF510" s="48" t="str">
        <f t="shared" si="34"/>
        <v/>
      </c>
      <c r="AG510" s="48" t="str">
        <f t="shared" si="35"/>
        <v/>
      </c>
      <c r="AH510" s="48" t="str">
        <f t="shared" si="36"/>
        <v/>
      </c>
      <c r="AI510" s="40" t="str">
        <f t="shared" si="37"/>
        <v/>
      </c>
      <c r="AJ510" s="40"/>
      <c r="AK510" s="40"/>
      <c r="AL510" s="22"/>
    </row>
    <row r="511" spans="1:38" ht="17.399999999999999">
      <c r="A511" s="22"/>
      <c r="B511" s="22"/>
      <c r="C511" s="56"/>
      <c r="D511" s="56"/>
      <c r="E511" s="22"/>
      <c r="F511" s="22"/>
      <c r="G511" s="22"/>
      <c r="H511" s="22"/>
      <c r="I511" s="49"/>
      <c r="J511" s="50"/>
      <c r="K511" s="22"/>
      <c r="L511" s="22"/>
      <c r="M511" s="22"/>
      <c r="N511" s="22"/>
      <c r="O511" s="22"/>
      <c r="P511" s="46"/>
      <c r="Q511" s="40"/>
      <c r="R511" s="41"/>
      <c r="S511" s="22" t="str">
        <f t="shared" si="33"/>
        <v/>
      </c>
      <c r="T511" s="41"/>
      <c r="U511" s="44"/>
      <c r="V511" s="44"/>
      <c r="W511" s="46"/>
      <c r="X511" s="46"/>
      <c r="Y511" s="46"/>
      <c r="Z511" s="22"/>
      <c r="AA511" s="22"/>
      <c r="AB511" s="22"/>
      <c r="AC511" s="22"/>
      <c r="AD511" s="22"/>
      <c r="AE511" s="22"/>
      <c r="AF511" s="48" t="str">
        <f t="shared" si="34"/>
        <v/>
      </c>
      <c r="AG511" s="48" t="str">
        <f t="shared" si="35"/>
        <v/>
      </c>
      <c r="AH511" s="48" t="str">
        <f t="shared" si="36"/>
        <v/>
      </c>
      <c r="AI511" s="40" t="str">
        <f t="shared" si="37"/>
        <v/>
      </c>
      <c r="AJ511" s="40"/>
      <c r="AK511" s="40"/>
      <c r="AL511" s="22"/>
    </row>
    <row r="512" spans="1:38" ht="17.399999999999999">
      <c r="A512" s="22"/>
      <c r="B512" s="22"/>
      <c r="C512" s="56"/>
      <c r="D512" s="56"/>
      <c r="E512" s="22"/>
      <c r="F512" s="22"/>
      <c r="G512" s="22"/>
      <c r="H512" s="22"/>
      <c r="I512" s="49"/>
      <c r="J512" s="50"/>
      <c r="K512" s="22"/>
      <c r="L512" s="22"/>
      <c r="M512" s="22"/>
      <c r="N512" s="22"/>
      <c r="O512" s="22"/>
      <c r="P512" s="46"/>
      <c r="Q512" s="40"/>
      <c r="R512" s="41"/>
      <c r="S512" s="22" t="str">
        <f t="shared" si="33"/>
        <v/>
      </c>
      <c r="T512" s="41"/>
      <c r="U512" s="44"/>
      <c r="V512" s="44"/>
      <c r="W512" s="46"/>
      <c r="X512" s="46"/>
      <c r="Y512" s="46"/>
      <c r="Z512" s="22"/>
      <c r="AA512" s="22"/>
      <c r="AB512" s="22"/>
      <c r="AC512" s="22"/>
      <c r="AD512" s="22"/>
      <c r="AE512" s="22"/>
      <c r="AF512" s="48" t="str">
        <f t="shared" si="34"/>
        <v/>
      </c>
      <c r="AG512" s="48" t="str">
        <f t="shared" si="35"/>
        <v/>
      </c>
      <c r="AH512" s="48" t="str">
        <f t="shared" si="36"/>
        <v/>
      </c>
      <c r="AI512" s="40" t="str">
        <f t="shared" si="37"/>
        <v/>
      </c>
      <c r="AJ512" s="40"/>
      <c r="AK512" s="40"/>
      <c r="AL512" s="22"/>
    </row>
    <row r="513" spans="1:38" ht="17.399999999999999">
      <c r="A513" s="22"/>
      <c r="B513" s="22"/>
      <c r="C513" s="56"/>
      <c r="D513" s="56"/>
      <c r="E513" s="22"/>
      <c r="F513" s="22"/>
      <c r="G513" s="22"/>
      <c r="H513" s="22"/>
      <c r="I513" s="49"/>
      <c r="J513" s="50"/>
      <c r="K513" s="22"/>
      <c r="L513" s="22"/>
      <c r="M513" s="22"/>
      <c r="N513" s="22"/>
      <c r="O513" s="22"/>
      <c r="P513" s="46"/>
      <c r="Q513" s="40"/>
      <c r="R513" s="41"/>
      <c r="S513" s="22" t="str">
        <f t="shared" si="33"/>
        <v/>
      </c>
      <c r="T513" s="41"/>
      <c r="U513" s="44"/>
      <c r="V513" s="44"/>
      <c r="W513" s="46"/>
      <c r="X513" s="46"/>
      <c r="Y513" s="46"/>
      <c r="Z513" s="22"/>
      <c r="AA513" s="22"/>
      <c r="AB513" s="22"/>
      <c r="AC513" s="22"/>
      <c r="AD513" s="22"/>
      <c r="AE513" s="22"/>
      <c r="AF513" s="48" t="str">
        <f t="shared" si="34"/>
        <v/>
      </c>
      <c r="AG513" s="48" t="str">
        <f t="shared" si="35"/>
        <v/>
      </c>
      <c r="AH513" s="48" t="str">
        <f t="shared" si="36"/>
        <v/>
      </c>
      <c r="AI513" s="40" t="str">
        <f t="shared" si="37"/>
        <v/>
      </c>
      <c r="AJ513" s="40"/>
      <c r="AK513" s="40"/>
      <c r="AL513" s="22"/>
    </row>
    <row r="514" spans="1:38" ht="17.399999999999999">
      <c r="A514" s="22"/>
      <c r="B514" s="22"/>
      <c r="C514" s="56"/>
      <c r="D514" s="56"/>
      <c r="E514" s="22"/>
      <c r="F514" s="22"/>
      <c r="G514" s="22"/>
      <c r="H514" s="22"/>
      <c r="I514" s="49"/>
      <c r="J514" s="50"/>
      <c r="K514" s="22"/>
      <c r="L514" s="22"/>
      <c r="M514" s="22"/>
      <c r="N514" s="22"/>
      <c r="O514" s="22"/>
      <c r="P514" s="46"/>
      <c r="Q514" s="40"/>
      <c r="R514" s="41"/>
      <c r="S514" s="22" t="str">
        <f t="shared" si="33"/>
        <v/>
      </c>
      <c r="T514" s="41"/>
      <c r="U514" s="44"/>
      <c r="V514" s="44"/>
      <c r="W514" s="46"/>
      <c r="X514" s="46"/>
      <c r="Y514" s="46"/>
      <c r="Z514" s="22"/>
      <c r="AA514" s="22"/>
      <c r="AB514" s="22"/>
      <c r="AC514" s="22"/>
      <c r="AD514" s="22"/>
      <c r="AE514" s="22"/>
      <c r="AF514" s="48" t="str">
        <f t="shared" si="34"/>
        <v/>
      </c>
      <c r="AG514" s="48" t="str">
        <f t="shared" si="35"/>
        <v/>
      </c>
      <c r="AH514" s="48" t="str">
        <f t="shared" si="36"/>
        <v/>
      </c>
      <c r="AI514" s="40" t="str">
        <f t="shared" si="37"/>
        <v/>
      </c>
      <c r="AJ514" s="40"/>
      <c r="AK514" s="40"/>
      <c r="AL514" s="22"/>
    </row>
    <row r="515" spans="1:38" ht="17.399999999999999">
      <c r="A515" s="22"/>
      <c r="B515" s="22"/>
      <c r="C515" s="56"/>
      <c r="D515" s="56"/>
      <c r="E515" s="22"/>
      <c r="F515" s="22"/>
      <c r="G515" s="22"/>
      <c r="H515" s="22"/>
      <c r="I515" s="49"/>
      <c r="J515" s="50"/>
      <c r="K515" s="22"/>
      <c r="L515" s="22"/>
      <c r="M515" s="22"/>
      <c r="N515" s="22"/>
      <c r="O515" s="22"/>
      <c r="P515" s="46"/>
      <c r="Q515" s="40"/>
      <c r="R515" s="41"/>
      <c r="S515" s="22" t="str">
        <f t="shared" si="33"/>
        <v/>
      </c>
      <c r="T515" s="41"/>
      <c r="U515" s="44"/>
      <c r="V515" s="44"/>
      <c r="W515" s="46"/>
      <c r="X515" s="46"/>
      <c r="Y515" s="46"/>
      <c r="Z515" s="22"/>
      <c r="AA515" s="22"/>
      <c r="AB515" s="22"/>
      <c r="AC515" s="22"/>
      <c r="AD515" s="22"/>
      <c r="AE515" s="22"/>
      <c r="AF515" s="48" t="str">
        <f t="shared" si="34"/>
        <v/>
      </c>
      <c r="AG515" s="48" t="str">
        <f t="shared" si="35"/>
        <v/>
      </c>
      <c r="AH515" s="48" t="str">
        <f t="shared" si="36"/>
        <v/>
      </c>
      <c r="AI515" s="40" t="str">
        <f t="shared" si="37"/>
        <v/>
      </c>
      <c r="AJ515" s="40"/>
      <c r="AK515" s="40"/>
      <c r="AL515" s="22"/>
    </row>
    <row r="516" spans="1:38" ht="17.399999999999999">
      <c r="A516" s="22"/>
      <c r="B516" s="22"/>
      <c r="C516" s="56"/>
      <c r="D516" s="56"/>
      <c r="E516" s="22"/>
      <c r="F516" s="22"/>
      <c r="G516" s="22"/>
      <c r="H516" s="22"/>
      <c r="I516" s="49"/>
      <c r="J516" s="50"/>
      <c r="K516" s="22"/>
      <c r="L516" s="22"/>
      <c r="M516" s="22"/>
      <c r="N516" s="22"/>
      <c r="O516" s="22"/>
      <c r="P516" s="46"/>
      <c r="Q516" s="40"/>
      <c r="R516" s="41"/>
      <c r="S516" s="22" t="str">
        <f t="shared" si="33"/>
        <v/>
      </c>
      <c r="T516" s="41"/>
      <c r="U516" s="44"/>
      <c r="V516" s="44"/>
      <c r="W516" s="46"/>
      <c r="X516" s="46"/>
      <c r="Y516" s="46"/>
      <c r="Z516" s="22"/>
      <c r="AA516" s="22"/>
      <c r="AB516" s="22"/>
      <c r="AC516" s="22"/>
      <c r="AD516" s="22"/>
      <c r="AE516" s="22"/>
      <c r="AF516" s="48" t="str">
        <f t="shared" si="34"/>
        <v/>
      </c>
      <c r="AG516" s="48" t="str">
        <f t="shared" si="35"/>
        <v/>
      </c>
      <c r="AH516" s="48" t="str">
        <f t="shared" si="36"/>
        <v/>
      </c>
      <c r="AI516" s="40" t="str">
        <f t="shared" si="37"/>
        <v/>
      </c>
      <c r="AJ516" s="40"/>
      <c r="AK516" s="40"/>
      <c r="AL516" s="22"/>
    </row>
    <row r="517" spans="1:38" ht="17.399999999999999">
      <c r="A517" s="22"/>
      <c r="B517" s="22"/>
      <c r="C517" s="56"/>
      <c r="D517" s="56"/>
      <c r="E517" s="22"/>
      <c r="F517" s="22"/>
      <c r="G517" s="22"/>
      <c r="H517" s="22"/>
      <c r="I517" s="49"/>
      <c r="J517" s="50"/>
      <c r="K517" s="22"/>
      <c r="L517" s="22"/>
      <c r="M517" s="22"/>
      <c r="N517" s="22"/>
      <c r="O517" s="22"/>
      <c r="P517" s="46"/>
      <c r="Q517" s="40"/>
      <c r="R517" s="41"/>
      <c r="S517" s="22" t="str">
        <f t="shared" si="33"/>
        <v/>
      </c>
      <c r="T517" s="41"/>
      <c r="U517" s="44"/>
      <c r="V517" s="44"/>
      <c r="W517" s="46"/>
      <c r="X517" s="46"/>
      <c r="Y517" s="46"/>
      <c r="Z517" s="22"/>
      <c r="AA517" s="22"/>
      <c r="AB517" s="22"/>
      <c r="AC517" s="22"/>
      <c r="AD517" s="22"/>
      <c r="AE517" s="22"/>
      <c r="AF517" s="48" t="str">
        <f t="shared" si="34"/>
        <v/>
      </c>
      <c r="AG517" s="48" t="str">
        <f t="shared" si="35"/>
        <v/>
      </c>
      <c r="AH517" s="48" t="str">
        <f t="shared" si="36"/>
        <v/>
      </c>
      <c r="AI517" s="40" t="str">
        <f t="shared" si="37"/>
        <v/>
      </c>
      <c r="AJ517" s="40"/>
      <c r="AK517" s="40"/>
      <c r="AL517" s="22"/>
    </row>
    <row r="518" spans="1:38" ht="17.399999999999999">
      <c r="A518" s="22"/>
      <c r="B518" s="22"/>
      <c r="C518" s="56"/>
      <c r="D518" s="56"/>
      <c r="E518" s="22"/>
      <c r="F518" s="22"/>
      <c r="G518" s="22"/>
      <c r="H518" s="22"/>
      <c r="I518" s="49"/>
      <c r="J518" s="50"/>
      <c r="K518" s="22"/>
      <c r="L518" s="22"/>
      <c r="M518" s="22"/>
      <c r="N518" s="22"/>
      <c r="O518" s="22"/>
      <c r="P518" s="46"/>
      <c r="Q518" s="40"/>
      <c r="R518" s="41"/>
      <c r="S518" s="22" t="str">
        <f t="shared" si="33"/>
        <v/>
      </c>
      <c r="T518" s="41"/>
      <c r="U518" s="44"/>
      <c r="V518" s="44"/>
      <c r="W518" s="46"/>
      <c r="X518" s="46"/>
      <c r="Y518" s="46"/>
      <c r="Z518" s="22"/>
      <c r="AA518" s="22"/>
      <c r="AB518" s="22"/>
      <c r="AC518" s="22"/>
      <c r="AD518" s="22"/>
      <c r="AE518" s="22"/>
      <c r="AF518" s="48" t="str">
        <f t="shared" si="34"/>
        <v/>
      </c>
      <c r="AG518" s="48" t="str">
        <f t="shared" si="35"/>
        <v/>
      </c>
      <c r="AH518" s="48" t="str">
        <f t="shared" si="36"/>
        <v/>
      </c>
      <c r="AI518" s="40" t="str">
        <f t="shared" si="37"/>
        <v/>
      </c>
      <c r="AJ518" s="40"/>
      <c r="AK518" s="40"/>
      <c r="AL518" s="22"/>
    </row>
    <row r="519" spans="1:38" ht="17.399999999999999">
      <c r="A519" s="22"/>
      <c r="B519" s="22"/>
      <c r="C519" s="56"/>
      <c r="D519" s="56"/>
      <c r="E519" s="22"/>
      <c r="F519" s="22"/>
      <c r="G519" s="22"/>
      <c r="H519" s="22"/>
      <c r="I519" s="49"/>
      <c r="J519" s="50"/>
      <c r="K519" s="22"/>
      <c r="L519" s="22"/>
      <c r="M519" s="22"/>
      <c r="N519" s="22"/>
      <c r="O519" s="22"/>
      <c r="P519" s="46"/>
      <c r="Q519" s="40"/>
      <c r="R519" s="41"/>
      <c r="S519" s="22" t="str">
        <f t="shared" si="33"/>
        <v/>
      </c>
      <c r="T519" s="41"/>
      <c r="U519" s="44"/>
      <c r="V519" s="44"/>
      <c r="W519" s="46"/>
      <c r="X519" s="46"/>
      <c r="Y519" s="46"/>
      <c r="Z519" s="22"/>
      <c r="AA519" s="22"/>
      <c r="AB519" s="22"/>
      <c r="AC519" s="22"/>
      <c r="AD519" s="22"/>
      <c r="AE519" s="22"/>
      <c r="AF519" s="48" t="str">
        <f t="shared" si="34"/>
        <v/>
      </c>
      <c r="AG519" s="48" t="str">
        <f t="shared" si="35"/>
        <v/>
      </c>
      <c r="AH519" s="48" t="str">
        <f t="shared" si="36"/>
        <v/>
      </c>
      <c r="AI519" s="40" t="str">
        <f t="shared" si="37"/>
        <v/>
      </c>
      <c r="AJ519" s="40"/>
      <c r="AK519" s="40"/>
      <c r="AL519" s="22"/>
    </row>
    <row r="520" spans="1:38" ht="17.399999999999999">
      <c r="A520" s="22"/>
      <c r="B520" s="22"/>
      <c r="C520" s="56"/>
      <c r="D520" s="56"/>
      <c r="E520" s="22"/>
      <c r="F520" s="22"/>
      <c r="G520" s="22"/>
      <c r="H520" s="22"/>
      <c r="I520" s="49"/>
      <c r="J520" s="50"/>
      <c r="K520" s="22"/>
      <c r="L520" s="22"/>
      <c r="M520" s="22"/>
      <c r="N520" s="22"/>
      <c r="O520" s="22"/>
      <c r="P520" s="46"/>
      <c r="Q520" s="40"/>
      <c r="R520" s="41"/>
      <c r="S520" s="22" t="str">
        <f t="shared" si="33"/>
        <v/>
      </c>
      <c r="T520" s="41"/>
      <c r="U520" s="44"/>
      <c r="V520" s="44"/>
      <c r="W520" s="46"/>
      <c r="X520" s="46"/>
      <c r="Y520" s="46"/>
      <c r="Z520" s="22"/>
      <c r="AA520" s="22"/>
      <c r="AB520" s="22"/>
      <c r="AC520" s="22"/>
      <c r="AD520" s="22"/>
      <c r="AE520" s="22"/>
      <c r="AF520" s="48" t="str">
        <f t="shared" si="34"/>
        <v/>
      </c>
      <c r="AG520" s="48" t="str">
        <f t="shared" si="35"/>
        <v/>
      </c>
      <c r="AH520" s="48" t="str">
        <f t="shared" si="36"/>
        <v/>
      </c>
      <c r="AI520" s="40" t="str">
        <f t="shared" si="37"/>
        <v/>
      </c>
      <c r="AJ520" s="40"/>
      <c r="AK520" s="40"/>
      <c r="AL520" s="22"/>
    </row>
    <row r="521" spans="1:38" ht="17.399999999999999">
      <c r="A521" s="22"/>
      <c r="B521" s="22"/>
      <c r="C521" s="56"/>
      <c r="D521" s="56"/>
      <c r="E521" s="22"/>
      <c r="F521" s="22"/>
      <c r="G521" s="22"/>
      <c r="H521" s="22"/>
      <c r="I521" s="49"/>
      <c r="J521" s="50"/>
      <c r="K521" s="22"/>
      <c r="L521" s="22"/>
      <c r="M521" s="22"/>
      <c r="N521" s="22"/>
      <c r="O521" s="22"/>
      <c r="P521" s="46"/>
      <c r="Q521" s="40"/>
      <c r="R521" s="41"/>
      <c r="S521" s="22" t="str">
        <f t="shared" si="33"/>
        <v/>
      </c>
      <c r="T521" s="41"/>
      <c r="U521" s="44"/>
      <c r="V521" s="44"/>
      <c r="W521" s="46"/>
      <c r="X521" s="46"/>
      <c r="Y521" s="46"/>
      <c r="Z521" s="22"/>
      <c r="AA521" s="22"/>
      <c r="AB521" s="22"/>
      <c r="AC521" s="22"/>
      <c r="AD521" s="22"/>
      <c r="AE521" s="22"/>
      <c r="AF521" s="48" t="str">
        <f t="shared" si="34"/>
        <v/>
      </c>
      <c r="AG521" s="48" t="str">
        <f t="shared" si="35"/>
        <v/>
      </c>
      <c r="AH521" s="48" t="str">
        <f t="shared" si="36"/>
        <v/>
      </c>
      <c r="AI521" s="40" t="str">
        <f t="shared" si="37"/>
        <v/>
      </c>
      <c r="AJ521" s="40"/>
      <c r="AK521" s="40"/>
      <c r="AL521" s="22"/>
    </row>
    <row r="522" spans="1:38" ht="17.399999999999999">
      <c r="A522" s="22"/>
      <c r="B522" s="22"/>
      <c r="C522" s="56"/>
      <c r="D522" s="56"/>
      <c r="E522" s="22"/>
      <c r="F522" s="22"/>
      <c r="G522" s="22"/>
      <c r="H522" s="22"/>
      <c r="I522" s="49"/>
      <c r="J522" s="50"/>
      <c r="K522" s="22"/>
      <c r="L522" s="22"/>
      <c r="M522" s="22"/>
      <c r="N522" s="22"/>
      <c r="O522" s="22"/>
      <c r="P522" s="46"/>
      <c r="Q522" s="40"/>
      <c r="R522" s="41"/>
      <c r="S522" s="22" t="str">
        <f t="shared" si="33"/>
        <v/>
      </c>
      <c r="T522" s="41"/>
      <c r="U522" s="44"/>
      <c r="V522" s="44"/>
      <c r="W522" s="46"/>
      <c r="X522" s="46"/>
      <c r="Y522" s="46"/>
      <c r="Z522" s="22"/>
      <c r="AA522" s="22"/>
      <c r="AB522" s="22"/>
      <c r="AC522" s="22"/>
      <c r="AD522" s="22"/>
      <c r="AE522" s="22"/>
      <c r="AF522" s="48" t="str">
        <f t="shared" si="34"/>
        <v/>
      </c>
      <c r="AG522" s="48" t="str">
        <f t="shared" si="35"/>
        <v/>
      </c>
      <c r="AH522" s="48" t="str">
        <f t="shared" si="36"/>
        <v/>
      </c>
      <c r="AI522" s="40" t="str">
        <f t="shared" si="37"/>
        <v/>
      </c>
      <c r="AJ522" s="40"/>
      <c r="AK522" s="40"/>
      <c r="AL522" s="22"/>
    </row>
    <row r="523" spans="1:38" ht="17.399999999999999">
      <c r="A523" s="22"/>
      <c r="B523" s="22"/>
      <c r="C523" s="56"/>
      <c r="D523" s="56"/>
      <c r="E523" s="22"/>
      <c r="F523" s="22"/>
      <c r="G523" s="22"/>
      <c r="H523" s="22"/>
      <c r="I523" s="49"/>
      <c r="J523" s="50"/>
      <c r="K523" s="22"/>
      <c r="L523" s="22"/>
      <c r="M523" s="22"/>
      <c r="N523" s="22"/>
      <c r="O523" s="22"/>
      <c r="P523" s="46"/>
      <c r="Q523" s="40"/>
      <c r="R523" s="41"/>
      <c r="S523" s="22" t="str">
        <f t="shared" si="33"/>
        <v/>
      </c>
      <c r="T523" s="41"/>
      <c r="U523" s="44"/>
      <c r="V523" s="44"/>
      <c r="W523" s="46"/>
      <c r="X523" s="46"/>
      <c r="Y523" s="46"/>
      <c r="Z523" s="22"/>
      <c r="AA523" s="22"/>
      <c r="AB523" s="22"/>
      <c r="AC523" s="22"/>
      <c r="AD523" s="22"/>
      <c r="AE523" s="22"/>
      <c r="AF523" s="48" t="str">
        <f t="shared" si="34"/>
        <v/>
      </c>
      <c r="AG523" s="48" t="str">
        <f t="shared" si="35"/>
        <v/>
      </c>
      <c r="AH523" s="48" t="str">
        <f t="shared" si="36"/>
        <v/>
      </c>
      <c r="AI523" s="40" t="str">
        <f t="shared" si="37"/>
        <v/>
      </c>
      <c r="AJ523" s="40"/>
      <c r="AK523" s="40"/>
      <c r="AL523" s="22"/>
    </row>
    <row r="524" spans="1:38" ht="17.399999999999999">
      <c r="A524" s="22"/>
      <c r="B524" s="22"/>
      <c r="C524" s="56"/>
      <c r="D524" s="56"/>
      <c r="E524" s="22"/>
      <c r="F524" s="22"/>
      <c r="G524" s="22"/>
      <c r="H524" s="22"/>
      <c r="I524" s="49"/>
      <c r="J524" s="50"/>
      <c r="K524" s="22"/>
      <c r="L524" s="22"/>
      <c r="M524" s="22"/>
      <c r="N524" s="22"/>
      <c r="O524" s="22"/>
      <c r="P524" s="46"/>
      <c r="Q524" s="40"/>
      <c r="R524" s="41"/>
      <c r="S524" s="22" t="str">
        <f t="shared" si="33"/>
        <v/>
      </c>
      <c r="T524" s="41"/>
      <c r="U524" s="44"/>
      <c r="V524" s="44"/>
      <c r="W524" s="46"/>
      <c r="X524" s="46"/>
      <c r="Y524" s="46"/>
      <c r="Z524" s="22"/>
      <c r="AA524" s="22"/>
      <c r="AB524" s="22"/>
      <c r="AC524" s="22"/>
      <c r="AD524" s="22"/>
      <c r="AE524" s="22"/>
      <c r="AF524" s="48" t="str">
        <f t="shared" si="34"/>
        <v/>
      </c>
      <c r="AG524" s="48" t="str">
        <f t="shared" si="35"/>
        <v/>
      </c>
      <c r="AH524" s="48" t="str">
        <f t="shared" si="36"/>
        <v/>
      </c>
      <c r="AI524" s="40" t="str">
        <f t="shared" si="37"/>
        <v/>
      </c>
      <c r="AJ524" s="40"/>
      <c r="AK524" s="40"/>
      <c r="AL524" s="22"/>
    </row>
    <row r="525" spans="1:38" ht="17.399999999999999">
      <c r="A525" s="22"/>
      <c r="B525" s="22"/>
      <c r="C525" s="56"/>
      <c r="D525" s="56"/>
      <c r="E525" s="22"/>
      <c r="F525" s="22"/>
      <c r="G525" s="22"/>
      <c r="H525" s="22"/>
      <c r="I525" s="49"/>
      <c r="J525" s="50"/>
      <c r="K525" s="22"/>
      <c r="L525" s="22"/>
      <c r="M525" s="22"/>
      <c r="N525" s="22"/>
      <c r="O525" s="22"/>
      <c r="P525" s="46"/>
      <c r="Q525" s="40"/>
      <c r="R525" s="41"/>
      <c r="S525" s="22" t="str">
        <f t="shared" si="33"/>
        <v/>
      </c>
      <c r="T525" s="41"/>
      <c r="U525" s="44"/>
      <c r="V525" s="44"/>
      <c r="W525" s="46"/>
      <c r="X525" s="46"/>
      <c r="Y525" s="46"/>
      <c r="Z525" s="22"/>
      <c r="AA525" s="22"/>
      <c r="AB525" s="22"/>
      <c r="AC525" s="22"/>
      <c r="AD525" s="22"/>
      <c r="AE525" s="22"/>
      <c r="AF525" s="48" t="str">
        <f t="shared" si="34"/>
        <v/>
      </c>
      <c r="AG525" s="48" t="str">
        <f t="shared" si="35"/>
        <v/>
      </c>
      <c r="AH525" s="48" t="str">
        <f t="shared" si="36"/>
        <v/>
      </c>
      <c r="AI525" s="40" t="str">
        <f t="shared" si="37"/>
        <v/>
      </c>
      <c r="AJ525" s="40"/>
      <c r="AK525" s="40"/>
      <c r="AL525" s="22"/>
    </row>
    <row r="526" spans="1:38" ht="17.399999999999999">
      <c r="A526" s="22"/>
      <c r="B526" s="22"/>
      <c r="C526" s="56"/>
      <c r="D526" s="56"/>
      <c r="E526" s="22"/>
      <c r="F526" s="22"/>
      <c r="G526" s="22"/>
      <c r="H526" s="22"/>
      <c r="I526" s="49"/>
      <c r="J526" s="50"/>
      <c r="K526" s="22"/>
      <c r="L526" s="22"/>
      <c r="M526" s="22"/>
      <c r="N526" s="22"/>
      <c r="O526" s="22"/>
      <c r="P526" s="46"/>
      <c r="Q526" s="40"/>
      <c r="R526" s="41"/>
      <c r="S526" s="22" t="str">
        <f t="shared" si="33"/>
        <v/>
      </c>
      <c r="T526" s="41"/>
      <c r="U526" s="44"/>
      <c r="V526" s="44"/>
      <c r="W526" s="46"/>
      <c r="X526" s="46"/>
      <c r="Y526" s="46"/>
      <c r="Z526" s="22"/>
      <c r="AA526" s="22"/>
      <c r="AB526" s="22"/>
      <c r="AC526" s="22"/>
      <c r="AD526" s="22"/>
      <c r="AE526" s="22"/>
      <c r="AF526" s="48" t="str">
        <f t="shared" si="34"/>
        <v/>
      </c>
      <c r="AG526" s="48" t="str">
        <f t="shared" si="35"/>
        <v/>
      </c>
      <c r="AH526" s="48" t="str">
        <f t="shared" si="36"/>
        <v/>
      </c>
      <c r="AI526" s="40" t="str">
        <f t="shared" si="37"/>
        <v/>
      </c>
      <c r="AJ526" s="40"/>
      <c r="AK526" s="40"/>
      <c r="AL526" s="22"/>
    </row>
    <row r="527" spans="1:38" ht="17.399999999999999">
      <c r="A527" s="22"/>
      <c r="B527" s="22"/>
      <c r="C527" s="56"/>
      <c r="D527" s="56"/>
      <c r="E527" s="22"/>
      <c r="F527" s="22"/>
      <c r="G527" s="22"/>
      <c r="H527" s="22"/>
      <c r="I527" s="49"/>
      <c r="J527" s="50"/>
      <c r="K527" s="22"/>
      <c r="L527" s="22"/>
      <c r="M527" s="22"/>
      <c r="N527" s="22"/>
      <c r="O527" s="22"/>
      <c r="P527" s="46"/>
      <c r="Q527" s="40"/>
      <c r="R527" s="41"/>
      <c r="S527" s="22" t="str">
        <f t="shared" si="33"/>
        <v/>
      </c>
      <c r="T527" s="41"/>
      <c r="U527" s="44"/>
      <c r="V527" s="44"/>
      <c r="W527" s="46"/>
      <c r="X527" s="46"/>
      <c r="Y527" s="46"/>
      <c r="Z527" s="22"/>
      <c r="AA527" s="22"/>
      <c r="AB527" s="22"/>
      <c r="AC527" s="22"/>
      <c r="AD527" s="22"/>
      <c r="AE527" s="22"/>
      <c r="AF527" s="48" t="str">
        <f t="shared" si="34"/>
        <v/>
      </c>
      <c r="AG527" s="48" t="str">
        <f t="shared" si="35"/>
        <v/>
      </c>
      <c r="AH527" s="48" t="str">
        <f t="shared" si="36"/>
        <v/>
      </c>
      <c r="AI527" s="40" t="str">
        <f t="shared" si="37"/>
        <v/>
      </c>
      <c r="AJ527" s="40"/>
      <c r="AK527" s="40"/>
      <c r="AL527" s="22"/>
    </row>
    <row r="528" spans="1:38" ht="17.399999999999999">
      <c r="A528" s="22"/>
      <c r="B528" s="22"/>
      <c r="C528" s="56"/>
      <c r="D528" s="56"/>
      <c r="E528" s="22"/>
      <c r="F528" s="22"/>
      <c r="G528" s="22"/>
      <c r="H528" s="22"/>
      <c r="I528" s="49"/>
      <c r="J528" s="50"/>
      <c r="K528" s="22"/>
      <c r="L528" s="22"/>
      <c r="M528" s="22"/>
      <c r="N528" s="22"/>
      <c r="O528" s="22"/>
      <c r="P528" s="46"/>
      <c r="Q528" s="40"/>
      <c r="R528" s="41"/>
      <c r="S528" s="22" t="str">
        <f t="shared" si="33"/>
        <v/>
      </c>
      <c r="T528" s="41"/>
      <c r="U528" s="44"/>
      <c r="V528" s="44"/>
      <c r="W528" s="46"/>
      <c r="X528" s="46"/>
      <c r="Y528" s="46"/>
      <c r="Z528" s="22"/>
      <c r="AA528" s="22"/>
      <c r="AB528" s="22"/>
      <c r="AC528" s="22"/>
      <c r="AD528" s="22"/>
      <c r="AE528" s="22"/>
      <c r="AF528" s="48" t="str">
        <f t="shared" si="34"/>
        <v/>
      </c>
      <c r="AG528" s="48" t="str">
        <f t="shared" si="35"/>
        <v/>
      </c>
      <c r="AH528" s="48" t="str">
        <f t="shared" si="36"/>
        <v/>
      </c>
      <c r="AI528" s="40" t="str">
        <f t="shared" si="37"/>
        <v/>
      </c>
      <c r="AJ528" s="40"/>
      <c r="AK528" s="40"/>
      <c r="AL528" s="22"/>
    </row>
    <row r="529" spans="1:38" ht="17.399999999999999">
      <c r="A529" s="22"/>
      <c r="B529" s="22"/>
      <c r="C529" s="56"/>
      <c r="D529" s="56"/>
      <c r="E529" s="22"/>
      <c r="F529" s="22"/>
      <c r="G529" s="22"/>
      <c r="H529" s="22"/>
      <c r="I529" s="49"/>
      <c r="J529" s="50"/>
      <c r="K529" s="22"/>
      <c r="L529" s="22"/>
      <c r="M529" s="22"/>
      <c r="N529" s="22"/>
      <c r="O529" s="22"/>
      <c r="P529" s="46"/>
      <c r="Q529" s="40"/>
      <c r="R529" s="41"/>
      <c r="S529" s="22" t="str">
        <f t="shared" si="33"/>
        <v/>
      </c>
      <c r="T529" s="41"/>
      <c r="U529" s="44"/>
      <c r="V529" s="44"/>
      <c r="W529" s="46"/>
      <c r="X529" s="46"/>
      <c r="Y529" s="46"/>
      <c r="Z529" s="22"/>
      <c r="AA529" s="22"/>
      <c r="AB529" s="22"/>
      <c r="AC529" s="22"/>
      <c r="AD529" s="22"/>
      <c r="AE529" s="22"/>
      <c r="AF529" s="48" t="str">
        <f t="shared" si="34"/>
        <v/>
      </c>
      <c r="AG529" s="48" t="str">
        <f t="shared" si="35"/>
        <v/>
      </c>
      <c r="AH529" s="48" t="str">
        <f t="shared" si="36"/>
        <v/>
      </c>
      <c r="AI529" s="40" t="str">
        <f t="shared" si="37"/>
        <v/>
      </c>
      <c r="AJ529" s="40"/>
      <c r="AK529" s="40"/>
      <c r="AL529" s="22"/>
    </row>
    <row r="530" spans="1:38" ht="17.399999999999999">
      <c r="A530" s="22"/>
      <c r="B530" s="22"/>
      <c r="C530" s="56"/>
      <c r="D530" s="56"/>
      <c r="E530" s="22"/>
      <c r="F530" s="22"/>
      <c r="G530" s="22"/>
      <c r="H530" s="22"/>
      <c r="I530" s="49"/>
      <c r="J530" s="50"/>
      <c r="K530" s="22"/>
      <c r="L530" s="22"/>
      <c r="M530" s="22"/>
      <c r="N530" s="22"/>
      <c r="O530" s="22"/>
      <c r="P530" s="46"/>
      <c r="Q530" s="40"/>
      <c r="R530" s="41"/>
      <c r="S530" s="22" t="str">
        <f t="shared" si="33"/>
        <v/>
      </c>
      <c r="T530" s="41"/>
      <c r="U530" s="44"/>
      <c r="V530" s="44"/>
      <c r="W530" s="46"/>
      <c r="X530" s="46"/>
      <c r="Y530" s="46"/>
      <c r="Z530" s="22"/>
      <c r="AA530" s="22"/>
      <c r="AB530" s="22"/>
      <c r="AC530" s="22"/>
      <c r="AD530" s="22"/>
      <c r="AE530" s="22"/>
      <c r="AF530" s="48" t="str">
        <f t="shared" si="34"/>
        <v/>
      </c>
      <c r="AG530" s="48" t="str">
        <f t="shared" si="35"/>
        <v/>
      </c>
      <c r="AH530" s="48" t="str">
        <f t="shared" si="36"/>
        <v/>
      </c>
      <c r="AI530" s="40" t="str">
        <f t="shared" si="37"/>
        <v/>
      </c>
      <c r="AJ530" s="40"/>
      <c r="AK530" s="40"/>
      <c r="AL530" s="22"/>
    </row>
    <row r="531" spans="1:38" ht="17.399999999999999">
      <c r="A531" s="22"/>
      <c r="B531" s="22"/>
      <c r="C531" s="56"/>
      <c r="D531" s="56"/>
      <c r="E531" s="22"/>
      <c r="F531" s="22"/>
      <c r="G531" s="22"/>
      <c r="H531" s="22"/>
      <c r="I531" s="49"/>
      <c r="J531" s="50"/>
      <c r="K531" s="22"/>
      <c r="L531" s="22"/>
      <c r="M531" s="22"/>
      <c r="N531" s="22"/>
      <c r="O531" s="22"/>
      <c r="P531" s="46"/>
      <c r="Q531" s="40"/>
      <c r="R531" s="41"/>
      <c r="S531" s="22" t="str">
        <f t="shared" si="33"/>
        <v/>
      </c>
      <c r="T531" s="41"/>
      <c r="U531" s="44"/>
      <c r="V531" s="44"/>
      <c r="W531" s="46"/>
      <c r="X531" s="46"/>
      <c r="Y531" s="46"/>
      <c r="Z531" s="22"/>
      <c r="AA531" s="22"/>
      <c r="AB531" s="22"/>
      <c r="AC531" s="22"/>
      <c r="AD531" s="22"/>
      <c r="AE531" s="22"/>
      <c r="AF531" s="48" t="str">
        <f t="shared" si="34"/>
        <v/>
      </c>
      <c r="AG531" s="48" t="str">
        <f t="shared" si="35"/>
        <v/>
      </c>
      <c r="AH531" s="48" t="str">
        <f t="shared" si="36"/>
        <v/>
      </c>
      <c r="AI531" s="40" t="str">
        <f t="shared" si="37"/>
        <v/>
      </c>
      <c r="AJ531" s="40"/>
      <c r="AK531" s="40"/>
      <c r="AL531" s="22"/>
    </row>
    <row r="532" spans="1:38" ht="17.399999999999999">
      <c r="A532" s="22"/>
      <c r="B532" s="22"/>
      <c r="C532" s="56"/>
      <c r="D532" s="56"/>
      <c r="E532" s="22"/>
      <c r="F532" s="22"/>
      <c r="G532" s="22"/>
      <c r="H532" s="22"/>
      <c r="I532" s="49"/>
      <c r="J532" s="50"/>
      <c r="K532" s="22"/>
      <c r="L532" s="22"/>
      <c r="M532" s="22"/>
      <c r="N532" s="22"/>
      <c r="O532" s="22"/>
      <c r="P532" s="46"/>
      <c r="Q532" s="40"/>
      <c r="R532" s="41"/>
      <c r="S532" s="22" t="str">
        <f t="shared" si="33"/>
        <v/>
      </c>
      <c r="T532" s="41"/>
      <c r="U532" s="44"/>
      <c r="V532" s="44"/>
      <c r="W532" s="46"/>
      <c r="X532" s="46"/>
      <c r="Y532" s="46"/>
      <c r="Z532" s="22"/>
      <c r="AA532" s="22"/>
      <c r="AB532" s="22"/>
      <c r="AC532" s="22"/>
      <c r="AD532" s="22"/>
      <c r="AE532" s="22"/>
      <c r="AF532" s="48" t="str">
        <f t="shared" si="34"/>
        <v/>
      </c>
      <c r="AG532" s="48" t="str">
        <f t="shared" si="35"/>
        <v/>
      </c>
      <c r="AH532" s="48" t="str">
        <f t="shared" si="36"/>
        <v/>
      </c>
      <c r="AI532" s="40" t="str">
        <f t="shared" si="37"/>
        <v/>
      </c>
      <c r="AJ532" s="40"/>
      <c r="AK532" s="40"/>
      <c r="AL532" s="22"/>
    </row>
    <row r="533" spans="1:38" ht="17.399999999999999">
      <c r="A533" s="22"/>
      <c r="B533" s="22"/>
      <c r="C533" s="56"/>
      <c r="D533" s="56"/>
      <c r="E533" s="22"/>
      <c r="F533" s="22"/>
      <c r="G533" s="22"/>
      <c r="H533" s="22"/>
      <c r="I533" s="49"/>
      <c r="J533" s="50"/>
      <c r="K533" s="22"/>
      <c r="L533" s="22"/>
      <c r="M533" s="22"/>
      <c r="N533" s="22"/>
      <c r="O533" s="22"/>
      <c r="P533" s="46"/>
      <c r="Q533" s="40"/>
      <c r="R533" s="41"/>
      <c r="S533" s="22" t="str">
        <f t="shared" si="33"/>
        <v/>
      </c>
      <c r="T533" s="41"/>
      <c r="U533" s="44"/>
      <c r="V533" s="44"/>
      <c r="W533" s="46"/>
      <c r="X533" s="46"/>
      <c r="Y533" s="46"/>
      <c r="Z533" s="22"/>
      <c r="AA533" s="22"/>
      <c r="AB533" s="22"/>
      <c r="AC533" s="22"/>
      <c r="AD533" s="22"/>
      <c r="AE533" s="22"/>
      <c r="AF533" s="48" t="str">
        <f t="shared" si="34"/>
        <v/>
      </c>
      <c r="AG533" s="48" t="str">
        <f t="shared" si="35"/>
        <v/>
      </c>
      <c r="AH533" s="48" t="str">
        <f t="shared" si="36"/>
        <v/>
      </c>
      <c r="AI533" s="40" t="str">
        <f t="shared" si="37"/>
        <v/>
      </c>
      <c r="AJ533" s="40"/>
      <c r="AK533" s="40"/>
      <c r="AL533" s="22"/>
    </row>
    <row r="534" spans="1:38" ht="17.399999999999999">
      <c r="A534" s="22"/>
      <c r="B534" s="22"/>
      <c r="C534" s="56"/>
      <c r="D534" s="56"/>
      <c r="E534" s="22"/>
      <c r="F534" s="22"/>
      <c r="G534" s="22"/>
      <c r="H534" s="22"/>
      <c r="I534" s="49"/>
      <c r="J534" s="50"/>
      <c r="K534" s="22"/>
      <c r="L534" s="22"/>
      <c r="M534" s="22"/>
      <c r="N534" s="22"/>
      <c r="O534" s="22"/>
      <c r="P534" s="46"/>
      <c r="Q534" s="40"/>
      <c r="R534" s="41"/>
      <c r="S534" s="22" t="str">
        <f t="shared" si="33"/>
        <v/>
      </c>
      <c r="T534" s="41"/>
      <c r="U534" s="44"/>
      <c r="V534" s="44"/>
      <c r="W534" s="46"/>
      <c r="X534" s="46"/>
      <c r="Y534" s="46"/>
      <c r="Z534" s="22"/>
      <c r="AA534" s="22"/>
      <c r="AB534" s="22"/>
      <c r="AC534" s="22"/>
      <c r="AD534" s="22"/>
      <c r="AE534" s="22"/>
      <c r="AF534" s="48" t="str">
        <f t="shared" si="34"/>
        <v/>
      </c>
      <c r="AG534" s="48" t="str">
        <f t="shared" si="35"/>
        <v/>
      </c>
      <c r="AH534" s="48" t="str">
        <f t="shared" si="36"/>
        <v/>
      </c>
      <c r="AI534" s="40" t="str">
        <f t="shared" si="37"/>
        <v/>
      </c>
      <c r="AJ534" s="40"/>
      <c r="AK534" s="40"/>
      <c r="AL534" s="22"/>
    </row>
    <row r="535" spans="1:38" ht="17.399999999999999">
      <c r="A535" s="22"/>
      <c r="B535" s="22"/>
      <c r="C535" s="56"/>
      <c r="D535" s="56"/>
      <c r="E535" s="22"/>
      <c r="F535" s="22"/>
      <c r="G535" s="22"/>
      <c r="H535" s="22"/>
      <c r="I535" s="49"/>
      <c r="J535" s="50"/>
      <c r="K535" s="22"/>
      <c r="L535" s="22"/>
      <c r="M535" s="22"/>
      <c r="N535" s="22"/>
      <c r="O535" s="22"/>
      <c r="P535" s="46"/>
      <c r="Q535" s="40"/>
      <c r="R535" s="41"/>
      <c r="S535" s="22" t="str">
        <f t="shared" ref="S535:S598" si="38">IF(A535="","",M535+O535)</f>
        <v/>
      </c>
      <c r="T535" s="41"/>
      <c r="U535" s="44"/>
      <c r="V535" s="44"/>
      <c r="W535" s="46"/>
      <c r="X535" s="46"/>
      <c r="Y535" s="46"/>
      <c r="Z535" s="22"/>
      <c r="AA535" s="22"/>
      <c r="AB535" s="22"/>
      <c r="AC535" s="22"/>
      <c r="AD535" s="22"/>
      <c r="AE535" s="22"/>
      <c r="AF535" s="48" t="str">
        <f t="shared" ref="AF535:AF598" si="39">IF(A535="","",S535-X535)</f>
        <v/>
      </c>
      <c r="AG535" s="48" t="str">
        <f t="shared" ref="AG535:AG598" si="40">IF(A535="","",X535-(AB535+AE535))</f>
        <v/>
      </c>
      <c r="AH535" s="48" t="str">
        <f t="shared" ref="AH535:AH598" si="41">IF(A535="","",AF535+AG535)</f>
        <v/>
      </c>
      <c r="AI535" s="40" t="str">
        <f t="shared" ref="AI535:AI598" si="42">IF(A535="","",R535+21)</f>
        <v/>
      </c>
      <c r="AJ535" s="40"/>
      <c r="AK535" s="40"/>
      <c r="AL535" s="22"/>
    </row>
    <row r="536" spans="1:38" ht="17.399999999999999">
      <c r="A536" s="22"/>
      <c r="B536" s="22"/>
      <c r="C536" s="56"/>
      <c r="D536" s="56"/>
      <c r="E536" s="22"/>
      <c r="F536" s="22"/>
      <c r="G536" s="22"/>
      <c r="H536" s="22"/>
      <c r="I536" s="49"/>
      <c r="J536" s="50"/>
      <c r="K536" s="22"/>
      <c r="L536" s="22"/>
      <c r="M536" s="22"/>
      <c r="N536" s="22"/>
      <c r="O536" s="22"/>
      <c r="P536" s="46"/>
      <c r="Q536" s="40"/>
      <c r="R536" s="41"/>
      <c r="S536" s="22" t="str">
        <f t="shared" si="38"/>
        <v/>
      </c>
      <c r="T536" s="41"/>
      <c r="U536" s="44"/>
      <c r="V536" s="44"/>
      <c r="W536" s="46"/>
      <c r="X536" s="46"/>
      <c r="Y536" s="46"/>
      <c r="Z536" s="22"/>
      <c r="AA536" s="22"/>
      <c r="AB536" s="22"/>
      <c r="AC536" s="22"/>
      <c r="AD536" s="22"/>
      <c r="AE536" s="22"/>
      <c r="AF536" s="48" t="str">
        <f t="shared" si="39"/>
        <v/>
      </c>
      <c r="AG536" s="48" t="str">
        <f t="shared" si="40"/>
        <v/>
      </c>
      <c r="AH536" s="48" t="str">
        <f t="shared" si="41"/>
        <v/>
      </c>
      <c r="AI536" s="40" t="str">
        <f t="shared" si="42"/>
        <v/>
      </c>
      <c r="AJ536" s="40"/>
      <c r="AK536" s="40"/>
      <c r="AL536" s="22"/>
    </row>
    <row r="537" spans="1:38" ht="17.399999999999999">
      <c r="A537" s="22"/>
      <c r="B537" s="22"/>
      <c r="C537" s="56"/>
      <c r="D537" s="56"/>
      <c r="E537" s="22"/>
      <c r="F537" s="22"/>
      <c r="G537" s="22"/>
      <c r="H537" s="22"/>
      <c r="I537" s="49"/>
      <c r="J537" s="50"/>
      <c r="K537" s="22"/>
      <c r="L537" s="22"/>
      <c r="M537" s="22"/>
      <c r="N537" s="22"/>
      <c r="O537" s="22"/>
      <c r="P537" s="46"/>
      <c r="Q537" s="40"/>
      <c r="R537" s="41"/>
      <c r="S537" s="22" t="str">
        <f t="shared" si="38"/>
        <v/>
      </c>
      <c r="T537" s="41"/>
      <c r="U537" s="44"/>
      <c r="V537" s="44"/>
      <c r="W537" s="46"/>
      <c r="X537" s="46"/>
      <c r="Y537" s="46"/>
      <c r="Z537" s="22"/>
      <c r="AA537" s="22"/>
      <c r="AB537" s="22"/>
      <c r="AC537" s="22"/>
      <c r="AD537" s="22"/>
      <c r="AE537" s="22"/>
      <c r="AF537" s="48" t="str">
        <f t="shared" si="39"/>
        <v/>
      </c>
      <c r="AG537" s="48" t="str">
        <f t="shared" si="40"/>
        <v/>
      </c>
      <c r="AH537" s="48" t="str">
        <f t="shared" si="41"/>
        <v/>
      </c>
      <c r="AI537" s="40" t="str">
        <f t="shared" si="42"/>
        <v/>
      </c>
      <c r="AJ537" s="40"/>
      <c r="AK537" s="40"/>
      <c r="AL537" s="22"/>
    </row>
    <row r="538" spans="1:38" ht="17.399999999999999">
      <c r="A538" s="22"/>
      <c r="B538" s="22"/>
      <c r="C538" s="56"/>
      <c r="D538" s="56"/>
      <c r="E538" s="22"/>
      <c r="F538" s="22"/>
      <c r="G538" s="22"/>
      <c r="H538" s="22"/>
      <c r="I538" s="49"/>
      <c r="J538" s="50"/>
      <c r="K538" s="22"/>
      <c r="L538" s="22"/>
      <c r="M538" s="22"/>
      <c r="N538" s="22"/>
      <c r="O538" s="22"/>
      <c r="P538" s="46"/>
      <c r="Q538" s="40"/>
      <c r="R538" s="41"/>
      <c r="S538" s="22" t="str">
        <f t="shared" si="38"/>
        <v/>
      </c>
      <c r="T538" s="41"/>
      <c r="U538" s="44"/>
      <c r="V538" s="44"/>
      <c r="W538" s="46"/>
      <c r="X538" s="46"/>
      <c r="Y538" s="46"/>
      <c r="Z538" s="22"/>
      <c r="AA538" s="22"/>
      <c r="AB538" s="22"/>
      <c r="AC538" s="22"/>
      <c r="AD538" s="22"/>
      <c r="AE538" s="22"/>
      <c r="AF538" s="48" t="str">
        <f t="shared" si="39"/>
        <v/>
      </c>
      <c r="AG538" s="48" t="str">
        <f t="shared" si="40"/>
        <v/>
      </c>
      <c r="AH538" s="48" t="str">
        <f t="shared" si="41"/>
        <v/>
      </c>
      <c r="AI538" s="40" t="str">
        <f t="shared" si="42"/>
        <v/>
      </c>
      <c r="AJ538" s="40"/>
      <c r="AK538" s="40"/>
      <c r="AL538" s="22"/>
    </row>
    <row r="539" spans="1:38" ht="17.399999999999999">
      <c r="A539" s="22"/>
      <c r="B539" s="22"/>
      <c r="C539" s="56"/>
      <c r="D539" s="56"/>
      <c r="E539" s="22"/>
      <c r="F539" s="22"/>
      <c r="G539" s="22"/>
      <c r="H539" s="22"/>
      <c r="I539" s="49"/>
      <c r="J539" s="50"/>
      <c r="K539" s="22"/>
      <c r="L539" s="22"/>
      <c r="M539" s="22"/>
      <c r="N539" s="22"/>
      <c r="O539" s="22"/>
      <c r="P539" s="46"/>
      <c r="Q539" s="40"/>
      <c r="R539" s="41"/>
      <c r="S539" s="22" t="str">
        <f t="shared" si="38"/>
        <v/>
      </c>
      <c r="T539" s="41"/>
      <c r="U539" s="44"/>
      <c r="V539" s="44"/>
      <c r="W539" s="46"/>
      <c r="X539" s="46"/>
      <c r="Y539" s="46"/>
      <c r="Z539" s="22"/>
      <c r="AA539" s="22"/>
      <c r="AB539" s="22"/>
      <c r="AC539" s="22"/>
      <c r="AD539" s="22"/>
      <c r="AE539" s="22"/>
      <c r="AF539" s="48" t="str">
        <f t="shared" si="39"/>
        <v/>
      </c>
      <c r="AG539" s="48" t="str">
        <f t="shared" si="40"/>
        <v/>
      </c>
      <c r="AH539" s="48" t="str">
        <f t="shared" si="41"/>
        <v/>
      </c>
      <c r="AI539" s="40" t="str">
        <f t="shared" si="42"/>
        <v/>
      </c>
      <c r="AJ539" s="40"/>
      <c r="AK539" s="40"/>
      <c r="AL539" s="22"/>
    </row>
    <row r="540" spans="1:38" ht="17.399999999999999">
      <c r="A540" s="22"/>
      <c r="B540" s="22"/>
      <c r="C540" s="56"/>
      <c r="D540" s="56"/>
      <c r="E540" s="22"/>
      <c r="F540" s="22"/>
      <c r="G540" s="22"/>
      <c r="H540" s="22"/>
      <c r="I540" s="49"/>
      <c r="J540" s="50"/>
      <c r="K540" s="22"/>
      <c r="L540" s="22"/>
      <c r="M540" s="22"/>
      <c r="N540" s="22"/>
      <c r="O540" s="22"/>
      <c r="P540" s="46"/>
      <c r="Q540" s="40"/>
      <c r="R540" s="41"/>
      <c r="S540" s="22" t="str">
        <f t="shared" si="38"/>
        <v/>
      </c>
      <c r="T540" s="41"/>
      <c r="U540" s="44"/>
      <c r="V540" s="44"/>
      <c r="W540" s="46"/>
      <c r="X540" s="46"/>
      <c r="Y540" s="46"/>
      <c r="Z540" s="22"/>
      <c r="AA540" s="22"/>
      <c r="AB540" s="22"/>
      <c r="AC540" s="22"/>
      <c r="AD540" s="22"/>
      <c r="AE540" s="22"/>
      <c r="AF540" s="48" t="str">
        <f t="shared" si="39"/>
        <v/>
      </c>
      <c r="AG540" s="48" t="str">
        <f t="shared" si="40"/>
        <v/>
      </c>
      <c r="AH540" s="48" t="str">
        <f t="shared" si="41"/>
        <v/>
      </c>
      <c r="AI540" s="40" t="str">
        <f t="shared" si="42"/>
        <v/>
      </c>
      <c r="AJ540" s="40"/>
      <c r="AK540" s="40"/>
      <c r="AL540" s="22"/>
    </row>
    <row r="541" spans="1:38" ht="17.399999999999999">
      <c r="A541" s="22"/>
      <c r="B541" s="22"/>
      <c r="C541" s="56"/>
      <c r="D541" s="56"/>
      <c r="E541" s="22"/>
      <c r="F541" s="22"/>
      <c r="G541" s="22"/>
      <c r="H541" s="22"/>
      <c r="I541" s="49"/>
      <c r="J541" s="50"/>
      <c r="K541" s="22"/>
      <c r="L541" s="22"/>
      <c r="M541" s="22"/>
      <c r="N541" s="22"/>
      <c r="O541" s="22"/>
      <c r="P541" s="46"/>
      <c r="Q541" s="40"/>
      <c r="R541" s="41"/>
      <c r="S541" s="22" t="str">
        <f t="shared" si="38"/>
        <v/>
      </c>
      <c r="T541" s="41"/>
      <c r="U541" s="44"/>
      <c r="V541" s="44"/>
      <c r="W541" s="46"/>
      <c r="X541" s="46"/>
      <c r="Y541" s="46"/>
      <c r="Z541" s="22"/>
      <c r="AA541" s="22"/>
      <c r="AB541" s="22"/>
      <c r="AC541" s="22"/>
      <c r="AD541" s="22"/>
      <c r="AE541" s="22"/>
      <c r="AF541" s="48" t="str">
        <f t="shared" si="39"/>
        <v/>
      </c>
      <c r="AG541" s="48" t="str">
        <f t="shared" si="40"/>
        <v/>
      </c>
      <c r="AH541" s="48" t="str">
        <f t="shared" si="41"/>
        <v/>
      </c>
      <c r="AI541" s="40" t="str">
        <f t="shared" si="42"/>
        <v/>
      </c>
      <c r="AJ541" s="40"/>
      <c r="AK541" s="40"/>
      <c r="AL541" s="22"/>
    </row>
    <row r="542" spans="1:38" ht="17.399999999999999">
      <c r="A542" s="22"/>
      <c r="B542" s="22"/>
      <c r="C542" s="56"/>
      <c r="D542" s="56"/>
      <c r="E542" s="22"/>
      <c r="F542" s="22"/>
      <c r="G542" s="22"/>
      <c r="H542" s="22"/>
      <c r="I542" s="49"/>
      <c r="J542" s="50"/>
      <c r="K542" s="22"/>
      <c r="L542" s="22"/>
      <c r="M542" s="22"/>
      <c r="N542" s="22"/>
      <c r="O542" s="22"/>
      <c r="P542" s="46"/>
      <c r="Q542" s="40"/>
      <c r="R542" s="41"/>
      <c r="S542" s="22" t="str">
        <f t="shared" si="38"/>
        <v/>
      </c>
      <c r="T542" s="41"/>
      <c r="U542" s="44"/>
      <c r="V542" s="44"/>
      <c r="W542" s="46"/>
      <c r="X542" s="46"/>
      <c r="Y542" s="46"/>
      <c r="Z542" s="22"/>
      <c r="AA542" s="22"/>
      <c r="AB542" s="22"/>
      <c r="AC542" s="22"/>
      <c r="AD542" s="22"/>
      <c r="AE542" s="22"/>
      <c r="AF542" s="48" t="str">
        <f t="shared" si="39"/>
        <v/>
      </c>
      <c r="AG542" s="48" t="str">
        <f t="shared" si="40"/>
        <v/>
      </c>
      <c r="AH542" s="48" t="str">
        <f t="shared" si="41"/>
        <v/>
      </c>
      <c r="AI542" s="40" t="str">
        <f t="shared" si="42"/>
        <v/>
      </c>
      <c r="AJ542" s="40"/>
      <c r="AK542" s="40"/>
      <c r="AL542" s="22"/>
    </row>
    <row r="543" spans="1:38" ht="17.399999999999999">
      <c r="A543" s="22"/>
      <c r="B543" s="22"/>
      <c r="C543" s="56"/>
      <c r="D543" s="56"/>
      <c r="E543" s="22"/>
      <c r="F543" s="22"/>
      <c r="G543" s="22"/>
      <c r="H543" s="22"/>
      <c r="I543" s="49"/>
      <c r="J543" s="50"/>
      <c r="K543" s="22"/>
      <c r="L543" s="22"/>
      <c r="M543" s="22"/>
      <c r="N543" s="22"/>
      <c r="O543" s="22"/>
      <c r="P543" s="46"/>
      <c r="Q543" s="40"/>
      <c r="R543" s="41"/>
      <c r="S543" s="22" t="str">
        <f t="shared" si="38"/>
        <v/>
      </c>
      <c r="T543" s="41"/>
      <c r="U543" s="44"/>
      <c r="V543" s="44"/>
      <c r="W543" s="46"/>
      <c r="X543" s="46"/>
      <c r="Y543" s="46"/>
      <c r="Z543" s="22"/>
      <c r="AA543" s="22"/>
      <c r="AB543" s="22"/>
      <c r="AC543" s="22"/>
      <c r="AD543" s="22"/>
      <c r="AE543" s="22"/>
      <c r="AF543" s="48" t="str">
        <f t="shared" si="39"/>
        <v/>
      </c>
      <c r="AG543" s="48" t="str">
        <f t="shared" si="40"/>
        <v/>
      </c>
      <c r="AH543" s="48" t="str">
        <f t="shared" si="41"/>
        <v/>
      </c>
      <c r="AI543" s="40" t="str">
        <f t="shared" si="42"/>
        <v/>
      </c>
      <c r="AJ543" s="40"/>
      <c r="AK543" s="40"/>
      <c r="AL543" s="22"/>
    </row>
    <row r="544" spans="1:38" ht="17.399999999999999">
      <c r="A544" s="22"/>
      <c r="B544" s="22"/>
      <c r="C544" s="56"/>
      <c r="D544" s="56"/>
      <c r="E544" s="22"/>
      <c r="F544" s="22"/>
      <c r="G544" s="22"/>
      <c r="H544" s="22"/>
      <c r="I544" s="49"/>
      <c r="J544" s="50"/>
      <c r="K544" s="22"/>
      <c r="L544" s="22"/>
      <c r="M544" s="22"/>
      <c r="N544" s="22"/>
      <c r="O544" s="22"/>
      <c r="P544" s="46"/>
      <c r="Q544" s="40"/>
      <c r="R544" s="41"/>
      <c r="S544" s="22" t="str">
        <f t="shared" si="38"/>
        <v/>
      </c>
      <c r="T544" s="41"/>
      <c r="U544" s="44"/>
      <c r="V544" s="44"/>
      <c r="W544" s="46"/>
      <c r="X544" s="46"/>
      <c r="Y544" s="46"/>
      <c r="Z544" s="22"/>
      <c r="AA544" s="22"/>
      <c r="AB544" s="22"/>
      <c r="AC544" s="22"/>
      <c r="AD544" s="22"/>
      <c r="AE544" s="22"/>
      <c r="AF544" s="48" t="str">
        <f t="shared" si="39"/>
        <v/>
      </c>
      <c r="AG544" s="48" t="str">
        <f t="shared" si="40"/>
        <v/>
      </c>
      <c r="AH544" s="48" t="str">
        <f t="shared" si="41"/>
        <v/>
      </c>
      <c r="AI544" s="40" t="str">
        <f t="shared" si="42"/>
        <v/>
      </c>
      <c r="AJ544" s="40"/>
      <c r="AK544" s="40"/>
      <c r="AL544" s="22"/>
    </row>
    <row r="545" spans="1:38" ht="17.399999999999999">
      <c r="A545" s="22"/>
      <c r="B545" s="22"/>
      <c r="C545" s="56"/>
      <c r="D545" s="56"/>
      <c r="E545" s="22"/>
      <c r="F545" s="22"/>
      <c r="G545" s="22"/>
      <c r="H545" s="22"/>
      <c r="I545" s="49"/>
      <c r="J545" s="50"/>
      <c r="K545" s="22"/>
      <c r="L545" s="22"/>
      <c r="M545" s="22"/>
      <c r="N545" s="22"/>
      <c r="O545" s="22"/>
      <c r="P545" s="46"/>
      <c r="Q545" s="40"/>
      <c r="R545" s="41"/>
      <c r="S545" s="22" t="str">
        <f t="shared" si="38"/>
        <v/>
      </c>
      <c r="T545" s="41"/>
      <c r="U545" s="44"/>
      <c r="V545" s="44"/>
      <c r="W545" s="46"/>
      <c r="X545" s="46"/>
      <c r="Y545" s="46"/>
      <c r="Z545" s="22"/>
      <c r="AA545" s="22"/>
      <c r="AB545" s="22"/>
      <c r="AC545" s="22"/>
      <c r="AD545" s="22"/>
      <c r="AE545" s="22"/>
      <c r="AF545" s="48" t="str">
        <f t="shared" si="39"/>
        <v/>
      </c>
      <c r="AG545" s="48" t="str">
        <f t="shared" si="40"/>
        <v/>
      </c>
      <c r="AH545" s="48" t="str">
        <f t="shared" si="41"/>
        <v/>
      </c>
      <c r="AI545" s="40" t="str">
        <f t="shared" si="42"/>
        <v/>
      </c>
      <c r="AJ545" s="40"/>
      <c r="AK545" s="40"/>
      <c r="AL545" s="22"/>
    </row>
    <row r="546" spans="1:38" ht="17.399999999999999">
      <c r="A546" s="22"/>
      <c r="B546" s="22"/>
      <c r="C546" s="56"/>
      <c r="D546" s="56"/>
      <c r="E546" s="22"/>
      <c r="F546" s="22"/>
      <c r="G546" s="22"/>
      <c r="H546" s="22"/>
      <c r="I546" s="49"/>
      <c r="J546" s="50"/>
      <c r="K546" s="22"/>
      <c r="L546" s="22"/>
      <c r="M546" s="22"/>
      <c r="N546" s="22"/>
      <c r="O546" s="22"/>
      <c r="P546" s="46"/>
      <c r="Q546" s="40"/>
      <c r="R546" s="41"/>
      <c r="S546" s="22" t="str">
        <f t="shared" si="38"/>
        <v/>
      </c>
      <c r="T546" s="41"/>
      <c r="U546" s="44"/>
      <c r="V546" s="44"/>
      <c r="W546" s="46"/>
      <c r="X546" s="46"/>
      <c r="Y546" s="46"/>
      <c r="Z546" s="22"/>
      <c r="AA546" s="22"/>
      <c r="AB546" s="22"/>
      <c r="AC546" s="22"/>
      <c r="AD546" s="22"/>
      <c r="AE546" s="22"/>
      <c r="AF546" s="48" t="str">
        <f t="shared" si="39"/>
        <v/>
      </c>
      <c r="AG546" s="48" t="str">
        <f t="shared" si="40"/>
        <v/>
      </c>
      <c r="AH546" s="48" t="str">
        <f t="shared" si="41"/>
        <v/>
      </c>
      <c r="AI546" s="40" t="str">
        <f t="shared" si="42"/>
        <v/>
      </c>
      <c r="AJ546" s="40"/>
      <c r="AK546" s="40"/>
      <c r="AL546" s="22"/>
    </row>
    <row r="547" spans="1:38" ht="17.399999999999999">
      <c r="A547" s="22"/>
      <c r="B547" s="22"/>
      <c r="C547" s="56"/>
      <c r="D547" s="56"/>
      <c r="E547" s="22"/>
      <c r="F547" s="22"/>
      <c r="G547" s="22"/>
      <c r="H547" s="22"/>
      <c r="I547" s="49"/>
      <c r="J547" s="50"/>
      <c r="K547" s="22"/>
      <c r="L547" s="22"/>
      <c r="M547" s="22"/>
      <c r="N547" s="22"/>
      <c r="O547" s="22"/>
      <c r="P547" s="46"/>
      <c r="Q547" s="40"/>
      <c r="R547" s="41"/>
      <c r="S547" s="22" t="str">
        <f t="shared" si="38"/>
        <v/>
      </c>
      <c r="T547" s="41"/>
      <c r="U547" s="44"/>
      <c r="V547" s="44"/>
      <c r="W547" s="46"/>
      <c r="X547" s="46"/>
      <c r="Y547" s="46"/>
      <c r="Z547" s="22"/>
      <c r="AA547" s="22"/>
      <c r="AB547" s="22"/>
      <c r="AC547" s="22"/>
      <c r="AD547" s="22"/>
      <c r="AE547" s="22"/>
      <c r="AF547" s="48" t="str">
        <f t="shared" si="39"/>
        <v/>
      </c>
      <c r="AG547" s="48" t="str">
        <f t="shared" si="40"/>
        <v/>
      </c>
      <c r="AH547" s="48" t="str">
        <f t="shared" si="41"/>
        <v/>
      </c>
      <c r="AI547" s="40" t="str">
        <f t="shared" si="42"/>
        <v/>
      </c>
      <c r="AJ547" s="40"/>
      <c r="AK547" s="40"/>
      <c r="AL547" s="22"/>
    </row>
    <row r="548" spans="1:38" ht="17.399999999999999">
      <c r="A548" s="22"/>
      <c r="B548" s="22"/>
      <c r="C548" s="56"/>
      <c r="D548" s="56"/>
      <c r="E548" s="22"/>
      <c r="F548" s="22"/>
      <c r="G548" s="22"/>
      <c r="H548" s="22"/>
      <c r="I548" s="49"/>
      <c r="J548" s="50"/>
      <c r="K548" s="22"/>
      <c r="L548" s="22"/>
      <c r="M548" s="22"/>
      <c r="N548" s="22"/>
      <c r="O548" s="22"/>
      <c r="P548" s="46"/>
      <c r="Q548" s="40"/>
      <c r="R548" s="41"/>
      <c r="S548" s="22" t="str">
        <f t="shared" si="38"/>
        <v/>
      </c>
      <c r="T548" s="41"/>
      <c r="U548" s="44"/>
      <c r="V548" s="44"/>
      <c r="W548" s="46"/>
      <c r="X548" s="46"/>
      <c r="Y548" s="46"/>
      <c r="Z548" s="22"/>
      <c r="AA548" s="22"/>
      <c r="AB548" s="22"/>
      <c r="AC548" s="22"/>
      <c r="AD548" s="22"/>
      <c r="AE548" s="22"/>
      <c r="AF548" s="48" t="str">
        <f t="shared" si="39"/>
        <v/>
      </c>
      <c r="AG548" s="48" t="str">
        <f t="shared" si="40"/>
        <v/>
      </c>
      <c r="AH548" s="48" t="str">
        <f t="shared" si="41"/>
        <v/>
      </c>
      <c r="AI548" s="40" t="str">
        <f t="shared" si="42"/>
        <v/>
      </c>
      <c r="AJ548" s="40"/>
      <c r="AK548" s="40"/>
      <c r="AL548" s="22"/>
    </row>
    <row r="549" spans="1:38" ht="17.399999999999999">
      <c r="A549" s="22"/>
      <c r="B549" s="22"/>
      <c r="C549" s="56"/>
      <c r="D549" s="56"/>
      <c r="E549" s="22"/>
      <c r="F549" s="22"/>
      <c r="G549" s="22"/>
      <c r="H549" s="22"/>
      <c r="I549" s="49"/>
      <c r="J549" s="50"/>
      <c r="K549" s="22"/>
      <c r="L549" s="22"/>
      <c r="M549" s="22"/>
      <c r="N549" s="22"/>
      <c r="O549" s="22"/>
      <c r="P549" s="46"/>
      <c r="Q549" s="40"/>
      <c r="R549" s="41"/>
      <c r="S549" s="22" t="str">
        <f t="shared" si="38"/>
        <v/>
      </c>
      <c r="T549" s="41"/>
      <c r="U549" s="44"/>
      <c r="V549" s="44"/>
      <c r="W549" s="46"/>
      <c r="X549" s="46"/>
      <c r="Y549" s="46"/>
      <c r="Z549" s="22"/>
      <c r="AA549" s="22"/>
      <c r="AB549" s="22"/>
      <c r="AC549" s="22"/>
      <c r="AD549" s="22"/>
      <c r="AE549" s="22"/>
      <c r="AF549" s="48" t="str">
        <f t="shared" si="39"/>
        <v/>
      </c>
      <c r="AG549" s="48" t="str">
        <f t="shared" si="40"/>
        <v/>
      </c>
      <c r="AH549" s="48" t="str">
        <f t="shared" si="41"/>
        <v/>
      </c>
      <c r="AI549" s="40" t="str">
        <f t="shared" si="42"/>
        <v/>
      </c>
      <c r="AJ549" s="40"/>
      <c r="AK549" s="40"/>
      <c r="AL549" s="22"/>
    </row>
    <row r="550" spans="1:38" ht="17.399999999999999">
      <c r="A550" s="22"/>
      <c r="B550" s="22"/>
      <c r="C550" s="56"/>
      <c r="D550" s="56"/>
      <c r="E550" s="22"/>
      <c r="F550" s="22"/>
      <c r="G550" s="22"/>
      <c r="H550" s="22"/>
      <c r="I550" s="49"/>
      <c r="J550" s="50"/>
      <c r="K550" s="22"/>
      <c r="L550" s="22"/>
      <c r="M550" s="22"/>
      <c r="N550" s="22"/>
      <c r="O550" s="22"/>
      <c r="P550" s="46"/>
      <c r="Q550" s="40"/>
      <c r="R550" s="41"/>
      <c r="S550" s="22" t="str">
        <f t="shared" si="38"/>
        <v/>
      </c>
      <c r="T550" s="41"/>
      <c r="U550" s="44"/>
      <c r="V550" s="44"/>
      <c r="W550" s="46"/>
      <c r="X550" s="46"/>
      <c r="Y550" s="46"/>
      <c r="Z550" s="22"/>
      <c r="AA550" s="22"/>
      <c r="AB550" s="22"/>
      <c r="AC550" s="22"/>
      <c r="AD550" s="22"/>
      <c r="AE550" s="22"/>
      <c r="AF550" s="48" t="str">
        <f t="shared" si="39"/>
        <v/>
      </c>
      <c r="AG550" s="48" t="str">
        <f t="shared" si="40"/>
        <v/>
      </c>
      <c r="AH550" s="48" t="str">
        <f t="shared" si="41"/>
        <v/>
      </c>
      <c r="AI550" s="40" t="str">
        <f t="shared" si="42"/>
        <v/>
      </c>
      <c r="AJ550" s="40"/>
      <c r="AK550" s="40"/>
      <c r="AL550" s="22"/>
    </row>
    <row r="551" spans="1:38" ht="17.399999999999999">
      <c r="A551" s="22"/>
      <c r="B551" s="22"/>
      <c r="C551" s="56"/>
      <c r="D551" s="56"/>
      <c r="E551" s="22"/>
      <c r="F551" s="22"/>
      <c r="G551" s="22"/>
      <c r="H551" s="22"/>
      <c r="I551" s="49"/>
      <c r="J551" s="50"/>
      <c r="K551" s="22"/>
      <c r="L551" s="22"/>
      <c r="M551" s="22"/>
      <c r="N551" s="22"/>
      <c r="O551" s="22"/>
      <c r="P551" s="46"/>
      <c r="Q551" s="40"/>
      <c r="R551" s="41"/>
      <c r="S551" s="22" t="str">
        <f t="shared" si="38"/>
        <v/>
      </c>
      <c r="T551" s="41"/>
      <c r="U551" s="44"/>
      <c r="V551" s="44"/>
      <c r="W551" s="46"/>
      <c r="X551" s="46"/>
      <c r="Y551" s="46"/>
      <c r="Z551" s="22"/>
      <c r="AA551" s="22"/>
      <c r="AB551" s="22"/>
      <c r="AC551" s="22"/>
      <c r="AD551" s="22"/>
      <c r="AE551" s="22"/>
      <c r="AF551" s="48" t="str">
        <f t="shared" si="39"/>
        <v/>
      </c>
      <c r="AG551" s="48" t="str">
        <f t="shared" si="40"/>
        <v/>
      </c>
      <c r="AH551" s="48" t="str">
        <f t="shared" si="41"/>
        <v/>
      </c>
      <c r="AI551" s="40" t="str">
        <f t="shared" si="42"/>
        <v/>
      </c>
      <c r="AJ551" s="40"/>
      <c r="AK551" s="40"/>
      <c r="AL551" s="22"/>
    </row>
    <row r="552" spans="1:38" ht="17.399999999999999">
      <c r="A552" s="22"/>
      <c r="B552" s="22"/>
      <c r="C552" s="56"/>
      <c r="D552" s="56"/>
      <c r="E552" s="22"/>
      <c r="F552" s="22"/>
      <c r="G552" s="22"/>
      <c r="H552" s="22"/>
      <c r="I552" s="49"/>
      <c r="J552" s="50"/>
      <c r="K552" s="22"/>
      <c r="L552" s="22"/>
      <c r="M552" s="22"/>
      <c r="N552" s="22"/>
      <c r="O552" s="22"/>
      <c r="P552" s="46"/>
      <c r="Q552" s="40"/>
      <c r="R552" s="41"/>
      <c r="S552" s="22" t="str">
        <f t="shared" si="38"/>
        <v/>
      </c>
      <c r="T552" s="41"/>
      <c r="U552" s="44"/>
      <c r="V552" s="44"/>
      <c r="W552" s="46"/>
      <c r="X552" s="46"/>
      <c r="Y552" s="46"/>
      <c r="Z552" s="22"/>
      <c r="AA552" s="22"/>
      <c r="AB552" s="22"/>
      <c r="AC552" s="22"/>
      <c r="AD552" s="22"/>
      <c r="AE552" s="22"/>
      <c r="AF552" s="48" t="str">
        <f t="shared" si="39"/>
        <v/>
      </c>
      <c r="AG552" s="48" t="str">
        <f t="shared" si="40"/>
        <v/>
      </c>
      <c r="AH552" s="48" t="str">
        <f t="shared" si="41"/>
        <v/>
      </c>
      <c r="AI552" s="40" t="str">
        <f t="shared" si="42"/>
        <v/>
      </c>
      <c r="AJ552" s="40"/>
      <c r="AK552" s="40"/>
      <c r="AL552" s="22"/>
    </row>
    <row r="553" spans="1:38" ht="17.399999999999999">
      <c r="A553" s="22"/>
      <c r="B553" s="22"/>
      <c r="C553" s="56"/>
      <c r="D553" s="56"/>
      <c r="E553" s="22"/>
      <c r="F553" s="22"/>
      <c r="G553" s="22"/>
      <c r="H553" s="22"/>
      <c r="I553" s="49"/>
      <c r="J553" s="50"/>
      <c r="K553" s="22"/>
      <c r="L553" s="22"/>
      <c r="M553" s="22"/>
      <c r="N553" s="22"/>
      <c r="O553" s="22"/>
      <c r="P553" s="46"/>
      <c r="Q553" s="40"/>
      <c r="R553" s="41"/>
      <c r="S553" s="22" t="str">
        <f t="shared" si="38"/>
        <v/>
      </c>
      <c r="T553" s="41"/>
      <c r="U553" s="44"/>
      <c r="V553" s="44"/>
      <c r="W553" s="46"/>
      <c r="X553" s="46"/>
      <c r="Y553" s="46"/>
      <c r="Z553" s="22"/>
      <c r="AA553" s="22"/>
      <c r="AB553" s="22"/>
      <c r="AC553" s="22"/>
      <c r="AD553" s="22"/>
      <c r="AE553" s="22"/>
      <c r="AF553" s="48" t="str">
        <f t="shared" si="39"/>
        <v/>
      </c>
      <c r="AG553" s="48" t="str">
        <f t="shared" si="40"/>
        <v/>
      </c>
      <c r="AH553" s="48" t="str">
        <f t="shared" si="41"/>
        <v/>
      </c>
      <c r="AI553" s="40" t="str">
        <f t="shared" si="42"/>
        <v/>
      </c>
      <c r="AJ553" s="40"/>
      <c r="AK553" s="40"/>
      <c r="AL553" s="22"/>
    </row>
    <row r="554" spans="1:38" ht="17.399999999999999">
      <c r="A554" s="22"/>
      <c r="B554" s="22"/>
      <c r="C554" s="56"/>
      <c r="D554" s="56"/>
      <c r="E554" s="22"/>
      <c r="F554" s="22"/>
      <c r="G554" s="22"/>
      <c r="H554" s="22"/>
      <c r="I554" s="49"/>
      <c r="J554" s="50"/>
      <c r="K554" s="22"/>
      <c r="L554" s="22"/>
      <c r="M554" s="22"/>
      <c r="N554" s="22"/>
      <c r="O554" s="22"/>
      <c r="P554" s="46"/>
      <c r="Q554" s="40"/>
      <c r="R554" s="41"/>
      <c r="S554" s="22" t="str">
        <f t="shared" si="38"/>
        <v/>
      </c>
      <c r="T554" s="41"/>
      <c r="U554" s="44"/>
      <c r="V554" s="44"/>
      <c r="W554" s="46"/>
      <c r="X554" s="46"/>
      <c r="Y554" s="46"/>
      <c r="Z554" s="22"/>
      <c r="AA554" s="22"/>
      <c r="AB554" s="22"/>
      <c r="AC554" s="22"/>
      <c r="AD554" s="22"/>
      <c r="AE554" s="22"/>
      <c r="AF554" s="48" t="str">
        <f t="shared" si="39"/>
        <v/>
      </c>
      <c r="AG554" s="48" t="str">
        <f t="shared" si="40"/>
        <v/>
      </c>
      <c r="AH554" s="48" t="str">
        <f t="shared" si="41"/>
        <v/>
      </c>
      <c r="AI554" s="40" t="str">
        <f t="shared" si="42"/>
        <v/>
      </c>
      <c r="AJ554" s="40"/>
      <c r="AK554" s="40"/>
      <c r="AL554" s="22"/>
    </row>
    <row r="555" spans="1:38" ht="17.399999999999999">
      <c r="A555" s="22"/>
      <c r="B555" s="22"/>
      <c r="C555" s="56"/>
      <c r="D555" s="56"/>
      <c r="E555" s="22"/>
      <c r="F555" s="22"/>
      <c r="G555" s="22"/>
      <c r="H555" s="22"/>
      <c r="I555" s="49"/>
      <c r="J555" s="50"/>
      <c r="K555" s="22"/>
      <c r="L555" s="22"/>
      <c r="M555" s="22"/>
      <c r="N555" s="22"/>
      <c r="O555" s="22"/>
      <c r="P555" s="46"/>
      <c r="Q555" s="40"/>
      <c r="R555" s="41"/>
      <c r="S555" s="22" t="str">
        <f t="shared" si="38"/>
        <v/>
      </c>
      <c r="T555" s="41"/>
      <c r="U555" s="44"/>
      <c r="V555" s="44"/>
      <c r="W555" s="46"/>
      <c r="X555" s="46"/>
      <c r="Y555" s="46"/>
      <c r="Z555" s="22"/>
      <c r="AA555" s="22"/>
      <c r="AB555" s="22"/>
      <c r="AC555" s="22"/>
      <c r="AD555" s="22"/>
      <c r="AE555" s="22"/>
      <c r="AF555" s="48" t="str">
        <f t="shared" si="39"/>
        <v/>
      </c>
      <c r="AG555" s="48" t="str">
        <f t="shared" si="40"/>
        <v/>
      </c>
      <c r="AH555" s="48" t="str">
        <f t="shared" si="41"/>
        <v/>
      </c>
      <c r="AI555" s="40" t="str">
        <f t="shared" si="42"/>
        <v/>
      </c>
      <c r="AJ555" s="40"/>
      <c r="AK555" s="40"/>
      <c r="AL555" s="22"/>
    </row>
    <row r="556" spans="1:38" ht="17.399999999999999">
      <c r="A556" s="22"/>
      <c r="B556" s="22"/>
      <c r="C556" s="56"/>
      <c r="D556" s="56"/>
      <c r="E556" s="22"/>
      <c r="F556" s="22"/>
      <c r="G556" s="22"/>
      <c r="H556" s="22"/>
      <c r="I556" s="49"/>
      <c r="J556" s="50"/>
      <c r="K556" s="22"/>
      <c r="L556" s="22"/>
      <c r="M556" s="22"/>
      <c r="N556" s="22"/>
      <c r="O556" s="22"/>
      <c r="P556" s="46"/>
      <c r="Q556" s="40"/>
      <c r="R556" s="41"/>
      <c r="S556" s="22" t="str">
        <f t="shared" si="38"/>
        <v/>
      </c>
      <c r="T556" s="41"/>
      <c r="U556" s="44"/>
      <c r="V556" s="44"/>
      <c r="W556" s="46"/>
      <c r="X556" s="46"/>
      <c r="Y556" s="46"/>
      <c r="Z556" s="22"/>
      <c r="AA556" s="22"/>
      <c r="AB556" s="22"/>
      <c r="AC556" s="22"/>
      <c r="AD556" s="22"/>
      <c r="AE556" s="22"/>
      <c r="AF556" s="48" t="str">
        <f t="shared" si="39"/>
        <v/>
      </c>
      <c r="AG556" s="48" t="str">
        <f t="shared" si="40"/>
        <v/>
      </c>
      <c r="AH556" s="48" t="str">
        <f t="shared" si="41"/>
        <v/>
      </c>
      <c r="AI556" s="40" t="str">
        <f t="shared" si="42"/>
        <v/>
      </c>
      <c r="AJ556" s="40"/>
      <c r="AK556" s="40"/>
      <c r="AL556" s="22"/>
    </row>
    <row r="557" spans="1:38" ht="17.399999999999999">
      <c r="A557" s="22"/>
      <c r="B557" s="22"/>
      <c r="C557" s="56"/>
      <c r="D557" s="56"/>
      <c r="E557" s="22"/>
      <c r="F557" s="22"/>
      <c r="G557" s="22"/>
      <c r="H557" s="22"/>
      <c r="I557" s="49"/>
      <c r="J557" s="50"/>
      <c r="K557" s="22"/>
      <c r="L557" s="22"/>
      <c r="M557" s="22"/>
      <c r="N557" s="22"/>
      <c r="O557" s="22"/>
      <c r="P557" s="46"/>
      <c r="Q557" s="40"/>
      <c r="R557" s="41"/>
      <c r="S557" s="22" t="str">
        <f t="shared" si="38"/>
        <v/>
      </c>
      <c r="T557" s="41"/>
      <c r="U557" s="44"/>
      <c r="V557" s="44"/>
      <c r="W557" s="46"/>
      <c r="X557" s="46"/>
      <c r="Y557" s="46"/>
      <c r="Z557" s="22"/>
      <c r="AA557" s="22"/>
      <c r="AB557" s="22"/>
      <c r="AC557" s="22"/>
      <c r="AD557" s="22"/>
      <c r="AE557" s="22"/>
      <c r="AF557" s="48" t="str">
        <f t="shared" si="39"/>
        <v/>
      </c>
      <c r="AG557" s="48" t="str">
        <f t="shared" si="40"/>
        <v/>
      </c>
      <c r="AH557" s="48" t="str">
        <f t="shared" si="41"/>
        <v/>
      </c>
      <c r="AI557" s="40" t="str">
        <f t="shared" si="42"/>
        <v/>
      </c>
      <c r="AJ557" s="40"/>
      <c r="AK557" s="40"/>
      <c r="AL557" s="22"/>
    </row>
    <row r="558" spans="1:38" ht="17.399999999999999">
      <c r="A558" s="22"/>
      <c r="B558" s="22"/>
      <c r="C558" s="56"/>
      <c r="D558" s="56"/>
      <c r="E558" s="22"/>
      <c r="F558" s="22"/>
      <c r="G558" s="22"/>
      <c r="H558" s="22"/>
      <c r="I558" s="49"/>
      <c r="J558" s="50"/>
      <c r="K558" s="22"/>
      <c r="L558" s="22"/>
      <c r="M558" s="22"/>
      <c r="N558" s="22"/>
      <c r="O558" s="22"/>
      <c r="P558" s="46"/>
      <c r="Q558" s="40"/>
      <c r="R558" s="41"/>
      <c r="S558" s="22" t="str">
        <f t="shared" si="38"/>
        <v/>
      </c>
      <c r="T558" s="41"/>
      <c r="U558" s="44"/>
      <c r="V558" s="44"/>
      <c r="W558" s="46"/>
      <c r="X558" s="46"/>
      <c r="Y558" s="46"/>
      <c r="Z558" s="22"/>
      <c r="AA558" s="22"/>
      <c r="AB558" s="22"/>
      <c r="AC558" s="22"/>
      <c r="AD558" s="22"/>
      <c r="AE558" s="22"/>
      <c r="AF558" s="48" t="str">
        <f t="shared" si="39"/>
        <v/>
      </c>
      <c r="AG558" s="48" t="str">
        <f t="shared" si="40"/>
        <v/>
      </c>
      <c r="AH558" s="48" t="str">
        <f t="shared" si="41"/>
        <v/>
      </c>
      <c r="AI558" s="40" t="str">
        <f t="shared" si="42"/>
        <v/>
      </c>
      <c r="AJ558" s="40"/>
      <c r="AK558" s="40"/>
      <c r="AL558" s="22"/>
    </row>
    <row r="559" spans="1:38" ht="17.399999999999999">
      <c r="A559" s="22"/>
      <c r="B559" s="22"/>
      <c r="C559" s="56"/>
      <c r="D559" s="56"/>
      <c r="E559" s="22"/>
      <c r="F559" s="22"/>
      <c r="G559" s="22"/>
      <c r="H559" s="22"/>
      <c r="I559" s="49"/>
      <c r="J559" s="50"/>
      <c r="K559" s="22"/>
      <c r="L559" s="22"/>
      <c r="M559" s="22"/>
      <c r="N559" s="22"/>
      <c r="O559" s="22"/>
      <c r="P559" s="46"/>
      <c r="Q559" s="40"/>
      <c r="R559" s="41"/>
      <c r="S559" s="22" t="str">
        <f t="shared" si="38"/>
        <v/>
      </c>
      <c r="T559" s="41"/>
      <c r="U559" s="44"/>
      <c r="V559" s="44"/>
      <c r="W559" s="46"/>
      <c r="X559" s="46"/>
      <c r="Y559" s="46"/>
      <c r="Z559" s="22"/>
      <c r="AA559" s="22"/>
      <c r="AB559" s="22"/>
      <c r="AC559" s="22"/>
      <c r="AD559" s="22"/>
      <c r="AE559" s="22"/>
      <c r="AF559" s="48" t="str">
        <f t="shared" si="39"/>
        <v/>
      </c>
      <c r="AG559" s="48" t="str">
        <f t="shared" si="40"/>
        <v/>
      </c>
      <c r="AH559" s="48" t="str">
        <f t="shared" si="41"/>
        <v/>
      </c>
      <c r="AI559" s="40" t="str">
        <f t="shared" si="42"/>
        <v/>
      </c>
      <c r="AJ559" s="40"/>
      <c r="AK559" s="40"/>
      <c r="AL559" s="22"/>
    </row>
    <row r="560" spans="1:38" ht="17.399999999999999">
      <c r="A560" s="22"/>
      <c r="B560" s="22"/>
      <c r="C560" s="56"/>
      <c r="D560" s="56"/>
      <c r="E560" s="22"/>
      <c r="F560" s="22"/>
      <c r="G560" s="22"/>
      <c r="H560" s="22"/>
      <c r="I560" s="49"/>
      <c r="J560" s="50"/>
      <c r="K560" s="22"/>
      <c r="L560" s="22"/>
      <c r="M560" s="22"/>
      <c r="N560" s="22"/>
      <c r="O560" s="22"/>
      <c r="P560" s="46"/>
      <c r="Q560" s="40"/>
      <c r="R560" s="41"/>
      <c r="S560" s="22" t="str">
        <f t="shared" si="38"/>
        <v/>
      </c>
      <c r="T560" s="41"/>
      <c r="U560" s="44"/>
      <c r="V560" s="44"/>
      <c r="W560" s="46"/>
      <c r="X560" s="46"/>
      <c r="Y560" s="46"/>
      <c r="Z560" s="22"/>
      <c r="AA560" s="22"/>
      <c r="AB560" s="22"/>
      <c r="AC560" s="22"/>
      <c r="AD560" s="22"/>
      <c r="AE560" s="22"/>
      <c r="AF560" s="48" t="str">
        <f t="shared" si="39"/>
        <v/>
      </c>
      <c r="AG560" s="48" t="str">
        <f t="shared" si="40"/>
        <v/>
      </c>
      <c r="AH560" s="48" t="str">
        <f t="shared" si="41"/>
        <v/>
      </c>
      <c r="AI560" s="40" t="str">
        <f t="shared" si="42"/>
        <v/>
      </c>
      <c r="AJ560" s="40"/>
      <c r="AK560" s="40"/>
      <c r="AL560" s="22"/>
    </row>
    <row r="561" spans="1:38" ht="17.399999999999999">
      <c r="A561" s="22"/>
      <c r="B561" s="22"/>
      <c r="C561" s="56"/>
      <c r="D561" s="56"/>
      <c r="E561" s="22"/>
      <c r="F561" s="22"/>
      <c r="G561" s="22"/>
      <c r="H561" s="22"/>
      <c r="I561" s="49"/>
      <c r="J561" s="50"/>
      <c r="K561" s="22"/>
      <c r="L561" s="22"/>
      <c r="M561" s="22"/>
      <c r="N561" s="22"/>
      <c r="O561" s="22"/>
      <c r="P561" s="46"/>
      <c r="Q561" s="40"/>
      <c r="R561" s="41"/>
      <c r="S561" s="22" t="str">
        <f t="shared" si="38"/>
        <v/>
      </c>
      <c r="T561" s="41"/>
      <c r="U561" s="44"/>
      <c r="V561" s="44"/>
      <c r="W561" s="46"/>
      <c r="X561" s="46"/>
      <c r="Y561" s="46"/>
      <c r="Z561" s="22"/>
      <c r="AA561" s="22"/>
      <c r="AB561" s="22"/>
      <c r="AC561" s="22"/>
      <c r="AD561" s="22"/>
      <c r="AE561" s="22"/>
      <c r="AF561" s="48" t="str">
        <f t="shared" si="39"/>
        <v/>
      </c>
      <c r="AG561" s="48" t="str">
        <f t="shared" si="40"/>
        <v/>
      </c>
      <c r="AH561" s="48" t="str">
        <f t="shared" si="41"/>
        <v/>
      </c>
      <c r="AI561" s="40" t="str">
        <f t="shared" si="42"/>
        <v/>
      </c>
      <c r="AJ561" s="40"/>
      <c r="AK561" s="40"/>
      <c r="AL561" s="22"/>
    </row>
    <row r="562" spans="1:38" ht="17.399999999999999">
      <c r="A562" s="22"/>
      <c r="B562" s="22"/>
      <c r="C562" s="56"/>
      <c r="D562" s="56"/>
      <c r="E562" s="22"/>
      <c r="F562" s="22"/>
      <c r="G562" s="22"/>
      <c r="H562" s="22"/>
      <c r="I562" s="49"/>
      <c r="J562" s="50"/>
      <c r="K562" s="22"/>
      <c r="L562" s="22"/>
      <c r="M562" s="22"/>
      <c r="N562" s="22"/>
      <c r="O562" s="22"/>
      <c r="P562" s="46"/>
      <c r="Q562" s="40"/>
      <c r="R562" s="41"/>
      <c r="S562" s="22" t="str">
        <f t="shared" si="38"/>
        <v/>
      </c>
      <c r="T562" s="41"/>
      <c r="U562" s="44"/>
      <c r="V562" s="44"/>
      <c r="W562" s="46"/>
      <c r="X562" s="46"/>
      <c r="Y562" s="46"/>
      <c r="Z562" s="22"/>
      <c r="AA562" s="22"/>
      <c r="AB562" s="22"/>
      <c r="AC562" s="22"/>
      <c r="AD562" s="22"/>
      <c r="AE562" s="22"/>
      <c r="AF562" s="48" t="str">
        <f t="shared" si="39"/>
        <v/>
      </c>
      <c r="AG562" s="48" t="str">
        <f t="shared" si="40"/>
        <v/>
      </c>
      <c r="AH562" s="48" t="str">
        <f t="shared" si="41"/>
        <v/>
      </c>
      <c r="AI562" s="40" t="str">
        <f t="shared" si="42"/>
        <v/>
      </c>
      <c r="AJ562" s="40"/>
      <c r="AK562" s="40"/>
      <c r="AL562" s="22"/>
    </row>
    <row r="563" spans="1:38" ht="17.399999999999999">
      <c r="A563" s="22"/>
      <c r="B563" s="22"/>
      <c r="C563" s="56"/>
      <c r="D563" s="56"/>
      <c r="E563" s="22"/>
      <c r="F563" s="22"/>
      <c r="G563" s="22"/>
      <c r="H563" s="22"/>
      <c r="I563" s="49"/>
      <c r="J563" s="50"/>
      <c r="K563" s="22"/>
      <c r="L563" s="22"/>
      <c r="M563" s="22"/>
      <c r="N563" s="22"/>
      <c r="O563" s="22"/>
      <c r="P563" s="46"/>
      <c r="Q563" s="40"/>
      <c r="R563" s="41"/>
      <c r="S563" s="22" t="str">
        <f t="shared" si="38"/>
        <v/>
      </c>
      <c r="T563" s="41"/>
      <c r="U563" s="44"/>
      <c r="V563" s="44"/>
      <c r="W563" s="46"/>
      <c r="X563" s="46"/>
      <c r="Y563" s="46"/>
      <c r="Z563" s="22"/>
      <c r="AA563" s="22"/>
      <c r="AB563" s="22"/>
      <c r="AC563" s="22"/>
      <c r="AD563" s="22"/>
      <c r="AE563" s="22"/>
      <c r="AF563" s="48" t="str">
        <f t="shared" si="39"/>
        <v/>
      </c>
      <c r="AG563" s="48" t="str">
        <f t="shared" si="40"/>
        <v/>
      </c>
      <c r="AH563" s="48" t="str">
        <f t="shared" si="41"/>
        <v/>
      </c>
      <c r="AI563" s="40" t="str">
        <f t="shared" si="42"/>
        <v/>
      </c>
      <c r="AJ563" s="40"/>
      <c r="AK563" s="40"/>
      <c r="AL563" s="22"/>
    </row>
    <row r="564" spans="1:38" ht="17.399999999999999">
      <c r="A564" s="22"/>
      <c r="B564" s="22"/>
      <c r="C564" s="56"/>
      <c r="D564" s="56"/>
      <c r="E564" s="22"/>
      <c r="F564" s="22"/>
      <c r="G564" s="22"/>
      <c r="H564" s="22"/>
      <c r="I564" s="49"/>
      <c r="J564" s="50"/>
      <c r="K564" s="22"/>
      <c r="L564" s="22"/>
      <c r="M564" s="22"/>
      <c r="N564" s="22"/>
      <c r="O564" s="22"/>
      <c r="P564" s="46"/>
      <c r="Q564" s="40"/>
      <c r="R564" s="41"/>
      <c r="S564" s="22" t="str">
        <f t="shared" si="38"/>
        <v/>
      </c>
      <c r="T564" s="41"/>
      <c r="U564" s="44"/>
      <c r="V564" s="44"/>
      <c r="W564" s="46"/>
      <c r="X564" s="46"/>
      <c r="Y564" s="46"/>
      <c r="Z564" s="22"/>
      <c r="AA564" s="22"/>
      <c r="AB564" s="22"/>
      <c r="AC564" s="22"/>
      <c r="AD564" s="22"/>
      <c r="AE564" s="22"/>
      <c r="AF564" s="48" t="str">
        <f t="shared" si="39"/>
        <v/>
      </c>
      <c r="AG564" s="48" t="str">
        <f t="shared" si="40"/>
        <v/>
      </c>
      <c r="AH564" s="48" t="str">
        <f t="shared" si="41"/>
        <v/>
      </c>
      <c r="AI564" s="40" t="str">
        <f t="shared" si="42"/>
        <v/>
      </c>
      <c r="AJ564" s="40"/>
      <c r="AK564" s="40"/>
      <c r="AL564" s="22"/>
    </row>
    <row r="565" spans="1:38" ht="17.399999999999999">
      <c r="A565" s="22"/>
      <c r="B565" s="22"/>
      <c r="C565" s="56"/>
      <c r="D565" s="56"/>
      <c r="E565" s="22"/>
      <c r="F565" s="22"/>
      <c r="G565" s="22"/>
      <c r="H565" s="22"/>
      <c r="I565" s="49"/>
      <c r="J565" s="50"/>
      <c r="K565" s="22"/>
      <c r="L565" s="22"/>
      <c r="M565" s="22"/>
      <c r="N565" s="22"/>
      <c r="O565" s="22"/>
      <c r="P565" s="46"/>
      <c r="Q565" s="40"/>
      <c r="R565" s="41"/>
      <c r="S565" s="22" t="str">
        <f t="shared" si="38"/>
        <v/>
      </c>
      <c r="T565" s="41"/>
      <c r="U565" s="44"/>
      <c r="V565" s="44"/>
      <c r="W565" s="46"/>
      <c r="X565" s="46"/>
      <c r="Y565" s="46"/>
      <c r="Z565" s="22"/>
      <c r="AA565" s="22"/>
      <c r="AB565" s="22"/>
      <c r="AC565" s="22"/>
      <c r="AD565" s="22"/>
      <c r="AE565" s="22"/>
      <c r="AF565" s="48" t="str">
        <f t="shared" si="39"/>
        <v/>
      </c>
      <c r="AG565" s="48" t="str">
        <f t="shared" si="40"/>
        <v/>
      </c>
      <c r="AH565" s="48" t="str">
        <f t="shared" si="41"/>
        <v/>
      </c>
      <c r="AI565" s="40" t="str">
        <f t="shared" si="42"/>
        <v/>
      </c>
      <c r="AJ565" s="40"/>
      <c r="AK565" s="40"/>
      <c r="AL565" s="22"/>
    </row>
    <row r="566" spans="1:38" ht="17.399999999999999">
      <c r="A566" s="22"/>
      <c r="B566" s="22"/>
      <c r="C566" s="56"/>
      <c r="D566" s="56"/>
      <c r="E566" s="22"/>
      <c r="F566" s="22"/>
      <c r="G566" s="22"/>
      <c r="H566" s="22"/>
      <c r="I566" s="49"/>
      <c r="J566" s="50"/>
      <c r="K566" s="22"/>
      <c r="L566" s="22"/>
      <c r="M566" s="22"/>
      <c r="N566" s="22"/>
      <c r="O566" s="22"/>
      <c r="P566" s="46"/>
      <c r="Q566" s="40"/>
      <c r="R566" s="41"/>
      <c r="S566" s="22" t="str">
        <f t="shared" si="38"/>
        <v/>
      </c>
      <c r="T566" s="41"/>
      <c r="U566" s="44"/>
      <c r="V566" s="44"/>
      <c r="W566" s="46"/>
      <c r="X566" s="46"/>
      <c r="Y566" s="46"/>
      <c r="Z566" s="22"/>
      <c r="AA566" s="22"/>
      <c r="AB566" s="22"/>
      <c r="AC566" s="22"/>
      <c r="AD566" s="22"/>
      <c r="AE566" s="22"/>
      <c r="AF566" s="48" t="str">
        <f t="shared" si="39"/>
        <v/>
      </c>
      <c r="AG566" s="48" t="str">
        <f t="shared" si="40"/>
        <v/>
      </c>
      <c r="AH566" s="48" t="str">
        <f t="shared" si="41"/>
        <v/>
      </c>
      <c r="AI566" s="40" t="str">
        <f t="shared" si="42"/>
        <v/>
      </c>
      <c r="AJ566" s="40"/>
      <c r="AK566" s="40"/>
      <c r="AL566" s="22"/>
    </row>
    <row r="567" spans="1:38" ht="17.399999999999999">
      <c r="A567" s="22"/>
      <c r="B567" s="22"/>
      <c r="C567" s="56"/>
      <c r="D567" s="56"/>
      <c r="E567" s="22"/>
      <c r="F567" s="22"/>
      <c r="G567" s="22"/>
      <c r="H567" s="22"/>
      <c r="I567" s="49"/>
      <c r="J567" s="50"/>
      <c r="K567" s="22"/>
      <c r="L567" s="22"/>
      <c r="M567" s="22"/>
      <c r="N567" s="22"/>
      <c r="O567" s="22"/>
      <c r="P567" s="46"/>
      <c r="Q567" s="40"/>
      <c r="R567" s="41"/>
      <c r="S567" s="22" t="str">
        <f t="shared" si="38"/>
        <v/>
      </c>
      <c r="T567" s="41"/>
      <c r="U567" s="44"/>
      <c r="V567" s="44"/>
      <c r="W567" s="46"/>
      <c r="X567" s="46"/>
      <c r="Y567" s="46"/>
      <c r="Z567" s="22"/>
      <c r="AA567" s="22"/>
      <c r="AB567" s="22"/>
      <c r="AC567" s="22"/>
      <c r="AD567" s="22"/>
      <c r="AE567" s="22"/>
      <c r="AF567" s="48" t="str">
        <f t="shared" si="39"/>
        <v/>
      </c>
      <c r="AG567" s="48" t="str">
        <f t="shared" si="40"/>
        <v/>
      </c>
      <c r="AH567" s="48" t="str">
        <f t="shared" si="41"/>
        <v/>
      </c>
      <c r="AI567" s="40" t="str">
        <f t="shared" si="42"/>
        <v/>
      </c>
      <c r="AJ567" s="40"/>
      <c r="AK567" s="40"/>
      <c r="AL567" s="22"/>
    </row>
    <row r="568" spans="1:38" ht="17.399999999999999">
      <c r="A568" s="22"/>
      <c r="B568" s="22"/>
      <c r="C568" s="56"/>
      <c r="D568" s="56"/>
      <c r="E568" s="22"/>
      <c r="F568" s="22"/>
      <c r="G568" s="22"/>
      <c r="H568" s="22"/>
      <c r="I568" s="49"/>
      <c r="J568" s="50"/>
      <c r="K568" s="22"/>
      <c r="L568" s="22"/>
      <c r="M568" s="22"/>
      <c r="N568" s="22"/>
      <c r="O568" s="22"/>
      <c r="P568" s="46"/>
      <c r="Q568" s="40"/>
      <c r="R568" s="41"/>
      <c r="S568" s="22" t="str">
        <f t="shared" si="38"/>
        <v/>
      </c>
      <c r="T568" s="41"/>
      <c r="U568" s="44"/>
      <c r="V568" s="44"/>
      <c r="W568" s="46"/>
      <c r="X568" s="46"/>
      <c r="Y568" s="46"/>
      <c r="Z568" s="22"/>
      <c r="AA568" s="22"/>
      <c r="AB568" s="22"/>
      <c r="AC568" s="22"/>
      <c r="AD568" s="22"/>
      <c r="AE568" s="22"/>
      <c r="AF568" s="48" t="str">
        <f t="shared" si="39"/>
        <v/>
      </c>
      <c r="AG568" s="48" t="str">
        <f t="shared" si="40"/>
        <v/>
      </c>
      <c r="AH568" s="48" t="str">
        <f t="shared" si="41"/>
        <v/>
      </c>
      <c r="AI568" s="40" t="str">
        <f t="shared" si="42"/>
        <v/>
      </c>
      <c r="AJ568" s="40"/>
      <c r="AK568" s="40"/>
      <c r="AL568" s="22"/>
    </row>
    <row r="569" spans="1:38" ht="17.399999999999999">
      <c r="A569" s="22"/>
      <c r="B569" s="22"/>
      <c r="C569" s="56"/>
      <c r="D569" s="56"/>
      <c r="E569" s="22"/>
      <c r="F569" s="22"/>
      <c r="G569" s="22"/>
      <c r="H569" s="22"/>
      <c r="I569" s="49"/>
      <c r="J569" s="50"/>
      <c r="K569" s="22"/>
      <c r="L569" s="22"/>
      <c r="M569" s="22"/>
      <c r="N569" s="22"/>
      <c r="O569" s="22"/>
      <c r="P569" s="46"/>
      <c r="Q569" s="40"/>
      <c r="R569" s="41"/>
      <c r="S569" s="22" t="str">
        <f t="shared" si="38"/>
        <v/>
      </c>
      <c r="T569" s="41"/>
      <c r="U569" s="44"/>
      <c r="V569" s="44"/>
      <c r="W569" s="46"/>
      <c r="X569" s="46"/>
      <c r="Y569" s="46"/>
      <c r="Z569" s="22"/>
      <c r="AA569" s="22"/>
      <c r="AB569" s="22"/>
      <c r="AC569" s="22"/>
      <c r="AD569" s="22"/>
      <c r="AE569" s="22"/>
      <c r="AF569" s="48" t="str">
        <f t="shared" si="39"/>
        <v/>
      </c>
      <c r="AG569" s="48" t="str">
        <f t="shared" si="40"/>
        <v/>
      </c>
      <c r="AH569" s="48" t="str">
        <f t="shared" si="41"/>
        <v/>
      </c>
      <c r="AI569" s="40" t="str">
        <f t="shared" si="42"/>
        <v/>
      </c>
      <c r="AJ569" s="40"/>
      <c r="AK569" s="40"/>
      <c r="AL569" s="22"/>
    </row>
    <row r="570" spans="1:38" ht="17.399999999999999">
      <c r="A570" s="22"/>
      <c r="B570" s="22"/>
      <c r="C570" s="56"/>
      <c r="D570" s="56"/>
      <c r="E570" s="22"/>
      <c r="F570" s="22"/>
      <c r="G570" s="22"/>
      <c r="H570" s="22"/>
      <c r="I570" s="49"/>
      <c r="J570" s="50"/>
      <c r="K570" s="22"/>
      <c r="L570" s="22"/>
      <c r="M570" s="22"/>
      <c r="N570" s="22"/>
      <c r="O570" s="22"/>
      <c r="P570" s="46"/>
      <c r="Q570" s="40"/>
      <c r="R570" s="41"/>
      <c r="S570" s="22" t="str">
        <f t="shared" si="38"/>
        <v/>
      </c>
      <c r="T570" s="41"/>
      <c r="U570" s="44"/>
      <c r="V570" s="44"/>
      <c r="W570" s="46"/>
      <c r="X570" s="46"/>
      <c r="Y570" s="46"/>
      <c r="Z570" s="22"/>
      <c r="AA570" s="22"/>
      <c r="AB570" s="22"/>
      <c r="AC570" s="22"/>
      <c r="AD570" s="22"/>
      <c r="AE570" s="22"/>
      <c r="AF570" s="48" t="str">
        <f t="shared" si="39"/>
        <v/>
      </c>
      <c r="AG570" s="48" t="str">
        <f t="shared" si="40"/>
        <v/>
      </c>
      <c r="AH570" s="48" t="str">
        <f t="shared" si="41"/>
        <v/>
      </c>
      <c r="AI570" s="40" t="str">
        <f t="shared" si="42"/>
        <v/>
      </c>
      <c r="AJ570" s="40"/>
      <c r="AK570" s="40"/>
      <c r="AL570" s="22"/>
    </row>
    <row r="571" spans="1:38" ht="17.399999999999999">
      <c r="A571" s="22"/>
      <c r="B571" s="22"/>
      <c r="C571" s="56"/>
      <c r="D571" s="56"/>
      <c r="E571" s="22"/>
      <c r="F571" s="22"/>
      <c r="G571" s="22"/>
      <c r="H571" s="22"/>
      <c r="I571" s="49"/>
      <c r="J571" s="50"/>
      <c r="K571" s="22"/>
      <c r="L571" s="22"/>
      <c r="M571" s="22"/>
      <c r="N571" s="22"/>
      <c r="O571" s="22"/>
      <c r="P571" s="46"/>
      <c r="Q571" s="40"/>
      <c r="R571" s="41"/>
      <c r="S571" s="22" t="str">
        <f t="shared" si="38"/>
        <v/>
      </c>
      <c r="T571" s="41"/>
      <c r="U571" s="44"/>
      <c r="V571" s="44"/>
      <c r="W571" s="46"/>
      <c r="X571" s="46"/>
      <c r="Y571" s="46"/>
      <c r="Z571" s="22"/>
      <c r="AA571" s="22"/>
      <c r="AB571" s="22"/>
      <c r="AC571" s="22"/>
      <c r="AD571" s="22"/>
      <c r="AE571" s="22"/>
      <c r="AF571" s="48" t="str">
        <f t="shared" si="39"/>
        <v/>
      </c>
      <c r="AG571" s="48" t="str">
        <f t="shared" si="40"/>
        <v/>
      </c>
      <c r="AH571" s="48" t="str">
        <f t="shared" si="41"/>
        <v/>
      </c>
      <c r="AI571" s="40" t="str">
        <f t="shared" si="42"/>
        <v/>
      </c>
      <c r="AJ571" s="40"/>
      <c r="AK571" s="40"/>
      <c r="AL571" s="22"/>
    </row>
    <row r="572" spans="1:38" ht="17.399999999999999">
      <c r="A572" s="22"/>
      <c r="B572" s="22"/>
      <c r="C572" s="56"/>
      <c r="D572" s="56"/>
      <c r="E572" s="22"/>
      <c r="F572" s="22"/>
      <c r="G572" s="22"/>
      <c r="H572" s="22"/>
      <c r="I572" s="49"/>
      <c r="J572" s="50"/>
      <c r="K572" s="22"/>
      <c r="L572" s="22"/>
      <c r="M572" s="22"/>
      <c r="N572" s="22"/>
      <c r="O572" s="22"/>
      <c r="P572" s="46"/>
      <c r="Q572" s="40"/>
      <c r="R572" s="41"/>
      <c r="S572" s="22" t="str">
        <f t="shared" si="38"/>
        <v/>
      </c>
      <c r="T572" s="41"/>
      <c r="U572" s="44"/>
      <c r="V572" s="44"/>
      <c r="W572" s="46"/>
      <c r="X572" s="46"/>
      <c r="Y572" s="46"/>
      <c r="Z572" s="22"/>
      <c r="AA572" s="22"/>
      <c r="AB572" s="22"/>
      <c r="AC572" s="22"/>
      <c r="AD572" s="22"/>
      <c r="AE572" s="22"/>
      <c r="AF572" s="48" t="str">
        <f t="shared" si="39"/>
        <v/>
      </c>
      <c r="AG572" s="48" t="str">
        <f t="shared" si="40"/>
        <v/>
      </c>
      <c r="AH572" s="48" t="str">
        <f t="shared" si="41"/>
        <v/>
      </c>
      <c r="AI572" s="40" t="str">
        <f t="shared" si="42"/>
        <v/>
      </c>
      <c r="AJ572" s="40"/>
      <c r="AK572" s="40"/>
      <c r="AL572" s="22"/>
    </row>
    <row r="573" spans="1:38" ht="17.399999999999999">
      <c r="A573" s="22"/>
      <c r="B573" s="22"/>
      <c r="C573" s="56"/>
      <c r="D573" s="56"/>
      <c r="E573" s="22"/>
      <c r="F573" s="22"/>
      <c r="G573" s="22"/>
      <c r="H573" s="22"/>
      <c r="I573" s="49"/>
      <c r="J573" s="50"/>
      <c r="K573" s="22"/>
      <c r="L573" s="22"/>
      <c r="M573" s="22"/>
      <c r="N573" s="22"/>
      <c r="O573" s="22"/>
      <c r="P573" s="46"/>
      <c r="Q573" s="40"/>
      <c r="R573" s="41"/>
      <c r="S573" s="22" t="str">
        <f t="shared" si="38"/>
        <v/>
      </c>
      <c r="T573" s="41"/>
      <c r="U573" s="44"/>
      <c r="V573" s="44"/>
      <c r="W573" s="46"/>
      <c r="X573" s="46"/>
      <c r="Y573" s="46"/>
      <c r="Z573" s="22"/>
      <c r="AA573" s="22"/>
      <c r="AB573" s="22"/>
      <c r="AC573" s="22"/>
      <c r="AD573" s="22"/>
      <c r="AE573" s="22"/>
      <c r="AF573" s="48" t="str">
        <f t="shared" si="39"/>
        <v/>
      </c>
      <c r="AG573" s="48" t="str">
        <f t="shared" si="40"/>
        <v/>
      </c>
      <c r="AH573" s="48" t="str">
        <f t="shared" si="41"/>
        <v/>
      </c>
      <c r="AI573" s="40" t="str">
        <f t="shared" si="42"/>
        <v/>
      </c>
      <c r="AJ573" s="40"/>
      <c r="AK573" s="40"/>
      <c r="AL573" s="22"/>
    </row>
    <row r="574" spans="1:38" ht="17.399999999999999">
      <c r="A574" s="22"/>
      <c r="B574" s="22"/>
      <c r="C574" s="56"/>
      <c r="D574" s="56"/>
      <c r="E574" s="22"/>
      <c r="F574" s="22"/>
      <c r="G574" s="22"/>
      <c r="H574" s="22"/>
      <c r="I574" s="49"/>
      <c r="J574" s="50"/>
      <c r="K574" s="22"/>
      <c r="L574" s="22"/>
      <c r="M574" s="22"/>
      <c r="N574" s="22"/>
      <c r="O574" s="22"/>
      <c r="P574" s="46"/>
      <c r="Q574" s="40"/>
      <c r="R574" s="41"/>
      <c r="S574" s="22" t="str">
        <f t="shared" si="38"/>
        <v/>
      </c>
      <c r="T574" s="41"/>
      <c r="U574" s="44"/>
      <c r="V574" s="44"/>
      <c r="W574" s="46"/>
      <c r="X574" s="46"/>
      <c r="Y574" s="46"/>
      <c r="Z574" s="22"/>
      <c r="AA574" s="22"/>
      <c r="AB574" s="22"/>
      <c r="AC574" s="22"/>
      <c r="AD574" s="22"/>
      <c r="AE574" s="22"/>
      <c r="AF574" s="48" t="str">
        <f t="shared" si="39"/>
        <v/>
      </c>
      <c r="AG574" s="48" t="str">
        <f t="shared" si="40"/>
        <v/>
      </c>
      <c r="AH574" s="48" t="str">
        <f t="shared" si="41"/>
        <v/>
      </c>
      <c r="AI574" s="40" t="str">
        <f t="shared" si="42"/>
        <v/>
      </c>
      <c r="AJ574" s="40"/>
      <c r="AK574" s="40"/>
      <c r="AL574" s="22"/>
    </row>
    <row r="575" spans="1:38" ht="17.399999999999999">
      <c r="A575" s="22"/>
      <c r="B575" s="22"/>
      <c r="C575" s="56"/>
      <c r="D575" s="56"/>
      <c r="E575" s="22"/>
      <c r="F575" s="22"/>
      <c r="G575" s="22"/>
      <c r="H575" s="22"/>
      <c r="I575" s="49"/>
      <c r="J575" s="50"/>
      <c r="K575" s="22"/>
      <c r="L575" s="22"/>
      <c r="M575" s="22"/>
      <c r="N575" s="22"/>
      <c r="O575" s="22"/>
      <c r="P575" s="46"/>
      <c r="Q575" s="40"/>
      <c r="R575" s="41"/>
      <c r="S575" s="22" t="str">
        <f t="shared" si="38"/>
        <v/>
      </c>
      <c r="T575" s="41"/>
      <c r="U575" s="44"/>
      <c r="V575" s="44"/>
      <c r="W575" s="46"/>
      <c r="X575" s="46"/>
      <c r="Y575" s="46"/>
      <c r="Z575" s="22"/>
      <c r="AA575" s="22"/>
      <c r="AB575" s="22"/>
      <c r="AC575" s="22"/>
      <c r="AD575" s="22"/>
      <c r="AE575" s="22"/>
      <c r="AF575" s="48" t="str">
        <f t="shared" si="39"/>
        <v/>
      </c>
      <c r="AG575" s="48" t="str">
        <f t="shared" si="40"/>
        <v/>
      </c>
      <c r="AH575" s="48" t="str">
        <f t="shared" si="41"/>
        <v/>
      </c>
      <c r="AI575" s="40" t="str">
        <f t="shared" si="42"/>
        <v/>
      </c>
      <c r="AJ575" s="40"/>
      <c r="AK575" s="40"/>
      <c r="AL575" s="22"/>
    </row>
    <row r="576" spans="1:38" ht="17.399999999999999">
      <c r="A576" s="22"/>
      <c r="B576" s="22"/>
      <c r="C576" s="56"/>
      <c r="D576" s="56"/>
      <c r="E576" s="22"/>
      <c r="F576" s="22"/>
      <c r="G576" s="22"/>
      <c r="H576" s="22"/>
      <c r="I576" s="49"/>
      <c r="J576" s="50"/>
      <c r="K576" s="22"/>
      <c r="L576" s="22"/>
      <c r="M576" s="22"/>
      <c r="N576" s="22"/>
      <c r="O576" s="22"/>
      <c r="P576" s="46"/>
      <c r="Q576" s="40"/>
      <c r="R576" s="41"/>
      <c r="S576" s="22" t="str">
        <f t="shared" si="38"/>
        <v/>
      </c>
      <c r="T576" s="41"/>
      <c r="U576" s="44"/>
      <c r="V576" s="44"/>
      <c r="W576" s="46"/>
      <c r="X576" s="46"/>
      <c r="Y576" s="46"/>
      <c r="Z576" s="22"/>
      <c r="AA576" s="22"/>
      <c r="AB576" s="22"/>
      <c r="AC576" s="22"/>
      <c r="AD576" s="22"/>
      <c r="AE576" s="22"/>
      <c r="AF576" s="48" t="str">
        <f t="shared" si="39"/>
        <v/>
      </c>
      <c r="AG576" s="48" t="str">
        <f t="shared" si="40"/>
        <v/>
      </c>
      <c r="AH576" s="48" t="str">
        <f t="shared" si="41"/>
        <v/>
      </c>
      <c r="AI576" s="40" t="str">
        <f t="shared" si="42"/>
        <v/>
      </c>
      <c r="AJ576" s="40"/>
      <c r="AK576" s="40"/>
      <c r="AL576" s="22"/>
    </row>
    <row r="577" spans="1:38" ht="17.399999999999999">
      <c r="A577" s="22"/>
      <c r="B577" s="22"/>
      <c r="C577" s="56"/>
      <c r="D577" s="56"/>
      <c r="E577" s="22"/>
      <c r="F577" s="22"/>
      <c r="G577" s="22"/>
      <c r="H577" s="22"/>
      <c r="I577" s="49"/>
      <c r="J577" s="50"/>
      <c r="K577" s="22"/>
      <c r="L577" s="22"/>
      <c r="M577" s="22"/>
      <c r="N577" s="22"/>
      <c r="O577" s="22"/>
      <c r="P577" s="46"/>
      <c r="Q577" s="40"/>
      <c r="R577" s="41"/>
      <c r="S577" s="22" t="str">
        <f t="shared" si="38"/>
        <v/>
      </c>
      <c r="T577" s="41"/>
      <c r="U577" s="44"/>
      <c r="V577" s="44"/>
      <c r="W577" s="46"/>
      <c r="X577" s="46"/>
      <c r="Y577" s="46"/>
      <c r="Z577" s="22"/>
      <c r="AA577" s="22"/>
      <c r="AB577" s="22"/>
      <c r="AC577" s="22"/>
      <c r="AD577" s="22"/>
      <c r="AE577" s="22"/>
      <c r="AF577" s="48" t="str">
        <f t="shared" si="39"/>
        <v/>
      </c>
      <c r="AG577" s="48" t="str">
        <f t="shared" si="40"/>
        <v/>
      </c>
      <c r="AH577" s="48" t="str">
        <f t="shared" si="41"/>
        <v/>
      </c>
      <c r="AI577" s="40" t="str">
        <f t="shared" si="42"/>
        <v/>
      </c>
      <c r="AJ577" s="40"/>
      <c r="AK577" s="40"/>
      <c r="AL577" s="22"/>
    </row>
    <row r="578" spans="1:38" ht="17.399999999999999">
      <c r="A578" s="22"/>
      <c r="B578" s="22"/>
      <c r="C578" s="56"/>
      <c r="D578" s="56"/>
      <c r="E578" s="22"/>
      <c r="F578" s="22"/>
      <c r="G578" s="22"/>
      <c r="H578" s="22"/>
      <c r="I578" s="49"/>
      <c r="J578" s="50"/>
      <c r="K578" s="22"/>
      <c r="L578" s="22"/>
      <c r="M578" s="22"/>
      <c r="N578" s="22"/>
      <c r="O578" s="22"/>
      <c r="P578" s="46"/>
      <c r="Q578" s="40"/>
      <c r="R578" s="41"/>
      <c r="S578" s="22" t="str">
        <f t="shared" si="38"/>
        <v/>
      </c>
      <c r="T578" s="41"/>
      <c r="U578" s="44"/>
      <c r="V578" s="44"/>
      <c r="W578" s="46"/>
      <c r="X578" s="46"/>
      <c r="Y578" s="46"/>
      <c r="Z578" s="22"/>
      <c r="AA578" s="22"/>
      <c r="AB578" s="22"/>
      <c r="AC578" s="22"/>
      <c r="AD578" s="22"/>
      <c r="AE578" s="22"/>
      <c r="AF578" s="48" t="str">
        <f t="shared" si="39"/>
        <v/>
      </c>
      <c r="AG578" s="48" t="str">
        <f t="shared" si="40"/>
        <v/>
      </c>
      <c r="AH578" s="48" t="str">
        <f t="shared" si="41"/>
        <v/>
      </c>
      <c r="AI578" s="40" t="str">
        <f t="shared" si="42"/>
        <v/>
      </c>
      <c r="AJ578" s="40"/>
      <c r="AK578" s="40"/>
      <c r="AL578" s="22"/>
    </row>
    <row r="579" spans="1:38" ht="17.399999999999999">
      <c r="A579" s="22"/>
      <c r="B579" s="22"/>
      <c r="C579" s="56"/>
      <c r="D579" s="56"/>
      <c r="E579" s="22"/>
      <c r="F579" s="22"/>
      <c r="G579" s="22"/>
      <c r="H579" s="22"/>
      <c r="I579" s="49"/>
      <c r="J579" s="50"/>
      <c r="K579" s="22"/>
      <c r="L579" s="22"/>
      <c r="M579" s="22"/>
      <c r="N579" s="22"/>
      <c r="O579" s="22"/>
      <c r="P579" s="46"/>
      <c r="Q579" s="40"/>
      <c r="R579" s="41"/>
      <c r="S579" s="22" t="str">
        <f t="shared" si="38"/>
        <v/>
      </c>
      <c r="T579" s="41"/>
      <c r="U579" s="44"/>
      <c r="V579" s="44"/>
      <c r="W579" s="46"/>
      <c r="X579" s="46"/>
      <c r="Y579" s="46"/>
      <c r="Z579" s="22"/>
      <c r="AA579" s="22"/>
      <c r="AB579" s="22"/>
      <c r="AC579" s="22"/>
      <c r="AD579" s="22"/>
      <c r="AE579" s="22"/>
      <c r="AF579" s="48" t="str">
        <f t="shared" si="39"/>
        <v/>
      </c>
      <c r="AG579" s="48" t="str">
        <f t="shared" si="40"/>
        <v/>
      </c>
      <c r="AH579" s="48" t="str">
        <f t="shared" si="41"/>
        <v/>
      </c>
      <c r="AI579" s="40" t="str">
        <f t="shared" si="42"/>
        <v/>
      </c>
      <c r="AJ579" s="40"/>
      <c r="AK579" s="40"/>
      <c r="AL579" s="22"/>
    </row>
    <row r="580" spans="1:38" ht="17.399999999999999">
      <c r="A580" s="22"/>
      <c r="B580" s="22"/>
      <c r="C580" s="56"/>
      <c r="D580" s="56"/>
      <c r="E580" s="22"/>
      <c r="F580" s="22"/>
      <c r="G580" s="22"/>
      <c r="H580" s="22"/>
      <c r="I580" s="49"/>
      <c r="J580" s="50"/>
      <c r="K580" s="22"/>
      <c r="L580" s="22"/>
      <c r="M580" s="22"/>
      <c r="N580" s="22"/>
      <c r="O580" s="22"/>
      <c r="P580" s="46"/>
      <c r="Q580" s="40"/>
      <c r="R580" s="41"/>
      <c r="S580" s="22" t="str">
        <f t="shared" si="38"/>
        <v/>
      </c>
      <c r="T580" s="41"/>
      <c r="U580" s="44"/>
      <c r="V580" s="44"/>
      <c r="W580" s="46"/>
      <c r="X580" s="46"/>
      <c r="Y580" s="46"/>
      <c r="Z580" s="22"/>
      <c r="AA580" s="22"/>
      <c r="AB580" s="22"/>
      <c r="AC580" s="22"/>
      <c r="AD580" s="22"/>
      <c r="AE580" s="22"/>
      <c r="AF580" s="48" t="str">
        <f t="shared" si="39"/>
        <v/>
      </c>
      <c r="AG580" s="48" t="str">
        <f t="shared" si="40"/>
        <v/>
      </c>
      <c r="AH580" s="48" t="str">
        <f t="shared" si="41"/>
        <v/>
      </c>
      <c r="AI580" s="40" t="str">
        <f t="shared" si="42"/>
        <v/>
      </c>
      <c r="AJ580" s="40"/>
      <c r="AK580" s="40"/>
      <c r="AL580" s="22"/>
    </row>
    <row r="581" spans="1:38" ht="17.399999999999999">
      <c r="A581" s="22"/>
      <c r="B581" s="22"/>
      <c r="C581" s="56"/>
      <c r="D581" s="56"/>
      <c r="E581" s="22"/>
      <c r="F581" s="22"/>
      <c r="G581" s="22"/>
      <c r="H581" s="22"/>
      <c r="I581" s="49"/>
      <c r="J581" s="50"/>
      <c r="K581" s="22"/>
      <c r="L581" s="22"/>
      <c r="M581" s="22"/>
      <c r="N581" s="22"/>
      <c r="O581" s="22"/>
      <c r="P581" s="46"/>
      <c r="Q581" s="40"/>
      <c r="R581" s="41"/>
      <c r="S581" s="22" t="str">
        <f t="shared" si="38"/>
        <v/>
      </c>
      <c r="T581" s="41"/>
      <c r="U581" s="44"/>
      <c r="V581" s="44"/>
      <c r="W581" s="46"/>
      <c r="X581" s="46"/>
      <c r="Y581" s="46"/>
      <c r="Z581" s="22"/>
      <c r="AA581" s="22"/>
      <c r="AB581" s="22"/>
      <c r="AC581" s="22"/>
      <c r="AD581" s="22"/>
      <c r="AE581" s="22"/>
      <c r="AF581" s="48" t="str">
        <f t="shared" si="39"/>
        <v/>
      </c>
      <c r="AG581" s="48" t="str">
        <f t="shared" si="40"/>
        <v/>
      </c>
      <c r="AH581" s="48" t="str">
        <f t="shared" si="41"/>
        <v/>
      </c>
      <c r="AI581" s="40" t="str">
        <f t="shared" si="42"/>
        <v/>
      </c>
      <c r="AJ581" s="40"/>
      <c r="AK581" s="40"/>
      <c r="AL581" s="22"/>
    </row>
    <row r="582" spans="1:38" ht="17.399999999999999">
      <c r="A582" s="22"/>
      <c r="B582" s="22"/>
      <c r="C582" s="56"/>
      <c r="D582" s="56"/>
      <c r="E582" s="22"/>
      <c r="F582" s="22"/>
      <c r="G582" s="22"/>
      <c r="H582" s="22"/>
      <c r="I582" s="49"/>
      <c r="J582" s="50"/>
      <c r="K582" s="22"/>
      <c r="L582" s="22"/>
      <c r="M582" s="22"/>
      <c r="N582" s="22"/>
      <c r="O582" s="22"/>
      <c r="P582" s="46"/>
      <c r="Q582" s="40"/>
      <c r="R582" s="41"/>
      <c r="S582" s="22" t="str">
        <f t="shared" si="38"/>
        <v/>
      </c>
      <c r="T582" s="41"/>
      <c r="U582" s="44"/>
      <c r="V582" s="44"/>
      <c r="W582" s="46"/>
      <c r="X582" s="46"/>
      <c r="Y582" s="46"/>
      <c r="Z582" s="22"/>
      <c r="AA582" s="22"/>
      <c r="AB582" s="22"/>
      <c r="AC582" s="22"/>
      <c r="AD582" s="22"/>
      <c r="AE582" s="22"/>
      <c r="AF582" s="48" t="str">
        <f t="shared" si="39"/>
        <v/>
      </c>
      <c r="AG582" s="48" t="str">
        <f t="shared" si="40"/>
        <v/>
      </c>
      <c r="AH582" s="48" t="str">
        <f t="shared" si="41"/>
        <v/>
      </c>
      <c r="AI582" s="40" t="str">
        <f t="shared" si="42"/>
        <v/>
      </c>
      <c r="AJ582" s="40"/>
      <c r="AK582" s="40"/>
      <c r="AL582" s="22"/>
    </row>
    <row r="583" spans="1:38" ht="17.399999999999999">
      <c r="A583" s="22"/>
      <c r="B583" s="22"/>
      <c r="C583" s="56"/>
      <c r="D583" s="56"/>
      <c r="E583" s="22"/>
      <c r="F583" s="22"/>
      <c r="G583" s="22"/>
      <c r="H583" s="22"/>
      <c r="I583" s="49"/>
      <c r="J583" s="50"/>
      <c r="K583" s="22"/>
      <c r="L583" s="22"/>
      <c r="M583" s="22"/>
      <c r="N583" s="22"/>
      <c r="O583" s="22"/>
      <c r="P583" s="46"/>
      <c r="Q583" s="40"/>
      <c r="R583" s="41"/>
      <c r="S583" s="22" t="str">
        <f t="shared" si="38"/>
        <v/>
      </c>
      <c r="T583" s="41"/>
      <c r="U583" s="44"/>
      <c r="V583" s="44"/>
      <c r="W583" s="46"/>
      <c r="X583" s="46"/>
      <c r="Y583" s="46"/>
      <c r="Z583" s="22"/>
      <c r="AA583" s="22"/>
      <c r="AB583" s="22"/>
      <c r="AC583" s="22"/>
      <c r="AD583" s="22"/>
      <c r="AE583" s="22"/>
      <c r="AF583" s="48" t="str">
        <f t="shared" si="39"/>
        <v/>
      </c>
      <c r="AG583" s="48" t="str">
        <f t="shared" si="40"/>
        <v/>
      </c>
      <c r="AH583" s="48" t="str">
        <f t="shared" si="41"/>
        <v/>
      </c>
      <c r="AI583" s="40" t="str">
        <f t="shared" si="42"/>
        <v/>
      </c>
      <c r="AJ583" s="40"/>
      <c r="AK583" s="40"/>
      <c r="AL583" s="22"/>
    </row>
    <row r="584" spans="1:38" ht="17.399999999999999">
      <c r="A584" s="22"/>
      <c r="B584" s="22"/>
      <c r="C584" s="56"/>
      <c r="D584" s="56"/>
      <c r="E584" s="22"/>
      <c r="F584" s="22"/>
      <c r="G584" s="22"/>
      <c r="H584" s="22"/>
      <c r="I584" s="49"/>
      <c r="J584" s="50"/>
      <c r="K584" s="22"/>
      <c r="L584" s="22"/>
      <c r="M584" s="22"/>
      <c r="N584" s="22"/>
      <c r="O584" s="22"/>
      <c r="P584" s="46"/>
      <c r="Q584" s="40"/>
      <c r="R584" s="41"/>
      <c r="S584" s="22" t="str">
        <f t="shared" si="38"/>
        <v/>
      </c>
      <c r="T584" s="41"/>
      <c r="U584" s="44"/>
      <c r="V584" s="44"/>
      <c r="W584" s="46"/>
      <c r="X584" s="46"/>
      <c r="Y584" s="46"/>
      <c r="Z584" s="22"/>
      <c r="AA584" s="22"/>
      <c r="AB584" s="22"/>
      <c r="AC584" s="22"/>
      <c r="AD584" s="22"/>
      <c r="AE584" s="22"/>
      <c r="AF584" s="48" t="str">
        <f t="shared" si="39"/>
        <v/>
      </c>
      <c r="AG584" s="48" t="str">
        <f t="shared" si="40"/>
        <v/>
      </c>
      <c r="AH584" s="48" t="str">
        <f t="shared" si="41"/>
        <v/>
      </c>
      <c r="AI584" s="40" t="str">
        <f t="shared" si="42"/>
        <v/>
      </c>
      <c r="AJ584" s="40"/>
      <c r="AK584" s="40"/>
      <c r="AL584" s="22"/>
    </row>
    <row r="585" spans="1:38" ht="17.399999999999999">
      <c r="A585" s="22"/>
      <c r="B585" s="22"/>
      <c r="C585" s="56"/>
      <c r="D585" s="56"/>
      <c r="E585" s="22"/>
      <c r="F585" s="22"/>
      <c r="G585" s="22"/>
      <c r="H585" s="22"/>
      <c r="I585" s="49"/>
      <c r="J585" s="50"/>
      <c r="K585" s="22"/>
      <c r="L585" s="22"/>
      <c r="M585" s="22"/>
      <c r="N585" s="22"/>
      <c r="O585" s="22"/>
      <c r="P585" s="46"/>
      <c r="Q585" s="40"/>
      <c r="R585" s="41"/>
      <c r="S585" s="22" t="str">
        <f t="shared" si="38"/>
        <v/>
      </c>
      <c r="T585" s="41"/>
      <c r="U585" s="44"/>
      <c r="V585" s="44"/>
      <c r="W585" s="46"/>
      <c r="X585" s="46"/>
      <c r="Y585" s="46"/>
      <c r="Z585" s="22"/>
      <c r="AA585" s="22"/>
      <c r="AB585" s="22"/>
      <c r="AC585" s="22"/>
      <c r="AD585" s="22"/>
      <c r="AE585" s="22"/>
      <c r="AF585" s="48" t="str">
        <f t="shared" si="39"/>
        <v/>
      </c>
      <c r="AG585" s="48" t="str">
        <f t="shared" si="40"/>
        <v/>
      </c>
      <c r="AH585" s="48" t="str">
        <f t="shared" si="41"/>
        <v/>
      </c>
      <c r="AI585" s="40" t="str">
        <f t="shared" si="42"/>
        <v/>
      </c>
      <c r="AJ585" s="40"/>
      <c r="AK585" s="40"/>
      <c r="AL585" s="22"/>
    </row>
    <row r="586" spans="1:38" ht="17.399999999999999">
      <c r="A586" s="22"/>
      <c r="B586" s="22"/>
      <c r="C586" s="56"/>
      <c r="D586" s="56"/>
      <c r="E586" s="22"/>
      <c r="F586" s="22"/>
      <c r="G586" s="22"/>
      <c r="H586" s="22"/>
      <c r="I586" s="49"/>
      <c r="J586" s="50"/>
      <c r="K586" s="22"/>
      <c r="L586" s="22"/>
      <c r="M586" s="22"/>
      <c r="N586" s="22"/>
      <c r="O586" s="22"/>
      <c r="P586" s="46"/>
      <c r="Q586" s="40"/>
      <c r="R586" s="41"/>
      <c r="S586" s="22" t="str">
        <f t="shared" si="38"/>
        <v/>
      </c>
      <c r="T586" s="41"/>
      <c r="U586" s="44"/>
      <c r="V586" s="44"/>
      <c r="W586" s="46"/>
      <c r="X586" s="46"/>
      <c r="Y586" s="46"/>
      <c r="Z586" s="22"/>
      <c r="AA586" s="22"/>
      <c r="AB586" s="22"/>
      <c r="AC586" s="22"/>
      <c r="AD586" s="22"/>
      <c r="AE586" s="22"/>
      <c r="AF586" s="48" t="str">
        <f t="shared" si="39"/>
        <v/>
      </c>
      <c r="AG586" s="48" t="str">
        <f t="shared" si="40"/>
        <v/>
      </c>
      <c r="AH586" s="48" t="str">
        <f t="shared" si="41"/>
        <v/>
      </c>
      <c r="AI586" s="40" t="str">
        <f t="shared" si="42"/>
        <v/>
      </c>
      <c r="AJ586" s="40"/>
      <c r="AK586" s="40"/>
      <c r="AL586" s="22"/>
    </row>
    <row r="587" spans="1:38" ht="17.399999999999999">
      <c r="A587" s="22"/>
      <c r="B587" s="22"/>
      <c r="C587" s="56"/>
      <c r="D587" s="56"/>
      <c r="E587" s="22"/>
      <c r="F587" s="22"/>
      <c r="G587" s="22"/>
      <c r="H587" s="22"/>
      <c r="I587" s="49"/>
      <c r="J587" s="50"/>
      <c r="K587" s="22"/>
      <c r="L587" s="22"/>
      <c r="M587" s="22"/>
      <c r="N587" s="22"/>
      <c r="O587" s="22"/>
      <c r="P587" s="46"/>
      <c r="Q587" s="40"/>
      <c r="R587" s="41"/>
      <c r="S587" s="22" t="str">
        <f t="shared" si="38"/>
        <v/>
      </c>
      <c r="T587" s="41"/>
      <c r="U587" s="44"/>
      <c r="V587" s="44"/>
      <c r="W587" s="46"/>
      <c r="X587" s="46"/>
      <c r="Y587" s="46"/>
      <c r="Z587" s="22"/>
      <c r="AA587" s="22"/>
      <c r="AB587" s="22"/>
      <c r="AC587" s="22"/>
      <c r="AD587" s="22"/>
      <c r="AE587" s="22"/>
      <c r="AF587" s="48" t="str">
        <f t="shared" si="39"/>
        <v/>
      </c>
      <c r="AG587" s="48" t="str">
        <f t="shared" si="40"/>
        <v/>
      </c>
      <c r="AH587" s="48" t="str">
        <f t="shared" si="41"/>
        <v/>
      </c>
      <c r="AI587" s="40" t="str">
        <f t="shared" si="42"/>
        <v/>
      </c>
      <c r="AJ587" s="40"/>
      <c r="AK587" s="40"/>
      <c r="AL587" s="22"/>
    </row>
    <row r="588" spans="1:38" ht="17.399999999999999">
      <c r="A588" s="22"/>
      <c r="B588" s="22"/>
      <c r="C588" s="56"/>
      <c r="D588" s="56"/>
      <c r="E588" s="22"/>
      <c r="F588" s="22"/>
      <c r="G588" s="22"/>
      <c r="H588" s="22"/>
      <c r="I588" s="49"/>
      <c r="J588" s="50"/>
      <c r="K588" s="22"/>
      <c r="L588" s="22"/>
      <c r="M588" s="22"/>
      <c r="N588" s="22"/>
      <c r="O588" s="22"/>
      <c r="P588" s="46"/>
      <c r="Q588" s="40"/>
      <c r="R588" s="41"/>
      <c r="S588" s="22" t="str">
        <f t="shared" si="38"/>
        <v/>
      </c>
      <c r="T588" s="41"/>
      <c r="U588" s="44"/>
      <c r="V588" s="44"/>
      <c r="W588" s="46"/>
      <c r="X588" s="46"/>
      <c r="Y588" s="46"/>
      <c r="Z588" s="22"/>
      <c r="AA588" s="22"/>
      <c r="AB588" s="22"/>
      <c r="AC588" s="22"/>
      <c r="AD588" s="22"/>
      <c r="AE588" s="22"/>
      <c r="AF588" s="48" t="str">
        <f t="shared" si="39"/>
        <v/>
      </c>
      <c r="AG588" s="48" t="str">
        <f t="shared" si="40"/>
        <v/>
      </c>
      <c r="AH588" s="48" t="str">
        <f t="shared" si="41"/>
        <v/>
      </c>
      <c r="AI588" s="40" t="str">
        <f t="shared" si="42"/>
        <v/>
      </c>
      <c r="AJ588" s="40"/>
      <c r="AK588" s="40"/>
      <c r="AL588" s="22"/>
    </row>
    <row r="589" spans="1:38" ht="17.399999999999999">
      <c r="A589" s="22"/>
      <c r="B589" s="22"/>
      <c r="C589" s="56"/>
      <c r="D589" s="56"/>
      <c r="E589" s="22"/>
      <c r="F589" s="22"/>
      <c r="G589" s="22"/>
      <c r="H589" s="22"/>
      <c r="I589" s="49"/>
      <c r="J589" s="50"/>
      <c r="K589" s="22"/>
      <c r="L589" s="22"/>
      <c r="M589" s="22"/>
      <c r="N589" s="22"/>
      <c r="O589" s="22"/>
      <c r="P589" s="46"/>
      <c r="Q589" s="40"/>
      <c r="R589" s="41"/>
      <c r="S589" s="22" t="str">
        <f t="shared" si="38"/>
        <v/>
      </c>
      <c r="T589" s="41"/>
      <c r="U589" s="44"/>
      <c r="V589" s="44"/>
      <c r="W589" s="46"/>
      <c r="X589" s="46"/>
      <c r="Y589" s="46"/>
      <c r="Z589" s="22"/>
      <c r="AA589" s="22"/>
      <c r="AB589" s="22"/>
      <c r="AC589" s="22"/>
      <c r="AD589" s="22"/>
      <c r="AE589" s="22"/>
      <c r="AF589" s="48" t="str">
        <f t="shared" si="39"/>
        <v/>
      </c>
      <c r="AG589" s="48" t="str">
        <f t="shared" si="40"/>
        <v/>
      </c>
      <c r="AH589" s="48" t="str">
        <f t="shared" si="41"/>
        <v/>
      </c>
      <c r="AI589" s="40" t="str">
        <f t="shared" si="42"/>
        <v/>
      </c>
      <c r="AJ589" s="40"/>
      <c r="AK589" s="40"/>
      <c r="AL589" s="22"/>
    </row>
    <row r="590" spans="1:38" ht="17.399999999999999">
      <c r="A590" s="22"/>
      <c r="B590" s="22"/>
      <c r="C590" s="56"/>
      <c r="D590" s="56"/>
      <c r="E590" s="22"/>
      <c r="F590" s="22"/>
      <c r="G590" s="22"/>
      <c r="H590" s="22"/>
      <c r="I590" s="49"/>
      <c r="J590" s="50"/>
      <c r="K590" s="22"/>
      <c r="L590" s="22"/>
      <c r="M590" s="22"/>
      <c r="N590" s="22"/>
      <c r="O590" s="22"/>
      <c r="P590" s="46"/>
      <c r="Q590" s="40"/>
      <c r="R590" s="41"/>
      <c r="S590" s="22" t="str">
        <f t="shared" si="38"/>
        <v/>
      </c>
      <c r="T590" s="41"/>
      <c r="U590" s="44"/>
      <c r="V590" s="44"/>
      <c r="W590" s="46"/>
      <c r="X590" s="46"/>
      <c r="Y590" s="46"/>
      <c r="Z590" s="22"/>
      <c r="AA590" s="22"/>
      <c r="AB590" s="22"/>
      <c r="AC590" s="22"/>
      <c r="AD590" s="22"/>
      <c r="AE590" s="22"/>
      <c r="AF590" s="48" t="str">
        <f t="shared" si="39"/>
        <v/>
      </c>
      <c r="AG590" s="48" t="str">
        <f t="shared" si="40"/>
        <v/>
      </c>
      <c r="AH590" s="48" t="str">
        <f t="shared" si="41"/>
        <v/>
      </c>
      <c r="AI590" s="40" t="str">
        <f t="shared" si="42"/>
        <v/>
      </c>
      <c r="AJ590" s="40"/>
      <c r="AK590" s="40"/>
      <c r="AL590" s="22"/>
    </row>
    <row r="591" spans="1:38" ht="17.399999999999999">
      <c r="A591" s="22"/>
      <c r="B591" s="22"/>
      <c r="C591" s="56"/>
      <c r="D591" s="56"/>
      <c r="E591" s="22"/>
      <c r="F591" s="22"/>
      <c r="G591" s="22"/>
      <c r="H591" s="22"/>
      <c r="I591" s="49"/>
      <c r="J591" s="50"/>
      <c r="K591" s="22"/>
      <c r="L591" s="22"/>
      <c r="M591" s="22"/>
      <c r="N591" s="22"/>
      <c r="O591" s="22"/>
      <c r="P591" s="46"/>
      <c r="Q591" s="40"/>
      <c r="R591" s="41"/>
      <c r="S591" s="22" t="str">
        <f t="shared" si="38"/>
        <v/>
      </c>
      <c r="T591" s="41"/>
      <c r="U591" s="44"/>
      <c r="V591" s="44"/>
      <c r="W591" s="46"/>
      <c r="X591" s="46"/>
      <c r="Y591" s="46"/>
      <c r="Z591" s="22"/>
      <c r="AA591" s="22"/>
      <c r="AB591" s="22"/>
      <c r="AC591" s="22"/>
      <c r="AD591" s="22"/>
      <c r="AE591" s="22"/>
      <c r="AF591" s="48" t="str">
        <f t="shared" si="39"/>
        <v/>
      </c>
      <c r="AG591" s="48" t="str">
        <f t="shared" si="40"/>
        <v/>
      </c>
      <c r="AH591" s="48" t="str">
        <f t="shared" si="41"/>
        <v/>
      </c>
      <c r="AI591" s="40" t="str">
        <f t="shared" si="42"/>
        <v/>
      </c>
      <c r="AJ591" s="40"/>
      <c r="AK591" s="40"/>
      <c r="AL591" s="22"/>
    </row>
    <row r="592" spans="1:38" ht="17.399999999999999">
      <c r="A592" s="22"/>
      <c r="B592" s="22"/>
      <c r="C592" s="56"/>
      <c r="D592" s="56"/>
      <c r="E592" s="22"/>
      <c r="F592" s="22"/>
      <c r="G592" s="22"/>
      <c r="H592" s="22"/>
      <c r="I592" s="49"/>
      <c r="J592" s="50"/>
      <c r="K592" s="22"/>
      <c r="L592" s="22"/>
      <c r="M592" s="22"/>
      <c r="N592" s="22"/>
      <c r="O592" s="22"/>
      <c r="P592" s="46"/>
      <c r="Q592" s="40"/>
      <c r="R592" s="41"/>
      <c r="S592" s="22" t="str">
        <f t="shared" si="38"/>
        <v/>
      </c>
      <c r="T592" s="41"/>
      <c r="U592" s="44"/>
      <c r="V592" s="44"/>
      <c r="W592" s="46"/>
      <c r="X592" s="46"/>
      <c r="Y592" s="46"/>
      <c r="Z592" s="22"/>
      <c r="AA592" s="22"/>
      <c r="AB592" s="22"/>
      <c r="AC592" s="22"/>
      <c r="AD592" s="22"/>
      <c r="AE592" s="22"/>
      <c r="AF592" s="48" t="str">
        <f t="shared" si="39"/>
        <v/>
      </c>
      <c r="AG592" s="48" t="str">
        <f t="shared" si="40"/>
        <v/>
      </c>
      <c r="AH592" s="48" t="str">
        <f t="shared" si="41"/>
        <v/>
      </c>
      <c r="AI592" s="40" t="str">
        <f t="shared" si="42"/>
        <v/>
      </c>
      <c r="AJ592" s="40"/>
      <c r="AK592" s="40"/>
      <c r="AL592" s="22"/>
    </row>
    <row r="593" spans="1:38" ht="17.399999999999999">
      <c r="A593" s="22"/>
      <c r="B593" s="22"/>
      <c r="C593" s="56"/>
      <c r="D593" s="56"/>
      <c r="E593" s="22"/>
      <c r="F593" s="22"/>
      <c r="G593" s="22"/>
      <c r="H593" s="22"/>
      <c r="I593" s="49"/>
      <c r="J593" s="50"/>
      <c r="K593" s="22"/>
      <c r="L593" s="22"/>
      <c r="M593" s="22"/>
      <c r="N593" s="22"/>
      <c r="O593" s="22"/>
      <c r="P593" s="46"/>
      <c r="Q593" s="40"/>
      <c r="R593" s="41"/>
      <c r="S593" s="22" t="str">
        <f t="shared" si="38"/>
        <v/>
      </c>
      <c r="T593" s="41"/>
      <c r="U593" s="44"/>
      <c r="V593" s="44"/>
      <c r="W593" s="46"/>
      <c r="X593" s="46"/>
      <c r="Y593" s="46"/>
      <c r="Z593" s="22"/>
      <c r="AA593" s="22"/>
      <c r="AB593" s="22"/>
      <c r="AC593" s="22"/>
      <c r="AD593" s="22"/>
      <c r="AE593" s="22"/>
      <c r="AF593" s="48" t="str">
        <f t="shared" si="39"/>
        <v/>
      </c>
      <c r="AG593" s="48" t="str">
        <f t="shared" si="40"/>
        <v/>
      </c>
      <c r="AH593" s="48" t="str">
        <f t="shared" si="41"/>
        <v/>
      </c>
      <c r="AI593" s="40" t="str">
        <f t="shared" si="42"/>
        <v/>
      </c>
      <c r="AJ593" s="40"/>
      <c r="AK593" s="40"/>
      <c r="AL593" s="22"/>
    </row>
    <row r="594" spans="1:38" ht="17.399999999999999">
      <c r="A594" s="22"/>
      <c r="B594" s="22"/>
      <c r="C594" s="56"/>
      <c r="D594" s="56"/>
      <c r="E594" s="22"/>
      <c r="F594" s="22"/>
      <c r="G594" s="22"/>
      <c r="H594" s="22"/>
      <c r="I594" s="49"/>
      <c r="J594" s="50"/>
      <c r="K594" s="22"/>
      <c r="L594" s="22"/>
      <c r="M594" s="22"/>
      <c r="N594" s="22"/>
      <c r="O594" s="22"/>
      <c r="P594" s="46"/>
      <c r="Q594" s="40"/>
      <c r="R594" s="41"/>
      <c r="S594" s="22" t="str">
        <f t="shared" si="38"/>
        <v/>
      </c>
      <c r="T594" s="41"/>
      <c r="U594" s="44"/>
      <c r="V594" s="44"/>
      <c r="W594" s="46"/>
      <c r="X594" s="46"/>
      <c r="Y594" s="46"/>
      <c r="Z594" s="22"/>
      <c r="AA594" s="22"/>
      <c r="AB594" s="22"/>
      <c r="AC594" s="22"/>
      <c r="AD594" s="22"/>
      <c r="AE594" s="22"/>
      <c r="AF594" s="48" t="str">
        <f t="shared" si="39"/>
        <v/>
      </c>
      <c r="AG594" s="48" t="str">
        <f t="shared" si="40"/>
        <v/>
      </c>
      <c r="AH594" s="48" t="str">
        <f t="shared" si="41"/>
        <v/>
      </c>
      <c r="AI594" s="40" t="str">
        <f t="shared" si="42"/>
        <v/>
      </c>
      <c r="AJ594" s="40"/>
      <c r="AK594" s="40"/>
      <c r="AL594" s="22"/>
    </row>
    <row r="595" spans="1:38" ht="17.399999999999999">
      <c r="A595" s="22"/>
      <c r="B595" s="22"/>
      <c r="C595" s="56"/>
      <c r="D595" s="56"/>
      <c r="E595" s="22"/>
      <c r="F595" s="22"/>
      <c r="G595" s="22"/>
      <c r="H595" s="22"/>
      <c r="I595" s="49"/>
      <c r="J595" s="50"/>
      <c r="K595" s="22"/>
      <c r="L595" s="22"/>
      <c r="M595" s="22"/>
      <c r="N595" s="22"/>
      <c r="O595" s="22"/>
      <c r="P595" s="46"/>
      <c r="Q595" s="40"/>
      <c r="R595" s="41"/>
      <c r="S595" s="22" t="str">
        <f t="shared" si="38"/>
        <v/>
      </c>
      <c r="T595" s="41"/>
      <c r="U595" s="44"/>
      <c r="V595" s="44"/>
      <c r="W595" s="46"/>
      <c r="X595" s="46"/>
      <c r="Y595" s="46"/>
      <c r="Z595" s="22"/>
      <c r="AA595" s="22"/>
      <c r="AB595" s="22"/>
      <c r="AC595" s="22"/>
      <c r="AD595" s="22"/>
      <c r="AE595" s="22"/>
      <c r="AF595" s="48" t="str">
        <f t="shared" si="39"/>
        <v/>
      </c>
      <c r="AG595" s="48" t="str">
        <f t="shared" si="40"/>
        <v/>
      </c>
      <c r="AH595" s="48" t="str">
        <f t="shared" si="41"/>
        <v/>
      </c>
      <c r="AI595" s="40" t="str">
        <f t="shared" si="42"/>
        <v/>
      </c>
      <c r="AJ595" s="40"/>
      <c r="AK595" s="40"/>
      <c r="AL595" s="22"/>
    </row>
    <row r="596" spans="1:38" ht="17.399999999999999">
      <c r="A596" s="22"/>
      <c r="B596" s="22"/>
      <c r="C596" s="56"/>
      <c r="D596" s="56"/>
      <c r="E596" s="22"/>
      <c r="F596" s="22"/>
      <c r="G596" s="22"/>
      <c r="H596" s="22"/>
      <c r="I596" s="49"/>
      <c r="J596" s="50"/>
      <c r="K596" s="22"/>
      <c r="L596" s="22"/>
      <c r="M596" s="22"/>
      <c r="N596" s="22"/>
      <c r="O596" s="22"/>
      <c r="P596" s="46"/>
      <c r="Q596" s="40"/>
      <c r="R596" s="41"/>
      <c r="S596" s="22" t="str">
        <f t="shared" si="38"/>
        <v/>
      </c>
      <c r="T596" s="41"/>
      <c r="U596" s="44"/>
      <c r="V596" s="44"/>
      <c r="W596" s="46"/>
      <c r="X596" s="46"/>
      <c r="Y596" s="46"/>
      <c r="Z596" s="22"/>
      <c r="AA596" s="22"/>
      <c r="AB596" s="22"/>
      <c r="AC596" s="22"/>
      <c r="AD596" s="22"/>
      <c r="AE596" s="22"/>
      <c r="AF596" s="48" t="str">
        <f t="shared" si="39"/>
        <v/>
      </c>
      <c r="AG596" s="48" t="str">
        <f t="shared" si="40"/>
        <v/>
      </c>
      <c r="AH596" s="48" t="str">
        <f t="shared" si="41"/>
        <v/>
      </c>
      <c r="AI596" s="40" t="str">
        <f t="shared" si="42"/>
        <v/>
      </c>
      <c r="AJ596" s="40"/>
      <c r="AK596" s="40"/>
      <c r="AL596" s="22"/>
    </row>
    <row r="597" spans="1:38" ht="17.399999999999999">
      <c r="A597" s="22"/>
      <c r="B597" s="22"/>
      <c r="C597" s="56"/>
      <c r="D597" s="56"/>
      <c r="E597" s="22"/>
      <c r="F597" s="22"/>
      <c r="G597" s="22"/>
      <c r="H597" s="22"/>
      <c r="I597" s="49"/>
      <c r="J597" s="50"/>
      <c r="K597" s="22"/>
      <c r="L597" s="22"/>
      <c r="M597" s="22"/>
      <c r="N597" s="22"/>
      <c r="O597" s="22"/>
      <c r="P597" s="46"/>
      <c r="Q597" s="40"/>
      <c r="R597" s="41"/>
      <c r="S597" s="22" t="str">
        <f t="shared" si="38"/>
        <v/>
      </c>
      <c r="T597" s="41"/>
      <c r="U597" s="44"/>
      <c r="V597" s="44"/>
      <c r="W597" s="46"/>
      <c r="X597" s="46"/>
      <c r="Y597" s="46"/>
      <c r="Z597" s="22"/>
      <c r="AA597" s="22"/>
      <c r="AB597" s="22"/>
      <c r="AC597" s="22"/>
      <c r="AD597" s="22"/>
      <c r="AE597" s="22"/>
      <c r="AF597" s="48" t="str">
        <f t="shared" si="39"/>
        <v/>
      </c>
      <c r="AG597" s="48" t="str">
        <f t="shared" si="40"/>
        <v/>
      </c>
      <c r="AH597" s="48" t="str">
        <f t="shared" si="41"/>
        <v/>
      </c>
      <c r="AI597" s="40" t="str">
        <f t="shared" si="42"/>
        <v/>
      </c>
      <c r="AJ597" s="40"/>
      <c r="AK597" s="40"/>
      <c r="AL597" s="22"/>
    </row>
    <row r="598" spans="1:38" ht="17.399999999999999">
      <c r="A598" s="22"/>
      <c r="B598" s="22"/>
      <c r="C598" s="56"/>
      <c r="D598" s="56"/>
      <c r="E598" s="22"/>
      <c r="F598" s="22"/>
      <c r="G598" s="22"/>
      <c r="H598" s="22"/>
      <c r="I598" s="49"/>
      <c r="J598" s="50"/>
      <c r="K598" s="22"/>
      <c r="L598" s="22"/>
      <c r="M598" s="22"/>
      <c r="N598" s="22"/>
      <c r="O598" s="22"/>
      <c r="P598" s="46"/>
      <c r="Q598" s="40"/>
      <c r="R598" s="41"/>
      <c r="S598" s="22" t="str">
        <f t="shared" si="38"/>
        <v/>
      </c>
      <c r="T598" s="41"/>
      <c r="U598" s="44"/>
      <c r="V598" s="44"/>
      <c r="W598" s="46"/>
      <c r="X598" s="46"/>
      <c r="Y598" s="46"/>
      <c r="Z598" s="22"/>
      <c r="AA598" s="22"/>
      <c r="AB598" s="22"/>
      <c r="AC598" s="22"/>
      <c r="AD598" s="22"/>
      <c r="AE598" s="22"/>
      <c r="AF598" s="48" t="str">
        <f t="shared" si="39"/>
        <v/>
      </c>
      <c r="AG598" s="48" t="str">
        <f t="shared" si="40"/>
        <v/>
      </c>
      <c r="AH598" s="48" t="str">
        <f t="shared" si="41"/>
        <v/>
      </c>
      <c r="AI598" s="40" t="str">
        <f t="shared" si="42"/>
        <v/>
      </c>
      <c r="AJ598" s="40"/>
      <c r="AK598" s="40"/>
      <c r="AL598" s="22"/>
    </row>
    <row r="599" spans="1:38" ht="17.399999999999999">
      <c r="A599" s="22"/>
      <c r="B599" s="22"/>
      <c r="C599" s="56"/>
      <c r="D599" s="56"/>
      <c r="E599" s="22"/>
      <c r="F599" s="22"/>
      <c r="G599" s="22"/>
      <c r="H599" s="22"/>
      <c r="I599" s="49"/>
      <c r="J599" s="50"/>
      <c r="K599" s="22"/>
      <c r="L599" s="22"/>
      <c r="M599" s="22"/>
      <c r="N599" s="22"/>
      <c r="O599" s="22"/>
      <c r="P599" s="46"/>
      <c r="Q599" s="40"/>
      <c r="R599" s="41"/>
      <c r="S599" s="22" t="str">
        <f t="shared" ref="S599:S662" si="43">IF(A599="","",M599+O599)</f>
        <v/>
      </c>
      <c r="T599" s="41"/>
      <c r="U599" s="44"/>
      <c r="V599" s="44"/>
      <c r="W599" s="46"/>
      <c r="X599" s="46"/>
      <c r="Y599" s="46"/>
      <c r="Z599" s="22"/>
      <c r="AA599" s="22"/>
      <c r="AB599" s="22"/>
      <c r="AC599" s="22"/>
      <c r="AD599" s="22"/>
      <c r="AE599" s="22"/>
      <c r="AF599" s="48" t="str">
        <f t="shared" ref="AF599:AF662" si="44">IF(A599="","",S599-X599)</f>
        <v/>
      </c>
      <c r="AG599" s="48" t="str">
        <f t="shared" ref="AG599:AG662" si="45">IF(A599="","",X599-(AB599+AE599))</f>
        <v/>
      </c>
      <c r="AH599" s="48" t="str">
        <f t="shared" ref="AH599:AH662" si="46">IF(A599="","",AF599+AG599)</f>
        <v/>
      </c>
      <c r="AI599" s="40" t="str">
        <f t="shared" ref="AI599:AI662" si="47">IF(A599="","",R599+21)</f>
        <v/>
      </c>
      <c r="AJ599" s="40"/>
      <c r="AK599" s="40"/>
      <c r="AL599" s="22"/>
    </row>
    <row r="600" spans="1:38" ht="17.399999999999999">
      <c r="A600" s="22"/>
      <c r="B600" s="22"/>
      <c r="C600" s="56"/>
      <c r="D600" s="56"/>
      <c r="E600" s="22"/>
      <c r="F600" s="22"/>
      <c r="G600" s="22"/>
      <c r="H600" s="22"/>
      <c r="I600" s="49"/>
      <c r="J600" s="50"/>
      <c r="K600" s="22"/>
      <c r="L600" s="22"/>
      <c r="M600" s="22"/>
      <c r="N600" s="22"/>
      <c r="O600" s="22"/>
      <c r="P600" s="46"/>
      <c r="Q600" s="40"/>
      <c r="R600" s="41"/>
      <c r="S600" s="22" t="str">
        <f t="shared" si="43"/>
        <v/>
      </c>
      <c r="T600" s="41"/>
      <c r="U600" s="44"/>
      <c r="V600" s="44"/>
      <c r="W600" s="46"/>
      <c r="X600" s="46"/>
      <c r="Y600" s="46"/>
      <c r="Z600" s="22"/>
      <c r="AA600" s="22"/>
      <c r="AB600" s="22"/>
      <c r="AC600" s="22"/>
      <c r="AD600" s="22"/>
      <c r="AE600" s="22"/>
      <c r="AF600" s="48" t="str">
        <f t="shared" si="44"/>
        <v/>
      </c>
      <c r="AG600" s="48" t="str">
        <f t="shared" si="45"/>
        <v/>
      </c>
      <c r="AH600" s="48" t="str">
        <f t="shared" si="46"/>
        <v/>
      </c>
      <c r="AI600" s="40" t="str">
        <f t="shared" si="47"/>
        <v/>
      </c>
      <c r="AJ600" s="40"/>
      <c r="AK600" s="40"/>
      <c r="AL600" s="22"/>
    </row>
    <row r="601" spans="1:38" ht="17.399999999999999">
      <c r="A601" s="22"/>
      <c r="B601" s="22"/>
      <c r="C601" s="56"/>
      <c r="D601" s="56"/>
      <c r="E601" s="22"/>
      <c r="F601" s="22"/>
      <c r="G601" s="22"/>
      <c r="H601" s="22"/>
      <c r="I601" s="49"/>
      <c r="J601" s="50"/>
      <c r="K601" s="22"/>
      <c r="L601" s="22"/>
      <c r="M601" s="22"/>
      <c r="N601" s="22"/>
      <c r="O601" s="22"/>
      <c r="P601" s="46"/>
      <c r="Q601" s="40"/>
      <c r="R601" s="41"/>
      <c r="S601" s="22" t="str">
        <f t="shared" si="43"/>
        <v/>
      </c>
      <c r="T601" s="41"/>
      <c r="U601" s="44"/>
      <c r="V601" s="44"/>
      <c r="W601" s="46"/>
      <c r="X601" s="46"/>
      <c r="Y601" s="46"/>
      <c r="Z601" s="22"/>
      <c r="AA601" s="22"/>
      <c r="AB601" s="22"/>
      <c r="AC601" s="22"/>
      <c r="AD601" s="22"/>
      <c r="AE601" s="22"/>
      <c r="AF601" s="48" t="str">
        <f t="shared" si="44"/>
        <v/>
      </c>
      <c r="AG601" s="48" t="str">
        <f t="shared" si="45"/>
        <v/>
      </c>
      <c r="AH601" s="48" t="str">
        <f t="shared" si="46"/>
        <v/>
      </c>
      <c r="AI601" s="40" t="str">
        <f t="shared" si="47"/>
        <v/>
      </c>
      <c r="AJ601" s="40"/>
      <c r="AK601" s="40"/>
      <c r="AL601" s="22"/>
    </row>
    <row r="602" spans="1:38" ht="17.399999999999999">
      <c r="A602" s="22"/>
      <c r="B602" s="22"/>
      <c r="C602" s="56"/>
      <c r="D602" s="56"/>
      <c r="E602" s="22"/>
      <c r="F602" s="22"/>
      <c r="G602" s="22"/>
      <c r="H602" s="22"/>
      <c r="I602" s="49"/>
      <c r="J602" s="50"/>
      <c r="K602" s="22"/>
      <c r="L602" s="22"/>
      <c r="M602" s="22"/>
      <c r="N602" s="22"/>
      <c r="O602" s="22"/>
      <c r="P602" s="46"/>
      <c r="Q602" s="40"/>
      <c r="R602" s="41"/>
      <c r="S602" s="22" t="str">
        <f t="shared" si="43"/>
        <v/>
      </c>
      <c r="T602" s="41"/>
      <c r="U602" s="44"/>
      <c r="V602" s="44"/>
      <c r="W602" s="46"/>
      <c r="X602" s="46"/>
      <c r="Y602" s="46"/>
      <c r="Z602" s="22"/>
      <c r="AA602" s="22"/>
      <c r="AB602" s="22"/>
      <c r="AC602" s="22"/>
      <c r="AD602" s="22"/>
      <c r="AE602" s="22"/>
      <c r="AF602" s="48" t="str">
        <f t="shared" si="44"/>
        <v/>
      </c>
      <c r="AG602" s="48" t="str">
        <f t="shared" si="45"/>
        <v/>
      </c>
      <c r="AH602" s="48" t="str">
        <f t="shared" si="46"/>
        <v/>
      </c>
      <c r="AI602" s="40" t="str">
        <f t="shared" si="47"/>
        <v/>
      </c>
      <c r="AJ602" s="40"/>
      <c r="AK602" s="40"/>
      <c r="AL602" s="22"/>
    </row>
    <row r="603" spans="1:38" ht="17.399999999999999">
      <c r="A603" s="22"/>
      <c r="B603" s="22"/>
      <c r="C603" s="56"/>
      <c r="D603" s="56"/>
      <c r="E603" s="22"/>
      <c r="F603" s="22"/>
      <c r="G603" s="22"/>
      <c r="H603" s="22"/>
      <c r="I603" s="49"/>
      <c r="J603" s="50"/>
      <c r="K603" s="22"/>
      <c r="L603" s="22"/>
      <c r="M603" s="22"/>
      <c r="N603" s="22"/>
      <c r="O603" s="22"/>
      <c r="P603" s="46"/>
      <c r="Q603" s="40"/>
      <c r="R603" s="41"/>
      <c r="S603" s="22" t="str">
        <f t="shared" si="43"/>
        <v/>
      </c>
      <c r="T603" s="41"/>
      <c r="U603" s="44"/>
      <c r="V603" s="44"/>
      <c r="W603" s="46"/>
      <c r="X603" s="46"/>
      <c r="Y603" s="46"/>
      <c r="Z603" s="22"/>
      <c r="AA603" s="22"/>
      <c r="AB603" s="22"/>
      <c r="AC603" s="22"/>
      <c r="AD603" s="22"/>
      <c r="AE603" s="22"/>
      <c r="AF603" s="48" t="str">
        <f t="shared" si="44"/>
        <v/>
      </c>
      <c r="AG603" s="48" t="str">
        <f t="shared" si="45"/>
        <v/>
      </c>
      <c r="AH603" s="48" t="str">
        <f t="shared" si="46"/>
        <v/>
      </c>
      <c r="AI603" s="40" t="str">
        <f t="shared" si="47"/>
        <v/>
      </c>
      <c r="AJ603" s="40"/>
      <c r="AK603" s="40"/>
      <c r="AL603" s="22"/>
    </row>
    <row r="604" spans="1:38" ht="17.399999999999999">
      <c r="A604" s="22"/>
      <c r="B604" s="22"/>
      <c r="C604" s="56"/>
      <c r="D604" s="56"/>
      <c r="E604" s="22"/>
      <c r="F604" s="22"/>
      <c r="G604" s="22"/>
      <c r="H604" s="22"/>
      <c r="I604" s="49"/>
      <c r="J604" s="50"/>
      <c r="K604" s="22"/>
      <c r="L604" s="22"/>
      <c r="M604" s="22"/>
      <c r="N604" s="22"/>
      <c r="O604" s="22"/>
      <c r="P604" s="46"/>
      <c r="Q604" s="40"/>
      <c r="R604" s="41"/>
      <c r="S604" s="22" t="str">
        <f t="shared" si="43"/>
        <v/>
      </c>
      <c r="T604" s="41"/>
      <c r="U604" s="44"/>
      <c r="V604" s="44"/>
      <c r="W604" s="46"/>
      <c r="X604" s="46"/>
      <c r="Y604" s="46"/>
      <c r="Z604" s="22"/>
      <c r="AA604" s="22"/>
      <c r="AB604" s="22"/>
      <c r="AC604" s="22"/>
      <c r="AD604" s="22"/>
      <c r="AE604" s="22"/>
      <c r="AF604" s="48" t="str">
        <f t="shared" si="44"/>
        <v/>
      </c>
      <c r="AG604" s="48" t="str">
        <f t="shared" si="45"/>
        <v/>
      </c>
      <c r="AH604" s="48" t="str">
        <f t="shared" si="46"/>
        <v/>
      </c>
      <c r="AI604" s="40" t="str">
        <f t="shared" si="47"/>
        <v/>
      </c>
      <c r="AJ604" s="40"/>
      <c r="AK604" s="40"/>
      <c r="AL604" s="22"/>
    </row>
    <row r="605" spans="1:38" ht="17.399999999999999">
      <c r="A605" s="22"/>
      <c r="B605" s="22"/>
      <c r="C605" s="56"/>
      <c r="D605" s="56"/>
      <c r="E605" s="22"/>
      <c r="F605" s="22"/>
      <c r="G605" s="22"/>
      <c r="H605" s="22"/>
      <c r="I605" s="49"/>
      <c r="J605" s="50"/>
      <c r="K605" s="22"/>
      <c r="L605" s="22"/>
      <c r="M605" s="22"/>
      <c r="N605" s="22"/>
      <c r="O605" s="22"/>
      <c r="P605" s="46"/>
      <c r="Q605" s="40"/>
      <c r="R605" s="41"/>
      <c r="S605" s="22" t="str">
        <f t="shared" si="43"/>
        <v/>
      </c>
      <c r="T605" s="41"/>
      <c r="U605" s="44"/>
      <c r="V605" s="44"/>
      <c r="W605" s="46"/>
      <c r="X605" s="46"/>
      <c r="Y605" s="46"/>
      <c r="Z605" s="22"/>
      <c r="AA605" s="22"/>
      <c r="AB605" s="22"/>
      <c r="AC605" s="22"/>
      <c r="AD605" s="22"/>
      <c r="AE605" s="22"/>
      <c r="AF605" s="48" t="str">
        <f t="shared" si="44"/>
        <v/>
      </c>
      <c r="AG605" s="48" t="str">
        <f t="shared" si="45"/>
        <v/>
      </c>
      <c r="AH605" s="48" t="str">
        <f t="shared" si="46"/>
        <v/>
      </c>
      <c r="AI605" s="40" t="str">
        <f t="shared" si="47"/>
        <v/>
      </c>
      <c r="AJ605" s="40"/>
      <c r="AK605" s="40"/>
      <c r="AL605" s="22"/>
    </row>
    <row r="606" spans="1:38" ht="17.399999999999999">
      <c r="A606" s="22"/>
      <c r="B606" s="22"/>
      <c r="C606" s="56"/>
      <c r="D606" s="56"/>
      <c r="E606" s="22"/>
      <c r="F606" s="22"/>
      <c r="G606" s="22"/>
      <c r="H606" s="22"/>
      <c r="I606" s="49"/>
      <c r="J606" s="50"/>
      <c r="K606" s="22"/>
      <c r="L606" s="22"/>
      <c r="M606" s="22"/>
      <c r="N606" s="22"/>
      <c r="O606" s="22"/>
      <c r="P606" s="46"/>
      <c r="Q606" s="40"/>
      <c r="R606" s="41"/>
      <c r="S606" s="22" t="str">
        <f t="shared" si="43"/>
        <v/>
      </c>
      <c r="T606" s="41"/>
      <c r="U606" s="44"/>
      <c r="V606" s="44"/>
      <c r="W606" s="46"/>
      <c r="X606" s="46"/>
      <c r="Y606" s="46"/>
      <c r="Z606" s="22"/>
      <c r="AA606" s="22"/>
      <c r="AB606" s="22"/>
      <c r="AC606" s="22"/>
      <c r="AD606" s="22"/>
      <c r="AE606" s="22"/>
      <c r="AF606" s="48" t="str">
        <f t="shared" si="44"/>
        <v/>
      </c>
      <c r="AG606" s="48" t="str">
        <f t="shared" si="45"/>
        <v/>
      </c>
      <c r="AH606" s="48" t="str">
        <f t="shared" si="46"/>
        <v/>
      </c>
      <c r="AI606" s="40" t="str">
        <f t="shared" si="47"/>
        <v/>
      </c>
      <c r="AJ606" s="40"/>
      <c r="AK606" s="40"/>
      <c r="AL606" s="22"/>
    </row>
    <row r="607" spans="1:38" ht="17.399999999999999">
      <c r="A607" s="22"/>
      <c r="B607" s="22"/>
      <c r="C607" s="56"/>
      <c r="D607" s="56"/>
      <c r="E607" s="22"/>
      <c r="F607" s="22"/>
      <c r="G607" s="22"/>
      <c r="H607" s="22"/>
      <c r="I607" s="49"/>
      <c r="J607" s="50"/>
      <c r="K607" s="22"/>
      <c r="L607" s="22"/>
      <c r="M607" s="22"/>
      <c r="N607" s="22"/>
      <c r="O607" s="22"/>
      <c r="P607" s="46"/>
      <c r="Q607" s="40"/>
      <c r="R607" s="41"/>
      <c r="S607" s="22" t="str">
        <f t="shared" si="43"/>
        <v/>
      </c>
      <c r="T607" s="41"/>
      <c r="U607" s="44"/>
      <c r="V607" s="44"/>
      <c r="W607" s="46"/>
      <c r="X607" s="46"/>
      <c r="Y607" s="46"/>
      <c r="Z607" s="22"/>
      <c r="AA607" s="22"/>
      <c r="AB607" s="22"/>
      <c r="AC607" s="22"/>
      <c r="AD607" s="22"/>
      <c r="AE607" s="22"/>
      <c r="AF607" s="48" t="str">
        <f t="shared" si="44"/>
        <v/>
      </c>
      <c r="AG607" s="48" t="str">
        <f t="shared" si="45"/>
        <v/>
      </c>
      <c r="AH607" s="48" t="str">
        <f t="shared" si="46"/>
        <v/>
      </c>
      <c r="AI607" s="40" t="str">
        <f t="shared" si="47"/>
        <v/>
      </c>
      <c r="AJ607" s="40"/>
      <c r="AK607" s="40"/>
      <c r="AL607" s="22"/>
    </row>
    <row r="608" spans="1:38" ht="17.399999999999999">
      <c r="A608" s="22"/>
      <c r="B608" s="22"/>
      <c r="C608" s="56"/>
      <c r="D608" s="56"/>
      <c r="E608" s="22"/>
      <c r="F608" s="22"/>
      <c r="G608" s="22"/>
      <c r="H608" s="22"/>
      <c r="I608" s="49"/>
      <c r="J608" s="50"/>
      <c r="K608" s="22"/>
      <c r="L608" s="22"/>
      <c r="M608" s="22"/>
      <c r="N608" s="22"/>
      <c r="O608" s="22"/>
      <c r="P608" s="46"/>
      <c r="Q608" s="40"/>
      <c r="R608" s="41"/>
      <c r="S608" s="22" t="str">
        <f t="shared" si="43"/>
        <v/>
      </c>
      <c r="T608" s="41"/>
      <c r="U608" s="44"/>
      <c r="V608" s="44"/>
      <c r="W608" s="46"/>
      <c r="X608" s="46"/>
      <c r="Y608" s="46"/>
      <c r="Z608" s="22"/>
      <c r="AA608" s="22"/>
      <c r="AB608" s="22"/>
      <c r="AC608" s="22"/>
      <c r="AD608" s="22"/>
      <c r="AE608" s="22"/>
      <c r="AF608" s="48" t="str">
        <f t="shared" si="44"/>
        <v/>
      </c>
      <c r="AG608" s="48" t="str">
        <f t="shared" si="45"/>
        <v/>
      </c>
      <c r="AH608" s="48" t="str">
        <f t="shared" si="46"/>
        <v/>
      </c>
      <c r="AI608" s="40" t="str">
        <f t="shared" si="47"/>
        <v/>
      </c>
      <c r="AJ608" s="40"/>
      <c r="AK608" s="40"/>
      <c r="AL608" s="22"/>
    </row>
    <row r="609" spans="1:38" ht="17.399999999999999">
      <c r="A609" s="22"/>
      <c r="B609" s="22"/>
      <c r="C609" s="56"/>
      <c r="D609" s="56"/>
      <c r="E609" s="22"/>
      <c r="F609" s="22"/>
      <c r="G609" s="22"/>
      <c r="H609" s="22"/>
      <c r="I609" s="49"/>
      <c r="J609" s="50"/>
      <c r="K609" s="22"/>
      <c r="L609" s="22"/>
      <c r="M609" s="22"/>
      <c r="N609" s="22"/>
      <c r="O609" s="22"/>
      <c r="P609" s="46"/>
      <c r="Q609" s="40"/>
      <c r="R609" s="41"/>
      <c r="S609" s="22" t="str">
        <f t="shared" si="43"/>
        <v/>
      </c>
      <c r="T609" s="41"/>
      <c r="U609" s="44"/>
      <c r="V609" s="44"/>
      <c r="W609" s="46"/>
      <c r="X609" s="46"/>
      <c r="Y609" s="46"/>
      <c r="Z609" s="22"/>
      <c r="AA609" s="22"/>
      <c r="AB609" s="22"/>
      <c r="AC609" s="22"/>
      <c r="AD609" s="22"/>
      <c r="AE609" s="22"/>
      <c r="AF609" s="48" t="str">
        <f t="shared" si="44"/>
        <v/>
      </c>
      <c r="AG609" s="48" t="str">
        <f t="shared" si="45"/>
        <v/>
      </c>
      <c r="AH609" s="48" t="str">
        <f t="shared" si="46"/>
        <v/>
      </c>
      <c r="AI609" s="40" t="str">
        <f t="shared" si="47"/>
        <v/>
      </c>
      <c r="AJ609" s="40"/>
      <c r="AK609" s="40"/>
      <c r="AL609" s="22"/>
    </row>
    <row r="610" spans="1:38" ht="17.399999999999999">
      <c r="A610" s="22"/>
      <c r="B610" s="22"/>
      <c r="C610" s="56"/>
      <c r="D610" s="56"/>
      <c r="E610" s="22"/>
      <c r="F610" s="22"/>
      <c r="G610" s="22"/>
      <c r="H610" s="22"/>
      <c r="I610" s="49"/>
      <c r="J610" s="50"/>
      <c r="K610" s="22"/>
      <c r="L610" s="22"/>
      <c r="M610" s="22"/>
      <c r="N610" s="22"/>
      <c r="O610" s="22"/>
      <c r="P610" s="46"/>
      <c r="Q610" s="40"/>
      <c r="R610" s="41"/>
      <c r="S610" s="22" t="str">
        <f t="shared" si="43"/>
        <v/>
      </c>
      <c r="T610" s="41"/>
      <c r="U610" s="44"/>
      <c r="V610" s="44"/>
      <c r="W610" s="46"/>
      <c r="X610" s="46"/>
      <c r="Y610" s="46"/>
      <c r="Z610" s="22"/>
      <c r="AA610" s="22"/>
      <c r="AB610" s="22"/>
      <c r="AC610" s="22"/>
      <c r="AD610" s="22"/>
      <c r="AE610" s="22"/>
      <c r="AF610" s="48" t="str">
        <f t="shared" si="44"/>
        <v/>
      </c>
      <c r="AG610" s="48" t="str">
        <f t="shared" si="45"/>
        <v/>
      </c>
      <c r="AH610" s="48" t="str">
        <f t="shared" si="46"/>
        <v/>
      </c>
      <c r="AI610" s="40" t="str">
        <f t="shared" si="47"/>
        <v/>
      </c>
      <c r="AJ610" s="40"/>
      <c r="AK610" s="40"/>
      <c r="AL610" s="22"/>
    </row>
    <row r="611" spans="1:38" ht="17.399999999999999">
      <c r="A611" s="22"/>
      <c r="B611" s="22"/>
      <c r="C611" s="56"/>
      <c r="D611" s="56"/>
      <c r="E611" s="22"/>
      <c r="F611" s="22"/>
      <c r="G611" s="22"/>
      <c r="H611" s="22"/>
      <c r="I611" s="49"/>
      <c r="J611" s="50"/>
      <c r="K611" s="22"/>
      <c r="L611" s="22"/>
      <c r="M611" s="22"/>
      <c r="N611" s="22"/>
      <c r="O611" s="22"/>
      <c r="P611" s="46"/>
      <c r="Q611" s="40"/>
      <c r="R611" s="41"/>
      <c r="S611" s="22" t="str">
        <f t="shared" si="43"/>
        <v/>
      </c>
      <c r="T611" s="41"/>
      <c r="U611" s="44"/>
      <c r="V611" s="44"/>
      <c r="W611" s="46"/>
      <c r="X611" s="46"/>
      <c r="Y611" s="46"/>
      <c r="Z611" s="22"/>
      <c r="AA611" s="22"/>
      <c r="AB611" s="22"/>
      <c r="AC611" s="22"/>
      <c r="AD611" s="22"/>
      <c r="AE611" s="22"/>
      <c r="AF611" s="48" t="str">
        <f t="shared" si="44"/>
        <v/>
      </c>
      <c r="AG611" s="48" t="str">
        <f t="shared" si="45"/>
        <v/>
      </c>
      <c r="AH611" s="48" t="str">
        <f t="shared" si="46"/>
        <v/>
      </c>
      <c r="AI611" s="40" t="str">
        <f t="shared" si="47"/>
        <v/>
      </c>
      <c r="AJ611" s="40"/>
      <c r="AK611" s="40"/>
      <c r="AL611" s="22"/>
    </row>
    <row r="612" spans="1:38" ht="17.399999999999999">
      <c r="A612" s="22"/>
      <c r="B612" s="22"/>
      <c r="C612" s="56"/>
      <c r="D612" s="56"/>
      <c r="E612" s="22"/>
      <c r="F612" s="22"/>
      <c r="G612" s="22"/>
      <c r="H612" s="22"/>
      <c r="I612" s="49"/>
      <c r="J612" s="50"/>
      <c r="K612" s="22"/>
      <c r="L612" s="22"/>
      <c r="M612" s="22"/>
      <c r="N612" s="22"/>
      <c r="O612" s="22"/>
      <c r="P612" s="46"/>
      <c r="Q612" s="40"/>
      <c r="R612" s="41"/>
      <c r="S612" s="22" t="str">
        <f t="shared" si="43"/>
        <v/>
      </c>
      <c r="T612" s="41"/>
      <c r="U612" s="44"/>
      <c r="V612" s="44"/>
      <c r="W612" s="46"/>
      <c r="X612" s="46"/>
      <c r="Y612" s="46"/>
      <c r="Z612" s="22"/>
      <c r="AA612" s="22"/>
      <c r="AB612" s="22"/>
      <c r="AC612" s="22"/>
      <c r="AD612" s="22"/>
      <c r="AE612" s="22"/>
      <c r="AF612" s="48" t="str">
        <f t="shared" si="44"/>
        <v/>
      </c>
      <c r="AG612" s="48" t="str">
        <f t="shared" si="45"/>
        <v/>
      </c>
      <c r="AH612" s="48" t="str">
        <f t="shared" si="46"/>
        <v/>
      </c>
      <c r="AI612" s="40" t="str">
        <f t="shared" si="47"/>
        <v/>
      </c>
      <c r="AJ612" s="40"/>
      <c r="AK612" s="40"/>
      <c r="AL612" s="22"/>
    </row>
    <row r="613" spans="1:38" ht="17.399999999999999">
      <c r="A613" s="22"/>
      <c r="B613" s="22"/>
      <c r="C613" s="56"/>
      <c r="D613" s="56"/>
      <c r="E613" s="22"/>
      <c r="F613" s="22"/>
      <c r="G613" s="22"/>
      <c r="H613" s="22"/>
      <c r="I613" s="49"/>
      <c r="J613" s="50"/>
      <c r="K613" s="22"/>
      <c r="L613" s="22"/>
      <c r="M613" s="22"/>
      <c r="N613" s="22"/>
      <c r="O613" s="22"/>
      <c r="P613" s="46"/>
      <c r="Q613" s="40"/>
      <c r="R613" s="41"/>
      <c r="S613" s="22" t="str">
        <f t="shared" si="43"/>
        <v/>
      </c>
      <c r="T613" s="41"/>
      <c r="U613" s="44"/>
      <c r="V613" s="44"/>
      <c r="W613" s="46"/>
      <c r="X613" s="46"/>
      <c r="Y613" s="46"/>
      <c r="Z613" s="22"/>
      <c r="AA613" s="22"/>
      <c r="AB613" s="22"/>
      <c r="AC613" s="22"/>
      <c r="AD613" s="22"/>
      <c r="AE613" s="22"/>
      <c r="AF613" s="48" t="str">
        <f t="shared" si="44"/>
        <v/>
      </c>
      <c r="AG613" s="48" t="str">
        <f t="shared" si="45"/>
        <v/>
      </c>
      <c r="AH613" s="48" t="str">
        <f t="shared" si="46"/>
        <v/>
      </c>
      <c r="AI613" s="40" t="str">
        <f t="shared" si="47"/>
        <v/>
      </c>
      <c r="AJ613" s="40"/>
      <c r="AK613" s="40"/>
      <c r="AL613" s="22"/>
    </row>
    <row r="614" spans="1:38" ht="17.399999999999999">
      <c r="A614" s="22"/>
      <c r="B614" s="22"/>
      <c r="C614" s="56"/>
      <c r="D614" s="56"/>
      <c r="E614" s="22"/>
      <c r="F614" s="22"/>
      <c r="G614" s="22"/>
      <c r="H614" s="22"/>
      <c r="I614" s="49"/>
      <c r="J614" s="50"/>
      <c r="K614" s="22"/>
      <c r="L614" s="22"/>
      <c r="M614" s="22"/>
      <c r="N614" s="22"/>
      <c r="O614" s="22"/>
      <c r="P614" s="46"/>
      <c r="Q614" s="40"/>
      <c r="R614" s="41"/>
      <c r="S614" s="22" t="str">
        <f t="shared" si="43"/>
        <v/>
      </c>
      <c r="T614" s="41"/>
      <c r="U614" s="44"/>
      <c r="V614" s="44"/>
      <c r="W614" s="46"/>
      <c r="X614" s="46"/>
      <c r="Y614" s="46"/>
      <c r="Z614" s="22"/>
      <c r="AA614" s="22"/>
      <c r="AB614" s="22"/>
      <c r="AC614" s="22"/>
      <c r="AD614" s="22"/>
      <c r="AE614" s="22"/>
      <c r="AF614" s="48" t="str">
        <f t="shared" si="44"/>
        <v/>
      </c>
      <c r="AG614" s="48" t="str">
        <f t="shared" si="45"/>
        <v/>
      </c>
      <c r="AH614" s="48" t="str">
        <f t="shared" si="46"/>
        <v/>
      </c>
      <c r="AI614" s="40" t="str">
        <f t="shared" si="47"/>
        <v/>
      </c>
      <c r="AJ614" s="40"/>
      <c r="AK614" s="40"/>
      <c r="AL614" s="22"/>
    </row>
    <row r="615" spans="1:38" ht="17.399999999999999">
      <c r="A615" s="22"/>
      <c r="B615" s="22"/>
      <c r="C615" s="56"/>
      <c r="D615" s="56"/>
      <c r="E615" s="22"/>
      <c r="F615" s="22"/>
      <c r="G615" s="22"/>
      <c r="H615" s="22"/>
      <c r="I615" s="49"/>
      <c r="J615" s="50"/>
      <c r="K615" s="22"/>
      <c r="L615" s="22"/>
      <c r="M615" s="22"/>
      <c r="N615" s="22"/>
      <c r="O615" s="22"/>
      <c r="P615" s="46"/>
      <c r="Q615" s="40"/>
      <c r="R615" s="41"/>
      <c r="S615" s="22" t="str">
        <f t="shared" si="43"/>
        <v/>
      </c>
      <c r="T615" s="41"/>
      <c r="U615" s="44"/>
      <c r="V615" s="44"/>
      <c r="W615" s="46"/>
      <c r="X615" s="46"/>
      <c r="Y615" s="46"/>
      <c r="Z615" s="22"/>
      <c r="AA615" s="22"/>
      <c r="AB615" s="22"/>
      <c r="AC615" s="22"/>
      <c r="AD615" s="22"/>
      <c r="AE615" s="22"/>
      <c r="AF615" s="48" t="str">
        <f t="shared" si="44"/>
        <v/>
      </c>
      <c r="AG615" s="48" t="str">
        <f t="shared" si="45"/>
        <v/>
      </c>
      <c r="AH615" s="48" t="str">
        <f t="shared" si="46"/>
        <v/>
      </c>
      <c r="AI615" s="40" t="str">
        <f t="shared" si="47"/>
        <v/>
      </c>
      <c r="AJ615" s="40"/>
      <c r="AK615" s="40"/>
      <c r="AL615" s="22"/>
    </row>
    <row r="616" spans="1:38" ht="17.399999999999999">
      <c r="A616" s="22"/>
      <c r="B616" s="22"/>
      <c r="C616" s="56"/>
      <c r="D616" s="56"/>
      <c r="E616" s="22"/>
      <c r="F616" s="22"/>
      <c r="G616" s="22"/>
      <c r="H616" s="22"/>
      <c r="I616" s="49"/>
      <c r="J616" s="50"/>
      <c r="K616" s="22"/>
      <c r="L616" s="22"/>
      <c r="M616" s="22"/>
      <c r="N616" s="22"/>
      <c r="O616" s="22"/>
      <c r="P616" s="46"/>
      <c r="Q616" s="40"/>
      <c r="R616" s="41"/>
      <c r="S616" s="22" t="str">
        <f t="shared" si="43"/>
        <v/>
      </c>
      <c r="T616" s="41"/>
      <c r="U616" s="44"/>
      <c r="V616" s="44"/>
      <c r="W616" s="46"/>
      <c r="X616" s="46"/>
      <c r="Y616" s="46"/>
      <c r="Z616" s="22"/>
      <c r="AA616" s="22"/>
      <c r="AB616" s="22"/>
      <c r="AC616" s="22"/>
      <c r="AD616" s="22"/>
      <c r="AE616" s="22"/>
      <c r="AF616" s="48" t="str">
        <f t="shared" si="44"/>
        <v/>
      </c>
      <c r="AG616" s="48" t="str">
        <f t="shared" si="45"/>
        <v/>
      </c>
      <c r="AH616" s="48" t="str">
        <f t="shared" si="46"/>
        <v/>
      </c>
      <c r="AI616" s="40" t="str">
        <f t="shared" si="47"/>
        <v/>
      </c>
      <c r="AJ616" s="40"/>
      <c r="AK616" s="40"/>
      <c r="AL616" s="22"/>
    </row>
    <row r="617" spans="1:38" ht="17.399999999999999">
      <c r="A617" s="22"/>
      <c r="B617" s="22"/>
      <c r="C617" s="56"/>
      <c r="D617" s="56"/>
      <c r="E617" s="22"/>
      <c r="F617" s="22"/>
      <c r="G617" s="22"/>
      <c r="H617" s="22"/>
      <c r="I617" s="49"/>
      <c r="J617" s="50"/>
      <c r="K617" s="22"/>
      <c r="L617" s="22"/>
      <c r="M617" s="22"/>
      <c r="N617" s="22"/>
      <c r="O617" s="22"/>
      <c r="P617" s="46"/>
      <c r="Q617" s="40"/>
      <c r="R617" s="41"/>
      <c r="S617" s="22" t="str">
        <f t="shared" si="43"/>
        <v/>
      </c>
      <c r="T617" s="41"/>
      <c r="U617" s="44"/>
      <c r="V617" s="44"/>
      <c r="W617" s="46"/>
      <c r="X617" s="46"/>
      <c r="Y617" s="46"/>
      <c r="Z617" s="22"/>
      <c r="AA617" s="22"/>
      <c r="AB617" s="22"/>
      <c r="AC617" s="22"/>
      <c r="AD617" s="22"/>
      <c r="AE617" s="22"/>
      <c r="AF617" s="48" t="str">
        <f t="shared" si="44"/>
        <v/>
      </c>
      <c r="AG617" s="48" t="str">
        <f t="shared" si="45"/>
        <v/>
      </c>
      <c r="AH617" s="48" t="str">
        <f t="shared" si="46"/>
        <v/>
      </c>
      <c r="AI617" s="40" t="str">
        <f t="shared" si="47"/>
        <v/>
      </c>
      <c r="AJ617" s="40"/>
      <c r="AK617" s="40"/>
      <c r="AL617" s="22"/>
    </row>
    <row r="618" spans="1:38" ht="17.399999999999999">
      <c r="A618" s="22"/>
      <c r="B618" s="22"/>
      <c r="C618" s="56"/>
      <c r="D618" s="56"/>
      <c r="E618" s="22"/>
      <c r="F618" s="22"/>
      <c r="G618" s="22"/>
      <c r="H618" s="22"/>
      <c r="I618" s="49"/>
      <c r="J618" s="50"/>
      <c r="K618" s="22"/>
      <c r="L618" s="22"/>
      <c r="M618" s="22"/>
      <c r="N618" s="22"/>
      <c r="O618" s="22"/>
      <c r="P618" s="46"/>
      <c r="Q618" s="40"/>
      <c r="R618" s="41"/>
      <c r="S618" s="22" t="str">
        <f t="shared" si="43"/>
        <v/>
      </c>
      <c r="T618" s="41"/>
      <c r="U618" s="44"/>
      <c r="V618" s="44"/>
      <c r="W618" s="46"/>
      <c r="X618" s="46"/>
      <c r="Y618" s="46"/>
      <c r="Z618" s="22"/>
      <c r="AA618" s="22"/>
      <c r="AB618" s="22"/>
      <c r="AC618" s="22"/>
      <c r="AD618" s="22"/>
      <c r="AE618" s="22"/>
      <c r="AF618" s="48" t="str">
        <f t="shared" si="44"/>
        <v/>
      </c>
      <c r="AG618" s="48" t="str">
        <f t="shared" si="45"/>
        <v/>
      </c>
      <c r="AH618" s="48" t="str">
        <f t="shared" si="46"/>
        <v/>
      </c>
      <c r="AI618" s="40" t="str">
        <f t="shared" si="47"/>
        <v/>
      </c>
      <c r="AJ618" s="40"/>
      <c r="AK618" s="40"/>
      <c r="AL618" s="22"/>
    </row>
    <row r="619" spans="1:38" ht="17.399999999999999">
      <c r="A619" s="22"/>
      <c r="B619" s="22"/>
      <c r="C619" s="56"/>
      <c r="D619" s="56"/>
      <c r="E619" s="22"/>
      <c r="F619" s="22"/>
      <c r="G619" s="22"/>
      <c r="H619" s="22"/>
      <c r="I619" s="49"/>
      <c r="J619" s="50"/>
      <c r="K619" s="22"/>
      <c r="L619" s="22"/>
      <c r="M619" s="22"/>
      <c r="N619" s="22"/>
      <c r="O619" s="22"/>
      <c r="P619" s="46"/>
      <c r="Q619" s="40"/>
      <c r="R619" s="41"/>
      <c r="S619" s="22" t="str">
        <f t="shared" si="43"/>
        <v/>
      </c>
      <c r="T619" s="41"/>
      <c r="U619" s="44"/>
      <c r="V619" s="44"/>
      <c r="W619" s="46"/>
      <c r="X619" s="46"/>
      <c r="Y619" s="46"/>
      <c r="Z619" s="22"/>
      <c r="AA619" s="22"/>
      <c r="AB619" s="22"/>
      <c r="AC619" s="22"/>
      <c r="AD619" s="22"/>
      <c r="AE619" s="22"/>
      <c r="AF619" s="48" t="str">
        <f t="shared" si="44"/>
        <v/>
      </c>
      <c r="AG619" s="48" t="str">
        <f t="shared" si="45"/>
        <v/>
      </c>
      <c r="AH619" s="48" t="str">
        <f t="shared" si="46"/>
        <v/>
      </c>
      <c r="AI619" s="40" t="str">
        <f t="shared" si="47"/>
        <v/>
      </c>
      <c r="AJ619" s="40"/>
      <c r="AK619" s="40"/>
      <c r="AL619" s="22"/>
    </row>
    <row r="620" spans="1:38" ht="17.399999999999999">
      <c r="A620" s="22"/>
      <c r="B620" s="22"/>
      <c r="C620" s="56"/>
      <c r="D620" s="56"/>
      <c r="E620" s="22"/>
      <c r="F620" s="22"/>
      <c r="G620" s="22"/>
      <c r="H620" s="22"/>
      <c r="I620" s="49"/>
      <c r="J620" s="50"/>
      <c r="K620" s="22"/>
      <c r="L620" s="22"/>
      <c r="M620" s="22"/>
      <c r="N620" s="22"/>
      <c r="O620" s="22"/>
      <c r="P620" s="46"/>
      <c r="Q620" s="40"/>
      <c r="R620" s="41"/>
      <c r="S620" s="22" t="str">
        <f t="shared" si="43"/>
        <v/>
      </c>
      <c r="T620" s="41"/>
      <c r="U620" s="44"/>
      <c r="V620" s="44"/>
      <c r="W620" s="46"/>
      <c r="X620" s="46"/>
      <c r="Y620" s="46"/>
      <c r="Z620" s="22"/>
      <c r="AA620" s="22"/>
      <c r="AB620" s="22"/>
      <c r="AC620" s="22"/>
      <c r="AD620" s="22"/>
      <c r="AE620" s="22"/>
      <c r="AF620" s="48" t="str">
        <f t="shared" si="44"/>
        <v/>
      </c>
      <c r="AG620" s="48" t="str">
        <f t="shared" si="45"/>
        <v/>
      </c>
      <c r="AH620" s="48" t="str">
        <f t="shared" si="46"/>
        <v/>
      </c>
      <c r="AI620" s="40" t="str">
        <f t="shared" si="47"/>
        <v/>
      </c>
      <c r="AJ620" s="40"/>
      <c r="AK620" s="40"/>
      <c r="AL620" s="22"/>
    </row>
    <row r="621" spans="1:38" ht="17.399999999999999">
      <c r="A621" s="22"/>
      <c r="B621" s="22"/>
      <c r="C621" s="56"/>
      <c r="D621" s="56"/>
      <c r="E621" s="22"/>
      <c r="F621" s="22"/>
      <c r="G621" s="22"/>
      <c r="H621" s="22"/>
      <c r="I621" s="49"/>
      <c r="J621" s="50"/>
      <c r="K621" s="22"/>
      <c r="L621" s="22"/>
      <c r="M621" s="22"/>
      <c r="N621" s="22"/>
      <c r="O621" s="22"/>
      <c r="P621" s="46"/>
      <c r="Q621" s="40"/>
      <c r="R621" s="41"/>
      <c r="S621" s="22" t="str">
        <f t="shared" si="43"/>
        <v/>
      </c>
      <c r="T621" s="41"/>
      <c r="U621" s="44"/>
      <c r="V621" s="44"/>
      <c r="W621" s="46"/>
      <c r="X621" s="46"/>
      <c r="Y621" s="46"/>
      <c r="Z621" s="22"/>
      <c r="AA621" s="22"/>
      <c r="AB621" s="22"/>
      <c r="AC621" s="22"/>
      <c r="AD621" s="22"/>
      <c r="AE621" s="22"/>
      <c r="AF621" s="48" t="str">
        <f t="shared" si="44"/>
        <v/>
      </c>
      <c r="AG621" s="48" t="str">
        <f t="shared" si="45"/>
        <v/>
      </c>
      <c r="AH621" s="48" t="str">
        <f t="shared" si="46"/>
        <v/>
      </c>
      <c r="AI621" s="40" t="str">
        <f t="shared" si="47"/>
        <v/>
      </c>
      <c r="AJ621" s="40"/>
      <c r="AK621" s="40"/>
      <c r="AL621" s="22"/>
    </row>
    <row r="622" spans="1:38" ht="17.399999999999999">
      <c r="A622" s="22"/>
      <c r="B622" s="22"/>
      <c r="C622" s="56"/>
      <c r="D622" s="56"/>
      <c r="E622" s="22"/>
      <c r="F622" s="22"/>
      <c r="G622" s="22"/>
      <c r="H622" s="22"/>
      <c r="I622" s="49"/>
      <c r="J622" s="50"/>
      <c r="K622" s="22"/>
      <c r="L622" s="22"/>
      <c r="M622" s="22"/>
      <c r="N622" s="22"/>
      <c r="O622" s="22"/>
      <c r="P622" s="46"/>
      <c r="Q622" s="40"/>
      <c r="R622" s="41"/>
      <c r="S622" s="22" t="str">
        <f t="shared" si="43"/>
        <v/>
      </c>
      <c r="T622" s="41"/>
      <c r="U622" s="44"/>
      <c r="V622" s="44"/>
      <c r="W622" s="46"/>
      <c r="X622" s="46"/>
      <c r="Y622" s="46"/>
      <c r="Z622" s="22"/>
      <c r="AA622" s="22"/>
      <c r="AB622" s="22"/>
      <c r="AC622" s="22"/>
      <c r="AD622" s="22"/>
      <c r="AE622" s="22"/>
      <c r="AF622" s="48" t="str">
        <f t="shared" si="44"/>
        <v/>
      </c>
      <c r="AG622" s="48" t="str">
        <f t="shared" si="45"/>
        <v/>
      </c>
      <c r="AH622" s="48" t="str">
        <f t="shared" si="46"/>
        <v/>
      </c>
      <c r="AI622" s="40" t="str">
        <f t="shared" si="47"/>
        <v/>
      </c>
      <c r="AJ622" s="40"/>
      <c r="AK622" s="40"/>
      <c r="AL622" s="22"/>
    </row>
    <row r="623" spans="1:38" ht="17.399999999999999">
      <c r="A623" s="22"/>
      <c r="B623" s="22"/>
      <c r="C623" s="56"/>
      <c r="D623" s="56"/>
      <c r="E623" s="22"/>
      <c r="F623" s="22"/>
      <c r="G623" s="22"/>
      <c r="H623" s="22"/>
      <c r="I623" s="49"/>
      <c r="J623" s="50"/>
      <c r="K623" s="22"/>
      <c r="L623" s="22"/>
      <c r="M623" s="22"/>
      <c r="N623" s="22"/>
      <c r="O623" s="22"/>
      <c r="P623" s="46"/>
      <c r="Q623" s="40"/>
      <c r="R623" s="41"/>
      <c r="S623" s="22" t="str">
        <f t="shared" si="43"/>
        <v/>
      </c>
      <c r="T623" s="41"/>
      <c r="U623" s="44"/>
      <c r="V623" s="44"/>
      <c r="W623" s="46"/>
      <c r="X623" s="46"/>
      <c r="Y623" s="46"/>
      <c r="Z623" s="22"/>
      <c r="AA623" s="22"/>
      <c r="AB623" s="22"/>
      <c r="AC623" s="22"/>
      <c r="AD623" s="22"/>
      <c r="AE623" s="22"/>
      <c r="AF623" s="48" t="str">
        <f t="shared" si="44"/>
        <v/>
      </c>
      <c r="AG623" s="48" t="str">
        <f t="shared" si="45"/>
        <v/>
      </c>
      <c r="AH623" s="48" t="str">
        <f t="shared" si="46"/>
        <v/>
      </c>
      <c r="AI623" s="40" t="str">
        <f t="shared" si="47"/>
        <v/>
      </c>
      <c r="AJ623" s="40"/>
      <c r="AK623" s="40"/>
      <c r="AL623" s="22"/>
    </row>
    <row r="624" spans="1:38" ht="17.399999999999999">
      <c r="A624" s="22"/>
      <c r="B624" s="22"/>
      <c r="C624" s="56"/>
      <c r="D624" s="56"/>
      <c r="E624" s="22"/>
      <c r="F624" s="22"/>
      <c r="G624" s="22"/>
      <c r="H624" s="22"/>
      <c r="I624" s="49"/>
      <c r="J624" s="50"/>
      <c r="K624" s="22"/>
      <c r="L624" s="22"/>
      <c r="M624" s="22"/>
      <c r="N624" s="22"/>
      <c r="O624" s="22"/>
      <c r="P624" s="46"/>
      <c r="Q624" s="40"/>
      <c r="R624" s="41"/>
      <c r="S624" s="22" t="str">
        <f t="shared" si="43"/>
        <v/>
      </c>
      <c r="T624" s="41"/>
      <c r="U624" s="44"/>
      <c r="V624" s="44"/>
      <c r="W624" s="46"/>
      <c r="X624" s="46"/>
      <c r="Y624" s="46"/>
      <c r="Z624" s="22"/>
      <c r="AA624" s="22"/>
      <c r="AB624" s="22"/>
      <c r="AC624" s="22"/>
      <c r="AD624" s="22"/>
      <c r="AE624" s="22"/>
      <c r="AF624" s="48" t="str">
        <f t="shared" si="44"/>
        <v/>
      </c>
      <c r="AG624" s="48" t="str">
        <f t="shared" si="45"/>
        <v/>
      </c>
      <c r="AH624" s="48" t="str">
        <f t="shared" si="46"/>
        <v/>
      </c>
      <c r="AI624" s="40" t="str">
        <f t="shared" si="47"/>
        <v/>
      </c>
      <c r="AJ624" s="40"/>
      <c r="AK624" s="40"/>
      <c r="AL624" s="22"/>
    </row>
    <row r="625" spans="1:38" ht="17.399999999999999">
      <c r="A625" s="22"/>
      <c r="B625" s="22"/>
      <c r="C625" s="56"/>
      <c r="D625" s="56"/>
      <c r="E625" s="22"/>
      <c r="F625" s="22"/>
      <c r="G625" s="22"/>
      <c r="H625" s="22"/>
      <c r="I625" s="49"/>
      <c r="J625" s="50"/>
      <c r="K625" s="22"/>
      <c r="L625" s="22"/>
      <c r="M625" s="22"/>
      <c r="N625" s="22"/>
      <c r="O625" s="22"/>
      <c r="P625" s="46"/>
      <c r="Q625" s="40"/>
      <c r="R625" s="41"/>
      <c r="S625" s="22" t="str">
        <f t="shared" si="43"/>
        <v/>
      </c>
      <c r="T625" s="41"/>
      <c r="U625" s="44"/>
      <c r="V625" s="44"/>
      <c r="W625" s="46"/>
      <c r="X625" s="46"/>
      <c r="Y625" s="46"/>
      <c r="Z625" s="22"/>
      <c r="AA625" s="22"/>
      <c r="AB625" s="22"/>
      <c r="AC625" s="22"/>
      <c r="AD625" s="22"/>
      <c r="AE625" s="22"/>
      <c r="AF625" s="48" t="str">
        <f t="shared" si="44"/>
        <v/>
      </c>
      <c r="AG625" s="48" t="str">
        <f t="shared" si="45"/>
        <v/>
      </c>
      <c r="AH625" s="48" t="str">
        <f t="shared" si="46"/>
        <v/>
      </c>
      <c r="AI625" s="40" t="str">
        <f t="shared" si="47"/>
        <v/>
      </c>
      <c r="AJ625" s="40"/>
      <c r="AK625" s="40"/>
      <c r="AL625" s="22"/>
    </row>
    <row r="626" spans="1:38" ht="17.399999999999999">
      <c r="A626" s="22"/>
      <c r="B626" s="22"/>
      <c r="C626" s="56"/>
      <c r="D626" s="56"/>
      <c r="E626" s="22"/>
      <c r="F626" s="22"/>
      <c r="G626" s="22"/>
      <c r="H626" s="22"/>
      <c r="I626" s="49"/>
      <c r="J626" s="50"/>
      <c r="K626" s="22"/>
      <c r="L626" s="22"/>
      <c r="M626" s="22"/>
      <c r="N626" s="22"/>
      <c r="O626" s="22"/>
      <c r="P626" s="46"/>
      <c r="Q626" s="40"/>
      <c r="R626" s="41"/>
      <c r="S626" s="22" t="str">
        <f t="shared" si="43"/>
        <v/>
      </c>
      <c r="T626" s="41"/>
      <c r="U626" s="44"/>
      <c r="V626" s="44"/>
      <c r="W626" s="46"/>
      <c r="X626" s="46"/>
      <c r="Y626" s="46"/>
      <c r="Z626" s="22"/>
      <c r="AA626" s="22"/>
      <c r="AB626" s="22"/>
      <c r="AC626" s="22"/>
      <c r="AD626" s="22"/>
      <c r="AE626" s="22"/>
      <c r="AF626" s="48" t="str">
        <f t="shared" si="44"/>
        <v/>
      </c>
      <c r="AG626" s="48" t="str">
        <f t="shared" si="45"/>
        <v/>
      </c>
      <c r="AH626" s="48" t="str">
        <f t="shared" si="46"/>
        <v/>
      </c>
      <c r="AI626" s="40" t="str">
        <f t="shared" si="47"/>
        <v/>
      </c>
      <c r="AJ626" s="40"/>
      <c r="AK626" s="40"/>
      <c r="AL626" s="22"/>
    </row>
    <row r="627" spans="1:38" ht="17.399999999999999">
      <c r="A627" s="22"/>
      <c r="B627" s="22"/>
      <c r="C627" s="56"/>
      <c r="D627" s="56"/>
      <c r="E627" s="22"/>
      <c r="F627" s="22"/>
      <c r="G627" s="22"/>
      <c r="H627" s="22"/>
      <c r="I627" s="49"/>
      <c r="J627" s="50"/>
      <c r="K627" s="22"/>
      <c r="L627" s="22"/>
      <c r="M627" s="22"/>
      <c r="N627" s="22"/>
      <c r="O627" s="22"/>
      <c r="P627" s="46"/>
      <c r="Q627" s="40"/>
      <c r="R627" s="41"/>
      <c r="S627" s="22" t="str">
        <f t="shared" si="43"/>
        <v/>
      </c>
      <c r="T627" s="41"/>
      <c r="U627" s="44"/>
      <c r="V627" s="44"/>
      <c r="W627" s="46"/>
      <c r="X627" s="46"/>
      <c r="Y627" s="46"/>
      <c r="Z627" s="22"/>
      <c r="AA627" s="22"/>
      <c r="AB627" s="22"/>
      <c r="AC627" s="22"/>
      <c r="AD627" s="22"/>
      <c r="AE627" s="22"/>
      <c r="AF627" s="48" t="str">
        <f t="shared" si="44"/>
        <v/>
      </c>
      <c r="AG627" s="48" t="str">
        <f t="shared" si="45"/>
        <v/>
      </c>
      <c r="AH627" s="48" t="str">
        <f t="shared" si="46"/>
        <v/>
      </c>
      <c r="AI627" s="40" t="str">
        <f t="shared" si="47"/>
        <v/>
      </c>
      <c r="AJ627" s="40"/>
      <c r="AK627" s="40"/>
      <c r="AL627" s="22"/>
    </row>
    <row r="628" spans="1:38" ht="17.399999999999999">
      <c r="A628" s="22"/>
      <c r="B628" s="22"/>
      <c r="C628" s="56"/>
      <c r="D628" s="56"/>
      <c r="E628" s="22"/>
      <c r="F628" s="22"/>
      <c r="G628" s="22"/>
      <c r="H628" s="22"/>
      <c r="I628" s="49"/>
      <c r="J628" s="50"/>
      <c r="K628" s="22"/>
      <c r="L628" s="22"/>
      <c r="M628" s="22"/>
      <c r="N628" s="22"/>
      <c r="O628" s="22"/>
      <c r="P628" s="46"/>
      <c r="Q628" s="40"/>
      <c r="R628" s="41"/>
      <c r="S628" s="22" t="str">
        <f t="shared" si="43"/>
        <v/>
      </c>
      <c r="T628" s="41"/>
      <c r="U628" s="44"/>
      <c r="V628" s="44"/>
      <c r="W628" s="46"/>
      <c r="X628" s="46"/>
      <c r="Y628" s="46"/>
      <c r="Z628" s="22"/>
      <c r="AA628" s="22"/>
      <c r="AB628" s="22"/>
      <c r="AC628" s="22"/>
      <c r="AD628" s="22"/>
      <c r="AE628" s="22"/>
      <c r="AF628" s="48" t="str">
        <f t="shared" si="44"/>
        <v/>
      </c>
      <c r="AG628" s="48" t="str">
        <f t="shared" si="45"/>
        <v/>
      </c>
      <c r="AH628" s="48" t="str">
        <f t="shared" si="46"/>
        <v/>
      </c>
      <c r="AI628" s="40" t="str">
        <f t="shared" si="47"/>
        <v/>
      </c>
      <c r="AJ628" s="40"/>
      <c r="AK628" s="40"/>
      <c r="AL628" s="22"/>
    </row>
    <row r="629" spans="1:38" ht="17.399999999999999">
      <c r="A629" s="22"/>
      <c r="B629" s="22"/>
      <c r="C629" s="56"/>
      <c r="D629" s="56"/>
      <c r="E629" s="22"/>
      <c r="F629" s="22"/>
      <c r="G629" s="22"/>
      <c r="H629" s="22"/>
      <c r="I629" s="49"/>
      <c r="J629" s="50"/>
      <c r="K629" s="22"/>
      <c r="L629" s="22"/>
      <c r="M629" s="22"/>
      <c r="N629" s="22"/>
      <c r="O629" s="22"/>
      <c r="P629" s="46"/>
      <c r="Q629" s="40"/>
      <c r="R629" s="41"/>
      <c r="S629" s="22" t="str">
        <f t="shared" si="43"/>
        <v/>
      </c>
      <c r="T629" s="41"/>
      <c r="U629" s="44"/>
      <c r="V629" s="44"/>
      <c r="W629" s="46"/>
      <c r="X629" s="46"/>
      <c r="Y629" s="46"/>
      <c r="Z629" s="22"/>
      <c r="AA629" s="22"/>
      <c r="AB629" s="22"/>
      <c r="AC629" s="22"/>
      <c r="AD629" s="22"/>
      <c r="AE629" s="22"/>
      <c r="AF629" s="48" t="str">
        <f t="shared" si="44"/>
        <v/>
      </c>
      <c r="AG629" s="48" t="str">
        <f t="shared" si="45"/>
        <v/>
      </c>
      <c r="AH629" s="48" t="str">
        <f t="shared" si="46"/>
        <v/>
      </c>
      <c r="AI629" s="40" t="str">
        <f t="shared" si="47"/>
        <v/>
      </c>
      <c r="AJ629" s="40"/>
      <c r="AK629" s="40"/>
      <c r="AL629" s="22"/>
    </row>
    <row r="630" spans="1:38" ht="17.399999999999999">
      <c r="A630" s="22"/>
      <c r="B630" s="22"/>
      <c r="C630" s="56"/>
      <c r="D630" s="56"/>
      <c r="E630" s="22"/>
      <c r="F630" s="22"/>
      <c r="G630" s="22"/>
      <c r="H630" s="22"/>
      <c r="I630" s="49"/>
      <c r="J630" s="50"/>
      <c r="K630" s="22"/>
      <c r="L630" s="22"/>
      <c r="M630" s="22"/>
      <c r="N630" s="22"/>
      <c r="O630" s="22"/>
      <c r="P630" s="46"/>
      <c r="Q630" s="40"/>
      <c r="R630" s="41"/>
      <c r="S630" s="22" t="str">
        <f t="shared" si="43"/>
        <v/>
      </c>
      <c r="T630" s="41"/>
      <c r="U630" s="44"/>
      <c r="V630" s="44"/>
      <c r="W630" s="46"/>
      <c r="X630" s="46"/>
      <c r="Y630" s="46"/>
      <c r="Z630" s="22"/>
      <c r="AA630" s="22"/>
      <c r="AB630" s="22"/>
      <c r="AC630" s="22"/>
      <c r="AD630" s="22"/>
      <c r="AE630" s="22"/>
      <c r="AF630" s="48" t="str">
        <f t="shared" si="44"/>
        <v/>
      </c>
      <c r="AG630" s="48" t="str">
        <f t="shared" si="45"/>
        <v/>
      </c>
      <c r="AH630" s="48" t="str">
        <f t="shared" si="46"/>
        <v/>
      </c>
      <c r="AI630" s="40" t="str">
        <f t="shared" si="47"/>
        <v/>
      </c>
      <c r="AJ630" s="40"/>
      <c r="AK630" s="40"/>
      <c r="AL630" s="22"/>
    </row>
    <row r="631" spans="1:38" ht="17.399999999999999">
      <c r="A631" s="22"/>
      <c r="B631" s="22"/>
      <c r="C631" s="56"/>
      <c r="D631" s="56"/>
      <c r="E631" s="22"/>
      <c r="F631" s="22"/>
      <c r="G631" s="22"/>
      <c r="H631" s="22"/>
      <c r="I631" s="49"/>
      <c r="J631" s="50"/>
      <c r="K631" s="22"/>
      <c r="L631" s="22"/>
      <c r="M631" s="22"/>
      <c r="N631" s="22"/>
      <c r="O631" s="22"/>
      <c r="P631" s="46"/>
      <c r="Q631" s="40"/>
      <c r="R631" s="41"/>
      <c r="S631" s="22" t="str">
        <f t="shared" si="43"/>
        <v/>
      </c>
      <c r="T631" s="41"/>
      <c r="U631" s="44"/>
      <c r="V631" s="44"/>
      <c r="W631" s="46"/>
      <c r="X631" s="46"/>
      <c r="Y631" s="46"/>
      <c r="Z631" s="22"/>
      <c r="AA631" s="22"/>
      <c r="AB631" s="22"/>
      <c r="AC631" s="22"/>
      <c r="AD631" s="22"/>
      <c r="AE631" s="22"/>
      <c r="AF631" s="48" t="str">
        <f t="shared" si="44"/>
        <v/>
      </c>
      <c r="AG631" s="48" t="str">
        <f t="shared" si="45"/>
        <v/>
      </c>
      <c r="AH631" s="48" t="str">
        <f t="shared" si="46"/>
        <v/>
      </c>
      <c r="AI631" s="40" t="str">
        <f t="shared" si="47"/>
        <v/>
      </c>
      <c r="AJ631" s="40"/>
      <c r="AK631" s="40"/>
      <c r="AL631" s="22"/>
    </row>
    <row r="632" spans="1:38" ht="17.399999999999999">
      <c r="A632" s="22"/>
      <c r="B632" s="22"/>
      <c r="C632" s="56"/>
      <c r="D632" s="56"/>
      <c r="E632" s="22"/>
      <c r="F632" s="22"/>
      <c r="G632" s="22"/>
      <c r="H632" s="22"/>
      <c r="I632" s="49"/>
      <c r="J632" s="50"/>
      <c r="K632" s="22"/>
      <c r="L632" s="22"/>
      <c r="M632" s="22"/>
      <c r="N632" s="22"/>
      <c r="O632" s="22"/>
      <c r="P632" s="46"/>
      <c r="Q632" s="40"/>
      <c r="R632" s="41"/>
      <c r="S632" s="22" t="str">
        <f t="shared" si="43"/>
        <v/>
      </c>
      <c r="T632" s="41"/>
      <c r="U632" s="44"/>
      <c r="V632" s="44"/>
      <c r="W632" s="46"/>
      <c r="X632" s="46"/>
      <c r="Y632" s="46"/>
      <c r="Z632" s="22"/>
      <c r="AA632" s="22"/>
      <c r="AB632" s="22"/>
      <c r="AC632" s="22"/>
      <c r="AD632" s="22"/>
      <c r="AE632" s="22"/>
      <c r="AF632" s="48" t="str">
        <f t="shared" si="44"/>
        <v/>
      </c>
      <c r="AG632" s="48" t="str">
        <f t="shared" si="45"/>
        <v/>
      </c>
      <c r="AH632" s="48" t="str">
        <f t="shared" si="46"/>
        <v/>
      </c>
      <c r="AI632" s="40" t="str">
        <f t="shared" si="47"/>
        <v/>
      </c>
      <c r="AJ632" s="40"/>
      <c r="AK632" s="40"/>
      <c r="AL632" s="22"/>
    </row>
    <row r="633" spans="1:38" ht="17.399999999999999">
      <c r="A633" s="22"/>
      <c r="B633" s="22"/>
      <c r="C633" s="56"/>
      <c r="D633" s="56"/>
      <c r="E633" s="22"/>
      <c r="F633" s="22"/>
      <c r="G633" s="22"/>
      <c r="H633" s="22"/>
      <c r="I633" s="49"/>
      <c r="J633" s="50"/>
      <c r="K633" s="22"/>
      <c r="L633" s="22"/>
      <c r="M633" s="22"/>
      <c r="N633" s="22"/>
      <c r="O633" s="22"/>
      <c r="P633" s="46"/>
      <c r="Q633" s="40"/>
      <c r="R633" s="41"/>
      <c r="S633" s="22" t="str">
        <f t="shared" si="43"/>
        <v/>
      </c>
      <c r="T633" s="41"/>
      <c r="U633" s="44"/>
      <c r="V633" s="44"/>
      <c r="W633" s="46"/>
      <c r="X633" s="46"/>
      <c r="Y633" s="46"/>
      <c r="Z633" s="22"/>
      <c r="AA633" s="22"/>
      <c r="AB633" s="22"/>
      <c r="AC633" s="22"/>
      <c r="AD633" s="22"/>
      <c r="AE633" s="22"/>
      <c r="AF633" s="48" t="str">
        <f t="shared" si="44"/>
        <v/>
      </c>
      <c r="AG633" s="48" t="str">
        <f t="shared" si="45"/>
        <v/>
      </c>
      <c r="AH633" s="48" t="str">
        <f t="shared" si="46"/>
        <v/>
      </c>
      <c r="AI633" s="40" t="str">
        <f t="shared" si="47"/>
        <v/>
      </c>
      <c r="AJ633" s="40"/>
      <c r="AK633" s="40"/>
      <c r="AL633" s="22"/>
    </row>
    <row r="634" spans="1:38" ht="17.399999999999999">
      <c r="A634" s="22"/>
      <c r="B634" s="22"/>
      <c r="C634" s="56"/>
      <c r="D634" s="56"/>
      <c r="E634" s="22"/>
      <c r="F634" s="22"/>
      <c r="G634" s="22"/>
      <c r="H634" s="22"/>
      <c r="I634" s="49"/>
      <c r="J634" s="50"/>
      <c r="K634" s="22"/>
      <c r="L634" s="22"/>
      <c r="M634" s="22"/>
      <c r="N634" s="22"/>
      <c r="O634" s="22"/>
      <c r="P634" s="46"/>
      <c r="Q634" s="40"/>
      <c r="R634" s="41"/>
      <c r="S634" s="22" t="str">
        <f t="shared" si="43"/>
        <v/>
      </c>
      <c r="T634" s="41"/>
      <c r="U634" s="44"/>
      <c r="V634" s="44"/>
      <c r="W634" s="46"/>
      <c r="X634" s="46"/>
      <c r="Y634" s="46"/>
      <c r="Z634" s="22"/>
      <c r="AA634" s="22"/>
      <c r="AB634" s="22"/>
      <c r="AC634" s="22"/>
      <c r="AD634" s="22"/>
      <c r="AE634" s="22"/>
      <c r="AF634" s="48" t="str">
        <f t="shared" si="44"/>
        <v/>
      </c>
      <c r="AG634" s="48" t="str">
        <f t="shared" si="45"/>
        <v/>
      </c>
      <c r="AH634" s="48" t="str">
        <f t="shared" si="46"/>
        <v/>
      </c>
      <c r="AI634" s="40" t="str">
        <f t="shared" si="47"/>
        <v/>
      </c>
      <c r="AJ634" s="40"/>
      <c r="AK634" s="40"/>
      <c r="AL634" s="22"/>
    </row>
    <row r="635" spans="1:38" ht="17.399999999999999">
      <c r="A635" s="22"/>
      <c r="B635" s="22"/>
      <c r="C635" s="56"/>
      <c r="D635" s="56"/>
      <c r="E635" s="22"/>
      <c r="F635" s="22"/>
      <c r="G635" s="22"/>
      <c r="H635" s="22"/>
      <c r="I635" s="49"/>
      <c r="J635" s="50"/>
      <c r="K635" s="22"/>
      <c r="L635" s="22"/>
      <c r="M635" s="22"/>
      <c r="N635" s="22"/>
      <c r="O635" s="22"/>
      <c r="P635" s="46"/>
      <c r="Q635" s="40"/>
      <c r="R635" s="41"/>
      <c r="S635" s="22" t="str">
        <f t="shared" si="43"/>
        <v/>
      </c>
      <c r="T635" s="41"/>
      <c r="U635" s="44"/>
      <c r="V635" s="44"/>
      <c r="W635" s="46"/>
      <c r="X635" s="46"/>
      <c r="Y635" s="46"/>
      <c r="Z635" s="22"/>
      <c r="AA635" s="22"/>
      <c r="AB635" s="22"/>
      <c r="AC635" s="22"/>
      <c r="AD635" s="22"/>
      <c r="AE635" s="22"/>
      <c r="AF635" s="48" t="str">
        <f t="shared" si="44"/>
        <v/>
      </c>
      <c r="AG635" s="48" t="str">
        <f t="shared" si="45"/>
        <v/>
      </c>
      <c r="AH635" s="48" t="str">
        <f t="shared" si="46"/>
        <v/>
      </c>
      <c r="AI635" s="40" t="str">
        <f t="shared" si="47"/>
        <v/>
      </c>
      <c r="AJ635" s="40"/>
      <c r="AK635" s="40"/>
      <c r="AL635" s="22"/>
    </row>
    <row r="636" spans="1:38" ht="17.399999999999999">
      <c r="A636" s="22"/>
      <c r="B636" s="22"/>
      <c r="C636" s="56"/>
      <c r="D636" s="56"/>
      <c r="E636" s="22"/>
      <c r="F636" s="22"/>
      <c r="G636" s="22"/>
      <c r="H636" s="22"/>
      <c r="I636" s="49"/>
      <c r="J636" s="50"/>
      <c r="K636" s="22"/>
      <c r="L636" s="22"/>
      <c r="M636" s="22"/>
      <c r="N636" s="22"/>
      <c r="O636" s="22"/>
      <c r="P636" s="46"/>
      <c r="Q636" s="40"/>
      <c r="R636" s="41"/>
      <c r="S636" s="22" t="str">
        <f t="shared" si="43"/>
        <v/>
      </c>
      <c r="T636" s="41"/>
      <c r="U636" s="44"/>
      <c r="V636" s="44"/>
      <c r="W636" s="46"/>
      <c r="X636" s="46"/>
      <c r="Y636" s="46"/>
      <c r="Z636" s="22"/>
      <c r="AA636" s="22"/>
      <c r="AB636" s="22"/>
      <c r="AC636" s="22"/>
      <c r="AD636" s="22"/>
      <c r="AE636" s="22"/>
      <c r="AF636" s="48" t="str">
        <f t="shared" si="44"/>
        <v/>
      </c>
      <c r="AG636" s="48" t="str">
        <f t="shared" si="45"/>
        <v/>
      </c>
      <c r="AH636" s="48" t="str">
        <f t="shared" si="46"/>
        <v/>
      </c>
      <c r="AI636" s="40" t="str">
        <f t="shared" si="47"/>
        <v/>
      </c>
      <c r="AJ636" s="40"/>
      <c r="AK636" s="40"/>
      <c r="AL636" s="22"/>
    </row>
    <row r="637" spans="1:38" ht="17.399999999999999">
      <c r="A637" s="22"/>
      <c r="B637" s="22"/>
      <c r="C637" s="56"/>
      <c r="D637" s="56"/>
      <c r="E637" s="22"/>
      <c r="F637" s="22"/>
      <c r="G637" s="22"/>
      <c r="H637" s="22"/>
      <c r="I637" s="49"/>
      <c r="J637" s="50"/>
      <c r="K637" s="22"/>
      <c r="L637" s="22"/>
      <c r="M637" s="22"/>
      <c r="N637" s="22"/>
      <c r="O637" s="22"/>
      <c r="P637" s="46"/>
      <c r="Q637" s="40"/>
      <c r="R637" s="41"/>
      <c r="S637" s="22" t="str">
        <f t="shared" si="43"/>
        <v/>
      </c>
      <c r="T637" s="41"/>
      <c r="U637" s="44"/>
      <c r="V637" s="44"/>
      <c r="W637" s="46"/>
      <c r="X637" s="46"/>
      <c r="Y637" s="46"/>
      <c r="Z637" s="22"/>
      <c r="AA637" s="22"/>
      <c r="AB637" s="22"/>
      <c r="AC637" s="22"/>
      <c r="AD637" s="22"/>
      <c r="AE637" s="22"/>
      <c r="AF637" s="48" t="str">
        <f t="shared" si="44"/>
        <v/>
      </c>
      <c r="AG637" s="48" t="str">
        <f t="shared" si="45"/>
        <v/>
      </c>
      <c r="AH637" s="48" t="str">
        <f t="shared" si="46"/>
        <v/>
      </c>
      <c r="AI637" s="40" t="str">
        <f t="shared" si="47"/>
        <v/>
      </c>
      <c r="AJ637" s="40"/>
      <c r="AK637" s="40"/>
      <c r="AL637" s="22"/>
    </row>
    <row r="638" spans="1:38" ht="17.399999999999999">
      <c r="A638" s="22"/>
      <c r="B638" s="22"/>
      <c r="C638" s="56"/>
      <c r="D638" s="56"/>
      <c r="E638" s="22"/>
      <c r="F638" s="22"/>
      <c r="G638" s="22"/>
      <c r="H638" s="22"/>
      <c r="I638" s="49"/>
      <c r="J638" s="50"/>
      <c r="K638" s="22"/>
      <c r="L638" s="22"/>
      <c r="M638" s="22"/>
      <c r="N638" s="22"/>
      <c r="O638" s="22"/>
      <c r="P638" s="46"/>
      <c r="Q638" s="40"/>
      <c r="R638" s="41"/>
      <c r="S638" s="22" t="str">
        <f t="shared" si="43"/>
        <v/>
      </c>
      <c r="T638" s="41"/>
      <c r="U638" s="44"/>
      <c r="V638" s="44"/>
      <c r="W638" s="46"/>
      <c r="X638" s="46"/>
      <c r="Y638" s="46"/>
      <c r="Z638" s="22"/>
      <c r="AA638" s="22"/>
      <c r="AB638" s="22"/>
      <c r="AC638" s="22"/>
      <c r="AD638" s="22"/>
      <c r="AE638" s="22"/>
      <c r="AF638" s="48" t="str">
        <f t="shared" si="44"/>
        <v/>
      </c>
      <c r="AG638" s="48" t="str">
        <f t="shared" si="45"/>
        <v/>
      </c>
      <c r="AH638" s="48" t="str">
        <f t="shared" si="46"/>
        <v/>
      </c>
      <c r="AI638" s="40" t="str">
        <f t="shared" si="47"/>
        <v/>
      </c>
      <c r="AJ638" s="40"/>
      <c r="AK638" s="40"/>
      <c r="AL638" s="22"/>
    </row>
    <row r="639" spans="1:38" ht="17.399999999999999">
      <c r="A639" s="22"/>
      <c r="B639" s="22"/>
      <c r="C639" s="56"/>
      <c r="D639" s="56"/>
      <c r="E639" s="22"/>
      <c r="F639" s="22"/>
      <c r="G639" s="22"/>
      <c r="H639" s="22"/>
      <c r="I639" s="49"/>
      <c r="J639" s="50"/>
      <c r="K639" s="22"/>
      <c r="L639" s="22"/>
      <c r="M639" s="22"/>
      <c r="N639" s="22"/>
      <c r="O639" s="22"/>
      <c r="P639" s="46"/>
      <c r="Q639" s="40"/>
      <c r="R639" s="41"/>
      <c r="S639" s="22" t="str">
        <f t="shared" si="43"/>
        <v/>
      </c>
      <c r="T639" s="41"/>
      <c r="U639" s="44"/>
      <c r="V639" s="44"/>
      <c r="W639" s="46"/>
      <c r="X639" s="46"/>
      <c r="Y639" s="46"/>
      <c r="Z639" s="22"/>
      <c r="AA639" s="22"/>
      <c r="AB639" s="22"/>
      <c r="AC639" s="22"/>
      <c r="AD639" s="22"/>
      <c r="AE639" s="22"/>
      <c r="AF639" s="48" t="str">
        <f t="shared" si="44"/>
        <v/>
      </c>
      <c r="AG639" s="48" t="str">
        <f t="shared" si="45"/>
        <v/>
      </c>
      <c r="AH639" s="48" t="str">
        <f t="shared" si="46"/>
        <v/>
      </c>
      <c r="AI639" s="40" t="str">
        <f t="shared" si="47"/>
        <v/>
      </c>
      <c r="AJ639" s="40"/>
      <c r="AK639" s="40"/>
      <c r="AL639" s="22"/>
    </row>
    <row r="640" spans="1:38" ht="17.399999999999999">
      <c r="A640" s="22"/>
      <c r="B640" s="22"/>
      <c r="C640" s="56"/>
      <c r="D640" s="56"/>
      <c r="E640" s="22"/>
      <c r="F640" s="22"/>
      <c r="G640" s="22"/>
      <c r="H640" s="22"/>
      <c r="I640" s="49"/>
      <c r="J640" s="50"/>
      <c r="K640" s="22"/>
      <c r="L640" s="22"/>
      <c r="M640" s="22"/>
      <c r="N640" s="22"/>
      <c r="O640" s="22"/>
      <c r="P640" s="46"/>
      <c r="Q640" s="40"/>
      <c r="R640" s="41"/>
      <c r="S640" s="22" t="str">
        <f t="shared" si="43"/>
        <v/>
      </c>
      <c r="T640" s="41"/>
      <c r="U640" s="44"/>
      <c r="V640" s="44"/>
      <c r="W640" s="46"/>
      <c r="X640" s="46"/>
      <c r="Y640" s="46"/>
      <c r="Z640" s="22"/>
      <c r="AA640" s="22"/>
      <c r="AB640" s="22"/>
      <c r="AC640" s="22"/>
      <c r="AD640" s="22"/>
      <c r="AE640" s="22"/>
      <c r="AF640" s="48" t="str">
        <f t="shared" si="44"/>
        <v/>
      </c>
      <c r="AG640" s="48" t="str">
        <f t="shared" si="45"/>
        <v/>
      </c>
      <c r="AH640" s="48" t="str">
        <f t="shared" si="46"/>
        <v/>
      </c>
      <c r="AI640" s="40" t="str">
        <f t="shared" si="47"/>
        <v/>
      </c>
      <c r="AJ640" s="40"/>
      <c r="AK640" s="40"/>
      <c r="AL640" s="22"/>
    </row>
    <row r="641" spans="1:38" ht="17.399999999999999">
      <c r="A641" s="22"/>
      <c r="B641" s="22"/>
      <c r="C641" s="56"/>
      <c r="D641" s="56"/>
      <c r="E641" s="22"/>
      <c r="F641" s="22"/>
      <c r="G641" s="22"/>
      <c r="H641" s="22"/>
      <c r="I641" s="49"/>
      <c r="J641" s="50"/>
      <c r="K641" s="22"/>
      <c r="L641" s="22"/>
      <c r="M641" s="22"/>
      <c r="N641" s="22"/>
      <c r="O641" s="22"/>
      <c r="P641" s="46"/>
      <c r="Q641" s="40"/>
      <c r="R641" s="41"/>
      <c r="S641" s="22" t="str">
        <f t="shared" si="43"/>
        <v/>
      </c>
      <c r="T641" s="41"/>
      <c r="U641" s="44"/>
      <c r="V641" s="44"/>
      <c r="W641" s="46"/>
      <c r="X641" s="46"/>
      <c r="Y641" s="46"/>
      <c r="Z641" s="22"/>
      <c r="AA641" s="22"/>
      <c r="AB641" s="22"/>
      <c r="AC641" s="22"/>
      <c r="AD641" s="22"/>
      <c r="AE641" s="22"/>
      <c r="AF641" s="48" t="str">
        <f t="shared" si="44"/>
        <v/>
      </c>
      <c r="AG641" s="48" t="str">
        <f t="shared" si="45"/>
        <v/>
      </c>
      <c r="AH641" s="48" t="str">
        <f t="shared" si="46"/>
        <v/>
      </c>
      <c r="AI641" s="40" t="str">
        <f t="shared" si="47"/>
        <v/>
      </c>
      <c r="AJ641" s="40"/>
      <c r="AK641" s="40"/>
      <c r="AL641" s="22"/>
    </row>
    <row r="642" spans="1:38" ht="17.399999999999999">
      <c r="A642" s="22"/>
      <c r="B642" s="22"/>
      <c r="C642" s="56"/>
      <c r="D642" s="56"/>
      <c r="E642" s="22"/>
      <c r="F642" s="22"/>
      <c r="G642" s="22"/>
      <c r="H642" s="22"/>
      <c r="I642" s="49"/>
      <c r="J642" s="50"/>
      <c r="K642" s="22"/>
      <c r="L642" s="22"/>
      <c r="M642" s="22"/>
      <c r="N642" s="22"/>
      <c r="O642" s="22"/>
      <c r="P642" s="46"/>
      <c r="Q642" s="40"/>
      <c r="R642" s="41"/>
      <c r="S642" s="22" t="str">
        <f t="shared" si="43"/>
        <v/>
      </c>
      <c r="T642" s="41"/>
      <c r="U642" s="44"/>
      <c r="V642" s="44"/>
      <c r="W642" s="46"/>
      <c r="X642" s="46"/>
      <c r="Y642" s="46"/>
      <c r="Z642" s="22"/>
      <c r="AA642" s="22"/>
      <c r="AB642" s="22"/>
      <c r="AC642" s="22"/>
      <c r="AD642" s="22"/>
      <c r="AE642" s="22"/>
      <c r="AF642" s="48" t="str">
        <f t="shared" si="44"/>
        <v/>
      </c>
      <c r="AG642" s="48" t="str">
        <f t="shared" si="45"/>
        <v/>
      </c>
      <c r="AH642" s="48" t="str">
        <f t="shared" si="46"/>
        <v/>
      </c>
      <c r="AI642" s="40" t="str">
        <f t="shared" si="47"/>
        <v/>
      </c>
      <c r="AJ642" s="40"/>
      <c r="AK642" s="40"/>
      <c r="AL642" s="22"/>
    </row>
    <row r="643" spans="1:38" ht="17.399999999999999">
      <c r="A643" s="22"/>
      <c r="B643" s="22"/>
      <c r="C643" s="56"/>
      <c r="D643" s="56"/>
      <c r="E643" s="22"/>
      <c r="F643" s="22"/>
      <c r="G643" s="22"/>
      <c r="H643" s="22"/>
      <c r="I643" s="49"/>
      <c r="J643" s="50"/>
      <c r="K643" s="22"/>
      <c r="L643" s="22"/>
      <c r="M643" s="22"/>
      <c r="N643" s="22"/>
      <c r="O643" s="22"/>
      <c r="P643" s="46"/>
      <c r="Q643" s="40"/>
      <c r="R643" s="41"/>
      <c r="S643" s="22" t="str">
        <f t="shared" si="43"/>
        <v/>
      </c>
      <c r="T643" s="41"/>
      <c r="U643" s="44"/>
      <c r="V643" s="44"/>
      <c r="W643" s="46"/>
      <c r="X643" s="46"/>
      <c r="Y643" s="46"/>
      <c r="Z643" s="22"/>
      <c r="AA643" s="22"/>
      <c r="AB643" s="22"/>
      <c r="AC643" s="22"/>
      <c r="AD643" s="22"/>
      <c r="AE643" s="22"/>
      <c r="AF643" s="48" t="str">
        <f t="shared" si="44"/>
        <v/>
      </c>
      <c r="AG643" s="48" t="str">
        <f t="shared" si="45"/>
        <v/>
      </c>
      <c r="AH643" s="48" t="str">
        <f t="shared" si="46"/>
        <v/>
      </c>
      <c r="AI643" s="40" t="str">
        <f t="shared" si="47"/>
        <v/>
      </c>
      <c r="AJ643" s="40"/>
      <c r="AK643" s="40"/>
      <c r="AL643" s="22"/>
    </row>
    <row r="644" spans="1:38" ht="17.399999999999999">
      <c r="A644" s="22"/>
      <c r="B644" s="22"/>
      <c r="C644" s="56"/>
      <c r="D644" s="56"/>
      <c r="E644" s="22"/>
      <c r="F644" s="22"/>
      <c r="G644" s="22"/>
      <c r="H644" s="22"/>
      <c r="I644" s="49"/>
      <c r="J644" s="50"/>
      <c r="K644" s="22"/>
      <c r="L644" s="22"/>
      <c r="M644" s="22"/>
      <c r="N644" s="22"/>
      <c r="O644" s="22"/>
      <c r="P644" s="46"/>
      <c r="Q644" s="40"/>
      <c r="R644" s="41"/>
      <c r="S644" s="22" t="str">
        <f t="shared" si="43"/>
        <v/>
      </c>
      <c r="T644" s="41"/>
      <c r="U644" s="44"/>
      <c r="V644" s="44"/>
      <c r="W644" s="46"/>
      <c r="X644" s="46"/>
      <c r="Y644" s="46"/>
      <c r="Z644" s="22"/>
      <c r="AA644" s="22"/>
      <c r="AB644" s="22"/>
      <c r="AC644" s="22"/>
      <c r="AD644" s="22"/>
      <c r="AE644" s="22"/>
      <c r="AF644" s="48" t="str">
        <f t="shared" si="44"/>
        <v/>
      </c>
      <c r="AG644" s="48" t="str">
        <f t="shared" si="45"/>
        <v/>
      </c>
      <c r="AH644" s="48" t="str">
        <f t="shared" si="46"/>
        <v/>
      </c>
      <c r="AI644" s="40" t="str">
        <f t="shared" si="47"/>
        <v/>
      </c>
      <c r="AJ644" s="40"/>
      <c r="AK644" s="40"/>
      <c r="AL644" s="22"/>
    </row>
    <row r="645" spans="1:38" ht="17.399999999999999">
      <c r="A645" s="22"/>
      <c r="B645" s="22"/>
      <c r="C645" s="56"/>
      <c r="D645" s="56"/>
      <c r="E645" s="22"/>
      <c r="F645" s="22"/>
      <c r="G645" s="22"/>
      <c r="H645" s="22"/>
      <c r="I645" s="49"/>
      <c r="J645" s="50"/>
      <c r="K645" s="22"/>
      <c r="L645" s="22"/>
      <c r="M645" s="22"/>
      <c r="N645" s="22"/>
      <c r="O645" s="22"/>
      <c r="P645" s="46"/>
      <c r="Q645" s="40"/>
      <c r="R645" s="41"/>
      <c r="S645" s="22" t="str">
        <f t="shared" si="43"/>
        <v/>
      </c>
      <c r="T645" s="41"/>
      <c r="U645" s="44"/>
      <c r="V645" s="44"/>
      <c r="W645" s="46"/>
      <c r="X645" s="46"/>
      <c r="Y645" s="46"/>
      <c r="Z645" s="22"/>
      <c r="AA645" s="22"/>
      <c r="AB645" s="22"/>
      <c r="AC645" s="22"/>
      <c r="AD645" s="22"/>
      <c r="AE645" s="22"/>
      <c r="AF645" s="48" t="str">
        <f t="shared" si="44"/>
        <v/>
      </c>
      <c r="AG645" s="48" t="str">
        <f t="shared" si="45"/>
        <v/>
      </c>
      <c r="AH645" s="48" t="str">
        <f t="shared" si="46"/>
        <v/>
      </c>
      <c r="AI645" s="40" t="str">
        <f t="shared" si="47"/>
        <v/>
      </c>
      <c r="AJ645" s="40"/>
      <c r="AK645" s="40"/>
      <c r="AL645" s="22"/>
    </row>
    <row r="646" spans="1:38" ht="17.399999999999999">
      <c r="A646" s="22"/>
      <c r="B646" s="22"/>
      <c r="C646" s="56"/>
      <c r="D646" s="56"/>
      <c r="E646" s="22"/>
      <c r="F646" s="22"/>
      <c r="G646" s="22"/>
      <c r="H646" s="22"/>
      <c r="I646" s="49"/>
      <c r="J646" s="50"/>
      <c r="K646" s="22"/>
      <c r="L646" s="22"/>
      <c r="M646" s="22"/>
      <c r="N646" s="22"/>
      <c r="O646" s="22"/>
      <c r="P646" s="46"/>
      <c r="Q646" s="40"/>
      <c r="R646" s="41"/>
      <c r="S646" s="22" t="str">
        <f t="shared" si="43"/>
        <v/>
      </c>
      <c r="T646" s="41"/>
      <c r="U646" s="44"/>
      <c r="V646" s="44"/>
      <c r="W646" s="46"/>
      <c r="X646" s="46"/>
      <c r="Y646" s="46"/>
      <c r="Z646" s="22"/>
      <c r="AA646" s="22"/>
      <c r="AB646" s="22"/>
      <c r="AC646" s="22"/>
      <c r="AD646" s="22"/>
      <c r="AE646" s="22"/>
      <c r="AF646" s="48" t="str">
        <f t="shared" si="44"/>
        <v/>
      </c>
      <c r="AG646" s="48" t="str">
        <f t="shared" si="45"/>
        <v/>
      </c>
      <c r="AH646" s="48" t="str">
        <f t="shared" si="46"/>
        <v/>
      </c>
      <c r="AI646" s="40" t="str">
        <f t="shared" si="47"/>
        <v/>
      </c>
      <c r="AJ646" s="40"/>
      <c r="AK646" s="40"/>
      <c r="AL646" s="22"/>
    </row>
    <row r="647" spans="1:38" ht="17.399999999999999">
      <c r="A647" s="22"/>
      <c r="B647" s="22"/>
      <c r="C647" s="56"/>
      <c r="D647" s="56"/>
      <c r="E647" s="22"/>
      <c r="F647" s="22"/>
      <c r="G647" s="22"/>
      <c r="H647" s="22"/>
      <c r="I647" s="49"/>
      <c r="J647" s="50"/>
      <c r="K647" s="22"/>
      <c r="L647" s="22"/>
      <c r="M647" s="22"/>
      <c r="N647" s="22"/>
      <c r="O647" s="22"/>
      <c r="P647" s="46"/>
      <c r="Q647" s="40"/>
      <c r="R647" s="41"/>
      <c r="S647" s="22" t="str">
        <f t="shared" si="43"/>
        <v/>
      </c>
      <c r="T647" s="41"/>
      <c r="U647" s="44"/>
      <c r="V647" s="44"/>
      <c r="W647" s="46"/>
      <c r="X647" s="46"/>
      <c r="Y647" s="46"/>
      <c r="Z647" s="22"/>
      <c r="AA647" s="22"/>
      <c r="AB647" s="22"/>
      <c r="AC647" s="22"/>
      <c r="AD647" s="22"/>
      <c r="AE647" s="22"/>
      <c r="AF647" s="48" t="str">
        <f t="shared" si="44"/>
        <v/>
      </c>
      <c r="AG647" s="48" t="str">
        <f t="shared" si="45"/>
        <v/>
      </c>
      <c r="AH647" s="48" t="str">
        <f t="shared" si="46"/>
        <v/>
      </c>
      <c r="AI647" s="40" t="str">
        <f t="shared" si="47"/>
        <v/>
      </c>
      <c r="AJ647" s="40"/>
      <c r="AK647" s="40"/>
      <c r="AL647" s="22"/>
    </row>
    <row r="648" spans="1:38" ht="17.399999999999999">
      <c r="A648" s="22"/>
      <c r="B648" s="22"/>
      <c r="C648" s="56"/>
      <c r="D648" s="56"/>
      <c r="E648" s="22"/>
      <c r="F648" s="22"/>
      <c r="G648" s="22"/>
      <c r="H648" s="22"/>
      <c r="I648" s="49"/>
      <c r="J648" s="50"/>
      <c r="K648" s="22"/>
      <c r="L648" s="22"/>
      <c r="M648" s="22"/>
      <c r="N648" s="22"/>
      <c r="O648" s="22"/>
      <c r="P648" s="46"/>
      <c r="Q648" s="40"/>
      <c r="R648" s="41"/>
      <c r="S648" s="22" t="str">
        <f t="shared" si="43"/>
        <v/>
      </c>
      <c r="T648" s="41"/>
      <c r="U648" s="44"/>
      <c r="V648" s="44"/>
      <c r="W648" s="46"/>
      <c r="X648" s="46"/>
      <c r="Y648" s="46"/>
      <c r="Z648" s="22"/>
      <c r="AA648" s="22"/>
      <c r="AB648" s="22"/>
      <c r="AC648" s="22"/>
      <c r="AD648" s="22"/>
      <c r="AE648" s="22"/>
      <c r="AF648" s="48" t="str">
        <f t="shared" si="44"/>
        <v/>
      </c>
      <c r="AG648" s="48" t="str">
        <f t="shared" si="45"/>
        <v/>
      </c>
      <c r="AH648" s="48" t="str">
        <f t="shared" si="46"/>
        <v/>
      </c>
      <c r="AI648" s="40" t="str">
        <f t="shared" si="47"/>
        <v/>
      </c>
      <c r="AJ648" s="40"/>
      <c r="AK648" s="40"/>
      <c r="AL648" s="22"/>
    </row>
    <row r="649" spans="1:38" ht="17.399999999999999">
      <c r="A649" s="22"/>
      <c r="B649" s="22"/>
      <c r="C649" s="56"/>
      <c r="D649" s="56"/>
      <c r="E649" s="22"/>
      <c r="F649" s="22"/>
      <c r="G649" s="22"/>
      <c r="H649" s="22"/>
      <c r="I649" s="49"/>
      <c r="J649" s="50"/>
      <c r="K649" s="22"/>
      <c r="L649" s="22"/>
      <c r="M649" s="22"/>
      <c r="N649" s="22"/>
      <c r="O649" s="22"/>
      <c r="P649" s="46"/>
      <c r="Q649" s="40"/>
      <c r="R649" s="41"/>
      <c r="S649" s="22" t="str">
        <f t="shared" si="43"/>
        <v/>
      </c>
      <c r="T649" s="41"/>
      <c r="U649" s="44"/>
      <c r="V649" s="44"/>
      <c r="W649" s="46"/>
      <c r="X649" s="46"/>
      <c r="Y649" s="46"/>
      <c r="Z649" s="22"/>
      <c r="AA649" s="22"/>
      <c r="AB649" s="22"/>
      <c r="AC649" s="22"/>
      <c r="AD649" s="22"/>
      <c r="AE649" s="22"/>
      <c r="AF649" s="48" t="str">
        <f t="shared" si="44"/>
        <v/>
      </c>
      <c r="AG649" s="48" t="str">
        <f t="shared" si="45"/>
        <v/>
      </c>
      <c r="AH649" s="48" t="str">
        <f t="shared" si="46"/>
        <v/>
      </c>
      <c r="AI649" s="40" t="str">
        <f t="shared" si="47"/>
        <v/>
      </c>
      <c r="AJ649" s="40"/>
      <c r="AK649" s="40"/>
      <c r="AL649" s="22"/>
    </row>
    <row r="650" spans="1:38" ht="17.399999999999999">
      <c r="A650" s="22"/>
      <c r="B650" s="22"/>
      <c r="C650" s="56"/>
      <c r="D650" s="56"/>
      <c r="E650" s="22"/>
      <c r="F650" s="22"/>
      <c r="G650" s="22"/>
      <c r="H650" s="22"/>
      <c r="I650" s="49"/>
      <c r="J650" s="50"/>
      <c r="K650" s="22"/>
      <c r="L650" s="22"/>
      <c r="M650" s="22"/>
      <c r="N650" s="22"/>
      <c r="O650" s="22"/>
      <c r="P650" s="46"/>
      <c r="Q650" s="40"/>
      <c r="R650" s="41"/>
      <c r="S650" s="22" t="str">
        <f t="shared" si="43"/>
        <v/>
      </c>
      <c r="T650" s="41"/>
      <c r="U650" s="44"/>
      <c r="V650" s="44"/>
      <c r="W650" s="46"/>
      <c r="X650" s="46"/>
      <c r="Y650" s="46"/>
      <c r="Z650" s="22"/>
      <c r="AA650" s="22"/>
      <c r="AB650" s="22"/>
      <c r="AC650" s="22"/>
      <c r="AD650" s="22"/>
      <c r="AE650" s="22"/>
      <c r="AF650" s="48" t="str">
        <f t="shared" si="44"/>
        <v/>
      </c>
      <c r="AG650" s="48" t="str">
        <f t="shared" si="45"/>
        <v/>
      </c>
      <c r="AH650" s="48" t="str">
        <f t="shared" si="46"/>
        <v/>
      </c>
      <c r="AI650" s="40" t="str">
        <f t="shared" si="47"/>
        <v/>
      </c>
      <c r="AJ650" s="40"/>
      <c r="AK650" s="40"/>
      <c r="AL650" s="22"/>
    </row>
    <row r="651" spans="1:38" ht="17.399999999999999">
      <c r="A651" s="22"/>
      <c r="B651" s="22"/>
      <c r="C651" s="56"/>
      <c r="D651" s="56"/>
      <c r="E651" s="22"/>
      <c r="F651" s="22"/>
      <c r="G651" s="22"/>
      <c r="H651" s="22"/>
      <c r="I651" s="49"/>
      <c r="J651" s="50"/>
      <c r="K651" s="22"/>
      <c r="L651" s="22"/>
      <c r="M651" s="22"/>
      <c r="N651" s="22"/>
      <c r="O651" s="22"/>
      <c r="P651" s="46"/>
      <c r="Q651" s="40"/>
      <c r="R651" s="41"/>
      <c r="S651" s="22" t="str">
        <f t="shared" si="43"/>
        <v/>
      </c>
      <c r="T651" s="41"/>
      <c r="U651" s="44"/>
      <c r="V651" s="44"/>
      <c r="W651" s="46"/>
      <c r="X651" s="46"/>
      <c r="Y651" s="46"/>
      <c r="Z651" s="22"/>
      <c r="AA651" s="22"/>
      <c r="AB651" s="22"/>
      <c r="AC651" s="22"/>
      <c r="AD651" s="22"/>
      <c r="AE651" s="22"/>
      <c r="AF651" s="48" t="str">
        <f t="shared" si="44"/>
        <v/>
      </c>
      <c r="AG651" s="48" t="str">
        <f t="shared" si="45"/>
        <v/>
      </c>
      <c r="AH651" s="48" t="str">
        <f t="shared" si="46"/>
        <v/>
      </c>
      <c r="AI651" s="40" t="str">
        <f t="shared" si="47"/>
        <v/>
      </c>
      <c r="AJ651" s="40"/>
      <c r="AK651" s="40"/>
      <c r="AL651" s="22"/>
    </row>
    <row r="652" spans="1:38" ht="17.399999999999999">
      <c r="A652" s="22"/>
      <c r="B652" s="22"/>
      <c r="C652" s="56"/>
      <c r="D652" s="56"/>
      <c r="E652" s="22"/>
      <c r="F652" s="22"/>
      <c r="G652" s="22"/>
      <c r="H652" s="22"/>
      <c r="I652" s="49"/>
      <c r="J652" s="50"/>
      <c r="K652" s="22"/>
      <c r="L652" s="22"/>
      <c r="M652" s="22"/>
      <c r="N652" s="22"/>
      <c r="O652" s="22"/>
      <c r="P652" s="46"/>
      <c r="Q652" s="40"/>
      <c r="R652" s="41"/>
      <c r="S652" s="22" t="str">
        <f t="shared" si="43"/>
        <v/>
      </c>
      <c r="T652" s="41"/>
      <c r="U652" s="44"/>
      <c r="V652" s="44"/>
      <c r="W652" s="46"/>
      <c r="X652" s="46"/>
      <c r="Y652" s="46"/>
      <c r="Z652" s="22"/>
      <c r="AA652" s="22"/>
      <c r="AB652" s="22"/>
      <c r="AC652" s="22"/>
      <c r="AD652" s="22"/>
      <c r="AE652" s="22"/>
      <c r="AF652" s="48" t="str">
        <f t="shared" si="44"/>
        <v/>
      </c>
      <c r="AG652" s="48" t="str">
        <f t="shared" si="45"/>
        <v/>
      </c>
      <c r="AH652" s="48" t="str">
        <f t="shared" si="46"/>
        <v/>
      </c>
      <c r="AI652" s="40" t="str">
        <f t="shared" si="47"/>
        <v/>
      </c>
      <c r="AJ652" s="40"/>
      <c r="AK652" s="40"/>
      <c r="AL652" s="22"/>
    </row>
    <row r="653" spans="1:38" ht="17.399999999999999">
      <c r="A653" s="22"/>
      <c r="B653" s="22"/>
      <c r="C653" s="56"/>
      <c r="D653" s="56"/>
      <c r="E653" s="22"/>
      <c r="F653" s="22"/>
      <c r="G653" s="22"/>
      <c r="H653" s="22"/>
      <c r="I653" s="49"/>
      <c r="J653" s="50"/>
      <c r="K653" s="22"/>
      <c r="L653" s="22"/>
      <c r="M653" s="22"/>
      <c r="N653" s="22"/>
      <c r="O653" s="22"/>
      <c r="P653" s="46"/>
      <c r="Q653" s="40"/>
      <c r="R653" s="41"/>
      <c r="S653" s="22" t="str">
        <f t="shared" si="43"/>
        <v/>
      </c>
      <c r="T653" s="41"/>
      <c r="U653" s="44"/>
      <c r="V653" s="44"/>
      <c r="W653" s="46"/>
      <c r="X653" s="46"/>
      <c r="Y653" s="46"/>
      <c r="Z653" s="22"/>
      <c r="AA653" s="22"/>
      <c r="AB653" s="22"/>
      <c r="AC653" s="22"/>
      <c r="AD653" s="22"/>
      <c r="AE653" s="22"/>
      <c r="AF653" s="48" t="str">
        <f t="shared" si="44"/>
        <v/>
      </c>
      <c r="AG653" s="48" t="str">
        <f t="shared" si="45"/>
        <v/>
      </c>
      <c r="AH653" s="48" t="str">
        <f t="shared" si="46"/>
        <v/>
      </c>
      <c r="AI653" s="40" t="str">
        <f t="shared" si="47"/>
        <v/>
      </c>
      <c r="AJ653" s="40"/>
      <c r="AK653" s="40"/>
      <c r="AL653" s="22"/>
    </row>
    <row r="654" spans="1:38" ht="17.399999999999999">
      <c r="A654" s="22"/>
      <c r="B654" s="22"/>
      <c r="C654" s="56"/>
      <c r="D654" s="56"/>
      <c r="E654" s="22"/>
      <c r="F654" s="22"/>
      <c r="G654" s="22"/>
      <c r="H654" s="22"/>
      <c r="I654" s="49"/>
      <c r="J654" s="50"/>
      <c r="K654" s="22"/>
      <c r="L654" s="22"/>
      <c r="M654" s="22"/>
      <c r="N654" s="22"/>
      <c r="O654" s="22"/>
      <c r="P654" s="46"/>
      <c r="Q654" s="40"/>
      <c r="R654" s="41"/>
      <c r="S654" s="22" t="str">
        <f t="shared" si="43"/>
        <v/>
      </c>
      <c r="T654" s="41"/>
      <c r="U654" s="44"/>
      <c r="V654" s="44"/>
      <c r="W654" s="46"/>
      <c r="X654" s="46"/>
      <c r="Y654" s="46"/>
      <c r="Z654" s="22"/>
      <c r="AA654" s="22"/>
      <c r="AB654" s="22"/>
      <c r="AC654" s="22"/>
      <c r="AD654" s="22"/>
      <c r="AE654" s="22"/>
      <c r="AF654" s="48" t="str">
        <f t="shared" si="44"/>
        <v/>
      </c>
      <c r="AG654" s="48" t="str">
        <f t="shared" si="45"/>
        <v/>
      </c>
      <c r="AH654" s="48" t="str">
        <f t="shared" si="46"/>
        <v/>
      </c>
      <c r="AI654" s="40" t="str">
        <f t="shared" si="47"/>
        <v/>
      </c>
      <c r="AJ654" s="40"/>
      <c r="AK654" s="40"/>
      <c r="AL654" s="22"/>
    </row>
    <row r="655" spans="1:38" ht="17.399999999999999">
      <c r="A655" s="22"/>
      <c r="B655" s="22"/>
      <c r="C655" s="56"/>
      <c r="D655" s="56"/>
      <c r="E655" s="22"/>
      <c r="F655" s="22"/>
      <c r="G655" s="22"/>
      <c r="H655" s="22"/>
      <c r="I655" s="49"/>
      <c r="J655" s="50"/>
      <c r="K655" s="22"/>
      <c r="L655" s="22"/>
      <c r="M655" s="22"/>
      <c r="N655" s="22"/>
      <c r="O655" s="22"/>
      <c r="P655" s="46"/>
      <c r="Q655" s="40"/>
      <c r="R655" s="41"/>
      <c r="S655" s="22" t="str">
        <f t="shared" si="43"/>
        <v/>
      </c>
      <c r="T655" s="41"/>
      <c r="U655" s="44"/>
      <c r="V655" s="44"/>
      <c r="W655" s="46"/>
      <c r="X655" s="46"/>
      <c r="Y655" s="46"/>
      <c r="Z655" s="22"/>
      <c r="AA655" s="22"/>
      <c r="AB655" s="22"/>
      <c r="AC655" s="22"/>
      <c r="AD655" s="22"/>
      <c r="AE655" s="22"/>
      <c r="AF655" s="48" t="str">
        <f t="shared" si="44"/>
        <v/>
      </c>
      <c r="AG655" s="48" t="str">
        <f t="shared" si="45"/>
        <v/>
      </c>
      <c r="AH655" s="48" t="str">
        <f t="shared" si="46"/>
        <v/>
      </c>
      <c r="AI655" s="40" t="str">
        <f t="shared" si="47"/>
        <v/>
      </c>
      <c r="AJ655" s="40"/>
      <c r="AK655" s="40"/>
      <c r="AL655" s="22"/>
    </row>
    <row r="656" spans="1:38" ht="17.399999999999999">
      <c r="A656" s="22"/>
      <c r="B656" s="22"/>
      <c r="C656" s="56"/>
      <c r="D656" s="56"/>
      <c r="E656" s="22"/>
      <c r="F656" s="22"/>
      <c r="G656" s="22"/>
      <c r="H656" s="22"/>
      <c r="I656" s="49"/>
      <c r="J656" s="50"/>
      <c r="K656" s="22"/>
      <c r="L656" s="22"/>
      <c r="M656" s="22"/>
      <c r="N656" s="22"/>
      <c r="O656" s="22"/>
      <c r="P656" s="46"/>
      <c r="Q656" s="40"/>
      <c r="R656" s="41"/>
      <c r="S656" s="22" t="str">
        <f t="shared" si="43"/>
        <v/>
      </c>
      <c r="T656" s="41"/>
      <c r="U656" s="44"/>
      <c r="V656" s="44"/>
      <c r="W656" s="46"/>
      <c r="X656" s="46"/>
      <c r="Y656" s="46"/>
      <c r="Z656" s="22"/>
      <c r="AA656" s="22"/>
      <c r="AB656" s="22"/>
      <c r="AC656" s="22"/>
      <c r="AD656" s="22"/>
      <c r="AE656" s="22"/>
      <c r="AF656" s="48" t="str">
        <f t="shared" si="44"/>
        <v/>
      </c>
      <c r="AG656" s="48" t="str">
        <f t="shared" si="45"/>
        <v/>
      </c>
      <c r="AH656" s="48" t="str">
        <f t="shared" si="46"/>
        <v/>
      </c>
      <c r="AI656" s="40" t="str">
        <f t="shared" si="47"/>
        <v/>
      </c>
      <c r="AJ656" s="40"/>
      <c r="AK656" s="40"/>
      <c r="AL656" s="22"/>
    </row>
    <row r="657" spans="1:38" ht="17.399999999999999">
      <c r="A657" s="22"/>
      <c r="B657" s="22"/>
      <c r="C657" s="56"/>
      <c r="D657" s="56"/>
      <c r="E657" s="22"/>
      <c r="F657" s="22"/>
      <c r="G657" s="22"/>
      <c r="H657" s="22"/>
      <c r="I657" s="49"/>
      <c r="J657" s="50"/>
      <c r="K657" s="22"/>
      <c r="L657" s="22"/>
      <c r="M657" s="22"/>
      <c r="N657" s="22"/>
      <c r="O657" s="22"/>
      <c r="P657" s="46"/>
      <c r="Q657" s="40"/>
      <c r="R657" s="41"/>
      <c r="S657" s="22" t="str">
        <f t="shared" si="43"/>
        <v/>
      </c>
      <c r="T657" s="41"/>
      <c r="U657" s="44"/>
      <c r="V657" s="44"/>
      <c r="W657" s="46"/>
      <c r="X657" s="46"/>
      <c r="Y657" s="46"/>
      <c r="Z657" s="22"/>
      <c r="AA657" s="22"/>
      <c r="AB657" s="22"/>
      <c r="AC657" s="22"/>
      <c r="AD657" s="22"/>
      <c r="AE657" s="22"/>
      <c r="AF657" s="48" t="str">
        <f t="shared" si="44"/>
        <v/>
      </c>
      <c r="AG657" s="48" t="str">
        <f t="shared" si="45"/>
        <v/>
      </c>
      <c r="AH657" s="48" t="str">
        <f t="shared" si="46"/>
        <v/>
      </c>
      <c r="AI657" s="40" t="str">
        <f t="shared" si="47"/>
        <v/>
      </c>
      <c r="AJ657" s="40"/>
      <c r="AK657" s="40"/>
      <c r="AL657" s="22"/>
    </row>
    <row r="658" spans="1:38" ht="17.399999999999999">
      <c r="A658" s="22"/>
      <c r="B658" s="22"/>
      <c r="C658" s="56"/>
      <c r="D658" s="56"/>
      <c r="E658" s="22"/>
      <c r="F658" s="22"/>
      <c r="G658" s="22"/>
      <c r="H658" s="22"/>
      <c r="I658" s="49"/>
      <c r="J658" s="50"/>
      <c r="K658" s="22"/>
      <c r="L658" s="22"/>
      <c r="M658" s="22"/>
      <c r="N658" s="22"/>
      <c r="O658" s="22"/>
      <c r="P658" s="46"/>
      <c r="Q658" s="40"/>
      <c r="R658" s="41"/>
      <c r="S658" s="22" t="str">
        <f t="shared" si="43"/>
        <v/>
      </c>
      <c r="T658" s="41"/>
      <c r="U658" s="44"/>
      <c r="V658" s="44"/>
      <c r="W658" s="46"/>
      <c r="X658" s="46"/>
      <c r="Y658" s="46"/>
      <c r="Z658" s="22"/>
      <c r="AA658" s="22"/>
      <c r="AB658" s="22"/>
      <c r="AC658" s="22"/>
      <c r="AD658" s="22"/>
      <c r="AE658" s="22"/>
      <c r="AF658" s="48" t="str">
        <f t="shared" si="44"/>
        <v/>
      </c>
      <c r="AG658" s="48" t="str">
        <f t="shared" si="45"/>
        <v/>
      </c>
      <c r="AH658" s="48" t="str">
        <f t="shared" si="46"/>
        <v/>
      </c>
      <c r="AI658" s="40" t="str">
        <f t="shared" si="47"/>
        <v/>
      </c>
      <c r="AJ658" s="40"/>
      <c r="AK658" s="40"/>
      <c r="AL658" s="22"/>
    </row>
    <row r="659" spans="1:38" ht="17.399999999999999">
      <c r="A659" s="22"/>
      <c r="B659" s="22"/>
      <c r="C659" s="56"/>
      <c r="D659" s="56"/>
      <c r="E659" s="22"/>
      <c r="F659" s="22"/>
      <c r="G659" s="22"/>
      <c r="H659" s="22"/>
      <c r="I659" s="49"/>
      <c r="J659" s="50"/>
      <c r="K659" s="22"/>
      <c r="L659" s="22"/>
      <c r="M659" s="22"/>
      <c r="N659" s="22"/>
      <c r="O659" s="22"/>
      <c r="P659" s="46"/>
      <c r="Q659" s="40"/>
      <c r="R659" s="41"/>
      <c r="S659" s="22" t="str">
        <f t="shared" si="43"/>
        <v/>
      </c>
      <c r="T659" s="41"/>
      <c r="U659" s="44"/>
      <c r="V659" s="44"/>
      <c r="W659" s="46"/>
      <c r="X659" s="46"/>
      <c r="Y659" s="46"/>
      <c r="Z659" s="22"/>
      <c r="AA659" s="22"/>
      <c r="AB659" s="22"/>
      <c r="AC659" s="22"/>
      <c r="AD659" s="22"/>
      <c r="AE659" s="22"/>
      <c r="AF659" s="48" t="str">
        <f t="shared" si="44"/>
        <v/>
      </c>
      <c r="AG659" s="48" t="str">
        <f t="shared" si="45"/>
        <v/>
      </c>
      <c r="AH659" s="48" t="str">
        <f t="shared" si="46"/>
        <v/>
      </c>
      <c r="AI659" s="40" t="str">
        <f t="shared" si="47"/>
        <v/>
      </c>
      <c r="AJ659" s="40"/>
      <c r="AK659" s="40"/>
      <c r="AL659" s="22"/>
    </row>
    <row r="660" spans="1:38" ht="17.399999999999999">
      <c r="A660" s="22"/>
      <c r="B660" s="22"/>
      <c r="C660" s="56"/>
      <c r="D660" s="56"/>
      <c r="E660" s="22"/>
      <c r="F660" s="22"/>
      <c r="G660" s="22"/>
      <c r="H660" s="22"/>
      <c r="I660" s="49"/>
      <c r="J660" s="50"/>
      <c r="K660" s="22"/>
      <c r="L660" s="22"/>
      <c r="M660" s="22"/>
      <c r="N660" s="22"/>
      <c r="O660" s="22"/>
      <c r="P660" s="46"/>
      <c r="Q660" s="40"/>
      <c r="R660" s="41"/>
      <c r="S660" s="22" t="str">
        <f t="shared" si="43"/>
        <v/>
      </c>
      <c r="T660" s="41"/>
      <c r="U660" s="44"/>
      <c r="V660" s="44"/>
      <c r="W660" s="46"/>
      <c r="X660" s="46"/>
      <c r="Y660" s="46"/>
      <c r="Z660" s="22"/>
      <c r="AA660" s="22"/>
      <c r="AB660" s="22"/>
      <c r="AC660" s="22"/>
      <c r="AD660" s="22"/>
      <c r="AE660" s="22"/>
      <c r="AF660" s="48" t="str">
        <f t="shared" si="44"/>
        <v/>
      </c>
      <c r="AG660" s="48" t="str">
        <f t="shared" si="45"/>
        <v/>
      </c>
      <c r="AH660" s="48" t="str">
        <f t="shared" si="46"/>
        <v/>
      </c>
      <c r="AI660" s="40" t="str">
        <f t="shared" si="47"/>
        <v/>
      </c>
      <c r="AJ660" s="40"/>
      <c r="AK660" s="40"/>
      <c r="AL660" s="22"/>
    </row>
    <row r="661" spans="1:38" ht="17.399999999999999">
      <c r="A661" s="22"/>
      <c r="B661" s="22"/>
      <c r="C661" s="56"/>
      <c r="D661" s="56"/>
      <c r="E661" s="22"/>
      <c r="F661" s="22"/>
      <c r="G661" s="22"/>
      <c r="H661" s="22"/>
      <c r="I661" s="49"/>
      <c r="J661" s="50"/>
      <c r="K661" s="22"/>
      <c r="L661" s="22"/>
      <c r="M661" s="22"/>
      <c r="N661" s="22"/>
      <c r="O661" s="22"/>
      <c r="P661" s="46"/>
      <c r="Q661" s="40"/>
      <c r="R661" s="41"/>
      <c r="S661" s="22" t="str">
        <f t="shared" si="43"/>
        <v/>
      </c>
      <c r="T661" s="41"/>
      <c r="U661" s="44"/>
      <c r="V661" s="44"/>
      <c r="W661" s="46"/>
      <c r="X661" s="46"/>
      <c r="Y661" s="46"/>
      <c r="Z661" s="22"/>
      <c r="AA661" s="22"/>
      <c r="AB661" s="22"/>
      <c r="AC661" s="22"/>
      <c r="AD661" s="22"/>
      <c r="AE661" s="22"/>
      <c r="AF661" s="48" t="str">
        <f t="shared" si="44"/>
        <v/>
      </c>
      <c r="AG661" s="48" t="str">
        <f t="shared" si="45"/>
        <v/>
      </c>
      <c r="AH661" s="48" t="str">
        <f t="shared" si="46"/>
        <v/>
      </c>
      <c r="AI661" s="40" t="str">
        <f t="shared" si="47"/>
        <v/>
      </c>
      <c r="AJ661" s="40"/>
      <c r="AK661" s="40"/>
      <c r="AL661" s="22"/>
    </row>
    <row r="662" spans="1:38" ht="17.399999999999999">
      <c r="A662" s="22"/>
      <c r="B662" s="22"/>
      <c r="C662" s="56"/>
      <c r="D662" s="56"/>
      <c r="E662" s="22"/>
      <c r="F662" s="22"/>
      <c r="G662" s="22"/>
      <c r="H662" s="22"/>
      <c r="I662" s="49"/>
      <c r="J662" s="50"/>
      <c r="K662" s="22"/>
      <c r="L662" s="22"/>
      <c r="M662" s="22"/>
      <c r="N662" s="22"/>
      <c r="O662" s="22"/>
      <c r="P662" s="46"/>
      <c r="Q662" s="40"/>
      <c r="R662" s="41"/>
      <c r="S662" s="22" t="str">
        <f t="shared" si="43"/>
        <v/>
      </c>
      <c r="T662" s="41"/>
      <c r="U662" s="44"/>
      <c r="V662" s="44"/>
      <c r="W662" s="46"/>
      <c r="X662" s="46"/>
      <c r="Y662" s="46"/>
      <c r="Z662" s="22"/>
      <c r="AA662" s="22"/>
      <c r="AB662" s="22"/>
      <c r="AC662" s="22"/>
      <c r="AD662" s="22"/>
      <c r="AE662" s="22"/>
      <c r="AF662" s="48" t="str">
        <f t="shared" si="44"/>
        <v/>
      </c>
      <c r="AG662" s="48" t="str">
        <f t="shared" si="45"/>
        <v/>
      </c>
      <c r="AH662" s="48" t="str">
        <f t="shared" si="46"/>
        <v/>
      </c>
      <c r="AI662" s="40" t="str">
        <f t="shared" si="47"/>
        <v/>
      </c>
      <c r="AJ662" s="40"/>
      <c r="AK662" s="40"/>
      <c r="AL662" s="22"/>
    </row>
    <row r="663" spans="1:38" ht="17.399999999999999">
      <c r="A663" s="22"/>
      <c r="B663" s="22"/>
      <c r="C663" s="56"/>
      <c r="D663" s="56"/>
      <c r="E663" s="22"/>
      <c r="F663" s="22"/>
      <c r="G663" s="22"/>
      <c r="H663" s="22"/>
      <c r="I663" s="49"/>
      <c r="J663" s="50"/>
      <c r="K663" s="22"/>
      <c r="L663" s="22"/>
      <c r="M663" s="22"/>
      <c r="N663" s="22"/>
      <c r="O663" s="22"/>
      <c r="P663" s="46"/>
      <c r="Q663" s="40"/>
      <c r="R663" s="41"/>
      <c r="S663" s="22" t="str">
        <f t="shared" ref="S663:S726" si="48">IF(A663="","",M663+O663)</f>
        <v/>
      </c>
      <c r="T663" s="41"/>
      <c r="U663" s="44"/>
      <c r="V663" s="44"/>
      <c r="W663" s="46"/>
      <c r="X663" s="46"/>
      <c r="Y663" s="46"/>
      <c r="Z663" s="22"/>
      <c r="AA663" s="22"/>
      <c r="AB663" s="22"/>
      <c r="AC663" s="22"/>
      <c r="AD663" s="22"/>
      <c r="AE663" s="22"/>
      <c r="AF663" s="48" t="str">
        <f t="shared" ref="AF663:AF726" si="49">IF(A663="","",S663-X663)</f>
        <v/>
      </c>
      <c r="AG663" s="48" t="str">
        <f t="shared" ref="AG663:AG726" si="50">IF(A663="","",X663-(AB663+AE663))</f>
        <v/>
      </c>
      <c r="AH663" s="48" t="str">
        <f t="shared" ref="AH663:AH726" si="51">IF(A663="","",AF663+AG663)</f>
        <v/>
      </c>
      <c r="AI663" s="40" t="str">
        <f t="shared" ref="AI663:AI726" si="52">IF(A663="","",R663+21)</f>
        <v/>
      </c>
      <c r="AJ663" s="40"/>
      <c r="AK663" s="40"/>
      <c r="AL663" s="22"/>
    </row>
    <row r="664" spans="1:38" ht="17.399999999999999">
      <c r="A664" s="22"/>
      <c r="B664" s="22"/>
      <c r="C664" s="56"/>
      <c r="D664" s="56"/>
      <c r="E664" s="22"/>
      <c r="F664" s="22"/>
      <c r="G664" s="22"/>
      <c r="H664" s="22"/>
      <c r="I664" s="49"/>
      <c r="J664" s="50"/>
      <c r="K664" s="22"/>
      <c r="L664" s="22"/>
      <c r="M664" s="22"/>
      <c r="N664" s="22"/>
      <c r="O664" s="22"/>
      <c r="P664" s="46"/>
      <c r="Q664" s="40"/>
      <c r="R664" s="41"/>
      <c r="S664" s="22" t="str">
        <f t="shared" si="48"/>
        <v/>
      </c>
      <c r="T664" s="41"/>
      <c r="U664" s="44"/>
      <c r="V664" s="44"/>
      <c r="W664" s="46"/>
      <c r="X664" s="46"/>
      <c r="Y664" s="46"/>
      <c r="Z664" s="22"/>
      <c r="AA664" s="22"/>
      <c r="AB664" s="22"/>
      <c r="AC664" s="22"/>
      <c r="AD664" s="22"/>
      <c r="AE664" s="22"/>
      <c r="AF664" s="48" t="str">
        <f t="shared" si="49"/>
        <v/>
      </c>
      <c r="AG664" s="48" t="str">
        <f t="shared" si="50"/>
        <v/>
      </c>
      <c r="AH664" s="48" t="str">
        <f t="shared" si="51"/>
        <v/>
      </c>
      <c r="AI664" s="40" t="str">
        <f t="shared" si="52"/>
        <v/>
      </c>
      <c r="AJ664" s="40"/>
      <c r="AK664" s="40"/>
      <c r="AL664" s="22"/>
    </row>
    <row r="665" spans="1:38" ht="17.399999999999999">
      <c r="A665" s="22"/>
      <c r="B665" s="22"/>
      <c r="C665" s="56"/>
      <c r="D665" s="56"/>
      <c r="E665" s="22"/>
      <c r="F665" s="22"/>
      <c r="G665" s="22"/>
      <c r="H665" s="22"/>
      <c r="I665" s="49"/>
      <c r="J665" s="50"/>
      <c r="K665" s="22"/>
      <c r="L665" s="22"/>
      <c r="M665" s="22"/>
      <c r="N665" s="22"/>
      <c r="O665" s="22"/>
      <c r="P665" s="46"/>
      <c r="Q665" s="40"/>
      <c r="R665" s="41"/>
      <c r="S665" s="22" t="str">
        <f t="shared" si="48"/>
        <v/>
      </c>
      <c r="T665" s="41"/>
      <c r="U665" s="44"/>
      <c r="V665" s="44"/>
      <c r="W665" s="46"/>
      <c r="X665" s="46"/>
      <c r="Y665" s="46"/>
      <c r="Z665" s="22"/>
      <c r="AA665" s="22"/>
      <c r="AB665" s="22"/>
      <c r="AC665" s="22"/>
      <c r="AD665" s="22"/>
      <c r="AE665" s="22"/>
      <c r="AF665" s="48" t="str">
        <f t="shared" si="49"/>
        <v/>
      </c>
      <c r="AG665" s="48" t="str">
        <f t="shared" si="50"/>
        <v/>
      </c>
      <c r="AH665" s="48" t="str">
        <f t="shared" si="51"/>
        <v/>
      </c>
      <c r="AI665" s="40" t="str">
        <f t="shared" si="52"/>
        <v/>
      </c>
      <c r="AJ665" s="40"/>
      <c r="AK665" s="40"/>
      <c r="AL665" s="22"/>
    </row>
    <row r="666" spans="1:38" ht="17.399999999999999">
      <c r="A666" s="22"/>
      <c r="B666" s="22"/>
      <c r="C666" s="56"/>
      <c r="D666" s="56"/>
      <c r="E666" s="22"/>
      <c r="F666" s="22"/>
      <c r="G666" s="22"/>
      <c r="H666" s="22"/>
      <c r="I666" s="49"/>
      <c r="J666" s="50"/>
      <c r="K666" s="22"/>
      <c r="L666" s="22"/>
      <c r="M666" s="22"/>
      <c r="N666" s="22"/>
      <c r="O666" s="22"/>
      <c r="P666" s="46"/>
      <c r="Q666" s="40"/>
      <c r="R666" s="41"/>
      <c r="S666" s="22" t="str">
        <f t="shared" si="48"/>
        <v/>
      </c>
      <c r="T666" s="41"/>
      <c r="U666" s="44"/>
      <c r="V666" s="44"/>
      <c r="W666" s="46"/>
      <c r="X666" s="46"/>
      <c r="Y666" s="46"/>
      <c r="Z666" s="22"/>
      <c r="AA666" s="22"/>
      <c r="AB666" s="22"/>
      <c r="AC666" s="22"/>
      <c r="AD666" s="22"/>
      <c r="AE666" s="22"/>
      <c r="AF666" s="48" t="str">
        <f t="shared" si="49"/>
        <v/>
      </c>
      <c r="AG666" s="48" t="str">
        <f t="shared" si="50"/>
        <v/>
      </c>
      <c r="AH666" s="48" t="str">
        <f t="shared" si="51"/>
        <v/>
      </c>
      <c r="AI666" s="40" t="str">
        <f t="shared" si="52"/>
        <v/>
      </c>
      <c r="AJ666" s="40"/>
      <c r="AK666" s="40"/>
      <c r="AL666" s="22"/>
    </row>
    <row r="667" spans="1:38" ht="17.399999999999999">
      <c r="A667" s="22"/>
      <c r="B667" s="22"/>
      <c r="C667" s="56"/>
      <c r="D667" s="56"/>
      <c r="E667" s="22"/>
      <c r="F667" s="22"/>
      <c r="G667" s="22"/>
      <c r="H667" s="22"/>
      <c r="I667" s="49"/>
      <c r="J667" s="50"/>
      <c r="K667" s="22"/>
      <c r="L667" s="22"/>
      <c r="M667" s="22"/>
      <c r="N667" s="22"/>
      <c r="O667" s="22"/>
      <c r="P667" s="46"/>
      <c r="Q667" s="40"/>
      <c r="R667" s="41"/>
      <c r="S667" s="22" t="str">
        <f t="shared" si="48"/>
        <v/>
      </c>
      <c r="T667" s="41"/>
      <c r="U667" s="44"/>
      <c r="V667" s="44"/>
      <c r="W667" s="46"/>
      <c r="X667" s="46"/>
      <c r="Y667" s="46"/>
      <c r="Z667" s="22"/>
      <c r="AA667" s="22"/>
      <c r="AB667" s="22"/>
      <c r="AC667" s="22"/>
      <c r="AD667" s="22"/>
      <c r="AE667" s="22"/>
      <c r="AF667" s="48" t="str">
        <f t="shared" si="49"/>
        <v/>
      </c>
      <c r="AG667" s="48" t="str">
        <f t="shared" si="50"/>
        <v/>
      </c>
      <c r="AH667" s="48" t="str">
        <f t="shared" si="51"/>
        <v/>
      </c>
      <c r="AI667" s="40" t="str">
        <f t="shared" si="52"/>
        <v/>
      </c>
      <c r="AJ667" s="40"/>
      <c r="AK667" s="40"/>
      <c r="AL667" s="22"/>
    </row>
    <row r="668" spans="1:38" ht="17.399999999999999">
      <c r="A668" s="22"/>
      <c r="B668" s="22"/>
      <c r="C668" s="56"/>
      <c r="D668" s="56"/>
      <c r="E668" s="22"/>
      <c r="F668" s="22"/>
      <c r="G668" s="22"/>
      <c r="H668" s="22"/>
      <c r="I668" s="49"/>
      <c r="J668" s="50"/>
      <c r="K668" s="22"/>
      <c r="L668" s="22"/>
      <c r="M668" s="22"/>
      <c r="N668" s="22"/>
      <c r="O668" s="22"/>
      <c r="P668" s="46"/>
      <c r="Q668" s="40"/>
      <c r="R668" s="41"/>
      <c r="S668" s="22" t="str">
        <f t="shared" si="48"/>
        <v/>
      </c>
      <c r="T668" s="41"/>
      <c r="U668" s="44"/>
      <c r="V668" s="44"/>
      <c r="W668" s="46"/>
      <c r="X668" s="46"/>
      <c r="Y668" s="46"/>
      <c r="Z668" s="22"/>
      <c r="AA668" s="22"/>
      <c r="AB668" s="22"/>
      <c r="AC668" s="22"/>
      <c r="AD668" s="22"/>
      <c r="AE668" s="22"/>
      <c r="AF668" s="48" t="str">
        <f t="shared" si="49"/>
        <v/>
      </c>
      <c r="AG668" s="48" t="str">
        <f t="shared" si="50"/>
        <v/>
      </c>
      <c r="AH668" s="48" t="str">
        <f t="shared" si="51"/>
        <v/>
      </c>
      <c r="AI668" s="40" t="str">
        <f t="shared" si="52"/>
        <v/>
      </c>
      <c r="AJ668" s="40"/>
      <c r="AK668" s="40"/>
      <c r="AL668" s="22"/>
    </row>
    <row r="669" spans="1:38" ht="17.399999999999999">
      <c r="A669" s="22"/>
      <c r="B669" s="22"/>
      <c r="C669" s="56"/>
      <c r="D669" s="56"/>
      <c r="E669" s="22"/>
      <c r="F669" s="22"/>
      <c r="G669" s="22"/>
      <c r="H669" s="22"/>
      <c r="I669" s="49"/>
      <c r="J669" s="50"/>
      <c r="K669" s="22"/>
      <c r="L669" s="22"/>
      <c r="M669" s="22"/>
      <c r="N669" s="22"/>
      <c r="O669" s="22"/>
      <c r="P669" s="46"/>
      <c r="Q669" s="40"/>
      <c r="R669" s="41"/>
      <c r="S669" s="22" t="str">
        <f t="shared" si="48"/>
        <v/>
      </c>
      <c r="T669" s="41"/>
      <c r="U669" s="44"/>
      <c r="V669" s="44"/>
      <c r="W669" s="46"/>
      <c r="X669" s="46"/>
      <c r="Y669" s="46"/>
      <c r="Z669" s="22"/>
      <c r="AA669" s="22"/>
      <c r="AB669" s="22"/>
      <c r="AC669" s="22"/>
      <c r="AD669" s="22"/>
      <c r="AE669" s="22"/>
      <c r="AF669" s="48" t="str">
        <f t="shared" si="49"/>
        <v/>
      </c>
      <c r="AG669" s="48" t="str">
        <f t="shared" si="50"/>
        <v/>
      </c>
      <c r="AH669" s="48" t="str">
        <f t="shared" si="51"/>
        <v/>
      </c>
      <c r="AI669" s="40" t="str">
        <f t="shared" si="52"/>
        <v/>
      </c>
      <c r="AJ669" s="40"/>
      <c r="AK669" s="40"/>
      <c r="AL669" s="22"/>
    </row>
    <row r="670" spans="1:38" ht="17.399999999999999">
      <c r="A670" s="22"/>
      <c r="B670" s="22"/>
      <c r="C670" s="56"/>
      <c r="D670" s="56"/>
      <c r="E670" s="22"/>
      <c r="F670" s="22"/>
      <c r="G670" s="22"/>
      <c r="H670" s="22"/>
      <c r="I670" s="49"/>
      <c r="J670" s="50"/>
      <c r="K670" s="22"/>
      <c r="L670" s="22"/>
      <c r="M670" s="22"/>
      <c r="N670" s="22"/>
      <c r="O670" s="22"/>
      <c r="P670" s="46"/>
      <c r="Q670" s="40"/>
      <c r="R670" s="41"/>
      <c r="S670" s="22" t="str">
        <f t="shared" si="48"/>
        <v/>
      </c>
      <c r="T670" s="41"/>
      <c r="U670" s="44"/>
      <c r="V670" s="44"/>
      <c r="W670" s="46"/>
      <c r="X670" s="46"/>
      <c r="Y670" s="46"/>
      <c r="Z670" s="22"/>
      <c r="AA670" s="22"/>
      <c r="AB670" s="22"/>
      <c r="AC670" s="22"/>
      <c r="AD670" s="22"/>
      <c r="AE670" s="22"/>
      <c r="AF670" s="48" t="str">
        <f t="shared" si="49"/>
        <v/>
      </c>
      <c r="AG670" s="48" t="str">
        <f t="shared" si="50"/>
        <v/>
      </c>
      <c r="AH670" s="48" t="str">
        <f t="shared" si="51"/>
        <v/>
      </c>
      <c r="AI670" s="40" t="str">
        <f t="shared" si="52"/>
        <v/>
      </c>
      <c r="AJ670" s="40"/>
      <c r="AK670" s="40"/>
      <c r="AL670" s="22"/>
    </row>
    <row r="671" spans="1:38" ht="17.399999999999999">
      <c r="A671" s="22"/>
      <c r="B671" s="22"/>
      <c r="C671" s="56"/>
      <c r="D671" s="56"/>
      <c r="E671" s="22"/>
      <c r="F671" s="22"/>
      <c r="G671" s="22"/>
      <c r="H671" s="22"/>
      <c r="I671" s="49"/>
      <c r="J671" s="50"/>
      <c r="K671" s="22"/>
      <c r="L671" s="22"/>
      <c r="M671" s="22"/>
      <c r="N671" s="22"/>
      <c r="O671" s="22"/>
      <c r="P671" s="46"/>
      <c r="Q671" s="40"/>
      <c r="R671" s="41"/>
      <c r="S671" s="22" t="str">
        <f t="shared" si="48"/>
        <v/>
      </c>
      <c r="T671" s="41"/>
      <c r="U671" s="44"/>
      <c r="V671" s="44"/>
      <c r="W671" s="46"/>
      <c r="X671" s="46"/>
      <c r="Y671" s="46"/>
      <c r="Z671" s="22"/>
      <c r="AA671" s="22"/>
      <c r="AB671" s="22"/>
      <c r="AC671" s="22"/>
      <c r="AD671" s="22"/>
      <c r="AE671" s="22"/>
      <c r="AF671" s="48" t="str">
        <f t="shared" si="49"/>
        <v/>
      </c>
      <c r="AG671" s="48" t="str">
        <f t="shared" si="50"/>
        <v/>
      </c>
      <c r="AH671" s="48" t="str">
        <f t="shared" si="51"/>
        <v/>
      </c>
      <c r="AI671" s="40" t="str">
        <f t="shared" si="52"/>
        <v/>
      </c>
      <c r="AJ671" s="40"/>
      <c r="AK671" s="40"/>
      <c r="AL671" s="22"/>
    </row>
    <row r="672" spans="1:38" ht="17.399999999999999">
      <c r="A672" s="22"/>
      <c r="B672" s="22"/>
      <c r="C672" s="56"/>
      <c r="D672" s="56"/>
      <c r="E672" s="22"/>
      <c r="F672" s="22"/>
      <c r="G672" s="22"/>
      <c r="H672" s="22"/>
      <c r="I672" s="49"/>
      <c r="J672" s="50"/>
      <c r="K672" s="22"/>
      <c r="L672" s="22"/>
      <c r="M672" s="22"/>
      <c r="N672" s="22"/>
      <c r="O672" s="22"/>
      <c r="P672" s="46"/>
      <c r="Q672" s="40"/>
      <c r="R672" s="41"/>
      <c r="S672" s="22" t="str">
        <f t="shared" si="48"/>
        <v/>
      </c>
      <c r="T672" s="41"/>
      <c r="U672" s="44"/>
      <c r="V672" s="44"/>
      <c r="W672" s="46"/>
      <c r="X672" s="46"/>
      <c r="Y672" s="46"/>
      <c r="Z672" s="22"/>
      <c r="AA672" s="22"/>
      <c r="AB672" s="22"/>
      <c r="AC672" s="22"/>
      <c r="AD672" s="22"/>
      <c r="AE672" s="22"/>
      <c r="AF672" s="48" t="str">
        <f t="shared" si="49"/>
        <v/>
      </c>
      <c r="AG672" s="48" t="str">
        <f t="shared" si="50"/>
        <v/>
      </c>
      <c r="AH672" s="48" t="str">
        <f t="shared" si="51"/>
        <v/>
      </c>
      <c r="AI672" s="40" t="str">
        <f t="shared" si="52"/>
        <v/>
      </c>
      <c r="AJ672" s="40"/>
      <c r="AK672" s="40"/>
      <c r="AL672" s="22"/>
    </row>
    <row r="673" spans="1:38" ht="17.399999999999999">
      <c r="A673" s="22"/>
      <c r="B673" s="22"/>
      <c r="C673" s="56"/>
      <c r="D673" s="56"/>
      <c r="E673" s="22"/>
      <c r="F673" s="22"/>
      <c r="G673" s="22"/>
      <c r="H673" s="22"/>
      <c r="I673" s="49"/>
      <c r="J673" s="50"/>
      <c r="K673" s="22"/>
      <c r="L673" s="22"/>
      <c r="M673" s="22"/>
      <c r="N673" s="22"/>
      <c r="O673" s="22"/>
      <c r="P673" s="46"/>
      <c r="Q673" s="40"/>
      <c r="R673" s="41"/>
      <c r="S673" s="22" t="str">
        <f t="shared" si="48"/>
        <v/>
      </c>
      <c r="T673" s="41"/>
      <c r="U673" s="44"/>
      <c r="V673" s="44"/>
      <c r="W673" s="46"/>
      <c r="X673" s="46"/>
      <c r="Y673" s="46"/>
      <c r="Z673" s="22"/>
      <c r="AA673" s="22"/>
      <c r="AB673" s="22"/>
      <c r="AC673" s="22"/>
      <c r="AD673" s="22"/>
      <c r="AE673" s="22"/>
      <c r="AF673" s="48" t="str">
        <f t="shared" si="49"/>
        <v/>
      </c>
      <c r="AG673" s="48" t="str">
        <f t="shared" si="50"/>
        <v/>
      </c>
      <c r="AH673" s="48" t="str">
        <f t="shared" si="51"/>
        <v/>
      </c>
      <c r="AI673" s="40" t="str">
        <f t="shared" si="52"/>
        <v/>
      </c>
      <c r="AJ673" s="40"/>
      <c r="AK673" s="40"/>
      <c r="AL673" s="22"/>
    </row>
    <row r="674" spans="1:38" ht="17.399999999999999">
      <c r="A674" s="22"/>
      <c r="B674" s="22"/>
      <c r="C674" s="56"/>
      <c r="D674" s="56"/>
      <c r="E674" s="22"/>
      <c r="F674" s="22"/>
      <c r="G674" s="22"/>
      <c r="H674" s="22"/>
      <c r="I674" s="49"/>
      <c r="J674" s="50"/>
      <c r="K674" s="22"/>
      <c r="L674" s="22"/>
      <c r="M674" s="22"/>
      <c r="N674" s="22"/>
      <c r="O674" s="22"/>
      <c r="P674" s="46"/>
      <c r="Q674" s="40"/>
      <c r="R674" s="41"/>
      <c r="S674" s="22" t="str">
        <f t="shared" si="48"/>
        <v/>
      </c>
      <c r="T674" s="41"/>
      <c r="U674" s="44"/>
      <c r="V674" s="44"/>
      <c r="W674" s="46"/>
      <c r="X674" s="46"/>
      <c r="Y674" s="46"/>
      <c r="Z674" s="22"/>
      <c r="AA674" s="22"/>
      <c r="AB674" s="22"/>
      <c r="AC674" s="22"/>
      <c r="AD674" s="22"/>
      <c r="AE674" s="22"/>
      <c r="AF674" s="48" t="str">
        <f t="shared" si="49"/>
        <v/>
      </c>
      <c r="AG674" s="48" t="str">
        <f t="shared" si="50"/>
        <v/>
      </c>
      <c r="AH674" s="48" t="str">
        <f t="shared" si="51"/>
        <v/>
      </c>
      <c r="AI674" s="40" t="str">
        <f t="shared" si="52"/>
        <v/>
      </c>
      <c r="AJ674" s="40"/>
      <c r="AK674" s="40"/>
      <c r="AL674" s="22"/>
    </row>
    <row r="675" spans="1:38" ht="17.399999999999999">
      <c r="A675" s="22"/>
      <c r="B675" s="22"/>
      <c r="C675" s="56"/>
      <c r="D675" s="56"/>
      <c r="E675" s="22"/>
      <c r="F675" s="22"/>
      <c r="G675" s="22"/>
      <c r="H675" s="22"/>
      <c r="I675" s="49"/>
      <c r="J675" s="50"/>
      <c r="K675" s="22"/>
      <c r="L675" s="22"/>
      <c r="M675" s="22"/>
      <c r="N675" s="22"/>
      <c r="O675" s="22"/>
      <c r="P675" s="46"/>
      <c r="Q675" s="40"/>
      <c r="R675" s="41"/>
      <c r="S675" s="22" t="str">
        <f t="shared" si="48"/>
        <v/>
      </c>
      <c r="T675" s="41"/>
      <c r="U675" s="44"/>
      <c r="V675" s="44"/>
      <c r="W675" s="46"/>
      <c r="X675" s="46"/>
      <c r="Y675" s="46"/>
      <c r="Z675" s="22"/>
      <c r="AA675" s="22"/>
      <c r="AB675" s="22"/>
      <c r="AC675" s="22"/>
      <c r="AD675" s="22"/>
      <c r="AE675" s="22"/>
      <c r="AF675" s="48" t="str">
        <f t="shared" si="49"/>
        <v/>
      </c>
      <c r="AG675" s="48" t="str">
        <f t="shared" si="50"/>
        <v/>
      </c>
      <c r="AH675" s="48" t="str">
        <f t="shared" si="51"/>
        <v/>
      </c>
      <c r="AI675" s="40" t="str">
        <f t="shared" si="52"/>
        <v/>
      </c>
      <c r="AJ675" s="40"/>
      <c r="AK675" s="40"/>
      <c r="AL675" s="22"/>
    </row>
    <row r="676" spans="1:38" ht="17.399999999999999">
      <c r="A676" s="22"/>
      <c r="B676" s="22"/>
      <c r="C676" s="56"/>
      <c r="D676" s="56"/>
      <c r="E676" s="22"/>
      <c r="F676" s="22"/>
      <c r="G676" s="22"/>
      <c r="H676" s="22"/>
      <c r="I676" s="49"/>
      <c r="J676" s="50"/>
      <c r="K676" s="22"/>
      <c r="L676" s="22"/>
      <c r="M676" s="22"/>
      <c r="N676" s="22"/>
      <c r="O676" s="22"/>
      <c r="P676" s="46"/>
      <c r="Q676" s="40"/>
      <c r="R676" s="41"/>
      <c r="S676" s="22" t="str">
        <f t="shared" si="48"/>
        <v/>
      </c>
      <c r="T676" s="41"/>
      <c r="U676" s="44"/>
      <c r="V676" s="44"/>
      <c r="W676" s="46"/>
      <c r="X676" s="46"/>
      <c r="Y676" s="46"/>
      <c r="Z676" s="22"/>
      <c r="AA676" s="22"/>
      <c r="AB676" s="22"/>
      <c r="AC676" s="22"/>
      <c r="AD676" s="22"/>
      <c r="AE676" s="22"/>
      <c r="AF676" s="48" t="str">
        <f t="shared" si="49"/>
        <v/>
      </c>
      <c r="AG676" s="48" t="str">
        <f t="shared" si="50"/>
        <v/>
      </c>
      <c r="AH676" s="48" t="str">
        <f t="shared" si="51"/>
        <v/>
      </c>
      <c r="AI676" s="40" t="str">
        <f t="shared" si="52"/>
        <v/>
      </c>
      <c r="AJ676" s="40"/>
      <c r="AK676" s="40"/>
      <c r="AL676" s="22"/>
    </row>
    <row r="677" spans="1:38" ht="17.399999999999999">
      <c r="A677" s="22"/>
      <c r="B677" s="22"/>
      <c r="C677" s="56"/>
      <c r="D677" s="56"/>
      <c r="E677" s="22"/>
      <c r="F677" s="22"/>
      <c r="G677" s="22"/>
      <c r="H677" s="22"/>
      <c r="I677" s="49"/>
      <c r="J677" s="50"/>
      <c r="K677" s="22"/>
      <c r="L677" s="22"/>
      <c r="M677" s="22"/>
      <c r="N677" s="22"/>
      <c r="O677" s="22"/>
      <c r="P677" s="46"/>
      <c r="Q677" s="40"/>
      <c r="R677" s="41"/>
      <c r="S677" s="22" t="str">
        <f t="shared" si="48"/>
        <v/>
      </c>
      <c r="T677" s="41"/>
      <c r="U677" s="44"/>
      <c r="V677" s="44"/>
      <c r="W677" s="46"/>
      <c r="X677" s="46"/>
      <c r="Y677" s="46"/>
      <c r="Z677" s="22"/>
      <c r="AA677" s="22"/>
      <c r="AB677" s="22"/>
      <c r="AC677" s="22"/>
      <c r="AD677" s="22"/>
      <c r="AE677" s="22"/>
      <c r="AF677" s="48" t="str">
        <f t="shared" si="49"/>
        <v/>
      </c>
      <c r="AG677" s="48" t="str">
        <f t="shared" si="50"/>
        <v/>
      </c>
      <c r="AH677" s="48" t="str">
        <f t="shared" si="51"/>
        <v/>
      </c>
      <c r="AI677" s="40" t="str">
        <f t="shared" si="52"/>
        <v/>
      </c>
      <c r="AJ677" s="40"/>
      <c r="AK677" s="40"/>
      <c r="AL677" s="22"/>
    </row>
    <row r="678" spans="1:38" ht="17.399999999999999">
      <c r="A678" s="22"/>
      <c r="B678" s="22"/>
      <c r="C678" s="56"/>
      <c r="D678" s="56"/>
      <c r="E678" s="22"/>
      <c r="F678" s="22"/>
      <c r="G678" s="22"/>
      <c r="H678" s="22"/>
      <c r="I678" s="49"/>
      <c r="J678" s="50"/>
      <c r="K678" s="22"/>
      <c r="L678" s="22"/>
      <c r="M678" s="22"/>
      <c r="N678" s="22"/>
      <c r="O678" s="22"/>
      <c r="P678" s="46"/>
      <c r="Q678" s="40"/>
      <c r="R678" s="41"/>
      <c r="S678" s="22" t="str">
        <f t="shared" si="48"/>
        <v/>
      </c>
      <c r="T678" s="41"/>
      <c r="U678" s="44"/>
      <c r="V678" s="44"/>
      <c r="W678" s="46"/>
      <c r="X678" s="46"/>
      <c r="Y678" s="46"/>
      <c r="Z678" s="22"/>
      <c r="AA678" s="22"/>
      <c r="AB678" s="22"/>
      <c r="AC678" s="22"/>
      <c r="AD678" s="22"/>
      <c r="AE678" s="22"/>
      <c r="AF678" s="48" t="str">
        <f t="shared" si="49"/>
        <v/>
      </c>
      <c r="AG678" s="48" t="str">
        <f t="shared" si="50"/>
        <v/>
      </c>
      <c r="AH678" s="48" t="str">
        <f t="shared" si="51"/>
        <v/>
      </c>
      <c r="AI678" s="40" t="str">
        <f t="shared" si="52"/>
        <v/>
      </c>
      <c r="AJ678" s="40"/>
      <c r="AK678" s="40"/>
      <c r="AL678" s="22"/>
    </row>
    <row r="679" spans="1:38" ht="17.399999999999999">
      <c r="A679" s="22"/>
      <c r="B679" s="22"/>
      <c r="C679" s="56"/>
      <c r="D679" s="56"/>
      <c r="E679" s="22"/>
      <c r="F679" s="22"/>
      <c r="G679" s="22"/>
      <c r="H679" s="22"/>
      <c r="I679" s="49"/>
      <c r="J679" s="50"/>
      <c r="K679" s="22"/>
      <c r="L679" s="22"/>
      <c r="M679" s="22"/>
      <c r="N679" s="22"/>
      <c r="O679" s="22"/>
      <c r="P679" s="46"/>
      <c r="Q679" s="40"/>
      <c r="R679" s="41"/>
      <c r="S679" s="22" t="str">
        <f t="shared" si="48"/>
        <v/>
      </c>
      <c r="T679" s="41"/>
      <c r="U679" s="44"/>
      <c r="V679" s="44"/>
      <c r="W679" s="46"/>
      <c r="X679" s="46"/>
      <c r="Y679" s="46"/>
      <c r="Z679" s="22"/>
      <c r="AA679" s="22"/>
      <c r="AB679" s="22"/>
      <c r="AC679" s="22"/>
      <c r="AD679" s="22"/>
      <c r="AE679" s="22"/>
      <c r="AF679" s="48" t="str">
        <f t="shared" si="49"/>
        <v/>
      </c>
      <c r="AG679" s="48" t="str">
        <f t="shared" si="50"/>
        <v/>
      </c>
      <c r="AH679" s="48" t="str">
        <f t="shared" si="51"/>
        <v/>
      </c>
      <c r="AI679" s="40" t="str">
        <f t="shared" si="52"/>
        <v/>
      </c>
      <c r="AJ679" s="40"/>
      <c r="AK679" s="40"/>
      <c r="AL679" s="22"/>
    </row>
    <row r="680" spans="1:38" ht="17.399999999999999">
      <c r="A680" s="22"/>
      <c r="B680" s="22"/>
      <c r="C680" s="56"/>
      <c r="D680" s="56"/>
      <c r="E680" s="22"/>
      <c r="F680" s="22"/>
      <c r="G680" s="22"/>
      <c r="H680" s="22"/>
      <c r="I680" s="49"/>
      <c r="J680" s="50"/>
      <c r="K680" s="22"/>
      <c r="L680" s="22"/>
      <c r="M680" s="22"/>
      <c r="N680" s="22"/>
      <c r="O680" s="22"/>
      <c r="P680" s="46"/>
      <c r="Q680" s="40"/>
      <c r="R680" s="41"/>
      <c r="S680" s="22" t="str">
        <f t="shared" si="48"/>
        <v/>
      </c>
      <c r="T680" s="41"/>
      <c r="U680" s="44"/>
      <c r="V680" s="44"/>
      <c r="W680" s="46"/>
      <c r="X680" s="46"/>
      <c r="Y680" s="46"/>
      <c r="Z680" s="22"/>
      <c r="AA680" s="22"/>
      <c r="AB680" s="22"/>
      <c r="AC680" s="22"/>
      <c r="AD680" s="22"/>
      <c r="AE680" s="22"/>
      <c r="AF680" s="48" t="str">
        <f t="shared" si="49"/>
        <v/>
      </c>
      <c r="AG680" s="48" t="str">
        <f t="shared" si="50"/>
        <v/>
      </c>
      <c r="AH680" s="48" t="str">
        <f t="shared" si="51"/>
        <v/>
      </c>
      <c r="AI680" s="40" t="str">
        <f t="shared" si="52"/>
        <v/>
      </c>
      <c r="AJ680" s="40"/>
      <c r="AK680" s="40"/>
      <c r="AL680" s="22"/>
    </row>
    <row r="681" spans="1:38" ht="17.399999999999999">
      <c r="A681" s="22"/>
      <c r="B681" s="22"/>
      <c r="C681" s="56"/>
      <c r="D681" s="56"/>
      <c r="E681" s="22"/>
      <c r="F681" s="22"/>
      <c r="G681" s="22"/>
      <c r="H681" s="22"/>
      <c r="I681" s="49"/>
      <c r="J681" s="50"/>
      <c r="K681" s="22"/>
      <c r="L681" s="22"/>
      <c r="M681" s="22"/>
      <c r="N681" s="22"/>
      <c r="O681" s="22"/>
      <c r="P681" s="46"/>
      <c r="Q681" s="40"/>
      <c r="R681" s="41"/>
      <c r="S681" s="22" t="str">
        <f t="shared" si="48"/>
        <v/>
      </c>
      <c r="T681" s="41"/>
      <c r="U681" s="44"/>
      <c r="V681" s="44"/>
      <c r="W681" s="46"/>
      <c r="X681" s="46"/>
      <c r="Y681" s="46"/>
      <c r="Z681" s="22"/>
      <c r="AA681" s="22"/>
      <c r="AB681" s="22"/>
      <c r="AC681" s="22"/>
      <c r="AD681" s="22"/>
      <c r="AE681" s="22"/>
      <c r="AF681" s="48" t="str">
        <f t="shared" si="49"/>
        <v/>
      </c>
      <c r="AG681" s="48" t="str">
        <f t="shared" si="50"/>
        <v/>
      </c>
      <c r="AH681" s="48" t="str">
        <f t="shared" si="51"/>
        <v/>
      </c>
      <c r="AI681" s="40" t="str">
        <f t="shared" si="52"/>
        <v/>
      </c>
      <c r="AJ681" s="40"/>
      <c r="AK681" s="40"/>
      <c r="AL681" s="22"/>
    </row>
    <row r="682" spans="1:38" ht="17.399999999999999">
      <c r="A682" s="22"/>
      <c r="B682" s="22"/>
      <c r="C682" s="56"/>
      <c r="D682" s="56"/>
      <c r="E682" s="22"/>
      <c r="F682" s="22"/>
      <c r="G682" s="22"/>
      <c r="H682" s="22"/>
      <c r="I682" s="49"/>
      <c r="J682" s="50"/>
      <c r="K682" s="22"/>
      <c r="L682" s="22"/>
      <c r="M682" s="22"/>
      <c r="N682" s="22"/>
      <c r="O682" s="22"/>
      <c r="P682" s="46"/>
      <c r="Q682" s="40"/>
      <c r="R682" s="41"/>
      <c r="S682" s="22" t="str">
        <f t="shared" si="48"/>
        <v/>
      </c>
      <c r="T682" s="41"/>
      <c r="U682" s="44"/>
      <c r="V682" s="44"/>
      <c r="W682" s="46"/>
      <c r="X682" s="46"/>
      <c r="Y682" s="46"/>
      <c r="Z682" s="22"/>
      <c r="AA682" s="22"/>
      <c r="AB682" s="22"/>
      <c r="AC682" s="22"/>
      <c r="AD682" s="22"/>
      <c r="AE682" s="22"/>
      <c r="AF682" s="48" t="str">
        <f t="shared" si="49"/>
        <v/>
      </c>
      <c r="AG682" s="48" t="str">
        <f t="shared" si="50"/>
        <v/>
      </c>
      <c r="AH682" s="48" t="str">
        <f t="shared" si="51"/>
        <v/>
      </c>
      <c r="AI682" s="40" t="str">
        <f t="shared" si="52"/>
        <v/>
      </c>
      <c r="AJ682" s="40"/>
      <c r="AK682" s="40"/>
      <c r="AL682" s="22"/>
    </row>
    <row r="683" spans="1:38" ht="17.399999999999999">
      <c r="A683" s="22"/>
      <c r="B683" s="22"/>
      <c r="C683" s="56"/>
      <c r="D683" s="56"/>
      <c r="E683" s="22"/>
      <c r="F683" s="22"/>
      <c r="G683" s="22"/>
      <c r="H683" s="22"/>
      <c r="I683" s="49"/>
      <c r="J683" s="50"/>
      <c r="K683" s="22"/>
      <c r="L683" s="22"/>
      <c r="M683" s="22"/>
      <c r="N683" s="22"/>
      <c r="O683" s="22"/>
      <c r="P683" s="46"/>
      <c r="Q683" s="40"/>
      <c r="R683" s="41"/>
      <c r="S683" s="22" t="str">
        <f t="shared" si="48"/>
        <v/>
      </c>
      <c r="T683" s="41"/>
      <c r="U683" s="44"/>
      <c r="V683" s="44"/>
      <c r="W683" s="46"/>
      <c r="X683" s="46"/>
      <c r="Y683" s="46"/>
      <c r="Z683" s="22"/>
      <c r="AA683" s="22"/>
      <c r="AB683" s="22"/>
      <c r="AC683" s="22"/>
      <c r="AD683" s="22"/>
      <c r="AE683" s="22"/>
      <c r="AF683" s="48" t="str">
        <f t="shared" si="49"/>
        <v/>
      </c>
      <c r="AG683" s="48" t="str">
        <f t="shared" si="50"/>
        <v/>
      </c>
      <c r="AH683" s="48" t="str">
        <f t="shared" si="51"/>
        <v/>
      </c>
      <c r="AI683" s="40" t="str">
        <f t="shared" si="52"/>
        <v/>
      </c>
      <c r="AJ683" s="40"/>
      <c r="AK683" s="40"/>
      <c r="AL683" s="22"/>
    </row>
    <row r="684" spans="1:38" ht="17.399999999999999">
      <c r="A684" s="22"/>
      <c r="B684" s="22"/>
      <c r="C684" s="56"/>
      <c r="D684" s="56"/>
      <c r="E684" s="22"/>
      <c r="F684" s="22"/>
      <c r="G684" s="22"/>
      <c r="H684" s="22"/>
      <c r="I684" s="49"/>
      <c r="J684" s="50"/>
      <c r="K684" s="22"/>
      <c r="L684" s="22"/>
      <c r="M684" s="22"/>
      <c r="N684" s="22"/>
      <c r="O684" s="22"/>
      <c r="P684" s="46"/>
      <c r="Q684" s="40"/>
      <c r="R684" s="41"/>
      <c r="S684" s="22" t="str">
        <f t="shared" si="48"/>
        <v/>
      </c>
      <c r="T684" s="41"/>
      <c r="U684" s="44"/>
      <c r="V684" s="44"/>
      <c r="W684" s="46"/>
      <c r="X684" s="46"/>
      <c r="Y684" s="46"/>
      <c r="Z684" s="22"/>
      <c r="AA684" s="22"/>
      <c r="AB684" s="22"/>
      <c r="AC684" s="22"/>
      <c r="AD684" s="22"/>
      <c r="AE684" s="22"/>
      <c r="AF684" s="48" t="str">
        <f t="shared" si="49"/>
        <v/>
      </c>
      <c r="AG684" s="48" t="str">
        <f t="shared" si="50"/>
        <v/>
      </c>
      <c r="AH684" s="48" t="str">
        <f t="shared" si="51"/>
        <v/>
      </c>
      <c r="AI684" s="40" t="str">
        <f t="shared" si="52"/>
        <v/>
      </c>
      <c r="AJ684" s="40"/>
      <c r="AK684" s="40"/>
      <c r="AL684" s="22"/>
    </row>
    <row r="685" spans="1:38" ht="17.399999999999999">
      <c r="A685" s="22"/>
      <c r="B685" s="22"/>
      <c r="C685" s="56"/>
      <c r="D685" s="56"/>
      <c r="E685" s="22"/>
      <c r="F685" s="22"/>
      <c r="G685" s="22"/>
      <c r="H685" s="22"/>
      <c r="I685" s="49"/>
      <c r="J685" s="50"/>
      <c r="K685" s="22"/>
      <c r="L685" s="22"/>
      <c r="M685" s="22"/>
      <c r="N685" s="22"/>
      <c r="O685" s="22"/>
      <c r="P685" s="46"/>
      <c r="Q685" s="40"/>
      <c r="R685" s="41"/>
      <c r="S685" s="22" t="str">
        <f t="shared" si="48"/>
        <v/>
      </c>
      <c r="T685" s="41"/>
      <c r="U685" s="44"/>
      <c r="V685" s="44"/>
      <c r="W685" s="46"/>
      <c r="X685" s="46"/>
      <c r="Y685" s="46"/>
      <c r="Z685" s="22"/>
      <c r="AA685" s="22"/>
      <c r="AB685" s="22"/>
      <c r="AC685" s="22"/>
      <c r="AD685" s="22"/>
      <c r="AE685" s="22"/>
      <c r="AF685" s="48" t="str">
        <f t="shared" si="49"/>
        <v/>
      </c>
      <c r="AG685" s="48" t="str">
        <f t="shared" si="50"/>
        <v/>
      </c>
      <c r="AH685" s="48" t="str">
        <f t="shared" si="51"/>
        <v/>
      </c>
      <c r="AI685" s="40" t="str">
        <f t="shared" si="52"/>
        <v/>
      </c>
      <c r="AJ685" s="40"/>
      <c r="AK685" s="40"/>
      <c r="AL685" s="22"/>
    </row>
    <row r="686" spans="1:38" ht="17.399999999999999">
      <c r="A686" s="22"/>
      <c r="B686" s="22"/>
      <c r="C686" s="56"/>
      <c r="D686" s="56"/>
      <c r="E686" s="22"/>
      <c r="F686" s="22"/>
      <c r="G686" s="22"/>
      <c r="H686" s="22"/>
      <c r="I686" s="49"/>
      <c r="J686" s="50"/>
      <c r="K686" s="22"/>
      <c r="L686" s="22"/>
      <c r="M686" s="22"/>
      <c r="N686" s="22"/>
      <c r="O686" s="22"/>
      <c r="P686" s="46"/>
      <c r="Q686" s="40"/>
      <c r="R686" s="41"/>
      <c r="S686" s="22" t="str">
        <f t="shared" si="48"/>
        <v/>
      </c>
      <c r="T686" s="41"/>
      <c r="U686" s="44"/>
      <c r="V686" s="44"/>
      <c r="W686" s="46"/>
      <c r="X686" s="46"/>
      <c r="Y686" s="46"/>
      <c r="Z686" s="22"/>
      <c r="AA686" s="22"/>
      <c r="AB686" s="22"/>
      <c r="AC686" s="22"/>
      <c r="AD686" s="22"/>
      <c r="AE686" s="22"/>
      <c r="AF686" s="48" t="str">
        <f t="shared" si="49"/>
        <v/>
      </c>
      <c r="AG686" s="48" t="str">
        <f t="shared" si="50"/>
        <v/>
      </c>
      <c r="AH686" s="48" t="str">
        <f t="shared" si="51"/>
        <v/>
      </c>
      <c r="AI686" s="40" t="str">
        <f t="shared" si="52"/>
        <v/>
      </c>
      <c r="AJ686" s="40"/>
      <c r="AK686" s="40"/>
      <c r="AL686" s="22"/>
    </row>
    <row r="687" spans="1:38" ht="17.399999999999999">
      <c r="A687" s="22"/>
      <c r="B687" s="22"/>
      <c r="C687" s="56"/>
      <c r="D687" s="56"/>
      <c r="E687" s="22"/>
      <c r="F687" s="22"/>
      <c r="G687" s="22"/>
      <c r="H687" s="22"/>
      <c r="I687" s="49"/>
      <c r="J687" s="50"/>
      <c r="K687" s="22"/>
      <c r="L687" s="22"/>
      <c r="M687" s="22"/>
      <c r="N687" s="22"/>
      <c r="O687" s="22"/>
      <c r="P687" s="46"/>
      <c r="Q687" s="40"/>
      <c r="R687" s="41"/>
      <c r="S687" s="22" t="str">
        <f t="shared" si="48"/>
        <v/>
      </c>
      <c r="T687" s="41"/>
      <c r="U687" s="44"/>
      <c r="V687" s="44"/>
      <c r="W687" s="46"/>
      <c r="X687" s="46"/>
      <c r="Y687" s="46"/>
      <c r="Z687" s="22"/>
      <c r="AA687" s="22"/>
      <c r="AB687" s="22"/>
      <c r="AC687" s="22"/>
      <c r="AD687" s="22"/>
      <c r="AE687" s="22"/>
      <c r="AF687" s="48" t="str">
        <f t="shared" si="49"/>
        <v/>
      </c>
      <c r="AG687" s="48" t="str">
        <f t="shared" si="50"/>
        <v/>
      </c>
      <c r="AH687" s="48" t="str">
        <f t="shared" si="51"/>
        <v/>
      </c>
      <c r="AI687" s="40" t="str">
        <f t="shared" si="52"/>
        <v/>
      </c>
      <c r="AJ687" s="40"/>
      <c r="AK687" s="40"/>
      <c r="AL687" s="22"/>
    </row>
    <row r="688" spans="1:38" ht="17.399999999999999">
      <c r="A688" s="22"/>
      <c r="B688" s="22"/>
      <c r="C688" s="56"/>
      <c r="D688" s="56"/>
      <c r="E688" s="22"/>
      <c r="F688" s="22"/>
      <c r="G688" s="22"/>
      <c r="H688" s="22"/>
      <c r="I688" s="49"/>
      <c r="J688" s="50"/>
      <c r="K688" s="22"/>
      <c r="L688" s="22"/>
      <c r="M688" s="22"/>
      <c r="N688" s="22"/>
      <c r="O688" s="22"/>
      <c r="P688" s="46"/>
      <c r="Q688" s="40"/>
      <c r="R688" s="41"/>
      <c r="S688" s="22" t="str">
        <f t="shared" si="48"/>
        <v/>
      </c>
      <c r="T688" s="41"/>
      <c r="U688" s="44"/>
      <c r="V688" s="44"/>
      <c r="W688" s="46"/>
      <c r="X688" s="46"/>
      <c r="Y688" s="46"/>
      <c r="Z688" s="22"/>
      <c r="AA688" s="22"/>
      <c r="AB688" s="22"/>
      <c r="AC688" s="22"/>
      <c r="AD688" s="22"/>
      <c r="AE688" s="22"/>
      <c r="AF688" s="48" t="str">
        <f t="shared" si="49"/>
        <v/>
      </c>
      <c r="AG688" s="48" t="str">
        <f t="shared" si="50"/>
        <v/>
      </c>
      <c r="AH688" s="48" t="str">
        <f t="shared" si="51"/>
        <v/>
      </c>
      <c r="AI688" s="40" t="str">
        <f t="shared" si="52"/>
        <v/>
      </c>
      <c r="AJ688" s="40"/>
      <c r="AK688" s="40"/>
      <c r="AL688" s="22"/>
    </row>
    <row r="689" spans="1:38" ht="17.399999999999999">
      <c r="A689" s="22"/>
      <c r="B689" s="22"/>
      <c r="C689" s="56"/>
      <c r="D689" s="56"/>
      <c r="E689" s="22"/>
      <c r="F689" s="22"/>
      <c r="G689" s="22"/>
      <c r="H689" s="22"/>
      <c r="I689" s="49"/>
      <c r="J689" s="50"/>
      <c r="K689" s="22"/>
      <c r="L689" s="22"/>
      <c r="M689" s="22"/>
      <c r="N689" s="22"/>
      <c r="O689" s="22"/>
      <c r="P689" s="46"/>
      <c r="Q689" s="40"/>
      <c r="R689" s="41"/>
      <c r="S689" s="22" t="str">
        <f t="shared" si="48"/>
        <v/>
      </c>
      <c r="T689" s="41"/>
      <c r="U689" s="44"/>
      <c r="V689" s="44"/>
      <c r="W689" s="46"/>
      <c r="X689" s="46"/>
      <c r="Y689" s="46"/>
      <c r="Z689" s="22"/>
      <c r="AA689" s="22"/>
      <c r="AB689" s="22"/>
      <c r="AC689" s="22"/>
      <c r="AD689" s="22"/>
      <c r="AE689" s="22"/>
      <c r="AF689" s="48" t="str">
        <f t="shared" si="49"/>
        <v/>
      </c>
      <c r="AG689" s="48" t="str">
        <f t="shared" si="50"/>
        <v/>
      </c>
      <c r="AH689" s="48" t="str">
        <f t="shared" si="51"/>
        <v/>
      </c>
      <c r="AI689" s="40" t="str">
        <f t="shared" si="52"/>
        <v/>
      </c>
      <c r="AJ689" s="40"/>
      <c r="AK689" s="40"/>
      <c r="AL689" s="22"/>
    </row>
    <row r="690" spans="1:38" ht="17.399999999999999">
      <c r="A690" s="22"/>
      <c r="B690" s="22"/>
      <c r="C690" s="56"/>
      <c r="D690" s="56"/>
      <c r="E690" s="22"/>
      <c r="F690" s="22"/>
      <c r="G690" s="22"/>
      <c r="H690" s="22"/>
      <c r="I690" s="49"/>
      <c r="J690" s="50"/>
      <c r="K690" s="22"/>
      <c r="L690" s="22"/>
      <c r="M690" s="22"/>
      <c r="N690" s="22"/>
      <c r="O690" s="22"/>
      <c r="P690" s="46"/>
      <c r="Q690" s="40"/>
      <c r="R690" s="41"/>
      <c r="S690" s="22" t="str">
        <f t="shared" si="48"/>
        <v/>
      </c>
      <c r="T690" s="41"/>
      <c r="U690" s="44"/>
      <c r="V690" s="44"/>
      <c r="W690" s="46"/>
      <c r="X690" s="46"/>
      <c r="Y690" s="46"/>
      <c r="Z690" s="22"/>
      <c r="AA690" s="22"/>
      <c r="AB690" s="22"/>
      <c r="AC690" s="22"/>
      <c r="AD690" s="22"/>
      <c r="AE690" s="22"/>
      <c r="AF690" s="48" t="str">
        <f t="shared" si="49"/>
        <v/>
      </c>
      <c r="AG690" s="48" t="str">
        <f t="shared" si="50"/>
        <v/>
      </c>
      <c r="AH690" s="48" t="str">
        <f t="shared" si="51"/>
        <v/>
      </c>
      <c r="AI690" s="40" t="str">
        <f t="shared" si="52"/>
        <v/>
      </c>
      <c r="AJ690" s="40"/>
      <c r="AK690" s="40"/>
      <c r="AL690" s="22"/>
    </row>
    <row r="691" spans="1:38" ht="17.399999999999999">
      <c r="A691" s="22"/>
      <c r="B691" s="22"/>
      <c r="C691" s="56"/>
      <c r="D691" s="56"/>
      <c r="E691" s="22"/>
      <c r="F691" s="22"/>
      <c r="G691" s="22"/>
      <c r="H691" s="22"/>
      <c r="I691" s="49"/>
      <c r="J691" s="50"/>
      <c r="K691" s="22"/>
      <c r="L691" s="22"/>
      <c r="M691" s="22"/>
      <c r="N691" s="22"/>
      <c r="O691" s="22"/>
      <c r="P691" s="46"/>
      <c r="Q691" s="40"/>
      <c r="R691" s="41"/>
      <c r="S691" s="22" t="str">
        <f t="shared" si="48"/>
        <v/>
      </c>
      <c r="T691" s="41"/>
      <c r="U691" s="44"/>
      <c r="V691" s="44"/>
      <c r="W691" s="46"/>
      <c r="X691" s="46"/>
      <c r="Y691" s="46"/>
      <c r="Z691" s="22"/>
      <c r="AA691" s="22"/>
      <c r="AB691" s="22"/>
      <c r="AC691" s="22"/>
      <c r="AD691" s="22"/>
      <c r="AE691" s="22"/>
      <c r="AF691" s="48" t="str">
        <f t="shared" si="49"/>
        <v/>
      </c>
      <c r="AG691" s="48" t="str">
        <f t="shared" si="50"/>
        <v/>
      </c>
      <c r="AH691" s="48" t="str">
        <f t="shared" si="51"/>
        <v/>
      </c>
      <c r="AI691" s="40" t="str">
        <f t="shared" si="52"/>
        <v/>
      </c>
      <c r="AJ691" s="40"/>
      <c r="AK691" s="40"/>
      <c r="AL691" s="22"/>
    </row>
    <row r="692" spans="1:38" ht="17.399999999999999">
      <c r="A692" s="22"/>
      <c r="B692" s="22"/>
      <c r="C692" s="56"/>
      <c r="D692" s="56"/>
      <c r="E692" s="22"/>
      <c r="F692" s="22"/>
      <c r="G692" s="22"/>
      <c r="H692" s="22"/>
      <c r="I692" s="49"/>
      <c r="J692" s="50"/>
      <c r="K692" s="22"/>
      <c r="L692" s="22"/>
      <c r="M692" s="22"/>
      <c r="N692" s="22"/>
      <c r="O692" s="22"/>
      <c r="P692" s="46"/>
      <c r="Q692" s="40"/>
      <c r="R692" s="41"/>
      <c r="S692" s="22" t="str">
        <f t="shared" si="48"/>
        <v/>
      </c>
      <c r="T692" s="41"/>
      <c r="U692" s="44"/>
      <c r="V692" s="44"/>
      <c r="W692" s="46"/>
      <c r="X692" s="46"/>
      <c r="Y692" s="46"/>
      <c r="Z692" s="22"/>
      <c r="AA692" s="22"/>
      <c r="AB692" s="22"/>
      <c r="AC692" s="22"/>
      <c r="AD692" s="22"/>
      <c r="AE692" s="22"/>
      <c r="AF692" s="48" t="str">
        <f t="shared" si="49"/>
        <v/>
      </c>
      <c r="AG692" s="48" t="str">
        <f t="shared" si="50"/>
        <v/>
      </c>
      <c r="AH692" s="48" t="str">
        <f t="shared" si="51"/>
        <v/>
      </c>
      <c r="AI692" s="40" t="str">
        <f t="shared" si="52"/>
        <v/>
      </c>
      <c r="AJ692" s="40"/>
      <c r="AK692" s="40"/>
      <c r="AL692" s="22"/>
    </row>
    <row r="693" spans="1:38" ht="17.399999999999999">
      <c r="A693" s="22"/>
      <c r="B693" s="22"/>
      <c r="C693" s="56"/>
      <c r="D693" s="56"/>
      <c r="E693" s="22"/>
      <c r="F693" s="22"/>
      <c r="G693" s="22"/>
      <c r="H693" s="22"/>
      <c r="I693" s="49"/>
      <c r="J693" s="50"/>
      <c r="K693" s="22"/>
      <c r="L693" s="22"/>
      <c r="M693" s="22"/>
      <c r="N693" s="22"/>
      <c r="O693" s="22"/>
      <c r="P693" s="46"/>
      <c r="Q693" s="40"/>
      <c r="R693" s="41"/>
      <c r="S693" s="22" t="str">
        <f t="shared" si="48"/>
        <v/>
      </c>
      <c r="T693" s="41"/>
      <c r="U693" s="44"/>
      <c r="V693" s="44"/>
      <c r="W693" s="46"/>
      <c r="X693" s="46"/>
      <c r="Y693" s="46"/>
      <c r="Z693" s="22"/>
      <c r="AA693" s="22"/>
      <c r="AB693" s="22"/>
      <c r="AC693" s="22"/>
      <c r="AD693" s="22"/>
      <c r="AE693" s="22"/>
      <c r="AF693" s="48" t="str">
        <f t="shared" si="49"/>
        <v/>
      </c>
      <c r="AG693" s="48" t="str">
        <f t="shared" si="50"/>
        <v/>
      </c>
      <c r="AH693" s="48" t="str">
        <f t="shared" si="51"/>
        <v/>
      </c>
      <c r="AI693" s="40" t="str">
        <f t="shared" si="52"/>
        <v/>
      </c>
      <c r="AJ693" s="40"/>
      <c r="AK693" s="40"/>
      <c r="AL693" s="22"/>
    </row>
    <row r="694" spans="1:38" ht="17.399999999999999">
      <c r="A694" s="22"/>
      <c r="B694" s="22"/>
      <c r="C694" s="56"/>
      <c r="D694" s="56"/>
      <c r="E694" s="22"/>
      <c r="F694" s="22"/>
      <c r="G694" s="22"/>
      <c r="H694" s="22"/>
      <c r="I694" s="49"/>
      <c r="J694" s="50"/>
      <c r="K694" s="22"/>
      <c r="L694" s="22"/>
      <c r="M694" s="22"/>
      <c r="N694" s="22"/>
      <c r="O694" s="22"/>
      <c r="P694" s="46"/>
      <c r="Q694" s="40"/>
      <c r="R694" s="41"/>
      <c r="S694" s="22" t="str">
        <f t="shared" si="48"/>
        <v/>
      </c>
      <c r="T694" s="41"/>
      <c r="U694" s="44"/>
      <c r="V694" s="44"/>
      <c r="W694" s="46"/>
      <c r="X694" s="46"/>
      <c r="Y694" s="46"/>
      <c r="Z694" s="22"/>
      <c r="AA694" s="22"/>
      <c r="AB694" s="22"/>
      <c r="AC694" s="22"/>
      <c r="AD694" s="22"/>
      <c r="AE694" s="22"/>
      <c r="AF694" s="48" t="str">
        <f t="shared" si="49"/>
        <v/>
      </c>
      <c r="AG694" s="48" t="str">
        <f t="shared" si="50"/>
        <v/>
      </c>
      <c r="AH694" s="48" t="str">
        <f t="shared" si="51"/>
        <v/>
      </c>
      <c r="AI694" s="40" t="str">
        <f t="shared" si="52"/>
        <v/>
      </c>
      <c r="AJ694" s="40"/>
      <c r="AK694" s="40"/>
      <c r="AL694" s="22"/>
    </row>
    <row r="695" spans="1:38" ht="17.399999999999999">
      <c r="A695" s="22"/>
      <c r="B695" s="22"/>
      <c r="C695" s="56"/>
      <c r="D695" s="56"/>
      <c r="E695" s="22"/>
      <c r="F695" s="22"/>
      <c r="G695" s="22"/>
      <c r="H695" s="22"/>
      <c r="I695" s="49"/>
      <c r="J695" s="50"/>
      <c r="K695" s="22"/>
      <c r="L695" s="22"/>
      <c r="M695" s="22"/>
      <c r="N695" s="22"/>
      <c r="O695" s="22"/>
      <c r="P695" s="46"/>
      <c r="Q695" s="40"/>
      <c r="R695" s="41"/>
      <c r="S695" s="22" t="str">
        <f t="shared" si="48"/>
        <v/>
      </c>
      <c r="T695" s="41"/>
      <c r="U695" s="44"/>
      <c r="V695" s="44"/>
      <c r="W695" s="46"/>
      <c r="X695" s="46"/>
      <c r="Y695" s="46"/>
      <c r="Z695" s="22"/>
      <c r="AA695" s="22"/>
      <c r="AB695" s="22"/>
      <c r="AC695" s="22"/>
      <c r="AD695" s="22"/>
      <c r="AE695" s="22"/>
      <c r="AF695" s="48" t="str">
        <f t="shared" si="49"/>
        <v/>
      </c>
      <c r="AG695" s="48" t="str">
        <f t="shared" si="50"/>
        <v/>
      </c>
      <c r="AH695" s="48" t="str">
        <f t="shared" si="51"/>
        <v/>
      </c>
      <c r="AI695" s="40" t="str">
        <f t="shared" si="52"/>
        <v/>
      </c>
      <c r="AJ695" s="40"/>
      <c r="AK695" s="40"/>
      <c r="AL695" s="22"/>
    </row>
    <row r="696" spans="1:38" ht="17.399999999999999">
      <c r="A696" s="22"/>
      <c r="B696" s="22"/>
      <c r="C696" s="56"/>
      <c r="D696" s="56"/>
      <c r="E696" s="22"/>
      <c r="F696" s="22"/>
      <c r="G696" s="22"/>
      <c r="H696" s="22"/>
      <c r="I696" s="49"/>
      <c r="J696" s="50"/>
      <c r="K696" s="22"/>
      <c r="L696" s="22"/>
      <c r="M696" s="22"/>
      <c r="N696" s="22"/>
      <c r="O696" s="22"/>
      <c r="P696" s="46"/>
      <c r="Q696" s="40"/>
      <c r="R696" s="41"/>
      <c r="S696" s="22" t="str">
        <f t="shared" si="48"/>
        <v/>
      </c>
      <c r="T696" s="41"/>
      <c r="U696" s="44"/>
      <c r="V696" s="44"/>
      <c r="W696" s="46"/>
      <c r="X696" s="46"/>
      <c r="Y696" s="46"/>
      <c r="Z696" s="22"/>
      <c r="AA696" s="22"/>
      <c r="AB696" s="22"/>
      <c r="AC696" s="22"/>
      <c r="AD696" s="22"/>
      <c r="AE696" s="22"/>
      <c r="AF696" s="48" t="str">
        <f t="shared" si="49"/>
        <v/>
      </c>
      <c r="AG696" s="48" t="str">
        <f t="shared" si="50"/>
        <v/>
      </c>
      <c r="AH696" s="48" t="str">
        <f t="shared" si="51"/>
        <v/>
      </c>
      <c r="AI696" s="40" t="str">
        <f t="shared" si="52"/>
        <v/>
      </c>
      <c r="AJ696" s="40"/>
      <c r="AK696" s="40"/>
      <c r="AL696" s="22"/>
    </row>
    <row r="697" spans="1:38" ht="17.399999999999999">
      <c r="A697" s="22"/>
      <c r="B697" s="22"/>
      <c r="C697" s="56"/>
      <c r="D697" s="56"/>
      <c r="E697" s="22"/>
      <c r="F697" s="22"/>
      <c r="G697" s="22"/>
      <c r="H697" s="22"/>
      <c r="I697" s="49"/>
      <c r="J697" s="50"/>
      <c r="K697" s="22"/>
      <c r="L697" s="22"/>
      <c r="M697" s="22"/>
      <c r="N697" s="22"/>
      <c r="O697" s="22"/>
      <c r="P697" s="46"/>
      <c r="Q697" s="40"/>
      <c r="R697" s="41"/>
      <c r="S697" s="22" t="str">
        <f t="shared" si="48"/>
        <v/>
      </c>
      <c r="T697" s="41"/>
      <c r="U697" s="44"/>
      <c r="V697" s="44"/>
      <c r="W697" s="46"/>
      <c r="X697" s="46"/>
      <c r="Y697" s="46"/>
      <c r="Z697" s="22"/>
      <c r="AA697" s="22"/>
      <c r="AB697" s="22"/>
      <c r="AC697" s="22"/>
      <c r="AD697" s="22"/>
      <c r="AE697" s="22"/>
      <c r="AF697" s="48" t="str">
        <f t="shared" si="49"/>
        <v/>
      </c>
      <c r="AG697" s="48" t="str">
        <f t="shared" si="50"/>
        <v/>
      </c>
      <c r="AH697" s="48" t="str">
        <f t="shared" si="51"/>
        <v/>
      </c>
      <c r="AI697" s="40" t="str">
        <f t="shared" si="52"/>
        <v/>
      </c>
      <c r="AJ697" s="40"/>
      <c r="AK697" s="40"/>
      <c r="AL697" s="22"/>
    </row>
    <row r="698" spans="1:38" ht="17.399999999999999">
      <c r="A698" s="22"/>
      <c r="B698" s="22"/>
      <c r="C698" s="56"/>
      <c r="D698" s="56"/>
      <c r="E698" s="22"/>
      <c r="F698" s="22"/>
      <c r="G698" s="22"/>
      <c r="H698" s="22"/>
      <c r="I698" s="49"/>
      <c r="J698" s="50"/>
      <c r="K698" s="22"/>
      <c r="L698" s="22"/>
      <c r="M698" s="22"/>
      <c r="N698" s="22"/>
      <c r="O698" s="22"/>
      <c r="P698" s="46"/>
      <c r="Q698" s="40"/>
      <c r="R698" s="41"/>
      <c r="S698" s="22" t="str">
        <f t="shared" si="48"/>
        <v/>
      </c>
      <c r="T698" s="41"/>
      <c r="U698" s="44"/>
      <c r="V698" s="44"/>
      <c r="W698" s="46"/>
      <c r="X698" s="46"/>
      <c r="Y698" s="46"/>
      <c r="Z698" s="22"/>
      <c r="AA698" s="22"/>
      <c r="AB698" s="22"/>
      <c r="AC698" s="22"/>
      <c r="AD698" s="22"/>
      <c r="AE698" s="22"/>
      <c r="AF698" s="48" t="str">
        <f t="shared" si="49"/>
        <v/>
      </c>
      <c r="AG698" s="48" t="str">
        <f t="shared" si="50"/>
        <v/>
      </c>
      <c r="AH698" s="48" t="str">
        <f t="shared" si="51"/>
        <v/>
      </c>
      <c r="AI698" s="40" t="str">
        <f t="shared" si="52"/>
        <v/>
      </c>
      <c r="AJ698" s="40"/>
      <c r="AK698" s="40"/>
      <c r="AL698" s="22"/>
    </row>
    <row r="699" spans="1:38" ht="17.399999999999999">
      <c r="A699" s="22"/>
      <c r="B699" s="22"/>
      <c r="C699" s="56"/>
      <c r="D699" s="56"/>
      <c r="E699" s="22"/>
      <c r="F699" s="22"/>
      <c r="G699" s="22"/>
      <c r="H699" s="22"/>
      <c r="I699" s="49"/>
      <c r="J699" s="50"/>
      <c r="K699" s="22"/>
      <c r="L699" s="22"/>
      <c r="M699" s="22"/>
      <c r="N699" s="22"/>
      <c r="O699" s="22"/>
      <c r="P699" s="46"/>
      <c r="Q699" s="40"/>
      <c r="R699" s="41"/>
      <c r="S699" s="22" t="str">
        <f t="shared" si="48"/>
        <v/>
      </c>
      <c r="T699" s="41"/>
      <c r="U699" s="44"/>
      <c r="V699" s="44"/>
      <c r="W699" s="46"/>
      <c r="X699" s="46"/>
      <c r="Y699" s="46"/>
      <c r="Z699" s="22"/>
      <c r="AA699" s="22"/>
      <c r="AB699" s="22"/>
      <c r="AC699" s="22"/>
      <c r="AD699" s="22"/>
      <c r="AE699" s="22"/>
      <c r="AF699" s="48" t="str">
        <f t="shared" si="49"/>
        <v/>
      </c>
      <c r="AG699" s="48" t="str">
        <f t="shared" si="50"/>
        <v/>
      </c>
      <c r="AH699" s="48" t="str">
        <f t="shared" si="51"/>
        <v/>
      </c>
      <c r="AI699" s="40" t="str">
        <f t="shared" si="52"/>
        <v/>
      </c>
      <c r="AJ699" s="40"/>
      <c r="AK699" s="40"/>
      <c r="AL699" s="22"/>
    </row>
    <row r="700" spans="1:38" ht="17.399999999999999">
      <c r="A700" s="22"/>
      <c r="B700" s="22"/>
      <c r="C700" s="56"/>
      <c r="D700" s="56"/>
      <c r="E700" s="22"/>
      <c r="F700" s="22"/>
      <c r="G700" s="22"/>
      <c r="H700" s="22"/>
      <c r="I700" s="49"/>
      <c r="J700" s="50"/>
      <c r="K700" s="22"/>
      <c r="L700" s="22"/>
      <c r="M700" s="22"/>
      <c r="N700" s="22"/>
      <c r="O700" s="22"/>
      <c r="P700" s="46"/>
      <c r="Q700" s="40"/>
      <c r="R700" s="41"/>
      <c r="S700" s="22" t="str">
        <f t="shared" si="48"/>
        <v/>
      </c>
      <c r="T700" s="41"/>
      <c r="U700" s="44"/>
      <c r="V700" s="44"/>
      <c r="W700" s="46"/>
      <c r="X700" s="46"/>
      <c r="Y700" s="46"/>
      <c r="Z700" s="22"/>
      <c r="AA700" s="22"/>
      <c r="AB700" s="22"/>
      <c r="AC700" s="22"/>
      <c r="AD700" s="22"/>
      <c r="AE700" s="22"/>
      <c r="AF700" s="48" t="str">
        <f t="shared" si="49"/>
        <v/>
      </c>
      <c r="AG700" s="48" t="str">
        <f t="shared" si="50"/>
        <v/>
      </c>
      <c r="AH700" s="48" t="str">
        <f t="shared" si="51"/>
        <v/>
      </c>
      <c r="AI700" s="40" t="str">
        <f t="shared" si="52"/>
        <v/>
      </c>
      <c r="AJ700" s="40"/>
      <c r="AK700" s="40"/>
      <c r="AL700" s="22"/>
    </row>
    <row r="701" spans="1:38" ht="17.399999999999999">
      <c r="A701" s="22"/>
      <c r="B701" s="22"/>
      <c r="C701" s="56"/>
      <c r="D701" s="56"/>
      <c r="E701" s="22"/>
      <c r="F701" s="22"/>
      <c r="G701" s="22"/>
      <c r="H701" s="22"/>
      <c r="I701" s="49"/>
      <c r="J701" s="50"/>
      <c r="K701" s="22"/>
      <c r="L701" s="22"/>
      <c r="M701" s="22"/>
      <c r="N701" s="22"/>
      <c r="O701" s="22"/>
      <c r="P701" s="46"/>
      <c r="Q701" s="40"/>
      <c r="R701" s="41"/>
      <c r="S701" s="22" t="str">
        <f t="shared" si="48"/>
        <v/>
      </c>
      <c r="T701" s="41"/>
      <c r="U701" s="44"/>
      <c r="V701" s="44"/>
      <c r="W701" s="46"/>
      <c r="X701" s="46"/>
      <c r="Y701" s="46"/>
      <c r="Z701" s="22"/>
      <c r="AA701" s="22"/>
      <c r="AB701" s="22"/>
      <c r="AC701" s="22"/>
      <c r="AD701" s="22"/>
      <c r="AE701" s="22"/>
      <c r="AF701" s="48" t="str">
        <f t="shared" si="49"/>
        <v/>
      </c>
      <c r="AG701" s="48" t="str">
        <f t="shared" si="50"/>
        <v/>
      </c>
      <c r="AH701" s="48" t="str">
        <f t="shared" si="51"/>
        <v/>
      </c>
      <c r="AI701" s="40" t="str">
        <f t="shared" si="52"/>
        <v/>
      </c>
      <c r="AJ701" s="40"/>
      <c r="AK701" s="40"/>
      <c r="AL701" s="22"/>
    </row>
    <row r="702" spans="1:38" ht="17.399999999999999">
      <c r="A702" s="22"/>
      <c r="B702" s="22"/>
      <c r="C702" s="56"/>
      <c r="D702" s="56"/>
      <c r="E702" s="22"/>
      <c r="F702" s="22"/>
      <c r="G702" s="22"/>
      <c r="H702" s="22"/>
      <c r="I702" s="49"/>
      <c r="J702" s="50"/>
      <c r="K702" s="22"/>
      <c r="L702" s="22"/>
      <c r="M702" s="22"/>
      <c r="N702" s="22"/>
      <c r="O702" s="22"/>
      <c r="P702" s="46"/>
      <c r="Q702" s="40"/>
      <c r="R702" s="41"/>
      <c r="S702" s="22" t="str">
        <f t="shared" si="48"/>
        <v/>
      </c>
      <c r="T702" s="41"/>
      <c r="U702" s="44"/>
      <c r="V702" s="44"/>
      <c r="W702" s="46"/>
      <c r="X702" s="46"/>
      <c r="Y702" s="46"/>
      <c r="Z702" s="22"/>
      <c r="AA702" s="22"/>
      <c r="AB702" s="22"/>
      <c r="AC702" s="22"/>
      <c r="AD702" s="22"/>
      <c r="AE702" s="22"/>
      <c r="AF702" s="48" t="str">
        <f t="shared" si="49"/>
        <v/>
      </c>
      <c r="AG702" s="48" t="str">
        <f t="shared" si="50"/>
        <v/>
      </c>
      <c r="AH702" s="48" t="str">
        <f t="shared" si="51"/>
        <v/>
      </c>
      <c r="AI702" s="40" t="str">
        <f t="shared" si="52"/>
        <v/>
      </c>
      <c r="AJ702" s="40"/>
      <c r="AK702" s="40"/>
      <c r="AL702" s="22"/>
    </row>
    <row r="703" spans="1:38" ht="17.399999999999999">
      <c r="A703" s="22"/>
      <c r="B703" s="22"/>
      <c r="C703" s="56"/>
      <c r="D703" s="56"/>
      <c r="E703" s="22"/>
      <c r="F703" s="22"/>
      <c r="G703" s="22"/>
      <c r="H703" s="22"/>
      <c r="I703" s="49"/>
      <c r="J703" s="50"/>
      <c r="K703" s="22"/>
      <c r="L703" s="22"/>
      <c r="M703" s="22"/>
      <c r="N703" s="22"/>
      <c r="O703" s="22"/>
      <c r="P703" s="46"/>
      <c r="Q703" s="40"/>
      <c r="R703" s="41"/>
      <c r="S703" s="22" t="str">
        <f t="shared" si="48"/>
        <v/>
      </c>
      <c r="T703" s="41"/>
      <c r="U703" s="44"/>
      <c r="V703" s="44"/>
      <c r="W703" s="46"/>
      <c r="X703" s="46"/>
      <c r="Y703" s="46"/>
      <c r="Z703" s="22"/>
      <c r="AA703" s="22"/>
      <c r="AB703" s="22"/>
      <c r="AC703" s="22"/>
      <c r="AD703" s="22"/>
      <c r="AE703" s="22"/>
      <c r="AF703" s="48" t="str">
        <f t="shared" si="49"/>
        <v/>
      </c>
      <c r="AG703" s="48" t="str">
        <f t="shared" si="50"/>
        <v/>
      </c>
      <c r="AH703" s="48" t="str">
        <f t="shared" si="51"/>
        <v/>
      </c>
      <c r="AI703" s="40" t="str">
        <f t="shared" si="52"/>
        <v/>
      </c>
      <c r="AJ703" s="40"/>
      <c r="AK703" s="40"/>
      <c r="AL703" s="22"/>
    </row>
    <row r="704" spans="1:38" ht="17.399999999999999">
      <c r="A704" s="22"/>
      <c r="B704" s="22"/>
      <c r="C704" s="56"/>
      <c r="D704" s="56"/>
      <c r="E704" s="22"/>
      <c r="F704" s="22"/>
      <c r="G704" s="22"/>
      <c r="H704" s="22"/>
      <c r="I704" s="49"/>
      <c r="J704" s="50"/>
      <c r="K704" s="22"/>
      <c r="L704" s="22"/>
      <c r="M704" s="22"/>
      <c r="N704" s="22"/>
      <c r="O704" s="22"/>
      <c r="P704" s="46"/>
      <c r="Q704" s="40"/>
      <c r="R704" s="41"/>
      <c r="S704" s="22" t="str">
        <f t="shared" si="48"/>
        <v/>
      </c>
      <c r="T704" s="41"/>
      <c r="U704" s="44"/>
      <c r="V704" s="44"/>
      <c r="W704" s="46"/>
      <c r="X704" s="46"/>
      <c r="Y704" s="46"/>
      <c r="Z704" s="22"/>
      <c r="AA704" s="22"/>
      <c r="AB704" s="22"/>
      <c r="AC704" s="22"/>
      <c r="AD704" s="22"/>
      <c r="AE704" s="22"/>
      <c r="AF704" s="48" t="str">
        <f t="shared" si="49"/>
        <v/>
      </c>
      <c r="AG704" s="48" t="str">
        <f t="shared" si="50"/>
        <v/>
      </c>
      <c r="AH704" s="48" t="str">
        <f t="shared" si="51"/>
        <v/>
      </c>
      <c r="AI704" s="40" t="str">
        <f t="shared" si="52"/>
        <v/>
      </c>
      <c r="AJ704" s="40"/>
      <c r="AK704" s="40"/>
      <c r="AL704" s="22"/>
    </row>
    <row r="705" spans="1:38" ht="17.399999999999999">
      <c r="A705" s="22"/>
      <c r="B705" s="22"/>
      <c r="C705" s="56"/>
      <c r="D705" s="56"/>
      <c r="E705" s="22"/>
      <c r="F705" s="22"/>
      <c r="G705" s="22"/>
      <c r="H705" s="22"/>
      <c r="I705" s="49"/>
      <c r="J705" s="50"/>
      <c r="K705" s="22"/>
      <c r="L705" s="22"/>
      <c r="M705" s="22"/>
      <c r="N705" s="22"/>
      <c r="O705" s="22"/>
      <c r="P705" s="46"/>
      <c r="Q705" s="40"/>
      <c r="R705" s="41"/>
      <c r="S705" s="22" t="str">
        <f t="shared" si="48"/>
        <v/>
      </c>
      <c r="T705" s="41"/>
      <c r="U705" s="44"/>
      <c r="V705" s="44"/>
      <c r="W705" s="46"/>
      <c r="X705" s="46"/>
      <c r="Y705" s="46"/>
      <c r="Z705" s="22"/>
      <c r="AA705" s="22"/>
      <c r="AB705" s="22"/>
      <c r="AC705" s="22"/>
      <c r="AD705" s="22"/>
      <c r="AE705" s="22"/>
      <c r="AF705" s="48" t="str">
        <f t="shared" si="49"/>
        <v/>
      </c>
      <c r="AG705" s="48" t="str">
        <f t="shared" si="50"/>
        <v/>
      </c>
      <c r="AH705" s="48" t="str">
        <f t="shared" si="51"/>
        <v/>
      </c>
      <c r="AI705" s="40" t="str">
        <f t="shared" si="52"/>
        <v/>
      </c>
      <c r="AJ705" s="40"/>
      <c r="AK705" s="40"/>
      <c r="AL705" s="22"/>
    </row>
    <row r="706" spans="1:38" ht="17.399999999999999">
      <c r="A706" s="22"/>
      <c r="B706" s="22"/>
      <c r="C706" s="56"/>
      <c r="D706" s="56"/>
      <c r="E706" s="22"/>
      <c r="F706" s="22"/>
      <c r="G706" s="22"/>
      <c r="H706" s="22"/>
      <c r="I706" s="49"/>
      <c r="J706" s="50"/>
      <c r="K706" s="22"/>
      <c r="L706" s="22"/>
      <c r="M706" s="22"/>
      <c r="N706" s="22"/>
      <c r="O706" s="22"/>
      <c r="P706" s="46"/>
      <c r="Q706" s="40"/>
      <c r="R706" s="41"/>
      <c r="S706" s="22" t="str">
        <f t="shared" si="48"/>
        <v/>
      </c>
      <c r="T706" s="41"/>
      <c r="U706" s="44"/>
      <c r="V706" s="44"/>
      <c r="W706" s="46"/>
      <c r="X706" s="46"/>
      <c r="Y706" s="46"/>
      <c r="Z706" s="22"/>
      <c r="AA706" s="22"/>
      <c r="AB706" s="22"/>
      <c r="AC706" s="22"/>
      <c r="AD706" s="22"/>
      <c r="AE706" s="22"/>
      <c r="AF706" s="48" t="str">
        <f t="shared" si="49"/>
        <v/>
      </c>
      <c r="AG706" s="48" t="str">
        <f t="shared" si="50"/>
        <v/>
      </c>
      <c r="AH706" s="48" t="str">
        <f t="shared" si="51"/>
        <v/>
      </c>
      <c r="AI706" s="40" t="str">
        <f t="shared" si="52"/>
        <v/>
      </c>
      <c r="AJ706" s="40"/>
      <c r="AK706" s="40"/>
      <c r="AL706" s="22"/>
    </row>
    <row r="707" spans="1:38" ht="17.399999999999999">
      <c r="A707" s="22"/>
      <c r="B707" s="22"/>
      <c r="C707" s="56"/>
      <c r="D707" s="56"/>
      <c r="E707" s="22"/>
      <c r="F707" s="22"/>
      <c r="G707" s="22"/>
      <c r="H707" s="22"/>
      <c r="I707" s="49"/>
      <c r="J707" s="50"/>
      <c r="K707" s="22"/>
      <c r="L707" s="22"/>
      <c r="M707" s="22"/>
      <c r="N707" s="22"/>
      <c r="O707" s="22"/>
      <c r="P707" s="46"/>
      <c r="Q707" s="40"/>
      <c r="R707" s="41"/>
      <c r="S707" s="22" t="str">
        <f t="shared" si="48"/>
        <v/>
      </c>
      <c r="T707" s="41"/>
      <c r="U707" s="44"/>
      <c r="V707" s="44"/>
      <c r="W707" s="46"/>
      <c r="X707" s="46"/>
      <c r="Y707" s="46"/>
      <c r="Z707" s="22"/>
      <c r="AA707" s="22"/>
      <c r="AB707" s="22"/>
      <c r="AC707" s="22"/>
      <c r="AD707" s="22"/>
      <c r="AE707" s="22"/>
      <c r="AF707" s="48" t="str">
        <f t="shared" si="49"/>
        <v/>
      </c>
      <c r="AG707" s="48" t="str">
        <f t="shared" si="50"/>
        <v/>
      </c>
      <c r="AH707" s="48" t="str">
        <f t="shared" si="51"/>
        <v/>
      </c>
      <c r="AI707" s="40" t="str">
        <f t="shared" si="52"/>
        <v/>
      </c>
      <c r="AJ707" s="40"/>
      <c r="AK707" s="40"/>
      <c r="AL707" s="22"/>
    </row>
    <row r="708" spans="1:38" ht="17.399999999999999">
      <c r="A708" s="22"/>
      <c r="B708" s="22"/>
      <c r="C708" s="56"/>
      <c r="D708" s="56"/>
      <c r="E708" s="22"/>
      <c r="F708" s="22"/>
      <c r="G708" s="22"/>
      <c r="H708" s="22"/>
      <c r="I708" s="49"/>
      <c r="J708" s="50"/>
      <c r="K708" s="22"/>
      <c r="L708" s="22"/>
      <c r="M708" s="22"/>
      <c r="N708" s="22"/>
      <c r="O708" s="22"/>
      <c r="P708" s="46"/>
      <c r="Q708" s="40"/>
      <c r="R708" s="41"/>
      <c r="S708" s="22" t="str">
        <f t="shared" si="48"/>
        <v/>
      </c>
      <c r="T708" s="41"/>
      <c r="U708" s="44"/>
      <c r="V708" s="44"/>
      <c r="W708" s="46"/>
      <c r="X708" s="46"/>
      <c r="Y708" s="46"/>
      <c r="Z708" s="22"/>
      <c r="AA708" s="22"/>
      <c r="AB708" s="22"/>
      <c r="AC708" s="22"/>
      <c r="AD708" s="22"/>
      <c r="AE708" s="22"/>
      <c r="AF708" s="48" t="str">
        <f t="shared" si="49"/>
        <v/>
      </c>
      <c r="AG708" s="48" t="str">
        <f t="shared" si="50"/>
        <v/>
      </c>
      <c r="AH708" s="48" t="str">
        <f t="shared" si="51"/>
        <v/>
      </c>
      <c r="AI708" s="40" t="str">
        <f t="shared" si="52"/>
        <v/>
      </c>
      <c r="AJ708" s="40"/>
      <c r="AK708" s="40"/>
      <c r="AL708" s="22"/>
    </row>
    <row r="709" spans="1:38" ht="17.399999999999999">
      <c r="A709" s="22"/>
      <c r="B709" s="22"/>
      <c r="C709" s="56"/>
      <c r="D709" s="56"/>
      <c r="E709" s="22"/>
      <c r="F709" s="22"/>
      <c r="G709" s="22"/>
      <c r="H709" s="22"/>
      <c r="I709" s="49"/>
      <c r="J709" s="50"/>
      <c r="K709" s="22"/>
      <c r="L709" s="22"/>
      <c r="M709" s="22"/>
      <c r="N709" s="22"/>
      <c r="O709" s="22"/>
      <c r="P709" s="46"/>
      <c r="Q709" s="40"/>
      <c r="R709" s="41"/>
      <c r="S709" s="22" t="str">
        <f t="shared" si="48"/>
        <v/>
      </c>
      <c r="T709" s="41"/>
      <c r="U709" s="44"/>
      <c r="V709" s="44"/>
      <c r="W709" s="46"/>
      <c r="X709" s="46"/>
      <c r="Y709" s="46"/>
      <c r="Z709" s="22"/>
      <c r="AA709" s="22"/>
      <c r="AB709" s="22"/>
      <c r="AC709" s="22"/>
      <c r="AD709" s="22"/>
      <c r="AE709" s="22"/>
      <c r="AF709" s="48" t="str">
        <f t="shared" si="49"/>
        <v/>
      </c>
      <c r="AG709" s="48" t="str">
        <f t="shared" si="50"/>
        <v/>
      </c>
      <c r="AH709" s="48" t="str">
        <f t="shared" si="51"/>
        <v/>
      </c>
      <c r="AI709" s="40" t="str">
        <f t="shared" si="52"/>
        <v/>
      </c>
      <c r="AJ709" s="40"/>
      <c r="AK709" s="40"/>
      <c r="AL709" s="22"/>
    </row>
    <row r="710" spans="1:38" ht="17.399999999999999">
      <c r="A710" s="22"/>
      <c r="B710" s="22"/>
      <c r="C710" s="56"/>
      <c r="D710" s="56"/>
      <c r="E710" s="22"/>
      <c r="F710" s="22"/>
      <c r="G710" s="22"/>
      <c r="H710" s="22"/>
      <c r="I710" s="49"/>
      <c r="J710" s="50"/>
      <c r="K710" s="22"/>
      <c r="L710" s="22"/>
      <c r="M710" s="22"/>
      <c r="N710" s="22"/>
      <c r="O710" s="22"/>
      <c r="P710" s="46"/>
      <c r="Q710" s="40"/>
      <c r="R710" s="41"/>
      <c r="S710" s="22" t="str">
        <f t="shared" si="48"/>
        <v/>
      </c>
      <c r="T710" s="41"/>
      <c r="U710" s="44"/>
      <c r="V710" s="44"/>
      <c r="W710" s="46"/>
      <c r="X710" s="46"/>
      <c r="Y710" s="46"/>
      <c r="Z710" s="22"/>
      <c r="AA710" s="22"/>
      <c r="AB710" s="22"/>
      <c r="AC710" s="22"/>
      <c r="AD710" s="22"/>
      <c r="AE710" s="22"/>
      <c r="AF710" s="48" t="str">
        <f t="shared" si="49"/>
        <v/>
      </c>
      <c r="AG710" s="48" t="str">
        <f t="shared" si="50"/>
        <v/>
      </c>
      <c r="AH710" s="48" t="str">
        <f t="shared" si="51"/>
        <v/>
      </c>
      <c r="AI710" s="40" t="str">
        <f t="shared" si="52"/>
        <v/>
      </c>
      <c r="AJ710" s="40"/>
      <c r="AK710" s="40"/>
      <c r="AL710" s="22"/>
    </row>
    <row r="711" spans="1:38" ht="17.399999999999999">
      <c r="A711" s="22"/>
      <c r="B711" s="22"/>
      <c r="C711" s="56"/>
      <c r="D711" s="56"/>
      <c r="E711" s="22"/>
      <c r="F711" s="22"/>
      <c r="G711" s="22"/>
      <c r="H711" s="22"/>
      <c r="I711" s="49"/>
      <c r="J711" s="50"/>
      <c r="K711" s="22"/>
      <c r="L711" s="22"/>
      <c r="M711" s="22"/>
      <c r="N711" s="22"/>
      <c r="O711" s="22"/>
      <c r="P711" s="46"/>
      <c r="Q711" s="40"/>
      <c r="R711" s="41"/>
      <c r="S711" s="22" t="str">
        <f t="shared" si="48"/>
        <v/>
      </c>
      <c r="T711" s="41"/>
      <c r="U711" s="44"/>
      <c r="V711" s="44"/>
      <c r="W711" s="46"/>
      <c r="X711" s="46"/>
      <c r="Y711" s="46"/>
      <c r="Z711" s="22"/>
      <c r="AA711" s="22"/>
      <c r="AB711" s="22"/>
      <c r="AC711" s="22"/>
      <c r="AD711" s="22"/>
      <c r="AE711" s="22"/>
      <c r="AF711" s="48" t="str">
        <f t="shared" si="49"/>
        <v/>
      </c>
      <c r="AG711" s="48" t="str">
        <f t="shared" si="50"/>
        <v/>
      </c>
      <c r="AH711" s="48" t="str">
        <f t="shared" si="51"/>
        <v/>
      </c>
      <c r="AI711" s="40" t="str">
        <f t="shared" si="52"/>
        <v/>
      </c>
      <c r="AJ711" s="40"/>
      <c r="AK711" s="40"/>
      <c r="AL711" s="22"/>
    </row>
    <row r="712" spans="1:38" ht="17.399999999999999">
      <c r="A712" s="22"/>
      <c r="B712" s="22"/>
      <c r="C712" s="56"/>
      <c r="D712" s="56"/>
      <c r="E712" s="22"/>
      <c r="F712" s="22"/>
      <c r="G712" s="22"/>
      <c r="H712" s="22"/>
      <c r="I712" s="49"/>
      <c r="J712" s="50"/>
      <c r="K712" s="22"/>
      <c r="L712" s="22"/>
      <c r="M712" s="22"/>
      <c r="N712" s="22"/>
      <c r="O712" s="22"/>
      <c r="P712" s="46"/>
      <c r="Q712" s="40"/>
      <c r="R712" s="41"/>
      <c r="S712" s="22" t="str">
        <f t="shared" si="48"/>
        <v/>
      </c>
      <c r="T712" s="41"/>
      <c r="U712" s="44"/>
      <c r="V712" s="44"/>
      <c r="W712" s="46"/>
      <c r="X712" s="46"/>
      <c r="Y712" s="46"/>
      <c r="Z712" s="22"/>
      <c r="AA712" s="22"/>
      <c r="AB712" s="22"/>
      <c r="AC712" s="22"/>
      <c r="AD712" s="22"/>
      <c r="AE712" s="22"/>
      <c r="AF712" s="48" t="str">
        <f t="shared" si="49"/>
        <v/>
      </c>
      <c r="AG712" s="48" t="str">
        <f t="shared" si="50"/>
        <v/>
      </c>
      <c r="AH712" s="48" t="str">
        <f t="shared" si="51"/>
        <v/>
      </c>
      <c r="AI712" s="40" t="str">
        <f t="shared" si="52"/>
        <v/>
      </c>
      <c r="AJ712" s="40"/>
      <c r="AK712" s="40"/>
      <c r="AL712" s="22"/>
    </row>
    <row r="713" spans="1:38" ht="17.399999999999999">
      <c r="A713" s="22"/>
      <c r="B713" s="22"/>
      <c r="C713" s="56"/>
      <c r="D713" s="56"/>
      <c r="E713" s="22"/>
      <c r="F713" s="22"/>
      <c r="G713" s="22"/>
      <c r="H713" s="22"/>
      <c r="I713" s="49"/>
      <c r="J713" s="50"/>
      <c r="K713" s="22"/>
      <c r="L713" s="22"/>
      <c r="M713" s="22"/>
      <c r="N713" s="22"/>
      <c r="O713" s="22"/>
      <c r="P713" s="46"/>
      <c r="Q713" s="40"/>
      <c r="R713" s="41"/>
      <c r="S713" s="22" t="str">
        <f t="shared" si="48"/>
        <v/>
      </c>
      <c r="T713" s="41"/>
      <c r="U713" s="44"/>
      <c r="V713" s="44"/>
      <c r="W713" s="46"/>
      <c r="X713" s="46"/>
      <c r="Y713" s="46"/>
      <c r="Z713" s="22"/>
      <c r="AA713" s="22"/>
      <c r="AB713" s="22"/>
      <c r="AC713" s="22"/>
      <c r="AD713" s="22"/>
      <c r="AE713" s="22"/>
      <c r="AF713" s="48" t="str">
        <f t="shared" si="49"/>
        <v/>
      </c>
      <c r="AG713" s="48" t="str">
        <f t="shared" si="50"/>
        <v/>
      </c>
      <c r="AH713" s="48" t="str">
        <f t="shared" si="51"/>
        <v/>
      </c>
      <c r="AI713" s="40" t="str">
        <f t="shared" si="52"/>
        <v/>
      </c>
      <c r="AJ713" s="40"/>
      <c r="AK713" s="40"/>
      <c r="AL713" s="22"/>
    </row>
    <row r="714" spans="1:38" ht="17.399999999999999">
      <c r="A714" s="22"/>
      <c r="B714" s="22"/>
      <c r="C714" s="56"/>
      <c r="D714" s="56"/>
      <c r="E714" s="22"/>
      <c r="F714" s="22"/>
      <c r="G714" s="22"/>
      <c r="H714" s="22"/>
      <c r="I714" s="49"/>
      <c r="J714" s="50"/>
      <c r="K714" s="22"/>
      <c r="L714" s="22"/>
      <c r="M714" s="22"/>
      <c r="N714" s="22"/>
      <c r="O714" s="22"/>
      <c r="P714" s="46"/>
      <c r="Q714" s="40"/>
      <c r="R714" s="41"/>
      <c r="S714" s="22" t="str">
        <f t="shared" si="48"/>
        <v/>
      </c>
      <c r="T714" s="41"/>
      <c r="U714" s="44"/>
      <c r="V714" s="44"/>
      <c r="W714" s="46"/>
      <c r="X714" s="46"/>
      <c r="Y714" s="46"/>
      <c r="Z714" s="22"/>
      <c r="AA714" s="22"/>
      <c r="AB714" s="22"/>
      <c r="AC714" s="22"/>
      <c r="AD714" s="22"/>
      <c r="AE714" s="22"/>
      <c r="AF714" s="48" t="str">
        <f t="shared" si="49"/>
        <v/>
      </c>
      <c r="AG714" s="48" t="str">
        <f t="shared" si="50"/>
        <v/>
      </c>
      <c r="AH714" s="48" t="str">
        <f t="shared" si="51"/>
        <v/>
      </c>
      <c r="AI714" s="40" t="str">
        <f t="shared" si="52"/>
        <v/>
      </c>
      <c r="AJ714" s="40"/>
      <c r="AK714" s="40"/>
      <c r="AL714" s="22"/>
    </row>
    <row r="715" spans="1:38" ht="17.399999999999999">
      <c r="A715" s="22"/>
      <c r="B715" s="22"/>
      <c r="C715" s="56"/>
      <c r="D715" s="56"/>
      <c r="E715" s="22"/>
      <c r="F715" s="22"/>
      <c r="G715" s="22"/>
      <c r="H715" s="22"/>
      <c r="I715" s="49"/>
      <c r="J715" s="50"/>
      <c r="K715" s="22"/>
      <c r="L715" s="22"/>
      <c r="M715" s="22"/>
      <c r="N715" s="22"/>
      <c r="O715" s="22"/>
      <c r="P715" s="46"/>
      <c r="Q715" s="40"/>
      <c r="R715" s="41"/>
      <c r="S715" s="22" t="str">
        <f t="shared" si="48"/>
        <v/>
      </c>
      <c r="T715" s="41"/>
      <c r="U715" s="44"/>
      <c r="V715" s="44"/>
      <c r="W715" s="46"/>
      <c r="X715" s="46"/>
      <c r="Y715" s="46"/>
      <c r="Z715" s="22"/>
      <c r="AA715" s="22"/>
      <c r="AB715" s="22"/>
      <c r="AC715" s="22"/>
      <c r="AD715" s="22"/>
      <c r="AE715" s="22"/>
      <c r="AF715" s="48" t="str">
        <f t="shared" si="49"/>
        <v/>
      </c>
      <c r="AG715" s="48" t="str">
        <f t="shared" si="50"/>
        <v/>
      </c>
      <c r="AH715" s="48" t="str">
        <f t="shared" si="51"/>
        <v/>
      </c>
      <c r="AI715" s="40" t="str">
        <f t="shared" si="52"/>
        <v/>
      </c>
      <c r="AJ715" s="40"/>
      <c r="AK715" s="40"/>
      <c r="AL715" s="22"/>
    </row>
    <row r="716" spans="1:38" ht="17.399999999999999">
      <c r="A716" s="22"/>
      <c r="B716" s="22"/>
      <c r="C716" s="56"/>
      <c r="D716" s="56"/>
      <c r="E716" s="22"/>
      <c r="F716" s="22"/>
      <c r="G716" s="22"/>
      <c r="H716" s="22"/>
      <c r="I716" s="49"/>
      <c r="J716" s="50"/>
      <c r="K716" s="22"/>
      <c r="L716" s="22"/>
      <c r="M716" s="22"/>
      <c r="N716" s="22"/>
      <c r="O716" s="22"/>
      <c r="P716" s="46"/>
      <c r="Q716" s="40"/>
      <c r="R716" s="41"/>
      <c r="S716" s="22" t="str">
        <f t="shared" si="48"/>
        <v/>
      </c>
      <c r="T716" s="41"/>
      <c r="U716" s="44"/>
      <c r="V716" s="44"/>
      <c r="W716" s="46"/>
      <c r="X716" s="46"/>
      <c r="Y716" s="46"/>
      <c r="Z716" s="22"/>
      <c r="AA716" s="22"/>
      <c r="AB716" s="22"/>
      <c r="AC716" s="22"/>
      <c r="AD716" s="22"/>
      <c r="AE716" s="22"/>
      <c r="AF716" s="48" t="str">
        <f t="shared" si="49"/>
        <v/>
      </c>
      <c r="AG716" s="48" t="str">
        <f t="shared" si="50"/>
        <v/>
      </c>
      <c r="AH716" s="48" t="str">
        <f t="shared" si="51"/>
        <v/>
      </c>
      <c r="AI716" s="40" t="str">
        <f t="shared" si="52"/>
        <v/>
      </c>
      <c r="AJ716" s="40"/>
      <c r="AK716" s="40"/>
      <c r="AL716" s="22"/>
    </row>
    <row r="717" spans="1:38" ht="17.399999999999999">
      <c r="A717" s="22"/>
      <c r="B717" s="22"/>
      <c r="C717" s="56"/>
      <c r="D717" s="56"/>
      <c r="E717" s="22"/>
      <c r="F717" s="22"/>
      <c r="G717" s="22"/>
      <c r="H717" s="22"/>
      <c r="I717" s="49"/>
      <c r="J717" s="50"/>
      <c r="K717" s="22"/>
      <c r="L717" s="22"/>
      <c r="M717" s="22"/>
      <c r="N717" s="22"/>
      <c r="O717" s="22"/>
      <c r="P717" s="46"/>
      <c r="Q717" s="40"/>
      <c r="R717" s="41"/>
      <c r="S717" s="22" t="str">
        <f t="shared" si="48"/>
        <v/>
      </c>
      <c r="T717" s="41"/>
      <c r="U717" s="44"/>
      <c r="V717" s="44"/>
      <c r="W717" s="46"/>
      <c r="X717" s="46"/>
      <c r="Y717" s="46"/>
      <c r="Z717" s="22"/>
      <c r="AA717" s="22"/>
      <c r="AB717" s="22"/>
      <c r="AC717" s="22"/>
      <c r="AD717" s="22"/>
      <c r="AE717" s="22"/>
      <c r="AF717" s="48" t="str">
        <f t="shared" si="49"/>
        <v/>
      </c>
      <c r="AG717" s="48" t="str">
        <f t="shared" si="50"/>
        <v/>
      </c>
      <c r="AH717" s="48" t="str">
        <f t="shared" si="51"/>
        <v/>
      </c>
      <c r="AI717" s="40" t="str">
        <f t="shared" si="52"/>
        <v/>
      </c>
      <c r="AJ717" s="40"/>
      <c r="AK717" s="40"/>
      <c r="AL717" s="22"/>
    </row>
    <row r="718" spans="1:38" ht="17.399999999999999">
      <c r="A718" s="22"/>
      <c r="B718" s="22"/>
      <c r="C718" s="56"/>
      <c r="D718" s="56"/>
      <c r="E718" s="22"/>
      <c r="F718" s="22"/>
      <c r="G718" s="22"/>
      <c r="H718" s="22"/>
      <c r="I718" s="49"/>
      <c r="J718" s="50"/>
      <c r="K718" s="22"/>
      <c r="L718" s="22"/>
      <c r="M718" s="22"/>
      <c r="N718" s="22"/>
      <c r="O718" s="22"/>
      <c r="P718" s="46"/>
      <c r="Q718" s="40"/>
      <c r="R718" s="41"/>
      <c r="S718" s="22" t="str">
        <f t="shared" si="48"/>
        <v/>
      </c>
      <c r="T718" s="41"/>
      <c r="U718" s="44"/>
      <c r="V718" s="44"/>
      <c r="W718" s="46"/>
      <c r="X718" s="46"/>
      <c r="Y718" s="46"/>
      <c r="Z718" s="22"/>
      <c r="AA718" s="22"/>
      <c r="AB718" s="22"/>
      <c r="AC718" s="22"/>
      <c r="AD718" s="22"/>
      <c r="AE718" s="22"/>
      <c r="AF718" s="48" t="str">
        <f t="shared" si="49"/>
        <v/>
      </c>
      <c r="AG718" s="48" t="str">
        <f t="shared" si="50"/>
        <v/>
      </c>
      <c r="AH718" s="48" t="str">
        <f t="shared" si="51"/>
        <v/>
      </c>
      <c r="AI718" s="40" t="str">
        <f t="shared" si="52"/>
        <v/>
      </c>
      <c r="AJ718" s="40"/>
      <c r="AK718" s="40"/>
      <c r="AL718" s="22"/>
    </row>
    <row r="719" spans="1:38" ht="17.399999999999999">
      <c r="A719" s="22"/>
      <c r="B719" s="22"/>
      <c r="C719" s="56"/>
      <c r="D719" s="56"/>
      <c r="E719" s="22"/>
      <c r="F719" s="22"/>
      <c r="G719" s="22"/>
      <c r="H719" s="22"/>
      <c r="I719" s="49"/>
      <c r="J719" s="50"/>
      <c r="K719" s="22"/>
      <c r="L719" s="22"/>
      <c r="M719" s="22"/>
      <c r="N719" s="22"/>
      <c r="O719" s="22"/>
      <c r="P719" s="46"/>
      <c r="Q719" s="40"/>
      <c r="R719" s="41"/>
      <c r="S719" s="22" t="str">
        <f t="shared" si="48"/>
        <v/>
      </c>
      <c r="T719" s="41"/>
      <c r="U719" s="44"/>
      <c r="V719" s="44"/>
      <c r="W719" s="46"/>
      <c r="X719" s="46"/>
      <c r="Y719" s="46"/>
      <c r="Z719" s="22"/>
      <c r="AA719" s="22"/>
      <c r="AB719" s="22"/>
      <c r="AC719" s="22"/>
      <c r="AD719" s="22"/>
      <c r="AE719" s="22"/>
      <c r="AF719" s="48" t="str">
        <f t="shared" si="49"/>
        <v/>
      </c>
      <c r="AG719" s="48" t="str">
        <f t="shared" si="50"/>
        <v/>
      </c>
      <c r="AH719" s="48" t="str">
        <f t="shared" si="51"/>
        <v/>
      </c>
      <c r="AI719" s="40" t="str">
        <f t="shared" si="52"/>
        <v/>
      </c>
      <c r="AJ719" s="40"/>
      <c r="AK719" s="40"/>
      <c r="AL719" s="22"/>
    </row>
    <row r="720" spans="1:38" ht="17.399999999999999">
      <c r="A720" s="22"/>
      <c r="B720" s="22"/>
      <c r="C720" s="56"/>
      <c r="D720" s="56"/>
      <c r="E720" s="22"/>
      <c r="F720" s="22"/>
      <c r="G720" s="22"/>
      <c r="H720" s="22"/>
      <c r="I720" s="49"/>
      <c r="J720" s="50"/>
      <c r="K720" s="22"/>
      <c r="L720" s="22"/>
      <c r="M720" s="22"/>
      <c r="N720" s="22"/>
      <c r="O720" s="22"/>
      <c r="P720" s="46"/>
      <c r="Q720" s="40"/>
      <c r="R720" s="41"/>
      <c r="S720" s="22" t="str">
        <f t="shared" si="48"/>
        <v/>
      </c>
      <c r="T720" s="41"/>
      <c r="U720" s="44"/>
      <c r="V720" s="44"/>
      <c r="W720" s="46"/>
      <c r="X720" s="46"/>
      <c r="Y720" s="46"/>
      <c r="Z720" s="22"/>
      <c r="AA720" s="22"/>
      <c r="AB720" s="22"/>
      <c r="AC720" s="22"/>
      <c r="AD720" s="22"/>
      <c r="AE720" s="22"/>
      <c r="AF720" s="48" t="str">
        <f t="shared" si="49"/>
        <v/>
      </c>
      <c r="AG720" s="48" t="str">
        <f t="shared" si="50"/>
        <v/>
      </c>
      <c r="AH720" s="48" t="str">
        <f t="shared" si="51"/>
        <v/>
      </c>
      <c r="AI720" s="40" t="str">
        <f t="shared" si="52"/>
        <v/>
      </c>
      <c r="AJ720" s="40"/>
      <c r="AK720" s="40"/>
      <c r="AL720" s="22"/>
    </row>
    <row r="721" spans="1:38" ht="17.399999999999999">
      <c r="A721" s="22"/>
      <c r="B721" s="22"/>
      <c r="C721" s="56"/>
      <c r="D721" s="56"/>
      <c r="E721" s="22"/>
      <c r="F721" s="22"/>
      <c r="G721" s="22"/>
      <c r="H721" s="22"/>
      <c r="I721" s="49"/>
      <c r="J721" s="50"/>
      <c r="K721" s="22"/>
      <c r="L721" s="22"/>
      <c r="M721" s="22"/>
      <c r="N721" s="22"/>
      <c r="O721" s="22"/>
      <c r="P721" s="46"/>
      <c r="Q721" s="40"/>
      <c r="R721" s="41"/>
      <c r="S721" s="22" t="str">
        <f t="shared" si="48"/>
        <v/>
      </c>
      <c r="T721" s="41"/>
      <c r="U721" s="44"/>
      <c r="V721" s="44"/>
      <c r="W721" s="46"/>
      <c r="X721" s="46"/>
      <c r="Y721" s="46"/>
      <c r="Z721" s="22"/>
      <c r="AA721" s="22"/>
      <c r="AB721" s="22"/>
      <c r="AC721" s="22"/>
      <c r="AD721" s="22"/>
      <c r="AE721" s="22"/>
      <c r="AF721" s="48" t="str">
        <f t="shared" si="49"/>
        <v/>
      </c>
      <c r="AG721" s="48" t="str">
        <f t="shared" si="50"/>
        <v/>
      </c>
      <c r="AH721" s="48" t="str">
        <f t="shared" si="51"/>
        <v/>
      </c>
      <c r="AI721" s="40" t="str">
        <f t="shared" si="52"/>
        <v/>
      </c>
      <c r="AJ721" s="40"/>
      <c r="AK721" s="40"/>
      <c r="AL721" s="22"/>
    </row>
    <row r="722" spans="1:38" ht="17.399999999999999">
      <c r="A722" s="22"/>
      <c r="B722" s="22"/>
      <c r="C722" s="56"/>
      <c r="D722" s="56"/>
      <c r="E722" s="22"/>
      <c r="F722" s="22"/>
      <c r="G722" s="22"/>
      <c r="H722" s="22"/>
      <c r="I722" s="49"/>
      <c r="J722" s="50"/>
      <c r="K722" s="22"/>
      <c r="L722" s="22"/>
      <c r="M722" s="22"/>
      <c r="N722" s="22"/>
      <c r="O722" s="22"/>
      <c r="P722" s="46"/>
      <c r="Q722" s="40"/>
      <c r="R722" s="41"/>
      <c r="S722" s="22" t="str">
        <f t="shared" si="48"/>
        <v/>
      </c>
      <c r="T722" s="41"/>
      <c r="U722" s="44"/>
      <c r="V722" s="44"/>
      <c r="W722" s="46"/>
      <c r="X722" s="46"/>
      <c r="Y722" s="46"/>
      <c r="Z722" s="22"/>
      <c r="AA722" s="22"/>
      <c r="AB722" s="22"/>
      <c r="AC722" s="22"/>
      <c r="AD722" s="22"/>
      <c r="AE722" s="22"/>
      <c r="AF722" s="48" t="str">
        <f t="shared" si="49"/>
        <v/>
      </c>
      <c r="AG722" s="48" t="str">
        <f t="shared" si="50"/>
        <v/>
      </c>
      <c r="AH722" s="48" t="str">
        <f t="shared" si="51"/>
        <v/>
      </c>
      <c r="AI722" s="40" t="str">
        <f t="shared" si="52"/>
        <v/>
      </c>
      <c r="AJ722" s="40"/>
      <c r="AK722" s="40"/>
      <c r="AL722" s="22"/>
    </row>
    <row r="723" spans="1:38" ht="17.399999999999999">
      <c r="A723" s="22"/>
      <c r="B723" s="22"/>
      <c r="C723" s="56"/>
      <c r="D723" s="56"/>
      <c r="E723" s="22"/>
      <c r="F723" s="22"/>
      <c r="G723" s="22"/>
      <c r="H723" s="22"/>
      <c r="I723" s="49"/>
      <c r="J723" s="50"/>
      <c r="K723" s="22"/>
      <c r="L723" s="22"/>
      <c r="M723" s="22"/>
      <c r="N723" s="22"/>
      <c r="O723" s="22"/>
      <c r="P723" s="46"/>
      <c r="Q723" s="40"/>
      <c r="R723" s="41"/>
      <c r="S723" s="22" t="str">
        <f t="shared" si="48"/>
        <v/>
      </c>
      <c r="T723" s="41"/>
      <c r="U723" s="44"/>
      <c r="V723" s="44"/>
      <c r="W723" s="46"/>
      <c r="X723" s="46"/>
      <c r="Y723" s="46"/>
      <c r="Z723" s="22"/>
      <c r="AA723" s="22"/>
      <c r="AB723" s="22"/>
      <c r="AC723" s="22"/>
      <c r="AD723" s="22"/>
      <c r="AE723" s="22"/>
      <c r="AF723" s="48" t="str">
        <f t="shared" si="49"/>
        <v/>
      </c>
      <c r="AG723" s="48" t="str">
        <f t="shared" si="50"/>
        <v/>
      </c>
      <c r="AH723" s="48" t="str">
        <f t="shared" si="51"/>
        <v/>
      </c>
      <c r="AI723" s="40" t="str">
        <f t="shared" si="52"/>
        <v/>
      </c>
      <c r="AJ723" s="40"/>
      <c r="AK723" s="40"/>
      <c r="AL723" s="22"/>
    </row>
    <row r="724" spans="1:38" ht="17.399999999999999">
      <c r="A724" s="22"/>
      <c r="B724" s="22"/>
      <c r="C724" s="56"/>
      <c r="D724" s="56"/>
      <c r="E724" s="22"/>
      <c r="F724" s="22"/>
      <c r="G724" s="22"/>
      <c r="H724" s="22"/>
      <c r="I724" s="49"/>
      <c r="J724" s="50"/>
      <c r="K724" s="22"/>
      <c r="L724" s="22"/>
      <c r="M724" s="22"/>
      <c r="N724" s="22"/>
      <c r="O724" s="22"/>
      <c r="P724" s="46"/>
      <c r="Q724" s="40"/>
      <c r="R724" s="41"/>
      <c r="S724" s="22" t="str">
        <f t="shared" si="48"/>
        <v/>
      </c>
      <c r="T724" s="41"/>
      <c r="U724" s="44"/>
      <c r="V724" s="44"/>
      <c r="W724" s="46"/>
      <c r="X724" s="46"/>
      <c r="Y724" s="46"/>
      <c r="Z724" s="22"/>
      <c r="AA724" s="22"/>
      <c r="AB724" s="22"/>
      <c r="AC724" s="22"/>
      <c r="AD724" s="22"/>
      <c r="AE724" s="22"/>
      <c r="AF724" s="48" t="str">
        <f t="shared" si="49"/>
        <v/>
      </c>
      <c r="AG724" s="48" t="str">
        <f t="shared" si="50"/>
        <v/>
      </c>
      <c r="AH724" s="48" t="str">
        <f t="shared" si="51"/>
        <v/>
      </c>
      <c r="AI724" s="40" t="str">
        <f t="shared" si="52"/>
        <v/>
      </c>
      <c r="AJ724" s="40"/>
      <c r="AK724" s="40"/>
      <c r="AL724" s="22"/>
    </row>
    <row r="725" spans="1:38" ht="17.399999999999999">
      <c r="A725" s="22"/>
      <c r="B725" s="22"/>
      <c r="C725" s="56"/>
      <c r="D725" s="56"/>
      <c r="E725" s="22"/>
      <c r="F725" s="22"/>
      <c r="G725" s="22"/>
      <c r="H725" s="22"/>
      <c r="I725" s="49"/>
      <c r="J725" s="50"/>
      <c r="K725" s="22"/>
      <c r="L725" s="22"/>
      <c r="M725" s="22"/>
      <c r="N725" s="22"/>
      <c r="O725" s="22"/>
      <c r="P725" s="46"/>
      <c r="Q725" s="40"/>
      <c r="R725" s="41"/>
      <c r="S725" s="22" t="str">
        <f t="shared" si="48"/>
        <v/>
      </c>
      <c r="T725" s="41"/>
      <c r="U725" s="44"/>
      <c r="V725" s="44"/>
      <c r="W725" s="46"/>
      <c r="X725" s="46"/>
      <c r="Y725" s="46"/>
      <c r="Z725" s="22"/>
      <c r="AA725" s="22"/>
      <c r="AB725" s="22"/>
      <c r="AC725" s="22"/>
      <c r="AD725" s="22"/>
      <c r="AE725" s="22"/>
      <c r="AF725" s="48" t="str">
        <f t="shared" si="49"/>
        <v/>
      </c>
      <c r="AG725" s="48" t="str">
        <f t="shared" si="50"/>
        <v/>
      </c>
      <c r="AH725" s="48" t="str">
        <f t="shared" si="51"/>
        <v/>
      </c>
      <c r="AI725" s="40" t="str">
        <f t="shared" si="52"/>
        <v/>
      </c>
      <c r="AJ725" s="40"/>
      <c r="AK725" s="40"/>
      <c r="AL725" s="22"/>
    </row>
    <row r="726" spans="1:38" ht="17.399999999999999">
      <c r="A726" s="22"/>
      <c r="B726" s="22"/>
      <c r="C726" s="56"/>
      <c r="D726" s="56"/>
      <c r="E726" s="22"/>
      <c r="F726" s="22"/>
      <c r="G726" s="22"/>
      <c r="H726" s="22"/>
      <c r="I726" s="49"/>
      <c r="J726" s="50"/>
      <c r="K726" s="22"/>
      <c r="L726" s="22"/>
      <c r="M726" s="22"/>
      <c r="N726" s="22"/>
      <c r="O726" s="22"/>
      <c r="P726" s="46"/>
      <c r="Q726" s="40"/>
      <c r="R726" s="41"/>
      <c r="S726" s="22" t="str">
        <f t="shared" si="48"/>
        <v/>
      </c>
      <c r="T726" s="41"/>
      <c r="U726" s="44"/>
      <c r="V726" s="44"/>
      <c r="W726" s="46"/>
      <c r="X726" s="46"/>
      <c r="Y726" s="46"/>
      <c r="Z726" s="22"/>
      <c r="AA726" s="22"/>
      <c r="AB726" s="22"/>
      <c r="AC726" s="22"/>
      <c r="AD726" s="22"/>
      <c r="AE726" s="22"/>
      <c r="AF726" s="48" t="str">
        <f t="shared" si="49"/>
        <v/>
      </c>
      <c r="AG726" s="48" t="str">
        <f t="shared" si="50"/>
        <v/>
      </c>
      <c r="AH726" s="48" t="str">
        <f t="shared" si="51"/>
        <v/>
      </c>
      <c r="AI726" s="40" t="str">
        <f t="shared" si="52"/>
        <v/>
      </c>
      <c r="AJ726" s="40"/>
      <c r="AK726" s="40"/>
      <c r="AL726" s="22"/>
    </row>
    <row r="727" spans="1:38" ht="17.399999999999999">
      <c r="A727" s="22"/>
      <c r="B727" s="22"/>
      <c r="C727" s="56"/>
      <c r="D727" s="56"/>
      <c r="E727" s="22"/>
      <c r="F727" s="22"/>
      <c r="G727" s="22"/>
      <c r="H727" s="22"/>
      <c r="I727" s="49"/>
      <c r="J727" s="50"/>
      <c r="K727" s="22"/>
      <c r="L727" s="22"/>
      <c r="M727" s="22"/>
      <c r="N727" s="22"/>
      <c r="O727" s="22"/>
      <c r="P727" s="46"/>
      <c r="Q727" s="40"/>
      <c r="R727" s="41"/>
      <c r="S727" s="22" t="str">
        <f t="shared" ref="S727:S790" si="53">IF(A727="","",M727+O727)</f>
        <v/>
      </c>
      <c r="T727" s="41"/>
      <c r="U727" s="44"/>
      <c r="V727" s="44"/>
      <c r="W727" s="46"/>
      <c r="X727" s="46"/>
      <c r="Y727" s="46"/>
      <c r="Z727" s="22"/>
      <c r="AA727" s="22"/>
      <c r="AB727" s="22"/>
      <c r="AC727" s="22"/>
      <c r="AD727" s="22"/>
      <c r="AE727" s="22"/>
      <c r="AF727" s="48" t="str">
        <f t="shared" ref="AF727:AF790" si="54">IF(A727="","",S727-X727)</f>
        <v/>
      </c>
      <c r="AG727" s="48" t="str">
        <f t="shared" ref="AG727:AG790" si="55">IF(A727="","",X727-(AB727+AE727))</f>
        <v/>
      </c>
      <c r="AH727" s="48" t="str">
        <f t="shared" ref="AH727:AH790" si="56">IF(A727="","",AF727+AG727)</f>
        <v/>
      </c>
      <c r="AI727" s="40" t="str">
        <f t="shared" ref="AI727:AI790" si="57">IF(A727="","",R727+21)</f>
        <v/>
      </c>
      <c r="AJ727" s="40"/>
      <c r="AK727" s="40"/>
      <c r="AL727" s="22"/>
    </row>
    <row r="728" spans="1:38" ht="17.399999999999999">
      <c r="A728" s="22"/>
      <c r="B728" s="22"/>
      <c r="C728" s="56"/>
      <c r="D728" s="56"/>
      <c r="E728" s="22"/>
      <c r="F728" s="22"/>
      <c r="G728" s="22"/>
      <c r="H728" s="22"/>
      <c r="I728" s="49"/>
      <c r="J728" s="50"/>
      <c r="K728" s="22"/>
      <c r="L728" s="22"/>
      <c r="M728" s="22"/>
      <c r="N728" s="22"/>
      <c r="O728" s="22"/>
      <c r="P728" s="46"/>
      <c r="Q728" s="40"/>
      <c r="R728" s="41"/>
      <c r="S728" s="22" t="str">
        <f t="shared" si="53"/>
        <v/>
      </c>
      <c r="T728" s="41"/>
      <c r="U728" s="44"/>
      <c r="V728" s="44"/>
      <c r="W728" s="46"/>
      <c r="X728" s="46"/>
      <c r="Y728" s="46"/>
      <c r="Z728" s="22"/>
      <c r="AA728" s="22"/>
      <c r="AB728" s="22"/>
      <c r="AC728" s="22"/>
      <c r="AD728" s="22"/>
      <c r="AE728" s="22"/>
      <c r="AF728" s="48" t="str">
        <f t="shared" si="54"/>
        <v/>
      </c>
      <c r="AG728" s="48" t="str">
        <f t="shared" si="55"/>
        <v/>
      </c>
      <c r="AH728" s="48" t="str">
        <f t="shared" si="56"/>
        <v/>
      </c>
      <c r="AI728" s="40" t="str">
        <f t="shared" si="57"/>
        <v/>
      </c>
      <c r="AJ728" s="40"/>
      <c r="AK728" s="40"/>
      <c r="AL728" s="22"/>
    </row>
    <row r="729" spans="1:38" ht="17.399999999999999">
      <c r="A729" s="22"/>
      <c r="B729" s="22"/>
      <c r="C729" s="56"/>
      <c r="D729" s="56"/>
      <c r="E729" s="22"/>
      <c r="F729" s="22"/>
      <c r="G729" s="22"/>
      <c r="H729" s="22"/>
      <c r="I729" s="49"/>
      <c r="J729" s="50"/>
      <c r="K729" s="22"/>
      <c r="L729" s="22"/>
      <c r="M729" s="22"/>
      <c r="N729" s="22"/>
      <c r="O729" s="22"/>
      <c r="P729" s="46"/>
      <c r="Q729" s="40"/>
      <c r="R729" s="41"/>
      <c r="S729" s="22" t="str">
        <f t="shared" si="53"/>
        <v/>
      </c>
      <c r="T729" s="41"/>
      <c r="U729" s="44"/>
      <c r="V729" s="44"/>
      <c r="W729" s="46"/>
      <c r="X729" s="46"/>
      <c r="Y729" s="46"/>
      <c r="Z729" s="22"/>
      <c r="AA729" s="22"/>
      <c r="AB729" s="22"/>
      <c r="AC729" s="22"/>
      <c r="AD729" s="22"/>
      <c r="AE729" s="22"/>
      <c r="AF729" s="48" t="str">
        <f t="shared" si="54"/>
        <v/>
      </c>
      <c r="AG729" s="48" t="str">
        <f t="shared" si="55"/>
        <v/>
      </c>
      <c r="AH729" s="48" t="str">
        <f t="shared" si="56"/>
        <v/>
      </c>
      <c r="AI729" s="40" t="str">
        <f t="shared" si="57"/>
        <v/>
      </c>
      <c r="AJ729" s="40"/>
      <c r="AK729" s="40"/>
      <c r="AL729" s="22"/>
    </row>
    <row r="730" spans="1:38" ht="17.399999999999999">
      <c r="A730" s="22"/>
      <c r="B730" s="22"/>
      <c r="C730" s="56"/>
      <c r="D730" s="56"/>
      <c r="E730" s="22"/>
      <c r="F730" s="22"/>
      <c r="G730" s="22"/>
      <c r="H730" s="22"/>
      <c r="I730" s="49"/>
      <c r="J730" s="50"/>
      <c r="K730" s="22"/>
      <c r="L730" s="22"/>
      <c r="M730" s="22"/>
      <c r="N730" s="22"/>
      <c r="O730" s="22"/>
      <c r="P730" s="46"/>
      <c r="Q730" s="40"/>
      <c r="R730" s="41"/>
      <c r="S730" s="22" t="str">
        <f t="shared" si="53"/>
        <v/>
      </c>
      <c r="T730" s="41"/>
      <c r="U730" s="44"/>
      <c r="V730" s="44"/>
      <c r="W730" s="46"/>
      <c r="X730" s="46"/>
      <c r="Y730" s="46"/>
      <c r="Z730" s="22"/>
      <c r="AA730" s="22"/>
      <c r="AB730" s="22"/>
      <c r="AC730" s="22"/>
      <c r="AD730" s="22"/>
      <c r="AE730" s="22"/>
      <c r="AF730" s="48" t="str">
        <f t="shared" si="54"/>
        <v/>
      </c>
      <c r="AG730" s="48" t="str">
        <f t="shared" si="55"/>
        <v/>
      </c>
      <c r="AH730" s="48" t="str">
        <f t="shared" si="56"/>
        <v/>
      </c>
      <c r="AI730" s="40" t="str">
        <f t="shared" si="57"/>
        <v/>
      </c>
      <c r="AJ730" s="40"/>
      <c r="AK730" s="40"/>
      <c r="AL730" s="22"/>
    </row>
    <row r="731" spans="1:38" ht="17.399999999999999">
      <c r="A731" s="22"/>
      <c r="B731" s="22"/>
      <c r="C731" s="56"/>
      <c r="D731" s="56"/>
      <c r="E731" s="22"/>
      <c r="F731" s="22"/>
      <c r="G731" s="22"/>
      <c r="H731" s="22"/>
      <c r="I731" s="49"/>
      <c r="J731" s="50"/>
      <c r="K731" s="22"/>
      <c r="L731" s="22"/>
      <c r="M731" s="22"/>
      <c r="N731" s="22"/>
      <c r="O731" s="22"/>
      <c r="P731" s="46"/>
      <c r="Q731" s="40"/>
      <c r="R731" s="41"/>
      <c r="S731" s="22" t="str">
        <f t="shared" si="53"/>
        <v/>
      </c>
      <c r="T731" s="41"/>
      <c r="U731" s="44"/>
      <c r="V731" s="44"/>
      <c r="W731" s="46"/>
      <c r="X731" s="46"/>
      <c r="Y731" s="46"/>
      <c r="Z731" s="22"/>
      <c r="AA731" s="22"/>
      <c r="AB731" s="22"/>
      <c r="AC731" s="22"/>
      <c r="AD731" s="22"/>
      <c r="AE731" s="22"/>
      <c r="AF731" s="48" t="str">
        <f t="shared" si="54"/>
        <v/>
      </c>
      <c r="AG731" s="48" t="str">
        <f t="shared" si="55"/>
        <v/>
      </c>
      <c r="AH731" s="48" t="str">
        <f t="shared" si="56"/>
        <v/>
      </c>
      <c r="AI731" s="40" t="str">
        <f t="shared" si="57"/>
        <v/>
      </c>
      <c r="AJ731" s="40"/>
      <c r="AK731" s="40"/>
      <c r="AL731" s="22"/>
    </row>
    <row r="732" spans="1:38" ht="17.399999999999999">
      <c r="A732" s="22"/>
      <c r="B732" s="22"/>
      <c r="C732" s="56"/>
      <c r="D732" s="56"/>
      <c r="E732" s="22"/>
      <c r="F732" s="22"/>
      <c r="G732" s="22"/>
      <c r="H732" s="22"/>
      <c r="I732" s="49"/>
      <c r="J732" s="50"/>
      <c r="K732" s="22"/>
      <c r="L732" s="22"/>
      <c r="M732" s="22"/>
      <c r="N732" s="22"/>
      <c r="O732" s="22"/>
      <c r="P732" s="46"/>
      <c r="Q732" s="40"/>
      <c r="R732" s="41"/>
      <c r="S732" s="22" t="str">
        <f t="shared" si="53"/>
        <v/>
      </c>
      <c r="T732" s="41"/>
      <c r="U732" s="44"/>
      <c r="V732" s="44"/>
      <c r="W732" s="46"/>
      <c r="X732" s="46"/>
      <c r="Y732" s="46"/>
      <c r="Z732" s="22"/>
      <c r="AA732" s="22"/>
      <c r="AB732" s="22"/>
      <c r="AC732" s="22"/>
      <c r="AD732" s="22"/>
      <c r="AE732" s="22"/>
      <c r="AF732" s="48" t="str">
        <f t="shared" si="54"/>
        <v/>
      </c>
      <c r="AG732" s="48" t="str">
        <f t="shared" si="55"/>
        <v/>
      </c>
      <c r="AH732" s="48" t="str">
        <f t="shared" si="56"/>
        <v/>
      </c>
      <c r="AI732" s="40" t="str">
        <f t="shared" si="57"/>
        <v/>
      </c>
      <c r="AJ732" s="40"/>
      <c r="AK732" s="40"/>
      <c r="AL732" s="22"/>
    </row>
    <row r="733" spans="1:38" ht="17.399999999999999">
      <c r="A733" s="22"/>
      <c r="B733" s="22"/>
      <c r="C733" s="56"/>
      <c r="D733" s="56"/>
      <c r="E733" s="22"/>
      <c r="F733" s="22"/>
      <c r="G733" s="22"/>
      <c r="H733" s="22"/>
      <c r="I733" s="49"/>
      <c r="J733" s="50"/>
      <c r="K733" s="22"/>
      <c r="L733" s="22"/>
      <c r="M733" s="22"/>
      <c r="N733" s="22"/>
      <c r="O733" s="22"/>
      <c r="P733" s="46"/>
      <c r="Q733" s="40"/>
      <c r="R733" s="41"/>
      <c r="S733" s="22" t="str">
        <f t="shared" si="53"/>
        <v/>
      </c>
      <c r="T733" s="41"/>
      <c r="U733" s="44"/>
      <c r="V733" s="44"/>
      <c r="W733" s="46"/>
      <c r="X733" s="46"/>
      <c r="Y733" s="46"/>
      <c r="Z733" s="22"/>
      <c r="AA733" s="22"/>
      <c r="AB733" s="22"/>
      <c r="AC733" s="22"/>
      <c r="AD733" s="22"/>
      <c r="AE733" s="22"/>
      <c r="AF733" s="48" t="str">
        <f t="shared" si="54"/>
        <v/>
      </c>
      <c r="AG733" s="48" t="str">
        <f t="shared" si="55"/>
        <v/>
      </c>
      <c r="AH733" s="48" t="str">
        <f t="shared" si="56"/>
        <v/>
      </c>
      <c r="AI733" s="40" t="str">
        <f t="shared" si="57"/>
        <v/>
      </c>
      <c r="AJ733" s="40"/>
      <c r="AK733" s="40"/>
      <c r="AL733" s="22"/>
    </row>
    <row r="734" spans="1:38" ht="17.399999999999999">
      <c r="A734" s="22"/>
      <c r="B734" s="22"/>
      <c r="C734" s="56"/>
      <c r="D734" s="56"/>
      <c r="E734" s="22"/>
      <c r="F734" s="22"/>
      <c r="G734" s="22"/>
      <c r="H734" s="22"/>
      <c r="I734" s="49"/>
      <c r="J734" s="50"/>
      <c r="K734" s="22"/>
      <c r="L734" s="22"/>
      <c r="M734" s="22"/>
      <c r="N734" s="22"/>
      <c r="O734" s="22"/>
      <c r="P734" s="46"/>
      <c r="Q734" s="40"/>
      <c r="R734" s="41"/>
      <c r="S734" s="22" t="str">
        <f t="shared" si="53"/>
        <v/>
      </c>
      <c r="T734" s="41"/>
      <c r="U734" s="44"/>
      <c r="V734" s="44"/>
      <c r="W734" s="46"/>
      <c r="X734" s="46"/>
      <c r="Y734" s="46"/>
      <c r="Z734" s="22"/>
      <c r="AA734" s="22"/>
      <c r="AB734" s="22"/>
      <c r="AC734" s="22"/>
      <c r="AD734" s="22"/>
      <c r="AE734" s="22"/>
      <c r="AF734" s="48" t="str">
        <f t="shared" si="54"/>
        <v/>
      </c>
      <c r="AG734" s="48" t="str">
        <f t="shared" si="55"/>
        <v/>
      </c>
      <c r="AH734" s="48" t="str">
        <f t="shared" si="56"/>
        <v/>
      </c>
      <c r="AI734" s="40" t="str">
        <f t="shared" si="57"/>
        <v/>
      </c>
      <c r="AJ734" s="40"/>
      <c r="AK734" s="40"/>
      <c r="AL734" s="22"/>
    </row>
    <row r="735" spans="1:38" ht="17.399999999999999">
      <c r="A735" s="22"/>
      <c r="B735" s="22"/>
      <c r="C735" s="56"/>
      <c r="D735" s="56"/>
      <c r="E735" s="22"/>
      <c r="F735" s="22"/>
      <c r="G735" s="22"/>
      <c r="H735" s="22"/>
      <c r="I735" s="49"/>
      <c r="J735" s="50"/>
      <c r="K735" s="22"/>
      <c r="L735" s="22"/>
      <c r="M735" s="22"/>
      <c r="N735" s="22"/>
      <c r="O735" s="22"/>
      <c r="P735" s="46"/>
      <c r="Q735" s="40"/>
      <c r="R735" s="41"/>
      <c r="S735" s="22" t="str">
        <f t="shared" si="53"/>
        <v/>
      </c>
      <c r="T735" s="41"/>
      <c r="U735" s="44"/>
      <c r="V735" s="44"/>
      <c r="W735" s="46"/>
      <c r="X735" s="46"/>
      <c r="Y735" s="46"/>
      <c r="Z735" s="22"/>
      <c r="AA735" s="22"/>
      <c r="AB735" s="22"/>
      <c r="AC735" s="22"/>
      <c r="AD735" s="22"/>
      <c r="AE735" s="22"/>
      <c r="AF735" s="48" t="str">
        <f t="shared" si="54"/>
        <v/>
      </c>
      <c r="AG735" s="48" t="str">
        <f t="shared" si="55"/>
        <v/>
      </c>
      <c r="AH735" s="48" t="str">
        <f t="shared" si="56"/>
        <v/>
      </c>
      <c r="AI735" s="40" t="str">
        <f t="shared" si="57"/>
        <v/>
      </c>
      <c r="AJ735" s="40"/>
      <c r="AK735" s="40"/>
      <c r="AL735" s="22"/>
    </row>
    <row r="736" spans="1:38" ht="17.399999999999999">
      <c r="A736" s="22"/>
      <c r="B736" s="22"/>
      <c r="C736" s="56"/>
      <c r="D736" s="56"/>
      <c r="E736" s="22"/>
      <c r="F736" s="22"/>
      <c r="G736" s="22"/>
      <c r="H736" s="22"/>
      <c r="I736" s="49"/>
      <c r="J736" s="50"/>
      <c r="K736" s="22"/>
      <c r="L736" s="22"/>
      <c r="M736" s="22"/>
      <c r="N736" s="22"/>
      <c r="O736" s="22"/>
      <c r="P736" s="46"/>
      <c r="Q736" s="40"/>
      <c r="R736" s="41"/>
      <c r="S736" s="22" t="str">
        <f t="shared" si="53"/>
        <v/>
      </c>
      <c r="T736" s="41"/>
      <c r="U736" s="44"/>
      <c r="V736" s="44"/>
      <c r="W736" s="46"/>
      <c r="X736" s="46"/>
      <c r="Y736" s="46"/>
      <c r="Z736" s="22"/>
      <c r="AA736" s="22"/>
      <c r="AB736" s="22"/>
      <c r="AC736" s="22"/>
      <c r="AD736" s="22"/>
      <c r="AE736" s="22"/>
      <c r="AF736" s="48" t="str">
        <f t="shared" si="54"/>
        <v/>
      </c>
      <c r="AG736" s="48" t="str">
        <f t="shared" si="55"/>
        <v/>
      </c>
      <c r="AH736" s="48" t="str">
        <f t="shared" si="56"/>
        <v/>
      </c>
      <c r="AI736" s="40" t="str">
        <f t="shared" si="57"/>
        <v/>
      </c>
      <c r="AJ736" s="40"/>
      <c r="AK736" s="40"/>
      <c r="AL736" s="22"/>
    </row>
    <row r="737" spans="1:38" ht="17.399999999999999">
      <c r="A737" s="22"/>
      <c r="B737" s="22"/>
      <c r="C737" s="56"/>
      <c r="D737" s="56"/>
      <c r="E737" s="22"/>
      <c r="F737" s="22"/>
      <c r="G737" s="22"/>
      <c r="H737" s="22"/>
      <c r="I737" s="49"/>
      <c r="J737" s="50"/>
      <c r="K737" s="22"/>
      <c r="L737" s="22"/>
      <c r="M737" s="22"/>
      <c r="N737" s="22"/>
      <c r="O737" s="22"/>
      <c r="P737" s="46"/>
      <c r="Q737" s="40"/>
      <c r="R737" s="41"/>
      <c r="S737" s="22" t="str">
        <f t="shared" si="53"/>
        <v/>
      </c>
      <c r="T737" s="41"/>
      <c r="U737" s="44"/>
      <c r="V737" s="44"/>
      <c r="W737" s="46"/>
      <c r="X737" s="46"/>
      <c r="Y737" s="46"/>
      <c r="Z737" s="22"/>
      <c r="AA737" s="22"/>
      <c r="AB737" s="22"/>
      <c r="AC737" s="22"/>
      <c r="AD737" s="22"/>
      <c r="AE737" s="22"/>
      <c r="AF737" s="48" t="str">
        <f t="shared" si="54"/>
        <v/>
      </c>
      <c r="AG737" s="48" t="str">
        <f t="shared" si="55"/>
        <v/>
      </c>
      <c r="AH737" s="48" t="str">
        <f t="shared" si="56"/>
        <v/>
      </c>
      <c r="AI737" s="40" t="str">
        <f t="shared" si="57"/>
        <v/>
      </c>
      <c r="AJ737" s="40"/>
      <c r="AK737" s="40"/>
      <c r="AL737" s="22"/>
    </row>
    <row r="738" spans="1:38" ht="17.399999999999999">
      <c r="A738" s="22"/>
      <c r="B738" s="22"/>
      <c r="C738" s="56"/>
      <c r="D738" s="56"/>
      <c r="E738" s="22"/>
      <c r="F738" s="22"/>
      <c r="G738" s="22"/>
      <c r="H738" s="22"/>
      <c r="I738" s="49"/>
      <c r="J738" s="50"/>
      <c r="K738" s="22"/>
      <c r="L738" s="22"/>
      <c r="M738" s="22"/>
      <c r="N738" s="22"/>
      <c r="O738" s="22"/>
      <c r="P738" s="46"/>
      <c r="Q738" s="40"/>
      <c r="R738" s="41"/>
      <c r="S738" s="22" t="str">
        <f t="shared" si="53"/>
        <v/>
      </c>
      <c r="T738" s="41"/>
      <c r="U738" s="44"/>
      <c r="V738" s="44"/>
      <c r="W738" s="46"/>
      <c r="X738" s="46"/>
      <c r="Y738" s="46"/>
      <c r="Z738" s="22"/>
      <c r="AA738" s="22"/>
      <c r="AB738" s="22"/>
      <c r="AC738" s="22"/>
      <c r="AD738" s="22"/>
      <c r="AE738" s="22"/>
      <c r="AF738" s="48" t="str">
        <f t="shared" si="54"/>
        <v/>
      </c>
      <c r="AG738" s="48" t="str">
        <f t="shared" si="55"/>
        <v/>
      </c>
      <c r="AH738" s="48" t="str">
        <f t="shared" si="56"/>
        <v/>
      </c>
      <c r="AI738" s="40" t="str">
        <f t="shared" si="57"/>
        <v/>
      </c>
      <c r="AJ738" s="40"/>
      <c r="AK738" s="40"/>
      <c r="AL738" s="22"/>
    </row>
    <row r="739" spans="1:38" ht="17.399999999999999">
      <c r="A739" s="22"/>
      <c r="B739" s="22"/>
      <c r="C739" s="56"/>
      <c r="D739" s="56"/>
      <c r="E739" s="22"/>
      <c r="F739" s="22"/>
      <c r="G739" s="22"/>
      <c r="H739" s="22"/>
      <c r="I739" s="49"/>
      <c r="J739" s="50"/>
      <c r="K739" s="22"/>
      <c r="L739" s="22"/>
      <c r="M739" s="22"/>
      <c r="N739" s="22"/>
      <c r="O739" s="22"/>
      <c r="P739" s="46"/>
      <c r="Q739" s="40"/>
      <c r="R739" s="41"/>
      <c r="S739" s="22" t="str">
        <f t="shared" si="53"/>
        <v/>
      </c>
      <c r="T739" s="41"/>
      <c r="U739" s="44"/>
      <c r="V739" s="44"/>
      <c r="W739" s="46"/>
      <c r="X739" s="46"/>
      <c r="Y739" s="46"/>
      <c r="Z739" s="22"/>
      <c r="AA739" s="22"/>
      <c r="AB739" s="22"/>
      <c r="AC739" s="22"/>
      <c r="AD739" s="22"/>
      <c r="AE739" s="22"/>
      <c r="AF739" s="48" t="str">
        <f t="shared" si="54"/>
        <v/>
      </c>
      <c r="AG739" s="48" t="str">
        <f t="shared" si="55"/>
        <v/>
      </c>
      <c r="AH739" s="48" t="str">
        <f t="shared" si="56"/>
        <v/>
      </c>
      <c r="AI739" s="40" t="str">
        <f t="shared" si="57"/>
        <v/>
      </c>
      <c r="AJ739" s="40"/>
      <c r="AK739" s="40"/>
      <c r="AL739" s="22"/>
    </row>
    <row r="740" spans="1:38" ht="17.399999999999999">
      <c r="A740" s="22"/>
      <c r="B740" s="22"/>
      <c r="C740" s="56"/>
      <c r="D740" s="56"/>
      <c r="E740" s="22"/>
      <c r="F740" s="22"/>
      <c r="G740" s="22"/>
      <c r="H740" s="22"/>
      <c r="I740" s="49"/>
      <c r="J740" s="50"/>
      <c r="K740" s="22"/>
      <c r="L740" s="22"/>
      <c r="M740" s="22"/>
      <c r="N740" s="22"/>
      <c r="O740" s="22"/>
      <c r="P740" s="46"/>
      <c r="Q740" s="40"/>
      <c r="R740" s="41"/>
      <c r="S740" s="22" t="str">
        <f t="shared" si="53"/>
        <v/>
      </c>
      <c r="T740" s="41"/>
      <c r="U740" s="44"/>
      <c r="V740" s="44"/>
      <c r="W740" s="46"/>
      <c r="X740" s="46"/>
      <c r="Y740" s="46"/>
      <c r="Z740" s="22"/>
      <c r="AA740" s="22"/>
      <c r="AB740" s="22"/>
      <c r="AC740" s="22"/>
      <c r="AD740" s="22"/>
      <c r="AE740" s="22"/>
      <c r="AF740" s="48" t="str">
        <f t="shared" si="54"/>
        <v/>
      </c>
      <c r="AG740" s="48" t="str">
        <f t="shared" si="55"/>
        <v/>
      </c>
      <c r="AH740" s="48" t="str">
        <f t="shared" si="56"/>
        <v/>
      </c>
      <c r="AI740" s="40" t="str">
        <f t="shared" si="57"/>
        <v/>
      </c>
      <c r="AJ740" s="40"/>
      <c r="AK740" s="40"/>
      <c r="AL740" s="22"/>
    </row>
    <row r="741" spans="1:38" ht="17.399999999999999">
      <c r="A741" s="22"/>
      <c r="B741" s="22"/>
      <c r="C741" s="56"/>
      <c r="D741" s="56"/>
      <c r="E741" s="22"/>
      <c r="F741" s="22"/>
      <c r="G741" s="22"/>
      <c r="H741" s="22"/>
      <c r="I741" s="49"/>
      <c r="J741" s="50"/>
      <c r="K741" s="22"/>
      <c r="L741" s="22"/>
      <c r="M741" s="22"/>
      <c r="N741" s="22"/>
      <c r="O741" s="22"/>
      <c r="P741" s="46"/>
      <c r="Q741" s="40"/>
      <c r="R741" s="41"/>
      <c r="S741" s="22" t="str">
        <f t="shared" si="53"/>
        <v/>
      </c>
      <c r="T741" s="41"/>
      <c r="U741" s="44"/>
      <c r="V741" s="44"/>
      <c r="W741" s="46"/>
      <c r="X741" s="46"/>
      <c r="Y741" s="46"/>
      <c r="Z741" s="22"/>
      <c r="AA741" s="22"/>
      <c r="AB741" s="22"/>
      <c r="AC741" s="22"/>
      <c r="AD741" s="22"/>
      <c r="AE741" s="22"/>
      <c r="AF741" s="48" t="str">
        <f t="shared" si="54"/>
        <v/>
      </c>
      <c r="AG741" s="48" t="str">
        <f t="shared" si="55"/>
        <v/>
      </c>
      <c r="AH741" s="48" t="str">
        <f t="shared" si="56"/>
        <v/>
      </c>
      <c r="AI741" s="40" t="str">
        <f t="shared" si="57"/>
        <v/>
      </c>
      <c r="AJ741" s="40"/>
      <c r="AK741" s="40"/>
      <c r="AL741" s="22"/>
    </row>
    <row r="742" spans="1:38" ht="17.399999999999999">
      <c r="A742" s="22"/>
      <c r="B742" s="22"/>
      <c r="C742" s="56"/>
      <c r="D742" s="56"/>
      <c r="E742" s="22"/>
      <c r="F742" s="22"/>
      <c r="G742" s="22"/>
      <c r="H742" s="22"/>
      <c r="I742" s="49"/>
      <c r="J742" s="50"/>
      <c r="K742" s="22"/>
      <c r="L742" s="22"/>
      <c r="M742" s="22"/>
      <c r="N742" s="22"/>
      <c r="O742" s="22"/>
      <c r="P742" s="46"/>
      <c r="Q742" s="40"/>
      <c r="R742" s="41"/>
      <c r="S742" s="22" t="str">
        <f t="shared" si="53"/>
        <v/>
      </c>
      <c r="T742" s="41"/>
      <c r="U742" s="44"/>
      <c r="V742" s="44"/>
      <c r="W742" s="46"/>
      <c r="X742" s="46"/>
      <c r="Y742" s="46"/>
      <c r="Z742" s="22"/>
      <c r="AA742" s="22"/>
      <c r="AB742" s="22"/>
      <c r="AC742" s="22"/>
      <c r="AD742" s="22"/>
      <c r="AE742" s="22"/>
      <c r="AF742" s="48" t="str">
        <f t="shared" si="54"/>
        <v/>
      </c>
      <c r="AG742" s="48" t="str">
        <f t="shared" si="55"/>
        <v/>
      </c>
      <c r="AH742" s="48" t="str">
        <f t="shared" si="56"/>
        <v/>
      </c>
      <c r="AI742" s="40" t="str">
        <f t="shared" si="57"/>
        <v/>
      </c>
      <c r="AJ742" s="40"/>
      <c r="AK742" s="40"/>
      <c r="AL742" s="22"/>
    </row>
    <row r="743" spans="1:38" ht="17.399999999999999">
      <c r="A743" s="22"/>
      <c r="B743" s="22"/>
      <c r="C743" s="56"/>
      <c r="D743" s="56"/>
      <c r="E743" s="22"/>
      <c r="F743" s="22"/>
      <c r="G743" s="22"/>
      <c r="H743" s="22"/>
      <c r="I743" s="49"/>
      <c r="J743" s="50"/>
      <c r="K743" s="22"/>
      <c r="L743" s="22"/>
      <c r="M743" s="22"/>
      <c r="N743" s="22"/>
      <c r="O743" s="22"/>
      <c r="P743" s="46"/>
      <c r="Q743" s="40"/>
      <c r="R743" s="41"/>
      <c r="S743" s="22" t="str">
        <f t="shared" si="53"/>
        <v/>
      </c>
      <c r="T743" s="41"/>
      <c r="U743" s="44"/>
      <c r="V743" s="44"/>
      <c r="W743" s="46"/>
      <c r="X743" s="46"/>
      <c r="Y743" s="46"/>
      <c r="Z743" s="22"/>
      <c r="AA743" s="22"/>
      <c r="AB743" s="22"/>
      <c r="AC743" s="22"/>
      <c r="AD743" s="22"/>
      <c r="AE743" s="22"/>
      <c r="AF743" s="48" t="str">
        <f t="shared" si="54"/>
        <v/>
      </c>
      <c r="AG743" s="48" t="str">
        <f t="shared" si="55"/>
        <v/>
      </c>
      <c r="AH743" s="48" t="str">
        <f t="shared" si="56"/>
        <v/>
      </c>
      <c r="AI743" s="40" t="str">
        <f t="shared" si="57"/>
        <v/>
      </c>
      <c r="AJ743" s="40"/>
      <c r="AK743" s="40"/>
      <c r="AL743" s="22"/>
    </row>
    <row r="744" spans="1:38" ht="17.399999999999999">
      <c r="A744" s="22"/>
      <c r="B744" s="22"/>
      <c r="C744" s="56"/>
      <c r="D744" s="56"/>
      <c r="E744" s="22"/>
      <c r="F744" s="22"/>
      <c r="G744" s="22"/>
      <c r="H744" s="22"/>
      <c r="I744" s="49"/>
      <c r="J744" s="50"/>
      <c r="K744" s="22"/>
      <c r="L744" s="22"/>
      <c r="M744" s="22"/>
      <c r="N744" s="22"/>
      <c r="O744" s="22"/>
      <c r="P744" s="46"/>
      <c r="Q744" s="40"/>
      <c r="R744" s="41"/>
      <c r="S744" s="22" t="str">
        <f t="shared" si="53"/>
        <v/>
      </c>
      <c r="T744" s="41"/>
      <c r="U744" s="44"/>
      <c r="V744" s="44"/>
      <c r="W744" s="46"/>
      <c r="X744" s="46"/>
      <c r="Y744" s="46"/>
      <c r="Z744" s="22"/>
      <c r="AA744" s="22"/>
      <c r="AB744" s="22"/>
      <c r="AC744" s="22"/>
      <c r="AD744" s="22"/>
      <c r="AE744" s="22"/>
      <c r="AF744" s="48" t="str">
        <f t="shared" si="54"/>
        <v/>
      </c>
      <c r="AG744" s="48" t="str">
        <f t="shared" si="55"/>
        <v/>
      </c>
      <c r="AH744" s="48" t="str">
        <f t="shared" si="56"/>
        <v/>
      </c>
      <c r="AI744" s="40" t="str">
        <f t="shared" si="57"/>
        <v/>
      </c>
      <c r="AJ744" s="40"/>
      <c r="AK744" s="40"/>
      <c r="AL744" s="22"/>
    </row>
    <row r="745" spans="1:38" ht="17.399999999999999">
      <c r="A745" s="22"/>
      <c r="B745" s="22"/>
      <c r="C745" s="56"/>
      <c r="D745" s="56"/>
      <c r="E745" s="22"/>
      <c r="F745" s="22"/>
      <c r="G745" s="22"/>
      <c r="H745" s="22"/>
      <c r="I745" s="49"/>
      <c r="J745" s="50"/>
      <c r="K745" s="22"/>
      <c r="L745" s="22"/>
      <c r="M745" s="22"/>
      <c r="N745" s="22"/>
      <c r="O745" s="22"/>
      <c r="P745" s="46"/>
      <c r="Q745" s="40"/>
      <c r="R745" s="41"/>
      <c r="S745" s="22" t="str">
        <f t="shared" si="53"/>
        <v/>
      </c>
      <c r="T745" s="41"/>
      <c r="U745" s="44"/>
      <c r="V745" s="44"/>
      <c r="W745" s="46"/>
      <c r="X745" s="46"/>
      <c r="Y745" s="46"/>
      <c r="Z745" s="22"/>
      <c r="AA745" s="22"/>
      <c r="AB745" s="22"/>
      <c r="AC745" s="22"/>
      <c r="AD745" s="22"/>
      <c r="AE745" s="22"/>
      <c r="AF745" s="48" t="str">
        <f t="shared" si="54"/>
        <v/>
      </c>
      <c r="AG745" s="48" t="str">
        <f t="shared" si="55"/>
        <v/>
      </c>
      <c r="AH745" s="48" t="str">
        <f t="shared" si="56"/>
        <v/>
      </c>
      <c r="AI745" s="40" t="str">
        <f t="shared" si="57"/>
        <v/>
      </c>
      <c r="AJ745" s="40"/>
      <c r="AK745" s="40"/>
      <c r="AL745" s="22"/>
    </row>
    <row r="746" spans="1:38" ht="17.399999999999999">
      <c r="A746" s="22"/>
      <c r="B746" s="22"/>
      <c r="C746" s="56"/>
      <c r="D746" s="56"/>
      <c r="E746" s="22"/>
      <c r="F746" s="22"/>
      <c r="G746" s="22"/>
      <c r="H746" s="22"/>
      <c r="I746" s="49"/>
      <c r="J746" s="50"/>
      <c r="K746" s="22"/>
      <c r="L746" s="22"/>
      <c r="M746" s="22"/>
      <c r="N746" s="22"/>
      <c r="O746" s="22"/>
      <c r="P746" s="46"/>
      <c r="Q746" s="40"/>
      <c r="R746" s="41"/>
      <c r="S746" s="22" t="str">
        <f t="shared" si="53"/>
        <v/>
      </c>
      <c r="T746" s="41"/>
      <c r="U746" s="44"/>
      <c r="V746" s="44"/>
      <c r="W746" s="46"/>
      <c r="X746" s="46"/>
      <c r="Y746" s="46"/>
      <c r="Z746" s="22"/>
      <c r="AA746" s="22"/>
      <c r="AB746" s="22"/>
      <c r="AC746" s="22"/>
      <c r="AD746" s="22"/>
      <c r="AE746" s="22"/>
      <c r="AF746" s="48" t="str">
        <f t="shared" si="54"/>
        <v/>
      </c>
      <c r="AG746" s="48" t="str">
        <f t="shared" si="55"/>
        <v/>
      </c>
      <c r="AH746" s="48" t="str">
        <f t="shared" si="56"/>
        <v/>
      </c>
      <c r="AI746" s="40" t="str">
        <f t="shared" si="57"/>
        <v/>
      </c>
      <c r="AJ746" s="40"/>
      <c r="AK746" s="40"/>
      <c r="AL746" s="22"/>
    </row>
    <row r="747" spans="1:38" ht="17.399999999999999">
      <c r="A747" s="22"/>
      <c r="B747" s="22"/>
      <c r="C747" s="56"/>
      <c r="D747" s="56"/>
      <c r="E747" s="22"/>
      <c r="F747" s="22"/>
      <c r="G747" s="22"/>
      <c r="H747" s="22"/>
      <c r="I747" s="49"/>
      <c r="J747" s="50"/>
      <c r="K747" s="22"/>
      <c r="L747" s="22"/>
      <c r="M747" s="22"/>
      <c r="N747" s="22"/>
      <c r="O747" s="22"/>
      <c r="P747" s="46"/>
      <c r="Q747" s="40"/>
      <c r="R747" s="41"/>
      <c r="S747" s="22" t="str">
        <f t="shared" si="53"/>
        <v/>
      </c>
      <c r="T747" s="41"/>
      <c r="U747" s="44"/>
      <c r="V747" s="44"/>
      <c r="W747" s="46"/>
      <c r="X747" s="46"/>
      <c r="Y747" s="46"/>
      <c r="Z747" s="22"/>
      <c r="AA747" s="22"/>
      <c r="AB747" s="22"/>
      <c r="AC747" s="22"/>
      <c r="AD747" s="22"/>
      <c r="AE747" s="22"/>
      <c r="AF747" s="48" t="str">
        <f t="shared" si="54"/>
        <v/>
      </c>
      <c r="AG747" s="48" t="str">
        <f t="shared" si="55"/>
        <v/>
      </c>
      <c r="AH747" s="48" t="str">
        <f t="shared" si="56"/>
        <v/>
      </c>
      <c r="AI747" s="40" t="str">
        <f t="shared" si="57"/>
        <v/>
      </c>
      <c r="AJ747" s="40"/>
      <c r="AK747" s="40"/>
      <c r="AL747" s="22"/>
    </row>
    <row r="748" spans="1:38" ht="17.399999999999999">
      <c r="A748" s="22"/>
      <c r="B748" s="22"/>
      <c r="C748" s="56"/>
      <c r="D748" s="56"/>
      <c r="E748" s="22"/>
      <c r="F748" s="22"/>
      <c r="G748" s="22"/>
      <c r="H748" s="22"/>
      <c r="I748" s="49"/>
      <c r="J748" s="50"/>
      <c r="K748" s="22"/>
      <c r="L748" s="22"/>
      <c r="M748" s="22"/>
      <c r="N748" s="22"/>
      <c r="O748" s="22"/>
      <c r="P748" s="46"/>
      <c r="Q748" s="40"/>
      <c r="R748" s="41"/>
      <c r="S748" s="22" t="str">
        <f t="shared" si="53"/>
        <v/>
      </c>
      <c r="T748" s="41"/>
      <c r="U748" s="44"/>
      <c r="V748" s="44"/>
      <c r="W748" s="46"/>
      <c r="X748" s="46"/>
      <c r="Y748" s="46"/>
      <c r="Z748" s="22"/>
      <c r="AA748" s="22"/>
      <c r="AB748" s="22"/>
      <c r="AC748" s="22"/>
      <c r="AD748" s="22"/>
      <c r="AE748" s="22"/>
      <c r="AF748" s="48" t="str">
        <f t="shared" si="54"/>
        <v/>
      </c>
      <c r="AG748" s="48" t="str">
        <f t="shared" si="55"/>
        <v/>
      </c>
      <c r="AH748" s="48" t="str">
        <f t="shared" si="56"/>
        <v/>
      </c>
      <c r="AI748" s="40" t="str">
        <f t="shared" si="57"/>
        <v/>
      </c>
      <c r="AJ748" s="40"/>
      <c r="AK748" s="40"/>
      <c r="AL748" s="22"/>
    </row>
    <row r="749" spans="1:38" ht="17.399999999999999">
      <c r="A749" s="22"/>
      <c r="B749" s="22"/>
      <c r="C749" s="56"/>
      <c r="D749" s="56"/>
      <c r="E749" s="22"/>
      <c r="F749" s="22"/>
      <c r="G749" s="22"/>
      <c r="H749" s="22"/>
      <c r="I749" s="49"/>
      <c r="J749" s="50"/>
      <c r="K749" s="22"/>
      <c r="L749" s="22"/>
      <c r="M749" s="22"/>
      <c r="N749" s="22"/>
      <c r="O749" s="22"/>
      <c r="P749" s="46"/>
      <c r="Q749" s="40"/>
      <c r="R749" s="41"/>
      <c r="S749" s="22" t="str">
        <f t="shared" si="53"/>
        <v/>
      </c>
      <c r="T749" s="41"/>
      <c r="U749" s="44"/>
      <c r="V749" s="44"/>
      <c r="W749" s="46"/>
      <c r="X749" s="46"/>
      <c r="Y749" s="46"/>
      <c r="Z749" s="22"/>
      <c r="AA749" s="22"/>
      <c r="AB749" s="22"/>
      <c r="AC749" s="22"/>
      <c r="AD749" s="22"/>
      <c r="AE749" s="22"/>
      <c r="AF749" s="48" t="str">
        <f t="shared" si="54"/>
        <v/>
      </c>
      <c r="AG749" s="48" t="str">
        <f t="shared" si="55"/>
        <v/>
      </c>
      <c r="AH749" s="48" t="str">
        <f t="shared" si="56"/>
        <v/>
      </c>
      <c r="AI749" s="40" t="str">
        <f t="shared" si="57"/>
        <v/>
      </c>
      <c r="AJ749" s="40"/>
      <c r="AK749" s="40"/>
      <c r="AL749" s="22"/>
    </row>
    <row r="750" spans="1:38" ht="17.399999999999999">
      <c r="A750" s="22"/>
      <c r="B750" s="22"/>
      <c r="C750" s="56"/>
      <c r="D750" s="56"/>
      <c r="E750" s="22"/>
      <c r="F750" s="22"/>
      <c r="G750" s="22"/>
      <c r="H750" s="22"/>
      <c r="I750" s="49"/>
      <c r="J750" s="50"/>
      <c r="K750" s="22"/>
      <c r="L750" s="22"/>
      <c r="M750" s="22"/>
      <c r="N750" s="22"/>
      <c r="O750" s="22"/>
      <c r="P750" s="46"/>
      <c r="Q750" s="40"/>
      <c r="R750" s="41"/>
      <c r="S750" s="22" t="str">
        <f t="shared" si="53"/>
        <v/>
      </c>
      <c r="T750" s="41"/>
      <c r="U750" s="44"/>
      <c r="V750" s="44"/>
      <c r="W750" s="46"/>
      <c r="X750" s="46"/>
      <c r="Y750" s="46"/>
      <c r="Z750" s="22"/>
      <c r="AA750" s="22"/>
      <c r="AB750" s="22"/>
      <c r="AC750" s="22"/>
      <c r="AD750" s="22"/>
      <c r="AE750" s="22"/>
      <c r="AF750" s="48" t="str">
        <f t="shared" si="54"/>
        <v/>
      </c>
      <c r="AG750" s="48" t="str">
        <f t="shared" si="55"/>
        <v/>
      </c>
      <c r="AH750" s="48" t="str">
        <f t="shared" si="56"/>
        <v/>
      </c>
      <c r="AI750" s="40" t="str">
        <f t="shared" si="57"/>
        <v/>
      </c>
      <c r="AJ750" s="40"/>
      <c r="AK750" s="40"/>
      <c r="AL750" s="22"/>
    </row>
    <row r="751" spans="1:38" ht="17.399999999999999">
      <c r="A751" s="22"/>
      <c r="B751" s="22"/>
      <c r="C751" s="56"/>
      <c r="D751" s="56"/>
      <c r="E751" s="22"/>
      <c r="F751" s="22"/>
      <c r="G751" s="22"/>
      <c r="H751" s="22"/>
      <c r="I751" s="49"/>
      <c r="J751" s="50"/>
      <c r="K751" s="22"/>
      <c r="L751" s="22"/>
      <c r="M751" s="22"/>
      <c r="N751" s="22"/>
      <c r="O751" s="22"/>
      <c r="P751" s="46"/>
      <c r="Q751" s="40"/>
      <c r="R751" s="41"/>
      <c r="S751" s="22" t="str">
        <f t="shared" si="53"/>
        <v/>
      </c>
      <c r="T751" s="41"/>
      <c r="U751" s="44"/>
      <c r="V751" s="44"/>
      <c r="W751" s="46"/>
      <c r="X751" s="46"/>
      <c r="Y751" s="46"/>
      <c r="Z751" s="22"/>
      <c r="AA751" s="22"/>
      <c r="AB751" s="22"/>
      <c r="AC751" s="22"/>
      <c r="AD751" s="22"/>
      <c r="AE751" s="22"/>
      <c r="AF751" s="48" t="str">
        <f t="shared" si="54"/>
        <v/>
      </c>
      <c r="AG751" s="48" t="str">
        <f t="shared" si="55"/>
        <v/>
      </c>
      <c r="AH751" s="48" t="str">
        <f t="shared" si="56"/>
        <v/>
      </c>
      <c r="AI751" s="40" t="str">
        <f t="shared" si="57"/>
        <v/>
      </c>
      <c r="AJ751" s="40"/>
      <c r="AK751" s="40"/>
      <c r="AL751" s="22"/>
    </row>
    <row r="752" spans="1:38" ht="17.399999999999999">
      <c r="A752" s="22"/>
      <c r="B752" s="22"/>
      <c r="C752" s="56"/>
      <c r="D752" s="56"/>
      <c r="E752" s="22"/>
      <c r="F752" s="22"/>
      <c r="G752" s="22"/>
      <c r="H752" s="22"/>
      <c r="I752" s="49"/>
      <c r="J752" s="50"/>
      <c r="K752" s="22"/>
      <c r="L752" s="22"/>
      <c r="M752" s="22"/>
      <c r="N752" s="22"/>
      <c r="O752" s="22"/>
      <c r="P752" s="46"/>
      <c r="Q752" s="40"/>
      <c r="R752" s="41"/>
      <c r="S752" s="22" t="str">
        <f t="shared" si="53"/>
        <v/>
      </c>
      <c r="T752" s="41"/>
      <c r="U752" s="44"/>
      <c r="V752" s="44"/>
      <c r="W752" s="46"/>
      <c r="X752" s="46"/>
      <c r="Y752" s="46"/>
      <c r="Z752" s="22"/>
      <c r="AA752" s="22"/>
      <c r="AB752" s="22"/>
      <c r="AC752" s="22"/>
      <c r="AD752" s="22"/>
      <c r="AE752" s="22"/>
      <c r="AF752" s="48" t="str">
        <f t="shared" si="54"/>
        <v/>
      </c>
      <c r="AG752" s="48" t="str">
        <f t="shared" si="55"/>
        <v/>
      </c>
      <c r="AH752" s="48" t="str">
        <f t="shared" si="56"/>
        <v/>
      </c>
      <c r="AI752" s="40" t="str">
        <f t="shared" si="57"/>
        <v/>
      </c>
      <c r="AJ752" s="40"/>
      <c r="AK752" s="40"/>
      <c r="AL752" s="22"/>
    </row>
    <row r="753" spans="1:38" ht="17.399999999999999">
      <c r="A753" s="22"/>
      <c r="B753" s="22"/>
      <c r="C753" s="56"/>
      <c r="D753" s="56"/>
      <c r="E753" s="22"/>
      <c r="F753" s="22"/>
      <c r="G753" s="22"/>
      <c r="H753" s="22"/>
      <c r="I753" s="49"/>
      <c r="J753" s="50"/>
      <c r="K753" s="22"/>
      <c r="L753" s="22"/>
      <c r="M753" s="22"/>
      <c r="N753" s="22"/>
      <c r="O753" s="22"/>
      <c r="P753" s="46"/>
      <c r="Q753" s="40"/>
      <c r="R753" s="41"/>
      <c r="S753" s="22" t="str">
        <f t="shared" si="53"/>
        <v/>
      </c>
      <c r="T753" s="41"/>
      <c r="U753" s="44"/>
      <c r="V753" s="44"/>
      <c r="W753" s="46"/>
      <c r="X753" s="46"/>
      <c r="Y753" s="46"/>
      <c r="Z753" s="22"/>
      <c r="AA753" s="22"/>
      <c r="AB753" s="22"/>
      <c r="AC753" s="22"/>
      <c r="AD753" s="22"/>
      <c r="AE753" s="22"/>
      <c r="AF753" s="48" t="str">
        <f t="shared" si="54"/>
        <v/>
      </c>
      <c r="AG753" s="48" t="str">
        <f t="shared" si="55"/>
        <v/>
      </c>
      <c r="AH753" s="48" t="str">
        <f t="shared" si="56"/>
        <v/>
      </c>
      <c r="AI753" s="40" t="str">
        <f t="shared" si="57"/>
        <v/>
      </c>
      <c r="AJ753" s="40"/>
      <c r="AK753" s="40"/>
      <c r="AL753" s="22"/>
    </row>
    <row r="754" spans="1:38" ht="17.399999999999999">
      <c r="A754" s="22"/>
      <c r="B754" s="22"/>
      <c r="C754" s="56"/>
      <c r="D754" s="56"/>
      <c r="E754" s="22"/>
      <c r="F754" s="22"/>
      <c r="G754" s="22"/>
      <c r="H754" s="22"/>
      <c r="I754" s="49"/>
      <c r="J754" s="50"/>
      <c r="K754" s="22"/>
      <c r="L754" s="22"/>
      <c r="M754" s="22"/>
      <c r="N754" s="22"/>
      <c r="O754" s="22"/>
      <c r="P754" s="46"/>
      <c r="Q754" s="40"/>
      <c r="R754" s="41"/>
      <c r="S754" s="22" t="str">
        <f t="shared" si="53"/>
        <v/>
      </c>
      <c r="T754" s="41"/>
      <c r="U754" s="44"/>
      <c r="V754" s="44"/>
      <c r="W754" s="46"/>
      <c r="X754" s="46"/>
      <c r="Y754" s="46"/>
      <c r="Z754" s="22"/>
      <c r="AA754" s="22"/>
      <c r="AB754" s="22"/>
      <c r="AC754" s="22"/>
      <c r="AD754" s="22"/>
      <c r="AE754" s="22"/>
      <c r="AF754" s="48" t="str">
        <f t="shared" si="54"/>
        <v/>
      </c>
      <c r="AG754" s="48" t="str">
        <f t="shared" si="55"/>
        <v/>
      </c>
      <c r="AH754" s="48" t="str">
        <f t="shared" si="56"/>
        <v/>
      </c>
      <c r="AI754" s="40" t="str">
        <f t="shared" si="57"/>
        <v/>
      </c>
      <c r="AJ754" s="40"/>
      <c r="AK754" s="40"/>
      <c r="AL754" s="22"/>
    </row>
    <row r="755" spans="1:38" ht="17.399999999999999">
      <c r="A755" s="22"/>
      <c r="B755" s="22"/>
      <c r="C755" s="56"/>
      <c r="D755" s="56"/>
      <c r="E755" s="22"/>
      <c r="F755" s="22"/>
      <c r="G755" s="22"/>
      <c r="H755" s="22"/>
      <c r="I755" s="49"/>
      <c r="J755" s="50"/>
      <c r="K755" s="22"/>
      <c r="L755" s="22"/>
      <c r="M755" s="22"/>
      <c r="N755" s="22"/>
      <c r="O755" s="22"/>
      <c r="P755" s="46"/>
      <c r="Q755" s="40"/>
      <c r="R755" s="41"/>
      <c r="S755" s="22" t="str">
        <f t="shared" si="53"/>
        <v/>
      </c>
      <c r="T755" s="41"/>
      <c r="U755" s="44"/>
      <c r="V755" s="44"/>
      <c r="W755" s="46"/>
      <c r="X755" s="46"/>
      <c r="Y755" s="46"/>
      <c r="Z755" s="22"/>
      <c r="AA755" s="22"/>
      <c r="AB755" s="22"/>
      <c r="AC755" s="22"/>
      <c r="AD755" s="22"/>
      <c r="AE755" s="22"/>
      <c r="AF755" s="48" t="str">
        <f t="shared" si="54"/>
        <v/>
      </c>
      <c r="AG755" s="48" t="str">
        <f t="shared" si="55"/>
        <v/>
      </c>
      <c r="AH755" s="48" t="str">
        <f t="shared" si="56"/>
        <v/>
      </c>
      <c r="AI755" s="40" t="str">
        <f t="shared" si="57"/>
        <v/>
      </c>
      <c r="AJ755" s="40"/>
      <c r="AK755" s="40"/>
      <c r="AL755" s="22"/>
    </row>
    <row r="756" spans="1:38" ht="17.399999999999999">
      <c r="A756" s="22"/>
      <c r="B756" s="22"/>
      <c r="C756" s="56"/>
      <c r="D756" s="56"/>
      <c r="E756" s="22"/>
      <c r="F756" s="22"/>
      <c r="G756" s="22"/>
      <c r="H756" s="22"/>
      <c r="I756" s="49"/>
      <c r="J756" s="50"/>
      <c r="K756" s="22"/>
      <c r="L756" s="22"/>
      <c r="M756" s="22"/>
      <c r="N756" s="22"/>
      <c r="O756" s="22"/>
      <c r="P756" s="46"/>
      <c r="Q756" s="40"/>
      <c r="R756" s="41"/>
      <c r="S756" s="22" t="str">
        <f t="shared" si="53"/>
        <v/>
      </c>
      <c r="T756" s="41"/>
      <c r="U756" s="44"/>
      <c r="V756" s="44"/>
      <c r="W756" s="46"/>
      <c r="X756" s="46"/>
      <c r="Y756" s="46"/>
      <c r="Z756" s="22"/>
      <c r="AA756" s="22"/>
      <c r="AB756" s="22"/>
      <c r="AC756" s="22"/>
      <c r="AD756" s="22"/>
      <c r="AE756" s="22"/>
      <c r="AF756" s="48" t="str">
        <f t="shared" si="54"/>
        <v/>
      </c>
      <c r="AG756" s="48" t="str">
        <f t="shared" si="55"/>
        <v/>
      </c>
      <c r="AH756" s="48" t="str">
        <f t="shared" si="56"/>
        <v/>
      </c>
      <c r="AI756" s="40" t="str">
        <f t="shared" si="57"/>
        <v/>
      </c>
      <c r="AJ756" s="40"/>
      <c r="AK756" s="40"/>
      <c r="AL756" s="22"/>
    </row>
    <row r="757" spans="1:38" ht="17.399999999999999">
      <c r="A757" s="22"/>
      <c r="B757" s="22"/>
      <c r="C757" s="56"/>
      <c r="D757" s="56"/>
      <c r="E757" s="22"/>
      <c r="F757" s="22"/>
      <c r="G757" s="22"/>
      <c r="H757" s="22"/>
      <c r="I757" s="49"/>
      <c r="J757" s="50"/>
      <c r="K757" s="22"/>
      <c r="L757" s="22"/>
      <c r="M757" s="22"/>
      <c r="N757" s="22"/>
      <c r="O757" s="22"/>
      <c r="P757" s="46"/>
      <c r="Q757" s="40"/>
      <c r="R757" s="41"/>
      <c r="S757" s="22" t="str">
        <f t="shared" si="53"/>
        <v/>
      </c>
      <c r="T757" s="41"/>
      <c r="U757" s="44"/>
      <c r="V757" s="44"/>
      <c r="W757" s="46"/>
      <c r="X757" s="46"/>
      <c r="Y757" s="46"/>
      <c r="Z757" s="22"/>
      <c r="AA757" s="22"/>
      <c r="AB757" s="22"/>
      <c r="AC757" s="22"/>
      <c r="AD757" s="22"/>
      <c r="AE757" s="22"/>
      <c r="AF757" s="48" t="str">
        <f t="shared" si="54"/>
        <v/>
      </c>
      <c r="AG757" s="48" t="str">
        <f t="shared" si="55"/>
        <v/>
      </c>
      <c r="AH757" s="48" t="str">
        <f t="shared" si="56"/>
        <v/>
      </c>
      <c r="AI757" s="40" t="str">
        <f t="shared" si="57"/>
        <v/>
      </c>
      <c r="AJ757" s="40"/>
      <c r="AK757" s="40"/>
      <c r="AL757" s="22"/>
    </row>
    <row r="758" spans="1:38" ht="17.399999999999999">
      <c r="A758" s="22"/>
      <c r="B758" s="22"/>
      <c r="C758" s="56"/>
      <c r="D758" s="56"/>
      <c r="E758" s="22"/>
      <c r="F758" s="22"/>
      <c r="G758" s="22"/>
      <c r="H758" s="22"/>
      <c r="I758" s="49"/>
      <c r="J758" s="50"/>
      <c r="K758" s="22"/>
      <c r="L758" s="22"/>
      <c r="M758" s="22"/>
      <c r="N758" s="22"/>
      <c r="O758" s="22"/>
      <c r="P758" s="46"/>
      <c r="Q758" s="40"/>
      <c r="R758" s="41"/>
      <c r="S758" s="22" t="str">
        <f t="shared" si="53"/>
        <v/>
      </c>
      <c r="T758" s="41"/>
      <c r="U758" s="44"/>
      <c r="V758" s="44"/>
      <c r="W758" s="46"/>
      <c r="X758" s="46"/>
      <c r="Y758" s="46"/>
      <c r="Z758" s="22"/>
      <c r="AA758" s="22"/>
      <c r="AB758" s="22"/>
      <c r="AC758" s="22"/>
      <c r="AD758" s="22"/>
      <c r="AE758" s="22"/>
      <c r="AF758" s="48" t="str">
        <f t="shared" si="54"/>
        <v/>
      </c>
      <c r="AG758" s="48" t="str">
        <f t="shared" si="55"/>
        <v/>
      </c>
      <c r="AH758" s="48" t="str">
        <f t="shared" si="56"/>
        <v/>
      </c>
      <c r="AI758" s="40" t="str">
        <f t="shared" si="57"/>
        <v/>
      </c>
      <c r="AJ758" s="40"/>
      <c r="AK758" s="40"/>
      <c r="AL758" s="22"/>
    </row>
    <row r="759" spans="1:38" ht="17.399999999999999">
      <c r="A759" s="22"/>
      <c r="B759" s="22"/>
      <c r="C759" s="56"/>
      <c r="D759" s="56"/>
      <c r="E759" s="22"/>
      <c r="F759" s="22"/>
      <c r="G759" s="22"/>
      <c r="H759" s="22"/>
      <c r="I759" s="49"/>
      <c r="J759" s="50"/>
      <c r="K759" s="22"/>
      <c r="L759" s="22"/>
      <c r="M759" s="22"/>
      <c r="N759" s="22"/>
      <c r="O759" s="22"/>
      <c r="P759" s="46"/>
      <c r="Q759" s="40"/>
      <c r="R759" s="41"/>
      <c r="S759" s="22" t="str">
        <f t="shared" si="53"/>
        <v/>
      </c>
      <c r="T759" s="41"/>
      <c r="U759" s="44"/>
      <c r="V759" s="44"/>
      <c r="W759" s="46"/>
      <c r="X759" s="46"/>
      <c r="Y759" s="46"/>
      <c r="Z759" s="22"/>
      <c r="AA759" s="22"/>
      <c r="AB759" s="22"/>
      <c r="AC759" s="22"/>
      <c r="AD759" s="22"/>
      <c r="AE759" s="22"/>
      <c r="AF759" s="48" t="str">
        <f t="shared" si="54"/>
        <v/>
      </c>
      <c r="AG759" s="48" t="str">
        <f t="shared" si="55"/>
        <v/>
      </c>
      <c r="AH759" s="48" t="str">
        <f t="shared" si="56"/>
        <v/>
      </c>
      <c r="AI759" s="40" t="str">
        <f t="shared" si="57"/>
        <v/>
      </c>
      <c r="AJ759" s="40"/>
      <c r="AK759" s="40"/>
      <c r="AL759" s="22"/>
    </row>
    <row r="760" spans="1:38" ht="17.399999999999999">
      <c r="A760" s="22"/>
      <c r="B760" s="22"/>
      <c r="C760" s="56"/>
      <c r="D760" s="56"/>
      <c r="E760" s="22"/>
      <c r="F760" s="22"/>
      <c r="G760" s="22"/>
      <c r="H760" s="22"/>
      <c r="I760" s="49"/>
      <c r="J760" s="50"/>
      <c r="K760" s="22"/>
      <c r="L760" s="22"/>
      <c r="M760" s="22"/>
      <c r="N760" s="22"/>
      <c r="O760" s="22"/>
      <c r="P760" s="46"/>
      <c r="Q760" s="40"/>
      <c r="R760" s="41"/>
      <c r="S760" s="22" t="str">
        <f t="shared" si="53"/>
        <v/>
      </c>
      <c r="T760" s="41"/>
      <c r="U760" s="44"/>
      <c r="V760" s="44"/>
      <c r="W760" s="46"/>
      <c r="X760" s="46"/>
      <c r="Y760" s="46"/>
      <c r="Z760" s="22"/>
      <c r="AA760" s="22"/>
      <c r="AB760" s="22"/>
      <c r="AC760" s="22"/>
      <c r="AD760" s="22"/>
      <c r="AE760" s="22"/>
      <c r="AF760" s="48" t="str">
        <f t="shared" si="54"/>
        <v/>
      </c>
      <c r="AG760" s="48" t="str">
        <f t="shared" si="55"/>
        <v/>
      </c>
      <c r="AH760" s="48" t="str">
        <f t="shared" si="56"/>
        <v/>
      </c>
      <c r="AI760" s="40" t="str">
        <f t="shared" si="57"/>
        <v/>
      </c>
      <c r="AJ760" s="40"/>
      <c r="AK760" s="40"/>
      <c r="AL760" s="22"/>
    </row>
    <row r="761" spans="1:38" ht="17.399999999999999">
      <c r="A761" s="22"/>
      <c r="B761" s="22"/>
      <c r="C761" s="56"/>
      <c r="D761" s="56"/>
      <c r="E761" s="22"/>
      <c r="F761" s="22"/>
      <c r="G761" s="22"/>
      <c r="H761" s="22"/>
      <c r="I761" s="49"/>
      <c r="J761" s="50"/>
      <c r="K761" s="22"/>
      <c r="L761" s="22"/>
      <c r="M761" s="22"/>
      <c r="N761" s="22"/>
      <c r="O761" s="22"/>
      <c r="P761" s="46"/>
      <c r="Q761" s="40"/>
      <c r="R761" s="41"/>
      <c r="S761" s="22" t="str">
        <f t="shared" si="53"/>
        <v/>
      </c>
      <c r="T761" s="41"/>
      <c r="U761" s="44"/>
      <c r="V761" s="44"/>
      <c r="W761" s="46"/>
      <c r="X761" s="46"/>
      <c r="Y761" s="46"/>
      <c r="Z761" s="22"/>
      <c r="AA761" s="22"/>
      <c r="AB761" s="22"/>
      <c r="AC761" s="22"/>
      <c r="AD761" s="22"/>
      <c r="AE761" s="22"/>
      <c r="AF761" s="48" t="str">
        <f t="shared" si="54"/>
        <v/>
      </c>
      <c r="AG761" s="48" t="str">
        <f t="shared" si="55"/>
        <v/>
      </c>
      <c r="AH761" s="48" t="str">
        <f t="shared" si="56"/>
        <v/>
      </c>
      <c r="AI761" s="40" t="str">
        <f t="shared" si="57"/>
        <v/>
      </c>
      <c r="AJ761" s="40"/>
      <c r="AK761" s="40"/>
      <c r="AL761" s="22"/>
    </row>
    <row r="762" spans="1:38" ht="17.399999999999999">
      <c r="A762" s="22"/>
      <c r="B762" s="22"/>
      <c r="C762" s="56"/>
      <c r="D762" s="56"/>
      <c r="E762" s="22"/>
      <c r="F762" s="22"/>
      <c r="G762" s="22"/>
      <c r="H762" s="22"/>
      <c r="I762" s="49"/>
      <c r="J762" s="50"/>
      <c r="K762" s="22"/>
      <c r="L762" s="22"/>
      <c r="M762" s="22"/>
      <c r="N762" s="22"/>
      <c r="O762" s="22"/>
      <c r="P762" s="46"/>
      <c r="Q762" s="40"/>
      <c r="R762" s="41"/>
      <c r="S762" s="22" t="str">
        <f t="shared" si="53"/>
        <v/>
      </c>
      <c r="T762" s="41"/>
      <c r="U762" s="44"/>
      <c r="V762" s="44"/>
      <c r="W762" s="46"/>
      <c r="X762" s="46"/>
      <c r="Y762" s="46"/>
      <c r="Z762" s="22"/>
      <c r="AA762" s="22"/>
      <c r="AB762" s="22"/>
      <c r="AC762" s="22"/>
      <c r="AD762" s="22"/>
      <c r="AE762" s="22"/>
      <c r="AF762" s="48" t="str">
        <f t="shared" si="54"/>
        <v/>
      </c>
      <c r="AG762" s="48" t="str">
        <f t="shared" si="55"/>
        <v/>
      </c>
      <c r="AH762" s="48" t="str">
        <f t="shared" si="56"/>
        <v/>
      </c>
      <c r="AI762" s="40" t="str">
        <f t="shared" si="57"/>
        <v/>
      </c>
      <c r="AJ762" s="40"/>
      <c r="AK762" s="40"/>
      <c r="AL762" s="22"/>
    </row>
    <row r="763" spans="1:38" ht="17.399999999999999">
      <c r="A763" s="22"/>
      <c r="B763" s="22"/>
      <c r="C763" s="56"/>
      <c r="D763" s="56"/>
      <c r="E763" s="22"/>
      <c r="F763" s="22"/>
      <c r="G763" s="22"/>
      <c r="H763" s="22"/>
      <c r="I763" s="49"/>
      <c r="J763" s="50"/>
      <c r="K763" s="22"/>
      <c r="L763" s="22"/>
      <c r="M763" s="22"/>
      <c r="N763" s="22"/>
      <c r="O763" s="22"/>
      <c r="P763" s="46"/>
      <c r="Q763" s="40"/>
      <c r="R763" s="41"/>
      <c r="S763" s="22" t="str">
        <f t="shared" si="53"/>
        <v/>
      </c>
      <c r="T763" s="41"/>
      <c r="U763" s="44"/>
      <c r="V763" s="44"/>
      <c r="W763" s="46"/>
      <c r="X763" s="46"/>
      <c r="Y763" s="46"/>
      <c r="Z763" s="22"/>
      <c r="AA763" s="22"/>
      <c r="AB763" s="22"/>
      <c r="AC763" s="22"/>
      <c r="AD763" s="22"/>
      <c r="AE763" s="22"/>
      <c r="AF763" s="48" t="str">
        <f t="shared" si="54"/>
        <v/>
      </c>
      <c r="AG763" s="48" t="str">
        <f t="shared" si="55"/>
        <v/>
      </c>
      <c r="AH763" s="48" t="str">
        <f t="shared" si="56"/>
        <v/>
      </c>
      <c r="AI763" s="40" t="str">
        <f t="shared" si="57"/>
        <v/>
      </c>
      <c r="AJ763" s="40"/>
      <c r="AK763" s="40"/>
      <c r="AL763" s="22"/>
    </row>
    <row r="764" spans="1:38" ht="17.399999999999999">
      <c r="A764" s="22"/>
      <c r="B764" s="22"/>
      <c r="C764" s="56"/>
      <c r="D764" s="56"/>
      <c r="E764" s="22"/>
      <c r="F764" s="22"/>
      <c r="G764" s="22"/>
      <c r="H764" s="22"/>
      <c r="I764" s="49"/>
      <c r="J764" s="50"/>
      <c r="K764" s="22"/>
      <c r="L764" s="22"/>
      <c r="M764" s="22"/>
      <c r="N764" s="22"/>
      <c r="O764" s="22"/>
      <c r="P764" s="46"/>
      <c r="Q764" s="40"/>
      <c r="R764" s="41"/>
      <c r="S764" s="22" t="str">
        <f t="shared" si="53"/>
        <v/>
      </c>
      <c r="T764" s="41"/>
      <c r="U764" s="44"/>
      <c r="V764" s="44"/>
      <c r="W764" s="46"/>
      <c r="X764" s="46"/>
      <c r="Y764" s="46"/>
      <c r="Z764" s="22"/>
      <c r="AA764" s="22"/>
      <c r="AB764" s="22"/>
      <c r="AC764" s="22"/>
      <c r="AD764" s="22"/>
      <c r="AE764" s="22"/>
      <c r="AF764" s="48" t="str">
        <f t="shared" si="54"/>
        <v/>
      </c>
      <c r="AG764" s="48" t="str">
        <f t="shared" si="55"/>
        <v/>
      </c>
      <c r="AH764" s="48" t="str">
        <f t="shared" si="56"/>
        <v/>
      </c>
      <c r="AI764" s="40" t="str">
        <f t="shared" si="57"/>
        <v/>
      </c>
      <c r="AJ764" s="40"/>
      <c r="AK764" s="40"/>
      <c r="AL764" s="22"/>
    </row>
    <row r="765" spans="1:38" ht="17.399999999999999">
      <c r="A765" s="22"/>
      <c r="B765" s="22"/>
      <c r="C765" s="56"/>
      <c r="D765" s="56"/>
      <c r="E765" s="22"/>
      <c r="F765" s="22"/>
      <c r="G765" s="22"/>
      <c r="H765" s="22"/>
      <c r="I765" s="49"/>
      <c r="J765" s="50"/>
      <c r="K765" s="22"/>
      <c r="L765" s="22"/>
      <c r="M765" s="22"/>
      <c r="N765" s="22"/>
      <c r="O765" s="22"/>
      <c r="P765" s="46"/>
      <c r="Q765" s="40"/>
      <c r="R765" s="41"/>
      <c r="S765" s="22" t="str">
        <f t="shared" si="53"/>
        <v/>
      </c>
      <c r="T765" s="41"/>
      <c r="U765" s="44"/>
      <c r="V765" s="44"/>
      <c r="W765" s="46"/>
      <c r="X765" s="46"/>
      <c r="Y765" s="46"/>
      <c r="Z765" s="22"/>
      <c r="AA765" s="22"/>
      <c r="AB765" s="22"/>
      <c r="AC765" s="22"/>
      <c r="AD765" s="22"/>
      <c r="AE765" s="22"/>
      <c r="AF765" s="48" t="str">
        <f t="shared" si="54"/>
        <v/>
      </c>
      <c r="AG765" s="48" t="str">
        <f t="shared" si="55"/>
        <v/>
      </c>
      <c r="AH765" s="48" t="str">
        <f t="shared" si="56"/>
        <v/>
      </c>
      <c r="AI765" s="40" t="str">
        <f t="shared" si="57"/>
        <v/>
      </c>
      <c r="AJ765" s="40"/>
      <c r="AK765" s="40"/>
      <c r="AL765" s="22"/>
    </row>
    <row r="766" spans="1:38" ht="17.399999999999999">
      <c r="A766" s="22"/>
      <c r="B766" s="22"/>
      <c r="C766" s="56"/>
      <c r="D766" s="56"/>
      <c r="E766" s="22"/>
      <c r="F766" s="22"/>
      <c r="G766" s="22"/>
      <c r="H766" s="22"/>
      <c r="I766" s="49"/>
      <c r="J766" s="50"/>
      <c r="K766" s="22"/>
      <c r="L766" s="22"/>
      <c r="M766" s="22"/>
      <c r="N766" s="22"/>
      <c r="O766" s="22"/>
      <c r="P766" s="46"/>
      <c r="Q766" s="40"/>
      <c r="R766" s="41"/>
      <c r="S766" s="22" t="str">
        <f t="shared" si="53"/>
        <v/>
      </c>
      <c r="T766" s="41"/>
      <c r="U766" s="44"/>
      <c r="V766" s="44"/>
      <c r="W766" s="46"/>
      <c r="X766" s="46"/>
      <c r="Y766" s="46"/>
      <c r="Z766" s="22"/>
      <c r="AA766" s="22"/>
      <c r="AB766" s="22"/>
      <c r="AC766" s="22"/>
      <c r="AD766" s="22"/>
      <c r="AE766" s="22"/>
      <c r="AF766" s="48" t="str">
        <f t="shared" si="54"/>
        <v/>
      </c>
      <c r="AG766" s="48" t="str">
        <f t="shared" si="55"/>
        <v/>
      </c>
      <c r="AH766" s="48" t="str">
        <f t="shared" si="56"/>
        <v/>
      </c>
      <c r="AI766" s="40" t="str">
        <f t="shared" si="57"/>
        <v/>
      </c>
      <c r="AJ766" s="40"/>
      <c r="AK766" s="40"/>
      <c r="AL766" s="22"/>
    </row>
    <row r="767" spans="1:38" ht="17.399999999999999">
      <c r="A767" s="22"/>
      <c r="B767" s="22"/>
      <c r="C767" s="56"/>
      <c r="D767" s="56"/>
      <c r="E767" s="22"/>
      <c r="F767" s="22"/>
      <c r="G767" s="22"/>
      <c r="H767" s="22"/>
      <c r="I767" s="49"/>
      <c r="J767" s="50"/>
      <c r="K767" s="22"/>
      <c r="L767" s="22"/>
      <c r="M767" s="22"/>
      <c r="N767" s="22"/>
      <c r="O767" s="22"/>
      <c r="P767" s="46"/>
      <c r="Q767" s="40"/>
      <c r="R767" s="41"/>
      <c r="S767" s="22" t="str">
        <f t="shared" si="53"/>
        <v/>
      </c>
      <c r="T767" s="41"/>
      <c r="U767" s="44"/>
      <c r="V767" s="44"/>
      <c r="W767" s="46"/>
      <c r="X767" s="46"/>
      <c r="Y767" s="46"/>
      <c r="Z767" s="22"/>
      <c r="AA767" s="22"/>
      <c r="AB767" s="22"/>
      <c r="AC767" s="22"/>
      <c r="AD767" s="22"/>
      <c r="AE767" s="22"/>
      <c r="AF767" s="48" t="str">
        <f t="shared" si="54"/>
        <v/>
      </c>
      <c r="AG767" s="48" t="str">
        <f t="shared" si="55"/>
        <v/>
      </c>
      <c r="AH767" s="48" t="str">
        <f t="shared" si="56"/>
        <v/>
      </c>
      <c r="AI767" s="40" t="str">
        <f t="shared" si="57"/>
        <v/>
      </c>
      <c r="AJ767" s="40"/>
      <c r="AK767" s="40"/>
      <c r="AL767" s="22"/>
    </row>
    <row r="768" spans="1:38" ht="17.399999999999999">
      <c r="A768" s="22"/>
      <c r="B768" s="22"/>
      <c r="C768" s="56"/>
      <c r="D768" s="56"/>
      <c r="E768" s="22"/>
      <c r="F768" s="22"/>
      <c r="G768" s="22"/>
      <c r="H768" s="22"/>
      <c r="I768" s="49"/>
      <c r="J768" s="50"/>
      <c r="K768" s="22"/>
      <c r="L768" s="22"/>
      <c r="M768" s="22"/>
      <c r="N768" s="22"/>
      <c r="O768" s="22"/>
      <c r="P768" s="46"/>
      <c r="Q768" s="40"/>
      <c r="R768" s="41"/>
      <c r="S768" s="22" t="str">
        <f t="shared" si="53"/>
        <v/>
      </c>
      <c r="T768" s="41"/>
      <c r="U768" s="44"/>
      <c r="V768" s="44"/>
      <c r="W768" s="46"/>
      <c r="X768" s="46"/>
      <c r="Y768" s="46"/>
      <c r="Z768" s="22"/>
      <c r="AA768" s="22"/>
      <c r="AB768" s="22"/>
      <c r="AC768" s="22"/>
      <c r="AD768" s="22"/>
      <c r="AE768" s="22"/>
      <c r="AF768" s="48" t="str">
        <f t="shared" si="54"/>
        <v/>
      </c>
      <c r="AG768" s="48" t="str">
        <f t="shared" si="55"/>
        <v/>
      </c>
      <c r="AH768" s="48" t="str">
        <f t="shared" si="56"/>
        <v/>
      </c>
      <c r="AI768" s="40" t="str">
        <f t="shared" si="57"/>
        <v/>
      </c>
      <c r="AJ768" s="40"/>
      <c r="AK768" s="40"/>
      <c r="AL768" s="22"/>
    </row>
    <row r="769" spans="1:38" ht="17.399999999999999">
      <c r="A769" s="22"/>
      <c r="B769" s="22"/>
      <c r="C769" s="56"/>
      <c r="D769" s="56"/>
      <c r="E769" s="22"/>
      <c r="F769" s="22"/>
      <c r="G769" s="22"/>
      <c r="H769" s="22"/>
      <c r="I769" s="49"/>
      <c r="J769" s="50"/>
      <c r="K769" s="22"/>
      <c r="L769" s="22"/>
      <c r="M769" s="22"/>
      <c r="N769" s="22"/>
      <c r="O769" s="22"/>
      <c r="P769" s="46"/>
      <c r="Q769" s="40"/>
      <c r="R769" s="41"/>
      <c r="S769" s="22" t="str">
        <f t="shared" si="53"/>
        <v/>
      </c>
      <c r="T769" s="41"/>
      <c r="U769" s="44"/>
      <c r="V769" s="44"/>
      <c r="W769" s="46"/>
      <c r="X769" s="46"/>
      <c r="Y769" s="46"/>
      <c r="Z769" s="22"/>
      <c r="AA769" s="22"/>
      <c r="AB769" s="22"/>
      <c r="AC769" s="22"/>
      <c r="AD769" s="22"/>
      <c r="AE769" s="22"/>
      <c r="AF769" s="48" t="str">
        <f t="shared" si="54"/>
        <v/>
      </c>
      <c r="AG769" s="48" t="str">
        <f t="shared" si="55"/>
        <v/>
      </c>
      <c r="AH769" s="48" t="str">
        <f t="shared" si="56"/>
        <v/>
      </c>
      <c r="AI769" s="40" t="str">
        <f t="shared" si="57"/>
        <v/>
      </c>
      <c r="AJ769" s="40"/>
      <c r="AK769" s="40"/>
      <c r="AL769" s="22"/>
    </row>
    <row r="770" spans="1:38" ht="17.399999999999999">
      <c r="A770" s="22"/>
      <c r="B770" s="22"/>
      <c r="C770" s="56"/>
      <c r="D770" s="56"/>
      <c r="E770" s="22"/>
      <c r="F770" s="22"/>
      <c r="G770" s="22"/>
      <c r="H770" s="22"/>
      <c r="I770" s="49"/>
      <c r="J770" s="50"/>
      <c r="K770" s="22"/>
      <c r="L770" s="22"/>
      <c r="M770" s="22"/>
      <c r="N770" s="22"/>
      <c r="O770" s="22"/>
      <c r="P770" s="46"/>
      <c r="Q770" s="40"/>
      <c r="R770" s="41"/>
      <c r="S770" s="22" t="str">
        <f t="shared" si="53"/>
        <v/>
      </c>
      <c r="T770" s="41"/>
      <c r="U770" s="44"/>
      <c r="V770" s="44"/>
      <c r="W770" s="46"/>
      <c r="X770" s="46"/>
      <c r="Y770" s="46"/>
      <c r="Z770" s="22"/>
      <c r="AA770" s="22"/>
      <c r="AB770" s="22"/>
      <c r="AC770" s="22"/>
      <c r="AD770" s="22"/>
      <c r="AE770" s="22"/>
      <c r="AF770" s="48" t="str">
        <f t="shared" si="54"/>
        <v/>
      </c>
      <c r="AG770" s="48" t="str">
        <f t="shared" si="55"/>
        <v/>
      </c>
      <c r="AH770" s="48" t="str">
        <f t="shared" si="56"/>
        <v/>
      </c>
      <c r="AI770" s="40" t="str">
        <f t="shared" si="57"/>
        <v/>
      </c>
      <c r="AJ770" s="40"/>
      <c r="AK770" s="40"/>
      <c r="AL770" s="22"/>
    </row>
    <row r="771" spans="1:38" ht="17.399999999999999">
      <c r="A771" s="22"/>
      <c r="B771" s="22"/>
      <c r="C771" s="56"/>
      <c r="D771" s="56"/>
      <c r="E771" s="22"/>
      <c r="F771" s="22"/>
      <c r="G771" s="22"/>
      <c r="H771" s="22"/>
      <c r="I771" s="49"/>
      <c r="J771" s="50"/>
      <c r="K771" s="22"/>
      <c r="L771" s="22"/>
      <c r="M771" s="22"/>
      <c r="N771" s="22"/>
      <c r="O771" s="22"/>
      <c r="P771" s="46"/>
      <c r="Q771" s="40"/>
      <c r="R771" s="41"/>
      <c r="S771" s="22" t="str">
        <f t="shared" si="53"/>
        <v/>
      </c>
      <c r="T771" s="41"/>
      <c r="U771" s="44"/>
      <c r="V771" s="44"/>
      <c r="W771" s="46"/>
      <c r="X771" s="46"/>
      <c r="Y771" s="46"/>
      <c r="Z771" s="22"/>
      <c r="AA771" s="22"/>
      <c r="AB771" s="22"/>
      <c r="AC771" s="22"/>
      <c r="AD771" s="22"/>
      <c r="AE771" s="22"/>
      <c r="AF771" s="48" t="str">
        <f t="shared" si="54"/>
        <v/>
      </c>
      <c r="AG771" s="48" t="str">
        <f t="shared" si="55"/>
        <v/>
      </c>
      <c r="AH771" s="48" t="str">
        <f t="shared" si="56"/>
        <v/>
      </c>
      <c r="AI771" s="40" t="str">
        <f t="shared" si="57"/>
        <v/>
      </c>
      <c r="AJ771" s="40"/>
      <c r="AK771" s="40"/>
      <c r="AL771" s="22"/>
    </row>
    <row r="772" spans="1:38" ht="17.399999999999999">
      <c r="A772" s="22"/>
      <c r="B772" s="22"/>
      <c r="C772" s="56"/>
      <c r="D772" s="56"/>
      <c r="E772" s="22"/>
      <c r="F772" s="22"/>
      <c r="G772" s="22"/>
      <c r="H772" s="22"/>
      <c r="I772" s="49"/>
      <c r="J772" s="50"/>
      <c r="K772" s="22"/>
      <c r="L772" s="22"/>
      <c r="M772" s="22"/>
      <c r="N772" s="22"/>
      <c r="O772" s="22"/>
      <c r="P772" s="46"/>
      <c r="Q772" s="40"/>
      <c r="R772" s="41"/>
      <c r="S772" s="22" t="str">
        <f t="shared" si="53"/>
        <v/>
      </c>
      <c r="T772" s="41"/>
      <c r="U772" s="44"/>
      <c r="V772" s="44"/>
      <c r="W772" s="46"/>
      <c r="X772" s="46"/>
      <c r="Y772" s="46"/>
      <c r="Z772" s="22"/>
      <c r="AA772" s="22"/>
      <c r="AB772" s="22"/>
      <c r="AC772" s="22"/>
      <c r="AD772" s="22"/>
      <c r="AE772" s="22"/>
      <c r="AF772" s="48" t="str">
        <f t="shared" si="54"/>
        <v/>
      </c>
      <c r="AG772" s="48" t="str">
        <f t="shared" si="55"/>
        <v/>
      </c>
      <c r="AH772" s="48" t="str">
        <f t="shared" si="56"/>
        <v/>
      </c>
      <c r="AI772" s="40" t="str">
        <f t="shared" si="57"/>
        <v/>
      </c>
      <c r="AJ772" s="40"/>
      <c r="AK772" s="40"/>
      <c r="AL772" s="22"/>
    </row>
    <row r="773" spans="1:38" ht="17.399999999999999">
      <c r="A773" s="22"/>
      <c r="B773" s="22"/>
      <c r="C773" s="56"/>
      <c r="D773" s="56"/>
      <c r="E773" s="22"/>
      <c r="F773" s="22"/>
      <c r="G773" s="22"/>
      <c r="H773" s="22"/>
      <c r="I773" s="49"/>
      <c r="J773" s="50"/>
      <c r="K773" s="22"/>
      <c r="L773" s="22"/>
      <c r="M773" s="22"/>
      <c r="N773" s="22"/>
      <c r="O773" s="22"/>
      <c r="P773" s="46"/>
      <c r="Q773" s="40"/>
      <c r="R773" s="41"/>
      <c r="S773" s="22" t="str">
        <f t="shared" si="53"/>
        <v/>
      </c>
      <c r="T773" s="41"/>
      <c r="U773" s="44"/>
      <c r="V773" s="44"/>
      <c r="W773" s="46"/>
      <c r="X773" s="46"/>
      <c r="Y773" s="46"/>
      <c r="Z773" s="22"/>
      <c r="AA773" s="22"/>
      <c r="AB773" s="22"/>
      <c r="AC773" s="22"/>
      <c r="AD773" s="22"/>
      <c r="AE773" s="22"/>
      <c r="AF773" s="48" t="str">
        <f t="shared" si="54"/>
        <v/>
      </c>
      <c r="AG773" s="48" t="str">
        <f t="shared" si="55"/>
        <v/>
      </c>
      <c r="AH773" s="48" t="str">
        <f t="shared" si="56"/>
        <v/>
      </c>
      <c r="AI773" s="40" t="str">
        <f t="shared" si="57"/>
        <v/>
      </c>
      <c r="AJ773" s="40"/>
      <c r="AK773" s="40"/>
      <c r="AL773" s="22"/>
    </row>
    <row r="774" spans="1:38" ht="17.399999999999999">
      <c r="A774" s="22"/>
      <c r="B774" s="22"/>
      <c r="C774" s="56"/>
      <c r="D774" s="56"/>
      <c r="E774" s="22"/>
      <c r="F774" s="22"/>
      <c r="G774" s="22"/>
      <c r="H774" s="22"/>
      <c r="I774" s="49"/>
      <c r="J774" s="50"/>
      <c r="K774" s="22"/>
      <c r="L774" s="22"/>
      <c r="M774" s="22"/>
      <c r="N774" s="22"/>
      <c r="O774" s="22"/>
      <c r="P774" s="46"/>
      <c r="Q774" s="40"/>
      <c r="R774" s="41"/>
      <c r="S774" s="22" t="str">
        <f t="shared" si="53"/>
        <v/>
      </c>
      <c r="T774" s="41"/>
      <c r="U774" s="44"/>
      <c r="V774" s="44"/>
      <c r="W774" s="46"/>
      <c r="X774" s="46"/>
      <c r="Y774" s="46"/>
      <c r="Z774" s="22"/>
      <c r="AA774" s="22"/>
      <c r="AB774" s="22"/>
      <c r="AC774" s="22"/>
      <c r="AD774" s="22"/>
      <c r="AE774" s="22"/>
      <c r="AF774" s="48" t="str">
        <f t="shared" si="54"/>
        <v/>
      </c>
      <c r="AG774" s="48" t="str">
        <f t="shared" si="55"/>
        <v/>
      </c>
      <c r="AH774" s="48" t="str">
        <f t="shared" si="56"/>
        <v/>
      </c>
      <c r="AI774" s="40" t="str">
        <f t="shared" si="57"/>
        <v/>
      </c>
      <c r="AJ774" s="40"/>
      <c r="AK774" s="40"/>
      <c r="AL774" s="22"/>
    </row>
    <row r="775" spans="1:38" ht="17.399999999999999">
      <c r="A775" s="22"/>
      <c r="B775" s="22"/>
      <c r="C775" s="56"/>
      <c r="D775" s="56"/>
      <c r="E775" s="22"/>
      <c r="F775" s="22"/>
      <c r="G775" s="22"/>
      <c r="H775" s="22"/>
      <c r="I775" s="49"/>
      <c r="J775" s="50"/>
      <c r="K775" s="22"/>
      <c r="L775" s="22"/>
      <c r="M775" s="22"/>
      <c r="N775" s="22"/>
      <c r="O775" s="22"/>
      <c r="P775" s="46"/>
      <c r="Q775" s="40"/>
      <c r="R775" s="41"/>
      <c r="S775" s="22" t="str">
        <f t="shared" si="53"/>
        <v/>
      </c>
      <c r="T775" s="41"/>
      <c r="U775" s="44"/>
      <c r="V775" s="44"/>
      <c r="W775" s="46"/>
      <c r="X775" s="46"/>
      <c r="Y775" s="46"/>
      <c r="Z775" s="22"/>
      <c r="AA775" s="22"/>
      <c r="AB775" s="22"/>
      <c r="AC775" s="22"/>
      <c r="AD775" s="22"/>
      <c r="AE775" s="22"/>
      <c r="AF775" s="48" t="str">
        <f t="shared" si="54"/>
        <v/>
      </c>
      <c r="AG775" s="48" t="str">
        <f t="shared" si="55"/>
        <v/>
      </c>
      <c r="AH775" s="48" t="str">
        <f t="shared" si="56"/>
        <v/>
      </c>
      <c r="AI775" s="40" t="str">
        <f t="shared" si="57"/>
        <v/>
      </c>
      <c r="AJ775" s="40"/>
      <c r="AK775" s="40"/>
      <c r="AL775" s="22"/>
    </row>
    <row r="776" spans="1:38" ht="17.399999999999999">
      <c r="A776" s="22"/>
      <c r="B776" s="22"/>
      <c r="C776" s="56"/>
      <c r="D776" s="56"/>
      <c r="E776" s="22"/>
      <c r="F776" s="22"/>
      <c r="G776" s="22"/>
      <c r="H776" s="22"/>
      <c r="I776" s="49"/>
      <c r="J776" s="50"/>
      <c r="K776" s="22"/>
      <c r="L776" s="22"/>
      <c r="M776" s="22"/>
      <c r="N776" s="22"/>
      <c r="O776" s="22"/>
      <c r="P776" s="46"/>
      <c r="Q776" s="40"/>
      <c r="R776" s="41"/>
      <c r="S776" s="22" t="str">
        <f t="shared" si="53"/>
        <v/>
      </c>
      <c r="T776" s="41"/>
      <c r="U776" s="44"/>
      <c r="V776" s="44"/>
      <c r="W776" s="46"/>
      <c r="X776" s="46"/>
      <c r="Y776" s="46"/>
      <c r="Z776" s="22"/>
      <c r="AA776" s="22"/>
      <c r="AB776" s="22"/>
      <c r="AC776" s="22"/>
      <c r="AD776" s="22"/>
      <c r="AE776" s="22"/>
      <c r="AF776" s="48" t="str">
        <f t="shared" si="54"/>
        <v/>
      </c>
      <c r="AG776" s="48" t="str">
        <f t="shared" si="55"/>
        <v/>
      </c>
      <c r="AH776" s="48" t="str">
        <f t="shared" si="56"/>
        <v/>
      </c>
      <c r="AI776" s="40" t="str">
        <f t="shared" si="57"/>
        <v/>
      </c>
      <c r="AJ776" s="40"/>
      <c r="AK776" s="40"/>
      <c r="AL776" s="22"/>
    </row>
    <row r="777" spans="1:38" ht="17.399999999999999">
      <c r="A777" s="22"/>
      <c r="B777" s="22"/>
      <c r="C777" s="56"/>
      <c r="D777" s="56"/>
      <c r="E777" s="22"/>
      <c r="F777" s="22"/>
      <c r="G777" s="22"/>
      <c r="H777" s="22"/>
      <c r="I777" s="49"/>
      <c r="J777" s="50"/>
      <c r="K777" s="22"/>
      <c r="L777" s="22"/>
      <c r="M777" s="22"/>
      <c r="N777" s="22"/>
      <c r="O777" s="22"/>
      <c r="P777" s="46"/>
      <c r="Q777" s="40"/>
      <c r="R777" s="41"/>
      <c r="S777" s="22" t="str">
        <f t="shared" si="53"/>
        <v/>
      </c>
      <c r="T777" s="41"/>
      <c r="U777" s="44"/>
      <c r="V777" s="44"/>
      <c r="W777" s="46"/>
      <c r="X777" s="46"/>
      <c r="Y777" s="46"/>
      <c r="Z777" s="22"/>
      <c r="AA777" s="22"/>
      <c r="AB777" s="22"/>
      <c r="AC777" s="22"/>
      <c r="AD777" s="22"/>
      <c r="AE777" s="22"/>
      <c r="AF777" s="48" t="str">
        <f t="shared" si="54"/>
        <v/>
      </c>
      <c r="AG777" s="48" t="str">
        <f t="shared" si="55"/>
        <v/>
      </c>
      <c r="AH777" s="48" t="str">
        <f t="shared" si="56"/>
        <v/>
      </c>
      <c r="AI777" s="40" t="str">
        <f t="shared" si="57"/>
        <v/>
      </c>
      <c r="AJ777" s="40"/>
      <c r="AK777" s="40"/>
      <c r="AL777" s="22"/>
    </row>
    <row r="778" spans="1:38" ht="17.399999999999999">
      <c r="A778" s="22"/>
      <c r="B778" s="22"/>
      <c r="C778" s="56"/>
      <c r="D778" s="56"/>
      <c r="E778" s="22"/>
      <c r="F778" s="22"/>
      <c r="G778" s="22"/>
      <c r="H778" s="22"/>
      <c r="I778" s="49"/>
      <c r="J778" s="50"/>
      <c r="K778" s="22"/>
      <c r="L778" s="22"/>
      <c r="M778" s="22"/>
      <c r="N778" s="22"/>
      <c r="O778" s="22"/>
      <c r="P778" s="46"/>
      <c r="Q778" s="40"/>
      <c r="R778" s="41"/>
      <c r="S778" s="22" t="str">
        <f t="shared" si="53"/>
        <v/>
      </c>
      <c r="T778" s="41"/>
      <c r="U778" s="44"/>
      <c r="V778" s="44"/>
      <c r="W778" s="46"/>
      <c r="X778" s="46"/>
      <c r="Y778" s="46"/>
      <c r="Z778" s="22"/>
      <c r="AA778" s="22"/>
      <c r="AB778" s="22"/>
      <c r="AC778" s="22"/>
      <c r="AD778" s="22"/>
      <c r="AE778" s="22"/>
      <c r="AF778" s="48" t="str">
        <f t="shared" si="54"/>
        <v/>
      </c>
      <c r="AG778" s="48" t="str">
        <f t="shared" si="55"/>
        <v/>
      </c>
      <c r="AH778" s="48" t="str">
        <f t="shared" si="56"/>
        <v/>
      </c>
      <c r="AI778" s="40" t="str">
        <f t="shared" si="57"/>
        <v/>
      </c>
      <c r="AJ778" s="40"/>
      <c r="AK778" s="40"/>
      <c r="AL778" s="22"/>
    </row>
    <row r="779" spans="1:38" ht="17.399999999999999">
      <c r="A779" s="22"/>
      <c r="B779" s="22"/>
      <c r="C779" s="56"/>
      <c r="D779" s="56"/>
      <c r="E779" s="22"/>
      <c r="F779" s="22"/>
      <c r="G779" s="22"/>
      <c r="H779" s="22"/>
      <c r="I779" s="49"/>
      <c r="J779" s="50"/>
      <c r="K779" s="22"/>
      <c r="L779" s="22"/>
      <c r="M779" s="22"/>
      <c r="N779" s="22"/>
      <c r="O779" s="22"/>
      <c r="P779" s="46"/>
      <c r="Q779" s="40"/>
      <c r="R779" s="41"/>
      <c r="S779" s="22" t="str">
        <f t="shared" si="53"/>
        <v/>
      </c>
      <c r="T779" s="41"/>
      <c r="U779" s="44"/>
      <c r="V779" s="44"/>
      <c r="W779" s="46"/>
      <c r="X779" s="46"/>
      <c r="Y779" s="46"/>
      <c r="Z779" s="22"/>
      <c r="AA779" s="22"/>
      <c r="AB779" s="22"/>
      <c r="AC779" s="22"/>
      <c r="AD779" s="22"/>
      <c r="AE779" s="22"/>
      <c r="AF779" s="48" t="str">
        <f t="shared" si="54"/>
        <v/>
      </c>
      <c r="AG779" s="48" t="str">
        <f t="shared" si="55"/>
        <v/>
      </c>
      <c r="AH779" s="48" t="str">
        <f t="shared" si="56"/>
        <v/>
      </c>
      <c r="AI779" s="40" t="str">
        <f t="shared" si="57"/>
        <v/>
      </c>
      <c r="AJ779" s="40"/>
      <c r="AK779" s="40"/>
      <c r="AL779" s="22"/>
    </row>
    <row r="780" spans="1:38" ht="17.399999999999999">
      <c r="A780" s="22"/>
      <c r="B780" s="22"/>
      <c r="C780" s="56"/>
      <c r="D780" s="56"/>
      <c r="E780" s="22"/>
      <c r="F780" s="22"/>
      <c r="G780" s="22"/>
      <c r="H780" s="22"/>
      <c r="I780" s="49"/>
      <c r="J780" s="50"/>
      <c r="K780" s="22"/>
      <c r="L780" s="22"/>
      <c r="M780" s="22"/>
      <c r="N780" s="22"/>
      <c r="O780" s="22"/>
      <c r="P780" s="46"/>
      <c r="Q780" s="40"/>
      <c r="R780" s="41"/>
      <c r="S780" s="22" t="str">
        <f t="shared" si="53"/>
        <v/>
      </c>
      <c r="T780" s="41"/>
      <c r="U780" s="44"/>
      <c r="V780" s="44"/>
      <c r="W780" s="46"/>
      <c r="X780" s="46"/>
      <c r="Y780" s="46"/>
      <c r="Z780" s="22"/>
      <c r="AA780" s="22"/>
      <c r="AB780" s="22"/>
      <c r="AC780" s="22"/>
      <c r="AD780" s="22"/>
      <c r="AE780" s="22"/>
      <c r="AF780" s="48" t="str">
        <f t="shared" si="54"/>
        <v/>
      </c>
      <c r="AG780" s="48" t="str">
        <f t="shared" si="55"/>
        <v/>
      </c>
      <c r="AH780" s="48" t="str">
        <f t="shared" si="56"/>
        <v/>
      </c>
      <c r="AI780" s="40" t="str">
        <f t="shared" si="57"/>
        <v/>
      </c>
      <c r="AJ780" s="40"/>
      <c r="AK780" s="40"/>
      <c r="AL780" s="22"/>
    </row>
    <row r="781" spans="1:38" ht="17.399999999999999">
      <c r="A781" s="22"/>
      <c r="B781" s="22"/>
      <c r="C781" s="56"/>
      <c r="D781" s="56"/>
      <c r="E781" s="22"/>
      <c r="F781" s="22"/>
      <c r="G781" s="22"/>
      <c r="H781" s="22"/>
      <c r="I781" s="49"/>
      <c r="J781" s="50"/>
      <c r="K781" s="22"/>
      <c r="L781" s="22"/>
      <c r="M781" s="22"/>
      <c r="N781" s="22"/>
      <c r="O781" s="22"/>
      <c r="P781" s="46"/>
      <c r="Q781" s="40"/>
      <c r="R781" s="41"/>
      <c r="S781" s="22" t="str">
        <f t="shared" si="53"/>
        <v/>
      </c>
      <c r="T781" s="41"/>
      <c r="U781" s="44"/>
      <c r="V781" s="44"/>
      <c r="W781" s="46"/>
      <c r="X781" s="46"/>
      <c r="Y781" s="46"/>
      <c r="Z781" s="22"/>
      <c r="AA781" s="22"/>
      <c r="AB781" s="22"/>
      <c r="AC781" s="22"/>
      <c r="AD781" s="22"/>
      <c r="AE781" s="22"/>
      <c r="AF781" s="48" t="str">
        <f t="shared" si="54"/>
        <v/>
      </c>
      <c r="AG781" s="48" t="str">
        <f t="shared" si="55"/>
        <v/>
      </c>
      <c r="AH781" s="48" t="str">
        <f t="shared" si="56"/>
        <v/>
      </c>
      <c r="AI781" s="40" t="str">
        <f t="shared" si="57"/>
        <v/>
      </c>
      <c r="AJ781" s="40"/>
      <c r="AK781" s="40"/>
      <c r="AL781" s="22"/>
    </row>
    <row r="782" spans="1:38" ht="17.399999999999999">
      <c r="A782" s="22"/>
      <c r="B782" s="22"/>
      <c r="C782" s="56"/>
      <c r="D782" s="56"/>
      <c r="E782" s="22"/>
      <c r="F782" s="22"/>
      <c r="G782" s="22"/>
      <c r="H782" s="22"/>
      <c r="I782" s="49"/>
      <c r="J782" s="50"/>
      <c r="K782" s="22"/>
      <c r="L782" s="22"/>
      <c r="M782" s="22"/>
      <c r="N782" s="22"/>
      <c r="O782" s="22"/>
      <c r="P782" s="46"/>
      <c r="Q782" s="40"/>
      <c r="R782" s="41"/>
      <c r="S782" s="22" t="str">
        <f t="shared" si="53"/>
        <v/>
      </c>
      <c r="T782" s="41"/>
      <c r="U782" s="44"/>
      <c r="V782" s="44"/>
      <c r="W782" s="46"/>
      <c r="X782" s="46"/>
      <c r="Y782" s="46"/>
      <c r="Z782" s="22"/>
      <c r="AA782" s="22"/>
      <c r="AB782" s="22"/>
      <c r="AC782" s="22"/>
      <c r="AD782" s="22"/>
      <c r="AE782" s="22"/>
      <c r="AF782" s="48" t="str">
        <f t="shared" si="54"/>
        <v/>
      </c>
      <c r="AG782" s="48" t="str">
        <f t="shared" si="55"/>
        <v/>
      </c>
      <c r="AH782" s="48" t="str">
        <f t="shared" si="56"/>
        <v/>
      </c>
      <c r="AI782" s="40" t="str">
        <f t="shared" si="57"/>
        <v/>
      </c>
      <c r="AJ782" s="40"/>
      <c r="AK782" s="40"/>
      <c r="AL782" s="22"/>
    </row>
    <row r="783" spans="1:38" ht="17.399999999999999">
      <c r="A783" s="22"/>
      <c r="B783" s="22"/>
      <c r="C783" s="56"/>
      <c r="D783" s="56"/>
      <c r="E783" s="22"/>
      <c r="F783" s="22"/>
      <c r="G783" s="22"/>
      <c r="H783" s="22"/>
      <c r="I783" s="49"/>
      <c r="J783" s="50"/>
      <c r="K783" s="22"/>
      <c r="L783" s="22"/>
      <c r="M783" s="22"/>
      <c r="N783" s="22"/>
      <c r="O783" s="22"/>
      <c r="P783" s="46"/>
      <c r="Q783" s="40"/>
      <c r="R783" s="41"/>
      <c r="S783" s="22" t="str">
        <f t="shared" si="53"/>
        <v/>
      </c>
      <c r="T783" s="41"/>
      <c r="U783" s="44"/>
      <c r="V783" s="44"/>
      <c r="W783" s="46"/>
      <c r="X783" s="46"/>
      <c r="Y783" s="46"/>
      <c r="Z783" s="22"/>
      <c r="AA783" s="22"/>
      <c r="AB783" s="22"/>
      <c r="AC783" s="22"/>
      <c r="AD783" s="22"/>
      <c r="AE783" s="22"/>
      <c r="AF783" s="48" t="str">
        <f t="shared" si="54"/>
        <v/>
      </c>
      <c r="AG783" s="48" t="str">
        <f t="shared" si="55"/>
        <v/>
      </c>
      <c r="AH783" s="48" t="str">
        <f t="shared" si="56"/>
        <v/>
      </c>
      <c r="AI783" s="40" t="str">
        <f t="shared" si="57"/>
        <v/>
      </c>
      <c r="AJ783" s="40"/>
      <c r="AK783" s="40"/>
      <c r="AL783" s="22"/>
    </row>
    <row r="784" spans="1:38" ht="17.399999999999999">
      <c r="A784" s="22"/>
      <c r="B784" s="22"/>
      <c r="C784" s="56"/>
      <c r="D784" s="56"/>
      <c r="E784" s="22"/>
      <c r="F784" s="22"/>
      <c r="G784" s="22"/>
      <c r="H784" s="22"/>
      <c r="I784" s="49"/>
      <c r="J784" s="50"/>
      <c r="K784" s="22"/>
      <c r="L784" s="22"/>
      <c r="M784" s="22"/>
      <c r="N784" s="22"/>
      <c r="O784" s="22"/>
      <c r="P784" s="46"/>
      <c r="Q784" s="40"/>
      <c r="R784" s="41"/>
      <c r="S784" s="22" t="str">
        <f t="shared" si="53"/>
        <v/>
      </c>
      <c r="T784" s="41"/>
      <c r="U784" s="44"/>
      <c r="V784" s="44"/>
      <c r="W784" s="46"/>
      <c r="X784" s="46"/>
      <c r="Y784" s="46"/>
      <c r="Z784" s="22"/>
      <c r="AA784" s="22"/>
      <c r="AB784" s="22"/>
      <c r="AC784" s="22"/>
      <c r="AD784" s="22"/>
      <c r="AE784" s="22"/>
      <c r="AF784" s="48" t="str">
        <f t="shared" si="54"/>
        <v/>
      </c>
      <c r="AG784" s="48" t="str">
        <f t="shared" si="55"/>
        <v/>
      </c>
      <c r="AH784" s="48" t="str">
        <f t="shared" si="56"/>
        <v/>
      </c>
      <c r="AI784" s="40" t="str">
        <f t="shared" si="57"/>
        <v/>
      </c>
      <c r="AJ784" s="40"/>
      <c r="AK784" s="40"/>
      <c r="AL784" s="22"/>
    </row>
    <row r="785" spans="1:38" ht="17.399999999999999">
      <c r="A785" s="22"/>
      <c r="B785" s="22"/>
      <c r="C785" s="56"/>
      <c r="D785" s="56"/>
      <c r="E785" s="22"/>
      <c r="F785" s="22"/>
      <c r="G785" s="22"/>
      <c r="H785" s="22"/>
      <c r="I785" s="49"/>
      <c r="J785" s="50"/>
      <c r="K785" s="22"/>
      <c r="L785" s="22"/>
      <c r="M785" s="22"/>
      <c r="N785" s="22"/>
      <c r="O785" s="22"/>
      <c r="P785" s="46"/>
      <c r="Q785" s="40"/>
      <c r="R785" s="41"/>
      <c r="S785" s="22" t="str">
        <f t="shared" si="53"/>
        <v/>
      </c>
      <c r="T785" s="41"/>
      <c r="U785" s="44"/>
      <c r="V785" s="44"/>
      <c r="W785" s="46"/>
      <c r="X785" s="46"/>
      <c r="Y785" s="46"/>
      <c r="Z785" s="22"/>
      <c r="AA785" s="22"/>
      <c r="AB785" s="22"/>
      <c r="AC785" s="22"/>
      <c r="AD785" s="22"/>
      <c r="AE785" s="22"/>
      <c r="AF785" s="48" t="str">
        <f t="shared" si="54"/>
        <v/>
      </c>
      <c r="AG785" s="48" t="str">
        <f t="shared" si="55"/>
        <v/>
      </c>
      <c r="AH785" s="48" t="str">
        <f t="shared" si="56"/>
        <v/>
      </c>
      <c r="AI785" s="40" t="str">
        <f t="shared" si="57"/>
        <v/>
      </c>
      <c r="AJ785" s="40"/>
      <c r="AK785" s="40"/>
      <c r="AL785" s="22"/>
    </row>
    <row r="786" spans="1:38" ht="17.399999999999999">
      <c r="A786" s="22"/>
      <c r="B786" s="22"/>
      <c r="C786" s="56"/>
      <c r="D786" s="56"/>
      <c r="E786" s="22"/>
      <c r="F786" s="22"/>
      <c r="G786" s="22"/>
      <c r="H786" s="22"/>
      <c r="I786" s="49"/>
      <c r="J786" s="50"/>
      <c r="K786" s="22"/>
      <c r="L786" s="22"/>
      <c r="M786" s="22"/>
      <c r="N786" s="22"/>
      <c r="O786" s="22"/>
      <c r="P786" s="46"/>
      <c r="Q786" s="40"/>
      <c r="R786" s="41"/>
      <c r="S786" s="22" t="str">
        <f t="shared" si="53"/>
        <v/>
      </c>
      <c r="T786" s="41"/>
      <c r="U786" s="44"/>
      <c r="V786" s="44"/>
      <c r="W786" s="46"/>
      <c r="X786" s="46"/>
      <c r="Y786" s="46"/>
      <c r="Z786" s="22"/>
      <c r="AA786" s="22"/>
      <c r="AB786" s="22"/>
      <c r="AC786" s="22"/>
      <c r="AD786" s="22"/>
      <c r="AE786" s="22"/>
      <c r="AF786" s="48" t="str">
        <f t="shared" si="54"/>
        <v/>
      </c>
      <c r="AG786" s="48" t="str">
        <f t="shared" si="55"/>
        <v/>
      </c>
      <c r="AH786" s="48" t="str">
        <f t="shared" si="56"/>
        <v/>
      </c>
      <c r="AI786" s="40" t="str">
        <f t="shared" si="57"/>
        <v/>
      </c>
      <c r="AJ786" s="40"/>
      <c r="AK786" s="40"/>
      <c r="AL786" s="22"/>
    </row>
    <row r="787" spans="1:38" ht="17.399999999999999">
      <c r="A787" s="22"/>
      <c r="B787" s="22"/>
      <c r="C787" s="56"/>
      <c r="D787" s="56"/>
      <c r="E787" s="22"/>
      <c r="F787" s="22"/>
      <c r="G787" s="22"/>
      <c r="H787" s="22"/>
      <c r="I787" s="49"/>
      <c r="J787" s="50"/>
      <c r="K787" s="22"/>
      <c r="L787" s="22"/>
      <c r="M787" s="22"/>
      <c r="N787" s="22"/>
      <c r="O787" s="22"/>
      <c r="P787" s="46"/>
      <c r="Q787" s="40"/>
      <c r="R787" s="41"/>
      <c r="S787" s="22" t="str">
        <f t="shared" si="53"/>
        <v/>
      </c>
      <c r="T787" s="41"/>
      <c r="U787" s="44"/>
      <c r="V787" s="44"/>
      <c r="W787" s="46"/>
      <c r="X787" s="46"/>
      <c r="Y787" s="46"/>
      <c r="Z787" s="22"/>
      <c r="AA787" s="22"/>
      <c r="AB787" s="22"/>
      <c r="AC787" s="22"/>
      <c r="AD787" s="22"/>
      <c r="AE787" s="22"/>
      <c r="AF787" s="48" t="str">
        <f t="shared" si="54"/>
        <v/>
      </c>
      <c r="AG787" s="48" t="str">
        <f t="shared" si="55"/>
        <v/>
      </c>
      <c r="AH787" s="48" t="str">
        <f t="shared" si="56"/>
        <v/>
      </c>
      <c r="AI787" s="40" t="str">
        <f t="shared" si="57"/>
        <v/>
      </c>
      <c r="AJ787" s="40"/>
      <c r="AK787" s="40"/>
      <c r="AL787" s="22"/>
    </row>
    <row r="788" spans="1:38" ht="17.399999999999999">
      <c r="A788" s="22"/>
      <c r="B788" s="22"/>
      <c r="C788" s="56"/>
      <c r="D788" s="56"/>
      <c r="E788" s="22"/>
      <c r="F788" s="22"/>
      <c r="G788" s="22"/>
      <c r="H788" s="22"/>
      <c r="I788" s="49"/>
      <c r="J788" s="50"/>
      <c r="K788" s="22"/>
      <c r="L788" s="22"/>
      <c r="M788" s="22"/>
      <c r="N788" s="22"/>
      <c r="O788" s="22"/>
      <c r="P788" s="46"/>
      <c r="Q788" s="40"/>
      <c r="R788" s="41"/>
      <c r="S788" s="22" t="str">
        <f t="shared" si="53"/>
        <v/>
      </c>
      <c r="T788" s="41"/>
      <c r="U788" s="44"/>
      <c r="V788" s="44"/>
      <c r="W788" s="46"/>
      <c r="X788" s="46"/>
      <c r="Y788" s="46"/>
      <c r="Z788" s="22"/>
      <c r="AA788" s="22"/>
      <c r="AB788" s="22"/>
      <c r="AC788" s="22"/>
      <c r="AD788" s="22"/>
      <c r="AE788" s="22"/>
      <c r="AF788" s="48" t="str">
        <f t="shared" si="54"/>
        <v/>
      </c>
      <c r="AG788" s="48" t="str">
        <f t="shared" si="55"/>
        <v/>
      </c>
      <c r="AH788" s="48" t="str">
        <f t="shared" si="56"/>
        <v/>
      </c>
      <c r="AI788" s="40" t="str">
        <f t="shared" si="57"/>
        <v/>
      </c>
      <c r="AJ788" s="40"/>
      <c r="AK788" s="40"/>
      <c r="AL788" s="22"/>
    </row>
    <row r="789" spans="1:38" ht="17.399999999999999">
      <c r="A789" s="22"/>
      <c r="B789" s="22"/>
      <c r="C789" s="56"/>
      <c r="D789" s="56"/>
      <c r="E789" s="22"/>
      <c r="F789" s="22"/>
      <c r="G789" s="22"/>
      <c r="H789" s="22"/>
      <c r="I789" s="49"/>
      <c r="J789" s="50"/>
      <c r="K789" s="22"/>
      <c r="L789" s="22"/>
      <c r="M789" s="22"/>
      <c r="N789" s="22"/>
      <c r="O789" s="22"/>
      <c r="P789" s="46"/>
      <c r="Q789" s="40"/>
      <c r="R789" s="41"/>
      <c r="S789" s="22" t="str">
        <f t="shared" si="53"/>
        <v/>
      </c>
      <c r="T789" s="41"/>
      <c r="U789" s="44"/>
      <c r="V789" s="44"/>
      <c r="W789" s="46"/>
      <c r="X789" s="46"/>
      <c r="Y789" s="46"/>
      <c r="Z789" s="22"/>
      <c r="AA789" s="22"/>
      <c r="AB789" s="22"/>
      <c r="AC789" s="22"/>
      <c r="AD789" s="22"/>
      <c r="AE789" s="22"/>
      <c r="AF789" s="48" t="str">
        <f t="shared" si="54"/>
        <v/>
      </c>
      <c r="AG789" s="48" t="str">
        <f t="shared" si="55"/>
        <v/>
      </c>
      <c r="AH789" s="48" t="str">
        <f t="shared" si="56"/>
        <v/>
      </c>
      <c r="AI789" s="40" t="str">
        <f t="shared" si="57"/>
        <v/>
      </c>
      <c r="AJ789" s="40"/>
      <c r="AK789" s="40"/>
      <c r="AL789" s="22"/>
    </row>
    <row r="790" spans="1:38" ht="17.399999999999999">
      <c r="A790" s="22"/>
      <c r="B790" s="22"/>
      <c r="C790" s="56"/>
      <c r="D790" s="56"/>
      <c r="E790" s="22"/>
      <c r="F790" s="22"/>
      <c r="G790" s="22"/>
      <c r="H790" s="22"/>
      <c r="I790" s="49"/>
      <c r="J790" s="50"/>
      <c r="K790" s="22"/>
      <c r="L790" s="22"/>
      <c r="M790" s="22"/>
      <c r="N790" s="22"/>
      <c r="O790" s="22"/>
      <c r="P790" s="46"/>
      <c r="Q790" s="40"/>
      <c r="R790" s="41"/>
      <c r="S790" s="22" t="str">
        <f t="shared" si="53"/>
        <v/>
      </c>
      <c r="T790" s="41"/>
      <c r="U790" s="44"/>
      <c r="V790" s="44"/>
      <c r="W790" s="46"/>
      <c r="X790" s="46"/>
      <c r="Y790" s="46"/>
      <c r="Z790" s="22"/>
      <c r="AA790" s="22"/>
      <c r="AB790" s="22"/>
      <c r="AC790" s="22"/>
      <c r="AD790" s="22"/>
      <c r="AE790" s="22"/>
      <c r="AF790" s="48" t="str">
        <f t="shared" si="54"/>
        <v/>
      </c>
      <c r="AG790" s="48" t="str">
        <f t="shared" si="55"/>
        <v/>
      </c>
      <c r="AH790" s="48" t="str">
        <f t="shared" si="56"/>
        <v/>
      </c>
      <c r="AI790" s="40" t="str">
        <f t="shared" si="57"/>
        <v/>
      </c>
      <c r="AJ790" s="40"/>
      <c r="AK790" s="40"/>
      <c r="AL790" s="22"/>
    </row>
    <row r="791" spans="1:38" ht="17.399999999999999">
      <c r="A791" s="22"/>
      <c r="B791" s="22"/>
      <c r="C791" s="56"/>
      <c r="D791" s="56"/>
      <c r="E791" s="22"/>
      <c r="F791" s="22"/>
      <c r="G791" s="22"/>
      <c r="H791" s="22"/>
      <c r="I791" s="49"/>
      <c r="J791" s="50"/>
      <c r="K791" s="22"/>
      <c r="L791" s="22"/>
      <c r="M791" s="22"/>
      <c r="N791" s="22"/>
      <c r="O791" s="22"/>
      <c r="P791" s="46"/>
      <c r="Q791" s="40"/>
      <c r="R791" s="41"/>
      <c r="S791" s="22" t="str">
        <f t="shared" ref="S791:S854" si="58">IF(A791="","",M791+O791)</f>
        <v/>
      </c>
      <c r="T791" s="41"/>
      <c r="U791" s="44"/>
      <c r="V791" s="44"/>
      <c r="W791" s="46"/>
      <c r="X791" s="46"/>
      <c r="Y791" s="46"/>
      <c r="Z791" s="22"/>
      <c r="AA791" s="22"/>
      <c r="AB791" s="22"/>
      <c r="AC791" s="22"/>
      <c r="AD791" s="22"/>
      <c r="AE791" s="22"/>
      <c r="AF791" s="48" t="str">
        <f t="shared" ref="AF791:AF854" si="59">IF(A791="","",S791-X791)</f>
        <v/>
      </c>
      <c r="AG791" s="48" t="str">
        <f t="shared" ref="AG791:AG854" si="60">IF(A791="","",X791-(AB791+AE791))</f>
        <v/>
      </c>
      <c r="AH791" s="48" t="str">
        <f t="shared" ref="AH791:AH854" si="61">IF(A791="","",AF791+AG791)</f>
        <v/>
      </c>
      <c r="AI791" s="40" t="str">
        <f t="shared" ref="AI791:AI854" si="62">IF(A791="","",R791+21)</f>
        <v/>
      </c>
      <c r="AJ791" s="40"/>
      <c r="AK791" s="40"/>
      <c r="AL791" s="22"/>
    </row>
    <row r="792" spans="1:38" ht="17.399999999999999">
      <c r="A792" s="22"/>
      <c r="B792" s="22"/>
      <c r="C792" s="56"/>
      <c r="D792" s="56"/>
      <c r="E792" s="22"/>
      <c r="F792" s="22"/>
      <c r="G792" s="22"/>
      <c r="H792" s="22"/>
      <c r="I792" s="49"/>
      <c r="J792" s="50"/>
      <c r="K792" s="22"/>
      <c r="L792" s="22"/>
      <c r="M792" s="22"/>
      <c r="N792" s="22"/>
      <c r="O792" s="22"/>
      <c r="P792" s="46"/>
      <c r="Q792" s="40"/>
      <c r="R792" s="41"/>
      <c r="S792" s="22" t="str">
        <f t="shared" si="58"/>
        <v/>
      </c>
      <c r="T792" s="41"/>
      <c r="U792" s="44"/>
      <c r="V792" s="44"/>
      <c r="W792" s="46"/>
      <c r="X792" s="46"/>
      <c r="Y792" s="46"/>
      <c r="Z792" s="22"/>
      <c r="AA792" s="22"/>
      <c r="AB792" s="22"/>
      <c r="AC792" s="22"/>
      <c r="AD792" s="22"/>
      <c r="AE792" s="22"/>
      <c r="AF792" s="48" t="str">
        <f t="shared" si="59"/>
        <v/>
      </c>
      <c r="AG792" s="48" t="str">
        <f t="shared" si="60"/>
        <v/>
      </c>
      <c r="AH792" s="48" t="str">
        <f t="shared" si="61"/>
        <v/>
      </c>
      <c r="AI792" s="40" t="str">
        <f t="shared" si="62"/>
        <v/>
      </c>
      <c r="AJ792" s="40"/>
      <c r="AK792" s="40"/>
      <c r="AL792" s="22"/>
    </row>
    <row r="793" spans="1:38" ht="17.399999999999999">
      <c r="A793" s="22"/>
      <c r="B793" s="22"/>
      <c r="C793" s="56"/>
      <c r="D793" s="56"/>
      <c r="E793" s="22"/>
      <c r="F793" s="22"/>
      <c r="G793" s="22"/>
      <c r="H793" s="22"/>
      <c r="I793" s="49"/>
      <c r="J793" s="50"/>
      <c r="K793" s="22"/>
      <c r="L793" s="22"/>
      <c r="M793" s="22"/>
      <c r="N793" s="22"/>
      <c r="O793" s="22"/>
      <c r="P793" s="46"/>
      <c r="Q793" s="40"/>
      <c r="R793" s="41"/>
      <c r="S793" s="22" t="str">
        <f t="shared" si="58"/>
        <v/>
      </c>
      <c r="T793" s="41"/>
      <c r="U793" s="44"/>
      <c r="V793" s="44"/>
      <c r="W793" s="46"/>
      <c r="X793" s="46"/>
      <c r="Y793" s="46"/>
      <c r="Z793" s="22"/>
      <c r="AA793" s="22"/>
      <c r="AB793" s="22"/>
      <c r="AC793" s="22"/>
      <c r="AD793" s="22"/>
      <c r="AE793" s="22"/>
      <c r="AF793" s="48" t="str">
        <f t="shared" si="59"/>
        <v/>
      </c>
      <c r="AG793" s="48" t="str">
        <f t="shared" si="60"/>
        <v/>
      </c>
      <c r="AH793" s="48" t="str">
        <f t="shared" si="61"/>
        <v/>
      </c>
      <c r="AI793" s="40" t="str">
        <f t="shared" si="62"/>
        <v/>
      </c>
      <c r="AJ793" s="40"/>
      <c r="AK793" s="40"/>
      <c r="AL793" s="22"/>
    </row>
    <row r="794" spans="1:38" ht="17.399999999999999">
      <c r="A794" s="22"/>
      <c r="B794" s="22"/>
      <c r="C794" s="56"/>
      <c r="D794" s="56"/>
      <c r="E794" s="22"/>
      <c r="F794" s="22"/>
      <c r="G794" s="22"/>
      <c r="H794" s="22"/>
      <c r="I794" s="49"/>
      <c r="J794" s="50"/>
      <c r="K794" s="22"/>
      <c r="L794" s="22"/>
      <c r="M794" s="22"/>
      <c r="N794" s="22"/>
      <c r="O794" s="22"/>
      <c r="P794" s="46"/>
      <c r="Q794" s="40"/>
      <c r="R794" s="41"/>
      <c r="S794" s="22" t="str">
        <f t="shared" si="58"/>
        <v/>
      </c>
      <c r="T794" s="41"/>
      <c r="U794" s="44"/>
      <c r="V794" s="44"/>
      <c r="W794" s="46"/>
      <c r="X794" s="46"/>
      <c r="Y794" s="46"/>
      <c r="Z794" s="22"/>
      <c r="AA794" s="22"/>
      <c r="AB794" s="22"/>
      <c r="AC794" s="22"/>
      <c r="AD794" s="22"/>
      <c r="AE794" s="22"/>
      <c r="AF794" s="48" t="str">
        <f t="shared" si="59"/>
        <v/>
      </c>
      <c r="AG794" s="48" t="str">
        <f t="shared" si="60"/>
        <v/>
      </c>
      <c r="AH794" s="48" t="str">
        <f t="shared" si="61"/>
        <v/>
      </c>
      <c r="AI794" s="40" t="str">
        <f t="shared" si="62"/>
        <v/>
      </c>
      <c r="AJ794" s="40"/>
      <c r="AK794" s="40"/>
      <c r="AL794" s="22"/>
    </row>
    <row r="795" spans="1:38" ht="17.399999999999999">
      <c r="A795" s="22"/>
      <c r="B795" s="22"/>
      <c r="C795" s="56"/>
      <c r="D795" s="56"/>
      <c r="E795" s="22"/>
      <c r="F795" s="22"/>
      <c r="G795" s="22"/>
      <c r="H795" s="22"/>
      <c r="I795" s="49"/>
      <c r="J795" s="50"/>
      <c r="K795" s="22"/>
      <c r="L795" s="22"/>
      <c r="M795" s="22"/>
      <c r="N795" s="22"/>
      <c r="O795" s="22"/>
      <c r="P795" s="46"/>
      <c r="Q795" s="40"/>
      <c r="R795" s="41"/>
      <c r="S795" s="22" t="str">
        <f t="shared" si="58"/>
        <v/>
      </c>
      <c r="T795" s="41"/>
      <c r="U795" s="44"/>
      <c r="V795" s="44"/>
      <c r="W795" s="46"/>
      <c r="X795" s="46"/>
      <c r="Y795" s="46"/>
      <c r="Z795" s="22"/>
      <c r="AA795" s="22"/>
      <c r="AB795" s="22"/>
      <c r="AC795" s="22"/>
      <c r="AD795" s="22"/>
      <c r="AE795" s="22"/>
      <c r="AF795" s="48" t="str">
        <f t="shared" si="59"/>
        <v/>
      </c>
      <c r="AG795" s="48" t="str">
        <f t="shared" si="60"/>
        <v/>
      </c>
      <c r="AH795" s="48" t="str">
        <f t="shared" si="61"/>
        <v/>
      </c>
      <c r="AI795" s="40" t="str">
        <f t="shared" si="62"/>
        <v/>
      </c>
      <c r="AJ795" s="40"/>
      <c r="AK795" s="40"/>
      <c r="AL795" s="22"/>
    </row>
    <row r="796" spans="1:38" ht="17.399999999999999">
      <c r="A796" s="22"/>
      <c r="B796" s="22"/>
      <c r="C796" s="56"/>
      <c r="D796" s="56"/>
      <c r="E796" s="22"/>
      <c r="F796" s="22"/>
      <c r="G796" s="22"/>
      <c r="H796" s="22"/>
      <c r="I796" s="49"/>
      <c r="J796" s="50"/>
      <c r="K796" s="22"/>
      <c r="L796" s="22"/>
      <c r="M796" s="22"/>
      <c r="N796" s="22"/>
      <c r="O796" s="22"/>
      <c r="P796" s="46"/>
      <c r="Q796" s="40"/>
      <c r="R796" s="41"/>
      <c r="S796" s="22" t="str">
        <f t="shared" si="58"/>
        <v/>
      </c>
      <c r="T796" s="41"/>
      <c r="U796" s="44"/>
      <c r="V796" s="44"/>
      <c r="W796" s="46"/>
      <c r="X796" s="46"/>
      <c r="Y796" s="46"/>
      <c r="Z796" s="22"/>
      <c r="AA796" s="22"/>
      <c r="AB796" s="22"/>
      <c r="AC796" s="22"/>
      <c r="AD796" s="22"/>
      <c r="AE796" s="22"/>
      <c r="AF796" s="48" t="str">
        <f t="shared" si="59"/>
        <v/>
      </c>
      <c r="AG796" s="48" t="str">
        <f t="shared" si="60"/>
        <v/>
      </c>
      <c r="AH796" s="48" t="str">
        <f t="shared" si="61"/>
        <v/>
      </c>
      <c r="AI796" s="40" t="str">
        <f t="shared" si="62"/>
        <v/>
      </c>
      <c r="AJ796" s="40"/>
      <c r="AK796" s="40"/>
      <c r="AL796" s="22"/>
    </row>
    <row r="797" spans="1:38" ht="17.399999999999999">
      <c r="A797" s="22"/>
      <c r="B797" s="22"/>
      <c r="C797" s="56"/>
      <c r="D797" s="56"/>
      <c r="E797" s="22"/>
      <c r="F797" s="22"/>
      <c r="G797" s="22"/>
      <c r="H797" s="22"/>
      <c r="I797" s="49"/>
      <c r="J797" s="50"/>
      <c r="K797" s="22"/>
      <c r="L797" s="22"/>
      <c r="M797" s="22"/>
      <c r="N797" s="22"/>
      <c r="O797" s="22"/>
      <c r="P797" s="46"/>
      <c r="Q797" s="40"/>
      <c r="R797" s="41"/>
      <c r="S797" s="22" t="str">
        <f t="shared" si="58"/>
        <v/>
      </c>
      <c r="T797" s="41"/>
      <c r="U797" s="44"/>
      <c r="V797" s="44"/>
      <c r="W797" s="46"/>
      <c r="X797" s="46"/>
      <c r="Y797" s="46"/>
      <c r="Z797" s="22"/>
      <c r="AA797" s="22"/>
      <c r="AB797" s="22"/>
      <c r="AC797" s="22"/>
      <c r="AD797" s="22"/>
      <c r="AE797" s="22"/>
      <c r="AF797" s="48" t="str">
        <f t="shared" si="59"/>
        <v/>
      </c>
      <c r="AG797" s="48" t="str">
        <f t="shared" si="60"/>
        <v/>
      </c>
      <c r="AH797" s="48" t="str">
        <f t="shared" si="61"/>
        <v/>
      </c>
      <c r="AI797" s="40" t="str">
        <f t="shared" si="62"/>
        <v/>
      </c>
      <c r="AJ797" s="40"/>
      <c r="AK797" s="40"/>
      <c r="AL797" s="22"/>
    </row>
    <row r="798" spans="1:38" ht="17.399999999999999">
      <c r="A798" s="22"/>
      <c r="B798" s="22"/>
      <c r="C798" s="56"/>
      <c r="D798" s="56"/>
      <c r="E798" s="22"/>
      <c r="F798" s="22"/>
      <c r="G798" s="22"/>
      <c r="H798" s="22"/>
      <c r="I798" s="49"/>
      <c r="J798" s="50"/>
      <c r="K798" s="22"/>
      <c r="L798" s="22"/>
      <c r="M798" s="22"/>
      <c r="N798" s="22"/>
      <c r="O798" s="22"/>
      <c r="P798" s="46"/>
      <c r="Q798" s="40"/>
      <c r="R798" s="41"/>
      <c r="S798" s="22" t="str">
        <f t="shared" si="58"/>
        <v/>
      </c>
      <c r="T798" s="41"/>
      <c r="U798" s="44"/>
      <c r="V798" s="44"/>
      <c r="W798" s="46"/>
      <c r="X798" s="46"/>
      <c r="Y798" s="46"/>
      <c r="Z798" s="22"/>
      <c r="AA798" s="22"/>
      <c r="AB798" s="22"/>
      <c r="AC798" s="22"/>
      <c r="AD798" s="22"/>
      <c r="AE798" s="22"/>
      <c r="AF798" s="48" t="str">
        <f t="shared" si="59"/>
        <v/>
      </c>
      <c r="AG798" s="48" t="str">
        <f t="shared" si="60"/>
        <v/>
      </c>
      <c r="AH798" s="48" t="str">
        <f t="shared" si="61"/>
        <v/>
      </c>
      <c r="AI798" s="40" t="str">
        <f t="shared" si="62"/>
        <v/>
      </c>
      <c r="AJ798" s="40"/>
      <c r="AK798" s="40"/>
      <c r="AL798" s="22"/>
    </row>
    <row r="799" spans="1:38" ht="17.399999999999999">
      <c r="A799" s="22"/>
      <c r="B799" s="22"/>
      <c r="C799" s="56"/>
      <c r="D799" s="56"/>
      <c r="E799" s="22"/>
      <c r="F799" s="22"/>
      <c r="G799" s="22"/>
      <c r="H799" s="22"/>
      <c r="I799" s="49"/>
      <c r="J799" s="50"/>
      <c r="K799" s="22"/>
      <c r="L799" s="22"/>
      <c r="M799" s="22"/>
      <c r="N799" s="22"/>
      <c r="O799" s="22"/>
      <c r="P799" s="46"/>
      <c r="Q799" s="40"/>
      <c r="R799" s="41"/>
      <c r="S799" s="22" t="str">
        <f t="shared" si="58"/>
        <v/>
      </c>
      <c r="T799" s="41"/>
      <c r="U799" s="44"/>
      <c r="V799" s="44"/>
      <c r="W799" s="46"/>
      <c r="X799" s="46"/>
      <c r="Y799" s="46"/>
      <c r="Z799" s="22"/>
      <c r="AA799" s="22"/>
      <c r="AB799" s="22"/>
      <c r="AC799" s="22"/>
      <c r="AD799" s="22"/>
      <c r="AE799" s="22"/>
      <c r="AF799" s="48" t="str">
        <f t="shared" si="59"/>
        <v/>
      </c>
      <c r="AG799" s="48" t="str">
        <f t="shared" si="60"/>
        <v/>
      </c>
      <c r="AH799" s="48" t="str">
        <f t="shared" si="61"/>
        <v/>
      </c>
      <c r="AI799" s="40" t="str">
        <f t="shared" si="62"/>
        <v/>
      </c>
      <c r="AJ799" s="40"/>
      <c r="AK799" s="40"/>
      <c r="AL799" s="22"/>
    </row>
    <row r="800" spans="1:38" ht="17.399999999999999">
      <c r="A800" s="22"/>
      <c r="B800" s="22"/>
      <c r="C800" s="56"/>
      <c r="D800" s="56"/>
      <c r="E800" s="22"/>
      <c r="F800" s="22"/>
      <c r="G800" s="22"/>
      <c r="H800" s="22"/>
      <c r="I800" s="49"/>
      <c r="J800" s="50"/>
      <c r="K800" s="22"/>
      <c r="L800" s="22"/>
      <c r="M800" s="22"/>
      <c r="N800" s="22"/>
      <c r="O800" s="22"/>
      <c r="P800" s="46"/>
      <c r="Q800" s="40"/>
      <c r="R800" s="41"/>
      <c r="S800" s="22" t="str">
        <f t="shared" si="58"/>
        <v/>
      </c>
      <c r="T800" s="41"/>
      <c r="U800" s="44"/>
      <c r="V800" s="44"/>
      <c r="W800" s="46"/>
      <c r="X800" s="46"/>
      <c r="Y800" s="46"/>
      <c r="Z800" s="22"/>
      <c r="AA800" s="22"/>
      <c r="AB800" s="22"/>
      <c r="AC800" s="22"/>
      <c r="AD800" s="22"/>
      <c r="AE800" s="22"/>
      <c r="AF800" s="48" t="str">
        <f t="shared" si="59"/>
        <v/>
      </c>
      <c r="AG800" s="48" t="str">
        <f t="shared" si="60"/>
        <v/>
      </c>
      <c r="AH800" s="48" t="str">
        <f t="shared" si="61"/>
        <v/>
      </c>
      <c r="AI800" s="40" t="str">
        <f t="shared" si="62"/>
        <v/>
      </c>
      <c r="AJ800" s="40"/>
      <c r="AK800" s="40"/>
      <c r="AL800" s="22"/>
    </row>
    <row r="801" spans="1:38" ht="17.399999999999999">
      <c r="A801" s="22"/>
      <c r="B801" s="22"/>
      <c r="C801" s="56"/>
      <c r="D801" s="56"/>
      <c r="E801" s="22"/>
      <c r="F801" s="22"/>
      <c r="G801" s="22"/>
      <c r="H801" s="22"/>
      <c r="I801" s="49"/>
      <c r="J801" s="50"/>
      <c r="K801" s="22"/>
      <c r="L801" s="22"/>
      <c r="M801" s="22"/>
      <c r="N801" s="22"/>
      <c r="O801" s="22"/>
      <c r="P801" s="46"/>
      <c r="Q801" s="40"/>
      <c r="R801" s="41"/>
      <c r="S801" s="22" t="str">
        <f t="shared" si="58"/>
        <v/>
      </c>
      <c r="T801" s="41"/>
      <c r="U801" s="44"/>
      <c r="V801" s="44"/>
      <c r="W801" s="46"/>
      <c r="X801" s="46"/>
      <c r="Y801" s="46"/>
      <c r="Z801" s="22"/>
      <c r="AA801" s="22"/>
      <c r="AB801" s="22"/>
      <c r="AC801" s="22"/>
      <c r="AD801" s="22"/>
      <c r="AE801" s="22"/>
      <c r="AF801" s="48" t="str">
        <f t="shared" si="59"/>
        <v/>
      </c>
      <c r="AG801" s="48" t="str">
        <f t="shared" si="60"/>
        <v/>
      </c>
      <c r="AH801" s="48" t="str">
        <f t="shared" si="61"/>
        <v/>
      </c>
      <c r="AI801" s="40" t="str">
        <f t="shared" si="62"/>
        <v/>
      </c>
      <c r="AJ801" s="40"/>
      <c r="AK801" s="40"/>
      <c r="AL801" s="22"/>
    </row>
    <row r="802" spans="1:38" ht="17.399999999999999">
      <c r="A802" s="22"/>
      <c r="B802" s="22"/>
      <c r="C802" s="56"/>
      <c r="D802" s="56"/>
      <c r="E802" s="22"/>
      <c r="F802" s="22"/>
      <c r="G802" s="22"/>
      <c r="H802" s="22"/>
      <c r="I802" s="49"/>
      <c r="J802" s="50"/>
      <c r="K802" s="22"/>
      <c r="L802" s="22"/>
      <c r="M802" s="22"/>
      <c r="N802" s="22"/>
      <c r="O802" s="22"/>
      <c r="P802" s="46"/>
      <c r="Q802" s="40"/>
      <c r="R802" s="41"/>
      <c r="S802" s="22" t="str">
        <f t="shared" si="58"/>
        <v/>
      </c>
      <c r="T802" s="41"/>
      <c r="U802" s="44"/>
      <c r="V802" s="44"/>
      <c r="W802" s="46"/>
      <c r="X802" s="46"/>
      <c r="Y802" s="46"/>
      <c r="Z802" s="22"/>
      <c r="AA802" s="22"/>
      <c r="AB802" s="22"/>
      <c r="AC802" s="22"/>
      <c r="AD802" s="22"/>
      <c r="AE802" s="22"/>
      <c r="AF802" s="48" t="str">
        <f t="shared" si="59"/>
        <v/>
      </c>
      <c r="AG802" s="48" t="str">
        <f t="shared" si="60"/>
        <v/>
      </c>
      <c r="AH802" s="48" t="str">
        <f t="shared" si="61"/>
        <v/>
      </c>
      <c r="AI802" s="40" t="str">
        <f t="shared" si="62"/>
        <v/>
      </c>
      <c r="AJ802" s="40"/>
      <c r="AK802" s="40"/>
      <c r="AL802" s="22"/>
    </row>
    <row r="803" spans="1:38" ht="17.399999999999999">
      <c r="A803" s="22"/>
      <c r="B803" s="22"/>
      <c r="C803" s="56"/>
      <c r="D803" s="56"/>
      <c r="E803" s="22"/>
      <c r="F803" s="22"/>
      <c r="G803" s="22"/>
      <c r="H803" s="22"/>
      <c r="I803" s="49"/>
      <c r="J803" s="50"/>
      <c r="K803" s="22"/>
      <c r="L803" s="22"/>
      <c r="M803" s="22"/>
      <c r="N803" s="22"/>
      <c r="O803" s="22"/>
      <c r="P803" s="46"/>
      <c r="Q803" s="40"/>
      <c r="R803" s="41"/>
      <c r="S803" s="22" t="str">
        <f t="shared" si="58"/>
        <v/>
      </c>
      <c r="T803" s="41"/>
      <c r="U803" s="44"/>
      <c r="V803" s="44"/>
      <c r="W803" s="46"/>
      <c r="X803" s="46"/>
      <c r="Y803" s="46"/>
      <c r="Z803" s="22"/>
      <c r="AA803" s="22"/>
      <c r="AB803" s="22"/>
      <c r="AC803" s="22"/>
      <c r="AD803" s="22"/>
      <c r="AE803" s="22"/>
      <c r="AF803" s="48" t="str">
        <f t="shared" si="59"/>
        <v/>
      </c>
      <c r="AG803" s="48" t="str">
        <f t="shared" si="60"/>
        <v/>
      </c>
      <c r="AH803" s="48" t="str">
        <f t="shared" si="61"/>
        <v/>
      </c>
      <c r="AI803" s="40" t="str">
        <f t="shared" si="62"/>
        <v/>
      </c>
      <c r="AJ803" s="40"/>
      <c r="AK803" s="40"/>
      <c r="AL803" s="22"/>
    </row>
    <row r="804" spans="1:38" ht="17.399999999999999">
      <c r="A804" s="22"/>
      <c r="B804" s="22"/>
      <c r="C804" s="56"/>
      <c r="D804" s="56"/>
      <c r="E804" s="22"/>
      <c r="F804" s="22"/>
      <c r="G804" s="22"/>
      <c r="H804" s="22"/>
      <c r="I804" s="49"/>
      <c r="J804" s="50"/>
      <c r="K804" s="22"/>
      <c r="L804" s="22"/>
      <c r="M804" s="22"/>
      <c r="N804" s="22"/>
      <c r="O804" s="22"/>
      <c r="P804" s="46"/>
      <c r="Q804" s="40"/>
      <c r="R804" s="41"/>
      <c r="S804" s="22" t="str">
        <f t="shared" si="58"/>
        <v/>
      </c>
      <c r="T804" s="41"/>
      <c r="U804" s="44"/>
      <c r="V804" s="44"/>
      <c r="W804" s="46"/>
      <c r="X804" s="46"/>
      <c r="Y804" s="46"/>
      <c r="Z804" s="22"/>
      <c r="AA804" s="22"/>
      <c r="AB804" s="22"/>
      <c r="AC804" s="22"/>
      <c r="AD804" s="22"/>
      <c r="AE804" s="22"/>
      <c r="AF804" s="48" t="str">
        <f t="shared" si="59"/>
        <v/>
      </c>
      <c r="AG804" s="48" t="str">
        <f t="shared" si="60"/>
        <v/>
      </c>
      <c r="AH804" s="48" t="str">
        <f t="shared" si="61"/>
        <v/>
      </c>
      <c r="AI804" s="40" t="str">
        <f t="shared" si="62"/>
        <v/>
      </c>
      <c r="AJ804" s="40"/>
      <c r="AK804" s="40"/>
      <c r="AL804" s="22"/>
    </row>
    <row r="805" spans="1:38" ht="17.399999999999999">
      <c r="A805" s="22"/>
      <c r="B805" s="22"/>
      <c r="C805" s="56"/>
      <c r="D805" s="56"/>
      <c r="E805" s="22"/>
      <c r="F805" s="22"/>
      <c r="G805" s="22"/>
      <c r="H805" s="22"/>
      <c r="I805" s="49"/>
      <c r="J805" s="50"/>
      <c r="K805" s="22"/>
      <c r="L805" s="22"/>
      <c r="M805" s="22"/>
      <c r="N805" s="22"/>
      <c r="O805" s="22"/>
      <c r="P805" s="46"/>
      <c r="Q805" s="40"/>
      <c r="R805" s="41"/>
      <c r="S805" s="22" t="str">
        <f t="shared" si="58"/>
        <v/>
      </c>
      <c r="T805" s="41"/>
      <c r="U805" s="44"/>
      <c r="V805" s="44"/>
      <c r="W805" s="46"/>
      <c r="X805" s="46"/>
      <c r="Y805" s="46"/>
      <c r="Z805" s="22"/>
      <c r="AA805" s="22"/>
      <c r="AB805" s="22"/>
      <c r="AC805" s="22"/>
      <c r="AD805" s="22"/>
      <c r="AE805" s="22"/>
      <c r="AF805" s="48" t="str">
        <f t="shared" si="59"/>
        <v/>
      </c>
      <c r="AG805" s="48" t="str">
        <f t="shared" si="60"/>
        <v/>
      </c>
      <c r="AH805" s="48" t="str">
        <f t="shared" si="61"/>
        <v/>
      </c>
      <c r="AI805" s="40" t="str">
        <f t="shared" si="62"/>
        <v/>
      </c>
      <c r="AJ805" s="40"/>
      <c r="AK805" s="40"/>
      <c r="AL805" s="22"/>
    </row>
    <row r="806" spans="1:38" ht="17.399999999999999">
      <c r="A806" s="22"/>
      <c r="B806" s="22"/>
      <c r="C806" s="56"/>
      <c r="D806" s="56"/>
      <c r="E806" s="22"/>
      <c r="F806" s="22"/>
      <c r="G806" s="22"/>
      <c r="H806" s="22"/>
      <c r="I806" s="49"/>
      <c r="J806" s="50"/>
      <c r="K806" s="22"/>
      <c r="L806" s="22"/>
      <c r="M806" s="22"/>
      <c r="N806" s="22"/>
      <c r="O806" s="22"/>
      <c r="P806" s="46"/>
      <c r="Q806" s="40"/>
      <c r="R806" s="41"/>
      <c r="S806" s="22" t="str">
        <f t="shared" si="58"/>
        <v/>
      </c>
      <c r="T806" s="41"/>
      <c r="U806" s="44"/>
      <c r="V806" s="44"/>
      <c r="W806" s="46"/>
      <c r="X806" s="46"/>
      <c r="Y806" s="46"/>
      <c r="Z806" s="22"/>
      <c r="AA806" s="22"/>
      <c r="AB806" s="22"/>
      <c r="AC806" s="22"/>
      <c r="AD806" s="22"/>
      <c r="AE806" s="22"/>
      <c r="AF806" s="48" t="str">
        <f t="shared" si="59"/>
        <v/>
      </c>
      <c r="AG806" s="48" t="str">
        <f t="shared" si="60"/>
        <v/>
      </c>
      <c r="AH806" s="48" t="str">
        <f t="shared" si="61"/>
        <v/>
      </c>
      <c r="AI806" s="40" t="str">
        <f t="shared" si="62"/>
        <v/>
      </c>
      <c r="AJ806" s="40"/>
      <c r="AK806" s="40"/>
      <c r="AL806" s="22"/>
    </row>
    <row r="807" spans="1:38" ht="17.399999999999999">
      <c r="A807" s="22"/>
      <c r="B807" s="22"/>
      <c r="C807" s="56"/>
      <c r="D807" s="56"/>
      <c r="E807" s="22"/>
      <c r="F807" s="22"/>
      <c r="G807" s="22"/>
      <c r="H807" s="22"/>
      <c r="I807" s="49"/>
      <c r="J807" s="50"/>
      <c r="K807" s="22"/>
      <c r="L807" s="22"/>
      <c r="M807" s="22"/>
      <c r="N807" s="22"/>
      <c r="O807" s="22"/>
      <c r="P807" s="46"/>
      <c r="Q807" s="40"/>
      <c r="R807" s="41"/>
      <c r="S807" s="22" t="str">
        <f t="shared" si="58"/>
        <v/>
      </c>
      <c r="T807" s="41"/>
      <c r="U807" s="44"/>
      <c r="V807" s="44"/>
      <c r="W807" s="46"/>
      <c r="X807" s="46"/>
      <c r="Y807" s="46"/>
      <c r="Z807" s="22"/>
      <c r="AA807" s="22"/>
      <c r="AB807" s="22"/>
      <c r="AC807" s="22"/>
      <c r="AD807" s="22"/>
      <c r="AE807" s="22"/>
      <c r="AF807" s="48" t="str">
        <f t="shared" si="59"/>
        <v/>
      </c>
      <c r="AG807" s="48" t="str">
        <f t="shared" si="60"/>
        <v/>
      </c>
      <c r="AH807" s="48" t="str">
        <f t="shared" si="61"/>
        <v/>
      </c>
      <c r="AI807" s="40" t="str">
        <f t="shared" si="62"/>
        <v/>
      </c>
      <c r="AJ807" s="40"/>
      <c r="AK807" s="40"/>
      <c r="AL807" s="22"/>
    </row>
    <row r="808" spans="1:38" ht="17.399999999999999">
      <c r="A808" s="22"/>
      <c r="B808" s="22"/>
      <c r="C808" s="56"/>
      <c r="D808" s="56"/>
      <c r="E808" s="22"/>
      <c r="F808" s="22"/>
      <c r="G808" s="22"/>
      <c r="H808" s="22"/>
      <c r="I808" s="49"/>
      <c r="J808" s="50"/>
      <c r="K808" s="22"/>
      <c r="L808" s="22"/>
      <c r="M808" s="22"/>
      <c r="N808" s="22"/>
      <c r="O808" s="22"/>
      <c r="P808" s="46"/>
      <c r="Q808" s="40"/>
      <c r="R808" s="41"/>
      <c r="S808" s="22" t="str">
        <f t="shared" si="58"/>
        <v/>
      </c>
      <c r="T808" s="41"/>
      <c r="U808" s="44"/>
      <c r="V808" s="44"/>
      <c r="W808" s="46"/>
      <c r="X808" s="46"/>
      <c r="Y808" s="46"/>
      <c r="Z808" s="22"/>
      <c r="AA808" s="22"/>
      <c r="AB808" s="22"/>
      <c r="AC808" s="22"/>
      <c r="AD808" s="22"/>
      <c r="AE808" s="22"/>
      <c r="AF808" s="48" t="str">
        <f t="shared" si="59"/>
        <v/>
      </c>
      <c r="AG808" s="48" t="str">
        <f t="shared" si="60"/>
        <v/>
      </c>
      <c r="AH808" s="48" t="str">
        <f t="shared" si="61"/>
        <v/>
      </c>
      <c r="AI808" s="40" t="str">
        <f t="shared" si="62"/>
        <v/>
      </c>
      <c r="AJ808" s="40"/>
      <c r="AK808" s="40"/>
      <c r="AL808" s="22"/>
    </row>
    <row r="809" spans="1:38" ht="17.399999999999999">
      <c r="A809" s="22"/>
      <c r="B809" s="22"/>
      <c r="C809" s="56"/>
      <c r="D809" s="56"/>
      <c r="E809" s="22"/>
      <c r="F809" s="22"/>
      <c r="G809" s="22"/>
      <c r="H809" s="22"/>
      <c r="I809" s="49"/>
      <c r="J809" s="50"/>
      <c r="K809" s="22"/>
      <c r="L809" s="22"/>
      <c r="M809" s="22"/>
      <c r="N809" s="22"/>
      <c r="O809" s="22"/>
      <c r="P809" s="46"/>
      <c r="Q809" s="40"/>
      <c r="R809" s="41"/>
      <c r="S809" s="22" t="str">
        <f t="shared" si="58"/>
        <v/>
      </c>
      <c r="T809" s="41"/>
      <c r="U809" s="44"/>
      <c r="V809" s="44"/>
      <c r="W809" s="46"/>
      <c r="X809" s="46"/>
      <c r="Y809" s="46"/>
      <c r="Z809" s="22"/>
      <c r="AA809" s="22"/>
      <c r="AB809" s="22"/>
      <c r="AC809" s="22"/>
      <c r="AD809" s="22"/>
      <c r="AE809" s="22"/>
      <c r="AF809" s="48" t="str">
        <f t="shared" si="59"/>
        <v/>
      </c>
      <c r="AG809" s="48" t="str">
        <f t="shared" si="60"/>
        <v/>
      </c>
      <c r="AH809" s="48" t="str">
        <f t="shared" si="61"/>
        <v/>
      </c>
      <c r="AI809" s="40" t="str">
        <f t="shared" si="62"/>
        <v/>
      </c>
      <c r="AJ809" s="40"/>
      <c r="AK809" s="40"/>
      <c r="AL809" s="22"/>
    </row>
    <row r="810" spans="1:38" ht="17.399999999999999">
      <c r="A810" s="22"/>
      <c r="B810" s="22"/>
      <c r="C810" s="56"/>
      <c r="D810" s="56"/>
      <c r="E810" s="22"/>
      <c r="F810" s="22"/>
      <c r="G810" s="22"/>
      <c r="H810" s="22"/>
      <c r="I810" s="49"/>
      <c r="J810" s="50"/>
      <c r="K810" s="22"/>
      <c r="L810" s="22"/>
      <c r="M810" s="22"/>
      <c r="N810" s="22"/>
      <c r="O810" s="22"/>
      <c r="P810" s="46"/>
      <c r="Q810" s="40"/>
      <c r="R810" s="41"/>
      <c r="S810" s="22" t="str">
        <f t="shared" si="58"/>
        <v/>
      </c>
      <c r="T810" s="41"/>
      <c r="U810" s="44"/>
      <c r="V810" s="44"/>
      <c r="W810" s="46"/>
      <c r="X810" s="46"/>
      <c r="Y810" s="46"/>
      <c r="Z810" s="22"/>
      <c r="AA810" s="22"/>
      <c r="AB810" s="22"/>
      <c r="AC810" s="22"/>
      <c r="AD810" s="22"/>
      <c r="AE810" s="22"/>
      <c r="AF810" s="48" t="str">
        <f t="shared" si="59"/>
        <v/>
      </c>
      <c r="AG810" s="48" t="str">
        <f t="shared" si="60"/>
        <v/>
      </c>
      <c r="AH810" s="48" t="str">
        <f t="shared" si="61"/>
        <v/>
      </c>
      <c r="AI810" s="40" t="str">
        <f t="shared" si="62"/>
        <v/>
      </c>
      <c r="AJ810" s="40"/>
      <c r="AK810" s="40"/>
      <c r="AL810" s="22"/>
    </row>
    <row r="811" spans="1:38" ht="17.399999999999999">
      <c r="A811" s="22"/>
      <c r="B811" s="22"/>
      <c r="C811" s="56"/>
      <c r="D811" s="56"/>
      <c r="E811" s="22"/>
      <c r="F811" s="22"/>
      <c r="G811" s="22"/>
      <c r="H811" s="22"/>
      <c r="I811" s="49"/>
      <c r="J811" s="50"/>
      <c r="K811" s="22"/>
      <c r="L811" s="22"/>
      <c r="M811" s="22"/>
      <c r="N811" s="22"/>
      <c r="O811" s="22"/>
      <c r="P811" s="46"/>
      <c r="Q811" s="40"/>
      <c r="R811" s="41"/>
      <c r="S811" s="22" t="str">
        <f t="shared" si="58"/>
        <v/>
      </c>
      <c r="T811" s="41"/>
      <c r="U811" s="44"/>
      <c r="V811" s="44"/>
      <c r="W811" s="46"/>
      <c r="X811" s="46"/>
      <c r="Y811" s="46"/>
      <c r="Z811" s="22"/>
      <c r="AA811" s="22"/>
      <c r="AB811" s="22"/>
      <c r="AC811" s="22"/>
      <c r="AD811" s="22"/>
      <c r="AE811" s="22"/>
      <c r="AF811" s="48" t="str">
        <f t="shared" si="59"/>
        <v/>
      </c>
      <c r="AG811" s="48" t="str">
        <f t="shared" si="60"/>
        <v/>
      </c>
      <c r="AH811" s="48" t="str">
        <f t="shared" si="61"/>
        <v/>
      </c>
      <c r="AI811" s="40" t="str">
        <f t="shared" si="62"/>
        <v/>
      </c>
      <c r="AJ811" s="40"/>
      <c r="AK811" s="40"/>
      <c r="AL811" s="22"/>
    </row>
    <row r="812" spans="1:38" ht="17.399999999999999">
      <c r="A812" s="22"/>
      <c r="B812" s="22"/>
      <c r="C812" s="56"/>
      <c r="D812" s="56"/>
      <c r="E812" s="22"/>
      <c r="F812" s="22"/>
      <c r="G812" s="22"/>
      <c r="H812" s="22"/>
      <c r="I812" s="49"/>
      <c r="J812" s="50"/>
      <c r="K812" s="22"/>
      <c r="L812" s="22"/>
      <c r="M812" s="22"/>
      <c r="N812" s="22"/>
      <c r="O812" s="22"/>
      <c r="P812" s="46"/>
      <c r="Q812" s="40"/>
      <c r="R812" s="41"/>
      <c r="S812" s="22" t="str">
        <f t="shared" si="58"/>
        <v/>
      </c>
      <c r="T812" s="41"/>
      <c r="U812" s="44"/>
      <c r="V812" s="44"/>
      <c r="W812" s="46"/>
      <c r="X812" s="46"/>
      <c r="Y812" s="46"/>
      <c r="Z812" s="22"/>
      <c r="AA812" s="22"/>
      <c r="AB812" s="22"/>
      <c r="AC812" s="22"/>
      <c r="AD812" s="22"/>
      <c r="AE812" s="22"/>
      <c r="AF812" s="48" t="str">
        <f t="shared" si="59"/>
        <v/>
      </c>
      <c r="AG812" s="48" t="str">
        <f t="shared" si="60"/>
        <v/>
      </c>
      <c r="AH812" s="48" t="str">
        <f t="shared" si="61"/>
        <v/>
      </c>
      <c r="AI812" s="40" t="str">
        <f t="shared" si="62"/>
        <v/>
      </c>
      <c r="AJ812" s="40"/>
      <c r="AK812" s="40"/>
      <c r="AL812" s="22"/>
    </row>
    <row r="813" spans="1:38" ht="17.399999999999999">
      <c r="A813" s="22"/>
      <c r="B813" s="22"/>
      <c r="C813" s="56"/>
      <c r="D813" s="56"/>
      <c r="E813" s="22"/>
      <c r="F813" s="22"/>
      <c r="G813" s="22"/>
      <c r="H813" s="22"/>
      <c r="I813" s="49"/>
      <c r="J813" s="50"/>
      <c r="K813" s="22"/>
      <c r="L813" s="22"/>
      <c r="M813" s="22"/>
      <c r="N813" s="22"/>
      <c r="O813" s="22"/>
      <c r="P813" s="46"/>
      <c r="Q813" s="40"/>
      <c r="R813" s="41"/>
      <c r="S813" s="22" t="str">
        <f t="shared" si="58"/>
        <v/>
      </c>
      <c r="T813" s="41"/>
      <c r="U813" s="44"/>
      <c r="V813" s="44"/>
      <c r="W813" s="46"/>
      <c r="X813" s="46"/>
      <c r="Y813" s="46"/>
      <c r="Z813" s="22"/>
      <c r="AA813" s="22"/>
      <c r="AB813" s="22"/>
      <c r="AC813" s="22"/>
      <c r="AD813" s="22"/>
      <c r="AE813" s="22"/>
      <c r="AF813" s="48" t="str">
        <f t="shared" si="59"/>
        <v/>
      </c>
      <c r="AG813" s="48" t="str">
        <f t="shared" si="60"/>
        <v/>
      </c>
      <c r="AH813" s="48" t="str">
        <f t="shared" si="61"/>
        <v/>
      </c>
      <c r="AI813" s="40" t="str">
        <f t="shared" si="62"/>
        <v/>
      </c>
      <c r="AJ813" s="40"/>
      <c r="AK813" s="40"/>
      <c r="AL813" s="22"/>
    </row>
    <row r="814" spans="1:38" ht="17.399999999999999">
      <c r="A814" s="22"/>
      <c r="B814" s="22"/>
      <c r="C814" s="56"/>
      <c r="D814" s="56"/>
      <c r="E814" s="22"/>
      <c r="F814" s="22"/>
      <c r="G814" s="22"/>
      <c r="H814" s="22"/>
      <c r="I814" s="49"/>
      <c r="J814" s="50"/>
      <c r="K814" s="22"/>
      <c r="L814" s="22"/>
      <c r="M814" s="22"/>
      <c r="N814" s="22"/>
      <c r="O814" s="22"/>
      <c r="P814" s="46"/>
      <c r="Q814" s="40"/>
      <c r="R814" s="41"/>
      <c r="S814" s="22" t="str">
        <f t="shared" si="58"/>
        <v/>
      </c>
      <c r="T814" s="41"/>
      <c r="U814" s="44"/>
      <c r="V814" s="44"/>
      <c r="W814" s="46"/>
      <c r="X814" s="46"/>
      <c r="Y814" s="46"/>
      <c r="Z814" s="22"/>
      <c r="AA814" s="22"/>
      <c r="AB814" s="22"/>
      <c r="AC814" s="22"/>
      <c r="AD814" s="22"/>
      <c r="AE814" s="22"/>
      <c r="AF814" s="48" t="str">
        <f t="shared" si="59"/>
        <v/>
      </c>
      <c r="AG814" s="48" t="str">
        <f t="shared" si="60"/>
        <v/>
      </c>
      <c r="AH814" s="48" t="str">
        <f t="shared" si="61"/>
        <v/>
      </c>
      <c r="AI814" s="40" t="str">
        <f t="shared" si="62"/>
        <v/>
      </c>
      <c r="AJ814" s="40"/>
      <c r="AK814" s="40"/>
      <c r="AL814" s="22"/>
    </row>
    <row r="815" spans="1:38" ht="17.399999999999999">
      <c r="A815" s="22"/>
      <c r="B815" s="22"/>
      <c r="C815" s="56"/>
      <c r="D815" s="56"/>
      <c r="E815" s="22"/>
      <c r="F815" s="22"/>
      <c r="G815" s="22"/>
      <c r="H815" s="22"/>
      <c r="I815" s="49"/>
      <c r="J815" s="50"/>
      <c r="K815" s="22"/>
      <c r="L815" s="22"/>
      <c r="M815" s="22"/>
      <c r="N815" s="22"/>
      <c r="O815" s="22"/>
      <c r="P815" s="46"/>
      <c r="Q815" s="40"/>
      <c r="R815" s="41"/>
      <c r="S815" s="22" t="str">
        <f t="shared" si="58"/>
        <v/>
      </c>
      <c r="T815" s="41"/>
      <c r="U815" s="44"/>
      <c r="V815" s="44"/>
      <c r="W815" s="46"/>
      <c r="X815" s="46"/>
      <c r="Y815" s="46"/>
      <c r="Z815" s="22"/>
      <c r="AA815" s="22"/>
      <c r="AB815" s="22"/>
      <c r="AC815" s="22"/>
      <c r="AD815" s="22"/>
      <c r="AE815" s="22"/>
      <c r="AF815" s="48" t="str">
        <f t="shared" si="59"/>
        <v/>
      </c>
      <c r="AG815" s="48" t="str">
        <f t="shared" si="60"/>
        <v/>
      </c>
      <c r="AH815" s="48" t="str">
        <f t="shared" si="61"/>
        <v/>
      </c>
      <c r="AI815" s="40" t="str">
        <f t="shared" si="62"/>
        <v/>
      </c>
      <c r="AJ815" s="40"/>
      <c r="AK815" s="40"/>
      <c r="AL815" s="22"/>
    </row>
    <row r="816" spans="1:38" ht="17.399999999999999">
      <c r="A816" s="22"/>
      <c r="B816" s="22"/>
      <c r="C816" s="56"/>
      <c r="D816" s="56"/>
      <c r="E816" s="22"/>
      <c r="F816" s="22"/>
      <c r="G816" s="22"/>
      <c r="H816" s="22"/>
      <c r="I816" s="49"/>
      <c r="J816" s="50"/>
      <c r="K816" s="22"/>
      <c r="L816" s="22"/>
      <c r="M816" s="22"/>
      <c r="N816" s="22"/>
      <c r="O816" s="22"/>
      <c r="P816" s="46"/>
      <c r="Q816" s="40"/>
      <c r="R816" s="41"/>
      <c r="S816" s="22" t="str">
        <f t="shared" si="58"/>
        <v/>
      </c>
      <c r="T816" s="41"/>
      <c r="U816" s="44"/>
      <c r="V816" s="44"/>
      <c r="W816" s="46"/>
      <c r="X816" s="46"/>
      <c r="Y816" s="46"/>
      <c r="Z816" s="22"/>
      <c r="AA816" s="22"/>
      <c r="AB816" s="22"/>
      <c r="AC816" s="22"/>
      <c r="AD816" s="22"/>
      <c r="AE816" s="22"/>
      <c r="AF816" s="48" t="str">
        <f t="shared" si="59"/>
        <v/>
      </c>
      <c r="AG816" s="48" t="str">
        <f t="shared" si="60"/>
        <v/>
      </c>
      <c r="AH816" s="48" t="str">
        <f t="shared" si="61"/>
        <v/>
      </c>
      <c r="AI816" s="40" t="str">
        <f t="shared" si="62"/>
        <v/>
      </c>
      <c r="AJ816" s="40"/>
      <c r="AK816" s="40"/>
      <c r="AL816" s="22"/>
    </row>
    <row r="817" spans="1:38" ht="17.399999999999999">
      <c r="A817" s="22"/>
      <c r="B817" s="22"/>
      <c r="C817" s="56"/>
      <c r="D817" s="56"/>
      <c r="E817" s="22"/>
      <c r="F817" s="22"/>
      <c r="G817" s="22"/>
      <c r="H817" s="22"/>
      <c r="I817" s="49"/>
      <c r="J817" s="50"/>
      <c r="K817" s="22"/>
      <c r="L817" s="22"/>
      <c r="M817" s="22"/>
      <c r="N817" s="22"/>
      <c r="O817" s="22"/>
      <c r="P817" s="46"/>
      <c r="Q817" s="40"/>
      <c r="R817" s="41"/>
      <c r="S817" s="22" t="str">
        <f t="shared" si="58"/>
        <v/>
      </c>
      <c r="T817" s="41"/>
      <c r="U817" s="44"/>
      <c r="V817" s="44"/>
      <c r="W817" s="46"/>
      <c r="X817" s="46"/>
      <c r="Y817" s="46"/>
      <c r="Z817" s="22"/>
      <c r="AA817" s="22"/>
      <c r="AB817" s="22"/>
      <c r="AC817" s="22"/>
      <c r="AD817" s="22"/>
      <c r="AE817" s="22"/>
      <c r="AF817" s="48" t="str">
        <f t="shared" si="59"/>
        <v/>
      </c>
      <c r="AG817" s="48" t="str">
        <f t="shared" si="60"/>
        <v/>
      </c>
      <c r="AH817" s="48" t="str">
        <f t="shared" si="61"/>
        <v/>
      </c>
      <c r="AI817" s="40" t="str">
        <f t="shared" si="62"/>
        <v/>
      </c>
      <c r="AJ817" s="40"/>
      <c r="AK817" s="40"/>
      <c r="AL817" s="22"/>
    </row>
    <row r="818" spans="1:38" ht="17.399999999999999">
      <c r="A818" s="22"/>
      <c r="B818" s="22"/>
      <c r="C818" s="56"/>
      <c r="D818" s="56"/>
      <c r="E818" s="22"/>
      <c r="F818" s="22"/>
      <c r="G818" s="22"/>
      <c r="H818" s="22"/>
      <c r="I818" s="49"/>
      <c r="J818" s="50"/>
      <c r="K818" s="22"/>
      <c r="L818" s="22"/>
      <c r="M818" s="22"/>
      <c r="N818" s="22"/>
      <c r="O818" s="22"/>
      <c r="P818" s="46"/>
      <c r="Q818" s="40"/>
      <c r="R818" s="41"/>
      <c r="S818" s="22" t="str">
        <f t="shared" si="58"/>
        <v/>
      </c>
      <c r="T818" s="41"/>
      <c r="U818" s="44"/>
      <c r="V818" s="44"/>
      <c r="W818" s="46"/>
      <c r="X818" s="46"/>
      <c r="Y818" s="46"/>
      <c r="Z818" s="22"/>
      <c r="AA818" s="22"/>
      <c r="AB818" s="22"/>
      <c r="AC818" s="22"/>
      <c r="AD818" s="22"/>
      <c r="AE818" s="22"/>
      <c r="AF818" s="48" t="str">
        <f t="shared" si="59"/>
        <v/>
      </c>
      <c r="AG818" s="48" t="str">
        <f t="shared" si="60"/>
        <v/>
      </c>
      <c r="AH818" s="48" t="str">
        <f t="shared" si="61"/>
        <v/>
      </c>
      <c r="AI818" s="40" t="str">
        <f t="shared" si="62"/>
        <v/>
      </c>
      <c r="AJ818" s="40"/>
      <c r="AK818" s="40"/>
      <c r="AL818" s="22"/>
    </row>
    <row r="819" spans="1:38" ht="17.399999999999999">
      <c r="A819" s="22"/>
      <c r="B819" s="22"/>
      <c r="C819" s="56"/>
      <c r="D819" s="56"/>
      <c r="E819" s="22"/>
      <c r="F819" s="22"/>
      <c r="G819" s="22"/>
      <c r="H819" s="22"/>
      <c r="I819" s="49"/>
      <c r="J819" s="50"/>
      <c r="K819" s="22"/>
      <c r="L819" s="22"/>
      <c r="M819" s="22"/>
      <c r="N819" s="22"/>
      <c r="O819" s="22"/>
      <c r="P819" s="46"/>
      <c r="Q819" s="40"/>
      <c r="R819" s="41"/>
      <c r="S819" s="22" t="str">
        <f t="shared" si="58"/>
        <v/>
      </c>
      <c r="T819" s="41"/>
      <c r="U819" s="44"/>
      <c r="V819" s="44"/>
      <c r="W819" s="46"/>
      <c r="X819" s="46"/>
      <c r="Y819" s="46"/>
      <c r="Z819" s="22"/>
      <c r="AA819" s="22"/>
      <c r="AB819" s="22"/>
      <c r="AC819" s="22"/>
      <c r="AD819" s="22"/>
      <c r="AE819" s="22"/>
      <c r="AF819" s="48" t="str">
        <f t="shared" si="59"/>
        <v/>
      </c>
      <c r="AG819" s="48" t="str">
        <f t="shared" si="60"/>
        <v/>
      </c>
      <c r="AH819" s="48" t="str">
        <f t="shared" si="61"/>
        <v/>
      </c>
      <c r="AI819" s="40" t="str">
        <f t="shared" si="62"/>
        <v/>
      </c>
      <c r="AJ819" s="40"/>
      <c r="AK819" s="40"/>
      <c r="AL819" s="22"/>
    </row>
    <row r="820" spans="1:38" ht="17.399999999999999">
      <c r="A820" s="22"/>
      <c r="B820" s="22"/>
      <c r="C820" s="56"/>
      <c r="D820" s="56"/>
      <c r="E820" s="22"/>
      <c r="F820" s="22"/>
      <c r="G820" s="22"/>
      <c r="H820" s="22"/>
      <c r="I820" s="49"/>
      <c r="J820" s="50"/>
      <c r="K820" s="22"/>
      <c r="L820" s="22"/>
      <c r="M820" s="22"/>
      <c r="N820" s="22"/>
      <c r="O820" s="22"/>
      <c r="P820" s="46"/>
      <c r="Q820" s="40"/>
      <c r="R820" s="41"/>
      <c r="S820" s="22" t="str">
        <f t="shared" si="58"/>
        <v/>
      </c>
      <c r="T820" s="41"/>
      <c r="U820" s="44"/>
      <c r="V820" s="44"/>
      <c r="W820" s="46"/>
      <c r="X820" s="46"/>
      <c r="Y820" s="46"/>
      <c r="Z820" s="22"/>
      <c r="AA820" s="22"/>
      <c r="AB820" s="22"/>
      <c r="AC820" s="22"/>
      <c r="AD820" s="22"/>
      <c r="AE820" s="22"/>
      <c r="AF820" s="48" t="str">
        <f t="shared" si="59"/>
        <v/>
      </c>
      <c r="AG820" s="48" t="str">
        <f t="shared" si="60"/>
        <v/>
      </c>
      <c r="AH820" s="48" t="str">
        <f t="shared" si="61"/>
        <v/>
      </c>
      <c r="AI820" s="40" t="str">
        <f t="shared" si="62"/>
        <v/>
      </c>
      <c r="AJ820" s="40"/>
      <c r="AK820" s="40"/>
      <c r="AL820" s="22"/>
    </row>
    <row r="821" spans="1:38" ht="17.399999999999999">
      <c r="A821" s="22"/>
      <c r="B821" s="22"/>
      <c r="C821" s="56"/>
      <c r="D821" s="56"/>
      <c r="E821" s="22"/>
      <c r="F821" s="22"/>
      <c r="G821" s="22"/>
      <c r="H821" s="22"/>
      <c r="I821" s="49"/>
      <c r="J821" s="50"/>
      <c r="K821" s="22"/>
      <c r="L821" s="22"/>
      <c r="M821" s="22"/>
      <c r="N821" s="22"/>
      <c r="O821" s="22"/>
      <c r="P821" s="46"/>
      <c r="Q821" s="40"/>
      <c r="R821" s="41"/>
      <c r="S821" s="22" t="str">
        <f t="shared" si="58"/>
        <v/>
      </c>
      <c r="T821" s="41"/>
      <c r="U821" s="44"/>
      <c r="V821" s="44"/>
      <c r="W821" s="46"/>
      <c r="X821" s="46"/>
      <c r="Y821" s="46"/>
      <c r="Z821" s="22"/>
      <c r="AA821" s="22"/>
      <c r="AB821" s="22"/>
      <c r="AC821" s="22"/>
      <c r="AD821" s="22"/>
      <c r="AE821" s="22"/>
      <c r="AF821" s="48" t="str">
        <f t="shared" si="59"/>
        <v/>
      </c>
      <c r="AG821" s="48" t="str">
        <f t="shared" si="60"/>
        <v/>
      </c>
      <c r="AH821" s="48" t="str">
        <f t="shared" si="61"/>
        <v/>
      </c>
      <c r="AI821" s="40" t="str">
        <f t="shared" si="62"/>
        <v/>
      </c>
      <c r="AJ821" s="40"/>
      <c r="AK821" s="40"/>
      <c r="AL821" s="22"/>
    </row>
    <row r="822" spans="1:38" ht="17.399999999999999">
      <c r="A822" s="22"/>
      <c r="B822" s="22"/>
      <c r="C822" s="56"/>
      <c r="D822" s="56"/>
      <c r="E822" s="22"/>
      <c r="F822" s="22"/>
      <c r="G822" s="22"/>
      <c r="H822" s="22"/>
      <c r="I822" s="49"/>
      <c r="J822" s="50"/>
      <c r="K822" s="22"/>
      <c r="L822" s="22"/>
      <c r="M822" s="22"/>
      <c r="N822" s="22"/>
      <c r="O822" s="22"/>
      <c r="P822" s="46"/>
      <c r="Q822" s="40"/>
      <c r="R822" s="41"/>
      <c r="S822" s="22" t="str">
        <f t="shared" si="58"/>
        <v/>
      </c>
      <c r="T822" s="41"/>
      <c r="U822" s="44"/>
      <c r="V822" s="44"/>
      <c r="W822" s="46"/>
      <c r="X822" s="46"/>
      <c r="Y822" s="46"/>
      <c r="Z822" s="22"/>
      <c r="AA822" s="22"/>
      <c r="AB822" s="22"/>
      <c r="AC822" s="22"/>
      <c r="AD822" s="22"/>
      <c r="AE822" s="22"/>
      <c r="AF822" s="48" t="str">
        <f t="shared" si="59"/>
        <v/>
      </c>
      <c r="AG822" s="48" t="str">
        <f t="shared" si="60"/>
        <v/>
      </c>
      <c r="AH822" s="48" t="str">
        <f t="shared" si="61"/>
        <v/>
      </c>
      <c r="AI822" s="40" t="str">
        <f t="shared" si="62"/>
        <v/>
      </c>
      <c r="AJ822" s="40"/>
      <c r="AK822" s="40"/>
      <c r="AL822" s="22"/>
    </row>
    <row r="823" spans="1:38" ht="17.399999999999999">
      <c r="A823" s="22"/>
      <c r="B823" s="22"/>
      <c r="C823" s="56"/>
      <c r="D823" s="56"/>
      <c r="E823" s="22"/>
      <c r="F823" s="22"/>
      <c r="G823" s="22"/>
      <c r="H823" s="22"/>
      <c r="I823" s="49"/>
      <c r="J823" s="50"/>
      <c r="K823" s="22"/>
      <c r="L823" s="22"/>
      <c r="M823" s="22"/>
      <c r="N823" s="22"/>
      <c r="O823" s="22"/>
      <c r="P823" s="46"/>
      <c r="Q823" s="40"/>
      <c r="R823" s="41"/>
      <c r="S823" s="22" t="str">
        <f t="shared" si="58"/>
        <v/>
      </c>
      <c r="T823" s="41"/>
      <c r="U823" s="44"/>
      <c r="V823" s="44"/>
      <c r="W823" s="46"/>
      <c r="X823" s="46"/>
      <c r="Y823" s="46"/>
      <c r="Z823" s="22"/>
      <c r="AA823" s="22"/>
      <c r="AB823" s="22"/>
      <c r="AC823" s="22"/>
      <c r="AD823" s="22"/>
      <c r="AE823" s="22"/>
      <c r="AF823" s="48" t="str">
        <f t="shared" si="59"/>
        <v/>
      </c>
      <c r="AG823" s="48" t="str">
        <f t="shared" si="60"/>
        <v/>
      </c>
      <c r="AH823" s="48" t="str">
        <f t="shared" si="61"/>
        <v/>
      </c>
      <c r="AI823" s="40" t="str">
        <f t="shared" si="62"/>
        <v/>
      </c>
      <c r="AJ823" s="40"/>
      <c r="AK823" s="40"/>
      <c r="AL823" s="22"/>
    </row>
    <row r="824" spans="1:38" ht="17.399999999999999">
      <c r="A824" s="22"/>
      <c r="B824" s="22"/>
      <c r="C824" s="56"/>
      <c r="D824" s="56"/>
      <c r="E824" s="22"/>
      <c r="F824" s="22"/>
      <c r="G824" s="22"/>
      <c r="H824" s="22"/>
      <c r="I824" s="49"/>
      <c r="J824" s="50"/>
      <c r="K824" s="22"/>
      <c r="L824" s="22"/>
      <c r="M824" s="22"/>
      <c r="N824" s="22"/>
      <c r="O824" s="22"/>
      <c r="P824" s="46"/>
      <c r="Q824" s="40"/>
      <c r="R824" s="41"/>
      <c r="S824" s="22" t="str">
        <f t="shared" si="58"/>
        <v/>
      </c>
      <c r="T824" s="41"/>
      <c r="U824" s="44"/>
      <c r="V824" s="44"/>
      <c r="W824" s="46"/>
      <c r="X824" s="46"/>
      <c r="Y824" s="46"/>
      <c r="Z824" s="22"/>
      <c r="AA824" s="22"/>
      <c r="AB824" s="22"/>
      <c r="AC824" s="22"/>
      <c r="AD824" s="22"/>
      <c r="AE824" s="22"/>
      <c r="AF824" s="48" t="str">
        <f t="shared" si="59"/>
        <v/>
      </c>
      <c r="AG824" s="48" t="str">
        <f t="shared" si="60"/>
        <v/>
      </c>
      <c r="AH824" s="48" t="str">
        <f t="shared" si="61"/>
        <v/>
      </c>
      <c r="AI824" s="40" t="str">
        <f t="shared" si="62"/>
        <v/>
      </c>
      <c r="AJ824" s="40"/>
      <c r="AK824" s="40"/>
      <c r="AL824" s="22"/>
    </row>
    <row r="825" spans="1:38" ht="17.399999999999999">
      <c r="A825" s="22"/>
      <c r="B825" s="22"/>
      <c r="C825" s="56"/>
      <c r="D825" s="56"/>
      <c r="E825" s="22"/>
      <c r="F825" s="22"/>
      <c r="G825" s="22"/>
      <c r="H825" s="22"/>
      <c r="I825" s="49"/>
      <c r="J825" s="50"/>
      <c r="K825" s="22"/>
      <c r="L825" s="22"/>
      <c r="M825" s="22"/>
      <c r="N825" s="22"/>
      <c r="O825" s="22"/>
      <c r="P825" s="46"/>
      <c r="Q825" s="40"/>
      <c r="R825" s="41"/>
      <c r="S825" s="22" t="str">
        <f t="shared" si="58"/>
        <v/>
      </c>
      <c r="T825" s="41"/>
      <c r="U825" s="44"/>
      <c r="V825" s="44"/>
      <c r="W825" s="46"/>
      <c r="X825" s="46"/>
      <c r="Y825" s="46"/>
      <c r="Z825" s="22"/>
      <c r="AA825" s="22"/>
      <c r="AB825" s="22"/>
      <c r="AC825" s="22"/>
      <c r="AD825" s="22"/>
      <c r="AE825" s="22"/>
      <c r="AF825" s="48" t="str">
        <f t="shared" si="59"/>
        <v/>
      </c>
      <c r="AG825" s="48" t="str">
        <f t="shared" si="60"/>
        <v/>
      </c>
      <c r="AH825" s="48" t="str">
        <f t="shared" si="61"/>
        <v/>
      </c>
      <c r="AI825" s="40" t="str">
        <f t="shared" si="62"/>
        <v/>
      </c>
      <c r="AJ825" s="40"/>
      <c r="AK825" s="40"/>
      <c r="AL825" s="22"/>
    </row>
    <row r="826" spans="1:38" ht="17.399999999999999">
      <c r="A826" s="22"/>
      <c r="B826" s="22"/>
      <c r="C826" s="56"/>
      <c r="D826" s="56"/>
      <c r="E826" s="22"/>
      <c r="F826" s="22"/>
      <c r="G826" s="22"/>
      <c r="H826" s="22"/>
      <c r="I826" s="49"/>
      <c r="J826" s="50"/>
      <c r="K826" s="22"/>
      <c r="L826" s="22"/>
      <c r="M826" s="22"/>
      <c r="N826" s="22"/>
      <c r="O826" s="22"/>
      <c r="P826" s="46"/>
      <c r="Q826" s="40"/>
      <c r="R826" s="41"/>
      <c r="S826" s="22" t="str">
        <f t="shared" si="58"/>
        <v/>
      </c>
      <c r="T826" s="41"/>
      <c r="U826" s="44"/>
      <c r="V826" s="44"/>
      <c r="W826" s="46"/>
      <c r="X826" s="46"/>
      <c r="Y826" s="46"/>
      <c r="Z826" s="22"/>
      <c r="AA826" s="22"/>
      <c r="AB826" s="22"/>
      <c r="AC826" s="22"/>
      <c r="AD826" s="22"/>
      <c r="AE826" s="22"/>
      <c r="AF826" s="48" t="str">
        <f t="shared" si="59"/>
        <v/>
      </c>
      <c r="AG826" s="48" t="str">
        <f t="shared" si="60"/>
        <v/>
      </c>
      <c r="AH826" s="48" t="str">
        <f t="shared" si="61"/>
        <v/>
      </c>
      <c r="AI826" s="40" t="str">
        <f t="shared" si="62"/>
        <v/>
      </c>
      <c r="AJ826" s="40"/>
      <c r="AK826" s="40"/>
      <c r="AL826" s="22"/>
    </row>
    <row r="827" spans="1:38" ht="17.399999999999999">
      <c r="A827" s="22"/>
      <c r="B827" s="22"/>
      <c r="C827" s="56"/>
      <c r="D827" s="56"/>
      <c r="E827" s="22"/>
      <c r="F827" s="22"/>
      <c r="G827" s="22"/>
      <c r="H827" s="22"/>
      <c r="I827" s="49"/>
      <c r="J827" s="50"/>
      <c r="K827" s="22"/>
      <c r="L827" s="22"/>
      <c r="M827" s="22"/>
      <c r="N827" s="22"/>
      <c r="O827" s="22"/>
      <c r="P827" s="46"/>
      <c r="Q827" s="40"/>
      <c r="R827" s="41"/>
      <c r="S827" s="22" t="str">
        <f t="shared" si="58"/>
        <v/>
      </c>
      <c r="T827" s="41"/>
      <c r="U827" s="44"/>
      <c r="V827" s="44"/>
      <c r="W827" s="46"/>
      <c r="X827" s="46"/>
      <c r="Y827" s="46"/>
      <c r="Z827" s="22"/>
      <c r="AA827" s="22"/>
      <c r="AB827" s="22"/>
      <c r="AC827" s="22"/>
      <c r="AD827" s="22"/>
      <c r="AE827" s="22"/>
      <c r="AF827" s="48" t="str">
        <f t="shared" si="59"/>
        <v/>
      </c>
      <c r="AG827" s="48" t="str">
        <f t="shared" si="60"/>
        <v/>
      </c>
      <c r="AH827" s="48" t="str">
        <f t="shared" si="61"/>
        <v/>
      </c>
      <c r="AI827" s="40" t="str">
        <f t="shared" si="62"/>
        <v/>
      </c>
      <c r="AJ827" s="40"/>
      <c r="AK827" s="40"/>
      <c r="AL827" s="22"/>
    </row>
    <row r="828" spans="1:38" ht="17.399999999999999">
      <c r="A828" s="22"/>
      <c r="B828" s="22"/>
      <c r="C828" s="56"/>
      <c r="D828" s="56"/>
      <c r="E828" s="22"/>
      <c r="F828" s="22"/>
      <c r="G828" s="22"/>
      <c r="H828" s="22"/>
      <c r="I828" s="49"/>
      <c r="J828" s="50"/>
      <c r="K828" s="22"/>
      <c r="L828" s="22"/>
      <c r="M828" s="22"/>
      <c r="N828" s="22"/>
      <c r="O828" s="22"/>
      <c r="P828" s="46"/>
      <c r="Q828" s="40"/>
      <c r="R828" s="41"/>
      <c r="S828" s="22" t="str">
        <f t="shared" si="58"/>
        <v/>
      </c>
      <c r="T828" s="41"/>
      <c r="U828" s="44"/>
      <c r="V828" s="44"/>
      <c r="W828" s="46"/>
      <c r="X828" s="46"/>
      <c r="Y828" s="46"/>
      <c r="Z828" s="22"/>
      <c r="AA828" s="22"/>
      <c r="AB828" s="22"/>
      <c r="AC828" s="22"/>
      <c r="AD828" s="22"/>
      <c r="AE828" s="22"/>
      <c r="AF828" s="48" t="str">
        <f t="shared" si="59"/>
        <v/>
      </c>
      <c r="AG828" s="48" t="str">
        <f t="shared" si="60"/>
        <v/>
      </c>
      <c r="AH828" s="48" t="str">
        <f t="shared" si="61"/>
        <v/>
      </c>
      <c r="AI828" s="40" t="str">
        <f t="shared" si="62"/>
        <v/>
      </c>
      <c r="AJ828" s="40"/>
      <c r="AK828" s="40"/>
      <c r="AL828" s="22"/>
    </row>
    <row r="829" spans="1:38" ht="17.399999999999999">
      <c r="A829" s="22"/>
      <c r="B829" s="22"/>
      <c r="C829" s="56"/>
      <c r="D829" s="56"/>
      <c r="E829" s="22"/>
      <c r="F829" s="22"/>
      <c r="G829" s="22"/>
      <c r="H829" s="22"/>
      <c r="I829" s="49"/>
      <c r="J829" s="50"/>
      <c r="K829" s="22"/>
      <c r="L829" s="22"/>
      <c r="M829" s="22"/>
      <c r="N829" s="22"/>
      <c r="O829" s="22"/>
      <c r="P829" s="46"/>
      <c r="Q829" s="40"/>
      <c r="R829" s="41"/>
      <c r="S829" s="22" t="str">
        <f t="shared" si="58"/>
        <v/>
      </c>
      <c r="T829" s="41"/>
      <c r="U829" s="44"/>
      <c r="V829" s="44"/>
      <c r="W829" s="46"/>
      <c r="X829" s="46"/>
      <c r="Y829" s="46"/>
      <c r="Z829" s="22"/>
      <c r="AA829" s="22"/>
      <c r="AB829" s="22"/>
      <c r="AC829" s="22"/>
      <c r="AD829" s="22"/>
      <c r="AE829" s="22"/>
      <c r="AF829" s="48" t="str">
        <f t="shared" si="59"/>
        <v/>
      </c>
      <c r="AG829" s="48" t="str">
        <f t="shared" si="60"/>
        <v/>
      </c>
      <c r="AH829" s="48" t="str">
        <f t="shared" si="61"/>
        <v/>
      </c>
      <c r="AI829" s="40" t="str">
        <f t="shared" si="62"/>
        <v/>
      </c>
      <c r="AJ829" s="40"/>
      <c r="AK829" s="40"/>
      <c r="AL829" s="22"/>
    </row>
    <row r="830" spans="1:38" ht="17.399999999999999">
      <c r="A830" s="22"/>
      <c r="B830" s="22"/>
      <c r="C830" s="56"/>
      <c r="D830" s="56"/>
      <c r="E830" s="22"/>
      <c r="F830" s="22"/>
      <c r="G830" s="22"/>
      <c r="H830" s="22"/>
      <c r="I830" s="49"/>
      <c r="J830" s="50"/>
      <c r="K830" s="22"/>
      <c r="L830" s="22"/>
      <c r="M830" s="22"/>
      <c r="N830" s="22"/>
      <c r="O830" s="22"/>
      <c r="P830" s="46"/>
      <c r="Q830" s="40"/>
      <c r="R830" s="41"/>
      <c r="S830" s="22" t="str">
        <f t="shared" si="58"/>
        <v/>
      </c>
      <c r="T830" s="41"/>
      <c r="U830" s="44"/>
      <c r="V830" s="44"/>
      <c r="W830" s="46"/>
      <c r="X830" s="46"/>
      <c r="Y830" s="46"/>
      <c r="Z830" s="22"/>
      <c r="AA830" s="22"/>
      <c r="AB830" s="22"/>
      <c r="AC830" s="22"/>
      <c r="AD830" s="22"/>
      <c r="AE830" s="22"/>
      <c r="AF830" s="48" t="str">
        <f t="shared" si="59"/>
        <v/>
      </c>
      <c r="AG830" s="48" t="str">
        <f t="shared" si="60"/>
        <v/>
      </c>
      <c r="AH830" s="48" t="str">
        <f t="shared" si="61"/>
        <v/>
      </c>
      <c r="AI830" s="40" t="str">
        <f t="shared" si="62"/>
        <v/>
      </c>
      <c r="AJ830" s="40"/>
      <c r="AK830" s="40"/>
      <c r="AL830" s="22"/>
    </row>
    <row r="831" spans="1:38" ht="17.399999999999999">
      <c r="A831" s="22"/>
      <c r="B831" s="22"/>
      <c r="C831" s="56"/>
      <c r="D831" s="56"/>
      <c r="E831" s="22"/>
      <c r="F831" s="22"/>
      <c r="G831" s="22"/>
      <c r="H831" s="22"/>
      <c r="I831" s="49"/>
      <c r="J831" s="50"/>
      <c r="K831" s="22"/>
      <c r="L831" s="22"/>
      <c r="M831" s="22"/>
      <c r="N831" s="22"/>
      <c r="O831" s="22"/>
      <c r="P831" s="46"/>
      <c r="Q831" s="40"/>
      <c r="R831" s="41"/>
      <c r="S831" s="22" t="str">
        <f t="shared" si="58"/>
        <v/>
      </c>
      <c r="T831" s="41"/>
      <c r="U831" s="44"/>
      <c r="V831" s="44"/>
      <c r="W831" s="46"/>
      <c r="X831" s="46"/>
      <c r="Y831" s="46"/>
      <c r="Z831" s="22"/>
      <c r="AA831" s="22"/>
      <c r="AB831" s="22"/>
      <c r="AC831" s="22"/>
      <c r="AD831" s="22"/>
      <c r="AE831" s="22"/>
      <c r="AF831" s="48" t="str">
        <f t="shared" si="59"/>
        <v/>
      </c>
      <c r="AG831" s="48" t="str">
        <f t="shared" si="60"/>
        <v/>
      </c>
      <c r="AH831" s="48" t="str">
        <f t="shared" si="61"/>
        <v/>
      </c>
      <c r="AI831" s="40" t="str">
        <f t="shared" si="62"/>
        <v/>
      </c>
      <c r="AJ831" s="40"/>
      <c r="AK831" s="40"/>
      <c r="AL831" s="22"/>
    </row>
    <row r="832" spans="1:38" ht="17.399999999999999">
      <c r="A832" s="22"/>
      <c r="B832" s="22"/>
      <c r="C832" s="56"/>
      <c r="D832" s="56"/>
      <c r="E832" s="22"/>
      <c r="F832" s="22"/>
      <c r="G832" s="22"/>
      <c r="H832" s="22"/>
      <c r="I832" s="49"/>
      <c r="J832" s="50"/>
      <c r="K832" s="22"/>
      <c r="L832" s="22"/>
      <c r="M832" s="22"/>
      <c r="N832" s="22"/>
      <c r="O832" s="22"/>
      <c r="P832" s="46"/>
      <c r="Q832" s="40"/>
      <c r="R832" s="41"/>
      <c r="S832" s="22" t="str">
        <f t="shared" si="58"/>
        <v/>
      </c>
      <c r="T832" s="41"/>
      <c r="U832" s="44"/>
      <c r="V832" s="44"/>
      <c r="W832" s="46"/>
      <c r="X832" s="46"/>
      <c r="Y832" s="46"/>
      <c r="Z832" s="22"/>
      <c r="AA832" s="22"/>
      <c r="AB832" s="22"/>
      <c r="AC832" s="22"/>
      <c r="AD832" s="22"/>
      <c r="AE832" s="22"/>
      <c r="AF832" s="48" t="str">
        <f t="shared" si="59"/>
        <v/>
      </c>
      <c r="AG832" s="48" t="str">
        <f t="shared" si="60"/>
        <v/>
      </c>
      <c r="AH832" s="48" t="str">
        <f t="shared" si="61"/>
        <v/>
      </c>
      <c r="AI832" s="40" t="str">
        <f t="shared" si="62"/>
        <v/>
      </c>
      <c r="AJ832" s="40"/>
      <c r="AK832" s="40"/>
      <c r="AL832" s="22"/>
    </row>
    <row r="833" spans="1:38" ht="17.399999999999999">
      <c r="A833" s="22"/>
      <c r="B833" s="22"/>
      <c r="C833" s="56"/>
      <c r="D833" s="56"/>
      <c r="E833" s="22"/>
      <c r="F833" s="22"/>
      <c r="G833" s="22"/>
      <c r="H833" s="22"/>
      <c r="I833" s="49"/>
      <c r="J833" s="50"/>
      <c r="K833" s="22"/>
      <c r="L833" s="22"/>
      <c r="M833" s="22"/>
      <c r="N833" s="22"/>
      <c r="O833" s="22"/>
      <c r="P833" s="46"/>
      <c r="Q833" s="40"/>
      <c r="R833" s="41"/>
      <c r="S833" s="22" t="str">
        <f t="shared" si="58"/>
        <v/>
      </c>
      <c r="T833" s="41"/>
      <c r="U833" s="44"/>
      <c r="V833" s="44"/>
      <c r="W833" s="46"/>
      <c r="X833" s="46"/>
      <c r="Y833" s="46"/>
      <c r="Z833" s="22"/>
      <c r="AA833" s="22"/>
      <c r="AB833" s="22"/>
      <c r="AC833" s="22"/>
      <c r="AD833" s="22"/>
      <c r="AE833" s="22"/>
      <c r="AF833" s="48" t="str">
        <f t="shared" si="59"/>
        <v/>
      </c>
      <c r="AG833" s="48" t="str">
        <f t="shared" si="60"/>
        <v/>
      </c>
      <c r="AH833" s="48" t="str">
        <f t="shared" si="61"/>
        <v/>
      </c>
      <c r="AI833" s="40" t="str">
        <f t="shared" si="62"/>
        <v/>
      </c>
      <c r="AJ833" s="40"/>
      <c r="AK833" s="40"/>
      <c r="AL833" s="22"/>
    </row>
    <row r="834" spans="1:38" ht="17.399999999999999">
      <c r="A834" s="22"/>
      <c r="B834" s="22"/>
      <c r="C834" s="56"/>
      <c r="D834" s="56"/>
      <c r="E834" s="22"/>
      <c r="F834" s="22"/>
      <c r="G834" s="22"/>
      <c r="H834" s="22"/>
      <c r="I834" s="49"/>
      <c r="J834" s="50"/>
      <c r="K834" s="22"/>
      <c r="L834" s="22"/>
      <c r="M834" s="22"/>
      <c r="N834" s="22"/>
      <c r="O834" s="22"/>
      <c r="P834" s="46"/>
      <c r="Q834" s="40"/>
      <c r="R834" s="41"/>
      <c r="S834" s="22" t="str">
        <f t="shared" si="58"/>
        <v/>
      </c>
      <c r="T834" s="41"/>
      <c r="U834" s="44"/>
      <c r="V834" s="44"/>
      <c r="W834" s="46"/>
      <c r="X834" s="46"/>
      <c r="Y834" s="46"/>
      <c r="Z834" s="22"/>
      <c r="AA834" s="22"/>
      <c r="AB834" s="22"/>
      <c r="AC834" s="22"/>
      <c r="AD834" s="22"/>
      <c r="AE834" s="22"/>
      <c r="AF834" s="48" t="str">
        <f t="shared" si="59"/>
        <v/>
      </c>
      <c r="AG834" s="48" t="str">
        <f t="shared" si="60"/>
        <v/>
      </c>
      <c r="AH834" s="48" t="str">
        <f t="shared" si="61"/>
        <v/>
      </c>
      <c r="AI834" s="40" t="str">
        <f t="shared" si="62"/>
        <v/>
      </c>
      <c r="AJ834" s="40"/>
      <c r="AK834" s="40"/>
      <c r="AL834" s="22"/>
    </row>
    <row r="835" spans="1:38" ht="17.399999999999999">
      <c r="A835" s="22"/>
      <c r="B835" s="22"/>
      <c r="C835" s="56"/>
      <c r="D835" s="56"/>
      <c r="E835" s="22"/>
      <c r="F835" s="22"/>
      <c r="G835" s="22"/>
      <c r="H835" s="22"/>
      <c r="I835" s="49"/>
      <c r="J835" s="50"/>
      <c r="K835" s="22"/>
      <c r="L835" s="22"/>
      <c r="M835" s="22"/>
      <c r="N835" s="22"/>
      <c r="O835" s="22"/>
      <c r="P835" s="46"/>
      <c r="Q835" s="40"/>
      <c r="R835" s="41"/>
      <c r="S835" s="22" t="str">
        <f t="shared" si="58"/>
        <v/>
      </c>
      <c r="T835" s="41"/>
      <c r="U835" s="44"/>
      <c r="V835" s="44"/>
      <c r="W835" s="46"/>
      <c r="X835" s="46"/>
      <c r="Y835" s="46"/>
      <c r="Z835" s="22"/>
      <c r="AA835" s="22"/>
      <c r="AB835" s="22"/>
      <c r="AC835" s="22"/>
      <c r="AD835" s="22"/>
      <c r="AE835" s="22"/>
      <c r="AF835" s="48" t="str">
        <f t="shared" si="59"/>
        <v/>
      </c>
      <c r="AG835" s="48" t="str">
        <f t="shared" si="60"/>
        <v/>
      </c>
      <c r="AH835" s="48" t="str">
        <f t="shared" si="61"/>
        <v/>
      </c>
      <c r="AI835" s="40" t="str">
        <f t="shared" si="62"/>
        <v/>
      </c>
      <c r="AJ835" s="40"/>
      <c r="AK835" s="40"/>
      <c r="AL835" s="22"/>
    </row>
    <row r="836" spans="1:38" ht="17.399999999999999">
      <c r="A836" s="22"/>
      <c r="B836" s="22"/>
      <c r="C836" s="56"/>
      <c r="D836" s="56"/>
      <c r="E836" s="22"/>
      <c r="F836" s="22"/>
      <c r="G836" s="22"/>
      <c r="H836" s="22"/>
      <c r="I836" s="49"/>
      <c r="J836" s="50"/>
      <c r="K836" s="22"/>
      <c r="L836" s="22"/>
      <c r="M836" s="22"/>
      <c r="N836" s="22"/>
      <c r="O836" s="22"/>
      <c r="P836" s="46"/>
      <c r="Q836" s="40"/>
      <c r="R836" s="41"/>
      <c r="S836" s="22" t="str">
        <f t="shared" si="58"/>
        <v/>
      </c>
      <c r="T836" s="41"/>
      <c r="U836" s="44"/>
      <c r="V836" s="44"/>
      <c r="W836" s="46"/>
      <c r="X836" s="46"/>
      <c r="Y836" s="46"/>
      <c r="Z836" s="22"/>
      <c r="AA836" s="22"/>
      <c r="AB836" s="22"/>
      <c r="AC836" s="22"/>
      <c r="AD836" s="22"/>
      <c r="AE836" s="22"/>
      <c r="AF836" s="48" t="str">
        <f t="shared" si="59"/>
        <v/>
      </c>
      <c r="AG836" s="48" t="str">
        <f t="shared" si="60"/>
        <v/>
      </c>
      <c r="AH836" s="48" t="str">
        <f t="shared" si="61"/>
        <v/>
      </c>
      <c r="AI836" s="40" t="str">
        <f t="shared" si="62"/>
        <v/>
      </c>
      <c r="AJ836" s="40"/>
      <c r="AK836" s="40"/>
      <c r="AL836" s="22"/>
    </row>
    <row r="837" spans="1:38" ht="17.399999999999999">
      <c r="A837" s="22"/>
      <c r="B837" s="22"/>
      <c r="C837" s="56"/>
      <c r="D837" s="56"/>
      <c r="E837" s="22"/>
      <c r="F837" s="22"/>
      <c r="G837" s="22"/>
      <c r="H837" s="22"/>
      <c r="I837" s="49"/>
      <c r="J837" s="50"/>
      <c r="K837" s="22"/>
      <c r="L837" s="22"/>
      <c r="M837" s="22"/>
      <c r="N837" s="22"/>
      <c r="O837" s="22"/>
      <c r="P837" s="46"/>
      <c r="Q837" s="40"/>
      <c r="R837" s="41"/>
      <c r="S837" s="22" t="str">
        <f t="shared" si="58"/>
        <v/>
      </c>
      <c r="T837" s="41"/>
      <c r="U837" s="44"/>
      <c r="V837" s="44"/>
      <c r="W837" s="46"/>
      <c r="X837" s="46"/>
      <c r="Y837" s="46"/>
      <c r="Z837" s="22"/>
      <c r="AA837" s="22"/>
      <c r="AB837" s="22"/>
      <c r="AC837" s="22"/>
      <c r="AD837" s="22"/>
      <c r="AE837" s="22"/>
      <c r="AF837" s="48" t="str">
        <f t="shared" si="59"/>
        <v/>
      </c>
      <c r="AG837" s="48" t="str">
        <f t="shared" si="60"/>
        <v/>
      </c>
      <c r="AH837" s="48" t="str">
        <f t="shared" si="61"/>
        <v/>
      </c>
      <c r="AI837" s="40" t="str">
        <f t="shared" si="62"/>
        <v/>
      </c>
      <c r="AJ837" s="40"/>
      <c r="AK837" s="40"/>
      <c r="AL837" s="22"/>
    </row>
    <row r="838" spans="1:38" ht="17.399999999999999">
      <c r="A838" s="22"/>
      <c r="B838" s="22"/>
      <c r="C838" s="56"/>
      <c r="D838" s="56"/>
      <c r="E838" s="22"/>
      <c r="F838" s="22"/>
      <c r="G838" s="22"/>
      <c r="H838" s="22"/>
      <c r="I838" s="49"/>
      <c r="J838" s="50"/>
      <c r="K838" s="22"/>
      <c r="L838" s="22"/>
      <c r="M838" s="22"/>
      <c r="N838" s="22"/>
      <c r="O838" s="22"/>
      <c r="P838" s="46"/>
      <c r="Q838" s="40"/>
      <c r="R838" s="41"/>
      <c r="S838" s="22" t="str">
        <f t="shared" si="58"/>
        <v/>
      </c>
      <c r="T838" s="41"/>
      <c r="U838" s="44"/>
      <c r="V838" s="44"/>
      <c r="W838" s="46"/>
      <c r="X838" s="46"/>
      <c r="Y838" s="46"/>
      <c r="Z838" s="22"/>
      <c r="AA838" s="22"/>
      <c r="AB838" s="22"/>
      <c r="AC838" s="22"/>
      <c r="AD838" s="22"/>
      <c r="AE838" s="22"/>
      <c r="AF838" s="48" t="str">
        <f t="shared" si="59"/>
        <v/>
      </c>
      <c r="AG838" s="48" t="str">
        <f t="shared" si="60"/>
        <v/>
      </c>
      <c r="AH838" s="48" t="str">
        <f t="shared" si="61"/>
        <v/>
      </c>
      <c r="AI838" s="40" t="str">
        <f t="shared" si="62"/>
        <v/>
      </c>
      <c r="AJ838" s="40"/>
      <c r="AK838" s="40"/>
      <c r="AL838" s="22"/>
    </row>
    <row r="839" spans="1:38" ht="17.399999999999999">
      <c r="A839" s="22"/>
      <c r="B839" s="22"/>
      <c r="C839" s="56"/>
      <c r="D839" s="56"/>
      <c r="E839" s="22"/>
      <c r="F839" s="22"/>
      <c r="G839" s="22"/>
      <c r="H839" s="22"/>
      <c r="I839" s="49"/>
      <c r="J839" s="50"/>
      <c r="K839" s="22"/>
      <c r="L839" s="22"/>
      <c r="M839" s="22"/>
      <c r="N839" s="22"/>
      <c r="O839" s="22"/>
      <c r="P839" s="46"/>
      <c r="Q839" s="40"/>
      <c r="R839" s="41"/>
      <c r="S839" s="22" t="str">
        <f t="shared" si="58"/>
        <v/>
      </c>
      <c r="T839" s="41"/>
      <c r="U839" s="44"/>
      <c r="V839" s="44"/>
      <c r="W839" s="46"/>
      <c r="X839" s="46"/>
      <c r="Y839" s="46"/>
      <c r="Z839" s="22"/>
      <c r="AA839" s="22"/>
      <c r="AB839" s="22"/>
      <c r="AC839" s="22"/>
      <c r="AD839" s="22"/>
      <c r="AE839" s="22"/>
      <c r="AF839" s="48" t="str">
        <f t="shared" si="59"/>
        <v/>
      </c>
      <c r="AG839" s="48" t="str">
        <f t="shared" si="60"/>
        <v/>
      </c>
      <c r="AH839" s="48" t="str">
        <f t="shared" si="61"/>
        <v/>
      </c>
      <c r="AI839" s="40" t="str">
        <f t="shared" si="62"/>
        <v/>
      </c>
      <c r="AJ839" s="40"/>
      <c r="AK839" s="40"/>
      <c r="AL839" s="22"/>
    </row>
    <row r="840" spans="1:38" ht="17.399999999999999">
      <c r="A840" s="22"/>
      <c r="B840" s="22"/>
      <c r="C840" s="56"/>
      <c r="D840" s="56"/>
      <c r="E840" s="22"/>
      <c r="F840" s="22"/>
      <c r="G840" s="22"/>
      <c r="H840" s="22"/>
      <c r="I840" s="49"/>
      <c r="J840" s="50"/>
      <c r="K840" s="22"/>
      <c r="L840" s="22"/>
      <c r="M840" s="22"/>
      <c r="N840" s="22"/>
      <c r="O840" s="22"/>
      <c r="P840" s="46"/>
      <c r="Q840" s="40"/>
      <c r="R840" s="41"/>
      <c r="S840" s="22" t="str">
        <f t="shared" si="58"/>
        <v/>
      </c>
      <c r="T840" s="41"/>
      <c r="U840" s="44"/>
      <c r="V840" s="44"/>
      <c r="W840" s="46"/>
      <c r="X840" s="46"/>
      <c r="Y840" s="46"/>
      <c r="Z840" s="22"/>
      <c r="AA840" s="22"/>
      <c r="AB840" s="22"/>
      <c r="AC840" s="22"/>
      <c r="AD840" s="22"/>
      <c r="AE840" s="22"/>
      <c r="AF840" s="48" t="str">
        <f t="shared" si="59"/>
        <v/>
      </c>
      <c r="AG840" s="48" t="str">
        <f t="shared" si="60"/>
        <v/>
      </c>
      <c r="AH840" s="48" t="str">
        <f t="shared" si="61"/>
        <v/>
      </c>
      <c r="AI840" s="40" t="str">
        <f t="shared" si="62"/>
        <v/>
      </c>
      <c r="AJ840" s="40"/>
      <c r="AK840" s="40"/>
      <c r="AL840" s="22"/>
    </row>
    <row r="841" spans="1:38" ht="17.399999999999999">
      <c r="A841" s="22"/>
      <c r="B841" s="22"/>
      <c r="C841" s="56"/>
      <c r="D841" s="56"/>
      <c r="E841" s="22"/>
      <c r="F841" s="22"/>
      <c r="G841" s="22"/>
      <c r="H841" s="22"/>
      <c r="I841" s="49"/>
      <c r="J841" s="50"/>
      <c r="K841" s="22"/>
      <c r="L841" s="22"/>
      <c r="M841" s="22"/>
      <c r="N841" s="22"/>
      <c r="O841" s="22"/>
      <c r="P841" s="46"/>
      <c r="Q841" s="40"/>
      <c r="R841" s="41"/>
      <c r="S841" s="22" t="str">
        <f t="shared" si="58"/>
        <v/>
      </c>
      <c r="T841" s="41"/>
      <c r="U841" s="44"/>
      <c r="V841" s="44"/>
      <c r="W841" s="46"/>
      <c r="X841" s="46"/>
      <c r="Y841" s="46"/>
      <c r="Z841" s="22"/>
      <c r="AA841" s="22"/>
      <c r="AB841" s="22"/>
      <c r="AC841" s="22"/>
      <c r="AD841" s="22"/>
      <c r="AE841" s="22"/>
      <c r="AF841" s="48" t="str">
        <f t="shared" si="59"/>
        <v/>
      </c>
      <c r="AG841" s="48" t="str">
        <f t="shared" si="60"/>
        <v/>
      </c>
      <c r="AH841" s="48" t="str">
        <f t="shared" si="61"/>
        <v/>
      </c>
      <c r="AI841" s="40" t="str">
        <f t="shared" si="62"/>
        <v/>
      </c>
      <c r="AJ841" s="40"/>
      <c r="AK841" s="40"/>
      <c r="AL841" s="22"/>
    </row>
    <row r="842" spans="1:38" ht="17.399999999999999">
      <c r="A842" s="22"/>
      <c r="B842" s="22"/>
      <c r="C842" s="56"/>
      <c r="D842" s="56"/>
      <c r="E842" s="22"/>
      <c r="F842" s="22"/>
      <c r="G842" s="22"/>
      <c r="H842" s="22"/>
      <c r="I842" s="49"/>
      <c r="J842" s="50"/>
      <c r="K842" s="22"/>
      <c r="L842" s="22"/>
      <c r="M842" s="22"/>
      <c r="N842" s="22"/>
      <c r="O842" s="22"/>
      <c r="P842" s="46"/>
      <c r="Q842" s="40"/>
      <c r="R842" s="41"/>
      <c r="S842" s="22" t="str">
        <f t="shared" si="58"/>
        <v/>
      </c>
      <c r="T842" s="41"/>
      <c r="U842" s="44"/>
      <c r="V842" s="44"/>
      <c r="W842" s="46"/>
      <c r="X842" s="46"/>
      <c r="Y842" s="46"/>
      <c r="Z842" s="22"/>
      <c r="AA842" s="22"/>
      <c r="AB842" s="22"/>
      <c r="AC842" s="22"/>
      <c r="AD842" s="22"/>
      <c r="AE842" s="22"/>
      <c r="AF842" s="48" t="str">
        <f t="shared" si="59"/>
        <v/>
      </c>
      <c r="AG842" s="48" t="str">
        <f t="shared" si="60"/>
        <v/>
      </c>
      <c r="AH842" s="48" t="str">
        <f t="shared" si="61"/>
        <v/>
      </c>
      <c r="AI842" s="40" t="str">
        <f t="shared" si="62"/>
        <v/>
      </c>
      <c r="AJ842" s="40"/>
      <c r="AK842" s="40"/>
      <c r="AL842" s="22"/>
    </row>
    <row r="843" spans="1:38" ht="17.399999999999999">
      <c r="A843" s="22"/>
      <c r="B843" s="22"/>
      <c r="C843" s="56"/>
      <c r="D843" s="56"/>
      <c r="E843" s="22"/>
      <c r="F843" s="22"/>
      <c r="G843" s="22"/>
      <c r="H843" s="22"/>
      <c r="I843" s="49"/>
      <c r="J843" s="50"/>
      <c r="K843" s="22"/>
      <c r="L843" s="22"/>
      <c r="M843" s="22"/>
      <c r="N843" s="22"/>
      <c r="O843" s="22"/>
      <c r="P843" s="46"/>
      <c r="Q843" s="40"/>
      <c r="R843" s="41"/>
      <c r="S843" s="22" t="str">
        <f t="shared" si="58"/>
        <v/>
      </c>
      <c r="T843" s="41"/>
      <c r="U843" s="44"/>
      <c r="V843" s="44"/>
      <c r="W843" s="46"/>
      <c r="X843" s="46"/>
      <c r="Y843" s="46"/>
      <c r="Z843" s="22"/>
      <c r="AA843" s="22"/>
      <c r="AB843" s="22"/>
      <c r="AC843" s="22"/>
      <c r="AD843" s="22"/>
      <c r="AE843" s="22"/>
      <c r="AF843" s="48" t="str">
        <f t="shared" si="59"/>
        <v/>
      </c>
      <c r="AG843" s="48" t="str">
        <f t="shared" si="60"/>
        <v/>
      </c>
      <c r="AH843" s="48" t="str">
        <f t="shared" si="61"/>
        <v/>
      </c>
      <c r="AI843" s="40" t="str">
        <f t="shared" si="62"/>
        <v/>
      </c>
      <c r="AJ843" s="40"/>
      <c r="AK843" s="40"/>
      <c r="AL843" s="22"/>
    </row>
    <row r="844" spans="1:38" ht="17.399999999999999">
      <c r="A844" s="22"/>
      <c r="B844" s="22"/>
      <c r="C844" s="56"/>
      <c r="D844" s="56"/>
      <c r="E844" s="22"/>
      <c r="F844" s="22"/>
      <c r="G844" s="22"/>
      <c r="H844" s="22"/>
      <c r="I844" s="49"/>
      <c r="J844" s="50"/>
      <c r="K844" s="22"/>
      <c r="L844" s="22"/>
      <c r="M844" s="22"/>
      <c r="N844" s="22"/>
      <c r="O844" s="22"/>
      <c r="P844" s="46"/>
      <c r="Q844" s="40"/>
      <c r="R844" s="41"/>
      <c r="S844" s="22" t="str">
        <f t="shared" si="58"/>
        <v/>
      </c>
      <c r="T844" s="41"/>
      <c r="U844" s="44"/>
      <c r="V844" s="44"/>
      <c r="W844" s="46"/>
      <c r="X844" s="46"/>
      <c r="Y844" s="46"/>
      <c r="Z844" s="22"/>
      <c r="AA844" s="22"/>
      <c r="AB844" s="22"/>
      <c r="AC844" s="22"/>
      <c r="AD844" s="22"/>
      <c r="AE844" s="22"/>
      <c r="AF844" s="48" t="str">
        <f t="shared" si="59"/>
        <v/>
      </c>
      <c r="AG844" s="48" t="str">
        <f t="shared" si="60"/>
        <v/>
      </c>
      <c r="AH844" s="48" t="str">
        <f t="shared" si="61"/>
        <v/>
      </c>
      <c r="AI844" s="40" t="str">
        <f t="shared" si="62"/>
        <v/>
      </c>
      <c r="AJ844" s="40"/>
      <c r="AK844" s="40"/>
      <c r="AL844" s="22"/>
    </row>
    <row r="845" spans="1:38" ht="17.399999999999999">
      <c r="A845" s="22"/>
      <c r="B845" s="22"/>
      <c r="C845" s="56"/>
      <c r="D845" s="56"/>
      <c r="E845" s="22"/>
      <c r="F845" s="22"/>
      <c r="G845" s="22"/>
      <c r="H845" s="22"/>
      <c r="I845" s="49"/>
      <c r="J845" s="50"/>
      <c r="K845" s="22"/>
      <c r="L845" s="22"/>
      <c r="M845" s="22"/>
      <c r="N845" s="22"/>
      <c r="O845" s="22"/>
      <c r="P845" s="46"/>
      <c r="Q845" s="40"/>
      <c r="R845" s="41"/>
      <c r="S845" s="22" t="str">
        <f t="shared" si="58"/>
        <v/>
      </c>
      <c r="T845" s="41"/>
      <c r="U845" s="44"/>
      <c r="V845" s="44"/>
      <c r="W845" s="46"/>
      <c r="X845" s="46"/>
      <c r="Y845" s="46"/>
      <c r="Z845" s="22"/>
      <c r="AA845" s="22"/>
      <c r="AB845" s="22"/>
      <c r="AC845" s="22"/>
      <c r="AD845" s="22"/>
      <c r="AE845" s="22"/>
      <c r="AF845" s="48" t="str">
        <f t="shared" si="59"/>
        <v/>
      </c>
      <c r="AG845" s="48" t="str">
        <f t="shared" si="60"/>
        <v/>
      </c>
      <c r="AH845" s="48" t="str">
        <f t="shared" si="61"/>
        <v/>
      </c>
      <c r="AI845" s="40" t="str">
        <f t="shared" si="62"/>
        <v/>
      </c>
      <c r="AJ845" s="40"/>
      <c r="AK845" s="40"/>
      <c r="AL845" s="22"/>
    </row>
    <row r="846" spans="1:38" ht="17.399999999999999">
      <c r="A846" s="22"/>
      <c r="B846" s="22"/>
      <c r="C846" s="56"/>
      <c r="D846" s="56"/>
      <c r="E846" s="22"/>
      <c r="F846" s="22"/>
      <c r="G846" s="22"/>
      <c r="H846" s="22"/>
      <c r="I846" s="49"/>
      <c r="J846" s="50"/>
      <c r="K846" s="22"/>
      <c r="L846" s="22"/>
      <c r="M846" s="22"/>
      <c r="N846" s="22"/>
      <c r="O846" s="22"/>
      <c r="P846" s="46"/>
      <c r="Q846" s="40"/>
      <c r="R846" s="41"/>
      <c r="S846" s="22" t="str">
        <f t="shared" si="58"/>
        <v/>
      </c>
      <c r="T846" s="41"/>
      <c r="U846" s="44"/>
      <c r="V846" s="44"/>
      <c r="W846" s="46"/>
      <c r="X846" s="46"/>
      <c r="Y846" s="46"/>
      <c r="Z846" s="22"/>
      <c r="AA846" s="22"/>
      <c r="AB846" s="22"/>
      <c r="AC846" s="22"/>
      <c r="AD846" s="22"/>
      <c r="AE846" s="22"/>
      <c r="AF846" s="48" t="str">
        <f t="shared" si="59"/>
        <v/>
      </c>
      <c r="AG846" s="48" t="str">
        <f t="shared" si="60"/>
        <v/>
      </c>
      <c r="AH846" s="48" t="str">
        <f t="shared" si="61"/>
        <v/>
      </c>
      <c r="AI846" s="40" t="str">
        <f t="shared" si="62"/>
        <v/>
      </c>
      <c r="AJ846" s="40"/>
      <c r="AK846" s="40"/>
      <c r="AL846" s="22"/>
    </row>
    <row r="847" spans="1:38" ht="17.399999999999999">
      <c r="A847" s="22"/>
      <c r="B847" s="22"/>
      <c r="C847" s="56"/>
      <c r="D847" s="56"/>
      <c r="E847" s="22"/>
      <c r="F847" s="22"/>
      <c r="G847" s="22"/>
      <c r="H847" s="22"/>
      <c r="I847" s="49"/>
      <c r="J847" s="50"/>
      <c r="K847" s="22"/>
      <c r="L847" s="22"/>
      <c r="M847" s="22"/>
      <c r="N847" s="22"/>
      <c r="O847" s="22"/>
      <c r="P847" s="46"/>
      <c r="Q847" s="40"/>
      <c r="R847" s="41"/>
      <c r="S847" s="22" t="str">
        <f t="shared" si="58"/>
        <v/>
      </c>
      <c r="T847" s="41"/>
      <c r="U847" s="44"/>
      <c r="V847" s="44"/>
      <c r="W847" s="46"/>
      <c r="X847" s="46"/>
      <c r="Y847" s="46"/>
      <c r="Z847" s="22"/>
      <c r="AA847" s="22"/>
      <c r="AB847" s="22"/>
      <c r="AC847" s="22"/>
      <c r="AD847" s="22"/>
      <c r="AE847" s="22"/>
      <c r="AF847" s="48" t="str">
        <f t="shared" si="59"/>
        <v/>
      </c>
      <c r="AG847" s="48" t="str">
        <f t="shared" si="60"/>
        <v/>
      </c>
      <c r="AH847" s="48" t="str">
        <f t="shared" si="61"/>
        <v/>
      </c>
      <c r="AI847" s="40" t="str">
        <f t="shared" si="62"/>
        <v/>
      </c>
      <c r="AJ847" s="40"/>
      <c r="AK847" s="40"/>
      <c r="AL847" s="22"/>
    </row>
    <row r="848" spans="1:38" ht="17.399999999999999">
      <c r="A848" s="22"/>
      <c r="B848" s="22"/>
      <c r="C848" s="56"/>
      <c r="D848" s="56"/>
      <c r="E848" s="22"/>
      <c r="F848" s="22"/>
      <c r="G848" s="22"/>
      <c r="H848" s="22"/>
      <c r="I848" s="49"/>
      <c r="J848" s="50"/>
      <c r="K848" s="22"/>
      <c r="L848" s="22"/>
      <c r="M848" s="22"/>
      <c r="N848" s="22"/>
      <c r="O848" s="22"/>
      <c r="P848" s="46"/>
      <c r="Q848" s="40"/>
      <c r="R848" s="41"/>
      <c r="S848" s="22" t="str">
        <f t="shared" si="58"/>
        <v/>
      </c>
      <c r="T848" s="41"/>
      <c r="U848" s="44"/>
      <c r="V848" s="44"/>
      <c r="W848" s="46"/>
      <c r="X848" s="46"/>
      <c r="Y848" s="46"/>
      <c r="Z848" s="22"/>
      <c r="AA848" s="22"/>
      <c r="AB848" s="22"/>
      <c r="AC848" s="22"/>
      <c r="AD848" s="22"/>
      <c r="AE848" s="22"/>
      <c r="AF848" s="48" t="str">
        <f t="shared" si="59"/>
        <v/>
      </c>
      <c r="AG848" s="48" t="str">
        <f t="shared" si="60"/>
        <v/>
      </c>
      <c r="AH848" s="48" t="str">
        <f t="shared" si="61"/>
        <v/>
      </c>
      <c r="AI848" s="40" t="str">
        <f t="shared" si="62"/>
        <v/>
      </c>
      <c r="AJ848" s="40"/>
      <c r="AK848" s="40"/>
      <c r="AL848" s="22"/>
    </row>
    <row r="849" spans="1:38" ht="17.399999999999999">
      <c r="A849" s="22"/>
      <c r="B849" s="22"/>
      <c r="C849" s="56"/>
      <c r="D849" s="56"/>
      <c r="E849" s="22"/>
      <c r="F849" s="22"/>
      <c r="G849" s="22"/>
      <c r="H849" s="22"/>
      <c r="I849" s="49"/>
      <c r="J849" s="50"/>
      <c r="K849" s="22"/>
      <c r="L849" s="22"/>
      <c r="M849" s="22"/>
      <c r="N849" s="22"/>
      <c r="O849" s="22"/>
      <c r="P849" s="46"/>
      <c r="Q849" s="40"/>
      <c r="R849" s="41"/>
      <c r="S849" s="22" t="str">
        <f t="shared" si="58"/>
        <v/>
      </c>
      <c r="T849" s="41"/>
      <c r="U849" s="44"/>
      <c r="V849" s="44"/>
      <c r="W849" s="46"/>
      <c r="X849" s="46"/>
      <c r="Y849" s="46"/>
      <c r="Z849" s="22"/>
      <c r="AA849" s="22"/>
      <c r="AB849" s="22"/>
      <c r="AC849" s="22"/>
      <c r="AD849" s="22"/>
      <c r="AE849" s="22"/>
      <c r="AF849" s="48" t="str">
        <f t="shared" si="59"/>
        <v/>
      </c>
      <c r="AG849" s="48" t="str">
        <f t="shared" si="60"/>
        <v/>
      </c>
      <c r="AH849" s="48" t="str">
        <f t="shared" si="61"/>
        <v/>
      </c>
      <c r="AI849" s="40" t="str">
        <f t="shared" si="62"/>
        <v/>
      </c>
      <c r="AJ849" s="40"/>
      <c r="AK849" s="40"/>
      <c r="AL849" s="22"/>
    </row>
    <row r="850" spans="1:38" ht="17.399999999999999">
      <c r="A850" s="22"/>
      <c r="B850" s="22"/>
      <c r="C850" s="56"/>
      <c r="D850" s="56"/>
      <c r="E850" s="22"/>
      <c r="F850" s="22"/>
      <c r="G850" s="22"/>
      <c r="H850" s="22"/>
      <c r="I850" s="49"/>
      <c r="J850" s="50"/>
      <c r="K850" s="22"/>
      <c r="L850" s="22"/>
      <c r="M850" s="22"/>
      <c r="N850" s="22"/>
      <c r="O850" s="22"/>
      <c r="P850" s="46"/>
      <c r="Q850" s="40"/>
      <c r="R850" s="41"/>
      <c r="S850" s="22" t="str">
        <f t="shared" si="58"/>
        <v/>
      </c>
      <c r="T850" s="41"/>
      <c r="U850" s="44"/>
      <c r="V850" s="44"/>
      <c r="W850" s="46"/>
      <c r="X850" s="46"/>
      <c r="Y850" s="46"/>
      <c r="Z850" s="22"/>
      <c r="AA850" s="22"/>
      <c r="AB850" s="22"/>
      <c r="AC850" s="22"/>
      <c r="AD850" s="22"/>
      <c r="AE850" s="22"/>
      <c r="AF850" s="48" t="str">
        <f t="shared" si="59"/>
        <v/>
      </c>
      <c r="AG850" s="48" t="str">
        <f t="shared" si="60"/>
        <v/>
      </c>
      <c r="AH850" s="48" t="str">
        <f t="shared" si="61"/>
        <v/>
      </c>
      <c r="AI850" s="40" t="str">
        <f t="shared" si="62"/>
        <v/>
      </c>
      <c r="AJ850" s="40"/>
      <c r="AK850" s="40"/>
      <c r="AL850" s="22"/>
    </row>
    <row r="851" spans="1:38" ht="17.399999999999999">
      <c r="A851" s="22"/>
      <c r="B851" s="22"/>
      <c r="C851" s="56"/>
      <c r="D851" s="56"/>
      <c r="E851" s="22"/>
      <c r="F851" s="22"/>
      <c r="G851" s="22"/>
      <c r="H851" s="22"/>
      <c r="I851" s="49"/>
      <c r="J851" s="50"/>
      <c r="K851" s="22"/>
      <c r="L851" s="22"/>
      <c r="M851" s="22"/>
      <c r="N851" s="22"/>
      <c r="O851" s="22"/>
      <c r="P851" s="46"/>
      <c r="Q851" s="40"/>
      <c r="R851" s="41"/>
      <c r="S851" s="22" t="str">
        <f t="shared" si="58"/>
        <v/>
      </c>
      <c r="T851" s="41"/>
      <c r="U851" s="44"/>
      <c r="V851" s="44"/>
      <c r="W851" s="46"/>
      <c r="X851" s="46"/>
      <c r="Y851" s="46"/>
      <c r="Z851" s="22"/>
      <c r="AA851" s="22"/>
      <c r="AB851" s="22"/>
      <c r="AC851" s="22"/>
      <c r="AD851" s="22"/>
      <c r="AE851" s="22"/>
      <c r="AF851" s="48" t="str">
        <f t="shared" si="59"/>
        <v/>
      </c>
      <c r="AG851" s="48" t="str">
        <f t="shared" si="60"/>
        <v/>
      </c>
      <c r="AH851" s="48" t="str">
        <f t="shared" si="61"/>
        <v/>
      </c>
      <c r="AI851" s="40" t="str">
        <f t="shared" si="62"/>
        <v/>
      </c>
      <c r="AJ851" s="40"/>
      <c r="AK851" s="40"/>
      <c r="AL851" s="22"/>
    </row>
    <row r="852" spans="1:38" ht="17.399999999999999">
      <c r="A852" s="22"/>
      <c r="B852" s="22"/>
      <c r="C852" s="56"/>
      <c r="D852" s="56"/>
      <c r="E852" s="22"/>
      <c r="F852" s="22"/>
      <c r="G852" s="22"/>
      <c r="H852" s="22"/>
      <c r="I852" s="49"/>
      <c r="J852" s="50"/>
      <c r="K852" s="22"/>
      <c r="L852" s="22"/>
      <c r="M852" s="22"/>
      <c r="N852" s="22"/>
      <c r="O852" s="22"/>
      <c r="P852" s="46"/>
      <c r="Q852" s="40"/>
      <c r="R852" s="41"/>
      <c r="S852" s="22" t="str">
        <f t="shared" si="58"/>
        <v/>
      </c>
      <c r="T852" s="41"/>
      <c r="U852" s="44"/>
      <c r="V852" s="44"/>
      <c r="W852" s="46"/>
      <c r="X852" s="46"/>
      <c r="Y852" s="46"/>
      <c r="Z852" s="22"/>
      <c r="AA852" s="22"/>
      <c r="AB852" s="22"/>
      <c r="AC852" s="22"/>
      <c r="AD852" s="22"/>
      <c r="AE852" s="22"/>
      <c r="AF852" s="48" t="str">
        <f t="shared" si="59"/>
        <v/>
      </c>
      <c r="AG852" s="48" t="str">
        <f t="shared" si="60"/>
        <v/>
      </c>
      <c r="AH852" s="48" t="str">
        <f t="shared" si="61"/>
        <v/>
      </c>
      <c r="AI852" s="40" t="str">
        <f t="shared" si="62"/>
        <v/>
      </c>
      <c r="AJ852" s="40"/>
      <c r="AK852" s="40"/>
      <c r="AL852" s="22"/>
    </row>
    <row r="853" spans="1:38" ht="17.399999999999999">
      <c r="A853" s="22"/>
      <c r="B853" s="22"/>
      <c r="C853" s="56"/>
      <c r="D853" s="56"/>
      <c r="E853" s="22"/>
      <c r="F853" s="22"/>
      <c r="G853" s="22"/>
      <c r="H853" s="22"/>
      <c r="I853" s="49"/>
      <c r="J853" s="50"/>
      <c r="K853" s="22"/>
      <c r="L853" s="22"/>
      <c r="M853" s="22"/>
      <c r="N853" s="22"/>
      <c r="O853" s="22"/>
      <c r="P853" s="46"/>
      <c r="Q853" s="40"/>
      <c r="R853" s="41"/>
      <c r="S853" s="22" t="str">
        <f t="shared" si="58"/>
        <v/>
      </c>
      <c r="T853" s="41"/>
      <c r="U853" s="44"/>
      <c r="V853" s="44"/>
      <c r="W853" s="46"/>
      <c r="X853" s="46"/>
      <c r="Y853" s="46"/>
      <c r="Z853" s="22"/>
      <c r="AA853" s="22"/>
      <c r="AB853" s="22"/>
      <c r="AC853" s="22"/>
      <c r="AD853" s="22"/>
      <c r="AE853" s="22"/>
      <c r="AF853" s="48" t="str">
        <f t="shared" si="59"/>
        <v/>
      </c>
      <c r="AG853" s="48" t="str">
        <f t="shared" si="60"/>
        <v/>
      </c>
      <c r="AH853" s="48" t="str">
        <f t="shared" si="61"/>
        <v/>
      </c>
      <c r="AI853" s="40" t="str">
        <f t="shared" si="62"/>
        <v/>
      </c>
      <c r="AJ853" s="40"/>
      <c r="AK853" s="40"/>
      <c r="AL853" s="22"/>
    </row>
    <row r="854" spans="1:38" ht="17.399999999999999">
      <c r="A854" s="22"/>
      <c r="B854" s="22"/>
      <c r="C854" s="56"/>
      <c r="D854" s="56"/>
      <c r="E854" s="22"/>
      <c r="F854" s="22"/>
      <c r="G854" s="22"/>
      <c r="H854" s="22"/>
      <c r="I854" s="49"/>
      <c r="J854" s="50"/>
      <c r="K854" s="22"/>
      <c r="L854" s="22"/>
      <c r="M854" s="22"/>
      <c r="N854" s="22"/>
      <c r="O854" s="22"/>
      <c r="P854" s="46"/>
      <c r="Q854" s="40"/>
      <c r="R854" s="41"/>
      <c r="S854" s="22" t="str">
        <f t="shared" si="58"/>
        <v/>
      </c>
      <c r="T854" s="41"/>
      <c r="U854" s="44"/>
      <c r="V854" s="44"/>
      <c r="W854" s="46"/>
      <c r="X854" s="46"/>
      <c r="Y854" s="46"/>
      <c r="Z854" s="22"/>
      <c r="AA854" s="22"/>
      <c r="AB854" s="22"/>
      <c r="AC854" s="22"/>
      <c r="AD854" s="22"/>
      <c r="AE854" s="22"/>
      <c r="AF854" s="48" t="str">
        <f t="shared" si="59"/>
        <v/>
      </c>
      <c r="AG854" s="48" t="str">
        <f t="shared" si="60"/>
        <v/>
      </c>
      <c r="AH854" s="48" t="str">
        <f t="shared" si="61"/>
        <v/>
      </c>
      <c r="AI854" s="40" t="str">
        <f t="shared" si="62"/>
        <v/>
      </c>
      <c r="AJ854" s="40"/>
      <c r="AK854" s="40"/>
      <c r="AL854" s="22"/>
    </row>
    <row r="855" spans="1:38" ht="17.399999999999999">
      <c r="A855" s="22"/>
      <c r="B855" s="22"/>
      <c r="C855" s="56"/>
      <c r="D855" s="56"/>
      <c r="E855" s="22"/>
      <c r="F855" s="22"/>
      <c r="G855" s="22"/>
      <c r="H855" s="22"/>
      <c r="I855" s="49"/>
      <c r="J855" s="50"/>
      <c r="K855" s="22"/>
      <c r="L855" s="22"/>
      <c r="M855" s="22"/>
      <c r="N855" s="22"/>
      <c r="O855" s="22"/>
      <c r="P855" s="46"/>
      <c r="Q855" s="40"/>
      <c r="R855" s="41"/>
      <c r="S855" s="22" t="str">
        <f t="shared" ref="S855:S918" si="63">IF(A855="","",M855+O855)</f>
        <v/>
      </c>
      <c r="T855" s="41"/>
      <c r="U855" s="44"/>
      <c r="V855" s="44"/>
      <c r="W855" s="46"/>
      <c r="X855" s="46"/>
      <c r="Y855" s="46"/>
      <c r="Z855" s="22"/>
      <c r="AA855" s="22"/>
      <c r="AB855" s="22"/>
      <c r="AC855" s="22"/>
      <c r="AD855" s="22"/>
      <c r="AE855" s="22"/>
      <c r="AF855" s="48" t="str">
        <f t="shared" ref="AF855:AF918" si="64">IF(A855="","",S855-X855)</f>
        <v/>
      </c>
      <c r="AG855" s="48" t="str">
        <f t="shared" ref="AG855:AG918" si="65">IF(A855="","",X855-(AB855+AE855))</f>
        <v/>
      </c>
      <c r="AH855" s="48" t="str">
        <f t="shared" ref="AH855:AH918" si="66">IF(A855="","",AF855+AG855)</f>
        <v/>
      </c>
      <c r="AI855" s="40" t="str">
        <f t="shared" ref="AI855:AI918" si="67">IF(A855="","",R855+21)</f>
        <v/>
      </c>
      <c r="AJ855" s="40"/>
      <c r="AK855" s="40"/>
      <c r="AL855" s="22"/>
    </row>
    <row r="856" spans="1:38" ht="17.399999999999999">
      <c r="A856" s="22"/>
      <c r="B856" s="22"/>
      <c r="C856" s="56"/>
      <c r="D856" s="56"/>
      <c r="E856" s="22"/>
      <c r="F856" s="22"/>
      <c r="G856" s="22"/>
      <c r="H856" s="22"/>
      <c r="I856" s="49"/>
      <c r="J856" s="50"/>
      <c r="K856" s="22"/>
      <c r="L856" s="22"/>
      <c r="M856" s="22"/>
      <c r="N856" s="22"/>
      <c r="O856" s="22"/>
      <c r="P856" s="46"/>
      <c r="Q856" s="40"/>
      <c r="R856" s="41"/>
      <c r="S856" s="22" t="str">
        <f t="shared" si="63"/>
        <v/>
      </c>
      <c r="T856" s="41"/>
      <c r="U856" s="44"/>
      <c r="V856" s="44"/>
      <c r="W856" s="46"/>
      <c r="X856" s="46"/>
      <c r="Y856" s="46"/>
      <c r="Z856" s="22"/>
      <c r="AA856" s="22"/>
      <c r="AB856" s="22"/>
      <c r="AC856" s="22"/>
      <c r="AD856" s="22"/>
      <c r="AE856" s="22"/>
      <c r="AF856" s="48" t="str">
        <f t="shared" si="64"/>
        <v/>
      </c>
      <c r="AG856" s="48" t="str">
        <f t="shared" si="65"/>
        <v/>
      </c>
      <c r="AH856" s="48" t="str">
        <f t="shared" si="66"/>
        <v/>
      </c>
      <c r="AI856" s="40" t="str">
        <f t="shared" si="67"/>
        <v/>
      </c>
      <c r="AJ856" s="40"/>
      <c r="AK856" s="40"/>
      <c r="AL856" s="22"/>
    </row>
    <row r="857" spans="1:38" ht="17.399999999999999">
      <c r="A857" s="22"/>
      <c r="B857" s="22"/>
      <c r="C857" s="56"/>
      <c r="D857" s="56"/>
      <c r="E857" s="22"/>
      <c r="F857" s="22"/>
      <c r="G857" s="22"/>
      <c r="H857" s="22"/>
      <c r="I857" s="49"/>
      <c r="J857" s="50"/>
      <c r="K857" s="22"/>
      <c r="L857" s="22"/>
      <c r="M857" s="22"/>
      <c r="N857" s="22"/>
      <c r="O857" s="22"/>
      <c r="P857" s="46"/>
      <c r="Q857" s="40"/>
      <c r="R857" s="41"/>
      <c r="S857" s="22" t="str">
        <f t="shared" si="63"/>
        <v/>
      </c>
      <c r="T857" s="41"/>
      <c r="U857" s="44"/>
      <c r="V857" s="44"/>
      <c r="W857" s="46"/>
      <c r="X857" s="46"/>
      <c r="Y857" s="46"/>
      <c r="Z857" s="22"/>
      <c r="AA857" s="22"/>
      <c r="AB857" s="22"/>
      <c r="AC857" s="22"/>
      <c r="AD857" s="22"/>
      <c r="AE857" s="22"/>
      <c r="AF857" s="48" t="str">
        <f t="shared" si="64"/>
        <v/>
      </c>
      <c r="AG857" s="48" t="str">
        <f t="shared" si="65"/>
        <v/>
      </c>
      <c r="AH857" s="48" t="str">
        <f t="shared" si="66"/>
        <v/>
      </c>
      <c r="AI857" s="40" t="str">
        <f t="shared" si="67"/>
        <v/>
      </c>
      <c r="AJ857" s="40"/>
      <c r="AK857" s="40"/>
      <c r="AL857" s="22"/>
    </row>
    <row r="858" spans="1:38" ht="17.399999999999999">
      <c r="A858" s="22"/>
      <c r="B858" s="22"/>
      <c r="C858" s="56"/>
      <c r="D858" s="56"/>
      <c r="E858" s="22"/>
      <c r="F858" s="22"/>
      <c r="G858" s="22"/>
      <c r="H858" s="22"/>
      <c r="I858" s="49"/>
      <c r="J858" s="50"/>
      <c r="K858" s="22"/>
      <c r="L858" s="22"/>
      <c r="M858" s="22"/>
      <c r="N858" s="22"/>
      <c r="O858" s="22"/>
      <c r="P858" s="46"/>
      <c r="Q858" s="40"/>
      <c r="R858" s="41"/>
      <c r="S858" s="22" t="str">
        <f t="shared" si="63"/>
        <v/>
      </c>
      <c r="T858" s="41"/>
      <c r="U858" s="44"/>
      <c r="V858" s="44"/>
      <c r="W858" s="46"/>
      <c r="X858" s="46"/>
      <c r="Y858" s="46"/>
      <c r="Z858" s="22"/>
      <c r="AA858" s="22"/>
      <c r="AB858" s="22"/>
      <c r="AC858" s="22"/>
      <c r="AD858" s="22"/>
      <c r="AE858" s="22"/>
      <c r="AF858" s="48" t="str">
        <f t="shared" si="64"/>
        <v/>
      </c>
      <c r="AG858" s="48" t="str">
        <f t="shared" si="65"/>
        <v/>
      </c>
      <c r="AH858" s="48" t="str">
        <f t="shared" si="66"/>
        <v/>
      </c>
      <c r="AI858" s="40" t="str">
        <f t="shared" si="67"/>
        <v/>
      </c>
      <c r="AJ858" s="40"/>
      <c r="AK858" s="40"/>
      <c r="AL858" s="22"/>
    </row>
    <row r="859" spans="1:38" ht="17.399999999999999">
      <c r="A859" s="22"/>
      <c r="B859" s="22"/>
      <c r="C859" s="56"/>
      <c r="D859" s="56"/>
      <c r="E859" s="22"/>
      <c r="F859" s="22"/>
      <c r="G859" s="22"/>
      <c r="H859" s="22"/>
      <c r="I859" s="49"/>
      <c r="J859" s="50"/>
      <c r="K859" s="22"/>
      <c r="L859" s="22"/>
      <c r="M859" s="22"/>
      <c r="N859" s="22"/>
      <c r="O859" s="22"/>
      <c r="P859" s="46"/>
      <c r="Q859" s="40"/>
      <c r="R859" s="41"/>
      <c r="S859" s="22" t="str">
        <f t="shared" si="63"/>
        <v/>
      </c>
      <c r="T859" s="41"/>
      <c r="U859" s="44"/>
      <c r="V859" s="44"/>
      <c r="W859" s="46"/>
      <c r="X859" s="46"/>
      <c r="Y859" s="46"/>
      <c r="Z859" s="22"/>
      <c r="AA859" s="22"/>
      <c r="AB859" s="22"/>
      <c r="AC859" s="22"/>
      <c r="AD859" s="22"/>
      <c r="AE859" s="22"/>
      <c r="AF859" s="48" t="str">
        <f t="shared" si="64"/>
        <v/>
      </c>
      <c r="AG859" s="48" t="str">
        <f t="shared" si="65"/>
        <v/>
      </c>
      <c r="AH859" s="48" t="str">
        <f t="shared" si="66"/>
        <v/>
      </c>
      <c r="AI859" s="40" t="str">
        <f t="shared" si="67"/>
        <v/>
      </c>
      <c r="AJ859" s="40"/>
      <c r="AK859" s="40"/>
      <c r="AL859" s="22"/>
    </row>
    <row r="860" spans="1:38" ht="17.399999999999999">
      <c r="A860" s="22"/>
      <c r="B860" s="22"/>
      <c r="C860" s="56"/>
      <c r="D860" s="56"/>
      <c r="E860" s="22"/>
      <c r="F860" s="22"/>
      <c r="G860" s="22"/>
      <c r="H860" s="22"/>
      <c r="I860" s="49"/>
      <c r="J860" s="50"/>
      <c r="K860" s="22"/>
      <c r="L860" s="22"/>
      <c r="M860" s="22"/>
      <c r="N860" s="22"/>
      <c r="O860" s="22"/>
      <c r="P860" s="46"/>
      <c r="Q860" s="40"/>
      <c r="R860" s="41"/>
      <c r="S860" s="22" t="str">
        <f t="shared" si="63"/>
        <v/>
      </c>
      <c r="T860" s="41"/>
      <c r="U860" s="44"/>
      <c r="V860" s="44"/>
      <c r="W860" s="46"/>
      <c r="X860" s="46"/>
      <c r="Y860" s="46"/>
      <c r="Z860" s="22"/>
      <c r="AA860" s="22"/>
      <c r="AB860" s="22"/>
      <c r="AC860" s="22"/>
      <c r="AD860" s="22"/>
      <c r="AE860" s="22"/>
      <c r="AF860" s="48" t="str">
        <f t="shared" si="64"/>
        <v/>
      </c>
      <c r="AG860" s="48" t="str">
        <f t="shared" si="65"/>
        <v/>
      </c>
      <c r="AH860" s="48" t="str">
        <f t="shared" si="66"/>
        <v/>
      </c>
      <c r="AI860" s="40" t="str">
        <f t="shared" si="67"/>
        <v/>
      </c>
      <c r="AJ860" s="40"/>
      <c r="AK860" s="40"/>
      <c r="AL860" s="22"/>
    </row>
    <row r="861" spans="1:38" ht="17.399999999999999">
      <c r="A861" s="22"/>
      <c r="B861" s="22"/>
      <c r="C861" s="56"/>
      <c r="D861" s="56"/>
      <c r="E861" s="22"/>
      <c r="F861" s="22"/>
      <c r="G861" s="22"/>
      <c r="H861" s="22"/>
      <c r="I861" s="49"/>
      <c r="J861" s="50"/>
      <c r="K861" s="22"/>
      <c r="L861" s="22"/>
      <c r="M861" s="22"/>
      <c r="N861" s="22"/>
      <c r="O861" s="22"/>
      <c r="P861" s="46"/>
      <c r="Q861" s="40"/>
      <c r="R861" s="41"/>
      <c r="S861" s="22" t="str">
        <f t="shared" si="63"/>
        <v/>
      </c>
      <c r="T861" s="41"/>
      <c r="U861" s="44"/>
      <c r="V861" s="44"/>
      <c r="W861" s="46"/>
      <c r="X861" s="46"/>
      <c r="Y861" s="46"/>
      <c r="Z861" s="22"/>
      <c r="AA861" s="22"/>
      <c r="AB861" s="22"/>
      <c r="AC861" s="22"/>
      <c r="AD861" s="22"/>
      <c r="AE861" s="22"/>
      <c r="AF861" s="48" t="str">
        <f t="shared" si="64"/>
        <v/>
      </c>
      <c r="AG861" s="48" t="str">
        <f t="shared" si="65"/>
        <v/>
      </c>
      <c r="AH861" s="48" t="str">
        <f t="shared" si="66"/>
        <v/>
      </c>
      <c r="AI861" s="40" t="str">
        <f t="shared" si="67"/>
        <v/>
      </c>
      <c r="AJ861" s="40"/>
      <c r="AK861" s="40"/>
      <c r="AL861" s="22"/>
    </row>
    <row r="862" spans="1:38" ht="17.399999999999999">
      <c r="A862" s="22"/>
      <c r="B862" s="22"/>
      <c r="C862" s="56"/>
      <c r="D862" s="56"/>
      <c r="E862" s="22"/>
      <c r="F862" s="22"/>
      <c r="G862" s="22"/>
      <c r="H862" s="22"/>
      <c r="I862" s="49"/>
      <c r="J862" s="50"/>
      <c r="K862" s="22"/>
      <c r="L862" s="22"/>
      <c r="M862" s="22"/>
      <c r="N862" s="22"/>
      <c r="O862" s="22"/>
      <c r="P862" s="46"/>
      <c r="Q862" s="40"/>
      <c r="R862" s="41"/>
      <c r="S862" s="22" t="str">
        <f t="shared" si="63"/>
        <v/>
      </c>
      <c r="T862" s="41"/>
      <c r="U862" s="44"/>
      <c r="V862" s="44"/>
      <c r="W862" s="46"/>
      <c r="X862" s="46"/>
      <c r="Y862" s="46"/>
      <c r="Z862" s="22"/>
      <c r="AA862" s="22"/>
      <c r="AB862" s="22"/>
      <c r="AC862" s="22"/>
      <c r="AD862" s="22"/>
      <c r="AE862" s="22"/>
      <c r="AF862" s="48" t="str">
        <f t="shared" si="64"/>
        <v/>
      </c>
      <c r="AG862" s="48" t="str">
        <f t="shared" si="65"/>
        <v/>
      </c>
      <c r="AH862" s="48" t="str">
        <f t="shared" si="66"/>
        <v/>
      </c>
      <c r="AI862" s="40" t="str">
        <f t="shared" si="67"/>
        <v/>
      </c>
      <c r="AJ862" s="40"/>
      <c r="AK862" s="40"/>
      <c r="AL862" s="22"/>
    </row>
    <row r="863" spans="1:38" ht="17.399999999999999">
      <c r="A863" s="22"/>
      <c r="B863" s="22"/>
      <c r="C863" s="56"/>
      <c r="D863" s="56"/>
      <c r="E863" s="22"/>
      <c r="F863" s="22"/>
      <c r="G863" s="22"/>
      <c r="H863" s="22"/>
      <c r="I863" s="49"/>
      <c r="J863" s="50"/>
      <c r="K863" s="22"/>
      <c r="L863" s="22"/>
      <c r="M863" s="22"/>
      <c r="N863" s="22"/>
      <c r="O863" s="22"/>
      <c r="P863" s="46"/>
      <c r="Q863" s="40"/>
      <c r="R863" s="41"/>
      <c r="S863" s="22" t="str">
        <f t="shared" si="63"/>
        <v/>
      </c>
      <c r="T863" s="41"/>
      <c r="U863" s="44"/>
      <c r="V863" s="44"/>
      <c r="W863" s="46"/>
      <c r="X863" s="46"/>
      <c r="Y863" s="46"/>
      <c r="Z863" s="22"/>
      <c r="AA863" s="22"/>
      <c r="AB863" s="22"/>
      <c r="AC863" s="22"/>
      <c r="AD863" s="22"/>
      <c r="AE863" s="22"/>
      <c r="AF863" s="48" t="str">
        <f t="shared" si="64"/>
        <v/>
      </c>
      <c r="AG863" s="48" t="str">
        <f t="shared" si="65"/>
        <v/>
      </c>
      <c r="AH863" s="48" t="str">
        <f t="shared" si="66"/>
        <v/>
      </c>
      <c r="AI863" s="40" t="str">
        <f t="shared" si="67"/>
        <v/>
      </c>
      <c r="AJ863" s="40"/>
      <c r="AK863" s="40"/>
      <c r="AL863" s="22"/>
    </row>
    <row r="864" spans="1:38" ht="17.399999999999999">
      <c r="A864" s="22"/>
      <c r="B864" s="22"/>
      <c r="C864" s="56"/>
      <c r="D864" s="56"/>
      <c r="E864" s="22"/>
      <c r="F864" s="22"/>
      <c r="G864" s="22"/>
      <c r="H864" s="22"/>
      <c r="I864" s="49"/>
      <c r="J864" s="50"/>
      <c r="K864" s="22"/>
      <c r="L864" s="22"/>
      <c r="M864" s="22"/>
      <c r="N864" s="22"/>
      <c r="O864" s="22"/>
      <c r="P864" s="46"/>
      <c r="Q864" s="40"/>
      <c r="R864" s="41"/>
      <c r="S864" s="22" t="str">
        <f t="shared" si="63"/>
        <v/>
      </c>
      <c r="T864" s="41"/>
      <c r="U864" s="44"/>
      <c r="V864" s="44"/>
      <c r="W864" s="46"/>
      <c r="X864" s="46"/>
      <c r="Y864" s="46"/>
      <c r="Z864" s="22"/>
      <c r="AA864" s="22"/>
      <c r="AB864" s="22"/>
      <c r="AC864" s="22"/>
      <c r="AD864" s="22"/>
      <c r="AE864" s="22"/>
      <c r="AF864" s="48" t="str">
        <f t="shared" si="64"/>
        <v/>
      </c>
      <c r="AG864" s="48" t="str">
        <f t="shared" si="65"/>
        <v/>
      </c>
      <c r="AH864" s="48" t="str">
        <f t="shared" si="66"/>
        <v/>
      </c>
      <c r="AI864" s="40" t="str">
        <f t="shared" si="67"/>
        <v/>
      </c>
      <c r="AJ864" s="40"/>
      <c r="AK864" s="40"/>
      <c r="AL864" s="22"/>
    </row>
    <row r="865" spans="1:38" ht="17.399999999999999">
      <c r="A865" s="22"/>
      <c r="B865" s="22"/>
      <c r="C865" s="56"/>
      <c r="D865" s="56"/>
      <c r="E865" s="22"/>
      <c r="F865" s="22"/>
      <c r="G865" s="22"/>
      <c r="H865" s="22"/>
      <c r="I865" s="49"/>
      <c r="J865" s="50"/>
      <c r="K865" s="22"/>
      <c r="L865" s="22"/>
      <c r="M865" s="22"/>
      <c r="N865" s="22"/>
      <c r="O865" s="22"/>
      <c r="P865" s="46"/>
      <c r="Q865" s="40"/>
      <c r="R865" s="41"/>
      <c r="S865" s="22" t="str">
        <f t="shared" si="63"/>
        <v/>
      </c>
      <c r="T865" s="41"/>
      <c r="U865" s="44"/>
      <c r="V865" s="44"/>
      <c r="W865" s="46"/>
      <c r="X865" s="46"/>
      <c r="Y865" s="46"/>
      <c r="Z865" s="22"/>
      <c r="AA865" s="22"/>
      <c r="AB865" s="22"/>
      <c r="AC865" s="22"/>
      <c r="AD865" s="22"/>
      <c r="AE865" s="22"/>
      <c r="AF865" s="48" t="str">
        <f t="shared" si="64"/>
        <v/>
      </c>
      <c r="AG865" s="48" t="str">
        <f t="shared" si="65"/>
        <v/>
      </c>
      <c r="AH865" s="48" t="str">
        <f t="shared" si="66"/>
        <v/>
      </c>
      <c r="AI865" s="40" t="str">
        <f t="shared" si="67"/>
        <v/>
      </c>
      <c r="AJ865" s="40"/>
      <c r="AK865" s="40"/>
      <c r="AL865" s="22"/>
    </row>
    <row r="866" spans="1:38" ht="17.399999999999999">
      <c r="A866" s="22"/>
      <c r="B866" s="22"/>
      <c r="C866" s="56"/>
      <c r="D866" s="56"/>
      <c r="E866" s="22"/>
      <c r="F866" s="22"/>
      <c r="G866" s="22"/>
      <c r="H866" s="22"/>
      <c r="I866" s="49"/>
      <c r="J866" s="50"/>
      <c r="K866" s="22"/>
      <c r="L866" s="22"/>
      <c r="M866" s="22"/>
      <c r="N866" s="22"/>
      <c r="O866" s="22"/>
      <c r="P866" s="46"/>
      <c r="Q866" s="40"/>
      <c r="R866" s="41"/>
      <c r="S866" s="22" t="str">
        <f t="shared" si="63"/>
        <v/>
      </c>
      <c r="T866" s="41"/>
      <c r="U866" s="44"/>
      <c r="V866" s="44"/>
      <c r="W866" s="46"/>
      <c r="X866" s="46"/>
      <c r="Y866" s="46"/>
      <c r="Z866" s="22"/>
      <c r="AA866" s="22"/>
      <c r="AB866" s="22"/>
      <c r="AC866" s="22"/>
      <c r="AD866" s="22"/>
      <c r="AE866" s="22"/>
      <c r="AF866" s="48" t="str">
        <f t="shared" si="64"/>
        <v/>
      </c>
      <c r="AG866" s="48" t="str">
        <f t="shared" si="65"/>
        <v/>
      </c>
      <c r="AH866" s="48" t="str">
        <f t="shared" si="66"/>
        <v/>
      </c>
      <c r="AI866" s="40" t="str">
        <f t="shared" si="67"/>
        <v/>
      </c>
      <c r="AJ866" s="40"/>
      <c r="AK866" s="40"/>
      <c r="AL866" s="22"/>
    </row>
    <row r="867" spans="1:38" ht="17.399999999999999">
      <c r="A867" s="22"/>
      <c r="B867" s="22"/>
      <c r="C867" s="56"/>
      <c r="D867" s="56"/>
      <c r="E867" s="22"/>
      <c r="F867" s="22"/>
      <c r="G867" s="22"/>
      <c r="H867" s="22"/>
      <c r="I867" s="49"/>
      <c r="J867" s="50"/>
      <c r="K867" s="22"/>
      <c r="L867" s="22"/>
      <c r="M867" s="22"/>
      <c r="N867" s="22"/>
      <c r="O867" s="22"/>
      <c r="P867" s="46"/>
      <c r="Q867" s="40"/>
      <c r="R867" s="41"/>
      <c r="S867" s="22" t="str">
        <f t="shared" si="63"/>
        <v/>
      </c>
      <c r="T867" s="41"/>
      <c r="U867" s="44"/>
      <c r="V867" s="44"/>
      <c r="W867" s="46"/>
      <c r="X867" s="46"/>
      <c r="Y867" s="46"/>
      <c r="Z867" s="22"/>
      <c r="AA867" s="22"/>
      <c r="AB867" s="22"/>
      <c r="AC867" s="22"/>
      <c r="AD867" s="22"/>
      <c r="AE867" s="22"/>
      <c r="AF867" s="48" t="str">
        <f t="shared" si="64"/>
        <v/>
      </c>
      <c r="AG867" s="48" t="str">
        <f t="shared" si="65"/>
        <v/>
      </c>
      <c r="AH867" s="48" t="str">
        <f t="shared" si="66"/>
        <v/>
      </c>
      <c r="AI867" s="40" t="str">
        <f t="shared" si="67"/>
        <v/>
      </c>
      <c r="AJ867" s="40"/>
      <c r="AK867" s="40"/>
      <c r="AL867" s="22"/>
    </row>
    <row r="868" spans="1:38" ht="17.399999999999999">
      <c r="A868" s="22"/>
      <c r="B868" s="22"/>
      <c r="C868" s="56"/>
      <c r="D868" s="56"/>
      <c r="E868" s="22"/>
      <c r="F868" s="22"/>
      <c r="G868" s="22"/>
      <c r="H868" s="22"/>
      <c r="I868" s="49"/>
      <c r="J868" s="50"/>
      <c r="K868" s="22"/>
      <c r="L868" s="22"/>
      <c r="M868" s="22"/>
      <c r="N868" s="22"/>
      <c r="O868" s="22"/>
      <c r="P868" s="46"/>
      <c r="Q868" s="40"/>
      <c r="R868" s="41"/>
      <c r="S868" s="22" t="str">
        <f t="shared" si="63"/>
        <v/>
      </c>
      <c r="T868" s="41"/>
      <c r="U868" s="44"/>
      <c r="V868" s="44"/>
      <c r="W868" s="46"/>
      <c r="X868" s="46"/>
      <c r="Y868" s="46"/>
      <c r="Z868" s="22"/>
      <c r="AA868" s="22"/>
      <c r="AB868" s="22"/>
      <c r="AC868" s="22"/>
      <c r="AD868" s="22"/>
      <c r="AE868" s="22"/>
      <c r="AF868" s="48" t="str">
        <f t="shared" si="64"/>
        <v/>
      </c>
      <c r="AG868" s="48" t="str">
        <f t="shared" si="65"/>
        <v/>
      </c>
      <c r="AH868" s="48" t="str">
        <f t="shared" si="66"/>
        <v/>
      </c>
      <c r="AI868" s="40" t="str">
        <f t="shared" si="67"/>
        <v/>
      </c>
      <c r="AJ868" s="40"/>
      <c r="AK868" s="40"/>
      <c r="AL868" s="22"/>
    </row>
    <row r="869" spans="1:38" ht="17.399999999999999">
      <c r="A869" s="22"/>
      <c r="B869" s="22"/>
      <c r="C869" s="56"/>
      <c r="D869" s="56"/>
      <c r="E869" s="22"/>
      <c r="F869" s="22"/>
      <c r="G869" s="22"/>
      <c r="H869" s="22"/>
      <c r="I869" s="49"/>
      <c r="J869" s="50"/>
      <c r="K869" s="22"/>
      <c r="L869" s="22"/>
      <c r="M869" s="22"/>
      <c r="N869" s="22"/>
      <c r="O869" s="22"/>
      <c r="P869" s="46"/>
      <c r="Q869" s="40"/>
      <c r="R869" s="41"/>
      <c r="S869" s="22" t="str">
        <f t="shared" si="63"/>
        <v/>
      </c>
      <c r="T869" s="41"/>
      <c r="U869" s="44"/>
      <c r="V869" s="44"/>
      <c r="W869" s="46"/>
      <c r="X869" s="46"/>
      <c r="Y869" s="46"/>
      <c r="Z869" s="22"/>
      <c r="AA869" s="22"/>
      <c r="AB869" s="22"/>
      <c r="AC869" s="22"/>
      <c r="AD869" s="22"/>
      <c r="AE869" s="22"/>
      <c r="AF869" s="48" t="str">
        <f t="shared" si="64"/>
        <v/>
      </c>
      <c r="AG869" s="48" t="str">
        <f t="shared" si="65"/>
        <v/>
      </c>
      <c r="AH869" s="48" t="str">
        <f t="shared" si="66"/>
        <v/>
      </c>
      <c r="AI869" s="40" t="str">
        <f t="shared" si="67"/>
        <v/>
      </c>
      <c r="AJ869" s="40"/>
      <c r="AK869" s="40"/>
      <c r="AL869" s="22"/>
    </row>
    <row r="870" spans="1:38" ht="17.399999999999999">
      <c r="A870" s="22"/>
      <c r="B870" s="22"/>
      <c r="C870" s="56"/>
      <c r="D870" s="56"/>
      <c r="E870" s="22"/>
      <c r="F870" s="22"/>
      <c r="G870" s="22"/>
      <c r="H870" s="22"/>
      <c r="I870" s="49"/>
      <c r="J870" s="50"/>
      <c r="K870" s="22"/>
      <c r="L870" s="22"/>
      <c r="M870" s="22"/>
      <c r="N870" s="22"/>
      <c r="O870" s="22"/>
      <c r="P870" s="46"/>
      <c r="Q870" s="40"/>
      <c r="R870" s="41"/>
      <c r="S870" s="22" t="str">
        <f t="shared" si="63"/>
        <v/>
      </c>
      <c r="T870" s="41"/>
      <c r="U870" s="44"/>
      <c r="V870" s="44"/>
      <c r="W870" s="46"/>
      <c r="X870" s="46"/>
      <c r="Y870" s="46"/>
      <c r="Z870" s="22"/>
      <c r="AA870" s="22"/>
      <c r="AB870" s="22"/>
      <c r="AC870" s="22"/>
      <c r="AD870" s="22"/>
      <c r="AE870" s="22"/>
      <c r="AF870" s="48" t="str">
        <f t="shared" si="64"/>
        <v/>
      </c>
      <c r="AG870" s="48" t="str">
        <f t="shared" si="65"/>
        <v/>
      </c>
      <c r="AH870" s="48" t="str">
        <f t="shared" si="66"/>
        <v/>
      </c>
      <c r="AI870" s="40" t="str">
        <f t="shared" si="67"/>
        <v/>
      </c>
      <c r="AJ870" s="40"/>
      <c r="AK870" s="40"/>
      <c r="AL870" s="22"/>
    </row>
    <row r="871" spans="1:38" ht="17.399999999999999">
      <c r="A871" s="22"/>
      <c r="B871" s="22"/>
      <c r="C871" s="56"/>
      <c r="D871" s="56"/>
      <c r="E871" s="22"/>
      <c r="F871" s="22"/>
      <c r="G871" s="22"/>
      <c r="H871" s="22"/>
      <c r="I871" s="49"/>
      <c r="J871" s="50"/>
      <c r="K871" s="22"/>
      <c r="L871" s="22"/>
      <c r="M871" s="22"/>
      <c r="N871" s="22"/>
      <c r="O871" s="22"/>
      <c r="P871" s="46"/>
      <c r="Q871" s="40"/>
      <c r="R871" s="41"/>
      <c r="S871" s="22" t="str">
        <f t="shared" si="63"/>
        <v/>
      </c>
      <c r="T871" s="41"/>
      <c r="U871" s="44"/>
      <c r="V871" s="44"/>
      <c r="W871" s="46"/>
      <c r="X871" s="46"/>
      <c r="Y871" s="46"/>
      <c r="Z871" s="22"/>
      <c r="AA871" s="22"/>
      <c r="AB871" s="22"/>
      <c r="AC871" s="22"/>
      <c r="AD871" s="22"/>
      <c r="AE871" s="22"/>
      <c r="AF871" s="48" t="str">
        <f t="shared" si="64"/>
        <v/>
      </c>
      <c r="AG871" s="48" t="str">
        <f t="shared" si="65"/>
        <v/>
      </c>
      <c r="AH871" s="48" t="str">
        <f t="shared" si="66"/>
        <v/>
      </c>
      <c r="AI871" s="40" t="str">
        <f t="shared" si="67"/>
        <v/>
      </c>
      <c r="AJ871" s="40"/>
      <c r="AK871" s="40"/>
      <c r="AL871" s="22"/>
    </row>
    <row r="872" spans="1:38" ht="17.399999999999999">
      <c r="A872" s="22"/>
      <c r="B872" s="22"/>
      <c r="C872" s="56"/>
      <c r="D872" s="56"/>
      <c r="E872" s="22"/>
      <c r="F872" s="22"/>
      <c r="G872" s="22"/>
      <c r="H872" s="22"/>
      <c r="I872" s="49"/>
      <c r="J872" s="50"/>
      <c r="K872" s="22"/>
      <c r="L872" s="22"/>
      <c r="M872" s="22"/>
      <c r="N872" s="22"/>
      <c r="O872" s="22"/>
      <c r="P872" s="46"/>
      <c r="Q872" s="40"/>
      <c r="R872" s="41"/>
      <c r="S872" s="22" t="str">
        <f t="shared" si="63"/>
        <v/>
      </c>
      <c r="T872" s="41"/>
      <c r="U872" s="44"/>
      <c r="V872" s="44"/>
      <c r="W872" s="46"/>
      <c r="X872" s="46"/>
      <c r="Y872" s="46"/>
      <c r="Z872" s="22"/>
      <c r="AA872" s="22"/>
      <c r="AB872" s="22"/>
      <c r="AC872" s="22"/>
      <c r="AD872" s="22"/>
      <c r="AE872" s="22"/>
      <c r="AF872" s="48" t="str">
        <f t="shared" si="64"/>
        <v/>
      </c>
      <c r="AG872" s="48" t="str">
        <f t="shared" si="65"/>
        <v/>
      </c>
      <c r="AH872" s="48" t="str">
        <f t="shared" si="66"/>
        <v/>
      </c>
      <c r="AI872" s="40" t="str">
        <f t="shared" si="67"/>
        <v/>
      </c>
      <c r="AJ872" s="40"/>
      <c r="AK872" s="40"/>
      <c r="AL872" s="22"/>
    </row>
    <row r="873" spans="1:38" ht="17.399999999999999">
      <c r="A873" s="22"/>
      <c r="B873" s="22"/>
      <c r="C873" s="56"/>
      <c r="D873" s="56"/>
      <c r="E873" s="22"/>
      <c r="F873" s="22"/>
      <c r="G873" s="22"/>
      <c r="H873" s="22"/>
      <c r="I873" s="49"/>
      <c r="J873" s="50"/>
      <c r="K873" s="22"/>
      <c r="L873" s="22"/>
      <c r="M873" s="22"/>
      <c r="N873" s="22"/>
      <c r="O873" s="22"/>
      <c r="P873" s="46"/>
      <c r="Q873" s="40"/>
      <c r="R873" s="41"/>
      <c r="S873" s="22" t="str">
        <f t="shared" si="63"/>
        <v/>
      </c>
      <c r="T873" s="41"/>
      <c r="U873" s="44"/>
      <c r="V873" s="44"/>
      <c r="W873" s="46"/>
      <c r="X873" s="46"/>
      <c r="Y873" s="46"/>
      <c r="Z873" s="22"/>
      <c r="AA873" s="22"/>
      <c r="AB873" s="22"/>
      <c r="AC873" s="22"/>
      <c r="AD873" s="22"/>
      <c r="AE873" s="22"/>
      <c r="AF873" s="48" t="str">
        <f t="shared" si="64"/>
        <v/>
      </c>
      <c r="AG873" s="48" t="str">
        <f t="shared" si="65"/>
        <v/>
      </c>
      <c r="AH873" s="48" t="str">
        <f t="shared" si="66"/>
        <v/>
      </c>
      <c r="AI873" s="40" t="str">
        <f t="shared" si="67"/>
        <v/>
      </c>
      <c r="AJ873" s="40"/>
      <c r="AK873" s="40"/>
      <c r="AL873" s="22"/>
    </row>
    <row r="874" spans="1:38" ht="17.399999999999999">
      <c r="A874" s="22"/>
      <c r="B874" s="22"/>
      <c r="C874" s="56"/>
      <c r="D874" s="56"/>
      <c r="E874" s="22"/>
      <c r="F874" s="22"/>
      <c r="G874" s="22"/>
      <c r="H874" s="22"/>
      <c r="I874" s="49"/>
      <c r="J874" s="50"/>
      <c r="K874" s="22"/>
      <c r="L874" s="22"/>
      <c r="M874" s="22"/>
      <c r="N874" s="22"/>
      <c r="O874" s="22"/>
      <c r="P874" s="46"/>
      <c r="Q874" s="40"/>
      <c r="R874" s="41"/>
      <c r="S874" s="22" t="str">
        <f t="shared" si="63"/>
        <v/>
      </c>
      <c r="T874" s="41"/>
      <c r="U874" s="44"/>
      <c r="V874" s="44"/>
      <c r="W874" s="46"/>
      <c r="X874" s="46"/>
      <c r="Y874" s="46"/>
      <c r="Z874" s="22"/>
      <c r="AA874" s="22"/>
      <c r="AB874" s="22"/>
      <c r="AC874" s="22"/>
      <c r="AD874" s="22"/>
      <c r="AE874" s="22"/>
      <c r="AF874" s="48" t="str">
        <f t="shared" si="64"/>
        <v/>
      </c>
      <c r="AG874" s="48" t="str">
        <f t="shared" si="65"/>
        <v/>
      </c>
      <c r="AH874" s="48" t="str">
        <f t="shared" si="66"/>
        <v/>
      </c>
      <c r="AI874" s="40" t="str">
        <f t="shared" si="67"/>
        <v/>
      </c>
      <c r="AJ874" s="40"/>
      <c r="AK874" s="40"/>
      <c r="AL874" s="22"/>
    </row>
    <row r="875" spans="1:38" ht="17.399999999999999">
      <c r="A875" s="22"/>
      <c r="B875" s="22"/>
      <c r="C875" s="56"/>
      <c r="D875" s="56"/>
      <c r="E875" s="22"/>
      <c r="F875" s="22"/>
      <c r="G875" s="22"/>
      <c r="H875" s="22"/>
      <c r="I875" s="49"/>
      <c r="J875" s="50"/>
      <c r="K875" s="22"/>
      <c r="L875" s="22"/>
      <c r="M875" s="22"/>
      <c r="N875" s="22"/>
      <c r="O875" s="22"/>
      <c r="P875" s="46"/>
      <c r="Q875" s="40"/>
      <c r="R875" s="41"/>
      <c r="S875" s="22" t="str">
        <f t="shared" si="63"/>
        <v/>
      </c>
      <c r="T875" s="41"/>
      <c r="U875" s="44"/>
      <c r="V875" s="44"/>
      <c r="W875" s="46"/>
      <c r="X875" s="46"/>
      <c r="Y875" s="46"/>
      <c r="Z875" s="22"/>
      <c r="AA875" s="22"/>
      <c r="AB875" s="22"/>
      <c r="AC875" s="22"/>
      <c r="AD875" s="22"/>
      <c r="AE875" s="22"/>
      <c r="AF875" s="48" t="str">
        <f t="shared" si="64"/>
        <v/>
      </c>
      <c r="AG875" s="48" t="str">
        <f t="shared" si="65"/>
        <v/>
      </c>
      <c r="AH875" s="48" t="str">
        <f t="shared" si="66"/>
        <v/>
      </c>
      <c r="AI875" s="40" t="str">
        <f t="shared" si="67"/>
        <v/>
      </c>
      <c r="AJ875" s="40"/>
      <c r="AK875" s="40"/>
      <c r="AL875" s="22"/>
    </row>
    <row r="876" spans="1:38" ht="17.399999999999999">
      <c r="A876" s="22"/>
      <c r="B876" s="22"/>
      <c r="C876" s="56"/>
      <c r="D876" s="56"/>
      <c r="E876" s="22"/>
      <c r="F876" s="22"/>
      <c r="G876" s="22"/>
      <c r="H876" s="22"/>
      <c r="I876" s="49"/>
      <c r="J876" s="50"/>
      <c r="K876" s="22"/>
      <c r="L876" s="22"/>
      <c r="M876" s="22"/>
      <c r="N876" s="22"/>
      <c r="O876" s="22"/>
      <c r="P876" s="46"/>
      <c r="Q876" s="40"/>
      <c r="R876" s="41"/>
      <c r="S876" s="22" t="str">
        <f t="shared" si="63"/>
        <v/>
      </c>
      <c r="T876" s="41"/>
      <c r="U876" s="44"/>
      <c r="V876" s="44"/>
      <c r="W876" s="46"/>
      <c r="X876" s="46"/>
      <c r="Y876" s="46"/>
      <c r="Z876" s="22"/>
      <c r="AA876" s="22"/>
      <c r="AB876" s="22"/>
      <c r="AC876" s="22"/>
      <c r="AD876" s="22"/>
      <c r="AE876" s="22"/>
      <c r="AF876" s="48" t="str">
        <f t="shared" si="64"/>
        <v/>
      </c>
      <c r="AG876" s="48" t="str">
        <f t="shared" si="65"/>
        <v/>
      </c>
      <c r="AH876" s="48" t="str">
        <f t="shared" si="66"/>
        <v/>
      </c>
      <c r="AI876" s="40" t="str">
        <f t="shared" si="67"/>
        <v/>
      </c>
      <c r="AJ876" s="40"/>
      <c r="AK876" s="40"/>
      <c r="AL876" s="22"/>
    </row>
    <row r="877" spans="1:38" ht="17.399999999999999">
      <c r="A877" s="22"/>
      <c r="B877" s="22"/>
      <c r="C877" s="56"/>
      <c r="D877" s="56"/>
      <c r="E877" s="22"/>
      <c r="F877" s="22"/>
      <c r="G877" s="22"/>
      <c r="H877" s="22"/>
      <c r="I877" s="49"/>
      <c r="J877" s="50"/>
      <c r="K877" s="22"/>
      <c r="L877" s="22"/>
      <c r="M877" s="22"/>
      <c r="N877" s="22"/>
      <c r="O877" s="22"/>
      <c r="P877" s="46"/>
      <c r="Q877" s="40"/>
      <c r="R877" s="41"/>
      <c r="S877" s="22" t="str">
        <f t="shared" si="63"/>
        <v/>
      </c>
      <c r="T877" s="41"/>
      <c r="U877" s="44"/>
      <c r="V877" s="44"/>
      <c r="W877" s="46"/>
      <c r="X877" s="46"/>
      <c r="Y877" s="46"/>
      <c r="Z877" s="22"/>
      <c r="AA877" s="22"/>
      <c r="AB877" s="22"/>
      <c r="AC877" s="22"/>
      <c r="AD877" s="22"/>
      <c r="AE877" s="22"/>
      <c r="AF877" s="48" t="str">
        <f t="shared" si="64"/>
        <v/>
      </c>
      <c r="AG877" s="48" t="str">
        <f t="shared" si="65"/>
        <v/>
      </c>
      <c r="AH877" s="48" t="str">
        <f t="shared" si="66"/>
        <v/>
      </c>
      <c r="AI877" s="40" t="str">
        <f t="shared" si="67"/>
        <v/>
      </c>
      <c r="AJ877" s="40"/>
      <c r="AK877" s="40"/>
      <c r="AL877" s="22"/>
    </row>
    <row r="878" spans="1:38" ht="17.399999999999999">
      <c r="A878" s="22"/>
      <c r="B878" s="22"/>
      <c r="C878" s="56"/>
      <c r="D878" s="56"/>
      <c r="E878" s="22"/>
      <c r="F878" s="22"/>
      <c r="G878" s="22"/>
      <c r="H878" s="22"/>
      <c r="I878" s="49"/>
      <c r="J878" s="50"/>
      <c r="K878" s="22"/>
      <c r="L878" s="22"/>
      <c r="M878" s="22"/>
      <c r="N878" s="22"/>
      <c r="O878" s="22"/>
      <c r="P878" s="46"/>
      <c r="Q878" s="40"/>
      <c r="R878" s="41"/>
      <c r="S878" s="22" t="str">
        <f t="shared" si="63"/>
        <v/>
      </c>
      <c r="T878" s="41"/>
      <c r="U878" s="44"/>
      <c r="V878" s="44"/>
      <c r="W878" s="46"/>
      <c r="X878" s="46"/>
      <c r="Y878" s="46"/>
      <c r="Z878" s="22"/>
      <c r="AA878" s="22"/>
      <c r="AB878" s="22"/>
      <c r="AC878" s="22"/>
      <c r="AD878" s="22"/>
      <c r="AE878" s="22"/>
      <c r="AF878" s="48" t="str">
        <f t="shared" si="64"/>
        <v/>
      </c>
      <c r="AG878" s="48" t="str">
        <f t="shared" si="65"/>
        <v/>
      </c>
      <c r="AH878" s="48" t="str">
        <f t="shared" si="66"/>
        <v/>
      </c>
      <c r="AI878" s="40" t="str">
        <f t="shared" si="67"/>
        <v/>
      </c>
      <c r="AJ878" s="40"/>
      <c r="AK878" s="40"/>
      <c r="AL878" s="22"/>
    </row>
    <row r="879" spans="1:38" ht="17.399999999999999">
      <c r="A879" s="22"/>
      <c r="B879" s="22"/>
      <c r="C879" s="56"/>
      <c r="D879" s="56"/>
      <c r="E879" s="22"/>
      <c r="F879" s="22"/>
      <c r="G879" s="22"/>
      <c r="H879" s="22"/>
      <c r="I879" s="49"/>
      <c r="J879" s="50"/>
      <c r="K879" s="22"/>
      <c r="L879" s="22"/>
      <c r="M879" s="22"/>
      <c r="N879" s="22"/>
      <c r="O879" s="22"/>
      <c r="P879" s="46"/>
      <c r="Q879" s="40"/>
      <c r="R879" s="41"/>
      <c r="S879" s="22" t="str">
        <f t="shared" si="63"/>
        <v/>
      </c>
      <c r="T879" s="41"/>
      <c r="U879" s="44"/>
      <c r="V879" s="44"/>
      <c r="W879" s="46"/>
      <c r="X879" s="46"/>
      <c r="Y879" s="46"/>
      <c r="Z879" s="22"/>
      <c r="AA879" s="22"/>
      <c r="AB879" s="22"/>
      <c r="AC879" s="22"/>
      <c r="AD879" s="22"/>
      <c r="AE879" s="22"/>
      <c r="AF879" s="48" t="str">
        <f t="shared" si="64"/>
        <v/>
      </c>
      <c r="AG879" s="48" t="str">
        <f t="shared" si="65"/>
        <v/>
      </c>
      <c r="AH879" s="48" t="str">
        <f t="shared" si="66"/>
        <v/>
      </c>
      <c r="AI879" s="40" t="str">
        <f t="shared" si="67"/>
        <v/>
      </c>
      <c r="AJ879" s="40"/>
      <c r="AK879" s="40"/>
      <c r="AL879" s="22"/>
    </row>
    <row r="880" spans="1:38" ht="17.399999999999999">
      <c r="A880" s="22"/>
      <c r="B880" s="22"/>
      <c r="C880" s="56"/>
      <c r="D880" s="56"/>
      <c r="E880" s="22"/>
      <c r="F880" s="22"/>
      <c r="G880" s="22"/>
      <c r="H880" s="22"/>
      <c r="I880" s="49"/>
      <c r="J880" s="50"/>
      <c r="K880" s="22"/>
      <c r="L880" s="22"/>
      <c r="M880" s="22"/>
      <c r="N880" s="22"/>
      <c r="O880" s="22"/>
      <c r="P880" s="46"/>
      <c r="Q880" s="40"/>
      <c r="R880" s="41"/>
      <c r="S880" s="22" t="str">
        <f t="shared" si="63"/>
        <v/>
      </c>
      <c r="T880" s="41"/>
      <c r="U880" s="44"/>
      <c r="V880" s="44"/>
      <c r="W880" s="46"/>
      <c r="X880" s="46"/>
      <c r="Y880" s="46"/>
      <c r="Z880" s="22"/>
      <c r="AA880" s="22"/>
      <c r="AB880" s="22"/>
      <c r="AC880" s="22"/>
      <c r="AD880" s="22"/>
      <c r="AE880" s="22"/>
      <c r="AF880" s="48" t="str">
        <f t="shared" si="64"/>
        <v/>
      </c>
      <c r="AG880" s="48" t="str">
        <f t="shared" si="65"/>
        <v/>
      </c>
      <c r="AH880" s="48" t="str">
        <f t="shared" si="66"/>
        <v/>
      </c>
      <c r="AI880" s="40" t="str">
        <f t="shared" si="67"/>
        <v/>
      </c>
      <c r="AJ880" s="40"/>
      <c r="AK880" s="40"/>
      <c r="AL880" s="22"/>
    </row>
    <row r="881" spans="1:38" ht="17.399999999999999">
      <c r="A881" s="22"/>
      <c r="B881" s="22"/>
      <c r="C881" s="56"/>
      <c r="D881" s="56"/>
      <c r="E881" s="22"/>
      <c r="F881" s="22"/>
      <c r="G881" s="22"/>
      <c r="H881" s="22"/>
      <c r="I881" s="49"/>
      <c r="J881" s="50"/>
      <c r="K881" s="22"/>
      <c r="L881" s="22"/>
      <c r="M881" s="22"/>
      <c r="N881" s="22"/>
      <c r="O881" s="22"/>
      <c r="P881" s="46"/>
      <c r="Q881" s="40"/>
      <c r="R881" s="41"/>
      <c r="S881" s="22" t="str">
        <f t="shared" si="63"/>
        <v/>
      </c>
      <c r="T881" s="41"/>
      <c r="U881" s="44"/>
      <c r="V881" s="44"/>
      <c r="W881" s="46"/>
      <c r="X881" s="46"/>
      <c r="Y881" s="46"/>
      <c r="Z881" s="22"/>
      <c r="AA881" s="22"/>
      <c r="AB881" s="22"/>
      <c r="AC881" s="22"/>
      <c r="AD881" s="22"/>
      <c r="AE881" s="22"/>
      <c r="AF881" s="48" t="str">
        <f t="shared" si="64"/>
        <v/>
      </c>
      <c r="AG881" s="48" t="str">
        <f t="shared" si="65"/>
        <v/>
      </c>
      <c r="AH881" s="48" t="str">
        <f t="shared" si="66"/>
        <v/>
      </c>
      <c r="AI881" s="40" t="str">
        <f t="shared" si="67"/>
        <v/>
      </c>
      <c r="AJ881" s="40"/>
      <c r="AK881" s="40"/>
      <c r="AL881" s="22"/>
    </row>
    <row r="882" spans="1:38" ht="17.399999999999999">
      <c r="A882" s="22"/>
      <c r="B882" s="22"/>
      <c r="C882" s="56"/>
      <c r="D882" s="56"/>
      <c r="E882" s="22"/>
      <c r="F882" s="22"/>
      <c r="G882" s="22"/>
      <c r="H882" s="22"/>
      <c r="I882" s="49"/>
      <c r="J882" s="50"/>
      <c r="K882" s="22"/>
      <c r="L882" s="22"/>
      <c r="M882" s="22"/>
      <c r="N882" s="22"/>
      <c r="O882" s="22"/>
      <c r="P882" s="46"/>
      <c r="Q882" s="40"/>
      <c r="R882" s="41"/>
      <c r="S882" s="22" t="str">
        <f t="shared" si="63"/>
        <v/>
      </c>
      <c r="T882" s="41"/>
      <c r="U882" s="44"/>
      <c r="V882" s="44"/>
      <c r="W882" s="46"/>
      <c r="X882" s="46"/>
      <c r="Y882" s="46"/>
      <c r="Z882" s="22"/>
      <c r="AA882" s="22"/>
      <c r="AB882" s="22"/>
      <c r="AC882" s="22"/>
      <c r="AD882" s="22"/>
      <c r="AE882" s="22"/>
      <c r="AF882" s="48" t="str">
        <f t="shared" si="64"/>
        <v/>
      </c>
      <c r="AG882" s="48" t="str">
        <f t="shared" si="65"/>
        <v/>
      </c>
      <c r="AH882" s="48" t="str">
        <f t="shared" si="66"/>
        <v/>
      </c>
      <c r="AI882" s="40" t="str">
        <f t="shared" si="67"/>
        <v/>
      </c>
      <c r="AJ882" s="40"/>
      <c r="AK882" s="40"/>
      <c r="AL882" s="22"/>
    </row>
    <row r="883" spans="1:38" ht="17.399999999999999">
      <c r="A883" s="22"/>
      <c r="B883" s="22"/>
      <c r="C883" s="56"/>
      <c r="D883" s="56"/>
      <c r="E883" s="22"/>
      <c r="F883" s="22"/>
      <c r="G883" s="22"/>
      <c r="H883" s="22"/>
      <c r="I883" s="49"/>
      <c r="J883" s="50"/>
      <c r="K883" s="22"/>
      <c r="L883" s="22"/>
      <c r="M883" s="22"/>
      <c r="N883" s="22"/>
      <c r="O883" s="22"/>
      <c r="P883" s="46"/>
      <c r="Q883" s="40"/>
      <c r="R883" s="41"/>
      <c r="S883" s="22" t="str">
        <f t="shared" si="63"/>
        <v/>
      </c>
      <c r="T883" s="41"/>
      <c r="U883" s="44"/>
      <c r="V883" s="44"/>
      <c r="W883" s="46"/>
      <c r="X883" s="46"/>
      <c r="Y883" s="46"/>
      <c r="Z883" s="22"/>
      <c r="AA883" s="22"/>
      <c r="AB883" s="22"/>
      <c r="AC883" s="22"/>
      <c r="AD883" s="22"/>
      <c r="AE883" s="22"/>
      <c r="AF883" s="48" t="str">
        <f t="shared" si="64"/>
        <v/>
      </c>
      <c r="AG883" s="48" t="str">
        <f t="shared" si="65"/>
        <v/>
      </c>
      <c r="AH883" s="48" t="str">
        <f t="shared" si="66"/>
        <v/>
      </c>
      <c r="AI883" s="40" t="str">
        <f t="shared" si="67"/>
        <v/>
      </c>
      <c r="AJ883" s="40"/>
      <c r="AK883" s="40"/>
      <c r="AL883" s="22"/>
    </row>
    <row r="884" spans="1:38" ht="17.399999999999999">
      <c r="A884" s="22"/>
      <c r="B884" s="22"/>
      <c r="C884" s="56"/>
      <c r="D884" s="56"/>
      <c r="E884" s="22"/>
      <c r="F884" s="22"/>
      <c r="G884" s="22"/>
      <c r="H884" s="22"/>
      <c r="I884" s="49"/>
      <c r="J884" s="50"/>
      <c r="K884" s="22"/>
      <c r="L884" s="22"/>
      <c r="M884" s="22"/>
      <c r="N884" s="22"/>
      <c r="O884" s="22"/>
      <c r="P884" s="46"/>
      <c r="Q884" s="40"/>
      <c r="R884" s="41"/>
      <c r="S884" s="22" t="str">
        <f t="shared" si="63"/>
        <v/>
      </c>
      <c r="T884" s="41"/>
      <c r="U884" s="44"/>
      <c r="V884" s="44"/>
      <c r="W884" s="46"/>
      <c r="X884" s="46"/>
      <c r="Y884" s="46"/>
      <c r="Z884" s="22"/>
      <c r="AA884" s="22"/>
      <c r="AB884" s="22"/>
      <c r="AC884" s="22"/>
      <c r="AD884" s="22"/>
      <c r="AE884" s="22"/>
      <c r="AF884" s="48" t="str">
        <f t="shared" si="64"/>
        <v/>
      </c>
      <c r="AG884" s="48" t="str">
        <f t="shared" si="65"/>
        <v/>
      </c>
      <c r="AH884" s="48" t="str">
        <f t="shared" si="66"/>
        <v/>
      </c>
      <c r="AI884" s="40" t="str">
        <f t="shared" si="67"/>
        <v/>
      </c>
      <c r="AJ884" s="40"/>
      <c r="AK884" s="40"/>
      <c r="AL884" s="22"/>
    </row>
    <row r="885" spans="1:38" ht="17.399999999999999">
      <c r="A885" s="22"/>
      <c r="B885" s="22"/>
      <c r="C885" s="56"/>
      <c r="D885" s="56"/>
      <c r="E885" s="22"/>
      <c r="F885" s="22"/>
      <c r="G885" s="22"/>
      <c r="H885" s="22"/>
      <c r="I885" s="49"/>
      <c r="J885" s="50"/>
      <c r="K885" s="22"/>
      <c r="L885" s="22"/>
      <c r="M885" s="22"/>
      <c r="N885" s="22"/>
      <c r="O885" s="22"/>
      <c r="P885" s="46"/>
      <c r="Q885" s="40"/>
      <c r="R885" s="41"/>
      <c r="S885" s="22" t="str">
        <f t="shared" si="63"/>
        <v/>
      </c>
      <c r="T885" s="41"/>
      <c r="U885" s="44"/>
      <c r="V885" s="44"/>
      <c r="W885" s="46"/>
      <c r="X885" s="46"/>
      <c r="Y885" s="46"/>
      <c r="Z885" s="22"/>
      <c r="AA885" s="22"/>
      <c r="AB885" s="22"/>
      <c r="AC885" s="22"/>
      <c r="AD885" s="22"/>
      <c r="AE885" s="22"/>
      <c r="AF885" s="48" t="str">
        <f t="shared" si="64"/>
        <v/>
      </c>
      <c r="AG885" s="48" t="str">
        <f t="shared" si="65"/>
        <v/>
      </c>
      <c r="AH885" s="48" t="str">
        <f t="shared" si="66"/>
        <v/>
      </c>
      <c r="AI885" s="40" t="str">
        <f t="shared" si="67"/>
        <v/>
      </c>
      <c r="AJ885" s="40"/>
      <c r="AK885" s="40"/>
      <c r="AL885" s="22"/>
    </row>
    <row r="886" spans="1:38" ht="17.399999999999999">
      <c r="A886" s="22"/>
      <c r="B886" s="22"/>
      <c r="C886" s="56"/>
      <c r="D886" s="56"/>
      <c r="E886" s="22"/>
      <c r="F886" s="22"/>
      <c r="G886" s="22"/>
      <c r="H886" s="22"/>
      <c r="I886" s="49"/>
      <c r="J886" s="50"/>
      <c r="K886" s="22"/>
      <c r="L886" s="22"/>
      <c r="M886" s="22"/>
      <c r="N886" s="22"/>
      <c r="O886" s="22"/>
      <c r="P886" s="46"/>
      <c r="Q886" s="40"/>
      <c r="R886" s="41"/>
      <c r="S886" s="22" t="str">
        <f t="shared" si="63"/>
        <v/>
      </c>
      <c r="T886" s="41"/>
      <c r="U886" s="44"/>
      <c r="V886" s="44"/>
      <c r="W886" s="46"/>
      <c r="X886" s="46"/>
      <c r="Y886" s="46"/>
      <c r="Z886" s="22"/>
      <c r="AA886" s="22"/>
      <c r="AB886" s="22"/>
      <c r="AC886" s="22"/>
      <c r="AD886" s="22"/>
      <c r="AE886" s="22"/>
      <c r="AF886" s="48" t="str">
        <f t="shared" si="64"/>
        <v/>
      </c>
      <c r="AG886" s="48" t="str">
        <f t="shared" si="65"/>
        <v/>
      </c>
      <c r="AH886" s="48" t="str">
        <f t="shared" si="66"/>
        <v/>
      </c>
      <c r="AI886" s="40" t="str">
        <f t="shared" si="67"/>
        <v/>
      </c>
      <c r="AJ886" s="40"/>
      <c r="AK886" s="40"/>
      <c r="AL886" s="22"/>
    </row>
    <row r="887" spans="1:38" ht="17.399999999999999">
      <c r="A887" s="22"/>
      <c r="B887" s="22"/>
      <c r="C887" s="56"/>
      <c r="D887" s="56"/>
      <c r="E887" s="22"/>
      <c r="F887" s="22"/>
      <c r="G887" s="22"/>
      <c r="H887" s="22"/>
      <c r="I887" s="49"/>
      <c r="J887" s="50"/>
      <c r="K887" s="22"/>
      <c r="L887" s="22"/>
      <c r="M887" s="22"/>
      <c r="N887" s="22"/>
      <c r="O887" s="22"/>
      <c r="P887" s="46"/>
      <c r="Q887" s="40"/>
      <c r="R887" s="41"/>
      <c r="S887" s="22" t="str">
        <f t="shared" si="63"/>
        <v/>
      </c>
      <c r="T887" s="41"/>
      <c r="U887" s="44"/>
      <c r="V887" s="44"/>
      <c r="W887" s="46"/>
      <c r="X887" s="46"/>
      <c r="Y887" s="46"/>
      <c r="Z887" s="22"/>
      <c r="AA887" s="22"/>
      <c r="AB887" s="22"/>
      <c r="AC887" s="22"/>
      <c r="AD887" s="22"/>
      <c r="AE887" s="22"/>
      <c r="AF887" s="48" t="str">
        <f t="shared" si="64"/>
        <v/>
      </c>
      <c r="AG887" s="48" t="str">
        <f t="shared" si="65"/>
        <v/>
      </c>
      <c r="AH887" s="48" t="str">
        <f t="shared" si="66"/>
        <v/>
      </c>
      <c r="AI887" s="40" t="str">
        <f t="shared" si="67"/>
        <v/>
      </c>
      <c r="AJ887" s="40"/>
      <c r="AK887" s="40"/>
      <c r="AL887" s="22"/>
    </row>
    <row r="888" spans="1:38" ht="17.399999999999999">
      <c r="A888" s="22"/>
      <c r="B888" s="22"/>
      <c r="C888" s="56"/>
      <c r="D888" s="56"/>
      <c r="E888" s="22"/>
      <c r="F888" s="22"/>
      <c r="G888" s="22"/>
      <c r="H888" s="22"/>
      <c r="I888" s="49"/>
      <c r="J888" s="50"/>
      <c r="K888" s="22"/>
      <c r="L888" s="22"/>
      <c r="M888" s="22"/>
      <c r="N888" s="22"/>
      <c r="O888" s="22"/>
      <c r="P888" s="46"/>
      <c r="Q888" s="40"/>
      <c r="R888" s="41"/>
      <c r="S888" s="22" t="str">
        <f t="shared" si="63"/>
        <v/>
      </c>
      <c r="T888" s="41"/>
      <c r="U888" s="44"/>
      <c r="V888" s="44"/>
      <c r="W888" s="46"/>
      <c r="X888" s="46"/>
      <c r="Y888" s="46"/>
      <c r="Z888" s="22"/>
      <c r="AA888" s="22"/>
      <c r="AB888" s="22"/>
      <c r="AC888" s="22"/>
      <c r="AD888" s="22"/>
      <c r="AE888" s="22"/>
      <c r="AF888" s="48" t="str">
        <f t="shared" si="64"/>
        <v/>
      </c>
      <c r="AG888" s="48" t="str">
        <f t="shared" si="65"/>
        <v/>
      </c>
      <c r="AH888" s="48" t="str">
        <f t="shared" si="66"/>
        <v/>
      </c>
      <c r="AI888" s="40" t="str">
        <f t="shared" si="67"/>
        <v/>
      </c>
      <c r="AJ888" s="40"/>
      <c r="AK888" s="40"/>
      <c r="AL888" s="22"/>
    </row>
    <row r="889" spans="1:38" ht="17.399999999999999">
      <c r="A889" s="22"/>
      <c r="B889" s="22"/>
      <c r="C889" s="56"/>
      <c r="D889" s="56"/>
      <c r="E889" s="22"/>
      <c r="F889" s="22"/>
      <c r="G889" s="22"/>
      <c r="H889" s="22"/>
      <c r="I889" s="49"/>
      <c r="J889" s="50"/>
      <c r="K889" s="22"/>
      <c r="L889" s="22"/>
      <c r="M889" s="22"/>
      <c r="N889" s="22"/>
      <c r="O889" s="22"/>
      <c r="P889" s="46"/>
      <c r="Q889" s="40"/>
      <c r="R889" s="41"/>
      <c r="S889" s="22" t="str">
        <f t="shared" si="63"/>
        <v/>
      </c>
      <c r="T889" s="41"/>
      <c r="U889" s="44"/>
      <c r="V889" s="44"/>
      <c r="W889" s="46"/>
      <c r="X889" s="46"/>
      <c r="Y889" s="46"/>
      <c r="Z889" s="22"/>
      <c r="AA889" s="22"/>
      <c r="AB889" s="22"/>
      <c r="AC889" s="22"/>
      <c r="AD889" s="22"/>
      <c r="AE889" s="22"/>
      <c r="AF889" s="48" t="str">
        <f t="shared" si="64"/>
        <v/>
      </c>
      <c r="AG889" s="48" t="str">
        <f t="shared" si="65"/>
        <v/>
      </c>
      <c r="AH889" s="48" t="str">
        <f t="shared" si="66"/>
        <v/>
      </c>
      <c r="AI889" s="40" t="str">
        <f t="shared" si="67"/>
        <v/>
      </c>
      <c r="AJ889" s="40"/>
      <c r="AK889" s="40"/>
      <c r="AL889" s="22"/>
    </row>
    <row r="890" spans="1:38" ht="17.399999999999999">
      <c r="A890" s="22"/>
      <c r="B890" s="22"/>
      <c r="C890" s="56"/>
      <c r="D890" s="56"/>
      <c r="E890" s="22"/>
      <c r="F890" s="22"/>
      <c r="G890" s="22"/>
      <c r="H890" s="22"/>
      <c r="I890" s="49"/>
      <c r="J890" s="50"/>
      <c r="K890" s="22"/>
      <c r="L890" s="22"/>
      <c r="M890" s="22"/>
      <c r="N890" s="22"/>
      <c r="O890" s="22"/>
      <c r="P890" s="46"/>
      <c r="Q890" s="40"/>
      <c r="R890" s="41"/>
      <c r="S890" s="22" t="str">
        <f t="shared" si="63"/>
        <v/>
      </c>
      <c r="T890" s="41"/>
      <c r="U890" s="44"/>
      <c r="V890" s="44"/>
      <c r="W890" s="46"/>
      <c r="X890" s="46"/>
      <c r="Y890" s="46"/>
      <c r="Z890" s="22"/>
      <c r="AA890" s="22"/>
      <c r="AB890" s="22"/>
      <c r="AC890" s="22"/>
      <c r="AD890" s="22"/>
      <c r="AE890" s="22"/>
      <c r="AF890" s="48" t="str">
        <f t="shared" si="64"/>
        <v/>
      </c>
      <c r="AG890" s="48" t="str">
        <f t="shared" si="65"/>
        <v/>
      </c>
      <c r="AH890" s="48" t="str">
        <f t="shared" si="66"/>
        <v/>
      </c>
      <c r="AI890" s="40" t="str">
        <f t="shared" si="67"/>
        <v/>
      </c>
      <c r="AJ890" s="40"/>
      <c r="AK890" s="40"/>
      <c r="AL890" s="22"/>
    </row>
    <row r="891" spans="1:38" ht="17.399999999999999">
      <c r="A891" s="22"/>
      <c r="B891" s="22"/>
      <c r="C891" s="56"/>
      <c r="D891" s="56"/>
      <c r="E891" s="22"/>
      <c r="F891" s="22"/>
      <c r="G891" s="22"/>
      <c r="H891" s="22"/>
      <c r="I891" s="49"/>
      <c r="J891" s="50"/>
      <c r="K891" s="22"/>
      <c r="L891" s="22"/>
      <c r="M891" s="22"/>
      <c r="N891" s="22"/>
      <c r="O891" s="22"/>
      <c r="P891" s="46"/>
      <c r="Q891" s="40"/>
      <c r="R891" s="41"/>
      <c r="S891" s="22" t="str">
        <f t="shared" si="63"/>
        <v/>
      </c>
      <c r="T891" s="41"/>
      <c r="U891" s="44"/>
      <c r="V891" s="44"/>
      <c r="W891" s="46"/>
      <c r="X891" s="46"/>
      <c r="Y891" s="46"/>
      <c r="Z891" s="22"/>
      <c r="AA891" s="22"/>
      <c r="AB891" s="22"/>
      <c r="AC891" s="22"/>
      <c r="AD891" s="22"/>
      <c r="AE891" s="22"/>
      <c r="AF891" s="48" t="str">
        <f t="shared" si="64"/>
        <v/>
      </c>
      <c r="AG891" s="48" t="str">
        <f t="shared" si="65"/>
        <v/>
      </c>
      <c r="AH891" s="48" t="str">
        <f t="shared" si="66"/>
        <v/>
      </c>
      <c r="AI891" s="40" t="str">
        <f t="shared" si="67"/>
        <v/>
      </c>
      <c r="AJ891" s="40"/>
      <c r="AK891" s="40"/>
      <c r="AL891" s="22"/>
    </row>
    <row r="892" spans="1:38" ht="17.399999999999999">
      <c r="A892" s="22"/>
      <c r="B892" s="22"/>
      <c r="C892" s="56"/>
      <c r="D892" s="56"/>
      <c r="E892" s="22"/>
      <c r="F892" s="22"/>
      <c r="G892" s="22"/>
      <c r="H892" s="22"/>
      <c r="I892" s="49"/>
      <c r="J892" s="50"/>
      <c r="K892" s="22"/>
      <c r="L892" s="22"/>
      <c r="M892" s="22"/>
      <c r="N892" s="22"/>
      <c r="O892" s="22"/>
      <c r="P892" s="46"/>
      <c r="Q892" s="40"/>
      <c r="R892" s="41"/>
      <c r="S892" s="22" t="str">
        <f t="shared" si="63"/>
        <v/>
      </c>
      <c r="T892" s="41"/>
      <c r="U892" s="44"/>
      <c r="V892" s="44"/>
      <c r="W892" s="46"/>
      <c r="X892" s="46"/>
      <c r="Y892" s="46"/>
      <c r="Z892" s="22"/>
      <c r="AA892" s="22"/>
      <c r="AB892" s="22"/>
      <c r="AC892" s="22"/>
      <c r="AD892" s="22"/>
      <c r="AE892" s="22"/>
      <c r="AF892" s="48" t="str">
        <f t="shared" si="64"/>
        <v/>
      </c>
      <c r="AG892" s="48" t="str">
        <f t="shared" si="65"/>
        <v/>
      </c>
      <c r="AH892" s="48" t="str">
        <f t="shared" si="66"/>
        <v/>
      </c>
      <c r="AI892" s="40" t="str">
        <f t="shared" si="67"/>
        <v/>
      </c>
      <c r="AJ892" s="40"/>
      <c r="AK892" s="40"/>
      <c r="AL892" s="22"/>
    </row>
    <row r="893" spans="1:38" ht="17.399999999999999">
      <c r="A893" s="22"/>
      <c r="B893" s="22"/>
      <c r="C893" s="56"/>
      <c r="D893" s="56"/>
      <c r="E893" s="22"/>
      <c r="F893" s="22"/>
      <c r="G893" s="22"/>
      <c r="H893" s="22"/>
      <c r="I893" s="49"/>
      <c r="J893" s="50"/>
      <c r="K893" s="22"/>
      <c r="L893" s="22"/>
      <c r="M893" s="22"/>
      <c r="N893" s="22"/>
      <c r="O893" s="22"/>
      <c r="P893" s="46"/>
      <c r="Q893" s="40"/>
      <c r="R893" s="41"/>
      <c r="S893" s="22" t="str">
        <f t="shared" si="63"/>
        <v/>
      </c>
      <c r="T893" s="41"/>
      <c r="U893" s="44"/>
      <c r="V893" s="44"/>
      <c r="W893" s="46"/>
      <c r="X893" s="46"/>
      <c r="Y893" s="46"/>
      <c r="Z893" s="22"/>
      <c r="AA893" s="22"/>
      <c r="AB893" s="22"/>
      <c r="AC893" s="22"/>
      <c r="AD893" s="22"/>
      <c r="AE893" s="22"/>
      <c r="AF893" s="48" t="str">
        <f t="shared" si="64"/>
        <v/>
      </c>
      <c r="AG893" s="48" t="str">
        <f t="shared" si="65"/>
        <v/>
      </c>
      <c r="AH893" s="48" t="str">
        <f t="shared" si="66"/>
        <v/>
      </c>
      <c r="AI893" s="40" t="str">
        <f t="shared" si="67"/>
        <v/>
      </c>
      <c r="AJ893" s="40"/>
      <c r="AK893" s="40"/>
      <c r="AL893" s="22"/>
    </row>
    <row r="894" spans="1:38" ht="17.399999999999999">
      <c r="A894" s="22"/>
      <c r="B894" s="22"/>
      <c r="C894" s="56"/>
      <c r="D894" s="56"/>
      <c r="E894" s="22"/>
      <c r="F894" s="22"/>
      <c r="G894" s="22"/>
      <c r="H894" s="22"/>
      <c r="I894" s="49"/>
      <c r="J894" s="50"/>
      <c r="K894" s="22"/>
      <c r="L894" s="22"/>
      <c r="M894" s="22"/>
      <c r="N894" s="22"/>
      <c r="O894" s="22"/>
      <c r="P894" s="46"/>
      <c r="Q894" s="40"/>
      <c r="R894" s="41"/>
      <c r="S894" s="22" t="str">
        <f t="shared" si="63"/>
        <v/>
      </c>
      <c r="T894" s="41"/>
      <c r="U894" s="44"/>
      <c r="V894" s="44"/>
      <c r="W894" s="46"/>
      <c r="X894" s="46"/>
      <c r="Y894" s="46"/>
      <c r="Z894" s="22"/>
      <c r="AA894" s="22"/>
      <c r="AB894" s="22"/>
      <c r="AC894" s="22"/>
      <c r="AD894" s="22"/>
      <c r="AE894" s="22"/>
      <c r="AF894" s="48" t="str">
        <f t="shared" si="64"/>
        <v/>
      </c>
      <c r="AG894" s="48" t="str">
        <f t="shared" si="65"/>
        <v/>
      </c>
      <c r="AH894" s="48" t="str">
        <f t="shared" si="66"/>
        <v/>
      </c>
      <c r="AI894" s="40" t="str">
        <f t="shared" si="67"/>
        <v/>
      </c>
      <c r="AJ894" s="40"/>
      <c r="AK894" s="40"/>
      <c r="AL894" s="22"/>
    </row>
    <row r="895" spans="1:38" ht="17.399999999999999">
      <c r="A895" s="22"/>
      <c r="B895" s="22"/>
      <c r="C895" s="56"/>
      <c r="D895" s="56"/>
      <c r="E895" s="22"/>
      <c r="F895" s="22"/>
      <c r="G895" s="22"/>
      <c r="H895" s="22"/>
      <c r="I895" s="49"/>
      <c r="J895" s="50"/>
      <c r="K895" s="22"/>
      <c r="L895" s="22"/>
      <c r="M895" s="22"/>
      <c r="N895" s="22"/>
      <c r="O895" s="22"/>
      <c r="P895" s="46"/>
      <c r="Q895" s="40"/>
      <c r="R895" s="41"/>
      <c r="S895" s="22" t="str">
        <f t="shared" si="63"/>
        <v/>
      </c>
      <c r="T895" s="41"/>
      <c r="U895" s="44"/>
      <c r="V895" s="44"/>
      <c r="W895" s="46"/>
      <c r="X895" s="46"/>
      <c r="Y895" s="46"/>
      <c r="Z895" s="22"/>
      <c r="AA895" s="22"/>
      <c r="AB895" s="22"/>
      <c r="AC895" s="22"/>
      <c r="AD895" s="22"/>
      <c r="AE895" s="22"/>
      <c r="AF895" s="48" t="str">
        <f t="shared" si="64"/>
        <v/>
      </c>
      <c r="AG895" s="48" t="str">
        <f t="shared" si="65"/>
        <v/>
      </c>
      <c r="AH895" s="48" t="str">
        <f t="shared" si="66"/>
        <v/>
      </c>
      <c r="AI895" s="40" t="str">
        <f t="shared" si="67"/>
        <v/>
      </c>
      <c r="AJ895" s="40"/>
      <c r="AK895" s="40"/>
      <c r="AL895" s="22"/>
    </row>
    <row r="896" spans="1:38" ht="17.399999999999999">
      <c r="A896" s="22"/>
      <c r="B896" s="22"/>
      <c r="C896" s="56"/>
      <c r="D896" s="56"/>
      <c r="E896" s="22"/>
      <c r="F896" s="22"/>
      <c r="G896" s="22"/>
      <c r="H896" s="22"/>
      <c r="I896" s="49"/>
      <c r="J896" s="50"/>
      <c r="K896" s="22"/>
      <c r="L896" s="22"/>
      <c r="M896" s="22"/>
      <c r="N896" s="22"/>
      <c r="O896" s="22"/>
      <c r="P896" s="46"/>
      <c r="Q896" s="40"/>
      <c r="R896" s="41"/>
      <c r="S896" s="22" t="str">
        <f t="shared" si="63"/>
        <v/>
      </c>
      <c r="T896" s="41"/>
      <c r="U896" s="44"/>
      <c r="V896" s="44"/>
      <c r="W896" s="46"/>
      <c r="X896" s="46"/>
      <c r="Y896" s="46"/>
      <c r="Z896" s="22"/>
      <c r="AA896" s="22"/>
      <c r="AB896" s="22"/>
      <c r="AC896" s="22"/>
      <c r="AD896" s="22"/>
      <c r="AE896" s="22"/>
      <c r="AF896" s="48" t="str">
        <f t="shared" si="64"/>
        <v/>
      </c>
      <c r="AG896" s="48" t="str">
        <f t="shared" si="65"/>
        <v/>
      </c>
      <c r="AH896" s="48" t="str">
        <f t="shared" si="66"/>
        <v/>
      </c>
      <c r="AI896" s="40" t="str">
        <f t="shared" si="67"/>
        <v/>
      </c>
      <c r="AJ896" s="40"/>
      <c r="AK896" s="40"/>
      <c r="AL896" s="22"/>
    </row>
    <row r="897" spans="1:38" ht="17.399999999999999">
      <c r="A897" s="22"/>
      <c r="B897" s="22"/>
      <c r="C897" s="56"/>
      <c r="D897" s="56"/>
      <c r="E897" s="22"/>
      <c r="F897" s="22"/>
      <c r="G897" s="22"/>
      <c r="H897" s="22"/>
      <c r="I897" s="49"/>
      <c r="J897" s="50"/>
      <c r="K897" s="22"/>
      <c r="L897" s="22"/>
      <c r="M897" s="22"/>
      <c r="N897" s="22"/>
      <c r="O897" s="22"/>
      <c r="P897" s="46"/>
      <c r="Q897" s="40"/>
      <c r="R897" s="41"/>
      <c r="S897" s="22" t="str">
        <f t="shared" si="63"/>
        <v/>
      </c>
      <c r="T897" s="41"/>
      <c r="U897" s="44"/>
      <c r="V897" s="44"/>
      <c r="W897" s="46"/>
      <c r="X897" s="46"/>
      <c r="Y897" s="46"/>
      <c r="Z897" s="22"/>
      <c r="AA897" s="22"/>
      <c r="AB897" s="22"/>
      <c r="AC897" s="22"/>
      <c r="AD897" s="22"/>
      <c r="AE897" s="22"/>
      <c r="AF897" s="48" t="str">
        <f t="shared" si="64"/>
        <v/>
      </c>
      <c r="AG897" s="48" t="str">
        <f t="shared" si="65"/>
        <v/>
      </c>
      <c r="AH897" s="48" t="str">
        <f t="shared" si="66"/>
        <v/>
      </c>
      <c r="AI897" s="40" t="str">
        <f t="shared" si="67"/>
        <v/>
      </c>
      <c r="AJ897" s="40"/>
      <c r="AK897" s="40"/>
      <c r="AL897" s="22"/>
    </row>
    <row r="898" spans="1:38" ht="17.399999999999999">
      <c r="A898" s="22"/>
      <c r="B898" s="22"/>
      <c r="C898" s="56"/>
      <c r="D898" s="56"/>
      <c r="E898" s="22"/>
      <c r="F898" s="22"/>
      <c r="G898" s="22"/>
      <c r="H898" s="22"/>
      <c r="I898" s="49"/>
      <c r="J898" s="50"/>
      <c r="K898" s="22"/>
      <c r="L898" s="22"/>
      <c r="M898" s="22"/>
      <c r="N898" s="22"/>
      <c r="O898" s="22"/>
      <c r="P898" s="46"/>
      <c r="Q898" s="40"/>
      <c r="R898" s="41"/>
      <c r="S898" s="22" t="str">
        <f t="shared" si="63"/>
        <v/>
      </c>
      <c r="T898" s="41"/>
      <c r="U898" s="44"/>
      <c r="V898" s="44"/>
      <c r="W898" s="46"/>
      <c r="X898" s="46"/>
      <c r="Y898" s="46"/>
      <c r="Z898" s="22"/>
      <c r="AA898" s="22"/>
      <c r="AB898" s="22"/>
      <c r="AC898" s="22"/>
      <c r="AD898" s="22"/>
      <c r="AE898" s="22"/>
      <c r="AF898" s="48" t="str">
        <f t="shared" si="64"/>
        <v/>
      </c>
      <c r="AG898" s="48" t="str">
        <f t="shared" si="65"/>
        <v/>
      </c>
      <c r="AH898" s="48" t="str">
        <f t="shared" si="66"/>
        <v/>
      </c>
      <c r="AI898" s="40" t="str">
        <f t="shared" si="67"/>
        <v/>
      </c>
      <c r="AJ898" s="40"/>
      <c r="AK898" s="40"/>
      <c r="AL898" s="22"/>
    </row>
    <row r="899" spans="1:38" ht="17.399999999999999">
      <c r="A899" s="22"/>
      <c r="B899" s="22"/>
      <c r="C899" s="56"/>
      <c r="D899" s="56"/>
      <c r="E899" s="22"/>
      <c r="F899" s="22"/>
      <c r="G899" s="22"/>
      <c r="H899" s="22"/>
      <c r="I899" s="49"/>
      <c r="J899" s="50"/>
      <c r="K899" s="22"/>
      <c r="L899" s="22"/>
      <c r="M899" s="22"/>
      <c r="N899" s="22"/>
      <c r="O899" s="22"/>
      <c r="P899" s="46"/>
      <c r="Q899" s="40"/>
      <c r="R899" s="41"/>
      <c r="S899" s="22" t="str">
        <f t="shared" si="63"/>
        <v/>
      </c>
      <c r="T899" s="41"/>
      <c r="U899" s="44"/>
      <c r="V899" s="44"/>
      <c r="W899" s="46"/>
      <c r="X899" s="46"/>
      <c r="Y899" s="46"/>
      <c r="Z899" s="22"/>
      <c r="AA899" s="22"/>
      <c r="AB899" s="22"/>
      <c r="AC899" s="22"/>
      <c r="AD899" s="22"/>
      <c r="AE899" s="22"/>
      <c r="AF899" s="48" t="str">
        <f t="shared" si="64"/>
        <v/>
      </c>
      <c r="AG899" s="48" t="str">
        <f t="shared" si="65"/>
        <v/>
      </c>
      <c r="AH899" s="48" t="str">
        <f t="shared" si="66"/>
        <v/>
      </c>
      <c r="AI899" s="40" t="str">
        <f t="shared" si="67"/>
        <v/>
      </c>
      <c r="AJ899" s="40"/>
      <c r="AK899" s="40"/>
      <c r="AL899" s="22"/>
    </row>
    <row r="900" spans="1:38" ht="17.399999999999999">
      <c r="A900" s="22"/>
      <c r="B900" s="22"/>
      <c r="C900" s="56"/>
      <c r="D900" s="56"/>
      <c r="E900" s="22"/>
      <c r="F900" s="22"/>
      <c r="G900" s="22"/>
      <c r="H900" s="22"/>
      <c r="I900" s="49"/>
      <c r="J900" s="50"/>
      <c r="K900" s="22"/>
      <c r="L900" s="22"/>
      <c r="M900" s="22"/>
      <c r="N900" s="22"/>
      <c r="O900" s="22"/>
      <c r="P900" s="46"/>
      <c r="Q900" s="40"/>
      <c r="R900" s="41"/>
      <c r="S900" s="22" t="str">
        <f t="shared" si="63"/>
        <v/>
      </c>
      <c r="T900" s="41"/>
      <c r="U900" s="44"/>
      <c r="V900" s="44"/>
      <c r="W900" s="46"/>
      <c r="X900" s="46"/>
      <c r="Y900" s="46"/>
      <c r="Z900" s="22"/>
      <c r="AA900" s="22"/>
      <c r="AB900" s="22"/>
      <c r="AC900" s="22"/>
      <c r="AD900" s="22"/>
      <c r="AE900" s="22"/>
      <c r="AF900" s="48" t="str">
        <f t="shared" si="64"/>
        <v/>
      </c>
      <c r="AG900" s="48" t="str">
        <f t="shared" si="65"/>
        <v/>
      </c>
      <c r="AH900" s="48" t="str">
        <f t="shared" si="66"/>
        <v/>
      </c>
      <c r="AI900" s="40" t="str">
        <f t="shared" si="67"/>
        <v/>
      </c>
      <c r="AJ900" s="40"/>
      <c r="AK900" s="40"/>
      <c r="AL900" s="22"/>
    </row>
    <row r="901" spans="1:38" ht="17.399999999999999">
      <c r="A901" s="22"/>
      <c r="B901" s="22"/>
      <c r="C901" s="56"/>
      <c r="D901" s="56"/>
      <c r="E901" s="22"/>
      <c r="F901" s="22"/>
      <c r="G901" s="22"/>
      <c r="H901" s="22"/>
      <c r="I901" s="49"/>
      <c r="J901" s="50"/>
      <c r="K901" s="22"/>
      <c r="L901" s="22"/>
      <c r="M901" s="22"/>
      <c r="N901" s="22"/>
      <c r="O901" s="22"/>
      <c r="P901" s="46"/>
      <c r="Q901" s="40"/>
      <c r="R901" s="41"/>
      <c r="S901" s="22" t="str">
        <f t="shared" si="63"/>
        <v/>
      </c>
      <c r="T901" s="41"/>
      <c r="U901" s="44"/>
      <c r="V901" s="44"/>
      <c r="W901" s="46"/>
      <c r="X901" s="46"/>
      <c r="Y901" s="46"/>
      <c r="Z901" s="22"/>
      <c r="AA901" s="22"/>
      <c r="AB901" s="22"/>
      <c r="AC901" s="22"/>
      <c r="AD901" s="22"/>
      <c r="AE901" s="22"/>
      <c r="AF901" s="48" t="str">
        <f t="shared" si="64"/>
        <v/>
      </c>
      <c r="AG901" s="48" t="str">
        <f t="shared" si="65"/>
        <v/>
      </c>
      <c r="AH901" s="48" t="str">
        <f t="shared" si="66"/>
        <v/>
      </c>
      <c r="AI901" s="40" t="str">
        <f t="shared" si="67"/>
        <v/>
      </c>
      <c r="AJ901" s="40"/>
      <c r="AK901" s="40"/>
      <c r="AL901" s="22"/>
    </row>
    <row r="902" spans="1:38" ht="17.399999999999999">
      <c r="A902" s="22"/>
      <c r="B902" s="22"/>
      <c r="C902" s="56"/>
      <c r="D902" s="56"/>
      <c r="E902" s="22"/>
      <c r="F902" s="22"/>
      <c r="G902" s="22"/>
      <c r="H902" s="22"/>
      <c r="I902" s="49"/>
      <c r="J902" s="50"/>
      <c r="K902" s="22"/>
      <c r="L902" s="22"/>
      <c r="M902" s="22"/>
      <c r="N902" s="22"/>
      <c r="O902" s="22"/>
      <c r="P902" s="46"/>
      <c r="Q902" s="40"/>
      <c r="R902" s="41"/>
      <c r="S902" s="22" t="str">
        <f t="shared" si="63"/>
        <v/>
      </c>
      <c r="T902" s="41"/>
      <c r="U902" s="44"/>
      <c r="V902" s="44"/>
      <c r="W902" s="46"/>
      <c r="X902" s="46"/>
      <c r="Y902" s="46"/>
      <c r="Z902" s="22"/>
      <c r="AA902" s="22"/>
      <c r="AB902" s="22"/>
      <c r="AC902" s="22"/>
      <c r="AD902" s="22"/>
      <c r="AE902" s="22"/>
      <c r="AF902" s="48" t="str">
        <f t="shared" si="64"/>
        <v/>
      </c>
      <c r="AG902" s="48" t="str">
        <f t="shared" si="65"/>
        <v/>
      </c>
      <c r="AH902" s="48" t="str">
        <f t="shared" si="66"/>
        <v/>
      </c>
      <c r="AI902" s="40" t="str">
        <f t="shared" si="67"/>
        <v/>
      </c>
      <c r="AJ902" s="40"/>
      <c r="AK902" s="40"/>
      <c r="AL902" s="22"/>
    </row>
    <row r="903" spans="1:38" ht="17.399999999999999">
      <c r="A903" s="22"/>
      <c r="B903" s="22"/>
      <c r="C903" s="56"/>
      <c r="D903" s="56"/>
      <c r="E903" s="22"/>
      <c r="F903" s="22"/>
      <c r="G903" s="22"/>
      <c r="H903" s="22"/>
      <c r="I903" s="49"/>
      <c r="J903" s="50"/>
      <c r="K903" s="22"/>
      <c r="L903" s="22"/>
      <c r="M903" s="22"/>
      <c r="N903" s="22"/>
      <c r="O903" s="22"/>
      <c r="P903" s="46"/>
      <c r="Q903" s="40"/>
      <c r="R903" s="41"/>
      <c r="S903" s="22" t="str">
        <f t="shared" si="63"/>
        <v/>
      </c>
      <c r="T903" s="41"/>
      <c r="U903" s="44"/>
      <c r="V903" s="44"/>
      <c r="W903" s="46"/>
      <c r="X903" s="46"/>
      <c r="Y903" s="46"/>
      <c r="Z903" s="22"/>
      <c r="AA903" s="22"/>
      <c r="AB903" s="22"/>
      <c r="AC903" s="22"/>
      <c r="AD903" s="22"/>
      <c r="AE903" s="22"/>
      <c r="AF903" s="48" t="str">
        <f t="shared" si="64"/>
        <v/>
      </c>
      <c r="AG903" s="48" t="str">
        <f t="shared" si="65"/>
        <v/>
      </c>
      <c r="AH903" s="48" t="str">
        <f t="shared" si="66"/>
        <v/>
      </c>
      <c r="AI903" s="40" t="str">
        <f t="shared" si="67"/>
        <v/>
      </c>
      <c r="AJ903" s="40"/>
      <c r="AK903" s="40"/>
      <c r="AL903" s="22"/>
    </row>
    <row r="904" spans="1:38" ht="17.399999999999999">
      <c r="A904" s="22"/>
      <c r="B904" s="22"/>
      <c r="C904" s="56"/>
      <c r="D904" s="56"/>
      <c r="E904" s="22"/>
      <c r="F904" s="22"/>
      <c r="G904" s="22"/>
      <c r="H904" s="22"/>
      <c r="I904" s="49"/>
      <c r="J904" s="50"/>
      <c r="K904" s="22"/>
      <c r="L904" s="22"/>
      <c r="M904" s="22"/>
      <c r="N904" s="22"/>
      <c r="O904" s="22"/>
      <c r="P904" s="46"/>
      <c r="Q904" s="40"/>
      <c r="R904" s="41"/>
      <c r="S904" s="22" t="str">
        <f t="shared" si="63"/>
        <v/>
      </c>
      <c r="T904" s="41"/>
      <c r="U904" s="44"/>
      <c r="V904" s="44"/>
      <c r="W904" s="46"/>
      <c r="X904" s="46"/>
      <c r="Y904" s="46"/>
      <c r="Z904" s="22"/>
      <c r="AA904" s="22"/>
      <c r="AB904" s="22"/>
      <c r="AC904" s="22"/>
      <c r="AD904" s="22"/>
      <c r="AE904" s="22"/>
      <c r="AF904" s="48" t="str">
        <f t="shared" si="64"/>
        <v/>
      </c>
      <c r="AG904" s="48" t="str">
        <f t="shared" si="65"/>
        <v/>
      </c>
      <c r="AH904" s="48" t="str">
        <f t="shared" si="66"/>
        <v/>
      </c>
      <c r="AI904" s="40" t="str">
        <f t="shared" si="67"/>
        <v/>
      </c>
      <c r="AJ904" s="40"/>
      <c r="AK904" s="40"/>
      <c r="AL904" s="22"/>
    </row>
    <row r="905" spans="1:38" ht="17.399999999999999">
      <c r="A905" s="22"/>
      <c r="B905" s="22"/>
      <c r="C905" s="56"/>
      <c r="D905" s="56"/>
      <c r="E905" s="22"/>
      <c r="F905" s="22"/>
      <c r="G905" s="22"/>
      <c r="H905" s="22"/>
      <c r="I905" s="49"/>
      <c r="J905" s="50"/>
      <c r="K905" s="22"/>
      <c r="L905" s="22"/>
      <c r="M905" s="22"/>
      <c r="N905" s="22"/>
      <c r="O905" s="22"/>
      <c r="P905" s="46"/>
      <c r="Q905" s="40"/>
      <c r="R905" s="41"/>
      <c r="S905" s="22" t="str">
        <f t="shared" si="63"/>
        <v/>
      </c>
      <c r="T905" s="41"/>
      <c r="U905" s="44"/>
      <c r="V905" s="44"/>
      <c r="W905" s="46"/>
      <c r="X905" s="46"/>
      <c r="Y905" s="46"/>
      <c r="Z905" s="22"/>
      <c r="AA905" s="22"/>
      <c r="AB905" s="22"/>
      <c r="AC905" s="22"/>
      <c r="AD905" s="22"/>
      <c r="AE905" s="22"/>
      <c r="AF905" s="48" t="str">
        <f t="shared" si="64"/>
        <v/>
      </c>
      <c r="AG905" s="48" t="str">
        <f t="shared" si="65"/>
        <v/>
      </c>
      <c r="AH905" s="48" t="str">
        <f t="shared" si="66"/>
        <v/>
      </c>
      <c r="AI905" s="40" t="str">
        <f t="shared" si="67"/>
        <v/>
      </c>
      <c r="AJ905" s="40"/>
      <c r="AK905" s="40"/>
      <c r="AL905" s="22"/>
    </row>
    <row r="906" spans="1:38" ht="17.399999999999999">
      <c r="A906" s="22"/>
      <c r="B906" s="22"/>
      <c r="C906" s="56"/>
      <c r="D906" s="56"/>
      <c r="E906" s="22"/>
      <c r="F906" s="22"/>
      <c r="G906" s="22"/>
      <c r="H906" s="22"/>
      <c r="I906" s="49"/>
      <c r="J906" s="50"/>
      <c r="K906" s="22"/>
      <c r="L906" s="22"/>
      <c r="M906" s="22"/>
      <c r="N906" s="22"/>
      <c r="O906" s="22"/>
      <c r="P906" s="46"/>
      <c r="Q906" s="40"/>
      <c r="R906" s="41"/>
      <c r="S906" s="22" t="str">
        <f t="shared" si="63"/>
        <v/>
      </c>
      <c r="T906" s="41"/>
      <c r="U906" s="44"/>
      <c r="V906" s="44"/>
      <c r="W906" s="46"/>
      <c r="X906" s="46"/>
      <c r="Y906" s="46"/>
      <c r="Z906" s="22"/>
      <c r="AA906" s="22"/>
      <c r="AB906" s="22"/>
      <c r="AC906" s="22"/>
      <c r="AD906" s="22"/>
      <c r="AE906" s="22"/>
      <c r="AF906" s="48" t="str">
        <f t="shared" si="64"/>
        <v/>
      </c>
      <c r="AG906" s="48" t="str">
        <f t="shared" si="65"/>
        <v/>
      </c>
      <c r="AH906" s="48" t="str">
        <f t="shared" si="66"/>
        <v/>
      </c>
      <c r="AI906" s="40" t="str">
        <f t="shared" si="67"/>
        <v/>
      </c>
      <c r="AJ906" s="40"/>
      <c r="AK906" s="40"/>
      <c r="AL906" s="22"/>
    </row>
    <row r="907" spans="1:38" ht="17.399999999999999">
      <c r="A907" s="22"/>
      <c r="B907" s="22"/>
      <c r="C907" s="56"/>
      <c r="D907" s="56"/>
      <c r="E907" s="22"/>
      <c r="F907" s="22"/>
      <c r="G907" s="22"/>
      <c r="H907" s="22"/>
      <c r="I907" s="49"/>
      <c r="J907" s="50"/>
      <c r="K907" s="22"/>
      <c r="L907" s="22"/>
      <c r="M907" s="22"/>
      <c r="N907" s="22"/>
      <c r="O907" s="22"/>
      <c r="P907" s="46"/>
      <c r="Q907" s="40"/>
      <c r="R907" s="41"/>
      <c r="S907" s="22" t="str">
        <f t="shared" si="63"/>
        <v/>
      </c>
      <c r="T907" s="41"/>
      <c r="U907" s="44"/>
      <c r="V907" s="44"/>
      <c r="W907" s="46"/>
      <c r="X907" s="46"/>
      <c r="Y907" s="46"/>
      <c r="Z907" s="22"/>
      <c r="AA907" s="22"/>
      <c r="AB907" s="22"/>
      <c r="AC907" s="22"/>
      <c r="AD907" s="22"/>
      <c r="AE907" s="22"/>
      <c r="AF907" s="48" t="str">
        <f t="shared" si="64"/>
        <v/>
      </c>
      <c r="AG907" s="48" t="str">
        <f t="shared" si="65"/>
        <v/>
      </c>
      <c r="AH907" s="48" t="str">
        <f t="shared" si="66"/>
        <v/>
      </c>
      <c r="AI907" s="40" t="str">
        <f t="shared" si="67"/>
        <v/>
      </c>
      <c r="AJ907" s="40"/>
      <c r="AK907" s="40"/>
      <c r="AL907" s="22"/>
    </row>
    <row r="908" spans="1:38" ht="17.399999999999999">
      <c r="A908" s="22"/>
      <c r="B908" s="22"/>
      <c r="C908" s="56"/>
      <c r="D908" s="56"/>
      <c r="E908" s="22"/>
      <c r="F908" s="22"/>
      <c r="G908" s="22"/>
      <c r="H908" s="22"/>
      <c r="I908" s="49"/>
      <c r="J908" s="50"/>
      <c r="K908" s="22"/>
      <c r="L908" s="22"/>
      <c r="M908" s="22"/>
      <c r="N908" s="22"/>
      <c r="O908" s="22"/>
      <c r="P908" s="46"/>
      <c r="Q908" s="40"/>
      <c r="R908" s="41"/>
      <c r="S908" s="22" t="str">
        <f t="shared" si="63"/>
        <v/>
      </c>
      <c r="T908" s="41"/>
      <c r="U908" s="44"/>
      <c r="V908" s="44"/>
      <c r="W908" s="46"/>
      <c r="X908" s="46"/>
      <c r="Y908" s="46"/>
      <c r="Z908" s="22"/>
      <c r="AA908" s="22"/>
      <c r="AB908" s="22"/>
      <c r="AC908" s="22"/>
      <c r="AD908" s="22"/>
      <c r="AE908" s="22"/>
      <c r="AF908" s="48" t="str">
        <f t="shared" si="64"/>
        <v/>
      </c>
      <c r="AG908" s="48" t="str">
        <f t="shared" si="65"/>
        <v/>
      </c>
      <c r="AH908" s="48" t="str">
        <f t="shared" si="66"/>
        <v/>
      </c>
      <c r="AI908" s="40" t="str">
        <f t="shared" si="67"/>
        <v/>
      </c>
      <c r="AJ908" s="40"/>
      <c r="AK908" s="40"/>
      <c r="AL908" s="22"/>
    </row>
    <row r="909" spans="1:38" ht="17.399999999999999">
      <c r="A909" s="22"/>
      <c r="B909" s="22"/>
      <c r="C909" s="56"/>
      <c r="D909" s="56"/>
      <c r="E909" s="22"/>
      <c r="F909" s="22"/>
      <c r="G909" s="22"/>
      <c r="H909" s="22"/>
      <c r="I909" s="49"/>
      <c r="J909" s="50"/>
      <c r="K909" s="22"/>
      <c r="L909" s="22"/>
      <c r="M909" s="22"/>
      <c r="N909" s="22"/>
      <c r="O909" s="22"/>
      <c r="P909" s="46"/>
      <c r="Q909" s="40"/>
      <c r="R909" s="41"/>
      <c r="S909" s="22" t="str">
        <f t="shared" si="63"/>
        <v/>
      </c>
      <c r="T909" s="41"/>
      <c r="U909" s="44"/>
      <c r="V909" s="44"/>
      <c r="W909" s="46"/>
      <c r="X909" s="46"/>
      <c r="Y909" s="46"/>
      <c r="Z909" s="22"/>
      <c r="AA909" s="22"/>
      <c r="AB909" s="22"/>
      <c r="AC909" s="22"/>
      <c r="AD909" s="22"/>
      <c r="AE909" s="22"/>
      <c r="AF909" s="48" t="str">
        <f t="shared" si="64"/>
        <v/>
      </c>
      <c r="AG909" s="48" t="str">
        <f t="shared" si="65"/>
        <v/>
      </c>
      <c r="AH909" s="48" t="str">
        <f t="shared" si="66"/>
        <v/>
      </c>
      <c r="AI909" s="40" t="str">
        <f t="shared" si="67"/>
        <v/>
      </c>
      <c r="AJ909" s="40"/>
      <c r="AK909" s="40"/>
      <c r="AL909" s="22"/>
    </row>
    <row r="910" spans="1:38" ht="17.399999999999999">
      <c r="A910" s="22"/>
      <c r="B910" s="22"/>
      <c r="C910" s="56"/>
      <c r="D910" s="56"/>
      <c r="E910" s="22"/>
      <c r="F910" s="22"/>
      <c r="G910" s="22"/>
      <c r="H910" s="22"/>
      <c r="I910" s="49"/>
      <c r="J910" s="50"/>
      <c r="K910" s="22"/>
      <c r="L910" s="22"/>
      <c r="M910" s="22"/>
      <c r="N910" s="22"/>
      <c r="O910" s="22"/>
      <c r="P910" s="46"/>
      <c r="Q910" s="40"/>
      <c r="R910" s="41"/>
      <c r="S910" s="22" t="str">
        <f t="shared" si="63"/>
        <v/>
      </c>
      <c r="T910" s="41"/>
      <c r="U910" s="44"/>
      <c r="V910" s="44"/>
      <c r="W910" s="46"/>
      <c r="X910" s="46"/>
      <c r="Y910" s="46"/>
      <c r="Z910" s="22"/>
      <c r="AA910" s="22"/>
      <c r="AB910" s="22"/>
      <c r="AC910" s="22"/>
      <c r="AD910" s="22"/>
      <c r="AE910" s="22"/>
      <c r="AF910" s="48" t="str">
        <f t="shared" si="64"/>
        <v/>
      </c>
      <c r="AG910" s="48" t="str">
        <f t="shared" si="65"/>
        <v/>
      </c>
      <c r="AH910" s="48" t="str">
        <f t="shared" si="66"/>
        <v/>
      </c>
      <c r="AI910" s="40" t="str">
        <f t="shared" si="67"/>
        <v/>
      </c>
      <c r="AJ910" s="40"/>
      <c r="AK910" s="40"/>
      <c r="AL910" s="22"/>
    </row>
    <row r="911" spans="1:38" ht="17.399999999999999">
      <c r="A911" s="22"/>
      <c r="B911" s="22"/>
      <c r="C911" s="56"/>
      <c r="D911" s="56"/>
      <c r="E911" s="22"/>
      <c r="F911" s="22"/>
      <c r="G911" s="22"/>
      <c r="H911" s="22"/>
      <c r="I911" s="49"/>
      <c r="J911" s="50"/>
      <c r="K911" s="22"/>
      <c r="L911" s="22"/>
      <c r="M911" s="22"/>
      <c r="N911" s="22"/>
      <c r="O911" s="22"/>
      <c r="P911" s="46"/>
      <c r="Q911" s="40"/>
      <c r="R911" s="41"/>
      <c r="S911" s="22" t="str">
        <f t="shared" si="63"/>
        <v/>
      </c>
      <c r="T911" s="41"/>
      <c r="U911" s="44"/>
      <c r="V911" s="44"/>
      <c r="W911" s="46"/>
      <c r="X911" s="46"/>
      <c r="Y911" s="46"/>
      <c r="Z911" s="22"/>
      <c r="AA911" s="22"/>
      <c r="AB911" s="22"/>
      <c r="AC911" s="22"/>
      <c r="AD911" s="22"/>
      <c r="AE911" s="22"/>
      <c r="AF911" s="48" t="str">
        <f t="shared" si="64"/>
        <v/>
      </c>
      <c r="AG911" s="48" t="str">
        <f t="shared" si="65"/>
        <v/>
      </c>
      <c r="AH911" s="48" t="str">
        <f t="shared" si="66"/>
        <v/>
      </c>
      <c r="AI911" s="40" t="str">
        <f t="shared" si="67"/>
        <v/>
      </c>
      <c r="AJ911" s="40"/>
      <c r="AK911" s="40"/>
      <c r="AL911" s="22"/>
    </row>
    <row r="912" spans="1:38" ht="17.399999999999999">
      <c r="A912" s="22"/>
      <c r="B912" s="22"/>
      <c r="C912" s="56"/>
      <c r="D912" s="56"/>
      <c r="E912" s="22"/>
      <c r="F912" s="22"/>
      <c r="G912" s="22"/>
      <c r="H912" s="22"/>
      <c r="I912" s="49"/>
      <c r="J912" s="50"/>
      <c r="K912" s="22"/>
      <c r="L912" s="22"/>
      <c r="M912" s="22"/>
      <c r="N912" s="22"/>
      <c r="O912" s="22"/>
      <c r="P912" s="46"/>
      <c r="Q912" s="40"/>
      <c r="R912" s="41"/>
      <c r="S912" s="22" t="str">
        <f t="shared" si="63"/>
        <v/>
      </c>
      <c r="T912" s="41"/>
      <c r="U912" s="44"/>
      <c r="V912" s="44"/>
      <c r="W912" s="46"/>
      <c r="X912" s="46"/>
      <c r="Y912" s="46"/>
      <c r="Z912" s="22"/>
      <c r="AA912" s="22"/>
      <c r="AB912" s="22"/>
      <c r="AC912" s="22"/>
      <c r="AD912" s="22"/>
      <c r="AE912" s="22"/>
      <c r="AF912" s="48" t="str">
        <f t="shared" si="64"/>
        <v/>
      </c>
      <c r="AG912" s="48" t="str">
        <f t="shared" si="65"/>
        <v/>
      </c>
      <c r="AH912" s="48" t="str">
        <f t="shared" si="66"/>
        <v/>
      </c>
      <c r="AI912" s="40" t="str">
        <f t="shared" si="67"/>
        <v/>
      </c>
      <c r="AJ912" s="40"/>
      <c r="AK912" s="40"/>
      <c r="AL912" s="22"/>
    </row>
    <row r="913" spans="1:38" ht="17.399999999999999">
      <c r="A913" s="22"/>
      <c r="B913" s="22"/>
      <c r="C913" s="56"/>
      <c r="D913" s="56"/>
      <c r="E913" s="22"/>
      <c r="F913" s="22"/>
      <c r="G913" s="22"/>
      <c r="H913" s="22"/>
      <c r="I913" s="49"/>
      <c r="J913" s="50"/>
      <c r="K913" s="22"/>
      <c r="L913" s="22"/>
      <c r="M913" s="22"/>
      <c r="N913" s="22"/>
      <c r="O913" s="22"/>
      <c r="P913" s="46"/>
      <c r="Q913" s="40"/>
      <c r="R913" s="41"/>
      <c r="S913" s="22" t="str">
        <f t="shared" si="63"/>
        <v/>
      </c>
      <c r="T913" s="41"/>
      <c r="U913" s="44"/>
      <c r="V913" s="44"/>
      <c r="W913" s="46"/>
      <c r="X913" s="46"/>
      <c r="Y913" s="46"/>
      <c r="Z913" s="22"/>
      <c r="AA913" s="22"/>
      <c r="AB913" s="22"/>
      <c r="AC913" s="22"/>
      <c r="AD913" s="22"/>
      <c r="AE913" s="22"/>
      <c r="AF913" s="48" t="str">
        <f t="shared" si="64"/>
        <v/>
      </c>
      <c r="AG913" s="48" t="str">
        <f t="shared" si="65"/>
        <v/>
      </c>
      <c r="AH913" s="48" t="str">
        <f t="shared" si="66"/>
        <v/>
      </c>
      <c r="AI913" s="40" t="str">
        <f t="shared" si="67"/>
        <v/>
      </c>
      <c r="AJ913" s="40"/>
      <c r="AK913" s="40"/>
      <c r="AL913" s="22"/>
    </row>
    <row r="914" spans="1:38" ht="17.399999999999999">
      <c r="A914" s="22"/>
      <c r="B914" s="22"/>
      <c r="C914" s="56"/>
      <c r="D914" s="56"/>
      <c r="E914" s="22"/>
      <c r="F914" s="22"/>
      <c r="G914" s="22"/>
      <c r="H914" s="22"/>
      <c r="I914" s="49"/>
      <c r="J914" s="50"/>
      <c r="K914" s="22"/>
      <c r="L914" s="22"/>
      <c r="M914" s="22"/>
      <c r="N914" s="22"/>
      <c r="O914" s="22"/>
      <c r="P914" s="46"/>
      <c r="Q914" s="40"/>
      <c r="R914" s="41"/>
      <c r="S914" s="22" t="str">
        <f t="shared" si="63"/>
        <v/>
      </c>
      <c r="T914" s="41"/>
      <c r="U914" s="44"/>
      <c r="V914" s="44"/>
      <c r="W914" s="46"/>
      <c r="X914" s="46"/>
      <c r="Y914" s="46"/>
      <c r="Z914" s="22"/>
      <c r="AA914" s="22"/>
      <c r="AB914" s="22"/>
      <c r="AC914" s="22"/>
      <c r="AD914" s="22"/>
      <c r="AE914" s="22"/>
      <c r="AF914" s="48" t="str">
        <f t="shared" si="64"/>
        <v/>
      </c>
      <c r="AG914" s="48" t="str">
        <f t="shared" si="65"/>
        <v/>
      </c>
      <c r="AH914" s="48" t="str">
        <f t="shared" si="66"/>
        <v/>
      </c>
      <c r="AI914" s="40" t="str">
        <f t="shared" si="67"/>
        <v/>
      </c>
      <c r="AJ914" s="40"/>
      <c r="AK914" s="40"/>
      <c r="AL914" s="22"/>
    </row>
    <row r="915" spans="1:38" ht="17.399999999999999">
      <c r="A915" s="22"/>
      <c r="B915" s="22"/>
      <c r="C915" s="56"/>
      <c r="D915" s="56"/>
      <c r="E915" s="22"/>
      <c r="F915" s="22"/>
      <c r="G915" s="22"/>
      <c r="H915" s="22"/>
      <c r="I915" s="49"/>
      <c r="J915" s="50"/>
      <c r="K915" s="22"/>
      <c r="L915" s="22"/>
      <c r="M915" s="22"/>
      <c r="N915" s="22"/>
      <c r="O915" s="22"/>
      <c r="P915" s="46"/>
      <c r="Q915" s="40"/>
      <c r="R915" s="41"/>
      <c r="S915" s="22" t="str">
        <f t="shared" si="63"/>
        <v/>
      </c>
      <c r="T915" s="41"/>
      <c r="U915" s="44"/>
      <c r="V915" s="44"/>
      <c r="W915" s="46"/>
      <c r="X915" s="46"/>
      <c r="Y915" s="46"/>
      <c r="Z915" s="22"/>
      <c r="AA915" s="22"/>
      <c r="AB915" s="22"/>
      <c r="AC915" s="22"/>
      <c r="AD915" s="22"/>
      <c r="AE915" s="22"/>
      <c r="AF915" s="48" t="str">
        <f t="shared" si="64"/>
        <v/>
      </c>
      <c r="AG915" s="48" t="str">
        <f t="shared" si="65"/>
        <v/>
      </c>
      <c r="AH915" s="48" t="str">
        <f t="shared" si="66"/>
        <v/>
      </c>
      <c r="AI915" s="40" t="str">
        <f t="shared" si="67"/>
        <v/>
      </c>
      <c r="AJ915" s="40"/>
      <c r="AK915" s="40"/>
      <c r="AL915" s="22"/>
    </row>
    <row r="916" spans="1:38" ht="17.399999999999999">
      <c r="A916" s="22"/>
      <c r="B916" s="22"/>
      <c r="C916" s="56"/>
      <c r="D916" s="56"/>
      <c r="E916" s="22"/>
      <c r="F916" s="22"/>
      <c r="G916" s="22"/>
      <c r="H916" s="22"/>
      <c r="I916" s="49"/>
      <c r="J916" s="50"/>
      <c r="K916" s="22"/>
      <c r="L916" s="22"/>
      <c r="M916" s="22"/>
      <c r="N916" s="22"/>
      <c r="O916" s="22"/>
      <c r="P916" s="46"/>
      <c r="Q916" s="40"/>
      <c r="R916" s="41"/>
      <c r="S916" s="22" t="str">
        <f t="shared" si="63"/>
        <v/>
      </c>
      <c r="T916" s="41"/>
      <c r="U916" s="44"/>
      <c r="V916" s="44"/>
      <c r="W916" s="46"/>
      <c r="X916" s="46"/>
      <c r="Y916" s="46"/>
      <c r="Z916" s="22"/>
      <c r="AA916" s="22"/>
      <c r="AB916" s="22"/>
      <c r="AC916" s="22"/>
      <c r="AD916" s="22"/>
      <c r="AE916" s="22"/>
      <c r="AF916" s="48" t="str">
        <f t="shared" si="64"/>
        <v/>
      </c>
      <c r="AG916" s="48" t="str">
        <f t="shared" si="65"/>
        <v/>
      </c>
      <c r="AH916" s="48" t="str">
        <f t="shared" si="66"/>
        <v/>
      </c>
      <c r="AI916" s="40" t="str">
        <f t="shared" si="67"/>
        <v/>
      </c>
      <c r="AJ916" s="40"/>
      <c r="AK916" s="40"/>
      <c r="AL916" s="22"/>
    </row>
    <row r="917" spans="1:38" ht="17.399999999999999">
      <c r="A917" s="22"/>
      <c r="B917" s="22"/>
      <c r="C917" s="56"/>
      <c r="D917" s="56"/>
      <c r="E917" s="22"/>
      <c r="F917" s="22"/>
      <c r="G917" s="22"/>
      <c r="H917" s="22"/>
      <c r="I917" s="49"/>
      <c r="J917" s="50"/>
      <c r="K917" s="22"/>
      <c r="L917" s="22"/>
      <c r="M917" s="22"/>
      <c r="N917" s="22"/>
      <c r="O917" s="22"/>
      <c r="P917" s="46"/>
      <c r="Q917" s="40"/>
      <c r="R917" s="41"/>
      <c r="S917" s="22" t="str">
        <f t="shared" si="63"/>
        <v/>
      </c>
      <c r="T917" s="41"/>
      <c r="U917" s="44"/>
      <c r="V917" s="44"/>
      <c r="W917" s="46"/>
      <c r="X917" s="46"/>
      <c r="Y917" s="46"/>
      <c r="Z917" s="22"/>
      <c r="AA917" s="22"/>
      <c r="AB917" s="22"/>
      <c r="AC917" s="22"/>
      <c r="AD917" s="22"/>
      <c r="AE917" s="22"/>
      <c r="AF917" s="48" t="str">
        <f t="shared" si="64"/>
        <v/>
      </c>
      <c r="AG917" s="48" t="str">
        <f t="shared" si="65"/>
        <v/>
      </c>
      <c r="AH917" s="48" t="str">
        <f t="shared" si="66"/>
        <v/>
      </c>
      <c r="AI917" s="40" t="str">
        <f t="shared" si="67"/>
        <v/>
      </c>
      <c r="AJ917" s="40"/>
      <c r="AK917" s="40"/>
      <c r="AL917" s="22"/>
    </row>
    <row r="918" spans="1:38" ht="17.399999999999999">
      <c r="A918" s="22"/>
      <c r="B918" s="22"/>
      <c r="C918" s="56"/>
      <c r="D918" s="56"/>
      <c r="E918" s="22"/>
      <c r="F918" s="22"/>
      <c r="G918" s="22"/>
      <c r="H918" s="22"/>
      <c r="I918" s="49"/>
      <c r="J918" s="50"/>
      <c r="K918" s="22"/>
      <c r="L918" s="22"/>
      <c r="M918" s="22"/>
      <c r="N918" s="22"/>
      <c r="O918" s="22"/>
      <c r="P918" s="46"/>
      <c r="Q918" s="40"/>
      <c r="R918" s="41"/>
      <c r="S918" s="22" t="str">
        <f t="shared" si="63"/>
        <v/>
      </c>
      <c r="T918" s="41"/>
      <c r="U918" s="44"/>
      <c r="V918" s="44"/>
      <c r="W918" s="46"/>
      <c r="X918" s="46"/>
      <c r="Y918" s="46"/>
      <c r="Z918" s="22"/>
      <c r="AA918" s="22"/>
      <c r="AB918" s="22"/>
      <c r="AC918" s="22"/>
      <c r="AD918" s="22"/>
      <c r="AE918" s="22"/>
      <c r="AF918" s="48" t="str">
        <f t="shared" si="64"/>
        <v/>
      </c>
      <c r="AG918" s="48" t="str">
        <f t="shared" si="65"/>
        <v/>
      </c>
      <c r="AH918" s="48" t="str">
        <f t="shared" si="66"/>
        <v/>
      </c>
      <c r="AI918" s="40" t="str">
        <f t="shared" si="67"/>
        <v/>
      </c>
      <c r="AJ918" s="40"/>
      <c r="AK918" s="40"/>
      <c r="AL918" s="22"/>
    </row>
    <row r="919" spans="1:38" ht="17.399999999999999">
      <c r="A919" s="22"/>
      <c r="B919" s="22"/>
      <c r="C919" s="56"/>
      <c r="D919" s="56"/>
      <c r="E919" s="22"/>
      <c r="F919" s="22"/>
      <c r="G919" s="22"/>
      <c r="H919" s="22"/>
      <c r="I919" s="49"/>
      <c r="J919" s="50"/>
      <c r="K919" s="22"/>
      <c r="L919" s="22"/>
      <c r="M919" s="22"/>
      <c r="N919" s="22"/>
      <c r="O919" s="22"/>
      <c r="P919" s="46"/>
      <c r="Q919" s="40"/>
      <c r="R919" s="41"/>
      <c r="S919" s="22" t="str">
        <f t="shared" ref="S919:S982" si="68">IF(A919="","",M919+O919)</f>
        <v/>
      </c>
      <c r="T919" s="41"/>
      <c r="U919" s="44"/>
      <c r="V919" s="44"/>
      <c r="W919" s="46"/>
      <c r="X919" s="46"/>
      <c r="Y919" s="46"/>
      <c r="Z919" s="22"/>
      <c r="AA919" s="22"/>
      <c r="AB919" s="22"/>
      <c r="AC919" s="22"/>
      <c r="AD919" s="22"/>
      <c r="AE919" s="22"/>
      <c r="AF919" s="48" t="str">
        <f t="shared" ref="AF919:AF982" si="69">IF(A919="","",S919-X919)</f>
        <v/>
      </c>
      <c r="AG919" s="48" t="str">
        <f t="shared" ref="AG919:AG982" si="70">IF(A919="","",X919-(AB919+AE919))</f>
        <v/>
      </c>
      <c r="AH919" s="48" t="str">
        <f t="shared" ref="AH919:AH982" si="71">IF(A919="","",AF919+AG919)</f>
        <v/>
      </c>
      <c r="AI919" s="40" t="str">
        <f t="shared" ref="AI919:AI982" si="72">IF(A919="","",R919+21)</f>
        <v/>
      </c>
      <c r="AJ919" s="40"/>
      <c r="AK919" s="40"/>
      <c r="AL919" s="22"/>
    </row>
    <row r="920" spans="1:38" ht="17.399999999999999">
      <c r="A920" s="22"/>
      <c r="B920" s="22"/>
      <c r="C920" s="56"/>
      <c r="D920" s="56"/>
      <c r="E920" s="22"/>
      <c r="F920" s="22"/>
      <c r="G920" s="22"/>
      <c r="H920" s="22"/>
      <c r="I920" s="49"/>
      <c r="J920" s="50"/>
      <c r="K920" s="22"/>
      <c r="L920" s="22"/>
      <c r="M920" s="22"/>
      <c r="N920" s="22"/>
      <c r="O920" s="22"/>
      <c r="P920" s="46"/>
      <c r="Q920" s="40"/>
      <c r="R920" s="41"/>
      <c r="S920" s="22" t="str">
        <f t="shared" si="68"/>
        <v/>
      </c>
      <c r="T920" s="41"/>
      <c r="U920" s="44"/>
      <c r="V920" s="44"/>
      <c r="W920" s="46"/>
      <c r="X920" s="46"/>
      <c r="Y920" s="46"/>
      <c r="Z920" s="22"/>
      <c r="AA920" s="22"/>
      <c r="AB920" s="22"/>
      <c r="AC920" s="22"/>
      <c r="AD920" s="22"/>
      <c r="AE920" s="22"/>
      <c r="AF920" s="48" t="str">
        <f t="shared" si="69"/>
        <v/>
      </c>
      <c r="AG920" s="48" t="str">
        <f t="shared" si="70"/>
        <v/>
      </c>
      <c r="AH920" s="48" t="str">
        <f t="shared" si="71"/>
        <v/>
      </c>
      <c r="AI920" s="40" t="str">
        <f t="shared" si="72"/>
        <v/>
      </c>
      <c r="AJ920" s="40"/>
      <c r="AK920" s="40"/>
      <c r="AL920" s="22"/>
    </row>
    <row r="921" spans="1:38" ht="17.399999999999999">
      <c r="A921" s="22"/>
      <c r="B921" s="22"/>
      <c r="C921" s="56"/>
      <c r="D921" s="56"/>
      <c r="E921" s="22"/>
      <c r="F921" s="22"/>
      <c r="G921" s="22"/>
      <c r="H921" s="22"/>
      <c r="I921" s="49"/>
      <c r="J921" s="50"/>
      <c r="K921" s="22"/>
      <c r="L921" s="22"/>
      <c r="M921" s="22"/>
      <c r="N921" s="22"/>
      <c r="O921" s="22"/>
      <c r="P921" s="46"/>
      <c r="Q921" s="40"/>
      <c r="R921" s="41"/>
      <c r="S921" s="22" t="str">
        <f t="shared" si="68"/>
        <v/>
      </c>
      <c r="T921" s="41"/>
      <c r="U921" s="44"/>
      <c r="V921" s="44"/>
      <c r="W921" s="46"/>
      <c r="X921" s="46"/>
      <c r="Y921" s="46"/>
      <c r="Z921" s="22"/>
      <c r="AA921" s="22"/>
      <c r="AB921" s="22"/>
      <c r="AC921" s="22"/>
      <c r="AD921" s="22"/>
      <c r="AE921" s="22"/>
      <c r="AF921" s="48" t="str">
        <f t="shared" si="69"/>
        <v/>
      </c>
      <c r="AG921" s="48" t="str">
        <f t="shared" si="70"/>
        <v/>
      </c>
      <c r="AH921" s="48" t="str">
        <f t="shared" si="71"/>
        <v/>
      </c>
      <c r="AI921" s="40" t="str">
        <f t="shared" si="72"/>
        <v/>
      </c>
      <c r="AJ921" s="40"/>
      <c r="AK921" s="40"/>
      <c r="AL921" s="22"/>
    </row>
    <row r="922" spans="1:38" ht="17.399999999999999">
      <c r="A922" s="22"/>
      <c r="B922" s="22"/>
      <c r="C922" s="56"/>
      <c r="D922" s="56"/>
      <c r="E922" s="22"/>
      <c r="F922" s="22"/>
      <c r="G922" s="22"/>
      <c r="H922" s="22"/>
      <c r="I922" s="49"/>
      <c r="J922" s="50"/>
      <c r="K922" s="22"/>
      <c r="L922" s="22"/>
      <c r="M922" s="22"/>
      <c r="N922" s="22"/>
      <c r="O922" s="22"/>
      <c r="P922" s="46"/>
      <c r="Q922" s="40"/>
      <c r="R922" s="41"/>
      <c r="S922" s="22" t="str">
        <f t="shared" si="68"/>
        <v/>
      </c>
      <c r="T922" s="41"/>
      <c r="U922" s="44"/>
      <c r="V922" s="44"/>
      <c r="W922" s="46"/>
      <c r="X922" s="46"/>
      <c r="Y922" s="46"/>
      <c r="Z922" s="22"/>
      <c r="AA922" s="22"/>
      <c r="AB922" s="22"/>
      <c r="AC922" s="22"/>
      <c r="AD922" s="22"/>
      <c r="AE922" s="22"/>
      <c r="AF922" s="48" t="str">
        <f t="shared" si="69"/>
        <v/>
      </c>
      <c r="AG922" s="48" t="str">
        <f t="shared" si="70"/>
        <v/>
      </c>
      <c r="AH922" s="48" t="str">
        <f t="shared" si="71"/>
        <v/>
      </c>
      <c r="AI922" s="40" t="str">
        <f t="shared" si="72"/>
        <v/>
      </c>
      <c r="AJ922" s="40"/>
      <c r="AK922" s="40"/>
      <c r="AL922" s="22"/>
    </row>
    <row r="923" spans="1:38" ht="17.399999999999999">
      <c r="A923" s="22"/>
      <c r="B923" s="22"/>
      <c r="C923" s="56"/>
      <c r="D923" s="56"/>
      <c r="E923" s="22"/>
      <c r="F923" s="22"/>
      <c r="G923" s="22"/>
      <c r="H923" s="22"/>
      <c r="I923" s="49"/>
      <c r="J923" s="50"/>
      <c r="K923" s="22"/>
      <c r="L923" s="22"/>
      <c r="M923" s="22"/>
      <c r="N923" s="22"/>
      <c r="O923" s="22"/>
      <c r="P923" s="46"/>
      <c r="Q923" s="40"/>
      <c r="R923" s="41"/>
      <c r="S923" s="22" t="str">
        <f t="shared" si="68"/>
        <v/>
      </c>
      <c r="T923" s="41"/>
      <c r="U923" s="44"/>
      <c r="V923" s="44"/>
      <c r="W923" s="46"/>
      <c r="X923" s="46"/>
      <c r="Y923" s="46"/>
      <c r="Z923" s="22"/>
      <c r="AA923" s="22"/>
      <c r="AB923" s="22"/>
      <c r="AC923" s="22"/>
      <c r="AD923" s="22"/>
      <c r="AE923" s="22"/>
      <c r="AF923" s="48" t="str">
        <f t="shared" si="69"/>
        <v/>
      </c>
      <c r="AG923" s="48" t="str">
        <f t="shared" si="70"/>
        <v/>
      </c>
      <c r="AH923" s="48" t="str">
        <f t="shared" si="71"/>
        <v/>
      </c>
      <c r="AI923" s="40" t="str">
        <f t="shared" si="72"/>
        <v/>
      </c>
      <c r="AJ923" s="40"/>
      <c r="AK923" s="40"/>
      <c r="AL923" s="22"/>
    </row>
    <row r="924" spans="1:38" ht="17.399999999999999">
      <c r="A924" s="22"/>
      <c r="B924" s="22"/>
      <c r="C924" s="56"/>
      <c r="D924" s="56"/>
      <c r="E924" s="22"/>
      <c r="F924" s="22"/>
      <c r="G924" s="22"/>
      <c r="H924" s="22"/>
      <c r="I924" s="49"/>
      <c r="J924" s="50"/>
      <c r="K924" s="22"/>
      <c r="L924" s="22"/>
      <c r="M924" s="22"/>
      <c r="N924" s="22"/>
      <c r="O924" s="22"/>
      <c r="P924" s="46"/>
      <c r="Q924" s="40"/>
      <c r="R924" s="41"/>
      <c r="S924" s="22" t="str">
        <f t="shared" si="68"/>
        <v/>
      </c>
      <c r="T924" s="41"/>
      <c r="U924" s="44"/>
      <c r="V924" s="44"/>
      <c r="W924" s="46"/>
      <c r="X924" s="46"/>
      <c r="Y924" s="46"/>
      <c r="Z924" s="22"/>
      <c r="AA924" s="22"/>
      <c r="AB924" s="22"/>
      <c r="AC924" s="22"/>
      <c r="AD924" s="22"/>
      <c r="AE924" s="22"/>
      <c r="AF924" s="48" t="str">
        <f t="shared" si="69"/>
        <v/>
      </c>
      <c r="AG924" s="48" t="str">
        <f t="shared" si="70"/>
        <v/>
      </c>
      <c r="AH924" s="48" t="str">
        <f t="shared" si="71"/>
        <v/>
      </c>
      <c r="AI924" s="40" t="str">
        <f t="shared" si="72"/>
        <v/>
      </c>
      <c r="AJ924" s="40"/>
      <c r="AK924" s="40"/>
      <c r="AL924" s="22"/>
    </row>
    <row r="925" spans="1:38" ht="17.399999999999999">
      <c r="A925" s="22"/>
      <c r="B925" s="22"/>
      <c r="C925" s="56"/>
      <c r="D925" s="56"/>
      <c r="E925" s="22"/>
      <c r="F925" s="22"/>
      <c r="G925" s="22"/>
      <c r="H925" s="22"/>
      <c r="I925" s="49"/>
      <c r="J925" s="50"/>
      <c r="K925" s="22"/>
      <c r="L925" s="22"/>
      <c r="M925" s="22"/>
      <c r="N925" s="22"/>
      <c r="O925" s="22"/>
      <c r="P925" s="46"/>
      <c r="Q925" s="40"/>
      <c r="R925" s="41"/>
      <c r="S925" s="22" t="str">
        <f t="shared" si="68"/>
        <v/>
      </c>
      <c r="T925" s="41"/>
      <c r="U925" s="44"/>
      <c r="V925" s="44"/>
      <c r="W925" s="46"/>
      <c r="X925" s="46"/>
      <c r="Y925" s="46"/>
      <c r="Z925" s="22"/>
      <c r="AA925" s="22"/>
      <c r="AB925" s="22"/>
      <c r="AC925" s="22"/>
      <c r="AD925" s="22"/>
      <c r="AE925" s="22"/>
      <c r="AF925" s="48" t="str">
        <f t="shared" si="69"/>
        <v/>
      </c>
      <c r="AG925" s="48" t="str">
        <f t="shared" si="70"/>
        <v/>
      </c>
      <c r="AH925" s="48" t="str">
        <f t="shared" si="71"/>
        <v/>
      </c>
      <c r="AI925" s="40" t="str">
        <f t="shared" si="72"/>
        <v/>
      </c>
      <c r="AJ925" s="40"/>
      <c r="AK925" s="40"/>
      <c r="AL925" s="22"/>
    </row>
    <row r="926" spans="1:38" ht="17.399999999999999">
      <c r="A926" s="22"/>
      <c r="B926" s="22"/>
      <c r="C926" s="56"/>
      <c r="D926" s="56"/>
      <c r="E926" s="22"/>
      <c r="F926" s="22"/>
      <c r="G926" s="22"/>
      <c r="H926" s="22"/>
      <c r="I926" s="49"/>
      <c r="J926" s="50"/>
      <c r="K926" s="22"/>
      <c r="L926" s="22"/>
      <c r="M926" s="22"/>
      <c r="N926" s="22"/>
      <c r="O926" s="22"/>
      <c r="P926" s="46"/>
      <c r="Q926" s="40"/>
      <c r="R926" s="41"/>
      <c r="S926" s="22" t="str">
        <f t="shared" si="68"/>
        <v/>
      </c>
      <c r="T926" s="41"/>
      <c r="U926" s="44"/>
      <c r="V926" s="44"/>
      <c r="W926" s="46"/>
      <c r="X926" s="46"/>
      <c r="Y926" s="46"/>
      <c r="Z926" s="22"/>
      <c r="AA926" s="22"/>
      <c r="AB926" s="22"/>
      <c r="AC926" s="22"/>
      <c r="AD926" s="22"/>
      <c r="AE926" s="22"/>
      <c r="AF926" s="48" t="str">
        <f t="shared" si="69"/>
        <v/>
      </c>
      <c r="AG926" s="48" t="str">
        <f t="shared" si="70"/>
        <v/>
      </c>
      <c r="AH926" s="48" t="str">
        <f t="shared" si="71"/>
        <v/>
      </c>
      <c r="AI926" s="40" t="str">
        <f t="shared" si="72"/>
        <v/>
      </c>
      <c r="AJ926" s="40"/>
      <c r="AK926" s="40"/>
      <c r="AL926" s="22"/>
    </row>
    <row r="927" spans="1:38" ht="17.399999999999999">
      <c r="A927" s="22"/>
      <c r="B927" s="22"/>
      <c r="C927" s="56"/>
      <c r="D927" s="56"/>
      <c r="E927" s="22"/>
      <c r="F927" s="22"/>
      <c r="G927" s="22"/>
      <c r="H927" s="22"/>
      <c r="I927" s="49"/>
      <c r="J927" s="50"/>
      <c r="K927" s="22"/>
      <c r="L927" s="22"/>
      <c r="M927" s="22"/>
      <c r="N927" s="22"/>
      <c r="O927" s="22"/>
      <c r="P927" s="46"/>
      <c r="Q927" s="40"/>
      <c r="R927" s="41"/>
      <c r="S927" s="22" t="str">
        <f t="shared" si="68"/>
        <v/>
      </c>
      <c r="T927" s="41"/>
      <c r="U927" s="44"/>
      <c r="V927" s="44"/>
      <c r="W927" s="46"/>
      <c r="X927" s="46"/>
      <c r="Y927" s="46"/>
      <c r="Z927" s="22"/>
      <c r="AA927" s="22"/>
      <c r="AB927" s="22"/>
      <c r="AC927" s="22"/>
      <c r="AD927" s="22"/>
      <c r="AE927" s="22"/>
      <c r="AF927" s="48" t="str">
        <f t="shared" si="69"/>
        <v/>
      </c>
      <c r="AG927" s="48" t="str">
        <f t="shared" si="70"/>
        <v/>
      </c>
      <c r="AH927" s="48" t="str">
        <f t="shared" si="71"/>
        <v/>
      </c>
      <c r="AI927" s="40" t="str">
        <f t="shared" si="72"/>
        <v/>
      </c>
      <c r="AJ927" s="40"/>
      <c r="AK927" s="40"/>
      <c r="AL927" s="22"/>
    </row>
    <row r="928" spans="1:38" ht="17.399999999999999">
      <c r="A928" s="22"/>
      <c r="B928" s="22"/>
      <c r="C928" s="56"/>
      <c r="D928" s="56"/>
      <c r="E928" s="22"/>
      <c r="F928" s="22"/>
      <c r="G928" s="22"/>
      <c r="H928" s="22"/>
      <c r="I928" s="49"/>
      <c r="J928" s="50"/>
      <c r="K928" s="22"/>
      <c r="L928" s="22"/>
      <c r="M928" s="22"/>
      <c r="N928" s="22"/>
      <c r="O928" s="22"/>
      <c r="P928" s="46"/>
      <c r="Q928" s="40"/>
      <c r="R928" s="41"/>
      <c r="S928" s="22" t="str">
        <f t="shared" si="68"/>
        <v/>
      </c>
      <c r="T928" s="41"/>
      <c r="U928" s="44"/>
      <c r="V928" s="44"/>
      <c r="W928" s="46"/>
      <c r="X928" s="46"/>
      <c r="Y928" s="46"/>
      <c r="Z928" s="22"/>
      <c r="AA928" s="22"/>
      <c r="AB928" s="22"/>
      <c r="AC928" s="22"/>
      <c r="AD928" s="22"/>
      <c r="AE928" s="22"/>
      <c r="AF928" s="48" t="str">
        <f t="shared" si="69"/>
        <v/>
      </c>
      <c r="AG928" s="48" t="str">
        <f t="shared" si="70"/>
        <v/>
      </c>
      <c r="AH928" s="48" t="str">
        <f t="shared" si="71"/>
        <v/>
      </c>
      <c r="AI928" s="40" t="str">
        <f t="shared" si="72"/>
        <v/>
      </c>
      <c r="AJ928" s="40"/>
      <c r="AK928" s="40"/>
      <c r="AL928" s="22"/>
    </row>
    <row r="929" spans="1:38" ht="17.399999999999999">
      <c r="A929" s="22"/>
      <c r="B929" s="22"/>
      <c r="C929" s="56"/>
      <c r="D929" s="56"/>
      <c r="E929" s="22"/>
      <c r="F929" s="22"/>
      <c r="G929" s="22"/>
      <c r="H929" s="22"/>
      <c r="I929" s="49"/>
      <c r="J929" s="50"/>
      <c r="K929" s="22"/>
      <c r="L929" s="22"/>
      <c r="M929" s="22"/>
      <c r="N929" s="22"/>
      <c r="O929" s="22"/>
      <c r="P929" s="46"/>
      <c r="Q929" s="40"/>
      <c r="R929" s="41"/>
      <c r="S929" s="22" t="str">
        <f t="shared" si="68"/>
        <v/>
      </c>
      <c r="T929" s="41"/>
      <c r="U929" s="44"/>
      <c r="V929" s="44"/>
      <c r="W929" s="46"/>
      <c r="X929" s="46"/>
      <c r="Y929" s="46"/>
      <c r="Z929" s="22"/>
      <c r="AA929" s="22"/>
      <c r="AB929" s="22"/>
      <c r="AC929" s="22"/>
      <c r="AD929" s="22"/>
      <c r="AE929" s="22"/>
      <c r="AF929" s="48" t="str">
        <f t="shared" si="69"/>
        <v/>
      </c>
      <c r="AG929" s="48" t="str">
        <f t="shared" si="70"/>
        <v/>
      </c>
      <c r="AH929" s="48" t="str">
        <f t="shared" si="71"/>
        <v/>
      </c>
      <c r="AI929" s="40" t="str">
        <f t="shared" si="72"/>
        <v/>
      </c>
      <c r="AJ929" s="40"/>
      <c r="AK929" s="40"/>
      <c r="AL929" s="22"/>
    </row>
    <row r="930" spans="1:38" ht="17.399999999999999">
      <c r="A930" s="22"/>
      <c r="B930" s="22"/>
      <c r="C930" s="56"/>
      <c r="D930" s="56"/>
      <c r="E930" s="22"/>
      <c r="F930" s="22"/>
      <c r="G930" s="22"/>
      <c r="H930" s="22"/>
      <c r="I930" s="49"/>
      <c r="J930" s="50"/>
      <c r="K930" s="22"/>
      <c r="L930" s="22"/>
      <c r="M930" s="22"/>
      <c r="N930" s="22"/>
      <c r="O930" s="22"/>
      <c r="P930" s="46"/>
      <c r="Q930" s="40"/>
      <c r="R930" s="41"/>
      <c r="S930" s="22" t="str">
        <f t="shared" si="68"/>
        <v/>
      </c>
      <c r="T930" s="41"/>
      <c r="U930" s="44"/>
      <c r="V930" s="44"/>
      <c r="W930" s="46"/>
      <c r="X930" s="46"/>
      <c r="Y930" s="46"/>
      <c r="Z930" s="22"/>
      <c r="AA930" s="22"/>
      <c r="AB930" s="22"/>
      <c r="AC930" s="22"/>
      <c r="AD930" s="22"/>
      <c r="AE930" s="22"/>
      <c r="AF930" s="48" t="str">
        <f t="shared" si="69"/>
        <v/>
      </c>
      <c r="AG930" s="48" t="str">
        <f t="shared" si="70"/>
        <v/>
      </c>
      <c r="AH930" s="48" t="str">
        <f t="shared" si="71"/>
        <v/>
      </c>
      <c r="AI930" s="40" t="str">
        <f t="shared" si="72"/>
        <v/>
      </c>
      <c r="AJ930" s="40"/>
      <c r="AK930" s="40"/>
      <c r="AL930" s="22"/>
    </row>
    <row r="931" spans="1:38" ht="17.399999999999999">
      <c r="A931" s="22"/>
      <c r="B931" s="22"/>
      <c r="C931" s="56"/>
      <c r="D931" s="56"/>
      <c r="E931" s="22"/>
      <c r="F931" s="22"/>
      <c r="G931" s="22"/>
      <c r="H931" s="22"/>
      <c r="I931" s="49"/>
      <c r="J931" s="50"/>
      <c r="K931" s="22"/>
      <c r="L931" s="22"/>
      <c r="M931" s="22"/>
      <c r="N931" s="22"/>
      <c r="O931" s="22"/>
      <c r="P931" s="46"/>
      <c r="Q931" s="40"/>
      <c r="R931" s="41"/>
      <c r="S931" s="22" t="str">
        <f t="shared" si="68"/>
        <v/>
      </c>
      <c r="T931" s="41"/>
      <c r="U931" s="44"/>
      <c r="V931" s="44"/>
      <c r="W931" s="46"/>
      <c r="X931" s="46"/>
      <c r="Y931" s="46"/>
      <c r="Z931" s="22"/>
      <c r="AA931" s="22"/>
      <c r="AB931" s="22"/>
      <c r="AC931" s="22"/>
      <c r="AD931" s="22"/>
      <c r="AE931" s="22"/>
      <c r="AF931" s="48" t="str">
        <f t="shared" si="69"/>
        <v/>
      </c>
      <c r="AG931" s="48" t="str">
        <f t="shared" si="70"/>
        <v/>
      </c>
      <c r="AH931" s="48" t="str">
        <f t="shared" si="71"/>
        <v/>
      </c>
      <c r="AI931" s="40" t="str">
        <f t="shared" si="72"/>
        <v/>
      </c>
      <c r="AJ931" s="40"/>
      <c r="AK931" s="40"/>
      <c r="AL931" s="22"/>
    </row>
    <row r="932" spans="1:38" ht="17.399999999999999">
      <c r="A932" s="22"/>
      <c r="B932" s="22"/>
      <c r="C932" s="56"/>
      <c r="D932" s="56"/>
      <c r="E932" s="22"/>
      <c r="F932" s="22"/>
      <c r="G932" s="22"/>
      <c r="H932" s="22"/>
      <c r="I932" s="49"/>
      <c r="J932" s="50"/>
      <c r="K932" s="22"/>
      <c r="L932" s="22"/>
      <c r="M932" s="22"/>
      <c r="N932" s="22"/>
      <c r="O932" s="22"/>
      <c r="P932" s="46"/>
      <c r="Q932" s="40"/>
      <c r="R932" s="41"/>
      <c r="S932" s="22" t="str">
        <f t="shared" si="68"/>
        <v/>
      </c>
      <c r="T932" s="41"/>
      <c r="U932" s="44"/>
      <c r="V932" s="44"/>
      <c r="W932" s="46"/>
      <c r="X932" s="46"/>
      <c r="Y932" s="46"/>
      <c r="Z932" s="22"/>
      <c r="AA932" s="22"/>
      <c r="AB932" s="22"/>
      <c r="AC932" s="22"/>
      <c r="AD932" s="22"/>
      <c r="AE932" s="22"/>
      <c r="AF932" s="48" t="str">
        <f t="shared" si="69"/>
        <v/>
      </c>
      <c r="AG932" s="48" t="str">
        <f t="shared" si="70"/>
        <v/>
      </c>
      <c r="AH932" s="48" t="str">
        <f t="shared" si="71"/>
        <v/>
      </c>
      <c r="AI932" s="40" t="str">
        <f t="shared" si="72"/>
        <v/>
      </c>
      <c r="AJ932" s="40"/>
      <c r="AK932" s="40"/>
      <c r="AL932" s="22"/>
    </row>
    <row r="933" spans="1:38" ht="17.399999999999999">
      <c r="A933" s="22"/>
      <c r="B933" s="22"/>
      <c r="C933" s="56"/>
      <c r="D933" s="56"/>
      <c r="E933" s="22"/>
      <c r="F933" s="22"/>
      <c r="G933" s="22"/>
      <c r="H933" s="22"/>
      <c r="I933" s="49"/>
      <c r="J933" s="50"/>
      <c r="K933" s="22"/>
      <c r="L933" s="22"/>
      <c r="M933" s="22"/>
      <c r="N933" s="22"/>
      <c r="O933" s="22"/>
      <c r="P933" s="46"/>
      <c r="Q933" s="40"/>
      <c r="R933" s="41"/>
      <c r="S933" s="22" t="str">
        <f t="shared" si="68"/>
        <v/>
      </c>
      <c r="T933" s="41"/>
      <c r="U933" s="44"/>
      <c r="V933" s="44"/>
      <c r="W933" s="46"/>
      <c r="X933" s="46"/>
      <c r="Y933" s="46"/>
      <c r="Z933" s="22"/>
      <c r="AA933" s="22"/>
      <c r="AB933" s="22"/>
      <c r="AC933" s="22"/>
      <c r="AD933" s="22"/>
      <c r="AE933" s="22"/>
      <c r="AF933" s="48" t="str">
        <f t="shared" si="69"/>
        <v/>
      </c>
      <c r="AG933" s="48" t="str">
        <f t="shared" si="70"/>
        <v/>
      </c>
      <c r="AH933" s="48" t="str">
        <f t="shared" si="71"/>
        <v/>
      </c>
      <c r="AI933" s="40" t="str">
        <f t="shared" si="72"/>
        <v/>
      </c>
      <c r="AJ933" s="40"/>
      <c r="AK933" s="40"/>
      <c r="AL933" s="22"/>
    </row>
    <row r="934" spans="1:38" ht="17.399999999999999">
      <c r="A934" s="22"/>
      <c r="B934" s="22"/>
      <c r="C934" s="56"/>
      <c r="D934" s="56"/>
      <c r="E934" s="22"/>
      <c r="F934" s="22"/>
      <c r="G934" s="22"/>
      <c r="H934" s="22"/>
      <c r="I934" s="49"/>
      <c r="J934" s="50"/>
      <c r="K934" s="22"/>
      <c r="L934" s="22"/>
      <c r="M934" s="22"/>
      <c r="N934" s="22"/>
      <c r="O934" s="22"/>
      <c r="P934" s="46"/>
      <c r="Q934" s="40"/>
      <c r="R934" s="41"/>
      <c r="S934" s="22" t="str">
        <f t="shared" si="68"/>
        <v/>
      </c>
      <c r="T934" s="41"/>
      <c r="U934" s="44"/>
      <c r="V934" s="44"/>
      <c r="W934" s="46"/>
      <c r="X934" s="46"/>
      <c r="Y934" s="46"/>
      <c r="Z934" s="22"/>
      <c r="AA934" s="22"/>
      <c r="AB934" s="22"/>
      <c r="AC934" s="22"/>
      <c r="AD934" s="22"/>
      <c r="AE934" s="22"/>
      <c r="AF934" s="48" t="str">
        <f t="shared" si="69"/>
        <v/>
      </c>
      <c r="AG934" s="48" t="str">
        <f t="shared" si="70"/>
        <v/>
      </c>
      <c r="AH934" s="48" t="str">
        <f t="shared" si="71"/>
        <v/>
      </c>
      <c r="AI934" s="40" t="str">
        <f t="shared" si="72"/>
        <v/>
      </c>
      <c r="AJ934" s="40"/>
      <c r="AK934" s="40"/>
      <c r="AL934" s="22"/>
    </row>
    <row r="935" spans="1:38" ht="17.399999999999999">
      <c r="A935" s="22"/>
      <c r="B935" s="22"/>
      <c r="C935" s="56"/>
      <c r="D935" s="56"/>
      <c r="E935" s="22"/>
      <c r="F935" s="22"/>
      <c r="G935" s="22"/>
      <c r="H935" s="22"/>
      <c r="I935" s="49"/>
      <c r="J935" s="50"/>
      <c r="K935" s="22"/>
      <c r="L935" s="22"/>
      <c r="M935" s="22"/>
      <c r="N935" s="22"/>
      <c r="O935" s="22"/>
      <c r="P935" s="46"/>
      <c r="Q935" s="40"/>
      <c r="R935" s="41"/>
      <c r="S935" s="22" t="str">
        <f t="shared" si="68"/>
        <v/>
      </c>
      <c r="T935" s="41"/>
      <c r="U935" s="44"/>
      <c r="V935" s="44"/>
      <c r="W935" s="46"/>
      <c r="X935" s="46"/>
      <c r="Y935" s="46"/>
      <c r="Z935" s="22"/>
      <c r="AA935" s="22"/>
      <c r="AB935" s="22"/>
      <c r="AC935" s="22"/>
      <c r="AD935" s="22"/>
      <c r="AE935" s="22"/>
      <c r="AF935" s="48" t="str">
        <f t="shared" si="69"/>
        <v/>
      </c>
      <c r="AG935" s="48" t="str">
        <f t="shared" si="70"/>
        <v/>
      </c>
      <c r="AH935" s="48" t="str">
        <f t="shared" si="71"/>
        <v/>
      </c>
      <c r="AI935" s="40" t="str">
        <f t="shared" si="72"/>
        <v/>
      </c>
      <c r="AJ935" s="40"/>
      <c r="AK935" s="40"/>
      <c r="AL935" s="22"/>
    </row>
    <row r="936" spans="1:38" ht="17.399999999999999">
      <c r="A936" s="22"/>
      <c r="B936" s="22"/>
      <c r="C936" s="56"/>
      <c r="D936" s="56"/>
      <c r="E936" s="22"/>
      <c r="F936" s="22"/>
      <c r="G936" s="22"/>
      <c r="H936" s="22"/>
      <c r="I936" s="49"/>
      <c r="J936" s="50"/>
      <c r="K936" s="22"/>
      <c r="L936" s="22"/>
      <c r="M936" s="22"/>
      <c r="N936" s="22"/>
      <c r="O936" s="22"/>
      <c r="P936" s="46"/>
      <c r="Q936" s="40"/>
      <c r="R936" s="41"/>
      <c r="S936" s="22" t="str">
        <f t="shared" si="68"/>
        <v/>
      </c>
      <c r="T936" s="41"/>
      <c r="U936" s="44"/>
      <c r="V936" s="44"/>
      <c r="W936" s="46"/>
      <c r="X936" s="46"/>
      <c r="Y936" s="46"/>
      <c r="Z936" s="22"/>
      <c r="AA936" s="22"/>
      <c r="AB936" s="22"/>
      <c r="AC936" s="22"/>
      <c r="AD936" s="22"/>
      <c r="AE936" s="22"/>
      <c r="AF936" s="48" t="str">
        <f t="shared" si="69"/>
        <v/>
      </c>
      <c r="AG936" s="48" t="str">
        <f t="shared" si="70"/>
        <v/>
      </c>
      <c r="AH936" s="48" t="str">
        <f t="shared" si="71"/>
        <v/>
      </c>
      <c r="AI936" s="40" t="str">
        <f t="shared" si="72"/>
        <v/>
      </c>
      <c r="AJ936" s="40"/>
      <c r="AK936" s="40"/>
      <c r="AL936" s="22"/>
    </row>
    <row r="937" spans="1:38" ht="17.399999999999999">
      <c r="A937" s="22"/>
      <c r="B937" s="22"/>
      <c r="C937" s="56"/>
      <c r="D937" s="56"/>
      <c r="E937" s="22"/>
      <c r="F937" s="22"/>
      <c r="G937" s="22"/>
      <c r="H937" s="22"/>
      <c r="I937" s="49"/>
      <c r="J937" s="50"/>
      <c r="K937" s="22"/>
      <c r="L937" s="22"/>
      <c r="M937" s="22"/>
      <c r="N937" s="22"/>
      <c r="O937" s="22"/>
      <c r="P937" s="46"/>
      <c r="Q937" s="40"/>
      <c r="R937" s="41"/>
      <c r="S937" s="22" t="str">
        <f t="shared" si="68"/>
        <v/>
      </c>
      <c r="T937" s="41"/>
      <c r="U937" s="44"/>
      <c r="V937" s="44"/>
      <c r="W937" s="46"/>
      <c r="X937" s="46"/>
      <c r="Y937" s="46"/>
      <c r="Z937" s="22"/>
      <c r="AA937" s="22"/>
      <c r="AB937" s="22"/>
      <c r="AC937" s="22"/>
      <c r="AD937" s="22"/>
      <c r="AE937" s="22"/>
      <c r="AF937" s="48" t="str">
        <f t="shared" si="69"/>
        <v/>
      </c>
      <c r="AG937" s="48" t="str">
        <f t="shared" si="70"/>
        <v/>
      </c>
      <c r="AH937" s="48" t="str">
        <f t="shared" si="71"/>
        <v/>
      </c>
      <c r="AI937" s="40" t="str">
        <f t="shared" si="72"/>
        <v/>
      </c>
      <c r="AJ937" s="40"/>
      <c r="AK937" s="40"/>
      <c r="AL937" s="22"/>
    </row>
    <row r="938" spans="1:38" ht="17.399999999999999">
      <c r="A938" s="22"/>
      <c r="B938" s="22"/>
      <c r="C938" s="56"/>
      <c r="D938" s="56"/>
      <c r="E938" s="22"/>
      <c r="F938" s="22"/>
      <c r="G938" s="22"/>
      <c r="H938" s="22"/>
      <c r="I938" s="49"/>
      <c r="J938" s="50"/>
      <c r="K938" s="22"/>
      <c r="L938" s="22"/>
      <c r="M938" s="22"/>
      <c r="N938" s="22"/>
      <c r="O938" s="22"/>
      <c r="P938" s="46"/>
      <c r="Q938" s="40"/>
      <c r="R938" s="41"/>
      <c r="S938" s="22" t="str">
        <f t="shared" si="68"/>
        <v/>
      </c>
      <c r="T938" s="41"/>
      <c r="U938" s="44"/>
      <c r="V938" s="44"/>
      <c r="W938" s="46"/>
      <c r="X938" s="46"/>
      <c r="Y938" s="46"/>
      <c r="Z938" s="22"/>
      <c r="AA938" s="22"/>
      <c r="AB938" s="22"/>
      <c r="AC938" s="22"/>
      <c r="AD938" s="22"/>
      <c r="AE938" s="22"/>
      <c r="AF938" s="48" t="str">
        <f t="shared" si="69"/>
        <v/>
      </c>
      <c r="AG938" s="48" t="str">
        <f t="shared" si="70"/>
        <v/>
      </c>
      <c r="AH938" s="48" t="str">
        <f t="shared" si="71"/>
        <v/>
      </c>
      <c r="AI938" s="40" t="str">
        <f t="shared" si="72"/>
        <v/>
      </c>
      <c r="AJ938" s="40"/>
      <c r="AK938" s="40"/>
      <c r="AL938" s="22"/>
    </row>
    <row r="939" spans="1:38" ht="17.399999999999999">
      <c r="A939" s="22"/>
      <c r="B939" s="22"/>
      <c r="C939" s="56"/>
      <c r="D939" s="56"/>
      <c r="E939" s="22"/>
      <c r="F939" s="22"/>
      <c r="G939" s="22"/>
      <c r="H939" s="22"/>
      <c r="I939" s="49"/>
      <c r="J939" s="50"/>
      <c r="K939" s="22"/>
      <c r="L939" s="22"/>
      <c r="M939" s="22"/>
      <c r="N939" s="22"/>
      <c r="O939" s="22"/>
      <c r="P939" s="46"/>
      <c r="Q939" s="40"/>
      <c r="R939" s="41"/>
      <c r="S939" s="22" t="str">
        <f t="shared" si="68"/>
        <v/>
      </c>
      <c r="T939" s="41"/>
      <c r="U939" s="44"/>
      <c r="V939" s="44"/>
      <c r="W939" s="46"/>
      <c r="X939" s="46"/>
      <c r="Y939" s="46"/>
      <c r="Z939" s="22"/>
      <c r="AA939" s="22"/>
      <c r="AB939" s="22"/>
      <c r="AC939" s="22"/>
      <c r="AD939" s="22"/>
      <c r="AE939" s="22"/>
      <c r="AF939" s="48" t="str">
        <f t="shared" si="69"/>
        <v/>
      </c>
      <c r="AG939" s="48" t="str">
        <f t="shared" si="70"/>
        <v/>
      </c>
      <c r="AH939" s="48" t="str">
        <f t="shared" si="71"/>
        <v/>
      </c>
      <c r="AI939" s="40" t="str">
        <f t="shared" si="72"/>
        <v/>
      </c>
      <c r="AJ939" s="40"/>
      <c r="AK939" s="40"/>
      <c r="AL939" s="22"/>
    </row>
    <row r="940" spans="1:38" ht="17.399999999999999">
      <c r="A940" s="22"/>
      <c r="B940" s="22"/>
      <c r="C940" s="56"/>
      <c r="D940" s="56"/>
      <c r="E940" s="22"/>
      <c r="F940" s="22"/>
      <c r="G940" s="22"/>
      <c r="H940" s="22"/>
      <c r="I940" s="49"/>
      <c r="J940" s="50"/>
      <c r="K940" s="22"/>
      <c r="L940" s="22"/>
      <c r="M940" s="22"/>
      <c r="N940" s="22"/>
      <c r="O940" s="22"/>
      <c r="P940" s="46"/>
      <c r="Q940" s="40"/>
      <c r="R940" s="41"/>
      <c r="S940" s="22" t="str">
        <f t="shared" si="68"/>
        <v/>
      </c>
      <c r="T940" s="41"/>
      <c r="U940" s="44"/>
      <c r="V940" s="44"/>
      <c r="W940" s="46"/>
      <c r="X940" s="46"/>
      <c r="Y940" s="46"/>
      <c r="Z940" s="22"/>
      <c r="AA940" s="22"/>
      <c r="AB940" s="22"/>
      <c r="AC940" s="22"/>
      <c r="AD940" s="22"/>
      <c r="AE940" s="22"/>
      <c r="AF940" s="48" t="str">
        <f t="shared" si="69"/>
        <v/>
      </c>
      <c r="AG940" s="48" t="str">
        <f t="shared" si="70"/>
        <v/>
      </c>
      <c r="AH940" s="48" t="str">
        <f t="shared" si="71"/>
        <v/>
      </c>
      <c r="AI940" s="40" t="str">
        <f t="shared" si="72"/>
        <v/>
      </c>
      <c r="AJ940" s="40"/>
      <c r="AK940" s="40"/>
      <c r="AL940" s="22"/>
    </row>
    <row r="941" spans="1:38" ht="17.399999999999999">
      <c r="A941" s="22"/>
      <c r="B941" s="22"/>
      <c r="C941" s="56"/>
      <c r="D941" s="56"/>
      <c r="E941" s="22"/>
      <c r="F941" s="22"/>
      <c r="G941" s="22"/>
      <c r="H941" s="22"/>
      <c r="I941" s="49"/>
      <c r="J941" s="50"/>
      <c r="K941" s="22"/>
      <c r="L941" s="22"/>
      <c r="M941" s="22"/>
      <c r="N941" s="22"/>
      <c r="O941" s="22"/>
      <c r="P941" s="46"/>
      <c r="Q941" s="40"/>
      <c r="R941" s="41"/>
      <c r="S941" s="22" t="str">
        <f t="shared" si="68"/>
        <v/>
      </c>
      <c r="T941" s="41"/>
      <c r="U941" s="44"/>
      <c r="V941" s="44"/>
      <c r="W941" s="46"/>
      <c r="X941" s="46"/>
      <c r="Y941" s="46"/>
      <c r="Z941" s="22"/>
      <c r="AA941" s="22"/>
      <c r="AB941" s="22"/>
      <c r="AC941" s="22"/>
      <c r="AD941" s="22"/>
      <c r="AE941" s="22"/>
      <c r="AF941" s="48" t="str">
        <f t="shared" si="69"/>
        <v/>
      </c>
      <c r="AG941" s="48" t="str">
        <f t="shared" si="70"/>
        <v/>
      </c>
      <c r="AH941" s="48" t="str">
        <f t="shared" si="71"/>
        <v/>
      </c>
      <c r="AI941" s="40" t="str">
        <f t="shared" si="72"/>
        <v/>
      </c>
      <c r="AJ941" s="40"/>
      <c r="AK941" s="40"/>
      <c r="AL941" s="22"/>
    </row>
    <row r="942" spans="1:38" ht="17.399999999999999">
      <c r="A942" s="22"/>
      <c r="B942" s="22"/>
      <c r="C942" s="56"/>
      <c r="D942" s="56"/>
      <c r="E942" s="22"/>
      <c r="F942" s="22"/>
      <c r="G942" s="22"/>
      <c r="H942" s="22"/>
      <c r="I942" s="49"/>
      <c r="J942" s="50"/>
      <c r="K942" s="22"/>
      <c r="L942" s="22"/>
      <c r="M942" s="22"/>
      <c r="N942" s="22"/>
      <c r="O942" s="22"/>
      <c r="P942" s="46"/>
      <c r="Q942" s="40"/>
      <c r="R942" s="41"/>
      <c r="S942" s="22" t="str">
        <f t="shared" si="68"/>
        <v/>
      </c>
      <c r="T942" s="41"/>
      <c r="U942" s="44"/>
      <c r="V942" s="44"/>
      <c r="W942" s="46"/>
      <c r="X942" s="46"/>
      <c r="Y942" s="46"/>
      <c r="Z942" s="22"/>
      <c r="AA942" s="22"/>
      <c r="AB942" s="22"/>
      <c r="AC942" s="22"/>
      <c r="AD942" s="22"/>
      <c r="AE942" s="22"/>
      <c r="AF942" s="48" t="str">
        <f t="shared" si="69"/>
        <v/>
      </c>
      <c r="AG942" s="48" t="str">
        <f t="shared" si="70"/>
        <v/>
      </c>
      <c r="AH942" s="48" t="str">
        <f t="shared" si="71"/>
        <v/>
      </c>
      <c r="AI942" s="40" t="str">
        <f t="shared" si="72"/>
        <v/>
      </c>
      <c r="AJ942" s="40"/>
      <c r="AK942" s="40"/>
      <c r="AL942" s="22"/>
    </row>
    <row r="943" spans="1:38" ht="17.399999999999999">
      <c r="A943" s="22"/>
      <c r="B943" s="22"/>
      <c r="C943" s="56"/>
      <c r="D943" s="56"/>
      <c r="E943" s="22"/>
      <c r="F943" s="22"/>
      <c r="G943" s="22"/>
      <c r="H943" s="22"/>
      <c r="I943" s="49"/>
      <c r="J943" s="50"/>
      <c r="K943" s="22"/>
      <c r="L943" s="22"/>
      <c r="M943" s="22"/>
      <c r="N943" s="22"/>
      <c r="O943" s="22"/>
      <c r="P943" s="46"/>
      <c r="Q943" s="40"/>
      <c r="R943" s="41"/>
      <c r="S943" s="22" t="str">
        <f t="shared" si="68"/>
        <v/>
      </c>
      <c r="T943" s="41"/>
      <c r="U943" s="44"/>
      <c r="V943" s="44"/>
      <c r="W943" s="46"/>
      <c r="X943" s="46"/>
      <c r="Y943" s="46"/>
      <c r="Z943" s="22"/>
      <c r="AA943" s="22"/>
      <c r="AB943" s="22"/>
      <c r="AC943" s="22"/>
      <c r="AD943" s="22"/>
      <c r="AE943" s="22"/>
      <c r="AF943" s="48" t="str">
        <f t="shared" si="69"/>
        <v/>
      </c>
      <c r="AG943" s="48" t="str">
        <f t="shared" si="70"/>
        <v/>
      </c>
      <c r="AH943" s="48" t="str">
        <f t="shared" si="71"/>
        <v/>
      </c>
      <c r="AI943" s="40" t="str">
        <f t="shared" si="72"/>
        <v/>
      </c>
      <c r="AJ943" s="40"/>
      <c r="AK943" s="40"/>
      <c r="AL943" s="22"/>
    </row>
    <row r="944" spans="1:38" ht="17.399999999999999">
      <c r="A944" s="22"/>
      <c r="B944" s="22"/>
      <c r="C944" s="56"/>
      <c r="D944" s="56"/>
      <c r="E944" s="22"/>
      <c r="F944" s="22"/>
      <c r="G944" s="22"/>
      <c r="H944" s="22"/>
      <c r="I944" s="49"/>
      <c r="J944" s="50"/>
      <c r="K944" s="22"/>
      <c r="L944" s="22"/>
      <c r="M944" s="22"/>
      <c r="N944" s="22"/>
      <c r="O944" s="22"/>
      <c r="P944" s="46"/>
      <c r="Q944" s="40"/>
      <c r="R944" s="41"/>
      <c r="S944" s="22" t="str">
        <f t="shared" si="68"/>
        <v/>
      </c>
      <c r="T944" s="41"/>
      <c r="U944" s="44"/>
      <c r="V944" s="44"/>
      <c r="W944" s="46"/>
      <c r="X944" s="46"/>
      <c r="Y944" s="46"/>
      <c r="Z944" s="22"/>
      <c r="AA944" s="22"/>
      <c r="AB944" s="22"/>
      <c r="AC944" s="22"/>
      <c r="AD944" s="22"/>
      <c r="AE944" s="22"/>
      <c r="AF944" s="48" t="str">
        <f t="shared" si="69"/>
        <v/>
      </c>
      <c r="AG944" s="48" t="str">
        <f t="shared" si="70"/>
        <v/>
      </c>
      <c r="AH944" s="48" t="str">
        <f t="shared" si="71"/>
        <v/>
      </c>
      <c r="AI944" s="40" t="str">
        <f t="shared" si="72"/>
        <v/>
      </c>
      <c r="AJ944" s="40"/>
      <c r="AK944" s="40"/>
      <c r="AL944" s="22"/>
    </row>
    <row r="945" spans="1:38" ht="17.399999999999999">
      <c r="A945" s="22"/>
      <c r="B945" s="22"/>
      <c r="C945" s="56"/>
      <c r="D945" s="56"/>
      <c r="E945" s="22"/>
      <c r="F945" s="22"/>
      <c r="G945" s="22"/>
      <c r="H945" s="22"/>
      <c r="I945" s="49"/>
      <c r="J945" s="50"/>
      <c r="K945" s="22"/>
      <c r="L945" s="22"/>
      <c r="M945" s="22"/>
      <c r="N945" s="22"/>
      <c r="O945" s="22"/>
      <c r="P945" s="46"/>
      <c r="Q945" s="40"/>
      <c r="R945" s="41"/>
      <c r="S945" s="22" t="str">
        <f t="shared" si="68"/>
        <v/>
      </c>
      <c r="T945" s="41"/>
      <c r="U945" s="44"/>
      <c r="V945" s="44"/>
      <c r="W945" s="46"/>
      <c r="X945" s="46"/>
      <c r="Y945" s="46"/>
      <c r="Z945" s="22"/>
      <c r="AA945" s="22"/>
      <c r="AB945" s="22"/>
      <c r="AC945" s="22"/>
      <c r="AD945" s="22"/>
      <c r="AE945" s="22"/>
      <c r="AF945" s="48" t="str">
        <f t="shared" si="69"/>
        <v/>
      </c>
      <c r="AG945" s="48" t="str">
        <f t="shared" si="70"/>
        <v/>
      </c>
      <c r="AH945" s="48" t="str">
        <f t="shared" si="71"/>
        <v/>
      </c>
      <c r="AI945" s="40" t="str">
        <f t="shared" si="72"/>
        <v/>
      </c>
      <c r="AJ945" s="40"/>
      <c r="AK945" s="40"/>
      <c r="AL945" s="22"/>
    </row>
    <row r="946" spans="1:38" ht="17.399999999999999">
      <c r="A946" s="22"/>
      <c r="B946" s="22"/>
      <c r="C946" s="56"/>
      <c r="D946" s="56"/>
      <c r="E946" s="22"/>
      <c r="F946" s="22"/>
      <c r="G946" s="22"/>
      <c r="H946" s="22"/>
      <c r="I946" s="49"/>
      <c r="J946" s="50"/>
      <c r="K946" s="22"/>
      <c r="L946" s="22"/>
      <c r="M946" s="22"/>
      <c r="N946" s="22"/>
      <c r="O946" s="22"/>
      <c r="P946" s="46"/>
      <c r="Q946" s="40"/>
      <c r="R946" s="41"/>
      <c r="S946" s="22" t="str">
        <f t="shared" si="68"/>
        <v/>
      </c>
      <c r="T946" s="41"/>
      <c r="U946" s="44"/>
      <c r="V946" s="44"/>
      <c r="W946" s="46"/>
      <c r="X946" s="46"/>
      <c r="Y946" s="46"/>
      <c r="Z946" s="22"/>
      <c r="AA946" s="22"/>
      <c r="AB946" s="22"/>
      <c r="AC946" s="22"/>
      <c r="AD946" s="22"/>
      <c r="AE946" s="22"/>
      <c r="AF946" s="48" t="str">
        <f t="shared" si="69"/>
        <v/>
      </c>
      <c r="AG946" s="48" t="str">
        <f t="shared" si="70"/>
        <v/>
      </c>
      <c r="AH946" s="48" t="str">
        <f t="shared" si="71"/>
        <v/>
      </c>
      <c r="AI946" s="40" t="str">
        <f t="shared" si="72"/>
        <v/>
      </c>
      <c r="AJ946" s="40"/>
      <c r="AK946" s="40"/>
      <c r="AL946" s="22"/>
    </row>
    <row r="947" spans="1:38" ht="17.399999999999999">
      <c r="A947" s="22"/>
      <c r="B947" s="22"/>
      <c r="C947" s="56"/>
      <c r="D947" s="56"/>
      <c r="E947" s="22"/>
      <c r="F947" s="22"/>
      <c r="G947" s="22"/>
      <c r="H947" s="22"/>
      <c r="I947" s="49"/>
      <c r="J947" s="50"/>
      <c r="K947" s="22"/>
      <c r="L947" s="22"/>
      <c r="M947" s="22"/>
      <c r="N947" s="22"/>
      <c r="O947" s="22"/>
      <c r="P947" s="46"/>
      <c r="Q947" s="40"/>
      <c r="R947" s="41"/>
      <c r="S947" s="22" t="str">
        <f t="shared" si="68"/>
        <v/>
      </c>
      <c r="T947" s="41"/>
      <c r="U947" s="44"/>
      <c r="V947" s="44"/>
      <c r="W947" s="46"/>
      <c r="X947" s="46"/>
      <c r="Y947" s="46"/>
      <c r="Z947" s="22"/>
      <c r="AA947" s="22"/>
      <c r="AB947" s="22"/>
      <c r="AC947" s="22"/>
      <c r="AD947" s="22"/>
      <c r="AE947" s="22"/>
      <c r="AF947" s="48" t="str">
        <f t="shared" si="69"/>
        <v/>
      </c>
      <c r="AG947" s="48" t="str">
        <f t="shared" si="70"/>
        <v/>
      </c>
      <c r="AH947" s="48" t="str">
        <f t="shared" si="71"/>
        <v/>
      </c>
      <c r="AI947" s="40" t="str">
        <f t="shared" si="72"/>
        <v/>
      </c>
      <c r="AJ947" s="40"/>
      <c r="AK947" s="40"/>
      <c r="AL947" s="22"/>
    </row>
    <row r="948" spans="1:38" ht="17.399999999999999">
      <c r="A948" s="22"/>
      <c r="B948" s="22"/>
      <c r="C948" s="56"/>
      <c r="D948" s="56"/>
      <c r="E948" s="22"/>
      <c r="F948" s="22"/>
      <c r="G948" s="22"/>
      <c r="H948" s="22"/>
      <c r="I948" s="49"/>
      <c r="J948" s="50"/>
      <c r="K948" s="22"/>
      <c r="L948" s="22"/>
      <c r="M948" s="22"/>
      <c r="N948" s="22"/>
      <c r="O948" s="22"/>
      <c r="P948" s="46"/>
      <c r="Q948" s="40"/>
      <c r="R948" s="41"/>
      <c r="S948" s="22" t="str">
        <f t="shared" si="68"/>
        <v/>
      </c>
      <c r="T948" s="41"/>
      <c r="U948" s="44"/>
      <c r="V948" s="44"/>
      <c r="W948" s="46"/>
      <c r="X948" s="46"/>
      <c r="Y948" s="46"/>
      <c r="Z948" s="22"/>
      <c r="AA948" s="22"/>
      <c r="AB948" s="22"/>
      <c r="AC948" s="22"/>
      <c r="AD948" s="22"/>
      <c r="AE948" s="22"/>
      <c r="AF948" s="48" t="str">
        <f t="shared" si="69"/>
        <v/>
      </c>
      <c r="AG948" s="48" t="str">
        <f t="shared" si="70"/>
        <v/>
      </c>
      <c r="AH948" s="48" t="str">
        <f t="shared" si="71"/>
        <v/>
      </c>
      <c r="AI948" s="40" t="str">
        <f t="shared" si="72"/>
        <v/>
      </c>
      <c r="AJ948" s="40"/>
      <c r="AK948" s="40"/>
      <c r="AL948" s="22"/>
    </row>
    <row r="949" spans="1:38" ht="17.399999999999999">
      <c r="A949" s="22"/>
      <c r="B949" s="22"/>
      <c r="C949" s="56"/>
      <c r="D949" s="56"/>
      <c r="E949" s="22"/>
      <c r="F949" s="22"/>
      <c r="G949" s="22"/>
      <c r="H949" s="22"/>
      <c r="I949" s="49"/>
      <c r="J949" s="50"/>
      <c r="K949" s="22"/>
      <c r="L949" s="22"/>
      <c r="M949" s="22"/>
      <c r="N949" s="22"/>
      <c r="O949" s="22"/>
      <c r="P949" s="46"/>
      <c r="Q949" s="40"/>
      <c r="R949" s="41"/>
      <c r="S949" s="22" t="str">
        <f t="shared" si="68"/>
        <v/>
      </c>
      <c r="T949" s="41"/>
      <c r="U949" s="44"/>
      <c r="V949" s="44"/>
      <c r="W949" s="46"/>
      <c r="X949" s="46"/>
      <c r="Y949" s="46"/>
      <c r="Z949" s="22"/>
      <c r="AA949" s="22"/>
      <c r="AB949" s="22"/>
      <c r="AC949" s="22"/>
      <c r="AD949" s="22"/>
      <c r="AE949" s="22"/>
      <c r="AF949" s="48" t="str">
        <f t="shared" si="69"/>
        <v/>
      </c>
      <c r="AG949" s="48" t="str">
        <f t="shared" si="70"/>
        <v/>
      </c>
      <c r="AH949" s="48" t="str">
        <f t="shared" si="71"/>
        <v/>
      </c>
      <c r="AI949" s="40" t="str">
        <f t="shared" si="72"/>
        <v/>
      </c>
      <c r="AJ949" s="40"/>
      <c r="AK949" s="40"/>
      <c r="AL949" s="22"/>
    </row>
    <row r="950" spans="1:38" ht="17.399999999999999">
      <c r="A950" s="22"/>
      <c r="B950" s="22"/>
      <c r="C950" s="56"/>
      <c r="D950" s="56"/>
      <c r="E950" s="22"/>
      <c r="F950" s="22"/>
      <c r="G950" s="22"/>
      <c r="H950" s="22"/>
      <c r="I950" s="49"/>
      <c r="J950" s="50"/>
      <c r="K950" s="22"/>
      <c r="L950" s="22"/>
      <c r="M950" s="22"/>
      <c r="N950" s="22"/>
      <c r="O950" s="22"/>
      <c r="P950" s="46"/>
      <c r="Q950" s="40"/>
      <c r="R950" s="41"/>
      <c r="S950" s="22" t="str">
        <f t="shared" si="68"/>
        <v/>
      </c>
      <c r="T950" s="41"/>
      <c r="U950" s="44"/>
      <c r="V950" s="44"/>
      <c r="W950" s="46"/>
      <c r="X950" s="46"/>
      <c r="Y950" s="46"/>
      <c r="Z950" s="22"/>
      <c r="AA950" s="22"/>
      <c r="AB950" s="22"/>
      <c r="AC950" s="22"/>
      <c r="AD950" s="22"/>
      <c r="AE950" s="22"/>
      <c r="AF950" s="48" t="str">
        <f t="shared" si="69"/>
        <v/>
      </c>
      <c r="AG950" s="48" t="str">
        <f t="shared" si="70"/>
        <v/>
      </c>
      <c r="AH950" s="48" t="str">
        <f t="shared" si="71"/>
        <v/>
      </c>
      <c r="AI950" s="40" t="str">
        <f t="shared" si="72"/>
        <v/>
      </c>
      <c r="AJ950" s="40"/>
      <c r="AK950" s="40"/>
      <c r="AL950" s="22"/>
    </row>
    <row r="951" spans="1:38" ht="17.399999999999999">
      <c r="A951" s="22"/>
      <c r="B951" s="22"/>
      <c r="C951" s="56"/>
      <c r="D951" s="56"/>
      <c r="E951" s="22"/>
      <c r="F951" s="22"/>
      <c r="G951" s="22"/>
      <c r="H951" s="22"/>
      <c r="I951" s="49"/>
      <c r="J951" s="50"/>
      <c r="K951" s="22"/>
      <c r="L951" s="22"/>
      <c r="M951" s="22"/>
      <c r="N951" s="22"/>
      <c r="O951" s="22"/>
      <c r="P951" s="46"/>
      <c r="Q951" s="40"/>
      <c r="R951" s="41"/>
      <c r="S951" s="22" t="str">
        <f t="shared" si="68"/>
        <v/>
      </c>
      <c r="T951" s="41"/>
      <c r="U951" s="44"/>
      <c r="V951" s="44"/>
      <c r="W951" s="46"/>
      <c r="X951" s="46"/>
      <c r="Y951" s="46"/>
      <c r="Z951" s="22"/>
      <c r="AA951" s="22"/>
      <c r="AB951" s="22"/>
      <c r="AC951" s="22"/>
      <c r="AD951" s="22"/>
      <c r="AE951" s="22"/>
      <c r="AF951" s="48" t="str">
        <f t="shared" si="69"/>
        <v/>
      </c>
      <c r="AG951" s="48" t="str">
        <f t="shared" si="70"/>
        <v/>
      </c>
      <c r="AH951" s="48" t="str">
        <f t="shared" si="71"/>
        <v/>
      </c>
      <c r="AI951" s="40" t="str">
        <f t="shared" si="72"/>
        <v/>
      </c>
      <c r="AJ951" s="40"/>
      <c r="AK951" s="40"/>
      <c r="AL951" s="22"/>
    </row>
    <row r="952" spans="1:38" ht="17.399999999999999">
      <c r="A952" s="22"/>
      <c r="B952" s="22"/>
      <c r="C952" s="56"/>
      <c r="D952" s="56"/>
      <c r="E952" s="22"/>
      <c r="F952" s="22"/>
      <c r="G952" s="22"/>
      <c r="H952" s="22"/>
      <c r="I952" s="49"/>
      <c r="J952" s="50"/>
      <c r="K952" s="22"/>
      <c r="L952" s="22"/>
      <c r="M952" s="22"/>
      <c r="N952" s="22"/>
      <c r="O952" s="22"/>
      <c r="P952" s="46"/>
      <c r="Q952" s="40"/>
      <c r="R952" s="41"/>
      <c r="S952" s="22" t="str">
        <f t="shared" si="68"/>
        <v/>
      </c>
      <c r="T952" s="41"/>
      <c r="U952" s="44"/>
      <c r="V952" s="44"/>
      <c r="W952" s="46"/>
      <c r="X952" s="46"/>
      <c r="Y952" s="46"/>
      <c r="Z952" s="22"/>
      <c r="AA952" s="22"/>
      <c r="AB952" s="22"/>
      <c r="AC952" s="22"/>
      <c r="AD952" s="22"/>
      <c r="AE952" s="22"/>
      <c r="AF952" s="48" t="str">
        <f t="shared" si="69"/>
        <v/>
      </c>
      <c r="AG952" s="48" t="str">
        <f t="shared" si="70"/>
        <v/>
      </c>
      <c r="AH952" s="48" t="str">
        <f t="shared" si="71"/>
        <v/>
      </c>
      <c r="AI952" s="40" t="str">
        <f t="shared" si="72"/>
        <v/>
      </c>
      <c r="AJ952" s="40"/>
      <c r="AK952" s="40"/>
      <c r="AL952" s="22"/>
    </row>
    <row r="953" spans="1:38" ht="17.399999999999999">
      <c r="A953" s="22"/>
      <c r="B953" s="22"/>
      <c r="C953" s="56"/>
      <c r="D953" s="56"/>
      <c r="E953" s="22"/>
      <c r="F953" s="22"/>
      <c r="G953" s="22"/>
      <c r="H953" s="22"/>
      <c r="I953" s="49"/>
      <c r="J953" s="50"/>
      <c r="K953" s="22"/>
      <c r="L953" s="22"/>
      <c r="M953" s="22"/>
      <c r="N953" s="22"/>
      <c r="O953" s="22"/>
      <c r="P953" s="46"/>
      <c r="Q953" s="40"/>
      <c r="R953" s="41"/>
      <c r="S953" s="22" t="str">
        <f t="shared" si="68"/>
        <v/>
      </c>
      <c r="T953" s="41"/>
      <c r="U953" s="44"/>
      <c r="V953" s="44"/>
      <c r="W953" s="46"/>
      <c r="X953" s="46"/>
      <c r="Y953" s="46"/>
      <c r="Z953" s="22"/>
      <c r="AA953" s="22"/>
      <c r="AB953" s="22"/>
      <c r="AC953" s="22"/>
      <c r="AD953" s="22"/>
      <c r="AE953" s="22"/>
      <c r="AF953" s="48" t="str">
        <f t="shared" si="69"/>
        <v/>
      </c>
      <c r="AG953" s="48" t="str">
        <f t="shared" si="70"/>
        <v/>
      </c>
      <c r="AH953" s="48" t="str">
        <f t="shared" si="71"/>
        <v/>
      </c>
      <c r="AI953" s="40" t="str">
        <f t="shared" si="72"/>
        <v/>
      </c>
      <c r="AJ953" s="40"/>
      <c r="AK953" s="40"/>
      <c r="AL953" s="22"/>
    </row>
    <row r="954" spans="1:38" ht="17.399999999999999">
      <c r="A954" s="22"/>
      <c r="B954" s="22"/>
      <c r="C954" s="56"/>
      <c r="D954" s="56"/>
      <c r="E954" s="22"/>
      <c r="F954" s="22"/>
      <c r="G954" s="22"/>
      <c r="H954" s="22"/>
      <c r="I954" s="49"/>
      <c r="J954" s="50"/>
      <c r="K954" s="22"/>
      <c r="L954" s="22"/>
      <c r="M954" s="22"/>
      <c r="N954" s="22"/>
      <c r="O954" s="22"/>
      <c r="P954" s="46"/>
      <c r="Q954" s="40"/>
      <c r="R954" s="41"/>
      <c r="S954" s="22" t="str">
        <f t="shared" si="68"/>
        <v/>
      </c>
      <c r="T954" s="41"/>
      <c r="U954" s="44"/>
      <c r="V954" s="44"/>
      <c r="W954" s="46"/>
      <c r="X954" s="46"/>
      <c r="Y954" s="46"/>
      <c r="Z954" s="22"/>
      <c r="AA954" s="22"/>
      <c r="AB954" s="22"/>
      <c r="AC954" s="22"/>
      <c r="AD954" s="22"/>
      <c r="AE954" s="22"/>
      <c r="AF954" s="48" t="str">
        <f t="shared" si="69"/>
        <v/>
      </c>
      <c r="AG954" s="48" t="str">
        <f t="shared" si="70"/>
        <v/>
      </c>
      <c r="AH954" s="48" t="str">
        <f t="shared" si="71"/>
        <v/>
      </c>
      <c r="AI954" s="40" t="str">
        <f t="shared" si="72"/>
        <v/>
      </c>
      <c r="AJ954" s="40"/>
      <c r="AK954" s="40"/>
      <c r="AL954" s="22"/>
    </row>
    <row r="955" spans="1:38" ht="17.399999999999999">
      <c r="A955" s="22"/>
      <c r="B955" s="22"/>
      <c r="C955" s="56"/>
      <c r="D955" s="56"/>
      <c r="E955" s="22"/>
      <c r="F955" s="22"/>
      <c r="G955" s="22"/>
      <c r="H955" s="22"/>
      <c r="I955" s="49"/>
      <c r="J955" s="50"/>
      <c r="K955" s="22"/>
      <c r="L955" s="22"/>
      <c r="M955" s="22"/>
      <c r="N955" s="22"/>
      <c r="O955" s="22"/>
      <c r="P955" s="46"/>
      <c r="Q955" s="40"/>
      <c r="R955" s="41"/>
      <c r="S955" s="22" t="str">
        <f t="shared" si="68"/>
        <v/>
      </c>
      <c r="T955" s="41"/>
      <c r="U955" s="44"/>
      <c r="V955" s="44"/>
      <c r="W955" s="46"/>
      <c r="X955" s="46"/>
      <c r="Y955" s="46"/>
      <c r="Z955" s="22"/>
      <c r="AA955" s="22"/>
      <c r="AB955" s="22"/>
      <c r="AC955" s="22"/>
      <c r="AD955" s="22"/>
      <c r="AE955" s="22"/>
      <c r="AF955" s="48" t="str">
        <f t="shared" si="69"/>
        <v/>
      </c>
      <c r="AG955" s="48" t="str">
        <f t="shared" si="70"/>
        <v/>
      </c>
      <c r="AH955" s="48" t="str">
        <f t="shared" si="71"/>
        <v/>
      </c>
      <c r="AI955" s="40" t="str">
        <f t="shared" si="72"/>
        <v/>
      </c>
      <c r="AJ955" s="40"/>
      <c r="AK955" s="40"/>
      <c r="AL955" s="22"/>
    </row>
    <row r="956" spans="1:38" ht="17.399999999999999">
      <c r="A956" s="22"/>
      <c r="B956" s="22"/>
      <c r="C956" s="56"/>
      <c r="D956" s="56"/>
      <c r="E956" s="22"/>
      <c r="F956" s="22"/>
      <c r="G956" s="22"/>
      <c r="H956" s="22"/>
      <c r="I956" s="49"/>
      <c r="J956" s="50"/>
      <c r="K956" s="22"/>
      <c r="L956" s="22"/>
      <c r="M956" s="22"/>
      <c r="N956" s="22"/>
      <c r="O956" s="22"/>
      <c r="P956" s="46"/>
      <c r="Q956" s="40"/>
      <c r="R956" s="41"/>
      <c r="S956" s="22" t="str">
        <f t="shared" si="68"/>
        <v/>
      </c>
      <c r="T956" s="41"/>
      <c r="U956" s="44"/>
      <c r="V956" s="44"/>
      <c r="W956" s="46"/>
      <c r="X956" s="46"/>
      <c r="Y956" s="46"/>
      <c r="Z956" s="22"/>
      <c r="AA956" s="22"/>
      <c r="AB956" s="22"/>
      <c r="AC956" s="22"/>
      <c r="AD956" s="22"/>
      <c r="AE956" s="22"/>
      <c r="AF956" s="48" t="str">
        <f t="shared" si="69"/>
        <v/>
      </c>
      <c r="AG956" s="48" t="str">
        <f t="shared" si="70"/>
        <v/>
      </c>
      <c r="AH956" s="48" t="str">
        <f t="shared" si="71"/>
        <v/>
      </c>
      <c r="AI956" s="40" t="str">
        <f t="shared" si="72"/>
        <v/>
      </c>
      <c r="AJ956" s="40"/>
      <c r="AK956" s="40"/>
      <c r="AL956" s="22"/>
    </row>
    <row r="957" spans="1:38" ht="17.399999999999999">
      <c r="A957" s="22"/>
      <c r="B957" s="22"/>
      <c r="C957" s="56"/>
      <c r="D957" s="56"/>
      <c r="E957" s="22"/>
      <c r="F957" s="22"/>
      <c r="G957" s="22"/>
      <c r="H957" s="22"/>
      <c r="I957" s="49"/>
      <c r="J957" s="50"/>
      <c r="K957" s="22"/>
      <c r="L957" s="22"/>
      <c r="M957" s="22"/>
      <c r="N957" s="22"/>
      <c r="O957" s="22"/>
      <c r="P957" s="46"/>
      <c r="Q957" s="40"/>
      <c r="R957" s="41"/>
      <c r="S957" s="22" t="str">
        <f t="shared" si="68"/>
        <v/>
      </c>
      <c r="T957" s="41"/>
      <c r="U957" s="44"/>
      <c r="V957" s="44"/>
      <c r="W957" s="46"/>
      <c r="X957" s="46"/>
      <c r="Y957" s="46"/>
      <c r="Z957" s="22"/>
      <c r="AA957" s="22"/>
      <c r="AB957" s="22"/>
      <c r="AC957" s="22"/>
      <c r="AD957" s="22"/>
      <c r="AE957" s="22"/>
      <c r="AF957" s="48" t="str">
        <f t="shared" si="69"/>
        <v/>
      </c>
      <c r="AG957" s="48" t="str">
        <f t="shared" si="70"/>
        <v/>
      </c>
      <c r="AH957" s="48" t="str">
        <f t="shared" si="71"/>
        <v/>
      </c>
      <c r="AI957" s="40" t="str">
        <f t="shared" si="72"/>
        <v/>
      </c>
      <c r="AJ957" s="40"/>
      <c r="AK957" s="40"/>
      <c r="AL957" s="22"/>
    </row>
    <row r="958" spans="1:38" ht="17.399999999999999">
      <c r="A958" s="22"/>
      <c r="B958" s="22"/>
      <c r="C958" s="56"/>
      <c r="D958" s="56"/>
      <c r="E958" s="22"/>
      <c r="F958" s="22"/>
      <c r="G958" s="22"/>
      <c r="H958" s="22"/>
      <c r="I958" s="49"/>
      <c r="J958" s="50"/>
      <c r="K958" s="22"/>
      <c r="L958" s="22"/>
      <c r="M958" s="22"/>
      <c r="N958" s="22"/>
      <c r="O958" s="22"/>
      <c r="P958" s="46"/>
      <c r="Q958" s="40"/>
      <c r="R958" s="41"/>
      <c r="S958" s="22" t="str">
        <f t="shared" si="68"/>
        <v/>
      </c>
      <c r="T958" s="41"/>
      <c r="U958" s="44"/>
      <c r="V958" s="44"/>
      <c r="W958" s="46"/>
      <c r="X958" s="46"/>
      <c r="Y958" s="46"/>
      <c r="Z958" s="22"/>
      <c r="AA958" s="22"/>
      <c r="AB958" s="22"/>
      <c r="AC958" s="22"/>
      <c r="AD958" s="22"/>
      <c r="AE958" s="22"/>
      <c r="AF958" s="48" t="str">
        <f t="shared" si="69"/>
        <v/>
      </c>
      <c r="AG958" s="48" t="str">
        <f t="shared" si="70"/>
        <v/>
      </c>
      <c r="AH958" s="48" t="str">
        <f t="shared" si="71"/>
        <v/>
      </c>
      <c r="AI958" s="40" t="str">
        <f t="shared" si="72"/>
        <v/>
      </c>
      <c r="AJ958" s="40"/>
      <c r="AK958" s="40"/>
      <c r="AL958" s="22"/>
    </row>
    <row r="959" spans="1:38" ht="17.399999999999999">
      <c r="A959" s="22"/>
      <c r="B959" s="22"/>
      <c r="C959" s="56"/>
      <c r="D959" s="56"/>
      <c r="E959" s="22"/>
      <c r="F959" s="22"/>
      <c r="G959" s="22"/>
      <c r="H959" s="22"/>
      <c r="I959" s="49"/>
      <c r="J959" s="50"/>
      <c r="K959" s="22"/>
      <c r="L959" s="22"/>
      <c r="M959" s="22"/>
      <c r="N959" s="22"/>
      <c r="O959" s="22"/>
      <c r="P959" s="46"/>
      <c r="Q959" s="40"/>
      <c r="R959" s="41"/>
      <c r="S959" s="22" t="str">
        <f t="shared" si="68"/>
        <v/>
      </c>
      <c r="T959" s="41"/>
      <c r="U959" s="44"/>
      <c r="V959" s="44"/>
      <c r="W959" s="46"/>
      <c r="X959" s="46"/>
      <c r="Y959" s="46"/>
      <c r="Z959" s="22"/>
      <c r="AA959" s="22"/>
      <c r="AB959" s="22"/>
      <c r="AC959" s="22"/>
      <c r="AD959" s="22"/>
      <c r="AE959" s="22"/>
      <c r="AF959" s="48" t="str">
        <f t="shared" si="69"/>
        <v/>
      </c>
      <c r="AG959" s="48" t="str">
        <f t="shared" si="70"/>
        <v/>
      </c>
      <c r="AH959" s="48" t="str">
        <f t="shared" si="71"/>
        <v/>
      </c>
      <c r="AI959" s="40" t="str">
        <f t="shared" si="72"/>
        <v/>
      </c>
      <c r="AJ959" s="40"/>
      <c r="AK959" s="40"/>
      <c r="AL959" s="22"/>
    </row>
    <row r="960" spans="1:38" ht="17.399999999999999">
      <c r="A960" s="22"/>
      <c r="B960" s="22"/>
      <c r="C960" s="56"/>
      <c r="D960" s="56"/>
      <c r="E960" s="22"/>
      <c r="F960" s="22"/>
      <c r="G960" s="22"/>
      <c r="H960" s="22"/>
      <c r="I960" s="49"/>
      <c r="J960" s="50"/>
      <c r="K960" s="22"/>
      <c r="L960" s="22"/>
      <c r="M960" s="22"/>
      <c r="N960" s="22"/>
      <c r="O960" s="22"/>
      <c r="P960" s="46"/>
      <c r="Q960" s="40"/>
      <c r="R960" s="41"/>
      <c r="S960" s="22" t="str">
        <f t="shared" si="68"/>
        <v/>
      </c>
      <c r="T960" s="41"/>
      <c r="U960" s="44"/>
      <c r="V960" s="44"/>
      <c r="W960" s="46"/>
      <c r="X960" s="46"/>
      <c r="Y960" s="46"/>
      <c r="Z960" s="22"/>
      <c r="AA960" s="22"/>
      <c r="AB960" s="22"/>
      <c r="AC960" s="22"/>
      <c r="AD960" s="22"/>
      <c r="AE960" s="22"/>
      <c r="AF960" s="48" t="str">
        <f t="shared" si="69"/>
        <v/>
      </c>
      <c r="AG960" s="48" t="str">
        <f t="shared" si="70"/>
        <v/>
      </c>
      <c r="AH960" s="48" t="str">
        <f t="shared" si="71"/>
        <v/>
      </c>
      <c r="AI960" s="40" t="str">
        <f t="shared" si="72"/>
        <v/>
      </c>
      <c r="AJ960" s="40"/>
      <c r="AK960" s="40"/>
      <c r="AL960" s="22"/>
    </row>
    <row r="961" spans="1:38" ht="17.399999999999999">
      <c r="A961" s="22"/>
      <c r="B961" s="22"/>
      <c r="C961" s="56"/>
      <c r="D961" s="56"/>
      <c r="E961" s="22"/>
      <c r="F961" s="22"/>
      <c r="G961" s="22"/>
      <c r="H961" s="22"/>
      <c r="I961" s="49"/>
      <c r="J961" s="50"/>
      <c r="K961" s="22"/>
      <c r="L961" s="22"/>
      <c r="M961" s="22"/>
      <c r="N961" s="22"/>
      <c r="O961" s="22"/>
      <c r="P961" s="46"/>
      <c r="Q961" s="40"/>
      <c r="R961" s="41"/>
      <c r="S961" s="22" t="str">
        <f t="shared" si="68"/>
        <v/>
      </c>
      <c r="T961" s="41"/>
      <c r="U961" s="44"/>
      <c r="V961" s="44"/>
      <c r="W961" s="46"/>
      <c r="X961" s="46"/>
      <c r="Y961" s="46"/>
      <c r="Z961" s="22"/>
      <c r="AA961" s="22"/>
      <c r="AB961" s="22"/>
      <c r="AC961" s="22"/>
      <c r="AD961" s="22"/>
      <c r="AE961" s="22"/>
      <c r="AF961" s="48" t="str">
        <f t="shared" si="69"/>
        <v/>
      </c>
      <c r="AG961" s="48" t="str">
        <f t="shared" si="70"/>
        <v/>
      </c>
      <c r="AH961" s="48" t="str">
        <f t="shared" si="71"/>
        <v/>
      </c>
      <c r="AI961" s="40" t="str">
        <f t="shared" si="72"/>
        <v/>
      </c>
      <c r="AJ961" s="40"/>
      <c r="AK961" s="40"/>
      <c r="AL961" s="22"/>
    </row>
    <row r="962" spans="1:38" ht="17.399999999999999">
      <c r="A962" s="22"/>
      <c r="B962" s="22"/>
      <c r="C962" s="56"/>
      <c r="D962" s="56"/>
      <c r="E962" s="22"/>
      <c r="F962" s="22"/>
      <c r="G962" s="22"/>
      <c r="H962" s="22"/>
      <c r="I962" s="49"/>
      <c r="J962" s="50"/>
      <c r="K962" s="22"/>
      <c r="L962" s="22"/>
      <c r="M962" s="22"/>
      <c r="N962" s="22"/>
      <c r="O962" s="22"/>
      <c r="P962" s="46"/>
      <c r="Q962" s="40"/>
      <c r="R962" s="41"/>
      <c r="S962" s="22" t="str">
        <f t="shared" si="68"/>
        <v/>
      </c>
      <c r="T962" s="41"/>
      <c r="U962" s="44"/>
      <c r="V962" s="44"/>
      <c r="W962" s="46"/>
      <c r="X962" s="46"/>
      <c r="Y962" s="46"/>
      <c r="Z962" s="22"/>
      <c r="AA962" s="22"/>
      <c r="AB962" s="22"/>
      <c r="AC962" s="22"/>
      <c r="AD962" s="22"/>
      <c r="AE962" s="22"/>
      <c r="AF962" s="48" t="str">
        <f t="shared" si="69"/>
        <v/>
      </c>
      <c r="AG962" s="48" t="str">
        <f t="shared" si="70"/>
        <v/>
      </c>
      <c r="AH962" s="48" t="str">
        <f t="shared" si="71"/>
        <v/>
      </c>
      <c r="AI962" s="40" t="str">
        <f t="shared" si="72"/>
        <v/>
      </c>
      <c r="AJ962" s="40"/>
      <c r="AK962" s="40"/>
      <c r="AL962" s="22"/>
    </row>
    <row r="963" spans="1:38" ht="17.399999999999999">
      <c r="A963" s="22"/>
      <c r="B963" s="22"/>
      <c r="C963" s="56"/>
      <c r="D963" s="56"/>
      <c r="E963" s="22"/>
      <c r="F963" s="22"/>
      <c r="G963" s="22"/>
      <c r="H963" s="22"/>
      <c r="I963" s="49"/>
      <c r="J963" s="50"/>
      <c r="K963" s="22"/>
      <c r="L963" s="22"/>
      <c r="M963" s="22"/>
      <c r="N963" s="22"/>
      <c r="O963" s="22"/>
      <c r="P963" s="46"/>
      <c r="Q963" s="40"/>
      <c r="R963" s="41"/>
      <c r="S963" s="22" t="str">
        <f t="shared" si="68"/>
        <v/>
      </c>
      <c r="T963" s="41"/>
      <c r="U963" s="44"/>
      <c r="V963" s="44"/>
      <c r="W963" s="46"/>
      <c r="X963" s="46"/>
      <c r="Y963" s="46"/>
      <c r="Z963" s="22"/>
      <c r="AA963" s="22"/>
      <c r="AB963" s="22"/>
      <c r="AC963" s="22"/>
      <c r="AD963" s="22"/>
      <c r="AE963" s="22"/>
      <c r="AF963" s="48" t="str">
        <f t="shared" si="69"/>
        <v/>
      </c>
      <c r="AG963" s="48" t="str">
        <f t="shared" si="70"/>
        <v/>
      </c>
      <c r="AH963" s="48" t="str">
        <f t="shared" si="71"/>
        <v/>
      </c>
      <c r="AI963" s="40" t="str">
        <f t="shared" si="72"/>
        <v/>
      </c>
      <c r="AJ963" s="40"/>
      <c r="AK963" s="40"/>
      <c r="AL963" s="22"/>
    </row>
    <row r="964" spans="1:38" ht="17.399999999999999">
      <c r="A964" s="22"/>
      <c r="B964" s="22"/>
      <c r="C964" s="56"/>
      <c r="D964" s="56"/>
      <c r="E964" s="22"/>
      <c r="F964" s="22"/>
      <c r="G964" s="22"/>
      <c r="H964" s="22"/>
      <c r="I964" s="49"/>
      <c r="J964" s="50"/>
      <c r="K964" s="22"/>
      <c r="L964" s="22"/>
      <c r="M964" s="22"/>
      <c r="N964" s="22"/>
      <c r="O964" s="22"/>
      <c r="P964" s="46"/>
      <c r="Q964" s="40"/>
      <c r="R964" s="41"/>
      <c r="S964" s="22" t="str">
        <f t="shared" si="68"/>
        <v/>
      </c>
      <c r="T964" s="41"/>
      <c r="U964" s="44"/>
      <c r="V964" s="44"/>
      <c r="W964" s="46"/>
      <c r="X964" s="46"/>
      <c r="Y964" s="46"/>
      <c r="Z964" s="22"/>
      <c r="AA964" s="22"/>
      <c r="AB964" s="22"/>
      <c r="AC964" s="22"/>
      <c r="AD964" s="22"/>
      <c r="AE964" s="22"/>
      <c r="AF964" s="48" t="str">
        <f t="shared" si="69"/>
        <v/>
      </c>
      <c r="AG964" s="48" t="str">
        <f t="shared" si="70"/>
        <v/>
      </c>
      <c r="AH964" s="48" t="str">
        <f t="shared" si="71"/>
        <v/>
      </c>
      <c r="AI964" s="40" t="str">
        <f t="shared" si="72"/>
        <v/>
      </c>
      <c r="AJ964" s="40"/>
      <c r="AK964" s="40"/>
      <c r="AL964" s="22"/>
    </row>
    <row r="965" spans="1:38" ht="17.399999999999999">
      <c r="A965" s="22"/>
      <c r="B965" s="22"/>
      <c r="C965" s="56"/>
      <c r="D965" s="56"/>
      <c r="E965" s="22"/>
      <c r="F965" s="22"/>
      <c r="G965" s="22"/>
      <c r="H965" s="22"/>
      <c r="I965" s="49"/>
      <c r="J965" s="50"/>
      <c r="K965" s="22"/>
      <c r="L965" s="22"/>
      <c r="M965" s="22"/>
      <c r="N965" s="22"/>
      <c r="O965" s="22"/>
      <c r="P965" s="46"/>
      <c r="Q965" s="40"/>
      <c r="R965" s="41"/>
      <c r="S965" s="22" t="str">
        <f t="shared" si="68"/>
        <v/>
      </c>
      <c r="T965" s="41"/>
      <c r="U965" s="44"/>
      <c r="V965" s="44"/>
      <c r="W965" s="46"/>
      <c r="X965" s="46"/>
      <c r="Y965" s="46"/>
      <c r="Z965" s="22"/>
      <c r="AA965" s="22"/>
      <c r="AB965" s="22"/>
      <c r="AC965" s="22"/>
      <c r="AD965" s="22"/>
      <c r="AE965" s="22"/>
      <c r="AF965" s="48" t="str">
        <f t="shared" si="69"/>
        <v/>
      </c>
      <c r="AG965" s="48" t="str">
        <f t="shared" si="70"/>
        <v/>
      </c>
      <c r="AH965" s="48" t="str">
        <f t="shared" si="71"/>
        <v/>
      </c>
      <c r="AI965" s="40" t="str">
        <f t="shared" si="72"/>
        <v/>
      </c>
      <c r="AJ965" s="40"/>
      <c r="AK965" s="40"/>
      <c r="AL965" s="22"/>
    </row>
    <row r="966" spans="1:38" ht="17.399999999999999">
      <c r="A966" s="22"/>
      <c r="B966" s="22"/>
      <c r="C966" s="56"/>
      <c r="D966" s="56"/>
      <c r="E966" s="22"/>
      <c r="F966" s="22"/>
      <c r="G966" s="22"/>
      <c r="H966" s="22"/>
      <c r="I966" s="49"/>
      <c r="J966" s="50"/>
      <c r="K966" s="22"/>
      <c r="L966" s="22"/>
      <c r="M966" s="22"/>
      <c r="N966" s="22"/>
      <c r="O966" s="22"/>
      <c r="P966" s="46"/>
      <c r="Q966" s="40"/>
      <c r="R966" s="41"/>
      <c r="S966" s="22" t="str">
        <f t="shared" si="68"/>
        <v/>
      </c>
      <c r="T966" s="41"/>
      <c r="U966" s="44"/>
      <c r="V966" s="44"/>
      <c r="W966" s="46"/>
      <c r="X966" s="46"/>
      <c r="Y966" s="46"/>
      <c r="Z966" s="22"/>
      <c r="AA966" s="22"/>
      <c r="AB966" s="22"/>
      <c r="AC966" s="22"/>
      <c r="AD966" s="22"/>
      <c r="AE966" s="22"/>
      <c r="AF966" s="48" t="str">
        <f t="shared" si="69"/>
        <v/>
      </c>
      <c r="AG966" s="48" t="str">
        <f t="shared" si="70"/>
        <v/>
      </c>
      <c r="AH966" s="48" t="str">
        <f t="shared" si="71"/>
        <v/>
      </c>
      <c r="AI966" s="40" t="str">
        <f t="shared" si="72"/>
        <v/>
      </c>
      <c r="AJ966" s="40"/>
      <c r="AK966" s="40"/>
      <c r="AL966" s="22"/>
    </row>
    <row r="967" spans="1:38" ht="17.399999999999999">
      <c r="A967" s="22"/>
      <c r="B967" s="22"/>
      <c r="C967" s="56"/>
      <c r="D967" s="56"/>
      <c r="E967" s="22"/>
      <c r="F967" s="22"/>
      <c r="G967" s="22"/>
      <c r="H967" s="22"/>
      <c r="I967" s="49"/>
      <c r="J967" s="50"/>
      <c r="K967" s="22"/>
      <c r="L967" s="22"/>
      <c r="M967" s="22"/>
      <c r="N967" s="22"/>
      <c r="O967" s="22"/>
      <c r="P967" s="46"/>
      <c r="Q967" s="40"/>
      <c r="R967" s="41"/>
      <c r="S967" s="22" t="str">
        <f t="shared" si="68"/>
        <v/>
      </c>
      <c r="T967" s="41"/>
      <c r="U967" s="44"/>
      <c r="V967" s="44"/>
      <c r="W967" s="46"/>
      <c r="X967" s="46"/>
      <c r="Y967" s="46"/>
      <c r="Z967" s="22"/>
      <c r="AA967" s="22"/>
      <c r="AB967" s="22"/>
      <c r="AC967" s="22"/>
      <c r="AD967" s="22"/>
      <c r="AE967" s="22"/>
      <c r="AF967" s="48" t="str">
        <f t="shared" si="69"/>
        <v/>
      </c>
      <c r="AG967" s="48" t="str">
        <f t="shared" si="70"/>
        <v/>
      </c>
      <c r="AH967" s="48" t="str">
        <f t="shared" si="71"/>
        <v/>
      </c>
      <c r="AI967" s="40" t="str">
        <f t="shared" si="72"/>
        <v/>
      </c>
      <c r="AJ967" s="40"/>
      <c r="AK967" s="40"/>
      <c r="AL967" s="22"/>
    </row>
    <row r="968" spans="1:38" ht="17.399999999999999">
      <c r="A968" s="22"/>
      <c r="B968" s="22"/>
      <c r="C968" s="56"/>
      <c r="D968" s="56"/>
      <c r="E968" s="22"/>
      <c r="F968" s="22"/>
      <c r="G968" s="22"/>
      <c r="H968" s="22"/>
      <c r="I968" s="49"/>
      <c r="J968" s="50"/>
      <c r="K968" s="22"/>
      <c r="L968" s="22"/>
      <c r="M968" s="22"/>
      <c r="N968" s="22"/>
      <c r="O968" s="22"/>
      <c r="P968" s="46"/>
      <c r="Q968" s="40"/>
      <c r="R968" s="41"/>
      <c r="S968" s="22" t="str">
        <f t="shared" si="68"/>
        <v/>
      </c>
      <c r="T968" s="41"/>
      <c r="U968" s="44"/>
      <c r="V968" s="44"/>
      <c r="W968" s="46"/>
      <c r="X968" s="46"/>
      <c r="Y968" s="46"/>
      <c r="Z968" s="22"/>
      <c r="AA968" s="22"/>
      <c r="AB968" s="22"/>
      <c r="AC968" s="22"/>
      <c r="AD968" s="22"/>
      <c r="AE968" s="22"/>
      <c r="AF968" s="48" t="str">
        <f t="shared" si="69"/>
        <v/>
      </c>
      <c r="AG968" s="48" t="str">
        <f t="shared" si="70"/>
        <v/>
      </c>
      <c r="AH968" s="48" t="str">
        <f t="shared" si="71"/>
        <v/>
      </c>
      <c r="AI968" s="40" t="str">
        <f t="shared" si="72"/>
        <v/>
      </c>
      <c r="AJ968" s="40"/>
      <c r="AK968" s="40"/>
      <c r="AL968" s="22"/>
    </row>
    <row r="969" spans="1:38" ht="17.399999999999999">
      <c r="A969" s="22"/>
      <c r="B969" s="22"/>
      <c r="C969" s="56"/>
      <c r="D969" s="56"/>
      <c r="E969" s="22"/>
      <c r="F969" s="22"/>
      <c r="G969" s="22"/>
      <c r="H969" s="22"/>
      <c r="I969" s="49"/>
      <c r="J969" s="50"/>
      <c r="K969" s="22"/>
      <c r="L969" s="22"/>
      <c r="M969" s="22"/>
      <c r="N969" s="22"/>
      <c r="O969" s="22"/>
      <c r="P969" s="46"/>
      <c r="Q969" s="40"/>
      <c r="R969" s="41"/>
      <c r="S969" s="22" t="str">
        <f t="shared" si="68"/>
        <v/>
      </c>
      <c r="T969" s="41"/>
      <c r="U969" s="44"/>
      <c r="V969" s="44"/>
      <c r="W969" s="46"/>
      <c r="X969" s="46"/>
      <c r="Y969" s="46"/>
      <c r="Z969" s="22"/>
      <c r="AA969" s="22"/>
      <c r="AB969" s="22"/>
      <c r="AC969" s="22"/>
      <c r="AD969" s="22"/>
      <c r="AE969" s="22"/>
      <c r="AF969" s="48" t="str">
        <f t="shared" si="69"/>
        <v/>
      </c>
      <c r="AG969" s="48" t="str">
        <f t="shared" si="70"/>
        <v/>
      </c>
      <c r="AH969" s="48" t="str">
        <f t="shared" si="71"/>
        <v/>
      </c>
      <c r="AI969" s="40" t="str">
        <f t="shared" si="72"/>
        <v/>
      </c>
      <c r="AJ969" s="40"/>
      <c r="AK969" s="40"/>
      <c r="AL969" s="22"/>
    </row>
    <row r="970" spans="1:38" ht="17.399999999999999">
      <c r="A970" s="22"/>
      <c r="B970" s="22"/>
      <c r="C970" s="56"/>
      <c r="D970" s="56"/>
      <c r="E970" s="22"/>
      <c r="F970" s="22"/>
      <c r="G970" s="22"/>
      <c r="H970" s="22"/>
      <c r="I970" s="49"/>
      <c r="J970" s="50"/>
      <c r="K970" s="22"/>
      <c r="L970" s="22"/>
      <c r="M970" s="22"/>
      <c r="N970" s="22"/>
      <c r="O970" s="22"/>
      <c r="P970" s="46"/>
      <c r="Q970" s="40"/>
      <c r="R970" s="41"/>
      <c r="S970" s="22" t="str">
        <f t="shared" si="68"/>
        <v/>
      </c>
      <c r="T970" s="41"/>
      <c r="U970" s="44"/>
      <c r="V970" s="44"/>
      <c r="W970" s="46"/>
      <c r="X970" s="46"/>
      <c r="Y970" s="46"/>
      <c r="Z970" s="22"/>
      <c r="AA970" s="22"/>
      <c r="AB970" s="22"/>
      <c r="AC970" s="22"/>
      <c r="AD970" s="22"/>
      <c r="AE970" s="22"/>
      <c r="AF970" s="48" t="str">
        <f t="shared" si="69"/>
        <v/>
      </c>
      <c r="AG970" s="48" t="str">
        <f t="shared" si="70"/>
        <v/>
      </c>
      <c r="AH970" s="48" t="str">
        <f t="shared" si="71"/>
        <v/>
      </c>
      <c r="AI970" s="40" t="str">
        <f t="shared" si="72"/>
        <v/>
      </c>
      <c r="AJ970" s="40"/>
      <c r="AK970" s="40"/>
      <c r="AL970" s="22"/>
    </row>
    <row r="971" spans="1:38" ht="17.399999999999999">
      <c r="A971" s="22"/>
      <c r="B971" s="22"/>
      <c r="C971" s="56"/>
      <c r="D971" s="56"/>
      <c r="E971" s="22"/>
      <c r="F971" s="22"/>
      <c r="G971" s="22"/>
      <c r="H971" s="22"/>
      <c r="I971" s="49"/>
      <c r="J971" s="50"/>
      <c r="K971" s="22"/>
      <c r="L971" s="22"/>
      <c r="M971" s="22"/>
      <c r="N971" s="22"/>
      <c r="O971" s="22"/>
      <c r="P971" s="46"/>
      <c r="Q971" s="40"/>
      <c r="R971" s="41"/>
      <c r="S971" s="22" t="str">
        <f t="shared" si="68"/>
        <v/>
      </c>
      <c r="T971" s="41"/>
      <c r="U971" s="44"/>
      <c r="V971" s="44"/>
      <c r="W971" s="46"/>
      <c r="X971" s="46"/>
      <c r="Y971" s="46"/>
      <c r="Z971" s="22"/>
      <c r="AA971" s="22"/>
      <c r="AB971" s="22"/>
      <c r="AC971" s="22"/>
      <c r="AD971" s="22"/>
      <c r="AE971" s="22"/>
      <c r="AF971" s="48" t="str">
        <f t="shared" si="69"/>
        <v/>
      </c>
      <c r="AG971" s="48" t="str">
        <f t="shared" si="70"/>
        <v/>
      </c>
      <c r="AH971" s="48" t="str">
        <f t="shared" si="71"/>
        <v/>
      </c>
      <c r="AI971" s="40" t="str">
        <f t="shared" si="72"/>
        <v/>
      </c>
      <c r="AJ971" s="40"/>
      <c r="AK971" s="40"/>
      <c r="AL971" s="22"/>
    </row>
    <row r="972" spans="1:38" ht="17.399999999999999">
      <c r="A972" s="22"/>
      <c r="B972" s="22"/>
      <c r="C972" s="56"/>
      <c r="D972" s="56"/>
      <c r="E972" s="22"/>
      <c r="F972" s="22"/>
      <c r="G972" s="22"/>
      <c r="H972" s="22"/>
      <c r="I972" s="49"/>
      <c r="J972" s="50"/>
      <c r="K972" s="22"/>
      <c r="L972" s="22"/>
      <c r="M972" s="22"/>
      <c r="N972" s="22"/>
      <c r="O972" s="22"/>
      <c r="P972" s="46"/>
      <c r="Q972" s="40"/>
      <c r="R972" s="41"/>
      <c r="S972" s="22" t="str">
        <f t="shared" si="68"/>
        <v/>
      </c>
      <c r="T972" s="41"/>
      <c r="U972" s="44"/>
      <c r="V972" s="44"/>
      <c r="W972" s="46"/>
      <c r="X972" s="46"/>
      <c r="Y972" s="46"/>
      <c r="Z972" s="22"/>
      <c r="AA972" s="22"/>
      <c r="AB972" s="22"/>
      <c r="AC972" s="22"/>
      <c r="AD972" s="22"/>
      <c r="AE972" s="22"/>
      <c r="AF972" s="48" t="str">
        <f t="shared" si="69"/>
        <v/>
      </c>
      <c r="AG972" s="48" t="str">
        <f t="shared" si="70"/>
        <v/>
      </c>
      <c r="AH972" s="48" t="str">
        <f t="shared" si="71"/>
        <v/>
      </c>
      <c r="AI972" s="40" t="str">
        <f t="shared" si="72"/>
        <v/>
      </c>
      <c r="AJ972" s="40"/>
      <c r="AK972" s="40"/>
      <c r="AL972" s="22"/>
    </row>
    <row r="973" spans="1:38" ht="17.399999999999999">
      <c r="A973" s="22"/>
      <c r="B973" s="22"/>
      <c r="C973" s="56"/>
      <c r="D973" s="56"/>
      <c r="E973" s="22"/>
      <c r="F973" s="22"/>
      <c r="G973" s="22"/>
      <c r="H973" s="22"/>
      <c r="I973" s="49"/>
      <c r="J973" s="50"/>
      <c r="K973" s="22"/>
      <c r="L973" s="22"/>
      <c r="M973" s="22"/>
      <c r="N973" s="22"/>
      <c r="O973" s="22"/>
      <c r="P973" s="46"/>
      <c r="Q973" s="40"/>
      <c r="R973" s="41"/>
      <c r="S973" s="22" t="str">
        <f t="shared" si="68"/>
        <v/>
      </c>
      <c r="T973" s="41"/>
      <c r="U973" s="44"/>
      <c r="V973" s="44"/>
      <c r="W973" s="46"/>
      <c r="X973" s="46"/>
      <c r="Y973" s="46"/>
      <c r="Z973" s="22"/>
      <c r="AA973" s="22"/>
      <c r="AB973" s="22"/>
      <c r="AC973" s="22"/>
      <c r="AD973" s="22"/>
      <c r="AE973" s="22"/>
      <c r="AF973" s="48" t="str">
        <f t="shared" si="69"/>
        <v/>
      </c>
      <c r="AG973" s="48" t="str">
        <f t="shared" si="70"/>
        <v/>
      </c>
      <c r="AH973" s="48" t="str">
        <f t="shared" si="71"/>
        <v/>
      </c>
      <c r="AI973" s="40" t="str">
        <f t="shared" si="72"/>
        <v/>
      </c>
      <c r="AJ973" s="40"/>
      <c r="AK973" s="40"/>
      <c r="AL973" s="22"/>
    </row>
    <row r="974" spans="1:38" ht="17.399999999999999">
      <c r="A974" s="22"/>
      <c r="B974" s="22"/>
      <c r="C974" s="56"/>
      <c r="D974" s="56"/>
      <c r="E974" s="22"/>
      <c r="F974" s="22"/>
      <c r="G974" s="22"/>
      <c r="H974" s="22"/>
      <c r="I974" s="49"/>
      <c r="J974" s="50"/>
      <c r="K974" s="22"/>
      <c r="L974" s="22"/>
      <c r="M974" s="22"/>
      <c r="N974" s="22"/>
      <c r="O974" s="22"/>
      <c r="P974" s="46"/>
      <c r="Q974" s="40"/>
      <c r="R974" s="41"/>
      <c r="S974" s="22" t="str">
        <f t="shared" si="68"/>
        <v/>
      </c>
      <c r="T974" s="41"/>
      <c r="U974" s="44"/>
      <c r="V974" s="44"/>
      <c r="W974" s="46"/>
      <c r="X974" s="46"/>
      <c r="Y974" s="46"/>
      <c r="Z974" s="22"/>
      <c r="AA974" s="22"/>
      <c r="AB974" s="22"/>
      <c r="AC974" s="22"/>
      <c r="AD974" s="22"/>
      <c r="AE974" s="22"/>
      <c r="AF974" s="48" t="str">
        <f t="shared" si="69"/>
        <v/>
      </c>
      <c r="AG974" s="48" t="str">
        <f t="shared" si="70"/>
        <v/>
      </c>
      <c r="AH974" s="48" t="str">
        <f t="shared" si="71"/>
        <v/>
      </c>
      <c r="AI974" s="40" t="str">
        <f t="shared" si="72"/>
        <v/>
      </c>
      <c r="AJ974" s="40"/>
      <c r="AK974" s="40"/>
      <c r="AL974" s="22"/>
    </row>
    <row r="975" spans="1:38" ht="17.399999999999999">
      <c r="A975" s="22"/>
      <c r="B975" s="22"/>
      <c r="C975" s="56"/>
      <c r="D975" s="56"/>
      <c r="E975" s="22"/>
      <c r="F975" s="22"/>
      <c r="G975" s="22"/>
      <c r="H975" s="22"/>
      <c r="I975" s="49"/>
      <c r="J975" s="50"/>
      <c r="K975" s="22"/>
      <c r="L975" s="22"/>
      <c r="M975" s="22"/>
      <c r="N975" s="22"/>
      <c r="O975" s="22"/>
      <c r="P975" s="46"/>
      <c r="Q975" s="40"/>
      <c r="R975" s="41"/>
      <c r="S975" s="22" t="str">
        <f t="shared" si="68"/>
        <v/>
      </c>
      <c r="T975" s="41"/>
      <c r="U975" s="44"/>
      <c r="V975" s="44"/>
      <c r="W975" s="46"/>
      <c r="X975" s="46"/>
      <c r="Y975" s="46"/>
      <c r="Z975" s="22"/>
      <c r="AA975" s="22"/>
      <c r="AB975" s="22"/>
      <c r="AC975" s="22"/>
      <c r="AD975" s="22"/>
      <c r="AE975" s="22"/>
      <c r="AF975" s="48" t="str">
        <f t="shared" si="69"/>
        <v/>
      </c>
      <c r="AG975" s="48" t="str">
        <f t="shared" si="70"/>
        <v/>
      </c>
      <c r="AH975" s="48" t="str">
        <f t="shared" si="71"/>
        <v/>
      </c>
      <c r="AI975" s="40" t="str">
        <f t="shared" si="72"/>
        <v/>
      </c>
      <c r="AJ975" s="40"/>
      <c r="AK975" s="40"/>
      <c r="AL975" s="22"/>
    </row>
    <row r="976" spans="1:38" ht="17.399999999999999">
      <c r="A976" s="22"/>
      <c r="B976" s="22"/>
      <c r="C976" s="56"/>
      <c r="D976" s="56"/>
      <c r="E976" s="22"/>
      <c r="F976" s="22"/>
      <c r="G976" s="22"/>
      <c r="H976" s="22"/>
      <c r="I976" s="49"/>
      <c r="J976" s="50"/>
      <c r="K976" s="22"/>
      <c r="L976" s="22"/>
      <c r="M976" s="22"/>
      <c r="N976" s="22"/>
      <c r="O976" s="22"/>
      <c r="P976" s="46"/>
      <c r="Q976" s="40"/>
      <c r="R976" s="41"/>
      <c r="S976" s="22" t="str">
        <f t="shared" si="68"/>
        <v/>
      </c>
      <c r="T976" s="41"/>
      <c r="U976" s="44"/>
      <c r="V976" s="44"/>
      <c r="W976" s="46"/>
      <c r="X976" s="46"/>
      <c r="Y976" s="46"/>
      <c r="Z976" s="22"/>
      <c r="AA976" s="22"/>
      <c r="AB976" s="22"/>
      <c r="AC976" s="22"/>
      <c r="AD976" s="22"/>
      <c r="AE976" s="22"/>
      <c r="AF976" s="48" t="str">
        <f t="shared" si="69"/>
        <v/>
      </c>
      <c r="AG976" s="48" t="str">
        <f t="shared" si="70"/>
        <v/>
      </c>
      <c r="AH976" s="48" t="str">
        <f t="shared" si="71"/>
        <v/>
      </c>
      <c r="AI976" s="40" t="str">
        <f t="shared" si="72"/>
        <v/>
      </c>
      <c r="AJ976" s="40"/>
      <c r="AK976" s="40"/>
      <c r="AL976" s="22"/>
    </row>
    <row r="977" spans="1:38" ht="17.399999999999999">
      <c r="A977" s="22"/>
      <c r="B977" s="22"/>
      <c r="C977" s="56"/>
      <c r="D977" s="56"/>
      <c r="E977" s="22"/>
      <c r="F977" s="22"/>
      <c r="G977" s="22"/>
      <c r="H977" s="22"/>
      <c r="I977" s="49"/>
      <c r="J977" s="50"/>
      <c r="K977" s="22"/>
      <c r="L977" s="22"/>
      <c r="M977" s="22"/>
      <c r="N977" s="22"/>
      <c r="O977" s="22"/>
      <c r="P977" s="46"/>
      <c r="Q977" s="40"/>
      <c r="R977" s="41"/>
      <c r="S977" s="22" t="str">
        <f t="shared" si="68"/>
        <v/>
      </c>
      <c r="T977" s="41"/>
      <c r="U977" s="44"/>
      <c r="V977" s="44"/>
      <c r="W977" s="46"/>
      <c r="X977" s="46"/>
      <c r="Y977" s="46"/>
      <c r="Z977" s="22"/>
      <c r="AA977" s="22"/>
      <c r="AB977" s="22"/>
      <c r="AC977" s="22"/>
      <c r="AD977" s="22"/>
      <c r="AE977" s="22"/>
      <c r="AF977" s="48" t="str">
        <f t="shared" si="69"/>
        <v/>
      </c>
      <c r="AG977" s="48" t="str">
        <f t="shared" si="70"/>
        <v/>
      </c>
      <c r="AH977" s="48" t="str">
        <f t="shared" si="71"/>
        <v/>
      </c>
      <c r="AI977" s="40" t="str">
        <f t="shared" si="72"/>
        <v/>
      </c>
      <c r="AJ977" s="40"/>
      <c r="AK977" s="40"/>
      <c r="AL977" s="22"/>
    </row>
    <row r="978" spans="1:38" ht="17.399999999999999">
      <c r="A978" s="22"/>
      <c r="B978" s="22"/>
      <c r="C978" s="56"/>
      <c r="D978" s="56"/>
      <c r="E978" s="22"/>
      <c r="F978" s="22"/>
      <c r="G978" s="22"/>
      <c r="H978" s="22"/>
      <c r="I978" s="49"/>
      <c r="J978" s="50"/>
      <c r="K978" s="22"/>
      <c r="L978" s="22"/>
      <c r="M978" s="22"/>
      <c r="N978" s="22"/>
      <c r="O978" s="22"/>
      <c r="P978" s="46"/>
      <c r="Q978" s="40"/>
      <c r="R978" s="41"/>
      <c r="S978" s="22" t="str">
        <f t="shared" si="68"/>
        <v/>
      </c>
      <c r="T978" s="41"/>
      <c r="U978" s="44"/>
      <c r="V978" s="44"/>
      <c r="W978" s="46"/>
      <c r="X978" s="46"/>
      <c r="Y978" s="46"/>
      <c r="Z978" s="22"/>
      <c r="AA978" s="22"/>
      <c r="AB978" s="22"/>
      <c r="AC978" s="22"/>
      <c r="AD978" s="22"/>
      <c r="AE978" s="22"/>
      <c r="AF978" s="48" t="str">
        <f t="shared" si="69"/>
        <v/>
      </c>
      <c r="AG978" s="48" t="str">
        <f t="shared" si="70"/>
        <v/>
      </c>
      <c r="AH978" s="48" t="str">
        <f t="shared" si="71"/>
        <v/>
      </c>
      <c r="AI978" s="40" t="str">
        <f t="shared" si="72"/>
        <v/>
      </c>
      <c r="AJ978" s="40"/>
      <c r="AK978" s="40"/>
      <c r="AL978" s="22"/>
    </row>
    <row r="979" spans="1:38" ht="17.399999999999999">
      <c r="A979" s="22"/>
      <c r="B979" s="22"/>
      <c r="C979" s="56"/>
      <c r="D979" s="56"/>
      <c r="E979" s="22"/>
      <c r="F979" s="22"/>
      <c r="G979" s="22"/>
      <c r="H979" s="22"/>
      <c r="I979" s="49"/>
      <c r="J979" s="50"/>
      <c r="K979" s="22"/>
      <c r="L979" s="22"/>
      <c r="M979" s="22"/>
      <c r="N979" s="22"/>
      <c r="O979" s="22"/>
      <c r="P979" s="46"/>
      <c r="Q979" s="40"/>
      <c r="R979" s="41"/>
      <c r="S979" s="22" t="str">
        <f t="shared" si="68"/>
        <v/>
      </c>
      <c r="T979" s="41"/>
      <c r="U979" s="44"/>
      <c r="V979" s="44"/>
      <c r="W979" s="46"/>
      <c r="X979" s="46"/>
      <c r="Y979" s="46"/>
      <c r="Z979" s="22"/>
      <c r="AA979" s="22"/>
      <c r="AB979" s="22"/>
      <c r="AC979" s="22"/>
      <c r="AD979" s="22"/>
      <c r="AE979" s="22"/>
      <c r="AF979" s="48" t="str">
        <f t="shared" si="69"/>
        <v/>
      </c>
      <c r="AG979" s="48" t="str">
        <f t="shared" si="70"/>
        <v/>
      </c>
      <c r="AH979" s="48" t="str">
        <f t="shared" si="71"/>
        <v/>
      </c>
      <c r="AI979" s="40" t="str">
        <f t="shared" si="72"/>
        <v/>
      </c>
      <c r="AJ979" s="40"/>
      <c r="AK979" s="40"/>
      <c r="AL979" s="22"/>
    </row>
    <row r="980" spans="1:38" ht="17.399999999999999">
      <c r="A980" s="22"/>
      <c r="B980" s="22"/>
      <c r="C980" s="56"/>
      <c r="D980" s="56"/>
      <c r="E980" s="22"/>
      <c r="F980" s="22"/>
      <c r="G980" s="22"/>
      <c r="H980" s="22"/>
      <c r="I980" s="49"/>
      <c r="J980" s="50"/>
      <c r="K980" s="22"/>
      <c r="L980" s="22"/>
      <c r="M980" s="22"/>
      <c r="N980" s="22"/>
      <c r="O980" s="22"/>
      <c r="P980" s="46"/>
      <c r="Q980" s="40"/>
      <c r="R980" s="41"/>
      <c r="S980" s="22" t="str">
        <f t="shared" si="68"/>
        <v/>
      </c>
      <c r="T980" s="41"/>
      <c r="U980" s="44"/>
      <c r="V980" s="44"/>
      <c r="W980" s="46"/>
      <c r="X980" s="46"/>
      <c r="Y980" s="46"/>
      <c r="Z980" s="22"/>
      <c r="AA980" s="22"/>
      <c r="AB980" s="22"/>
      <c r="AC980" s="22"/>
      <c r="AD980" s="22"/>
      <c r="AE980" s="22"/>
      <c r="AF980" s="48" t="str">
        <f t="shared" si="69"/>
        <v/>
      </c>
      <c r="AG980" s="48" t="str">
        <f t="shared" si="70"/>
        <v/>
      </c>
      <c r="AH980" s="48" t="str">
        <f t="shared" si="71"/>
        <v/>
      </c>
      <c r="AI980" s="40" t="str">
        <f t="shared" si="72"/>
        <v/>
      </c>
      <c r="AJ980" s="40"/>
      <c r="AK980" s="40"/>
      <c r="AL980" s="22"/>
    </row>
    <row r="981" spans="1:38" ht="17.399999999999999">
      <c r="A981" s="22"/>
      <c r="B981" s="22"/>
      <c r="C981" s="56"/>
      <c r="D981" s="56"/>
      <c r="E981" s="22"/>
      <c r="F981" s="22"/>
      <c r="G981" s="22"/>
      <c r="H981" s="22"/>
      <c r="I981" s="49"/>
      <c r="J981" s="50"/>
      <c r="K981" s="22"/>
      <c r="L981" s="22"/>
      <c r="M981" s="22"/>
      <c r="N981" s="22"/>
      <c r="O981" s="22"/>
      <c r="P981" s="46"/>
      <c r="Q981" s="40"/>
      <c r="R981" s="41"/>
      <c r="S981" s="22" t="str">
        <f t="shared" si="68"/>
        <v/>
      </c>
      <c r="T981" s="41"/>
      <c r="U981" s="44"/>
      <c r="V981" s="44"/>
      <c r="W981" s="46"/>
      <c r="X981" s="46"/>
      <c r="Y981" s="46"/>
      <c r="Z981" s="22"/>
      <c r="AA981" s="22"/>
      <c r="AB981" s="22"/>
      <c r="AC981" s="22"/>
      <c r="AD981" s="22"/>
      <c r="AE981" s="22"/>
      <c r="AF981" s="48" t="str">
        <f t="shared" si="69"/>
        <v/>
      </c>
      <c r="AG981" s="48" t="str">
        <f t="shared" si="70"/>
        <v/>
      </c>
      <c r="AH981" s="48" t="str">
        <f t="shared" si="71"/>
        <v/>
      </c>
      <c r="AI981" s="40" t="str">
        <f t="shared" si="72"/>
        <v/>
      </c>
      <c r="AJ981" s="40"/>
      <c r="AK981" s="40"/>
      <c r="AL981" s="22"/>
    </row>
    <row r="982" spans="1:38" ht="17.399999999999999">
      <c r="A982" s="22"/>
      <c r="B982" s="22"/>
      <c r="C982" s="56"/>
      <c r="D982" s="56"/>
      <c r="E982" s="22"/>
      <c r="F982" s="22"/>
      <c r="G982" s="22"/>
      <c r="H982" s="22"/>
      <c r="I982" s="49"/>
      <c r="J982" s="50"/>
      <c r="K982" s="22"/>
      <c r="L982" s="22"/>
      <c r="M982" s="22"/>
      <c r="N982" s="22"/>
      <c r="O982" s="22"/>
      <c r="P982" s="46"/>
      <c r="Q982" s="40"/>
      <c r="R982" s="41"/>
      <c r="S982" s="22" t="str">
        <f t="shared" si="68"/>
        <v/>
      </c>
      <c r="T982" s="41"/>
      <c r="U982" s="44"/>
      <c r="V982" s="44"/>
      <c r="W982" s="46"/>
      <c r="X982" s="46"/>
      <c r="Y982" s="46"/>
      <c r="Z982" s="22"/>
      <c r="AA982" s="22"/>
      <c r="AB982" s="22"/>
      <c r="AC982" s="22"/>
      <c r="AD982" s="22"/>
      <c r="AE982" s="22"/>
      <c r="AF982" s="48" t="str">
        <f t="shared" si="69"/>
        <v/>
      </c>
      <c r="AG982" s="48" t="str">
        <f t="shared" si="70"/>
        <v/>
      </c>
      <c r="AH982" s="48" t="str">
        <f t="shared" si="71"/>
        <v/>
      </c>
      <c r="AI982" s="40" t="str">
        <f t="shared" si="72"/>
        <v/>
      </c>
      <c r="AJ982" s="40"/>
      <c r="AK982" s="40"/>
      <c r="AL982" s="22"/>
    </row>
    <row r="983" spans="1:38" ht="17.399999999999999">
      <c r="A983" s="22"/>
      <c r="B983" s="22"/>
      <c r="C983" s="56"/>
      <c r="D983" s="56"/>
      <c r="E983" s="22"/>
      <c r="F983" s="22"/>
      <c r="G983" s="22"/>
      <c r="H983" s="22"/>
      <c r="I983" s="49"/>
      <c r="J983" s="50"/>
      <c r="K983" s="22"/>
      <c r="L983" s="22"/>
      <c r="M983" s="22"/>
      <c r="N983" s="22"/>
      <c r="O983" s="22"/>
      <c r="P983" s="46"/>
      <c r="Q983" s="40"/>
      <c r="R983" s="41"/>
      <c r="S983" s="22" t="str">
        <f t="shared" ref="S983:S1046" si="73">IF(A983="","",M983+O983)</f>
        <v/>
      </c>
      <c r="T983" s="41"/>
      <c r="U983" s="44"/>
      <c r="V983" s="44"/>
      <c r="W983" s="46"/>
      <c r="X983" s="46"/>
      <c r="Y983" s="46"/>
      <c r="Z983" s="22"/>
      <c r="AA983" s="22"/>
      <c r="AB983" s="22"/>
      <c r="AC983" s="22"/>
      <c r="AD983" s="22"/>
      <c r="AE983" s="22"/>
      <c r="AF983" s="48" t="str">
        <f t="shared" ref="AF983:AF1046" si="74">IF(A983="","",S983-X983)</f>
        <v/>
      </c>
      <c r="AG983" s="48" t="str">
        <f t="shared" ref="AG983:AG1046" si="75">IF(A983="","",X983-(AB983+AE983))</f>
        <v/>
      </c>
      <c r="AH983" s="48" t="str">
        <f t="shared" ref="AH983:AH1046" si="76">IF(A983="","",AF983+AG983)</f>
        <v/>
      </c>
      <c r="AI983" s="40" t="str">
        <f t="shared" ref="AI983:AI1046" si="77">IF(A983="","",R983+21)</f>
        <v/>
      </c>
      <c r="AJ983" s="40"/>
      <c r="AK983" s="40"/>
      <c r="AL983" s="22"/>
    </row>
    <row r="984" spans="1:38" ht="17.399999999999999">
      <c r="A984" s="22"/>
      <c r="B984" s="22"/>
      <c r="C984" s="56"/>
      <c r="D984" s="56"/>
      <c r="E984" s="22"/>
      <c r="F984" s="22"/>
      <c r="G984" s="22"/>
      <c r="H984" s="22"/>
      <c r="I984" s="49"/>
      <c r="J984" s="50"/>
      <c r="K984" s="22"/>
      <c r="L984" s="22"/>
      <c r="M984" s="22"/>
      <c r="N984" s="22"/>
      <c r="O984" s="22"/>
      <c r="P984" s="46"/>
      <c r="Q984" s="40"/>
      <c r="R984" s="41"/>
      <c r="S984" s="22" t="str">
        <f t="shared" si="73"/>
        <v/>
      </c>
      <c r="T984" s="41"/>
      <c r="U984" s="44"/>
      <c r="V984" s="44"/>
      <c r="W984" s="46"/>
      <c r="X984" s="46"/>
      <c r="Y984" s="46"/>
      <c r="Z984" s="22"/>
      <c r="AA984" s="22"/>
      <c r="AB984" s="22"/>
      <c r="AC984" s="22"/>
      <c r="AD984" s="22"/>
      <c r="AE984" s="22"/>
      <c r="AF984" s="48" t="str">
        <f t="shared" si="74"/>
        <v/>
      </c>
      <c r="AG984" s="48" t="str">
        <f t="shared" si="75"/>
        <v/>
      </c>
      <c r="AH984" s="48" t="str">
        <f t="shared" si="76"/>
        <v/>
      </c>
      <c r="AI984" s="40" t="str">
        <f t="shared" si="77"/>
        <v/>
      </c>
      <c r="AJ984" s="40"/>
      <c r="AK984" s="40"/>
      <c r="AL984" s="22"/>
    </row>
    <row r="985" spans="1:38" ht="17.399999999999999">
      <c r="A985" s="22"/>
      <c r="B985" s="22"/>
      <c r="C985" s="56"/>
      <c r="D985" s="56"/>
      <c r="E985" s="22"/>
      <c r="F985" s="22"/>
      <c r="G985" s="22"/>
      <c r="H985" s="22"/>
      <c r="I985" s="49"/>
      <c r="J985" s="50"/>
      <c r="K985" s="22"/>
      <c r="L985" s="22"/>
      <c r="M985" s="22"/>
      <c r="N985" s="22"/>
      <c r="O985" s="22"/>
      <c r="P985" s="46"/>
      <c r="Q985" s="40"/>
      <c r="R985" s="41"/>
      <c r="S985" s="22" t="str">
        <f t="shared" si="73"/>
        <v/>
      </c>
      <c r="T985" s="41"/>
      <c r="U985" s="44"/>
      <c r="V985" s="44"/>
      <c r="W985" s="46"/>
      <c r="X985" s="46"/>
      <c r="Y985" s="46"/>
      <c r="Z985" s="22"/>
      <c r="AA985" s="22"/>
      <c r="AB985" s="22"/>
      <c r="AC985" s="22"/>
      <c r="AD985" s="22"/>
      <c r="AE985" s="22"/>
      <c r="AF985" s="48" t="str">
        <f t="shared" si="74"/>
        <v/>
      </c>
      <c r="AG985" s="48" t="str">
        <f t="shared" si="75"/>
        <v/>
      </c>
      <c r="AH985" s="48" t="str">
        <f t="shared" si="76"/>
        <v/>
      </c>
      <c r="AI985" s="40" t="str">
        <f t="shared" si="77"/>
        <v/>
      </c>
      <c r="AJ985" s="40"/>
      <c r="AK985" s="40"/>
      <c r="AL985" s="22"/>
    </row>
    <row r="986" spans="1:38" ht="17.399999999999999">
      <c r="A986" s="22"/>
      <c r="B986" s="22"/>
      <c r="C986" s="56"/>
      <c r="D986" s="56"/>
      <c r="E986" s="22"/>
      <c r="F986" s="22"/>
      <c r="G986" s="22"/>
      <c r="H986" s="22"/>
      <c r="I986" s="49"/>
      <c r="J986" s="50"/>
      <c r="K986" s="22"/>
      <c r="L986" s="22"/>
      <c r="M986" s="22"/>
      <c r="N986" s="22"/>
      <c r="O986" s="22"/>
      <c r="P986" s="46"/>
      <c r="Q986" s="40"/>
      <c r="R986" s="41"/>
      <c r="S986" s="22" t="str">
        <f t="shared" si="73"/>
        <v/>
      </c>
      <c r="T986" s="41"/>
      <c r="U986" s="44"/>
      <c r="V986" s="44"/>
      <c r="W986" s="46"/>
      <c r="X986" s="46"/>
      <c r="Y986" s="46"/>
      <c r="Z986" s="22"/>
      <c r="AA986" s="22"/>
      <c r="AB986" s="22"/>
      <c r="AC986" s="22"/>
      <c r="AD986" s="22"/>
      <c r="AE986" s="22"/>
      <c r="AF986" s="48" t="str">
        <f t="shared" si="74"/>
        <v/>
      </c>
      <c r="AG986" s="48" t="str">
        <f t="shared" si="75"/>
        <v/>
      </c>
      <c r="AH986" s="48" t="str">
        <f t="shared" si="76"/>
        <v/>
      </c>
      <c r="AI986" s="40" t="str">
        <f t="shared" si="77"/>
        <v/>
      </c>
      <c r="AJ986" s="40"/>
      <c r="AK986" s="40"/>
      <c r="AL986" s="22"/>
    </row>
    <row r="987" spans="1:38" ht="17.399999999999999">
      <c r="A987" s="22"/>
      <c r="B987" s="22"/>
      <c r="C987" s="56"/>
      <c r="D987" s="56"/>
      <c r="E987" s="22"/>
      <c r="F987" s="22"/>
      <c r="G987" s="22"/>
      <c r="H987" s="22"/>
      <c r="I987" s="49"/>
      <c r="J987" s="50"/>
      <c r="K987" s="22"/>
      <c r="L987" s="22"/>
      <c r="M987" s="22"/>
      <c r="N987" s="22"/>
      <c r="O987" s="22"/>
      <c r="P987" s="46"/>
      <c r="Q987" s="40"/>
      <c r="R987" s="41"/>
      <c r="S987" s="22" t="str">
        <f t="shared" si="73"/>
        <v/>
      </c>
      <c r="T987" s="41"/>
      <c r="U987" s="44"/>
      <c r="V987" s="44"/>
      <c r="W987" s="46"/>
      <c r="X987" s="46"/>
      <c r="Y987" s="46"/>
      <c r="Z987" s="22"/>
      <c r="AA987" s="22"/>
      <c r="AB987" s="22"/>
      <c r="AC987" s="22"/>
      <c r="AD987" s="22"/>
      <c r="AE987" s="22"/>
      <c r="AF987" s="48" t="str">
        <f t="shared" si="74"/>
        <v/>
      </c>
      <c r="AG987" s="48" t="str">
        <f t="shared" si="75"/>
        <v/>
      </c>
      <c r="AH987" s="48" t="str">
        <f t="shared" si="76"/>
        <v/>
      </c>
      <c r="AI987" s="40" t="str">
        <f t="shared" si="77"/>
        <v/>
      </c>
      <c r="AJ987" s="40"/>
      <c r="AK987" s="40"/>
      <c r="AL987" s="22"/>
    </row>
    <row r="988" spans="1:38" ht="17.399999999999999">
      <c r="A988" s="22"/>
      <c r="B988" s="22"/>
      <c r="C988" s="56"/>
      <c r="D988" s="56"/>
      <c r="E988" s="22"/>
      <c r="F988" s="22"/>
      <c r="G988" s="22"/>
      <c r="H988" s="22"/>
      <c r="I988" s="49"/>
      <c r="J988" s="50"/>
      <c r="K988" s="22"/>
      <c r="L988" s="22"/>
      <c r="M988" s="22"/>
      <c r="N988" s="22"/>
      <c r="O988" s="22"/>
      <c r="P988" s="46"/>
      <c r="Q988" s="40"/>
      <c r="R988" s="41"/>
      <c r="S988" s="22" t="str">
        <f t="shared" si="73"/>
        <v/>
      </c>
      <c r="T988" s="41"/>
      <c r="U988" s="44"/>
      <c r="V988" s="44"/>
      <c r="W988" s="46"/>
      <c r="X988" s="46"/>
      <c r="Y988" s="46"/>
      <c r="Z988" s="22"/>
      <c r="AA988" s="22"/>
      <c r="AB988" s="22"/>
      <c r="AC988" s="22"/>
      <c r="AD988" s="22"/>
      <c r="AE988" s="22"/>
      <c r="AF988" s="48" t="str">
        <f t="shared" si="74"/>
        <v/>
      </c>
      <c r="AG988" s="48" t="str">
        <f t="shared" si="75"/>
        <v/>
      </c>
      <c r="AH988" s="48" t="str">
        <f t="shared" si="76"/>
        <v/>
      </c>
      <c r="AI988" s="40" t="str">
        <f t="shared" si="77"/>
        <v/>
      </c>
      <c r="AJ988" s="40"/>
      <c r="AK988" s="40"/>
      <c r="AL988" s="22"/>
    </row>
    <row r="989" spans="1:38" ht="17.399999999999999">
      <c r="A989" s="22"/>
      <c r="B989" s="22"/>
      <c r="C989" s="56"/>
      <c r="D989" s="56"/>
      <c r="E989" s="22"/>
      <c r="F989" s="22"/>
      <c r="G989" s="22"/>
      <c r="H989" s="22"/>
      <c r="I989" s="49"/>
      <c r="J989" s="50"/>
      <c r="K989" s="22"/>
      <c r="L989" s="22"/>
      <c r="M989" s="22"/>
      <c r="N989" s="22"/>
      <c r="O989" s="22"/>
      <c r="P989" s="46"/>
      <c r="Q989" s="40"/>
      <c r="R989" s="41"/>
      <c r="S989" s="22" t="str">
        <f t="shared" si="73"/>
        <v/>
      </c>
      <c r="T989" s="41"/>
      <c r="U989" s="44"/>
      <c r="V989" s="44"/>
      <c r="W989" s="46"/>
      <c r="X989" s="46"/>
      <c r="Y989" s="46"/>
      <c r="Z989" s="22"/>
      <c r="AA989" s="22"/>
      <c r="AB989" s="22"/>
      <c r="AC989" s="22"/>
      <c r="AD989" s="22"/>
      <c r="AE989" s="22"/>
      <c r="AF989" s="48" t="str">
        <f t="shared" si="74"/>
        <v/>
      </c>
      <c r="AG989" s="48" t="str">
        <f t="shared" si="75"/>
        <v/>
      </c>
      <c r="AH989" s="48" t="str">
        <f t="shared" si="76"/>
        <v/>
      </c>
      <c r="AI989" s="40" t="str">
        <f t="shared" si="77"/>
        <v/>
      </c>
      <c r="AJ989" s="40"/>
      <c r="AK989" s="40"/>
      <c r="AL989" s="22"/>
    </row>
    <row r="990" spans="1:38" ht="17.399999999999999">
      <c r="A990" s="22"/>
      <c r="B990" s="22"/>
      <c r="C990" s="56"/>
      <c r="D990" s="56"/>
      <c r="E990" s="22"/>
      <c r="F990" s="22"/>
      <c r="G990" s="22"/>
      <c r="H990" s="22"/>
      <c r="I990" s="49"/>
      <c r="J990" s="50"/>
      <c r="K990" s="22"/>
      <c r="L990" s="22"/>
      <c r="M990" s="22"/>
      <c r="N990" s="22"/>
      <c r="O990" s="22"/>
      <c r="P990" s="46"/>
      <c r="Q990" s="40"/>
      <c r="R990" s="41"/>
      <c r="S990" s="22" t="str">
        <f t="shared" si="73"/>
        <v/>
      </c>
      <c r="T990" s="41"/>
      <c r="U990" s="44"/>
      <c r="V990" s="44"/>
      <c r="W990" s="46"/>
      <c r="X990" s="46"/>
      <c r="Y990" s="46"/>
      <c r="Z990" s="22"/>
      <c r="AA990" s="22"/>
      <c r="AB990" s="22"/>
      <c r="AC990" s="22"/>
      <c r="AD990" s="22"/>
      <c r="AE990" s="22"/>
      <c r="AF990" s="48" t="str">
        <f t="shared" si="74"/>
        <v/>
      </c>
      <c r="AG990" s="48" t="str">
        <f t="shared" si="75"/>
        <v/>
      </c>
      <c r="AH990" s="48" t="str">
        <f t="shared" si="76"/>
        <v/>
      </c>
      <c r="AI990" s="40" t="str">
        <f t="shared" si="77"/>
        <v/>
      </c>
      <c r="AJ990" s="40"/>
      <c r="AK990" s="40"/>
      <c r="AL990" s="22"/>
    </row>
    <row r="991" spans="1:38" ht="17.399999999999999">
      <c r="A991" s="22"/>
      <c r="B991" s="22"/>
      <c r="C991" s="56"/>
      <c r="D991" s="56"/>
      <c r="E991" s="22"/>
      <c r="F991" s="22"/>
      <c r="G991" s="22"/>
      <c r="H991" s="22"/>
      <c r="I991" s="49"/>
      <c r="J991" s="50"/>
      <c r="K991" s="22"/>
      <c r="L991" s="22"/>
      <c r="M991" s="22"/>
      <c r="N991" s="22"/>
      <c r="O991" s="22"/>
      <c r="P991" s="46"/>
      <c r="Q991" s="40"/>
      <c r="R991" s="41"/>
      <c r="S991" s="22" t="str">
        <f t="shared" si="73"/>
        <v/>
      </c>
      <c r="T991" s="41"/>
      <c r="U991" s="44"/>
      <c r="V991" s="44"/>
      <c r="W991" s="46"/>
      <c r="X991" s="46"/>
      <c r="Y991" s="46"/>
      <c r="Z991" s="22"/>
      <c r="AA991" s="22"/>
      <c r="AB991" s="22"/>
      <c r="AC991" s="22"/>
      <c r="AD991" s="22"/>
      <c r="AE991" s="22"/>
      <c r="AF991" s="48" t="str">
        <f t="shared" si="74"/>
        <v/>
      </c>
      <c r="AG991" s="48" t="str">
        <f t="shared" si="75"/>
        <v/>
      </c>
      <c r="AH991" s="48" t="str">
        <f t="shared" si="76"/>
        <v/>
      </c>
      <c r="AI991" s="40" t="str">
        <f t="shared" si="77"/>
        <v/>
      </c>
      <c r="AJ991" s="40"/>
      <c r="AK991" s="40"/>
      <c r="AL991" s="22"/>
    </row>
    <row r="992" spans="1:38" ht="17.399999999999999">
      <c r="A992" s="22"/>
      <c r="B992" s="22"/>
      <c r="C992" s="56"/>
      <c r="D992" s="56"/>
      <c r="E992" s="22"/>
      <c r="F992" s="22"/>
      <c r="G992" s="22"/>
      <c r="H992" s="22"/>
      <c r="I992" s="49"/>
      <c r="J992" s="50"/>
      <c r="K992" s="22"/>
      <c r="L992" s="22"/>
      <c r="M992" s="22"/>
      <c r="N992" s="22"/>
      <c r="O992" s="22"/>
      <c r="P992" s="46"/>
      <c r="Q992" s="40"/>
      <c r="R992" s="41"/>
      <c r="S992" s="22" t="str">
        <f t="shared" si="73"/>
        <v/>
      </c>
      <c r="T992" s="41"/>
      <c r="U992" s="44"/>
      <c r="V992" s="44"/>
      <c r="W992" s="46"/>
      <c r="X992" s="46"/>
      <c r="Y992" s="46"/>
      <c r="Z992" s="22"/>
      <c r="AA992" s="22"/>
      <c r="AB992" s="22"/>
      <c r="AC992" s="22"/>
      <c r="AD992" s="22"/>
      <c r="AE992" s="22"/>
      <c r="AF992" s="48" t="str">
        <f t="shared" si="74"/>
        <v/>
      </c>
      <c r="AG992" s="48" t="str">
        <f t="shared" si="75"/>
        <v/>
      </c>
      <c r="AH992" s="48" t="str">
        <f t="shared" si="76"/>
        <v/>
      </c>
      <c r="AI992" s="40" t="str">
        <f t="shared" si="77"/>
        <v/>
      </c>
      <c r="AJ992" s="40"/>
      <c r="AK992" s="40"/>
      <c r="AL992" s="22"/>
    </row>
    <row r="993" spans="1:38" ht="17.399999999999999">
      <c r="A993" s="22"/>
      <c r="B993" s="22"/>
      <c r="C993" s="56"/>
      <c r="D993" s="56"/>
      <c r="E993" s="22"/>
      <c r="F993" s="22"/>
      <c r="G993" s="22"/>
      <c r="H993" s="22"/>
      <c r="I993" s="49"/>
      <c r="J993" s="50"/>
      <c r="K993" s="22"/>
      <c r="L993" s="22"/>
      <c r="M993" s="22"/>
      <c r="N993" s="22"/>
      <c r="O993" s="22"/>
      <c r="P993" s="46"/>
      <c r="Q993" s="40"/>
      <c r="R993" s="41"/>
      <c r="S993" s="22" t="str">
        <f t="shared" si="73"/>
        <v/>
      </c>
      <c r="T993" s="41"/>
      <c r="U993" s="44"/>
      <c r="V993" s="44"/>
      <c r="W993" s="46"/>
      <c r="X993" s="46"/>
      <c r="Y993" s="46"/>
      <c r="Z993" s="22"/>
      <c r="AA993" s="22"/>
      <c r="AB993" s="22"/>
      <c r="AC993" s="22"/>
      <c r="AD993" s="22"/>
      <c r="AE993" s="22"/>
      <c r="AF993" s="48" t="str">
        <f t="shared" si="74"/>
        <v/>
      </c>
      <c r="AG993" s="48" t="str">
        <f t="shared" si="75"/>
        <v/>
      </c>
      <c r="AH993" s="48" t="str">
        <f t="shared" si="76"/>
        <v/>
      </c>
      <c r="AI993" s="40" t="str">
        <f t="shared" si="77"/>
        <v/>
      </c>
      <c r="AJ993" s="40"/>
      <c r="AK993" s="40"/>
      <c r="AL993" s="22"/>
    </row>
    <row r="994" spans="1:38" ht="17.399999999999999">
      <c r="A994" s="22"/>
      <c r="B994" s="22"/>
      <c r="C994" s="56"/>
      <c r="D994" s="56"/>
      <c r="E994" s="22"/>
      <c r="F994" s="22"/>
      <c r="G994" s="22"/>
      <c r="H994" s="22"/>
      <c r="I994" s="49"/>
      <c r="J994" s="50"/>
      <c r="K994" s="22"/>
      <c r="L994" s="22"/>
      <c r="M994" s="22"/>
      <c r="N994" s="22"/>
      <c r="O994" s="22"/>
      <c r="P994" s="46"/>
      <c r="Q994" s="40"/>
      <c r="R994" s="41"/>
      <c r="S994" s="22" t="str">
        <f t="shared" si="73"/>
        <v/>
      </c>
      <c r="T994" s="41"/>
      <c r="U994" s="44"/>
      <c r="V994" s="44"/>
      <c r="W994" s="46"/>
      <c r="X994" s="46"/>
      <c r="Y994" s="46"/>
      <c r="Z994" s="22"/>
      <c r="AA994" s="22"/>
      <c r="AB994" s="22"/>
      <c r="AC994" s="22"/>
      <c r="AD994" s="22"/>
      <c r="AE994" s="22"/>
      <c r="AF994" s="48" t="str">
        <f t="shared" si="74"/>
        <v/>
      </c>
      <c r="AG994" s="48" t="str">
        <f t="shared" si="75"/>
        <v/>
      </c>
      <c r="AH994" s="48" t="str">
        <f t="shared" si="76"/>
        <v/>
      </c>
      <c r="AI994" s="40" t="str">
        <f t="shared" si="77"/>
        <v/>
      </c>
      <c r="AJ994" s="40"/>
      <c r="AK994" s="40"/>
      <c r="AL994" s="22"/>
    </row>
    <row r="995" spans="1:38" ht="17.399999999999999">
      <c r="A995" s="22"/>
      <c r="B995" s="22"/>
      <c r="C995" s="56"/>
      <c r="D995" s="56"/>
      <c r="E995" s="22"/>
      <c r="F995" s="22"/>
      <c r="G995" s="22"/>
      <c r="H995" s="22"/>
      <c r="I995" s="49"/>
      <c r="J995" s="50"/>
      <c r="K995" s="22"/>
      <c r="L995" s="22"/>
      <c r="M995" s="22"/>
      <c r="N995" s="22"/>
      <c r="O995" s="22"/>
      <c r="P995" s="46"/>
      <c r="Q995" s="40"/>
      <c r="R995" s="41"/>
      <c r="S995" s="22" t="str">
        <f t="shared" si="73"/>
        <v/>
      </c>
      <c r="T995" s="41"/>
      <c r="U995" s="44"/>
      <c r="V995" s="44"/>
      <c r="W995" s="46"/>
      <c r="X995" s="46"/>
      <c r="Y995" s="46"/>
      <c r="Z995" s="22"/>
      <c r="AA995" s="22"/>
      <c r="AB995" s="22"/>
      <c r="AC995" s="22"/>
      <c r="AD995" s="22"/>
      <c r="AE995" s="22"/>
      <c r="AF995" s="48" t="str">
        <f t="shared" si="74"/>
        <v/>
      </c>
      <c r="AG995" s="48" t="str">
        <f t="shared" si="75"/>
        <v/>
      </c>
      <c r="AH995" s="48" t="str">
        <f t="shared" si="76"/>
        <v/>
      </c>
      <c r="AI995" s="40" t="str">
        <f t="shared" si="77"/>
        <v/>
      </c>
      <c r="AJ995" s="40"/>
      <c r="AK995" s="40"/>
      <c r="AL995" s="22"/>
    </row>
    <row r="996" spans="1:38" ht="17.399999999999999">
      <c r="A996" s="22"/>
      <c r="B996" s="22"/>
      <c r="C996" s="56"/>
      <c r="D996" s="56"/>
      <c r="E996" s="22"/>
      <c r="F996" s="22"/>
      <c r="G996" s="22"/>
      <c r="H996" s="22"/>
      <c r="I996" s="49"/>
      <c r="J996" s="50"/>
      <c r="K996" s="22"/>
      <c r="L996" s="22"/>
      <c r="M996" s="22"/>
      <c r="N996" s="22"/>
      <c r="O996" s="22"/>
      <c r="P996" s="46"/>
      <c r="Q996" s="40"/>
      <c r="R996" s="41"/>
      <c r="S996" s="22" t="str">
        <f t="shared" si="73"/>
        <v/>
      </c>
      <c r="T996" s="41"/>
      <c r="U996" s="44"/>
      <c r="V996" s="44"/>
      <c r="W996" s="46"/>
      <c r="X996" s="46"/>
      <c r="Y996" s="46"/>
      <c r="Z996" s="22"/>
      <c r="AA996" s="22"/>
      <c r="AB996" s="22"/>
      <c r="AC996" s="22"/>
      <c r="AD996" s="22"/>
      <c r="AE996" s="22"/>
      <c r="AF996" s="48" t="str">
        <f t="shared" si="74"/>
        <v/>
      </c>
      <c r="AG996" s="48" t="str">
        <f t="shared" si="75"/>
        <v/>
      </c>
      <c r="AH996" s="48" t="str">
        <f t="shared" si="76"/>
        <v/>
      </c>
      <c r="AI996" s="40" t="str">
        <f t="shared" si="77"/>
        <v/>
      </c>
      <c r="AJ996" s="40"/>
      <c r="AK996" s="40"/>
      <c r="AL996" s="22"/>
    </row>
    <row r="997" spans="1:38" ht="17.399999999999999">
      <c r="A997" s="22"/>
      <c r="B997" s="22"/>
      <c r="C997" s="56"/>
      <c r="D997" s="56"/>
      <c r="E997" s="22"/>
      <c r="F997" s="22"/>
      <c r="G997" s="22"/>
      <c r="H997" s="22"/>
      <c r="I997" s="49"/>
      <c r="J997" s="50"/>
      <c r="K997" s="22"/>
      <c r="L997" s="22"/>
      <c r="M997" s="22"/>
      <c r="N997" s="22"/>
      <c r="O997" s="22"/>
      <c r="P997" s="46"/>
      <c r="Q997" s="40"/>
      <c r="R997" s="41"/>
      <c r="S997" s="22" t="str">
        <f t="shared" si="73"/>
        <v/>
      </c>
      <c r="T997" s="41"/>
      <c r="U997" s="44"/>
      <c r="V997" s="44"/>
      <c r="W997" s="46"/>
      <c r="X997" s="46"/>
      <c r="Y997" s="46"/>
      <c r="Z997" s="22"/>
      <c r="AA997" s="22"/>
      <c r="AB997" s="22"/>
      <c r="AC997" s="22"/>
      <c r="AD997" s="22"/>
      <c r="AE997" s="22"/>
      <c r="AF997" s="48" t="str">
        <f t="shared" si="74"/>
        <v/>
      </c>
      <c r="AG997" s="48" t="str">
        <f t="shared" si="75"/>
        <v/>
      </c>
      <c r="AH997" s="48" t="str">
        <f t="shared" si="76"/>
        <v/>
      </c>
      <c r="AI997" s="40" t="str">
        <f t="shared" si="77"/>
        <v/>
      </c>
      <c r="AJ997" s="40"/>
      <c r="AK997" s="40"/>
      <c r="AL997" s="22"/>
    </row>
    <row r="998" spans="1:38" ht="17.399999999999999">
      <c r="A998" s="22"/>
      <c r="B998" s="22"/>
      <c r="C998" s="56"/>
      <c r="D998" s="56"/>
      <c r="E998" s="22"/>
      <c r="F998" s="22"/>
      <c r="G998" s="22"/>
      <c r="H998" s="22"/>
      <c r="I998" s="49"/>
      <c r="J998" s="50"/>
      <c r="K998" s="22"/>
      <c r="L998" s="22"/>
      <c r="M998" s="22"/>
      <c r="N998" s="22"/>
      <c r="O998" s="22"/>
      <c r="P998" s="46"/>
      <c r="Q998" s="40"/>
      <c r="R998" s="41"/>
      <c r="S998" s="22" t="str">
        <f t="shared" si="73"/>
        <v/>
      </c>
      <c r="T998" s="41"/>
      <c r="U998" s="44"/>
      <c r="V998" s="44"/>
      <c r="W998" s="46"/>
      <c r="X998" s="46"/>
      <c r="Y998" s="46"/>
      <c r="Z998" s="22"/>
      <c r="AA998" s="22"/>
      <c r="AB998" s="22"/>
      <c r="AC998" s="22"/>
      <c r="AD998" s="22"/>
      <c r="AE998" s="22"/>
      <c r="AF998" s="48" t="str">
        <f t="shared" si="74"/>
        <v/>
      </c>
      <c r="AG998" s="48" t="str">
        <f t="shared" si="75"/>
        <v/>
      </c>
      <c r="AH998" s="48" t="str">
        <f t="shared" si="76"/>
        <v/>
      </c>
      <c r="AI998" s="40" t="str">
        <f t="shared" si="77"/>
        <v/>
      </c>
      <c r="AJ998" s="40"/>
      <c r="AK998" s="40"/>
      <c r="AL998" s="22"/>
    </row>
    <row r="999" spans="1:38" ht="17.399999999999999">
      <c r="A999" s="22"/>
      <c r="B999" s="22"/>
      <c r="C999" s="56"/>
      <c r="D999" s="56"/>
      <c r="E999" s="22"/>
      <c r="F999" s="22"/>
      <c r="G999" s="22"/>
      <c r="H999" s="22"/>
      <c r="I999" s="49"/>
      <c r="J999" s="50"/>
      <c r="K999" s="22"/>
      <c r="L999" s="22"/>
      <c r="M999" s="22"/>
      <c r="N999" s="22"/>
      <c r="O999" s="22"/>
      <c r="P999" s="46"/>
      <c r="Q999" s="40"/>
      <c r="R999" s="41"/>
      <c r="S999" s="22" t="str">
        <f t="shared" si="73"/>
        <v/>
      </c>
      <c r="T999" s="41"/>
      <c r="U999" s="44"/>
      <c r="V999" s="44"/>
      <c r="W999" s="46"/>
      <c r="X999" s="46"/>
      <c r="Y999" s="46"/>
      <c r="Z999" s="22"/>
      <c r="AA999" s="22"/>
      <c r="AB999" s="22"/>
      <c r="AC999" s="22"/>
      <c r="AD999" s="22"/>
      <c r="AE999" s="22"/>
      <c r="AF999" s="48" t="str">
        <f t="shared" si="74"/>
        <v/>
      </c>
      <c r="AG999" s="48" t="str">
        <f t="shared" si="75"/>
        <v/>
      </c>
      <c r="AH999" s="48" t="str">
        <f t="shared" si="76"/>
        <v/>
      </c>
      <c r="AI999" s="40" t="str">
        <f t="shared" si="77"/>
        <v/>
      </c>
      <c r="AJ999" s="40"/>
      <c r="AK999" s="40"/>
      <c r="AL999" s="22"/>
    </row>
    <row r="1000" spans="1:38" ht="17.399999999999999">
      <c r="A1000" s="22"/>
      <c r="B1000" s="22"/>
      <c r="C1000" s="56"/>
      <c r="D1000" s="56"/>
      <c r="E1000" s="22"/>
      <c r="F1000" s="22"/>
      <c r="G1000" s="22"/>
      <c r="H1000" s="22"/>
      <c r="I1000" s="49"/>
      <c r="J1000" s="50"/>
      <c r="K1000" s="22"/>
      <c r="L1000" s="22"/>
      <c r="M1000" s="22"/>
      <c r="N1000" s="22"/>
      <c r="O1000" s="22"/>
      <c r="P1000" s="46"/>
      <c r="Q1000" s="40"/>
      <c r="R1000" s="41"/>
      <c r="S1000" s="22" t="str">
        <f t="shared" si="73"/>
        <v/>
      </c>
      <c r="T1000" s="41"/>
      <c r="U1000" s="44"/>
      <c r="V1000" s="44"/>
      <c r="W1000" s="46"/>
      <c r="X1000" s="46"/>
      <c r="Y1000" s="46"/>
      <c r="Z1000" s="22"/>
      <c r="AA1000" s="22"/>
      <c r="AB1000" s="22"/>
      <c r="AC1000" s="22"/>
      <c r="AD1000" s="22"/>
      <c r="AE1000" s="22"/>
      <c r="AF1000" s="48" t="str">
        <f t="shared" si="74"/>
        <v/>
      </c>
      <c r="AG1000" s="48" t="str">
        <f t="shared" si="75"/>
        <v/>
      </c>
      <c r="AH1000" s="48" t="str">
        <f t="shared" si="76"/>
        <v/>
      </c>
      <c r="AI1000" s="40" t="str">
        <f t="shared" si="77"/>
        <v/>
      </c>
      <c r="AJ1000" s="40"/>
      <c r="AK1000" s="40"/>
      <c r="AL1000" s="22"/>
    </row>
    <row r="1001" spans="1:38" ht="17.399999999999999">
      <c r="A1001" s="22"/>
      <c r="B1001" s="22"/>
      <c r="C1001" s="56"/>
      <c r="D1001" s="56"/>
      <c r="E1001" s="22"/>
      <c r="F1001" s="22"/>
      <c r="G1001" s="22"/>
      <c r="H1001" s="22"/>
      <c r="I1001" s="49"/>
      <c r="J1001" s="50"/>
      <c r="K1001" s="22"/>
      <c r="L1001" s="22"/>
      <c r="M1001" s="22"/>
      <c r="N1001" s="22"/>
      <c r="O1001" s="22"/>
      <c r="P1001" s="46"/>
      <c r="Q1001" s="40"/>
      <c r="R1001" s="41"/>
      <c r="S1001" s="22" t="str">
        <f t="shared" si="73"/>
        <v/>
      </c>
      <c r="T1001" s="41"/>
      <c r="U1001" s="44"/>
      <c r="V1001" s="44"/>
      <c r="W1001" s="46"/>
      <c r="X1001" s="46"/>
      <c r="Y1001" s="46"/>
      <c r="Z1001" s="22"/>
      <c r="AA1001" s="22"/>
      <c r="AB1001" s="22"/>
      <c r="AC1001" s="22"/>
      <c r="AD1001" s="22"/>
      <c r="AE1001" s="22"/>
      <c r="AF1001" s="48" t="str">
        <f t="shared" si="74"/>
        <v/>
      </c>
      <c r="AG1001" s="48" t="str">
        <f t="shared" si="75"/>
        <v/>
      </c>
      <c r="AH1001" s="48" t="str">
        <f t="shared" si="76"/>
        <v/>
      </c>
      <c r="AI1001" s="40" t="str">
        <f t="shared" si="77"/>
        <v/>
      </c>
      <c r="AJ1001" s="40"/>
      <c r="AK1001" s="40"/>
      <c r="AL1001" s="22"/>
    </row>
    <row r="1002" spans="1:38" ht="17.399999999999999">
      <c r="A1002" s="22"/>
      <c r="B1002" s="22"/>
      <c r="C1002" s="56"/>
      <c r="D1002" s="56"/>
      <c r="E1002" s="22"/>
      <c r="F1002" s="22"/>
      <c r="G1002" s="22"/>
      <c r="H1002" s="22"/>
      <c r="I1002" s="49"/>
      <c r="J1002" s="50"/>
      <c r="K1002" s="22"/>
      <c r="L1002" s="22"/>
      <c r="M1002" s="22"/>
      <c r="N1002" s="22"/>
      <c r="O1002" s="22"/>
      <c r="P1002" s="46"/>
      <c r="Q1002" s="40"/>
      <c r="R1002" s="41"/>
      <c r="S1002" s="22" t="str">
        <f t="shared" si="73"/>
        <v/>
      </c>
      <c r="T1002" s="41"/>
      <c r="U1002" s="44"/>
      <c r="V1002" s="44"/>
      <c r="W1002" s="46"/>
      <c r="X1002" s="46"/>
      <c r="Y1002" s="46"/>
      <c r="Z1002" s="22"/>
      <c r="AA1002" s="22"/>
      <c r="AB1002" s="22"/>
      <c r="AC1002" s="22"/>
      <c r="AD1002" s="22"/>
      <c r="AE1002" s="22"/>
      <c r="AF1002" s="48" t="str">
        <f t="shared" si="74"/>
        <v/>
      </c>
      <c r="AG1002" s="48" t="str">
        <f t="shared" si="75"/>
        <v/>
      </c>
      <c r="AH1002" s="48" t="str">
        <f t="shared" si="76"/>
        <v/>
      </c>
      <c r="AI1002" s="40" t="str">
        <f t="shared" si="77"/>
        <v/>
      </c>
      <c r="AJ1002" s="40"/>
      <c r="AK1002" s="40"/>
      <c r="AL1002" s="22"/>
    </row>
    <row r="1003" spans="1:38" ht="17.399999999999999">
      <c r="A1003" s="22"/>
      <c r="B1003" s="22"/>
      <c r="C1003" s="56"/>
      <c r="D1003" s="56"/>
      <c r="E1003" s="22"/>
      <c r="F1003" s="22"/>
      <c r="G1003" s="22"/>
      <c r="H1003" s="22"/>
      <c r="I1003" s="49"/>
      <c r="J1003" s="50"/>
      <c r="K1003" s="22"/>
      <c r="L1003" s="22"/>
      <c r="M1003" s="22"/>
      <c r="N1003" s="22"/>
      <c r="O1003" s="22"/>
      <c r="P1003" s="46"/>
      <c r="Q1003" s="40"/>
      <c r="R1003" s="41"/>
      <c r="S1003" s="22" t="str">
        <f t="shared" si="73"/>
        <v/>
      </c>
      <c r="T1003" s="41"/>
      <c r="U1003" s="44"/>
      <c r="V1003" s="44"/>
      <c r="W1003" s="46"/>
      <c r="X1003" s="46"/>
      <c r="Y1003" s="46"/>
      <c r="Z1003" s="22"/>
      <c r="AA1003" s="22"/>
      <c r="AB1003" s="22"/>
      <c r="AC1003" s="22"/>
      <c r="AD1003" s="22"/>
      <c r="AE1003" s="22"/>
      <c r="AF1003" s="48" t="str">
        <f t="shared" si="74"/>
        <v/>
      </c>
      <c r="AG1003" s="48" t="str">
        <f t="shared" si="75"/>
        <v/>
      </c>
      <c r="AH1003" s="48" t="str">
        <f t="shared" si="76"/>
        <v/>
      </c>
      <c r="AI1003" s="40" t="str">
        <f t="shared" si="77"/>
        <v/>
      </c>
      <c r="AJ1003" s="40"/>
      <c r="AK1003" s="40"/>
      <c r="AL1003" s="22"/>
    </row>
    <row r="1004" spans="1:38" ht="17.399999999999999">
      <c r="A1004" s="22"/>
      <c r="B1004" s="22"/>
      <c r="C1004" s="56"/>
      <c r="D1004" s="56"/>
      <c r="E1004" s="22"/>
      <c r="F1004" s="22"/>
      <c r="G1004" s="22"/>
      <c r="H1004" s="22"/>
      <c r="I1004" s="49"/>
      <c r="J1004" s="50"/>
      <c r="K1004" s="22"/>
      <c r="L1004" s="22"/>
      <c r="M1004" s="22"/>
      <c r="N1004" s="22"/>
      <c r="O1004" s="22"/>
      <c r="P1004" s="46"/>
      <c r="Q1004" s="40"/>
      <c r="R1004" s="41"/>
      <c r="S1004" s="22" t="str">
        <f t="shared" si="73"/>
        <v/>
      </c>
      <c r="T1004" s="41"/>
      <c r="U1004" s="44"/>
      <c r="V1004" s="44"/>
      <c r="W1004" s="46"/>
      <c r="X1004" s="46"/>
      <c r="Y1004" s="46"/>
      <c r="Z1004" s="22"/>
      <c r="AA1004" s="22"/>
      <c r="AB1004" s="22"/>
      <c r="AC1004" s="22"/>
      <c r="AD1004" s="22"/>
      <c r="AE1004" s="22"/>
      <c r="AF1004" s="48" t="str">
        <f t="shared" si="74"/>
        <v/>
      </c>
      <c r="AG1004" s="48" t="str">
        <f t="shared" si="75"/>
        <v/>
      </c>
      <c r="AH1004" s="48" t="str">
        <f t="shared" si="76"/>
        <v/>
      </c>
      <c r="AI1004" s="40" t="str">
        <f t="shared" si="77"/>
        <v/>
      </c>
      <c r="AJ1004" s="40"/>
      <c r="AK1004" s="40"/>
      <c r="AL1004" s="22"/>
    </row>
    <row r="1005" spans="1:38" ht="17.399999999999999">
      <c r="A1005" s="22"/>
      <c r="B1005" s="22"/>
      <c r="C1005" s="56"/>
      <c r="D1005" s="56"/>
      <c r="E1005" s="22"/>
      <c r="F1005" s="22"/>
      <c r="G1005" s="22"/>
      <c r="H1005" s="22"/>
      <c r="I1005" s="49"/>
      <c r="J1005" s="50"/>
      <c r="K1005" s="22"/>
      <c r="L1005" s="22"/>
      <c r="M1005" s="22"/>
      <c r="N1005" s="22"/>
      <c r="O1005" s="22"/>
      <c r="P1005" s="46"/>
      <c r="Q1005" s="40"/>
      <c r="R1005" s="41"/>
      <c r="S1005" s="22" t="str">
        <f t="shared" si="73"/>
        <v/>
      </c>
      <c r="T1005" s="41"/>
      <c r="U1005" s="44"/>
      <c r="V1005" s="44"/>
      <c r="W1005" s="46"/>
      <c r="X1005" s="46"/>
      <c r="Y1005" s="46"/>
      <c r="Z1005" s="22"/>
      <c r="AA1005" s="22"/>
      <c r="AB1005" s="22"/>
      <c r="AC1005" s="22"/>
      <c r="AD1005" s="22"/>
      <c r="AE1005" s="22"/>
      <c r="AF1005" s="48" t="str">
        <f t="shared" si="74"/>
        <v/>
      </c>
      <c r="AG1005" s="48" t="str">
        <f t="shared" si="75"/>
        <v/>
      </c>
      <c r="AH1005" s="48" t="str">
        <f t="shared" si="76"/>
        <v/>
      </c>
      <c r="AI1005" s="40" t="str">
        <f t="shared" si="77"/>
        <v/>
      </c>
      <c r="AJ1005" s="40"/>
      <c r="AK1005" s="40"/>
      <c r="AL1005" s="22"/>
    </row>
    <row r="1006" spans="1:38" ht="17.399999999999999">
      <c r="A1006" s="22"/>
      <c r="B1006" s="22"/>
      <c r="C1006" s="56"/>
      <c r="D1006" s="56"/>
      <c r="E1006" s="22"/>
      <c r="F1006" s="22"/>
      <c r="G1006" s="22"/>
      <c r="H1006" s="22"/>
      <c r="I1006" s="49"/>
      <c r="J1006" s="50"/>
      <c r="K1006" s="22"/>
      <c r="L1006" s="22"/>
      <c r="M1006" s="22"/>
      <c r="N1006" s="22"/>
      <c r="O1006" s="22"/>
      <c r="P1006" s="46"/>
      <c r="Q1006" s="40"/>
      <c r="R1006" s="41"/>
      <c r="S1006" s="22" t="str">
        <f t="shared" si="73"/>
        <v/>
      </c>
      <c r="T1006" s="41"/>
      <c r="U1006" s="44"/>
      <c r="V1006" s="44"/>
      <c r="W1006" s="46"/>
      <c r="X1006" s="46"/>
      <c r="Y1006" s="46"/>
      <c r="Z1006" s="22"/>
      <c r="AA1006" s="22"/>
      <c r="AB1006" s="22"/>
      <c r="AC1006" s="22"/>
      <c r="AD1006" s="22"/>
      <c r="AE1006" s="22"/>
      <c r="AF1006" s="48" t="str">
        <f t="shared" si="74"/>
        <v/>
      </c>
      <c r="AG1006" s="48" t="str">
        <f t="shared" si="75"/>
        <v/>
      </c>
      <c r="AH1006" s="48" t="str">
        <f t="shared" si="76"/>
        <v/>
      </c>
      <c r="AI1006" s="40" t="str">
        <f t="shared" si="77"/>
        <v/>
      </c>
      <c r="AJ1006" s="40"/>
      <c r="AK1006" s="40"/>
      <c r="AL1006" s="22"/>
    </row>
    <row r="1007" spans="1:38" ht="17.399999999999999">
      <c r="A1007" s="22"/>
      <c r="B1007" s="22"/>
      <c r="C1007" s="56"/>
      <c r="D1007" s="56"/>
      <c r="E1007" s="22"/>
      <c r="F1007" s="22"/>
      <c r="G1007" s="22"/>
      <c r="H1007" s="22"/>
      <c r="I1007" s="49"/>
      <c r="J1007" s="50"/>
      <c r="K1007" s="22"/>
      <c r="L1007" s="22"/>
      <c r="M1007" s="22"/>
      <c r="N1007" s="22"/>
      <c r="O1007" s="22"/>
      <c r="P1007" s="46"/>
      <c r="Q1007" s="40"/>
      <c r="R1007" s="41"/>
      <c r="S1007" s="22" t="str">
        <f t="shared" si="73"/>
        <v/>
      </c>
      <c r="T1007" s="41"/>
      <c r="U1007" s="44"/>
      <c r="V1007" s="44"/>
      <c r="W1007" s="46"/>
      <c r="X1007" s="46"/>
      <c r="Y1007" s="46"/>
      <c r="Z1007" s="22"/>
      <c r="AA1007" s="22"/>
      <c r="AB1007" s="22"/>
      <c r="AC1007" s="22"/>
      <c r="AD1007" s="22"/>
      <c r="AE1007" s="22"/>
      <c r="AF1007" s="48" t="str">
        <f t="shared" si="74"/>
        <v/>
      </c>
      <c r="AG1007" s="48" t="str">
        <f t="shared" si="75"/>
        <v/>
      </c>
      <c r="AH1007" s="48" t="str">
        <f t="shared" si="76"/>
        <v/>
      </c>
      <c r="AI1007" s="40" t="str">
        <f t="shared" si="77"/>
        <v/>
      </c>
      <c r="AJ1007" s="40"/>
      <c r="AK1007" s="40"/>
      <c r="AL1007" s="22"/>
    </row>
    <row r="1008" spans="1:38" ht="17.399999999999999">
      <c r="A1008" s="22"/>
      <c r="B1008" s="22"/>
      <c r="C1008" s="56"/>
      <c r="D1008" s="56"/>
      <c r="E1008" s="22"/>
      <c r="F1008" s="22"/>
      <c r="G1008" s="22"/>
      <c r="H1008" s="22"/>
      <c r="I1008" s="49"/>
      <c r="J1008" s="50"/>
      <c r="K1008" s="22"/>
      <c r="L1008" s="22"/>
      <c r="M1008" s="22"/>
      <c r="N1008" s="22"/>
      <c r="O1008" s="22"/>
      <c r="P1008" s="46"/>
      <c r="Q1008" s="40"/>
      <c r="R1008" s="41"/>
      <c r="S1008" s="22" t="str">
        <f t="shared" si="73"/>
        <v/>
      </c>
      <c r="T1008" s="41"/>
      <c r="U1008" s="44"/>
      <c r="V1008" s="44"/>
      <c r="W1008" s="46"/>
      <c r="X1008" s="46"/>
      <c r="Y1008" s="46"/>
      <c r="Z1008" s="22"/>
      <c r="AA1008" s="22"/>
      <c r="AB1008" s="22"/>
      <c r="AC1008" s="22"/>
      <c r="AD1008" s="22"/>
      <c r="AE1008" s="22"/>
      <c r="AF1008" s="48" t="str">
        <f t="shared" si="74"/>
        <v/>
      </c>
      <c r="AG1008" s="48" t="str">
        <f t="shared" si="75"/>
        <v/>
      </c>
      <c r="AH1008" s="48" t="str">
        <f t="shared" si="76"/>
        <v/>
      </c>
      <c r="AI1008" s="40" t="str">
        <f t="shared" si="77"/>
        <v/>
      </c>
      <c r="AJ1008" s="40"/>
      <c r="AK1008" s="40"/>
      <c r="AL1008" s="22"/>
    </row>
    <row r="1009" spans="1:38" ht="17.399999999999999">
      <c r="A1009" s="22"/>
      <c r="B1009" s="22"/>
      <c r="C1009" s="56"/>
      <c r="D1009" s="56"/>
      <c r="E1009" s="22"/>
      <c r="F1009" s="22"/>
      <c r="G1009" s="22"/>
      <c r="H1009" s="22"/>
      <c r="I1009" s="49"/>
      <c r="J1009" s="50"/>
      <c r="K1009" s="22"/>
      <c r="L1009" s="22"/>
      <c r="M1009" s="22"/>
      <c r="N1009" s="22"/>
      <c r="O1009" s="22"/>
      <c r="P1009" s="46"/>
      <c r="Q1009" s="40"/>
      <c r="R1009" s="41"/>
      <c r="S1009" s="22" t="str">
        <f t="shared" si="73"/>
        <v/>
      </c>
      <c r="T1009" s="41"/>
      <c r="U1009" s="44"/>
      <c r="V1009" s="44"/>
      <c r="W1009" s="46"/>
      <c r="X1009" s="46"/>
      <c r="Y1009" s="46"/>
      <c r="Z1009" s="22"/>
      <c r="AA1009" s="22"/>
      <c r="AB1009" s="22"/>
      <c r="AC1009" s="22"/>
      <c r="AD1009" s="22"/>
      <c r="AE1009" s="22"/>
      <c r="AF1009" s="48" t="str">
        <f t="shared" si="74"/>
        <v/>
      </c>
      <c r="AG1009" s="48" t="str">
        <f t="shared" si="75"/>
        <v/>
      </c>
      <c r="AH1009" s="48" t="str">
        <f t="shared" si="76"/>
        <v/>
      </c>
      <c r="AI1009" s="40" t="str">
        <f t="shared" si="77"/>
        <v/>
      </c>
      <c r="AJ1009" s="40"/>
      <c r="AK1009" s="40"/>
      <c r="AL1009" s="22"/>
    </row>
    <row r="1010" spans="1:38" ht="17.399999999999999">
      <c r="A1010" s="22"/>
      <c r="B1010" s="22"/>
      <c r="C1010" s="56"/>
      <c r="D1010" s="56"/>
      <c r="E1010" s="22"/>
      <c r="F1010" s="22"/>
      <c r="G1010" s="22"/>
      <c r="H1010" s="22"/>
      <c r="I1010" s="49"/>
      <c r="J1010" s="50"/>
      <c r="K1010" s="22"/>
      <c r="L1010" s="22"/>
      <c r="M1010" s="22"/>
      <c r="N1010" s="22"/>
      <c r="O1010" s="22"/>
      <c r="P1010" s="46"/>
      <c r="Q1010" s="40"/>
      <c r="R1010" s="41"/>
      <c r="S1010" s="22" t="str">
        <f t="shared" si="73"/>
        <v/>
      </c>
      <c r="T1010" s="41"/>
      <c r="U1010" s="44"/>
      <c r="V1010" s="44"/>
      <c r="W1010" s="46"/>
      <c r="X1010" s="46"/>
      <c r="Y1010" s="46"/>
      <c r="Z1010" s="22"/>
      <c r="AA1010" s="22"/>
      <c r="AB1010" s="22"/>
      <c r="AC1010" s="22"/>
      <c r="AD1010" s="22"/>
      <c r="AE1010" s="22"/>
      <c r="AF1010" s="48" t="str">
        <f t="shared" si="74"/>
        <v/>
      </c>
      <c r="AG1010" s="48" t="str">
        <f t="shared" si="75"/>
        <v/>
      </c>
      <c r="AH1010" s="48" t="str">
        <f t="shared" si="76"/>
        <v/>
      </c>
      <c r="AI1010" s="40" t="str">
        <f t="shared" si="77"/>
        <v/>
      </c>
      <c r="AJ1010" s="40"/>
      <c r="AK1010" s="40"/>
      <c r="AL1010" s="22"/>
    </row>
    <row r="1011" spans="1:38" ht="17.399999999999999">
      <c r="A1011" s="22"/>
      <c r="B1011" s="22"/>
      <c r="C1011" s="56"/>
      <c r="D1011" s="56"/>
      <c r="E1011" s="22"/>
      <c r="F1011" s="22"/>
      <c r="G1011" s="22"/>
      <c r="H1011" s="22"/>
      <c r="I1011" s="49"/>
      <c r="J1011" s="50"/>
      <c r="K1011" s="22"/>
      <c r="L1011" s="22"/>
      <c r="M1011" s="22"/>
      <c r="N1011" s="22"/>
      <c r="O1011" s="22"/>
      <c r="P1011" s="46"/>
      <c r="Q1011" s="40"/>
      <c r="R1011" s="41"/>
      <c r="S1011" s="22" t="str">
        <f t="shared" si="73"/>
        <v/>
      </c>
      <c r="T1011" s="41"/>
      <c r="U1011" s="44"/>
      <c r="V1011" s="44"/>
      <c r="W1011" s="46"/>
      <c r="X1011" s="46"/>
      <c r="Y1011" s="46"/>
      <c r="Z1011" s="22"/>
      <c r="AA1011" s="22"/>
      <c r="AB1011" s="22"/>
      <c r="AC1011" s="22"/>
      <c r="AD1011" s="22"/>
      <c r="AE1011" s="22"/>
      <c r="AF1011" s="48" t="str">
        <f t="shared" si="74"/>
        <v/>
      </c>
      <c r="AG1011" s="48" t="str">
        <f t="shared" si="75"/>
        <v/>
      </c>
      <c r="AH1011" s="48" t="str">
        <f t="shared" si="76"/>
        <v/>
      </c>
      <c r="AI1011" s="40" t="str">
        <f t="shared" si="77"/>
        <v/>
      </c>
      <c r="AJ1011" s="40"/>
      <c r="AK1011" s="40"/>
      <c r="AL1011" s="22"/>
    </row>
    <row r="1012" spans="1:38" ht="17.399999999999999">
      <c r="A1012" s="22"/>
      <c r="B1012" s="22"/>
      <c r="C1012" s="56"/>
      <c r="D1012" s="56"/>
      <c r="E1012" s="22"/>
      <c r="F1012" s="22"/>
      <c r="G1012" s="22"/>
      <c r="H1012" s="22"/>
      <c r="I1012" s="49"/>
      <c r="J1012" s="50"/>
      <c r="K1012" s="22"/>
      <c r="L1012" s="22"/>
      <c r="M1012" s="22"/>
      <c r="N1012" s="22"/>
      <c r="O1012" s="22"/>
      <c r="P1012" s="46"/>
      <c r="Q1012" s="40"/>
      <c r="R1012" s="41"/>
      <c r="S1012" s="22" t="str">
        <f t="shared" si="73"/>
        <v/>
      </c>
      <c r="T1012" s="41"/>
      <c r="U1012" s="44"/>
      <c r="V1012" s="44"/>
      <c r="W1012" s="46"/>
      <c r="X1012" s="46"/>
      <c r="Y1012" s="46"/>
      <c r="Z1012" s="22"/>
      <c r="AA1012" s="22"/>
      <c r="AB1012" s="22"/>
      <c r="AC1012" s="22"/>
      <c r="AD1012" s="22"/>
      <c r="AE1012" s="22"/>
      <c r="AF1012" s="48" t="str">
        <f t="shared" si="74"/>
        <v/>
      </c>
      <c r="AG1012" s="48" t="str">
        <f t="shared" si="75"/>
        <v/>
      </c>
      <c r="AH1012" s="48" t="str">
        <f t="shared" si="76"/>
        <v/>
      </c>
      <c r="AI1012" s="40" t="str">
        <f t="shared" si="77"/>
        <v/>
      </c>
      <c r="AJ1012" s="40"/>
      <c r="AK1012" s="40"/>
      <c r="AL1012" s="22"/>
    </row>
    <row r="1013" spans="1:38" ht="17.399999999999999">
      <c r="A1013" s="22"/>
      <c r="B1013" s="22"/>
      <c r="C1013" s="56"/>
      <c r="D1013" s="56"/>
      <c r="E1013" s="22"/>
      <c r="F1013" s="22"/>
      <c r="G1013" s="22"/>
      <c r="H1013" s="22"/>
      <c r="I1013" s="49"/>
      <c r="J1013" s="50"/>
      <c r="K1013" s="22"/>
      <c r="L1013" s="22"/>
      <c r="M1013" s="22"/>
      <c r="N1013" s="22"/>
      <c r="O1013" s="22"/>
      <c r="P1013" s="46"/>
      <c r="Q1013" s="40"/>
      <c r="R1013" s="41"/>
      <c r="S1013" s="22" t="str">
        <f t="shared" si="73"/>
        <v/>
      </c>
      <c r="T1013" s="41"/>
      <c r="U1013" s="44"/>
      <c r="V1013" s="44"/>
      <c r="W1013" s="46"/>
      <c r="X1013" s="46"/>
      <c r="Y1013" s="46"/>
      <c r="Z1013" s="22"/>
      <c r="AA1013" s="22"/>
      <c r="AB1013" s="22"/>
      <c r="AC1013" s="22"/>
      <c r="AD1013" s="22"/>
      <c r="AE1013" s="22"/>
      <c r="AF1013" s="48" t="str">
        <f t="shared" si="74"/>
        <v/>
      </c>
      <c r="AG1013" s="48" t="str">
        <f t="shared" si="75"/>
        <v/>
      </c>
      <c r="AH1013" s="48" t="str">
        <f t="shared" si="76"/>
        <v/>
      </c>
      <c r="AI1013" s="40" t="str">
        <f t="shared" si="77"/>
        <v/>
      </c>
      <c r="AJ1013" s="40"/>
      <c r="AK1013" s="40"/>
      <c r="AL1013" s="22"/>
    </row>
    <row r="1014" spans="1:38" ht="17.399999999999999">
      <c r="A1014" s="22"/>
      <c r="B1014" s="22"/>
      <c r="C1014" s="56"/>
      <c r="D1014" s="56"/>
      <c r="E1014" s="22"/>
      <c r="F1014" s="22"/>
      <c r="G1014" s="22"/>
      <c r="H1014" s="22"/>
      <c r="I1014" s="49"/>
      <c r="J1014" s="50"/>
      <c r="K1014" s="22"/>
      <c r="L1014" s="22"/>
      <c r="M1014" s="22"/>
      <c r="N1014" s="22"/>
      <c r="O1014" s="22"/>
      <c r="P1014" s="46"/>
      <c r="Q1014" s="40"/>
      <c r="R1014" s="41"/>
      <c r="S1014" s="22" t="str">
        <f t="shared" si="73"/>
        <v/>
      </c>
      <c r="T1014" s="41"/>
      <c r="U1014" s="44"/>
      <c r="V1014" s="44"/>
      <c r="W1014" s="46"/>
      <c r="X1014" s="46"/>
      <c r="Y1014" s="46"/>
      <c r="Z1014" s="22"/>
      <c r="AA1014" s="22"/>
      <c r="AB1014" s="22"/>
      <c r="AC1014" s="22"/>
      <c r="AD1014" s="22"/>
      <c r="AE1014" s="22"/>
      <c r="AF1014" s="48" t="str">
        <f t="shared" si="74"/>
        <v/>
      </c>
      <c r="AG1014" s="48" t="str">
        <f t="shared" si="75"/>
        <v/>
      </c>
      <c r="AH1014" s="48" t="str">
        <f t="shared" si="76"/>
        <v/>
      </c>
      <c r="AI1014" s="40" t="str">
        <f t="shared" si="77"/>
        <v/>
      </c>
      <c r="AJ1014" s="40"/>
      <c r="AK1014" s="40"/>
      <c r="AL1014" s="22"/>
    </row>
    <row r="1015" spans="1:38" ht="17.399999999999999">
      <c r="A1015" s="22"/>
      <c r="B1015" s="22"/>
      <c r="C1015" s="56"/>
      <c r="D1015" s="56"/>
      <c r="E1015" s="22"/>
      <c r="F1015" s="22"/>
      <c r="G1015" s="22"/>
      <c r="H1015" s="22"/>
      <c r="I1015" s="49"/>
      <c r="J1015" s="50"/>
      <c r="K1015" s="22"/>
      <c r="L1015" s="22"/>
      <c r="M1015" s="22"/>
      <c r="N1015" s="22"/>
      <c r="O1015" s="22"/>
      <c r="P1015" s="46"/>
      <c r="Q1015" s="40"/>
      <c r="R1015" s="41"/>
      <c r="S1015" s="22" t="str">
        <f t="shared" si="73"/>
        <v/>
      </c>
      <c r="T1015" s="41"/>
      <c r="U1015" s="44"/>
      <c r="V1015" s="44"/>
      <c r="W1015" s="46"/>
      <c r="X1015" s="46"/>
      <c r="Y1015" s="46"/>
      <c r="Z1015" s="22"/>
      <c r="AA1015" s="22"/>
      <c r="AB1015" s="22"/>
      <c r="AC1015" s="22"/>
      <c r="AD1015" s="22"/>
      <c r="AE1015" s="22"/>
      <c r="AF1015" s="48" t="str">
        <f t="shared" si="74"/>
        <v/>
      </c>
      <c r="AG1015" s="48" t="str">
        <f t="shared" si="75"/>
        <v/>
      </c>
      <c r="AH1015" s="48" t="str">
        <f t="shared" si="76"/>
        <v/>
      </c>
      <c r="AI1015" s="40" t="str">
        <f t="shared" si="77"/>
        <v/>
      </c>
      <c r="AJ1015" s="40"/>
      <c r="AK1015" s="40"/>
      <c r="AL1015" s="22"/>
    </row>
    <row r="1016" spans="1:38" ht="17.399999999999999">
      <c r="A1016" s="22"/>
      <c r="B1016" s="22"/>
      <c r="C1016" s="56"/>
      <c r="D1016" s="56"/>
      <c r="E1016" s="22"/>
      <c r="F1016" s="22"/>
      <c r="G1016" s="22"/>
      <c r="H1016" s="22"/>
      <c r="I1016" s="49"/>
      <c r="J1016" s="50"/>
      <c r="K1016" s="22"/>
      <c r="L1016" s="22"/>
      <c r="M1016" s="22"/>
      <c r="N1016" s="22"/>
      <c r="O1016" s="22"/>
      <c r="P1016" s="46"/>
      <c r="Q1016" s="40"/>
      <c r="R1016" s="41"/>
      <c r="S1016" s="22" t="str">
        <f t="shared" si="73"/>
        <v/>
      </c>
      <c r="T1016" s="41"/>
      <c r="U1016" s="44"/>
      <c r="V1016" s="44"/>
      <c r="W1016" s="46"/>
      <c r="X1016" s="46"/>
      <c r="Y1016" s="46"/>
      <c r="Z1016" s="22"/>
      <c r="AA1016" s="22"/>
      <c r="AB1016" s="22"/>
      <c r="AC1016" s="22"/>
      <c r="AD1016" s="22"/>
      <c r="AE1016" s="22"/>
      <c r="AF1016" s="48" t="str">
        <f t="shared" si="74"/>
        <v/>
      </c>
      <c r="AG1016" s="48" t="str">
        <f t="shared" si="75"/>
        <v/>
      </c>
      <c r="AH1016" s="48" t="str">
        <f t="shared" si="76"/>
        <v/>
      </c>
      <c r="AI1016" s="40" t="str">
        <f t="shared" si="77"/>
        <v/>
      </c>
      <c r="AJ1016" s="40"/>
      <c r="AK1016" s="40"/>
      <c r="AL1016" s="22"/>
    </row>
    <row r="1017" spans="1:38" ht="17.399999999999999">
      <c r="A1017" s="22"/>
      <c r="B1017" s="22"/>
      <c r="C1017" s="56"/>
      <c r="D1017" s="56"/>
      <c r="E1017" s="22"/>
      <c r="F1017" s="22"/>
      <c r="G1017" s="22"/>
      <c r="H1017" s="22"/>
      <c r="I1017" s="49"/>
      <c r="J1017" s="50"/>
      <c r="K1017" s="22"/>
      <c r="L1017" s="22"/>
      <c r="M1017" s="22"/>
      <c r="N1017" s="22"/>
      <c r="O1017" s="22"/>
      <c r="P1017" s="46"/>
      <c r="Q1017" s="40"/>
      <c r="R1017" s="41"/>
      <c r="S1017" s="22" t="str">
        <f t="shared" si="73"/>
        <v/>
      </c>
      <c r="T1017" s="41"/>
      <c r="U1017" s="44"/>
      <c r="V1017" s="44"/>
      <c r="W1017" s="46"/>
      <c r="X1017" s="46"/>
      <c r="Y1017" s="46"/>
      <c r="Z1017" s="22"/>
      <c r="AA1017" s="22"/>
      <c r="AB1017" s="22"/>
      <c r="AC1017" s="22"/>
      <c r="AD1017" s="22"/>
      <c r="AE1017" s="22"/>
      <c r="AF1017" s="48" t="str">
        <f t="shared" si="74"/>
        <v/>
      </c>
      <c r="AG1017" s="48" t="str">
        <f t="shared" si="75"/>
        <v/>
      </c>
      <c r="AH1017" s="48" t="str">
        <f t="shared" si="76"/>
        <v/>
      </c>
      <c r="AI1017" s="40" t="str">
        <f t="shared" si="77"/>
        <v/>
      </c>
      <c r="AJ1017" s="40"/>
      <c r="AK1017" s="40"/>
      <c r="AL1017" s="22"/>
    </row>
    <row r="1018" spans="1:38" ht="17.399999999999999">
      <c r="A1018" s="22"/>
      <c r="B1018" s="22"/>
      <c r="C1018" s="56"/>
      <c r="D1018" s="56"/>
      <c r="E1018" s="22"/>
      <c r="F1018" s="22"/>
      <c r="G1018" s="22"/>
      <c r="H1018" s="22"/>
      <c r="I1018" s="49"/>
      <c r="J1018" s="50"/>
      <c r="K1018" s="22"/>
      <c r="L1018" s="22"/>
      <c r="M1018" s="22"/>
      <c r="N1018" s="22"/>
      <c r="O1018" s="22"/>
      <c r="P1018" s="46"/>
      <c r="Q1018" s="40"/>
      <c r="R1018" s="41"/>
      <c r="S1018" s="22" t="str">
        <f t="shared" si="73"/>
        <v/>
      </c>
      <c r="T1018" s="41"/>
      <c r="U1018" s="44"/>
      <c r="V1018" s="44"/>
      <c r="W1018" s="46"/>
      <c r="X1018" s="46"/>
      <c r="Y1018" s="46"/>
      <c r="Z1018" s="22"/>
      <c r="AA1018" s="22"/>
      <c r="AB1018" s="22"/>
      <c r="AC1018" s="22"/>
      <c r="AD1018" s="22"/>
      <c r="AE1018" s="22"/>
      <c r="AF1018" s="48" t="str">
        <f t="shared" si="74"/>
        <v/>
      </c>
      <c r="AG1018" s="48" t="str">
        <f t="shared" si="75"/>
        <v/>
      </c>
      <c r="AH1018" s="48" t="str">
        <f t="shared" si="76"/>
        <v/>
      </c>
      <c r="AI1018" s="40" t="str">
        <f t="shared" si="77"/>
        <v/>
      </c>
      <c r="AJ1018" s="40"/>
      <c r="AK1018" s="40"/>
      <c r="AL1018" s="22"/>
    </row>
    <row r="1019" spans="1:38" ht="17.399999999999999">
      <c r="A1019" s="22"/>
      <c r="B1019" s="22"/>
      <c r="C1019" s="56"/>
      <c r="D1019" s="56"/>
      <c r="E1019" s="22"/>
      <c r="F1019" s="22"/>
      <c r="G1019" s="22"/>
      <c r="H1019" s="22"/>
      <c r="I1019" s="49"/>
      <c r="J1019" s="50"/>
      <c r="K1019" s="22"/>
      <c r="L1019" s="22"/>
      <c r="M1019" s="22"/>
      <c r="N1019" s="22"/>
      <c r="O1019" s="22"/>
      <c r="P1019" s="46"/>
      <c r="Q1019" s="40"/>
      <c r="R1019" s="41"/>
      <c r="S1019" s="22" t="str">
        <f t="shared" si="73"/>
        <v/>
      </c>
      <c r="T1019" s="41"/>
      <c r="U1019" s="44"/>
      <c r="V1019" s="44"/>
      <c r="W1019" s="46"/>
      <c r="X1019" s="46"/>
      <c r="Y1019" s="46"/>
      <c r="Z1019" s="22"/>
      <c r="AA1019" s="22"/>
      <c r="AB1019" s="22"/>
      <c r="AC1019" s="22"/>
      <c r="AD1019" s="22"/>
      <c r="AE1019" s="22"/>
      <c r="AF1019" s="48" t="str">
        <f t="shared" si="74"/>
        <v/>
      </c>
      <c r="AG1019" s="48" t="str">
        <f t="shared" si="75"/>
        <v/>
      </c>
      <c r="AH1019" s="48" t="str">
        <f t="shared" si="76"/>
        <v/>
      </c>
      <c r="AI1019" s="40" t="str">
        <f t="shared" si="77"/>
        <v/>
      </c>
      <c r="AJ1019" s="40"/>
      <c r="AK1019" s="40"/>
      <c r="AL1019" s="22"/>
    </row>
    <row r="1020" spans="1:38" ht="17.399999999999999">
      <c r="A1020" s="22"/>
      <c r="B1020" s="22"/>
      <c r="C1020" s="56"/>
      <c r="D1020" s="56"/>
      <c r="E1020" s="22"/>
      <c r="F1020" s="22"/>
      <c r="G1020" s="22"/>
      <c r="H1020" s="22"/>
      <c r="I1020" s="49"/>
      <c r="J1020" s="50"/>
      <c r="K1020" s="22"/>
      <c r="L1020" s="22"/>
      <c r="M1020" s="22"/>
      <c r="N1020" s="22"/>
      <c r="O1020" s="22"/>
      <c r="P1020" s="46"/>
      <c r="Q1020" s="40"/>
      <c r="R1020" s="41"/>
      <c r="S1020" s="22" t="str">
        <f t="shared" si="73"/>
        <v/>
      </c>
      <c r="T1020" s="41"/>
      <c r="U1020" s="44"/>
      <c r="V1020" s="44"/>
      <c r="W1020" s="46"/>
      <c r="X1020" s="46"/>
      <c r="Y1020" s="46"/>
      <c r="Z1020" s="22"/>
      <c r="AA1020" s="22"/>
      <c r="AB1020" s="22"/>
      <c r="AC1020" s="22"/>
      <c r="AD1020" s="22"/>
      <c r="AE1020" s="22"/>
      <c r="AF1020" s="48" t="str">
        <f t="shared" si="74"/>
        <v/>
      </c>
      <c r="AG1020" s="48" t="str">
        <f t="shared" si="75"/>
        <v/>
      </c>
      <c r="AH1020" s="48" t="str">
        <f t="shared" si="76"/>
        <v/>
      </c>
      <c r="AI1020" s="40" t="str">
        <f t="shared" si="77"/>
        <v/>
      </c>
      <c r="AJ1020" s="40"/>
      <c r="AK1020" s="40"/>
      <c r="AL1020" s="22"/>
    </row>
    <row r="1021" spans="1:38" ht="17.399999999999999">
      <c r="A1021" s="22"/>
      <c r="B1021" s="22"/>
      <c r="C1021" s="56"/>
      <c r="D1021" s="56"/>
      <c r="E1021" s="22"/>
      <c r="F1021" s="22"/>
      <c r="G1021" s="22"/>
      <c r="H1021" s="22"/>
      <c r="I1021" s="49"/>
      <c r="J1021" s="50"/>
      <c r="K1021" s="22"/>
      <c r="L1021" s="22"/>
      <c r="M1021" s="22"/>
      <c r="N1021" s="22"/>
      <c r="O1021" s="22"/>
      <c r="P1021" s="46"/>
      <c r="Q1021" s="40"/>
      <c r="R1021" s="41"/>
      <c r="S1021" s="22" t="str">
        <f t="shared" si="73"/>
        <v/>
      </c>
      <c r="T1021" s="41"/>
      <c r="U1021" s="44"/>
      <c r="V1021" s="44"/>
      <c r="W1021" s="46"/>
      <c r="X1021" s="46"/>
      <c r="Y1021" s="46"/>
      <c r="Z1021" s="22"/>
      <c r="AA1021" s="22"/>
      <c r="AB1021" s="22"/>
      <c r="AC1021" s="22"/>
      <c r="AD1021" s="22"/>
      <c r="AE1021" s="22"/>
      <c r="AF1021" s="48" t="str">
        <f t="shared" si="74"/>
        <v/>
      </c>
      <c r="AG1021" s="48" t="str">
        <f t="shared" si="75"/>
        <v/>
      </c>
      <c r="AH1021" s="48" t="str">
        <f t="shared" si="76"/>
        <v/>
      </c>
      <c r="AI1021" s="40" t="str">
        <f t="shared" si="77"/>
        <v/>
      </c>
      <c r="AJ1021" s="40"/>
      <c r="AK1021" s="40"/>
      <c r="AL1021" s="22"/>
    </row>
    <row r="1022" spans="1:38" ht="17.399999999999999">
      <c r="A1022" s="22"/>
      <c r="B1022" s="22"/>
      <c r="C1022" s="56"/>
      <c r="D1022" s="56"/>
      <c r="E1022" s="22"/>
      <c r="F1022" s="22"/>
      <c r="G1022" s="22"/>
      <c r="H1022" s="22"/>
      <c r="I1022" s="49"/>
      <c r="J1022" s="50"/>
      <c r="K1022" s="22"/>
      <c r="L1022" s="22"/>
      <c r="M1022" s="22"/>
      <c r="N1022" s="22"/>
      <c r="O1022" s="22"/>
      <c r="P1022" s="46"/>
      <c r="Q1022" s="40"/>
      <c r="R1022" s="41"/>
      <c r="S1022" s="22" t="str">
        <f t="shared" si="73"/>
        <v/>
      </c>
      <c r="T1022" s="41"/>
      <c r="U1022" s="44"/>
      <c r="V1022" s="44"/>
      <c r="W1022" s="46"/>
      <c r="X1022" s="46"/>
      <c r="Y1022" s="46"/>
      <c r="Z1022" s="22"/>
      <c r="AA1022" s="22"/>
      <c r="AB1022" s="22"/>
      <c r="AC1022" s="22"/>
      <c r="AD1022" s="22"/>
      <c r="AE1022" s="22"/>
      <c r="AF1022" s="48" t="str">
        <f t="shared" si="74"/>
        <v/>
      </c>
      <c r="AG1022" s="48" t="str">
        <f t="shared" si="75"/>
        <v/>
      </c>
      <c r="AH1022" s="48" t="str">
        <f t="shared" si="76"/>
        <v/>
      </c>
      <c r="AI1022" s="40" t="str">
        <f t="shared" si="77"/>
        <v/>
      </c>
      <c r="AJ1022" s="40"/>
      <c r="AK1022" s="40"/>
      <c r="AL1022" s="22"/>
    </row>
    <row r="1023" spans="1:38" ht="17.399999999999999">
      <c r="A1023" s="22"/>
      <c r="B1023" s="22"/>
      <c r="C1023" s="56"/>
      <c r="D1023" s="56"/>
      <c r="E1023" s="22"/>
      <c r="F1023" s="22"/>
      <c r="G1023" s="22"/>
      <c r="H1023" s="22"/>
      <c r="I1023" s="49"/>
      <c r="J1023" s="50"/>
      <c r="K1023" s="22"/>
      <c r="L1023" s="22"/>
      <c r="M1023" s="22"/>
      <c r="N1023" s="22"/>
      <c r="O1023" s="22"/>
      <c r="P1023" s="46"/>
      <c r="Q1023" s="40"/>
      <c r="R1023" s="41"/>
      <c r="S1023" s="22" t="str">
        <f t="shared" si="73"/>
        <v/>
      </c>
      <c r="T1023" s="41"/>
      <c r="U1023" s="44"/>
      <c r="V1023" s="44"/>
      <c r="W1023" s="46"/>
      <c r="X1023" s="46"/>
      <c r="Y1023" s="46"/>
      <c r="Z1023" s="22"/>
      <c r="AA1023" s="22"/>
      <c r="AB1023" s="22"/>
      <c r="AC1023" s="22"/>
      <c r="AD1023" s="22"/>
      <c r="AE1023" s="22"/>
      <c r="AF1023" s="48" t="str">
        <f t="shared" si="74"/>
        <v/>
      </c>
      <c r="AG1023" s="48" t="str">
        <f t="shared" si="75"/>
        <v/>
      </c>
      <c r="AH1023" s="48" t="str">
        <f t="shared" si="76"/>
        <v/>
      </c>
      <c r="AI1023" s="40" t="str">
        <f t="shared" si="77"/>
        <v/>
      </c>
      <c r="AJ1023" s="40"/>
      <c r="AK1023" s="40"/>
      <c r="AL1023" s="22"/>
    </row>
    <row r="1024" spans="1:38" ht="17.399999999999999">
      <c r="A1024" s="22"/>
      <c r="B1024" s="22"/>
      <c r="C1024" s="56"/>
      <c r="D1024" s="56"/>
      <c r="E1024" s="22"/>
      <c r="F1024" s="22"/>
      <c r="G1024" s="22"/>
      <c r="H1024" s="22"/>
      <c r="I1024" s="49"/>
      <c r="J1024" s="50"/>
      <c r="K1024" s="22"/>
      <c r="L1024" s="22"/>
      <c r="M1024" s="22"/>
      <c r="N1024" s="22"/>
      <c r="O1024" s="22"/>
      <c r="P1024" s="46"/>
      <c r="Q1024" s="40"/>
      <c r="R1024" s="41"/>
      <c r="S1024" s="22" t="str">
        <f t="shared" si="73"/>
        <v/>
      </c>
      <c r="T1024" s="41"/>
      <c r="U1024" s="44"/>
      <c r="V1024" s="44"/>
      <c r="W1024" s="46"/>
      <c r="X1024" s="46"/>
      <c r="Y1024" s="46"/>
      <c r="Z1024" s="22"/>
      <c r="AA1024" s="22"/>
      <c r="AB1024" s="22"/>
      <c r="AC1024" s="22"/>
      <c r="AD1024" s="22"/>
      <c r="AE1024" s="22"/>
      <c r="AF1024" s="48" t="str">
        <f t="shared" si="74"/>
        <v/>
      </c>
      <c r="AG1024" s="48" t="str">
        <f t="shared" si="75"/>
        <v/>
      </c>
      <c r="AH1024" s="48" t="str">
        <f t="shared" si="76"/>
        <v/>
      </c>
      <c r="AI1024" s="40" t="str">
        <f t="shared" si="77"/>
        <v/>
      </c>
      <c r="AJ1024" s="40"/>
      <c r="AK1024" s="40"/>
      <c r="AL1024" s="22"/>
    </row>
    <row r="1025" spans="1:38" ht="17.399999999999999">
      <c r="A1025" s="22"/>
      <c r="B1025" s="22"/>
      <c r="C1025" s="56"/>
      <c r="D1025" s="56"/>
      <c r="E1025" s="22"/>
      <c r="F1025" s="22"/>
      <c r="G1025" s="22"/>
      <c r="H1025" s="22"/>
      <c r="I1025" s="49"/>
      <c r="J1025" s="50"/>
      <c r="K1025" s="22"/>
      <c r="L1025" s="22"/>
      <c r="M1025" s="22"/>
      <c r="N1025" s="22"/>
      <c r="O1025" s="22"/>
      <c r="P1025" s="46"/>
      <c r="Q1025" s="40"/>
      <c r="R1025" s="41"/>
      <c r="S1025" s="22" t="str">
        <f t="shared" si="73"/>
        <v/>
      </c>
      <c r="T1025" s="41"/>
      <c r="U1025" s="44"/>
      <c r="V1025" s="44"/>
      <c r="W1025" s="46"/>
      <c r="X1025" s="46"/>
      <c r="Y1025" s="46"/>
      <c r="Z1025" s="22"/>
      <c r="AA1025" s="22"/>
      <c r="AB1025" s="22"/>
      <c r="AC1025" s="22"/>
      <c r="AD1025" s="22"/>
      <c r="AE1025" s="22"/>
      <c r="AF1025" s="48" t="str">
        <f t="shared" si="74"/>
        <v/>
      </c>
      <c r="AG1025" s="48" t="str">
        <f t="shared" si="75"/>
        <v/>
      </c>
      <c r="AH1025" s="48" t="str">
        <f t="shared" si="76"/>
        <v/>
      </c>
      <c r="AI1025" s="40" t="str">
        <f t="shared" si="77"/>
        <v/>
      </c>
      <c r="AJ1025" s="40"/>
      <c r="AK1025" s="40"/>
      <c r="AL1025" s="22"/>
    </row>
    <row r="1026" spans="1:38" ht="17.399999999999999">
      <c r="A1026" s="22"/>
      <c r="B1026" s="22"/>
      <c r="C1026" s="56"/>
      <c r="D1026" s="56"/>
      <c r="E1026" s="22"/>
      <c r="F1026" s="22"/>
      <c r="G1026" s="22"/>
      <c r="H1026" s="22"/>
      <c r="I1026" s="49"/>
      <c r="J1026" s="50"/>
      <c r="K1026" s="22"/>
      <c r="L1026" s="22"/>
      <c r="M1026" s="22"/>
      <c r="N1026" s="22"/>
      <c r="O1026" s="22"/>
      <c r="P1026" s="46"/>
      <c r="Q1026" s="40"/>
      <c r="R1026" s="41"/>
      <c r="S1026" s="22" t="str">
        <f t="shared" si="73"/>
        <v/>
      </c>
      <c r="T1026" s="41"/>
      <c r="U1026" s="44"/>
      <c r="V1026" s="44"/>
      <c r="W1026" s="46"/>
      <c r="X1026" s="46"/>
      <c r="Y1026" s="46"/>
      <c r="Z1026" s="22"/>
      <c r="AA1026" s="22"/>
      <c r="AB1026" s="22"/>
      <c r="AC1026" s="22"/>
      <c r="AD1026" s="22"/>
      <c r="AE1026" s="22"/>
      <c r="AF1026" s="48" t="str">
        <f t="shared" si="74"/>
        <v/>
      </c>
      <c r="AG1026" s="48" t="str">
        <f t="shared" si="75"/>
        <v/>
      </c>
      <c r="AH1026" s="48" t="str">
        <f t="shared" si="76"/>
        <v/>
      </c>
      <c r="AI1026" s="40" t="str">
        <f t="shared" si="77"/>
        <v/>
      </c>
      <c r="AJ1026" s="40"/>
      <c r="AK1026" s="40"/>
      <c r="AL1026" s="22"/>
    </row>
    <row r="1027" spans="1:38" ht="17.399999999999999">
      <c r="A1027" s="22"/>
      <c r="B1027" s="22"/>
      <c r="C1027" s="56"/>
      <c r="D1027" s="56"/>
      <c r="E1027" s="22"/>
      <c r="F1027" s="22"/>
      <c r="G1027" s="22"/>
      <c r="H1027" s="22"/>
      <c r="I1027" s="49"/>
      <c r="J1027" s="50"/>
      <c r="K1027" s="22"/>
      <c r="L1027" s="22"/>
      <c r="M1027" s="22"/>
      <c r="N1027" s="22"/>
      <c r="O1027" s="22"/>
      <c r="P1027" s="46"/>
      <c r="Q1027" s="40"/>
      <c r="R1027" s="41"/>
      <c r="S1027" s="22" t="str">
        <f t="shared" si="73"/>
        <v/>
      </c>
      <c r="T1027" s="41"/>
      <c r="U1027" s="44"/>
      <c r="V1027" s="44"/>
      <c r="W1027" s="46"/>
      <c r="X1027" s="46"/>
      <c r="Y1027" s="46"/>
      <c r="Z1027" s="22"/>
      <c r="AA1027" s="22"/>
      <c r="AB1027" s="22"/>
      <c r="AC1027" s="22"/>
      <c r="AD1027" s="22"/>
      <c r="AE1027" s="22"/>
      <c r="AF1027" s="48" t="str">
        <f t="shared" si="74"/>
        <v/>
      </c>
      <c r="AG1027" s="48" t="str">
        <f t="shared" si="75"/>
        <v/>
      </c>
      <c r="AH1027" s="48" t="str">
        <f t="shared" si="76"/>
        <v/>
      </c>
      <c r="AI1027" s="40" t="str">
        <f t="shared" si="77"/>
        <v/>
      </c>
      <c r="AJ1027" s="40"/>
      <c r="AK1027" s="40"/>
      <c r="AL1027" s="22"/>
    </row>
    <row r="1028" spans="1:38" ht="17.399999999999999">
      <c r="A1028" s="22"/>
      <c r="B1028" s="22"/>
      <c r="C1028" s="56"/>
      <c r="D1028" s="56"/>
      <c r="E1028" s="22"/>
      <c r="F1028" s="22"/>
      <c r="G1028" s="22"/>
      <c r="H1028" s="22"/>
      <c r="I1028" s="49"/>
      <c r="J1028" s="50"/>
      <c r="K1028" s="22"/>
      <c r="L1028" s="22"/>
      <c r="M1028" s="22"/>
      <c r="N1028" s="22"/>
      <c r="O1028" s="22"/>
      <c r="P1028" s="46"/>
      <c r="Q1028" s="40"/>
      <c r="R1028" s="41"/>
      <c r="S1028" s="22" t="str">
        <f t="shared" si="73"/>
        <v/>
      </c>
      <c r="T1028" s="41"/>
      <c r="U1028" s="44"/>
      <c r="V1028" s="44"/>
      <c r="W1028" s="46"/>
      <c r="X1028" s="46"/>
      <c r="Y1028" s="46"/>
      <c r="Z1028" s="22"/>
      <c r="AA1028" s="22"/>
      <c r="AB1028" s="22"/>
      <c r="AC1028" s="22"/>
      <c r="AD1028" s="22"/>
      <c r="AE1028" s="22"/>
      <c r="AF1028" s="48" t="str">
        <f t="shared" si="74"/>
        <v/>
      </c>
      <c r="AG1028" s="48" t="str">
        <f t="shared" si="75"/>
        <v/>
      </c>
      <c r="AH1028" s="48" t="str">
        <f t="shared" si="76"/>
        <v/>
      </c>
      <c r="AI1028" s="40" t="str">
        <f t="shared" si="77"/>
        <v/>
      </c>
      <c r="AJ1028" s="40"/>
      <c r="AK1028" s="40"/>
      <c r="AL1028" s="22"/>
    </row>
    <row r="1029" spans="1:38" ht="17.399999999999999">
      <c r="A1029" s="22"/>
      <c r="B1029" s="22"/>
      <c r="C1029" s="56"/>
      <c r="D1029" s="56"/>
      <c r="E1029" s="22"/>
      <c r="F1029" s="22"/>
      <c r="G1029" s="22"/>
      <c r="H1029" s="22"/>
      <c r="I1029" s="49"/>
      <c r="J1029" s="50"/>
      <c r="K1029" s="22"/>
      <c r="L1029" s="22"/>
      <c r="M1029" s="22"/>
      <c r="N1029" s="22"/>
      <c r="O1029" s="22"/>
      <c r="P1029" s="46"/>
      <c r="Q1029" s="40"/>
      <c r="R1029" s="41"/>
      <c r="S1029" s="22" t="str">
        <f t="shared" si="73"/>
        <v/>
      </c>
      <c r="T1029" s="41"/>
      <c r="U1029" s="44"/>
      <c r="V1029" s="44"/>
      <c r="W1029" s="46"/>
      <c r="X1029" s="46"/>
      <c r="Y1029" s="46"/>
      <c r="Z1029" s="22"/>
      <c r="AA1029" s="22"/>
      <c r="AB1029" s="22"/>
      <c r="AC1029" s="22"/>
      <c r="AD1029" s="22"/>
      <c r="AE1029" s="22"/>
      <c r="AF1029" s="48" t="str">
        <f t="shared" si="74"/>
        <v/>
      </c>
      <c r="AG1029" s="48" t="str">
        <f t="shared" si="75"/>
        <v/>
      </c>
      <c r="AH1029" s="48" t="str">
        <f t="shared" si="76"/>
        <v/>
      </c>
      <c r="AI1029" s="40" t="str">
        <f t="shared" si="77"/>
        <v/>
      </c>
      <c r="AJ1029" s="40"/>
      <c r="AK1029" s="40"/>
      <c r="AL1029" s="22"/>
    </row>
    <row r="1030" spans="1:38" ht="17.399999999999999">
      <c r="A1030" s="22"/>
      <c r="B1030" s="22"/>
      <c r="C1030" s="56"/>
      <c r="D1030" s="56"/>
      <c r="E1030" s="22"/>
      <c r="F1030" s="22"/>
      <c r="G1030" s="22"/>
      <c r="H1030" s="22"/>
      <c r="I1030" s="49"/>
      <c r="J1030" s="50"/>
      <c r="K1030" s="22"/>
      <c r="L1030" s="22"/>
      <c r="M1030" s="22"/>
      <c r="N1030" s="22"/>
      <c r="O1030" s="22"/>
      <c r="P1030" s="46"/>
      <c r="Q1030" s="40"/>
      <c r="R1030" s="41"/>
      <c r="S1030" s="22" t="str">
        <f t="shared" si="73"/>
        <v/>
      </c>
      <c r="T1030" s="41"/>
      <c r="U1030" s="44"/>
      <c r="V1030" s="44"/>
      <c r="W1030" s="46"/>
      <c r="X1030" s="46"/>
      <c r="Y1030" s="46"/>
      <c r="Z1030" s="22"/>
      <c r="AA1030" s="22"/>
      <c r="AB1030" s="22"/>
      <c r="AC1030" s="22"/>
      <c r="AD1030" s="22"/>
      <c r="AE1030" s="22"/>
      <c r="AF1030" s="48" t="str">
        <f t="shared" si="74"/>
        <v/>
      </c>
      <c r="AG1030" s="48" t="str">
        <f t="shared" si="75"/>
        <v/>
      </c>
      <c r="AH1030" s="48" t="str">
        <f t="shared" si="76"/>
        <v/>
      </c>
      <c r="AI1030" s="40" t="str">
        <f t="shared" si="77"/>
        <v/>
      </c>
      <c r="AJ1030" s="40"/>
      <c r="AK1030" s="40"/>
      <c r="AL1030" s="22"/>
    </row>
    <row r="1031" spans="1:38" ht="17.399999999999999">
      <c r="A1031" s="22"/>
      <c r="B1031" s="22"/>
      <c r="C1031" s="56"/>
      <c r="D1031" s="56"/>
      <c r="E1031" s="22"/>
      <c r="F1031" s="22"/>
      <c r="G1031" s="22"/>
      <c r="H1031" s="22"/>
      <c r="I1031" s="49"/>
      <c r="J1031" s="50"/>
      <c r="K1031" s="22"/>
      <c r="L1031" s="22"/>
      <c r="M1031" s="22"/>
      <c r="N1031" s="22"/>
      <c r="O1031" s="22"/>
      <c r="P1031" s="46"/>
      <c r="Q1031" s="40"/>
      <c r="R1031" s="41"/>
      <c r="S1031" s="22" t="str">
        <f t="shared" si="73"/>
        <v/>
      </c>
      <c r="T1031" s="41"/>
      <c r="U1031" s="44"/>
      <c r="V1031" s="44"/>
      <c r="W1031" s="46"/>
      <c r="X1031" s="46"/>
      <c r="Y1031" s="46"/>
      <c r="Z1031" s="22"/>
      <c r="AA1031" s="22"/>
      <c r="AB1031" s="22"/>
      <c r="AC1031" s="22"/>
      <c r="AD1031" s="22"/>
      <c r="AE1031" s="22"/>
      <c r="AF1031" s="48" t="str">
        <f t="shared" si="74"/>
        <v/>
      </c>
      <c r="AG1031" s="48" t="str">
        <f t="shared" si="75"/>
        <v/>
      </c>
      <c r="AH1031" s="48" t="str">
        <f t="shared" si="76"/>
        <v/>
      </c>
      <c r="AI1031" s="40" t="str">
        <f t="shared" si="77"/>
        <v/>
      </c>
      <c r="AJ1031" s="40"/>
      <c r="AK1031" s="40"/>
      <c r="AL1031" s="22"/>
    </row>
    <row r="1032" spans="1:38" ht="17.399999999999999">
      <c r="A1032" s="22"/>
      <c r="B1032" s="22"/>
      <c r="C1032" s="56"/>
      <c r="D1032" s="56"/>
      <c r="E1032" s="22"/>
      <c r="F1032" s="22"/>
      <c r="G1032" s="22"/>
      <c r="H1032" s="22"/>
      <c r="I1032" s="49"/>
      <c r="J1032" s="50"/>
      <c r="K1032" s="22"/>
      <c r="L1032" s="22"/>
      <c r="M1032" s="22"/>
      <c r="N1032" s="22"/>
      <c r="O1032" s="22"/>
      <c r="P1032" s="46"/>
      <c r="Q1032" s="40"/>
      <c r="R1032" s="41"/>
      <c r="S1032" s="22" t="str">
        <f t="shared" si="73"/>
        <v/>
      </c>
      <c r="T1032" s="41"/>
      <c r="U1032" s="44"/>
      <c r="V1032" s="44"/>
      <c r="W1032" s="46"/>
      <c r="X1032" s="46"/>
      <c r="Y1032" s="46"/>
      <c r="Z1032" s="22"/>
      <c r="AA1032" s="22"/>
      <c r="AB1032" s="22"/>
      <c r="AC1032" s="22"/>
      <c r="AD1032" s="22"/>
      <c r="AE1032" s="22"/>
      <c r="AF1032" s="48" t="str">
        <f t="shared" si="74"/>
        <v/>
      </c>
      <c r="AG1032" s="48" t="str">
        <f t="shared" si="75"/>
        <v/>
      </c>
      <c r="AH1032" s="48" t="str">
        <f t="shared" si="76"/>
        <v/>
      </c>
      <c r="AI1032" s="40" t="str">
        <f t="shared" si="77"/>
        <v/>
      </c>
      <c r="AJ1032" s="40"/>
      <c r="AK1032" s="40"/>
      <c r="AL1032" s="22"/>
    </row>
    <row r="1033" spans="1:38" ht="17.399999999999999">
      <c r="A1033" s="22"/>
      <c r="B1033" s="22"/>
      <c r="C1033" s="56"/>
      <c r="D1033" s="56"/>
      <c r="E1033" s="22"/>
      <c r="F1033" s="22"/>
      <c r="G1033" s="22"/>
      <c r="H1033" s="22"/>
      <c r="I1033" s="49"/>
      <c r="J1033" s="50"/>
      <c r="K1033" s="22"/>
      <c r="L1033" s="22"/>
      <c r="M1033" s="22"/>
      <c r="N1033" s="22"/>
      <c r="O1033" s="22"/>
      <c r="P1033" s="46"/>
      <c r="Q1033" s="40"/>
      <c r="R1033" s="41"/>
      <c r="S1033" s="22" t="str">
        <f t="shared" si="73"/>
        <v/>
      </c>
      <c r="T1033" s="41"/>
      <c r="U1033" s="44"/>
      <c r="V1033" s="44"/>
      <c r="W1033" s="46"/>
      <c r="X1033" s="46"/>
      <c r="Y1033" s="46"/>
      <c r="Z1033" s="22"/>
      <c r="AA1033" s="22"/>
      <c r="AB1033" s="22"/>
      <c r="AC1033" s="22"/>
      <c r="AD1033" s="22"/>
      <c r="AE1033" s="22"/>
      <c r="AF1033" s="48" t="str">
        <f t="shared" si="74"/>
        <v/>
      </c>
      <c r="AG1033" s="48" t="str">
        <f t="shared" si="75"/>
        <v/>
      </c>
      <c r="AH1033" s="48" t="str">
        <f t="shared" si="76"/>
        <v/>
      </c>
      <c r="AI1033" s="40" t="str">
        <f t="shared" si="77"/>
        <v/>
      </c>
      <c r="AJ1033" s="40"/>
      <c r="AK1033" s="40"/>
      <c r="AL1033" s="22"/>
    </row>
    <row r="1034" spans="1:38" ht="17.399999999999999">
      <c r="A1034" s="22"/>
      <c r="B1034" s="22"/>
      <c r="C1034" s="56"/>
      <c r="D1034" s="56"/>
      <c r="E1034" s="22"/>
      <c r="F1034" s="22"/>
      <c r="G1034" s="22"/>
      <c r="H1034" s="22"/>
      <c r="I1034" s="49"/>
      <c r="J1034" s="50"/>
      <c r="K1034" s="22"/>
      <c r="L1034" s="22"/>
      <c r="M1034" s="22"/>
      <c r="N1034" s="22"/>
      <c r="O1034" s="22"/>
      <c r="P1034" s="46"/>
      <c r="Q1034" s="40"/>
      <c r="R1034" s="41"/>
      <c r="S1034" s="22" t="str">
        <f t="shared" si="73"/>
        <v/>
      </c>
      <c r="T1034" s="41"/>
      <c r="U1034" s="44"/>
      <c r="V1034" s="44"/>
      <c r="W1034" s="46"/>
      <c r="X1034" s="46"/>
      <c r="Y1034" s="46"/>
      <c r="Z1034" s="22"/>
      <c r="AA1034" s="22"/>
      <c r="AB1034" s="22"/>
      <c r="AC1034" s="22"/>
      <c r="AD1034" s="22"/>
      <c r="AE1034" s="22"/>
      <c r="AF1034" s="48" t="str">
        <f t="shared" si="74"/>
        <v/>
      </c>
      <c r="AG1034" s="48" t="str">
        <f t="shared" si="75"/>
        <v/>
      </c>
      <c r="AH1034" s="48" t="str">
        <f t="shared" si="76"/>
        <v/>
      </c>
      <c r="AI1034" s="40" t="str">
        <f t="shared" si="77"/>
        <v/>
      </c>
      <c r="AJ1034" s="40"/>
      <c r="AK1034" s="40"/>
      <c r="AL1034" s="22"/>
    </row>
    <row r="1035" spans="1:38" ht="17.399999999999999">
      <c r="A1035" s="22"/>
      <c r="B1035" s="22"/>
      <c r="C1035" s="56"/>
      <c r="D1035" s="56"/>
      <c r="E1035" s="22"/>
      <c r="F1035" s="22"/>
      <c r="G1035" s="22"/>
      <c r="H1035" s="22"/>
      <c r="I1035" s="49"/>
      <c r="J1035" s="50"/>
      <c r="K1035" s="22"/>
      <c r="L1035" s="22"/>
      <c r="M1035" s="22"/>
      <c r="N1035" s="22"/>
      <c r="O1035" s="22"/>
      <c r="P1035" s="46"/>
      <c r="Q1035" s="40"/>
      <c r="R1035" s="41"/>
      <c r="S1035" s="22" t="str">
        <f t="shared" si="73"/>
        <v/>
      </c>
      <c r="T1035" s="41"/>
      <c r="U1035" s="44"/>
      <c r="V1035" s="44"/>
      <c r="W1035" s="46"/>
      <c r="X1035" s="46"/>
      <c r="Y1035" s="46"/>
      <c r="Z1035" s="22"/>
      <c r="AA1035" s="22"/>
      <c r="AB1035" s="22"/>
      <c r="AC1035" s="22"/>
      <c r="AD1035" s="22"/>
      <c r="AE1035" s="22"/>
      <c r="AF1035" s="48" t="str">
        <f t="shared" si="74"/>
        <v/>
      </c>
      <c r="AG1035" s="48" t="str">
        <f t="shared" si="75"/>
        <v/>
      </c>
      <c r="AH1035" s="48" t="str">
        <f t="shared" si="76"/>
        <v/>
      </c>
      <c r="AI1035" s="40" t="str">
        <f t="shared" si="77"/>
        <v/>
      </c>
      <c r="AJ1035" s="40"/>
      <c r="AK1035" s="40"/>
      <c r="AL1035" s="22"/>
    </row>
    <row r="1036" spans="1:38" ht="17.399999999999999">
      <c r="A1036" s="22"/>
      <c r="B1036" s="22"/>
      <c r="C1036" s="56"/>
      <c r="D1036" s="56"/>
      <c r="E1036" s="22"/>
      <c r="F1036" s="22"/>
      <c r="G1036" s="22"/>
      <c r="H1036" s="22"/>
      <c r="I1036" s="49"/>
      <c r="J1036" s="50"/>
      <c r="K1036" s="22"/>
      <c r="L1036" s="22"/>
      <c r="M1036" s="22"/>
      <c r="N1036" s="22"/>
      <c r="O1036" s="22"/>
      <c r="P1036" s="46"/>
      <c r="Q1036" s="40"/>
      <c r="R1036" s="41"/>
      <c r="S1036" s="22" t="str">
        <f t="shared" si="73"/>
        <v/>
      </c>
      <c r="T1036" s="41"/>
      <c r="U1036" s="44"/>
      <c r="V1036" s="44"/>
      <c r="W1036" s="46"/>
      <c r="X1036" s="46"/>
      <c r="Y1036" s="46"/>
      <c r="Z1036" s="22"/>
      <c r="AA1036" s="22"/>
      <c r="AB1036" s="22"/>
      <c r="AC1036" s="22"/>
      <c r="AD1036" s="22"/>
      <c r="AE1036" s="22"/>
      <c r="AF1036" s="48" t="str">
        <f t="shared" si="74"/>
        <v/>
      </c>
      <c r="AG1036" s="48" t="str">
        <f t="shared" si="75"/>
        <v/>
      </c>
      <c r="AH1036" s="48" t="str">
        <f t="shared" si="76"/>
        <v/>
      </c>
      <c r="AI1036" s="40" t="str">
        <f t="shared" si="77"/>
        <v/>
      </c>
      <c r="AJ1036" s="40"/>
      <c r="AK1036" s="40"/>
      <c r="AL1036" s="22"/>
    </row>
    <row r="1037" spans="1:38" ht="17.399999999999999">
      <c r="A1037" s="22"/>
      <c r="B1037" s="22"/>
      <c r="C1037" s="56"/>
      <c r="D1037" s="56"/>
      <c r="E1037" s="22"/>
      <c r="F1037" s="22"/>
      <c r="G1037" s="22"/>
      <c r="H1037" s="22"/>
      <c r="I1037" s="49"/>
      <c r="J1037" s="50"/>
      <c r="K1037" s="22"/>
      <c r="L1037" s="22"/>
      <c r="M1037" s="22"/>
      <c r="N1037" s="22"/>
      <c r="O1037" s="22"/>
      <c r="P1037" s="46"/>
      <c r="Q1037" s="40"/>
      <c r="R1037" s="41"/>
      <c r="S1037" s="22" t="str">
        <f t="shared" si="73"/>
        <v/>
      </c>
      <c r="T1037" s="41"/>
      <c r="U1037" s="44"/>
      <c r="V1037" s="44"/>
      <c r="W1037" s="46"/>
      <c r="X1037" s="46"/>
      <c r="Y1037" s="46"/>
      <c r="Z1037" s="22"/>
      <c r="AA1037" s="22"/>
      <c r="AB1037" s="22"/>
      <c r="AC1037" s="22"/>
      <c r="AD1037" s="22"/>
      <c r="AE1037" s="22"/>
      <c r="AF1037" s="48" t="str">
        <f t="shared" si="74"/>
        <v/>
      </c>
      <c r="AG1037" s="48" t="str">
        <f t="shared" si="75"/>
        <v/>
      </c>
      <c r="AH1037" s="48" t="str">
        <f t="shared" si="76"/>
        <v/>
      </c>
      <c r="AI1037" s="40" t="str">
        <f t="shared" si="77"/>
        <v/>
      </c>
      <c r="AJ1037" s="40"/>
      <c r="AK1037" s="40"/>
      <c r="AL1037" s="22"/>
    </row>
    <row r="1038" spans="1:38" ht="17.399999999999999">
      <c r="A1038" s="22"/>
      <c r="B1038" s="22"/>
      <c r="C1038" s="56"/>
      <c r="D1038" s="56"/>
      <c r="E1038" s="22"/>
      <c r="F1038" s="22"/>
      <c r="G1038" s="22"/>
      <c r="H1038" s="22"/>
      <c r="I1038" s="49"/>
      <c r="J1038" s="50"/>
      <c r="K1038" s="22"/>
      <c r="L1038" s="22"/>
      <c r="M1038" s="22"/>
      <c r="N1038" s="22"/>
      <c r="O1038" s="22"/>
      <c r="P1038" s="46"/>
      <c r="Q1038" s="40"/>
      <c r="R1038" s="41"/>
      <c r="S1038" s="22" t="str">
        <f t="shared" si="73"/>
        <v/>
      </c>
      <c r="T1038" s="41"/>
      <c r="U1038" s="44"/>
      <c r="V1038" s="44"/>
      <c r="W1038" s="46"/>
      <c r="X1038" s="46"/>
      <c r="Y1038" s="46"/>
      <c r="Z1038" s="22"/>
      <c r="AA1038" s="22"/>
      <c r="AB1038" s="22"/>
      <c r="AC1038" s="22"/>
      <c r="AD1038" s="22"/>
      <c r="AE1038" s="22"/>
      <c r="AF1038" s="48" t="str">
        <f t="shared" si="74"/>
        <v/>
      </c>
      <c r="AG1038" s="48" t="str">
        <f t="shared" si="75"/>
        <v/>
      </c>
      <c r="AH1038" s="48" t="str">
        <f t="shared" si="76"/>
        <v/>
      </c>
      <c r="AI1038" s="40" t="str">
        <f t="shared" si="77"/>
        <v/>
      </c>
      <c r="AJ1038" s="40"/>
      <c r="AK1038" s="40"/>
      <c r="AL1038" s="22"/>
    </row>
    <row r="1039" spans="1:38" ht="17.399999999999999">
      <c r="A1039" s="22"/>
      <c r="B1039" s="22"/>
      <c r="C1039" s="56"/>
      <c r="D1039" s="56"/>
      <c r="E1039" s="22"/>
      <c r="F1039" s="22"/>
      <c r="G1039" s="22"/>
      <c r="H1039" s="22"/>
      <c r="I1039" s="49"/>
      <c r="J1039" s="50"/>
      <c r="K1039" s="22"/>
      <c r="L1039" s="22"/>
      <c r="M1039" s="22"/>
      <c r="N1039" s="22"/>
      <c r="O1039" s="22"/>
      <c r="P1039" s="46"/>
      <c r="Q1039" s="40"/>
      <c r="R1039" s="41"/>
      <c r="S1039" s="22" t="str">
        <f t="shared" si="73"/>
        <v/>
      </c>
      <c r="T1039" s="41"/>
      <c r="U1039" s="44"/>
      <c r="V1039" s="44"/>
      <c r="W1039" s="46"/>
      <c r="X1039" s="46"/>
      <c r="Y1039" s="46"/>
      <c r="Z1039" s="22"/>
      <c r="AA1039" s="22"/>
      <c r="AB1039" s="22"/>
      <c r="AC1039" s="22"/>
      <c r="AD1039" s="22"/>
      <c r="AE1039" s="22"/>
      <c r="AF1039" s="48" t="str">
        <f t="shared" si="74"/>
        <v/>
      </c>
      <c r="AG1039" s="48" t="str">
        <f t="shared" si="75"/>
        <v/>
      </c>
      <c r="AH1039" s="48" t="str">
        <f t="shared" si="76"/>
        <v/>
      </c>
      <c r="AI1039" s="40" t="str">
        <f t="shared" si="77"/>
        <v/>
      </c>
      <c r="AJ1039" s="40"/>
      <c r="AK1039" s="40"/>
      <c r="AL1039" s="22"/>
    </row>
    <row r="1040" spans="1:38" ht="17.399999999999999">
      <c r="A1040" s="22"/>
      <c r="B1040" s="22"/>
      <c r="C1040" s="56"/>
      <c r="D1040" s="56"/>
      <c r="E1040" s="22"/>
      <c r="F1040" s="22"/>
      <c r="G1040" s="22"/>
      <c r="H1040" s="22"/>
      <c r="I1040" s="49"/>
      <c r="J1040" s="50"/>
      <c r="K1040" s="22"/>
      <c r="L1040" s="22"/>
      <c r="M1040" s="22"/>
      <c r="N1040" s="22"/>
      <c r="O1040" s="22"/>
      <c r="P1040" s="46"/>
      <c r="Q1040" s="40"/>
      <c r="R1040" s="41"/>
      <c r="S1040" s="22" t="str">
        <f t="shared" si="73"/>
        <v/>
      </c>
      <c r="T1040" s="41"/>
      <c r="U1040" s="44"/>
      <c r="V1040" s="44"/>
      <c r="W1040" s="46"/>
      <c r="X1040" s="46"/>
      <c r="Y1040" s="46"/>
      <c r="Z1040" s="22"/>
      <c r="AA1040" s="22"/>
      <c r="AB1040" s="22"/>
      <c r="AC1040" s="22"/>
      <c r="AD1040" s="22"/>
      <c r="AE1040" s="22"/>
      <c r="AF1040" s="48" t="str">
        <f t="shared" si="74"/>
        <v/>
      </c>
      <c r="AG1040" s="48" t="str">
        <f t="shared" si="75"/>
        <v/>
      </c>
      <c r="AH1040" s="48" t="str">
        <f t="shared" si="76"/>
        <v/>
      </c>
      <c r="AI1040" s="40" t="str">
        <f t="shared" si="77"/>
        <v/>
      </c>
      <c r="AJ1040" s="40"/>
      <c r="AK1040" s="40"/>
      <c r="AL1040" s="22"/>
    </row>
    <row r="1041" spans="1:38" ht="17.399999999999999">
      <c r="A1041" s="22"/>
      <c r="B1041" s="22"/>
      <c r="C1041" s="56"/>
      <c r="D1041" s="56"/>
      <c r="E1041" s="22"/>
      <c r="F1041" s="22"/>
      <c r="G1041" s="22"/>
      <c r="H1041" s="22"/>
      <c r="I1041" s="49"/>
      <c r="J1041" s="50"/>
      <c r="K1041" s="22"/>
      <c r="L1041" s="22"/>
      <c r="M1041" s="22"/>
      <c r="N1041" s="22"/>
      <c r="O1041" s="22"/>
      <c r="P1041" s="46"/>
      <c r="Q1041" s="40"/>
      <c r="R1041" s="41"/>
      <c r="S1041" s="22" t="str">
        <f t="shared" si="73"/>
        <v/>
      </c>
      <c r="T1041" s="41"/>
      <c r="U1041" s="44"/>
      <c r="V1041" s="44"/>
      <c r="W1041" s="46"/>
      <c r="X1041" s="46"/>
      <c r="Y1041" s="46"/>
      <c r="Z1041" s="22"/>
      <c r="AA1041" s="22"/>
      <c r="AB1041" s="22"/>
      <c r="AC1041" s="22"/>
      <c r="AD1041" s="22"/>
      <c r="AE1041" s="22"/>
      <c r="AF1041" s="48" t="str">
        <f t="shared" si="74"/>
        <v/>
      </c>
      <c r="AG1041" s="48" t="str">
        <f t="shared" si="75"/>
        <v/>
      </c>
      <c r="AH1041" s="48" t="str">
        <f t="shared" si="76"/>
        <v/>
      </c>
      <c r="AI1041" s="40" t="str">
        <f t="shared" si="77"/>
        <v/>
      </c>
      <c r="AJ1041" s="40"/>
      <c r="AK1041" s="40"/>
      <c r="AL1041" s="22"/>
    </row>
    <row r="1042" spans="1:38" ht="17.399999999999999">
      <c r="A1042" s="22"/>
      <c r="B1042" s="22"/>
      <c r="C1042" s="56"/>
      <c r="D1042" s="56"/>
      <c r="E1042" s="22"/>
      <c r="F1042" s="22"/>
      <c r="G1042" s="22"/>
      <c r="H1042" s="22"/>
      <c r="I1042" s="49"/>
      <c r="J1042" s="50"/>
      <c r="K1042" s="22"/>
      <c r="L1042" s="22"/>
      <c r="M1042" s="22"/>
      <c r="N1042" s="22"/>
      <c r="O1042" s="22"/>
      <c r="P1042" s="46"/>
      <c r="Q1042" s="40"/>
      <c r="R1042" s="41"/>
      <c r="S1042" s="22" t="str">
        <f t="shared" si="73"/>
        <v/>
      </c>
      <c r="T1042" s="41"/>
      <c r="U1042" s="44"/>
      <c r="V1042" s="44"/>
      <c r="W1042" s="46"/>
      <c r="X1042" s="46"/>
      <c r="Y1042" s="46"/>
      <c r="Z1042" s="22"/>
      <c r="AA1042" s="22"/>
      <c r="AB1042" s="22"/>
      <c r="AC1042" s="22"/>
      <c r="AD1042" s="22"/>
      <c r="AE1042" s="22"/>
      <c r="AF1042" s="48" t="str">
        <f t="shared" si="74"/>
        <v/>
      </c>
      <c r="AG1042" s="48" t="str">
        <f t="shared" si="75"/>
        <v/>
      </c>
      <c r="AH1042" s="48" t="str">
        <f t="shared" si="76"/>
        <v/>
      </c>
      <c r="AI1042" s="40" t="str">
        <f t="shared" si="77"/>
        <v/>
      </c>
      <c r="AJ1042" s="40"/>
      <c r="AK1042" s="40"/>
      <c r="AL1042" s="22"/>
    </row>
    <row r="1043" spans="1:38" ht="17.399999999999999">
      <c r="A1043" s="22"/>
      <c r="B1043" s="22"/>
      <c r="C1043" s="56"/>
      <c r="D1043" s="56"/>
      <c r="E1043" s="22"/>
      <c r="F1043" s="22"/>
      <c r="G1043" s="22"/>
      <c r="H1043" s="22"/>
      <c r="I1043" s="49"/>
      <c r="J1043" s="50"/>
      <c r="K1043" s="22"/>
      <c r="L1043" s="22"/>
      <c r="M1043" s="22"/>
      <c r="N1043" s="22"/>
      <c r="O1043" s="22"/>
      <c r="P1043" s="46"/>
      <c r="Q1043" s="40"/>
      <c r="R1043" s="41"/>
      <c r="S1043" s="22" t="str">
        <f t="shared" si="73"/>
        <v/>
      </c>
      <c r="T1043" s="41"/>
      <c r="U1043" s="44"/>
      <c r="V1043" s="44"/>
      <c r="W1043" s="46"/>
      <c r="X1043" s="46"/>
      <c r="Y1043" s="46"/>
      <c r="Z1043" s="22"/>
      <c r="AA1043" s="22"/>
      <c r="AB1043" s="22"/>
      <c r="AC1043" s="22"/>
      <c r="AD1043" s="22"/>
      <c r="AE1043" s="22"/>
      <c r="AF1043" s="48" t="str">
        <f t="shared" si="74"/>
        <v/>
      </c>
      <c r="AG1043" s="48" t="str">
        <f t="shared" si="75"/>
        <v/>
      </c>
      <c r="AH1043" s="48" t="str">
        <f t="shared" si="76"/>
        <v/>
      </c>
      <c r="AI1043" s="40" t="str">
        <f t="shared" si="77"/>
        <v/>
      </c>
      <c r="AJ1043" s="40"/>
      <c r="AK1043" s="40"/>
      <c r="AL1043" s="22"/>
    </row>
    <row r="1044" spans="1:38" ht="17.399999999999999">
      <c r="A1044" s="22"/>
      <c r="B1044" s="22"/>
      <c r="C1044" s="56"/>
      <c r="D1044" s="56"/>
      <c r="E1044" s="22"/>
      <c r="F1044" s="22"/>
      <c r="G1044" s="22"/>
      <c r="H1044" s="22"/>
      <c r="I1044" s="49"/>
      <c r="J1044" s="50"/>
      <c r="K1044" s="22"/>
      <c r="L1044" s="22"/>
      <c r="M1044" s="22"/>
      <c r="N1044" s="22"/>
      <c r="O1044" s="22"/>
      <c r="P1044" s="46"/>
      <c r="Q1044" s="40"/>
      <c r="R1044" s="41"/>
      <c r="S1044" s="22" t="str">
        <f t="shared" si="73"/>
        <v/>
      </c>
      <c r="T1044" s="41"/>
      <c r="U1044" s="44"/>
      <c r="V1044" s="44"/>
      <c r="W1044" s="46"/>
      <c r="X1044" s="46"/>
      <c r="Y1044" s="46"/>
      <c r="Z1044" s="22"/>
      <c r="AA1044" s="22"/>
      <c r="AB1044" s="22"/>
      <c r="AC1044" s="22"/>
      <c r="AD1044" s="22"/>
      <c r="AE1044" s="22"/>
      <c r="AF1044" s="48" t="str">
        <f t="shared" si="74"/>
        <v/>
      </c>
      <c r="AG1044" s="48" t="str">
        <f t="shared" si="75"/>
        <v/>
      </c>
      <c r="AH1044" s="48" t="str">
        <f t="shared" si="76"/>
        <v/>
      </c>
      <c r="AI1044" s="40" t="str">
        <f t="shared" si="77"/>
        <v/>
      </c>
      <c r="AJ1044" s="40"/>
      <c r="AK1044" s="40"/>
      <c r="AL1044" s="22"/>
    </row>
    <row r="1045" spans="1:38" ht="17.399999999999999">
      <c r="A1045" s="22"/>
      <c r="B1045" s="22"/>
      <c r="C1045" s="56"/>
      <c r="D1045" s="56"/>
      <c r="E1045" s="22"/>
      <c r="F1045" s="22"/>
      <c r="G1045" s="22"/>
      <c r="H1045" s="22"/>
      <c r="I1045" s="49"/>
      <c r="J1045" s="50"/>
      <c r="K1045" s="22"/>
      <c r="L1045" s="22"/>
      <c r="M1045" s="22"/>
      <c r="N1045" s="22"/>
      <c r="O1045" s="22"/>
      <c r="P1045" s="46"/>
      <c r="Q1045" s="40"/>
      <c r="R1045" s="41"/>
      <c r="S1045" s="22" t="str">
        <f t="shared" si="73"/>
        <v/>
      </c>
      <c r="T1045" s="41"/>
      <c r="U1045" s="44"/>
      <c r="V1045" s="44"/>
      <c r="W1045" s="46"/>
      <c r="X1045" s="46"/>
      <c r="Y1045" s="46"/>
      <c r="Z1045" s="22"/>
      <c r="AA1045" s="22"/>
      <c r="AB1045" s="22"/>
      <c r="AC1045" s="22"/>
      <c r="AD1045" s="22"/>
      <c r="AE1045" s="22"/>
      <c r="AF1045" s="48" t="str">
        <f t="shared" si="74"/>
        <v/>
      </c>
      <c r="AG1045" s="48" t="str">
        <f t="shared" si="75"/>
        <v/>
      </c>
      <c r="AH1045" s="48" t="str">
        <f t="shared" si="76"/>
        <v/>
      </c>
      <c r="AI1045" s="40" t="str">
        <f t="shared" si="77"/>
        <v/>
      </c>
      <c r="AJ1045" s="40"/>
      <c r="AK1045" s="40"/>
      <c r="AL1045" s="22"/>
    </row>
    <row r="1046" spans="1:38" ht="17.399999999999999">
      <c r="A1046" s="22"/>
      <c r="B1046" s="22"/>
      <c r="C1046" s="56"/>
      <c r="D1046" s="56"/>
      <c r="E1046" s="22"/>
      <c r="F1046" s="22"/>
      <c r="G1046" s="22"/>
      <c r="H1046" s="22"/>
      <c r="I1046" s="49"/>
      <c r="J1046" s="50"/>
      <c r="K1046" s="22"/>
      <c r="L1046" s="22"/>
      <c r="M1046" s="22"/>
      <c r="N1046" s="22"/>
      <c r="O1046" s="22"/>
      <c r="P1046" s="46"/>
      <c r="Q1046" s="40"/>
      <c r="R1046" s="41"/>
      <c r="S1046" s="22" t="str">
        <f t="shared" si="73"/>
        <v/>
      </c>
      <c r="T1046" s="41"/>
      <c r="U1046" s="44"/>
      <c r="V1046" s="44"/>
      <c r="W1046" s="46"/>
      <c r="X1046" s="46"/>
      <c r="Y1046" s="46"/>
      <c r="Z1046" s="22"/>
      <c r="AA1046" s="22"/>
      <c r="AB1046" s="22"/>
      <c r="AC1046" s="22"/>
      <c r="AD1046" s="22"/>
      <c r="AE1046" s="22"/>
      <c r="AF1046" s="48" t="str">
        <f t="shared" si="74"/>
        <v/>
      </c>
      <c r="AG1046" s="48" t="str">
        <f t="shared" si="75"/>
        <v/>
      </c>
      <c r="AH1046" s="48" t="str">
        <f t="shared" si="76"/>
        <v/>
      </c>
      <c r="AI1046" s="40" t="str">
        <f t="shared" si="77"/>
        <v/>
      </c>
      <c r="AJ1046" s="40"/>
      <c r="AK1046" s="40"/>
      <c r="AL1046" s="22"/>
    </row>
    <row r="1047" spans="1:38" ht="17.399999999999999">
      <c r="A1047" s="22"/>
      <c r="B1047" s="22"/>
      <c r="C1047" s="56"/>
      <c r="D1047" s="56"/>
      <c r="E1047" s="22"/>
      <c r="F1047" s="22"/>
      <c r="G1047" s="22"/>
      <c r="H1047" s="22"/>
      <c r="I1047" s="49"/>
      <c r="J1047" s="50"/>
      <c r="K1047" s="22"/>
      <c r="L1047" s="22"/>
      <c r="M1047" s="22"/>
      <c r="N1047" s="22"/>
      <c r="O1047" s="22"/>
      <c r="P1047" s="46"/>
      <c r="Q1047" s="40"/>
      <c r="R1047" s="41"/>
      <c r="S1047" s="22" t="str">
        <f t="shared" ref="S1047:S1110" si="78">IF(A1047="","",M1047+O1047)</f>
        <v/>
      </c>
      <c r="T1047" s="41"/>
      <c r="U1047" s="44"/>
      <c r="V1047" s="44"/>
      <c r="W1047" s="46"/>
      <c r="X1047" s="46"/>
      <c r="Y1047" s="46"/>
      <c r="Z1047" s="22"/>
      <c r="AA1047" s="22"/>
      <c r="AB1047" s="22"/>
      <c r="AC1047" s="22"/>
      <c r="AD1047" s="22"/>
      <c r="AE1047" s="22"/>
      <c r="AF1047" s="48" t="str">
        <f t="shared" ref="AF1047:AF1110" si="79">IF(A1047="","",S1047-X1047)</f>
        <v/>
      </c>
      <c r="AG1047" s="48" t="str">
        <f t="shared" ref="AG1047:AG1110" si="80">IF(A1047="","",X1047-(AB1047+AE1047))</f>
        <v/>
      </c>
      <c r="AH1047" s="48" t="str">
        <f t="shared" ref="AH1047:AH1110" si="81">IF(A1047="","",AF1047+AG1047)</f>
        <v/>
      </c>
      <c r="AI1047" s="40" t="str">
        <f t="shared" ref="AI1047:AI1110" si="82">IF(A1047="","",R1047+21)</f>
        <v/>
      </c>
      <c r="AJ1047" s="40"/>
      <c r="AK1047" s="40"/>
      <c r="AL1047" s="22"/>
    </row>
    <row r="1048" spans="1:38" ht="17.399999999999999">
      <c r="A1048" s="22"/>
      <c r="B1048" s="22"/>
      <c r="C1048" s="56"/>
      <c r="D1048" s="56"/>
      <c r="E1048" s="22"/>
      <c r="F1048" s="22"/>
      <c r="G1048" s="22"/>
      <c r="H1048" s="22"/>
      <c r="I1048" s="49"/>
      <c r="J1048" s="50"/>
      <c r="K1048" s="22"/>
      <c r="L1048" s="22"/>
      <c r="M1048" s="22"/>
      <c r="N1048" s="22"/>
      <c r="O1048" s="22"/>
      <c r="P1048" s="46"/>
      <c r="Q1048" s="40"/>
      <c r="R1048" s="41"/>
      <c r="S1048" s="22" t="str">
        <f t="shared" si="78"/>
        <v/>
      </c>
      <c r="T1048" s="41"/>
      <c r="U1048" s="44"/>
      <c r="V1048" s="44"/>
      <c r="W1048" s="46"/>
      <c r="X1048" s="46"/>
      <c r="Y1048" s="46"/>
      <c r="Z1048" s="22"/>
      <c r="AA1048" s="22"/>
      <c r="AB1048" s="22"/>
      <c r="AC1048" s="22"/>
      <c r="AD1048" s="22"/>
      <c r="AE1048" s="22"/>
      <c r="AF1048" s="48" t="str">
        <f t="shared" si="79"/>
        <v/>
      </c>
      <c r="AG1048" s="48" t="str">
        <f t="shared" si="80"/>
        <v/>
      </c>
      <c r="AH1048" s="48" t="str">
        <f t="shared" si="81"/>
        <v/>
      </c>
      <c r="AI1048" s="40" t="str">
        <f t="shared" si="82"/>
        <v/>
      </c>
      <c r="AJ1048" s="40"/>
      <c r="AK1048" s="40"/>
      <c r="AL1048" s="22"/>
    </row>
    <row r="1049" spans="1:38" ht="17.399999999999999">
      <c r="A1049" s="22"/>
      <c r="B1049" s="22"/>
      <c r="C1049" s="56"/>
      <c r="D1049" s="56"/>
      <c r="E1049" s="22"/>
      <c r="F1049" s="22"/>
      <c r="G1049" s="22"/>
      <c r="H1049" s="22"/>
      <c r="I1049" s="49"/>
      <c r="J1049" s="50"/>
      <c r="K1049" s="22"/>
      <c r="L1049" s="22"/>
      <c r="M1049" s="22"/>
      <c r="N1049" s="22"/>
      <c r="O1049" s="22"/>
      <c r="P1049" s="46"/>
      <c r="Q1049" s="40"/>
      <c r="R1049" s="41"/>
      <c r="S1049" s="22" t="str">
        <f t="shared" si="78"/>
        <v/>
      </c>
      <c r="T1049" s="41"/>
      <c r="U1049" s="44"/>
      <c r="V1049" s="44"/>
      <c r="W1049" s="46"/>
      <c r="X1049" s="46"/>
      <c r="Y1049" s="46"/>
      <c r="Z1049" s="22"/>
      <c r="AA1049" s="22"/>
      <c r="AB1049" s="22"/>
      <c r="AC1049" s="22"/>
      <c r="AD1049" s="22"/>
      <c r="AE1049" s="22"/>
      <c r="AF1049" s="48" t="str">
        <f t="shared" si="79"/>
        <v/>
      </c>
      <c r="AG1049" s="48" t="str">
        <f t="shared" si="80"/>
        <v/>
      </c>
      <c r="AH1049" s="48" t="str">
        <f t="shared" si="81"/>
        <v/>
      </c>
      <c r="AI1049" s="40" t="str">
        <f t="shared" si="82"/>
        <v/>
      </c>
      <c r="AJ1049" s="40"/>
      <c r="AK1049" s="40"/>
      <c r="AL1049" s="22"/>
    </row>
    <row r="1050" spans="1:38" ht="17.399999999999999">
      <c r="A1050" s="22"/>
      <c r="B1050" s="22"/>
      <c r="C1050" s="56"/>
      <c r="D1050" s="56"/>
      <c r="E1050" s="22"/>
      <c r="F1050" s="22"/>
      <c r="G1050" s="22"/>
      <c r="H1050" s="22"/>
      <c r="I1050" s="49"/>
      <c r="J1050" s="50"/>
      <c r="K1050" s="22"/>
      <c r="L1050" s="22"/>
      <c r="M1050" s="22"/>
      <c r="N1050" s="22"/>
      <c r="O1050" s="22"/>
      <c r="P1050" s="46"/>
      <c r="Q1050" s="40"/>
      <c r="R1050" s="41"/>
      <c r="S1050" s="22" t="str">
        <f t="shared" si="78"/>
        <v/>
      </c>
      <c r="T1050" s="41"/>
      <c r="U1050" s="44"/>
      <c r="V1050" s="44"/>
      <c r="W1050" s="46"/>
      <c r="X1050" s="46"/>
      <c r="Y1050" s="46"/>
      <c r="Z1050" s="22"/>
      <c r="AA1050" s="22"/>
      <c r="AB1050" s="22"/>
      <c r="AC1050" s="22"/>
      <c r="AD1050" s="22"/>
      <c r="AE1050" s="22"/>
      <c r="AF1050" s="48" t="str">
        <f t="shared" si="79"/>
        <v/>
      </c>
      <c r="AG1050" s="48" t="str">
        <f t="shared" si="80"/>
        <v/>
      </c>
      <c r="AH1050" s="48" t="str">
        <f t="shared" si="81"/>
        <v/>
      </c>
      <c r="AI1050" s="40" t="str">
        <f t="shared" si="82"/>
        <v/>
      </c>
      <c r="AJ1050" s="40"/>
      <c r="AK1050" s="40"/>
      <c r="AL1050" s="22"/>
    </row>
    <row r="1051" spans="1:38" ht="17.399999999999999">
      <c r="A1051" s="22"/>
      <c r="B1051" s="22"/>
      <c r="C1051" s="56"/>
      <c r="D1051" s="56"/>
      <c r="E1051" s="22"/>
      <c r="F1051" s="22"/>
      <c r="G1051" s="22"/>
      <c r="H1051" s="22"/>
      <c r="I1051" s="49"/>
      <c r="J1051" s="50"/>
      <c r="K1051" s="22"/>
      <c r="L1051" s="22"/>
      <c r="M1051" s="22"/>
      <c r="N1051" s="22"/>
      <c r="O1051" s="22"/>
      <c r="P1051" s="46"/>
      <c r="Q1051" s="40"/>
      <c r="R1051" s="41"/>
      <c r="S1051" s="22" t="str">
        <f t="shared" si="78"/>
        <v/>
      </c>
      <c r="T1051" s="41"/>
      <c r="U1051" s="44"/>
      <c r="V1051" s="44"/>
      <c r="W1051" s="46"/>
      <c r="X1051" s="46"/>
      <c r="Y1051" s="46"/>
      <c r="Z1051" s="22"/>
      <c r="AA1051" s="22"/>
      <c r="AB1051" s="22"/>
      <c r="AC1051" s="22"/>
      <c r="AD1051" s="22"/>
      <c r="AE1051" s="22"/>
      <c r="AF1051" s="48" t="str">
        <f t="shared" si="79"/>
        <v/>
      </c>
      <c r="AG1051" s="48" t="str">
        <f t="shared" si="80"/>
        <v/>
      </c>
      <c r="AH1051" s="48" t="str">
        <f t="shared" si="81"/>
        <v/>
      </c>
      <c r="AI1051" s="40" t="str">
        <f t="shared" si="82"/>
        <v/>
      </c>
      <c r="AJ1051" s="40"/>
      <c r="AK1051" s="40"/>
      <c r="AL1051" s="22"/>
    </row>
    <row r="1052" spans="1:38" ht="17.399999999999999">
      <c r="A1052" s="22"/>
      <c r="B1052" s="22"/>
      <c r="C1052" s="56"/>
      <c r="D1052" s="56"/>
      <c r="E1052" s="22"/>
      <c r="F1052" s="22"/>
      <c r="G1052" s="22"/>
      <c r="H1052" s="22"/>
      <c r="I1052" s="49"/>
      <c r="J1052" s="50"/>
      <c r="K1052" s="22"/>
      <c r="L1052" s="22"/>
      <c r="M1052" s="22"/>
      <c r="N1052" s="22"/>
      <c r="O1052" s="22"/>
      <c r="P1052" s="46"/>
      <c r="Q1052" s="40"/>
      <c r="R1052" s="41"/>
      <c r="S1052" s="22" t="str">
        <f t="shared" si="78"/>
        <v/>
      </c>
      <c r="T1052" s="41"/>
      <c r="U1052" s="44"/>
      <c r="V1052" s="44"/>
      <c r="W1052" s="46"/>
      <c r="X1052" s="46"/>
      <c r="Y1052" s="46"/>
      <c r="Z1052" s="22"/>
      <c r="AA1052" s="22"/>
      <c r="AB1052" s="22"/>
      <c r="AC1052" s="22"/>
      <c r="AD1052" s="22"/>
      <c r="AE1052" s="22"/>
      <c r="AF1052" s="48" t="str">
        <f t="shared" si="79"/>
        <v/>
      </c>
      <c r="AG1052" s="48" t="str">
        <f t="shared" si="80"/>
        <v/>
      </c>
      <c r="AH1052" s="48" t="str">
        <f t="shared" si="81"/>
        <v/>
      </c>
      <c r="AI1052" s="40" t="str">
        <f t="shared" si="82"/>
        <v/>
      </c>
      <c r="AJ1052" s="40"/>
      <c r="AK1052" s="40"/>
      <c r="AL1052" s="22"/>
    </row>
    <row r="1053" spans="1:38" ht="17.399999999999999">
      <c r="A1053" s="22"/>
      <c r="B1053" s="22"/>
      <c r="C1053" s="56"/>
      <c r="D1053" s="56"/>
      <c r="E1053" s="22"/>
      <c r="F1053" s="22"/>
      <c r="G1053" s="22"/>
      <c r="H1053" s="22"/>
      <c r="I1053" s="49"/>
      <c r="J1053" s="50"/>
      <c r="K1053" s="22"/>
      <c r="L1053" s="22"/>
      <c r="M1053" s="22"/>
      <c r="N1053" s="22"/>
      <c r="O1053" s="22"/>
      <c r="P1053" s="46"/>
      <c r="Q1053" s="40"/>
      <c r="R1053" s="41"/>
      <c r="S1053" s="22" t="str">
        <f t="shared" si="78"/>
        <v/>
      </c>
      <c r="T1053" s="41"/>
      <c r="U1053" s="44"/>
      <c r="V1053" s="44"/>
      <c r="W1053" s="46"/>
      <c r="X1053" s="46"/>
      <c r="Y1053" s="46"/>
      <c r="Z1053" s="22"/>
      <c r="AA1053" s="22"/>
      <c r="AB1053" s="22"/>
      <c r="AC1053" s="22"/>
      <c r="AD1053" s="22"/>
      <c r="AE1053" s="22"/>
      <c r="AF1053" s="48" t="str">
        <f t="shared" si="79"/>
        <v/>
      </c>
      <c r="AG1053" s="48" t="str">
        <f t="shared" si="80"/>
        <v/>
      </c>
      <c r="AH1053" s="48" t="str">
        <f t="shared" si="81"/>
        <v/>
      </c>
      <c r="AI1053" s="40" t="str">
        <f t="shared" si="82"/>
        <v/>
      </c>
      <c r="AJ1053" s="40"/>
      <c r="AK1053" s="40"/>
      <c r="AL1053" s="22"/>
    </row>
    <row r="1054" spans="1:38" ht="17.399999999999999">
      <c r="A1054" s="22"/>
      <c r="B1054" s="22"/>
      <c r="C1054" s="56"/>
      <c r="D1054" s="56"/>
      <c r="E1054" s="22"/>
      <c r="F1054" s="22"/>
      <c r="G1054" s="22"/>
      <c r="H1054" s="22"/>
      <c r="I1054" s="49"/>
      <c r="J1054" s="50"/>
      <c r="K1054" s="22"/>
      <c r="L1054" s="22"/>
      <c r="M1054" s="22"/>
      <c r="N1054" s="22"/>
      <c r="O1054" s="22"/>
      <c r="P1054" s="46"/>
      <c r="Q1054" s="40"/>
      <c r="R1054" s="41"/>
      <c r="S1054" s="22" t="str">
        <f t="shared" si="78"/>
        <v/>
      </c>
      <c r="T1054" s="41"/>
      <c r="U1054" s="44"/>
      <c r="V1054" s="44"/>
      <c r="W1054" s="46"/>
      <c r="X1054" s="46"/>
      <c r="Y1054" s="46"/>
      <c r="Z1054" s="22"/>
      <c r="AA1054" s="22"/>
      <c r="AB1054" s="22"/>
      <c r="AC1054" s="22"/>
      <c r="AD1054" s="22"/>
      <c r="AE1054" s="22"/>
      <c r="AF1054" s="48" t="str">
        <f t="shared" si="79"/>
        <v/>
      </c>
      <c r="AG1054" s="48" t="str">
        <f t="shared" si="80"/>
        <v/>
      </c>
      <c r="AH1054" s="48" t="str">
        <f t="shared" si="81"/>
        <v/>
      </c>
      <c r="AI1054" s="40" t="str">
        <f t="shared" si="82"/>
        <v/>
      </c>
      <c r="AJ1054" s="40"/>
      <c r="AK1054" s="40"/>
      <c r="AL1054" s="22"/>
    </row>
    <row r="1055" spans="1:38" ht="17.399999999999999">
      <c r="A1055" s="22"/>
      <c r="B1055" s="22"/>
      <c r="C1055" s="56"/>
      <c r="D1055" s="56"/>
      <c r="E1055" s="22"/>
      <c r="F1055" s="22"/>
      <c r="G1055" s="22"/>
      <c r="H1055" s="22"/>
      <c r="I1055" s="49"/>
      <c r="J1055" s="50"/>
      <c r="K1055" s="22"/>
      <c r="L1055" s="22"/>
      <c r="M1055" s="22"/>
      <c r="N1055" s="22"/>
      <c r="O1055" s="22"/>
      <c r="P1055" s="46"/>
      <c r="Q1055" s="40"/>
      <c r="R1055" s="41"/>
      <c r="S1055" s="22" t="str">
        <f t="shared" si="78"/>
        <v/>
      </c>
      <c r="T1055" s="41"/>
      <c r="U1055" s="44"/>
      <c r="V1055" s="44"/>
      <c r="W1055" s="46"/>
      <c r="X1055" s="46"/>
      <c r="Y1055" s="46"/>
      <c r="Z1055" s="22"/>
      <c r="AA1055" s="22"/>
      <c r="AB1055" s="22"/>
      <c r="AC1055" s="22"/>
      <c r="AD1055" s="22"/>
      <c r="AE1055" s="22"/>
      <c r="AF1055" s="48" t="str">
        <f t="shared" si="79"/>
        <v/>
      </c>
      <c r="AG1055" s="48" t="str">
        <f t="shared" si="80"/>
        <v/>
      </c>
      <c r="AH1055" s="48" t="str">
        <f t="shared" si="81"/>
        <v/>
      </c>
      <c r="AI1055" s="40" t="str">
        <f t="shared" si="82"/>
        <v/>
      </c>
      <c r="AJ1055" s="40"/>
      <c r="AK1055" s="40"/>
      <c r="AL1055" s="22"/>
    </row>
    <row r="1056" spans="1:38" ht="17.399999999999999">
      <c r="A1056" s="22"/>
      <c r="B1056" s="22"/>
      <c r="C1056" s="56"/>
      <c r="D1056" s="56"/>
      <c r="E1056" s="22"/>
      <c r="F1056" s="22"/>
      <c r="G1056" s="22"/>
      <c r="H1056" s="22"/>
      <c r="I1056" s="49"/>
      <c r="J1056" s="50"/>
      <c r="K1056" s="22"/>
      <c r="L1056" s="22"/>
      <c r="M1056" s="22"/>
      <c r="N1056" s="22"/>
      <c r="O1056" s="22"/>
      <c r="P1056" s="46"/>
      <c r="Q1056" s="40"/>
      <c r="R1056" s="41"/>
      <c r="S1056" s="22" t="str">
        <f t="shared" si="78"/>
        <v/>
      </c>
      <c r="T1056" s="41"/>
      <c r="U1056" s="44"/>
      <c r="V1056" s="44"/>
      <c r="W1056" s="46"/>
      <c r="X1056" s="46"/>
      <c r="Y1056" s="46"/>
      <c r="Z1056" s="22"/>
      <c r="AA1056" s="22"/>
      <c r="AB1056" s="22"/>
      <c r="AC1056" s="22"/>
      <c r="AD1056" s="22"/>
      <c r="AE1056" s="22"/>
      <c r="AF1056" s="48" t="str">
        <f t="shared" si="79"/>
        <v/>
      </c>
      <c r="AG1056" s="48" t="str">
        <f t="shared" si="80"/>
        <v/>
      </c>
      <c r="AH1056" s="48" t="str">
        <f t="shared" si="81"/>
        <v/>
      </c>
      <c r="AI1056" s="40" t="str">
        <f t="shared" si="82"/>
        <v/>
      </c>
      <c r="AJ1056" s="40"/>
      <c r="AK1056" s="40"/>
      <c r="AL1056" s="22"/>
    </row>
    <row r="1057" spans="1:38" ht="17.399999999999999">
      <c r="A1057" s="22"/>
      <c r="B1057" s="22"/>
      <c r="C1057" s="56"/>
      <c r="D1057" s="56"/>
      <c r="E1057" s="22"/>
      <c r="F1057" s="22"/>
      <c r="G1057" s="22"/>
      <c r="H1057" s="22"/>
      <c r="I1057" s="49"/>
      <c r="J1057" s="50"/>
      <c r="K1057" s="22"/>
      <c r="L1057" s="22"/>
      <c r="M1057" s="22"/>
      <c r="N1057" s="22"/>
      <c r="O1057" s="22"/>
      <c r="P1057" s="46"/>
      <c r="Q1057" s="40"/>
      <c r="R1057" s="41"/>
      <c r="S1057" s="22" t="str">
        <f t="shared" si="78"/>
        <v/>
      </c>
      <c r="T1057" s="41"/>
      <c r="U1057" s="44"/>
      <c r="V1057" s="44"/>
      <c r="W1057" s="46"/>
      <c r="X1057" s="46"/>
      <c r="Y1057" s="46"/>
      <c r="Z1057" s="22"/>
      <c r="AA1057" s="22"/>
      <c r="AB1057" s="22"/>
      <c r="AC1057" s="22"/>
      <c r="AD1057" s="22"/>
      <c r="AE1057" s="22"/>
      <c r="AF1057" s="48" t="str">
        <f t="shared" si="79"/>
        <v/>
      </c>
      <c r="AG1057" s="48" t="str">
        <f t="shared" si="80"/>
        <v/>
      </c>
      <c r="AH1057" s="48" t="str">
        <f t="shared" si="81"/>
        <v/>
      </c>
      <c r="AI1057" s="40" t="str">
        <f t="shared" si="82"/>
        <v/>
      </c>
      <c r="AJ1057" s="40"/>
      <c r="AK1057" s="40"/>
      <c r="AL1057" s="22"/>
    </row>
    <row r="1058" spans="1:38" ht="17.399999999999999">
      <c r="A1058" s="22"/>
      <c r="B1058" s="22"/>
      <c r="C1058" s="56"/>
      <c r="D1058" s="56"/>
      <c r="E1058" s="22"/>
      <c r="F1058" s="22"/>
      <c r="G1058" s="22"/>
      <c r="H1058" s="22"/>
      <c r="I1058" s="49"/>
      <c r="J1058" s="50"/>
      <c r="K1058" s="22"/>
      <c r="L1058" s="22"/>
      <c r="M1058" s="22"/>
      <c r="N1058" s="22"/>
      <c r="O1058" s="22"/>
      <c r="P1058" s="46"/>
      <c r="Q1058" s="40"/>
      <c r="R1058" s="41"/>
      <c r="S1058" s="22" t="str">
        <f t="shared" si="78"/>
        <v/>
      </c>
      <c r="T1058" s="41"/>
      <c r="U1058" s="44"/>
      <c r="V1058" s="44"/>
      <c r="W1058" s="46"/>
      <c r="X1058" s="46"/>
      <c r="Y1058" s="46"/>
      <c r="Z1058" s="22"/>
      <c r="AA1058" s="22"/>
      <c r="AB1058" s="22"/>
      <c r="AC1058" s="22"/>
      <c r="AD1058" s="22"/>
      <c r="AE1058" s="22"/>
      <c r="AF1058" s="48" t="str">
        <f t="shared" si="79"/>
        <v/>
      </c>
      <c r="AG1058" s="48" t="str">
        <f t="shared" si="80"/>
        <v/>
      </c>
      <c r="AH1058" s="48" t="str">
        <f t="shared" si="81"/>
        <v/>
      </c>
      <c r="AI1058" s="40" t="str">
        <f t="shared" si="82"/>
        <v/>
      </c>
      <c r="AJ1058" s="40"/>
      <c r="AK1058" s="40"/>
      <c r="AL1058" s="22"/>
    </row>
    <row r="1059" spans="1:38" ht="17.399999999999999">
      <c r="A1059" s="22"/>
      <c r="B1059" s="22"/>
      <c r="C1059" s="56"/>
      <c r="D1059" s="56"/>
      <c r="E1059" s="22"/>
      <c r="F1059" s="22"/>
      <c r="G1059" s="22"/>
      <c r="H1059" s="22"/>
      <c r="I1059" s="49"/>
      <c r="J1059" s="50"/>
      <c r="K1059" s="22"/>
      <c r="L1059" s="22"/>
      <c r="M1059" s="22"/>
      <c r="N1059" s="22"/>
      <c r="O1059" s="22"/>
      <c r="P1059" s="46"/>
      <c r="Q1059" s="40"/>
      <c r="R1059" s="41"/>
      <c r="S1059" s="22" t="str">
        <f t="shared" si="78"/>
        <v/>
      </c>
      <c r="T1059" s="41"/>
      <c r="U1059" s="44"/>
      <c r="V1059" s="44"/>
      <c r="W1059" s="46"/>
      <c r="X1059" s="46"/>
      <c r="Y1059" s="46"/>
      <c r="Z1059" s="22"/>
      <c r="AA1059" s="22"/>
      <c r="AB1059" s="22"/>
      <c r="AC1059" s="22"/>
      <c r="AD1059" s="22"/>
      <c r="AE1059" s="22"/>
      <c r="AF1059" s="48" t="str">
        <f t="shared" si="79"/>
        <v/>
      </c>
      <c r="AG1059" s="48" t="str">
        <f t="shared" si="80"/>
        <v/>
      </c>
      <c r="AH1059" s="48" t="str">
        <f t="shared" si="81"/>
        <v/>
      </c>
      <c r="AI1059" s="40" t="str">
        <f t="shared" si="82"/>
        <v/>
      </c>
      <c r="AJ1059" s="40"/>
      <c r="AK1059" s="40"/>
      <c r="AL1059" s="22"/>
    </row>
    <row r="1060" spans="1:38" ht="17.399999999999999">
      <c r="A1060" s="22"/>
      <c r="B1060" s="22"/>
      <c r="C1060" s="56"/>
      <c r="D1060" s="56"/>
      <c r="E1060" s="22"/>
      <c r="F1060" s="22"/>
      <c r="G1060" s="22"/>
      <c r="H1060" s="22"/>
      <c r="I1060" s="49"/>
      <c r="J1060" s="50"/>
      <c r="K1060" s="22"/>
      <c r="L1060" s="22"/>
      <c r="M1060" s="22"/>
      <c r="N1060" s="22"/>
      <c r="O1060" s="22"/>
      <c r="P1060" s="46"/>
      <c r="Q1060" s="40"/>
      <c r="R1060" s="41"/>
      <c r="S1060" s="22" t="str">
        <f t="shared" si="78"/>
        <v/>
      </c>
      <c r="T1060" s="41"/>
      <c r="U1060" s="44"/>
      <c r="V1060" s="44"/>
      <c r="W1060" s="46"/>
      <c r="X1060" s="46"/>
      <c r="Y1060" s="46"/>
      <c r="Z1060" s="22"/>
      <c r="AA1060" s="22"/>
      <c r="AB1060" s="22"/>
      <c r="AC1060" s="22"/>
      <c r="AD1060" s="22"/>
      <c r="AE1060" s="22"/>
      <c r="AF1060" s="48" t="str">
        <f t="shared" si="79"/>
        <v/>
      </c>
      <c r="AG1060" s="48" t="str">
        <f t="shared" si="80"/>
        <v/>
      </c>
      <c r="AH1060" s="48" t="str">
        <f t="shared" si="81"/>
        <v/>
      </c>
      <c r="AI1060" s="40" t="str">
        <f t="shared" si="82"/>
        <v/>
      </c>
      <c r="AJ1060" s="40"/>
      <c r="AK1060" s="40"/>
      <c r="AL1060" s="22"/>
    </row>
    <row r="1061" spans="1:38" ht="17.399999999999999">
      <c r="A1061" s="22"/>
      <c r="B1061" s="22"/>
      <c r="C1061" s="56"/>
      <c r="D1061" s="56"/>
      <c r="E1061" s="22"/>
      <c r="F1061" s="22"/>
      <c r="G1061" s="22"/>
      <c r="H1061" s="22"/>
      <c r="I1061" s="49"/>
      <c r="J1061" s="50"/>
      <c r="K1061" s="22"/>
      <c r="L1061" s="22"/>
      <c r="M1061" s="22"/>
      <c r="N1061" s="22"/>
      <c r="O1061" s="22"/>
      <c r="P1061" s="46"/>
      <c r="Q1061" s="40"/>
      <c r="R1061" s="41"/>
      <c r="S1061" s="22" t="str">
        <f t="shared" si="78"/>
        <v/>
      </c>
      <c r="T1061" s="41"/>
      <c r="U1061" s="44"/>
      <c r="V1061" s="44"/>
      <c r="W1061" s="46"/>
      <c r="X1061" s="46"/>
      <c r="Y1061" s="46"/>
      <c r="Z1061" s="22"/>
      <c r="AA1061" s="22"/>
      <c r="AB1061" s="22"/>
      <c r="AC1061" s="22"/>
      <c r="AD1061" s="22"/>
      <c r="AE1061" s="22"/>
      <c r="AF1061" s="48" t="str">
        <f t="shared" si="79"/>
        <v/>
      </c>
      <c r="AG1061" s="48" t="str">
        <f t="shared" si="80"/>
        <v/>
      </c>
      <c r="AH1061" s="48" t="str">
        <f t="shared" si="81"/>
        <v/>
      </c>
      <c r="AI1061" s="40" t="str">
        <f t="shared" si="82"/>
        <v/>
      </c>
      <c r="AJ1061" s="40"/>
      <c r="AK1061" s="40"/>
      <c r="AL1061" s="22"/>
    </row>
    <row r="1062" spans="1:38" ht="17.399999999999999">
      <c r="A1062" s="22"/>
      <c r="B1062" s="22"/>
      <c r="C1062" s="56"/>
      <c r="D1062" s="56"/>
      <c r="E1062" s="22"/>
      <c r="F1062" s="22"/>
      <c r="G1062" s="22"/>
      <c r="H1062" s="22"/>
      <c r="I1062" s="49"/>
      <c r="J1062" s="50"/>
      <c r="K1062" s="22"/>
      <c r="L1062" s="22"/>
      <c r="M1062" s="22"/>
      <c r="N1062" s="22"/>
      <c r="O1062" s="22"/>
      <c r="P1062" s="46"/>
      <c r="Q1062" s="40"/>
      <c r="R1062" s="41"/>
      <c r="S1062" s="22" t="str">
        <f t="shared" si="78"/>
        <v/>
      </c>
      <c r="T1062" s="41"/>
      <c r="U1062" s="44"/>
      <c r="V1062" s="44"/>
      <c r="W1062" s="46"/>
      <c r="X1062" s="46"/>
      <c r="Y1062" s="46"/>
      <c r="Z1062" s="22"/>
      <c r="AA1062" s="22"/>
      <c r="AB1062" s="22"/>
      <c r="AC1062" s="22"/>
      <c r="AD1062" s="22"/>
      <c r="AE1062" s="22"/>
      <c r="AF1062" s="48" t="str">
        <f t="shared" si="79"/>
        <v/>
      </c>
      <c r="AG1062" s="48" t="str">
        <f t="shared" si="80"/>
        <v/>
      </c>
      <c r="AH1062" s="48" t="str">
        <f t="shared" si="81"/>
        <v/>
      </c>
      <c r="AI1062" s="40" t="str">
        <f t="shared" si="82"/>
        <v/>
      </c>
      <c r="AJ1062" s="40"/>
      <c r="AK1062" s="40"/>
      <c r="AL1062" s="22"/>
    </row>
    <row r="1063" spans="1:38" ht="17.399999999999999">
      <c r="A1063" s="22"/>
      <c r="B1063" s="22"/>
      <c r="C1063" s="56"/>
      <c r="D1063" s="56"/>
      <c r="E1063" s="22"/>
      <c r="F1063" s="22"/>
      <c r="G1063" s="22"/>
      <c r="H1063" s="22"/>
      <c r="I1063" s="49"/>
      <c r="J1063" s="50"/>
      <c r="K1063" s="22"/>
      <c r="L1063" s="22"/>
      <c r="M1063" s="22"/>
      <c r="N1063" s="22"/>
      <c r="O1063" s="22"/>
      <c r="P1063" s="46"/>
      <c r="Q1063" s="40"/>
      <c r="R1063" s="41"/>
      <c r="S1063" s="22" t="str">
        <f t="shared" si="78"/>
        <v/>
      </c>
      <c r="T1063" s="41"/>
      <c r="U1063" s="44"/>
      <c r="V1063" s="44"/>
      <c r="W1063" s="46"/>
      <c r="X1063" s="46"/>
      <c r="Y1063" s="46"/>
      <c r="Z1063" s="22"/>
      <c r="AA1063" s="22"/>
      <c r="AB1063" s="22"/>
      <c r="AC1063" s="22"/>
      <c r="AD1063" s="22"/>
      <c r="AE1063" s="22"/>
      <c r="AF1063" s="48" t="str">
        <f t="shared" si="79"/>
        <v/>
      </c>
      <c r="AG1063" s="48" t="str">
        <f t="shared" si="80"/>
        <v/>
      </c>
      <c r="AH1063" s="48" t="str">
        <f t="shared" si="81"/>
        <v/>
      </c>
      <c r="AI1063" s="40" t="str">
        <f t="shared" si="82"/>
        <v/>
      </c>
      <c r="AJ1063" s="40"/>
      <c r="AK1063" s="40"/>
      <c r="AL1063" s="22"/>
    </row>
    <row r="1064" spans="1:38" ht="17.399999999999999">
      <c r="A1064" s="22"/>
      <c r="B1064" s="22"/>
      <c r="C1064" s="56"/>
      <c r="D1064" s="56"/>
      <c r="E1064" s="22"/>
      <c r="F1064" s="22"/>
      <c r="G1064" s="22"/>
      <c r="H1064" s="22"/>
      <c r="I1064" s="49"/>
      <c r="J1064" s="50"/>
      <c r="K1064" s="22"/>
      <c r="L1064" s="22"/>
      <c r="M1064" s="22"/>
      <c r="N1064" s="22"/>
      <c r="O1064" s="22"/>
      <c r="P1064" s="46"/>
      <c r="Q1064" s="40"/>
      <c r="R1064" s="41"/>
      <c r="S1064" s="22" t="str">
        <f t="shared" si="78"/>
        <v/>
      </c>
      <c r="T1064" s="41"/>
      <c r="U1064" s="44"/>
      <c r="V1064" s="44"/>
      <c r="W1064" s="46"/>
      <c r="X1064" s="46"/>
      <c r="Y1064" s="46"/>
      <c r="Z1064" s="22"/>
      <c r="AA1064" s="22"/>
      <c r="AB1064" s="22"/>
      <c r="AC1064" s="22"/>
      <c r="AD1064" s="22"/>
      <c r="AE1064" s="22"/>
      <c r="AF1064" s="48" t="str">
        <f t="shared" si="79"/>
        <v/>
      </c>
      <c r="AG1064" s="48" t="str">
        <f t="shared" si="80"/>
        <v/>
      </c>
      <c r="AH1064" s="48" t="str">
        <f t="shared" si="81"/>
        <v/>
      </c>
      <c r="AI1064" s="40" t="str">
        <f t="shared" si="82"/>
        <v/>
      </c>
      <c r="AJ1064" s="40"/>
      <c r="AK1064" s="40"/>
      <c r="AL1064" s="22"/>
    </row>
    <row r="1065" spans="1:38" ht="17.399999999999999">
      <c r="A1065" s="22"/>
      <c r="B1065" s="22"/>
      <c r="C1065" s="56"/>
      <c r="D1065" s="56"/>
      <c r="E1065" s="22"/>
      <c r="F1065" s="22"/>
      <c r="G1065" s="22"/>
      <c r="H1065" s="22"/>
      <c r="I1065" s="49"/>
      <c r="J1065" s="50"/>
      <c r="K1065" s="22"/>
      <c r="L1065" s="22"/>
      <c r="M1065" s="22"/>
      <c r="N1065" s="22"/>
      <c r="O1065" s="22"/>
      <c r="P1065" s="46"/>
      <c r="Q1065" s="40"/>
      <c r="R1065" s="41"/>
      <c r="S1065" s="22" t="str">
        <f t="shared" si="78"/>
        <v/>
      </c>
      <c r="T1065" s="41"/>
      <c r="U1065" s="44"/>
      <c r="V1065" s="44"/>
      <c r="W1065" s="46"/>
      <c r="X1065" s="46"/>
      <c r="Y1065" s="46"/>
      <c r="Z1065" s="22"/>
      <c r="AA1065" s="22"/>
      <c r="AB1065" s="22"/>
      <c r="AC1065" s="22"/>
      <c r="AD1065" s="22"/>
      <c r="AE1065" s="22"/>
      <c r="AF1065" s="48" t="str">
        <f t="shared" si="79"/>
        <v/>
      </c>
      <c r="AG1065" s="48" t="str">
        <f t="shared" si="80"/>
        <v/>
      </c>
      <c r="AH1065" s="48" t="str">
        <f t="shared" si="81"/>
        <v/>
      </c>
      <c r="AI1065" s="40" t="str">
        <f t="shared" si="82"/>
        <v/>
      </c>
      <c r="AJ1065" s="40"/>
      <c r="AK1065" s="40"/>
      <c r="AL1065" s="22"/>
    </row>
    <row r="1066" spans="1:38" ht="17.399999999999999">
      <c r="A1066" s="22"/>
      <c r="B1066" s="22"/>
      <c r="C1066" s="56"/>
      <c r="D1066" s="56"/>
      <c r="E1066" s="22"/>
      <c r="F1066" s="22"/>
      <c r="G1066" s="22"/>
      <c r="H1066" s="22"/>
      <c r="I1066" s="49"/>
      <c r="J1066" s="50"/>
      <c r="K1066" s="22"/>
      <c r="L1066" s="22"/>
      <c r="M1066" s="22"/>
      <c r="N1066" s="22"/>
      <c r="O1066" s="22"/>
      <c r="P1066" s="46"/>
      <c r="Q1066" s="40"/>
      <c r="R1066" s="41"/>
      <c r="S1066" s="22" t="str">
        <f t="shared" si="78"/>
        <v/>
      </c>
      <c r="T1066" s="41"/>
      <c r="U1066" s="44"/>
      <c r="V1066" s="44"/>
      <c r="W1066" s="46"/>
      <c r="X1066" s="46"/>
      <c r="Y1066" s="46"/>
      <c r="Z1066" s="22"/>
      <c r="AA1066" s="22"/>
      <c r="AB1066" s="22"/>
      <c r="AC1066" s="22"/>
      <c r="AD1066" s="22"/>
      <c r="AE1066" s="22"/>
      <c r="AF1066" s="48" t="str">
        <f t="shared" si="79"/>
        <v/>
      </c>
      <c r="AG1066" s="48" t="str">
        <f t="shared" si="80"/>
        <v/>
      </c>
      <c r="AH1066" s="48" t="str">
        <f t="shared" si="81"/>
        <v/>
      </c>
      <c r="AI1066" s="40" t="str">
        <f t="shared" si="82"/>
        <v/>
      </c>
      <c r="AJ1066" s="40"/>
      <c r="AK1066" s="40"/>
      <c r="AL1066" s="22"/>
    </row>
    <row r="1067" spans="1:38" ht="17.399999999999999">
      <c r="A1067" s="22"/>
      <c r="B1067" s="22"/>
      <c r="C1067" s="56"/>
      <c r="D1067" s="56"/>
      <c r="E1067" s="22"/>
      <c r="F1067" s="22"/>
      <c r="G1067" s="22"/>
      <c r="H1067" s="22"/>
      <c r="I1067" s="49"/>
      <c r="J1067" s="50"/>
      <c r="K1067" s="22"/>
      <c r="L1067" s="22"/>
      <c r="M1067" s="22"/>
      <c r="N1067" s="22"/>
      <c r="O1067" s="22"/>
      <c r="P1067" s="46"/>
      <c r="Q1067" s="40"/>
      <c r="R1067" s="41"/>
      <c r="S1067" s="22" t="str">
        <f t="shared" si="78"/>
        <v/>
      </c>
      <c r="T1067" s="41"/>
      <c r="U1067" s="44"/>
      <c r="V1067" s="44"/>
      <c r="W1067" s="46"/>
      <c r="X1067" s="46"/>
      <c r="Y1067" s="46"/>
      <c r="Z1067" s="22"/>
      <c r="AA1067" s="22"/>
      <c r="AB1067" s="22"/>
      <c r="AC1067" s="22"/>
      <c r="AD1067" s="22"/>
      <c r="AE1067" s="22"/>
      <c r="AF1067" s="48" t="str">
        <f t="shared" si="79"/>
        <v/>
      </c>
      <c r="AG1067" s="48" t="str">
        <f t="shared" si="80"/>
        <v/>
      </c>
      <c r="AH1067" s="48" t="str">
        <f t="shared" si="81"/>
        <v/>
      </c>
      <c r="AI1067" s="40" t="str">
        <f t="shared" si="82"/>
        <v/>
      </c>
      <c r="AJ1067" s="40"/>
      <c r="AK1067" s="40"/>
      <c r="AL1067" s="22"/>
    </row>
    <row r="1068" spans="1:38" ht="17.399999999999999">
      <c r="A1068" s="22"/>
      <c r="B1068" s="22"/>
      <c r="C1068" s="56"/>
      <c r="D1068" s="56"/>
      <c r="E1068" s="22"/>
      <c r="F1068" s="22"/>
      <c r="G1068" s="22"/>
      <c r="H1068" s="22"/>
      <c r="I1068" s="49"/>
      <c r="J1068" s="50"/>
      <c r="K1068" s="22"/>
      <c r="L1068" s="22"/>
      <c r="M1068" s="22"/>
      <c r="N1068" s="22"/>
      <c r="O1068" s="22"/>
      <c r="P1068" s="46"/>
      <c r="Q1068" s="40"/>
      <c r="R1068" s="41"/>
      <c r="S1068" s="22" t="str">
        <f t="shared" si="78"/>
        <v/>
      </c>
      <c r="T1068" s="41"/>
      <c r="U1068" s="44"/>
      <c r="V1068" s="44"/>
      <c r="W1068" s="46"/>
      <c r="X1068" s="46"/>
      <c r="Y1068" s="46"/>
      <c r="Z1068" s="22"/>
      <c r="AA1068" s="22"/>
      <c r="AB1068" s="22"/>
      <c r="AC1068" s="22"/>
      <c r="AD1068" s="22"/>
      <c r="AE1068" s="22"/>
      <c r="AF1068" s="48" t="str">
        <f t="shared" si="79"/>
        <v/>
      </c>
      <c r="AG1068" s="48" t="str">
        <f t="shared" si="80"/>
        <v/>
      </c>
      <c r="AH1068" s="48" t="str">
        <f t="shared" si="81"/>
        <v/>
      </c>
      <c r="AI1068" s="40" t="str">
        <f t="shared" si="82"/>
        <v/>
      </c>
      <c r="AJ1068" s="40"/>
      <c r="AK1068" s="40"/>
      <c r="AL1068" s="22"/>
    </row>
    <row r="1069" spans="1:38" ht="17.399999999999999">
      <c r="A1069" s="22"/>
      <c r="B1069" s="22"/>
      <c r="C1069" s="56"/>
      <c r="D1069" s="56"/>
      <c r="E1069" s="22"/>
      <c r="F1069" s="22"/>
      <c r="G1069" s="22"/>
      <c r="H1069" s="22"/>
      <c r="I1069" s="49"/>
      <c r="J1069" s="50"/>
      <c r="K1069" s="22"/>
      <c r="L1069" s="22"/>
      <c r="M1069" s="22"/>
      <c r="N1069" s="22"/>
      <c r="O1069" s="22"/>
      <c r="P1069" s="46"/>
      <c r="Q1069" s="40"/>
      <c r="R1069" s="41"/>
      <c r="S1069" s="22" t="str">
        <f t="shared" si="78"/>
        <v/>
      </c>
      <c r="T1069" s="41"/>
      <c r="U1069" s="44"/>
      <c r="V1069" s="44"/>
      <c r="W1069" s="46"/>
      <c r="X1069" s="46"/>
      <c r="Y1069" s="46"/>
      <c r="Z1069" s="22"/>
      <c r="AA1069" s="22"/>
      <c r="AB1069" s="22"/>
      <c r="AC1069" s="22"/>
      <c r="AD1069" s="22"/>
      <c r="AE1069" s="22"/>
      <c r="AF1069" s="48" t="str">
        <f t="shared" si="79"/>
        <v/>
      </c>
      <c r="AG1069" s="48" t="str">
        <f t="shared" si="80"/>
        <v/>
      </c>
      <c r="AH1069" s="48" t="str">
        <f t="shared" si="81"/>
        <v/>
      </c>
      <c r="AI1069" s="40" t="str">
        <f t="shared" si="82"/>
        <v/>
      </c>
      <c r="AJ1069" s="40"/>
      <c r="AK1069" s="40"/>
      <c r="AL1069" s="22"/>
    </row>
    <row r="1070" spans="1:38" ht="17.399999999999999">
      <c r="A1070" s="22"/>
      <c r="B1070" s="22"/>
      <c r="C1070" s="56"/>
      <c r="D1070" s="56"/>
      <c r="E1070" s="22"/>
      <c r="F1070" s="22"/>
      <c r="G1070" s="22"/>
      <c r="H1070" s="22"/>
      <c r="I1070" s="49"/>
      <c r="J1070" s="50"/>
      <c r="K1070" s="22"/>
      <c r="L1070" s="22"/>
      <c r="M1070" s="22"/>
      <c r="N1070" s="22"/>
      <c r="O1070" s="22"/>
      <c r="P1070" s="46"/>
      <c r="Q1070" s="40"/>
      <c r="R1070" s="41"/>
      <c r="S1070" s="22" t="str">
        <f t="shared" si="78"/>
        <v/>
      </c>
      <c r="T1070" s="41"/>
      <c r="U1070" s="44"/>
      <c r="V1070" s="44"/>
      <c r="W1070" s="46"/>
      <c r="X1070" s="46"/>
      <c r="Y1070" s="46"/>
      <c r="Z1070" s="22"/>
      <c r="AA1070" s="22"/>
      <c r="AB1070" s="22"/>
      <c r="AC1070" s="22"/>
      <c r="AD1070" s="22"/>
      <c r="AE1070" s="22"/>
      <c r="AF1070" s="48" t="str">
        <f t="shared" si="79"/>
        <v/>
      </c>
      <c r="AG1070" s="48" t="str">
        <f t="shared" si="80"/>
        <v/>
      </c>
      <c r="AH1070" s="48" t="str">
        <f t="shared" si="81"/>
        <v/>
      </c>
      <c r="AI1070" s="40" t="str">
        <f t="shared" si="82"/>
        <v/>
      </c>
      <c r="AJ1070" s="40"/>
      <c r="AK1070" s="40"/>
      <c r="AL1070" s="22"/>
    </row>
    <row r="1071" spans="1:38" ht="17.399999999999999">
      <c r="A1071" s="22"/>
      <c r="B1071" s="22"/>
      <c r="C1071" s="56"/>
      <c r="D1071" s="56"/>
      <c r="E1071" s="22"/>
      <c r="F1071" s="22"/>
      <c r="G1071" s="22"/>
      <c r="H1071" s="22"/>
      <c r="I1071" s="49"/>
      <c r="J1071" s="50"/>
      <c r="K1071" s="22"/>
      <c r="L1071" s="22"/>
      <c r="M1071" s="22"/>
      <c r="N1071" s="22"/>
      <c r="O1071" s="22"/>
      <c r="P1071" s="46"/>
      <c r="Q1071" s="40"/>
      <c r="R1071" s="41"/>
      <c r="S1071" s="22" t="str">
        <f t="shared" si="78"/>
        <v/>
      </c>
      <c r="T1071" s="41"/>
      <c r="U1071" s="44"/>
      <c r="V1071" s="44"/>
      <c r="W1071" s="46"/>
      <c r="X1071" s="46"/>
      <c r="Y1071" s="46"/>
      <c r="Z1071" s="22"/>
      <c r="AA1071" s="22"/>
      <c r="AB1071" s="22"/>
      <c r="AC1071" s="22"/>
      <c r="AD1071" s="22"/>
      <c r="AE1071" s="22"/>
      <c r="AF1071" s="48" t="str">
        <f t="shared" si="79"/>
        <v/>
      </c>
      <c r="AG1071" s="48" t="str">
        <f t="shared" si="80"/>
        <v/>
      </c>
      <c r="AH1071" s="48" t="str">
        <f t="shared" si="81"/>
        <v/>
      </c>
      <c r="AI1071" s="40" t="str">
        <f t="shared" si="82"/>
        <v/>
      </c>
      <c r="AJ1071" s="40"/>
      <c r="AK1071" s="40"/>
      <c r="AL1071" s="22"/>
    </row>
    <row r="1072" spans="1:38" ht="17.399999999999999">
      <c r="A1072" s="22"/>
      <c r="B1072" s="22"/>
      <c r="C1072" s="56"/>
      <c r="D1072" s="56"/>
      <c r="E1072" s="22"/>
      <c r="F1072" s="22"/>
      <c r="G1072" s="22"/>
      <c r="H1072" s="22"/>
      <c r="I1072" s="49"/>
      <c r="J1072" s="50"/>
      <c r="K1072" s="22"/>
      <c r="L1072" s="22"/>
      <c r="M1072" s="22"/>
      <c r="N1072" s="22"/>
      <c r="O1072" s="22"/>
      <c r="P1072" s="46"/>
      <c r="Q1072" s="40"/>
      <c r="R1072" s="41"/>
      <c r="S1072" s="22" t="str">
        <f t="shared" si="78"/>
        <v/>
      </c>
      <c r="T1072" s="41"/>
      <c r="U1072" s="44"/>
      <c r="V1072" s="44"/>
      <c r="W1072" s="46"/>
      <c r="X1072" s="46"/>
      <c r="Y1072" s="46"/>
      <c r="Z1072" s="22"/>
      <c r="AA1072" s="22"/>
      <c r="AB1072" s="22"/>
      <c r="AC1072" s="22"/>
      <c r="AD1072" s="22"/>
      <c r="AE1072" s="22"/>
      <c r="AF1072" s="48" t="str">
        <f t="shared" si="79"/>
        <v/>
      </c>
      <c r="AG1072" s="48" t="str">
        <f t="shared" si="80"/>
        <v/>
      </c>
      <c r="AH1072" s="48" t="str">
        <f t="shared" si="81"/>
        <v/>
      </c>
      <c r="AI1072" s="40" t="str">
        <f t="shared" si="82"/>
        <v/>
      </c>
      <c r="AJ1072" s="40"/>
      <c r="AK1072" s="40"/>
      <c r="AL1072" s="22"/>
    </row>
    <row r="1073" spans="1:38" ht="17.399999999999999">
      <c r="A1073" s="22"/>
      <c r="B1073" s="22"/>
      <c r="C1073" s="56"/>
      <c r="D1073" s="56"/>
      <c r="E1073" s="22"/>
      <c r="F1073" s="22"/>
      <c r="G1073" s="22"/>
      <c r="H1073" s="22"/>
      <c r="I1073" s="49"/>
      <c r="J1073" s="50"/>
      <c r="K1073" s="22"/>
      <c r="L1073" s="22"/>
      <c r="M1073" s="22"/>
      <c r="N1073" s="22"/>
      <c r="O1073" s="22"/>
      <c r="P1073" s="46"/>
      <c r="Q1073" s="40"/>
      <c r="R1073" s="41"/>
      <c r="S1073" s="22" t="str">
        <f t="shared" si="78"/>
        <v/>
      </c>
      <c r="T1073" s="41"/>
      <c r="U1073" s="44"/>
      <c r="V1073" s="44"/>
      <c r="W1073" s="46"/>
      <c r="X1073" s="46"/>
      <c r="Y1073" s="46"/>
      <c r="Z1073" s="22"/>
      <c r="AA1073" s="22"/>
      <c r="AB1073" s="22"/>
      <c r="AC1073" s="22"/>
      <c r="AD1073" s="22"/>
      <c r="AE1073" s="22"/>
      <c r="AF1073" s="48" t="str">
        <f t="shared" si="79"/>
        <v/>
      </c>
      <c r="AG1073" s="48" t="str">
        <f t="shared" si="80"/>
        <v/>
      </c>
      <c r="AH1073" s="48" t="str">
        <f t="shared" si="81"/>
        <v/>
      </c>
      <c r="AI1073" s="40" t="str">
        <f t="shared" si="82"/>
        <v/>
      </c>
      <c r="AJ1073" s="40"/>
      <c r="AK1073" s="40"/>
      <c r="AL1073" s="22"/>
    </row>
    <row r="1074" spans="1:38" ht="17.399999999999999">
      <c r="A1074" s="22"/>
      <c r="B1074" s="22"/>
      <c r="C1074" s="56"/>
      <c r="D1074" s="56"/>
      <c r="E1074" s="22"/>
      <c r="F1074" s="22"/>
      <c r="G1074" s="22"/>
      <c r="H1074" s="22"/>
      <c r="I1074" s="49"/>
      <c r="J1074" s="50"/>
      <c r="K1074" s="22"/>
      <c r="L1074" s="22"/>
      <c r="M1074" s="22"/>
      <c r="N1074" s="22"/>
      <c r="O1074" s="22"/>
      <c r="P1074" s="46"/>
      <c r="Q1074" s="40"/>
      <c r="R1074" s="41"/>
      <c r="S1074" s="22" t="str">
        <f t="shared" si="78"/>
        <v/>
      </c>
      <c r="T1074" s="41"/>
      <c r="U1074" s="44"/>
      <c r="V1074" s="44"/>
      <c r="W1074" s="46"/>
      <c r="X1074" s="46"/>
      <c r="Y1074" s="46"/>
      <c r="Z1074" s="22"/>
      <c r="AA1074" s="22"/>
      <c r="AB1074" s="22"/>
      <c r="AC1074" s="22"/>
      <c r="AD1074" s="22"/>
      <c r="AE1074" s="22"/>
      <c r="AF1074" s="48" t="str">
        <f t="shared" si="79"/>
        <v/>
      </c>
      <c r="AG1074" s="48" t="str">
        <f t="shared" si="80"/>
        <v/>
      </c>
      <c r="AH1074" s="48" t="str">
        <f t="shared" si="81"/>
        <v/>
      </c>
      <c r="AI1074" s="40" t="str">
        <f t="shared" si="82"/>
        <v/>
      </c>
      <c r="AJ1074" s="40"/>
      <c r="AK1074" s="40"/>
      <c r="AL1074" s="22"/>
    </row>
    <row r="1075" spans="1:38" ht="17.399999999999999">
      <c r="A1075" s="22"/>
      <c r="B1075" s="22"/>
      <c r="C1075" s="56"/>
      <c r="D1075" s="56"/>
      <c r="E1075" s="22"/>
      <c r="F1075" s="22"/>
      <c r="G1075" s="22"/>
      <c r="H1075" s="22"/>
      <c r="I1075" s="49"/>
      <c r="J1075" s="50"/>
      <c r="K1075" s="22"/>
      <c r="L1075" s="22"/>
      <c r="M1075" s="22"/>
      <c r="N1075" s="22"/>
      <c r="O1075" s="22"/>
      <c r="P1075" s="46"/>
      <c r="Q1075" s="40"/>
      <c r="R1075" s="41"/>
      <c r="S1075" s="22" t="str">
        <f t="shared" si="78"/>
        <v/>
      </c>
      <c r="T1075" s="41"/>
      <c r="U1075" s="44"/>
      <c r="V1075" s="44"/>
      <c r="W1075" s="46"/>
      <c r="X1075" s="46"/>
      <c r="Y1075" s="46"/>
      <c r="Z1075" s="22"/>
      <c r="AA1075" s="22"/>
      <c r="AB1075" s="22"/>
      <c r="AC1075" s="22"/>
      <c r="AD1075" s="22"/>
      <c r="AE1075" s="22"/>
      <c r="AF1075" s="48" t="str">
        <f t="shared" si="79"/>
        <v/>
      </c>
      <c r="AG1075" s="48" t="str">
        <f t="shared" si="80"/>
        <v/>
      </c>
      <c r="AH1075" s="48" t="str">
        <f t="shared" si="81"/>
        <v/>
      </c>
      <c r="AI1075" s="40" t="str">
        <f t="shared" si="82"/>
        <v/>
      </c>
      <c r="AJ1075" s="40"/>
      <c r="AK1075" s="40"/>
      <c r="AL1075" s="22"/>
    </row>
    <row r="1076" spans="1:38" ht="17.399999999999999">
      <c r="A1076" s="22"/>
      <c r="B1076" s="22"/>
      <c r="C1076" s="56"/>
      <c r="D1076" s="56"/>
      <c r="E1076" s="22"/>
      <c r="F1076" s="22"/>
      <c r="G1076" s="22"/>
      <c r="H1076" s="22"/>
      <c r="I1076" s="49"/>
      <c r="J1076" s="50"/>
      <c r="K1076" s="22"/>
      <c r="L1076" s="22"/>
      <c r="M1076" s="22"/>
      <c r="N1076" s="22"/>
      <c r="O1076" s="22"/>
      <c r="P1076" s="46"/>
      <c r="Q1076" s="40"/>
      <c r="R1076" s="41"/>
      <c r="S1076" s="22" t="str">
        <f t="shared" si="78"/>
        <v/>
      </c>
      <c r="T1076" s="41"/>
      <c r="U1076" s="44"/>
      <c r="V1076" s="44"/>
      <c r="W1076" s="46"/>
      <c r="X1076" s="46"/>
      <c r="Y1076" s="46"/>
      <c r="Z1076" s="22"/>
      <c r="AA1076" s="22"/>
      <c r="AB1076" s="22"/>
      <c r="AC1076" s="22"/>
      <c r="AD1076" s="22"/>
      <c r="AE1076" s="22"/>
      <c r="AF1076" s="48" t="str">
        <f t="shared" si="79"/>
        <v/>
      </c>
      <c r="AG1076" s="48" t="str">
        <f t="shared" si="80"/>
        <v/>
      </c>
      <c r="AH1076" s="48" t="str">
        <f t="shared" si="81"/>
        <v/>
      </c>
      <c r="AI1076" s="40" t="str">
        <f t="shared" si="82"/>
        <v/>
      </c>
      <c r="AJ1076" s="40"/>
      <c r="AK1076" s="40"/>
      <c r="AL1076" s="22"/>
    </row>
    <row r="1077" spans="1:38" ht="17.399999999999999">
      <c r="A1077" s="22"/>
      <c r="B1077" s="22"/>
      <c r="C1077" s="56"/>
      <c r="D1077" s="56"/>
      <c r="E1077" s="22"/>
      <c r="F1077" s="22"/>
      <c r="G1077" s="22"/>
      <c r="H1077" s="22"/>
      <c r="I1077" s="49"/>
      <c r="J1077" s="50"/>
      <c r="K1077" s="22"/>
      <c r="L1077" s="22"/>
      <c r="M1077" s="22"/>
      <c r="N1077" s="22"/>
      <c r="O1077" s="22"/>
      <c r="P1077" s="46"/>
      <c r="Q1077" s="40"/>
      <c r="R1077" s="41"/>
      <c r="S1077" s="22" t="str">
        <f t="shared" si="78"/>
        <v/>
      </c>
      <c r="T1077" s="41"/>
      <c r="U1077" s="44"/>
      <c r="V1077" s="44"/>
      <c r="W1077" s="46"/>
      <c r="X1077" s="46"/>
      <c r="Y1077" s="46"/>
      <c r="Z1077" s="22"/>
      <c r="AA1077" s="22"/>
      <c r="AB1077" s="22"/>
      <c r="AC1077" s="22"/>
      <c r="AD1077" s="22"/>
      <c r="AE1077" s="22"/>
      <c r="AF1077" s="48" t="str">
        <f t="shared" si="79"/>
        <v/>
      </c>
      <c r="AG1077" s="48" t="str">
        <f t="shared" si="80"/>
        <v/>
      </c>
      <c r="AH1077" s="48" t="str">
        <f t="shared" si="81"/>
        <v/>
      </c>
      <c r="AI1077" s="40" t="str">
        <f t="shared" si="82"/>
        <v/>
      </c>
      <c r="AJ1077" s="40"/>
      <c r="AK1077" s="40"/>
      <c r="AL1077" s="22"/>
    </row>
    <row r="1078" spans="1:38" ht="17.399999999999999">
      <c r="A1078" s="22"/>
      <c r="B1078" s="22"/>
      <c r="C1078" s="56"/>
      <c r="D1078" s="56"/>
      <c r="E1078" s="22"/>
      <c r="F1078" s="22"/>
      <c r="G1078" s="22"/>
      <c r="H1078" s="22"/>
      <c r="I1078" s="49"/>
      <c r="J1078" s="50"/>
      <c r="K1078" s="22"/>
      <c r="L1078" s="22"/>
      <c r="M1078" s="22"/>
      <c r="N1078" s="22"/>
      <c r="O1078" s="22"/>
      <c r="P1078" s="46"/>
      <c r="Q1078" s="40"/>
      <c r="R1078" s="41"/>
      <c r="S1078" s="22" t="str">
        <f t="shared" si="78"/>
        <v/>
      </c>
      <c r="T1078" s="41"/>
      <c r="U1078" s="44"/>
      <c r="V1078" s="44"/>
      <c r="W1078" s="46"/>
      <c r="X1078" s="46"/>
      <c r="Y1078" s="46"/>
      <c r="Z1078" s="22"/>
      <c r="AA1078" s="22"/>
      <c r="AB1078" s="22"/>
      <c r="AC1078" s="22"/>
      <c r="AD1078" s="22"/>
      <c r="AE1078" s="22"/>
      <c r="AF1078" s="48" t="str">
        <f t="shared" si="79"/>
        <v/>
      </c>
      <c r="AG1078" s="48" t="str">
        <f t="shared" si="80"/>
        <v/>
      </c>
      <c r="AH1078" s="48" t="str">
        <f t="shared" si="81"/>
        <v/>
      </c>
      <c r="AI1078" s="40" t="str">
        <f t="shared" si="82"/>
        <v/>
      </c>
      <c r="AJ1078" s="40"/>
      <c r="AK1078" s="40"/>
      <c r="AL1078" s="22"/>
    </row>
    <row r="1079" spans="1:38" ht="17.399999999999999">
      <c r="A1079" s="22"/>
      <c r="B1079" s="22"/>
      <c r="C1079" s="56"/>
      <c r="D1079" s="56"/>
      <c r="E1079" s="22"/>
      <c r="F1079" s="22"/>
      <c r="G1079" s="22"/>
      <c r="H1079" s="22"/>
      <c r="I1079" s="49"/>
      <c r="J1079" s="50"/>
      <c r="K1079" s="22"/>
      <c r="L1079" s="22"/>
      <c r="M1079" s="22"/>
      <c r="N1079" s="22"/>
      <c r="O1079" s="22"/>
      <c r="P1079" s="46"/>
      <c r="Q1079" s="40"/>
      <c r="R1079" s="41"/>
      <c r="S1079" s="22" t="str">
        <f t="shared" si="78"/>
        <v/>
      </c>
      <c r="T1079" s="41"/>
      <c r="U1079" s="44"/>
      <c r="V1079" s="44"/>
      <c r="W1079" s="46"/>
      <c r="X1079" s="46"/>
      <c r="Y1079" s="46"/>
      <c r="Z1079" s="22"/>
      <c r="AA1079" s="22"/>
      <c r="AB1079" s="22"/>
      <c r="AC1079" s="22"/>
      <c r="AD1079" s="22"/>
      <c r="AE1079" s="22"/>
      <c r="AF1079" s="48" t="str">
        <f t="shared" si="79"/>
        <v/>
      </c>
      <c r="AG1079" s="48" t="str">
        <f t="shared" si="80"/>
        <v/>
      </c>
      <c r="AH1079" s="48" t="str">
        <f t="shared" si="81"/>
        <v/>
      </c>
      <c r="AI1079" s="40" t="str">
        <f t="shared" si="82"/>
        <v/>
      </c>
      <c r="AJ1079" s="40"/>
      <c r="AK1079" s="40"/>
      <c r="AL1079" s="22"/>
    </row>
    <row r="1080" spans="1:38" ht="17.399999999999999">
      <c r="A1080" s="22"/>
      <c r="B1080" s="22"/>
      <c r="C1080" s="56"/>
      <c r="D1080" s="56"/>
      <c r="E1080" s="22"/>
      <c r="F1080" s="22"/>
      <c r="G1080" s="22"/>
      <c r="H1080" s="22"/>
      <c r="I1080" s="49"/>
      <c r="J1080" s="50"/>
      <c r="K1080" s="22"/>
      <c r="L1080" s="22"/>
      <c r="M1080" s="22"/>
      <c r="N1080" s="22"/>
      <c r="O1080" s="22"/>
      <c r="P1080" s="46"/>
      <c r="Q1080" s="40"/>
      <c r="R1080" s="41"/>
      <c r="S1080" s="22" t="str">
        <f t="shared" si="78"/>
        <v/>
      </c>
      <c r="T1080" s="41"/>
      <c r="U1080" s="44"/>
      <c r="V1080" s="44"/>
      <c r="W1080" s="46"/>
      <c r="X1080" s="46"/>
      <c r="Y1080" s="46"/>
      <c r="Z1080" s="22"/>
      <c r="AA1080" s="22"/>
      <c r="AB1080" s="22"/>
      <c r="AC1080" s="22"/>
      <c r="AD1080" s="22"/>
      <c r="AE1080" s="22"/>
      <c r="AF1080" s="48" t="str">
        <f t="shared" si="79"/>
        <v/>
      </c>
      <c r="AG1080" s="48" t="str">
        <f t="shared" si="80"/>
        <v/>
      </c>
      <c r="AH1080" s="48" t="str">
        <f t="shared" si="81"/>
        <v/>
      </c>
      <c r="AI1080" s="40" t="str">
        <f t="shared" si="82"/>
        <v/>
      </c>
      <c r="AJ1080" s="40"/>
      <c r="AK1080" s="40"/>
      <c r="AL1080" s="22"/>
    </row>
    <row r="1081" spans="1:38" ht="17.399999999999999">
      <c r="A1081" s="22"/>
      <c r="B1081" s="22"/>
      <c r="C1081" s="56"/>
      <c r="D1081" s="56"/>
      <c r="E1081" s="22"/>
      <c r="F1081" s="22"/>
      <c r="G1081" s="22"/>
      <c r="H1081" s="22"/>
      <c r="I1081" s="49"/>
      <c r="J1081" s="50"/>
      <c r="K1081" s="22"/>
      <c r="L1081" s="22"/>
      <c r="M1081" s="22"/>
      <c r="N1081" s="22"/>
      <c r="O1081" s="22"/>
      <c r="P1081" s="46"/>
      <c r="Q1081" s="40"/>
      <c r="R1081" s="41"/>
      <c r="S1081" s="22" t="str">
        <f t="shared" si="78"/>
        <v/>
      </c>
      <c r="T1081" s="41"/>
      <c r="U1081" s="44"/>
      <c r="V1081" s="44"/>
      <c r="W1081" s="46"/>
      <c r="X1081" s="46"/>
      <c r="Y1081" s="46"/>
      <c r="Z1081" s="22"/>
      <c r="AA1081" s="22"/>
      <c r="AB1081" s="22"/>
      <c r="AC1081" s="22"/>
      <c r="AD1081" s="22"/>
      <c r="AE1081" s="22"/>
      <c r="AF1081" s="48" t="str">
        <f t="shared" si="79"/>
        <v/>
      </c>
      <c r="AG1081" s="48" t="str">
        <f t="shared" si="80"/>
        <v/>
      </c>
      <c r="AH1081" s="48" t="str">
        <f t="shared" si="81"/>
        <v/>
      </c>
      <c r="AI1081" s="40" t="str">
        <f t="shared" si="82"/>
        <v/>
      </c>
      <c r="AJ1081" s="40"/>
      <c r="AK1081" s="40"/>
      <c r="AL1081" s="22"/>
    </row>
    <row r="1082" spans="1:38" ht="17.399999999999999">
      <c r="A1082" s="22"/>
      <c r="B1082" s="22"/>
      <c r="C1082" s="56"/>
      <c r="D1082" s="56"/>
      <c r="E1082" s="22"/>
      <c r="F1082" s="22"/>
      <c r="G1082" s="22"/>
      <c r="H1082" s="22"/>
      <c r="I1082" s="49"/>
      <c r="J1082" s="50"/>
      <c r="K1082" s="22"/>
      <c r="L1082" s="22"/>
      <c r="M1082" s="22"/>
      <c r="N1082" s="22"/>
      <c r="O1082" s="22"/>
      <c r="P1082" s="46"/>
      <c r="Q1082" s="40"/>
      <c r="R1082" s="41"/>
      <c r="S1082" s="22" t="str">
        <f t="shared" si="78"/>
        <v/>
      </c>
      <c r="T1082" s="41"/>
      <c r="U1082" s="44"/>
      <c r="V1082" s="44"/>
      <c r="W1082" s="46"/>
      <c r="X1082" s="46"/>
      <c r="Y1082" s="46"/>
      <c r="Z1082" s="22"/>
      <c r="AA1082" s="22"/>
      <c r="AB1082" s="22"/>
      <c r="AC1082" s="22"/>
      <c r="AD1082" s="22"/>
      <c r="AE1082" s="22"/>
      <c r="AF1082" s="48" t="str">
        <f t="shared" si="79"/>
        <v/>
      </c>
      <c r="AG1082" s="48" t="str">
        <f t="shared" si="80"/>
        <v/>
      </c>
      <c r="AH1082" s="48" t="str">
        <f t="shared" si="81"/>
        <v/>
      </c>
      <c r="AI1082" s="40" t="str">
        <f t="shared" si="82"/>
        <v/>
      </c>
      <c r="AJ1082" s="40"/>
      <c r="AK1082" s="40"/>
      <c r="AL1082" s="22"/>
    </row>
    <row r="1083" spans="1:38" ht="17.399999999999999">
      <c r="A1083" s="22"/>
      <c r="B1083" s="22"/>
      <c r="C1083" s="56"/>
      <c r="D1083" s="56"/>
      <c r="E1083" s="22"/>
      <c r="F1083" s="22"/>
      <c r="G1083" s="22"/>
      <c r="H1083" s="22"/>
      <c r="I1083" s="49"/>
      <c r="J1083" s="50"/>
      <c r="K1083" s="22"/>
      <c r="L1083" s="22"/>
      <c r="M1083" s="22"/>
      <c r="N1083" s="22"/>
      <c r="O1083" s="22"/>
      <c r="P1083" s="46"/>
      <c r="Q1083" s="40"/>
      <c r="R1083" s="41"/>
      <c r="S1083" s="22" t="str">
        <f t="shared" si="78"/>
        <v/>
      </c>
      <c r="T1083" s="41"/>
      <c r="U1083" s="44"/>
      <c r="V1083" s="44"/>
      <c r="W1083" s="46"/>
      <c r="X1083" s="46"/>
      <c r="Y1083" s="46"/>
      <c r="Z1083" s="22"/>
      <c r="AA1083" s="22"/>
      <c r="AB1083" s="22"/>
      <c r="AC1083" s="22"/>
      <c r="AD1083" s="22"/>
      <c r="AE1083" s="22"/>
      <c r="AF1083" s="48" t="str">
        <f t="shared" si="79"/>
        <v/>
      </c>
      <c r="AG1083" s="48" t="str">
        <f t="shared" si="80"/>
        <v/>
      </c>
      <c r="AH1083" s="48" t="str">
        <f t="shared" si="81"/>
        <v/>
      </c>
      <c r="AI1083" s="40" t="str">
        <f t="shared" si="82"/>
        <v/>
      </c>
      <c r="AJ1083" s="40"/>
      <c r="AK1083" s="40"/>
      <c r="AL1083" s="22"/>
    </row>
    <row r="1084" spans="1:38" ht="17.399999999999999">
      <c r="A1084" s="22"/>
      <c r="B1084" s="22"/>
      <c r="C1084" s="56"/>
      <c r="D1084" s="56"/>
      <c r="E1084" s="22"/>
      <c r="F1084" s="22"/>
      <c r="G1084" s="22"/>
      <c r="H1084" s="22"/>
      <c r="I1084" s="49"/>
      <c r="J1084" s="50"/>
      <c r="K1084" s="22"/>
      <c r="L1084" s="22"/>
      <c r="M1084" s="22"/>
      <c r="N1084" s="22"/>
      <c r="O1084" s="22"/>
      <c r="P1084" s="46"/>
      <c r="Q1084" s="40"/>
      <c r="R1084" s="41"/>
      <c r="S1084" s="22" t="str">
        <f t="shared" si="78"/>
        <v/>
      </c>
      <c r="T1084" s="41"/>
      <c r="U1084" s="44"/>
      <c r="V1084" s="44"/>
      <c r="W1084" s="46"/>
      <c r="X1084" s="46"/>
      <c r="Y1084" s="46"/>
      <c r="Z1084" s="22"/>
      <c r="AA1084" s="22"/>
      <c r="AB1084" s="22"/>
      <c r="AC1084" s="22"/>
      <c r="AD1084" s="22"/>
      <c r="AE1084" s="22"/>
      <c r="AF1084" s="48" t="str">
        <f t="shared" si="79"/>
        <v/>
      </c>
      <c r="AG1084" s="48" t="str">
        <f t="shared" si="80"/>
        <v/>
      </c>
      <c r="AH1084" s="48" t="str">
        <f t="shared" si="81"/>
        <v/>
      </c>
      <c r="AI1084" s="40" t="str">
        <f t="shared" si="82"/>
        <v/>
      </c>
      <c r="AJ1084" s="40"/>
      <c r="AK1084" s="40"/>
      <c r="AL1084" s="22"/>
    </row>
    <row r="1085" spans="1:38" ht="17.399999999999999">
      <c r="A1085" s="22"/>
      <c r="B1085" s="22"/>
      <c r="C1085" s="56"/>
      <c r="D1085" s="56"/>
      <c r="E1085" s="22"/>
      <c r="F1085" s="22"/>
      <c r="G1085" s="22"/>
      <c r="H1085" s="22"/>
      <c r="I1085" s="49"/>
      <c r="J1085" s="50"/>
      <c r="K1085" s="22"/>
      <c r="L1085" s="22"/>
      <c r="M1085" s="22"/>
      <c r="N1085" s="22"/>
      <c r="O1085" s="22"/>
      <c r="P1085" s="46"/>
      <c r="Q1085" s="40"/>
      <c r="R1085" s="41"/>
      <c r="S1085" s="22" t="str">
        <f t="shared" si="78"/>
        <v/>
      </c>
      <c r="T1085" s="41"/>
      <c r="U1085" s="44"/>
      <c r="V1085" s="44"/>
      <c r="W1085" s="46"/>
      <c r="X1085" s="46"/>
      <c r="Y1085" s="46"/>
      <c r="Z1085" s="22"/>
      <c r="AA1085" s="22"/>
      <c r="AB1085" s="22"/>
      <c r="AC1085" s="22"/>
      <c r="AD1085" s="22"/>
      <c r="AE1085" s="22"/>
      <c r="AF1085" s="48" t="str">
        <f t="shared" si="79"/>
        <v/>
      </c>
      <c r="AG1085" s="48" t="str">
        <f t="shared" si="80"/>
        <v/>
      </c>
      <c r="AH1085" s="48" t="str">
        <f t="shared" si="81"/>
        <v/>
      </c>
      <c r="AI1085" s="40" t="str">
        <f t="shared" si="82"/>
        <v/>
      </c>
      <c r="AJ1085" s="40"/>
      <c r="AK1085" s="40"/>
      <c r="AL1085" s="22"/>
    </row>
    <row r="1086" spans="1:38" ht="17.399999999999999">
      <c r="A1086" s="22"/>
      <c r="B1086" s="22"/>
      <c r="C1086" s="56"/>
      <c r="D1086" s="56"/>
      <c r="E1086" s="22"/>
      <c r="F1086" s="22"/>
      <c r="G1086" s="22"/>
      <c r="H1086" s="22"/>
      <c r="I1086" s="49"/>
      <c r="J1086" s="50"/>
      <c r="K1086" s="22"/>
      <c r="L1086" s="22"/>
      <c r="M1086" s="22"/>
      <c r="N1086" s="22"/>
      <c r="O1086" s="22"/>
      <c r="P1086" s="46"/>
      <c r="Q1086" s="40"/>
      <c r="R1086" s="41"/>
      <c r="S1086" s="22" t="str">
        <f t="shared" si="78"/>
        <v/>
      </c>
      <c r="T1086" s="41"/>
      <c r="U1086" s="44"/>
      <c r="V1086" s="44"/>
      <c r="W1086" s="46"/>
      <c r="X1086" s="46"/>
      <c r="Y1086" s="46"/>
      <c r="Z1086" s="22"/>
      <c r="AA1086" s="22"/>
      <c r="AB1086" s="22"/>
      <c r="AC1086" s="22"/>
      <c r="AD1086" s="22"/>
      <c r="AE1086" s="22"/>
      <c r="AF1086" s="48" t="str">
        <f t="shared" si="79"/>
        <v/>
      </c>
      <c r="AG1086" s="48" t="str">
        <f t="shared" si="80"/>
        <v/>
      </c>
      <c r="AH1086" s="48" t="str">
        <f t="shared" si="81"/>
        <v/>
      </c>
      <c r="AI1086" s="40" t="str">
        <f t="shared" si="82"/>
        <v/>
      </c>
      <c r="AJ1086" s="40"/>
      <c r="AK1086" s="40"/>
      <c r="AL1086" s="22"/>
    </row>
    <row r="1087" spans="1:38" ht="17.399999999999999">
      <c r="A1087" s="22"/>
      <c r="B1087" s="22"/>
      <c r="C1087" s="56"/>
      <c r="D1087" s="56"/>
      <c r="E1087" s="22"/>
      <c r="F1087" s="22"/>
      <c r="G1087" s="22"/>
      <c r="H1087" s="22"/>
      <c r="I1087" s="49"/>
      <c r="J1087" s="50"/>
      <c r="K1087" s="22"/>
      <c r="L1087" s="22"/>
      <c r="M1087" s="22"/>
      <c r="N1087" s="22"/>
      <c r="O1087" s="22"/>
      <c r="P1087" s="46"/>
      <c r="Q1087" s="40"/>
      <c r="R1087" s="41"/>
      <c r="S1087" s="22" t="str">
        <f t="shared" si="78"/>
        <v/>
      </c>
      <c r="T1087" s="41"/>
      <c r="U1087" s="44"/>
      <c r="V1087" s="44"/>
      <c r="W1087" s="46"/>
      <c r="X1087" s="46"/>
      <c r="Y1087" s="46"/>
      <c r="Z1087" s="22"/>
      <c r="AA1087" s="22"/>
      <c r="AB1087" s="22"/>
      <c r="AC1087" s="22"/>
      <c r="AD1087" s="22"/>
      <c r="AE1087" s="22"/>
      <c r="AF1087" s="48" t="str">
        <f t="shared" si="79"/>
        <v/>
      </c>
      <c r="AG1087" s="48" t="str">
        <f t="shared" si="80"/>
        <v/>
      </c>
      <c r="AH1087" s="48" t="str">
        <f t="shared" si="81"/>
        <v/>
      </c>
      <c r="AI1087" s="40" t="str">
        <f t="shared" si="82"/>
        <v/>
      </c>
      <c r="AJ1087" s="40"/>
      <c r="AK1087" s="40"/>
      <c r="AL1087" s="22"/>
    </row>
    <row r="1088" spans="1:38" ht="17.399999999999999">
      <c r="A1088" s="22"/>
      <c r="B1088" s="22"/>
      <c r="C1088" s="56"/>
      <c r="D1088" s="56"/>
      <c r="E1088" s="22"/>
      <c r="F1088" s="22"/>
      <c r="G1088" s="22"/>
      <c r="H1088" s="22"/>
      <c r="I1088" s="49"/>
      <c r="J1088" s="50"/>
      <c r="K1088" s="22"/>
      <c r="L1088" s="22"/>
      <c r="M1088" s="22"/>
      <c r="N1088" s="22"/>
      <c r="O1088" s="22"/>
      <c r="P1088" s="46"/>
      <c r="Q1088" s="40"/>
      <c r="R1088" s="41"/>
      <c r="S1088" s="22" t="str">
        <f t="shared" si="78"/>
        <v/>
      </c>
      <c r="T1088" s="41"/>
      <c r="U1088" s="44"/>
      <c r="V1088" s="44"/>
      <c r="W1088" s="46"/>
      <c r="X1088" s="46"/>
      <c r="Y1088" s="46"/>
      <c r="Z1088" s="22"/>
      <c r="AA1088" s="22"/>
      <c r="AB1088" s="22"/>
      <c r="AC1088" s="22"/>
      <c r="AD1088" s="22"/>
      <c r="AE1088" s="22"/>
      <c r="AF1088" s="48" t="str">
        <f t="shared" si="79"/>
        <v/>
      </c>
      <c r="AG1088" s="48" t="str">
        <f t="shared" si="80"/>
        <v/>
      </c>
      <c r="AH1088" s="48" t="str">
        <f t="shared" si="81"/>
        <v/>
      </c>
      <c r="AI1088" s="40" t="str">
        <f t="shared" si="82"/>
        <v/>
      </c>
      <c r="AJ1088" s="40"/>
      <c r="AK1088" s="40"/>
      <c r="AL1088" s="22"/>
    </row>
    <row r="1089" spans="1:38" ht="17.399999999999999">
      <c r="A1089" s="22"/>
      <c r="B1089" s="22"/>
      <c r="C1089" s="56"/>
      <c r="D1089" s="56"/>
      <c r="E1089" s="22"/>
      <c r="F1089" s="22"/>
      <c r="G1089" s="22"/>
      <c r="H1089" s="22"/>
      <c r="I1089" s="49"/>
      <c r="J1089" s="50"/>
      <c r="K1089" s="22"/>
      <c r="L1089" s="22"/>
      <c r="M1089" s="22"/>
      <c r="N1089" s="22"/>
      <c r="O1089" s="22"/>
      <c r="P1089" s="46"/>
      <c r="Q1089" s="40"/>
      <c r="R1089" s="41"/>
      <c r="S1089" s="22" t="str">
        <f t="shared" si="78"/>
        <v/>
      </c>
      <c r="T1089" s="41"/>
      <c r="U1089" s="44"/>
      <c r="V1089" s="44"/>
      <c r="W1089" s="46"/>
      <c r="X1089" s="46"/>
      <c r="Y1089" s="46"/>
      <c r="Z1089" s="22"/>
      <c r="AA1089" s="22"/>
      <c r="AB1089" s="22"/>
      <c r="AC1089" s="22"/>
      <c r="AD1089" s="22"/>
      <c r="AE1089" s="22"/>
      <c r="AF1089" s="48" t="str">
        <f t="shared" si="79"/>
        <v/>
      </c>
      <c r="AG1089" s="48" t="str">
        <f t="shared" si="80"/>
        <v/>
      </c>
      <c r="AH1089" s="48" t="str">
        <f t="shared" si="81"/>
        <v/>
      </c>
      <c r="AI1089" s="40" t="str">
        <f t="shared" si="82"/>
        <v/>
      </c>
      <c r="AJ1089" s="40"/>
      <c r="AK1089" s="40"/>
      <c r="AL1089" s="22"/>
    </row>
    <row r="1090" spans="1:38" ht="17.399999999999999">
      <c r="A1090" s="22"/>
      <c r="B1090" s="22"/>
      <c r="C1090" s="56"/>
      <c r="D1090" s="56"/>
      <c r="E1090" s="22"/>
      <c r="F1090" s="22"/>
      <c r="G1090" s="22"/>
      <c r="H1090" s="22"/>
      <c r="I1090" s="49"/>
      <c r="J1090" s="50"/>
      <c r="K1090" s="22"/>
      <c r="L1090" s="22"/>
      <c r="M1090" s="22"/>
      <c r="N1090" s="22"/>
      <c r="O1090" s="22"/>
      <c r="P1090" s="46"/>
      <c r="Q1090" s="40"/>
      <c r="R1090" s="41"/>
      <c r="S1090" s="22" t="str">
        <f t="shared" si="78"/>
        <v/>
      </c>
      <c r="T1090" s="41"/>
      <c r="U1090" s="44"/>
      <c r="V1090" s="44"/>
      <c r="W1090" s="46"/>
      <c r="X1090" s="46"/>
      <c r="Y1090" s="46"/>
      <c r="Z1090" s="22"/>
      <c r="AA1090" s="22"/>
      <c r="AB1090" s="22"/>
      <c r="AC1090" s="22"/>
      <c r="AD1090" s="22"/>
      <c r="AE1090" s="22"/>
      <c r="AF1090" s="48" t="str">
        <f t="shared" si="79"/>
        <v/>
      </c>
      <c r="AG1090" s="48" t="str">
        <f t="shared" si="80"/>
        <v/>
      </c>
      <c r="AH1090" s="48" t="str">
        <f t="shared" si="81"/>
        <v/>
      </c>
      <c r="AI1090" s="40" t="str">
        <f t="shared" si="82"/>
        <v/>
      </c>
      <c r="AJ1090" s="40"/>
      <c r="AK1090" s="40"/>
      <c r="AL1090" s="22"/>
    </row>
    <row r="1091" spans="1:38" ht="17.399999999999999">
      <c r="A1091" s="22"/>
      <c r="B1091" s="22"/>
      <c r="C1091" s="56"/>
      <c r="D1091" s="56"/>
      <c r="E1091" s="22"/>
      <c r="F1091" s="22"/>
      <c r="G1091" s="22"/>
      <c r="H1091" s="22"/>
      <c r="I1091" s="49"/>
      <c r="J1091" s="50"/>
      <c r="K1091" s="22"/>
      <c r="L1091" s="22"/>
      <c r="M1091" s="22"/>
      <c r="N1091" s="22"/>
      <c r="O1091" s="22"/>
      <c r="P1091" s="46"/>
      <c r="Q1091" s="40"/>
      <c r="R1091" s="41"/>
      <c r="S1091" s="22" t="str">
        <f t="shared" si="78"/>
        <v/>
      </c>
      <c r="T1091" s="41"/>
      <c r="U1091" s="44"/>
      <c r="V1091" s="44"/>
      <c r="W1091" s="46"/>
      <c r="X1091" s="46"/>
      <c r="Y1091" s="46"/>
      <c r="Z1091" s="22"/>
      <c r="AA1091" s="22"/>
      <c r="AB1091" s="22"/>
      <c r="AC1091" s="22"/>
      <c r="AD1091" s="22"/>
      <c r="AE1091" s="22"/>
      <c r="AF1091" s="48" t="str">
        <f t="shared" si="79"/>
        <v/>
      </c>
      <c r="AG1091" s="48" t="str">
        <f t="shared" si="80"/>
        <v/>
      </c>
      <c r="AH1091" s="48" t="str">
        <f t="shared" si="81"/>
        <v/>
      </c>
      <c r="AI1091" s="40" t="str">
        <f t="shared" si="82"/>
        <v/>
      </c>
      <c r="AJ1091" s="40"/>
      <c r="AK1091" s="40"/>
      <c r="AL1091" s="22"/>
    </row>
    <row r="1092" spans="1:38" ht="17.399999999999999">
      <c r="A1092" s="22"/>
      <c r="B1092" s="22"/>
      <c r="C1092" s="56"/>
      <c r="D1092" s="56"/>
      <c r="E1092" s="22"/>
      <c r="F1092" s="22"/>
      <c r="G1092" s="22"/>
      <c r="H1092" s="22"/>
      <c r="I1092" s="49"/>
      <c r="J1092" s="50"/>
      <c r="K1092" s="22"/>
      <c r="L1092" s="22"/>
      <c r="M1092" s="22"/>
      <c r="N1092" s="22"/>
      <c r="O1092" s="22"/>
      <c r="P1092" s="46"/>
      <c r="Q1092" s="40"/>
      <c r="R1092" s="41"/>
      <c r="S1092" s="22" t="str">
        <f t="shared" si="78"/>
        <v/>
      </c>
      <c r="T1092" s="41"/>
      <c r="U1092" s="44"/>
      <c r="V1092" s="44"/>
      <c r="W1092" s="46"/>
      <c r="X1092" s="46"/>
      <c r="Y1092" s="46"/>
      <c r="Z1092" s="22"/>
      <c r="AA1092" s="22"/>
      <c r="AB1092" s="22"/>
      <c r="AC1092" s="22"/>
      <c r="AD1092" s="22"/>
      <c r="AE1092" s="22"/>
      <c r="AF1092" s="48" t="str">
        <f t="shared" si="79"/>
        <v/>
      </c>
      <c r="AG1092" s="48" t="str">
        <f t="shared" si="80"/>
        <v/>
      </c>
      <c r="AH1092" s="48" t="str">
        <f t="shared" si="81"/>
        <v/>
      </c>
      <c r="AI1092" s="40" t="str">
        <f t="shared" si="82"/>
        <v/>
      </c>
      <c r="AJ1092" s="40"/>
      <c r="AK1092" s="40"/>
      <c r="AL1092" s="22"/>
    </row>
    <row r="1093" spans="1:38" ht="17.399999999999999">
      <c r="A1093" s="22"/>
      <c r="B1093" s="22"/>
      <c r="C1093" s="56"/>
      <c r="D1093" s="56"/>
      <c r="E1093" s="22"/>
      <c r="F1093" s="22"/>
      <c r="G1093" s="22"/>
      <c r="H1093" s="22"/>
      <c r="I1093" s="49"/>
      <c r="J1093" s="50"/>
      <c r="K1093" s="22"/>
      <c r="L1093" s="22"/>
      <c r="M1093" s="22"/>
      <c r="N1093" s="22"/>
      <c r="O1093" s="22"/>
      <c r="P1093" s="46"/>
      <c r="Q1093" s="40"/>
      <c r="R1093" s="41"/>
      <c r="S1093" s="22" t="str">
        <f t="shared" si="78"/>
        <v/>
      </c>
      <c r="T1093" s="41"/>
      <c r="U1093" s="44"/>
      <c r="V1093" s="44"/>
      <c r="W1093" s="46"/>
      <c r="X1093" s="46"/>
      <c r="Y1093" s="46"/>
      <c r="Z1093" s="22"/>
      <c r="AA1093" s="22"/>
      <c r="AB1093" s="22"/>
      <c r="AC1093" s="22"/>
      <c r="AD1093" s="22"/>
      <c r="AE1093" s="22"/>
      <c r="AF1093" s="48" t="str">
        <f t="shared" si="79"/>
        <v/>
      </c>
      <c r="AG1093" s="48" t="str">
        <f t="shared" si="80"/>
        <v/>
      </c>
      <c r="AH1093" s="48" t="str">
        <f t="shared" si="81"/>
        <v/>
      </c>
      <c r="AI1093" s="40" t="str">
        <f t="shared" si="82"/>
        <v/>
      </c>
      <c r="AJ1093" s="40"/>
      <c r="AK1093" s="40"/>
      <c r="AL1093" s="22"/>
    </row>
    <row r="1094" spans="1:38" ht="17.399999999999999">
      <c r="A1094" s="22"/>
      <c r="B1094" s="22"/>
      <c r="C1094" s="56"/>
      <c r="D1094" s="56"/>
      <c r="E1094" s="22"/>
      <c r="F1094" s="22"/>
      <c r="G1094" s="22"/>
      <c r="H1094" s="22"/>
      <c r="I1094" s="49"/>
      <c r="J1094" s="50"/>
      <c r="K1094" s="22"/>
      <c r="L1094" s="22"/>
      <c r="M1094" s="22"/>
      <c r="N1094" s="22"/>
      <c r="O1094" s="22"/>
      <c r="P1094" s="46"/>
      <c r="Q1094" s="40"/>
      <c r="R1094" s="41"/>
      <c r="S1094" s="22" t="str">
        <f t="shared" si="78"/>
        <v/>
      </c>
      <c r="T1094" s="41"/>
      <c r="U1094" s="44"/>
      <c r="V1094" s="44"/>
      <c r="W1094" s="46"/>
      <c r="X1094" s="46"/>
      <c r="Y1094" s="46"/>
      <c r="Z1094" s="22"/>
      <c r="AA1094" s="22"/>
      <c r="AB1094" s="22"/>
      <c r="AC1094" s="22"/>
      <c r="AD1094" s="22"/>
      <c r="AE1094" s="22"/>
      <c r="AF1094" s="48" t="str">
        <f t="shared" si="79"/>
        <v/>
      </c>
      <c r="AG1094" s="48" t="str">
        <f t="shared" si="80"/>
        <v/>
      </c>
      <c r="AH1094" s="48" t="str">
        <f t="shared" si="81"/>
        <v/>
      </c>
      <c r="AI1094" s="40" t="str">
        <f t="shared" si="82"/>
        <v/>
      </c>
      <c r="AJ1094" s="40"/>
      <c r="AK1094" s="40"/>
      <c r="AL1094" s="22"/>
    </row>
    <row r="1095" spans="1:38" ht="17.399999999999999">
      <c r="A1095" s="22"/>
      <c r="B1095" s="22"/>
      <c r="C1095" s="56"/>
      <c r="D1095" s="56"/>
      <c r="E1095" s="22"/>
      <c r="F1095" s="22"/>
      <c r="G1095" s="22"/>
      <c r="H1095" s="22"/>
      <c r="I1095" s="49"/>
      <c r="J1095" s="50"/>
      <c r="K1095" s="22"/>
      <c r="L1095" s="22"/>
      <c r="M1095" s="22"/>
      <c r="N1095" s="22"/>
      <c r="O1095" s="22"/>
      <c r="P1095" s="46"/>
      <c r="Q1095" s="40"/>
      <c r="R1095" s="41"/>
      <c r="S1095" s="22" t="str">
        <f t="shared" si="78"/>
        <v/>
      </c>
      <c r="T1095" s="41"/>
      <c r="U1095" s="44"/>
      <c r="V1095" s="44"/>
      <c r="W1095" s="46"/>
      <c r="X1095" s="46"/>
      <c r="Y1095" s="46"/>
      <c r="Z1095" s="22"/>
      <c r="AA1095" s="22"/>
      <c r="AB1095" s="22"/>
      <c r="AC1095" s="22"/>
      <c r="AD1095" s="22"/>
      <c r="AE1095" s="22"/>
      <c r="AF1095" s="48" t="str">
        <f t="shared" si="79"/>
        <v/>
      </c>
      <c r="AG1095" s="48" t="str">
        <f t="shared" si="80"/>
        <v/>
      </c>
      <c r="AH1095" s="48" t="str">
        <f t="shared" si="81"/>
        <v/>
      </c>
      <c r="AI1095" s="40" t="str">
        <f t="shared" si="82"/>
        <v/>
      </c>
      <c r="AJ1095" s="40"/>
      <c r="AK1095" s="40"/>
      <c r="AL1095" s="22"/>
    </row>
    <row r="1096" spans="1:38" ht="17.399999999999999">
      <c r="A1096" s="22"/>
      <c r="B1096" s="22"/>
      <c r="C1096" s="56"/>
      <c r="D1096" s="56"/>
      <c r="E1096" s="22"/>
      <c r="F1096" s="22"/>
      <c r="G1096" s="22"/>
      <c r="H1096" s="22"/>
      <c r="I1096" s="49"/>
      <c r="J1096" s="50"/>
      <c r="K1096" s="22"/>
      <c r="L1096" s="22"/>
      <c r="M1096" s="22"/>
      <c r="N1096" s="22"/>
      <c r="O1096" s="22"/>
      <c r="P1096" s="46"/>
      <c r="Q1096" s="40"/>
      <c r="R1096" s="41"/>
      <c r="S1096" s="22" t="str">
        <f t="shared" si="78"/>
        <v/>
      </c>
      <c r="T1096" s="41"/>
      <c r="U1096" s="44"/>
      <c r="V1096" s="44"/>
      <c r="W1096" s="46"/>
      <c r="X1096" s="46"/>
      <c r="Y1096" s="46"/>
      <c r="Z1096" s="22"/>
      <c r="AA1096" s="22"/>
      <c r="AB1096" s="22"/>
      <c r="AC1096" s="22"/>
      <c r="AD1096" s="22"/>
      <c r="AE1096" s="22"/>
      <c r="AF1096" s="48" t="str">
        <f t="shared" si="79"/>
        <v/>
      </c>
      <c r="AG1096" s="48" t="str">
        <f t="shared" si="80"/>
        <v/>
      </c>
      <c r="AH1096" s="48" t="str">
        <f t="shared" si="81"/>
        <v/>
      </c>
      <c r="AI1096" s="40" t="str">
        <f t="shared" si="82"/>
        <v/>
      </c>
      <c r="AJ1096" s="40"/>
      <c r="AK1096" s="40"/>
      <c r="AL1096" s="22"/>
    </row>
    <row r="1097" spans="1:38" ht="17.399999999999999">
      <c r="A1097" s="22"/>
      <c r="B1097" s="22"/>
      <c r="C1097" s="56"/>
      <c r="D1097" s="56"/>
      <c r="E1097" s="22"/>
      <c r="F1097" s="22"/>
      <c r="G1097" s="22"/>
      <c r="H1097" s="22"/>
      <c r="I1097" s="49"/>
      <c r="J1097" s="50"/>
      <c r="K1097" s="22"/>
      <c r="L1097" s="22"/>
      <c r="M1097" s="22"/>
      <c r="N1097" s="22"/>
      <c r="O1097" s="22"/>
      <c r="P1097" s="46"/>
      <c r="Q1097" s="40"/>
      <c r="R1097" s="41"/>
      <c r="S1097" s="22" t="str">
        <f t="shared" si="78"/>
        <v/>
      </c>
      <c r="T1097" s="41"/>
      <c r="U1097" s="44"/>
      <c r="V1097" s="44"/>
      <c r="W1097" s="46"/>
      <c r="X1097" s="46"/>
      <c r="Y1097" s="46"/>
      <c r="Z1097" s="22"/>
      <c r="AA1097" s="22"/>
      <c r="AB1097" s="22"/>
      <c r="AC1097" s="22"/>
      <c r="AD1097" s="22"/>
      <c r="AE1097" s="22"/>
      <c r="AF1097" s="48" t="str">
        <f t="shared" si="79"/>
        <v/>
      </c>
      <c r="AG1097" s="48" t="str">
        <f t="shared" si="80"/>
        <v/>
      </c>
      <c r="AH1097" s="48" t="str">
        <f t="shared" si="81"/>
        <v/>
      </c>
      <c r="AI1097" s="40" t="str">
        <f t="shared" si="82"/>
        <v/>
      </c>
      <c r="AJ1097" s="40"/>
      <c r="AK1097" s="40"/>
      <c r="AL1097" s="22"/>
    </row>
    <row r="1098" spans="1:38" ht="17.399999999999999">
      <c r="A1098" s="22"/>
      <c r="B1098" s="22"/>
      <c r="C1098" s="56"/>
      <c r="D1098" s="56"/>
      <c r="E1098" s="22"/>
      <c r="F1098" s="22"/>
      <c r="G1098" s="22"/>
      <c r="H1098" s="22"/>
      <c r="I1098" s="49"/>
      <c r="J1098" s="50"/>
      <c r="K1098" s="22"/>
      <c r="L1098" s="22"/>
      <c r="M1098" s="22"/>
      <c r="N1098" s="22"/>
      <c r="O1098" s="22"/>
      <c r="P1098" s="46"/>
      <c r="Q1098" s="40"/>
      <c r="R1098" s="41"/>
      <c r="S1098" s="22" t="str">
        <f t="shared" si="78"/>
        <v/>
      </c>
      <c r="T1098" s="41"/>
      <c r="U1098" s="44"/>
      <c r="V1098" s="44"/>
      <c r="W1098" s="46"/>
      <c r="X1098" s="46"/>
      <c r="Y1098" s="46"/>
      <c r="Z1098" s="22"/>
      <c r="AA1098" s="22"/>
      <c r="AB1098" s="22"/>
      <c r="AC1098" s="22"/>
      <c r="AD1098" s="22"/>
      <c r="AE1098" s="22"/>
      <c r="AF1098" s="48" t="str">
        <f t="shared" si="79"/>
        <v/>
      </c>
      <c r="AG1098" s="48" t="str">
        <f t="shared" si="80"/>
        <v/>
      </c>
      <c r="AH1098" s="48" t="str">
        <f t="shared" si="81"/>
        <v/>
      </c>
      <c r="AI1098" s="40" t="str">
        <f t="shared" si="82"/>
        <v/>
      </c>
      <c r="AJ1098" s="40"/>
      <c r="AK1098" s="40"/>
      <c r="AL1098" s="22"/>
    </row>
    <row r="1099" spans="1:38" ht="17.399999999999999">
      <c r="A1099" s="22"/>
      <c r="B1099" s="22"/>
      <c r="C1099" s="56"/>
      <c r="D1099" s="56"/>
      <c r="E1099" s="22"/>
      <c r="F1099" s="22"/>
      <c r="G1099" s="22"/>
      <c r="H1099" s="22"/>
      <c r="I1099" s="49"/>
      <c r="J1099" s="50"/>
      <c r="K1099" s="22"/>
      <c r="L1099" s="22"/>
      <c r="M1099" s="22"/>
      <c r="N1099" s="22"/>
      <c r="O1099" s="22"/>
      <c r="P1099" s="46"/>
      <c r="Q1099" s="40"/>
      <c r="R1099" s="41"/>
      <c r="S1099" s="22" t="str">
        <f t="shared" si="78"/>
        <v/>
      </c>
      <c r="T1099" s="41"/>
      <c r="U1099" s="44"/>
      <c r="V1099" s="44"/>
      <c r="W1099" s="46"/>
      <c r="X1099" s="46"/>
      <c r="Y1099" s="46"/>
      <c r="Z1099" s="22"/>
      <c r="AA1099" s="22"/>
      <c r="AB1099" s="22"/>
      <c r="AC1099" s="22"/>
      <c r="AD1099" s="22"/>
      <c r="AE1099" s="22"/>
      <c r="AF1099" s="48" t="str">
        <f t="shared" si="79"/>
        <v/>
      </c>
      <c r="AG1099" s="48" t="str">
        <f t="shared" si="80"/>
        <v/>
      </c>
      <c r="AH1099" s="48" t="str">
        <f t="shared" si="81"/>
        <v/>
      </c>
      <c r="AI1099" s="40" t="str">
        <f t="shared" si="82"/>
        <v/>
      </c>
      <c r="AJ1099" s="40"/>
      <c r="AK1099" s="40"/>
      <c r="AL1099" s="22"/>
    </row>
    <row r="1100" spans="1:38" ht="17.399999999999999">
      <c r="A1100" s="22"/>
      <c r="B1100" s="22"/>
      <c r="C1100" s="56"/>
      <c r="D1100" s="56"/>
      <c r="E1100" s="22"/>
      <c r="F1100" s="22"/>
      <c r="G1100" s="22"/>
      <c r="H1100" s="22"/>
      <c r="I1100" s="49"/>
      <c r="J1100" s="50"/>
      <c r="K1100" s="22"/>
      <c r="L1100" s="22"/>
      <c r="M1100" s="22"/>
      <c r="N1100" s="22"/>
      <c r="O1100" s="22"/>
      <c r="P1100" s="46"/>
      <c r="Q1100" s="40"/>
      <c r="R1100" s="41"/>
      <c r="S1100" s="22" t="str">
        <f t="shared" si="78"/>
        <v/>
      </c>
      <c r="T1100" s="41"/>
      <c r="U1100" s="44"/>
      <c r="V1100" s="44"/>
      <c r="W1100" s="46"/>
      <c r="X1100" s="46"/>
      <c r="Y1100" s="46"/>
      <c r="Z1100" s="22"/>
      <c r="AA1100" s="22"/>
      <c r="AB1100" s="22"/>
      <c r="AC1100" s="22"/>
      <c r="AD1100" s="22"/>
      <c r="AE1100" s="22"/>
      <c r="AF1100" s="48" t="str">
        <f t="shared" si="79"/>
        <v/>
      </c>
      <c r="AG1100" s="48" t="str">
        <f t="shared" si="80"/>
        <v/>
      </c>
      <c r="AH1100" s="48" t="str">
        <f t="shared" si="81"/>
        <v/>
      </c>
      <c r="AI1100" s="40" t="str">
        <f t="shared" si="82"/>
        <v/>
      </c>
      <c r="AJ1100" s="40"/>
      <c r="AK1100" s="40"/>
      <c r="AL1100" s="22"/>
    </row>
    <row r="1101" spans="1:38" ht="17.399999999999999">
      <c r="A1101" s="22"/>
      <c r="B1101" s="22"/>
      <c r="C1101" s="56"/>
      <c r="D1101" s="56"/>
      <c r="E1101" s="22"/>
      <c r="F1101" s="22"/>
      <c r="G1101" s="22"/>
      <c r="H1101" s="22"/>
      <c r="I1101" s="49"/>
      <c r="J1101" s="50"/>
      <c r="K1101" s="22"/>
      <c r="L1101" s="22"/>
      <c r="M1101" s="22"/>
      <c r="N1101" s="22"/>
      <c r="O1101" s="22"/>
      <c r="P1101" s="46"/>
      <c r="Q1101" s="40"/>
      <c r="R1101" s="41"/>
      <c r="S1101" s="22" t="str">
        <f t="shared" si="78"/>
        <v/>
      </c>
      <c r="T1101" s="41"/>
      <c r="U1101" s="44"/>
      <c r="V1101" s="44"/>
      <c r="W1101" s="46"/>
      <c r="X1101" s="46"/>
      <c r="Y1101" s="46"/>
      <c r="Z1101" s="22"/>
      <c r="AA1101" s="22"/>
      <c r="AB1101" s="22"/>
      <c r="AC1101" s="22"/>
      <c r="AD1101" s="22"/>
      <c r="AE1101" s="22"/>
      <c r="AF1101" s="48" t="str">
        <f t="shared" si="79"/>
        <v/>
      </c>
      <c r="AG1101" s="48" t="str">
        <f t="shared" si="80"/>
        <v/>
      </c>
      <c r="AH1101" s="48" t="str">
        <f t="shared" si="81"/>
        <v/>
      </c>
      <c r="AI1101" s="40" t="str">
        <f t="shared" si="82"/>
        <v/>
      </c>
      <c r="AJ1101" s="40"/>
      <c r="AK1101" s="40"/>
      <c r="AL1101" s="22"/>
    </row>
    <row r="1102" spans="1:38" ht="17.399999999999999">
      <c r="A1102" s="22"/>
      <c r="B1102" s="22"/>
      <c r="C1102" s="56"/>
      <c r="D1102" s="56"/>
      <c r="E1102" s="22"/>
      <c r="F1102" s="22"/>
      <c r="G1102" s="22"/>
      <c r="H1102" s="22"/>
      <c r="I1102" s="49"/>
      <c r="J1102" s="50"/>
      <c r="K1102" s="22"/>
      <c r="L1102" s="22"/>
      <c r="M1102" s="22"/>
      <c r="N1102" s="22"/>
      <c r="O1102" s="22"/>
      <c r="P1102" s="46"/>
      <c r="Q1102" s="40"/>
      <c r="R1102" s="41"/>
      <c r="S1102" s="22" t="str">
        <f t="shared" si="78"/>
        <v/>
      </c>
      <c r="T1102" s="41"/>
      <c r="U1102" s="44"/>
      <c r="V1102" s="44"/>
      <c r="W1102" s="46"/>
      <c r="X1102" s="46"/>
      <c r="Y1102" s="46"/>
      <c r="Z1102" s="22"/>
      <c r="AA1102" s="22"/>
      <c r="AB1102" s="22"/>
      <c r="AC1102" s="22"/>
      <c r="AD1102" s="22"/>
      <c r="AE1102" s="22"/>
      <c r="AF1102" s="48" t="str">
        <f t="shared" si="79"/>
        <v/>
      </c>
      <c r="AG1102" s="48" t="str">
        <f t="shared" si="80"/>
        <v/>
      </c>
      <c r="AH1102" s="48" t="str">
        <f t="shared" si="81"/>
        <v/>
      </c>
      <c r="AI1102" s="40" t="str">
        <f t="shared" si="82"/>
        <v/>
      </c>
      <c r="AJ1102" s="40"/>
      <c r="AK1102" s="40"/>
      <c r="AL1102" s="22"/>
    </row>
    <row r="1103" spans="1:38" ht="17.399999999999999">
      <c r="A1103" s="22"/>
      <c r="B1103" s="22"/>
      <c r="C1103" s="56"/>
      <c r="D1103" s="56"/>
      <c r="E1103" s="22"/>
      <c r="F1103" s="22"/>
      <c r="G1103" s="22"/>
      <c r="H1103" s="22"/>
      <c r="I1103" s="49"/>
      <c r="J1103" s="50"/>
      <c r="K1103" s="22"/>
      <c r="L1103" s="22"/>
      <c r="M1103" s="22"/>
      <c r="N1103" s="22"/>
      <c r="O1103" s="22"/>
      <c r="P1103" s="46"/>
      <c r="Q1103" s="40"/>
      <c r="R1103" s="41"/>
      <c r="S1103" s="22" t="str">
        <f t="shared" si="78"/>
        <v/>
      </c>
      <c r="T1103" s="41"/>
      <c r="U1103" s="44"/>
      <c r="V1103" s="44"/>
      <c r="W1103" s="46"/>
      <c r="X1103" s="46"/>
      <c r="Y1103" s="46"/>
      <c r="Z1103" s="22"/>
      <c r="AA1103" s="22"/>
      <c r="AB1103" s="22"/>
      <c r="AC1103" s="22"/>
      <c r="AD1103" s="22"/>
      <c r="AE1103" s="22"/>
      <c r="AF1103" s="48" t="str">
        <f t="shared" si="79"/>
        <v/>
      </c>
      <c r="AG1103" s="48" t="str">
        <f t="shared" si="80"/>
        <v/>
      </c>
      <c r="AH1103" s="48" t="str">
        <f t="shared" si="81"/>
        <v/>
      </c>
      <c r="AI1103" s="40" t="str">
        <f t="shared" si="82"/>
        <v/>
      </c>
      <c r="AJ1103" s="40"/>
      <c r="AK1103" s="40"/>
      <c r="AL1103" s="22"/>
    </row>
    <row r="1104" spans="1:38" ht="17.399999999999999">
      <c r="A1104" s="22"/>
      <c r="B1104" s="22"/>
      <c r="C1104" s="56"/>
      <c r="D1104" s="56"/>
      <c r="E1104" s="22"/>
      <c r="F1104" s="22"/>
      <c r="G1104" s="22"/>
      <c r="H1104" s="22"/>
      <c r="I1104" s="49"/>
      <c r="J1104" s="50"/>
      <c r="K1104" s="22"/>
      <c r="L1104" s="22"/>
      <c r="M1104" s="22"/>
      <c r="N1104" s="22"/>
      <c r="O1104" s="22"/>
      <c r="P1104" s="46"/>
      <c r="Q1104" s="40"/>
      <c r="R1104" s="41"/>
      <c r="S1104" s="22" t="str">
        <f t="shared" si="78"/>
        <v/>
      </c>
      <c r="T1104" s="41"/>
      <c r="U1104" s="44"/>
      <c r="V1104" s="44"/>
      <c r="W1104" s="46"/>
      <c r="X1104" s="46"/>
      <c r="Y1104" s="46"/>
      <c r="Z1104" s="22"/>
      <c r="AA1104" s="22"/>
      <c r="AB1104" s="22"/>
      <c r="AC1104" s="22"/>
      <c r="AD1104" s="22"/>
      <c r="AE1104" s="22"/>
      <c r="AF1104" s="48" t="str">
        <f t="shared" si="79"/>
        <v/>
      </c>
      <c r="AG1104" s="48" t="str">
        <f t="shared" si="80"/>
        <v/>
      </c>
      <c r="AH1104" s="48" t="str">
        <f t="shared" si="81"/>
        <v/>
      </c>
      <c r="AI1104" s="40" t="str">
        <f t="shared" si="82"/>
        <v/>
      </c>
      <c r="AJ1104" s="40"/>
      <c r="AK1104" s="40"/>
      <c r="AL1104" s="22"/>
    </row>
    <row r="1105" spans="1:38" ht="17.399999999999999">
      <c r="A1105" s="22"/>
      <c r="B1105" s="22"/>
      <c r="C1105" s="56"/>
      <c r="D1105" s="56"/>
      <c r="E1105" s="22"/>
      <c r="F1105" s="22"/>
      <c r="G1105" s="22"/>
      <c r="H1105" s="22"/>
      <c r="I1105" s="49"/>
      <c r="J1105" s="50"/>
      <c r="K1105" s="22"/>
      <c r="L1105" s="22"/>
      <c r="M1105" s="22"/>
      <c r="N1105" s="22"/>
      <c r="O1105" s="22"/>
      <c r="P1105" s="46"/>
      <c r="Q1105" s="40"/>
      <c r="R1105" s="41"/>
      <c r="S1105" s="22" t="str">
        <f t="shared" si="78"/>
        <v/>
      </c>
      <c r="T1105" s="41"/>
      <c r="U1105" s="44"/>
      <c r="V1105" s="44"/>
      <c r="W1105" s="46"/>
      <c r="X1105" s="46"/>
      <c r="Y1105" s="46"/>
      <c r="Z1105" s="22"/>
      <c r="AA1105" s="22"/>
      <c r="AB1105" s="22"/>
      <c r="AC1105" s="22"/>
      <c r="AD1105" s="22"/>
      <c r="AE1105" s="22"/>
      <c r="AF1105" s="48" t="str">
        <f t="shared" si="79"/>
        <v/>
      </c>
      <c r="AG1105" s="48" t="str">
        <f t="shared" si="80"/>
        <v/>
      </c>
      <c r="AH1105" s="48" t="str">
        <f t="shared" si="81"/>
        <v/>
      </c>
      <c r="AI1105" s="40" t="str">
        <f t="shared" si="82"/>
        <v/>
      </c>
      <c r="AJ1105" s="40"/>
      <c r="AK1105" s="40"/>
      <c r="AL1105" s="22"/>
    </row>
    <row r="1106" spans="1:38" ht="17.399999999999999">
      <c r="A1106" s="22"/>
      <c r="B1106" s="22"/>
      <c r="C1106" s="56"/>
      <c r="D1106" s="56"/>
      <c r="E1106" s="22"/>
      <c r="F1106" s="22"/>
      <c r="G1106" s="22"/>
      <c r="H1106" s="22"/>
      <c r="I1106" s="49"/>
      <c r="J1106" s="50"/>
      <c r="K1106" s="22"/>
      <c r="L1106" s="22"/>
      <c r="M1106" s="22"/>
      <c r="N1106" s="22"/>
      <c r="O1106" s="22"/>
      <c r="P1106" s="46"/>
      <c r="Q1106" s="40"/>
      <c r="R1106" s="41"/>
      <c r="S1106" s="22" t="str">
        <f t="shared" si="78"/>
        <v/>
      </c>
      <c r="T1106" s="41"/>
      <c r="U1106" s="44"/>
      <c r="V1106" s="44"/>
      <c r="W1106" s="46"/>
      <c r="X1106" s="46"/>
      <c r="Y1106" s="46"/>
      <c r="Z1106" s="22"/>
      <c r="AA1106" s="22"/>
      <c r="AB1106" s="22"/>
      <c r="AC1106" s="22"/>
      <c r="AD1106" s="22"/>
      <c r="AE1106" s="22"/>
      <c r="AF1106" s="48" t="str">
        <f t="shared" si="79"/>
        <v/>
      </c>
      <c r="AG1106" s="48" t="str">
        <f t="shared" si="80"/>
        <v/>
      </c>
      <c r="AH1106" s="48" t="str">
        <f t="shared" si="81"/>
        <v/>
      </c>
      <c r="AI1106" s="40" t="str">
        <f t="shared" si="82"/>
        <v/>
      </c>
      <c r="AJ1106" s="40"/>
      <c r="AK1106" s="40"/>
      <c r="AL1106" s="22"/>
    </row>
    <row r="1107" spans="1:38" ht="17.399999999999999">
      <c r="A1107" s="22"/>
      <c r="B1107" s="22"/>
      <c r="C1107" s="56"/>
      <c r="D1107" s="56"/>
      <c r="E1107" s="22"/>
      <c r="F1107" s="22"/>
      <c r="G1107" s="22"/>
      <c r="H1107" s="22"/>
      <c r="I1107" s="49"/>
      <c r="J1107" s="50"/>
      <c r="K1107" s="22"/>
      <c r="L1107" s="22"/>
      <c r="M1107" s="22"/>
      <c r="N1107" s="22"/>
      <c r="O1107" s="22"/>
      <c r="P1107" s="46"/>
      <c r="Q1107" s="40"/>
      <c r="R1107" s="41"/>
      <c r="S1107" s="22" t="str">
        <f t="shared" si="78"/>
        <v/>
      </c>
      <c r="T1107" s="41"/>
      <c r="U1107" s="44"/>
      <c r="V1107" s="44"/>
      <c r="W1107" s="46"/>
      <c r="X1107" s="46"/>
      <c r="Y1107" s="46"/>
      <c r="Z1107" s="22"/>
      <c r="AA1107" s="22"/>
      <c r="AB1107" s="22"/>
      <c r="AC1107" s="22"/>
      <c r="AD1107" s="22"/>
      <c r="AE1107" s="22"/>
      <c r="AF1107" s="48" t="str">
        <f t="shared" si="79"/>
        <v/>
      </c>
      <c r="AG1107" s="48" t="str">
        <f t="shared" si="80"/>
        <v/>
      </c>
      <c r="AH1107" s="48" t="str">
        <f t="shared" si="81"/>
        <v/>
      </c>
      <c r="AI1107" s="40" t="str">
        <f t="shared" si="82"/>
        <v/>
      </c>
      <c r="AJ1107" s="40"/>
      <c r="AK1107" s="40"/>
      <c r="AL1107" s="22"/>
    </row>
    <row r="1108" spans="1:38" ht="17.399999999999999">
      <c r="A1108" s="22"/>
      <c r="B1108" s="22"/>
      <c r="C1108" s="56"/>
      <c r="D1108" s="56"/>
      <c r="E1108" s="22"/>
      <c r="F1108" s="22"/>
      <c r="G1108" s="22"/>
      <c r="H1108" s="22"/>
      <c r="I1108" s="49"/>
      <c r="J1108" s="50"/>
      <c r="K1108" s="22"/>
      <c r="L1108" s="22"/>
      <c r="M1108" s="22"/>
      <c r="N1108" s="22"/>
      <c r="O1108" s="22"/>
      <c r="P1108" s="46"/>
      <c r="Q1108" s="40"/>
      <c r="R1108" s="41"/>
      <c r="S1108" s="22" t="str">
        <f t="shared" si="78"/>
        <v/>
      </c>
      <c r="T1108" s="41"/>
      <c r="U1108" s="44"/>
      <c r="V1108" s="44"/>
      <c r="W1108" s="46"/>
      <c r="X1108" s="46"/>
      <c r="Y1108" s="46"/>
      <c r="Z1108" s="22"/>
      <c r="AA1108" s="22"/>
      <c r="AB1108" s="22"/>
      <c r="AC1108" s="22"/>
      <c r="AD1108" s="22"/>
      <c r="AE1108" s="22"/>
      <c r="AF1108" s="48" t="str">
        <f t="shared" si="79"/>
        <v/>
      </c>
      <c r="AG1108" s="48" t="str">
        <f t="shared" si="80"/>
        <v/>
      </c>
      <c r="AH1108" s="48" t="str">
        <f t="shared" si="81"/>
        <v/>
      </c>
      <c r="AI1108" s="40" t="str">
        <f t="shared" si="82"/>
        <v/>
      </c>
      <c r="AJ1108" s="40"/>
      <c r="AK1108" s="40"/>
      <c r="AL1108" s="22"/>
    </row>
    <row r="1109" spans="1:38" ht="17.399999999999999">
      <c r="A1109" s="22"/>
      <c r="B1109" s="22"/>
      <c r="C1109" s="56"/>
      <c r="D1109" s="56"/>
      <c r="E1109" s="22"/>
      <c r="F1109" s="22"/>
      <c r="G1109" s="22"/>
      <c r="H1109" s="22"/>
      <c r="I1109" s="49"/>
      <c r="J1109" s="50"/>
      <c r="K1109" s="22"/>
      <c r="L1109" s="22"/>
      <c r="M1109" s="22"/>
      <c r="N1109" s="22"/>
      <c r="O1109" s="22"/>
      <c r="P1109" s="46"/>
      <c r="Q1109" s="40"/>
      <c r="R1109" s="41"/>
      <c r="S1109" s="22" t="str">
        <f t="shared" si="78"/>
        <v/>
      </c>
      <c r="T1109" s="41"/>
      <c r="U1109" s="44"/>
      <c r="V1109" s="44"/>
      <c r="W1109" s="46"/>
      <c r="X1109" s="46"/>
      <c r="Y1109" s="46"/>
      <c r="Z1109" s="22"/>
      <c r="AA1109" s="22"/>
      <c r="AB1109" s="22"/>
      <c r="AC1109" s="22"/>
      <c r="AD1109" s="22"/>
      <c r="AE1109" s="22"/>
      <c r="AF1109" s="48" t="str">
        <f t="shared" si="79"/>
        <v/>
      </c>
      <c r="AG1109" s="48" t="str">
        <f t="shared" si="80"/>
        <v/>
      </c>
      <c r="AH1109" s="48" t="str">
        <f t="shared" si="81"/>
        <v/>
      </c>
      <c r="AI1109" s="40" t="str">
        <f t="shared" si="82"/>
        <v/>
      </c>
      <c r="AJ1109" s="40"/>
      <c r="AK1109" s="40"/>
      <c r="AL1109" s="22"/>
    </row>
    <row r="1110" spans="1:38" ht="17.399999999999999">
      <c r="A1110" s="22"/>
      <c r="B1110" s="22"/>
      <c r="C1110" s="56"/>
      <c r="D1110" s="56"/>
      <c r="E1110" s="22"/>
      <c r="F1110" s="22"/>
      <c r="G1110" s="22"/>
      <c r="H1110" s="22"/>
      <c r="I1110" s="49"/>
      <c r="J1110" s="50"/>
      <c r="K1110" s="22"/>
      <c r="L1110" s="22"/>
      <c r="M1110" s="22"/>
      <c r="N1110" s="22"/>
      <c r="O1110" s="22"/>
      <c r="P1110" s="46"/>
      <c r="Q1110" s="40"/>
      <c r="R1110" s="41"/>
      <c r="S1110" s="22" t="str">
        <f t="shared" si="78"/>
        <v/>
      </c>
      <c r="T1110" s="41"/>
      <c r="U1110" s="44"/>
      <c r="V1110" s="44"/>
      <c r="W1110" s="46"/>
      <c r="X1110" s="46"/>
      <c r="Y1110" s="46"/>
      <c r="Z1110" s="22"/>
      <c r="AA1110" s="22"/>
      <c r="AB1110" s="22"/>
      <c r="AC1110" s="22"/>
      <c r="AD1110" s="22"/>
      <c r="AE1110" s="22"/>
      <c r="AF1110" s="48" t="str">
        <f t="shared" si="79"/>
        <v/>
      </c>
      <c r="AG1110" s="48" t="str">
        <f t="shared" si="80"/>
        <v/>
      </c>
      <c r="AH1110" s="48" t="str">
        <f t="shared" si="81"/>
        <v/>
      </c>
      <c r="AI1110" s="40" t="str">
        <f t="shared" si="82"/>
        <v/>
      </c>
      <c r="AJ1110" s="40"/>
      <c r="AK1110" s="40"/>
      <c r="AL1110" s="22"/>
    </row>
    <row r="1111" spans="1:38" ht="17.399999999999999">
      <c r="A1111" s="22"/>
      <c r="B1111" s="22"/>
      <c r="C1111" s="56"/>
      <c r="D1111" s="56"/>
      <c r="E1111" s="22"/>
      <c r="F1111" s="22"/>
      <c r="G1111" s="22"/>
      <c r="H1111" s="22"/>
      <c r="I1111" s="49"/>
      <c r="J1111" s="50"/>
      <c r="K1111" s="22"/>
      <c r="L1111" s="22"/>
      <c r="M1111" s="22"/>
      <c r="N1111" s="22"/>
      <c r="O1111" s="22"/>
      <c r="P1111" s="46"/>
      <c r="Q1111" s="40"/>
      <c r="R1111" s="41"/>
      <c r="S1111" s="22" t="str">
        <f t="shared" ref="S1111:S1131" si="83">IF(A1111="","",M1111+O1111)</f>
        <v/>
      </c>
      <c r="T1111" s="41"/>
      <c r="U1111" s="44"/>
      <c r="V1111" s="44"/>
      <c r="W1111" s="46"/>
      <c r="X1111" s="46"/>
      <c r="Y1111" s="46"/>
      <c r="Z1111" s="22"/>
      <c r="AA1111" s="22"/>
      <c r="AB1111" s="22"/>
      <c r="AC1111" s="22"/>
      <c r="AD1111" s="22"/>
      <c r="AE1111" s="22"/>
      <c r="AF1111" s="48" t="str">
        <f t="shared" ref="AF1111:AF1131" si="84">IF(A1111="","",S1111-X1111)</f>
        <v/>
      </c>
      <c r="AG1111" s="48" t="str">
        <f t="shared" ref="AG1111:AG1131" si="85">IF(A1111="","",X1111-(AB1111+AE1111))</f>
        <v/>
      </c>
      <c r="AH1111" s="48" t="str">
        <f t="shared" ref="AH1111:AH1131" si="86">IF(A1111="","",AF1111+AG1111)</f>
        <v/>
      </c>
      <c r="AI1111" s="40" t="str">
        <f t="shared" ref="AI1111:AI1131" si="87">IF(A1111="","",R1111+21)</f>
        <v/>
      </c>
      <c r="AJ1111" s="40"/>
      <c r="AK1111" s="40"/>
      <c r="AL1111" s="22"/>
    </row>
    <row r="1112" spans="1:38" ht="17.399999999999999">
      <c r="A1112" s="22"/>
      <c r="B1112" s="22"/>
      <c r="C1112" s="56"/>
      <c r="D1112" s="56"/>
      <c r="E1112" s="22"/>
      <c r="F1112" s="22"/>
      <c r="G1112" s="22"/>
      <c r="H1112" s="22"/>
      <c r="I1112" s="49"/>
      <c r="J1112" s="50"/>
      <c r="K1112" s="22"/>
      <c r="L1112" s="22"/>
      <c r="M1112" s="22"/>
      <c r="N1112" s="22"/>
      <c r="O1112" s="22"/>
      <c r="P1112" s="46"/>
      <c r="Q1112" s="40"/>
      <c r="R1112" s="41"/>
      <c r="S1112" s="22" t="str">
        <f t="shared" si="83"/>
        <v/>
      </c>
      <c r="T1112" s="41"/>
      <c r="U1112" s="44"/>
      <c r="V1112" s="44"/>
      <c r="W1112" s="46"/>
      <c r="X1112" s="46"/>
      <c r="Y1112" s="46"/>
      <c r="Z1112" s="22"/>
      <c r="AA1112" s="22"/>
      <c r="AB1112" s="22"/>
      <c r="AC1112" s="22"/>
      <c r="AD1112" s="22"/>
      <c r="AE1112" s="22"/>
      <c r="AF1112" s="48" t="str">
        <f t="shared" si="84"/>
        <v/>
      </c>
      <c r="AG1112" s="48" t="str">
        <f t="shared" si="85"/>
        <v/>
      </c>
      <c r="AH1112" s="48" t="str">
        <f t="shared" si="86"/>
        <v/>
      </c>
      <c r="AI1112" s="40" t="str">
        <f t="shared" si="87"/>
        <v/>
      </c>
      <c r="AJ1112" s="40"/>
      <c r="AK1112" s="40"/>
      <c r="AL1112" s="22"/>
    </row>
    <row r="1113" spans="1:38" ht="17.399999999999999">
      <c r="A1113" s="22"/>
      <c r="B1113" s="22"/>
      <c r="C1113" s="56"/>
      <c r="D1113" s="56"/>
      <c r="E1113" s="22"/>
      <c r="F1113" s="22"/>
      <c r="G1113" s="22"/>
      <c r="H1113" s="22"/>
      <c r="I1113" s="49"/>
      <c r="J1113" s="50"/>
      <c r="K1113" s="22"/>
      <c r="L1113" s="22"/>
      <c r="M1113" s="22"/>
      <c r="N1113" s="22"/>
      <c r="O1113" s="22"/>
      <c r="P1113" s="46"/>
      <c r="Q1113" s="40"/>
      <c r="R1113" s="41"/>
      <c r="S1113" s="22" t="str">
        <f t="shared" si="83"/>
        <v/>
      </c>
      <c r="T1113" s="41"/>
      <c r="U1113" s="44"/>
      <c r="V1113" s="44"/>
      <c r="W1113" s="46"/>
      <c r="X1113" s="46"/>
      <c r="Y1113" s="46"/>
      <c r="Z1113" s="22"/>
      <c r="AA1113" s="22"/>
      <c r="AB1113" s="22"/>
      <c r="AC1113" s="22"/>
      <c r="AD1113" s="22"/>
      <c r="AE1113" s="22"/>
      <c r="AF1113" s="48" t="str">
        <f t="shared" si="84"/>
        <v/>
      </c>
      <c r="AG1113" s="48" t="str">
        <f t="shared" si="85"/>
        <v/>
      </c>
      <c r="AH1113" s="48" t="str">
        <f t="shared" si="86"/>
        <v/>
      </c>
      <c r="AI1113" s="40" t="str">
        <f t="shared" si="87"/>
        <v/>
      </c>
      <c r="AJ1113" s="40"/>
      <c r="AK1113" s="40"/>
      <c r="AL1113" s="22"/>
    </row>
    <row r="1114" spans="1:38" ht="17.399999999999999">
      <c r="A1114" s="22"/>
      <c r="B1114" s="22"/>
      <c r="C1114" s="56"/>
      <c r="D1114" s="56"/>
      <c r="E1114" s="22"/>
      <c r="F1114" s="22"/>
      <c r="G1114" s="22"/>
      <c r="H1114" s="22"/>
      <c r="I1114" s="49"/>
      <c r="J1114" s="50"/>
      <c r="K1114" s="22"/>
      <c r="L1114" s="22"/>
      <c r="M1114" s="22"/>
      <c r="N1114" s="22"/>
      <c r="O1114" s="22"/>
      <c r="P1114" s="46"/>
      <c r="Q1114" s="40"/>
      <c r="R1114" s="41"/>
      <c r="S1114" s="22" t="str">
        <f t="shared" si="83"/>
        <v/>
      </c>
      <c r="T1114" s="41"/>
      <c r="U1114" s="44"/>
      <c r="V1114" s="44"/>
      <c r="W1114" s="46"/>
      <c r="X1114" s="46"/>
      <c r="Y1114" s="46"/>
      <c r="Z1114" s="22"/>
      <c r="AA1114" s="22"/>
      <c r="AB1114" s="22"/>
      <c r="AC1114" s="22"/>
      <c r="AD1114" s="22"/>
      <c r="AE1114" s="22"/>
      <c r="AF1114" s="48" t="str">
        <f t="shared" si="84"/>
        <v/>
      </c>
      <c r="AG1114" s="48" t="str">
        <f t="shared" si="85"/>
        <v/>
      </c>
      <c r="AH1114" s="48" t="str">
        <f t="shared" si="86"/>
        <v/>
      </c>
      <c r="AI1114" s="40" t="str">
        <f t="shared" si="87"/>
        <v/>
      </c>
      <c r="AJ1114" s="40"/>
      <c r="AK1114" s="40"/>
      <c r="AL1114" s="22"/>
    </row>
    <row r="1115" spans="1:38" ht="17.399999999999999">
      <c r="A1115" s="22"/>
      <c r="B1115" s="22"/>
      <c r="C1115" s="56"/>
      <c r="D1115" s="56"/>
      <c r="E1115" s="22"/>
      <c r="F1115" s="22"/>
      <c r="G1115" s="22"/>
      <c r="H1115" s="22"/>
      <c r="I1115" s="49"/>
      <c r="J1115" s="50"/>
      <c r="K1115" s="22"/>
      <c r="L1115" s="22"/>
      <c r="M1115" s="22"/>
      <c r="N1115" s="22"/>
      <c r="O1115" s="22"/>
      <c r="P1115" s="46"/>
      <c r="Q1115" s="40"/>
      <c r="R1115" s="41"/>
      <c r="S1115" s="22" t="str">
        <f t="shared" si="83"/>
        <v/>
      </c>
      <c r="T1115" s="41"/>
      <c r="U1115" s="44"/>
      <c r="V1115" s="44"/>
      <c r="W1115" s="46"/>
      <c r="X1115" s="46"/>
      <c r="Y1115" s="46"/>
      <c r="Z1115" s="22"/>
      <c r="AA1115" s="22"/>
      <c r="AB1115" s="22"/>
      <c r="AC1115" s="22"/>
      <c r="AD1115" s="22"/>
      <c r="AE1115" s="22"/>
      <c r="AF1115" s="48" t="str">
        <f t="shared" si="84"/>
        <v/>
      </c>
      <c r="AG1115" s="48" t="str">
        <f t="shared" si="85"/>
        <v/>
      </c>
      <c r="AH1115" s="48" t="str">
        <f t="shared" si="86"/>
        <v/>
      </c>
      <c r="AI1115" s="40" t="str">
        <f t="shared" si="87"/>
        <v/>
      </c>
      <c r="AJ1115" s="40"/>
      <c r="AK1115" s="40"/>
      <c r="AL1115" s="22"/>
    </row>
    <row r="1116" spans="1:38" ht="17.399999999999999">
      <c r="A1116" s="22"/>
      <c r="B1116" s="22"/>
      <c r="C1116" s="56"/>
      <c r="D1116" s="56"/>
      <c r="E1116" s="22"/>
      <c r="F1116" s="22"/>
      <c r="G1116" s="22"/>
      <c r="H1116" s="22"/>
      <c r="I1116" s="49"/>
      <c r="J1116" s="50"/>
      <c r="K1116" s="22"/>
      <c r="L1116" s="22"/>
      <c r="M1116" s="22"/>
      <c r="N1116" s="22"/>
      <c r="O1116" s="22"/>
      <c r="P1116" s="46"/>
      <c r="Q1116" s="40"/>
      <c r="R1116" s="41"/>
      <c r="S1116" s="22" t="str">
        <f t="shared" si="83"/>
        <v/>
      </c>
      <c r="T1116" s="41"/>
      <c r="U1116" s="44"/>
      <c r="V1116" s="44"/>
      <c r="W1116" s="46"/>
      <c r="X1116" s="46"/>
      <c r="Y1116" s="46"/>
      <c r="Z1116" s="22"/>
      <c r="AA1116" s="22"/>
      <c r="AB1116" s="22"/>
      <c r="AC1116" s="22"/>
      <c r="AD1116" s="22"/>
      <c r="AE1116" s="22"/>
      <c r="AF1116" s="48" t="str">
        <f t="shared" si="84"/>
        <v/>
      </c>
      <c r="AG1116" s="48" t="str">
        <f t="shared" si="85"/>
        <v/>
      </c>
      <c r="AH1116" s="48" t="str">
        <f t="shared" si="86"/>
        <v/>
      </c>
      <c r="AI1116" s="40" t="str">
        <f t="shared" si="87"/>
        <v/>
      </c>
      <c r="AJ1116" s="40"/>
      <c r="AK1116" s="40"/>
      <c r="AL1116" s="22"/>
    </row>
    <row r="1117" spans="1:38" ht="17.399999999999999">
      <c r="A1117" s="22"/>
      <c r="B1117" s="22"/>
      <c r="C1117" s="56"/>
      <c r="D1117" s="56"/>
      <c r="E1117" s="22"/>
      <c r="F1117" s="22"/>
      <c r="G1117" s="22"/>
      <c r="H1117" s="22"/>
      <c r="I1117" s="49"/>
      <c r="J1117" s="50"/>
      <c r="K1117" s="22"/>
      <c r="L1117" s="22"/>
      <c r="M1117" s="22"/>
      <c r="N1117" s="22"/>
      <c r="O1117" s="22"/>
      <c r="P1117" s="46"/>
      <c r="Q1117" s="40"/>
      <c r="R1117" s="41"/>
      <c r="S1117" s="22" t="str">
        <f t="shared" si="83"/>
        <v/>
      </c>
      <c r="T1117" s="41"/>
      <c r="U1117" s="44"/>
      <c r="V1117" s="44"/>
      <c r="W1117" s="46"/>
      <c r="X1117" s="46"/>
      <c r="Y1117" s="46"/>
      <c r="Z1117" s="22"/>
      <c r="AA1117" s="22"/>
      <c r="AB1117" s="22"/>
      <c r="AC1117" s="22"/>
      <c r="AD1117" s="22"/>
      <c r="AE1117" s="22"/>
      <c r="AF1117" s="48" t="str">
        <f t="shared" si="84"/>
        <v/>
      </c>
      <c r="AG1117" s="48" t="str">
        <f t="shared" si="85"/>
        <v/>
      </c>
      <c r="AH1117" s="48" t="str">
        <f t="shared" si="86"/>
        <v/>
      </c>
      <c r="AI1117" s="40" t="str">
        <f t="shared" si="87"/>
        <v/>
      </c>
      <c r="AJ1117" s="40"/>
      <c r="AK1117" s="40"/>
      <c r="AL1117" s="22"/>
    </row>
    <row r="1118" spans="1:38" ht="17.399999999999999">
      <c r="A1118" s="22"/>
      <c r="B1118" s="22"/>
      <c r="C1118" s="56"/>
      <c r="D1118" s="56"/>
      <c r="E1118" s="22"/>
      <c r="F1118" s="22"/>
      <c r="G1118" s="22"/>
      <c r="H1118" s="22"/>
      <c r="I1118" s="49"/>
      <c r="J1118" s="50"/>
      <c r="K1118" s="22"/>
      <c r="L1118" s="22"/>
      <c r="M1118" s="22"/>
      <c r="N1118" s="22"/>
      <c r="O1118" s="22"/>
      <c r="P1118" s="46"/>
      <c r="Q1118" s="40"/>
      <c r="R1118" s="41"/>
      <c r="S1118" s="22" t="str">
        <f t="shared" si="83"/>
        <v/>
      </c>
      <c r="T1118" s="41"/>
      <c r="U1118" s="44"/>
      <c r="V1118" s="44"/>
      <c r="W1118" s="46"/>
      <c r="X1118" s="46"/>
      <c r="Y1118" s="46"/>
      <c r="Z1118" s="22"/>
      <c r="AA1118" s="22"/>
      <c r="AB1118" s="22"/>
      <c r="AC1118" s="22"/>
      <c r="AD1118" s="22"/>
      <c r="AE1118" s="22"/>
      <c r="AF1118" s="48" t="str">
        <f t="shared" si="84"/>
        <v/>
      </c>
      <c r="AG1118" s="48" t="str">
        <f t="shared" si="85"/>
        <v/>
      </c>
      <c r="AH1118" s="48" t="str">
        <f t="shared" si="86"/>
        <v/>
      </c>
      <c r="AI1118" s="40" t="str">
        <f t="shared" si="87"/>
        <v/>
      </c>
      <c r="AJ1118" s="40"/>
      <c r="AK1118" s="40"/>
      <c r="AL1118" s="22"/>
    </row>
    <row r="1119" spans="1:38" ht="17.399999999999999">
      <c r="A1119" s="22"/>
      <c r="B1119" s="22"/>
      <c r="C1119" s="56"/>
      <c r="D1119" s="56"/>
      <c r="E1119" s="22"/>
      <c r="F1119" s="22"/>
      <c r="G1119" s="22"/>
      <c r="H1119" s="22"/>
      <c r="I1119" s="49"/>
      <c r="J1119" s="50"/>
      <c r="K1119" s="22"/>
      <c r="L1119" s="22"/>
      <c r="M1119" s="22"/>
      <c r="N1119" s="22"/>
      <c r="O1119" s="22"/>
      <c r="P1119" s="46"/>
      <c r="Q1119" s="40"/>
      <c r="R1119" s="41"/>
      <c r="S1119" s="22" t="str">
        <f t="shared" si="83"/>
        <v/>
      </c>
      <c r="T1119" s="41"/>
      <c r="U1119" s="44"/>
      <c r="V1119" s="44"/>
      <c r="W1119" s="46"/>
      <c r="X1119" s="46"/>
      <c r="Y1119" s="46"/>
      <c r="Z1119" s="22"/>
      <c r="AA1119" s="22"/>
      <c r="AB1119" s="22"/>
      <c r="AC1119" s="22"/>
      <c r="AD1119" s="22"/>
      <c r="AE1119" s="22"/>
      <c r="AF1119" s="48" t="str">
        <f t="shared" si="84"/>
        <v/>
      </c>
      <c r="AG1119" s="48" t="str">
        <f t="shared" si="85"/>
        <v/>
      </c>
      <c r="AH1119" s="48" t="str">
        <f t="shared" si="86"/>
        <v/>
      </c>
      <c r="AI1119" s="40" t="str">
        <f t="shared" si="87"/>
        <v/>
      </c>
      <c r="AJ1119" s="40"/>
      <c r="AK1119" s="40"/>
      <c r="AL1119" s="22"/>
    </row>
    <row r="1120" spans="1:38" ht="17.399999999999999">
      <c r="A1120" s="22"/>
      <c r="B1120" s="22"/>
      <c r="C1120" s="56"/>
      <c r="D1120" s="56"/>
      <c r="E1120" s="22"/>
      <c r="F1120" s="22"/>
      <c r="G1120" s="22"/>
      <c r="H1120" s="22"/>
      <c r="I1120" s="49"/>
      <c r="J1120" s="50"/>
      <c r="K1120" s="22"/>
      <c r="L1120" s="22"/>
      <c r="M1120" s="22"/>
      <c r="N1120" s="22"/>
      <c r="O1120" s="22"/>
      <c r="P1120" s="46"/>
      <c r="Q1120" s="40"/>
      <c r="R1120" s="41"/>
      <c r="S1120" s="22" t="str">
        <f t="shared" si="83"/>
        <v/>
      </c>
      <c r="T1120" s="41"/>
      <c r="U1120" s="44"/>
      <c r="V1120" s="44"/>
      <c r="W1120" s="46"/>
      <c r="X1120" s="46"/>
      <c r="Y1120" s="46"/>
      <c r="Z1120" s="22"/>
      <c r="AA1120" s="22"/>
      <c r="AB1120" s="22"/>
      <c r="AC1120" s="22"/>
      <c r="AD1120" s="22"/>
      <c r="AE1120" s="22"/>
      <c r="AF1120" s="48" t="str">
        <f t="shared" si="84"/>
        <v/>
      </c>
      <c r="AG1120" s="48" t="str">
        <f t="shared" si="85"/>
        <v/>
      </c>
      <c r="AH1120" s="48" t="str">
        <f t="shared" si="86"/>
        <v/>
      </c>
      <c r="AI1120" s="40" t="str">
        <f t="shared" si="87"/>
        <v/>
      </c>
      <c r="AJ1120" s="40"/>
      <c r="AK1120" s="40"/>
      <c r="AL1120" s="22"/>
    </row>
    <row r="1121" spans="1:38" ht="17.399999999999999">
      <c r="A1121" s="22"/>
      <c r="B1121" s="22"/>
      <c r="C1121" s="56"/>
      <c r="D1121" s="56"/>
      <c r="E1121" s="22"/>
      <c r="F1121" s="22"/>
      <c r="G1121" s="22"/>
      <c r="H1121" s="22"/>
      <c r="I1121" s="49"/>
      <c r="J1121" s="50"/>
      <c r="K1121" s="22"/>
      <c r="L1121" s="22"/>
      <c r="M1121" s="22"/>
      <c r="N1121" s="22"/>
      <c r="O1121" s="22"/>
      <c r="P1121" s="46"/>
      <c r="Q1121" s="40"/>
      <c r="R1121" s="41"/>
      <c r="S1121" s="22" t="str">
        <f t="shared" si="83"/>
        <v/>
      </c>
      <c r="T1121" s="41"/>
      <c r="U1121" s="44"/>
      <c r="V1121" s="44"/>
      <c r="W1121" s="46"/>
      <c r="X1121" s="46"/>
      <c r="Y1121" s="46"/>
      <c r="Z1121" s="22"/>
      <c r="AA1121" s="22"/>
      <c r="AB1121" s="22"/>
      <c r="AC1121" s="22"/>
      <c r="AD1121" s="22"/>
      <c r="AE1121" s="22"/>
      <c r="AF1121" s="48" t="str">
        <f t="shared" si="84"/>
        <v/>
      </c>
      <c r="AG1121" s="48" t="str">
        <f t="shared" si="85"/>
        <v/>
      </c>
      <c r="AH1121" s="48" t="str">
        <f t="shared" si="86"/>
        <v/>
      </c>
      <c r="AI1121" s="40" t="str">
        <f t="shared" si="87"/>
        <v/>
      </c>
      <c r="AJ1121" s="40"/>
      <c r="AK1121" s="40"/>
      <c r="AL1121" s="22"/>
    </row>
    <row r="1122" spans="1:38" ht="17.399999999999999">
      <c r="A1122" s="22"/>
      <c r="B1122" s="22"/>
      <c r="C1122" s="56"/>
      <c r="D1122" s="56"/>
      <c r="E1122" s="22"/>
      <c r="F1122" s="22"/>
      <c r="G1122" s="22"/>
      <c r="H1122" s="22"/>
      <c r="I1122" s="49"/>
      <c r="J1122" s="50"/>
      <c r="K1122" s="22"/>
      <c r="L1122" s="22"/>
      <c r="M1122" s="22"/>
      <c r="N1122" s="22"/>
      <c r="O1122" s="22"/>
      <c r="P1122" s="46"/>
      <c r="Q1122" s="40"/>
      <c r="R1122" s="41"/>
      <c r="S1122" s="22" t="str">
        <f t="shared" si="83"/>
        <v/>
      </c>
      <c r="T1122" s="41"/>
      <c r="U1122" s="44"/>
      <c r="V1122" s="44"/>
      <c r="W1122" s="46"/>
      <c r="X1122" s="46"/>
      <c r="Y1122" s="46"/>
      <c r="Z1122" s="22"/>
      <c r="AA1122" s="22"/>
      <c r="AB1122" s="22"/>
      <c r="AC1122" s="22"/>
      <c r="AD1122" s="22"/>
      <c r="AE1122" s="22"/>
      <c r="AF1122" s="48" t="str">
        <f t="shared" si="84"/>
        <v/>
      </c>
      <c r="AG1122" s="48" t="str">
        <f t="shared" si="85"/>
        <v/>
      </c>
      <c r="AH1122" s="48" t="str">
        <f t="shared" si="86"/>
        <v/>
      </c>
      <c r="AI1122" s="40" t="str">
        <f t="shared" si="87"/>
        <v/>
      </c>
      <c r="AJ1122" s="40"/>
      <c r="AK1122" s="40"/>
      <c r="AL1122" s="22"/>
    </row>
    <row r="1123" spans="1:38" ht="17.399999999999999">
      <c r="A1123" s="22"/>
      <c r="B1123" s="22"/>
      <c r="C1123" s="56"/>
      <c r="D1123" s="56"/>
      <c r="E1123" s="22"/>
      <c r="F1123" s="22"/>
      <c r="G1123" s="22"/>
      <c r="H1123" s="22"/>
      <c r="I1123" s="49"/>
      <c r="J1123" s="50"/>
      <c r="K1123" s="22"/>
      <c r="L1123" s="22"/>
      <c r="M1123" s="22"/>
      <c r="N1123" s="22"/>
      <c r="O1123" s="22"/>
      <c r="P1123" s="46"/>
      <c r="Q1123" s="40"/>
      <c r="R1123" s="41"/>
      <c r="S1123" s="22" t="str">
        <f t="shared" si="83"/>
        <v/>
      </c>
      <c r="T1123" s="41"/>
      <c r="U1123" s="44"/>
      <c r="V1123" s="44"/>
      <c r="W1123" s="46"/>
      <c r="X1123" s="46"/>
      <c r="Y1123" s="46"/>
      <c r="Z1123" s="22"/>
      <c r="AA1123" s="22"/>
      <c r="AB1123" s="22"/>
      <c r="AC1123" s="22"/>
      <c r="AD1123" s="22"/>
      <c r="AE1123" s="22"/>
      <c r="AF1123" s="48" t="str">
        <f t="shared" si="84"/>
        <v/>
      </c>
      <c r="AG1123" s="48" t="str">
        <f t="shared" si="85"/>
        <v/>
      </c>
      <c r="AH1123" s="48" t="str">
        <f t="shared" si="86"/>
        <v/>
      </c>
      <c r="AI1123" s="40" t="str">
        <f t="shared" si="87"/>
        <v/>
      </c>
      <c r="AJ1123" s="40"/>
      <c r="AK1123" s="40"/>
      <c r="AL1123" s="22"/>
    </row>
    <row r="1124" spans="1:38" ht="17.399999999999999">
      <c r="A1124" s="22"/>
      <c r="B1124" s="22"/>
      <c r="C1124" s="56"/>
      <c r="D1124" s="56"/>
      <c r="E1124" s="22"/>
      <c r="F1124" s="22"/>
      <c r="G1124" s="22"/>
      <c r="H1124" s="22"/>
      <c r="I1124" s="49"/>
      <c r="J1124" s="50"/>
      <c r="K1124" s="22"/>
      <c r="L1124" s="22"/>
      <c r="M1124" s="22"/>
      <c r="N1124" s="22"/>
      <c r="O1124" s="22"/>
      <c r="P1124" s="46"/>
      <c r="Q1124" s="40"/>
      <c r="R1124" s="41"/>
      <c r="S1124" s="22" t="str">
        <f t="shared" si="83"/>
        <v/>
      </c>
      <c r="T1124" s="41"/>
      <c r="U1124" s="44"/>
      <c r="V1124" s="44"/>
      <c r="W1124" s="46"/>
      <c r="X1124" s="46"/>
      <c r="Y1124" s="46"/>
      <c r="Z1124" s="22"/>
      <c r="AA1124" s="22"/>
      <c r="AB1124" s="22"/>
      <c r="AC1124" s="22"/>
      <c r="AD1124" s="22"/>
      <c r="AE1124" s="22"/>
      <c r="AF1124" s="48" t="str">
        <f t="shared" si="84"/>
        <v/>
      </c>
      <c r="AG1124" s="48" t="str">
        <f t="shared" si="85"/>
        <v/>
      </c>
      <c r="AH1124" s="48" t="str">
        <f t="shared" si="86"/>
        <v/>
      </c>
      <c r="AI1124" s="40" t="str">
        <f t="shared" si="87"/>
        <v/>
      </c>
      <c r="AJ1124" s="40"/>
      <c r="AK1124" s="40"/>
      <c r="AL1124" s="22"/>
    </row>
    <row r="1125" spans="1:38" ht="17.399999999999999">
      <c r="A1125" s="22"/>
      <c r="B1125" s="22"/>
      <c r="C1125" s="56"/>
      <c r="D1125" s="56"/>
      <c r="E1125" s="22"/>
      <c r="F1125" s="22"/>
      <c r="G1125" s="22"/>
      <c r="H1125" s="22"/>
      <c r="I1125" s="49"/>
      <c r="J1125" s="50"/>
      <c r="K1125" s="22"/>
      <c r="L1125" s="22"/>
      <c r="M1125" s="22"/>
      <c r="N1125" s="22"/>
      <c r="O1125" s="22"/>
      <c r="P1125" s="46"/>
      <c r="Q1125" s="40"/>
      <c r="R1125" s="41"/>
      <c r="S1125" s="22" t="str">
        <f t="shared" si="83"/>
        <v/>
      </c>
      <c r="T1125" s="41"/>
      <c r="U1125" s="44"/>
      <c r="V1125" s="44"/>
      <c r="W1125" s="46"/>
      <c r="X1125" s="46"/>
      <c r="Y1125" s="46"/>
      <c r="Z1125" s="22"/>
      <c r="AA1125" s="22"/>
      <c r="AB1125" s="22"/>
      <c r="AC1125" s="22"/>
      <c r="AD1125" s="22"/>
      <c r="AE1125" s="22"/>
      <c r="AF1125" s="48" t="str">
        <f t="shared" si="84"/>
        <v/>
      </c>
      <c r="AG1125" s="48" t="str">
        <f t="shared" si="85"/>
        <v/>
      </c>
      <c r="AH1125" s="48" t="str">
        <f t="shared" si="86"/>
        <v/>
      </c>
      <c r="AI1125" s="40" t="str">
        <f t="shared" si="87"/>
        <v/>
      </c>
      <c r="AJ1125" s="40"/>
      <c r="AK1125" s="40"/>
      <c r="AL1125" s="22"/>
    </row>
    <row r="1126" spans="1:38" ht="17.399999999999999">
      <c r="A1126" s="22"/>
      <c r="B1126" s="22"/>
      <c r="C1126" s="56"/>
      <c r="D1126" s="56"/>
      <c r="E1126" s="22"/>
      <c r="F1126" s="22"/>
      <c r="G1126" s="22"/>
      <c r="H1126" s="22"/>
      <c r="I1126" s="49"/>
      <c r="J1126" s="50"/>
      <c r="K1126" s="22"/>
      <c r="L1126" s="22"/>
      <c r="M1126" s="22"/>
      <c r="N1126" s="22"/>
      <c r="O1126" s="22"/>
      <c r="P1126" s="46"/>
      <c r="Q1126" s="40"/>
      <c r="R1126" s="41"/>
      <c r="S1126" s="22" t="str">
        <f t="shared" si="83"/>
        <v/>
      </c>
      <c r="T1126" s="41"/>
      <c r="U1126" s="44"/>
      <c r="V1126" s="44"/>
      <c r="W1126" s="46"/>
      <c r="X1126" s="46"/>
      <c r="Y1126" s="46"/>
      <c r="Z1126" s="22"/>
      <c r="AA1126" s="22"/>
      <c r="AB1126" s="22"/>
      <c r="AC1126" s="22"/>
      <c r="AD1126" s="22"/>
      <c r="AE1126" s="22"/>
      <c r="AF1126" s="48" t="str">
        <f t="shared" si="84"/>
        <v/>
      </c>
      <c r="AG1126" s="48" t="str">
        <f t="shared" si="85"/>
        <v/>
      </c>
      <c r="AH1126" s="48" t="str">
        <f t="shared" si="86"/>
        <v/>
      </c>
      <c r="AI1126" s="40" t="str">
        <f t="shared" si="87"/>
        <v/>
      </c>
      <c r="AJ1126" s="40"/>
      <c r="AK1126" s="40"/>
      <c r="AL1126" s="22"/>
    </row>
    <row r="1127" spans="1:38" ht="17.399999999999999">
      <c r="A1127" s="22"/>
      <c r="B1127" s="22"/>
      <c r="C1127" s="56"/>
      <c r="D1127" s="56"/>
      <c r="E1127" s="22"/>
      <c r="F1127" s="22"/>
      <c r="G1127" s="22"/>
      <c r="H1127" s="22"/>
      <c r="I1127" s="49"/>
      <c r="J1127" s="50"/>
      <c r="K1127" s="22"/>
      <c r="L1127" s="22"/>
      <c r="M1127" s="22"/>
      <c r="N1127" s="22"/>
      <c r="O1127" s="22"/>
      <c r="P1127" s="46"/>
      <c r="Q1127" s="40"/>
      <c r="R1127" s="41"/>
      <c r="S1127" s="22" t="str">
        <f t="shared" si="83"/>
        <v/>
      </c>
      <c r="T1127" s="41"/>
      <c r="U1127" s="44"/>
      <c r="V1127" s="44"/>
      <c r="W1127" s="46"/>
      <c r="X1127" s="46"/>
      <c r="Y1127" s="46"/>
      <c r="Z1127" s="22"/>
      <c r="AA1127" s="22"/>
      <c r="AB1127" s="22"/>
      <c r="AC1127" s="22"/>
      <c r="AD1127" s="22"/>
      <c r="AE1127" s="22"/>
      <c r="AF1127" s="48" t="str">
        <f t="shared" si="84"/>
        <v/>
      </c>
      <c r="AG1127" s="48" t="str">
        <f t="shared" si="85"/>
        <v/>
      </c>
      <c r="AH1127" s="48" t="str">
        <f t="shared" si="86"/>
        <v/>
      </c>
      <c r="AI1127" s="40" t="str">
        <f t="shared" si="87"/>
        <v/>
      </c>
      <c r="AJ1127" s="40"/>
      <c r="AK1127" s="40"/>
      <c r="AL1127" s="22"/>
    </row>
    <row r="1128" spans="1:38" ht="17.399999999999999">
      <c r="A1128" s="22"/>
      <c r="B1128" s="22"/>
      <c r="C1128" s="56"/>
      <c r="D1128" s="56"/>
      <c r="E1128" s="22"/>
      <c r="F1128" s="22"/>
      <c r="G1128" s="22"/>
      <c r="H1128" s="22"/>
      <c r="I1128" s="49"/>
      <c r="J1128" s="50"/>
      <c r="K1128" s="22"/>
      <c r="L1128" s="22"/>
      <c r="M1128" s="22"/>
      <c r="N1128" s="22"/>
      <c r="O1128" s="22"/>
      <c r="P1128" s="46"/>
      <c r="Q1128" s="40"/>
      <c r="R1128" s="41"/>
      <c r="S1128" s="22" t="str">
        <f t="shared" si="83"/>
        <v/>
      </c>
      <c r="T1128" s="41"/>
      <c r="U1128" s="44"/>
      <c r="V1128" s="44"/>
      <c r="W1128" s="46"/>
      <c r="X1128" s="46"/>
      <c r="Y1128" s="46"/>
      <c r="Z1128" s="22"/>
      <c r="AA1128" s="22"/>
      <c r="AB1128" s="22"/>
      <c r="AC1128" s="22"/>
      <c r="AD1128" s="22"/>
      <c r="AE1128" s="22"/>
      <c r="AF1128" s="48" t="str">
        <f t="shared" si="84"/>
        <v/>
      </c>
      <c r="AG1128" s="48" t="str">
        <f t="shared" si="85"/>
        <v/>
      </c>
      <c r="AH1128" s="48" t="str">
        <f t="shared" si="86"/>
        <v/>
      </c>
      <c r="AI1128" s="40" t="str">
        <f t="shared" si="87"/>
        <v/>
      </c>
      <c r="AJ1128" s="40"/>
      <c r="AK1128" s="40"/>
      <c r="AL1128" s="22"/>
    </row>
    <row r="1129" spans="1:38" ht="17.399999999999999">
      <c r="A1129" s="22"/>
      <c r="B1129" s="22"/>
      <c r="C1129" s="56"/>
      <c r="D1129" s="56"/>
      <c r="E1129" s="22"/>
      <c r="F1129" s="22"/>
      <c r="G1129" s="22"/>
      <c r="H1129" s="22"/>
      <c r="I1129" s="49"/>
      <c r="J1129" s="50"/>
      <c r="K1129" s="22"/>
      <c r="L1129" s="22"/>
      <c r="M1129" s="22"/>
      <c r="N1129" s="22"/>
      <c r="O1129" s="22"/>
      <c r="P1129" s="46"/>
      <c r="Q1129" s="40"/>
      <c r="R1129" s="41"/>
      <c r="S1129" s="22" t="str">
        <f t="shared" si="83"/>
        <v/>
      </c>
      <c r="T1129" s="41"/>
      <c r="U1129" s="44"/>
      <c r="V1129" s="44"/>
      <c r="W1129" s="46"/>
      <c r="X1129" s="46"/>
      <c r="Y1129" s="46"/>
      <c r="Z1129" s="22"/>
      <c r="AA1129" s="22"/>
      <c r="AB1129" s="22"/>
      <c r="AC1129" s="22"/>
      <c r="AD1129" s="22"/>
      <c r="AE1129" s="22"/>
      <c r="AF1129" s="48" t="str">
        <f t="shared" si="84"/>
        <v/>
      </c>
      <c r="AG1129" s="48" t="str">
        <f t="shared" si="85"/>
        <v/>
      </c>
      <c r="AH1129" s="48" t="str">
        <f t="shared" si="86"/>
        <v/>
      </c>
      <c r="AI1129" s="40" t="str">
        <f t="shared" si="87"/>
        <v/>
      </c>
      <c r="AJ1129" s="40"/>
      <c r="AK1129" s="40"/>
      <c r="AL1129" s="22"/>
    </row>
    <row r="1130" spans="1:38" ht="17.399999999999999">
      <c r="A1130" s="22"/>
      <c r="B1130" s="22"/>
      <c r="C1130" s="56"/>
      <c r="D1130" s="56"/>
      <c r="E1130" s="22"/>
      <c r="F1130" s="22"/>
      <c r="G1130" s="22"/>
      <c r="H1130" s="22"/>
      <c r="I1130" s="49"/>
      <c r="J1130" s="50"/>
      <c r="K1130" s="22"/>
      <c r="L1130" s="22"/>
      <c r="M1130" s="22"/>
      <c r="N1130" s="22"/>
      <c r="O1130" s="22"/>
      <c r="P1130" s="46"/>
      <c r="Q1130" s="40"/>
      <c r="R1130" s="41"/>
      <c r="S1130" s="22" t="str">
        <f t="shared" si="83"/>
        <v/>
      </c>
      <c r="T1130" s="41"/>
      <c r="U1130" s="44"/>
      <c r="V1130" s="44"/>
      <c r="W1130" s="46"/>
      <c r="X1130" s="46"/>
      <c r="Y1130" s="46"/>
      <c r="Z1130" s="22"/>
      <c r="AA1130" s="22"/>
      <c r="AB1130" s="22"/>
      <c r="AC1130" s="22"/>
      <c r="AD1130" s="22"/>
      <c r="AE1130" s="22"/>
      <c r="AF1130" s="48" t="str">
        <f t="shared" si="84"/>
        <v/>
      </c>
      <c r="AG1130" s="48" t="str">
        <f t="shared" si="85"/>
        <v/>
      </c>
      <c r="AH1130" s="48" t="str">
        <f t="shared" si="86"/>
        <v/>
      </c>
      <c r="AI1130" s="40" t="str">
        <f t="shared" si="87"/>
        <v/>
      </c>
      <c r="AJ1130" s="40"/>
      <c r="AK1130" s="40"/>
      <c r="AL1130" s="22"/>
    </row>
    <row r="1131" spans="1:38" ht="17.399999999999999">
      <c r="A1131" s="22"/>
      <c r="B1131" s="22"/>
      <c r="C1131" s="56"/>
      <c r="D1131" s="56"/>
      <c r="E1131" s="22"/>
      <c r="F1131" s="22"/>
      <c r="G1131" s="22"/>
      <c r="H1131" s="22"/>
      <c r="I1131" s="49"/>
      <c r="J1131" s="50"/>
      <c r="K1131" s="22"/>
      <c r="L1131" s="22"/>
      <c r="M1131" s="22"/>
      <c r="N1131" s="22"/>
      <c r="O1131" s="22"/>
      <c r="P1131" s="46"/>
      <c r="Q1131" s="40"/>
      <c r="R1131" s="41"/>
      <c r="S1131" s="22" t="str">
        <f t="shared" si="83"/>
        <v/>
      </c>
      <c r="T1131" s="41"/>
      <c r="U1131" s="44"/>
      <c r="V1131" s="44"/>
      <c r="W1131" s="46"/>
      <c r="X1131" s="46"/>
      <c r="Y1131" s="46"/>
      <c r="Z1131" s="22"/>
      <c r="AA1131" s="22"/>
      <c r="AB1131" s="22"/>
      <c r="AC1131" s="22"/>
      <c r="AD1131" s="22"/>
      <c r="AE1131" s="22"/>
      <c r="AF1131" s="48" t="str">
        <f t="shared" si="84"/>
        <v/>
      </c>
      <c r="AG1131" s="48" t="str">
        <f t="shared" si="85"/>
        <v/>
      </c>
      <c r="AH1131" s="48" t="str">
        <f t="shared" si="86"/>
        <v/>
      </c>
      <c r="AI1131" s="40" t="str">
        <f t="shared" si="87"/>
        <v/>
      </c>
      <c r="AJ1131" s="40"/>
      <c r="AK1131" s="40"/>
      <c r="AL1131" s="22"/>
    </row>
    <row r="1137" spans="7:8">
      <c r="G1137" s="47"/>
      <c r="H1137" s="47"/>
    </row>
    <row r="1138" spans="7:8">
      <c r="G1138" s="47"/>
      <c r="H1138" s="47"/>
    </row>
    <row r="1139" spans="7:8">
      <c r="G1139" s="130">
        <v>812</v>
      </c>
      <c r="H1139" s="47" t="e">
        <f>SUMIF(#REF!,G1139,#REF!)</f>
        <v>#REF!</v>
      </c>
    </row>
    <row r="1140" spans="7:8">
      <c r="G1140" s="130" t="s">
        <v>744</v>
      </c>
      <c r="H1140" s="47" t="e">
        <f>SUMIF(#REF!,G1140,#REF!)</f>
        <v>#REF!</v>
      </c>
    </row>
    <row r="1141" spans="7:8">
      <c r="G1141" s="130" t="s">
        <v>629</v>
      </c>
      <c r="H1141" s="47" t="e">
        <f>SUMIF(#REF!,G1141,#REF!)</f>
        <v>#REF!</v>
      </c>
    </row>
    <row r="1142" spans="7:8">
      <c r="G1142" s="46" t="s">
        <v>3427</v>
      </c>
      <c r="H1142" s="47">
        <v>665</v>
      </c>
    </row>
    <row r="1143" spans="7:8">
      <c r="G1143" s="46">
        <v>824</v>
      </c>
      <c r="H1143" s="47" t="e">
        <f>SUMIF(#REF!,G1143,#REF!)</f>
        <v>#REF!</v>
      </c>
    </row>
    <row r="1144" spans="7:8">
      <c r="G1144" s="46" t="s">
        <v>4952</v>
      </c>
      <c r="H1144" s="47" t="e">
        <f>SUMIF(#REF!,G1144,#REF!)</f>
        <v>#REF!</v>
      </c>
    </row>
    <row r="1145" spans="7:8">
      <c r="G1145" s="46" t="s">
        <v>4931</v>
      </c>
      <c r="H1145" s="47" t="e">
        <f>SUMIF(#REF!,G1145,#REF!)</f>
        <v>#REF!</v>
      </c>
    </row>
    <row r="1146" spans="7:8">
      <c r="G1146" s="46" t="s">
        <v>7738</v>
      </c>
      <c r="H1146" s="47" t="e">
        <f>SUMIF(#REF!,G1146,#REF!)</f>
        <v>#REF!</v>
      </c>
    </row>
    <row r="1147" spans="7:8">
      <c r="G1147" s="46" t="s">
        <v>3534</v>
      </c>
      <c r="H1147" s="47" t="e">
        <f>SUMIF(#REF!,G1147,#REF!)</f>
        <v>#REF!</v>
      </c>
    </row>
    <row r="1148" spans="7:8">
      <c r="G1148" s="46" t="s">
        <v>7754</v>
      </c>
      <c r="H1148" s="47" t="e">
        <f>SUMIF(#REF!,G1148,#REF!)</f>
        <v>#REF!</v>
      </c>
    </row>
    <row r="1149" spans="7:8">
      <c r="G1149" s="46" t="s">
        <v>5261</v>
      </c>
      <c r="H1149" s="47" t="e">
        <f>SUMIF(#REF!,G1149,#REF!)</f>
        <v>#REF!</v>
      </c>
    </row>
    <row r="1150" spans="7:8">
      <c r="G1150" s="46" t="s">
        <v>5275</v>
      </c>
      <c r="H1150" s="47" t="e">
        <f>SUMIF(#REF!,G1150,#REF!)</f>
        <v>#REF!</v>
      </c>
    </row>
    <row r="1151" spans="7:8">
      <c r="G1151" s="46" t="s">
        <v>3739</v>
      </c>
      <c r="H1151" s="47" t="e">
        <f>SUMIF(#REF!,G1151,#REF!)</f>
        <v>#REF!</v>
      </c>
    </row>
    <row r="1152" spans="7:8">
      <c r="G1152" s="47"/>
      <c r="H1152" s="47"/>
    </row>
  </sheetData>
  <mergeCells count="3">
    <mergeCell ref="T1:T2"/>
    <mergeCell ref="AM1:AO1"/>
    <mergeCell ref="I2:J2"/>
  </mergeCells>
  <phoneticPr fontId="3"/>
  <conditionalFormatting sqref="U2:W2">
    <cfRule type="cellIs" dxfId="14" priority="12" stopIfTrue="1" operator="equal">
      <formula>"scrap at FFT"</formula>
    </cfRule>
  </conditionalFormatting>
  <conditionalFormatting sqref="Y1:Y2 Y293:Y1048576">
    <cfRule type="cellIs" dxfId="13" priority="9" operator="equal">
      <formula>"Scrap at FFT"</formula>
    </cfRule>
  </conditionalFormatting>
  <conditionalFormatting sqref="AF1:AF2 AF293:AH1131 AF1132:AF1048576">
    <cfRule type="cellIs" dxfId="12" priority="11" operator="equal">
      <formula>0</formula>
    </cfRule>
  </conditionalFormatting>
  <conditionalFormatting sqref="AI1">
    <cfRule type="cellIs" dxfId="11" priority="10" operator="equal">
      <formula>0</formula>
    </cfRule>
  </conditionalFormatting>
  <conditionalFormatting sqref="Y65:Y67 Y49:Y50 Y8:Y26 Y69:Y78 Y256:Y273 Y276:Y278 Y280:Y285 Y287:Y292">
    <cfRule type="cellIs" dxfId="10" priority="7" operator="equal">
      <formula>"Scrap at FFT"</formula>
    </cfRule>
  </conditionalFormatting>
  <conditionalFormatting sqref="AF3:AH292">
    <cfRule type="cellIs" dxfId="9" priority="8" operator="equal">
      <formula>0</formula>
    </cfRule>
  </conditionalFormatting>
  <conditionalFormatting sqref="Y124:Y125 Y150 Y153:Y155 Y4:Y6 Y28:Y31 Y33:Y38 Y40:Y42 Y44:Y47 Y157:Y159 Y166 Y175 Y163:Y164 Y180 Y177:Y178 Y52:Y54 Y168:Y173 Y184:Y185 Y145 Y56 Y58:Y62 Y64:Y67 Y69:Y78 Y89:Y121">
    <cfRule type="cellIs" dxfId="8" priority="6" operator="equal">
      <formula>"Scrap at FFT"</formula>
    </cfRule>
  </conditionalFormatting>
  <conditionalFormatting sqref="Y55">
    <cfRule type="cellIs" dxfId="7" priority="5" operator="equal">
      <formula>"Scrap at FFT"</formula>
    </cfRule>
  </conditionalFormatting>
  <conditionalFormatting sqref="Y57">
    <cfRule type="cellIs" dxfId="6" priority="4" operator="equal">
      <formula>"Scrap at FFT"</formula>
    </cfRule>
  </conditionalFormatting>
  <conditionalFormatting sqref="Y63">
    <cfRule type="cellIs" dxfId="5" priority="3" operator="equal">
      <formula>"Scrap at FFT"</formula>
    </cfRule>
  </conditionalFormatting>
  <conditionalFormatting sqref="Y68">
    <cfRule type="cellIs" dxfId="4" priority="2" operator="equal">
      <formula>"Scrap at FFT"</formula>
    </cfRule>
  </conditionalFormatting>
  <conditionalFormatting sqref="Y79:Y88">
    <cfRule type="cellIs" dxfId="3" priority="1" operator="equal">
      <formula>"Scrap at FFT"</formula>
    </cfRule>
  </conditionalFormatting>
  <hyperlinks>
    <hyperlink ref="AT2" r:id="rId1" xr:uid="{00000000-0004-0000-0300-000000000000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3.8"/>
  <sheetData/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I97"/>
  <sheetViews>
    <sheetView topLeftCell="A59" zoomScale="70" zoomScaleNormal="70" workbookViewId="0">
      <selection activeCell="A86" sqref="A86:A90"/>
    </sheetView>
  </sheetViews>
  <sheetFormatPr defaultRowHeight="13.8"/>
  <sheetData>
    <row r="1" spans="1:35" ht="17.399999999999999">
      <c r="A1" s="22" t="s">
        <v>708</v>
      </c>
      <c r="B1" s="22" t="s">
        <v>709</v>
      </c>
      <c r="C1" s="56" t="s">
        <v>710</v>
      </c>
      <c r="D1" s="56">
        <v>45356</v>
      </c>
      <c r="E1" s="22" t="s">
        <v>293</v>
      </c>
      <c r="F1" s="22" t="s">
        <v>33</v>
      </c>
      <c r="G1" s="22" t="s">
        <v>33</v>
      </c>
      <c r="H1" s="22" t="s">
        <v>182</v>
      </c>
      <c r="I1" s="49" t="s">
        <v>183</v>
      </c>
      <c r="J1" s="50" t="s">
        <v>711</v>
      </c>
      <c r="K1" s="22" t="s">
        <v>712</v>
      </c>
      <c r="L1" s="22" t="s">
        <v>60</v>
      </c>
      <c r="M1" s="22">
        <v>2</v>
      </c>
      <c r="N1" s="22" t="s">
        <v>713</v>
      </c>
      <c r="O1" s="22"/>
      <c r="P1" s="46" t="s">
        <v>685</v>
      </c>
      <c r="Q1" s="40" t="s">
        <v>627</v>
      </c>
      <c r="R1" s="41">
        <v>45677</v>
      </c>
      <c r="S1" s="22">
        <v>2</v>
      </c>
      <c r="T1" s="41">
        <v>45695</v>
      </c>
      <c r="U1" s="44">
        <v>45687</v>
      </c>
      <c r="V1" s="44">
        <v>45694</v>
      </c>
      <c r="W1" s="46" t="s">
        <v>18100</v>
      </c>
      <c r="X1" s="46">
        <v>2</v>
      </c>
      <c r="Y1" s="46" t="s">
        <v>18102</v>
      </c>
      <c r="Z1" s="22"/>
      <c r="AA1" s="22"/>
      <c r="AB1" s="22"/>
      <c r="AC1" s="58">
        <v>45807</v>
      </c>
      <c r="AD1" s="22" t="s">
        <v>18496</v>
      </c>
      <c r="AE1" s="22">
        <v>2</v>
      </c>
      <c r="AF1" s="48">
        <v>0</v>
      </c>
      <c r="AG1" s="48">
        <v>0</v>
      </c>
      <c r="AH1" s="48">
        <v>0</v>
      </c>
      <c r="AI1" s="40">
        <v>45691</v>
      </c>
    </row>
    <row r="2" spans="1:35" ht="17.399999999999999">
      <c r="A2" s="22" t="s">
        <v>714</v>
      </c>
      <c r="B2" s="22" t="s">
        <v>315</v>
      </c>
      <c r="C2" s="56">
        <v>45528</v>
      </c>
      <c r="D2" s="56">
        <v>45370</v>
      </c>
      <c r="E2" s="22" t="s">
        <v>309</v>
      </c>
      <c r="F2" s="22" t="s">
        <v>33</v>
      </c>
      <c r="G2" s="22" t="s">
        <v>33</v>
      </c>
      <c r="H2" s="22" t="s">
        <v>715</v>
      </c>
      <c r="I2" s="49" t="s">
        <v>317</v>
      </c>
      <c r="J2" s="50" t="s">
        <v>317</v>
      </c>
      <c r="K2" s="22" t="s">
        <v>496</v>
      </c>
      <c r="L2" s="22" t="s">
        <v>60</v>
      </c>
      <c r="M2" s="22">
        <v>1</v>
      </c>
      <c r="N2" s="22" t="s">
        <v>318</v>
      </c>
      <c r="O2" s="22"/>
      <c r="P2" s="46" t="s">
        <v>685</v>
      </c>
      <c r="Q2" s="40" t="s">
        <v>627</v>
      </c>
      <c r="R2" s="41">
        <v>45677</v>
      </c>
      <c r="S2" s="22">
        <v>1</v>
      </c>
      <c r="T2" s="41">
        <v>45695</v>
      </c>
      <c r="U2" s="44">
        <v>45687</v>
      </c>
      <c r="V2" s="44">
        <v>45694</v>
      </c>
      <c r="W2" s="46" t="s">
        <v>18100</v>
      </c>
      <c r="X2" s="46">
        <v>1</v>
      </c>
      <c r="Y2" s="46" t="s">
        <v>18102</v>
      </c>
      <c r="Z2" s="22"/>
      <c r="AA2" s="22"/>
      <c r="AB2" s="22"/>
      <c r="AC2" s="22"/>
      <c r="AD2" s="22"/>
      <c r="AE2" s="22"/>
      <c r="AF2" s="48">
        <v>0</v>
      </c>
      <c r="AG2" s="48">
        <v>1</v>
      </c>
      <c r="AH2" s="48">
        <v>1</v>
      </c>
      <c r="AI2" s="40">
        <v>45691</v>
      </c>
    </row>
    <row r="3" spans="1:35" ht="17.399999999999999">
      <c r="A3" s="22" t="s">
        <v>18167</v>
      </c>
      <c r="B3" s="22" t="s">
        <v>716</v>
      </c>
      <c r="C3" s="56" t="s">
        <v>717</v>
      </c>
      <c r="D3" s="56" t="s">
        <v>718</v>
      </c>
      <c r="E3" s="22" t="s">
        <v>719</v>
      </c>
      <c r="F3" s="22" t="s">
        <v>33</v>
      </c>
      <c r="G3" s="22" t="s">
        <v>33</v>
      </c>
      <c r="H3" s="22" t="s">
        <v>322</v>
      </c>
      <c r="I3" s="49" t="s">
        <v>323</v>
      </c>
      <c r="J3" s="50" t="s">
        <v>324</v>
      </c>
      <c r="K3" s="22" t="s">
        <v>720</v>
      </c>
      <c r="L3" s="22" t="s">
        <v>60</v>
      </c>
      <c r="M3" s="22">
        <v>2</v>
      </c>
      <c r="N3" s="22" t="s">
        <v>721</v>
      </c>
      <c r="O3" s="22"/>
      <c r="P3" s="46" t="s">
        <v>685</v>
      </c>
      <c r="Q3" s="40" t="s">
        <v>627</v>
      </c>
      <c r="R3" s="41">
        <v>45677</v>
      </c>
      <c r="S3" s="22">
        <v>2</v>
      </c>
      <c r="T3" s="41">
        <v>45706</v>
      </c>
      <c r="U3" s="44" t="s">
        <v>571</v>
      </c>
      <c r="V3" s="44" t="s">
        <v>571</v>
      </c>
      <c r="W3" s="46" t="s">
        <v>571</v>
      </c>
      <c r="X3" s="46">
        <v>2</v>
      </c>
      <c r="Y3" s="46" t="s">
        <v>571</v>
      </c>
      <c r="Z3" s="22"/>
      <c r="AA3" s="22"/>
      <c r="AB3" s="22"/>
      <c r="AC3" s="22"/>
      <c r="AD3" s="22"/>
      <c r="AE3" s="22"/>
      <c r="AF3" s="48">
        <v>0</v>
      </c>
      <c r="AG3" s="48">
        <v>2</v>
      </c>
      <c r="AH3" s="48">
        <v>2</v>
      </c>
      <c r="AI3" s="40">
        <v>45691</v>
      </c>
    </row>
    <row r="4" spans="1:35" ht="17.399999999999999">
      <c r="A4" s="22" t="s">
        <v>18093</v>
      </c>
      <c r="B4" s="22" t="s">
        <v>269</v>
      </c>
      <c r="C4" s="56">
        <v>45586</v>
      </c>
      <c r="D4" s="56">
        <v>45559</v>
      </c>
      <c r="E4" s="22" t="s">
        <v>18094</v>
      </c>
      <c r="F4" s="22" t="s">
        <v>33</v>
      </c>
      <c r="G4" s="22" t="s">
        <v>33</v>
      </c>
      <c r="H4" s="22" t="s">
        <v>205</v>
      </c>
      <c r="I4" s="49" t="s">
        <v>206</v>
      </c>
      <c r="J4" s="50" t="s">
        <v>207</v>
      </c>
      <c r="K4" s="22" t="s">
        <v>2748</v>
      </c>
      <c r="L4" s="22" t="s">
        <v>60</v>
      </c>
      <c r="M4" s="22">
        <v>3</v>
      </c>
      <c r="N4" s="22" t="s">
        <v>18095</v>
      </c>
      <c r="O4" s="22"/>
      <c r="P4" s="46" t="s">
        <v>685</v>
      </c>
      <c r="Q4" s="40" t="s">
        <v>627</v>
      </c>
      <c r="R4" s="41">
        <v>45692</v>
      </c>
      <c r="S4" s="22">
        <v>3</v>
      </c>
      <c r="T4" s="41">
        <v>45699</v>
      </c>
      <c r="U4" s="44" t="s">
        <v>571</v>
      </c>
      <c r="V4" s="44" t="s">
        <v>571</v>
      </c>
      <c r="W4" s="46" t="s">
        <v>571</v>
      </c>
      <c r="X4" s="46">
        <v>3</v>
      </c>
      <c r="Y4" s="46" t="s">
        <v>571</v>
      </c>
      <c r="Z4" s="22"/>
      <c r="AA4" s="22"/>
      <c r="AB4" s="22"/>
      <c r="AC4" s="22"/>
      <c r="AD4" s="22"/>
      <c r="AE4" s="22"/>
      <c r="AF4" s="48">
        <v>0</v>
      </c>
      <c r="AG4" s="48">
        <v>3</v>
      </c>
      <c r="AH4" s="48">
        <v>3</v>
      </c>
      <c r="AI4" s="40">
        <v>45706</v>
      </c>
    </row>
    <row r="5" spans="1:35" ht="17.399999999999999">
      <c r="A5" s="22" t="s">
        <v>18114</v>
      </c>
      <c r="B5" s="22" t="s">
        <v>18115</v>
      </c>
      <c r="C5" s="56">
        <v>45498</v>
      </c>
      <c r="D5" s="56">
        <v>45482</v>
      </c>
      <c r="E5" s="22" t="s">
        <v>18116</v>
      </c>
      <c r="F5" s="22" t="s">
        <v>33</v>
      </c>
      <c r="G5" s="22" t="s">
        <v>33</v>
      </c>
      <c r="H5" s="22" t="s">
        <v>178</v>
      </c>
      <c r="I5" s="49" t="s">
        <v>174</v>
      </c>
      <c r="J5" s="50" t="s">
        <v>179</v>
      </c>
      <c r="K5" s="22" t="s">
        <v>493</v>
      </c>
      <c r="L5" s="22" t="s">
        <v>60</v>
      </c>
      <c r="M5" s="22">
        <v>1</v>
      </c>
      <c r="N5" s="22" t="s">
        <v>18117</v>
      </c>
      <c r="O5" s="22"/>
      <c r="P5" s="46" t="s">
        <v>685</v>
      </c>
      <c r="Q5" s="40" t="s">
        <v>627</v>
      </c>
      <c r="R5" s="90">
        <v>45694</v>
      </c>
      <c r="S5" s="22">
        <v>1</v>
      </c>
      <c r="T5" s="41">
        <v>45699</v>
      </c>
      <c r="U5" s="44" t="s">
        <v>571</v>
      </c>
      <c r="V5" s="44" t="s">
        <v>571</v>
      </c>
      <c r="W5" s="44" t="s">
        <v>571</v>
      </c>
      <c r="X5" s="46">
        <v>1</v>
      </c>
      <c r="Y5" s="46" t="s">
        <v>571</v>
      </c>
      <c r="Z5" s="22"/>
      <c r="AA5" s="22"/>
      <c r="AB5" s="22"/>
      <c r="AC5" s="22"/>
      <c r="AD5" s="22"/>
      <c r="AE5" s="22"/>
      <c r="AF5" s="48">
        <v>0</v>
      </c>
      <c r="AG5" s="48">
        <v>1</v>
      </c>
      <c r="AH5" s="48">
        <v>1</v>
      </c>
      <c r="AI5" s="40">
        <v>45708</v>
      </c>
    </row>
    <row r="6" spans="1:35" ht="17.399999999999999">
      <c r="A6" s="22" t="s">
        <v>18118</v>
      </c>
      <c r="B6" s="22" t="s">
        <v>18119</v>
      </c>
      <c r="C6" s="56" t="s">
        <v>18120</v>
      </c>
      <c r="D6" s="56" t="s">
        <v>18121</v>
      </c>
      <c r="E6" s="22" t="s">
        <v>18122</v>
      </c>
      <c r="F6" s="22" t="s">
        <v>33</v>
      </c>
      <c r="G6" s="22" t="s">
        <v>33</v>
      </c>
      <c r="H6" s="22" t="s">
        <v>303</v>
      </c>
      <c r="I6" s="49" t="s">
        <v>304</v>
      </c>
      <c r="J6" s="50" t="s">
        <v>305</v>
      </c>
      <c r="K6" s="22" t="s">
        <v>18106</v>
      </c>
      <c r="L6" s="22" t="s">
        <v>60</v>
      </c>
      <c r="M6" s="22">
        <v>4</v>
      </c>
      <c r="N6" s="22" t="s">
        <v>18123</v>
      </c>
      <c r="O6" s="22"/>
      <c r="P6" s="46" t="s">
        <v>685</v>
      </c>
      <c r="Q6" s="40" t="s">
        <v>627</v>
      </c>
      <c r="R6" s="41">
        <v>45694</v>
      </c>
      <c r="S6" s="22">
        <v>4</v>
      </c>
      <c r="T6" s="41">
        <v>45699</v>
      </c>
      <c r="U6" s="44" t="s">
        <v>571</v>
      </c>
      <c r="V6" s="44" t="s">
        <v>571</v>
      </c>
      <c r="W6" s="44" t="s">
        <v>571</v>
      </c>
      <c r="X6" s="46">
        <v>4</v>
      </c>
      <c r="Y6" s="46" t="s">
        <v>571</v>
      </c>
      <c r="Z6" s="22"/>
      <c r="AA6" s="22"/>
      <c r="AB6" s="22"/>
      <c r="AC6" s="22"/>
      <c r="AD6" s="22"/>
      <c r="AE6" s="22"/>
      <c r="AF6" s="48">
        <v>0</v>
      </c>
      <c r="AG6" s="48">
        <v>4</v>
      </c>
      <c r="AH6" s="48">
        <v>4</v>
      </c>
      <c r="AI6" s="40">
        <v>45708</v>
      </c>
    </row>
    <row r="7" spans="1:35" ht="17.399999999999999">
      <c r="A7" s="22" t="s">
        <v>18126</v>
      </c>
      <c r="B7" s="22" t="s">
        <v>18127</v>
      </c>
      <c r="C7" s="56">
        <v>45218</v>
      </c>
      <c r="D7" s="56">
        <v>45089</v>
      </c>
      <c r="E7" s="22" t="s">
        <v>331</v>
      </c>
      <c r="F7" s="22" t="s">
        <v>33</v>
      </c>
      <c r="G7" s="22" t="s">
        <v>33</v>
      </c>
      <c r="H7" s="22" t="s">
        <v>178</v>
      </c>
      <c r="I7" s="49" t="s">
        <v>174</v>
      </c>
      <c r="J7" s="50" t="s">
        <v>179</v>
      </c>
      <c r="K7" s="22" t="s">
        <v>18128</v>
      </c>
      <c r="L7" s="22" t="s">
        <v>60</v>
      </c>
      <c r="M7" s="22">
        <v>1</v>
      </c>
      <c r="N7" s="22" t="s">
        <v>18129</v>
      </c>
      <c r="O7" s="22"/>
      <c r="P7" s="46" t="s">
        <v>685</v>
      </c>
      <c r="Q7" s="40" t="s">
        <v>627</v>
      </c>
      <c r="R7" s="41">
        <v>45695</v>
      </c>
      <c r="S7" s="22">
        <v>1</v>
      </c>
      <c r="T7" s="41">
        <v>45706</v>
      </c>
      <c r="U7" s="44">
        <v>45702</v>
      </c>
      <c r="V7" s="44">
        <v>45706</v>
      </c>
      <c r="W7" s="44" t="s">
        <v>18163</v>
      </c>
      <c r="X7" s="46">
        <v>1</v>
      </c>
      <c r="Y7" s="44" t="s">
        <v>18165</v>
      </c>
      <c r="Z7" s="22"/>
      <c r="AA7" s="22"/>
      <c r="AB7" s="22"/>
      <c r="AC7" s="22"/>
      <c r="AD7" s="22"/>
      <c r="AE7" s="22"/>
      <c r="AF7" s="48">
        <v>0</v>
      </c>
      <c r="AG7" s="48">
        <v>1</v>
      </c>
      <c r="AH7" s="48">
        <v>1</v>
      </c>
      <c r="AI7" s="40">
        <v>45709</v>
      </c>
    </row>
    <row r="8" spans="1:35" ht="17.399999999999999">
      <c r="A8" s="22" t="s">
        <v>18148</v>
      </c>
      <c r="B8" s="22" t="s">
        <v>18149</v>
      </c>
      <c r="C8" s="56" t="s">
        <v>18150</v>
      </c>
      <c r="D8" s="56">
        <v>45581</v>
      </c>
      <c r="E8" s="22" t="s">
        <v>18151</v>
      </c>
      <c r="F8" s="22" t="s">
        <v>33</v>
      </c>
      <c r="G8" s="22" t="s">
        <v>33</v>
      </c>
      <c r="H8" s="22" t="s">
        <v>2588</v>
      </c>
      <c r="I8" s="49" t="s">
        <v>1949</v>
      </c>
      <c r="J8" s="50" t="s">
        <v>6304</v>
      </c>
      <c r="K8" s="22" t="s">
        <v>215</v>
      </c>
      <c r="L8" s="22" t="s">
        <v>60</v>
      </c>
      <c r="M8" s="22">
        <v>12</v>
      </c>
      <c r="N8" s="22" t="s">
        <v>18152</v>
      </c>
      <c r="O8" s="22"/>
      <c r="P8" s="46" t="s">
        <v>685</v>
      </c>
      <c r="Q8" s="40" t="s">
        <v>627</v>
      </c>
      <c r="R8" s="41">
        <v>45700</v>
      </c>
      <c r="S8" s="22">
        <v>12</v>
      </c>
      <c r="T8" s="41">
        <v>45706</v>
      </c>
      <c r="U8" s="44" t="s">
        <v>571</v>
      </c>
      <c r="V8" s="44" t="s">
        <v>571</v>
      </c>
      <c r="W8" s="44" t="s">
        <v>571</v>
      </c>
      <c r="X8" s="46">
        <v>12</v>
      </c>
      <c r="Y8" s="46" t="s">
        <v>571</v>
      </c>
      <c r="Z8" s="22"/>
      <c r="AA8" s="22"/>
      <c r="AB8" s="22"/>
      <c r="AC8" s="58">
        <v>45744</v>
      </c>
      <c r="AD8" s="22" t="s">
        <v>18319</v>
      </c>
      <c r="AE8" s="22">
        <v>12</v>
      </c>
      <c r="AF8" s="48">
        <v>0</v>
      </c>
      <c r="AG8" s="48">
        <v>0</v>
      </c>
      <c r="AH8" s="48">
        <v>0</v>
      </c>
      <c r="AI8" s="40">
        <v>45714</v>
      </c>
    </row>
    <row r="9" spans="1:35" ht="17.399999999999999">
      <c r="A9" s="22" t="s">
        <v>18153</v>
      </c>
      <c r="B9" s="22" t="s">
        <v>18119</v>
      </c>
      <c r="C9" s="56">
        <v>45496</v>
      </c>
      <c r="D9" s="56">
        <v>45439</v>
      </c>
      <c r="E9" s="22" t="s">
        <v>18154</v>
      </c>
      <c r="F9" s="22" t="s">
        <v>33</v>
      </c>
      <c r="G9" s="22" t="s">
        <v>33</v>
      </c>
      <c r="H9" s="22" t="s">
        <v>303</v>
      </c>
      <c r="I9" s="49" t="s">
        <v>304</v>
      </c>
      <c r="J9" s="50" t="s">
        <v>305</v>
      </c>
      <c r="K9" s="22" t="s">
        <v>18106</v>
      </c>
      <c r="L9" s="22" t="s">
        <v>60</v>
      </c>
      <c r="M9" s="22">
        <v>1</v>
      </c>
      <c r="N9" s="22" t="s">
        <v>18159</v>
      </c>
      <c r="O9" s="22"/>
      <c r="P9" s="46" t="s">
        <v>685</v>
      </c>
      <c r="Q9" s="40" t="s">
        <v>627</v>
      </c>
      <c r="R9" s="41">
        <v>45700</v>
      </c>
      <c r="S9" s="22">
        <v>1</v>
      </c>
      <c r="T9" s="41">
        <v>45706</v>
      </c>
      <c r="U9" s="44" t="s">
        <v>571</v>
      </c>
      <c r="V9" s="44" t="s">
        <v>571</v>
      </c>
      <c r="W9" s="44" t="s">
        <v>571</v>
      </c>
      <c r="X9" s="46">
        <v>1</v>
      </c>
      <c r="Y9" s="46" t="s">
        <v>571</v>
      </c>
      <c r="Z9" s="22"/>
      <c r="AA9" s="22"/>
      <c r="AB9" s="22"/>
      <c r="AC9" s="22"/>
      <c r="AD9" s="22"/>
      <c r="AE9" s="22"/>
      <c r="AF9" s="48">
        <v>0</v>
      </c>
      <c r="AG9" s="48">
        <v>1</v>
      </c>
      <c r="AH9" s="48">
        <v>1</v>
      </c>
      <c r="AI9" s="40">
        <v>45714</v>
      </c>
    </row>
    <row r="10" spans="1:35" ht="17.399999999999999">
      <c r="A10" s="22" t="s">
        <v>18155</v>
      </c>
      <c r="B10" s="22" t="s">
        <v>18156</v>
      </c>
      <c r="C10" s="56">
        <v>45574</v>
      </c>
      <c r="D10" s="56">
        <v>45559</v>
      </c>
      <c r="E10" s="22" t="s">
        <v>18094</v>
      </c>
      <c r="F10" s="22" t="s">
        <v>33</v>
      </c>
      <c r="G10" s="22" t="s">
        <v>33</v>
      </c>
      <c r="H10" s="22" t="s">
        <v>205</v>
      </c>
      <c r="I10" s="49" t="s">
        <v>206</v>
      </c>
      <c r="J10" s="50" t="s">
        <v>207</v>
      </c>
      <c r="K10" s="22" t="s">
        <v>18157</v>
      </c>
      <c r="L10" s="22" t="s">
        <v>60</v>
      </c>
      <c r="M10" s="22">
        <v>2</v>
      </c>
      <c r="N10" s="22" t="s">
        <v>18158</v>
      </c>
      <c r="O10" s="22"/>
      <c r="P10" s="46" t="s">
        <v>685</v>
      </c>
      <c r="Q10" s="40" t="s">
        <v>627</v>
      </c>
      <c r="R10" s="41">
        <v>45700</v>
      </c>
      <c r="S10" s="22">
        <v>2</v>
      </c>
      <c r="T10" s="41">
        <v>45706</v>
      </c>
      <c r="U10" s="44" t="s">
        <v>571</v>
      </c>
      <c r="V10" s="44" t="s">
        <v>571</v>
      </c>
      <c r="W10" s="44" t="s">
        <v>571</v>
      </c>
      <c r="X10" s="46">
        <v>2</v>
      </c>
      <c r="Y10" s="46" t="s">
        <v>571</v>
      </c>
      <c r="Z10" s="22"/>
      <c r="AA10" s="22"/>
      <c r="AB10" s="22"/>
      <c r="AC10" s="22"/>
      <c r="AD10" s="22"/>
      <c r="AE10" s="22"/>
      <c r="AF10" s="48">
        <v>0</v>
      </c>
      <c r="AG10" s="48">
        <v>2</v>
      </c>
      <c r="AH10" s="48">
        <v>2</v>
      </c>
      <c r="AI10" s="40">
        <v>45714</v>
      </c>
    </row>
    <row r="11" spans="1:35" ht="17.399999999999999">
      <c r="A11" s="113" t="s">
        <v>18262</v>
      </c>
      <c r="B11" s="113" t="s">
        <v>287</v>
      </c>
      <c r="C11" s="127">
        <v>45729</v>
      </c>
      <c r="D11" s="127">
        <v>45608</v>
      </c>
      <c r="E11" s="113" t="s">
        <v>18263</v>
      </c>
      <c r="F11" s="113" t="s">
        <v>33</v>
      </c>
      <c r="G11" s="113" t="s">
        <v>33</v>
      </c>
      <c r="H11" s="136" t="s">
        <v>18398</v>
      </c>
      <c r="I11" s="128" t="s">
        <v>818</v>
      </c>
      <c r="J11" s="129" t="s">
        <v>5384</v>
      </c>
      <c r="K11" s="113" t="s">
        <v>51</v>
      </c>
      <c r="L11" s="113" t="s">
        <v>60</v>
      </c>
      <c r="M11" s="113">
        <v>79</v>
      </c>
      <c r="N11" s="113" t="s">
        <v>18264</v>
      </c>
      <c r="O11" s="113"/>
      <c r="P11" s="130" t="s">
        <v>685</v>
      </c>
      <c r="Q11" s="131" t="s">
        <v>627</v>
      </c>
      <c r="R11" s="132">
        <v>45729</v>
      </c>
      <c r="S11" s="113">
        <v>79</v>
      </c>
      <c r="T11" s="132">
        <v>45748</v>
      </c>
      <c r="U11" s="133">
        <v>45740</v>
      </c>
      <c r="V11" s="133">
        <v>45748</v>
      </c>
      <c r="W11" s="133" t="s">
        <v>18321</v>
      </c>
      <c r="X11" s="130">
        <v>79</v>
      </c>
      <c r="Y11" s="130" t="s">
        <v>18324</v>
      </c>
      <c r="Z11" s="135">
        <v>45776</v>
      </c>
      <c r="AA11" s="136" t="s">
        <v>18435</v>
      </c>
      <c r="AB11" s="113">
        <v>79</v>
      </c>
      <c r="AC11" s="113"/>
      <c r="AD11" s="113"/>
      <c r="AE11" s="113"/>
      <c r="AF11" s="134">
        <v>0</v>
      </c>
      <c r="AG11" s="48">
        <v>0</v>
      </c>
      <c r="AH11" s="48">
        <v>0</v>
      </c>
      <c r="AI11" s="131">
        <v>45743</v>
      </c>
    </row>
    <row r="12" spans="1:35" ht="17.399999999999999">
      <c r="A12" s="22" t="s">
        <v>18277</v>
      </c>
      <c r="B12" s="22" t="s">
        <v>18119</v>
      </c>
      <c r="C12" s="56">
        <v>45693</v>
      </c>
      <c r="D12" s="56">
        <v>45646</v>
      </c>
      <c r="E12" s="22" t="s">
        <v>18278</v>
      </c>
      <c r="F12" s="22" t="s">
        <v>33</v>
      </c>
      <c r="G12" s="22" t="s">
        <v>33</v>
      </c>
      <c r="H12" s="22" t="s">
        <v>303</v>
      </c>
      <c r="I12" s="49" t="s">
        <v>304</v>
      </c>
      <c r="J12" s="50" t="s">
        <v>305</v>
      </c>
      <c r="K12" s="22" t="s">
        <v>18106</v>
      </c>
      <c r="L12" s="22" t="s">
        <v>60</v>
      </c>
      <c r="M12" s="22">
        <v>1</v>
      </c>
      <c r="N12" s="22" t="s">
        <v>18279</v>
      </c>
      <c r="O12" s="22"/>
      <c r="P12" s="46" t="s">
        <v>685</v>
      </c>
      <c r="Q12" s="40" t="s">
        <v>627</v>
      </c>
      <c r="R12" s="41">
        <v>45733</v>
      </c>
      <c r="S12" s="22">
        <v>1</v>
      </c>
      <c r="T12" s="41">
        <v>45748</v>
      </c>
      <c r="U12" s="44" t="s">
        <v>571</v>
      </c>
      <c r="V12" s="44" t="s">
        <v>571</v>
      </c>
      <c r="W12" s="44" t="s">
        <v>571</v>
      </c>
      <c r="X12" s="46">
        <v>1</v>
      </c>
      <c r="Y12" s="46" t="s">
        <v>571</v>
      </c>
      <c r="Z12" s="22"/>
      <c r="AA12" s="22"/>
      <c r="AB12" s="22"/>
      <c r="AC12" s="22"/>
      <c r="AD12" s="22"/>
      <c r="AE12" s="22"/>
      <c r="AF12" s="48">
        <v>0</v>
      </c>
      <c r="AG12" s="48">
        <v>1</v>
      </c>
      <c r="AH12" s="48">
        <v>1</v>
      </c>
      <c r="AI12" s="40">
        <v>45747</v>
      </c>
    </row>
    <row r="13" spans="1:35" ht="17.399999999999999">
      <c r="A13" s="22" t="s">
        <v>18372</v>
      </c>
      <c r="B13" s="22" t="s">
        <v>709</v>
      </c>
      <c r="C13" s="56">
        <v>45680</v>
      </c>
      <c r="D13" s="56">
        <v>45561</v>
      </c>
      <c r="E13" s="22" t="s">
        <v>18373</v>
      </c>
      <c r="F13" s="22" t="s">
        <v>33</v>
      </c>
      <c r="G13" s="22" t="s">
        <v>33</v>
      </c>
      <c r="H13" s="22" t="s">
        <v>182</v>
      </c>
      <c r="I13" s="49" t="s">
        <v>183</v>
      </c>
      <c r="J13" s="50" t="s">
        <v>711</v>
      </c>
      <c r="K13" s="22" t="s">
        <v>215</v>
      </c>
      <c r="L13" s="22" t="s">
        <v>60</v>
      </c>
      <c r="M13" s="22">
        <v>1</v>
      </c>
      <c r="N13" s="22" t="s">
        <v>18374</v>
      </c>
      <c r="O13" s="22"/>
      <c r="P13" s="46" t="s">
        <v>685</v>
      </c>
      <c r="Q13" s="40" t="s">
        <v>627</v>
      </c>
      <c r="R13" s="41">
        <v>45757</v>
      </c>
      <c r="S13" s="22">
        <v>1</v>
      </c>
      <c r="T13" s="41">
        <v>45776</v>
      </c>
      <c r="U13" s="44">
        <v>45765</v>
      </c>
      <c r="V13" s="44">
        <v>45776</v>
      </c>
      <c r="W13" s="46" t="s">
        <v>18414</v>
      </c>
      <c r="X13" s="46">
        <v>1</v>
      </c>
      <c r="Y13" s="46" t="s">
        <v>18423</v>
      </c>
      <c r="Z13" s="22"/>
      <c r="AA13" s="22"/>
      <c r="AB13" s="22"/>
      <c r="AC13" s="22"/>
      <c r="AD13" s="22"/>
      <c r="AE13" s="22"/>
      <c r="AF13" s="48">
        <v>0</v>
      </c>
      <c r="AG13" s="48">
        <v>1</v>
      </c>
      <c r="AH13" s="48">
        <v>1</v>
      </c>
      <c r="AI13" s="40">
        <v>45778</v>
      </c>
    </row>
    <row r="14" spans="1:35" ht="17.399999999999999">
      <c r="A14" s="22" t="s">
        <v>18375</v>
      </c>
      <c r="B14" s="22" t="s">
        <v>18376</v>
      </c>
      <c r="C14" s="56">
        <v>45686</v>
      </c>
      <c r="D14" s="56">
        <v>45670</v>
      </c>
      <c r="E14" s="22" t="s">
        <v>18377</v>
      </c>
      <c r="F14" s="22" t="s">
        <v>33</v>
      </c>
      <c r="G14" s="22" t="s">
        <v>33</v>
      </c>
      <c r="H14" s="22" t="s">
        <v>5417</v>
      </c>
      <c r="I14" s="49" t="s">
        <v>827</v>
      </c>
      <c r="J14" s="50" t="s">
        <v>827</v>
      </c>
      <c r="K14" s="22" t="s">
        <v>215</v>
      </c>
      <c r="L14" s="22" t="s">
        <v>60</v>
      </c>
      <c r="M14" s="22">
        <v>2</v>
      </c>
      <c r="N14" s="22" t="s">
        <v>18378</v>
      </c>
      <c r="O14" s="22"/>
      <c r="P14" s="46" t="s">
        <v>685</v>
      </c>
      <c r="Q14" s="40" t="s">
        <v>627</v>
      </c>
      <c r="R14" s="41">
        <v>45757</v>
      </c>
      <c r="S14" s="22">
        <v>2</v>
      </c>
      <c r="T14" s="41">
        <v>45776</v>
      </c>
      <c r="U14" s="44">
        <v>45765</v>
      </c>
      <c r="V14" s="44">
        <v>45776</v>
      </c>
      <c r="W14" s="46" t="s">
        <v>18414</v>
      </c>
      <c r="X14" s="46">
        <v>2</v>
      </c>
      <c r="Y14" s="46" t="s">
        <v>18423</v>
      </c>
      <c r="Z14" s="22"/>
      <c r="AA14" s="22"/>
      <c r="AB14" s="22"/>
      <c r="AC14" s="22"/>
      <c r="AD14" s="22"/>
      <c r="AE14" s="22"/>
      <c r="AF14" s="48">
        <v>0</v>
      </c>
      <c r="AG14" s="48">
        <v>2</v>
      </c>
      <c r="AH14" s="48">
        <v>2</v>
      </c>
      <c r="AI14" s="40">
        <v>45778</v>
      </c>
    </row>
    <row r="15" spans="1:35" ht="17.399999999999999">
      <c r="A15" s="22" t="s">
        <v>18379</v>
      </c>
      <c r="B15" s="22" t="s">
        <v>269</v>
      </c>
      <c r="C15" s="56" t="s">
        <v>18380</v>
      </c>
      <c r="D15" s="56" t="s">
        <v>18381</v>
      </c>
      <c r="E15" s="22" t="s">
        <v>18382</v>
      </c>
      <c r="F15" s="22" t="s">
        <v>33</v>
      </c>
      <c r="G15" s="22" t="s">
        <v>33</v>
      </c>
      <c r="H15" s="22" t="s">
        <v>205</v>
      </c>
      <c r="I15" s="49" t="s">
        <v>206</v>
      </c>
      <c r="J15" s="50" t="s">
        <v>207</v>
      </c>
      <c r="K15" s="22" t="s">
        <v>2748</v>
      </c>
      <c r="L15" s="22" t="s">
        <v>60</v>
      </c>
      <c r="M15" s="22">
        <v>22</v>
      </c>
      <c r="N15" s="22" t="s">
        <v>18383</v>
      </c>
      <c r="O15" s="22"/>
      <c r="P15" s="46" t="s">
        <v>685</v>
      </c>
      <c r="Q15" s="40" t="s">
        <v>627</v>
      </c>
      <c r="R15" s="41">
        <v>45757</v>
      </c>
      <c r="S15" s="22">
        <v>22</v>
      </c>
      <c r="T15" s="41">
        <v>45776</v>
      </c>
      <c r="U15" s="44" t="s">
        <v>571</v>
      </c>
      <c r="V15" s="44" t="s">
        <v>571</v>
      </c>
      <c r="W15" s="44" t="s">
        <v>571</v>
      </c>
      <c r="X15" s="46">
        <v>22</v>
      </c>
      <c r="Y15" s="46" t="s">
        <v>571</v>
      </c>
      <c r="Z15" s="22"/>
      <c r="AA15" s="22"/>
      <c r="AB15" s="22"/>
      <c r="AC15" s="22"/>
      <c r="AD15" s="22"/>
      <c r="AE15" s="22"/>
      <c r="AF15" s="48">
        <v>0</v>
      </c>
      <c r="AG15" s="48">
        <v>22</v>
      </c>
      <c r="AH15" s="48">
        <v>22</v>
      </c>
      <c r="AI15" s="40">
        <v>45778</v>
      </c>
    </row>
    <row r="16" spans="1:35" ht="17.399999999999999">
      <c r="A16" s="22" t="s">
        <v>18400</v>
      </c>
      <c r="B16" s="22" t="s">
        <v>18401</v>
      </c>
      <c r="C16" s="56">
        <v>45598</v>
      </c>
      <c r="D16" s="56">
        <v>45510</v>
      </c>
      <c r="E16" s="22" t="s">
        <v>18402</v>
      </c>
      <c r="F16" s="22" t="s">
        <v>33</v>
      </c>
      <c r="G16" s="22" t="s">
        <v>33</v>
      </c>
      <c r="H16" s="22" t="s">
        <v>12356</v>
      </c>
      <c r="I16" s="49" t="s">
        <v>174</v>
      </c>
      <c r="J16" s="50" t="s">
        <v>12357</v>
      </c>
      <c r="K16" s="22" t="s">
        <v>51</v>
      </c>
      <c r="L16" s="22" t="s">
        <v>60</v>
      </c>
      <c r="M16" s="22">
        <v>1</v>
      </c>
      <c r="N16" s="22" t="s">
        <v>18532</v>
      </c>
      <c r="O16" s="22"/>
      <c r="P16" s="46" t="s">
        <v>685</v>
      </c>
      <c r="Q16" s="40" t="s">
        <v>627</v>
      </c>
      <c r="R16" s="41">
        <v>45770</v>
      </c>
      <c r="S16" s="22">
        <v>1</v>
      </c>
      <c r="T16" s="41">
        <v>45820</v>
      </c>
      <c r="U16" s="44">
        <v>45820</v>
      </c>
      <c r="V16" s="44">
        <v>45832</v>
      </c>
      <c r="W16" s="46" t="s">
        <v>18524</v>
      </c>
      <c r="X16" s="46">
        <v>1</v>
      </c>
      <c r="Y16" s="46" t="s">
        <v>18528</v>
      </c>
      <c r="Z16" s="22"/>
      <c r="AA16" s="22"/>
      <c r="AB16" s="22"/>
      <c r="AC16" s="22"/>
      <c r="AD16" s="22"/>
      <c r="AE16" s="22"/>
      <c r="AF16" s="48">
        <v>0</v>
      </c>
      <c r="AG16" s="48">
        <v>1</v>
      </c>
      <c r="AH16" s="48">
        <v>1</v>
      </c>
      <c r="AI16" s="40">
        <v>45791</v>
      </c>
    </row>
    <row r="17" spans="1:35" ht="17.399999999999999">
      <c r="A17" s="22" t="s">
        <v>18403</v>
      </c>
      <c r="B17" s="22" t="s">
        <v>18404</v>
      </c>
      <c r="C17" s="56">
        <v>45530</v>
      </c>
      <c r="D17" s="56">
        <v>45044</v>
      </c>
      <c r="E17" s="22" t="s">
        <v>274</v>
      </c>
      <c r="F17" s="22" t="s">
        <v>33</v>
      </c>
      <c r="G17" s="22" t="s">
        <v>33</v>
      </c>
      <c r="H17" s="22" t="s">
        <v>12270</v>
      </c>
      <c r="I17" s="49" t="s">
        <v>174</v>
      </c>
      <c r="J17" s="50" t="s">
        <v>12271</v>
      </c>
      <c r="K17" s="22" t="s">
        <v>51</v>
      </c>
      <c r="L17" s="22" t="s">
        <v>60</v>
      </c>
      <c r="M17" s="22">
        <v>1</v>
      </c>
      <c r="N17" s="22" t="s">
        <v>18533</v>
      </c>
      <c r="O17" s="22"/>
      <c r="P17" s="46" t="s">
        <v>685</v>
      </c>
      <c r="Q17" s="40" t="s">
        <v>627</v>
      </c>
      <c r="R17" s="41">
        <v>45770</v>
      </c>
      <c r="S17" s="22">
        <v>1</v>
      </c>
      <c r="T17" s="41">
        <v>45820</v>
      </c>
      <c r="U17" s="44">
        <v>45820</v>
      </c>
      <c r="V17" s="44">
        <v>45832</v>
      </c>
      <c r="W17" s="46" t="s">
        <v>18524</v>
      </c>
      <c r="X17" s="46">
        <v>1</v>
      </c>
      <c r="Y17" s="46" t="s">
        <v>18528</v>
      </c>
      <c r="Z17" s="22"/>
      <c r="AA17" s="22"/>
      <c r="AB17" s="22"/>
      <c r="AC17" s="22"/>
      <c r="AD17" s="22"/>
      <c r="AE17" s="22"/>
      <c r="AF17" s="48">
        <v>0</v>
      </c>
      <c r="AG17" s="48">
        <v>1</v>
      </c>
      <c r="AH17" s="48">
        <v>1</v>
      </c>
      <c r="AI17" s="40">
        <v>45791</v>
      </c>
    </row>
    <row r="18" spans="1:35" ht="17.399999999999999">
      <c r="A18" s="22" t="s">
        <v>18405</v>
      </c>
      <c r="B18" s="22" t="s">
        <v>287</v>
      </c>
      <c r="C18" s="56" t="s">
        <v>18410</v>
      </c>
      <c r="D18" s="56" t="s">
        <v>338</v>
      </c>
      <c r="E18" s="22" t="s">
        <v>339</v>
      </c>
      <c r="F18" s="22" t="s">
        <v>33</v>
      </c>
      <c r="G18" s="22" t="s">
        <v>33</v>
      </c>
      <c r="H18" s="22" t="s">
        <v>233</v>
      </c>
      <c r="I18" s="49" t="s">
        <v>174</v>
      </c>
      <c r="J18" s="50" t="s">
        <v>234</v>
      </c>
      <c r="K18" s="22" t="s">
        <v>51</v>
      </c>
      <c r="L18" s="22" t="s">
        <v>60</v>
      </c>
      <c r="M18" s="22">
        <v>8</v>
      </c>
      <c r="N18" s="22" t="s">
        <v>18411</v>
      </c>
      <c r="O18" s="22"/>
      <c r="P18" s="46" t="s">
        <v>685</v>
      </c>
      <c r="Q18" s="40" t="s">
        <v>627</v>
      </c>
      <c r="R18" s="41">
        <v>45770</v>
      </c>
      <c r="S18" s="22">
        <v>8</v>
      </c>
      <c r="T18" s="41">
        <v>45820</v>
      </c>
      <c r="U18" s="44">
        <v>45820</v>
      </c>
      <c r="V18" s="44">
        <v>45832</v>
      </c>
      <c r="W18" s="46" t="s">
        <v>18524</v>
      </c>
      <c r="X18" s="46">
        <v>8</v>
      </c>
      <c r="Y18" s="46" t="s">
        <v>18528</v>
      </c>
      <c r="Z18" s="22"/>
      <c r="AA18" s="22"/>
      <c r="AB18" s="22"/>
      <c r="AC18" s="22"/>
      <c r="AD18" s="22"/>
      <c r="AE18" s="22"/>
      <c r="AF18" s="48">
        <v>0</v>
      </c>
      <c r="AG18" s="48">
        <v>8</v>
      </c>
      <c r="AH18" s="48">
        <v>8</v>
      </c>
      <c r="AI18" s="40">
        <v>45791</v>
      </c>
    </row>
    <row r="19" spans="1:35" ht="17.399999999999999">
      <c r="A19" s="22" t="s">
        <v>18452</v>
      </c>
      <c r="B19" s="22" t="s">
        <v>18453</v>
      </c>
      <c r="C19" s="56">
        <v>45765</v>
      </c>
      <c r="D19" s="56">
        <v>45608</v>
      </c>
      <c r="E19" s="22" t="s">
        <v>18454</v>
      </c>
      <c r="F19" s="22" t="s">
        <v>33</v>
      </c>
      <c r="G19" s="22" t="s">
        <v>33</v>
      </c>
      <c r="H19" s="22" t="s">
        <v>5285</v>
      </c>
      <c r="I19" s="49" t="s">
        <v>213</v>
      </c>
      <c r="J19" s="50" t="s">
        <v>5286</v>
      </c>
      <c r="K19" s="22" t="s">
        <v>215</v>
      </c>
      <c r="L19" s="22" t="s">
        <v>60</v>
      </c>
      <c r="M19" s="22">
        <v>115</v>
      </c>
      <c r="N19" s="22" t="s">
        <v>18455</v>
      </c>
      <c r="O19" s="22"/>
      <c r="P19" s="46" t="s">
        <v>685</v>
      </c>
      <c r="Q19" s="40" t="s">
        <v>627</v>
      </c>
      <c r="R19" s="41">
        <v>45786</v>
      </c>
      <c r="S19" s="22">
        <v>115</v>
      </c>
      <c r="T19" s="41">
        <v>45798</v>
      </c>
      <c r="U19" s="44">
        <v>45792</v>
      </c>
      <c r="V19" s="44">
        <v>45797</v>
      </c>
      <c r="W19" s="46" t="s">
        <v>18467</v>
      </c>
      <c r="X19" s="46">
        <v>115</v>
      </c>
      <c r="Y19" s="46" t="s">
        <v>18469</v>
      </c>
      <c r="Z19" s="22"/>
      <c r="AA19" s="22"/>
      <c r="AB19" s="22"/>
      <c r="AC19" s="22"/>
      <c r="AD19" s="22"/>
      <c r="AE19" s="22"/>
      <c r="AF19" s="48">
        <v>0</v>
      </c>
      <c r="AG19" s="48">
        <v>115</v>
      </c>
      <c r="AH19" s="48">
        <v>115</v>
      </c>
      <c r="AI19" s="40">
        <v>45807</v>
      </c>
    </row>
    <row r="20" spans="1:35" ht="17.399999999999999">
      <c r="A20" s="136" t="s">
        <v>18513</v>
      </c>
      <c r="B20" s="136" t="s">
        <v>18514</v>
      </c>
      <c r="C20" s="139">
        <v>45721</v>
      </c>
      <c r="D20" s="139">
        <v>45670</v>
      </c>
      <c r="E20" s="136" t="s">
        <v>18515</v>
      </c>
      <c r="F20" s="136" t="s">
        <v>33</v>
      </c>
      <c r="G20" s="136" t="s">
        <v>33</v>
      </c>
      <c r="H20" s="136" t="s">
        <v>1774</v>
      </c>
      <c r="I20" s="140" t="s">
        <v>1775</v>
      </c>
      <c r="J20" s="141" t="s">
        <v>1775</v>
      </c>
      <c r="K20" s="136" t="s">
        <v>18106</v>
      </c>
      <c r="L20" s="136" t="s">
        <v>60</v>
      </c>
      <c r="M20" s="136">
        <v>1</v>
      </c>
      <c r="N20" s="136" t="s">
        <v>18516</v>
      </c>
      <c r="O20" s="136"/>
      <c r="P20" s="138" t="s">
        <v>685</v>
      </c>
      <c r="Q20" s="142" t="s">
        <v>627</v>
      </c>
      <c r="R20" s="143">
        <v>45826</v>
      </c>
      <c r="S20" s="136">
        <v>1</v>
      </c>
      <c r="T20" s="143">
        <v>45841</v>
      </c>
      <c r="U20" s="137">
        <v>45833</v>
      </c>
      <c r="V20" s="137">
        <v>45841</v>
      </c>
      <c r="W20" s="138" t="s">
        <v>18542</v>
      </c>
      <c r="X20" s="138">
        <v>1</v>
      </c>
      <c r="Y20" s="138" t="s">
        <v>18552</v>
      </c>
      <c r="Z20" s="136"/>
      <c r="AA20" s="136"/>
      <c r="AB20" s="136"/>
      <c r="AC20" s="136"/>
      <c r="AD20" s="136"/>
      <c r="AE20" s="136"/>
      <c r="AF20" s="134">
        <v>0</v>
      </c>
      <c r="AG20" s="134">
        <v>1</v>
      </c>
      <c r="AH20" s="134">
        <v>1</v>
      </c>
      <c r="AI20" s="142">
        <v>45847</v>
      </c>
    </row>
    <row r="21" spans="1:35" ht="17.399999999999999">
      <c r="A21" s="22" t="s">
        <v>18517</v>
      </c>
      <c r="B21" s="22" t="s">
        <v>716</v>
      </c>
      <c r="C21" s="56">
        <v>45726</v>
      </c>
      <c r="D21" s="56">
        <v>45645</v>
      </c>
      <c r="E21" s="22" t="s">
        <v>18518</v>
      </c>
      <c r="F21" s="22" t="s">
        <v>33</v>
      </c>
      <c r="G21" s="22" t="s">
        <v>33</v>
      </c>
      <c r="H21" s="22" t="s">
        <v>5032</v>
      </c>
      <c r="I21" s="49" t="s">
        <v>5033</v>
      </c>
      <c r="J21" s="50" t="s">
        <v>5034</v>
      </c>
      <c r="K21" s="22" t="s">
        <v>493</v>
      </c>
      <c r="L21" s="22" t="s">
        <v>60</v>
      </c>
      <c r="M21" s="22">
        <v>1</v>
      </c>
      <c r="N21" s="22" t="s">
        <v>18519</v>
      </c>
      <c r="O21" s="22"/>
      <c r="P21" s="46" t="s">
        <v>685</v>
      </c>
      <c r="Q21" s="40" t="s">
        <v>627</v>
      </c>
      <c r="R21" s="41">
        <v>45826</v>
      </c>
      <c r="S21" s="22">
        <v>1</v>
      </c>
      <c r="T21" s="41">
        <v>45832</v>
      </c>
      <c r="U21" s="144" t="s">
        <v>571</v>
      </c>
      <c r="V21" s="144" t="s">
        <v>571</v>
      </c>
      <c r="W21" s="144" t="s">
        <v>571</v>
      </c>
      <c r="X21" s="145">
        <v>1</v>
      </c>
      <c r="Y21" s="46" t="s">
        <v>571</v>
      </c>
      <c r="Z21" s="22"/>
      <c r="AA21" s="22"/>
      <c r="AB21" s="22"/>
      <c r="AC21" s="22"/>
      <c r="AD21" s="22"/>
      <c r="AE21" s="22"/>
      <c r="AF21" s="48">
        <v>0</v>
      </c>
      <c r="AG21" s="48">
        <v>1</v>
      </c>
      <c r="AH21" s="48">
        <v>1</v>
      </c>
      <c r="AI21" s="40">
        <v>45847</v>
      </c>
    </row>
    <row r="22" spans="1:35" ht="17.399999999999999">
      <c r="A22" s="22" t="s">
        <v>18520</v>
      </c>
      <c r="B22" s="22" t="s">
        <v>18119</v>
      </c>
      <c r="C22" s="56" t="s">
        <v>18521</v>
      </c>
      <c r="D22" s="56">
        <v>45681</v>
      </c>
      <c r="E22" s="22" t="s">
        <v>18522</v>
      </c>
      <c r="F22" s="22" t="s">
        <v>33</v>
      </c>
      <c r="G22" s="22" t="s">
        <v>33</v>
      </c>
      <c r="H22" s="22" t="s">
        <v>303</v>
      </c>
      <c r="I22" s="49" t="s">
        <v>304</v>
      </c>
      <c r="J22" s="50" t="s">
        <v>305</v>
      </c>
      <c r="K22" s="22" t="s">
        <v>18106</v>
      </c>
      <c r="L22" s="22" t="s">
        <v>60</v>
      </c>
      <c r="M22" s="22">
        <v>2</v>
      </c>
      <c r="N22" s="22" t="s">
        <v>18523</v>
      </c>
      <c r="O22" s="22"/>
      <c r="P22" s="46" t="s">
        <v>685</v>
      </c>
      <c r="Q22" s="40" t="s">
        <v>627</v>
      </c>
      <c r="R22" s="41">
        <v>45826</v>
      </c>
      <c r="S22" s="22">
        <v>2</v>
      </c>
      <c r="T22" s="41">
        <v>45832</v>
      </c>
      <c r="U22" s="144" t="s">
        <v>571</v>
      </c>
      <c r="V22" s="144" t="s">
        <v>571</v>
      </c>
      <c r="W22" s="144" t="s">
        <v>571</v>
      </c>
      <c r="X22" s="145">
        <v>2</v>
      </c>
      <c r="Y22" s="46" t="s">
        <v>571</v>
      </c>
      <c r="Z22" s="22"/>
      <c r="AA22" s="22"/>
      <c r="AB22" s="22"/>
      <c r="AC22" s="22"/>
      <c r="AD22" s="22"/>
      <c r="AE22" s="22"/>
      <c r="AF22" s="48">
        <v>0</v>
      </c>
      <c r="AG22" s="48">
        <v>2</v>
      </c>
      <c r="AH22" s="48">
        <v>2</v>
      </c>
      <c r="AI22" s="40">
        <v>45847</v>
      </c>
    </row>
    <row r="23" spans="1:35" ht="17.399999999999999">
      <c r="A23" s="22" t="s">
        <v>18543</v>
      </c>
      <c r="B23" s="22" t="s">
        <v>18544</v>
      </c>
      <c r="C23" s="56">
        <v>45756</v>
      </c>
      <c r="D23" s="56">
        <v>45685</v>
      </c>
      <c r="E23" s="22" t="s">
        <v>18545</v>
      </c>
      <c r="F23" s="22" t="s">
        <v>33</v>
      </c>
      <c r="G23" s="22" t="s">
        <v>33</v>
      </c>
      <c r="H23" s="22" t="s">
        <v>12116</v>
      </c>
      <c r="I23" s="49" t="s">
        <v>1781</v>
      </c>
      <c r="J23" s="50" t="s">
        <v>7886</v>
      </c>
      <c r="K23" s="22" t="s">
        <v>18106</v>
      </c>
      <c r="L23" s="22" t="s">
        <v>60</v>
      </c>
      <c r="M23" s="22">
        <v>2</v>
      </c>
      <c r="N23" s="22" t="s">
        <v>18546</v>
      </c>
      <c r="O23" s="22"/>
      <c r="P23" s="46" t="s">
        <v>685</v>
      </c>
      <c r="Q23" s="40" t="s">
        <v>627</v>
      </c>
      <c r="R23" s="41">
        <v>45840</v>
      </c>
      <c r="S23" s="22">
        <v>2</v>
      </c>
      <c r="T23" s="41">
        <v>45848</v>
      </c>
      <c r="U23" s="44" t="s">
        <v>571</v>
      </c>
      <c r="V23" s="44" t="s">
        <v>571</v>
      </c>
      <c r="W23" s="44" t="s">
        <v>571</v>
      </c>
      <c r="X23" s="46">
        <v>2</v>
      </c>
      <c r="Y23" s="44" t="s">
        <v>571</v>
      </c>
      <c r="Z23" s="22"/>
      <c r="AA23" s="22"/>
      <c r="AB23" s="22"/>
      <c r="AC23" s="22"/>
      <c r="AD23" s="22"/>
      <c r="AE23" s="22"/>
      <c r="AF23" s="48">
        <v>0</v>
      </c>
      <c r="AG23" s="48">
        <v>2</v>
      </c>
      <c r="AH23" s="48">
        <v>2</v>
      </c>
      <c r="AI23" s="40">
        <v>45861</v>
      </c>
    </row>
    <row r="24" spans="1:35" ht="17.399999999999999">
      <c r="A24" s="22" t="s">
        <v>18547</v>
      </c>
      <c r="B24" s="22" t="s">
        <v>18548</v>
      </c>
      <c r="C24" s="56">
        <v>45768</v>
      </c>
      <c r="D24" s="56">
        <v>45735</v>
      </c>
      <c r="E24" s="22" t="s">
        <v>18549</v>
      </c>
      <c r="F24" s="22" t="s">
        <v>33</v>
      </c>
      <c r="G24" s="22" t="s">
        <v>33</v>
      </c>
      <c r="H24" s="22" t="s">
        <v>303</v>
      </c>
      <c r="I24" s="49" t="s">
        <v>304</v>
      </c>
      <c r="J24" s="50" t="s">
        <v>305</v>
      </c>
      <c r="K24" s="22" t="s">
        <v>18106</v>
      </c>
      <c r="L24" s="22" t="s">
        <v>60</v>
      </c>
      <c r="M24" s="22">
        <v>1</v>
      </c>
      <c r="N24" s="22" t="s">
        <v>18550</v>
      </c>
      <c r="O24" s="22"/>
      <c r="P24" s="46" t="s">
        <v>685</v>
      </c>
      <c r="Q24" s="40" t="s">
        <v>627</v>
      </c>
      <c r="R24" s="41">
        <v>45840</v>
      </c>
      <c r="S24" s="22">
        <v>1</v>
      </c>
      <c r="T24" s="41">
        <v>45848</v>
      </c>
      <c r="U24" s="44" t="s">
        <v>571</v>
      </c>
      <c r="V24" s="44" t="s">
        <v>571</v>
      </c>
      <c r="W24" s="44" t="s">
        <v>571</v>
      </c>
      <c r="X24" s="46">
        <v>1</v>
      </c>
      <c r="Y24" s="44" t="s">
        <v>571</v>
      </c>
      <c r="Z24" s="22"/>
      <c r="AA24" s="22"/>
      <c r="AB24" s="22"/>
      <c r="AC24" s="22"/>
      <c r="AD24" s="22"/>
      <c r="AE24" s="22"/>
      <c r="AF24" s="48">
        <v>0</v>
      </c>
      <c r="AG24" s="48">
        <v>1</v>
      </c>
      <c r="AH24" s="48">
        <v>1</v>
      </c>
      <c r="AI24" s="40">
        <v>45861</v>
      </c>
    </row>
    <row r="25" spans="1:35" ht="17.399999999999999">
      <c r="A25" s="22" t="s">
        <v>18554</v>
      </c>
      <c r="B25" s="22" t="s">
        <v>709</v>
      </c>
      <c r="C25" s="56">
        <v>45706</v>
      </c>
      <c r="D25" s="56">
        <v>45645</v>
      </c>
      <c r="E25" s="22" t="s">
        <v>18518</v>
      </c>
      <c r="F25" s="22" t="s">
        <v>33</v>
      </c>
      <c r="G25" s="22" t="s">
        <v>33</v>
      </c>
      <c r="H25" s="22" t="s">
        <v>5032</v>
      </c>
      <c r="I25" s="49" t="s">
        <v>5033</v>
      </c>
      <c r="J25" s="50" t="s">
        <v>5034</v>
      </c>
      <c r="K25" s="22" t="s">
        <v>215</v>
      </c>
      <c r="L25" s="22" t="s">
        <v>60</v>
      </c>
      <c r="M25" s="22">
        <v>1</v>
      </c>
      <c r="N25" s="22" t="s">
        <v>18555</v>
      </c>
      <c r="O25" s="22"/>
      <c r="P25" s="46" t="s">
        <v>685</v>
      </c>
      <c r="Q25" s="40" t="s">
        <v>627</v>
      </c>
      <c r="R25" s="41">
        <v>45845</v>
      </c>
      <c r="S25" s="22">
        <v>1</v>
      </c>
      <c r="T25" s="41">
        <v>45848</v>
      </c>
      <c r="U25" s="44" t="s">
        <v>571</v>
      </c>
      <c r="V25" s="44" t="s">
        <v>571</v>
      </c>
      <c r="W25" s="44" t="s">
        <v>571</v>
      </c>
      <c r="X25" s="46">
        <v>1</v>
      </c>
      <c r="Y25" s="44" t="s">
        <v>571</v>
      </c>
      <c r="Z25" s="22"/>
      <c r="AA25" s="22"/>
      <c r="AB25" s="22"/>
      <c r="AC25" s="22"/>
      <c r="AD25" s="22"/>
      <c r="AE25" s="22"/>
      <c r="AF25" s="48">
        <v>0</v>
      </c>
      <c r="AG25" s="48">
        <v>1</v>
      </c>
      <c r="AH25" s="48">
        <v>1</v>
      </c>
      <c r="AI25" s="40">
        <v>45866</v>
      </c>
    </row>
    <row r="26" spans="1:35" ht="17.399999999999999">
      <c r="A26" s="22" t="s">
        <v>18563</v>
      </c>
      <c r="B26" s="22" t="s">
        <v>709</v>
      </c>
      <c r="C26" s="56">
        <v>45698</v>
      </c>
      <c r="D26" s="56">
        <v>45645</v>
      </c>
      <c r="E26" s="22" t="s">
        <v>18518</v>
      </c>
      <c r="F26" s="22" t="s">
        <v>33</v>
      </c>
      <c r="G26" s="22" t="s">
        <v>33</v>
      </c>
      <c r="H26" s="22" t="s">
        <v>5032</v>
      </c>
      <c r="I26" s="49" t="s">
        <v>5033</v>
      </c>
      <c r="J26" s="50" t="s">
        <v>5034</v>
      </c>
      <c r="K26" s="22" t="s">
        <v>215</v>
      </c>
      <c r="L26" s="22" t="s">
        <v>60</v>
      </c>
      <c r="M26" s="22">
        <v>1</v>
      </c>
      <c r="N26" s="22" t="s">
        <v>132</v>
      </c>
      <c r="O26" s="22"/>
      <c r="P26" s="46" t="s">
        <v>685</v>
      </c>
      <c r="Q26" s="40" t="s">
        <v>627</v>
      </c>
      <c r="R26" s="41">
        <v>45847</v>
      </c>
      <c r="S26" s="22">
        <v>1</v>
      </c>
      <c r="T26" s="41"/>
      <c r="U26" s="44"/>
      <c r="V26" s="44"/>
      <c r="W26" s="46"/>
      <c r="X26" s="46"/>
      <c r="Y26" s="46"/>
      <c r="Z26" s="22"/>
      <c r="AA26" s="22"/>
      <c r="AB26" s="22"/>
      <c r="AC26" s="22"/>
      <c r="AD26" s="22"/>
      <c r="AE26" s="22"/>
      <c r="AF26" s="48">
        <v>1</v>
      </c>
      <c r="AG26" s="48">
        <v>0</v>
      </c>
      <c r="AH26" s="48">
        <v>1</v>
      </c>
      <c r="AI26" s="40">
        <v>45868</v>
      </c>
    </row>
    <row r="37" spans="1:10">
      <c r="D37">
        <v>45807</v>
      </c>
      <c r="E37" t="s">
        <v>18567</v>
      </c>
      <c r="F37">
        <v>2</v>
      </c>
      <c r="J37">
        <v>45691</v>
      </c>
    </row>
    <row r="38" spans="1:10">
      <c r="J38">
        <v>45691</v>
      </c>
    </row>
    <row r="39" spans="1:10">
      <c r="J39">
        <v>45691</v>
      </c>
    </row>
    <row r="40" spans="1:10">
      <c r="J40">
        <v>45706</v>
      </c>
    </row>
    <row r="41" spans="1:10">
      <c r="J41">
        <v>45708</v>
      </c>
    </row>
    <row r="42" spans="1:10">
      <c r="J42">
        <v>45708</v>
      </c>
    </row>
    <row r="43" spans="1:10">
      <c r="J43">
        <v>45709</v>
      </c>
    </row>
    <row r="44" spans="1:10">
      <c r="D44">
        <v>45744</v>
      </c>
      <c r="E44" t="s">
        <v>18319</v>
      </c>
      <c r="F44">
        <v>12</v>
      </c>
      <c r="J44">
        <v>45714</v>
      </c>
    </row>
    <row r="45" spans="1:10">
      <c r="J45">
        <v>45714</v>
      </c>
    </row>
    <row r="46" spans="1:10">
      <c r="J46">
        <v>45714</v>
      </c>
    </row>
    <row r="47" spans="1:10">
      <c r="A47">
        <v>45776</v>
      </c>
      <c r="B47" t="s">
        <v>18568</v>
      </c>
      <c r="C47">
        <v>79</v>
      </c>
      <c r="J47">
        <v>45743</v>
      </c>
    </row>
    <row r="48" spans="1:10">
      <c r="J48">
        <v>45747</v>
      </c>
    </row>
    <row r="49" spans="10:10">
      <c r="J49">
        <v>45778</v>
      </c>
    </row>
    <row r="50" spans="10:10">
      <c r="J50">
        <v>45778</v>
      </c>
    </row>
    <row r="51" spans="10:10">
      <c r="J51">
        <v>45778</v>
      </c>
    </row>
    <row r="52" spans="10:10">
      <c r="J52">
        <v>45791</v>
      </c>
    </row>
    <row r="53" spans="10:10">
      <c r="J53">
        <v>45791</v>
      </c>
    </row>
    <row r="54" spans="10:10">
      <c r="J54">
        <v>45791</v>
      </c>
    </row>
    <row r="55" spans="10:10">
      <c r="J55">
        <v>45807</v>
      </c>
    </row>
    <row r="56" spans="10:10">
      <c r="J56">
        <v>45847</v>
      </c>
    </row>
    <row r="57" spans="10:10">
      <c r="J57">
        <v>45847</v>
      </c>
    </row>
    <row r="58" spans="10:10">
      <c r="J58">
        <v>45847</v>
      </c>
    </row>
    <row r="59" spans="10:10">
      <c r="J59">
        <v>45861</v>
      </c>
    </row>
    <row r="60" spans="10:10">
      <c r="J60">
        <v>45861</v>
      </c>
    </row>
    <row r="61" spans="10:10">
      <c r="J61">
        <v>45866</v>
      </c>
    </row>
    <row r="62" spans="10:10">
      <c r="J62">
        <v>45868</v>
      </c>
    </row>
    <row r="69" spans="1:1">
      <c r="A69">
        <v>1</v>
      </c>
    </row>
    <row r="70" spans="1:1">
      <c r="A70">
        <v>2</v>
      </c>
    </row>
    <row r="71" spans="1:1">
      <c r="A71">
        <v>3</v>
      </c>
    </row>
    <row r="72" spans="1:1">
      <c r="A72">
        <v>4</v>
      </c>
    </row>
    <row r="73" spans="1:1">
      <c r="A73">
        <v>5</v>
      </c>
    </row>
    <row r="74" spans="1:1">
      <c r="A74">
        <v>6</v>
      </c>
    </row>
    <row r="75" spans="1:1">
      <c r="A75">
        <v>7</v>
      </c>
    </row>
    <row r="76" spans="1:1">
      <c r="A76">
        <v>8</v>
      </c>
    </row>
    <row r="77" spans="1:1">
      <c r="A77">
        <v>9</v>
      </c>
    </row>
    <row r="78" spans="1:1">
      <c r="A78">
        <v>10</v>
      </c>
    </row>
    <row r="79" spans="1:1">
      <c r="A79">
        <v>11</v>
      </c>
    </row>
    <row r="80" spans="1:1">
      <c r="A80">
        <v>12</v>
      </c>
    </row>
    <row r="81" spans="1:1">
      <c r="A81">
        <v>13</v>
      </c>
    </row>
    <row r="82" spans="1:1">
      <c r="A82">
        <v>14</v>
      </c>
    </row>
    <row r="83" spans="1:1">
      <c r="A83">
        <v>15</v>
      </c>
    </row>
    <row r="84" spans="1:1">
      <c r="A84">
        <v>16</v>
      </c>
    </row>
    <row r="85" spans="1:1">
      <c r="A85">
        <v>17</v>
      </c>
    </row>
    <row r="86" spans="1:1">
      <c r="A86">
        <v>18</v>
      </c>
    </row>
    <row r="87" spans="1:1">
      <c r="A87">
        <v>19</v>
      </c>
    </row>
    <row r="88" spans="1:1">
      <c r="A88">
        <v>20</v>
      </c>
    </row>
    <row r="89" spans="1:1">
      <c r="A89">
        <v>21</v>
      </c>
    </row>
    <row r="90" spans="1:1">
      <c r="A90">
        <v>22</v>
      </c>
    </row>
    <row r="91" spans="1:1">
      <c r="A91">
        <v>23</v>
      </c>
    </row>
    <row r="92" spans="1:1">
      <c r="A92">
        <v>24</v>
      </c>
    </row>
    <row r="93" spans="1:1">
      <c r="A93">
        <v>25</v>
      </c>
    </row>
    <row r="94" spans="1:1">
      <c r="A94">
        <v>26</v>
      </c>
    </row>
    <row r="95" spans="1:1">
      <c r="A95">
        <v>27</v>
      </c>
    </row>
    <row r="96" spans="1:1">
      <c r="A96">
        <v>28</v>
      </c>
    </row>
    <row r="97" spans="1:1">
      <c r="A97">
        <v>29</v>
      </c>
    </row>
  </sheetData>
  <phoneticPr fontId="3"/>
  <conditionalFormatting sqref="Y26 Y16:Y20 Y13:Y14 Y11 Y1:Y2">
    <cfRule type="cellIs" dxfId="2" priority="1" operator="equal">
      <formula>"Scrap at FFT"</formula>
    </cfRule>
  </conditionalFormatting>
  <conditionalFormatting sqref="AF1:AH26">
    <cfRule type="cellIs" dxfId="1" priority="2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K321"/>
  <sheetViews>
    <sheetView view="pageBreakPreview" zoomScale="115" zoomScaleNormal="100" zoomScaleSheetLayoutView="115" workbookViewId="0">
      <selection activeCell="A3" sqref="A3:XFD3"/>
    </sheetView>
  </sheetViews>
  <sheetFormatPr defaultRowHeight="13.8"/>
  <cols>
    <col min="1" max="1" width="26.09765625" customWidth="1"/>
    <col min="2" max="2" width="13.3984375" bestFit="1" customWidth="1"/>
    <col min="3" max="3" width="39.09765625" customWidth="1"/>
    <col min="4" max="4" width="6.59765625" hidden="1" customWidth="1"/>
    <col min="5" max="5" width="6.5" bestFit="1" customWidth="1"/>
    <col min="6" max="8" width="6.5" hidden="1" customWidth="1"/>
    <col min="9" max="10" width="16.59765625" customWidth="1"/>
    <col min="11" max="11" width="13.59765625" bestFit="1" customWidth="1"/>
  </cols>
  <sheetData>
    <row r="1" spans="1:11" ht="64.349999999999994" customHeight="1" thickBot="1">
      <c r="A1" s="245" t="s">
        <v>53</v>
      </c>
      <c r="B1" s="246"/>
      <c r="C1" s="23">
        <f ca="1" xml:space="preserve"> TODAY()</f>
        <v>46323</v>
      </c>
      <c r="D1" s="23"/>
      <c r="E1" s="24"/>
      <c r="F1" s="24"/>
      <c r="G1" s="24"/>
      <c r="H1" s="24"/>
      <c r="I1" s="25"/>
      <c r="J1" s="26"/>
      <c r="K1" s="27"/>
    </row>
    <row r="2" spans="1:11" ht="28.2" thickBot="1">
      <c r="A2" s="28"/>
      <c r="B2" s="29"/>
      <c r="C2" s="30"/>
      <c r="D2" s="30"/>
      <c r="E2" s="31"/>
      <c r="F2" s="31"/>
      <c r="G2" s="31"/>
      <c r="H2" s="31"/>
      <c r="I2" s="32"/>
      <c r="J2" s="33" t="s">
        <v>43</v>
      </c>
      <c r="K2" s="33" t="s">
        <v>44</v>
      </c>
    </row>
    <row r="3" spans="1:11" s="39" customFormat="1" ht="39.6">
      <c r="A3" s="34" t="s">
        <v>45</v>
      </c>
      <c r="B3" s="35" t="s">
        <v>13</v>
      </c>
      <c r="C3" s="35" t="s">
        <v>46</v>
      </c>
      <c r="D3" s="36"/>
      <c r="E3" s="36" t="s">
        <v>16</v>
      </c>
      <c r="F3" s="36"/>
      <c r="G3" s="36"/>
      <c r="H3" s="36"/>
      <c r="I3" s="37" t="s">
        <v>47</v>
      </c>
      <c r="J3" s="37" t="s">
        <v>48</v>
      </c>
      <c r="K3" s="38" t="s">
        <v>28</v>
      </c>
    </row>
    <row r="4" spans="1:11" ht="15">
      <c r="A4" s="79" t="str">
        <f>IF(B4="","",VLOOKUP(B4,Data!$H$3:$P$1079,9,FALSE))</f>
        <v>FEC-FS</v>
      </c>
      <c r="B4" s="77" t="str" cm="1">
        <f t="array" ref="B4:B139">_xlfn.UNIQUE(_xlfn._xlws.FILTER(Data!H3:H999,Data!H3:H999&lt;&gt;0))</f>
        <v>R179S637-FEC</v>
      </c>
      <c r="C4" s="80" t="str">
        <f>IF(B4="","",VLOOKUP(B4,'DATA (2)'!$F$11:$K$6471,2,FALSE))</f>
        <v>CARD BOARD</v>
      </c>
      <c r="D4" s="80"/>
      <c r="E4" s="81" t="str">
        <f>IF(B4="","",VLOOKUP(B4,'DATA (2)'!$F$11:$K$1671,5,FALSE))</f>
        <v>SET</v>
      </c>
      <c r="F4" s="81"/>
      <c r="G4" s="81"/>
      <c r="H4" s="81"/>
      <c r="I4" s="82">
        <f>IF(B4="","",SUMIF(Data!H3:H3614,B4,Data!AH3:AH3614))</f>
        <v>0</v>
      </c>
      <c r="J4" s="82">
        <f>IF(B4="","",SUMIF(Data!H3:H1614,B4,Data!AG3:AG1614))</f>
        <v>0</v>
      </c>
      <c r="K4" s="83">
        <f>IF(B4="","",I4+J4)</f>
        <v>0</v>
      </c>
    </row>
    <row r="5" spans="1:11" ht="15">
      <c r="A5" s="79" t="str">
        <f>IF(B5="","",VLOOKUP(B5,Data!$H$3:$P$1079,9,FALSE))</f>
        <v>PALTEK</v>
      </c>
      <c r="B5" s="78" t="str">
        <v>R179S628-PAL</v>
      </c>
      <c r="C5" s="80" t="str">
        <f>IF(B5="","",VLOOKUP(B5,'DATA (2)'!$F$11:$K$6471,2,FALSE))</f>
        <v>PCB ASSEMBLY</v>
      </c>
      <c r="D5" s="84"/>
      <c r="E5" s="81" t="str">
        <f>IF(B5="","",VLOOKUP(B5,'DATA (2)'!$F$11:$K$1671,5,FALSE))</f>
        <v>PC</v>
      </c>
      <c r="F5" s="89"/>
      <c r="G5" s="89"/>
      <c r="H5" s="89"/>
      <c r="I5" s="82">
        <f>IF(B5="","",SUMIF(Data!H4:H3615,B5,Data!AH4:AH3615))</f>
        <v>1</v>
      </c>
      <c r="J5" s="82">
        <f>IF(B5="","",SUMIF(Data!H4:H1615,B5,Data!AG4:AG1615))</f>
        <v>0</v>
      </c>
      <c r="K5" s="85">
        <f t="shared" ref="K5:K68" si="0">IF(B5="","",I5+J5)</f>
        <v>1</v>
      </c>
    </row>
    <row r="6" spans="1:11" ht="15">
      <c r="A6" s="79" t="str">
        <f>IF(B6="","",VLOOKUP(B6,Data!$H$3:$P$1079,9,FALSE))</f>
        <v>FEC-OC</v>
      </c>
      <c r="B6" s="78" t="str">
        <v>R98MM029-FEC</v>
      </c>
      <c r="C6" s="80" t="str">
        <f>IF(B6="","",VLOOKUP(B6,'DATA (2)'!$F$11:$K$6471,2,FALSE))</f>
        <v>AR-COATED FIBER</v>
      </c>
      <c r="D6" s="84"/>
      <c r="E6" s="81" t="str">
        <f>IF(B6="","",VLOOKUP(B6,'DATA (2)'!$F$11:$K$1671,5,FALSE))</f>
        <v>PC</v>
      </c>
      <c r="F6" s="89"/>
      <c r="G6" s="89"/>
      <c r="H6" s="89"/>
      <c r="I6" s="82">
        <f>IF(B6="","",SUMIF(Data!H5:H3616,B6,Data!AH5:AH3616))</f>
        <v>97</v>
      </c>
      <c r="J6" s="82">
        <f>IF(B6="","",SUMIF(Data!H5:H1616,B6,Data!AG5:AG1616))</f>
        <v>0</v>
      </c>
      <c r="K6" s="85">
        <f t="shared" si="0"/>
        <v>97</v>
      </c>
    </row>
    <row r="7" spans="1:11" ht="15">
      <c r="A7" s="79" t="str">
        <f>IF(B7="","",VLOOKUP(B7,Data!$H$3:$P$1079,9,FALSE))</f>
        <v>FEC-OC(98MM)</v>
      </c>
      <c r="B7" s="78" t="str">
        <v>98MM009</v>
      </c>
      <c r="C7" s="80" t="str">
        <f>IF(B7="","",VLOOKUP(B7,'DATA (2)'!$F$11:$K$6471,2,FALSE))</f>
        <v>GLASS CAPILLARY</v>
      </c>
      <c r="D7" s="84"/>
      <c r="E7" s="81" t="str">
        <f>IF(B7="","",VLOOKUP(B7,'DATA (2)'!$F$11:$K$1671,5,FALSE))</f>
        <v>PC</v>
      </c>
      <c r="F7" s="89"/>
      <c r="G7" s="89"/>
      <c r="H7" s="89"/>
      <c r="I7" s="82">
        <f>IF(B7="","",SUMIF(Data!H6:H3617,B7,Data!AH6:AH3617))</f>
        <v>202</v>
      </c>
      <c r="J7" s="82">
        <f>IF(B7="","",SUMIF(Data!H6:H1617,B7,Data!AG6:AG1617))</f>
        <v>0</v>
      </c>
      <c r="K7" s="85">
        <f t="shared" si="0"/>
        <v>202</v>
      </c>
    </row>
    <row r="8" spans="1:11" ht="15">
      <c r="A8" s="79" t="str">
        <f>IF(B8="","",VLOOKUP(B8,Data!$H$3:$P$1079,9,FALSE))</f>
        <v>PALTEK</v>
      </c>
      <c r="B8" s="78" t="str">
        <v>R179S626-PAL</v>
      </c>
      <c r="C8" s="80" t="str">
        <f>IF(B8="","",VLOOKUP(B8,'DATA (2)'!$F$11:$K$6471,2,FALSE))</f>
        <v>PCB ASSEMBLY</v>
      </c>
      <c r="D8" s="84"/>
      <c r="E8" s="81" t="str">
        <f>IF(B8="","",VLOOKUP(B8,'DATA (2)'!$F$11:$K$1671,5,FALSE))</f>
        <v>PC</v>
      </c>
      <c r="F8" s="89"/>
      <c r="G8" s="89"/>
      <c r="H8" s="89"/>
      <c r="I8" s="82">
        <f>IF(B8="","",SUMIF(Data!H7:H3618,B8,Data!AH7:AH3618))</f>
        <v>8</v>
      </c>
      <c r="J8" s="82">
        <f>IF(B8="","",SUMIF(Data!H7:H1618,B8,Data!AG7:AG1618))</f>
        <v>0</v>
      </c>
      <c r="K8" s="85">
        <f t="shared" si="0"/>
        <v>8</v>
      </c>
    </row>
    <row r="9" spans="1:11" ht="15">
      <c r="A9" s="79" t="str">
        <f>IF(B9="","",VLOOKUP(B9,Data!$H$3:$P$1079,9,FALSE))</f>
        <v>PALTEK</v>
      </c>
      <c r="B9" s="78" t="str">
        <v>RNJFS007-PAL</v>
      </c>
      <c r="C9" s="80" t="str">
        <f>IF(B9="","",VLOOKUP(B9,'DATA (2)'!$F$11:$K$6471,2,FALSE))</f>
        <v>PCB ASSEMBLY</v>
      </c>
      <c r="D9" s="84"/>
      <c r="E9" s="81" t="str">
        <f>IF(B9="","",VLOOKUP(B9,'DATA (2)'!$F$11:$K$1671,5,FALSE))</f>
        <v>PC</v>
      </c>
      <c r="F9" s="89"/>
      <c r="G9" s="89"/>
      <c r="H9" s="89"/>
      <c r="I9" s="82">
        <f>IF(B9="","",SUMIF(Data!H8:H3619,B9,Data!AH8:AH3619))</f>
        <v>5</v>
      </c>
      <c r="J9" s="82">
        <f>IF(B9="","",SUMIF(Data!H8:H1619,B9,Data!AG8:AG1619))</f>
        <v>0</v>
      </c>
      <c r="K9" s="85">
        <f t="shared" si="0"/>
        <v>5</v>
      </c>
    </row>
    <row r="10" spans="1:11" ht="15">
      <c r="A10" s="79" t="str">
        <f>IF(B10="","",VLOOKUP(B10,Data!$H$3:$P$1079,9,FALSE))</f>
        <v>PALTEK</v>
      </c>
      <c r="B10" s="78" t="str">
        <v>RNJFS006-PAL</v>
      </c>
      <c r="C10" s="80" t="str">
        <f>IF(B10="","",VLOOKUP(B10,'DATA (2)'!$F$11:$K$6471,2,FALSE))</f>
        <v>PCB ASSEMBLY</v>
      </c>
      <c r="D10" s="84"/>
      <c r="E10" s="81" t="str">
        <f>IF(B10="","",VLOOKUP(B10,'DATA (2)'!$F$11:$K$1671,5,FALSE))</f>
        <v>PC</v>
      </c>
      <c r="F10" s="89"/>
      <c r="G10" s="89"/>
      <c r="H10" s="89"/>
      <c r="I10" s="82">
        <f>IF(B10="","",SUMIF(Data!H9:H3620,B10,Data!AH9:AH3620))</f>
        <v>1</v>
      </c>
      <c r="J10" s="82">
        <f>IF(B10="","",SUMIF(Data!H9:H1620,B10,Data!AG9:AG1620))</f>
        <v>0</v>
      </c>
      <c r="K10" s="85">
        <f t="shared" si="0"/>
        <v>1</v>
      </c>
    </row>
    <row r="11" spans="1:11" ht="15">
      <c r="A11" s="79" t="str">
        <f>IF(B11="","",VLOOKUP(B11,Data!$H$3:$P$1079,9,FALSE))</f>
        <v>FEC-FS</v>
      </c>
      <c r="B11" s="78" t="str">
        <v>RSL00019-FEC</v>
      </c>
      <c r="C11" s="80" t="str">
        <f>IF(B11="","",VLOOKUP(B11,'DATA (2)'!$F$11:$K$6471,2,FALSE))</f>
        <v>COVER GLASS</v>
      </c>
      <c r="D11" s="84"/>
      <c r="E11" s="81" t="str">
        <f>IF(B11="","",VLOOKUP(B11,'DATA (2)'!$F$11:$K$1671,5,FALSE))</f>
        <v>PC</v>
      </c>
      <c r="F11" s="89"/>
      <c r="G11" s="89"/>
      <c r="H11" s="89"/>
      <c r="I11" s="82">
        <f>IF(B11="","",SUMIF(Data!H10:H3621,B11,Data!AH10:AH3621))</f>
        <v>511</v>
      </c>
      <c r="J11" s="82">
        <f>IF(B11="","",SUMIF(Data!H10:H1621,B11,Data!AG10:AG1621))</f>
        <v>0</v>
      </c>
      <c r="K11" s="85">
        <f t="shared" si="0"/>
        <v>511</v>
      </c>
    </row>
    <row r="12" spans="1:11" ht="15">
      <c r="A12" s="79" t="str">
        <f>IF(B12="","",VLOOKUP(B12,Data!$H$3:$P$1079,9,FALSE))</f>
        <v>FEC-FS</v>
      </c>
      <c r="B12" s="78" t="str">
        <v>FS524</v>
      </c>
      <c r="C12" s="80" t="str">
        <f>IF(B12="","",VLOOKUP(B12,'DATA (2)'!$F$11:$K$6471,2,FALSE))</f>
        <v>CLAMP</v>
      </c>
      <c r="D12" s="84"/>
      <c r="E12" s="81" t="str">
        <f>IF(B12="","",VLOOKUP(B12,'DATA (2)'!$F$11:$K$1671,5,FALSE))</f>
        <v>PC</v>
      </c>
      <c r="F12" s="89"/>
      <c r="G12" s="89"/>
      <c r="H12" s="89"/>
      <c r="I12" s="82">
        <f>IF(B12="","",SUMIF(Data!H11:H3622,B12,Data!AH11:AH3622))</f>
        <v>296</v>
      </c>
      <c r="J12" s="82">
        <f>IF(B12="","",SUMIF(Data!H11:H1622,B12,Data!AG11:AG1622))</f>
        <v>0</v>
      </c>
      <c r="K12" s="85">
        <f t="shared" si="0"/>
        <v>296</v>
      </c>
    </row>
    <row r="13" spans="1:11" ht="15">
      <c r="A13" s="79" t="str">
        <f>IF(B13="","",VLOOKUP(B13,Data!$H$3:$P$1079,9,FALSE))</f>
        <v>GLOSEL</v>
      </c>
      <c r="B13" s="78" t="str">
        <v>FS301-REN</v>
      </c>
      <c r="C13" s="80" t="str">
        <f>IF(B13="","",VLOOKUP(B13,'DATA (2)'!$F$11:$K$6471,2,FALSE))</f>
        <v>LCD DISPLAY</v>
      </c>
      <c r="D13" s="84"/>
      <c r="E13" s="81" t="str">
        <f>IF(B13="","",VLOOKUP(B13,'DATA (2)'!$F$11:$K$1671,5,FALSE))</f>
        <v>PC</v>
      </c>
      <c r="F13" s="89"/>
      <c r="G13" s="89"/>
      <c r="H13" s="89"/>
      <c r="I13" s="82">
        <f>IF(B13="","",SUMIF(Data!H12:H3623,B13,Data!AH12:AH3623))</f>
        <v>0</v>
      </c>
      <c r="J13" s="82">
        <f>IF(B13="","",SUMIF(Data!H12:H1623,B13,Data!AG12:AG1623))</f>
        <v>0</v>
      </c>
      <c r="K13" s="85">
        <f t="shared" si="0"/>
        <v>0</v>
      </c>
    </row>
    <row r="14" spans="1:11" ht="15">
      <c r="A14" s="79" t="str">
        <f>IF(B14="","",VLOOKUP(B14,Data!$H$3:$P$1079,9,FALSE))</f>
        <v>FEC-FS</v>
      </c>
      <c r="B14" s="78" t="str">
        <v>FS528</v>
      </c>
      <c r="C14" s="80" t="str">
        <f>IF(B14="","",VLOOKUP(B14,'DATA (2)'!$F$11:$K$6471,2,FALSE))</f>
        <v>PLASTIC COVER</v>
      </c>
      <c r="D14" s="84"/>
      <c r="E14" s="81" t="str">
        <f>IF(B14="","",VLOOKUP(B14,'DATA (2)'!$F$11:$K$1671,5,FALSE))</f>
        <v>PC.</v>
      </c>
      <c r="F14" s="89"/>
      <c r="G14" s="89"/>
      <c r="H14" s="89"/>
      <c r="I14" s="82">
        <f>IF(B14="","",SUMIF(Data!H13:H3624,B14,Data!AH13:AH3624))</f>
        <v>0</v>
      </c>
      <c r="J14" s="82">
        <f>IF(B14="","",SUMIF(Data!H13:H1624,B14,Data!AG13:AG1624))</f>
        <v>0</v>
      </c>
      <c r="K14" s="85">
        <f t="shared" si="0"/>
        <v>0</v>
      </c>
    </row>
    <row r="15" spans="1:11" ht="15">
      <c r="A15" s="79" t="str">
        <f>IF(B15="","",VLOOKUP(B15,Data!$H$3:$P$1079,9,FALSE))</f>
        <v>GLOSEL</v>
      </c>
      <c r="B15" s="78" t="str">
        <v>RET009</v>
      </c>
      <c r="C15" s="80" t="str">
        <f>IF(B15="","",VLOOKUP(B15,'DATA (2)'!$F$11:$K$6471,2,FALSE))</f>
        <v>IMAGE SENSOR WITH LENS</v>
      </c>
      <c r="D15" s="84"/>
      <c r="E15" s="81" t="str">
        <f>IF(B15="","",VLOOKUP(B15,'DATA (2)'!$F$11:$K$1671,5,FALSE))</f>
        <v>PC</v>
      </c>
      <c r="F15" s="89"/>
      <c r="G15" s="89"/>
      <c r="H15" s="89"/>
      <c r="I15" s="82">
        <f>IF(B15="","",SUMIF(Data!H14:H3625,B15,Data!AH14:AH3625))</f>
        <v>0</v>
      </c>
      <c r="J15" s="82">
        <f>IF(B15="","",SUMIF(Data!H14:H1625,B15,Data!AG14:AG1625))</f>
        <v>0</v>
      </c>
      <c r="K15" s="85">
        <f t="shared" si="0"/>
        <v>0</v>
      </c>
    </row>
    <row r="16" spans="1:11" ht="15">
      <c r="A16" s="79" t="str">
        <f>IF(B16="","",VLOOKUP(B16,Data!$H$3:$P$1079,9,FALSE))</f>
        <v>FEC-OC(98MM)</v>
      </c>
      <c r="B16" s="78" t="str">
        <v>98MM029</v>
      </c>
      <c r="C16" s="80" t="str">
        <f>IF(B16="","",VLOOKUP(B16,'DATA (2)'!$F$11:$K$6471,2,FALSE))</f>
        <v>WAVELENGTH FILTERS</v>
      </c>
      <c r="D16" s="84"/>
      <c r="E16" s="81" t="str">
        <f>IF(B16="","",VLOOKUP(B16,'DATA (2)'!$F$11:$K$1671,5,FALSE))</f>
        <v>PC</v>
      </c>
      <c r="F16" s="89"/>
      <c r="G16" s="89"/>
      <c r="H16" s="89"/>
      <c r="I16" s="82">
        <f>IF(B16="","",SUMIF(Data!H15:H3626,B16,Data!AH15:AH3626))</f>
        <v>202</v>
      </c>
      <c r="J16" s="82">
        <f>IF(B16="","",SUMIF(Data!H15:H1626,B16,Data!AG15:AG1626))</f>
        <v>0</v>
      </c>
      <c r="K16" s="85">
        <f t="shared" si="0"/>
        <v>202</v>
      </c>
    </row>
    <row r="17" spans="1:11" ht="15">
      <c r="A17" s="79" t="str">
        <f>IF(B17="","",VLOOKUP(B17,Data!$H$3:$P$1079,9,FALSE))</f>
        <v>PALTEK</v>
      </c>
      <c r="B17" s="78" t="str">
        <v>RNJFS001-PAL</v>
      </c>
      <c r="C17" s="80" t="str">
        <f>IF(B17="","",VLOOKUP(B17,'DATA (2)'!$F$11:$K$6471,2,FALSE))</f>
        <v>PCB ASSEMBLY</v>
      </c>
      <c r="D17" s="84"/>
      <c r="E17" s="81" t="str">
        <f>IF(B17="","",VLOOKUP(B17,'DATA (2)'!$F$11:$K$1671,5,FALSE))</f>
        <v>PC</v>
      </c>
      <c r="F17" s="89"/>
      <c r="G17" s="89"/>
      <c r="H17" s="89"/>
      <c r="I17" s="82">
        <f>IF(B17="","",SUMIF(Data!H16:H3627,B17,Data!AH16:AH3627))</f>
        <v>12</v>
      </c>
      <c r="J17" s="82">
        <f>IF(B17="","",SUMIF(Data!H16:H1627,B17,Data!AG16:AG1627))</f>
        <v>0</v>
      </c>
      <c r="K17" s="85">
        <f t="shared" si="0"/>
        <v>12</v>
      </c>
    </row>
    <row r="18" spans="1:11" ht="15">
      <c r="A18" s="79" t="str">
        <f>IF(B18="","",VLOOKUP(B18,Data!$H$3:$P$1079,9,FALSE))</f>
        <v>SK TECH</v>
      </c>
      <c r="B18" s="78" t="str">
        <v>R179S001-SKT</v>
      </c>
      <c r="C18" s="80" t="str">
        <f>IF(B18="","",VLOOKUP(B18,'DATA (2)'!$F$11:$K$6471,2,FALSE))</f>
        <v>BATTERY</v>
      </c>
      <c r="D18" s="84"/>
      <c r="E18" s="81" t="str">
        <f>IF(B18="","",VLOOKUP(B18,'DATA (2)'!$F$11:$K$1671,5,FALSE))</f>
        <v>PC</v>
      </c>
      <c r="F18" s="89"/>
      <c r="G18" s="89"/>
      <c r="H18" s="89"/>
      <c r="I18" s="82">
        <f>IF(B18="","",SUMIF(Data!H17:H3628,B18,Data!AH17:AH3628))</f>
        <v>41</v>
      </c>
      <c r="J18" s="82">
        <f>IF(B18="","",SUMIF(Data!H17:H1628,B18,Data!AG17:AG1628))</f>
        <v>17</v>
      </c>
      <c r="K18" s="85">
        <f t="shared" si="0"/>
        <v>58</v>
      </c>
    </row>
    <row r="19" spans="1:11" ht="15">
      <c r="A19" s="79" t="str">
        <f>IF(B19="","",VLOOKUP(B19,Data!$H$3:$P$1079,9,FALSE))</f>
        <v>FEC-OC(98MM)</v>
      </c>
      <c r="B19" s="78" t="str">
        <v>98MM036</v>
      </c>
      <c r="C19" s="80" t="str">
        <f>IF(B19="","",VLOOKUP(B19,'DATA (2)'!$F$11:$K$6471,2,FALSE))</f>
        <v>SHELL PIPE</v>
      </c>
      <c r="D19" s="84"/>
      <c r="E19" s="81" t="str">
        <f>IF(B19="","",VLOOKUP(B19,'DATA (2)'!$F$11:$K$1671,5,FALSE))</f>
        <v>pc</v>
      </c>
      <c r="F19" s="89"/>
      <c r="G19" s="89"/>
      <c r="H19" s="89"/>
      <c r="I19" s="82">
        <f>IF(B19="","",SUMIF(Data!H18:H3629,B19,Data!AH18:AH3629))</f>
        <v>1335</v>
      </c>
      <c r="J19" s="82">
        <f>IF(B19="","",SUMIF(Data!H18:H1629,B19,Data!AG18:AG1629))</f>
        <v>0</v>
      </c>
      <c r="K19" s="85">
        <f t="shared" si="0"/>
        <v>1335</v>
      </c>
    </row>
    <row r="20" spans="1:11" ht="15">
      <c r="A20" s="79" t="str">
        <f>IF(B20="","",VLOOKUP(B20,Data!$H$3:$P$1079,9,FALSE))</f>
        <v>FEC-OC</v>
      </c>
      <c r="B20" s="78" t="str">
        <v>RJN00034-FEC</v>
      </c>
      <c r="C20" s="80" t="str">
        <f>IF(B20="","",VLOOKUP(B20,'DATA (2)'!$F$11:$K$6471,2,FALSE))</f>
        <v>LD CARRIER</v>
      </c>
      <c r="D20" s="84"/>
      <c r="E20" s="81" t="str">
        <f>IF(B20="","",VLOOKUP(B20,'DATA (2)'!$F$11:$K$1671,5,FALSE))</f>
        <v>PC</v>
      </c>
      <c r="F20" s="89"/>
      <c r="G20" s="89"/>
      <c r="H20" s="89"/>
      <c r="I20" s="82">
        <f>IF(B20="","",SUMIF(Data!H19:H3630,B20,Data!AH19:AH3630))</f>
        <v>0</v>
      </c>
      <c r="J20" s="82">
        <f>IF(B20="","",SUMIF(Data!H19:H1630,B20,Data!AG19:AG1630))</f>
        <v>0</v>
      </c>
      <c r="K20" s="85">
        <f t="shared" si="0"/>
        <v>0</v>
      </c>
    </row>
    <row r="21" spans="1:11" ht="15">
      <c r="A21" s="79" t="str">
        <f>IF(B21="","",VLOOKUP(B21,Data!$H$3:$P$1079,9,FALSE))</f>
        <v>OKANO</v>
      </c>
      <c r="B21" s="78" t="str">
        <v>RIDCA087-OKA</v>
      </c>
      <c r="C21" s="80" t="str">
        <f>IF(B21="","",VLOOKUP(B21,'DATA (2)'!$F$11:$K$6471,2,FALSE))</f>
        <v>FIBER</v>
      </c>
      <c r="D21" s="84"/>
      <c r="E21" s="81" t="str">
        <f>IF(B21="","",VLOOKUP(B21,'DATA (2)'!$F$11:$K$1671,5,FALSE))</f>
        <v>ME</v>
      </c>
      <c r="F21" s="89"/>
      <c r="G21" s="89"/>
      <c r="H21" s="89"/>
      <c r="I21" s="82">
        <f>IF(B21="","",SUMIF(Data!H20:H3631,B21,Data!AH20:AH3631))</f>
        <v>30</v>
      </c>
      <c r="J21" s="82">
        <f>IF(B21="","",SUMIF(Data!H20:H1631,B21,Data!AG20:AG1631))</f>
        <v>0</v>
      </c>
      <c r="K21" s="85">
        <f t="shared" si="0"/>
        <v>30</v>
      </c>
    </row>
    <row r="22" spans="1:11" ht="15">
      <c r="A22" s="79" t="str">
        <f>IF(B22="","",VLOOKUP(B22,Data!$H$3:$P$1079,9,FALSE))</f>
        <v>FEC-OC(98MM)</v>
      </c>
      <c r="B22" s="78" t="str">
        <v>98MM006</v>
      </c>
      <c r="C22" s="80" t="str">
        <f>IF(B22="","",VLOOKUP(B22,'DATA (2)'!$F$11:$K$6471,2,FALSE))</f>
        <v>COS</v>
      </c>
      <c r="D22" s="84"/>
      <c r="E22" s="81" t="str">
        <f>IF(B22="","",VLOOKUP(B22,'DATA (2)'!$F$11:$K$1671,5,FALSE))</f>
        <v>PC</v>
      </c>
      <c r="F22" s="89"/>
      <c r="G22" s="89"/>
      <c r="H22" s="89"/>
      <c r="I22" s="82">
        <f>IF(B22="","",SUMIF(Data!H21:H3632,B22,Data!AH21:AH3632))</f>
        <v>434</v>
      </c>
      <c r="J22" s="82">
        <f>IF(B22="","",SUMIF(Data!H21:H1632,B22,Data!AG21:AG1632))</f>
        <v>17</v>
      </c>
      <c r="K22" s="85">
        <f t="shared" si="0"/>
        <v>451</v>
      </c>
    </row>
    <row r="23" spans="1:11" ht="15">
      <c r="A23" s="79" t="str">
        <f>IF(B23="","",VLOOKUP(B23,Data!$H$3:$P$1079,9,FALSE))</f>
        <v>FEC-FS</v>
      </c>
      <c r="B23" s="78" t="str">
        <v>RS001002-FEC</v>
      </c>
      <c r="C23" s="80" t="str">
        <f>IF(B23="","",VLOOKUP(B23,'DATA (2)'!$F$11:$K$6471,2,FALSE))</f>
        <v>PCB ASSEMBLY</v>
      </c>
      <c r="D23" s="84"/>
      <c r="E23" s="81" t="str">
        <f>IF(B23="","",VLOOKUP(B23,'DATA (2)'!$F$11:$K$1671,5,FALSE))</f>
        <v>PC</v>
      </c>
      <c r="F23" s="89"/>
      <c r="G23" s="89"/>
      <c r="H23" s="89"/>
      <c r="I23" s="82">
        <f>IF(B23="","",SUMIF(Data!H22:H3633,B23,Data!AH22:AH3633))</f>
        <v>15</v>
      </c>
      <c r="J23" s="82">
        <f>IF(B23="","",SUMIF(Data!H22:H1633,B23,Data!AG22:AG1633))</f>
        <v>0</v>
      </c>
      <c r="K23" s="85">
        <f t="shared" si="0"/>
        <v>15</v>
      </c>
    </row>
    <row r="24" spans="1:11" ht="15">
      <c r="A24" s="79" t="str">
        <f>IF(B24="","",VLOOKUP(B24,Data!$H$3:$P$1079,9,FALSE))</f>
        <v>SDSE(SAITAMA)</v>
      </c>
      <c r="B24" s="78" t="str">
        <v>BS231</v>
      </c>
      <c r="C24" s="80" t="str">
        <f>IF(B24="","",VLOOKUP(B24,'DATA (2)'!$F$11:$K$6471,2,FALSE))</f>
        <v>SCREW</v>
      </c>
      <c r="D24" s="84"/>
      <c r="E24" s="81" t="str">
        <f>IF(B24="","",VLOOKUP(B24,'DATA (2)'!$F$11:$K$1671,5,FALSE))</f>
        <v>PC</v>
      </c>
      <c r="F24" s="89"/>
      <c r="G24" s="89"/>
      <c r="H24" s="89"/>
      <c r="I24" s="82">
        <f>IF(B24="","",SUMIF(Data!H23:H3634,B24,Data!AH23:AH3634))</f>
        <v>0</v>
      </c>
      <c r="J24" s="82">
        <f>IF(B24="","",SUMIF(Data!H23:H1634,B24,Data!AG23:AG1634))</f>
        <v>0</v>
      </c>
      <c r="K24" s="85">
        <f t="shared" si="0"/>
        <v>0</v>
      </c>
    </row>
    <row r="25" spans="1:11" s="112" customFormat="1" ht="15">
      <c r="A25" s="79" t="str">
        <f>IF(B25="","",VLOOKUP(B25,Data!$H$3:$P$1079,9,FALSE))</f>
        <v>SDSE(SAITAMA)</v>
      </c>
      <c r="B25" s="108" t="str">
        <v>BS269</v>
      </c>
      <c r="C25" s="80" t="str">
        <f>IF(B25="","",VLOOKUP(B25,'DATA (2)'!$F$11:$K$6471,2,FALSE))</f>
        <v>LID</v>
      </c>
      <c r="D25" s="109"/>
      <c r="E25" s="81" t="str">
        <f>IF(B25="","",VLOOKUP(B25,'DATA (2)'!$F$11:$K$1671,5,FALSE))</f>
        <v>PC</v>
      </c>
      <c r="F25" s="110"/>
      <c r="G25" s="110"/>
      <c r="H25" s="110"/>
      <c r="I25" s="82">
        <f>IF(B25="","",SUMIF(Data!H24:H3635,B25,Data!AH24:AH3635))</f>
        <v>3</v>
      </c>
      <c r="J25" s="82">
        <f>IF(B25="","",SUMIF(Data!H24:H1635,B25,Data!AG24:AG1635))</f>
        <v>0</v>
      </c>
      <c r="K25" s="111">
        <f t="shared" si="0"/>
        <v>3</v>
      </c>
    </row>
    <row r="26" spans="1:11" s="107" customFormat="1" ht="15">
      <c r="A26" s="79" t="str">
        <f>IF(B26="","",VLOOKUP(B26,Data!$H$3:$P$1079,9,FALSE))</f>
        <v>FEC-FS</v>
      </c>
      <c r="B26" s="103" t="str">
        <v>RNJFS168-FEC</v>
      </c>
      <c r="C26" s="80" t="str">
        <f>IF(B26="","",VLOOKUP(B26,'DATA (2)'!$F$11:$K$6471,2,FALSE))</f>
        <v>FIBER HOLDER</v>
      </c>
      <c r="D26" s="104"/>
      <c r="E26" s="81" t="str">
        <f>IF(B26="","",VLOOKUP(B26,'DATA (2)'!$F$11:$K$1671,5,FALSE))</f>
        <v>PC</v>
      </c>
      <c r="F26" s="105"/>
      <c r="G26" s="105"/>
      <c r="H26" s="105"/>
      <c r="I26" s="82">
        <f>IF(B26="","",SUMIF(Data!H25:H3636,B26,Data!AH25:AH3636))</f>
        <v>6</v>
      </c>
      <c r="J26" s="82">
        <f>IF(B26="","",SUMIF(Data!H25:H1636,B26,Data!AG25:AG1636))</f>
        <v>0</v>
      </c>
      <c r="K26" s="106">
        <f t="shared" si="0"/>
        <v>6</v>
      </c>
    </row>
    <row r="27" spans="1:11" ht="15">
      <c r="A27" s="79" t="str">
        <f>IF(B27="","",VLOOKUP(B27,Data!$H$3:$P$1079,9,FALSE))</f>
        <v>SDSE(SAITAMA)</v>
      </c>
      <c r="B27" s="78" t="str">
        <v>RKNAI054-SHO</v>
      </c>
      <c r="C27" s="80" t="str">
        <f>IF(B27="","",VLOOKUP(B27,'DATA (2)'!$F$11:$K$6471,2,FALSE))</f>
        <v>PLASTIC LABEL</v>
      </c>
      <c r="D27" s="84"/>
      <c r="E27" s="81" t="str">
        <f>IF(B27="","",VLOOKUP(B27,'DATA (2)'!$F$11:$K$1671,5,FALSE))</f>
        <v>PC</v>
      </c>
      <c r="F27" s="89"/>
      <c r="G27" s="89"/>
      <c r="H27" s="89"/>
      <c r="I27" s="82">
        <f>IF(B27="","",SUMIF(Data!H26:H3637,B27,Data!AH26:AH3637))</f>
        <v>0</v>
      </c>
      <c r="J27" s="82">
        <f>IF(B27="","",SUMIF(Data!H26:H1637,B27,Data!AG26:AG1637))</f>
        <v>0</v>
      </c>
      <c r="K27" s="85">
        <f t="shared" si="0"/>
        <v>0</v>
      </c>
    </row>
    <row r="28" spans="1:11" ht="15">
      <c r="A28" s="79" t="str">
        <f>IF(B28="","",VLOOKUP(B28,Data!$H$3:$P$1079,9,FALSE))</f>
        <v>FEC-FS</v>
      </c>
      <c r="B28" s="78" t="str">
        <v>RNJFS190-FEC</v>
      </c>
      <c r="C28" s="80" t="str">
        <f>IF(B28="","",VLOOKUP(B28,'DATA (2)'!$F$11:$K$6471,2,FALSE))</f>
        <v>BATTERY</v>
      </c>
      <c r="D28" s="84"/>
      <c r="E28" s="81" t="str">
        <f>IF(B28="","",VLOOKUP(B28,'DATA (2)'!$F$11:$K$1671,5,FALSE))</f>
        <v>PC</v>
      </c>
      <c r="F28" s="89"/>
      <c r="G28" s="89"/>
      <c r="H28" s="89"/>
      <c r="I28" s="82">
        <f>IF(B28="","",SUMIF(Data!H27:H3638,B28,Data!AH27:AH3638))</f>
        <v>0</v>
      </c>
      <c r="J28" s="82">
        <f>IF(B28="","",SUMIF(Data!H27:H1638,B28,Data!AG27:AG1638))</f>
        <v>16</v>
      </c>
      <c r="K28" s="85">
        <f t="shared" si="0"/>
        <v>16</v>
      </c>
    </row>
    <row r="29" spans="1:11" ht="15">
      <c r="A29" s="79" t="str">
        <f>IF(B29="","",VLOOKUP(B29,Data!$H$3:$P$1079,9,FALSE))</f>
        <v>FEC-FS</v>
      </c>
      <c r="B29" s="78" t="str">
        <v>FS002</v>
      </c>
      <c r="C29" s="80" t="str">
        <f>IF(B29="","",VLOOKUP(B29,'DATA (2)'!$F$11:$K$6471,2,FALSE))</f>
        <v>CERAMIC CLAMP</v>
      </c>
      <c r="D29" s="84"/>
      <c r="E29" s="81" t="str">
        <f>IF(B29="","",VLOOKUP(B29,'DATA (2)'!$F$11:$K$1671,5,FALSE))</f>
        <v>PC</v>
      </c>
      <c r="F29" s="89"/>
      <c r="G29" s="89"/>
      <c r="H29" s="89"/>
      <c r="I29" s="82">
        <f>IF(B29="","",SUMIF(Data!H28:H3639,B29,Data!AH28:AH3639))</f>
        <v>0</v>
      </c>
      <c r="J29" s="82">
        <f>IF(B29="","",SUMIF(Data!H28:H1639,B29,Data!AG28:AG1639))</f>
        <v>0</v>
      </c>
      <c r="K29" s="85">
        <f t="shared" si="0"/>
        <v>0</v>
      </c>
    </row>
    <row r="30" spans="1:11" ht="15">
      <c r="A30" s="79" t="str">
        <f>IF(B30="","",VLOOKUP(B30,Data!$H$3:$P$1079,9,FALSE))</f>
        <v>FEC-FS</v>
      </c>
      <c r="B30" s="78" t="str">
        <v>R179S636-FEC</v>
      </c>
      <c r="C30" s="80" t="str">
        <f>IF(B30="","",VLOOKUP(B30,'DATA (2)'!$F$11:$K$6471,2,FALSE))</f>
        <v>BELT</v>
      </c>
      <c r="D30" s="84"/>
      <c r="E30" s="81" t="str">
        <f>IF(B30="","",VLOOKUP(B30,'DATA (2)'!$F$11:$K$1671,5,FALSE))</f>
        <v>PC</v>
      </c>
      <c r="F30" s="89"/>
      <c r="G30" s="89"/>
      <c r="H30" s="89"/>
      <c r="I30" s="82">
        <f>IF(B30="","",SUMIF(Data!H29:H3640,B30,Data!AH29:AH3640))</f>
        <v>2</v>
      </c>
      <c r="J30" s="82">
        <f>IF(B30="","",SUMIF(Data!H29:H1640,B30,Data!AG29:AG1640))</f>
        <v>0</v>
      </c>
      <c r="K30" s="85">
        <f t="shared" si="0"/>
        <v>2</v>
      </c>
    </row>
    <row r="31" spans="1:11" s="112" customFormat="1" ht="15">
      <c r="A31" s="79" t="str">
        <f>IF(B31="","",VLOOKUP(B31,Data!$H$3:$P$1079,9,FALSE))</f>
        <v>FEC-FS</v>
      </c>
      <c r="B31" s="108" t="str">
        <v>R124S072-FEC</v>
      </c>
      <c r="C31" s="80" t="str">
        <f>IF(B31="","",VLOOKUP(B31,'DATA (2)'!$F$11:$K$6471,2,FALSE))</f>
        <v>PCB ASSEMBLY</v>
      </c>
      <c r="D31" s="109"/>
      <c r="E31" s="81" t="str">
        <f>IF(B31="","",VLOOKUP(B31,'DATA (2)'!$F$11:$K$1671,5,FALSE))</f>
        <v>PC</v>
      </c>
      <c r="F31" s="110"/>
      <c r="G31" s="110"/>
      <c r="H31" s="110"/>
      <c r="I31" s="82">
        <f>IF(B31="","",SUMIF(Data!H30:H3641,B31,Data!AH30:AH3641))</f>
        <v>1</v>
      </c>
      <c r="J31" s="82">
        <f>IF(B31="","",SUMIF(Data!H30:H1641,B31,Data!AG30:AG1641))</f>
        <v>0</v>
      </c>
      <c r="K31" s="111">
        <f t="shared" si="0"/>
        <v>1</v>
      </c>
    </row>
    <row r="32" spans="1:11" ht="15">
      <c r="A32" s="79" t="str">
        <f>IF(B32="","",VLOOKUP(B32,Data!$H$3:$P$1079,9,FALSE))</f>
        <v>BROADEX</v>
      </c>
      <c r="B32" s="78" t="str">
        <v>RMUTI003-BRO</v>
      </c>
      <c r="C32" s="80" t="str">
        <f>IF(B32="","",VLOOKUP(B32,'DATA (2)'!$F$11:$K$6471,2,FALSE))</f>
        <v>SPLITTER</v>
      </c>
      <c r="D32" s="84"/>
      <c r="E32" s="81" t="str">
        <f>IF(B32="","",VLOOKUP(B32,'DATA (2)'!$F$11:$K$1671,5,FALSE))</f>
        <v>PC</v>
      </c>
      <c r="F32" s="89"/>
      <c r="G32" s="89"/>
      <c r="H32" s="89"/>
      <c r="I32" s="82">
        <f>IF(B32="","",SUMIF(Data!H31:H3642,B32,Data!AH31:AH3642))</f>
        <v>0</v>
      </c>
      <c r="J32" s="82">
        <f>IF(B32="","",SUMIF(Data!H31:H1642,B32,Data!AG31:AG1642))</f>
        <v>0</v>
      </c>
      <c r="K32" s="85">
        <f t="shared" si="0"/>
        <v>0</v>
      </c>
    </row>
    <row r="33" spans="1:11" ht="15">
      <c r="A33" s="79" t="str">
        <f>IF(B33="","",VLOOKUP(B33,Data!$H$3:$P$1079,9,FALSE))</f>
        <v>FEC-FS</v>
      </c>
      <c r="B33" s="78" t="str">
        <v>FS045</v>
      </c>
      <c r="C33" s="80" t="str">
        <f>IF(B33="","",VLOOKUP(B33,'DATA (2)'!$F$11:$K$6471,2,FALSE))</f>
        <v>LCD</v>
      </c>
      <c r="D33" s="84"/>
      <c r="E33" s="81" t="str">
        <f>IF(B33="","",VLOOKUP(B33,'DATA (2)'!$F$11:$K$1671,5,FALSE))</f>
        <v>PC</v>
      </c>
      <c r="F33" s="89"/>
      <c r="G33" s="89"/>
      <c r="H33" s="89"/>
      <c r="I33" s="82">
        <f>IF(B33="","",SUMIF(Data!H32:H3643,B33,Data!AH32:AH3643))</f>
        <v>0</v>
      </c>
      <c r="J33" s="82">
        <f>IF(B33="","",SUMIF(Data!H32:H1643,B33,Data!AG32:AG1643))</f>
        <v>0</v>
      </c>
      <c r="K33" s="85">
        <f t="shared" si="0"/>
        <v>0</v>
      </c>
    </row>
    <row r="34" spans="1:11" ht="15">
      <c r="A34" s="79" t="str">
        <f>IF(B34="","",VLOOKUP(B34,Data!$H$3:$P$1079,9,FALSE))</f>
        <v>SDSE(TOKE)</v>
      </c>
      <c r="B34" s="78" t="str">
        <v>RIDMJ152-SEI</v>
      </c>
      <c r="C34" s="80" t="str">
        <f>IF(B34="","",VLOOKUP(B34,'DATA (2)'!$F$11:$K$6471,2,FALSE))</f>
        <v>FILTER</v>
      </c>
      <c r="D34" s="84"/>
      <c r="E34" s="81" t="str">
        <f>IF(B34="","",VLOOKUP(B34,'DATA (2)'!$F$11:$K$1671,5,FALSE))</f>
        <v>PC</v>
      </c>
      <c r="F34" s="89"/>
      <c r="G34" s="89"/>
      <c r="H34" s="89"/>
      <c r="I34" s="82">
        <f>IF(B34="","",SUMIF(Data!H33:H3644,B34,Data!AH33:AH3644))</f>
        <v>37</v>
      </c>
      <c r="J34" s="82">
        <f>IF(B34="","",SUMIF(Data!H33:H1644,B34,Data!AG33:AG1644))</f>
        <v>0</v>
      </c>
      <c r="K34" s="85">
        <f t="shared" si="0"/>
        <v>37</v>
      </c>
    </row>
    <row r="35" spans="1:11" ht="15">
      <c r="A35" s="79" t="str">
        <f>IF(B35="","",VLOOKUP(B35,Data!$H$3:$P$1079,9,FALSE))</f>
        <v>SDSE(TOKE)</v>
      </c>
      <c r="B35" s="78" t="str">
        <v>IJ04</v>
      </c>
      <c r="C35" s="80" t="str">
        <f>IF(B35="","",VLOOKUP(B35,'DATA (2)'!$F$11:$K$6471,2,FALSE))</f>
        <v>FILTER</v>
      </c>
      <c r="D35" s="84"/>
      <c r="E35" s="81" t="str">
        <f>IF(B35="","",VLOOKUP(B35,'DATA (2)'!$F$11:$K$1671,5,FALSE))</f>
        <v>PC</v>
      </c>
      <c r="F35" s="89"/>
      <c r="G35" s="89"/>
      <c r="H35" s="89"/>
      <c r="I35" s="82">
        <f>IF(B35="","",SUMIF(Data!H34:H3645,B35,Data!AH34:AH3645))</f>
        <v>0</v>
      </c>
      <c r="J35" s="82">
        <f>IF(B35="","",SUMIF(Data!H34:H1645,B35,Data!AG34:AG1645))</f>
        <v>0</v>
      </c>
      <c r="K35" s="85">
        <f t="shared" si="0"/>
        <v>0</v>
      </c>
    </row>
    <row r="36" spans="1:11" ht="15">
      <c r="A36" s="79" t="str">
        <f>IF(B36="","",VLOOKUP(B36,Data!$H$3:$P$1079,9,FALSE))</f>
        <v>SDSE(TOKE)</v>
      </c>
      <c r="B36" s="78" t="str">
        <v>IJ93</v>
      </c>
      <c r="C36" s="80" t="str">
        <f>IF(B36="","",VLOOKUP(B36,'DATA (2)'!$F$11:$K$6471,2,FALSE))</f>
        <v>OPTICAL SPLITTER</v>
      </c>
      <c r="D36" s="84"/>
      <c r="E36" s="81" t="str">
        <f>IF(B36="","",VLOOKUP(B36,'DATA (2)'!$F$11:$K$1671,5,FALSE))</f>
        <v>PC</v>
      </c>
      <c r="F36" s="89"/>
      <c r="G36" s="89"/>
      <c r="H36" s="89"/>
      <c r="I36" s="82">
        <f>IF(B36="","",SUMIF(Data!H35:H3646,B36,Data!AH35:AH3646))</f>
        <v>15</v>
      </c>
      <c r="J36" s="82">
        <f>IF(B36="","",SUMIF(Data!H35:H1646,B36,Data!AG35:AG1646))</f>
        <v>0</v>
      </c>
      <c r="K36" s="85">
        <f t="shared" si="0"/>
        <v>15</v>
      </c>
    </row>
    <row r="37" spans="1:11" ht="15">
      <c r="A37" s="79" t="str">
        <f>IF(B37="","",VLOOKUP(B37,Data!$H$3:$P$1079,9,FALSE))</f>
        <v>FEC-OC(HBCDM)</v>
      </c>
      <c r="B37" s="78" t="str">
        <v>RHB00001-FEC</v>
      </c>
      <c r="C37" s="80" t="str">
        <f>IF(B37="","",VLOOKUP(B37,'DATA (2)'!$F$11:$K$6471,2,FALSE))</f>
        <v>CHIP MODULATOR</v>
      </c>
      <c r="D37" s="84"/>
      <c r="E37" s="81" t="str">
        <f>IF(B37="","",VLOOKUP(B37,'DATA (2)'!$F$11:$K$1671,5,FALSE))</f>
        <v>PC</v>
      </c>
      <c r="F37" s="89"/>
      <c r="G37" s="89"/>
      <c r="H37" s="89"/>
      <c r="I37" s="82">
        <f>IF(B37="","",SUMIF(Data!H36:H3647,B37,Data!AH36:AH3647))</f>
        <v>2</v>
      </c>
      <c r="J37" s="82">
        <f>IF(B37="","",SUMIF(Data!H36:H1647,B37,Data!AG36:AG1647))</f>
        <v>0</v>
      </c>
      <c r="K37" s="85">
        <f t="shared" si="0"/>
        <v>2</v>
      </c>
    </row>
    <row r="38" spans="1:11" ht="15">
      <c r="A38" s="79" t="str">
        <f>IF(B38="","",VLOOKUP(B38,Data!$H$3:$P$1079,9,FALSE))</f>
        <v>PALTEK</v>
      </c>
      <c r="B38" s="78" t="str">
        <v>R124S062-PAL</v>
      </c>
      <c r="C38" s="80" t="str">
        <f>IF(B38="","",VLOOKUP(B38,'DATA (2)'!$F$11:$K$6471,2,FALSE))</f>
        <v>PCB ASSEMBLY</v>
      </c>
      <c r="D38" s="84"/>
      <c r="E38" s="81" t="str">
        <f>IF(B38="","",VLOOKUP(B38,'DATA (2)'!$F$11:$K$1671,5,FALSE))</f>
        <v>PC</v>
      </c>
      <c r="F38" s="89"/>
      <c r="G38" s="89"/>
      <c r="H38" s="89"/>
      <c r="I38" s="82">
        <f>IF(B38="","",SUMIF(Data!H37:H3648,B38,Data!AH37:AH3648))</f>
        <v>2</v>
      </c>
      <c r="J38" s="82">
        <f>IF(B38="","",SUMIF(Data!H37:H1648,B38,Data!AG37:AG1648))</f>
        <v>0</v>
      </c>
      <c r="K38" s="85">
        <f t="shared" si="0"/>
        <v>2</v>
      </c>
    </row>
    <row r="39" spans="1:11" ht="15">
      <c r="A39" s="79" t="str">
        <f>IF(B39="","",VLOOKUP(B39,Data!$H$3:$P$1079,9,FALSE))</f>
        <v>FEC-FS</v>
      </c>
      <c r="B39" s="78" t="str">
        <v>R124S073-FEC</v>
      </c>
      <c r="C39" s="80" t="str">
        <f>IF(B39="","",VLOOKUP(B39,'DATA (2)'!$F$11:$K$6471,2,FALSE))</f>
        <v>PCB ASSEMBLY</v>
      </c>
      <c r="D39" s="84"/>
      <c r="E39" s="81" t="str">
        <f>IF(B39="","",VLOOKUP(B39,'DATA (2)'!$F$11:$K$1671,5,FALSE))</f>
        <v>PC</v>
      </c>
      <c r="F39" s="89"/>
      <c r="G39" s="89"/>
      <c r="H39" s="89"/>
      <c r="I39" s="82">
        <f>IF(B39="","",SUMIF(Data!H38:H3649,B39,Data!AH38:AH3649))</f>
        <v>2</v>
      </c>
      <c r="J39" s="82">
        <f>IF(B39="","",SUMIF(Data!H38:H1649,B39,Data!AG38:AG1649))</f>
        <v>0</v>
      </c>
      <c r="K39" s="85">
        <f t="shared" si="0"/>
        <v>2</v>
      </c>
    </row>
    <row r="40" spans="1:11" ht="15">
      <c r="A40" s="79" t="str">
        <f>IF(B40="","",VLOOKUP(B40,Data!$H$3:$P$1079,9,FALSE))</f>
        <v>FOCI</v>
      </c>
      <c r="B40" s="78" t="str">
        <v>RKNAI053-FOC</v>
      </c>
      <c r="C40" s="80" t="str">
        <f>IF(B40="","",VLOOKUP(B40,'DATA (2)'!$F$11:$K$6471,2,FALSE))</f>
        <v>SPLITTER</v>
      </c>
      <c r="D40" s="84"/>
      <c r="E40" s="81" t="str">
        <f>IF(B40="","",VLOOKUP(B40,'DATA (2)'!$F$11:$K$1671,5,FALSE))</f>
        <v>PC</v>
      </c>
      <c r="F40" s="89"/>
      <c r="G40" s="89"/>
      <c r="H40" s="89"/>
      <c r="I40" s="82">
        <f>IF(B40="","",SUMIF(Data!H39:H3650,B40,Data!AH39:AH3650))</f>
        <v>0</v>
      </c>
      <c r="J40" s="82">
        <f>IF(B40="","",SUMIF(Data!H39:H1650,B40,Data!AG39:AG1650))</f>
        <v>0</v>
      </c>
      <c r="K40" s="85">
        <f t="shared" si="0"/>
        <v>0</v>
      </c>
    </row>
    <row r="41" spans="1:11" ht="15">
      <c r="A41" s="79" t="str">
        <f>IF(B41="","",VLOOKUP(B41,Data!$H$3:$P$1079,9,FALSE))</f>
        <v>SDSE(TOKE)</v>
      </c>
      <c r="B41" s="78" t="str">
        <v>BS110</v>
      </c>
      <c r="C41" s="80" t="str">
        <f>IF(B41="","",VLOOKUP(B41,'DATA (2)'!$F$11:$K$6471,2,FALSE))</f>
        <v>TUBE</v>
      </c>
      <c r="D41" s="84"/>
      <c r="E41" s="81" t="str">
        <f>IF(B41="","",VLOOKUP(B41,'DATA (2)'!$F$11:$K$1671,5,FALSE))</f>
        <v>ME</v>
      </c>
      <c r="F41" s="89"/>
      <c r="G41" s="89"/>
      <c r="H41" s="89"/>
      <c r="I41" s="82">
        <f>IF(B41="","",SUMIF(Data!H40:H3651,B41,Data!AH40:AH3651))</f>
        <v>0</v>
      </c>
      <c r="J41" s="82">
        <f>IF(B41="","",SUMIF(Data!H40:H1651,B41,Data!AG40:AG1651))</f>
        <v>0</v>
      </c>
      <c r="K41" s="85">
        <f t="shared" si="0"/>
        <v>0</v>
      </c>
    </row>
    <row r="42" spans="1:11" ht="15">
      <c r="A42" s="79" t="str">
        <f>IF(B42="","",VLOOKUP(B42,Data!$H$3:$P$1079,9,FALSE))</f>
        <v>FEC-FS</v>
      </c>
      <c r="B42" s="78" t="str">
        <v>FS536</v>
      </c>
      <c r="C42" s="80" t="str">
        <f>IF(B42="","",VLOOKUP(B42,'DATA (2)'!$F$11:$K$6471,2,FALSE))</f>
        <v>HEATER ELEMENT</v>
      </c>
      <c r="D42" s="84"/>
      <c r="E42" s="81" t="str">
        <f>IF(B42="","",VLOOKUP(B42,'DATA (2)'!$F$11:$K$1671,5,FALSE))</f>
        <v>PC</v>
      </c>
      <c r="F42" s="89"/>
      <c r="G42" s="89"/>
      <c r="H42" s="89"/>
      <c r="I42" s="82">
        <f>IF(B42="","",SUMIF(Data!H41:H3652,B42,Data!AH41:AH3652))</f>
        <v>35</v>
      </c>
      <c r="J42" s="82">
        <f>IF(B42="","",SUMIF(Data!H41:H1652,B42,Data!AG41:AG1652))</f>
        <v>0</v>
      </c>
      <c r="K42" s="85">
        <f t="shared" si="0"/>
        <v>35</v>
      </c>
    </row>
    <row r="43" spans="1:11" ht="15">
      <c r="A43" s="79" t="str">
        <f>IF(B43="","",VLOOKUP(B43,Data!$H$3:$P$1079,9,FALSE))</f>
        <v>PALTEK</v>
      </c>
      <c r="B43" s="78" t="str">
        <v>RS001002-PAL</v>
      </c>
      <c r="C43" s="80" t="str">
        <f>IF(B43="","",VLOOKUP(B43,'DATA (2)'!$F$11:$K$6471,2,FALSE))</f>
        <v>PCB ASSEMBLY</v>
      </c>
      <c r="D43" s="84"/>
      <c r="E43" s="81" t="str">
        <f>IF(B43="","",VLOOKUP(B43,'DATA (2)'!$F$11:$K$1671,5,FALSE))</f>
        <v>PC</v>
      </c>
      <c r="F43" s="89"/>
      <c r="G43" s="89"/>
      <c r="H43" s="89"/>
      <c r="I43" s="82">
        <f>IF(B43="","",SUMIF(Data!H42:H3653,B43,Data!AH42:AH3653))</f>
        <v>1</v>
      </c>
      <c r="J43" s="82">
        <f>IF(B43="","",SUMIF(Data!H42:H1653,B43,Data!AG42:AG1653))</f>
        <v>1</v>
      </c>
      <c r="K43" s="85">
        <f t="shared" si="0"/>
        <v>2</v>
      </c>
    </row>
    <row r="44" spans="1:11" ht="15">
      <c r="A44" s="79" t="str">
        <f>IF(B44="","",VLOOKUP(B44,Data!$H$3:$P$1079,9,FALSE))</f>
        <v>FEC-OC</v>
      </c>
      <c r="B44" s="78" t="str">
        <v>FBT203M</v>
      </c>
      <c r="C44" s="80" t="str">
        <f>IF(B44="","",VLOOKUP(B44,'DATA (2)'!$F$11:$K$6471,2,FALSE))</f>
        <v>LD CARRIER</v>
      </c>
      <c r="D44" s="84"/>
      <c r="E44" s="81" t="str">
        <f>IF(B44="","",VLOOKUP(B44,'DATA (2)'!$F$11:$K$1671,5,FALSE))</f>
        <v>PC</v>
      </c>
      <c r="F44" s="89"/>
      <c r="G44" s="89"/>
      <c r="H44" s="89"/>
      <c r="I44" s="82">
        <f>IF(B44="","",SUMIF(Data!H43:H3654,B44,Data!AH43:AH3654))</f>
        <v>0</v>
      </c>
      <c r="J44" s="82">
        <f>IF(B44="","",SUMIF(Data!H43:H1654,B44,Data!AG43:AG1654))</f>
        <v>0</v>
      </c>
      <c r="K44" s="85">
        <f t="shared" si="0"/>
        <v>0</v>
      </c>
    </row>
    <row r="45" spans="1:11" ht="15">
      <c r="A45" s="79" t="str">
        <f>IF(B45="","",VLOOKUP(B45,Data!$H$3:$P$1079,9,FALSE))</f>
        <v>FEC-FS</v>
      </c>
      <c r="B45" s="78" t="str">
        <v>RS001018-FEC</v>
      </c>
      <c r="C45" s="80" t="str">
        <f>IF(B45="","",VLOOKUP(B45,'DATA (2)'!$F$11:$K$6471,2,FALSE))</f>
        <v>BASE</v>
      </c>
      <c r="D45" s="84"/>
      <c r="E45" s="81" t="str">
        <f>IF(B45="","",VLOOKUP(B45,'DATA (2)'!$F$11:$K$1671,5,FALSE))</f>
        <v>PC</v>
      </c>
      <c r="F45" s="89"/>
      <c r="G45" s="89"/>
      <c r="H45" s="89"/>
      <c r="I45" s="82">
        <f>IF(B45="","",SUMIF(Data!H44:H3655,B45,Data!AH44:AH3655))</f>
        <v>16</v>
      </c>
      <c r="J45" s="82">
        <f>IF(B45="","",SUMIF(Data!H44:H1655,B45,Data!AG44:AG1655))</f>
        <v>0</v>
      </c>
      <c r="K45" s="85">
        <f t="shared" si="0"/>
        <v>16</v>
      </c>
    </row>
    <row r="46" spans="1:11" ht="15">
      <c r="A46" s="79" t="str">
        <f>IF(B46="","",VLOOKUP(B46,Data!$H$3:$P$1079,9,FALSE))</f>
        <v>SDSE(TOKE)</v>
      </c>
      <c r="B46" s="78">
        <v>812</v>
      </c>
      <c r="C46" s="80" t="str">
        <f>IF(B46="","",VLOOKUP(B46,'DATA (2)'!$F$11:$K$6471,2,FALSE))</f>
        <v>LOWER CASE</v>
      </c>
      <c r="D46" s="84"/>
      <c r="E46" s="81" t="str">
        <f>IF(B46="","",VLOOKUP(B46,'DATA (2)'!$F$11:$K$1671,5,FALSE))</f>
        <v>PC</v>
      </c>
      <c r="F46" s="89"/>
      <c r="G46" s="89"/>
      <c r="H46" s="89"/>
      <c r="I46" s="82">
        <f>IF(B46="","",SUMIF(Data!H45:H3656,B46,Data!AH45:AH3656))</f>
        <v>0</v>
      </c>
      <c r="J46" s="82">
        <f>IF(B46="","",SUMIF(Data!H45:H1656,B46,Data!AG45:AG1656))</f>
        <v>0</v>
      </c>
      <c r="K46" s="85">
        <f t="shared" si="0"/>
        <v>0</v>
      </c>
    </row>
    <row r="47" spans="1:11" ht="15">
      <c r="A47" s="79" t="str">
        <f>IF(B47="","",VLOOKUP(B47,Data!$H$3:$P$1079,9,FALSE))</f>
        <v>SDSE(TOKE)</v>
      </c>
      <c r="B47" s="78">
        <v>824</v>
      </c>
      <c r="C47" s="80" t="str">
        <f>IF(B47="","",VLOOKUP(B47,'DATA (2)'!$F$11:$K$6471,2,FALSE))</f>
        <v>BOTTOM CASE</v>
      </c>
      <c r="D47" s="84"/>
      <c r="E47" s="81" t="str">
        <f>IF(B47="","",VLOOKUP(B47,'DATA (2)'!$F$11:$K$1671,5,FALSE))</f>
        <v>PC</v>
      </c>
      <c r="F47" s="89"/>
      <c r="G47" s="89"/>
      <c r="H47" s="89"/>
      <c r="I47" s="82">
        <f>IF(B47="","",SUMIF(Data!H46:H3657,B47,Data!AH46:AH3657))</f>
        <v>0</v>
      </c>
      <c r="J47" s="82">
        <f>IF(B47="","",SUMIF(Data!H46:H1657,B47,Data!AG46:AG1657))</f>
        <v>0</v>
      </c>
      <c r="K47" s="85">
        <f t="shared" si="0"/>
        <v>0</v>
      </c>
    </row>
    <row r="48" spans="1:11" ht="15">
      <c r="A48" s="79" t="str">
        <f>IF(B48="","",VLOOKUP(B48,Data!$H$3:$P$1079,9,FALSE))</f>
        <v>SDSE(TOKE)</v>
      </c>
      <c r="B48" s="78" t="str">
        <v>IDH003</v>
      </c>
      <c r="C48" s="80" t="str">
        <f>IF(B48="","",VLOOKUP(B48,'DATA (2)'!$F$11:$K$6471,2,FALSE))</f>
        <v>PLASTIC COVER</v>
      </c>
      <c r="D48" s="84"/>
      <c r="E48" s="81" t="str">
        <f>IF(B48="","",VLOOKUP(B48,'DATA (2)'!$F$11:$K$1671,5,FALSE))</f>
        <v>PC</v>
      </c>
      <c r="F48" s="89"/>
      <c r="G48" s="89"/>
      <c r="H48" s="89"/>
      <c r="I48" s="82">
        <f>IF(B48="","",SUMIF(Data!H47:H3658,B48,Data!AH47:AH3658))</f>
        <v>0</v>
      </c>
      <c r="J48" s="82">
        <f>IF(B48="","",SUMIF(Data!H47:H1658,B48,Data!AG47:AG1658))</f>
        <v>0</v>
      </c>
      <c r="K48" s="85">
        <f t="shared" si="0"/>
        <v>0</v>
      </c>
    </row>
    <row r="49" spans="1:11" ht="15">
      <c r="A49" s="79" t="str">
        <f>IF(B49="","",VLOOKUP(B49,Data!$H$3:$P$1079,9,FALSE))</f>
        <v>SDSE(TOKE)</v>
      </c>
      <c r="B49" s="78" t="str">
        <v>IDH002</v>
      </c>
      <c r="C49" s="80" t="str">
        <f>IF(B49="","",VLOOKUP(B49,'DATA (2)'!$F$11:$K$6471,2,FALSE))</f>
        <v>PLASTIC BASE</v>
      </c>
      <c r="D49" s="84"/>
      <c r="E49" s="81" t="str">
        <f>IF(B49="","",VLOOKUP(B49,'DATA (2)'!$F$11:$K$1671,5,FALSE))</f>
        <v>PC</v>
      </c>
      <c r="F49" s="89"/>
      <c r="G49" s="89"/>
      <c r="H49" s="89"/>
      <c r="I49" s="82">
        <f>IF(B49="","",SUMIF(Data!H48:H3659,B49,Data!AH48:AH3659))</f>
        <v>0</v>
      </c>
      <c r="J49" s="82">
        <f>IF(B49="","",SUMIF(Data!H48:H1659,B49,Data!AG48:AG1659))</f>
        <v>0</v>
      </c>
      <c r="K49" s="85">
        <f t="shared" si="0"/>
        <v>0</v>
      </c>
    </row>
    <row r="50" spans="1:11" ht="15">
      <c r="A50" s="79" t="str">
        <f>IF(B50="","",VLOOKUP(B50,Data!$H$3:$P$1079,9,FALSE))</f>
        <v>SDSE(TOKE)</v>
      </c>
      <c r="B50" s="78" t="str">
        <v>R00FA047-SEI</v>
      </c>
      <c r="C50" s="80" t="str">
        <f>IF(B50="","",VLOOKUP(B50,'DATA (2)'!$F$11:$K$6471,2,FALSE))</f>
        <v>SC FERRULE</v>
      </c>
      <c r="D50" s="84"/>
      <c r="E50" s="81" t="str">
        <f>IF(B50="","",VLOOKUP(B50,'DATA (2)'!$F$11:$K$1671,5,FALSE))</f>
        <v>PC</v>
      </c>
      <c r="F50" s="89"/>
      <c r="G50" s="89"/>
      <c r="H50" s="89"/>
      <c r="I50" s="82">
        <f>IF(B50="","",SUMIF(Data!H49:H3660,B50,Data!AH49:AH3660))</f>
        <v>0</v>
      </c>
      <c r="J50" s="82">
        <f>IF(B50="","",SUMIF(Data!H49:H1660,B50,Data!AG49:AG1660))</f>
        <v>0</v>
      </c>
      <c r="K50" s="85">
        <f t="shared" si="0"/>
        <v>0</v>
      </c>
    </row>
    <row r="51" spans="1:11" ht="15">
      <c r="A51" s="79" t="str">
        <f>IF(B51="","",VLOOKUP(B51,Data!$H$3:$P$1079,9,FALSE))</f>
        <v>SDSE(TOKE)</v>
      </c>
      <c r="B51" s="78" t="str">
        <v>FA106</v>
      </c>
      <c r="C51" s="80" t="str">
        <f>IF(B51="","",VLOOKUP(B51,'DATA (2)'!$F$11:$K$6471,2,FALSE))</f>
        <v>CLAMP</v>
      </c>
      <c r="D51" s="84"/>
      <c r="E51" s="81" t="str">
        <f>IF(B51="","",VLOOKUP(B51,'DATA (2)'!$F$11:$K$1671,5,FALSE))</f>
        <v>PC</v>
      </c>
      <c r="F51" s="89"/>
      <c r="G51" s="89"/>
      <c r="H51" s="89"/>
      <c r="I51" s="82">
        <f>IF(B51="","",SUMIF(Data!H50:H3661,B51,Data!AH50:AH3661))</f>
        <v>0</v>
      </c>
      <c r="J51" s="82">
        <f>IF(B51="","",SUMIF(Data!H50:H1661,B51,Data!AG50:AG1661))</f>
        <v>0</v>
      </c>
      <c r="K51" s="85">
        <f t="shared" si="0"/>
        <v>0</v>
      </c>
    </row>
    <row r="52" spans="1:11" ht="15">
      <c r="A52" s="79" t="str">
        <f>IF(B52="","",VLOOKUP(B52,Data!$H$3:$P$1079,9,FALSE))</f>
        <v>SDSE(TOKE)</v>
      </c>
      <c r="B52" s="78" t="str">
        <v>R00FA063-SEI</v>
      </c>
      <c r="C52" s="80" t="str">
        <f>IF(B52="","",VLOOKUP(B52,'DATA (2)'!$F$11:$K$6471,2,FALSE))</f>
        <v>CLAMP</v>
      </c>
      <c r="D52" s="84"/>
      <c r="E52" s="81" t="str">
        <f>IF(B52="","",VLOOKUP(B52,'DATA (2)'!$F$11:$K$1671,5,FALSE))</f>
        <v>PC</v>
      </c>
      <c r="F52" s="89"/>
      <c r="G52" s="89"/>
      <c r="H52" s="89"/>
      <c r="I52" s="82">
        <f>IF(B52="","",SUMIF(Data!H51:H3662,B52,Data!AH51:AH3662))</f>
        <v>0</v>
      </c>
      <c r="J52" s="82">
        <f>IF(B52="","",SUMIF(Data!H51:H1662,B52,Data!AG51:AG1662))</f>
        <v>0</v>
      </c>
      <c r="K52" s="85">
        <f t="shared" si="0"/>
        <v>0</v>
      </c>
    </row>
    <row r="53" spans="1:11" ht="15">
      <c r="A53" s="79" t="str">
        <f>IF(B53="","",VLOOKUP(B53,Data!$H$3:$P$1079,9,FALSE))</f>
        <v>SDSE(TOKE)</v>
      </c>
      <c r="B53" s="78" t="str">
        <v>IDH00001-SEI</v>
      </c>
      <c r="C53" s="80" t="str">
        <f>IF(B53="","",VLOOKUP(B53,'DATA (2)'!$F$11:$K$6471,2,FALSE))</f>
        <v>PCB ASSEMBLY</v>
      </c>
      <c r="D53" s="84"/>
      <c r="E53" s="81" t="str">
        <f>IF(B53="","",VLOOKUP(B53,'DATA (2)'!$F$11:$K$1671,5,FALSE))</f>
        <v>PC</v>
      </c>
      <c r="F53" s="89"/>
      <c r="G53" s="89"/>
      <c r="H53" s="89"/>
      <c r="I53" s="82">
        <f>IF(B53="","",SUMIF(Data!H52:H3663,B53,Data!AH52:AH3663))</f>
        <v>0</v>
      </c>
      <c r="J53" s="82">
        <f>IF(B53="","",SUMIF(Data!H52:H1663,B53,Data!AG52:AG1663))</f>
        <v>0</v>
      </c>
      <c r="K53" s="85">
        <f t="shared" si="0"/>
        <v>0</v>
      </c>
    </row>
    <row r="54" spans="1:11" ht="15">
      <c r="A54" s="79" t="str">
        <f>IF(B54="","",VLOOKUP(B54,Data!$H$3:$P$1079,9,FALSE))</f>
        <v>SDSE(TOKE)</v>
      </c>
      <c r="B54" s="78" t="str">
        <v>IDH00002-SEI</v>
      </c>
      <c r="C54" s="80" t="str">
        <f>IF(B54="","",VLOOKUP(B54,'DATA (2)'!$F$11:$K$6471,2,FALSE))</f>
        <v>PCB ASSEMBLY</v>
      </c>
      <c r="D54" s="84"/>
      <c r="E54" s="81" t="str">
        <f>IF(B54="","",VLOOKUP(B54,'DATA (2)'!$F$11:$K$1671,5,FALSE))</f>
        <v>PC</v>
      </c>
      <c r="F54" s="89"/>
      <c r="G54" s="89"/>
      <c r="H54" s="89"/>
      <c r="I54" s="82">
        <f>IF(B54="","",SUMIF(Data!H53:H3664,B54,Data!AH53:AH3664))</f>
        <v>0</v>
      </c>
      <c r="J54" s="82">
        <f>IF(B54="","",SUMIF(Data!H53:H1664,B54,Data!AG53:AG1664))</f>
        <v>0</v>
      </c>
      <c r="K54" s="85">
        <f t="shared" si="0"/>
        <v>0</v>
      </c>
    </row>
    <row r="55" spans="1:11" ht="15">
      <c r="A55" s="79" t="str">
        <f>IF(B55="","",VLOOKUP(B55,Data!$H$3:$P$1079,9,FALSE))</f>
        <v>FEC-OC(HBCDM)</v>
      </c>
      <c r="B55" s="78" t="str">
        <v>RHB00002-FEC</v>
      </c>
      <c r="C55" s="80" t="str">
        <f>IF(B55="","",VLOOKUP(B55,'DATA (2)'!$F$11:$K$6471,2,FALSE))</f>
        <v>CHIP MODULATOR</v>
      </c>
      <c r="D55" s="84"/>
      <c r="E55" s="81" t="str">
        <f>IF(B55="","",VLOOKUP(B55,'DATA (2)'!$F$11:$K$1671,5,FALSE))</f>
        <v>PC</v>
      </c>
      <c r="F55" s="89"/>
      <c r="G55" s="89"/>
      <c r="H55" s="89"/>
      <c r="I55" s="82">
        <f>IF(B55="","",SUMIF(Data!H54:H3665,B55,Data!AH54:AH3665))</f>
        <v>0</v>
      </c>
      <c r="J55" s="82">
        <f>IF(B55="","",SUMIF(Data!H54:H1665,B55,Data!AG54:AG1665))</f>
        <v>0</v>
      </c>
      <c r="K55" s="85">
        <f t="shared" si="0"/>
        <v>0</v>
      </c>
    </row>
    <row r="56" spans="1:11" ht="15">
      <c r="A56" s="79" t="str">
        <f>IF(B56="","",VLOOKUP(B56,Data!$H$3:$P$1079,9,FALSE))</f>
        <v>FEC-OC(HBCDM)</v>
      </c>
      <c r="B56" s="78" t="str">
        <v>RHB00015-FEC</v>
      </c>
      <c r="C56" s="80" t="str">
        <f>IF(B56="","",VLOOKUP(B56,'DATA (2)'!$F$11:$K$6471,2,FALSE))</f>
        <v>CHIP MODULATOR</v>
      </c>
      <c r="D56" s="84"/>
      <c r="E56" s="81" t="str">
        <f>IF(B56="","",VLOOKUP(B56,'DATA (2)'!$F$11:$K$1671,5,FALSE))</f>
        <v>PC</v>
      </c>
      <c r="F56" s="89"/>
      <c r="G56" s="89"/>
      <c r="H56" s="89"/>
      <c r="I56" s="82">
        <f>IF(B56="","",SUMIF(Data!H55:H3666,B56,Data!AH55:AH3666))</f>
        <v>2</v>
      </c>
      <c r="J56" s="82">
        <f>IF(B56="","",SUMIF(Data!H55:H1666,B56,Data!AG55:AG1666))</f>
        <v>0</v>
      </c>
      <c r="K56" s="85">
        <f t="shared" si="0"/>
        <v>2</v>
      </c>
    </row>
    <row r="57" spans="1:11" ht="15">
      <c r="A57" s="79" t="str">
        <f>IF(B57="","",VLOOKUP(B57,Data!$H$3:$P$1079,9,FALSE))</f>
        <v>FURUKAWA SHANGHAI</v>
      </c>
      <c r="B57" s="78" t="str">
        <v>R124S142-FSL</v>
      </c>
      <c r="C57" s="80" t="str">
        <f>IF(B57="","",VLOOKUP(B57,'DATA (2)'!$F$11:$K$6471,2,FALSE))</f>
        <v>ALUMINIUM PLATE</v>
      </c>
      <c r="D57" s="84"/>
      <c r="E57" s="81" t="str">
        <f>IF(B57="","",VLOOKUP(B57,'DATA (2)'!$F$11:$K$1671,5,FALSE))</f>
        <v>PC</v>
      </c>
      <c r="F57" s="89"/>
      <c r="G57" s="89"/>
      <c r="H57" s="89"/>
      <c r="I57" s="82">
        <f>IF(B57="","",SUMIF(Data!H56:H3667,B57,Data!AH56:AH3667))</f>
        <v>0</v>
      </c>
      <c r="J57" s="82">
        <f>IF(B57="","",SUMIF(Data!H56:H1667,B57,Data!AG56:AG1667))</f>
        <v>0</v>
      </c>
      <c r="K57" s="85">
        <f t="shared" si="0"/>
        <v>0</v>
      </c>
    </row>
    <row r="58" spans="1:11" ht="15">
      <c r="A58" s="79" t="str">
        <f>IF(B58="","",VLOOKUP(B58,Data!$H$3:$P$1079,9,FALSE))</f>
        <v>FEC-FS</v>
      </c>
      <c r="B58" s="78" t="str">
        <v>R179S662-FEC</v>
      </c>
      <c r="C58" s="80" t="str">
        <f>IF(B58="","",VLOOKUP(B58,'DATA (2)'!$F$11:$K$6471,2,FALSE))</f>
        <v>FIBER GUIDE</v>
      </c>
      <c r="D58" s="84"/>
      <c r="E58" s="81" t="str">
        <f>IF(B58="","",VLOOKUP(B58,'DATA (2)'!$F$11:$K$1671,5,FALSE))</f>
        <v>PC</v>
      </c>
      <c r="F58" s="89"/>
      <c r="G58" s="89"/>
      <c r="H58" s="89"/>
      <c r="I58" s="82">
        <f>IF(B58="","",SUMIF(Data!H57:H3668,B58,Data!AH57:AH3668))</f>
        <v>2</v>
      </c>
      <c r="J58" s="82">
        <f>IF(B58="","",SUMIF(Data!H57:H1668,B58,Data!AG57:AG1668))</f>
        <v>0</v>
      </c>
      <c r="K58" s="85">
        <f t="shared" si="0"/>
        <v>2</v>
      </c>
    </row>
    <row r="59" spans="1:11" ht="15">
      <c r="A59" s="79" t="str">
        <f>IF(B59="","",VLOOKUP(B59,Data!$H$3:$P$1079,9,FALSE))</f>
        <v>SDSE(TOKE)</v>
      </c>
      <c r="B59" s="78" t="str">
        <v>FPS039</v>
      </c>
      <c r="C59" s="80" t="str">
        <f>IF(B59="","",VLOOKUP(B59,'DATA (2)'!$F$11:$K$6471,2,FALSE))</f>
        <v>TUBE</v>
      </c>
      <c r="D59" s="84"/>
      <c r="E59" s="81" t="str">
        <f>IF(B59="","",VLOOKUP(B59,'DATA (2)'!$F$11:$K$1671,5,FALSE))</f>
        <v>PC</v>
      </c>
      <c r="F59" s="89"/>
      <c r="G59" s="89"/>
      <c r="H59" s="89"/>
      <c r="I59" s="82">
        <f>IF(B59="","",SUMIF(Data!H58:H3669,B59,Data!AH58:AH3669))</f>
        <v>0</v>
      </c>
      <c r="J59" s="82">
        <f>IF(B59="","",SUMIF(Data!H58:H1669,B59,Data!AG58:AG1669))</f>
        <v>0</v>
      </c>
      <c r="K59" s="85">
        <f t="shared" si="0"/>
        <v>0</v>
      </c>
    </row>
    <row r="60" spans="1:11" ht="15">
      <c r="A60" s="79" t="str">
        <f>IF(B60="","",VLOOKUP(B60,Data!$H$3:$P$1079,9,FALSE))</f>
        <v>FEC-FS</v>
      </c>
      <c r="B60" s="78" t="str">
        <v>RS001008-FEC</v>
      </c>
      <c r="C60" s="80" t="str">
        <f>IF(B60="","",VLOOKUP(B60,'DATA (2)'!$F$11:$K$6471,2,FALSE))</f>
        <v>PCB ASSEMBLY</v>
      </c>
      <c r="D60" s="84"/>
      <c r="E60" s="81" t="str">
        <f>IF(B60="","",VLOOKUP(B60,'DATA (2)'!$F$11:$K$1671,5,FALSE))</f>
        <v>PC</v>
      </c>
      <c r="F60" s="89"/>
      <c r="G60" s="89"/>
      <c r="H60" s="89"/>
      <c r="I60" s="82">
        <f>IF(B60="","",SUMIF(Data!H59:H3670,B60,Data!AH59:AH3670))</f>
        <v>0</v>
      </c>
      <c r="J60" s="82">
        <f>IF(B60="","",SUMIF(Data!H59:H1670,B60,Data!AG59:AG1670))</f>
        <v>0</v>
      </c>
      <c r="K60" s="85">
        <f t="shared" si="0"/>
        <v>0</v>
      </c>
    </row>
    <row r="61" spans="1:11" ht="15">
      <c r="A61" s="79" t="str">
        <f>IF(B61="","",VLOOKUP(B61,Data!$H$3:$P$1079,9,FALSE))</f>
        <v>FEC-FS</v>
      </c>
      <c r="B61" s="78" t="str">
        <v>RS001003-FEC</v>
      </c>
      <c r="C61" s="80" t="str">
        <f>IF(B61="","",VLOOKUP(B61,'DATA (2)'!$F$11:$K$6471,2,FALSE))</f>
        <v>PCB ASSEMBLY</v>
      </c>
      <c r="D61" s="84"/>
      <c r="E61" s="81" t="str">
        <f>IF(B61="","",VLOOKUP(B61,'DATA (2)'!$F$11:$K$1671,5,FALSE))</f>
        <v>PC</v>
      </c>
      <c r="F61" s="89"/>
      <c r="G61" s="89"/>
      <c r="H61" s="89"/>
      <c r="I61" s="82">
        <f>IF(B61="","",SUMIF(Data!H60:H3671,B61,Data!AH60:AH3671))</f>
        <v>0</v>
      </c>
      <c r="J61" s="82">
        <f>IF(B61="","",SUMIF(Data!H60:H1671,B61,Data!AG60:AG1671))</f>
        <v>0</v>
      </c>
      <c r="K61" s="85">
        <f t="shared" si="0"/>
        <v>0</v>
      </c>
    </row>
    <row r="62" spans="1:11" ht="15">
      <c r="A62" s="79" t="str">
        <f>IF(B62="","",VLOOKUP(B62,Data!$H$3:$P$1079,9,FALSE))</f>
        <v>FEC-OC</v>
      </c>
      <c r="B62" s="78" t="str">
        <v>FBT204M</v>
      </c>
      <c r="C62" s="80" t="str">
        <f>IF(B62="","",VLOOKUP(B62,'DATA (2)'!$F$11:$K$6471,2,FALSE))</f>
        <v>LD CARRIER</v>
      </c>
      <c r="D62" s="84"/>
      <c r="E62" s="81" t="str">
        <f>IF(B62="","",VLOOKUP(B62,'DATA (2)'!$F$11:$K$1671,5,FALSE))</f>
        <v>PC</v>
      </c>
      <c r="F62" s="89"/>
      <c r="G62" s="89"/>
      <c r="H62" s="89"/>
      <c r="I62" s="82">
        <f>IF(B62="","",SUMIF(Data!H61:H3672,B62,Data!AH61:AH3672))</f>
        <v>0</v>
      </c>
      <c r="J62" s="82">
        <f>IF(B62="","",SUMIF(Data!H61:H1672,B62,Data!AG61:AG1672))</f>
        <v>0</v>
      </c>
      <c r="K62" s="85">
        <f t="shared" si="0"/>
        <v>0</v>
      </c>
    </row>
    <row r="63" spans="1:11" ht="15">
      <c r="A63" s="79" t="str">
        <f>IF(B63="","",VLOOKUP(B63,Data!$H$3:$P$1079,9,FALSE))</f>
        <v>FEC-FS</v>
      </c>
      <c r="B63" s="78" t="str">
        <v>R179S652-FEC</v>
      </c>
      <c r="C63" s="80" t="str">
        <f>IF(B63="","",VLOOKUP(B63,'DATA (2)'!$F$11:$K$6471,2,FALSE))</f>
        <v>LENS</v>
      </c>
      <c r="D63" s="84"/>
      <c r="E63" s="81" t="str">
        <f>IF(B63="","",VLOOKUP(B63,'DATA (2)'!$F$11:$K$1671,5,FALSE))</f>
        <v>PC</v>
      </c>
      <c r="F63" s="89"/>
      <c r="G63" s="89"/>
      <c r="H63" s="89"/>
      <c r="I63" s="82">
        <f>IF(B63="","",SUMIF(Data!H62:H3673,B63,Data!AH62:AH3673))</f>
        <v>281</v>
      </c>
      <c r="J63" s="82">
        <f>IF(B63="","",SUMIF(Data!H62:H1673,B63,Data!AG62:AG1673))</f>
        <v>0</v>
      </c>
      <c r="K63" s="85">
        <f t="shared" si="0"/>
        <v>281</v>
      </c>
    </row>
    <row r="64" spans="1:11" ht="15">
      <c r="A64" s="79" t="str">
        <f>IF(B64="","",VLOOKUP(B64,Data!$H$3:$P$1079,9,FALSE))</f>
        <v>SDSE(TOKE)</v>
      </c>
      <c r="B64" s="78" t="str">
        <v>BS164A</v>
      </c>
      <c r="C64" s="80" t="str">
        <f>IF(B64="","",VLOOKUP(B64,'DATA (2)'!$F$11:$K$6471,2,FALSE))</f>
        <v>OPTICAL SPLITTER</v>
      </c>
      <c r="D64" s="84"/>
      <c r="E64" s="81" t="str">
        <f>IF(B64="","",VLOOKUP(B64,'DATA (2)'!$F$11:$K$1671,5,FALSE))</f>
        <v>PC</v>
      </c>
      <c r="F64" s="89"/>
      <c r="G64" s="89"/>
      <c r="H64" s="89"/>
      <c r="I64" s="82">
        <f>IF(B64="","",SUMIF(Data!H63:H3674,B64,Data!AH63:AH3674))</f>
        <v>0</v>
      </c>
      <c r="J64" s="82">
        <f>IF(B64="","",SUMIF(Data!H63:H1674,B64,Data!AG63:AG1674))</f>
        <v>0</v>
      </c>
      <c r="K64" s="85">
        <f t="shared" si="0"/>
        <v>0</v>
      </c>
    </row>
    <row r="65" spans="1:11" ht="15">
      <c r="A65" s="79" t="str">
        <f>IF(B65="","",VLOOKUP(B65,Data!$H$3:$P$1079,9,FALSE))</f>
        <v>SDSE(SAITAMA)</v>
      </c>
      <c r="B65" s="78" t="str">
        <v>SP053</v>
      </c>
      <c r="C65" s="80" t="str">
        <f>IF(B65="","",VLOOKUP(B65,'DATA (2)'!$F$11:$K$6471,2,FALSE))</f>
        <v>PAPER LABEL</v>
      </c>
      <c r="D65" s="84"/>
      <c r="E65" s="81" t="str">
        <f>IF(B65="","",VLOOKUP(B65,'DATA (2)'!$F$11:$K$1671,5,FALSE))</f>
        <v>PC</v>
      </c>
      <c r="F65" s="89"/>
      <c r="G65" s="89"/>
      <c r="H65" s="89"/>
      <c r="I65" s="82">
        <f>IF(B65="","",SUMIF(Data!H64:H3675,B65,Data!AH64:AH3675))</f>
        <v>0</v>
      </c>
      <c r="J65" s="82">
        <f>IF(B65="","",SUMIF(Data!H64:H1675,B65,Data!AG64:AG1675))</f>
        <v>0</v>
      </c>
      <c r="K65" s="85">
        <f t="shared" si="0"/>
        <v>0</v>
      </c>
    </row>
    <row r="66" spans="1:11" ht="15">
      <c r="A66" s="79" t="str">
        <f>IF(B66="","",VLOOKUP(B66,Data!$H$3:$P$1079,9,FALSE))</f>
        <v>SDSE(TOKE)</v>
      </c>
      <c r="B66" s="78" t="str">
        <v>F001</v>
      </c>
      <c r="C66" s="80" t="str">
        <f>IF(B66="","",VLOOKUP(B66,'DATA (2)'!$F$11:$K$6471,2,FALSE))</f>
        <v>LOWER CASE</v>
      </c>
      <c r="D66" s="84"/>
      <c r="E66" s="81" t="str">
        <f>IF(B66="","",VLOOKUP(B66,'DATA (2)'!$F$11:$K$1671,5,FALSE))</f>
        <v>SET</v>
      </c>
      <c r="F66" s="89"/>
      <c r="G66" s="89"/>
      <c r="H66" s="89"/>
      <c r="I66" s="82">
        <f>IF(B66="","",SUMIF(Data!H65:H3676,B66,Data!AH65:AH3676))</f>
        <v>1</v>
      </c>
      <c r="J66" s="82">
        <f>IF(B66="","",SUMIF(Data!H65:H1676,B66,Data!AG65:AG1676))</f>
        <v>0</v>
      </c>
      <c r="K66" s="85">
        <f t="shared" si="0"/>
        <v>1</v>
      </c>
    </row>
    <row r="67" spans="1:11" ht="15">
      <c r="A67" s="79" t="str">
        <f>IF(B67="","",VLOOKUP(B67,Data!$H$3:$P$1079,9,FALSE))</f>
        <v>SDSE(TOKE)</v>
      </c>
      <c r="B67" s="78">
        <v>313</v>
      </c>
      <c r="C67" s="80" t="str">
        <f>IF(B67="","",VLOOKUP(B67,'DATA (2)'!$F$11:$K$6471,2,FALSE))</f>
        <v>LID</v>
      </c>
      <c r="D67" s="84"/>
      <c r="E67" s="81" t="str">
        <f>IF(B67="","",VLOOKUP(B67,'DATA (2)'!$F$11:$K$1671,5,FALSE))</f>
        <v>PC</v>
      </c>
      <c r="F67" s="89"/>
      <c r="G67" s="89"/>
      <c r="H67" s="89"/>
      <c r="I67" s="82">
        <f>IF(B67="","",SUMIF(Data!H66:H3677,B67,Data!AH66:AH3677))</f>
        <v>0</v>
      </c>
      <c r="J67" s="82">
        <f>IF(B67="","",SUMIF(Data!H66:H1677,B67,Data!AG66:AG1677))</f>
        <v>0</v>
      </c>
      <c r="K67" s="85">
        <f t="shared" si="0"/>
        <v>0</v>
      </c>
    </row>
    <row r="68" spans="1:11" ht="15">
      <c r="A68" s="79" t="str">
        <f>IF(B68="","",VLOOKUP(B68,Data!$H$3:$P$1079,9,FALSE))</f>
        <v>SDSE(TOKE)</v>
      </c>
      <c r="B68" s="78" t="str">
        <v>327-1</v>
      </c>
      <c r="C68" s="80" t="str">
        <f>IF(B68="","",VLOOKUP(B68,'DATA (2)'!$F$11:$K$6471,2,FALSE))</f>
        <v>LOWER CASE</v>
      </c>
      <c r="D68" s="84"/>
      <c r="E68" s="81" t="str">
        <f>IF(B68="","",VLOOKUP(B68,'DATA (2)'!$F$11:$K$1671,5,FALSE))</f>
        <v>PC</v>
      </c>
      <c r="F68" s="89"/>
      <c r="G68" s="89"/>
      <c r="H68" s="89"/>
      <c r="I68" s="82">
        <f>IF(B68="","",SUMIF(Data!H67:H3678,B68,Data!AH67:AH3678))</f>
        <v>0</v>
      </c>
      <c r="J68" s="82">
        <f>IF(B68="","",SUMIF(Data!H67:H1678,B68,Data!AG67:AG1678))</f>
        <v>0</v>
      </c>
      <c r="K68" s="85">
        <f t="shared" si="0"/>
        <v>0</v>
      </c>
    </row>
    <row r="69" spans="1:11" ht="15">
      <c r="A69" s="79" t="str">
        <f>IF(B69="","",VLOOKUP(B69,Data!$H$3:$P$1079,9,FALSE))</f>
        <v>MACNICA GALAXY</v>
      </c>
      <c r="B69" s="78" t="str">
        <v>R179S001-MAC</v>
      </c>
      <c r="C69" s="80" t="str">
        <f>IF(B69="","",VLOOKUP(B69,'DATA (2)'!$F$11:$K$6471,2,FALSE))</f>
        <v>LCD DISPLAY</v>
      </c>
      <c r="D69" s="84"/>
      <c r="E69" s="81" t="str">
        <f>IF(B69="","",VLOOKUP(B69,'DATA (2)'!$F$11:$K$1671,5,FALSE))</f>
        <v>PC</v>
      </c>
      <c r="F69" s="89"/>
      <c r="G69" s="89"/>
      <c r="H69" s="89"/>
      <c r="I69" s="82">
        <f>IF(B69="","",SUMIF(Data!H68:H3679,B69,Data!AH68:AH3679))</f>
        <v>0</v>
      </c>
      <c r="J69" s="82">
        <f>IF(B69="","",SUMIF(Data!H68:H1679,B69,Data!AG68:AG1679))</f>
        <v>0</v>
      </c>
      <c r="K69" s="85">
        <f t="shared" ref="K69:K115" si="1">IF(B69="","",I69+J69)</f>
        <v>0</v>
      </c>
    </row>
    <row r="70" spans="1:11" ht="15">
      <c r="A70" s="79" t="str">
        <f>IF(B70="","",VLOOKUP(B70,Data!$H$3:$P$1079,9,FALSE))</f>
        <v>SDSE(TOKE)</v>
      </c>
      <c r="B70" s="78" t="str">
        <v>RIDMJ149-SEI</v>
      </c>
      <c r="C70" s="80" t="str">
        <f>IF(B70="","",VLOOKUP(B70,'DATA (2)'!$F$11:$K$6471,2,FALSE))</f>
        <v>LID</v>
      </c>
      <c r="D70" s="84"/>
      <c r="E70" s="81" t="str">
        <f>IF(B70="","",VLOOKUP(B70,'DATA (2)'!$F$11:$K$1671,5,FALSE))</f>
        <v>PC</v>
      </c>
      <c r="F70" s="89"/>
      <c r="G70" s="89"/>
      <c r="H70" s="89"/>
      <c r="I70" s="82">
        <f>IF(B70="","",SUMIF(Data!H69:H3680,B70,Data!AH69:AH3680))</f>
        <v>0</v>
      </c>
      <c r="J70" s="82">
        <f>IF(B70="","",SUMIF(Data!H69:H1680,B70,Data!AG69:AG1680))</f>
        <v>0</v>
      </c>
      <c r="K70" s="85">
        <f t="shared" si="1"/>
        <v>0</v>
      </c>
    </row>
    <row r="71" spans="1:11" ht="15">
      <c r="A71" s="79" t="str">
        <f>IF(B71="","",VLOOKUP(B71,Data!$H$3:$P$1079,9,FALSE))</f>
        <v>FEC-FS</v>
      </c>
      <c r="B71" s="78" t="str">
        <v>FS001</v>
      </c>
      <c r="C71" s="80" t="str">
        <f>IF(B71="","",VLOOKUP(B71,'DATA (2)'!$F$11:$K$6471,2,FALSE))</f>
        <v>V GROOVE</v>
      </c>
      <c r="D71" s="84"/>
      <c r="E71" s="81" t="str">
        <f>IF(B71="","",VLOOKUP(B71,'DATA (2)'!$F$11:$K$1671,5,FALSE))</f>
        <v>PC</v>
      </c>
      <c r="F71" s="89"/>
      <c r="G71" s="89"/>
      <c r="H71" s="89"/>
      <c r="I71" s="82">
        <f>IF(B71="","",SUMIF(Data!H70:H3681,B71,Data!AH70:AH3681))</f>
        <v>0</v>
      </c>
      <c r="J71" s="82">
        <f>IF(B71="","",SUMIF(Data!H70:H1681,B71,Data!AG70:AG1681))</f>
        <v>0</v>
      </c>
      <c r="K71" s="85">
        <f t="shared" si="1"/>
        <v>0</v>
      </c>
    </row>
    <row r="72" spans="1:11" ht="15">
      <c r="A72" s="79" t="str">
        <f>IF(B72="","",VLOOKUP(B72,Data!$H$3:$P$1079,9,FALSE))</f>
        <v>FEC-FS</v>
      </c>
      <c r="B72" s="78" t="str">
        <v>R179S635-FEC</v>
      </c>
      <c r="C72" s="80" t="str">
        <f>IF(B72="","",VLOOKUP(B72,'DATA (2)'!$F$11:$K$6471,2,FALSE))</f>
        <v>HARD CARRY CASE</v>
      </c>
      <c r="D72" s="84"/>
      <c r="E72" s="81" t="str">
        <f>IF(B72="","",VLOOKUP(B72,'DATA (2)'!$F$11:$K$1671,5,FALSE))</f>
        <v>PC</v>
      </c>
      <c r="F72" s="89"/>
      <c r="G72" s="89"/>
      <c r="H72" s="89"/>
      <c r="I72" s="82">
        <f>IF(B72="","",SUMIF(Data!H71:H3682,B72,Data!AH71:AH3682))</f>
        <v>5</v>
      </c>
      <c r="J72" s="82">
        <f>IF(B72="","",SUMIF(Data!H71:H1682,B72,Data!AG71:AG1682))</f>
        <v>0</v>
      </c>
      <c r="K72" s="85">
        <f t="shared" si="1"/>
        <v>5</v>
      </c>
    </row>
    <row r="73" spans="1:11" ht="15">
      <c r="A73" s="79" t="str">
        <f>IF(B73="","",VLOOKUP(B73,Data!$H$3:$P$1079,9,FALSE))</f>
        <v>FEC-FS</v>
      </c>
      <c r="B73" s="78" t="str">
        <v>RNJFS161-FEC</v>
      </c>
      <c r="C73" s="80" t="str">
        <f>IF(B73="","",VLOOKUP(B73,'DATA (2)'!$F$11:$K$6471,2,FALSE))</f>
        <v>ELECTRODE</v>
      </c>
      <c r="D73" s="84"/>
      <c r="E73" s="81" t="str">
        <f>IF(B73="","",VLOOKUP(B73,'DATA (2)'!$F$11:$K$1671,5,FALSE))</f>
        <v>PC</v>
      </c>
      <c r="F73" s="89"/>
      <c r="G73" s="89"/>
      <c r="H73" s="89"/>
      <c r="I73" s="82">
        <f>IF(B73="","",SUMIF(Data!H72:H3683,B73,Data!AH72:AH3683))</f>
        <v>2</v>
      </c>
      <c r="J73" s="82">
        <f>IF(B73="","",SUMIF(Data!H72:H1683,B73,Data!AG72:AG1683))</f>
        <v>0</v>
      </c>
      <c r="K73" s="85">
        <f t="shared" si="1"/>
        <v>2</v>
      </c>
    </row>
    <row r="74" spans="1:11" ht="15">
      <c r="A74" s="79" t="str">
        <f>IF(B74="","",VLOOKUP(B74,Data!$H$3:$P$1079,9,FALSE))</f>
        <v>FEC-FS</v>
      </c>
      <c r="B74" s="78" t="str">
        <v>FS526</v>
      </c>
      <c r="C74" s="80" t="str">
        <f>IF(B74="","",VLOOKUP(B74,'DATA (2)'!$F$11:$K$6471,2,FALSE))</f>
        <v>SUB CASE</v>
      </c>
      <c r="D74" s="84"/>
      <c r="E74" s="81" t="str">
        <f>IF(B74="","",VLOOKUP(B74,'DATA (2)'!$F$11:$K$1671,5,FALSE))</f>
        <v>PC</v>
      </c>
      <c r="F74" s="89"/>
      <c r="G74" s="89"/>
      <c r="H74" s="89"/>
      <c r="I74" s="82">
        <f>IF(B74="","",SUMIF(Data!H73:H3684,B74,Data!AH73:AH3684))</f>
        <v>2</v>
      </c>
      <c r="J74" s="82">
        <f>IF(B74="","",SUMIF(Data!H73:H1684,B74,Data!AG73:AG1684))</f>
        <v>0</v>
      </c>
      <c r="K74" s="85">
        <f t="shared" si="1"/>
        <v>2</v>
      </c>
    </row>
    <row r="75" spans="1:11" ht="15">
      <c r="A75" s="79" t="str">
        <f>IF(B75="","",VLOOKUP(B75,Data!$H$3:$P$1079,9,FALSE))</f>
        <v>FEC-FS</v>
      </c>
      <c r="B75" s="78" t="str">
        <v>FS530</v>
      </c>
      <c r="C75" s="80" t="str">
        <f>IF(B75="","",VLOOKUP(B75,'DATA (2)'!$F$11:$K$6471,2,FALSE))</f>
        <v>PLASTIC COVER</v>
      </c>
      <c r="D75" s="84"/>
      <c r="E75" s="81" t="str">
        <f>IF(B75="","",VLOOKUP(B75,'DATA (2)'!$F$11:$K$1671,5,FALSE))</f>
        <v>PC</v>
      </c>
      <c r="F75" s="89"/>
      <c r="G75" s="89"/>
      <c r="H75" s="89"/>
      <c r="I75" s="82">
        <f>IF(B75="","",SUMIF(Data!H74:H3685,B75,Data!AH74:AH3685))</f>
        <v>201</v>
      </c>
      <c r="J75" s="82">
        <f>IF(B75="","",SUMIF(Data!H74:H1685,B75,Data!AG74:AG1685))</f>
        <v>0</v>
      </c>
      <c r="K75" s="85">
        <f t="shared" si="1"/>
        <v>201</v>
      </c>
    </row>
    <row r="76" spans="1:11" ht="15">
      <c r="A76" s="79" t="str">
        <f>IF(B76="","",VLOOKUP(B76,Data!$H$3:$P$1079,9,FALSE))</f>
        <v>SDSE(SAITAMA)</v>
      </c>
      <c r="B76" s="78" t="str">
        <v>B016</v>
      </c>
      <c r="C76" s="80" t="str">
        <f>IF(B76="","",VLOOKUP(B76,'DATA (2)'!$F$11:$K$6471,2,FALSE))</f>
        <v>UPPER CASE</v>
      </c>
      <c r="D76" s="84"/>
      <c r="E76" s="81" t="str">
        <f>IF(B76="","",VLOOKUP(B76,'DATA (2)'!$F$11:$K$1671,5,FALSE))</f>
        <v>PC</v>
      </c>
      <c r="F76" s="89"/>
      <c r="G76" s="89"/>
      <c r="H76" s="89"/>
      <c r="I76" s="82">
        <f>IF(B76="","",SUMIF(Data!H75:H3686,B76,Data!AH75:AH3686))</f>
        <v>2</v>
      </c>
      <c r="J76" s="82">
        <f>IF(B76="","",SUMIF(Data!H75:H1686,B76,Data!AG75:AG1686))</f>
        <v>0</v>
      </c>
      <c r="K76" s="85">
        <f t="shared" si="1"/>
        <v>2</v>
      </c>
    </row>
    <row r="77" spans="1:11" ht="15">
      <c r="A77" s="79" t="str">
        <f>IF(B77="","",VLOOKUP(B77,Data!$H$3:$P$1079,9,FALSE))</f>
        <v>FOCI</v>
      </c>
      <c r="B77" s="78" t="str">
        <v>RKNAI052-FOC</v>
      </c>
      <c r="C77" s="80" t="str">
        <f>IF(B77="","",VLOOKUP(B77,'DATA (2)'!$F$11:$K$6471,2,FALSE))</f>
        <v>SPLITTER</v>
      </c>
      <c r="D77" s="84"/>
      <c r="E77" s="81" t="str">
        <f>IF(B77="","",VLOOKUP(B77,'DATA (2)'!$F$11:$K$1671,5,FALSE))</f>
        <v>PC</v>
      </c>
      <c r="F77" s="89"/>
      <c r="G77" s="89"/>
      <c r="H77" s="89"/>
      <c r="I77" s="82">
        <f>IF(B77="","",SUMIF(Data!H76:H3687,B77,Data!AH76:AH3687))</f>
        <v>0</v>
      </c>
      <c r="J77" s="82">
        <f>IF(B77="","",SUMIF(Data!H76:H1687,B77,Data!AG76:AG1687))</f>
        <v>0</v>
      </c>
      <c r="K77" s="85">
        <f t="shared" si="1"/>
        <v>0</v>
      </c>
    </row>
    <row r="78" spans="1:11" ht="15">
      <c r="A78" s="79" t="str">
        <f>IF(B78="","",VLOOKUP(B78,Data!$H$3:$P$1079,9,FALSE))</f>
        <v>FURUKAWA SHANGHAI</v>
      </c>
      <c r="B78" s="78" t="str">
        <v>R712S003-FSL</v>
      </c>
      <c r="C78" s="80" t="str">
        <f>IF(B78="","",VLOOKUP(B78,'DATA (2)'!$F$11:$K$6471,2,FALSE))</f>
        <v>S712S-SDD-FL COVER</v>
      </c>
      <c r="D78" s="84"/>
      <c r="E78" s="81" t="str">
        <f>IF(B78="","",VLOOKUP(B78,'DATA (2)'!$F$11:$K$1671,5,FALSE))</f>
        <v>PC</v>
      </c>
      <c r="F78" s="89"/>
      <c r="G78" s="89"/>
      <c r="H78" s="89"/>
      <c r="I78" s="82">
        <f>IF(B78="","",SUMIF(Data!H77:H3688,B78,Data!AH77:AH3688))</f>
        <v>0</v>
      </c>
      <c r="J78" s="82">
        <f>IF(B78="","",SUMIF(Data!H77:H1688,B78,Data!AG77:AG1688))</f>
        <v>0</v>
      </c>
      <c r="K78" s="85">
        <f t="shared" si="1"/>
        <v>0</v>
      </c>
    </row>
    <row r="79" spans="1:11" ht="15">
      <c r="A79" s="79" t="str">
        <f>IF(B79="","",VLOOKUP(B79,Data!$H$3:$P$1079,9,FALSE))</f>
        <v>FURUKAWA SHANGHAI</v>
      </c>
      <c r="B79" t="str">
        <v>R712S004-FSL</v>
      </c>
      <c r="C79" s="80" t="str">
        <f>IF(B79="","",VLOOKUP(B79,'DATA (2)'!$F$11:$K$6471,2,FALSE))</f>
        <v>S712S-SDD-FR COVER</v>
      </c>
      <c r="D79" s="84"/>
      <c r="E79" s="81" t="str">
        <f>IF(B79="","",VLOOKUP(B79,'DATA (2)'!$F$11:$K$1671,5,FALSE))</f>
        <v>PC</v>
      </c>
      <c r="F79" s="89"/>
      <c r="G79" s="89"/>
      <c r="H79" s="89"/>
      <c r="I79" s="82">
        <f>IF(B79="","",SUMIF(Data!H78:H3689,B79,Data!AH78:AH3689))</f>
        <v>0</v>
      </c>
      <c r="J79" s="82">
        <f>IF(B79="","",SUMIF(Data!H78:H1689,B79,Data!AG78:AG1689))</f>
        <v>0</v>
      </c>
      <c r="K79" s="85">
        <f t="shared" si="1"/>
        <v>0</v>
      </c>
    </row>
    <row r="80" spans="1:11" ht="15">
      <c r="A80" s="79" t="str">
        <f>IF(B80="","",VLOOKUP(B80,Data!$H$3:$P$1079,9,FALSE))</f>
        <v>FURUKAWA SHANGHAI</v>
      </c>
      <c r="B80" t="str">
        <v>R712S005-FSL</v>
      </c>
      <c r="C80" s="80" t="str">
        <f>IF(B80="","",VLOOKUP(B80,'DATA (2)'!$F$11:$K$6471,2,FALSE))</f>
        <v>S712S-SDD-BL COVER</v>
      </c>
      <c r="D80" s="84"/>
      <c r="E80" s="81" t="str">
        <f>IF(B80="","",VLOOKUP(B80,'DATA (2)'!$F$11:$K$1671,5,FALSE))</f>
        <v>PC</v>
      </c>
      <c r="F80" s="89"/>
      <c r="G80" s="89"/>
      <c r="H80" s="89"/>
      <c r="I80" s="82">
        <f>IF(B80="","",SUMIF(Data!H79:H3690,B80,Data!AH79:AH3690))</f>
        <v>0</v>
      </c>
      <c r="J80" s="82">
        <f>IF(B80="","",SUMIF(Data!H79:H1690,B80,Data!AG79:AG1690))</f>
        <v>0</v>
      </c>
      <c r="K80" s="85">
        <f t="shared" si="1"/>
        <v>0</v>
      </c>
    </row>
    <row r="81" spans="1:11" ht="15">
      <c r="A81" s="79" t="str">
        <f>IF(B81="","",VLOOKUP(B81,Data!$H$3:$P$1079,9,FALSE))</f>
        <v>FURUKAWA SHANGHAI</v>
      </c>
      <c r="B81" t="str">
        <v>R712S006-FSL</v>
      </c>
      <c r="C81" s="80" t="str">
        <f>IF(B81="","",VLOOKUP(B81,'DATA (2)'!$F$11:$K$6471,2,FALSE))</f>
        <v>S712S-SDD-BR COVER</v>
      </c>
      <c r="D81" s="84"/>
      <c r="E81" s="81" t="str">
        <f>IF(B81="","",VLOOKUP(B81,'DATA (2)'!$F$11:$K$1671,5,FALSE))</f>
        <v>PC</v>
      </c>
      <c r="F81" s="89"/>
      <c r="G81" s="89"/>
      <c r="H81" s="89"/>
      <c r="I81" s="82">
        <f>IF(B81="","",SUMIF(Data!H80:H3691,B81,Data!AH80:AH3691))</f>
        <v>0</v>
      </c>
      <c r="J81" s="82">
        <f>IF(B81="","",SUMIF(Data!H80:H1691,B81,Data!AG80:AG1691))</f>
        <v>0</v>
      </c>
      <c r="K81" s="85">
        <f t="shared" si="1"/>
        <v>0</v>
      </c>
    </row>
    <row r="82" spans="1:11" ht="15">
      <c r="A82" s="79" t="str">
        <f>IF(B82="","",VLOOKUP(B82,Data!$H$3:$P$1079,9,FALSE))</f>
        <v>FEC-FL</v>
      </c>
      <c r="B82" t="str">
        <v>RFLFE158-FEC</v>
      </c>
      <c r="C82" s="80" t="str">
        <f>IF(B82="","",VLOOKUP(B82,'DATA (2)'!$F$11:$K$6471,2,FALSE))</f>
        <v>HARNESS</v>
      </c>
      <c r="D82" s="84"/>
      <c r="E82" s="81" t="str">
        <f>IF(B82="","",VLOOKUP(B82,'DATA (2)'!$F$11:$K$1671,5,FALSE))</f>
        <v>PC</v>
      </c>
      <c r="F82" s="89"/>
      <c r="G82" s="89"/>
      <c r="H82" s="89"/>
      <c r="I82" s="82">
        <f>IF(B82="","",SUMIF(Data!H81:H3692,B82,Data!AH81:AH3692))</f>
        <v>200</v>
      </c>
      <c r="J82" s="82">
        <f>IF(B82="","",SUMIF(Data!H81:H1692,B82,Data!AG81:AG1692))</f>
        <v>0</v>
      </c>
      <c r="K82" s="85">
        <f t="shared" si="1"/>
        <v>200</v>
      </c>
    </row>
    <row r="83" spans="1:11" ht="15">
      <c r="A83" s="79" t="str">
        <f>IF(B83="","",VLOOKUP(B83,Data!$H$3:$P$1079,9,FALSE))</f>
        <v>FEC-FL</v>
      </c>
      <c r="B83" t="str">
        <v>RFLFE159-FEC</v>
      </c>
      <c r="C83" s="80" t="str">
        <f>IF(B83="","",VLOOKUP(B83,'DATA (2)'!$F$11:$K$6471,2,FALSE))</f>
        <v>HARNESS</v>
      </c>
      <c r="D83" s="84"/>
      <c r="E83" s="81" t="str">
        <f>IF(B83="","",VLOOKUP(B83,'DATA (2)'!$F$11:$K$1671,5,FALSE))</f>
        <v>PC</v>
      </c>
      <c r="F83" s="89"/>
      <c r="G83" s="89"/>
      <c r="H83" s="89"/>
      <c r="I83" s="82">
        <f>IF(B83="","",SUMIF(Data!H82:H3693,B83,Data!AH82:AH3693))</f>
        <v>2</v>
      </c>
      <c r="J83" s="82">
        <f>IF(B83="","",SUMIF(Data!H82:H1693,B83,Data!AG82:AG1693))</f>
        <v>0</v>
      </c>
      <c r="K83" s="85">
        <f t="shared" si="1"/>
        <v>2</v>
      </c>
    </row>
    <row r="84" spans="1:11" ht="15">
      <c r="A84" s="79" t="str">
        <f>IF(B84="","",VLOOKUP(B84,Data!$H$3:$P$1079,9,FALSE))</f>
        <v>FEC-FL</v>
      </c>
      <c r="B84" t="str">
        <v>RFLFE169-FEC</v>
      </c>
      <c r="C84" s="80" t="str">
        <f>IF(B84="","",VLOOKUP(B84,'DATA (2)'!$F$11:$K$6471,2,FALSE))</f>
        <v>HARNESS</v>
      </c>
      <c r="D84" s="84"/>
      <c r="E84" s="81" t="str">
        <f>IF(B84="","",VLOOKUP(B84,'DATA (2)'!$F$11:$K$1671,5,FALSE))</f>
        <v>PC</v>
      </c>
      <c r="F84" s="89"/>
      <c r="G84" s="89"/>
      <c r="H84" s="89"/>
      <c r="I84" s="82">
        <f>IF(B84="","",SUMIF(Data!H83:H3694,B84,Data!AH83:AH3694))</f>
        <v>2</v>
      </c>
      <c r="J84" s="82">
        <f>IF(B84="","",SUMIF(Data!H83:H1694,B84,Data!AG83:AG1694))</f>
        <v>0</v>
      </c>
      <c r="K84" s="85">
        <f t="shared" si="1"/>
        <v>2</v>
      </c>
    </row>
    <row r="85" spans="1:11" ht="15">
      <c r="A85" s="79" t="str">
        <f>IF(B85="","",VLOOKUP(B85,Data!$H$3:$P$1079,9,FALSE))</f>
        <v>FEC-FL</v>
      </c>
      <c r="B85" t="str">
        <v>RFLFE168-FEC</v>
      </c>
      <c r="C85" s="80" t="str">
        <f>IF(B85="","",VLOOKUP(B85,'DATA (2)'!$F$11:$K$6471,2,FALSE))</f>
        <v>HARNESS</v>
      </c>
      <c r="D85" s="84"/>
      <c r="E85" s="81" t="str">
        <f>IF(B85="","",VLOOKUP(B85,'DATA (2)'!$F$11:$K$1671,5,FALSE))</f>
        <v>PC</v>
      </c>
      <c r="F85" s="89"/>
      <c r="G85" s="89"/>
      <c r="H85" s="89"/>
      <c r="I85" s="82">
        <f>IF(B85="","",SUMIF(Data!H84:H3695,B85,Data!AH84:AH3695))</f>
        <v>2</v>
      </c>
      <c r="J85" s="82">
        <f>IF(B85="","",SUMIF(Data!H84:H1695,B85,Data!AG84:AG1695))</f>
        <v>0</v>
      </c>
      <c r="K85" s="85">
        <f t="shared" si="1"/>
        <v>2</v>
      </c>
    </row>
    <row r="86" spans="1:11" ht="15">
      <c r="A86" s="79" t="str">
        <f>IF(B86="","",VLOOKUP(B86,Data!$H$3:$P$1079,9,FALSE))</f>
        <v>FEC-FL</v>
      </c>
      <c r="B86" t="str">
        <v>RFLFE167-FEC</v>
      </c>
      <c r="C86" s="80" t="str">
        <f>IF(B86="","",VLOOKUP(B86,'DATA (2)'!$F$11:$K$6471,2,FALSE))</f>
        <v>HARNESS</v>
      </c>
      <c r="D86" s="84"/>
      <c r="E86" s="81" t="str">
        <f>IF(B86="","",VLOOKUP(B86,'DATA (2)'!$F$11:$K$1671,5,FALSE))</f>
        <v>PC</v>
      </c>
      <c r="F86" s="89"/>
      <c r="G86" s="89"/>
      <c r="H86" s="89"/>
      <c r="I86" s="82">
        <f>IF(B86="","",SUMIF(Data!H85:H3696,B86,Data!AH85:AH3696))</f>
        <v>2</v>
      </c>
      <c r="J86" s="82">
        <f>IF(B86="","",SUMIF(Data!H85:H1696,B86,Data!AG85:AG1696))</f>
        <v>0</v>
      </c>
      <c r="K86" s="85">
        <f t="shared" si="1"/>
        <v>2</v>
      </c>
    </row>
    <row r="87" spans="1:11" ht="15">
      <c r="A87" s="79" t="str">
        <f>IF(B87="","",VLOOKUP(B87,Data!$H$3:$P$1079,9,FALSE))</f>
        <v>FEC-FL</v>
      </c>
      <c r="B87" t="str">
        <v>RFLFE163-FEC</v>
      </c>
      <c r="C87" s="80" t="str">
        <f>IF(B87="","",VLOOKUP(B87,'DATA (2)'!$F$11:$K$6471,2,FALSE))</f>
        <v>HARNESS</v>
      </c>
      <c r="D87" s="84"/>
      <c r="E87" s="81" t="str">
        <f>IF(B87="","",VLOOKUP(B87,'DATA (2)'!$F$11:$K$1671,5,FALSE))</f>
        <v>PC</v>
      </c>
      <c r="F87" s="89"/>
      <c r="G87" s="89"/>
      <c r="H87" s="89"/>
      <c r="I87" s="82">
        <f>IF(B87="","",SUMIF(Data!H86:H3697,B87,Data!AH86:AH3697))</f>
        <v>2</v>
      </c>
      <c r="J87" s="82">
        <f>IF(B87="","",SUMIF(Data!H86:H1697,B87,Data!AG86:AG1697))</f>
        <v>0</v>
      </c>
      <c r="K87" s="85">
        <f t="shared" si="1"/>
        <v>2</v>
      </c>
    </row>
    <row r="88" spans="1:11" ht="15">
      <c r="A88" s="79" t="str">
        <f>IF(B88="","",VLOOKUP(B88,Data!$H$3:$P$1079,9,FALSE))</f>
        <v>FEC-FL</v>
      </c>
      <c r="B88" t="str">
        <v>RFLFE164-FEC</v>
      </c>
      <c r="C88" s="80" t="str">
        <f>IF(B88="","",VLOOKUP(B88,'DATA (2)'!$F$11:$K$6471,2,FALSE))</f>
        <v>HARNESS</v>
      </c>
      <c r="D88" s="84"/>
      <c r="E88" s="81" t="str">
        <f>IF(B88="","",VLOOKUP(B88,'DATA (2)'!$F$11:$K$1671,5,FALSE))</f>
        <v>PC</v>
      </c>
      <c r="F88" s="89"/>
      <c r="G88" s="89"/>
      <c r="H88" s="89"/>
      <c r="I88" s="82">
        <f>IF(B88="","",SUMIF(Data!H87:H3698,B88,Data!AH87:AH3698))</f>
        <v>2</v>
      </c>
      <c r="J88" s="82">
        <f>IF(B88="","",SUMIF(Data!H87:H1698,B88,Data!AG87:AG1698))</f>
        <v>0</v>
      </c>
      <c r="K88" s="85">
        <f t="shared" si="1"/>
        <v>2</v>
      </c>
    </row>
    <row r="89" spans="1:11" ht="15">
      <c r="A89" s="79" t="str">
        <f>IF(B89="","",VLOOKUP(B89,Data!$H$3:$P$1079,9,FALSE))</f>
        <v>FEC-FL</v>
      </c>
      <c r="B89" t="str">
        <v>RFLFE166-FEC</v>
      </c>
      <c r="C89" s="80" t="str">
        <f>IF(B89="","",VLOOKUP(B89,'DATA (2)'!$F$11:$K$6471,2,FALSE))</f>
        <v>HARNESS</v>
      </c>
      <c r="D89" s="84"/>
      <c r="E89" s="81" t="str">
        <f>IF(B89="","",VLOOKUP(B89,'DATA (2)'!$F$11:$K$1671,5,FALSE))</f>
        <v>PC</v>
      </c>
      <c r="F89" s="89"/>
      <c r="G89" s="89"/>
      <c r="H89" s="89"/>
      <c r="I89" s="82">
        <f>IF(B89="","",SUMIF(Data!H88:H3699,B89,Data!AH88:AH3699))</f>
        <v>2</v>
      </c>
      <c r="J89" s="82">
        <f>IF(B89="","",SUMIF(Data!H88:H1699,B89,Data!AG88:AG1699))</f>
        <v>0</v>
      </c>
      <c r="K89" s="85">
        <f t="shared" si="1"/>
        <v>2</v>
      </c>
    </row>
    <row r="90" spans="1:11" ht="15">
      <c r="A90" s="79" t="str">
        <f>IF(B90="","",VLOOKUP(B90,Data!$H$3:$P$1079,9,FALSE))</f>
        <v>FEC-FL</v>
      </c>
      <c r="B90" t="str">
        <v>RFLSD173-FEC</v>
      </c>
      <c r="C90" s="80" t="str">
        <f>IF(B90="","",VLOOKUP(B90,'DATA (2)'!$F$11:$K$6471,2,FALSE))</f>
        <v>ALUMINIUM HEATSINK</v>
      </c>
      <c r="D90" s="84"/>
      <c r="E90" s="81" t="str">
        <f>IF(B90="","",VLOOKUP(B90,'DATA (2)'!$F$11:$K$1671,5,FALSE))</f>
        <v>PC</v>
      </c>
      <c r="F90" s="89"/>
      <c r="G90" s="89"/>
      <c r="H90" s="89"/>
      <c r="I90" s="82">
        <f>IF(B90="","",SUMIF(Data!H89:H3700,B90,Data!AH89:AH3700))</f>
        <v>0</v>
      </c>
      <c r="J90" s="82">
        <f>IF(B90="","",SUMIF(Data!H89:H1700,B90,Data!AG89:AG1700))</f>
        <v>0</v>
      </c>
      <c r="K90" s="85">
        <f t="shared" si="1"/>
        <v>0</v>
      </c>
    </row>
    <row r="91" spans="1:11" ht="15">
      <c r="A91" s="79" t="str">
        <f>IF(B91="","",VLOOKUP(B91,Data!$H$3:$P$1079,9,FALSE))</f>
        <v>PALTEK</v>
      </c>
      <c r="B91" t="str">
        <v>RS001001-PAL</v>
      </c>
      <c r="C91" s="80" t="str">
        <f>IF(B91="","",VLOOKUP(B91,'DATA (2)'!$F$11:$K$6471,2,FALSE))</f>
        <v>PCB ASSEMBLY</v>
      </c>
      <c r="D91" s="84"/>
      <c r="E91" s="81" t="str">
        <f>IF(B91="","",VLOOKUP(B91,'DATA (2)'!$F$11:$K$1671,5,FALSE))</f>
        <v>PC</v>
      </c>
      <c r="F91" s="89"/>
      <c r="G91" s="89"/>
      <c r="H91" s="89"/>
      <c r="I91" s="82">
        <f>IF(B91="","",SUMIF(Data!H90:H3701,B91,Data!AH90:AH3701))</f>
        <v>2</v>
      </c>
      <c r="J91" s="82">
        <f>IF(B91="","",SUMIF(Data!H90:H1701,B91,Data!AG90:AG1701))</f>
        <v>0</v>
      </c>
      <c r="K91" s="85">
        <f t="shared" si="1"/>
        <v>2</v>
      </c>
    </row>
    <row r="92" spans="1:11" ht="15">
      <c r="A92" s="79" t="str">
        <f>IF(B92="","",VLOOKUP(B92,Data!$H$3:$P$1079,9,FALSE))</f>
        <v>SDSE(SAITAMA)</v>
      </c>
      <c r="B92" t="str">
        <v>SP047</v>
      </c>
      <c r="C92" s="80" t="str">
        <f>IF(B92="","",VLOOKUP(B92,'DATA (2)'!$F$11:$K$6471,2,FALSE))</f>
        <v>BOTTOM CASE</v>
      </c>
      <c r="D92" s="84"/>
      <c r="E92" s="81" t="str">
        <f>IF(B92="","",VLOOKUP(B92,'DATA (2)'!$F$11:$K$1671,5,FALSE))</f>
        <v>PC</v>
      </c>
      <c r="F92" s="89"/>
      <c r="G92" s="89"/>
      <c r="H92" s="89"/>
      <c r="I92" s="82">
        <f>IF(B92="","",SUMIF(Data!H91:H3702,B92,Data!AH91:AH3702))</f>
        <v>1</v>
      </c>
      <c r="J92" s="82">
        <f>IF(B92="","",SUMIF(Data!H91:H1702,B92,Data!AG91:AG1702))</f>
        <v>0</v>
      </c>
      <c r="K92" s="85">
        <f t="shared" si="1"/>
        <v>1</v>
      </c>
    </row>
    <row r="93" spans="1:11" ht="15">
      <c r="A93" s="79" t="str">
        <f>IF(B93="","",VLOOKUP(B93,Data!$H$3:$P$1079,9,FALSE))</f>
        <v>FEC-OC</v>
      </c>
      <c r="B93" t="str">
        <v>R1904029-FEC</v>
      </c>
      <c r="C93" s="80" t="str">
        <f>IF(B93="","",VLOOKUP(B93,'DATA (2)'!$F$11:$K$6471,2,FALSE))</f>
        <v>FIBER ASSEMBLY</v>
      </c>
      <c r="D93" s="84"/>
      <c r="E93" s="81" t="str">
        <f>IF(B93="","",VLOOKUP(B93,'DATA (2)'!$F$11:$K$1671,5,FALSE))</f>
        <v>PC</v>
      </c>
      <c r="F93" s="89"/>
      <c r="G93" s="89"/>
      <c r="H93" s="89"/>
      <c r="I93" s="82">
        <f>IF(B93="","",SUMIF(Data!H92:H3703,B93,Data!AH92:AH3703))</f>
        <v>3152</v>
      </c>
      <c r="J93" s="82">
        <f>IF(B93="","",SUMIF(Data!H92:H1703,B93,Data!AG92:AG1703))</f>
        <v>113</v>
      </c>
      <c r="K93" s="85">
        <f t="shared" si="1"/>
        <v>3265</v>
      </c>
    </row>
    <row r="94" spans="1:11" ht="15">
      <c r="A94" s="79" t="str">
        <f>IF(B94="","",VLOOKUP(B94,Data!$H$3:$P$1079,9,FALSE))</f>
        <v>FEC-FS</v>
      </c>
      <c r="B94" t="str">
        <v>RS251002-FEC</v>
      </c>
      <c r="C94" s="80" t="str">
        <f>IF(B94="","",VLOOKUP(B94,'DATA (2)'!$F$11:$K$6471,2,FALSE))</f>
        <v>HEAT SINK</v>
      </c>
      <c r="D94" s="84"/>
      <c r="E94" s="81" t="str">
        <f>IF(B94="","",VLOOKUP(B94,'DATA (2)'!$F$11:$K$1671,5,FALSE))</f>
        <v>PC</v>
      </c>
      <c r="F94" s="89"/>
      <c r="G94" s="89"/>
      <c r="H94" s="89"/>
      <c r="I94" s="82">
        <f>IF(B94="","",SUMIF(Data!H93:H3704,B94,Data!AH93:AH3704))</f>
        <v>0</v>
      </c>
      <c r="J94" s="82">
        <f>IF(B94="","",SUMIF(Data!H93:H1704,B94,Data!AG93:AG1704))</f>
        <v>0</v>
      </c>
      <c r="K94" s="85">
        <f t="shared" si="1"/>
        <v>0</v>
      </c>
    </row>
    <row r="95" spans="1:11" ht="15">
      <c r="A95" s="79" t="str">
        <f>IF(B95="","",VLOOKUP(B95,Data!$H$3:$P$1079,9,FALSE))</f>
        <v>FEC-FS</v>
      </c>
      <c r="B95" t="str">
        <v>RSL00003-FEC</v>
      </c>
      <c r="C95" s="80" t="str">
        <f>IF(B95="","",VLOOKUP(B95,'DATA (2)'!$F$11:$K$6471,2,FALSE))</f>
        <v>COVER GLASS</v>
      </c>
      <c r="D95" s="84"/>
      <c r="E95" s="81" t="str">
        <f>IF(B95="","",VLOOKUP(B95,'DATA (2)'!$F$11:$K$1671,5,FALSE))</f>
        <v>PC</v>
      </c>
      <c r="F95" s="89"/>
      <c r="G95" s="89"/>
      <c r="H95" s="89"/>
      <c r="I95" s="82">
        <f>IF(B95="","",SUMIF(Data!H94:H3705,B95,Data!AH94:AH3705))</f>
        <v>47</v>
      </c>
      <c r="J95" s="82">
        <f>IF(B95="","",SUMIF(Data!H94:H1705,B95,Data!AG94:AG1705))</f>
        <v>0</v>
      </c>
      <c r="K95" s="85">
        <f t="shared" si="1"/>
        <v>47</v>
      </c>
    </row>
    <row r="96" spans="1:11" ht="15">
      <c r="A96" s="79" t="str">
        <f>IF(B96="","",VLOOKUP(B96,Data!$H$3:$P$1079,9,FALSE))</f>
        <v>FEC-FS</v>
      </c>
      <c r="B96" t="str">
        <v>RS251006-FEC</v>
      </c>
      <c r="C96" s="80" t="str">
        <f>IF(B96="","",VLOOKUP(B96,'DATA (2)'!$F$11:$K$6471,2,FALSE))</f>
        <v>SILICONE RUBBER</v>
      </c>
      <c r="D96" s="84"/>
      <c r="E96" s="81" t="str">
        <f>IF(B96="","",VLOOKUP(B96,'DATA (2)'!$F$11:$K$1671,5,FALSE))</f>
        <v>PC</v>
      </c>
      <c r="F96" s="89"/>
      <c r="G96" s="89"/>
      <c r="H96" s="89"/>
      <c r="I96" s="82">
        <f>IF(B96="","",SUMIF(Data!H95:H3706,B96,Data!AH95:AH3706))</f>
        <v>0</v>
      </c>
      <c r="J96" s="82">
        <f>IF(B96="","",SUMIF(Data!H95:H1706,B96,Data!AG95:AG1706))</f>
        <v>0</v>
      </c>
      <c r="K96" s="85">
        <f t="shared" si="1"/>
        <v>0</v>
      </c>
    </row>
    <row r="97" spans="1:11" ht="15">
      <c r="A97" s="79" t="str">
        <f>IF(B97="","",VLOOKUP(B97,Data!$H$3:$P$1079,9,FALSE))</f>
        <v>FEC-FL</v>
      </c>
      <c r="B97" t="str">
        <v>RFLSD133-FEC</v>
      </c>
      <c r="C97" s="80" t="str">
        <f>IF(B97="","",VLOOKUP(B97,'DATA (2)'!$F$11:$K$6471,2,FALSE))</f>
        <v>ALUMINIUM SUB BASE</v>
      </c>
      <c r="D97" s="84"/>
      <c r="E97" s="81" t="str">
        <f>IF(B97="","",VLOOKUP(B97,'DATA (2)'!$F$11:$K$1671,5,FALSE))</f>
        <v>PC</v>
      </c>
      <c r="F97" s="89"/>
      <c r="G97" s="89"/>
      <c r="H97" s="89"/>
      <c r="I97" s="82">
        <f>IF(B97="","",SUMIF(Data!H96:H3707,B97,Data!AH96:AH3707))</f>
        <v>0</v>
      </c>
      <c r="J97" s="82">
        <f>IF(B97="","",SUMIF(Data!H96:H1707,B97,Data!AG96:AG1707))</f>
        <v>0</v>
      </c>
      <c r="K97" s="85">
        <f t="shared" si="1"/>
        <v>0</v>
      </c>
    </row>
    <row r="98" spans="1:11" ht="15">
      <c r="A98" s="79" t="str">
        <f>IF(B98="","",VLOOKUP(B98,Data!$H$3:$P$1079,9,FALSE))</f>
        <v>FEC-FL</v>
      </c>
      <c r="B98" t="str">
        <v>RFLFE237-FEC</v>
      </c>
      <c r="C98" s="80" t="str">
        <f>IF(B98="","",VLOOKUP(B98,'DATA (2)'!$F$11:$K$6471,2,FALSE))</f>
        <v>PCB ASSEMBLY</v>
      </c>
      <c r="D98" s="84"/>
      <c r="E98" s="81" t="str">
        <f>IF(B98="","",VLOOKUP(B98,'DATA (2)'!$F$11:$K$1671,5,FALSE))</f>
        <v>PC</v>
      </c>
      <c r="F98" s="89"/>
      <c r="G98" s="89"/>
      <c r="H98" s="89"/>
      <c r="I98" s="82">
        <f>IF(B98="","",SUMIF(Data!H97:H3708,B98,Data!AH97:AH3708))</f>
        <v>2</v>
      </c>
      <c r="J98" s="82">
        <f>IF(B98="","",SUMIF(Data!H97:H1708,B98,Data!AG97:AG1708))</f>
        <v>0</v>
      </c>
      <c r="K98" s="85">
        <f t="shared" si="1"/>
        <v>2</v>
      </c>
    </row>
    <row r="99" spans="1:11" ht="15">
      <c r="A99" s="79" t="str">
        <f>IF(B99="","",VLOOKUP(B99,Data!$H$3:$P$1079,9,FALSE))</f>
        <v>FEC-OC</v>
      </c>
      <c r="B99" t="str">
        <v>RJN00023-FEC</v>
      </c>
      <c r="C99" s="80" t="str">
        <f>IF(B99="","",VLOOKUP(B99,'DATA (2)'!$F$11:$K$6471,2,FALSE))</f>
        <v>FIBER ASSEMBLY</v>
      </c>
      <c r="D99" s="84"/>
      <c r="E99" s="81" t="str">
        <f>IF(B99="","",VLOOKUP(B99,'DATA (2)'!$F$11:$K$1671,5,FALSE))</f>
        <v>PC</v>
      </c>
      <c r="F99" s="89"/>
      <c r="G99" s="89"/>
      <c r="H99" s="89"/>
      <c r="I99" s="82">
        <f>IF(B99="","",SUMIF(Data!H98:H3709,B99,Data!AH98:AH3709))</f>
        <v>753</v>
      </c>
      <c r="J99" s="82">
        <f>IF(B99="","",SUMIF(Data!H98:H1709,B99,Data!AG98:AG1709))</f>
        <v>0</v>
      </c>
      <c r="K99" s="85">
        <f t="shared" si="1"/>
        <v>753</v>
      </c>
    </row>
    <row r="100" spans="1:11" ht="15">
      <c r="A100" s="79" t="str">
        <f>IF(B100="","",VLOOKUP(B100,Data!$H$3:$P$1079,9,FALSE))</f>
        <v>FEC-OC(98MM)</v>
      </c>
      <c r="B100" t="str">
        <v>98MM040</v>
      </c>
      <c r="C100" s="80" t="str">
        <f>IF(B100="","",VLOOKUP(B100,'DATA (2)'!$F$11:$K$6471,2,FALSE))</f>
        <v>PACKAGE</v>
      </c>
      <c r="D100" s="84"/>
      <c r="E100" s="81" t="str">
        <f>IF(B100="","",VLOOKUP(B100,'DATA (2)'!$F$11:$K$1671,5,FALSE))</f>
        <v>PC</v>
      </c>
      <c r="F100" s="89"/>
      <c r="G100" s="89"/>
      <c r="H100" s="89"/>
      <c r="I100" s="82">
        <f>IF(B100="","",SUMIF(Data!H99:H3710,B100,Data!AH99:AH3710))</f>
        <v>51</v>
      </c>
      <c r="J100" s="82">
        <f>IF(B100="","",SUMIF(Data!H99:H1710,B100,Data!AG99:AG1710))</f>
        <v>0</v>
      </c>
      <c r="K100" s="85">
        <f t="shared" si="1"/>
        <v>51</v>
      </c>
    </row>
    <row r="101" spans="1:11" ht="15">
      <c r="A101" s="79" t="str">
        <f>IF(B101="","",VLOOKUP(B101,Data!$H$3:$P$1079,9,FALSE))</f>
        <v>FEC-OC</v>
      </c>
      <c r="B101" t="str">
        <v>R1904025-FEC</v>
      </c>
      <c r="C101" s="80" t="str">
        <f>IF(B101="","",VLOOKUP(B101,'DATA (2)'!$F$11:$K$6471,2,FALSE))</f>
        <v>FIBER ASSEMBLY</v>
      </c>
      <c r="D101" s="84"/>
      <c r="E101" s="81" t="str">
        <f>IF(B101="","",VLOOKUP(B101,'DATA (2)'!$F$11:$K$1671,5,FALSE))</f>
        <v>PC</v>
      </c>
      <c r="F101" s="89"/>
      <c r="G101" s="89"/>
      <c r="H101" s="89"/>
      <c r="I101" s="82">
        <f>IF(B101="","",SUMIF(Data!H100:H3711,B101,Data!AH100:AH3711))</f>
        <v>0</v>
      </c>
      <c r="J101" s="82">
        <f>IF(B101="","",SUMIF(Data!H100:H1711,B101,Data!AG100:AG1711))</f>
        <v>0</v>
      </c>
      <c r="K101" s="85">
        <f t="shared" si="1"/>
        <v>0</v>
      </c>
    </row>
    <row r="102" spans="1:11" ht="15">
      <c r="A102" s="79" t="str">
        <f>IF(B102="","",VLOOKUP(B102,Data!$H$3:$P$1079,9,FALSE))</f>
        <v>FEC-FS</v>
      </c>
      <c r="B102" t="str">
        <v>RNJFS173-FEC</v>
      </c>
      <c r="C102" s="80" t="str">
        <f>IF(B102="","",VLOOKUP(B102,'DATA (2)'!$F$11:$K$6471,2,FALSE))</f>
        <v>TOOL BAG</v>
      </c>
      <c r="D102" s="84"/>
      <c r="E102" s="81" t="str">
        <f>IF(B102="","",VLOOKUP(B102,'DATA (2)'!$F$11:$K$1671,5,FALSE))</f>
        <v>PC</v>
      </c>
      <c r="F102" s="89"/>
      <c r="G102" s="89"/>
      <c r="H102" s="89"/>
      <c r="I102" s="82">
        <f>IF(B102="","",SUMIF(Data!H101:H3712,B102,Data!AH101:AH3712))</f>
        <v>4</v>
      </c>
      <c r="J102" s="82">
        <f>IF(B102="","",SUMIF(Data!H101:H1712,B102,Data!AG101:AG1712))</f>
        <v>0</v>
      </c>
      <c r="K102" s="85">
        <f t="shared" si="1"/>
        <v>4</v>
      </c>
    </row>
    <row r="103" spans="1:11" ht="15">
      <c r="A103" s="79" t="str">
        <f>IF(B103="","",VLOOKUP(B103,Data!$H$3:$P$1079,9,FALSE))</f>
        <v>FEC-FS</v>
      </c>
      <c r="B103" t="str">
        <v>RSL00010-FEC</v>
      </c>
      <c r="C103" s="80" t="str">
        <f>IF(B103="","",VLOOKUP(B103,'DATA (2)'!$F$11:$K$6471,2,FALSE))</f>
        <v>GUIDE ARM</v>
      </c>
      <c r="D103" s="84"/>
      <c r="E103" s="81" t="str">
        <f>IF(B103="","",VLOOKUP(B103,'DATA (2)'!$F$11:$K$1671,5,FALSE))</f>
        <v>PC</v>
      </c>
      <c r="F103" s="89"/>
      <c r="G103" s="89"/>
      <c r="H103" s="89"/>
      <c r="I103" s="82">
        <f>IF(B103="","",SUMIF(Data!H102:H3713,B103,Data!AH102:AH3713))</f>
        <v>0</v>
      </c>
      <c r="J103" s="82">
        <f>IF(B103="","",SUMIF(Data!H102:H1713,B103,Data!AG102:AG1713))</f>
        <v>0</v>
      </c>
      <c r="K103" s="85">
        <f t="shared" si="1"/>
        <v>0</v>
      </c>
    </row>
    <row r="104" spans="1:11" ht="15">
      <c r="A104" s="79" t="str">
        <f>IF(B104="","",VLOOKUP(B104,Data!$H$3:$P$1079,9,FALSE))</f>
        <v>FEC-OC</v>
      </c>
      <c r="B104" t="str">
        <v>D79</v>
      </c>
      <c r="C104" s="80" t="str">
        <f>IF(B104="","",VLOOKUP(B104,'DATA (2)'!$F$11:$K$6471,2,FALSE))</f>
        <v xml:space="preserve">BONDING WIRE </v>
      </c>
      <c r="E104" s="81" t="str">
        <f>IF(B104="","",VLOOKUP(B104,'DATA (2)'!$F$11:$K$1671,5,FALSE))</f>
        <v>PC</v>
      </c>
      <c r="I104" s="82">
        <f>IF(B104="","",SUMIF(Data!H103:H3714,B104,Data!AH103:AH3714))</f>
        <v>0</v>
      </c>
      <c r="J104" s="82">
        <f>IF(B104="","",SUMIF(Data!H103:H1714,B104,Data!AG103:AG1714))</f>
        <v>0</v>
      </c>
      <c r="K104" s="85">
        <f t="shared" si="1"/>
        <v>0</v>
      </c>
    </row>
    <row r="105" spans="1:11" ht="15">
      <c r="A105" s="79" t="str">
        <f>IF(B105="","",VLOOKUP(B105,Data!$H$3:$P$1079,9,FALSE))</f>
        <v>OKANO</v>
      </c>
      <c r="B105" t="str">
        <v>RIDCA131-OKA</v>
      </c>
      <c r="C105" s="80" t="str">
        <f>IF(B105="","",VLOOKUP(B105,'DATA (2)'!$F$11:$K$6471,2,FALSE))</f>
        <v>TUBE</v>
      </c>
      <c r="E105" s="81" t="str">
        <f>IF(B105="","",VLOOKUP(B105,'DATA (2)'!$F$11:$K$1671,5,FALSE))</f>
        <v>ME</v>
      </c>
      <c r="I105" s="82">
        <f>IF(B105="","",SUMIF(Data!H104:H3715,B105,Data!AH104:AH3715))</f>
        <v>0</v>
      </c>
      <c r="J105" s="82">
        <f>IF(B105="","",SUMIF(Data!H104:H1715,B105,Data!AG104:AG1715))</f>
        <v>0</v>
      </c>
      <c r="K105" s="85">
        <f t="shared" si="1"/>
        <v>0</v>
      </c>
    </row>
    <row r="106" spans="1:11" ht="15">
      <c r="A106" s="79" t="str">
        <f>IF(B106="","",VLOOKUP(B106,Data!$H$3:$P$1079,9,FALSE))</f>
        <v>FEC-FS</v>
      </c>
      <c r="B106" t="str">
        <v>FS589</v>
      </c>
      <c r="C106" s="80" t="str">
        <f>IF(B106="","",VLOOKUP(B106,'DATA (2)'!$F$11:$K$6471,2,FALSE))</f>
        <v>BASE</v>
      </c>
      <c r="E106" s="81" t="str">
        <f>IF(B106="","",VLOOKUP(B106,'DATA (2)'!$F$11:$K$1671,5,FALSE))</f>
        <v>PC</v>
      </c>
      <c r="I106" s="82">
        <f>IF(B106="","",SUMIF(Data!H105:H3716,B106,Data!AH105:AH3716))</f>
        <v>15</v>
      </c>
      <c r="J106" s="82">
        <f>IF(B106="","",SUMIF(Data!H105:H1716,B106,Data!AG105:AG1716))</f>
        <v>0</v>
      </c>
      <c r="K106" s="85">
        <f t="shared" si="1"/>
        <v>15</v>
      </c>
    </row>
    <row r="107" spans="1:11" ht="15">
      <c r="A107" s="79" t="str">
        <f>IF(B107="","",VLOOKUP(B107,Data!$H$3:$P$1079,9,FALSE))</f>
        <v>FEC-OC(98MM)</v>
      </c>
      <c r="B107" t="str">
        <v>R98MM031-FEC</v>
      </c>
      <c r="C107" s="80" t="str">
        <f>IF(B107="","",VLOOKUP(B107,'DATA (2)'!$F$11:$K$6471,2,FALSE))</f>
        <v>COS</v>
      </c>
      <c r="E107" s="81" t="str">
        <f>IF(B107="","",VLOOKUP(B107,'DATA (2)'!$F$11:$K$1671,5,FALSE))</f>
        <v>PC</v>
      </c>
      <c r="I107" s="82">
        <f>IF(B107="","",SUMIF(Data!H106:H3717,B107,Data!AH106:AH3717))</f>
        <v>143</v>
      </c>
      <c r="J107" s="82">
        <f>IF(B107="","",SUMIF(Data!H106:H1717,B107,Data!AG106:AG1717))</f>
        <v>0</v>
      </c>
      <c r="K107" s="85">
        <f t="shared" si="1"/>
        <v>143</v>
      </c>
    </row>
    <row r="108" spans="1:11" ht="15">
      <c r="A108" s="79" t="str">
        <f>IF(B108="","",VLOOKUP(B108,Data!$H$3:$P$1079,9,FALSE))</f>
        <v>FEC-FL</v>
      </c>
      <c r="B108" t="str">
        <v>RFLFE238-FEC</v>
      </c>
      <c r="C108" s="80" t="str">
        <f>IF(B108="","",VLOOKUP(B108,'DATA (2)'!$F$11:$K$6471,2,FALSE))</f>
        <v>SUS SPACER</v>
      </c>
      <c r="E108" s="81" t="str">
        <f>IF(B108="","",VLOOKUP(B108,'DATA (2)'!$F$11:$K$1671,5,FALSE))</f>
        <v>PC</v>
      </c>
      <c r="I108" s="82">
        <f>IF(B108="","",SUMIF(Data!H107:H3718,B108,Data!AH107:AH3718))</f>
        <v>0</v>
      </c>
      <c r="J108" s="82">
        <f>IF(B108="","",SUMIF(Data!H107:H1718,B108,Data!AG107:AG1718))</f>
        <v>0</v>
      </c>
      <c r="K108" s="85">
        <f t="shared" si="1"/>
        <v>0</v>
      </c>
    </row>
    <row r="109" spans="1:11" ht="15">
      <c r="A109" s="79" t="str">
        <f>IF(B109="","",VLOOKUP(B109,Data!$H$3:$P$1079,9,FALSE))</f>
        <v>PALTEK</v>
      </c>
      <c r="B109" t="str">
        <v>R179S630-PAL</v>
      </c>
      <c r="C109" s="80" t="str">
        <f>IF(B109="","",VLOOKUP(B109,'DATA (2)'!$F$11:$K$6471,2,FALSE))</f>
        <v>PCB ASSEMBLY</v>
      </c>
      <c r="E109" s="81" t="str">
        <f>IF(B109="","",VLOOKUP(B109,'DATA (2)'!$F$11:$K$1671,5,FALSE))</f>
        <v>PC</v>
      </c>
      <c r="I109" s="82">
        <f>IF(B109="","",SUMIF(Data!H108:H3719,B109,Data!AH108:AH3719))</f>
        <v>1</v>
      </c>
      <c r="J109" s="82">
        <f>IF(B109="","",SUMIF(Data!H108:H1719,B109,Data!AG108:AG1719))</f>
        <v>0</v>
      </c>
      <c r="K109" s="85">
        <f t="shared" si="1"/>
        <v>1</v>
      </c>
    </row>
    <row r="110" spans="1:11" ht="15">
      <c r="A110" s="79" t="str">
        <f>IF(B110="","",VLOOKUP(B110,Data!$H$3:$P$1079,9,FALSE))</f>
        <v>FEC-OC</v>
      </c>
      <c r="B110" t="str">
        <v>FBT133M</v>
      </c>
      <c r="C110" s="80" t="str">
        <f>IF(B110="","",VLOOKUP(B110,'DATA (2)'!$F$11:$K$6471,2,FALSE))</f>
        <v>FIBER ASSEMBLY</v>
      </c>
      <c r="E110" s="81" t="str">
        <f>IF(B110="","",VLOOKUP(B110,'DATA (2)'!$F$11:$K$1671,5,FALSE))</f>
        <v>PC</v>
      </c>
      <c r="I110" s="82">
        <f>IF(B110="","",SUMIF(Data!H109:H3720,B110,Data!AH109:AH3720))</f>
        <v>1208</v>
      </c>
      <c r="J110" s="82">
        <f>IF(B110="","",SUMIF(Data!H109:H1720,B110,Data!AG109:AG1720))</f>
        <v>619</v>
      </c>
      <c r="K110" s="85">
        <f t="shared" si="1"/>
        <v>1827</v>
      </c>
    </row>
    <row r="111" spans="1:11" ht="15">
      <c r="A111" s="79" t="str">
        <f>IF(B111="","",VLOOKUP(B111,Data!$H$3:$P$1079,9,FALSE))</f>
        <v>FEC-OC</v>
      </c>
      <c r="B111" t="str">
        <v>R1904014-FEC</v>
      </c>
      <c r="C111" s="80" t="str">
        <f>IF(B111="","",VLOOKUP(B111,'DATA (2)'!$F$11:$K$6471,2,FALSE))</f>
        <v>FIBER ASSEMBLY</v>
      </c>
      <c r="E111" s="81" t="str">
        <f>IF(B111="","",VLOOKUP(B111,'DATA (2)'!$F$11:$K$1671,5,FALSE))</f>
        <v>PC</v>
      </c>
      <c r="I111" s="82">
        <f>IF(B111="","",SUMIF(Data!H110:H3721,B111,Data!AH110:AH3721))</f>
        <v>0</v>
      </c>
      <c r="J111" s="82">
        <f>IF(B111="","",SUMIF(Data!H110:H1721,B111,Data!AG110:AG1721))</f>
        <v>0</v>
      </c>
      <c r="K111" s="85">
        <f t="shared" si="1"/>
        <v>0</v>
      </c>
    </row>
    <row r="112" spans="1:11" ht="15">
      <c r="A112" s="79" t="str">
        <f>IF(B112="","",VLOOKUP(B112,Data!$H$3:$P$1079,9,FALSE))</f>
        <v>FFOS</v>
      </c>
      <c r="B112" t="str">
        <v>249-1</v>
      </c>
      <c r="C112" s="80" t="str">
        <f>IF(B112="","",VLOOKUP(B112,'DATA (2)'!$F$11:$K$6471,2,FALSE))</f>
        <v>COUPLER</v>
      </c>
      <c r="E112" s="81" t="str">
        <f>IF(B112="","",VLOOKUP(B112,'DATA (2)'!$F$11:$K$1671,5,FALSE))</f>
        <v>PC</v>
      </c>
      <c r="I112" s="82">
        <f>IF(B112="","",SUMIF(Data!H111:H3722,B112,Data!AH111:AH3722))</f>
        <v>0</v>
      </c>
      <c r="J112" s="82">
        <f>IF(B112="","",SUMIF(Data!H111:H1722,B112,Data!AG111:AG1722))</f>
        <v>0</v>
      </c>
      <c r="K112" s="85">
        <f t="shared" si="1"/>
        <v>0</v>
      </c>
    </row>
    <row r="113" spans="1:11" ht="15">
      <c r="A113" s="79" t="str">
        <f>IF(B113="","",VLOOKUP(B113,Data!$H$3:$P$1079,9,FALSE))</f>
        <v>FEC-FL</v>
      </c>
      <c r="B113" t="str">
        <v>RFLSD019-FEC</v>
      </c>
      <c r="C113" s="80" t="str">
        <f>IF(B113="","",VLOOKUP(B113,'DATA (2)'!$F$11:$K$6471,2,FALSE))</f>
        <v>ADAPTER</v>
      </c>
      <c r="E113" s="81" t="str">
        <f>IF(B113="","",VLOOKUP(B113,'DATA (2)'!$F$11:$K$1671,5,FALSE))</f>
        <v>PC</v>
      </c>
      <c r="I113" s="82">
        <f>IF(B113="","",SUMIF(Data!H112:H3723,B113,Data!AH112:AH3723))</f>
        <v>1</v>
      </c>
      <c r="J113" s="82">
        <f>IF(B113="","",SUMIF(Data!H112:H1723,B113,Data!AG112:AG1723))</f>
        <v>0</v>
      </c>
      <c r="K113" s="85">
        <f t="shared" si="1"/>
        <v>1</v>
      </c>
    </row>
    <row r="114" spans="1:11" ht="15">
      <c r="A114" s="79" t="str">
        <f>IF(B114="","",VLOOKUP(B114,Data!$H$3:$P$1079,9,FALSE))</f>
        <v>LIGHTERA DENMARK APS</v>
      </c>
      <c r="B114" t="str">
        <v>FL010</v>
      </c>
      <c r="C114" s="80" t="str">
        <f>IF(B114="","",VLOOKUP(B114,'DATA (2)'!$F$11:$K$6471,2,FALSE))</f>
        <v>DCT14-200HI, CERTIFIED FIBER</v>
      </c>
      <c r="E114" s="81" t="str">
        <f>IF(B114="","",VLOOKUP(B114,'DATA (2)'!$F$11:$K$1671,5,FALSE))</f>
        <v>PC</v>
      </c>
      <c r="I114" s="82">
        <f>IF(B114="","",SUMIF(Data!H113:H3724,B114,Data!AH113:AH3724))</f>
        <v>0</v>
      </c>
      <c r="J114" s="82">
        <f>IF(B114="","",SUMIF(Data!H113:H1724,B114,Data!AG113:AG1724))</f>
        <v>0</v>
      </c>
      <c r="K114" s="85">
        <f t="shared" si="1"/>
        <v>0</v>
      </c>
    </row>
    <row r="115" spans="1:11" ht="15">
      <c r="A115" s="79" t="str">
        <f>IF(B115="","",VLOOKUP(B115,Data!$H$3:$P$1079,9,FALSE))</f>
        <v>SDSE(SAITAMA)</v>
      </c>
      <c r="B115" t="str">
        <v>SP048</v>
      </c>
      <c r="C115" s="80" t="str">
        <f>IF(B115="","",VLOOKUP(B115,'DATA (2)'!$F$11:$K$6471,2,FALSE))</f>
        <v>PLASTIC COVER</v>
      </c>
      <c r="E115" s="81" t="str">
        <f>IF(B115="","",VLOOKUP(B115,'DATA (2)'!$F$11:$K$1671,5,FALSE))</f>
        <v>PC</v>
      </c>
      <c r="I115" s="82">
        <f>IF(B115="","",SUMIF(Data!H114:H3725,B115,Data!AH114:AH3725))</f>
        <v>1</v>
      </c>
      <c r="J115" s="82">
        <f>IF(B115="","",SUMIF(Data!H114:H1725,B115,Data!AG114:AG1725))</f>
        <v>0</v>
      </c>
      <c r="K115" s="85">
        <f t="shared" si="1"/>
        <v>1</v>
      </c>
    </row>
    <row r="116" spans="1:11" ht="15">
      <c r="A116" s="79" t="str">
        <f>IF(B116="","",VLOOKUP(B116,Data!$H$3:$P$1079,9,FALSE))</f>
        <v>FEC-FL</v>
      </c>
      <c r="B116" t="str">
        <v>RFLSD028-FEC</v>
      </c>
      <c r="C116" s="80" t="str">
        <f>IF(B116="","",VLOOKUP(B116,'DATA (2)'!$F$11:$K$6471,2,FALSE))</f>
        <v>SUS CHASSIS</v>
      </c>
      <c r="E116" s="81" t="str">
        <f>IF(B116="","",VLOOKUP(B116,'DATA (2)'!$F$11:$K$1671,5,FALSE))</f>
        <v>PC</v>
      </c>
      <c r="I116" s="82">
        <f>IF(B116="","",SUMIF(Data!H115:H3726,B116,Data!AH115:AH3726))</f>
        <v>1</v>
      </c>
      <c r="J116" s="82">
        <f>IF(B116="","",SUMIF(Data!H115:H1726,B116,Data!AG115:AG1726))</f>
        <v>0</v>
      </c>
      <c r="K116">
        <f t="shared" ref="K116:K148" si="2">IF(B116="","",I116+J116)</f>
        <v>1</v>
      </c>
    </row>
    <row r="117" spans="1:11" ht="15">
      <c r="A117" s="79" t="str">
        <f>IF(B117="","",VLOOKUP(B117,Data!$H$3:$P$1079,9,FALSE))</f>
        <v>FEC-FL</v>
      </c>
      <c r="B117" t="str">
        <v>RFLSD130-FEC</v>
      </c>
      <c r="C117" s="80" t="str">
        <f>IF(B117="","",VLOOKUP(B117,'DATA (2)'!$F$11:$K$6471,2,FALSE))</f>
        <v>SUS CHASSIS</v>
      </c>
      <c r="E117" s="81" t="str">
        <f>IF(B117="","",VLOOKUP(B117,'DATA (2)'!$F$11:$K$1671,5,FALSE))</f>
        <v>PC</v>
      </c>
      <c r="I117" s="82">
        <f>IF(B117="","",SUMIF(Data!H116:H3727,B117,Data!AH116:AH3727))</f>
        <v>1</v>
      </c>
      <c r="J117" s="82">
        <f>IF(B117="","",SUMIF(Data!H116:H1727,B117,Data!AG116:AG1727))</f>
        <v>0</v>
      </c>
      <c r="K117">
        <f t="shared" si="2"/>
        <v>1</v>
      </c>
    </row>
    <row r="118" spans="1:11" ht="15">
      <c r="A118" s="79" t="str">
        <f>IF(B118="","",VLOOKUP(B118,Data!$H$3:$P$1079,9,FALSE))</f>
        <v>FEC-FL</v>
      </c>
      <c r="B118" t="str">
        <v>RFLSD131-FEC</v>
      </c>
      <c r="C118" s="80" t="str">
        <f>IF(B118="","",VLOOKUP(B118,'DATA (2)'!$F$11:$K$6471,2,FALSE))</f>
        <v>ALUMINIUM LID</v>
      </c>
      <c r="E118" s="81" t="str">
        <f>IF(B118="","",VLOOKUP(B118,'DATA (2)'!$F$11:$K$1671,5,FALSE))</f>
        <v>PC</v>
      </c>
      <c r="I118" s="82">
        <f>IF(B118="","",SUMIF(Data!H117:H3728,B118,Data!AH117:AH3728))</f>
        <v>1</v>
      </c>
      <c r="J118" s="82">
        <f>IF(B118="","",SUMIF(Data!H117:H1728,B118,Data!AG117:AG1728))</f>
        <v>0</v>
      </c>
      <c r="K118">
        <f t="shared" si="2"/>
        <v>1</v>
      </c>
    </row>
    <row r="119" spans="1:11" ht="15">
      <c r="A119" s="79" t="str">
        <f>IF(B119="","",VLOOKUP(B119,Data!$H$3:$P$1079,9,FALSE))</f>
        <v>FEC-FS</v>
      </c>
      <c r="B119" t="str">
        <v>FS426</v>
      </c>
      <c r="C119" s="80" t="str">
        <f>IF(B119="","",VLOOKUP(B119,'DATA (2)'!$F$11:$K$6471,2,FALSE))</f>
        <v>LED ARM</v>
      </c>
      <c r="E119" s="81" t="str">
        <f>IF(B119="","",VLOOKUP(B119,'DATA (2)'!$F$11:$K$1671,5,FALSE))</f>
        <v>PC</v>
      </c>
      <c r="I119" s="82">
        <f>IF(B119="","",SUMIF(Data!H118:H3729,B119,Data!AH118:AH3729))</f>
        <v>2</v>
      </c>
      <c r="J119" s="82">
        <f>IF(B119="","",SUMIF(Data!H118:H1729,B119,Data!AG118:AG1729))</f>
        <v>0</v>
      </c>
      <c r="K119">
        <f t="shared" si="2"/>
        <v>2</v>
      </c>
    </row>
    <row r="120" spans="1:11" ht="15">
      <c r="A120" s="79" t="str">
        <f>IF(B120="","",VLOOKUP(B120,Data!$H$3:$P$1079,9,FALSE))</f>
        <v>FEC-FL</v>
      </c>
      <c r="B120" t="str">
        <v>RFLFE239-FEC</v>
      </c>
      <c r="C120" s="80" t="e">
        <f>IF(B120="","",VLOOKUP(B120,'DATA (2)'!$F$11:$K$6471,2,FALSE))</f>
        <v>#N/A</v>
      </c>
      <c r="E120" s="81" t="e">
        <f>IF(B120="","",VLOOKUP(B120,'DATA (2)'!$F$11:$K$1671,5,FALSE))</f>
        <v>#N/A</v>
      </c>
      <c r="I120" s="82">
        <f>IF(B120="","",SUMIF(Data!H119:H3730,B120,Data!AH119:AH3730))</f>
        <v>0</v>
      </c>
      <c r="J120" s="82">
        <f>IF(B120="","",SUMIF(Data!H119:H1730,B120,Data!AG119:AG1730))</f>
        <v>0</v>
      </c>
      <c r="K120">
        <f t="shared" si="2"/>
        <v>0</v>
      </c>
    </row>
    <row r="121" spans="1:11" ht="15">
      <c r="A121" s="79" t="str">
        <f>IF(B121="","",VLOOKUP(B121,Data!$H$3:$P$1079,9,FALSE))</f>
        <v>FEC-FL</v>
      </c>
      <c r="B121" t="str">
        <v>RFLSD125-FEC</v>
      </c>
      <c r="C121" s="80" t="e">
        <f>IF(B121="","",VLOOKUP(B121,'DATA (2)'!$F$11:$K$6471,2,FALSE))</f>
        <v>#N/A</v>
      </c>
      <c r="E121" s="81" t="e">
        <f>IF(B121="","",VLOOKUP(B121,'DATA (2)'!$F$11:$K$1671,5,FALSE))</f>
        <v>#N/A</v>
      </c>
      <c r="I121" s="82">
        <f>IF(B121="","",SUMIF(Data!H120:H3731,B121,Data!AH120:AH3731))</f>
        <v>0</v>
      </c>
      <c r="J121" s="82">
        <f>IF(B121="","",SUMIF(Data!H120:H1731,B121,Data!AG120:AG1731))</f>
        <v>0</v>
      </c>
      <c r="K121">
        <f t="shared" si="2"/>
        <v>0</v>
      </c>
    </row>
    <row r="122" spans="1:11" ht="15">
      <c r="A122" s="79" t="str">
        <f>IF(B122="","",VLOOKUP(B122,Data!$H$3:$P$1079,9,FALSE))</f>
        <v>FEC-FL</v>
      </c>
      <c r="B122" t="str">
        <v>RFLFE209-FEC</v>
      </c>
      <c r="C122" s="80" t="e">
        <f>IF(B122="","",VLOOKUP(B122,'DATA (2)'!$F$11:$K$6471,2,FALSE))</f>
        <v>#N/A</v>
      </c>
      <c r="E122" s="81" t="e">
        <f>IF(B122="","",VLOOKUP(B122,'DATA (2)'!$F$11:$K$1671,5,FALSE))</f>
        <v>#N/A</v>
      </c>
      <c r="I122" s="82">
        <f>IF(B122="","",SUMIF(Data!H121:H3732,B122,Data!AH121:AH3732))</f>
        <v>1</v>
      </c>
      <c r="J122" s="82">
        <f>IF(B122="","",SUMIF(Data!H121:H1732,B122,Data!AG121:AG1732))</f>
        <v>0</v>
      </c>
      <c r="K122">
        <f t="shared" si="2"/>
        <v>1</v>
      </c>
    </row>
    <row r="123" spans="1:11" ht="15">
      <c r="A123" s="79" t="str">
        <f>IF(B123="","",VLOOKUP(B123,Data!$H$3:$P$1079,9,FALSE))</f>
        <v>FEC-FL</v>
      </c>
      <c r="B123" t="str">
        <v>RFLFE196-FEC</v>
      </c>
      <c r="C123" s="80" t="e">
        <f>IF(B123="","",VLOOKUP(B123,'DATA (2)'!$F$11:$K$6471,2,FALSE))</f>
        <v>#N/A</v>
      </c>
      <c r="E123" s="81" t="e">
        <f>IF(B123="","",VLOOKUP(B123,'DATA (2)'!$F$11:$K$1671,5,FALSE))</f>
        <v>#N/A</v>
      </c>
      <c r="I123" s="82">
        <f>IF(B123="","",SUMIF(Data!H122:H3733,B123,Data!AH122:AH3733))</f>
        <v>2</v>
      </c>
      <c r="J123" s="82">
        <f>IF(B123="","",SUMIF(Data!H122:H1733,B123,Data!AG122:AG1733))</f>
        <v>0</v>
      </c>
      <c r="K123">
        <f t="shared" si="2"/>
        <v>2</v>
      </c>
    </row>
    <row r="124" spans="1:11" ht="15">
      <c r="A124" s="79" t="str">
        <f>IF(B124="","",VLOOKUP(B124,Data!$H$3:$P$1079,9,FALSE))</f>
        <v>FEC-FL</v>
      </c>
      <c r="B124" t="str">
        <v>RFLSD002-FEC</v>
      </c>
      <c r="C124" s="80" t="str">
        <f>IF(B124="","",VLOOKUP(B124,'DATA (2)'!$F$11:$K$6471,2,FALSE))</f>
        <v>PCB ASSEMBLY</v>
      </c>
      <c r="E124" s="81" t="str">
        <f>IF(B124="","",VLOOKUP(B124,'DATA (2)'!$F$11:$K$1671,5,FALSE))</f>
        <v>PC</v>
      </c>
      <c r="I124" s="82">
        <f>IF(B124="","",SUMIF(Data!H123:H3734,B124,Data!AH123:AH3734))</f>
        <v>1</v>
      </c>
      <c r="J124" s="82">
        <f>IF(B124="","",SUMIF(Data!H123:H1734,B124,Data!AG123:AG1734))</f>
        <v>0</v>
      </c>
      <c r="K124">
        <f t="shared" si="2"/>
        <v>1</v>
      </c>
    </row>
    <row r="125" spans="1:11" ht="15">
      <c r="A125" s="79" t="str">
        <f>IF(B125="","",VLOOKUP(B125,Data!$H$3:$P$1079,9,FALSE))</f>
        <v>FEC-FL</v>
      </c>
      <c r="B125" t="str">
        <v>RFLSD003-FEC</v>
      </c>
      <c r="C125" s="80" t="str">
        <f>IF(B125="","",VLOOKUP(B125,'DATA (2)'!$F$11:$K$6471,2,FALSE))</f>
        <v>PCB ASSEMBLY</v>
      </c>
      <c r="E125" s="81" t="str">
        <f>IF(B125="","",VLOOKUP(B125,'DATA (2)'!$F$11:$K$1671,5,FALSE))</f>
        <v>PC</v>
      </c>
      <c r="I125" s="82">
        <f>IF(B125="","",SUMIF(Data!H124:H3735,B125,Data!AH124:AH3735))</f>
        <v>1</v>
      </c>
      <c r="J125" s="82">
        <f>IF(B125="","",SUMIF(Data!H124:H1735,B125,Data!AG124:AG1735))</f>
        <v>0</v>
      </c>
      <c r="K125">
        <f t="shared" si="2"/>
        <v>1</v>
      </c>
    </row>
    <row r="126" spans="1:11" ht="15">
      <c r="A126" s="79" t="str">
        <f>IF(B126="","",VLOOKUP(B126,Data!$H$3:$P$1079,9,FALSE))</f>
        <v>MITSUI ELECTRON</v>
      </c>
      <c r="B126" t="str">
        <v>R179S655-MIT</v>
      </c>
      <c r="C126" s="80" t="e">
        <f>IF(B126="","",VLOOKUP(B126,'DATA (2)'!$F$11:$K$6471,2,FALSE))</f>
        <v>#N/A</v>
      </c>
      <c r="E126" s="81" t="e">
        <f>IF(B126="","",VLOOKUP(B126,'DATA (2)'!$F$11:$K$1671,5,FALSE))</f>
        <v>#N/A</v>
      </c>
      <c r="I126" s="82">
        <f>IF(B126="","",SUMIF(Data!H125:H3736,B126,Data!AH125:AH3736))</f>
        <v>1</v>
      </c>
      <c r="J126" s="82">
        <f>IF(B126="","",SUMIF(Data!H125:H1736,B126,Data!AG125:AG1736))</f>
        <v>0</v>
      </c>
      <c r="K126">
        <f t="shared" si="2"/>
        <v>1</v>
      </c>
    </row>
    <row r="127" spans="1:11" ht="15">
      <c r="A127" s="79" t="str">
        <f>IF(B127="","",VLOOKUP(B127,Data!$H$3:$P$1079,9,FALSE))</f>
        <v>FFOS</v>
      </c>
      <c r="B127" t="str">
        <v>IJ78-1</v>
      </c>
      <c r="C127" s="80" t="str">
        <f>IF(B127="","",VLOOKUP(B127,'DATA (2)'!$F$11:$K$6471,2,FALSE))</f>
        <v>SPLITTER</v>
      </c>
      <c r="E127" s="81" t="str">
        <f>IF(B127="","",VLOOKUP(B127,'DATA (2)'!$F$11:$K$1671,5,FALSE))</f>
        <v>PC</v>
      </c>
      <c r="I127" s="82">
        <f>IF(B127="","",SUMIF(Data!H126:H3737,B127,Data!AH126:AH3737))</f>
        <v>0</v>
      </c>
      <c r="J127" s="82">
        <f>IF(B127="","",SUMIF(Data!H126:H1737,B127,Data!AG126:AG1737))</f>
        <v>1</v>
      </c>
      <c r="K127">
        <f t="shared" si="2"/>
        <v>1</v>
      </c>
    </row>
    <row r="128" spans="1:11" ht="15">
      <c r="A128" s="79" t="str">
        <f>IF(B128="","",VLOOKUP(B128,Data!$H$3:$P$1079,9,FALSE))</f>
        <v>MACHINIST GROUP CORP</v>
      </c>
      <c r="B128" t="str">
        <v>RFLTFB20-MAC</v>
      </c>
      <c r="C128" s="80" t="str">
        <f>IF(B128="","",VLOOKUP(B128,'DATA (2)'!$F$11:$K$6471,2,FALSE))</f>
        <v>BASE PLATE</v>
      </c>
      <c r="E128" s="81" t="str">
        <f>IF(B128="","",VLOOKUP(B128,'DATA (2)'!$F$11:$K$1671,5,FALSE))</f>
        <v>PC</v>
      </c>
      <c r="I128" s="82">
        <f>IF(B128="","",SUMIF(Data!H127:H3738,B128,Data!AH127:AH3738))</f>
        <v>0</v>
      </c>
      <c r="J128" s="82">
        <f>IF(B128="","",SUMIF(Data!H127:H1738,B128,Data!AG127:AG1738))</f>
        <v>0</v>
      </c>
      <c r="K128">
        <f t="shared" si="2"/>
        <v>0</v>
      </c>
    </row>
    <row r="129" spans="1:11" ht="15">
      <c r="A129" s="79" t="str">
        <f>IF(B129="","",VLOOKUP(B129,Data!$H$3:$P$1079,9,FALSE))</f>
        <v>FEC-FL</v>
      </c>
      <c r="B129" t="str">
        <v>RFLFE100-FEC</v>
      </c>
      <c r="C129" s="80" t="str">
        <f>IF(B129="","",VLOOKUP(B129,'DATA (2)'!$F$11:$K$6471,2,FALSE))</f>
        <v>ALUMINIUM HEATSINK</v>
      </c>
      <c r="E129" s="81" t="str">
        <f>IF(B129="","",VLOOKUP(B129,'DATA (2)'!$F$11:$K$1671,5,FALSE))</f>
        <v>PC</v>
      </c>
      <c r="I129" s="82">
        <f>IF(B129="","",SUMIF(Data!H128:H3739,B129,Data!AH128:AH3739))</f>
        <v>2</v>
      </c>
      <c r="J129" s="82">
        <f>IF(B129="","",SUMIF(Data!H128:H1739,B129,Data!AG128:AG1739))</f>
        <v>0</v>
      </c>
      <c r="K129">
        <f t="shared" si="2"/>
        <v>2</v>
      </c>
    </row>
    <row r="130" spans="1:11" ht="15">
      <c r="A130" s="79" t="str">
        <f>IF(B130="","",VLOOKUP(B130,Data!$H$3:$P$1079,9,FALSE))</f>
        <v>FEC-FL</v>
      </c>
      <c r="B130" t="str">
        <v>RFLSD132-FEC</v>
      </c>
      <c r="C130" s="80" t="e">
        <f>IF(B130="","",VLOOKUP(B130,'DATA (2)'!$F$11:$K$6471,2,FALSE))</f>
        <v>#N/A</v>
      </c>
      <c r="E130" s="81" t="e">
        <f>IF(B130="","",VLOOKUP(B130,'DATA (2)'!$F$11:$K$1671,5,FALSE))</f>
        <v>#N/A</v>
      </c>
      <c r="I130" s="82">
        <f>IF(B130="","",SUMIF(Data!H129:H3740,B130,Data!AH129:AH3740))</f>
        <v>1</v>
      </c>
      <c r="J130" s="82">
        <f>IF(B130="","",SUMIF(Data!H129:H1740,B130,Data!AG129:AG1740))</f>
        <v>0</v>
      </c>
      <c r="K130">
        <f t="shared" si="2"/>
        <v>1</v>
      </c>
    </row>
    <row r="131" spans="1:11" ht="15">
      <c r="A131" s="79" t="str">
        <f>IF(B131="","",VLOOKUP(B131,Data!$H$3:$P$1079,9,FALSE))</f>
        <v>FEC-FL</v>
      </c>
      <c r="B131" t="str">
        <v>RFLFE236-FEC</v>
      </c>
      <c r="C131" s="80" t="e">
        <f>IF(B131="","",VLOOKUP(B131,'DATA (2)'!$F$11:$K$6471,2,FALSE))</f>
        <v>#N/A</v>
      </c>
      <c r="E131" s="81" t="e">
        <f>IF(B131="","",VLOOKUP(B131,'DATA (2)'!$F$11:$K$1671,5,FALSE))</f>
        <v>#N/A</v>
      </c>
      <c r="I131" s="82">
        <f>IF(B131="","",SUMIF(Data!H130:H3741,B131,Data!AH130:AH3741))</f>
        <v>1</v>
      </c>
      <c r="J131" s="82">
        <f>IF(B131="","",SUMIF(Data!H130:H1741,B131,Data!AG130:AG1741))</f>
        <v>0</v>
      </c>
      <c r="K131">
        <f t="shared" si="2"/>
        <v>1</v>
      </c>
    </row>
    <row r="132" spans="1:11" ht="15">
      <c r="A132" s="79" t="str">
        <f>IF(B132="","",VLOOKUP(B132,Data!$H$3:$P$1079,9,FALSE))</f>
        <v>FEC-FL</v>
      </c>
      <c r="B132" t="str">
        <v>RFLFE244-FEC</v>
      </c>
      <c r="C132" s="80" t="e">
        <f>IF(B132="","",VLOOKUP(B132,'DATA (2)'!$F$11:$K$6471,2,FALSE))</f>
        <v>#N/A</v>
      </c>
      <c r="E132" s="81" t="e">
        <f>IF(B132="","",VLOOKUP(B132,'DATA (2)'!$F$11:$K$1671,5,FALSE))</f>
        <v>#N/A</v>
      </c>
      <c r="I132" s="82">
        <f>IF(B132="","",SUMIF(Data!H131:H3742,B132,Data!AH131:AH3742))</f>
        <v>1</v>
      </c>
      <c r="J132" s="82">
        <f>IF(B132="","",SUMIF(Data!H131:H1742,B132,Data!AG131:AG1742))</f>
        <v>0</v>
      </c>
      <c r="K132">
        <f t="shared" si="2"/>
        <v>1</v>
      </c>
    </row>
    <row r="133" spans="1:11" ht="15">
      <c r="A133" s="79" t="str">
        <f>IF(B133="","",VLOOKUP(B133,Data!$H$3:$P$1079,9,FALSE))</f>
        <v>SDSE(TOKE)</v>
      </c>
      <c r="B133" t="str">
        <v>IJ32</v>
      </c>
      <c r="C133" s="80" t="str">
        <f>IF(B133="","",VLOOKUP(B133,'DATA (2)'!$F$11:$K$6471,2,FALSE))</f>
        <v>LID</v>
      </c>
      <c r="E133" s="81" t="str">
        <f>IF(B133="","",VLOOKUP(B133,'DATA (2)'!$F$11:$K$1671,5,FALSE))</f>
        <v>PC</v>
      </c>
      <c r="I133" s="82">
        <f>IF(B133="","",SUMIF(Data!H132:H3743,B133,Data!AH132:AH3743))</f>
        <v>10</v>
      </c>
      <c r="J133" s="82">
        <f>IF(B133="","",SUMIF(Data!H132:H1743,B133,Data!AG132:AG1743))</f>
        <v>0</v>
      </c>
      <c r="K133">
        <f t="shared" si="2"/>
        <v>10</v>
      </c>
    </row>
    <row r="134" spans="1:11" ht="15">
      <c r="A134" s="79" t="str">
        <f>IF(B134="","",VLOOKUP(B134,Data!$H$3:$P$1079,9,FALSE))</f>
        <v>SDSE(TOKE)</v>
      </c>
      <c r="B134">
        <v>438</v>
      </c>
      <c r="C134" s="80" t="str">
        <f>IF(B134="","",VLOOKUP(B134,'DATA (2)'!$F$11:$K$6471,2,FALSE))</f>
        <v>LOWER CASE</v>
      </c>
      <c r="E134" s="81" t="str">
        <f>IF(B134="","",VLOOKUP(B134,'DATA (2)'!$F$11:$K$1671,5,FALSE))</f>
        <v>PC</v>
      </c>
      <c r="I134" s="82">
        <f>IF(B134="","",SUMIF(Data!H133:H3744,B134,Data!AH133:AH3744))</f>
        <v>80</v>
      </c>
      <c r="J134" s="82">
        <f>IF(B134="","",SUMIF(Data!H133:H1744,B134,Data!AG133:AG1744))</f>
        <v>0</v>
      </c>
      <c r="K134">
        <f t="shared" si="2"/>
        <v>80</v>
      </c>
    </row>
    <row r="135" spans="1:11" ht="15">
      <c r="A135" s="79" t="str">
        <f>IF(B135="","",VLOOKUP(B135,Data!$H$3:$P$1079,9,FALSE))</f>
        <v>SDSE(TOKE)</v>
      </c>
      <c r="B135">
        <v>814</v>
      </c>
      <c r="C135" s="80" t="str">
        <f>IF(B135="","",VLOOKUP(B135,'DATA (2)'!$F$11:$K$6471,2,FALSE))</f>
        <v>BOTTOM CASE</v>
      </c>
      <c r="E135" s="81" t="str">
        <f>IF(B135="","",VLOOKUP(B135,'DATA (2)'!$F$11:$K$1671,5,FALSE))</f>
        <v>PC</v>
      </c>
      <c r="I135" s="82">
        <f>IF(B135="","",SUMIF(Data!H134:H3745,B135,Data!AH134:AH3745))</f>
        <v>1</v>
      </c>
      <c r="J135" s="82">
        <f>IF(B135="","",SUMIF(Data!H134:H1745,B135,Data!AG134:AG1745))</f>
        <v>0</v>
      </c>
      <c r="K135">
        <f t="shared" si="2"/>
        <v>1</v>
      </c>
    </row>
    <row r="136" spans="1:11" ht="15">
      <c r="A136" s="79" t="str">
        <f>IF(B136="","",VLOOKUP(B136,Data!$H$3:$P$1079,9,FALSE))</f>
        <v>FEC-OC</v>
      </c>
      <c r="B136" t="str">
        <v>RPA00007-FEC</v>
      </c>
      <c r="C136" s="80" t="e">
        <f>IF(B136="","",VLOOKUP(B136,'DATA (2)'!$F$11:$K$6471,2,FALSE))</f>
        <v>#N/A</v>
      </c>
      <c r="E136" s="81" t="e">
        <f>IF(B136="","",VLOOKUP(B136,'DATA (2)'!$F$11:$K$1671,5,FALSE))</f>
        <v>#N/A</v>
      </c>
      <c r="I136" s="82">
        <f>IF(B136="","",SUMIF(Data!H135:H3746,B136,Data!AH135:AH3746))</f>
        <v>0</v>
      </c>
      <c r="J136" s="82">
        <f>IF(B136="","",SUMIF(Data!H135:H1746,B136,Data!AG135:AG1746))</f>
        <v>273</v>
      </c>
      <c r="K136">
        <f t="shared" si="2"/>
        <v>273</v>
      </c>
    </row>
    <row r="137" spans="1:11" ht="15">
      <c r="A137" s="79" t="str">
        <f>IF(B137="","",VLOOKUP(B137,Data!$H$3:$P$1079,9,FALSE))</f>
        <v>FEC-OC</v>
      </c>
      <c r="B137" t="str">
        <v>RPA00008-FEC</v>
      </c>
      <c r="C137" s="80" t="e">
        <f>IF(B137="","",VLOOKUP(B137,'DATA (2)'!$F$11:$K$6471,2,FALSE))</f>
        <v>#N/A</v>
      </c>
      <c r="E137" s="81" t="e">
        <f>IF(B137="","",VLOOKUP(B137,'DATA (2)'!$F$11:$K$1671,5,FALSE))</f>
        <v>#N/A</v>
      </c>
      <c r="I137" s="82">
        <f>IF(B137="","",SUMIF(Data!H136:H3747,B137,Data!AH136:AH3747))</f>
        <v>0</v>
      </c>
      <c r="J137" s="82">
        <f>IF(B137="","",SUMIF(Data!H136:H1747,B137,Data!AG136:AG1747))</f>
        <v>273</v>
      </c>
      <c r="K137">
        <f t="shared" si="2"/>
        <v>273</v>
      </c>
    </row>
    <row r="138" spans="1:11" ht="15">
      <c r="A138" s="79" t="str">
        <f>IF(B138="","",VLOOKUP(B138,Data!$H$3:$P$1079,9,FALSE))</f>
        <v>Sanki Fine Technology</v>
      </c>
      <c r="B138" t="str">
        <v>R124S103-STG</v>
      </c>
      <c r="C138" s="80" t="str">
        <f>IF(B138="","",VLOOKUP(B138,'DATA (2)'!$F$11:$K$6471,2,FALSE))</f>
        <v>BASE</v>
      </c>
      <c r="E138" s="81" t="str">
        <f>IF(B138="","",VLOOKUP(B138,'DATA (2)'!$F$11:$K$1671,5,FALSE))</f>
        <v>PC</v>
      </c>
      <c r="I138" s="82">
        <f>IF(B138="","",SUMIF(Data!H137:H3748,B138,Data!AH137:AH3748))</f>
        <v>0</v>
      </c>
      <c r="J138" s="82">
        <f>IF(B138="","",SUMIF(Data!H137:H1748,B138,Data!AG137:AG1748))</f>
        <v>2</v>
      </c>
      <c r="K138">
        <f t="shared" si="2"/>
        <v>2</v>
      </c>
    </row>
    <row r="139" spans="1:11" ht="15">
      <c r="A139" s="79" t="str">
        <f>IF(B139="","",VLOOKUP(B139,Data!$H$3:$P$1079,9,FALSE))</f>
        <v>SDSE(TOKE)</v>
      </c>
      <c r="B139">
        <v>402</v>
      </c>
      <c r="C139" s="80" t="str">
        <f>IF(B139="","",VLOOKUP(B139,'DATA (2)'!$F$11:$K$6471,2,FALSE))</f>
        <v>LID</v>
      </c>
      <c r="E139" s="81" t="str">
        <f>IF(B139="","",VLOOKUP(B139,'DATA (2)'!$F$11:$K$1671,5,FALSE))</f>
        <v>PC</v>
      </c>
      <c r="I139" s="82">
        <f>IF(B139="","",SUMIF(Data!H138:H3749,B139,Data!AH138:AH3749))</f>
        <v>0</v>
      </c>
      <c r="J139" s="82">
        <f>IF(B139="","",SUMIF(Data!H138:H1749,B139,Data!AG138:AG1749))</f>
        <v>4</v>
      </c>
      <c r="K139">
        <f t="shared" si="2"/>
        <v>4</v>
      </c>
    </row>
    <row r="140" spans="1:11" ht="15">
      <c r="A140" s="79" t="str">
        <f>IF(B140="","",VLOOKUP(B140,Data!$H$3:$P$1079,9,FALSE))</f>
        <v/>
      </c>
      <c r="C140" s="80" t="str">
        <f>IF(B140="","",VLOOKUP(B140,'DATA (2)'!$F$11:$K$6471,2,FALSE))</f>
        <v/>
      </c>
      <c r="E140" s="81" t="str">
        <f>IF(B140="","",VLOOKUP(B140,'DATA (2)'!$F$11:$K$1671,5,FALSE))</f>
        <v/>
      </c>
      <c r="I140" s="82" t="str">
        <f>IF(B140="","",SUMIF(Data!H139:H3750,B140,Data!AH139:AH3750))</f>
        <v/>
      </c>
      <c r="J140" s="82" t="str">
        <f>IF(B140="","",SUMIF(Data!H139:H1750,B140,Data!AG139:AG1750))</f>
        <v/>
      </c>
      <c r="K140" t="str">
        <f t="shared" si="2"/>
        <v/>
      </c>
    </row>
    <row r="141" spans="1:11" ht="15">
      <c r="A141" s="79" t="str">
        <f>IF(B141="","",VLOOKUP(B141,Data!$H$3:$P$1079,9,FALSE))</f>
        <v/>
      </c>
      <c r="C141" s="80" t="str">
        <f>IF(B141="","",VLOOKUP(B141,'DATA (2)'!$F$11:$K$6471,2,FALSE))</f>
        <v/>
      </c>
      <c r="E141" s="81" t="str">
        <f>IF(B141="","",VLOOKUP(B141,'DATA (2)'!$F$11:$K$1671,5,FALSE))</f>
        <v/>
      </c>
      <c r="I141" s="82" t="str">
        <f>IF(B141="","",SUMIF(Data!H140:H3751,B141,Data!AH140:AH3751))</f>
        <v/>
      </c>
      <c r="J141" s="82" t="str">
        <f>IF(B141="","",SUMIF(Data!H140:H1751,B141,Data!AG140:AG1751))</f>
        <v/>
      </c>
      <c r="K141" t="str">
        <f t="shared" si="2"/>
        <v/>
      </c>
    </row>
    <row r="142" spans="1:11" ht="15">
      <c r="A142" s="79" t="str">
        <f>IF(B142="","",VLOOKUP(B142,Data!$H$3:$P$1079,9,FALSE))</f>
        <v/>
      </c>
      <c r="C142" s="80" t="str">
        <f>IF(B142="","",VLOOKUP(B142,'DATA (2)'!$F$11:$K$6471,2,FALSE))</f>
        <v/>
      </c>
      <c r="E142" s="81" t="str">
        <f>IF(B142="","",VLOOKUP(B142,'DATA (2)'!$F$11:$K$1671,5,FALSE))</f>
        <v/>
      </c>
      <c r="I142" s="82" t="str">
        <f>IF(B142="","",SUMIF(Data!H141:H3752,B142,Data!AH141:AH3752))</f>
        <v/>
      </c>
      <c r="J142" s="82" t="str">
        <f>IF(B142="","",SUMIF(Data!H141:H1752,B142,Data!AG141:AG1752))</f>
        <v/>
      </c>
      <c r="K142" t="str">
        <f t="shared" si="2"/>
        <v/>
      </c>
    </row>
    <row r="143" spans="1:11" ht="15">
      <c r="A143" s="79" t="str">
        <f>IF(B143="","",VLOOKUP(B143,Data!$H$3:$P$1079,9,FALSE))</f>
        <v/>
      </c>
      <c r="C143" s="80" t="str">
        <f>IF(B143="","",VLOOKUP(B143,'DATA (2)'!$F$11:$K$6471,2,FALSE))</f>
        <v/>
      </c>
      <c r="E143" s="81" t="str">
        <f>IF(B143="","",VLOOKUP(B143,'DATA (2)'!$F$11:$K$1671,5,FALSE))</f>
        <v/>
      </c>
      <c r="I143" s="82" t="str">
        <f>IF(B143="","",SUMIF(Data!H142:H3753,B143,Data!AH142:AH3753))</f>
        <v/>
      </c>
      <c r="J143" s="82" t="str">
        <f>IF(B143="","",SUMIF(Data!H142:H1753,B143,Data!AG142:AG1753))</f>
        <v/>
      </c>
      <c r="K143" t="str">
        <f t="shared" si="2"/>
        <v/>
      </c>
    </row>
    <row r="144" spans="1:11" ht="15">
      <c r="A144" s="79" t="str">
        <f>IF(B144="","",VLOOKUP(B144,Data!$H$3:$P$1079,9,FALSE))</f>
        <v/>
      </c>
      <c r="C144" s="80" t="str">
        <f>IF(B144="","",VLOOKUP(B144,'DATA (2)'!$F$11:$K$6471,2,FALSE))</f>
        <v/>
      </c>
      <c r="E144" s="81" t="str">
        <f>IF(B144="","",VLOOKUP(B144,'DATA (2)'!$F$11:$K$1671,5,FALSE))</f>
        <v/>
      </c>
      <c r="I144" s="82" t="str">
        <f>IF(B144="","",SUMIF(Data!H143:H3754,B144,Data!AH143:AH3754))</f>
        <v/>
      </c>
      <c r="J144" s="82" t="str">
        <f>IF(B144="","",SUMIF(Data!H143:H1754,B144,Data!AG143:AG1754))</f>
        <v/>
      </c>
      <c r="K144" t="str">
        <f t="shared" si="2"/>
        <v/>
      </c>
    </row>
    <row r="145" spans="1:11" ht="15">
      <c r="A145" s="79" t="str">
        <f>IF(B145="","",VLOOKUP(B145,Data!$H$3:$P$1079,9,FALSE))</f>
        <v/>
      </c>
      <c r="C145" s="80" t="str">
        <f>IF(B145="","",VLOOKUP(B145,'DATA (2)'!$F$11:$K$6471,2,FALSE))</f>
        <v/>
      </c>
      <c r="E145" s="81" t="str">
        <f>IF(B145="","",VLOOKUP(B145,'DATA (2)'!$F$11:$K$1671,5,FALSE))</f>
        <v/>
      </c>
      <c r="I145" s="82" t="str">
        <f>IF(B145="","",SUMIF(Data!H144:H3755,B145,Data!AH144:AH3755))</f>
        <v/>
      </c>
      <c r="J145" s="82" t="str">
        <f>IF(B145="","",SUMIF(Data!H144:H1755,B145,Data!AG144:AG1755))</f>
        <v/>
      </c>
      <c r="K145" t="str">
        <f t="shared" si="2"/>
        <v/>
      </c>
    </row>
    <row r="146" spans="1:11" ht="15">
      <c r="A146" s="79" t="str">
        <f>IF(B146="","",VLOOKUP(B146,Data!$H$3:$P$1079,9,FALSE))</f>
        <v/>
      </c>
      <c r="C146" s="80" t="str">
        <f>IF(B146="","",VLOOKUP(B146,'DATA (2)'!$F$11:$K$6471,2,FALSE))</f>
        <v/>
      </c>
      <c r="E146" s="81" t="str">
        <f>IF(B146="","",VLOOKUP(B146,'DATA (2)'!$F$11:$K$1671,5,FALSE))</f>
        <v/>
      </c>
      <c r="I146" s="82" t="str">
        <f>IF(B146="","",SUMIF(Data!H145:H3756,B146,Data!AH145:AH3756))</f>
        <v/>
      </c>
      <c r="J146" s="82" t="str">
        <f>IF(B146="","",SUMIF(Data!H145:H1756,B146,Data!AG145:AG1756))</f>
        <v/>
      </c>
      <c r="K146" t="str">
        <f t="shared" si="2"/>
        <v/>
      </c>
    </row>
    <row r="147" spans="1:11" ht="15">
      <c r="A147" s="79" t="str">
        <f>IF(B147="","",VLOOKUP(B147,Data!$H$3:$P$1079,9,FALSE))</f>
        <v/>
      </c>
      <c r="C147" s="80" t="str">
        <f>IF(B147="","",VLOOKUP(B147,'DATA (2)'!$F$11:$K$6471,2,FALSE))</f>
        <v/>
      </c>
      <c r="E147" s="81" t="str">
        <f>IF(B147="","",VLOOKUP(B147,'DATA (2)'!$F$11:$K$1671,5,FALSE))</f>
        <v/>
      </c>
      <c r="I147" s="82" t="str">
        <f>IF(B147="","",SUMIF(Data!H146:H3757,B147,Data!AH146:AH3757))</f>
        <v/>
      </c>
      <c r="J147" s="82" t="str">
        <f>IF(B147="","",SUMIF(Data!H146:H1757,B147,Data!AG146:AG1757))</f>
        <v/>
      </c>
      <c r="K147" t="str">
        <f t="shared" si="2"/>
        <v/>
      </c>
    </row>
    <row r="148" spans="1:11" ht="15">
      <c r="A148" s="79" t="str">
        <f>IF(B148="","",VLOOKUP(B148,Data!$H$3:$P$1079,9,FALSE))</f>
        <v/>
      </c>
      <c r="C148" s="80" t="str">
        <f>IF(B148="","",VLOOKUP(B148,'DATA (2)'!$F$11:$K$6471,2,FALSE))</f>
        <v/>
      </c>
      <c r="E148" s="81" t="str">
        <f>IF(B148="","",VLOOKUP(B148,'DATA (2)'!$F$11:$K$1671,5,FALSE))</f>
        <v/>
      </c>
      <c r="I148" s="82" t="str">
        <f>IF(B148="","",SUMIF(Data!H147:H3758,B148,Data!AH147:AH3758))</f>
        <v/>
      </c>
      <c r="J148" s="82" t="str">
        <f>IF(B148="","",SUMIF(Data!H147:H1758,B148,Data!AG147:AG1758))</f>
        <v/>
      </c>
      <c r="K148" t="str">
        <f t="shared" si="2"/>
        <v/>
      </c>
    </row>
    <row r="149" spans="1:11" ht="15">
      <c r="A149" s="79" t="str">
        <f>IF(B149="","",VLOOKUP(B149,Data!$H$3:$P$1079,9,FALSE))</f>
        <v/>
      </c>
      <c r="C149" s="80" t="str">
        <f>IF(B149="","",VLOOKUP(B149,'DATA (2)'!$F$11:$K$6471,2,FALSE))</f>
        <v/>
      </c>
      <c r="E149" s="81" t="str">
        <f>IF(B149="","",VLOOKUP(B149,'DATA (2)'!$F$11:$K$1671,5,FALSE))</f>
        <v/>
      </c>
      <c r="I149" s="82" t="str">
        <f>IF(B149="","",SUMIF(Data!H148:H3759,B149,Data!AH148:AH3759))</f>
        <v/>
      </c>
      <c r="J149" s="82" t="str">
        <f>IF(B149="","",SUMIF(Data!H148:H1759,B149,Data!AG148:AG1759))</f>
        <v/>
      </c>
      <c r="K149" t="str">
        <f t="shared" ref="K149:K212" si="3">IF(B149="","",I149+J149)</f>
        <v/>
      </c>
    </row>
    <row r="150" spans="1:11" ht="15">
      <c r="A150" s="79" t="str">
        <f>IF(B150="","",VLOOKUP(B150,Data!$H$3:$P$1079,9,FALSE))</f>
        <v/>
      </c>
      <c r="C150" s="80" t="str">
        <f>IF(B150="","",VLOOKUP(B150,'DATA (2)'!$F$11:$K$6471,2,FALSE))</f>
        <v/>
      </c>
      <c r="E150" s="81" t="str">
        <f>IF(B150="","",VLOOKUP(B150,'DATA (2)'!$F$11:$K$1671,5,FALSE))</f>
        <v/>
      </c>
      <c r="I150" s="82" t="str">
        <f>IF(B150="","",SUMIF(Data!H149:H3760,B150,Data!AH149:AH3760))</f>
        <v/>
      </c>
      <c r="J150" s="82" t="str">
        <f>IF(B150="","",SUMIF(Data!H149:H1760,B150,Data!AG149:AG1760))</f>
        <v/>
      </c>
      <c r="K150" t="str">
        <f t="shared" si="3"/>
        <v/>
      </c>
    </row>
    <row r="151" spans="1:11" ht="15">
      <c r="A151" s="79" t="str">
        <f>IF(B151="","",VLOOKUP(B151,Data!$H$3:$P$1079,9,FALSE))</f>
        <v/>
      </c>
      <c r="C151" s="80" t="str">
        <f>IF(B151="","",VLOOKUP(B151,'DATA (2)'!$F$11:$K$6471,2,FALSE))</f>
        <v/>
      </c>
      <c r="E151" s="81" t="str">
        <f>IF(B151="","",VLOOKUP(B151,'DATA (2)'!$F$11:$K$1671,5,FALSE))</f>
        <v/>
      </c>
      <c r="I151" s="82" t="str">
        <f>IF(B151="","",SUMIF(Data!H150:H3761,B151,Data!AH150:AH3761))</f>
        <v/>
      </c>
      <c r="J151" s="82" t="str">
        <f>IF(B151="","",SUMIF(Data!H150:H1761,B151,Data!AG150:AG1761))</f>
        <v/>
      </c>
      <c r="K151" t="str">
        <f t="shared" si="3"/>
        <v/>
      </c>
    </row>
    <row r="152" spans="1:11" ht="15">
      <c r="A152" s="79" t="str">
        <f>IF(B152="","",VLOOKUP(B152,Data!$H$3:$P$1079,9,FALSE))</f>
        <v/>
      </c>
      <c r="C152" s="80" t="str">
        <f>IF(B152="","",VLOOKUP(B152,'DATA (2)'!$F$11:$K$6471,2,FALSE))</f>
        <v/>
      </c>
      <c r="E152" s="81" t="str">
        <f>IF(B152="","",VLOOKUP(B152,'DATA (2)'!$F$11:$K$1671,5,FALSE))</f>
        <v/>
      </c>
      <c r="I152" s="82" t="str">
        <f>IF(B152="","",SUMIF(Data!H151:H3762,B152,Data!AH151:AH3762))</f>
        <v/>
      </c>
      <c r="J152" s="82" t="str">
        <f>IF(B152="","",SUMIF(Data!H151:H1762,B152,Data!AG151:AG1762))</f>
        <v/>
      </c>
      <c r="K152" t="str">
        <f t="shared" si="3"/>
        <v/>
      </c>
    </row>
    <row r="153" spans="1:11" ht="15">
      <c r="A153" s="79" t="str">
        <f>IF(B153="","",VLOOKUP(B153,Data!$H$3:$P$1079,9,FALSE))</f>
        <v/>
      </c>
      <c r="C153" s="80" t="str">
        <f>IF(B153="","",VLOOKUP(B153,'DATA (2)'!$F$11:$K$6471,2,FALSE))</f>
        <v/>
      </c>
      <c r="E153" s="81" t="str">
        <f>IF(B153="","",VLOOKUP(B153,'DATA (2)'!$F$11:$K$1671,5,FALSE))</f>
        <v/>
      </c>
      <c r="I153" s="82" t="str">
        <f>IF(B153="","",SUMIF(Data!H152:H3763,B153,Data!AH152:AH3763))</f>
        <v/>
      </c>
      <c r="J153" s="82" t="str">
        <f>IF(B153="","",SUMIF(Data!H152:H1763,B153,Data!AG152:AG1763))</f>
        <v/>
      </c>
      <c r="K153" t="str">
        <f t="shared" si="3"/>
        <v/>
      </c>
    </row>
    <row r="154" spans="1:11" ht="15">
      <c r="A154" s="79" t="str">
        <f>IF(B154="","",VLOOKUP(B154,Data!$H$3:$P$1079,9,FALSE))</f>
        <v/>
      </c>
      <c r="C154" s="80" t="str">
        <f>IF(B154="","",VLOOKUP(B154,'DATA (2)'!$F$11:$K$6471,2,FALSE))</f>
        <v/>
      </c>
      <c r="E154" s="81" t="str">
        <f>IF(B154="","",VLOOKUP(B154,'DATA (2)'!$F$11:$K$1671,5,FALSE))</f>
        <v/>
      </c>
      <c r="I154" s="82" t="str">
        <f>IF(B154="","",SUMIF(Data!H153:H3764,B154,Data!AH153:AH3764))</f>
        <v/>
      </c>
      <c r="J154" s="82" t="str">
        <f>IF(B154="","",SUMIF(Data!H153:H1764,B154,Data!AG153:AG1764))</f>
        <v/>
      </c>
      <c r="K154" t="str">
        <f t="shared" si="3"/>
        <v/>
      </c>
    </row>
    <row r="155" spans="1:11" ht="15">
      <c r="A155" s="79" t="str">
        <f>IF(B155="","",VLOOKUP(B155,Data!$H$3:$P$1079,9,FALSE))</f>
        <v/>
      </c>
      <c r="C155" s="80" t="str">
        <f>IF(B155="","",VLOOKUP(B155,'DATA (2)'!$F$11:$K$6471,2,FALSE))</f>
        <v/>
      </c>
      <c r="E155" s="81" t="str">
        <f>IF(B155="","",VLOOKUP(B155,'DATA (2)'!$F$11:$K$1671,5,FALSE))</f>
        <v/>
      </c>
      <c r="I155" s="82" t="str">
        <f>IF(B155="","",SUMIF(Data!H154:H3765,B155,Data!AH154:AH3765))</f>
        <v/>
      </c>
      <c r="J155" s="82" t="str">
        <f>IF(B155="","",SUMIF(Data!H154:H1765,B155,Data!AG154:AG1765))</f>
        <v/>
      </c>
      <c r="K155" t="str">
        <f t="shared" si="3"/>
        <v/>
      </c>
    </row>
    <row r="156" spans="1:11" ht="15">
      <c r="A156" s="79" t="str">
        <f>IF(B156="","",VLOOKUP(B156,Data!$H$3:$P$1079,9,FALSE))</f>
        <v/>
      </c>
      <c r="C156" s="80" t="str">
        <f>IF(B156="","",VLOOKUP(B156,'DATA (2)'!$F$11:$K$6471,2,FALSE))</f>
        <v/>
      </c>
      <c r="E156" s="81" t="str">
        <f>IF(B156="","",VLOOKUP(B156,'DATA (2)'!$F$11:$K$1671,5,FALSE))</f>
        <v/>
      </c>
      <c r="I156" s="82" t="str">
        <f>IF(B156="","",SUMIF(Data!H155:H3766,B156,Data!AH155:AH3766))</f>
        <v/>
      </c>
      <c r="J156" s="82" t="str">
        <f>IF(B156="","",SUMIF(Data!H155:H1766,B156,Data!AG155:AG1766))</f>
        <v/>
      </c>
      <c r="K156" t="str">
        <f t="shared" si="3"/>
        <v/>
      </c>
    </row>
    <row r="157" spans="1:11" ht="15">
      <c r="A157" s="79" t="str">
        <f>IF(B157="","",VLOOKUP(B157,Data!$H$3:$P$1079,9,FALSE))</f>
        <v/>
      </c>
      <c r="C157" s="80" t="str">
        <f>IF(B157="","",VLOOKUP(B157,'DATA (2)'!$F$11:$K$6471,2,FALSE))</f>
        <v/>
      </c>
      <c r="E157" s="81" t="str">
        <f>IF(B157="","",VLOOKUP(B157,'DATA (2)'!$F$11:$K$1671,5,FALSE))</f>
        <v/>
      </c>
      <c r="I157" s="82" t="str">
        <f>IF(B157="","",SUMIF(Data!H156:H3767,B157,Data!AH156:AH3767))</f>
        <v/>
      </c>
      <c r="J157" s="82" t="str">
        <f>IF(B157="","",SUMIF(Data!H156:H1767,B157,Data!AG156:AG1767))</f>
        <v/>
      </c>
      <c r="K157" t="str">
        <f t="shared" si="3"/>
        <v/>
      </c>
    </row>
    <row r="158" spans="1:11" ht="15">
      <c r="A158" s="79" t="str">
        <f>IF(B158="","",VLOOKUP(B158,Data!$H$3:$P$1079,9,FALSE))</f>
        <v/>
      </c>
      <c r="C158" s="80" t="str">
        <f>IF(B158="","",VLOOKUP(B158,'DATA (2)'!$F$11:$K$6471,2,FALSE))</f>
        <v/>
      </c>
      <c r="E158" s="81" t="str">
        <f>IF(B158="","",VLOOKUP(B158,'DATA (2)'!$F$11:$K$1671,5,FALSE))</f>
        <v/>
      </c>
      <c r="I158" s="82" t="str">
        <f>IF(B158="","",SUMIF(Data!H157:H3768,B158,Data!AH157:AH3768))</f>
        <v/>
      </c>
      <c r="J158" s="82" t="str">
        <f>IF(B158="","",SUMIF(Data!H157:H1768,B158,Data!AG157:AG1768))</f>
        <v/>
      </c>
      <c r="K158" t="str">
        <f t="shared" si="3"/>
        <v/>
      </c>
    </row>
    <row r="159" spans="1:11" ht="15">
      <c r="A159" s="79" t="str">
        <f>IF(B159="","",VLOOKUP(B159,Data!$H$3:$P$1079,9,FALSE))</f>
        <v/>
      </c>
      <c r="C159" s="80" t="str">
        <f>IF(B159="","",VLOOKUP(B159,'DATA (2)'!$F$11:$K$6471,2,FALSE))</f>
        <v/>
      </c>
      <c r="E159" s="81" t="str">
        <f>IF(B159="","",VLOOKUP(B159,'DATA (2)'!$F$11:$K$1671,5,FALSE))</f>
        <v/>
      </c>
      <c r="I159" s="82" t="str">
        <f>IF(B159="","",SUMIF(Data!H158:H3769,B159,Data!AH158:AH3769))</f>
        <v/>
      </c>
      <c r="J159" s="82" t="str">
        <f>IF(B159="","",SUMIF(Data!H158:H1769,B159,Data!AG158:AG1769))</f>
        <v/>
      </c>
      <c r="K159" t="str">
        <f t="shared" si="3"/>
        <v/>
      </c>
    </row>
    <row r="160" spans="1:11" ht="15">
      <c r="A160" s="79" t="str">
        <f>IF(B160="","",VLOOKUP(B160,Data!$H$3:$P$1079,9,FALSE))</f>
        <v/>
      </c>
      <c r="C160" s="80" t="str">
        <f>IF(B160="","",VLOOKUP(B160,'DATA (2)'!$F$11:$K$6471,2,FALSE))</f>
        <v/>
      </c>
      <c r="E160" s="81" t="str">
        <f>IF(B160="","",VLOOKUP(B160,'DATA (2)'!$F$11:$K$1671,5,FALSE))</f>
        <v/>
      </c>
      <c r="I160" s="82" t="str">
        <f>IF(B160="","",SUMIF(Data!H159:H3770,B160,Data!AH159:AH3770))</f>
        <v/>
      </c>
      <c r="J160" s="82" t="str">
        <f>IF(B160="","",SUMIF(Data!H159:H1770,B160,Data!AG159:AG1770))</f>
        <v/>
      </c>
      <c r="K160" t="str">
        <f t="shared" si="3"/>
        <v/>
      </c>
    </row>
    <row r="161" spans="1:11" ht="15">
      <c r="A161" s="79" t="str">
        <f>IF(B161="","",VLOOKUP(B161,Data!$H$3:$P$1079,9,FALSE))</f>
        <v/>
      </c>
      <c r="C161" s="80" t="str">
        <f>IF(B161="","",VLOOKUP(B161,'DATA (2)'!$F$11:$K$6471,2,FALSE))</f>
        <v/>
      </c>
      <c r="E161" s="81" t="str">
        <f>IF(B161="","",VLOOKUP(B161,'DATA (2)'!$F$11:$K$1671,5,FALSE))</f>
        <v/>
      </c>
      <c r="I161" s="82" t="str">
        <f>IF(B161="","",SUMIF(Data!H160:H3771,B161,Data!AH160:AH3771))</f>
        <v/>
      </c>
      <c r="J161" s="82" t="str">
        <f>IF(B161="","",SUMIF(Data!H160:H1771,B161,Data!AG160:AG1771))</f>
        <v/>
      </c>
      <c r="K161" t="str">
        <f t="shared" si="3"/>
        <v/>
      </c>
    </row>
    <row r="162" spans="1:11" ht="15">
      <c r="A162" s="79" t="str">
        <f>IF(B162="","",VLOOKUP(B162,Data!$H$3:$P$1079,9,FALSE))</f>
        <v/>
      </c>
      <c r="C162" s="80" t="str">
        <f>IF(B162="","",VLOOKUP(B162,'DATA (2)'!$F$11:$K$6471,2,FALSE))</f>
        <v/>
      </c>
      <c r="E162" s="81" t="str">
        <f>IF(B162="","",VLOOKUP(B162,'DATA (2)'!$F$11:$K$1671,5,FALSE))</f>
        <v/>
      </c>
      <c r="I162" s="82" t="str">
        <f>IF(B162="","",SUMIF(Data!H161:H3772,B162,Data!AH161:AH3772))</f>
        <v/>
      </c>
      <c r="J162" s="82" t="str">
        <f>IF(B162="","",SUMIF(Data!H161:H1772,B162,Data!AG161:AG1772))</f>
        <v/>
      </c>
      <c r="K162" t="str">
        <f t="shared" si="3"/>
        <v/>
      </c>
    </row>
    <row r="163" spans="1:11" ht="15">
      <c r="A163" s="79" t="str">
        <f>IF(B163="","",VLOOKUP(B163,Data!$H$3:$P$1079,9,FALSE))</f>
        <v/>
      </c>
      <c r="C163" s="80" t="str">
        <f>IF(B163="","",VLOOKUP(B163,'DATA (2)'!$F$11:$K$6471,2,FALSE))</f>
        <v/>
      </c>
      <c r="E163" s="81" t="str">
        <f>IF(B163="","",VLOOKUP(B163,'DATA (2)'!$F$11:$K$1671,5,FALSE))</f>
        <v/>
      </c>
      <c r="I163" s="82" t="str">
        <f>IF(B163="","",SUMIF(Data!H162:H3773,B163,Data!AH162:AH3773))</f>
        <v/>
      </c>
      <c r="J163" s="82" t="str">
        <f>IF(B163="","",SUMIF(Data!H162:H1773,B163,Data!AG162:AG1773))</f>
        <v/>
      </c>
      <c r="K163" t="str">
        <f t="shared" si="3"/>
        <v/>
      </c>
    </row>
    <row r="164" spans="1:11" ht="15">
      <c r="A164" s="79" t="str">
        <f>IF(B164="","",VLOOKUP(B164,Data!$H$3:$P$1079,9,FALSE))</f>
        <v/>
      </c>
      <c r="C164" s="80" t="str">
        <f>IF(B164="","",VLOOKUP(B164,'DATA (2)'!$F$11:$K$6471,2,FALSE))</f>
        <v/>
      </c>
      <c r="E164" s="81" t="str">
        <f>IF(B164="","",VLOOKUP(B164,'DATA (2)'!$F$11:$K$1671,5,FALSE))</f>
        <v/>
      </c>
      <c r="I164" s="82" t="str">
        <f>IF(B164="","",SUMIF(Data!H163:H3774,B164,Data!AH163:AH3774))</f>
        <v/>
      </c>
      <c r="J164" s="82" t="str">
        <f>IF(B164="","",SUMIF(Data!H163:H1774,B164,Data!AG163:AG1774))</f>
        <v/>
      </c>
      <c r="K164" t="str">
        <f t="shared" si="3"/>
        <v/>
      </c>
    </row>
    <row r="165" spans="1:11" ht="15">
      <c r="A165" s="79" t="str">
        <f>IF(B165="","",VLOOKUP(B165,Data!$H$3:$P$1079,9,FALSE))</f>
        <v/>
      </c>
      <c r="C165" s="80" t="str">
        <f>IF(B165="","",VLOOKUP(B165,'DATA (2)'!$F$11:$K$6471,2,FALSE))</f>
        <v/>
      </c>
      <c r="E165" s="81" t="str">
        <f>IF(B165="","",VLOOKUP(B165,'DATA (2)'!$F$11:$K$1671,5,FALSE))</f>
        <v/>
      </c>
      <c r="I165" s="82" t="str">
        <f>IF(B165="","",SUMIF(Data!H164:H3775,B165,Data!AH164:AH3775))</f>
        <v/>
      </c>
      <c r="J165" s="82" t="str">
        <f>IF(B165="","",SUMIF(Data!H164:H1775,B165,Data!AG164:AG1775))</f>
        <v/>
      </c>
      <c r="K165" t="str">
        <f t="shared" si="3"/>
        <v/>
      </c>
    </row>
    <row r="166" spans="1:11" ht="15">
      <c r="A166" s="79" t="str">
        <f>IF(B166="","",VLOOKUP(B166,Data!$H$3:$P$1079,9,FALSE))</f>
        <v/>
      </c>
      <c r="C166" s="80" t="str">
        <f>IF(B166="","",VLOOKUP(B166,'DATA (2)'!$F$11:$K$6471,2,FALSE))</f>
        <v/>
      </c>
      <c r="E166" s="81" t="str">
        <f>IF(B166="","",VLOOKUP(B166,'DATA (2)'!$F$11:$K$1671,5,FALSE))</f>
        <v/>
      </c>
      <c r="I166" s="82" t="str">
        <f>IF(B166="","",SUMIF(Data!H165:H3776,B166,Data!AH165:AH3776))</f>
        <v/>
      </c>
      <c r="J166" s="82" t="str">
        <f>IF(B166="","",SUMIF(Data!H165:H1776,B166,Data!AG165:AG1776))</f>
        <v/>
      </c>
      <c r="K166" t="str">
        <f t="shared" si="3"/>
        <v/>
      </c>
    </row>
    <row r="167" spans="1:11" ht="15">
      <c r="A167" s="79" t="str">
        <f>IF(B167="","",VLOOKUP(B167,Data!$H$3:$P$1079,9,FALSE))</f>
        <v/>
      </c>
      <c r="C167" s="80" t="str">
        <f>IF(B167="","",VLOOKUP(B167,'DATA (2)'!$F$11:$K$6471,2,FALSE))</f>
        <v/>
      </c>
      <c r="E167" s="81" t="str">
        <f>IF(B167="","",VLOOKUP(B167,'DATA (2)'!$F$11:$K$1671,5,FALSE))</f>
        <v/>
      </c>
      <c r="I167" s="82" t="str">
        <f>IF(B167="","",SUMIF(Data!H166:H3777,B167,Data!AH166:AH3777))</f>
        <v/>
      </c>
      <c r="J167" s="82" t="str">
        <f>IF(B167="","",SUMIF(Data!H166:H1777,B167,Data!AG166:AG1777))</f>
        <v/>
      </c>
      <c r="K167" t="str">
        <f t="shared" si="3"/>
        <v/>
      </c>
    </row>
    <row r="168" spans="1:11" ht="15">
      <c r="A168" s="79" t="str">
        <f>IF(B168="","",VLOOKUP(B168,Data!$H$3:$P$1079,9,FALSE))</f>
        <v/>
      </c>
      <c r="C168" s="80" t="str">
        <f>IF(B168="","",VLOOKUP(B168,'DATA (2)'!$F$11:$K$6471,2,FALSE))</f>
        <v/>
      </c>
      <c r="E168" s="81" t="str">
        <f>IF(B168="","",VLOOKUP(B168,'DATA (2)'!$F$11:$K$1671,5,FALSE))</f>
        <v/>
      </c>
      <c r="I168" s="82" t="str">
        <f>IF(B168="","",SUMIF(Data!H167:H3778,B168,Data!AH167:AH3778))</f>
        <v/>
      </c>
      <c r="J168" s="82" t="str">
        <f>IF(B168="","",SUMIF(Data!H167:H1778,B168,Data!AG167:AG1778))</f>
        <v/>
      </c>
      <c r="K168" t="str">
        <f t="shared" si="3"/>
        <v/>
      </c>
    </row>
    <row r="169" spans="1:11" ht="15">
      <c r="A169" s="79" t="str">
        <f>IF(B169="","",VLOOKUP(B169,Data!$H$3:$P$1079,9,FALSE))</f>
        <v/>
      </c>
      <c r="C169" s="80" t="str">
        <f>IF(B169="","",VLOOKUP(B169,'DATA (2)'!$F$11:$K$6471,2,FALSE))</f>
        <v/>
      </c>
      <c r="E169" s="81" t="str">
        <f>IF(B169="","",VLOOKUP(B169,'DATA (2)'!$F$11:$K$1671,5,FALSE))</f>
        <v/>
      </c>
      <c r="I169" s="82" t="str">
        <f>IF(B169="","",SUMIF(Data!H168:H3779,B169,Data!AH168:AH3779))</f>
        <v/>
      </c>
      <c r="J169" s="82" t="str">
        <f>IF(B169="","",SUMIF(Data!H168:H1779,B169,Data!AG168:AG1779))</f>
        <v/>
      </c>
      <c r="K169" t="str">
        <f t="shared" si="3"/>
        <v/>
      </c>
    </row>
    <row r="170" spans="1:11" ht="15">
      <c r="A170" s="79" t="str">
        <f>IF(B170="","",VLOOKUP(B170,Data!$H$3:$P$1079,9,FALSE))</f>
        <v/>
      </c>
      <c r="C170" s="80" t="str">
        <f>IF(B170="","",VLOOKUP(B170,'DATA (2)'!$F$11:$K$6471,2,FALSE))</f>
        <v/>
      </c>
      <c r="E170" s="81" t="str">
        <f>IF(B170="","",VLOOKUP(B170,'DATA (2)'!$F$11:$K$1671,5,FALSE))</f>
        <v/>
      </c>
      <c r="I170" s="82" t="str">
        <f>IF(B170="","",SUMIF(Data!H169:H3780,B170,Data!AH169:AH3780))</f>
        <v/>
      </c>
      <c r="J170" s="82" t="str">
        <f>IF(B170="","",SUMIF(Data!H169:H1780,B170,Data!AG169:AG1780))</f>
        <v/>
      </c>
      <c r="K170" t="str">
        <f t="shared" si="3"/>
        <v/>
      </c>
    </row>
    <row r="171" spans="1:11" ht="15">
      <c r="A171" s="79" t="str">
        <f>IF(B171="","",VLOOKUP(B171,Data!$H$3:$P$1079,9,FALSE))</f>
        <v/>
      </c>
      <c r="C171" s="80" t="str">
        <f>IF(B171="","",VLOOKUP(B171,'DATA (2)'!$F$11:$K$6471,2,FALSE))</f>
        <v/>
      </c>
      <c r="E171" s="81" t="str">
        <f>IF(B171="","",VLOOKUP(B171,'DATA (2)'!$F$11:$K$1671,5,FALSE))</f>
        <v/>
      </c>
      <c r="I171" s="82" t="str">
        <f>IF(B171="","",SUMIF(Data!H170:H3781,B171,Data!AH170:AH3781))</f>
        <v/>
      </c>
      <c r="J171" s="82" t="str">
        <f>IF(B171="","",SUMIF(Data!H170:H1781,B171,Data!AG170:AG1781))</f>
        <v/>
      </c>
      <c r="K171" t="str">
        <f t="shared" si="3"/>
        <v/>
      </c>
    </row>
    <row r="172" spans="1:11" ht="15">
      <c r="A172" s="79" t="str">
        <f>IF(B172="","",VLOOKUP(B172,Data!$H$3:$P$1079,9,FALSE))</f>
        <v/>
      </c>
      <c r="C172" s="80" t="str">
        <f>IF(B172="","",VLOOKUP(B172,'DATA (2)'!$F$11:$K$6471,2,FALSE))</f>
        <v/>
      </c>
      <c r="E172" s="81" t="str">
        <f>IF(B172="","",VLOOKUP(B172,'DATA (2)'!$F$11:$K$1671,5,FALSE))</f>
        <v/>
      </c>
      <c r="I172" s="82" t="str">
        <f>IF(B172="","",SUMIF(Data!H171:H3782,B172,Data!AH171:AH3782))</f>
        <v/>
      </c>
      <c r="J172" s="82" t="str">
        <f>IF(B172="","",SUMIF(Data!H171:H1782,B172,Data!AG171:AG1782))</f>
        <v/>
      </c>
      <c r="K172" t="str">
        <f t="shared" si="3"/>
        <v/>
      </c>
    </row>
    <row r="173" spans="1:11" ht="15">
      <c r="A173" s="79" t="str">
        <f>IF(B173="","",VLOOKUP(B173,Data!$H$3:$P$1079,9,FALSE))</f>
        <v/>
      </c>
      <c r="C173" s="80" t="str">
        <f>IF(B173="","",VLOOKUP(B173,'DATA (2)'!$F$11:$K$6471,2,FALSE))</f>
        <v/>
      </c>
      <c r="E173" s="81" t="str">
        <f>IF(B173="","",VLOOKUP(B173,'DATA (2)'!$F$11:$K$1671,5,FALSE))</f>
        <v/>
      </c>
      <c r="I173" s="82" t="str">
        <f>IF(B173="","",SUMIF(Data!H172:H3783,B173,Data!AH172:AH3783))</f>
        <v/>
      </c>
      <c r="J173" s="82" t="str">
        <f>IF(B173="","",SUMIF(Data!H172:H1783,B173,Data!AG172:AG1783))</f>
        <v/>
      </c>
      <c r="K173" t="str">
        <f t="shared" si="3"/>
        <v/>
      </c>
    </row>
    <row r="174" spans="1:11" ht="15">
      <c r="A174" s="79" t="str">
        <f>IF(B174="","",VLOOKUP(B174,Data!$H$3:$P$1079,9,FALSE))</f>
        <v/>
      </c>
      <c r="C174" s="80" t="str">
        <f>IF(B174="","",VLOOKUP(B174,'DATA (2)'!$F$11:$K$6471,2,FALSE))</f>
        <v/>
      </c>
      <c r="E174" s="81" t="str">
        <f>IF(B174="","",VLOOKUP(B174,'DATA (2)'!$F$11:$K$1671,5,FALSE))</f>
        <v/>
      </c>
      <c r="I174" s="82" t="str">
        <f>IF(B174="","",SUMIF(Data!H173:H3784,B174,Data!AH173:AH3784))</f>
        <v/>
      </c>
      <c r="J174" s="82" t="str">
        <f>IF(B174="","",SUMIF(Data!H173:H1784,B174,Data!AG173:AG1784))</f>
        <v/>
      </c>
      <c r="K174" t="str">
        <f t="shared" si="3"/>
        <v/>
      </c>
    </row>
    <row r="175" spans="1:11" ht="15">
      <c r="A175" s="79" t="str">
        <f>IF(B175="","",VLOOKUP(B175,Data!$H$3:$P$1079,9,FALSE))</f>
        <v/>
      </c>
      <c r="C175" s="80" t="str">
        <f>IF(B175="","",VLOOKUP(B175,'DATA (2)'!$F$11:$K$6471,2,FALSE))</f>
        <v/>
      </c>
      <c r="E175" s="81" t="str">
        <f>IF(B175="","",VLOOKUP(B175,'DATA (2)'!$F$11:$K$1671,5,FALSE))</f>
        <v/>
      </c>
      <c r="I175" s="82" t="str">
        <f>IF(B175="","",SUMIF(Data!H174:H3785,B175,Data!AH174:AH3785))</f>
        <v/>
      </c>
      <c r="J175" s="82" t="str">
        <f>IF(B175="","",SUMIF(Data!H174:H1785,B175,Data!AG174:AG1785))</f>
        <v/>
      </c>
      <c r="K175" t="str">
        <f t="shared" si="3"/>
        <v/>
      </c>
    </row>
    <row r="176" spans="1:11" ht="15">
      <c r="A176" s="79" t="str">
        <f>IF(B176="","",VLOOKUP(B176,Data!$H$3:$P$1079,9,FALSE))</f>
        <v/>
      </c>
      <c r="C176" s="80" t="str">
        <f>IF(B176="","",VLOOKUP(B176,'DATA (2)'!$F$11:$K$6471,2,FALSE))</f>
        <v/>
      </c>
      <c r="E176" s="81" t="str">
        <f>IF(B176="","",VLOOKUP(B176,'DATA (2)'!$F$11:$K$1671,5,FALSE))</f>
        <v/>
      </c>
      <c r="I176" s="82" t="str">
        <f>IF(B176="","",SUMIF(Data!H175:H3786,B176,Data!AH175:AH3786))</f>
        <v/>
      </c>
      <c r="J176" s="82" t="str">
        <f>IF(B176="","",SUMIF(Data!H175:H1786,B176,Data!AG175:AG1786))</f>
        <v/>
      </c>
      <c r="K176" t="str">
        <f t="shared" si="3"/>
        <v/>
      </c>
    </row>
    <row r="177" spans="1:11" ht="15">
      <c r="A177" s="79" t="str">
        <f>IF(B177="","",VLOOKUP(B177,Data!$H$3:$P$1079,9,FALSE))</f>
        <v/>
      </c>
      <c r="C177" s="80" t="str">
        <f>IF(B177="","",VLOOKUP(B177,'DATA (2)'!$F$11:$K$6471,2,FALSE))</f>
        <v/>
      </c>
      <c r="E177" s="81" t="str">
        <f>IF(B177="","",VLOOKUP(B177,'DATA (2)'!$F$11:$K$1671,5,FALSE))</f>
        <v/>
      </c>
      <c r="I177" s="82" t="str">
        <f>IF(B177="","",SUMIF(Data!H176:H3787,B177,Data!AH176:AH3787))</f>
        <v/>
      </c>
      <c r="J177" s="82" t="str">
        <f>IF(B177="","",SUMIF(Data!H176:H1787,B177,Data!AG176:AG1787))</f>
        <v/>
      </c>
      <c r="K177" t="str">
        <f t="shared" si="3"/>
        <v/>
      </c>
    </row>
    <row r="178" spans="1:11" ht="15">
      <c r="A178" s="79" t="str">
        <f>IF(B178="","",VLOOKUP(B178,Data!$H$3:$P$1079,9,FALSE))</f>
        <v/>
      </c>
      <c r="C178" s="80" t="str">
        <f>IF(B178="","",VLOOKUP(B178,'DATA (2)'!$F$11:$K$6471,2,FALSE))</f>
        <v/>
      </c>
      <c r="E178" s="81" t="str">
        <f>IF(B178="","",VLOOKUP(B178,'DATA (2)'!$F$11:$K$1671,5,FALSE))</f>
        <v/>
      </c>
      <c r="I178" s="82" t="str">
        <f>IF(B178="","",SUMIF(Data!H177:H3788,B178,Data!AH177:AH3788))</f>
        <v/>
      </c>
      <c r="J178" s="82" t="str">
        <f>IF(B178="","",SUMIF(Data!H177:H1788,B178,Data!AG177:AG1788))</f>
        <v/>
      </c>
      <c r="K178" t="str">
        <f t="shared" si="3"/>
        <v/>
      </c>
    </row>
    <row r="179" spans="1:11" ht="15">
      <c r="A179" s="79" t="str">
        <f>IF(B179="","",VLOOKUP(B179,Data!$H$3:$P$1079,9,FALSE))</f>
        <v/>
      </c>
      <c r="C179" s="80" t="str">
        <f>IF(B179="","",VLOOKUP(B179,'DATA (2)'!$F$11:$K$6471,2,FALSE))</f>
        <v/>
      </c>
      <c r="E179" s="81" t="str">
        <f>IF(B179="","",VLOOKUP(B179,'DATA (2)'!$F$11:$K$1671,5,FALSE))</f>
        <v/>
      </c>
      <c r="I179" s="82" t="str">
        <f>IF(B179="","",SUMIF(Data!H178:H3789,B179,Data!AH178:AH3789))</f>
        <v/>
      </c>
      <c r="J179" s="82" t="str">
        <f>IF(B179="","",SUMIF(Data!H178:H1789,B179,Data!AG178:AG1789))</f>
        <v/>
      </c>
      <c r="K179" t="str">
        <f t="shared" si="3"/>
        <v/>
      </c>
    </row>
    <row r="180" spans="1:11" ht="15">
      <c r="A180" s="79" t="str">
        <f>IF(B180="","",VLOOKUP(B180,Data!$H$3:$P$1079,9,FALSE))</f>
        <v/>
      </c>
      <c r="C180" s="80" t="str">
        <f>IF(B180="","",VLOOKUP(B180,'DATA (2)'!$F$11:$K$6471,2,FALSE))</f>
        <v/>
      </c>
      <c r="E180" s="81" t="str">
        <f>IF(B180="","",VLOOKUP(B180,'DATA (2)'!$F$11:$K$1671,5,FALSE))</f>
        <v/>
      </c>
      <c r="I180" s="82" t="str">
        <f>IF(B180="","",SUMIF(Data!H179:H3790,B180,Data!AH179:AH3790))</f>
        <v/>
      </c>
      <c r="J180" s="82" t="str">
        <f>IF(B180="","",SUMIF(Data!H179:H1790,B180,Data!AG179:AG1790))</f>
        <v/>
      </c>
      <c r="K180" t="str">
        <f t="shared" si="3"/>
        <v/>
      </c>
    </row>
    <row r="181" spans="1:11" ht="15">
      <c r="A181" s="79" t="str">
        <f>IF(B181="","",VLOOKUP(B181,Data!$H$3:$P$1079,9,FALSE))</f>
        <v/>
      </c>
      <c r="C181" s="80" t="str">
        <f>IF(B181="","",VLOOKUP(B181,'DATA (2)'!$F$11:$K$6471,2,FALSE))</f>
        <v/>
      </c>
      <c r="E181" s="81" t="str">
        <f>IF(B181="","",VLOOKUP(B181,'DATA (2)'!$F$11:$K$1671,5,FALSE))</f>
        <v/>
      </c>
      <c r="I181" s="82" t="str">
        <f>IF(B181="","",SUMIF(Data!H180:H3791,B181,Data!AH180:AH3791))</f>
        <v/>
      </c>
      <c r="J181" s="82" t="str">
        <f>IF(B181="","",SUMIF(Data!H180:H1791,B181,Data!AG180:AG1791))</f>
        <v/>
      </c>
      <c r="K181" t="str">
        <f t="shared" si="3"/>
        <v/>
      </c>
    </row>
    <row r="182" spans="1:11" ht="15">
      <c r="A182" s="79" t="str">
        <f>IF(B182="","",VLOOKUP(B182,Data!$H$3:$P$1079,9,FALSE))</f>
        <v/>
      </c>
      <c r="C182" s="80" t="str">
        <f>IF(B182="","",VLOOKUP(B182,'DATA (2)'!$F$11:$K$6471,2,FALSE))</f>
        <v/>
      </c>
      <c r="E182" s="81" t="str">
        <f>IF(B182="","",VLOOKUP(B182,'DATA (2)'!$F$11:$K$1671,5,FALSE))</f>
        <v/>
      </c>
      <c r="I182" s="82" t="str">
        <f>IF(B182="","",SUMIF(Data!H181:H3792,B182,Data!AH181:AH3792))</f>
        <v/>
      </c>
      <c r="J182" s="82" t="str">
        <f>IF(B182="","",SUMIF(Data!H181:H1792,B182,Data!AG181:AG1792))</f>
        <v/>
      </c>
      <c r="K182" t="str">
        <f t="shared" si="3"/>
        <v/>
      </c>
    </row>
    <row r="183" spans="1:11" ht="15">
      <c r="A183" s="79" t="str">
        <f>IF(B183="","",VLOOKUP(B183,Data!$H$3:$P$1079,9,FALSE))</f>
        <v/>
      </c>
      <c r="C183" s="80" t="str">
        <f>IF(B183="","",VLOOKUP(B183,'DATA (2)'!$F$11:$K$6471,2,FALSE))</f>
        <v/>
      </c>
      <c r="E183" s="81" t="str">
        <f>IF(B183="","",VLOOKUP(B183,'DATA (2)'!$F$11:$K$1671,5,FALSE))</f>
        <v/>
      </c>
      <c r="I183" s="82" t="str">
        <f>IF(B183="","",SUMIF(Data!H182:H3793,B183,Data!AH182:AH3793))</f>
        <v/>
      </c>
      <c r="J183" s="82" t="str">
        <f>IF(B183="","",SUMIF(Data!H182:H1793,B183,Data!AG182:AG1793))</f>
        <v/>
      </c>
      <c r="K183" t="str">
        <f t="shared" si="3"/>
        <v/>
      </c>
    </row>
    <row r="184" spans="1:11" ht="15">
      <c r="A184" s="79" t="str">
        <f>IF(B184="","",VLOOKUP(B184,Data!$H$3:$P$1079,9,FALSE))</f>
        <v/>
      </c>
      <c r="C184" s="80" t="str">
        <f>IF(B184="","",VLOOKUP(B184,'DATA (2)'!$F$11:$K$6471,2,FALSE))</f>
        <v/>
      </c>
      <c r="E184" s="81" t="str">
        <f>IF(B184="","",VLOOKUP(B184,'DATA (2)'!$F$11:$K$1671,5,FALSE))</f>
        <v/>
      </c>
      <c r="I184" s="82" t="str">
        <f>IF(B184="","",SUMIF(Data!H183:H3794,B184,Data!AH183:AH3794))</f>
        <v/>
      </c>
      <c r="J184" s="82" t="str">
        <f>IF(B184="","",SUMIF(Data!H183:H1794,B184,Data!AG183:AG1794))</f>
        <v/>
      </c>
      <c r="K184" t="str">
        <f t="shared" si="3"/>
        <v/>
      </c>
    </row>
    <row r="185" spans="1:11" ht="15">
      <c r="A185" s="79" t="str">
        <f>IF(B185="","",VLOOKUP(B185,Data!$H$3:$P$1079,9,FALSE))</f>
        <v/>
      </c>
      <c r="C185" s="80" t="str">
        <f>IF(B185="","",VLOOKUP(B185,'DATA (2)'!$F$11:$K$6471,2,FALSE))</f>
        <v/>
      </c>
      <c r="E185" s="81" t="str">
        <f>IF(B185="","",VLOOKUP(B185,'DATA (2)'!$F$11:$K$1671,5,FALSE))</f>
        <v/>
      </c>
      <c r="I185" s="82" t="str">
        <f>IF(B185="","",SUMIF(Data!H184:H3795,B185,Data!AH184:AH3795))</f>
        <v/>
      </c>
      <c r="J185" s="82" t="str">
        <f>IF(B185="","",SUMIF(Data!H184:H1795,B185,Data!AG184:AG1795))</f>
        <v/>
      </c>
      <c r="K185" t="str">
        <f t="shared" si="3"/>
        <v/>
      </c>
    </row>
    <row r="186" spans="1:11" ht="15">
      <c r="A186" s="79" t="str">
        <f>IF(B186="","",VLOOKUP(B186,Data!$H$3:$P$1079,9,FALSE))</f>
        <v/>
      </c>
      <c r="C186" s="80" t="str">
        <f>IF(B186="","",VLOOKUP(B186,'DATA (2)'!$F$11:$K$6471,2,FALSE))</f>
        <v/>
      </c>
      <c r="E186" s="81" t="str">
        <f>IF(B186="","",VLOOKUP(B186,'DATA (2)'!$F$11:$K$1671,5,FALSE))</f>
        <v/>
      </c>
      <c r="I186" s="82" t="str">
        <f>IF(B186="","",SUMIF(Data!H185:H3796,B186,Data!AH185:AH3796))</f>
        <v/>
      </c>
      <c r="J186" s="82" t="str">
        <f>IF(B186="","",SUMIF(Data!H185:H1796,B186,Data!AG185:AG1796))</f>
        <v/>
      </c>
      <c r="K186" t="str">
        <f t="shared" si="3"/>
        <v/>
      </c>
    </row>
    <row r="187" spans="1:11" ht="15">
      <c r="A187" s="79" t="str">
        <f>IF(B187="","",VLOOKUP(B187,Data!$H$3:$P$1079,9,FALSE))</f>
        <v/>
      </c>
      <c r="C187" s="80" t="str">
        <f>IF(B187="","",VLOOKUP(B187,'DATA (2)'!$F$11:$K$6471,2,FALSE))</f>
        <v/>
      </c>
      <c r="E187" s="81" t="str">
        <f>IF(B187="","",VLOOKUP(B187,'DATA (2)'!$F$11:$K$1671,5,FALSE))</f>
        <v/>
      </c>
      <c r="I187" s="82" t="str">
        <f>IF(B187="","",SUMIF(Data!H186:H3797,B187,Data!AH186:AH3797))</f>
        <v/>
      </c>
      <c r="J187" s="82" t="str">
        <f>IF(B187="","",SUMIF(Data!H186:H1797,B187,Data!AG186:AG1797))</f>
        <v/>
      </c>
      <c r="K187" t="str">
        <f t="shared" si="3"/>
        <v/>
      </c>
    </row>
    <row r="188" spans="1:11" ht="15">
      <c r="A188" s="79" t="str">
        <f>IF(B188="","",VLOOKUP(B188,Data!$H$3:$P$1079,9,FALSE))</f>
        <v/>
      </c>
      <c r="C188" s="80" t="str">
        <f>IF(B188="","",VLOOKUP(B188,'DATA (2)'!$F$11:$K$6471,2,FALSE))</f>
        <v/>
      </c>
      <c r="E188" s="81" t="str">
        <f>IF(B188="","",VLOOKUP(B188,'DATA (2)'!$F$11:$K$1671,5,FALSE))</f>
        <v/>
      </c>
      <c r="I188" s="82" t="str">
        <f>IF(B188="","",SUMIF(Data!H187:H3798,B188,Data!AH187:AH3798))</f>
        <v/>
      </c>
      <c r="J188" s="82" t="str">
        <f>IF(B188="","",SUMIF(Data!H187:H1798,B188,Data!AG187:AG1798))</f>
        <v/>
      </c>
      <c r="K188" t="str">
        <f t="shared" si="3"/>
        <v/>
      </c>
    </row>
    <row r="189" spans="1:11" ht="15">
      <c r="A189" s="79" t="str">
        <f>IF(B189="","",VLOOKUP(B189,Data!$H$3:$P$1079,9,FALSE))</f>
        <v/>
      </c>
      <c r="C189" s="80" t="str">
        <f>IF(B189="","",VLOOKUP(B189,'DATA (2)'!$F$11:$K$6471,2,FALSE))</f>
        <v/>
      </c>
      <c r="E189" s="81" t="str">
        <f>IF(B189="","",VLOOKUP(B189,'DATA (2)'!$F$11:$K$1671,5,FALSE))</f>
        <v/>
      </c>
      <c r="I189" s="82" t="str">
        <f>IF(B189="","",SUMIF(Data!H188:H3799,B189,Data!AH188:AH3799))</f>
        <v/>
      </c>
      <c r="J189" s="82" t="str">
        <f>IF(B189="","",SUMIF(Data!H188:H1799,B189,Data!AG188:AG1799))</f>
        <v/>
      </c>
      <c r="K189" t="str">
        <f t="shared" si="3"/>
        <v/>
      </c>
    </row>
    <row r="190" spans="1:11" ht="15">
      <c r="A190" s="79" t="str">
        <f>IF(B190="","",VLOOKUP(B190,Data!$H$3:$P$1079,9,FALSE))</f>
        <v/>
      </c>
      <c r="C190" s="80" t="str">
        <f>IF(B190="","",VLOOKUP(B190,'DATA (2)'!$F$11:$K$6471,2,FALSE))</f>
        <v/>
      </c>
      <c r="E190" s="81" t="str">
        <f>IF(B190="","",VLOOKUP(B190,'DATA (2)'!$F$11:$K$1671,5,FALSE))</f>
        <v/>
      </c>
      <c r="I190" s="82" t="str">
        <f>IF(B190="","",SUMIF(Data!H189:H3800,B190,Data!AH189:AH3800))</f>
        <v/>
      </c>
      <c r="J190" s="82" t="str">
        <f>IF(B190="","",SUMIF(Data!H189:H1800,B190,Data!AG189:AG1800))</f>
        <v/>
      </c>
      <c r="K190" t="str">
        <f t="shared" si="3"/>
        <v/>
      </c>
    </row>
    <row r="191" spans="1:11" ht="15">
      <c r="A191" s="79" t="str">
        <f>IF(B191="","",VLOOKUP(B191,Data!$H$3:$P$1079,9,FALSE))</f>
        <v/>
      </c>
      <c r="C191" s="80" t="str">
        <f>IF(B191="","",VLOOKUP(B191,'DATA (2)'!$F$11:$K$6471,2,FALSE))</f>
        <v/>
      </c>
      <c r="E191" s="81" t="str">
        <f>IF(B191="","",VLOOKUP(B191,'DATA (2)'!$F$11:$K$1671,5,FALSE))</f>
        <v/>
      </c>
      <c r="I191" s="82" t="str">
        <f>IF(B191="","",SUMIF(Data!H190:H3801,B191,Data!AH190:AH3801))</f>
        <v/>
      </c>
      <c r="J191" s="82" t="str">
        <f>IF(B191="","",SUMIF(Data!H190:H1801,B191,Data!AG190:AG1801))</f>
        <v/>
      </c>
      <c r="K191" t="str">
        <f t="shared" si="3"/>
        <v/>
      </c>
    </row>
    <row r="192" spans="1:11" ht="15">
      <c r="A192" s="79" t="str">
        <f>IF(B192="","",VLOOKUP(B192,Data!$H$3:$P$1079,9,FALSE))</f>
        <v/>
      </c>
      <c r="C192" s="80" t="str">
        <f>IF(B192="","",VLOOKUP(B192,'DATA (2)'!$F$11:$K$6471,2,FALSE))</f>
        <v/>
      </c>
      <c r="E192" s="81" t="str">
        <f>IF(B192="","",VLOOKUP(B192,'DATA (2)'!$F$11:$K$1671,5,FALSE))</f>
        <v/>
      </c>
      <c r="I192" s="82" t="str">
        <f>IF(B192="","",SUMIF(Data!H191:H3802,B192,Data!AH191:AH3802))</f>
        <v/>
      </c>
      <c r="J192" s="82" t="str">
        <f>IF(B192="","",SUMIF(Data!H191:H1802,B192,Data!AG191:AG1802))</f>
        <v/>
      </c>
      <c r="K192" t="str">
        <f t="shared" si="3"/>
        <v/>
      </c>
    </row>
    <row r="193" spans="1:11" ht="15">
      <c r="A193" s="79" t="str">
        <f>IF(B193="","",VLOOKUP(B193,Data!$H$3:$P$1079,9,FALSE))</f>
        <v/>
      </c>
      <c r="C193" s="80" t="str">
        <f>IF(B193="","",VLOOKUP(B193,'DATA (2)'!$F$11:$K$6471,2,FALSE))</f>
        <v/>
      </c>
      <c r="E193" s="81" t="str">
        <f>IF(B193="","",VLOOKUP(B193,'DATA (2)'!$F$11:$K$1671,5,FALSE))</f>
        <v/>
      </c>
      <c r="I193" s="82" t="str">
        <f>IF(B193="","",SUMIF(Data!H192:H3803,B193,Data!AH192:AH3803))</f>
        <v/>
      </c>
      <c r="J193" s="82" t="str">
        <f>IF(B193="","",SUMIF(Data!H192:H1803,B193,Data!AG192:AG1803))</f>
        <v/>
      </c>
      <c r="K193" t="str">
        <f t="shared" si="3"/>
        <v/>
      </c>
    </row>
    <row r="194" spans="1:11" ht="15">
      <c r="A194" s="79" t="str">
        <f>IF(B194="","",VLOOKUP(B194,Data!$H$3:$P$1079,9,FALSE))</f>
        <v/>
      </c>
      <c r="C194" s="80" t="str">
        <f>IF(B194="","",VLOOKUP(B194,'DATA (2)'!$F$11:$K$6471,2,FALSE))</f>
        <v/>
      </c>
      <c r="E194" s="81" t="str">
        <f>IF(B194="","",VLOOKUP(B194,'DATA (2)'!$F$11:$K$1671,5,FALSE))</f>
        <v/>
      </c>
      <c r="I194" s="82" t="str">
        <f>IF(B194="","",SUMIF(Data!H193:H3804,B194,Data!AH193:AH3804))</f>
        <v/>
      </c>
      <c r="J194" s="82" t="str">
        <f>IF(B194="","",SUMIF(Data!H193:H1804,B194,Data!AG193:AG1804))</f>
        <v/>
      </c>
      <c r="K194" t="str">
        <f t="shared" si="3"/>
        <v/>
      </c>
    </row>
    <row r="195" spans="1:11" ht="15">
      <c r="A195" s="79" t="str">
        <f>IF(B195="","",VLOOKUP(B195,Data!$H$3:$P$1079,9,FALSE))</f>
        <v/>
      </c>
      <c r="C195" s="80" t="str">
        <f>IF(B195="","",VLOOKUP(B195,'DATA (2)'!$F$11:$K$6471,2,FALSE))</f>
        <v/>
      </c>
      <c r="E195" s="81" t="str">
        <f>IF(B195="","",VLOOKUP(B195,'DATA (2)'!$F$11:$K$1671,5,FALSE))</f>
        <v/>
      </c>
      <c r="I195" s="82" t="str">
        <f>IF(B195="","",SUMIF(Data!H194:H3805,B195,Data!AH194:AH3805))</f>
        <v/>
      </c>
      <c r="J195" s="82" t="str">
        <f>IF(B195="","",SUMIF(Data!H194:H1805,B195,Data!AG194:AG1805))</f>
        <v/>
      </c>
      <c r="K195" t="str">
        <f t="shared" si="3"/>
        <v/>
      </c>
    </row>
    <row r="196" spans="1:11" ht="15">
      <c r="A196" s="79" t="str">
        <f>IF(B196="","",VLOOKUP(B196,Data!$H$3:$P$1079,9,FALSE))</f>
        <v/>
      </c>
      <c r="C196" s="80" t="str">
        <f>IF(B196="","",VLOOKUP(B196,'DATA (2)'!$F$11:$K$6471,2,FALSE))</f>
        <v/>
      </c>
      <c r="E196" s="81" t="str">
        <f>IF(B196="","",VLOOKUP(B196,'DATA (2)'!$F$11:$K$1671,5,FALSE))</f>
        <v/>
      </c>
      <c r="I196" s="82" t="str">
        <f>IF(B196="","",SUMIF(Data!H195:H3806,B196,Data!AH195:AH3806))</f>
        <v/>
      </c>
      <c r="J196" s="82" t="str">
        <f>IF(B196="","",SUMIF(Data!H195:H1806,B196,Data!AG195:AG1806))</f>
        <v/>
      </c>
      <c r="K196" t="str">
        <f t="shared" si="3"/>
        <v/>
      </c>
    </row>
    <row r="197" spans="1:11" ht="15">
      <c r="A197" s="79" t="str">
        <f>IF(B197="","",VLOOKUP(B197,Data!$H$3:$P$1079,9,FALSE))</f>
        <v/>
      </c>
      <c r="C197" s="80" t="str">
        <f>IF(B197="","",VLOOKUP(B197,'DATA (2)'!$F$11:$K$6471,2,FALSE))</f>
        <v/>
      </c>
      <c r="E197" s="81" t="str">
        <f>IF(B197="","",VLOOKUP(B197,'DATA (2)'!$F$11:$K$1671,5,FALSE))</f>
        <v/>
      </c>
      <c r="I197" s="82" t="str">
        <f>IF(B197="","",SUMIF(Data!H196:H3807,B197,Data!AH196:AH3807))</f>
        <v/>
      </c>
      <c r="J197" s="82" t="str">
        <f>IF(B197="","",SUMIF(Data!H196:H1807,B197,Data!AG196:AG1807))</f>
        <v/>
      </c>
      <c r="K197" t="str">
        <f t="shared" si="3"/>
        <v/>
      </c>
    </row>
    <row r="198" spans="1:11" ht="15">
      <c r="A198" s="79" t="str">
        <f>IF(B198="","",VLOOKUP(B198,Data!$H$3:$P$1079,9,FALSE))</f>
        <v/>
      </c>
      <c r="C198" s="80" t="str">
        <f>IF(B198="","",VLOOKUP(B198,'DATA (2)'!$F$11:$K$6471,2,FALSE))</f>
        <v/>
      </c>
      <c r="E198" s="81" t="str">
        <f>IF(B198="","",VLOOKUP(B198,'DATA (2)'!$F$11:$K$1671,5,FALSE))</f>
        <v/>
      </c>
      <c r="I198" s="82" t="str">
        <f>IF(B198="","",SUMIF(Data!H197:H3808,B198,Data!AH197:AH3808))</f>
        <v/>
      </c>
      <c r="J198" s="82" t="str">
        <f>IF(B198="","",SUMIF(Data!H197:H1808,B198,Data!AG197:AG1808))</f>
        <v/>
      </c>
      <c r="K198" t="str">
        <f t="shared" si="3"/>
        <v/>
      </c>
    </row>
    <row r="199" spans="1:11" ht="15">
      <c r="A199" s="79" t="str">
        <f>IF(B199="","",VLOOKUP(B199,Data!$H$3:$P$1079,9,FALSE))</f>
        <v/>
      </c>
      <c r="C199" s="80" t="str">
        <f>IF(B199="","",VLOOKUP(B199,'DATA (2)'!$F$11:$K$6471,2,FALSE))</f>
        <v/>
      </c>
      <c r="E199" s="81" t="str">
        <f>IF(B199="","",VLOOKUP(B199,'DATA (2)'!$F$11:$K$1671,5,FALSE))</f>
        <v/>
      </c>
      <c r="I199" s="82" t="str">
        <f>IF(B199="","",SUMIF(Data!H198:H3809,B199,Data!AH198:AH3809))</f>
        <v/>
      </c>
      <c r="J199" s="82" t="str">
        <f>IF(B199="","",SUMIF(Data!H198:H1809,B199,Data!AG198:AG1809))</f>
        <v/>
      </c>
      <c r="K199" t="str">
        <f t="shared" si="3"/>
        <v/>
      </c>
    </row>
    <row r="200" spans="1:11" ht="15">
      <c r="A200" s="79" t="str">
        <f>IF(B200="","",VLOOKUP(B200,Data!$H$3:$P$1079,9,FALSE))</f>
        <v/>
      </c>
      <c r="C200" s="80" t="str">
        <f>IF(B200="","",VLOOKUP(B200,'DATA (2)'!$F$11:$K$6471,2,FALSE))</f>
        <v/>
      </c>
      <c r="E200" s="81" t="str">
        <f>IF(B200="","",VLOOKUP(B200,'DATA (2)'!$F$11:$K$1671,5,FALSE))</f>
        <v/>
      </c>
      <c r="I200" s="82" t="str">
        <f>IF(B200="","",SUMIF(Data!H199:H3810,B200,Data!AH199:AH3810))</f>
        <v/>
      </c>
      <c r="J200" s="82" t="str">
        <f>IF(B200="","",SUMIF(Data!H199:H1810,B200,Data!AG199:AG1810))</f>
        <v/>
      </c>
      <c r="K200" t="str">
        <f t="shared" si="3"/>
        <v/>
      </c>
    </row>
    <row r="201" spans="1:11" ht="15">
      <c r="A201" s="79" t="str">
        <f>IF(B201="","",VLOOKUP(B201,Data!$H$3:$P$1079,9,FALSE))</f>
        <v/>
      </c>
      <c r="C201" s="80" t="str">
        <f>IF(B201="","",VLOOKUP(B201,'DATA (2)'!$F$11:$K$6471,2,FALSE))</f>
        <v/>
      </c>
      <c r="E201" s="81" t="str">
        <f>IF(B201="","",VLOOKUP(B201,'DATA (2)'!$F$11:$K$1671,5,FALSE))</f>
        <v/>
      </c>
      <c r="I201" s="82" t="str">
        <f>IF(B201="","",SUMIF(Data!H200:H3811,B201,Data!AH200:AH3811))</f>
        <v/>
      </c>
      <c r="J201" s="82" t="str">
        <f>IF(B201="","",SUMIF(Data!H200:H1811,B201,Data!AG200:AG1811))</f>
        <v/>
      </c>
      <c r="K201" t="str">
        <f t="shared" si="3"/>
        <v/>
      </c>
    </row>
    <row r="202" spans="1:11" ht="15">
      <c r="A202" s="79" t="str">
        <f>IF(B202="","",VLOOKUP(B202,Data!$H$3:$P$1079,9,FALSE))</f>
        <v/>
      </c>
      <c r="C202" s="80" t="str">
        <f>IF(B202="","",VLOOKUP(B202,'DATA (2)'!$F$11:$K$6471,2,FALSE))</f>
        <v/>
      </c>
      <c r="E202" s="81" t="str">
        <f>IF(B202="","",VLOOKUP(B202,'DATA (2)'!$F$11:$K$1671,5,FALSE))</f>
        <v/>
      </c>
      <c r="I202" s="82" t="str">
        <f>IF(B202="","",SUMIF(Data!H201:H3812,B202,Data!AH201:AH3812))</f>
        <v/>
      </c>
      <c r="J202" s="82" t="str">
        <f>IF(B202="","",SUMIF(Data!H201:H1812,B202,Data!AG201:AG1812))</f>
        <v/>
      </c>
      <c r="K202" t="str">
        <f t="shared" si="3"/>
        <v/>
      </c>
    </row>
    <row r="203" spans="1:11" ht="15">
      <c r="A203" s="79" t="str">
        <f>IF(B203="","",VLOOKUP(B203,Data!$H$3:$P$1079,9,FALSE))</f>
        <v/>
      </c>
      <c r="C203" s="80" t="str">
        <f>IF(B203="","",VLOOKUP(B203,'DATA (2)'!$F$11:$K$6471,2,FALSE))</f>
        <v/>
      </c>
      <c r="E203" s="81" t="str">
        <f>IF(B203="","",VLOOKUP(B203,'DATA (2)'!$F$11:$K$1671,5,FALSE))</f>
        <v/>
      </c>
      <c r="I203" s="82" t="str">
        <f>IF(B203="","",SUMIF(Data!H202:H3813,B203,Data!AH202:AH3813))</f>
        <v/>
      </c>
      <c r="J203" s="82" t="str">
        <f>IF(B203="","",SUMIF(Data!H202:H1813,B203,Data!AG202:AG1813))</f>
        <v/>
      </c>
      <c r="K203" t="str">
        <f t="shared" si="3"/>
        <v/>
      </c>
    </row>
    <row r="204" spans="1:11" ht="15">
      <c r="A204" s="79" t="str">
        <f>IF(B204="","",VLOOKUP(B204,Data!$H$3:$P$1079,9,FALSE))</f>
        <v/>
      </c>
      <c r="C204" s="80" t="str">
        <f>IF(B204="","",VLOOKUP(B204,'DATA (2)'!$F$11:$K$6471,2,FALSE))</f>
        <v/>
      </c>
      <c r="E204" s="81" t="str">
        <f>IF(B204="","",VLOOKUP(B204,'DATA (2)'!$F$11:$K$1671,5,FALSE))</f>
        <v/>
      </c>
      <c r="I204" s="82" t="str">
        <f>IF(B204="","",SUMIF(Data!H203:H3814,B204,Data!AH203:AH3814))</f>
        <v/>
      </c>
      <c r="J204" s="82" t="str">
        <f>IF(B204="","",SUMIF(Data!H203:H1814,B204,Data!AG203:AG1814))</f>
        <v/>
      </c>
      <c r="K204" t="str">
        <f t="shared" si="3"/>
        <v/>
      </c>
    </row>
    <row r="205" spans="1:11" ht="15">
      <c r="A205" s="79" t="str">
        <f>IF(B205="","",VLOOKUP(B205,Data!$H$3:$P$1079,9,FALSE))</f>
        <v/>
      </c>
      <c r="C205" s="80" t="str">
        <f>IF(B205="","",VLOOKUP(B205,'DATA (2)'!$F$11:$K$6471,2,FALSE))</f>
        <v/>
      </c>
      <c r="E205" s="81" t="str">
        <f>IF(B205="","",VLOOKUP(B205,'DATA (2)'!$F$11:$K$1671,5,FALSE))</f>
        <v/>
      </c>
      <c r="I205" s="82" t="str">
        <f>IF(B205="","",SUMIF(Data!H204:H3815,B205,Data!AH204:AH3815))</f>
        <v/>
      </c>
      <c r="J205" s="82" t="str">
        <f>IF(B205="","",SUMIF(Data!H204:H1815,B205,Data!AG204:AG1815))</f>
        <v/>
      </c>
      <c r="K205" t="str">
        <f t="shared" si="3"/>
        <v/>
      </c>
    </row>
    <row r="206" spans="1:11" ht="15">
      <c r="A206" s="79" t="str">
        <f>IF(B206="","",VLOOKUP(B206,Data!$H$3:$P$1079,9,FALSE))</f>
        <v/>
      </c>
      <c r="C206" s="80" t="str">
        <f>IF(B206="","",VLOOKUP(B206,'DATA (2)'!$F$11:$K$6471,2,FALSE))</f>
        <v/>
      </c>
      <c r="E206" s="81" t="str">
        <f>IF(B206="","",VLOOKUP(B206,'DATA (2)'!$F$11:$K$1671,5,FALSE))</f>
        <v/>
      </c>
      <c r="I206" s="82" t="str">
        <f>IF(B206="","",SUMIF(Data!H205:H3816,B206,Data!AH205:AH3816))</f>
        <v/>
      </c>
      <c r="J206" s="82" t="str">
        <f>IF(B206="","",SUMIF(Data!H205:H1816,B206,Data!AG205:AG1816))</f>
        <v/>
      </c>
      <c r="K206" t="str">
        <f t="shared" si="3"/>
        <v/>
      </c>
    </row>
    <row r="207" spans="1:11" ht="15">
      <c r="A207" s="79" t="str">
        <f>IF(B207="","",VLOOKUP(B207,Data!$H$3:$P$1079,9,FALSE))</f>
        <v/>
      </c>
      <c r="C207" s="80" t="str">
        <f>IF(B207="","",VLOOKUP(B207,'DATA (2)'!$F$11:$K$6471,2,FALSE))</f>
        <v/>
      </c>
      <c r="E207" s="81" t="str">
        <f>IF(B207="","",VLOOKUP(B207,'DATA (2)'!$F$11:$K$1671,5,FALSE))</f>
        <v/>
      </c>
      <c r="I207" s="82" t="str">
        <f>IF(B207="","",SUMIF(Data!H206:H3817,B207,Data!AH206:AH3817))</f>
        <v/>
      </c>
      <c r="J207" s="82" t="str">
        <f>IF(B207="","",SUMIF(Data!H206:H1817,B207,Data!AG206:AG1817))</f>
        <v/>
      </c>
      <c r="K207" t="str">
        <f t="shared" si="3"/>
        <v/>
      </c>
    </row>
    <row r="208" spans="1:11" ht="15">
      <c r="A208" s="79" t="str">
        <f>IF(B208="","",VLOOKUP(B208,Data!$H$3:$P$1079,9,FALSE))</f>
        <v/>
      </c>
      <c r="C208" s="80" t="str">
        <f>IF(B208="","",VLOOKUP(B208,'DATA (2)'!$F$11:$K$6471,2,FALSE))</f>
        <v/>
      </c>
      <c r="E208" s="81" t="str">
        <f>IF(B208="","",VLOOKUP(B208,'DATA (2)'!$F$11:$K$1671,5,FALSE))</f>
        <v/>
      </c>
      <c r="I208" s="82" t="str">
        <f>IF(B208="","",SUMIF(Data!H207:H3818,B208,Data!AH207:AH3818))</f>
        <v/>
      </c>
      <c r="J208" s="82" t="str">
        <f>IF(B208="","",SUMIF(Data!H207:H1818,B208,Data!AG207:AG1818))</f>
        <v/>
      </c>
      <c r="K208" t="str">
        <f t="shared" si="3"/>
        <v/>
      </c>
    </row>
    <row r="209" spans="1:11" ht="15">
      <c r="A209" s="79" t="str">
        <f>IF(B209="","",VLOOKUP(B209,Data!$H$3:$P$1079,9,FALSE))</f>
        <v/>
      </c>
      <c r="C209" s="80" t="str">
        <f>IF(B209="","",VLOOKUP(B209,'DATA (2)'!$F$11:$K$6471,2,FALSE))</f>
        <v/>
      </c>
      <c r="E209" s="81" t="str">
        <f>IF(B209="","",VLOOKUP(B209,'DATA (2)'!$F$11:$K$1671,5,FALSE))</f>
        <v/>
      </c>
      <c r="I209" s="82" t="str">
        <f>IF(B209="","",SUMIF(Data!H208:H3819,B209,Data!AH208:AH3819))</f>
        <v/>
      </c>
      <c r="J209" s="82" t="str">
        <f>IF(B209="","",SUMIF(Data!H208:H1819,B209,Data!AG208:AG1819))</f>
        <v/>
      </c>
      <c r="K209" t="str">
        <f t="shared" si="3"/>
        <v/>
      </c>
    </row>
    <row r="210" spans="1:11" ht="15">
      <c r="A210" s="79" t="str">
        <f>IF(B210="","",VLOOKUP(B210,Data!$H$3:$P$1079,9,FALSE))</f>
        <v/>
      </c>
      <c r="C210" s="80" t="str">
        <f>IF(B210="","",VLOOKUP(B210,'DATA (2)'!$F$11:$K$6471,2,FALSE))</f>
        <v/>
      </c>
      <c r="E210" s="81" t="str">
        <f>IF(B210="","",VLOOKUP(B210,'DATA (2)'!$F$11:$K$1671,5,FALSE))</f>
        <v/>
      </c>
      <c r="I210" s="82" t="str">
        <f>IF(B210="","",SUMIF(Data!H209:H3820,B210,Data!AH209:AH3820))</f>
        <v/>
      </c>
      <c r="J210" s="82" t="str">
        <f>IF(B210="","",SUMIF(Data!H209:H1820,B210,Data!AG209:AG1820))</f>
        <v/>
      </c>
      <c r="K210" t="str">
        <f t="shared" si="3"/>
        <v/>
      </c>
    </row>
    <row r="211" spans="1:11" ht="15">
      <c r="A211" s="79" t="str">
        <f>IF(B211="","",VLOOKUP(B211,Data!$H$3:$P$1079,9,FALSE))</f>
        <v/>
      </c>
      <c r="C211" s="80" t="str">
        <f>IF(B211="","",VLOOKUP(B211,'DATA (2)'!$F$11:$K$6471,2,FALSE))</f>
        <v/>
      </c>
      <c r="E211" s="81" t="str">
        <f>IF(B211="","",VLOOKUP(B211,'DATA (2)'!$F$11:$K$1671,5,FALSE))</f>
        <v/>
      </c>
      <c r="I211" s="82" t="str">
        <f>IF(B211="","",SUMIF(Data!H210:H3821,B211,Data!AH210:AH3821))</f>
        <v/>
      </c>
      <c r="J211" s="82" t="str">
        <f>IF(B211="","",SUMIF(Data!H210:H1821,B211,Data!AG210:AG1821))</f>
        <v/>
      </c>
      <c r="K211" t="str">
        <f t="shared" si="3"/>
        <v/>
      </c>
    </row>
    <row r="212" spans="1:11" ht="15">
      <c r="A212" s="79" t="str">
        <f>IF(B212="","",VLOOKUP(B212,Data!$H$3:$P$1079,9,FALSE))</f>
        <v/>
      </c>
      <c r="C212" s="80" t="str">
        <f>IF(B212="","",VLOOKUP(B212,'DATA (2)'!$F$11:$K$6471,2,FALSE))</f>
        <v/>
      </c>
      <c r="E212" s="81" t="str">
        <f>IF(B212="","",VLOOKUP(B212,'DATA (2)'!$F$11:$K$1671,5,FALSE))</f>
        <v/>
      </c>
      <c r="I212" s="82" t="str">
        <f>IF(B212="","",SUMIF(Data!H211:H3822,B212,Data!AH211:AH3822))</f>
        <v/>
      </c>
      <c r="J212" s="82" t="str">
        <f>IF(B212="","",SUMIF(Data!H211:H1822,B212,Data!AG211:AG1822))</f>
        <v/>
      </c>
      <c r="K212" t="str">
        <f t="shared" si="3"/>
        <v/>
      </c>
    </row>
    <row r="213" spans="1:11" ht="15">
      <c r="A213" s="79" t="str">
        <f>IF(B213="","",VLOOKUP(B213,Data!$H$3:$P$1079,9,FALSE))</f>
        <v/>
      </c>
      <c r="C213" s="80" t="str">
        <f>IF(B213="","",VLOOKUP(B213,'DATA (2)'!$F$11:$K$6471,2,FALSE))</f>
        <v/>
      </c>
      <c r="E213" s="81" t="str">
        <f>IF(B213="","",VLOOKUP(B213,'DATA (2)'!$F$11:$K$1671,5,FALSE))</f>
        <v/>
      </c>
      <c r="I213" s="82" t="str">
        <f>IF(B213="","",SUMIF(Data!H212:H3823,B213,Data!AH212:AH3823))</f>
        <v/>
      </c>
      <c r="J213" s="82" t="str">
        <f>IF(B213="","",SUMIF(Data!H212:H1823,B213,Data!AG212:AG1823))</f>
        <v/>
      </c>
      <c r="K213" t="str">
        <f t="shared" ref="K213:K276" si="4">IF(B213="","",I213+J213)</f>
        <v/>
      </c>
    </row>
    <row r="214" spans="1:11" ht="15">
      <c r="A214" s="79" t="str">
        <f>IF(B214="","",VLOOKUP(B214,Data!$H$3:$P$1079,9,FALSE))</f>
        <v/>
      </c>
      <c r="C214" s="80" t="str">
        <f>IF(B214="","",VLOOKUP(B214,'DATA (2)'!$F$11:$K$6471,2,FALSE))</f>
        <v/>
      </c>
      <c r="E214" s="81" t="str">
        <f>IF(B214="","",VLOOKUP(B214,'DATA (2)'!$F$11:$K$1671,5,FALSE))</f>
        <v/>
      </c>
      <c r="I214" s="82" t="str">
        <f>IF(B214="","",SUMIF(Data!H213:H3824,B214,Data!AH213:AH3824))</f>
        <v/>
      </c>
      <c r="J214" s="82" t="str">
        <f>IF(B214="","",SUMIF(Data!H213:H1824,B214,Data!AG213:AG1824))</f>
        <v/>
      </c>
      <c r="K214" t="str">
        <f t="shared" si="4"/>
        <v/>
      </c>
    </row>
    <row r="215" spans="1:11" ht="15">
      <c r="A215" s="79" t="str">
        <f>IF(B215="","",VLOOKUP(B215,Data!$H$3:$P$1079,9,FALSE))</f>
        <v/>
      </c>
      <c r="C215" s="80" t="str">
        <f>IF(B215="","",VLOOKUP(B215,'DATA (2)'!$F$11:$K$6471,2,FALSE))</f>
        <v/>
      </c>
      <c r="E215" s="81" t="str">
        <f>IF(B215="","",VLOOKUP(B215,'DATA (2)'!$F$11:$K$1671,5,FALSE))</f>
        <v/>
      </c>
      <c r="I215" s="82" t="str">
        <f>IF(B215="","",SUMIF(Data!H214:H3825,B215,Data!AH214:AH3825))</f>
        <v/>
      </c>
      <c r="J215" s="82" t="str">
        <f>IF(B215="","",SUMIF(Data!H214:H1825,B215,Data!AG214:AG1825))</f>
        <v/>
      </c>
      <c r="K215" t="str">
        <f t="shared" si="4"/>
        <v/>
      </c>
    </row>
    <row r="216" spans="1:11" ht="15">
      <c r="A216" s="79" t="str">
        <f>IF(B216="","",VLOOKUP(B216,Data!$H$3:$P$1079,9,FALSE))</f>
        <v/>
      </c>
      <c r="C216" s="80" t="str">
        <f>IF(B216="","",VLOOKUP(B216,'DATA (2)'!$F$11:$K$6471,2,FALSE))</f>
        <v/>
      </c>
      <c r="E216" s="81" t="str">
        <f>IF(B216="","",VLOOKUP(B216,'DATA (2)'!$F$11:$K$1671,5,FALSE))</f>
        <v/>
      </c>
      <c r="I216" s="82" t="str">
        <f>IF(B216="","",SUMIF(Data!H215:H3826,B216,Data!AH215:AH3826))</f>
        <v/>
      </c>
      <c r="J216" s="82" t="str">
        <f>IF(B216="","",SUMIF(Data!H215:H1826,B216,Data!AG215:AG1826))</f>
        <v/>
      </c>
      <c r="K216" t="str">
        <f t="shared" si="4"/>
        <v/>
      </c>
    </row>
    <row r="217" spans="1:11" ht="15">
      <c r="A217" s="79" t="str">
        <f>IF(B217="","",VLOOKUP(B217,Data!$H$3:$P$1079,9,FALSE))</f>
        <v/>
      </c>
      <c r="C217" s="80" t="str">
        <f>IF(B217="","",VLOOKUP(B217,'DATA (2)'!$F$11:$K$6471,2,FALSE))</f>
        <v/>
      </c>
      <c r="E217" s="81" t="str">
        <f>IF(B217="","",VLOOKUP(B217,'DATA (2)'!$F$11:$K$1671,5,FALSE))</f>
        <v/>
      </c>
      <c r="I217" s="82" t="str">
        <f>IF(B217="","",SUMIF(Data!H216:H3827,B217,Data!AH216:AH3827))</f>
        <v/>
      </c>
      <c r="J217" s="82" t="str">
        <f>IF(B217="","",SUMIF(Data!H216:H1827,B217,Data!AG216:AG1827))</f>
        <v/>
      </c>
      <c r="K217" t="str">
        <f t="shared" si="4"/>
        <v/>
      </c>
    </row>
    <row r="218" spans="1:11" ht="15">
      <c r="A218" s="79" t="str">
        <f>IF(B218="","",VLOOKUP(B218,Data!$H$3:$P$1079,9,FALSE))</f>
        <v/>
      </c>
      <c r="C218" s="80" t="str">
        <f>IF(B218="","",VLOOKUP(B218,'DATA (2)'!$F$11:$K$6471,2,FALSE))</f>
        <v/>
      </c>
      <c r="E218" s="81" t="str">
        <f>IF(B218="","",VLOOKUP(B218,'DATA (2)'!$F$11:$K$1671,5,FALSE))</f>
        <v/>
      </c>
      <c r="I218" s="82" t="str">
        <f>IF(B218="","",SUMIF(Data!H217:H3828,B218,Data!AH217:AH3828))</f>
        <v/>
      </c>
      <c r="J218" s="82" t="str">
        <f>IF(B218="","",SUMIF(Data!H217:H1828,B218,Data!AG217:AG1828))</f>
        <v/>
      </c>
      <c r="K218" t="str">
        <f t="shared" si="4"/>
        <v/>
      </c>
    </row>
    <row r="219" spans="1:11" ht="15">
      <c r="A219" s="79" t="str">
        <f>IF(B219="","",VLOOKUP(B219,Data!$H$3:$P$1079,9,FALSE))</f>
        <v/>
      </c>
      <c r="C219" s="80" t="str">
        <f>IF(B219="","",VLOOKUP(B219,'DATA (2)'!$F$11:$K$6471,2,FALSE))</f>
        <v/>
      </c>
      <c r="E219" s="81" t="str">
        <f>IF(B219="","",VLOOKUP(B219,'DATA (2)'!$F$11:$K$1671,5,FALSE))</f>
        <v/>
      </c>
      <c r="I219" s="82" t="str">
        <f>IF(B219="","",SUMIF(Data!H218:H3829,B219,Data!AH218:AH3829))</f>
        <v/>
      </c>
      <c r="J219" s="82" t="str">
        <f>IF(B219="","",SUMIF(Data!H218:H1829,B219,Data!AG218:AG1829))</f>
        <v/>
      </c>
      <c r="K219" t="str">
        <f t="shared" si="4"/>
        <v/>
      </c>
    </row>
    <row r="220" spans="1:11" ht="15">
      <c r="A220" s="79" t="str">
        <f>IF(B220="","",VLOOKUP(B220,Data!$H$3:$P$1079,9,FALSE))</f>
        <v/>
      </c>
      <c r="C220" s="80" t="str">
        <f>IF(B220="","",VLOOKUP(B220,'DATA (2)'!$F$11:$K$6471,2,FALSE))</f>
        <v/>
      </c>
      <c r="E220" s="81" t="str">
        <f>IF(B220="","",VLOOKUP(B220,'DATA (2)'!$F$11:$K$1671,5,FALSE))</f>
        <v/>
      </c>
      <c r="I220" s="82" t="str">
        <f>IF(B220="","",SUMIF(Data!H219:H3830,B220,Data!AH219:AH3830))</f>
        <v/>
      </c>
      <c r="J220" s="82" t="str">
        <f>IF(B220="","",SUMIF(Data!H219:H1830,B220,Data!AG219:AG1830))</f>
        <v/>
      </c>
      <c r="K220" t="str">
        <f t="shared" si="4"/>
        <v/>
      </c>
    </row>
    <row r="221" spans="1:11" ht="15">
      <c r="A221" s="79" t="str">
        <f>IF(B221="","",VLOOKUP(B221,Data!$H$3:$P$1079,9,FALSE))</f>
        <v/>
      </c>
      <c r="C221" s="80" t="str">
        <f>IF(B221="","",VLOOKUP(B221,'DATA (2)'!$F$11:$K$6471,2,FALSE))</f>
        <v/>
      </c>
      <c r="E221" s="81" t="str">
        <f>IF(B221="","",VLOOKUP(B221,'DATA (2)'!$F$11:$K$1671,5,FALSE))</f>
        <v/>
      </c>
      <c r="I221" s="82" t="str">
        <f>IF(B221="","",SUMIF(Data!H220:H3831,B221,Data!AH220:AH3831))</f>
        <v/>
      </c>
      <c r="J221" s="82" t="str">
        <f>IF(B221="","",SUMIF(Data!H220:H1831,B221,Data!AG220:AG1831))</f>
        <v/>
      </c>
      <c r="K221" t="str">
        <f t="shared" si="4"/>
        <v/>
      </c>
    </row>
    <row r="222" spans="1:11" ht="15">
      <c r="A222" s="79" t="str">
        <f>IF(B222="","",VLOOKUP(B222,Data!$H$3:$P$1079,9,FALSE))</f>
        <v/>
      </c>
      <c r="C222" s="80" t="str">
        <f>IF(B222="","",VLOOKUP(B222,'DATA (2)'!$F$11:$K$6471,2,FALSE))</f>
        <v/>
      </c>
      <c r="E222" s="81" t="str">
        <f>IF(B222="","",VLOOKUP(B222,'DATA (2)'!$F$11:$K$1671,5,FALSE))</f>
        <v/>
      </c>
      <c r="I222" s="82" t="str">
        <f>IF(B222="","",SUMIF(Data!H221:H3832,B222,Data!AH221:AH3832))</f>
        <v/>
      </c>
      <c r="J222" s="82" t="str">
        <f>IF(B222="","",SUMIF(Data!H221:H1832,B222,Data!AG221:AG1832))</f>
        <v/>
      </c>
      <c r="K222" t="str">
        <f t="shared" si="4"/>
        <v/>
      </c>
    </row>
    <row r="223" spans="1:11" ht="15">
      <c r="A223" s="79" t="str">
        <f>IF(B223="","",VLOOKUP(B223,Data!$H$3:$P$1079,9,FALSE))</f>
        <v/>
      </c>
      <c r="C223" s="80" t="str">
        <f>IF(B223="","",VLOOKUP(B223,'DATA (2)'!$F$11:$K$6471,2,FALSE))</f>
        <v/>
      </c>
      <c r="E223" s="81" t="str">
        <f>IF(B223="","",VLOOKUP(B223,'DATA (2)'!$F$11:$K$1671,5,FALSE))</f>
        <v/>
      </c>
      <c r="I223" s="82" t="str">
        <f>IF(B223="","",SUMIF(Data!H222:H3833,B223,Data!AH222:AH3833))</f>
        <v/>
      </c>
      <c r="J223" s="82" t="str">
        <f>IF(B223="","",SUMIF(Data!H222:H1833,B223,Data!AG222:AG1833))</f>
        <v/>
      </c>
      <c r="K223" t="str">
        <f t="shared" si="4"/>
        <v/>
      </c>
    </row>
    <row r="224" spans="1:11" ht="15">
      <c r="A224" s="79" t="str">
        <f>IF(B224="","",VLOOKUP(B224,Data!$H$3:$P$1079,9,FALSE))</f>
        <v/>
      </c>
      <c r="C224" s="80" t="str">
        <f>IF(B224="","",VLOOKUP(B224,'DATA (2)'!$F$11:$K$6471,2,FALSE))</f>
        <v/>
      </c>
      <c r="E224" s="81" t="str">
        <f>IF(B224="","",VLOOKUP(B224,'DATA (2)'!$F$11:$K$1671,5,FALSE))</f>
        <v/>
      </c>
      <c r="I224" s="82" t="str">
        <f>IF(B224="","",SUMIF(Data!H223:H3834,B224,Data!AH223:AH3834))</f>
        <v/>
      </c>
      <c r="J224" s="82" t="str">
        <f>IF(B224="","",SUMIF(Data!H223:H1834,B224,Data!AG223:AG1834))</f>
        <v/>
      </c>
      <c r="K224" t="str">
        <f t="shared" si="4"/>
        <v/>
      </c>
    </row>
    <row r="225" spans="1:11" ht="15">
      <c r="A225" s="79" t="str">
        <f>IF(B225="","",VLOOKUP(B225,Data!$H$3:$P$1079,9,FALSE))</f>
        <v/>
      </c>
      <c r="C225" s="80" t="str">
        <f>IF(B225="","",VLOOKUP(B225,'DATA (2)'!$F$11:$K$6471,2,FALSE))</f>
        <v/>
      </c>
      <c r="E225" s="81" t="str">
        <f>IF(B225="","",VLOOKUP(B225,'DATA (2)'!$F$11:$K$1671,5,FALSE))</f>
        <v/>
      </c>
      <c r="I225" s="82" t="str">
        <f>IF(B225="","",SUMIF(Data!H224:H3835,B225,Data!AH224:AH3835))</f>
        <v/>
      </c>
      <c r="J225" s="82" t="str">
        <f>IF(B225="","",SUMIF(Data!H224:H1835,B225,Data!AG224:AG1835))</f>
        <v/>
      </c>
      <c r="K225" t="str">
        <f t="shared" si="4"/>
        <v/>
      </c>
    </row>
    <row r="226" spans="1:11" ht="15">
      <c r="A226" s="79" t="str">
        <f>IF(B226="","",VLOOKUP(B226,Data!$H$3:$P$1079,9,FALSE))</f>
        <v/>
      </c>
      <c r="C226" s="80" t="str">
        <f>IF(B226="","",VLOOKUP(B226,'DATA (2)'!$F$11:$K$6471,2,FALSE))</f>
        <v/>
      </c>
      <c r="E226" s="81" t="str">
        <f>IF(B226="","",VLOOKUP(B226,'DATA (2)'!$F$11:$K$1671,5,FALSE))</f>
        <v/>
      </c>
      <c r="I226" s="82" t="str">
        <f>IF(B226="","",SUMIF(Data!H225:H3836,B226,Data!AH225:AH3836))</f>
        <v/>
      </c>
      <c r="J226" s="82" t="str">
        <f>IF(B226="","",SUMIF(Data!H225:H1836,B226,Data!AG225:AG1836))</f>
        <v/>
      </c>
      <c r="K226" t="str">
        <f t="shared" si="4"/>
        <v/>
      </c>
    </row>
    <row r="227" spans="1:11" ht="15">
      <c r="A227" s="79" t="str">
        <f>IF(B227="","",VLOOKUP(B227,Data!$H$3:$P$1079,9,FALSE))</f>
        <v/>
      </c>
      <c r="C227" s="80" t="str">
        <f>IF(B227="","",VLOOKUP(B227,'DATA (2)'!$F$11:$K$6471,2,FALSE))</f>
        <v/>
      </c>
      <c r="E227" s="81" t="str">
        <f>IF(B227="","",VLOOKUP(B227,'DATA (2)'!$F$11:$K$1671,5,FALSE))</f>
        <v/>
      </c>
      <c r="I227" s="82" t="str">
        <f>IF(B227="","",SUMIF(Data!H226:H3837,B227,Data!AH226:AH3837))</f>
        <v/>
      </c>
      <c r="J227" s="82" t="str">
        <f>IF(B227="","",SUMIF(Data!H226:H1837,B227,Data!AG226:AG1837))</f>
        <v/>
      </c>
      <c r="K227" t="str">
        <f t="shared" si="4"/>
        <v/>
      </c>
    </row>
    <row r="228" spans="1:11" ht="15">
      <c r="A228" s="79" t="str">
        <f>IF(B228="","",VLOOKUP(B228,Data!$H$3:$P$1079,9,FALSE))</f>
        <v/>
      </c>
      <c r="C228" s="80" t="str">
        <f>IF(B228="","",VLOOKUP(B228,'DATA (2)'!$F$11:$K$6471,2,FALSE))</f>
        <v/>
      </c>
      <c r="E228" s="81" t="str">
        <f>IF(B228="","",VLOOKUP(B228,'DATA (2)'!$F$11:$K$1671,5,FALSE))</f>
        <v/>
      </c>
      <c r="I228" s="82" t="str">
        <f>IF(B228="","",SUMIF(Data!H227:H3838,B228,Data!AH227:AH3838))</f>
        <v/>
      </c>
      <c r="J228" s="82" t="str">
        <f>IF(B228="","",SUMIF(Data!H227:H1838,B228,Data!AG227:AG1838))</f>
        <v/>
      </c>
      <c r="K228" t="str">
        <f t="shared" si="4"/>
        <v/>
      </c>
    </row>
    <row r="229" spans="1:11" ht="15">
      <c r="A229" s="79" t="str">
        <f>IF(B229="","",VLOOKUP(B229,Data!$H$3:$P$1079,9,FALSE))</f>
        <v/>
      </c>
      <c r="C229" s="80" t="str">
        <f>IF(B229="","",VLOOKUP(B229,'DATA (2)'!$F$11:$K$6471,2,FALSE))</f>
        <v/>
      </c>
      <c r="E229" s="81" t="str">
        <f>IF(B229="","",VLOOKUP(B229,'DATA (2)'!$F$11:$K$1671,5,FALSE))</f>
        <v/>
      </c>
      <c r="I229" s="82" t="str">
        <f>IF(B229="","",SUMIF(Data!H228:H3839,B229,Data!AH228:AH3839))</f>
        <v/>
      </c>
      <c r="J229" s="82" t="str">
        <f>IF(B229="","",SUMIF(Data!H228:H1839,B229,Data!AG228:AG1839))</f>
        <v/>
      </c>
      <c r="K229" t="str">
        <f t="shared" si="4"/>
        <v/>
      </c>
    </row>
    <row r="230" spans="1:11" ht="15">
      <c r="A230" s="79" t="str">
        <f>IF(B230="","",VLOOKUP(B230,Data!$H$3:$P$1079,9,FALSE))</f>
        <v/>
      </c>
      <c r="C230" s="80" t="str">
        <f>IF(B230="","",VLOOKUP(B230,'DATA (2)'!$F$11:$K$6471,2,FALSE))</f>
        <v/>
      </c>
      <c r="E230" s="81" t="str">
        <f>IF(B230="","",VLOOKUP(B230,'DATA (2)'!$F$11:$K$1671,5,FALSE))</f>
        <v/>
      </c>
      <c r="I230" s="82" t="str">
        <f>IF(B230="","",SUMIF(Data!H229:H3840,B230,Data!AH229:AH3840))</f>
        <v/>
      </c>
      <c r="J230" s="82" t="str">
        <f>IF(B230="","",SUMIF(Data!H229:H1840,B230,Data!AG229:AG1840))</f>
        <v/>
      </c>
      <c r="K230" t="str">
        <f t="shared" si="4"/>
        <v/>
      </c>
    </row>
    <row r="231" spans="1:11" ht="15">
      <c r="A231" s="79" t="str">
        <f>IF(B231="","",VLOOKUP(B231,Data!$H$3:$P$1079,9,FALSE))</f>
        <v/>
      </c>
      <c r="C231" s="80" t="str">
        <f>IF(B231="","",VLOOKUP(B231,'DATA (2)'!$F$11:$K$6471,2,FALSE))</f>
        <v/>
      </c>
      <c r="E231" s="81" t="str">
        <f>IF(B231="","",VLOOKUP(B231,'DATA (2)'!$F$11:$K$1671,5,FALSE))</f>
        <v/>
      </c>
      <c r="I231" s="82" t="str">
        <f>IF(B231="","",SUMIF(Data!H230:H3841,B231,Data!AH230:AH3841))</f>
        <v/>
      </c>
      <c r="J231" s="82" t="str">
        <f>IF(B231="","",SUMIF(Data!H230:H1841,B231,Data!AG230:AG1841))</f>
        <v/>
      </c>
      <c r="K231" t="str">
        <f t="shared" si="4"/>
        <v/>
      </c>
    </row>
    <row r="232" spans="1:11" ht="15">
      <c r="A232" s="79" t="str">
        <f>IF(B232="","",VLOOKUP(B232,Data!$H$3:$P$1079,9,FALSE))</f>
        <v/>
      </c>
      <c r="C232" s="80" t="str">
        <f>IF(B232="","",VLOOKUP(B232,'DATA (2)'!$F$11:$K$6471,2,FALSE))</f>
        <v/>
      </c>
      <c r="E232" s="81" t="str">
        <f>IF(B232="","",VLOOKUP(B232,'DATA (2)'!$F$11:$K$1671,5,FALSE))</f>
        <v/>
      </c>
      <c r="I232" s="82" t="str">
        <f>IF(B232="","",SUMIF(Data!H231:H3842,B232,Data!AH231:AH3842))</f>
        <v/>
      </c>
      <c r="J232" s="82" t="str">
        <f>IF(B232="","",SUMIF(Data!H231:H1842,B232,Data!AG231:AG1842))</f>
        <v/>
      </c>
      <c r="K232" t="str">
        <f t="shared" si="4"/>
        <v/>
      </c>
    </row>
    <row r="233" spans="1:11" ht="15">
      <c r="A233" s="79" t="str">
        <f>IF(B233="","",VLOOKUP(B233,Data!$H$3:$P$1079,9,FALSE))</f>
        <v/>
      </c>
      <c r="C233" s="80" t="str">
        <f>IF(B233="","",VLOOKUP(B233,'DATA (2)'!$F$11:$K$6471,2,FALSE))</f>
        <v/>
      </c>
      <c r="E233" s="81" t="str">
        <f>IF(B233="","",VLOOKUP(B233,'DATA (2)'!$F$11:$K$1671,5,FALSE))</f>
        <v/>
      </c>
      <c r="I233" s="82" t="str">
        <f>IF(B233="","",SUMIF(Data!H232:H3843,B233,Data!AH232:AH3843))</f>
        <v/>
      </c>
      <c r="J233" s="82" t="str">
        <f>IF(B233="","",SUMIF(Data!H232:H1843,B233,Data!AG232:AG1843))</f>
        <v/>
      </c>
      <c r="K233" t="str">
        <f t="shared" si="4"/>
        <v/>
      </c>
    </row>
    <row r="234" spans="1:11" ht="15">
      <c r="A234" s="79" t="str">
        <f>IF(B234="","",VLOOKUP(B234,Data!$H$3:$P$1079,9,FALSE))</f>
        <v/>
      </c>
      <c r="C234" s="80" t="str">
        <f>IF(B234="","",VLOOKUP(B234,'DATA (2)'!$F$11:$K$6471,2,FALSE))</f>
        <v/>
      </c>
      <c r="E234" s="81" t="str">
        <f>IF(B234="","",VLOOKUP(B234,'DATA (2)'!$F$11:$K$1671,5,FALSE))</f>
        <v/>
      </c>
      <c r="I234" s="82" t="str">
        <f>IF(B234="","",SUMIF(Data!H233:H3844,B234,Data!AH233:AH3844))</f>
        <v/>
      </c>
      <c r="J234" s="82" t="str">
        <f>IF(B234="","",SUMIF(Data!H233:H1844,B234,Data!AG233:AG1844))</f>
        <v/>
      </c>
      <c r="K234" t="str">
        <f t="shared" si="4"/>
        <v/>
      </c>
    </row>
    <row r="235" spans="1:11" ht="15">
      <c r="A235" s="79" t="str">
        <f>IF(B235="","",VLOOKUP(B235,Data!$H$3:$P$1079,9,FALSE))</f>
        <v/>
      </c>
      <c r="C235" s="80" t="str">
        <f>IF(B235="","",VLOOKUP(B235,'DATA (2)'!$F$11:$K$6471,2,FALSE))</f>
        <v/>
      </c>
      <c r="E235" s="81" t="str">
        <f>IF(B235="","",VLOOKUP(B235,'DATA (2)'!$F$11:$K$1671,5,FALSE))</f>
        <v/>
      </c>
      <c r="I235" s="82" t="str">
        <f>IF(B235="","",SUMIF(Data!H234:H3845,B235,Data!AH234:AH3845))</f>
        <v/>
      </c>
      <c r="J235" s="82" t="str">
        <f>IF(B235="","",SUMIF(Data!H234:H1845,B235,Data!AG234:AG1845))</f>
        <v/>
      </c>
      <c r="K235" t="str">
        <f t="shared" si="4"/>
        <v/>
      </c>
    </row>
    <row r="236" spans="1:11" ht="15">
      <c r="A236" s="79" t="str">
        <f>IF(B236="","",VLOOKUP(B236,Data!$H$3:$P$1079,9,FALSE))</f>
        <v/>
      </c>
      <c r="C236" s="80" t="str">
        <f>IF(B236="","",VLOOKUP(B236,'DATA (2)'!$F$11:$K$6471,2,FALSE))</f>
        <v/>
      </c>
      <c r="E236" s="81" t="str">
        <f>IF(B236="","",VLOOKUP(B236,'DATA (2)'!$F$11:$K$1671,5,FALSE))</f>
        <v/>
      </c>
      <c r="I236" s="82" t="str">
        <f>IF(B236="","",SUMIF(Data!H235:H3846,B236,Data!AH235:AH3846))</f>
        <v/>
      </c>
      <c r="J236" s="82" t="str">
        <f>IF(B236="","",SUMIF(Data!H235:H1846,B236,Data!AG235:AG1846))</f>
        <v/>
      </c>
      <c r="K236" t="str">
        <f t="shared" si="4"/>
        <v/>
      </c>
    </row>
    <row r="237" spans="1:11" ht="15">
      <c r="A237" s="79" t="str">
        <f>IF(B237="","",VLOOKUP(B237,Data!$H$3:$P$1079,9,FALSE))</f>
        <v/>
      </c>
      <c r="C237" s="80" t="str">
        <f>IF(B237="","",VLOOKUP(B237,'DATA (2)'!$F$11:$K$6471,2,FALSE))</f>
        <v/>
      </c>
      <c r="E237" s="81" t="str">
        <f>IF(B237="","",VLOOKUP(B237,'DATA (2)'!$F$11:$K$1671,5,FALSE))</f>
        <v/>
      </c>
      <c r="I237" s="82" t="str">
        <f>IF(B237="","",SUMIF(Data!H236:H3847,B237,Data!AH236:AH3847))</f>
        <v/>
      </c>
      <c r="J237" s="82" t="str">
        <f>IF(B237="","",SUMIF(Data!H236:H1847,B237,Data!AG236:AG1847))</f>
        <v/>
      </c>
      <c r="K237" t="str">
        <f t="shared" si="4"/>
        <v/>
      </c>
    </row>
    <row r="238" spans="1:11" ht="15">
      <c r="A238" s="79" t="str">
        <f>IF(B238="","",VLOOKUP(B238,Data!$H$3:$P$1079,9,FALSE))</f>
        <v/>
      </c>
      <c r="C238" s="80" t="str">
        <f>IF(B238="","",VLOOKUP(B238,'DATA (2)'!$F$11:$K$6471,2,FALSE))</f>
        <v/>
      </c>
      <c r="E238" s="81" t="str">
        <f>IF(B238="","",VLOOKUP(B238,'DATA (2)'!$F$11:$K$1671,5,FALSE))</f>
        <v/>
      </c>
      <c r="I238" s="82" t="str">
        <f>IF(B238="","",SUMIF(Data!H237:H3848,B238,Data!AH237:AH3848))</f>
        <v/>
      </c>
      <c r="J238" s="82" t="str">
        <f>IF(B238="","",SUMIF(Data!H237:H1848,B238,Data!AG237:AG1848))</f>
        <v/>
      </c>
      <c r="K238" t="str">
        <f t="shared" si="4"/>
        <v/>
      </c>
    </row>
    <row r="239" spans="1:11" ht="15">
      <c r="A239" s="79" t="str">
        <f>IF(B239="","",VLOOKUP(B239,Data!$H$3:$P$1079,9,FALSE))</f>
        <v/>
      </c>
      <c r="C239" s="80" t="str">
        <f>IF(B239="","",VLOOKUP(B239,'DATA (2)'!$F$11:$K$6471,2,FALSE))</f>
        <v/>
      </c>
      <c r="E239" s="81" t="str">
        <f>IF(B239="","",VLOOKUP(B239,'DATA (2)'!$F$11:$K$1671,5,FALSE))</f>
        <v/>
      </c>
      <c r="I239" s="82" t="str">
        <f>IF(B239="","",SUMIF(Data!H238:H3849,B239,Data!AH238:AH3849))</f>
        <v/>
      </c>
      <c r="J239" s="82" t="str">
        <f>IF(B239="","",SUMIF(Data!H238:H1849,B239,Data!AG238:AG1849))</f>
        <v/>
      </c>
      <c r="K239" t="str">
        <f t="shared" si="4"/>
        <v/>
      </c>
    </row>
    <row r="240" spans="1:11" ht="15">
      <c r="A240" s="79" t="str">
        <f>IF(B240="","",VLOOKUP(B240,Data!$H$3:$P$1079,9,FALSE))</f>
        <v/>
      </c>
      <c r="C240" s="80" t="str">
        <f>IF(B240="","",VLOOKUP(B240,'DATA (2)'!$F$11:$K$6471,2,FALSE))</f>
        <v/>
      </c>
      <c r="E240" s="81" t="str">
        <f>IF(B240="","",VLOOKUP(B240,'DATA (2)'!$F$11:$K$1671,5,FALSE))</f>
        <v/>
      </c>
      <c r="I240" s="82" t="str">
        <f>IF(B240="","",SUMIF(Data!H239:H3850,B240,Data!AH239:AH3850))</f>
        <v/>
      </c>
      <c r="J240" s="82" t="str">
        <f>IF(B240="","",SUMIF(Data!H239:H1850,B240,Data!AG239:AG1850))</f>
        <v/>
      </c>
      <c r="K240" t="str">
        <f t="shared" si="4"/>
        <v/>
      </c>
    </row>
    <row r="241" spans="1:11" ht="15">
      <c r="A241" s="79" t="str">
        <f>IF(B241="","",VLOOKUP(B241,Data!$H$3:$P$1079,9,FALSE))</f>
        <v/>
      </c>
      <c r="C241" s="80" t="str">
        <f>IF(B241="","",VLOOKUP(B241,'DATA (2)'!$F$11:$K$6471,2,FALSE))</f>
        <v/>
      </c>
      <c r="E241" s="81" t="str">
        <f>IF(B241="","",VLOOKUP(B241,'DATA (2)'!$F$11:$K$1671,5,FALSE))</f>
        <v/>
      </c>
      <c r="I241" s="82" t="str">
        <f>IF(B241="","",SUMIF(Data!H240:H3851,B241,Data!AH240:AH3851))</f>
        <v/>
      </c>
      <c r="J241" s="82" t="str">
        <f>IF(B241="","",SUMIF(Data!H240:H1851,B241,Data!AG240:AG1851))</f>
        <v/>
      </c>
      <c r="K241" t="str">
        <f t="shared" si="4"/>
        <v/>
      </c>
    </row>
    <row r="242" spans="1:11" ht="15">
      <c r="A242" s="79" t="str">
        <f>IF(B242="","",VLOOKUP(B242,Data!$H$3:$P$1079,9,FALSE))</f>
        <v/>
      </c>
      <c r="C242" s="80" t="str">
        <f>IF(B242="","",VLOOKUP(B242,'DATA (2)'!$F$11:$K$6471,2,FALSE))</f>
        <v/>
      </c>
      <c r="E242" s="81" t="str">
        <f>IF(B242="","",VLOOKUP(B242,'DATA (2)'!$F$11:$K$1671,5,FALSE))</f>
        <v/>
      </c>
      <c r="I242" s="82" t="str">
        <f>IF(B242="","",SUMIF(Data!H241:H3852,B242,Data!AH241:AH3852))</f>
        <v/>
      </c>
      <c r="J242" s="82" t="str">
        <f>IF(B242="","",SUMIF(Data!H241:H1852,B242,Data!AG241:AG1852))</f>
        <v/>
      </c>
      <c r="K242" t="str">
        <f t="shared" si="4"/>
        <v/>
      </c>
    </row>
    <row r="243" spans="1:11" ht="15">
      <c r="A243" s="79" t="str">
        <f>IF(B243="","",VLOOKUP(B243,Data!$H$3:$P$1079,9,FALSE))</f>
        <v/>
      </c>
      <c r="C243" s="80" t="str">
        <f>IF(B243="","",VLOOKUP(B243,'DATA (2)'!$F$11:$K$6471,2,FALSE))</f>
        <v/>
      </c>
      <c r="E243" s="81" t="str">
        <f>IF(B243="","",VLOOKUP(B243,'DATA (2)'!$F$11:$K$1671,5,FALSE))</f>
        <v/>
      </c>
      <c r="I243" s="82" t="str">
        <f>IF(B243="","",SUMIF(Data!H242:H3853,B243,Data!AH242:AH3853))</f>
        <v/>
      </c>
      <c r="J243" s="82" t="str">
        <f>IF(B243="","",SUMIF(Data!H242:H1853,B243,Data!AG242:AG1853))</f>
        <v/>
      </c>
      <c r="K243" t="str">
        <f t="shared" si="4"/>
        <v/>
      </c>
    </row>
    <row r="244" spans="1:11" ht="15">
      <c r="A244" s="79" t="str">
        <f>IF(B244="","",VLOOKUP(B244,Data!$H$3:$P$1079,9,FALSE))</f>
        <v/>
      </c>
      <c r="C244" s="80" t="str">
        <f>IF(B244="","",VLOOKUP(B244,'DATA (2)'!$F$11:$K$6471,2,FALSE))</f>
        <v/>
      </c>
      <c r="E244" s="81" t="str">
        <f>IF(B244="","",VLOOKUP(B244,'DATA (2)'!$F$11:$K$1671,5,FALSE))</f>
        <v/>
      </c>
      <c r="I244" s="82" t="str">
        <f>IF(B244="","",SUMIF(Data!H243:H3854,B244,Data!AH243:AH3854))</f>
        <v/>
      </c>
      <c r="J244" s="82" t="str">
        <f>IF(B244="","",SUMIF(Data!H243:H1854,B244,Data!AG243:AG1854))</f>
        <v/>
      </c>
      <c r="K244" t="str">
        <f t="shared" si="4"/>
        <v/>
      </c>
    </row>
    <row r="245" spans="1:11" ht="15">
      <c r="A245" s="79" t="str">
        <f>IF(B245="","",VLOOKUP(B245,Data!$H$3:$P$1079,9,FALSE))</f>
        <v/>
      </c>
      <c r="C245" s="80" t="str">
        <f>IF(B245="","",VLOOKUP(B245,'DATA (2)'!$F$11:$K$6471,2,FALSE))</f>
        <v/>
      </c>
      <c r="E245" s="81" t="str">
        <f>IF(B245="","",VLOOKUP(B245,'DATA (2)'!$F$11:$K$1671,5,FALSE))</f>
        <v/>
      </c>
      <c r="I245" s="82" t="str">
        <f>IF(B245="","",SUMIF(Data!H244:H3855,B245,Data!AH244:AH3855))</f>
        <v/>
      </c>
      <c r="J245" s="82" t="str">
        <f>IF(B245="","",SUMIF(Data!H244:H1855,B245,Data!AG244:AG1855))</f>
        <v/>
      </c>
      <c r="K245" t="str">
        <f t="shared" si="4"/>
        <v/>
      </c>
    </row>
    <row r="246" spans="1:11" ht="15">
      <c r="A246" s="79" t="str">
        <f>IF(B246="","",VLOOKUP(B246,Data!$H$3:$P$1079,9,FALSE))</f>
        <v/>
      </c>
      <c r="C246" s="80" t="str">
        <f>IF(B246="","",VLOOKUP(B246,'DATA (2)'!$F$11:$K$6471,2,FALSE))</f>
        <v/>
      </c>
      <c r="E246" s="81" t="str">
        <f>IF(B246="","",VLOOKUP(B246,'DATA (2)'!$F$11:$K$1671,5,FALSE))</f>
        <v/>
      </c>
      <c r="I246" s="82" t="str">
        <f>IF(B246="","",SUMIF(Data!H245:H3856,B246,Data!AH245:AH3856))</f>
        <v/>
      </c>
      <c r="J246" s="82" t="str">
        <f>IF(B246="","",SUMIF(Data!H245:H1856,B246,Data!AG245:AG1856))</f>
        <v/>
      </c>
      <c r="K246" t="str">
        <f t="shared" si="4"/>
        <v/>
      </c>
    </row>
    <row r="247" spans="1:11" ht="15">
      <c r="A247" s="79" t="str">
        <f>IF(B247="","",VLOOKUP(B247,Data!$H$3:$P$1079,9,FALSE))</f>
        <v/>
      </c>
      <c r="C247" s="80" t="str">
        <f>IF(B247="","",VLOOKUP(B247,'DATA (2)'!$F$11:$K$6471,2,FALSE))</f>
        <v/>
      </c>
      <c r="E247" s="81" t="str">
        <f>IF(B247="","",VLOOKUP(B247,'DATA (2)'!$F$11:$K$1671,5,FALSE))</f>
        <v/>
      </c>
      <c r="I247" s="82" t="str">
        <f>IF(B247="","",SUMIF(Data!H246:H3857,B247,Data!AH246:AH3857))</f>
        <v/>
      </c>
      <c r="J247" s="82" t="str">
        <f>IF(B247="","",SUMIF(Data!H246:H1857,B247,Data!AG246:AG1857))</f>
        <v/>
      </c>
      <c r="K247" t="str">
        <f t="shared" si="4"/>
        <v/>
      </c>
    </row>
    <row r="248" spans="1:11" ht="15">
      <c r="A248" s="79" t="str">
        <f>IF(B248="","",VLOOKUP(B248,Data!$H$3:$P$1079,9,FALSE))</f>
        <v/>
      </c>
      <c r="C248" s="80" t="str">
        <f>IF(B248="","",VLOOKUP(B248,'DATA (2)'!$F$11:$K$6471,2,FALSE))</f>
        <v/>
      </c>
      <c r="E248" s="81" t="str">
        <f>IF(B248="","",VLOOKUP(B248,'DATA (2)'!$F$11:$K$1671,5,FALSE))</f>
        <v/>
      </c>
      <c r="I248" s="82" t="str">
        <f>IF(B248="","",SUMIF(Data!H247:H3858,B248,Data!AH247:AH3858))</f>
        <v/>
      </c>
      <c r="J248" s="82" t="str">
        <f>IF(B248="","",SUMIF(Data!H247:H1858,B248,Data!AG247:AG1858))</f>
        <v/>
      </c>
      <c r="K248" t="str">
        <f t="shared" si="4"/>
        <v/>
      </c>
    </row>
    <row r="249" spans="1:11" ht="15">
      <c r="A249" s="79" t="str">
        <f>IF(B249="","",VLOOKUP(B249,Data!$H$3:$P$1079,9,FALSE))</f>
        <v/>
      </c>
      <c r="C249" s="80" t="str">
        <f>IF(B249="","",VLOOKUP(B249,'DATA (2)'!$F$11:$K$6471,2,FALSE))</f>
        <v/>
      </c>
      <c r="E249" s="81" t="str">
        <f>IF(B249="","",VLOOKUP(B249,'DATA (2)'!$F$11:$K$1671,5,FALSE))</f>
        <v/>
      </c>
      <c r="I249" s="82" t="str">
        <f>IF(B249="","",SUMIF(Data!H248:H3859,B249,Data!AH248:AH3859))</f>
        <v/>
      </c>
      <c r="J249" s="82" t="str">
        <f>IF(B249="","",SUMIF(Data!H248:H1859,B249,Data!AG248:AG1859))</f>
        <v/>
      </c>
      <c r="K249" t="str">
        <f t="shared" si="4"/>
        <v/>
      </c>
    </row>
    <row r="250" spans="1:11" ht="15">
      <c r="A250" s="79" t="str">
        <f>IF(B250="","",VLOOKUP(B250,Data!$H$3:$P$1079,9,FALSE))</f>
        <v/>
      </c>
      <c r="C250" s="80" t="str">
        <f>IF(B250="","",VLOOKUP(B250,'DATA (2)'!$F$11:$K$6471,2,FALSE))</f>
        <v/>
      </c>
      <c r="E250" s="81" t="str">
        <f>IF(B250="","",VLOOKUP(B250,'DATA (2)'!$F$11:$K$1671,5,FALSE))</f>
        <v/>
      </c>
      <c r="I250" s="82" t="str">
        <f>IF(B250="","",SUMIF(Data!H249:H3860,B250,Data!AH249:AH3860))</f>
        <v/>
      </c>
      <c r="J250" s="82" t="str">
        <f>IF(B250="","",SUMIF(Data!H249:H1860,B250,Data!AG249:AG1860))</f>
        <v/>
      </c>
      <c r="K250" t="str">
        <f t="shared" si="4"/>
        <v/>
      </c>
    </row>
    <row r="251" spans="1:11" ht="15">
      <c r="A251" s="79" t="str">
        <f>IF(B251="","",VLOOKUP(B251,Data!$H$3:$P$1079,9,FALSE))</f>
        <v/>
      </c>
      <c r="C251" s="80" t="str">
        <f>IF(B251="","",VLOOKUP(B251,'DATA (2)'!$F$11:$K$6471,2,FALSE))</f>
        <v/>
      </c>
      <c r="E251" s="81" t="str">
        <f>IF(B251="","",VLOOKUP(B251,'DATA (2)'!$F$11:$K$1671,5,FALSE))</f>
        <v/>
      </c>
      <c r="I251" s="82" t="str">
        <f>IF(B251="","",SUMIF(Data!H250:H3861,B251,Data!AH250:AH3861))</f>
        <v/>
      </c>
      <c r="J251" s="82" t="str">
        <f>IF(B251="","",SUMIF(Data!H250:H1861,B251,Data!AG250:AG1861))</f>
        <v/>
      </c>
      <c r="K251" t="str">
        <f t="shared" si="4"/>
        <v/>
      </c>
    </row>
    <row r="252" spans="1:11" ht="15">
      <c r="A252" s="79" t="str">
        <f>IF(B252="","",VLOOKUP(B252,Data!$H$3:$P$1079,9,FALSE))</f>
        <v/>
      </c>
      <c r="C252" s="80" t="str">
        <f>IF(B252="","",VLOOKUP(B252,'DATA (2)'!$F$11:$K$6471,2,FALSE))</f>
        <v/>
      </c>
      <c r="E252" s="81" t="str">
        <f>IF(B252="","",VLOOKUP(B252,'DATA (2)'!$F$11:$K$1671,5,FALSE))</f>
        <v/>
      </c>
      <c r="I252" s="82" t="str">
        <f>IF(B252="","",SUMIF(Data!H251:H3862,B252,Data!AH251:AH3862))</f>
        <v/>
      </c>
      <c r="J252" s="82" t="str">
        <f>IF(B252="","",SUMIF(Data!H251:H1862,B252,Data!AG251:AG1862))</f>
        <v/>
      </c>
      <c r="K252" t="str">
        <f t="shared" si="4"/>
        <v/>
      </c>
    </row>
    <row r="253" spans="1:11" ht="15">
      <c r="A253" s="79" t="str">
        <f>IF(B253="","",VLOOKUP(B253,Data!$H$3:$P$1079,9,FALSE))</f>
        <v/>
      </c>
      <c r="C253" s="80" t="str">
        <f>IF(B253="","",VLOOKUP(B253,'DATA (2)'!$F$11:$K$6471,2,FALSE))</f>
        <v/>
      </c>
      <c r="E253" s="81" t="str">
        <f>IF(B253="","",VLOOKUP(B253,'DATA (2)'!$F$11:$K$1671,5,FALSE))</f>
        <v/>
      </c>
      <c r="I253" s="82" t="str">
        <f>IF(B253="","",SUMIF(Data!H252:H3863,B253,Data!AH252:AH3863))</f>
        <v/>
      </c>
      <c r="J253" s="82" t="str">
        <f>IF(B253="","",SUMIF(Data!H252:H1863,B253,Data!AG252:AG1863))</f>
        <v/>
      </c>
      <c r="K253" t="str">
        <f t="shared" si="4"/>
        <v/>
      </c>
    </row>
    <row r="254" spans="1:11" ht="15">
      <c r="A254" s="79" t="str">
        <f>IF(B254="","",VLOOKUP(B254,Data!$H$3:$P$1079,9,FALSE))</f>
        <v/>
      </c>
      <c r="C254" s="80" t="str">
        <f>IF(B254="","",VLOOKUP(B254,'DATA (2)'!$F$11:$K$6471,2,FALSE))</f>
        <v/>
      </c>
      <c r="E254" s="81" t="str">
        <f>IF(B254="","",VLOOKUP(B254,'DATA (2)'!$F$11:$K$1671,5,FALSE))</f>
        <v/>
      </c>
      <c r="I254" s="82" t="str">
        <f>IF(B254="","",SUMIF(Data!H253:H3864,B254,Data!AH253:AH3864))</f>
        <v/>
      </c>
      <c r="J254" s="82" t="str">
        <f>IF(B254="","",SUMIF(Data!H253:H1864,B254,Data!AG253:AG1864))</f>
        <v/>
      </c>
      <c r="K254" t="str">
        <f t="shared" si="4"/>
        <v/>
      </c>
    </row>
    <row r="255" spans="1:11" ht="15">
      <c r="A255" s="79" t="str">
        <f>IF(B255="","",VLOOKUP(B255,Data!$H$3:$P$1079,9,FALSE))</f>
        <v/>
      </c>
      <c r="C255" s="80" t="str">
        <f>IF(B255="","",VLOOKUP(B255,'DATA (2)'!$F$11:$K$6471,2,FALSE))</f>
        <v/>
      </c>
      <c r="E255" s="81" t="str">
        <f>IF(B255="","",VLOOKUP(B255,'DATA (2)'!$F$11:$K$1671,5,FALSE))</f>
        <v/>
      </c>
      <c r="I255" s="82" t="str">
        <f>IF(B255="","",SUMIF(Data!H254:H3865,B255,Data!AH254:AH3865))</f>
        <v/>
      </c>
      <c r="J255" s="82" t="str">
        <f>IF(B255="","",SUMIF(Data!H254:H1865,B255,Data!AG254:AG1865))</f>
        <v/>
      </c>
      <c r="K255" t="str">
        <f t="shared" si="4"/>
        <v/>
      </c>
    </row>
    <row r="256" spans="1:11" ht="15">
      <c r="A256" s="79" t="str">
        <f>IF(B256="","",VLOOKUP(B256,Data!$H$3:$P$1079,9,FALSE))</f>
        <v/>
      </c>
      <c r="C256" s="80" t="str">
        <f>IF(B256="","",VLOOKUP(B256,'DATA (2)'!$F$11:$K$6471,2,FALSE))</f>
        <v/>
      </c>
      <c r="E256" s="81" t="str">
        <f>IF(B256="","",VLOOKUP(B256,'DATA (2)'!$F$11:$K$1671,5,FALSE))</f>
        <v/>
      </c>
      <c r="I256" s="82" t="str">
        <f>IF(B256="","",SUMIF(Data!H255:H3866,B256,Data!AH255:AH3866))</f>
        <v/>
      </c>
      <c r="J256" s="82" t="str">
        <f>IF(B256="","",SUMIF(Data!H255:H1866,B256,Data!AG255:AG1866))</f>
        <v/>
      </c>
      <c r="K256" t="str">
        <f t="shared" si="4"/>
        <v/>
      </c>
    </row>
    <row r="257" spans="1:11" ht="15">
      <c r="A257" s="79" t="str">
        <f>IF(B257="","",VLOOKUP(B257,Data!$H$3:$P$1079,9,FALSE))</f>
        <v/>
      </c>
      <c r="C257" s="80" t="str">
        <f>IF(B257="","",VLOOKUP(B257,'DATA (2)'!$F$11:$K$6471,2,FALSE))</f>
        <v/>
      </c>
      <c r="E257" s="81" t="str">
        <f>IF(B257="","",VLOOKUP(B257,'DATA (2)'!$F$11:$K$1671,5,FALSE))</f>
        <v/>
      </c>
      <c r="I257" s="82" t="str">
        <f>IF(B257="","",SUMIF(Data!H256:H3867,B257,Data!AH256:AH3867))</f>
        <v/>
      </c>
      <c r="J257" s="82" t="str">
        <f>IF(B257="","",SUMIF(Data!H256:H1867,B257,Data!AG256:AG1867))</f>
        <v/>
      </c>
      <c r="K257" t="str">
        <f t="shared" si="4"/>
        <v/>
      </c>
    </row>
    <row r="258" spans="1:11" ht="15">
      <c r="A258" s="79" t="str">
        <f>IF(B258="","",VLOOKUP(B258,Data!$H$3:$P$1079,9,FALSE))</f>
        <v/>
      </c>
      <c r="C258" s="80" t="str">
        <f>IF(B258="","",VLOOKUP(B258,'DATA (2)'!$F$11:$K$6471,2,FALSE))</f>
        <v/>
      </c>
      <c r="E258" s="81" t="str">
        <f>IF(B258="","",VLOOKUP(B258,'DATA (2)'!$F$11:$K$1671,5,FALSE))</f>
        <v/>
      </c>
      <c r="I258" s="82" t="str">
        <f>IF(B258="","",SUMIF(Data!H257:H3868,B258,Data!AH257:AH3868))</f>
        <v/>
      </c>
      <c r="J258" s="82" t="str">
        <f>IF(B258="","",SUMIF(Data!H257:H1868,B258,Data!AG257:AG1868))</f>
        <v/>
      </c>
      <c r="K258" t="str">
        <f t="shared" si="4"/>
        <v/>
      </c>
    </row>
    <row r="259" spans="1:11" ht="15">
      <c r="A259" s="79" t="str">
        <f>IF(B259="","",VLOOKUP(B259,Data!$H$3:$P$1079,9,FALSE))</f>
        <v/>
      </c>
      <c r="C259" s="80" t="str">
        <f>IF(B259="","",VLOOKUP(B259,'DATA (2)'!$F$11:$K$6471,2,FALSE))</f>
        <v/>
      </c>
      <c r="E259" s="81" t="str">
        <f>IF(B259="","",VLOOKUP(B259,'DATA (2)'!$F$11:$K$1671,5,FALSE))</f>
        <v/>
      </c>
      <c r="I259" s="82" t="str">
        <f>IF(B259="","",SUMIF(Data!H258:H3869,B259,Data!AH258:AH3869))</f>
        <v/>
      </c>
      <c r="J259" s="82" t="str">
        <f>IF(B259="","",SUMIF(Data!H258:H1869,B259,Data!AG258:AG1869))</f>
        <v/>
      </c>
      <c r="K259" t="str">
        <f t="shared" si="4"/>
        <v/>
      </c>
    </row>
    <row r="260" spans="1:11" ht="15">
      <c r="A260" s="79" t="str">
        <f>IF(B260="","",VLOOKUP(B260,Data!$H$3:$P$1079,9,FALSE))</f>
        <v/>
      </c>
      <c r="C260" s="80" t="str">
        <f>IF(B260="","",VLOOKUP(B260,'DATA (2)'!$F$11:$K$6471,2,FALSE))</f>
        <v/>
      </c>
      <c r="E260" s="81" t="str">
        <f>IF(B260="","",VLOOKUP(B260,'DATA (2)'!$F$11:$K$1671,5,FALSE))</f>
        <v/>
      </c>
      <c r="I260" s="82" t="str">
        <f>IF(B260="","",SUMIF(Data!H259:H3870,B260,Data!AH259:AH3870))</f>
        <v/>
      </c>
      <c r="J260" s="82" t="str">
        <f>IF(B260="","",SUMIF(Data!H259:H1870,B260,Data!AG259:AG1870))</f>
        <v/>
      </c>
      <c r="K260" t="str">
        <f t="shared" si="4"/>
        <v/>
      </c>
    </row>
    <row r="261" spans="1:11" ht="15">
      <c r="A261" s="79" t="str">
        <f>IF(B261="","",VLOOKUP(B261,Data!$H$3:$P$1079,9,FALSE))</f>
        <v/>
      </c>
      <c r="C261" s="80" t="str">
        <f>IF(B261="","",VLOOKUP(B261,'DATA (2)'!$F$11:$K$6471,2,FALSE))</f>
        <v/>
      </c>
      <c r="E261" s="81" t="str">
        <f>IF(B261="","",VLOOKUP(B261,'DATA (2)'!$F$11:$K$1671,5,FALSE))</f>
        <v/>
      </c>
      <c r="I261" s="82" t="str">
        <f>IF(B261="","",SUMIF(Data!H260:H3871,B261,Data!AH260:AH3871))</f>
        <v/>
      </c>
      <c r="J261" s="82" t="str">
        <f>IF(B261="","",SUMIF(Data!H260:H1871,B261,Data!AG260:AG1871))</f>
        <v/>
      </c>
      <c r="K261" t="str">
        <f t="shared" si="4"/>
        <v/>
      </c>
    </row>
    <row r="262" spans="1:11" ht="15">
      <c r="A262" s="79" t="str">
        <f>IF(B262="","",VLOOKUP(B262,Data!$H$3:$P$1079,9,FALSE))</f>
        <v/>
      </c>
      <c r="C262" s="80" t="str">
        <f>IF(B262="","",VLOOKUP(B262,'DATA (2)'!$F$11:$K$6471,2,FALSE))</f>
        <v/>
      </c>
      <c r="E262" s="81" t="str">
        <f>IF(B262="","",VLOOKUP(B262,'DATA (2)'!$F$11:$K$1671,5,FALSE))</f>
        <v/>
      </c>
      <c r="I262" s="82" t="str">
        <f>IF(B262="","",SUMIF(Data!H261:H3872,B262,Data!AH261:AH3872))</f>
        <v/>
      </c>
      <c r="J262" s="82" t="str">
        <f>IF(B262="","",SUMIF(Data!H261:H1872,B262,Data!AG261:AG1872))</f>
        <v/>
      </c>
      <c r="K262" t="str">
        <f t="shared" si="4"/>
        <v/>
      </c>
    </row>
    <row r="263" spans="1:11" ht="15">
      <c r="A263" s="79" t="str">
        <f>IF(B263="","",VLOOKUP(B263,Data!$H$3:$P$1079,9,FALSE))</f>
        <v/>
      </c>
      <c r="C263" s="80" t="str">
        <f>IF(B263="","",VLOOKUP(B263,'DATA (2)'!$F$11:$K$6471,2,FALSE))</f>
        <v/>
      </c>
      <c r="E263" s="81" t="str">
        <f>IF(B263="","",VLOOKUP(B263,'DATA (2)'!$F$11:$K$1671,5,FALSE))</f>
        <v/>
      </c>
      <c r="I263" s="82" t="str">
        <f>IF(B263="","",SUMIF(Data!H262:H3873,B263,Data!AH262:AH3873))</f>
        <v/>
      </c>
      <c r="J263" s="82" t="str">
        <f>IF(B263="","",SUMIF(Data!H262:H1873,B263,Data!AG262:AG1873))</f>
        <v/>
      </c>
      <c r="K263" t="str">
        <f t="shared" si="4"/>
        <v/>
      </c>
    </row>
    <row r="264" spans="1:11" ht="15">
      <c r="A264" s="79" t="str">
        <f>IF(B264="","",VLOOKUP(B264,Data!$H$3:$P$1079,9,FALSE))</f>
        <v/>
      </c>
      <c r="C264" s="80" t="str">
        <f>IF(B264="","",VLOOKUP(B264,'DATA (2)'!$F$11:$K$6471,2,FALSE))</f>
        <v/>
      </c>
      <c r="E264" s="81" t="str">
        <f>IF(B264="","",VLOOKUP(B264,'DATA (2)'!$F$11:$K$1671,5,FALSE))</f>
        <v/>
      </c>
      <c r="I264" s="82" t="str">
        <f>IF(B264="","",SUMIF(Data!H263:H3874,B264,Data!AH263:AH3874))</f>
        <v/>
      </c>
      <c r="J264" s="82" t="str">
        <f>IF(B264="","",SUMIF(Data!H263:H1874,B264,Data!AG263:AG1874))</f>
        <v/>
      </c>
      <c r="K264" t="str">
        <f t="shared" si="4"/>
        <v/>
      </c>
    </row>
    <row r="265" spans="1:11" ht="15">
      <c r="A265" s="79" t="str">
        <f>IF(B265="","",VLOOKUP(B265,Data!$H$3:$P$1079,9,FALSE))</f>
        <v/>
      </c>
      <c r="C265" s="80" t="str">
        <f>IF(B265="","",VLOOKUP(B265,'DATA (2)'!$F$11:$K$6471,2,FALSE))</f>
        <v/>
      </c>
      <c r="E265" s="81" t="str">
        <f>IF(B265="","",VLOOKUP(B265,'DATA (2)'!$F$11:$K$1671,5,FALSE))</f>
        <v/>
      </c>
      <c r="I265" s="82" t="str">
        <f>IF(B265="","",SUMIF(Data!H264:H3875,B265,Data!AH264:AH3875))</f>
        <v/>
      </c>
      <c r="J265" s="82" t="str">
        <f>IF(B265="","",SUMIF(Data!H264:H1875,B265,Data!AG264:AG1875))</f>
        <v/>
      </c>
      <c r="K265" t="str">
        <f t="shared" si="4"/>
        <v/>
      </c>
    </row>
    <row r="266" spans="1:11" ht="15">
      <c r="A266" s="79" t="str">
        <f>IF(B266="","",VLOOKUP(B266,Data!$H$3:$P$1079,9,FALSE))</f>
        <v/>
      </c>
      <c r="C266" s="80" t="str">
        <f>IF(B266="","",VLOOKUP(B266,'DATA (2)'!$F$11:$K$6471,2,FALSE))</f>
        <v/>
      </c>
      <c r="E266" s="81" t="str">
        <f>IF(B266="","",VLOOKUP(B266,'DATA (2)'!$F$11:$K$1671,5,FALSE))</f>
        <v/>
      </c>
      <c r="I266" s="82" t="str">
        <f>IF(B266="","",SUMIF(Data!H265:H3876,B266,Data!AH265:AH3876))</f>
        <v/>
      </c>
      <c r="J266" s="82" t="str">
        <f>IF(B266="","",SUMIF(Data!H265:H1876,B266,Data!AG265:AG1876))</f>
        <v/>
      </c>
      <c r="K266" t="str">
        <f t="shared" si="4"/>
        <v/>
      </c>
    </row>
    <row r="267" spans="1:11" ht="15">
      <c r="A267" s="79" t="str">
        <f>IF(B267="","",VLOOKUP(B267,Data!$H$3:$P$1079,9,FALSE))</f>
        <v/>
      </c>
      <c r="C267" s="80" t="str">
        <f>IF(B267="","",VLOOKUP(B267,'DATA (2)'!$F$11:$K$6471,2,FALSE))</f>
        <v/>
      </c>
      <c r="E267" s="81" t="str">
        <f>IF(B267="","",VLOOKUP(B267,'DATA (2)'!$F$11:$K$1671,5,FALSE))</f>
        <v/>
      </c>
      <c r="I267" s="82" t="str">
        <f>IF(B267="","",SUMIF(Data!H266:H3877,B267,Data!AH266:AH3877))</f>
        <v/>
      </c>
      <c r="J267" s="82" t="str">
        <f>IF(B267="","",SUMIF(Data!H266:H1877,B267,Data!AG266:AG1877))</f>
        <v/>
      </c>
      <c r="K267" t="str">
        <f t="shared" si="4"/>
        <v/>
      </c>
    </row>
    <row r="268" spans="1:11" ht="15">
      <c r="A268" s="79" t="str">
        <f>IF(B268="","",VLOOKUP(B268,Data!$H$3:$P$1079,9,FALSE))</f>
        <v/>
      </c>
      <c r="C268" s="80" t="str">
        <f>IF(B268="","",VLOOKUP(B268,'DATA (2)'!$F$11:$K$6471,2,FALSE))</f>
        <v/>
      </c>
      <c r="E268" s="81" t="str">
        <f>IF(B268="","",VLOOKUP(B268,'DATA (2)'!$F$11:$K$1671,5,FALSE))</f>
        <v/>
      </c>
      <c r="I268" s="82" t="str">
        <f>IF(B268="","",SUMIF(Data!H267:H3878,B268,Data!AH267:AH3878))</f>
        <v/>
      </c>
      <c r="J268" s="82" t="str">
        <f>IF(B268="","",SUMIF(Data!H267:H1878,B268,Data!AG267:AG1878))</f>
        <v/>
      </c>
      <c r="K268" t="str">
        <f t="shared" si="4"/>
        <v/>
      </c>
    </row>
    <row r="269" spans="1:11" ht="15">
      <c r="A269" s="79" t="str">
        <f>IF(B269="","",VLOOKUP(B269,Data!$H$3:$P$1079,9,FALSE))</f>
        <v/>
      </c>
      <c r="C269" s="80" t="str">
        <f>IF(B269="","",VLOOKUP(B269,'DATA (2)'!$F$11:$K$6471,2,FALSE))</f>
        <v/>
      </c>
      <c r="E269" s="81" t="str">
        <f>IF(B269="","",VLOOKUP(B269,'DATA (2)'!$F$11:$K$1671,5,FALSE))</f>
        <v/>
      </c>
      <c r="I269" s="82" t="str">
        <f>IF(B269="","",SUMIF(Data!H268:H3879,B269,Data!AH268:AH3879))</f>
        <v/>
      </c>
      <c r="J269" s="82" t="str">
        <f>IF(B269="","",SUMIF(Data!H268:H1879,B269,Data!AG268:AG1879))</f>
        <v/>
      </c>
      <c r="K269" t="str">
        <f t="shared" si="4"/>
        <v/>
      </c>
    </row>
    <row r="270" spans="1:11" ht="15">
      <c r="A270" s="79" t="str">
        <f>IF(B270="","",VLOOKUP(B270,Data!$H$3:$P$1079,9,FALSE))</f>
        <v/>
      </c>
      <c r="C270" s="80" t="str">
        <f>IF(B270="","",VLOOKUP(B270,'DATA (2)'!$F$11:$K$6471,2,FALSE))</f>
        <v/>
      </c>
      <c r="E270" s="81" t="str">
        <f>IF(B270="","",VLOOKUP(B270,'DATA (2)'!$F$11:$K$1671,5,FALSE))</f>
        <v/>
      </c>
      <c r="I270" s="82" t="str">
        <f>IF(B270="","",SUMIF(Data!H269:H3880,B270,Data!AH269:AH3880))</f>
        <v/>
      </c>
      <c r="J270" s="82" t="str">
        <f>IF(B270="","",SUMIF(Data!H269:H1880,B270,Data!AG269:AG1880))</f>
        <v/>
      </c>
      <c r="K270" t="str">
        <f t="shared" si="4"/>
        <v/>
      </c>
    </row>
    <row r="271" spans="1:11" ht="15">
      <c r="A271" s="79" t="str">
        <f>IF(B271="","",VLOOKUP(B271,Data!$H$3:$P$1079,9,FALSE))</f>
        <v/>
      </c>
      <c r="C271" s="80" t="str">
        <f>IF(B271="","",VLOOKUP(B271,'DATA (2)'!$F$11:$K$6471,2,FALSE))</f>
        <v/>
      </c>
      <c r="E271" s="81" t="str">
        <f>IF(B271="","",VLOOKUP(B271,'DATA (2)'!$F$11:$K$1671,5,FALSE))</f>
        <v/>
      </c>
      <c r="I271" s="82" t="str">
        <f>IF(B271="","",SUMIF(Data!H270:H3881,B271,Data!AH270:AH3881))</f>
        <v/>
      </c>
      <c r="J271" s="82" t="str">
        <f>IF(B271="","",SUMIF(Data!H270:H1881,B271,Data!AG270:AG1881))</f>
        <v/>
      </c>
      <c r="K271" t="str">
        <f t="shared" si="4"/>
        <v/>
      </c>
    </row>
    <row r="272" spans="1:11" ht="15">
      <c r="A272" s="79" t="str">
        <f>IF(B272="","",VLOOKUP(B272,Data!$H$3:$P$1079,9,FALSE))</f>
        <v/>
      </c>
      <c r="C272" s="80" t="str">
        <f>IF(B272="","",VLOOKUP(B272,'DATA (2)'!$F$11:$K$6471,2,FALSE))</f>
        <v/>
      </c>
      <c r="E272" s="81" t="str">
        <f>IF(B272="","",VLOOKUP(B272,'DATA (2)'!$F$11:$K$1671,5,FALSE))</f>
        <v/>
      </c>
      <c r="I272" s="82" t="str">
        <f>IF(B272="","",SUMIF(Data!H271:H3882,B272,Data!AH271:AH3882))</f>
        <v/>
      </c>
      <c r="J272" s="82" t="str">
        <f>IF(B272="","",SUMIF(Data!H271:H1882,B272,Data!AG271:AG1882))</f>
        <v/>
      </c>
      <c r="K272" t="str">
        <f t="shared" si="4"/>
        <v/>
      </c>
    </row>
    <row r="273" spans="1:11" ht="15">
      <c r="A273" s="79" t="str">
        <f>IF(B273="","",VLOOKUP(B273,Data!$H$3:$P$1079,9,FALSE))</f>
        <v/>
      </c>
      <c r="C273" s="80" t="str">
        <f>IF(B273="","",VLOOKUP(B273,'DATA (2)'!$F$11:$K$6471,2,FALSE))</f>
        <v/>
      </c>
      <c r="E273" s="81" t="str">
        <f>IF(B273="","",VLOOKUP(B273,'DATA (2)'!$F$11:$K$1671,5,FALSE))</f>
        <v/>
      </c>
      <c r="I273" s="82" t="str">
        <f>IF(B273="","",SUMIF(Data!H272:H3883,B273,Data!AH272:AH3883))</f>
        <v/>
      </c>
      <c r="J273" s="82" t="str">
        <f>IF(B273="","",SUMIF(Data!H272:H1883,B273,Data!AG272:AG1883))</f>
        <v/>
      </c>
      <c r="K273" t="str">
        <f t="shared" si="4"/>
        <v/>
      </c>
    </row>
    <row r="274" spans="1:11" ht="15">
      <c r="A274" s="79" t="str">
        <f>IF(B274="","",VLOOKUP(B274,Data!$H$3:$P$1079,9,FALSE))</f>
        <v/>
      </c>
      <c r="C274" s="80" t="str">
        <f>IF(B274="","",VLOOKUP(B274,'DATA (2)'!$F$11:$K$6471,2,FALSE))</f>
        <v/>
      </c>
      <c r="E274" s="81" t="str">
        <f>IF(B274="","",VLOOKUP(B274,'DATA (2)'!$F$11:$K$1671,5,FALSE))</f>
        <v/>
      </c>
      <c r="I274" s="82" t="str">
        <f>IF(B274="","",SUMIF(Data!H273:H3884,B274,Data!AH273:AH3884))</f>
        <v/>
      </c>
      <c r="J274" s="82" t="str">
        <f>IF(B274="","",SUMIF(Data!H273:H1884,B274,Data!AG273:AG1884))</f>
        <v/>
      </c>
      <c r="K274" t="str">
        <f t="shared" si="4"/>
        <v/>
      </c>
    </row>
    <row r="275" spans="1:11" ht="15">
      <c r="A275" s="79" t="str">
        <f>IF(B275="","",VLOOKUP(B275,Data!$H$3:$P$1079,9,FALSE))</f>
        <v/>
      </c>
      <c r="C275" s="80" t="str">
        <f>IF(B275="","",VLOOKUP(B275,'DATA (2)'!$F$11:$K$6471,2,FALSE))</f>
        <v/>
      </c>
      <c r="E275" s="81" t="str">
        <f>IF(B275="","",VLOOKUP(B275,'DATA (2)'!$F$11:$K$1671,5,FALSE))</f>
        <v/>
      </c>
      <c r="I275" s="82" t="str">
        <f>IF(B275="","",SUMIF(Data!H274:H3885,B275,Data!AH274:AH3885))</f>
        <v/>
      </c>
      <c r="J275" s="82" t="str">
        <f>IF(B275="","",SUMIF(Data!H274:H1885,B275,Data!AG274:AG1885))</f>
        <v/>
      </c>
      <c r="K275" t="str">
        <f t="shared" si="4"/>
        <v/>
      </c>
    </row>
    <row r="276" spans="1:11" ht="15">
      <c r="A276" s="79" t="str">
        <f>IF(B276="","",VLOOKUP(B276,Data!$H$3:$P$1079,9,FALSE))</f>
        <v/>
      </c>
      <c r="C276" s="80" t="str">
        <f>IF(B276="","",VLOOKUP(B276,'DATA (2)'!$F$11:$K$6471,2,FALSE))</f>
        <v/>
      </c>
      <c r="E276" s="81" t="str">
        <f>IF(B276="","",VLOOKUP(B276,'DATA (2)'!$F$11:$K$1671,5,FALSE))</f>
        <v/>
      </c>
      <c r="I276" s="82" t="str">
        <f>IF(B276="","",SUMIF(Data!H275:H3886,B276,Data!AH275:AH3886))</f>
        <v/>
      </c>
      <c r="J276" s="82" t="str">
        <f>IF(B276="","",SUMIF(Data!H275:H1886,B276,Data!AG275:AG1886))</f>
        <v/>
      </c>
      <c r="K276" t="str">
        <f t="shared" si="4"/>
        <v/>
      </c>
    </row>
    <row r="277" spans="1:11" ht="15">
      <c r="A277" s="79" t="str">
        <f>IF(B277="","",VLOOKUP(B277,Data!$H$3:$P$1079,9,FALSE))</f>
        <v/>
      </c>
      <c r="C277" s="80" t="str">
        <f>IF(B277="","",VLOOKUP(B277,'DATA (2)'!$F$11:$K$6471,2,FALSE))</f>
        <v/>
      </c>
      <c r="E277" s="81" t="str">
        <f>IF(B277="","",VLOOKUP(B277,'DATA (2)'!$F$11:$K$1671,5,FALSE))</f>
        <v/>
      </c>
      <c r="I277" s="82" t="str">
        <f>IF(B277="","",SUMIF(Data!H276:H3887,B277,Data!AH276:AH3887))</f>
        <v/>
      </c>
      <c r="J277" s="82" t="str">
        <f>IF(B277="","",SUMIF(Data!H276:H1887,B277,Data!AG276:AG1887))</f>
        <v/>
      </c>
      <c r="K277" t="str">
        <f t="shared" ref="K277:K321" si="5">IF(B277="","",I277+J277)</f>
        <v/>
      </c>
    </row>
    <row r="278" spans="1:11" ht="15">
      <c r="A278" s="79" t="str">
        <f>IF(B278="","",VLOOKUP(B278,Data!$H$3:$P$1079,9,FALSE))</f>
        <v/>
      </c>
      <c r="C278" s="80" t="str">
        <f>IF(B278="","",VLOOKUP(B278,'DATA (2)'!$F$11:$K$6471,2,FALSE))</f>
        <v/>
      </c>
      <c r="E278" s="81" t="str">
        <f>IF(B278="","",VLOOKUP(B278,'DATA (2)'!$F$11:$K$1671,5,FALSE))</f>
        <v/>
      </c>
      <c r="I278" s="82" t="str">
        <f>IF(B278="","",SUMIF(Data!H277:H3888,B278,Data!AH277:AH3888))</f>
        <v/>
      </c>
      <c r="J278" s="82" t="str">
        <f>IF(B278="","",SUMIF(Data!H277:H1888,B278,Data!AG277:AG1888))</f>
        <v/>
      </c>
      <c r="K278" t="str">
        <f t="shared" si="5"/>
        <v/>
      </c>
    </row>
    <row r="279" spans="1:11" ht="15">
      <c r="A279" s="79" t="str">
        <f>IF(B279="","",VLOOKUP(B279,Data!$H$3:$P$1079,9,FALSE))</f>
        <v/>
      </c>
      <c r="C279" s="80" t="str">
        <f>IF(B279="","",VLOOKUP(B279,'DATA (2)'!$F$11:$K$6471,2,FALSE))</f>
        <v/>
      </c>
      <c r="E279" s="81" t="str">
        <f>IF(B279="","",VLOOKUP(B279,'DATA (2)'!$F$11:$K$1671,5,FALSE))</f>
        <v/>
      </c>
      <c r="I279" s="82" t="str">
        <f>IF(B279="","",SUMIF(Data!H278:H3889,B279,Data!AH278:AH3889))</f>
        <v/>
      </c>
      <c r="J279" s="82" t="str">
        <f>IF(B279="","",SUMIF(Data!H278:H1889,B279,Data!AG278:AG1889))</f>
        <v/>
      </c>
      <c r="K279" t="str">
        <f t="shared" si="5"/>
        <v/>
      </c>
    </row>
    <row r="280" spans="1:11" ht="15">
      <c r="A280" s="79" t="str">
        <f>IF(B280="","",VLOOKUP(B280,Data!$H$3:$P$1079,9,FALSE))</f>
        <v/>
      </c>
      <c r="C280" s="80" t="str">
        <f>IF(B280="","",VLOOKUP(B280,'DATA (2)'!$F$11:$K$6471,2,FALSE))</f>
        <v/>
      </c>
      <c r="E280" s="81" t="str">
        <f>IF(B280="","",VLOOKUP(B280,'DATA (2)'!$F$11:$K$1671,5,FALSE))</f>
        <v/>
      </c>
      <c r="I280" s="82" t="str">
        <f>IF(B280="","",SUMIF(Data!H279:H3890,B280,Data!AH279:AH3890))</f>
        <v/>
      </c>
      <c r="J280" s="82" t="str">
        <f>IF(B280="","",SUMIF(Data!H279:H1890,B280,Data!AG279:AG1890))</f>
        <v/>
      </c>
      <c r="K280" t="str">
        <f t="shared" si="5"/>
        <v/>
      </c>
    </row>
    <row r="281" spans="1:11" ht="15">
      <c r="A281" s="79" t="str">
        <f>IF(B281="","",VLOOKUP(B281,Data!$H$3:$P$1079,9,FALSE))</f>
        <v/>
      </c>
      <c r="C281" s="80" t="str">
        <f>IF(B281="","",VLOOKUP(B281,'DATA (2)'!$F$11:$K$6471,2,FALSE))</f>
        <v/>
      </c>
      <c r="E281" s="81" t="str">
        <f>IF(B281="","",VLOOKUP(B281,'DATA (2)'!$F$11:$K$1671,5,FALSE))</f>
        <v/>
      </c>
      <c r="I281" s="82" t="str">
        <f>IF(B281="","",SUMIF(Data!H280:H3891,B281,Data!AH280:AH3891))</f>
        <v/>
      </c>
      <c r="J281" s="82" t="str">
        <f>IF(B281="","",SUMIF(Data!H280:H1891,B281,Data!AG280:AG1891))</f>
        <v/>
      </c>
      <c r="K281" t="str">
        <f t="shared" si="5"/>
        <v/>
      </c>
    </row>
    <row r="282" spans="1:11" ht="15">
      <c r="A282" s="79" t="str">
        <f>IF(B282="","",VLOOKUP(B282,Data!$H$3:$P$1079,9,FALSE))</f>
        <v/>
      </c>
      <c r="C282" s="80" t="str">
        <f>IF(B282="","",VLOOKUP(B282,'DATA (2)'!$F$11:$K$6471,2,FALSE))</f>
        <v/>
      </c>
      <c r="E282" s="81" t="str">
        <f>IF(B282="","",VLOOKUP(B282,'DATA (2)'!$F$11:$K$1671,5,FALSE))</f>
        <v/>
      </c>
      <c r="I282" s="82" t="str">
        <f>IF(B282="","",SUMIF(Data!H281:H3892,B282,Data!AH281:AH3892))</f>
        <v/>
      </c>
      <c r="J282" s="82" t="str">
        <f>IF(B282="","",SUMIF(Data!H281:H1892,B282,Data!AG281:AG1892))</f>
        <v/>
      </c>
      <c r="K282" t="str">
        <f t="shared" si="5"/>
        <v/>
      </c>
    </row>
    <row r="283" spans="1:11" ht="15">
      <c r="A283" s="79" t="str">
        <f>IF(B283="","",VLOOKUP(B283,Data!$H$3:$P$1079,9,FALSE))</f>
        <v/>
      </c>
      <c r="C283" s="80" t="str">
        <f>IF(B283="","",VLOOKUP(B283,'DATA (2)'!$F$11:$K$6471,2,FALSE))</f>
        <v/>
      </c>
      <c r="E283" s="81" t="str">
        <f>IF(B283="","",VLOOKUP(B283,'DATA (2)'!$F$11:$K$1671,5,FALSE))</f>
        <v/>
      </c>
      <c r="I283" s="82" t="str">
        <f>IF(B283="","",SUMIF(Data!H282:H3893,B283,Data!AH282:AH3893))</f>
        <v/>
      </c>
      <c r="J283" s="82" t="str">
        <f>IF(B283="","",SUMIF(Data!H282:H1893,B283,Data!AG282:AG1893))</f>
        <v/>
      </c>
      <c r="K283" t="str">
        <f t="shared" si="5"/>
        <v/>
      </c>
    </row>
    <row r="284" spans="1:11" ht="15">
      <c r="A284" s="79" t="str">
        <f>IF(B284="","",VLOOKUP(B284,Data!$H$3:$P$1079,9,FALSE))</f>
        <v/>
      </c>
      <c r="C284" s="80" t="str">
        <f>IF(B284="","",VLOOKUP(B284,'DATA (2)'!$F$11:$K$6471,2,FALSE))</f>
        <v/>
      </c>
      <c r="E284" s="81" t="str">
        <f>IF(B284="","",VLOOKUP(B284,'DATA (2)'!$F$11:$K$1671,5,FALSE))</f>
        <v/>
      </c>
      <c r="I284" s="82" t="str">
        <f>IF(B284="","",SUMIF(Data!H283:H3894,B284,Data!AH283:AH3894))</f>
        <v/>
      </c>
      <c r="J284" s="82" t="str">
        <f>IF(B284="","",SUMIF(Data!H283:H1894,B284,Data!AG283:AG1894))</f>
        <v/>
      </c>
      <c r="K284" t="str">
        <f t="shared" si="5"/>
        <v/>
      </c>
    </row>
    <row r="285" spans="1:11" ht="15">
      <c r="A285" s="79" t="str">
        <f>IF(B285="","",VLOOKUP(B285,Data!$H$3:$P$1079,9,FALSE))</f>
        <v/>
      </c>
      <c r="C285" s="80" t="str">
        <f>IF(B285="","",VLOOKUP(B285,'DATA (2)'!$F$11:$K$6471,2,FALSE))</f>
        <v/>
      </c>
      <c r="E285" s="81" t="str">
        <f>IF(B285="","",VLOOKUP(B285,'DATA (2)'!$F$11:$K$1671,5,FALSE))</f>
        <v/>
      </c>
      <c r="I285" s="82" t="str">
        <f>IF(B285="","",SUMIF(Data!H284:H3895,B285,Data!AH284:AH3895))</f>
        <v/>
      </c>
      <c r="J285" s="82" t="str">
        <f>IF(B285="","",SUMIF(Data!H284:H1895,B285,Data!AG284:AG1895))</f>
        <v/>
      </c>
      <c r="K285" t="str">
        <f t="shared" si="5"/>
        <v/>
      </c>
    </row>
    <row r="286" spans="1:11" ht="15">
      <c r="A286" s="79" t="str">
        <f>IF(B286="","",VLOOKUP(B286,Data!$H$3:$P$1079,9,FALSE))</f>
        <v/>
      </c>
      <c r="C286" s="80" t="str">
        <f>IF(B286="","",VLOOKUP(B286,'DATA (2)'!$F$11:$K$6471,2,FALSE))</f>
        <v/>
      </c>
      <c r="E286" s="81" t="str">
        <f>IF(B286="","",VLOOKUP(B286,'DATA (2)'!$F$11:$K$1671,5,FALSE))</f>
        <v/>
      </c>
      <c r="I286" s="82" t="str">
        <f>IF(B286="","",SUMIF(Data!H285:H3896,B286,Data!AH285:AH3896))</f>
        <v/>
      </c>
      <c r="J286" s="82" t="str">
        <f>IF(B286="","",SUMIF(Data!H285:H1896,B286,Data!AG285:AG1896))</f>
        <v/>
      </c>
      <c r="K286" t="str">
        <f t="shared" si="5"/>
        <v/>
      </c>
    </row>
    <row r="287" spans="1:11" ht="15">
      <c r="A287" s="79" t="str">
        <f>IF(B287="","",VLOOKUP(B287,Data!$H$3:$P$1079,9,FALSE))</f>
        <v/>
      </c>
      <c r="C287" s="80" t="str">
        <f>IF(B287="","",VLOOKUP(B287,'DATA (2)'!$F$11:$K$6471,2,FALSE))</f>
        <v/>
      </c>
      <c r="E287" s="81" t="str">
        <f>IF(B287="","",VLOOKUP(B287,'DATA (2)'!$F$11:$K$1671,5,FALSE))</f>
        <v/>
      </c>
      <c r="I287" s="82" t="str">
        <f>IF(B287="","",SUMIF(Data!H286:H3897,B287,Data!AH286:AH3897))</f>
        <v/>
      </c>
      <c r="J287" s="82" t="str">
        <f>IF(B287="","",SUMIF(Data!H286:H1897,B287,Data!AG286:AG1897))</f>
        <v/>
      </c>
      <c r="K287" t="str">
        <f t="shared" si="5"/>
        <v/>
      </c>
    </row>
    <row r="288" spans="1:11" ht="15">
      <c r="A288" s="79" t="str">
        <f>IF(B288="","",VLOOKUP(B288,Data!$H$3:$P$1079,9,FALSE))</f>
        <v/>
      </c>
      <c r="C288" s="80" t="str">
        <f>IF(B288="","",VLOOKUP(B288,'DATA (2)'!$F$11:$K$6471,2,FALSE))</f>
        <v/>
      </c>
      <c r="E288" s="81" t="str">
        <f>IF(B288="","",VLOOKUP(B288,'DATA (2)'!$F$11:$K$1671,5,FALSE))</f>
        <v/>
      </c>
      <c r="I288" s="82" t="str">
        <f>IF(B288="","",SUMIF(Data!H286:H3898,B288,Data!AH286:AH3898))</f>
        <v/>
      </c>
      <c r="J288" s="82" t="str">
        <f>IF(B288="","",SUMIF(Data!H286:H1898,B288,Data!AG286:AG1898))</f>
        <v/>
      </c>
      <c r="K288" t="str">
        <f t="shared" si="5"/>
        <v/>
      </c>
    </row>
    <row r="289" spans="1:11" ht="15">
      <c r="A289" s="79" t="str">
        <f>IF(B289="","",VLOOKUP(B289,Data!$H$3:$P$1079,9,FALSE))</f>
        <v/>
      </c>
      <c r="C289" s="80" t="str">
        <f>IF(B289="","",VLOOKUP(B289,'DATA (2)'!$F$11:$K$6471,2,FALSE))</f>
        <v/>
      </c>
      <c r="E289" s="81" t="str">
        <f>IF(B289="","",VLOOKUP(B289,'DATA (2)'!$F$11:$K$1671,5,FALSE))</f>
        <v/>
      </c>
      <c r="I289" s="82" t="str">
        <f>IF(B289="","",SUMIF(Data!H287:H3899,B289,Data!AH287:AH3899))</f>
        <v/>
      </c>
      <c r="J289" s="82" t="str">
        <f>IF(B289="","",SUMIF(Data!H287:H1899,B289,Data!AG287:AG1899))</f>
        <v/>
      </c>
      <c r="K289" t="str">
        <f t="shared" si="5"/>
        <v/>
      </c>
    </row>
    <row r="290" spans="1:11" ht="15">
      <c r="A290" s="79" t="str">
        <f>IF(B290="","",VLOOKUP(B290,Data!$H$3:$P$1079,9,FALSE))</f>
        <v/>
      </c>
      <c r="C290" s="80" t="str">
        <f>IF(B290="","",VLOOKUP(B290,'DATA (2)'!$F$11:$K$6471,2,FALSE))</f>
        <v/>
      </c>
      <c r="E290" s="81" t="str">
        <f>IF(B290="","",VLOOKUP(B290,'DATA (2)'!$F$11:$K$1671,5,FALSE))</f>
        <v/>
      </c>
      <c r="I290" s="82" t="str">
        <f>IF(B290="","",SUMIF(Data!H288:H3900,B290,Data!AH288:AH3900))</f>
        <v/>
      </c>
      <c r="J290" s="82" t="str">
        <f>IF(B290="","",SUMIF(Data!H288:H1900,B290,Data!AG288:AG1900))</f>
        <v/>
      </c>
      <c r="K290" t="str">
        <f t="shared" si="5"/>
        <v/>
      </c>
    </row>
    <row r="291" spans="1:11" ht="15">
      <c r="A291" s="79" t="str">
        <f>IF(B291="","",VLOOKUP(B291,Data!$H$3:$P$1079,9,FALSE))</f>
        <v/>
      </c>
      <c r="C291" s="80" t="str">
        <f>IF(B291="","",VLOOKUP(B291,'DATA (2)'!$F$11:$K$6471,2,FALSE))</f>
        <v/>
      </c>
      <c r="E291" s="81" t="str">
        <f>IF(B291="","",VLOOKUP(B291,'DATA (2)'!$F$11:$K$1671,5,FALSE))</f>
        <v/>
      </c>
      <c r="I291" s="82" t="str">
        <f>IF(B291="","",SUMIF(Data!H289:H3901,B291,Data!AH289:AH3901))</f>
        <v/>
      </c>
      <c r="J291" s="82" t="str">
        <f>IF(B291="","",SUMIF(Data!H289:H1901,B291,Data!AG289:AG1901))</f>
        <v/>
      </c>
      <c r="K291" t="str">
        <f t="shared" si="5"/>
        <v/>
      </c>
    </row>
    <row r="292" spans="1:11" ht="15">
      <c r="A292" s="79" t="str">
        <f>IF(B292="","",VLOOKUP(B292,Data!$H$3:$P$1079,9,FALSE))</f>
        <v/>
      </c>
      <c r="C292" s="80" t="str">
        <f>IF(B292="","",VLOOKUP(B292,'DATA (2)'!$F$11:$K$6471,2,FALSE))</f>
        <v/>
      </c>
      <c r="E292" s="81" t="str">
        <f>IF(B292="","",VLOOKUP(B292,'DATA (2)'!$F$11:$K$1671,5,FALSE))</f>
        <v/>
      </c>
      <c r="I292" s="82" t="str">
        <f>IF(B292="","",SUMIF(Data!H290:H3902,B292,Data!AH290:AH3902))</f>
        <v/>
      </c>
      <c r="J292" s="82" t="str">
        <f>IF(B292="","",SUMIF(Data!H290:H1902,B292,Data!AG290:AG1902))</f>
        <v/>
      </c>
      <c r="K292" t="str">
        <f t="shared" si="5"/>
        <v/>
      </c>
    </row>
    <row r="293" spans="1:11" ht="15">
      <c r="A293" s="79" t="str">
        <f>IF(B293="","",VLOOKUP(B293,Data!$H$3:$P$1079,9,FALSE))</f>
        <v/>
      </c>
      <c r="C293" s="80" t="str">
        <f>IF(B293="","",VLOOKUP(B293,'DATA (2)'!$F$11:$K$6471,2,FALSE))</f>
        <v/>
      </c>
      <c r="E293" s="81" t="str">
        <f>IF(B293="","",VLOOKUP(B293,'DATA (2)'!$F$11:$K$1671,5,FALSE))</f>
        <v/>
      </c>
      <c r="I293" s="82" t="str">
        <f>IF(B293="","",SUMIF(Data!H291:H3903,B293,Data!AH291:AH3903))</f>
        <v/>
      </c>
      <c r="J293" s="82" t="str">
        <f>IF(B293="","",SUMIF(Data!H291:H1903,B293,Data!AG291:AG1903))</f>
        <v/>
      </c>
      <c r="K293" t="str">
        <f t="shared" si="5"/>
        <v/>
      </c>
    </row>
    <row r="294" spans="1:11" ht="15">
      <c r="A294" s="79" t="str">
        <f>IF(B294="","",VLOOKUP(B294,Data!$H$3:$P$1079,9,FALSE))</f>
        <v/>
      </c>
      <c r="C294" s="80" t="str">
        <f>IF(B294="","",VLOOKUP(B294,'DATA (2)'!$F$11:$K$6471,2,FALSE))</f>
        <v/>
      </c>
      <c r="E294" s="81" t="str">
        <f>IF(B294="","",VLOOKUP(B294,'DATA (2)'!$F$11:$K$1671,5,FALSE))</f>
        <v/>
      </c>
      <c r="I294" s="82" t="str">
        <f>IF(B294="","",SUMIF(Data!H292:H3904,B294,Data!AH292:AH3904))</f>
        <v/>
      </c>
      <c r="J294" s="82" t="str">
        <f>IF(B294="","",SUMIF(Data!H292:H1904,B294,Data!AG292:AG1904))</f>
        <v/>
      </c>
      <c r="K294" t="str">
        <f t="shared" si="5"/>
        <v/>
      </c>
    </row>
    <row r="295" spans="1:11" ht="15">
      <c r="A295" s="79" t="str">
        <f>IF(B295="","",VLOOKUP(B295,Data!$H$3:$P$1079,9,FALSE))</f>
        <v/>
      </c>
      <c r="C295" s="80" t="str">
        <f>IF(B295="","",VLOOKUP(B295,'DATA (2)'!$F$11:$K$6471,2,FALSE))</f>
        <v/>
      </c>
      <c r="E295" s="81" t="str">
        <f>IF(B295="","",VLOOKUP(B295,'DATA (2)'!$F$11:$K$1671,5,FALSE))</f>
        <v/>
      </c>
      <c r="I295" s="82" t="str">
        <f>IF(B295="","",SUMIF(Data!H293:H3905,B295,Data!AH293:AH3905))</f>
        <v/>
      </c>
      <c r="J295" s="82" t="str">
        <f>IF(B295="","",SUMIF(Data!H293:H1905,B295,Data!AG293:AG1905))</f>
        <v/>
      </c>
      <c r="K295" t="str">
        <f t="shared" si="5"/>
        <v/>
      </c>
    </row>
    <row r="296" spans="1:11" ht="15">
      <c r="A296" s="79" t="str">
        <f>IF(B296="","",VLOOKUP(B296,Data!$H$3:$P$1079,9,FALSE))</f>
        <v/>
      </c>
      <c r="C296" s="80" t="str">
        <f>IF(B296="","",VLOOKUP(B296,'DATA (2)'!$F$11:$K$6471,2,FALSE))</f>
        <v/>
      </c>
      <c r="E296" s="81" t="str">
        <f>IF(B296="","",VLOOKUP(B296,'DATA (2)'!$F$11:$K$1671,5,FALSE))</f>
        <v/>
      </c>
      <c r="I296" s="82" t="str">
        <f>IF(B296="","",SUMIF(Data!H294:H3906,B296,Data!AH294:AH3906))</f>
        <v/>
      </c>
      <c r="J296" s="82" t="str">
        <f>IF(B296="","",SUMIF(Data!H294:H1906,B296,Data!AG294:AG1906))</f>
        <v/>
      </c>
      <c r="K296" t="str">
        <f t="shared" si="5"/>
        <v/>
      </c>
    </row>
    <row r="297" spans="1:11" ht="15">
      <c r="A297" s="79" t="str">
        <f>IF(B297="","",VLOOKUP(B297,Data!$H$3:$P$1079,9,FALSE))</f>
        <v/>
      </c>
      <c r="C297" s="80" t="str">
        <f>IF(B297="","",VLOOKUP(B297,'DATA (2)'!$F$11:$K$6471,2,FALSE))</f>
        <v/>
      </c>
      <c r="E297" s="81" t="str">
        <f>IF(B297="","",VLOOKUP(B297,'DATA (2)'!$F$11:$K$1671,5,FALSE))</f>
        <v/>
      </c>
      <c r="I297" s="82" t="str">
        <f>IF(B297="","",SUMIF(Data!H295:H3907,B297,Data!AH295:AH3907))</f>
        <v/>
      </c>
      <c r="J297" s="82" t="str">
        <f>IF(B297="","",SUMIF(Data!H295:H1907,B297,Data!AG295:AG1907))</f>
        <v/>
      </c>
      <c r="K297" t="str">
        <f t="shared" si="5"/>
        <v/>
      </c>
    </row>
    <row r="298" spans="1:11" ht="15">
      <c r="A298" s="79" t="str">
        <f>IF(B298="","",VLOOKUP(B298,Data!$H$3:$P$1079,9,FALSE))</f>
        <v/>
      </c>
      <c r="C298" s="80" t="str">
        <f>IF(B298="","",VLOOKUP(B298,'DATA (2)'!$F$11:$K$6471,2,FALSE))</f>
        <v/>
      </c>
      <c r="E298" s="81" t="str">
        <f>IF(B298="","",VLOOKUP(B298,'DATA (2)'!$F$11:$K$1671,5,FALSE))</f>
        <v/>
      </c>
      <c r="I298" s="82" t="str">
        <f>IF(B298="","",SUMIF(Data!H296:H3908,B298,Data!AH296:AH3908))</f>
        <v/>
      </c>
      <c r="J298" s="82" t="str">
        <f>IF(B298="","",SUMIF(Data!H296:H1908,B298,Data!AG296:AG1908))</f>
        <v/>
      </c>
      <c r="K298" t="str">
        <f t="shared" si="5"/>
        <v/>
      </c>
    </row>
    <row r="299" spans="1:11" ht="15">
      <c r="A299" s="79" t="str">
        <f>IF(B299="","",VLOOKUP(B299,Data!$H$3:$P$1079,9,FALSE))</f>
        <v/>
      </c>
      <c r="C299" s="80" t="str">
        <f>IF(B299="","",VLOOKUP(B299,'DATA (2)'!$F$11:$K$6471,2,FALSE))</f>
        <v/>
      </c>
      <c r="E299" s="81" t="str">
        <f>IF(B299="","",VLOOKUP(B299,'DATA (2)'!$F$11:$K$1671,5,FALSE))</f>
        <v/>
      </c>
      <c r="I299" s="82" t="str">
        <f>IF(B299="","",SUMIF(Data!H297:H3909,B299,Data!AH297:AH3909))</f>
        <v/>
      </c>
      <c r="J299" s="82" t="str">
        <f>IF(B299="","",SUMIF(Data!H297:H1909,B299,Data!AG297:AG1909))</f>
        <v/>
      </c>
      <c r="K299" t="str">
        <f t="shared" si="5"/>
        <v/>
      </c>
    </row>
    <row r="300" spans="1:11" ht="15">
      <c r="A300" s="79" t="str">
        <f>IF(B300="","",VLOOKUP(B300,Data!$H$3:$P$1079,9,FALSE))</f>
        <v/>
      </c>
      <c r="C300" s="80" t="str">
        <f>IF(B300="","",VLOOKUP(B300,'DATA (2)'!$F$11:$K$6471,2,FALSE))</f>
        <v/>
      </c>
      <c r="E300" s="81" t="str">
        <f>IF(B300="","",VLOOKUP(B300,'DATA (2)'!$F$11:$K$1671,5,FALSE))</f>
        <v/>
      </c>
      <c r="I300" s="82" t="str">
        <f>IF(B300="","",SUMIF(Data!H298:H3910,B300,Data!AH298:AH3910))</f>
        <v/>
      </c>
      <c r="J300" s="82" t="str">
        <f>IF(B300="","",SUMIF(Data!H298:H1910,B300,Data!AG298:AG1910))</f>
        <v/>
      </c>
      <c r="K300" t="str">
        <f t="shared" si="5"/>
        <v/>
      </c>
    </row>
    <row r="301" spans="1:11" ht="15">
      <c r="A301" s="79" t="str">
        <f>IF(B301="","",VLOOKUP(B301,Data!$H$3:$P$1079,9,FALSE))</f>
        <v/>
      </c>
      <c r="C301" s="80" t="str">
        <f>IF(B301="","",VLOOKUP(B301,'DATA (2)'!$F$11:$K$6471,2,FALSE))</f>
        <v/>
      </c>
      <c r="E301" s="81" t="str">
        <f>IF(B301="","",VLOOKUP(B301,'DATA (2)'!$F$11:$K$1671,5,FALSE))</f>
        <v/>
      </c>
      <c r="I301" s="82" t="str">
        <f>IF(B301="","",SUMIF(Data!H299:H3911,B301,Data!AH299:AH3911))</f>
        <v/>
      </c>
      <c r="J301" s="82" t="str">
        <f>IF(B301="","",SUMIF(Data!H299:H1911,B301,Data!AG299:AG1911))</f>
        <v/>
      </c>
      <c r="K301" t="str">
        <f t="shared" si="5"/>
        <v/>
      </c>
    </row>
    <row r="302" spans="1:11" ht="15">
      <c r="A302" s="79" t="str">
        <f>IF(B302="","",VLOOKUP(B302,Data!$H$3:$P$1079,9,FALSE))</f>
        <v/>
      </c>
      <c r="C302" s="80" t="str">
        <f>IF(B302="","",VLOOKUP(B302,'DATA (2)'!$F$11:$K$6471,2,FALSE))</f>
        <v/>
      </c>
      <c r="E302" s="81" t="str">
        <f>IF(B302="","",VLOOKUP(B302,'DATA (2)'!$F$11:$K$1671,5,FALSE))</f>
        <v/>
      </c>
      <c r="I302" s="82" t="str">
        <f>IF(B302="","",SUMIF(Data!H300:H3912,B302,Data!AH300:AH3912))</f>
        <v/>
      </c>
      <c r="J302" s="82" t="str">
        <f>IF(B302="","",SUMIF(Data!H300:H1912,B302,Data!AG300:AG1912))</f>
        <v/>
      </c>
      <c r="K302" t="str">
        <f t="shared" si="5"/>
        <v/>
      </c>
    </row>
    <row r="303" spans="1:11" ht="15">
      <c r="A303" s="79" t="str">
        <f>IF(B303="","",VLOOKUP(B303,Data!$H$3:$P$1079,9,FALSE))</f>
        <v/>
      </c>
      <c r="C303" s="80" t="str">
        <f>IF(B303="","",VLOOKUP(B303,'DATA (2)'!$F$11:$K$6471,2,FALSE))</f>
        <v/>
      </c>
      <c r="E303" s="81" t="str">
        <f>IF(B303="","",VLOOKUP(B303,'DATA (2)'!$F$11:$K$1671,5,FALSE))</f>
        <v/>
      </c>
      <c r="I303" s="82" t="str">
        <f>IF(B303="","",SUMIF(Data!H301:H3913,B303,Data!AH301:AH3913))</f>
        <v/>
      </c>
      <c r="J303" s="82" t="str">
        <f>IF(B303="","",SUMIF(Data!H301:H1913,B303,Data!AG301:AG1913))</f>
        <v/>
      </c>
      <c r="K303" t="str">
        <f t="shared" si="5"/>
        <v/>
      </c>
    </row>
    <row r="304" spans="1:11" ht="15">
      <c r="A304" s="79" t="str">
        <f>IF(B304="","",VLOOKUP(B304,Data!$H$3:$P$1079,9,FALSE))</f>
        <v/>
      </c>
      <c r="C304" s="80" t="str">
        <f>IF(B304="","",VLOOKUP(B304,'DATA (2)'!$F$11:$K$6471,2,FALSE))</f>
        <v/>
      </c>
      <c r="E304" s="81" t="str">
        <f>IF(B304="","",VLOOKUP(B304,'DATA (2)'!$F$11:$K$1671,5,FALSE))</f>
        <v/>
      </c>
      <c r="I304" s="82" t="str">
        <f>IF(B304="","",SUMIF(Data!H302:H3914,B304,Data!AH302:AH3914))</f>
        <v/>
      </c>
      <c r="J304" s="82" t="str">
        <f>IF(B304="","",SUMIF(Data!H302:H1914,B304,Data!AG302:AG1914))</f>
        <v/>
      </c>
      <c r="K304" t="str">
        <f t="shared" si="5"/>
        <v/>
      </c>
    </row>
    <row r="305" spans="1:11" ht="15">
      <c r="A305" s="79" t="str">
        <f>IF(B305="","",VLOOKUP(B305,Data!$H$3:$P$1079,9,FALSE))</f>
        <v/>
      </c>
      <c r="C305" s="80" t="str">
        <f>IF(B305="","",VLOOKUP(B305,'DATA (2)'!$F$11:$K$6471,2,FALSE))</f>
        <v/>
      </c>
      <c r="E305" s="81" t="str">
        <f>IF(B305="","",VLOOKUP(B305,'DATA (2)'!$F$11:$K$1671,5,FALSE))</f>
        <v/>
      </c>
      <c r="I305" s="82" t="str">
        <f>IF(B305="","",SUMIF(Data!H303:H3915,B305,Data!AH303:AH3915))</f>
        <v/>
      </c>
      <c r="J305" s="82" t="str">
        <f>IF(B305="","",SUMIF(Data!H303:H1915,B305,Data!AG303:AG1915))</f>
        <v/>
      </c>
      <c r="K305" t="str">
        <f t="shared" si="5"/>
        <v/>
      </c>
    </row>
    <row r="306" spans="1:11" ht="15">
      <c r="A306" s="79" t="str">
        <f>IF(B306="","",VLOOKUP(B306,Data!$H$3:$P$1079,9,FALSE))</f>
        <v/>
      </c>
      <c r="C306" s="80" t="str">
        <f>IF(B306="","",VLOOKUP(B306,'DATA (2)'!$F$11:$K$6471,2,FALSE))</f>
        <v/>
      </c>
      <c r="E306" s="81" t="str">
        <f>IF(B306="","",VLOOKUP(B306,'DATA (2)'!$F$11:$K$1671,5,FALSE))</f>
        <v/>
      </c>
      <c r="I306" s="82" t="str">
        <f>IF(B306="","",SUMIF(Data!H304:H3916,B306,Data!AH304:AH3916))</f>
        <v/>
      </c>
      <c r="J306" s="82" t="str">
        <f>IF(B306="","",SUMIF(Data!H304:H1916,B306,Data!AG304:AG1916))</f>
        <v/>
      </c>
      <c r="K306" t="str">
        <f t="shared" si="5"/>
        <v/>
      </c>
    </row>
    <row r="307" spans="1:11" ht="15">
      <c r="A307" s="79" t="str">
        <f>IF(B307="","",VLOOKUP(B307,Data!$H$3:$P$1079,9,FALSE))</f>
        <v/>
      </c>
      <c r="C307" s="80" t="str">
        <f>IF(B307="","",VLOOKUP(B307,'DATA (2)'!$F$11:$K$6471,2,FALSE))</f>
        <v/>
      </c>
      <c r="E307" s="81" t="str">
        <f>IF(B307="","",VLOOKUP(B307,'DATA (2)'!$F$11:$K$1671,5,FALSE))</f>
        <v/>
      </c>
      <c r="I307" s="82" t="str">
        <f>IF(B307="","",SUMIF(Data!H305:H3917,B307,Data!AH305:AH3917))</f>
        <v/>
      </c>
      <c r="J307" s="82" t="str">
        <f>IF(B307="","",SUMIF(Data!H305:H1917,B307,Data!AG305:AG1917))</f>
        <v/>
      </c>
      <c r="K307" t="str">
        <f t="shared" si="5"/>
        <v/>
      </c>
    </row>
    <row r="308" spans="1:11" ht="15">
      <c r="A308" s="79" t="str">
        <f>IF(B308="","",VLOOKUP(B308,Data!$H$3:$P$1079,9,FALSE))</f>
        <v/>
      </c>
      <c r="C308" s="80" t="str">
        <f>IF(B308="","",VLOOKUP(B308,'DATA (2)'!$F$11:$K$6471,2,FALSE))</f>
        <v/>
      </c>
      <c r="E308" s="81" t="str">
        <f>IF(B308="","",VLOOKUP(B308,'DATA (2)'!$F$11:$K$1671,5,FALSE))</f>
        <v/>
      </c>
      <c r="I308" s="82" t="str">
        <f>IF(B308="","",SUMIF(Data!H306:H3918,B308,Data!AH306:AH3918))</f>
        <v/>
      </c>
      <c r="J308" s="82" t="str">
        <f>IF(B308="","",SUMIF(Data!H306:H1918,B308,Data!AG306:AG1918))</f>
        <v/>
      </c>
      <c r="K308" t="str">
        <f t="shared" si="5"/>
        <v/>
      </c>
    </row>
    <row r="309" spans="1:11" ht="15">
      <c r="A309" s="79" t="str">
        <f>IF(B309="","",VLOOKUP(B309,Data!$H$3:$P$1079,9,FALSE))</f>
        <v/>
      </c>
      <c r="C309" s="80" t="str">
        <f>IF(B309="","",VLOOKUP(B309,'DATA (2)'!$F$11:$K$6471,2,FALSE))</f>
        <v/>
      </c>
      <c r="E309" s="81" t="str">
        <f>IF(B309="","",VLOOKUP(B309,'DATA (2)'!$F$11:$K$1671,5,FALSE))</f>
        <v/>
      </c>
      <c r="I309" s="82" t="str">
        <f>IF(B309="","",SUMIF(Data!H307:H3919,B309,Data!AH307:AH3919))</f>
        <v/>
      </c>
      <c r="J309" s="82" t="str">
        <f>IF(B309="","",SUMIF(Data!H307:H1919,B309,Data!AG307:AG1919))</f>
        <v/>
      </c>
      <c r="K309" t="str">
        <f t="shared" si="5"/>
        <v/>
      </c>
    </row>
    <row r="310" spans="1:11" ht="15">
      <c r="A310" s="79" t="str">
        <f>IF(B310="","",VLOOKUP(B310,Data!$H$3:$P$1079,9,FALSE))</f>
        <v/>
      </c>
      <c r="C310" s="80" t="str">
        <f>IF(B310="","",VLOOKUP(B310,'DATA (2)'!$F$11:$K$6471,2,FALSE))</f>
        <v/>
      </c>
      <c r="E310" s="81" t="str">
        <f>IF(B310="","",VLOOKUP(B310,'DATA (2)'!$F$11:$K$1671,5,FALSE))</f>
        <v/>
      </c>
      <c r="I310" s="82" t="str">
        <f>IF(B310="","",SUMIF(Data!H308:H3920,B310,Data!AH308:AH3920))</f>
        <v/>
      </c>
      <c r="J310" s="82" t="str">
        <f>IF(B310="","",SUMIF(Data!H308:H1920,B310,Data!AG308:AG1920))</f>
        <v/>
      </c>
      <c r="K310" t="str">
        <f t="shared" si="5"/>
        <v/>
      </c>
    </row>
    <row r="311" spans="1:11" ht="15">
      <c r="A311" s="79" t="str">
        <f>IF(B311="","",VLOOKUP(B311,Data!$H$3:$P$1079,9,FALSE))</f>
        <v/>
      </c>
      <c r="C311" s="80" t="str">
        <f>IF(B311="","",VLOOKUP(B311,'DATA (2)'!$F$11:$K$6471,2,FALSE))</f>
        <v/>
      </c>
      <c r="E311" s="81" t="str">
        <f>IF(B311="","",VLOOKUP(B311,'DATA (2)'!$F$11:$K$1671,5,FALSE))</f>
        <v/>
      </c>
      <c r="I311" s="82" t="str">
        <f>IF(B311="","",SUMIF(Data!H309:H3921,B311,Data!AH309:AH3921))</f>
        <v/>
      </c>
      <c r="J311" s="82" t="str">
        <f>IF(B311="","",SUMIF(Data!H309:H1921,B311,Data!AG309:AG1921))</f>
        <v/>
      </c>
      <c r="K311" t="str">
        <f t="shared" si="5"/>
        <v/>
      </c>
    </row>
    <row r="312" spans="1:11" ht="15">
      <c r="A312" s="79" t="str">
        <f>IF(B312="","",VLOOKUP(B312,Data!$H$3:$P$1079,9,FALSE))</f>
        <v/>
      </c>
      <c r="C312" s="80" t="str">
        <f>IF(B312="","",VLOOKUP(B312,'DATA (2)'!$F$11:$K$6471,2,FALSE))</f>
        <v/>
      </c>
      <c r="E312" s="81" t="str">
        <f>IF(B312="","",VLOOKUP(B312,'DATA (2)'!$F$11:$K$1671,5,FALSE))</f>
        <v/>
      </c>
      <c r="I312" s="82" t="str">
        <f>IF(B312="","",SUMIF(Data!H310:H3922,B312,Data!AH310:AH3922))</f>
        <v/>
      </c>
      <c r="J312" s="82" t="str">
        <f>IF(B312="","",SUMIF(Data!H310:H1922,B312,Data!AG310:AG1922))</f>
        <v/>
      </c>
      <c r="K312" t="str">
        <f t="shared" si="5"/>
        <v/>
      </c>
    </row>
    <row r="313" spans="1:11" ht="15">
      <c r="A313" s="79" t="str">
        <f>IF(B313="","",VLOOKUP(B313,Data!$H$3:$P$1079,9,FALSE))</f>
        <v/>
      </c>
      <c r="C313" s="80" t="str">
        <f>IF(B313="","",VLOOKUP(B313,'DATA (2)'!$F$11:$K$6471,2,FALSE))</f>
        <v/>
      </c>
      <c r="E313" s="81" t="str">
        <f>IF(B313="","",VLOOKUP(B313,'DATA (2)'!$F$11:$K$1671,5,FALSE))</f>
        <v/>
      </c>
      <c r="I313" s="82" t="str">
        <f>IF(B313="","",SUMIF(Data!H311:H3923,B313,Data!AH311:AH3923))</f>
        <v/>
      </c>
      <c r="J313" s="82" t="str">
        <f>IF(B313="","",SUMIF(Data!H311:H1923,B313,Data!AG311:AG1923))</f>
        <v/>
      </c>
      <c r="K313" t="str">
        <f t="shared" si="5"/>
        <v/>
      </c>
    </row>
    <row r="314" spans="1:11" ht="15">
      <c r="A314" s="79" t="str">
        <f>IF(B314="","",VLOOKUP(B314,Data!$H$3:$P$1079,9,FALSE))</f>
        <v/>
      </c>
      <c r="C314" s="80" t="str">
        <f>IF(B314="","",VLOOKUP(B314,'DATA (2)'!$F$11:$K$6471,2,FALSE))</f>
        <v/>
      </c>
      <c r="E314" s="81" t="str">
        <f>IF(B314="","",VLOOKUP(B314,'DATA (2)'!$F$11:$K$1671,5,FALSE))</f>
        <v/>
      </c>
      <c r="I314" s="82" t="str">
        <f>IF(B314="","",SUMIF(Data!H312:H3924,B314,Data!AH312:AH3924))</f>
        <v/>
      </c>
      <c r="J314" s="82" t="str">
        <f>IF(B314="","",SUMIF(Data!H312:H1924,B314,Data!AG312:AG1924))</f>
        <v/>
      </c>
      <c r="K314" t="str">
        <f t="shared" si="5"/>
        <v/>
      </c>
    </row>
    <row r="315" spans="1:11" ht="15">
      <c r="A315" s="79" t="str">
        <f>IF(B315="","",VLOOKUP(B315,Data!$H$3:$P$1079,9,FALSE))</f>
        <v/>
      </c>
      <c r="C315" s="80" t="str">
        <f>IF(B315="","",VLOOKUP(B315,'DATA (2)'!$F$11:$K$6471,2,FALSE))</f>
        <v/>
      </c>
      <c r="E315" s="81" t="str">
        <f>IF(B315="","",VLOOKUP(B315,'DATA (2)'!$F$11:$K$1671,5,FALSE))</f>
        <v/>
      </c>
      <c r="I315" s="82" t="str">
        <f>IF(B315="","",SUMIF(Data!H313:H3925,B315,Data!AH313:AH3925))</f>
        <v/>
      </c>
      <c r="J315" s="82" t="str">
        <f>IF(B315="","",SUMIF(Data!H313:H1925,B315,Data!AG313:AG1925))</f>
        <v/>
      </c>
      <c r="K315" t="str">
        <f t="shared" si="5"/>
        <v/>
      </c>
    </row>
    <row r="316" spans="1:11" ht="15">
      <c r="A316" s="79" t="str">
        <f>IF(B316="","",VLOOKUP(B316,Data!$H$3:$P$1079,9,FALSE))</f>
        <v/>
      </c>
      <c r="C316" s="80" t="str">
        <f>IF(B316="","",VLOOKUP(B316,'DATA (2)'!$F$11:$K$6471,2,FALSE))</f>
        <v/>
      </c>
      <c r="E316" s="81" t="str">
        <f>IF(B316="","",VLOOKUP(B316,'DATA (2)'!$F$11:$K$1671,5,FALSE))</f>
        <v/>
      </c>
      <c r="I316" s="82" t="str">
        <f>IF(B316="","",SUMIF(Data!H314:H3926,B316,Data!AH314:AH3926))</f>
        <v/>
      </c>
      <c r="J316" s="82" t="str">
        <f>IF(B316="","",SUMIF(Data!H314:H1926,B316,Data!AG314:AG1926))</f>
        <v/>
      </c>
      <c r="K316" t="str">
        <f t="shared" si="5"/>
        <v/>
      </c>
    </row>
    <row r="317" spans="1:11" ht="15">
      <c r="A317" s="79" t="str">
        <f>IF(B317="","",VLOOKUP(B317,Data!$H$3:$P$1079,9,FALSE))</f>
        <v/>
      </c>
      <c r="C317" s="80" t="str">
        <f>IF(B317="","",VLOOKUP(B317,'DATA (2)'!$F$11:$K$6471,2,FALSE))</f>
        <v/>
      </c>
      <c r="E317" s="81" t="str">
        <f>IF(B317="","",VLOOKUP(B317,'DATA (2)'!$F$11:$K$1671,5,FALSE))</f>
        <v/>
      </c>
      <c r="I317" s="82" t="str">
        <f>IF(B317="","",SUMIF(Data!H315:H3927,B317,Data!AH315:AH3927))</f>
        <v/>
      </c>
      <c r="J317" s="82" t="str">
        <f>IF(B317="","",SUMIF(Data!H315:H1927,B317,Data!AG315:AG1927))</f>
        <v/>
      </c>
      <c r="K317" t="str">
        <f t="shared" si="5"/>
        <v/>
      </c>
    </row>
    <row r="318" spans="1:11" ht="15">
      <c r="A318" s="79" t="str">
        <f>IF(B318="","",VLOOKUP(B318,Data!$H$3:$P$1079,9,FALSE))</f>
        <v/>
      </c>
      <c r="C318" s="80" t="str">
        <f>IF(B318="","",VLOOKUP(B318,'DATA (2)'!$F$11:$K$6471,2,FALSE))</f>
        <v/>
      </c>
      <c r="E318" s="81" t="str">
        <f>IF(B318="","",VLOOKUP(B318,'DATA (2)'!$F$11:$K$1671,5,FALSE))</f>
        <v/>
      </c>
      <c r="I318" s="82" t="str">
        <f>IF(B318="","",SUMIF(Data!H316:H3928,B318,Data!AH316:AH3928))</f>
        <v/>
      </c>
      <c r="J318" s="82" t="str">
        <f>IF(B318="","",SUMIF(Data!H316:H1928,B318,Data!AG316:AG1928))</f>
        <v/>
      </c>
      <c r="K318" t="str">
        <f t="shared" si="5"/>
        <v/>
      </c>
    </row>
    <row r="319" spans="1:11" ht="15">
      <c r="A319" s="79" t="str">
        <f>IF(B319="","",VLOOKUP(B319,Data!$H$3:$P$1079,9,FALSE))</f>
        <v/>
      </c>
      <c r="C319" s="80" t="str">
        <f>IF(B319="","",VLOOKUP(B319,'DATA (2)'!$F$11:$K$6471,2,FALSE))</f>
        <v/>
      </c>
      <c r="E319" s="81" t="str">
        <f>IF(B319="","",VLOOKUP(B319,'DATA (2)'!$F$11:$K$1671,5,FALSE))</f>
        <v/>
      </c>
      <c r="I319" s="82" t="str">
        <f>IF(B319="","",SUMIF(Data!H317:H3929,B319,Data!AH317:AH3929))</f>
        <v/>
      </c>
      <c r="J319" s="82" t="str">
        <f>IF(B319="","",SUMIF(Data!H317:H1929,B319,Data!AG317:AG1929))</f>
        <v/>
      </c>
      <c r="K319" t="str">
        <f t="shared" si="5"/>
        <v/>
      </c>
    </row>
    <row r="320" spans="1:11" ht="15">
      <c r="A320" s="79" t="str">
        <f>IF(B320="","",VLOOKUP(B320,Data!$H$3:$P$1079,9,FALSE))</f>
        <v/>
      </c>
      <c r="C320" s="80" t="str">
        <f>IF(B320="","",VLOOKUP(B320,'DATA (2)'!$F$11:$K$6471,2,FALSE))</f>
        <v/>
      </c>
      <c r="E320" s="81" t="str">
        <f>IF(B320="","",VLOOKUP(B320,'DATA (2)'!$F$11:$K$1671,5,FALSE))</f>
        <v/>
      </c>
      <c r="I320" s="82" t="str">
        <f>IF(B320="","",SUMIF(Data!H318:H3930,B320,Data!AH318:AH3930))</f>
        <v/>
      </c>
      <c r="J320" s="82" t="str">
        <f>IF(B320="","",SUMIF(Data!H318:H1930,B320,Data!AG318:AG1930))</f>
        <v/>
      </c>
      <c r="K320" t="str">
        <f t="shared" si="5"/>
        <v/>
      </c>
    </row>
    <row r="321" spans="1:11" ht="15">
      <c r="A321" s="79" t="str">
        <f>IF(B321="","",VLOOKUP(B321,Data!$H$3:$P$1079,9,FALSE))</f>
        <v/>
      </c>
      <c r="C321" s="80" t="str">
        <f>IF(B321="","",VLOOKUP(B321,'DATA (2)'!$F$11:$K$6471,2,FALSE))</f>
        <v/>
      </c>
      <c r="E321" s="81" t="str">
        <f>IF(B321="","",VLOOKUP(B321,'DATA (2)'!$F$11:$K$1671,5,FALSE))</f>
        <v/>
      </c>
      <c r="I321" s="82" t="str">
        <f>IF(B321="","",SUMIF(Data!H319:H3931,B321,Data!AH319:AH3931))</f>
        <v/>
      </c>
      <c r="J321" s="82" t="str">
        <f>IF(B321="","",SUMIF(Data!H319:H1931,B321,Data!AG319:AG1931))</f>
        <v/>
      </c>
      <c r="K321" t="str">
        <f t="shared" si="5"/>
        <v/>
      </c>
    </row>
  </sheetData>
  <mergeCells count="1">
    <mergeCell ref="A1:B1"/>
  </mergeCells>
  <phoneticPr fontId="3"/>
  <conditionalFormatting sqref="K4:K115">
    <cfRule type="cellIs" dxfId="0" priority="1" stopIfTrue="1" operator="lessThan">
      <formula>0</formula>
    </cfRule>
  </conditionalFormatting>
  <pageMargins left="0.7" right="0.7" top="0.75" bottom="0.75" header="0.3" footer="0.3"/>
  <pageSetup paperSize="9" scale="62" orientation="portrait" r:id="rId1"/>
  <rowBreaks count="2" manualBreakCount="2">
    <brk id="41" max="10" man="1"/>
    <brk id="103" max="10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13"/>
  <sheetViews>
    <sheetView workbookViewId="0">
      <selection sqref="A1:A13"/>
    </sheetView>
  </sheetViews>
  <sheetFormatPr defaultRowHeight="13.8"/>
  <sheetData>
    <row r="1" spans="1:1">
      <c r="A1" s="113">
        <v>812</v>
      </c>
    </row>
    <row r="2" spans="1:1">
      <c r="A2" s="113" t="s">
        <v>744</v>
      </c>
    </row>
    <row r="3" spans="1:1">
      <c r="A3" s="113" t="s">
        <v>629</v>
      </c>
    </row>
    <row r="4" spans="1:1">
      <c r="A4" s="22" t="s">
        <v>3427</v>
      </c>
    </row>
    <row r="5" spans="1:1">
      <c r="A5" s="22">
        <v>824</v>
      </c>
    </row>
    <row r="6" spans="1:1">
      <c r="A6" s="22" t="s">
        <v>4952</v>
      </c>
    </row>
    <row r="7" spans="1:1">
      <c r="A7" s="22" t="s">
        <v>4931</v>
      </c>
    </row>
    <row r="8" spans="1:1">
      <c r="A8" s="22" t="s">
        <v>7738</v>
      </c>
    </row>
    <row r="9" spans="1:1">
      <c r="A9" s="22" t="s">
        <v>3534</v>
      </c>
    </row>
    <row r="10" spans="1:1">
      <c r="A10" s="22" t="s">
        <v>7754</v>
      </c>
    </row>
    <row r="11" spans="1:1">
      <c r="A11" s="22" t="s">
        <v>5261</v>
      </c>
    </row>
    <row r="12" spans="1:1">
      <c r="A12" s="22" t="s">
        <v>5275</v>
      </c>
    </row>
    <row r="13" spans="1:1">
      <c r="A13" s="22" t="s">
        <v>3739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Vendor</vt:lpstr>
      <vt:lpstr>DATA (2)</vt:lpstr>
      <vt:lpstr>Data</vt:lpstr>
      <vt:lpstr>Backup</vt:lpstr>
      <vt:lpstr>Sheet3</vt:lpstr>
      <vt:lpstr>Sheet2</vt:lpstr>
      <vt:lpstr>INV</vt:lpstr>
      <vt:lpstr>Sheet1</vt:lpstr>
      <vt:lpstr>INV!Print_Area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Prapa Himploy</dc:creator>
  <cp:lastModifiedBy>QMS.Support1 /</cp:lastModifiedBy>
  <dcterms:created xsi:type="dcterms:W3CDTF">2024-12-03T10:09:16Z</dcterms:created>
  <dcterms:modified xsi:type="dcterms:W3CDTF">2026-10-28T10:28:25Z</dcterms:modified>
</cp:coreProperties>
</file>